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-MI~1.BAR\AppData\Local\Temp\2\"/>
    </mc:Choice>
  </mc:AlternateContent>
  <bookViews>
    <workbookView xWindow="0" yWindow="-20" windowWidth="19200" windowHeight="7070"/>
  </bookViews>
  <sheets>
    <sheet name="Context" sheetId="4" r:id="rId1"/>
    <sheet name="Synthèse" sheetId="1" r:id="rId2"/>
    <sheet name="Restitution" sheetId="5" r:id="rId3"/>
  </sheets>
  <definedNames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t_Period_YTD">Context!$D$5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efault_Legal_Organization">Context!$D$14</definedName>
    <definedName name="Default_Management_Organization">Context!$D$7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Area" localSheetId="2">Restitution!$A$14:$I$387</definedName>
    <definedName name="_xlnm.Print_Area" localSheetId="1">Synthèse!$A$16:$AY$389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Context!$D$2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z_Current_Period_N_1">Context!$D$10</definedName>
    <definedName name="z_Current_Phase">Context!$F$34</definedName>
    <definedName name="z_Current_Year">Context!$D$6</definedName>
    <definedName name="z_Forecast_Phase">Context!$D$12</definedName>
    <definedName name="z_Year_N_1">Context!$D$9</definedName>
    <definedName name="z_Year_Selected">Context!$D$8</definedName>
    <definedName name="zYearSelected">Context!$D$8</definedName>
  </definedNames>
  <calcPr calcId="162913" calcMode="manual" calcCompleted="0" calcOnSave="0" concurrentCalc="0"/>
</workbook>
</file>

<file path=xl/calcChain.xml><?xml version="1.0" encoding="utf-8"?>
<calcChain xmlns="http://schemas.openxmlformats.org/spreadsheetml/2006/main">
  <c r="F32" i="4" l="1"/>
  <c r="D14" i="4"/>
  <c r="D7" i="4"/>
  <c r="F31" i="4"/>
  <c r="D4" i="4"/>
  <c r="D5" i="4"/>
  <c r="G37" i="4"/>
  <c r="G34" i="4"/>
  <c r="F40" i="4"/>
  <c r="C5" i="5"/>
  <c r="C4" i="5"/>
  <c r="C5" i="1"/>
  <c r="C4" i="1"/>
  <c r="G2" i="5"/>
  <c r="G19" i="5"/>
  <c r="G1" i="5"/>
  <c r="G20" i="5"/>
  <c r="J19" i="5"/>
  <c r="C3" i="5"/>
  <c r="C7" i="5"/>
  <c r="C1" i="5"/>
  <c r="F1" i="5"/>
  <c r="F2" i="5"/>
  <c r="F22" i="5"/>
  <c r="F23" i="5"/>
  <c r="G22" i="5"/>
  <c r="G23" i="5"/>
  <c r="J23" i="5"/>
  <c r="F25" i="5"/>
  <c r="F26" i="5"/>
  <c r="G25" i="5"/>
  <c r="G26" i="5"/>
  <c r="J26" i="5"/>
  <c r="F27" i="5"/>
  <c r="G27" i="5"/>
  <c r="J27" i="5"/>
  <c r="F28" i="5"/>
  <c r="G28" i="5"/>
  <c r="J28" i="5"/>
  <c r="F29" i="5"/>
  <c r="G29" i="5"/>
  <c r="J29" i="5"/>
  <c r="F31" i="5"/>
  <c r="F32" i="5"/>
  <c r="G31" i="5"/>
  <c r="G32" i="5"/>
  <c r="J32" i="5"/>
  <c r="F33" i="5"/>
  <c r="G33" i="5"/>
  <c r="J33" i="5"/>
  <c r="F34" i="5"/>
  <c r="G34" i="5"/>
  <c r="J34" i="5"/>
  <c r="F35" i="5"/>
  <c r="F36" i="5"/>
  <c r="F37" i="5"/>
  <c r="F38" i="5"/>
  <c r="F39" i="5"/>
  <c r="F40" i="5"/>
  <c r="F41" i="5"/>
  <c r="F42" i="5"/>
  <c r="F43" i="5"/>
  <c r="G35" i="5"/>
  <c r="G36" i="5"/>
  <c r="G37" i="5"/>
  <c r="G38" i="5"/>
  <c r="G39" i="5"/>
  <c r="G40" i="5"/>
  <c r="G41" i="5"/>
  <c r="G42" i="5"/>
  <c r="G43" i="5"/>
  <c r="J43" i="5"/>
  <c r="F44" i="5"/>
  <c r="G44" i="5"/>
  <c r="J44" i="5"/>
  <c r="F45" i="5"/>
  <c r="G45" i="5"/>
  <c r="J45" i="5"/>
  <c r="F46" i="5"/>
  <c r="G46" i="5"/>
  <c r="J46" i="5"/>
  <c r="F47" i="5"/>
  <c r="G47" i="5"/>
  <c r="J47" i="5"/>
  <c r="F48" i="5"/>
  <c r="G48" i="5"/>
  <c r="J48" i="5"/>
  <c r="F49" i="5"/>
  <c r="G49" i="5"/>
  <c r="J49" i="5"/>
  <c r="F50" i="5"/>
  <c r="G50" i="5"/>
  <c r="J50" i="5"/>
  <c r="F51" i="5"/>
  <c r="G51" i="5"/>
  <c r="J51" i="5"/>
  <c r="F52" i="5"/>
  <c r="G52" i="5"/>
  <c r="J52" i="5"/>
  <c r="F53" i="5"/>
  <c r="G53" i="5"/>
  <c r="J53" i="5"/>
  <c r="F54" i="5"/>
  <c r="G54" i="5"/>
  <c r="J54" i="5"/>
  <c r="F55" i="5"/>
  <c r="G55" i="5"/>
  <c r="J55" i="5"/>
  <c r="F56" i="5"/>
  <c r="G56" i="5"/>
  <c r="J56" i="5"/>
  <c r="F57" i="5"/>
  <c r="G57" i="5"/>
  <c r="J57" i="5"/>
  <c r="F58" i="5"/>
  <c r="G58" i="5"/>
  <c r="J58" i="5"/>
  <c r="F59" i="5"/>
  <c r="G59" i="5"/>
  <c r="J59" i="5"/>
  <c r="F60" i="5"/>
  <c r="G60" i="5"/>
  <c r="J60" i="5"/>
  <c r="F61" i="5"/>
  <c r="G61" i="5"/>
  <c r="J61" i="5"/>
  <c r="F62" i="5"/>
  <c r="G62" i="5"/>
  <c r="J62" i="5"/>
  <c r="F63" i="5"/>
  <c r="G63" i="5"/>
  <c r="J63" i="5"/>
  <c r="F64" i="5"/>
  <c r="G64" i="5"/>
  <c r="J64" i="5"/>
  <c r="F65" i="5"/>
  <c r="G65" i="5"/>
  <c r="J65" i="5"/>
  <c r="F66" i="5"/>
  <c r="G66" i="5"/>
  <c r="J66" i="5"/>
  <c r="F67" i="5"/>
  <c r="G67" i="5"/>
  <c r="J67" i="5"/>
  <c r="F68" i="5"/>
  <c r="G68" i="5"/>
  <c r="J68" i="5"/>
  <c r="F69" i="5"/>
  <c r="G69" i="5"/>
  <c r="J69" i="5"/>
  <c r="F70" i="5"/>
  <c r="G70" i="5"/>
  <c r="J70" i="5"/>
  <c r="F71" i="5"/>
  <c r="G71" i="5"/>
  <c r="J71" i="5"/>
  <c r="F72" i="5"/>
  <c r="G72" i="5"/>
  <c r="J72" i="5"/>
  <c r="F73" i="5"/>
  <c r="G73" i="5"/>
  <c r="J73" i="5"/>
  <c r="F74" i="5"/>
  <c r="G74" i="5"/>
  <c r="J74" i="5"/>
  <c r="F75" i="5"/>
  <c r="G75" i="5"/>
  <c r="J75" i="5"/>
  <c r="F76" i="5"/>
  <c r="G76" i="5"/>
  <c r="J76" i="5"/>
  <c r="F77" i="5"/>
  <c r="G77" i="5"/>
  <c r="J77" i="5"/>
  <c r="F78" i="5"/>
  <c r="G78" i="5"/>
  <c r="J78" i="5"/>
  <c r="F79" i="5"/>
  <c r="G79" i="5"/>
  <c r="J79" i="5"/>
  <c r="F80" i="5"/>
  <c r="G80" i="5"/>
  <c r="J80" i="5"/>
  <c r="F81" i="5"/>
  <c r="G81" i="5"/>
  <c r="J81" i="5"/>
  <c r="F82" i="5"/>
  <c r="G82" i="5"/>
  <c r="J82" i="5"/>
  <c r="F83" i="5"/>
  <c r="F84" i="5"/>
  <c r="F85" i="5"/>
  <c r="G83" i="5"/>
  <c r="G84" i="5"/>
  <c r="G85" i="5"/>
  <c r="J85" i="5"/>
  <c r="F86" i="5"/>
  <c r="G86" i="5"/>
  <c r="J86" i="5"/>
  <c r="F87" i="5"/>
  <c r="G87" i="5"/>
  <c r="J87" i="5"/>
  <c r="F88" i="5"/>
  <c r="G88" i="5"/>
  <c r="J88" i="5"/>
  <c r="F89" i="5"/>
  <c r="G89" i="5"/>
  <c r="J89" i="5"/>
  <c r="F90" i="5"/>
  <c r="G90" i="5"/>
  <c r="J90" i="5"/>
  <c r="F91" i="5"/>
  <c r="G91" i="5"/>
  <c r="J91" i="5"/>
  <c r="F92" i="5"/>
  <c r="G92" i="5"/>
  <c r="J92" i="5"/>
  <c r="F93" i="5"/>
  <c r="G93" i="5"/>
  <c r="J93" i="5"/>
  <c r="F94" i="5"/>
  <c r="G94" i="5"/>
  <c r="J94" i="5"/>
  <c r="F95" i="5"/>
  <c r="G95" i="5"/>
  <c r="J95" i="5"/>
  <c r="F96" i="5"/>
  <c r="G96" i="5"/>
  <c r="J96" i="5"/>
  <c r="F97" i="5"/>
  <c r="G97" i="5"/>
  <c r="J97" i="5"/>
  <c r="F98" i="5"/>
  <c r="G98" i="5"/>
  <c r="J98" i="5"/>
  <c r="F99" i="5"/>
  <c r="G99" i="5"/>
  <c r="J99" i="5"/>
  <c r="F100" i="5"/>
  <c r="G100" i="5"/>
  <c r="J100" i="5"/>
  <c r="F101" i="5"/>
  <c r="F102" i="5"/>
  <c r="F103" i="5"/>
  <c r="F104" i="5"/>
  <c r="F105" i="5"/>
  <c r="F106" i="5"/>
  <c r="F107" i="5"/>
  <c r="F108" i="5"/>
  <c r="F109" i="5"/>
  <c r="F110" i="5"/>
  <c r="F111" i="5"/>
  <c r="G101" i="5"/>
  <c r="G102" i="5"/>
  <c r="G103" i="5"/>
  <c r="G104" i="5"/>
  <c r="G105" i="5"/>
  <c r="G106" i="5"/>
  <c r="G107" i="5"/>
  <c r="G108" i="5"/>
  <c r="G109" i="5"/>
  <c r="G110" i="5"/>
  <c r="G111" i="5"/>
  <c r="J111" i="5"/>
  <c r="F112" i="5"/>
  <c r="F113" i="5"/>
  <c r="F114" i="5"/>
  <c r="F115" i="5"/>
  <c r="G112" i="5"/>
  <c r="G113" i="5"/>
  <c r="G114" i="5"/>
  <c r="G115" i="5"/>
  <c r="J115" i="5"/>
  <c r="F116" i="5"/>
  <c r="G116" i="5"/>
  <c r="J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J130" i="5"/>
  <c r="F131" i="5"/>
  <c r="G131" i="5"/>
  <c r="J131" i="5"/>
  <c r="F132" i="5"/>
  <c r="G132" i="5"/>
  <c r="J132" i="5"/>
  <c r="F133" i="5"/>
  <c r="G133" i="5"/>
  <c r="J133" i="5"/>
  <c r="F134" i="5"/>
  <c r="G134" i="5"/>
  <c r="J134" i="5"/>
  <c r="F135" i="5"/>
  <c r="G135" i="5"/>
  <c r="J135" i="5"/>
  <c r="F136" i="5"/>
  <c r="G136" i="5"/>
  <c r="J136" i="5"/>
  <c r="F137" i="5"/>
  <c r="G137" i="5"/>
  <c r="J137" i="5"/>
  <c r="F138" i="5"/>
  <c r="G138" i="5"/>
  <c r="J138" i="5"/>
  <c r="F139" i="5"/>
  <c r="G139" i="5"/>
  <c r="J139" i="5"/>
  <c r="F140" i="5"/>
  <c r="G140" i="5"/>
  <c r="J140" i="5"/>
  <c r="F141" i="5"/>
  <c r="G141" i="5"/>
  <c r="J141" i="5"/>
  <c r="F142" i="5"/>
  <c r="G142" i="5"/>
  <c r="J142" i="5"/>
  <c r="F143" i="5"/>
  <c r="G143" i="5"/>
  <c r="J143" i="5"/>
  <c r="F144" i="5"/>
  <c r="G144" i="5"/>
  <c r="J144" i="5"/>
  <c r="F145" i="5"/>
  <c r="G145" i="5"/>
  <c r="J145" i="5"/>
  <c r="F146" i="5"/>
  <c r="G146" i="5"/>
  <c r="J146" i="5"/>
  <c r="F147" i="5"/>
  <c r="G147" i="5"/>
  <c r="J147" i="5"/>
  <c r="F148" i="5"/>
  <c r="G148" i="5"/>
  <c r="J148" i="5"/>
  <c r="F149" i="5"/>
  <c r="G149" i="5"/>
  <c r="J149" i="5"/>
  <c r="F150" i="5"/>
  <c r="G150" i="5"/>
  <c r="J150" i="5"/>
  <c r="F151" i="5"/>
  <c r="G151" i="5"/>
  <c r="J151" i="5"/>
  <c r="F152" i="5"/>
  <c r="G152" i="5"/>
  <c r="J152" i="5"/>
  <c r="F153" i="5"/>
  <c r="G153" i="5"/>
  <c r="J153" i="5"/>
  <c r="F154" i="5"/>
  <c r="G154" i="5"/>
  <c r="J154" i="5"/>
  <c r="F155" i="5"/>
  <c r="G155" i="5"/>
  <c r="J155" i="5"/>
  <c r="F156" i="5"/>
  <c r="G156" i="5"/>
  <c r="J156" i="5"/>
  <c r="F157" i="5"/>
  <c r="G157" i="5"/>
  <c r="J157" i="5"/>
  <c r="F158" i="5"/>
  <c r="G158" i="5"/>
  <c r="J158" i="5"/>
  <c r="F159" i="5"/>
  <c r="G159" i="5"/>
  <c r="J159" i="5"/>
  <c r="F160" i="5"/>
  <c r="G160" i="5"/>
  <c r="J160" i="5"/>
  <c r="F161" i="5"/>
  <c r="G161" i="5"/>
  <c r="J161" i="5"/>
  <c r="F162" i="5"/>
  <c r="G162" i="5"/>
  <c r="J162" i="5"/>
  <c r="F163" i="5"/>
  <c r="G163" i="5"/>
  <c r="J163" i="5"/>
  <c r="F164" i="5"/>
  <c r="G164" i="5"/>
  <c r="J164" i="5"/>
  <c r="F165" i="5"/>
  <c r="G165" i="5"/>
  <c r="J165" i="5"/>
  <c r="F166" i="5"/>
  <c r="G166" i="5"/>
  <c r="J166" i="5"/>
  <c r="F167" i="5"/>
  <c r="G167" i="5"/>
  <c r="J167" i="5"/>
  <c r="F168" i="5"/>
  <c r="G168" i="5"/>
  <c r="J168" i="5"/>
  <c r="F169" i="5"/>
  <c r="G169" i="5"/>
  <c r="J169" i="5"/>
  <c r="F170" i="5"/>
  <c r="G170" i="5"/>
  <c r="J170" i="5"/>
  <c r="F171" i="5"/>
  <c r="G171" i="5"/>
  <c r="J171" i="5"/>
  <c r="F172" i="5"/>
  <c r="G172" i="5"/>
  <c r="J172" i="5"/>
  <c r="F173" i="5"/>
  <c r="G173" i="5"/>
  <c r="J173" i="5"/>
  <c r="F174" i="5"/>
  <c r="G174" i="5"/>
  <c r="J174" i="5"/>
  <c r="F175" i="5"/>
  <c r="G175" i="5"/>
  <c r="J175" i="5"/>
  <c r="F176" i="5"/>
  <c r="G176" i="5"/>
  <c r="J176" i="5"/>
  <c r="F177" i="5"/>
  <c r="G177" i="5"/>
  <c r="J177" i="5"/>
  <c r="F178" i="5"/>
  <c r="G178" i="5"/>
  <c r="J178" i="5"/>
  <c r="F179" i="5"/>
  <c r="G179" i="5"/>
  <c r="J179" i="5"/>
  <c r="F180" i="5"/>
  <c r="G180" i="5"/>
  <c r="J180" i="5"/>
  <c r="F181" i="5"/>
  <c r="G181" i="5"/>
  <c r="J181" i="5"/>
  <c r="F182" i="5"/>
  <c r="G182" i="5"/>
  <c r="J182" i="5"/>
  <c r="F183" i="5"/>
  <c r="G183" i="5"/>
  <c r="J183" i="5"/>
  <c r="F184" i="5"/>
  <c r="G184" i="5"/>
  <c r="J184" i="5"/>
  <c r="F185" i="5"/>
  <c r="G185" i="5"/>
  <c r="J185" i="5"/>
  <c r="F186" i="5"/>
  <c r="G186" i="5"/>
  <c r="J186" i="5"/>
  <c r="F187" i="5"/>
  <c r="G187" i="5"/>
  <c r="J187" i="5"/>
  <c r="F188" i="5"/>
  <c r="G188" i="5"/>
  <c r="J188" i="5"/>
  <c r="F189" i="5"/>
  <c r="G189" i="5"/>
  <c r="J189" i="5"/>
  <c r="F190" i="5"/>
  <c r="G190" i="5"/>
  <c r="J190" i="5"/>
  <c r="F191" i="5"/>
  <c r="G191" i="5"/>
  <c r="J191" i="5"/>
  <c r="F192" i="5"/>
  <c r="G192" i="5"/>
  <c r="J192" i="5"/>
  <c r="F193" i="5"/>
  <c r="G193" i="5"/>
  <c r="J193" i="5"/>
  <c r="F194" i="5"/>
  <c r="G194" i="5"/>
  <c r="J194" i="5"/>
  <c r="J195" i="5"/>
  <c r="F196" i="5"/>
  <c r="G196" i="5"/>
  <c r="J196" i="5"/>
  <c r="F197" i="5"/>
  <c r="G197" i="5"/>
  <c r="J197" i="5"/>
  <c r="F198" i="5"/>
  <c r="G198" i="5"/>
  <c r="J198" i="5"/>
  <c r="F199" i="5"/>
  <c r="G199" i="5"/>
  <c r="J199" i="5"/>
  <c r="F200" i="5"/>
  <c r="G200" i="5"/>
  <c r="J200" i="5"/>
  <c r="F201" i="5"/>
  <c r="G201" i="5"/>
  <c r="J201" i="5"/>
  <c r="F202" i="5"/>
  <c r="G202" i="5"/>
  <c r="J202" i="5"/>
  <c r="F203" i="5"/>
  <c r="G203" i="5"/>
  <c r="J203" i="5"/>
  <c r="F204" i="5"/>
  <c r="G204" i="5"/>
  <c r="J204" i="5"/>
  <c r="F205" i="5"/>
  <c r="G205" i="5"/>
  <c r="J205" i="5"/>
  <c r="F206" i="5"/>
  <c r="G206" i="5"/>
  <c r="J206" i="5"/>
  <c r="F207" i="5"/>
  <c r="G207" i="5"/>
  <c r="J207" i="5"/>
  <c r="F208" i="5"/>
  <c r="G208" i="5"/>
  <c r="J208" i="5"/>
  <c r="F209" i="5"/>
  <c r="G209" i="5"/>
  <c r="J209" i="5"/>
  <c r="F210" i="5"/>
  <c r="G210" i="5"/>
  <c r="J210" i="5"/>
  <c r="F211" i="5"/>
  <c r="G211" i="5"/>
  <c r="J211" i="5"/>
  <c r="F212" i="5"/>
  <c r="G212" i="5"/>
  <c r="J212" i="5"/>
  <c r="F213" i="5"/>
  <c r="G213" i="5"/>
  <c r="J213" i="5"/>
  <c r="F214" i="5"/>
  <c r="G214" i="5"/>
  <c r="J214" i="5"/>
  <c r="F215" i="5"/>
  <c r="G215" i="5"/>
  <c r="J215" i="5"/>
  <c r="F216" i="5"/>
  <c r="G216" i="5"/>
  <c r="J216" i="5"/>
  <c r="F217" i="5"/>
  <c r="G217" i="5"/>
  <c r="J217" i="5"/>
  <c r="F218" i="5"/>
  <c r="G218" i="5"/>
  <c r="J218" i="5"/>
  <c r="F219" i="5"/>
  <c r="G219" i="5"/>
  <c r="J219" i="5"/>
  <c r="F220" i="5"/>
  <c r="G220" i="5"/>
  <c r="J220" i="5"/>
  <c r="F221" i="5"/>
  <c r="G221" i="5"/>
  <c r="J221" i="5"/>
  <c r="F223" i="5"/>
  <c r="G223" i="5"/>
  <c r="J223" i="5"/>
  <c r="F226" i="5"/>
  <c r="F225" i="5"/>
  <c r="F227" i="5"/>
  <c r="G226" i="5"/>
  <c r="G225" i="5"/>
  <c r="G227" i="5"/>
  <c r="J227" i="5"/>
  <c r="F228" i="5"/>
  <c r="G228" i="5"/>
  <c r="J228" i="5"/>
  <c r="F229" i="5"/>
  <c r="G229" i="5"/>
  <c r="J229" i="5"/>
  <c r="F230" i="5"/>
  <c r="G230" i="5"/>
  <c r="J230" i="5"/>
  <c r="F231" i="5"/>
  <c r="G231" i="5"/>
  <c r="J231" i="5"/>
  <c r="F232" i="5"/>
  <c r="G232" i="5"/>
  <c r="J232" i="5"/>
  <c r="F233" i="5"/>
  <c r="G233" i="5"/>
  <c r="J233" i="5"/>
  <c r="F234" i="5"/>
  <c r="G234" i="5"/>
  <c r="J234" i="5"/>
  <c r="F235" i="5"/>
  <c r="G235" i="5"/>
  <c r="J235" i="5"/>
  <c r="F236" i="5"/>
  <c r="G236" i="5"/>
  <c r="J236" i="5"/>
  <c r="F237" i="5"/>
  <c r="G237" i="5"/>
  <c r="J237" i="5"/>
  <c r="F238" i="5"/>
  <c r="G238" i="5"/>
  <c r="J238" i="5"/>
  <c r="F239" i="5"/>
  <c r="G239" i="5"/>
  <c r="J239" i="5"/>
  <c r="F240" i="5"/>
  <c r="G240" i="5"/>
  <c r="J240" i="5"/>
  <c r="F241" i="5"/>
  <c r="G241" i="5"/>
  <c r="J241" i="5"/>
  <c r="F242" i="5"/>
  <c r="G242" i="5"/>
  <c r="J242" i="5"/>
  <c r="F243" i="5"/>
  <c r="G243" i="5"/>
  <c r="J243" i="5"/>
  <c r="F244" i="5"/>
  <c r="G244" i="5"/>
  <c r="J244" i="5"/>
  <c r="F245" i="5"/>
  <c r="G245" i="5"/>
  <c r="J245" i="5"/>
  <c r="F246" i="5"/>
  <c r="G246" i="5"/>
  <c r="J246" i="5"/>
  <c r="F247" i="5"/>
  <c r="G247" i="5"/>
  <c r="J247" i="5"/>
  <c r="F248" i="5"/>
  <c r="G248" i="5"/>
  <c r="J248" i="5"/>
  <c r="F249" i="5"/>
  <c r="G249" i="5"/>
  <c r="J249" i="5"/>
  <c r="F250" i="5"/>
  <c r="G250" i="5"/>
  <c r="J250" i="5"/>
  <c r="F251" i="5"/>
  <c r="G251" i="5"/>
  <c r="J251" i="5"/>
  <c r="F252" i="5"/>
  <c r="G252" i="5"/>
  <c r="J252" i="5"/>
  <c r="F253" i="5"/>
  <c r="G253" i="5"/>
  <c r="J253" i="5"/>
  <c r="F254" i="5"/>
  <c r="G254" i="5"/>
  <c r="J254" i="5"/>
  <c r="F255" i="5"/>
  <c r="G255" i="5"/>
  <c r="J255" i="5"/>
  <c r="F256" i="5"/>
  <c r="G256" i="5"/>
  <c r="J256" i="5"/>
  <c r="F257" i="5"/>
  <c r="G257" i="5"/>
  <c r="J257" i="5"/>
  <c r="F258" i="5"/>
  <c r="G258" i="5"/>
  <c r="J258" i="5"/>
  <c r="F259" i="5"/>
  <c r="G259" i="5"/>
  <c r="J259" i="5"/>
  <c r="F260" i="5"/>
  <c r="G260" i="5"/>
  <c r="J260" i="5"/>
  <c r="F261" i="5"/>
  <c r="F262" i="5"/>
  <c r="F263" i="5"/>
  <c r="G261" i="5"/>
  <c r="G262" i="5"/>
  <c r="G263" i="5"/>
  <c r="J263" i="5"/>
  <c r="F264" i="5"/>
  <c r="F265" i="5"/>
  <c r="F266" i="5"/>
  <c r="F267" i="5"/>
  <c r="F268" i="5"/>
  <c r="G264" i="5"/>
  <c r="G265" i="5"/>
  <c r="G266" i="5"/>
  <c r="G267" i="5"/>
  <c r="G268" i="5"/>
  <c r="J268" i="5"/>
  <c r="F269" i="5"/>
  <c r="F270" i="5"/>
  <c r="F271" i="5"/>
  <c r="F272" i="5"/>
  <c r="F273" i="5"/>
  <c r="G269" i="5"/>
  <c r="G270" i="5"/>
  <c r="G271" i="5"/>
  <c r="G272" i="5"/>
  <c r="G273" i="5"/>
  <c r="J273" i="5"/>
  <c r="F274" i="5"/>
  <c r="F275" i="5"/>
  <c r="G274" i="5"/>
  <c r="G275" i="5"/>
  <c r="J275" i="5"/>
  <c r="F276" i="5"/>
  <c r="F277" i="5"/>
  <c r="G276" i="5"/>
  <c r="G277" i="5"/>
  <c r="J277" i="5"/>
  <c r="F281" i="5"/>
  <c r="F282" i="5"/>
  <c r="F283" i="5"/>
  <c r="G281" i="5"/>
  <c r="G282" i="5"/>
  <c r="G283" i="5"/>
  <c r="J283" i="5"/>
  <c r="F284" i="5"/>
  <c r="G284" i="5"/>
  <c r="J284" i="5"/>
  <c r="F285" i="5"/>
  <c r="G285" i="5"/>
  <c r="J285" i="5"/>
  <c r="F286" i="5"/>
  <c r="G286" i="5"/>
  <c r="J286" i="5"/>
  <c r="J287" i="5"/>
  <c r="J288" i="5"/>
  <c r="J289" i="5"/>
  <c r="F290" i="5"/>
  <c r="G290" i="5"/>
  <c r="J290" i="5"/>
  <c r="F291" i="5"/>
  <c r="G291" i="5"/>
  <c r="J291" i="5"/>
  <c r="F292" i="5"/>
  <c r="G292" i="5"/>
  <c r="J292" i="5"/>
  <c r="F293" i="5"/>
  <c r="G293" i="5"/>
  <c r="J293" i="5"/>
  <c r="F297" i="5"/>
  <c r="F298" i="5"/>
  <c r="G297" i="5"/>
  <c r="G298" i="5"/>
  <c r="J298" i="5"/>
  <c r="F296" i="5"/>
  <c r="F299" i="5"/>
  <c r="G296" i="5"/>
  <c r="G299" i="5"/>
  <c r="J299" i="5"/>
  <c r="F300" i="5"/>
  <c r="G300" i="5"/>
  <c r="J300" i="5"/>
  <c r="F301" i="5"/>
  <c r="G301" i="5"/>
  <c r="J301" i="5"/>
  <c r="F304" i="5"/>
  <c r="F315" i="5"/>
  <c r="G304" i="5"/>
  <c r="G315" i="5"/>
  <c r="J315" i="5"/>
  <c r="F316" i="5"/>
  <c r="G316" i="5"/>
  <c r="J316" i="5"/>
  <c r="F317" i="5"/>
  <c r="G317" i="5"/>
  <c r="J317" i="5"/>
  <c r="F318" i="5"/>
  <c r="G318" i="5"/>
  <c r="J318" i="5"/>
  <c r="F319" i="5"/>
  <c r="G319" i="5"/>
  <c r="J319" i="5"/>
  <c r="F320" i="5"/>
  <c r="G320" i="5"/>
  <c r="J320" i="5"/>
  <c r="F321" i="5"/>
  <c r="G321" i="5"/>
  <c r="J321" i="5"/>
  <c r="F322" i="5"/>
  <c r="G322" i="5"/>
  <c r="J322" i="5"/>
  <c r="F323" i="5"/>
  <c r="G323" i="5"/>
  <c r="J323" i="5"/>
  <c r="F324" i="5"/>
  <c r="G324" i="5"/>
  <c r="J324" i="5"/>
  <c r="F325" i="5"/>
  <c r="G325" i="5"/>
  <c r="J325" i="5"/>
  <c r="F326" i="5"/>
  <c r="G326" i="5"/>
  <c r="J326" i="5"/>
  <c r="F327" i="5"/>
  <c r="G327" i="5"/>
  <c r="J327" i="5"/>
  <c r="F328" i="5"/>
  <c r="G328" i="5"/>
  <c r="J328" i="5"/>
  <c r="F330" i="5"/>
  <c r="F331" i="5"/>
  <c r="G330" i="5"/>
  <c r="G331" i="5"/>
  <c r="J331" i="5"/>
  <c r="F332" i="5"/>
  <c r="G332" i="5"/>
  <c r="J332" i="5"/>
  <c r="F333" i="5"/>
  <c r="G333" i="5"/>
  <c r="J333" i="5"/>
  <c r="F334" i="5"/>
  <c r="G334" i="5"/>
  <c r="J334" i="5"/>
  <c r="F335" i="5"/>
  <c r="G335" i="5"/>
  <c r="J335" i="5"/>
  <c r="F336" i="5"/>
  <c r="G336" i="5"/>
  <c r="J336" i="5"/>
  <c r="F337" i="5"/>
  <c r="G337" i="5"/>
  <c r="J337" i="5"/>
  <c r="F338" i="5"/>
  <c r="G338" i="5"/>
  <c r="J338" i="5"/>
  <c r="F339" i="5"/>
  <c r="G339" i="5"/>
  <c r="J339" i="5"/>
  <c r="F340" i="5"/>
  <c r="G340" i="5"/>
  <c r="J340" i="5"/>
  <c r="F341" i="5"/>
  <c r="G341" i="5"/>
  <c r="J341" i="5"/>
  <c r="F342" i="5"/>
  <c r="G342" i="5"/>
  <c r="J342" i="5"/>
  <c r="F343" i="5"/>
  <c r="G343" i="5"/>
  <c r="J343" i="5"/>
  <c r="F344" i="5"/>
  <c r="G344" i="5"/>
  <c r="J344" i="5"/>
  <c r="F345" i="5"/>
  <c r="G345" i="5"/>
  <c r="J345" i="5"/>
  <c r="F346" i="5"/>
  <c r="G346" i="5"/>
  <c r="J346" i="5"/>
  <c r="F347" i="5"/>
  <c r="G347" i="5"/>
  <c r="J347" i="5"/>
  <c r="F348" i="5"/>
  <c r="G348" i="5"/>
  <c r="J348" i="5"/>
  <c r="F349" i="5"/>
  <c r="G349" i="5"/>
  <c r="J349" i="5"/>
  <c r="F351" i="5"/>
  <c r="F352" i="5"/>
  <c r="G351" i="5"/>
  <c r="G352" i="5"/>
  <c r="J352" i="5"/>
  <c r="F353" i="5"/>
  <c r="G353" i="5"/>
  <c r="J353" i="5"/>
  <c r="F354" i="5"/>
  <c r="G354" i="5"/>
  <c r="J354" i="5"/>
  <c r="F355" i="5"/>
  <c r="G355" i="5"/>
  <c r="J355" i="5"/>
  <c r="F356" i="5"/>
  <c r="G356" i="5"/>
  <c r="J356" i="5"/>
  <c r="F359" i="5"/>
  <c r="G359" i="5"/>
  <c r="J359" i="5"/>
  <c r="F360" i="5"/>
  <c r="G360" i="5"/>
  <c r="J360" i="5"/>
  <c r="F361" i="5"/>
  <c r="G361" i="5"/>
  <c r="J361" i="5"/>
  <c r="F362" i="5"/>
  <c r="G362" i="5"/>
  <c r="J362" i="5"/>
  <c r="F363" i="5"/>
  <c r="G363" i="5"/>
  <c r="J363" i="5"/>
  <c r="F364" i="5"/>
  <c r="G364" i="5"/>
  <c r="J364" i="5"/>
  <c r="F366" i="5"/>
  <c r="G366" i="5"/>
  <c r="J366" i="5"/>
  <c r="F311" i="5"/>
  <c r="F367" i="5"/>
  <c r="G311" i="5"/>
  <c r="G367" i="5"/>
  <c r="J367" i="5"/>
  <c r="F312" i="5"/>
  <c r="F368" i="5"/>
  <c r="G312" i="5"/>
  <c r="G368" i="5"/>
  <c r="J368" i="5"/>
  <c r="F314" i="5"/>
  <c r="F369" i="5"/>
  <c r="G314" i="5"/>
  <c r="G369" i="5"/>
  <c r="J369" i="5"/>
  <c r="F313" i="5"/>
  <c r="F370" i="5"/>
  <c r="G313" i="5"/>
  <c r="G370" i="5"/>
  <c r="J370" i="5"/>
  <c r="F371" i="5"/>
  <c r="G371" i="5"/>
  <c r="J371" i="5"/>
  <c r="F372" i="5"/>
  <c r="G372" i="5"/>
  <c r="J372" i="5"/>
  <c r="F373" i="5"/>
  <c r="G373" i="5"/>
  <c r="J373" i="5"/>
  <c r="F374" i="5"/>
  <c r="G374" i="5"/>
  <c r="J374" i="5"/>
  <c r="F375" i="5"/>
  <c r="G375" i="5"/>
  <c r="J375" i="5"/>
  <c r="F376" i="5"/>
  <c r="G376" i="5"/>
  <c r="J376" i="5"/>
  <c r="F377" i="5"/>
  <c r="G377" i="5"/>
  <c r="J377" i="5"/>
  <c r="F378" i="5"/>
  <c r="G378" i="5"/>
  <c r="J378" i="5"/>
  <c r="F379" i="5"/>
  <c r="G379" i="5"/>
  <c r="J379" i="5"/>
  <c r="F305" i="5"/>
  <c r="F380" i="5"/>
  <c r="G305" i="5"/>
  <c r="G380" i="5"/>
  <c r="J380" i="5"/>
  <c r="F306" i="5"/>
  <c r="F381" i="5"/>
  <c r="G306" i="5"/>
  <c r="G381" i="5"/>
  <c r="J381" i="5"/>
  <c r="F307" i="5"/>
  <c r="F382" i="5"/>
  <c r="G307" i="5"/>
  <c r="G382" i="5"/>
  <c r="J382" i="5"/>
  <c r="F308" i="5"/>
  <c r="F383" i="5"/>
  <c r="G308" i="5"/>
  <c r="G383" i="5"/>
  <c r="J383" i="5"/>
  <c r="F309" i="5"/>
  <c r="F384" i="5"/>
  <c r="G309" i="5"/>
  <c r="G384" i="5"/>
  <c r="J384" i="5"/>
  <c r="F310" i="5"/>
  <c r="F385" i="5"/>
  <c r="G310" i="5"/>
  <c r="G385" i="5"/>
  <c r="J385" i="5"/>
  <c r="F386" i="5"/>
  <c r="G386" i="5"/>
  <c r="J386" i="5"/>
  <c r="K277" i="5"/>
  <c r="F39" i="4"/>
  <c r="F34" i="4"/>
  <c r="D8" i="4"/>
  <c r="D9" i="4"/>
  <c r="D10" i="4"/>
  <c r="G36" i="4"/>
  <c r="F36" i="4"/>
  <c r="F278" i="5"/>
  <c r="H1" i="5"/>
  <c r="F37" i="4"/>
  <c r="H2" i="5"/>
  <c r="H276" i="5"/>
  <c r="H277" i="5"/>
  <c r="H22" i="5"/>
  <c r="H23" i="5"/>
  <c r="H278" i="5"/>
  <c r="K275" i="5"/>
  <c r="H226" i="5"/>
  <c r="K223" i="5"/>
  <c r="K221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56" i="5"/>
  <c r="H57" i="5"/>
  <c r="H54" i="5"/>
  <c r="H55" i="5"/>
  <c r="H52" i="5"/>
  <c r="H53" i="5"/>
  <c r="H50" i="5"/>
  <c r="H51" i="5"/>
  <c r="H47" i="5"/>
  <c r="H48" i="5"/>
  <c r="H49" i="5"/>
  <c r="H44" i="5"/>
  <c r="H45" i="5"/>
  <c r="H46" i="5"/>
  <c r="H82" i="5"/>
  <c r="H33" i="5"/>
  <c r="H34" i="5"/>
  <c r="H35" i="5"/>
  <c r="H36" i="5"/>
  <c r="H37" i="5"/>
  <c r="H38" i="5"/>
  <c r="H39" i="5"/>
  <c r="H40" i="5"/>
  <c r="H41" i="5"/>
  <c r="H42" i="5"/>
  <c r="H43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12" i="5"/>
  <c r="H113" i="5"/>
  <c r="H114" i="5"/>
  <c r="H115" i="5"/>
  <c r="H101" i="5"/>
  <c r="H102" i="5"/>
  <c r="H103" i="5"/>
  <c r="H104" i="5"/>
  <c r="H105" i="5"/>
  <c r="H106" i="5"/>
  <c r="H107" i="5"/>
  <c r="H108" i="5"/>
  <c r="H109" i="5"/>
  <c r="H110" i="5"/>
  <c r="H111" i="5"/>
  <c r="H116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31" i="5"/>
  <c r="H132" i="5"/>
  <c r="H133" i="5"/>
  <c r="H134" i="5"/>
  <c r="H135" i="5"/>
  <c r="H136" i="5"/>
  <c r="H137" i="5"/>
  <c r="H138" i="5"/>
  <c r="H139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88" i="5"/>
  <c r="H360" i="5"/>
  <c r="K360" i="5"/>
  <c r="H361" i="5"/>
  <c r="K361" i="5"/>
  <c r="H362" i="5"/>
  <c r="K362" i="5"/>
  <c r="H363" i="5"/>
  <c r="K363" i="5"/>
  <c r="H225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364" i="5"/>
  <c r="K364" i="5"/>
  <c r="H304" i="5"/>
  <c r="H315" i="5"/>
  <c r="H366" i="5"/>
  <c r="K366" i="5"/>
  <c r="H330" i="5"/>
  <c r="H331" i="5"/>
  <c r="H311" i="5"/>
  <c r="H367" i="5"/>
  <c r="K367" i="5"/>
  <c r="H332" i="5"/>
  <c r="H333" i="5"/>
  <c r="H312" i="5"/>
  <c r="H368" i="5"/>
  <c r="K368" i="5"/>
  <c r="H334" i="5"/>
  <c r="H335" i="5"/>
  <c r="H314" i="5"/>
  <c r="H369" i="5"/>
  <c r="K369" i="5"/>
  <c r="H336" i="5"/>
  <c r="H337" i="5"/>
  <c r="H313" i="5"/>
  <c r="H370" i="5"/>
  <c r="K370" i="5"/>
  <c r="H371" i="5"/>
  <c r="K371" i="5"/>
  <c r="H372" i="5"/>
  <c r="K372" i="5"/>
  <c r="H373" i="5"/>
  <c r="K373" i="5"/>
  <c r="H374" i="5"/>
  <c r="K374" i="5"/>
  <c r="H316" i="5"/>
  <c r="H317" i="5"/>
  <c r="H318" i="5"/>
  <c r="H319" i="5"/>
  <c r="H375" i="5"/>
  <c r="K375" i="5"/>
  <c r="H376" i="5"/>
  <c r="K376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77" i="5"/>
  <c r="K377" i="5"/>
  <c r="H320" i="5"/>
  <c r="H321" i="5"/>
  <c r="H322" i="5"/>
  <c r="H323" i="5"/>
  <c r="H324" i="5"/>
  <c r="H325" i="5"/>
  <c r="H326" i="5"/>
  <c r="H378" i="5"/>
  <c r="K378" i="5"/>
  <c r="H379" i="5"/>
  <c r="K379" i="5"/>
  <c r="H305" i="5"/>
  <c r="H380" i="5"/>
  <c r="K380" i="5"/>
  <c r="H306" i="5"/>
  <c r="H381" i="5"/>
  <c r="K381" i="5"/>
  <c r="H307" i="5"/>
  <c r="H382" i="5"/>
  <c r="K382" i="5"/>
  <c r="H308" i="5"/>
  <c r="H383" i="5"/>
  <c r="K383" i="5"/>
  <c r="H309" i="5"/>
  <c r="H384" i="5"/>
  <c r="K384" i="5"/>
  <c r="H310" i="5"/>
  <c r="H385" i="5"/>
  <c r="K385" i="5"/>
  <c r="H386" i="5"/>
  <c r="K386" i="5"/>
  <c r="H359" i="5"/>
  <c r="K359" i="5"/>
  <c r="H353" i="5"/>
  <c r="K353" i="5"/>
  <c r="H354" i="5"/>
  <c r="K354" i="5"/>
  <c r="H355" i="5"/>
  <c r="K355" i="5"/>
  <c r="H356" i="5"/>
  <c r="K356" i="5"/>
  <c r="H351" i="5"/>
  <c r="H352" i="5"/>
  <c r="K352" i="5"/>
  <c r="K349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31" i="5"/>
  <c r="K316" i="5"/>
  <c r="K317" i="5"/>
  <c r="K318" i="5"/>
  <c r="K319" i="5"/>
  <c r="K320" i="5"/>
  <c r="K321" i="5"/>
  <c r="K322" i="5"/>
  <c r="K323" i="5"/>
  <c r="K324" i="5"/>
  <c r="K325" i="5"/>
  <c r="K326" i="5"/>
  <c r="H327" i="5"/>
  <c r="K327" i="5"/>
  <c r="H328" i="5"/>
  <c r="K328" i="5"/>
  <c r="K315" i="5"/>
  <c r="H296" i="5"/>
  <c r="H297" i="5"/>
  <c r="H298" i="5"/>
  <c r="H299" i="5"/>
  <c r="K299" i="5"/>
  <c r="H300" i="5"/>
  <c r="K300" i="5"/>
  <c r="K298" i="5"/>
  <c r="H284" i="5"/>
  <c r="K284" i="5"/>
  <c r="H285" i="5"/>
  <c r="K285" i="5"/>
  <c r="H286" i="5"/>
  <c r="K286" i="5"/>
  <c r="K287" i="5"/>
  <c r="K288" i="5"/>
  <c r="K289" i="5"/>
  <c r="H290" i="5"/>
  <c r="K290" i="5"/>
  <c r="H291" i="5"/>
  <c r="K291" i="5"/>
  <c r="H292" i="5"/>
  <c r="K292" i="5"/>
  <c r="H281" i="5"/>
  <c r="H282" i="5"/>
  <c r="H283" i="5"/>
  <c r="K283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27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H189" i="5"/>
  <c r="K189" i="5"/>
  <c r="H190" i="5"/>
  <c r="K190" i="5"/>
  <c r="H191" i="5"/>
  <c r="K191" i="5"/>
  <c r="H192" i="5"/>
  <c r="K192" i="5"/>
  <c r="H193" i="5"/>
  <c r="K193" i="5"/>
  <c r="H194" i="5"/>
  <c r="K194" i="5"/>
  <c r="K195" i="5"/>
  <c r="H196" i="5"/>
  <c r="K196" i="5"/>
  <c r="H197" i="5"/>
  <c r="K197" i="5"/>
  <c r="H198" i="5"/>
  <c r="K198" i="5"/>
  <c r="H199" i="5"/>
  <c r="K199" i="5"/>
  <c r="H200" i="5"/>
  <c r="K200" i="5"/>
  <c r="H201" i="5"/>
  <c r="K201" i="5"/>
  <c r="H202" i="5"/>
  <c r="K202" i="5"/>
  <c r="H203" i="5"/>
  <c r="K203" i="5"/>
  <c r="H204" i="5"/>
  <c r="K204" i="5"/>
  <c r="H205" i="5"/>
  <c r="K205" i="5"/>
  <c r="H206" i="5"/>
  <c r="K206" i="5"/>
  <c r="H207" i="5"/>
  <c r="K207" i="5"/>
  <c r="H208" i="5"/>
  <c r="K208" i="5"/>
  <c r="H209" i="5"/>
  <c r="K209" i="5"/>
  <c r="H210" i="5"/>
  <c r="K210" i="5"/>
  <c r="H211" i="5"/>
  <c r="K211" i="5"/>
  <c r="H212" i="5"/>
  <c r="K212" i="5"/>
  <c r="H213" i="5"/>
  <c r="K213" i="5"/>
  <c r="H214" i="5"/>
  <c r="K214" i="5"/>
  <c r="H215" i="5"/>
  <c r="K215" i="5"/>
  <c r="H216" i="5"/>
  <c r="K216" i="5"/>
  <c r="H217" i="5"/>
  <c r="K217" i="5"/>
  <c r="H218" i="5"/>
  <c r="K218" i="5"/>
  <c r="H219" i="5"/>
  <c r="K219" i="5"/>
  <c r="H220" i="5"/>
  <c r="K220" i="5"/>
  <c r="K130" i="5"/>
  <c r="K115" i="5"/>
  <c r="K111" i="5"/>
  <c r="H301" i="5"/>
  <c r="K301" i="5"/>
  <c r="H293" i="5"/>
  <c r="K293" i="5"/>
  <c r="H269" i="5"/>
  <c r="H270" i="5"/>
  <c r="H271" i="5"/>
  <c r="H272" i="5"/>
  <c r="H273" i="5"/>
  <c r="K273" i="5"/>
  <c r="H264" i="5"/>
  <c r="H265" i="5"/>
  <c r="H266" i="5"/>
  <c r="H267" i="5"/>
  <c r="H268" i="5"/>
  <c r="K268" i="5"/>
  <c r="H261" i="5"/>
  <c r="H262" i="5"/>
  <c r="H263" i="5"/>
  <c r="K263" i="5"/>
  <c r="K260" i="5"/>
  <c r="K116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85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46" i="5"/>
  <c r="K44" i="5"/>
  <c r="K100" i="5"/>
  <c r="K82" i="5"/>
  <c r="K45" i="5"/>
  <c r="K43" i="5"/>
  <c r="K34" i="5"/>
  <c r="K33" i="5"/>
  <c r="H31" i="5"/>
  <c r="H25" i="5"/>
  <c r="H26" i="5"/>
  <c r="H32" i="5"/>
  <c r="K32" i="5"/>
  <c r="K29" i="5"/>
  <c r="H27" i="5"/>
  <c r="K27" i="5"/>
  <c r="H28" i="5"/>
  <c r="K28" i="5"/>
  <c r="K26" i="5"/>
  <c r="K23" i="5"/>
  <c r="H19" i="5"/>
  <c r="H20" i="5"/>
  <c r="K19" i="5"/>
  <c r="E355" i="1"/>
  <c r="F20" i="5"/>
  <c r="F19" i="5"/>
  <c r="E386" i="5"/>
  <c r="E378" i="5"/>
  <c r="E377" i="5"/>
  <c r="E375" i="5"/>
  <c r="E374" i="5"/>
  <c r="E373" i="5"/>
  <c r="E372" i="5"/>
  <c r="E371" i="5"/>
  <c r="E366" i="5"/>
  <c r="E355" i="5"/>
  <c r="E353" i="5"/>
  <c r="E351" i="5"/>
  <c r="E348" i="5"/>
  <c r="E346" i="5"/>
  <c r="E344" i="5"/>
  <c r="E342" i="5"/>
  <c r="E340" i="5"/>
  <c r="E338" i="5"/>
  <c r="E336" i="5"/>
  <c r="E334" i="5"/>
  <c r="E330" i="5"/>
  <c r="E327" i="5"/>
  <c r="E325" i="5"/>
  <c r="E323" i="5"/>
  <c r="E321" i="5"/>
  <c r="E320" i="5"/>
  <c r="E318" i="5"/>
  <c r="E317" i="5"/>
  <c r="E316" i="5"/>
  <c r="E314" i="5"/>
  <c r="E313" i="5"/>
  <c r="E312" i="5"/>
  <c r="E311" i="5"/>
  <c r="E310" i="5"/>
  <c r="E309" i="5"/>
  <c r="E308" i="5"/>
  <c r="E307" i="5"/>
  <c r="E306" i="5"/>
  <c r="E305" i="5"/>
  <c r="E304" i="5"/>
  <c r="E291" i="5"/>
  <c r="E290" i="5"/>
  <c r="H289" i="5"/>
  <c r="G289" i="5"/>
  <c r="F289" i="5"/>
  <c r="E288" i="5"/>
  <c r="E287" i="5"/>
  <c r="E284" i="5"/>
  <c r="E282" i="5"/>
  <c r="E281" i="5"/>
  <c r="H29" i="5"/>
  <c r="H221" i="5"/>
  <c r="H223" i="5"/>
  <c r="H279" i="5"/>
  <c r="G279" i="5"/>
  <c r="F279" i="5"/>
  <c r="G278" i="5"/>
  <c r="E276" i="5"/>
  <c r="H274" i="5"/>
  <c r="H275" i="5"/>
  <c r="E274" i="5"/>
  <c r="E272" i="5"/>
  <c r="E271" i="5"/>
  <c r="E270" i="5"/>
  <c r="E269" i="5"/>
  <c r="E267" i="5"/>
  <c r="E266" i="5"/>
  <c r="E265" i="5"/>
  <c r="E264" i="5"/>
  <c r="E262" i="5"/>
  <c r="E261" i="5"/>
  <c r="E258" i="5"/>
  <c r="E256" i="5"/>
  <c r="E254" i="5"/>
  <c r="E252" i="5"/>
  <c r="E250" i="5"/>
  <c r="E248" i="5"/>
  <c r="E246" i="5"/>
  <c r="E244" i="5"/>
  <c r="E242" i="5"/>
  <c r="E240" i="5"/>
  <c r="E238" i="5"/>
  <c r="E236" i="5"/>
  <c r="E234" i="5"/>
  <c r="E232" i="5"/>
  <c r="E230" i="5"/>
  <c r="E228" i="5"/>
  <c r="E226" i="5"/>
  <c r="E225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8" i="5"/>
  <c r="E137" i="5"/>
  <c r="E136" i="5"/>
  <c r="E135" i="5"/>
  <c r="E134" i="5"/>
  <c r="E133" i="5"/>
  <c r="E132" i="5"/>
  <c r="E131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4" i="5"/>
  <c r="E113" i="5"/>
  <c r="E112" i="5"/>
  <c r="E110" i="5"/>
  <c r="E109" i="5"/>
  <c r="E108" i="5"/>
  <c r="E107" i="5"/>
  <c r="E106" i="5"/>
  <c r="E105" i="5"/>
  <c r="E104" i="5"/>
  <c r="E103" i="5"/>
  <c r="E102" i="5"/>
  <c r="E101" i="5"/>
  <c r="E98" i="5"/>
  <c r="E97" i="5"/>
  <c r="E95" i="5"/>
  <c r="E94" i="5"/>
  <c r="E92" i="5"/>
  <c r="E91" i="5"/>
  <c r="E89" i="5"/>
  <c r="E88" i="5"/>
  <c r="E87" i="5"/>
  <c r="E86" i="5"/>
  <c r="E84" i="5"/>
  <c r="E83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6" i="5"/>
  <c r="E54" i="5"/>
  <c r="E52" i="5"/>
  <c r="E50" i="5"/>
  <c r="E48" i="5"/>
  <c r="E47" i="5"/>
  <c r="E45" i="5"/>
  <c r="E44" i="5"/>
  <c r="E42" i="5"/>
  <c r="E41" i="5"/>
  <c r="E40" i="5"/>
  <c r="E39" i="5"/>
  <c r="E38" i="5"/>
  <c r="E37" i="5"/>
  <c r="E36" i="5"/>
  <c r="E35" i="5"/>
  <c r="E34" i="5"/>
  <c r="E33" i="5"/>
  <c r="E31" i="5"/>
  <c r="E27" i="5"/>
  <c r="E25" i="5"/>
  <c r="E22" i="5"/>
  <c r="E19" i="5"/>
  <c r="E9" i="5"/>
  <c r="E357" i="1"/>
  <c r="E353" i="1"/>
  <c r="E350" i="1"/>
  <c r="E348" i="1"/>
  <c r="E346" i="1"/>
  <c r="E344" i="1"/>
  <c r="E342" i="1"/>
  <c r="E340" i="1"/>
  <c r="E338" i="1"/>
  <c r="E336" i="1"/>
  <c r="E332" i="1"/>
  <c r="E329" i="1"/>
  <c r="E327" i="1"/>
  <c r="E325" i="1"/>
  <c r="E323" i="1"/>
  <c r="E322" i="1"/>
  <c r="E320" i="1"/>
  <c r="E319" i="1"/>
  <c r="E318" i="1"/>
  <c r="E307" i="1"/>
  <c r="E308" i="1"/>
  <c r="E309" i="1"/>
  <c r="E310" i="1"/>
  <c r="E311" i="1"/>
  <c r="E312" i="1"/>
  <c r="E313" i="1"/>
  <c r="E314" i="1"/>
  <c r="E315" i="1"/>
  <c r="E316" i="1"/>
  <c r="E306" i="1"/>
  <c r="E293" i="1"/>
  <c r="E292" i="1"/>
  <c r="E290" i="1"/>
  <c r="E289" i="1"/>
  <c r="E286" i="1"/>
  <c r="E278" i="1"/>
  <c r="E284" i="1"/>
  <c r="E283" i="1"/>
  <c r="E276" i="1"/>
  <c r="E272" i="1"/>
  <c r="E273" i="1"/>
  <c r="E274" i="1"/>
  <c r="E271" i="1"/>
  <c r="E267" i="1"/>
  <c r="E268" i="1"/>
  <c r="E269" i="1"/>
  <c r="E266" i="1"/>
  <c r="E264" i="1"/>
  <c r="E263" i="1"/>
  <c r="E260" i="1"/>
  <c r="E258" i="1"/>
  <c r="E256" i="1"/>
  <c r="E254" i="1"/>
  <c r="E252" i="1"/>
  <c r="E250" i="1"/>
  <c r="E248" i="1"/>
  <c r="E246" i="1"/>
  <c r="E244" i="1"/>
  <c r="E242" i="1"/>
  <c r="E240" i="1"/>
  <c r="E238" i="1"/>
  <c r="E236" i="1"/>
  <c r="E234" i="1"/>
  <c r="E232" i="1"/>
  <c r="E230" i="1"/>
  <c r="E228" i="1"/>
  <c r="E227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191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68" i="1"/>
  <c r="E169" i="1"/>
  <c r="E170" i="1"/>
  <c r="E171" i="1"/>
  <c r="E172" i="1"/>
  <c r="E157" i="1"/>
  <c r="E158" i="1"/>
  <c r="E159" i="1"/>
  <c r="E160" i="1"/>
  <c r="E161" i="1"/>
  <c r="E162" i="1"/>
  <c r="E163" i="1"/>
  <c r="E164" i="1"/>
  <c r="E165" i="1"/>
  <c r="E166" i="1"/>
  <c r="E167" i="1"/>
  <c r="E156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42" i="1"/>
  <c r="E134" i="1"/>
  <c r="E135" i="1"/>
  <c r="E136" i="1"/>
  <c r="E137" i="1"/>
  <c r="E138" i="1"/>
  <c r="E139" i="1"/>
  <c r="E140" i="1"/>
  <c r="E133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19" i="1"/>
  <c r="E116" i="1"/>
  <c r="E115" i="1"/>
  <c r="E114" i="1"/>
  <c r="E104" i="1"/>
  <c r="E105" i="1"/>
  <c r="E106" i="1"/>
  <c r="E107" i="1"/>
  <c r="E108" i="1"/>
  <c r="E109" i="1"/>
  <c r="E110" i="1"/>
  <c r="E111" i="1"/>
  <c r="E112" i="1"/>
  <c r="E103" i="1"/>
  <c r="E100" i="1"/>
  <c r="E99" i="1"/>
  <c r="E97" i="1"/>
  <c r="E96" i="1"/>
  <c r="E94" i="1"/>
  <c r="E93" i="1"/>
  <c r="C3" i="1"/>
  <c r="C7" i="1"/>
  <c r="C1" i="1"/>
  <c r="D6" i="4"/>
  <c r="Z1" i="1"/>
  <c r="Z107" i="1"/>
  <c r="Y1" i="1"/>
  <c r="Y107" i="1"/>
  <c r="X1" i="1"/>
  <c r="X107" i="1"/>
  <c r="W1" i="1"/>
  <c r="W107" i="1"/>
  <c r="V1" i="1"/>
  <c r="V107" i="1"/>
  <c r="U1" i="1"/>
  <c r="U107" i="1"/>
  <c r="T1" i="1"/>
  <c r="T107" i="1"/>
  <c r="S1" i="1"/>
  <c r="S107" i="1"/>
  <c r="R1" i="1"/>
  <c r="R107" i="1"/>
  <c r="Q1" i="1"/>
  <c r="Q107" i="1"/>
  <c r="P1" i="1"/>
  <c r="P107" i="1"/>
  <c r="O1" i="1"/>
  <c r="O107" i="1"/>
  <c r="N1" i="1"/>
  <c r="N107" i="1"/>
  <c r="M1" i="1"/>
  <c r="M107" i="1"/>
  <c r="L1" i="1"/>
  <c r="L107" i="1"/>
  <c r="K1" i="1"/>
  <c r="K107" i="1"/>
  <c r="J1" i="1"/>
  <c r="J107" i="1"/>
  <c r="I1" i="1"/>
  <c r="I107" i="1"/>
  <c r="H1" i="1"/>
  <c r="H107" i="1"/>
  <c r="G1" i="1"/>
  <c r="G107" i="1"/>
  <c r="F1" i="1"/>
  <c r="F107" i="1"/>
  <c r="AY1" i="1"/>
  <c r="AY106" i="1"/>
  <c r="AX1" i="1"/>
  <c r="AX106" i="1"/>
  <c r="AW1" i="1"/>
  <c r="AW106" i="1"/>
  <c r="AV1" i="1"/>
  <c r="AV106" i="1"/>
  <c r="AU1" i="1"/>
  <c r="AU106" i="1"/>
  <c r="AT1" i="1"/>
  <c r="AT106" i="1"/>
  <c r="AS1" i="1"/>
  <c r="AS106" i="1"/>
  <c r="AR1" i="1"/>
  <c r="AR106" i="1"/>
  <c r="AQ1" i="1"/>
  <c r="AQ106" i="1"/>
  <c r="AP1" i="1"/>
  <c r="AP106" i="1"/>
  <c r="AO1" i="1"/>
  <c r="AO106" i="1"/>
  <c r="AN1" i="1"/>
  <c r="AN106" i="1"/>
  <c r="AM1" i="1"/>
  <c r="AM106" i="1"/>
  <c r="AL1" i="1"/>
  <c r="AL106" i="1"/>
  <c r="AK1" i="1"/>
  <c r="AK106" i="1"/>
  <c r="AJ1" i="1"/>
  <c r="AJ106" i="1"/>
  <c r="AI1" i="1"/>
  <c r="AI106" i="1"/>
  <c r="AH1" i="1"/>
  <c r="AH106" i="1"/>
  <c r="AG1" i="1"/>
  <c r="AG106" i="1"/>
  <c r="AF1" i="1"/>
  <c r="AF106" i="1"/>
  <c r="AE1" i="1"/>
  <c r="AE106" i="1"/>
  <c r="AD1" i="1"/>
  <c r="AD106" i="1"/>
  <c r="AC1" i="1"/>
  <c r="AC106" i="1"/>
  <c r="AB1" i="1"/>
  <c r="AB106" i="1"/>
  <c r="AA1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AY105" i="1"/>
  <c r="AX105" i="1"/>
  <c r="AW105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AY104" i="1"/>
  <c r="AX104" i="1"/>
  <c r="AW104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AY103" i="1"/>
  <c r="AX103" i="1"/>
  <c r="AW103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AY100" i="1"/>
  <c r="AX100" i="1"/>
  <c r="AW100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AY99" i="1"/>
  <c r="AX99" i="1"/>
  <c r="AW99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AY97" i="1"/>
  <c r="AX97" i="1"/>
  <c r="AW97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AY96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AY94" i="1"/>
  <c r="AX94" i="1"/>
  <c r="AW94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AY93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AY91" i="1"/>
  <c r="AX91" i="1"/>
  <c r="AW91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AY90" i="1"/>
  <c r="AX90" i="1"/>
  <c r="AW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AY89" i="1"/>
  <c r="AX89" i="1"/>
  <c r="AW89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AY86" i="1"/>
  <c r="AX86" i="1"/>
  <c r="AW86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AY85" i="1"/>
  <c r="AX85" i="1"/>
  <c r="AW85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AY82" i="1"/>
  <c r="AX82" i="1"/>
  <c r="AW82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AY81" i="1"/>
  <c r="AX81" i="1"/>
  <c r="AW81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AY80" i="1"/>
  <c r="AX80" i="1"/>
  <c r="AW80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AY79" i="1"/>
  <c r="AX79" i="1"/>
  <c r="AW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AY78" i="1"/>
  <c r="AX78" i="1"/>
  <c r="AW78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AY77" i="1"/>
  <c r="AX77" i="1"/>
  <c r="AW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AY74" i="1"/>
  <c r="AX74" i="1"/>
  <c r="AW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AY73" i="1"/>
  <c r="AX73" i="1"/>
  <c r="AW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AY70" i="1"/>
  <c r="AX70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AY69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AY67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AY66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AY64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AY63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E89" i="1"/>
  <c r="E90" i="1"/>
  <c r="E91" i="1"/>
  <c r="E88" i="1"/>
  <c r="E86" i="1"/>
  <c r="E85" i="1"/>
  <c r="E78" i="1"/>
  <c r="E79" i="1"/>
  <c r="E80" i="1"/>
  <c r="E81" i="1"/>
  <c r="E82" i="1"/>
  <c r="E67" i="1"/>
  <c r="E68" i="1"/>
  <c r="E69" i="1"/>
  <c r="E70" i="1"/>
  <c r="E71" i="1"/>
  <c r="E72" i="1"/>
  <c r="E73" i="1"/>
  <c r="E74" i="1"/>
  <c r="E75" i="1"/>
  <c r="E76" i="1"/>
  <c r="E77" i="1"/>
  <c r="E61" i="1"/>
  <c r="E62" i="1"/>
  <c r="E63" i="1"/>
  <c r="E64" i="1"/>
  <c r="E65" i="1"/>
  <c r="E66" i="1"/>
  <c r="E60" i="1"/>
  <c r="E58" i="1"/>
  <c r="E56" i="1"/>
  <c r="E54" i="1"/>
  <c r="E52" i="1"/>
  <c r="E50" i="1"/>
  <c r="E49" i="1"/>
  <c r="D11" i="4"/>
  <c r="D12" i="4"/>
  <c r="F230" i="1"/>
  <c r="F228" i="1"/>
  <c r="F227" i="1"/>
  <c r="F229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78" i="1"/>
  <c r="F279" i="1"/>
  <c r="F28" i="1"/>
  <c r="F30" i="1"/>
  <c r="F31" i="1"/>
  <c r="F34" i="1"/>
  <c r="F45" i="1"/>
  <c r="F83" i="1"/>
  <c r="F59" i="1"/>
  <c r="F57" i="1"/>
  <c r="F55" i="1"/>
  <c r="F53" i="1"/>
  <c r="F51" i="1"/>
  <c r="F48" i="1"/>
  <c r="F84" i="1"/>
  <c r="F87" i="1"/>
  <c r="F92" i="1"/>
  <c r="F95" i="1"/>
  <c r="F98" i="1"/>
  <c r="F101" i="1"/>
  <c r="F102" i="1"/>
  <c r="F114" i="1"/>
  <c r="F115" i="1"/>
  <c r="F116" i="1"/>
  <c r="F117" i="1"/>
  <c r="F108" i="1"/>
  <c r="F109" i="1"/>
  <c r="F110" i="1"/>
  <c r="F111" i="1"/>
  <c r="F112" i="1"/>
  <c r="F113" i="1"/>
  <c r="F118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33" i="1"/>
  <c r="F134" i="1"/>
  <c r="F135" i="1"/>
  <c r="F136" i="1"/>
  <c r="F137" i="1"/>
  <c r="F138" i="1"/>
  <c r="F139" i="1"/>
  <c r="F140" i="1"/>
  <c r="F141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90" i="1"/>
  <c r="F191" i="1"/>
  <c r="F192" i="1"/>
  <c r="F193" i="1"/>
  <c r="F194" i="1"/>
  <c r="F195" i="1"/>
  <c r="F196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5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81" i="1"/>
  <c r="F276" i="1"/>
  <c r="F277" i="1"/>
  <c r="AY302" i="1"/>
  <c r="AY298" i="1"/>
  <c r="AY299" i="1"/>
  <c r="AY25" i="1"/>
  <c r="AY300" i="1"/>
  <c r="AY301" i="1"/>
  <c r="AX302" i="1"/>
  <c r="AY303" i="1"/>
  <c r="AX298" i="1"/>
  <c r="AX299" i="1"/>
  <c r="AX25" i="1"/>
  <c r="AX300" i="1"/>
  <c r="AX301" i="1"/>
  <c r="AW302" i="1"/>
  <c r="AX303" i="1"/>
  <c r="AW298" i="1"/>
  <c r="AW299" i="1"/>
  <c r="AW25" i="1"/>
  <c r="AW300" i="1"/>
  <c r="AW301" i="1"/>
  <c r="AV302" i="1"/>
  <c r="AW303" i="1"/>
  <c r="AV298" i="1"/>
  <c r="AV299" i="1"/>
  <c r="AV25" i="1"/>
  <c r="AV300" i="1"/>
  <c r="AV301" i="1"/>
  <c r="AU302" i="1"/>
  <c r="AV303" i="1"/>
  <c r="AU298" i="1"/>
  <c r="AU299" i="1"/>
  <c r="AU25" i="1"/>
  <c r="AU300" i="1"/>
  <c r="AU301" i="1"/>
  <c r="AT302" i="1"/>
  <c r="AU303" i="1"/>
  <c r="AT298" i="1"/>
  <c r="AT299" i="1"/>
  <c r="AT25" i="1"/>
  <c r="AT300" i="1"/>
  <c r="AT301" i="1"/>
  <c r="AS302" i="1"/>
  <c r="AT303" i="1"/>
  <c r="AS298" i="1"/>
  <c r="AS299" i="1"/>
  <c r="AS25" i="1"/>
  <c r="AS300" i="1"/>
  <c r="AS301" i="1"/>
  <c r="AR302" i="1"/>
  <c r="AS303" i="1"/>
  <c r="AR298" i="1"/>
  <c r="AR299" i="1"/>
  <c r="AR25" i="1"/>
  <c r="AR300" i="1"/>
  <c r="AR301" i="1"/>
  <c r="AQ302" i="1"/>
  <c r="AR303" i="1"/>
  <c r="AQ298" i="1"/>
  <c r="AQ299" i="1"/>
  <c r="AQ25" i="1"/>
  <c r="AQ300" i="1"/>
  <c r="AQ301" i="1"/>
  <c r="AP302" i="1"/>
  <c r="AQ303" i="1"/>
  <c r="AP298" i="1"/>
  <c r="AP299" i="1"/>
  <c r="AP25" i="1"/>
  <c r="AP300" i="1"/>
  <c r="AP301" i="1"/>
  <c r="AO302" i="1"/>
  <c r="AP303" i="1"/>
  <c r="AO298" i="1"/>
  <c r="AO299" i="1"/>
  <c r="AO25" i="1"/>
  <c r="AO300" i="1"/>
  <c r="AO301" i="1"/>
  <c r="AN302" i="1"/>
  <c r="AO303" i="1"/>
  <c r="AN298" i="1"/>
  <c r="AN299" i="1"/>
  <c r="AN25" i="1"/>
  <c r="AN300" i="1"/>
  <c r="AN301" i="1"/>
  <c r="AM302" i="1"/>
  <c r="AN303" i="1"/>
  <c r="AM298" i="1"/>
  <c r="AM299" i="1"/>
  <c r="AM25" i="1"/>
  <c r="AM300" i="1"/>
  <c r="AM301" i="1"/>
  <c r="AL302" i="1"/>
  <c r="AM303" i="1"/>
  <c r="AL298" i="1"/>
  <c r="AL299" i="1"/>
  <c r="AL25" i="1"/>
  <c r="AL300" i="1"/>
  <c r="AL301" i="1"/>
  <c r="AK302" i="1"/>
  <c r="AL303" i="1"/>
  <c r="AK298" i="1"/>
  <c r="AK299" i="1"/>
  <c r="AK25" i="1"/>
  <c r="AK300" i="1"/>
  <c r="AK301" i="1"/>
  <c r="AJ302" i="1"/>
  <c r="AK303" i="1"/>
  <c r="AJ298" i="1"/>
  <c r="AJ299" i="1"/>
  <c r="AJ25" i="1"/>
  <c r="AJ300" i="1"/>
  <c r="AJ301" i="1"/>
  <c r="AI302" i="1"/>
  <c r="AJ303" i="1"/>
  <c r="AI298" i="1"/>
  <c r="AI299" i="1"/>
  <c r="AI25" i="1"/>
  <c r="AI300" i="1"/>
  <c r="AI301" i="1"/>
  <c r="AH302" i="1"/>
  <c r="AI303" i="1"/>
  <c r="AH298" i="1"/>
  <c r="AH299" i="1"/>
  <c r="AH25" i="1"/>
  <c r="AH300" i="1"/>
  <c r="AH301" i="1"/>
  <c r="AG302" i="1"/>
  <c r="AH303" i="1"/>
  <c r="AG298" i="1"/>
  <c r="AG299" i="1"/>
  <c r="AG25" i="1"/>
  <c r="AG300" i="1"/>
  <c r="AG301" i="1"/>
  <c r="AF302" i="1"/>
  <c r="AG303" i="1"/>
  <c r="AF298" i="1"/>
  <c r="AF299" i="1"/>
  <c r="AF25" i="1"/>
  <c r="AF300" i="1"/>
  <c r="AF301" i="1"/>
  <c r="AE302" i="1"/>
  <c r="AF303" i="1"/>
  <c r="AE298" i="1"/>
  <c r="AE299" i="1"/>
  <c r="AE25" i="1"/>
  <c r="AE300" i="1"/>
  <c r="AE301" i="1"/>
  <c r="AD302" i="1"/>
  <c r="AE303" i="1"/>
  <c r="AD298" i="1"/>
  <c r="AD299" i="1"/>
  <c r="AD25" i="1"/>
  <c r="AD300" i="1"/>
  <c r="AD301" i="1"/>
  <c r="AC302" i="1"/>
  <c r="AD303" i="1"/>
  <c r="AC298" i="1"/>
  <c r="AC299" i="1"/>
  <c r="AC25" i="1"/>
  <c r="AC300" i="1"/>
  <c r="AC301" i="1"/>
  <c r="AB302" i="1"/>
  <c r="AC303" i="1"/>
  <c r="AB298" i="1"/>
  <c r="AB299" i="1"/>
  <c r="AB25" i="1"/>
  <c r="AB300" i="1"/>
  <c r="AB301" i="1"/>
  <c r="AA302" i="1"/>
  <c r="AB303" i="1"/>
  <c r="AA298" i="1"/>
  <c r="AA299" i="1"/>
  <c r="AA25" i="1"/>
  <c r="AA300" i="1"/>
  <c r="AA301" i="1"/>
  <c r="Z302" i="1"/>
  <c r="AA303" i="1"/>
  <c r="Z298" i="1"/>
  <c r="Z299" i="1"/>
  <c r="Z25" i="1"/>
  <c r="Z300" i="1"/>
  <c r="Z301" i="1"/>
  <c r="Y302" i="1"/>
  <c r="Z303" i="1"/>
  <c r="Y298" i="1"/>
  <c r="Y299" i="1"/>
  <c r="Y25" i="1"/>
  <c r="Y300" i="1"/>
  <c r="Y301" i="1"/>
  <c r="X302" i="1"/>
  <c r="Y303" i="1"/>
  <c r="X298" i="1"/>
  <c r="X299" i="1"/>
  <c r="X25" i="1"/>
  <c r="X300" i="1"/>
  <c r="X301" i="1"/>
  <c r="W302" i="1"/>
  <c r="X303" i="1"/>
  <c r="W298" i="1"/>
  <c r="W299" i="1"/>
  <c r="W25" i="1"/>
  <c r="W300" i="1"/>
  <c r="W301" i="1"/>
  <c r="V302" i="1"/>
  <c r="W303" i="1"/>
  <c r="V298" i="1"/>
  <c r="V299" i="1"/>
  <c r="V25" i="1"/>
  <c r="V300" i="1"/>
  <c r="V301" i="1"/>
  <c r="U302" i="1"/>
  <c r="V303" i="1"/>
  <c r="U298" i="1"/>
  <c r="U299" i="1"/>
  <c r="U25" i="1"/>
  <c r="U300" i="1"/>
  <c r="U301" i="1"/>
  <c r="T302" i="1"/>
  <c r="U303" i="1"/>
  <c r="T298" i="1"/>
  <c r="T299" i="1"/>
  <c r="T25" i="1"/>
  <c r="T300" i="1"/>
  <c r="T301" i="1"/>
  <c r="S302" i="1"/>
  <c r="T303" i="1"/>
  <c r="S298" i="1"/>
  <c r="S299" i="1"/>
  <c r="S25" i="1"/>
  <c r="S300" i="1"/>
  <c r="S301" i="1"/>
  <c r="R302" i="1"/>
  <c r="S303" i="1"/>
  <c r="R298" i="1"/>
  <c r="R299" i="1"/>
  <c r="R25" i="1"/>
  <c r="R300" i="1"/>
  <c r="R301" i="1"/>
  <c r="Q302" i="1"/>
  <c r="R303" i="1"/>
  <c r="Q298" i="1"/>
  <c r="Q299" i="1"/>
  <c r="Q25" i="1"/>
  <c r="Q300" i="1"/>
  <c r="Q301" i="1"/>
  <c r="P302" i="1"/>
  <c r="Q303" i="1"/>
  <c r="P298" i="1"/>
  <c r="P299" i="1"/>
  <c r="P25" i="1"/>
  <c r="P300" i="1"/>
  <c r="P301" i="1"/>
  <c r="O302" i="1"/>
  <c r="P303" i="1"/>
  <c r="O298" i="1"/>
  <c r="O299" i="1"/>
  <c r="O25" i="1"/>
  <c r="O300" i="1"/>
  <c r="O301" i="1"/>
  <c r="N302" i="1"/>
  <c r="O303" i="1"/>
  <c r="N298" i="1"/>
  <c r="N299" i="1"/>
  <c r="N25" i="1"/>
  <c r="N300" i="1"/>
  <c r="N301" i="1"/>
  <c r="M302" i="1"/>
  <c r="N303" i="1"/>
  <c r="M298" i="1"/>
  <c r="M299" i="1"/>
  <c r="M25" i="1"/>
  <c r="M300" i="1"/>
  <c r="M301" i="1"/>
  <c r="L302" i="1"/>
  <c r="M303" i="1"/>
  <c r="L298" i="1"/>
  <c r="L299" i="1"/>
  <c r="L25" i="1"/>
  <c r="L300" i="1"/>
  <c r="L301" i="1"/>
  <c r="K302" i="1"/>
  <c r="L303" i="1"/>
  <c r="K298" i="1"/>
  <c r="K299" i="1"/>
  <c r="K25" i="1"/>
  <c r="K300" i="1"/>
  <c r="K301" i="1"/>
  <c r="J302" i="1"/>
  <c r="K303" i="1"/>
  <c r="J298" i="1"/>
  <c r="J299" i="1"/>
  <c r="J25" i="1"/>
  <c r="J300" i="1"/>
  <c r="J301" i="1"/>
  <c r="I302" i="1"/>
  <c r="J303" i="1"/>
  <c r="I298" i="1"/>
  <c r="I299" i="1"/>
  <c r="I25" i="1"/>
  <c r="I300" i="1"/>
  <c r="I301" i="1"/>
  <c r="H302" i="1"/>
  <c r="I303" i="1"/>
  <c r="H298" i="1"/>
  <c r="H299" i="1"/>
  <c r="H25" i="1"/>
  <c r="H300" i="1"/>
  <c r="H301" i="1"/>
  <c r="G302" i="1"/>
  <c r="H303" i="1"/>
  <c r="G298" i="1"/>
  <c r="G299" i="1"/>
  <c r="G25" i="1"/>
  <c r="G300" i="1"/>
  <c r="G301" i="1"/>
  <c r="F302" i="1"/>
  <c r="G303" i="1"/>
  <c r="F298" i="1"/>
  <c r="F299" i="1"/>
  <c r="F25" i="1"/>
  <c r="F300" i="1"/>
  <c r="F301" i="1"/>
  <c r="F303" i="1"/>
  <c r="D16" i="4"/>
  <c r="E9" i="1"/>
  <c r="F357" i="1"/>
  <c r="AY350" i="1"/>
  <c r="AY351" i="1"/>
  <c r="AX350" i="1"/>
  <c r="AX351" i="1"/>
  <c r="AW350" i="1"/>
  <c r="AW351" i="1"/>
  <c r="AV350" i="1"/>
  <c r="AV351" i="1"/>
  <c r="AU350" i="1"/>
  <c r="AU351" i="1"/>
  <c r="AT350" i="1"/>
  <c r="AT351" i="1"/>
  <c r="AS350" i="1"/>
  <c r="AS351" i="1"/>
  <c r="AR350" i="1"/>
  <c r="AR351" i="1"/>
  <c r="AQ350" i="1"/>
  <c r="AQ351" i="1"/>
  <c r="AP350" i="1"/>
  <c r="AP351" i="1"/>
  <c r="AO350" i="1"/>
  <c r="AO351" i="1"/>
  <c r="AN350" i="1"/>
  <c r="AN351" i="1"/>
  <c r="AM350" i="1"/>
  <c r="AM351" i="1"/>
  <c r="AL350" i="1"/>
  <c r="AL351" i="1"/>
  <c r="AK350" i="1"/>
  <c r="AK351" i="1"/>
  <c r="AJ350" i="1"/>
  <c r="AJ351" i="1"/>
  <c r="AI350" i="1"/>
  <c r="AI351" i="1"/>
  <c r="AH350" i="1"/>
  <c r="AH351" i="1"/>
  <c r="AG350" i="1"/>
  <c r="AG351" i="1"/>
  <c r="AF350" i="1"/>
  <c r="AF351" i="1"/>
  <c r="AE350" i="1"/>
  <c r="AE351" i="1"/>
  <c r="AD350" i="1"/>
  <c r="AD351" i="1"/>
  <c r="AC350" i="1"/>
  <c r="AC351" i="1"/>
  <c r="AB350" i="1"/>
  <c r="AB351" i="1"/>
  <c r="AA350" i="1"/>
  <c r="AA351" i="1"/>
  <c r="Z350" i="1"/>
  <c r="Z351" i="1"/>
  <c r="Y350" i="1"/>
  <c r="Y351" i="1"/>
  <c r="X350" i="1"/>
  <c r="X351" i="1"/>
  <c r="W350" i="1"/>
  <c r="W351" i="1"/>
  <c r="V350" i="1"/>
  <c r="V351" i="1"/>
  <c r="U350" i="1"/>
  <c r="U351" i="1"/>
  <c r="T350" i="1"/>
  <c r="T351" i="1"/>
  <c r="S350" i="1"/>
  <c r="S351" i="1"/>
  <c r="R350" i="1"/>
  <c r="R351" i="1"/>
  <c r="Q350" i="1"/>
  <c r="Q351" i="1"/>
  <c r="P350" i="1"/>
  <c r="P351" i="1"/>
  <c r="O350" i="1"/>
  <c r="O351" i="1"/>
  <c r="N350" i="1"/>
  <c r="N351" i="1"/>
  <c r="M350" i="1"/>
  <c r="M351" i="1"/>
  <c r="L350" i="1"/>
  <c r="L351" i="1"/>
  <c r="K350" i="1"/>
  <c r="K351" i="1"/>
  <c r="J350" i="1"/>
  <c r="J351" i="1"/>
  <c r="I350" i="1"/>
  <c r="I351" i="1"/>
  <c r="H350" i="1"/>
  <c r="H351" i="1"/>
  <c r="G350" i="1"/>
  <c r="G351" i="1"/>
  <c r="F350" i="1"/>
  <c r="F351" i="1"/>
  <c r="AY348" i="1"/>
  <c r="AY349" i="1"/>
  <c r="AX348" i="1"/>
  <c r="AX349" i="1"/>
  <c r="AW348" i="1"/>
  <c r="AW349" i="1"/>
  <c r="AV348" i="1"/>
  <c r="AV349" i="1"/>
  <c r="AU348" i="1"/>
  <c r="AU349" i="1"/>
  <c r="AT348" i="1"/>
  <c r="AT349" i="1"/>
  <c r="AS348" i="1"/>
  <c r="AS349" i="1"/>
  <c r="AR348" i="1"/>
  <c r="AR349" i="1"/>
  <c r="AQ348" i="1"/>
  <c r="AQ349" i="1"/>
  <c r="AP348" i="1"/>
  <c r="AP349" i="1"/>
  <c r="AO348" i="1"/>
  <c r="AO349" i="1"/>
  <c r="AN348" i="1"/>
  <c r="AN349" i="1"/>
  <c r="AM348" i="1"/>
  <c r="AM349" i="1"/>
  <c r="AL348" i="1"/>
  <c r="AL349" i="1"/>
  <c r="AK348" i="1"/>
  <c r="AK349" i="1"/>
  <c r="AJ348" i="1"/>
  <c r="AJ349" i="1"/>
  <c r="AI348" i="1"/>
  <c r="AI349" i="1"/>
  <c r="AH348" i="1"/>
  <c r="AH349" i="1"/>
  <c r="AG348" i="1"/>
  <c r="AG349" i="1"/>
  <c r="AF348" i="1"/>
  <c r="AF349" i="1"/>
  <c r="AE348" i="1"/>
  <c r="AE349" i="1"/>
  <c r="AD348" i="1"/>
  <c r="AD349" i="1"/>
  <c r="AC348" i="1"/>
  <c r="AC349" i="1"/>
  <c r="AB348" i="1"/>
  <c r="AB349" i="1"/>
  <c r="AA348" i="1"/>
  <c r="AA349" i="1"/>
  <c r="Z348" i="1"/>
  <c r="Z349" i="1"/>
  <c r="Y348" i="1"/>
  <c r="Y349" i="1"/>
  <c r="X348" i="1"/>
  <c r="X349" i="1"/>
  <c r="W348" i="1"/>
  <c r="W349" i="1"/>
  <c r="V348" i="1"/>
  <c r="V349" i="1"/>
  <c r="U348" i="1"/>
  <c r="U349" i="1"/>
  <c r="T348" i="1"/>
  <c r="T349" i="1"/>
  <c r="S348" i="1"/>
  <c r="S349" i="1"/>
  <c r="R348" i="1"/>
  <c r="R349" i="1"/>
  <c r="Q348" i="1"/>
  <c r="Q349" i="1"/>
  <c r="P348" i="1"/>
  <c r="P349" i="1"/>
  <c r="O348" i="1"/>
  <c r="O349" i="1"/>
  <c r="N348" i="1"/>
  <c r="N349" i="1"/>
  <c r="M348" i="1"/>
  <c r="M349" i="1"/>
  <c r="L348" i="1"/>
  <c r="L349" i="1"/>
  <c r="K348" i="1"/>
  <c r="K349" i="1"/>
  <c r="J348" i="1"/>
  <c r="J349" i="1"/>
  <c r="I348" i="1"/>
  <c r="I349" i="1"/>
  <c r="H348" i="1"/>
  <c r="H349" i="1"/>
  <c r="G348" i="1"/>
  <c r="G349" i="1"/>
  <c r="F348" i="1"/>
  <c r="F349" i="1"/>
  <c r="AY346" i="1"/>
  <c r="AY347" i="1"/>
  <c r="AX346" i="1"/>
  <c r="AX347" i="1"/>
  <c r="AW346" i="1"/>
  <c r="AW347" i="1"/>
  <c r="AV346" i="1"/>
  <c r="AV347" i="1"/>
  <c r="AU346" i="1"/>
  <c r="AU347" i="1"/>
  <c r="AT346" i="1"/>
  <c r="AT347" i="1"/>
  <c r="AS346" i="1"/>
  <c r="AS347" i="1"/>
  <c r="AR346" i="1"/>
  <c r="AR347" i="1"/>
  <c r="AQ346" i="1"/>
  <c r="AQ347" i="1"/>
  <c r="AP346" i="1"/>
  <c r="AP347" i="1"/>
  <c r="AO346" i="1"/>
  <c r="AO347" i="1"/>
  <c r="AN346" i="1"/>
  <c r="AN347" i="1"/>
  <c r="AM346" i="1"/>
  <c r="AM347" i="1"/>
  <c r="AL346" i="1"/>
  <c r="AL347" i="1"/>
  <c r="AK346" i="1"/>
  <c r="AK347" i="1"/>
  <c r="AJ346" i="1"/>
  <c r="AJ347" i="1"/>
  <c r="AI346" i="1"/>
  <c r="AI347" i="1"/>
  <c r="AH346" i="1"/>
  <c r="AH347" i="1"/>
  <c r="AG346" i="1"/>
  <c r="AG347" i="1"/>
  <c r="AF346" i="1"/>
  <c r="AF347" i="1"/>
  <c r="AE346" i="1"/>
  <c r="AE347" i="1"/>
  <c r="AD346" i="1"/>
  <c r="AD347" i="1"/>
  <c r="AC346" i="1"/>
  <c r="AC347" i="1"/>
  <c r="AB346" i="1"/>
  <c r="AB347" i="1"/>
  <c r="AA346" i="1"/>
  <c r="AA347" i="1"/>
  <c r="Z346" i="1"/>
  <c r="Z347" i="1"/>
  <c r="Y346" i="1"/>
  <c r="Y347" i="1"/>
  <c r="X346" i="1"/>
  <c r="X347" i="1"/>
  <c r="W346" i="1"/>
  <c r="W347" i="1"/>
  <c r="V346" i="1"/>
  <c r="V347" i="1"/>
  <c r="U346" i="1"/>
  <c r="U347" i="1"/>
  <c r="T346" i="1"/>
  <c r="T347" i="1"/>
  <c r="S346" i="1"/>
  <c r="S347" i="1"/>
  <c r="R346" i="1"/>
  <c r="R347" i="1"/>
  <c r="Q346" i="1"/>
  <c r="Q347" i="1"/>
  <c r="P346" i="1"/>
  <c r="P347" i="1"/>
  <c r="O346" i="1"/>
  <c r="O347" i="1"/>
  <c r="N346" i="1"/>
  <c r="N347" i="1"/>
  <c r="M346" i="1"/>
  <c r="M347" i="1"/>
  <c r="L346" i="1"/>
  <c r="L347" i="1"/>
  <c r="K346" i="1"/>
  <c r="K347" i="1"/>
  <c r="J346" i="1"/>
  <c r="J347" i="1"/>
  <c r="I346" i="1"/>
  <c r="I347" i="1"/>
  <c r="H346" i="1"/>
  <c r="H347" i="1"/>
  <c r="G346" i="1"/>
  <c r="G347" i="1"/>
  <c r="F346" i="1"/>
  <c r="F347" i="1"/>
  <c r="AY344" i="1"/>
  <c r="AY345" i="1"/>
  <c r="AX344" i="1"/>
  <c r="AX345" i="1"/>
  <c r="AW344" i="1"/>
  <c r="AW345" i="1"/>
  <c r="AV344" i="1"/>
  <c r="AV345" i="1"/>
  <c r="AU344" i="1"/>
  <c r="AU345" i="1"/>
  <c r="AT344" i="1"/>
  <c r="AT345" i="1"/>
  <c r="AS344" i="1"/>
  <c r="AS345" i="1"/>
  <c r="AR344" i="1"/>
  <c r="AR345" i="1"/>
  <c r="AQ344" i="1"/>
  <c r="AQ345" i="1"/>
  <c r="AP344" i="1"/>
  <c r="AP345" i="1"/>
  <c r="AO344" i="1"/>
  <c r="AO345" i="1"/>
  <c r="AN344" i="1"/>
  <c r="AN345" i="1"/>
  <c r="AM344" i="1"/>
  <c r="AM345" i="1"/>
  <c r="AL344" i="1"/>
  <c r="AL345" i="1"/>
  <c r="AK344" i="1"/>
  <c r="AK345" i="1"/>
  <c r="AJ344" i="1"/>
  <c r="AJ345" i="1"/>
  <c r="AI344" i="1"/>
  <c r="AI345" i="1"/>
  <c r="AH344" i="1"/>
  <c r="AH345" i="1"/>
  <c r="AG344" i="1"/>
  <c r="AG345" i="1"/>
  <c r="AF344" i="1"/>
  <c r="AF345" i="1"/>
  <c r="AE344" i="1"/>
  <c r="AE345" i="1"/>
  <c r="AD344" i="1"/>
  <c r="AD345" i="1"/>
  <c r="AC344" i="1"/>
  <c r="AC345" i="1"/>
  <c r="AB344" i="1"/>
  <c r="AB345" i="1"/>
  <c r="AA344" i="1"/>
  <c r="AA345" i="1"/>
  <c r="Z344" i="1"/>
  <c r="Z345" i="1"/>
  <c r="Y344" i="1"/>
  <c r="Y345" i="1"/>
  <c r="X344" i="1"/>
  <c r="X345" i="1"/>
  <c r="W344" i="1"/>
  <c r="W345" i="1"/>
  <c r="V344" i="1"/>
  <c r="V345" i="1"/>
  <c r="U344" i="1"/>
  <c r="U345" i="1"/>
  <c r="T344" i="1"/>
  <c r="T345" i="1"/>
  <c r="S344" i="1"/>
  <c r="S345" i="1"/>
  <c r="R344" i="1"/>
  <c r="R345" i="1"/>
  <c r="Q344" i="1"/>
  <c r="Q345" i="1"/>
  <c r="P344" i="1"/>
  <c r="P345" i="1"/>
  <c r="O344" i="1"/>
  <c r="O345" i="1"/>
  <c r="N344" i="1"/>
  <c r="N345" i="1"/>
  <c r="M344" i="1"/>
  <c r="M345" i="1"/>
  <c r="L344" i="1"/>
  <c r="L345" i="1"/>
  <c r="K344" i="1"/>
  <c r="K345" i="1"/>
  <c r="J344" i="1"/>
  <c r="J345" i="1"/>
  <c r="I344" i="1"/>
  <c r="I345" i="1"/>
  <c r="H344" i="1"/>
  <c r="H345" i="1"/>
  <c r="G344" i="1"/>
  <c r="G345" i="1"/>
  <c r="F344" i="1"/>
  <c r="F345" i="1"/>
  <c r="AY342" i="1"/>
  <c r="AY343" i="1"/>
  <c r="AX342" i="1"/>
  <c r="AX343" i="1"/>
  <c r="AW342" i="1"/>
  <c r="AW343" i="1"/>
  <c r="AV342" i="1"/>
  <c r="AV343" i="1"/>
  <c r="AU342" i="1"/>
  <c r="AU343" i="1"/>
  <c r="AT342" i="1"/>
  <c r="AT343" i="1"/>
  <c r="AS342" i="1"/>
  <c r="AS343" i="1"/>
  <c r="AR342" i="1"/>
  <c r="AR343" i="1"/>
  <c r="AQ342" i="1"/>
  <c r="AQ343" i="1"/>
  <c r="AP342" i="1"/>
  <c r="AP343" i="1"/>
  <c r="AO342" i="1"/>
  <c r="AO343" i="1"/>
  <c r="AN342" i="1"/>
  <c r="AN343" i="1"/>
  <c r="AM342" i="1"/>
  <c r="AM343" i="1"/>
  <c r="AL342" i="1"/>
  <c r="AL343" i="1"/>
  <c r="AK342" i="1"/>
  <c r="AK343" i="1"/>
  <c r="AJ342" i="1"/>
  <c r="AJ343" i="1"/>
  <c r="AI342" i="1"/>
  <c r="AI343" i="1"/>
  <c r="AH342" i="1"/>
  <c r="AH343" i="1"/>
  <c r="AG342" i="1"/>
  <c r="AG343" i="1"/>
  <c r="AF342" i="1"/>
  <c r="AF343" i="1"/>
  <c r="AE342" i="1"/>
  <c r="AE343" i="1"/>
  <c r="AD342" i="1"/>
  <c r="AD343" i="1"/>
  <c r="AC342" i="1"/>
  <c r="AC343" i="1"/>
  <c r="AB342" i="1"/>
  <c r="AB343" i="1"/>
  <c r="AA342" i="1"/>
  <c r="AA343" i="1"/>
  <c r="Z342" i="1"/>
  <c r="Z343" i="1"/>
  <c r="Y342" i="1"/>
  <c r="Y343" i="1"/>
  <c r="X342" i="1"/>
  <c r="X343" i="1"/>
  <c r="W342" i="1"/>
  <c r="W343" i="1"/>
  <c r="V342" i="1"/>
  <c r="V343" i="1"/>
  <c r="U342" i="1"/>
  <c r="U343" i="1"/>
  <c r="T342" i="1"/>
  <c r="T343" i="1"/>
  <c r="S342" i="1"/>
  <c r="S343" i="1"/>
  <c r="R342" i="1"/>
  <c r="R343" i="1"/>
  <c r="Q342" i="1"/>
  <c r="Q343" i="1"/>
  <c r="P342" i="1"/>
  <c r="P343" i="1"/>
  <c r="O342" i="1"/>
  <c r="O343" i="1"/>
  <c r="N342" i="1"/>
  <c r="N343" i="1"/>
  <c r="M342" i="1"/>
  <c r="M343" i="1"/>
  <c r="L342" i="1"/>
  <c r="L343" i="1"/>
  <c r="K342" i="1"/>
  <c r="K343" i="1"/>
  <c r="J342" i="1"/>
  <c r="J343" i="1"/>
  <c r="I342" i="1"/>
  <c r="I343" i="1"/>
  <c r="H342" i="1"/>
  <c r="H343" i="1"/>
  <c r="G342" i="1"/>
  <c r="G343" i="1"/>
  <c r="F342" i="1"/>
  <c r="F343" i="1"/>
  <c r="AY340" i="1"/>
  <c r="AY341" i="1"/>
  <c r="AX340" i="1"/>
  <c r="AX341" i="1"/>
  <c r="AW340" i="1"/>
  <c r="AW341" i="1"/>
  <c r="AV340" i="1"/>
  <c r="AV341" i="1"/>
  <c r="AU340" i="1"/>
  <c r="AU341" i="1"/>
  <c r="AT340" i="1"/>
  <c r="AT341" i="1"/>
  <c r="AS340" i="1"/>
  <c r="AS341" i="1"/>
  <c r="AR340" i="1"/>
  <c r="AR341" i="1"/>
  <c r="AQ340" i="1"/>
  <c r="AQ341" i="1"/>
  <c r="AP340" i="1"/>
  <c r="AP341" i="1"/>
  <c r="AO340" i="1"/>
  <c r="AO341" i="1"/>
  <c r="AN340" i="1"/>
  <c r="AN341" i="1"/>
  <c r="AM340" i="1"/>
  <c r="AM341" i="1"/>
  <c r="AL340" i="1"/>
  <c r="AL341" i="1"/>
  <c r="AK340" i="1"/>
  <c r="AK341" i="1"/>
  <c r="AJ340" i="1"/>
  <c r="AJ341" i="1"/>
  <c r="AI340" i="1"/>
  <c r="AI341" i="1"/>
  <c r="AH340" i="1"/>
  <c r="AH341" i="1"/>
  <c r="AG340" i="1"/>
  <c r="AG341" i="1"/>
  <c r="AF340" i="1"/>
  <c r="AF341" i="1"/>
  <c r="AE340" i="1"/>
  <c r="AE341" i="1"/>
  <c r="AD340" i="1"/>
  <c r="AD341" i="1"/>
  <c r="AC340" i="1"/>
  <c r="AC341" i="1"/>
  <c r="AB340" i="1"/>
  <c r="AB341" i="1"/>
  <c r="AA340" i="1"/>
  <c r="AA341" i="1"/>
  <c r="Z340" i="1"/>
  <c r="Z341" i="1"/>
  <c r="Y340" i="1"/>
  <c r="Y341" i="1"/>
  <c r="X340" i="1"/>
  <c r="X341" i="1"/>
  <c r="W340" i="1"/>
  <c r="W341" i="1"/>
  <c r="V340" i="1"/>
  <c r="V341" i="1"/>
  <c r="U340" i="1"/>
  <c r="U341" i="1"/>
  <c r="T340" i="1"/>
  <c r="T341" i="1"/>
  <c r="S340" i="1"/>
  <c r="S341" i="1"/>
  <c r="R340" i="1"/>
  <c r="R341" i="1"/>
  <c r="Q340" i="1"/>
  <c r="Q341" i="1"/>
  <c r="P340" i="1"/>
  <c r="P341" i="1"/>
  <c r="O340" i="1"/>
  <c r="O341" i="1"/>
  <c r="N340" i="1"/>
  <c r="N341" i="1"/>
  <c r="M340" i="1"/>
  <c r="M341" i="1"/>
  <c r="L340" i="1"/>
  <c r="L341" i="1"/>
  <c r="K340" i="1"/>
  <c r="K341" i="1"/>
  <c r="J340" i="1"/>
  <c r="J341" i="1"/>
  <c r="I340" i="1"/>
  <c r="I341" i="1"/>
  <c r="H340" i="1"/>
  <c r="H341" i="1"/>
  <c r="G340" i="1"/>
  <c r="G341" i="1"/>
  <c r="F340" i="1"/>
  <c r="F341" i="1"/>
  <c r="G322" i="1"/>
  <c r="G323" i="1"/>
  <c r="G324" i="1"/>
  <c r="H322" i="1"/>
  <c r="H323" i="1"/>
  <c r="H324" i="1"/>
  <c r="I322" i="1"/>
  <c r="I323" i="1"/>
  <c r="I324" i="1"/>
  <c r="J322" i="1"/>
  <c r="J323" i="1"/>
  <c r="J324" i="1"/>
  <c r="K322" i="1"/>
  <c r="K323" i="1"/>
  <c r="K324" i="1"/>
  <c r="L322" i="1"/>
  <c r="L323" i="1"/>
  <c r="L324" i="1"/>
  <c r="M322" i="1"/>
  <c r="M323" i="1"/>
  <c r="M324" i="1"/>
  <c r="N322" i="1"/>
  <c r="N323" i="1"/>
  <c r="N324" i="1"/>
  <c r="O322" i="1"/>
  <c r="O323" i="1"/>
  <c r="O324" i="1"/>
  <c r="P322" i="1"/>
  <c r="P323" i="1"/>
  <c r="P324" i="1"/>
  <c r="Q322" i="1"/>
  <c r="Q323" i="1"/>
  <c r="Q324" i="1"/>
  <c r="R322" i="1"/>
  <c r="R323" i="1"/>
  <c r="R324" i="1"/>
  <c r="S322" i="1"/>
  <c r="S323" i="1"/>
  <c r="S324" i="1"/>
  <c r="T322" i="1"/>
  <c r="T323" i="1"/>
  <c r="T324" i="1"/>
  <c r="U322" i="1"/>
  <c r="U323" i="1"/>
  <c r="U324" i="1"/>
  <c r="V322" i="1"/>
  <c r="V323" i="1"/>
  <c r="V324" i="1"/>
  <c r="W322" i="1"/>
  <c r="W323" i="1"/>
  <c r="W324" i="1"/>
  <c r="X322" i="1"/>
  <c r="X323" i="1"/>
  <c r="X324" i="1"/>
  <c r="Y322" i="1"/>
  <c r="Y323" i="1"/>
  <c r="Y324" i="1"/>
  <c r="Z322" i="1"/>
  <c r="Z323" i="1"/>
  <c r="Z324" i="1"/>
  <c r="AA322" i="1"/>
  <c r="AA323" i="1"/>
  <c r="AA324" i="1"/>
  <c r="AB322" i="1"/>
  <c r="AB323" i="1"/>
  <c r="AB324" i="1"/>
  <c r="AC322" i="1"/>
  <c r="AC323" i="1"/>
  <c r="AC324" i="1"/>
  <c r="AD322" i="1"/>
  <c r="AD323" i="1"/>
  <c r="AD324" i="1"/>
  <c r="AE322" i="1"/>
  <c r="AE323" i="1"/>
  <c r="AE324" i="1"/>
  <c r="AF322" i="1"/>
  <c r="AF323" i="1"/>
  <c r="AF324" i="1"/>
  <c r="AG322" i="1"/>
  <c r="AG323" i="1"/>
  <c r="AG324" i="1"/>
  <c r="AH322" i="1"/>
  <c r="AH323" i="1"/>
  <c r="AH324" i="1"/>
  <c r="AI322" i="1"/>
  <c r="AI323" i="1"/>
  <c r="AI324" i="1"/>
  <c r="AJ322" i="1"/>
  <c r="AJ323" i="1"/>
  <c r="AJ324" i="1"/>
  <c r="AK322" i="1"/>
  <c r="AK323" i="1"/>
  <c r="AK324" i="1"/>
  <c r="AL322" i="1"/>
  <c r="AL323" i="1"/>
  <c r="AL324" i="1"/>
  <c r="AM322" i="1"/>
  <c r="AM323" i="1"/>
  <c r="AM324" i="1"/>
  <c r="AN322" i="1"/>
  <c r="AN323" i="1"/>
  <c r="AN324" i="1"/>
  <c r="AO322" i="1"/>
  <c r="AO323" i="1"/>
  <c r="AO324" i="1"/>
  <c r="AP322" i="1"/>
  <c r="AP323" i="1"/>
  <c r="AP324" i="1"/>
  <c r="AQ322" i="1"/>
  <c r="AQ323" i="1"/>
  <c r="AQ324" i="1"/>
  <c r="AR322" i="1"/>
  <c r="AR323" i="1"/>
  <c r="AR324" i="1"/>
  <c r="AS322" i="1"/>
  <c r="AS323" i="1"/>
  <c r="AS324" i="1"/>
  <c r="AT322" i="1"/>
  <c r="AT323" i="1"/>
  <c r="AT324" i="1"/>
  <c r="AU322" i="1"/>
  <c r="AU323" i="1"/>
  <c r="AU324" i="1"/>
  <c r="AV322" i="1"/>
  <c r="AV323" i="1"/>
  <c r="AV324" i="1"/>
  <c r="AW322" i="1"/>
  <c r="AW323" i="1"/>
  <c r="AW324" i="1"/>
  <c r="AX322" i="1"/>
  <c r="AX323" i="1"/>
  <c r="AX324" i="1"/>
  <c r="AY322" i="1"/>
  <c r="AY323" i="1"/>
  <c r="AY324" i="1"/>
  <c r="G325" i="1"/>
  <c r="H325" i="1"/>
  <c r="I325" i="1"/>
  <c r="J325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AQ325" i="1"/>
  <c r="AR325" i="1"/>
  <c r="AS325" i="1"/>
  <c r="AT325" i="1"/>
  <c r="AU325" i="1"/>
  <c r="AV325" i="1"/>
  <c r="AW325" i="1"/>
  <c r="AX325" i="1"/>
  <c r="AY325" i="1"/>
  <c r="G326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AQ326" i="1"/>
  <c r="AR326" i="1"/>
  <c r="AS326" i="1"/>
  <c r="AT326" i="1"/>
  <c r="AU326" i="1"/>
  <c r="AV326" i="1"/>
  <c r="AW326" i="1"/>
  <c r="AX326" i="1"/>
  <c r="AY326" i="1"/>
  <c r="G327" i="1"/>
  <c r="H327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W327" i="1"/>
  <c r="AX327" i="1"/>
  <c r="AY327" i="1"/>
  <c r="F322" i="1"/>
  <c r="F323" i="1"/>
  <c r="F324" i="1"/>
  <c r="F325" i="1"/>
  <c r="F326" i="1"/>
  <c r="F327" i="1"/>
  <c r="G320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W320" i="1"/>
  <c r="AX320" i="1"/>
  <c r="AY320" i="1"/>
  <c r="F320" i="1"/>
  <c r="F306" i="1"/>
  <c r="L310" i="1"/>
  <c r="F308" i="1"/>
  <c r="G308" i="1"/>
  <c r="H308" i="1"/>
  <c r="I308" i="1"/>
  <c r="J308" i="1"/>
  <c r="K308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AQ308" i="1"/>
  <c r="AR308" i="1"/>
  <c r="AS308" i="1"/>
  <c r="AT308" i="1"/>
  <c r="AU308" i="1"/>
  <c r="AV308" i="1"/>
  <c r="AW308" i="1"/>
  <c r="AX308" i="1"/>
  <c r="AY308" i="1"/>
  <c r="F309" i="1"/>
  <c r="G309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W309" i="1"/>
  <c r="AX309" i="1"/>
  <c r="AY309" i="1"/>
  <c r="F310" i="1"/>
  <c r="G310" i="1"/>
  <c r="H310" i="1"/>
  <c r="I310" i="1"/>
  <c r="J310" i="1"/>
  <c r="K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AQ310" i="1"/>
  <c r="AR310" i="1"/>
  <c r="AS310" i="1"/>
  <c r="AT310" i="1"/>
  <c r="AU310" i="1"/>
  <c r="AV310" i="1"/>
  <c r="AW310" i="1"/>
  <c r="AX310" i="1"/>
  <c r="AY310" i="1"/>
  <c r="F311" i="1"/>
  <c r="G311" i="1"/>
  <c r="H311" i="1"/>
  <c r="I311" i="1"/>
  <c r="J311" i="1"/>
  <c r="K311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AQ311" i="1"/>
  <c r="AR311" i="1"/>
  <c r="AS311" i="1"/>
  <c r="AT311" i="1"/>
  <c r="AU311" i="1"/>
  <c r="AV311" i="1"/>
  <c r="AW311" i="1"/>
  <c r="AX311" i="1"/>
  <c r="AY311" i="1"/>
  <c r="F312" i="1"/>
  <c r="G312" i="1"/>
  <c r="H312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W312" i="1"/>
  <c r="AX312" i="1"/>
  <c r="AY312" i="1"/>
  <c r="F313" i="1"/>
  <c r="G313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AQ313" i="1"/>
  <c r="AR313" i="1"/>
  <c r="AS313" i="1"/>
  <c r="AT313" i="1"/>
  <c r="AU313" i="1"/>
  <c r="AV313" i="1"/>
  <c r="AW313" i="1"/>
  <c r="AX313" i="1"/>
  <c r="AY313" i="1"/>
  <c r="F314" i="1"/>
  <c r="G314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AQ314" i="1"/>
  <c r="AR314" i="1"/>
  <c r="AS314" i="1"/>
  <c r="AT314" i="1"/>
  <c r="AU314" i="1"/>
  <c r="AV314" i="1"/>
  <c r="AW314" i="1"/>
  <c r="AX314" i="1"/>
  <c r="AY314" i="1"/>
  <c r="F315" i="1"/>
  <c r="G315" i="1"/>
  <c r="H315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W315" i="1"/>
  <c r="AX315" i="1"/>
  <c r="AY315" i="1"/>
  <c r="F316" i="1"/>
  <c r="G316" i="1"/>
  <c r="H316" i="1"/>
  <c r="I316" i="1"/>
  <c r="J316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AQ316" i="1"/>
  <c r="AR316" i="1"/>
  <c r="AS316" i="1"/>
  <c r="AT316" i="1"/>
  <c r="AU316" i="1"/>
  <c r="AV316" i="1"/>
  <c r="AW316" i="1"/>
  <c r="AX316" i="1"/>
  <c r="AY316" i="1"/>
  <c r="G307" i="1"/>
  <c r="H307" i="1"/>
  <c r="I307" i="1"/>
  <c r="J307" i="1"/>
  <c r="K307" i="1"/>
  <c r="L307" i="1"/>
  <c r="M307" i="1"/>
  <c r="N307" i="1"/>
  <c r="O307" i="1"/>
  <c r="P307" i="1"/>
  <c r="Q307" i="1"/>
  <c r="R307" i="1"/>
  <c r="S307" i="1"/>
  <c r="T307" i="1"/>
  <c r="U307" i="1"/>
  <c r="V307" i="1"/>
  <c r="W307" i="1"/>
  <c r="X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AQ307" i="1"/>
  <c r="AR307" i="1"/>
  <c r="AS307" i="1"/>
  <c r="AT307" i="1"/>
  <c r="AU307" i="1"/>
  <c r="AV307" i="1"/>
  <c r="AW307" i="1"/>
  <c r="AX307" i="1"/>
  <c r="AY307" i="1"/>
  <c r="F307" i="1"/>
  <c r="H278" i="1"/>
  <c r="H279" i="1"/>
  <c r="H28" i="1"/>
  <c r="H30" i="1"/>
  <c r="H31" i="1"/>
  <c r="H34" i="1"/>
  <c r="H45" i="1"/>
  <c r="H83" i="1"/>
  <c r="H59" i="1"/>
  <c r="H57" i="1"/>
  <c r="H55" i="1"/>
  <c r="H53" i="1"/>
  <c r="H51" i="1"/>
  <c r="H48" i="1"/>
  <c r="H84" i="1"/>
  <c r="H87" i="1"/>
  <c r="H92" i="1"/>
  <c r="H95" i="1"/>
  <c r="H98" i="1"/>
  <c r="H101" i="1"/>
  <c r="H102" i="1"/>
  <c r="H114" i="1"/>
  <c r="H115" i="1"/>
  <c r="H116" i="1"/>
  <c r="H117" i="1"/>
  <c r="H108" i="1"/>
  <c r="H109" i="1"/>
  <c r="H110" i="1"/>
  <c r="H111" i="1"/>
  <c r="H112" i="1"/>
  <c r="H113" i="1"/>
  <c r="H118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33" i="1"/>
  <c r="H134" i="1"/>
  <c r="H135" i="1"/>
  <c r="H136" i="1"/>
  <c r="H137" i="1"/>
  <c r="H138" i="1"/>
  <c r="H139" i="1"/>
  <c r="H140" i="1"/>
  <c r="H141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90" i="1"/>
  <c r="H191" i="1"/>
  <c r="H192" i="1"/>
  <c r="H193" i="1"/>
  <c r="H194" i="1"/>
  <c r="H195" i="1"/>
  <c r="H196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5" i="1"/>
  <c r="H228" i="1"/>
  <c r="H227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81" i="1"/>
  <c r="J278" i="1"/>
  <c r="J279" i="1"/>
  <c r="J28" i="1"/>
  <c r="J30" i="1"/>
  <c r="J31" i="1"/>
  <c r="J34" i="1"/>
  <c r="J45" i="1"/>
  <c r="J83" i="1"/>
  <c r="J59" i="1"/>
  <c r="J57" i="1"/>
  <c r="J55" i="1"/>
  <c r="J53" i="1"/>
  <c r="J51" i="1"/>
  <c r="J48" i="1"/>
  <c r="J84" i="1"/>
  <c r="J87" i="1"/>
  <c r="J92" i="1"/>
  <c r="J95" i="1"/>
  <c r="J98" i="1"/>
  <c r="J101" i="1"/>
  <c r="J102" i="1"/>
  <c r="J114" i="1"/>
  <c r="J115" i="1"/>
  <c r="J116" i="1"/>
  <c r="J117" i="1"/>
  <c r="J108" i="1"/>
  <c r="J109" i="1"/>
  <c r="J110" i="1"/>
  <c r="J111" i="1"/>
  <c r="J112" i="1"/>
  <c r="J113" i="1"/>
  <c r="J118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33" i="1"/>
  <c r="J134" i="1"/>
  <c r="J135" i="1"/>
  <c r="J136" i="1"/>
  <c r="J137" i="1"/>
  <c r="J138" i="1"/>
  <c r="J139" i="1"/>
  <c r="J140" i="1"/>
  <c r="J141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90" i="1"/>
  <c r="J191" i="1"/>
  <c r="J192" i="1"/>
  <c r="J193" i="1"/>
  <c r="J194" i="1"/>
  <c r="J195" i="1"/>
  <c r="J196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5" i="1"/>
  <c r="J228" i="1"/>
  <c r="J227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81" i="1"/>
  <c r="K228" i="1"/>
  <c r="K227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366" i="1"/>
  <c r="I150" i="1"/>
  <c r="AY357" i="1"/>
  <c r="AX357" i="1"/>
  <c r="AW357" i="1"/>
  <c r="AV357" i="1"/>
  <c r="AU357" i="1"/>
  <c r="AT357" i="1"/>
  <c r="AS357" i="1"/>
  <c r="AR357" i="1"/>
  <c r="AQ357" i="1"/>
  <c r="AP357" i="1"/>
  <c r="AO357" i="1"/>
  <c r="AN357" i="1"/>
  <c r="AM357" i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P357" i="1"/>
  <c r="O357" i="1"/>
  <c r="N357" i="1"/>
  <c r="M357" i="1"/>
  <c r="L357" i="1"/>
  <c r="K357" i="1"/>
  <c r="J357" i="1"/>
  <c r="I357" i="1"/>
  <c r="H357" i="1"/>
  <c r="G357" i="1"/>
  <c r="AY355" i="1"/>
  <c r="AX355" i="1"/>
  <c r="AW355" i="1"/>
  <c r="AV355" i="1"/>
  <c r="AU355" i="1"/>
  <c r="AT355" i="1"/>
  <c r="AS355" i="1"/>
  <c r="AR355" i="1"/>
  <c r="AQ355" i="1"/>
  <c r="AP355" i="1"/>
  <c r="AO355" i="1"/>
  <c r="AN355" i="1"/>
  <c r="AM355" i="1"/>
  <c r="AL355" i="1"/>
  <c r="AK355" i="1"/>
  <c r="AJ355" i="1"/>
  <c r="AI355" i="1"/>
  <c r="AH355" i="1"/>
  <c r="AG355" i="1"/>
  <c r="AF355" i="1"/>
  <c r="AE355" i="1"/>
  <c r="AD355" i="1"/>
  <c r="AC355" i="1"/>
  <c r="AB355" i="1"/>
  <c r="AA355" i="1"/>
  <c r="Z355" i="1"/>
  <c r="Y355" i="1"/>
  <c r="X355" i="1"/>
  <c r="W355" i="1"/>
  <c r="V355" i="1"/>
  <c r="U355" i="1"/>
  <c r="T355" i="1"/>
  <c r="S355" i="1"/>
  <c r="R355" i="1"/>
  <c r="Q355" i="1"/>
  <c r="P355" i="1"/>
  <c r="O355" i="1"/>
  <c r="N355" i="1"/>
  <c r="M355" i="1"/>
  <c r="L355" i="1"/>
  <c r="K355" i="1"/>
  <c r="J355" i="1"/>
  <c r="I355" i="1"/>
  <c r="H355" i="1"/>
  <c r="G355" i="1"/>
  <c r="F355" i="1"/>
  <c r="AY353" i="1"/>
  <c r="AX353" i="1"/>
  <c r="AW353" i="1"/>
  <c r="AV353" i="1"/>
  <c r="AU353" i="1"/>
  <c r="AT353" i="1"/>
  <c r="AS353" i="1"/>
  <c r="AR353" i="1"/>
  <c r="AQ353" i="1"/>
  <c r="AP353" i="1"/>
  <c r="AO353" i="1"/>
  <c r="AN353" i="1"/>
  <c r="AM353" i="1"/>
  <c r="AL353" i="1"/>
  <c r="AK353" i="1"/>
  <c r="AJ353" i="1"/>
  <c r="AI353" i="1"/>
  <c r="AH353" i="1"/>
  <c r="AG353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Q353" i="1"/>
  <c r="P353" i="1"/>
  <c r="O353" i="1"/>
  <c r="N353" i="1"/>
  <c r="M353" i="1"/>
  <c r="L353" i="1"/>
  <c r="K353" i="1"/>
  <c r="J353" i="1"/>
  <c r="I353" i="1"/>
  <c r="H353" i="1"/>
  <c r="G353" i="1"/>
  <c r="F353" i="1"/>
  <c r="AY338" i="1"/>
  <c r="AX338" i="1"/>
  <c r="AW338" i="1"/>
  <c r="AV338" i="1"/>
  <c r="AU338" i="1"/>
  <c r="AT338" i="1"/>
  <c r="AS338" i="1"/>
  <c r="AR338" i="1"/>
  <c r="AQ338" i="1"/>
  <c r="AP338" i="1"/>
  <c r="AO338" i="1"/>
  <c r="AN338" i="1"/>
  <c r="AM338" i="1"/>
  <c r="AL338" i="1"/>
  <c r="AK338" i="1"/>
  <c r="AJ338" i="1"/>
  <c r="AI338" i="1"/>
  <c r="AH338" i="1"/>
  <c r="AG338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P338" i="1"/>
  <c r="O338" i="1"/>
  <c r="N338" i="1"/>
  <c r="M338" i="1"/>
  <c r="L338" i="1"/>
  <c r="K338" i="1"/>
  <c r="J338" i="1"/>
  <c r="I338" i="1"/>
  <c r="H338" i="1"/>
  <c r="G338" i="1"/>
  <c r="F338" i="1"/>
  <c r="AY336" i="1"/>
  <c r="AX336" i="1"/>
  <c r="AW336" i="1"/>
  <c r="AV336" i="1"/>
  <c r="AU336" i="1"/>
  <c r="AT336" i="1"/>
  <c r="AS336" i="1"/>
  <c r="AR336" i="1"/>
  <c r="AQ336" i="1"/>
  <c r="AP336" i="1"/>
  <c r="AO336" i="1"/>
  <c r="AN336" i="1"/>
  <c r="AM336" i="1"/>
  <c r="AL336" i="1"/>
  <c r="AK336" i="1"/>
  <c r="AJ336" i="1"/>
  <c r="AI336" i="1"/>
  <c r="AH336" i="1"/>
  <c r="AG336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P336" i="1"/>
  <c r="O336" i="1"/>
  <c r="N336" i="1"/>
  <c r="M336" i="1"/>
  <c r="L336" i="1"/>
  <c r="K336" i="1"/>
  <c r="J336" i="1"/>
  <c r="I336" i="1"/>
  <c r="H336" i="1"/>
  <c r="G336" i="1"/>
  <c r="F336" i="1"/>
  <c r="AY334" i="1"/>
  <c r="AX334" i="1"/>
  <c r="AW334" i="1"/>
  <c r="AV334" i="1"/>
  <c r="AU334" i="1"/>
  <c r="AT334" i="1"/>
  <c r="AS334" i="1"/>
  <c r="AR334" i="1"/>
  <c r="AQ334" i="1"/>
  <c r="AP334" i="1"/>
  <c r="AO334" i="1"/>
  <c r="AN334" i="1"/>
  <c r="AM334" i="1"/>
  <c r="AL334" i="1"/>
  <c r="AK334" i="1"/>
  <c r="AJ334" i="1"/>
  <c r="AI334" i="1"/>
  <c r="AH334" i="1"/>
  <c r="AG334" i="1"/>
  <c r="AF334" i="1"/>
  <c r="AE334" i="1"/>
  <c r="AD334" i="1"/>
  <c r="AC334" i="1"/>
  <c r="AB334" i="1"/>
  <c r="AA334" i="1"/>
  <c r="Z334" i="1"/>
  <c r="Y334" i="1"/>
  <c r="X334" i="1"/>
  <c r="W334" i="1"/>
  <c r="V334" i="1"/>
  <c r="U334" i="1"/>
  <c r="T334" i="1"/>
  <c r="S334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F334" i="1"/>
  <c r="AY332" i="1"/>
  <c r="AX332" i="1"/>
  <c r="AW332" i="1"/>
  <c r="AV332" i="1"/>
  <c r="AU332" i="1"/>
  <c r="AT332" i="1"/>
  <c r="AS332" i="1"/>
  <c r="AR332" i="1"/>
  <c r="AQ332" i="1"/>
  <c r="AP332" i="1"/>
  <c r="AO332" i="1"/>
  <c r="AN332" i="1"/>
  <c r="AM332" i="1"/>
  <c r="AL332" i="1"/>
  <c r="AK332" i="1"/>
  <c r="AJ332" i="1"/>
  <c r="AI332" i="1"/>
  <c r="AH332" i="1"/>
  <c r="AG332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P332" i="1"/>
  <c r="O332" i="1"/>
  <c r="N332" i="1"/>
  <c r="M332" i="1"/>
  <c r="L332" i="1"/>
  <c r="K332" i="1"/>
  <c r="J332" i="1"/>
  <c r="I332" i="1"/>
  <c r="H332" i="1"/>
  <c r="G332" i="1"/>
  <c r="F332" i="1"/>
  <c r="AY329" i="1"/>
  <c r="AX329" i="1"/>
  <c r="AW329" i="1"/>
  <c r="AV329" i="1"/>
  <c r="AU329" i="1"/>
  <c r="AT329" i="1"/>
  <c r="AS329" i="1"/>
  <c r="AR329" i="1"/>
  <c r="AQ329" i="1"/>
  <c r="AP329" i="1"/>
  <c r="AO329" i="1"/>
  <c r="AN329" i="1"/>
  <c r="AM329" i="1"/>
  <c r="AL329" i="1"/>
  <c r="AK329" i="1"/>
  <c r="AJ329" i="1"/>
  <c r="AI329" i="1"/>
  <c r="AH329" i="1"/>
  <c r="AG329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P329" i="1"/>
  <c r="O329" i="1"/>
  <c r="N329" i="1"/>
  <c r="M329" i="1"/>
  <c r="L329" i="1"/>
  <c r="K329" i="1"/>
  <c r="J329" i="1"/>
  <c r="I329" i="1"/>
  <c r="H329" i="1"/>
  <c r="G329" i="1"/>
  <c r="F329" i="1"/>
  <c r="AY319" i="1"/>
  <c r="AX319" i="1"/>
  <c r="AW319" i="1"/>
  <c r="AV319" i="1"/>
  <c r="AU319" i="1"/>
  <c r="AT319" i="1"/>
  <c r="AS319" i="1"/>
  <c r="AR319" i="1"/>
  <c r="AQ319" i="1"/>
  <c r="AP319" i="1"/>
  <c r="AO319" i="1"/>
  <c r="AN319" i="1"/>
  <c r="AM319" i="1"/>
  <c r="AL319" i="1"/>
  <c r="AK319" i="1"/>
  <c r="AJ319" i="1"/>
  <c r="AI319" i="1"/>
  <c r="AH319" i="1"/>
  <c r="AG319" i="1"/>
  <c r="AF319" i="1"/>
  <c r="AE319" i="1"/>
  <c r="AD319" i="1"/>
  <c r="AC319" i="1"/>
  <c r="AB319" i="1"/>
  <c r="AA319" i="1"/>
  <c r="Z319" i="1"/>
  <c r="Y319" i="1"/>
  <c r="X319" i="1"/>
  <c r="W319" i="1"/>
  <c r="V319" i="1"/>
  <c r="U319" i="1"/>
  <c r="T319" i="1"/>
  <c r="S319" i="1"/>
  <c r="R319" i="1"/>
  <c r="Q319" i="1"/>
  <c r="P319" i="1"/>
  <c r="O319" i="1"/>
  <c r="N319" i="1"/>
  <c r="M319" i="1"/>
  <c r="L319" i="1"/>
  <c r="K319" i="1"/>
  <c r="J319" i="1"/>
  <c r="I319" i="1"/>
  <c r="H319" i="1"/>
  <c r="G319" i="1"/>
  <c r="F319" i="1"/>
  <c r="AY318" i="1"/>
  <c r="AX318" i="1"/>
  <c r="AW318" i="1"/>
  <c r="AV318" i="1"/>
  <c r="AU318" i="1"/>
  <c r="AT318" i="1"/>
  <c r="AS318" i="1"/>
  <c r="AR318" i="1"/>
  <c r="AQ318" i="1"/>
  <c r="AP318" i="1"/>
  <c r="AO318" i="1"/>
  <c r="AN318" i="1"/>
  <c r="AM318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P318" i="1"/>
  <c r="O318" i="1"/>
  <c r="N318" i="1"/>
  <c r="M318" i="1"/>
  <c r="L318" i="1"/>
  <c r="K318" i="1"/>
  <c r="J318" i="1"/>
  <c r="I318" i="1"/>
  <c r="H318" i="1"/>
  <c r="G318" i="1"/>
  <c r="F318" i="1"/>
  <c r="AY306" i="1"/>
  <c r="AX306" i="1"/>
  <c r="AW306" i="1"/>
  <c r="AV306" i="1"/>
  <c r="AU306" i="1"/>
  <c r="AT306" i="1"/>
  <c r="AS306" i="1"/>
  <c r="AR306" i="1"/>
  <c r="AQ306" i="1"/>
  <c r="AP306" i="1"/>
  <c r="AO306" i="1"/>
  <c r="AN306" i="1"/>
  <c r="AM306" i="1"/>
  <c r="AL306" i="1"/>
  <c r="AK306" i="1"/>
  <c r="AJ306" i="1"/>
  <c r="AI306" i="1"/>
  <c r="AH306" i="1"/>
  <c r="AG306" i="1"/>
  <c r="AF306" i="1"/>
  <c r="AE306" i="1"/>
  <c r="AD306" i="1"/>
  <c r="AC306" i="1"/>
  <c r="AB306" i="1"/>
  <c r="AA306" i="1"/>
  <c r="Z306" i="1"/>
  <c r="Y306" i="1"/>
  <c r="X306" i="1"/>
  <c r="W306" i="1"/>
  <c r="V306" i="1"/>
  <c r="U306" i="1"/>
  <c r="T306" i="1"/>
  <c r="S306" i="1"/>
  <c r="R306" i="1"/>
  <c r="Q306" i="1"/>
  <c r="P306" i="1"/>
  <c r="O306" i="1"/>
  <c r="N306" i="1"/>
  <c r="M306" i="1"/>
  <c r="L306" i="1"/>
  <c r="K306" i="1"/>
  <c r="J306" i="1"/>
  <c r="I306" i="1"/>
  <c r="H306" i="1"/>
  <c r="G306" i="1"/>
  <c r="AY293" i="1"/>
  <c r="AX293" i="1"/>
  <c r="AW293" i="1"/>
  <c r="AV293" i="1"/>
  <c r="AU293" i="1"/>
  <c r="AT293" i="1"/>
  <c r="AS293" i="1"/>
  <c r="AR293" i="1"/>
  <c r="AQ293" i="1"/>
  <c r="AP293" i="1"/>
  <c r="AO293" i="1"/>
  <c r="AN293" i="1"/>
  <c r="AM293" i="1"/>
  <c r="AL293" i="1"/>
  <c r="AK293" i="1"/>
  <c r="AJ293" i="1"/>
  <c r="AI293" i="1"/>
  <c r="AH293" i="1"/>
  <c r="AG293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Q293" i="1"/>
  <c r="P293" i="1"/>
  <c r="O293" i="1"/>
  <c r="N293" i="1"/>
  <c r="M293" i="1"/>
  <c r="L293" i="1"/>
  <c r="K293" i="1"/>
  <c r="J293" i="1"/>
  <c r="I293" i="1"/>
  <c r="H293" i="1"/>
  <c r="G293" i="1"/>
  <c r="F293" i="1"/>
  <c r="AY292" i="1"/>
  <c r="AX292" i="1"/>
  <c r="AW292" i="1"/>
  <c r="AV292" i="1"/>
  <c r="AU292" i="1"/>
  <c r="AT292" i="1"/>
  <c r="AS292" i="1"/>
  <c r="AR292" i="1"/>
  <c r="AQ292" i="1"/>
  <c r="AP292" i="1"/>
  <c r="AO292" i="1"/>
  <c r="AN292" i="1"/>
  <c r="AM292" i="1"/>
  <c r="AL292" i="1"/>
  <c r="AK292" i="1"/>
  <c r="AJ292" i="1"/>
  <c r="AI292" i="1"/>
  <c r="AH292" i="1"/>
  <c r="AG292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T292" i="1"/>
  <c r="S292" i="1"/>
  <c r="R292" i="1"/>
  <c r="Q292" i="1"/>
  <c r="P292" i="1"/>
  <c r="O292" i="1"/>
  <c r="N292" i="1"/>
  <c r="M292" i="1"/>
  <c r="L292" i="1"/>
  <c r="K292" i="1"/>
  <c r="J292" i="1"/>
  <c r="I292" i="1"/>
  <c r="H292" i="1"/>
  <c r="G292" i="1"/>
  <c r="F292" i="1"/>
  <c r="AY287" i="1"/>
  <c r="AX287" i="1"/>
  <c r="AW287" i="1"/>
  <c r="AV287" i="1"/>
  <c r="AU287" i="1"/>
  <c r="AT287" i="1"/>
  <c r="AS287" i="1"/>
  <c r="AR287" i="1"/>
  <c r="AQ287" i="1"/>
  <c r="AP287" i="1"/>
  <c r="AO287" i="1"/>
  <c r="AN287" i="1"/>
  <c r="AM287" i="1"/>
  <c r="AL287" i="1"/>
  <c r="AK287" i="1"/>
  <c r="AJ287" i="1"/>
  <c r="AI287" i="1"/>
  <c r="AH287" i="1"/>
  <c r="AG287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P287" i="1"/>
  <c r="O287" i="1"/>
  <c r="N287" i="1"/>
  <c r="M287" i="1"/>
  <c r="L287" i="1"/>
  <c r="K287" i="1"/>
  <c r="J287" i="1"/>
  <c r="I287" i="1"/>
  <c r="H287" i="1"/>
  <c r="G287" i="1"/>
  <c r="F287" i="1"/>
  <c r="AY286" i="1"/>
  <c r="AX286" i="1"/>
  <c r="AW286" i="1"/>
  <c r="AV286" i="1"/>
  <c r="AU286" i="1"/>
  <c r="AT286" i="1"/>
  <c r="AS286" i="1"/>
  <c r="AR286" i="1"/>
  <c r="AQ286" i="1"/>
  <c r="AP286" i="1"/>
  <c r="AO286" i="1"/>
  <c r="AN286" i="1"/>
  <c r="AM286" i="1"/>
  <c r="AL286" i="1"/>
  <c r="AK286" i="1"/>
  <c r="AJ286" i="1"/>
  <c r="AI286" i="1"/>
  <c r="AH286" i="1"/>
  <c r="A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T286" i="1"/>
  <c r="S286" i="1"/>
  <c r="R286" i="1"/>
  <c r="Q286" i="1"/>
  <c r="P286" i="1"/>
  <c r="O286" i="1"/>
  <c r="N286" i="1"/>
  <c r="M286" i="1"/>
  <c r="L286" i="1"/>
  <c r="K286" i="1"/>
  <c r="J286" i="1"/>
  <c r="I286" i="1"/>
  <c r="H286" i="1"/>
  <c r="G286" i="1"/>
  <c r="F286" i="1"/>
  <c r="AY284" i="1"/>
  <c r="AX284" i="1"/>
  <c r="AW284" i="1"/>
  <c r="AV284" i="1"/>
  <c r="AU284" i="1"/>
  <c r="AT284" i="1"/>
  <c r="AS284" i="1"/>
  <c r="AR284" i="1"/>
  <c r="AQ284" i="1"/>
  <c r="AP284" i="1"/>
  <c r="AO284" i="1"/>
  <c r="AN284" i="1"/>
  <c r="AM284" i="1"/>
  <c r="AL284" i="1"/>
  <c r="AK284" i="1"/>
  <c r="AJ284" i="1"/>
  <c r="AI284" i="1"/>
  <c r="AH284" i="1"/>
  <c r="AG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Q284" i="1"/>
  <c r="P284" i="1"/>
  <c r="O284" i="1"/>
  <c r="N284" i="1"/>
  <c r="M284" i="1"/>
  <c r="L284" i="1"/>
  <c r="K284" i="1"/>
  <c r="J284" i="1"/>
  <c r="I284" i="1"/>
  <c r="H284" i="1"/>
  <c r="G284" i="1"/>
  <c r="F284" i="1"/>
  <c r="AY283" i="1"/>
  <c r="AX283" i="1"/>
  <c r="AW283" i="1"/>
  <c r="AV283" i="1"/>
  <c r="AU283" i="1"/>
  <c r="AT283" i="1"/>
  <c r="AS283" i="1"/>
  <c r="AR283" i="1"/>
  <c r="AQ283" i="1"/>
  <c r="AP283" i="1"/>
  <c r="AO283" i="1"/>
  <c r="AN283" i="1"/>
  <c r="AM283" i="1"/>
  <c r="AL283" i="1"/>
  <c r="AK283" i="1"/>
  <c r="AJ283" i="1"/>
  <c r="AI283" i="1"/>
  <c r="AH283" i="1"/>
  <c r="AG283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T283" i="1"/>
  <c r="S283" i="1"/>
  <c r="R283" i="1"/>
  <c r="Q283" i="1"/>
  <c r="P283" i="1"/>
  <c r="O283" i="1"/>
  <c r="N283" i="1"/>
  <c r="M283" i="1"/>
  <c r="L283" i="1"/>
  <c r="K283" i="1"/>
  <c r="J283" i="1"/>
  <c r="I283" i="1"/>
  <c r="H283" i="1"/>
  <c r="G283" i="1"/>
  <c r="F283" i="1"/>
  <c r="AY278" i="1"/>
  <c r="AX278" i="1"/>
  <c r="AW278" i="1"/>
  <c r="AV278" i="1"/>
  <c r="AU278" i="1"/>
  <c r="AT278" i="1"/>
  <c r="AS278" i="1"/>
  <c r="AR278" i="1"/>
  <c r="AQ278" i="1"/>
  <c r="AP278" i="1"/>
  <c r="AO278" i="1"/>
  <c r="AN278" i="1"/>
  <c r="AM278" i="1"/>
  <c r="AL278" i="1"/>
  <c r="AK278" i="1"/>
  <c r="AJ278" i="1"/>
  <c r="AI278" i="1"/>
  <c r="AH278" i="1"/>
  <c r="AG278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Q278" i="1"/>
  <c r="P278" i="1"/>
  <c r="O278" i="1"/>
  <c r="N278" i="1"/>
  <c r="M278" i="1"/>
  <c r="L278" i="1"/>
  <c r="K278" i="1"/>
  <c r="I278" i="1"/>
  <c r="G278" i="1"/>
  <c r="AY276" i="1"/>
  <c r="AX276" i="1"/>
  <c r="AW276" i="1"/>
  <c r="AV276" i="1"/>
  <c r="AU276" i="1"/>
  <c r="AT276" i="1"/>
  <c r="AS276" i="1"/>
  <c r="AR276" i="1"/>
  <c r="AQ276" i="1"/>
  <c r="AP276" i="1"/>
  <c r="AO276" i="1"/>
  <c r="AN276" i="1"/>
  <c r="AM276" i="1"/>
  <c r="AL276" i="1"/>
  <c r="AK276" i="1"/>
  <c r="AJ276" i="1"/>
  <c r="AI276" i="1"/>
  <c r="AH276" i="1"/>
  <c r="AG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P276" i="1"/>
  <c r="O276" i="1"/>
  <c r="N276" i="1"/>
  <c r="M276" i="1"/>
  <c r="L276" i="1"/>
  <c r="K276" i="1"/>
  <c r="J276" i="1"/>
  <c r="I276" i="1"/>
  <c r="H276" i="1"/>
  <c r="G276" i="1"/>
  <c r="AY274" i="1"/>
  <c r="AX274" i="1"/>
  <c r="AW274" i="1"/>
  <c r="AV274" i="1"/>
  <c r="AU274" i="1"/>
  <c r="AT274" i="1"/>
  <c r="AS274" i="1"/>
  <c r="AR274" i="1"/>
  <c r="AQ274" i="1"/>
  <c r="AP274" i="1"/>
  <c r="AO274" i="1"/>
  <c r="AN274" i="1"/>
  <c r="AM274" i="1"/>
  <c r="AL274" i="1"/>
  <c r="AK274" i="1"/>
  <c r="AJ274" i="1"/>
  <c r="AI274" i="1"/>
  <c r="AH274" i="1"/>
  <c r="AG274" i="1"/>
  <c r="AF274" i="1"/>
  <c r="AE274" i="1"/>
  <c r="AD274" i="1"/>
  <c r="AC274" i="1"/>
  <c r="AB274" i="1"/>
  <c r="AA274" i="1"/>
  <c r="Z274" i="1"/>
  <c r="Y274" i="1"/>
  <c r="X274" i="1"/>
  <c r="W274" i="1"/>
  <c r="V274" i="1"/>
  <c r="U274" i="1"/>
  <c r="T274" i="1"/>
  <c r="S274" i="1"/>
  <c r="R274" i="1"/>
  <c r="Q274" i="1"/>
  <c r="P274" i="1"/>
  <c r="O274" i="1"/>
  <c r="N274" i="1"/>
  <c r="M274" i="1"/>
  <c r="L274" i="1"/>
  <c r="K274" i="1"/>
  <c r="I274" i="1"/>
  <c r="G274" i="1"/>
  <c r="AY273" i="1"/>
  <c r="AX273" i="1"/>
  <c r="AW273" i="1"/>
  <c r="AV273" i="1"/>
  <c r="AU273" i="1"/>
  <c r="AT273" i="1"/>
  <c r="AS273" i="1"/>
  <c r="AR273" i="1"/>
  <c r="AQ273" i="1"/>
  <c r="AP273" i="1"/>
  <c r="AO273" i="1"/>
  <c r="AN273" i="1"/>
  <c r="AM273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P273" i="1"/>
  <c r="O273" i="1"/>
  <c r="N273" i="1"/>
  <c r="M273" i="1"/>
  <c r="L273" i="1"/>
  <c r="K273" i="1"/>
  <c r="I273" i="1"/>
  <c r="G273" i="1"/>
  <c r="AY272" i="1"/>
  <c r="AX272" i="1"/>
  <c r="AW272" i="1"/>
  <c r="AV272" i="1"/>
  <c r="AU272" i="1"/>
  <c r="AT272" i="1"/>
  <c r="AS272" i="1"/>
  <c r="AR272" i="1"/>
  <c r="AQ272" i="1"/>
  <c r="AP272" i="1"/>
  <c r="AO272" i="1"/>
  <c r="AN272" i="1"/>
  <c r="AM272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P272" i="1"/>
  <c r="O272" i="1"/>
  <c r="N272" i="1"/>
  <c r="M272" i="1"/>
  <c r="L272" i="1"/>
  <c r="K272" i="1"/>
  <c r="I272" i="1"/>
  <c r="G272" i="1"/>
  <c r="AY271" i="1"/>
  <c r="AX271" i="1"/>
  <c r="AW271" i="1"/>
  <c r="AV271" i="1"/>
  <c r="AU271" i="1"/>
  <c r="AT271" i="1"/>
  <c r="AS271" i="1"/>
  <c r="AR271" i="1"/>
  <c r="AQ271" i="1"/>
  <c r="AP271" i="1"/>
  <c r="AO271" i="1"/>
  <c r="AN271" i="1"/>
  <c r="AM271" i="1"/>
  <c r="AL271" i="1"/>
  <c r="AK271" i="1"/>
  <c r="AJ271" i="1"/>
  <c r="AI271" i="1"/>
  <c r="AH271" i="1"/>
  <c r="A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T271" i="1"/>
  <c r="S271" i="1"/>
  <c r="R271" i="1"/>
  <c r="Q271" i="1"/>
  <c r="P271" i="1"/>
  <c r="O271" i="1"/>
  <c r="N271" i="1"/>
  <c r="M271" i="1"/>
  <c r="L271" i="1"/>
  <c r="K271" i="1"/>
  <c r="I271" i="1"/>
  <c r="G271" i="1"/>
  <c r="AY269" i="1"/>
  <c r="AX269" i="1"/>
  <c r="AW269" i="1"/>
  <c r="AV269" i="1"/>
  <c r="AU269" i="1"/>
  <c r="AT269" i="1"/>
  <c r="AS269" i="1"/>
  <c r="AR269" i="1"/>
  <c r="AQ269" i="1"/>
  <c r="AP269" i="1"/>
  <c r="AO269" i="1"/>
  <c r="AN269" i="1"/>
  <c r="AM269" i="1"/>
  <c r="AL269" i="1"/>
  <c r="AK269" i="1"/>
  <c r="AJ269" i="1"/>
  <c r="AI269" i="1"/>
  <c r="AH269" i="1"/>
  <c r="AG269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P269" i="1"/>
  <c r="O269" i="1"/>
  <c r="N269" i="1"/>
  <c r="M269" i="1"/>
  <c r="L269" i="1"/>
  <c r="K269" i="1"/>
  <c r="I269" i="1"/>
  <c r="G269" i="1"/>
  <c r="AY268" i="1"/>
  <c r="AX268" i="1"/>
  <c r="AW268" i="1"/>
  <c r="AV268" i="1"/>
  <c r="AU268" i="1"/>
  <c r="AT268" i="1"/>
  <c r="AS268" i="1"/>
  <c r="AR268" i="1"/>
  <c r="AQ268" i="1"/>
  <c r="AP268" i="1"/>
  <c r="AO268" i="1"/>
  <c r="AN268" i="1"/>
  <c r="AM268" i="1"/>
  <c r="AL268" i="1"/>
  <c r="AK268" i="1"/>
  <c r="AJ268" i="1"/>
  <c r="AI268" i="1"/>
  <c r="AH268" i="1"/>
  <c r="A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T268" i="1"/>
  <c r="S268" i="1"/>
  <c r="R268" i="1"/>
  <c r="Q268" i="1"/>
  <c r="P268" i="1"/>
  <c r="O268" i="1"/>
  <c r="N268" i="1"/>
  <c r="M268" i="1"/>
  <c r="L268" i="1"/>
  <c r="K268" i="1"/>
  <c r="I268" i="1"/>
  <c r="G268" i="1"/>
  <c r="AY267" i="1"/>
  <c r="AX267" i="1"/>
  <c r="AW267" i="1"/>
  <c r="AV267" i="1"/>
  <c r="AU267" i="1"/>
  <c r="AT267" i="1"/>
  <c r="AS267" i="1"/>
  <c r="AR267" i="1"/>
  <c r="AQ267" i="1"/>
  <c r="AP267" i="1"/>
  <c r="AO267" i="1"/>
  <c r="AN267" i="1"/>
  <c r="AM267" i="1"/>
  <c r="AL267" i="1"/>
  <c r="AK267" i="1"/>
  <c r="AJ267" i="1"/>
  <c r="AI267" i="1"/>
  <c r="AH267" i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P267" i="1"/>
  <c r="O267" i="1"/>
  <c r="N267" i="1"/>
  <c r="M267" i="1"/>
  <c r="L267" i="1"/>
  <c r="K267" i="1"/>
  <c r="I267" i="1"/>
  <c r="G267" i="1"/>
  <c r="AY266" i="1"/>
  <c r="AX266" i="1"/>
  <c r="AW266" i="1"/>
  <c r="AV266" i="1"/>
  <c r="AU266" i="1"/>
  <c r="AT266" i="1"/>
  <c r="AS266" i="1"/>
  <c r="AR266" i="1"/>
  <c r="AQ266" i="1"/>
  <c r="AP266" i="1"/>
  <c r="AO266" i="1"/>
  <c r="AN266" i="1"/>
  <c r="AM266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P266" i="1"/>
  <c r="O266" i="1"/>
  <c r="N266" i="1"/>
  <c r="M266" i="1"/>
  <c r="L266" i="1"/>
  <c r="K266" i="1"/>
  <c r="I266" i="1"/>
  <c r="G266" i="1"/>
  <c r="AY264" i="1"/>
  <c r="AX264" i="1"/>
  <c r="AW264" i="1"/>
  <c r="AV264" i="1"/>
  <c r="AU264" i="1"/>
  <c r="AT264" i="1"/>
  <c r="AS264" i="1"/>
  <c r="AR264" i="1"/>
  <c r="AQ264" i="1"/>
  <c r="AP264" i="1"/>
  <c r="AO264" i="1"/>
  <c r="AN264" i="1"/>
  <c r="AM264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T264" i="1"/>
  <c r="S264" i="1"/>
  <c r="R264" i="1"/>
  <c r="Q264" i="1"/>
  <c r="P264" i="1"/>
  <c r="O264" i="1"/>
  <c r="N264" i="1"/>
  <c r="M264" i="1"/>
  <c r="L264" i="1"/>
  <c r="K264" i="1"/>
  <c r="I264" i="1"/>
  <c r="G264" i="1"/>
  <c r="AY263" i="1"/>
  <c r="AX263" i="1"/>
  <c r="AW263" i="1"/>
  <c r="AV263" i="1"/>
  <c r="AU263" i="1"/>
  <c r="AT263" i="1"/>
  <c r="AS263" i="1"/>
  <c r="AR263" i="1"/>
  <c r="AQ263" i="1"/>
  <c r="AP263" i="1"/>
  <c r="AO263" i="1"/>
  <c r="AN263" i="1"/>
  <c r="AM263" i="1"/>
  <c r="AL263" i="1"/>
  <c r="AK263" i="1"/>
  <c r="AJ263" i="1"/>
  <c r="AI263" i="1"/>
  <c r="AH263" i="1"/>
  <c r="AG263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P263" i="1"/>
  <c r="O263" i="1"/>
  <c r="N263" i="1"/>
  <c r="M263" i="1"/>
  <c r="L263" i="1"/>
  <c r="K263" i="1"/>
  <c r="I263" i="1"/>
  <c r="G263" i="1"/>
  <c r="AY260" i="1"/>
  <c r="AX260" i="1"/>
  <c r="AW260" i="1"/>
  <c r="AV260" i="1"/>
  <c r="AU260" i="1"/>
  <c r="AT260" i="1"/>
  <c r="AS260" i="1"/>
  <c r="AR260" i="1"/>
  <c r="AQ260" i="1"/>
  <c r="AP260" i="1"/>
  <c r="AO260" i="1"/>
  <c r="AN260" i="1"/>
  <c r="AM260" i="1"/>
  <c r="AL260" i="1"/>
  <c r="AK260" i="1"/>
  <c r="AJ260" i="1"/>
  <c r="AI260" i="1"/>
  <c r="AH260" i="1"/>
  <c r="AG260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P260" i="1"/>
  <c r="O260" i="1"/>
  <c r="N260" i="1"/>
  <c r="M260" i="1"/>
  <c r="L260" i="1"/>
  <c r="I260" i="1"/>
  <c r="G260" i="1"/>
  <c r="AY258" i="1"/>
  <c r="AX258" i="1"/>
  <c r="AW258" i="1"/>
  <c r="AV258" i="1"/>
  <c r="AU258" i="1"/>
  <c r="AT258" i="1"/>
  <c r="AS258" i="1"/>
  <c r="AR258" i="1"/>
  <c r="AQ258" i="1"/>
  <c r="AP258" i="1"/>
  <c r="AO258" i="1"/>
  <c r="AN258" i="1"/>
  <c r="AM258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Z258" i="1"/>
  <c r="Y258" i="1"/>
  <c r="X258" i="1"/>
  <c r="W258" i="1"/>
  <c r="V258" i="1"/>
  <c r="U258" i="1"/>
  <c r="T258" i="1"/>
  <c r="S258" i="1"/>
  <c r="R258" i="1"/>
  <c r="Q258" i="1"/>
  <c r="P258" i="1"/>
  <c r="O258" i="1"/>
  <c r="N258" i="1"/>
  <c r="M258" i="1"/>
  <c r="L258" i="1"/>
  <c r="I258" i="1"/>
  <c r="G258" i="1"/>
  <c r="AY256" i="1"/>
  <c r="AX256" i="1"/>
  <c r="AW256" i="1"/>
  <c r="AV256" i="1"/>
  <c r="AU256" i="1"/>
  <c r="AT256" i="1"/>
  <c r="AS256" i="1"/>
  <c r="AR256" i="1"/>
  <c r="AQ256" i="1"/>
  <c r="AP256" i="1"/>
  <c r="AO256" i="1"/>
  <c r="AN256" i="1"/>
  <c r="AM256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P256" i="1"/>
  <c r="O256" i="1"/>
  <c r="N256" i="1"/>
  <c r="M256" i="1"/>
  <c r="L256" i="1"/>
  <c r="I256" i="1"/>
  <c r="G256" i="1"/>
  <c r="AY254" i="1"/>
  <c r="AX254" i="1"/>
  <c r="AW254" i="1"/>
  <c r="AV254" i="1"/>
  <c r="AU254" i="1"/>
  <c r="AT254" i="1"/>
  <c r="AS254" i="1"/>
  <c r="AR254" i="1"/>
  <c r="AQ254" i="1"/>
  <c r="AP254" i="1"/>
  <c r="AO254" i="1"/>
  <c r="AN254" i="1"/>
  <c r="AM254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P254" i="1"/>
  <c r="O254" i="1"/>
  <c r="N254" i="1"/>
  <c r="M254" i="1"/>
  <c r="L254" i="1"/>
  <c r="I254" i="1"/>
  <c r="G254" i="1"/>
  <c r="AY252" i="1"/>
  <c r="AX252" i="1"/>
  <c r="AW252" i="1"/>
  <c r="AV252" i="1"/>
  <c r="AU252" i="1"/>
  <c r="AT252" i="1"/>
  <c r="AS252" i="1"/>
  <c r="AR252" i="1"/>
  <c r="AQ252" i="1"/>
  <c r="AP252" i="1"/>
  <c r="AO252" i="1"/>
  <c r="AN252" i="1"/>
  <c r="AM252" i="1"/>
  <c r="AL252" i="1"/>
  <c r="AK252" i="1"/>
  <c r="AJ252" i="1"/>
  <c r="AI252" i="1"/>
  <c r="AH252" i="1"/>
  <c r="AG252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I252" i="1"/>
  <c r="G252" i="1"/>
  <c r="AY250" i="1"/>
  <c r="AX250" i="1"/>
  <c r="AW250" i="1"/>
  <c r="AV250" i="1"/>
  <c r="AU250" i="1"/>
  <c r="AT250" i="1"/>
  <c r="AS250" i="1"/>
  <c r="AR250" i="1"/>
  <c r="AQ250" i="1"/>
  <c r="AP250" i="1"/>
  <c r="AO250" i="1"/>
  <c r="AN250" i="1"/>
  <c r="AM250" i="1"/>
  <c r="AL250" i="1"/>
  <c r="AK250" i="1"/>
  <c r="AJ250" i="1"/>
  <c r="AI250" i="1"/>
  <c r="AH250" i="1"/>
  <c r="AG250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T250" i="1"/>
  <c r="S250" i="1"/>
  <c r="R250" i="1"/>
  <c r="Q250" i="1"/>
  <c r="P250" i="1"/>
  <c r="O250" i="1"/>
  <c r="N250" i="1"/>
  <c r="M250" i="1"/>
  <c r="L250" i="1"/>
  <c r="I250" i="1"/>
  <c r="G250" i="1"/>
  <c r="AY248" i="1"/>
  <c r="AX248" i="1"/>
  <c r="AW248" i="1"/>
  <c r="AV248" i="1"/>
  <c r="AU248" i="1"/>
  <c r="AT248" i="1"/>
  <c r="AS248" i="1"/>
  <c r="AR248" i="1"/>
  <c r="AQ248" i="1"/>
  <c r="AP248" i="1"/>
  <c r="AO248" i="1"/>
  <c r="AN248" i="1"/>
  <c r="AM248" i="1"/>
  <c r="AL248" i="1"/>
  <c r="AK248" i="1"/>
  <c r="AJ248" i="1"/>
  <c r="AI248" i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P248" i="1"/>
  <c r="O248" i="1"/>
  <c r="N248" i="1"/>
  <c r="M248" i="1"/>
  <c r="L248" i="1"/>
  <c r="I248" i="1"/>
  <c r="G248" i="1"/>
  <c r="AY246" i="1"/>
  <c r="AX246" i="1"/>
  <c r="AW246" i="1"/>
  <c r="AV246" i="1"/>
  <c r="AU246" i="1"/>
  <c r="AT246" i="1"/>
  <c r="AS246" i="1"/>
  <c r="AR246" i="1"/>
  <c r="AQ246" i="1"/>
  <c r="AP246" i="1"/>
  <c r="AO246" i="1"/>
  <c r="AN246" i="1"/>
  <c r="AM246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P246" i="1"/>
  <c r="O246" i="1"/>
  <c r="N246" i="1"/>
  <c r="M246" i="1"/>
  <c r="L246" i="1"/>
  <c r="I246" i="1"/>
  <c r="G246" i="1"/>
  <c r="AY244" i="1"/>
  <c r="AX244" i="1"/>
  <c r="AW244" i="1"/>
  <c r="AV244" i="1"/>
  <c r="AU244" i="1"/>
  <c r="AT244" i="1"/>
  <c r="AS244" i="1"/>
  <c r="AR244" i="1"/>
  <c r="AQ244" i="1"/>
  <c r="AP244" i="1"/>
  <c r="AO244" i="1"/>
  <c r="AN244" i="1"/>
  <c r="AM244" i="1"/>
  <c r="AL244" i="1"/>
  <c r="AK244" i="1"/>
  <c r="AJ244" i="1"/>
  <c r="AI244" i="1"/>
  <c r="AH244" i="1"/>
  <c r="AG244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I244" i="1"/>
  <c r="G244" i="1"/>
  <c r="AY242" i="1"/>
  <c r="AX242" i="1"/>
  <c r="AW242" i="1"/>
  <c r="AV242" i="1"/>
  <c r="AU242" i="1"/>
  <c r="AT242" i="1"/>
  <c r="AS242" i="1"/>
  <c r="AR242" i="1"/>
  <c r="AQ242" i="1"/>
  <c r="AP242" i="1"/>
  <c r="AO242" i="1"/>
  <c r="AN242" i="1"/>
  <c r="AM242" i="1"/>
  <c r="AL242" i="1"/>
  <c r="AK242" i="1"/>
  <c r="AJ242" i="1"/>
  <c r="AI242" i="1"/>
  <c r="AH242" i="1"/>
  <c r="AG242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Q242" i="1"/>
  <c r="P242" i="1"/>
  <c r="O242" i="1"/>
  <c r="N242" i="1"/>
  <c r="M242" i="1"/>
  <c r="L242" i="1"/>
  <c r="I242" i="1"/>
  <c r="G242" i="1"/>
  <c r="AY240" i="1"/>
  <c r="AX240" i="1"/>
  <c r="AW240" i="1"/>
  <c r="AV240" i="1"/>
  <c r="AU240" i="1"/>
  <c r="AT240" i="1"/>
  <c r="AS240" i="1"/>
  <c r="AR240" i="1"/>
  <c r="AQ240" i="1"/>
  <c r="AP240" i="1"/>
  <c r="AO240" i="1"/>
  <c r="AN240" i="1"/>
  <c r="AM240" i="1"/>
  <c r="AL240" i="1"/>
  <c r="AK240" i="1"/>
  <c r="AJ240" i="1"/>
  <c r="AI240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T240" i="1"/>
  <c r="S240" i="1"/>
  <c r="R240" i="1"/>
  <c r="Q240" i="1"/>
  <c r="P240" i="1"/>
  <c r="O240" i="1"/>
  <c r="N240" i="1"/>
  <c r="M240" i="1"/>
  <c r="L240" i="1"/>
  <c r="I240" i="1"/>
  <c r="G240" i="1"/>
  <c r="AY238" i="1"/>
  <c r="AX238" i="1"/>
  <c r="AW238" i="1"/>
  <c r="AV238" i="1"/>
  <c r="AU238" i="1"/>
  <c r="AT238" i="1"/>
  <c r="AS238" i="1"/>
  <c r="AR238" i="1"/>
  <c r="AQ238" i="1"/>
  <c r="AP238" i="1"/>
  <c r="AO238" i="1"/>
  <c r="AN238" i="1"/>
  <c r="AM238" i="1"/>
  <c r="AL238" i="1"/>
  <c r="AK238" i="1"/>
  <c r="AJ238" i="1"/>
  <c r="AI238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P238" i="1"/>
  <c r="O238" i="1"/>
  <c r="N238" i="1"/>
  <c r="M238" i="1"/>
  <c r="L238" i="1"/>
  <c r="I238" i="1"/>
  <c r="G238" i="1"/>
  <c r="AY236" i="1"/>
  <c r="AX236" i="1"/>
  <c r="AW236" i="1"/>
  <c r="AV236" i="1"/>
  <c r="AU236" i="1"/>
  <c r="AT236" i="1"/>
  <c r="AS236" i="1"/>
  <c r="AR236" i="1"/>
  <c r="AQ236" i="1"/>
  <c r="AP236" i="1"/>
  <c r="AO236" i="1"/>
  <c r="AN236" i="1"/>
  <c r="AM236" i="1"/>
  <c r="AL236" i="1"/>
  <c r="AK236" i="1"/>
  <c r="AJ236" i="1"/>
  <c r="AI236" i="1"/>
  <c r="AH236" i="1"/>
  <c r="AG236" i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P236" i="1"/>
  <c r="O236" i="1"/>
  <c r="N236" i="1"/>
  <c r="M236" i="1"/>
  <c r="L236" i="1"/>
  <c r="I236" i="1"/>
  <c r="G236" i="1"/>
  <c r="AY234" i="1"/>
  <c r="AX234" i="1"/>
  <c r="AW234" i="1"/>
  <c r="AV234" i="1"/>
  <c r="AU234" i="1"/>
  <c r="AT234" i="1"/>
  <c r="AS234" i="1"/>
  <c r="AR234" i="1"/>
  <c r="AQ234" i="1"/>
  <c r="AP234" i="1"/>
  <c r="AO234" i="1"/>
  <c r="AN234" i="1"/>
  <c r="AM234" i="1"/>
  <c r="AL234" i="1"/>
  <c r="AK234" i="1"/>
  <c r="AJ234" i="1"/>
  <c r="AI234" i="1"/>
  <c r="AH234" i="1"/>
  <c r="AG234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T234" i="1"/>
  <c r="S234" i="1"/>
  <c r="R234" i="1"/>
  <c r="Q234" i="1"/>
  <c r="P234" i="1"/>
  <c r="O234" i="1"/>
  <c r="N234" i="1"/>
  <c r="M234" i="1"/>
  <c r="L234" i="1"/>
  <c r="I234" i="1"/>
  <c r="G234" i="1"/>
  <c r="AY232" i="1"/>
  <c r="AX232" i="1"/>
  <c r="AW232" i="1"/>
  <c r="AV232" i="1"/>
  <c r="AU232" i="1"/>
  <c r="AT232" i="1"/>
  <c r="AS232" i="1"/>
  <c r="AR232" i="1"/>
  <c r="AQ232" i="1"/>
  <c r="AP232" i="1"/>
  <c r="AO232" i="1"/>
  <c r="AN232" i="1"/>
  <c r="AM232" i="1"/>
  <c r="AL232" i="1"/>
  <c r="AK232" i="1"/>
  <c r="AJ232" i="1"/>
  <c r="AI232" i="1"/>
  <c r="AH232" i="1"/>
  <c r="AG232" i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T232" i="1"/>
  <c r="S232" i="1"/>
  <c r="R232" i="1"/>
  <c r="Q232" i="1"/>
  <c r="P232" i="1"/>
  <c r="O232" i="1"/>
  <c r="N232" i="1"/>
  <c r="M232" i="1"/>
  <c r="L232" i="1"/>
  <c r="I232" i="1"/>
  <c r="G232" i="1"/>
  <c r="AY230" i="1"/>
  <c r="AX230" i="1"/>
  <c r="AW230" i="1"/>
  <c r="AV230" i="1"/>
  <c r="AU230" i="1"/>
  <c r="AT230" i="1"/>
  <c r="AS230" i="1"/>
  <c r="AR230" i="1"/>
  <c r="AQ230" i="1"/>
  <c r="AP230" i="1"/>
  <c r="AO230" i="1"/>
  <c r="AN230" i="1"/>
  <c r="AM230" i="1"/>
  <c r="AL230" i="1"/>
  <c r="AK230" i="1"/>
  <c r="AJ230" i="1"/>
  <c r="AI230" i="1"/>
  <c r="AH230" i="1"/>
  <c r="AG230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P230" i="1"/>
  <c r="O230" i="1"/>
  <c r="N230" i="1"/>
  <c r="M230" i="1"/>
  <c r="L230" i="1"/>
  <c r="I230" i="1"/>
  <c r="G230" i="1"/>
  <c r="AY228" i="1"/>
  <c r="AX228" i="1"/>
  <c r="AW228" i="1"/>
  <c r="AV228" i="1"/>
  <c r="AU228" i="1"/>
  <c r="AT228" i="1"/>
  <c r="AS228" i="1"/>
  <c r="AR228" i="1"/>
  <c r="AQ228" i="1"/>
  <c r="AP228" i="1"/>
  <c r="AO228" i="1"/>
  <c r="AN228" i="1"/>
  <c r="AM228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P228" i="1"/>
  <c r="O228" i="1"/>
  <c r="N228" i="1"/>
  <c r="M228" i="1"/>
  <c r="L228" i="1"/>
  <c r="I228" i="1"/>
  <c r="G228" i="1"/>
  <c r="AY227" i="1"/>
  <c r="AX227" i="1"/>
  <c r="AW227" i="1"/>
  <c r="AV227" i="1"/>
  <c r="AU227" i="1"/>
  <c r="AT227" i="1"/>
  <c r="AS227" i="1"/>
  <c r="AR227" i="1"/>
  <c r="AQ227" i="1"/>
  <c r="AP227" i="1"/>
  <c r="AO227" i="1"/>
  <c r="AN227" i="1"/>
  <c r="AM227" i="1"/>
  <c r="AL227" i="1"/>
  <c r="AK227" i="1"/>
  <c r="AJ227" i="1"/>
  <c r="AI227" i="1"/>
  <c r="AH227" i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P227" i="1"/>
  <c r="O227" i="1"/>
  <c r="N227" i="1"/>
  <c r="M227" i="1"/>
  <c r="L227" i="1"/>
  <c r="I227" i="1"/>
  <c r="G227" i="1"/>
  <c r="AY221" i="1"/>
  <c r="AX221" i="1"/>
  <c r="AW221" i="1"/>
  <c r="AV221" i="1"/>
  <c r="AU221" i="1"/>
  <c r="AT221" i="1"/>
  <c r="AS221" i="1"/>
  <c r="AR221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P221" i="1"/>
  <c r="O221" i="1"/>
  <c r="N221" i="1"/>
  <c r="M221" i="1"/>
  <c r="L221" i="1"/>
  <c r="K221" i="1"/>
  <c r="I221" i="1"/>
  <c r="G221" i="1"/>
  <c r="AY220" i="1"/>
  <c r="AX220" i="1"/>
  <c r="AW220" i="1"/>
  <c r="AV220" i="1"/>
  <c r="AU220" i="1"/>
  <c r="AT220" i="1"/>
  <c r="AS220" i="1"/>
  <c r="AR220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P220" i="1"/>
  <c r="O220" i="1"/>
  <c r="N220" i="1"/>
  <c r="M220" i="1"/>
  <c r="L220" i="1"/>
  <c r="K220" i="1"/>
  <c r="I220" i="1"/>
  <c r="G220" i="1"/>
  <c r="AY219" i="1"/>
  <c r="AX219" i="1"/>
  <c r="AW219" i="1"/>
  <c r="AV219" i="1"/>
  <c r="AU219" i="1"/>
  <c r="AT219" i="1"/>
  <c r="AS219" i="1"/>
  <c r="AR219" i="1"/>
  <c r="AQ219" i="1"/>
  <c r="AP219" i="1"/>
  <c r="AO219" i="1"/>
  <c r="AN219" i="1"/>
  <c r="AM219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P219" i="1"/>
  <c r="O219" i="1"/>
  <c r="N219" i="1"/>
  <c r="M219" i="1"/>
  <c r="L219" i="1"/>
  <c r="K219" i="1"/>
  <c r="I219" i="1"/>
  <c r="G219" i="1"/>
  <c r="AY218" i="1"/>
  <c r="AX218" i="1"/>
  <c r="AW218" i="1"/>
  <c r="AV218" i="1"/>
  <c r="AU218" i="1"/>
  <c r="AT218" i="1"/>
  <c r="AS218" i="1"/>
  <c r="AR218" i="1"/>
  <c r="AQ218" i="1"/>
  <c r="AP218" i="1"/>
  <c r="AO218" i="1"/>
  <c r="AN218" i="1"/>
  <c r="AM218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P218" i="1"/>
  <c r="O218" i="1"/>
  <c r="N218" i="1"/>
  <c r="M218" i="1"/>
  <c r="L218" i="1"/>
  <c r="K218" i="1"/>
  <c r="I218" i="1"/>
  <c r="G218" i="1"/>
  <c r="AY217" i="1"/>
  <c r="AX217" i="1"/>
  <c r="AW217" i="1"/>
  <c r="AV217" i="1"/>
  <c r="AU217" i="1"/>
  <c r="AT217" i="1"/>
  <c r="AS217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P217" i="1"/>
  <c r="O217" i="1"/>
  <c r="N217" i="1"/>
  <c r="M217" i="1"/>
  <c r="L217" i="1"/>
  <c r="K217" i="1"/>
  <c r="I217" i="1"/>
  <c r="G217" i="1"/>
  <c r="AY216" i="1"/>
  <c r="AX216" i="1"/>
  <c r="AW216" i="1"/>
  <c r="AV216" i="1"/>
  <c r="AU216" i="1"/>
  <c r="AT216" i="1"/>
  <c r="AS216" i="1"/>
  <c r="AR216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P216" i="1"/>
  <c r="O216" i="1"/>
  <c r="N216" i="1"/>
  <c r="M216" i="1"/>
  <c r="L216" i="1"/>
  <c r="K216" i="1"/>
  <c r="I216" i="1"/>
  <c r="G216" i="1"/>
  <c r="AY215" i="1"/>
  <c r="AX215" i="1"/>
  <c r="AW215" i="1"/>
  <c r="AV215" i="1"/>
  <c r="AU215" i="1"/>
  <c r="AT215" i="1"/>
  <c r="AS215" i="1"/>
  <c r="AR215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P215" i="1"/>
  <c r="O215" i="1"/>
  <c r="N215" i="1"/>
  <c r="M215" i="1"/>
  <c r="L215" i="1"/>
  <c r="K215" i="1"/>
  <c r="I215" i="1"/>
  <c r="G215" i="1"/>
  <c r="AY214" i="1"/>
  <c r="AX214" i="1"/>
  <c r="AW214" i="1"/>
  <c r="AV214" i="1"/>
  <c r="AU214" i="1"/>
  <c r="AT214" i="1"/>
  <c r="AS214" i="1"/>
  <c r="AR214" i="1"/>
  <c r="AQ214" i="1"/>
  <c r="AP214" i="1"/>
  <c r="AO214" i="1"/>
  <c r="AN214" i="1"/>
  <c r="AM214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P214" i="1"/>
  <c r="O214" i="1"/>
  <c r="N214" i="1"/>
  <c r="M214" i="1"/>
  <c r="L214" i="1"/>
  <c r="K214" i="1"/>
  <c r="I214" i="1"/>
  <c r="G214" i="1"/>
  <c r="AY213" i="1"/>
  <c r="AX213" i="1"/>
  <c r="AW213" i="1"/>
  <c r="AV213" i="1"/>
  <c r="AU213" i="1"/>
  <c r="AT213" i="1"/>
  <c r="AS213" i="1"/>
  <c r="AR213" i="1"/>
  <c r="AQ213" i="1"/>
  <c r="AP213" i="1"/>
  <c r="AO213" i="1"/>
  <c r="AN213" i="1"/>
  <c r="AM213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P213" i="1"/>
  <c r="O213" i="1"/>
  <c r="N213" i="1"/>
  <c r="M213" i="1"/>
  <c r="L213" i="1"/>
  <c r="K213" i="1"/>
  <c r="I213" i="1"/>
  <c r="G213" i="1"/>
  <c r="AY212" i="1"/>
  <c r="AX212" i="1"/>
  <c r="AW212" i="1"/>
  <c r="AV212" i="1"/>
  <c r="AU212" i="1"/>
  <c r="AT212" i="1"/>
  <c r="AS212" i="1"/>
  <c r="AR212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P212" i="1"/>
  <c r="O212" i="1"/>
  <c r="N212" i="1"/>
  <c r="M212" i="1"/>
  <c r="L212" i="1"/>
  <c r="K212" i="1"/>
  <c r="I212" i="1"/>
  <c r="G212" i="1"/>
  <c r="AY211" i="1"/>
  <c r="AX211" i="1"/>
  <c r="AW211" i="1"/>
  <c r="AV211" i="1"/>
  <c r="AU211" i="1"/>
  <c r="AT211" i="1"/>
  <c r="AS211" i="1"/>
  <c r="AR211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L211" i="1"/>
  <c r="K211" i="1"/>
  <c r="I211" i="1"/>
  <c r="G211" i="1"/>
  <c r="AY210" i="1"/>
  <c r="AX210" i="1"/>
  <c r="AW210" i="1"/>
  <c r="AV210" i="1"/>
  <c r="AU210" i="1"/>
  <c r="AT210" i="1"/>
  <c r="AS210" i="1"/>
  <c r="AR210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P210" i="1"/>
  <c r="O210" i="1"/>
  <c r="N210" i="1"/>
  <c r="M210" i="1"/>
  <c r="L210" i="1"/>
  <c r="K210" i="1"/>
  <c r="I210" i="1"/>
  <c r="G210" i="1"/>
  <c r="AY209" i="1"/>
  <c r="AX209" i="1"/>
  <c r="AW209" i="1"/>
  <c r="AV209" i="1"/>
  <c r="AU209" i="1"/>
  <c r="AT209" i="1"/>
  <c r="AS209" i="1"/>
  <c r="AR209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P209" i="1"/>
  <c r="O209" i="1"/>
  <c r="N209" i="1"/>
  <c r="M209" i="1"/>
  <c r="L209" i="1"/>
  <c r="K209" i="1"/>
  <c r="I209" i="1"/>
  <c r="G209" i="1"/>
  <c r="AY208" i="1"/>
  <c r="AX208" i="1"/>
  <c r="AW208" i="1"/>
  <c r="AV208" i="1"/>
  <c r="AU208" i="1"/>
  <c r="AT208" i="1"/>
  <c r="AS208" i="1"/>
  <c r="AR208" i="1"/>
  <c r="AQ208" i="1"/>
  <c r="AP208" i="1"/>
  <c r="AO208" i="1"/>
  <c r="AN208" i="1"/>
  <c r="AM208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P208" i="1"/>
  <c r="O208" i="1"/>
  <c r="N208" i="1"/>
  <c r="M208" i="1"/>
  <c r="L208" i="1"/>
  <c r="K208" i="1"/>
  <c r="I208" i="1"/>
  <c r="G208" i="1"/>
  <c r="AY207" i="1"/>
  <c r="AX207" i="1"/>
  <c r="AW207" i="1"/>
  <c r="AV207" i="1"/>
  <c r="AU207" i="1"/>
  <c r="AT207" i="1"/>
  <c r="AS207" i="1"/>
  <c r="AR207" i="1"/>
  <c r="AQ207" i="1"/>
  <c r="AP207" i="1"/>
  <c r="AO207" i="1"/>
  <c r="AN207" i="1"/>
  <c r="AM207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P207" i="1"/>
  <c r="O207" i="1"/>
  <c r="N207" i="1"/>
  <c r="M207" i="1"/>
  <c r="L207" i="1"/>
  <c r="K207" i="1"/>
  <c r="I207" i="1"/>
  <c r="G207" i="1"/>
  <c r="AY206" i="1"/>
  <c r="AX206" i="1"/>
  <c r="AW206" i="1"/>
  <c r="AV206" i="1"/>
  <c r="AU206" i="1"/>
  <c r="AT206" i="1"/>
  <c r="AS206" i="1"/>
  <c r="AR206" i="1"/>
  <c r="AQ206" i="1"/>
  <c r="AP206" i="1"/>
  <c r="AO206" i="1"/>
  <c r="AN206" i="1"/>
  <c r="AM206" i="1"/>
  <c r="AL206" i="1"/>
  <c r="AK206" i="1"/>
  <c r="AJ206" i="1"/>
  <c r="AI206" i="1"/>
  <c r="AH206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P206" i="1"/>
  <c r="O206" i="1"/>
  <c r="N206" i="1"/>
  <c r="M206" i="1"/>
  <c r="L206" i="1"/>
  <c r="K206" i="1"/>
  <c r="I206" i="1"/>
  <c r="G206" i="1"/>
  <c r="AY205" i="1"/>
  <c r="AX205" i="1"/>
  <c r="AW205" i="1"/>
  <c r="AV205" i="1"/>
  <c r="AU205" i="1"/>
  <c r="AT205" i="1"/>
  <c r="AS205" i="1"/>
  <c r="AR205" i="1"/>
  <c r="AQ205" i="1"/>
  <c r="AP205" i="1"/>
  <c r="AO205" i="1"/>
  <c r="AN205" i="1"/>
  <c r="AM205" i="1"/>
  <c r="AL205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P205" i="1"/>
  <c r="O205" i="1"/>
  <c r="N205" i="1"/>
  <c r="M205" i="1"/>
  <c r="L205" i="1"/>
  <c r="K205" i="1"/>
  <c r="I205" i="1"/>
  <c r="G205" i="1"/>
  <c r="AY204" i="1"/>
  <c r="AX204" i="1"/>
  <c r="AW204" i="1"/>
  <c r="AV204" i="1"/>
  <c r="AU204" i="1"/>
  <c r="AT204" i="1"/>
  <c r="AS204" i="1"/>
  <c r="AR204" i="1"/>
  <c r="AQ204" i="1"/>
  <c r="AP204" i="1"/>
  <c r="AO204" i="1"/>
  <c r="AN204" i="1"/>
  <c r="AM204" i="1"/>
  <c r="AL204" i="1"/>
  <c r="AK204" i="1"/>
  <c r="AJ204" i="1"/>
  <c r="AI204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P204" i="1"/>
  <c r="O204" i="1"/>
  <c r="N204" i="1"/>
  <c r="M204" i="1"/>
  <c r="L204" i="1"/>
  <c r="K204" i="1"/>
  <c r="I204" i="1"/>
  <c r="G204" i="1"/>
  <c r="AY203" i="1"/>
  <c r="AX203" i="1"/>
  <c r="AW203" i="1"/>
  <c r="AV203" i="1"/>
  <c r="AU203" i="1"/>
  <c r="AT203" i="1"/>
  <c r="AS203" i="1"/>
  <c r="AR203" i="1"/>
  <c r="AQ203" i="1"/>
  <c r="AP203" i="1"/>
  <c r="AO203" i="1"/>
  <c r="AN203" i="1"/>
  <c r="AM203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P203" i="1"/>
  <c r="O203" i="1"/>
  <c r="N203" i="1"/>
  <c r="M203" i="1"/>
  <c r="L203" i="1"/>
  <c r="K203" i="1"/>
  <c r="I203" i="1"/>
  <c r="G203" i="1"/>
  <c r="AY202" i="1"/>
  <c r="AX202" i="1"/>
  <c r="AW202" i="1"/>
  <c r="AV202" i="1"/>
  <c r="AU202" i="1"/>
  <c r="AT202" i="1"/>
  <c r="AS202" i="1"/>
  <c r="AR202" i="1"/>
  <c r="AQ202" i="1"/>
  <c r="AP202" i="1"/>
  <c r="AO202" i="1"/>
  <c r="AN202" i="1"/>
  <c r="AM202" i="1"/>
  <c r="AL202" i="1"/>
  <c r="AK202" i="1"/>
  <c r="AJ202" i="1"/>
  <c r="AI202" i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P202" i="1"/>
  <c r="O202" i="1"/>
  <c r="N202" i="1"/>
  <c r="M202" i="1"/>
  <c r="L202" i="1"/>
  <c r="K202" i="1"/>
  <c r="I202" i="1"/>
  <c r="G202" i="1"/>
  <c r="AY201" i="1"/>
  <c r="AX201" i="1"/>
  <c r="AW201" i="1"/>
  <c r="AV201" i="1"/>
  <c r="AU201" i="1"/>
  <c r="AT201" i="1"/>
  <c r="AS201" i="1"/>
  <c r="AR201" i="1"/>
  <c r="AQ201" i="1"/>
  <c r="AP201" i="1"/>
  <c r="AO201" i="1"/>
  <c r="AN201" i="1"/>
  <c r="AM201" i="1"/>
  <c r="AL201" i="1"/>
  <c r="AK201" i="1"/>
  <c r="AJ201" i="1"/>
  <c r="AI201" i="1"/>
  <c r="AH201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P201" i="1"/>
  <c r="O201" i="1"/>
  <c r="N201" i="1"/>
  <c r="M201" i="1"/>
  <c r="L201" i="1"/>
  <c r="K201" i="1"/>
  <c r="I201" i="1"/>
  <c r="G201" i="1"/>
  <c r="AY200" i="1"/>
  <c r="AX200" i="1"/>
  <c r="AW200" i="1"/>
  <c r="AV200" i="1"/>
  <c r="AU200" i="1"/>
  <c r="AT200" i="1"/>
  <c r="AS200" i="1"/>
  <c r="AR200" i="1"/>
  <c r="AQ200" i="1"/>
  <c r="AP200" i="1"/>
  <c r="AO200" i="1"/>
  <c r="AN200" i="1"/>
  <c r="AM200" i="1"/>
  <c r="AL200" i="1"/>
  <c r="AK200" i="1"/>
  <c r="AJ200" i="1"/>
  <c r="AI200" i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P200" i="1"/>
  <c r="O200" i="1"/>
  <c r="N200" i="1"/>
  <c r="M200" i="1"/>
  <c r="L200" i="1"/>
  <c r="K200" i="1"/>
  <c r="I200" i="1"/>
  <c r="G200" i="1"/>
  <c r="AY199" i="1"/>
  <c r="AX199" i="1"/>
  <c r="AW199" i="1"/>
  <c r="AV199" i="1"/>
  <c r="AU199" i="1"/>
  <c r="AT199" i="1"/>
  <c r="AS199" i="1"/>
  <c r="AR199" i="1"/>
  <c r="AQ199" i="1"/>
  <c r="AP199" i="1"/>
  <c r="AO199" i="1"/>
  <c r="AN199" i="1"/>
  <c r="AM199" i="1"/>
  <c r="AL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I199" i="1"/>
  <c r="G199" i="1"/>
  <c r="AY198" i="1"/>
  <c r="AX198" i="1"/>
  <c r="AW198" i="1"/>
  <c r="AV198" i="1"/>
  <c r="AU198" i="1"/>
  <c r="AT198" i="1"/>
  <c r="AS198" i="1"/>
  <c r="AR198" i="1"/>
  <c r="AQ198" i="1"/>
  <c r="AP198" i="1"/>
  <c r="AO198" i="1"/>
  <c r="AN198" i="1"/>
  <c r="AM198" i="1"/>
  <c r="AL198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P198" i="1"/>
  <c r="O198" i="1"/>
  <c r="N198" i="1"/>
  <c r="M198" i="1"/>
  <c r="L198" i="1"/>
  <c r="K198" i="1"/>
  <c r="I198" i="1"/>
  <c r="G198" i="1"/>
  <c r="AY196" i="1"/>
  <c r="AX196" i="1"/>
  <c r="AW196" i="1"/>
  <c r="AV196" i="1"/>
  <c r="AU196" i="1"/>
  <c r="AT196" i="1"/>
  <c r="AS196" i="1"/>
  <c r="AR196" i="1"/>
  <c r="AQ196" i="1"/>
  <c r="AP196" i="1"/>
  <c r="AO196" i="1"/>
  <c r="AN196" i="1"/>
  <c r="AM196" i="1"/>
  <c r="AL196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P196" i="1"/>
  <c r="O196" i="1"/>
  <c r="N196" i="1"/>
  <c r="M196" i="1"/>
  <c r="L196" i="1"/>
  <c r="K196" i="1"/>
  <c r="I196" i="1"/>
  <c r="G196" i="1"/>
  <c r="AY195" i="1"/>
  <c r="AX195" i="1"/>
  <c r="AW195" i="1"/>
  <c r="AV195" i="1"/>
  <c r="AU195" i="1"/>
  <c r="AT195" i="1"/>
  <c r="AS195" i="1"/>
  <c r="AR195" i="1"/>
  <c r="AQ195" i="1"/>
  <c r="AP195" i="1"/>
  <c r="AO195" i="1"/>
  <c r="AN195" i="1"/>
  <c r="AM195" i="1"/>
  <c r="AL195" i="1"/>
  <c r="AK195" i="1"/>
  <c r="AJ195" i="1"/>
  <c r="AI195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O195" i="1"/>
  <c r="N195" i="1"/>
  <c r="M195" i="1"/>
  <c r="L195" i="1"/>
  <c r="K195" i="1"/>
  <c r="I195" i="1"/>
  <c r="G195" i="1"/>
  <c r="AY194" i="1"/>
  <c r="AX194" i="1"/>
  <c r="AW194" i="1"/>
  <c r="AV194" i="1"/>
  <c r="AU194" i="1"/>
  <c r="AT194" i="1"/>
  <c r="AS194" i="1"/>
  <c r="AR194" i="1"/>
  <c r="AQ194" i="1"/>
  <c r="AP194" i="1"/>
  <c r="AO194" i="1"/>
  <c r="AN194" i="1"/>
  <c r="AM194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K194" i="1"/>
  <c r="I194" i="1"/>
  <c r="G194" i="1"/>
  <c r="AY193" i="1"/>
  <c r="AX193" i="1"/>
  <c r="AW193" i="1"/>
  <c r="AV193" i="1"/>
  <c r="AU193" i="1"/>
  <c r="AT193" i="1"/>
  <c r="AS193" i="1"/>
  <c r="AR193" i="1"/>
  <c r="AQ193" i="1"/>
  <c r="AP193" i="1"/>
  <c r="AO193" i="1"/>
  <c r="AN193" i="1"/>
  <c r="AM193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K193" i="1"/>
  <c r="I193" i="1"/>
  <c r="G193" i="1"/>
  <c r="AY192" i="1"/>
  <c r="AX192" i="1"/>
  <c r="AW192" i="1"/>
  <c r="AV192" i="1"/>
  <c r="AU192" i="1"/>
  <c r="AT192" i="1"/>
  <c r="AS192" i="1"/>
  <c r="AR192" i="1"/>
  <c r="AQ192" i="1"/>
  <c r="AP192" i="1"/>
  <c r="AO192" i="1"/>
  <c r="AN192" i="1"/>
  <c r="AM192" i="1"/>
  <c r="AL192" i="1"/>
  <c r="AK192" i="1"/>
  <c r="AJ192" i="1"/>
  <c r="AI192" i="1"/>
  <c r="AH192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O192" i="1"/>
  <c r="N192" i="1"/>
  <c r="M192" i="1"/>
  <c r="L192" i="1"/>
  <c r="K192" i="1"/>
  <c r="I192" i="1"/>
  <c r="G192" i="1"/>
  <c r="AY191" i="1"/>
  <c r="AX191" i="1"/>
  <c r="AW191" i="1"/>
  <c r="AV191" i="1"/>
  <c r="AU191" i="1"/>
  <c r="AT191" i="1"/>
  <c r="AS191" i="1"/>
  <c r="AR191" i="1"/>
  <c r="AQ191" i="1"/>
  <c r="AP191" i="1"/>
  <c r="AO191" i="1"/>
  <c r="AN191" i="1"/>
  <c r="AM191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K191" i="1"/>
  <c r="I191" i="1"/>
  <c r="G191" i="1"/>
  <c r="AY188" i="1"/>
  <c r="AX188" i="1"/>
  <c r="AW188" i="1"/>
  <c r="AV188" i="1"/>
  <c r="AU188" i="1"/>
  <c r="AT188" i="1"/>
  <c r="AS188" i="1"/>
  <c r="AR188" i="1"/>
  <c r="AQ188" i="1"/>
  <c r="AP188" i="1"/>
  <c r="AO188" i="1"/>
  <c r="AN188" i="1"/>
  <c r="AM188" i="1"/>
  <c r="AL188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L188" i="1"/>
  <c r="K188" i="1"/>
  <c r="I188" i="1"/>
  <c r="G188" i="1"/>
  <c r="AY187" i="1"/>
  <c r="AX187" i="1"/>
  <c r="AW187" i="1"/>
  <c r="AV187" i="1"/>
  <c r="AU187" i="1"/>
  <c r="AT187" i="1"/>
  <c r="AS187" i="1"/>
  <c r="AR187" i="1"/>
  <c r="AQ187" i="1"/>
  <c r="AP187" i="1"/>
  <c r="AO187" i="1"/>
  <c r="AN187" i="1"/>
  <c r="AM187" i="1"/>
  <c r="AL187" i="1"/>
  <c r="AK187" i="1"/>
  <c r="AJ187" i="1"/>
  <c r="AI187" i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P187" i="1"/>
  <c r="O187" i="1"/>
  <c r="N187" i="1"/>
  <c r="M187" i="1"/>
  <c r="L187" i="1"/>
  <c r="K187" i="1"/>
  <c r="I187" i="1"/>
  <c r="G187" i="1"/>
  <c r="AY186" i="1"/>
  <c r="AX186" i="1"/>
  <c r="AW186" i="1"/>
  <c r="AV186" i="1"/>
  <c r="AU186" i="1"/>
  <c r="AT186" i="1"/>
  <c r="AS186" i="1"/>
  <c r="AR186" i="1"/>
  <c r="AQ186" i="1"/>
  <c r="AP186" i="1"/>
  <c r="AO186" i="1"/>
  <c r="AN186" i="1"/>
  <c r="AM186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L186" i="1"/>
  <c r="K186" i="1"/>
  <c r="I186" i="1"/>
  <c r="G186" i="1"/>
  <c r="AY185" i="1"/>
  <c r="AX185" i="1"/>
  <c r="AW185" i="1"/>
  <c r="AV185" i="1"/>
  <c r="AU185" i="1"/>
  <c r="AT185" i="1"/>
  <c r="AS185" i="1"/>
  <c r="AR185" i="1"/>
  <c r="AQ185" i="1"/>
  <c r="AP185" i="1"/>
  <c r="AO185" i="1"/>
  <c r="AN185" i="1"/>
  <c r="AM185" i="1"/>
  <c r="AL185" i="1"/>
  <c r="AK185" i="1"/>
  <c r="AJ185" i="1"/>
  <c r="AI185" i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P185" i="1"/>
  <c r="O185" i="1"/>
  <c r="N185" i="1"/>
  <c r="M185" i="1"/>
  <c r="L185" i="1"/>
  <c r="K185" i="1"/>
  <c r="I185" i="1"/>
  <c r="G185" i="1"/>
  <c r="AY184" i="1"/>
  <c r="AX184" i="1"/>
  <c r="AW184" i="1"/>
  <c r="AV184" i="1"/>
  <c r="AU184" i="1"/>
  <c r="AT184" i="1"/>
  <c r="AS184" i="1"/>
  <c r="AR184" i="1"/>
  <c r="AQ184" i="1"/>
  <c r="AP184" i="1"/>
  <c r="AO184" i="1"/>
  <c r="AN184" i="1"/>
  <c r="AM184" i="1"/>
  <c r="AL184" i="1"/>
  <c r="AK184" i="1"/>
  <c r="AJ184" i="1"/>
  <c r="AI184" i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P184" i="1"/>
  <c r="O184" i="1"/>
  <c r="N184" i="1"/>
  <c r="M184" i="1"/>
  <c r="L184" i="1"/>
  <c r="K184" i="1"/>
  <c r="I184" i="1"/>
  <c r="G184" i="1"/>
  <c r="AY183" i="1"/>
  <c r="AX183" i="1"/>
  <c r="AW183" i="1"/>
  <c r="AV183" i="1"/>
  <c r="AU183" i="1"/>
  <c r="AT183" i="1"/>
  <c r="AS183" i="1"/>
  <c r="AR183" i="1"/>
  <c r="AQ183" i="1"/>
  <c r="AP183" i="1"/>
  <c r="AO183" i="1"/>
  <c r="AN183" i="1"/>
  <c r="AM183" i="1"/>
  <c r="AL183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P183" i="1"/>
  <c r="O183" i="1"/>
  <c r="N183" i="1"/>
  <c r="M183" i="1"/>
  <c r="L183" i="1"/>
  <c r="K183" i="1"/>
  <c r="I183" i="1"/>
  <c r="G183" i="1"/>
  <c r="AY182" i="1"/>
  <c r="AX182" i="1"/>
  <c r="AW182" i="1"/>
  <c r="AV182" i="1"/>
  <c r="AU182" i="1"/>
  <c r="AT182" i="1"/>
  <c r="AS182" i="1"/>
  <c r="AR182" i="1"/>
  <c r="AQ182" i="1"/>
  <c r="AP182" i="1"/>
  <c r="AO182" i="1"/>
  <c r="AN182" i="1"/>
  <c r="AM182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O182" i="1"/>
  <c r="N182" i="1"/>
  <c r="M182" i="1"/>
  <c r="L182" i="1"/>
  <c r="K182" i="1"/>
  <c r="I182" i="1"/>
  <c r="G182" i="1"/>
  <c r="AY181" i="1"/>
  <c r="AX181" i="1"/>
  <c r="AW181" i="1"/>
  <c r="AV181" i="1"/>
  <c r="AU181" i="1"/>
  <c r="AT181" i="1"/>
  <c r="AS181" i="1"/>
  <c r="AR181" i="1"/>
  <c r="AQ181" i="1"/>
  <c r="AP181" i="1"/>
  <c r="AO181" i="1"/>
  <c r="AN181" i="1"/>
  <c r="AM181" i="1"/>
  <c r="AL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P181" i="1"/>
  <c r="O181" i="1"/>
  <c r="N181" i="1"/>
  <c r="M181" i="1"/>
  <c r="L181" i="1"/>
  <c r="K181" i="1"/>
  <c r="I181" i="1"/>
  <c r="G181" i="1"/>
  <c r="AY180" i="1"/>
  <c r="AX180" i="1"/>
  <c r="AW180" i="1"/>
  <c r="AV180" i="1"/>
  <c r="AU180" i="1"/>
  <c r="AT180" i="1"/>
  <c r="AS180" i="1"/>
  <c r="AR180" i="1"/>
  <c r="AQ180" i="1"/>
  <c r="AP180" i="1"/>
  <c r="AO180" i="1"/>
  <c r="AN180" i="1"/>
  <c r="AM180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P180" i="1"/>
  <c r="O180" i="1"/>
  <c r="N180" i="1"/>
  <c r="M180" i="1"/>
  <c r="L180" i="1"/>
  <c r="K180" i="1"/>
  <c r="I180" i="1"/>
  <c r="G180" i="1"/>
  <c r="AY179" i="1"/>
  <c r="AX179" i="1"/>
  <c r="AW179" i="1"/>
  <c r="AV179" i="1"/>
  <c r="AU179" i="1"/>
  <c r="AT179" i="1"/>
  <c r="AS179" i="1"/>
  <c r="AR179" i="1"/>
  <c r="AQ179" i="1"/>
  <c r="AP179" i="1"/>
  <c r="AO179" i="1"/>
  <c r="AN179" i="1"/>
  <c r="AM179" i="1"/>
  <c r="AL179" i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O179" i="1"/>
  <c r="N179" i="1"/>
  <c r="M179" i="1"/>
  <c r="L179" i="1"/>
  <c r="K179" i="1"/>
  <c r="I179" i="1"/>
  <c r="G179" i="1"/>
  <c r="AY178" i="1"/>
  <c r="AX178" i="1"/>
  <c r="AW178" i="1"/>
  <c r="AV178" i="1"/>
  <c r="AU178" i="1"/>
  <c r="AT178" i="1"/>
  <c r="AS178" i="1"/>
  <c r="AR178" i="1"/>
  <c r="AQ178" i="1"/>
  <c r="AP178" i="1"/>
  <c r="AO178" i="1"/>
  <c r="AN178" i="1"/>
  <c r="AM178" i="1"/>
  <c r="AL178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P178" i="1"/>
  <c r="O178" i="1"/>
  <c r="N178" i="1"/>
  <c r="M178" i="1"/>
  <c r="L178" i="1"/>
  <c r="K178" i="1"/>
  <c r="I178" i="1"/>
  <c r="G178" i="1"/>
  <c r="AY177" i="1"/>
  <c r="AX177" i="1"/>
  <c r="AW177" i="1"/>
  <c r="AV177" i="1"/>
  <c r="AU177" i="1"/>
  <c r="AT177" i="1"/>
  <c r="AS177" i="1"/>
  <c r="AR177" i="1"/>
  <c r="AQ177" i="1"/>
  <c r="AP177" i="1"/>
  <c r="AO177" i="1"/>
  <c r="AN177" i="1"/>
  <c r="AM177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P177" i="1"/>
  <c r="O177" i="1"/>
  <c r="N177" i="1"/>
  <c r="M177" i="1"/>
  <c r="L177" i="1"/>
  <c r="K177" i="1"/>
  <c r="I177" i="1"/>
  <c r="G177" i="1"/>
  <c r="AY176" i="1"/>
  <c r="AX176" i="1"/>
  <c r="AW176" i="1"/>
  <c r="AV176" i="1"/>
  <c r="AU176" i="1"/>
  <c r="AT176" i="1"/>
  <c r="AS176" i="1"/>
  <c r="AR176" i="1"/>
  <c r="AQ176" i="1"/>
  <c r="AP176" i="1"/>
  <c r="AO176" i="1"/>
  <c r="AN176" i="1"/>
  <c r="AM176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L176" i="1"/>
  <c r="K176" i="1"/>
  <c r="I176" i="1"/>
  <c r="G176" i="1"/>
  <c r="AY175" i="1"/>
  <c r="AX175" i="1"/>
  <c r="AW175" i="1"/>
  <c r="AV175" i="1"/>
  <c r="AU175" i="1"/>
  <c r="AT175" i="1"/>
  <c r="AS175" i="1"/>
  <c r="AR175" i="1"/>
  <c r="AQ175" i="1"/>
  <c r="AP175" i="1"/>
  <c r="AO175" i="1"/>
  <c r="AN175" i="1"/>
  <c r="AM175" i="1"/>
  <c r="AL175" i="1"/>
  <c r="AK175" i="1"/>
  <c r="AJ175" i="1"/>
  <c r="AI175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K175" i="1"/>
  <c r="I175" i="1"/>
  <c r="G175" i="1"/>
  <c r="AY174" i="1"/>
  <c r="AX174" i="1"/>
  <c r="AW174" i="1"/>
  <c r="AV174" i="1"/>
  <c r="AU174" i="1"/>
  <c r="AT174" i="1"/>
  <c r="AS174" i="1"/>
  <c r="AR174" i="1"/>
  <c r="AQ174" i="1"/>
  <c r="AP174" i="1"/>
  <c r="AO174" i="1"/>
  <c r="AN174" i="1"/>
  <c r="AM174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P174" i="1"/>
  <c r="O174" i="1"/>
  <c r="N174" i="1"/>
  <c r="M174" i="1"/>
  <c r="L174" i="1"/>
  <c r="K174" i="1"/>
  <c r="I174" i="1"/>
  <c r="G174" i="1"/>
  <c r="AY172" i="1"/>
  <c r="AX172" i="1"/>
  <c r="AW172" i="1"/>
  <c r="AV172" i="1"/>
  <c r="AU172" i="1"/>
  <c r="AT172" i="1"/>
  <c r="AS172" i="1"/>
  <c r="AR172" i="1"/>
  <c r="AQ172" i="1"/>
  <c r="AP172" i="1"/>
  <c r="AO172" i="1"/>
  <c r="AN172" i="1"/>
  <c r="AM172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K172" i="1"/>
  <c r="I172" i="1"/>
  <c r="G172" i="1"/>
  <c r="AY171" i="1"/>
  <c r="AX171" i="1"/>
  <c r="AW171" i="1"/>
  <c r="AV171" i="1"/>
  <c r="AU171" i="1"/>
  <c r="AT171" i="1"/>
  <c r="AS171" i="1"/>
  <c r="AR171" i="1"/>
  <c r="AQ171" i="1"/>
  <c r="AP171" i="1"/>
  <c r="AO171" i="1"/>
  <c r="AN171" i="1"/>
  <c r="AM171" i="1"/>
  <c r="AL171" i="1"/>
  <c r="AK171" i="1"/>
  <c r="AJ171" i="1"/>
  <c r="AI171" i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P171" i="1"/>
  <c r="O171" i="1"/>
  <c r="N171" i="1"/>
  <c r="M171" i="1"/>
  <c r="L171" i="1"/>
  <c r="K171" i="1"/>
  <c r="I171" i="1"/>
  <c r="G171" i="1"/>
  <c r="AY170" i="1"/>
  <c r="AX170" i="1"/>
  <c r="AW170" i="1"/>
  <c r="AV170" i="1"/>
  <c r="AU170" i="1"/>
  <c r="AT170" i="1"/>
  <c r="AS170" i="1"/>
  <c r="AR170" i="1"/>
  <c r="AQ170" i="1"/>
  <c r="AP170" i="1"/>
  <c r="AO170" i="1"/>
  <c r="AN170" i="1"/>
  <c r="AM170" i="1"/>
  <c r="AL170" i="1"/>
  <c r="AK170" i="1"/>
  <c r="AJ170" i="1"/>
  <c r="AI170" i="1"/>
  <c r="AH170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P170" i="1"/>
  <c r="O170" i="1"/>
  <c r="N170" i="1"/>
  <c r="M170" i="1"/>
  <c r="L170" i="1"/>
  <c r="K170" i="1"/>
  <c r="I170" i="1"/>
  <c r="G170" i="1"/>
  <c r="AY169" i="1"/>
  <c r="AX169" i="1"/>
  <c r="AW169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I169" i="1"/>
  <c r="G169" i="1"/>
  <c r="AY168" i="1"/>
  <c r="AX168" i="1"/>
  <c r="AW168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P168" i="1"/>
  <c r="O168" i="1"/>
  <c r="N168" i="1"/>
  <c r="M168" i="1"/>
  <c r="L168" i="1"/>
  <c r="K168" i="1"/>
  <c r="I168" i="1"/>
  <c r="G168" i="1"/>
  <c r="AY167" i="1"/>
  <c r="AX167" i="1"/>
  <c r="AW167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O167" i="1"/>
  <c r="N167" i="1"/>
  <c r="M167" i="1"/>
  <c r="L167" i="1"/>
  <c r="K167" i="1"/>
  <c r="I167" i="1"/>
  <c r="G167" i="1"/>
  <c r="AY166" i="1"/>
  <c r="AX166" i="1"/>
  <c r="AW166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P166" i="1"/>
  <c r="O166" i="1"/>
  <c r="N166" i="1"/>
  <c r="M166" i="1"/>
  <c r="L166" i="1"/>
  <c r="K166" i="1"/>
  <c r="I166" i="1"/>
  <c r="G166" i="1"/>
  <c r="AY165" i="1"/>
  <c r="AX165" i="1"/>
  <c r="AW165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P165" i="1"/>
  <c r="O165" i="1"/>
  <c r="N165" i="1"/>
  <c r="M165" i="1"/>
  <c r="L165" i="1"/>
  <c r="K165" i="1"/>
  <c r="I165" i="1"/>
  <c r="G165" i="1"/>
  <c r="AY164" i="1"/>
  <c r="AX164" i="1"/>
  <c r="AW164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P164" i="1"/>
  <c r="O164" i="1"/>
  <c r="N164" i="1"/>
  <c r="M164" i="1"/>
  <c r="L164" i="1"/>
  <c r="K164" i="1"/>
  <c r="I164" i="1"/>
  <c r="G164" i="1"/>
  <c r="AY163" i="1"/>
  <c r="AX163" i="1"/>
  <c r="AW163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P163" i="1"/>
  <c r="O163" i="1"/>
  <c r="N163" i="1"/>
  <c r="M163" i="1"/>
  <c r="L163" i="1"/>
  <c r="K163" i="1"/>
  <c r="I163" i="1"/>
  <c r="G163" i="1"/>
  <c r="AY162" i="1"/>
  <c r="AX162" i="1"/>
  <c r="AW162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P162" i="1"/>
  <c r="O162" i="1"/>
  <c r="N162" i="1"/>
  <c r="M162" i="1"/>
  <c r="L162" i="1"/>
  <c r="K162" i="1"/>
  <c r="I162" i="1"/>
  <c r="G162" i="1"/>
  <c r="AY161" i="1"/>
  <c r="AX161" i="1"/>
  <c r="AW161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O161" i="1"/>
  <c r="N161" i="1"/>
  <c r="M161" i="1"/>
  <c r="L161" i="1"/>
  <c r="K161" i="1"/>
  <c r="I161" i="1"/>
  <c r="G161" i="1"/>
  <c r="AY160" i="1"/>
  <c r="AX160" i="1"/>
  <c r="AW160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K160" i="1"/>
  <c r="I160" i="1"/>
  <c r="G160" i="1"/>
  <c r="AY159" i="1"/>
  <c r="AX159" i="1"/>
  <c r="AW159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I159" i="1"/>
  <c r="G159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I158" i="1"/>
  <c r="G158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I157" i="1"/>
  <c r="G157" i="1"/>
  <c r="AY156" i="1"/>
  <c r="AX156" i="1"/>
  <c r="AW156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O156" i="1"/>
  <c r="N156" i="1"/>
  <c r="M156" i="1"/>
  <c r="L156" i="1"/>
  <c r="K156" i="1"/>
  <c r="I156" i="1"/>
  <c r="G156" i="1"/>
  <c r="AY154" i="1"/>
  <c r="AX154" i="1"/>
  <c r="AW154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O154" i="1"/>
  <c r="N154" i="1"/>
  <c r="M154" i="1"/>
  <c r="L154" i="1"/>
  <c r="K154" i="1"/>
  <c r="I154" i="1"/>
  <c r="G154" i="1"/>
  <c r="AY153" i="1"/>
  <c r="AX153" i="1"/>
  <c r="AW153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O153" i="1"/>
  <c r="N153" i="1"/>
  <c r="M153" i="1"/>
  <c r="L153" i="1"/>
  <c r="K153" i="1"/>
  <c r="I153" i="1"/>
  <c r="G153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I152" i="1"/>
  <c r="G152" i="1"/>
  <c r="AY151" i="1"/>
  <c r="AX151" i="1"/>
  <c r="AW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I151" i="1"/>
  <c r="G151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G150" i="1"/>
  <c r="AY149" i="1"/>
  <c r="AX149" i="1"/>
  <c r="AW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K149" i="1"/>
  <c r="I149" i="1"/>
  <c r="G149" i="1"/>
  <c r="AY148" i="1"/>
  <c r="AX148" i="1"/>
  <c r="AW148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O148" i="1"/>
  <c r="N148" i="1"/>
  <c r="M148" i="1"/>
  <c r="L148" i="1"/>
  <c r="K148" i="1"/>
  <c r="I148" i="1"/>
  <c r="G148" i="1"/>
  <c r="AY147" i="1"/>
  <c r="AX147" i="1"/>
  <c r="AW147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O147" i="1"/>
  <c r="N147" i="1"/>
  <c r="M147" i="1"/>
  <c r="L147" i="1"/>
  <c r="K147" i="1"/>
  <c r="I147" i="1"/>
  <c r="G147" i="1"/>
  <c r="AY146" i="1"/>
  <c r="AX146" i="1"/>
  <c r="AW146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O146" i="1"/>
  <c r="N146" i="1"/>
  <c r="M146" i="1"/>
  <c r="L146" i="1"/>
  <c r="K146" i="1"/>
  <c r="I146" i="1"/>
  <c r="G146" i="1"/>
  <c r="AY145" i="1"/>
  <c r="AX145" i="1"/>
  <c r="AW145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K145" i="1"/>
  <c r="I145" i="1"/>
  <c r="G145" i="1"/>
  <c r="AY144" i="1"/>
  <c r="AX144" i="1"/>
  <c r="AW144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K144" i="1"/>
  <c r="I144" i="1"/>
  <c r="G144" i="1"/>
  <c r="AY143" i="1"/>
  <c r="AX143" i="1"/>
  <c r="AW143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K143" i="1"/>
  <c r="I143" i="1"/>
  <c r="G143" i="1"/>
  <c r="AY142" i="1"/>
  <c r="AX142" i="1"/>
  <c r="AW142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K142" i="1"/>
  <c r="I142" i="1"/>
  <c r="G142" i="1"/>
  <c r="AY140" i="1"/>
  <c r="AX140" i="1"/>
  <c r="AW140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I140" i="1"/>
  <c r="G140" i="1"/>
  <c r="AY139" i="1"/>
  <c r="AX139" i="1"/>
  <c r="AW139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I139" i="1"/>
  <c r="G139" i="1"/>
  <c r="AY138" i="1"/>
  <c r="AX138" i="1"/>
  <c r="AW138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I138" i="1"/>
  <c r="G138" i="1"/>
  <c r="AY137" i="1"/>
  <c r="AX137" i="1"/>
  <c r="AW137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I137" i="1"/>
  <c r="G137" i="1"/>
  <c r="AY136" i="1"/>
  <c r="AX136" i="1"/>
  <c r="AW136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I136" i="1"/>
  <c r="G136" i="1"/>
  <c r="AY135" i="1"/>
  <c r="AX135" i="1"/>
  <c r="AW135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I135" i="1"/>
  <c r="G135" i="1"/>
  <c r="AY134" i="1"/>
  <c r="AX134" i="1"/>
  <c r="AW134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I134" i="1"/>
  <c r="G134" i="1"/>
  <c r="AY133" i="1"/>
  <c r="AX133" i="1"/>
  <c r="AW133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I133" i="1"/>
  <c r="G133" i="1"/>
  <c r="AY131" i="1"/>
  <c r="AX131" i="1"/>
  <c r="AW131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I131" i="1"/>
  <c r="G131" i="1"/>
  <c r="AY130" i="1"/>
  <c r="AX130" i="1"/>
  <c r="AW130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I130" i="1"/>
  <c r="G130" i="1"/>
  <c r="AY129" i="1"/>
  <c r="AX129" i="1"/>
  <c r="AW129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I129" i="1"/>
  <c r="G129" i="1"/>
  <c r="AY128" i="1"/>
  <c r="AX128" i="1"/>
  <c r="AW128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I128" i="1"/>
  <c r="G128" i="1"/>
  <c r="AY127" i="1"/>
  <c r="AX127" i="1"/>
  <c r="AW127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I127" i="1"/>
  <c r="G127" i="1"/>
  <c r="AY126" i="1"/>
  <c r="AX126" i="1"/>
  <c r="AW126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I126" i="1"/>
  <c r="G126" i="1"/>
  <c r="AY125" i="1"/>
  <c r="AX125" i="1"/>
  <c r="AW125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I125" i="1"/>
  <c r="G125" i="1"/>
  <c r="AY124" i="1"/>
  <c r="AX124" i="1"/>
  <c r="AW124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I124" i="1"/>
  <c r="G124" i="1"/>
  <c r="AY123" i="1"/>
  <c r="AX123" i="1"/>
  <c r="AW123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I123" i="1"/>
  <c r="G123" i="1"/>
  <c r="AY122" i="1"/>
  <c r="AX122" i="1"/>
  <c r="AW122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I122" i="1"/>
  <c r="G122" i="1"/>
  <c r="AY121" i="1"/>
  <c r="AX121" i="1"/>
  <c r="AW121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I121" i="1"/>
  <c r="G121" i="1"/>
  <c r="AY120" i="1"/>
  <c r="AX120" i="1"/>
  <c r="AW120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I120" i="1"/>
  <c r="G120" i="1"/>
  <c r="AY119" i="1"/>
  <c r="AX119" i="1"/>
  <c r="AW119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I119" i="1"/>
  <c r="G119" i="1"/>
  <c r="AY116" i="1"/>
  <c r="AX116" i="1"/>
  <c r="AW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I116" i="1"/>
  <c r="G116" i="1"/>
  <c r="AY115" i="1"/>
  <c r="AX115" i="1"/>
  <c r="AW115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I115" i="1"/>
  <c r="G115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I114" i="1"/>
  <c r="G114" i="1"/>
  <c r="AY112" i="1"/>
  <c r="AX112" i="1"/>
  <c r="AW112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I112" i="1"/>
  <c r="G112" i="1"/>
  <c r="AY111" i="1"/>
  <c r="AX111" i="1"/>
  <c r="AW111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I111" i="1"/>
  <c r="G111" i="1"/>
  <c r="AY110" i="1"/>
  <c r="AX110" i="1"/>
  <c r="AW110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I110" i="1"/>
  <c r="G110" i="1"/>
  <c r="AY109" i="1"/>
  <c r="AX109" i="1"/>
  <c r="AW109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I109" i="1"/>
  <c r="G109" i="1"/>
  <c r="AY108" i="1"/>
  <c r="AX108" i="1"/>
  <c r="AW108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I108" i="1"/>
  <c r="G108" i="1"/>
  <c r="AY107" i="1"/>
  <c r="AX107" i="1"/>
  <c r="AW107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F22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L21" i="1"/>
  <c r="G22" i="1"/>
  <c r="H22" i="1"/>
  <c r="I22" i="1"/>
  <c r="J22" i="1"/>
  <c r="K22" i="1"/>
  <c r="L22" i="1"/>
  <c r="D13" i="4"/>
  <c r="F21" i="1"/>
  <c r="G21" i="1"/>
  <c r="I21" i="1"/>
  <c r="J21" i="1"/>
  <c r="K21" i="1"/>
  <c r="H21" i="1"/>
  <c r="E368" i="1"/>
  <c r="E373" i="1"/>
  <c r="E374" i="1"/>
  <c r="E375" i="1"/>
  <c r="E376" i="1"/>
  <c r="E377" i="1"/>
  <c r="E379" i="1"/>
  <c r="E380" i="1"/>
  <c r="E388" i="1"/>
  <c r="G28" i="1"/>
  <c r="I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G30" i="1"/>
  <c r="I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G31" i="1"/>
  <c r="I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G34" i="1"/>
  <c r="I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G45" i="1"/>
  <c r="I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G48" i="1"/>
  <c r="I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G51" i="1"/>
  <c r="I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G53" i="1"/>
  <c r="I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G55" i="1"/>
  <c r="I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G57" i="1"/>
  <c r="I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G59" i="1"/>
  <c r="I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G83" i="1"/>
  <c r="I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G84" i="1"/>
  <c r="I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G87" i="1"/>
  <c r="I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G92" i="1"/>
  <c r="I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G95" i="1"/>
  <c r="I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G98" i="1"/>
  <c r="I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G101" i="1"/>
  <c r="I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G102" i="1"/>
  <c r="I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G113" i="1"/>
  <c r="I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G117" i="1"/>
  <c r="I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G118" i="1"/>
  <c r="I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G132" i="1"/>
  <c r="I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G141" i="1"/>
  <c r="I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G155" i="1"/>
  <c r="I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G173" i="1"/>
  <c r="I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G189" i="1"/>
  <c r="I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G190" i="1"/>
  <c r="I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W190" i="1"/>
  <c r="AX190" i="1"/>
  <c r="AY190" i="1"/>
  <c r="G222" i="1"/>
  <c r="I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G223" i="1"/>
  <c r="I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W223" i="1"/>
  <c r="AX223" i="1"/>
  <c r="AY223" i="1"/>
  <c r="G225" i="1"/>
  <c r="I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G229" i="1"/>
  <c r="I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W229" i="1"/>
  <c r="AX229" i="1"/>
  <c r="AY229" i="1"/>
  <c r="G231" i="1"/>
  <c r="I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G233" i="1"/>
  <c r="I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W233" i="1"/>
  <c r="AX233" i="1"/>
  <c r="AY233" i="1"/>
  <c r="G235" i="1"/>
  <c r="I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G237" i="1"/>
  <c r="I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G239" i="1"/>
  <c r="I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W239" i="1"/>
  <c r="AX239" i="1"/>
  <c r="AY239" i="1"/>
  <c r="G241" i="1"/>
  <c r="I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W241" i="1"/>
  <c r="AX241" i="1"/>
  <c r="AY241" i="1"/>
  <c r="G243" i="1"/>
  <c r="I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G245" i="1"/>
  <c r="I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W245" i="1"/>
  <c r="AX245" i="1"/>
  <c r="AY245" i="1"/>
  <c r="G247" i="1"/>
  <c r="I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W247" i="1"/>
  <c r="AX247" i="1"/>
  <c r="AY247" i="1"/>
  <c r="G249" i="1"/>
  <c r="I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G251" i="1"/>
  <c r="I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W251" i="1"/>
  <c r="AX251" i="1"/>
  <c r="AY251" i="1"/>
  <c r="G253" i="1"/>
  <c r="I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W253" i="1"/>
  <c r="AX253" i="1"/>
  <c r="AY253" i="1"/>
  <c r="G255" i="1"/>
  <c r="I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G257" i="1"/>
  <c r="I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W257" i="1"/>
  <c r="AX257" i="1"/>
  <c r="AY257" i="1"/>
  <c r="G259" i="1"/>
  <c r="I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W259" i="1"/>
  <c r="AX259" i="1"/>
  <c r="AY259" i="1"/>
  <c r="G261" i="1"/>
  <c r="I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G262" i="1"/>
  <c r="I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W262" i="1"/>
  <c r="AX262" i="1"/>
  <c r="AY262" i="1"/>
  <c r="G265" i="1"/>
  <c r="I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W265" i="1"/>
  <c r="AX265" i="1"/>
  <c r="AY265" i="1"/>
  <c r="G270" i="1"/>
  <c r="I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G275" i="1"/>
  <c r="I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W275" i="1"/>
  <c r="AX275" i="1"/>
  <c r="AY275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W277" i="1"/>
  <c r="AX277" i="1"/>
  <c r="AY277" i="1"/>
  <c r="G279" i="1"/>
  <c r="I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W280" i="1"/>
  <c r="AX280" i="1"/>
  <c r="AY280" i="1"/>
  <c r="G281" i="1"/>
  <c r="I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W281" i="1"/>
  <c r="AX281" i="1"/>
  <c r="AY281" i="1"/>
  <c r="F285" i="1"/>
  <c r="G285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W295" i="1"/>
  <c r="AX295" i="1"/>
  <c r="AY295" i="1"/>
  <c r="E21" i="1"/>
  <c r="F317" i="1"/>
  <c r="G317" i="1"/>
  <c r="H317" i="1"/>
  <c r="I317" i="1"/>
  <c r="J317" i="1"/>
  <c r="K317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AQ317" i="1"/>
  <c r="AR317" i="1"/>
  <c r="AS317" i="1"/>
  <c r="AT317" i="1"/>
  <c r="AU317" i="1"/>
  <c r="AV317" i="1"/>
  <c r="AW317" i="1"/>
  <c r="AX317" i="1"/>
  <c r="AY317" i="1"/>
  <c r="F321" i="1"/>
  <c r="G321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W321" i="1"/>
  <c r="AX321" i="1"/>
  <c r="AY321" i="1"/>
  <c r="F328" i="1"/>
  <c r="G328" i="1"/>
  <c r="H328" i="1"/>
  <c r="I328" i="1"/>
  <c r="J328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AQ328" i="1"/>
  <c r="AR328" i="1"/>
  <c r="AS328" i="1"/>
  <c r="AT328" i="1"/>
  <c r="AU328" i="1"/>
  <c r="AV328" i="1"/>
  <c r="AW328" i="1"/>
  <c r="AX328" i="1"/>
  <c r="AY328" i="1"/>
  <c r="F330" i="1"/>
  <c r="G330" i="1"/>
  <c r="H330" i="1"/>
  <c r="I330" i="1"/>
  <c r="J330" i="1"/>
  <c r="K330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W330" i="1"/>
  <c r="AX330" i="1"/>
  <c r="AY330" i="1"/>
  <c r="F333" i="1"/>
  <c r="G333" i="1"/>
  <c r="H333" i="1"/>
  <c r="I333" i="1"/>
  <c r="J333" i="1"/>
  <c r="K333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W333" i="1"/>
  <c r="AX333" i="1"/>
  <c r="AY333" i="1"/>
  <c r="F335" i="1"/>
  <c r="G335" i="1"/>
  <c r="H335" i="1"/>
  <c r="I335" i="1"/>
  <c r="J335" i="1"/>
  <c r="K335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AQ335" i="1"/>
  <c r="AR335" i="1"/>
  <c r="AS335" i="1"/>
  <c r="AT335" i="1"/>
  <c r="AU335" i="1"/>
  <c r="AV335" i="1"/>
  <c r="AW335" i="1"/>
  <c r="AX335" i="1"/>
  <c r="AY335" i="1"/>
  <c r="F337" i="1"/>
  <c r="G337" i="1"/>
  <c r="H337" i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AQ337" i="1"/>
  <c r="AR337" i="1"/>
  <c r="AS337" i="1"/>
  <c r="AT337" i="1"/>
  <c r="AU337" i="1"/>
  <c r="AV337" i="1"/>
  <c r="AW337" i="1"/>
  <c r="AX337" i="1"/>
  <c r="AY337" i="1"/>
  <c r="F339" i="1"/>
  <c r="G339" i="1"/>
  <c r="H339" i="1"/>
  <c r="I339" i="1"/>
  <c r="J339" i="1"/>
  <c r="K339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W339" i="1"/>
  <c r="AX339" i="1"/>
  <c r="AY339" i="1"/>
  <c r="F354" i="1"/>
  <c r="G354" i="1"/>
  <c r="H354" i="1"/>
  <c r="I354" i="1"/>
  <c r="J354" i="1"/>
  <c r="K354" i="1"/>
  <c r="L354" i="1"/>
  <c r="M354" i="1"/>
  <c r="N354" i="1"/>
  <c r="O354" i="1"/>
  <c r="P354" i="1"/>
  <c r="Q354" i="1"/>
  <c r="R354" i="1"/>
  <c r="S354" i="1"/>
  <c r="T354" i="1"/>
  <c r="U354" i="1"/>
  <c r="V354" i="1"/>
  <c r="W354" i="1"/>
  <c r="X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W354" i="1"/>
  <c r="AX354" i="1"/>
  <c r="AY354" i="1"/>
  <c r="F356" i="1"/>
  <c r="G356" i="1"/>
  <c r="H356" i="1"/>
  <c r="I356" i="1"/>
  <c r="J356" i="1"/>
  <c r="K356" i="1"/>
  <c r="L356" i="1"/>
  <c r="M356" i="1"/>
  <c r="N356" i="1"/>
  <c r="O356" i="1"/>
  <c r="P356" i="1"/>
  <c r="Q356" i="1"/>
  <c r="R356" i="1"/>
  <c r="S356" i="1"/>
  <c r="T356" i="1"/>
  <c r="U356" i="1"/>
  <c r="V356" i="1"/>
  <c r="W356" i="1"/>
  <c r="X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AQ356" i="1"/>
  <c r="AR356" i="1"/>
  <c r="AS356" i="1"/>
  <c r="AT356" i="1"/>
  <c r="AU356" i="1"/>
  <c r="AV356" i="1"/>
  <c r="AW356" i="1"/>
  <c r="AX356" i="1"/>
  <c r="AY356" i="1"/>
  <c r="F358" i="1"/>
  <c r="G358" i="1"/>
  <c r="H358" i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AQ358" i="1"/>
  <c r="AR358" i="1"/>
  <c r="AS358" i="1"/>
  <c r="AT358" i="1"/>
  <c r="AU358" i="1"/>
  <c r="AV358" i="1"/>
  <c r="AW358" i="1"/>
  <c r="AX358" i="1"/>
  <c r="AY358" i="1"/>
  <c r="F361" i="1"/>
  <c r="G361" i="1"/>
  <c r="H361" i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AQ361" i="1"/>
  <c r="AR361" i="1"/>
  <c r="AS361" i="1"/>
  <c r="AT361" i="1"/>
  <c r="AU361" i="1"/>
  <c r="AV361" i="1"/>
  <c r="AW361" i="1"/>
  <c r="AX361" i="1"/>
  <c r="AY361" i="1"/>
  <c r="F362" i="1"/>
  <c r="G362" i="1"/>
  <c r="H362" i="1"/>
  <c r="I362" i="1"/>
  <c r="J362" i="1"/>
  <c r="K362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AQ362" i="1"/>
  <c r="AR362" i="1"/>
  <c r="AS362" i="1"/>
  <c r="AT362" i="1"/>
  <c r="AU362" i="1"/>
  <c r="AV362" i="1"/>
  <c r="AW362" i="1"/>
  <c r="AX362" i="1"/>
  <c r="AY362" i="1"/>
  <c r="F363" i="1"/>
  <c r="G363" i="1"/>
  <c r="H363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W363" i="1"/>
  <c r="AX363" i="1"/>
  <c r="AY363" i="1"/>
  <c r="F364" i="1"/>
  <c r="G364" i="1"/>
  <c r="H364" i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AQ364" i="1"/>
  <c r="AR364" i="1"/>
  <c r="AS364" i="1"/>
  <c r="AT364" i="1"/>
  <c r="AU364" i="1"/>
  <c r="AV364" i="1"/>
  <c r="AW364" i="1"/>
  <c r="AX364" i="1"/>
  <c r="AY364" i="1"/>
  <c r="F365" i="1"/>
  <c r="G365" i="1"/>
  <c r="H365" i="1"/>
  <c r="I365" i="1"/>
  <c r="J365" i="1"/>
  <c r="K365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AQ365" i="1"/>
  <c r="AR365" i="1"/>
  <c r="AS365" i="1"/>
  <c r="AT365" i="1"/>
  <c r="AU365" i="1"/>
  <c r="AV365" i="1"/>
  <c r="AW365" i="1"/>
  <c r="AX365" i="1"/>
  <c r="AY365" i="1"/>
  <c r="F366" i="1"/>
  <c r="G366" i="1"/>
  <c r="H366" i="1"/>
  <c r="I366" i="1"/>
  <c r="J366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W366" i="1"/>
  <c r="AX366" i="1"/>
  <c r="AY366" i="1"/>
  <c r="F368" i="1"/>
  <c r="G368" i="1"/>
  <c r="H368" i="1"/>
  <c r="I368" i="1"/>
  <c r="J368" i="1"/>
  <c r="K368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AQ368" i="1"/>
  <c r="AR368" i="1"/>
  <c r="AS368" i="1"/>
  <c r="AT368" i="1"/>
  <c r="AU368" i="1"/>
  <c r="AV368" i="1"/>
  <c r="AW368" i="1"/>
  <c r="AX368" i="1"/>
  <c r="AY368" i="1"/>
  <c r="F369" i="1"/>
  <c r="G369" i="1"/>
  <c r="H369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W369" i="1"/>
  <c r="AX369" i="1"/>
  <c r="AY369" i="1"/>
  <c r="F370" i="1"/>
  <c r="G370" i="1"/>
  <c r="H370" i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AQ370" i="1"/>
  <c r="AR370" i="1"/>
  <c r="AS370" i="1"/>
  <c r="AT370" i="1"/>
  <c r="AU370" i="1"/>
  <c r="AV370" i="1"/>
  <c r="AW370" i="1"/>
  <c r="AX370" i="1"/>
  <c r="AY370" i="1"/>
  <c r="F371" i="1"/>
  <c r="G371" i="1"/>
  <c r="H371" i="1"/>
  <c r="I371" i="1"/>
  <c r="J371" i="1"/>
  <c r="K371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AQ371" i="1"/>
  <c r="AR371" i="1"/>
  <c r="AS371" i="1"/>
  <c r="AT371" i="1"/>
  <c r="AU371" i="1"/>
  <c r="AV371" i="1"/>
  <c r="AW371" i="1"/>
  <c r="AX371" i="1"/>
  <c r="AY371" i="1"/>
  <c r="F372" i="1"/>
  <c r="G372" i="1"/>
  <c r="H372" i="1"/>
  <c r="I372" i="1"/>
  <c r="J372" i="1"/>
  <c r="K372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W372" i="1"/>
  <c r="AX372" i="1"/>
  <c r="AY372" i="1"/>
  <c r="F373" i="1"/>
  <c r="G373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AQ373" i="1"/>
  <c r="AR373" i="1"/>
  <c r="AS373" i="1"/>
  <c r="AT373" i="1"/>
  <c r="AU373" i="1"/>
  <c r="AV373" i="1"/>
  <c r="AW373" i="1"/>
  <c r="AX373" i="1"/>
  <c r="AY373" i="1"/>
  <c r="F374" i="1"/>
  <c r="G374" i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AQ374" i="1"/>
  <c r="AR374" i="1"/>
  <c r="AS374" i="1"/>
  <c r="AT374" i="1"/>
  <c r="AU374" i="1"/>
  <c r="AV374" i="1"/>
  <c r="AW374" i="1"/>
  <c r="AX374" i="1"/>
  <c r="AY374" i="1"/>
  <c r="F375" i="1"/>
  <c r="G375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W375" i="1"/>
  <c r="AX375" i="1"/>
  <c r="AY375" i="1"/>
  <c r="F376" i="1"/>
  <c r="G376" i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AQ376" i="1"/>
  <c r="AR376" i="1"/>
  <c r="AS376" i="1"/>
  <c r="AT376" i="1"/>
  <c r="AU376" i="1"/>
  <c r="AV376" i="1"/>
  <c r="AW376" i="1"/>
  <c r="AX376" i="1"/>
  <c r="AY376" i="1"/>
  <c r="F377" i="1"/>
  <c r="G377" i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AQ377" i="1"/>
  <c r="AR377" i="1"/>
  <c r="AS377" i="1"/>
  <c r="AT377" i="1"/>
  <c r="AU377" i="1"/>
  <c r="AV377" i="1"/>
  <c r="AW377" i="1"/>
  <c r="AX377" i="1"/>
  <c r="AY377" i="1"/>
  <c r="F378" i="1"/>
  <c r="G378" i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W378" i="1"/>
  <c r="AX378" i="1"/>
  <c r="AY378" i="1"/>
  <c r="F379" i="1"/>
  <c r="G379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AQ379" i="1"/>
  <c r="AR379" i="1"/>
  <c r="AS379" i="1"/>
  <c r="AT379" i="1"/>
  <c r="AU379" i="1"/>
  <c r="AV379" i="1"/>
  <c r="AW379" i="1"/>
  <c r="AX379" i="1"/>
  <c r="AY379" i="1"/>
  <c r="F380" i="1"/>
  <c r="G380" i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AQ380" i="1"/>
  <c r="AR380" i="1"/>
  <c r="AS380" i="1"/>
  <c r="AT380" i="1"/>
  <c r="AU380" i="1"/>
  <c r="AV380" i="1"/>
  <c r="AW380" i="1"/>
  <c r="AX380" i="1"/>
  <c r="AY380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W381" i="1"/>
  <c r="AX381" i="1"/>
  <c r="AY381" i="1"/>
  <c r="F382" i="1"/>
  <c r="G382" i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AQ382" i="1"/>
  <c r="AR382" i="1"/>
  <c r="AS382" i="1"/>
  <c r="AT382" i="1"/>
  <c r="AU382" i="1"/>
  <c r="AV382" i="1"/>
  <c r="AW382" i="1"/>
  <c r="AX382" i="1"/>
  <c r="AY382" i="1"/>
  <c r="F383" i="1"/>
  <c r="G383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AQ383" i="1"/>
  <c r="AR383" i="1"/>
  <c r="AS383" i="1"/>
  <c r="AT383" i="1"/>
  <c r="AU383" i="1"/>
  <c r="AV383" i="1"/>
  <c r="AW383" i="1"/>
  <c r="AX383" i="1"/>
  <c r="AY383" i="1"/>
  <c r="F384" i="1"/>
  <c r="G384" i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W384" i="1"/>
  <c r="AX384" i="1"/>
  <c r="AY384" i="1"/>
  <c r="F385" i="1"/>
  <c r="G385" i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AQ385" i="1"/>
  <c r="AR385" i="1"/>
  <c r="AS385" i="1"/>
  <c r="AT385" i="1"/>
  <c r="AU385" i="1"/>
  <c r="AV385" i="1"/>
  <c r="AW385" i="1"/>
  <c r="AX385" i="1"/>
  <c r="AY385" i="1"/>
  <c r="F386" i="1"/>
  <c r="G386" i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AQ386" i="1"/>
  <c r="AR386" i="1"/>
  <c r="AS386" i="1"/>
  <c r="AT386" i="1"/>
  <c r="AU386" i="1"/>
  <c r="AV386" i="1"/>
  <c r="AW386" i="1"/>
  <c r="AX386" i="1"/>
  <c r="AY386" i="1"/>
  <c r="F387" i="1"/>
  <c r="G387" i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W387" i="1"/>
  <c r="AX387" i="1"/>
  <c r="AY387" i="1"/>
  <c r="F388" i="1"/>
  <c r="G388" i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AQ388" i="1"/>
  <c r="AR388" i="1"/>
  <c r="AS388" i="1"/>
  <c r="AT388" i="1"/>
  <c r="AU388" i="1"/>
  <c r="AV388" i="1"/>
  <c r="AW388" i="1"/>
  <c r="AX388" i="1"/>
  <c r="AY388" i="1"/>
</calcChain>
</file>

<file path=xl/sharedStrings.xml><?xml version="1.0" encoding="utf-8"?>
<sst xmlns="http://schemas.openxmlformats.org/spreadsheetml/2006/main" count="1010" uniqueCount="387">
  <si>
    <t>CONTEXT</t>
  </si>
  <si>
    <t>Context selection</t>
  </si>
  <si>
    <t>Management unit</t>
  </si>
  <si>
    <t>Current phase &amp; period</t>
  </si>
  <si>
    <t>Comparison 1</t>
  </si>
  <si>
    <t>Comparison 2</t>
  </si>
  <si>
    <t>Currency</t>
  </si>
  <si>
    <t>Refresh Data</t>
  </si>
  <si>
    <t>CUBE:</t>
  </si>
  <si>
    <t>Activity</t>
  </si>
  <si>
    <t>ACT_TOT</t>
  </si>
  <si>
    <t>BUDG_VC_TOT</t>
  </si>
  <si>
    <t>Gaap</t>
  </si>
  <si>
    <t>Legal_Organization</t>
  </si>
  <si>
    <t>Integration_Rate</t>
  </si>
  <si>
    <t>Management_Organization</t>
  </si>
  <si>
    <t>P&amp;L indicators</t>
  </si>
  <si>
    <t>REVENUE FROM ORDINARY ACTIVITIES</t>
  </si>
  <si>
    <t>Revenue of subcontracted transport activity</t>
  </si>
  <si>
    <t>Cost of subcontracted transport activity</t>
  </si>
  <si>
    <t>GROSS MARGIN on subcontracted activity</t>
  </si>
  <si>
    <t>Revenue (net of subcontracting)</t>
  </si>
  <si>
    <t>D - Driving Costs</t>
  </si>
  <si>
    <t>Maintenance &amp; Cleaning Staff</t>
  </si>
  <si>
    <t>Maintenance Subcontracting</t>
  </si>
  <si>
    <t>Cleaning Subcontracting</t>
  </si>
  <si>
    <t>Parts</t>
  </si>
  <si>
    <t>Tyres</t>
  </si>
  <si>
    <t>Lubricants</t>
  </si>
  <si>
    <t>Other Maintenance</t>
  </si>
  <si>
    <t>M - Maintenance Costs</t>
  </si>
  <si>
    <t>Electricity (traction)</t>
  </si>
  <si>
    <t>Fuel</t>
  </si>
  <si>
    <t>Biofuel</t>
  </si>
  <si>
    <t>Gas (traction)</t>
  </si>
  <si>
    <t>Other</t>
  </si>
  <si>
    <t xml:space="preserve">E - Energy Costs </t>
  </si>
  <si>
    <t>Renting / Fleet depreciation</t>
  </si>
  <si>
    <t>F - Fleet Costs</t>
  </si>
  <si>
    <t>Insurance &amp; Damages</t>
  </si>
  <si>
    <t>Support to operations</t>
  </si>
  <si>
    <t>Infrastructure Costs</t>
  </si>
  <si>
    <t>O - Other Costs</t>
  </si>
  <si>
    <t>Vector Reconciliation (unallocated Gross Margin items)</t>
  </si>
  <si>
    <t>GROSS MARGIN excluding subcontracted activity</t>
  </si>
  <si>
    <t>GROSS MARGIN</t>
  </si>
  <si>
    <t>Business Dev. &amp; Commercial</t>
  </si>
  <si>
    <t>Communications</t>
  </si>
  <si>
    <t>Finance</t>
  </si>
  <si>
    <t>General Management</t>
  </si>
  <si>
    <t>Facility Management</t>
  </si>
  <si>
    <t>HR</t>
  </si>
  <si>
    <t>Internal Audit</t>
  </si>
  <si>
    <t>IT</t>
  </si>
  <si>
    <t>Legal</t>
  </si>
  <si>
    <t>Purchasing</t>
  </si>
  <si>
    <t>R&amp;D</t>
  </si>
  <si>
    <t>Risk management</t>
  </si>
  <si>
    <t>QHSE</t>
  </si>
  <si>
    <t>Technical department</t>
  </si>
  <si>
    <t>Tax management</t>
  </si>
  <si>
    <t>Management fees</t>
  </si>
  <si>
    <t>Vector Reconciliation (unallocated SG&amp;A items)</t>
  </si>
  <si>
    <t>SG&amp;A</t>
  </si>
  <si>
    <t>OTHER OPERATING REVENUE AND EXPENSE</t>
  </si>
  <si>
    <t>PROFIT OR LOSS OF JOINT VENTURES</t>
  </si>
  <si>
    <t>PROFIT OR LOSS OF ASSOCIATES</t>
  </si>
  <si>
    <t>RESOP_bef_mgmt_fees - OPERATING PROFIT bef. Mgmt &amp; Brand fees</t>
  </si>
  <si>
    <t>EBIT before MF</t>
  </si>
  <si>
    <t>EBIT after MF</t>
  </si>
  <si>
    <t>% EBIT after MF</t>
  </si>
  <si>
    <t>CAPEX</t>
  </si>
  <si>
    <t>Net Industrial CAPEX - Rolling stock</t>
  </si>
  <si>
    <t>Net Industrial CAPEX - Buildings plants &amp; equipment</t>
  </si>
  <si>
    <t>Net Industrial CAPEX - IT</t>
  </si>
  <si>
    <t>Net Industrial CAPEX - Other</t>
  </si>
  <si>
    <t>TOTAL CAPEX</t>
  </si>
  <si>
    <t>Revenues from financing on behalf of third parties - I12 financial receivables</t>
  </si>
  <si>
    <t>Theorical MF (0,8%)</t>
  </si>
  <si>
    <t>Result post MF bf tax</t>
  </si>
  <si>
    <t>Capital employed with IFRS16 rights-of-use</t>
  </si>
  <si>
    <r>
      <t xml:space="preserve">RETURN ON CAPITAL EMPLOYED </t>
    </r>
    <r>
      <rPr>
        <b/>
        <sz val="9"/>
        <color theme="1"/>
        <rFont val="Calibri"/>
        <family val="2"/>
        <scheme val="minor"/>
      </rPr>
      <t>(simplified)*</t>
    </r>
  </si>
  <si>
    <t>*based on EBIT post tax &amp; theoritical tax / average CAPEM</t>
  </si>
  <si>
    <t>Tot_km_fuel</t>
  </si>
  <si>
    <t>Tot_km_biofuel</t>
  </si>
  <si>
    <t>Tot_km_elec</t>
  </si>
  <si>
    <t>Tot_km_gas</t>
  </si>
  <si>
    <t>Working units</t>
  </si>
  <si>
    <t>Total km (production)</t>
  </si>
  <si>
    <t>FTE Operations - Drivers</t>
  </si>
  <si>
    <t>FTE Maintenance - Technicians</t>
  </si>
  <si>
    <t>FTE Operations - Others</t>
  </si>
  <si>
    <t>FTE Maintenance - Others</t>
  </si>
  <si>
    <t>Total FTEs</t>
  </si>
  <si>
    <t>Fuel liters</t>
  </si>
  <si>
    <t>Biofuel liters</t>
  </si>
  <si>
    <t>kWh gas</t>
  </si>
  <si>
    <t>kWh electricity</t>
  </si>
  <si>
    <t>Fleet (Bus/Coach)</t>
  </si>
  <si>
    <t>Fleet (Light vehicles)</t>
  </si>
  <si>
    <t>Fleet (LRV)</t>
  </si>
  <si>
    <t>Fleet (Heavy Rail)</t>
  </si>
  <si>
    <t>Fleet (BRT)</t>
  </si>
  <si>
    <t>Fleet (Ferries)</t>
  </si>
  <si>
    <t>Driver absenteeism (%)</t>
  </si>
  <si>
    <t>Driver open positions</t>
  </si>
  <si>
    <t>Other KPIs</t>
  </si>
  <si>
    <t>% Driving cost</t>
  </si>
  <si>
    <t>% Maintenance</t>
  </si>
  <si>
    <t>% Energy cost</t>
  </si>
  <si>
    <t>% Fleet cost</t>
  </si>
  <si>
    <t>% Other costs</t>
  </si>
  <si>
    <t>% SG&amp;A</t>
  </si>
  <si>
    <t>(E1) Efficiency L/km (fuel)</t>
  </si>
  <si>
    <t>(E1) Efficiency L/km (biofuel)</t>
  </si>
  <si>
    <t>(E1) Efficiency kWh/km (gas)</t>
  </si>
  <si>
    <t>(E1) Efficiency kWh/km (electricity)</t>
  </si>
  <si>
    <t>(D2) Productivity km/FTE</t>
  </si>
  <si>
    <t>(M3) Tech FTE/veh</t>
  </si>
  <si>
    <t>(M4) km/veh (Bus/Coach)</t>
  </si>
  <si>
    <t>(M4) km/veh (Light vehicles)</t>
  </si>
  <si>
    <t>(M4) km/veh (LRV)</t>
  </si>
  <si>
    <t>(M4) km/veh (Heavy Rail)</t>
  </si>
  <si>
    <t>(M4) km/veh (BRT)</t>
  </si>
  <si>
    <t>(M4) km/veh (Ferries)</t>
  </si>
  <si>
    <t>Administration Generic Context :</t>
  </si>
  <si>
    <t>Server</t>
  </si>
  <si>
    <t>xServer</t>
  </si>
  <si>
    <t>tango_core_model:</t>
  </si>
  <si>
    <t>Current_Period</t>
  </si>
  <si>
    <t>z_Year</t>
  </si>
  <si>
    <t>Default_UM</t>
  </si>
  <si>
    <t>z_Year_Selected</t>
  </si>
  <si>
    <t>z_Year_N-1</t>
  </si>
  <si>
    <t>Forecast_Phase</t>
  </si>
  <si>
    <t>z_Forecast_phase</t>
  </si>
  <si>
    <t>z_Current_N-1</t>
  </si>
  <si>
    <t>z_Current_Period</t>
  </si>
  <si>
    <t>z_Year_BUG_FOR</t>
  </si>
  <si>
    <t>PL0000_DO</t>
  </si>
  <si>
    <t>TPL10_dest_nosub</t>
  </si>
  <si>
    <t>TPL10_nat</t>
  </si>
  <si>
    <t/>
  </si>
  <si>
    <t>PL1003_RC_30</t>
  </si>
  <si>
    <t>PL1115S</t>
  </si>
  <si>
    <t>PL1110_DO_10</t>
  </si>
  <si>
    <t>PL1115_DO_20</t>
  </si>
  <si>
    <t>PL1115_DO_99</t>
  </si>
  <si>
    <t>PL1140_DO_10</t>
  </si>
  <si>
    <t>PL1150_DO_10</t>
  </si>
  <si>
    <t>PL1150_DO_11</t>
  </si>
  <si>
    <t>PL1150_DO_90</t>
  </si>
  <si>
    <t>PL1151_DO_10</t>
  </si>
  <si>
    <t>PL1151_DO_11</t>
  </si>
  <si>
    <t>PL1155_DO_10</t>
  </si>
  <si>
    <t>PL1110_MF_10</t>
  </si>
  <si>
    <t>PL1115_MF_20</t>
  </si>
  <si>
    <t>PL1115_MF_11</t>
  </si>
  <si>
    <t>PL1115_MF_25</t>
  </si>
  <si>
    <t>PL1115_MF_12</t>
  </si>
  <si>
    <t>PL1115_MF_30</t>
  </si>
  <si>
    <t>PL1115_MF_31</t>
  </si>
  <si>
    <t>PL1115_MF_32</t>
  </si>
  <si>
    <t>PL1115_MF_99</t>
  </si>
  <si>
    <t>PL1115_ST_10</t>
  </si>
  <si>
    <t>PL1116_MF</t>
  </si>
  <si>
    <t>PL1116_ST</t>
  </si>
  <si>
    <t>PL1117_MF</t>
  </si>
  <si>
    <t>PL1117_ST</t>
  </si>
  <si>
    <t>PL1118_MF</t>
  </si>
  <si>
    <t>PL1118_ST</t>
  </si>
  <si>
    <t>PL1140_MF_10</t>
  </si>
  <si>
    <t>PL1145_MF</t>
  </si>
  <si>
    <t>PL1150_MF_10</t>
  </si>
  <si>
    <t>PL1150_MF_11</t>
  </si>
  <si>
    <t>PL1150_MF_20</t>
  </si>
  <si>
    <t>PL1150_MF_21</t>
  </si>
  <si>
    <t>PL1150_MF_90</t>
  </si>
  <si>
    <t>PL1151_MF_10</t>
  </si>
  <si>
    <t>PL1151_MF_11</t>
  </si>
  <si>
    <t>PL1151_MF_20</t>
  </si>
  <si>
    <t>PL1151_MF_21</t>
  </si>
  <si>
    <t>PL1155_MF_99</t>
  </si>
  <si>
    <t>PL1160_MF_15</t>
  </si>
  <si>
    <t>PL1162_MF</t>
  </si>
  <si>
    <t>PL1162_ST</t>
  </si>
  <si>
    <t>PL1115_ET_83</t>
  </si>
  <si>
    <t>PL1155_ET_18</t>
  </si>
  <si>
    <t>PL1115_ET_80</t>
  </si>
  <si>
    <t>PL1115_ET_801</t>
  </si>
  <si>
    <t>PL1115_ET_802</t>
  </si>
  <si>
    <t>PL1155_ET_15</t>
  </si>
  <si>
    <t>PL1115_ET_81</t>
  </si>
  <si>
    <t>PL1155_ET_16</t>
  </si>
  <si>
    <t>PL1115_ET_82</t>
  </si>
  <si>
    <t>PL1155_ET_17</t>
  </si>
  <si>
    <t>PL1115_ET_99</t>
  </si>
  <si>
    <t>PL1155_ET_99</t>
  </si>
  <si>
    <t>PL1115_FL_55</t>
  </si>
  <si>
    <t>PL1115_FL_56</t>
  </si>
  <si>
    <t>PL1116_FL</t>
  </si>
  <si>
    <t>PL1117_FL</t>
  </si>
  <si>
    <t>PL1118_FL</t>
  </si>
  <si>
    <t>PL1140_FL_05</t>
  </si>
  <si>
    <t>PL1150_FL_10</t>
  </si>
  <si>
    <t>PL1151_FL_10</t>
  </si>
  <si>
    <t>PL1160_FL_10</t>
  </si>
  <si>
    <t>PL1162_FL</t>
  </si>
  <si>
    <t>PL1115_FL_65</t>
  </si>
  <si>
    <t>PL1115_FL_70</t>
  </si>
  <si>
    <t>PL1155_FL_99</t>
  </si>
  <si>
    <t>PL1110_CD_10</t>
  </si>
  <si>
    <t>PL1110_CD_20</t>
  </si>
  <si>
    <t>PL1110_CD_30</t>
  </si>
  <si>
    <t>PL1115_CD_20</t>
  </si>
  <si>
    <t>PL1115_CD_40</t>
  </si>
  <si>
    <t>PL1115_CD_45</t>
  </si>
  <si>
    <t>PL1115_CD_50</t>
  </si>
  <si>
    <t>PL1115_CD_51</t>
  </si>
  <si>
    <t>PL1115_CD_99</t>
  </si>
  <si>
    <t>PL1140_CD_10</t>
  </si>
  <si>
    <t>PL1150_CD_15</t>
  </si>
  <si>
    <t>PL1150_CD_25</t>
  </si>
  <si>
    <t>PL1150_CD_90</t>
  </si>
  <si>
    <t>PL1110_CS_10</t>
  </si>
  <si>
    <t>PL1155_CS_99</t>
  </si>
  <si>
    <t>PL1115_CS_20</t>
  </si>
  <si>
    <t>PL1115_CS_99</t>
  </si>
  <si>
    <t>PL1140_CS_05</t>
  </si>
  <si>
    <t>PL1150_CS_10</t>
  </si>
  <si>
    <t>PL1150_CS_11</t>
  </si>
  <si>
    <t>PL1150_CS_90</t>
  </si>
  <si>
    <t>Cust_service</t>
  </si>
  <si>
    <t>PL1110_DS_10</t>
  </si>
  <si>
    <t>PL1116_DS</t>
  </si>
  <si>
    <t>PL1145_DS</t>
  </si>
  <si>
    <t>PL1155_DS_99</t>
  </si>
  <si>
    <t>PL1115_DS_20</t>
  </si>
  <si>
    <t>PL1115_DS_70</t>
  </si>
  <si>
    <t>PL1115_DS_75</t>
  </si>
  <si>
    <t>PL1115_DS_99</t>
  </si>
  <si>
    <t>PL1118_DS</t>
  </si>
  <si>
    <t>PL1140_DS_10</t>
  </si>
  <si>
    <t>PL1150_DS_10</t>
  </si>
  <si>
    <t>PL1150_DS_11</t>
  </si>
  <si>
    <t>PL1150_DS_90</t>
  </si>
  <si>
    <t>PL1116_IN</t>
  </si>
  <si>
    <t>PL1155_IN_99</t>
  </si>
  <si>
    <t>PL1115_IN_60</t>
  </si>
  <si>
    <t>PL1115_IN_65</t>
  </si>
  <si>
    <t>PL1115_IN_55</t>
  </si>
  <si>
    <t>PL1140_IN_05</t>
  </si>
  <si>
    <t>PL1160_IN_15</t>
  </si>
  <si>
    <t>PL1150_IN_90</t>
  </si>
  <si>
    <t>PL1110_MI_10</t>
  </si>
  <si>
    <t>PL1116_MI</t>
  </si>
  <si>
    <t>PL1145_MI</t>
  </si>
  <si>
    <t>PL1155_MI_99</t>
  </si>
  <si>
    <t>PL1115_MI_99</t>
  </si>
  <si>
    <t>PL1115_MI_12</t>
  </si>
  <si>
    <t>PL1115_MI_11</t>
  </si>
  <si>
    <t>PL1140_MI_10</t>
  </si>
  <si>
    <t>PL1150_MI_10</t>
  </si>
  <si>
    <t>PL1100_AC</t>
  </si>
  <si>
    <t>PL1110_AC_20</t>
  </si>
  <si>
    <t>PL1115_AC_65</t>
  </si>
  <si>
    <t>PL1116_AC</t>
  </si>
  <si>
    <t>PL1126_AC</t>
  </si>
  <si>
    <t>PL1140_AC_10</t>
  </si>
  <si>
    <t>PL1155_AC_99</t>
  </si>
  <si>
    <t>PL1165_AC</t>
  </si>
  <si>
    <t>PL1145_AC</t>
  </si>
  <si>
    <t>PL1150_AC_30</t>
  </si>
  <si>
    <t>PL1150_AC_31</t>
  </si>
  <si>
    <t>PL1150_AC_90</t>
  </si>
  <si>
    <t>PL1150_AC_91</t>
  </si>
  <si>
    <t>PL1170_AC</t>
  </si>
  <si>
    <t>PL1175_AC</t>
  </si>
  <si>
    <t>PL1100_XX</t>
  </si>
  <si>
    <t>PL1105_XX</t>
  </si>
  <si>
    <t>PL1110_XX</t>
  </si>
  <si>
    <t>PL1111_XX</t>
  </si>
  <si>
    <t>PL1115_XX</t>
  </si>
  <si>
    <t>PL1115A_XX</t>
  </si>
  <si>
    <t>PL1115S_XX</t>
  </si>
  <si>
    <t>PL1116_XX</t>
  </si>
  <si>
    <t>PL1117_XX</t>
  </si>
  <si>
    <t>PL1118_XX</t>
  </si>
  <si>
    <t>PL1120_XX</t>
  </si>
  <si>
    <t>PL1125_XX</t>
  </si>
  <si>
    <t>PL1126_XX</t>
  </si>
  <si>
    <t>PL1130_XX</t>
  </si>
  <si>
    <t>PL1135_XX</t>
  </si>
  <si>
    <t>PL1140_XX</t>
  </si>
  <si>
    <t>PL1145_XX</t>
  </si>
  <si>
    <t>PL1150_XX</t>
  </si>
  <si>
    <t>PL1151_XX</t>
  </si>
  <si>
    <t>PL1155_XX</t>
  </si>
  <si>
    <t>PL1160_XX</t>
  </si>
  <si>
    <t>PL1161_XX</t>
  </si>
  <si>
    <t>PL1162_XX</t>
  </si>
  <si>
    <t>PL1165_XX</t>
  </si>
  <si>
    <t>PL1170_XX</t>
  </si>
  <si>
    <t>PL1175_XX</t>
  </si>
  <si>
    <t>PL1180_XX</t>
  </si>
  <si>
    <t>PL1181_XX</t>
  </si>
  <si>
    <t>PL1182_XX</t>
  </si>
  <si>
    <t>PL1183_XX</t>
  </si>
  <si>
    <t>PL1184_XX</t>
  </si>
  <si>
    <t>GROSS_MARGIN_dest</t>
  </si>
  <si>
    <t>PL0000_BD</t>
  </si>
  <si>
    <t>PL0000_TPL12</t>
  </si>
  <si>
    <t>PL0000_CO</t>
  </si>
  <si>
    <t>PL0000_FI</t>
  </si>
  <si>
    <t>PL0000_GM</t>
  </si>
  <si>
    <t>PL0000_GS</t>
  </si>
  <si>
    <t>PL0000_HR</t>
  </si>
  <si>
    <t>PL0000_IA</t>
  </si>
  <si>
    <t>PL0000_IT</t>
  </si>
  <si>
    <t>PL0000_LE</t>
  </si>
  <si>
    <t>PL0000_PU</t>
  </si>
  <si>
    <t>PL0000_RD</t>
  </si>
  <si>
    <t>PL0000_RM</t>
  </si>
  <si>
    <t>PL0000_SE</t>
  </si>
  <si>
    <t>PL0000_TD</t>
  </si>
  <si>
    <t>PL0000_TM</t>
  </si>
  <si>
    <t>PL0000_MGF</t>
  </si>
  <si>
    <t>PL0000_TPL13</t>
  </si>
  <si>
    <t>PL0000_OO</t>
  </si>
  <si>
    <t>PL0000_TPL14</t>
  </si>
  <si>
    <t>PL1500_JV</t>
  </si>
  <si>
    <t>PL1500_XX</t>
  </si>
  <si>
    <t>PL1520_JV</t>
  </si>
  <si>
    <t>PL1520_XX</t>
  </si>
  <si>
    <t>PL1600_AS</t>
  </si>
  <si>
    <t>PL1600_XX</t>
  </si>
  <si>
    <t>PL1620_AS</t>
  </si>
  <si>
    <t>PL1620_XX</t>
  </si>
  <si>
    <t>TPL5</t>
  </si>
  <si>
    <t>RESOP_bef_mgmt_fees</t>
  </si>
  <si>
    <t>TPL1_nat</t>
  </si>
  <si>
    <t>CAPEX_RS</t>
  </si>
  <si>
    <t>DISP_RS</t>
  </si>
  <si>
    <t>CAPEX_BE</t>
  </si>
  <si>
    <t>DISP_BE</t>
  </si>
  <si>
    <t>CAPEX_Other</t>
  </si>
  <si>
    <t>DISP_Other</t>
  </si>
  <si>
    <t>PL1005I12C</t>
  </si>
  <si>
    <t>TCI1A</t>
  </si>
  <si>
    <t>Tot_km</t>
  </si>
  <si>
    <t>Nb_Drivers</t>
  </si>
  <si>
    <t>Nb_Conductors</t>
  </si>
  <si>
    <t>Nb_Maintenance_team</t>
  </si>
  <si>
    <t>Nb_FTE</t>
  </si>
  <si>
    <t>Fuel_consu</t>
  </si>
  <si>
    <t>Biofuel_consu</t>
  </si>
  <si>
    <t>Gas_consu_kwh</t>
  </si>
  <si>
    <t>Elec_consu</t>
  </si>
  <si>
    <t>Tot_km_bus_coach</t>
  </si>
  <si>
    <t>Tot_km_light_vehicle</t>
  </si>
  <si>
    <t>Tot_km_LRV</t>
  </si>
  <si>
    <t>Tot_km_heavy_rail</t>
  </si>
  <si>
    <t>Tot_km_BRT</t>
  </si>
  <si>
    <t>Tot_km_ferries</t>
  </si>
  <si>
    <t>Nb_FTE_Drivers</t>
  </si>
  <si>
    <t>Nb_FTE_Maintenance_Technicians</t>
  </si>
  <si>
    <t>Nb_FTE_Operations_Others</t>
  </si>
  <si>
    <t>Nb_FTE_Maintenance_Others</t>
  </si>
  <si>
    <t>CAPEX_IT</t>
  </si>
  <si>
    <t>DISP_IT</t>
  </si>
  <si>
    <t>Tot_nb_bus_coach</t>
  </si>
  <si>
    <t>Tot_nb_light_vehicle</t>
  </si>
  <si>
    <t>Tot_nb_LRV</t>
  </si>
  <si>
    <t>Tot_nb_heavy_rail</t>
  </si>
  <si>
    <t>Tot_nb_BRT</t>
  </si>
  <si>
    <t>Tot_nb_ferries</t>
  </si>
  <si>
    <t>Driver_absenteeism</t>
  </si>
  <si>
    <t>Driver_turnover</t>
  </si>
  <si>
    <t>Nb_Driver_open_positions</t>
  </si>
  <si>
    <t>Customer Service</t>
  </si>
  <si>
    <t>tango_core_model</t>
  </si>
  <si>
    <t>PL1155_ET_17 - Reinvoicing - Gas</t>
  </si>
  <si>
    <t>Driver turnover (%)</t>
  </si>
  <si>
    <t>Legal Entity</t>
  </si>
  <si>
    <t>APP</t>
  </si>
  <si>
    <t>Tot_act</t>
  </si>
  <si>
    <t>z_Legal_Organization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</si>
</sst>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164" formatCode="_-* #,##0.00\ _€_-;\-* #,##0.00\ _€_-;_-* &quot;-&quot;??\ _€_-;_-@_-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_-* #,##0.0\ _€_-;\-* #,##0.0\ _€_-;_-* &quot;-&quot;??\ _€_-;_-@_-"/>
    <numFmt numFmtId="169" formatCode="_-* #,##0.0\ _€_-;\-* #,##0.0\ _€_-;_-* &quot;-&quot;?\ _€_-;_-@_-"/>
    <numFmt numFmtId="170" formatCode="0.0%"/>
    <numFmt numFmtId="171" formatCode="&quot;$&quot;\ \ \ #,##0;\(&quot;$&quot;\ \ \ #,##0\)"/>
    <numFmt numFmtId="172" formatCode="#,##0;\(#,##0\)"/>
    <numFmt numFmtId="173" formatCode="#,##0.0;\(#,##0.0\);\-"/>
    <numFmt numFmtId="174" formatCode="_(* #,##0_);_(* \(#,##0\);_(* &quot;&quot;\ \-\ &quot;&quot;_);_(@_)"/>
    <numFmt numFmtId="175" formatCode="_(* #,##0.0_%_);_(* \(#,##0.0_%\);_(* &quot; - &quot;_%_);_(@_)"/>
    <numFmt numFmtId="176" formatCode="_(* #,##0.0%_);_(* \(#,##0.0%\);_(* &quot; - &quot;\%_);_(@_)"/>
    <numFmt numFmtId="177" formatCode="_(* #,##0_);_(* \(#,##0\);_(* &quot; - &quot;_);_(@_)"/>
    <numFmt numFmtId="178" formatCode="_(* #,##0.0_);_(* \(#,##0.0\);_(* &quot; - &quot;_);_(@_)"/>
    <numFmt numFmtId="179" formatCode="_(* #,##0.00_);_(* \(#,##0.00\);_(* &quot; - &quot;_);_(@_)"/>
    <numFmt numFmtId="180" formatCode="_(* #,##0.000_);_(* \(#,##0.000\);_(* &quot; - &quot;_);_(@_)"/>
    <numFmt numFmtId="181" formatCode="#,##0;\(#,##0\);&quot;-&quot;"/>
    <numFmt numFmtId="182" formatCode="#,##0.0_)\x;\(#,##0.0\)\x;#,##0.0_)\x;@_)_x"/>
    <numFmt numFmtId="183" formatCode="#,##0.0&quot; &quot;;\(#,##0.0\)&quot;&quot;;&quot;- &quot;"/>
    <numFmt numFmtId="184" formatCode="_-* #,##0.0000\ _€_-;\-* #,##0.0000\ _€_-;_-* &quot;-&quot;????\ _€_-;_-@_-"/>
    <numFmt numFmtId="185" formatCode="_-* #,##0.000\ _€_-;\-* #,##0.000\ _€_-;_-* &quot;-&quot;?\ _€_-;_-@_-"/>
    <numFmt numFmtId="186" formatCode="#,##0.0\ _€;\-#,##0.0\ _€;&quot;-&quot;"/>
  </numFmts>
  <fonts count="9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Verdana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2"/>
      <name val="Times New Roman"/>
      <family val="1"/>
    </font>
    <font>
      <sz val="11"/>
      <color indexed="10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sz val="11"/>
      <color indexed="62"/>
      <name val="Calibri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u/>
      <sz val="10"/>
      <color indexed="14"/>
      <name val="MS Sans Serif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1"/>
      <color indexed="20"/>
      <name val="Calibri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1"/>
      <color indexed="60"/>
      <name val="Calibri"/>
      <family val="2"/>
    </font>
    <font>
      <sz val="10"/>
      <name val="Courier"/>
      <family val="3"/>
    </font>
    <font>
      <sz val="12"/>
      <name val="Arial MT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sz val="11"/>
      <color indexed="17"/>
      <name val="Calibri"/>
      <family val="2"/>
    </font>
    <font>
      <sz val="10"/>
      <color indexed="12"/>
      <name val="Times New Roman"/>
      <family val="1"/>
    </font>
    <font>
      <b/>
      <sz val="11"/>
      <color indexed="63"/>
      <name val="Calibri"/>
      <family val="2"/>
    </font>
    <font>
      <b/>
      <sz val="8"/>
      <name val="Arial"/>
      <family val="2"/>
    </font>
    <font>
      <i/>
      <sz val="11"/>
      <color indexed="23"/>
      <name val="Calibri"/>
      <family val="2"/>
    </font>
    <font>
      <b/>
      <sz val="12"/>
      <name val="Avant Garde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name val="Helv"/>
    </font>
    <font>
      <b/>
      <sz val="11"/>
      <color indexed="9"/>
      <name val="Calibri"/>
      <family val="2"/>
    </font>
    <font>
      <b/>
      <sz val="10"/>
      <color indexed="12"/>
      <name val="Book Antiqua"/>
      <family val="1"/>
    </font>
    <font>
      <i/>
      <sz val="11"/>
      <color rgb="FFFF0000"/>
      <name val="Calibri"/>
      <family val="2"/>
      <scheme val="minor"/>
    </font>
    <font>
      <b/>
      <sz val="11"/>
      <color rgb="FF3391AA"/>
      <name val="Calibri"/>
      <family val="2"/>
      <scheme val="minor"/>
    </font>
    <font>
      <b/>
      <sz val="14"/>
      <color rgb="FF3391AA"/>
      <name val="Calibri"/>
      <family val="2"/>
      <scheme val="minor"/>
    </font>
    <font>
      <b/>
      <sz val="18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2"/>
      <color rgb="FF000000"/>
      <name val="Calibri"/>
      <family val="2"/>
    </font>
    <font>
      <sz val="11"/>
      <name val="Arial"/>
      <family val="2"/>
    </font>
    <font>
      <sz val="12"/>
      <color indexed="8"/>
      <name val="Calibri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3391AA"/>
      <name val="Calibri"/>
      <family val="2"/>
    </font>
    <font>
      <b/>
      <sz val="10"/>
      <color indexed="9"/>
      <name val="Calibri"/>
      <family val="2"/>
    </font>
    <font>
      <b/>
      <sz val="12"/>
      <color indexed="9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65"/>
        <bgColor indexed="1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9B8C7"/>
        <bgColor indexed="64"/>
      </patternFill>
    </fill>
    <fill>
      <patternFill patternType="solid">
        <fgColor rgb="FFB5E3E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</fills>
  <borders count="3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426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167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" fillId="0" borderId="0" applyNumberFormat="0" applyBorder="0" applyAlignment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1" fontId="12" fillId="0" borderId="0" applyAlignment="0"/>
    <xf numFmtId="10" fontId="13" fillId="0" borderId="0"/>
    <xf numFmtId="9" fontId="14" fillId="0" borderId="0"/>
    <xf numFmtId="0" fontId="14" fillId="0" borderId="0"/>
    <xf numFmtId="10" fontId="14" fillId="0" borderId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2" fontId="14" fillId="0" borderId="0"/>
    <xf numFmtId="3" fontId="12" fillId="0" borderId="0"/>
    <xf numFmtId="2" fontId="12" fillId="0" borderId="0"/>
    <xf numFmtId="10" fontId="12" fillId="0" borderId="0" applyFont="0" applyBorder="0" applyAlignment="0">
      <alignment horizontal="centerContinuous"/>
    </xf>
    <xf numFmtId="0" fontId="15" fillId="0" borderId="11" applyFont="0" applyFill="0" applyBorder="0" applyAlignment="0" applyProtection="0"/>
    <xf numFmtId="172" fontId="14" fillId="0" borderId="0"/>
    <xf numFmtId="172" fontId="14" fillId="0" borderId="0"/>
    <xf numFmtId="172" fontId="14" fillId="0" borderId="0"/>
    <xf numFmtId="1" fontId="12" fillId="0" borderId="0" applyFont="0" applyAlignment="0">
      <alignment horizontal="centerContinuous"/>
    </xf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8" fillId="0" borderId="7" applyFont="0">
      <alignment horizontal="centerContinuous"/>
    </xf>
    <xf numFmtId="0" fontId="19" fillId="0" borderId="0" applyNumberFormat="0" applyFill="0" applyBorder="0" applyAlignment="0" applyProtection="0"/>
    <xf numFmtId="0" fontId="20" fillId="0" borderId="0"/>
    <xf numFmtId="9" fontId="13" fillId="0" borderId="0"/>
    <xf numFmtId="0" fontId="13" fillId="0" borderId="0"/>
    <xf numFmtId="0" fontId="1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3" fillId="0" borderId="0"/>
    <xf numFmtId="0" fontId="13" fillId="0" borderId="0"/>
    <xf numFmtId="0" fontId="21" fillId="0" borderId="0"/>
    <xf numFmtId="0" fontId="14" fillId="0" borderId="0"/>
    <xf numFmtId="38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4" fillId="0" borderId="0"/>
    <xf numFmtId="0" fontId="18" fillId="0" borderId="7" applyNumberFormat="0" applyFill="0" applyAlignment="0" applyProtection="0"/>
    <xf numFmtId="0" fontId="22" fillId="0" borderId="7" applyNumberFormat="0" applyFont="0" applyFill="0" applyAlignment="0" applyProtection="0"/>
    <xf numFmtId="0" fontId="20" fillId="0" borderId="6"/>
    <xf numFmtId="0" fontId="14" fillId="0" borderId="7">
      <alignment horizontal="centerContinuous"/>
    </xf>
    <xf numFmtId="0" fontId="21" fillId="0" borderId="12" applyBorder="0">
      <alignment horizontal="centerContinuous"/>
    </xf>
    <xf numFmtId="0" fontId="1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13" fillId="0" borderId="0"/>
    <xf numFmtId="0" fontId="24" fillId="0" borderId="0"/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4" fillId="0" borderId="0"/>
    <xf numFmtId="37" fontId="14" fillId="0" borderId="0">
      <alignment horizontal="center"/>
    </xf>
    <xf numFmtId="0" fontId="18" fillId="0" borderId="0"/>
    <xf numFmtId="0" fontId="25" fillId="28" borderId="13" applyNumberFormat="0" applyAlignment="0" applyProtection="0"/>
    <xf numFmtId="0" fontId="26" fillId="0" borderId="14" applyNumberFormat="0" applyFill="0" applyAlignment="0" applyProtection="0"/>
    <xf numFmtId="173" fontId="21" fillId="0" borderId="0">
      <alignment horizontal="right" wrapText="1"/>
    </xf>
    <xf numFmtId="0" fontId="14" fillId="0" borderId="0"/>
    <xf numFmtId="0" fontId="27" fillId="0" borderId="0" applyFont="0" applyFill="0" applyBorder="0" applyAlignment="0" applyProtection="0"/>
    <xf numFmtId="40" fontId="27" fillId="0" borderId="0" applyFont="0" applyFill="0" applyBorder="0" applyAlignment="0" applyProtection="0"/>
    <xf numFmtId="0" fontId="16" fillId="29" borderId="15" applyNumberFormat="0" applyFont="0" applyAlignment="0" applyProtection="0"/>
    <xf numFmtId="0" fontId="16" fillId="29" borderId="15" applyNumberFormat="0" applyFont="0" applyAlignment="0" applyProtection="0"/>
    <xf numFmtId="0" fontId="16" fillId="29" borderId="15" applyNumberFormat="0" applyFont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49" fontId="29" fillId="30" borderId="0">
      <alignment vertical="center"/>
    </xf>
    <xf numFmtId="0" fontId="14" fillId="0" borderId="0" applyFont="0" applyFill="0" applyBorder="0" applyAlignment="0" applyProtection="0"/>
    <xf numFmtId="174" fontId="30" fillId="31" borderId="0">
      <alignment horizontal="right"/>
    </xf>
    <xf numFmtId="167" fontId="21" fillId="0" borderId="0" applyFont="0" applyFill="0" applyBorder="0" applyAlignment="0" applyProtection="0"/>
    <xf numFmtId="0" fontId="31" fillId="15" borderId="13" applyNumberFormat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75" fontId="32" fillId="0" borderId="0">
      <alignment horizontal="right" vertical="top"/>
    </xf>
    <xf numFmtId="176" fontId="33" fillId="0" borderId="0">
      <alignment horizontal="right" vertical="top"/>
    </xf>
    <xf numFmtId="176" fontId="32" fillId="0" borderId="0">
      <alignment horizontal="right" vertical="top"/>
    </xf>
    <xf numFmtId="177" fontId="33" fillId="0" borderId="0" applyFill="0" applyBorder="0">
      <alignment horizontal="right" vertical="top"/>
    </xf>
    <xf numFmtId="178" fontId="33" fillId="0" borderId="0" applyFill="0" applyBorder="0">
      <alignment horizontal="right" vertical="top"/>
    </xf>
    <xf numFmtId="179" fontId="33" fillId="0" borderId="0" applyFill="0" applyBorder="0">
      <alignment horizontal="right" vertical="top"/>
    </xf>
    <xf numFmtId="180" fontId="33" fillId="0" borderId="0" applyFill="0" applyBorder="0">
      <alignment horizontal="right" vertical="top"/>
    </xf>
    <xf numFmtId="0" fontId="34" fillId="0" borderId="0">
      <alignment horizontal="center" wrapText="1"/>
    </xf>
    <xf numFmtId="181" fontId="35" fillId="0" borderId="0" applyFill="0" applyBorder="0">
      <alignment vertical="top"/>
    </xf>
    <xf numFmtId="181" fontId="36" fillId="0" borderId="0" applyFill="0" applyBorder="0" applyProtection="0">
      <alignment vertical="top"/>
    </xf>
    <xf numFmtId="181" fontId="37" fillId="0" borderId="0">
      <alignment vertical="top"/>
    </xf>
    <xf numFmtId="165" fontId="33" fillId="0" borderId="0" applyFill="0" applyBorder="0" applyAlignment="0" applyProtection="0">
      <alignment horizontal="right" vertical="top"/>
    </xf>
    <xf numFmtId="181" fontId="38" fillId="0" borderId="0"/>
    <xf numFmtId="0" fontId="33" fillId="0" borderId="0" applyFill="0" applyBorder="0">
      <alignment horizontal="left" vertical="top"/>
    </xf>
    <xf numFmtId="0" fontId="39" fillId="0" borderId="0" applyNumberFormat="0" applyFill="0" applyBorder="0" applyAlignment="0" applyProtection="0"/>
    <xf numFmtId="0" fontId="29" fillId="32" borderId="0">
      <alignment horizontal="right" vertical="center"/>
    </xf>
    <xf numFmtId="0" fontId="21" fillId="33" borderId="0"/>
    <xf numFmtId="0" fontId="40" fillId="0" borderId="0" applyNumberFormat="0" applyFill="0" applyProtection="0">
      <alignment horizontal="left"/>
    </xf>
    <xf numFmtId="0" fontId="41" fillId="0" borderId="0" applyNumberFormat="0" applyFill="0" applyBorder="0" applyAlignment="0" applyProtection="0"/>
    <xf numFmtId="0" fontId="14" fillId="16" borderId="0" applyNumberFormat="0" applyFont="0" applyBorder="0" applyAlignment="0">
      <protection locked="0"/>
    </xf>
    <xf numFmtId="0" fontId="13" fillId="0" borderId="0" applyNumberFormat="0" applyFill="0" applyBorder="0" applyAlignment="0">
      <protection locked="0"/>
    </xf>
    <xf numFmtId="0" fontId="42" fillId="0" borderId="0" applyNumberFormat="0" applyFill="0" applyBorder="0" applyAlignment="0"/>
    <xf numFmtId="0" fontId="43" fillId="11" borderId="0" applyNumberFormat="0" applyBorder="0" applyAlignment="0" applyProtection="0"/>
    <xf numFmtId="38" fontId="44" fillId="0" borderId="0"/>
    <xf numFmtId="38" fontId="45" fillId="0" borderId="0"/>
    <xf numFmtId="38" fontId="46" fillId="0" borderId="0"/>
    <xf numFmtId="38" fontId="47" fillId="0" borderId="0"/>
    <xf numFmtId="0" fontId="48" fillId="0" borderId="0"/>
    <xf numFmtId="0" fontId="48" fillId="0" borderId="0"/>
    <xf numFmtId="0" fontId="29" fillId="34" borderId="0">
      <alignment horizontal="right" vertical="center"/>
    </xf>
    <xf numFmtId="164" fontId="1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49" fontId="49" fillId="30" borderId="0">
      <alignment horizontal="centerContinuous" vertical="center"/>
    </xf>
    <xf numFmtId="0" fontId="50" fillId="35" borderId="0" applyNumberFormat="0" applyBorder="0" applyAlignment="0" applyProtection="0"/>
    <xf numFmtId="0" fontId="20" fillId="0" borderId="0">
      <alignment horizontal="left"/>
    </xf>
    <xf numFmtId="0" fontId="5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53" fillId="0" borderId="0"/>
    <xf numFmtId="0" fontId="2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54" fillId="31" borderId="0">
      <alignment horizontal="left" vertical="top" wrapText="1"/>
    </xf>
    <xf numFmtId="10" fontId="14" fillId="0" borderId="3"/>
    <xf numFmtId="10" fontId="14" fillId="0" borderId="3"/>
    <xf numFmtId="10" fontId="14" fillId="0" borderId="3"/>
    <xf numFmtId="10" fontId="14" fillId="0" borderId="3"/>
    <xf numFmtId="49" fontId="55" fillId="0" borderId="7" applyFill="0" applyProtection="0">
      <alignment vertical="center"/>
    </xf>
    <xf numFmtId="0" fontId="20" fillId="0" borderId="0"/>
    <xf numFmtId="0" fontId="56" fillId="0" borderId="0"/>
    <xf numFmtId="9" fontId="22" fillId="0" borderId="0" applyFont="0" applyFill="0" applyBorder="0" applyAlignment="0" applyProtection="0"/>
    <xf numFmtId="0" fontId="57" fillId="0" borderId="0" applyFont="0" applyFill="0" applyBorder="0" applyAlignment="0" applyProtection="0"/>
    <xf numFmtId="10" fontId="21" fillId="0" borderId="0" applyFont="0" applyFill="0" applyBorder="0" applyAlignment="0" applyProtection="0"/>
    <xf numFmtId="0" fontId="58" fillId="0" borderId="0" applyFont="0" applyFill="0" applyBorder="0" applyAlignment="0" applyProtection="0">
      <alignment horizontal="center"/>
    </xf>
    <xf numFmtId="0" fontId="58" fillId="0" borderId="0" applyFont="0" applyFill="0" applyBorder="0" applyAlignment="0" applyProtection="0">
      <alignment horizontal="center"/>
    </xf>
    <xf numFmtId="0" fontId="58" fillId="0" borderId="0" applyFont="0" applyFill="0" applyBorder="0" applyAlignment="0" applyProtection="0">
      <alignment horizontal="center"/>
    </xf>
    <xf numFmtId="9" fontId="2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59" fillId="0" borderId="7"/>
    <xf numFmtId="10" fontId="20" fillId="0" borderId="2"/>
    <xf numFmtId="10" fontId="21" fillId="0" borderId="0"/>
    <xf numFmtId="2" fontId="14" fillId="0" borderId="0">
      <alignment horizontal="right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0"/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1" fillId="0" borderId="0">
      <alignment horizontal="center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2" fillId="12" borderId="0" applyNumberFormat="0" applyBorder="0" applyAlignment="0" applyProtection="0"/>
    <xf numFmtId="0" fontId="63" fillId="33" borderId="0" applyNumberFormat="0" applyFont="0" applyBorder="0" applyAlignment="0" applyProtection="0"/>
    <xf numFmtId="0" fontId="29" fillId="30" borderId="0">
      <alignment horizontal="right" vertical="center"/>
    </xf>
    <xf numFmtId="0" fontId="64" fillId="28" borderId="16" applyNumberFormat="0" applyAlignment="0" applyProtection="0"/>
    <xf numFmtId="0" fontId="21" fillId="0" borderId="0"/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"/>
    </xf>
    <xf numFmtId="0" fontId="65" fillId="31" borderId="0"/>
    <xf numFmtId="0" fontId="30" fillId="31" borderId="0">
      <alignment horizontal="left"/>
    </xf>
    <xf numFmtId="0" fontId="30" fillId="31" borderId="0">
      <alignment horizontal="left" indent="1"/>
    </xf>
    <xf numFmtId="0" fontId="30" fillId="31" borderId="0">
      <alignment horizontal="left" vertical="center" indent="2"/>
    </xf>
    <xf numFmtId="0" fontId="66" fillId="0" borderId="0" applyNumberFormat="0" applyFill="0" applyBorder="0" applyAlignment="0" applyProtection="0"/>
    <xf numFmtId="0" fontId="67" fillId="0" borderId="5" applyNumberFormat="0" applyFill="0" applyBorder="0" applyAlignment="0" applyProtection="0">
      <alignment horizontal="left"/>
    </xf>
    <xf numFmtId="0" fontId="68" fillId="0" borderId="0" applyNumberFormat="0" applyFill="0" applyBorder="0" applyAlignment="0" applyProtection="0"/>
    <xf numFmtId="0" fontId="69" fillId="0" borderId="17" applyNumberFormat="0" applyFill="0" applyAlignment="0" applyProtection="0"/>
    <xf numFmtId="0" fontId="70" fillId="0" borderId="18" applyNumberFormat="0" applyFill="0" applyAlignment="0" applyProtection="0"/>
    <xf numFmtId="0" fontId="71" fillId="0" borderId="19" applyNumberFormat="0" applyFill="0" applyAlignment="0" applyProtection="0"/>
    <xf numFmtId="0" fontId="71" fillId="0" borderId="0" applyNumberFormat="0" applyFill="0" applyBorder="0" applyAlignment="0" applyProtection="0"/>
    <xf numFmtId="0" fontId="22" fillId="0" borderId="20" applyNumberFormat="0" applyFont="0" applyFill="0" applyAlignment="0" applyProtection="0"/>
    <xf numFmtId="0" fontId="72" fillId="0" borderId="21" applyNumberFormat="0" applyFill="0" applyAlignment="0" applyProtection="0"/>
    <xf numFmtId="0" fontId="73" fillId="0" borderId="0"/>
    <xf numFmtId="0" fontId="74" fillId="36" borderId="22" applyNumberFormat="0" applyAlignment="0" applyProtection="0"/>
    <xf numFmtId="1" fontId="75" fillId="0" borderId="7">
      <alignment horizontal="center"/>
    </xf>
    <xf numFmtId="183" fontId="14" fillId="0" borderId="0" applyFont="0" applyFill="0" applyBorder="0" applyAlignment="0" applyProtection="0">
      <alignment horizontal="right" vertical="center"/>
    </xf>
    <xf numFmtId="0" fontId="21" fillId="0" borderId="0"/>
  </cellStyleXfs>
  <cellXfs count="114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5" fillId="3" borderId="0" xfId="0" applyFon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4" fillId="0" borderId="0" xfId="1" applyNumberFormat="1" applyFont="1" applyBorder="1" applyAlignment="1">
      <alignment horizontal="center"/>
    </xf>
    <xf numFmtId="0" fontId="9" fillId="0" borderId="0" xfId="0" applyFont="1"/>
    <xf numFmtId="0" fontId="6" fillId="3" borderId="0" xfId="0" applyFont="1" applyFill="1" applyAlignment="1">
      <alignment horizontal="center"/>
    </xf>
    <xf numFmtId="0" fontId="9" fillId="5" borderId="0" xfId="2" applyFont="1" applyFill="1" applyAlignment="1">
      <alignment horizontal="left" indent="2"/>
    </xf>
    <xf numFmtId="168" fontId="9" fillId="0" borderId="0" xfId="1" applyNumberFormat="1" applyFont="1" applyBorder="1" applyAlignment="1">
      <alignment horizontal="center"/>
    </xf>
    <xf numFmtId="0" fontId="6" fillId="4" borderId="4" xfId="7" applyFont="1" applyFill="1" applyBorder="1"/>
    <xf numFmtId="0" fontId="9" fillId="0" borderId="0" xfId="0" applyFont="1" applyAlignment="1">
      <alignment horizontal="center"/>
    </xf>
    <xf numFmtId="0" fontId="6" fillId="4" borderId="4" xfId="2" applyFont="1" applyFill="1" applyBorder="1"/>
    <xf numFmtId="0" fontId="9" fillId="7" borderId="0" xfId="2" applyFont="1" applyFill="1"/>
    <xf numFmtId="0" fontId="9" fillId="7" borderId="8" xfId="2" applyFont="1" applyFill="1" applyBorder="1"/>
    <xf numFmtId="168" fontId="9" fillId="7" borderId="8" xfId="0" applyNumberFormat="1" applyFont="1" applyFill="1" applyBorder="1" applyAlignment="1">
      <alignment horizontal="center"/>
    </xf>
    <xf numFmtId="0" fontId="9" fillId="7" borderId="6" xfId="2" applyFont="1" applyFill="1" applyBorder="1"/>
    <xf numFmtId="0" fontId="9" fillId="7" borderId="7" xfId="2" applyFont="1" applyFill="1" applyBorder="1"/>
    <xf numFmtId="0" fontId="9" fillId="0" borderId="9" xfId="2" applyFont="1" applyBorder="1"/>
    <xf numFmtId="0" fontId="8" fillId="8" borderId="4" xfId="7" applyFont="1" applyFill="1" applyBorder="1"/>
    <xf numFmtId="0" fontId="11" fillId="9" borderId="4" xfId="7" applyFont="1" applyFill="1" applyBorder="1"/>
    <xf numFmtId="170" fontId="11" fillId="9" borderId="4" xfId="10" applyNumberFormat="1" applyFont="1" applyFill="1" applyBorder="1" applyAlignment="1">
      <alignment horizontal="right"/>
    </xf>
    <xf numFmtId="0" fontId="11" fillId="7" borderId="8" xfId="2" applyFont="1" applyFill="1" applyBorder="1"/>
    <xf numFmtId="169" fontId="9" fillId="0" borderId="0" xfId="1" applyNumberFormat="1" applyFont="1" applyBorder="1" applyAlignment="1">
      <alignment horizontal="center"/>
    </xf>
    <xf numFmtId="168" fontId="6" fillId="3" borderId="0" xfId="0" applyNumberFormat="1" applyFont="1" applyFill="1" applyAlignment="1">
      <alignment horizontal="center"/>
    </xf>
    <xf numFmtId="0" fontId="7" fillId="0" borderId="0" xfId="0" applyFont="1" applyAlignment="1">
      <alignment horizontal="center" vertical="center" textRotation="90"/>
    </xf>
    <xf numFmtId="0" fontId="11" fillId="0" borderId="0" xfId="7" applyFont="1"/>
    <xf numFmtId="184" fontId="9" fillId="0" borderId="0" xfId="0" applyNumberFormat="1" applyFont="1" applyAlignment="1">
      <alignment horizontal="center"/>
    </xf>
    <xf numFmtId="169" fontId="6" fillId="3" borderId="0" xfId="0" applyNumberFormat="1" applyFont="1" applyFill="1" applyAlignment="1">
      <alignment horizontal="center"/>
    </xf>
    <xf numFmtId="185" fontId="9" fillId="0" borderId="0" xfId="1" applyNumberFormat="1" applyFont="1" applyFill="1" applyBorder="1" applyAlignment="1">
      <alignment horizontal="center"/>
    </xf>
    <xf numFmtId="186" fontId="6" fillId="4" borderId="4" xfId="1" applyNumberFormat="1" applyFont="1" applyFill="1" applyBorder="1" applyAlignment="1">
      <alignment horizontal="right"/>
    </xf>
    <xf numFmtId="186" fontId="9" fillId="0" borderId="0" xfId="1" applyNumberFormat="1" applyFont="1" applyBorder="1" applyAlignment="1">
      <alignment horizontal="right"/>
    </xf>
    <xf numFmtId="186" fontId="9" fillId="7" borderId="0" xfId="1" applyNumberFormat="1" applyFont="1" applyFill="1" applyBorder="1" applyAlignment="1">
      <alignment horizontal="right"/>
    </xf>
    <xf numFmtId="186" fontId="9" fillId="7" borderId="8" xfId="1" applyNumberFormat="1" applyFont="1" applyFill="1" applyBorder="1" applyAlignment="1">
      <alignment horizontal="right"/>
    </xf>
    <xf numFmtId="186" fontId="6" fillId="4" borderId="4" xfId="7" applyNumberFormat="1" applyFont="1" applyFill="1" applyBorder="1" applyAlignment="1">
      <alignment horizontal="right"/>
    </xf>
    <xf numFmtId="186" fontId="11" fillId="7" borderId="8" xfId="1" applyNumberFormat="1" applyFont="1" applyFill="1" applyBorder="1" applyAlignment="1">
      <alignment horizontal="right"/>
    </xf>
    <xf numFmtId="186" fontId="8" fillId="8" borderId="4" xfId="7" applyNumberFormat="1" applyFont="1" applyFill="1" applyBorder="1" applyAlignment="1">
      <alignment horizontal="right"/>
    </xf>
    <xf numFmtId="186" fontId="9" fillId="7" borderId="0" xfId="0" applyNumberFormat="1" applyFont="1" applyFill="1" applyAlignment="1">
      <alignment horizontal="right"/>
    </xf>
    <xf numFmtId="186" fontId="9" fillId="7" borderId="8" xfId="0" applyNumberFormat="1" applyFont="1" applyFill="1" applyBorder="1" applyAlignment="1">
      <alignment horizontal="right"/>
    </xf>
    <xf numFmtId="186" fontId="9" fillId="7" borderId="10" xfId="0" applyNumberFormat="1" applyFont="1" applyFill="1" applyBorder="1" applyAlignment="1">
      <alignment horizontal="right"/>
    </xf>
    <xf numFmtId="186" fontId="9" fillId="7" borderId="7" xfId="0" applyNumberFormat="1" applyFont="1" applyFill="1" applyBorder="1" applyAlignment="1">
      <alignment horizontal="right"/>
    </xf>
    <xf numFmtId="170" fontId="6" fillId="4" borderId="4" xfId="10" applyNumberFormat="1" applyFont="1" applyFill="1" applyBorder="1" applyAlignment="1">
      <alignment horizontal="right"/>
    </xf>
    <xf numFmtId="164" fontId="9" fillId="7" borderId="6" xfId="1" applyFont="1" applyFill="1" applyBorder="1" applyAlignment="1">
      <alignment horizontal="right"/>
    </xf>
    <xf numFmtId="164" fontId="9" fillId="7" borderId="0" xfId="1" applyFont="1" applyFill="1" applyBorder="1" applyAlignment="1">
      <alignment horizontal="right"/>
    </xf>
    <xf numFmtId="164" fontId="9" fillId="7" borderId="8" xfId="1" applyFont="1" applyFill="1" applyBorder="1" applyAlignment="1">
      <alignment horizontal="right"/>
    </xf>
    <xf numFmtId="164" fontId="9" fillId="7" borderId="7" xfId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78" fillId="0" borderId="0" xfId="0" applyFont="1"/>
    <xf numFmtId="0" fontId="0" fillId="0" borderId="0" xfId="0" applyAlignment="1">
      <alignment horizontal="right"/>
    </xf>
    <xf numFmtId="0" fontId="11" fillId="0" borderId="0" xfId="0" applyFont="1" applyAlignment="1">
      <alignment horizontal="right"/>
    </xf>
    <xf numFmtId="0" fontId="9" fillId="0" borderId="0" xfId="2" applyFont="1"/>
    <xf numFmtId="186" fontId="76" fillId="0" borderId="0" xfId="1" applyNumberFormat="1" applyFont="1" applyFill="1" applyBorder="1" applyAlignment="1">
      <alignment horizontal="right"/>
    </xf>
    <xf numFmtId="0" fontId="9" fillId="7" borderId="24" xfId="2" applyFont="1" applyFill="1" applyBorder="1"/>
    <xf numFmtId="0" fontId="7" fillId="0" borderId="0" xfId="0" applyFont="1" applyAlignment="1">
      <alignment vertical="center" textRotation="90"/>
    </xf>
    <xf numFmtId="170" fontId="6" fillId="0" borderId="0" xfId="10" applyNumberFormat="1" applyFont="1" applyFill="1" applyBorder="1" applyAlignment="1">
      <alignment horizontal="right"/>
    </xf>
    <xf numFmtId="164" fontId="9" fillId="0" borderId="0" xfId="1" applyFont="1" applyFill="1" applyBorder="1" applyAlignment="1">
      <alignment horizontal="right"/>
    </xf>
    <xf numFmtId="39" fontId="9" fillId="7" borderId="8" xfId="1" applyNumberFormat="1" applyFont="1" applyFill="1" applyBorder="1" applyAlignment="1">
      <alignment horizontal="right"/>
    </xf>
    <xf numFmtId="39" fontId="9" fillId="7" borderId="6" xfId="1" applyNumberFormat="1" applyFont="1" applyFill="1" applyBorder="1" applyAlignment="1">
      <alignment horizontal="right"/>
    </xf>
    <xf numFmtId="39" fontId="9" fillId="7" borderId="24" xfId="1" applyNumberFormat="1" applyFont="1" applyFill="1" applyBorder="1" applyAlignment="1">
      <alignment horizontal="right"/>
    </xf>
    <xf numFmtId="0" fontId="8" fillId="6" borderId="25" xfId="0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80" fillId="0" borderId="0" xfId="7" applyFont="1"/>
    <xf numFmtId="0" fontId="0" fillId="37" borderId="0" xfId="0" applyFill="1"/>
    <xf numFmtId="0" fontId="0" fillId="0" borderId="26" xfId="0" applyBorder="1"/>
    <xf numFmtId="0" fontId="82" fillId="0" borderId="26" xfId="0" applyFont="1" applyBorder="1"/>
    <xf numFmtId="0" fontId="84" fillId="0" borderId="0" xfId="0" quotePrefix="1" applyNumberFormat="1" applyFont="1" applyFill="1" applyBorder="1" applyAlignment="1" applyProtection="1">
      <alignment vertical="center"/>
    </xf>
    <xf numFmtId="0" fontId="77" fillId="0" borderId="23" xfId="0" applyFont="1" applyFill="1" applyBorder="1" applyAlignment="1">
      <alignment horizontal="center"/>
    </xf>
    <xf numFmtId="0" fontId="82" fillId="0" borderId="26" xfId="0" applyFont="1" applyFill="1" applyBorder="1"/>
    <xf numFmtId="0" fontId="0" fillId="0" borderId="26" xfId="0" applyBorder="1" applyAlignment="1">
      <alignment horizontal="left"/>
    </xf>
    <xf numFmtId="186" fontId="4" fillId="0" borderId="0" xfId="0" applyNumberFormat="1" applyFont="1" applyAlignment="1">
      <alignment horizontal="center"/>
    </xf>
    <xf numFmtId="0" fontId="82" fillId="0" borderId="0" xfId="0" applyFont="1" applyFill="1" applyBorder="1"/>
    <xf numFmtId="0" fontId="0" fillId="0" borderId="0" xfId="0" applyBorder="1"/>
    <xf numFmtId="0" fontId="4" fillId="37" borderId="0" xfId="0" applyFont="1" applyFill="1"/>
    <xf numFmtId="0" fontId="6" fillId="0" borderId="9" xfId="0" applyFont="1" applyFill="1" applyBorder="1" applyAlignment="1">
      <alignment horizontal="center"/>
    </xf>
    <xf numFmtId="0" fontId="16" fillId="0" borderId="0" xfId="0" applyNumberFormat="1" applyFont="1" applyFill="1" applyBorder="1" applyAlignment="1" applyProtection="1">
      <alignment horizontal="left" vertical="center" indent="1"/>
    </xf>
    <xf numFmtId="186" fontId="9" fillId="0" borderId="0" xfId="1" applyNumberFormat="1" applyFont="1" applyFill="1" applyBorder="1" applyAlignment="1">
      <alignment horizontal="right"/>
    </xf>
    <xf numFmtId="0" fontId="4" fillId="0" borderId="0" xfId="0" applyFont="1" applyFill="1"/>
    <xf numFmtId="10" fontId="9" fillId="7" borderId="6" xfId="10" applyNumberFormat="1" applyFont="1" applyFill="1" applyBorder="1" applyAlignment="1">
      <alignment horizontal="right"/>
    </xf>
    <xf numFmtId="10" fontId="9" fillId="7" borderId="8" xfId="10" applyNumberFormat="1" applyFont="1" applyFill="1" applyBorder="1" applyAlignment="1">
      <alignment horizontal="right"/>
    </xf>
    <xf numFmtId="10" fontId="9" fillId="7" borderId="0" xfId="10" applyNumberFormat="1" applyFont="1" applyFill="1" applyBorder="1" applyAlignment="1">
      <alignment horizontal="right"/>
    </xf>
    <xf numFmtId="10" fontId="9" fillId="7" borderId="24" xfId="10" applyNumberFormat="1" applyFont="1" applyFill="1" applyBorder="1" applyAlignment="1">
      <alignment horizontal="right"/>
    </xf>
    <xf numFmtId="0" fontId="85" fillId="38" borderId="0" xfId="0" applyNumberFormat="1" applyFont="1" applyFill="1" applyBorder="1" applyAlignment="1" applyProtection="1"/>
    <xf numFmtId="0" fontId="85" fillId="38" borderId="27" xfId="0" applyNumberFormat="1" applyFont="1" applyFill="1" applyBorder="1" applyAlignment="1" applyProtection="1"/>
    <xf numFmtId="0" fontId="85" fillId="38" borderId="28" xfId="0" applyNumberFormat="1" applyFont="1" applyFill="1" applyBorder="1" applyAlignment="1" applyProtection="1"/>
    <xf numFmtId="0" fontId="77" fillId="4" borderId="23" xfId="0" applyFont="1" applyFill="1" applyBorder="1" applyAlignment="1">
      <alignment horizontal="center" wrapText="1"/>
    </xf>
    <xf numFmtId="0" fontId="85" fillId="38" borderId="29" xfId="0" applyNumberFormat="1" applyFont="1" applyFill="1" applyBorder="1" applyAlignment="1" applyProtection="1"/>
    <xf numFmtId="0" fontId="85" fillId="38" borderId="30" xfId="0" applyNumberFormat="1" applyFont="1" applyFill="1" applyBorder="1" applyAlignment="1" applyProtection="1"/>
    <xf numFmtId="0" fontId="85" fillId="38" borderId="31" xfId="0" applyNumberFormat="1" applyFont="1" applyFill="1" applyBorder="1" applyAlignment="1" applyProtection="1"/>
    <xf numFmtId="0" fontId="77" fillId="0" borderId="23" xfId="0" applyFont="1" applyFill="1" applyBorder="1" applyAlignment="1">
      <alignment horizontal="centerContinuous" vertical="center" wrapText="1"/>
    </xf>
    <xf numFmtId="0" fontId="77" fillId="0" borderId="23" xfId="0" applyFont="1" applyFill="1" applyBorder="1" applyAlignment="1">
      <alignment horizontal="centerContinuous" vertical="center"/>
    </xf>
    <xf numFmtId="0" fontId="0" fillId="6" borderId="0" xfId="0" applyFill="1"/>
    <xf numFmtId="0" fontId="82" fillId="6" borderId="0" xfId="0" applyFont="1" applyFill="1" applyBorder="1"/>
    <xf numFmtId="0" fontId="87" fillId="6" borderId="0" xfId="0" applyFont="1" applyFill="1"/>
    <xf numFmtId="0" fontId="86" fillId="6" borderId="0" xfId="0" applyFont="1" applyFill="1" applyBorder="1"/>
    <xf numFmtId="0" fontId="4" fillId="6" borderId="0" xfId="0" applyFont="1" applyFill="1" applyAlignment="1">
      <alignment horizontal="center"/>
    </xf>
    <xf numFmtId="0" fontId="9" fillId="7" borderId="0" xfId="2" applyFont="1" applyFill="1" applyAlignment="1">
      <alignment horizontal="left" indent="2"/>
    </xf>
    <xf numFmtId="0" fontId="90" fillId="39" borderId="32" xfId="0" applyNumberFormat="1" applyFont="1" applyFill="1" applyBorder="1" applyAlignment="1" applyProtection="1">
      <alignment horizontal="center"/>
    </xf>
    <xf numFmtId="186" fontId="92" fillId="8" borderId="33" xfId="0" applyNumberFormat="1" applyFont="1" applyFill="1" applyBorder="1" applyAlignment="1" applyProtection="1">
      <alignment horizontal="right"/>
    </xf>
    <xf numFmtId="186" fontId="9" fillId="0" borderId="34" xfId="1" applyNumberFormat="1" applyFont="1" applyFill="1" applyBorder="1" applyAlignment="1">
      <alignment horizontal="right"/>
    </xf>
    <xf numFmtId="186" fontId="9" fillId="7" borderId="35" xfId="1" applyNumberFormat="1" applyFont="1" applyFill="1" applyBorder="1" applyAlignment="1">
      <alignment horizontal="right"/>
    </xf>
    <xf numFmtId="186" fontId="9" fillId="7" borderId="34" xfId="1" applyNumberFormat="1" applyFont="1" applyFill="1" applyBorder="1" applyAlignment="1">
      <alignment horizontal="right"/>
    </xf>
    <xf numFmtId="186" fontId="9" fillId="7" borderId="30" xfId="1" applyNumberFormat="1" applyFont="1" applyFill="1" applyBorder="1" applyAlignment="1">
      <alignment horizontal="right"/>
    </xf>
    <xf numFmtId="0" fontId="77" fillId="4" borderId="0" xfId="0" applyFont="1" applyFill="1" applyBorder="1" applyAlignment="1">
      <alignment horizontal="center" wrapText="1"/>
    </xf>
    <xf numFmtId="0" fontId="77" fillId="0" borderId="0" xfId="0" applyFont="1" applyFill="1" applyBorder="1" applyAlignment="1">
      <alignment horizontal="center"/>
    </xf>
    <xf numFmtId="0" fontId="79" fillId="6" borderId="0" xfId="0" applyFont="1" applyFill="1" applyAlignment="1">
      <alignment horizontal="center" vertical="center"/>
    </xf>
    <xf numFmtId="0" fontId="88" fillId="6" borderId="0" xfId="0" applyFont="1" applyFill="1" applyBorder="1" applyAlignment="1">
      <alignment horizontal="center" vertical="center"/>
    </xf>
    <xf numFmtId="0" fontId="89" fillId="6" borderId="0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7" fillId="6" borderId="0" xfId="0" applyFont="1" applyFill="1" applyAlignment="1">
      <alignment horizontal="center" vertical="center" textRotation="90"/>
    </xf>
    <xf numFmtId="0" fontId="10" fillId="6" borderId="25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1" fillId="6" borderId="0" xfId="0" applyNumberFormat="1" applyFont="1" applyFill="1" applyBorder="1" applyAlignment="1" applyProtection="1">
      <alignment horizontal="center" vertical="center" wrapText="1"/>
    </xf>
  </cellXfs>
  <cellStyles count="426">
    <cellStyle name="$   0,000" xfId="11"/>
    <cellStyle name="%" xfId="12"/>
    <cellStyle name="%0" xfId="13"/>
    <cellStyle name="%1" xfId="14"/>
    <cellStyle name="%2" xfId="15"/>
    <cellStyle name="£ BP" xfId="16"/>
    <cellStyle name="¥ JY" xfId="17"/>
    <cellStyle name="0" xfId="18"/>
    <cellStyle name="0,000" xfId="19"/>
    <cellStyle name="0.00" xfId="20"/>
    <cellStyle name="0.00%" xfId="21"/>
    <cellStyle name="0.0x" xfId="22"/>
    <cellStyle name="0_Actualisation provision contrat déficitaire SNCM 2010 V Def" xfId="23"/>
    <cellStyle name="0_Actualisation provision contrat déficitaire SNCM 2011 V3 30 05 2011" xfId="24"/>
    <cellStyle name="0_PPA SNCM - présentation CAC 28 06 2011" xfId="25"/>
    <cellStyle name="0_Simul location facturée par Trenitalia" xfId="26"/>
    <cellStyle name="20 % - Accent1 2" xfId="27"/>
    <cellStyle name="20 % - Accent1 2 2" xfId="28"/>
    <cellStyle name="20 % - Accent2 2" xfId="29"/>
    <cellStyle name="20 % - Accent2 2 2" xfId="30"/>
    <cellStyle name="20 % - Accent3 2" xfId="31"/>
    <cellStyle name="20 % - Accent3 2 2" xfId="32"/>
    <cellStyle name="20 % - Accent4 2" xfId="33"/>
    <cellStyle name="20 % - Accent4 2 2" xfId="34"/>
    <cellStyle name="20 % - Accent5 2" xfId="35"/>
    <cellStyle name="20 % - Accent5 2 2" xfId="36"/>
    <cellStyle name="20 % - Accent6 2" xfId="37"/>
    <cellStyle name="20 % - Accent6 2 2" xfId="38"/>
    <cellStyle name="40 % - Accent1 2" xfId="39"/>
    <cellStyle name="40 % - Accent1 2 2" xfId="40"/>
    <cellStyle name="40 % - Accent2 2" xfId="41"/>
    <cellStyle name="40 % - Accent2 2 2" xfId="42"/>
    <cellStyle name="40 % - Accent3 2" xfId="43"/>
    <cellStyle name="40 % - Accent3 2 2" xfId="44"/>
    <cellStyle name="40 % - Accent4 2" xfId="45"/>
    <cellStyle name="40 % - Accent4 2 2" xfId="46"/>
    <cellStyle name="40 % - Accent5 2" xfId="47"/>
    <cellStyle name="40 % - Accent5 2 2" xfId="48"/>
    <cellStyle name="40 % - Accent6 2" xfId="49"/>
    <cellStyle name="40 % - Accent6 2 2" xfId="50"/>
    <cellStyle name="60 % - Accent1 2" xfId="51"/>
    <cellStyle name="60 % - Accent2 2" xfId="52"/>
    <cellStyle name="60 % - Accent3 2" xfId="53"/>
    <cellStyle name="60 % - Accent4 2" xfId="54"/>
    <cellStyle name="60 % - Accent5 2" xfId="55"/>
    <cellStyle name="60 % - Accent6 2" xfId="56"/>
    <cellStyle name="Accent1 2" xfId="57"/>
    <cellStyle name="Accent2 2" xfId="58"/>
    <cellStyle name="Accent3 2" xfId="59"/>
    <cellStyle name="Accent4 2" xfId="60"/>
    <cellStyle name="Accent5 2" xfId="61"/>
    <cellStyle name="Accent6 2" xfId="62"/>
    <cellStyle name="at" xfId="63"/>
    <cellStyle name="Avertissement 2" xfId="64"/>
    <cellStyle name="b" xfId="65"/>
    <cellStyle name="b%0" xfId="66"/>
    <cellStyle name="b%1" xfId="67"/>
    <cellStyle name="b%2" xfId="68"/>
    <cellStyle name="b_Actualisation provision contrat déficitaire SNCM 2010 V Def" xfId="69"/>
    <cellStyle name="b_Actualisation provision contrat déficitaire SNCM 2011 V3 30 05 2011" xfId="70"/>
    <cellStyle name="b_LI819L_B13" xfId="71"/>
    <cellStyle name="b_PAO-CAF-RESOP_14_01_13 à 20h" xfId="72"/>
    <cellStyle name="b0" xfId="73"/>
    <cellStyle name="b09" xfId="74"/>
    <cellStyle name="b1" xfId="75"/>
    <cellStyle name="b2" xfId="76"/>
    <cellStyle name="Black" xfId="77"/>
    <cellStyle name="blue" xfId="78"/>
    <cellStyle name="bo" xfId="79"/>
    <cellStyle name="Bold/Border" xfId="80"/>
    <cellStyle name="Bottom" xfId="81"/>
    <cellStyle name="bout" xfId="82"/>
    <cellStyle name="bt" xfId="83"/>
    <cellStyle name="btit" xfId="84"/>
    <cellStyle name="Bullet" xfId="85"/>
    <cellStyle name="c" xfId="86"/>
    <cellStyle name="c_Actualisation provision contrat déficitaire SNCM 2010 V Def" xfId="87"/>
    <cellStyle name="c_Actualisation provision contrat déficitaire SNCM 2011 V3 30 05 2011" xfId="88"/>
    <cellStyle name="c_Grouse+Pelican" xfId="89"/>
    <cellStyle name="c_LI819L_B13" xfId="90"/>
    <cellStyle name="c_Macros" xfId="91"/>
    <cellStyle name="c_Macros (2)" xfId="92"/>
    <cellStyle name="c_Macros (2)_Actualisation provision contrat déficitaire SNCM 2010 V Def" xfId="93"/>
    <cellStyle name="c_Macros (2)_Actualisation provision contrat déficitaire SNCM 2011 V3 30 05 2011" xfId="94"/>
    <cellStyle name="c_Macros (2)_LI819L_B13" xfId="95"/>
    <cellStyle name="c_Macros (2)_PAO-CAF-RESOP_14_01_13 à 20h" xfId="96"/>
    <cellStyle name="c_Macros_Actualisation provision contrat déficitaire SNCM 2010 V Def" xfId="97"/>
    <cellStyle name="c_Macros_Actualisation provision contrat déficitaire SNCM 2011 V3 30 05 2011" xfId="98"/>
    <cellStyle name="c_Macros_LI819L_B13" xfId="99"/>
    <cellStyle name="c_Macros_PAO-CAF-RESOP_14_01_13 à 20h" xfId="100"/>
    <cellStyle name="c_Manager (2)" xfId="101"/>
    <cellStyle name="c_Manager (2)_Actualisation provision contrat déficitaire SNCM 2010 V Def" xfId="102"/>
    <cellStyle name="c_Manager (2)_Actualisation provision contrat déficitaire SNCM 2011 V3 30 05 2011" xfId="103"/>
    <cellStyle name="c_Manager (2)_LI819L_B13" xfId="104"/>
    <cellStyle name="c_Manager (2)_PAO-CAF-RESOP_14_01_13 à 20h" xfId="105"/>
    <cellStyle name="c_PAO-CAF-RESOP_14_01_13 à 20h" xfId="106"/>
    <cellStyle name="c0" xfId="107"/>
    <cellStyle name="cach" xfId="108"/>
    <cellStyle name="Calcul 2" xfId="109"/>
    <cellStyle name="Cellule liée 2" xfId="110"/>
    <cellStyle name="chiffre" xfId="111"/>
    <cellStyle name="co" xfId="112"/>
    <cellStyle name="Comma" xfId="1" builtinId="3"/>
    <cellStyle name="Comma [1]" xfId="113"/>
    <cellStyle name="Comma [2]" xfId="114"/>
    <cellStyle name="Commentaire 2" xfId="115"/>
    <cellStyle name="Commentaire 2 2" xfId="116"/>
    <cellStyle name="Commentaire 2_Synthèse" xfId="117"/>
    <cellStyle name="Currency [1]" xfId="118"/>
    <cellStyle name="Currency [2]" xfId="119"/>
    <cellStyle name="Currency-Denomination" xfId="120"/>
    <cellStyle name="Dash" xfId="121"/>
    <cellStyle name="Decimal_0dp" xfId="122"/>
    <cellStyle name="Dezimal__Utopia Index Index und Guidance (Deutsch)" xfId="123"/>
    <cellStyle name="Entrée 2" xfId="124"/>
    <cellStyle name="Euro" xfId="125"/>
    <cellStyle name="Euro 2" xfId="126"/>
    <cellStyle name="EY%colcalc" xfId="127"/>
    <cellStyle name="EY%input" xfId="128"/>
    <cellStyle name="EY%rowcalc" xfId="129"/>
    <cellStyle name="EY0dp" xfId="130"/>
    <cellStyle name="EY1dp" xfId="131"/>
    <cellStyle name="EY2dp" xfId="132"/>
    <cellStyle name="EY3dp" xfId="133"/>
    <cellStyle name="EYColumnHeading" xfId="134"/>
    <cellStyle name="EYHeading1" xfId="135"/>
    <cellStyle name="EYheading2" xfId="136"/>
    <cellStyle name="EYheading3" xfId="137"/>
    <cellStyle name="EYnumber" xfId="138"/>
    <cellStyle name="EYSheetHeader1" xfId="139"/>
    <cellStyle name="EYtext" xfId="140"/>
    <cellStyle name="Followed Hyperlink" xfId="141"/>
    <cellStyle name="Forecast Cell Column Heading" xfId="142"/>
    <cellStyle name="FormattingSheetDelimitor" xfId="143"/>
    <cellStyle name="h" xfId="144"/>
    <cellStyle name="Hyperlink" xfId="145"/>
    <cellStyle name="Input" xfId="146"/>
    <cellStyle name="InputBlueFont" xfId="147"/>
    <cellStyle name="InputBlueFontLocked" xfId="148"/>
    <cellStyle name="Insatisfaisant 2" xfId="149"/>
    <cellStyle name="KPMG Heading 1" xfId="150"/>
    <cellStyle name="KPMG Heading 2" xfId="151"/>
    <cellStyle name="KPMG Heading 3" xfId="152"/>
    <cellStyle name="KPMG Heading 4" xfId="153"/>
    <cellStyle name="KPMG Normal" xfId="154"/>
    <cellStyle name="KPMG Normal Text" xfId="155"/>
    <cellStyle name="LTM Cell Column Heading" xfId="156"/>
    <cellStyle name="Milliers 2" xfId="4"/>
    <cellStyle name="Milliers 2 2" xfId="158"/>
    <cellStyle name="Milliers 2 3" xfId="159"/>
    <cellStyle name="Milliers 2 4" xfId="160"/>
    <cellStyle name="Milliers 2_Context" xfId="157"/>
    <cellStyle name="Milliers 3" xfId="5"/>
    <cellStyle name="Milliers 3 2" xfId="162"/>
    <cellStyle name="Milliers 3 3" xfId="163"/>
    <cellStyle name="Milliers 3_Context" xfId="161"/>
    <cellStyle name="Milliers 4" xfId="164"/>
    <cellStyle name="Milliers 5" xfId="165"/>
    <cellStyle name="Multiple" xfId="166"/>
    <cellStyle name="Multiple Cell Column Heading" xfId="167"/>
    <cellStyle name="Neutre 2" xfId="168"/>
    <cellStyle name="no" xfId="169"/>
    <cellStyle name="Non d‚fini" xfId="170"/>
    <cellStyle name="Normal" xfId="0" builtinId="0"/>
    <cellStyle name="Normal - Style1" xfId="171"/>
    <cellStyle name="Normal - Style2" xfId="172"/>
    <cellStyle name="Normal - Style3" xfId="173"/>
    <cellStyle name="Normal - Style4" xfId="174"/>
    <cellStyle name="Normal - Style5" xfId="175"/>
    <cellStyle name="Normal - Style6" xfId="176"/>
    <cellStyle name="Normal - Style7" xfId="177"/>
    <cellStyle name="Normal - Style8" xfId="178"/>
    <cellStyle name="Normal 10" xfId="179"/>
    <cellStyle name="Normal 10 2" xfId="180"/>
    <cellStyle name="Normal 10 2 2" xfId="181"/>
    <cellStyle name="Normal 10 2 3" xfId="182"/>
    <cellStyle name="Normal 10 3" xfId="183"/>
    <cellStyle name="Normal 10 4" xfId="184"/>
    <cellStyle name="Normal 11" xfId="185"/>
    <cellStyle name="Normal 12" xfId="186"/>
    <cellStyle name="Normal 13" xfId="187"/>
    <cellStyle name="Normal 14" xfId="188"/>
    <cellStyle name="Normal 15" xfId="189"/>
    <cellStyle name="Normal 16" xfId="190"/>
    <cellStyle name="Normal 17" xfId="191"/>
    <cellStyle name="Normal 18" xfId="192"/>
    <cellStyle name="Normal 19" xfId="193"/>
    <cellStyle name="Normal 2" xfId="6"/>
    <cellStyle name="Normal 2 10" xfId="195"/>
    <cellStyle name="Normal 2 11" xfId="196"/>
    <cellStyle name="Normal 2 12" xfId="197"/>
    <cellStyle name="Normal 2 13" xfId="198"/>
    <cellStyle name="Normal 2 14" xfId="199"/>
    <cellStyle name="Normal 2 15" xfId="200"/>
    <cellStyle name="Normal 2 16" xfId="201"/>
    <cellStyle name="Normal 2 17" xfId="202"/>
    <cellStyle name="Normal 2 2" xfId="203"/>
    <cellStyle name="Normal 2 3" xfId="204"/>
    <cellStyle name="Normal 2 4" xfId="205"/>
    <cellStyle name="Normal 2 5" xfId="206"/>
    <cellStyle name="Normal 2 6" xfId="207"/>
    <cellStyle name="Normal 2 7" xfId="208"/>
    <cellStyle name="Normal 2 8" xfId="209"/>
    <cellStyle name="Normal 2 9" xfId="210"/>
    <cellStyle name="Normal 2_Context" xfId="194"/>
    <cellStyle name="Normal 20" xfId="211"/>
    <cellStyle name="Normal 21" xfId="212"/>
    <cellStyle name="Normal 22" xfId="213"/>
    <cellStyle name="Normal 23" xfId="214"/>
    <cellStyle name="Normal 24" xfId="215"/>
    <cellStyle name="Normal 25" xfId="216"/>
    <cellStyle name="Normal 26" xfId="217"/>
    <cellStyle name="Normal 27" xfId="218"/>
    <cellStyle name="Normal 28" xfId="219"/>
    <cellStyle name="Normal 29" xfId="220"/>
    <cellStyle name="Normal 29 2" xfId="221"/>
    <cellStyle name="Normal 29 3" xfId="222"/>
    <cellStyle name="Normal 29_Synthèse" xfId="223"/>
    <cellStyle name="Normal 3" xfId="2"/>
    <cellStyle name="Normal 3 10" xfId="225"/>
    <cellStyle name="Normal 3 11" xfId="226"/>
    <cellStyle name="Normal 3 12" xfId="227"/>
    <cellStyle name="Normal 3 2" xfId="7"/>
    <cellStyle name="Normal 3 2 2" xfId="229"/>
    <cellStyle name="Normal 3 2_Context" xfId="228"/>
    <cellStyle name="Normal 3 3" xfId="230"/>
    <cellStyle name="Normal 3 4" xfId="231"/>
    <cellStyle name="Normal 3 5" xfId="232"/>
    <cellStyle name="Normal 3 6" xfId="233"/>
    <cellStyle name="Normal 3 7" xfId="234"/>
    <cellStyle name="Normal 3 8" xfId="235"/>
    <cellStyle name="Normal 3 9" xfId="236"/>
    <cellStyle name="Normal 3_Context" xfId="224"/>
    <cellStyle name="Normal 30" xfId="237"/>
    <cellStyle name="Normal 4" xfId="238"/>
    <cellStyle name="Normal 4 2" xfId="239"/>
    <cellStyle name="Normal 4_NBV" xfId="240"/>
    <cellStyle name="Normal 43 4" xfId="241"/>
    <cellStyle name="Normal 43 4 2" xfId="242"/>
    <cellStyle name="Normal 46 2" xfId="243"/>
    <cellStyle name="Normal 5" xfId="244"/>
    <cellStyle name="Normal 6" xfId="245"/>
    <cellStyle name="Normal 6 2" xfId="246"/>
    <cellStyle name="Normal 6 2 2" xfId="247"/>
    <cellStyle name="Normal 6 2 3" xfId="248"/>
    <cellStyle name="Normal 6 3" xfId="249"/>
    <cellStyle name="Normal 6 4" xfId="250"/>
    <cellStyle name="Normal 7" xfId="251"/>
    <cellStyle name="Normal 7 2" xfId="252"/>
    <cellStyle name="Normal 7 2 2" xfId="253"/>
    <cellStyle name="Normal 7 2 3" xfId="254"/>
    <cellStyle name="Normal 7 3" xfId="255"/>
    <cellStyle name="Normal 7 4" xfId="256"/>
    <cellStyle name="Normal 8" xfId="257"/>
    <cellStyle name="Normal 8 2" xfId="258"/>
    <cellStyle name="Normal 8 2 2" xfId="259"/>
    <cellStyle name="Normal 8 2 3" xfId="260"/>
    <cellStyle name="Normal 8 3" xfId="261"/>
    <cellStyle name="Normal 8 4" xfId="262"/>
    <cellStyle name="Normal 9" xfId="263"/>
    <cellStyle name="Normal 9 2" xfId="264"/>
    <cellStyle name="Normal 9 2 2" xfId="265"/>
    <cellStyle name="Normal 9 2 3" xfId="266"/>
    <cellStyle name="Normal 9 3" xfId="267"/>
    <cellStyle name="Normal 9 4" xfId="268"/>
    <cellStyle name="Note" xfId="3"/>
    <cellStyle name="Notes_multi" xfId="269"/>
    <cellStyle name="p" xfId="270"/>
    <cellStyle name="p_Actualisation provision contrat déficitaire SNCM 2010 V Def" xfId="271"/>
    <cellStyle name="p_Actualisation provision contrat déficitaire SNCM 2011 V3 30 05 2011" xfId="272"/>
    <cellStyle name="p_PPA SNCM - présentation CAC 28 06 2011" xfId="273"/>
    <cellStyle name="pb_page_heading_LS" xfId="274"/>
    <cellStyle name="pe" xfId="275"/>
    <cellStyle name="per" xfId="276"/>
    <cellStyle name="Percent" xfId="10" builtinId="5"/>
    <cellStyle name="Percent [0]" xfId="277"/>
    <cellStyle name="Percent [1]" xfId="278"/>
    <cellStyle name="Percent [2]" xfId="279"/>
    <cellStyle name="Percent 2" xfId="8"/>
    <cellStyle name="Pound" xfId="280"/>
    <cellStyle name="Pound [1]" xfId="281"/>
    <cellStyle name="Pound [2]" xfId="282"/>
    <cellStyle name="Pourcentage 2" xfId="9"/>
    <cellStyle name="Pourcentage 2 2" xfId="283"/>
    <cellStyle name="Pourcentage 2 2 2" xfId="284"/>
    <cellStyle name="Pourcentage 2 3" xfId="285"/>
    <cellStyle name="Pourcentage 2 4" xfId="286"/>
    <cellStyle name="Pourcentage 2 5" xfId="287"/>
    <cellStyle name="Pourcentage 2 6" xfId="288"/>
    <cellStyle name="Pourcentage 2 7" xfId="289"/>
    <cellStyle name="Pourcentage 2 8" xfId="290"/>
    <cellStyle name="Pourcentage 3" xfId="291"/>
    <cellStyle name="Pourcentage 3 2" xfId="292"/>
    <cellStyle name="Pourcentage 3 3" xfId="293"/>
    <cellStyle name="Pourcentage 3 4" xfId="294"/>
    <cellStyle name="Pourcentage 4" xfId="295"/>
    <cellStyle name="Pourcentage 4 2" xfId="296"/>
    <cellStyle name="Pourcentage 5" xfId="297"/>
    <cellStyle name="ptit" xfId="298"/>
    <cellStyle name="rat" xfId="299"/>
    <cellStyle name="rate" xfId="300"/>
    <cellStyle name="ratio" xfId="301"/>
    <cellStyle name="s" xfId="302"/>
    <cellStyle name="s_Actualisation provision contrat déficitaire SNCM 2010 V Def" xfId="303"/>
    <cellStyle name="s_Actualisation provision contrat déficitaire SNCM 2011 V3 30 05 2011" xfId="304"/>
    <cellStyle name="s_Assumptions" xfId="305"/>
    <cellStyle name="s_Assumptions_Actualisation provision contrat déficitaire SNCM 2010 V Def" xfId="306"/>
    <cellStyle name="s_Assumptions_Actualisation provision contrat déficitaire SNCM 2011 V3 30 05 2011" xfId="307"/>
    <cellStyle name="s_Assumptions_LI819L_B13" xfId="308"/>
    <cellStyle name="s_Assumptions_PAO-CAF-RESOP_14_01_13 à 20h" xfId="309"/>
    <cellStyle name="s_B_S_Ratios _B" xfId="310"/>
    <cellStyle name="s_B_S_Ratios _B_Actualisation provision contrat déficitaire SNCM 2010 V Def" xfId="311"/>
    <cellStyle name="s_B_S_Ratios _B_Actualisation provision contrat déficitaire SNCM 2011 V3 30 05 2011" xfId="312"/>
    <cellStyle name="s_B_S_Ratios _B_LI819L_B13" xfId="313"/>
    <cellStyle name="s_B_S_Ratios _B_PAO-CAF-RESOP_14_01_13 à 20h" xfId="314"/>
    <cellStyle name="s_B_S_Ratios_T" xfId="315"/>
    <cellStyle name="s_B_S_Ratios_T_Actualisation provision contrat déficitaire SNCM 2010 V Def" xfId="316"/>
    <cellStyle name="s_B_S_Ratios_T_Actualisation provision contrat déficitaire SNCM 2011 V3 30 05 2011" xfId="317"/>
    <cellStyle name="s_B_S_Ratios_T_LI819L_B13" xfId="318"/>
    <cellStyle name="s_B_S_Ratios_T_PAO-CAF-RESOP_14_01_13 à 20h" xfId="319"/>
    <cellStyle name="s_DCFLBO Code" xfId="320"/>
    <cellStyle name="s_DCFLBO Code_1" xfId="321"/>
    <cellStyle name="s_DCFLBO Code_1_Actualisation provision contrat déficitaire SNCM 2010 V Def" xfId="322"/>
    <cellStyle name="s_DCFLBO Code_1_Actualisation provision contrat déficitaire SNCM 2011 V3 30 05 2011" xfId="323"/>
    <cellStyle name="s_DCFLBO Code_1_LI819L_B13" xfId="324"/>
    <cellStyle name="s_DCFLBO Code_1_PAO-CAF-RESOP_14_01_13 à 20h" xfId="325"/>
    <cellStyle name="s_DCFLBO Code_Actualisation provision contrat déficitaire SNCM 2010 V Def" xfId="326"/>
    <cellStyle name="s_DCFLBO Code_Actualisation provision contrat déficitaire SNCM 2011 V3 30 05 2011" xfId="327"/>
    <cellStyle name="s_DCFLBO Code_LI819L_B13" xfId="328"/>
    <cellStyle name="s_DCFLBO Code_PAO-CAF-RESOP_14_01_13 à 20h" xfId="329"/>
    <cellStyle name="s_Dilution" xfId="330"/>
    <cellStyle name="s_Dilution_Actualisation provision contrat déficitaire SNCM 2010 V Def" xfId="331"/>
    <cellStyle name="s_Dilution_Actualisation provision contrat déficitaire SNCM 2011 V3 30 05 2011" xfId="332"/>
    <cellStyle name="s_Dilution_LI819L_B13" xfId="333"/>
    <cellStyle name="s_Dilution_PAO-CAF-RESOP_14_01_13 à 20h" xfId="334"/>
    <cellStyle name="s_Financials_B" xfId="335"/>
    <cellStyle name="s_Financials_B_Actualisation provision contrat déficitaire SNCM 2010 V Def" xfId="336"/>
    <cellStyle name="s_Financials_B_Actualisation provision contrat déficitaire SNCM 2011 V3 30 05 2011" xfId="337"/>
    <cellStyle name="s_Financials_B_LI819L_B13" xfId="338"/>
    <cellStyle name="s_Financials_B_PAO-CAF-RESOP_14_01_13 à 20h" xfId="339"/>
    <cellStyle name="s_Financials_T" xfId="340"/>
    <cellStyle name="s_Financials_T_Actualisation provision contrat déficitaire SNCM 2010 V Def" xfId="341"/>
    <cellStyle name="s_Financials_T_Actualisation provision contrat déficitaire SNCM 2011 V3 30 05 2011" xfId="342"/>
    <cellStyle name="s_Financials_T_LI819L_B13" xfId="343"/>
    <cellStyle name="s_Financials_T_PAO-CAF-RESOP_14_01_13 à 20h" xfId="344"/>
    <cellStyle name="s_Grouse+Pelican" xfId="345"/>
    <cellStyle name="s_LI819L_B13" xfId="346"/>
    <cellStyle name="s_Matrix_B" xfId="347"/>
    <cellStyle name="s_Matrix_B_Actualisation provision contrat déficitaire SNCM 2010 V Def" xfId="348"/>
    <cellStyle name="s_Matrix_B_Actualisation provision contrat déficitaire SNCM 2011 V3 30 05 2011" xfId="349"/>
    <cellStyle name="s_Matrix_B_LI819L_B13" xfId="350"/>
    <cellStyle name="s_Matrix_B_PAO-CAF-RESOP_14_01_13 à 20h" xfId="351"/>
    <cellStyle name="s_Matrix_T" xfId="352"/>
    <cellStyle name="s_Matrix_T_Actualisation provision contrat déficitaire SNCM 2010 V Def" xfId="353"/>
    <cellStyle name="s_Matrix_T_Actualisation provision contrat déficitaire SNCM 2011 V3 30 05 2011" xfId="354"/>
    <cellStyle name="s_Matrix_T_LI819L_B13" xfId="355"/>
    <cellStyle name="s_Matrix_T_PAO-CAF-RESOP_14_01_13 à 20h" xfId="356"/>
    <cellStyle name="s_Merger" xfId="357"/>
    <cellStyle name="s_Merger_Actualisation provision contrat déficitaire SNCM 2010 V Def" xfId="358"/>
    <cellStyle name="s_Merger_Actualisation provision contrat déficitaire SNCM 2011 V3 30 05 2011" xfId="359"/>
    <cellStyle name="s_Merger_LI819L_B13" xfId="360"/>
    <cellStyle name="s_Merger_PAO-CAF-RESOP_14_01_13 à 20h" xfId="361"/>
    <cellStyle name="s_model2" xfId="362"/>
    <cellStyle name="s_model2_Actualisation provision contrat déficitaire SNCM 2010 V Def" xfId="363"/>
    <cellStyle name="s_model2_Actualisation provision contrat déficitaire SNCM 2011 V3 30 05 2011" xfId="364"/>
    <cellStyle name="s_model2_LI819L_B13" xfId="365"/>
    <cellStyle name="s_model2_PAO-CAF-RESOP_14_01_13 à 20h" xfId="366"/>
    <cellStyle name="s_P_L_Ratios" xfId="367"/>
    <cellStyle name="s_P_L_Ratios_Actualisation provision contrat déficitaire SNCM 2010 V Def" xfId="368"/>
    <cellStyle name="s_P_L_Ratios_Actualisation provision contrat déficitaire SNCM 2011 V3 30 05 2011" xfId="369"/>
    <cellStyle name="s_P_L_Ratios_B" xfId="370"/>
    <cellStyle name="s_P_L_Ratios_B_Actualisation provision contrat déficitaire SNCM 2010 V Def" xfId="371"/>
    <cellStyle name="s_P_L_Ratios_B_Actualisation provision contrat déficitaire SNCM 2011 V3 30 05 2011" xfId="372"/>
    <cellStyle name="s_P_L_Ratios_B_LI819L_B13" xfId="373"/>
    <cellStyle name="s_P_L_Ratios_B_PAO-CAF-RESOP_14_01_13 à 20h" xfId="374"/>
    <cellStyle name="s_P_L_Ratios_LI819L_B13" xfId="375"/>
    <cellStyle name="s_P_L_Ratios_PAO-CAF-RESOP_14_01_13 à 20h" xfId="376"/>
    <cellStyle name="s_PAO-CAF-RESOP_14_01_13 à 20h" xfId="377"/>
    <cellStyle name="s_S_By_S" xfId="378"/>
    <cellStyle name="s_S_By_S_Actualisation provision contrat déficitaire SNCM 2010 V Def" xfId="379"/>
    <cellStyle name="s_S_By_S_Actualisation provision contrat déficitaire SNCM 2011 V3 30 05 2011" xfId="380"/>
    <cellStyle name="s_S_By_S_LI819L_B13" xfId="381"/>
    <cellStyle name="s_S_By_S_PAO-CAF-RESOP_14_01_13 à 20h" xfId="382"/>
    <cellStyle name="s_Sheet5" xfId="383"/>
    <cellStyle name="s_Sheet5_Actualisation provision contrat déficitaire SNCM 2010 V Def" xfId="384"/>
    <cellStyle name="s_Sheet5_Actualisation provision contrat déficitaire SNCM 2011 V3 30 05 2011" xfId="385"/>
    <cellStyle name="s_Sheet5_LI819L_B13" xfId="386"/>
    <cellStyle name="s_Sheet5_PAO-CAF-RESOP_14_01_13 à 20h" xfId="387"/>
    <cellStyle name="s_Valuation " xfId="388"/>
    <cellStyle name="s_Valuation _Actualisation provision contrat déficitaire SNCM 2010 V Def" xfId="389"/>
    <cellStyle name="s_Valuation _Actualisation provision contrat déficitaire SNCM 2011 V3 30 05 2011" xfId="390"/>
    <cellStyle name="s_Valuation _LI819L_B13" xfId="391"/>
    <cellStyle name="s_Valuation _PAO-CAF-RESOP_14_01_13 à 20h" xfId="392"/>
    <cellStyle name="Satisfaisant 2" xfId="393"/>
    <cellStyle name="Shading" xfId="394"/>
    <cellStyle name="Single Cell Column Heading" xfId="395"/>
    <cellStyle name="Sortie 2" xfId="396"/>
    <cellStyle name="Standard__Utopia Index Index und Guidance (Deutsch)" xfId="397"/>
    <cellStyle name="t" xfId="398"/>
    <cellStyle name="t_Actualisation provision contrat déficitaire SNCM 2010 V Def" xfId="399"/>
    <cellStyle name="t_Actualisation provision contrat déficitaire SNCM 2011 V3 30 05 2011" xfId="400"/>
    <cellStyle name="t_LI819L_B13" xfId="401"/>
    <cellStyle name="t_Manager" xfId="402"/>
    <cellStyle name="t_Manager_Actualisation provision contrat déficitaire SNCM 2010 V Def" xfId="403"/>
    <cellStyle name="t_Manager_Actualisation provision contrat déficitaire SNCM 2011 V3 30 05 2011" xfId="404"/>
    <cellStyle name="t_Manager_LI819L_B13" xfId="405"/>
    <cellStyle name="t_Manager_PAO-CAF-RESOP_14_01_13 à 20h" xfId="406"/>
    <cellStyle name="t_PAO-CAF-RESOP_14_01_13 à 20h" xfId="407"/>
    <cellStyle name="Text Level 1" xfId="408"/>
    <cellStyle name="Text Level 2" xfId="409"/>
    <cellStyle name="Text Level 3" xfId="410"/>
    <cellStyle name="Text Level 4" xfId="411"/>
    <cellStyle name="Texte explicatif 2" xfId="412"/>
    <cellStyle name="Titles" xfId="413"/>
    <cellStyle name="Titre 2" xfId="414"/>
    <cellStyle name="Titre 1 2" xfId="415"/>
    <cellStyle name="Titre 2 2" xfId="416"/>
    <cellStyle name="Titre 3 2" xfId="417"/>
    <cellStyle name="Titre 4 2" xfId="418"/>
    <cellStyle name="Top_Double_Bottom" xfId="419"/>
    <cellStyle name="Total 2" xfId="420"/>
    <cellStyle name="UNDERRUBRIK" xfId="421"/>
    <cellStyle name="Vérification 2" xfId="422"/>
    <cellStyle name="Year" xfId="423"/>
    <cellStyle name="zoe" xfId="424"/>
    <cellStyle name="常规_Sheet1_Sub-consolidation Scope 2008 12 SX432 Lanzhou" xfId="425"/>
  </cellStyles>
  <dxfs count="0"/>
  <tableStyles count="0" defaultTableStyle="TableStyleMedium2" defaultPivotStyle="PivotStyleLight16"/>
  <colors>
    <mruColors>
      <color rgb="FF3391AA"/>
      <color rgb="FFB5E3E9"/>
      <color rgb="FF8FD4DD"/>
      <color rgb="FF49B8C7"/>
      <color rgb="FF3CADAA"/>
      <color rgb="FFF2B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673100</xdr:colOff>
      <xdr:row>25</xdr:row>
      <xdr:rowOff>50800</xdr:rowOff>
    </xdr:from>
    <xdr:to>
      <xdr:col>2</xdr:col>
      <xdr:colOff>958850</xdr:colOff>
      <xdr:row>50</xdr:row>
      <xdr:rowOff>98425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2813050"/>
          <a:ext cx="1085850" cy="475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</xdr:colOff>
          <xdr:row>43</xdr:row>
          <xdr:rowOff>76200</xdr:rowOff>
        </xdr:from>
        <xdr:to>
          <xdr:col>6</xdr:col>
          <xdr:colOff>1003300</xdr:colOff>
          <xdr:row>46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96341</xdr:colOff>
      <xdr:row>14</xdr:row>
      <xdr:rowOff>152400</xdr:rowOff>
    </xdr:from>
    <xdr:to>
      <xdr:col>3</xdr:col>
      <xdr:colOff>132941</xdr:colOff>
      <xdr:row>18</xdr:row>
      <xdr:rowOff>25400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8591" y="152400"/>
          <a:ext cx="189715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16</xdr:row>
          <xdr:rowOff>38100</xdr:rowOff>
        </xdr:from>
        <xdr:to>
          <xdr:col>4</xdr:col>
          <xdr:colOff>1174750</xdr:colOff>
          <xdr:row>18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95250</xdr:colOff>
      <xdr:row>8</xdr:row>
      <xdr:rowOff>13607</xdr:rowOff>
    </xdr:from>
    <xdr:to>
      <xdr:col>4</xdr:col>
      <xdr:colOff>2064883</xdr:colOff>
      <xdr:row>11</xdr:row>
      <xdr:rowOff>29765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036" y="13607"/>
          <a:ext cx="1969633" cy="7237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14</xdr:row>
          <xdr:rowOff>38100</xdr:rowOff>
        </xdr:from>
        <xdr:to>
          <xdr:col>4</xdr:col>
          <xdr:colOff>1174750</xdr:colOff>
          <xdr:row>16</xdr:row>
          <xdr:rowOff>31750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95250</xdr:colOff>
      <xdr:row>8</xdr:row>
      <xdr:rowOff>13607</xdr:rowOff>
    </xdr:from>
    <xdr:to>
      <xdr:col>4</xdr:col>
      <xdr:colOff>2064883</xdr:colOff>
      <xdr:row>11</xdr:row>
      <xdr:rowOff>29765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13607"/>
          <a:ext cx="1969633" cy="708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H43"/>
  <sheetViews>
    <sheetView showGridLines="0" tabSelected="1" topLeftCell="A15" zoomScaleNormal="100" workbookViewId="0">
      <selection activeCell="A14" sqref="A1:XFD14"/>
    </sheetView>
  </sheetViews>
  <sheetFormatPr defaultColWidth="11.453125" defaultRowHeight="14.5"/>
  <cols>
    <col min="1" max="1" width="3.1796875" customWidth="1"/>
    <col min="3" max="3" width="15.1796875" customWidth="1"/>
    <col min="4" max="4" width="24" customWidth="1"/>
    <col min="5" max="5" width="2.7265625" customWidth="1"/>
    <col min="6" max="6" width="24.7265625" customWidth="1"/>
    <col min="7" max="7" width="17" customWidth="1"/>
  </cols>
  <sheetData>
    <row r="1" spans="2:8" hidden="1">
      <c r="C1" s="63" t="s">
        <v>125</v>
      </c>
      <c r="D1" s="63"/>
    </row>
    <row r="2" spans="2:8" hidden="1">
      <c r="C2" s="65" t="s">
        <v>126</v>
      </c>
      <c r="D2" s="64" t="s">
        <v>128</v>
      </c>
    </row>
    <row r="3" spans="2:8" hidden="1">
      <c r="C3" s="65" t="s">
        <v>127</v>
      </c>
      <c r="D3" s="64" t="s">
        <v>380</v>
      </c>
    </row>
    <row r="4" spans="2:8" hidden="1">
      <c r="C4" s="65" t="s">
        <v>129</v>
      </c>
      <c r="D4" s="64" t="str">
        <f ca="1">_xll.DBR(Server&amp;"z_Admin_Param","MONTH_ACTUAL", "STR_VAR1")</f>
        <v>2023.02</v>
      </c>
    </row>
    <row r="5" spans="2:8" hidden="1">
      <c r="C5" s="65" t="s">
        <v>137</v>
      </c>
      <c r="D5" s="64" t="str">
        <f ca="1">D4&amp;"_YTD"</f>
        <v>2023.02_YTD</v>
      </c>
    </row>
    <row r="6" spans="2:8" hidden="1">
      <c r="C6" s="65" t="s">
        <v>130</v>
      </c>
      <c r="D6" s="64" t="str">
        <f ca="1">_xll.DBR(Server&amp;"z_Admin_Param","YEAR_ACTUAL", "STR_VAR1")</f>
        <v>2023</v>
      </c>
    </row>
    <row r="7" spans="2:8" hidden="1">
      <c r="C7" s="68" t="s">
        <v>131</v>
      </c>
      <c r="D7" s="64" t="str">
        <f ca="1">_xll.DBR(Server&amp;"z_Client_Properties","Default_Management_Organization",_xll.TM1USER("tango_core_model"))</f>
        <v>CAN</v>
      </c>
    </row>
    <row r="8" spans="2:8" hidden="1">
      <c r="C8" s="68" t="s">
        <v>132</v>
      </c>
      <c r="D8" s="64" t="str">
        <f ca="1">LEFT($G$34,4)</f>
        <v>2023</v>
      </c>
    </row>
    <row r="9" spans="2:8" hidden="1">
      <c r="C9" s="68" t="s">
        <v>133</v>
      </c>
      <c r="D9" s="69">
        <f ca="1">z_Year_Selected-1</f>
        <v>2022</v>
      </c>
    </row>
    <row r="10" spans="2:8" hidden="1">
      <c r="C10" s="68" t="s">
        <v>136</v>
      </c>
      <c r="D10" s="69" t="str">
        <f ca="1">_xll.DBR(Server&amp;"}ElementAttributes_Period",Current_Period_YTD, "Prior Year")</f>
        <v>2022.02_YTD</v>
      </c>
    </row>
    <row r="11" spans="2:8" hidden="1">
      <c r="C11" s="68" t="s">
        <v>134</v>
      </c>
      <c r="D11" s="64" t="str">
        <f ca="1">_xll.DBR(Server&amp;"z_admin_param","TYPE_PHASE","STR_VAR1")</f>
        <v>Budget</v>
      </c>
    </row>
    <row r="12" spans="2:8" hidden="1">
      <c r="C12" s="68" t="s">
        <v>135</v>
      </c>
      <c r="D12" s="64" t="str">
        <f ca="1">IF($D$11="BUDGET","BUDG_VC_TOT",IF($D$11="Forecast1","FC_1_VC_TOT","FC_2_VC_TOT"))</f>
        <v>BUDG_VC_TOT</v>
      </c>
    </row>
    <row r="13" spans="2:8" hidden="1">
      <c r="C13" s="68" t="s">
        <v>138</v>
      </c>
      <c r="D13" s="64" t="str">
        <f ca="1">_xll.DBRW(Server&amp;"z_Admin_Param","YEAR_BUDGET_FORECAST", "STR_VAR1")</f>
        <v>2023</v>
      </c>
    </row>
    <row r="14" spans="2:8" hidden="1">
      <c r="C14" s="68" t="s">
        <v>386</v>
      </c>
      <c r="D14" s="64" t="str">
        <f ca="1">_xll.DBR(Server&amp;"z_Client_Properties","Default_Legal_Organization",_xll.TM1USER("tango_core_model"))</f>
        <v>SI278</v>
      </c>
    </row>
    <row r="15" spans="2:8">
      <c r="C15" s="71"/>
      <c r="D15" s="72"/>
    </row>
    <row r="16" spans="2:8" ht="15" customHeight="1">
      <c r="B16" s="91"/>
      <c r="C16" s="92"/>
      <c r="D16" s="106" t="str">
        <f ca="1">"Reporting Europe "&amp;_xll.DBRA(Server&amp;"Management_Organization",$F$31,"English")&amp;", "&amp;$G$34</f>
        <v>Reporting Europe Canada, 2023.02_YTD</v>
      </c>
      <c r="E16" s="106"/>
      <c r="F16" s="106"/>
      <c r="G16" s="106"/>
      <c r="H16" s="106"/>
    </row>
    <row r="17" spans="2:8" ht="15" customHeight="1">
      <c r="B17" s="91"/>
      <c r="C17" s="92"/>
      <c r="D17" s="106"/>
      <c r="E17" s="106"/>
      <c r="F17" s="106"/>
      <c r="G17" s="106"/>
      <c r="H17" s="106"/>
    </row>
    <row r="18" spans="2:8" ht="15" customHeight="1">
      <c r="B18" s="91"/>
      <c r="C18" s="92"/>
      <c r="D18" s="106"/>
      <c r="E18" s="106"/>
      <c r="F18" s="106"/>
      <c r="G18" s="106"/>
      <c r="H18" s="106"/>
    </row>
    <row r="19" spans="2:8">
      <c r="C19" s="71"/>
      <c r="D19" s="72"/>
    </row>
    <row r="20" spans="2:8">
      <c r="C20" s="71"/>
      <c r="D20" s="72"/>
    </row>
    <row r="21" spans="2:8">
      <c r="B21" s="105" t="s">
        <v>0</v>
      </c>
      <c r="C21" s="105"/>
      <c r="D21" s="105"/>
      <c r="E21" s="105"/>
      <c r="F21" s="105"/>
      <c r="G21" s="105"/>
      <c r="H21" s="105"/>
    </row>
    <row r="22" spans="2:8">
      <c r="B22" s="105"/>
      <c r="C22" s="105"/>
      <c r="D22" s="105"/>
      <c r="E22" s="105"/>
      <c r="F22" s="105"/>
      <c r="G22" s="105"/>
      <c r="H22" s="105"/>
    </row>
    <row r="23" spans="2:8">
      <c r="B23" s="105"/>
      <c r="C23" s="105"/>
      <c r="D23" s="105"/>
      <c r="E23" s="105"/>
      <c r="F23" s="105"/>
      <c r="G23" s="105"/>
      <c r="H23" s="105"/>
    </row>
    <row r="24" spans="2:8">
      <c r="B24" s="105"/>
      <c r="C24" s="105"/>
      <c r="D24" s="105"/>
      <c r="E24" s="105"/>
      <c r="F24" s="105"/>
      <c r="G24" s="105"/>
      <c r="H24" s="105"/>
    </row>
    <row r="25" spans="2:8">
      <c r="B25" s="47"/>
      <c r="C25" s="47"/>
      <c r="D25" s="47"/>
      <c r="E25" s="47"/>
      <c r="F25" s="47"/>
      <c r="G25" s="47"/>
      <c r="H25" s="47"/>
    </row>
    <row r="27" spans="2:8" ht="18.5">
      <c r="D27" s="48" t="s">
        <v>1</v>
      </c>
    </row>
    <row r="29" spans="2:8">
      <c r="F29" s="89"/>
    </row>
    <row r="30" spans="2:8">
      <c r="F30" s="89"/>
      <c r="G30" s="90"/>
    </row>
    <row r="31" spans="2:8">
      <c r="D31" s="50" t="s">
        <v>2</v>
      </c>
      <c r="F31" s="85" t="str">
        <f ca="1">_xll.SUBNM(Server&amp;"Management_Organization","",Default_Management_Organization)</f>
        <v>CAN</v>
      </c>
      <c r="G31" s="67"/>
    </row>
    <row r="32" spans="2:8">
      <c r="D32" s="50" t="s">
        <v>383</v>
      </c>
      <c r="F32" s="103" t="str">
        <f ca="1">_xll.SUBNM(Server&amp;"Legal_Organization","",Default_Legal_Organization)</f>
        <v>SI278</v>
      </c>
      <c r="G32" s="104"/>
    </row>
    <row r="33" spans="4:7">
      <c r="D33" s="49"/>
      <c r="F33" s="47"/>
      <c r="G33" s="47"/>
    </row>
    <row r="34" spans="4:7">
      <c r="D34" s="50" t="s">
        <v>3</v>
      </c>
      <c r="F34" s="85" t="str">
        <f ca="1">_xll.SUBNM(Server&amp;"Phase","Default","ACT_TOT","English")</f>
        <v>Actual</v>
      </c>
      <c r="G34" s="97" t="str">
        <f ca="1">_xll.SUBNM(Server&amp;"Period","ACTUAL_YTD",Current_Period_YTD)</f>
        <v>2023.02_YTD</v>
      </c>
    </row>
    <row r="35" spans="4:7">
      <c r="D35" s="49"/>
      <c r="F35" s="47"/>
      <c r="G35" s="47"/>
    </row>
    <row r="36" spans="4:7">
      <c r="D36" s="50" t="s">
        <v>4</v>
      </c>
      <c r="F36" s="85" t="str">
        <f ca="1">_xll.SUBNM(Server&amp;"Phase","Default","ACT_TOT","English")</f>
        <v>Actual</v>
      </c>
      <c r="G36" s="85" t="str">
        <f ca="1">_xll.SUBNM(Server&amp;"Period",z_Year_N_1&amp;"_YTD",z_Current_Period_N_1)</f>
        <v>2022.02_YTD</v>
      </c>
    </row>
    <row r="37" spans="4:7">
      <c r="D37" s="50" t="s">
        <v>5</v>
      </c>
      <c r="F37" s="85" t="str">
        <f ca="1">_xll.SUBNM(Server&amp;"Phase","default","BUDG_VC_TOT","English")</f>
        <v>Budget V current</v>
      </c>
      <c r="G37" s="97" t="str">
        <f ca="1">_xll.SUBNM(Server&amp;"Period","ACTUAL_YTD",Current_Period_YTD)</f>
        <v>2023.02_YTD</v>
      </c>
    </row>
    <row r="39" spans="4:7">
      <c r="D39" s="50" t="s">
        <v>6</v>
      </c>
      <c r="F39" s="85" t="str">
        <f ca="1">_xll.SUBNM(Server&amp;"Currency","","MEUR")</f>
        <v>MEUR</v>
      </c>
      <c r="G39" s="67"/>
    </row>
    <row r="40" spans="4:7">
      <c r="D40" s="50" t="s">
        <v>12</v>
      </c>
      <c r="F40" s="103" t="str">
        <f ca="1">_xll.SUBNM(Server&amp;"Gaap","","Total_conso_wo_opt_dis")</f>
        <v>Total_conso_wo_opt_dis</v>
      </c>
      <c r="G40" s="67"/>
    </row>
    <row r="43" spans="4:7" ht="18.5">
      <c r="D43" s="48" t="s">
        <v>7</v>
      </c>
    </row>
  </sheetData>
  <mergeCells count="2">
    <mergeCell ref="B21:H24"/>
    <mergeCell ref="D16:H18"/>
  </mergeCells>
  <dataValidations disablePrompts="1" count="1">
    <dataValidation allowBlank="1" showInputMessage="1" showErrorMessage="1" error="La valeur entrée n'est pas valide._x000a_Un utilisateur dispose de valeurs restreintes pouvant être entrées dans cette cellule." sqref="D11:D16 D19:D20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J">
                <anchor moveWithCells="1" sizeWithCells="1">
                  <from>
                    <xdr:col>5</xdr:col>
                    <xdr:colOff>107950</xdr:colOff>
                    <xdr:row>43</xdr:row>
                    <xdr:rowOff>76200</xdr:rowOff>
                  </from>
                  <to>
                    <xdr:col>6</xdr:col>
                    <xdr:colOff>1003300</xdr:colOff>
                    <xdr:row>46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3391AA"/>
    <pageSetUpPr fitToPage="1"/>
  </sheetPr>
  <dimension ref="A1:AY390"/>
  <sheetViews>
    <sheetView showGridLines="0" topLeftCell="B8" zoomScale="80" zoomScaleNormal="80" workbookViewId="0"/>
  </sheetViews>
  <sheetFormatPr defaultColWidth="11.453125" defaultRowHeight="13.5" outlineLevelRow="2" outlineLevelCol="1"/>
  <cols>
    <col min="1" max="1" width="27.7265625" style="1" hidden="1" customWidth="1"/>
    <col min="2" max="2" width="2.81640625" style="1" customWidth="1"/>
    <col min="3" max="3" width="3.81640625" style="1" customWidth="1"/>
    <col min="4" max="4" width="1.453125" style="1" customWidth="1"/>
    <col min="5" max="5" width="60.54296875" style="1" customWidth="1"/>
    <col min="6" max="6" width="17" style="2" customWidth="1"/>
    <col min="7" max="8" width="15.7265625" style="2" bestFit="1" customWidth="1"/>
    <col min="9" max="10" width="15" style="2" bestFit="1" customWidth="1"/>
    <col min="11" max="11" width="22.453125" style="2" bestFit="1" customWidth="1"/>
    <col min="12" max="12" width="14" style="2" customWidth="1"/>
    <col min="13" max="24" width="12.7265625" style="2" hidden="1" customWidth="1" outlineLevel="1"/>
    <col min="25" max="25" width="15" style="2" bestFit="1" customWidth="1" collapsed="1"/>
    <col min="26" max="37" width="12.7265625" style="2" hidden="1" customWidth="1" outlineLevel="1"/>
    <col min="38" max="38" width="15" style="2" bestFit="1" customWidth="1" collapsed="1"/>
    <col min="39" max="50" width="12.7265625" style="2" hidden="1" customWidth="1" outlineLevel="1"/>
    <col min="51" max="51" width="15" style="2" bestFit="1" customWidth="1" collapsed="1"/>
    <col min="52" max="16384" width="11.453125" style="1"/>
  </cols>
  <sheetData>
    <row r="1" spans="1:51" ht="15.5" hidden="1">
      <c r="A1" s="1" t="s">
        <v>8</v>
      </c>
      <c r="C1" s="1" t="str">
        <f ca="1">_xll.VIEW("tango_core_model:Report_PL",$C$2,$C$3,$C$4,$C$6,$C$5,$C$7,"!","!","!")</f>
        <v>tango_core_model:Report_PL</v>
      </c>
      <c r="F1" s="74">
        <f ca="1">z_Year_Selected -7</f>
        <v>2016</v>
      </c>
      <c r="G1" s="74">
        <f ca="1">z_Year_Selected -6</f>
        <v>2017</v>
      </c>
      <c r="H1" s="74">
        <f ca="1">z_Year_Selected -5</f>
        <v>2018</v>
      </c>
      <c r="I1" s="74">
        <f ca="1">z_Year_Selected -4</f>
        <v>2019</v>
      </c>
      <c r="J1" s="74">
        <f ca="1">z_Year_Selected -3</f>
        <v>2020</v>
      </c>
      <c r="K1" s="74">
        <f ca="1">z_Year_Selected -2</f>
        <v>2021</v>
      </c>
      <c r="L1" s="74">
        <f ca="1">z_Year_N_1</f>
        <v>2022</v>
      </c>
      <c r="M1" s="4" t="str">
        <f ca="1">z_Year_N_1&amp;".01_YTD"</f>
        <v>2022.01_YTD</v>
      </c>
      <c r="N1" s="4" t="str">
        <f ca="1">z_Year_N_1&amp;".02_YTD"</f>
        <v>2022.02_YTD</v>
      </c>
      <c r="O1" s="4" t="str">
        <f ca="1">z_Year_N_1&amp;".03_YTD"</f>
        <v>2022.03_YTD</v>
      </c>
      <c r="P1" s="4" t="str">
        <f ca="1">z_Year_N_1&amp;".04_YTD"</f>
        <v>2022.04_YTD</v>
      </c>
      <c r="Q1" s="4" t="str">
        <f ca="1">z_Year_N_1&amp;".05_YTD"</f>
        <v>2022.05_YTD</v>
      </c>
      <c r="R1" s="4" t="str">
        <f ca="1">z_Year_N_1&amp;".06_YTD"</f>
        <v>2022.06_YTD</v>
      </c>
      <c r="S1" s="4" t="str">
        <f ca="1">z_Year_N_1&amp;".07_YTD"</f>
        <v>2022.07_YTD</v>
      </c>
      <c r="T1" s="4" t="str">
        <f ca="1">z_Year_N_1&amp;".08_YTD"</f>
        <v>2022.08_YTD</v>
      </c>
      <c r="U1" s="4" t="str">
        <f ca="1">z_Year_N_1&amp;".09_YTD"</f>
        <v>2022.09_YTD</v>
      </c>
      <c r="V1" s="4" t="str">
        <f ca="1">z_Year_N_1&amp;".10_YTD"</f>
        <v>2022.10_YTD</v>
      </c>
      <c r="W1" s="4" t="str">
        <f ca="1">z_Year_N_1&amp;".11_YTD"</f>
        <v>2022.11_YTD</v>
      </c>
      <c r="X1" s="4" t="str">
        <f ca="1">z_Year_N_1&amp;".12_YTD"</f>
        <v>2022.12_YTD</v>
      </c>
      <c r="Y1" s="4">
        <f ca="1">z_Year_N_1</f>
        <v>2022</v>
      </c>
      <c r="Z1" s="4" t="str">
        <f ca="1">z_Current_Year&amp;".01_YTD"</f>
        <v>2023.01_YTD</v>
      </c>
      <c r="AA1" s="4" t="str">
        <f ca="1">z_Current_Year&amp;".02_YTD"</f>
        <v>2023.02_YTD</v>
      </c>
      <c r="AB1" s="4" t="str">
        <f ca="1">z_Current_Year&amp;".03_YTD"</f>
        <v>2023.03_YTD</v>
      </c>
      <c r="AC1" s="4" t="str">
        <f ca="1">z_Current_Year&amp;".04_YTD"</f>
        <v>2023.04_YTD</v>
      </c>
      <c r="AD1" s="4" t="str">
        <f ca="1">z_Current_Year&amp;".05_YTD"</f>
        <v>2023.05_YTD</v>
      </c>
      <c r="AE1" s="4" t="str">
        <f ca="1">z_Current_Year&amp;".06_YTD"</f>
        <v>2023.06_YTD</v>
      </c>
      <c r="AF1" s="4" t="str">
        <f ca="1">z_Current_Year&amp;".07_YTD"</f>
        <v>2023.07_YTD</v>
      </c>
      <c r="AG1" s="4" t="str">
        <f ca="1">z_Current_Year&amp;".08_YTD"</f>
        <v>2023.08_YTD</v>
      </c>
      <c r="AH1" s="4" t="str">
        <f ca="1">z_Current_Year&amp;".09_YTD"</f>
        <v>2023.09_YTD</v>
      </c>
      <c r="AI1" s="4" t="str">
        <f ca="1">z_Current_Year&amp;".10_YTD"</f>
        <v>2023.10_YTD</v>
      </c>
      <c r="AJ1" s="4" t="str">
        <f ca="1">z_Current_Year&amp;".11_YTD"</f>
        <v>2023.11_YTD</v>
      </c>
      <c r="AK1" s="4" t="str">
        <f ca="1">z_Current_Year&amp;".12_YTD"</f>
        <v>2023.12_YTD</v>
      </c>
      <c r="AL1" s="4" t="str">
        <f ca="1">z_Current_Year</f>
        <v>2023</v>
      </c>
      <c r="AM1" s="4" t="str">
        <f ca="1">z_Current_Year&amp;".01_YTD"</f>
        <v>2023.01_YTD</v>
      </c>
      <c r="AN1" s="4" t="str">
        <f ca="1">z_Current_Year&amp;".02_YTD"</f>
        <v>2023.02_YTD</v>
      </c>
      <c r="AO1" s="4" t="str">
        <f ca="1">z_Current_Year&amp;".03_YTD"</f>
        <v>2023.03_YTD</v>
      </c>
      <c r="AP1" s="4" t="str">
        <f ca="1">z_Current_Year&amp;".04_YTD"</f>
        <v>2023.04_YTD</v>
      </c>
      <c r="AQ1" s="4" t="str">
        <f ca="1">z_Current_Year&amp;".05_YTD"</f>
        <v>2023.05_YTD</v>
      </c>
      <c r="AR1" s="4" t="str">
        <f ca="1">z_Current_Year&amp;".06_YTD"</f>
        <v>2023.06_YTD</v>
      </c>
      <c r="AS1" s="4" t="str">
        <f ca="1">z_Current_Year&amp;".07_YTD"</f>
        <v>2023.07_YTD</v>
      </c>
      <c r="AT1" s="4" t="str">
        <f ca="1">z_Current_Year&amp;".08_YTD"</f>
        <v>2023.08_YTD</v>
      </c>
      <c r="AU1" s="4" t="str">
        <f ca="1">z_Current_Year&amp;".09_YTD"</f>
        <v>2023.09_YTD</v>
      </c>
      <c r="AV1" s="4" t="str">
        <f ca="1">z_Current_Year&amp;".10_YTD"</f>
        <v>2023.10_YTD</v>
      </c>
      <c r="AW1" s="4" t="str">
        <f ca="1">z_Current_Year&amp;".11_YTD"</f>
        <v>2023.11_YTD</v>
      </c>
      <c r="AX1" s="4" t="str">
        <f ca="1">z_Current_Year&amp;".12_YTD"</f>
        <v>2023.12_YTD</v>
      </c>
      <c r="AY1" s="4" t="str">
        <f ca="1">z_Current_Year</f>
        <v>2023</v>
      </c>
    </row>
    <row r="2" spans="1:51" hidden="1">
      <c r="A2" s="3" t="s">
        <v>9</v>
      </c>
      <c r="B2" s="3"/>
      <c r="C2" s="1" t="s">
        <v>385</v>
      </c>
      <c r="F2" s="4" t="s">
        <v>10</v>
      </c>
      <c r="G2" s="4" t="s">
        <v>10</v>
      </c>
      <c r="H2" s="4" t="s">
        <v>10</v>
      </c>
      <c r="I2" s="4" t="s">
        <v>10</v>
      </c>
      <c r="J2" s="4" t="s">
        <v>10</v>
      </c>
      <c r="K2" s="4" t="s">
        <v>10</v>
      </c>
      <c r="L2" s="4" t="s">
        <v>11</v>
      </c>
      <c r="M2" s="4" t="s">
        <v>10</v>
      </c>
      <c r="N2" s="4" t="s">
        <v>10</v>
      </c>
      <c r="O2" s="4" t="s">
        <v>10</v>
      </c>
      <c r="P2" s="4" t="s">
        <v>10</v>
      </c>
      <c r="Q2" s="4" t="s">
        <v>10</v>
      </c>
      <c r="R2" s="4" t="s">
        <v>10</v>
      </c>
      <c r="S2" s="4" t="s">
        <v>10</v>
      </c>
      <c r="T2" s="4" t="s">
        <v>10</v>
      </c>
      <c r="U2" s="4" t="s">
        <v>10</v>
      </c>
      <c r="V2" s="4" t="s">
        <v>10</v>
      </c>
      <c r="W2" s="4" t="s">
        <v>10</v>
      </c>
      <c r="X2" s="4" t="s">
        <v>10</v>
      </c>
      <c r="Y2" s="4" t="s">
        <v>10</v>
      </c>
      <c r="Z2" s="4" t="s">
        <v>11</v>
      </c>
      <c r="AA2" s="4" t="s">
        <v>11</v>
      </c>
      <c r="AB2" s="4" t="s">
        <v>11</v>
      </c>
      <c r="AC2" s="4" t="s">
        <v>11</v>
      </c>
      <c r="AD2" s="4" t="s">
        <v>11</v>
      </c>
      <c r="AE2" s="4" t="s">
        <v>11</v>
      </c>
      <c r="AF2" s="4" t="s">
        <v>11</v>
      </c>
      <c r="AG2" s="4" t="s">
        <v>11</v>
      </c>
      <c r="AH2" s="4" t="s">
        <v>11</v>
      </c>
      <c r="AI2" s="4" t="s">
        <v>11</v>
      </c>
      <c r="AJ2" s="4" t="s">
        <v>11</v>
      </c>
      <c r="AK2" s="4" t="s">
        <v>11</v>
      </c>
      <c r="AL2" s="4" t="s">
        <v>11</v>
      </c>
      <c r="AM2" s="4" t="s">
        <v>10</v>
      </c>
      <c r="AN2" s="4" t="s">
        <v>10</v>
      </c>
      <c r="AO2" s="4" t="s">
        <v>10</v>
      </c>
      <c r="AP2" s="4" t="s">
        <v>10</v>
      </c>
      <c r="AQ2" s="4" t="s">
        <v>10</v>
      </c>
      <c r="AR2" s="4" t="s">
        <v>10</v>
      </c>
      <c r="AS2" s="4" t="s">
        <v>10</v>
      </c>
      <c r="AT2" s="4" t="s">
        <v>10</v>
      </c>
      <c r="AU2" s="4" t="s">
        <v>10</v>
      </c>
      <c r="AV2" s="4" t="s">
        <v>10</v>
      </c>
      <c r="AW2" s="4" t="s">
        <v>10</v>
      </c>
      <c r="AX2" s="4" t="s">
        <v>10</v>
      </c>
      <c r="AY2" s="4" t="s">
        <v>10</v>
      </c>
    </row>
    <row r="3" spans="1:51" hidden="1">
      <c r="A3" s="3" t="s">
        <v>6</v>
      </c>
      <c r="B3" s="3"/>
      <c r="C3" s="1" t="str">
        <f ca="1">Context!F39</f>
        <v>MEUR</v>
      </c>
    </row>
    <row r="4" spans="1:51" hidden="1">
      <c r="A4" s="3" t="s">
        <v>12</v>
      </c>
      <c r="B4" s="3"/>
      <c r="C4" s="1" t="str">
        <f ca="1">Context!F40</f>
        <v>Total_conso_wo_opt_dis</v>
      </c>
    </row>
    <row r="5" spans="1:51" hidden="1">
      <c r="A5" s="3" t="s">
        <v>13</v>
      </c>
      <c r="B5" s="3"/>
      <c r="C5" s="1" t="str">
        <f ca="1">Context!F32</f>
        <v>SI278</v>
      </c>
    </row>
    <row r="6" spans="1:51" hidden="1">
      <c r="A6" s="3" t="s">
        <v>14</v>
      </c>
      <c r="B6" s="3"/>
      <c r="C6" s="1" t="s">
        <v>384</v>
      </c>
    </row>
    <row r="7" spans="1:51" ht="14" hidden="1">
      <c r="A7" s="3" t="s">
        <v>15</v>
      </c>
      <c r="B7" s="3"/>
      <c r="C7" s="1" t="str">
        <f ca="1">Context!F31</f>
        <v>CAN</v>
      </c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70"/>
    </row>
    <row r="8" spans="1:51">
      <c r="A8" s="3"/>
      <c r="B8" s="3"/>
    </row>
    <row r="9" spans="1:51" ht="14.5">
      <c r="A9" s="3"/>
      <c r="B9" s="3"/>
      <c r="C9" s="93"/>
      <c r="D9" s="94"/>
      <c r="E9" s="107" t="str">
        <f ca="1">"Reporting Europe "&amp;_xll.DBRA(Server&amp;"Management_Organization",Context!$F$31,"English")&amp;", "&amp;Context!$G$34</f>
        <v>Reporting Europe Canada, 2023.02_YTD</v>
      </c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5"/>
    </row>
    <row r="10" spans="1:51" ht="14.5">
      <c r="A10" s="3"/>
      <c r="B10" s="3"/>
      <c r="C10" s="93"/>
      <c r="D10" s="94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</row>
    <row r="11" spans="1:51" ht="25.5" customHeight="1">
      <c r="C11" s="93"/>
      <c r="D11" s="94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</row>
    <row r="16" spans="1:51">
      <c r="A16" s="3"/>
      <c r="B16" s="3"/>
    </row>
    <row r="21" spans="1:51" ht="15.5">
      <c r="E21" s="110" t="str">
        <f ca="1">C7</f>
        <v>CAN</v>
      </c>
      <c r="F21" s="60" t="str">
        <f t="shared" ref="F21:AY21" ca="1" si="0">IF(F2="ACT_TOT","ACTUAL","BUDGET")</f>
        <v>ACTUAL</v>
      </c>
      <c r="G21" s="60" t="str">
        <f t="shared" ca="1" si="0"/>
        <v>ACTUAL</v>
      </c>
      <c r="H21" s="60" t="str">
        <f t="shared" ca="1" si="0"/>
        <v>ACTUAL</v>
      </c>
      <c r="I21" s="60" t="str">
        <f t="shared" ca="1" si="0"/>
        <v>ACTUAL</v>
      </c>
      <c r="J21" s="60" t="str">
        <f t="shared" ca="1" si="0"/>
        <v>ACTUAL</v>
      </c>
      <c r="K21" s="60" t="str">
        <f t="shared" ca="1" si="0"/>
        <v>ACTUAL</v>
      </c>
      <c r="L21" s="60" t="str">
        <f t="shared" ca="1" si="0"/>
        <v>BUDGET</v>
      </c>
      <c r="M21" s="60" t="str">
        <f t="shared" ca="1" si="0"/>
        <v>ACTUAL</v>
      </c>
      <c r="N21" s="60" t="str">
        <f t="shared" ca="1" si="0"/>
        <v>ACTUAL</v>
      </c>
      <c r="O21" s="60" t="str">
        <f t="shared" ca="1" si="0"/>
        <v>ACTUAL</v>
      </c>
      <c r="P21" s="60" t="str">
        <f t="shared" ca="1" si="0"/>
        <v>ACTUAL</v>
      </c>
      <c r="Q21" s="60" t="str">
        <f t="shared" ca="1" si="0"/>
        <v>ACTUAL</v>
      </c>
      <c r="R21" s="60" t="str">
        <f t="shared" ca="1" si="0"/>
        <v>ACTUAL</v>
      </c>
      <c r="S21" s="60" t="str">
        <f t="shared" ca="1" si="0"/>
        <v>ACTUAL</v>
      </c>
      <c r="T21" s="60" t="str">
        <f t="shared" ca="1" si="0"/>
        <v>ACTUAL</v>
      </c>
      <c r="U21" s="60" t="str">
        <f t="shared" ca="1" si="0"/>
        <v>ACTUAL</v>
      </c>
      <c r="V21" s="60" t="str">
        <f t="shared" ca="1" si="0"/>
        <v>ACTUAL</v>
      </c>
      <c r="W21" s="60" t="str">
        <f t="shared" ca="1" si="0"/>
        <v>ACTUAL</v>
      </c>
      <c r="X21" s="60" t="str">
        <f t="shared" ca="1" si="0"/>
        <v>ACTUAL</v>
      </c>
      <c r="Y21" s="60" t="str">
        <f t="shared" ca="1" si="0"/>
        <v>ACTUAL</v>
      </c>
      <c r="Z21" s="60" t="str">
        <f t="shared" ca="1" si="0"/>
        <v>BUDGET</v>
      </c>
      <c r="AA21" s="60" t="str">
        <f t="shared" ca="1" si="0"/>
        <v>BUDGET</v>
      </c>
      <c r="AB21" s="60" t="str">
        <f t="shared" ca="1" si="0"/>
        <v>BUDGET</v>
      </c>
      <c r="AC21" s="60" t="str">
        <f t="shared" ca="1" si="0"/>
        <v>BUDGET</v>
      </c>
      <c r="AD21" s="60" t="str">
        <f t="shared" ca="1" si="0"/>
        <v>BUDGET</v>
      </c>
      <c r="AE21" s="60" t="str">
        <f t="shared" ca="1" si="0"/>
        <v>BUDGET</v>
      </c>
      <c r="AF21" s="60" t="str">
        <f t="shared" ca="1" si="0"/>
        <v>BUDGET</v>
      </c>
      <c r="AG21" s="60" t="str">
        <f t="shared" ca="1" si="0"/>
        <v>BUDGET</v>
      </c>
      <c r="AH21" s="60" t="str">
        <f t="shared" ca="1" si="0"/>
        <v>BUDGET</v>
      </c>
      <c r="AI21" s="60" t="str">
        <f t="shared" ca="1" si="0"/>
        <v>BUDGET</v>
      </c>
      <c r="AJ21" s="60" t="str">
        <f t="shared" ca="1" si="0"/>
        <v>BUDGET</v>
      </c>
      <c r="AK21" s="60" t="str">
        <f t="shared" ca="1" si="0"/>
        <v>BUDGET</v>
      </c>
      <c r="AL21" s="60" t="str">
        <f t="shared" ca="1" si="0"/>
        <v>BUDGET</v>
      </c>
      <c r="AM21" s="60" t="str">
        <f t="shared" ca="1" si="0"/>
        <v>ACTUAL</v>
      </c>
      <c r="AN21" s="60" t="str">
        <f t="shared" ca="1" si="0"/>
        <v>ACTUAL</v>
      </c>
      <c r="AO21" s="60" t="str">
        <f t="shared" ca="1" si="0"/>
        <v>ACTUAL</v>
      </c>
      <c r="AP21" s="60" t="str">
        <f t="shared" ca="1" si="0"/>
        <v>ACTUAL</v>
      </c>
      <c r="AQ21" s="60" t="str">
        <f t="shared" ca="1" si="0"/>
        <v>ACTUAL</v>
      </c>
      <c r="AR21" s="60" t="str">
        <f t="shared" ca="1" si="0"/>
        <v>ACTUAL</v>
      </c>
      <c r="AS21" s="60" t="str">
        <f t="shared" ca="1" si="0"/>
        <v>ACTUAL</v>
      </c>
      <c r="AT21" s="60" t="str">
        <f t="shared" ca="1" si="0"/>
        <v>ACTUAL</v>
      </c>
      <c r="AU21" s="60" t="str">
        <f t="shared" ca="1" si="0"/>
        <v>ACTUAL</v>
      </c>
      <c r="AV21" s="60" t="str">
        <f t="shared" ca="1" si="0"/>
        <v>ACTUAL</v>
      </c>
      <c r="AW21" s="60" t="str">
        <f t="shared" ca="1" si="0"/>
        <v>ACTUAL</v>
      </c>
      <c r="AX21" s="60" t="str">
        <f t="shared" ca="1" si="0"/>
        <v>ACTUAL</v>
      </c>
      <c r="AY21" s="60" t="str">
        <f t="shared" ca="1" si="0"/>
        <v>ACTUAL</v>
      </c>
    </row>
    <row r="22" spans="1:51" ht="15.5">
      <c r="E22" s="111"/>
      <c r="F22" s="61">
        <f t="shared" ref="F22:AY22" ca="1" si="1">F1</f>
        <v>2016</v>
      </c>
      <c r="G22" s="61">
        <f t="shared" ca="1" si="1"/>
        <v>2017</v>
      </c>
      <c r="H22" s="61">
        <f t="shared" ca="1" si="1"/>
        <v>2018</v>
      </c>
      <c r="I22" s="61">
        <f t="shared" ca="1" si="1"/>
        <v>2019</v>
      </c>
      <c r="J22" s="61">
        <f t="shared" ca="1" si="1"/>
        <v>2020</v>
      </c>
      <c r="K22" s="61">
        <f t="shared" ca="1" si="1"/>
        <v>2021</v>
      </c>
      <c r="L22" s="61">
        <f t="shared" ca="1" si="1"/>
        <v>2022</v>
      </c>
      <c r="M22" s="61" t="str">
        <f t="shared" ca="1" si="1"/>
        <v>2022.01_YTD</v>
      </c>
      <c r="N22" s="61" t="str">
        <f t="shared" ca="1" si="1"/>
        <v>2022.02_YTD</v>
      </c>
      <c r="O22" s="61" t="str">
        <f t="shared" ca="1" si="1"/>
        <v>2022.03_YTD</v>
      </c>
      <c r="P22" s="61" t="str">
        <f t="shared" ca="1" si="1"/>
        <v>2022.04_YTD</v>
      </c>
      <c r="Q22" s="61" t="str">
        <f t="shared" ca="1" si="1"/>
        <v>2022.05_YTD</v>
      </c>
      <c r="R22" s="61" t="str">
        <f t="shared" ca="1" si="1"/>
        <v>2022.06_YTD</v>
      </c>
      <c r="S22" s="61" t="str">
        <f t="shared" ca="1" si="1"/>
        <v>2022.07_YTD</v>
      </c>
      <c r="T22" s="61" t="str">
        <f t="shared" ca="1" si="1"/>
        <v>2022.08_YTD</v>
      </c>
      <c r="U22" s="61" t="str">
        <f t="shared" ca="1" si="1"/>
        <v>2022.09_YTD</v>
      </c>
      <c r="V22" s="61" t="str">
        <f t="shared" ca="1" si="1"/>
        <v>2022.10_YTD</v>
      </c>
      <c r="W22" s="61" t="str">
        <f t="shared" ca="1" si="1"/>
        <v>2022.11_YTD</v>
      </c>
      <c r="X22" s="61" t="str">
        <f t="shared" ca="1" si="1"/>
        <v>2022.12_YTD</v>
      </c>
      <c r="Y22" s="61">
        <f t="shared" ca="1" si="1"/>
        <v>2022</v>
      </c>
      <c r="Z22" s="61" t="str">
        <f t="shared" ca="1" si="1"/>
        <v>2023.01_YTD</v>
      </c>
      <c r="AA22" s="61" t="str">
        <f t="shared" ca="1" si="1"/>
        <v>2023.02_YTD</v>
      </c>
      <c r="AB22" s="61" t="str">
        <f t="shared" ca="1" si="1"/>
        <v>2023.03_YTD</v>
      </c>
      <c r="AC22" s="61" t="str">
        <f t="shared" ca="1" si="1"/>
        <v>2023.04_YTD</v>
      </c>
      <c r="AD22" s="61" t="str">
        <f t="shared" ca="1" si="1"/>
        <v>2023.05_YTD</v>
      </c>
      <c r="AE22" s="61" t="str">
        <f t="shared" ca="1" si="1"/>
        <v>2023.06_YTD</v>
      </c>
      <c r="AF22" s="61" t="str">
        <f t="shared" ca="1" si="1"/>
        <v>2023.07_YTD</v>
      </c>
      <c r="AG22" s="61" t="str">
        <f t="shared" ca="1" si="1"/>
        <v>2023.08_YTD</v>
      </c>
      <c r="AH22" s="61" t="str">
        <f t="shared" ca="1" si="1"/>
        <v>2023.09_YTD</v>
      </c>
      <c r="AI22" s="61" t="str">
        <f t="shared" ca="1" si="1"/>
        <v>2023.10_YTD</v>
      </c>
      <c r="AJ22" s="61" t="str">
        <f t="shared" ca="1" si="1"/>
        <v>2023.11_YTD</v>
      </c>
      <c r="AK22" s="61" t="str">
        <f t="shared" ca="1" si="1"/>
        <v>2023.12_YTD</v>
      </c>
      <c r="AL22" s="61" t="str">
        <f t="shared" ca="1" si="1"/>
        <v>2023</v>
      </c>
      <c r="AM22" s="61" t="str">
        <f t="shared" ca="1" si="1"/>
        <v>2023.01_YTD</v>
      </c>
      <c r="AN22" s="61" t="str">
        <f t="shared" ca="1" si="1"/>
        <v>2023.02_YTD</v>
      </c>
      <c r="AO22" s="61" t="str">
        <f t="shared" ca="1" si="1"/>
        <v>2023.03_YTD</v>
      </c>
      <c r="AP22" s="61" t="str">
        <f t="shared" ca="1" si="1"/>
        <v>2023.04_YTD</v>
      </c>
      <c r="AQ22" s="61" t="str">
        <f t="shared" ca="1" si="1"/>
        <v>2023.05_YTD</v>
      </c>
      <c r="AR22" s="61" t="str">
        <f t="shared" ca="1" si="1"/>
        <v>2023.06_YTD</v>
      </c>
      <c r="AS22" s="61" t="str">
        <f t="shared" ca="1" si="1"/>
        <v>2023.07_YTD</v>
      </c>
      <c r="AT22" s="61" t="str">
        <f t="shared" ca="1" si="1"/>
        <v>2023.08_YTD</v>
      </c>
      <c r="AU22" s="61" t="str">
        <f t="shared" ca="1" si="1"/>
        <v>2023.09_YTD</v>
      </c>
      <c r="AV22" s="61" t="str">
        <f t="shared" ca="1" si="1"/>
        <v>2023.10_YTD</v>
      </c>
      <c r="AW22" s="61" t="str">
        <f t="shared" ca="1" si="1"/>
        <v>2023.11_YTD</v>
      </c>
      <c r="AX22" s="61" t="str">
        <f t="shared" ca="1" si="1"/>
        <v>2023.12_YTD</v>
      </c>
      <c r="AY22" s="61" t="str">
        <f t="shared" ca="1" si="1"/>
        <v>2023</v>
      </c>
    </row>
    <row r="23" spans="1:51" ht="7.5" customHeight="1">
      <c r="E23" s="7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</row>
    <row r="24" spans="1:51" ht="15.5" hidden="1" outlineLevel="1">
      <c r="A24" s="1" t="s">
        <v>141</v>
      </c>
      <c r="E24" s="9" t="str">
        <f ca="1">_xll.DBRW(Server&amp;"}ElementAttributes_Indicator",A24,"code_English")</f>
        <v>TPL10_nat - REVENUE FROM ORDINARY ACTIVITIES (by nature)</v>
      </c>
      <c r="F24" s="10">
        <f ca="1">_xll.DBRW($C$1,$C$2,$C$3,$C$4,$C$6,$C$5,$C$7,F$1,F$2,A24)</f>
        <v>0</v>
      </c>
      <c r="G24" s="10">
        <f ca="1">_xll.DBRW($C$1,$C$2,$C$3,$C$4,$C$6,$C$5,$C$7,G$1,G$2,A24)</f>
        <v>0</v>
      </c>
      <c r="H24" s="10">
        <f ca="1">_xll.DBRW($C$1,$C$2,$C$3,$C$4,$C$6,$C$5,$C$7,H$1,H$2,A24)</f>
        <v>0</v>
      </c>
      <c r="I24" s="10">
        <f ca="1">_xll.DBRW($C$1,$C$2,$C$3,$C$4,$C$6,$C$5,$C$7,I$1,I$2,A24)</f>
        <v>0</v>
      </c>
      <c r="J24" s="10">
        <f ca="1">_xll.DBRW($C$1,$C$2,$C$3,$C$4,$C$6,$C$5,$C$7,J$1,J$2,A24)</f>
        <v>0</v>
      </c>
      <c r="K24" s="10">
        <f ca="1">_xll.DBRW($C$1,$C$2,$C$3,$C$4,$C$6,$C$5,$C$7,K$1,K$2,A24)</f>
        <v>0</v>
      </c>
      <c r="L24" s="10">
        <f ca="1">_xll.DBRW($C$1,$C$2,$C$3,$C$4,$C$6,$C$5,$C$7,L$1,L$2,A24)</f>
        <v>0</v>
      </c>
      <c r="M24" s="10">
        <f ca="1">_xll.DBRW($C$1,$C$2,$C$3,$C$4,$C$6,$C$5,$C$7,M$1,M$2,A24)</f>
        <v>0</v>
      </c>
      <c r="N24" s="10">
        <f ca="1">_xll.DBRW($C$1,$C$2,$C$3,$C$4,$C$6,$C$5,$C$7,N$1,N$2,A24)</f>
        <v>0</v>
      </c>
      <c r="O24" s="10">
        <f ca="1">_xll.DBRW($C$1,$C$2,$C$3,$C$4,$C$6,$C$5,$C$7,O$1,O$2,A24)</f>
        <v>0</v>
      </c>
      <c r="P24" s="10">
        <f ca="1">_xll.DBRW($C$1,$C$2,$C$3,$C$4,$C$6,$C$5,$C$7,P$1,P$2,A24)</f>
        <v>0</v>
      </c>
      <c r="Q24" s="10">
        <f ca="1">_xll.DBRW($C$1,$C$2,$C$3,$C$4,$C$6,$C$5,$C$7,Q$1,Q$2,A24)</f>
        <v>0</v>
      </c>
      <c r="R24" s="10">
        <f ca="1">_xll.DBRW($C$1,$C$2,$C$3,$C$4,$C$6,$C$5,$C$7,R$1,R$2,A24)</f>
        <v>0</v>
      </c>
      <c r="S24" s="10">
        <f ca="1">_xll.DBRW($C$1,$C$2,$C$3,$C$4,$C$6,$C$5,$C$7,S$1,S$2,A24)</f>
        <v>0</v>
      </c>
      <c r="T24" s="10">
        <f ca="1">_xll.DBRW($C$1,$C$2,$C$3,$C$4,$C$6,$C$5,$C$7,T$1,T$2,A24)</f>
        <v>0</v>
      </c>
      <c r="U24" s="10">
        <f ca="1">_xll.DBRW($C$1,$C$2,$C$3,$C$4,$C$6,$C$5,$C$7,U$1,U$2,A24)</f>
        <v>0</v>
      </c>
      <c r="V24" s="10">
        <f ca="1">_xll.DBRW($C$1,$C$2,$C$3,$C$4,$C$6,$C$5,$C$7,V$1,V$2,A24)</f>
        <v>0</v>
      </c>
      <c r="W24" s="10">
        <f ca="1">_xll.DBRW($C$1,$C$2,$C$3,$C$4,$C$6,$C$5,$C$7,W$1,W$2,A24)</f>
        <v>0</v>
      </c>
      <c r="X24" s="10">
        <f ca="1">_xll.DBRW($C$1,$C$2,$C$3,$C$4,$C$6,$C$5,$C$7,X$1,X$2,A24)</f>
        <v>0</v>
      </c>
      <c r="Y24" s="10">
        <f ca="1">_xll.DBRW($C$1,$C$2,$C$3,$C$4,$C$6,$C$5,$C$7,Y$1,Y$2,A24)</f>
        <v>0</v>
      </c>
      <c r="Z24" s="10">
        <f ca="1">_xll.DBRW($C$1,$C$2,$C$3,$C$4,$C$6,$C$5,$C$7,Z$1,Z$2,A24)</f>
        <v>0</v>
      </c>
      <c r="AA24" s="10">
        <f ca="1">_xll.DBRW($C$1,$C$2,$C$3,$C$4,$C$6,$C$5,$C$7,AA$1,AA$2,A24)</f>
        <v>0</v>
      </c>
      <c r="AB24" s="10">
        <f ca="1">_xll.DBRW($C$1,$C$2,$C$3,$C$4,$C$6,$C$5,$C$7,AB$1,AB$2,A24)</f>
        <v>0</v>
      </c>
      <c r="AC24" s="10">
        <f ca="1">_xll.DBRW($C$1,$C$2,$C$3,$C$4,$C$6,$C$5,$C$7,AC$1,AC$2,A24)</f>
        <v>0</v>
      </c>
      <c r="AD24" s="10">
        <f ca="1">_xll.DBRW($C$1,$C$2,$C$3,$C$4,$C$6,$C$5,$C$7,AD$1,AD$2,A24)</f>
        <v>0</v>
      </c>
      <c r="AE24" s="10">
        <f ca="1">_xll.DBRW($C$1,$C$2,$C$3,$C$4,$C$6,$C$5,$C$7,AE$1,AE$2,A24)</f>
        <v>0</v>
      </c>
      <c r="AF24" s="10">
        <f ca="1">_xll.DBRW($C$1,$C$2,$C$3,$C$4,$C$6,$C$5,$C$7,AF$1,AF$2,A24)</f>
        <v>0</v>
      </c>
      <c r="AG24" s="10">
        <f ca="1">_xll.DBRW($C$1,$C$2,$C$3,$C$4,$C$6,$C$5,$C$7,AG$1,AG$2,A24)</f>
        <v>0</v>
      </c>
      <c r="AH24" s="10">
        <f ca="1">_xll.DBRW($C$1,$C$2,$C$3,$C$4,$C$6,$C$5,$C$7,AH$1,AH$2,A24)</f>
        <v>0</v>
      </c>
      <c r="AI24" s="10">
        <f ca="1">_xll.DBRW($C$1,$C$2,$C$3,$C$4,$C$6,$C$5,$C$7,AI$1,AI$2,A24)</f>
        <v>0</v>
      </c>
      <c r="AJ24" s="10">
        <f ca="1">_xll.DBRW($C$1,$C$2,$C$3,$C$4,$C$6,$C$5,$C$7,AJ$1,AJ$2,A24)</f>
        <v>0</v>
      </c>
      <c r="AK24" s="10">
        <f ca="1">_xll.DBRW($C$1,$C$2,$C$3,$C$4,$C$6,$C$5,$C$7,AK$1,AK$2,A24)</f>
        <v>0</v>
      </c>
      <c r="AL24" s="24">
        <f ca="1">_xll.DBRW($C$1,$C$2,$C$3,$C$4,$C$6,$C$5,$C$7,AL$1,AL$2,A24)</f>
        <v>0</v>
      </c>
      <c r="AM24" s="10">
        <f ca="1">_xll.DBRW($C$1,$C$2,$C$3,$C$4,$C$6,$C$5,$C$7,AM$1,AM$2,A24)</f>
        <v>0</v>
      </c>
      <c r="AN24" s="10">
        <f ca="1">_xll.DBRW($C$1,$C$2,$C$3,$C$4,$C$6,$C$5,$C$7,AN$1,AN$2,A24)</f>
        <v>0</v>
      </c>
      <c r="AO24" s="10">
        <f ca="1">_xll.DBRW($C$1,$C$2,$C$3,$C$4,$C$6,$C$5,$C$7,AO$1,AO$2,A24)</f>
        <v>0</v>
      </c>
      <c r="AP24" s="10">
        <f ca="1">_xll.DBRW($C$1,$C$2,$C$3,$C$4,$C$6,$C$5,$C$7,AP$1,AP$2,A24)</f>
        <v>0</v>
      </c>
      <c r="AQ24" s="10">
        <f ca="1">_xll.DBRW($C$1,$C$2,$C$3,$C$4,$C$6,$C$5,$C$7,AQ$1,AQ$2,A24)</f>
        <v>0</v>
      </c>
      <c r="AR24" s="10">
        <f ca="1">_xll.DBRW($C$1,$C$2,$C$3,$C$4,$C$6,$C$5,$C$7,AR$1,AR$2,A24)</f>
        <v>0</v>
      </c>
      <c r="AS24" s="10">
        <f ca="1">_xll.DBRW($C$1,$C$2,$C$3,$C$4,$C$6,$C$5,$C$7,AS$1,AS$2,A24)</f>
        <v>0</v>
      </c>
      <c r="AT24" s="10">
        <f ca="1">_xll.DBRW($C$1,$C$2,$C$3,$C$4,$C$6,$C$5,$C$7,AT$1,AT$2,A24)</f>
        <v>0</v>
      </c>
      <c r="AU24" s="10">
        <f ca="1">_xll.DBRW($C$1,$C$2,$C$3,$C$4,$C$6,$C$5,$C$7,AU$1,AU$2,A24)</f>
        <v>0</v>
      </c>
      <c r="AV24" s="10">
        <f ca="1">_xll.DBRW($C$1,$C$2,$C$3,$C$4,$C$6,$C$5,$C$7,AV$1,AV$2,A24)</f>
        <v>0</v>
      </c>
      <c r="AW24" s="10">
        <f ca="1">_xll.DBRW($C$1,$C$2,$C$3,$C$4,$C$6,$C$5,$C$7,AW$1,AW$2,A24)</f>
        <v>0</v>
      </c>
      <c r="AX24" s="10">
        <f ca="1">_xll.DBRW($C$1,$C$2,$C$3,$C$4,$C$6,$C$5,$C$7,AX$1,AX$2,A24)</f>
        <v>0</v>
      </c>
      <c r="AY24" s="10">
        <f ca="1">_xll.DBRW($C$1,$C$2,$C$3,$C$4,$C$6,$C$5,$C$7,AY$1,AY$2,A24)</f>
        <v>0</v>
      </c>
    </row>
    <row r="25" spans="1:51" ht="15.75" customHeight="1" collapsed="1">
      <c r="A25" s="1" t="s">
        <v>142</v>
      </c>
      <c r="C25" s="109" t="s">
        <v>16</v>
      </c>
      <c r="E25" s="20" t="s">
        <v>17</v>
      </c>
      <c r="F25" s="37">
        <f ca="1">F24</f>
        <v>0</v>
      </c>
      <c r="G25" s="37">
        <f t="shared" ref="G25:AY25" ca="1" si="2">G24</f>
        <v>0</v>
      </c>
      <c r="H25" s="37">
        <f t="shared" ca="1" si="2"/>
        <v>0</v>
      </c>
      <c r="I25" s="37">
        <f t="shared" ca="1" si="2"/>
        <v>0</v>
      </c>
      <c r="J25" s="37">
        <f t="shared" ca="1" si="2"/>
        <v>0</v>
      </c>
      <c r="K25" s="37">
        <f t="shared" ca="1" si="2"/>
        <v>0</v>
      </c>
      <c r="L25" s="37">
        <f t="shared" ca="1" si="2"/>
        <v>0</v>
      </c>
      <c r="M25" s="37">
        <f t="shared" ca="1" si="2"/>
        <v>0</v>
      </c>
      <c r="N25" s="37">
        <f t="shared" ca="1" si="2"/>
        <v>0</v>
      </c>
      <c r="O25" s="37">
        <f t="shared" ca="1" si="2"/>
        <v>0</v>
      </c>
      <c r="P25" s="37">
        <f t="shared" ca="1" si="2"/>
        <v>0</v>
      </c>
      <c r="Q25" s="37">
        <f t="shared" ca="1" si="2"/>
        <v>0</v>
      </c>
      <c r="R25" s="37">
        <f t="shared" ca="1" si="2"/>
        <v>0</v>
      </c>
      <c r="S25" s="37">
        <f t="shared" ca="1" si="2"/>
        <v>0</v>
      </c>
      <c r="T25" s="37">
        <f t="shared" ca="1" si="2"/>
        <v>0</v>
      </c>
      <c r="U25" s="37">
        <f t="shared" ca="1" si="2"/>
        <v>0</v>
      </c>
      <c r="V25" s="37">
        <f t="shared" ca="1" si="2"/>
        <v>0</v>
      </c>
      <c r="W25" s="37">
        <f t="shared" ca="1" si="2"/>
        <v>0</v>
      </c>
      <c r="X25" s="37">
        <f t="shared" ca="1" si="2"/>
        <v>0</v>
      </c>
      <c r="Y25" s="37">
        <f t="shared" ca="1" si="2"/>
        <v>0</v>
      </c>
      <c r="Z25" s="37">
        <f t="shared" ca="1" si="2"/>
        <v>0</v>
      </c>
      <c r="AA25" s="37">
        <f t="shared" ca="1" si="2"/>
        <v>0</v>
      </c>
      <c r="AB25" s="37">
        <f t="shared" ca="1" si="2"/>
        <v>0</v>
      </c>
      <c r="AC25" s="37">
        <f t="shared" ca="1" si="2"/>
        <v>0</v>
      </c>
      <c r="AD25" s="37">
        <f t="shared" ca="1" si="2"/>
        <v>0</v>
      </c>
      <c r="AE25" s="37">
        <f t="shared" ca="1" si="2"/>
        <v>0</v>
      </c>
      <c r="AF25" s="37">
        <f t="shared" ca="1" si="2"/>
        <v>0</v>
      </c>
      <c r="AG25" s="37">
        <f t="shared" ca="1" si="2"/>
        <v>0</v>
      </c>
      <c r="AH25" s="37">
        <f t="shared" ca="1" si="2"/>
        <v>0</v>
      </c>
      <c r="AI25" s="37">
        <f t="shared" ca="1" si="2"/>
        <v>0</v>
      </c>
      <c r="AJ25" s="37">
        <f t="shared" ca="1" si="2"/>
        <v>0</v>
      </c>
      <c r="AK25" s="37">
        <f t="shared" ca="1" si="2"/>
        <v>0</v>
      </c>
      <c r="AL25" s="37">
        <f t="shared" ca="1" si="2"/>
        <v>0</v>
      </c>
      <c r="AM25" s="37">
        <f t="shared" ca="1" si="2"/>
        <v>0</v>
      </c>
      <c r="AN25" s="37">
        <f t="shared" ca="1" si="2"/>
        <v>0</v>
      </c>
      <c r="AO25" s="37">
        <f t="shared" ca="1" si="2"/>
        <v>0</v>
      </c>
      <c r="AP25" s="37">
        <f t="shared" ca="1" si="2"/>
        <v>0</v>
      </c>
      <c r="AQ25" s="37">
        <f t="shared" ca="1" si="2"/>
        <v>0</v>
      </c>
      <c r="AR25" s="37">
        <f t="shared" ca="1" si="2"/>
        <v>0</v>
      </c>
      <c r="AS25" s="37">
        <f t="shared" ca="1" si="2"/>
        <v>0</v>
      </c>
      <c r="AT25" s="37">
        <f t="shared" ca="1" si="2"/>
        <v>0</v>
      </c>
      <c r="AU25" s="37">
        <f t="shared" ca="1" si="2"/>
        <v>0</v>
      </c>
      <c r="AV25" s="37">
        <f t="shared" ca="1" si="2"/>
        <v>0</v>
      </c>
      <c r="AW25" s="37">
        <f t="shared" ca="1" si="2"/>
        <v>0</v>
      </c>
      <c r="AX25" s="37">
        <f t="shared" ca="1" si="2"/>
        <v>0</v>
      </c>
      <c r="AY25" s="37">
        <f t="shared" ca="1" si="2"/>
        <v>0</v>
      </c>
    </row>
    <row r="26" spans="1:51" ht="7.5" customHeight="1">
      <c r="A26" s="1" t="s">
        <v>142</v>
      </c>
      <c r="C26" s="109"/>
      <c r="E26" s="7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</row>
    <row r="27" spans="1:51" ht="15.75" hidden="1" customHeight="1" outlineLevel="1">
      <c r="A27" s="1" t="s">
        <v>143</v>
      </c>
      <c r="C27" s="109"/>
      <c r="E27" s="9" t="str">
        <f ca="1">_xll.DBRW(Server&amp;"}ElementAttributes_Indicator",A27,"code_English")</f>
        <v>PL1003_RC_30 - Other transportation revenue (incl. subcontracting revenue)</v>
      </c>
      <c r="F27" s="10">
        <f ca="1">_xll.DBRW($C$1,$C$2,$C$3,$C$4,$C$6,$C$5,$C$7,F$1,F$2,A27)</f>
        <v>0</v>
      </c>
      <c r="G27" s="10">
        <f ca="1">_xll.DBRW($C$1,$C$2,$C$3,$C$4,$C$6,$C$5,$C$7,G$1,G$2,A27)</f>
        <v>0</v>
      </c>
      <c r="H27" s="10">
        <f ca="1">_xll.DBRW($C$1,$C$2,$C$3,$C$4,$C$6,$C$5,$C$7,H$1,H$2,A27)</f>
        <v>0</v>
      </c>
      <c r="I27" s="10">
        <f ca="1">_xll.DBRW($C$1,$C$2,$C$3,$C$4,$C$6,$C$5,$C$7,I$1,I$2,A27)</f>
        <v>0</v>
      </c>
      <c r="J27" s="10">
        <f ca="1">_xll.DBRW($C$1,$C$2,$C$3,$C$4,$C$6,$C$5,$C$7,J$1,J$2,A27)</f>
        <v>0</v>
      </c>
      <c r="K27" s="10">
        <f ca="1">_xll.DBRW($C$1,$C$2,$C$3,$C$4,$C$6,$C$5,$C$7,K$1,K$2,A27)</f>
        <v>0</v>
      </c>
      <c r="L27" s="10">
        <f ca="1">_xll.DBRW($C$1,$C$2,$C$3,$C$4,$C$6,$C$5,$C$7,L$1,L$2,A27)</f>
        <v>0</v>
      </c>
      <c r="M27" s="10">
        <f ca="1">_xll.DBRW($C$1,$C$2,$C$3,$C$4,$C$6,$C$5,$C$7,M$1,M$2,A27)</f>
        <v>0</v>
      </c>
      <c r="N27" s="10">
        <f ca="1">_xll.DBRW($C$1,$C$2,$C$3,$C$4,$C$6,$C$5,$C$7,N$1,N$2,A27)</f>
        <v>0</v>
      </c>
      <c r="O27" s="10">
        <f ca="1">_xll.DBRW($C$1,$C$2,$C$3,$C$4,$C$6,$C$5,$C$7,O$1,O$2,A27)</f>
        <v>0</v>
      </c>
      <c r="P27" s="10">
        <f ca="1">_xll.DBRW($C$1,$C$2,$C$3,$C$4,$C$6,$C$5,$C$7,P$1,P$2,A27)</f>
        <v>0</v>
      </c>
      <c r="Q27" s="10">
        <f ca="1">_xll.DBRW($C$1,$C$2,$C$3,$C$4,$C$6,$C$5,$C$7,Q$1,Q$2,A27)</f>
        <v>0</v>
      </c>
      <c r="R27" s="10">
        <f ca="1">_xll.DBRW($C$1,$C$2,$C$3,$C$4,$C$6,$C$5,$C$7,R$1,R$2,A27)</f>
        <v>0</v>
      </c>
      <c r="S27" s="10">
        <f ca="1">_xll.DBRW($C$1,$C$2,$C$3,$C$4,$C$6,$C$5,$C$7,S$1,S$2,A27)</f>
        <v>0</v>
      </c>
      <c r="T27" s="10">
        <f ca="1">_xll.DBRW($C$1,$C$2,$C$3,$C$4,$C$6,$C$5,$C$7,T$1,T$2,A27)</f>
        <v>0</v>
      </c>
      <c r="U27" s="10">
        <f ca="1">_xll.DBRW($C$1,$C$2,$C$3,$C$4,$C$6,$C$5,$C$7,U$1,U$2,A27)</f>
        <v>0</v>
      </c>
      <c r="V27" s="10">
        <f ca="1">_xll.DBRW($C$1,$C$2,$C$3,$C$4,$C$6,$C$5,$C$7,V$1,V$2,A27)</f>
        <v>0</v>
      </c>
      <c r="W27" s="10">
        <f ca="1">_xll.DBRW($C$1,$C$2,$C$3,$C$4,$C$6,$C$5,$C$7,W$1,W$2,A27)</f>
        <v>0</v>
      </c>
      <c r="X27" s="10">
        <f ca="1">_xll.DBRW($C$1,$C$2,$C$3,$C$4,$C$6,$C$5,$C$7,X$1,X$2,A27)</f>
        <v>0</v>
      </c>
      <c r="Y27" s="10">
        <f ca="1">_xll.DBRW($C$1,$C$2,$C$3,$C$4,$C$6,$C$5,$C$7,Y$1,Y$2,A27)</f>
        <v>0</v>
      </c>
      <c r="Z27" s="10">
        <f ca="1">_xll.DBRW($C$1,$C$2,$C$3,$C$4,$C$6,$C$5,$C$7,Z$1,Z$2,A27)</f>
        <v>0</v>
      </c>
      <c r="AA27" s="10">
        <f ca="1">_xll.DBRW($C$1,$C$2,$C$3,$C$4,$C$6,$C$5,$C$7,AA$1,AA$2,A27)</f>
        <v>0</v>
      </c>
      <c r="AB27" s="10">
        <f ca="1">_xll.DBRW($C$1,$C$2,$C$3,$C$4,$C$6,$C$5,$C$7,AB$1,AB$2,A27)</f>
        <v>0</v>
      </c>
      <c r="AC27" s="10">
        <f ca="1">_xll.DBRW($C$1,$C$2,$C$3,$C$4,$C$6,$C$5,$C$7,AC$1,AC$2,A27)</f>
        <v>0</v>
      </c>
      <c r="AD27" s="10">
        <f ca="1">_xll.DBRW($C$1,$C$2,$C$3,$C$4,$C$6,$C$5,$C$7,AD$1,AD$2,A27)</f>
        <v>0</v>
      </c>
      <c r="AE27" s="10">
        <f ca="1">_xll.DBRW($C$1,$C$2,$C$3,$C$4,$C$6,$C$5,$C$7,AE$1,AE$2,A27)</f>
        <v>0</v>
      </c>
      <c r="AF27" s="10">
        <f ca="1">_xll.DBRW($C$1,$C$2,$C$3,$C$4,$C$6,$C$5,$C$7,AF$1,AF$2,A27)</f>
        <v>0</v>
      </c>
      <c r="AG27" s="10">
        <f ca="1">_xll.DBRW($C$1,$C$2,$C$3,$C$4,$C$6,$C$5,$C$7,AG$1,AG$2,A27)</f>
        <v>0</v>
      </c>
      <c r="AH27" s="10">
        <f ca="1">_xll.DBRW($C$1,$C$2,$C$3,$C$4,$C$6,$C$5,$C$7,AH$1,AH$2,A27)</f>
        <v>0</v>
      </c>
      <c r="AI27" s="10">
        <f ca="1">_xll.DBRW($C$1,$C$2,$C$3,$C$4,$C$6,$C$5,$C$7,AI$1,AI$2,A27)</f>
        <v>0</v>
      </c>
      <c r="AJ27" s="10">
        <f ca="1">_xll.DBRW($C$1,$C$2,$C$3,$C$4,$C$6,$C$5,$C$7,AJ$1,AJ$2,A27)</f>
        <v>0</v>
      </c>
      <c r="AK27" s="10">
        <f ca="1">_xll.DBRW($C$1,$C$2,$C$3,$C$4,$C$6,$C$5,$C$7,AK$1,AK$2,A27)</f>
        <v>0</v>
      </c>
      <c r="AL27" s="10">
        <f ca="1">_xll.DBRW($C$1,$C$2,$C$3,$C$4,$C$6,$C$5,$C$7,AL$1,AL$2,A27)</f>
        <v>0</v>
      </c>
      <c r="AM27" s="10">
        <f ca="1">_xll.DBRW($C$1,$C$2,$C$3,$C$4,$C$6,$C$5,$C$7,AM$1,AM$2,A27)</f>
        <v>0</v>
      </c>
      <c r="AN27" s="10">
        <f ca="1">_xll.DBRW($C$1,$C$2,$C$3,$C$4,$C$6,$C$5,$C$7,AN$1,AN$2,A27)</f>
        <v>0</v>
      </c>
      <c r="AO27" s="10">
        <f ca="1">_xll.DBRW($C$1,$C$2,$C$3,$C$4,$C$6,$C$5,$C$7,AO$1,AO$2,A27)</f>
        <v>0</v>
      </c>
      <c r="AP27" s="10">
        <f ca="1">_xll.DBRW($C$1,$C$2,$C$3,$C$4,$C$6,$C$5,$C$7,AP$1,AP$2,A27)</f>
        <v>0</v>
      </c>
      <c r="AQ27" s="10">
        <f ca="1">_xll.DBRW($C$1,$C$2,$C$3,$C$4,$C$6,$C$5,$C$7,AQ$1,AQ$2,A27)</f>
        <v>0</v>
      </c>
      <c r="AR27" s="10">
        <f ca="1">_xll.DBRW($C$1,$C$2,$C$3,$C$4,$C$6,$C$5,$C$7,AR$1,AR$2,A27)</f>
        <v>0</v>
      </c>
      <c r="AS27" s="10">
        <f ca="1">_xll.DBRW($C$1,$C$2,$C$3,$C$4,$C$6,$C$5,$C$7,AS$1,AS$2,A27)</f>
        <v>0</v>
      </c>
      <c r="AT27" s="10">
        <f ca="1">_xll.DBRW($C$1,$C$2,$C$3,$C$4,$C$6,$C$5,$C$7,AT$1,AT$2,A27)</f>
        <v>0</v>
      </c>
      <c r="AU27" s="10">
        <f ca="1">_xll.DBRW($C$1,$C$2,$C$3,$C$4,$C$6,$C$5,$C$7,AU$1,AU$2,A27)</f>
        <v>0</v>
      </c>
      <c r="AV27" s="10">
        <f ca="1">_xll.DBRW($C$1,$C$2,$C$3,$C$4,$C$6,$C$5,$C$7,AV$1,AV$2,A27)</f>
        <v>0</v>
      </c>
      <c r="AW27" s="10">
        <f ca="1">_xll.DBRW($C$1,$C$2,$C$3,$C$4,$C$6,$C$5,$C$7,AW$1,AW$2,A27)</f>
        <v>0</v>
      </c>
      <c r="AX27" s="10">
        <f ca="1">_xll.DBRW($C$1,$C$2,$C$3,$C$4,$C$6,$C$5,$C$7,AX$1,AX$2,A27)</f>
        <v>0</v>
      </c>
      <c r="AY27" s="10">
        <f ca="1">_xll.DBRW($C$1,$C$2,$C$3,$C$4,$C$6,$C$5,$C$7,AY$1,AY$2,A27)</f>
        <v>0</v>
      </c>
    </row>
    <row r="28" spans="1:51" ht="15.75" customHeight="1" collapsed="1">
      <c r="A28" s="1" t="s">
        <v>142</v>
      </c>
      <c r="C28" s="109"/>
      <c r="E28" s="13" t="s">
        <v>18</v>
      </c>
      <c r="F28" s="31">
        <f t="shared" ref="F28:L28" ca="1" si="3">F27</f>
        <v>0</v>
      </c>
      <c r="G28" s="31">
        <f t="shared" ca="1" si="3"/>
        <v>0</v>
      </c>
      <c r="H28" s="31">
        <f t="shared" ca="1" si="3"/>
        <v>0</v>
      </c>
      <c r="I28" s="31">
        <f t="shared" ca="1" si="3"/>
        <v>0</v>
      </c>
      <c r="J28" s="31">
        <f t="shared" ca="1" si="3"/>
        <v>0</v>
      </c>
      <c r="K28" s="31">
        <f t="shared" ca="1" si="3"/>
        <v>0</v>
      </c>
      <c r="L28" s="31">
        <f t="shared" ca="1" si="3"/>
        <v>0</v>
      </c>
      <c r="M28" s="31">
        <f t="shared" ref="M28:X28" ca="1" si="4">M27</f>
        <v>0</v>
      </c>
      <c r="N28" s="31">
        <f t="shared" ca="1" si="4"/>
        <v>0</v>
      </c>
      <c r="O28" s="31">
        <f t="shared" ca="1" si="4"/>
        <v>0</v>
      </c>
      <c r="P28" s="31">
        <f t="shared" ca="1" si="4"/>
        <v>0</v>
      </c>
      <c r="Q28" s="31">
        <f t="shared" ca="1" si="4"/>
        <v>0</v>
      </c>
      <c r="R28" s="31">
        <f t="shared" ca="1" si="4"/>
        <v>0</v>
      </c>
      <c r="S28" s="31">
        <f t="shared" ca="1" si="4"/>
        <v>0</v>
      </c>
      <c r="T28" s="31">
        <f t="shared" ca="1" si="4"/>
        <v>0</v>
      </c>
      <c r="U28" s="31">
        <f t="shared" ca="1" si="4"/>
        <v>0</v>
      </c>
      <c r="V28" s="31">
        <f t="shared" ca="1" si="4"/>
        <v>0</v>
      </c>
      <c r="W28" s="31">
        <f t="shared" ca="1" si="4"/>
        <v>0</v>
      </c>
      <c r="X28" s="31">
        <f t="shared" ca="1" si="4"/>
        <v>0</v>
      </c>
      <c r="Y28" s="31">
        <f ca="1">Y27</f>
        <v>0</v>
      </c>
      <c r="Z28" s="31">
        <f t="shared" ref="Z28:AK28" ca="1" si="5">Z27</f>
        <v>0</v>
      </c>
      <c r="AA28" s="31">
        <f t="shared" ca="1" si="5"/>
        <v>0</v>
      </c>
      <c r="AB28" s="31">
        <f t="shared" ca="1" si="5"/>
        <v>0</v>
      </c>
      <c r="AC28" s="31">
        <f t="shared" ca="1" si="5"/>
        <v>0</v>
      </c>
      <c r="AD28" s="31">
        <f t="shared" ca="1" si="5"/>
        <v>0</v>
      </c>
      <c r="AE28" s="31">
        <f t="shared" ca="1" si="5"/>
        <v>0</v>
      </c>
      <c r="AF28" s="31">
        <f t="shared" ca="1" si="5"/>
        <v>0</v>
      </c>
      <c r="AG28" s="31">
        <f t="shared" ca="1" si="5"/>
        <v>0</v>
      </c>
      <c r="AH28" s="31">
        <f t="shared" ca="1" si="5"/>
        <v>0</v>
      </c>
      <c r="AI28" s="31">
        <f t="shared" ca="1" si="5"/>
        <v>0</v>
      </c>
      <c r="AJ28" s="31">
        <f t="shared" ca="1" si="5"/>
        <v>0</v>
      </c>
      <c r="AK28" s="31">
        <f t="shared" ca="1" si="5"/>
        <v>0</v>
      </c>
      <c r="AL28" s="31">
        <f ca="1">AL27</f>
        <v>0</v>
      </c>
      <c r="AM28" s="31">
        <f t="shared" ref="AM28:AX28" ca="1" si="6">AM27</f>
        <v>0</v>
      </c>
      <c r="AN28" s="31">
        <f t="shared" ca="1" si="6"/>
        <v>0</v>
      </c>
      <c r="AO28" s="31">
        <f t="shared" ca="1" si="6"/>
        <v>0</v>
      </c>
      <c r="AP28" s="31">
        <f t="shared" ca="1" si="6"/>
        <v>0</v>
      </c>
      <c r="AQ28" s="31">
        <f t="shared" ca="1" si="6"/>
        <v>0</v>
      </c>
      <c r="AR28" s="31">
        <f t="shared" ca="1" si="6"/>
        <v>0</v>
      </c>
      <c r="AS28" s="31">
        <f t="shared" ca="1" si="6"/>
        <v>0</v>
      </c>
      <c r="AT28" s="31">
        <f t="shared" ca="1" si="6"/>
        <v>0</v>
      </c>
      <c r="AU28" s="31">
        <f t="shared" ca="1" si="6"/>
        <v>0</v>
      </c>
      <c r="AV28" s="31">
        <f t="shared" ca="1" si="6"/>
        <v>0</v>
      </c>
      <c r="AW28" s="31">
        <f t="shared" ca="1" si="6"/>
        <v>0</v>
      </c>
      <c r="AX28" s="31">
        <f t="shared" ca="1" si="6"/>
        <v>0</v>
      </c>
      <c r="AY28" s="31">
        <f ca="1">AY27</f>
        <v>0</v>
      </c>
    </row>
    <row r="29" spans="1:51" ht="15.75" hidden="1" customHeight="1" outlineLevel="1">
      <c r="A29" s="1" t="s">
        <v>144</v>
      </c>
      <c r="C29" s="109"/>
      <c r="E29" s="9" t="str">
        <f ca="1">_xll.DBRW(Server&amp;"}ElementAttributes_Indicator",A29,"code_English")</f>
        <v>PL1115S - COS - Subcontracting transportation costs</v>
      </c>
      <c r="F29" s="32">
        <f ca="1">_xll.DBRW($C$1,$C$2,$C$3,$C$4,$C$6,$C$5,$C$7,F$1,F$2,A29)</f>
        <v>0</v>
      </c>
      <c r="G29" s="32">
        <f ca="1">_xll.DBRW($C$1,$C$2,$C$3,$C$4,$C$6,$C$5,$C$7,G$1,G$2,A29)</f>
        <v>0</v>
      </c>
      <c r="H29" s="32">
        <f ca="1">_xll.DBRW($C$1,$C$2,$C$3,$C$4,$C$6,$C$5,$C$7,H$1,H$2,A29)</f>
        <v>0</v>
      </c>
      <c r="I29" s="32">
        <f ca="1">_xll.DBRW($C$1,$C$2,$C$3,$C$4,$C$6,$C$5,$C$7,I$1,I$2,A29)</f>
        <v>0</v>
      </c>
      <c r="J29" s="32">
        <f ca="1">_xll.DBRW($C$1,$C$2,$C$3,$C$4,$C$6,$C$5,$C$7,J$1,J$2,A29)</f>
        <v>0</v>
      </c>
      <c r="K29" s="32">
        <f ca="1">_xll.DBRW($C$1,$C$2,$C$3,$C$4,$C$6,$C$5,$C$7,K$1,K$2,A29)</f>
        <v>0</v>
      </c>
      <c r="L29" s="32">
        <f ca="1">_xll.DBRW($C$1,$C$2,$C$3,$C$4,$C$6,$C$5,$C$7,L$1,L$2,A29)</f>
        <v>0</v>
      </c>
      <c r="M29" s="32">
        <f ca="1">_xll.DBRW($C$1,$C$2,$C$3,$C$4,$C$6,$C$5,$C$7,M$1,M$2,A29)</f>
        <v>0</v>
      </c>
      <c r="N29" s="32">
        <f ca="1">_xll.DBRW($C$1,$C$2,$C$3,$C$4,$C$6,$C$5,$C$7,N$1,N$2,A29)</f>
        <v>0</v>
      </c>
      <c r="O29" s="32">
        <f ca="1">_xll.DBRW($C$1,$C$2,$C$3,$C$4,$C$6,$C$5,$C$7,O$1,O$2,A29)</f>
        <v>0</v>
      </c>
      <c r="P29" s="32">
        <f ca="1">_xll.DBRW($C$1,$C$2,$C$3,$C$4,$C$6,$C$5,$C$7,P$1,P$2,A29)</f>
        <v>0</v>
      </c>
      <c r="Q29" s="32">
        <f ca="1">_xll.DBRW($C$1,$C$2,$C$3,$C$4,$C$6,$C$5,$C$7,Q$1,Q$2,A29)</f>
        <v>0</v>
      </c>
      <c r="R29" s="32">
        <f ca="1">_xll.DBRW($C$1,$C$2,$C$3,$C$4,$C$6,$C$5,$C$7,R$1,R$2,A29)</f>
        <v>0</v>
      </c>
      <c r="S29" s="32">
        <f ca="1">_xll.DBRW($C$1,$C$2,$C$3,$C$4,$C$6,$C$5,$C$7,S$1,S$2,A29)</f>
        <v>0</v>
      </c>
      <c r="T29" s="32">
        <f ca="1">_xll.DBRW($C$1,$C$2,$C$3,$C$4,$C$6,$C$5,$C$7,T$1,T$2,A29)</f>
        <v>0</v>
      </c>
      <c r="U29" s="32">
        <f ca="1">_xll.DBRW($C$1,$C$2,$C$3,$C$4,$C$6,$C$5,$C$7,U$1,U$2,A29)</f>
        <v>0</v>
      </c>
      <c r="V29" s="32">
        <f ca="1">_xll.DBRW($C$1,$C$2,$C$3,$C$4,$C$6,$C$5,$C$7,V$1,V$2,A29)</f>
        <v>0</v>
      </c>
      <c r="W29" s="32">
        <f ca="1">_xll.DBRW($C$1,$C$2,$C$3,$C$4,$C$6,$C$5,$C$7,W$1,W$2,A29)</f>
        <v>0</v>
      </c>
      <c r="X29" s="32">
        <f ca="1">_xll.DBRW($C$1,$C$2,$C$3,$C$4,$C$6,$C$5,$C$7,X$1,X$2,A29)</f>
        <v>0</v>
      </c>
      <c r="Y29" s="32">
        <f ca="1">_xll.DBRW($C$1,$C$2,$C$3,$C$4,$C$6,$C$5,$C$7,Y$1,Y$2,A29)</f>
        <v>0</v>
      </c>
      <c r="Z29" s="32">
        <f ca="1">_xll.DBRW($C$1,$C$2,$C$3,$C$4,$C$6,$C$5,$C$7,Z$1,Z$2,A29)</f>
        <v>0</v>
      </c>
      <c r="AA29" s="32">
        <f ca="1">_xll.DBRW($C$1,$C$2,$C$3,$C$4,$C$6,$C$5,$C$7,AA$1,AA$2,A29)</f>
        <v>0</v>
      </c>
      <c r="AB29" s="32">
        <f ca="1">_xll.DBRW($C$1,$C$2,$C$3,$C$4,$C$6,$C$5,$C$7,AB$1,AB$2,A29)</f>
        <v>0</v>
      </c>
      <c r="AC29" s="32">
        <f ca="1">_xll.DBRW($C$1,$C$2,$C$3,$C$4,$C$6,$C$5,$C$7,AC$1,AC$2,A29)</f>
        <v>0</v>
      </c>
      <c r="AD29" s="32">
        <f ca="1">_xll.DBRW($C$1,$C$2,$C$3,$C$4,$C$6,$C$5,$C$7,AD$1,AD$2,A29)</f>
        <v>0</v>
      </c>
      <c r="AE29" s="32">
        <f ca="1">_xll.DBRW($C$1,$C$2,$C$3,$C$4,$C$6,$C$5,$C$7,AE$1,AE$2,A29)</f>
        <v>0</v>
      </c>
      <c r="AF29" s="32">
        <f ca="1">_xll.DBRW($C$1,$C$2,$C$3,$C$4,$C$6,$C$5,$C$7,AF$1,AF$2,A29)</f>
        <v>0</v>
      </c>
      <c r="AG29" s="32">
        <f ca="1">_xll.DBRW($C$1,$C$2,$C$3,$C$4,$C$6,$C$5,$C$7,AG$1,AG$2,A29)</f>
        <v>0</v>
      </c>
      <c r="AH29" s="32">
        <f ca="1">_xll.DBRW($C$1,$C$2,$C$3,$C$4,$C$6,$C$5,$C$7,AH$1,AH$2,A29)</f>
        <v>0</v>
      </c>
      <c r="AI29" s="32">
        <f ca="1">_xll.DBRW($C$1,$C$2,$C$3,$C$4,$C$6,$C$5,$C$7,AI$1,AI$2,A29)</f>
        <v>0</v>
      </c>
      <c r="AJ29" s="32">
        <f ca="1">_xll.DBRW($C$1,$C$2,$C$3,$C$4,$C$6,$C$5,$C$7,AJ$1,AJ$2,A29)</f>
        <v>0</v>
      </c>
      <c r="AK29" s="32">
        <f ca="1">_xll.DBRW($C$1,$C$2,$C$3,$C$4,$C$6,$C$5,$C$7,AK$1,AK$2,A29)</f>
        <v>0</v>
      </c>
      <c r="AL29" s="32">
        <f ca="1">_xll.DBRW($C$1,$C$2,$C$3,$C$4,$C$6,$C$5,$C$7,AL$1,AL$2,A29)</f>
        <v>0</v>
      </c>
      <c r="AM29" s="32">
        <f ca="1">_xll.DBRW($C$1,$C$2,$C$3,$C$4,$C$6,$C$5,$C$7,AM$1,AM$2,A29)</f>
        <v>0</v>
      </c>
      <c r="AN29" s="32">
        <f ca="1">_xll.DBRW($C$1,$C$2,$C$3,$C$4,$C$6,$C$5,$C$7,AN$1,AN$2,A29)</f>
        <v>0</v>
      </c>
      <c r="AO29" s="32">
        <f ca="1">_xll.DBRW($C$1,$C$2,$C$3,$C$4,$C$6,$C$5,$C$7,AO$1,AO$2,A29)</f>
        <v>0</v>
      </c>
      <c r="AP29" s="32">
        <f ca="1">_xll.DBRW($C$1,$C$2,$C$3,$C$4,$C$6,$C$5,$C$7,AP$1,AP$2,A29)</f>
        <v>0</v>
      </c>
      <c r="AQ29" s="32">
        <f ca="1">_xll.DBRW($C$1,$C$2,$C$3,$C$4,$C$6,$C$5,$C$7,AQ$1,AQ$2,A29)</f>
        <v>0</v>
      </c>
      <c r="AR29" s="32">
        <f ca="1">_xll.DBRW($C$1,$C$2,$C$3,$C$4,$C$6,$C$5,$C$7,AR$1,AR$2,A29)</f>
        <v>0</v>
      </c>
      <c r="AS29" s="32">
        <f ca="1">_xll.DBRW($C$1,$C$2,$C$3,$C$4,$C$6,$C$5,$C$7,AS$1,AS$2,A29)</f>
        <v>0</v>
      </c>
      <c r="AT29" s="32">
        <f ca="1">_xll.DBRW($C$1,$C$2,$C$3,$C$4,$C$6,$C$5,$C$7,AT$1,AT$2,A29)</f>
        <v>0</v>
      </c>
      <c r="AU29" s="32">
        <f ca="1">_xll.DBRW($C$1,$C$2,$C$3,$C$4,$C$6,$C$5,$C$7,AU$1,AU$2,A29)</f>
        <v>0</v>
      </c>
      <c r="AV29" s="32">
        <f ca="1">_xll.DBRW($C$1,$C$2,$C$3,$C$4,$C$6,$C$5,$C$7,AV$1,AV$2,A29)</f>
        <v>0</v>
      </c>
      <c r="AW29" s="32">
        <f ca="1">_xll.DBRW($C$1,$C$2,$C$3,$C$4,$C$6,$C$5,$C$7,AW$1,AW$2,A29)</f>
        <v>0</v>
      </c>
      <c r="AX29" s="32">
        <f ca="1">_xll.DBRW($C$1,$C$2,$C$3,$C$4,$C$6,$C$5,$C$7,AX$1,AX$2,A29)</f>
        <v>0</v>
      </c>
      <c r="AY29" s="32">
        <f ca="1">_xll.DBRW($C$1,$C$2,$C$3,$C$4,$C$6,$C$5,$C$7,AY$1,AY$2,A29)</f>
        <v>0</v>
      </c>
    </row>
    <row r="30" spans="1:51" ht="15.5" collapsed="1">
      <c r="A30" s="1" t="s">
        <v>142</v>
      </c>
      <c r="C30" s="109"/>
      <c r="E30" s="13" t="s">
        <v>19</v>
      </c>
      <c r="F30" s="31">
        <f t="shared" ref="F30:L30" ca="1" si="7">F29</f>
        <v>0</v>
      </c>
      <c r="G30" s="31">
        <f t="shared" ca="1" si="7"/>
        <v>0</v>
      </c>
      <c r="H30" s="31">
        <f t="shared" ca="1" si="7"/>
        <v>0</v>
      </c>
      <c r="I30" s="31">
        <f t="shared" ca="1" si="7"/>
        <v>0</v>
      </c>
      <c r="J30" s="31">
        <f t="shared" ca="1" si="7"/>
        <v>0</v>
      </c>
      <c r="K30" s="31">
        <f t="shared" ca="1" si="7"/>
        <v>0</v>
      </c>
      <c r="L30" s="31">
        <f t="shared" ca="1" si="7"/>
        <v>0</v>
      </c>
      <c r="M30" s="31">
        <f t="shared" ref="M30:X30" ca="1" si="8">M29</f>
        <v>0</v>
      </c>
      <c r="N30" s="31">
        <f t="shared" ca="1" si="8"/>
        <v>0</v>
      </c>
      <c r="O30" s="31">
        <f t="shared" ca="1" si="8"/>
        <v>0</v>
      </c>
      <c r="P30" s="31">
        <f t="shared" ca="1" si="8"/>
        <v>0</v>
      </c>
      <c r="Q30" s="31">
        <f t="shared" ca="1" si="8"/>
        <v>0</v>
      </c>
      <c r="R30" s="31">
        <f t="shared" ca="1" si="8"/>
        <v>0</v>
      </c>
      <c r="S30" s="31">
        <f t="shared" ca="1" si="8"/>
        <v>0</v>
      </c>
      <c r="T30" s="31">
        <f t="shared" ca="1" si="8"/>
        <v>0</v>
      </c>
      <c r="U30" s="31">
        <f t="shared" ca="1" si="8"/>
        <v>0</v>
      </c>
      <c r="V30" s="31">
        <f t="shared" ca="1" si="8"/>
        <v>0</v>
      </c>
      <c r="W30" s="31">
        <f t="shared" ca="1" si="8"/>
        <v>0</v>
      </c>
      <c r="X30" s="31">
        <f t="shared" ca="1" si="8"/>
        <v>0</v>
      </c>
      <c r="Y30" s="31">
        <f ca="1">Y29</f>
        <v>0</v>
      </c>
      <c r="Z30" s="31">
        <f t="shared" ref="Z30:AK30" ca="1" si="9">Z29</f>
        <v>0</v>
      </c>
      <c r="AA30" s="31">
        <f t="shared" ca="1" si="9"/>
        <v>0</v>
      </c>
      <c r="AB30" s="31">
        <f t="shared" ca="1" si="9"/>
        <v>0</v>
      </c>
      <c r="AC30" s="31">
        <f t="shared" ca="1" si="9"/>
        <v>0</v>
      </c>
      <c r="AD30" s="31">
        <f t="shared" ca="1" si="9"/>
        <v>0</v>
      </c>
      <c r="AE30" s="31">
        <f t="shared" ca="1" si="9"/>
        <v>0</v>
      </c>
      <c r="AF30" s="31">
        <f t="shared" ca="1" si="9"/>
        <v>0</v>
      </c>
      <c r="AG30" s="31">
        <f t="shared" ca="1" si="9"/>
        <v>0</v>
      </c>
      <c r="AH30" s="31">
        <f t="shared" ca="1" si="9"/>
        <v>0</v>
      </c>
      <c r="AI30" s="31">
        <f t="shared" ca="1" si="9"/>
        <v>0</v>
      </c>
      <c r="AJ30" s="31">
        <f t="shared" ca="1" si="9"/>
        <v>0</v>
      </c>
      <c r="AK30" s="31">
        <f t="shared" ca="1" si="9"/>
        <v>0</v>
      </c>
      <c r="AL30" s="31">
        <f ca="1">AL29</f>
        <v>0</v>
      </c>
      <c r="AM30" s="31">
        <f t="shared" ref="AM30:AX30" ca="1" si="10">AM29</f>
        <v>0</v>
      </c>
      <c r="AN30" s="31">
        <f t="shared" ca="1" si="10"/>
        <v>0</v>
      </c>
      <c r="AO30" s="31">
        <f t="shared" ca="1" si="10"/>
        <v>0</v>
      </c>
      <c r="AP30" s="31">
        <f t="shared" ca="1" si="10"/>
        <v>0</v>
      </c>
      <c r="AQ30" s="31">
        <f t="shared" ca="1" si="10"/>
        <v>0</v>
      </c>
      <c r="AR30" s="31">
        <f t="shared" ca="1" si="10"/>
        <v>0</v>
      </c>
      <c r="AS30" s="31">
        <f t="shared" ca="1" si="10"/>
        <v>0</v>
      </c>
      <c r="AT30" s="31">
        <f t="shared" ca="1" si="10"/>
        <v>0</v>
      </c>
      <c r="AU30" s="31">
        <f t="shared" ca="1" si="10"/>
        <v>0</v>
      </c>
      <c r="AV30" s="31">
        <f t="shared" ca="1" si="10"/>
        <v>0</v>
      </c>
      <c r="AW30" s="31">
        <f t="shared" ca="1" si="10"/>
        <v>0</v>
      </c>
      <c r="AX30" s="31">
        <f t="shared" ca="1" si="10"/>
        <v>0</v>
      </c>
      <c r="AY30" s="31">
        <f ca="1">AY29</f>
        <v>0</v>
      </c>
    </row>
    <row r="31" spans="1:51" ht="15.5">
      <c r="A31" s="1" t="s">
        <v>142</v>
      </c>
      <c r="C31" s="109"/>
      <c r="E31" s="20" t="s">
        <v>20</v>
      </c>
      <c r="F31" s="37">
        <f t="shared" ref="F31:L31" ca="1" si="11">F28+F30</f>
        <v>0</v>
      </c>
      <c r="G31" s="37">
        <f t="shared" ca="1" si="11"/>
        <v>0</v>
      </c>
      <c r="H31" s="37">
        <f t="shared" ca="1" si="11"/>
        <v>0</v>
      </c>
      <c r="I31" s="37">
        <f t="shared" ca="1" si="11"/>
        <v>0</v>
      </c>
      <c r="J31" s="37">
        <f t="shared" ca="1" si="11"/>
        <v>0</v>
      </c>
      <c r="K31" s="37">
        <f t="shared" ca="1" si="11"/>
        <v>0</v>
      </c>
      <c r="L31" s="37">
        <f t="shared" ca="1" si="11"/>
        <v>0</v>
      </c>
      <c r="M31" s="37">
        <f t="shared" ref="M31:X31" ca="1" si="12">M28+M30</f>
        <v>0</v>
      </c>
      <c r="N31" s="37">
        <f t="shared" ca="1" si="12"/>
        <v>0</v>
      </c>
      <c r="O31" s="37">
        <f t="shared" ca="1" si="12"/>
        <v>0</v>
      </c>
      <c r="P31" s="37">
        <f t="shared" ca="1" si="12"/>
        <v>0</v>
      </c>
      <c r="Q31" s="37">
        <f t="shared" ca="1" si="12"/>
        <v>0</v>
      </c>
      <c r="R31" s="37">
        <f t="shared" ca="1" si="12"/>
        <v>0</v>
      </c>
      <c r="S31" s="37">
        <f t="shared" ca="1" si="12"/>
        <v>0</v>
      </c>
      <c r="T31" s="37">
        <f t="shared" ca="1" si="12"/>
        <v>0</v>
      </c>
      <c r="U31" s="37">
        <f t="shared" ca="1" si="12"/>
        <v>0</v>
      </c>
      <c r="V31" s="37">
        <f t="shared" ca="1" si="12"/>
        <v>0</v>
      </c>
      <c r="W31" s="37">
        <f t="shared" ca="1" si="12"/>
        <v>0</v>
      </c>
      <c r="X31" s="37">
        <f t="shared" ca="1" si="12"/>
        <v>0</v>
      </c>
      <c r="Y31" s="37">
        <f ca="1">Y28+Y30</f>
        <v>0</v>
      </c>
      <c r="Z31" s="37">
        <f t="shared" ref="Z31:AK31" ca="1" si="13">Z28+Z30</f>
        <v>0</v>
      </c>
      <c r="AA31" s="37">
        <f t="shared" ca="1" si="13"/>
        <v>0</v>
      </c>
      <c r="AB31" s="37">
        <f t="shared" ca="1" si="13"/>
        <v>0</v>
      </c>
      <c r="AC31" s="37">
        <f t="shared" ca="1" si="13"/>
        <v>0</v>
      </c>
      <c r="AD31" s="37">
        <f t="shared" ca="1" si="13"/>
        <v>0</v>
      </c>
      <c r="AE31" s="37">
        <f t="shared" ca="1" si="13"/>
        <v>0</v>
      </c>
      <c r="AF31" s="37">
        <f t="shared" ca="1" si="13"/>
        <v>0</v>
      </c>
      <c r="AG31" s="37">
        <f t="shared" ca="1" si="13"/>
        <v>0</v>
      </c>
      <c r="AH31" s="37">
        <f t="shared" ca="1" si="13"/>
        <v>0</v>
      </c>
      <c r="AI31" s="37">
        <f t="shared" ca="1" si="13"/>
        <v>0</v>
      </c>
      <c r="AJ31" s="37">
        <f t="shared" ca="1" si="13"/>
        <v>0</v>
      </c>
      <c r="AK31" s="37">
        <f t="shared" ca="1" si="13"/>
        <v>0</v>
      </c>
      <c r="AL31" s="37">
        <f ca="1">AL28+AL30</f>
        <v>0</v>
      </c>
      <c r="AM31" s="37">
        <f t="shared" ref="AM31:AX31" ca="1" si="14">AM28+AM30</f>
        <v>0</v>
      </c>
      <c r="AN31" s="37">
        <f t="shared" ca="1" si="14"/>
        <v>0</v>
      </c>
      <c r="AO31" s="37">
        <f t="shared" ca="1" si="14"/>
        <v>0</v>
      </c>
      <c r="AP31" s="37">
        <f t="shared" ca="1" si="14"/>
        <v>0</v>
      </c>
      <c r="AQ31" s="37">
        <f t="shared" ca="1" si="14"/>
        <v>0</v>
      </c>
      <c r="AR31" s="37">
        <f t="shared" ca="1" si="14"/>
        <v>0</v>
      </c>
      <c r="AS31" s="37">
        <f t="shared" ca="1" si="14"/>
        <v>0</v>
      </c>
      <c r="AT31" s="37">
        <f t="shared" ca="1" si="14"/>
        <v>0</v>
      </c>
      <c r="AU31" s="37">
        <f t="shared" ca="1" si="14"/>
        <v>0</v>
      </c>
      <c r="AV31" s="37">
        <f t="shared" ca="1" si="14"/>
        <v>0</v>
      </c>
      <c r="AW31" s="37">
        <f t="shared" ca="1" si="14"/>
        <v>0</v>
      </c>
      <c r="AX31" s="37">
        <f t="shared" ca="1" si="14"/>
        <v>0</v>
      </c>
      <c r="AY31" s="37">
        <f ca="1">AY28+AY30</f>
        <v>0</v>
      </c>
    </row>
    <row r="32" spans="1:51" ht="9" customHeight="1">
      <c r="A32" s="1" t="s">
        <v>142</v>
      </c>
      <c r="C32" s="109"/>
      <c r="E32" s="7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5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29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</row>
    <row r="33" spans="1:51" ht="15.75" hidden="1" customHeight="1" outlineLevel="1">
      <c r="A33" s="1" t="s">
        <v>141</v>
      </c>
      <c r="C33" s="109"/>
      <c r="E33" s="9" t="str">
        <f ca="1">_xll.DBRW(Server&amp;"}ElementAttributes_Indicator",A34,"code_English")</f>
        <v>TPL10_dest_nosub - REVENUE FROM ORDINARY ACTIVITIES (ROA) net of subcontracted transport and reinvoicing</v>
      </c>
      <c r="F33" s="10">
        <f ca="1">_xll.DBRW($C$1,$C$2,$C$3,$C$4,$C$6,$C$5,$C$7,F$1,F$2,A33)</f>
        <v>0</v>
      </c>
      <c r="G33" s="10">
        <f ca="1">_xll.DBRW($C$1,$C$2,$C$3,$C$4,$C$6,$C$5,$C$7,G$1,G$2,A33)</f>
        <v>0</v>
      </c>
      <c r="H33" s="10">
        <f ca="1">_xll.DBRW($C$1,$C$2,$C$3,$C$4,$C$6,$C$5,$C$7,H$1,H$2,A33)</f>
        <v>0</v>
      </c>
      <c r="I33" s="10">
        <f ca="1">_xll.DBRW($C$1,$C$2,$C$3,$C$4,$C$6,$C$5,$C$7,I$1,I$2,A33)</f>
        <v>0</v>
      </c>
      <c r="J33" s="10">
        <f ca="1">_xll.DBRW($C$1,$C$2,$C$3,$C$4,$C$6,$C$5,$C$7,J$1,J$2,A33)</f>
        <v>0</v>
      </c>
      <c r="K33" s="10">
        <f ca="1">_xll.DBRW($C$1,$C$2,$C$3,$C$4,$C$6,$C$5,$C$7,K$1,K$2,A33)</f>
        <v>0</v>
      </c>
      <c r="L33" s="10">
        <f ca="1">_xll.DBRW($C$1,$C$2,$C$3,$C$4,$C$6,$C$5,$C$7,L$1,L$2,A33)</f>
        <v>0</v>
      </c>
      <c r="M33" s="10">
        <f ca="1">_xll.DBRW($C$1,$C$2,$C$3,$C$4,$C$6,$C$5,$C$7,M$1,M$2,A33)</f>
        <v>0</v>
      </c>
      <c r="N33" s="10">
        <f ca="1">_xll.DBRW($C$1,$C$2,$C$3,$C$4,$C$6,$C$5,$C$7,N$1,N$2,A33)</f>
        <v>0</v>
      </c>
      <c r="O33" s="10">
        <f ca="1">_xll.DBRW($C$1,$C$2,$C$3,$C$4,$C$6,$C$5,$C$7,O$1,O$2,A33)</f>
        <v>0</v>
      </c>
      <c r="P33" s="10">
        <f ca="1">_xll.DBRW($C$1,$C$2,$C$3,$C$4,$C$6,$C$5,$C$7,P$1,P$2,A33)</f>
        <v>0</v>
      </c>
      <c r="Q33" s="10">
        <f ca="1">_xll.DBRW($C$1,$C$2,$C$3,$C$4,$C$6,$C$5,$C$7,Q$1,Q$2,A33)</f>
        <v>0</v>
      </c>
      <c r="R33" s="10">
        <f ca="1">_xll.DBRW($C$1,$C$2,$C$3,$C$4,$C$6,$C$5,$C$7,R$1,R$2,A33)</f>
        <v>0</v>
      </c>
      <c r="S33" s="10">
        <f ca="1">_xll.DBRW($C$1,$C$2,$C$3,$C$4,$C$6,$C$5,$C$7,S$1,S$2,A33)</f>
        <v>0</v>
      </c>
      <c r="T33" s="10">
        <f ca="1">_xll.DBRW($C$1,$C$2,$C$3,$C$4,$C$6,$C$5,$C$7,T$1,T$2,A33)</f>
        <v>0</v>
      </c>
      <c r="U33" s="10">
        <f ca="1">_xll.DBRW($C$1,$C$2,$C$3,$C$4,$C$6,$C$5,$C$7,U$1,U$2,A33)</f>
        <v>0</v>
      </c>
      <c r="V33" s="10">
        <f ca="1">_xll.DBRW($C$1,$C$2,$C$3,$C$4,$C$6,$C$5,$C$7,V$1,V$2,A33)</f>
        <v>0</v>
      </c>
      <c r="W33" s="10">
        <f ca="1">_xll.DBRW($C$1,$C$2,$C$3,$C$4,$C$6,$C$5,$C$7,W$1,W$2,A33)</f>
        <v>0</v>
      </c>
      <c r="X33" s="10">
        <f ca="1">_xll.DBRW($C$1,$C$2,$C$3,$C$4,$C$6,$C$5,$C$7,X$1,X$2,A33)</f>
        <v>0</v>
      </c>
      <c r="Y33" s="10">
        <f ca="1">_xll.DBRW($C$1,$C$2,$C$3,$C$4,$C$6,$C$5,$C$7,Y$1,Y$2,A33)</f>
        <v>0</v>
      </c>
      <c r="Z33" s="10">
        <f ca="1">_xll.DBRW($C$1,$C$2,$C$3,$C$4,$C$6,$C$5,$C$7,Z$1,Z$2,A33)</f>
        <v>0</v>
      </c>
      <c r="AA33" s="10">
        <f ca="1">_xll.DBRW($C$1,$C$2,$C$3,$C$4,$C$6,$C$5,$C$7,AA$1,AA$2,A33)</f>
        <v>0</v>
      </c>
      <c r="AB33" s="10">
        <f ca="1">_xll.DBRW($C$1,$C$2,$C$3,$C$4,$C$6,$C$5,$C$7,AB$1,AB$2,A33)</f>
        <v>0</v>
      </c>
      <c r="AC33" s="10">
        <f ca="1">_xll.DBRW($C$1,$C$2,$C$3,$C$4,$C$6,$C$5,$C$7,AC$1,AC$2,A33)</f>
        <v>0</v>
      </c>
      <c r="AD33" s="10">
        <f ca="1">_xll.DBRW($C$1,$C$2,$C$3,$C$4,$C$6,$C$5,$C$7,AD$1,AD$2,A33)</f>
        <v>0</v>
      </c>
      <c r="AE33" s="10">
        <f ca="1">_xll.DBRW($C$1,$C$2,$C$3,$C$4,$C$6,$C$5,$C$7,AE$1,AE$2,A33)</f>
        <v>0</v>
      </c>
      <c r="AF33" s="10">
        <f ca="1">_xll.DBRW($C$1,$C$2,$C$3,$C$4,$C$6,$C$5,$C$7,AF$1,AF$2,A33)</f>
        <v>0</v>
      </c>
      <c r="AG33" s="10">
        <f ca="1">_xll.DBRW($C$1,$C$2,$C$3,$C$4,$C$6,$C$5,$C$7,AG$1,AG$2,A33)</f>
        <v>0</v>
      </c>
      <c r="AH33" s="10">
        <f ca="1">_xll.DBRW($C$1,$C$2,$C$3,$C$4,$C$6,$C$5,$C$7,AH$1,AH$2,A33)</f>
        <v>0</v>
      </c>
      <c r="AI33" s="10">
        <f ca="1">_xll.DBRW($C$1,$C$2,$C$3,$C$4,$C$6,$C$5,$C$7,AI$1,AI$2,A33)</f>
        <v>0</v>
      </c>
      <c r="AJ33" s="10">
        <f ca="1">_xll.DBRW($C$1,$C$2,$C$3,$C$4,$C$6,$C$5,$C$7,AJ$1,AJ$2,A33)</f>
        <v>0</v>
      </c>
      <c r="AK33" s="10">
        <f ca="1">_xll.DBRW($C$1,$C$2,$C$3,$C$4,$C$6,$C$5,$C$7,AK$1,AK$2,A33)</f>
        <v>0</v>
      </c>
      <c r="AL33" s="24">
        <f ca="1">_xll.DBRW($C$1,$C$2,$C$3,$C$4,$C$6,$C$5,$C$7,AL$1,AL$2,A33)</f>
        <v>0</v>
      </c>
      <c r="AM33" s="10">
        <f ca="1">_xll.DBRW($C$1,$C$2,$C$3,$C$4,$C$6,$C$5,$C$7,AM$1,AM$2,A33)</f>
        <v>0</v>
      </c>
      <c r="AN33" s="10">
        <f ca="1">_xll.DBRW($C$1,$C$2,$C$3,$C$4,$C$6,$C$5,$C$7,AN$1,AN$2,A33)</f>
        <v>0</v>
      </c>
      <c r="AO33" s="10">
        <f ca="1">_xll.DBRW($C$1,$C$2,$C$3,$C$4,$C$6,$C$5,$C$7,AO$1,AO$2,A33)</f>
        <v>0</v>
      </c>
      <c r="AP33" s="10">
        <f ca="1">_xll.DBRW($C$1,$C$2,$C$3,$C$4,$C$6,$C$5,$C$7,AP$1,AP$2,A33)</f>
        <v>0</v>
      </c>
      <c r="AQ33" s="10">
        <f ca="1">_xll.DBRW($C$1,$C$2,$C$3,$C$4,$C$6,$C$5,$C$7,AQ$1,AQ$2,A33)</f>
        <v>0</v>
      </c>
      <c r="AR33" s="10">
        <f ca="1">_xll.DBRW($C$1,$C$2,$C$3,$C$4,$C$6,$C$5,$C$7,AR$1,AR$2,A33)</f>
        <v>0</v>
      </c>
      <c r="AS33" s="10">
        <f ca="1">_xll.DBRW($C$1,$C$2,$C$3,$C$4,$C$6,$C$5,$C$7,AS$1,AS$2,A33)</f>
        <v>0</v>
      </c>
      <c r="AT33" s="10">
        <f ca="1">_xll.DBRW($C$1,$C$2,$C$3,$C$4,$C$6,$C$5,$C$7,AT$1,AT$2,A33)</f>
        <v>0</v>
      </c>
      <c r="AU33" s="10">
        <f ca="1">_xll.DBRW($C$1,$C$2,$C$3,$C$4,$C$6,$C$5,$C$7,AU$1,AU$2,A33)</f>
        <v>0</v>
      </c>
      <c r="AV33" s="10">
        <f ca="1">_xll.DBRW($C$1,$C$2,$C$3,$C$4,$C$6,$C$5,$C$7,AV$1,AV$2,A33)</f>
        <v>0</v>
      </c>
      <c r="AW33" s="10">
        <f ca="1">_xll.DBRW($C$1,$C$2,$C$3,$C$4,$C$6,$C$5,$C$7,AW$1,AW$2,A33)</f>
        <v>0</v>
      </c>
      <c r="AX33" s="10">
        <f ca="1">_xll.DBRW($C$1,$C$2,$C$3,$C$4,$C$6,$C$5,$C$7,AX$1,AX$2,A33)</f>
        <v>0</v>
      </c>
      <c r="AY33" s="10">
        <f ca="1">_xll.DBRW($C$1,$C$2,$C$3,$C$4,$C$6,$C$5,$C$7,AY$1,AY$2,A33)</f>
        <v>0</v>
      </c>
    </row>
    <row r="34" spans="1:51" ht="15.5" collapsed="1">
      <c r="A34" s="73" t="s">
        <v>140</v>
      </c>
      <c r="B34" s="73"/>
      <c r="C34" s="109"/>
      <c r="E34" s="13" t="s">
        <v>21</v>
      </c>
      <c r="F34" s="31">
        <f t="shared" ref="F34:L34" ca="1" si="15">F33-F28</f>
        <v>0</v>
      </c>
      <c r="G34" s="31">
        <f t="shared" ca="1" si="15"/>
        <v>0</v>
      </c>
      <c r="H34" s="31">
        <f t="shared" ca="1" si="15"/>
        <v>0</v>
      </c>
      <c r="I34" s="31">
        <f t="shared" ca="1" si="15"/>
        <v>0</v>
      </c>
      <c r="J34" s="31">
        <f t="shared" ca="1" si="15"/>
        <v>0</v>
      </c>
      <c r="K34" s="31">
        <f t="shared" ca="1" si="15"/>
        <v>0</v>
      </c>
      <c r="L34" s="31">
        <f t="shared" ca="1" si="15"/>
        <v>0</v>
      </c>
      <c r="M34" s="31">
        <f t="shared" ref="M34:X34" ca="1" si="16">M33-M28</f>
        <v>0</v>
      </c>
      <c r="N34" s="31">
        <f t="shared" ca="1" si="16"/>
        <v>0</v>
      </c>
      <c r="O34" s="31">
        <f t="shared" ca="1" si="16"/>
        <v>0</v>
      </c>
      <c r="P34" s="31">
        <f t="shared" ca="1" si="16"/>
        <v>0</v>
      </c>
      <c r="Q34" s="31">
        <f t="shared" ca="1" si="16"/>
        <v>0</v>
      </c>
      <c r="R34" s="31">
        <f t="shared" ca="1" si="16"/>
        <v>0</v>
      </c>
      <c r="S34" s="31">
        <f t="shared" ca="1" si="16"/>
        <v>0</v>
      </c>
      <c r="T34" s="31">
        <f t="shared" ca="1" si="16"/>
        <v>0</v>
      </c>
      <c r="U34" s="31">
        <f t="shared" ca="1" si="16"/>
        <v>0</v>
      </c>
      <c r="V34" s="31">
        <f t="shared" ca="1" si="16"/>
        <v>0</v>
      </c>
      <c r="W34" s="31">
        <f t="shared" ca="1" si="16"/>
        <v>0</v>
      </c>
      <c r="X34" s="31">
        <f t="shared" ca="1" si="16"/>
        <v>0</v>
      </c>
      <c r="Y34" s="31">
        <f ca="1">Y33-Y28</f>
        <v>0</v>
      </c>
      <c r="Z34" s="31">
        <f t="shared" ref="Z34:AK34" ca="1" si="17">Z33-Z28</f>
        <v>0</v>
      </c>
      <c r="AA34" s="31">
        <f t="shared" ca="1" si="17"/>
        <v>0</v>
      </c>
      <c r="AB34" s="31">
        <f t="shared" ca="1" si="17"/>
        <v>0</v>
      </c>
      <c r="AC34" s="31">
        <f t="shared" ca="1" si="17"/>
        <v>0</v>
      </c>
      <c r="AD34" s="31">
        <f t="shared" ca="1" si="17"/>
        <v>0</v>
      </c>
      <c r="AE34" s="31">
        <f t="shared" ca="1" si="17"/>
        <v>0</v>
      </c>
      <c r="AF34" s="31">
        <f t="shared" ca="1" si="17"/>
        <v>0</v>
      </c>
      <c r="AG34" s="31">
        <f t="shared" ca="1" si="17"/>
        <v>0</v>
      </c>
      <c r="AH34" s="31">
        <f t="shared" ca="1" si="17"/>
        <v>0</v>
      </c>
      <c r="AI34" s="31">
        <f t="shared" ca="1" si="17"/>
        <v>0</v>
      </c>
      <c r="AJ34" s="31">
        <f t="shared" ca="1" si="17"/>
        <v>0</v>
      </c>
      <c r="AK34" s="31">
        <f t="shared" ca="1" si="17"/>
        <v>0</v>
      </c>
      <c r="AL34" s="31">
        <f ca="1">AL33-AL28</f>
        <v>0</v>
      </c>
      <c r="AM34" s="31">
        <f t="shared" ref="AM34:AX34" ca="1" si="18">AM33-AM28</f>
        <v>0</v>
      </c>
      <c r="AN34" s="31">
        <f t="shared" ca="1" si="18"/>
        <v>0</v>
      </c>
      <c r="AO34" s="31">
        <f t="shared" ca="1" si="18"/>
        <v>0</v>
      </c>
      <c r="AP34" s="31">
        <f t="shared" ca="1" si="18"/>
        <v>0</v>
      </c>
      <c r="AQ34" s="31">
        <f t="shared" ca="1" si="18"/>
        <v>0</v>
      </c>
      <c r="AR34" s="31">
        <f t="shared" ca="1" si="18"/>
        <v>0</v>
      </c>
      <c r="AS34" s="31">
        <f t="shared" ca="1" si="18"/>
        <v>0</v>
      </c>
      <c r="AT34" s="31">
        <f t="shared" ca="1" si="18"/>
        <v>0</v>
      </c>
      <c r="AU34" s="31">
        <f t="shared" ca="1" si="18"/>
        <v>0</v>
      </c>
      <c r="AV34" s="31">
        <f t="shared" ca="1" si="18"/>
        <v>0</v>
      </c>
      <c r="AW34" s="31">
        <f t="shared" ca="1" si="18"/>
        <v>0</v>
      </c>
      <c r="AX34" s="31">
        <f t="shared" ca="1" si="18"/>
        <v>0</v>
      </c>
      <c r="AY34" s="31">
        <f ca="1">AY33-AY28</f>
        <v>0</v>
      </c>
    </row>
    <row r="35" spans="1:51" ht="15.75" hidden="1" customHeight="1" outlineLevel="1">
      <c r="A35" s="1" t="s">
        <v>145</v>
      </c>
      <c r="C35" s="109"/>
      <c r="E35" s="9" t="str">
        <f ca="1">_xll.DBRW(Server&amp;"}ElementAttributes_Indicator",A35,"code_English")</f>
        <v>PL1110_DO_10 - Staff costs (DO)</v>
      </c>
      <c r="F35" s="32">
        <f ca="1">_xll.DBRW($C$1,$C$2,$C$3,$C$4,$C$6,$C$5,$C$7,F$1,F$2,A35)</f>
        <v>0</v>
      </c>
      <c r="G35" s="32">
        <f ca="1">_xll.DBRW($C$1,$C$2,$C$3,$C$4,$C$6,$C$5,$C$7,G$1,G$2,A35)</f>
        <v>0</v>
      </c>
      <c r="H35" s="32">
        <f ca="1">_xll.DBRW($C$1,$C$2,$C$3,$C$4,$C$6,$C$5,$C$7,H$1,H$2,A35)</f>
        <v>0</v>
      </c>
      <c r="I35" s="32">
        <f ca="1">_xll.DBRW($C$1,$C$2,$C$3,$C$4,$C$6,$C$5,$C$7,I$1,I$2,A35)</f>
        <v>0</v>
      </c>
      <c r="J35" s="32">
        <f ca="1">_xll.DBRW($C$1,$C$2,$C$3,$C$4,$C$6,$C$5,$C$7,J$1,J$2,A35)</f>
        <v>0</v>
      </c>
      <c r="K35" s="32">
        <f ca="1">_xll.DBRW($C$1,$C$2,$C$3,$C$4,$C$6,$C$5,$C$7,K$1,K$2,A35)</f>
        <v>0</v>
      </c>
      <c r="L35" s="32">
        <f ca="1">_xll.DBRW($C$1,$C$2,$C$3,$C$4,$C$6,$C$5,$C$7,L$1,L$2,A35)</f>
        <v>0</v>
      </c>
      <c r="M35" s="32">
        <f ca="1">_xll.DBRW($C$1,$C$2,$C$3,$C$4,$C$6,$C$5,$C$7,M$1,M$2,A35)</f>
        <v>0</v>
      </c>
      <c r="N35" s="32">
        <f ca="1">_xll.DBRW($C$1,$C$2,$C$3,$C$4,$C$6,$C$5,$C$7,N$1,N$2,A35)</f>
        <v>0</v>
      </c>
      <c r="O35" s="32">
        <f ca="1">_xll.DBRW($C$1,$C$2,$C$3,$C$4,$C$6,$C$5,$C$7,O$1,O$2,A35)</f>
        <v>0</v>
      </c>
      <c r="P35" s="32">
        <f ca="1">_xll.DBRW($C$1,$C$2,$C$3,$C$4,$C$6,$C$5,$C$7,P$1,P$2,A35)</f>
        <v>0</v>
      </c>
      <c r="Q35" s="32">
        <f ca="1">_xll.DBRW($C$1,$C$2,$C$3,$C$4,$C$6,$C$5,$C$7,Q$1,Q$2,A35)</f>
        <v>0</v>
      </c>
      <c r="R35" s="32">
        <f ca="1">_xll.DBRW($C$1,$C$2,$C$3,$C$4,$C$6,$C$5,$C$7,R$1,R$2,A35)</f>
        <v>0</v>
      </c>
      <c r="S35" s="32">
        <f ca="1">_xll.DBRW($C$1,$C$2,$C$3,$C$4,$C$6,$C$5,$C$7,S$1,S$2,A35)</f>
        <v>0</v>
      </c>
      <c r="T35" s="32">
        <f ca="1">_xll.DBRW($C$1,$C$2,$C$3,$C$4,$C$6,$C$5,$C$7,T$1,T$2,A35)</f>
        <v>0</v>
      </c>
      <c r="U35" s="32">
        <f ca="1">_xll.DBRW($C$1,$C$2,$C$3,$C$4,$C$6,$C$5,$C$7,U$1,U$2,A35)</f>
        <v>0</v>
      </c>
      <c r="V35" s="32">
        <f ca="1">_xll.DBRW($C$1,$C$2,$C$3,$C$4,$C$6,$C$5,$C$7,V$1,V$2,A35)</f>
        <v>0</v>
      </c>
      <c r="W35" s="32">
        <f ca="1">_xll.DBRW($C$1,$C$2,$C$3,$C$4,$C$6,$C$5,$C$7,W$1,W$2,A35)</f>
        <v>0</v>
      </c>
      <c r="X35" s="32">
        <f ca="1">_xll.DBRW($C$1,$C$2,$C$3,$C$4,$C$6,$C$5,$C$7,X$1,X$2,A35)</f>
        <v>0</v>
      </c>
      <c r="Y35" s="32">
        <f ca="1">_xll.DBRW($C$1,$C$2,$C$3,$C$4,$C$6,$C$5,$C$7,Y$1,Y$2,A35)</f>
        <v>0</v>
      </c>
      <c r="Z35" s="32">
        <f ca="1">_xll.DBRW($C$1,$C$2,$C$3,$C$4,$C$6,$C$5,$C$7,Z$1,Z$2,A35)</f>
        <v>0</v>
      </c>
      <c r="AA35" s="32">
        <f ca="1">_xll.DBRW($C$1,$C$2,$C$3,$C$4,$C$6,$C$5,$C$7,AA$1,AA$2,A35)</f>
        <v>0</v>
      </c>
      <c r="AB35" s="32">
        <f ca="1">_xll.DBRW($C$1,$C$2,$C$3,$C$4,$C$6,$C$5,$C$7,AB$1,AB$2,A35)</f>
        <v>0</v>
      </c>
      <c r="AC35" s="32">
        <f ca="1">_xll.DBRW($C$1,$C$2,$C$3,$C$4,$C$6,$C$5,$C$7,AC$1,AC$2,A35)</f>
        <v>0</v>
      </c>
      <c r="AD35" s="32">
        <f ca="1">_xll.DBRW($C$1,$C$2,$C$3,$C$4,$C$6,$C$5,$C$7,AD$1,AD$2,A35)</f>
        <v>0</v>
      </c>
      <c r="AE35" s="32">
        <f ca="1">_xll.DBRW($C$1,$C$2,$C$3,$C$4,$C$6,$C$5,$C$7,AE$1,AE$2,A35)</f>
        <v>0</v>
      </c>
      <c r="AF35" s="32">
        <f ca="1">_xll.DBRW($C$1,$C$2,$C$3,$C$4,$C$6,$C$5,$C$7,AF$1,AF$2,A35)</f>
        <v>0</v>
      </c>
      <c r="AG35" s="32">
        <f ca="1">_xll.DBRW($C$1,$C$2,$C$3,$C$4,$C$6,$C$5,$C$7,AG$1,AG$2,A35)</f>
        <v>0</v>
      </c>
      <c r="AH35" s="32">
        <f ca="1">_xll.DBRW($C$1,$C$2,$C$3,$C$4,$C$6,$C$5,$C$7,AH$1,AH$2,A35)</f>
        <v>0</v>
      </c>
      <c r="AI35" s="32">
        <f ca="1">_xll.DBRW($C$1,$C$2,$C$3,$C$4,$C$6,$C$5,$C$7,AI$1,AI$2,A35)</f>
        <v>0</v>
      </c>
      <c r="AJ35" s="32">
        <f ca="1">_xll.DBRW($C$1,$C$2,$C$3,$C$4,$C$6,$C$5,$C$7,AJ$1,AJ$2,A35)</f>
        <v>0</v>
      </c>
      <c r="AK35" s="32">
        <f ca="1">_xll.DBRW($C$1,$C$2,$C$3,$C$4,$C$6,$C$5,$C$7,AK$1,AK$2,A35)</f>
        <v>0</v>
      </c>
      <c r="AL35" s="32">
        <f ca="1">_xll.DBRW($C$1,$C$2,$C$3,$C$4,$C$6,$C$5,$C$7,AL$1,AL$2,A35)</f>
        <v>0</v>
      </c>
      <c r="AM35" s="32">
        <f ca="1">_xll.DBRW($C$1,$C$2,$C$3,$C$4,$C$6,$C$5,$C$7,AM$1,AM$2,A35)</f>
        <v>0</v>
      </c>
      <c r="AN35" s="32">
        <f ca="1">_xll.DBRW($C$1,$C$2,$C$3,$C$4,$C$6,$C$5,$C$7,AN$1,AN$2,A35)</f>
        <v>0</v>
      </c>
      <c r="AO35" s="32">
        <f ca="1">_xll.DBRW($C$1,$C$2,$C$3,$C$4,$C$6,$C$5,$C$7,AO$1,AO$2,A35)</f>
        <v>0</v>
      </c>
      <c r="AP35" s="32">
        <f ca="1">_xll.DBRW($C$1,$C$2,$C$3,$C$4,$C$6,$C$5,$C$7,AP$1,AP$2,A35)</f>
        <v>0</v>
      </c>
      <c r="AQ35" s="32">
        <f ca="1">_xll.DBRW($C$1,$C$2,$C$3,$C$4,$C$6,$C$5,$C$7,AQ$1,AQ$2,A35)</f>
        <v>0</v>
      </c>
      <c r="AR35" s="32">
        <f ca="1">_xll.DBRW($C$1,$C$2,$C$3,$C$4,$C$6,$C$5,$C$7,AR$1,AR$2,A35)</f>
        <v>0</v>
      </c>
      <c r="AS35" s="32">
        <f ca="1">_xll.DBRW($C$1,$C$2,$C$3,$C$4,$C$6,$C$5,$C$7,AS$1,AS$2,A35)</f>
        <v>0</v>
      </c>
      <c r="AT35" s="32">
        <f ca="1">_xll.DBRW($C$1,$C$2,$C$3,$C$4,$C$6,$C$5,$C$7,AT$1,AT$2,A35)</f>
        <v>0</v>
      </c>
      <c r="AU35" s="32">
        <f ca="1">_xll.DBRW($C$1,$C$2,$C$3,$C$4,$C$6,$C$5,$C$7,AU$1,AU$2,A35)</f>
        <v>0</v>
      </c>
      <c r="AV35" s="32">
        <f ca="1">_xll.DBRW($C$1,$C$2,$C$3,$C$4,$C$6,$C$5,$C$7,AV$1,AV$2,A35)</f>
        <v>0</v>
      </c>
      <c r="AW35" s="32">
        <f ca="1">_xll.DBRW($C$1,$C$2,$C$3,$C$4,$C$6,$C$5,$C$7,AW$1,AW$2,A35)</f>
        <v>0</v>
      </c>
      <c r="AX35" s="32">
        <f ca="1">_xll.DBRW($C$1,$C$2,$C$3,$C$4,$C$6,$C$5,$C$7,AX$1,AX$2,A35)</f>
        <v>0</v>
      </c>
      <c r="AY35" s="32">
        <f ca="1">_xll.DBRW($C$1,$C$2,$C$3,$C$4,$C$6,$C$5,$C$7,AY$1,AY$2,A35)</f>
        <v>0</v>
      </c>
    </row>
    <row r="36" spans="1:51" ht="15.75" hidden="1" customHeight="1" outlineLevel="1">
      <c r="A36" s="1" t="s">
        <v>146</v>
      </c>
      <c r="C36" s="109"/>
      <c r="E36" s="9" t="str">
        <f ca="1">_xll.DBRW(Server&amp;"}ElementAttributes_Indicator",A36,"code_English")</f>
        <v>PL1115_DO_20 - Interim staff (DO)</v>
      </c>
      <c r="F36" s="32">
        <f ca="1">_xll.DBRW($C$1,$C$2,$C$3,$C$4,$C$6,$C$5,$C$7,F$1,F$2,A36)</f>
        <v>0</v>
      </c>
      <c r="G36" s="32">
        <f ca="1">_xll.DBRW($C$1,$C$2,$C$3,$C$4,$C$6,$C$5,$C$7,G$1,G$2,A36)</f>
        <v>0</v>
      </c>
      <c r="H36" s="32">
        <f ca="1">_xll.DBRW($C$1,$C$2,$C$3,$C$4,$C$6,$C$5,$C$7,H$1,H$2,A36)</f>
        <v>0</v>
      </c>
      <c r="I36" s="32">
        <f ca="1">_xll.DBRW($C$1,$C$2,$C$3,$C$4,$C$6,$C$5,$C$7,I$1,I$2,A36)</f>
        <v>0</v>
      </c>
      <c r="J36" s="32">
        <f ca="1">_xll.DBRW($C$1,$C$2,$C$3,$C$4,$C$6,$C$5,$C$7,J$1,J$2,A36)</f>
        <v>0</v>
      </c>
      <c r="K36" s="32">
        <f ca="1">_xll.DBRW($C$1,$C$2,$C$3,$C$4,$C$6,$C$5,$C$7,K$1,K$2,A36)</f>
        <v>0</v>
      </c>
      <c r="L36" s="32">
        <f ca="1">_xll.DBRW($C$1,$C$2,$C$3,$C$4,$C$6,$C$5,$C$7,L$1,L$2,A36)</f>
        <v>0</v>
      </c>
      <c r="M36" s="32">
        <f ca="1">_xll.DBRW($C$1,$C$2,$C$3,$C$4,$C$6,$C$5,$C$7,M$1,M$2,A36)</f>
        <v>0</v>
      </c>
      <c r="N36" s="32">
        <f ca="1">_xll.DBRW($C$1,$C$2,$C$3,$C$4,$C$6,$C$5,$C$7,N$1,N$2,A36)</f>
        <v>0</v>
      </c>
      <c r="O36" s="32">
        <f ca="1">_xll.DBRW($C$1,$C$2,$C$3,$C$4,$C$6,$C$5,$C$7,O$1,O$2,A36)</f>
        <v>0</v>
      </c>
      <c r="P36" s="32">
        <f ca="1">_xll.DBRW($C$1,$C$2,$C$3,$C$4,$C$6,$C$5,$C$7,P$1,P$2,A36)</f>
        <v>0</v>
      </c>
      <c r="Q36" s="32">
        <f ca="1">_xll.DBRW($C$1,$C$2,$C$3,$C$4,$C$6,$C$5,$C$7,Q$1,Q$2,A36)</f>
        <v>0</v>
      </c>
      <c r="R36" s="32">
        <f ca="1">_xll.DBRW($C$1,$C$2,$C$3,$C$4,$C$6,$C$5,$C$7,R$1,R$2,A36)</f>
        <v>0</v>
      </c>
      <c r="S36" s="32">
        <f ca="1">_xll.DBRW($C$1,$C$2,$C$3,$C$4,$C$6,$C$5,$C$7,S$1,S$2,A36)</f>
        <v>0</v>
      </c>
      <c r="T36" s="32">
        <f ca="1">_xll.DBRW($C$1,$C$2,$C$3,$C$4,$C$6,$C$5,$C$7,T$1,T$2,A36)</f>
        <v>0</v>
      </c>
      <c r="U36" s="32">
        <f ca="1">_xll.DBRW($C$1,$C$2,$C$3,$C$4,$C$6,$C$5,$C$7,U$1,U$2,A36)</f>
        <v>0</v>
      </c>
      <c r="V36" s="32">
        <f ca="1">_xll.DBRW($C$1,$C$2,$C$3,$C$4,$C$6,$C$5,$C$7,V$1,V$2,A36)</f>
        <v>0</v>
      </c>
      <c r="W36" s="32">
        <f ca="1">_xll.DBRW($C$1,$C$2,$C$3,$C$4,$C$6,$C$5,$C$7,W$1,W$2,A36)</f>
        <v>0</v>
      </c>
      <c r="X36" s="32">
        <f ca="1">_xll.DBRW($C$1,$C$2,$C$3,$C$4,$C$6,$C$5,$C$7,X$1,X$2,A36)</f>
        <v>0</v>
      </c>
      <c r="Y36" s="32">
        <f ca="1">_xll.DBRW($C$1,$C$2,$C$3,$C$4,$C$6,$C$5,$C$7,Y$1,Y$2,A36)</f>
        <v>0</v>
      </c>
      <c r="Z36" s="32">
        <f ca="1">_xll.DBRW($C$1,$C$2,$C$3,$C$4,$C$6,$C$5,$C$7,Z$1,Z$2,A36)</f>
        <v>0</v>
      </c>
      <c r="AA36" s="32">
        <f ca="1">_xll.DBRW($C$1,$C$2,$C$3,$C$4,$C$6,$C$5,$C$7,AA$1,AA$2,A36)</f>
        <v>0</v>
      </c>
      <c r="AB36" s="32">
        <f ca="1">_xll.DBRW($C$1,$C$2,$C$3,$C$4,$C$6,$C$5,$C$7,AB$1,AB$2,A36)</f>
        <v>0</v>
      </c>
      <c r="AC36" s="32">
        <f ca="1">_xll.DBRW($C$1,$C$2,$C$3,$C$4,$C$6,$C$5,$C$7,AC$1,AC$2,A36)</f>
        <v>0</v>
      </c>
      <c r="AD36" s="32">
        <f ca="1">_xll.DBRW($C$1,$C$2,$C$3,$C$4,$C$6,$C$5,$C$7,AD$1,AD$2,A36)</f>
        <v>0</v>
      </c>
      <c r="AE36" s="32">
        <f ca="1">_xll.DBRW($C$1,$C$2,$C$3,$C$4,$C$6,$C$5,$C$7,AE$1,AE$2,A36)</f>
        <v>0</v>
      </c>
      <c r="AF36" s="32">
        <f ca="1">_xll.DBRW($C$1,$C$2,$C$3,$C$4,$C$6,$C$5,$C$7,AF$1,AF$2,A36)</f>
        <v>0</v>
      </c>
      <c r="AG36" s="32">
        <f ca="1">_xll.DBRW($C$1,$C$2,$C$3,$C$4,$C$6,$C$5,$C$7,AG$1,AG$2,A36)</f>
        <v>0</v>
      </c>
      <c r="AH36" s="32">
        <f ca="1">_xll.DBRW($C$1,$C$2,$C$3,$C$4,$C$6,$C$5,$C$7,AH$1,AH$2,A36)</f>
        <v>0</v>
      </c>
      <c r="AI36" s="32">
        <f ca="1">_xll.DBRW($C$1,$C$2,$C$3,$C$4,$C$6,$C$5,$C$7,AI$1,AI$2,A36)</f>
        <v>0</v>
      </c>
      <c r="AJ36" s="32">
        <f ca="1">_xll.DBRW($C$1,$C$2,$C$3,$C$4,$C$6,$C$5,$C$7,AJ$1,AJ$2,A36)</f>
        <v>0</v>
      </c>
      <c r="AK36" s="32">
        <f ca="1">_xll.DBRW($C$1,$C$2,$C$3,$C$4,$C$6,$C$5,$C$7,AK$1,AK$2,A36)</f>
        <v>0</v>
      </c>
      <c r="AL36" s="32">
        <f ca="1">_xll.DBRW($C$1,$C$2,$C$3,$C$4,$C$6,$C$5,$C$7,AL$1,AL$2,A36)</f>
        <v>0</v>
      </c>
      <c r="AM36" s="32">
        <f ca="1">_xll.DBRW($C$1,$C$2,$C$3,$C$4,$C$6,$C$5,$C$7,AM$1,AM$2,A36)</f>
        <v>0</v>
      </c>
      <c r="AN36" s="32">
        <f ca="1">_xll.DBRW($C$1,$C$2,$C$3,$C$4,$C$6,$C$5,$C$7,AN$1,AN$2,A36)</f>
        <v>0</v>
      </c>
      <c r="AO36" s="32">
        <f ca="1">_xll.DBRW($C$1,$C$2,$C$3,$C$4,$C$6,$C$5,$C$7,AO$1,AO$2,A36)</f>
        <v>0</v>
      </c>
      <c r="AP36" s="32">
        <f ca="1">_xll.DBRW($C$1,$C$2,$C$3,$C$4,$C$6,$C$5,$C$7,AP$1,AP$2,A36)</f>
        <v>0</v>
      </c>
      <c r="AQ36" s="32">
        <f ca="1">_xll.DBRW($C$1,$C$2,$C$3,$C$4,$C$6,$C$5,$C$7,AQ$1,AQ$2,A36)</f>
        <v>0</v>
      </c>
      <c r="AR36" s="32">
        <f ca="1">_xll.DBRW($C$1,$C$2,$C$3,$C$4,$C$6,$C$5,$C$7,AR$1,AR$2,A36)</f>
        <v>0</v>
      </c>
      <c r="AS36" s="32">
        <f ca="1">_xll.DBRW($C$1,$C$2,$C$3,$C$4,$C$6,$C$5,$C$7,AS$1,AS$2,A36)</f>
        <v>0</v>
      </c>
      <c r="AT36" s="32">
        <f ca="1">_xll.DBRW($C$1,$C$2,$C$3,$C$4,$C$6,$C$5,$C$7,AT$1,AT$2,A36)</f>
        <v>0</v>
      </c>
      <c r="AU36" s="32">
        <f ca="1">_xll.DBRW($C$1,$C$2,$C$3,$C$4,$C$6,$C$5,$C$7,AU$1,AU$2,A36)</f>
        <v>0</v>
      </c>
      <c r="AV36" s="32">
        <f ca="1">_xll.DBRW($C$1,$C$2,$C$3,$C$4,$C$6,$C$5,$C$7,AV$1,AV$2,A36)</f>
        <v>0</v>
      </c>
      <c r="AW36" s="32">
        <f ca="1">_xll.DBRW($C$1,$C$2,$C$3,$C$4,$C$6,$C$5,$C$7,AW$1,AW$2,A36)</f>
        <v>0</v>
      </c>
      <c r="AX36" s="32">
        <f ca="1">_xll.DBRW($C$1,$C$2,$C$3,$C$4,$C$6,$C$5,$C$7,AX$1,AX$2,A36)</f>
        <v>0</v>
      </c>
      <c r="AY36" s="32">
        <f ca="1">_xll.DBRW($C$1,$C$2,$C$3,$C$4,$C$6,$C$5,$C$7,AY$1,AY$2,A36)</f>
        <v>0</v>
      </c>
    </row>
    <row r="37" spans="1:51" ht="15.75" hidden="1" customHeight="1" outlineLevel="1">
      <c r="A37" s="1" t="s">
        <v>147</v>
      </c>
      <c r="C37" s="109"/>
      <c r="E37" s="9" t="str">
        <f ca="1">_xll.DBRW(Server&amp;"}ElementAttributes_Indicator",A37,"code_English")</f>
        <v>PL1115_DO_99 - Others (DO)</v>
      </c>
      <c r="F37" s="32">
        <f ca="1">_xll.DBRW($C$1,$C$2,$C$3,$C$4,$C$6,$C$5,$C$7,F$1,F$2,A37)</f>
        <v>0</v>
      </c>
      <c r="G37" s="32">
        <f ca="1">_xll.DBRW($C$1,$C$2,$C$3,$C$4,$C$6,$C$5,$C$7,G$1,G$2,A37)</f>
        <v>0</v>
      </c>
      <c r="H37" s="32">
        <f ca="1">_xll.DBRW($C$1,$C$2,$C$3,$C$4,$C$6,$C$5,$C$7,H$1,H$2,A37)</f>
        <v>0</v>
      </c>
      <c r="I37" s="32">
        <f ca="1">_xll.DBRW($C$1,$C$2,$C$3,$C$4,$C$6,$C$5,$C$7,I$1,I$2,A37)</f>
        <v>0</v>
      </c>
      <c r="J37" s="32">
        <f ca="1">_xll.DBRW($C$1,$C$2,$C$3,$C$4,$C$6,$C$5,$C$7,J$1,J$2,A37)</f>
        <v>0</v>
      </c>
      <c r="K37" s="32">
        <f ca="1">_xll.DBRW($C$1,$C$2,$C$3,$C$4,$C$6,$C$5,$C$7,K$1,K$2,A37)</f>
        <v>0</v>
      </c>
      <c r="L37" s="32">
        <f ca="1">_xll.DBRW($C$1,$C$2,$C$3,$C$4,$C$6,$C$5,$C$7,L$1,L$2,A37)</f>
        <v>0</v>
      </c>
      <c r="M37" s="32">
        <f ca="1">_xll.DBRW($C$1,$C$2,$C$3,$C$4,$C$6,$C$5,$C$7,M$1,M$2,A37)</f>
        <v>0</v>
      </c>
      <c r="N37" s="32">
        <f ca="1">_xll.DBRW($C$1,$C$2,$C$3,$C$4,$C$6,$C$5,$C$7,N$1,N$2,A37)</f>
        <v>0</v>
      </c>
      <c r="O37" s="32">
        <f ca="1">_xll.DBRW($C$1,$C$2,$C$3,$C$4,$C$6,$C$5,$C$7,O$1,O$2,A37)</f>
        <v>0</v>
      </c>
      <c r="P37" s="32">
        <f ca="1">_xll.DBRW($C$1,$C$2,$C$3,$C$4,$C$6,$C$5,$C$7,P$1,P$2,A37)</f>
        <v>0</v>
      </c>
      <c r="Q37" s="32">
        <f ca="1">_xll.DBRW($C$1,$C$2,$C$3,$C$4,$C$6,$C$5,$C$7,Q$1,Q$2,A37)</f>
        <v>0</v>
      </c>
      <c r="R37" s="32">
        <f ca="1">_xll.DBRW($C$1,$C$2,$C$3,$C$4,$C$6,$C$5,$C$7,R$1,R$2,A37)</f>
        <v>0</v>
      </c>
      <c r="S37" s="32">
        <f ca="1">_xll.DBRW($C$1,$C$2,$C$3,$C$4,$C$6,$C$5,$C$7,S$1,S$2,A37)</f>
        <v>0</v>
      </c>
      <c r="T37" s="32">
        <f ca="1">_xll.DBRW($C$1,$C$2,$C$3,$C$4,$C$6,$C$5,$C$7,T$1,T$2,A37)</f>
        <v>0</v>
      </c>
      <c r="U37" s="32">
        <f ca="1">_xll.DBRW($C$1,$C$2,$C$3,$C$4,$C$6,$C$5,$C$7,U$1,U$2,A37)</f>
        <v>0</v>
      </c>
      <c r="V37" s="32">
        <f ca="1">_xll.DBRW($C$1,$C$2,$C$3,$C$4,$C$6,$C$5,$C$7,V$1,V$2,A37)</f>
        <v>0</v>
      </c>
      <c r="W37" s="32">
        <f ca="1">_xll.DBRW($C$1,$C$2,$C$3,$C$4,$C$6,$C$5,$C$7,W$1,W$2,A37)</f>
        <v>0</v>
      </c>
      <c r="X37" s="32">
        <f ca="1">_xll.DBRW($C$1,$C$2,$C$3,$C$4,$C$6,$C$5,$C$7,X$1,X$2,A37)</f>
        <v>0</v>
      </c>
      <c r="Y37" s="32">
        <f ca="1">_xll.DBRW($C$1,$C$2,$C$3,$C$4,$C$6,$C$5,$C$7,Y$1,Y$2,A37)</f>
        <v>0</v>
      </c>
      <c r="Z37" s="32">
        <f ca="1">_xll.DBRW($C$1,$C$2,$C$3,$C$4,$C$6,$C$5,$C$7,Z$1,Z$2,A37)</f>
        <v>0</v>
      </c>
      <c r="AA37" s="32">
        <f ca="1">_xll.DBRW($C$1,$C$2,$C$3,$C$4,$C$6,$C$5,$C$7,AA$1,AA$2,A37)</f>
        <v>0</v>
      </c>
      <c r="AB37" s="32">
        <f ca="1">_xll.DBRW($C$1,$C$2,$C$3,$C$4,$C$6,$C$5,$C$7,AB$1,AB$2,A37)</f>
        <v>0</v>
      </c>
      <c r="AC37" s="32">
        <f ca="1">_xll.DBRW($C$1,$C$2,$C$3,$C$4,$C$6,$C$5,$C$7,AC$1,AC$2,A37)</f>
        <v>0</v>
      </c>
      <c r="AD37" s="32">
        <f ca="1">_xll.DBRW($C$1,$C$2,$C$3,$C$4,$C$6,$C$5,$C$7,AD$1,AD$2,A37)</f>
        <v>0</v>
      </c>
      <c r="AE37" s="32">
        <f ca="1">_xll.DBRW($C$1,$C$2,$C$3,$C$4,$C$6,$C$5,$C$7,AE$1,AE$2,A37)</f>
        <v>0</v>
      </c>
      <c r="AF37" s="32">
        <f ca="1">_xll.DBRW($C$1,$C$2,$C$3,$C$4,$C$6,$C$5,$C$7,AF$1,AF$2,A37)</f>
        <v>0</v>
      </c>
      <c r="AG37" s="32">
        <f ca="1">_xll.DBRW($C$1,$C$2,$C$3,$C$4,$C$6,$C$5,$C$7,AG$1,AG$2,A37)</f>
        <v>0</v>
      </c>
      <c r="AH37" s="32">
        <f ca="1">_xll.DBRW($C$1,$C$2,$C$3,$C$4,$C$6,$C$5,$C$7,AH$1,AH$2,A37)</f>
        <v>0</v>
      </c>
      <c r="AI37" s="32">
        <f ca="1">_xll.DBRW($C$1,$C$2,$C$3,$C$4,$C$6,$C$5,$C$7,AI$1,AI$2,A37)</f>
        <v>0</v>
      </c>
      <c r="AJ37" s="32">
        <f ca="1">_xll.DBRW($C$1,$C$2,$C$3,$C$4,$C$6,$C$5,$C$7,AJ$1,AJ$2,A37)</f>
        <v>0</v>
      </c>
      <c r="AK37" s="32">
        <f ca="1">_xll.DBRW($C$1,$C$2,$C$3,$C$4,$C$6,$C$5,$C$7,AK$1,AK$2,A37)</f>
        <v>0</v>
      </c>
      <c r="AL37" s="32">
        <f ca="1">_xll.DBRW($C$1,$C$2,$C$3,$C$4,$C$6,$C$5,$C$7,AL$1,AL$2,A37)</f>
        <v>0</v>
      </c>
      <c r="AM37" s="32">
        <f ca="1">_xll.DBRW($C$1,$C$2,$C$3,$C$4,$C$6,$C$5,$C$7,AM$1,AM$2,A37)</f>
        <v>0</v>
      </c>
      <c r="AN37" s="32">
        <f ca="1">_xll.DBRW($C$1,$C$2,$C$3,$C$4,$C$6,$C$5,$C$7,AN$1,AN$2,A37)</f>
        <v>0</v>
      </c>
      <c r="AO37" s="32">
        <f ca="1">_xll.DBRW($C$1,$C$2,$C$3,$C$4,$C$6,$C$5,$C$7,AO$1,AO$2,A37)</f>
        <v>0</v>
      </c>
      <c r="AP37" s="32">
        <f ca="1">_xll.DBRW($C$1,$C$2,$C$3,$C$4,$C$6,$C$5,$C$7,AP$1,AP$2,A37)</f>
        <v>0</v>
      </c>
      <c r="AQ37" s="32">
        <f ca="1">_xll.DBRW($C$1,$C$2,$C$3,$C$4,$C$6,$C$5,$C$7,AQ$1,AQ$2,A37)</f>
        <v>0</v>
      </c>
      <c r="AR37" s="32">
        <f ca="1">_xll.DBRW($C$1,$C$2,$C$3,$C$4,$C$6,$C$5,$C$7,AR$1,AR$2,A37)</f>
        <v>0</v>
      </c>
      <c r="AS37" s="32">
        <f ca="1">_xll.DBRW($C$1,$C$2,$C$3,$C$4,$C$6,$C$5,$C$7,AS$1,AS$2,A37)</f>
        <v>0</v>
      </c>
      <c r="AT37" s="32">
        <f ca="1">_xll.DBRW($C$1,$C$2,$C$3,$C$4,$C$6,$C$5,$C$7,AT$1,AT$2,A37)</f>
        <v>0</v>
      </c>
      <c r="AU37" s="32">
        <f ca="1">_xll.DBRW($C$1,$C$2,$C$3,$C$4,$C$6,$C$5,$C$7,AU$1,AU$2,A37)</f>
        <v>0</v>
      </c>
      <c r="AV37" s="32">
        <f ca="1">_xll.DBRW($C$1,$C$2,$C$3,$C$4,$C$6,$C$5,$C$7,AV$1,AV$2,A37)</f>
        <v>0</v>
      </c>
      <c r="AW37" s="32">
        <f ca="1">_xll.DBRW($C$1,$C$2,$C$3,$C$4,$C$6,$C$5,$C$7,AW$1,AW$2,A37)</f>
        <v>0</v>
      </c>
      <c r="AX37" s="32">
        <f ca="1">_xll.DBRW($C$1,$C$2,$C$3,$C$4,$C$6,$C$5,$C$7,AX$1,AX$2,A37)</f>
        <v>0</v>
      </c>
      <c r="AY37" s="32">
        <f ca="1">_xll.DBRW($C$1,$C$2,$C$3,$C$4,$C$6,$C$5,$C$7,AY$1,AY$2,A37)</f>
        <v>0</v>
      </c>
    </row>
    <row r="38" spans="1:51" ht="15.75" hidden="1" customHeight="1" outlineLevel="1">
      <c r="A38" s="1" t="s">
        <v>148</v>
      </c>
      <c r="C38" s="109"/>
      <c r="E38" s="9" t="str">
        <f ca="1">_xll.DBRW(Server&amp;"}ElementAttributes_Indicator",A38,"code_English")</f>
        <v>PL1140_DO_10 - Amortization of pensions</v>
      </c>
      <c r="F38" s="32">
        <f ca="1">_xll.DBRW($C$1,$C$2,$C$3,$C$4,$C$6,$C$5,$C$7,F$1,F$2,A38)</f>
        <v>0</v>
      </c>
      <c r="G38" s="32">
        <f ca="1">_xll.DBRW($C$1,$C$2,$C$3,$C$4,$C$6,$C$5,$C$7,G$1,G$2,A38)</f>
        <v>0</v>
      </c>
      <c r="H38" s="32">
        <f ca="1">_xll.DBRW($C$1,$C$2,$C$3,$C$4,$C$6,$C$5,$C$7,H$1,H$2,A38)</f>
        <v>0</v>
      </c>
      <c r="I38" s="32">
        <f ca="1">_xll.DBRW($C$1,$C$2,$C$3,$C$4,$C$6,$C$5,$C$7,I$1,I$2,A38)</f>
        <v>0</v>
      </c>
      <c r="J38" s="32">
        <f ca="1">_xll.DBRW($C$1,$C$2,$C$3,$C$4,$C$6,$C$5,$C$7,J$1,J$2,A38)</f>
        <v>0</v>
      </c>
      <c r="K38" s="32">
        <f ca="1">_xll.DBRW($C$1,$C$2,$C$3,$C$4,$C$6,$C$5,$C$7,K$1,K$2,A38)</f>
        <v>0</v>
      </c>
      <c r="L38" s="32">
        <f ca="1">_xll.DBRW($C$1,$C$2,$C$3,$C$4,$C$6,$C$5,$C$7,L$1,L$2,A38)</f>
        <v>0</v>
      </c>
      <c r="M38" s="32">
        <f ca="1">_xll.DBRW($C$1,$C$2,$C$3,$C$4,$C$6,$C$5,$C$7,M$1,M$2,A38)</f>
        <v>0</v>
      </c>
      <c r="N38" s="32">
        <f ca="1">_xll.DBRW($C$1,$C$2,$C$3,$C$4,$C$6,$C$5,$C$7,N$1,N$2,A38)</f>
        <v>0</v>
      </c>
      <c r="O38" s="32">
        <f ca="1">_xll.DBRW($C$1,$C$2,$C$3,$C$4,$C$6,$C$5,$C$7,O$1,O$2,A38)</f>
        <v>0</v>
      </c>
      <c r="P38" s="32">
        <f ca="1">_xll.DBRW($C$1,$C$2,$C$3,$C$4,$C$6,$C$5,$C$7,P$1,P$2,A38)</f>
        <v>0</v>
      </c>
      <c r="Q38" s="32">
        <f ca="1">_xll.DBRW($C$1,$C$2,$C$3,$C$4,$C$6,$C$5,$C$7,Q$1,Q$2,A38)</f>
        <v>0</v>
      </c>
      <c r="R38" s="32">
        <f ca="1">_xll.DBRW($C$1,$C$2,$C$3,$C$4,$C$6,$C$5,$C$7,R$1,R$2,A38)</f>
        <v>0</v>
      </c>
      <c r="S38" s="32">
        <f ca="1">_xll.DBRW($C$1,$C$2,$C$3,$C$4,$C$6,$C$5,$C$7,S$1,S$2,A38)</f>
        <v>0</v>
      </c>
      <c r="T38" s="32">
        <f ca="1">_xll.DBRW($C$1,$C$2,$C$3,$C$4,$C$6,$C$5,$C$7,T$1,T$2,A38)</f>
        <v>0</v>
      </c>
      <c r="U38" s="32">
        <f ca="1">_xll.DBRW($C$1,$C$2,$C$3,$C$4,$C$6,$C$5,$C$7,U$1,U$2,A38)</f>
        <v>0</v>
      </c>
      <c r="V38" s="32">
        <f ca="1">_xll.DBRW($C$1,$C$2,$C$3,$C$4,$C$6,$C$5,$C$7,V$1,V$2,A38)</f>
        <v>0</v>
      </c>
      <c r="W38" s="32">
        <f ca="1">_xll.DBRW($C$1,$C$2,$C$3,$C$4,$C$6,$C$5,$C$7,W$1,W$2,A38)</f>
        <v>0</v>
      </c>
      <c r="X38" s="32">
        <f ca="1">_xll.DBRW($C$1,$C$2,$C$3,$C$4,$C$6,$C$5,$C$7,X$1,X$2,A38)</f>
        <v>0</v>
      </c>
      <c r="Y38" s="32">
        <f ca="1">_xll.DBRW($C$1,$C$2,$C$3,$C$4,$C$6,$C$5,$C$7,Y$1,Y$2,A38)</f>
        <v>0</v>
      </c>
      <c r="Z38" s="32">
        <f ca="1">_xll.DBRW($C$1,$C$2,$C$3,$C$4,$C$6,$C$5,$C$7,Z$1,Z$2,A38)</f>
        <v>0</v>
      </c>
      <c r="AA38" s="32">
        <f ca="1">_xll.DBRW($C$1,$C$2,$C$3,$C$4,$C$6,$C$5,$C$7,AA$1,AA$2,A38)</f>
        <v>0</v>
      </c>
      <c r="AB38" s="32">
        <f ca="1">_xll.DBRW($C$1,$C$2,$C$3,$C$4,$C$6,$C$5,$C$7,AB$1,AB$2,A38)</f>
        <v>0</v>
      </c>
      <c r="AC38" s="32">
        <f ca="1">_xll.DBRW($C$1,$C$2,$C$3,$C$4,$C$6,$C$5,$C$7,AC$1,AC$2,A38)</f>
        <v>0</v>
      </c>
      <c r="AD38" s="32">
        <f ca="1">_xll.DBRW($C$1,$C$2,$C$3,$C$4,$C$6,$C$5,$C$7,AD$1,AD$2,A38)</f>
        <v>0</v>
      </c>
      <c r="AE38" s="32">
        <f ca="1">_xll.DBRW($C$1,$C$2,$C$3,$C$4,$C$6,$C$5,$C$7,AE$1,AE$2,A38)</f>
        <v>0</v>
      </c>
      <c r="AF38" s="32">
        <f ca="1">_xll.DBRW($C$1,$C$2,$C$3,$C$4,$C$6,$C$5,$C$7,AF$1,AF$2,A38)</f>
        <v>0</v>
      </c>
      <c r="AG38" s="32">
        <f ca="1">_xll.DBRW($C$1,$C$2,$C$3,$C$4,$C$6,$C$5,$C$7,AG$1,AG$2,A38)</f>
        <v>0</v>
      </c>
      <c r="AH38" s="32">
        <f ca="1">_xll.DBRW($C$1,$C$2,$C$3,$C$4,$C$6,$C$5,$C$7,AH$1,AH$2,A38)</f>
        <v>0</v>
      </c>
      <c r="AI38" s="32">
        <f ca="1">_xll.DBRW($C$1,$C$2,$C$3,$C$4,$C$6,$C$5,$C$7,AI$1,AI$2,A38)</f>
        <v>0</v>
      </c>
      <c r="AJ38" s="32">
        <f ca="1">_xll.DBRW($C$1,$C$2,$C$3,$C$4,$C$6,$C$5,$C$7,AJ$1,AJ$2,A38)</f>
        <v>0</v>
      </c>
      <c r="AK38" s="32">
        <f ca="1">_xll.DBRW($C$1,$C$2,$C$3,$C$4,$C$6,$C$5,$C$7,AK$1,AK$2,A38)</f>
        <v>0</v>
      </c>
      <c r="AL38" s="32">
        <f ca="1">_xll.DBRW($C$1,$C$2,$C$3,$C$4,$C$6,$C$5,$C$7,AL$1,AL$2,A38)</f>
        <v>0</v>
      </c>
      <c r="AM38" s="32">
        <f ca="1">_xll.DBRW($C$1,$C$2,$C$3,$C$4,$C$6,$C$5,$C$7,AM$1,AM$2,A38)</f>
        <v>0</v>
      </c>
      <c r="AN38" s="32">
        <f ca="1">_xll.DBRW($C$1,$C$2,$C$3,$C$4,$C$6,$C$5,$C$7,AN$1,AN$2,A38)</f>
        <v>0</v>
      </c>
      <c r="AO38" s="32">
        <f ca="1">_xll.DBRW($C$1,$C$2,$C$3,$C$4,$C$6,$C$5,$C$7,AO$1,AO$2,A38)</f>
        <v>0</v>
      </c>
      <c r="AP38" s="32">
        <f ca="1">_xll.DBRW($C$1,$C$2,$C$3,$C$4,$C$6,$C$5,$C$7,AP$1,AP$2,A38)</f>
        <v>0</v>
      </c>
      <c r="AQ38" s="32">
        <f ca="1">_xll.DBRW($C$1,$C$2,$C$3,$C$4,$C$6,$C$5,$C$7,AQ$1,AQ$2,A38)</f>
        <v>0</v>
      </c>
      <c r="AR38" s="32">
        <f ca="1">_xll.DBRW($C$1,$C$2,$C$3,$C$4,$C$6,$C$5,$C$7,AR$1,AR$2,A38)</f>
        <v>0</v>
      </c>
      <c r="AS38" s="32">
        <f ca="1">_xll.DBRW($C$1,$C$2,$C$3,$C$4,$C$6,$C$5,$C$7,AS$1,AS$2,A38)</f>
        <v>0</v>
      </c>
      <c r="AT38" s="32">
        <f ca="1">_xll.DBRW($C$1,$C$2,$C$3,$C$4,$C$6,$C$5,$C$7,AT$1,AT$2,A38)</f>
        <v>0</v>
      </c>
      <c r="AU38" s="32">
        <f ca="1">_xll.DBRW($C$1,$C$2,$C$3,$C$4,$C$6,$C$5,$C$7,AU$1,AU$2,A38)</f>
        <v>0</v>
      </c>
      <c r="AV38" s="32">
        <f ca="1">_xll.DBRW($C$1,$C$2,$C$3,$C$4,$C$6,$C$5,$C$7,AV$1,AV$2,A38)</f>
        <v>0</v>
      </c>
      <c r="AW38" s="32">
        <f ca="1">_xll.DBRW($C$1,$C$2,$C$3,$C$4,$C$6,$C$5,$C$7,AW$1,AW$2,A38)</f>
        <v>0</v>
      </c>
      <c r="AX38" s="32">
        <f ca="1">_xll.DBRW($C$1,$C$2,$C$3,$C$4,$C$6,$C$5,$C$7,AX$1,AX$2,A38)</f>
        <v>0</v>
      </c>
      <c r="AY38" s="32">
        <f ca="1">_xll.DBRW($C$1,$C$2,$C$3,$C$4,$C$6,$C$5,$C$7,AY$1,AY$2,A38)</f>
        <v>0</v>
      </c>
    </row>
    <row r="39" spans="1:51" ht="15.75" hidden="1" customHeight="1" outlineLevel="1">
      <c r="A39" s="1" t="s">
        <v>149</v>
      </c>
      <c r="C39" s="109"/>
      <c r="E39" s="9" t="str">
        <f ca="1">_xll.DBRW(Server&amp;"}ElementAttributes_Indicator",A39,"code_English")</f>
        <v>PL1150_DO_10 - Impairment (other than working capital) and provisions - related to staff costs (DO)</v>
      </c>
      <c r="F39" s="32">
        <f ca="1">_xll.DBRW($C$1,$C$2,$C$3,$C$4,$C$6,$C$5,$C$7,F$1,F$2,A39)</f>
        <v>0</v>
      </c>
      <c r="G39" s="32">
        <f ca="1">_xll.DBRW($C$1,$C$2,$C$3,$C$4,$C$6,$C$5,$C$7,G$1,G$2,A39)</f>
        <v>0</v>
      </c>
      <c r="H39" s="32">
        <f ca="1">_xll.DBRW($C$1,$C$2,$C$3,$C$4,$C$6,$C$5,$C$7,H$1,H$2,A39)</f>
        <v>0</v>
      </c>
      <c r="I39" s="32">
        <f ca="1">_xll.DBRW($C$1,$C$2,$C$3,$C$4,$C$6,$C$5,$C$7,I$1,I$2,A39)</f>
        <v>0</v>
      </c>
      <c r="J39" s="32">
        <f ca="1">_xll.DBRW($C$1,$C$2,$C$3,$C$4,$C$6,$C$5,$C$7,J$1,J$2,A39)</f>
        <v>0</v>
      </c>
      <c r="K39" s="32">
        <f ca="1">_xll.DBRW($C$1,$C$2,$C$3,$C$4,$C$6,$C$5,$C$7,K$1,K$2,A39)</f>
        <v>0</v>
      </c>
      <c r="L39" s="32">
        <f ca="1">_xll.DBRW($C$1,$C$2,$C$3,$C$4,$C$6,$C$5,$C$7,L$1,L$2,A39)</f>
        <v>0</v>
      </c>
      <c r="M39" s="32">
        <f ca="1">_xll.DBRW($C$1,$C$2,$C$3,$C$4,$C$6,$C$5,$C$7,M$1,M$2,A39)</f>
        <v>0</v>
      </c>
      <c r="N39" s="32">
        <f ca="1">_xll.DBRW($C$1,$C$2,$C$3,$C$4,$C$6,$C$5,$C$7,N$1,N$2,A39)</f>
        <v>0</v>
      </c>
      <c r="O39" s="32">
        <f ca="1">_xll.DBRW($C$1,$C$2,$C$3,$C$4,$C$6,$C$5,$C$7,O$1,O$2,A39)</f>
        <v>0</v>
      </c>
      <c r="P39" s="32">
        <f ca="1">_xll.DBRW($C$1,$C$2,$C$3,$C$4,$C$6,$C$5,$C$7,P$1,P$2,A39)</f>
        <v>0</v>
      </c>
      <c r="Q39" s="32">
        <f ca="1">_xll.DBRW($C$1,$C$2,$C$3,$C$4,$C$6,$C$5,$C$7,Q$1,Q$2,A39)</f>
        <v>0</v>
      </c>
      <c r="R39" s="32">
        <f ca="1">_xll.DBRW($C$1,$C$2,$C$3,$C$4,$C$6,$C$5,$C$7,R$1,R$2,A39)</f>
        <v>0</v>
      </c>
      <c r="S39" s="32">
        <f ca="1">_xll.DBRW($C$1,$C$2,$C$3,$C$4,$C$6,$C$5,$C$7,S$1,S$2,A39)</f>
        <v>0</v>
      </c>
      <c r="T39" s="32">
        <f ca="1">_xll.DBRW($C$1,$C$2,$C$3,$C$4,$C$6,$C$5,$C$7,T$1,T$2,A39)</f>
        <v>0</v>
      </c>
      <c r="U39" s="32">
        <f ca="1">_xll.DBRW($C$1,$C$2,$C$3,$C$4,$C$6,$C$5,$C$7,U$1,U$2,A39)</f>
        <v>0</v>
      </c>
      <c r="V39" s="32">
        <f ca="1">_xll.DBRW($C$1,$C$2,$C$3,$C$4,$C$6,$C$5,$C$7,V$1,V$2,A39)</f>
        <v>0</v>
      </c>
      <c r="W39" s="32">
        <f ca="1">_xll.DBRW($C$1,$C$2,$C$3,$C$4,$C$6,$C$5,$C$7,W$1,W$2,A39)</f>
        <v>0</v>
      </c>
      <c r="X39" s="32">
        <f ca="1">_xll.DBRW($C$1,$C$2,$C$3,$C$4,$C$6,$C$5,$C$7,X$1,X$2,A39)</f>
        <v>0</v>
      </c>
      <c r="Y39" s="32">
        <f ca="1">_xll.DBRW($C$1,$C$2,$C$3,$C$4,$C$6,$C$5,$C$7,Y$1,Y$2,A39)</f>
        <v>0</v>
      </c>
      <c r="Z39" s="32">
        <f ca="1">_xll.DBRW($C$1,$C$2,$C$3,$C$4,$C$6,$C$5,$C$7,Z$1,Z$2,A39)</f>
        <v>0</v>
      </c>
      <c r="AA39" s="32">
        <f ca="1">_xll.DBRW($C$1,$C$2,$C$3,$C$4,$C$6,$C$5,$C$7,AA$1,AA$2,A39)</f>
        <v>0</v>
      </c>
      <c r="AB39" s="32">
        <f ca="1">_xll.DBRW($C$1,$C$2,$C$3,$C$4,$C$6,$C$5,$C$7,AB$1,AB$2,A39)</f>
        <v>0</v>
      </c>
      <c r="AC39" s="32">
        <f ca="1">_xll.DBRW($C$1,$C$2,$C$3,$C$4,$C$6,$C$5,$C$7,AC$1,AC$2,A39)</f>
        <v>0</v>
      </c>
      <c r="AD39" s="32">
        <f ca="1">_xll.DBRW($C$1,$C$2,$C$3,$C$4,$C$6,$C$5,$C$7,AD$1,AD$2,A39)</f>
        <v>0</v>
      </c>
      <c r="AE39" s="32">
        <f ca="1">_xll.DBRW($C$1,$C$2,$C$3,$C$4,$C$6,$C$5,$C$7,AE$1,AE$2,A39)</f>
        <v>0</v>
      </c>
      <c r="AF39" s="32">
        <f ca="1">_xll.DBRW($C$1,$C$2,$C$3,$C$4,$C$6,$C$5,$C$7,AF$1,AF$2,A39)</f>
        <v>0</v>
      </c>
      <c r="AG39" s="32">
        <f ca="1">_xll.DBRW($C$1,$C$2,$C$3,$C$4,$C$6,$C$5,$C$7,AG$1,AG$2,A39)</f>
        <v>0</v>
      </c>
      <c r="AH39" s="32">
        <f ca="1">_xll.DBRW($C$1,$C$2,$C$3,$C$4,$C$6,$C$5,$C$7,AH$1,AH$2,A39)</f>
        <v>0</v>
      </c>
      <c r="AI39" s="32">
        <f ca="1">_xll.DBRW($C$1,$C$2,$C$3,$C$4,$C$6,$C$5,$C$7,AI$1,AI$2,A39)</f>
        <v>0</v>
      </c>
      <c r="AJ39" s="32">
        <f ca="1">_xll.DBRW($C$1,$C$2,$C$3,$C$4,$C$6,$C$5,$C$7,AJ$1,AJ$2,A39)</f>
        <v>0</v>
      </c>
      <c r="AK39" s="32">
        <f ca="1">_xll.DBRW($C$1,$C$2,$C$3,$C$4,$C$6,$C$5,$C$7,AK$1,AK$2,A39)</f>
        <v>0</v>
      </c>
      <c r="AL39" s="32">
        <f ca="1">_xll.DBRW($C$1,$C$2,$C$3,$C$4,$C$6,$C$5,$C$7,AL$1,AL$2,A39)</f>
        <v>0</v>
      </c>
      <c r="AM39" s="32">
        <f ca="1">_xll.DBRW($C$1,$C$2,$C$3,$C$4,$C$6,$C$5,$C$7,AM$1,AM$2,A39)</f>
        <v>0</v>
      </c>
      <c r="AN39" s="32">
        <f ca="1">_xll.DBRW($C$1,$C$2,$C$3,$C$4,$C$6,$C$5,$C$7,AN$1,AN$2,A39)</f>
        <v>0</v>
      </c>
      <c r="AO39" s="32">
        <f ca="1">_xll.DBRW($C$1,$C$2,$C$3,$C$4,$C$6,$C$5,$C$7,AO$1,AO$2,A39)</f>
        <v>0</v>
      </c>
      <c r="AP39" s="32">
        <f ca="1">_xll.DBRW($C$1,$C$2,$C$3,$C$4,$C$6,$C$5,$C$7,AP$1,AP$2,A39)</f>
        <v>0</v>
      </c>
      <c r="AQ39" s="32">
        <f ca="1">_xll.DBRW($C$1,$C$2,$C$3,$C$4,$C$6,$C$5,$C$7,AQ$1,AQ$2,A39)</f>
        <v>0</v>
      </c>
      <c r="AR39" s="32">
        <f ca="1">_xll.DBRW($C$1,$C$2,$C$3,$C$4,$C$6,$C$5,$C$7,AR$1,AR$2,A39)</f>
        <v>0</v>
      </c>
      <c r="AS39" s="32">
        <f ca="1">_xll.DBRW($C$1,$C$2,$C$3,$C$4,$C$6,$C$5,$C$7,AS$1,AS$2,A39)</f>
        <v>0</v>
      </c>
      <c r="AT39" s="32">
        <f ca="1">_xll.DBRW($C$1,$C$2,$C$3,$C$4,$C$6,$C$5,$C$7,AT$1,AT$2,A39)</f>
        <v>0</v>
      </c>
      <c r="AU39" s="32">
        <f ca="1">_xll.DBRW($C$1,$C$2,$C$3,$C$4,$C$6,$C$5,$C$7,AU$1,AU$2,A39)</f>
        <v>0</v>
      </c>
      <c r="AV39" s="32">
        <f ca="1">_xll.DBRW($C$1,$C$2,$C$3,$C$4,$C$6,$C$5,$C$7,AV$1,AV$2,A39)</f>
        <v>0</v>
      </c>
      <c r="AW39" s="32">
        <f ca="1">_xll.DBRW($C$1,$C$2,$C$3,$C$4,$C$6,$C$5,$C$7,AW$1,AW$2,A39)</f>
        <v>0</v>
      </c>
      <c r="AX39" s="32">
        <f ca="1">_xll.DBRW($C$1,$C$2,$C$3,$C$4,$C$6,$C$5,$C$7,AX$1,AX$2,A39)</f>
        <v>0</v>
      </c>
      <c r="AY39" s="32">
        <f ca="1">_xll.DBRW($C$1,$C$2,$C$3,$C$4,$C$6,$C$5,$C$7,AY$1,AY$2,A39)</f>
        <v>0</v>
      </c>
    </row>
    <row r="40" spans="1:51" ht="15.75" hidden="1" customHeight="1" outlineLevel="1">
      <c r="A40" s="1" t="s">
        <v>150</v>
      </c>
      <c r="C40" s="109"/>
      <c r="E40" s="9" t="str">
        <f ca="1">_xll.DBRW(Server&amp;"}ElementAttributes_Indicator",A40,"code_English")</f>
        <v>PL1150_DO_11 - Impairment (other than working capital) and provisions - related to staff costs - Reversal (DO)</v>
      </c>
      <c r="F40" s="32">
        <f ca="1">_xll.DBRW($C$1,$C$2,$C$3,$C$4,$C$6,$C$5,$C$7,F$1,F$2,A40)</f>
        <v>0</v>
      </c>
      <c r="G40" s="32">
        <f ca="1">_xll.DBRW($C$1,$C$2,$C$3,$C$4,$C$6,$C$5,$C$7,G$1,G$2,A40)</f>
        <v>0</v>
      </c>
      <c r="H40" s="32">
        <f ca="1">_xll.DBRW($C$1,$C$2,$C$3,$C$4,$C$6,$C$5,$C$7,H$1,H$2,A40)</f>
        <v>0</v>
      </c>
      <c r="I40" s="32">
        <f ca="1">_xll.DBRW($C$1,$C$2,$C$3,$C$4,$C$6,$C$5,$C$7,I$1,I$2,A40)</f>
        <v>0</v>
      </c>
      <c r="J40" s="32">
        <f ca="1">_xll.DBRW($C$1,$C$2,$C$3,$C$4,$C$6,$C$5,$C$7,J$1,J$2,A40)</f>
        <v>0</v>
      </c>
      <c r="K40" s="32">
        <f ca="1">_xll.DBRW($C$1,$C$2,$C$3,$C$4,$C$6,$C$5,$C$7,K$1,K$2,A40)</f>
        <v>0</v>
      </c>
      <c r="L40" s="32">
        <f ca="1">_xll.DBRW($C$1,$C$2,$C$3,$C$4,$C$6,$C$5,$C$7,L$1,L$2,A40)</f>
        <v>0</v>
      </c>
      <c r="M40" s="32">
        <f ca="1">_xll.DBRW($C$1,$C$2,$C$3,$C$4,$C$6,$C$5,$C$7,M$1,M$2,A40)</f>
        <v>0</v>
      </c>
      <c r="N40" s="32">
        <f ca="1">_xll.DBRW($C$1,$C$2,$C$3,$C$4,$C$6,$C$5,$C$7,N$1,N$2,A40)</f>
        <v>0</v>
      </c>
      <c r="O40" s="32">
        <f ca="1">_xll.DBRW($C$1,$C$2,$C$3,$C$4,$C$6,$C$5,$C$7,O$1,O$2,A40)</f>
        <v>0</v>
      </c>
      <c r="P40" s="32">
        <f ca="1">_xll.DBRW($C$1,$C$2,$C$3,$C$4,$C$6,$C$5,$C$7,P$1,P$2,A40)</f>
        <v>0</v>
      </c>
      <c r="Q40" s="32">
        <f ca="1">_xll.DBRW($C$1,$C$2,$C$3,$C$4,$C$6,$C$5,$C$7,Q$1,Q$2,A40)</f>
        <v>0</v>
      </c>
      <c r="R40" s="32">
        <f ca="1">_xll.DBRW($C$1,$C$2,$C$3,$C$4,$C$6,$C$5,$C$7,R$1,R$2,A40)</f>
        <v>0</v>
      </c>
      <c r="S40" s="32">
        <f ca="1">_xll.DBRW($C$1,$C$2,$C$3,$C$4,$C$6,$C$5,$C$7,S$1,S$2,A40)</f>
        <v>0</v>
      </c>
      <c r="T40" s="32">
        <f ca="1">_xll.DBRW($C$1,$C$2,$C$3,$C$4,$C$6,$C$5,$C$7,T$1,T$2,A40)</f>
        <v>0</v>
      </c>
      <c r="U40" s="32">
        <f ca="1">_xll.DBRW($C$1,$C$2,$C$3,$C$4,$C$6,$C$5,$C$7,U$1,U$2,A40)</f>
        <v>0</v>
      </c>
      <c r="V40" s="32">
        <f ca="1">_xll.DBRW($C$1,$C$2,$C$3,$C$4,$C$6,$C$5,$C$7,V$1,V$2,A40)</f>
        <v>0</v>
      </c>
      <c r="W40" s="32">
        <f ca="1">_xll.DBRW($C$1,$C$2,$C$3,$C$4,$C$6,$C$5,$C$7,W$1,W$2,A40)</f>
        <v>0</v>
      </c>
      <c r="X40" s="32">
        <f ca="1">_xll.DBRW($C$1,$C$2,$C$3,$C$4,$C$6,$C$5,$C$7,X$1,X$2,A40)</f>
        <v>0</v>
      </c>
      <c r="Y40" s="32">
        <f ca="1">_xll.DBRW($C$1,$C$2,$C$3,$C$4,$C$6,$C$5,$C$7,Y$1,Y$2,A40)</f>
        <v>0</v>
      </c>
      <c r="Z40" s="32">
        <f ca="1">_xll.DBRW($C$1,$C$2,$C$3,$C$4,$C$6,$C$5,$C$7,Z$1,Z$2,A40)</f>
        <v>0</v>
      </c>
      <c r="AA40" s="32">
        <f ca="1">_xll.DBRW($C$1,$C$2,$C$3,$C$4,$C$6,$C$5,$C$7,AA$1,AA$2,A40)</f>
        <v>0</v>
      </c>
      <c r="AB40" s="32">
        <f ca="1">_xll.DBRW($C$1,$C$2,$C$3,$C$4,$C$6,$C$5,$C$7,AB$1,AB$2,A40)</f>
        <v>0</v>
      </c>
      <c r="AC40" s="32">
        <f ca="1">_xll.DBRW($C$1,$C$2,$C$3,$C$4,$C$6,$C$5,$C$7,AC$1,AC$2,A40)</f>
        <v>0</v>
      </c>
      <c r="AD40" s="32">
        <f ca="1">_xll.DBRW($C$1,$C$2,$C$3,$C$4,$C$6,$C$5,$C$7,AD$1,AD$2,A40)</f>
        <v>0</v>
      </c>
      <c r="AE40" s="32">
        <f ca="1">_xll.DBRW($C$1,$C$2,$C$3,$C$4,$C$6,$C$5,$C$7,AE$1,AE$2,A40)</f>
        <v>0</v>
      </c>
      <c r="AF40" s="32">
        <f ca="1">_xll.DBRW($C$1,$C$2,$C$3,$C$4,$C$6,$C$5,$C$7,AF$1,AF$2,A40)</f>
        <v>0</v>
      </c>
      <c r="AG40" s="32">
        <f ca="1">_xll.DBRW($C$1,$C$2,$C$3,$C$4,$C$6,$C$5,$C$7,AG$1,AG$2,A40)</f>
        <v>0</v>
      </c>
      <c r="AH40" s="32">
        <f ca="1">_xll.DBRW($C$1,$C$2,$C$3,$C$4,$C$6,$C$5,$C$7,AH$1,AH$2,A40)</f>
        <v>0</v>
      </c>
      <c r="AI40" s="32">
        <f ca="1">_xll.DBRW($C$1,$C$2,$C$3,$C$4,$C$6,$C$5,$C$7,AI$1,AI$2,A40)</f>
        <v>0</v>
      </c>
      <c r="AJ40" s="32">
        <f ca="1">_xll.DBRW($C$1,$C$2,$C$3,$C$4,$C$6,$C$5,$C$7,AJ$1,AJ$2,A40)</f>
        <v>0</v>
      </c>
      <c r="AK40" s="32">
        <f ca="1">_xll.DBRW($C$1,$C$2,$C$3,$C$4,$C$6,$C$5,$C$7,AK$1,AK$2,A40)</f>
        <v>0</v>
      </c>
      <c r="AL40" s="32">
        <f ca="1">_xll.DBRW($C$1,$C$2,$C$3,$C$4,$C$6,$C$5,$C$7,AL$1,AL$2,A40)</f>
        <v>0</v>
      </c>
      <c r="AM40" s="32">
        <f ca="1">_xll.DBRW($C$1,$C$2,$C$3,$C$4,$C$6,$C$5,$C$7,AM$1,AM$2,A40)</f>
        <v>0</v>
      </c>
      <c r="AN40" s="32">
        <f ca="1">_xll.DBRW($C$1,$C$2,$C$3,$C$4,$C$6,$C$5,$C$7,AN$1,AN$2,A40)</f>
        <v>0</v>
      </c>
      <c r="AO40" s="32">
        <f ca="1">_xll.DBRW($C$1,$C$2,$C$3,$C$4,$C$6,$C$5,$C$7,AO$1,AO$2,A40)</f>
        <v>0</v>
      </c>
      <c r="AP40" s="32">
        <f ca="1">_xll.DBRW($C$1,$C$2,$C$3,$C$4,$C$6,$C$5,$C$7,AP$1,AP$2,A40)</f>
        <v>0</v>
      </c>
      <c r="AQ40" s="32">
        <f ca="1">_xll.DBRW($C$1,$C$2,$C$3,$C$4,$C$6,$C$5,$C$7,AQ$1,AQ$2,A40)</f>
        <v>0</v>
      </c>
      <c r="AR40" s="32">
        <f ca="1">_xll.DBRW($C$1,$C$2,$C$3,$C$4,$C$6,$C$5,$C$7,AR$1,AR$2,A40)</f>
        <v>0</v>
      </c>
      <c r="AS40" s="32">
        <f ca="1">_xll.DBRW($C$1,$C$2,$C$3,$C$4,$C$6,$C$5,$C$7,AS$1,AS$2,A40)</f>
        <v>0</v>
      </c>
      <c r="AT40" s="32">
        <f ca="1">_xll.DBRW($C$1,$C$2,$C$3,$C$4,$C$6,$C$5,$C$7,AT$1,AT$2,A40)</f>
        <v>0</v>
      </c>
      <c r="AU40" s="32">
        <f ca="1">_xll.DBRW($C$1,$C$2,$C$3,$C$4,$C$6,$C$5,$C$7,AU$1,AU$2,A40)</f>
        <v>0</v>
      </c>
      <c r="AV40" s="32">
        <f ca="1">_xll.DBRW($C$1,$C$2,$C$3,$C$4,$C$6,$C$5,$C$7,AV$1,AV$2,A40)</f>
        <v>0</v>
      </c>
      <c r="AW40" s="32">
        <f ca="1">_xll.DBRW($C$1,$C$2,$C$3,$C$4,$C$6,$C$5,$C$7,AW$1,AW$2,A40)</f>
        <v>0</v>
      </c>
      <c r="AX40" s="32">
        <f ca="1">_xll.DBRW($C$1,$C$2,$C$3,$C$4,$C$6,$C$5,$C$7,AX$1,AX$2,A40)</f>
        <v>0</v>
      </c>
      <c r="AY40" s="32">
        <f ca="1">_xll.DBRW($C$1,$C$2,$C$3,$C$4,$C$6,$C$5,$C$7,AY$1,AY$2,A40)</f>
        <v>0</v>
      </c>
    </row>
    <row r="41" spans="1:51" ht="15.75" hidden="1" customHeight="1" outlineLevel="1">
      <c r="A41" s="1" t="s">
        <v>151</v>
      </c>
      <c r="C41" s="109"/>
      <c r="E41" s="9" t="str">
        <f ca="1">_xll.DBRW(Server&amp;"}ElementAttributes_Indicator",A41,"code_English")</f>
        <v>PL1150_DO_90 - Impairment (other than working capital) and provisions - other (DO)</v>
      </c>
      <c r="F41" s="32">
        <f ca="1">_xll.DBRW($C$1,$C$2,$C$3,$C$4,$C$6,$C$5,$C$7,F$1,F$2,A41)</f>
        <v>0</v>
      </c>
      <c r="G41" s="32">
        <f ca="1">_xll.DBRW($C$1,$C$2,$C$3,$C$4,$C$6,$C$5,$C$7,G$1,G$2,A41)</f>
        <v>0</v>
      </c>
      <c r="H41" s="32">
        <f ca="1">_xll.DBRW($C$1,$C$2,$C$3,$C$4,$C$6,$C$5,$C$7,H$1,H$2,A41)</f>
        <v>0</v>
      </c>
      <c r="I41" s="32">
        <f ca="1">_xll.DBRW($C$1,$C$2,$C$3,$C$4,$C$6,$C$5,$C$7,I$1,I$2,A41)</f>
        <v>0</v>
      </c>
      <c r="J41" s="32">
        <f ca="1">_xll.DBRW($C$1,$C$2,$C$3,$C$4,$C$6,$C$5,$C$7,J$1,J$2,A41)</f>
        <v>0</v>
      </c>
      <c r="K41" s="32">
        <f ca="1">_xll.DBRW($C$1,$C$2,$C$3,$C$4,$C$6,$C$5,$C$7,K$1,K$2,A41)</f>
        <v>0</v>
      </c>
      <c r="L41" s="32">
        <f ca="1">_xll.DBRW($C$1,$C$2,$C$3,$C$4,$C$6,$C$5,$C$7,L$1,L$2,A41)</f>
        <v>0</v>
      </c>
      <c r="M41" s="32">
        <f ca="1">_xll.DBRW($C$1,$C$2,$C$3,$C$4,$C$6,$C$5,$C$7,M$1,M$2,A41)</f>
        <v>0</v>
      </c>
      <c r="N41" s="32">
        <f ca="1">_xll.DBRW($C$1,$C$2,$C$3,$C$4,$C$6,$C$5,$C$7,N$1,N$2,A41)</f>
        <v>0</v>
      </c>
      <c r="O41" s="32">
        <f ca="1">_xll.DBRW($C$1,$C$2,$C$3,$C$4,$C$6,$C$5,$C$7,O$1,O$2,A41)</f>
        <v>0</v>
      </c>
      <c r="P41" s="32">
        <f ca="1">_xll.DBRW($C$1,$C$2,$C$3,$C$4,$C$6,$C$5,$C$7,P$1,P$2,A41)</f>
        <v>0</v>
      </c>
      <c r="Q41" s="32">
        <f ca="1">_xll.DBRW($C$1,$C$2,$C$3,$C$4,$C$6,$C$5,$C$7,Q$1,Q$2,A41)</f>
        <v>0</v>
      </c>
      <c r="R41" s="32">
        <f ca="1">_xll.DBRW($C$1,$C$2,$C$3,$C$4,$C$6,$C$5,$C$7,R$1,R$2,A41)</f>
        <v>0</v>
      </c>
      <c r="S41" s="32">
        <f ca="1">_xll.DBRW($C$1,$C$2,$C$3,$C$4,$C$6,$C$5,$C$7,S$1,S$2,A41)</f>
        <v>0</v>
      </c>
      <c r="T41" s="32">
        <f ca="1">_xll.DBRW($C$1,$C$2,$C$3,$C$4,$C$6,$C$5,$C$7,T$1,T$2,A41)</f>
        <v>0</v>
      </c>
      <c r="U41" s="32">
        <f ca="1">_xll.DBRW($C$1,$C$2,$C$3,$C$4,$C$6,$C$5,$C$7,U$1,U$2,A41)</f>
        <v>0</v>
      </c>
      <c r="V41" s="32">
        <f ca="1">_xll.DBRW($C$1,$C$2,$C$3,$C$4,$C$6,$C$5,$C$7,V$1,V$2,A41)</f>
        <v>0</v>
      </c>
      <c r="W41" s="32">
        <f ca="1">_xll.DBRW($C$1,$C$2,$C$3,$C$4,$C$6,$C$5,$C$7,W$1,W$2,A41)</f>
        <v>0</v>
      </c>
      <c r="X41" s="32">
        <f ca="1">_xll.DBRW($C$1,$C$2,$C$3,$C$4,$C$6,$C$5,$C$7,X$1,X$2,A41)</f>
        <v>0</v>
      </c>
      <c r="Y41" s="32">
        <f ca="1">_xll.DBRW($C$1,$C$2,$C$3,$C$4,$C$6,$C$5,$C$7,Y$1,Y$2,A41)</f>
        <v>0</v>
      </c>
      <c r="Z41" s="32">
        <f ca="1">_xll.DBRW($C$1,$C$2,$C$3,$C$4,$C$6,$C$5,$C$7,Z$1,Z$2,A41)</f>
        <v>0</v>
      </c>
      <c r="AA41" s="32">
        <f ca="1">_xll.DBRW($C$1,$C$2,$C$3,$C$4,$C$6,$C$5,$C$7,AA$1,AA$2,A41)</f>
        <v>0</v>
      </c>
      <c r="AB41" s="32">
        <f ca="1">_xll.DBRW($C$1,$C$2,$C$3,$C$4,$C$6,$C$5,$C$7,AB$1,AB$2,A41)</f>
        <v>0</v>
      </c>
      <c r="AC41" s="32">
        <f ca="1">_xll.DBRW($C$1,$C$2,$C$3,$C$4,$C$6,$C$5,$C$7,AC$1,AC$2,A41)</f>
        <v>0</v>
      </c>
      <c r="AD41" s="32">
        <f ca="1">_xll.DBRW($C$1,$C$2,$C$3,$C$4,$C$6,$C$5,$C$7,AD$1,AD$2,A41)</f>
        <v>0</v>
      </c>
      <c r="AE41" s="32">
        <f ca="1">_xll.DBRW($C$1,$C$2,$C$3,$C$4,$C$6,$C$5,$C$7,AE$1,AE$2,A41)</f>
        <v>0</v>
      </c>
      <c r="AF41" s="32">
        <f ca="1">_xll.DBRW($C$1,$C$2,$C$3,$C$4,$C$6,$C$5,$C$7,AF$1,AF$2,A41)</f>
        <v>0</v>
      </c>
      <c r="AG41" s="32">
        <f ca="1">_xll.DBRW($C$1,$C$2,$C$3,$C$4,$C$6,$C$5,$C$7,AG$1,AG$2,A41)</f>
        <v>0</v>
      </c>
      <c r="AH41" s="32">
        <f ca="1">_xll.DBRW($C$1,$C$2,$C$3,$C$4,$C$6,$C$5,$C$7,AH$1,AH$2,A41)</f>
        <v>0</v>
      </c>
      <c r="AI41" s="32">
        <f ca="1">_xll.DBRW($C$1,$C$2,$C$3,$C$4,$C$6,$C$5,$C$7,AI$1,AI$2,A41)</f>
        <v>0</v>
      </c>
      <c r="AJ41" s="32">
        <f ca="1">_xll.DBRW($C$1,$C$2,$C$3,$C$4,$C$6,$C$5,$C$7,AJ$1,AJ$2,A41)</f>
        <v>0</v>
      </c>
      <c r="AK41" s="32">
        <f ca="1">_xll.DBRW($C$1,$C$2,$C$3,$C$4,$C$6,$C$5,$C$7,AK$1,AK$2,A41)</f>
        <v>0</v>
      </c>
      <c r="AL41" s="32">
        <f ca="1">_xll.DBRW($C$1,$C$2,$C$3,$C$4,$C$6,$C$5,$C$7,AL$1,AL$2,A41)</f>
        <v>0</v>
      </c>
      <c r="AM41" s="32">
        <f ca="1">_xll.DBRW($C$1,$C$2,$C$3,$C$4,$C$6,$C$5,$C$7,AM$1,AM$2,A41)</f>
        <v>0</v>
      </c>
      <c r="AN41" s="32">
        <f ca="1">_xll.DBRW($C$1,$C$2,$C$3,$C$4,$C$6,$C$5,$C$7,AN$1,AN$2,A41)</f>
        <v>0</v>
      </c>
      <c r="AO41" s="32">
        <f ca="1">_xll.DBRW($C$1,$C$2,$C$3,$C$4,$C$6,$C$5,$C$7,AO$1,AO$2,A41)</f>
        <v>0</v>
      </c>
      <c r="AP41" s="32">
        <f ca="1">_xll.DBRW($C$1,$C$2,$C$3,$C$4,$C$6,$C$5,$C$7,AP$1,AP$2,A41)</f>
        <v>0</v>
      </c>
      <c r="AQ41" s="32">
        <f ca="1">_xll.DBRW($C$1,$C$2,$C$3,$C$4,$C$6,$C$5,$C$7,AQ$1,AQ$2,A41)</f>
        <v>0</v>
      </c>
      <c r="AR41" s="32">
        <f ca="1">_xll.DBRW($C$1,$C$2,$C$3,$C$4,$C$6,$C$5,$C$7,AR$1,AR$2,A41)</f>
        <v>0</v>
      </c>
      <c r="AS41" s="32">
        <f ca="1">_xll.DBRW($C$1,$C$2,$C$3,$C$4,$C$6,$C$5,$C$7,AS$1,AS$2,A41)</f>
        <v>0</v>
      </c>
      <c r="AT41" s="32">
        <f ca="1">_xll.DBRW($C$1,$C$2,$C$3,$C$4,$C$6,$C$5,$C$7,AT$1,AT$2,A41)</f>
        <v>0</v>
      </c>
      <c r="AU41" s="32">
        <f ca="1">_xll.DBRW($C$1,$C$2,$C$3,$C$4,$C$6,$C$5,$C$7,AU$1,AU$2,A41)</f>
        <v>0</v>
      </c>
      <c r="AV41" s="32">
        <f ca="1">_xll.DBRW($C$1,$C$2,$C$3,$C$4,$C$6,$C$5,$C$7,AV$1,AV$2,A41)</f>
        <v>0</v>
      </c>
      <c r="AW41" s="32">
        <f ca="1">_xll.DBRW($C$1,$C$2,$C$3,$C$4,$C$6,$C$5,$C$7,AW$1,AW$2,A41)</f>
        <v>0</v>
      </c>
      <c r="AX41" s="32">
        <f ca="1">_xll.DBRW($C$1,$C$2,$C$3,$C$4,$C$6,$C$5,$C$7,AX$1,AX$2,A41)</f>
        <v>0</v>
      </c>
      <c r="AY41" s="32">
        <f ca="1">_xll.DBRW($C$1,$C$2,$C$3,$C$4,$C$6,$C$5,$C$7,AY$1,AY$2,A41)</f>
        <v>0</v>
      </c>
    </row>
    <row r="42" spans="1:51" ht="15.75" hidden="1" customHeight="1" outlineLevel="1">
      <c r="A42" s="1" t="s">
        <v>152</v>
      </c>
      <c r="C42" s="109"/>
      <c r="E42" s="9" t="str">
        <f ca="1">_xll.DBRW(Server&amp;"}ElementAttributes_Indicator",A42,"code_English")</f>
        <v>PL1151_DO_10 - Impact of change in revaluation rate on provisions for losses on LT contracts - related to staff costs (DO)</v>
      </c>
      <c r="F42" s="32">
        <f ca="1">_xll.DBRW($C$1,$C$2,$C$3,$C$4,$C$6,$C$5,$C$7,F$1,F$2,A42)</f>
        <v>0</v>
      </c>
      <c r="G42" s="32">
        <f ca="1">_xll.DBRW($C$1,$C$2,$C$3,$C$4,$C$6,$C$5,$C$7,G$1,G$2,A42)</f>
        <v>0</v>
      </c>
      <c r="H42" s="32">
        <f ca="1">_xll.DBRW($C$1,$C$2,$C$3,$C$4,$C$6,$C$5,$C$7,H$1,H$2,A42)</f>
        <v>0</v>
      </c>
      <c r="I42" s="32">
        <f ca="1">_xll.DBRW($C$1,$C$2,$C$3,$C$4,$C$6,$C$5,$C$7,I$1,I$2,A42)</f>
        <v>0</v>
      </c>
      <c r="J42" s="32">
        <f ca="1">_xll.DBRW($C$1,$C$2,$C$3,$C$4,$C$6,$C$5,$C$7,J$1,J$2,A42)</f>
        <v>0</v>
      </c>
      <c r="K42" s="32">
        <f ca="1">_xll.DBRW($C$1,$C$2,$C$3,$C$4,$C$6,$C$5,$C$7,K$1,K$2,A42)</f>
        <v>0</v>
      </c>
      <c r="L42" s="32">
        <f ca="1">_xll.DBRW($C$1,$C$2,$C$3,$C$4,$C$6,$C$5,$C$7,L$1,L$2,A42)</f>
        <v>0</v>
      </c>
      <c r="M42" s="32">
        <f ca="1">_xll.DBRW($C$1,$C$2,$C$3,$C$4,$C$6,$C$5,$C$7,M$1,M$2,A42)</f>
        <v>0</v>
      </c>
      <c r="N42" s="32">
        <f ca="1">_xll.DBRW($C$1,$C$2,$C$3,$C$4,$C$6,$C$5,$C$7,N$1,N$2,A42)</f>
        <v>0</v>
      </c>
      <c r="O42" s="32">
        <f ca="1">_xll.DBRW($C$1,$C$2,$C$3,$C$4,$C$6,$C$5,$C$7,O$1,O$2,A42)</f>
        <v>0</v>
      </c>
      <c r="P42" s="32">
        <f ca="1">_xll.DBRW($C$1,$C$2,$C$3,$C$4,$C$6,$C$5,$C$7,P$1,P$2,A42)</f>
        <v>0</v>
      </c>
      <c r="Q42" s="32">
        <f ca="1">_xll.DBRW($C$1,$C$2,$C$3,$C$4,$C$6,$C$5,$C$7,Q$1,Q$2,A42)</f>
        <v>0</v>
      </c>
      <c r="R42" s="32">
        <f ca="1">_xll.DBRW($C$1,$C$2,$C$3,$C$4,$C$6,$C$5,$C$7,R$1,R$2,A42)</f>
        <v>0</v>
      </c>
      <c r="S42" s="32">
        <f ca="1">_xll.DBRW($C$1,$C$2,$C$3,$C$4,$C$6,$C$5,$C$7,S$1,S$2,A42)</f>
        <v>0</v>
      </c>
      <c r="T42" s="32">
        <f ca="1">_xll.DBRW($C$1,$C$2,$C$3,$C$4,$C$6,$C$5,$C$7,T$1,T$2,A42)</f>
        <v>0</v>
      </c>
      <c r="U42" s="32">
        <f ca="1">_xll.DBRW($C$1,$C$2,$C$3,$C$4,$C$6,$C$5,$C$7,U$1,U$2,A42)</f>
        <v>0</v>
      </c>
      <c r="V42" s="32">
        <f ca="1">_xll.DBRW($C$1,$C$2,$C$3,$C$4,$C$6,$C$5,$C$7,V$1,V$2,A42)</f>
        <v>0</v>
      </c>
      <c r="W42" s="32">
        <f ca="1">_xll.DBRW($C$1,$C$2,$C$3,$C$4,$C$6,$C$5,$C$7,W$1,W$2,A42)</f>
        <v>0</v>
      </c>
      <c r="X42" s="32">
        <f ca="1">_xll.DBRW($C$1,$C$2,$C$3,$C$4,$C$6,$C$5,$C$7,X$1,X$2,A42)</f>
        <v>0</v>
      </c>
      <c r="Y42" s="32">
        <f ca="1">_xll.DBRW($C$1,$C$2,$C$3,$C$4,$C$6,$C$5,$C$7,Y$1,Y$2,A42)</f>
        <v>0</v>
      </c>
      <c r="Z42" s="32">
        <f ca="1">_xll.DBRW($C$1,$C$2,$C$3,$C$4,$C$6,$C$5,$C$7,Z$1,Z$2,A42)</f>
        <v>0</v>
      </c>
      <c r="AA42" s="32">
        <f ca="1">_xll.DBRW($C$1,$C$2,$C$3,$C$4,$C$6,$C$5,$C$7,AA$1,AA$2,A42)</f>
        <v>0</v>
      </c>
      <c r="AB42" s="32">
        <f ca="1">_xll.DBRW($C$1,$C$2,$C$3,$C$4,$C$6,$C$5,$C$7,AB$1,AB$2,A42)</f>
        <v>0</v>
      </c>
      <c r="AC42" s="32">
        <f ca="1">_xll.DBRW($C$1,$C$2,$C$3,$C$4,$C$6,$C$5,$C$7,AC$1,AC$2,A42)</f>
        <v>0</v>
      </c>
      <c r="AD42" s="32">
        <f ca="1">_xll.DBRW($C$1,$C$2,$C$3,$C$4,$C$6,$C$5,$C$7,AD$1,AD$2,A42)</f>
        <v>0</v>
      </c>
      <c r="AE42" s="32">
        <f ca="1">_xll.DBRW($C$1,$C$2,$C$3,$C$4,$C$6,$C$5,$C$7,AE$1,AE$2,A42)</f>
        <v>0</v>
      </c>
      <c r="AF42" s="32">
        <f ca="1">_xll.DBRW($C$1,$C$2,$C$3,$C$4,$C$6,$C$5,$C$7,AF$1,AF$2,A42)</f>
        <v>0</v>
      </c>
      <c r="AG42" s="32">
        <f ca="1">_xll.DBRW($C$1,$C$2,$C$3,$C$4,$C$6,$C$5,$C$7,AG$1,AG$2,A42)</f>
        <v>0</v>
      </c>
      <c r="AH42" s="32">
        <f ca="1">_xll.DBRW($C$1,$C$2,$C$3,$C$4,$C$6,$C$5,$C$7,AH$1,AH$2,A42)</f>
        <v>0</v>
      </c>
      <c r="AI42" s="32">
        <f ca="1">_xll.DBRW($C$1,$C$2,$C$3,$C$4,$C$6,$C$5,$C$7,AI$1,AI$2,A42)</f>
        <v>0</v>
      </c>
      <c r="AJ42" s="32">
        <f ca="1">_xll.DBRW($C$1,$C$2,$C$3,$C$4,$C$6,$C$5,$C$7,AJ$1,AJ$2,A42)</f>
        <v>0</v>
      </c>
      <c r="AK42" s="32">
        <f ca="1">_xll.DBRW($C$1,$C$2,$C$3,$C$4,$C$6,$C$5,$C$7,AK$1,AK$2,A42)</f>
        <v>0</v>
      </c>
      <c r="AL42" s="32">
        <f ca="1">_xll.DBRW($C$1,$C$2,$C$3,$C$4,$C$6,$C$5,$C$7,AL$1,AL$2,A42)</f>
        <v>0</v>
      </c>
      <c r="AM42" s="32">
        <f ca="1">_xll.DBRW($C$1,$C$2,$C$3,$C$4,$C$6,$C$5,$C$7,AM$1,AM$2,A42)</f>
        <v>0</v>
      </c>
      <c r="AN42" s="32">
        <f ca="1">_xll.DBRW($C$1,$C$2,$C$3,$C$4,$C$6,$C$5,$C$7,AN$1,AN$2,A42)</f>
        <v>0</v>
      </c>
      <c r="AO42" s="32">
        <f ca="1">_xll.DBRW($C$1,$C$2,$C$3,$C$4,$C$6,$C$5,$C$7,AO$1,AO$2,A42)</f>
        <v>0</v>
      </c>
      <c r="AP42" s="32">
        <f ca="1">_xll.DBRW($C$1,$C$2,$C$3,$C$4,$C$6,$C$5,$C$7,AP$1,AP$2,A42)</f>
        <v>0</v>
      </c>
      <c r="AQ42" s="32">
        <f ca="1">_xll.DBRW($C$1,$C$2,$C$3,$C$4,$C$6,$C$5,$C$7,AQ$1,AQ$2,A42)</f>
        <v>0</v>
      </c>
      <c r="AR42" s="32">
        <f ca="1">_xll.DBRW($C$1,$C$2,$C$3,$C$4,$C$6,$C$5,$C$7,AR$1,AR$2,A42)</f>
        <v>0</v>
      </c>
      <c r="AS42" s="32">
        <f ca="1">_xll.DBRW($C$1,$C$2,$C$3,$C$4,$C$6,$C$5,$C$7,AS$1,AS$2,A42)</f>
        <v>0</v>
      </c>
      <c r="AT42" s="32">
        <f ca="1">_xll.DBRW($C$1,$C$2,$C$3,$C$4,$C$6,$C$5,$C$7,AT$1,AT$2,A42)</f>
        <v>0</v>
      </c>
      <c r="AU42" s="32">
        <f ca="1">_xll.DBRW($C$1,$C$2,$C$3,$C$4,$C$6,$C$5,$C$7,AU$1,AU$2,A42)</f>
        <v>0</v>
      </c>
      <c r="AV42" s="32">
        <f ca="1">_xll.DBRW($C$1,$C$2,$C$3,$C$4,$C$6,$C$5,$C$7,AV$1,AV$2,A42)</f>
        <v>0</v>
      </c>
      <c r="AW42" s="32">
        <f ca="1">_xll.DBRW($C$1,$C$2,$C$3,$C$4,$C$6,$C$5,$C$7,AW$1,AW$2,A42)</f>
        <v>0</v>
      </c>
      <c r="AX42" s="32">
        <f ca="1">_xll.DBRW($C$1,$C$2,$C$3,$C$4,$C$6,$C$5,$C$7,AX$1,AX$2,A42)</f>
        <v>0</v>
      </c>
      <c r="AY42" s="32">
        <f ca="1">_xll.DBRW($C$1,$C$2,$C$3,$C$4,$C$6,$C$5,$C$7,AY$1,AY$2,A42)</f>
        <v>0</v>
      </c>
    </row>
    <row r="43" spans="1:51" ht="15.75" hidden="1" customHeight="1" outlineLevel="1">
      <c r="A43" s="1" t="s">
        <v>153</v>
      </c>
      <c r="C43" s="109"/>
      <c r="E43" s="9" t="str">
        <f ca="1">_xll.DBRW(Server&amp;"}ElementAttributes_Indicator",A43,"code_English")</f>
        <v>PL1151_DO_11 - Impact of change in revaluation rate on provisions for losses on LT contracts  - related to staff costs - Reversal (DO)</v>
      </c>
      <c r="F43" s="32">
        <f ca="1">_xll.DBRW($C$1,$C$2,$C$3,$C$4,$C$6,$C$5,$C$7,F$1,F$2,A43)</f>
        <v>0</v>
      </c>
      <c r="G43" s="32">
        <f ca="1">_xll.DBRW($C$1,$C$2,$C$3,$C$4,$C$6,$C$5,$C$7,G$1,G$2,A43)</f>
        <v>0</v>
      </c>
      <c r="H43" s="32">
        <f ca="1">_xll.DBRW($C$1,$C$2,$C$3,$C$4,$C$6,$C$5,$C$7,H$1,H$2,A43)</f>
        <v>0</v>
      </c>
      <c r="I43" s="32">
        <f ca="1">_xll.DBRW($C$1,$C$2,$C$3,$C$4,$C$6,$C$5,$C$7,I$1,I$2,A43)</f>
        <v>0</v>
      </c>
      <c r="J43" s="32">
        <f ca="1">_xll.DBRW($C$1,$C$2,$C$3,$C$4,$C$6,$C$5,$C$7,J$1,J$2,A43)</f>
        <v>0</v>
      </c>
      <c r="K43" s="32">
        <f ca="1">_xll.DBRW($C$1,$C$2,$C$3,$C$4,$C$6,$C$5,$C$7,K$1,K$2,A43)</f>
        <v>0</v>
      </c>
      <c r="L43" s="32">
        <f ca="1">_xll.DBRW($C$1,$C$2,$C$3,$C$4,$C$6,$C$5,$C$7,L$1,L$2,A43)</f>
        <v>0</v>
      </c>
      <c r="M43" s="32">
        <f ca="1">_xll.DBRW($C$1,$C$2,$C$3,$C$4,$C$6,$C$5,$C$7,M$1,M$2,A43)</f>
        <v>0</v>
      </c>
      <c r="N43" s="32">
        <f ca="1">_xll.DBRW($C$1,$C$2,$C$3,$C$4,$C$6,$C$5,$C$7,N$1,N$2,A43)</f>
        <v>0</v>
      </c>
      <c r="O43" s="32">
        <f ca="1">_xll.DBRW($C$1,$C$2,$C$3,$C$4,$C$6,$C$5,$C$7,O$1,O$2,A43)</f>
        <v>0</v>
      </c>
      <c r="P43" s="32">
        <f ca="1">_xll.DBRW($C$1,$C$2,$C$3,$C$4,$C$6,$C$5,$C$7,P$1,P$2,A43)</f>
        <v>0</v>
      </c>
      <c r="Q43" s="32">
        <f ca="1">_xll.DBRW($C$1,$C$2,$C$3,$C$4,$C$6,$C$5,$C$7,Q$1,Q$2,A43)</f>
        <v>0</v>
      </c>
      <c r="R43" s="32">
        <f ca="1">_xll.DBRW($C$1,$C$2,$C$3,$C$4,$C$6,$C$5,$C$7,R$1,R$2,A43)</f>
        <v>0</v>
      </c>
      <c r="S43" s="32">
        <f ca="1">_xll.DBRW($C$1,$C$2,$C$3,$C$4,$C$6,$C$5,$C$7,S$1,S$2,A43)</f>
        <v>0</v>
      </c>
      <c r="T43" s="32">
        <f ca="1">_xll.DBRW($C$1,$C$2,$C$3,$C$4,$C$6,$C$5,$C$7,T$1,T$2,A43)</f>
        <v>0</v>
      </c>
      <c r="U43" s="32">
        <f ca="1">_xll.DBRW($C$1,$C$2,$C$3,$C$4,$C$6,$C$5,$C$7,U$1,U$2,A43)</f>
        <v>0</v>
      </c>
      <c r="V43" s="32">
        <f ca="1">_xll.DBRW($C$1,$C$2,$C$3,$C$4,$C$6,$C$5,$C$7,V$1,V$2,A43)</f>
        <v>0</v>
      </c>
      <c r="W43" s="32">
        <f ca="1">_xll.DBRW($C$1,$C$2,$C$3,$C$4,$C$6,$C$5,$C$7,W$1,W$2,A43)</f>
        <v>0</v>
      </c>
      <c r="X43" s="32">
        <f ca="1">_xll.DBRW($C$1,$C$2,$C$3,$C$4,$C$6,$C$5,$C$7,X$1,X$2,A43)</f>
        <v>0</v>
      </c>
      <c r="Y43" s="32">
        <f ca="1">_xll.DBRW($C$1,$C$2,$C$3,$C$4,$C$6,$C$5,$C$7,Y$1,Y$2,A43)</f>
        <v>0</v>
      </c>
      <c r="Z43" s="32">
        <f ca="1">_xll.DBRW($C$1,$C$2,$C$3,$C$4,$C$6,$C$5,$C$7,Z$1,Z$2,A43)</f>
        <v>0</v>
      </c>
      <c r="AA43" s="32">
        <f ca="1">_xll.DBRW($C$1,$C$2,$C$3,$C$4,$C$6,$C$5,$C$7,AA$1,AA$2,A43)</f>
        <v>0</v>
      </c>
      <c r="AB43" s="32">
        <f ca="1">_xll.DBRW($C$1,$C$2,$C$3,$C$4,$C$6,$C$5,$C$7,AB$1,AB$2,A43)</f>
        <v>0</v>
      </c>
      <c r="AC43" s="32">
        <f ca="1">_xll.DBRW($C$1,$C$2,$C$3,$C$4,$C$6,$C$5,$C$7,AC$1,AC$2,A43)</f>
        <v>0</v>
      </c>
      <c r="AD43" s="32">
        <f ca="1">_xll.DBRW($C$1,$C$2,$C$3,$C$4,$C$6,$C$5,$C$7,AD$1,AD$2,A43)</f>
        <v>0</v>
      </c>
      <c r="AE43" s="32">
        <f ca="1">_xll.DBRW($C$1,$C$2,$C$3,$C$4,$C$6,$C$5,$C$7,AE$1,AE$2,A43)</f>
        <v>0</v>
      </c>
      <c r="AF43" s="32">
        <f ca="1">_xll.DBRW($C$1,$C$2,$C$3,$C$4,$C$6,$C$5,$C$7,AF$1,AF$2,A43)</f>
        <v>0</v>
      </c>
      <c r="AG43" s="32">
        <f ca="1">_xll.DBRW($C$1,$C$2,$C$3,$C$4,$C$6,$C$5,$C$7,AG$1,AG$2,A43)</f>
        <v>0</v>
      </c>
      <c r="AH43" s="32">
        <f ca="1">_xll.DBRW($C$1,$C$2,$C$3,$C$4,$C$6,$C$5,$C$7,AH$1,AH$2,A43)</f>
        <v>0</v>
      </c>
      <c r="AI43" s="32">
        <f ca="1">_xll.DBRW($C$1,$C$2,$C$3,$C$4,$C$6,$C$5,$C$7,AI$1,AI$2,A43)</f>
        <v>0</v>
      </c>
      <c r="AJ43" s="32">
        <f ca="1">_xll.DBRW($C$1,$C$2,$C$3,$C$4,$C$6,$C$5,$C$7,AJ$1,AJ$2,A43)</f>
        <v>0</v>
      </c>
      <c r="AK43" s="32">
        <f ca="1">_xll.DBRW($C$1,$C$2,$C$3,$C$4,$C$6,$C$5,$C$7,AK$1,AK$2,A43)</f>
        <v>0</v>
      </c>
      <c r="AL43" s="32">
        <f ca="1">_xll.DBRW($C$1,$C$2,$C$3,$C$4,$C$6,$C$5,$C$7,AL$1,AL$2,A43)</f>
        <v>0</v>
      </c>
      <c r="AM43" s="32">
        <f ca="1">_xll.DBRW($C$1,$C$2,$C$3,$C$4,$C$6,$C$5,$C$7,AM$1,AM$2,A43)</f>
        <v>0</v>
      </c>
      <c r="AN43" s="32">
        <f ca="1">_xll.DBRW($C$1,$C$2,$C$3,$C$4,$C$6,$C$5,$C$7,AN$1,AN$2,A43)</f>
        <v>0</v>
      </c>
      <c r="AO43" s="32">
        <f ca="1">_xll.DBRW($C$1,$C$2,$C$3,$C$4,$C$6,$C$5,$C$7,AO$1,AO$2,A43)</f>
        <v>0</v>
      </c>
      <c r="AP43" s="32">
        <f ca="1">_xll.DBRW($C$1,$C$2,$C$3,$C$4,$C$6,$C$5,$C$7,AP$1,AP$2,A43)</f>
        <v>0</v>
      </c>
      <c r="AQ43" s="32">
        <f ca="1">_xll.DBRW($C$1,$C$2,$C$3,$C$4,$C$6,$C$5,$C$7,AQ$1,AQ$2,A43)</f>
        <v>0</v>
      </c>
      <c r="AR43" s="32">
        <f ca="1">_xll.DBRW($C$1,$C$2,$C$3,$C$4,$C$6,$C$5,$C$7,AR$1,AR$2,A43)</f>
        <v>0</v>
      </c>
      <c r="AS43" s="32">
        <f ca="1">_xll.DBRW($C$1,$C$2,$C$3,$C$4,$C$6,$C$5,$C$7,AS$1,AS$2,A43)</f>
        <v>0</v>
      </c>
      <c r="AT43" s="32">
        <f ca="1">_xll.DBRW($C$1,$C$2,$C$3,$C$4,$C$6,$C$5,$C$7,AT$1,AT$2,A43)</f>
        <v>0</v>
      </c>
      <c r="AU43" s="32">
        <f ca="1">_xll.DBRW($C$1,$C$2,$C$3,$C$4,$C$6,$C$5,$C$7,AU$1,AU$2,A43)</f>
        <v>0</v>
      </c>
      <c r="AV43" s="32">
        <f ca="1">_xll.DBRW($C$1,$C$2,$C$3,$C$4,$C$6,$C$5,$C$7,AV$1,AV$2,A43)</f>
        <v>0</v>
      </c>
      <c r="AW43" s="32">
        <f ca="1">_xll.DBRW($C$1,$C$2,$C$3,$C$4,$C$6,$C$5,$C$7,AW$1,AW$2,A43)</f>
        <v>0</v>
      </c>
      <c r="AX43" s="32">
        <f ca="1">_xll.DBRW($C$1,$C$2,$C$3,$C$4,$C$6,$C$5,$C$7,AX$1,AX$2,A43)</f>
        <v>0</v>
      </c>
      <c r="AY43" s="32">
        <f ca="1">_xll.DBRW($C$1,$C$2,$C$3,$C$4,$C$6,$C$5,$C$7,AY$1,AY$2,A43)</f>
        <v>0</v>
      </c>
    </row>
    <row r="44" spans="1:51" ht="15.75" hidden="1" customHeight="1" outlineLevel="1">
      <c r="A44" s="1" t="s">
        <v>154</v>
      </c>
      <c r="C44" s="109"/>
      <c r="E44" s="9" t="str">
        <f ca="1">_xll.DBRW(Server&amp;"}ElementAttributes_Indicator",A44,"code_English")</f>
        <v>PL1155_DO_10 - Reinvoicing - Others (DO)</v>
      </c>
      <c r="F44" s="32">
        <f ca="1">_xll.DBRW($C$1,$C$2,$C$3,$C$4,$C$6,$C$5,$C$7,F$1,F$2,A44)</f>
        <v>0</v>
      </c>
      <c r="G44" s="32">
        <f ca="1">_xll.DBRW($C$1,$C$2,$C$3,$C$4,$C$6,$C$5,$C$7,G$1,G$2,A44)</f>
        <v>0</v>
      </c>
      <c r="H44" s="32">
        <f ca="1">_xll.DBRW($C$1,$C$2,$C$3,$C$4,$C$6,$C$5,$C$7,H$1,H$2,A44)</f>
        <v>0</v>
      </c>
      <c r="I44" s="32">
        <f ca="1">_xll.DBRW($C$1,$C$2,$C$3,$C$4,$C$6,$C$5,$C$7,I$1,I$2,A44)</f>
        <v>0</v>
      </c>
      <c r="J44" s="32">
        <f ca="1">_xll.DBRW($C$1,$C$2,$C$3,$C$4,$C$6,$C$5,$C$7,J$1,J$2,A44)</f>
        <v>0</v>
      </c>
      <c r="K44" s="32">
        <f ca="1">_xll.DBRW($C$1,$C$2,$C$3,$C$4,$C$6,$C$5,$C$7,K$1,K$2,A44)</f>
        <v>0</v>
      </c>
      <c r="L44" s="32">
        <f ca="1">_xll.DBRW($C$1,$C$2,$C$3,$C$4,$C$6,$C$5,$C$7,L$1,L$2,A44)</f>
        <v>0</v>
      </c>
      <c r="M44" s="32">
        <f ca="1">_xll.DBRW($C$1,$C$2,$C$3,$C$4,$C$6,$C$5,$C$7,M$1,M$2,A44)</f>
        <v>0</v>
      </c>
      <c r="N44" s="32">
        <f ca="1">_xll.DBRW($C$1,$C$2,$C$3,$C$4,$C$6,$C$5,$C$7,N$1,N$2,A44)</f>
        <v>0</v>
      </c>
      <c r="O44" s="32">
        <f ca="1">_xll.DBRW($C$1,$C$2,$C$3,$C$4,$C$6,$C$5,$C$7,O$1,O$2,A44)</f>
        <v>0</v>
      </c>
      <c r="P44" s="32">
        <f ca="1">_xll.DBRW($C$1,$C$2,$C$3,$C$4,$C$6,$C$5,$C$7,P$1,P$2,A44)</f>
        <v>0</v>
      </c>
      <c r="Q44" s="32">
        <f ca="1">_xll.DBRW($C$1,$C$2,$C$3,$C$4,$C$6,$C$5,$C$7,Q$1,Q$2,A44)</f>
        <v>0</v>
      </c>
      <c r="R44" s="32">
        <f ca="1">_xll.DBRW($C$1,$C$2,$C$3,$C$4,$C$6,$C$5,$C$7,R$1,R$2,A44)</f>
        <v>0</v>
      </c>
      <c r="S44" s="32">
        <f ca="1">_xll.DBRW($C$1,$C$2,$C$3,$C$4,$C$6,$C$5,$C$7,S$1,S$2,A44)</f>
        <v>0</v>
      </c>
      <c r="T44" s="32">
        <f ca="1">_xll.DBRW($C$1,$C$2,$C$3,$C$4,$C$6,$C$5,$C$7,T$1,T$2,A44)</f>
        <v>0</v>
      </c>
      <c r="U44" s="32">
        <f ca="1">_xll.DBRW($C$1,$C$2,$C$3,$C$4,$C$6,$C$5,$C$7,U$1,U$2,A44)</f>
        <v>0</v>
      </c>
      <c r="V44" s="32">
        <f ca="1">_xll.DBRW($C$1,$C$2,$C$3,$C$4,$C$6,$C$5,$C$7,V$1,V$2,A44)</f>
        <v>0</v>
      </c>
      <c r="W44" s="32">
        <f ca="1">_xll.DBRW($C$1,$C$2,$C$3,$C$4,$C$6,$C$5,$C$7,W$1,W$2,A44)</f>
        <v>0</v>
      </c>
      <c r="X44" s="32">
        <f ca="1">_xll.DBRW($C$1,$C$2,$C$3,$C$4,$C$6,$C$5,$C$7,X$1,X$2,A44)</f>
        <v>0</v>
      </c>
      <c r="Y44" s="32">
        <f ca="1">_xll.DBRW($C$1,$C$2,$C$3,$C$4,$C$6,$C$5,$C$7,Y$1,Y$2,A44)</f>
        <v>0</v>
      </c>
      <c r="Z44" s="32">
        <f ca="1">_xll.DBRW($C$1,$C$2,$C$3,$C$4,$C$6,$C$5,$C$7,Z$1,Z$2,A44)</f>
        <v>0</v>
      </c>
      <c r="AA44" s="32">
        <f ca="1">_xll.DBRW($C$1,$C$2,$C$3,$C$4,$C$6,$C$5,$C$7,AA$1,AA$2,A44)</f>
        <v>0</v>
      </c>
      <c r="AB44" s="32">
        <f ca="1">_xll.DBRW($C$1,$C$2,$C$3,$C$4,$C$6,$C$5,$C$7,AB$1,AB$2,A44)</f>
        <v>0</v>
      </c>
      <c r="AC44" s="32">
        <f ca="1">_xll.DBRW($C$1,$C$2,$C$3,$C$4,$C$6,$C$5,$C$7,AC$1,AC$2,A44)</f>
        <v>0</v>
      </c>
      <c r="AD44" s="32">
        <f ca="1">_xll.DBRW($C$1,$C$2,$C$3,$C$4,$C$6,$C$5,$C$7,AD$1,AD$2,A44)</f>
        <v>0</v>
      </c>
      <c r="AE44" s="32">
        <f ca="1">_xll.DBRW($C$1,$C$2,$C$3,$C$4,$C$6,$C$5,$C$7,AE$1,AE$2,A44)</f>
        <v>0</v>
      </c>
      <c r="AF44" s="32">
        <f ca="1">_xll.DBRW($C$1,$C$2,$C$3,$C$4,$C$6,$C$5,$C$7,AF$1,AF$2,A44)</f>
        <v>0</v>
      </c>
      <c r="AG44" s="32">
        <f ca="1">_xll.DBRW($C$1,$C$2,$C$3,$C$4,$C$6,$C$5,$C$7,AG$1,AG$2,A44)</f>
        <v>0</v>
      </c>
      <c r="AH44" s="32">
        <f ca="1">_xll.DBRW($C$1,$C$2,$C$3,$C$4,$C$6,$C$5,$C$7,AH$1,AH$2,A44)</f>
        <v>0</v>
      </c>
      <c r="AI44" s="32">
        <f ca="1">_xll.DBRW($C$1,$C$2,$C$3,$C$4,$C$6,$C$5,$C$7,AI$1,AI$2,A44)</f>
        <v>0</v>
      </c>
      <c r="AJ44" s="32">
        <f ca="1">_xll.DBRW($C$1,$C$2,$C$3,$C$4,$C$6,$C$5,$C$7,AJ$1,AJ$2,A44)</f>
        <v>0</v>
      </c>
      <c r="AK44" s="32">
        <f ca="1">_xll.DBRW($C$1,$C$2,$C$3,$C$4,$C$6,$C$5,$C$7,AK$1,AK$2,A44)</f>
        <v>0</v>
      </c>
      <c r="AL44" s="32">
        <f ca="1">_xll.DBRW($C$1,$C$2,$C$3,$C$4,$C$6,$C$5,$C$7,AL$1,AL$2,A44)</f>
        <v>0</v>
      </c>
      <c r="AM44" s="32">
        <f ca="1">_xll.DBRW($C$1,$C$2,$C$3,$C$4,$C$6,$C$5,$C$7,AM$1,AM$2,A44)</f>
        <v>0</v>
      </c>
      <c r="AN44" s="32">
        <f ca="1">_xll.DBRW($C$1,$C$2,$C$3,$C$4,$C$6,$C$5,$C$7,AN$1,AN$2,A44)</f>
        <v>0</v>
      </c>
      <c r="AO44" s="32">
        <f ca="1">_xll.DBRW($C$1,$C$2,$C$3,$C$4,$C$6,$C$5,$C$7,AO$1,AO$2,A44)</f>
        <v>0</v>
      </c>
      <c r="AP44" s="32">
        <f ca="1">_xll.DBRW($C$1,$C$2,$C$3,$C$4,$C$6,$C$5,$C$7,AP$1,AP$2,A44)</f>
        <v>0</v>
      </c>
      <c r="AQ44" s="32">
        <f ca="1">_xll.DBRW($C$1,$C$2,$C$3,$C$4,$C$6,$C$5,$C$7,AQ$1,AQ$2,A44)</f>
        <v>0</v>
      </c>
      <c r="AR44" s="32">
        <f ca="1">_xll.DBRW($C$1,$C$2,$C$3,$C$4,$C$6,$C$5,$C$7,AR$1,AR$2,A44)</f>
        <v>0</v>
      </c>
      <c r="AS44" s="32">
        <f ca="1">_xll.DBRW($C$1,$C$2,$C$3,$C$4,$C$6,$C$5,$C$7,AS$1,AS$2,A44)</f>
        <v>0</v>
      </c>
      <c r="AT44" s="32">
        <f ca="1">_xll.DBRW($C$1,$C$2,$C$3,$C$4,$C$6,$C$5,$C$7,AT$1,AT$2,A44)</f>
        <v>0</v>
      </c>
      <c r="AU44" s="32">
        <f ca="1">_xll.DBRW($C$1,$C$2,$C$3,$C$4,$C$6,$C$5,$C$7,AU$1,AU$2,A44)</f>
        <v>0</v>
      </c>
      <c r="AV44" s="32">
        <f ca="1">_xll.DBRW($C$1,$C$2,$C$3,$C$4,$C$6,$C$5,$C$7,AV$1,AV$2,A44)</f>
        <v>0</v>
      </c>
      <c r="AW44" s="32">
        <f ca="1">_xll.DBRW($C$1,$C$2,$C$3,$C$4,$C$6,$C$5,$C$7,AW$1,AW$2,A44)</f>
        <v>0</v>
      </c>
      <c r="AX44" s="32">
        <f ca="1">_xll.DBRW($C$1,$C$2,$C$3,$C$4,$C$6,$C$5,$C$7,AX$1,AX$2,A44)</f>
        <v>0</v>
      </c>
      <c r="AY44" s="32">
        <f ca="1">_xll.DBRW($C$1,$C$2,$C$3,$C$4,$C$6,$C$5,$C$7,AY$1,AY$2,A44)</f>
        <v>0</v>
      </c>
    </row>
    <row r="45" spans="1:51" ht="15.5" collapsed="1">
      <c r="A45" s="73" t="s">
        <v>139</v>
      </c>
      <c r="B45" s="73"/>
      <c r="C45" s="109"/>
      <c r="E45" s="13" t="s">
        <v>22</v>
      </c>
      <c r="F45" s="31">
        <f t="shared" ref="F45:L45" ca="1" si="19">SUM(F35:F44)</f>
        <v>0</v>
      </c>
      <c r="G45" s="31">
        <f t="shared" ca="1" si="19"/>
        <v>0</v>
      </c>
      <c r="H45" s="31">
        <f t="shared" ca="1" si="19"/>
        <v>0</v>
      </c>
      <c r="I45" s="31">
        <f t="shared" ca="1" si="19"/>
        <v>0</v>
      </c>
      <c r="J45" s="31">
        <f t="shared" ca="1" si="19"/>
        <v>0</v>
      </c>
      <c r="K45" s="31">
        <f t="shared" ca="1" si="19"/>
        <v>0</v>
      </c>
      <c r="L45" s="31">
        <f t="shared" ca="1" si="19"/>
        <v>0</v>
      </c>
      <c r="M45" s="31">
        <f t="shared" ref="M45:X45" ca="1" si="20">SUM(M35:M44)</f>
        <v>0</v>
      </c>
      <c r="N45" s="31">
        <f t="shared" ca="1" si="20"/>
        <v>0</v>
      </c>
      <c r="O45" s="31">
        <f t="shared" ca="1" si="20"/>
        <v>0</v>
      </c>
      <c r="P45" s="31">
        <f t="shared" ca="1" si="20"/>
        <v>0</v>
      </c>
      <c r="Q45" s="31">
        <f t="shared" ca="1" si="20"/>
        <v>0</v>
      </c>
      <c r="R45" s="31">
        <f t="shared" ca="1" si="20"/>
        <v>0</v>
      </c>
      <c r="S45" s="31">
        <f t="shared" ca="1" si="20"/>
        <v>0</v>
      </c>
      <c r="T45" s="31">
        <f t="shared" ca="1" si="20"/>
        <v>0</v>
      </c>
      <c r="U45" s="31">
        <f t="shared" ca="1" si="20"/>
        <v>0</v>
      </c>
      <c r="V45" s="31">
        <f t="shared" ca="1" si="20"/>
        <v>0</v>
      </c>
      <c r="W45" s="31">
        <f t="shared" ca="1" si="20"/>
        <v>0</v>
      </c>
      <c r="X45" s="31">
        <f t="shared" ca="1" si="20"/>
        <v>0</v>
      </c>
      <c r="Y45" s="31">
        <f ca="1">SUM(Y35:Y44)</f>
        <v>0</v>
      </c>
      <c r="Z45" s="31">
        <f t="shared" ref="Z45:AK45" ca="1" si="21">SUM(Z35:Z44)</f>
        <v>0</v>
      </c>
      <c r="AA45" s="31">
        <f t="shared" ca="1" si="21"/>
        <v>0</v>
      </c>
      <c r="AB45" s="31">
        <f t="shared" ca="1" si="21"/>
        <v>0</v>
      </c>
      <c r="AC45" s="31">
        <f t="shared" ca="1" si="21"/>
        <v>0</v>
      </c>
      <c r="AD45" s="31">
        <f t="shared" ca="1" si="21"/>
        <v>0</v>
      </c>
      <c r="AE45" s="31">
        <f t="shared" ca="1" si="21"/>
        <v>0</v>
      </c>
      <c r="AF45" s="31">
        <f t="shared" ca="1" si="21"/>
        <v>0</v>
      </c>
      <c r="AG45" s="31">
        <f t="shared" ca="1" si="21"/>
        <v>0</v>
      </c>
      <c r="AH45" s="31">
        <f t="shared" ca="1" si="21"/>
        <v>0</v>
      </c>
      <c r="AI45" s="31">
        <f t="shared" ca="1" si="21"/>
        <v>0</v>
      </c>
      <c r="AJ45" s="31">
        <f t="shared" ca="1" si="21"/>
        <v>0</v>
      </c>
      <c r="AK45" s="31">
        <f t="shared" ca="1" si="21"/>
        <v>0</v>
      </c>
      <c r="AL45" s="31">
        <f ca="1">SUM(AL35:AL44)</f>
        <v>0</v>
      </c>
      <c r="AM45" s="31">
        <f t="shared" ref="AM45:AX45" ca="1" si="22">SUM(AM35:AM44)</f>
        <v>0</v>
      </c>
      <c r="AN45" s="31">
        <f t="shared" ca="1" si="22"/>
        <v>0</v>
      </c>
      <c r="AO45" s="31">
        <f t="shared" ca="1" si="22"/>
        <v>0</v>
      </c>
      <c r="AP45" s="31">
        <f t="shared" ca="1" si="22"/>
        <v>0</v>
      </c>
      <c r="AQ45" s="31">
        <f t="shared" ca="1" si="22"/>
        <v>0</v>
      </c>
      <c r="AR45" s="31">
        <f t="shared" ca="1" si="22"/>
        <v>0</v>
      </c>
      <c r="AS45" s="31">
        <f t="shared" ca="1" si="22"/>
        <v>0</v>
      </c>
      <c r="AT45" s="31">
        <f t="shared" ca="1" si="22"/>
        <v>0</v>
      </c>
      <c r="AU45" s="31">
        <f t="shared" ca="1" si="22"/>
        <v>0</v>
      </c>
      <c r="AV45" s="31">
        <f t="shared" ca="1" si="22"/>
        <v>0</v>
      </c>
      <c r="AW45" s="31">
        <f t="shared" ca="1" si="22"/>
        <v>0</v>
      </c>
      <c r="AX45" s="31">
        <f t="shared" ca="1" si="22"/>
        <v>0</v>
      </c>
      <c r="AY45" s="31">
        <f ca="1">SUM(AY35:AY44)</f>
        <v>0</v>
      </c>
    </row>
    <row r="46" spans="1:51" ht="15.75" hidden="1" customHeight="1" outlineLevel="1">
      <c r="A46" s="1" t="s">
        <v>155</v>
      </c>
      <c r="C46" s="109"/>
      <c r="E46" s="9" t="str">
        <f ca="1">_xll.DBRW(Server&amp;"}ElementAttributes_Indicator",A46,"code_English")</f>
        <v>PL1110_MF_10 - Staff costs (MF)</v>
      </c>
      <c r="F46" s="32">
        <f ca="1">_xll.DBRW($C$1,$C$2,$C$3,$C$4,$C$6,$C$5,$C$7,F$1,F$2,A46)</f>
        <v>0</v>
      </c>
      <c r="G46" s="32">
        <f ca="1">_xll.DBRW($C$1,$C$2,$C$3,$C$4,$C$6,$C$5,$C$7,G$1,G$2,A46)</f>
        <v>0</v>
      </c>
      <c r="H46" s="32">
        <f ca="1">_xll.DBRW($C$1,$C$2,$C$3,$C$4,$C$6,$C$5,$C$7,H$1,H$2,A46)</f>
        <v>0</v>
      </c>
      <c r="I46" s="32">
        <f ca="1">_xll.DBRW($C$1,$C$2,$C$3,$C$4,$C$6,$C$5,$C$7,I$1,I$2,A46)</f>
        <v>0</v>
      </c>
      <c r="J46" s="32">
        <f ca="1">_xll.DBRW($C$1,$C$2,$C$3,$C$4,$C$6,$C$5,$C$7,J$1,J$2,A46)</f>
        <v>0</v>
      </c>
      <c r="K46" s="32">
        <f ca="1">_xll.DBRW($C$1,$C$2,$C$3,$C$4,$C$6,$C$5,$C$7,K$1,K$2,A46)</f>
        <v>0</v>
      </c>
      <c r="L46" s="32">
        <f ca="1">_xll.DBRW($C$1,$C$2,$C$3,$C$4,$C$6,$C$5,$C$7,L$1,L$2,A46)</f>
        <v>0</v>
      </c>
      <c r="M46" s="32">
        <f ca="1">_xll.DBRW($C$1,$C$2,$C$3,$C$4,$C$6,$C$5,$C$7,M$1,M$2,A46)</f>
        <v>0</v>
      </c>
      <c r="N46" s="32">
        <f ca="1">_xll.DBRW($C$1,$C$2,$C$3,$C$4,$C$6,$C$5,$C$7,N$1,N$2,A46)</f>
        <v>0</v>
      </c>
      <c r="O46" s="32">
        <f ca="1">_xll.DBRW($C$1,$C$2,$C$3,$C$4,$C$6,$C$5,$C$7,O$1,O$2,A46)</f>
        <v>0</v>
      </c>
      <c r="P46" s="32">
        <f ca="1">_xll.DBRW($C$1,$C$2,$C$3,$C$4,$C$6,$C$5,$C$7,P$1,P$2,A46)</f>
        <v>0</v>
      </c>
      <c r="Q46" s="32">
        <f ca="1">_xll.DBRW($C$1,$C$2,$C$3,$C$4,$C$6,$C$5,$C$7,Q$1,Q$2,A46)</f>
        <v>0</v>
      </c>
      <c r="R46" s="32">
        <f ca="1">_xll.DBRW($C$1,$C$2,$C$3,$C$4,$C$6,$C$5,$C$7,R$1,R$2,A46)</f>
        <v>0</v>
      </c>
      <c r="S46" s="32">
        <f ca="1">_xll.DBRW($C$1,$C$2,$C$3,$C$4,$C$6,$C$5,$C$7,S$1,S$2,A46)</f>
        <v>0</v>
      </c>
      <c r="T46" s="32">
        <f ca="1">_xll.DBRW($C$1,$C$2,$C$3,$C$4,$C$6,$C$5,$C$7,T$1,T$2,A46)</f>
        <v>0</v>
      </c>
      <c r="U46" s="32">
        <f ca="1">_xll.DBRW($C$1,$C$2,$C$3,$C$4,$C$6,$C$5,$C$7,U$1,U$2,A46)</f>
        <v>0</v>
      </c>
      <c r="V46" s="32">
        <f ca="1">_xll.DBRW($C$1,$C$2,$C$3,$C$4,$C$6,$C$5,$C$7,V$1,V$2,A46)</f>
        <v>0</v>
      </c>
      <c r="W46" s="32">
        <f ca="1">_xll.DBRW($C$1,$C$2,$C$3,$C$4,$C$6,$C$5,$C$7,W$1,W$2,A46)</f>
        <v>0</v>
      </c>
      <c r="X46" s="32">
        <f ca="1">_xll.DBRW($C$1,$C$2,$C$3,$C$4,$C$6,$C$5,$C$7,X$1,X$2,A46)</f>
        <v>0</v>
      </c>
      <c r="Y46" s="32">
        <f ca="1">_xll.DBRW($C$1,$C$2,$C$3,$C$4,$C$6,$C$5,$C$7,Y$1,Y$2,A46)</f>
        <v>0</v>
      </c>
      <c r="Z46" s="32">
        <f ca="1">_xll.DBRW($C$1,$C$2,$C$3,$C$4,$C$6,$C$5,$C$7,Z$1,Z$2,A46)</f>
        <v>0</v>
      </c>
      <c r="AA46" s="32">
        <f ca="1">_xll.DBRW($C$1,$C$2,$C$3,$C$4,$C$6,$C$5,$C$7,AA$1,AA$2,A46)</f>
        <v>0</v>
      </c>
      <c r="AB46" s="32">
        <f ca="1">_xll.DBRW($C$1,$C$2,$C$3,$C$4,$C$6,$C$5,$C$7,AB$1,AB$2,A46)</f>
        <v>0</v>
      </c>
      <c r="AC46" s="32">
        <f ca="1">_xll.DBRW($C$1,$C$2,$C$3,$C$4,$C$6,$C$5,$C$7,AC$1,AC$2,A46)</f>
        <v>0</v>
      </c>
      <c r="AD46" s="32">
        <f ca="1">_xll.DBRW($C$1,$C$2,$C$3,$C$4,$C$6,$C$5,$C$7,AD$1,AD$2,A46)</f>
        <v>0</v>
      </c>
      <c r="AE46" s="32">
        <f ca="1">_xll.DBRW($C$1,$C$2,$C$3,$C$4,$C$6,$C$5,$C$7,AE$1,AE$2,A46)</f>
        <v>0</v>
      </c>
      <c r="AF46" s="32">
        <f ca="1">_xll.DBRW($C$1,$C$2,$C$3,$C$4,$C$6,$C$5,$C$7,AF$1,AF$2,A46)</f>
        <v>0</v>
      </c>
      <c r="AG46" s="32">
        <f ca="1">_xll.DBRW($C$1,$C$2,$C$3,$C$4,$C$6,$C$5,$C$7,AG$1,AG$2,A46)</f>
        <v>0</v>
      </c>
      <c r="AH46" s="32">
        <f ca="1">_xll.DBRW($C$1,$C$2,$C$3,$C$4,$C$6,$C$5,$C$7,AH$1,AH$2,A46)</f>
        <v>0</v>
      </c>
      <c r="AI46" s="32">
        <f ca="1">_xll.DBRW($C$1,$C$2,$C$3,$C$4,$C$6,$C$5,$C$7,AI$1,AI$2,A46)</f>
        <v>0</v>
      </c>
      <c r="AJ46" s="32">
        <f ca="1">_xll.DBRW($C$1,$C$2,$C$3,$C$4,$C$6,$C$5,$C$7,AJ$1,AJ$2,A46)</f>
        <v>0</v>
      </c>
      <c r="AK46" s="32">
        <f ca="1">_xll.DBRW($C$1,$C$2,$C$3,$C$4,$C$6,$C$5,$C$7,AK$1,AK$2,A46)</f>
        <v>0</v>
      </c>
      <c r="AL46" s="32">
        <f ca="1">_xll.DBRW($C$1,$C$2,$C$3,$C$4,$C$6,$C$5,$C$7,AL$1,AL$2,A46)</f>
        <v>0</v>
      </c>
      <c r="AM46" s="32">
        <f ca="1">_xll.DBRW($C$1,$C$2,$C$3,$C$4,$C$6,$C$5,$C$7,AM$1,AM$2,A46)</f>
        <v>0</v>
      </c>
      <c r="AN46" s="32">
        <f ca="1">_xll.DBRW($C$1,$C$2,$C$3,$C$4,$C$6,$C$5,$C$7,AN$1,AN$2,A46)</f>
        <v>0</v>
      </c>
      <c r="AO46" s="32">
        <f ca="1">_xll.DBRW($C$1,$C$2,$C$3,$C$4,$C$6,$C$5,$C$7,AO$1,AO$2,A46)</f>
        <v>0</v>
      </c>
      <c r="AP46" s="32">
        <f ca="1">_xll.DBRW($C$1,$C$2,$C$3,$C$4,$C$6,$C$5,$C$7,AP$1,AP$2,A46)</f>
        <v>0</v>
      </c>
      <c r="AQ46" s="32">
        <f ca="1">_xll.DBRW($C$1,$C$2,$C$3,$C$4,$C$6,$C$5,$C$7,AQ$1,AQ$2,A46)</f>
        <v>0</v>
      </c>
      <c r="AR46" s="32">
        <f ca="1">_xll.DBRW($C$1,$C$2,$C$3,$C$4,$C$6,$C$5,$C$7,AR$1,AR$2,A46)</f>
        <v>0</v>
      </c>
      <c r="AS46" s="32">
        <f ca="1">_xll.DBRW($C$1,$C$2,$C$3,$C$4,$C$6,$C$5,$C$7,AS$1,AS$2,A46)</f>
        <v>0</v>
      </c>
      <c r="AT46" s="32">
        <f ca="1">_xll.DBRW($C$1,$C$2,$C$3,$C$4,$C$6,$C$5,$C$7,AT$1,AT$2,A46)</f>
        <v>0</v>
      </c>
      <c r="AU46" s="32">
        <f ca="1">_xll.DBRW($C$1,$C$2,$C$3,$C$4,$C$6,$C$5,$C$7,AU$1,AU$2,A46)</f>
        <v>0</v>
      </c>
      <c r="AV46" s="32">
        <f ca="1">_xll.DBRW($C$1,$C$2,$C$3,$C$4,$C$6,$C$5,$C$7,AV$1,AV$2,A46)</f>
        <v>0</v>
      </c>
      <c r="AW46" s="32">
        <f ca="1">_xll.DBRW($C$1,$C$2,$C$3,$C$4,$C$6,$C$5,$C$7,AW$1,AW$2,A46)</f>
        <v>0</v>
      </c>
      <c r="AX46" s="32">
        <f ca="1">_xll.DBRW($C$1,$C$2,$C$3,$C$4,$C$6,$C$5,$C$7,AX$1,AX$2,A46)</f>
        <v>0</v>
      </c>
      <c r="AY46" s="32">
        <f ca="1">_xll.DBRW($C$1,$C$2,$C$3,$C$4,$C$6,$C$5,$C$7,AY$1,AY$2,A46)</f>
        <v>0</v>
      </c>
    </row>
    <row r="47" spans="1:51" ht="15.75" hidden="1" customHeight="1" outlineLevel="1">
      <c r="A47" s="1" t="s">
        <v>156</v>
      </c>
      <c r="C47" s="109"/>
      <c r="E47" s="9" t="str">
        <f ca="1">_xll.DBRW(Server&amp;"}ElementAttributes_Indicator",A47,"code_English")</f>
        <v>PL1115_MF_20 - Interim staff (MF)</v>
      </c>
      <c r="F47" s="32">
        <f ca="1">_xll.DBRW($C$1,$C$2,$C$3,$C$4,$C$6,$C$5,$C$7,F$1,F$2,A47)</f>
        <v>0</v>
      </c>
      <c r="G47" s="32">
        <f ca="1">_xll.DBRW($C$1,$C$2,$C$3,$C$4,$C$6,$C$5,$C$7,G$1,G$2,A47)</f>
        <v>0</v>
      </c>
      <c r="H47" s="32">
        <f ca="1">_xll.DBRW($C$1,$C$2,$C$3,$C$4,$C$6,$C$5,$C$7,H$1,H$2,A47)</f>
        <v>0</v>
      </c>
      <c r="I47" s="32">
        <f ca="1">_xll.DBRW($C$1,$C$2,$C$3,$C$4,$C$6,$C$5,$C$7,I$1,I$2,A47)</f>
        <v>0</v>
      </c>
      <c r="J47" s="32">
        <f ca="1">_xll.DBRW($C$1,$C$2,$C$3,$C$4,$C$6,$C$5,$C$7,J$1,J$2,A47)</f>
        <v>0</v>
      </c>
      <c r="K47" s="32">
        <f ca="1">_xll.DBRW($C$1,$C$2,$C$3,$C$4,$C$6,$C$5,$C$7,K$1,K$2,A47)</f>
        <v>0</v>
      </c>
      <c r="L47" s="32">
        <f ca="1">_xll.DBRW($C$1,$C$2,$C$3,$C$4,$C$6,$C$5,$C$7,L$1,L$2,A47)</f>
        <v>0</v>
      </c>
      <c r="M47" s="32">
        <f ca="1">_xll.DBRW($C$1,$C$2,$C$3,$C$4,$C$6,$C$5,$C$7,M$1,M$2,A47)</f>
        <v>0</v>
      </c>
      <c r="N47" s="32">
        <f ca="1">_xll.DBRW($C$1,$C$2,$C$3,$C$4,$C$6,$C$5,$C$7,N$1,N$2,A47)</f>
        <v>0</v>
      </c>
      <c r="O47" s="32">
        <f ca="1">_xll.DBRW($C$1,$C$2,$C$3,$C$4,$C$6,$C$5,$C$7,O$1,O$2,A47)</f>
        <v>0</v>
      </c>
      <c r="P47" s="32">
        <f ca="1">_xll.DBRW($C$1,$C$2,$C$3,$C$4,$C$6,$C$5,$C$7,P$1,P$2,A47)</f>
        <v>0</v>
      </c>
      <c r="Q47" s="32">
        <f ca="1">_xll.DBRW($C$1,$C$2,$C$3,$C$4,$C$6,$C$5,$C$7,Q$1,Q$2,A47)</f>
        <v>0</v>
      </c>
      <c r="R47" s="32">
        <f ca="1">_xll.DBRW($C$1,$C$2,$C$3,$C$4,$C$6,$C$5,$C$7,R$1,R$2,A47)</f>
        <v>0</v>
      </c>
      <c r="S47" s="32">
        <f ca="1">_xll.DBRW($C$1,$C$2,$C$3,$C$4,$C$6,$C$5,$C$7,S$1,S$2,A47)</f>
        <v>0</v>
      </c>
      <c r="T47" s="32">
        <f ca="1">_xll.DBRW($C$1,$C$2,$C$3,$C$4,$C$6,$C$5,$C$7,T$1,T$2,A47)</f>
        <v>0</v>
      </c>
      <c r="U47" s="32">
        <f ca="1">_xll.DBRW($C$1,$C$2,$C$3,$C$4,$C$6,$C$5,$C$7,U$1,U$2,A47)</f>
        <v>0</v>
      </c>
      <c r="V47" s="32">
        <f ca="1">_xll.DBRW($C$1,$C$2,$C$3,$C$4,$C$6,$C$5,$C$7,V$1,V$2,A47)</f>
        <v>0</v>
      </c>
      <c r="W47" s="32">
        <f ca="1">_xll.DBRW($C$1,$C$2,$C$3,$C$4,$C$6,$C$5,$C$7,W$1,W$2,A47)</f>
        <v>0</v>
      </c>
      <c r="X47" s="32">
        <f ca="1">_xll.DBRW($C$1,$C$2,$C$3,$C$4,$C$6,$C$5,$C$7,X$1,X$2,A47)</f>
        <v>0</v>
      </c>
      <c r="Y47" s="32">
        <f ca="1">_xll.DBRW($C$1,$C$2,$C$3,$C$4,$C$6,$C$5,$C$7,Y$1,Y$2,A47)</f>
        <v>0</v>
      </c>
      <c r="Z47" s="32">
        <f ca="1">_xll.DBRW($C$1,$C$2,$C$3,$C$4,$C$6,$C$5,$C$7,Z$1,Z$2,A47)</f>
        <v>0</v>
      </c>
      <c r="AA47" s="32">
        <f ca="1">_xll.DBRW($C$1,$C$2,$C$3,$C$4,$C$6,$C$5,$C$7,AA$1,AA$2,A47)</f>
        <v>0</v>
      </c>
      <c r="AB47" s="32">
        <f ca="1">_xll.DBRW($C$1,$C$2,$C$3,$C$4,$C$6,$C$5,$C$7,AB$1,AB$2,A47)</f>
        <v>0</v>
      </c>
      <c r="AC47" s="32">
        <f ca="1">_xll.DBRW($C$1,$C$2,$C$3,$C$4,$C$6,$C$5,$C$7,AC$1,AC$2,A47)</f>
        <v>0</v>
      </c>
      <c r="AD47" s="32">
        <f ca="1">_xll.DBRW($C$1,$C$2,$C$3,$C$4,$C$6,$C$5,$C$7,AD$1,AD$2,A47)</f>
        <v>0</v>
      </c>
      <c r="AE47" s="32">
        <f ca="1">_xll.DBRW($C$1,$C$2,$C$3,$C$4,$C$6,$C$5,$C$7,AE$1,AE$2,A47)</f>
        <v>0</v>
      </c>
      <c r="AF47" s="32">
        <f ca="1">_xll.DBRW($C$1,$C$2,$C$3,$C$4,$C$6,$C$5,$C$7,AF$1,AF$2,A47)</f>
        <v>0</v>
      </c>
      <c r="AG47" s="32">
        <f ca="1">_xll.DBRW($C$1,$C$2,$C$3,$C$4,$C$6,$C$5,$C$7,AG$1,AG$2,A47)</f>
        <v>0</v>
      </c>
      <c r="AH47" s="32">
        <f ca="1">_xll.DBRW($C$1,$C$2,$C$3,$C$4,$C$6,$C$5,$C$7,AH$1,AH$2,A47)</f>
        <v>0</v>
      </c>
      <c r="AI47" s="32">
        <f ca="1">_xll.DBRW($C$1,$C$2,$C$3,$C$4,$C$6,$C$5,$C$7,AI$1,AI$2,A47)</f>
        <v>0</v>
      </c>
      <c r="AJ47" s="32">
        <f ca="1">_xll.DBRW($C$1,$C$2,$C$3,$C$4,$C$6,$C$5,$C$7,AJ$1,AJ$2,A47)</f>
        <v>0</v>
      </c>
      <c r="AK47" s="32">
        <f ca="1">_xll.DBRW($C$1,$C$2,$C$3,$C$4,$C$6,$C$5,$C$7,AK$1,AK$2,A47)</f>
        <v>0</v>
      </c>
      <c r="AL47" s="32">
        <f ca="1">_xll.DBRW($C$1,$C$2,$C$3,$C$4,$C$6,$C$5,$C$7,AL$1,AL$2,A47)</f>
        <v>0</v>
      </c>
      <c r="AM47" s="32">
        <f ca="1">_xll.DBRW($C$1,$C$2,$C$3,$C$4,$C$6,$C$5,$C$7,AM$1,AM$2,A47)</f>
        <v>0</v>
      </c>
      <c r="AN47" s="32">
        <f ca="1">_xll.DBRW($C$1,$C$2,$C$3,$C$4,$C$6,$C$5,$C$7,AN$1,AN$2,A47)</f>
        <v>0</v>
      </c>
      <c r="AO47" s="32">
        <f ca="1">_xll.DBRW($C$1,$C$2,$C$3,$C$4,$C$6,$C$5,$C$7,AO$1,AO$2,A47)</f>
        <v>0</v>
      </c>
      <c r="AP47" s="32">
        <f ca="1">_xll.DBRW($C$1,$C$2,$C$3,$C$4,$C$6,$C$5,$C$7,AP$1,AP$2,A47)</f>
        <v>0</v>
      </c>
      <c r="AQ47" s="32">
        <f ca="1">_xll.DBRW($C$1,$C$2,$C$3,$C$4,$C$6,$C$5,$C$7,AQ$1,AQ$2,A47)</f>
        <v>0</v>
      </c>
      <c r="AR47" s="32">
        <f ca="1">_xll.DBRW($C$1,$C$2,$C$3,$C$4,$C$6,$C$5,$C$7,AR$1,AR$2,A47)</f>
        <v>0</v>
      </c>
      <c r="AS47" s="32">
        <f ca="1">_xll.DBRW($C$1,$C$2,$C$3,$C$4,$C$6,$C$5,$C$7,AS$1,AS$2,A47)</f>
        <v>0</v>
      </c>
      <c r="AT47" s="32">
        <f ca="1">_xll.DBRW($C$1,$C$2,$C$3,$C$4,$C$6,$C$5,$C$7,AT$1,AT$2,A47)</f>
        <v>0</v>
      </c>
      <c r="AU47" s="32">
        <f ca="1">_xll.DBRW($C$1,$C$2,$C$3,$C$4,$C$6,$C$5,$C$7,AU$1,AU$2,A47)</f>
        <v>0</v>
      </c>
      <c r="AV47" s="32">
        <f ca="1">_xll.DBRW($C$1,$C$2,$C$3,$C$4,$C$6,$C$5,$C$7,AV$1,AV$2,A47)</f>
        <v>0</v>
      </c>
      <c r="AW47" s="32">
        <f ca="1">_xll.DBRW($C$1,$C$2,$C$3,$C$4,$C$6,$C$5,$C$7,AW$1,AW$2,A47)</f>
        <v>0</v>
      </c>
      <c r="AX47" s="32">
        <f ca="1">_xll.DBRW($C$1,$C$2,$C$3,$C$4,$C$6,$C$5,$C$7,AX$1,AX$2,A47)</f>
        <v>0</v>
      </c>
      <c r="AY47" s="32">
        <f ca="1">_xll.DBRW($C$1,$C$2,$C$3,$C$4,$C$6,$C$5,$C$7,AY$1,AY$2,A47)</f>
        <v>0</v>
      </c>
    </row>
    <row r="48" spans="1:51" ht="15.5" hidden="1" outlineLevel="1" collapsed="1">
      <c r="A48" s="1" t="s">
        <v>142</v>
      </c>
      <c r="C48" s="109"/>
      <c r="E48" s="14" t="s">
        <v>23</v>
      </c>
      <c r="F48" s="33">
        <f ca="1">SUM(F46:F47)</f>
        <v>0</v>
      </c>
      <c r="G48" s="33">
        <f t="shared" ref="G48:L48" ca="1" si="23">SUM(G46:G47)</f>
        <v>0</v>
      </c>
      <c r="H48" s="33">
        <f t="shared" ca="1" si="23"/>
        <v>0</v>
      </c>
      <c r="I48" s="33">
        <f t="shared" ca="1" si="23"/>
        <v>0</v>
      </c>
      <c r="J48" s="33">
        <f t="shared" ca="1" si="23"/>
        <v>0</v>
      </c>
      <c r="K48" s="33">
        <f t="shared" ca="1" si="23"/>
        <v>0</v>
      </c>
      <c r="L48" s="33">
        <f t="shared" ca="1" si="23"/>
        <v>0</v>
      </c>
      <c r="M48" s="33">
        <f t="shared" ref="M48:X48" ca="1" si="24">SUM(M46:M47)</f>
        <v>0</v>
      </c>
      <c r="N48" s="33">
        <f t="shared" ca="1" si="24"/>
        <v>0</v>
      </c>
      <c r="O48" s="33">
        <f t="shared" ca="1" si="24"/>
        <v>0</v>
      </c>
      <c r="P48" s="33">
        <f t="shared" ca="1" si="24"/>
        <v>0</v>
      </c>
      <c r="Q48" s="33">
        <f t="shared" ca="1" si="24"/>
        <v>0</v>
      </c>
      <c r="R48" s="33">
        <f t="shared" ca="1" si="24"/>
        <v>0</v>
      </c>
      <c r="S48" s="33">
        <f t="shared" ca="1" si="24"/>
        <v>0</v>
      </c>
      <c r="T48" s="33">
        <f t="shared" ca="1" si="24"/>
        <v>0</v>
      </c>
      <c r="U48" s="33">
        <f t="shared" ca="1" si="24"/>
        <v>0</v>
      </c>
      <c r="V48" s="33">
        <f t="shared" ca="1" si="24"/>
        <v>0</v>
      </c>
      <c r="W48" s="33">
        <f t="shared" ca="1" si="24"/>
        <v>0</v>
      </c>
      <c r="X48" s="33">
        <f t="shared" ca="1" si="24"/>
        <v>0</v>
      </c>
      <c r="Y48" s="33">
        <f ca="1">SUM(Y46:Y47)</f>
        <v>0</v>
      </c>
      <c r="Z48" s="33">
        <f t="shared" ref="Z48:AK48" ca="1" si="25">SUM(Z46:Z47)</f>
        <v>0</v>
      </c>
      <c r="AA48" s="33">
        <f t="shared" ca="1" si="25"/>
        <v>0</v>
      </c>
      <c r="AB48" s="33">
        <f t="shared" ca="1" si="25"/>
        <v>0</v>
      </c>
      <c r="AC48" s="33">
        <f t="shared" ca="1" si="25"/>
        <v>0</v>
      </c>
      <c r="AD48" s="33">
        <f t="shared" ca="1" si="25"/>
        <v>0</v>
      </c>
      <c r="AE48" s="33">
        <f t="shared" ca="1" si="25"/>
        <v>0</v>
      </c>
      <c r="AF48" s="33">
        <f t="shared" ca="1" si="25"/>
        <v>0</v>
      </c>
      <c r="AG48" s="33">
        <f t="shared" ca="1" si="25"/>
        <v>0</v>
      </c>
      <c r="AH48" s="33">
        <f t="shared" ca="1" si="25"/>
        <v>0</v>
      </c>
      <c r="AI48" s="33">
        <f t="shared" ca="1" si="25"/>
        <v>0</v>
      </c>
      <c r="AJ48" s="33">
        <f t="shared" ca="1" si="25"/>
        <v>0</v>
      </c>
      <c r="AK48" s="33">
        <f t="shared" ca="1" si="25"/>
        <v>0</v>
      </c>
      <c r="AL48" s="33">
        <f ca="1">SUM(AL46:AL47)</f>
        <v>0</v>
      </c>
      <c r="AM48" s="33">
        <f t="shared" ref="AM48:AX48" ca="1" si="26">SUM(AM46:AM47)</f>
        <v>0</v>
      </c>
      <c r="AN48" s="33">
        <f t="shared" ca="1" si="26"/>
        <v>0</v>
      </c>
      <c r="AO48" s="33">
        <f t="shared" ca="1" si="26"/>
        <v>0</v>
      </c>
      <c r="AP48" s="33">
        <f t="shared" ca="1" si="26"/>
        <v>0</v>
      </c>
      <c r="AQ48" s="33">
        <f t="shared" ca="1" si="26"/>
        <v>0</v>
      </c>
      <c r="AR48" s="33">
        <f t="shared" ca="1" si="26"/>
        <v>0</v>
      </c>
      <c r="AS48" s="33">
        <f t="shared" ca="1" si="26"/>
        <v>0</v>
      </c>
      <c r="AT48" s="33">
        <f t="shared" ca="1" si="26"/>
        <v>0</v>
      </c>
      <c r="AU48" s="33">
        <f t="shared" ca="1" si="26"/>
        <v>0</v>
      </c>
      <c r="AV48" s="33">
        <f t="shared" ca="1" si="26"/>
        <v>0</v>
      </c>
      <c r="AW48" s="33">
        <f t="shared" ca="1" si="26"/>
        <v>0</v>
      </c>
      <c r="AX48" s="33">
        <f t="shared" ca="1" si="26"/>
        <v>0</v>
      </c>
      <c r="AY48" s="33">
        <f ca="1">SUM(AY46:AY47)</f>
        <v>0</v>
      </c>
    </row>
    <row r="49" spans="1:51" ht="15.75" hidden="1" customHeight="1" outlineLevel="2">
      <c r="A49" s="1" t="s">
        <v>157</v>
      </c>
      <c r="C49" s="109"/>
      <c r="E49" s="9" t="str">
        <f ca="1">_xll.DBRW(Server&amp;"}ElementAttributes_Indicator",A49,"code_English")</f>
        <v>PL1115_MF_11 - Subcontracting maintenance (MF)</v>
      </c>
      <c r="F49" s="33">
        <f ca="1">_xll.DBRW($C$1,$C$2,$C$3,$C$4,$C$6,$C$5,$C$7,F$1,F$2,A49)</f>
        <v>0</v>
      </c>
      <c r="G49" s="33">
        <f ca="1">_xll.DBRW($C$1,$C$2,$C$3,$C$4,$C$6,$C$5,$C$7,G$1,G$2,A49)</f>
        <v>0</v>
      </c>
      <c r="H49" s="33">
        <f ca="1">_xll.DBRW($C$1,$C$2,$C$3,$C$4,$C$6,$C$5,$C$7,H$1,H$2,A49)</f>
        <v>0</v>
      </c>
      <c r="I49" s="33">
        <f ca="1">_xll.DBRW($C$1,$C$2,$C$3,$C$4,$C$6,$C$5,$C$7,I$1,I$2,A49)</f>
        <v>0</v>
      </c>
      <c r="J49" s="33">
        <f ca="1">_xll.DBRW($C$1,$C$2,$C$3,$C$4,$C$6,$C$5,$C$7,J$1,J$2,A49)</f>
        <v>0</v>
      </c>
      <c r="K49" s="33">
        <f ca="1">_xll.DBRW($C$1,$C$2,$C$3,$C$4,$C$6,$C$5,$C$7,K$1,K$2,A49)</f>
        <v>0</v>
      </c>
      <c r="L49" s="33">
        <f ca="1">_xll.DBRW($C$1,$C$2,$C$3,$C$4,$C$6,$C$5,$C$7,L$1,L$2,A49)</f>
        <v>0</v>
      </c>
      <c r="M49" s="33">
        <f ca="1">_xll.DBRW($C$1,$C$2,$C$3,$C$4,$C$6,$C$5,$C$7,M$1,M$2,A49)</f>
        <v>0</v>
      </c>
      <c r="N49" s="33">
        <f ca="1">_xll.DBRW($C$1,$C$2,$C$3,$C$4,$C$6,$C$5,$C$7,N$1,N$2,A49)</f>
        <v>0</v>
      </c>
      <c r="O49" s="33">
        <f ca="1">_xll.DBRW($C$1,$C$2,$C$3,$C$4,$C$6,$C$5,$C$7,O$1,O$2,A49)</f>
        <v>0</v>
      </c>
      <c r="P49" s="33">
        <f ca="1">_xll.DBRW($C$1,$C$2,$C$3,$C$4,$C$6,$C$5,$C$7,P$1,P$2,A49)</f>
        <v>0</v>
      </c>
      <c r="Q49" s="33">
        <f ca="1">_xll.DBRW($C$1,$C$2,$C$3,$C$4,$C$6,$C$5,$C$7,Q$1,Q$2,A49)</f>
        <v>0</v>
      </c>
      <c r="R49" s="33">
        <f ca="1">_xll.DBRW($C$1,$C$2,$C$3,$C$4,$C$6,$C$5,$C$7,R$1,R$2,A49)</f>
        <v>0</v>
      </c>
      <c r="S49" s="33">
        <f ca="1">_xll.DBRW($C$1,$C$2,$C$3,$C$4,$C$6,$C$5,$C$7,S$1,S$2,A49)</f>
        <v>0</v>
      </c>
      <c r="T49" s="33">
        <f ca="1">_xll.DBRW($C$1,$C$2,$C$3,$C$4,$C$6,$C$5,$C$7,T$1,T$2,A49)</f>
        <v>0</v>
      </c>
      <c r="U49" s="33">
        <f ca="1">_xll.DBRW($C$1,$C$2,$C$3,$C$4,$C$6,$C$5,$C$7,U$1,U$2,A49)</f>
        <v>0</v>
      </c>
      <c r="V49" s="33">
        <f ca="1">_xll.DBRW($C$1,$C$2,$C$3,$C$4,$C$6,$C$5,$C$7,V$1,V$2,A49)</f>
        <v>0</v>
      </c>
      <c r="W49" s="33">
        <f ca="1">_xll.DBRW($C$1,$C$2,$C$3,$C$4,$C$6,$C$5,$C$7,W$1,W$2,A49)</f>
        <v>0</v>
      </c>
      <c r="X49" s="33">
        <f ca="1">_xll.DBRW($C$1,$C$2,$C$3,$C$4,$C$6,$C$5,$C$7,X$1,X$2,A49)</f>
        <v>0</v>
      </c>
      <c r="Y49" s="33">
        <f ca="1">_xll.DBRW($C$1,$C$2,$C$3,$C$4,$C$6,$C$5,$C$7,Y$1,Y$2,A49)</f>
        <v>0</v>
      </c>
      <c r="Z49" s="33">
        <f ca="1">_xll.DBRW($C$1,$C$2,$C$3,$C$4,$C$6,$C$5,$C$7,Z$1,Z$2,A49)</f>
        <v>0</v>
      </c>
      <c r="AA49" s="33">
        <f ca="1">_xll.DBRW($C$1,$C$2,$C$3,$C$4,$C$6,$C$5,$C$7,AA$1,AA$2,A49)</f>
        <v>0</v>
      </c>
      <c r="AB49" s="33">
        <f ca="1">_xll.DBRW($C$1,$C$2,$C$3,$C$4,$C$6,$C$5,$C$7,AB$1,AB$2,A49)</f>
        <v>0</v>
      </c>
      <c r="AC49" s="33">
        <f ca="1">_xll.DBRW($C$1,$C$2,$C$3,$C$4,$C$6,$C$5,$C$7,AC$1,AC$2,A49)</f>
        <v>0</v>
      </c>
      <c r="AD49" s="33">
        <f ca="1">_xll.DBRW($C$1,$C$2,$C$3,$C$4,$C$6,$C$5,$C$7,AD$1,AD$2,A49)</f>
        <v>0</v>
      </c>
      <c r="AE49" s="33">
        <f ca="1">_xll.DBRW($C$1,$C$2,$C$3,$C$4,$C$6,$C$5,$C$7,AE$1,AE$2,A49)</f>
        <v>0</v>
      </c>
      <c r="AF49" s="33">
        <f ca="1">_xll.DBRW($C$1,$C$2,$C$3,$C$4,$C$6,$C$5,$C$7,AF$1,AF$2,A49)</f>
        <v>0</v>
      </c>
      <c r="AG49" s="33">
        <f ca="1">_xll.DBRW($C$1,$C$2,$C$3,$C$4,$C$6,$C$5,$C$7,AG$1,AG$2,A49)</f>
        <v>0</v>
      </c>
      <c r="AH49" s="33">
        <f ca="1">_xll.DBRW($C$1,$C$2,$C$3,$C$4,$C$6,$C$5,$C$7,AH$1,AH$2,A49)</f>
        <v>0</v>
      </c>
      <c r="AI49" s="33">
        <f ca="1">_xll.DBRW($C$1,$C$2,$C$3,$C$4,$C$6,$C$5,$C$7,AI$1,AI$2,A49)</f>
        <v>0</v>
      </c>
      <c r="AJ49" s="33">
        <f ca="1">_xll.DBRW($C$1,$C$2,$C$3,$C$4,$C$6,$C$5,$C$7,AJ$1,AJ$2,A49)</f>
        <v>0</v>
      </c>
      <c r="AK49" s="33">
        <f ca="1">_xll.DBRW($C$1,$C$2,$C$3,$C$4,$C$6,$C$5,$C$7,AK$1,AK$2,A49)</f>
        <v>0</v>
      </c>
      <c r="AL49" s="33">
        <f ca="1">_xll.DBRW($C$1,$C$2,$C$3,$C$4,$C$6,$C$5,$C$7,AL$1,AL$2,A49)</f>
        <v>0</v>
      </c>
      <c r="AM49" s="33">
        <f ca="1">_xll.DBRW($C$1,$C$2,$C$3,$C$4,$C$6,$C$5,$C$7,AM$1,AM$2,A49)</f>
        <v>0</v>
      </c>
      <c r="AN49" s="33">
        <f ca="1">_xll.DBRW($C$1,$C$2,$C$3,$C$4,$C$6,$C$5,$C$7,AN$1,AN$2,A49)</f>
        <v>0</v>
      </c>
      <c r="AO49" s="33">
        <f ca="1">_xll.DBRW($C$1,$C$2,$C$3,$C$4,$C$6,$C$5,$C$7,AO$1,AO$2,A49)</f>
        <v>0</v>
      </c>
      <c r="AP49" s="33">
        <f ca="1">_xll.DBRW($C$1,$C$2,$C$3,$C$4,$C$6,$C$5,$C$7,AP$1,AP$2,A49)</f>
        <v>0</v>
      </c>
      <c r="AQ49" s="33">
        <f ca="1">_xll.DBRW($C$1,$C$2,$C$3,$C$4,$C$6,$C$5,$C$7,AQ$1,AQ$2,A49)</f>
        <v>0</v>
      </c>
      <c r="AR49" s="33">
        <f ca="1">_xll.DBRW($C$1,$C$2,$C$3,$C$4,$C$6,$C$5,$C$7,AR$1,AR$2,A49)</f>
        <v>0</v>
      </c>
      <c r="AS49" s="33">
        <f ca="1">_xll.DBRW($C$1,$C$2,$C$3,$C$4,$C$6,$C$5,$C$7,AS$1,AS$2,A49)</f>
        <v>0</v>
      </c>
      <c r="AT49" s="33">
        <f ca="1">_xll.DBRW($C$1,$C$2,$C$3,$C$4,$C$6,$C$5,$C$7,AT$1,AT$2,A49)</f>
        <v>0</v>
      </c>
      <c r="AU49" s="33">
        <f ca="1">_xll.DBRW($C$1,$C$2,$C$3,$C$4,$C$6,$C$5,$C$7,AU$1,AU$2,A49)</f>
        <v>0</v>
      </c>
      <c r="AV49" s="33">
        <f ca="1">_xll.DBRW($C$1,$C$2,$C$3,$C$4,$C$6,$C$5,$C$7,AV$1,AV$2,A49)</f>
        <v>0</v>
      </c>
      <c r="AW49" s="33">
        <f ca="1">_xll.DBRW($C$1,$C$2,$C$3,$C$4,$C$6,$C$5,$C$7,AW$1,AW$2,A49)</f>
        <v>0</v>
      </c>
      <c r="AX49" s="33">
        <f ca="1">_xll.DBRW($C$1,$C$2,$C$3,$C$4,$C$6,$C$5,$C$7,AX$1,AX$2,A49)</f>
        <v>0</v>
      </c>
      <c r="AY49" s="33">
        <f ca="1">_xll.DBRW($C$1,$C$2,$C$3,$C$4,$C$6,$C$5,$C$7,AY$1,AY$2,A49)</f>
        <v>0</v>
      </c>
    </row>
    <row r="50" spans="1:51" ht="15.75" hidden="1" customHeight="1" outlineLevel="2">
      <c r="A50" s="1" t="s">
        <v>158</v>
      </c>
      <c r="C50" s="109"/>
      <c r="E50" s="9" t="str">
        <f ca="1">_xll.DBRW(Server&amp;"}ElementAttributes_Indicator",A50,"code_English")</f>
        <v>PL1115_MF_25 - Major maintenance</v>
      </c>
      <c r="F50" s="33">
        <f ca="1">_xll.DBRW($C$1,$C$2,$C$3,$C$4,$C$6,$C$5,$C$7,F$1,F$2,A50)</f>
        <v>0</v>
      </c>
      <c r="G50" s="33">
        <f ca="1">_xll.DBRW($C$1,$C$2,$C$3,$C$4,$C$6,$C$5,$C$7,G$1,G$2,A50)</f>
        <v>0</v>
      </c>
      <c r="H50" s="33">
        <f ca="1">_xll.DBRW($C$1,$C$2,$C$3,$C$4,$C$6,$C$5,$C$7,H$1,H$2,A50)</f>
        <v>0</v>
      </c>
      <c r="I50" s="33">
        <f ca="1">_xll.DBRW($C$1,$C$2,$C$3,$C$4,$C$6,$C$5,$C$7,I$1,I$2,A50)</f>
        <v>0</v>
      </c>
      <c r="J50" s="33">
        <f ca="1">_xll.DBRW($C$1,$C$2,$C$3,$C$4,$C$6,$C$5,$C$7,J$1,J$2,A50)</f>
        <v>0</v>
      </c>
      <c r="K50" s="33">
        <f ca="1">_xll.DBRW($C$1,$C$2,$C$3,$C$4,$C$6,$C$5,$C$7,K$1,K$2,A50)</f>
        <v>0</v>
      </c>
      <c r="L50" s="33">
        <f ca="1">_xll.DBRW($C$1,$C$2,$C$3,$C$4,$C$6,$C$5,$C$7,L$1,L$2,A50)</f>
        <v>0</v>
      </c>
      <c r="M50" s="33">
        <f ca="1">_xll.DBRW($C$1,$C$2,$C$3,$C$4,$C$6,$C$5,$C$7,M$1,M$2,A50)</f>
        <v>0</v>
      </c>
      <c r="N50" s="33">
        <f ca="1">_xll.DBRW($C$1,$C$2,$C$3,$C$4,$C$6,$C$5,$C$7,N$1,N$2,A50)</f>
        <v>0</v>
      </c>
      <c r="O50" s="33">
        <f ca="1">_xll.DBRW($C$1,$C$2,$C$3,$C$4,$C$6,$C$5,$C$7,O$1,O$2,A50)</f>
        <v>0</v>
      </c>
      <c r="P50" s="33">
        <f ca="1">_xll.DBRW($C$1,$C$2,$C$3,$C$4,$C$6,$C$5,$C$7,P$1,P$2,A50)</f>
        <v>0</v>
      </c>
      <c r="Q50" s="33">
        <f ca="1">_xll.DBRW($C$1,$C$2,$C$3,$C$4,$C$6,$C$5,$C$7,Q$1,Q$2,A50)</f>
        <v>0</v>
      </c>
      <c r="R50" s="33">
        <f ca="1">_xll.DBRW($C$1,$C$2,$C$3,$C$4,$C$6,$C$5,$C$7,R$1,R$2,A50)</f>
        <v>0</v>
      </c>
      <c r="S50" s="33">
        <f ca="1">_xll.DBRW($C$1,$C$2,$C$3,$C$4,$C$6,$C$5,$C$7,S$1,S$2,A50)</f>
        <v>0</v>
      </c>
      <c r="T50" s="33">
        <f ca="1">_xll.DBRW($C$1,$C$2,$C$3,$C$4,$C$6,$C$5,$C$7,T$1,T$2,A50)</f>
        <v>0</v>
      </c>
      <c r="U50" s="33">
        <f ca="1">_xll.DBRW($C$1,$C$2,$C$3,$C$4,$C$6,$C$5,$C$7,U$1,U$2,A50)</f>
        <v>0</v>
      </c>
      <c r="V50" s="33">
        <f ca="1">_xll.DBRW($C$1,$C$2,$C$3,$C$4,$C$6,$C$5,$C$7,V$1,V$2,A50)</f>
        <v>0</v>
      </c>
      <c r="W50" s="33">
        <f ca="1">_xll.DBRW($C$1,$C$2,$C$3,$C$4,$C$6,$C$5,$C$7,W$1,W$2,A50)</f>
        <v>0</v>
      </c>
      <c r="X50" s="33">
        <f ca="1">_xll.DBRW($C$1,$C$2,$C$3,$C$4,$C$6,$C$5,$C$7,X$1,X$2,A50)</f>
        <v>0</v>
      </c>
      <c r="Y50" s="33">
        <f ca="1">_xll.DBRW($C$1,$C$2,$C$3,$C$4,$C$6,$C$5,$C$7,Y$1,Y$2,A50)</f>
        <v>0</v>
      </c>
      <c r="Z50" s="33">
        <f ca="1">_xll.DBRW($C$1,$C$2,$C$3,$C$4,$C$6,$C$5,$C$7,Z$1,Z$2,A50)</f>
        <v>0</v>
      </c>
      <c r="AA50" s="33">
        <f ca="1">_xll.DBRW($C$1,$C$2,$C$3,$C$4,$C$6,$C$5,$C$7,AA$1,AA$2,A50)</f>
        <v>0</v>
      </c>
      <c r="AB50" s="33">
        <f ca="1">_xll.DBRW($C$1,$C$2,$C$3,$C$4,$C$6,$C$5,$C$7,AB$1,AB$2,A50)</f>
        <v>0</v>
      </c>
      <c r="AC50" s="33">
        <f ca="1">_xll.DBRW($C$1,$C$2,$C$3,$C$4,$C$6,$C$5,$C$7,AC$1,AC$2,A50)</f>
        <v>0</v>
      </c>
      <c r="AD50" s="33">
        <f ca="1">_xll.DBRW($C$1,$C$2,$C$3,$C$4,$C$6,$C$5,$C$7,AD$1,AD$2,A50)</f>
        <v>0</v>
      </c>
      <c r="AE50" s="33">
        <f ca="1">_xll.DBRW($C$1,$C$2,$C$3,$C$4,$C$6,$C$5,$C$7,AE$1,AE$2,A50)</f>
        <v>0</v>
      </c>
      <c r="AF50" s="33">
        <f ca="1">_xll.DBRW($C$1,$C$2,$C$3,$C$4,$C$6,$C$5,$C$7,AF$1,AF$2,A50)</f>
        <v>0</v>
      </c>
      <c r="AG50" s="33">
        <f ca="1">_xll.DBRW($C$1,$C$2,$C$3,$C$4,$C$6,$C$5,$C$7,AG$1,AG$2,A50)</f>
        <v>0</v>
      </c>
      <c r="AH50" s="33">
        <f ca="1">_xll.DBRW($C$1,$C$2,$C$3,$C$4,$C$6,$C$5,$C$7,AH$1,AH$2,A50)</f>
        <v>0</v>
      </c>
      <c r="AI50" s="33">
        <f ca="1">_xll.DBRW($C$1,$C$2,$C$3,$C$4,$C$6,$C$5,$C$7,AI$1,AI$2,A50)</f>
        <v>0</v>
      </c>
      <c r="AJ50" s="33">
        <f ca="1">_xll.DBRW($C$1,$C$2,$C$3,$C$4,$C$6,$C$5,$C$7,AJ$1,AJ$2,A50)</f>
        <v>0</v>
      </c>
      <c r="AK50" s="33">
        <f ca="1">_xll.DBRW($C$1,$C$2,$C$3,$C$4,$C$6,$C$5,$C$7,AK$1,AK$2,A50)</f>
        <v>0</v>
      </c>
      <c r="AL50" s="33">
        <f ca="1">_xll.DBRW($C$1,$C$2,$C$3,$C$4,$C$6,$C$5,$C$7,AL$1,AL$2,A50)</f>
        <v>0</v>
      </c>
      <c r="AM50" s="33">
        <f ca="1">_xll.DBRW($C$1,$C$2,$C$3,$C$4,$C$6,$C$5,$C$7,AM$1,AM$2,A50)</f>
        <v>0</v>
      </c>
      <c r="AN50" s="33">
        <f ca="1">_xll.DBRW($C$1,$C$2,$C$3,$C$4,$C$6,$C$5,$C$7,AN$1,AN$2,A50)</f>
        <v>0</v>
      </c>
      <c r="AO50" s="33">
        <f ca="1">_xll.DBRW($C$1,$C$2,$C$3,$C$4,$C$6,$C$5,$C$7,AO$1,AO$2,A50)</f>
        <v>0</v>
      </c>
      <c r="AP50" s="33">
        <f ca="1">_xll.DBRW($C$1,$C$2,$C$3,$C$4,$C$6,$C$5,$C$7,AP$1,AP$2,A50)</f>
        <v>0</v>
      </c>
      <c r="AQ50" s="33">
        <f ca="1">_xll.DBRW($C$1,$C$2,$C$3,$C$4,$C$6,$C$5,$C$7,AQ$1,AQ$2,A50)</f>
        <v>0</v>
      </c>
      <c r="AR50" s="33">
        <f ca="1">_xll.DBRW($C$1,$C$2,$C$3,$C$4,$C$6,$C$5,$C$7,AR$1,AR$2,A50)</f>
        <v>0</v>
      </c>
      <c r="AS50" s="33">
        <f ca="1">_xll.DBRW($C$1,$C$2,$C$3,$C$4,$C$6,$C$5,$C$7,AS$1,AS$2,A50)</f>
        <v>0</v>
      </c>
      <c r="AT50" s="33">
        <f ca="1">_xll.DBRW($C$1,$C$2,$C$3,$C$4,$C$6,$C$5,$C$7,AT$1,AT$2,A50)</f>
        <v>0</v>
      </c>
      <c r="AU50" s="33">
        <f ca="1">_xll.DBRW($C$1,$C$2,$C$3,$C$4,$C$6,$C$5,$C$7,AU$1,AU$2,A50)</f>
        <v>0</v>
      </c>
      <c r="AV50" s="33">
        <f ca="1">_xll.DBRW($C$1,$C$2,$C$3,$C$4,$C$6,$C$5,$C$7,AV$1,AV$2,A50)</f>
        <v>0</v>
      </c>
      <c r="AW50" s="33">
        <f ca="1">_xll.DBRW($C$1,$C$2,$C$3,$C$4,$C$6,$C$5,$C$7,AW$1,AW$2,A50)</f>
        <v>0</v>
      </c>
      <c r="AX50" s="33">
        <f ca="1">_xll.DBRW($C$1,$C$2,$C$3,$C$4,$C$6,$C$5,$C$7,AX$1,AX$2,A50)</f>
        <v>0</v>
      </c>
      <c r="AY50" s="33">
        <f ca="1">_xll.DBRW($C$1,$C$2,$C$3,$C$4,$C$6,$C$5,$C$7,AY$1,AY$2,A50)</f>
        <v>0</v>
      </c>
    </row>
    <row r="51" spans="1:51" ht="15.5" hidden="1" outlineLevel="1" collapsed="1">
      <c r="A51" s="1" t="s">
        <v>142</v>
      </c>
      <c r="C51" s="109"/>
      <c r="E51" s="15" t="s">
        <v>24</v>
      </c>
      <c r="F51" s="34">
        <f t="shared" ref="F51:M51" ca="1" si="27">SUM(F49:F50)</f>
        <v>0</v>
      </c>
      <c r="G51" s="34">
        <f t="shared" ca="1" si="27"/>
        <v>0</v>
      </c>
      <c r="H51" s="34">
        <f t="shared" ca="1" si="27"/>
        <v>0</v>
      </c>
      <c r="I51" s="34">
        <f t="shared" ca="1" si="27"/>
        <v>0</v>
      </c>
      <c r="J51" s="34">
        <f t="shared" ca="1" si="27"/>
        <v>0</v>
      </c>
      <c r="K51" s="34">
        <f t="shared" ca="1" si="27"/>
        <v>0</v>
      </c>
      <c r="L51" s="34">
        <f t="shared" ca="1" si="27"/>
        <v>0</v>
      </c>
      <c r="M51" s="34">
        <f t="shared" ca="1" si="27"/>
        <v>0</v>
      </c>
      <c r="N51" s="34">
        <f t="shared" ref="N51:X51" ca="1" si="28">SUM(N49:N50)</f>
        <v>0</v>
      </c>
      <c r="O51" s="34">
        <f t="shared" ca="1" si="28"/>
        <v>0</v>
      </c>
      <c r="P51" s="34">
        <f t="shared" ca="1" si="28"/>
        <v>0</v>
      </c>
      <c r="Q51" s="34">
        <f t="shared" ca="1" si="28"/>
        <v>0</v>
      </c>
      <c r="R51" s="34">
        <f t="shared" ca="1" si="28"/>
        <v>0</v>
      </c>
      <c r="S51" s="34">
        <f t="shared" ca="1" si="28"/>
        <v>0</v>
      </c>
      <c r="T51" s="34">
        <f t="shared" ca="1" si="28"/>
        <v>0</v>
      </c>
      <c r="U51" s="34">
        <f t="shared" ca="1" si="28"/>
        <v>0</v>
      </c>
      <c r="V51" s="34">
        <f t="shared" ca="1" si="28"/>
        <v>0</v>
      </c>
      <c r="W51" s="34">
        <f t="shared" ca="1" si="28"/>
        <v>0</v>
      </c>
      <c r="X51" s="34">
        <f t="shared" ca="1" si="28"/>
        <v>0</v>
      </c>
      <c r="Y51" s="34">
        <f ca="1">SUM(Y49:Y50)</f>
        <v>0</v>
      </c>
      <c r="Z51" s="34">
        <f ca="1">SUM(Z49:Z50)</f>
        <v>0</v>
      </c>
      <c r="AA51" s="34">
        <f t="shared" ref="AA51:AK51" ca="1" si="29">SUM(AA49:AA50)</f>
        <v>0</v>
      </c>
      <c r="AB51" s="34">
        <f t="shared" ca="1" si="29"/>
        <v>0</v>
      </c>
      <c r="AC51" s="34">
        <f t="shared" ca="1" si="29"/>
        <v>0</v>
      </c>
      <c r="AD51" s="34">
        <f t="shared" ca="1" si="29"/>
        <v>0</v>
      </c>
      <c r="AE51" s="34">
        <f t="shared" ca="1" si="29"/>
        <v>0</v>
      </c>
      <c r="AF51" s="34">
        <f t="shared" ca="1" si="29"/>
        <v>0</v>
      </c>
      <c r="AG51" s="34">
        <f t="shared" ca="1" si="29"/>
        <v>0</v>
      </c>
      <c r="AH51" s="34">
        <f t="shared" ca="1" si="29"/>
        <v>0</v>
      </c>
      <c r="AI51" s="34">
        <f t="shared" ca="1" si="29"/>
        <v>0</v>
      </c>
      <c r="AJ51" s="34">
        <f t="shared" ca="1" si="29"/>
        <v>0</v>
      </c>
      <c r="AK51" s="34">
        <f t="shared" ca="1" si="29"/>
        <v>0</v>
      </c>
      <c r="AL51" s="34">
        <f ca="1">SUM(AL49:AL50)</f>
        <v>0</v>
      </c>
      <c r="AM51" s="34">
        <f ca="1">SUM(AM49:AM50)</f>
        <v>0</v>
      </c>
      <c r="AN51" s="34">
        <f t="shared" ref="AN51:AX51" ca="1" si="30">SUM(AN49:AN50)</f>
        <v>0</v>
      </c>
      <c r="AO51" s="34">
        <f t="shared" ca="1" si="30"/>
        <v>0</v>
      </c>
      <c r="AP51" s="34">
        <f t="shared" ca="1" si="30"/>
        <v>0</v>
      </c>
      <c r="AQ51" s="34">
        <f t="shared" ca="1" si="30"/>
        <v>0</v>
      </c>
      <c r="AR51" s="34">
        <f t="shared" ca="1" si="30"/>
        <v>0</v>
      </c>
      <c r="AS51" s="34">
        <f t="shared" ca="1" si="30"/>
        <v>0</v>
      </c>
      <c r="AT51" s="34">
        <f t="shared" ca="1" si="30"/>
        <v>0</v>
      </c>
      <c r="AU51" s="34">
        <f t="shared" ca="1" si="30"/>
        <v>0</v>
      </c>
      <c r="AV51" s="34">
        <f t="shared" ca="1" si="30"/>
        <v>0</v>
      </c>
      <c r="AW51" s="34">
        <f t="shared" ca="1" si="30"/>
        <v>0</v>
      </c>
      <c r="AX51" s="34">
        <f t="shared" ca="1" si="30"/>
        <v>0</v>
      </c>
      <c r="AY51" s="34">
        <f ca="1">SUM(AY49:AY50)</f>
        <v>0</v>
      </c>
    </row>
    <row r="52" spans="1:51" ht="15.75" hidden="1" customHeight="1" outlineLevel="2">
      <c r="A52" s="1" t="s">
        <v>159</v>
      </c>
      <c r="C52" s="109"/>
      <c r="E52" s="9" t="str">
        <f ca="1">_xll.DBRW(Server&amp;"}ElementAttributes_Indicator",A52,"code_English")</f>
        <v>PL1115_MF_12 - Subcontracting cleaning (MF)</v>
      </c>
      <c r="F52" s="33">
        <f ca="1">_xll.DBRW($C$1,$C$2,$C$3,$C$4,$C$6,$C$5,$C$7,F$1,F$2,A52)</f>
        <v>0</v>
      </c>
      <c r="G52" s="33">
        <f ca="1">_xll.DBRW($C$1,$C$2,$C$3,$C$4,$C$6,$C$5,$C$7,G$1,G$2,A52)</f>
        <v>0</v>
      </c>
      <c r="H52" s="33">
        <f ca="1">_xll.DBRW($C$1,$C$2,$C$3,$C$4,$C$6,$C$5,$C$7,H$1,H$2,A52)</f>
        <v>0</v>
      </c>
      <c r="I52" s="33">
        <f ca="1">_xll.DBRW($C$1,$C$2,$C$3,$C$4,$C$6,$C$5,$C$7,I$1,I$2,A52)</f>
        <v>0</v>
      </c>
      <c r="J52" s="33">
        <f ca="1">_xll.DBRW($C$1,$C$2,$C$3,$C$4,$C$6,$C$5,$C$7,J$1,J$2,A52)</f>
        <v>0</v>
      </c>
      <c r="K52" s="33">
        <f ca="1">_xll.DBRW($C$1,$C$2,$C$3,$C$4,$C$6,$C$5,$C$7,K$1,K$2,A52)</f>
        <v>0</v>
      </c>
      <c r="L52" s="33">
        <f ca="1">_xll.DBRW($C$1,$C$2,$C$3,$C$4,$C$6,$C$5,$C$7,L$1,L$2,A52)</f>
        <v>0</v>
      </c>
      <c r="M52" s="33">
        <f ca="1">_xll.DBRW($C$1,$C$2,$C$3,$C$4,$C$6,$C$5,$C$7,M$1,M$2,A52)</f>
        <v>0</v>
      </c>
      <c r="N52" s="33">
        <f ca="1">_xll.DBRW($C$1,$C$2,$C$3,$C$4,$C$6,$C$5,$C$7,N$1,N$2,A52)</f>
        <v>0</v>
      </c>
      <c r="O52" s="33">
        <f ca="1">_xll.DBRW($C$1,$C$2,$C$3,$C$4,$C$6,$C$5,$C$7,O$1,O$2,A52)</f>
        <v>0</v>
      </c>
      <c r="P52" s="33">
        <f ca="1">_xll.DBRW($C$1,$C$2,$C$3,$C$4,$C$6,$C$5,$C$7,P$1,P$2,A52)</f>
        <v>0</v>
      </c>
      <c r="Q52" s="33">
        <f ca="1">_xll.DBRW($C$1,$C$2,$C$3,$C$4,$C$6,$C$5,$C$7,Q$1,Q$2,A52)</f>
        <v>0</v>
      </c>
      <c r="R52" s="33">
        <f ca="1">_xll.DBRW($C$1,$C$2,$C$3,$C$4,$C$6,$C$5,$C$7,R$1,R$2,A52)</f>
        <v>0</v>
      </c>
      <c r="S52" s="33">
        <f ca="1">_xll.DBRW($C$1,$C$2,$C$3,$C$4,$C$6,$C$5,$C$7,S$1,S$2,A52)</f>
        <v>0</v>
      </c>
      <c r="T52" s="33">
        <f ca="1">_xll.DBRW($C$1,$C$2,$C$3,$C$4,$C$6,$C$5,$C$7,T$1,T$2,A52)</f>
        <v>0</v>
      </c>
      <c r="U52" s="33">
        <f ca="1">_xll.DBRW($C$1,$C$2,$C$3,$C$4,$C$6,$C$5,$C$7,U$1,U$2,A52)</f>
        <v>0</v>
      </c>
      <c r="V52" s="33">
        <f ca="1">_xll.DBRW($C$1,$C$2,$C$3,$C$4,$C$6,$C$5,$C$7,V$1,V$2,A52)</f>
        <v>0</v>
      </c>
      <c r="W52" s="33">
        <f ca="1">_xll.DBRW($C$1,$C$2,$C$3,$C$4,$C$6,$C$5,$C$7,W$1,W$2,A52)</f>
        <v>0</v>
      </c>
      <c r="X52" s="33">
        <f ca="1">_xll.DBRW($C$1,$C$2,$C$3,$C$4,$C$6,$C$5,$C$7,X$1,X$2,A52)</f>
        <v>0</v>
      </c>
      <c r="Y52" s="33">
        <f ca="1">_xll.DBRW($C$1,$C$2,$C$3,$C$4,$C$6,$C$5,$C$7,Y$1,Y$2,A52)</f>
        <v>0</v>
      </c>
      <c r="Z52" s="33">
        <f ca="1">_xll.DBRW($C$1,$C$2,$C$3,$C$4,$C$6,$C$5,$C$7,Z$1,Z$2,A52)</f>
        <v>0</v>
      </c>
      <c r="AA52" s="33">
        <f ca="1">_xll.DBRW($C$1,$C$2,$C$3,$C$4,$C$6,$C$5,$C$7,AA$1,AA$2,A52)</f>
        <v>0</v>
      </c>
      <c r="AB52" s="33">
        <f ca="1">_xll.DBRW($C$1,$C$2,$C$3,$C$4,$C$6,$C$5,$C$7,AB$1,AB$2,A52)</f>
        <v>0</v>
      </c>
      <c r="AC52" s="33">
        <f ca="1">_xll.DBRW($C$1,$C$2,$C$3,$C$4,$C$6,$C$5,$C$7,AC$1,AC$2,A52)</f>
        <v>0</v>
      </c>
      <c r="AD52" s="33">
        <f ca="1">_xll.DBRW($C$1,$C$2,$C$3,$C$4,$C$6,$C$5,$C$7,AD$1,AD$2,A52)</f>
        <v>0</v>
      </c>
      <c r="AE52" s="33">
        <f ca="1">_xll.DBRW($C$1,$C$2,$C$3,$C$4,$C$6,$C$5,$C$7,AE$1,AE$2,A52)</f>
        <v>0</v>
      </c>
      <c r="AF52" s="33">
        <f ca="1">_xll.DBRW($C$1,$C$2,$C$3,$C$4,$C$6,$C$5,$C$7,AF$1,AF$2,A52)</f>
        <v>0</v>
      </c>
      <c r="AG52" s="33">
        <f ca="1">_xll.DBRW($C$1,$C$2,$C$3,$C$4,$C$6,$C$5,$C$7,AG$1,AG$2,A52)</f>
        <v>0</v>
      </c>
      <c r="AH52" s="33">
        <f ca="1">_xll.DBRW($C$1,$C$2,$C$3,$C$4,$C$6,$C$5,$C$7,AH$1,AH$2,A52)</f>
        <v>0</v>
      </c>
      <c r="AI52" s="33">
        <f ca="1">_xll.DBRW($C$1,$C$2,$C$3,$C$4,$C$6,$C$5,$C$7,AI$1,AI$2,A52)</f>
        <v>0</v>
      </c>
      <c r="AJ52" s="33">
        <f ca="1">_xll.DBRW($C$1,$C$2,$C$3,$C$4,$C$6,$C$5,$C$7,AJ$1,AJ$2,A52)</f>
        <v>0</v>
      </c>
      <c r="AK52" s="33">
        <f ca="1">_xll.DBRW($C$1,$C$2,$C$3,$C$4,$C$6,$C$5,$C$7,AK$1,AK$2,A52)</f>
        <v>0</v>
      </c>
      <c r="AL52" s="33">
        <f ca="1">_xll.DBRW($C$1,$C$2,$C$3,$C$4,$C$6,$C$5,$C$7,AL$1,AL$2,A52)</f>
        <v>0</v>
      </c>
      <c r="AM52" s="33">
        <f ca="1">_xll.DBRW($C$1,$C$2,$C$3,$C$4,$C$6,$C$5,$C$7,AM$1,AM$2,A52)</f>
        <v>0</v>
      </c>
      <c r="AN52" s="33">
        <f ca="1">_xll.DBRW($C$1,$C$2,$C$3,$C$4,$C$6,$C$5,$C$7,AN$1,AN$2,A52)</f>
        <v>0</v>
      </c>
      <c r="AO52" s="33">
        <f ca="1">_xll.DBRW($C$1,$C$2,$C$3,$C$4,$C$6,$C$5,$C$7,AO$1,AO$2,A52)</f>
        <v>0</v>
      </c>
      <c r="AP52" s="33">
        <f ca="1">_xll.DBRW($C$1,$C$2,$C$3,$C$4,$C$6,$C$5,$C$7,AP$1,AP$2,A52)</f>
        <v>0</v>
      </c>
      <c r="AQ52" s="33">
        <f ca="1">_xll.DBRW($C$1,$C$2,$C$3,$C$4,$C$6,$C$5,$C$7,AQ$1,AQ$2,A52)</f>
        <v>0</v>
      </c>
      <c r="AR52" s="33">
        <f ca="1">_xll.DBRW($C$1,$C$2,$C$3,$C$4,$C$6,$C$5,$C$7,AR$1,AR$2,A52)</f>
        <v>0</v>
      </c>
      <c r="AS52" s="33">
        <f ca="1">_xll.DBRW($C$1,$C$2,$C$3,$C$4,$C$6,$C$5,$C$7,AS$1,AS$2,A52)</f>
        <v>0</v>
      </c>
      <c r="AT52" s="33">
        <f ca="1">_xll.DBRW($C$1,$C$2,$C$3,$C$4,$C$6,$C$5,$C$7,AT$1,AT$2,A52)</f>
        <v>0</v>
      </c>
      <c r="AU52" s="33">
        <f ca="1">_xll.DBRW($C$1,$C$2,$C$3,$C$4,$C$6,$C$5,$C$7,AU$1,AU$2,A52)</f>
        <v>0</v>
      </c>
      <c r="AV52" s="33">
        <f ca="1">_xll.DBRW($C$1,$C$2,$C$3,$C$4,$C$6,$C$5,$C$7,AV$1,AV$2,A52)</f>
        <v>0</v>
      </c>
      <c r="AW52" s="33">
        <f ca="1">_xll.DBRW($C$1,$C$2,$C$3,$C$4,$C$6,$C$5,$C$7,AW$1,AW$2,A52)</f>
        <v>0</v>
      </c>
      <c r="AX52" s="33">
        <f ca="1">_xll.DBRW($C$1,$C$2,$C$3,$C$4,$C$6,$C$5,$C$7,AX$1,AX$2,A52)</f>
        <v>0</v>
      </c>
      <c r="AY52" s="33">
        <f ca="1">_xll.DBRW($C$1,$C$2,$C$3,$C$4,$C$6,$C$5,$C$7,AY$1,AY$2,A52)</f>
        <v>0</v>
      </c>
    </row>
    <row r="53" spans="1:51" ht="15.5" hidden="1" outlineLevel="1" collapsed="1">
      <c r="A53" s="1" t="s">
        <v>142</v>
      </c>
      <c r="C53" s="109"/>
      <c r="E53" s="15" t="s">
        <v>25</v>
      </c>
      <c r="F53" s="34">
        <f t="shared" ref="F53:L53" ca="1" si="31">SUM(F52)</f>
        <v>0</v>
      </c>
      <c r="G53" s="34">
        <f t="shared" ca="1" si="31"/>
        <v>0</v>
      </c>
      <c r="H53" s="34">
        <f t="shared" ca="1" si="31"/>
        <v>0</v>
      </c>
      <c r="I53" s="34">
        <f t="shared" ca="1" si="31"/>
        <v>0</v>
      </c>
      <c r="J53" s="34">
        <f t="shared" ca="1" si="31"/>
        <v>0</v>
      </c>
      <c r="K53" s="34">
        <f t="shared" ca="1" si="31"/>
        <v>0</v>
      </c>
      <c r="L53" s="34">
        <f t="shared" ca="1" si="31"/>
        <v>0</v>
      </c>
      <c r="M53" s="34">
        <f t="shared" ref="M53:X53" ca="1" si="32">SUM(M52)</f>
        <v>0</v>
      </c>
      <c r="N53" s="34">
        <f t="shared" ca="1" si="32"/>
        <v>0</v>
      </c>
      <c r="O53" s="34">
        <f t="shared" ca="1" si="32"/>
        <v>0</v>
      </c>
      <c r="P53" s="34">
        <f t="shared" ca="1" si="32"/>
        <v>0</v>
      </c>
      <c r="Q53" s="34">
        <f t="shared" ca="1" si="32"/>
        <v>0</v>
      </c>
      <c r="R53" s="34">
        <f t="shared" ca="1" si="32"/>
        <v>0</v>
      </c>
      <c r="S53" s="34">
        <f t="shared" ca="1" si="32"/>
        <v>0</v>
      </c>
      <c r="T53" s="34">
        <f t="shared" ca="1" si="32"/>
        <v>0</v>
      </c>
      <c r="U53" s="34">
        <f t="shared" ca="1" si="32"/>
        <v>0</v>
      </c>
      <c r="V53" s="34">
        <f t="shared" ca="1" si="32"/>
        <v>0</v>
      </c>
      <c r="W53" s="34">
        <f t="shared" ca="1" si="32"/>
        <v>0</v>
      </c>
      <c r="X53" s="34">
        <f t="shared" ca="1" si="32"/>
        <v>0</v>
      </c>
      <c r="Y53" s="34">
        <f ca="1">SUM(Y52)</f>
        <v>0</v>
      </c>
      <c r="Z53" s="34">
        <f t="shared" ref="Z53:AK53" ca="1" si="33">SUM(Z52)</f>
        <v>0</v>
      </c>
      <c r="AA53" s="34">
        <f t="shared" ca="1" si="33"/>
        <v>0</v>
      </c>
      <c r="AB53" s="34">
        <f t="shared" ca="1" si="33"/>
        <v>0</v>
      </c>
      <c r="AC53" s="34">
        <f t="shared" ca="1" si="33"/>
        <v>0</v>
      </c>
      <c r="AD53" s="34">
        <f t="shared" ca="1" si="33"/>
        <v>0</v>
      </c>
      <c r="AE53" s="34">
        <f t="shared" ca="1" si="33"/>
        <v>0</v>
      </c>
      <c r="AF53" s="34">
        <f t="shared" ca="1" si="33"/>
        <v>0</v>
      </c>
      <c r="AG53" s="34">
        <f t="shared" ca="1" si="33"/>
        <v>0</v>
      </c>
      <c r="AH53" s="34">
        <f t="shared" ca="1" si="33"/>
        <v>0</v>
      </c>
      <c r="AI53" s="34">
        <f t="shared" ca="1" si="33"/>
        <v>0</v>
      </c>
      <c r="AJ53" s="34">
        <f t="shared" ca="1" si="33"/>
        <v>0</v>
      </c>
      <c r="AK53" s="34">
        <f t="shared" ca="1" si="33"/>
        <v>0</v>
      </c>
      <c r="AL53" s="34">
        <f ca="1">SUM(AL52)</f>
        <v>0</v>
      </c>
      <c r="AM53" s="34">
        <f t="shared" ref="AM53:AX53" ca="1" si="34">SUM(AM52)</f>
        <v>0</v>
      </c>
      <c r="AN53" s="34">
        <f t="shared" ca="1" si="34"/>
        <v>0</v>
      </c>
      <c r="AO53" s="34">
        <f t="shared" ca="1" si="34"/>
        <v>0</v>
      </c>
      <c r="AP53" s="34">
        <f t="shared" ca="1" si="34"/>
        <v>0</v>
      </c>
      <c r="AQ53" s="34">
        <f t="shared" ca="1" si="34"/>
        <v>0</v>
      </c>
      <c r="AR53" s="34">
        <f t="shared" ca="1" si="34"/>
        <v>0</v>
      </c>
      <c r="AS53" s="34">
        <f t="shared" ca="1" si="34"/>
        <v>0</v>
      </c>
      <c r="AT53" s="34">
        <f t="shared" ca="1" si="34"/>
        <v>0</v>
      </c>
      <c r="AU53" s="34">
        <f t="shared" ca="1" si="34"/>
        <v>0</v>
      </c>
      <c r="AV53" s="34">
        <f t="shared" ca="1" si="34"/>
        <v>0</v>
      </c>
      <c r="AW53" s="34">
        <f t="shared" ca="1" si="34"/>
        <v>0</v>
      </c>
      <c r="AX53" s="34">
        <f t="shared" ca="1" si="34"/>
        <v>0</v>
      </c>
      <c r="AY53" s="34">
        <f ca="1">SUM(AY52)</f>
        <v>0</v>
      </c>
    </row>
    <row r="54" spans="1:51" ht="15.75" hidden="1" customHeight="1" outlineLevel="2">
      <c r="A54" s="1" t="s">
        <v>160</v>
      </c>
      <c r="C54" s="109"/>
      <c r="E54" s="9" t="str">
        <f ca="1">_xll.DBRW(Server&amp;"}ElementAttributes_Indicator",A54,"code_English")</f>
        <v>PL1115_MF_30 - Spare parts for maintenance of rolling stock</v>
      </c>
      <c r="F54" s="33">
        <f ca="1">_xll.DBRW($C$1,$C$2,$C$3,$C$4,$C$6,$C$5,$C$7,F$1,F$2,A54)</f>
        <v>0</v>
      </c>
      <c r="G54" s="33">
        <f ca="1">_xll.DBRW($C$1,$C$2,$C$3,$C$4,$C$6,$C$5,$C$7,G$1,G$2,A54)</f>
        <v>0</v>
      </c>
      <c r="H54" s="33">
        <f ca="1">_xll.DBRW($C$1,$C$2,$C$3,$C$4,$C$6,$C$5,$C$7,H$1,H$2,A54)</f>
        <v>0</v>
      </c>
      <c r="I54" s="33">
        <f ca="1">_xll.DBRW($C$1,$C$2,$C$3,$C$4,$C$6,$C$5,$C$7,I$1,I$2,A54)</f>
        <v>0</v>
      </c>
      <c r="J54" s="33">
        <f ca="1">_xll.DBRW($C$1,$C$2,$C$3,$C$4,$C$6,$C$5,$C$7,J$1,J$2,A54)</f>
        <v>0</v>
      </c>
      <c r="K54" s="33">
        <f ca="1">_xll.DBRW($C$1,$C$2,$C$3,$C$4,$C$6,$C$5,$C$7,K$1,K$2,A54)</f>
        <v>0</v>
      </c>
      <c r="L54" s="33">
        <f ca="1">_xll.DBRW($C$1,$C$2,$C$3,$C$4,$C$6,$C$5,$C$7,L$1,L$2,A54)</f>
        <v>0</v>
      </c>
      <c r="M54" s="33">
        <f ca="1">_xll.DBRW($C$1,$C$2,$C$3,$C$4,$C$6,$C$5,$C$7,M$1,M$2,A54)</f>
        <v>0</v>
      </c>
      <c r="N54" s="33">
        <f ca="1">_xll.DBRW($C$1,$C$2,$C$3,$C$4,$C$6,$C$5,$C$7,N$1,N$2,A54)</f>
        <v>0</v>
      </c>
      <c r="O54" s="33">
        <f ca="1">_xll.DBRW($C$1,$C$2,$C$3,$C$4,$C$6,$C$5,$C$7,O$1,O$2,A54)</f>
        <v>0</v>
      </c>
      <c r="P54" s="33">
        <f ca="1">_xll.DBRW($C$1,$C$2,$C$3,$C$4,$C$6,$C$5,$C$7,P$1,P$2,A54)</f>
        <v>0</v>
      </c>
      <c r="Q54" s="33">
        <f ca="1">_xll.DBRW($C$1,$C$2,$C$3,$C$4,$C$6,$C$5,$C$7,Q$1,Q$2,A54)</f>
        <v>0</v>
      </c>
      <c r="R54" s="33">
        <f ca="1">_xll.DBRW($C$1,$C$2,$C$3,$C$4,$C$6,$C$5,$C$7,R$1,R$2,A54)</f>
        <v>0</v>
      </c>
      <c r="S54" s="33">
        <f ca="1">_xll.DBRW($C$1,$C$2,$C$3,$C$4,$C$6,$C$5,$C$7,S$1,S$2,A54)</f>
        <v>0</v>
      </c>
      <c r="T54" s="33">
        <f ca="1">_xll.DBRW($C$1,$C$2,$C$3,$C$4,$C$6,$C$5,$C$7,T$1,T$2,A54)</f>
        <v>0</v>
      </c>
      <c r="U54" s="33">
        <f ca="1">_xll.DBRW($C$1,$C$2,$C$3,$C$4,$C$6,$C$5,$C$7,U$1,U$2,A54)</f>
        <v>0</v>
      </c>
      <c r="V54" s="33">
        <f ca="1">_xll.DBRW($C$1,$C$2,$C$3,$C$4,$C$6,$C$5,$C$7,V$1,V$2,A54)</f>
        <v>0</v>
      </c>
      <c r="W54" s="33">
        <f ca="1">_xll.DBRW($C$1,$C$2,$C$3,$C$4,$C$6,$C$5,$C$7,W$1,W$2,A54)</f>
        <v>0</v>
      </c>
      <c r="X54" s="33">
        <f ca="1">_xll.DBRW($C$1,$C$2,$C$3,$C$4,$C$6,$C$5,$C$7,X$1,X$2,A54)</f>
        <v>0</v>
      </c>
      <c r="Y54" s="33">
        <f ca="1">_xll.DBRW($C$1,$C$2,$C$3,$C$4,$C$6,$C$5,$C$7,Y$1,Y$2,A54)</f>
        <v>0</v>
      </c>
      <c r="Z54" s="33">
        <f ca="1">_xll.DBRW($C$1,$C$2,$C$3,$C$4,$C$6,$C$5,$C$7,Z$1,Z$2,A54)</f>
        <v>0</v>
      </c>
      <c r="AA54" s="33">
        <f ca="1">_xll.DBRW($C$1,$C$2,$C$3,$C$4,$C$6,$C$5,$C$7,AA$1,AA$2,A54)</f>
        <v>0</v>
      </c>
      <c r="AB54" s="33">
        <f ca="1">_xll.DBRW($C$1,$C$2,$C$3,$C$4,$C$6,$C$5,$C$7,AB$1,AB$2,A54)</f>
        <v>0</v>
      </c>
      <c r="AC54" s="33">
        <f ca="1">_xll.DBRW($C$1,$C$2,$C$3,$C$4,$C$6,$C$5,$C$7,AC$1,AC$2,A54)</f>
        <v>0</v>
      </c>
      <c r="AD54" s="33">
        <f ca="1">_xll.DBRW($C$1,$C$2,$C$3,$C$4,$C$6,$C$5,$C$7,AD$1,AD$2,A54)</f>
        <v>0</v>
      </c>
      <c r="AE54" s="33">
        <f ca="1">_xll.DBRW($C$1,$C$2,$C$3,$C$4,$C$6,$C$5,$C$7,AE$1,AE$2,A54)</f>
        <v>0</v>
      </c>
      <c r="AF54" s="33">
        <f ca="1">_xll.DBRW($C$1,$C$2,$C$3,$C$4,$C$6,$C$5,$C$7,AF$1,AF$2,A54)</f>
        <v>0</v>
      </c>
      <c r="AG54" s="33">
        <f ca="1">_xll.DBRW($C$1,$C$2,$C$3,$C$4,$C$6,$C$5,$C$7,AG$1,AG$2,A54)</f>
        <v>0</v>
      </c>
      <c r="AH54" s="33">
        <f ca="1">_xll.DBRW($C$1,$C$2,$C$3,$C$4,$C$6,$C$5,$C$7,AH$1,AH$2,A54)</f>
        <v>0</v>
      </c>
      <c r="AI54" s="33">
        <f ca="1">_xll.DBRW($C$1,$C$2,$C$3,$C$4,$C$6,$C$5,$C$7,AI$1,AI$2,A54)</f>
        <v>0</v>
      </c>
      <c r="AJ54" s="33">
        <f ca="1">_xll.DBRW($C$1,$C$2,$C$3,$C$4,$C$6,$C$5,$C$7,AJ$1,AJ$2,A54)</f>
        <v>0</v>
      </c>
      <c r="AK54" s="33">
        <f ca="1">_xll.DBRW($C$1,$C$2,$C$3,$C$4,$C$6,$C$5,$C$7,AK$1,AK$2,A54)</f>
        <v>0</v>
      </c>
      <c r="AL54" s="33">
        <f ca="1">_xll.DBRW($C$1,$C$2,$C$3,$C$4,$C$6,$C$5,$C$7,AL$1,AL$2,A54)</f>
        <v>0</v>
      </c>
      <c r="AM54" s="33">
        <f ca="1">_xll.DBRW($C$1,$C$2,$C$3,$C$4,$C$6,$C$5,$C$7,AM$1,AM$2,A54)</f>
        <v>0</v>
      </c>
      <c r="AN54" s="33">
        <f ca="1">_xll.DBRW($C$1,$C$2,$C$3,$C$4,$C$6,$C$5,$C$7,AN$1,AN$2,A54)</f>
        <v>0</v>
      </c>
      <c r="AO54" s="33">
        <f ca="1">_xll.DBRW($C$1,$C$2,$C$3,$C$4,$C$6,$C$5,$C$7,AO$1,AO$2,A54)</f>
        <v>0</v>
      </c>
      <c r="AP54" s="33">
        <f ca="1">_xll.DBRW($C$1,$C$2,$C$3,$C$4,$C$6,$C$5,$C$7,AP$1,AP$2,A54)</f>
        <v>0</v>
      </c>
      <c r="AQ54" s="33">
        <f ca="1">_xll.DBRW($C$1,$C$2,$C$3,$C$4,$C$6,$C$5,$C$7,AQ$1,AQ$2,A54)</f>
        <v>0</v>
      </c>
      <c r="AR54" s="33">
        <f ca="1">_xll.DBRW($C$1,$C$2,$C$3,$C$4,$C$6,$C$5,$C$7,AR$1,AR$2,A54)</f>
        <v>0</v>
      </c>
      <c r="AS54" s="33">
        <f ca="1">_xll.DBRW($C$1,$C$2,$C$3,$C$4,$C$6,$C$5,$C$7,AS$1,AS$2,A54)</f>
        <v>0</v>
      </c>
      <c r="AT54" s="33">
        <f ca="1">_xll.DBRW($C$1,$C$2,$C$3,$C$4,$C$6,$C$5,$C$7,AT$1,AT$2,A54)</f>
        <v>0</v>
      </c>
      <c r="AU54" s="33">
        <f ca="1">_xll.DBRW($C$1,$C$2,$C$3,$C$4,$C$6,$C$5,$C$7,AU$1,AU$2,A54)</f>
        <v>0</v>
      </c>
      <c r="AV54" s="33">
        <f ca="1">_xll.DBRW($C$1,$C$2,$C$3,$C$4,$C$6,$C$5,$C$7,AV$1,AV$2,A54)</f>
        <v>0</v>
      </c>
      <c r="AW54" s="33">
        <f ca="1">_xll.DBRW($C$1,$C$2,$C$3,$C$4,$C$6,$C$5,$C$7,AW$1,AW$2,A54)</f>
        <v>0</v>
      </c>
      <c r="AX54" s="33">
        <f ca="1">_xll.DBRW($C$1,$C$2,$C$3,$C$4,$C$6,$C$5,$C$7,AX$1,AX$2,A54)</f>
        <v>0</v>
      </c>
      <c r="AY54" s="33">
        <f ca="1">_xll.DBRW($C$1,$C$2,$C$3,$C$4,$C$6,$C$5,$C$7,AY$1,AY$2,A54)</f>
        <v>0</v>
      </c>
    </row>
    <row r="55" spans="1:51" ht="15.5" hidden="1" outlineLevel="1" collapsed="1">
      <c r="A55" s="1" t="s">
        <v>142</v>
      </c>
      <c r="C55" s="109"/>
      <c r="E55" s="15" t="s">
        <v>26</v>
      </c>
      <c r="F55" s="34">
        <f t="shared" ref="F55:L55" ca="1" si="35">SUM(F54)</f>
        <v>0</v>
      </c>
      <c r="G55" s="34">
        <f t="shared" ca="1" si="35"/>
        <v>0</v>
      </c>
      <c r="H55" s="34">
        <f t="shared" ca="1" si="35"/>
        <v>0</v>
      </c>
      <c r="I55" s="34">
        <f t="shared" ca="1" si="35"/>
        <v>0</v>
      </c>
      <c r="J55" s="34">
        <f t="shared" ca="1" si="35"/>
        <v>0</v>
      </c>
      <c r="K55" s="34">
        <f t="shared" ca="1" si="35"/>
        <v>0</v>
      </c>
      <c r="L55" s="34">
        <f t="shared" ca="1" si="35"/>
        <v>0</v>
      </c>
      <c r="M55" s="34">
        <f t="shared" ref="M55:X55" ca="1" si="36">SUM(M54)</f>
        <v>0</v>
      </c>
      <c r="N55" s="34">
        <f t="shared" ca="1" si="36"/>
        <v>0</v>
      </c>
      <c r="O55" s="34">
        <f t="shared" ca="1" si="36"/>
        <v>0</v>
      </c>
      <c r="P55" s="34">
        <f t="shared" ca="1" si="36"/>
        <v>0</v>
      </c>
      <c r="Q55" s="34">
        <f t="shared" ca="1" si="36"/>
        <v>0</v>
      </c>
      <c r="R55" s="34">
        <f t="shared" ca="1" si="36"/>
        <v>0</v>
      </c>
      <c r="S55" s="34">
        <f t="shared" ca="1" si="36"/>
        <v>0</v>
      </c>
      <c r="T55" s="34">
        <f t="shared" ca="1" si="36"/>
        <v>0</v>
      </c>
      <c r="U55" s="34">
        <f t="shared" ca="1" si="36"/>
        <v>0</v>
      </c>
      <c r="V55" s="34">
        <f t="shared" ca="1" si="36"/>
        <v>0</v>
      </c>
      <c r="W55" s="34">
        <f t="shared" ca="1" si="36"/>
        <v>0</v>
      </c>
      <c r="X55" s="34">
        <f t="shared" ca="1" si="36"/>
        <v>0</v>
      </c>
      <c r="Y55" s="34">
        <f ca="1">SUM(Y54)</f>
        <v>0</v>
      </c>
      <c r="Z55" s="34">
        <f t="shared" ref="Z55:AK55" ca="1" si="37">SUM(Z54)</f>
        <v>0</v>
      </c>
      <c r="AA55" s="34">
        <f t="shared" ca="1" si="37"/>
        <v>0</v>
      </c>
      <c r="AB55" s="34">
        <f t="shared" ca="1" si="37"/>
        <v>0</v>
      </c>
      <c r="AC55" s="34">
        <f t="shared" ca="1" si="37"/>
        <v>0</v>
      </c>
      <c r="AD55" s="34">
        <f t="shared" ca="1" si="37"/>
        <v>0</v>
      </c>
      <c r="AE55" s="34">
        <f t="shared" ca="1" si="37"/>
        <v>0</v>
      </c>
      <c r="AF55" s="34">
        <f t="shared" ca="1" si="37"/>
        <v>0</v>
      </c>
      <c r="AG55" s="34">
        <f t="shared" ca="1" si="37"/>
        <v>0</v>
      </c>
      <c r="AH55" s="34">
        <f t="shared" ca="1" si="37"/>
        <v>0</v>
      </c>
      <c r="AI55" s="34">
        <f t="shared" ca="1" si="37"/>
        <v>0</v>
      </c>
      <c r="AJ55" s="34">
        <f t="shared" ca="1" si="37"/>
        <v>0</v>
      </c>
      <c r="AK55" s="34">
        <f t="shared" ca="1" si="37"/>
        <v>0</v>
      </c>
      <c r="AL55" s="34">
        <f ca="1">SUM(AL54)</f>
        <v>0</v>
      </c>
      <c r="AM55" s="34">
        <f t="shared" ref="AM55:AX55" ca="1" si="38">SUM(AM54)</f>
        <v>0</v>
      </c>
      <c r="AN55" s="34">
        <f t="shared" ca="1" si="38"/>
        <v>0</v>
      </c>
      <c r="AO55" s="34">
        <f t="shared" ca="1" si="38"/>
        <v>0</v>
      </c>
      <c r="AP55" s="34">
        <f t="shared" ca="1" si="38"/>
        <v>0</v>
      </c>
      <c r="AQ55" s="34">
        <f t="shared" ca="1" si="38"/>
        <v>0</v>
      </c>
      <c r="AR55" s="34">
        <f t="shared" ca="1" si="38"/>
        <v>0</v>
      </c>
      <c r="AS55" s="34">
        <f t="shared" ca="1" si="38"/>
        <v>0</v>
      </c>
      <c r="AT55" s="34">
        <f t="shared" ca="1" si="38"/>
        <v>0</v>
      </c>
      <c r="AU55" s="34">
        <f t="shared" ca="1" si="38"/>
        <v>0</v>
      </c>
      <c r="AV55" s="34">
        <f t="shared" ca="1" si="38"/>
        <v>0</v>
      </c>
      <c r="AW55" s="34">
        <f t="shared" ca="1" si="38"/>
        <v>0</v>
      </c>
      <c r="AX55" s="34">
        <f t="shared" ca="1" si="38"/>
        <v>0</v>
      </c>
      <c r="AY55" s="34">
        <f ca="1">SUM(AY54)</f>
        <v>0</v>
      </c>
    </row>
    <row r="56" spans="1:51" ht="15.75" hidden="1" customHeight="1" outlineLevel="2">
      <c r="A56" s="1" t="s">
        <v>161</v>
      </c>
      <c r="C56" s="109"/>
      <c r="E56" s="9" t="str">
        <f ca="1">_xll.DBRW(Server&amp;"}ElementAttributes_Indicator",A56,"code_English")</f>
        <v>PL1115_MF_31 - Tyres</v>
      </c>
      <c r="F56" s="33">
        <f ca="1">_xll.DBRW($C$1,$C$2,$C$3,$C$4,$C$6,$C$5,$C$7,F$1,F$2,A56)</f>
        <v>0</v>
      </c>
      <c r="G56" s="33">
        <f ca="1">_xll.DBRW($C$1,$C$2,$C$3,$C$4,$C$6,$C$5,$C$7,G$1,G$2,A56)</f>
        <v>0</v>
      </c>
      <c r="H56" s="33">
        <f ca="1">_xll.DBRW($C$1,$C$2,$C$3,$C$4,$C$6,$C$5,$C$7,H$1,H$2,A56)</f>
        <v>0</v>
      </c>
      <c r="I56" s="33">
        <f ca="1">_xll.DBRW($C$1,$C$2,$C$3,$C$4,$C$6,$C$5,$C$7,I$1,I$2,A56)</f>
        <v>0</v>
      </c>
      <c r="J56" s="33">
        <f ca="1">_xll.DBRW($C$1,$C$2,$C$3,$C$4,$C$6,$C$5,$C$7,J$1,J$2,A56)</f>
        <v>0</v>
      </c>
      <c r="K56" s="33">
        <f ca="1">_xll.DBRW($C$1,$C$2,$C$3,$C$4,$C$6,$C$5,$C$7,K$1,K$2,A56)</f>
        <v>0</v>
      </c>
      <c r="L56" s="33">
        <f ca="1">_xll.DBRW($C$1,$C$2,$C$3,$C$4,$C$6,$C$5,$C$7,L$1,L$2,A56)</f>
        <v>0</v>
      </c>
      <c r="M56" s="33">
        <f ca="1">_xll.DBRW($C$1,$C$2,$C$3,$C$4,$C$6,$C$5,$C$7,M$1,M$2,A56)</f>
        <v>0</v>
      </c>
      <c r="N56" s="33">
        <f ca="1">_xll.DBRW($C$1,$C$2,$C$3,$C$4,$C$6,$C$5,$C$7,N$1,N$2,A56)</f>
        <v>0</v>
      </c>
      <c r="O56" s="33">
        <f ca="1">_xll.DBRW($C$1,$C$2,$C$3,$C$4,$C$6,$C$5,$C$7,O$1,O$2,A56)</f>
        <v>0</v>
      </c>
      <c r="P56" s="33">
        <f ca="1">_xll.DBRW($C$1,$C$2,$C$3,$C$4,$C$6,$C$5,$C$7,P$1,P$2,A56)</f>
        <v>0</v>
      </c>
      <c r="Q56" s="33">
        <f ca="1">_xll.DBRW($C$1,$C$2,$C$3,$C$4,$C$6,$C$5,$C$7,Q$1,Q$2,A56)</f>
        <v>0</v>
      </c>
      <c r="R56" s="33">
        <f ca="1">_xll.DBRW($C$1,$C$2,$C$3,$C$4,$C$6,$C$5,$C$7,R$1,R$2,A56)</f>
        <v>0</v>
      </c>
      <c r="S56" s="33">
        <f ca="1">_xll.DBRW($C$1,$C$2,$C$3,$C$4,$C$6,$C$5,$C$7,S$1,S$2,A56)</f>
        <v>0</v>
      </c>
      <c r="T56" s="33">
        <f ca="1">_xll.DBRW($C$1,$C$2,$C$3,$C$4,$C$6,$C$5,$C$7,T$1,T$2,A56)</f>
        <v>0</v>
      </c>
      <c r="U56" s="33">
        <f ca="1">_xll.DBRW($C$1,$C$2,$C$3,$C$4,$C$6,$C$5,$C$7,U$1,U$2,A56)</f>
        <v>0</v>
      </c>
      <c r="V56" s="33">
        <f ca="1">_xll.DBRW($C$1,$C$2,$C$3,$C$4,$C$6,$C$5,$C$7,V$1,V$2,A56)</f>
        <v>0</v>
      </c>
      <c r="W56" s="33">
        <f ca="1">_xll.DBRW($C$1,$C$2,$C$3,$C$4,$C$6,$C$5,$C$7,W$1,W$2,A56)</f>
        <v>0</v>
      </c>
      <c r="X56" s="33">
        <f ca="1">_xll.DBRW($C$1,$C$2,$C$3,$C$4,$C$6,$C$5,$C$7,X$1,X$2,A56)</f>
        <v>0</v>
      </c>
      <c r="Y56" s="33">
        <f ca="1">_xll.DBRW($C$1,$C$2,$C$3,$C$4,$C$6,$C$5,$C$7,Y$1,Y$2,A56)</f>
        <v>0</v>
      </c>
      <c r="Z56" s="33">
        <f ca="1">_xll.DBRW($C$1,$C$2,$C$3,$C$4,$C$6,$C$5,$C$7,Z$1,Z$2,A56)</f>
        <v>0</v>
      </c>
      <c r="AA56" s="33">
        <f ca="1">_xll.DBRW($C$1,$C$2,$C$3,$C$4,$C$6,$C$5,$C$7,AA$1,AA$2,A56)</f>
        <v>0</v>
      </c>
      <c r="AB56" s="33">
        <f ca="1">_xll.DBRW($C$1,$C$2,$C$3,$C$4,$C$6,$C$5,$C$7,AB$1,AB$2,A56)</f>
        <v>0</v>
      </c>
      <c r="AC56" s="33">
        <f ca="1">_xll.DBRW($C$1,$C$2,$C$3,$C$4,$C$6,$C$5,$C$7,AC$1,AC$2,A56)</f>
        <v>0</v>
      </c>
      <c r="AD56" s="33">
        <f ca="1">_xll.DBRW($C$1,$C$2,$C$3,$C$4,$C$6,$C$5,$C$7,AD$1,AD$2,A56)</f>
        <v>0</v>
      </c>
      <c r="AE56" s="33">
        <f ca="1">_xll.DBRW($C$1,$C$2,$C$3,$C$4,$C$6,$C$5,$C$7,AE$1,AE$2,A56)</f>
        <v>0</v>
      </c>
      <c r="AF56" s="33">
        <f ca="1">_xll.DBRW($C$1,$C$2,$C$3,$C$4,$C$6,$C$5,$C$7,AF$1,AF$2,A56)</f>
        <v>0</v>
      </c>
      <c r="AG56" s="33">
        <f ca="1">_xll.DBRW($C$1,$C$2,$C$3,$C$4,$C$6,$C$5,$C$7,AG$1,AG$2,A56)</f>
        <v>0</v>
      </c>
      <c r="AH56" s="33">
        <f ca="1">_xll.DBRW($C$1,$C$2,$C$3,$C$4,$C$6,$C$5,$C$7,AH$1,AH$2,A56)</f>
        <v>0</v>
      </c>
      <c r="AI56" s="33">
        <f ca="1">_xll.DBRW($C$1,$C$2,$C$3,$C$4,$C$6,$C$5,$C$7,AI$1,AI$2,A56)</f>
        <v>0</v>
      </c>
      <c r="AJ56" s="33">
        <f ca="1">_xll.DBRW($C$1,$C$2,$C$3,$C$4,$C$6,$C$5,$C$7,AJ$1,AJ$2,A56)</f>
        <v>0</v>
      </c>
      <c r="AK56" s="33">
        <f ca="1">_xll.DBRW($C$1,$C$2,$C$3,$C$4,$C$6,$C$5,$C$7,AK$1,AK$2,A56)</f>
        <v>0</v>
      </c>
      <c r="AL56" s="33">
        <f ca="1">_xll.DBRW($C$1,$C$2,$C$3,$C$4,$C$6,$C$5,$C$7,AL$1,AL$2,A56)</f>
        <v>0</v>
      </c>
      <c r="AM56" s="33">
        <f ca="1">_xll.DBRW($C$1,$C$2,$C$3,$C$4,$C$6,$C$5,$C$7,AM$1,AM$2,A56)</f>
        <v>0</v>
      </c>
      <c r="AN56" s="33">
        <f ca="1">_xll.DBRW($C$1,$C$2,$C$3,$C$4,$C$6,$C$5,$C$7,AN$1,AN$2,A56)</f>
        <v>0</v>
      </c>
      <c r="AO56" s="33">
        <f ca="1">_xll.DBRW($C$1,$C$2,$C$3,$C$4,$C$6,$C$5,$C$7,AO$1,AO$2,A56)</f>
        <v>0</v>
      </c>
      <c r="AP56" s="33">
        <f ca="1">_xll.DBRW($C$1,$C$2,$C$3,$C$4,$C$6,$C$5,$C$7,AP$1,AP$2,A56)</f>
        <v>0</v>
      </c>
      <c r="AQ56" s="33">
        <f ca="1">_xll.DBRW($C$1,$C$2,$C$3,$C$4,$C$6,$C$5,$C$7,AQ$1,AQ$2,A56)</f>
        <v>0</v>
      </c>
      <c r="AR56" s="33">
        <f ca="1">_xll.DBRW($C$1,$C$2,$C$3,$C$4,$C$6,$C$5,$C$7,AR$1,AR$2,A56)</f>
        <v>0</v>
      </c>
      <c r="AS56" s="33">
        <f ca="1">_xll.DBRW($C$1,$C$2,$C$3,$C$4,$C$6,$C$5,$C$7,AS$1,AS$2,A56)</f>
        <v>0</v>
      </c>
      <c r="AT56" s="33">
        <f ca="1">_xll.DBRW($C$1,$C$2,$C$3,$C$4,$C$6,$C$5,$C$7,AT$1,AT$2,A56)</f>
        <v>0</v>
      </c>
      <c r="AU56" s="33">
        <f ca="1">_xll.DBRW($C$1,$C$2,$C$3,$C$4,$C$6,$C$5,$C$7,AU$1,AU$2,A56)</f>
        <v>0</v>
      </c>
      <c r="AV56" s="33">
        <f ca="1">_xll.DBRW($C$1,$C$2,$C$3,$C$4,$C$6,$C$5,$C$7,AV$1,AV$2,A56)</f>
        <v>0</v>
      </c>
      <c r="AW56" s="33">
        <f ca="1">_xll.DBRW($C$1,$C$2,$C$3,$C$4,$C$6,$C$5,$C$7,AW$1,AW$2,A56)</f>
        <v>0</v>
      </c>
      <c r="AX56" s="33">
        <f ca="1">_xll.DBRW($C$1,$C$2,$C$3,$C$4,$C$6,$C$5,$C$7,AX$1,AX$2,A56)</f>
        <v>0</v>
      </c>
      <c r="AY56" s="33">
        <f ca="1">_xll.DBRW($C$1,$C$2,$C$3,$C$4,$C$6,$C$5,$C$7,AY$1,AY$2,A56)</f>
        <v>0</v>
      </c>
    </row>
    <row r="57" spans="1:51" ht="15.5" hidden="1" outlineLevel="1" collapsed="1">
      <c r="A57" s="1" t="s">
        <v>161</v>
      </c>
      <c r="C57" s="109"/>
      <c r="E57" s="15" t="s">
        <v>27</v>
      </c>
      <c r="F57" s="34">
        <f t="shared" ref="F57:L57" ca="1" si="39">SUM(F56)</f>
        <v>0</v>
      </c>
      <c r="G57" s="34">
        <f t="shared" ca="1" si="39"/>
        <v>0</v>
      </c>
      <c r="H57" s="34">
        <f t="shared" ca="1" si="39"/>
        <v>0</v>
      </c>
      <c r="I57" s="34">
        <f t="shared" ca="1" si="39"/>
        <v>0</v>
      </c>
      <c r="J57" s="34">
        <f t="shared" ca="1" si="39"/>
        <v>0</v>
      </c>
      <c r="K57" s="34">
        <f t="shared" ca="1" si="39"/>
        <v>0</v>
      </c>
      <c r="L57" s="34">
        <f t="shared" ca="1" si="39"/>
        <v>0</v>
      </c>
      <c r="M57" s="34">
        <f t="shared" ref="M57:X57" ca="1" si="40">SUM(M56)</f>
        <v>0</v>
      </c>
      <c r="N57" s="34">
        <f t="shared" ca="1" si="40"/>
        <v>0</v>
      </c>
      <c r="O57" s="34">
        <f t="shared" ca="1" si="40"/>
        <v>0</v>
      </c>
      <c r="P57" s="34">
        <f t="shared" ca="1" si="40"/>
        <v>0</v>
      </c>
      <c r="Q57" s="34">
        <f t="shared" ca="1" si="40"/>
        <v>0</v>
      </c>
      <c r="R57" s="34">
        <f t="shared" ca="1" si="40"/>
        <v>0</v>
      </c>
      <c r="S57" s="34">
        <f t="shared" ca="1" si="40"/>
        <v>0</v>
      </c>
      <c r="T57" s="34">
        <f t="shared" ca="1" si="40"/>
        <v>0</v>
      </c>
      <c r="U57" s="34">
        <f t="shared" ca="1" si="40"/>
        <v>0</v>
      </c>
      <c r="V57" s="34">
        <f t="shared" ca="1" si="40"/>
        <v>0</v>
      </c>
      <c r="W57" s="34">
        <f t="shared" ca="1" si="40"/>
        <v>0</v>
      </c>
      <c r="X57" s="34">
        <f t="shared" ca="1" si="40"/>
        <v>0</v>
      </c>
      <c r="Y57" s="34">
        <f ca="1">SUM(Y56)</f>
        <v>0</v>
      </c>
      <c r="Z57" s="34">
        <f t="shared" ref="Z57:AK57" ca="1" si="41">SUM(Z56)</f>
        <v>0</v>
      </c>
      <c r="AA57" s="34">
        <f t="shared" ca="1" si="41"/>
        <v>0</v>
      </c>
      <c r="AB57" s="34">
        <f t="shared" ca="1" si="41"/>
        <v>0</v>
      </c>
      <c r="AC57" s="34">
        <f t="shared" ca="1" si="41"/>
        <v>0</v>
      </c>
      <c r="AD57" s="34">
        <f t="shared" ca="1" si="41"/>
        <v>0</v>
      </c>
      <c r="AE57" s="34">
        <f t="shared" ca="1" si="41"/>
        <v>0</v>
      </c>
      <c r="AF57" s="34">
        <f t="shared" ca="1" si="41"/>
        <v>0</v>
      </c>
      <c r="AG57" s="34">
        <f t="shared" ca="1" si="41"/>
        <v>0</v>
      </c>
      <c r="AH57" s="34">
        <f t="shared" ca="1" si="41"/>
        <v>0</v>
      </c>
      <c r="AI57" s="34">
        <f t="shared" ca="1" si="41"/>
        <v>0</v>
      </c>
      <c r="AJ57" s="34">
        <f t="shared" ca="1" si="41"/>
        <v>0</v>
      </c>
      <c r="AK57" s="34">
        <f t="shared" ca="1" si="41"/>
        <v>0</v>
      </c>
      <c r="AL57" s="34">
        <f ca="1">SUM(AL56)</f>
        <v>0</v>
      </c>
      <c r="AM57" s="34">
        <f t="shared" ref="AM57:AX57" ca="1" si="42">SUM(AM56)</f>
        <v>0</v>
      </c>
      <c r="AN57" s="34">
        <f t="shared" ca="1" si="42"/>
        <v>0</v>
      </c>
      <c r="AO57" s="34">
        <f t="shared" ca="1" si="42"/>
        <v>0</v>
      </c>
      <c r="AP57" s="34">
        <f t="shared" ca="1" si="42"/>
        <v>0</v>
      </c>
      <c r="AQ57" s="34">
        <f t="shared" ca="1" si="42"/>
        <v>0</v>
      </c>
      <c r="AR57" s="34">
        <f t="shared" ca="1" si="42"/>
        <v>0</v>
      </c>
      <c r="AS57" s="34">
        <f t="shared" ca="1" si="42"/>
        <v>0</v>
      </c>
      <c r="AT57" s="34">
        <f t="shared" ca="1" si="42"/>
        <v>0</v>
      </c>
      <c r="AU57" s="34">
        <f t="shared" ca="1" si="42"/>
        <v>0</v>
      </c>
      <c r="AV57" s="34">
        <f t="shared" ca="1" si="42"/>
        <v>0</v>
      </c>
      <c r="AW57" s="34">
        <f t="shared" ca="1" si="42"/>
        <v>0</v>
      </c>
      <c r="AX57" s="34">
        <f t="shared" ca="1" si="42"/>
        <v>0</v>
      </c>
      <c r="AY57" s="34">
        <f ca="1">SUM(AY56)</f>
        <v>0</v>
      </c>
    </row>
    <row r="58" spans="1:51" ht="15.75" hidden="1" customHeight="1" outlineLevel="2">
      <c r="A58" s="1" t="s">
        <v>162</v>
      </c>
      <c r="C58" s="109"/>
      <c r="E58" s="9" t="str">
        <f ca="1">_xll.DBRW(Server&amp;"}ElementAttributes_Indicator",A58,"code_English")</f>
        <v>PL1115_MF_32 - Lubricants</v>
      </c>
      <c r="F58" s="33">
        <f ca="1">_xll.DBRW($C$1,$C$2,$C$3,$C$4,$C$6,$C$5,$C$7,F$1,F$2,A58)</f>
        <v>0</v>
      </c>
      <c r="G58" s="33">
        <f ca="1">_xll.DBRW($C$1,$C$2,$C$3,$C$4,$C$6,$C$5,$C$7,G$1,G$2,A58)</f>
        <v>0</v>
      </c>
      <c r="H58" s="33">
        <f ca="1">_xll.DBRW($C$1,$C$2,$C$3,$C$4,$C$6,$C$5,$C$7,H$1,H$2,A58)</f>
        <v>0</v>
      </c>
      <c r="I58" s="33">
        <f ca="1">_xll.DBRW($C$1,$C$2,$C$3,$C$4,$C$6,$C$5,$C$7,I$1,I$2,A58)</f>
        <v>0</v>
      </c>
      <c r="J58" s="33">
        <f ca="1">_xll.DBRW($C$1,$C$2,$C$3,$C$4,$C$6,$C$5,$C$7,J$1,J$2,A58)</f>
        <v>0</v>
      </c>
      <c r="K58" s="33">
        <f ca="1">_xll.DBRW($C$1,$C$2,$C$3,$C$4,$C$6,$C$5,$C$7,K$1,K$2,A58)</f>
        <v>0</v>
      </c>
      <c r="L58" s="33">
        <f ca="1">_xll.DBRW($C$1,$C$2,$C$3,$C$4,$C$6,$C$5,$C$7,L$1,L$2,A58)</f>
        <v>0</v>
      </c>
      <c r="M58" s="33">
        <f ca="1">_xll.DBRW($C$1,$C$2,$C$3,$C$4,$C$6,$C$5,$C$7,M$1,M$2,A58)</f>
        <v>0</v>
      </c>
      <c r="N58" s="33">
        <f ca="1">_xll.DBRW($C$1,$C$2,$C$3,$C$4,$C$6,$C$5,$C$7,N$1,N$2,A58)</f>
        <v>0</v>
      </c>
      <c r="O58" s="33">
        <f ca="1">_xll.DBRW($C$1,$C$2,$C$3,$C$4,$C$6,$C$5,$C$7,O$1,O$2,A58)</f>
        <v>0</v>
      </c>
      <c r="P58" s="33">
        <f ca="1">_xll.DBRW($C$1,$C$2,$C$3,$C$4,$C$6,$C$5,$C$7,P$1,P$2,A58)</f>
        <v>0</v>
      </c>
      <c r="Q58" s="33">
        <f ca="1">_xll.DBRW($C$1,$C$2,$C$3,$C$4,$C$6,$C$5,$C$7,Q$1,Q$2,A58)</f>
        <v>0</v>
      </c>
      <c r="R58" s="33">
        <f ca="1">_xll.DBRW($C$1,$C$2,$C$3,$C$4,$C$6,$C$5,$C$7,R$1,R$2,A58)</f>
        <v>0</v>
      </c>
      <c r="S58" s="33">
        <f ca="1">_xll.DBRW($C$1,$C$2,$C$3,$C$4,$C$6,$C$5,$C$7,S$1,S$2,A58)</f>
        <v>0</v>
      </c>
      <c r="T58" s="33">
        <f ca="1">_xll.DBRW($C$1,$C$2,$C$3,$C$4,$C$6,$C$5,$C$7,T$1,T$2,A58)</f>
        <v>0</v>
      </c>
      <c r="U58" s="33">
        <f ca="1">_xll.DBRW($C$1,$C$2,$C$3,$C$4,$C$6,$C$5,$C$7,U$1,U$2,A58)</f>
        <v>0</v>
      </c>
      <c r="V58" s="33">
        <f ca="1">_xll.DBRW($C$1,$C$2,$C$3,$C$4,$C$6,$C$5,$C$7,V$1,V$2,A58)</f>
        <v>0</v>
      </c>
      <c r="W58" s="33">
        <f ca="1">_xll.DBRW($C$1,$C$2,$C$3,$C$4,$C$6,$C$5,$C$7,W$1,W$2,A58)</f>
        <v>0</v>
      </c>
      <c r="X58" s="33">
        <f ca="1">_xll.DBRW($C$1,$C$2,$C$3,$C$4,$C$6,$C$5,$C$7,X$1,X$2,A58)</f>
        <v>0</v>
      </c>
      <c r="Y58" s="33">
        <f ca="1">_xll.DBRW($C$1,$C$2,$C$3,$C$4,$C$6,$C$5,$C$7,Y$1,Y$2,A58)</f>
        <v>0</v>
      </c>
      <c r="Z58" s="33">
        <f ca="1">_xll.DBRW($C$1,$C$2,$C$3,$C$4,$C$6,$C$5,$C$7,Z$1,Z$2,A58)</f>
        <v>0</v>
      </c>
      <c r="AA58" s="33">
        <f ca="1">_xll.DBRW($C$1,$C$2,$C$3,$C$4,$C$6,$C$5,$C$7,AA$1,AA$2,A58)</f>
        <v>0</v>
      </c>
      <c r="AB58" s="33">
        <f ca="1">_xll.DBRW($C$1,$C$2,$C$3,$C$4,$C$6,$C$5,$C$7,AB$1,AB$2,A58)</f>
        <v>0</v>
      </c>
      <c r="AC58" s="33">
        <f ca="1">_xll.DBRW($C$1,$C$2,$C$3,$C$4,$C$6,$C$5,$C$7,AC$1,AC$2,A58)</f>
        <v>0</v>
      </c>
      <c r="AD58" s="33">
        <f ca="1">_xll.DBRW($C$1,$C$2,$C$3,$C$4,$C$6,$C$5,$C$7,AD$1,AD$2,A58)</f>
        <v>0</v>
      </c>
      <c r="AE58" s="33">
        <f ca="1">_xll.DBRW($C$1,$C$2,$C$3,$C$4,$C$6,$C$5,$C$7,AE$1,AE$2,A58)</f>
        <v>0</v>
      </c>
      <c r="AF58" s="33">
        <f ca="1">_xll.DBRW($C$1,$C$2,$C$3,$C$4,$C$6,$C$5,$C$7,AF$1,AF$2,A58)</f>
        <v>0</v>
      </c>
      <c r="AG58" s="33">
        <f ca="1">_xll.DBRW($C$1,$C$2,$C$3,$C$4,$C$6,$C$5,$C$7,AG$1,AG$2,A58)</f>
        <v>0</v>
      </c>
      <c r="AH58" s="33">
        <f ca="1">_xll.DBRW($C$1,$C$2,$C$3,$C$4,$C$6,$C$5,$C$7,AH$1,AH$2,A58)</f>
        <v>0</v>
      </c>
      <c r="AI58" s="33">
        <f ca="1">_xll.DBRW($C$1,$C$2,$C$3,$C$4,$C$6,$C$5,$C$7,AI$1,AI$2,A58)</f>
        <v>0</v>
      </c>
      <c r="AJ58" s="33">
        <f ca="1">_xll.DBRW($C$1,$C$2,$C$3,$C$4,$C$6,$C$5,$C$7,AJ$1,AJ$2,A58)</f>
        <v>0</v>
      </c>
      <c r="AK58" s="33">
        <f ca="1">_xll.DBRW($C$1,$C$2,$C$3,$C$4,$C$6,$C$5,$C$7,AK$1,AK$2,A58)</f>
        <v>0</v>
      </c>
      <c r="AL58" s="33">
        <f ca="1">_xll.DBRW($C$1,$C$2,$C$3,$C$4,$C$6,$C$5,$C$7,AL$1,AL$2,A58)</f>
        <v>0</v>
      </c>
      <c r="AM58" s="33">
        <f ca="1">_xll.DBRW($C$1,$C$2,$C$3,$C$4,$C$6,$C$5,$C$7,AM$1,AM$2,A58)</f>
        <v>0</v>
      </c>
      <c r="AN58" s="33">
        <f ca="1">_xll.DBRW($C$1,$C$2,$C$3,$C$4,$C$6,$C$5,$C$7,AN$1,AN$2,A58)</f>
        <v>0</v>
      </c>
      <c r="AO58" s="33">
        <f ca="1">_xll.DBRW($C$1,$C$2,$C$3,$C$4,$C$6,$C$5,$C$7,AO$1,AO$2,A58)</f>
        <v>0</v>
      </c>
      <c r="AP58" s="33">
        <f ca="1">_xll.DBRW($C$1,$C$2,$C$3,$C$4,$C$6,$C$5,$C$7,AP$1,AP$2,A58)</f>
        <v>0</v>
      </c>
      <c r="AQ58" s="33">
        <f ca="1">_xll.DBRW($C$1,$C$2,$C$3,$C$4,$C$6,$C$5,$C$7,AQ$1,AQ$2,A58)</f>
        <v>0</v>
      </c>
      <c r="AR58" s="33">
        <f ca="1">_xll.DBRW($C$1,$C$2,$C$3,$C$4,$C$6,$C$5,$C$7,AR$1,AR$2,A58)</f>
        <v>0</v>
      </c>
      <c r="AS58" s="33">
        <f ca="1">_xll.DBRW($C$1,$C$2,$C$3,$C$4,$C$6,$C$5,$C$7,AS$1,AS$2,A58)</f>
        <v>0</v>
      </c>
      <c r="AT58" s="33">
        <f ca="1">_xll.DBRW($C$1,$C$2,$C$3,$C$4,$C$6,$C$5,$C$7,AT$1,AT$2,A58)</f>
        <v>0</v>
      </c>
      <c r="AU58" s="33">
        <f ca="1">_xll.DBRW($C$1,$C$2,$C$3,$C$4,$C$6,$C$5,$C$7,AU$1,AU$2,A58)</f>
        <v>0</v>
      </c>
      <c r="AV58" s="33">
        <f ca="1">_xll.DBRW($C$1,$C$2,$C$3,$C$4,$C$6,$C$5,$C$7,AV$1,AV$2,A58)</f>
        <v>0</v>
      </c>
      <c r="AW58" s="33">
        <f ca="1">_xll.DBRW($C$1,$C$2,$C$3,$C$4,$C$6,$C$5,$C$7,AW$1,AW$2,A58)</f>
        <v>0</v>
      </c>
      <c r="AX58" s="33">
        <f ca="1">_xll.DBRW($C$1,$C$2,$C$3,$C$4,$C$6,$C$5,$C$7,AX$1,AX$2,A58)</f>
        <v>0</v>
      </c>
      <c r="AY58" s="33">
        <f ca="1">_xll.DBRW($C$1,$C$2,$C$3,$C$4,$C$6,$C$5,$C$7,AY$1,AY$2,A58)</f>
        <v>0</v>
      </c>
    </row>
    <row r="59" spans="1:51" ht="15.5" hidden="1" outlineLevel="1" collapsed="1">
      <c r="A59" s="1" t="s">
        <v>162</v>
      </c>
      <c r="C59" s="109"/>
      <c r="E59" s="15" t="s">
        <v>28</v>
      </c>
      <c r="F59" s="34">
        <f t="shared" ref="F59:L59" ca="1" si="43">SUM(F58)</f>
        <v>0</v>
      </c>
      <c r="G59" s="34">
        <f t="shared" ca="1" si="43"/>
        <v>0</v>
      </c>
      <c r="H59" s="34">
        <f t="shared" ca="1" si="43"/>
        <v>0</v>
      </c>
      <c r="I59" s="34">
        <f t="shared" ca="1" si="43"/>
        <v>0</v>
      </c>
      <c r="J59" s="34">
        <f t="shared" ca="1" si="43"/>
        <v>0</v>
      </c>
      <c r="K59" s="34">
        <f t="shared" ca="1" si="43"/>
        <v>0</v>
      </c>
      <c r="L59" s="34">
        <f t="shared" ca="1" si="43"/>
        <v>0</v>
      </c>
      <c r="M59" s="34">
        <f t="shared" ref="M59:X59" ca="1" si="44">SUM(M58)</f>
        <v>0</v>
      </c>
      <c r="N59" s="34">
        <f t="shared" ca="1" si="44"/>
        <v>0</v>
      </c>
      <c r="O59" s="34">
        <f t="shared" ca="1" si="44"/>
        <v>0</v>
      </c>
      <c r="P59" s="34">
        <f t="shared" ca="1" si="44"/>
        <v>0</v>
      </c>
      <c r="Q59" s="34">
        <f t="shared" ca="1" si="44"/>
        <v>0</v>
      </c>
      <c r="R59" s="34">
        <f t="shared" ca="1" si="44"/>
        <v>0</v>
      </c>
      <c r="S59" s="34">
        <f t="shared" ca="1" si="44"/>
        <v>0</v>
      </c>
      <c r="T59" s="34">
        <f t="shared" ca="1" si="44"/>
        <v>0</v>
      </c>
      <c r="U59" s="34">
        <f t="shared" ca="1" si="44"/>
        <v>0</v>
      </c>
      <c r="V59" s="34">
        <f t="shared" ca="1" si="44"/>
        <v>0</v>
      </c>
      <c r="W59" s="34">
        <f t="shared" ca="1" si="44"/>
        <v>0</v>
      </c>
      <c r="X59" s="34">
        <f t="shared" ca="1" si="44"/>
        <v>0</v>
      </c>
      <c r="Y59" s="34">
        <f ca="1">SUM(Y58)</f>
        <v>0</v>
      </c>
      <c r="Z59" s="34">
        <f t="shared" ref="Z59:AK59" ca="1" si="45">SUM(Z58)</f>
        <v>0</v>
      </c>
      <c r="AA59" s="34">
        <f t="shared" ca="1" si="45"/>
        <v>0</v>
      </c>
      <c r="AB59" s="34">
        <f t="shared" ca="1" si="45"/>
        <v>0</v>
      </c>
      <c r="AC59" s="34">
        <f t="shared" ca="1" si="45"/>
        <v>0</v>
      </c>
      <c r="AD59" s="34">
        <f t="shared" ca="1" si="45"/>
        <v>0</v>
      </c>
      <c r="AE59" s="34">
        <f t="shared" ca="1" si="45"/>
        <v>0</v>
      </c>
      <c r="AF59" s="34">
        <f t="shared" ca="1" si="45"/>
        <v>0</v>
      </c>
      <c r="AG59" s="34">
        <f t="shared" ca="1" si="45"/>
        <v>0</v>
      </c>
      <c r="AH59" s="34">
        <f t="shared" ca="1" si="45"/>
        <v>0</v>
      </c>
      <c r="AI59" s="34">
        <f t="shared" ca="1" si="45"/>
        <v>0</v>
      </c>
      <c r="AJ59" s="34">
        <f t="shared" ca="1" si="45"/>
        <v>0</v>
      </c>
      <c r="AK59" s="34">
        <f t="shared" ca="1" si="45"/>
        <v>0</v>
      </c>
      <c r="AL59" s="34">
        <f ca="1">SUM(AL58)</f>
        <v>0</v>
      </c>
      <c r="AM59" s="34">
        <f t="shared" ref="AM59:AX59" ca="1" si="46">SUM(AM58)</f>
        <v>0</v>
      </c>
      <c r="AN59" s="34">
        <f t="shared" ca="1" si="46"/>
        <v>0</v>
      </c>
      <c r="AO59" s="34">
        <f t="shared" ca="1" si="46"/>
        <v>0</v>
      </c>
      <c r="AP59" s="34">
        <f t="shared" ca="1" si="46"/>
        <v>0</v>
      </c>
      <c r="AQ59" s="34">
        <f t="shared" ca="1" si="46"/>
        <v>0</v>
      </c>
      <c r="AR59" s="34">
        <f t="shared" ca="1" si="46"/>
        <v>0</v>
      </c>
      <c r="AS59" s="34">
        <f t="shared" ca="1" si="46"/>
        <v>0</v>
      </c>
      <c r="AT59" s="34">
        <f t="shared" ca="1" si="46"/>
        <v>0</v>
      </c>
      <c r="AU59" s="34">
        <f t="shared" ca="1" si="46"/>
        <v>0</v>
      </c>
      <c r="AV59" s="34">
        <f t="shared" ca="1" si="46"/>
        <v>0</v>
      </c>
      <c r="AW59" s="34">
        <f t="shared" ca="1" si="46"/>
        <v>0</v>
      </c>
      <c r="AX59" s="34">
        <f t="shared" ca="1" si="46"/>
        <v>0</v>
      </c>
      <c r="AY59" s="34">
        <f ca="1">SUM(AY58)</f>
        <v>0</v>
      </c>
    </row>
    <row r="60" spans="1:51" ht="15.75" hidden="1" customHeight="1" outlineLevel="2">
      <c r="A60" s="1" t="s">
        <v>163</v>
      </c>
      <c r="C60" s="109"/>
      <c r="E60" s="9" t="str">
        <f ca="1">_xll.DBRW(Server&amp;"}ElementAttributes_Indicator",A60,"code_English")</f>
        <v>PL1115_MF_99 - Others (MF)</v>
      </c>
      <c r="F60" s="33">
        <f ca="1">_xll.DBRW($C$1,$C$2,$C$3,$C$4,$C$6,$C$5,$C$7,F$1,F$2,A60)</f>
        <v>0</v>
      </c>
      <c r="G60" s="33">
        <f ca="1">_xll.DBRW($C$1,$C$2,$C$3,$C$4,$C$6,$C$5,$C$7,G$1,G$2,A60)</f>
        <v>0</v>
      </c>
      <c r="H60" s="33">
        <f ca="1">_xll.DBRW($C$1,$C$2,$C$3,$C$4,$C$6,$C$5,$C$7,H$1,H$2,A60)</f>
        <v>0</v>
      </c>
      <c r="I60" s="33">
        <f ca="1">_xll.DBRW($C$1,$C$2,$C$3,$C$4,$C$6,$C$5,$C$7,I$1,I$2,A60)</f>
        <v>0</v>
      </c>
      <c r="J60" s="33">
        <f ca="1">_xll.DBRW($C$1,$C$2,$C$3,$C$4,$C$6,$C$5,$C$7,J$1,J$2,A60)</f>
        <v>0</v>
      </c>
      <c r="K60" s="33">
        <f ca="1">_xll.DBRW($C$1,$C$2,$C$3,$C$4,$C$6,$C$5,$C$7,K$1,K$2,A60)</f>
        <v>0</v>
      </c>
      <c r="L60" s="33">
        <f ca="1">_xll.DBRW($C$1,$C$2,$C$3,$C$4,$C$6,$C$5,$C$7,L$1,L$2,A60)</f>
        <v>0</v>
      </c>
      <c r="M60" s="33">
        <f ca="1">_xll.DBRW($C$1,$C$2,$C$3,$C$4,$C$6,$C$5,$C$7,M$1,M$2,A60)</f>
        <v>0</v>
      </c>
      <c r="N60" s="33">
        <f ca="1">_xll.DBRW($C$1,$C$2,$C$3,$C$4,$C$6,$C$5,$C$7,N$1,N$2,A60)</f>
        <v>0</v>
      </c>
      <c r="O60" s="33">
        <f ca="1">_xll.DBRW($C$1,$C$2,$C$3,$C$4,$C$6,$C$5,$C$7,O$1,O$2,A60)</f>
        <v>0</v>
      </c>
      <c r="P60" s="33">
        <f ca="1">_xll.DBRW($C$1,$C$2,$C$3,$C$4,$C$6,$C$5,$C$7,P$1,P$2,A60)</f>
        <v>0</v>
      </c>
      <c r="Q60" s="33">
        <f ca="1">_xll.DBRW($C$1,$C$2,$C$3,$C$4,$C$6,$C$5,$C$7,Q$1,Q$2,A60)</f>
        <v>0</v>
      </c>
      <c r="R60" s="33">
        <f ca="1">_xll.DBRW($C$1,$C$2,$C$3,$C$4,$C$6,$C$5,$C$7,R$1,R$2,A60)</f>
        <v>0</v>
      </c>
      <c r="S60" s="33">
        <f ca="1">_xll.DBRW($C$1,$C$2,$C$3,$C$4,$C$6,$C$5,$C$7,S$1,S$2,A60)</f>
        <v>0</v>
      </c>
      <c r="T60" s="33">
        <f ca="1">_xll.DBRW($C$1,$C$2,$C$3,$C$4,$C$6,$C$5,$C$7,T$1,T$2,A60)</f>
        <v>0</v>
      </c>
      <c r="U60" s="33">
        <f ca="1">_xll.DBRW($C$1,$C$2,$C$3,$C$4,$C$6,$C$5,$C$7,U$1,U$2,A60)</f>
        <v>0</v>
      </c>
      <c r="V60" s="33">
        <f ca="1">_xll.DBRW($C$1,$C$2,$C$3,$C$4,$C$6,$C$5,$C$7,V$1,V$2,A60)</f>
        <v>0</v>
      </c>
      <c r="W60" s="33">
        <f ca="1">_xll.DBRW($C$1,$C$2,$C$3,$C$4,$C$6,$C$5,$C$7,W$1,W$2,A60)</f>
        <v>0</v>
      </c>
      <c r="X60" s="33">
        <f ca="1">_xll.DBRW($C$1,$C$2,$C$3,$C$4,$C$6,$C$5,$C$7,X$1,X$2,A60)</f>
        <v>0</v>
      </c>
      <c r="Y60" s="33">
        <f ca="1">_xll.DBRW($C$1,$C$2,$C$3,$C$4,$C$6,$C$5,$C$7,Y$1,Y$2,A60)</f>
        <v>0</v>
      </c>
      <c r="Z60" s="33">
        <f ca="1">_xll.DBRW($C$1,$C$2,$C$3,$C$4,$C$6,$C$5,$C$7,Z$1,Z$2,A60)</f>
        <v>0</v>
      </c>
      <c r="AA60" s="33">
        <f ca="1">_xll.DBRW($C$1,$C$2,$C$3,$C$4,$C$6,$C$5,$C$7,AA$1,AA$2,A60)</f>
        <v>0</v>
      </c>
      <c r="AB60" s="33">
        <f ca="1">_xll.DBRW($C$1,$C$2,$C$3,$C$4,$C$6,$C$5,$C$7,AB$1,AB$2,A60)</f>
        <v>0</v>
      </c>
      <c r="AC60" s="33">
        <f ca="1">_xll.DBRW($C$1,$C$2,$C$3,$C$4,$C$6,$C$5,$C$7,AC$1,AC$2,A60)</f>
        <v>0</v>
      </c>
      <c r="AD60" s="33">
        <f ca="1">_xll.DBRW($C$1,$C$2,$C$3,$C$4,$C$6,$C$5,$C$7,AD$1,AD$2,A60)</f>
        <v>0</v>
      </c>
      <c r="AE60" s="33">
        <f ca="1">_xll.DBRW($C$1,$C$2,$C$3,$C$4,$C$6,$C$5,$C$7,AE$1,AE$2,A60)</f>
        <v>0</v>
      </c>
      <c r="AF60" s="33">
        <f ca="1">_xll.DBRW($C$1,$C$2,$C$3,$C$4,$C$6,$C$5,$C$7,AF$1,AF$2,A60)</f>
        <v>0</v>
      </c>
      <c r="AG60" s="33">
        <f ca="1">_xll.DBRW($C$1,$C$2,$C$3,$C$4,$C$6,$C$5,$C$7,AG$1,AG$2,A60)</f>
        <v>0</v>
      </c>
      <c r="AH60" s="33">
        <f ca="1">_xll.DBRW($C$1,$C$2,$C$3,$C$4,$C$6,$C$5,$C$7,AH$1,AH$2,A60)</f>
        <v>0</v>
      </c>
      <c r="AI60" s="33">
        <f ca="1">_xll.DBRW($C$1,$C$2,$C$3,$C$4,$C$6,$C$5,$C$7,AI$1,AI$2,A60)</f>
        <v>0</v>
      </c>
      <c r="AJ60" s="33">
        <f ca="1">_xll.DBRW($C$1,$C$2,$C$3,$C$4,$C$6,$C$5,$C$7,AJ$1,AJ$2,A60)</f>
        <v>0</v>
      </c>
      <c r="AK60" s="33">
        <f ca="1">_xll.DBRW($C$1,$C$2,$C$3,$C$4,$C$6,$C$5,$C$7,AK$1,AK$2,A60)</f>
        <v>0</v>
      </c>
      <c r="AL60" s="33">
        <f ca="1">_xll.DBRW($C$1,$C$2,$C$3,$C$4,$C$6,$C$5,$C$7,AL$1,AL$2,A60)</f>
        <v>0</v>
      </c>
      <c r="AM60" s="33">
        <f ca="1">_xll.DBRW($C$1,$C$2,$C$3,$C$4,$C$6,$C$5,$C$7,AM$1,AM$2,A60)</f>
        <v>0</v>
      </c>
      <c r="AN60" s="33">
        <f ca="1">_xll.DBRW($C$1,$C$2,$C$3,$C$4,$C$6,$C$5,$C$7,AN$1,AN$2,A60)</f>
        <v>0</v>
      </c>
      <c r="AO60" s="33">
        <f ca="1">_xll.DBRW($C$1,$C$2,$C$3,$C$4,$C$6,$C$5,$C$7,AO$1,AO$2,A60)</f>
        <v>0</v>
      </c>
      <c r="AP60" s="33">
        <f ca="1">_xll.DBRW($C$1,$C$2,$C$3,$C$4,$C$6,$C$5,$C$7,AP$1,AP$2,A60)</f>
        <v>0</v>
      </c>
      <c r="AQ60" s="33">
        <f ca="1">_xll.DBRW($C$1,$C$2,$C$3,$C$4,$C$6,$C$5,$C$7,AQ$1,AQ$2,A60)</f>
        <v>0</v>
      </c>
      <c r="AR60" s="33">
        <f ca="1">_xll.DBRW($C$1,$C$2,$C$3,$C$4,$C$6,$C$5,$C$7,AR$1,AR$2,A60)</f>
        <v>0</v>
      </c>
      <c r="AS60" s="33">
        <f ca="1">_xll.DBRW($C$1,$C$2,$C$3,$C$4,$C$6,$C$5,$C$7,AS$1,AS$2,A60)</f>
        <v>0</v>
      </c>
      <c r="AT60" s="33">
        <f ca="1">_xll.DBRW($C$1,$C$2,$C$3,$C$4,$C$6,$C$5,$C$7,AT$1,AT$2,A60)</f>
        <v>0</v>
      </c>
      <c r="AU60" s="33">
        <f ca="1">_xll.DBRW($C$1,$C$2,$C$3,$C$4,$C$6,$C$5,$C$7,AU$1,AU$2,A60)</f>
        <v>0</v>
      </c>
      <c r="AV60" s="33">
        <f ca="1">_xll.DBRW($C$1,$C$2,$C$3,$C$4,$C$6,$C$5,$C$7,AV$1,AV$2,A60)</f>
        <v>0</v>
      </c>
      <c r="AW60" s="33">
        <f ca="1">_xll.DBRW($C$1,$C$2,$C$3,$C$4,$C$6,$C$5,$C$7,AW$1,AW$2,A60)</f>
        <v>0</v>
      </c>
      <c r="AX60" s="33">
        <f ca="1">_xll.DBRW($C$1,$C$2,$C$3,$C$4,$C$6,$C$5,$C$7,AX$1,AX$2,A60)</f>
        <v>0</v>
      </c>
      <c r="AY60" s="33">
        <f ca="1">_xll.DBRW($C$1,$C$2,$C$3,$C$4,$C$6,$C$5,$C$7,AY$1,AY$2,A60)</f>
        <v>0</v>
      </c>
    </row>
    <row r="61" spans="1:51" ht="15.75" hidden="1" customHeight="1" outlineLevel="2">
      <c r="A61" s="1" t="s">
        <v>164</v>
      </c>
      <c r="C61" s="109"/>
      <c r="E61" s="9" t="str">
        <f ca="1">_xll.DBRW(Server&amp;"}ElementAttributes_Indicator",A61,"code_English")</f>
        <v>PL1115_ST_10 - Subcontracting transport (ST)</v>
      </c>
      <c r="F61" s="33">
        <f ca="1">_xll.DBRW($C$1,$C$2,$C$3,$C$4,$C$6,$C$5,$C$7,F$1,F$2,A61)</f>
        <v>0</v>
      </c>
      <c r="G61" s="33">
        <f ca="1">_xll.DBRW($C$1,$C$2,$C$3,$C$4,$C$6,$C$5,$C$7,G$1,G$2,A61)</f>
        <v>0</v>
      </c>
      <c r="H61" s="33">
        <f ca="1">_xll.DBRW($C$1,$C$2,$C$3,$C$4,$C$6,$C$5,$C$7,H$1,H$2,A61)</f>
        <v>0</v>
      </c>
      <c r="I61" s="33">
        <f ca="1">_xll.DBRW($C$1,$C$2,$C$3,$C$4,$C$6,$C$5,$C$7,I$1,I$2,A61)</f>
        <v>0</v>
      </c>
      <c r="J61" s="33">
        <f ca="1">_xll.DBRW($C$1,$C$2,$C$3,$C$4,$C$6,$C$5,$C$7,J$1,J$2,A61)</f>
        <v>0</v>
      </c>
      <c r="K61" s="33">
        <f ca="1">_xll.DBRW($C$1,$C$2,$C$3,$C$4,$C$6,$C$5,$C$7,K$1,K$2,A61)</f>
        <v>0</v>
      </c>
      <c r="L61" s="33">
        <f ca="1">_xll.DBRW($C$1,$C$2,$C$3,$C$4,$C$6,$C$5,$C$7,L$1,L$2,A61)</f>
        <v>0</v>
      </c>
      <c r="M61" s="33">
        <f ca="1">_xll.DBRW($C$1,$C$2,$C$3,$C$4,$C$6,$C$5,$C$7,M$1,M$2,A61)</f>
        <v>0</v>
      </c>
      <c r="N61" s="33">
        <f ca="1">_xll.DBRW($C$1,$C$2,$C$3,$C$4,$C$6,$C$5,$C$7,N$1,N$2,A61)</f>
        <v>0</v>
      </c>
      <c r="O61" s="33">
        <f ca="1">_xll.DBRW($C$1,$C$2,$C$3,$C$4,$C$6,$C$5,$C$7,O$1,O$2,A61)</f>
        <v>0</v>
      </c>
      <c r="P61" s="33">
        <f ca="1">_xll.DBRW($C$1,$C$2,$C$3,$C$4,$C$6,$C$5,$C$7,P$1,P$2,A61)</f>
        <v>0</v>
      </c>
      <c r="Q61" s="33">
        <f ca="1">_xll.DBRW($C$1,$C$2,$C$3,$C$4,$C$6,$C$5,$C$7,Q$1,Q$2,A61)</f>
        <v>0</v>
      </c>
      <c r="R61" s="33">
        <f ca="1">_xll.DBRW($C$1,$C$2,$C$3,$C$4,$C$6,$C$5,$C$7,R$1,R$2,A61)</f>
        <v>0</v>
      </c>
      <c r="S61" s="33">
        <f ca="1">_xll.DBRW($C$1,$C$2,$C$3,$C$4,$C$6,$C$5,$C$7,S$1,S$2,A61)</f>
        <v>0</v>
      </c>
      <c r="T61" s="33">
        <f ca="1">_xll.DBRW($C$1,$C$2,$C$3,$C$4,$C$6,$C$5,$C$7,T$1,T$2,A61)</f>
        <v>0</v>
      </c>
      <c r="U61" s="33">
        <f ca="1">_xll.DBRW($C$1,$C$2,$C$3,$C$4,$C$6,$C$5,$C$7,U$1,U$2,A61)</f>
        <v>0</v>
      </c>
      <c r="V61" s="33">
        <f ca="1">_xll.DBRW($C$1,$C$2,$C$3,$C$4,$C$6,$C$5,$C$7,V$1,V$2,A61)</f>
        <v>0</v>
      </c>
      <c r="W61" s="33">
        <f ca="1">_xll.DBRW($C$1,$C$2,$C$3,$C$4,$C$6,$C$5,$C$7,W$1,W$2,A61)</f>
        <v>0</v>
      </c>
      <c r="X61" s="33">
        <f ca="1">_xll.DBRW($C$1,$C$2,$C$3,$C$4,$C$6,$C$5,$C$7,X$1,X$2,A61)</f>
        <v>0</v>
      </c>
      <c r="Y61" s="33">
        <f ca="1">_xll.DBRW($C$1,$C$2,$C$3,$C$4,$C$6,$C$5,$C$7,Y$1,Y$2,A61)</f>
        <v>0</v>
      </c>
      <c r="Z61" s="33">
        <f ca="1">_xll.DBRW($C$1,$C$2,$C$3,$C$4,$C$6,$C$5,$C$7,Z$1,Z$2,A61)</f>
        <v>0</v>
      </c>
      <c r="AA61" s="33">
        <f ca="1">_xll.DBRW($C$1,$C$2,$C$3,$C$4,$C$6,$C$5,$C$7,AA$1,AA$2,A61)</f>
        <v>0</v>
      </c>
      <c r="AB61" s="33">
        <f ca="1">_xll.DBRW($C$1,$C$2,$C$3,$C$4,$C$6,$C$5,$C$7,AB$1,AB$2,A61)</f>
        <v>0</v>
      </c>
      <c r="AC61" s="33">
        <f ca="1">_xll.DBRW($C$1,$C$2,$C$3,$C$4,$C$6,$C$5,$C$7,AC$1,AC$2,A61)</f>
        <v>0</v>
      </c>
      <c r="AD61" s="33">
        <f ca="1">_xll.DBRW($C$1,$C$2,$C$3,$C$4,$C$6,$C$5,$C$7,AD$1,AD$2,A61)</f>
        <v>0</v>
      </c>
      <c r="AE61" s="33">
        <f ca="1">_xll.DBRW($C$1,$C$2,$C$3,$C$4,$C$6,$C$5,$C$7,AE$1,AE$2,A61)</f>
        <v>0</v>
      </c>
      <c r="AF61" s="33">
        <f ca="1">_xll.DBRW($C$1,$C$2,$C$3,$C$4,$C$6,$C$5,$C$7,AF$1,AF$2,A61)</f>
        <v>0</v>
      </c>
      <c r="AG61" s="33">
        <f ca="1">_xll.DBRW($C$1,$C$2,$C$3,$C$4,$C$6,$C$5,$C$7,AG$1,AG$2,A61)</f>
        <v>0</v>
      </c>
      <c r="AH61" s="33">
        <f ca="1">_xll.DBRW($C$1,$C$2,$C$3,$C$4,$C$6,$C$5,$C$7,AH$1,AH$2,A61)</f>
        <v>0</v>
      </c>
      <c r="AI61" s="33">
        <f ca="1">_xll.DBRW($C$1,$C$2,$C$3,$C$4,$C$6,$C$5,$C$7,AI$1,AI$2,A61)</f>
        <v>0</v>
      </c>
      <c r="AJ61" s="33">
        <f ca="1">_xll.DBRW($C$1,$C$2,$C$3,$C$4,$C$6,$C$5,$C$7,AJ$1,AJ$2,A61)</f>
        <v>0</v>
      </c>
      <c r="AK61" s="33">
        <f ca="1">_xll.DBRW($C$1,$C$2,$C$3,$C$4,$C$6,$C$5,$C$7,AK$1,AK$2,A61)</f>
        <v>0</v>
      </c>
      <c r="AL61" s="33">
        <f ca="1">_xll.DBRW($C$1,$C$2,$C$3,$C$4,$C$6,$C$5,$C$7,AL$1,AL$2,A61)</f>
        <v>0</v>
      </c>
      <c r="AM61" s="33">
        <f ca="1">_xll.DBRW($C$1,$C$2,$C$3,$C$4,$C$6,$C$5,$C$7,AM$1,AM$2,A61)</f>
        <v>0</v>
      </c>
      <c r="AN61" s="33">
        <f ca="1">_xll.DBRW($C$1,$C$2,$C$3,$C$4,$C$6,$C$5,$C$7,AN$1,AN$2,A61)</f>
        <v>0</v>
      </c>
      <c r="AO61" s="33">
        <f ca="1">_xll.DBRW($C$1,$C$2,$C$3,$C$4,$C$6,$C$5,$C$7,AO$1,AO$2,A61)</f>
        <v>0</v>
      </c>
      <c r="AP61" s="33">
        <f ca="1">_xll.DBRW($C$1,$C$2,$C$3,$C$4,$C$6,$C$5,$C$7,AP$1,AP$2,A61)</f>
        <v>0</v>
      </c>
      <c r="AQ61" s="33">
        <f ca="1">_xll.DBRW($C$1,$C$2,$C$3,$C$4,$C$6,$C$5,$C$7,AQ$1,AQ$2,A61)</f>
        <v>0</v>
      </c>
      <c r="AR61" s="33">
        <f ca="1">_xll.DBRW($C$1,$C$2,$C$3,$C$4,$C$6,$C$5,$C$7,AR$1,AR$2,A61)</f>
        <v>0</v>
      </c>
      <c r="AS61" s="33">
        <f ca="1">_xll.DBRW($C$1,$C$2,$C$3,$C$4,$C$6,$C$5,$C$7,AS$1,AS$2,A61)</f>
        <v>0</v>
      </c>
      <c r="AT61" s="33">
        <f ca="1">_xll.DBRW($C$1,$C$2,$C$3,$C$4,$C$6,$C$5,$C$7,AT$1,AT$2,A61)</f>
        <v>0</v>
      </c>
      <c r="AU61" s="33">
        <f ca="1">_xll.DBRW($C$1,$C$2,$C$3,$C$4,$C$6,$C$5,$C$7,AU$1,AU$2,A61)</f>
        <v>0</v>
      </c>
      <c r="AV61" s="33">
        <f ca="1">_xll.DBRW($C$1,$C$2,$C$3,$C$4,$C$6,$C$5,$C$7,AV$1,AV$2,A61)</f>
        <v>0</v>
      </c>
      <c r="AW61" s="33">
        <f ca="1">_xll.DBRW($C$1,$C$2,$C$3,$C$4,$C$6,$C$5,$C$7,AW$1,AW$2,A61)</f>
        <v>0</v>
      </c>
      <c r="AX61" s="33">
        <f ca="1">_xll.DBRW($C$1,$C$2,$C$3,$C$4,$C$6,$C$5,$C$7,AX$1,AX$2,A61)</f>
        <v>0</v>
      </c>
      <c r="AY61" s="33">
        <f ca="1">_xll.DBRW($C$1,$C$2,$C$3,$C$4,$C$6,$C$5,$C$7,AY$1,AY$2,A61)</f>
        <v>0</v>
      </c>
    </row>
    <row r="62" spans="1:51" ht="15.75" hidden="1" customHeight="1" outlineLevel="2">
      <c r="A62" s="1" t="s">
        <v>165</v>
      </c>
      <c r="C62" s="109"/>
      <c r="E62" s="9" t="str">
        <f ca="1">_xll.DBRW(Server&amp;"}ElementAttributes_Indicator",A62,"code_English")</f>
        <v>PL1116_MF - COS - Lease expenses (MF)</v>
      </c>
      <c r="F62" s="33">
        <f ca="1">_xll.DBRW($C$1,$C$2,$C$3,$C$4,$C$6,$C$5,$C$7,F$1,F$2,A62)</f>
        <v>0</v>
      </c>
      <c r="G62" s="33">
        <f ca="1">_xll.DBRW($C$1,$C$2,$C$3,$C$4,$C$6,$C$5,$C$7,G$1,G$2,A62)</f>
        <v>0</v>
      </c>
      <c r="H62" s="33">
        <f ca="1">_xll.DBRW($C$1,$C$2,$C$3,$C$4,$C$6,$C$5,$C$7,H$1,H$2,A62)</f>
        <v>0</v>
      </c>
      <c r="I62" s="33">
        <f ca="1">_xll.DBRW($C$1,$C$2,$C$3,$C$4,$C$6,$C$5,$C$7,I$1,I$2,A62)</f>
        <v>0</v>
      </c>
      <c r="J62" s="33">
        <f ca="1">_xll.DBRW($C$1,$C$2,$C$3,$C$4,$C$6,$C$5,$C$7,J$1,J$2,A62)</f>
        <v>0</v>
      </c>
      <c r="K62" s="33">
        <f ca="1">_xll.DBRW($C$1,$C$2,$C$3,$C$4,$C$6,$C$5,$C$7,K$1,K$2,A62)</f>
        <v>0</v>
      </c>
      <c r="L62" s="33">
        <f ca="1">_xll.DBRW($C$1,$C$2,$C$3,$C$4,$C$6,$C$5,$C$7,L$1,L$2,A62)</f>
        <v>0</v>
      </c>
      <c r="M62" s="33">
        <f ca="1">_xll.DBRW($C$1,$C$2,$C$3,$C$4,$C$6,$C$5,$C$7,M$1,M$2,A62)</f>
        <v>0</v>
      </c>
      <c r="N62" s="33">
        <f ca="1">_xll.DBRW($C$1,$C$2,$C$3,$C$4,$C$6,$C$5,$C$7,N$1,N$2,A62)</f>
        <v>0</v>
      </c>
      <c r="O62" s="33">
        <f ca="1">_xll.DBRW($C$1,$C$2,$C$3,$C$4,$C$6,$C$5,$C$7,O$1,O$2,A62)</f>
        <v>0</v>
      </c>
      <c r="P62" s="33">
        <f ca="1">_xll.DBRW($C$1,$C$2,$C$3,$C$4,$C$6,$C$5,$C$7,P$1,P$2,A62)</f>
        <v>0</v>
      </c>
      <c r="Q62" s="33">
        <f ca="1">_xll.DBRW($C$1,$C$2,$C$3,$C$4,$C$6,$C$5,$C$7,Q$1,Q$2,A62)</f>
        <v>0</v>
      </c>
      <c r="R62" s="33">
        <f ca="1">_xll.DBRW($C$1,$C$2,$C$3,$C$4,$C$6,$C$5,$C$7,R$1,R$2,A62)</f>
        <v>0</v>
      </c>
      <c r="S62" s="33">
        <f ca="1">_xll.DBRW($C$1,$C$2,$C$3,$C$4,$C$6,$C$5,$C$7,S$1,S$2,A62)</f>
        <v>0</v>
      </c>
      <c r="T62" s="33">
        <f ca="1">_xll.DBRW($C$1,$C$2,$C$3,$C$4,$C$6,$C$5,$C$7,T$1,T$2,A62)</f>
        <v>0</v>
      </c>
      <c r="U62" s="33">
        <f ca="1">_xll.DBRW($C$1,$C$2,$C$3,$C$4,$C$6,$C$5,$C$7,U$1,U$2,A62)</f>
        <v>0</v>
      </c>
      <c r="V62" s="33">
        <f ca="1">_xll.DBRW($C$1,$C$2,$C$3,$C$4,$C$6,$C$5,$C$7,V$1,V$2,A62)</f>
        <v>0</v>
      </c>
      <c r="W62" s="33">
        <f ca="1">_xll.DBRW($C$1,$C$2,$C$3,$C$4,$C$6,$C$5,$C$7,W$1,W$2,A62)</f>
        <v>0</v>
      </c>
      <c r="X62" s="33">
        <f ca="1">_xll.DBRW($C$1,$C$2,$C$3,$C$4,$C$6,$C$5,$C$7,X$1,X$2,A62)</f>
        <v>0</v>
      </c>
      <c r="Y62" s="33">
        <f ca="1">_xll.DBRW($C$1,$C$2,$C$3,$C$4,$C$6,$C$5,$C$7,Y$1,Y$2,A62)</f>
        <v>0</v>
      </c>
      <c r="Z62" s="33">
        <f ca="1">_xll.DBRW($C$1,$C$2,$C$3,$C$4,$C$6,$C$5,$C$7,Z$1,Z$2,A62)</f>
        <v>0</v>
      </c>
      <c r="AA62" s="33">
        <f ca="1">_xll.DBRW($C$1,$C$2,$C$3,$C$4,$C$6,$C$5,$C$7,AA$1,AA$2,A62)</f>
        <v>0</v>
      </c>
      <c r="AB62" s="33">
        <f ca="1">_xll.DBRW($C$1,$C$2,$C$3,$C$4,$C$6,$C$5,$C$7,AB$1,AB$2,A62)</f>
        <v>0</v>
      </c>
      <c r="AC62" s="33">
        <f ca="1">_xll.DBRW($C$1,$C$2,$C$3,$C$4,$C$6,$C$5,$C$7,AC$1,AC$2,A62)</f>
        <v>0</v>
      </c>
      <c r="AD62" s="33">
        <f ca="1">_xll.DBRW($C$1,$C$2,$C$3,$C$4,$C$6,$C$5,$C$7,AD$1,AD$2,A62)</f>
        <v>0</v>
      </c>
      <c r="AE62" s="33">
        <f ca="1">_xll.DBRW($C$1,$C$2,$C$3,$C$4,$C$6,$C$5,$C$7,AE$1,AE$2,A62)</f>
        <v>0</v>
      </c>
      <c r="AF62" s="33">
        <f ca="1">_xll.DBRW($C$1,$C$2,$C$3,$C$4,$C$6,$C$5,$C$7,AF$1,AF$2,A62)</f>
        <v>0</v>
      </c>
      <c r="AG62" s="33">
        <f ca="1">_xll.DBRW($C$1,$C$2,$C$3,$C$4,$C$6,$C$5,$C$7,AG$1,AG$2,A62)</f>
        <v>0</v>
      </c>
      <c r="AH62" s="33">
        <f ca="1">_xll.DBRW($C$1,$C$2,$C$3,$C$4,$C$6,$C$5,$C$7,AH$1,AH$2,A62)</f>
        <v>0</v>
      </c>
      <c r="AI62" s="33">
        <f ca="1">_xll.DBRW($C$1,$C$2,$C$3,$C$4,$C$6,$C$5,$C$7,AI$1,AI$2,A62)</f>
        <v>0</v>
      </c>
      <c r="AJ62" s="33">
        <f ca="1">_xll.DBRW($C$1,$C$2,$C$3,$C$4,$C$6,$C$5,$C$7,AJ$1,AJ$2,A62)</f>
        <v>0</v>
      </c>
      <c r="AK62" s="33">
        <f ca="1">_xll.DBRW($C$1,$C$2,$C$3,$C$4,$C$6,$C$5,$C$7,AK$1,AK$2,A62)</f>
        <v>0</v>
      </c>
      <c r="AL62" s="33">
        <f ca="1">_xll.DBRW($C$1,$C$2,$C$3,$C$4,$C$6,$C$5,$C$7,AL$1,AL$2,A62)</f>
        <v>0</v>
      </c>
      <c r="AM62" s="33">
        <f ca="1">_xll.DBRW($C$1,$C$2,$C$3,$C$4,$C$6,$C$5,$C$7,AM$1,AM$2,A62)</f>
        <v>0</v>
      </c>
      <c r="AN62" s="33">
        <f ca="1">_xll.DBRW($C$1,$C$2,$C$3,$C$4,$C$6,$C$5,$C$7,AN$1,AN$2,A62)</f>
        <v>0</v>
      </c>
      <c r="AO62" s="33">
        <f ca="1">_xll.DBRW($C$1,$C$2,$C$3,$C$4,$C$6,$C$5,$C$7,AO$1,AO$2,A62)</f>
        <v>0</v>
      </c>
      <c r="AP62" s="33">
        <f ca="1">_xll.DBRW($C$1,$C$2,$C$3,$C$4,$C$6,$C$5,$C$7,AP$1,AP$2,A62)</f>
        <v>0</v>
      </c>
      <c r="AQ62" s="33">
        <f ca="1">_xll.DBRW($C$1,$C$2,$C$3,$C$4,$C$6,$C$5,$C$7,AQ$1,AQ$2,A62)</f>
        <v>0</v>
      </c>
      <c r="AR62" s="33">
        <f ca="1">_xll.DBRW($C$1,$C$2,$C$3,$C$4,$C$6,$C$5,$C$7,AR$1,AR$2,A62)</f>
        <v>0</v>
      </c>
      <c r="AS62" s="33">
        <f ca="1">_xll.DBRW($C$1,$C$2,$C$3,$C$4,$C$6,$C$5,$C$7,AS$1,AS$2,A62)</f>
        <v>0</v>
      </c>
      <c r="AT62" s="33">
        <f ca="1">_xll.DBRW($C$1,$C$2,$C$3,$C$4,$C$6,$C$5,$C$7,AT$1,AT$2,A62)</f>
        <v>0</v>
      </c>
      <c r="AU62" s="33">
        <f ca="1">_xll.DBRW($C$1,$C$2,$C$3,$C$4,$C$6,$C$5,$C$7,AU$1,AU$2,A62)</f>
        <v>0</v>
      </c>
      <c r="AV62" s="33">
        <f ca="1">_xll.DBRW($C$1,$C$2,$C$3,$C$4,$C$6,$C$5,$C$7,AV$1,AV$2,A62)</f>
        <v>0</v>
      </c>
      <c r="AW62" s="33">
        <f ca="1">_xll.DBRW($C$1,$C$2,$C$3,$C$4,$C$6,$C$5,$C$7,AW$1,AW$2,A62)</f>
        <v>0</v>
      </c>
      <c r="AX62" s="33">
        <f ca="1">_xll.DBRW($C$1,$C$2,$C$3,$C$4,$C$6,$C$5,$C$7,AX$1,AX$2,A62)</f>
        <v>0</v>
      </c>
      <c r="AY62" s="33">
        <f ca="1">_xll.DBRW($C$1,$C$2,$C$3,$C$4,$C$6,$C$5,$C$7,AY$1,AY$2,A62)</f>
        <v>0</v>
      </c>
    </row>
    <row r="63" spans="1:51" ht="15.75" hidden="1" customHeight="1" outlineLevel="2">
      <c r="A63" s="1" t="s">
        <v>166</v>
      </c>
      <c r="C63" s="109"/>
      <c r="E63" s="9" t="str">
        <f ca="1">_xll.DBRW(Server&amp;"}ElementAttributes_Indicator",A63,"code_English")</f>
        <v>PL1116_ST - COS - Lease expenses (ST)</v>
      </c>
      <c r="F63" s="33">
        <f ca="1">_xll.DBRW($C$1,$C$2,$C$3,$C$4,$C$6,$C$5,$C$7,F$1,F$2,A63)</f>
        <v>0</v>
      </c>
      <c r="G63" s="33">
        <f ca="1">_xll.DBRW($C$1,$C$2,$C$3,$C$4,$C$6,$C$5,$C$7,G$1,G$2,A63)</f>
        <v>0</v>
      </c>
      <c r="H63" s="33">
        <f ca="1">_xll.DBRW($C$1,$C$2,$C$3,$C$4,$C$6,$C$5,$C$7,H$1,H$2,A63)</f>
        <v>0</v>
      </c>
      <c r="I63" s="33">
        <f ca="1">_xll.DBRW($C$1,$C$2,$C$3,$C$4,$C$6,$C$5,$C$7,I$1,I$2,A63)</f>
        <v>0</v>
      </c>
      <c r="J63" s="33">
        <f ca="1">_xll.DBRW($C$1,$C$2,$C$3,$C$4,$C$6,$C$5,$C$7,J$1,J$2,A63)</f>
        <v>0</v>
      </c>
      <c r="K63" s="33">
        <f ca="1">_xll.DBRW($C$1,$C$2,$C$3,$C$4,$C$6,$C$5,$C$7,K$1,K$2,A63)</f>
        <v>0</v>
      </c>
      <c r="L63" s="33">
        <f ca="1">_xll.DBRW($C$1,$C$2,$C$3,$C$4,$C$6,$C$5,$C$7,L$1,L$2,A63)</f>
        <v>0</v>
      </c>
      <c r="M63" s="33">
        <f ca="1">_xll.DBRW($C$1,$C$2,$C$3,$C$4,$C$6,$C$5,$C$7,M$1,M$2,A63)</f>
        <v>0</v>
      </c>
      <c r="N63" s="33">
        <f ca="1">_xll.DBRW($C$1,$C$2,$C$3,$C$4,$C$6,$C$5,$C$7,N$1,N$2,A63)</f>
        <v>0</v>
      </c>
      <c r="O63" s="33">
        <f ca="1">_xll.DBRW($C$1,$C$2,$C$3,$C$4,$C$6,$C$5,$C$7,O$1,O$2,A63)</f>
        <v>0</v>
      </c>
      <c r="P63" s="33">
        <f ca="1">_xll.DBRW($C$1,$C$2,$C$3,$C$4,$C$6,$C$5,$C$7,P$1,P$2,A63)</f>
        <v>0</v>
      </c>
      <c r="Q63" s="33">
        <f ca="1">_xll.DBRW($C$1,$C$2,$C$3,$C$4,$C$6,$C$5,$C$7,Q$1,Q$2,A63)</f>
        <v>0</v>
      </c>
      <c r="R63" s="33">
        <f ca="1">_xll.DBRW($C$1,$C$2,$C$3,$C$4,$C$6,$C$5,$C$7,R$1,R$2,A63)</f>
        <v>0</v>
      </c>
      <c r="S63" s="33">
        <f ca="1">_xll.DBRW($C$1,$C$2,$C$3,$C$4,$C$6,$C$5,$C$7,S$1,S$2,A63)</f>
        <v>0</v>
      </c>
      <c r="T63" s="33">
        <f ca="1">_xll.DBRW($C$1,$C$2,$C$3,$C$4,$C$6,$C$5,$C$7,T$1,T$2,A63)</f>
        <v>0</v>
      </c>
      <c r="U63" s="33">
        <f ca="1">_xll.DBRW($C$1,$C$2,$C$3,$C$4,$C$6,$C$5,$C$7,U$1,U$2,A63)</f>
        <v>0</v>
      </c>
      <c r="V63" s="33">
        <f ca="1">_xll.DBRW($C$1,$C$2,$C$3,$C$4,$C$6,$C$5,$C$7,V$1,V$2,A63)</f>
        <v>0</v>
      </c>
      <c r="W63" s="33">
        <f ca="1">_xll.DBRW($C$1,$C$2,$C$3,$C$4,$C$6,$C$5,$C$7,W$1,W$2,A63)</f>
        <v>0</v>
      </c>
      <c r="X63" s="33">
        <f ca="1">_xll.DBRW($C$1,$C$2,$C$3,$C$4,$C$6,$C$5,$C$7,X$1,X$2,A63)</f>
        <v>0</v>
      </c>
      <c r="Y63" s="33">
        <f ca="1">_xll.DBRW($C$1,$C$2,$C$3,$C$4,$C$6,$C$5,$C$7,Y$1,Y$2,A63)</f>
        <v>0</v>
      </c>
      <c r="Z63" s="33">
        <f ca="1">_xll.DBRW($C$1,$C$2,$C$3,$C$4,$C$6,$C$5,$C$7,Z$1,Z$2,A63)</f>
        <v>0</v>
      </c>
      <c r="AA63" s="33">
        <f ca="1">_xll.DBRW($C$1,$C$2,$C$3,$C$4,$C$6,$C$5,$C$7,AA$1,AA$2,A63)</f>
        <v>0</v>
      </c>
      <c r="AB63" s="33">
        <f ca="1">_xll.DBRW($C$1,$C$2,$C$3,$C$4,$C$6,$C$5,$C$7,AB$1,AB$2,A63)</f>
        <v>0</v>
      </c>
      <c r="AC63" s="33">
        <f ca="1">_xll.DBRW($C$1,$C$2,$C$3,$C$4,$C$6,$C$5,$C$7,AC$1,AC$2,A63)</f>
        <v>0</v>
      </c>
      <c r="AD63" s="33">
        <f ca="1">_xll.DBRW($C$1,$C$2,$C$3,$C$4,$C$6,$C$5,$C$7,AD$1,AD$2,A63)</f>
        <v>0</v>
      </c>
      <c r="AE63" s="33">
        <f ca="1">_xll.DBRW($C$1,$C$2,$C$3,$C$4,$C$6,$C$5,$C$7,AE$1,AE$2,A63)</f>
        <v>0</v>
      </c>
      <c r="AF63" s="33">
        <f ca="1">_xll.DBRW($C$1,$C$2,$C$3,$C$4,$C$6,$C$5,$C$7,AF$1,AF$2,A63)</f>
        <v>0</v>
      </c>
      <c r="AG63" s="33">
        <f ca="1">_xll.DBRW($C$1,$C$2,$C$3,$C$4,$C$6,$C$5,$C$7,AG$1,AG$2,A63)</f>
        <v>0</v>
      </c>
      <c r="AH63" s="33">
        <f ca="1">_xll.DBRW($C$1,$C$2,$C$3,$C$4,$C$6,$C$5,$C$7,AH$1,AH$2,A63)</f>
        <v>0</v>
      </c>
      <c r="AI63" s="33">
        <f ca="1">_xll.DBRW($C$1,$C$2,$C$3,$C$4,$C$6,$C$5,$C$7,AI$1,AI$2,A63)</f>
        <v>0</v>
      </c>
      <c r="AJ63" s="33">
        <f ca="1">_xll.DBRW($C$1,$C$2,$C$3,$C$4,$C$6,$C$5,$C$7,AJ$1,AJ$2,A63)</f>
        <v>0</v>
      </c>
      <c r="AK63" s="33">
        <f ca="1">_xll.DBRW($C$1,$C$2,$C$3,$C$4,$C$6,$C$5,$C$7,AK$1,AK$2,A63)</f>
        <v>0</v>
      </c>
      <c r="AL63" s="33">
        <f ca="1">_xll.DBRW($C$1,$C$2,$C$3,$C$4,$C$6,$C$5,$C$7,AL$1,AL$2,A63)</f>
        <v>0</v>
      </c>
      <c r="AM63" s="33">
        <f ca="1">_xll.DBRW($C$1,$C$2,$C$3,$C$4,$C$6,$C$5,$C$7,AM$1,AM$2,A63)</f>
        <v>0</v>
      </c>
      <c r="AN63" s="33">
        <f ca="1">_xll.DBRW($C$1,$C$2,$C$3,$C$4,$C$6,$C$5,$C$7,AN$1,AN$2,A63)</f>
        <v>0</v>
      </c>
      <c r="AO63" s="33">
        <f ca="1">_xll.DBRW($C$1,$C$2,$C$3,$C$4,$C$6,$C$5,$C$7,AO$1,AO$2,A63)</f>
        <v>0</v>
      </c>
      <c r="AP63" s="33">
        <f ca="1">_xll.DBRW($C$1,$C$2,$C$3,$C$4,$C$6,$C$5,$C$7,AP$1,AP$2,A63)</f>
        <v>0</v>
      </c>
      <c r="AQ63" s="33">
        <f ca="1">_xll.DBRW($C$1,$C$2,$C$3,$C$4,$C$6,$C$5,$C$7,AQ$1,AQ$2,A63)</f>
        <v>0</v>
      </c>
      <c r="AR63" s="33">
        <f ca="1">_xll.DBRW($C$1,$C$2,$C$3,$C$4,$C$6,$C$5,$C$7,AR$1,AR$2,A63)</f>
        <v>0</v>
      </c>
      <c r="AS63" s="33">
        <f ca="1">_xll.DBRW($C$1,$C$2,$C$3,$C$4,$C$6,$C$5,$C$7,AS$1,AS$2,A63)</f>
        <v>0</v>
      </c>
      <c r="AT63" s="33">
        <f ca="1">_xll.DBRW($C$1,$C$2,$C$3,$C$4,$C$6,$C$5,$C$7,AT$1,AT$2,A63)</f>
        <v>0</v>
      </c>
      <c r="AU63" s="33">
        <f ca="1">_xll.DBRW($C$1,$C$2,$C$3,$C$4,$C$6,$C$5,$C$7,AU$1,AU$2,A63)</f>
        <v>0</v>
      </c>
      <c r="AV63" s="33">
        <f ca="1">_xll.DBRW($C$1,$C$2,$C$3,$C$4,$C$6,$C$5,$C$7,AV$1,AV$2,A63)</f>
        <v>0</v>
      </c>
      <c r="AW63" s="33">
        <f ca="1">_xll.DBRW($C$1,$C$2,$C$3,$C$4,$C$6,$C$5,$C$7,AW$1,AW$2,A63)</f>
        <v>0</v>
      </c>
      <c r="AX63" s="33">
        <f ca="1">_xll.DBRW($C$1,$C$2,$C$3,$C$4,$C$6,$C$5,$C$7,AX$1,AX$2,A63)</f>
        <v>0</v>
      </c>
      <c r="AY63" s="33">
        <f ca="1">_xll.DBRW($C$1,$C$2,$C$3,$C$4,$C$6,$C$5,$C$7,AY$1,AY$2,A63)</f>
        <v>0</v>
      </c>
    </row>
    <row r="64" spans="1:51" ht="15.75" hidden="1" customHeight="1" outlineLevel="2">
      <c r="A64" s="1" t="s">
        <v>167</v>
      </c>
      <c r="C64" s="109"/>
      <c r="E64" s="9" t="str">
        <f ca="1">_xll.DBRW(Server&amp;"}ElementAttributes_Indicator",A64,"code_English")</f>
        <v>PL1117_MF - COS - Lease expenses (IFRIC12) (MF)</v>
      </c>
      <c r="F64" s="33">
        <f ca="1">_xll.DBRW($C$1,$C$2,$C$3,$C$4,$C$6,$C$5,$C$7,F$1,F$2,A64)</f>
        <v>0</v>
      </c>
      <c r="G64" s="33">
        <f ca="1">_xll.DBRW($C$1,$C$2,$C$3,$C$4,$C$6,$C$5,$C$7,G$1,G$2,A64)</f>
        <v>0</v>
      </c>
      <c r="H64" s="33">
        <f ca="1">_xll.DBRW($C$1,$C$2,$C$3,$C$4,$C$6,$C$5,$C$7,H$1,H$2,A64)</f>
        <v>0</v>
      </c>
      <c r="I64" s="33">
        <f ca="1">_xll.DBRW($C$1,$C$2,$C$3,$C$4,$C$6,$C$5,$C$7,I$1,I$2,A64)</f>
        <v>0</v>
      </c>
      <c r="J64" s="33">
        <f ca="1">_xll.DBRW($C$1,$C$2,$C$3,$C$4,$C$6,$C$5,$C$7,J$1,J$2,A64)</f>
        <v>0</v>
      </c>
      <c r="K64" s="33">
        <f ca="1">_xll.DBRW($C$1,$C$2,$C$3,$C$4,$C$6,$C$5,$C$7,K$1,K$2,A64)</f>
        <v>0</v>
      </c>
      <c r="L64" s="33">
        <f ca="1">_xll.DBRW($C$1,$C$2,$C$3,$C$4,$C$6,$C$5,$C$7,L$1,L$2,A64)</f>
        <v>0</v>
      </c>
      <c r="M64" s="33">
        <f ca="1">_xll.DBRW($C$1,$C$2,$C$3,$C$4,$C$6,$C$5,$C$7,M$1,M$2,A64)</f>
        <v>0</v>
      </c>
      <c r="N64" s="33">
        <f ca="1">_xll.DBRW($C$1,$C$2,$C$3,$C$4,$C$6,$C$5,$C$7,N$1,N$2,A64)</f>
        <v>0</v>
      </c>
      <c r="O64" s="33">
        <f ca="1">_xll.DBRW($C$1,$C$2,$C$3,$C$4,$C$6,$C$5,$C$7,O$1,O$2,A64)</f>
        <v>0</v>
      </c>
      <c r="P64" s="33">
        <f ca="1">_xll.DBRW($C$1,$C$2,$C$3,$C$4,$C$6,$C$5,$C$7,P$1,P$2,A64)</f>
        <v>0</v>
      </c>
      <c r="Q64" s="33">
        <f ca="1">_xll.DBRW($C$1,$C$2,$C$3,$C$4,$C$6,$C$5,$C$7,Q$1,Q$2,A64)</f>
        <v>0</v>
      </c>
      <c r="R64" s="33">
        <f ca="1">_xll.DBRW($C$1,$C$2,$C$3,$C$4,$C$6,$C$5,$C$7,R$1,R$2,A64)</f>
        <v>0</v>
      </c>
      <c r="S64" s="33">
        <f ca="1">_xll.DBRW($C$1,$C$2,$C$3,$C$4,$C$6,$C$5,$C$7,S$1,S$2,A64)</f>
        <v>0</v>
      </c>
      <c r="T64" s="33">
        <f ca="1">_xll.DBRW($C$1,$C$2,$C$3,$C$4,$C$6,$C$5,$C$7,T$1,T$2,A64)</f>
        <v>0</v>
      </c>
      <c r="U64" s="33">
        <f ca="1">_xll.DBRW($C$1,$C$2,$C$3,$C$4,$C$6,$C$5,$C$7,U$1,U$2,A64)</f>
        <v>0</v>
      </c>
      <c r="V64" s="33">
        <f ca="1">_xll.DBRW($C$1,$C$2,$C$3,$C$4,$C$6,$C$5,$C$7,V$1,V$2,A64)</f>
        <v>0</v>
      </c>
      <c r="W64" s="33">
        <f ca="1">_xll.DBRW($C$1,$C$2,$C$3,$C$4,$C$6,$C$5,$C$7,W$1,W$2,A64)</f>
        <v>0</v>
      </c>
      <c r="X64" s="33">
        <f ca="1">_xll.DBRW($C$1,$C$2,$C$3,$C$4,$C$6,$C$5,$C$7,X$1,X$2,A64)</f>
        <v>0</v>
      </c>
      <c r="Y64" s="33">
        <f ca="1">_xll.DBRW($C$1,$C$2,$C$3,$C$4,$C$6,$C$5,$C$7,Y$1,Y$2,A64)</f>
        <v>0</v>
      </c>
      <c r="Z64" s="33">
        <f ca="1">_xll.DBRW($C$1,$C$2,$C$3,$C$4,$C$6,$C$5,$C$7,Z$1,Z$2,A64)</f>
        <v>0</v>
      </c>
      <c r="AA64" s="33">
        <f ca="1">_xll.DBRW($C$1,$C$2,$C$3,$C$4,$C$6,$C$5,$C$7,AA$1,AA$2,A64)</f>
        <v>0</v>
      </c>
      <c r="AB64" s="33">
        <f ca="1">_xll.DBRW($C$1,$C$2,$C$3,$C$4,$C$6,$C$5,$C$7,AB$1,AB$2,A64)</f>
        <v>0</v>
      </c>
      <c r="AC64" s="33">
        <f ca="1">_xll.DBRW($C$1,$C$2,$C$3,$C$4,$C$6,$C$5,$C$7,AC$1,AC$2,A64)</f>
        <v>0</v>
      </c>
      <c r="AD64" s="33">
        <f ca="1">_xll.DBRW($C$1,$C$2,$C$3,$C$4,$C$6,$C$5,$C$7,AD$1,AD$2,A64)</f>
        <v>0</v>
      </c>
      <c r="AE64" s="33">
        <f ca="1">_xll.DBRW($C$1,$C$2,$C$3,$C$4,$C$6,$C$5,$C$7,AE$1,AE$2,A64)</f>
        <v>0</v>
      </c>
      <c r="AF64" s="33">
        <f ca="1">_xll.DBRW($C$1,$C$2,$C$3,$C$4,$C$6,$C$5,$C$7,AF$1,AF$2,A64)</f>
        <v>0</v>
      </c>
      <c r="AG64" s="33">
        <f ca="1">_xll.DBRW($C$1,$C$2,$C$3,$C$4,$C$6,$C$5,$C$7,AG$1,AG$2,A64)</f>
        <v>0</v>
      </c>
      <c r="AH64" s="33">
        <f ca="1">_xll.DBRW($C$1,$C$2,$C$3,$C$4,$C$6,$C$5,$C$7,AH$1,AH$2,A64)</f>
        <v>0</v>
      </c>
      <c r="AI64" s="33">
        <f ca="1">_xll.DBRW($C$1,$C$2,$C$3,$C$4,$C$6,$C$5,$C$7,AI$1,AI$2,A64)</f>
        <v>0</v>
      </c>
      <c r="AJ64" s="33">
        <f ca="1">_xll.DBRW($C$1,$C$2,$C$3,$C$4,$C$6,$C$5,$C$7,AJ$1,AJ$2,A64)</f>
        <v>0</v>
      </c>
      <c r="AK64" s="33">
        <f ca="1">_xll.DBRW($C$1,$C$2,$C$3,$C$4,$C$6,$C$5,$C$7,AK$1,AK$2,A64)</f>
        <v>0</v>
      </c>
      <c r="AL64" s="33">
        <f ca="1">_xll.DBRW($C$1,$C$2,$C$3,$C$4,$C$6,$C$5,$C$7,AL$1,AL$2,A64)</f>
        <v>0</v>
      </c>
      <c r="AM64" s="33">
        <f ca="1">_xll.DBRW($C$1,$C$2,$C$3,$C$4,$C$6,$C$5,$C$7,AM$1,AM$2,A64)</f>
        <v>0</v>
      </c>
      <c r="AN64" s="33">
        <f ca="1">_xll.DBRW($C$1,$C$2,$C$3,$C$4,$C$6,$C$5,$C$7,AN$1,AN$2,A64)</f>
        <v>0</v>
      </c>
      <c r="AO64" s="33">
        <f ca="1">_xll.DBRW($C$1,$C$2,$C$3,$C$4,$C$6,$C$5,$C$7,AO$1,AO$2,A64)</f>
        <v>0</v>
      </c>
      <c r="AP64" s="33">
        <f ca="1">_xll.DBRW($C$1,$C$2,$C$3,$C$4,$C$6,$C$5,$C$7,AP$1,AP$2,A64)</f>
        <v>0</v>
      </c>
      <c r="AQ64" s="33">
        <f ca="1">_xll.DBRW($C$1,$C$2,$C$3,$C$4,$C$6,$C$5,$C$7,AQ$1,AQ$2,A64)</f>
        <v>0</v>
      </c>
      <c r="AR64" s="33">
        <f ca="1">_xll.DBRW($C$1,$C$2,$C$3,$C$4,$C$6,$C$5,$C$7,AR$1,AR$2,A64)</f>
        <v>0</v>
      </c>
      <c r="AS64" s="33">
        <f ca="1">_xll.DBRW($C$1,$C$2,$C$3,$C$4,$C$6,$C$5,$C$7,AS$1,AS$2,A64)</f>
        <v>0</v>
      </c>
      <c r="AT64" s="33">
        <f ca="1">_xll.DBRW($C$1,$C$2,$C$3,$C$4,$C$6,$C$5,$C$7,AT$1,AT$2,A64)</f>
        <v>0</v>
      </c>
      <c r="AU64" s="33">
        <f ca="1">_xll.DBRW($C$1,$C$2,$C$3,$C$4,$C$6,$C$5,$C$7,AU$1,AU$2,A64)</f>
        <v>0</v>
      </c>
      <c r="AV64" s="33">
        <f ca="1">_xll.DBRW($C$1,$C$2,$C$3,$C$4,$C$6,$C$5,$C$7,AV$1,AV$2,A64)</f>
        <v>0</v>
      </c>
      <c r="AW64" s="33">
        <f ca="1">_xll.DBRW($C$1,$C$2,$C$3,$C$4,$C$6,$C$5,$C$7,AW$1,AW$2,A64)</f>
        <v>0</v>
      </c>
      <c r="AX64" s="33">
        <f ca="1">_xll.DBRW($C$1,$C$2,$C$3,$C$4,$C$6,$C$5,$C$7,AX$1,AX$2,A64)</f>
        <v>0</v>
      </c>
      <c r="AY64" s="33">
        <f ca="1">_xll.DBRW($C$1,$C$2,$C$3,$C$4,$C$6,$C$5,$C$7,AY$1,AY$2,A64)</f>
        <v>0</v>
      </c>
    </row>
    <row r="65" spans="1:51" ht="15.75" hidden="1" customHeight="1" outlineLevel="2">
      <c r="A65" s="1" t="s">
        <v>168</v>
      </c>
      <c r="C65" s="109"/>
      <c r="E65" s="9" t="str">
        <f ca="1">_xll.DBRW(Server&amp;"}ElementAttributes_Indicator",A65,"code_English")</f>
        <v>PL1117_ST - COS - Lease expenses (IFRIC12) (ST)</v>
      </c>
      <c r="F65" s="33">
        <f ca="1">_xll.DBRW($C$1,$C$2,$C$3,$C$4,$C$6,$C$5,$C$7,F$1,F$2,A65)</f>
        <v>0</v>
      </c>
      <c r="G65" s="33">
        <f ca="1">_xll.DBRW($C$1,$C$2,$C$3,$C$4,$C$6,$C$5,$C$7,G$1,G$2,A65)</f>
        <v>0</v>
      </c>
      <c r="H65" s="33">
        <f ca="1">_xll.DBRW($C$1,$C$2,$C$3,$C$4,$C$6,$C$5,$C$7,H$1,H$2,A65)</f>
        <v>0</v>
      </c>
      <c r="I65" s="33">
        <f ca="1">_xll.DBRW($C$1,$C$2,$C$3,$C$4,$C$6,$C$5,$C$7,I$1,I$2,A65)</f>
        <v>0</v>
      </c>
      <c r="J65" s="33">
        <f ca="1">_xll.DBRW($C$1,$C$2,$C$3,$C$4,$C$6,$C$5,$C$7,J$1,J$2,A65)</f>
        <v>0</v>
      </c>
      <c r="K65" s="33">
        <f ca="1">_xll.DBRW($C$1,$C$2,$C$3,$C$4,$C$6,$C$5,$C$7,K$1,K$2,A65)</f>
        <v>0</v>
      </c>
      <c r="L65" s="33">
        <f ca="1">_xll.DBRW($C$1,$C$2,$C$3,$C$4,$C$6,$C$5,$C$7,L$1,L$2,A65)</f>
        <v>0</v>
      </c>
      <c r="M65" s="33">
        <f ca="1">_xll.DBRW($C$1,$C$2,$C$3,$C$4,$C$6,$C$5,$C$7,M$1,M$2,A65)</f>
        <v>0</v>
      </c>
      <c r="N65" s="33">
        <f ca="1">_xll.DBRW($C$1,$C$2,$C$3,$C$4,$C$6,$C$5,$C$7,N$1,N$2,A65)</f>
        <v>0</v>
      </c>
      <c r="O65" s="33">
        <f ca="1">_xll.DBRW($C$1,$C$2,$C$3,$C$4,$C$6,$C$5,$C$7,O$1,O$2,A65)</f>
        <v>0</v>
      </c>
      <c r="P65" s="33">
        <f ca="1">_xll.DBRW($C$1,$C$2,$C$3,$C$4,$C$6,$C$5,$C$7,P$1,P$2,A65)</f>
        <v>0</v>
      </c>
      <c r="Q65" s="33">
        <f ca="1">_xll.DBRW($C$1,$C$2,$C$3,$C$4,$C$6,$C$5,$C$7,Q$1,Q$2,A65)</f>
        <v>0</v>
      </c>
      <c r="R65" s="33">
        <f ca="1">_xll.DBRW($C$1,$C$2,$C$3,$C$4,$C$6,$C$5,$C$7,R$1,R$2,A65)</f>
        <v>0</v>
      </c>
      <c r="S65" s="33">
        <f ca="1">_xll.DBRW($C$1,$C$2,$C$3,$C$4,$C$6,$C$5,$C$7,S$1,S$2,A65)</f>
        <v>0</v>
      </c>
      <c r="T65" s="33">
        <f ca="1">_xll.DBRW($C$1,$C$2,$C$3,$C$4,$C$6,$C$5,$C$7,T$1,T$2,A65)</f>
        <v>0</v>
      </c>
      <c r="U65" s="33">
        <f ca="1">_xll.DBRW($C$1,$C$2,$C$3,$C$4,$C$6,$C$5,$C$7,U$1,U$2,A65)</f>
        <v>0</v>
      </c>
      <c r="V65" s="33">
        <f ca="1">_xll.DBRW($C$1,$C$2,$C$3,$C$4,$C$6,$C$5,$C$7,V$1,V$2,A65)</f>
        <v>0</v>
      </c>
      <c r="W65" s="33">
        <f ca="1">_xll.DBRW($C$1,$C$2,$C$3,$C$4,$C$6,$C$5,$C$7,W$1,W$2,A65)</f>
        <v>0</v>
      </c>
      <c r="X65" s="33">
        <f ca="1">_xll.DBRW($C$1,$C$2,$C$3,$C$4,$C$6,$C$5,$C$7,X$1,X$2,A65)</f>
        <v>0</v>
      </c>
      <c r="Y65" s="33">
        <f ca="1">_xll.DBRW($C$1,$C$2,$C$3,$C$4,$C$6,$C$5,$C$7,Y$1,Y$2,A65)</f>
        <v>0</v>
      </c>
      <c r="Z65" s="33">
        <f ca="1">_xll.DBRW($C$1,$C$2,$C$3,$C$4,$C$6,$C$5,$C$7,Z$1,Z$2,A65)</f>
        <v>0</v>
      </c>
      <c r="AA65" s="33">
        <f ca="1">_xll.DBRW($C$1,$C$2,$C$3,$C$4,$C$6,$C$5,$C$7,AA$1,AA$2,A65)</f>
        <v>0</v>
      </c>
      <c r="AB65" s="33">
        <f ca="1">_xll.DBRW($C$1,$C$2,$C$3,$C$4,$C$6,$C$5,$C$7,AB$1,AB$2,A65)</f>
        <v>0</v>
      </c>
      <c r="AC65" s="33">
        <f ca="1">_xll.DBRW($C$1,$C$2,$C$3,$C$4,$C$6,$C$5,$C$7,AC$1,AC$2,A65)</f>
        <v>0</v>
      </c>
      <c r="AD65" s="33">
        <f ca="1">_xll.DBRW($C$1,$C$2,$C$3,$C$4,$C$6,$C$5,$C$7,AD$1,AD$2,A65)</f>
        <v>0</v>
      </c>
      <c r="AE65" s="33">
        <f ca="1">_xll.DBRW($C$1,$C$2,$C$3,$C$4,$C$6,$C$5,$C$7,AE$1,AE$2,A65)</f>
        <v>0</v>
      </c>
      <c r="AF65" s="33">
        <f ca="1">_xll.DBRW($C$1,$C$2,$C$3,$C$4,$C$6,$C$5,$C$7,AF$1,AF$2,A65)</f>
        <v>0</v>
      </c>
      <c r="AG65" s="33">
        <f ca="1">_xll.DBRW($C$1,$C$2,$C$3,$C$4,$C$6,$C$5,$C$7,AG$1,AG$2,A65)</f>
        <v>0</v>
      </c>
      <c r="AH65" s="33">
        <f ca="1">_xll.DBRW($C$1,$C$2,$C$3,$C$4,$C$6,$C$5,$C$7,AH$1,AH$2,A65)</f>
        <v>0</v>
      </c>
      <c r="AI65" s="33">
        <f ca="1">_xll.DBRW($C$1,$C$2,$C$3,$C$4,$C$6,$C$5,$C$7,AI$1,AI$2,A65)</f>
        <v>0</v>
      </c>
      <c r="AJ65" s="33">
        <f ca="1">_xll.DBRW($C$1,$C$2,$C$3,$C$4,$C$6,$C$5,$C$7,AJ$1,AJ$2,A65)</f>
        <v>0</v>
      </c>
      <c r="AK65" s="33">
        <f ca="1">_xll.DBRW($C$1,$C$2,$C$3,$C$4,$C$6,$C$5,$C$7,AK$1,AK$2,A65)</f>
        <v>0</v>
      </c>
      <c r="AL65" s="33">
        <f ca="1">_xll.DBRW($C$1,$C$2,$C$3,$C$4,$C$6,$C$5,$C$7,AL$1,AL$2,A65)</f>
        <v>0</v>
      </c>
      <c r="AM65" s="33">
        <f ca="1">_xll.DBRW($C$1,$C$2,$C$3,$C$4,$C$6,$C$5,$C$7,AM$1,AM$2,A65)</f>
        <v>0</v>
      </c>
      <c r="AN65" s="33">
        <f ca="1">_xll.DBRW($C$1,$C$2,$C$3,$C$4,$C$6,$C$5,$C$7,AN$1,AN$2,A65)</f>
        <v>0</v>
      </c>
      <c r="AO65" s="33">
        <f ca="1">_xll.DBRW($C$1,$C$2,$C$3,$C$4,$C$6,$C$5,$C$7,AO$1,AO$2,A65)</f>
        <v>0</v>
      </c>
      <c r="AP65" s="33">
        <f ca="1">_xll.DBRW($C$1,$C$2,$C$3,$C$4,$C$6,$C$5,$C$7,AP$1,AP$2,A65)</f>
        <v>0</v>
      </c>
      <c r="AQ65" s="33">
        <f ca="1">_xll.DBRW($C$1,$C$2,$C$3,$C$4,$C$6,$C$5,$C$7,AQ$1,AQ$2,A65)</f>
        <v>0</v>
      </c>
      <c r="AR65" s="33">
        <f ca="1">_xll.DBRW($C$1,$C$2,$C$3,$C$4,$C$6,$C$5,$C$7,AR$1,AR$2,A65)</f>
        <v>0</v>
      </c>
      <c r="AS65" s="33">
        <f ca="1">_xll.DBRW($C$1,$C$2,$C$3,$C$4,$C$6,$C$5,$C$7,AS$1,AS$2,A65)</f>
        <v>0</v>
      </c>
      <c r="AT65" s="33">
        <f ca="1">_xll.DBRW($C$1,$C$2,$C$3,$C$4,$C$6,$C$5,$C$7,AT$1,AT$2,A65)</f>
        <v>0</v>
      </c>
      <c r="AU65" s="33">
        <f ca="1">_xll.DBRW($C$1,$C$2,$C$3,$C$4,$C$6,$C$5,$C$7,AU$1,AU$2,A65)</f>
        <v>0</v>
      </c>
      <c r="AV65" s="33">
        <f ca="1">_xll.DBRW($C$1,$C$2,$C$3,$C$4,$C$6,$C$5,$C$7,AV$1,AV$2,A65)</f>
        <v>0</v>
      </c>
      <c r="AW65" s="33">
        <f ca="1">_xll.DBRW($C$1,$C$2,$C$3,$C$4,$C$6,$C$5,$C$7,AW$1,AW$2,A65)</f>
        <v>0</v>
      </c>
      <c r="AX65" s="33">
        <f ca="1">_xll.DBRW($C$1,$C$2,$C$3,$C$4,$C$6,$C$5,$C$7,AX$1,AX$2,A65)</f>
        <v>0</v>
      </c>
      <c r="AY65" s="33">
        <f ca="1">_xll.DBRW($C$1,$C$2,$C$3,$C$4,$C$6,$C$5,$C$7,AY$1,AY$2,A65)</f>
        <v>0</v>
      </c>
    </row>
    <row r="66" spans="1:51" ht="15.75" hidden="1" customHeight="1" outlineLevel="2">
      <c r="A66" s="1" t="s">
        <v>169</v>
      </c>
      <c r="C66" s="109"/>
      <c r="E66" s="9" t="str">
        <f ca="1">_xll.DBRW(Server&amp;"}ElementAttributes_Indicator",A66,"code_English")</f>
        <v>PL1118_MF - IFRS16 adjustment through P&amp;L (MF)</v>
      </c>
      <c r="F66" s="33">
        <f ca="1">_xll.DBRW($C$1,$C$2,$C$3,$C$4,$C$6,$C$5,$C$7,F$1,F$2,A66)</f>
        <v>0</v>
      </c>
      <c r="G66" s="33">
        <f ca="1">_xll.DBRW($C$1,$C$2,$C$3,$C$4,$C$6,$C$5,$C$7,G$1,G$2,A66)</f>
        <v>0</v>
      </c>
      <c r="H66" s="33">
        <f ca="1">_xll.DBRW($C$1,$C$2,$C$3,$C$4,$C$6,$C$5,$C$7,H$1,H$2,A66)</f>
        <v>0</v>
      </c>
      <c r="I66" s="33">
        <f ca="1">_xll.DBRW($C$1,$C$2,$C$3,$C$4,$C$6,$C$5,$C$7,I$1,I$2,A66)</f>
        <v>0</v>
      </c>
      <c r="J66" s="33">
        <f ca="1">_xll.DBRW($C$1,$C$2,$C$3,$C$4,$C$6,$C$5,$C$7,J$1,J$2,A66)</f>
        <v>0</v>
      </c>
      <c r="K66" s="33">
        <f ca="1">_xll.DBRW($C$1,$C$2,$C$3,$C$4,$C$6,$C$5,$C$7,K$1,K$2,A66)</f>
        <v>0</v>
      </c>
      <c r="L66" s="33">
        <f ca="1">_xll.DBRW($C$1,$C$2,$C$3,$C$4,$C$6,$C$5,$C$7,L$1,L$2,A66)</f>
        <v>0</v>
      </c>
      <c r="M66" s="33">
        <f ca="1">_xll.DBRW($C$1,$C$2,$C$3,$C$4,$C$6,$C$5,$C$7,M$1,M$2,A66)</f>
        <v>0</v>
      </c>
      <c r="N66" s="33">
        <f ca="1">_xll.DBRW($C$1,$C$2,$C$3,$C$4,$C$6,$C$5,$C$7,N$1,N$2,A66)</f>
        <v>0</v>
      </c>
      <c r="O66" s="33">
        <f ca="1">_xll.DBRW($C$1,$C$2,$C$3,$C$4,$C$6,$C$5,$C$7,O$1,O$2,A66)</f>
        <v>0</v>
      </c>
      <c r="P66" s="33">
        <f ca="1">_xll.DBRW($C$1,$C$2,$C$3,$C$4,$C$6,$C$5,$C$7,P$1,P$2,A66)</f>
        <v>0</v>
      </c>
      <c r="Q66" s="33">
        <f ca="1">_xll.DBRW($C$1,$C$2,$C$3,$C$4,$C$6,$C$5,$C$7,Q$1,Q$2,A66)</f>
        <v>0</v>
      </c>
      <c r="R66" s="33">
        <f ca="1">_xll.DBRW($C$1,$C$2,$C$3,$C$4,$C$6,$C$5,$C$7,R$1,R$2,A66)</f>
        <v>0</v>
      </c>
      <c r="S66" s="33">
        <f ca="1">_xll.DBRW($C$1,$C$2,$C$3,$C$4,$C$6,$C$5,$C$7,S$1,S$2,A66)</f>
        <v>0</v>
      </c>
      <c r="T66" s="33">
        <f ca="1">_xll.DBRW($C$1,$C$2,$C$3,$C$4,$C$6,$C$5,$C$7,T$1,T$2,A66)</f>
        <v>0</v>
      </c>
      <c r="U66" s="33">
        <f ca="1">_xll.DBRW($C$1,$C$2,$C$3,$C$4,$C$6,$C$5,$C$7,U$1,U$2,A66)</f>
        <v>0</v>
      </c>
      <c r="V66" s="33">
        <f ca="1">_xll.DBRW($C$1,$C$2,$C$3,$C$4,$C$6,$C$5,$C$7,V$1,V$2,A66)</f>
        <v>0</v>
      </c>
      <c r="W66" s="33">
        <f ca="1">_xll.DBRW($C$1,$C$2,$C$3,$C$4,$C$6,$C$5,$C$7,W$1,W$2,A66)</f>
        <v>0</v>
      </c>
      <c r="X66" s="33">
        <f ca="1">_xll.DBRW($C$1,$C$2,$C$3,$C$4,$C$6,$C$5,$C$7,X$1,X$2,A66)</f>
        <v>0</v>
      </c>
      <c r="Y66" s="33">
        <f ca="1">_xll.DBRW($C$1,$C$2,$C$3,$C$4,$C$6,$C$5,$C$7,Y$1,Y$2,A66)</f>
        <v>0</v>
      </c>
      <c r="Z66" s="33">
        <f ca="1">_xll.DBRW($C$1,$C$2,$C$3,$C$4,$C$6,$C$5,$C$7,Z$1,Z$2,A66)</f>
        <v>0</v>
      </c>
      <c r="AA66" s="33">
        <f ca="1">_xll.DBRW($C$1,$C$2,$C$3,$C$4,$C$6,$C$5,$C$7,AA$1,AA$2,A66)</f>
        <v>0</v>
      </c>
      <c r="AB66" s="33">
        <f ca="1">_xll.DBRW($C$1,$C$2,$C$3,$C$4,$C$6,$C$5,$C$7,AB$1,AB$2,A66)</f>
        <v>0</v>
      </c>
      <c r="AC66" s="33">
        <f ca="1">_xll.DBRW($C$1,$C$2,$C$3,$C$4,$C$6,$C$5,$C$7,AC$1,AC$2,A66)</f>
        <v>0</v>
      </c>
      <c r="AD66" s="33">
        <f ca="1">_xll.DBRW($C$1,$C$2,$C$3,$C$4,$C$6,$C$5,$C$7,AD$1,AD$2,A66)</f>
        <v>0</v>
      </c>
      <c r="AE66" s="33">
        <f ca="1">_xll.DBRW($C$1,$C$2,$C$3,$C$4,$C$6,$C$5,$C$7,AE$1,AE$2,A66)</f>
        <v>0</v>
      </c>
      <c r="AF66" s="33">
        <f ca="1">_xll.DBRW($C$1,$C$2,$C$3,$C$4,$C$6,$C$5,$C$7,AF$1,AF$2,A66)</f>
        <v>0</v>
      </c>
      <c r="AG66" s="33">
        <f ca="1">_xll.DBRW($C$1,$C$2,$C$3,$C$4,$C$6,$C$5,$C$7,AG$1,AG$2,A66)</f>
        <v>0</v>
      </c>
      <c r="AH66" s="33">
        <f ca="1">_xll.DBRW($C$1,$C$2,$C$3,$C$4,$C$6,$C$5,$C$7,AH$1,AH$2,A66)</f>
        <v>0</v>
      </c>
      <c r="AI66" s="33">
        <f ca="1">_xll.DBRW($C$1,$C$2,$C$3,$C$4,$C$6,$C$5,$C$7,AI$1,AI$2,A66)</f>
        <v>0</v>
      </c>
      <c r="AJ66" s="33">
        <f ca="1">_xll.DBRW($C$1,$C$2,$C$3,$C$4,$C$6,$C$5,$C$7,AJ$1,AJ$2,A66)</f>
        <v>0</v>
      </c>
      <c r="AK66" s="33">
        <f ca="1">_xll.DBRW($C$1,$C$2,$C$3,$C$4,$C$6,$C$5,$C$7,AK$1,AK$2,A66)</f>
        <v>0</v>
      </c>
      <c r="AL66" s="33">
        <f ca="1">_xll.DBRW($C$1,$C$2,$C$3,$C$4,$C$6,$C$5,$C$7,AL$1,AL$2,A66)</f>
        <v>0</v>
      </c>
      <c r="AM66" s="33">
        <f ca="1">_xll.DBRW($C$1,$C$2,$C$3,$C$4,$C$6,$C$5,$C$7,AM$1,AM$2,A66)</f>
        <v>0</v>
      </c>
      <c r="AN66" s="33">
        <f ca="1">_xll.DBRW($C$1,$C$2,$C$3,$C$4,$C$6,$C$5,$C$7,AN$1,AN$2,A66)</f>
        <v>0</v>
      </c>
      <c r="AO66" s="33">
        <f ca="1">_xll.DBRW($C$1,$C$2,$C$3,$C$4,$C$6,$C$5,$C$7,AO$1,AO$2,A66)</f>
        <v>0</v>
      </c>
      <c r="AP66" s="33">
        <f ca="1">_xll.DBRW($C$1,$C$2,$C$3,$C$4,$C$6,$C$5,$C$7,AP$1,AP$2,A66)</f>
        <v>0</v>
      </c>
      <c r="AQ66" s="33">
        <f ca="1">_xll.DBRW($C$1,$C$2,$C$3,$C$4,$C$6,$C$5,$C$7,AQ$1,AQ$2,A66)</f>
        <v>0</v>
      </c>
      <c r="AR66" s="33">
        <f ca="1">_xll.DBRW($C$1,$C$2,$C$3,$C$4,$C$6,$C$5,$C$7,AR$1,AR$2,A66)</f>
        <v>0</v>
      </c>
      <c r="AS66" s="33">
        <f ca="1">_xll.DBRW($C$1,$C$2,$C$3,$C$4,$C$6,$C$5,$C$7,AS$1,AS$2,A66)</f>
        <v>0</v>
      </c>
      <c r="AT66" s="33">
        <f ca="1">_xll.DBRW($C$1,$C$2,$C$3,$C$4,$C$6,$C$5,$C$7,AT$1,AT$2,A66)</f>
        <v>0</v>
      </c>
      <c r="AU66" s="33">
        <f ca="1">_xll.DBRW($C$1,$C$2,$C$3,$C$4,$C$6,$C$5,$C$7,AU$1,AU$2,A66)</f>
        <v>0</v>
      </c>
      <c r="AV66" s="33">
        <f ca="1">_xll.DBRW($C$1,$C$2,$C$3,$C$4,$C$6,$C$5,$C$7,AV$1,AV$2,A66)</f>
        <v>0</v>
      </c>
      <c r="AW66" s="33">
        <f ca="1">_xll.DBRW($C$1,$C$2,$C$3,$C$4,$C$6,$C$5,$C$7,AW$1,AW$2,A66)</f>
        <v>0</v>
      </c>
      <c r="AX66" s="33">
        <f ca="1">_xll.DBRW($C$1,$C$2,$C$3,$C$4,$C$6,$C$5,$C$7,AX$1,AX$2,A66)</f>
        <v>0</v>
      </c>
      <c r="AY66" s="33">
        <f ca="1">_xll.DBRW($C$1,$C$2,$C$3,$C$4,$C$6,$C$5,$C$7,AY$1,AY$2,A66)</f>
        <v>0</v>
      </c>
    </row>
    <row r="67" spans="1:51" ht="15.75" hidden="1" customHeight="1" outlineLevel="2">
      <c r="A67" s="1" t="s">
        <v>170</v>
      </c>
      <c r="C67" s="109"/>
      <c r="E67" s="9" t="str">
        <f ca="1">_xll.DBRW(Server&amp;"}ElementAttributes_Indicator",A67,"code_English")</f>
        <v>PL1118_ST - IFRS16 adjustment through P&amp;L (ST)</v>
      </c>
      <c r="F67" s="33">
        <f ca="1">_xll.DBRW($C$1,$C$2,$C$3,$C$4,$C$6,$C$5,$C$7,F$1,F$2,A67)</f>
        <v>0</v>
      </c>
      <c r="G67" s="33">
        <f ca="1">_xll.DBRW($C$1,$C$2,$C$3,$C$4,$C$6,$C$5,$C$7,G$1,G$2,A67)</f>
        <v>0</v>
      </c>
      <c r="H67" s="33">
        <f ca="1">_xll.DBRW($C$1,$C$2,$C$3,$C$4,$C$6,$C$5,$C$7,H$1,H$2,A67)</f>
        <v>0</v>
      </c>
      <c r="I67" s="33">
        <f ca="1">_xll.DBRW($C$1,$C$2,$C$3,$C$4,$C$6,$C$5,$C$7,I$1,I$2,A67)</f>
        <v>0</v>
      </c>
      <c r="J67" s="33">
        <f ca="1">_xll.DBRW($C$1,$C$2,$C$3,$C$4,$C$6,$C$5,$C$7,J$1,J$2,A67)</f>
        <v>0</v>
      </c>
      <c r="K67" s="33">
        <f ca="1">_xll.DBRW($C$1,$C$2,$C$3,$C$4,$C$6,$C$5,$C$7,K$1,K$2,A67)</f>
        <v>0</v>
      </c>
      <c r="L67" s="33">
        <f ca="1">_xll.DBRW($C$1,$C$2,$C$3,$C$4,$C$6,$C$5,$C$7,L$1,L$2,A67)</f>
        <v>0</v>
      </c>
      <c r="M67" s="33">
        <f ca="1">_xll.DBRW($C$1,$C$2,$C$3,$C$4,$C$6,$C$5,$C$7,M$1,M$2,A67)</f>
        <v>0</v>
      </c>
      <c r="N67" s="33">
        <f ca="1">_xll.DBRW($C$1,$C$2,$C$3,$C$4,$C$6,$C$5,$C$7,N$1,N$2,A67)</f>
        <v>0</v>
      </c>
      <c r="O67" s="33">
        <f ca="1">_xll.DBRW($C$1,$C$2,$C$3,$C$4,$C$6,$C$5,$C$7,O$1,O$2,A67)</f>
        <v>0</v>
      </c>
      <c r="P67" s="33">
        <f ca="1">_xll.DBRW($C$1,$C$2,$C$3,$C$4,$C$6,$C$5,$C$7,P$1,P$2,A67)</f>
        <v>0</v>
      </c>
      <c r="Q67" s="33">
        <f ca="1">_xll.DBRW($C$1,$C$2,$C$3,$C$4,$C$6,$C$5,$C$7,Q$1,Q$2,A67)</f>
        <v>0</v>
      </c>
      <c r="R67" s="33">
        <f ca="1">_xll.DBRW($C$1,$C$2,$C$3,$C$4,$C$6,$C$5,$C$7,R$1,R$2,A67)</f>
        <v>0</v>
      </c>
      <c r="S67" s="33">
        <f ca="1">_xll.DBRW($C$1,$C$2,$C$3,$C$4,$C$6,$C$5,$C$7,S$1,S$2,A67)</f>
        <v>0</v>
      </c>
      <c r="T67" s="33">
        <f ca="1">_xll.DBRW($C$1,$C$2,$C$3,$C$4,$C$6,$C$5,$C$7,T$1,T$2,A67)</f>
        <v>0</v>
      </c>
      <c r="U67" s="33">
        <f ca="1">_xll.DBRW($C$1,$C$2,$C$3,$C$4,$C$6,$C$5,$C$7,U$1,U$2,A67)</f>
        <v>0</v>
      </c>
      <c r="V67" s="33">
        <f ca="1">_xll.DBRW($C$1,$C$2,$C$3,$C$4,$C$6,$C$5,$C$7,V$1,V$2,A67)</f>
        <v>0</v>
      </c>
      <c r="W67" s="33">
        <f ca="1">_xll.DBRW($C$1,$C$2,$C$3,$C$4,$C$6,$C$5,$C$7,W$1,W$2,A67)</f>
        <v>0</v>
      </c>
      <c r="X67" s="33">
        <f ca="1">_xll.DBRW($C$1,$C$2,$C$3,$C$4,$C$6,$C$5,$C$7,X$1,X$2,A67)</f>
        <v>0</v>
      </c>
      <c r="Y67" s="33">
        <f ca="1">_xll.DBRW($C$1,$C$2,$C$3,$C$4,$C$6,$C$5,$C$7,Y$1,Y$2,A67)</f>
        <v>0</v>
      </c>
      <c r="Z67" s="33">
        <f ca="1">_xll.DBRW($C$1,$C$2,$C$3,$C$4,$C$6,$C$5,$C$7,Z$1,Z$2,A67)</f>
        <v>0</v>
      </c>
      <c r="AA67" s="33">
        <f ca="1">_xll.DBRW($C$1,$C$2,$C$3,$C$4,$C$6,$C$5,$C$7,AA$1,AA$2,A67)</f>
        <v>0</v>
      </c>
      <c r="AB67" s="33">
        <f ca="1">_xll.DBRW($C$1,$C$2,$C$3,$C$4,$C$6,$C$5,$C$7,AB$1,AB$2,A67)</f>
        <v>0</v>
      </c>
      <c r="AC67" s="33">
        <f ca="1">_xll.DBRW($C$1,$C$2,$C$3,$C$4,$C$6,$C$5,$C$7,AC$1,AC$2,A67)</f>
        <v>0</v>
      </c>
      <c r="AD67" s="33">
        <f ca="1">_xll.DBRW($C$1,$C$2,$C$3,$C$4,$C$6,$C$5,$C$7,AD$1,AD$2,A67)</f>
        <v>0</v>
      </c>
      <c r="AE67" s="33">
        <f ca="1">_xll.DBRW($C$1,$C$2,$C$3,$C$4,$C$6,$C$5,$C$7,AE$1,AE$2,A67)</f>
        <v>0</v>
      </c>
      <c r="AF67" s="33">
        <f ca="1">_xll.DBRW($C$1,$C$2,$C$3,$C$4,$C$6,$C$5,$C$7,AF$1,AF$2,A67)</f>
        <v>0</v>
      </c>
      <c r="AG67" s="33">
        <f ca="1">_xll.DBRW($C$1,$C$2,$C$3,$C$4,$C$6,$C$5,$C$7,AG$1,AG$2,A67)</f>
        <v>0</v>
      </c>
      <c r="AH67" s="33">
        <f ca="1">_xll.DBRW($C$1,$C$2,$C$3,$C$4,$C$6,$C$5,$C$7,AH$1,AH$2,A67)</f>
        <v>0</v>
      </c>
      <c r="AI67" s="33">
        <f ca="1">_xll.DBRW($C$1,$C$2,$C$3,$C$4,$C$6,$C$5,$C$7,AI$1,AI$2,A67)</f>
        <v>0</v>
      </c>
      <c r="AJ67" s="33">
        <f ca="1">_xll.DBRW($C$1,$C$2,$C$3,$C$4,$C$6,$C$5,$C$7,AJ$1,AJ$2,A67)</f>
        <v>0</v>
      </c>
      <c r="AK67" s="33">
        <f ca="1">_xll.DBRW($C$1,$C$2,$C$3,$C$4,$C$6,$C$5,$C$7,AK$1,AK$2,A67)</f>
        <v>0</v>
      </c>
      <c r="AL67" s="33">
        <f ca="1">_xll.DBRW($C$1,$C$2,$C$3,$C$4,$C$6,$C$5,$C$7,AL$1,AL$2,A67)</f>
        <v>0</v>
      </c>
      <c r="AM67" s="33">
        <f ca="1">_xll.DBRW($C$1,$C$2,$C$3,$C$4,$C$6,$C$5,$C$7,AM$1,AM$2,A67)</f>
        <v>0</v>
      </c>
      <c r="AN67" s="33">
        <f ca="1">_xll.DBRW($C$1,$C$2,$C$3,$C$4,$C$6,$C$5,$C$7,AN$1,AN$2,A67)</f>
        <v>0</v>
      </c>
      <c r="AO67" s="33">
        <f ca="1">_xll.DBRW($C$1,$C$2,$C$3,$C$4,$C$6,$C$5,$C$7,AO$1,AO$2,A67)</f>
        <v>0</v>
      </c>
      <c r="AP67" s="33">
        <f ca="1">_xll.DBRW($C$1,$C$2,$C$3,$C$4,$C$6,$C$5,$C$7,AP$1,AP$2,A67)</f>
        <v>0</v>
      </c>
      <c r="AQ67" s="33">
        <f ca="1">_xll.DBRW($C$1,$C$2,$C$3,$C$4,$C$6,$C$5,$C$7,AQ$1,AQ$2,A67)</f>
        <v>0</v>
      </c>
      <c r="AR67" s="33">
        <f ca="1">_xll.DBRW($C$1,$C$2,$C$3,$C$4,$C$6,$C$5,$C$7,AR$1,AR$2,A67)</f>
        <v>0</v>
      </c>
      <c r="AS67" s="33">
        <f ca="1">_xll.DBRW($C$1,$C$2,$C$3,$C$4,$C$6,$C$5,$C$7,AS$1,AS$2,A67)</f>
        <v>0</v>
      </c>
      <c r="AT67" s="33">
        <f ca="1">_xll.DBRW($C$1,$C$2,$C$3,$C$4,$C$6,$C$5,$C$7,AT$1,AT$2,A67)</f>
        <v>0</v>
      </c>
      <c r="AU67" s="33">
        <f ca="1">_xll.DBRW($C$1,$C$2,$C$3,$C$4,$C$6,$C$5,$C$7,AU$1,AU$2,A67)</f>
        <v>0</v>
      </c>
      <c r="AV67" s="33">
        <f ca="1">_xll.DBRW($C$1,$C$2,$C$3,$C$4,$C$6,$C$5,$C$7,AV$1,AV$2,A67)</f>
        <v>0</v>
      </c>
      <c r="AW67" s="33">
        <f ca="1">_xll.DBRW($C$1,$C$2,$C$3,$C$4,$C$6,$C$5,$C$7,AW$1,AW$2,A67)</f>
        <v>0</v>
      </c>
      <c r="AX67" s="33">
        <f ca="1">_xll.DBRW($C$1,$C$2,$C$3,$C$4,$C$6,$C$5,$C$7,AX$1,AX$2,A67)</f>
        <v>0</v>
      </c>
      <c r="AY67" s="33">
        <f ca="1">_xll.DBRW($C$1,$C$2,$C$3,$C$4,$C$6,$C$5,$C$7,AY$1,AY$2,A67)</f>
        <v>0</v>
      </c>
    </row>
    <row r="68" spans="1:51" ht="15.75" hidden="1" customHeight="1" outlineLevel="2">
      <c r="A68" s="1" t="s">
        <v>171</v>
      </c>
      <c r="C68" s="109"/>
      <c r="E68" s="9" t="str">
        <f ca="1">_xll.DBRW(Server&amp;"}ElementAttributes_Indicator",A68,"code_English")</f>
        <v>PL1140_MF_10 - Amortization (MF)</v>
      </c>
      <c r="F68" s="33">
        <f ca="1">_xll.DBRW($C$1,$C$2,$C$3,$C$4,$C$6,$C$5,$C$7,F$1,F$2,A68)</f>
        <v>0</v>
      </c>
      <c r="G68" s="33">
        <f ca="1">_xll.DBRW($C$1,$C$2,$C$3,$C$4,$C$6,$C$5,$C$7,G$1,G$2,A68)</f>
        <v>0</v>
      </c>
      <c r="H68" s="33">
        <f ca="1">_xll.DBRW($C$1,$C$2,$C$3,$C$4,$C$6,$C$5,$C$7,H$1,H$2,A68)</f>
        <v>0</v>
      </c>
      <c r="I68" s="33">
        <f ca="1">_xll.DBRW($C$1,$C$2,$C$3,$C$4,$C$6,$C$5,$C$7,I$1,I$2,A68)</f>
        <v>0</v>
      </c>
      <c r="J68" s="33">
        <f ca="1">_xll.DBRW($C$1,$C$2,$C$3,$C$4,$C$6,$C$5,$C$7,J$1,J$2,A68)</f>
        <v>0</v>
      </c>
      <c r="K68" s="33">
        <f ca="1">_xll.DBRW($C$1,$C$2,$C$3,$C$4,$C$6,$C$5,$C$7,K$1,K$2,A68)</f>
        <v>0</v>
      </c>
      <c r="L68" s="33">
        <f ca="1">_xll.DBRW($C$1,$C$2,$C$3,$C$4,$C$6,$C$5,$C$7,L$1,L$2,A68)</f>
        <v>0</v>
      </c>
      <c r="M68" s="33">
        <f ca="1">_xll.DBRW($C$1,$C$2,$C$3,$C$4,$C$6,$C$5,$C$7,M$1,M$2,A68)</f>
        <v>0</v>
      </c>
      <c r="N68" s="33">
        <f ca="1">_xll.DBRW($C$1,$C$2,$C$3,$C$4,$C$6,$C$5,$C$7,N$1,N$2,A68)</f>
        <v>0</v>
      </c>
      <c r="O68" s="33">
        <f ca="1">_xll.DBRW($C$1,$C$2,$C$3,$C$4,$C$6,$C$5,$C$7,O$1,O$2,A68)</f>
        <v>0</v>
      </c>
      <c r="P68" s="33">
        <f ca="1">_xll.DBRW($C$1,$C$2,$C$3,$C$4,$C$6,$C$5,$C$7,P$1,P$2,A68)</f>
        <v>0</v>
      </c>
      <c r="Q68" s="33">
        <f ca="1">_xll.DBRW($C$1,$C$2,$C$3,$C$4,$C$6,$C$5,$C$7,Q$1,Q$2,A68)</f>
        <v>0</v>
      </c>
      <c r="R68" s="33">
        <f ca="1">_xll.DBRW($C$1,$C$2,$C$3,$C$4,$C$6,$C$5,$C$7,R$1,R$2,A68)</f>
        <v>0</v>
      </c>
      <c r="S68" s="33">
        <f ca="1">_xll.DBRW($C$1,$C$2,$C$3,$C$4,$C$6,$C$5,$C$7,S$1,S$2,A68)</f>
        <v>0</v>
      </c>
      <c r="T68" s="33">
        <f ca="1">_xll.DBRW($C$1,$C$2,$C$3,$C$4,$C$6,$C$5,$C$7,T$1,T$2,A68)</f>
        <v>0</v>
      </c>
      <c r="U68" s="33">
        <f ca="1">_xll.DBRW($C$1,$C$2,$C$3,$C$4,$C$6,$C$5,$C$7,U$1,U$2,A68)</f>
        <v>0</v>
      </c>
      <c r="V68" s="33">
        <f ca="1">_xll.DBRW($C$1,$C$2,$C$3,$C$4,$C$6,$C$5,$C$7,V$1,V$2,A68)</f>
        <v>0</v>
      </c>
      <c r="W68" s="33">
        <f ca="1">_xll.DBRW($C$1,$C$2,$C$3,$C$4,$C$6,$C$5,$C$7,W$1,W$2,A68)</f>
        <v>0</v>
      </c>
      <c r="X68" s="33">
        <f ca="1">_xll.DBRW($C$1,$C$2,$C$3,$C$4,$C$6,$C$5,$C$7,X$1,X$2,A68)</f>
        <v>0</v>
      </c>
      <c r="Y68" s="33">
        <f ca="1">_xll.DBRW($C$1,$C$2,$C$3,$C$4,$C$6,$C$5,$C$7,Y$1,Y$2,A68)</f>
        <v>0</v>
      </c>
      <c r="Z68" s="33">
        <f ca="1">_xll.DBRW($C$1,$C$2,$C$3,$C$4,$C$6,$C$5,$C$7,Z$1,Z$2,A68)</f>
        <v>0</v>
      </c>
      <c r="AA68" s="33">
        <f ca="1">_xll.DBRW($C$1,$C$2,$C$3,$C$4,$C$6,$C$5,$C$7,AA$1,AA$2,A68)</f>
        <v>0</v>
      </c>
      <c r="AB68" s="33">
        <f ca="1">_xll.DBRW($C$1,$C$2,$C$3,$C$4,$C$6,$C$5,$C$7,AB$1,AB$2,A68)</f>
        <v>0</v>
      </c>
      <c r="AC68" s="33">
        <f ca="1">_xll.DBRW($C$1,$C$2,$C$3,$C$4,$C$6,$C$5,$C$7,AC$1,AC$2,A68)</f>
        <v>0</v>
      </c>
      <c r="AD68" s="33">
        <f ca="1">_xll.DBRW($C$1,$C$2,$C$3,$C$4,$C$6,$C$5,$C$7,AD$1,AD$2,A68)</f>
        <v>0</v>
      </c>
      <c r="AE68" s="33">
        <f ca="1">_xll.DBRW($C$1,$C$2,$C$3,$C$4,$C$6,$C$5,$C$7,AE$1,AE$2,A68)</f>
        <v>0</v>
      </c>
      <c r="AF68" s="33">
        <f ca="1">_xll.DBRW($C$1,$C$2,$C$3,$C$4,$C$6,$C$5,$C$7,AF$1,AF$2,A68)</f>
        <v>0</v>
      </c>
      <c r="AG68" s="33">
        <f ca="1">_xll.DBRW($C$1,$C$2,$C$3,$C$4,$C$6,$C$5,$C$7,AG$1,AG$2,A68)</f>
        <v>0</v>
      </c>
      <c r="AH68" s="33">
        <f ca="1">_xll.DBRW($C$1,$C$2,$C$3,$C$4,$C$6,$C$5,$C$7,AH$1,AH$2,A68)</f>
        <v>0</v>
      </c>
      <c r="AI68" s="33">
        <f ca="1">_xll.DBRW($C$1,$C$2,$C$3,$C$4,$C$6,$C$5,$C$7,AI$1,AI$2,A68)</f>
        <v>0</v>
      </c>
      <c r="AJ68" s="33">
        <f ca="1">_xll.DBRW($C$1,$C$2,$C$3,$C$4,$C$6,$C$5,$C$7,AJ$1,AJ$2,A68)</f>
        <v>0</v>
      </c>
      <c r="AK68" s="33">
        <f ca="1">_xll.DBRW($C$1,$C$2,$C$3,$C$4,$C$6,$C$5,$C$7,AK$1,AK$2,A68)</f>
        <v>0</v>
      </c>
      <c r="AL68" s="33">
        <f ca="1">_xll.DBRW($C$1,$C$2,$C$3,$C$4,$C$6,$C$5,$C$7,AL$1,AL$2,A68)</f>
        <v>0</v>
      </c>
      <c r="AM68" s="33">
        <f ca="1">_xll.DBRW($C$1,$C$2,$C$3,$C$4,$C$6,$C$5,$C$7,AM$1,AM$2,A68)</f>
        <v>0</v>
      </c>
      <c r="AN68" s="33">
        <f ca="1">_xll.DBRW($C$1,$C$2,$C$3,$C$4,$C$6,$C$5,$C$7,AN$1,AN$2,A68)</f>
        <v>0</v>
      </c>
      <c r="AO68" s="33">
        <f ca="1">_xll.DBRW($C$1,$C$2,$C$3,$C$4,$C$6,$C$5,$C$7,AO$1,AO$2,A68)</f>
        <v>0</v>
      </c>
      <c r="AP68" s="33">
        <f ca="1">_xll.DBRW($C$1,$C$2,$C$3,$C$4,$C$6,$C$5,$C$7,AP$1,AP$2,A68)</f>
        <v>0</v>
      </c>
      <c r="AQ68" s="33">
        <f ca="1">_xll.DBRW($C$1,$C$2,$C$3,$C$4,$C$6,$C$5,$C$7,AQ$1,AQ$2,A68)</f>
        <v>0</v>
      </c>
      <c r="AR68" s="33">
        <f ca="1">_xll.DBRW($C$1,$C$2,$C$3,$C$4,$C$6,$C$5,$C$7,AR$1,AR$2,A68)</f>
        <v>0</v>
      </c>
      <c r="AS68" s="33">
        <f ca="1">_xll.DBRW($C$1,$C$2,$C$3,$C$4,$C$6,$C$5,$C$7,AS$1,AS$2,A68)</f>
        <v>0</v>
      </c>
      <c r="AT68" s="33">
        <f ca="1">_xll.DBRW($C$1,$C$2,$C$3,$C$4,$C$6,$C$5,$C$7,AT$1,AT$2,A68)</f>
        <v>0</v>
      </c>
      <c r="AU68" s="33">
        <f ca="1">_xll.DBRW($C$1,$C$2,$C$3,$C$4,$C$6,$C$5,$C$7,AU$1,AU$2,A68)</f>
        <v>0</v>
      </c>
      <c r="AV68" s="33">
        <f ca="1">_xll.DBRW($C$1,$C$2,$C$3,$C$4,$C$6,$C$5,$C$7,AV$1,AV$2,A68)</f>
        <v>0</v>
      </c>
      <c r="AW68" s="33">
        <f ca="1">_xll.DBRW($C$1,$C$2,$C$3,$C$4,$C$6,$C$5,$C$7,AW$1,AW$2,A68)</f>
        <v>0</v>
      </c>
      <c r="AX68" s="33">
        <f ca="1">_xll.DBRW($C$1,$C$2,$C$3,$C$4,$C$6,$C$5,$C$7,AX$1,AX$2,A68)</f>
        <v>0</v>
      </c>
      <c r="AY68" s="33">
        <f ca="1">_xll.DBRW($C$1,$C$2,$C$3,$C$4,$C$6,$C$5,$C$7,AY$1,AY$2,A68)</f>
        <v>0</v>
      </c>
    </row>
    <row r="69" spans="1:51" ht="15.75" hidden="1" customHeight="1" outlineLevel="2">
      <c r="A69" s="1" t="s">
        <v>172</v>
      </c>
      <c r="C69" s="109"/>
      <c r="E69" s="9" t="str">
        <f ca="1">_xll.DBRW(Server&amp;"}ElementAttributes_Indicator",A69,"code_English")</f>
        <v>PL1145_MF - Impairment - working capital (MF)</v>
      </c>
      <c r="F69" s="33">
        <f ca="1">_xll.DBRW($C$1,$C$2,$C$3,$C$4,$C$6,$C$5,$C$7,F$1,F$2,A69)</f>
        <v>0</v>
      </c>
      <c r="G69" s="33">
        <f ca="1">_xll.DBRW($C$1,$C$2,$C$3,$C$4,$C$6,$C$5,$C$7,G$1,G$2,A69)</f>
        <v>0</v>
      </c>
      <c r="H69" s="33">
        <f ca="1">_xll.DBRW($C$1,$C$2,$C$3,$C$4,$C$6,$C$5,$C$7,H$1,H$2,A69)</f>
        <v>0</v>
      </c>
      <c r="I69" s="33">
        <f ca="1">_xll.DBRW($C$1,$C$2,$C$3,$C$4,$C$6,$C$5,$C$7,I$1,I$2,A69)</f>
        <v>0</v>
      </c>
      <c r="J69" s="33">
        <f ca="1">_xll.DBRW($C$1,$C$2,$C$3,$C$4,$C$6,$C$5,$C$7,J$1,J$2,A69)</f>
        <v>0</v>
      </c>
      <c r="K69" s="33">
        <f ca="1">_xll.DBRW($C$1,$C$2,$C$3,$C$4,$C$6,$C$5,$C$7,K$1,K$2,A69)</f>
        <v>0</v>
      </c>
      <c r="L69" s="33">
        <f ca="1">_xll.DBRW($C$1,$C$2,$C$3,$C$4,$C$6,$C$5,$C$7,L$1,L$2,A69)</f>
        <v>0</v>
      </c>
      <c r="M69" s="33">
        <f ca="1">_xll.DBRW($C$1,$C$2,$C$3,$C$4,$C$6,$C$5,$C$7,M$1,M$2,A69)</f>
        <v>0</v>
      </c>
      <c r="N69" s="33">
        <f ca="1">_xll.DBRW($C$1,$C$2,$C$3,$C$4,$C$6,$C$5,$C$7,N$1,N$2,A69)</f>
        <v>0</v>
      </c>
      <c r="O69" s="33">
        <f ca="1">_xll.DBRW($C$1,$C$2,$C$3,$C$4,$C$6,$C$5,$C$7,O$1,O$2,A69)</f>
        <v>0</v>
      </c>
      <c r="P69" s="33">
        <f ca="1">_xll.DBRW($C$1,$C$2,$C$3,$C$4,$C$6,$C$5,$C$7,P$1,P$2,A69)</f>
        <v>0</v>
      </c>
      <c r="Q69" s="33">
        <f ca="1">_xll.DBRW($C$1,$C$2,$C$3,$C$4,$C$6,$C$5,$C$7,Q$1,Q$2,A69)</f>
        <v>0</v>
      </c>
      <c r="R69" s="33">
        <f ca="1">_xll.DBRW($C$1,$C$2,$C$3,$C$4,$C$6,$C$5,$C$7,R$1,R$2,A69)</f>
        <v>0</v>
      </c>
      <c r="S69" s="33">
        <f ca="1">_xll.DBRW($C$1,$C$2,$C$3,$C$4,$C$6,$C$5,$C$7,S$1,S$2,A69)</f>
        <v>0</v>
      </c>
      <c r="T69" s="33">
        <f ca="1">_xll.DBRW($C$1,$C$2,$C$3,$C$4,$C$6,$C$5,$C$7,T$1,T$2,A69)</f>
        <v>0</v>
      </c>
      <c r="U69" s="33">
        <f ca="1">_xll.DBRW($C$1,$C$2,$C$3,$C$4,$C$6,$C$5,$C$7,U$1,U$2,A69)</f>
        <v>0</v>
      </c>
      <c r="V69" s="33">
        <f ca="1">_xll.DBRW($C$1,$C$2,$C$3,$C$4,$C$6,$C$5,$C$7,V$1,V$2,A69)</f>
        <v>0</v>
      </c>
      <c r="W69" s="33">
        <f ca="1">_xll.DBRW($C$1,$C$2,$C$3,$C$4,$C$6,$C$5,$C$7,W$1,W$2,A69)</f>
        <v>0</v>
      </c>
      <c r="X69" s="33">
        <f ca="1">_xll.DBRW($C$1,$C$2,$C$3,$C$4,$C$6,$C$5,$C$7,X$1,X$2,A69)</f>
        <v>0</v>
      </c>
      <c r="Y69" s="33">
        <f ca="1">_xll.DBRW($C$1,$C$2,$C$3,$C$4,$C$6,$C$5,$C$7,Y$1,Y$2,A69)</f>
        <v>0</v>
      </c>
      <c r="Z69" s="33">
        <f ca="1">_xll.DBRW($C$1,$C$2,$C$3,$C$4,$C$6,$C$5,$C$7,Z$1,Z$2,A69)</f>
        <v>0</v>
      </c>
      <c r="AA69" s="33">
        <f ca="1">_xll.DBRW($C$1,$C$2,$C$3,$C$4,$C$6,$C$5,$C$7,AA$1,AA$2,A69)</f>
        <v>0</v>
      </c>
      <c r="AB69" s="33">
        <f ca="1">_xll.DBRW($C$1,$C$2,$C$3,$C$4,$C$6,$C$5,$C$7,AB$1,AB$2,A69)</f>
        <v>0</v>
      </c>
      <c r="AC69" s="33">
        <f ca="1">_xll.DBRW($C$1,$C$2,$C$3,$C$4,$C$6,$C$5,$C$7,AC$1,AC$2,A69)</f>
        <v>0</v>
      </c>
      <c r="AD69" s="33">
        <f ca="1">_xll.DBRW($C$1,$C$2,$C$3,$C$4,$C$6,$C$5,$C$7,AD$1,AD$2,A69)</f>
        <v>0</v>
      </c>
      <c r="AE69" s="33">
        <f ca="1">_xll.DBRW($C$1,$C$2,$C$3,$C$4,$C$6,$C$5,$C$7,AE$1,AE$2,A69)</f>
        <v>0</v>
      </c>
      <c r="AF69" s="33">
        <f ca="1">_xll.DBRW($C$1,$C$2,$C$3,$C$4,$C$6,$C$5,$C$7,AF$1,AF$2,A69)</f>
        <v>0</v>
      </c>
      <c r="AG69" s="33">
        <f ca="1">_xll.DBRW($C$1,$C$2,$C$3,$C$4,$C$6,$C$5,$C$7,AG$1,AG$2,A69)</f>
        <v>0</v>
      </c>
      <c r="AH69" s="33">
        <f ca="1">_xll.DBRW($C$1,$C$2,$C$3,$C$4,$C$6,$C$5,$C$7,AH$1,AH$2,A69)</f>
        <v>0</v>
      </c>
      <c r="AI69" s="33">
        <f ca="1">_xll.DBRW($C$1,$C$2,$C$3,$C$4,$C$6,$C$5,$C$7,AI$1,AI$2,A69)</f>
        <v>0</v>
      </c>
      <c r="AJ69" s="33">
        <f ca="1">_xll.DBRW($C$1,$C$2,$C$3,$C$4,$C$6,$C$5,$C$7,AJ$1,AJ$2,A69)</f>
        <v>0</v>
      </c>
      <c r="AK69" s="33">
        <f ca="1">_xll.DBRW($C$1,$C$2,$C$3,$C$4,$C$6,$C$5,$C$7,AK$1,AK$2,A69)</f>
        <v>0</v>
      </c>
      <c r="AL69" s="33">
        <f ca="1">_xll.DBRW($C$1,$C$2,$C$3,$C$4,$C$6,$C$5,$C$7,AL$1,AL$2,A69)</f>
        <v>0</v>
      </c>
      <c r="AM69" s="33">
        <f ca="1">_xll.DBRW($C$1,$C$2,$C$3,$C$4,$C$6,$C$5,$C$7,AM$1,AM$2,A69)</f>
        <v>0</v>
      </c>
      <c r="AN69" s="33">
        <f ca="1">_xll.DBRW($C$1,$C$2,$C$3,$C$4,$C$6,$C$5,$C$7,AN$1,AN$2,A69)</f>
        <v>0</v>
      </c>
      <c r="AO69" s="33">
        <f ca="1">_xll.DBRW($C$1,$C$2,$C$3,$C$4,$C$6,$C$5,$C$7,AO$1,AO$2,A69)</f>
        <v>0</v>
      </c>
      <c r="AP69" s="33">
        <f ca="1">_xll.DBRW($C$1,$C$2,$C$3,$C$4,$C$6,$C$5,$C$7,AP$1,AP$2,A69)</f>
        <v>0</v>
      </c>
      <c r="AQ69" s="33">
        <f ca="1">_xll.DBRW($C$1,$C$2,$C$3,$C$4,$C$6,$C$5,$C$7,AQ$1,AQ$2,A69)</f>
        <v>0</v>
      </c>
      <c r="AR69" s="33">
        <f ca="1">_xll.DBRW($C$1,$C$2,$C$3,$C$4,$C$6,$C$5,$C$7,AR$1,AR$2,A69)</f>
        <v>0</v>
      </c>
      <c r="AS69" s="33">
        <f ca="1">_xll.DBRW($C$1,$C$2,$C$3,$C$4,$C$6,$C$5,$C$7,AS$1,AS$2,A69)</f>
        <v>0</v>
      </c>
      <c r="AT69" s="33">
        <f ca="1">_xll.DBRW($C$1,$C$2,$C$3,$C$4,$C$6,$C$5,$C$7,AT$1,AT$2,A69)</f>
        <v>0</v>
      </c>
      <c r="AU69" s="33">
        <f ca="1">_xll.DBRW($C$1,$C$2,$C$3,$C$4,$C$6,$C$5,$C$7,AU$1,AU$2,A69)</f>
        <v>0</v>
      </c>
      <c r="AV69" s="33">
        <f ca="1">_xll.DBRW($C$1,$C$2,$C$3,$C$4,$C$6,$C$5,$C$7,AV$1,AV$2,A69)</f>
        <v>0</v>
      </c>
      <c r="AW69" s="33">
        <f ca="1">_xll.DBRW($C$1,$C$2,$C$3,$C$4,$C$6,$C$5,$C$7,AW$1,AW$2,A69)</f>
        <v>0</v>
      </c>
      <c r="AX69" s="33">
        <f ca="1">_xll.DBRW($C$1,$C$2,$C$3,$C$4,$C$6,$C$5,$C$7,AX$1,AX$2,A69)</f>
        <v>0</v>
      </c>
      <c r="AY69" s="33">
        <f ca="1">_xll.DBRW($C$1,$C$2,$C$3,$C$4,$C$6,$C$5,$C$7,AY$1,AY$2,A69)</f>
        <v>0</v>
      </c>
    </row>
    <row r="70" spans="1:51" ht="15.75" hidden="1" customHeight="1" outlineLevel="2">
      <c r="A70" s="1" t="s">
        <v>173</v>
      </c>
      <c r="C70" s="109"/>
      <c r="E70" s="9" t="str">
        <f ca="1">_xll.DBRW(Server&amp;"}ElementAttributes_Indicator",A70,"code_English")</f>
        <v>PL1150_MF_10 - Impairment (other than working capital) and provisions - related to staff costs (MF)</v>
      </c>
      <c r="F70" s="33">
        <f ca="1">_xll.DBRW($C$1,$C$2,$C$3,$C$4,$C$6,$C$5,$C$7,F$1,F$2,A70)</f>
        <v>0</v>
      </c>
      <c r="G70" s="33">
        <f ca="1">_xll.DBRW($C$1,$C$2,$C$3,$C$4,$C$6,$C$5,$C$7,G$1,G$2,A70)</f>
        <v>0</v>
      </c>
      <c r="H70" s="33">
        <f ca="1">_xll.DBRW($C$1,$C$2,$C$3,$C$4,$C$6,$C$5,$C$7,H$1,H$2,A70)</f>
        <v>0</v>
      </c>
      <c r="I70" s="33">
        <f ca="1">_xll.DBRW($C$1,$C$2,$C$3,$C$4,$C$6,$C$5,$C$7,I$1,I$2,A70)</f>
        <v>0</v>
      </c>
      <c r="J70" s="33">
        <f ca="1">_xll.DBRW($C$1,$C$2,$C$3,$C$4,$C$6,$C$5,$C$7,J$1,J$2,A70)</f>
        <v>0</v>
      </c>
      <c r="K70" s="33">
        <f ca="1">_xll.DBRW($C$1,$C$2,$C$3,$C$4,$C$6,$C$5,$C$7,K$1,K$2,A70)</f>
        <v>0</v>
      </c>
      <c r="L70" s="33">
        <f ca="1">_xll.DBRW($C$1,$C$2,$C$3,$C$4,$C$6,$C$5,$C$7,L$1,L$2,A70)</f>
        <v>0</v>
      </c>
      <c r="M70" s="33">
        <f ca="1">_xll.DBRW($C$1,$C$2,$C$3,$C$4,$C$6,$C$5,$C$7,M$1,M$2,A70)</f>
        <v>0</v>
      </c>
      <c r="N70" s="33">
        <f ca="1">_xll.DBRW($C$1,$C$2,$C$3,$C$4,$C$6,$C$5,$C$7,N$1,N$2,A70)</f>
        <v>0</v>
      </c>
      <c r="O70" s="33">
        <f ca="1">_xll.DBRW($C$1,$C$2,$C$3,$C$4,$C$6,$C$5,$C$7,O$1,O$2,A70)</f>
        <v>0</v>
      </c>
      <c r="P70" s="33">
        <f ca="1">_xll.DBRW($C$1,$C$2,$C$3,$C$4,$C$6,$C$5,$C$7,P$1,P$2,A70)</f>
        <v>0</v>
      </c>
      <c r="Q70" s="33">
        <f ca="1">_xll.DBRW($C$1,$C$2,$C$3,$C$4,$C$6,$C$5,$C$7,Q$1,Q$2,A70)</f>
        <v>0</v>
      </c>
      <c r="R70" s="33">
        <f ca="1">_xll.DBRW($C$1,$C$2,$C$3,$C$4,$C$6,$C$5,$C$7,R$1,R$2,A70)</f>
        <v>0</v>
      </c>
      <c r="S70" s="33">
        <f ca="1">_xll.DBRW($C$1,$C$2,$C$3,$C$4,$C$6,$C$5,$C$7,S$1,S$2,A70)</f>
        <v>0</v>
      </c>
      <c r="T70" s="33">
        <f ca="1">_xll.DBRW($C$1,$C$2,$C$3,$C$4,$C$6,$C$5,$C$7,T$1,T$2,A70)</f>
        <v>0</v>
      </c>
      <c r="U70" s="33">
        <f ca="1">_xll.DBRW($C$1,$C$2,$C$3,$C$4,$C$6,$C$5,$C$7,U$1,U$2,A70)</f>
        <v>0</v>
      </c>
      <c r="V70" s="33">
        <f ca="1">_xll.DBRW($C$1,$C$2,$C$3,$C$4,$C$6,$C$5,$C$7,V$1,V$2,A70)</f>
        <v>0</v>
      </c>
      <c r="W70" s="33">
        <f ca="1">_xll.DBRW($C$1,$C$2,$C$3,$C$4,$C$6,$C$5,$C$7,W$1,W$2,A70)</f>
        <v>0</v>
      </c>
      <c r="X70" s="33">
        <f ca="1">_xll.DBRW($C$1,$C$2,$C$3,$C$4,$C$6,$C$5,$C$7,X$1,X$2,A70)</f>
        <v>0</v>
      </c>
      <c r="Y70" s="33">
        <f ca="1">_xll.DBRW($C$1,$C$2,$C$3,$C$4,$C$6,$C$5,$C$7,Y$1,Y$2,A70)</f>
        <v>0</v>
      </c>
      <c r="Z70" s="33">
        <f ca="1">_xll.DBRW($C$1,$C$2,$C$3,$C$4,$C$6,$C$5,$C$7,Z$1,Z$2,A70)</f>
        <v>0</v>
      </c>
      <c r="AA70" s="33">
        <f ca="1">_xll.DBRW($C$1,$C$2,$C$3,$C$4,$C$6,$C$5,$C$7,AA$1,AA$2,A70)</f>
        <v>0</v>
      </c>
      <c r="AB70" s="33">
        <f ca="1">_xll.DBRW($C$1,$C$2,$C$3,$C$4,$C$6,$C$5,$C$7,AB$1,AB$2,A70)</f>
        <v>0</v>
      </c>
      <c r="AC70" s="33">
        <f ca="1">_xll.DBRW($C$1,$C$2,$C$3,$C$4,$C$6,$C$5,$C$7,AC$1,AC$2,A70)</f>
        <v>0</v>
      </c>
      <c r="AD70" s="33">
        <f ca="1">_xll.DBRW($C$1,$C$2,$C$3,$C$4,$C$6,$C$5,$C$7,AD$1,AD$2,A70)</f>
        <v>0</v>
      </c>
      <c r="AE70" s="33">
        <f ca="1">_xll.DBRW($C$1,$C$2,$C$3,$C$4,$C$6,$C$5,$C$7,AE$1,AE$2,A70)</f>
        <v>0</v>
      </c>
      <c r="AF70" s="33">
        <f ca="1">_xll.DBRW($C$1,$C$2,$C$3,$C$4,$C$6,$C$5,$C$7,AF$1,AF$2,A70)</f>
        <v>0</v>
      </c>
      <c r="AG70" s="33">
        <f ca="1">_xll.DBRW($C$1,$C$2,$C$3,$C$4,$C$6,$C$5,$C$7,AG$1,AG$2,A70)</f>
        <v>0</v>
      </c>
      <c r="AH70" s="33">
        <f ca="1">_xll.DBRW($C$1,$C$2,$C$3,$C$4,$C$6,$C$5,$C$7,AH$1,AH$2,A70)</f>
        <v>0</v>
      </c>
      <c r="AI70" s="33">
        <f ca="1">_xll.DBRW($C$1,$C$2,$C$3,$C$4,$C$6,$C$5,$C$7,AI$1,AI$2,A70)</f>
        <v>0</v>
      </c>
      <c r="AJ70" s="33">
        <f ca="1">_xll.DBRW($C$1,$C$2,$C$3,$C$4,$C$6,$C$5,$C$7,AJ$1,AJ$2,A70)</f>
        <v>0</v>
      </c>
      <c r="AK70" s="33">
        <f ca="1">_xll.DBRW($C$1,$C$2,$C$3,$C$4,$C$6,$C$5,$C$7,AK$1,AK$2,A70)</f>
        <v>0</v>
      </c>
      <c r="AL70" s="33">
        <f ca="1">_xll.DBRW($C$1,$C$2,$C$3,$C$4,$C$6,$C$5,$C$7,AL$1,AL$2,A70)</f>
        <v>0</v>
      </c>
      <c r="AM70" s="33">
        <f ca="1">_xll.DBRW($C$1,$C$2,$C$3,$C$4,$C$6,$C$5,$C$7,AM$1,AM$2,A70)</f>
        <v>0</v>
      </c>
      <c r="AN70" s="33">
        <f ca="1">_xll.DBRW($C$1,$C$2,$C$3,$C$4,$C$6,$C$5,$C$7,AN$1,AN$2,A70)</f>
        <v>0</v>
      </c>
      <c r="AO70" s="33">
        <f ca="1">_xll.DBRW($C$1,$C$2,$C$3,$C$4,$C$6,$C$5,$C$7,AO$1,AO$2,A70)</f>
        <v>0</v>
      </c>
      <c r="AP70" s="33">
        <f ca="1">_xll.DBRW($C$1,$C$2,$C$3,$C$4,$C$6,$C$5,$C$7,AP$1,AP$2,A70)</f>
        <v>0</v>
      </c>
      <c r="AQ70" s="33">
        <f ca="1">_xll.DBRW($C$1,$C$2,$C$3,$C$4,$C$6,$C$5,$C$7,AQ$1,AQ$2,A70)</f>
        <v>0</v>
      </c>
      <c r="AR70" s="33">
        <f ca="1">_xll.DBRW($C$1,$C$2,$C$3,$C$4,$C$6,$C$5,$C$7,AR$1,AR$2,A70)</f>
        <v>0</v>
      </c>
      <c r="AS70" s="33">
        <f ca="1">_xll.DBRW($C$1,$C$2,$C$3,$C$4,$C$6,$C$5,$C$7,AS$1,AS$2,A70)</f>
        <v>0</v>
      </c>
      <c r="AT70" s="33">
        <f ca="1">_xll.DBRW($C$1,$C$2,$C$3,$C$4,$C$6,$C$5,$C$7,AT$1,AT$2,A70)</f>
        <v>0</v>
      </c>
      <c r="AU70" s="33">
        <f ca="1">_xll.DBRW($C$1,$C$2,$C$3,$C$4,$C$6,$C$5,$C$7,AU$1,AU$2,A70)</f>
        <v>0</v>
      </c>
      <c r="AV70" s="33">
        <f ca="1">_xll.DBRW($C$1,$C$2,$C$3,$C$4,$C$6,$C$5,$C$7,AV$1,AV$2,A70)</f>
        <v>0</v>
      </c>
      <c r="AW70" s="33">
        <f ca="1">_xll.DBRW($C$1,$C$2,$C$3,$C$4,$C$6,$C$5,$C$7,AW$1,AW$2,A70)</f>
        <v>0</v>
      </c>
      <c r="AX70" s="33">
        <f ca="1">_xll.DBRW($C$1,$C$2,$C$3,$C$4,$C$6,$C$5,$C$7,AX$1,AX$2,A70)</f>
        <v>0</v>
      </c>
      <c r="AY70" s="33">
        <f ca="1">_xll.DBRW($C$1,$C$2,$C$3,$C$4,$C$6,$C$5,$C$7,AY$1,AY$2,A70)</f>
        <v>0</v>
      </c>
    </row>
    <row r="71" spans="1:51" ht="15.75" hidden="1" customHeight="1" outlineLevel="2">
      <c r="A71" s="1" t="s">
        <v>174</v>
      </c>
      <c r="C71" s="109"/>
      <c r="E71" s="9" t="str">
        <f ca="1">_xll.DBRW(Server&amp;"}ElementAttributes_Indicator",A71,"code_English")</f>
        <v>PL1150_MF_11 - Impairment (other than working capital) and provisions - related to staff costs - Reversal (MF)</v>
      </c>
      <c r="F71" s="33">
        <f ca="1">_xll.DBRW($C$1,$C$2,$C$3,$C$4,$C$6,$C$5,$C$7,F$1,F$2,A71)</f>
        <v>0</v>
      </c>
      <c r="G71" s="33">
        <f ca="1">_xll.DBRW($C$1,$C$2,$C$3,$C$4,$C$6,$C$5,$C$7,G$1,G$2,A71)</f>
        <v>0</v>
      </c>
      <c r="H71" s="33">
        <f ca="1">_xll.DBRW($C$1,$C$2,$C$3,$C$4,$C$6,$C$5,$C$7,H$1,H$2,A71)</f>
        <v>0</v>
      </c>
      <c r="I71" s="33">
        <f ca="1">_xll.DBRW($C$1,$C$2,$C$3,$C$4,$C$6,$C$5,$C$7,I$1,I$2,A71)</f>
        <v>0</v>
      </c>
      <c r="J71" s="33">
        <f ca="1">_xll.DBRW($C$1,$C$2,$C$3,$C$4,$C$6,$C$5,$C$7,J$1,J$2,A71)</f>
        <v>0</v>
      </c>
      <c r="K71" s="33">
        <f ca="1">_xll.DBRW($C$1,$C$2,$C$3,$C$4,$C$6,$C$5,$C$7,K$1,K$2,A71)</f>
        <v>0</v>
      </c>
      <c r="L71" s="33">
        <f ca="1">_xll.DBRW($C$1,$C$2,$C$3,$C$4,$C$6,$C$5,$C$7,L$1,L$2,A71)</f>
        <v>0</v>
      </c>
      <c r="M71" s="33">
        <f ca="1">_xll.DBRW($C$1,$C$2,$C$3,$C$4,$C$6,$C$5,$C$7,M$1,M$2,A71)</f>
        <v>0</v>
      </c>
      <c r="N71" s="33">
        <f ca="1">_xll.DBRW($C$1,$C$2,$C$3,$C$4,$C$6,$C$5,$C$7,N$1,N$2,A71)</f>
        <v>0</v>
      </c>
      <c r="O71" s="33">
        <f ca="1">_xll.DBRW($C$1,$C$2,$C$3,$C$4,$C$6,$C$5,$C$7,O$1,O$2,A71)</f>
        <v>0</v>
      </c>
      <c r="P71" s="33">
        <f ca="1">_xll.DBRW($C$1,$C$2,$C$3,$C$4,$C$6,$C$5,$C$7,P$1,P$2,A71)</f>
        <v>0</v>
      </c>
      <c r="Q71" s="33">
        <f ca="1">_xll.DBRW($C$1,$C$2,$C$3,$C$4,$C$6,$C$5,$C$7,Q$1,Q$2,A71)</f>
        <v>0</v>
      </c>
      <c r="R71" s="33">
        <f ca="1">_xll.DBRW($C$1,$C$2,$C$3,$C$4,$C$6,$C$5,$C$7,R$1,R$2,A71)</f>
        <v>0</v>
      </c>
      <c r="S71" s="33">
        <f ca="1">_xll.DBRW($C$1,$C$2,$C$3,$C$4,$C$6,$C$5,$C$7,S$1,S$2,A71)</f>
        <v>0</v>
      </c>
      <c r="T71" s="33">
        <f ca="1">_xll.DBRW($C$1,$C$2,$C$3,$C$4,$C$6,$C$5,$C$7,T$1,T$2,A71)</f>
        <v>0</v>
      </c>
      <c r="U71" s="33">
        <f ca="1">_xll.DBRW($C$1,$C$2,$C$3,$C$4,$C$6,$C$5,$C$7,U$1,U$2,A71)</f>
        <v>0</v>
      </c>
      <c r="V71" s="33">
        <f ca="1">_xll.DBRW($C$1,$C$2,$C$3,$C$4,$C$6,$C$5,$C$7,V$1,V$2,A71)</f>
        <v>0</v>
      </c>
      <c r="W71" s="33">
        <f ca="1">_xll.DBRW($C$1,$C$2,$C$3,$C$4,$C$6,$C$5,$C$7,W$1,W$2,A71)</f>
        <v>0</v>
      </c>
      <c r="X71" s="33">
        <f ca="1">_xll.DBRW($C$1,$C$2,$C$3,$C$4,$C$6,$C$5,$C$7,X$1,X$2,A71)</f>
        <v>0</v>
      </c>
      <c r="Y71" s="33">
        <f ca="1">_xll.DBRW($C$1,$C$2,$C$3,$C$4,$C$6,$C$5,$C$7,Y$1,Y$2,A71)</f>
        <v>0</v>
      </c>
      <c r="Z71" s="33">
        <f ca="1">_xll.DBRW($C$1,$C$2,$C$3,$C$4,$C$6,$C$5,$C$7,Z$1,Z$2,A71)</f>
        <v>0</v>
      </c>
      <c r="AA71" s="33">
        <f ca="1">_xll.DBRW($C$1,$C$2,$C$3,$C$4,$C$6,$C$5,$C$7,AA$1,AA$2,A71)</f>
        <v>0</v>
      </c>
      <c r="AB71" s="33">
        <f ca="1">_xll.DBRW($C$1,$C$2,$C$3,$C$4,$C$6,$C$5,$C$7,AB$1,AB$2,A71)</f>
        <v>0</v>
      </c>
      <c r="AC71" s="33">
        <f ca="1">_xll.DBRW($C$1,$C$2,$C$3,$C$4,$C$6,$C$5,$C$7,AC$1,AC$2,A71)</f>
        <v>0</v>
      </c>
      <c r="AD71" s="33">
        <f ca="1">_xll.DBRW($C$1,$C$2,$C$3,$C$4,$C$6,$C$5,$C$7,AD$1,AD$2,A71)</f>
        <v>0</v>
      </c>
      <c r="AE71" s="33">
        <f ca="1">_xll.DBRW($C$1,$C$2,$C$3,$C$4,$C$6,$C$5,$C$7,AE$1,AE$2,A71)</f>
        <v>0</v>
      </c>
      <c r="AF71" s="33">
        <f ca="1">_xll.DBRW($C$1,$C$2,$C$3,$C$4,$C$6,$C$5,$C$7,AF$1,AF$2,A71)</f>
        <v>0</v>
      </c>
      <c r="AG71" s="33">
        <f ca="1">_xll.DBRW($C$1,$C$2,$C$3,$C$4,$C$6,$C$5,$C$7,AG$1,AG$2,A71)</f>
        <v>0</v>
      </c>
      <c r="AH71" s="33">
        <f ca="1">_xll.DBRW($C$1,$C$2,$C$3,$C$4,$C$6,$C$5,$C$7,AH$1,AH$2,A71)</f>
        <v>0</v>
      </c>
      <c r="AI71" s="33">
        <f ca="1">_xll.DBRW($C$1,$C$2,$C$3,$C$4,$C$6,$C$5,$C$7,AI$1,AI$2,A71)</f>
        <v>0</v>
      </c>
      <c r="AJ71" s="33">
        <f ca="1">_xll.DBRW($C$1,$C$2,$C$3,$C$4,$C$6,$C$5,$C$7,AJ$1,AJ$2,A71)</f>
        <v>0</v>
      </c>
      <c r="AK71" s="33">
        <f ca="1">_xll.DBRW($C$1,$C$2,$C$3,$C$4,$C$6,$C$5,$C$7,AK$1,AK$2,A71)</f>
        <v>0</v>
      </c>
      <c r="AL71" s="33">
        <f ca="1">_xll.DBRW($C$1,$C$2,$C$3,$C$4,$C$6,$C$5,$C$7,AL$1,AL$2,A71)</f>
        <v>0</v>
      </c>
      <c r="AM71" s="33">
        <f ca="1">_xll.DBRW($C$1,$C$2,$C$3,$C$4,$C$6,$C$5,$C$7,AM$1,AM$2,A71)</f>
        <v>0</v>
      </c>
      <c r="AN71" s="33">
        <f ca="1">_xll.DBRW($C$1,$C$2,$C$3,$C$4,$C$6,$C$5,$C$7,AN$1,AN$2,A71)</f>
        <v>0</v>
      </c>
      <c r="AO71" s="33">
        <f ca="1">_xll.DBRW($C$1,$C$2,$C$3,$C$4,$C$6,$C$5,$C$7,AO$1,AO$2,A71)</f>
        <v>0</v>
      </c>
      <c r="AP71" s="33">
        <f ca="1">_xll.DBRW($C$1,$C$2,$C$3,$C$4,$C$6,$C$5,$C$7,AP$1,AP$2,A71)</f>
        <v>0</v>
      </c>
      <c r="AQ71" s="33">
        <f ca="1">_xll.DBRW($C$1,$C$2,$C$3,$C$4,$C$6,$C$5,$C$7,AQ$1,AQ$2,A71)</f>
        <v>0</v>
      </c>
      <c r="AR71" s="33">
        <f ca="1">_xll.DBRW($C$1,$C$2,$C$3,$C$4,$C$6,$C$5,$C$7,AR$1,AR$2,A71)</f>
        <v>0</v>
      </c>
      <c r="AS71" s="33">
        <f ca="1">_xll.DBRW($C$1,$C$2,$C$3,$C$4,$C$6,$C$5,$C$7,AS$1,AS$2,A71)</f>
        <v>0</v>
      </c>
      <c r="AT71" s="33">
        <f ca="1">_xll.DBRW($C$1,$C$2,$C$3,$C$4,$C$6,$C$5,$C$7,AT$1,AT$2,A71)</f>
        <v>0</v>
      </c>
      <c r="AU71" s="33">
        <f ca="1">_xll.DBRW($C$1,$C$2,$C$3,$C$4,$C$6,$C$5,$C$7,AU$1,AU$2,A71)</f>
        <v>0</v>
      </c>
      <c r="AV71" s="33">
        <f ca="1">_xll.DBRW($C$1,$C$2,$C$3,$C$4,$C$6,$C$5,$C$7,AV$1,AV$2,A71)</f>
        <v>0</v>
      </c>
      <c r="AW71" s="33">
        <f ca="1">_xll.DBRW($C$1,$C$2,$C$3,$C$4,$C$6,$C$5,$C$7,AW$1,AW$2,A71)</f>
        <v>0</v>
      </c>
      <c r="AX71" s="33">
        <f ca="1">_xll.DBRW($C$1,$C$2,$C$3,$C$4,$C$6,$C$5,$C$7,AX$1,AX$2,A71)</f>
        <v>0</v>
      </c>
      <c r="AY71" s="33">
        <f ca="1">_xll.DBRW($C$1,$C$2,$C$3,$C$4,$C$6,$C$5,$C$7,AY$1,AY$2,A71)</f>
        <v>0</v>
      </c>
    </row>
    <row r="72" spans="1:51" ht="15.75" hidden="1" customHeight="1" outlineLevel="2">
      <c r="A72" s="1" t="s">
        <v>175</v>
      </c>
      <c r="C72" s="109"/>
      <c r="E72" s="9" t="str">
        <f ca="1">_xll.DBRW(Server&amp;"}ElementAttributes_Indicator",A72,"code_English")</f>
        <v>PL1150_MF_20 - Impairment (other than working capital) and provisions - related to heavy maintenance</v>
      </c>
      <c r="F72" s="33">
        <f ca="1">_xll.DBRW($C$1,$C$2,$C$3,$C$4,$C$6,$C$5,$C$7,F$1,F$2,A72)</f>
        <v>0</v>
      </c>
      <c r="G72" s="33">
        <f ca="1">_xll.DBRW($C$1,$C$2,$C$3,$C$4,$C$6,$C$5,$C$7,G$1,G$2,A72)</f>
        <v>0</v>
      </c>
      <c r="H72" s="33">
        <f ca="1">_xll.DBRW($C$1,$C$2,$C$3,$C$4,$C$6,$C$5,$C$7,H$1,H$2,A72)</f>
        <v>0</v>
      </c>
      <c r="I72" s="33">
        <f ca="1">_xll.DBRW($C$1,$C$2,$C$3,$C$4,$C$6,$C$5,$C$7,I$1,I$2,A72)</f>
        <v>0</v>
      </c>
      <c r="J72" s="33">
        <f ca="1">_xll.DBRW($C$1,$C$2,$C$3,$C$4,$C$6,$C$5,$C$7,J$1,J$2,A72)</f>
        <v>0</v>
      </c>
      <c r="K72" s="33">
        <f ca="1">_xll.DBRW($C$1,$C$2,$C$3,$C$4,$C$6,$C$5,$C$7,K$1,K$2,A72)</f>
        <v>0</v>
      </c>
      <c r="L72" s="33">
        <f ca="1">_xll.DBRW($C$1,$C$2,$C$3,$C$4,$C$6,$C$5,$C$7,L$1,L$2,A72)</f>
        <v>0</v>
      </c>
      <c r="M72" s="33">
        <f ca="1">_xll.DBRW($C$1,$C$2,$C$3,$C$4,$C$6,$C$5,$C$7,M$1,M$2,A72)</f>
        <v>0</v>
      </c>
      <c r="N72" s="33">
        <f ca="1">_xll.DBRW($C$1,$C$2,$C$3,$C$4,$C$6,$C$5,$C$7,N$1,N$2,A72)</f>
        <v>0</v>
      </c>
      <c r="O72" s="33">
        <f ca="1">_xll.DBRW($C$1,$C$2,$C$3,$C$4,$C$6,$C$5,$C$7,O$1,O$2,A72)</f>
        <v>0</v>
      </c>
      <c r="P72" s="33">
        <f ca="1">_xll.DBRW($C$1,$C$2,$C$3,$C$4,$C$6,$C$5,$C$7,P$1,P$2,A72)</f>
        <v>0</v>
      </c>
      <c r="Q72" s="33">
        <f ca="1">_xll.DBRW($C$1,$C$2,$C$3,$C$4,$C$6,$C$5,$C$7,Q$1,Q$2,A72)</f>
        <v>0</v>
      </c>
      <c r="R72" s="33">
        <f ca="1">_xll.DBRW($C$1,$C$2,$C$3,$C$4,$C$6,$C$5,$C$7,R$1,R$2,A72)</f>
        <v>0</v>
      </c>
      <c r="S72" s="33">
        <f ca="1">_xll.DBRW($C$1,$C$2,$C$3,$C$4,$C$6,$C$5,$C$7,S$1,S$2,A72)</f>
        <v>0</v>
      </c>
      <c r="T72" s="33">
        <f ca="1">_xll.DBRW($C$1,$C$2,$C$3,$C$4,$C$6,$C$5,$C$7,T$1,T$2,A72)</f>
        <v>0</v>
      </c>
      <c r="U72" s="33">
        <f ca="1">_xll.DBRW($C$1,$C$2,$C$3,$C$4,$C$6,$C$5,$C$7,U$1,U$2,A72)</f>
        <v>0</v>
      </c>
      <c r="V72" s="33">
        <f ca="1">_xll.DBRW($C$1,$C$2,$C$3,$C$4,$C$6,$C$5,$C$7,V$1,V$2,A72)</f>
        <v>0</v>
      </c>
      <c r="W72" s="33">
        <f ca="1">_xll.DBRW($C$1,$C$2,$C$3,$C$4,$C$6,$C$5,$C$7,W$1,W$2,A72)</f>
        <v>0</v>
      </c>
      <c r="X72" s="33">
        <f ca="1">_xll.DBRW($C$1,$C$2,$C$3,$C$4,$C$6,$C$5,$C$7,X$1,X$2,A72)</f>
        <v>0</v>
      </c>
      <c r="Y72" s="33">
        <f ca="1">_xll.DBRW($C$1,$C$2,$C$3,$C$4,$C$6,$C$5,$C$7,Y$1,Y$2,A72)</f>
        <v>0</v>
      </c>
      <c r="Z72" s="33">
        <f ca="1">_xll.DBRW($C$1,$C$2,$C$3,$C$4,$C$6,$C$5,$C$7,Z$1,Z$2,A72)</f>
        <v>0</v>
      </c>
      <c r="AA72" s="33">
        <f ca="1">_xll.DBRW($C$1,$C$2,$C$3,$C$4,$C$6,$C$5,$C$7,AA$1,AA$2,A72)</f>
        <v>0</v>
      </c>
      <c r="AB72" s="33">
        <f ca="1">_xll.DBRW($C$1,$C$2,$C$3,$C$4,$C$6,$C$5,$C$7,AB$1,AB$2,A72)</f>
        <v>0</v>
      </c>
      <c r="AC72" s="33">
        <f ca="1">_xll.DBRW($C$1,$C$2,$C$3,$C$4,$C$6,$C$5,$C$7,AC$1,AC$2,A72)</f>
        <v>0</v>
      </c>
      <c r="AD72" s="33">
        <f ca="1">_xll.DBRW($C$1,$C$2,$C$3,$C$4,$C$6,$C$5,$C$7,AD$1,AD$2,A72)</f>
        <v>0</v>
      </c>
      <c r="AE72" s="33">
        <f ca="1">_xll.DBRW($C$1,$C$2,$C$3,$C$4,$C$6,$C$5,$C$7,AE$1,AE$2,A72)</f>
        <v>0</v>
      </c>
      <c r="AF72" s="33">
        <f ca="1">_xll.DBRW($C$1,$C$2,$C$3,$C$4,$C$6,$C$5,$C$7,AF$1,AF$2,A72)</f>
        <v>0</v>
      </c>
      <c r="AG72" s="33">
        <f ca="1">_xll.DBRW($C$1,$C$2,$C$3,$C$4,$C$6,$C$5,$C$7,AG$1,AG$2,A72)</f>
        <v>0</v>
      </c>
      <c r="AH72" s="33">
        <f ca="1">_xll.DBRW($C$1,$C$2,$C$3,$C$4,$C$6,$C$5,$C$7,AH$1,AH$2,A72)</f>
        <v>0</v>
      </c>
      <c r="AI72" s="33">
        <f ca="1">_xll.DBRW($C$1,$C$2,$C$3,$C$4,$C$6,$C$5,$C$7,AI$1,AI$2,A72)</f>
        <v>0</v>
      </c>
      <c r="AJ72" s="33">
        <f ca="1">_xll.DBRW($C$1,$C$2,$C$3,$C$4,$C$6,$C$5,$C$7,AJ$1,AJ$2,A72)</f>
        <v>0</v>
      </c>
      <c r="AK72" s="33">
        <f ca="1">_xll.DBRW($C$1,$C$2,$C$3,$C$4,$C$6,$C$5,$C$7,AK$1,AK$2,A72)</f>
        <v>0</v>
      </c>
      <c r="AL72" s="33">
        <f ca="1">_xll.DBRW($C$1,$C$2,$C$3,$C$4,$C$6,$C$5,$C$7,AL$1,AL$2,A72)</f>
        <v>0</v>
      </c>
      <c r="AM72" s="33">
        <f ca="1">_xll.DBRW($C$1,$C$2,$C$3,$C$4,$C$6,$C$5,$C$7,AM$1,AM$2,A72)</f>
        <v>0</v>
      </c>
      <c r="AN72" s="33">
        <f ca="1">_xll.DBRW($C$1,$C$2,$C$3,$C$4,$C$6,$C$5,$C$7,AN$1,AN$2,A72)</f>
        <v>0</v>
      </c>
      <c r="AO72" s="33">
        <f ca="1">_xll.DBRW($C$1,$C$2,$C$3,$C$4,$C$6,$C$5,$C$7,AO$1,AO$2,A72)</f>
        <v>0</v>
      </c>
      <c r="AP72" s="33">
        <f ca="1">_xll.DBRW($C$1,$C$2,$C$3,$C$4,$C$6,$C$5,$C$7,AP$1,AP$2,A72)</f>
        <v>0</v>
      </c>
      <c r="AQ72" s="33">
        <f ca="1">_xll.DBRW($C$1,$C$2,$C$3,$C$4,$C$6,$C$5,$C$7,AQ$1,AQ$2,A72)</f>
        <v>0</v>
      </c>
      <c r="AR72" s="33">
        <f ca="1">_xll.DBRW($C$1,$C$2,$C$3,$C$4,$C$6,$C$5,$C$7,AR$1,AR$2,A72)</f>
        <v>0</v>
      </c>
      <c r="AS72" s="33">
        <f ca="1">_xll.DBRW($C$1,$C$2,$C$3,$C$4,$C$6,$C$5,$C$7,AS$1,AS$2,A72)</f>
        <v>0</v>
      </c>
      <c r="AT72" s="33">
        <f ca="1">_xll.DBRW($C$1,$C$2,$C$3,$C$4,$C$6,$C$5,$C$7,AT$1,AT$2,A72)</f>
        <v>0</v>
      </c>
      <c r="AU72" s="33">
        <f ca="1">_xll.DBRW($C$1,$C$2,$C$3,$C$4,$C$6,$C$5,$C$7,AU$1,AU$2,A72)</f>
        <v>0</v>
      </c>
      <c r="AV72" s="33">
        <f ca="1">_xll.DBRW($C$1,$C$2,$C$3,$C$4,$C$6,$C$5,$C$7,AV$1,AV$2,A72)</f>
        <v>0</v>
      </c>
      <c r="AW72" s="33">
        <f ca="1">_xll.DBRW($C$1,$C$2,$C$3,$C$4,$C$6,$C$5,$C$7,AW$1,AW$2,A72)</f>
        <v>0</v>
      </c>
      <c r="AX72" s="33">
        <f ca="1">_xll.DBRW($C$1,$C$2,$C$3,$C$4,$C$6,$C$5,$C$7,AX$1,AX$2,A72)</f>
        <v>0</v>
      </c>
      <c r="AY72" s="33">
        <f ca="1">_xll.DBRW($C$1,$C$2,$C$3,$C$4,$C$6,$C$5,$C$7,AY$1,AY$2,A72)</f>
        <v>0</v>
      </c>
    </row>
    <row r="73" spans="1:51" ht="15.75" hidden="1" customHeight="1" outlineLevel="2">
      <c r="A73" s="1" t="s">
        <v>176</v>
      </c>
      <c r="C73" s="109"/>
      <c r="E73" s="9" t="str">
        <f ca="1">_xll.DBRW(Server&amp;"}ElementAttributes_Indicator",A73,"code_English")</f>
        <v>PL1150_MF_21 - Impairment (other than working capital) and provisions - related to heavy maintenance - Reversal</v>
      </c>
      <c r="F73" s="33">
        <f ca="1">_xll.DBRW($C$1,$C$2,$C$3,$C$4,$C$6,$C$5,$C$7,F$1,F$2,A73)</f>
        <v>0</v>
      </c>
      <c r="G73" s="33">
        <f ca="1">_xll.DBRW($C$1,$C$2,$C$3,$C$4,$C$6,$C$5,$C$7,G$1,G$2,A73)</f>
        <v>0</v>
      </c>
      <c r="H73" s="33">
        <f ca="1">_xll.DBRW($C$1,$C$2,$C$3,$C$4,$C$6,$C$5,$C$7,H$1,H$2,A73)</f>
        <v>0</v>
      </c>
      <c r="I73" s="33">
        <f ca="1">_xll.DBRW($C$1,$C$2,$C$3,$C$4,$C$6,$C$5,$C$7,I$1,I$2,A73)</f>
        <v>0</v>
      </c>
      <c r="J73" s="33">
        <f ca="1">_xll.DBRW($C$1,$C$2,$C$3,$C$4,$C$6,$C$5,$C$7,J$1,J$2,A73)</f>
        <v>0</v>
      </c>
      <c r="K73" s="33">
        <f ca="1">_xll.DBRW($C$1,$C$2,$C$3,$C$4,$C$6,$C$5,$C$7,K$1,K$2,A73)</f>
        <v>0</v>
      </c>
      <c r="L73" s="33">
        <f ca="1">_xll.DBRW($C$1,$C$2,$C$3,$C$4,$C$6,$C$5,$C$7,L$1,L$2,A73)</f>
        <v>0</v>
      </c>
      <c r="M73" s="33">
        <f ca="1">_xll.DBRW($C$1,$C$2,$C$3,$C$4,$C$6,$C$5,$C$7,M$1,M$2,A73)</f>
        <v>0</v>
      </c>
      <c r="N73" s="33">
        <f ca="1">_xll.DBRW($C$1,$C$2,$C$3,$C$4,$C$6,$C$5,$C$7,N$1,N$2,A73)</f>
        <v>0</v>
      </c>
      <c r="O73" s="33">
        <f ca="1">_xll.DBRW($C$1,$C$2,$C$3,$C$4,$C$6,$C$5,$C$7,O$1,O$2,A73)</f>
        <v>0</v>
      </c>
      <c r="P73" s="33">
        <f ca="1">_xll.DBRW($C$1,$C$2,$C$3,$C$4,$C$6,$C$5,$C$7,P$1,P$2,A73)</f>
        <v>0</v>
      </c>
      <c r="Q73" s="33">
        <f ca="1">_xll.DBRW($C$1,$C$2,$C$3,$C$4,$C$6,$C$5,$C$7,Q$1,Q$2,A73)</f>
        <v>0</v>
      </c>
      <c r="R73" s="33">
        <f ca="1">_xll.DBRW($C$1,$C$2,$C$3,$C$4,$C$6,$C$5,$C$7,R$1,R$2,A73)</f>
        <v>0</v>
      </c>
      <c r="S73" s="33">
        <f ca="1">_xll.DBRW($C$1,$C$2,$C$3,$C$4,$C$6,$C$5,$C$7,S$1,S$2,A73)</f>
        <v>0</v>
      </c>
      <c r="T73" s="33">
        <f ca="1">_xll.DBRW($C$1,$C$2,$C$3,$C$4,$C$6,$C$5,$C$7,T$1,T$2,A73)</f>
        <v>0</v>
      </c>
      <c r="U73" s="33">
        <f ca="1">_xll.DBRW($C$1,$C$2,$C$3,$C$4,$C$6,$C$5,$C$7,U$1,U$2,A73)</f>
        <v>0</v>
      </c>
      <c r="V73" s="33">
        <f ca="1">_xll.DBRW($C$1,$C$2,$C$3,$C$4,$C$6,$C$5,$C$7,V$1,V$2,A73)</f>
        <v>0</v>
      </c>
      <c r="W73" s="33">
        <f ca="1">_xll.DBRW($C$1,$C$2,$C$3,$C$4,$C$6,$C$5,$C$7,W$1,W$2,A73)</f>
        <v>0</v>
      </c>
      <c r="X73" s="33">
        <f ca="1">_xll.DBRW($C$1,$C$2,$C$3,$C$4,$C$6,$C$5,$C$7,X$1,X$2,A73)</f>
        <v>0</v>
      </c>
      <c r="Y73" s="33">
        <f ca="1">_xll.DBRW($C$1,$C$2,$C$3,$C$4,$C$6,$C$5,$C$7,Y$1,Y$2,A73)</f>
        <v>0</v>
      </c>
      <c r="Z73" s="33">
        <f ca="1">_xll.DBRW($C$1,$C$2,$C$3,$C$4,$C$6,$C$5,$C$7,Z$1,Z$2,A73)</f>
        <v>0</v>
      </c>
      <c r="AA73" s="33">
        <f ca="1">_xll.DBRW($C$1,$C$2,$C$3,$C$4,$C$6,$C$5,$C$7,AA$1,AA$2,A73)</f>
        <v>0</v>
      </c>
      <c r="AB73" s="33">
        <f ca="1">_xll.DBRW($C$1,$C$2,$C$3,$C$4,$C$6,$C$5,$C$7,AB$1,AB$2,A73)</f>
        <v>0</v>
      </c>
      <c r="AC73" s="33">
        <f ca="1">_xll.DBRW($C$1,$C$2,$C$3,$C$4,$C$6,$C$5,$C$7,AC$1,AC$2,A73)</f>
        <v>0</v>
      </c>
      <c r="AD73" s="33">
        <f ca="1">_xll.DBRW($C$1,$C$2,$C$3,$C$4,$C$6,$C$5,$C$7,AD$1,AD$2,A73)</f>
        <v>0</v>
      </c>
      <c r="AE73" s="33">
        <f ca="1">_xll.DBRW($C$1,$C$2,$C$3,$C$4,$C$6,$C$5,$C$7,AE$1,AE$2,A73)</f>
        <v>0</v>
      </c>
      <c r="AF73" s="33">
        <f ca="1">_xll.DBRW($C$1,$C$2,$C$3,$C$4,$C$6,$C$5,$C$7,AF$1,AF$2,A73)</f>
        <v>0</v>
      </c>
      <c r="AG73" s="33">
        <f ca="1">_xll.DBRW($C$1,$C$2,$C$3,$C$4,$C$6,$C$5,$C$7,AG$1,AG$2,A73)</f>
        <v>0</v>
      </c>
      <c r="AH73" s="33">
        <f ca="1">_xll.DBRW($C$1,$C$2,$C$3,$C$4,$C$6,$C$5,$C$7,AH$1,AH$2,A73)</f>
        <v>0</v>
      </c>
      <c r="AI73" s="33">
        <f ca="1">_xll.DBRW($C$1,$C$2,$C$3,$C$4,$C$6,$C$5,$C$7,AI$1,AI$2,A73)</f>
        <v>0</v>
      </c>
      <c r="AJ73" s="33">
        <f ca="1">_xll.DBRW($C$1,$C$2,$C$3,$C$4,$C$6,$C$5,$C$7,AJ$1,AJ$2,A73)</f>
        <v>0</v>
      </c>
      <c r="AK73" s="33">
        <f ca="1">_xll.DBRW($C$1,$C$2,$C$3,$C$4,$C$6,$C$5,$C$7,AK$1,AK$2,A73)</f>
        <v>0</v>
      </c>
      <c r="AL73" s="33">
        <f ca="1">_xll.DBRW($C$1,$C$2,$C$3,$C$4,$C$6,$C$5,$C$7,AL$1,AL$2,A73)</f>
        <v>0</v>
      </c>
      <c r="AM73" s="33">
        <f ca="1">_xll.DBRW($C$1,$C$2,$C$3,$C$4,$C$6,$C$5,$C$7,AM$1,AM$2,A73)</f>
        <v>0</v>
      </c>
      <c r="AN73" s="33">
        <f ca="1">_xll.DBRW($C$1,$C$2,$C$3,$C$4,$C$6,$C$5,$C$7,AN$1,AN$2,A73)</f>
        <v>0</v>
      </c>
      <c r="AO73" s="33">
        <f ca="1">_xll.DBRW($C$1,$C$2,$C$3,$C$4,$C$6,$C$5,$C$7,AO$1,AO$2,A73)</f>
        <v>0</v>
      </c>
      <c r="AP73" s="33">
        <f ca="1">_xll.DBRW($C$1,$C$2,$C$3,$C$4,$C$6,$C$5,$C$7,AP$1,AP$2,A73)</f>
        <v>0</v>
      </c>
      <c r="AQ73" s="33">
        <f ca="1">_xll.DBRW($C$1,$C$2,$C$3,$C$4,$C$6,$C$5,$C$7,AQ$1,AQ$2,A73)</f>
        <v>0</v>
      </c>
      <c r="AR73" s="33">
        <f ca="1">_xll.DBRW($C$1,$C$2,$C$3,$C$4,$C$6,$C$5,$C$7,AR$1,AR$2,A73)</f>
        <v>0</v>
      </c>
      <c r="AS73" s="33">
        <f ca="1">_xll.DBRW($C$1,$C$2,$C$3,$C$4,$C$6,$C$5,$C$7,AS$1,AS$2,A73)</f>
        <v>0</v>
      </c>
      <c r="AT73" s="33">
        <f ca="1">_xll.DBRW($C$1,$C$2,$C$3,$C$4,$C$6,$C$5,$C$7,AT$1,AT$2,A73)</f>
        <v>0</v>
      </c>
      <c r="AU73" s="33">
        <f ca="1">_xll.DBRW($C$1,$C$2,$C$3,$C$4,$C$6,$C$5,$C$7,AU$1,AU$2,A73)</f>
        <v>0</v>
      </c>
      <c r="AV73" s="33">
        <f ca="1">_xll.DBRW($C$1,$C$2,$C$3,$C$4,$C$6,$C$5,$C$7,AV$1,AV$2,A73)</f>
        <v>0</v>
      </c>
      <c r="AW73" s="33">
        <f ca="1">_xll.DBRW($C$1,$C$2,$C$3,$C$4,$C$6,$C$5,$C$7,AW$1,AW$2,A73)</f>
        <v>0</v>
      </c>
      <c r="AX73" s="33">
        <f ca="1">_xll.DBRW($C$1,$C$2,$C$3,$C$4,$C$6,$C$5,$C$7,AX$1,AX$2,A73)</f>
        <v>0</v>
      </c>
      <c r="AY73" s="33">
        <f ca="1">_xll.DBRW($C$1,$C$2,$C$3,$C$4,$C$6,$C$5,$C$7,AY$1,AY$2,A73)</f>
        <v>0</v>
      </c>
    </row>
    <row r="74" spans="1:51" ht="15.75" hidden="1" customHeight="1" outlineLevel="2">
      <c r="A74" s="1" t="s">
        <v>177</v>
      </c>
      <c r="C74" s="109"/>
      <c r="E74" s="9" t="str">
        <f ca="1">_xll.DBRW(Server&amp;"}ElementAttributes_Indicator",A74,"code_English")</f>
        <v>PL1150_MF_90 - Impairment (other than working capital) and provisions - others (MF)</v>
      </c>
      <c r="F74" s="33">
        <f ca="1">_xll.DBRW($C$1,$C$2,$C$3,$C$4,$C$6,$C$5,$C$7,F$1,F$2,A74)</f>
        <v>0</v>
      </c>
      <c r="G74" s="33">
        <f ca="1">_xll.DBRW($C$1,$C$2,$C$3,$C$4,$C$6,$C$5,$C$7,G$1,G$2,A74)</f>
        <v>0</v>
      </c>
      <c r="H74" s="33">
        <f ca="1">_xll.DBRW($C$1,$C$2,$C$3,$C$4,$C$6,$C$5,$C$7,H$1,H$2,A74)</f>
        <v>0</v>
      </c>
      <c r="I74" s="33">
        <f ca="1">_xll.DBRW($C$1,$C$2,$C$3,$C$4,$C$6,$C$5,$C$7,I$1,I$2,A74)</f>
        <v>0</v>
      </c>
      <c r="J74" s="33">
        <f ca="1">_xll.DBRW($C$1,$C$2,$C$3,$C$4,$C$6,$C$5,$C$7,J$1,J$2,A74)</f>
        <v>0</v>
      </c>
      <c r="K74" s="33">
        <f ca="1">_xll.DBRW($C$1,$C$2,$C$3,$C$4,$C$6,$C$5,$C$7,K$1,K$2,A74)</f>
        <v>0</v>
      </c>
      <c r="L74" s="33">
        <f ca="1">_xll.DBRW($C$1,$C$2,$C$3,$C$4,$C$6,$C$5,$C$7,L$1,L$2,A74)</f>
        <v>0</v>
      </c>
      <c r="M74" s="33">
        <f ca="1">_xll.DBRW($C$1,$C$2,$C$3,$C$4,$C$6,$C$5,$C$7,M$1,M$2,A74)</f>
        <v>0</v>
      </c>
      <c r="N74" s="33">
        <f ca="1">_xll.DBRW($C$1,$C$2,$C$3,$C$4,$C$6,$C$5,$C$7,N$1,N$2,A74)</f>
        <v>0</v>
      </c>
      <c r="O74" s="33">
        <f ca="1">_xll.DBRW($C$1,$C$2,$C$3,$C$4,$C$6,$C$5,$C$7,O$1,O$2,A74)</f>
        <v>0</v>
      </c>
      <c r="P74" s="33">
        <f ca="1">_xll.DBRW($C$1,$C$2,$C$3,$C$4,$C$6,$C$5,$C$7,P$1,P$2,A74)</f>
        <v>0</v>
      </c>
      <c r="Q74" s="33">
        <f ca="1">_xll.DBRW($C$1,$C$2,$C$3,$C$4,$C$6,$C$5,$C$7,Q$1,Q$2,A74)</f>
        <v>0</v>
      </c>
      <c r="R74" s="33">
        <f ca="1">_xll.DBRW($C$1,$C$2,$C$3,$C$4,$C$6,$C$5,$C$7,R$1,R$2,A74)</f>
        <v>0</v>
      </c>
      <c r="S74" s="33">
        <f ca="1">_xll.DBRW($C$1,$C$2,$C$3,$C$4,$C$6,$C$5,$C$7,S$1,S$2,A74)</f>
        <v>0</v>
      </c>
      <c r="T74" s="33">
        <f ca="1">_xll.DBRW($C$1,$C$2,$C$3,$C$4,$C$6,$C$5,$C$7,T$1,T$2,A74)</f>
        <v>0</v>
      </c>
      <c r="U74" s="33">
        <f ca="1">_xll.DBRW($C$1,$C$2,$C$3,$C$4,$C$6,$C$5,$C$7,U$1,U$2,A74)</f>
        <v>0</v>
      </c>
      <c r="V74" s="33">
        <f ca="1">_xll.DBRW($C$1,$C$2,$C$3,$C$4,$C$6,$C$5,$C$7,V$1,V$2,A74)</f>
        <v>0</v>
      </c>
      <c r="W74" s="33">
        <f ca="1">_xll.DBRW($C$1,$C$2,$C$3,$C$4,$C$6,$C$5,$C$7,W$1,W$2,A74)</f>
        <v>0</v>
      </c>
      <c r="X74" s="33">
        <f ca="1">_xll.DBRW($C$1,$C$2,$C$3,$C$4,$C$6,$C$5,$C$7,X$1,X$2,A74)</f>
        <v>0</v>
      </c>
      <c r="Y74" s="33">
        <f ca="1">_xll.DBRW($C$1,$C$2,$C$3,$C$4,$C$6,$C$5,$C$7,Y$1,Y$2,A74)</f>
        <v>0</v>
      </c>
      <c r="Z74" s="33">
        <f ca="1">_xll.DBRW($C$1,$C$2,$C$3,$C$4,$C$6,$C$5,$C$7,Z$1,Z$2,A74)</f>
        <v>0</v>
      </c>
      <c r="AA74" s="33">
        <f ca="1">_xll.DBRW($C$1,$C$2,$C$3,$C$4,$C$6,$C$5,$C$7,AA$1,AA$2,A74)</f>
        <v>0</v>
      </c>
      <c r="AB74" s="33">
        <f ca="1">_xll.DBRW($C$1,$C$2,$C$3,$C$4,$C$6,$C$5,$C$7,AB$1,AB$2,A74)</f>
        <v>0</v>
      </c>
      <c r="AC74" s="33">
        <f ca="1">_xll.DBRW($C$1,$C$2,$C$3,$C$4,$C$6,$C$5,$C$7,AC$1,AC$2,A74)</f>
        <v>0</v>
      </c>
      <c r="AD74" s="33">
        <f ca="1">_xll.DBRW($C$1,$C$2,$C$3,$C$4,$C$6,$C$5,$C$7,AD$1,AD$2,A74)</f>
        <v>0</v>
      </c>
      <c r="AE74" s="33">
        <f ca="1">_xll.DBRW($C$1,$C$2,$C$3,$C$4,$C$6,$C$5,$C$7,AE$1,AE$2,A74)</f>
        <v>0</v>
      </c>
      <c r="AF74" s="33">
        <f ca="1">_xll.DBRW($C$1,$C$2,$C$3,$C$4,$C$6,$C$5,$C$7,AF$1,AF$2,A74)</f>
        <v>0</v>
      </c>
      <c r="AG74" s="33">
        <f ca="1">_xll.DBRW($C$1,$C$2,$C$3,$C$4,$C$6,$C$5,$C$7,AG$1,AG$2,A74)</f>
        <v>0</v>
      </c>
      <c r="AH74" s="33">
        <f ca="1">_xll.DBRW($C$1,$C$2,$C$3,$C$4,$C$6,$C$5,$C$7,AH$1,AH$2,A74)</f>
        <v>0</v>
      </c>
      <c r="AI74" s="33">
        <f ca="1">_xll.DBRW($C$1,$C$2,$C$3,$C$4,$C$6,$C$5,$C$7,AI$1,AI$2,A74)</f>
        <v>0</v>
      </c>
      <c r="AJ74" s="33">
        <f ca="1">_xll.DBRW($C$1,$C$2,$C$3,$C$4,$C$6,$C$5,$C$7,AJ$1,AJ$2,A74)</f>
        <v>0</v>
      </c>
      <c r="AK74" s="33">
        <f ca="1">_xll.DBRW($C$1,$C$2,$C$3,$C$4,$C$6,$C$5,$C$7,AK$1,AK$2,A74)</f>
        <v>0</v>
      </c>
      <c r="AL74" s="33">
        <f ca="1">_xll.DBRW($C$1,$C$2,$C$3,$C$4,$C$6,$C$5,$C$7,AL$1,AL$2,A74)</f>
        <v>0</v>
      </c>
      <c r="AM74" s="33">
        <f ca="1">_xll.DBRW($C$1,$C$2,$C$3,$C$4,$C$6,$C$5,$C$7,AM$1,AM$2,A74)</f>
        <v>0</v>
      </c>
      <c r="AN74" s="33">
        <f ca="1">_xll.DBRW($C$1,$C$2,$C$3,$C$4,$C$6,$C$5,$C$7,AN$1,AN$2,A74)</f>
        <v>0</v>
      </c>
      <c r="AO74" s="33">
        <f ca="1">_xll.DBRW($C$1,$C$2,$C$3,$C$4,$C$6,$C$5,$C$7,AO$1,AO$2,A74)</f>
        <v>0</v>
      </c>
      <c r="AP74" s="33">
        <f ca="1">_xll.DBRW($C$1,$C$2,$C$3,$C$4,$C$6,$C$5,$C$7,AP$1,AP$2,A74)</f>
        <v>0</v>
      </c>
      <c r="AQ74" s="33">
        <f ca="1">_xll.DBRW($C$1,$C$2,$C$3,$C$4,$C$6,$C$5,$C$7,AQ$1,AQ$2,A74)</f>
        <v>0</v>
      </c>
      <c r="AR74" s="33">
        <f ca="1">_xll.DBRW($C$1,$C$2,$C$3,$C$4,$C$6,$C$5,$C$7,AR$1,AR$2,A74)</f>
        <v>0</v>
      </c>
      <c r="AS74" s="33">
        <f ca="1">_xll.DBRW($C$1,$C$2,$C$3,$C$4,$C$6,$C$5,$C$7,AS$1,AS$2,A74)</f>
        <v>0</v>
      </c>
      <c r="AT74" s="33">
        <f ca="1">_xll.DBRW($C$1,$C$2,$C$3,$C$4,$C$6,$C$5,$C$7,AT$1,AT$2,A74)</f>
        <v>0</v>
      </c>
      <c r="AU74" s="33">
        <f ca="1">_xll.DBRW($C$1,$C$2,$C$3,$C$4,$C$6,$C$5,$C$7,AU$1,AU$2,A74)</f>
        <v>0</v>
      </c>
      <c r="AV74" s="33">
        <f ca="1">_xll.DBRW($C$1,$C$2,$C$3,$C$4,$C$6,$C$5,$C$7,AV$1,AV$2,A74)</f>
        <v>0</v>
      </c>
      <c r="AW74" s="33">
        <f ca="1">_xll.DBRW($C$1,$C$2,$C$3,$C$4,$C$6,$C$5,$C$7,AW$1,AW$2,A74)</f>
        <v>0</v>
      </c>
      <c r="AX74" s="33">
        <f ca="1">_xll.DBRW($C$1,$C$2,$C$3,$C$4,$C$6,$C$5,$C$7,AX$1,AX$2,A74)</f>
        <v>0</v>
      </c>
      <c r="AY74" s="33">
        <f ca="1">_xll.DBRW($C$1,$C$2,$C$3,$C$4,$C$6,$C$5,$C$7,AY$1,AY$2,A74)</f>
        <v>0</v>
      </c>
    </row>
    <row r="75" spans="1:51" ht="15.75" hidden="1" customHeight="1" outlineLevel="2">
      <c r="A75" s="1" t="s">
        <v>178</v>
      </c>
      <c r="C75" s="109"/>
      <c r="E75" s="9" t="str">
        <f ca="1">_xll.DBRW(Server&amp;"}ElementAttributes_Indicator",A75,"code_English")</f>
        <v>PL1151_MF_10 - Impact of change in revaluation rate on provisions for losses on LT contracts - related to staff costs (MF)</v>
      </c>
      <c r="F75" s="33">
        <f ca="1">_xll.DBRW($C$1,$C$2,$C$3,$C$4,$C$6,$C$5,$C$7,F$1,F$2,A75)</f>
        <v>0</v>
      </c>
      <c r="G75" s="33">
        <f ca="1">_xll.DBRW($C$1,$C$2,$C$3,$C$4,$C$6,$C$5,$C$7,G$1,G$2,A75)</f>
        <v>0</v>
      </c>
      <c r="H75" s="33">
        <f ca="1">_xll.DBRW($C$1,$C$2,$C$3,$C$4,$C$6,$C$5,$C$7,H$1,H$2,A75)</f>
        <v>0</v>
      </c>
      <c r="I75" s="33">
        <f ca="1">_xll.DBRW($C$1,$C$2,$C$3,$C$4,$C$6,$C$5,$C$7,I$1,I$2,A75)</f>
        <v>0</v>
      </c>
      <c r="J75" s="33">
        <f ca="1">_xll.DBRW($C$1,$C$2,$C$3,$C$4,$C$6,$C$5,$C$7,J$1,J$2,A75)</f>
        <v>0</v>
      </c>
      <c r="K75" s="33">
        <f ca="1">_xll.DBRW($C$1,$C$2,$C$3,$C$4,$C$6,$C$5,$C$7,K$1,K$2,A75)</f>
        <v>0</v>
      </c>
      <c r="L75" s="33">
        <f ca="1">_xll.DBRW($C$1,$C$2,$C$3,$C$4,$C$6,$C$5,$C$7,L$1,L$2,A75)</f>
        <v>0</v>
      </c>
      <c r="M75" s="33">
        <f ca="1">_xll.DBRW($C$1,$C$2,$C$3,$C$4,$C$6,$C$5,$C$7,M$1,M$2,A75)</f>
        <v>0</v>
      </c>
      <c r="N75" s="33">
        <f ca="1">_xll.DBRW($C$1,$C$2,$C$3,$C$4,$C$6,$C$5,$C$7,N$1,N$2,A75)</f>
        <v>0</v>
      </c>
      <c r="O75" s="33">
        <f ca="1">_xll.DBRW($C$1,$C$2,$C$3,$C$4,$C$6,$C$5,$C$7,O$1,O$2,A75)</f>
        <v>0</v>
      </c>
      <c r="P75" s="33">
        <f ca="1">_xll.DBRW($C$1,$C$2,$C$3,$C$4,$C$6,$C$5,$C$7,P$1,P$2,A75)</f>
        <v>0</v>
      </c>
      <c r="Q75" s="33">
        <f ca="1">_xll.DBRW($C$1,$C$2,$C$3,$C$4,$C$6,$C$5,$C$7,Q$1,Q$2,A75)</f>
        <v>0</v>
      </c>
      <c r="R75" s="33">
        <f ca="1">_xll.DBRW($C$1,$C$2,$C$3,$C$4,$C$6,$C$5,$C$7,R$1,R$2,A75)</f>
        <v>0</v>
      </c>
      <c r="S75" s="33">
        <f ca="1">_xll.DBRW($C$1,$C$2,$C$3,$C$4,$C$6,$C$5,$C$7,S$1,S$2,A75)</f>
        <v>0</v>
      </c>
      <c r="T75" s="33">
        <f ca="1">_xll.DBRW($C$1,$C$2,$C$3,$C$4,$C$6,$C$5,$C$7,T$1,T$2,A75)</f>
        <v>0</v>
      </c>
      <c r="U75" s="33">
        <f ca="1">_xll.DBRW($C$1,$C$2,$C$3,$C$4,$C$6,$C$5,$C$7,U$1,U$2,A75)</f>
        <v>0</v>
      </c>
      <c r="V75" s="33">
        <f ca="1">_xll.DBRW($C$1,$C$2,$C$3,$C$4,$C$6,$C$5,$C$7,V$1,V$2,A75)</f>
        <v>0</v>
      </c>
      <c r="W75" s="33">
        <f ca="1">_xll.DBRW($C$1,$C$2,$C$3,$C$4,$C$6,$C$5,$C$7,W$1,W$2,A75)</f>
        <v>0</v>
      </c>
      <c r="X75" s="33">
        <f ca="1">_xll.DBRW($C$1,$C$2,$C$3,$C$4,$C$6,$C$5,$C$7,X$1,X$2,A75)</f>
        <v>0</v>
      </c>
      <c r="Y75" s="33">
        <f ca="1">_xll.DBRW($C$1,$C$2,$C$3,$C$4,$C$6,$C$5,$C$7,Y$1,Y$2,A75)</f>
        <v>0</v>
      </c>
      <c r="Z75" s="33">
        <f ca="1">_xll.DBRW($C$1,$C$2,$C$3,$C$4,$C$6,$C$5,$C$7,Z$1,Z$2,A75)</f>
        <v>0</v>
      </c>
      <c r="AA75" s="33">
        <f ca="1">_xll.DBRW($C$1,$C$2,$C$3,$C$4,$C$6,$C$5,$C$7,AA$1,AA$2,A75)</f>
        <v>0</v>
      </c>
      <c r="AB75" s="33">
        <f ca="1">_xll.DBRW($C$1,$C$2,$C$3,$C$4,$C$6,$C$5,$C$7,AB$1,AB$2,A75)</f>
        <v>0</v>
      </c>
      <c r="AC75" s="33">
        <f ca="1">_xll.DBRW($C$1,$C$2,$C$3,$C$4,$C$6,$C$5,$C$7,AC$1,AC$2,A75)</f>
        <v>0</v>
      </c>
      <c r="AD75" s="33">
        <f ca="1">_xll.DBRW($C$1,$C$2,$C$3,$C$4,$C$6,$C$5,$C$7,AD$1,AD$2,A75)</f>
        <v>0</v>
      </c>
      <c r="AE75" s="33">
        <f ca="1">_xll.DBRW($C$1,$C$2,$C$3,$C$4,$C$6,$C$5,$C$7,AE$1,AE$2,A75)</f>
        <v>0</v>
      </c>
      <c r="AF75" s="33">
        <f ca="1">_xll.DBRW($C$1,$C$2,$C$3,$C$4,$C$6,$C$5,$C$7,AF$1,AF$2,A75)</f>
        <v>0</v>
      </c>
      <c r="AG75" s="33">
        <f ca="1">_xll.DBRW($C$1,$C$2,$C$3,$C$4,$C$6,$C$5,$C$7,AG$1,AG$2,A75)</f>
        <v>0</v>
      </c>
      <c r="AH75" s="33">
        <f ca="1">_xll.DBRW($C$1,$C$2,$C$3,$C$4,$C$6,$C$5,$C$7,AH$1,AH$2,A75)</f>
        <v>0</v>
      </c>
      <c r="AI75" s="33">
        <f ca="1">_xll.DBRW($C$1,$C$2,$C$3,$C$4,$C$6,$C$5,$C$7,AI$1,AI$2,A75)</f>
        <v>0</v>
      </c>
      <c r="AJ75" s="33">
        <f ca="1">_xll.DBRW($C$1,$C$2,$C$3,$C$4,$C$6,$C$5,$C$7,AJ$1,AJ$2,A75)</f>
        <v>0</v>
      </c>
      <c r="AK75" s="33">
        <f ca="1">_xll.DBRW($C$1,$C$2,$C$3,$C$4,$C$6,$C$5,$C$7,AK$1,AK$2,A75)</f>
        <v>0</v>
      </c>
      <c r="AL75" s="33">
        <f ca="1">_xll.DBRW($C$1,$C$2,$C$3,$C$4,$C$6,$C$5,$C$7,AL$1,AL$2,A75)</f>
        <v>0</v>
      </c>
      <c r="AM75" s="33">
        <f ca="1">_xll.DBRW($C$1,$C$2,$C$3,$C$4,$C$6,$C$5,$C$7,AM$1,AM$2,A75)</f>
        <v>0</v>
      </c>
      <c r="AN75" s="33">
        <f ca="1">_xll.DBRW($C$1,$C$2,$C$3,$C$4,$C$6,$C$5,$C$7,AN$1,AN$2,A75)</f>
        <v>0</v>
      </c>
      <c r="AO75" s="33">
        <f ca="1">_xll.DBRW($C$1,$C$2,$C$3,$C$4,$C$6,$C$5,$C$7,AO$1,AO$2,A75)</f>
        <v>0</v>
      </c>
      <c r="AP75" s="33">
        <f ca="1">_xll.DBRW($C$1,$C$2,$C$3,$C$4,$C$6,$C$5,$C$7,AP$1,AP$2,A75)</f>
        <v>0</v>
      </c>
      <c r="AQ75" s="33">
        <f ca="1">_xll.DBRW($C$1,$C$2,$C$3,$C$4,$C$6,$C$5,$C$7,AQ$1,AQ$2,A75)</f>
        <v>0</v>
      </c>
      <c r="AR75" s="33">
        <f ca="1">_xll.DBRW($C$1,$C$2,$C$3,$C$4,$C$6,$C$5,$C$7,AR$1,AR$2,A75)</f>
        <v>0</v>
      </c>
      <c r="AS75" s="33">
        <f ca="1">_xll.DBRW($C$1,$C$2,$C$3,$C$4,$C$6,$C$5,$C$7,AS$1,AS$2,A75)</f>
        <v>0</v>
      </c>
      <c r="AT75" s="33">
        <f ca="1">_xll.DBRW($C$1,$C$2,$C$3,$C$4,$C$6,$C$5,$C$7,AT$1,AT$2,A75)</f>
        <v>0</v>
      </c>
      <c r="AU75" s="33">
        <f ca="1">_xll.DBRW($C$1,$C$2,$C$3,$C$4,$C$6,$C$5,$C$7,AU$1,AU$2,A75)</f>
        <v>0</v>
      </c>
      <c r="AV75" s="33">
        <f ca="1">_xll.DBRW($C$1,$C$2,$C$3,$C$4,$C$6,$C$5,$C$7,AV$1,AV$2,A75)</f>
        <v>0</v>
      </c>
      <c r="AW75" s="33">
        <f ca="1">_xll.DBRW($C$1,$C$2,$C$3,$C$4,$C$6,$C$5,$C$7,AW$1,AW$2,A75)</f>
        <v>0</v>
      </c>
      <c r="AX75" s="33">
        <f ca="1">_xll.DBRW($C$1,$C$2,$C$3,$C$4,$C$6,$C$5,$C$7,AX$1,AX$2,A75)</f>
        <v>0</v>
      </c>
      <c r="AY75" s="33">
        <f ca="1">_xll.DBRW($C$1,$C$2,$C$3,$C$4,$C$6,$C$5,$C$7,AY$1,AY$2,A75)</f>
        <v>0</v>
      </c>
    </row>
    <row r="76" spans="1:51" ht="15.75" hidden="1" customHeight="1" outlineLevel="2">
      <c r="A76" s="1" t="s">
        <v>179</v>
      </c>
      <c r="C76" s="109"/>
      <c r="E76" s="9" t="str">
        <f ca="1">_xll.DBRW(Server&amp;"}ElementAttributes_Indicator",A76,"code_English")</f>
        <v>PL1151_MF_11 - Impact of change in revaluation rate on provisions for losses on LT contracts - related to staff costs - Reversal (MF)</v>
      </c>
      <c r="F76" s="33">
        <f ca="1">_xll.DBRW($C$1,$C$2,$C$3,$C$4,$C$6,$C$5,$C$7,F$1,F$2,A76)</f>
        <v>0</v>
      </c>
      <c r="G76" s="33">
        <f ca="1">_xll.DBRW($C$1,$C$2,$C$3,$C$4,$C$6,$C$5,$C$7,G$1,G$2,A76)</f>
        <v>0</v>
      </c>
      <c r="H76" s="33">
        <f ca="1">_xll.DBRW($C$1,$C$2,$C$3,$C$4,$C$6,$C$5,$C$7,H$1,H$2,A76)</f>
        <v>0</v>
      </c>
      <c r="I76" s="33">
        <f ca="1">_xll.DBRW($C$1,$C$2,$C$3,$C$4,$C$6,$C$5,$C$7,I$1,I$2,A76)</f>
        <v>0</v>
      </c>
      <c r="J76" s="33">
        <f ca="1">_xll.DBRW($C$1,$C$2,$C$3,$C$4,$C$6,$C$5,$C$7,J$1,J$2,A76)</f>
        <v>0</v>
      </c>
      <c r="K76" s="33">
        <f ca="1">_xll.DBRW($C$1,$C$2,$C$3,$C$4,$C$6,$C$5,$C$7,K$1,K$2,A76)</f>
        <v>0</v>
      </c>
      <c r="L76" s="33">
        <f ca="1">_xll.DBRW($C$1,$C$2,$C$3,$C$4,$C$6,$C$5,$C$7,L$1,L$2,A76)</f>
        <v>0</v>
      </c>
      <c r="M76" s="33">
        <f ca="1">_xll.DBRW($C$1,$C$2,$C$3,$C$4,$C$6,$C$5,$C$7,M$1,M$2,A76)</f>
        <v>0</v>
      </c>
      <c r="N76" s="33">
        <f ca="1">_xll.DBRW($C$1,$C$2,$C$3,$C$4,$C$6,$C$5,$C$7,N$1,N$2,A76)</f>
        <v>0</v>
      </c>
      <c r="O76" s="33">
        <f ca="1">_xll.DBRW($C$1,$C$2,$C$3,$C$4,$C$6,$C$5,$C$7,O$1,O$2,A76)</f>
        <v>0</v>
      </c>
      <c r="P76" s="33">
        <f ca="1">_xll.DBRW($C$1,$C$2,$C$3,$C$4,$C$6,$C$5,$C$7,P$1,P$2,A76)</f>
        <v>0</v>
      </c>
      <c r="Q76" s="33">
        <f ca="1">_xll.DBRW($C$1,$C$2,$C$3,$C$4,$C$6,$C$5,$C$7,Q$1,Q$2,A76)</f>
        <v>0</v>
      </c>
      <c r="R76" s="33">
        <f ca="1">_xll.DBRW($C$1,$C$2,$C$3,$C$4,$C$6,$C$5,$C$7,R$1,R$2,A76)</f>
        <v>0</v>
      </c>
      <c r="S76" s="33">
        <f ca="1">_xll.DBRW($C$1,$C$2,$C$3,$C$4,$C$6,$C$5,$C$7,S$1,S$2,A76)</f>
        <v>0</v>
      </c>
      <c r="T76" s="33">
        <f ca="1">_xll.DBRW($C$1,$C$2,$C$3,$C$4,$C$6,$C$5,$C$7,T$1,T$2,A76)</f>
        <v>0</v>
      </c>
      <c r="U76" s="33">
        <f ca="1">_xll.DBRW($C$1,$C$2,$C$3,$C$4,$C$6,$C$5,$C$7,U$1,U$2,A76)</f>
        <v>0</v>
      </c>
      <c r="V76" s="33">
        <f ca="1">_xll.DBRW($C$1,$C$2,$C$3,$C$4,$C$6,$C$5,$C$7,V$1,V$2,A76)</f>
        <v>0</v>
      </c>
      <c r="W76" s="33">
        <f ca="1">_xll.DBRW($C$1,$C$2,$C$3,$C$4,$C$6,$C$5,$C$7,W$1,W$2,A76)</f>
        <v>0</v>
      </c>
      <c r="X76" s="33">
        <f ca="1">_xll.DBRW($C$1,$C$2,$C$3,$C$4,$C$6,$C$5,$C$7,X$1,X$2,A76)</f>
        <v>0</v>
      </c>
      <c r="Y76" s="33">
        <f ca="1">_xll.DBRW($C$1,$C$2,$C$3,$C$4,$C$6,$C$5,$C$7,Y$1,Y$2,A76)</f>
        <v>0</v>
      </c>
      <c r="Z76" s="33">
        <f ca="1">_xll.DBRW($C$1,$C$2,$C$3,$C$4,$C$6,$C$5,$C$7,Z$1,Z$2,A76)</f>
        <v>0</v>
      </c>
      <c r="AA76" s="33">
        <f ca="1">_xll.DBRW($C$1,$C$2,$C$3,$C$4,$C$6,$C$5,$C$7,AA$1,AA$2,A76)</f>
        <v>0</v>
      </c>
      <c r="AB76" s="33">
        <f ca="1">_xll.DBRW($C$1,$C$2,$C$3,$C$4,$C$6,$C$5,$C$7,AB$1,AB$2,A76)</f>
        <v>0</v>
      </c>
      <c r="AC76" s="33">
        <f ca="1">_xll.DBRW($C$1,$C$2,$C$3,$C$4,$C$6,$C$5,$C$7,AC$1,AC$2,A76)</f>
        <v>0</v>
      </c>
      <c r="AD76" s="33">
        <f ca="1">_xll.DBRW($C$1,$C$2,$C$3,$C$4,$C$6,$C$5,$C$7,AD$1,AD$2,A76)</f>
        <v>0</v>
      </c>
      <c r="AE76" s="33">
        <f ca="1">_xll.DBRW($C$1,$C$2,$C$3,$C$4,$C$6,$C$5,$C$7,AE$1,AE$2,A76)</f>
        <v>0</v>
      </c>
      <c r="AF76" s="33">
        <f ca="1">_xll.DBRW($C$1,$C$2,$C$3,$C$4,$C$6,$C$5,$C$7,AF$1,AF$2,A76)</f>
        <v>0</v>
      </c>
      <c r="AG76" s="33">
        <f ca="1">_xll.DBRW($C$1,$C$2,$C$3,$C$4,$C$6,$C$5,$C$7,AG$1,AG$2,A76)</f>
        <v>0</v>
      </c>
      <c r="AH76" s="33">
        <f ca="1">_xll.DBRW($C$1,$C$2,$C$3,$C$4,$C$6,$C$5,$C$7,AH$1,AH$2,A76)</f>
        <v>0</v>
      </c>
      <c r="AI76" s="33">
        <f ca="1">_xll.DBRW($C$1,$C$2,$C$3,$C$4,$C$6,$C$5,$C$7,AI$1,AI$2,A76)</f>
        <v>0</v>
      </c>
      <c r="AJ76" s="33">
        <f ca="1">_xll.DBRW($C$1,$C$2,$C$3,$C$4,$C$6,$C$5,$C$7,AJ$1,AJ$2,A76)</f>
        <v>0</v>
      </c>
      <c r="AK76" s="33">
        <f ca="1">_xll.DBRW($C$1,$C$2,$C$3,$C$4,$C$6,$C$5,$C$7,AK$1,AK$2,A76)</f>
        <v>0</v>
      </c>
      <c r="AL76" s="33">
        <f ca="1">_xll.DBRW($C$1,$C$2,$C$3,$C$4,$C$6,$C$5,$C$7,AL$1,AL$2,A76)</f>
        <v>0</v>
      </c>
      <c r="AM76" s="33">
        <f ca="1">_xll.DBRW($C$1,$C$2,$C$3,$C$4,$C$6,$C$5,$C$7,AM$1,AM$2,A76)</f>
        <v>0</v>
      </c>
      <c r="AN76" s="33">
        <f ca="1">_xll.DBRW($C$1,$C$2,$C$3,$C$4,$C$6,$C$5,$C$7,AN$1,AN$2,A76)</f>
        <v>0</v>
      </c>
      <c r="AO76" s="33">
        <f ca="1">_xll.DBRW($C$1,$C$2,$C$3,$C$4,$C$6,$C$5,$C$7,AO$1,AO$2,A76)</f>
        <v>0</v>
      </c>
      <c r="AP76" s="33">
        <f ca="1">_xll.DBRW($C$1,$C$2,$C$3,$C$4,$C$6,$C$5,$C$7,AP$1,AP$2,A76)</f>
        <v>0</v>
      </c>
      <c r="AQ76" s="33">
        <f ca="1">_xll.DBRW($C$1,$C$2,$C$3,$C$4,$C$6,$C$5,$C$7,AQ$1,AQ$2,A76)</f>
        <v>0</v>
      </c>
      <c r="AR76" s="33">
        <f ca="1">_xll.DBRW($C$1,$C$2,$C$3,$C$4,$C$6,$C$5,$C$7,AR$1,AR$2,A76)</f>
        <v>0</v>
      </c>
      <c r="AS76" s="33">
        <f ca="1">_xll.DBRW($C$1,$C$2,$C$3,$C$4,$C$6,$C$5,$C$7,AS$1,AS$2,A76)</f>
        <v>0</v>
      </c>
      <c r="AT76" s="33">
        <f ca="1">_xll.DBRW($C$1,$C$2,$C$3,$C$4,$C$6,$C$5,$C$7,AT$1,AT$2,A76)</f>
        <v>0</v>
      </c>
      <c r="AU76" s="33">
        <f ca="1">_xll.DBRW($C$1,$C$2,$C$3,$C$4,$C$6,$C$5,$C$7,AU$1,AU$2,A76)</f>
        <v>0</v>
      </c>
      <c r="AV76" s="33">
        <f ca="1">_xll.DBRW($C$1,$C$2,$C$3,$C$4,$C$6,$C$5,$C$7,AV$1,AV$2,A76)</f>
        <v>0</v>
      </c>
      <c r="AW76" s="33">
        <f ca="1">_xll.DBRW($C$1,$C$2,$C$3,$C$4,$C$6,$C$5,$C$7,AW$1,AW$2,A76)</f>
        <v>0</v>
      </c>
      <c r="AX76" s="33">
        <f ca="1">_xll.DBRW($C$1,$C$2,$C$3,$C$4,$C$6,$C$5,$C$7,AX$1,AX$2,A76)</f>
        <v>0</v>
      </c>
      <c r="AY76" s="33">
        <f ca="1">_xll.DBRW($C$1,$C$2,$C$3,$C$4,$C$6,$C$5,$C$7,AY$1,AY$2,A76)</f>
        <v>0</v>
      </c>
    </row>
    <row r="77" spans="1:51" ht="15.75" hidden="1" customHeight="1" outlineLevel="2">
      <c r="A77" s="1" t="s">
        <v>180</v>
      </c>
      <c r="C77" s="109"/>
      <c r="E77" s="9" t="str">
        <f ca="1">_xll.DBRW(Server&amp;"}ElementAttributes_Indicator",A77,"code_English")</f>
        <v>PL1151_MF_20 - Impact of change in revaluation rate on provisions for losses on LT contracts - related to heavy maintenance</v>
      </c>
      <c r="F77" s="33">
        <f ca="1">_xll.DBRW($C$1,$C$2,$C$3,$C$4,$C$6,$C$5,$C$7,F$1,F$2,A77)</f>
        <v>0</v>
      </c>
      <c r="G77" s="33">
        <f ca="1">_xll.DBRW($C$1,$C$2,$C$3,$C$4,$C$6,$C$5,$C$7,G$1,G$2,A77)</f>
        <v>0</v>
      </c>
      <c r="H77" s="33">
        <f ca="1">_xll.DBRW($C$1,$C$2,$C$3,$C$4,$C$6,$C$5,$C$7,H$1,H$2,A77)</f>
        <v>0</v>
      </c>
      <c r="I77" s="33">
        <f ca="1">_xll.DBRW($C$1,$C$2,$C$3,$C$4,$C$6,$C$5,$C$7,I$1,I$2,A77)</f>
        <v>0</v>
      </c>
      <c r="J77" s="33">
        <f ca="1">_xll.DBRW($C$1,$C$2,$C$3,$C$4,$C$6,$C$5,$C$7,J$1,J$2,A77)</f>
        <v>0</v>
      </c>
      <c r="K77" s="33">
        <f ca="1">_xll.DBRW($C$1,$C$2,$C$3,$C$4,$C$6,$C$5,$C$7,K$1,K$2,A77)</f>
        <v>0</v>
      </c>
      <c r="L77" s="33">
        <f ca="1">_xll.DBRW($C$1,$C$2,$C$3,$C$4,$C$6,$C$5,$C$7,L$1,L$2,A77)</f>
        <v>0</v>
      </c>
      <c r="M77" s="33">
        <f ca="1">_xll.DBRW($C$1,$C$2,$C$3,$C$4,$C$6,$C$5,$C$7,M$1,M$2,A77)</f>
        <v>0</v>
      </c>
      <c r="N77" s="33">
        <f ca="1">_xll.DBRW($C$1,$C$2,$C$3,$C$4,$C$6,$C$5,$C$7,N$1,N$2,A77)</f>
        <v>0</v>
      </c>
      <c r="O77" s="33">
        <f ca="1">_xll.DBRW($C$1,$C$2,$C$3,$C$4,$C$6,$C$5,$C$7,O$1,O$2,A77)</f>
        <v>0</v>
      </c>
      <c r="P77" s="33">
        <f ca="1">_xll.DBRW($C$1,$C$2,$C$3,$C$4,$C$6,$C$5,$C$7,P$1,P$2,A77)</f>
        <v>0</v>
      </c>
      <c r="Q77" s="33">
        <f ca="1">_xll.DBRW($C$1,$C$2,$C$3,$C$4,$C$6,$C$5,$C$7,Q$1,Q$2,A77)</f>
        <v>0</v>
      </c>
      <c r="R77" s="33">
        <f ca="1">_xll.DBRW($C$1,$C$2,$C$3,$C$4,$C$6,$C$5,$C$7,R$1,R$2,A77)</f>
        <v>0</v>
      </c>
      <c r="S77" s="33">
        <f ca="1">_xll.DBRW($C$1,$C$2,$C$3,$C$4,$C$6,$C$5,$C$7,S$1,S$2,A77)</f>
        <v>0</v>
      </c>
      <c r="T77" s="33">
        <f ca="1">_xll.DBRW($C$1,$C$2,$C$3,$C$4,$C$6,$C$5,$C$7,T$1,T$2,A77)</f>
        <v>0</v>
      </c>
      <c r="U77" s="33">
        <f ca="1">_xll.DBRW($C$1,$C$2,$C$3,$C$4,$C$6,$C$5,$C$7,U$1,U$2,A77)</f>
        <v>0</v>
      </c>
      <c r="V77" s="33">
        <f ca="1">_xll.DBRW($C$1,$C$2,$C$3,$C$4,$C$6,$C$5,$C$7,V$1,V$2,A77)</f>
        <v>0</v>
      </c>
      <c r="W77" s="33">
        <f ca="1">_xll.DBRW($C$1,$C$2,$C$3,$C$4,$C$6,$C$5,$C$7,W$1,W$2,A77)</f>
        <v>0</v>
      </c>
      <c r="X77" s="33">
        <f ca="1">_xll.DBRW($C$1,$C$2,$C$3,$C$4,$C$6,$C$5,$C$7,X$1,X$2,A77)</f>
        <v>0</v>
      </c>
      <c r="Y77" s="33">
        <f ca="1">_xll.DBRW($C$1,$C$2,$C$3,$C$4,$C$6,$C$5,$C$7,Y$1,Y$2,A77)</f>
        <v>0</v>
      </c>
      <c r="Z77" s="33">
        <f ca="1">_xll.DBRW($C$1,$C$2,$C$3,$C$4,$C$6,$C$5,$C$7,Z$1,Z$2,A77)</f>
        <v>0</v>
      </c>
      <c r="AA77" s="33">
        <f ca="1">_xll.DBRW($C$1,$C$2,$C$3,$C$4,$C$6,$C$5,$C$7,AA$1,AA$2,A77)</f>
        <v>0</v>
      </c>
      <c r="AB77" s="33">
        <f ca="1">_xll.DBRW($C$1,$C$2,$C$3,$C$4,$C$6,$C$5,$C$7,AB$1,AB$2,A77)</f>
        <v>0</v>
      </c>
      <c r="AC77" s="33">
        <f ca="1">_xll.DBRW($C$1,$C$2,$C$3,$C$4,$C$6,$C$5,$C$7,AC$1,AC$2,A77)</f>
        <v>0</v>
      </c>
      <c r="AD77" s="33">
        <f ca="1">_xll.DBRW($C$1,$C$2,$C$3,$C$4,$C$6,$C$5,$C$7,AD$1,AD$2,A77)</f>
        <v>0</v>
      </c>
      <c r="AE77" s="33">
        <f ca="1">_xll.DBRW($C$1,$C$2,$C$3,$C$4,$C$6,$C$5,$C$7,AE$1,AE$2,A77)</f>
        <v>0</v>
      </c>
      <c r="AF77" s="33">
        <f ca="1">_xll.DBRW($C$1,$C$2,$C$3,$C$4,$C$6,$C$5,$C$7,AF$1,AF$2,A77)</f>
        <v>0</v>
      </c>
      <c r="AG77" s="33">
        <f ca="1">_xll.DBRW($C$1,$C$2,$C$3,$C$4,$C$6,$C$5,$C$7,AG$1,AG$2,A77)</f>
        <v>0</v>
      </c>
      <c r="AH77" s="33">
        <f ca="1">_xll.DBRW($C$1,$C$2,$C$3,$C$4,$C$6,$C$5,$C$7,AH$1,AH$2,A77)</f>
        <v>0</v>
      </c>
      <c r="AI77" s="33">
        <f ca="1">_xll.DBRW($C$1,$C$2,$C$3,$C$4,$C$6,$C$5,$C$7,AI$1,AI$2,A77)</f>
        <v>0</v>
      </c>
      <c r="AJ77" s="33">
        <f ca="1">_xll.DBRW($C$1,$C$2,$C$3,$C$4,$C$6,$C$5,$C$7,AJ$1,AJ$2,A77)</f>
        <v>0</v>
      </c>
      <c r="AK77" s="33">
        <f ca="1">_xll.DBRW($C$1,$C$2,$C$3,$C$4,$C$6,$C$5,$C$7,AK$1,AK$2,A77)</f>
        <v>0</v>
      </c>
      <c r="AL77" s="33">
        <f ca="1">_xll.DBRW($C$1,$C$2,$C$3,$C$4,$C$6,$C$5,$C$7,AL$1,AL$2,A77)</f>
        <v>0</v>
      </c>
      <c r="AM77" s="33">
        <f ca="1">_xll.DBRW($C$1,$C$2,$C$3,$C$4,$C$6,$C$5,$C$7,AM$1,AM$2,A77)</f>
        <v>0</v>
      </c>
      <c r="AN77" s="33">
        <f ca="1">_xll.DBRW($C$1,$C$2,$C$3,$C$4,$C$6,$C$5,$C$7,AN$1,AN$2,A77)</f>
        <v>0</v>
      </c>
      <c r="AO77" s="33">
        <f ca="1">_xll.DBRW($C$1,$C$2,$C$3,$C$4,$C$6,$C$5,$C$7,AO$1,AO$2,A77)</f>
        <v>0</v>
      </c>
      <c r="AP77" s="33">
        <f ca="1">_xll.DBRW($C$1,$C$2,$C$3,$C$4,$C$6,$C$5,$C$7,AP$1,AP$2,A77)</f>
        <v>0</v>
      </c>
      <c r="AQ77" s="33">
        <f ca="1">_xll.DBRW($C$1,$C$2,$C$3,$C$4,$C$6,$C$5,$C$7,AQ$1,AQ$2,A77)</f>
        <v>0</v>
      </c>
      <c r="AR77" s="33">
        <f ca="1">_xll.DBRW($C$1,$C$2,$C$3,$C$4,$C$6,$C$5,$C$7,AR$1,AR$2,A77)</f>
        <v>0</v>
      </c>
      <c r="AS77" s="33">
        <f ca="1">_xll.DBRW($C$1,$C$2,$C$3,$C$4,$C$6,$C$5,$C$7,AS$1,AS$2,A77)</f>
        <v>0</v>
      </c>
      <c r="AT77" s="33">
        <f ca="1">_xll.DBRW($C$1,$C$2,$C$3,$C$4,$C$6,$C$5,$C$7,AT$1,AT$2,A77)</f>
        <v>0</v>
      </c>
      <c r="AU77" s="33">
        <f ca="1">_xll.DBRW($C$1,$C$2,$C$3,$C$4,$C$6,$C$5,$C$7,AU$1,AU$2,A77)</f>
        <v>0</v>
      </c>
      <c r="AV77" s="33">
        <f ca="1">_xll.DBRW($C$1,$C$2,$C$3,$C$4,$C$6,$C$5,$C$7,AV$1,AV$2,A77)</f>
        <v>0</v>
      </c>
      <c r="AW77" s="33">
        <f ca="1">_xll.DBRW($C$1,$C$2,$C$3,$C$4,$C$6,$C$5,$C$7,AW$1,AW$2,A77)</f>
        <v>0</v>
      </c>
      <c r="AX77" s="33">
        <f ca="1">_xll.DBRW($C$1,$C$2,$C$3,$C$4,$C$6,$C$5,$C$7,AX$1,AX$2,A77)</f>
        <v>0</v>
      </c>
      <c r="AY77" s="33">
        <f ca="1">_xll.DBRW($C$1,$C$2,$C$3,$C$4,$C$6,$C$5,$C$7,AY$1,AY$2,A77)</f>
        <v>0</v>
      </c>
    </row>
    <row r="78" spans="1:51" ht="15.75" hidden="1" customHeight="1" outlineLevel="2">
      <c r="A78" s="1" t="s">
        <v>181</v>
      </c>
      <c r="C78" s="109"/>
      <c r="E78" s="9" t="str">
        <f ca="1">_xll.DBRW(Server&amp;"}ElementAttributes_Indicator",A78,"code_English")</f>
        <v>PL1151_MF_21 - Impact of change in revaluation rate on provisions for losses on LT contracts - related to heavy maintenance - Reversal</v>
      </c>
      <c r="F78" s="33">
        <f ca="1">_xll.DBRW($C$1,$C$2,$C$3,$C$4,$C$6,$C$5,$C$7,F$1,F$2,A78)</f>
        <v>0</v>
      </c>
      <c r="G78" s="33">
        <f ca="1">_xll.DBRW($C$1,$C$2,$C$3,$C$4,$C$6,$C$5,$C$7,G$1,G$2,A78)</f>
        <v>0</v>
      </c>
      <c r="H78" s="33">
        <f ca="1">_xll.DBRW($C$1,$C$2,$C$3,$C$4,$C$6,$C$5,$C$7,H$1,H$2,A78)</f>
        <v>0</v>
      </c>
      <c r="I78" s="33">
        <f ca="1">_xll.DBRW($C$1,$C$2,$C$3,$C$4,$C$6,$C$5,$C$7,I$1,I$2,A78)</f>
        <v>0</v>
      </c>
      <c r="J78" s="33">
        <f ca="1">_xll.DBRW($C$1,$C$2,$C$3,$C$4,$C$6,$C$5,$C$7,J$1,J$2,A78)</f>
        <v>0</v>
      </c>
      <c r="K78" s="33">
        <f ca="1">_xll.DBRW($C$1,$C$2,$C$3,$C$4,$C$6,$C$5,$C$7,K$1,K$2,A78)</f>
        <v>0</v>
      </c>
      <c r="L78" s="33">
        <f ca="1">_xll.DBRW($C$1,$C$2,$C$3,$C$4,$C$6,$C$5,$C$7,L$1,L$2,A78)</f>
        <v>0</v>
      </c>
      <c r="M78" s="33">
        <f ca="1">_xll.DBRW($C$1,$C$2,$C$3,$C$4,$C$6,$C$5,$C$7,M$1,M$2,A78)</f>
        <v>0</v>
      </c>
      <c r="N78" s="33">
        <f ca="1">_xll.DBRW($C$1,$C$2,$C$3,$C$4,$C$6,$C$5,$C$7,N$1,N$2,A78)</f>
        <v>0</v>
      </c>
      <c r="O78" s="33">
        <f ca="1">_xll.DBRW($C$1,$C$2,$C$3,$C$4,$C$6,$C$5,$C$7,O$1,O$2,A78)</f>
        <v>0</v>
      </c>
      <c r="P78" s="33">
        <f ca="1">_xll.DBRW($C$1,$C$2,$C$3,$C$4,$C$6,$C$5,$C$7,P$1,P$2,A78)</f>
        <v>0</v>
      </c>
      <c r="Q78" s="33">
        <f ca="1">_xll.DBRW($C$1,$C$2,$C$3,$C$4,$C$6,$C$5,$C$7,Q$1,Q$2,A78)</f>
        <v>0</v>
      </c>
      <c r="R78" s="33">
        <f ca="1">_xll.DBRW($C$1,$C$2,$C$3,$C$4,$C$6,$C$5,$C$7,R$1,R$2,A78)</f>
        <v>0</v>
      </c>
      <c r="S78" s="33">
        <f ca="1">_xll.DBRW($C$1,$C$2,$C$3,$C$4,$C$6,$C$5,$C$7,S$1,S$2,A78)</f>
        <v>0</v>
      </c>
      <c r="T78" s="33">
        <f ca="1">_xll.DBRW($C$1,$C$2,$C$3,$C$4,$C$6,$C$5,$C$7,T$1,T$2,A78)</f>
        <v>0</v>
      </c>
      <c r="U78" s="33">
        <f ca="1">_xll.DBRW($C$1,$C$2,$C$3,$C$4,$C$6,$C$5,$C$7,U$1,U$2,A78)</f>
        <v>0</v>
      </c>
      <c r="V78" s="33">
        <f ca="1">_xll.DBRW($C$1,$C$2,$C$3,$C$4,$C$6,$C$5,$C$7,V$1,V$2,A78)</f>
        <v>0</v>
      </c>
      <c r="W78" s="33">
        <f ca="1">_xll.DBRW($C$1,$C$2,$C$3,$C$4,$C$6,$C$5,$C$7,W$1,W$2,A78)</f>
        <v>0</v>
      </c>
      <c r="X78" s="33">
        <f ca="1">_xll.DBRW($C$1,$C$2,$C$3,$C$4,$C$6,$C$5,$C$7,X$1,X$2,A78)</f>
        <v>0</v>
      </c>
      <c r="Y78" s="33">
        <f ca="1">_xll.DBRW($C$1,$C$2,$C$3,$C$4,$C$6,$C$5,$C$7,Y$1,Y$2,A78)</f>
        <v>0</v>
      </c>
      <c r="Z78" s="33">
        <f ca="1">_xll.DBRW($C$1,$C$2,$C$3,$C$4,$C$6,$C$5,$C$7,Z$1,Z$2,A78)</f>
        <v>0</v>
      </c>
      <c r="AA78" s="33">
        <f ca="1">_xll.DBRW($C$1,$C$2,$C$3,$C$4,$C$6,$C$5,$C$7,AA$1,AA$2,A78)</f>
        <v>0</v>
      </c>
      <c r="AB78" s="33">
        <f ca="1">_xll.DBRW($C$1,$C$2,$C$3,$C$4,$C$6,$C$5,$C$7,AB$1,AB$2,A78)</f>
        <v>0</v>
      </c>
      <c r="AC78" s="33">
        <f ca="1">_xll.DBRW($C$1,$C$2,$C$3,$C$4,$C$6,$C$5,$C$7,AC$1,AC$2,A78)</f>
        <v>0</v>
      </c>
      <c r="AD78" s="33">
        <f ca="1">_xll.DBRW($C$1,$C$2,$C$3,$C$4,$C$6,$C$5,$C$7,AD$1,AD$2,A78)</f>
        <v>0</v>
      </c>
      <c r="AE78" s="33">
        <f ca="1">_xll.DBRW($C$1,$C$2,$C$3,$C$4,$C$6,$C$5,$C$7,AE$1,AE$2,A78)</f>
        <v>0</v>
      </c>
      <c r="AF78" s="33">
        <f ca="1">_xll.DBRW($C$1,$C$2,$C$3,$C$4,$C$6,$C$5,$C$7,AF$1,AF$2,A78)</f>
        <v>0</v>
      </c>
      <c r="AG78" s="33">
        <f ca="1">_xll.DBRW($C$1,$C$2,$C$3,$C$4,$C$6,$C$5,$C$7,AG$1,AG$2,A78)</f>
        <v>0</v>
      </c>
      <c r="AH78" s="33">
        <f ca="1">_xll.DBRW($C$1,$C$2,$C$3,$C$4,$C$6,$C$5,$C$7,AH$1,AH$2,A78)</f>
        <v>0</v>
      </c>
      <c r="AI78" s="33">
        <f ca="1">_xll.DBRW($C$1,$C$2,$C$3,$C$4,$C$6,$C$5,$C$7,AI$1,AI$2,A78)</f>
        <v>0</v>
      </c>
      <c r="AJ78" s="33">
        <f ca="1">_xll.DBRW($C$1,$C$2,$C$3,$C$4,$C$6,$C$5,$C$7,AJ$1,AJ$2,A78)</f>
        <v>0</v>
      </c>
      <c r="AK78" s="33">
        <f ca="1">_xll.DBRW($C$1,$C$2,$C$3,$C$4,$C$6,$C$5,$C$7,AK$1,AK$2,A78)</f>
        <v>0</v>
      </c>
      <c r="AL78" s="33">
        <f ca="1">_xll.DBRW($C$1,$C$2,$C$3,$C$4,$C$6,$C$5,$C$7,AL$1,AL$2,A78)</f>
        <v>0</v>
      </c>
      <c r="AM78" s="33">
        <f ca="1">_xll.DBRW($C$1,$C$2,$C$3,$C$4,$C$6,$C$5,$C$7,AM$1,AM$2,A78)</f>
        <v>0</v>
      </c>
      <c r="AN78" s="33">
        <f ca="1">_xll.DBRW($C$1,$C$2,$C$3,$C$4,$C$6,$C$5,$C$7,AN$1,AN$2,A78)</f>
        <v>0</v>
      </c>
      <c r="AO78" s="33">
        <f ca="1">_xll.DBRW($C$1,$C$2,$C$3,$C$4,$C$6,$C$5,$C$7,AO$1,AO$2,A78)</f>
        <v>0</v>
      </c>
      <c r="AP78" s="33">
        <f ca="1">_xll.DBRW($C$1,$C$2,$C$3,$C$4,$C$6,$C$5,$C$7,AP$1,AP$2,A78)</f>
        <v>0</v>
      </c>
      <c r="AQ78" s="33">
        <f ca="1">_xll.DBRW($C$1,$C$2,$C$3,$C$4,$C$6,$C$5,$C$7,AQ$1,AQ$2,A78)</f>
        <v>0</v>
      </c>
      <c r="AR78" s="33">
        <f ca="1">_xll.DBRW($C$1,$C$2,$C$3,$C$4,$C$6,$C$5,$C$7,AR$1,AR$2,A78)</f>
        <v>0</v>
      </c>
      <c r="AS78" s="33">
        <f ca="1">_xll.DBRW($C$1,$C$2,$C$3,$C$4,$C$6,$C$5,$C$7,AS$1,AS$2,A78)</f>
        <v>0</v>
      </c>
      <c r="AT78" s="33">
        <f ca="1">_xll.DBRW($C$1,$C$2,$C$3,$C$4,$C$6,$C$5,$C$7,AT$1,AT$2,A78)</f>
        <v>0</v>
      </c>
      <c r="AU78" s="33">
        <f ca="1">_xll.DBRW($C$1,$C$2,$C$3,$C$4,$C$6,$C$5,$C$7,AU$1,AU$2,A78)</f>
        <v>0</v>
      </c>
      <c r="AV78" s="33">
        <f ca="1">_xll.DBRW($C$1,$C$2,$C$3,$C$4,$C$6,$C$5,$C$7,AV$1,AV$2,A78)</f>
        <v>0</v>
      </c>
      <c r="AW78" s="33">
        <f ca="1">_xll.DBRW($C$1,$C$2,$C$3,$C$4,$C$6,$C$5,$C$7,AW$1,AW$2,A78)</f>
        <v>0</v>
      </c>
      <c r="AX78" s="33">
        <f ca="1">_xll.DBRW($C$1,$C$2,$C$3,$C$4,$C$6,$C$5,$C$7,AX$1,AX$2,A78)</f>
        <v>0</v>
      </c>
      <c r="AY78" s="33">
        <f ca="1">_xll.DBRW($C$1,$C$2,$C$3,$C$4,$C$6,$C$5,$C$7,AY$1,AY$2,A78)</f>
        <v>0</v>
      </c>
    </row>
    <row r="79" spans="1:51" ht="15.75" hidden="1" customHeight="1" outlineLevel="2">
      <c r="A79" s="1" t="s">
        <v>182</v>
      </c>
      <c r="C79" s="109"/>
      <c r="E79" s="9" t="str">
        <f ca="1">_xll.DBRW(Server&amp;"}ElementAttributes_Indicator",A79,"code_English")</f>
        <v>PL1155_MF_99 - Reinvoicing - Others (MF)</v>
      </c>
      <c r="F79" s="33">
        <f ca="1">_xll.DBRW($C$1,$C$2,$C$3,$C$4,$C$6,$C$5,$C$7,F$1,F$2,A79)</f>
        <v>0</v>
      </c>
      <c r="G79" s="33">
        <f ca="1">_xll.DBRW($C$1,$C$2,$C$3,$C$4,$C$6,$C$5,$C$7,G$1,G$2,A79)</f>
        <v>0</v>
      </c>
      <c r="H79" s="33">
        <f ca="1">_xll.DBRW($C$1,$C$2,$C$3,$C$4,$C$6,$C$5,$C$7,H$1,H$2,A79)</f>
        <v>0</v>
      </c>
      <c r="I79" s="33">
        <f ca="1">_xll.DBRW($C$1,$C$2,$C$3,$C$4,$C$6,$C$5,$C$7,I$1,I$2,A79)</f>
        <v>0</v>
      </c>
      <c r="J79" s="33">
        <f ca="1">_xll.DBRW($C$1,$C$2,$C$3,$C$4,$C$6,$C$5,$C$7,J$1,J$2,A79)</f>
        <v>0</v>
      </c>
      <c r="K79" s="33">
        <f ca="1">_xll.DBRW($C$1,$C$2,$C$3,$C$4,$C$6,$C$5,$C$7,K$1,K$2,A79)</f>
        <v>0</v>
      </c>
      <c r="L79" s="33">
        <f ca="1">_xll.DBRW($C$1,$C$2,$C$3,$C$4,$C$6,$C$5,$C$7,L$1,L$2,A79)</f>
        <v>0</v>
      </c>
      <c r="M79" s="33">
        <f ca="1">_xll.DBRW($C$1,$C$2,$C$3,$C$4,$C$6,$C$5,$C$7,M$1,M$2,A79)</f>
        <v>0</v>
      </c>
      <c r="N79" s="33">
        <f ca="1">_xll.DBRW($C$1,$C$2,$C$3,$C$4,$C$6,$C$5,$C$7,N$1,N$2,A79)</f>
        <v>0</v>
      </c>
      <c r="O79" s="33">
        <f ca="1">_xll.DBRW($C$1,$C$2,$C$3,$C$4,$C$6,$C$5,$C$7,O$1,O$2,A79)</f>
        <v>0</v>
      </c>
      <c r="P79" s="33">
        <f ca="1">_xll.DBRW($C$1,$C$2,$C$3,$C$4,$C$6,$C$5,$C$7,P$1,P$2,A79)</f>
        <v>0</v>
      </c>
      <c r="Q79" s="33">
        <f ca="1">_xll.DBRW($C$1,$C$2,$C$3,$C$4,$C$6,$C$5,$C$7,Q$1,Q$2,A79)</f>
        <v>0</v>
      </c>
      <c r="R79" s="33">
        <f ca="1">_xll.DBRW($C$1,$C$2,$C$3,$C$4,$C$6,$C$5,$C$7,R$1,R$2,A79)</f>
        <v>0</v>
      </c>
      <c r="S79" s="33">
        <f ca="1">_xll.DBRW($C$1,$C$2,$C$3,$C$4,$C$6,$C$5,$C$7,S$1,S$2,A79)</f>
        <v>0</v>
      </c>
      <c r="T79" s="33">
        <f ca="1">_xll.DBRW($C$1,$C$2,$C$3,$C$4,$C$6,$C$5,$C$7,T$1,T$2,A79)</f>
        <v>0</v>
      </c>
      <c r="U79" s="33">
        <f ca="1">_xll.DBRW($C$1,$C$2,$C$3,$C$4,$C$6,$C$5,$C$7,U$1,U$2,A79)</f>
        <v>0</v>
      </c>
      <c r="V79" s="33">
        <f ca="1">_xll.DBRW($C$1,$C$2,$C$3,$C$4,$C$6,$C$5,$C$7,V$1,V$2,A79)</f>
        <v>0</v>
      </c>
      <c r="W79" s="33">
        <f ca="1">_xll.DBRW($C$1,$C$2,$C$3,$C$4,$C$6,$C$5,$C$7,W$1,W$2,A79)</f>
        <v>0</v>
      </c>
      <c r="X79" s="33">
        <f ca="1">_xll.DBRW($C$1,$C$2,$C$3,$C$4,$C$6,$C$5,$C$7,X$1,X$2,A79)</f>
        <v>0</v>
      </c>
      <c r="Y79" s="33">
        <f ca="1">_xll.DBRW($C$1,$C$2,$C$3,$C$4,$C$6,$C$5,$C$7,Y$1,Y$2,A79)</f>
        <v>0</v>
      </c>
      <c r="Z79" s="33">
        <f ca="1">_xll.DBRW($C$1,$C$2,$C$3,$C$4,$C$6,$C$5,$C$7,Z$1,Z$2,A79)</f>
        <v>0</v>
      </c>
      <c r="AA79" s="33">
        <f ca="1">_xll.DBRW($C$1,$C$2,$C$3,$C$4,$C$6,$C$5,$C$7,AA$1,AA$2,A79)</f>
        <v>0</v>
      </c>
      <c r="AB79" s="33">
        <f ca="1">_xll.DBRW($C$1,$C$2,$C$3,$C$4,$C$6,$C$5,$C$7,AB$1,AB$2,A79)</f>
        <v>0</v>
      </c>
      <c r="AC79" s="33">
        <f ca="1">_xll.DBRW($C$1,$C$2,$C$3,$C$4,$C$6,$C$5,$C$7,AC$1,AC$2,A79)</f>
        <v>0</v>
      </c>
      <c r="AD79" s="33">
        <f ca="1">_xll.DBRW($C$1,$C$2,$C$3,$C$4,$C$6,$C$5,$C$7,AD$1,AD$2,A79)</f>
        <v>0</v>
      </c>
      <c r="AE79" s="33">
        <f ca="1">_xll.DBRW($C$1,$C$2,$C$3,$C$4,$C$6,$C$5,$C$7,AE$1,AE$2,A79)</f>
        <v>0</v>
      </c>
      <c r="AF79" s="33">
        <f ca="1">_xll.DBRW($C$1,$C$2,$C$3,$C$4,$C$6,$C$5,$C$7,AF$1,AF$2,A79)</f>
        <v>0</v>
      </c>
      <c r="AG79" s="33">
        <f ca="1">_xll.DBRW($C$1,$C$2,$C$3,$C$4,$C$6,$C$5,$C$7,AG$1,AG$2,A79)</f>
        <v>0</v>
      </c>
      <c r="AH79" s="33">
        <f ca="1">_xll.DBRW($C$1,$C$2,$C$3,$C$4,$C$6,$C$5,$C$7,AH$1,AH$2,A79)</f>
        <v>0</v>
      </c>
      <c r="AI79" s="33">
        <f ca="1">_xll.DBRW($C$1,$C$2,$C$3,$C$4,$C$6,$C$5,$C$7,AI$1,AI$2,A79)</f>
        <v>0</v>
      </c>
      <c r="AJ79" s="33">
        <f ca="1">_xll.DBRW($C$1,$C$2,$C$3,$C$4,$C$6,$C$5,$C$7,AJ$1,AJ$2,A79)</f>
        <v>0</v>
      </c>
      <c r="AK79" s="33">
        <f ca="1">_xll.DBRW($C$1,$C$2,$C$3,$C$4,$C$6,$C$5,$C$7,AK$1,AK$2,A79)</f>
        <v>0</v>
      </c>
      <c r="AL79" s="33">
        <f ca="1">_xll.DBRW($C$1,$C$2,$C$3,$C$4,$C$6,$C$5,$C$7,AL$1,AL$2,A79)</f>
        <v>0</v>
      </c>
      <c r="AM79" s="33">
        <f ca="1">_xll.DBRW($C$1,$C$2,$C$3,$C$4,$C$6,$C$5,$C$7,AM$1,AM$2,A79)</f>
        <v>0</v>
      </c>
      <c r="AN79" s="33">
        <f ca="1">_xll.DBRW($C$1,$C$2,$C$3,$C$4,$C$6,$C$5,$C$7,AN$1,AN$2,A79)</f>
        <v>0</v>
      </c>
      <c r="AO79" s="33">
        <f ca="1">_xll.DBRW($C$1,$C$2,$C$3,$C$4,$C$6,$C$5,$C$7,AO$1,AO$2,A79)</f>
        <v>0</v>
      </c>
      <c r="AP79" s="33">
        <f ca="1">_xll.DBRW($C$1,$C$2,$C$3,$C$4,$C$6,$C$5,$C$7,AP$1,AP$2,A79)</f>
        <v>0</v>
      </c>
      <c r="AQ79" s="33">
        <f ca="1">_xll.DBRW($C$1,$C$2,$C$3,$C$4,$C$6,$C$5,$C$7,AQ$1,AQ$2,A79)</f>
        <v>0</v>
      </c>
      <c r="AR79" s="33">
        <f ca="1">_xll.DBRW($C$1,$C$2,$C$3,$C$4,$C$6,$C$5,$C$7,AR$1,AR$2,A79)</f>
        <v>0</v>
      </c>
      <c r="AS79" s="33">
        <f ca="1">_xll.DBRW($C$1,$C$2,$C$3,$C$4,$C$6,$C$5,$C$7,AS$1,AS$2,A79)</f>
        <v>0</v>
      </c>
      <c r="AT79" s="33">
        <f ca="1">_xll.DBRW($C$1,$C$2,$C$3,$C$4,$C$6,$C$5,$C$7,AT$1,AT$2,A79)</f>
        <v>0</v>
      </c>
      <c r="AU79" s="33">
        <f ca="1">_xll.DBRW($C$1,$C$2,$C$3,$C$4,$C$6,$C$5,$C$7,AU$1,AU$2,A79)</f>
        <v>0</v>
      </c>
      <c r="AV79" s="33">
        <f ca="1">_xll.DBRW($C$1,$C$2,$C$3,$C$4,$C$6,$C$5,$C$7,AV$1,AV$2,A79)</f>
        <v>0</v>
      </c>
      <c r="AW79" s="33">
        <f ca="1">_xll.DBRW($C$1,$C$2,$C$3,$C$4,$C$6,$C$5,$C$7,AW$1,AW$2,A79)</f>
        <v>0</v>
      </c>
      <c r="AX79" s="33">
        <f ca="1">_xll.DBRW($C$1,$C$2,$C$3,$C$4,$C$6,$C$5,$C$7,AX$1,AX$2,A79)</f>
        <v>0</v>
      </c>
      <c r="AY79" s="33">
        <f ca="1">_xll.DBRW($C$1,$C$2,$C$3,$C$4,$C$6,$C$5,$C$7,AY$1,AY$2,A79)</f>
        <v>0</v>
      </c>
    </row>
    <row r="80" spans="1:51" ht="15.75" hidden="1" customHeight="1" outlineLevel="2">
      <c r="A80" s="1" t="s">
        <v>183</v>
      </c>
      <c r="C80" s="109"/>
      <c r="E80" s="9" t="str">
        <f ca="1">_xll.DBRW(Server&amp;"}ElementAttributes_Indicator",A80,"code_English")</f>
        <v>PL1160_MF_15 - Gains/losses on disposal of tangible &amp; intangible fixed assets (MF)</v>
      </c>
      <c r="F80" s="33">
        <f ca="1">_xll.DBRW($C$1,$C$2,$C$3,$C$4,$C$6,$C$5,$C$7,F$1,F$2,A80)</f>
        <v>0</v>
      </c>
      <c r="G80" s="33">
        <f ca="1">_xll.DBRW($C$1,$C$2,$C$3,$C$4,$C$6,$C$5,$C$7,G$1,G$2,A80)</f>
        <v>0</v>
      </c>
      <c r="H80" s="33">
        <f ca="1">_xll.DBRW($C$1,$C$2,$C$3,$C$4,$C$6,$C$5,$C$7,H$1,H$2,A80)</f>
        <v>0</v>
      </c>
      <c r="I80" s="33">
        <f ca="1">_xll.DBRW($C$1,$C$2,$C$3,$C$4,$C$6,$C$5,$C$7,I$1,I$2,A80)</f>
        <v>0</v>
      </c>
      <c r="J80" s="33">
        <f ca="1">_xll.DBRW($C$1,$C$2,$C$3,$C$4,$C$6,$C$5,$C$7,J$1,J$2,A80)</f>
        <v>0</v>
      </c>
      <c r="K80" s="33">
        <f ca="1">_xll.DBRW($C$1,$C$2,$C$3,$C$4,$C$6,$C$5,$C$7,K$1,K$2,A80)</f>
        <v>0</v>
      </c>
      <c r="L80" s="33">
        <f ca="1">_xll.DBRW($C$1,$C$2,$C$3,$C$4,$C$6,$C$5,$C$7,L$1,L$2,A80)</f>
        <v>0</v>
      </c>
      <c r="M80" s="33">
        <f ca="1">_xll.DBRW($C$1,$C$2,$C$3,$C$4,$C$6,$C$5,$C$7,M$1,M$2,A80)</f>
        <v>0</v>
      </c>
      <c r="N80" s="33">
        <f ca="1">_xll.DBRW($C$1,$C$2,$C$3,$C$4,$C$6,$C$5,$C$7,N$1,N$2,A80)</f>
        <v>0</v>
      </c>
      <c r="O80" s="33">
        <f ca="1">_xll.DBRW($C$1,$C$2,$C$3,$C$4,$C$6,$C$5,$C$7,O$1,O$2,A80)</f>
        <v>0</v>
      </c>
      <c r="P80" s="33">
        <f ca="1">_xll.DBRW($C$1,$C$2,$C$3,$C$4,$C$6,$C$5,$C$7,P$1,P$2,A80)</f>
        <v>0</v>
      </c>
      <c r="Q80" s="33">
        <f ca="1">_xll.DBRW($C$1,$C$2,$C$3,$C$4,$C$6,$C$5,$C$7,Q$1,Q$2,A80)</f>
        <v>0</v>
      </c>
      <c r="R80" s="33">
        <f ca="1">_xll.DBRW($C$1,$C$2,$C$3,$C$4,$C$6,$C$5,$C$7,R$1,R$2,A80)</f>
        <v>0</v>
      </c>
      <c r="S80" s="33">
        <f ca="1">_xll.DBRW($C$1,$C$2,$C$3,$C$4,$C$6,$C$5,$C$7,S$1,S$2,A80)</f>
        <v>0</v>
      </c>
      <c r="T80" s="33">
        <f ca="1">_xll.DBRW($C$1,$C$2,$C$3,$C$4,$C$6,$C$5,$C$7,T$1,T$2,A80)</f>
        <v>0</v>
      </c>
      <c r="U80" s="33">
        <f ca="1">_xll.DBRW($C$1,$C$2,$C$3,$C$4,$C$6,$C$5,$C$7,U$1,U$2,A80)</f>
        <v>0</v>
      </c>
      <c r="V80" s="33">
        <f ca="1">_xll.DBRW($C$1,$C$2,$C$3,$C$4,$C$6,$C$5,$C$7,V$1,V$2,A80)</f>
        <v>0</v>
      </c>
      <c r="W80" s="33">
        <f ca="1">_xll.DBRW($C$1,$C$2,$C$3,$C$4,$C$6,$C$5,$C$7,W$1,W$2,A80)</f>
        <v>0</v>
      </c>
      <c r="X80" s="33">
        <f ca="1">_xll.DBRW($C$1,$C$2,$C$3,$C$4,$C$6,$C$5,$C$7,X$1,X$2,A80)</f>
        <v>0</v>
      </c>
      <c r="Y80" s="33">
        <f ca="1">_xll.DBRW($C$1,$C$2,$C$3,$C$4,$C$6,$C$5,$C$7,Y$1,Y$2,A80)</f>
        <v>0</v>
      </c>
      <c r="Z80" s="33">
        <f ca="1">_xll.DBRW($C$1,$C$2,$C$3,$C$4,$C$6,$C$5,$C$7,Z$1,Z$2,A80)</f>
        <v>0</v>
      </c>
      <c r="AA80" s="33">
        <f ca="1">_xll.DBRW($C$1,$C$2,$C$3,$C$4,$C$6,$C$5,$C$7,AA$1,AA$2,A80)</f>
        <v>0</v>
      </c>
      <c r="AB80" s="33">
        <f ca="1">_xll.DBRW($C$1,$C$2,$C$3,$C$4,$C$6,$C$5,$C$7,AB$1,AB$2,A80)</f>
        <v>0</v>
      </c>
      <c r="AC80" s="33">
        <f ca="1">_xll.DBRW($C$1,$C$2,$C$3,$C$4,$C$6,$C$5,$C$7,AC$1,AC$2,A80)</f>
        <v>0</v>
      </c>
      <c r="AD80" s="33">
        <f ca="1">_xll.DBRW($C$1,$C$2,$C$3,$C$4,$C$6,$C$5,$C$7,AD$1,AD$2,A80)</f>
        <v>0</v>
      </c>
      <c r="AE80" s="33">
        <f ca="1">_xll.DBRW($C$1,$C$2,$C$3,$C$4,$C$6,$C$5,$C$7,AE$1,AE$2,A80)</f>
        <v>0</v>
      </c>
      <c r="AF80" s="33">
        <f ca="1">_xll.DBRW($C$1,$C$2,$C$3,$C$4,$C$6,$C$5,$C$7,AF$1,AF$2,A80)</f>
        <v>0</v>
      </c>
      <c r="AG80" s="33">
        <f ca="1">_xll.DBRW($C$1,$C$2,$C$3,$C$4,$C$6,$C$5,$C$7,AG$1,AG$2,A80)</f>
        <v>0</v>
      </c>
      <c r="AH80" s="33">
        <f ca="1">_xll.DBRW($C$1,$C$2,$C$3,$C$4,$C$6,$C$5,$C$7,AH$1,AH$2,A80)</f>
        <v>0</v>
      </c>
      <c r="AI80" s="33">
        <f ca="1">_xll.DBRW($C$1,$C$2,$C$3,$C$4,$C$6,$C$5,$C$7,AI$1,AI$2,A80)</f>
        <v>0</v>
      </c>
      <c r="AJ80" s="33">
        <f ca="1">_xll.DBRW($C$1,$C$2,$C$3,$C$4,$C$6,$C$5,$C$7,AJ$1,AJ$2,A80)</f>
        <v>0</v>
      </c>
      <c r="AK80" s="33">
        <f ca="1">_xll.DBRW($C$1,$C$2,$C$3,$C$4,$C$6,$C$5,$C$7,AK$1,AK$2,A80)</f>
        <v>0</v>
      </c>
      <c r="AL80" s="33">
        <f ca="1">_xll.DBRW($C$1,$C$2,$C$3,$C$4,$C$6,$C$5,$C$7,AL$1,AL$2,A80)</f>
        <v>0</v>
      </c>
      <c r="AM80" s="33">
        <f ca="1">_xll.DBRW($C$1,$C$2,$C$3,$C$4,$C$6,$C$5,$C$7,AM$1,AM$2,A80)</f>
        <v>0</v>
      </c>
      <c r="AN80" s="33">
        <f ca="1">_xll.DBRW($C$1,$C$2,$C$3,$C$4,$C$6,$C$5,$C$7,AN$1,AN$2,A80)</f>
        <v>0</v>
      </c>
      <c r="AO80" s="33">
        <f ca="1">_xll.DBRW($C$1,$C$2,$C$3,$C$4,$C$6,$C$5,$C$7,AO$1,AO$2,A80)</f>
        <v>0</v>
      </c>
      <c r="AP80" s="33">
        <f ca="1">_xll.DBRW($C$1,$C$2,$C$3,$C$4,$C$6,$C$5,$C$7,AP$1,AP$2,A80)</f>
        <v>0</v>
      </c>
      <c r="AQ80" s="33">
        <f ca="1">_xll.DBRW($C$1,$C$2,$C$3,$C$4,$C$6,$C$5,$C$7,AQ$1,AQ$2,A80)</f>
        <v>0</v>
      </c>
      <c r="AR80" s="33">
        <f ca="1">_xll.DBRW($C$1,$C$2,$C$3,$C$4,$C$6,$C$5,$C$7,AR$1,AR$2,A80)</f>
        <v>0</v>
      </c>
      <c r="AS80" s="33">
        <f ca="1">_xll.DBRW($C$1,$C$2,$C$3,$C$4,$C$6,$C$5,$C$7,AS$1,AS$2,A80)</f>
        <v>0</v>
      </c>
      <c r="AT80" s="33">
        <f ca="1">_xll.DBRW($C$1,$C$2,$C$3,$C$4,$C$6,$C$5,$C$7,AT$1,AT$2,A80)</f>
        <v>0</v>
      </c>
      <c r="AU80" s="33">
        <f ca="1">_xll.DBRW($C$1,$C$2,$C$3,$C$4,$C$6,$C$5,$C$7,AU$1,AU$2,A80)</f>
        <v>0</v>
      </c>
      <c r="AV80" s="33">
        <f ca="1">_xll.DBRW($C$1,$C$2,$C$3,$C$4,$C$6,$C$5,$C$7,AV$1,AV$2,A80)</f>
        <v>0</v>
      </c>
      <c r="AW80" s="33">
        <f ca="1">_xll.DBRW($C$1,$C$2,$C$3,$C$4,$C$6,$C$5,$C$7,AW$1,AW$2,A80)</f>
        <v>0</v>
      </c>
      <c r="AX80" s="33">
        <f ca="1">_xll.DBRW($C$1,$C$2,$C$3,$C$4,$C$6,$C$5,$C$7,AX$1,AX$2,A80)</f>
        <v>0</v>
      </c>
      <c r="AY80" s="33">
        <f ca="1">_xll.DBRW($C$1,$C$2,$C$3,$C$4,$C$6,$C$5,$C$7,AY$1,AY$2,A80)</f>
        <v>0</v>
      </c>
    </row>
    <row r="81" spans="1:51" ht="15.75" hidden="1" customHeight="1" outlineLevel="2">
      <c r="A81" s="1" t="s">
        <v>184</v>
      </c>
      <c r="C81" s="109"/>
      <c r="E81" s="9" t="str">
        <f ca="1">_xll.DBRW(Server&amp;"}ElementAttributes_Indicator",A81,"code_English")</f>
        <v>PL1162_MF - COS - Gains/losses on disposal of right-of-use (MF)</v>
      </c>
      <c r="F81" s="33">
        <f ca="1">_xll.DBRW($C$1,$C$2,$C$3,$C$4,$C$6,$C$5,$C$7,F$1,F$2,A81)</f>
        <v>0</v>
      </c>
      <c r="G81" s="33">
        <f ca="1">_xll.DBRW($C$1,$C$2,$C$3,$C$4,$C$6,$C$5,$C$7,G$1,G$2,A81)</f>
        <v>0</v>
      </c>
      <c r="H81" s="33">
        <f ca="1">_xll.DBRW($C$1,$C$2,$C$3,$C$4,$C$6,$C$5,$C$7,H$1,H$2,A81)</f>
        <v>0</v>
      </c>
      <c r="I81" s="33">
        <f ca="1">_xll.DBRW($C$1,$C$2,$C$3,$C$4,$C$6,$C$5,$C$7,I$1,I$2,A81)</f>
        <v>0</v>
      </c>
      <c r="J81" s="33">
        <f ca="1">_xll.DBRW($C$1,$C$2,$C$3,$C$4,$C$6,$C$5,$C$7,J$1,J$2,A81)</f>
        <v>0</v>
      </c>
      <c r="K81" s="33">
        <f ca="1">_xll.DBRW($C$1,$C$2,$C$3,$C$4,$C$6,$C$5,$C$7,K$1,K$2,A81)</f>
        <v>0</v>
      </c>
      <c r="L81" s="33">
        <f ca="1">_xll.DBRW($C$1,$C$2,$C$3,$C$4,$C$6,$C$5,$C$7,L$1,L$2,A81)</f>
        <v>0</v>
      </c>
      <c r="M81" s="33">
        <f ca="1">_xll.DBRW($C$1,$C$2,$C$3,$C$4,$C$6,$C$5,$C$7,M$1,M$2,A81)</f>
        <v>0</v>
      </c>
      <c r="N81" s="33">
        <f ca="1">_xll.DBRW($C$1,$C$2,$C$3,$C$4,$C$6,$C$5,$C$7,N$1,N$2,A81)</f>
        <v>0</v>
      </c>
      <c r="O81" s="33">
        <f ca="1">_xll.DBRW($C$1,$C$2,$C$3,$C$4,$C$6,$C$5,$C$7,O$1,O$2,A81)</f>
        <v>0</v>
      </c>
      <c r="P81" s="33">
        <f ca="1">_xll.DBRW($C$1,$C$2,$C$3,$C$4,$C$6,$C$5,$C$7,P$1,P$2,A81)</f>
        <v>0</v>
      </c>
      <c r="Q81" s="33">
        <f ca="1">_xll.DBRW($C$1,$C$2,$C$3,$C$4,$C$6,$C$5,$C$7,Q$1,Q$2,A81)</f>
        <v>0</v>
      </c>
      <c r="R81" s="33">
        <f ca="1">_xll.DBRW($C$1,$C$2,$C$3,$C$4,$C$6,$C$5,$C$7,R$1,R$2,A81)</f>
        <v>0</v>
      </c>
      <c r="S81" s="33">
        <f ca="1">_xll.DBRW($C$1,$C$2,$C$3,$C$4,$C$6,$C$5,$C$7,S$1,S$2,A81)</f>
        <v>0</v>
      </c>
      <c r="T81" s="33">
        <f ca="1">_xll.DBRW($C$1,$C$2,$C$3,$C$4,$C$6,$C$5,$C$7,T$1,T$2,A81)</f>
        <v>0</v>
      </c>
      <c r="U81" s="33">
        <f ca="1">_xll.DBRW($C$1,$C$2,$C$3,$C$4,$C$6,$C$5,$C$7,U$1,U$2,A81)</f>
        <v>0</v>
      </c>
      <c r="V81" s="33">
        <f ca="1">_xll.DBRW($C$1,$C$2,$C$3,$C$4,$C$6,$C$5,$C$7,V$1,V$2,A81)</f>
        <v>0</v>
      </c>
      <c r="W81" s="33">
        <f ca="1">_xll.DBRW($C$1,$C$2,$C$3,$C$4,$C$6,$C$5,$C$7,W$1,W$2,A81)</f>
        <v>0</v>
      </c>
      <c r="X81" s="33">
        <f ca="1">_xll.DBRW($C$1,$C$2,$C$3,$C$4,$C$6,$C$5,$C$7,X$1,X$2,A81)</f>
        <v>0</v>
      </c>
      <c r="Y81" s="33">
        <f ca="1">_xll.DBRW($C$1,$C$2,$C$3,$C$4,$C$6,$C$5,$C$7,Y$1,Y$2,A81)</f>
        <v>0</v>
      </c>
      <c r="Z81" s="33">
        <f ca="1">_xll.DBRW($C$1,$C$2,$C$3,$C$4,$C$6,$C$5,$C$7,Z$1,Z$2,A81)</f>
        <v>0</v>
      </c>
      <c r="AA81" s="33">
        <f ca="1">_xll.DBRW($C$1,$C$2,$C$3,$C$4,$C$6,$C$5,$C$7,AA$1,AA$2,A81)</f>
        <v>0</v>
      </c>
      <c r="AB81" s="33">
        <f ca="1">_xll.DBRW($C$1,$C$2,$C$3,$C$4,$C$6,$C$5,$C$7,AB$1,AB$2,A81)</f>
        <v>0</v>
      </c>
      <c r="AC81" s="33">
        <f ca="1">_xll.DBRW($C$1,$C$2,$C$3,$C$4,$C$6,$C$5,$C$7,AC$1,AC$2,A81)</f>
        <v>0</v>
      </c>
      <c r="AD81" s="33">
        <f ca="1">_xll.DBRW($C$1,$C$2,$C$3,$C$4,$C$6,$C$5,$C$7,AD$1,AD$2,A81)</f>
        <v>0</v>
      </c>
      <c r="AE81" s="33">
        <f ca="1">_xll.DBRW($C$1,$C$2,$C$3,$C$4,$C$6,$C$5,$C$7,AE$1,AE$2,A81)</f>
        <v>0</v>
      </c>
      <c r="AF81" s="33">
        <f ca="1">_xll.DBRW($C$1,$C$2,$C$3,$C$4,$C$6,$C$5,$C$7,AF$1,AF$2,A81)</f>
        <v>0</v>
      </c>
      <c r="AG81" s="33">
        <f ca="1">_xll.DBRW($C$1,$C$2,$C$3,$C$4,$C$6,$C$5,$C$7,AG$1,AG$2,A81)</f>
        <v>0</v>
      </c>
      <c r="AH81" s="33">
        <f ca="1">_xll.DBRW($C$1,$C$2,$C$3,$C$4,$C$6,$C$5,$C$7,AH$1,AH$2,A81)</f>
        <v>0</v>
      </c>
      <c r="AI81" s="33">
        <f ca="1">_xll.DBRW($C$1,$C$2,$C$3,$C$4,$C$6,$C$5,$C$7,AI$1,AI$2,A81)</f>
        <v>0</v>
      </c>
      <c r="AJ81" s="33">
        <f ca="1">_xll.DBRW($C$1,$C$2,$C$3,$C$4,$C$6,$C$5,$C$7,AJ$1,AJ$2,A81)</f>
        <v>0</v>
      </c>
      <c r="AK81" s="33">
        <f ca="1">_xll.DBRW($C$1,$C$2,$C$3,$C$4,$C$6,$C$5,$C$7,AK$1,AK$2,A81)</f>
        <v>0</v>
      </c>
      <c r="AL81" s="33">
        <f ca="1">_xll.DBRW($C$1,$C$2,$C$3,$C$4,$C$6,$C$5,$C$7,AL$1,AL$2,A81)</f>
        <v>0</v>
      </c>
      <c r="AM81" s="33">
        <f ca="1">_xll.DBRW($C$1,$C$2,$C$3,$C$4,$C$6,$C$5,$C$7,AM$1,AM$2,A81)</f>
        <v>0</v>
      </c>
      <c r="AN81" s="33">
        <f ca="1">_xll.DBRW($C$1,$C$2,$C$3,$C$4,$C$6,$C$5,$C$7,AN$1,AN$2,A81)</f>
        <v>0</v>
      </c>
      <c r="AO81" s="33">
        <f ca="1">_xll.DBRW($C$1,$C$2,$C$3,$C$4,$C$6,$C$5,$C$7,AO$1,AO$2,A81)</f>
        <v>0</v>
      </c>
      <c r="AP81" s="33">
        <f ca="1">_xll.DBRW($C$1,$C$2,$C$3,$C$4,$C$6,$C$5,$C$7,AP$1,AP$2,A81)</f>
        <v>0</v>
      </c>
      <c r="AQ81" s="33">
        <f ca="1">_xll.DBRW($C$1,$C$2,$C$3,$C$4,$C$6,$C$5,$C$7,AQ$1,AQ$2,A81)</f>
        <v>0</v>
      </c>
      <c r="AR81" s="33">
        <f ca="1">_xll.DBRW($C$1,$C$2,$C$3,$C$4,$C$6,$C$5,$C$7,AR$1,AR$2,A81)</f>
        <v>0</v>
      </c>
      <c r="AS81" s="33">
        <f ca="1">_xll.DBRW($C$1,$C$2,$C$3,$C$4,$C$6,$C$5,$C$7,AS$1,AS$2,A81)</f>
        <v>0</v>
      </c>
      <c r="AT81" s="33">
        <f ca="1">_xll.DBRW($C$1,$C$2,$C$3,$C$4,$C$6,$C$5,$C$7,AT$1,AT$2,A81)</f>
        <v>0</v>
      </c>
      <c r="AU81" s="33">
        <f ca="1">_xll.DBRW($C$1,$C$2,$C$3,$C$4,$C$6,$C$5,$C$7,AU$1,AU$2,A81)</f>
        <v>0</v>
      </c>
      <c r="AV81" s="33">
        <f ca="1">_xll.DBRW($C$1,$C$2,$C$3,$C$4,$C$6,$C$5,$C$7,AV$1,AV$2,A81)</f>
        <v>0</v>
      </c>
      <c r="AW81" s="33">
        <f ca="1">_xll.DBRW($C$1,$C$2,$C$3,$C$4,$C$6,$C$5,$C$7,AW$1,AW$2,A81)</f>
        <v>0</v>
      </c>
      <c r="AX81" s="33">
        <f ca="1">_xll.DBRW($C$1,$C$2,$C$3,$C$4,$C$6,$C$5,$C$7,AX$1,AX$2,A81)</f>
        <v>0</v>
      </c>
      <c r="AY81" s="33">
        <f ca="1">_xll.DBRW($C$1,$C$2,$C$3,$C$4,$C$6,$C$5,$C$7,AY$1,AY$2,A81)</f>
        <v>0</v>
      </c>
    </row>
    <row r="82" spans="1:51" ht="15.75" hidden="1" customHeight="1" outlineLevel="2">
      <c r="A82" s="1" t="s">
        <v>185</v>
      </c>
      <c r="C82" s="109"/>
      <c r="E82" s="9" t="str">
        <f ca="1">_xll.DBRW(Server&amp;"}ElementAttributes_Indicator",A82,"code_English")</f>
        <v>PL1162_ST - COS - Gains/losses on disposal of right-of-use (ST)</v>
      </c>
      <c r="F82" s="33">
        <f ca="1">_xll.DBRW($C$1,$C$2,$C$3,$C$4,$C$6,$C$5,$C$7,F$1,F$2,A82)</f>
        <v>0</v>
      </c>
      <c r="G82" s="33">
        <f ca="1">_xll.DBRW($C$1,$C$2,$C$3,$C$4,$C$6,$C$5,$C$7,G$1,G$2,A82)</f>
        <v>0</v>
      </c>
      <c r="H82" s="33">
        <f ca="1">_xll.DBRW($C$1,$C$2,$C$3,$C$4,$C$6,$C$5,$C$7,H$1,H$2,A82)</f>
        <v>0</v>
      </c>
      <c r="I82" s="33">
        <f ca="1">_xll.DBRW($C$1,$C$2,$C$3,$C$4,$C$6,$C$5,$C$7,I$1,I$2,A82)</f>
        <v>0</v>
      </c>
      <c r="J82" s="33">
        <f ca="1">_xll.DBRW($C$1,$C$2,$C$3,$C$4,$C$6,$C$5,$C$7,J$1,J$2,A82)</f>
        <v>0</v>
      </c>
      <c r="K82" s="33">
        <f ca="1">_xll.DBRW($C$1,$C$2,$C$3,$C$4,$C$6,$C$5,$C$7,K$1,K$2,A82)</f>
        <v>0</v>
      </c>
      <c r="L82" s="33">
        <f ca="1">_xll.DBRW($C$1,$C$2,$C$3,$C$4,$C$6,$C$5,$C$7,L$1,L$2,A82)</f>
        <v>0</v>
      </c>
      <c r="M82" s="33">
        <f ca="1">_xll.DBRW($C$1,$C$2,$C$3,$C$4,$C$6,$C$5,$C$7,M$1,M$2,A82)</f>
        <v>0</v>
      </c>
      <c r="N82" s="33">
        <f ca="1">_xll.DBRW($C$1,$C$2,$C$3,$C$4,$C$6,$C$5,$C$7,N$1,N$2,A82)</f>
        <v>0</v>
      </c>
      <c r="O82" s="33">
        <f ca="1">_xll.DBRW($C$1,$C$2,$C$3,$C$4,$C$6,$C$5,$C$7,O$1,O$2,A82)</f>
        <v>0</v>
      </c>
      <c r="P82" s="33">
        <f ca="1">_xll.DBRW($C$1,$C$2,$C$3,$C$4,$C$6,$C$5,$C$7,P$1,P$2,A82)</f>
        <v>0</v>
      </c>
      <c r="Q82" s="33">
        <f ca="1">_xll.DBRW($C$1,$C$2,$C$3,$C$4,$C$6,$C$5,$C$7,Q$1,Q$2,A82)</f>
        <v>0</v>
      </c>
      <c r="R82" s="33">
        <f ca="1">_xll.DBRW($C$1,$C$2,$C$3,$C$4,$C$6,$C$5,$C$7,R$1,R$2,A82)</f>
        <v>0</v>
      </c>
      <c r="S82" s="33">
        <f ca="1">_xll.DBRW($C$1,$C$2,$C$3,$C$4,$C$6,$C$5,$C$7,S$1,S$2,A82)</f>
        <v>0</v>
      </c>
      <c r="T82" s="33">
        <f ca="1">_xll.DBRW($C$1,$C$2,$C$3,$C$4,$C$6,$C$5,$C$7,T$1,T$2,A82)</f>
        <v>0</v>
      </c>
      <c r="U82" s="33">
        <f ca="1">_xll.DBRW($C$1,$C$2,$C$3,$C$4,$C$6,$C$5,$C$7,U$1,U$2,A82)</f>
        <v>0</v>
      </c>
      <c r="V82" s="33">
        <f ca="1">_xll.DBRW($C$1,$C$2,$C$3,$C$4,$C$6,$C$5,$C$7,V$1,V$2,A82)</f>
        <v>0</v>
      </c>
      <c r="W82" s="33">
        <f ca="1">_xll.DBRW($C$1,$C$2,$C$3,$C$4,$C$6,$C$5,$C$7,W$1,W$2,A82)</f>
        <v>0</v>
      </c>
      <c r="X82" s="33">
        <f ca="1">_xll.DBRW($C$1,$C$2,$C$3,$C$4,$C$6,$C$5,$C$7,X$1,X$2,A82)</f>
        <v>0</v>
      </c>
      <c r="Y82" s="33">
        <f ca="1">_xll.DBRW($C$1,$C$2,$C$3,$C$4,$C$6,$C$5,$C$7,Y$1,Y$2,A82)</f>
        <v>0</v>
      </c>
      <c r="Z82" s="33">
        <f ca="1">_xll.DBRW($C$1,$C$2,$C$3,$C$4,$C$6,$C$5,$C$7,Z$1,Z$2,A82)</f>
        <v>0</v>
      </c>
      <c r="AA82" s="33">
        <f ca="1">_xll.DBRW($C$1,$C$2,$C$3,$C$4,$C$6,$C$5,$C$7,AA$1,AA$2,A82)</f>
        <v>0</v>
      </c>
      <c r="AB82" s="33">
        <f ca="1">_xll.DBRW($C$1,$C$2,$C$3,$C$4,$C$6,$C$5,$C$7,AB$1,AB$2,A82)</f>
        <v>0</v>
      </c>
      <c r="AC82" s="33">
        <f ca="1">_xll.DBRW($C$1,$C$2,$C$3,$C$4,$C$6,$C$5,$C$7,AC$1,AC$2,A82)</f>
        <v>0</v>
      </c>
      <c r="AD82" s="33">
        <f ca="1">_xll.DBRW($C$1,$C$2,$C$3,$C$4,$C$6,$C$5,$C$7,AD$1,AD$2,A82)</f>
        <v>0</v>
      </c>
      <c r="AE82" s="33">
        <f ca="1">_xll.DBRW($C$1,$C$2,$C$3,$C$4,$C$6,$C$5,$C$7,AE$1,AE$2,A82)</f>
        <v>0</v>
      </c>
      <c r="AF82" s="33">
        <f ca="1">_xll.DBRW($C$1,$C$2,$C$3,$C$4,$C$6,$C$5,$C$7,AF$1,AF$2,A82)</f>
        <v>0</v>
      </c>
      <c r="AG82" s="33">
        <f ca="1">_xll.DBRW($C$1,$C$2,$C$3,$C$4,$C$6,$C$5,$C$7,AG$1,AG$2,A82)</f>
        <v>0</v>
      </c>
      <c r="AH82" s="33">
        <f ca="1">_xll.DBRW($C$1,$C$2,$C$3,$C$4,$C$6,$C$5,$C$7,AH$1,AH$2,A82)</f>
        <v>0</v>
      </c>
      <c r="AI82" s="33">
        <f ca="1">_xll.DBRW($C$1,$C$2,$C$3,$C$4,$C$6,$C$5,$C$7,AI$1,AI$2,A82)</f>
        <v>0</v>
      </c>
      <c r="AJ82" s="33">
        <f ca="1">_xll.DBRW($C$1,$C$2,$C$3,$C$4,$C$6,$C$5,$C$7,AJ$1,AJ$2,A82)</f>
        <v>0</v>
      </c>
      <c r="AK82" s="33">
        <f ca="1">_xll.DBRW($C$1,$C$2,$C$3,$C$4,$C$6,$C$5,$C$7,AK$1,AK$2,A82)</f>
        <v>0</v>
      </c>
      <c r="AL82" s="33">
        <f ca="1">_xll.DBRW($C$1,$C$2,$C$3,$C$4,$C$6,$C$5,$C$7,AL$1,AL$2,A82)</f>
        <v>0</v>
      </c>
      <c r="AM82" s="33">
        <f ca="1">_xll.DBRW($C$1,$C$2,$C$3,$C$4,$C$6,$C$5,$C$7,AM$1,AM$2,A82)</f>
        <v>0</v>
      </c>
      <c r="AN82" s="33">
        <f ca="1">_xll.DBRW($C$1,$C$2,$C$3,$C$4,$C$6,$C$5,$C$7,AN$1,AN$2,A82)</f>
        <v>0</v>
      </c>
      <c r="AO82" s="33">
        <f ca="1">_xll.DBRW($C$1,$C$2,$C$3,$C$4,$C$6,$C$5,$C$7,AO$1,AO$2,A82)</f>
        <v>0</v>
      </c>
      <c r="AP82" s="33">
        <f ca="1">_xll.DBRW($C$1,$C$2,$C$3,$C$4,$C$6,$C$5,$C$7,AP$1,AP$2,A82)</f>
        <v>0</v>
      </c>
      <c r="AQ82" s="33">
        <f ca="1">_xll.DBRW($C$1,$C$2,$C$3,$C$4,$C$6,$C$5,$C$7,AQ$1,AQ$2,A82)</f>
        <v>0</v>
      </c>
      <c r="AR82" s="33">
        <f ca="1">_xll.DBRW($C$1,$C$2,$C$3,$C$4,$C$6,$C$5,$C$7,AR$1,AR$2,A82)</f>
        <v>0</v>
      </c>
      <c r="AS82" s="33">
        <f ca="1">_xll.DBRW($C$1,$C$2,$C$3,$C$4,$C$6,$C$5,$C$7,AS$1,AS$2,A82)</f>
        <v>0</v>
      </c>
      <c r="AT82" s="33">
        <f ca="1">_xll.DBRW($C$1,$C$2,$C$3,$C$4,$C$6,$C$5,$C$7,AT$1,AT$2,A82)</f>
        <v>0</v>
      </c>
      <c r="AU82" s="33">
        <f ca="1">_xll.DBRW($C$1,$C$2,$C$3,$C$4,$C$6,$C$5,$C$7,AU$1,AU$2,A82)</f>
        <v>0</v>
      </c>
      <c r="AV82" s="33">
        <f ca="1">_xll.DBRW($C$1,$C$2,$C$3,$C$4,$C$6,$C$5,$C$7,AV$1,AV$2,A82)</f>
        <v>0</v>
      </c>
      <c r="AW82" s="33">
        <f ca="1">_xll.DBRW($C$1,$C$2,$C$3,$C$4,$C$6,$C$5,$C$7,AW$1,AW$2,A82)</f>
        <v>0</v>
      </c>
      <c r="AX82" s="33">
        <f ca="1">_xll.DBRW($C$1,$C$2,$C$3,$C$4,$C$6,$C$5,$C$7,AX$1,AX$2,A82)</f>
        <v>0</v>
      </c>
      <c r="AY82" s="33">
        <f ca="1">_xll.DBRW($C$1,$C$2,$C$3,$C$4,$C$6,$C$5,$C$7,AY$1,AY$2,A82)</f>
        <v>0</v>
      </c>
    </row>
    <row r="83" spans="1:51" ht="15.5" hidden="1" outlineLevel="1" collapsed="1">
      <c r="A83" s="1" t="s">
        <v>142</v>
      </c>
      <c r="C83" s="109"/>
      <c r="E83" s="14" t="s">
        <v>29</v>
      </c>
      <c r="F83" s="33">
        <f ca="1">SUM(F60:F82)</f>
        <v>0</v>
      </c>
      <c r="G83" s="33">
        <f t="shared" ref="G83:L83" ca="1" si="47">SUM(G60:G82)</f>
        <v>0</v>
      </c>
      <c r="H83" s="33">
        <f t="shared" ca="1" si="47"/>
        <v>0</v>
      </c>
      <c r="I83" s="33">
        <f t="shared" ca="1" si="47"/>
        <v>0</v>
      </c>
      <c r="J83" s="33">
        <f t="shared" ca="1" si="47"/>
        <v>0</v>
      </c>
      <c r="K83" s="33">
        <f t="shared" ca="1" si="47"/>
        <v>0</v>
      </c>
      <c r="L83" s="33">
        <f t="shared" ca="1" si="47"/>
        <v>0</v>
      </c>
      <c r="M83" s="33">
        <f t="shared" ref="M83:X83" ca="1" si="48">SUM(M60:M82)</f>
        <v>0</v>
      </c>
      <c r="N83" s="33">
        <f t="shared" ca="1" si="48"/>
        <v>0</v>
      </c>
      <c r="O83" s="33">
        <f t="shared" ca="1" si="48"/>
        <v>0</v>
      </c>
      <c r="P83" s="33">
        <f t="shared" ca="1" si="48"/>
        <v>0</v>
      </c>
      <c r="Q83" s="33">
        <f t="shared" ca="1" si="48"/>
        <v>0</v>
      </c>
      <c r="R83" s="33">
        <f t="shared" ca="1" si="48"/>
        <v>0</v>
      </c>
      <c r="S83" s="33">
        <f t="shared" ca="1" si="48"/>
        <v>0</v>
      </c>
      <c r="T83" s="33">
        <f t="shared" ca="1" si="48"/>
        <v>0</v>
      </c>
      <c r="U83" s="33">
        <f t="shared" ca="1" si="48"/>
        <v>0</v>
      </c>
      <c r="V83" s="33">
        <f t="shared" ca="1" si="48"/>
        <v>0</v>
      </c>
      <c r="W83" s="33">
        <f t="shared" ca="1" si="48"/>
        <v>0</v>
      </c>
      <c r="X83" s="33">
        <f t="shared" ca="1" si="48"/>
        <v>0</v>
      </c>
      <c r="Y83" s="33">
        <f ca="1">SUM(Y60:Y82)</f>
        <v>0</v>
      </c>
      <c r="Z83" s="33">
        <f t="shared" ref="Z83:AK83" ca="1" si="49">SUM(Z60:Z82)</f>
        <v>0</v>
      </c>
      <c r="AA83" s="33">
        <f t="shared" ca="1" si="49"/>
        <v>0</v>
      </c>
      <c r="AB83" s="33">
        <f t="shared" ca="1" si="49"/>
        <v>0</v>
      </c>
      <c r="AC83" s="33">
        <f t="shared" ca="1" si="49"/>
        <v>0</v>
      </c>
      <c r="AD83" s="33">
        <f t="shared" ca="1" si="49"/>
        <v>0</v>
      </c>
      <c r="AE83" s="33">
        <f t="shared" ca="1" si="49"/>
        <v>0</v>
      </c>
      <c r="AF83" s="33">
        <f t="shared" ca="1" si="49"/>
        <v>0</v>
      </c>
      <c r="AG83" s="33">
        <f t="shared" ca="1" si="49"/>
        <v>0</v>
      </c>
      <c r="AH83" s="33">
        <f t="shared" ca="1" si="49"/>
        <v>0</v>
      </c>
      <c r="AI83" s="33">
        <f t="shared" ca="1" si="49"/>
        <v>0</v>
      </c>
      <c r="AJ83" s="33">
        <f t="shared" ca="1" si="49"/>
        <v>0</v>
      </c>
      <c r="AK83" s="33">
        <f t="shared" ca="1" si="49"/>
        <v>0</v>
      </c>
      <c r="AL83" s="33">
        <f ca="1">SUM(AL60:AL82)</f>
        <v>0</v>
      </c>
      <c r="AM83" s="33">
        <f t="shared" ref="AM83:AX83" ca="1" si="50">SUM(AM60:AM82)</f>
        <v>0</v>
      </c>
      <c r="AN83" s="33">
        <f t="shared" ca="1" si="50"/>
        <v>0</v>
      </c>
      <c r="AO83" s="33">
        <f t="shared" ca="1" si="50"/>
        <v>0</v>
      </c>
      <c r="AP83" s="33">
        <f t="shared" ca="1" si="50"/>
        <v>0</v>
      </c>
      <c r="AQ83" s="33">
        <f t="shared" ca="1" si="50"/>
        <v>0</v>
      </c>
      <c r="AR83" s="33">
        <f t="shared" ca="1" si="50"/>
        <v>0</v>
      </c>
      <c r="AS83" s="33">
        <f t="shared" ca="1" si="50"/>
        <v>0</v>
      </c>
      <c r="AT83" s="33">
        <f t="shared" ca="1" si="50"/>
        <v>0</v>
      </c>
      <c r="AU83" s="33">
        <f t="shared" ca="1" si="50"/>
        <v>0</v>
      </c>
      <c r="AV83" s="33">
        <f t="shared" ca="1" si="50"/>
        <v>0</v>
      </c>
      <c r="AW83" s="33">
        <f t="shared" ca="1" si="50"/>
        <v>0</v>
      </c>
      <c r="AX83" s="33">
        <f t="shared" ca="1" si="50"/>
        <v>0</v>
      </c>
      <c r="AY83" s="33">
        <f ca="1">SUM(AY60:AY82)</f>
        <v>0</v>
      </c>
    </row>
    <row r="84" spans="1:51" ht="15.5" collapsed="1">
      <c r="A84" s="1" t="s">
        <v>142</v>
      </c>
      <c r="C84" s="109"/>
      <c r="E84" s="11" t="s">
        <v>30</v>
      </c>
      <c r="F84" s="35">
        <f t="shared" ref="F84:L84" ca="1" si="51">F83+F59+F57+F55+F53+F51+F48</f>
        <v>0</v>
      </c>
      <c r="G84" s="35">
        <f t="shared" ca="1" si="51"/>
        <v>0</v>
      </c>
      <c r="H84" s="35">
        <f t="shared" ca="1" si="51"/>
        <v>0</v>
      </c>
      <c r="I84" s="35">
        <f t="shared" ca="1" si="51"/>
        <v>0</v>
      </c>
      <c r="J84" s="35">
        <f t="shared" ca="1" si="51"/>
        <v>0</v>
      </c>
      <c r="K84" s="35">
        <f t="shared" ca="1" si="51"/>
        <v>0</v>
      </c>
      <c r="L84" s="35">
        <f t="shared" ca="1" si="51"/>
        <v>0</v>
      </c>
      <c r="M84" s="35">
        <f t="shared" ref="M84:X84" ca="1" si="52">M83+M59+M57+M55+M53+M51+M48</f>
        <v>0</v>
      </c>
      <c r="N84" s="35">
        <f t="shared" ca="1" si="52"/>
        <v>0</v>
      </c>
      <c r="O84" s="35">
        <f t="shared" ca="1" si="52"/>
        <v>0</v>
      </c>
      <c r="P84" s="35">
        <f t="shared" ca="1" si="52"/>
        <v>0</v>
      </c>
      <c r="Q84" s="35">
        <f t="shared" ca="1" si="52"/>
        <v>0</v>
      </c>
      <c r="R84" s="35">
        <f t="shared" ca="1" si="52"/>
        <v>0</v>
      </c>
      <c r="S84" s="35">
        <f t="shared" ca="1" si="52"/>
        <v>0</v>
      </c>
      <c r="T84" s="35">
        <f t="shared" ca="1" si="52"/>
        <v>0</v>
      </c>
      <c r="U84" s="35">
        <f t="shared" ca="1" si="52"/>
        <v>0</v>
      </c>
      <c r="V84" s="35">
        <f t="shared" ca="1" si="52"/>
        <v>0</v>
      </c>
      <c r="W84" s="35">
        <f t="shared" ca="1" si="52"/>
        <v>0</v>
      </c>
      <c r="X84" s="35">
        <f t="shared" ca="1" si="52"/>
        <v>0</v>
      </c>
      <c r="Y84" s="35">
        <f ca="1">Y83+Y59+Y57+Y55+Y53+Y51+Y48</f>
        <v>0</v>
      </c>
      <c r="Z84" s="35">
        <f t="shared" ref="Z84:AK84" ca="1" si="53">Z83+Z59+Z57+Z55+Z53+Z51+Z48</f>
        <v>0</v>
      </c>
      <c r="AA84" s="35">
        <f t="shared" ca="1" si="53"/>
        <v>0</v>
      </c>
      <c r="AB84" s="35">
        <f t="shared" ca="1" si="53"/>
        <v>0</v>
      </c>
      <c r="AC84" s="35">
        <f t="shared" ca="1" si="53"/>
        <v>0</v>
      </c>
      <c r="AD84" s="35">
        <f t="shared" ca="1" si="53"/>
        <v>0</v>
      </c>
      <c r="AE84" s="35">
        <f t="shared" ca="1" si="53"/>
        <v>0</v>
      </c>
      <c r="AF84" s="35">
        <f t="shared" ca="1" si="53"/>
        <v>0</v>
      </c>
      <c r="AG84" s="35">
        <f t="shared" ca="1" si="53"/>
        <v>0</v>
      </c>
      <c r="AH84" s="35">
        <f t="shared" ca="1" si="53"/>
        <v>0</v>
      </c>
      <c r="AI84" s="35">
        <f t="shared" ca="1" si="53"/>
        <v>0</v>
      </c>
      <c r="AJ84" s="35">
        <f t="shared" ca="1" si="53"/>
        <v>0</v>
      </c>
      <c r="AK84" s="35">
        <f t="shared" ca="1" si="53"/>
        <v>0</v>
      </c>
      <c r="AL84" s="35">
        <f ca="1">AL83+AL59+AL57+AL55+AL53+AL51+AL48</f>
        <v>0</v>
      </c>
      <c r="AM84" s="35">
        <f t="shared" ref="AM84:AX84" ca="1" si="54">AM83+AM59+AM57+AM55+AM53+AM51+AM48</f>
        <v>0</v>
      </c>
      <c r="AN84" s="35">
        <f t="shared" ca="1" si="54"/>
        <v>0</v>
      </c>
      <c r="AO84" s="35">
        <f t="shared" ca="1" si="54"/>
        <v>0</v>
      </c>
      <c r="AP84" s="35">
        <f t="shared" ca="1" si="54"/>
        <v>0</v>
      </c>
      <c r="AQ84" s="35">
        <f t="shared" ca="1" si="54"/>
        <v>0</v>
      </c>
      <c r="AR84" s="35">
        <f t="shared" ca="1" si="54"/>
        <v>0</v>
      </c>
      <c r="AS84" s="35">
        <f t="shared" ca="1" si="54"/>
        <v>0</v>
      </c>
      <c r="AT84" s="35">
        <f t="shared" ca="1" si="54"/>
        <v>0</v>
      </c>
      <c r="AU84" s="35">
        <f t="shared" ca="1" si="54"/>
        <v>0</v>
      </c>
      <c r="AV84" s="35">
        <f t="shared" ca="1" si="54"/>
        <v>0</v>
      </c>
      <c r="AW84" s="35">
        <f t="shared" ca="1" si="54"/>
        <v>0</v>
      </c>
      <c r="AX84" s="35">
        <f t="shared" ca="1" si="54"/>
        <v>0</v>
      </c>
      <c r="AY84" s="35">
        <f ca="1">AY83+AY59+AY57+AY55+AY53+AY51+AY48</f>
        <v>0</v>
      </c>
    </row>
    <row r="85" spans="1:51" ht="15.75" hidden="1" customHeight="1" outlineLevel="1">
      <c r="A85" s="1" t="s">
        <v>186</v>
      </c>
      <c r="C85" s="109"/>
      <c r="E85" s="9" t="str">
        <f ca="1">_xll.DBRW(Server&amp;"}ElementAttributes_Indicator",A85,"code_English")</f>
        <v>PL1115_ET_83 - Electricity</v>
      </c>
      <c r="F85" s="32">
        <f ca="1">_xll.DBRW($C$1,$C$2,$C$3,$C$4,$C$6,$C$5,$C$7,F$1,F$2,A85)</f>
        <v>0</v>
      </c>
      <c r="G85" s="32">
        <f ca="1">_xll.DBRW($C$1,$C$2,$C$3,$C$4,$C$6,$C$5,$C$7,G$1,G$2,A85)</f>
        <v>0</v>
      </c>
      <c r="H85" s="32">
        <f ca="1">_xll.DBRW($C$1,$C$2,$C$3,$C$4,$C$6,$C$5,$C$7,H$1,H$2,A85)</f>
        <v>0</v>
      </c>
      <c r="I85" s="32">
        <f ca="1">_xll.DBRW($C$1,$C$2,$C$3,$C$4,$C$6,$C$5,$C$7,I$1,I$2,A85)</f>
        <v>0</v>
      </c>
      <c r="J85" s="32">
        <f ca="1">_xll.DBRW($C$1,$C$2,$C$3,$C$4,$C$6,$C$5,$C$7,J$1,J$2,A85)</f>
        <v>0</v>
      </c>
      <c r="K85" s="32">
        <f ca="1">_xll.DBRW($C$1,$C$2,$C$3,$C$4,$C$6,$C$5,$C$7,K$1,K$2,A85)</f>
        <v>0</v>
      </c>
      <c r="L85" s="32">
        <f ca="1">_xll.DBRW($C$1,$C$2,$C$3,$C$4,$C$6,$C$5,$C$7,L$1,L$2,A85)</f>
        <v>0</v>
      </c>
      <c r="M85" s="32">
        <f ca="1">_xll.DBRW($C$1,$C$2,$C$3,$C$4,$C$6,$C$5,$C$7,M$1,M$2,A85)</f>
        <v>0</v>
      </c>
      <c r="N85" s="32">
        <f ca="1">_xll.DBRW($C$1,$C$2,$C$3,$C$4,$C$6,$C$5,$C$7,N$1,N$2,A85)</f>
        <v>0</v>
      </c>
      <c r="O85" s="32">
        <f ca="1">_xll.DBRW($C$1,$C$2,$C$3,$C$4,$C$6,$C$5,$C$7,O$1,O$2,A85)</f>
        <v>0</v>
      </c>
      <c r="P85" s="32">
        <f ca="1">_xll.DBRW($C$1,$C$2,$C$3,$C$4,$C$6,$C$5,$C$7,P$1,P$2,A85)</f>
        <v>0</v>
      </c>
      <c r="Q85" s="32">
        <f ca="1">_xll.DBRW($C$1,$C$2,$C$3,$C$4,$C$6,$C$5,$C$7,Q$1,Q$2,A85)</f>
        <v>0</v>
      </c>
      <c r="R85" s="32">
        <f ca="1">_xll.DBRW($C$1,$C$2,$C$3,$C$4,$C$6,$C$5,$C$7,R$1,R$2,A85)</f>
        <v>0</v>
      </c>
      <c r="S85" s="32">
        <f ca="1">_xll.DBRW($C$1,$C$2,$C$3,$C$4,$C$6,$C$5,$C$7,S$1,S$2,A85)</f>
        <v>0</v>
      </c>
      <c r="T85" s="32">
        <f ca="1">_xll.DBRW($C$1,$C$2,$C$3,$C$4,$C$6,$C$5,$C$7,T$1,T$2,A85)</f>
        <v>0</v>
      </c>
      <c r="U85" s="32">
        <f ca="1">_xll.DBRW($C$1,$C$2,$C$3,$C$4,$C$6,$C$5,$C$7,U$1,U$2,A85)</f>
        <v>0</v>
      </c>
      <c r="V85" s="32">
        <f ca="1">_xll.DBRW($C$1,$C$2,$C$3,$C$4,$C$6,$C$5,$C$7,V$1,V$2,A85)</f>
        <v>0</v>
      </c>
      <c r="W85" s="32">
        <f ca="1">_xll.DBRW($C$1,$C$2,$C$3,$C$4,$C$6,$C$5,$C$7,W$1,W$2,A85)</f>
        <v>0</v>
      </c>
      <c r="X85" s="32">
        <f ca="1">_xll.DBRW($C$1,$C$2,$C$3,$C$4,$C$6,$C$5,$C$7,X$1,X$2,A85)</f>
        <v>0</v>
      </c>
      <c r="Y85" s="32">
        <f ca="1">_xll.DBRW($C$1,$C$2,$C$3,$C$4,$C$6,$C$5,$C$7,Y$1,Y$2,A85)</f>
        <v>0</v>
      </c>
      <c r="Z85" s="32">
        <f ca="1">_xll.DBRW($C$1,$C$2,$C$3,$C$4,$C$6,$C$5,$C$7,Z$1,Z$2,A85)</f>
        <v>0</v>
      </c>
      <c r="AA85" s="32">
        <f ca="1">_xll.DBRW($C$1,$C$2,$C$3,$C$4,$C$6,$C$5,$C$7,AA$1,AA$2,A85)</f>
        <v>0</v>
      </c>
      <c r="AB85" s="32">
        <f ca="1">_xll.DBRW($C$1,$C$2,$C$3,$C$4,$C$6,$C$5,$C$7,AB$1,AB$2,A85)</f>
        <v>0</v>
      </c>
      <c r="AC85" s="32">
        <f ca="1">_xll.DBRW($C$1,$C$2,$C$3,$C$4,$C$6,$C$5,$C$7,AC$1,AC$2,A85)</f>
        <v>0</v>
      </c>
      <c r="AD85" s="32">
        <f ca="1">_xll.DBRW($C$1,$C$2,$C$3,$C$4,$C$6,$C$5,$C$7,AD$1,AD$2,A85)</f>
        <v>0</v>
      </c>
      <c r="AE85" s="32">
        <f ca="1">_xll.DBRW($C$1,$C$2,$C$3,$C$4,$C$6,$C$5,$C$7,AE$1,AE$2,A85)</f>
        <v>0</v>
      </c>
      <c r="AF85" s="32">
        <f ca="1">_xll.DBRW($C$1,$C$2,$C$3,$C$4,$C$6,$C$5,$C$7,AF$1,AF$2,A85)</f>
        <v>0</v>
      </c>
      <c r="AG85" s="32">
        <f ca="1">_xll.DBRW($C$1,$C$2,$C$3,$C$4,$C$6,$C$5,$C$7,AG$1,AG$2,A85)</f>
        <v>0</v>
      </c>
      <c r="AH85" s="32">
        <f ca="1">_xll.DBRW($C$1,$C$2,$C$3,$C$4,$C$6,$C$5,$C$7,AH$1,AH$2,A85)</f>
        <v>0</v>
      </c>
      <c r="AI85" s="32">
        <f ca="1">_xll.DBRW($C$1,$C$2,$C$3,$C$4,$C$6,$C$5,$C$7,AI$1,AI$2,A85)</f>
        <v>0</v>
      </c>
      <c r="AJ85" s="32">
        <f ca="1">_xll.DBRW($C$1,$C$2,$C$3,$C$4,$C$6,$C$5,$C$7,AJ$1,AJ$2,A85)</f>
        <v>0</v>
      </c>
      <c r="AK85" s="32">
        <f ca="1">_xll.DBRW($C$1,$C$2,$C$3,$C$4,$C$6,$C$5,$C$7,AK$1,AK$2,A85)</f>
        <v>0</v>
      </c>
      <c r="AL85" s="32">
        <f ca="1">_xll.DBRW($C$1,$C$2,$C$3,$C$4,$C$6,$C$5,$C$7,AL$1,AL$2,A85)</f>
        <v>0</v>
      </c>
      <c r="AM85" s="32">
        <f ca="1">_xll.DBRW($C$1,$C$2,$C$3,$C$4,$C$6,$C$5,$C$7,AM$1,AM$2,A85)</f>
        <v>0</v>
      </c>
      <c r="AN85" s="32">
        <f ca="1">_xll.DBRW($C$1,$C$2,$C$3,$C$4,$C$6,$C$5,$C$7,AN$1,AN$2,A85)</f>
        <v>0</v>
      </c>
      <c r="AO85" s="32">
        <f ca="1">_xll.DBRW($C$1,$C$2,$C$3,$C$4,$C$6,$C$5,$C$7,AO$1,AO$2,A85)</f>
        <v>0</v>
      </c>
      <c r="AP85" s="32">
        <f ca="1">_xll.DBRW($C$1,$C$2,$C$3,$C$4,$C$6,$C$5,$C$7,AP$1,AP$2,A85)</f>
        <v>0</v>
      </c>
      <c r="AQ85" s="32">
        <f ca="1">_xll.DBRW($C$1,$C$2,$C$3,$C$4,$C$6,$C$5,$C$7,AQ$1,AQ$2,A85)</f>
        <v>0</v>
      </c>
      <c r="AR85" s="32">
        <f ca="1">_xll.DBRW($C$1,$C$2,$C$3,$C$4,$C$6,$C$5,$C$7,AR$1,AR$2,A85)</f>
        <v>0</v>
      </c>
      <c r="AS85" s="32">
        <f ca="1">_xll.DBRW($C$1,$C$2,$C$3,$C$4,$C$6,$C$5,$C$7,AS$1,AS$2,A85)</f>
        <v>0</v>
      </c>
      <c r="AT85" s="32">
        <f ca="1">_xll.DBRW($C$1,$C$2,$C$3,$C$4,$C$6,$C$5,$C$7,AT$1,AT$2,A85)</f>
        <v>0</v>
      </c>
      <c r="AU85" s="32">
        <f ca="1">_xll.DBRW($C$1,$C$2,$C$3,$C$4,$C$6,$C$5,$C$7,AU$1,AU$2,A85)</f>
        <v>0</v>
      </c>
      <c r="AV85" s="32">
        <f ca="1">_xll.DBRW($C$1,$C$2,$C$3,$C$4,$C$6,$C$5,$C$7,AV$1,AV$2,A85)</f>
        <v>0</v>
      </c>
      <c r="AW85" s="32">
        <f ca="1">_xll.DBRW($C$1,$C$2,$C$3,$C$4,$C$6,$C$5,$C$7,AW$1,AW$2,A85)</f>
        <v>0</v>
      </c>
      <c r="AX85" s="32">
        <f ca="1">_xll.DBRW($C$1,$C$2,$C$3,$C$4,$C$6,$C$5,$C$7,AX$1,AX$2,A85)</f>
        <v>0</v>
      </c>
      <c r="AY85" s="32">
        <f ca="1">_xll.DBRW($C$1,$C$2,$C$3,$C$4,$C$6,$C$5,$C$7,AY$1,AY$2,A85)</f>
        <v>0</v>
      </c>
    </row>
    <row r="86" spans="1:51" ht="15.75" hidden="1" customHeight="1" outlineLevel="1">
      <c r="A86" s="1" t="s">
        <v>187</v>
      </c>
      <c r="C86" s="109"/>
      <c r="E86" s="9" t="str">
        <f ca="1">_xll.DBRW(Server&amp;"}ElementAttributes_Indicator",A86,"code_English")</f>
        <v>PL1155_ET_18 - Reinvoicing - Electricity</v>
      </c>
      <c r="F86" s="32">
        <f ca="1">_xll.DBRW($C$1,$C$2,$C$3,$C$4,$C$6,$C$5,$C$7,F$1,F$2,A86)</f>
        <v>0</v>
      </c>
      <c r="G86" s="32">
        <f ca="1">_xll.DBRW($C$1,$C$2,$C$3,$C$4,$C$6,$C$5,$C$7,G$1,G$2,A86)</f>
        <v>0</v>
      </c>
      <c r="H86" s="32">
        <f ca="1">_xll.DBRW($C$1,$C$2,$C$3,$C$4,$C$6,$C$5,$C$7,H$1,H$2,A86)</f>
        <v>0</v>
      </c>
      <c r="I86" s="32">
        <f ca="1">_xll.DBRW($C$1,$C$2,$C$3,$C$4,$C$6,$C$5,$C$7,I$1,I$2,A86)</f>
        <v>0</v>
      </c>
      <c r="J86" s="32">
        <f ca="1">_xll.DBRW($C$1,$C$2,$C$3,$C$4,$C$6,$C$5,$C$7,J$1,J$2,A86)</f>
        <v>0</v>
      </c>
      <c r="K86" s="32">
        <f ca="1">_xll.DBRW($C$1,$C$2,$C$3,$C$4,$C$6,$C$5,$C$7,K$1,K$2,A86)</f>
        <v>0</v>
      </c>
      <c r="L86" s="32">
        <f ca="1">_xll.DBRW($C$1,$C$2,$C$3,$C$4,$C$6,$C$5,$C$7,L$1,L$2,A86)</f>
        <v>0</v>
      </c>
      <c r="M86" s="32">
        <f ca="1">_xll.DBRW($C$1,$C$2,$C$3,$C$4,$C$6,$C$5,$C$7,M$1,M$2,A86)</f>
        <v>0</v>
      </c>
      <c r="N86" s="32">
        <f ca="1">_xll.DBRW($C$1,$C$2,$C$3,$C$4,$C$6,$C$5,$C$7,N$1,N$2,A86)</f>
        <v>0</v>
      </c>
      <c r="O86" s="32">
        <f ca="1">_xll.DBRW($C$1,$C$2,$C$3,$C$4,$C$6,$C$5,$C$7,O$1,O$2,A86)</f>
        <v>0</v>
      </c>
      <c r="P86" s="32">
        <f ca="1">_xll.DBRW($C$1,$C$2,$C$3,$C$4,$C$6,$C$5,$C$7,P$1,P$2,A86)</f>
        <v>0</v>
      </c>
      <c r="Q86" s="32">
        <f ca="1">_xll.DBRW($C$1,$C$2,$C$3,$C$4,$C$6,$C$5,$C$7,Q$1,Q$2,A86)</f>
        <v>0</v>
      </c>
      <c r="R86" s="32">
        <f ca="1">_xll.DBRW($C$1,$C$2,$C$3,$C$4,$C$6,$C$5,$C$7,R$1,R$2,A86)</f>
        <v>0</v>
      </c>
      <c r="S86" s="32">
        <f ca="1">_xll.DBRW($C$1,$C$2,$C$3,$C$4,$C$6,$C$5,$C$7,S$1,S$2,A86)</f>
        <v>0</v>
      </c>
      <c r="T86" s="32">
        <f ca="1">_xll.DBRW($C$1,$C$2,$C$3,$C$4,$C$6,$C$5,$C$7,T$1,T$2,A86)</f>
        <v>0</v>
      </c>
      <c r="U86" s="32">
        <f ca="1">_xll.DBRW($C$1,$C$2,$C$3,$C$4,$C$6,$C$5,$C$7,U$1,U$2,A86)</f>
        <v>0</v>
      </c>
      <c r="V86" s="32">
        <f ca="1">_xll.DBRW($C$1,$C$2,$C$3,$C$4,$C$6,$C$5,$C$7,V$1,V$2,A86)</f>
        <v>0</v>
      </c>
      <c r="W86" s="32">
        <f ca="1">_xll.DBRW($C$1,$C$2,$C$3,$C$4,$C$6,$C$5,$C$7,W$1,W$2,A86)</f>
        <v>0</v>
      </c>
      <c r="X86" s="32">
        <f ca="1">_xll.DBRW($C$1,$C$2,$C$3,$C$4,$C$6,$C$5,$C$7,X$1,X$2,A86)</f>
        <v>0</v>
      </c>
      <c r="Y86" s="32">
        <f ca="1">_xll.DBRW($C$1,$C$2,$C$3,$C$4,$C$6,$C$5,$C$7,Y$1,Y$2,A86)</f>
        <v>0</v>
      </c>
      <c r="Z86" s="32">
        <f ca="1">_xll.DBRW($C$1,$C$2,$C$3,$C$4,$C$6,$C$5,$C$7,Z$1,Z$2,A86)</f>
        <v>0</v>
      </c>
      <c r="AA86" s="32">
        <f ca="1">_xll.DBRW($C$1,$C$2,$C$3,$C$4,$C$6,$C$5,$C$7,AA$1,AA$2,A86)</f>
        <v>0</v>
      </c>
      <c r="AB86" s="32">
        <f ca="1">_xll.DBRW($C$1,$C$2,$C$3,$C$4,$C$6,$C$5,$C$7,AB$1,AB$2,A86)</f>
        <v>0</v>
      </c>
      <c r="AC86" s="32">
        <f ca="1">_xll.DBRW($C$1,$C$2,$C$3,$C$4,$C$6,$C$5,$C$7,AC$1,AC$2,A86)</f>
        <v>0</v>
      </c>
      <c r="AD86" s="32">
        <f ca="1">_xll.DBRW($C$1,$C$2,$C$3,$C$4,$C$6,$C$5,$C$7,AD$1,AD$2,A86)</f>
        <v>0</v>
      </c>
      <c r="AE86" s="32">
        <f ca="1">_xll.DBRW($C$1,$C$2,$C$3,$C$4,$C$6,$C$5,$C$7,AE$1,AE$2,A86)</f>
        <v>0</v>
      </c>
      <c r="AF86" s="32">
        <f ca="1">_xll.DBRW($C$1,$C$2,$C$3,$C$4,$C$6,$C$5,$C$7,AF$1,AF$2,A86)</f>
        <v>0</v>
      </c>
      <c r="AG86" s="32">
        <f ca="1">_xll.DBRW($C$1,$C$2,$C$3,$C$4,$C$6,$C$5,$C$7,AG$1,AG$2,A86)</f>
        <v>0</v>
      </c>
      <c r="AH86" s="32">
        <f ca="1">_xll.DBRW($C$1,$C$2,$C$3,$C$4,$C$6,$C$5,$C$7,AH$1,AH$2,A86)</f>
        <v>0</v>
      </c>
      <c r="AI86" s="32">
        <f ca="1">_xll.DBRW($C$1,$C$2,$C$3,$C$4,$C$6,$C$5,$C$7,AI$1,AI$2,A86)</f>
        <v>0</v>
      </c>
      <c r="AJ86" s="32">
        <f ca="1">_xll.DBRW($C$1,$C$2,$C$3,$C$4,$C$6,$C$5,$C$7,AJ$1,AJ$2,A86)</f>
        <v>0</v>
      </c>
      <c r="AK86" s="32">
        <f ca="1">_xll.DBRW($C$1,$C$2,$C$3,$C$4,$C$6,$C$5,$C$7,AK$1,AK$2,A86)</f>
        <v>0</v>
      </c>
      <c r="AL86" s="32">
        <f ca="1">_xll.DBRW($C$1,$C$2,$C$3,$C$4,$C$6,$C$5,$C$7,AL$1,AL$2,A86)</f>
        <v>0</v>
      </c>
      <c r="AM86" s="32">
        <f ca="1">_xll.DBRW($C$1,$C$2,$C$3,$C$4,$C$6,$C$5,$C$7,AM$1,AM$2,A86)</f>
        <v>0</v>
      </c>
      <c r="AN86" s="32">
        <f ca="1">_xll.DBRW($C$1,$C$2,$C$3,$C$4,$C$6,$C$5,$C$7,AN$1,AN$2,A86)</f>
        <v>0</v>
      </c>
      <c r="AO86" s="32">
        <f ca="1">_xll.DBRW($C$1,$C$2,$C$3,$C$4,$C$6,$C$5,$C$7,AO$1,AO$2,A86)</f>
        <v>0</v>
      </c>
      <c r="AP86" s="32">
        <f ca="1">_xll.DBRW($C$1,$C$2,$C$3,$C$4,$C$6,$C$5,$C$7,AP$1,AP$2,A86)</f>
        <v>0</v>
      </c>
      <c r="AQ86" s="32">
        <f ca="1">_xll.DBRW($C$1,$C$2,$C$3,$C$4,$C$6,$C$5,$C$7,AQ$1,AQ$2,A86)</f>
        <v>0</v>
      </c>
      <c r="AR86" s="32">
        <f ca="1">_xll.DBRW($C$1,$C$2,$C$3,$C$4,$C$6,$C$5,$C$7,AR$1,AR$2,A86)</f>
        <v>0</v>
      </c>
      <c r="AS86" s="32">
        <f ca="1">_xll.DBRW($C$1,$C$2,$C$3,$C$4,$C$6,$C$5,$C$7,AS$1,AS$2,A86)</f>
        <v>0</v>
      </c>
      <c r="AT86" s="32">
        <f ca="1">_xll.DBRW($C$1,$C$2,$C$3,$C$4,$C$6,$C$5,$C$7,AT$1,AT$2,A86)</f>
        <v>0</v>
      </c>
      <c r="AU86" s="32">
        <f ca="1">_xll.DBRW($C$1,$C$2,$C$3,$C$4,$C$6,$C$5,$C$7,AU$1,AU$2,A86)</f>
        <v>0</v>
      </c>
      <c r="AV86" s="32">
        <f ca="1">_xll.DBRW($C$1,$C$2,$C$3,$C$4,$C$6,$C$5,$C$7,AV$1,AV$2,A86)</f>
        <v>0</v>
      </c>
      <c r="AW86" s="32">
        <f ca="1">_xll.DBRW($C$1,$C$2,$C$3,$C$4,$C$6,$C$5,$C$7,AW$1,AW$2,A86)</f>
        <v>0</v>
      </c>
      <c r="AX86" s="32">
        <f ca="1">_xll.DBRW($C$1,$C$2,$C$3,$C$4,$C$6,$C$5,$C$7,AX$1,AX$2,A86)</f>
        <v>0</v>
      </c>
      <c r="AY86" s="32">
        <f ca="1">_xll.DBRW($C$1,$C$2,$C$3,$C$4,$C$6,$C$5,$C$7,AY$1,AY$2,A86)</f>
        <v>0</v>
      </c>
    </row>
    <row r="87" spans="1:51" ht="15.5" hidden="1" outlineLevel="1" collapsed="1">
      <c r="A87" s="1" t="s">
        <v>142</v>
      </c>
      <c r="C87" s="109"/>
      <c r="E87" s="14" t="s">
        <v>31</v>
      </c>
      <c r="F87" s="33">
        <f t="shared" ref="F87:L87" ca="1" si="55">SUM(F85:F86)</f>
        <v>0</v>
      </c>
      <c r="G87" s="33">
        <f t="shared" ca="1" si="55"/>
        <v>0</v>
      </c>
      <c r="H87" s="33">
        <f t="shared" ca="1" si="55"/>
        <v>0</v>
      </c>
      <c r="I87" s="33">
        <f t="shared" ca="1" si="55"/>
        <v>0</v>
      </c>
      <c r="J87" s="33">
        <f t="shared" ca="1" si="55"/>
        <v>0</v>
      </c>
      <c r="K87" s="33">
        <f t="shared" ca="1" si="55"/>
        <v>0</v>
      </c>
      <c r="L87" s="33">
        <f t="shared" ca="1" si="55"/>
        <v>0</v>
      </c>
      <c r="M87" s="33">
        <f t="shared" ref="M87:X87" ca="1" si="56">SUM(M85:M86)</f>
        <v>0</v>
      </c>
      <c r="N87" s="33">
        <f t="shared" ca="1" si="56"/>
        <v>0</v>
      </c>
      <c r="O87" s="33">
        <f t="shared" ca="1" si="56"/>
        <v>0</v>
      </c>
      <c r="P87" s="33">
        <f t="shared" ca="1" si="56"/>
        <v>0</v>
      </c>
      <c r="Q87" s="33">
        <f t="shared" ca="1" si="56"/>
        <v>0</v>
      </c>
      <c r="R87" s="33">
        <f t="shared" ca="1" si="56"/>
        <v>0</v>
      </c>
      <c r="S87" s="33">
        <f t="shared" ca="1" si="56"/>
        <v>0</v>
      </c>
      <c r="T87" s="33">
        <f t="shared" ca="1" si="56"/>
        <v>0</v>
      </c>
      <c r="U87" s="33">
        <f t="shared" ca="1" si="56"/>
        <v>0</v>
      </c>
      <c r="V87" s="33">
        <f t="shared" ca="1" si="56"/>
        <v>0</v>
      </c>
      <c r="W87" s="33">
        <f t="shared" ca="1" si="56"/>
        <v>0</v>
      </c>
      <c r="X87" s="33">
        <f t="shared" ca="1" si="56"/>
        <v>0</v>
      </c>
      <c r="Y87" s="33">
        <f ca="1">SUM(Y85:Y86)</f>
        <v>0</v>
      </c>
      <c r="Z87" s="33">
        <f t="shared" ref="Z87:AK87" ca="1" si="57">SUM(Z85:Z86)</f>
        <v>0</v>
      </c>
      <c r="AA87" s="33">
        <f t="shared" ca="1" si="57"/>
        <v>0</v>
      </c>
      <c r="AB87" s="33">
        <f t="shared" ca="1" si="57"/>
        <v>0</v>
      </c>
      <c r="AC87" s="33">
        <f t="shared" ca="1" si="57"/>
        <v>0</v>
      </c>
      <c r="AD87" s="33">
        <f t="shared" ca="1" si="57"/>
        <v>0</v>
      </c>
      <c r="AE87" s="33">
        <f t="shared" ca="1" si="57"/>
        <v>0</v>
      </c>
      <c r="AF87" s="33">
        <f t="shared" ca="1" si="57"/>
        <v>0</v>
      </c>
      <c r="AG87" s="33">
        <f t="shared" ca="1" si="57"/>
        <v>0</v>
      </c>
      <c r="AH87" s="33">
        <f t="shared" ca="1" si="57"/>
        <v>0</v>
      </c>
      <c r="AI87" s="33">
        <f t="shared" ca="1" si="57"/>
        <v>0</v>
      </c>
      <c r="AJ87" s="33">
        <f t="shared" ca="1" si="57"/>
        <v>0</v>
      </c>
      <c r="AK87" s="33">
        <f t="shared" ca="1" si="57"/>
        <v>0</v>
      </c>
      <c r="AL87" s="33">
        <f ca="1">SUM(AL85:AL86)</f>
        <v>0</v>
      </c>
      <c r="AM87" s="33">
        <f t="shared" ref="AM87:AX87" ca="1" si="58">SUM(AM85:AM86)</f>
        <v>0</v>
      </c>
      <c r="AN87" s="33">
        <f t="shared" ca="1" si="58"/>
        <v>0</v>
      </c>
      <c r="AO87" s="33">
        <f t="shared" ca="1" si="58"/>
        <v>0</v>
      </c>
      <c r="AP87" s="33">
        <f t="shared" ca="1" si="58"/>
        <v>0</v>
      </c>
      <c r="AQ87" s="33">
        <f t="shared" ca="1" si="58"/>
        <v>0</v>
      </c>
      <c r="AR87" s="33">
        <f t="shared" ca="1" si="58"/>
        <v>0</v>
      </c>
      <c r="AS87" s="33">
        <f t="shared" ca="1" si="58"/>
        <v>0</v>
      </c>
      <c r="AT87" s="33">
        <f t="shared" ca="1" si="58"/>
        <v>0</v>
      </c>
      <c r="AU87" s="33">
        <f t="shared" ca="1" si="58"/>
        <v>0</v>
      </c>
      <c r="AV87" s="33">
        <f t="shared" ca="1" si="58"/>
        <v>0</v>
      </c>
      <c r="AW87" s="33">
        <f t="shared" ca="1" si="58"/>
        <v>0</v>
      </c>
      <c r="AX87" s="33">
        <f t="shared" ca="1" si="58"/>
        <v>0</v>
      </c>
      <c r="AY87" s="33">
        <f ca="1">SUM(AY85:AY86)</f>
        <v>0</v>
      </c>
    </row>
    <row r="88" spans="1:51" ht="15.75" hidden="1" customHeight="1" outlineLevel="2">
      <c r="A88" s="1" t="s">
        <v>188</v>
      </c>
      <c r="C88" s="109"/>
      <c r="E88" s="9" t="str">
        <f ca="1">_xll.DBRW(Server&amp;"}ElementAttributes_Indicator",A88,"code_English")</f>
        <v>PL1115_ET_80 - Fuel</v>
      </c>
      <c r="F88" s="33">
        <f ca="1">_xll.DBRW($C$1,$C$2,$C$3,$C$4,$C$6,$C$5,$C$7,F$1,F$2,A88)</f>
        <v>0</v>
      </c>
      <c r="G88" s="33">
        <f ca="1">_xll.DBRW($C$1,$C$2,$C$3,$C$4,$C$6,$C$5,$C$7,G$1,G$2,A88)</f>
        <v>0</v>
      </c>
      <c r="H88" s="33">
        <f ca="1">_xll.DBRW($C$1,$C$2,$C$3,$C$4,$C$6,$C$5,$C$7,H$1,H$2,A88)</f>
        <v>0</v>
      </c>
      <c r="I88" s="33">
        <f ca="1">_xll.DBRW($C$1,$C$2,$C$3,$C$4,$C$6,$C$5,$C$7,I$1,I$2,A88)</f>
        <v>0</v>
      </c>
      <c r="J88" s="33">
        <f ca="1">_xll.DBRW($C$1,$C$2,$C$3,$C$4,$C$6,$C$5,$C$7,J$1,J$2,A88)</f>
        <v>0</v>
      </c>
      <c r="K88" s="33">
        <f ca="1">_xll.DBRW($C$1,$C$2,$C$3,$C$4,$C$6,$C$5,$C$7,K$1,K$2,A88)</f>
        <v>0</v>
      </c>
      <c r="L88" s="33">
        <f ca="1">_xll.DBRW($C$1,$C$2,$C$3,$C$4,$C$6,$C$5,$C$7,L$1,L$2,A88)</f>
        <v>0</v>
      </c>
      <c r="M88" s="33">
        <f ca="1">_xll.DBRW($C$1,$C$2,$C$3,$C$4,$C$6,$C$5,$C$7,M$1,M$2,A88)</f>
        <v>0</v>
      </c>
      <c r="N88" s="33">
        <f ca="1">_xll.DBRW($C$1,$C$2,$C$3,$C$4,$C$6,$C$5,$C$7,N$1,N$2,A88)</f>
        <v>0</v>
      </c>
      <c r="O88" s="33">
        <f ca="1">_xll.DBRW($C$1,$C$2,$C$3,$C$4,$C$6,$C$5,$C$7,O$1,O$2,A88)</f>
        <v>0</v>
      </c>
      <c r="P88" s="33">
        <f ca="1">_xll.DBRW($C$1,$C$2,$C$3,$C$4,$C$6,$C$5,$C$7,P$1,P$2,A88)</f>
        <v>0</v>
      </c>
      <c r="Q88" s="33">
        <f ca="1">_xll.DBRW($C$1,$C$2,$C$3,$C$4,$C$6,$C$5,$C$7,Q$1,Q$2,A88)</f>
        <v>0</v>
      </c>
      <c r="R88" s="33">
        <f ca="1">_xll.DBRW($C$1,$C$2,$C$3,$C$4,$C$6,$C$5,$C$7,R$1,R$2,A88)</f>
        <v>0</v>
      </c>
      <c r="S88" s="33">
        <f ca="1">_xll.DBRW($C$1,$C$2,$C$3,$C$4,$C$6,$C$5,$C$7,S$1,S$2,A88)</f>
        <v>0</v>
      </c>
      <c r="T88" s="33">
        <f ca="1">_xll.DBRW($C$1,$C$2,$C$3,$C$4,$C$6,$C$5,$C$7,T$1,T$2,A88)</f>
        <v>0</v>
      </c>
      <c r="U88" s="33">
        <f ca="1">_xll.DBRW($C$1,$C$2,$C$3,$C$4,$C$6,$C$5,$C$7,U$1,U$2,A88)</f>
        <v>0</v>
      </c>
      <c r="V88" s="33">
        <f ca="1">_xll.DBRW($C$1,$C$2,$C$3,$C$4,$C$6,$C$5,$C$7,V$1,V$2,A88)</f>
        <v>0</v>
      </c>
      <c r="W88" s="33">
        <f ca="1">_xll.DBRW($C$1,$C$2,$C$3,$C$4,$C$6,$C$5,$C$7,W$1,W$2,A88)</f>
        <v>0</v>
      </c>
      <c r="X88" s="33">
        <f ca="1">_xll.DBRW($C$1,$C$2,$C$3,$C$4,$C$6,$C$5,$C$7,X$1,X$2,A88)</f>
        <v>0</v>
      </c>
      <c r="Y88" s="33">
        <f ca="1">_xll.DBRW($C$1,$C$2,$C$3,$C$4,$C$6,$C$5,$C$7,Y$1,Y$2,A88)</f>
        <v>0</v>
      </c>
      <c r="Z88" s="33">
        <f ca="1">_xll.DBRW($C$1,$C$2,$C$3,$C$4,$C$6,$C$5,$C$7,Z$1,Z$2,A88)</f>
        <v>0</v>
      </c>
      <c r="AA88" s="33">
        <f ca="1">_xll.DBRW($C$1,$C$2,$C$3,$C$4,$C$6,$C$5,$C$7,AA$1,AA$2,A88)</f>
        <v>0</v>
      </c>
      <c r="AB88" s="33">
        <f ca="1">_xll.DBRW($C$1,$C$2,$C$3,$C$4,$C$6,$C$5,$C$7,AB$1,AB$2,A88)</f>
        <v>0</v>
      </c>
      <c r="AC88" s="33">
        <f ca="1">_xll.DBRW($C$1,$C$2,$C$3,$C$4,$C$6,$C$5,$C$7,AC$1,AC$2,A88)</f>
        <v>0</v>
      </c>
      <c r="AD88" s="33">
        <f ca="1">_xll.DBRW($C$1,$C$2,$C$3,$C$4,$C$6,$C$5,$C$7,AD$1,AD$2,A88)</f>
        <v>0</v>
      </c>
      <c r="AE88" s="33">
        <f ca="1">_xll.DBRW($C$1,$C$2,$C$3,$C$4,$C$6,$C$5,$C$7,AE$1,AE$2,A88)</f>
        <v>0</v>
      </c>
      <c r="AF88" s="33">
        <f ca="1">_xll.DBRW($C$1,$C$2,$C$3,$C$4,$C$6,$C$5,$C$7,AF$1,AF$2,A88)</f>
        <v>0</v>
      </c>
      <c r="AG88" s="33">
        <f ca="1">_xll.DBRW($C$1,$C$2,$C$3,$C$4,$C$6,$C$5,$C$7,AG$1,AG$2,A88)</f>
        <v>0</v>
      </c>
      <c r="AH88" s="33">
        <f ca="1">_xll.DBRW($C$1,$C$2,$C$3,$C$4,$C$6,$C$5,$C$7,AH$1,AH$2,A88)</f>
        <v>0</v>
      </c>
      <c r="AI88" s="33">
        <f ca="1">_xll.DBRW($C$1,$C$2,$C$3,$C$4,$C$6,$C$5,$C$7,AI$1,AI$2,A88)</f>
        <v>0</v>
      </c>
      <c r="AJ88" s="33">
        <f ca="1">_xll.DBRW($C$1,$C$2,$C$3,$C$4,$C$6,$C$5,$C$7,AJ$1,AJ$2,A88)</f>
        <v>0</v>
      </c>
      <c r="AK88" s="33">
        <f ca="1">_xll.DBRW($C$1,$C$2,$C$3,$C$4,$C$6,$C$5,$C$7,AK$1,AK$2,A88)</f>
        <v>0</v>
      </c>
      <c r="AL88" s="33">
        <f ca="1">_xll.DBRW($C$1,$C$2,$C$3,$C$4,$C$6,$C$5,$C$7,AL$1,AL$2,A88)</f>
        <v>0</v>
      </c>
      <c r="AM88" s="33">
        <f ca="1">_xll.DBRW($C$1,$C$2,$C$3,$C$4,$C$6,$C$5,$C$7,AM$1,AM$2,A88)</f>
        <v>0</v>
      </c>
      <c r="AN88" s="33">
        <f ca="1">_xll.DBRW($C$1,$C$2,$C$3,$C$4,$C$6,$C$5,$C$7,AN$1,AN$2,A88)</f>
        <v>0</v>
      </c>
      <c r="AO88" s="33">
        <f ca="1">_xll.DBRW($C$1,$C$2,$C$3,$C$4,$C$6,$C$5,$C$7,AO$1,AO$2,A88)</f>
        <v>0</v>
      </c>
      <c r="AP88" s="33">
        <f ca="1">_xll.DBRW($C$1,$C$2,$C$3,$C$4,$C$6,$C$5,$C$7,AP$1,AP$2,A88)</f>
        <v>0</v>
      </c>
      <c r="AQ88" s="33">
        <f ca="1">_xll.DBRW($C$1,$C$2,$C$3,$C$4,$C$6,$C$5,$C$7,AQ$1,AQ$2,A88)</f>
        <v>0</v>
      </c>
      <c r="AR88" s="33">
        <f ca="1">_xll.DBRW($C$1,$C$2,$C$3,$C$4,$C$6,$C$5,$C$7,AR$1,AR$2,A88)</f>
        <v>0</v>
      </c>
      <c r="AS88" s="33">
        <f ca="1">_xll.DBRW($C$1,$C$2,$C$3,$C$4,$C$6,$C$5,$C$7,AS$1,AS$2,A88)</f>
        <v>0</v>
      </c>
      <c r="AT88" s="33">
        <f ca="1">_xll.DBRW($C$1,$C$2,$C$3,$C$4,$C$6,$C$5,$C$7,AT$1,AT$2,A88)</f>
        <v>0</v>
      </c>
      <c r="AU88" s="33">
        <f ca="1">_xll.DBRW($C$1,$C$2,$C$3,$C$4,$C$6,$C$5,$C$7,AU$1,AU$2,A88)</f>
        <v>0</v>
      </c>
      <c r="AV88" s="33">
        <f ca="1">_xll.DBRW($C$1,$C$2,$C$3,$C$4,$C$6,$C$5,$C$7,AV$1,AV$2,A88)</f>
        <v>0</v>
      </c>
      <c r="AW88" s="33">
        <f ca="1">_xll.DBRW($C$1,$C$2,$C$3,$C$4,$C$6,$C$5,$C$7,AW$1,AW$2,A88)</f>
        <v>0</v>
      </c>
      <c r="AX88" s="33">
        <f ca="1">_xll.DBRW($C$1,$C$2,$C$3,$C$4,$C$6,$C$5,$C$7,AX$1,AX$2,A88)</f>
        <v>0</v>
      </c>
      <c r="AY88" s="33">
        <f ca="1">_xll.DBRW($C$1,$C$2,$C$3,$C$4,$C$6,$C$5,$C$7,AY$1,AY$2,A88)</f>
        <v>0</v>
      </c>
    </row>
    <row r="89" spans="1:51" ht="15.75" hidden="1" customHeight="1" outlineLevel="2">
      <c r="A89" s="1" t="s">
        <v>189</v>
      </c>
      <c r="C89" s="109"/>
      <c r="E89" s="9" t="str">
        <f ca="1">_xll.DBRW(Server&amp;"}ElementAttributes_Indicator",A89,"code_English")</f>
        <v>PL1115_ET_801 - Fuel Hedging Result</v>
      </c>
      <c r="F89" s="33">
        <f ca="1">_xll.DBRW($C$1,$C$2,$C$3,$C$4,$C$6,$C$5,$C$7,F$1,F$2,A89)</f>
        <v>0</v>
      </c>
      <c r="G89" s="33">
        <f ca="1">_xll.DBRW($C$1,$C$2,$C$3,$C$4,$C$6,$C$5,$C$7,G$1,G$2,A89)</f>
        <v>0</v>
      </c>
      <c r="H89" s="33">
        <f ca="1">_xll.DBRW($C$1,$C$2,$C$3,$C$4,$C$6,$C$5,$C$7,H$1,H$2,A89)</f>
        <v>0</v>
      </c>
      <c r="I89" s="33">
        <f ca="1">_xll.DBRW($C$1,$C$2,$C$3,$C$4,$C$6,$C$5,$C$7,I$1,I$2,A89)</f>
        <v>0</v>
      </c>
      <c r="J89" s="33">
        <f ca="1">_xll.DBRW($C$1,$C$2,$C$3,$C$4,$C$6,$C$5,$C$7,J$1,J$2,A89)</f>
        <v>0</v>
      </c>
      <c r="K89" s="33">
        <f ca="1">_xll.DBRW($C$1,$C$2,$C$3,$C$4,$C$6,$C$5,$C$7,K$1,K$2,A89)</f>
        <v>0</v>
      </c>
      <c r="L89" s="33">
        <f ca="1">_xll.DBRW($C$1,$C$2,$C$3,$C$4,$C$6,$C$5,$C$7,L$1,L$2,A89)</f>
        <v>0</v>
      </c>
      <c r="M89" s="33">
        <f ca="1">_xll.DBRW($C$1,$C$2,$C$3,$C$4,$C$6,$C$5,$C$7,M$1,M$2,A89)</f>
        <v>0</v>
      </c>
      <c r="N89" s="33">
        <f ca="1">_xll.DBRW($C$1,$C$2,$C$3,$C$4,$C$6,$C$5,$C$7,N$1,N$2,A89)</f>
        <v>0</v>
      </c>
      <c r="O89" s="33">
        <f ca="1">_xll.DBRW($C$1,$C$2,$C$3,$C$4,$C$6,$C$5,$C$7,O$1,O$2,A89)</f>
        <v>0</v>
      </c>
      <c r="P89" s="33">
        <f ca="1">_xll.DBRW($C$1,$C$2,$C$3,$C$4,$C$6,$C$5,$C$7,P$1,P$2,A89)</f>
        <v>0</v>
      </c>
      <c r="Q89" s="33">
        <f ca="1">_xll.DBRW($C$1,$C$2,$C$3,$C$4,$C$6,$C$5,$C$7,Q$1,Q$2,A89)</f>
        <v>0</v>
      </c>
      <c r="R89" s="33">
        <f ca="1">_xll.DBRW($C$1,$C$2,$C$3,$C$4,$C$6,$C$5,$C$7,R$1,R$2,A89)</f>
        <v>0</v>
      </c>
      <c r="S89" s="33">
        <f ca="1">_xll.DBRW($C$1,$C$2,$C$3,$C$4,$C$6,$C$5,$C$7,S$1,S$2,A89)</f>
        <v>0</v>
      </c>
      <c r="T89" s="33">
        <f ca="1">_xll.DBRW($C$1,$C$2,$C$3,$C$4,$C$6,$C$5,$C$7,T$1,T$2,A89)</f>
        <v>0</v>
      </c>
      <c r="U89" s="33">
        <f ca="1">_xll.DBRW($C$1,$C$2,$C$3,$C$4,$C$6,$C$5,$C$7,U$1,U$2,A89)</f>
        <v>0</v>
      </c>
      <c r="V89" s="33">
        <f ca="1">_xll.DBRW($C$1,$C$2,$C$3,$C$4,$C$6,$C$5,$C$7,V$1,V$2,A89)</f>
        <v>0</v>
      </c>
      <c r="W89" s="33">
        <f ca="1">_xll.DBRW($C$1,$C$2,$C$3,$C$4,$C$6,$C$5,$C$7,W$1,W$2,A89)</f>
        <v>0</v>
      </c>
      <c r="X89" s="33">
        <f ca="1">_xll.DBRW($C$1,$C$2,$C$3,$C$4,$C$6,$C$5,$C$7,X$1,X$2,A89)</f>
        <v>0</v>
      </c>
      <c r="Y89" s="33">
        <f ca="1">_xll.DBRW($C$1,$C$2,$C$3,$C$4,$C$6,$C$5,$C$7,Y$1,Y$2,A89)</f>
        <v>0</v>
      </c>
      <c r="Z89" s="33">
        <f ca="1">_xll.DBRW($C$1,$C$2,$C$3,$C$4,$C$6,$C$5,$C$7,Z$1,Z$2,A89)</f>
        <v>0</v>
      </c>
      <c r="AA89" s="33">
        <f ca="1">_xll.DBRW($C$1,$C$2,$C$3,$C$4,$C$6,$C$5,$C$7,AA$1,AA$2,A89)</f>
        <v>0</v>
      </c>
      <c r="AB89" s="33">
        <f ca="1">_xll.DBRW($C$1,$C$2,$C$3,$C$4,$C$6,$C$5,$C$7,AB$1,AB$2,A89)</f>
        <v>0</v>
      </c>
      <c r="AC89" s="33">
        <f ca="1">_xll.DBRW($C$1,$C$2,$C$3,$C$4,$C$6,$C$5,$C$7,AC$1,AC$2,A89)</f>
        <v>0</v>
      </c>
      <c r="AD89" s="33">
        <f ca="1">_xll.DBRW($C$1,$C$2,$C$3,$C$4,$C$6,$C$5,$C$7,AD$1,AD$2,A89)</f>
        <v>0</v>
      </c>
      <c r="AE89" s="33">
        <f ca="1">_xll.DBRW($C$1,$C$2,$C$3,$C$4,$C$6,$C$5,$C$7,AE$1,AE$2,A89)</f>
        <v>0</v>
      </c>
      <c r="AF89" s="33">
        <f ca="1">_xll.DBRW($C$1,$C$2,$C$3,$C$4,$C$6,$C$5,$C$7,AF$1,AF$2,A89)</f>
        <v>0</v>
      </c>
      <c r="AG89" s="33">
        <f ca="1">_xll.DBRW($C$1,$C$2,$C$3,$C$4,$C$6,$C$5,$C$7,AG$1,AG$2,A89)</f>
        <v>0</v>
      </c>
      <c r="AH89" s="33">
        <f ca="1">_xll.DBRW($C$1,$C$2,$C$3,$C$4,$C$6,$C$5,$C$7,AH$1,AH$2,A89)</f>
        <v>0</v>
      </c>
      <c r="AI89" s="33">
        <f ca="1">_xll.DBRW($C$1,$C$2,$C$3,$C$4,$C$6,$C$5,$C$7,AI$1,AI$2,A89)</f>
        <v>0</v>
      </c>
      <c r="AJ89" s="33">
        <f ca="1">_xll.DBRW($C$1,$C$2,$C$3,$C$4,$C$6,$C$5,$C$7,AJ$1,AJ$2,A89)</f>
        <v>0</v>
      </c>
      <c r="AK89" s="33">
        <f ca="1">_xll.DBRW($C$1,$C$2,$C$3,$C$4,$C$6,$C$5,$C$7,AK$1,AK$2,A89)</f>
        <v>0</v>
      </c>
      <c r="AL89" s="33">
        <f ca="1">_xll.DBRW($C$1,$C$2,$C$3,$C$4,$C$6,$C$5,$C$7,AL$1,AL$2,A89)</f>
        <v>0</v>
      </c>
      <c r="AM89" s="33">
        <f ca="1">_xll.DBRW($C$1,$C$2,$C$3,$C$4,$C$6,$C$5,$C$7,AM$1,AM$2,A89)</f>
        <v>0</v>
      </c>
      <c r="AN89" s="33">
        <f ca="1">_xll.DBRW($C$1,$C$2,$C$3,$C$4,$C$6,$C$5,$C$7,AN$1,AN$2,A89)</f>
        <v>0</v>
      </c>
      <c r="AO89" s="33">
        <f ca="1">_xll.DBRW($C$1,$C$2,$C$3,$C$4,$C$6,$C$5,$C$7,AO$1,AO$2,A89)</f>
        <v>0</v>
      </c>
      <c r="AP89" s="33">
        <f ca="1">_xll.DBRW($C$1,$C$2,$C$3,$C$4,$C$6,$C$5,$C$7,AP$1,AP$2,A89)</f>
        <v>0</v>
      </c>
      <c r="AQ89" s="33">
        <f ca="1">_xll.DBRW($C$1,$C$2,$C$3,$C$4,$C$6,$C$5,$C$7,AQ$1,AQ$2,A89)</f>
        <v>0</v>
      </c>
      <c r="AR89" s="33">
        <f ca="1">_xll.DBRW($C$1,$C$2,$C$3,$C$4,$C$6,$C$5,$C$7,AR$1,AR$2,A89)</f>
        <v>0</v>
      </c>
      <c r="AS89" s="33">
        <f ca="1">_xll.DBRW($C$1,$C$2,$C$3,$C$4,$C$6,$C$5,$C$7,AS$1,AS$2,A89)</f>
        <v>0</v>
      </c>
      <c r="AT89" s="33">
        <f ca="1">_xll.DBRW($C$1,$C$2,$C$3,$C$4,$C$6,$C$5,$C$7,AT$1,AT$2,A89)</f>
        <v>0</v>
      </c>
      <c r="AU89" s="33">
        <f ca="1">_xll.DBRW($C$1,$C$2,$C$3,$C$4,$C$6,$C$5,$C$7,AU$1,AU$2,A89)</f>
        <v>0</v>
      </c>
      <c r="AV89" s="33">
        <f ca="1">_xll.DBRW($C$1,$C$2,$C$3,$C$4,$C$6,$C$5,$C$7,AV$1,AV$2,A89)</f>
        <v>0</v>
      </c>
      <c r="AW89" s="33">
        <f ca="1">_xll.DBRW($C$1,$C$2,$C$3,$C$4,$C$6,$C$5,$C$7,AW$1,AW$2,A89)</f>
        <v>0</v>
      </c>
      <c r="AX89" s="33">
        <f ca="1">_xll.DBRW($C$1,$C$2,$C$3,$C$4,$C$6,$C$5,$C$7,AX$1,AX$2,A89)</f>
        <v>0</v>
      </c>
      <c r="AY89" s="33">
        <f ca="1">_xll.DBRW($C$1,$C$2,$C$3,$C$4,$C$6,$C$5,$C$7,AY$1,AY$2,A89)</f>
        <v>0</v>
      </c>
    </row>
    <row r="90" spans="1:51" ht="15.75" hidden="1" customHeight="1" outlineLevel="2">
      <c r="A90" s="1" t="s">
        <v>190</v>
      </c>
      <c r="C90" s="109"/>
      <c r="E90" s="9" t="str">
        <f ca="1">_xll.DBRW(Server&amp;"}ElementAttributes_Indicator",A90,"code_English")</f>
        <v>PL1115_ET_802 - Fuel Tax reimbursement</v>
      </c>
      <c r="F90" s="33">
        <f ca="1">_xll.DBRW($C$1,$C$2,$C$3,$C$4,$C$6,$C$5,$C$7,F$1,F$2,A90)</f>
        <v>0</v>
      </c>
      <c r="G90" s="33">
        <f ca="1">_xll.DBRW($C$1,$C$2,$C$3,$C$4,$C$6,$C$5,$C$7,G$1,G$2,A90)</f>
        <v>0</v>
      </c>
      <c r="H90" s="33">
        <f ca="1">_xll.DBRW($C$1,$C$2,$C$3,$C$4,$C$6,$C$5,$C$7,H$1,H$2,A90)</f>
        <v>0</v>
      </c>
      <c r="I90" s="33">
        <f ca="1">_xll.DBRW($C$1,$C$2,$C$3,$C$4,$C$6,$C$5,$C$7,I$1,I$2,A90)</f>
        <v>0</v>
      </c>
      <c r="J90" s="33">
        <f ca="1">_xll.DBRW($C$1,$C$2,$C$3,$C$4,$C$6,$C$5,$C$7,J$1,J$2,A90)</f>
        <v>0</v>
      </c>
      <c r="K90" s="33">
        <f ca="1">_xll.DBRW($C$1,$C$2,$C$3,$C$4,$C$6,$C$5,$C$7,K$1,K$2,A90)</f>
        <v>0</v>
      </c>
      <c r="L90" s="33">
        <f ca="1">_xll.DBRW($C$1,$C$2,$C$3,$C$4,$C$6,$C$5,$C$7,L$1,L$2,A90)</f>
        <v>0</v>
      </c>
      <c r="M90" s="33">
        <f ca="1">_xll.DBRW($C$1,$C$2,$C$3,$C$4,$C$6,$C$5,$C$7,M$1,M$2,A90)</f>
        <v>0</v>
      </c>
      <c r="N90" s="33">
        <f ca="1">_xll.DBRW($C$1,$C$2,$C$3,$C$4,$C$6,$C$5,$C$7,N$1,N$2,A90)</f>
        <v>0</v>
      </c>
      <c r="O90" s="33">
        <f ca="1">_xll.DBRW($C$1,$C$2,$C$3,$C$4,$C$6,$C$5,$C$7,O$1,O$2,A90)</f>
        <v>0</v>
      </c>
      <c r="P90" s="33">
        <f ca="1">_xll.DBRW($C$1,$C$2,$C$3,$C$4,$C$6,$C$5,$C$7,P$1,P$2,A90)</f>
        <v>0</v>
      </c>
      <c r="Q90" s="33">
        <f ca="1">_xll.DBRW($C$1,$C$2,$C$3,$C$4,$C$6,$C$5,$C$7,Q$1,Q$2,A90)</f>
        <v>0</v>
      </c>
      <c r="R90" s="33">
        <f ca="1">_xll.DBRW($C$1,$C$2,$C$3,$C$4,$C$6,$C$5,$C$7,R$1,R$2,A90)</f>
        <v>0</v>
      </c>
      <c r="S90" s="33">
        <f ca="1">_xll.DBRW($C$1,$C$2,$C$3,$C$4,$C$6,$C$5,$C$7,S$1,S$2,A90)</f>
        <v>0</v>
      </c>
      <c r="T90" s="33">
        <f ca="1">_xll.DBRW($C$1,$C$2,$C$3,$C$4,$C$6,$C$5,$C$7,T$1,T$2,A90)</f>
        <v>0</v>
      </c>
      <c r="U90" s="33">
        <f ca="1">_xll.DBRW($C$1,$C$2,$C$3,$C$4,$C$6,$C$5,$C$7,U$1,U$2,A90)</f>
        <v>0</v>
      </c>
      <c r="V90" s="33">
        <f ca="1">_xll.DBRW($C$1,$C$2,$C$3,$C$4,$C$6,$C$5,$C$7,V$1,V$2,A90)</f>
        <v>0</v>
      </c>
      <c r="W90" s="33">
        <f ca="1">_xll.DBRW($C$1,$C$2,$C$3,$C$4,$C$6,$C$5,$C$7,W$1,W$2,A90)</f>
        <v>0</v>
      </c>
      <c r="X90" s="33">
        <f ca="1">_xll.DBRW($C$1,$C$2,$C$3,$C$4,$C$6,$C$5,$C$7,X$1,X$2,A90)</f>
        <v>0</v>
      </c>
      <c r="Y90" s="33">
        <f ca="1">_xll.DBRW($C$1,$C$2,$C$3,$C$4,$C$6,$C$5,$C$7,Y$1,Y$2,A90)</f>
        <v>0</v>
      </c>
      <c r="Z90" s="33">
        <f ca="1">_xll.DBRW($C$1,$C$2,$C$3,$C$4,$C$6,$C$5,$C$7,Z$1,Z$2,A90)</f>
        <v>0</v>
      </c>
      <c r="AA90" s="33">
        <f ca="1">_xll.DBRW($C$1,$C$2,$C$3,$C$4,$C$6,$C$5,$C$7,AA$1,AA$2,A90)</f>
        <v>0</v>
      </c>
      <c r="AB90" s="33">
        <f ca="1">_xll.DBRW($C$1,$C$2,$C$3,$C$4,$C$6,$C$5,$C$7,AB$1,AB$2,A90)</f>
        <v>0</v>
      </c>
      <c r="AC90" s="33">
        <f ca="1">_xll.DBRW($C$1,$C$2,$C$3,$C$4,$C$6,$C$5,$C$7,AC$1,AC$2,A90)</f>
        <v>0</v>
      </c>
      <c r="AD90" s="33">
        <f ca="1">_xll.DBRW($C$1,$C$2,$C$3,$C$4,$C$6,$C$5,$C$7,AD$1,AD$2,A90)</f>
        <v>0</v>
      </c>
      <c r="AE90" s="33">
        <f ca="1">_xll.DBRW($C$1,$C$2,$C$3,$C$4,$C$6,$C$5,$C$7,AE$1,AE$2,A90)</f>
        <v>0</v>
      </c>
      <c r="AF90" s="33">
        <f ca="1">_xll.DBRW($C$1,$C$2,$C$3,$C$4,$C$6,$C$5,$C$7,AF$1,AF$2,A90)</f>
        <v>0</v>
      </c>
      <c r="AG90" s="33">
        <f ca="1">_xll.DBRW($C$1,$C$2,$C$3,$C$4,$C$6,$C$5,$C$7,AG$1,AG$2,A90)</f>
        <v>0</v>
      </c>
      <c r="AH90" s="33">
        <f ca="1">_xll.DBRW($C$1,$C$2,$C$3,$C$4,$C$6,$C$5,$C$7,AH$1,AH$2,A90)</f>
        <v>0</v>
      </c>
      <c r="AI90" s="33">
        <f ca="1">_xll.DBRW($C$1,$C$2,$C$3,$C$4,$C$6,$C$5,$C$7,AI$1,AI$2,A90)</f>
        <v>0</v>
      </c>
      <c r="AJ90" s="33">
        <f ca="1">_xll.DBRW($C$1,$C$2,$C$3,$C$4,$C$6,$C$5,$C$7,AJ$1,AJ$2,A90)</f>
        <v>0</v>
      </c>
      <c r="AK90" s="33">
        <f ca="1">_xll.DBRW($C$1,$C$2,$C$3,$C$4,$C$6,$C$5,$C$7,AK$1,AK$2,A90)</f>
        <v>0</v>
      </c>
      <c r="AL90" s="33">
        <f ca="1">_xll.DBRW($C$1,$C$2,$C$3,$C$4,$C$6,$C$5,$C$7,AL$1,AL$2,A90)</f>
        <v>0</v>
      </c>
      <c r="AM90" s="33">
        <f ca="1">_xll.DBRW($C$1,$C$2,$C$3,$C$4,$C$6,$C$5,$C$7,AM$1,AM$2,A90)</f>
        <v>0</v>
      </c>
      <c r="AN90" s="33">
        <f ca="1">_xll.DBRW($C$1,$C$2,$C$3,$C$4,$C$6,$C$5,$C$7,AN$1,AN$2,A90)</f>
        <v>0</v>
      </c>
      <c r="AO90" s="33">
        <f ca="1">_xll.DBRW($C$1,$C$2,$C$3,$C$4,$C$6,$C$5,$C$7,AO$1,AO$2,A90)</f>
        <v>0</v>
      </c>
      <c r="AP90" s="33">
        <f ca="1">_xll.DBRW($C$1,$C$2,$C$3,$C$4,$C$6,$C$5,$C$7,AP$1,AP$2,A90)</f>
        <v>0</v>
      </c>
      <c r="AQ90" s="33">
        <f ca="1">_xll.DBRW($C$1,$C$2,$C$3,$C$4,$C$6,$C$5,$C$7,AQ$1,AQ$2,A90)</f>
        <v>0</v>
      </c>
      <c r="AR90" s="33">
        <f ca="1">_xll.DBRW($C$1,$C$2,$C$3,$C$4,$C$6,$C$5,$C$7,AR$1,AR$2,A90)</f>
        <v>0</v>
      </c>
      <c r="AS90" s="33">
        <f ca="1">_xll.DBRW($C$1,$C$2,$C$3,$C$4,$C$6,$C$5,$C$7,AS$1,AS$2,A90)</f>
        <v>0</v>
      </c>
      <c r="AT90" s="33">
        <f ca="1">_xll.DBRW($C$1,$C$2,$C$3,$C$4,$C$6,$C$5,$C$7,AT$1,AT$2,A90)</f>
        <v>0</v>
      </c>
      <c r="AU90" s="33">
        <f ca="1">_xll.DBRW($C$1,$C$2,$C$3,$C$4,$C$6,$C$5,$C$7,AU$1,AU$2,A90)</f>
        <v>0</v>
      </c>
      <c r="AV90" s="33">
        <f ca="1">_xll.DBRW($C$1,$C$2,$C$3,$C$4,$C$6,$C$5,$C$7,AV$1,AV$2,A90)</f>
        <v>0</v>
      </c>
      <c r="AW90" s="33">
        <f ca="1">_xll.DBRW($C$1,$C$2,$C$3,$C$4,$C$6,$C$5,$C$7,AW$1,AW$2,A90)</f>
        <v>0</v>
      </c>
      <c r="AX90" s="33">
        <f ca="1">_xll.DBRW($C$1,$C$2,$C$3,$C$4,$C$6,$C$5,$C$7,AX$1,AX$2,A90)</f>
        <v>0</v>
      </c>
      <c r="AY90" s="33">
        <f ca="1">_xll.DBRW($C$1,$C$2,$C$3,$C$4,$C$6,$C$5,$C$7,AY$1,AY$2,A90)</f>
        <v>0</v>
      </c>
    </row>
    <row r="91" spans="1:51" ht="15.75" hidden="1" customHeight="1" outlineLevel="2">
      <c r="A91" s="1" t="s">
        <v>191</v>
      </c>
      <c r="C91" s="109"/>
      <c r="E91" s="9" t="str">
        <f ca="1">_xll.DBRW(Server&amp;"}ElementAttributes_Indicator",A91,"code_English")</f>
        <v>PL1155_ET_15 - Reinvoicing - Fuel</v>
      </c>
      <c r="F91" s="33">
        <f ca="1">_xll.DBRW($C$1,$C$2,$C$3,$C$4,$C$6,$C$5,$C$7,F$1,F$2,A91)</f>
        <v>0</v>
      </c>
      <c r="G91" s="33">
        <f ca="1">_xll.DBRW($C$1,$C$2,$C$3,$C$4,$C$6,$C$5,$C$7,G$1,G$2,A91)</f>
        <v>0</v>
      </c>
      <c r="H91" s="33">
        <f ca="1">_xll.DBRW($C$1,$C$2,$C$3,$C$4,$C$6,$C$5,$C$7,H$1,H$2,A91)</f>
        <v>0</v>
      </c>
      <c r="I91" s="33">
        <f ca="1">_xll.DBRW($C$1,$C$2,$C$3,$C$4,$C$6,$C$5,$C$7,I$1,I$2,A91)</f>
        <v>0</v>
      </c>
      <c r="J91" s="33">
        <f ca="1">_xll.DBRW($C$1,$C$2,$C$3,$C$4,$C$6,$C$5,$C$7,J$1,J$2,A91)</f>
        <v>0</v>
      </c>
      <c r="K91" s="33">
        <f ca="1">_xll.DBRW($C$1,$C$2,$C$3,$C$4,$C$6,$C$5,$C$7,K$1,K$2,A91)</f>
        <v>0</v>
      </c>
      <c r="L91" s="33">
        <f ca="1">_xll.DBRW($C$1,$C$2,$C$3,$C$4,$C$6,$C$5,$C$7,L$1,L$2,A91)</f>
        <v>0</v>
      </c>
      <c r="M91" s="33">
        <f ca="1">_xll.DBRW($C$1,$C$2,$C$3,$C$4,$C$6,$C$5,$C$7,M$1,M$2,A91)</f>
        <v>0</v>
      </c>
      <c r="N91" s="33">
        <f ca="1">_xll.DBRW($C$1,$C$2,$C$3,$C$4,$C$6,$C$5,$C$7,N$1,N$2,A91)</f>
        <v>0</v>
      </c>
      <c r="O91" s="33">
        <f ca="1">_xll.DBRW($C$1,$C$2,$C$3,$C$4,$C$6,$C$5,$C$7,O$1,O$2,A91)</f>
        <v>0</v>
      </c>
      <c r="P91" s="33">
        <f ca="1">_xll.DBRW($C$1,$C$2,$C$3,$C$4,$C$6,$C$5,$C$7,P$1,P$2,A91)</f>
        <v>0</v>
      </c>
      <c r="Q91" s="33">
        <f ca="1">_xll.DBRW($C$1,$C$2,$C$3,$C$4,$C$6,$C$5,$C$7,Q$1,Q$2,A91)</f>
        <v>0</v>
      </c>
      <c r="R91" s="33">
        <f ca="1">_xll.DBRW($C$1,$C$2,$C$3,$C$4,$C$6,$C$5,$C$7,R$1,R$2,A91)</f>
        <v>0</v>
      </c>
      <c r="S91" s="33">
        <f ca="1">_xll.DBRW($C$1,$C$2,$C$3,$C$4,$C$6,$C$5,$C$7,S$1,S$2,A91)</f>
        <v>0</v>
      </c>
      <c r="T91" s="33">
        <f ca="1">_xll.DBRW($C$1,$C$2,$C$3,$C$4,$C$6,$C$5,$C$7,T$1,T$2,A91)</f>
        <v>0</v>
      </c>
      <c r="U91" s="33">
        <f ca="1">_xll.DBRW($C$1,$C$2,$C$3,$C$4,$C$6,$C$5,$C$7,U$1,U$2,A91)</f>
        <v>0</v>
      </c>
      <c r="V91" s="33">
        <f ca="1">_xll.DBRW($C$1,$C$2,$C$3,$C$4,$C$6,$C$5,$C$7,V$1,V$2,A91)</f>
        <v>0</v>
      </c>
      <c r="W91" s="33">
        <f ca="1">_xll.DBRW($C$1,$C$2,$C$3,$C$4,$C$6,$C$5,$C$7,W$1,W$2,A91)</f>
        <v>0</v>
      </c>
      <c r="X91" s="33">
        <f ca="1">_xll.DBRW($C$1,$C$2,$C$3,$C$4,$C$6,$C$5,$C$7,X$1,X$2,A91)</f>
        <v>0</v>
      </c>
      <c r="Y91" s="33">
        <f ca="1">_xll.DBRW($C$1,$C$2,$C$3,$C$4,$C$6,$C$5,$C$7,Y$1,Y$2,A91)</f>
        <v>0</v>
      </c>
      <c r="Z91" s="33">
        <f ca="1">_xll.DBRW($C$1,$C$2,$C$3,$C$4,$C$6,$C$5,$C$7,Z$1,Z$2,A91)</f>
        <v>0</v>
      </c>
      <c r="AA91" s="33">
        <f ca="1">_xll.DBRW($C$1,$C$2,$C$3,$C$4,$C$6,$C$5,$C$7,AA$1,AA$2,A91)</f>
        <v>0</v>
      </c>
      <c r="AB91" s="33">
        <f ca="1">_xll.DBRW($C$1,$C$2,$C$3,$C$4,$C$6,$C$5,$C$7,AB$1,AB$2,A91)</f>
        <v>0</v>
      </c>
      <c r="AC91" s="33">
        <f ca="1">_xll.DBRW($C$1,$C$2,$C$3,$C$4,$C$6,$C$5,$C$7,AC$1,AC$2,A91)</f>
        <v>0</v>
      </c>
      <c r="AD91" s="33">
        <f ca="1">_xll.DBRW($C$1,$C$2,$C$3,$C$4,$C$6,$C$5,$C$7,AD$1,AD$2,A91)</f>
        <v>0</v>
      </c>
      <c r="AE91" s="33">
        <f ca="1">_xll.DBRW($C$1,$C$2,$C$3,$C$4,$C$6,$C$5,$C$7,AE$1,AE$2,A91)</f>
        <v>0</v>
      </c>
      <c r="AF91" s="33">
        <f ca="1">_xll.DBRW($C$1,$C$2,$C$3,$C$4,$C$6,$C$5,$C$7,AF$1,AF$2,A91)</f>
        <v>0</v>
      </c>
      <c r="AG91" s="33">
        <f ca="1">_xll.DBRW($C$1,$C$2,$C$3,$C$4,$C$6,$C$5,$C$7,AG$1,AG$2,A91)</f>
        <v>0</v>
      </c>
      <c r="AH91" s="33">
        <f ca="1">_xll.DBRW($C$1,$C$2,$C$3,$C$4,$C$6,$C$5,$C$7,AH$1,AH$2,A91)</f>
        <v>0</v>
      </c>
      <c r="AI91" s="33">
        <f ca="1">_xll.DBRW($C$1,$C$2,$C$3,$C$4,$C$6,$C$5,$C$7,AI$1,AI$2,A91)</f>
        <v>0</v>
      </c>
      <c r="AJ91" s="33">
        <f ca="1">_xll.DBRW($C$1,$C$2,$C$3,$C$4,$C$6,$C$5,$C$7,AJ$1,AJ$2,A91)</f>
        <v>0</v>
      </c>
      <c r="AK91" s="33">
        <f ca="1">_xll.DBRW($C$1,$C$2,$C$3,$C$4,$C$6,$C$5,$C$7,AK$1,AK$2,A91)</f>
        <v>0</v>
      </c>
      <c r="AL91" s="33">
        <f ca="1">_xll.DBRW($C$1,$C$2,$C$3,$C$4,$C$6,$C$5,$C$7,AL$1,AL$2,A91)</f>
        <v>0</v>
      </c>
      <c r="AM91" s="33">
        <f ca="1">_xll.DBRW($C$1,$C$2,$C$3,$C$4,$C$6,$C$5,$C$7,AM$1,AM$2,A91)</f>
        <v>0</v>
      </c>
      <c r="AN91" s="33">
        <f ca="1">_xll.DBRW($C$1,$C$2,$C$3,$C$4,$C$6,$C$5,$C$7,AN$1,AN$2,A91)</f>
        <v>0</v>
      </c>
      <c r="AO91" s="33">
        <f ca="1">_xll.DBRW($C$1,$C$2,$C$3,$C$4,$C$6,$C$5,$C$7,AO$1,AO$2,A91)</f>
        <v>0</v>
      </c>
      <c r="AP91" s="33">
        <f ca="1">_xll.DBRW($C$1,$C$2,$C$3,$C$4,$C$6,$C$5,$C$7,AP$1,AP$2,A91)</f>
        <v>0</v>
      </c>
      <c r="AQ91" s="33">
        <f ca="1">_xll.DBRW($C$1,$C$2,$C$3,$C$4,$C$6,$C$5,$C$7,AQ$1,AQ$2,A91)</f>
        <v>0</v>
      </c>
      <c r="AR91" s="33">
        <f ca="1">_xll.DBRW($C$1,$C$2,$C$3,$C$4,$C$6,$C$5,$C$7,AR$1,AR$2,A91)</f>
        <v>0</v>
      </c>
      <c r="AS91" s="33">
        <f ca="1">_xll.DBRW($C$1,$C$2,$C$3,$C$4,$C$6,$C$5,$C$7,AS$1,AS$2,A91)</f>
        <v>0</v>
      </c>
      <c r="AT91" s="33">
        <f ca="1">_xll.DBRW($C$1,$C$2,$C$3,$C$4,$C$6,$C$5,$C$7,AT$1,AT$2,A91)</f>
        <v>0</v>
      </c>
      <c r="AU91" s="33">
        <f ca="1">_xll.DBRW($C$1,$C$2,$C$3,$C$4,$C$6,$C$5,$C$7,AU$1,AU$2,A91)</f>
        <v>0</v>
      </c>
      <c r="AV91" s="33">
        <f ca="1">_xll.DBRW($C$1,$C$2,$C$3,$C$4,$C$6,$C$5,$C$7,AV$1,AV$2,A91)</f>
        <v>0</v>
      </c>
      <c r="AW91" s="33">
        <f ca="1">_xll.DBRW($C$1,$C$2,$C$3,$C$4,$C$6,$C$5,$C$7,AW$1,AW$2,A91)</f>
        <v>0</v>
      </c>
      <c r="AX91" s="33">
        <f ca="1">_xll.DBRW($C$1,$C$2,$C$3,$C$4,$C$6,$C$5,$C$7,AX$1,AX$2,A91)</f>
        <v>0</v>
      </c>
      <c r="AY91" s="33">
        <f ca="1">_xll.DBRW($C$1,$C$2,$C$3,$C$4,$C$6,$C$5,$C$7,AY$1,AY$2,A91)</f>
        <v>0</v>
      </c>
    </row>
    <row r="92" spans="1:51" ht="15.5" hidden="1" outlineLevel="1" collapsed="1">
      <c r="C92" s="109"/>
      <c r="E92" s="84" t="s">
        <v>32</v>
      </c>
      <c r="F92" s="34">
        <f t="shared" ref="F92:L92" ca="1" si="59">SUM(F88:F91)</f>
        <v>0</v>
      </c>
      <c r="G92" s="34">
        <f t="shared" ca="1" si="59"/>
        <v>0</v>
      </c>
      <c r="H92" s="34">
        <f t="shared" ca="1" si="59"/>
        <v>0</v>
      </c>
      <c r="I92" s="34">
        <f t="shared" ca="1" si="59"/>
        <v>0</v>
      </c>
      <c r="J92" s="34">
        <f t="shared" ca="1" si="59"/>
        <v>0</v>
      </c>
      <c r="K92" s="34">
        <f t="shared" ca="1" si="59"/>
        <v>0</v>
      </c>
      <c r="L92" s="34">
        <f t="shared" ca="1" si="59"/>
        <v>0</v>
      </c>
      <c r="M92" s="34">
        <f t="shared" ref="M92:X92" ca="1" si="60">SUM(M88:M91)</f>
        <v>0</v>
      </c>
      <c r="N92" s="34">
        <f t="shared" ca="1" si="60"/>
        <v>0</v>
      </c>
      <c r="O92" s="34">
        <f t="shared" ca="1" si="60"/>
        <v>0</v>
      </c>
      <c r="P92" s="34">
        <f t="shared" ca="1" si="60"/>
        <v>0</v>
      </c>
      <c r="Q92" s="34">
        <f t="shared" ca="1" si="60"/>
        <v>0</v>
      </c>
      <c r="R92" s="34">
        <f t="shared" ca="1" si="60"/>
        <v>0</v>
      </c>
      <c r="S92" s="34">
        <f t="shared" ca="1" si="60"/>
        <v>0</v>
      </c>
      <c r="T92" s="34">
        <f t="shared" ca="1" si="60"/>
        <v>0</v>
      </c>
      <c r="U92" s="34">
        <f t="shared" ca="1" si="60"/>
        <v>0</v>
      </c>
      <c r="V92" s="34">
        <f t="shared" ca="1" si="60"/>
        <v>0</v>
      </c>
      <c r="W92" s="34">
        <f t="shared" ca="1" si="60"/>
        <v>0</v>
      </c>
      <c r="X92" s="34">
        <f t="shared" ca="1" si="60"/>
        <v>0</v>
      </c>
      <c r="Y92" s="34">
        <f ca="1">SUM(Y88:Y91)</f>
        <v>0</v>
      </c>
      <c r="Z92" s="34">
        <f t="shared" ref="Z92:AK92" ca="1" si="61">SUM(Z88:Z91)</f>
        <v>0</v>
      </c>
      <c r="AA92" s="34">
        <f t="shared" ca="1" si="61"/>
        <v>0</v>
      </c>
      <c r="AB92" s="34">
        <f t="shared" ca="1" si="61"/>
        <v>0</v>
      </c>
      <c r="AC92" s="34">
        <f t="shared" ca="1" si="61"/>
        <v>0</v>
      </c>
      <c r="AD92" s="34">
        <f t="shared" ca="1" si="61"/>
        <v>0</v>
      </c>
      <c r="AE92" s="34">
        <f t="shared" ca="1" si="61"/>
        <v>0</v>
      </c>
      <c r="AF92" s="34">
        <f t="shared" ca="1" si="61"/>
        <v>0</v>
      </c>
      <c r="AG92" s="34">
        <f t="shared" ca="1" si="61"/>
        <v>0</v>
      </c>
      <c r="AH92" s="34">
        <f t="shared" ca="1" si="61"/>
        <v>0</v>
      </c>
      <c r="AI92" s="34">
        <f t="shared" ca="1" si="61"/>
        <v>0</v>
      </c>
      <c r="AJ92" s="34">
        <f t="shared" ca="1" si="61"/>
        <v>0</v>
      </c>
      <c r="AK92" s="34">
        <f t="shared" ca="1" si="61"/>
        <v>0</v>
      </c>
      <c r="AL92" s="34">
        <f ca="1">SUM(AL88:AL91)</f>
        <v>0</v>
      </c>
      <c r="AM92" s="34">
        <f t="shared" ref="AM92:AX92" ca="1" si="62">SUM(AM88:AM91)</f>
        <v>0</v>
      </c>
      <c r="AN92" s="34">
        <f t="shared" ca="1" si="62"/>
        <v>0</v>
      </c>
      <c r="AO92" s="34">
        <f t="shared" ca="1" si="62"/>
        <v>0</v>
      </c>
      <c r="AP92" s="34">
        <f t="shared" ca="1" si="62"/>
        <v>0</v>
      </c>
      <c r="AQ92" s="34">
        <f t="shared" ca="1" si="62"/>
        <v>0</v>
      </c>
      <c r="AR92" s="34">
        <f t="shared" ca="1" si="62"/>
        <v>0</v>
      </c>
      <c r="AS92" s="34">
        <f t="shared" ca="1" si="62"/>
        <v>0</v>
      </c>
      <c r="AT92" s="34">
        <f t="shared" ca="1" si="62"/>
        <v>0</v>
      </c>
      <c r="AU92" s="34">
        <f t="shared" ca="1" si="62"/>
        <v>0</v>
      </c>
      <c r="AV92" s="34">
        <f t="shared" ca="1" si="62"/>
        <v>0</v>
      </c>
      <c r="AW92" s="34">
        <f t="shared" ca="1" si="62"/>
        <v>0</v>
      </c>
      <c r="AX92" s="34">
        <f t="shared" ca="1" si="62"/>
        <v>0</v>
      </c>
      <c r="AY92" s="34">
        <f ca="1">SUM(AY88:AY91)</f>
        <v>0</v>
      </c>
    </row>
    <row r="93" spans="1:51" ht="15.75" hidden="1" customHeight="1" outlineLevel="2">
      <c r="A93" s="1" t="s">
        <v>192</v>
      </c>
      <c r="C93" s="109"/>
      <c r="E93" s="9" t="str">
        <f ca="1">_xll.DBRW(Server&amp;"}ElementAttributes_Indicator",A93,"code_English")</f>
        <v>PL1115_ET_81 - Bio fuel</v>
      </c>
      <c r="F93" s="33">
        <f ca="1">_xll.DBRW($C$1,$C$2,$C$3,$C$4,$C$6,$C$5,$C$7,F$1,F$2,A93)</f>
        <v>0</v>
      </c>
      <c r="G93" s="33">
        <f ca="1">_xll.DBRW($C$1,$C$2,$C$3,$C$4,$C$6,$C$5,$C$7,G$1,G$2,A93)</f>
        <v>0</v>
      </c>
      <c r="H93" s="33">
        <f ca="1">_xll.DBRW($C$1,$C$2,$C$3,$C$4,$C$6,$C$5,$C$7,H$1,H$2,A93)</f>
        <v>0</v>
      </c>
      <c r="I93" s="33">
        <f ca="1">_xll.DBRW($C$1,$C$2,$C$3,$C$4,$C$6,$C$5,$C$7,I$1,I$2,A93)</f>
        <v>0</v>
      </c>
      <c r="J93" s="33">
        <f ca="1">_xll.DBRW($C$1,$C$2,$C$3,$C$4,$C$6,$C$5,$C$7,J$1,J$2,A93)</f>
        <v>0</v>
      </c>
      <c r="K93" s="33">
        <f ca="1">_xll.DBRW($C$1,$C$2,$C$3,$C$4,$C$6,$C$5,$C$7,K$1,K$2,A93)</f>
        <v>0</v>
      </c>
      <c r="L93" s="33">
        <f ca="1">_xll.DBRW($C$1,$C$2,$C$3,$C$4,$C$6,$C$5,$C$7,L$1,L$2,A93)</f>
        <v>0</v>
      </c>
      <c r="M93" s="33">
        <f ca="1">_xll.DBRW($C$1,$C$2,$C$3,$C$4,$C$6,$C$5,$C$7,M$1,M$2,A93)</f>
        <v>0</v>
      </c>
      <c r="N93" s="33">
        <f ca="1">_xll.DBRW($C$1,$C$2,$C$3,$C$4,$C$6,$C$5,$C$7,N$1,N$2,A93)</f>
        <v>0</v>
      </c>
      <c r="O93" s="33">
        <f ca="1">_xll.DBRW($C$1,$C$2,$C$3,$C$4,$C$6,$C$5,$C$7,O$1,O$2,A93)</f>
        <v>0</v>
      </c>
      <c r="P93" s="33">
        <f ca="1">_xll.DBRW($C$1,$C$2,$C$3,$C$4,$C$6,$C$5,$C$7,P$1,P$2,A93)</f>
        <v>0</v>
      </c>
      <c r="Q93" s="33">
        <f ca="1">_xll.DBRW($C$1,$C$2,$C$3,$C$4,$C$6,$C$5,$C$7,Q$1,Q$2,A93)</f>
        <v>0</v>
      </c>
      <c r="R93" s="33">
        <f ca="1">_xll.DBRW($C$1,$C$2,$C$3,$C$4,$C$6,$C$5,$C$7,R$1,R$2,A93)</f>
        <v>0</v>
      </c>
      <c r="S93" s="33">
        <f ca="1">_xll.DBRW($C$1,$C$2,$C$3,$C$4,$C$6,$C$5,$C$7,S$1,S$2,A93)</f>
        <v>0</v>
      </c>
      <c r="T93" s="33">
        <f ca="1">_xll.DBRW($C$1,$C$2,$C$3,$C$4,$C$6,$C$5,$C$7,T$1,T$2,A93)</f>
        <v>0</v>
      </c>
      <c r="U93" s="33">
        <f ca="1">_xll.DBRW($C$1,$C$2,$C$3,$C$4,$C$6,$C$5,$C$7,U$1,U$2,A93)</f>
        <v>0</v>
      </c>
      <c r="V93" s="33">
        <f ca="1">_xll.DBRW($C$1,$C$2,$C$3,$C$4,$C$6,$C$5,$C$7,V$1,V$2,A93)</f>
        <v>0</v>
      </c>
      <c r="W93" s="33">
        <f ca="1">_xll.DBRW($C$1,$C$2,$C$3,$C$4,$C$6,$C$5,$C$7,W$1,W$2,A93)</f>
        <v>0</v>
      </c>
      <c r="X93" s="33">
        <f ca="1">_xll.DBRW($C$1,$C$2,$C$3,$C$4,$C$6,$C$5,$C$7,X$1,X$2,A93)</f>
        <v>0</v>
      </c>
      <c r="Y93" s="33">
        <f ca="1">_xll.DBRW($C$1,$C$2,$C$3,$C$4,$C$6,$C$5,$C$7,Y$1,Y$2,A93)</f>
        <v>0</v>
      </c>
      <c r="Z93" s="33">
        <f ca="1">_xll.DBRW($C$1,$C$2,$C$3,$C$4,$C$6,$C$5,$C$7,Z$1,Z$2,A93)</f>
        <v>0</v>
      </c>
      <c r="AA93" s="33">
        <f ca="1">_xll.DBRW($C$1,$C$2,$C$3,$C$4,$C$6,$C$5,$C$7,AA$1,AA$2,A93)</f>
        <v>0</v>
      </c>
      <c r="AB93" s="33">
        <f ca="1">_xll.DBRW($C$1,$C$2,$C$3,$C$4,$C$6,$C$5,$C$7,AB$1,AB$2,A93)</f>
        <v>0</v>
      </c>
      <c r="AC93" s="33">
        <f ca="1">_xll.DBRW($C$1,$C$2,$C$3,$C$4,$C$6,$C$5,$C$7,AC$1,AC$2,A93)</f>
        <v>0</v>
      </c>
      <c r="AD93" s="33">
        <f ca="1">_xll.DBRW($C$1,$C$2,$C$3,$C$4,$C$6,$C$5,$C$7,AD$1,AD$2,A93)</f>
        <v>0</v>
      </c>
      <c r="AE93" s="33">
        <f ca="1">_xll.DBRW($C$1,$C$2,$C$3,$C$4,$C$6,$C$5,$C$7,AE$1,AE$2,A93)</f>
        <v>0</v>
      </c>
      <c r="AF93" s="33">
        <f ca="1">_xll.DBRW($C$1,$C$2,$C$3,$C$4,$C$6,$C$5,$C$7,AF$1,AF$2,A93)</f>
        <v>0</v>
      </c>
      <c r="AG93" s="33">
        <f ca="1">_xll.DBRW($C$1,$C$2,$C$3,$C$4,$C$6,$C$5,$C$7,AG$1,AG$2,A93)</f>
        <v>0</v>
      </c>
      <c r="AH93" s="33">
        <f ca="1">_xll.DBRW($C$1,$C$2,$C$3,$C$4,$C$6,$C$5,$C$7,AH$1,AH$2,A93)</f>
        <v>0</v>
      </c>
      <c r="AI93" s="33">
        <f ca="1">_xll.DBRW($C$1,$C$2,$C$3,$C$4,$C$6,$C$5,$C$7,AI$1,AI$2,A93)</f>
        <v>0</v>
      </c>
      <c r="AJ93" s="33">
        <f ca="1">_xll.DBRW($C$1,$C$2,$C$3,$C$4,$C$6,$C$5,$C$7,AJ$1,AJ$2,A93)</f>
        <v>0</v>
      </c>
      <c r="AK93" s="33">
        <f ca="1">_xll.DBRW($C$1,$C$2,$C$3,$C$4,$C$6,$C$5,$C$7,AK$1,AK$2,A93)</f>
        <v>0</v>
      </c>
      <c r="AL93" s="33">
        <f ca="1">_xll.DBRW($C$1,$C$2,$C$3,$C$4,$C$6,$C$5,$C$7,AL$1,AL$2,A93)</f>
        <v>0</v>
      </c>
      <c r="AM93" s="33">
        <f ca="1">_xll.DBRW($C$1,$C$2,$C$3,$C$4,$C$6,$C$5,$C$7,AM$1,AM$2,A93)</f>
        <v>0</v>
      </c>
      <c r="AN93" s="33">
        <f ca="1">_xll.DBRW($C$1,$C$2,$C$3,$C$4,$C$6,$C$5,$C$7,AN$1,AN$2,A93)</f>
        <v>0</v>
      </c>
      <c r="AO93" s="33">
        <f ca="1">_xll.DBRW($C$1,$C$2,$C$3,$C$4,$C$6,$C$5,$C$7,AO$1,AO$2,A93)</f>
        <v>0</v>
      </c>
      <c r="AP93" s="33">
        <f ca="1">_xll.DBRW($C$1,$C$2,$C$3,$C$4,$C$6,$C$5,$C$7,AP$1,AP$2,A93)</f>
        <v>0</v>
      </c>
      <c r="AQ93" s="33">
        <f ca="1">_xll.DBRW($C$1,$C$2,$C$3,$C$4,$C$6,$C$5,$C$7,AQ$1,AQ$2,A93)</f>
        <v>0</v>
      </c>
      <c r="AR93" s="33">
        <f ca="1">_xll.DBRW($C$1,$C$2,$C$3,$C$4,$C$6,$C$5,$C$7,AR$1,AR$2,A93)</f>
        <v>0</v>
      </c>
      <c r="AS93" s="33">
        <f ca="1">_xll.DBRW($C$1,$C$2,$C$3,$C$4,$C$6,$C$5,$C$7,AS$1,AS$2,A93)</f>
        <v>0</v>
      </c>
      <c r="AT93" s="33">
        <f ca="1">_xll.DBRW($C$1,$C$2,$C$3,$C$4,$C$6,$C$5,$C$7,AT$1,AT$2,A93)</f>
        <v>0</v>
      </c>
      <c r="AU93" s="33">
        <f ca="1">_xll.DBRW($C$1,$C$2,$C$3,$C$4,$C$6,$C$5,$C$7,AU$1,AU$2,A93)</f>
        <v>0</v>
      </c>
      <c r="AV93" s="33">
        <f ca="1">_xll.DBRW($C$1,$C$2,$C$3,$C$4,$C$6,$C$5,$C$7,AV$1,AV$2,A93)</f>
        <v>0</v>
      </c>
      <c r="AW93" s="33">
        <f ca="1">_xll.DBRW($C$1,$C$2,$C$3,$C$4,$C$6,$C$5,$C$7,AW$1,AW$2,A93)</f>
        <v>0</v>
      </c>
      <c r="AX93" s="33">
        <f ca="1">_xll.DBRW($C$1,$C$2,$C$3,$C$4,$C$6,$C$5,$C$7,AX$1,AX$2,A93)</f>
        <v>0</v>
      </c>
      <c r="AY93" s="33">
        <f ca="1">_xll.DBRW($C$1,$C$2,$C$3,$C$4,$C$6,$C$5,$C$7,AY$1,AY$2,A93)</f>
        <v>0</v>
      </c>
    </row>
    <row r="94" spans="1:51" ht="15.75" hidden="1" customHeight="1" outlineLevel="2">
      <c r="A94" s="1" t="s">
        <v>193</v>
      </c>
      <c r="C94" s="109"/>
      <c r="E94" s="9" t="str">
        <f ca="1">_xll.DBRW(Server&amp;"}ElementAttributes_Indicator",A94,"code_English")</f>
        <v>PL1155_ET_16 - Reinvoicing - Bio fuel</v>
      </c>
      <c r="F94" s="33">
        <f ca="1">_xll.DBRW($C$1,$C$2,$C$3,$C$4,$C$6,$C$5,$C$7,F$1,F$2,A94)</f>
        <v>0</v>
      </c>
      <c r="G94" s="33">
        <f ca="1">_xll.DBRW($C$1,$C$2,$C$3,$C$4,$C$6,$C$5,$C$7,G$1,G$2,A94)</f>
        <v>0</v>
      </c>
      <c r="H94" s="33">
        <f ca="1">_xll.DBRW($C$1,$C$2,$C$3,$C$4,$C$6,$C$5,$C$7,H$1,H$2,A94)</f>
        <v>0</v>
      </c>
      <c r="I94" s="33">
        <f ca="1">_xll.DBRW($C$1,$C$2,$C$3,$C$4,$C$6,$C$5,$C$7,I$1,I$2,A94)</f>
        <v>0</v>
      </c>
      <c r="J94" s="33">
        <f ca="1">_xll.DBRW($C$1,$C$2,$C$3,$C$4,$C$6,$C$5,$C$7,J$1,J$2,A94)</f>
        <v>0</v>
      </c>
      <c r="K94" s="33">
        <f ca="1">_xll.DBRW($C$1,$C$2,$C$3,$C$4,$C$6,$C$5,$C$7,K$1,K$2,A94)</f>
        <v>0</v>
      </c>
      <c r="L94" s="33">
        <f ca="1">_xll.DBRW($C$1,$C$2,$C$3,$C$4,$C$6,$C$5,$C$7,L$1,L$2,A94)</f>
        <v>0</v>
      </c>
      <c r="M94" s="33">
        <f ca="1">_xll.DBRW($C$1,$C$2,$C$3,$C$4,$C$6,$C$5,$C$7,M$1,M$2,A94)</f>
        <v>0</v>
      </c>
      <c r="N94" s="33">
        <f ca="1">_xll.DBRW($C$1,$C$2,$C$3,$C$4,$C$6,$C$5,$C$7,N$1,N$2,A94)</f>
        <v>0</v>
      </c>
      <c r="O94" s="33">
        <f ca="1">_xll.DBRW($C$1,$C$2,$C$3,$C$4,$C$6,$C$5,$C$7,O$1,O$2,A94)</f>
        <v>0</v>
      </c>
      <c r="P94" s="33">
        <f ca="1">_xll.DBRW($C$1,$C$2,$C$3,$C$4,$C$6,$C$5,$C$7,P$1,P$2,A94)</f>
        <v>0</v>
      </c>
      <c r="Q94" s="33">
        <f ca="1">_xll.DBRW($C$1,$C$2,$C$3,$C$4,$C$6,$C$5,$C$7,Q$1,Q$2,A94)</f>
        <v>0</v>
      </c>
      <c r="R94" s="33">
        <f ca="1">_xll.DBRW($C$1,$C$2,$C$3,$C$4,$C$6,$C$5,$C$7,R$1,R$2,A94)</f>
        <v>0</v>
      </c>
      <c r="S94" s="33">
        <f ca="1">_xll.DBRW($C$1,$C$2,$C$3,$C$4,$C$6,$C$5,$C$7,S$1,S$2,A94)</f>
        <v>0</v>
      </c>
      <c r="T94" s="33">
        <f ca="1">_xll.DBRW($C$1,$C$2,$C$3,$C$4,$C$6,$C$5,$C$7,T$1,T$2,A94)</f>
        <v>0</v>
      </c>
      <c r="U94" s="33">
        <f ca="1">_xll.DBRW($C$1,$C$2,$C$3,$C$4,$C$6,$C$5,$C$7,U$1,U$2,A94)</f>
        <v>0</v>
      </c>
      <c r="V94" s="33">
        <f ca="1">_xll.DBRW($C$1,$C$2,$C$3,$C$4,$C$6,$C$5,$C$7,V$1,V$2,A94)</f>
        <v>0</v>
      </c>
      <c r="W94" s="33">
        <f ca="1">_xll.DBRW($C$1,$C$2,$C$3,$C$4,$C$6,$C$5,$C$7,W$1,W$2,A94)</f>
        <v>0</v>
      </c>
      <c r="X94" s="33">
        <f ca="1">_xll.DBRW($C$1,$C$2,$C$3,$C$4,$C$6,$C$5,$C$7,X$1,X$2,A94)</f>
        <v>0</v>
      </c>
      <c r="Y94" s="33">
        <f ca="1">_xll.DBRW($C$1,$C$2,$C$3,$C$4,$C$6,$C$5,$C$7,Y$1,Y$2,A94)</f>
        <v>0</v>
      </c>
      <c r="Z94" s="33">
        <f ca="1">_xll.DBRW($C$1,$C$2,$C$3,$C$4,$C$6,$C$5,$C$7,Z$1,Z$2,A94)</f>
        <v>0</v>
      </c>
      <c r="AA94" s="33">
        <f ca="1">_xll.DBRW($C$1,$C$2,$C$3,$C$4,$C$6,$C$5,$C$7,AA$1,AA$2,A94)</f>
        <v>0</v>
      </c>
      <c r="AB94" s="33">
        <f ca="1">_xll.DBRW($C$1,$C$2,$C$3,$C$4,$C$6,$C$5,$C$7,AB$1,AB$2,A94)</f>
        <v>0</v>
      </c>
      <c r="AC94" s="33">
        <f ca="1">_xll.DBRW($C$1,$C$2,$C$3,$C$4,$C$6,$C$5,$C$7,AC$1,AC$2,A94)</f>
        <v>0</v>
      </c>
      <c r="AD94" s="33">
        <f ca="1">_xll.DBRW($C$1,$C$2,$C$3,$C$4,$C$6,$C$5,$C$7,AD$1,AD$2,A94)</f>
        <v>0</v>
      </c>
      <c r="AE94" s="33">
        <f ca="1">_xll.DBRW($C$1,$C$2,$C$3,$C$4,$C$6,$C$5,$C$7,AE$1,AE$2,A94)</f>
        <v>0</v>
      </c>
      <c r="AF94" s="33">
        <f ca="1">_xll.DBRW($C$1,$C$2,$C$3,$C$4,$C$6,$C$5,$C$7,AF$1,AF$2,A94)</f>
        <v>0</v>
      </c>
      <c r="AG94" s="33">
        <f ca="1">_xll.DBRW($C$1,$C$2,$C$3,$C$4,$C$6,$C$5,$C$7,AG$1,AG$2,A94)</f>
        <v>0</v>
      </c>
      <c r="AH94" s="33">
        <f ca="1">_xll.DBRW($C$1,$C$2,$C$3,$C$4,$C$6,$C$5,$C$7,AH$1,AH$2,A94)</f>
        <v>0</v>
      </c>
      <c r="AI94" s="33">
        <f ca="1">_xll.DBRW($C$1,$C$2,$C$3,$C$4,$C$6,$C$5,$C$7,AI$1,AI$2,A94)</f>
        <v>0</v>
      </c>
      <c r="AJ94" s="33">
        <f ca="1">_xll.DBRW($C$1,$C$2,$C$3,$C$4,$C$6,$C$5,$C$7,AJ$1,AJ$2,A94)</f>
        <v>0</v>
      </c>
      <c r="AK94" s="33">
        <f ca="1">_xll.DBRW($C$1,$C$2,$C$3,$C$4,$C$6,$C$5,$C$7,AK$1,AK$2,A94)</f>
        <v>0</v>
      </c>
      <c r="AL94" s="33">
        <f ca="1">_xll.DBRW($C$1,$C$2,$C$3,$C$4,$C$6,$C$5,$C$7,AL$1,AL$2,A94)</f>
        <v>0</v>
      </c>
      <c r="AM94" s="33">
        <f ca="1">_xll.DBRW($C$1,$C$2,$C$3,$C$4,$C$6,$C$5,$C$7,AM$1,AM$2,A94)</f>
        <v>0</v>
      </c>
      <c r="AN94" s="33">
        <f ca="1">_xll.DBRW($C$1,$C$2,$C$3,$C$4,$C$6,$C$5,$C$7,AN$1,AN$2,A94)</f>
        <v>0</v>
      </c>
      <c r="AO94" s="33">
        <f ca="1">_xll.DBRW($C$1,$C$2,$C$3,$C$4,$C$6,$C$5,$C$7,AO$1,AO$2,A94)</f>
        <v>0</v>
      </c>
      <c r="AP94" s="33">
        <f ca="1">_xll.DBRW($C$1,$C$2,$C$3,$C$4,$C$6,$C$5,$C$7,AP$1,AP$2,A94)</f>
        <v>0</v>
      </c>
      <c r="AQ94" s="33">
        <f ca="1">_xll.DBRW($C$1,$C$2,$C$3,$C$4,$C$6,$C$5,$C$7,AQ$1,AQ$2,A94)</f>
        <v>0</v>
      </c>
      <c r="AR94" s="33">
        <f ca="1">_xll.DBRW($C$1,$C$2,$C$3,$C$4,$C$6,$C$5,$C$7,AR$1,AR$2,A94)</f>
        <v>0</v>
      </c>
      <c r="AS94" s="33">
        <f ca="1">_xll.DBRW($C$1,$C$2,$C$3,$C$4,$C$6,$C$5,$C$7,AS$1,AS$2,A94)</f>
        <v>0</v>
      </c>
      <c r="AT94" s="33">
        <f ca="1">_xll.DBRW($C$1,$C$2,$C$3,$C$4,$C$6,$C$5,$C$7,AT$1,AT$2,A94)</f>
        <v>0</v>
      </c>
      <c r="AU94" s="33">
        <f ca="1">_xll.DBRW($C$1,$C$2,$C$3,$C$4,$C$6,$C$5,$C$7,AU$1,AU$2,A94)</f>
        <v>0</v>
      </c>
      <c r="AV94" s="33">
        <f ca="1">_xll.DBRW($C$1,$C$2,$C$3,$C$4,$C$6,$C$5,$C$7,AV$1,AV$2,A94)</f>
        <v>0</v>
      </c>
      <c r="AW94" s="33">
        <f ca="1">_xll.DBRW($C$1,$C$2,$C$3,$C$4,$C$6,$C$5,$C$7,AW$1,AW$2,A94)</f>
        <v>0</v>
      </c>
      <c r="AX94" s="33">
        <f ca="1">_xll.DBRW($C$1,$C$2,$C$3,$C$4,$C$6,$C$5,$C$7,AX$1,AX$2,A94)</f>
        <v>0</v>
      </c>
      <c r="AY94" s="33">
        <f ca="1">_xll.DBRW($C$1,$C$2,$C$3,$C$4,$C$6,$C$5,$C$7,AY$1,AY$2,A94)</f>
        <v>0</v>
      </c>
    </row>
    <row r="95" spans="1:51" ht="15.5" hidden="1" outlineLevel="1" collapsed="1">
      <c r="A95" s="1" t="s">
        <v>192</v>
      </c>
      <c r="C95" s="109"/>
      <c r="E95" s="84" t="s">
        <v>33</v>
      </c>
      <c r="F95" s="34">
        <f t="shared" ref="F95:M95" ca="1" si="63">SUM(F93:F94)</f>
        <v>0</v>
      </c>
      <c r="G95" s="34">
        <f t="shared" ca="1" si="63"/>
        <v>0</v>
      </c>
      <c r="H95" s="34">
        <f t="shared" ca="1" si="63"/>
        <v>0</v>
      </c>
      <c r="I95" s="34">
        <f t="shared" ca="1" si="63"/>
        <v>0</v>
      </c>
      <c r="J95" s="34">
        <f t="shared" ca="1" si="63"/>
        <v>0</v>
      </c>
      <c r="K95" s="34">
        <f t="shared" ca="1" si="63"/>
        <v>0</v>
      </c>
      <c r="L95" s="34">
        <f t="shared" ca="1" si="63"/>
        <v>0</v>
      </c>
      <c r="M95" s="34">
        <f t="shared" ca="1" si="63"/>
        <v>0</v>
      </c>
      <c r="N95" s="34">
        <f t="shared" ref="N95:X95" ca="1" si="64">SUM(N93:N94)</f>
        <v>0</v>
      </c>
      <c r="O95" s="34">
        <f t="shared" ca="1" si="64"/>
        <v>0</v>
      </c>
      <c r="P95" s="34">
        <f t="shared" ca="1" si="64"/>
        <v>0</v>
      </c>
      <c r="Q95" s="34">
        <f t="shared" ca="1" si="64"/>
        <v>0</v>
      </c>
      <c r="R95" s="34">
        <f t="shared" ca="1" si="64"/>
        <v>0</v>
      </c>
      <c r="S95" s="34">
        <f t="shared" ca="1" si="64"/>
        <v>0</v>
      </c>
      <c r="T95" s="34">
        <f t="shared" ca="1" si="64"/>
        <v>0</v>
      </c>
      <c r="U95" s="34">
        <f t="shared" ca="1" si="64"/>
        <v>0</v>
      </c>
      <c r="V95" s="34">
        <f t="shared" ca="1" si="64"/>
        <v>0</v>
      </c>
      <c r="W95" s="34">
        <f t="shared" ca="1" si="64"/>
        <v>0</v>
      </c>
      <c r="X95" s="34">
        <f t="shared" ca="1" si="64"/>
        <v>0</v>
      </c>
      <c r="Y95" s="34">
        <f ca="1">SUM(Y93:Y94)</f>
        <v>0</v>
      </c>
      <c r="Z95" s="34">
        <f ca="1">SUM(Z93:Z94)</f>
        <v>0</v>
      </c>
      <c r="AA95" s="34">
        <f t="shared" ref="AA95:AK95" ca="1" si="65">SUM(AA93:AA94)</f>
        <v>0</v>
      </c>
      <c r="AB95" s="34">
        <f t="shared" ca="1" si="65"/>
        <v>0</v>
      </c>
      <c r="AC95" s="34">
        <f t="shared" ca="1" si="65"/>
        <v>0</v>
      </c>
      <c r="AD95" s="34">
        <f t="shared" ca="1" si="65"/>
        <v>0</v>
      </c>
      <c r="AE95" s="34">
        <f t="shared" ca="1" si="65"/>
        <v>0</v>
      </c>
      <c r="AF95" s="34">
        <f t="shared" ca="1" si="65"/>
        <v>0</v>
      </c>
      <c r="AG95" s="34">
        <f t="shared" ca="1" si="65"/>
        <v>0</v>
      </c>
      <c r="AH95" s="34">
        <f t="shared" ca="1" si="65"/>
        <v>0</v>
      </c>
      <c r="AI95" s="34">
        <f t="shared" ca="1" si="65"/>
        <v>0</v>
      </c>
      <c r="AJ95" s="34">
        <f t="shared" ca="1" si="65"/>
        <v>0</v>
      </c>
      <c r="AK95" s="34">
        <f t="shared" ca="1" si="65"/>
        <v>0</v>
      </c>
      <c r="AL95" s="34">
        <f ca="1">SUM(AL93:AL94)</f>
        <v>0</v>
      </c>
      <c r="AM95" s="34">
        <f ca="1">SUM(AM93:AM94)</f>
        <v>0</v>
      </c>
      <c r="AN95" s="34">
        <f t="shared" ref="AN95:AX95" ca="1" si="66">SUM(AN93:AN94)</f>
        <v>0</v>
      </c>
      <c r="AO95" s="34">
        <f t="shared" ca="1" si="66"/>
        <v>0</v>
      </c>
      <c r="AP95" s="34">
        <f t="shared" ca="1" si="66"/>
        <v>0</v>
      </c>
      <c r="AQ95" s="34">
        <f t="shared" ca="1" si="66"/>
        <v>0</v>
      </c>
      <c r="AR95" s="34">
        <f t="shared" ca="1" si="66"/>
        <v>0</v>
      </c>
      <c r="AS95" s="34">
        <f t="shared" ca="1" si="66"/>
        <v>0</v>
      </c>
      <c r="AT95" s="34">
        <f t="shared" ca="1" si="66"/>
        <v>0</v>
      </c>
      <c r="AU95" s="34">
        <f t="shared" ca="1" si="66"/>
        <v>0</v>
      </c>
      <c r="AV95" s="34">
        <f t="shared" ca="1" si="66"/>
        <v>0</v>
      </c>
      <c r="AW95" s="34">
        <f t="shared" ca="1" si="66"/>
        <v>0</v>
      </c>
      <c r="AX95" s="34">
        <f t="shared" ca="1" si="66"/>
        <v>0</v>
      </c>
      <c r="AY95" s="34">
        <f ca="1">SUM(AY93:AY94)</f>
        <v>0</v>
      </c>
    </row>
    <row r="96" spans="1:51" ht="15.75" hidden="1" customHeight="1" outlineLevel="2">
      <c r="A96" s="1" t="s">
        <v>194</v>
      </c>
      <c r="C96" s="109"/>
      <c r="E96" s="9" t="str">
        <f ca="1">_xll.DBRW(Server&amp;"}ElementAttributes_Indicator",A96,"code_English")</f>
        <v>PL1115_ET_82 - Gas</v>
      </c>
      <c r="F96" s="33">
        <f ca="1">_xll.DBRW($C$1,$C$2,$C$3,$C$4,$C$6,$C$5,$C$7,F$1,F$2,A96)</f>
        <v>0</v>
      </c>
      <c r="G96" s="33">
        <f ca="1">_xll.DBRW($C$1,$C$2,$C$3,$C$4,$C$6,$C$5,$C$7,G$1,G$2,A96)</f>
        <v>0</v>
      </c>
      <c r="H96" s="33">
        <f ca="1">_xll.DBRW($C$1,$C$2,$C$3,$C$4,$C$6,$C$5,$C$7,H$1,H$2,A96)</f>
        <v>0</v>
      </c>
      <c r="I96" s="33">
        <f ca="1">_xll.DBRW($C$1,$C$2,$C$3,$C$4,$C$6,$C$5,$C$7,I$1,I$2,A96)</f>
        <v>0</v>
      </c>
      <c r="J96" s="33">
        <f ca="1">_xll.DBRW($C$1,$C$2,$C$3,$C$4,$C$6,$C$5,$C$7,J$1,J$2,A96)</f>
        <v>0</v>
      </c>
      <c r="K96" s="33">
        <f ca="1">_xll.DBRW($C$1,$C$2,$C$3,$C$4,$C$6,$C$5,$C$7,K$1,K$2,A96)</f>
        <v>0</v>
      </c>
      <c r="L96" s="33">
        <f ca="1">_xll.DBRW($C$1,$C$2,$C$3,$C$4,$C$6,$C$5,$C$7,L$1,L$2,A96)</f>
        <v>0</v>
      </c>
      <c r="M96" s="33">
        <f ca="1">_xll.DBRW($C$1,$C$2,$C$3,$C$4,$C$6,$C$5,$C$7,M$1,M$2,A96)</f>
        <v>0</v>
      </c>
      <c r="N96" s="33">
        <f ca="1">_xll.DBRW($C$1,$C$2,$C$3,$C$4,$C$6,$C$5,$C$7,N$1,N$2,A96)</f>
        <v>0</v>
      </c>
      <c r="O96" s="33">
        <f ca="1">_xll.DBRW($C$1,$C$2,$C$3,$C$4,$C$6,$C$5,$C$7,O$1,O$2,A96)</f>
        <v>0</v>
      </c>
      <c r="P96" s="33">
        <f ca="1">_xll.DBRW($C$1,$C$2,$C$3,$C$4,$C$6,$C$5,$C$7,P$1,P$2,A96)</f>
        <v>0</v>
      </c>
      <c r="Q96" s="33">
        <f ca="1">_xll.DBRW($C$1,$C$2,$C$3,$C$4,$C$6,$C$5,$C$7,Q$1,Q$2,A96)</f>
        <v>0</v>
      </c>
      <c r="R96" s="33">
        <f ca="1">_xll.DBRW($C$1,$C$2,$C$3,$C$4,$C$6,$C$5,$C$7,R$1,R$2,A96)</f>
        <v>0</v>
      </c>
      <c r="S96" s="33">
        <f ca="1">_xll.DBRW($C$1,$C$2,$C$3,$C$4,$C$6,$C$5,$C$7,S$1,S$2,A96)</f>
        <v>0</v>
      </c>
      <c r="T96" s="33">
        <f ca="1">_xll.DBRW($C$1,$C$2,$C$3,$C$4,$C$6,$C$5,$C$7,T$1,T$2,A96)</f>
        <v>0</v>
      </c>
      <c r="U96" s="33">
        <f ca="1">_xll.DBRW($C$1,$C$2,$C$3,$C$4,$C$6,$C$5,$C$7,U$1,U$2,A96)</f>
        <v>0</v>
      </c>
      <c r="V96" s="33">
        <f ca="1">_xll.DBRW($C$1,$C$2,$C$3,$C$4,$C$6,$C$5,$C$7,V$1,V$2,A96)</f>
        <v>0</v>
      </c>
      <c r="W96" s="33">
        <f ca="1">_xll.DBRW($C$1,$C$2,$C$3,$C$4,$C$6,$C$5,$C$7,W$1,W$2,A96)</f>
        <v>0</v>
      </c>
      <c r="X96" s="33">
        <f ca="1">_xll.DBRW($C$1,$C$2,$C$3,$C$4,$C$6,$C$5,$C$7,X$1,X$2,A96)</f>
        <v>0</v>
      </c>
      <c r="Y96" s="33">
        <f ca="1">_xll.DBRW($C$1,$C$2,$C$3,$C$4,$C$6,$C$5,$C$7,Y$1,Y$2,A96)</f>
        <v>0</v>
      </c>
      <c r="Z96" s="33">
        <f ca="1">_xll.DBRW($C$1,$C$2,$C$3,$C$4,$C$6,$C$5,$C$7,Z$1,Z$2,A96)</f>
        <v>0</v>
      </c>
      <c r="AA96" s="33">
        <f ca="1">_xll.DBRW($C$1,$C$2,$C$3,$C$4,$C$6,$C$5,$C$7,AA$1,AA$2,A96)</f>
        <v>0</v>
      </c>
      <c r="AB96" s="33">
        <f ca="1">_xll.DBRW($C$1,$C$2,$C$3,$C$4,$C$6,$C$5,$C$7,AB$1,AB$2,A96)</f>
        <v>0</v>
      </c>
      <c r="AC96" s="33">
        <f ca="1">_xll.DBRW($C$1,$C$2,$C$3,$C$4,$C$6,$C$5,$C$7,AC$1,AC$2,A96)</f>
        <v>0</v>
      </c>
      <c r="AD96" s="33">
        <f ca="1">_xll.DBRW($C$1,$C$2,$C$3,$C$4,$C$6,$C$5,$C$7,AD$1,AD$2,A96)</f>
        <v>0</v>
      </c>
      <c r="AE96" s="33">
        <f ca="1">_xll.DBRW($C$1,$C$2,$C$3,$C$4,$C$6,$C$5,$C$7,AE$1,AE$2,A96)</f>
        <v>0</v>
      </c>
      <c r="AF96" s="33">
        <f ca="1">_xll.DBRW($C$1,$C$2,$C$3,$C$4,$C$6,$C$5,$C$7,AF$1,AF$2,A96)</f>
        <v>0</v>
      </c>
      <c r="AG96" s="33">
        <f ca="1">_xll.DBRW($C$1,$C$2,$C$3,$C$4,$C$6,$C$5,$C$7,AG$1,AG$2,A96)</f>
        <v>0</v>
      </c>
      <c r="AH96" s="33">
        <f ca="1">_xll.DBRW($C$1,$C$2,$C$3,$C$4,$C$6,$C$5,$C$7,AH$1,AH$2,A96)</f>
        <v>0</v>
      </c>
      <c r="AI96" s="33">
        <f ca="1">_xll.DBRW($C$1,$C$2,$C$3,$C$4,$C$6,$C$5,$C$7,AI$1,AI$2,A96)</f>
        <v>0</v>
      </c>
      <c r="AJ96" s="33">
        <f ca="1">_xll.DBRW($C$1,$C$2,$C$3,$C$4,$C$6,$C$5,$C$7,AJ$1,AJ$2,A96)</f>
        <v>0</v>
      </c>
      <c r="AK96" s="33">
        <f ca="1">_xll.DBRW($C$1,$C$2,$C$3,$C$4,$C$6,$C$5,$C$7,AK$1,AK$2,A96)</f>
        <v>0</v>
      </c>
      <c r="AL96" s="33">
        <f ca="1">_xll.DBRW($C$1,$C$2,$C$3,$C$4,$C$6,$C$5,$C$7,AL$1,AL$2,A96)</f>
        <v>0</v>
      </c>
      <c r="AM96" s="33">
        <f ca="1">_xll.DBRW($C$1,$C$2,$C$3,$C$4,$C$6,$C$5,$C$7,AM$1,AM$2,A96)</f>
        <v>0</v>
      </c>
      <c r="AN96" s="33">
        <f ca="1">_xll.DBRW($C$1,$C$2,$C$3,$C$4,$C$6,$C$5,$C$7,AN$1,AN$2,A96)</f>
        <v>0</v>
      </c>
      <c r="AO96" s="33">
        <f ca="1">_xll.DBRW($C$1,$C$2,$C$3,$C$4,$C$6,$C$5,$C$7,AO$1,AO$2,A96)</f>
        <v>0</v>
      </c>
      <c r="AP96" s="33">
        <f ca="1">_xll.DBRW($C$1,$C$2,$C$3,$C$4,$C$6,$C$5,$C$7,AP$1,AP$2,A96)</f>
        <v>0</v>
      </c>
      <c r="AQ96" s="33">
        <f ca="1">_xll.DBRW($C$1,$C$2,$C$3,$C$4,$C$6,$C$5,$C$7,AQ$1,AQ$2,A96)</f>
        <v>0</v>
      </c>
      <c r="AR96" s="33">
        <f ca="1">_xll.DBRW($C$1,$C$2,$C$3,$C$4,$C$6,$C$5,$C$7,AR$1,AR$2,A96)</f>
        <v>0</v>
      </c>
      <c r="AS96" s="33">
        <f ca="1">_xll.DBRW($C$1,$C$2,$C$3,$C$4,$C$6,$C$5,$C$7,AS$1,AS$2,A96)</f>
        <v>0</v>
      </c>
      <c r="AT96" s="33">
        <f ca="1">_xll.DBRW($C$1,$C$2,$C$3,$C$4,$C$6,$C$5,$C$7,AT$1,AT$2,A96)</f>
        <v>0</v>
      </c>
      <c r="AU96" s="33">
        <f ca="1">_xll.DBRW($C$1,$C$2,$C$3,$C$4,$C$6,$C$5,$C$7,AU$1,AU$2,A96)</f>
        <v>0</v>
      </c>
      <c r="AV96" s="33">
        <f ca="1">_xll.DBRW($C$1,$C$2,$C$3,$C$4,$C$6,$C$5,$C$7,AV$1,AV$2,A96)</f>
        <v>0</v>
      </c>
      <c r="AW96" s="33">
        <f ca="1">_xll.DBRW($C$1,$C$2,$C$3,$C$4,$C$6,$C$5,$C$7,AW$1,AW$2,A96)</f>
        <v>0</v>
      </c>
      <c r="AX96" s="33">
        <f ca="1">_xll.DBRW($C$1,$C$2,$C$3,$C$4,$C$6,$C$5,$C$7,AX$1,AX$2,A96)</f>
        <v>0</v>
      </c>
      <c r="AY96" s="33">
        <f ca="1">_xll.DBRW($C$1,$C$2,$C$3,$C$4,$C$6,$C$5,$C$7,AY$1,AY$2,A96)</f>
        <v>0</v>
      </c>
    </row>
    <row r="97" spans="1:51" ht="15.75" hidden="1" customHeight="1" outlineLevel="2">
      <c r="A97" s="1" t="s">
        <v>195</v>
      </c>
      <c r="C97" s="109"/>
      <c r="E97" s="9" t="str">
        <f ca="1">_xll.DBRW(Server&amp;"}ElementAttributes_Indicator",A97,"code_English")</f>
        <v>PL1155_ET_17 - Reinvoicing - Gas</v>
      </c>
      <c r="F97" s="33">
        <f ca="1">_xll.DBRW($C$1,$C$2,$C$3,$C$4,$C$6,$C$5,$C$7,F$1,F$2,A97)</f>
        <v>0</v>
      </c>
      <c r="G97" s="33">
        <f ca="1">_xll.DBRW($C$1,$C$2,$C$3,$C$4,$C$6,$C$5,$C$7,G$1,G$2,A97)</f>
        <v>0</v>
      </c>
      <c r="H97" s="33">
        <f ca="1">_xll.DBRW($C$1,$C$2,$C$3,$C$4,$C$6,$C$5,$C$7,H$1,H$2,A97)</f>
        <v>0</v>
      </c>
      <c r="I97" s="33">
        <f ca="1">_xll.DBRW($C$1,$C$2,$C$3,$C$4,$C$6,$C$5,$C$7,I$1,I$2,A97)</f>
        <v>0</v>
      </c>
      <c r="J97" s="33">
        <f ca="1">_xll.DBRW($C$1,$C$2,$C$3,$C$4,$C$6,$C$5,$C$7,J$1,J$2,A97)</f>
        <v>0</v>
      </c>
      <c r="K97" s="33">
        <f ca="1">_xll.DBRW($C$1,$C$2,$C$3,$C$4,$C$6,$C$5,$C$7,K$1,K$2,A97)</f>
        <v>0</v>
      </c>
      <c r="L97" s="33">
        <f ca="1">_xll.DBRW($C$1,$C$2,$C$3,$C$4,$C$6,$C$5,$C$7,L$1,L$2,A97)</f>
        <v>0</v>
      </c>
      <c r="M97" s="33">
        <f ca="1">_xll.DBRW($C$1,$C$2,$C$3,$C$4,$C$6,$C$5,$C$7,M$1,M$2,A97)</f>
        <v>0</v>
      </c>
      <c r="N97" s="33">
        <f ca="1">_xll.DBRW($C$1,$C$2,$C$3,$C$4,$C$6,$C$5,$C$7,N$1,N$2,A97)</f>
        <v>0</v>
      </c>
      <c r="O97" s="33">
        <f ca="1">_xll.DBRW($C$1,$C$2,$C$3,$C$4,$C$6,$C$5,$C$7,O$1,O$2,A97)</f>
        <v>0</v>
      </c>
      <c r="P97" s="33">
        <f ca="1">_xll.DBRW($C$1,$C$2,$C$3,$C$4,$C$6,$C$5,$C$7,P$1,P$2,A97)</f>
        <v>0</v>
      </c>
      <c r="Q97" s="33">
        <f ca="1">_xll.DBRW($C$1,$C$2,$C$3,$C$4,$C$6,$C$5,$C$7,Q$1,Q$2,A97)</f>
        <v>0</v>
      </c>
      <c r="R97" s="33">
        <f ca="1">_xll.DBRW($C$1,$C$2,$C$3,$C$4,$C$6,$C$5,$C$7,R$1,R$2,A97)</f>
        <v>0</v>
      </c>
      <c r="S97" s="33">
        <f ca="1">_xll.DBRW($C$1,$C$2,$C$3,$C$4,$C$6,$C$5,$C$7,S$1,S$2,A97)</f>
        <v>0</v>
      </c>
      <c r="T97" s="33">
        <f ca="1">_xll.DBRW($C$1,$C$2,$C$3,$C$4,$C$6,$C$5,$C$7,T$1,T$2,A97)</f>
        <v>0</v>
      </c>
      <c r="U97" s="33">
        <f ca="1">_xll.DBRW($C$1,$C$2,$C$3,$C$4,$C$6,$C$5,$C$7,U$1,U$2,A97)</f>
        <v>0</v>
      </c>
      <c r="V97" s="33">
        <f ca="1">_xll.DBRW($C$1,$C$2,$C$3,$C$4,$C$6,$C$5,$C$7,V$1,V$2,A97)</f>
        <v>0</v>
      </c>
      <c r="W97" s="33">
        <f ca="1">_xll.DBRW($C$1,$C$2,$C$3,$C$4,$C$6,$C$5,$C$7,W$1,W$2,A97)</f>
        <v>0</v>
      </c>
      <c r="X97" s="33">
        <f ca="1">_xll.DBRW($C$1,$C$2,$C$3,$C$4,$C$6,$C$5,$C$7,X$1,X$2,A97)</f>
        <v>0</v>
      </c>
      <c r="Y97" s="33">
        <f ca="1">_xll.DBRW($C$1,$C$2,$C$3,$C$4,$C$6,$C$5,$C$7,Y$1,Y$2,A97)</f>
        <v>0</v>
      </c>
      <c r="Z97" s="33">
        <f ca="1">_xll.DBRW($C$1,$C$2,$C$3,$C$4,$C$6,$C$5,$C$7,Z$1,Z$2,A97)</f>
        <v>0</v>
      </c>
      <c r="AA97" s="33">
        <f ca="1">_xll.DBRW($C$1,$C$2,$C$3,$C$4,$C$6,$C$5,$C$7,AA$1,AA$2,A97)</f>
        <v>0</v>
      </c>
      <c r="AB97" s="33">
        <f ca="1">_xll.DBRW($C$1,$C$2,$C$3,$C$4,$C$6,$C$5,$C$7,AB$1,AB$2,A97)</f>
        <v>0</v>
      </c>
      <c r="AC97" s="33">
        <f ca="1">_xll.DBRW($C$1,$C$2,$C$3,$C$4,$C$6,$C$5,$C$7,AC$1,AC$2,A97)</f>
        <v>0</v>
      </c>
      <c r="AD97" s="33">
        <f ca="1">_xll.DBRW($C$1,$C$2,$C$3,$C$4,$C$6,$C$5,$C$7,AD$1,AD$2,A97)</f>
        <v>0</v>
      </c>
      <c r="AE97" s="33">
        <f ca="1">_xll.DBRW($C$1,$C$2,$C$3,$C$4,$C$6,$C$5,$C$7,AE$1,AE$2,A97)</f>
        <v>0</v>
      </c>
      <c r="AF97" s="33">
        <f ca="1">_xll.DBRW($C$1,$C$2,$C$3,$C$4,$C$6,$C$5,$C$7,AF$1,AF$2,A97)</f>
        <v>0</v>
      </c>
      <c r="AG97" s="33">
        <f ca="1">_xll.DBRW($C$1,$C$2,$C$3,$C$4,$C$6,$C$5,$C$7,AG$1,AG$2,A97)</f>
        <v>0</v>
      </c>
      <c r="AH97" s="33">
        <f ca="1">_xll.DBRW($C$1,$C$2,$C$3,$C$4,$C$6,$C$5,$C$7,AH$1,AH$2,A97)</f>
        <v>0</v>
      </c>
      <c r="AI97" s="33">
        <f ca="1">_xll.DBRW($C$1,$C$2,$C$3,$C$4,$C$6,$C$5,$C$7,AI$1,AI$2,A97)</f>
        <v>0</v>
      </c>
      <c r="AJ97" s="33">
        <f ca="1">_xll.DBRW($C$1,$C$2,$C$3,$C$4,$C$6,$C$5,$C$7,AJ$1,AJ$2,A97)</f>
        <v>0</v>
      </c>
      <c r="AK97" s="33">
        <f ca="1">_xll.DBRW($C$1,$C$2,$C$3,$C$4,$C$6,$C$5,$C$7,AK$1,AK$2,A97)</f>
        <v>0</v>
      </c>
      <c r="AL97" s="33">
        <f ca="1">_xll.DBRW($C$1,$C$2,$C$3,$C$4,$C$6,$C$5,$C$7,AL$1,AL$2,A97)</f>
        <v>0</v>
      </c>
      <c r="AM97" s="33">
        <f ca="1">_xll.DBRW($C$1,$C$2,$C$3,$C$4,$C$6,$C$5,$C$7,AM$1,AM$2,A97)</f>
        <v>0</v>
      </c>
      <c r="AN97" s="33">
        <f ca="1">_xll.DBRW($C$1,$C$2,$C$3,$C$4,$C$6,$C$5,$C$7,AN$1,AN$2,A97)</f>
        <v>0</v>
      </c>
      <c r="AO97" s="33">
        <f ca="1">_xll.DBRW($C$1,$C$2,$C$3,$C$4,$C$6,$C$5,$C$7,AO$1,AO$2,A97)</f>
        <v>0</v>
      </c>
      <c r="AP97" s="33">
        <f ca="1">_xll.DBRW($C$1,$C$2,$C$3,$C$4,$C$6,$C$5,$C$7,AP$1,AP$2,A97)</f>
        <v>0</v>
      </c>
      <c r="AQ97" s="33">
        <f ca="1">_xll.DBRW($C$1,$C$2,$C$3,$C$4,$C$6,$C$5,$C$7,AQ$1,AQ$2,A97)</f>
        <v>0</v>
      </c>
      <c r="AR97" s="33">
        <f ca="1">_xll.DBRW($C$1,$C$2,$C$3,$C$4,$C$6,$C$5,$C$7,AR$1,AR$2,A97)</f>
        <v>0</v>
      </c>
      <c r="AS97" s="33">
        <f ca="1">_xll.DBRW($C$1,$C$2,$C$3,$C$4,$C$6,$C$5,$C$7,AS$1,AS$2,A97)</f>
        <v>0</v>
      </c>
      <c r="AT97" s="33">
        <f ca="1">_xll.DBRW($C$1,$C$2,$C$3,$C$4,$C$6,$C$5,$C$7,AT$1,AT$2,A97)</f>
        <v>0</v>
      </c>
      <c r="AU97" s="33">
        <f ca="1">_xll.DBRW($C$1,$C$2,$C$3,$C$4,$C$6,$C$5,$C$7,AU$1,AU$2,A97)</f>
        <v>0</v>
      </c>
      <c r="AV97" s="33">
        <f ca="1">_xll.DBRW($C$1,$C$2,$C$3,$C$4,$C$6,$C$5,$C$7,AV$1,AV$2,A97)</f>
        <v>0</v>
      </c>
      <c r="AW97" s="33">
        <f ca="1">_xll.DBRW($C$1,$C$2,$C$3,$C$4,$C$6,$C$5,$C$7,AW$1,AW$2,A97)</f>
        <v>0</v>
      </c>
      <c r="AX97" s="33">
        <f ca="1">_xll.DBRW($C$1,$C$2,$C$3,$C$4,$C$6,$C$5,$C$7,AX$1,AX$2,A97)</f>
        <v>0</v>
      </c>
      <c r="AY97" s="33">
        <f ca="1">_xll.DBRW($C$1,$C$2,$C$3,$C$4,$C$6,$C$5,$C$7,AY$1,AY$2,A97)</f>
        <v>0</v>
      </c>
    </row>
    <row r="98" spans="1:51" ht="15.5" hidden="1" outlineLevel="1" collapsed="1">
      <c r="A98" s="1" t="s">
        <v>142</v>
      </c>
      <c r="C98" s="109"/>
      <c r="E98" s="15" t="s">
        <v>34</v>
      </c>
      <c r="F98" s="34">
        <f t="shared" ref="F98:M98" ca="1" si="67">SUM(F96:F97)</f>
        <v>0</v>
      </c>
      <c r="G98" s="34">
        <f t="shared" ca="1" si="67"/>
        <v>0</v>
      </c>
      <c r="H98" s="34">
        <f t="shared" ca="1" si="67"/>
        <v>0</v>
      </c>
      <c r="I98" s="34">
        <f t="shared" ca="1" si="67"/>
        <v>0</v>
      </c>
      <c r="J98" s="34">
        <f t="shared" ca="1" si="67"/>
        <v>0</v>
      </c>
      <c r="K98" s="34">
        <f t="shared" ca="1" si="67"/>
        <v>0</v>
      </c>
      <c r="L98" s="34">
        <f t="shared" ca="1" si="67"/>
        <v>0</v>
      </c>
      <c r="M98" s="34">
        <f t="shared" ca="1" si="67"/>
        <v>0</v>
      </c>
      <c r="N98" s="34">
        <f t="shared" ref="N98:X98" ca="1" si="68">SUM(N96:N97)</f>
        <v>0</v>
      </c>
      <c r="O98" s="34">
        <f t="shared" ca="1" si="68"/>
        <v>0</v>
      </c>
      <c r="P98" s="34">
        <f t="shared" ca="1" si="68"/>
        <v>0</v>
      </c>
      <c r="Q98" s="34">
        <f t="shared" ca="1" si="68"/>
        <v>0</v>
      </c>
      <c r="R98" s="34">
        <f t="shared" ca="1" si="68"/>
        <v>0</v>
      </c>
      <c r="S98" s="34">
        <f t="shared" ca="1" si="68"/>
        <v>0</v>
      </c>
      <c r="T98" s="34">
        <f t="shared" ca="1" si="68"/>
        <v>0</v>
      </c>
      <c r="U98" s="34">
        <f t="shared" ca="1" si="68"/>
        <v>0</v>
      </c>
      <c r="V98" s="34">
        <f t="shared" ca="1" si="68"/>
        <v>0</v>
      </c>
      <c r="W98" s="34">
        <f t="shared" ca="1" si="68"/>
        <v>0</v>
      </c>
      <c r="X98" s="34">
        <f t="shared" ca="1" si="68"/>
        <v>0</v>
      </c>
      <c r="Y98" s="34">
        <f ca="1">SUM(Y96:Y97)</f>
        <v>0</v>
      </c>
      <c r="Z98" s="34">
        <f ca="1">SUM(Z96:Z97)</f>
        <v>0</v>
      </c>
      <c r="AA98" s="34">
        <f t="shared" ref="AA98:AK98" ca="1" si="69">SUM(AA96:AA97)</f>
        <v>0</v>
      </c>
      <c r="AB98" s="34">
        <f t="shared" ca="1" si="69"/>
        <v>0</v>
      </c>
      <c r="AC98" s="34">
        <f t="shared" ca="1" si="69"/>
        <v>0</v>
      </c>
      <c r="AD98" s="34">
        <f t="shared" ca="1" si="69"/>
        <v>0</v>
      </c>
      <c r="AE98" s="34">
        <f t="shared" ca="1" si="69"/>
        <v>0</v>
      </c>
      <c r="AF98" s="34">
        <f t="shared" ca="1" si="69"/>
        <v>0</v>
      </c>
      <c r="AG98" s="34">
        <f t="shared" ca="1" si="69"/>
        <v>0</v>
      </c>
      <c r="AH98" s="34">
        <f t="shared" ca="1" si="69"/>
        <v>0</v>
      </c>
      <c r="AI98" s="34">
        <f t="shared" ca="1" si="69"/>
        <v>0</v>
      </c>
      <c r="AJ98" s="34">
        <f t="shared" ca="1" si="69"/>
        <v>0</v>
      </c>
      <c r="AK98" s="34">
        <f t="shared" ca="1" si="69"/>
        <v>0</v>
      </c>
      <c r="AL98" s="34">
        <f ca="1">SUM(AL96:AL97)</f>
        <v>0</v>
      </c>
      <c r="AM98" s="34">
        <f ca="1">SUM(AM96:AM97)</f>
        <v>0</v>
      </c>
      <c r="AN98" s="34">
        <f t="shared" ref="AN98:AX98" ca="1" si="70">SUM(AN96:AN97)</f>
        <v>0</v>
      </c>
      <c r="AO98" s="34">
        <f t="shared" ca="1" si="70"/>
        <v>0</v>
      </c>
      <c r="AP98" s="34">
        <f t="shared" ca="1" si="70"/>
        <v>0</v>
      </c>
      <c r="AQ98" s="34">
        <f t="shared" ca="1" si="70"/>
        <v>0</v>
      </c>
      <c r="AR98" s="34">
        <f t="shared" ca="1" si="70"/>
        <v>0</v>
      </c>
      <c r="AS98" s="34">
        <f t="shared" ca="1" si="70"/>
        <v>0</v>
      </c>
      <c r="AT98" s="34">
        <f t="shared" ca="1" si="70"/>
        <v>0</v>
      </c>
      <c r="AU98" s="34">
        <f t="shared" ca="1" si="70"/>
        <v>0</v>
      </c>
      <c r="AV98" s="34">
        <f t="shared" ca="1" si="70"/>
        <v>0</v>
      </c>
      <c r="AW98" s="34">
        <f t="shared" ca="1" si="70"/>
        <v>0</v>
      </c>
      <c r="AX98" s="34">
        <f t="shared" ca="1" si="70"/>
        <v>0</v>
      </c>
      <c r="AY98" s="34">
        <f ca="1">SUM(AY96:AY97)</f>
        <v>0</v>
      </c>
    </row>
    <row r="99" spans="1:51" ht="15.75" hidden="1" customHeight="1" outlineLevel="2">
      <c r="A99" s="1" t="s">
        <v>196</v>
      </c>
      <c r="C99" s="109"/>
      <c r="E99" s="9" t="str">
        <f ca="1">_xll.DBRW(Server&amp;"}ElementAttributes_Indicator",A99,"code_English")</f>
        <v>PL1115_ET_99 - Others (ET)</v>
      </c>
      <c r="F99" s="33">
        <f ca="1">_xll.DBRW($C$1,$C$2,$C$3,$C$4,$C$6,$C$5,$C$7,F$1,F$2,A99)</f>
        <v>0</v>
      </c>
      <c r="G99" s="33">
        <f ca="1">_xll.DBRW($C$1,$C$2,$C$3,$C$4,$C$6,$C$5,$C$7,G$1,G$2,A99)</f>
        <v>0</v>
      </c>
      <c r="H99" s="33">
        <f ca="1">_xll.DBRW($C$1,$C$2,$C$3,$C$4,$C$6,$C$5,$C$7,H$1,H$2,A99)</f>
        <v>0</v>
      </c>
      <c r="I99" s="33">
        <f ca="1">_xll.DBRW($C$1,$C$2,$C$3,$C$4,$C$6,$C$5,$C$7,I$1,I$2,A99)</f>
        <v>0</v>
      </c>
      <c r="J99" s="33">
        <f ca="1">_xll.DBRW($C$1,$C$2,$C$3,$C$4,$C$6,$C$5,$C$7,J$1,J$2,A99)</f>
        <v>0</v>
      </c>
      <c r="K99" s="33">
        <f ca="1">_xll.DBRW($C$1,$C$2,$C$3,$C$4,$C$6,$C$5,$C$7,K$1,K$2,A99)</f>
        <v>0</v>
      </c>
      <c r="L99" s="33">
        <f ca="1">_xll.DBRW($C$1,$C$2,$C$3,$C$4,$C$6,$C$5,$C$7,L$1,L$2,A99)</f>
        <v>0</v>
      </c>
      <c r="M99" s="33">
        <f ca="1">_xll.DBRW($C$1,$C$2,$C$3,$C$4,$C$6,$C$5,$C$7,M$1,M$2,A99)</f>
        <v>0</v>
      </c>
      <c r="N99" s="33">
        <f ca="1">_xll.DBRW($C$1,$C$2,$C$3,$C$4,$C$6,$C$5,$C$7,N$1,N$2,A99)</f>
        <v>0</v>
      </c>
      <c r="O99" s="33">
        <f ca="1">_xll.DBRW($C$1,$C$2,$C$3,$C$4,$C$6,$C$5,$C$7,O$1,O$2,A99)</f>
        <v>0</v>
      </c>
      <c r="P99" s="33">
        <f ca="1">_xll.DBRW($C$1,$C$2,$C$3,$C$4,$C$6,$C$5,$C$7,P$1,P$2,A99)</f>
        <v>0</v>
      </c>
      <c r="Q99" s="33">
        <f ca="1">_xll.DBRW($C$1,$C$2,$C$3,$C$4,$C$6,$C$5,$C$7,Q$1,Q$2,A99)</f>
        <v>0</v>
      </c>
      <c r="R99" s="33">
        <f ca="1">_xll.DBRW($C$1,$C$2,$C$3,$C$4,$C$6,$C$5,$C$7,R$1,R$2,A99)</f>
        <v>0</v>
      </c>
      <c r="S99" s="33">
        <f ca="1">_xll.DBRW($C$1,$C$2,$C$3,$C$4,$C$6,$C$5,$C$7,S$1,S$2,A99)</f>
        <v>0</v>
      </c>
      <c r="T99" s="33">
        <f ca="1">_xll.DBRW($C$1,$C$2,$C$3,$C$4,$C$6,$C$5,$C$7,T$1,T$2,A99)</f>
        <v>0</v>
      </c>
      <c r="U99" s="33">
        <f ca="1">_xll.DBRW($C$1,$C$2,$C$3,$C$4,$C$6,$C$5,$C$7,U$1,U$2,A99)</f>
        <v>0</v>
      </c>
      <c r="V99" s="33">
        <f ca="1">_xll.DBRW($C$1,$C$2,$C$3,$C$4,$C$6,$C$5,$C$7,V$1,V$2,A99)</f>
        <v>0</v>
      </c>
      <c r="W99" s="33">
        <f ca="1">_xll.DBRW($C$1,$C$2,$C$3,$C$4,$C$6,$C$5,$C$7,W$1,W$2,A99)</f>
        <v>0</v>
      </c>
      <c r="X99" s="33">
        <f ca="1">_xll.DBRW($C$1,$C$2,$C$3,$C$4,$C$6,$C$5,$C$7,X$1,X$2,A99)</f>
        <v>0</v>
      </c>
      <c r="Y99" s="33">
        <f ca="1">_xll.DBRW($C$1,$C$2,$C$3,$C$4,$C$6,$C$5,$C$7,Y$1,Y$2,A99)</f>
        <v>0</v>
      </c>
      <c r="Z99" s="33">
        <f ca="1">_xll.DBRW($C$1,$C$2,$C$3,$C$4,$C$6,$C$5,$C$7,Z$1,Z$2,A99)</f>
        <v>0</v>
      </c>
      <c r="AA99" s="33">
        <f ca="1">_xll.DBRW($C$1,$C$2,$C$3,$C$4,$C$6,$C$5,$C$7,AA$1,AA$2,A99)</f>
        <v>0</v>
      </c>
      <c r="AB99" s="33">
        <f ca="1">_xll.DBRW($C$1,$C$2,$C$3,$C$4,$C$6,$C$5,$C$7,AB$1,AB$2,A99)</f>
        <v>0</v>
      </c>
      <c r="AC99" s="33">
        <f ca="1">_xll.DBRW($C$1,$C$2,$C$3,$C$4,$C$6,$C$5,$C$7,AC$1,AC$2,A99)</f>
        <v>0</v>
      </c>
      <c r="AD99" s="33">
        <f ca="1">_xll.DBRW($C$1,$C$2,$C$3,$C$4,$C$6,$C$5,$C$7,AD$1,AD$2,A99)</f>
        <v>0</v>
      </c>
      <c r="AE99" s="33">
        <f ca="1">_xll.DBRW($C$1,$C$2,$C$3,$C$4,$C$6,$C$5,$C$7,AE$1,AE$2,A99)</f>
        <v>0</v>
      </c>
      <c r="AF99" s="33">
        <f ca="1">_xll.DBRW($C$1,$C$2,$C$3,$C$4,$C$6,$C$5,$C$7,AF$1,AF$2,A99)</f>
        <v>0</v>
      </c>
      <c r="AG99" s="33">
        <f ca="1">_xll.DBRW($C$1,$C$2,$C$3,$C$4,$C$6,$C$5,$C$7,AG$1,AG$2,A99)</f>
        <v>0</v>
      </c>
      <c r="AH99" s="33">
        <f ca="1">_xll.DBRW($C$1,$C$2,$C$3,$C$4,$C$6,$C$5,$C$7,AH$1,AH$2,A99)</f>
        <v>0</v>
      </c>
      <c r="AI99" s="33">
        <f ca="1">_xll.DBRW($C$1,$C$2,$C$3,$C$4,$C$6,$C$5,$C$7,AI$1,AI$2,A99)</f>
        <v>0</v>
      </c>
      <c r="AJ99" s="33">
        <f ca="1">_xll.DBRW($C$1,$C$2,$C$3,$C$4,$C$6,$C$5,$C$7,AJ$1,AJ$2,A99)</f>
        <v>0</v>
      </c>
      <c r="AK99" s="33">
        <f ca="1">_xll.DBRW($C$1,$C$2,$C$3,$C$4,$C$6,$C$5,$C$7,AK$1,AK$2,A99)</f>
        <v>0</v>
      </c>
      <c r="AL99" s="33">
        <f ca="1">_xll.DBRW($C$1,$C$2,$C$3,$C$4,$C$6,$C$5,$C$7,AL$1,AL$2,A99)</f>
        <v>0</v>
      </c>
      <c r="AM99" s="33">
        <f ca="1">_xll.DBRW($C$1,$C$2,$C$3,$C$4,$C$6,$C$5,$C$7,AM$1,AM$2,A99)</f>
        <v>0</v>
      </c>
      <c r="AN99" s="33">
        <f ca="1">_xll.DBRW($C$1,$C$2,$C$3,$C$4,$C$6,$C$5,$C$7,AN$1,AN$2,A99)</f>
        <v>0</v>
      </c>
      <c r="AO99" s="33">
        <f ca="1">_xll.DBRW($C$1,$C$2,$C$3,$C$4,$C$6,$C$5,$C$7,AO$1,AO$2,A99)</f>
        <v>0</v>
      </c>
      <c r="AP99" s="33">
        <f ca="1">_xll.DBRW($C$1,$C$2,$C$3,$C$4,$C$6,$C$5,$C$7,AP$1,AP$2,A99)</f>
        <v>0</v>
      </c>
      <c r="AQ99" s="33">
        <f ca="1">_xll.DBRW($C$1,$C$2,$C$3,$C$4,$C$6,$C$5,$C$7,AQ$1,AQ$2,A99)</f>
        <v>0</v>
      </c>
      <c r="AR99" s="33">
        <f ca="1">_xll.DBRW($C$1,$C$2,$C$3,$C$4,$C$6,$C$5,$C$7,AR$1,AR$2,A99)</f>
        <v>0</v>
      </c>
      <c r="AS99" s="33">
        <f ca="1">_xll.DBRW($C$1,$C$2,$C$3,$C$4,$C$6,$C$5,$C$7,AS$1,AS$2,A99)</f>
        <v>0</v>
      </c>
      <c r="AT99" s="33">
        <f ca="1">_xll.DBRW($C$1,$C$2,$C$3,$C$4,$C$6,$C$5,$C$7,AT$1,AT$2,A99)</f>
        <v>0</v>
      </c>
      <c r="AU99" s="33">
        <f ca="1">_xll.DBRW($C$1,$C$2,$C$3,$C$4,$C$6,$C$5,$C$7,AU$1,AU$2,A99)</f>
        <v>0</v>
      </c>
      <c r="AV99" s="33">
        <f ca="1">_xll.DBRW($C$1,$C$2,$C$3,$C$4,$C$6,$C$5,$C$7,AV$1,AV$2,A99)</f>
        <v>0</v>
      </c>
      <c r="AW99" s="33">
        <f ca="1">_xll.DBRW($C$1,$C$2,$C$3,$C$4,$C$6,$C$5,$C$7,AW$1,AW$2,A99)</f>
        <v>0</v>
      </c>
      <c r="AX99" s="33">
        <f ca="1">_xll.DBRW($C$1,$C$2,$C$3,$C$4,$C$6,$C$5,$C$7,AX$1,AX$2,A99)</f>
        <v>0</v>
      </c>
      <c r="AY99" s="33">
        <f ca="1">_xll.DBRW($C$1,$C$2,$C$3,$C$4,$C$6,$C$5,$C$7,AY$1,AY$2,A99)</f>
        <v>0</v>
      </c>
    </row>
    <row r="100" spans="1:51" ht="15.75" hidden="1" customHeight="1" outlineLevel="2">
      <c r="A100" s="1" t="s">
        <v>197</v>
      </c>
      <c r="C100" s="109"/>
      <c r="E100" s="9" t="str">
        <f ca="1">_xll.DBRW(Server&amp;"}ElementAttributes_Indicator",A100,"code_English")</f>
        <v>PL1155_ET_99 - Reinvoicing - Others (ET)</v>
      </c>
      <c r="F100" s="33">
        <f ca="1">_xll.DBRW($C$1,$C$2,$C$3,$C$4,$C$6,$C$5,$C$7,F$1,F$2,A100)</f>
        <v>0</v>
      </c>
      <c r="G100" s="33">
        <f ca="1">_xll.DBRW($C$1,$C$2,$C$3,$C$4,$C$6,$C$5,$C$7,G$1,G$2,A100)</f>
        <v>0</v>
      </c>
      <c r="H100" s="33">
        <f ca="1">_xll.DBRW($C$1,$C$2,$C$3,$C$4,$C$6,$C$5,$C$7,H$1,H$2,A100)</f>
        <v>0</v>
      </c>
      <c r="I100" s="33">
        <f ca="1">_xll.DBRW($C$1,$C$2,$C$3,$C$4,$C$6,$C$5,$C$7,I$1,I$2,A100)</f>
        <v>0</v>
      </c>
      <c r="J100" s="33">
        <f ca="1">_xll.DBRW($C$1,$C$2,$C$3,$C$4,$C$6,$C$5,$C$7,J$1,J$2,A100)</f>
        <v>0</v>
      </c>
      <c r="K100" s="33">
        <f ca="1">_xll.DBRW($C$1,$C$2,$C$3,$C$4,$C$6,$C$5,$C$7,K$1,K$2,A100)</f>
        <v>0</v>
      </c>
      <c r="L100" s="33">
        <f ca="1">_xll.DBRW($C$1,$C$2,$C$3,$C$4,$C$6,$C$5,$C$7,L$1,L$2,A100)</f>
        <v>0</v>
      </c>
      <c r="M100" s="33">
        <f ca="1">_xll.DBRW($C$1,$C$2,$C$3,$C$4,$C$6,$C$5,$C$7,M$1,M$2,A100)</f>
        <v>0</v>
      </c>
      <c r="N100" s="33">
        <f ca="1">_xll.DBRW($C$1,$C$2,$C$3,$C$4,$C$6,$C$5,$C$7,N$1,N$2,A100)</f>
        <v>0</v>
      </c>
      <c r="O100" s="33">
        <f ca="1">_xll.DBRW($C$1,$C$2,$C$3,$C$4,$C$6,$C$5,$C$7,O$1,O$2,A100)</f>
        <v>0</v>
      </c>
      <c r="P100" s="33">
        <f ca="1">_xll.DBRW($C$1,$C$2,$C$3,$C$4,$C$6,$C$5,$C$7,P$1,P$2,A100)</f>
        <v>0</v>
      </c>
      <c r="Q100" s="33">
        <f ca="1">_xll.DBRW($C$1,$C$2,$C$3,$C$4,$C$6,$C$5,$C$7,Q$1,Q$2,A100)</f>
        <v>0</v>
      </c>
      <c r="R100" s="33">
        <f ca="1">_xll.DBRW($C$1,$C$2,$C$3,$C$4,$C$6,$C$5,$C$7,R$1,R$2,A100)</f>
        <v>0</v>
      </c>
      <c r="S100" s="33">
        <f ca="1">_xll.DBRW($C$1,$C$2,$C$3,$C$4,$C$6,$C$5,$C$7,S$1,S$2,A100)</f>
        <v>0</v>
      </c>
      <c r="T100" s="33">
        <f ca="1">_xll.DBRW($C$1,$C$2,$C$3,$C$4,$C$6,$C$5,$C$7,T$1,T$2,A100)</f>
        <v>0</v>
      </c>
      <c r="U100" s="33">
        <f ca="1">_xll.DBRW($C$1,$C$2,$C$3,$C$4,$C$6,$C$5,$C$7,U$1,U$2,A100)</f>
        <v>0</v>
      </c>
      <c r="V100" s="33">
        <f ca="1">_xll.DBRW($C$1,$C$2,$C$3,$C$4,$C$6,$C$5,$C$7,V$1,V$2,A100)</f>
        <v>0</v>
      </c>
      <c r="W100" s="33">
        <f ca="1">_xll.DBRW($C$1,$C$2,$C$3,$C$4,$C$6,$C$5,$C$7,W$1,W$2,A100)</f>
        <v>0</v>
      </c>
      <c r="X100" s="33">
        <f ca="1">_xll.DBRW($C$1,$C$2,$C$3,$C$4,$C$6,$C$5,$C$7,X$1,X$2,A100)</f>
        <v>0</v>
      </c>
      <c r="Y100" s="33">
        <f ca="1">_xll.DBRW($C$1,$C$2,$C$3,$C$4,$C$6,$C$5,$C$7,Y$1,Y$2,A100)</f>
        <v>0</v>
      </c>
      <c r="Z100" s="33">
        <f ca="1">_xll.DBRW($C$1,$C$2,$C$3,$C$4,$C$6,$C$5,$C$7,Z$1,Z$2,A100)</f>
        <v>0</v>
      </c>
      <c r="AA100" s="33">
        <f ca="1">_xll.DBRW($C$1,$C$2,$C$3,$C$4,$C$6,$C$5,$C$7,AA$1,AA$2,A100)</f>
        <v>0</v>
      </c>
      <c r="AB100" s="33">
        <f ca="1">_xll.DBRW($C$1,$C$2,$C$3,$C$4,$C$6,$C$5,$C$7,AB$1,AB$2,A100)</f>
        <v>0</v>
      </c>
      <c r="AC100" s="33">
        <f ca="1">_xll.DBRW($C$1,$C$2,$C$3,$C$4,$C$6,$C$5,$C$7,AC$1,AC$2,A100)</f>
        <v>0</v>
      </c>
      <c r="AD100" s="33">
        <f ca="1">_xll.DBRW($C$1,$C$2,$C$3,$C$4,$C$6,$C$5,$C$7,AD$1,AD$2,A100)</f>
        <v>0</v>
      </c>
      <c r="AE100" s="33">
        <f ca="1">_xll.DBRW($C$1,$C$2,$C$3,$C$4,$C$6,$C$5,$C$7,AE$1,AE$2,A100)</f>
        <v>0</v>
      </c>
      <c r="AF100" s="33">
        <f ca="1">_xll.DBRW($C$1,$C$2,$C$3,$C$4,$C$6,$C$5,$C$7,AF$1,AF$2,A100)</f>
        <v>0</v>
      </c>
      <c r="AG100" s="33">
        <f ca="1">_xll.DBRW($C$1,$C$2,$C$3,$C$4,$C$6,$C$5,$C$7,AG$1,AG$2,A100)</f>
        <v>0</v>
      </c>
      <c r="AH100" s="33">
        <f ca="1">_xll.DBRW($C$1,$C$2,$C$3,$C$4,$C$6,$C$5,$C$7,AH$1,AH$2,A100)</f>
        <v>0</v>
      </c>
      <c r="AI100" s="33">
        <f ca="1">_xll.DBRW($C$1,$C$2,$C$3,$C$4,$C$6,$C$5,$C$7,AI$1,AI$2,A100)</f>
        <v>0</v>
      </c>
      <c r="AJ100" s="33">
        <f ca="1">_xll.DBRW($C$1,$C$2,$C$3,$C$4,$C$6,$C$5,$C$7,AJ$1,AJ$2,A100)</f>
        <v>0</v>
      </c>
      <c r="AK100" s="33">
        <f ca="1">_xll.DBRW($C$1,$C$2,$C$3,$C$4,$C$6,$C$5,$C$7,AK$1,AK$2,A100)</f>
        <v>0</v>
      </c>
      <c r="AL100" s="33">
        <f ca="1">_xll.DBRW($C$1,$C$2,$C$3,$C$4,$C$6,$C$5,$C$7,AL$1,AL$2,A100)</f>
        <v>0</v>
      </c>
      <c r="AM100" s="33">
        <f ca="1">_xll.DBRW($C$1,$C$2,$C$3,$C$4,$C$6,$C$5,$C$7,AM$1,AM$2,A100)</f>
        <v>0</v>
      </c>
      <c r="AN100" s="33">
        <f ca="1">_xll.DBRW($C$1,$C$2,$C$3,$C$4,$C$6,$C$5,$C$7,AN$1,AN$2,A100)</f>
        <v>0</v>
      </c>
      <c r="AO100" s="33">
        <f ca="1">_xll.DBRW($C$1,$C$2,$C$3,$C$4,$C$6,$C$5,$C$7,AO$1,AO$2,A100)</f>
        <v>0</v>
      </c>
      <c r="AP100" s="33">
        <f ca="1">_xll.DBRW($C$1,$C$2,$C$3,$C$4,$C$6,$C$5,$C$7,AP$1,AP$2,A100)</f>
        <v>0</v>
      </c>
      <c r="AQ100" s="33">
        <f ca="1">_xll.DBRW($C$1,$C$2,$C$3,$C$4,$C$6,$C$5,$C$7,AQ$1,AQ$2,A100)</f>
        <v>0</v>
      </c>
      <c r="AR100" s="33">
        <f ca="1">_xll.DBRW($C$1,$C$2,$C$3,$C$4,$C$6,$C$5,$C$7,AR$1,AR$2,A100)</f>
        <v>0</v>
      </c>
      <c r="AS100" s="33">
        <f ca="1">_xll.DBRW($C$1,$C$2,$C$3,$C$4,$C$6,$C$5,$C$7,AS$1,AS$2,A100)</f>
        <v>0</v>
      </c>
      <c r="AT100" s="33">
        <f ca="1">_xll.DBRW($C$1,$C$2,$C$3,$C$4,$C$6,$C$5,$C$7,AT$1,AT$2,A100)</f>
        <v>0</v>
      </c>
      <c r="AU100" s="33">
        <f ca="1">_xll.DBRW($C$1,$C$2,$C$3,$C$4,$C$6,$C$5,$C$7,AU$1,AU$2,A100)</f>
        <v>0</v>
      </c>
      <c r="AV100" s="33">
        <f ca="1">_xll.DBRW($C$1,$C$2,$C$3,$C$4,$C$6,$C$5,$C$7,AV$1,AV$2,A100)</f>
        <v>0</v>
      </c>
      <c r="AW100" s="33">
        <f ca="1">_xll.DBRW($C$1,$C$2,$C$3,$C$4,$C$6,$C$5,$C$7,AW$1,AW$2,A100)</f>
        <v>0</v>
      </c>
      <c r="AX100" s="33">
        <f ca="1">_xll.DBRW($C$1,$C$2,$C$3,$C$4,$C$6,$C$5,$C$7,AX$1,AX$2,A100)</f>
        <v>0</v>
      </c>
      <c r="AY100" s="33">
        <f ca="1">_xll.DBRW($C$1,$C$2,$C$3,$C$4,$C$6,$C$5,$C$7,AY$1,AY$2,A100)</f>
        <v>0</v>
      </c>
    </row>
    <row r="101" spans="1:51" ht="15.5" hidden="1" outlineLevel="1" collapsed="1">
      <c r="A101" s="1" t="s">
        <v>142</v>
      </c>
      <c r="C101" s="109"/>
      <c r="E101" s="14" t="s">
        <v>35</v>
      </c>
      <c r="F101" s="33">
        <f t="shared" ref="F101:M101" ca="1" si="71">SUM(F99:F100)</f>
        <v>0</v>
      </c>
      <c r="G101" s="33">
        <f t="shared" ca="1" si="71"/>
        <v>0</v>
      </c>
      <c r="H101" s="33">
        <f t="shared" ca="1" si="71"/>
        <v>0</v>
      </c>
      <c r="I101" s="33">
        <f t="shared" ca="1" si="71"/>
        <v>0</v>
      </c>
      <c r="J101" s="33">
        <f t="shared" ca="1" si="71"/>
        <v>0</v>
      </c>
      <c r="K101" s="33">
        <f t="shared" ca="1" si="71"/>
        <v>0</v>
      </c>
      <c r="L101" s="33">
        <f t="shared" ca="1" si="71"/>
        <v>0</v>
      </c>
      <c r="M101" s="33">
        <f t="shared" ca="1" si="71"/>
        <v>0</v>
      </c>
      <c r="N101" s="33">
        <f t="shared" ref="N101:X101" ca="1" si="72">SUM(N99:N100)</f>
        <v>0</v>
      </c>
      <c r="O101" s="33">
        <f t="shared" ca="1" si="72"/>
        <v>0</v>
      </c>
      <c r="P101" s="33">
        <f t="shared" ca="1" si="72"/>
        <v>0</v>
      </c>
      <c r="Q101" s="33">
        <f t="shared" ca="1" si="72"/>
        <v>0</v>
      </c>
      <c r="R101" s="33">
        <f t="shared" ca="1" si="72"/>
        <v>0</v>
      </c>
      <c r="S101" s="33">
        <f t="shared" ca="1" si="72"/>
        <v>0</v>
      </c>
      <c r="T101" s="33">
        <f t="shared" ca="1" si="72"/>
        <v>0</v>
      </c>
      <c r="U101" s="33">
        <f t="shared" ca="1" si="72"/>
        <v>0</v>
      </c>
      <c r="V101" s="33">
        <f t="shared" ca="1" si="72"/>
        <v>0</v>
      </c>
      <c r="W101" s="33">
        <f t="shared" ca="1" si="72"/>
        <v>0</v>
      </c>
      <c r="X101" s="33">
        <f t="shared" ca="1" si="72"/>
        <v>0</v>
      </c>
      <c r="Y101" s="33">
        <f ca="1">SUM(Y99:Y100)</f>
        <v>0</v>
      </c>
      <c r="Z101" s="33">
        <f ca="1">SUM(Z99:Z100)</f>
        <v>0</v>
      </c>
      <c r="AA101" s="33">
        <f t="shared" ref="AA101:AK101" ca="1" si="73">SUM(AA99:AA100)</f>
        <v>0</v>
      </c>
      <c r="AB101" s="33">
        <f t="shared" ca="1" si="73"/>
        <v>0</v>
      </c>
      <c r="AC101" s="33">
        <f t="shared" ca="1" si="73"/>
        <v>0</v>
      </c>
      <c r="AD101" s="33">
        <f t="shared" ca="1" si="73"/>
        <v>0</v>
      </c>
      <c r="AE101" s="33">
        <f t="shared" ca="1" si="73"/>
        <v>0</v>
      </c>
      <c r="AF101" s="33">
        <f t="shared" ca="1" si="73"/>
        <v>0</v>
      </c>
      <c r="AG101" s="33">
        <f t="shared" ca="1" si="73"/>
        <v>0</v>
      </c>
      <c r="AH101" s="33">
        <f t="shared" ca="1" si="73"/>
        <v>0</v>
      </c>
      <c r="AI101" s="33">
        <f t="shared" ca="1" si="73"/>
        <v>0</v>
      </c>
      <c r="AJ101" s="33">
        <f t="shared" ca="1" si="73"/>
        <v>0</v>
      </c>
      <c r="AK101" s="33">
        <f t="shared" ca="1" si="73"/>
        <v>0</v>
      </c>
      <c r="AL101" s="33">
        <f ca="1">SUM(AL99:AL100)</f>
        <v>0</v>
      </c>
      <c r="AM101" s="33">
        <f ca="1">SUM(AM99:AM100)</f>
        <v>0</v>
      </c>
      <c r="AN101" s="33">
        <f t="shared" ref="AN101:AX101" ca="1" si="74">SUM(AN99:AN100)</f>
        <v>0</v>
      </c>
      <c r="AO101" s="33">
        <f t="shared" ca="1" si="74"/>
        <v>0</v>
      </c>
      <c r="AP101" s="33">
        <f t="shared" ca="1" si="74"/>
        <v>0</v>
      </c>
      <c r="AQ101" s="33">
        <f t="shared" ca="1" si="74"/>
        <v>0</v>
      </c>
      <c r="AR101" s="33">
        <f t="shared" ca="1" si="74"/>
        <v>0</v>
      </c>
      <c r="AS101" s="33">
        <f t="shared" ca="1" si="74"/>
        <v>0</v>
      </c>
      <c r="AT101" s="33">
        <f t="shared" ca="1" si="74"/>
        <v>0</v>
      </c>
      <c r="AU101" s="33">
        <f t="shared" ca="1" si="74"/>
        <v>0</v>
      </c>
      <c r="AV101" s="33">
        <f t="shared" ca="1" si="74"/>
        <v>0</v>
      </c>
      <c r="AW101" s="33">
        <f t="shared" ca="1" si="74"/>
        <v>0</v>
      </c>
      <c r="AX101" s="33">
        <f t="shared" ca="1" si="74"/>
        <v>0</v>
      </c>
      <c r="AY101" s="33">
        <f ca="1">SUM(AY99:AY100)</f>
        <v>0</v>
      </c>
    </row>
    <row r="102" spans="1:51" ht="15.5" collapsed="1">
      <c r="A102" s="1" t="s">
        <v>142</v>
      </c>
      <c r="C102" s="109"/>
      <c r="E102" s="11" t="s">
        <v>36</v>
      </c>
      <c r="F102" s="35">
        <f t="shared" ref="F102:L102" ca="1" si="75">F87+F92+F95+F98+F101</f>
        <v>0</v>
      </c>
      <c r="G102" s="35">
        <f t="shared" ca="1" si="75"/>
        <v>0</v>
      </c>
      <c r="H102" s="35">
        <f t="shared" ca="1" si="75"/>
        <v>0</v>
      </c>
      <c r="I102" s="35">
        <f t="shared" ca="1" si="75"/>
        <v>0</v>
      </c>
      <c r="J102" s="35">
        <f t="shared" ca="1" si="75"/>
        <v>0</v>
      </c>
      <c r="K102" s="35">
        <f t="shared" ca="1" si="75"/>
        <v>0</v>
      </c>
      <c r="L102" s="35">
        <f t="shared" ca="1" si="75"/>
        <v>0</v>
      </c>
      <c r="M102" s="35">
        <f t="shared" ref="M102:X102" ca="1" si="76">M87+M92+M95+M98+M101</f>
        <v>0</v>
      </c>
      <c r="N102" s="35">
        <f t="shared" ca="1" si="76"/>
        <v>0</v>
      </c>
      <c r="O102" s="35">
        <f t="shared" ca="1" si="76"/>
        <v>0</v>
      </c>
      <c r="P102" s="35">
        <f t="shared" ca="1" si="76"/>
        <v>0</v>
      </c>
      <c r="Q102" s="35">
        <f t="shared" ca="1" si="76"/>
        <v>0</v>
      </c>
      <c r="R102" s="35">
        <f t="shared" ca="1" si="76"/>
        <v>0</v>
      </c>
      <c r="S102" s="35">
        <f t="shared" ca="1" si="76"/>
        <v>0</v>
      </c>
      <c r="T102" s="35">
        <f t="shared" ca="1" si="76"/>
        <v>0</v>
      </c>
      <c r="U102" s="35">
        <f t="shared" ca="1" si="76"/>
        <v>0</v>
      </c>
      <c r="V102" s="35">
        <f t="shared" ca="1" si="76"/>
        <v>0</v>
      </c>
      <c r="W102" s="35">
        <f t="shared" ca="1" si="76"/>
        <v>0</v>
      </c>
      <c r="X102" s="35">
        <f t="shared" ca="1" si="76"/>
        <v>0</v>
      </c>
      <c r="Y102" s="35">
        <f ca="1">Y87+Y92+Y95+Y98+Y101</f>
        <v>0</v>
      </c>
      <c r="Z102" s="35">
        <f t="shared" ref="Z102:AK102" ca="1" si="77">Z87+Z92+Z95+Z98+Z101</f>
        <v>0</v>
      </c>
      <c r="AA102" s="35">
        <f t="shared" ca="1" si="77"/>
        <v>0</v>
      </c>
      <c r="AB102" s="35">
        <f t="shared" ca="1" si="77"/>
        <v>0</v>
      </c>
      <c r="AC102" s="35">
        <f t="shared" ca="1" si="77"/>
        <v>0</v>
      </c>
      <c r="AD102" s="35">
        <f t="shared" ca="1" si="77"/>
        <v>0</v>
      </c>
      <c r="AE102" s="35">
        <f t="shared" ca="1" si="77"/>
        <v>0</v>
      </c>
      <c r="AF102" s="35">
        <f t="shared" ca="1" si="77"/>
        <v>0</v>
      </c>
      <c r="AG102" s="35">
        <f t="shared" ca="1" si="77"/>
        <v>0</v>
      </c>
      <c r="AH102" s="35">
        <f t="shared" ca="1" si="77"/>
        <v>0</v>
      </c>
      <c r="AI102" s="35">
        <f t="shared" ca="1" si="77"/>
        <v>0</v>
      </c>
      <c r="AJ102" s="35">
        <f t="shared" ca="1" si="77"/>
        <v>0</v>
      </c>
      <c r="AK102" s="35">
        <f t="shared" ca="1" si="77"/>
        <v>0</v>
      </c>
      <c r="AL102" s="35">
        <f ca="1">AL87+AL92+AL95+AL98+AL101</f>
        <v>0</v>
      </c>
      <c r="AM102" s="35">
        <f t="shared" ref="AM102:AX102" ca="1" si="78">AM87+AM92+AM95+AM98+AM101</f>
        <v>0</v>
      </c>
      <c r="AN102" s="35">
        <f t="shared" ca="1" si="78"/>
        <v>0</v>
      </c>
      <c r="AO102" s="35">
        <f t="shared" ca="1" si="78"/>
        <v>0</v>
      </c>
      <c r="AP102" s="35">
        <f t="shared" ca="1" si="78"/>
        <v>0</v>
      </c>
      <c r="AQ102" s="35">
        <f t="shared" ca="1" si="78"/>
        <v>0</v>
      </c>
      <c r="AR102" s="35">
        <f t="shared" ca="1" si="78"/>
        <v>0</v>
      </c>
      <c r="AS102" s="35">
        <f t="shared" ca="1" si="78"/>
        <v>0</v>
      </c>
      <c r="AT102" s="35">
        <f t="shared" ca="1" si="78"/>
        <v>0</v>
      </c>
      <c r="AU102" s="35">
        <f t="shared" ca="1" si="78"/>
        <v>0</v>
      </c>
      <c r="AV102" s="35">
        <f t="shared" ca="1" si="78"/>
        <v>0</v>
      </c>
      <c r="AW102" s="35">
        <f t="shared" ca="1" si="78"/>
        <v>0</v>
      </c>
      <c r="AX102" s="35">
        <f t="shared" ca="1" si="78"/>
        <v>0</v>
      </c>
      <c r="AY102" s="35">
        <f ca="1">AY87+AY92+AY95+AY98+AY101</f>
        <v>0</v>
      </c>
    </row>
    <row r="103" spans="1:51" ht="15.75" hidden="1" customHeight="1" outlineLevel="1">
      <c r="A103" s="1" t="s">
        <v>198</v>
      </c>
      <c r="C103" s="109"/>
      <c r="E103" s="9" t="str">
        <f ca="1">_xll.DBRW(Server&amp;"}ElementAttributes_Indicator",A103,"code_English")</f>
        <v>PL1115_FL_55 - Operating lease (FL)</v>
      </c>
      <c r="F103" s="32">
        <f ca="1">_xll.DBRW($C$1,$C$2,$C$3,$C$4,$C$6,$C$5,$C$7,F$1,F$2,A103)</f>
        <v>0</v>
      </c>
      <c r="G103" s="32">
        <f ca="1">_xll.DBRW($C$1,$C$2,$C$3,$C$4,$C$6,$C$5,$C$7,G$1,G$2,A103)</f>
        <v>0</v>
      </c>
      <c r="H103" s="32">
        <f ca="1">_xll.DBRW($C$1,$C$2,$C$3,$C$4,$C$6,$C$5,$C$7,H$1,H$2,A103)</f>
        <v>0</v>
      </c>
      <c r="I103" s="32">
        <f ca="1">_xll.DBRW($C$1,$C$2,$C$3,$C$4,$C$6,$C$5,$C$7,I$1,I$2,A103)</f>
        <v>0</v>
      </c>
      <c r="J103" s="32">
        <f ca="1">_xll.DBRW($C$1,$C$2,$C$3,$C$4,$C$6,$C$5,$C$7,J$1,J$2,A103)</f>
        <v>0</v>
      </c>
      <c r="K103" s="32">
        <f ca="1">_xll.DBRW($C$1,$C$2,$C$3,$C$4,$C$6,$C$5,$C$7,K$1,K$2,A103)</f>
        <v>0</v>
      </c>
      <c r="L103" s="32">
        <f ca="1">_xll.DBRW($C$1,$C$2,$C$3,$C$4,$C$6,$C$5,$C$7,L$1,L$2,A103)</f>
        <v>0</v>
      </c>
      <c r="M103" s="32">
        <f ca="1">_xll.DBRW($C$1,$C$2,$C$3,$C$4,$C$6,$C$5,$C$7,M$1,M$2,A103)</f>
        <v>0</v>
      </c>
      <c r="N103" s="32">
        <f ca="1">_xll.DBRW($C$1,$C$2,$C$3,$C$4,$C$6,$C$5,$C$7,N$1,N$2,A103)</f>
        <v>0</v>
      </c>
      <c r="O103" s="32">
        <f ca="1">_xll.DBRW($C$1,$C$2,$C$3,$C$4,$C$6,$C$5,$C$7,O$1,O$2,A103)</f>
        <v>0</v>
      </c>
      <c r="P103" s="32">
        <f ca="1">_xll.DBRW($C$1,$C$2,$C$3,$C$4,$C$6,$C$5,$C$7,P$1,P$2,A103)</f>
        <v>0</v>
      </c>
      <c r="Q103" s="32">
        <f ca="1">_xll.DBRW($C$1,$C$2,$C$3,$C$4,$C$6,$C$5,$C$7,Q$1,Q$2,A103)</f>
        <v>0</v>
      </c>
      <c r="R103" s="32">
        <f ca="1">_xll.DBRW($C$1,$C$2,$C$3,$C$4,$C$6,$C$5,$C$7,R$1,R$2,A103)</f>
        <v>0</v>
      </c>
      <c r="S103" s="32">
        <f ca="1">_xll.DBRW($C$1,$C$2,$C$3,$C$4,$C$6,$C$5,$C$7,S$1,S$2,A103)</f>
        <v>0</v>
      </c>
      <c r="T103" s="32">
        <f ca="1">_xll.DBRW($C$1,$C$2,$C$3,$C$4,$C$6,$C$5,$C$7,T$1,T$2,A103)</f>
        <v>0</v>
      </c>
      <c r="U103" s="32">
        <f ca="1">_xll.DBRW($C$1,$C$2,$C$3,$C$4,$C$6,$C$5,$C$7,U$1,U$2,A103)</f>
        <v>0</v>
      </c>
      <c r="V103" s="32">
        <f ca="1">_xll.DBRW($C$1,$C$2,$C$3,$C$4,$C$6,$C$5,$C$7,V$1,V$2,A103)</f>
        <v>0</v>
      </c>
      <c r="W103" s="32">
        <f ca="1">_xll.DBRW($C$1,$C$2,$C$3,$C$4,$C$6,$C$5,$C$7,W$1,W$2,A103)</f>
        <v>0</v>
      </c>
      <c r="X103" s="32">
        <f ca="1">_xll.DBRW($C$1,$C$2,$C$3,$C$4,$C$6,$C$5,$C$7,X$1,X$2,A103)</f>
        <v>0</v>
      </c>
      <c r="Y103" s="32">
        <f ca="1">_xll.DBRW($C$1,$C$2,$C$3,$C$4,$C$6,$C$5,$C$7,Y$1,Y$2,A103)</f>
        <v>0</v>
      </c>
      <c r="Z103" s="32">
        <f ca="1">_xll.DBRW($C$1,$C$2,$C$3,$C$4,$C$6,$C$5,$C$7,Z$1,Z$2,A103)</f>
        <v>0</v>
      </c>
      <c r="AA103" s="32">
        <f ca="1">_xll.DBRW($C$1,$C$2,$C$3,$C$4,$C$6,$C$5,$C$7,AA$1,AA$2,A103)</f>
        <v>0</v>
      </c>
      <c r="AB103" s="32">
        <f ca="1">_xll.DBRW($C$1,$C$2,$C$3,$C$4,$C$6,$C$5,$C$7,AB$1,AB$2,A103)</f>
        <v>0</v>
      </c>
      <c r="AC103" s="32">
        <f ca="1">_xll.DBRW($C$1,$C$2,$C$3,$C$4,$C$6,$C$5,$C$7,AC$1,AC$2,A103)</f>
        <v>0</v>
      </c>
      <c r="AD103" s="32">
        <f ca="1">_xll.DBRW($C$1,$C$2,$C$3,$C$4,$C$6,$C$5,$C$7,AD$1,AD$2,A103)</f>
        <v>0</v>
      </c>
      <c r="AE103" s="32">
        <f ca="1">_xll.DBRW($C$1,$C$2,$C$3,$C$4,$C$6,$C$5,$C$7,AE$1,AE$2,A103)</f>
        <v>0</v>
      </c>
      <c r="AF103" s="32">
        <f ca="1">_xll.DBRW($C$1,$C$2,$C$3,$C$4,$C$6,$C$5,$C$7,AF$1,AF$2,A103)</f>
        <v>0</v>
      </c>
      <c r="AG103" s="32">
        <f ca="1">_xll.DBRW($C$1,$C$2,$C$3,$C$4,$C$6,$C$5,$C$7,AG$1,AG$2,A103)</f>
        <v>0</v>
      </c>
      <c r="AH103" s="32">
        <f ca="1">_xll.DBRW($C$1,$C$2,$C$3,$C$4,$C$6,$C$5,$C$7,AH$1,AH$2,A103)</f>
        <v>0</v>
      </c>
      <c r="AI103" s="32">
        <f ca="1">_xll.DBRW($C$1,$C$2,$C$3,$C$4,$C$6,$C$5,$C$7,AI$1,AI$2,A103)</f>
        <v>0</v>
      </c>
      <c r="AJ103" s="32">
        <f ca="1">_xll.DBRW($C$1,$C$2,$C$3,$C$4,$C$6,$C$5,$C$7,AJ$1,AJ$2,A103)</f>
        <v>0</v>
      </c>
      <c r="AK103" s="32">
        <f ca="1">_xll.DBRW($C$1,$C$2,$C$3,$C$4,$C$6,$C$5,$C$7,AK$1,AK$2,A103)</f>
        <v>0</v>
      </c>
      <c r="AL103" s="32">
        <f ca="1">_xll.DBRW($C$1,$C$2,$C$3,$C$4,$C$6,$C$5,$C$7,AL$1,AL$2,A103)</f>
        <v>0</v>
      </c>
      <c r="AM103" s="32">
        <f ca="1">_xll.DBRW($C$1,$C$2,$C$3,$C$4,$C$6,$C$5,$C$7,AM$1,AM$2,A103)</f>
        <v>0</v>
      </c>
      <c r="AN103" s="32">
        <f ca="1">_xll.DBRW($C$1,$C$2,$C$3,$C$4,$C$6,$C$5,$C$7,AN$1,AN$2,A103)</f>
        <v>0</v>
      </c>
      <c r="AO103" s="32">
        <f ca="1">_xll.DBRW($C$1,$C$2,$C$3,$C$4,$C$6,$C$5,$C$7,AO$1,AO$2,A103)</f>
        <v>0</v>
      </c>
      <c r="AP103" s="32">
        <f ca="1">_xll.DBRW($C$1,$C$2,$C$3,$C$4,$C$6,$C$5,$C$7,AP$1,AP$2,A103)</f>
        <v>0</v>
      </c>
      <c r="AQ103" s="32">
        <f ca="1">_xll.DBRW($C$1,$C$2,$C$3,$C$4,$C$6,$C$5,$C$7,AQ$1,AQ$2,A103)</f>
        <v>0</v>
      </c>
      <c r="AR103" s="32">
        <f ca="1">_xll.DBRW($C$1,$C$2,$C$3,$C$4,$C$6,$C$5,$C$7,AR$1,AR$2,A103)</f>
        <v>0</v>
      </c>
      <c r="AS103" s="32">
        <f ca="1">_xll.DBRW($C$1,$C$2,$C$3,$C$4,$C$6,$C$5,$C$7,AS$1,AS$2,A103)</f>
        <v>0</v>
      </c>
      <c r="AT103" s="32">
        <f ca="1">_xll.DBRW($C$1,$C$2,$C$3,$C$4,$C$6,$C$5,$C$7,AT$1,AT$2,A103)</f>
        <v>0</v>
      </c>
      <c r="AU103" s="32">
        <f ca="1">_xll.DBRW($C$1,$C$2,$C$3,$C$4,$C$6,$C$5,$C$7,AU$1,AU$2,A103)</f>
        <v>0</v>
      </c>
      <c r="AV103" s="32">
        <f ca="1">_xll.DBRW($C$1,$C$2,$C$3,$C$4,$C$6,$C$5,$C$7,AV$1,AV$2,A103)</f>
        <v>0</v>
      </c>
      <c r="AW103" s="32">
        <f ca="1">_xll.DBRW($C$1,$C$2,$C$3,$C$4,$C$6,$C$5,$C$7,AW$1,AW$2,A103)</f>
        <v>0</v>
      </c>
      <c r="AX103" s="32">
        <f ca="1">_xll.DBRW($C$1,$C$2,$C$3,$C$4,$C$6,$C$5,$C$7,AX$1,AX$2,A103)</f>
        <v>0</v>
      </c>
      <c r="AY103" s="32">
        <f ca="1">_xll.DBRW($C$1,$C$2,$C$3,$C$4,$C$6,$C$5,$C$7,AY$1,AY$2,A103)</f>
        <v>0</v>
      </c>
    </row>
    <row r="104" spans="1:51" ht="15.75" hidden="1" customHeight="1" outlineLevel="1">
      <c r="A104" s="1" t="s">
        <v>199</v>
      </c>
      <c r="C104" s="109"/>
      <c r="E104" s="9" t="str">
        <f ca="1">_xll.DBRW(Server&amp;"}ElementAttributes_Indicator",A104,"code_English")</f>
        <v>PL1115_FL_56 - Financial lease (FL)</v>
      </c>
      <c r="F104" s="32">
        <f ca="1">_xll.DBRW($C$1,$C$2,$C$3,$C$4,$C$6,$C$5,$C$7,F$1,F$2,A104)</f>
        <v>0</v>
      </c>
      <c r="G104" s="32">
        <f ca="1">_xll.DBRW($C$1,$C$2,$C$3,$C$4,$C$6,$C$5,$C$7,G$1,G$2,A104)</f>
        <v>0</v>
      </c>
      <c r="H104" s="32">
        <f ca="1">_xll.DBRW($C$1,$C$2,$C$3,$C$4,$C$6,$C$5,$C$7,H$1,H$2,A104)</f>
        <v>0</v>
      </c>
      <c r="I104" s="32">
        <f ca="1">_xll.DBRW($C$1,$C$2,$C$3,$C$4,$C$6,$C$5,$C$7,I$1,I$2,A104)</f>
        <v>0</v>
      </c>
      <c r="J104" s="32">
        <f ca="1">_xll.DBRW($C$1,$C$2,$C$3,$C$4,$C$6,$C$5,$C$7,J$1,J$2,A104)</f>
        <v>0</v>
      </c>
      <c r="K104" s="32">
        <f ca="1">_xll.DBRW($C$1,$C$2,$C$3,$C$4,$C$6,$C$5,$C$7,K$1,K$2,A104)</f>
        <v>0</v>
      </c>
      <c r="L104" s="32">
        <f ca="1">_xll.DBRW($C$1,$C$2,$C$3,$C$4,$C$6,$C$5,$C$7,L$1,L$2,A104)</f>
        <v>0</v>
      </c>
      <c r="M104" s="32">
        <f ca="1">_xll.DBRW($C$1,$C$2,$C$3,$C$4,$C$6,$C$5,$C$7,M$1,M$2,A104)</f>
        <v>0</v>
      </c>
      <c r="N104" s="32">
        <f ca="1">_xll.DBRW($C$1,$C$2,$C$3,$C$4,$C$6,$C$5,$C$7,N$1,N$2,A104)</f>
        <v>0</v>
      </c>
      <c r="O104" s="32">
        <f ca="1">_xll.DBRW($C$1,$C$2,$C$3,$C$4,$C$6,$C$5,$C$7,O$1,O$2,A104)</f>
        <v>0</v>
      </c>
      <c r="P104" s="32">
        <f ca="1">_xll.DBRW($C$1,$C$2,$C$3,$C$4,$C$6,$C$5,$C$7,P$1,P$2,A104)</f>
        <v>0</v>
      </c>
      <c r="Q104" s="32">
        <f ca="1">_xll.DBRW($C$1,$C$2,$C$3,$C$4,$C$6,$C$5,$C$7,Q$1,Q$2,A104)</f>
        <v>0</v>
      </c>
      <c r="R104" s="32">
        <f ca="1">_xll.DBRW($C$1,$C$2,$C$3,$C$4,$C$6,$C$5,$C$7,R$1,R$2,A104)</f>
        <v>0</v>
      </c>
      <c r="S104" s="32">
        <f ca="1">_xll.DBRW($C$1,$C$2,$C$3,$C$4,$C$6,$C$5,$C$7,S$1,S$2,A104)</f>
        <v>0</v>
      </c>
      <c r="T104" s="32">
        <f ca="1">_xll.DBRW($C$1,$C$2,$C$3,$C$4,$C$6,$C$5,$C$7,T$1,T$2,A104)</f>
        <v>0</v>
      </c>
      <c r="U104" s="32">
        <f ca="1">_xll.DBRW($C$1,$C$2,$C$3,$C$4,$C$6,$C$5,$C$7,U$1,U$2,A104)</f>
        <v>0</v>
      </c>
      <c r="V104" s="32">
        <f ca="1">_xll.DBRW($C$1,$C$2,$C$3,$C$4,$C$6,$C$5,$C$7,V$1,V$2,A104)</f>
        <v>0</v>
      </c>
      <c r="W104" s="32">
        <f ca="1">_xll.DBRW($C$1,$C$2,$C$3,$C$4,$C$6,$C$5,$C$7,W$1,W$2,A104)</f>
        <v>0</v>
      </c>
      <c r="X104" s="32">
        <f ca="1">_xll.DBRW($C$1,$C$2,$C$3,$C$4,$C$6,$C$5,$C$7,X$1,X$2,A104)</f>
        <v>0</v>
      </c>
      <c r="Y104" s="32">
        <f ca="1">_xll.DBRW($C$1,$C$2,$C$3,$C$4,$C$6,$C$5,$C$7,Y$1,Y$2,A104)</f>
        <v>0</v>
      </c>
      <c r="Z104" s="32">
        <f ca="1">_xll.DBRW($C$1,$C$2,$C$3,$C$4,$C$6,$C$5,$C$7,Z$1,Z$2,A104)</f>
        <v>0</v>
      </c>
      <c r="AA104" s="32">
        <f ca="1">_xll.DBRW($C$1,$C$2,$C$3,$C$4,$C$6,$C$5,$C$7,AA$1,AA$2,A104)</f>
        <v>0</v>
      </c>
      <c r="AB104" s="32">
        <f ca="1">_xll.DBRW($C$1,$C$2,$C$3,$C$4,$C$6,$C$5,$C$7,AB$1,AB$2,A104)</f>
        <v>0</v>
      </c>
      <c r="AC104" s="32">
        <f ca="1">_xll.DBRW($C$1,$C$2,$C$3,$C$4,$C$6,$C$5,$C$7,AC$1,AC$2,A104)</f>
        <v>0</v>
      </c>
      <c r="AD104" s="32">
        <f ca="1">_xll.DBRW($C$1,$C$2,$C$3,$C$4,$C$6,$C$5,$C$7,AD$1,AD$2,A104)</f>
        <v>0</v>
      </c>
      <c r="AE104" s="32">
        <f ca="1">_xll.DBRW($C$1,$C$2,$C$3,$C$4,$C$6,$C$5,$C$7,AE$1,AE$2,A104)</f>
        <v>0</v>
      </c>
      <c r="AF104" s="32">
        <f ca="1">_xll.DBRW($C$1,$C$2,$C$3,$C$4,$C$6,$C$5,$C$7,AF$1,AF$2,A104)</f>
        <v>0</v>
      </c>
      <c r="AG104" s="32">
        <f ca="1">_xll.DBRW($C$1,$C$2,$C$3,$C$4,$C$6,$C$5,$C$7,AG$1,AG$2,A104)</f>
        <v>0</v>
      </c>
      <c r="AH104" s="32">
        <f ca="1">_xll.DBRW($C$1,$C$2,$C$3,$C$4,$C$6,$C$5,$C$7,AH$1,AH$2,A104)</f>
        <v>0</v>
      </c>
      <c r="AI104" s="32">
        <f ca="1">_xll.DBRW($C$1,$C$2,$C$3,$C$4,$C$6,$C$5,$C$7,AI$1,AI$2,A104)</f>
        <v>0</v>
      </c>
      <c r="AJ104" s="32">
        <f ca="1">_xll.DBRW($C$1,$C$2,$C$3,$C$4,$C$6,$C$5,$C$7,AJ$1,AJ$2,A104)</f>
        <v>0</v>
      </c>
      <c r="AK104" s="32">
        <f ca="1">_xll.DBRW($C$1,$C$2,$C$3,$C$4,$C$6,$C$5,$C$7,AK$1,AK$2,A104)</f>
        <v>0</v>
      </c>
      <c r="AL104" s="32">
        <f ca="1">_xll.DBRW($C$1,$C$2,$C$3,$C$4,$C$6,$C$5,$C$7,AL$1,AL$2,A104)</f>
        <v>0</v>
      </c>
      <c r="AM104" s="32">
        <f ca="1">_xll.DBRW($C$1,$C$2,$C$3,$C$4,$C$6,$C$5,$C$7,AM$1,AM$2,A104)</f>
        <v>0</v>
      </c>
      <c r="AN104" s="32">
        <f ca="1">_xll.DBRW($C$1,$C$2,$C$3,$C$4,$C$6,$C$5,$C$7,AN$1,AN$2,A104)</f>
        <v>0</v>
      </c>
      <c r="AO104" s="32">
        <f ca="1">_xll.DBRW($C$1,$C$2,$C$3,$C$4,$C$6,$C$5,$C$7,AO$1,AO$2,A104)</f>
        <v>0</v>
      </c>
      <c r="AP104" s="32">
        <f ca="1">_xll.DBRW($C$1,$C$2,$C$3,$C$4,$C$6,$C$5,$C$7,AP$1,AP$2,A104)</f>
        <v>0</v>
      </c>
      <c r="AQ104" s="32">
        <f ca="1">_xll.DBRW($C$1,$C$2,$C$3,$C$4,$C$6,$C$5,$C$7,AQ$1,AQ$2,A104)</f>
        <v>0</v>
      </c>
      <c r="AR104" s="32">
        <f ca="1">_xll.DBRW($C$1,$C$2,$C$3,$C$4,$C$6,$C$5,$C$7,AR$1,AR$2,A104)</f>
        <v>0</v>
      </c>
      <c r="AS104" s="32">
        <f ca="1">_xll.DBRW($C$1,$C$2,$C$3,$C$4,$C$6,$C$5,$C$7,AS$1,AS$2,A104)</f>
        <v>0</v>
      </c>
      <c r="AT104" s="32">
        <f ca="1">_xll.DBRW($C$1,$C$2,$C$3,$C$4,$C$6,$C$5,$C$7,AT$1,AT$2,A104)</f>
        <v>0</v>
      </c>
      <c r="AU104" s="32">
        <f ca="1">_xll.DBRW($C$1,$C$2,$C$3,$C$4,$C$6,$C$5,$C$7,AU$1,AU$2,A104)</f>
        <v>0</v>
      </c>
      <c r="AV104" s="32">
        <f ca="1">_xll.DBRW($C$1,$C$2,$C$3,$C$4,$C$6,$C$5,$C$7,AV$1,AV$2,A104)</f>
        <v>0</v>
      </c>
      <c r="AW104" s="32">
        <f ca="1">_xll.DBRW($C$1,$C$2,$C$3,$C$4,$C$6,$C$5,$C$7,AW$1,AW$2,A104)</f>
        <v>0</v>
      </c>
      <c r="AX104" s="32">
        <f ca="1">_xll.DBRW($C$1,$C$2,$C$3,$C$4,$C$6,$C$5,$C$7,AX$1,AX$2,A104)</f>
        <v>0</v>
      </c>
      <c r="AY104" s="32">
        <f ca="1">_xll.DBRW($C$1,$C$2,$C$3,$C$4,$C$6,$C$5,$C$7,AY$1,AY$2,A104)</f>
        <v>0</v>
      </c>
    </row>
    <row r="105" spans="1:51" ht="15.75" hidden="1" customHeight="1" outlineLevel="1">
      <c r="A105" s="1" t="s">
        <v>200</v>
      </c>
      <c r="C105" s="109"/>
      <c r="E105" s="9" t="str">
        <f ca="1">_xll.DBRW(Server&amp;"}ElementAttributes_Indicator",A105,"code_English")</f>
        <v>PL1116_FL - COS - Lease expenses (FL)</v>
      </c>
      <c r="F105" s="32">
        <f ca="1">_xll.DBRW($C$1,$C$2,$C$3,$C$4,$C$6,$C$5,$C$7,F$1,F$2,A105)</f>
        <v>0</v>
      </c>
      <c r="G105" s="32">
        <f ca="1">_xll.DBRW($C$1,$C$2,$C$3,$C$4,$C$6,$C$5,$C$7,G$1,G$2,A105)</f>
        <v>0</v>
      </c>
      <c r="H105" s="32">
        <f ca="1">_xll.DBRW($C$1,$C$2,$C$3,$C$4,$C$6,$C$5,$C$7,H$1,H$2,A105)</f>
        <v>0</v>
      </c>
      <c r="I105" s="32">
        <f ca="1">_xll.DBRW($C$1,$C$2,$C$3,$C$4,$C$6,$C$5,$C$7,I$1,I$2,A105)</f>
        <v>0</v>
      </c>
      <c r="J105" s="32">
        <f ca="1">_xll.DBRW($C$1,$C$2,$C$3,$C$4,$C$6,$C$5,$C$7,J$1,J$2,A105)</f>
        <v>0</v>
      </c>
      <c r="K105" s="32">
        <f ca="1">_xll.DBRW($C$1,$C$2,$C$3,$C$4,$C$6,$C$5,$C$7,K$1,K$2,A105)</f>
        <v>0</v>
      </c>
      <c r="L105" s="32">
        <f ca="1">_xll.DBRW($C$1,$C$2,$C$3,$C$4,$C$6,$C$5,$C$7,L$1,L$2,A105)</f>
        <v>0</v>
      </c>
      <c r="M105" s="32">
        <f ca="1">_xll.DBRW($C$1,$C$2,$C$3,$C$4,$C$6,$C$5,$C$7,M$1,M$2,A105)</f>
        <v>0</v>
      </c>
      <c r="N105" s="32">
        <f ca="1">_xll.DBRW($C$1,$C$2,$C$3,$C$4,$C$6,$C$5,$C$7,N$1,N$2,A105)</f>
        <v>0</v>
      </c>
      <c r="O105" s="32">
        <f ca="1">_xll.DBRW($C$1,$C$2,$C$3,$C$4,$C$6,$C$5,$C$7,O$1,O$2,A105)</f>
        <v>0</v>
      </c>
      <c r="P105" s="32">
        <f ca="1">_xll.DBRW($C$1,$C$2,$C$3,$C$4,$C$6,$C$5,$C$7,P$1,P$2,A105)</f>
        <v>0</v>
      </c>
      <c r="Q105" s="32">
        <f ca="1">_xll.DBRW($C$1,$C$2,$C$3,$C$4,$C$6,$C$5,$C$7,Q$1,Q$2,A105)</f>
        <v>0</v>
      </c>
      <c r="R105" s="32">
        <f ca="1">_xll.DBRW($C$1,$C$2,$C$3,$C$4,$C$6,$C$5,$C$7,R$1,R$2,A105)</f>
        <v>0</v>
      </c>
      <c r="S105" s="32">
        <f ca="1">_xll.DBRW($C$1,$C$2,$C$3,$C$4,$C$6,$C$5,$C$7,S$1,S$2,A105)</f>
        <v>0</v>
      </c>
      <c r="T105" s="32">
        <f ca="1">_xll.DBRW($C$1,$C$2,$C$3,$C$4,$C$6,$C$5,$C$7,T$1,T$2,A105)</f>
        <v>0</v>
      </c>
      <c r="U105" s="32">
        <f ca="1">_xll.DBRW($C$1,$C$2,$C$3,$C$4,$C$6,$C$5,$C$7,U$1,U$2,A105)</f>
        <v>0</v>
      </c>
      <c r="V105" s="32">
        <f ca="1">_xll.DBRW($C$1,$C$2,$C$3,$C$4,$C$6,$C$5,$C$7,V$1,V$2,A105)</f>
        <v>0</v>
      </c>
      <c r="W105" s="32">
        <f ca="1">_xll.DBRW($C$1,$C$2,$C$3,$C$4,$C$6,$C$5,$C$7,W$1,W$2,A105)</f>
        <v>0</v>
      </c>
      <c r="X105" s="32">
        <f ca="1">_xll.DBRW($C$1,$C$2,$C$3,$C$4,$C$6,$C$5,$C$7,X$1,X$2,A105)</f>
        <v>0</v>
      </c>
      <c r="Y105" s="32">
        <f ca="1">_xll.DBRW($C$1,$C$2,$C$3,$C$4,$C$6,$C$5,$C$7,Y$1,Y$2,A105)</f>
        <v>0</v>
      </c>
      <c r="Z105" s="32">
        <f ca="1">_xll.DBRW($C$1,$C$2,$C$3,$C$4,$C$6,$C$5,$C$7,Z$1,Z$2,A105)</f>
        <v>0</v>
      </c>
      <c r="AA105" s="32">
        <f ca="1">_xll.DBRW($C$1,$C$2,$C$3,$C$4,$C$6,$C$5,$C$7,AA$1,AA$2,A105)</f>
        <v>0</v>
      </c>
      <c r="AB105" s="32">
        <f ca="1">_xll.DBRW($C$1,$C$2,$C$3,$C$4,$C$6,$C$5,$C$7,AB$1,AB$2,A105)</f>
        <v>0</v>
      </c>
      <c r="AC105" s="32">
        <f ca="1">_xll.DBRW($C$1,$C$2,$C$3,$C$4,$C$6,$C$5,$C$7,AC$1,AC$2,A105)</f>
        <v>0</v>
      </c>
      <c r="AD105" s="32">
        <f ca="1">_xll.DBRW($C$1,$C$2,$C$3,$C$4,$C$6,$C$5,$C$7,AD$1,AD$2,A105)</f>
        <v>0</v>
      </c>
      <c r="AE105" s="32">
        <f ca="1">_xll.DBRW($C$1,$C$2,$C$3,$C$4,$C$6,$C$5,$C$7,AE$1,AE$2,A105)</f>
        <v>0</v>
      </c>
      <c r="AF105" s="32">
        <f ca="1">_xll.DBRW($C$1,$C$2,$C$3,$C$4,$C$6,$C$5,$C$7,AF$1,AF$2,A105)</f>
        <v>0</v>
      </c>
      <c r="AG105" s="32">
        <f ca="1">_xll.DBRW($C$1,$C$2,$C$3,$C$4,$C$6,$C$5,$C$7,AG$1,AG$2,A105)</f>
        <v>0</v>
      </c>
      <c r="AH105" s="32">
        <f ca="1">_xll.DBRW($C$1,$C$2,$C$3,$C$4,$C$6,$C$5,$C$7,AH$1,AH$2,A105)</f>
        <v>0</v>
      </c>
      <c r="AI105" s="32">
        <f ca="1">_xll.DBRW($C$1,$C$2,$C$3,$C$4,$C$6,$C$5,$C$7,AI$1,AI$2,A105)</f>
        <v>0</v>
      </c>
      <c r="AJ105" s="32">
        <f ca="1">_xll.DBRW($C$1,$C$2,$C$3,$C$4,$C$6,$C$5,$C$7,AJ$1,AJ$2,A105)</f>
        <v>0</v>
      </c>
      <c r="AK105" s="32">
        <f ca="1">_xll.DBRW($C$1,$C$2,$C$3,$C$4,$C$6,$C$5,$C$7,AK$1,AK$2,A105)</f>
        <v>0</v>
      </c>
      <c r="AL105" s="32">
        <f ca="1">_xll.DBRW($C$1,$C$2,$C$3,$C$4,$C$6,$C$5,$C$7,AL$1,AL$2,A105)</f>
        <v>0</v>
      </c>
      <c r="AM105" s="32">
        <f ca="1">_xll.DBRW($C$1,$C$2,$C$3,$C$4,$C$6,$C$5,$C$7,AM$1,AM$2,A105)</f>
        <v>0</v>
      </c>
      <c r="AN105" s="32">
        <f ca="1">_xll.DBRW($C$1,$C$2,$C$3,$C$4,$C$6,$C$5,$C$7,AN$1,AN$2,A105)</f>
        <v>0</v>
      </c>
      <c r="AO105" s="32">
        <f ca="1">_xll.DBRW($C$1,$C$2,$C$3,$C$4,$C$6,$C$5,$C$7,AO$1,AO$2,A105)</f>
        <v>0</v>
      </c>
      <c r="AP105" s="32">
        <f ca="1">_xll.DBRW($C$1,$C$2,$C$3,$C$4,$C$6,$C$5,$C$7,AP$1,AP$2,A105)</f>
        <v>0</v>
      </c>
      <c r="AQ105" s="32">
        <f ca="1">_xll.DBRW($C$1,$C$2,$C$3,$C$4,$C$6,$C$5,$C$7,AQ$1,AQ$2,A105)</f>
        <v>0</v>
      </c>
      <c r="AR105" s="32">
        <f ca="1">_xll.DBRW($C$1,$C$2,$C$3,$C$4,$C$6,$C$5,$C$7,AR$1,AR$2,A105)</f>
        <v>0</v>
      </c>
      <c r="AS105" s="32">
        <f ca="1">_xll.DBRW($C$1,$C$2,$C$3,$C$4,$C$6,$C$5,$C$7,AS$1,AS$2,A105)</f>
        <v>0</v>
      </c>
      <c r="AT105" s="32">
        <f ca="1">_xll.DBRW($C$1,$C$2,$C$3,$C$4,$C$6,$C$5,$C$7,AT$1,AT$2,A105)</f>
        <v>0</v>
      </c>
      <c r="AU105" s="32">
        <f ca="1">_xll.DBRW($C$1,$C$2,$C$3,$C$4,$C$6,$C$5,$C$7,AU$1,AU$2,A105)</f>
        <v>0</v>
      </c>
      <c r="AV105" s="32">
        <f ca="1">_xll.DBRW($C$1,$C$2,$C$3,$C$4,$C$6,$C$5,$C$7,AV$1,AV$2,A105)</f>
        <v>0</v>
      </c>
      <c r="AW105" s="32">
        <f ca="1">_xll.DBRW($C$1,$C$2,$C$3,$C$4,$C$6,$C$5,$C$7,AW$1,AW$2,A105)</f>
        <v>0</v>
      </c>
      <c r="AX105" s="32">
        <f ca="1">_xll.DBRW($C$1,$C$2,$C$3,$C$4,$C$6,$C$5,$C$7,AX$1,AX$2,A105)</f>
        <v>0</v>
      </c>
      <c r="AY105" s="32">
        <f ca="1">_xll.DBRW($C$1,$C$2,$C$3,$C$4,$C$6,$C$5,$C$7,AY$1,AY$2,A105)</f>
        <v>0</v>
      </c>
    </row>
    <row r="106" spans="1:51" ht="15.75" hidden="1" customHeight="1" outlineLevel="1">
      <c r="A106" s="1" t="s">
        <v>201</v>
      </c>
      <c r="C106" s="109"/>
      <c r="E106" s="9" t="str">
        <f ca="1">_xll.DBRW(Server&amp;"}ElementAttributes_Indicator",A106,"code_English")</f>
        <v>PL1117_FL - COS - Lease expenses (IFRIC12) (FL)</v>
      </c>
      <c r="F106" s="32">
        <f ca="1">_xll.DBRW($C$1,$C$2,$C$3,$C$4,$C$6,$C$5,$C$7,F$1,F$2,A106)</f>
        <v>0</v>
      </c>
      <c r="G106" s="32">
        <f ca="1">_xll.DBRW($C$1,$C$2,$C$3,$C$4,$C$6,$C$5,$C$7,G$1,G$2,A106)</f>
        <v>0</v>
      </c>
      <c r="H106" s="32">
        <f ca="1">_xll.DBRW($C$1,$C$2,$C$3,$C$4,$C$6,$C$5,$C$7,H$1,H$2,A106)</f>
        <v>0</v>
      </c>
      <c r="I106" s="32">
        <f ca="1">_xll.DBRW($C$1,$C$2,$C$3,$C$4,$C$6,$C$5,$C$7,I$1,I$2,A106)</f>
        <v>0</v>
      </c>
      <c r="J106" s="32">
        <f ca="1">_xll.DBRW($C$1,$C$2,$C$3,$C$4,$C$6,$C$5,$C$7,J$1,J$2,A106)</f>
        <v>0</v>
      </c>
      <c r="K106" s="32">
        <f ca="1">_xll.DBRW($C$1,$C$2,$C$3,$C$4,$C$6,$C$5,$C$7,K$1,K$2,A106)</f>
        <v>0</v>
      </c>
      <c r="L106" s="32">
        <f ca="1">_xll.DBRW($C$1,$C$2,$C$3,$C$4,$C$6,$C$5,$C$7,L$1,L$2,A106)</f>
        <v>0</v>
      </c>
      <c r="M106" s="32">
        <f ca="1">_xll.DBRW($C$1,$C$2,$C$3,$C$4,$C$6,$C$5,$C$7,M$1,M$2,A106)</f>
        <v>0</v>
      </c>
      <c r="N106" s="32">
        <f ca="1">_xll.DBRW($C$1,$C$2,$C$3,$C$4,$C$6,$C$5,$C$7,N$1,N$2,A106)</f>
        <v>0</v>
      </c>
      <c r="O106" s="32">
        <f ca="1">_xll.DBRW($C$1,$C$2,$C$3,$C$4,$C$6,$C$5,$C$7,O$1,O$2,A106)</f>
        <v>0</v>
      </c>
      <c r="P106" s="32">
        <f ca="1">_xll.DBRW($C$1,$C$2,$C$3,$C$4,$C$6,$C$5,$C$7,P$1,P$2,A106)</f>
        <v>0</v>
      </c>
      <c r="Q106" s="32">
        <f ca="1">_xll.DBRW($C$1,$C$2,$C$3,$C$4,$C$6,$C$5,$C$7,Q$1,Q$2,A106)</f>
        <v>0</v>
      </c>
      <c r="R106" s="32">
        <f ca="1">_xll.DBRW($C$1,$C$2,$C$3,$C$4,$C$6,$C$5,$C$7,R$1,R$2,A106)</f>
        <v>0</v>
      </c>
      <c r="S106" s="32">
        <f ca="1">_xll.DBRW($C$1,$C$2,$C$3,$C$4,$C$6,$C$5,$C$7,S$1,S$2,A106)</f>
        <v>0</v>
      </c>
      <c r="T106" s="32">
        <f ca="1">_xll.DBRW($C$1,$C$2,$C$3,$C$4,$C$6,$C$5,$C$7,T$1,T$2,A106)</f>
        <v>0</v>
      </c>
      <c r="U106" s="32">
        <f ca="1">_xll.DBRW($C$1,$C$2,$C$3,$C$4,$C$6,$C$5,$C$7,U$1,U$2,A106)</f>
        <v>0</v>
      </c>
      <c r="V106" s="32">
        <f ca="1">_xll.DBRW($C$1,$C$2,$C$3,$C$4,$C$6,$C$5,$C$7,V$1,V$2,A106)</f>
        <v>0</v>
      </c>
      <c r="W106" s="32">
        <f ca="1">_xll.DBRW($C$1,$C$2,$C$3,$C$4,$C$6,$C$5,$C$7,W$1,W$2,A106)</f>
        <v>0</v>
      </c>
      <c r="X106" s="32">
        <f ca="1">_xll.DBRW($C$1,$C$2,$C$3,$C$4,$C$6,$C$5,$C$7,X$1,X$2,A106)</f>
        <v>0</v>
      </c>
      <c r="Y106" s="32">
        <f ca="1">_xll.DBRW($C$1,$C$2,$C$3,$C$4,$C$6,$C$5,$C$7,Y$1,Y$2,A106)</f>
        <v>0</v>
      </c>
      <c r="Z106" s="32">
        <f ca="1">_xll.DBRW($C$1,$C$2,$C$3,$C$4,$C$6,$C$5,$C$7,Z$1,Z$2,A106)</f>
        <v>0</v>
      </c>
      <c r="AA106" s="32">
        <f ca="1">_xll.DBRW($C$1,$C$2,$C$3,$C$4,$C$6,$C$5,$C$7,AA$1,AA$2,A106)</f>
        <v>0</v>
      </c>
      <c r="AB106" s="32">
        <f ca="1">_xll.DBRW($C$1,$C$2,$C$3,$C$4,$C$6,$C$5,$C$7,AB$1,AB$2,A106)</f>
        <v>0</v>
      </c>
      <c r="AC106" s="32">
        <f ca="1">_xll.DBRW($C$1,$C$2,$C$3,$C$4,$C$6,$C$5,$C$7,AC$1,AC$2,A106)</f>
        <v>0</v>
      </c>
      <c r="AD106" s="32">
        <f ca="1">_xll.DBRW($C$1,$C$2,$C$3,$C$4,$C$6,$C$5,$C$7,AD$1,AD$2,A106)</f>
        <v>0</v>
      </c>
      <c r="AE106" s="32">
        <f ca="1">_xll.DBRW($C$1,$C$2,$C$3,$C$4,$C$6,$C$5,$C$7,AE$1,AE$2,A106)</f>
        <v>0</v>
      </c>
      <c r="AF106" s="32">
        <f ca="1">_xll.DBRW($C$1,$C$2,$C$3,$C$4,$C$6,$C$5,$C$7,AF$1,AF$2,A106)</f>
        <v>0</v>
      </c>
      <c r="AG106" s="32">
        <f ca="1">_xll.DBRW($C$1,$C$2,$C$3,$C$4,$C$6,$C$5,$C$7,AG$1,AG$2,A106)</f>
        <v>0</v>
      </c>
      <c r="AH106" s="32">
        <f ca="1">_xll.DBRW($C$1,$C$2,$C$3,$C$4,$C$6,$C$5,$C$7,AH$1,AH$2,A106)</f>
        <v>0</v>
      </c>
      <c r="AI106" s="32">
        <f ca="1">_xll.DBRW($C$1,$C$2,$C$3,$C$4,$C$6,$C$5,$C$7,AI$1,AI$2,A106)</f>
        <v>0</v>
      </c>
      <c r="AJ106" s="32">
        <f ca="1">_xll.DBRW($C$1,$C$2,$C$3,$C$4,$C$6,$C$5,$C$7,AJ$1,AJ$2,A106)</f>
        <v>0</v>
      </c>
      <c r="AK106" s="32">
        <f ca="1">_xll.DBRW($C$1,$C$2,$C$3,$C$4,$C$6,$C$5,$C$7,AK$1,AK$2,A106)</f>
        <v>0</v>
      </c>
      <c r="AL106" s="32">
        <f ca="1">_xll.DBRW($C$1,$C$2,$C$3,$C$4,$C$6,$C$5,$C$7,AL$1,AL$2,A106)</f>
        <v>0</v>
      </c>
      <c r="AM106" s="32">
        <f ca="1">_xll.DBRW($C$1,$C$2,$C$3,$C$4,$C$6,$C$5,$C$7,AM$1,AM$2,A106)</f>
        <v>0</v>
      </c>
      <c r="AN106" s="32">
        <f ca="1">_xll.DBRW($C$1,$C$2,$C$3,$C$4,$C$6,$C$5,$C$7,AN$1,AN$2,A106)</f>
        <v>0</v>
      </c>
      <c r="AO106" s="32">
        <f ca="1">_xll.DBRW($C$1,$C$2,$C$3,$C$4,$C$6,$C$5,$C$7,AO$1,AO$2,A106)</f>
        <v>0</v>
      </c>
      <c r="AP106" s="32">
        <f ca="1">_xll.DBRW($C$1,$C$2,$C$3,$C$4,$C$6,$C$5,$C$7,AP$1,AP$2,A106)</f>
        <v>0</v>
      </c>
      <c r="AQ106" s="32">
        <f ca="1">_xll.DBRW($C$1,$C$2,$C$3,$C$4,$C$6,$C$5,$C$7,AQ$1,AQ$2,A106)</f>
        <v>0</v>
      </c>
      <c r="AR106" s="32">
        <f ca="1">_xll.DBRW($C$1,$C$2,$C$3,$C$4,$C$6,$C$5,$C$7,AR$1,AR$2,A106)</f>
        <v>0</v>
      </c>
      <c r="AS106" s="32">
        <f ca="1">_xll.DBRW($C$1,$C$2,$C$3,$C$4,$C$6,$C$5,$C$7,AS$1,AS$2,A106)</f>
        <v>0</v>
      </c>
      <c r="AT106" s="32">
        <f ca="1">_xll.DBRW($C$1,$C$2,$C$3,$C$4,$C$6,$C$5,$C$7,AT$1,AT$2,A106)</f>
        <v>0</v>
      </c>
      <c r="AU106" s="32">
        <f ca="1">_xll.DBRW($C$1,$C$2,$C$3,$C$4,$C$6,$C$5,$C$7,AU$1,AU$2,A106)</f>
        <v>0</v>
      </c>
      <c r="AV106" s="32">
        <f ca="1">_xll.DBRW($C$1,$C$2,$C$3,$C$4,$C$6,$C$5,$C$7,AV$1,AV$2,A106)</f>
        <v>0</v>
      </c>
      <c r="AW106" s="32">
        <f ca="1">_xll.DBRW($C$1,$C$2,$C$3,$C$4,$C$6,$C$5,$C$7,AW$1,AW$2,A106)</f>
        <v>0</v>
      </c>
      <c r="AX106" s="32">
        <f ca="1">_xll.DBRW($C$1,$C$2,$C$3,$C$4,$C$6,$C$5,$C$7,AX$1,AX$2,A106)</f>
        <v>0</v>
      </c>
      <c r="AY106" s="32">
        <f ca="1">_xll.DBRW($C$1,$C$2,$C$3,$C$4,$C$6,$C$5,$C$7,AY$1,AY$2,A106)</f>
        <v>0</v>
      </c>
    </row>
    <row r="107" spans="1:51" ht="15.75" hidden="1" customHeight="1" outlineLevel="1">
      <c r="A107" s="1" t="s">
        <v>202</v>
      </c>
      <c r="C107" s="109"/>
      <c r="E107" s="9" t="str">
        <f ca="1">_xll.DBRW(Server&amp;"}ElementAttributes_Indicator",A107,"code_English")</f>
        <v>PL1118_FL - IFRS16 adjustment through P&amp;L (FL)</v>
      </c>
      <c r="F107" s="32">
        <f ca="1">_xll.DBRW($C$1,$C$2,$C$3,$C$4,$C$6,$C$5,$C$7,F$1,F$2,A107)</f>
        <v>0</v>
      </c>
      <c r="G107" s="32">
        <f ca="1">_xll.DBRW($C$1,$C$2,$C$3,$C$4,$C$6,$C$5,$C$7,G$1,G$2,A107)</f>
        <v>0</v>
      </c>
      <c r="H107" s="32">
        <f ca="1">_xll.DBRW($C$1,$C$2,$C$3,$C$4,$C$6,$C$5,$C$7,H$1,H$2,A107)</f>
        <v>0</v>
      </c>
      <c r="I107" s="32">
        <f ca="1">_xll.DBRW($C$1,$C$2,$C$3,$C$4,$C$6,$C$5,$C$7,I$1,I$2,A107)</f>
        <v>0</v>
      </c>
      <c r="J107" s="32">
        <f ca="1">_xll.DBRW($C$1,$C$2,$C$3,$C$4,$C$6,$C$5,$C$7,J$1,J$2,A107)</f>
        <v>0</v>
      </c>
      <c r="K107" s="32">
        <f ca="1">_xll.DBRW($C$1,$C$2,$C$3,$C$4,$C$6,$C$5,$C$7,K$1,K$2,A107)</f>
        <v>0</v>
      </c>
      <c r="L107" s="32">
        <f ca="1">_xll.DBRW($C$1,$C$2,$C$3,$C$4,$C$6,$C$5,$C$7,L$1,L$2,A107)</f>
        <v>0</v>
      </c>
      <c r="M107" s="32">
        <f ca="1">_xll.DBRW($C$1,$C$2,$C$3,$C$4,$C$6,$C$5,$C$7,M$1,M$2,A107)</f>
        <v>0</v>
      </c>
      <c r="N107" s="32">
        <f ca="1">_xll.DBRW($C$1,$C$2,$C$3,$C$4,$C$6,$C$5,$C$7,N$1,N$2,A107)</f>
        <v>0</v>
      </c>
      <c r="O107" s="32">
        <f ca="1">_xll.DBRW($C$1,$C$2,$C$3,$C$4,$C$6,$C$5,$C$7,O$1,O$2,A107)</f>
        <v>0</v>
      </c>
      <c r="P107" s="32">
        <f ca="1">_xll.DBRW($C$1,$C$2,$C$3,$C$4,$C$6,$C$5,$C$7,P$1,P$2,A107)</f>
        <v>0</v>
      </c>
      <c r="Q107" s="32">
        <f ca="1">_xll.DBRW($C$1,$C$2,$C$3,$C$4,$C$6,$C$5,$C$7,Q$1,Q$2,A107)</f>
        <v>0</v>
      </c>
      <c r="R107" s="32">
        <f ca="1">_xll.DBRW($C$1,$C$2,$C$3,$C$4,$C$6,$C$5,$C$7,R$1,R$2,A107)</f>
        <v>0</v>
      </c>
      <c r="S107" s="32">
        <f ca="1">_xll.DBRW($C$1,$C$2,$C$3,$C$4,$C$6,$C$5,$C$7,S$1,S$2,A107)</f>
        <v>0</v>
      </c>
      <c r="T107" s="32">
        <f ca="1">_xll.DBRW($C$1,$C$2,$C$3,$C$4,$C$6,$C$5,$C$7,T$1,T$2,A107)</f>
        <v>0</v>
      </c>
      <c r="U107" s="32">
        <f ca="1">_xll.DBRW($C$1,$C$2,$C$3,$C$4,$C$6,$C$5,$C$7,U$1,U$2,A107)</f>
        <v>0</v>
      </c>
      <c r="V107" s="32">
        <f ca="1">_xll.DBRW($C$1,$C$2,$C$3,$C$4,$C$6,$C$5,$C$7,V$1,V$2,A107)</f>
        <v>0</v>
      </c>
      <c r="W107" s="32">
        <f ca="1">_xll.DBRW($C$1,$C$2,$C$3,$C$4,$C$6,$C$5,$C$7,W$1,W$2,A107)</f>
        <v>0</v>
      </c>
      <c r="X107" s="32">
        <f ca="1">_xll.DBRW($C$1,$C$2,$C$3,$C$4,$C$6,$C$5,$C$7,X$1,X$2,A107)</f>
        <v>0</v>
      </c>
      <c r="Y107" s="32">
        <f ca="1">_xll.DBRW($C$1,$C$2,$C$3,$C$4,$C$6,$C$5,$C$7,Y$1,Y$2,A107)</f>
        <v>0</v>
      </c>
      <c r="Z107" s="32">
        <f ca="1">_xll.DBRW($C$1,$C$2,$C$3,$C$4,$C$6,$C$5,$C$7,Z$1,Z$2,A107)</f>
        <v>0</v>
      </c>
      <c r="AA107" s="32">
        <f ca="1">_xll.DBRW($C$1,$C$2,$C$3,$C$4,$C$6,$C$5,$C$7,AA$1,AA$2,$A107)</f>
        <v>0</v>
      </c>
      <c r="AB107" s="32">
        <f ca="1">_xll.DBRW($C$1,$C$2,$C$3,$C$4,$C$6,$C$5,$C$7,AB$1,AB$2,$A107)</f>
        <v>0</v>
      </c>
      <c r="AC107" s="32">
        <f ca="1">_xll.DBRW($C$1,$C$2,$C$3,$C$4,$C$6,$C$5,$C$7,AC$1,AC$2,$A107)</f>
        <v>0</v>
      </c>
      <c r="AD107" s="32">
        <f ca="1">_xll.DBRW($C$1,$C$2,$C$3,$C$4,$C$6,$C$5,$C$7,AD$1,AD$2,$A107)</f>
        <v>0</v>
      </c>
      <c r="AE107" s="32">
        <f ca="1">_xll.DBRW($C$1,$C$2,$C$3,$C$4,$C$6,$C$5,$C$7,AE$1,AE$2,$A107)</f>
        <v>0</v>
      </c>
      <c r="AF107" s="32">
        <f ca="1">_xll.DBRW($C$1,$C$2,$C$3,$C$4,$C$6,$C$5,$C$7,AF$1,AF$2,$A107)</f>
        <v>0</v>
      </c>
      <c r="AG107" s="32">
        <f ca="1">_xll.DBRW($C$1,$C$2,$C$3,$C$4,$C$6,$C$5,$C$7,AG$1,AG$2,$A107)</f>
        <v>0</v>
      </c>
      <c r="AH107" s="32">
        <f ca="1">_xll.DBRW($C$1,$C$2,$C$3,$C$4,$C$6,$C$5,$C$7,AH$1,AH$2,$A107)</f>
        <v>0</v>
      </c>
      <c r="AI107" s="32">
        <f ca="1">_xll.DBRW($C$1,$C$2,$C$3,$C$4,$C$6,$C$5,$C$7,AI$1,AI$2,$A107)</f>
        <v>0</v>
      </c>
      <c r="AJ107" s="32">
        <f ca="1">_xll.DBRW($C$1,$C$2,$C$3,$C$4,$C$6,$C$5,$C$7,AJ$1,AJ$2,$A107)</f>
        <v>0</v>
      </c>
      <c r="AK107" s="32">
        <f ca="1">_xll.DBRW($C$1,$C$2,$C$3,$C$4,$C$6,$C$5,$C$7,AK$1,AK$2,$A107)</f>
        <v>0</v>
      </c>
      <c r="AL107" s="32">
        <f ca="1">_xll.DBRW($C$1,$C$2,$C$3,$C$4,$C$6,$C$5,$C$7,AL$1,AL$2,$A107)</f>
        <v>0</v>
      </c>
      <c r="AM107" s="32">
        <f ca="1">_xll.DBRW($C$1,$C$2,$C$3,$C$4,$C$6,$C$5,$C$7,AM$1,AM$2,$A107)</f>
        <v>0</v>
      </c>
      <c r="AN107" s="32">
        <f ca="1">_xll.DBRW($C$1,$C$2,$C$3,$C$4,$C$6,$C$5,$C$7,AN$1,AN$2,$A107)</f>
        <v>0</v>
      </c>
      <c r="AO107" s="32">
        <f ca="1">_xll.DBRW($C$1,$C$2,$C$3,$C$4,$C$6,$C$5,$C$7,AO$1,AO$2,$A107)</f>
        <v>0</v>
      </c>
      <c r="AP107" s="32">
        <f ca="1">_xll.DBRW($C$1,$C$2,$C$3,$C$4,$C$6,$C$5,$C$7,AP$1,AP$2,$A107)</f>
        <v>0</v>
      </c>
      <c r="AQ107" s="32">
        <f ca="1">_xll.DBRW($C$1,$C$2,$C$3,$C$4,$C$6,$C$5,$C$7,AQ$1,AQ$2,$A107)</f>
        <v>0</v>
      </c>
      <c r="AR107" s="32">
        <f ca="1">_xll.DBRW($C$1,$C$2,$C$3,$C$4,$C$6,$C$5,$C$7,AR$1,AR$2,$A107)</f>
        <v>0</v>
      </c>
      <c r="AS107" s="32">
        <f ca="1">_xll.DBRW($C$1,$C$2,$C$3,$C$4,$C$6,$C$5,$C$7,AS$1,AS$2,$A107)</f>
        <v>0</v>
      </c>
      <c r="AT107" s="32">
        <f ca="1">_xll.DBRW($C$1,$C$2,$C$3,$C$4,$C$6,$C$5,$C$7,AT$1,AT$2,$A107)</f>
        <v>0</v>
      </c>
      <c r="AU107" s="32">
        <f ca="1">_xll.DBRW($C$1,$C$2,$C$3,$C$4,$C$6,$C$5,$C$7,AU$1,AU$2,$A107)</f>
        <v>0</v>
      </c>
      <c r="AV107" s="32">
        <f ca="1">_xll.DBRW($C$1,$C$2,$C$3,$C$4,$C$6,$C$5,$C$7,AV$1,AV$2,$A107)</f>
        <v>0</v>
      </c>
      <c r="AW107" s="32">
        <f ca="1">_xll.DBRW($C$1,$C$2,$C$3,$C$4,$C$6,$C$5,$C$7,AW$1,AW$2,$A107)</f>
        <v>0</v>
      </c>
      <c r="AX107" s="32">
        <f ca="1">_xll.DBRW($C$1,$C$2,$C$3,$C$4,$C$6,$C$5,$C$7,AX$1,AX$2,$A107)</f>
        <v>0</v>
      </c>
      <c r="AY107" s="32">
        <f ca="1">_xll.DBRW($C$1,$C$2,$C$3,$C$4,$C$6,$C$5,$C$7,AY$1,AY$2,$A107)</f>
        <v>0</v>
      </c>
    </row>
    <row r="108" spans="1:51" ht="15.75" hidden="1" customHeight="1" outlineLevel="1">
      <c r="A108" s="1" t="s">
        <v>203</v>
      </c>
      <c r="C108" s="109"/>
      <c r="E108" s="9" t="str">
        <f ca="1">_xll.DBRW(Server&amp;"}ElementAttributes_Indicator",A108,"code_English")</f>
        <v>PL1140_FL_05 - Amortization (FL)</v>
      </c>
      <c r="F108" s="32">
        <f ca="1">_xll.DBRW($C$1,$C$2,$C$3,$C$4,$C$6,$C$5,$C$7,F$1,F$2,$A108)</f>
        <v>0</v>
      </c>
      <c r="G108" s="32">
        <f ca="1">_xll.DBRW($C$1,$C$2,$C$3,$C$4,$C$6,$C$5,$C$7,G$1,G$2,$A108)</f>
        <v>0</v>
      </c>
      <c r="H108" s="32">
        <f ca="1">_xll.DBRW($C$1,$C$2,$C$3,$C$4,$C$6,$C$5,$C$7,H$1,H$2,$A108)</f>
        <v>0</v>
      </c>
      <c r="I108" s="32">
        <f ca="1">_xll.DBRW($C$1,$C$2,$C$3,$C$4,$C$6,$C$5,$C$7,I$1,I$2,$A108)</f>
        <v>0</v>
      </c>
      <c r="J108" s="32">
        <f ca="1">_xll.DBRW($C$1,$C$2,$C$3,$C$4,$C$6,$C$5,$C$7,J$1,J$2,$A108)</f>
        <v>0</v>
      </c>
      <c r="K108" s="32">
        <f ca="1">_xll.DBRW($C$1,$C$2,$C$3,$C$4,$C$6,$C$5,$C$7,K$1,K$2,$A108)</f>
        <v>0</v>
      </c>
      <c r="L108" s="32">
        <f ca="1">_xll.DBRW($C$1,$C$2,$C$3,$C$4,$C$6,$C$5,$C$7,L$1,L$2,$A108)</f>
        <v>0</v>
      </c>
      <c r="M108" s="32">
        <f ca="1">_xll.DBRW($C$1,$C$2,$C$3,$C$4,$C$6,$C$5,$C$7,M$1,M$2,$A108)</f>
        <v>0</v>
      </c>
      <c r="N108" s="32">
        <f ca="1">_xll.DBRW($C$1,$C$2,$C$3,$C$4,$C$6,$C$5,$C$7,N$1,N$2,$A108)</f>
        <v>0</v>
      </c>
      <c r="O108" s="32">
        <f ca="1">_xll.DBRW($C$1,$C$2,$C$3,$C$4,$C$6,$C$5,$C$7,O$1,O$2,$A108)</f>
        <v>0</v>
      </c>
      <c r="P108" s="32">
        <f ca="1">_xll.DBRW($C$1,$C$2,$C$3,$C$4,$C$6,$C$5,$C$7,P$1,P$2,$A108)</f>
        <v>0</v>
      </c>
      <c r="Q108" s="32">
        <f ca="1">_xll.DBRW($C$1,$C$2,$C$3,$C$4,$C$6,$C$5,$C$7,Q$1,Q$2,$A108)</f>
        <v>0</v>
      </c>
      <c r="R108" s="32">
        <f ca="1">_xll.DBRW($C$1,$C$2,$C$3,$C$4,$C$6,$C$5,$C$7,R$1,R$2,$A108)</f>
        <v>0</v>
      </c>
      <c r="S108" s="32">
        <f ca="1">_xll.DBRW($C$1,$C$2,$C$3,$C$4,$C$6,$C$5,$C$7,S$1,S$2,$A108)</f>
        <v>0</v>
      </c>
      <c r="T108" s="32">
        <f ca="1">_xll.DBRW($C$1,$C$2,$C$3,$C$4,$C$6,$C$5,$C$7,T$1,T$2,$A108)</f>
        <v>0</v>
      </c>
      <c r="U108" s="32">
        <f ca="1">_xll.DBRW($C$1,$C$2,$C$3,$C$4,$C$6,$C$5,$C$7,U$1,U$2,$A108)</f>
        <v>0</v>
      </c>
      <c r="V108" s="32">
        <f ca="1">_xll.DBRW($C$1,$C$2,$C$3,$C$4,$C$6,$C$5,$C$7,V$1,V$2,$A108)</f>
        <v>0</v>
      </c>
      <c r="W108" s="32">
        <f ca="1">_xll.DBRW($C$1,$C$2,$C$3,$C$4,$C$6,$C$5,$C$7,W$1,W$2,$A108)</f>
        <v>0</v>
      </c>
      <c r="X108" s="32">
        <f ca="1">_xll.DBRW($C$1,$C$2,$C$3,$C$4,$C$6,$C$5,$C$7,X$1,X$2,$A108)</f>
        <v>0</v>
      </c>
      <c r="Y108" s="32">
        <f ca="1">_xll.DBRW($C$1,$C$2,$C$3,$C$4,$C$6,$C$5,$C$7,Y$1,Y$2,$A108)</f>
        <v>0</v>
      </c>
      <c r="Z108" s="32">
        <f ca="1">_xll.DBRW($C$1,$C$2,$C$3,$C$4,$C$6,$C$5,$C$7,Z$1,Z$2,$A108)</f>
        <v>0</v>
      </c>
      <c r="AA108" s="32">
        <f ca="1">_xll.DBRW($C$1,$C$2,$C$3,$C$4,$C$6,$C$5,$C$7,AA$1,AA$2,$A108)</f>
        <v>0</v>
      </c>
      <c r="AB108" s="32">
        <f ca="1">_xll.DBRW($C$1,$C$2,$C$3,$C$4,$C$6,$C$5,$C$7,AB$1,AB$2,$A108)</f>
        <v>0</v>
      </c>
      <c r="AC108" s="32">
        <f ca="1">_xll.DBRW($C$1,$C$2,$C$3,$C$4,$C$6,$C$5,$C$7,AC$1,AC$2,$A108)</f>
        <v>0</v>
      </c>
      <c r="AD108" s="32">
        <f ca="1">_xll.DBRW($C$1,$C$2,$C$3,$C$4,$C$6,$C$5,$C$7,AD$1,AD$2,$A108)</f>
        <v>0</v>
      </c>
      <c r="AE108" s="32">
        <f ca="1">_xll.DBRW($C$1,$C$2,$C$3,$C$4,$C$6,$C$5,$C$7,AE$1,AE$2,$A108)</f>
        <v>0</v>
      </c>
      <c r="AF108" s="32">
        <f ca="1">_xll.DBRW($C$1,$C$2,$C$3,$C$4,$C$6,$C$5,$C$7,AF$1,AF$2,$A108)</f>
        <v>0</v>
      </c>
      <c r="AG108" s="32">
        <f ca="1">_xll.DBRW($C$1,$C$2,$C$3,$C$4,$C$6,$C$5,$C$7,AG$1,AG$2,$A108)</f>
        <v>0</v>
      </c>
      <c r="AH108" s="32">
        <f ca="1">_xll.DBRW($C$1,$C$2,$C$3,$C$4,$C$6,$C$5,$C$7,AH$1,AH$2,$A108)</f>
        <v>0</v>
      </c>
      <c r="AI108" s="32">
        <f ca="1">_xll.DBRW($C$1,$C$2,$C$3,$C$4,$C$6,$C$5,$C$7,AI$1,AI$2,$A108)</f>
        <v>0</v>
      </c>
      <c r="AJ108" s="32">
        <f ca="1">_xll.DBRW($C$1,$C$2,$C$3,$C$4,$C$6,$C$5,$C$7,AJ$1,AJ$2,$A108)</f>
        <v>0</v>
      </c>
      <c r="AK108" s="32">
        <f ca="1">_xll.DBRW($C$1,$C$2,$C$3,$C$4,$C$6,$C$5,$C$7,AK$1,AK$2,$A108)</f>
        <v>0</v>
      </c>
      <c r="AL108" s="32">
        <f ca="1">_xll.DBRW($C$1,$C$2,$C$3,$C$4,$C$6,$C$5,$C$7,AL$1,AL$2,$A108)</f>
        <v>0</v>
      </c>
      <c r="AM108" s="32">
        <f ca="1">_xll.DBRW($C$1,$C$2,$C$3,$C$4,$C$6,$C$5,$C$7,AM$1,AM$2,$A108)</f>
        <v>0</v>
      </c>
      <c r="AN108" s="32">
        <f ca="1">_xll.DBRW($C$1,$C$2,$C$3,$C$4,$C$6,$C$5,$C$7,AN$1,AN$2,$A108)</f>
        <v>0</v>
      </c>
      <c r="AO108" s="32">
        <f ca="1">_xll.DBRW($C$1,$C$2,$C$3,$C$4,$C$6,$C$5,$C$7,AO$1,AO$2,$A108)</f>
        <v>0</v>
      </c>
      <c r="AP108" s="32">
        <f ca="1">_xll.DBRW($C$1,$C$2,$C$3,$C$4,$C$6,$C$5,$C$7,AP$1,AP$2,$A108)</f>
        <v>0</v>
      </c>
      <c r="AQ108" s="32">
        <f ca="1">_xll.DBRW($C$1,$C$2,$C$3,$C$4,$C$6,$C$5,$C$7,AQ$1,AQ$2,$A108)</f>
        <v>0</v>
      </c>
      <c r="AR108" s="32">
        <f ca="1">_xll.DBRW($C$1,$C$2,$C$3,$C$4,$C$6,$C$5,$C$7,AR$1,AR$2,$A108)</f>
        <v>0</v>
      </c>
      <c r="AS108" s="32">
        <f ca="1">_xll.DBRW($C$1,$C$2,$C$3,$C$4,$C$6,$C$5,$C$7,AS$1,AS$2,$A108)</f>
        <v>0</v>
      </c>
      <c r="AT108" s="32">
        <f ca="1">_xll.DBRW($C$1,$C$2,$C$3,$C$4,$C$6,$C$5,$C$7,AT$1,AT$2,$A108)</f>
        <v>0</v>
      </c>
      <c r="AU108" s="32">
        <f ca="1">_xll.DBRW($C$1,$C$2,$C$3,$C$4,$C$6,$C$5,$C$7,AU$1,AU$2,$A108)</f>
        <v>0</v>
      </c>
      <c r="AV108" s="32">
        <f ca="1">_xll.DBRW($C$1,$C$2,$C$3,$C$4,$C$6,$C$5,$C$7,AV$1,AV$2,$A108)</f>
        <v>0</v>
      </c>
      <c r="AW108" s="32">
        <f ca="1">_xll.DBRW($C$1,$C$2,$C$3,$C$4,$C$6,$C$5,$C$7,AW$1,AW$2,$A108)</f>
        <v>0</v>
      </c>
      <c r="AX108" s="32">
        <f ca="1">_xll.DBRW($C$1,$C$2,$C$3,$C$4,$C$6,$C$5,$C$7,AX$1,AX$2,$A108)</f>
        <v>0</v>
      </c>
      <c r="AY108" s="32">
        <f ca="1">_xll.DBRW($C$1,$C$2,$C$3,$C$4,$C$6,$C$5,$C$7,AY$1,AY$2,$A108)</f>
        <v>0</v>
      </c>
    </row>
    <row r="109" spans="1:51" ht="15.75" hidden="1" customHeight="1" outlineLevel="1">
      <c r="A109" s="1" t="s">
        <v>204</v>
      </c>
      <c r="C109" s="109"/>
      <c r="E109" s="9" t="str">
        <f ca="1">_xll.DBRW(Server&amp;"}ElementAttributes_Indicator",A109,"code_English")</f>
        <v>PL1150_FL_10 - Impairment (other than working capital) and provisions - others (FL)</v>
      </c>
      <c r="F109" s="32">
        <f ca="1">_xll.DBRW($C$1,$C$2,$C$3,$C$4,$C$6,$C$5,$C$7,F$1,F$2,$A109)</f>
        <v>0</v>
      </c>
      <c r="G109" s="32">
        <f ca="1">_xll.DBRW($C$1,$C$2,$C$3,$C$4,$C$6,$C$5,$C$7,G$1,G$2,$A109)</f>
        <v>0</v>
      </c>
      <c r="H109" s="32">
        <f ca="1">_xll.DBRW($C$1,$C$2,$C$3,$C$4,$C$6,$C$5,$C$7,H$1,H$2,$A109)</f>
        <v>0</v>
      </c>
      <c r="I109" s="32">
        <f ca="1">_xll.DBRW($C$1,$C$2,$C$3,$C$4,$C$6,$C$5,$C$7,I$1,I$2,$A109)</f>
        <v>0</v>
      </c>
      <c r="J109" s="32">
        <f ca="1">_xll.DBRW($C$1,$C$2,$C$3,$C$4,$C$6,$C$5,$C$7,J$1,J$2,$A109)</f>
        <v>0</v>
      </c>
      <c r="K109" s="32">
        <f ca="1">_xll.DBRW($C$1,$C$2,$C$3,$C$4,$C$6,$C$5,$C$7,K$1,K$2,$A109)</f>
        <v>0</v>
      </c>
      <c r="L109" s="32">
        <f ca="1">_xll.DBRW($C$1,$C$2,$C$3,$C$4,$C$6,$C$5,$C$7,L$1,L$2,$A109)</f>
        <v>0</v>
      </c>
      <c r="M109" s="32">
        <f ca="1">_xll.DBRW($C$1,$C$2,$C$3,$C$4,$C$6,$C$5,$C$7,M$1,M$2,$A109)</f>
        <v>0</v>
      </c>
      <c r="N109" s="32">
        <f ca="1">_xll.DBRW($C$1,$C$2,$C$3,$C$4,$C$6,$C$5,$C$7,N$1,N$2,$A109)</f>
        <v>0</v>
      </c>
      <c r="O109" s="32">
        <f ca="1">_xll.DBRW($C$1,$C$2,$C$3,$C$4,$C$6,$C$5,$C$7,O$1,O$2,$A109)</f>
        <v>0</v>
      </c>
      <c r="P109" s="32">
        <f ca="1">_xll.DBRW($C$1,$C$2,$C$3,$C$4,$C$6,$C$5,$C$7,P$1,P$2,$A109)</f>
        <v>0</v>
      </c>
      <c r="Q109" s="32">
        <f ca="1">_xll.DBRW($C$1,$C$2,$C$3,$C$4,$C$6,$C$5,$C$7,Q$1,Q$2,$A109)</f>
        <v>0</v>
      </c>
      <c r="R109" s="32">
        <f ca="1">_xll.DBRW($C$1,$C$2,$C$3,$C$4,$C$6,$C$5,$C$7,R$1,R$2,$A109)</f>
        <v>0</v>
      </c>
      <c r="S109" s="32">
        <f ca="1">_xll.DBRW($C$1,$C$2,$C$3,$C$4,$C$6,$C$5,$C$7,S$1,S$2,$A109)</f>
        <v>0</v>
      </c>
      <c r="T109" s="32">
        <f ca="1">_xll.DBRW($C$1,$C$2,$C$3,$C$4,$C$6,$C$5,$C$7,T$1,T$2,$A109)</f>
        <v>0</v>
      </c>
      <c r="U109" s="32">
        <f ca="1">_xll.DBRW($C$1,$C$2,$C$3,$C$4,$C$6,$C$5,$C$7,U$1,U$2,$A109)</f>
        <v>0</v>
      </c>
      <c r="V109" s="32">
        <f ca="1">_xll.DBRW($C$1,$C$2,$C$3,$C$4,$C$6,$C$5,$C$7,V$1,V$2,$A109)</f>
        <v>0</v>
      </c>
      <c r="W109" s="32">
        <f ca="1">_xll.DBRW($C$1,$C$2,$C$3,$C$4,$C$6,$C$5,$C$7,W$1,W$2,$A109)</f>
        <v>0</v>
      </c>
      <c r="X109" s="32">
        <f ca="1">_xll.DBRW($C$1,$C$2,$C$3,$C$4,$C$6,$C$5,$C$7,X$1,X$2,$A109)</f>
        <v>0</v>
      </c>
      <c r="Y109" s="32">
        <f ca="1">_xll.DBRW($C$1,$C$2,$C$3,$C$4,$C$6,$C$5,$C$7,Y$1,Y$2,$A109)</f>
        <v>0</v>
      </c>
      <c r="Z109" s="32">
        <f ca="1">_xll.DBRW($C$1,$C$2,$C$3,$C$4,$C$6,$C$5,$C$7,Z$1,Z$2,$A109)</f>
        <v>0</v>
      </c>
      <c r="AA109" s="32">
        <f ca="1">_xll.DBRW($C$1,$C$2,$C$3,$C$4,$C$6,$C$5,$C$7,AA$1,AA$2,$A109)</f>
        <v>0</v>
      </c>
      <c r="AB109" s="32">
        <f ca="1">_xll.DBRW($C$1,$C$2,$C$3,$C$4,$C$6,$C$5,$C$7,AB$1,AB$2,$A109)</f>
        <v>0</v>
      </c>
      <c r="AC109" s="32">
        <f ca="1">_xll.DBRW($C$1,$C$2,$C$3,$C$4,$C$6,$C$5,$C$7,AC$1,AC$2,$A109)</f>
        <v>0</v>
      </c>
      <c r="AD109" s="32">
        <f ca="1">_xll.DBRW($C$1,$C$2,$C$3,$C$4,$C$6,$C$5,$C$7,AD$1,AD$2,$A109)</f>
        <v>0</v>
      </c>
      <c r="AE109" s="32">
        <f ca="1">_xll.DBRW($C$1,$C$2,$C$3,$C$4,$C$6,$C$5,$C$7,AE$1,AE$2,$A109)</f>
        <v>0</v>
      </c>
      <c r="AF109" s="32">
        <f ca="1">_xll.DBRW($C$1,$C$2,$C$3,$C$4,$C$6,$C$5,$C$7,AF$1,AF$2,$A109)</f>
        <v>0</v>
      </c>
      <c r="AG109" s="32">
        <f ca="1">_xll.DBRW($C$1,$C$2,$C$3,$C$4,$C$6,$C$5,$C$7,AG$1,AG$2,$A109)</f>
        <v>0</v>
      </c>
      <c r="AH109" s="32">
        <f ca="1">_xll.DBRW($C$1,$C$2,$C$3,$C$4,$C$6,$C$5,$C$7,AH$1,AH$2,$A109)</f>
        <v>0</v>
      </c>
      <c r="AI109" s="32">
        <f ca="1">_xll.DBRW($C$1,$C$2,$C$3,$C$4,$C$6,$C$5,$C$7,AI$1,AI$2,$A109)</f>
        <v>0</v>
      </c>
      <c r="AJ109" s="32">
        <f ca="1">_xll.DBRW($C$1,$C$2,$C$3,$C$4,$C$6,$C$5,$C$7,AJ$1,AJ$2,$A109)</f>
        <v>0</v>
      </c>
      <c r="AK109" s="32">
        <f ca="1">_xll.DBRW($C$1,$C$2,$C$3,$C$4,$C$6,$C$5,$C$7,AK$1,AK$2,$A109)</f>
        <v>0</v>
      </c>
      <c r="AL109" s="32">
        <f ca="1">_xll.DBRW($C$1,$C$2,$C$3,$C$4,$C$6,$C$5,$C$7,AL$1,AL$2,$A109)</f>
        <v>0</v>
      </c>
      <c r="AM109" s="32">
        <f ca="1">_xll.DBRW($C$1,$C$2,$C$3,$C$4,$C$6,$C$5,$C$7,AM$1,AM$2,$A109)</f>
        <v>0</v>
      </c>
      <c r="AN109" s="32">
        <f ca="1">_xll.DBRW($C$1,$C$2,$C$3,$C$4,$C$6,$C$5,$C$7,AN$1,AN$2,$A109)</f>
        <v>0</v>
      </c>
      <c r="AO109" s="32">
        <f ca="1">_xll.DBRW($C$1,$C$2,$C$3,$C$4,$C$6,$C$5,$C$7,AO$1,AO$2,$A109)</f>
        <v>0</v>
      </c>
      <c r="AP109" s="32">
        <f ca="1">_xll.DBRW($C$1,$C$2,$C$3,$C$4,$C$6,$C$5,$C$7,AP$1,AP$2,$A109)</f>
        <v>0</v>
      </c>
      <c r="AQ109" s="32">
        <f ca="1">_xll.DBRW($C$1,$C$2,$C$3,$C$4,$C$6,$C$5,$C$7,AQ$1,AQ$2,$A109)</f>
        <v>0</v>
      </c>
      <c r="AR109" s="32">
        <f ca="1">_xll.DBRW($C$1,$C$2,$C$3,$C$4,$C$6,$C$5,$C$7,AR$1,AR$2,$A109)</f>
        <v>0</v>
      </c>
      <c r="AS109" s="32">
        <f ca="1">_xll.DBRW($C$1,$C$2,$C$3,$C$4,$C$6,$C$5,$C$7,AS$1,AS$2,$A109)</f>
        <v>0</v>
      </c>
      <c r="AT109" s="32">
        <f ca="1">_xll.DBRW($C$1,$C$2,$C$3,$C$4,$C$6,$C$5,$C$7,AT$1,AT$2,$A109)</f>
        <v>0</v>
      </c>
      <c r="AU109" s="32">
        <f ca="1">_xll.DBRW($C$1,$C$2,$C$3,$C$4,$C$6,$C$5,$C$7,AU$1,AU$2,$A109)</f>
        <v>0</v>
      </c>
      <c r="AV109" s="32">
        <f ca="1">_xll.DBRW($C$1,$C$2,$C$3,$C$4,$C$6,$C$5,$C$7,AV$1,AV$2,$A109)</f>
        <v>0</v>
      </c>
      <c r="AW109" s="32">
        <f ca="1">_xll.DBRW($C$1,$C$2,$C$3,$C$4,$C$6,$C$5,$C$7,AW$1,AW$2,$A109)</f>
        <v>0</v>
      </c>
      <c r="AX109" s="32">
        <f ca="1">_xll.DBRW($C$1,$C$2,$C$3,$C$4,$C$6,$C$5,$C$7,AX$1,AX$2,$A109)</f>
        <v>0</v>
      </c>
      <c r="AY109" s="32">
        <f ca="1">_xll.DBRW($C$1,$C$2,$C$3,$C$4,$C$6,$C$5,$C$7,AY$1,AY$2,$A109)</f>
        <v>0</v>
      </c>
    </row>
    <row r="110" spans="1:51" ht="15.75" hidden="1" customHeight="1" outlineLevel="1">
      <c r="A110" s="1" t="s">
        <v>205</v>
      </c>
      <c r="C110" s="109"/>
      <c r="E110" s="9" t="str">
        <f ca="1">_xll.DBRW(Server&amp;"}ElementAttributes_Indicator",A110,"code_English")</f>
        <v>PL1151_FL_10 - Impact of change in revaluation rate on provisions for losses on LT contracts - others (FL)</v>
      </c>
      <c r="F110" s="32">
        <f ca="1">_xll.DBRW($C$1,$C$2,$C$3,$C$4,$C$6,$C$5,$C$7,F$1,F$2,$A110)</f>
        <v>0</v>
      </c>
      <c r="G110" s="32">
        <f ca="1">_xll.DBRW($C$1,$C$2,$C$3,$C$4,$C$6,$C$5,$C$7,G$1,G$2,$A110)</f>
        <v>0</v>
      </c>
      <c r="H110" s="32">
        <f ca="1">_xll.DBRW($C$1,$C$2,$C$3,$C$4,$C$6,$C$5,$C$7,H$1,H$2,$A110)</f>
        <v>0</v>
      </c>
      <c r="I110" s="32">
        <f ca="1">_xll.DBRW($C$1,$C$2,$C$3,$C$4,$C$6,$C$5,$C$7,I$1,I$2,$A110)</f>
        <v>0</v>
      </c>
      <c r="J110" s="32">
        <f ca="1">_xll.DBRW($C$1,$C$2,$C$3,$C$4,$C$6,$C$5,$C$7,J$1,J$2,$A110)</f>
        <v>0</v>
      </c>
      <c r="K110" s="32">
        <f ca="1">_xll.DBRW($C$1,$C$2,$C$3,$C$4,$C$6,$C$5,$C$7,K$1,K$2,$A110)</f>
        <v>0</v>
      </c>
      <c r="L110" s="32">
        <f ca="1">_xll.DBRW($C$1,$C$2,$C$3,$C$4,$C$6,$C$5,$C$7,L$1,L$2,$A110)</f>
        <v>0</v>
      </c>
      <c r="M110" s="32">
        <f ca="1">_xll.DBRW($C$1,$C$2,$C$3,$C$4,$C$6,$C$5,$C$7,M$1,M$2,$A110)</f>
        <v>0</v>
      </c>
      <c r="N110" s="32">
        <f ca="1">_xll.DBRW($C$1,$C$2,$C$3,$C$4,$C$6,$C$5,$C$7,N$1,N$2,$A110)</f>
        <v>0</v>
      </c>
      <c r="O110" s="32">
        <f ca="1">_xll.DBRW($C$1,$C$2,$C$3,$C$4,$C$6,$C$5,$C$7,O$1,O$2,$A110)</f>
        <v>0</v>
      </c>
      <c r="P110" s="32">
        <f ca="1">_xll.DBRW($C$1,$C$2,$C$3,$C$4,$C$6,$C$5,$C$7,P$1,P$2,$A110)</f>
        <v>0</v>
      </c>
      <c r="Q110" s="32">
        <f ca="1">_xll.DBRW($C$1,$C$2,$C$3,$C$4,$C$6,$C$5,$C$7,Q$1,Q$2,$A110)</f>
        <v>0</v>
      </c>
      <c r="R110" s="32">
        <f ca="1">_xll.DBRW($C$1,$C$2,$C$3,$C$4,$C$6,$C$5,$C$7,R$1,R$2,$A110)</f>
        <v>0</v>
      </c>
      <c r="S110" s="32">
        <f ca="1">_xll.DBRW($C$1,$C$2,$C$3,$C$4,$C$6,$C$5,$C$7,S$1,S$2,$A110)</f>
        <v>0</v>
      </c>
      <c r="T110" s="32">
        <f ca="1">_xll.DBRW($C$1,$C$2,$C$3,$C$4,$C$6,$C$5,$C$7,T$1,T$2,$A110)</f>
        <v>0</v>
      </c>
      <c r="U110" s="32">
        <f ca="1">_xll.DBRW($C$1,$C$2,$C$3,$C$4,$C$6,$C$5,$C$7,U$1,U$2,$A110)</f>
        <v>0</v>
      </c>
      <c r="V110" s="32">
        <f ca="1">_xll.DBRW($C$1,$C$2,$C$3,$C$4,$C$6,$C$5,$C$7,V$1,V$2,$A110)</f>
        <v>0</v>
      </c>
      <c r="W110" s="32">
        <f ca="1">_xll.DBRW($C$1,$C$2,$C$3,$C$4,$C$6,$C$5,$C$7,W$1,W$2,$A110)</f>
        <v>0</v>
      </c>
      <c r="X110" s="32">
        <f ca="1">_xll.DBRW($C$1,$C$2,$C$3,$C$4,$C$6,$C$5,$C$7,X$1,X$2,$A110)</f>
        <v>0</v>
      </c>
      <c r="Y110" s="32">
        <f ca="1">_xll.DBRW($C$1,$C$2,$C$3,$C$4,$C$6,$C$5,$C$7,Y$1,Y$2,$A110)</f>
        <v>0</v>
      </c>
      <c r="Z110" s="32">
        <f ca="1">_xll.DBRW($C$1,$C$2,$C$3,$C$4,$C$6,$C$5,$C$7,Z$1,Z$2,$A110)</f>
        <v>0</v>
      </c>
      <c r="AA110" s="32">
        <f ca="1">_xll.DBRW($C$1,$C$2,$C$3,$C$4,$C$6,$C$5,$C$7,AA$1,AA$2,$A110)</f>
        <v>0</v>
      </c>
      <c r="AB110" s="32">
        <f ca="1">_xll.DBRW($C$1,$C$2,$C$3,$C$4,$C$6,$C$5,$C$7,AB$1,AB$2,$A110)</f>
        <v>0</v>
      </c>
      <c r="AC110" s="32">
        <f ca="1">_xll.DBRW($C$1,$C$2,$C$3,$C$4,$C$6,$C$5,$C$7,AC$1,AC$2,$A110)</f>
        <v>0</v>
      </c>
      <c r="AD110" s="32">
        <f ca="1">_xll.DBRW($C$1,$C$2,$C$3,$C$4,$C$6,$C$5,$C$7,AD$1,AD$2,$A110)</f>
        <v>0</v>
      </c>
      <c r="AE110" s="32">
        <f ca="1">_xll.DBRW($C$1,$C$2,$C$3,$C$4,$C$6,$C$5,$C$7,AE$1,AE$2,$A110)</f>
        <v>0</v>
      </c>
      <c r="AF110" s="32">
        <f ca="1">_xll.DBRW($C$1,$C$2,$C$3,$C$4,$C$6,$C$5,$C$7,AF$1,AF$2,$A110)</f>
        <v>0</v>
      </c>
      <c r="AG110" s="32">
        <f ca="1">_xll.DBRW($C$1,$C$2,$C$3,$C$4,$C$6,$C$5,$C$7,AG$1,AG$2,$A110)</f>
        <v>0</v>
      </c>
      <c r="AH110" s="32">
        <f ca="1">_xll.DBRW($C$1,$C$2,$C$3,$C$4,$C$6,$C$5,$C$7,AH$1,AH$2,$A110)</f>
        <v>0</v>
      </c>
      <c r="AI110" s="32">
        <f ca="1">_xll.DBRW($C$1,$C$2,$C$3,$C$4,$C$6,$C$5,$C$7,AI$1,AI$2,$A110)</f>
        <v>0</v>
      </c>
      <c r="AJ110" s="32">
        <f ca="1">_xll.DBRW($C$1,$C$2,$C$3,$C$4,$C$6,$C$5,$C$7,AJ$1,AJ$2,$A110)</f>
        <v>0</v>
      </c>
      <c r="AK110" s="32">
        <f ca="1">_xll.DBRW($C$1,$C$2,$C$3,$C$4,$C$6,$C$5,$C$7,AK$1,AK$2,$A110)</f>
        <v>0</v>
      </c>
      <c r="AL110" s="32">
        <f ca="1">_xll.DBRW($C$1,$C$2,$C$3,$C$4,$C$6,$C$5,$C$7,AL$1,AL$2,$A110)</f>
        <v>0</v>
      </c>
      <c r="AM110" s="32">
        <f ca="1">_xll.DBRW($C$1,$C$2,$C$3,$C$4,$C$6,$C$5,$C$7,AM$1,AM$2,$A110)</f>
        <v>0</v>
      </c>
      <c r="AN110" s="32">
        <f ca="1">_xll.DBRW($C$1,$C$2,$C$3,$C$4,$C$6,$C$5,$C$7,AN$1,AN$2,$A110)</f>
        <v>0</v>
      </c>
      <c r="AO110" s="32">
        <f ca="1">_xll.DBRW($C$1,$C$2,$C$3,$C$4,$C$6,$C$5,$C$7,AO$1,AO$2,$A110)</f>
        <v>0</v>
      </c>
      <c r="AP110" s="32">
        <f ca="1">_xll.DBRW($C$1,$C$2,$C$3,$C$4,$C$6,$C$5,$C$7,AP$1,AP$2,$A110)</f>
        <v>0</v>
      </c>
      <c r="AQ110" s="32">
        <f ca="1">_xll.DBRW($C$1,$C$2,$C$3,$C$4,$C$6,$C$5,$C$7,AQ$1,AQ$2,$A110)</f>
        <v>0</v>
      </c>
      <c r="AR110" s="32">
        <f ca="1">_xll.DBRW($C$1,$C$2,$C$3,$C$4,$C$6,$C$5,$C$7,AR$1,AR$2,$A110)</f>
        <v>0</v>
      </c>
      <c r="AS110" s="32">
        <f ca="1">_xll.DBRW($C$1,$C$2,$C$3,$C$4,$C$6,$C$5,$C$7,AS$1,AS$2,$A110)</f>
        <v>0</v>
      </c>
      <c r="AT110" s="32">
        <f ca="1">_xll.DBRW($C$1,$C$2,$C$3,$C$4,$C$6,$C$5,$C$7,AT$1,AT$2,$A110)</f>
        <v>0</v>
      </c>
      <c r="AU110" s="32">
        <f ca="1">_xll.DBRW($C$1,$C$2,$C$3,$C$4,$C$6,$C$5,$C$7,AU$1,AU$2,$A110)</f>
        <v>0</v>
      </c>
      <c r="AV110" s="32">
        <f ca="1">_xll.DBRW($C$1,$C$2,$C$3,$C$4,$C$6,$C$5,$C$7,AV$1,AV$2,$A110)</f>
        <v>0</v>
      </c>
      <c r="AW110" s="32">
        <f ca="1">_xll.DBRW($C$1,$C$2,$C$3,$C$4,$C$6,$C$5,$C$7,AW$1,AW$2,$A110)</f>
        <v>0</v>
      </c>
      <c r="AX110" s="32">
        <f ca="1">_xll.DBRW($C$1,$C$2,$C$3,$C$4,$C$6,$C$5,$C$7,AX$1,AX$2,$A110)</f>
        <v>0</v>
      </c>
      <c r="AY110" s="32">
        <f ca="1">_xll.DBRW($C$1,$C$2,$C$3,$C$4,$C$6,$C$5,$C$7,AY$1,AY$2,$A110)</f>
        <v>0</v>
      </c>
    </row>
    <row r="111" spans="1:51" ht="15.75" hidden="1" customHeight="1" outlineLevel="1">
      <c r="A111" s="1" t="s">
        <v>206</v>
      </c>
      <c r="C111" s="109"/>
      <c r="E111" s="9" t="str">
        <f ca="1">_xll.DBRW(Server&amp;"}ElementAttributes_Indicator",A111,"code_English")</f>
        <v>PL1160_FL_10 - Gains/losses on disposal of tangible &amp; intangible fixed assets (FL)</v>
      </c>
      <c r="F111" s="32">
        <f ca="1">_xll.DBRW($C$1,$C$2,$C$3,$C$4,$C$6,$C$5,$C$7,F$1,F$2,$A111)</f>
        <v>0</v>
      </c>
      <c r="G111" s="32">
        <f ca="1">_xll.DBRW($C$1,$C$2,$C$3,$C$4,$C$6,$C$5,$C$7,G$1,G$2,$A111)</f>
        <v>0</v>
      </c>
      <c r="H111" s="32">
        <f ca="1">_xll.DBRW($C$1,$C$2,$C$3,$C$4,$C$6,$C$5,$C$7,H$1,H$2,$A111)</f>
        <v>0</v>
      </c>
      <c r="I111" s="32">
        <f ca="1">_xll.DBRW($C$1,$C$2,$C$3,$C$4,$C$6,$C$5,$C$7,I$1,I$2,$A111)</f>
        <v>0</v>
      </c>
      <c r="J111" s="32">
        <f ca="1">_xll.DBRW($C$1,$C$2,$C$3,$C$4,$C$6,$C$5,$C$7,J$1,J$2,$A111)</f>
        <v>0</v>
      </c>
      <c r="K111" s="32">
        <f ca="1">_xll.DBRW($C$1,$C$2,$C$3,$C$4,$C$6,$C$5,$C$7,K$1,K$2,$A111)</f>
        <v>0</v>
      </c>
      <c r="L111" s="32">
        <f ca="1">_xll.DBRW($C$1,$C$2,$C$3,$C$4,$C$6,$C$5,$C$7,L$1,L$2,$A111)</f>
        <v>0</v>
      </c>
      <c r="M111" s="32">
        <f ca="1">_xll.DBRW($C$1,$C$2,$C$3,$C$4,$C$6,$C$5,$C$7,M$1,M$2,$A111)</f>
        <v>0</v>
      </c>
      <c r="N111" s="32">
        <f ca="1">_xll.DBRW($C$1,$C$2,$C$3,$C$4,$C$6,$C$5,$C$7,N$1,N$2,$A111)</f>
        <v>0</v>
      </c>
      <c r="O111" s="32">
        <f ca="1">_xll.DBRW($C$1,$C$2,$C$3,$C$4,$C$6,$C$5,$C$7,O$1,O$2,$A111)</f>
        <v>0</v>
      </c>
      <c r="P111" s="32">
        <f ca="1">_xll.DBRW($C$1,$C$2,$C$3,$C$4,$C$6,$C$5,$C$7,P$1,P$2,$A111)</f>
        <v>0</v>
      </c>
      <c r="Q111" s="32">
        <f ca="1">_xll.DBRW($C$1,$C$2,$C$3,$C$4,$C$6,$C$5,$C$7,Q$1,Q$2,$A111)</f>
        <v>0</v>
      </c>
      <c r="R111" s="32">
        <f ca="1">_xll.DBRW($C$1,$C$2,$C$3,$C$4,$C$6,$C$5,$C$7,R$1,R$2,$A111)</f>
        <v>0</v>
      </c>
      <c r="S111" s="32">
        <f ca="1">_xll.DBRW($C$1,$C$2,$C$3,$C$4,$C$6,$C$5,$C$7,S$1,S$2,$A111)</f>
        <v>0</v>
      </c>
      <c r="T111" s="32">
        <f ca="1">_xll.DBRW($C$1,$C$2,$C$3,$C$4,$C$6,$C$5,$C$7,T$1,T$2,$A111)</f>
        <v>0</v>
      </c>
      <c r="U111" s="32">
        <f ca="1">_xll.DBRW($C$1,$C$2,$C$3,$C$4,$C$6,$C$5,$C$7,U$1,U$2,$A111)</f>
        <v>0</v>
      </c>
      <c r="V111" s="32">
        <f ca="1">_xll.DBRW($C$1,$C$2,$C$3,$C$4,$C$6,$C$5,$C$7,V$1,V$2,$A111)</f>
        <v>0</v>
      </c>
      <c r="W111" s="32">
        <f ca="1">_xll.DBRW($C$1,$C$2,$C$3,$C$4,$C$6,$C$5,$C$7,W$1,W$2,$A111)</f>
        <v>0</v>
      </c>
      <c r="X111" s="32">
        <f ca="1">_xll.DBRW($C$1,$C$2,$C$3,$C$4,$C$6,$C$5,$C$7,X$1,X$2,$A111)</f>
        <v>0</v>
      </c>
      <c r="Y111" s="32">
        <f ca="1">_xll.DBRW($C$1,$C$2,$C$3,$C$4,$C$6,$C$5,$C$7,Y$1,Y$2,$A111)</f>
        <v>0</v>
      </c>
      <c r="Z111" s="32">
        <f ca="1">_xll.DBRW($C$1,$C$2,$C$3,$C$4,$C$6,$C$5,$C$7,Z$1,Z$2,$A111)</f>
        <v>0</v>
      </c>
      <c r="AA111" s="32">
        <f ca="1">_xll.DBRW($C$1,$C$2,$C$3,$C$4,$C$6,$C$5,$C$7,AA$1,AA$2,$A111)</f>
        <v>0</v>
      </c>
      <c r="AB111" s="32">
        <f ca="1">_xll.DBRW($C$1,$C$2,$C$3,$C$4,$C$6,$C$5,$C$7,AB$1,AB$2,$A111)</f>
        <v>0</v>
      </c>
      <c r="AC111" s="32">
        <f ca="1">_xll.DBRW($C$1,$C$2,$C$3,$C$4,$C$6,$C$5,$C$7,AC$1,AC$2,$A111)</f>
        <v>0</v>
      </c>
      <c r="AD111" s="32">
        <f ca="1">_xll.DBRW($C$1,$C$2,$C$3,$C$4,$C$6,$C$5,$C$7,AD$1,AD$2,$A111)</f>
        <v>0</v>
      </c>
      <c r="AE111" s="32">
        <f ca="1">_xll.DBRW($C$1,$C$2,$C$3,$C$4,$C$6,$C$5,$C$7,AE$1,AE$2,$A111)</f>
        <v>0</v>
      </c>
      <c r="AF111" s="32">
        <f ca="1">_xll.DBRW($C$1,$C$2,$C$3,$C$4,$C$6,$C$5,$C$7,AF$1,AF$2,$A111)</f>
        <v>0</v>
      </c>
      <c r="AG111" s="32">
        <f ca="1">_xll.DBRW($C$1,$C$2,$C$3,$C$4,$C$6,$C$5,$C$7,AG$1,AG$2,$A111)</f>
        <v>0</v>
      </c>
      <c r="AH111" s="32">
        <f ca="1">_xll.DBRW($C$1,$C$2,$C$3,$C$4,$C$6,$C$5,$C$7,AH$1,AH$2,$A111)</f>
        <v>0</v>
      </c>
      <c r="AI111" s="32">
        <f ca="1">_xll.DBRW($C$1,$C$2,$C$3,$C$4,$C$6,$C$5,$C$7,AI$1,AI$2,$A111)</f>
        <v>0</v>
      </c>
      <c r="AJ111" s="32">
        <f ca="1">_xll.DBRW($C$1,$C$2,$C$3,$C$4,$C$6,$C$5,$C$7,AJ$1,AJ$2,$A111)</f>
        <v>0</v>
      </c>
      <c r="AK111" s="32">
        <f ca="1">_xll.DBRW($C$1,$C$2,$C$3,$C$4,$C$6,$C$5,$C$7,AK$1,AK$2,$A111)</f>
        <v>0</v>
      </c>
      <c r="AL111" s="32">
        <f ca="1">_xll.DBRW($C$1,$C$2,$C$3,$C$4,$C$6,$C$5,$C$7,AL$1,AL$2,$A111)</f>
        <v>0</v>
      </c>
      <c r="AM111" s="32">
        <f ca="1">_xll.DBRW($C$1,$C$2,$C$3,$C$4,$C$6,$C$5,$C$7,AM$1,AM$2,$A111)</f>
        <v>0</v>
      </c>
      <c r="AN111" s="32">
        <f ca="1">_xll.DBRW($C$1,$C$2,$C$3,$C$4,$C$6,$C$5,$C$7,AN$1,AN$2,$A111)</f>
        <v>0</v>
      </c>
      <c r="AO111" s="32">
        <f ca="1">_xll.DBRW($C$1,$C$2,$C$3,$C$4,$C$6,$C$5,$C$7,AO$1,AO$2,$A111)</f>
        <v>0</v>
      </c>
      <c r="AP111" s="32">
        <f ca="1">_xll.DBRW($C$1,$C$2,$C$3,$C$4,$C$6,$C$5,$C$7,AP$1,AP$2,$A111)</f>
        <v>0</v>
      </c>
      <c r="AQ111" s="32">
        <f ca="1">_xll.DBRW($C$1,$C$2,$C$3,$C$4,$C$6,$C$5,$C$7,AQ$1,AQ$2,$A111)</f>
        <v>0</v>
      </c>
      <c r="AR111" s="32">
        <f ca="1">_xll.DBRW($C$1,$C$2,$C$3,$C$4,$C$6,$C$5,$C$7,AR$1,AR$2,$A111)</f>
        <v>0</v>
      </c>
      <c r="AS111" s="32">
        <f ca="1">_xll.DBRW($C$1,$C$2,$C$3,$C$4,$C$6,$C$5,$C$7,AS$1,AS$2,$A111)</f>
        <v>0</v>
      </c>
      <c r="AT111" s="32">
        <f ca="1">_xll.DBRW($C$1,$C$2,$C$3,$C$4,$C$6,$C$5,$C$7,AT$1,AT$2,$A111)</f>
        <v>0</v>
      </c>
      <c r="AU111" s="32">
        <f ca="1">_xll.DBRW($C$1,$C$2,$C$3,$C$4,$C$6,$C$5,$C$7,AU$1,AU$2,$A111)</f>
        <v>0</v>
      </c>
      <c r="AV111" s="32">
        <f ca="1">_xll.DBRW($C$1,$C$2,$C$3,$C$4,$C$6,$C$5,$C$7,AV$1,AV$2,$A111)</f>
        <v>0</v>
      </c>
      <c r="AW111" s="32">
        <f ca="1">_xll.DBRW($C$1,$C$2,$C$3,$C$4,$C$6,$C$5,$C$7,AW$1,AW$2,$A111)</f>
        <v>0</v>
      </c>
      <c r="AX111" s="32">
        <f ca="1">_xll.DBRW($C$1,$C$2,$C$3,$C$4,$C$6,$C$5,$C$7,AX$1,AX$2,$A111)</f>
        <v>0</v>
      </c>
      <c r="AY111" s="32">
        <f ca="1">_xll.DBRW($C$1,$C$2,$C$3,$C$4,$C$6,$C$5,$C$7,AY$1,AY$2,$A111)</f>
        <v>0</v>
      </c>
    </row>
    <row r="112" spans="1:51" ht="15.75" hidden="1" customHeight="1" outlineLevel="1">
      <c r="A112" s="1" t="s">
        <v>207</v>
      </c>
      <c r="C112" s="109"/>
      <c r="E112" s="9" t="str">
        <f ca="1">_xll.DBRW(Server&amp;"}ElementAttributes_Indicator",A112,"code_English")</f>
        <v>PL1162_FL - COS - Gains/losses on disposal of right-of-use (FL)</v>
      </c>
      <c r="F112" s="32">
        <f ca="1">_xll.DBRW($C$1,$C$2,$C$3,$C$4,$C$6,$C$5,$C$7,F$1,F$2,$A112)</f>
        <v>0</v>
      </c>
      <c r="G112" s="32">
        <f ca="1">_xll.DBRW($C$1,$C$2,$C$3,$C$4,$C$6,$C$5,$C$7,G$1,G$2,$A112)</f>
        <v>0</v>
      </c>
      <c r="H112" s="32">
        <f ca="1">_xll.DBRW($C$1,$C$2,$C$3,$C$4,$C$6,$C$5,$C$7,H$1,H$2,$A112)</f>
        <v>0</v>
      </c>
      <c r="I112" s="32">
        <f ca="1">_xll.DBRW($C$1,$C$2,$C$3,$C$4,$C$6,$C$5,$C$7,I$1,I$2,$A112)</f>
        <v>0</v>
      </c>
      <c r="J112" s="32">
        <f ca="1">_xll.DBRW($C$1,$C$2,$C$3,$C$4,$C$6,$C$5,$C$7,J$1,J$2,$A112)</f>
        <v>0</v>
      </c>
      <c r="K112" s="32">
        <f ca="1">_xll.DBRW($C$1,$C$2,$C$3,$C$4,$C$6,$C$5,$C$7,K$1,K$2,$A112)</f>
        <v>0</v>
      </c>
      <c r="L112" s="32">
        <f ca="1">_xll.DBRW($C$1,$C$2,$C$3,$C$4,$C$6,$C$5,$C$7,L$1,L$2,$A112)</f>
        <v>0</v>
      </c>
      <c r="M112" s="32">
        <f ca="1">_xll.DBRW($C$1,$C$2,$C$3,$C$4,$C$6,$C$5,$C$7,M$1,M$2,$A112)</f>
        <v>0</v>
      </c>
      <c r="N112" s="32">
        <f ca="1">_xll.DBRW($C$1,$C$2,$C$3,$C$4,$C$6,$C$5,$C$7,N$1,N$2,$A112)</f>
        <v>0</v>
      </c>
      <c r="O112" s="32">
        <f ca="1">_xll.DBRW($C$1,$C$2,$C$3,$C$4,$C$6,$C$5,$C$7,O$1,O$2,$A112)</f>
        <v>0</v>
      </c>
      <c r="P112" s="32">
        <f ca="1">_xll.DBRW($C$1,$C$2,$C$3,$C$4,$C$6,$C$5,$C$7,P$1,P$2,$A112)</f>
        <v>0</v>
      </c>
      <c r="Q112" s="32">
        <f ca="1">_xll.DBRW($C$1,$C$2,$C$3,$C$4,$C$6,$C$5,$C$7,Q$1,Q$2,$A112)</f>
        <v>0</v>
      </c>
      <c r="R112" s="32">
        <f ca="1">_xll.DBRW($C$1,$C$2,$C$3,$C$4,$C$6,$C$5,$C$7,R$1,R$2,$A112)</f>
        <v>0</v>
      </c>
      <c r="S112" s="32">
        <f ca="1">_xll.DBRW($C$1,$C$2,$C$3,$C$4,$C$6,$C$5,$C$7,S$1,S$2,$A112)</f>
        <v>0</v>
      </c>
      <c r="T112" s="32">
        <f ca="1">_xll.DBRW($C$1,$C$2,$C$3,$C$4,$C$6,$C$5,$C$7,T$1,T$2,$A112)</f>
        <v>0</v>
      </c>
      <c r="U112" s="32">
        <f ca="1">_xll.DBRW($C$1,$C$2,$C$3,$C$4,$C$6,$C$5,$C$7,U$1,U$2,$A112)</f>
        <v>0</v>
      </c>
      <c r="V112" s="32">
        <f ca="1">_xll.DBRW($C$1,$C$2,$C$3,$C$4,$C$6,$C$5,$C$7,V$1,V$2,$A112)</f>
        <v>0</v>
      </c>
      <c r="W112" s="32">
        <f ca="1">_xll.DBRW($C$1,$C$2,$C$3,$C$4,$C$6,$C$5,$C$7,W$1,W$2,$A112)</f>
        <v>0</v>
      </c>
      <c r="X112" s="32">
        <f ca="1">_xll.DBRW($C$1,$C$2,$C$3,$C$4,$C$6,$C$5,$C$7,X$1,X$2,$A112)</f>
        <v>0</v>
      </c>
      <c r="Y112" s="32">
        <f ca="1">_xll.DBRW($C$1,$C$2,$C$3,$C$4,$C$6,$C$5,$C$7,Y$1,Y$2,$A112)</f>
        <v>0</v>
      </c>
      <c r="Z112" s="32">
        <f ca="1">_xll.DBRW($C$1,$C$2,$C$3,$C$4,$C$6,$C$5,$C$7,Z$1,Z$2,$A112)</f>
        <v>0</v>
      </c>
      <c r="AA112" s="32">
        <f ca="1">_xll.DBRW($C$1,$C$2,$C$3,$C$4,$C$6,$C$5,$C$7,AA$1,AA$2,$A112)</f>
        <v>0</v>
      </c>
      <c r="AB112" s="32">
        <f ca="1">_xll.DBRW($C$1,$C$2,$C$3,$C$4,$C$6,$C$5,$C$7,AB$1,AB$2,$A112)</f>
        <v>0</v>
      </c>
      <c r="AC112" s="32">
        <f ca="1">_xll.DBRW($C$1,$C$2,$C$3,$C$4,$C$6,$C$5,$C$7,AC$1,AC$2,$A112)</f>
        <v>0</v>
      </c>
      <c r="AD112" s="32">
        <f ca="1">_xll.DBRW($C$1,$C$2,$C$3,$C$4,$C$6,$C$5,$C$7,AD$1,AD$2,$A112)</f>
        <v>0</v>
      </c>
      <c r="AE112" s="32">
        <f ca="1">_xll.DBRW($C$1,$C$2,$C$3,$C$4,$C$6,$C$5,$C$7,AE$1,AE$2,$A112)</f>
        <v>0</v>
      </c>
      <c r="AF112" s="32">
        <f ca="1">_xll.DBRW($C$1,$C$2,$C$3,$C$4,$C$6,$C$5,$C$7,AF$1,AF$2,$A112)</f>
        <v>0</v>
      </c>
      <c r="AG112" s="32">
        <f ca="1">_xll.DBRW($C$1,$C$2,$C$3,$C$4,$C$6,$C$5,$C$7,AG$1,AG$2,$A112)</f>
        <v>0</v>
      </c>
      <c r="AH112" s="32">
        <f ca="1">_xll.DBRW($C$1,$C$2,$C$3,$C$4,$C$6,$C$5,$C$7,AH$1,AH$2,$A112)</f>
        <v>0</v>
      </c>
      <c r="AI112" s="32">
        <f ca="1">_xll.DBRW($C$1,$C$2,$C$3,$C$4,$C$6,$C$5,$C$7,AI$1,AI$2,$A112)</f>
        <v>0</v>
      </c>
      <c r="AJ112" s="32">
        <f ca="1">_xll.DBRW($C$1,$C$2,$C$3,$C$4,$C$6,$C$5,$C$7,AJ$1,AJ$2,$A112)</f>
        <v>0</v>
      </c>
      <c r="AK112" s="32">
        <f ca="1">_xll.DBRW($C$1,$C$2,$C$3,$C$4,$C$6,$C$5,$C$7,AK$1,AK$2,$A112)</f>
        <v>0</v>
      </c>
      <c r="AL112" s="32">
        <f ca="1">_xll.DBRW($C$1,$C$2,$C$3,$C$4,$C$6,$C$5,$C$7,AL$1,AL$2,$A112)</f>
        <v>0</v>
      </c>
      <c r="AM112" s="32">
        <f ca="1">_xll.DBRW($C$1,$C$2,$C$3,$C$4,$C$6,$C$5,$C$7,AM$1,AM$2,$A112)</f>
        <v>0</v>
      </c>
      <c r="AN112" s="32">
        <f ca="1">_xll.DBRW($C$1,$C$2,$C$3,$C$4,$C$6,$C$5,$C$7,AN$1,AN$2,$A112)</f>
        <v>0</v>
      </c>
      <c r="AO112" s="32">
        <f ca="1">_xll.DBRW($C$1,$C$2,$C$3,$C$4,$C$6,$C$5,$C$7,AO$1,AO$2,$A112)</f>
        <v>0</v>
      </c>
      <c r="AP112" s="32">
        <f ca="1">_xll.DBRW($C$1,$C$2,$C$3,$C$4,$C$6,$C$5,$C$7,AP$1,AP$2,$A112)</f>
        <v>0</v>
      </c>
      <c r="AQ112" s="32">
        <f ca="1">_xll.DBRW($C$1,$C$2,$C$3,$C$4,$C$6,$C$5,$C$7,AQ$1,AQ$2,$A112)</f>
        <v>0</v>
      </c>
      <c r="AR112" s="32">
        <f ca="1">_xll.DBRW($C$1,$C$2,$C$3,$C$4,$C$6,$C$5,$C$7,AR$1,AR$2,$A112)</f>
        <v>0</v>
      </c>
      <c r="AS112" s="32">
        <f ca="1">_xll.DBRW($C$1,$C$2,$C$3,$C$4,$C$6,$C$5,$C$7,AS$1,AS$2,$A112)</f>
        <v>0</v>
      </c>
      <c r="AT112" s="32">
        <f ca="1">_xll.DBRW($C$1,$C$2,$C$3,$C$4,$C$6,$C$5,$C$7,AT$1,AT$2,$A112)</f>
        <v>0</v>
      </c>
      <c r="AU112" s="32">
        <f ca="1">_xll.DBRW($C$1,$C$2,$C$3,$C$4,$C$6,$C$5,$C$7,AU$1,AU$2,$A112)</f>
        <v>0</v>
      </c>
      <c r="AV112" s="32">
        <f ca="1">_xll.DBRW($C$1,$C$2,$C$3,$C$4,$C$6,$C$5,$C$7,AV$1,AV$2,$A112)</f>
        <v>0</v>
      </c>
      <c r="AW112" s="32">
        <f ca="1">_xll.DBRW($C$1,$C$2,$C$3,$C$4,$C$6,$C$5,$C$7,AW$1,AW$2,$A112)</f>
        <v>0</v>
      </c>
      <c r="AX112" s="32">
        <f ca="1">_xll.DBRW($C$1,$C$2,$C$3,$C$4,$C$6,$C$5,$C$7,AX$1,AX$2,$A112)</f>
        <v>0</v>
      </c>
      <c r="AY112" s="32">
        <f ca="1">_xll.DBRW($C$1,$C$2,$C$3,$C$4,$C$6,$C$5,$C$7,AY$1,AY$2,$A112)</f>
        <v>0</v>
      </c>
    </row>
    <row r="113" spans="1:51" ht="15.5" hidden="1" outlineLevel="1" collapsed="1">
      <c r="A113" s="1" t="s">
        <v>142</v>
      </c>
      <c r="C113" s="109"/>
      <c r="E113" s="14" t="s">
        <v>37</v>
      </c>
      <c r="F113" s="33">
        <f t="shared" ref="F113:L113" ca="1" si="79">SUM(F103:F112)</f>
        <v>0</v>
      </c>
      <c r="G113" s="33">
        <f t="shared" ca="1" si="79"/>
        <v>0</v>
      </c>
      <c r="H113" s="33">
        <f t="shared" ca="1" si="79"/>
        <v>0</v>
      </c>
      <c r="I113" s="33">
        <f t="shared" ca="1" si="79"/>
        <v>0</v>
      </c>
      <c r="J113" s="33">
        <f t="shared" ca="1" si="79"/>
        <v>0</v>
      </c>
      <c r="K113" s="33">
        <f t="shared" ca="1" si="79"/>
        <v>0</v>
      </c>
      <c r="L113" s="33">
        <f t="shared" ca="1" si="79"/>
        <v>0</v>
      </c>
      <c r="M113" s="33">
        <f t="shared" ref="M113:X113" ca="1" si="80">SUM(M103:M112)</f>
        <v>0</v>
      </c>
      <c r="N113" s="33">
        <f t="shared" ca="1" si="80"/>
        <v>0</v>
      </c>
      <c r="O113" s="33">
        <f t="shared" ca="1" si="80"/>
        <v>0</v>
      </c>
      <c r="P113" s="33">
        <f t="shared" ca="1" si="80"/>
        <v>0</v>
      </c>
      <c r="Q113" s="33">
        <f t="shared" ca="1" si="80"/>
        <v>0</v>
      </c>
      <c r="R113" s="33">
        <f t="shared" ca="1" si="80"/>
        <v>0</v>
      </c>
      <c r="S113" s="33">
        <f t="shared" ca="1" si="80"/>
        <v>0</v>
      </c>
      <c r="T113" s="33">
        <f t="shared" ca="1" si="80"/>
        <v>0</v>
      </c>
      <c r="U113" s="33">
        <f t="shared" ca="1" si="80"/>
        <v>0</v>
      </c>
      <c r="V113" s="33">
        <f t="shared" ca="1" si="80"/>
        <v>0</v>
      </c>
      <c r="W113" s="33">
        <f t="shared" ca="1" si="80"/>
        <v>0</v>
      </c>
      <c r="X113" s="33">
        <f t="shared" ca="1" si="80"/>
        <v>0</v>
      </c>
      <c r="Y113" s="33">
        <f ca="1">SUM(Y103:Y112)</f>
        <v>0</v>
      </c>
      <c r="Z113" s="33">
        <f t="shared" ref="Z113:AK113" ca="1" si="81">SUM(Z103:Z112)</f>
        <v>0</v>
      </c>
      <c r="AA113" s="33">
        <f t="shared" ca="1" si="81"/>
        <v>0</v>
      </c>
      <c r="AB113" s="33">
        <f t="shared" ca="1" si="81"/>
        <v>0</v>
      </c>
      <c r="AC113" s="33">
        <f t="shared" ca="1" si="81"/>
        <v>0</v>
      </c>
      <c r="AD113" s="33">
        <f t="shared" ca="1" si="81"/>
        <v>0</v>
      </c>
      <c r="AE113" s="33">
        <f t="shared" ca="1" si="81"/>
        <v>0</v>
      </c>
      <c r="AF113" s="33">
        <f t="shared" ca="1" si="81"/>
        <v>0</v>
      </c>
      <c r="AG113" s="33">
        <f t="shared" ca="1" si="81"/>
        <v>0</v>
      </c>
      <c r="AH113" s="33">
        <f t="shared" ca="1" si="81"/>
        <v>0</v>
      </c>
      <c r="AI113" s="33">
        <f t="shared" ca="1" si="81"/>
        <v>0</v>
      </c>
      <c r="AJ113" s="33">
        <f t="shared" ca="1" si="81"/>
        <v>0</v>
      </c>
      <c r="AK113" s="33">
        <f t="shared" ca="1" si="81"/>
        <v>0</v>
      </c>
      <c r="AL113" s="33">
        <f ca="1">SUM(AL103:AL112)</f>
        <v>0</v>
      </c>
      <c r="AM113" s="33">
        <f t="shared" ref="AM113:AX113" ca="1" si="82">SUM(AM103:AM112)</f>
        <v>0</v>
      </c>
      <c r="AN113" s="33">
        <f t="shared" ca="1" si="82"/>
        <v>0</v>
      </c>
      <c r="AO113" s="33">
        <f t="shared" ca="1" si="82"/>
        <v>0</v>
      </c>
      <c r="AP113" s="33">
        <f t="shared" ca="1" si="82"/>
        <v>0</v>
      </c>
      <c r="AQ113" s="33">
        <f t="shared" ca="1" si="82"/>
        <v>0</v>
      </c>
      <c r="AR113" s="33">
        <f t="shared" ca="1" si="82"/>
        <v>0</v>
      </c>
      <c r="AS113" s="33">
        <f t="shared" ca="1" si="82"/>
        <v>0</v>
      </c>
      <c r="AT113" s="33">
        <f t="shared" ca="1" si="82"/>
        <v>0</v>
      </c>
      <c r="AU113" s="33">
        <f t="shared" ca="1" si="82"/>
        <v>0</v>
      </c>
      <c r="AV113" s="33">
        <f t="shared" ca="1" si="82"/>
        <v>0</v>
      </c>
      <c r="AW113" s="33">
        <f t="shared" ca="1" si="82"/>
        <v>0</v>
      </c>
      <c r="AX113" s="33">
        <f t="shared" ca="1" si="82"/>
        <v>0</v>
      </c>
      <c r="AY113" s="33">
        <f ca="1">SUM(AY103:AY112)</f>
        <v>0</v>
      </c>
    </row>
    <row r="114" spans="1:51" ht="15.75" hidden="1" customHeight="1" outlineLevel="2">
      <c r="A114" s="1" t="s">
        <v>208</v>
      </c>
      <c r="C114" s="109"/>
      <c r="E114" s="9" t="str">
        <f ca="1">_xll.DBRW(Server&amp;"}ElementAttributes_Indicator",A114,"code_English")</f>
        <v>PL1115_FL_65 - Fleet vehicle taxes (FL)</v>
      </c>
      <c r="F114" s="33">
        <f ca="1">_xll.DBRW($C$1,$C$2,$C$3,$C$4,$C$6,$C$5,$C$7,F$1,F$2,$A114)</f>
        <v>0</v>
      </c>
      <c r="G114" s="33">
        <f ca="1">_xll.DBRW($C$1,$C$2,$C$3,$C$4,$C$6,$C$5,$C$7,G$1,G$2,$A114)</f>
        <v>0</v>
      </c>
      <c r="H114" s="33">
        <f ca="1">_xll.DBRW($C$1,$C$2,$C$3,$C$4,$C$6,$C$5,$C$7,H$1,H$2,$A114)</f>
        <v>0</v>
      </c>
      <c r="I114" s="33">
        <f ca="1">_xll.DBRW($C$1,$C$2,$C$3,$C$4,$C$6,$C$5,$C$7,I$1,I$2,$A114)</f>
        <v>0</v>
      </c>
      <c r="J114" s="33">
        <f ca="1">_xll.DBRW($C$1,$C$2,$C$3,$C$4,$C$6,$C$5,$C$7,J$1,J$2,$A114)</f>
        <v>0</v>
      </c>
      <c r="K114" s="33">
        <f ca="1">_xll.DBRW($C$1,$C$2,$C$3,$C$4,$C$6,$C$5,$C$7,K$1,K$2,$A114)</f>
        <v>0</v>
      </c>
      <c r="L114" s="33">
        <f ca="1">_xll.DBRW($C$1,$C$2,$C$3,$C$4,$C$6,$C$5,$C$7,L$1,L$2,$A114)</f>
        <v>0</v>
      </c>
      <c r="M114" s="33">
        <f ca="1">_xll.DBRW($C$1,$C$2,$C$3,$C$4,$C$6,$C$5,$C$7,M$1,M$2,$A114)</f>
        <v>0</v>
      </c>
      <c r="N114" s="33">
        <f ca="1">_xll.DBRW($C$1,$C$2,$C$3,$C$4,$C$6,$C$5,$C$7,N$1,N$2,$A114)</f>
        <v>0</v>
      </c>
      <c r="O114" s="33">
        <f ca="1">_xll.DBRW($C$1,$C$2,$C$3,$C$4,$C$6,$C$5,$C$7,O$1,O$2,$A114)</f>
        <v>0</v>
      </c>
      <c r="P114" s="33">
        <f ca="1">_xll.DBRW($C$1,$C$2,$C$3,$C$4,$C$6,$C$5,$C$7,P$1,P$2,$A114)</f>
        <v>0</v>
      </c>
      <c r="Q114" s="33">
        <f ca="1">_xll.DBRW($C$1,$C$2,$C$3,$C$4,$C$6,$C$5,$C$7,Q$1,Q$2,$A114)</f>
        <v>0</v>
      </c>
      <c r="R114" s="33">
        <f ca="1">_xll.DBRW($C$1,$C$2,$C$3,$C$4,$C$6,$C$5,$C$7,R$1,R$2,$A114)</f>
        <v>0</v>
      </c>
      <c r="S114" s="33">
        <f ca="1">_xll.DBRW($C$1,$C$2,$C$3,$C$4,$C$6,$C$5,$C$7,S$1,S$2,$A114)</f>
        <v>0</v>
      </c>
      <c r="T114" s="33">
        <f ca="1">_xll.DBRW($C$1,$C$2,$C$3,$C$4,$C$6,$C$5,$C$7,T$1,T$2,$A114)</f>
        <v>0</v>
      </c>
      <c r="U114" s="33">
        <f ca="1">_xll.DBRW($C$1,$C$2,$C$3,$C$4,$C$6,$C$5,$C$7,U$1,U$2,$A114)</f>
        <v>0</v>
      </c>
      <c r="V114" s="33">
        <f ca="1">_xll.DBRW($C$1,$C$2,$C$3,$C$4,$C$6,$C$5,$C$7,V$1,V$2,$A114)</f>
        <v>0</v>
      </c>
      <c r="W114" s="33">
        <f ca="1">_xll.DBRW($C$1,$C$2,$C$3,$C$4,$C$6,$C$5,$C$7,W$1,W$2,$A114)</f>
        <v>0</v>
      </c>
      <c r="X114" s="33">
        <f ca="1">_xll.DBRW($C$1,$C$2,$C$3,$C$4,$C$6,$C$5,$C$7,X$1,X$2,$A114)</f>
        <v>0</v>
      </c>
      <c r="Y114" s="33">
        <f ca="1">_xll.DBRW($C$1,$C$2,$C$3,$C$4,$C$6,$C$5,$C$7,Y$1,Y$2,$A114)</f>
        <v>0</v>
      </c>
      <c r="Z114" s="33">
        <f ca="1">_xll.DBRW($C$1,$C$2,$C$3,$C$4,$C$6,$C$5,$C$7,Z$1,Z$2,$A114)</f>
        <v>0</v>
      </c>
      <c r="AA114" s="33">
        <f ca="1">_xll.DBRW($C$1,$C$2,$C$3,$C$4,$C$6,$C$5,$C$7,AA$1,AA$2,$A114)</f>
        <v>0</v>
      </c>
      <c r="AB114" s="33">
        <f ca="1">_xll.DBRW($C$1,$C$2,$C$3,$C$4,$C$6,$C$5,$C$7,AB$1,AB$2,$A114)</f>
        <v>0</v>
      </c>
      <c r="AC114" s="33">
        <f ca="1">_xll.DBRW($C$1,$C$2,$C$3,$C$4,$C$6,$C$5,$C$7,AC$1,AC$2,$A114)</f>
        <v>0</v>
      </c>
      <c r="AD114" s="33">
        <f ca="1">_xll.DBRW($C$1,$C$2,$C$3,$C$4,$C$6,$C$5,$C$7,AD$1,AD$2,$A114)</f>
        <v>0</v>
      </c>
      <c r="AE114" s="33">
        <f ca="1">_xll.DBRW($C$1,$C$2,$C$3,$C$4,$C$6,$C$5,$C$7,AE$1,AE$2,$A114)</f>
        <v>0</v>
      </c>
      <c r="AF114" s="33">
        <f ca="1">_xll.DBRW($C$1,$C$2,$C$3,$C$4,$C$6,$C$5,$C$7,AF$1,AF$2,$A114)</f>
        <v>0</v>
      </c>
      <c r="AG114" s="33">
        <f ca="1">_xll.DBRW($C$1,$C$2,$C$3,$C$4,$C$6,$C$5,$C$7,AG$1,AG$2,$A114)</f>
        <v>0</v>
      </c>
      <c r="AH114" s="33">
        <f ca="1">_xll.DBRW($C$1,$C$2,$C$3,$C$4,$C$6,$C$5,$C$7,AH$1,AH$2,$A114)</f>
        <v>0</v>
      </c>
      <c r="AI114" s="33">
        <f ca="1">_xll.DBRW($C$1,$C$2,$C$3,$C$4,$C$6,$C$5,$C$7,AI$1,AI$2,$A114)</f>
        <v>0</v>
      </c>
      <c r="AJ114" s="33">
        <f ca="1">_xll.DBRW($C$1,$C$2,$C$3,$C$4,$C$6,$C$5,$C$7,AJ$1,AJ$2,$A114)</f>
        <v>0</v>
      </c>
      <c r="AK114" s="33">
        <f ca="1">_xll.DBRW($C$1,$C$2,$C$3,$C$4,$C$6,$C$5,$C$7,AK$1,AK$2,$A114)</f>
        <v>0</v>
      </c>
      <c r="AL114" s="33">
        <f ca="1">_xll.DBRW($C$1,$C$2,$C$3,$C$4,$C$6,$C$5,$C$7,AL$1,AL$2,$A114)</f>
        <v>0</v>
      </c>
      <c r="AM114" s="33">
        <f ca="1">_xll.DBRW($C$1,$C$2,$C$3,$C$4,$C$6,$C$5,$C$7,AM$1,AM$2,$A114)</f>
        <v>0</v>
      </c>
      <c r="AN114" s="33">
        <f ca="1">_xll.DBRW($C$1,$C$2,$C$3,$C$4,$C$6,$C$5,$C$7,AN$1,AN$2,$A114)</f>
        <v>0</v>
      </c>
      <c r="AO114" s="33">
        <f ca="1">_xll.DBRW($C$1,$C$2,$C$3,$C$4,$C$6,$C$5,$C$7,AO$1,AO$2,$A114)</f>
        <v>0</v>
      </c>
      <c r="AP114" s="33">
        <f ca="1">_xll.DBRW($C$1,$C$2,$C$3,$C$4,$C$6,$C$5,$C$7,AP$1,AP$2,$A114)</f>
        <v>0</v>
      </c>
      <c r="AQ114" s="33">
        <f ca="1">_xll.DBRW($C$1,$C$2,$C$3,$C$4,$C$6,$C$5,$C$7,AQ$1,AQ$2,$A114)</f>
        <v>0</v>
      </c>
      <c r="AR114" s="33">
        <f ca="1">_xll.DBRW($C$1,$C$2,$C$3,$C$4,$C$6,$C$5,$C$7,AR$1,AR$2,$A114)</f>
        <v>0</v>
      </c>
      <c r="AS114" s="33">
        <f ca="1">_xll.DBRW($C$1,$C$2,$C$3,$C$4,$C$6,$C$5,$C$7,AS$1,AS$2,$A114)</f>
        <v>0</v>
      </c>
      <c r="AT114" s="33">
        <f ca="1">_xll.DBRW($C$1,$C$2,$C$3,$C$4,$C$6,$C$5,$C$7,AT$1,AT$2,$A114)</f>
        <v>0</v>
      </c>
      <c r="AU114" s="33">
        <f ca="1">_xll.DBRW($C$1,$C$2,$C$3,$C$4,$C$6,$C$5,$C$7,AU$1,AU$2,$A114)</f>
        <v>0</v>
      </c>
      <c r="AV114" s="33">
        <f ca="1">_xll.DBRW($C$1,$C$2,$C$3,$C$4,$C$6,$C$5,$C$7,AV$1,AV$2,$A114)</f>
        <v>0</v>
      </c>
      <c r="AW114" s="33">
        <f ca="1">_xll.DBRW($C$1,$C$2,$C$3,$C$4,$C$6,$C$5,$C$7,AW$1,AW$2,$A114)</f>
        <v>0</v>
      </c>
      <c r="AX114" s="33">
        <f ca="1">_xll.DBRW($C$1,$C$2,$C$3,$C$4,$C$6,$C$5,$C$7,AX$1,AX$2,$A114)</f>
        <v>0</v>
      </c>
      <c r="AY114" s="33">
        <f ca="1">_xll.DBRW($C$1,$C$2,$C$3,$C$4,$C$6,$C$5,$C$7,AY$1,AY$2,$A114)</f>
        <v>0</v>
      </c>
    </row>
    <row r="115" spans="1:51" ht="15.75" hidden="1" customHeight="1" outlineLevel="2">
      <c r="A115" s="1" t="s">
        <v>209</v>
      </c>
      <c r="C115" s="109"/>
      <c r="E115" s="9" t="str">
        <f ca="1">_xll.DBRW(Server&amp;"}ElementAttributes_Indicator",A115,"code_English")</f>
        <v>PL1115_FL_70 - Others (FL)</v>
      </c>
      <c r="F115" s="33">
        <f ca="1">_xll.DBRW($C$1,$C$2,$C$3,$C$4,$C$6,$C$5,$C$7,F$1,F$2,$A115)</f>
        <v>0</v>
      </c>
      <c r="G115" s="33">
        <f ca="1">_xll.DBRW($C$1,$C$2,$C$3,$C$4,$C$6,$C$5,$C$7,G$1,G$2,$A115)</f>
        <v>0</v>
      </c>
      <c r="H115" s="33">
        <f ca="1">_xll.DBRW($C$1,$C$2,$C$3,$C$4,$C$6,$C$5,$C$7,H$1,H$2,$A115)</f>
        <v>0</v>
      </c>
      <c r="I115" s="33">
        <f ca="1">_xll.DBRW($C$1,$C$2,$C$3,$C$4,$C$6,$C$5,$C$7,I$1,I$2,$A115)</f>
        <v>0</v>
      </c>
      <c r="J115" s="33">
        <f ca="1">_xll.DBRW($C$1,$C$2,$C$3,$C$4,$C$6,$C$5,$C$7,J$1,J$2,$A115)</f>
        <v>0</v>
      </c>
      <c r="K115" s="33">
        <f ca="1">_xll.DBRW($C$1,$C$2,$C$3,$C$4,$C$6,$C$5,$C$7,K$1,K$2,$A115)</f>
        <v>0</v>
      </c>
      <c r="L115" s="33">
        <f ca="1">_xll.DBRW($C$1,$C$2,$C$3,$C$4,$C$6,$C$5,$C$7,L$1,L$2,$A115)</f>
        <v>0</v>
      </c>
      <c r="M115" s="33">
        <f ca="1">_xll.DBRW($C$1,$C$2,$C$3,$C$4,$C$6,$C$5,$C$7,M$1,M$2,$A115)</f>
        <v>0</v>
      </c>
      <c r="N115" s="33">
        <f ca="1">_xll.DBRW($C$1,$C$2,$C$3,$C$4,$C$6,$C$5,$C$7,N$1,N$2,$A115)</f>
        <v>0</v>
      </c>
      <c r="O115" s="33">
        <f ca="1">_xll.DBRW($C$1,$C$2,$C$3,$C$4,$C$6,$C$5,$C$7,O$1,O$2,$A115)</f>
        <v>0</v>
      </c>
      <c r="P115" s="33">
        <f ca="1">_xll.DBRW($C$1,$C$2,$C$3,$C$4,$C$6,$C$5,$C$7,P$1,P$2,$A115)</f>
        <v>0</v>
      </c>
      <c r="Q115" s="33">
        <f ca="1">_xll.DBRW($C$1,$C$2,$C$3,$C$4,$C$6,$C$5,$C$7,Q$1,Q$2,$A115)</f>
        <v>0</v>
      </c>
      <c r="R115" s="33">
        <f ca="1">_xll.DBRW($C$1,$C$2,$C$3,$C$4,$C$6,$C$5,$C$7,R$1,R$2,$A115)</f>
        <v>0</v>
      </c>
      <c r="S115" s="33">
        <f ca="1">_xll.DBRW($C$1,$C$2,$C$3,$C$4,$C$6,$C$5,$C$7,S$1,S$2,$A115)</f>
        <v>0</v>
      </c>
      <c r="T115" s="33">
        <f ca="1">_xll.DBRW($C$1,$C$2,$C$3,$C$4,$C$6,$C$5,$C$7,T$1,T$2,$A115)</f>
        <v>0</v>
      </c>
      <c r="U115" s="33">
        <f ca="1">_xll.DBRW($C$1,$C$2,$C$3,$C$4,$C$6,$C$5,$C$7,U$1,U$2,$A115)</f>
        <v>0</v>
      </c>
      <c r="V115" s="33">
        <f ca="1">_xll.DBRW($C$1,$C$2,$C$3,$C$4,$C$6,$C$5,$C$7,V$1,V$2,$A115)</f>
        <v>0</v>
      </c>
      <c r="W115" s="33">
        <f ca="1">_xll.DBRW($C$1,$C$2,$C$3,$C$4,$C$6,$C$5,$C$7,W$1,W$2,$A115)</f>
        <v>0</v>
      </c>
      <c r="X115" s="33">
        <f ca="1">_xll.DBRW($C$1,$C$2,$C$3,$C$4,$C$6,$C$5,$C$7,X$1,X$2,$A115)</f>
        <v>0</v>
      </c>
      <c r="Y115" s="33">
        <f ca="1">_xll.DBRW($C$1,$C$2,$C$3,$C$4,$C$6,$C$5,$C$7,Y$1,Y$2,$A115)</f>
        <v>0</v>
      </c>
      <c r="Z115" s="33">
        <f ca="1">_xll.DBRW($C$1,$C$2,$C$3,$C$4,$C$6,$C$5,$C$7,Z$1,Z$2,$A115)</f>
        <v>0</v>
      </c>
      <c r="AA115" s="33">
        <f ca="1">_xll.DBRW($C$1,$C$2,$C$3,$C$4,$C$6,$C$5,$C$7,AA$1,AA$2,$A115)</f>
        <v>0</v>
      </c>
      <c r="AB115" s="33">
        <f ca="1">_xll.DBRW($C$1,$C$2,$C$3,$C$4,$C$6,$C$5,$C$7,AB$1,AB$2,$A115)</f>
        <v>0</v>
      </c>
      <c r="AC115" s="33">
        <f ca="1">_xll.DBRW($C$1,$C$2,$C$3,$C$4,$C$6,$C$5,$C$7,AC$1,AC$2,$A115)</f>
        <v>0</v>
      </c>
      <c r="AD115" s="33">
        <f ca="1">_xll.DBRW($C$1,$C$2,$C$3,$C$4,$C$6,$C$5,$C$7,AD$1,AD$2,$A115)</f>
        <v>0</v>
      </c>
      <c r="AE115" s="33">
        <f ca="1">_xll.DBRW($C$1,$C$2,$C$3,$C$4,$C$6,$C$5,$C$7,AE$1,AE$2,$A115)</f>
        <v>0</v>
      </c>
      <c r="AF115" s="33">
        <f ca="1">_xll.DBRW($C$1,$C$2,$C$3,$C$4,$C$6,$C$5,$C$7,AF$1,AF$2,$A115)</f>
        <v>0</v>
      </c>
      <c r="AG115" s="33">
        <f ca="1">_xll.DBRW($C$1,$C$2,$C$3,$C$4,$C$6,$C$5,$C$7,AG$1,AG$2,$A115)</f>
        <v>0</v>
      </c>
      <c r="AH115" s="33">
        <f ca="1">_xll.DBRW($C$1,$C$2,$C$3,$C$4,$C$6,$C$5,$C$7,AH$1,AH$2,$A115)</f>
        <v>0</v>
      </c>
      <c r="AI115" s="33">
        <f ca="1">_xll.DBRW($C$1,$C$2,$C$3,$C$4,$C$6,$C$5,$C$7,AI$1,AI$2,$A115)</f>
        <v>0</v>
      </c>
      <c r="AJ115" s="33">
        <f ca="1">_xll.DBRW($C$1,$C$2,$C$3,$C$4,$C$6,$C$5,$C$7,AJ$1,AJ$2,$A115)</f>
        <v>0</v>
      </c>
      <c r="AK115" s="33">
        <f ca="1">_xll.DBRW($C$1,$C$2,$C$3,$C$4,$C$6,$C$5,$C$7,AK$1,AK$2,$A115)</f>
        <v>0</v>
      </c>
      <c r="AL115" s="33">
        <f ca="1">_xll.DBRW($C$1,$C$2,$C$3,$C$4,$C$6,$C$5,$C$7,AL$1,AL$2,$A115)</f>
        <v>0</v>
      </c>
      <c r="AM115" s="33">
        <f ca="1">_xll.DBRW($C$1,$C$2,$C$3,$C$4,$C$6,$C$5,$C$7,AM$1,AM$2,$A115)</f>
        <v>0</v>
      </c>
      <c r="AN115" s="33">
        <f ca="1">_xll.DBRW($C$1,$C$2,$C$3,$C$4,$C$6,$C$5,$C$7,AN$1,AN$2,$A115)</f>
        <v>0</v>
      </c>
      <c r="AO115" s="33">
        <f ca="1">_xll.DBRW($C$1,$C$2,$C$3,$C$4,$C$6,$C$5,$C$7,AO$1,AO$2,$A115)</f>
        <v>0</v>
      </c>
      <c r="AP115" s="33">
        <f ca="1">_xll.DBRW($C$1,$C$2,$C$3,$C$4,$C$6,$C$5,$C$7,AP$1,AP$2,$A115)</f>
        <v>0</v>
      </c>
      <c r="AQ115" s="33">
        <f ca="1">_xll.DBRW($C$1,$C$2,$C$3,$C$4,$C$6,$C$5,$C$7,AQ$1,AQ$2,$A115)</f>
        <v>0</v>
      </c>
      <c r="AR115" s="33">
        <f ca="1">_xll.DBRW($C$1,$C$2,$C$3,$C$4,$C$6,$C$5,$C$7,AR$1,AR$2,$A115)</f>
        <v>0</v>
      </c>
      <c r="AS115" s="33">
        <f ca="1">_xll.DBRW($C$1,$C$2,$C$3,$C$4,$C$6,$C$5,$C$7,AS$1,AS$2,$A115)</f>
        <v>0</v>
      </c>
      <c r="AT115" s="33">
        <f ca="1">_xll.DBRW($C$1,$C$2,$C$3,$C$4,$C$6,$C$5,$C$7,AT$1,AT$2,$A115)</f>
        <v>0</v>
      </c>
      <c r="AU115" s="33">
        <f ca="1">_xll.DBRW($C$1,$C$2,$C$3,$C$4,$C$6,$C$5,$C$7,AU$1,AU$2,$A115)</f>
        <v>0</v>
      </c>
      <c r="AV115" s="33">
        <f ca="1">_xll.DBRW($C$1,$C$2,$C$3,$C$4,$C$6,$C$5,$C$7,AV$1,AV$2,$A115)</f>
        <v>0</v>
      </c>
      <c r="AW115" s="33">
        <f ca="1">_xll.DBRW($C$1,$C$2,$C$3,$C$4,$C$6,$C$5,$C$7,AW$1,AW$2,$A115)</f>
        <v>0</v>
      </c>
      <c r="AX115" s="33">
        <f ca="1">_xll.DBRW($C$1,$C$2,$C$3,$C$4,$C$6,$C$5,$C$7,AX$1,AX$2,$A115)</f>
        <v>0</v>
      </c>
      <c r="AY115" s="33">
        <f ca="1">_xll.DBRW($C$1,$C$2,$C$3,$C$4,$C$6,$C$5,$C$7,AY$1,AY$2,$A115)</f>
        <v>0</v>
      </c>
    </row>
    <row r="116" spans="1:51" ht="15.75" hidden="1" customHeight="1" outlineLevel="2">
      <c r="A116" s="1" t="s">
        <v>210</v>
      </c>
      <c r="C116" s="109"/>
      <c r="E116" s="9" t="str">
        <f ca="1">_xll.DBRW(Server&amp;"}ElementAttributes_Indicator",A116,"code_English")</f>
        <v>PL1155_FL_99 - Reinvoicing - Others (FL)</v>
      </c>
      <c r="F116" s="33">
        <f ca="1">_xll.DBRW($C$1,$C$2,$C$3,$C$4,$C$6,$C$5,$C$7,F$1,F$2,$A116)</f>
        <v>0</v>
      </c>
      <c r="G116" s="33">
        <f ca="1">_xll.DBRW($C$1,$C$2,$C$3,$C$4,$C$6,$C$5,$C$7,G$1,G$2,$A116)</f>
        <v>0</v>
      </c>
      <c r="H116" s="33">
        <f ca="1">_xll.DBRW($C$1,$C$2,$C$3,$C$4,$C$6,$C$5,$C$7,H$1,H$2,$A116)</f>
        <v>0</v>
      </c>
      <c r="I116" s="33">
        <f ca="1">_xll.DBRW($C$1,$C$2,$C$3,$C$4,$C$6,$C$5,$C$7,I$1,I$2,$A116)</f>
        <v>0</v>
      </c>
      <c r="J116" s="33">
        <f ca="1">_xll.DBRW($C$1,$C$2,$C$3,$C$4,$C$6,$C$5,$C$7,J$1,J$2,$A116)</f>
        <v>0</v>
      </c>
      <c r="K116" s="33">
        <f ca="1">_xll.DBRW($C$1,$C$2,$C$3,$C$4,$C$6,$C$5,$C$7,K$1,K$2,$A116)</f>
        <v>0</v>
      </c>
      <c r="L116" s="33">
        <f ca="1">_xll.DBRW($C$1,$C$2,$C$3,$C$4,$C$6,$C$5,$C$7,L$1,L$2,$A116)</f>
        <v>0</v>
      </c>
      <c r="M116" s="33">
        <f ca="1">_xll.DBRW($C$1,$C$2,$C$3,$C$4,$C$6,$C$5,$C$7,M$1,M$2,$A116)</f>
        <v>0</v>
      </c>
      <c r="N116" s="33">
        <f ca="1">_xll.DBRW($C$1,$C$2,$C$3,$C$4,$C$6,$C$5,$C$7,N$1,N$2,$A116)</f>
        <v>0</v>
      </c>
      <c r="O116" s="33">
        <f ca="1">_xll.DBRW($C$1,$C$2,$C$3,$C$4,$C$6,$C$5,$C$7,O$1,O$2,$A116)</f>
        <v>0</v>
      </c>
      <c r="P116" s="33">
        <f ca="1">_xll.DBRW($C$1,$C$2,$C$3,$C$4,$C$6,$C$5,$C$7,P$1,P$2,$A116)</f>
        <v>0</v>
      </c>
      <c r="Q116" s="33">
        <f ca="1">_xll.DBRW($C$1,$C$2,$C$3,$C$4,$C$6,$C$5,$C$7,Q$1,Q$2,$A116)</f>
        <v>0</v>
      </c>
      <c r="R116" s="33">
        <f ca="1">_xll.DBRW($C$1,$C$2,$C$3,$C$4,$C$6,$C$5,$C$7,R$1,R$2,$A116)</f>
        <v>0</v>
      </c>
      <c r="S116" s="33">
        <f ca="1">_xll.DBRW($C$1,$C$2,$C$3,$C$4,$C$6,$C$5,$C$7,S$1,S$2,$A116)</f>
        <v>0</v>
      </c>
      <c r="T116" s="33">
        <f ca="1">_xll.DBRW($C$1,$C$2,$C$3,$C$4,$C$6,$C$5,$C$7,T$1,T$2,$A116)</f>
        <v>0</v>
      </c>
      <c r="U116" s="33">
        <f ca="1">_xll.DBRW($C$1,$C$2,$C$3,$C$4,$C$6,$C$5,$C$7,U$1,U$2,$A116)</f>
        <v>0</v>
      </c>
      <c r="V116" s="33">
        <f ca="1">_xll.DBRW($C$1,$C$2,$C$3,$C$4,$C$6,$C$5,$C$7,V$1,V$2,$A116)</f>
        <v>0</v>
      </c>
      <c r="W116" s="33">
        <f ca="1">_xll.DBRW($C$1,$C$2,$C$3,$C$4,$C$6,$C$5,$C$7,W$1,W$2,$A116)</f>
        <v>0</v>
      </c>
      <c r="X116" s="33">
        <f ca="1">_xll.DBRW($C$1,$C$2,$C$3,$C$4,$C$6,$C$5,$C$7,X$1,X$2,$A116)</f>
        <v>0</v>
      </c>
      <c r="Y116" s="33">
        <f ca="1">_xll.DBRW($C$1,$C$2,$C$3,$C$4,$C$6,$C$5,$C$7,Y$1,Y$2,$A116)</f>
        <v>0</v>
      </c>
      <c r="Z116" s="33">
        <f ca="1">_xll.DBRW($C$1,$C$2,$C$3,$C$4,$C$6,$C$5,$C$7,Z$1,Z$2,$A116)</f>
        <v>0</v>
      </c>
      <c r="AA116" s="33">
        <f ca="1">_xll.DBRW($C$1,$C$2,$C$3,$C$4,$C$6,$C$5,$C$7,AA$1,AA$2,$A116)</f>
        <v>0</v>
      </c>
      <c r="AB116" s="33">
        <f ca="1">_xll.DBRW($C$1,$C$2,$C$3,$C$4,$C$6,$C$5,$C$7,AB$1,AB$2,$A116)</f>
        <v>0</v>
      </c>
      <c r="AC116" s="33">
        <f ca="1">_xll.DBRW($C$1,$C$2,$C$3,$C$4,$C$6,$C$5,$C$7,AC$1,AC$2,$A116)</f>
        <v>0</v>
      </c>
      <c r="AD116" s="33">
        <f ca="1">_xll.DBRW($C$1,$C$2,$C$3,$C$4,$C$6,$C$5,$C$7,AD$1,AD$2,$A116)</f>
        <v>0</v>
      </c>
      <c r="AE116" s="33">
        <f ca="1">_xll.DBRW($C$1,$C$2,$C$3,$C$4,$C$6,$C$5,$C$7,AE$1,AE$2,$A116)</f>
        <v>0</v>
      </c>
      <c r="AF116" s="33">
        <f ca="1">_xll.DBRW($C$1,$C$2,$C$3,$C$4,$C$6,$C$5,$C$7,AF$1,AF$2,$A116)</f>
        <v>0</v>
      </c>
      <c r="AG116" s="33">
        <f ca="1">_xll.DBRW($C$1,$C$2,$C$3,$C$4,$C$6,$C$5,$C$7,AG$1,AG$2,$A116)</f>
        <v>0</v>
      </c>
      <c r="AH116" s="33">
        <f ca="1">_xll.DBRW($C$1,$C$2,$C$3,$C$4,$C$6,$C$5,$C$7,AH$1,AH$2,$A116)</f>
        <v>0</v>
      </c>
      <c r="AI116" s="33">
        <f ca="1">_xll.DBRW($C$1,$C$2,$C$3,$C$4,$C$6,$C$5,$C$7,AI$1,AI$2,$A116)</f>
        <v>0</v>
      </c>
      <c r="AJ116" s="33">
        <f ca="1">_xll.DBRW($C$1,$C$2,$C$3,$C$4,$C$6,$C$5,$C$7,AJ$1,AJ$2,$A116)</f>
        <v>0</v>
      </c>
      <c r="AK116" s="33">
        <f ca="1">_xll.DBRW($C$1,$C$2,$C$3,$C$4,$C$6,$C$5,$C$7,AK$1,AK$2,$A116)</f>
        <v>0</v>
      </c>
      <c r="AL116" s="33">
        <f ca="1">_xll.DBRW($C$1,$C$2,$C$3,$C$4,$C$6,$C$5,$C$7,AL$1,AL$2,$A116)</f>
        <v>0</v>
      </c>
      <c r="AM116" s="33">
        <f ca="1">_xll.DBRW($C$1,$C$2,$C$3,$C$4,$C$6,$C$5,$C$7,AM$1,AM$2,$A116)</f>
        <v>0</v>
      </c>
      <c r="AN116" s="33">
        <f ca="1">_xll.DBRW($C$1,$C$2,$C$3,$C$4,$C$6,$C$5,$C$7,AN$1,AN$2,$A116)</f>
        <v>0</v>
      </c>
      <c r="AO116" s="33">
        <f ca="1">_xll.DBRW($C$1,$C$2,$C$3,$C$4,$C$6,$C$5,$C$7,AO$1,AO$2,$A116)</f>
        <v>0</v>
      </c>
      <c r="AP116" s="33">
        <f ca="1">_xll.DBRW($C$1,$C$2,$C$3,$C$4,$C$6,$C$5,$C$7,AP$1,AP$2,$A116)</f>
        <v>0</v>
      </c>
      <c r="AQ116" s="33">
        <f ca="1">_xll.DBRW($C$1,$C$2,$C$3,$C$4,$C$6,$C$5,$C$7,AQ$1,AQ$2,$A116)</f>
        <v>0</v>
      </c>
      <c r="AR116" s="33">
        <f ca="1">_xll.DBRW($C$1,$C$2,$C$3,$C$4,$C$6,$C$5,$C$7,AR$1,AR$2,$A116)</f>
        <v>0</v>
      </c>
      <c r="AS116" s="33">
        <f ca="1">_xll.DBRW($C$1,$C$2,$C$3,$C$4,$C$6,$C$5,$C$7,AS$1,AS$2,$A116)</f>
        <v>0</v>
      </c>
      <c r="AT116" s="33">
        <f ca="1">_xll.DBRW($C$1,$C$2,$C$3,$C$4,$C$6,$C$5,$C$7,AT$1,AT$2,$A116)</f>
        <v>0</v>
      </c>
      <c r="AU116" s="33">
        <f ca="1">_xll.DBRW($C$1,$C$2,$C$3,$C$4,$C$6,$C$5,$C$7,AU$1,AU$2,$A116)</f>
        <v>0</v>
      </c>
      <c r="AV116" s="33">
        <f ca="1">_xll.DBRW($C$1,$C$2,$C$3,$C$4,$C$6,$C$5,$C$7,AV$1,AV$2,$A116)</f>
        <v>0</v>
      </c>
      <c r="AW116" s="33">
        <f ca="1">_xll.DBRW($C$1,$C$2,$C$3,$C$4,$C$6,$C$5,$C$7,AW$1,AW$2,$A116)</f>
        <v>0</v>
      </c>
      <c r="AX116" s="33">
        <f ca="1">_xll.DBRW($C$1,$C$2,$C$3,$C$4,$C$6,$C$5,$C$7,AX$1,AX$2,$A116)</f>
        <v>0</v>
      </c>
      <c r="AY116" s="33">
        <f ca="1">_xll.DBRW($C$1,$C$2,$C$3,$C$4,$C$6,$C$5,$C$7,AY$1,AY$2,$A116)</f>
        <v>0</v>
      </c>
    </row>
    <row r="117" spans="1:51" ht="15.5" hidden="1" outlineLevel="1" collapsed="1">
      <c r="A117" s="1" t="s">
        <v>142</v>
      </c>
      <c r="C117" s="109"/>
      <c r="E117" s="15" t="s">
        <v>35</v>
      </c>
      <c r="F117" s="34">
        <f t="shared" ref="F117:L117" ca="1" si="83">SUM(F114:F116)</f>
        <v>0</v>
      </c>
      <c r="G117" s="34">
        <f t="shared" ca="1" si="83"/>
        <v>0</v>
      </c>
      <c r="H117" s="34">
        <f t="shared" ca="1" si="83"/>
        <v>0</v>
      </c>
      <c r="I117" s="34">
        <f t="shared" ca="1" si="83"/>
        <v>0</v>
      </c>
      <c r="J117" s="34">
        <f t="shared" ca="1" si="83"/>
        <v>0</v>
      </c>
      <c r="K117" s="34">
        <f t="shared" ca="1" si="83"/>
        <v>0</v>
      </c>
      <c r="L117" s="34">
        <f t="shared" ca="1" si="83"/>
        <v>0</v>
      </c>
      <c r="M117" s="34">
        <f t="shared" ref="M117:X117" ca="1" si="84">SUM(M114:M116)</f>
        <v>0</v>
      </c>
      <c r="N117" s="34">
        <f t="shared" ca="1" si="84"/>
        <v>0</v>
      </c>
      <c r="O117" s="34">
        <f t="shared" ca="1" si="84"/>
        <v>0</v>
      </c>
      <c r="P117" s="34">
        <f t="shared" ca="1" si="84"/>
        <v>0</v>
      </c>
      <c r="Q117" s="34">
        <f t="shared" ca="1" si="84"/>
        <v>0</v>
      </c>
      <c r="R117" s="34">
        <f t="shared" ca="1" si="84"/>
        <v>0</v>
      </c>
      <c r="S117" s="34">
        <f t="shared" ca="1" si="84"/>
        <v>0</v>
      </c>
      <c r="T117" s="34">
        <f t="shared" ca="1" si="84"/>
        <v>0</v>
      </c>
      <c r="U117" s="34">
        <f t="shared" ca="1" si="84"/>
        <v>0</v>
      </c>
      <c r="V117" s="34">
        <f t="shared" ca="1" si="84"/>
        <v>0</v>
      </c>
      <c r="W117" s="34">
        <f t="shared" ca="1" si="84"/>
        <v>0</v>
      </c>
      <c r="X117" s="34">
        <f t="shared" ca="1" si="84"/>
        <v>0</v>
      </c>
      <c r="Y117" s="34">
        <f ca="1">SUM(Y114:Y116)</f>
        <v>0</v>
      </c>
      <c r="Z117" s="34">
        <f t="shared" ref="Z117:AK117" ca="1" si="85">SUM(Z114:Z116)</f>
        <v>0</v>
      </c>
      <c r="AA117" s="34">
        <f t="shared" ca="1" si="85"/>
        <v>0</v>
      </c>
      <c r="AB117" s="34">
        <f t="shared" ca="1" si="85"/>
        <v>0</v>
      </c>
      <c r="AC117" s="34">
        <f t="shared" ca="1" si="85"/>
        <v>0</v>
      </c>
      <c r="AD117" s="34">
        <f t="shared" ca="1" si="85"/>
        <v>0</v>
      </c>
      <c r="AE117" s="34">
        <f t="shared" ca="1" si="85"/>
        <v>0</v>
      </c>
      <c r="AF117" s="34">
        <f t="shared" ca="1" si="85"/>
        <v>0</v>
      </c>
      <c r="AG117" s="34">
        <f t="shared" ca="1" si="85"/>
        <v>0</v>
      </c>
      <c r="AH117" s="34">
        <f t="shared" ca="1" si="85"/>
        <v>0</v>
      </c>
      <c r="AI117" s="34">
        <f t="shared" ca="1" si="85"/>
        <v>0</v>
      </c>
      <c r="AJ117" s="34">
        <f t="shared" ca="1" si="85"/>
        <v>0</v>
      </c>
      <c r="AK117" s="34">
        <f t="shared" ca="1" si="85"/>
        <v>0</v>
      </c>
      <c r="AL117" s="34">
        <f ca="1">SUM(AL114:AL116)</f>
        <v>0</v>
      </c>
      <c r="AM117" s="34">
        <f t="shared" ref="AM117:AX117" ca="1" si="86">SUM(AM114:AM116)</f>
        <v>0</v>
      </c>
      <c r="AN117" s="34">
        <f t="shared" ca="1" si="86"/>
        <v>0</v>
      </c>
      <c r="AO117" s="34">
        <f t="shared" ca="1" si="86"/>
        <v>0</v>
      </c>
      <c r="AP117" s="34">
        <f t="shared" ca="1" si="86"/>
        <v>0</v>
      </c>
      <c r="AQ117" s="34">
        <f t="shared" ca="1" si="86"/>
        <v>0</v>
      </c>
      <c r="AR117" s="34">
        <f t="shared" ca="1" si="86"/>
        <v>0</v>
      </c>
      <c r="AS117" s="34">
        <f t="shared" ca="1" si="86"/>
        <v>0</v>
      </c>
      <c r="AT117" s="34">
        <f t="shared" ca="1" si="86"/>
        <v>0</v>
      </c>
      <c r="AU117" s="34">
        <f t="shared" ca="1" si="86"/>
        <v>0</v>
      </c>
      <c r="AV117" s="34">
        <f t="shared" ca="1" si="86"/>
        <v>0</v>
      </c>
      <c r="AW117" s="34">
        <f t="shared" ca="1" si="86"/>
        <v>0</v>
      </c>
      <c r="AX117" s="34">
        <f t="shared" ca="1" si="86"/>
        <v>0</v>
      </c>
      <c r="AY117" s="34">
        <f ca="1">SUM(AY114:AY116)</f>
        <v>0</v>
      </c>
    </row>
    <row r="118" spans="1:51" ht="15.5" collapsed="1">
      <c r="A118" s="1" t="s">
        <v>142</v>
      </c>
      <c r="C118" s="109"/>
      <c r="E118" s="11" t="s">
        <v>38</v>
      </c>
      <c r="F118" s="35">
        <f t="shared" ref="F118:L118" ca="1" si="87">F117+F113</f>
        <v>0</v>
      </c>
      <c r="G118" s="35">
        <f t="shared" ca="1" si="87"/>
        <v>0</v>
      </c>
      <c r="H118" s="35">
        <f t="shared" ca="1" si="87"/>
        <v>0</v>
      </c>
      <c r="I118" s="35">
        <f t="shared" ca="1" si="87"/>
        <v>0</v>
      </c>
      <c r="J118" s="35">
        <f t="shared" ca="1" si="87"/>
        <v>0</v>
      </c>
      <c r="K118" s="35">
        <f t="shared" ca="1" si="87"/>
        <v>0</v>
      </c>
      <c r="L118" s="35">
        <f t="shared" ca="1" si="87"/>
        <v>0</v>
      </c>
      <c r="M118" s="35">
        <f t="shared" ref="M118:X118" ca="1" si="88">M117+M113</f>
        <v>0</v>
      </c>
      <c r="N118" s="35">
        <f t="shared" ca="1" si="88"/>
        <v>0</v>
      </c>
      <c r="O118" s="35">
        <f t="shared" ca="1" si="88"/>
        <v>0</v>
      </c>
      <c r="P118" s="35">
        <f t="shared" ca="1" si="88"/>
        <v>0</v>
      </c>
      <c r="Q118" s="35">
        <f t="shared" ca="1" si="88"/>
        <v>0</v>
      </c>
      <c r="R118" s="35">
        <f t="shared" ca="1" si="88"/>
        <v>0</v>
      </c>
      <c r="S118" s="35">
        <f t="shared" ca="1" si="88"/>
        <v>0</v>
      </c>
      <c r="T118" s="35">
        <f t="shared" ca="1" si="88"/>
        <v>0</v>
      </c>
      <c r="U118" s="35">
        <f t="shared" ca="1" si="88"/>
        <v>0</v>
      </c>
      <c r="V118" s="35">
        <f t="shared" ca="1" si="88"/>
        <v>0</v>
      </c>
      <c r="W118" s="35">
        <f t="shared" ca="1" si="88"/>
        <v>0</v>
      </c>
      <c r="X118" s="35">
        <f t="shared" ca="1" si="88"/>
        <v>0</v>
      </c>
      <c r="Y118" s="35">
        <f ca="1">Y117+Y113</f>
        <v>0</v>
      </c>
      <c r="Z118" s="35">
        <f t="shared" ref="Z118:AK118" ca="1" si="89">Z117+Z113</f>
        <v>0</v>
      </c>
      <c r="AA118" s="35">
        <f t="shared" ca="1" si="89"/>
        <v>0</v>
      </c>
      <c r="AB118" s="35">
        <f t="shared" ca="1" si="89"/>
        <v>0</v>
      </c>
      <c r="AC118" s="35">
        <f t="shared" ca="1" si="89"/>
        <v>0</v>
      </c>
      <c r="AD118" s="35">
        <f t="shared" ca="1" si="89"/>
        <v>0</v>
      </c>
      <c r="AE118" s="35">
        <f t="shared" ca="1" si="89"/>
        <v>0</v>
      </c>
      <c r="AF118" s="35">
        <f t="shared" ca="1" si="89"/>
        <v>0</v>
      </c>
      <c r="AG118" s="35">
        <f t="shared" ca="1" si="89"/>
        <v>0</v>
      </c>
      <c r="AH118" s="35">
        <f t="shared" ca="1" si="89"/>
        <v>0</v>
      </c>
      <c r="AI118" s="35">
        <f t="shared" ca="1" si="89"/>
        <v>0</v>
      </c>
      <c r="AJ118" s="35">
        <f t="shared" ca="1" si="89"/>
        <v>0</v>
      </c>
      <c r="AK118" s="35">
        <f t="shared" ca="1" si="89"/>
        <v>0</v>
      </c>
      <c r="AL118" s="35">
        <f ca="1">AL117+AL113</f>
        <v>0</v>
      </c>
      <c r="AM118" s="35">
        <f t="shared" ref="AM118:AX118" ca="1" si="90">AM117+AM113</f>
        <v>0</v>
      </c>
      <c r="AN118" s="35">
        <f t="shared" ca="1" si="90"/>
        <v>0</v>
      </c>
      <c r="AO118" s="35">
        <f t="shared" ca="1" si="90"/>
        <v>0</v>
      </c>
      <c r="AP118" s="35">
        <f t="shared" ca="1" si="90"/>
        <v>0</v>
      </c>
      <c r="AQ118" s="35">
        <f t="shared" ca="1" si="90"/>
        <v>0</v>
      </c>
      <c r="AR118" s="35">
        <f t="shared" ca="1" si="90"/>
        <v>0</v>
      </c>
      <c r="AS118" s="35">
        <f t="shared" ca="1" si="90"/>
        <v>0</v>
      </c>
      <c r="AT118" s="35">
        <f t="shared" ca="1" si="90"/>
        <v>0</v>
      </c>
      <c r="AU118" s="35">
        <f t="shared" ca="1" si="90"/>
        <v>0</v>
      </c>
      <c r="AV118" s="35">
        <f t="shared" ca="1" si="90"/>
        <v>0</v>
      </c>
      <c r="AW118" s="35">
        <f t="shared" ca="1" si="90"/>
        <v>0</v>
      </c>
      <c r="AX118" s="35">
        <f t="shared" ca="1" si="90"/>
        <v>0</v>
      </c>
      <c r="AY118" s="35">
        <f ca="1">AY117+AY113</f>
        <v>0</v>
      </c>
    </row>
    <row r="119" spans="1:51" ht="15.75" hidden="1" customHeight="1" outlineLevel="1">
      <c r="A119" s="1" t="s">
        <v>211</v>
      </c>
      <c r="C119" s="109"/>
      <c r="E119" s="9" t="str">
        <f ca="1">_xll.DBRW(Server&amp;"}ElementAttributes_Indicator",A119,"code_English")</f>
        <v>PL1110_CD_10 - Staff Costs (CD)</v>
      </c>
      <c r="F119" s="32">
        <f ca="1">_xll.DBRW($C$1,$C$2,$C$3,$C$4,$C$6,$C$5,$C$7,F$1,F$2,$A119)</f>
        <v>0</v>
      </c>
      <c r="G119" s="32">
        <f ca="1">_xll.DBRW($C$1,$C$2,$C$3,$C$4,$C$6,$C$5,$C$7,G$1,G$2,$A119)</f>
        <v>0</v>
      </c>
      <c r="H119" s="32">
        <f ca="1">_xll.DBRW($C$1,$C$2,$C$3,$C$4,$C$6,$C$5,$C$7,H$1,H$2,$A119)</f>
        <v>0</v>
      </c>
      <c r="I119" s="32">
        <f ca="1">_xll.DBRW($C$1,$C$2,$C$3,$C$4,$C$6,$C$5,$C$7,I$1,I$2,$A119)</f>
        <v>0</v>
      </c>
      <c r="J119" s="32">
        <f ca="1">_xll.DBRW($C$1,$C$2,$C$3,$C$4,$C$6,$C$5,$C$7,J$1,J$2,$A119)</f>
        <v>0</v>
      </c>
      <c r="K119" s="32">
        <f ca="1">_xll.DBRW($C$1,$C$2,$C$3,$C$4,$C$6,$C$5,$C$7,K$1,K$2,$A119)</f>
        <v>0</v>
      </c>
      <c r="L119" s="32">
        <f ca="1">_xll.DBRW($C$1,$C$2,$C$3,$C$4,$C$6,$C$5,$C$7,L$1,L$2,$A119)</f>
        <v>0</v>
      </c>
      <c r="M119" s="32">
        <f ca="1">_xll.DBRW($C$1,$C$2,$C$3,$C$4,$C$6,$C$5,$C$7,M$1,M$2,$A119)</f>
        <v>0</v>
      </c>
      <c r="N119" s="32">
        <f ca="1">_xll.DBRW($C$1,$C$2,$C$3,$C$4,$C$6,$C$5,$C$7,N$1,N$2,$A119)</f>
        <v>0</v>
      </c>
      <c r="O119" s="32">
        <f ca="1">_xll.DBRW($C$1,$C$2,$C$3,$C$4,$C$6,$C$5,$C$7,O$1,O$2,$A119)</f>
        <v>0</v>
      </c>
      <c r="P119" s="32">
        <f ca="1">_xll.DBRW($C$1,$C$2,$C$3,$C$4,$C$6,$C$5,$C$7,P$1,P$2,$A119)</f>
        <v>0</v>
      </c>
      <c r="Q119" s="32">
        <f ca="1">_xll.DBRW($C$1,$C$2,$C$3,$C$4,$C$6,$C$5,$C$7,Q$1,Q$2,$A119)</f>
        <v>0</v>
      </c>
      <c r="R119" s="32">
        <f ca="1">_xll.DBRW($C$1,$C$2,$C$3,$C$4,$C$6,$C$5,$C$7,R$1,R$2,$A119)</f>
        <v>0</v>
      </c>
      <c r="S119" s="32">
        <f ca="1">_xll.DBRW($C$1,$C$2,$C$3,$C$4,$C$6,$C$5,$C$7,S$1,S$2,$A119)</f>
        <v>0</v>
      </c>
      <c r="T119" s="32">
        <f ca="1">_xll.DBRW($C$1,$C$2,$C$3,$C$4,$C$6,$C$5,$C$7,T$1,T$2,$A119)</f>
        <v>0</v>
      </c>
      <c r="U119" s="32">
        <f ca="1">_xll.DBRW($C$1,$C$2,$C$3,$C$4,$C$6,$C$5,$C$7,U$1,U$2,$A119)</f>
        <v>0</v>
      </c>
      <c r="V119" s="32">
        <f ca="1">_xll.DBRW($C$1,$C$2,$C$3,$C$4,$C$6,$C$5,$C$7,V$1,V$2,$A119)</f>
        <v>0</v>
      </c>
      <c r="W119" s="32">
        <f ca="1">_xll.DBRW($C$1,$C$2,$C$3,$C$4,$C$6,$C$5,$C$7,W$1,W$2,$A119)</f>
        <v>0</v>
      </c>
      <c r="X119" s="32">
        <f ca="1">_xll.DBRW($C$1,$C$2,$C$3,$C$4,$C$6,$C$5,$C$7,X$1,X$2,$A119)</f>
        <v>0</v>
      </c>
      <c r="Y119" s="32">
        <f ca="1">_xll.DBRW($C$1,$C$2,$C$3,$C$4,$C$6,$C$5,$C$7,Y$1,Y$2,$A119)</f>
        <v>0</v>
      </c>
      <c r="Z119" s="32">
        <f ca="1">_xll.DBRW($C$1,$C$2,$C$3,$C$4,$C$6,$C$5,$C$7,Z$1,Z$2,$A119)</f>
        <v>0</v>
      </c>
      <c r="AA119" s="32">
        <f ca="1">_xll.DBRW($C$1,$C$2,$C$3,$C$4,$C$6,$C$5,$C$7,AA$1,AA$2,$A119)</f>
        <v>0</v>
      </c>
      <c r="AB119" s="32">
        <f ca="1">_xll.DBRW($C$1,$C$2,$C$3,$C$4,$C$6,$C$5,$C$7,AB$1,AB$2,$A119)</f>
        <v>0</v>
      </c>
      <c r="AC119" s="32">
        <f ca="1">_xll.DBRW($C$1,$C$2,$C$3,$C$4,$C$6,$C$5,$C$7,AC$1,AC$2,$A119)</f>
        <v>0</v>
      </c>
      <c r="AD119" s="32">
        <f ca="1">_xll.DBRW($C$1,$C$2,$C$3,$C$4,$C$6,$C$5,$C$7,AD$1,AD$2,$A119)</f>
        <v>0</v>
      </c>
      <c r="AE119" s="32">
        <f ca="1">_xll.DBRW($C$1,$C$2,$C$3,$C$4,$C$6,$C$5,$C$7,AE$1,AE$2,$A119)</f>
        <v>0</v>
      </c>
      <c r="AF119" s="32">
        <f ca="1">_xll.DBRW($C$1,$C$2,$C$3,$C$4,$C$6,$C$5,$C$7,AF$1,AF$2,$A119)</f>
        <v>0</v>
      </c>
      <c r="AG119" s="32">
        <f ca="1">_xll.DBRW($C$1,$C$2,$C$3,$C$4,$C$6,$C$5,$C$7,AG$1,AG$2,$A119)</f>
        <v>0</v>
      </c>
      <c r="AH119" s="32">
        <f ca="1">_xll.DBRW($C$1,$C$2,$C$3,$C$4,$C$6,$C$5,$C$7,AH$1,AH$2,$A119)</f>
        <v>0</v>
      </c>
      <c r="AI119" s="32">
        <f ca="1">_xll.DBRW($C$1,$C$2,$C$3,$C$4,$C$6,$C$5,$C$7,AI$1,AI$2,$A119)</f>
        <v>0</v>
      </c>
      <c r="AJ119" s="32">
        <f ca="1">_xll.DBRW($C$1,$C$2,$C$3,$C$4,$C$6,$C$5,$C$7,AJ$1,AJ$2,$A119)</f>
        <v>0</v>
      </c>
      <c r="AK119" s="32">
        <f ca="1">_xll.DBRW($C$1,$C$2,$C$3,$C$4,$C$6,$C$5,$C$7,AK$1,AK$2,$A119)</f>
        <v>0</v>
      </c>
      <c r="AL119" s="32">
        <f ca="1">_xll.DBRW($C$1,$C$2,$C$3,$C$4,$C$6,$C$5,$C$7,AL$1,AL$2,$A119)</f>
        <v>0</v>
      </c>
      <c r="AM119" s="32">
        <f ca="1">_xll.DBRW($C$1,$C$2,$C$3,$C$4,$C$6,$C$5,$C$7,AM$1,AM$2,$A119)</f>
        <v>0</v>
      </c>
      <c r="AN119" s="32">
        <f ca="1">_xll.DBRW($C$1,$C$2,$C$3,$C$4,$C$6,$C$5,$C$7,AN$1,AN$2,$A119)</f>
        <v>0</v>
      </c>
      <c r="AO119" s="32">
        <f ca="1">_xll.DBRW($C$1,$C$2,$C$3,$C$4,$C$6,$C$5,$C$7,AO$1,AO$2,$A119)</f>
        <v>0</v>
      </c>
      <c r="AP119" s="32">
        <f ca="1">_xll.DBRW($C$1,$C$2,$C$3,$C$4,$C$6,$C$5,$C$7,AP$1,AP$2,$A119)</f>
        <v>0</v>
      </c>
      <c r="AQ119" s="32">
        <f ca="1">_xll.DBRW($C$1,$C$2,$C$3,$C$4,$C$6,$C$5,$C$7,AQ$1,AQ$2,$A119)</f>
        <v>0</v>
      </c>
      <c r="AR119" s="32">
        <f ca="1">_xll.DBRW($C$1,$C$2,$C$3,$C$4,$C$6,$C$5,$C$7,AR$1,AR$2,$A119)</f>
        <v>0</v>
      </c>
      <c r="AS119" s="32">
        <f ca="1">_xll.DBRW($C$1,$C$2,$C$3,$C$4,$C$6,$C$5,$C$7,AS$1,AS$2,$A119)</f>
        <v>0</v>
      </c>
      <c r="AT119" s="32">
        <f ca="1">_xll.DBRW($C$1,$C$2,$C$3,$C$4,$C$6,$C$5,$C$7,AT$1,AT$2,$A119)</f>
        <v>0</v>
      </c>
      <c r="AU119" s="32">
        <f ca="1">_xll.DBRW($C$1,$C$2,$C$3,$C$4,$C$6,$C$5,$C$7,AU$1,AU$2,$A119)</f>
        <v>0</v>
      </c>
      <c r="AV119" s="32">
        <f ca="1">_xll.DBRW($C$1,$C$2,$C$3,$C$4,$C$6,$C$5,$C$7,AV$1,AV$2,$A119)</f>
        <v>0</v>
      </c>
      <c r="AW119" s="32">
        <f ca="1">_xll.DBRW($C$1,$C$2,$C$3,$C$4,$C$6,$C$5,$C$7,AW$1,AW$2,$A119)</f>
        <v>0</v>
      </c>
      <c r="AX119" s="32">
        <f ca="1">_xll.DBRW($C$1,$C$2,$C$3,$C$4,$C$6,$C$5,$C$7,AX$1,AX$2,$A119)</f>
        <v>0</v>
      </c>
      <c r="AY119" s="32">
        <f ca="1">_xll.DBRW($C$1,$C$2,$C$3,$C$4,$C$6,$C$5,$C$7,AY$1,AY$2,$A119)</f>
        <v>0</v>
      </c>
    </row>
    <row r="120" spans="1:51" ht="15.75" hidden="1" customHeight="1" outlineLevel="1">
      <c r="A120" s="1" t="s">
        <v>212</v>
      </c>
      <c r="C120" s="109"/>
      <c r="E120" s="9" t="str">
        <f ca="1">_xll.DBRW(Server&amp;"}ElementAttributes_Indicator",A120,"code_English")</f>
        <v>PL1110_CD_20 - Worker compensations</v>
      </c>
      <c r="F120" s="32">
        <f ca="1">_xll.DBRW($C$1,$C$2,$C$3,$C$4,$C$6,$C$5,$C$7,F$1,F$2,$A120)</f>
        <v>0</v>
      </c>
      <c r="G120" s="32">
        <f ca="1">_xll.DBRW($C$1,$C$2,$C$3,$C$4,$C$6,$C$5,$C$7,G$1,G$2,$A120)</f>
        <v>0</v>
      </c>
      <c r="H120" s="32">
        <f ca="1">_xll.DBRW($C$1,$C$2,$C$3,$C$4,$C$6,$C$5,$C$7,H$1,H$2,$A120)</f>
        <v>0</v>
      </c>
      <c r="I120" s="32">
        <f ca="1">_xll.DBRW($C$1,$C$2,$C$3,$C$4,$C$6,$C$5,$C$7,I$1,I$2,$A120)</f>
        <v>0</v>
      </c>
      <c r="J120" s="32">
        <f ca="1">_xll.DBRW($C$1,$C$2,$C$3,$C$4,$C$6,$C$5,$C$7,J$1,J$2,$A120)</f>
        <v>0</v>
      </c>
      <c r="K120" s="32">
        <f ca="1">_xll.DBRW($C$1,$C$2,$C$3,$C$4,$C$6,$C$5,$C$7,K$1,K$2,$A120)</f>
        <v>0</v>
      </c>
      <c r="L120" s="32">
        <f ca="1">_xll.DBRW($C$1,$C$2,$C$3,$C$4,$C$6,$C$5,$C$7,L$1,L$2,$A120)</f>
        <v>0</v>
      </c>
      <c r="M120" s="32">
        <f ca="1">_xll.DBRW($C$1,$C$2,$C$3,$C$4,$C$6,$C$5,$C$7,M$1,M$2,$A120)</f>
        <v>0</v>
      </c>
      <c r="N120" s="32">
        <f ca="1">_xll.DBRW($C$1,$C$2,$C$3,$C$4,$C$6,$C$5,$C$7,N$1,N$2,$A120)</f>
        <v>0</v>
      </c>
      <c r="O120" s="32">
        <f ca="1">_xll.DBRW($C$1,$C$2,$C$3,$C$4,$C$6,$C$5,$C$7,O$1,O$2,$A120)</f>
        <v>0</v>
      </c>
      <c r="P120" s="32">
        <f ca="1">_xll.DBRW($C$1,$C$2,$C$3,$C$4,$C$6,$C$5,$C$7,P$1,P$2,$A120)</f>
        <v>0</v>
      </c>
      <c r="Q120" s="32">
        <f ca="1">_xll.DBRW($C$1,$C$2,$C$3,$C$4,$C$6,$C$5,$C$7,Q$1,Q$2,$A120)</f>
        <v>0</v>
      </c>
      <c r="R120" s="32">
        <f ca="1">_xll.DBRW($C$1,$C$2,$C$3,$C$4,$C$6,$C$5,$C$7,R$1,R$2,$A120)</f>
        <v>0</v>
      </c>
      <c r="S120" s="32">
        <f ca="1">_xll.DBRW($C$1,$C$2,$C$3,$C$4,$C$6,$C$5,$C$7,S$1,S$2,$A120)</f>
        <v>0</v>
      </c>
      <c r="T120" s="32">
        <f ca="1">_xll.DBRW($C$1,$C$2,$C$3,$C$4,$C$6,$C$5,$C$7,T$1,T$2,$A120)</f>
        <v>0</v>
      </c>
      <c r="U120" s="32">
        <f ca="1">_xll.DBRW($C$1,$C$2,$C$3,$C$4,$C$6,$C$5,$C$7,U$1,U$2,$A120)</f>
        <v>0</v>
      </c>
      <c r="V120" s="32">
        <f ca="1">_xll.DBRW($C$1,$C$2,$C$3,$C$4,$C$6,$C$5,$C$7,V$1,V$2,$A120)</f>
        <v>0</v>
      </c>
      <c r="W120" s="32">
        <f ca="1">_xll.DBRW($C$1,$C$2,$C$3,$C$4,$C$6,$C$5,$C$7,W$1,W$2,$A120)</f>
        <v>0</v>
      </c>
      <c r="X120" s="32">
        <f ca="1">_xll.DBRW($C$1,$C$2,$C$3,$C$4,$C$6,$C$5,$C$7,X$1,X$2,$A120)</f>
        <v>0</v>
      </c>
      <c r="Y120" s="32">
        <f ca="1">_xll.DBRW($C$1,$C$2,$C$3,$C$4,$C$6,$C$5,$C$7,Y$1,Y$2,$A120)</f>
        <v>0</v>
      </c>
      <c r="Z120" s="32">
        <f ca="1">_xll.DBRW($C$1,$C$2,$C$3,$C$4,$C$6,$C$5,$C$7,Z$1,Z$2,$A120)</f>
        <v>0</v>
      </c>
      <c r="AA120" s="32">
        <f ca="1">_xll.DBRW($C$1,$C$2,$C$3,$C$4,$C$6,$C$5,$C$7,AA$1,AA$2,$A120)</f>
        <v>0</v>
      </c>
      <c r="AB120" s="32">
        <f ca="1">_xll.DBRW($C$1,$C$2,$C$3,$C$4,$C$6,$C$5,$C$7,AB$1,AB$2,$A120)</f>
        <v>0</v>
      </c>
      <c r="AC120" s="32">
        <f ca="1">_xll.DBRW($C$1,$C$2,$C$3,$C$4,$C$6,$C$5,$C$7,AC$1,AC$2,$A120)</f>
        <v>0</v>
      </c>
      <c r="AD120" s="32">
        <f ca="1">_xll.DBRW($C$1,$C$2,$C$3,$C$4,$C$6,$C$5,$C$7,AD$1,AD$2,$A120)</f>
        <v>0</v>
      </c>
      <c r="AE120" s="32">
        <f ca="1">_xll.DBRW($C$1,$C$2,$C$3,$C$4,$C$6,$C$5,$C$7,AE$1,AE$2,$A120)</f>
        <v>0</v>
      </c>
      <c r="AF120" s="32">
        <f ca="1">_xll.DBRW($C$1,$C$2,$C$3,$C$4,$C$6,$C$5,$C$7,AF$1,AF$2,$A120)</f>
        <v>0</v>
      </c>
      <c r="AG120" s="32">
        <f ca="1">_xll.DBRW($C$1,$C$2,$C$3,$C$4,$C$6,$C$5,$C$7,AG$1,AG$2,$A120)</f>
        <v>0</v>
      </c>
      <c r="AH120" s="32">
        <f ca="1">_xll.DBRW($C$1,$C$2,$C$3,$C$4,$C$6,$C$5,$C$7,AH$1,AH$2,$A120)</f>
        <v>0</v>
      </c>
      <c r="AI120" s="32">
        <f ca="1">_xll.DBRW($C$1,$C$2,$C$3,$C$4,$C$6,$C$5,$C$7,AI$1,AI$2,$A120)</f>
        <v>0</v>
      </c>
      <c r="AJ120" s="32">
        <f ca="1">_xll.DBRW($C$1,$C$2,$C$3,$C$4,$C$6,$C$5,$C$7,AJ$1,AJ$2,$A120)</f>
        <v>0</v>
      </c>
      <c r="AK120" s="32">
        <f ca="1">_xll.DBRW($C$1,$C$2,$C$3,$C$4,$C$6,$C$5,$C$7,AK$1,AK$2,$A120)</f>
        <v>0</v>
      </c>
      <c r="AL120" s="32">
        <f ca="1">_xll.DBRW($C$1,$C$2,$C$3,$C$4,$C$6,$C$5,$C$7,AL$1,AL$2,$A120)</f>
        <v>0</v>
      </c>
      <c r="AM120" s="32">
        <f ca="1">_xll.DBRW($C$1,$C$2,$C$3,$C$4,$C$6,$C$5,$C$7,AM$1,AM$2,$A120)</f>
        <v>0</v>
      </c>
      <c r="AN120" s="32">
        <f ca="1">_xll.DBRW($C$1,$C$2,$C$3,$C$4,$C$6,$C$5,$C$7,AN$1,AN$2,$A120)</f>
        <v>0</v>
      </c>
      <c r="AO120" s="32">
        <f ca="1">_xll.DBRW($C$1,$C$2,$C$3,$C$4,$C$6,$C$5,$C$7,AO$1,AO$2,$A120)</f>
        <v>0</v>
      </c>
      <c r="AP120" s="32">
        <f ca="1">_xll.DBRW($C$1,$C$2,$C$3,$C$4,$C$6,$C$5,$C$7,AP$1,AP$2,$A120)</f>
        <v>0</v>
      </c>
      <c r="AQ120" s="32">
        <f ca="1">_xll.DBRW($C$1,$C$2,$C$3,$C$4,$C$6,$C$5,$C$7,AQ$1,AQ$2,$A120)</f>
        <v>0</v>
      </c>
      <c r="AR120" s="32">
        <f ca="1">_xll.DBRW($C$1,$C$2,$C$3,$C$4,$C$6,$C$5,$C$7,AR$1,AR$2,$A120)</f>
        <v>0</v>
      </c>
      <c r="AS120" s="32">
        <f ca="1">_xll.DBRW($C$1,$C$2,$C$3,$C$4,$C$6,$C$5,$C$7,AS$1,AS$2,$A120)</f>
        <v>0</v>
      </c>
      <c r="AT120" s="32">
        <f ca="1">_xll.DBRW($C$1,$C$2,$C$3,$C$4,$C$6,$C$5,$C$7,AT$1,AT$2,$A120)</f>
        <v>0</v>
      </c>
      <c r="AU120" s="32">
        <f ca="1">_xll.DBRW($C$1,$C$2,$C$3,$C$4,$C$6,$C$5,$C$7,AU$1,AU$2,$A120)</f>
        <v>0</v>
      </c>
      <c r="AV120" s="32">
        <f ca="1">_xll.DBRW($C$1,$C$2,$C$3,$C$4,$C$6,$C$5,$C$7,AV$1,AV$2,$A120)</f>
        <v>0</v>
      </c>
      <c r="AW120" s="32">
        <f ca="1">_xll.DBRW($C$1,$C$2,$C$3,$C$4,$C$6,$C$5,$C$7,AW$1,AW$2,$A120)</f>
        <v>0</v>
      </c>
      <c r="AX120" s="32">
        <f ca="1">_xll.DBRW($C$1,$C$2,$C$3,$C$4,$C$6,$C$5,$C$7,AX$1,AX$2,$A120)</f>
        <v>0</v>
      </c>
      <c r="AY120" s="32">
        <f ca="1">_xll.DBRW($C$1,$C$2,$C$3,$C$4,$C$6,$C$5,$C$7,AY$1,AY$2,$A120)</f>
        <v>0</v>
      </c>
    </row>
    <row r="121" spans="1:51" ht="15.75" hidden="1" customHeight="1" outlineLevel="1">
      <c r="A121" s="1" t="s">
        <v>213</v>
      </c>
      <c r="C121" s="109"/>
      <c r="E121" s="9" t="str">
        <f ca="1">_xll.DBRW(Server&amp;"}ElementAttributes_Indicator",A121,"code_English")</f>
        <v>PL1110_CD_30 - Worker compensations - fixed insurance</v>
      </c>
      <c r="F121" s="32">
        <f ca="1">_xll.DBRW($C$1,$C$2,$C$3,$C$4,$C$6,$C$5,$C$7,F$1,F$2,$A121)</f>
        <v>0</v>
      </c>
      <c r="G121" s="32">
        <f ca="1">_xll.DBRW($C$1,$C$2,$C$3,$C$4,$C$6,$C$5,$C$7,G$1,G$2,$A121)</f>
        <v>0</v>
      </c>
      <c r="H121" s="32">
        <f ca="1">_xll.DBRW($C$1,$C$2,$C$3,$C$4,$C$6,$C$5,$C$7,H$1,H$2,$A121)</f>
        <v>0</v>
      </c>
      <c r="I121" s="32">
        <f ca="1">_xll.DBRW($C$1,$C$2,$C$3,$C$4,$C$6,$C$5,$C$7,I$1,I$2,$A121)</f>
        <v>0</v>
      </c>
      <c r="J121" s="32">
        <f ca="1">_xll.DBRW($C$1,$C$2,$C$3,$C$4,$C$6,$C$5,$C$7,J$1,J$2,$A121)</f>
        <v>0</v>
      </c>
      <c r="K121" s="32">
        <f ca="1">_xll.DBRW($C$1,$C$2,$C$3,$C$4,$C$6,$C$5,$C$7,K$1,K$2,$A121)</f>
        <v>0</v>
      </c>
      <c r="L121" s="32">
        <f ca="1">_xll.DBRW($C$1,$C$2,$C$3,$C$4,$C$6,$C$5,$C$7,L$1,L$2,$A121)</f>
        <v>0</v>
      </c>
      <c r="M121" s="32">
        <f ca="1">_xll.DBRW($C$1,$C$2,$C$3,$C$4,$C$6,$C$5,$C$7,M$1,M$2,$A121)</f>
        <v>0</v>
      </c>
      <c r="N121" s="32">
        <f ca="1">_xll.DBRW($C$1,$C$2,$C$3,$C$4,$C$6,$C$5,$C$7,N$1,N$2,$A121)</f>
        <v>0</v>
      </c>
      <c r="O121" s="32">
        <f ca="1">_xll.DBRW($C$1,$C$2,$C$3,$C$4,$C$6,$C$5,$C$7,O$1,O$2,$A121)</f>
        <v>0</v>
      </c>
      <c r="P121" s="32">
        <f ca="1">_xll.DBRW($C$1,$C$2,$C$3,$C$4,$C$6,$C$5,$C$7,P$1,P$2,$A121)</f>
        <v>0</v>
      </c>
      <c r="Q121" s="32">
        <f ca="1">_xll.DBRW($C$1,$C$2,$C$3,$C$4,$C$6,$C$5,$C$7,Q$1,Q$2,$A121)</f>
        <v>0</v>
      </c>
      <c r="R121" s="32">
        <f ca="1">_xll.DBRW($C$1,$C$2,$C$3,$C$4,$C$6,$C$5,$C$7,R$1,R$2,$A121)</f>
        <v>0</v>
      </c>
      <c r="S121" s="32">
        <f ca="1">_xll.DBRW($C$1,$C$2,$C$3,$C$4,$C$6,$C$5,$C$7,S$1,S$2,$A121)</f>
        <v>0</v>
      </c>
      <c r="T121" s="32">
        <f ca="1">_xll.DBRW($C$1,$C$2,$C$3,$C$4,$C$6,$C$5,$C$7,T$1,T$2,$A121)</f>
        <v>0</v>
      </c>
      <c r="U121" s="32">
        <f ca="1">_xll.DBRW($C$1,$C$2,$C$3,$C$4,$C$6,$C$5,$C$7,U$1,U$2,$A121)</f>
        <v>0</v>
      </c>
      <c r="V121" s="32">
        <f ca="1">_xll.DBRW($C$1,$C$2,$C$3,$C$4,$C$6,$C$5,$C$7,V$1,V$2,$A121)</f>
        <v>0</v>
      </c>
      <c r="W121" s="32">
        <f ca="1">_xll.DBRW($C$1,$C$2,$C$3,$C$4,$C$6,$C$5,$C$7,W$1,W$2,$A121)</f>
        <v>0</v>
      </c>
      <c r="X121" s="32">
        <f ca="1">_xll.DBRW($C$1,$C$2,$C$3,$C$4,$C$6,$C$5,$C$7,X$1,X$2,$A121)</f>
        <v>0</v>
      </c>
      <c r="Y121" s="32">
        <f ca="1">_xll.DBRW($C$1,$C$2,$C$3,$C$4,$C$6,$C$5,$C$7,Y$1,Y$2,$A121)</f>
        <v>0</v>
      </c>
      <c r="Z121" s="32">
        <f ca="1">_xll.DBRW($C$1,$C$2,$C$3,$C$4,$C$6,$C$5,$C$7,Z$1,Z$2,$A121)</f>
        <v>0</v>
      </c>
      <c r="AA121" s="32">
        <f ca="1">_xll.DBRW($C$1,$C$2,$C$3,$C$4,$C$6,$C$5,$C$7,AA$1,AA$2,$A121)</f>
        <v>0</v>
      </c>
      <c r="AB121" s="32">
        <f ca="1">_xll.DBRW($C$1,$C$2,$C$3,$C$4,$C$6,$C$5,$C$7,AB$1,AB$2,$A121)</f>
        <v>0</v>
      </c>
      <c r="AC121" s="32">
        <f ca="1">_xll.DBRW($C$1,$C$2,$C$3,$C$4,$C$6,$C$5,$C$7,AC$1,AC$2,$A121)</f>
        <v>0</v>
      </c>
      <c r="AD121" s="32">
        <f ca="1">_xll.DBRW($C$1,$C$2,$C$3,$C$4,$C$6,$C$5,$C$7,AD$1,AD$2,$A121)</f>
        <v>0</v>
      </c>
      <c r="AE121" s="32">
        <f ca="1">_xll.DBRW($C$1,$C$2,$C$3,$C$4,$C$6,$C$5,$C$7,AE$1,AE$2,$A121)</f>
        <v>0</v>
      </c>
      <c r="AF121" s="32">
        <f ca="1">_xll.DBRW($C$1,$C$2,$C$3,$C$4,$C$6,$C$5,$C$7,AF$1,AF$2,$A121)</f>
        <v>0</v>
      </c>
      <c r="AG121" s="32">
        <f ca="1">_xll.DBRW($C$1,$C$2,$C$3,$C$4,$C$6,$C$5,$C$7,AG$1,AG$2,$A121)</f>
        <v>0</v>
      </c>
      <c r="AH121" s="32">
        <f ca="1">_xll.DBRW($C$1,$C$2,$C$3,$C$4,$C$6,$C$5,$C$7,AH$1,AH$2,$A121)</f>
        <v>0</v>
      </c>
      <c r="AI121" s="32">
        <f ca="1">_xll.DBRW($C$1,$C$2,$C$3,$C$4,$C$6,$C$5,$C$7,AI$1,AI$2,$A121)</f>
        <v>0</v>
      </c>
      <c r="AJ121" s="32">
        <f ca="1">_xll.DBRW($C$1,$C$2,$C$3,$C$4,$C$6,$C$5,$C$7,AJ$1,AJ$2,$A121)</f>
        <v>0</v>
      </c>
      <c r="AK121" s="32">
        <f ca="1">_xll.DBRW($C$1,$C$2,$C$3,$C$4,$C$6,$C$5,$C$7,AK$1,AK$2,$A121)</f>
        <v>0</v>
      </c>
      <c r="AL121" s="32">
        <f ca="1">_xll.DBRW($C$1,$C$2,$C$3,$C$4,$C$6,$C$5,$C$7,AL$1,AL$2,$A121)</f>
        <v>0</v>
      </c>
      <c r="AM121" s="32">
        <f ca="1">_xll.DBRW($C$1,$C$2,$C$3,$C$4,$C$6,$C$5,$C$7,AM$1,AM$2,$A121)</f>
        <v>0</v>
      </c>
      <c r="AN121" s="32">
        <f ca="1">_xll.DBRW($C$1,$C$2,$C$3,$C$4,$C$6,$C$5,$C$7,AN$1,AN$2,$A121)</f>
        <v>0</v>
      </c>
      <c r="AO121" s="32">
        <f ca="1">_xll.DBRW($C$1,$C$2,$C$3,$C$4,$C$6,$C$5,$C$7,AO$1,AO$2,$A121)</f>
        <v>0</v>
      </c>
      <c r="AP121" s="32">
        <f ca="1">_xll.DBRW($C$1,$C$2,$C$3,$C$4,$C$6,$C$5,$C$7,AP$1,AP$2,$A121)</f>
        <v>0</v>
      </c>
      <c r="AQ121" s="32">
        <f ca="1">_xll.DBRW($C$1,$C$2,$C$3,$C$4,$C$6,$C$5,$C$7,AQ$1,AQ$2,$A121)</f>
        <v>0</v>
      </c>
      <c r="AR121" s="32">
        <f ca="1">_xll.DBRW($C$1,$C$2,$C$3,$C$4,$C$6,$C$5,$C$7,AR$1,AR$2,$A121)</f>
        <v>0</v>
      </c>
      <c r="AS121" s="32">
        <f ca="1">_xll.DBRW($C$1,$C$2,$C$3,$C$4,$C$6,$C$5,$C$7,AS$1,AS$2,$A121)</f>
        <v>0</v>
      </c>
      <c r="AT121" s="32">
        <f ca="1">_xll.DBRW($C$1,$C$2,$C$3,$C$4,$C$6,$C$5,$C$7,AT$1,AT$2,$A121)</f>
        <v>0</v>
      </c>
      <c r="AU121" s="32">
        <f ca="1">_xll.DBRW($C$1,$C$2,$C$3,$C$4,$C$6,$C$5,$C$7,AU$1,AU$2,$A121)</f>
        <v>0</v>
      </c>
      <c r="AV121" s="32">
        <f ca="1">_xll.DBRW($C$1,$C$2,$C$3,$C$4,$C$6,$C$5,$C$7,AV$1,AV$2,$A121)</f>
        <v>0</v>
      </c>
      <c r="AW121" s="32">
        <f ca="1">_xll.DBRW($C$1,$C$2,$C$3,$C$4,$C$6,$C$5,$C$7,AW$1,AW$2,$A121)</f>
        <v>0</v>
      </c>
      <c r="AX121" s="32">
        <f ca="1">_xll.DBRW($C$1,$C$2,$C$3,$C$4,$C$6,$C$5,$C$7,AX$1,AX$2,$A121)</f>
        <v>0</v>
      </c>
      <c r="AY121" s="32">
        <f ca="1">_xll.DBRW($C$1,$C$2,$C$3,$C$4,$C$6,$C$5,$C$7,AY$1,AY$2,$A121)</f>
        <v>0</v>
      </c>
    </row>
    <row r="122" spans="1:51" ht="15.75" hidden="1" customHeight="1" outlineLevel="1">
      <c r="A122" s="1" t="s">
        <v>214</v>
      </c>
      <c r="C122" s="109"/>
      <c r="E122" s="9" t="str">
        <f ca="1">_xll.DBRW(Server&amp;"}ElementAttributes_Indicator",A122,"code_English")</f>
        <v>PL1115_CD_20 - Interim staff (CD)</v>
      </c>
      <c r="F122" s="32">
        <f ca="1">_xll.DBRW($C$1,$C$2,$C$3,$C$4,$C$6,$C$5,$C$7,F$1,F$2,$A122)</f>
        <v>0</v>
      </c>
      <c r="G122" s="32">
        <f ca="1">_xll.DBRW($C$1,$C$2,$C$3,$C$4,$C$6,$C$5,$C$7,G$1,G$2,$A122)</f>
        <v>0</v>
      </c>
      <c r="H122" s="32">
        <f ca="1">_xll.DBRW($C$1,$C$2,$C$3,$C$4,$C$6,$C$5,$C$7,H$1,H$2,$A122)</f>
        <v>0</v>
      </c>
      <c r="I122" s="32">
        <f ca="1">_xll.DBRW($C$1,$C$2,$C$3,$C$4,$C$6,$C$5,$C$7,I$1,I$2,$A122)</f>
        <v>0</v>
      </c>
      <c r="J122" s="32">
        <f ca="1">_xll.DBRW($C$1,$C$2,$C$3,$C$4,$C$6,$C$5,$C$7,J$1,J$2,$A122)</f>
        <v>0</v>
      </c>
      <c r="K122" s="32">
        <f ca="1">_xll.DBRW($C$1,$C$2,$C$3,$C$4,$C$6,$C$5,$C$7,K$1,K$2,$A122)</f>
        <v>0</v>
      </c>
      <c r="L122" s="32">
        <f ca="1">_xll.DBRW($C$1,$C$2,$C$3,$C$4,$C$6,$C$5,$C$7,L$1,L$2,$A122)</f>
        <v>0</v>
      </c>
      <c r="M122" s="32">
        <f ca="1">_xll.DBRW($C$1,$C$2,$C$3,$C$4,$C$6,$C$5,$C$7,M$1,M$2,$A122)</f>
        <v>0</v>
      </c>
      <c r="N122" s="32">
        <f ca="1">_xll.DBRW($C$1,$C$2,$C$3,$C$4,$C$6,$C$5,$C$7,N$1,N$2,$A122)</f>
        <v>0</v>
      </c>
      <c r="O122" s="32">
        <f ca="1">_xll.DBRW($C$1,$C$2,$C$3,$C$4,$C$6,$C$5,$C$7,O$1,O$2,$A122)</f>
        <v>0</v>
      </c>
      <c r="P122" s="32">
        <f ca="1">_xll.DBRW($C$1,$C$2,$C$3,$C$4,$C$6,$C$5,$C$7,P$1,P$2,$A122)</f>
        <v>0</v>
      </c>
      <c r="Q122" s="32">
        <f ca="1">_xll.DBRW($C$1,$C$2,$C$3,$C$4,$C$6,$C$5,$C$7,Q$1,Q$2,$A122)</f>
        <v>0</v>
      </c>
      <c r="R122" s="32">
        <f ca="1">_xll.DBRW($C$1,$C$2,$C$3,$C$4,$C$6,$C$5,$C$7,R$1,R$2,$A122)</f>
        <v>0</v>
      </c>
      <c r="S122" s="32">
        <f ca="1">_xll.DBRW($C$1,$C$2,$C$3,$C$4,$C$6,$C$5,$C$7,S$1,S$2,$A122)</f>
        <v>0</v>
      </c>
      <c r="T122" s="32">
        <f ca="1">_xll.DBRW($C$1,$C$2,$C$3,$C$4,$C$6,$C$5,$C$7,T$1,T$2,$A122)</f>
        <v>0</v>
      </c>
      <c r="U122" s="32">
        <f ca="1">_xll.DBRW($C$1,$C$2,$C$3,$C$4,$C$6,$C$5,$C$7,U$1,U$2,$A122)</f>
        <v>0</v>
      </c>
      <c r="V122" s="32">
        <f ca="1">_xll.DBRW($C$1,$C$2,$C$3,$C$4,$C$6,$C$5,$C$7,V$1,V$2,$A122)</f>
        <v>0</v>
      </c>
      <c r="W122" s="32">
        <f ca="1">_xll.DBRW($C$1,$C$2,$C$3,$C$4,$C$6,$C$5,$C$7,W$1,W$2,$A122)</f>
        <v>0</v>
      </c>
      <c r="X122" s="32">
        <f ca="1">_xll.DBRW($C$1,$C$2,$C$3,$C$4,$C$6,$C$5,$C$7,X$1,X$2,$A122)</f>
        <v>0</v>
      </c>
      <c r="Y122" s="32">
        <f ca="1">_xll.DBRW($C$1,$C$2,$C$3,$C$4,$C$6,$C$5,$C$7,Y$1,Y$2,$A122)</f>
        <v>0</v>
      </c>
      <c r="Z122" s="32">
        <f ca="1">_xll.DBRW($C$1,$C$2,$C$3,$C$4,$C$6,$C$5,$C$7,Z$1,Z$2,$A122)</f>
        <v>0</v>
      </c>
      <c r="AA122" s="32">
        <f ca="1">_xll.DBRW($C$1,$C$2,$C$3,$C$4,$C$6,$C$5,$C$7,AA$1,AA$2,$A122)</f>
        <v>0</v>
      </c>
      <c r="AB122" s="32">
        <f ca="1">_xll.DBRW($C$1,$C$2,$C$3,$C$4,$C$6,$C$5,$C$7,AB$1,AB$2,$A122)</f>
        <v>0</v>
      </c>
      <c r="AC122" s="32">
        <f ca="1">_xll.DBRW($C$1,$C$2,$C$3,$C$4,$C$6,$C$5,$C$7,AC$1,AC$2,$A122)</f>
        <v>0</v>
      </c>
      <c r="AD122" s="32">
        <f ca="1">_xll.DBRW($C$1,$C$2,$C$3,$C$4,$C$6,$C$5,$C$7,AD$1,AD$2,$A122)</f>
        <v>0</v>
      </c>
      <c r="AE122" s="32">
        <f ca="1">_xll.DBRW($C$1,$C$2,$C$3,$C$4,$C$6,$C$5,$C$7,AE$1,AE$2,$A122)</f>
        <v>0</v>
      </c>
      <c r="AF122" s="32">
        <f ca="1">_xll.DBRW($C$1,$C$2,$C$3,$C$4,$C$6,$C$5,$C$7,AF$1,AF$2,$A122)</f>
        <v>0</v>
      </c>
      <c r="AG122" s="32">
        <f ca="1">_xll.DBRW($C$1,$C$2,$C$3,$C$4,$C$6,$C$5,$C$7,AG$1,AG$2,$A122)</f>
        <v>0</v>
      </c>
      <c r="AH122" s="32">
        <f ca="1">_xll.DBRW($C$1,$C$2,$C$3,$C$4,$C$6,$C$5,$C$7,AH$1,AH$2,$A122)</f>
        <v>0</v>
      </c>
      <c r="AI122" s="32">
        <f ca="1">_xll.DBRW($C$1,$C$2,$C$3,$C$4,$C$6,$C$5,$C$7,AI$1,AI$2,$A122)</f>
        <v>0</v>
      </c>
      <c r="AJ122" s="32">
        <f ca="1">_xll.DBRW($C$1,$C$2,$C$3,$C$4,$C$6,$C$5,$C$7,AJ$1,AJ$2,$A122)</f>
        <v>0</v>
      </c>
      <c r="AK122" s="32">
        <f ca="1">_xll.DBRW($C$1,$C$2,$C$3,$C$4,$C$6,$C$5,$C$7,AK$1,AK$2,$A122)</f>
        <v>0</v>
      </c>
      <c r="AL122" s="32">
        <f ca="1">_xll.DBRW($C$1,$C$2,$C$3,$C$4,$C$6,$C$5,$C$7,AL$1,AL$2,$A122)</f>
        <v>0</v>
      </c>
      <c r="AM122" s="32">
        <f ca="1">_xll.DBRW($C$1,$C$2,$C$3,$C$4,$C$6,$C$5,$C$7,AM$1,AM$2,$A122)</f>
        <v>0</v>
      </c>
      <c r="AN122" s="32">
        <f ca="1">_xll.DBRW($C$1,$C$2,$C$3,$C$4,$C$6,$C$5,$C$7,AN$1,AN$2,$A122)</f>
        <v>0</v>
      </c>
      <c r="AO122" s="32">
        <f ca="1">_xll.DBRW($C$1,$C$2,$C$3,$C$4,$C$6,$C$5,$C$7,AO$1,AO$2,$A122)</f>
        <v>0</v>
      </c>
      <c r="AP122" s="32">
        <f ca="1">_xll.DBRW($C$1,$C$2,$C$3,$C$4,$C$6,$C$5,$C$7,AP$1,AP$2,$A122)</f>
        <v>0</v>
      </c>
      <c r="AQ122" s="32">
        <f ca="1">_xll.DBRW($C$1,$C$2,$C$3,$C$4,$C$6,$C$5,$C$7,AQ$1,AQ$2,$A122)</f>
        <v>0</v>
      </c>
      <c r="AR122" s="32">
        <f ca="1">_xll.DBRW($C$1,$C$2,$C$3,$C$4,$C$6,$C$5,$C$7,AR$1,AR$2,$A122)</f>
        <v>0</v>
      </c>
      <c r="AS122" s="32">
        <f ca="1">_xll.DBRW($C$1,$C$2,$C$3,$C$4,$C$6,$C$5,$C$7,AS$1,AS$2,$A122)</f>
        <v>0</v>
      </c>
      <c r="AT122" s="32">
        <f ca="1">_xll.DBRW($C$1,$C$2,$C$3,$C$4,$C$6,$C$5,$C$7,AT$1,AT$2,$A122)</f>
        <v>0</v>
      </c>
      <c r="AU122" s="32">
        <f ca="1">_xll.DBRW($C$1,$C$2,$C$3,$C$4,$C$6,$C$5,$C$7,AU$1,AU$2,$A122)</f>
        <v>0</v>
      </c>
      <c r="AV122" s="32">
        <f ca="1">_xll.DBRW($C$1,$C$2,$C$3,$C$4,$C$6,$C$5,$C$7,AV$1,AV$2,$A122)</f>
        <v>0</v>
      </c>
      <c r="AW122" s="32">
        <f ca="1">_xll.DBRW($C$1,$C$2,$C$3,$C$4,$C$6,$C$5,$C$7,AW$1,AW$2,$A122)</f>
        <v>0</v>
      </c>
      <c r="AX122" s="32">
        <f ca="1">_xll.DBRW($C$1,$C$2,$C$3,$C$4,$C$6,$C$5,$C$7,AX$1,AX$2,$A122)</f>
        <v>0</v>
      </c>
      <c r="AY122" s="32">
        <f ca="1">_xll.DBRW($C$1,$C$2,$C$3,$C$4,$C$6,$C$5,$C$7,AY$1,AY$2,$A122)</f>
        <v>0</v>
      </c>
    </row>
    <row r="123" spans="1:51" ht="15.75" hidden="1" customHeight="1" outlineLevel="1">
      <c r="A123" s="1" t="s">
        <v>215</v>
      </c>
      <c r="C123" s="109"/>
      <c r="E123" s="9" t="str">
        <f ca="1">_xll.DBRW(Server&amp;"}ElementAttributes_Indicator",A123,"code_English")</f>
        <v>PL1115_CD_40 - Repairs</v>
      </c>
      <c r="F123" s="32">
        <f ca="1">_xll.DBRW($C$1,$C$2,$C$3,$C$4,$C$6,$C$5,$C$7,F$1,F$2,$A123)</f>
        <v>0</v>
      </c>
      <c r="G123" s="32">
        <f ca="1">_xll.DBRW($C$1,$C$2,$C$3,$C$4,$C$6,$C$5,$C$7,G$1,G$2,$A123)</f>
        <v>0</v>
      </c>
      <c r="H123" s="32">
        <f ca="1">_xll.DBRW($C$1,$C$2,$C$3,$C$4,$C$6,$C$5,$C$7,H$1,H$2,$A123)</f>
        <v>0</v>
      </c>
      <c r="I123" s="32">
        <f ca="1">_xll.DBRW($C$1,$C$2,$C$3,$C$4,$C$6,$C$5,$C$7,I$1,I$2,$A123)</f>
        <v>0</v>
      </c>
      <c r="J123" s="32">
        <f ca="1">_xll.DBRW($C$1,$C$2,$C$3,$C$4,$C$6,$C$5,$C$7,J$1,J$2,$A123)</f>
        <v>0</v>
      </c>
      <c r="K123" s="32">
        <f ca="1">_xll.DBRW($C$1,$C$2,$C$3,$C$4,$C$6,$C$5,$C$7,K$1,K$2,$A123)</f>
        <v>0</v>
      </c>
      <c r="L123" s="32">
        <f ca="1">_xll.DBRW($C$1,$C$2,$C$3,$C$4,$C$6,$C$5,$C$7,L$1,L$2,$A123)</f>
        <v>0</v>
      </c>
      <c r="M123" s="32">
        <f ca="1">_xll.DBRW($C$1,$C$2,$C$3,$C$4,$C$6,$C$5,$C$7,M$1,M$2,$A123)</f>
        <v>0</v>
      </c>
      <c r="N123" s="32">
        <f ca="1">_xll.DBRW($C$1,$C$2,$C$3,$C$4,$C$6,$C$5,$C$7,N$1,N$2,$A123)</f>
        <v>0</v>
      </c>
      <c r="O123" s="32">
        <f ca="1">_xll.DBRW($C$1,$C$2,$C$3,$C$4,$C$6,$C$5,$C$7,O$1,O$2,$A123)</f>
        <v>0</v>
      </c>
      <c r="P123" s="32">
        <f ca="1">_xll.DBRW($C$1,$C$2,$C$3,$C$4,$C$6,$C$5,$C$7,P$1,P$2,$A123)</f>
        <v>0</v>
      </c>
      <c r="Q123" s="32">
        <f ca="1">_xll.DBRW($C$1,$C$2,$C$3,$C$4,$C$6,$C$5,$C$7,Q$1,Q$2,$A123)</f>
        <v>0</v>
      </c>
      <c r="R123" s="32">
        <f ca="1">_xll.DBRW($C$1,$C$2,$C$3,$C$4,$C$6,$C$5,$C$7,R$1,R$2,$A123)</f>
        <v>0</v>
      </c>
      <c r="S123" s="32">
        <f ca="1">_xll.DBRW($C$1,$C$2,$C$3,$C$4,$C$6,$C$5,$C$7,S$1,S$2,$A123)</f>
        <v>0</v>
      </c>
      <c r="T123" s="32">
        <f ca="1">_xll.DBRW($C$1,$C$2,$C$3,$C$4,$C$6,$C$5,$C$7,T$1,T$2,$A123)</f>
        <v>0</v>
      </c>
      <c r="U123" s="32">
        <f ca="1">_xll.DBRW($C$1,$C$2,$C$3,$C$4,$C$6,$C$5,$C$7,U$1,U$2,$A123)</f>
        <v>0</v>
      </c>
      <c r="V123" s="32">
        <f ca="1">_xll.DBRW($C$1,$C$2,$C$3,$C$4,$C$6,$C$5,$C$7,V$1,V$2,$A123)</f>
        <v>0</v>
      </c>
      <c r="W123" s="32">
        <f ca="1">_xll.DBRW($C$1,$C$2,$C$3,$C$4,$C$6,$C$5,$C$7,W$1,W$2,$A123)</f>
        <v>0</v>
      </c>
      <c r="X123" s="32">
        <f ca="1">_xll.DBRW($C$1,$C$2,$C$3,$C$4,$C$6,$C$5,$C$7,X$1,X$2,$A123)</f>
        <v>0</v>
      </c>
      <c r="Y123" s="32">
        <f ca="1">_xll.DBRW($C$1,$C$2,$C$3,$C$4,$C$6,$C$5,$C$7,Y$1,Y$2,$A123)</f>
        <v>0</v>
      </c>
      <c r="Z123" s="32">
        <f ca="1">_xll.DBRW($C$1,$C$2,$C$3,$C$4,$C$6,$C$5,$C$7,Z$1,Z$2,$A123)</f>
        <v>0</v>
      </c>
      <c r="AA123" s="32">
        <f ca="1">_xll.DBRW($C$1,$C$2,$C$3,$C$4,$C$6,$C$5,$C$7,AA$1,AA$2,$A123)</f>
        <v>0</v>
      </c>
      <c r="AB123" s="32">
        <f ca="1">_xll.DBRW($C$1,$C$2,$C$3,$C$4,$C$6,$C$5,$C$7,AB$1,AB$2,$A123)</f>
        <v>0</v>
      </c>
      <c r="AC123" s="32">
        <f ca="1">_xll.DBRW($C$1,$C$2,$C$3,$C$4,$C$6,$C$5,$C$7,AC$1,AC$2,$A123)</f>
        <v>0</v>
      </c>
      <c r="AD123" s="32">
        <f ca="1">_xll.DBRW($C$1,$C$2,$C$3,$C$4,$C$6,$C$5,$C$7,AD$1,AD$2,$A123)</f>
        <v>0</v>
      </c>
      <c r="AE123" s="32">
        <f ca="1">_xll.DBRW($C$1,$C$2,$C$3,$C$4,$C$6,$C$5,$C$7,AE$1,AE$2,$A123)</f>
        <v>0</v>
      </c>
      <c r="AF123" s="32">
        <f ca="1">_xll.DBRW($C$1,$C$2,$C$3,$C$4,$C$6,$C$5,$C$7,AF$1,AF$2,$A123)</f>
        <v>0</v>
      </c>
      <c r="AG123" s="32">
        <f ca="1">_xll.DBRW($C$1,$C$2,$C$3,$C$4,$C$6,$C$5,$C$7,AG$1,AG$2,$A123)</f>
        <v>0</v>
      </c>
      <c r="AH123" s="32">
        <f ca="1">_xll.DBRW($C$1,$C$2,$C$3,$C$4,$C$6,$C$5,$C$7,AH$1,AH$2,$A123)</f>
        <v>0</v>
      </c>
      <c r="AI123" s="32">
        <f ca="1">_xll.DBRW($C$1,$C$2,$C$3,$C$4,$C$6,$C$5,$C$7,AI$1,AI$2,$A123)</f>
        <v>0</v>
      </c>
      <c r="AJ123" s="32">
        <f ca="1">_xll.DBRW($C$1,$C$2,$C$3,$C$4,$C$6,$C$5,$C$7,AJ$1,AJ$2,$A123)</f>
        <v>0</v>
      </c>
      <c r="AK123" s="32">
        <f ca="1">_xll.DBRW($C$1,$C$2,$C$3,$C$4,$C$6,$C$5,$C$7,AK$1,AK$2,$A123)</f>
        <v>0</v>
      </c>
      <c r="AL123" s="32">
        <f ca="1">_xll.DBRW($C$1,$C$2,$C$3,$C$4,$C$6,$C$5,$C$7,AL$1,AL$2,$A123)</f>
        <v>0</v>
      </c>
      <c r="AM123" s="32">
        <f ca="1">_xll.DBRW($C$1,$C$2,$C$3,$C$4,$C$6,$C$5,$C$7,AM$1,AM$2,$A123)</f>
        <v>0</v>
      </c>
      <c r="AN123" s="32">
        <f ca="1">_xll.DBRW($C$1,$C$2,$C$3,$C$4,$C$6,$C$5,$C$7,AN$1,AN$2,$A123)</f>
        <v>0</v>
      </c>
      <c r="AO123" s="32">
        <f ca="1">_xll.DBRW($C$1,$C$2,$C$3,$C$4,$C$6,$C$5,$C$7,AO$1,AO$2,$A123)</f>
        <v>0</v>
      </c>
      <c r="AP123" s="32">
        <f ca="1">_xll.DBRW($C$1,$C$2,$C$3,$C$4,$C$6,$C$5,$C$7,AP$1,AP$2,$A123)</f>
        <v>0</v>
      </c>
      <c r="AQ123" s="32">
        <f ca="1">_xll.DBRW($C$1,$C$2,$C$3,$C$4,$C$6,$C$5,$C$7,AQ$1,AQ$2,$A123)</f>
        <v>0</v>
      </c>
      <c r="AR123" s="32">
        <f ca="1">_xll.DBRW($C$1,$C$2,$C$3,$C$4,$C$6,$C$5,$C$7,AR$1,AR$2,$A123)</f>
        <v>0</v>
      </c>
      <c r="AS123" s="32">
        <f ca="1">_xll.DBRW($C$1,$C$2,$C$3,$C$4,$C$6,$C$5,$C$7,AS$1,AS$2,$A123)</f>
        <v>0</v>
      </c>
      <c r="AT123" s="32">
        <f ca="1">_xll.DBRW($C$1,$C$2,$C$3,$C$4,$C$6,$C$5,$C$7,AT$1,AT$2,$A123)</f>
        <v>0</v>
      </c>
      <c r="AU123" s="32">
        <f ca="1">_xll.DBRW($C$1,$C$2,$C$3,$C$4,$C$6,$C$5,$C$7,AU$1,AU$2,$A123)</f>
        <v>0</v>
      </c>
      <c r="AV123" s="32">
        <f ca="1">_xll.DBRW($C$1,$C$2,$C$3,$C$4,$C$6,$C$5,$C$7,AV$1,AV$2,$A123)</f>
        <v>0</v>
      </c>
      <c r="AW123" s="32">
        <f ca="1">_xll.DBRW($C$1,$C$2,$C$3,$C$4,$C$6,$C$5,$C$7,AW$1,AW$2,$A123)</f>
        <v>0</v>
      </c>
      <c r="AX123" s="32">
        <f ca="1">_xll.DBRW($C$1,$C$2,$C$3,$C$4,$C$6,$C$5,$C$7,AX$1,AX$2,$A123)</f>
        <v>0</v>
      </c>
      <c r="AY123" s="32">
        <f ca="1">_xll.DBRW($C$1,$C$2,$C$3,$C$4,$C$6,$C$5,$C$7,AY$1,AY$2,$A123)</f>
        <v>0</v>
      </c>
    </row>
    <row r="124" spans="1:51" ht="15.75" hidden="1" customHeight="1" outlineLevel="1">
      <c r="A124" s="1" t="s">
        <v>216</v>
      </c>
      <c r="C124" s="109"/>
      <c r="E124" s="9" t="str">
        <f ca="1">_xll.DBRW(Server&amp;"}ElementAttributes_Indicator",A124,"code_English")</f>
        <v>PL1115_CD_45 - Autoliability</v>
      </c>
      <c r="F124" s="32">
        <f ca="1">_xll.DBRW($C$1,$C$2,$C$3,$C$4,$C$6,$C$5,$C$7,F$1,F$2,$A124)</f>
        <v>0</v>
      </c>
      <c r="G124" s="32">
        <f ca="1">_xll.DBRW($C$1,$C$2,$C$3,$C$4,$C$6,$C$5,$C$7,G$1,G$2,$A124)</f>
        <v>0</v>
      </c>
      <c r="H124" s="32">
        <f ca="1">_xll.DBRW($C$1,$C$2,$C$3,$C$4,$C$6,$C$5,$C$7,H$1,H$2,$A124)</f>
        <v>0</v>
      </c>
      <c r="I124" s="32">
        <f ca="1">_xll.DBRW($C$1,$C$2,$C$3,$C$4,$C$6,$C$5,$C$7,I$1,I$2,$A124)</f>
        <v>0</v>
      </c>
      <c r="J124" s="32">
        <f ca="1">_xll.DBRW($C$1,$C$2,$C$3,$C$4,$C$6,$C$5,$C$7,J$1,J$2,$A124)</f>
        <v>0</v>
      </c>
      <c r="K124" s="32">
        <f ca="1">_xll.DBRW($C$1,$C$2,$C$3,$C$4,$C$6,$C$5,$C$7,K$1,K$2,$A124)</f>
        <v>0</v>
      </c>
      <c r="L124" s="32">
        <f ca="1">_xll.DBRW($C$1,$C$2,$C$3,$C$4,$C$6,$C$5,$C$7,L$1,L$2,$A124)</f>
        <v>0</v>
      </c>
      <c r="M124" s="32">
        <f ca="1">_xll.DBRW($C$1,$C$2,$C$3,$C$4,$C$6,$C$5,$C$7,M$1,M$2,$A124)</f>
        <v>0</v>
      </c>
      <c r="N124" s="32">
        <f ca="1">_xll.DBRW($C$1,$C$2,$C$3,$C$4,$C$6,$C$5,$C$7,N$1,N$2,$A124)</f>
        <v>0</v>
      </c>
      <c r="O124" s="32">
        <f ca="1">_xll.DBRW($C$1,$C$2,$C$3,$C$4,$C$6,$C$5,$C$7,O$1,O$2,$A124)</f>
        <v>0</v>
      </c>
      <c r="P124" s="32">
        <f ca="1">_xll.DBRW($C$1,$C$2,$C$3,$C$4,$C$6,$C$5,$C$7,P$1,P$2,$A124)</f>
        <v>0</v>
      </c>
      <c r="Q124" s="32">
        <f ca="1">_xll.DBRW($C$1,$C$2,$C$3,$C$4,$C$6,$C$5,$C$7,Q$1,Q$2,$A124)</f>
        <v>0</v>
      </c>
      <c r="R124" s="32">
        <f ca="1">_xll.DBRW($C$1,$C$2,$C$3,$C$4,$C$6,$C$5,$C$7,R$1,R$2,$A124)</f>
        <v>0</v>
      </c>
      <c r="S124" s="32">
        <f ca="1">_xll.DBRW($C$1,$C$2,$C$3,$C$4,$C$6,$C$5,$C$7,S$1,S$2,$A124)</f>
        <v>0</v>
      </c>
      <c r="T124" s="32">
        <f ca="1">_xll.DBRW($C$1,$C$2,$C$3,$C$4,$C$6,$C$5,$C$7,T$1,T$2,$A124)</f>
        <v>0</v>
      </c>
      <c r="U124" s="32">
        <f ca="1">_xll.DBRW($C$1,$C$2,$C$3,$C$4,$C$6,$C$5,$C$7,U$1,U$2,$A124)</f>
        <v>0</v>
      </c>
      <c r="V124" s="32">
        <f ca="1">_xll.DBRW($C$1,$C$2,$C$3,$C$4,$C$6,$C$5,$C$7,V$1,V$2,$A124)</f>
        <v>0</v>
      </c>
      <c r="W124" s="32">
        <f ca="1">_xll.DBRW($C$1,$C$2,$C$3,$C$4,$C$6,$C$5,$C$7,W$1,W$2,$A124)</f>
        <v>0</v>
      </c>
      <c r="X124" s="32">
        <f ca="1">_xll.DBRW($C$1,$C$2,$C$3,$C$4,$C$6,$C$5,$C$7,X$1,X$2,$A124)</f>
        <v>0</v>
      </c>
      <c r="Y124" s="32">
        <f ca="1">_xll.DBRW($C$1,$C$2,$C$3,$C$4,$C$6,$C$5,$C$7,Y$1,Y$2,$A124)</f>
        <v>0</v>
      </c>
      <c r="Z124" s="32">
        <f ca="1">_xll.DBRW($C$1,$C$2,$C$3,$C$4,$C$6,$C$5,$C$7,Z$1,Z$2,$A124)</f>
        <v>0</v>
      </c>
      <c r="AA124" s="32">
        <f ca="1">_xll.DBRW($C$1,$C$2,$C$3,$C$4,$C$6,$C$5,$C$7,AA$1,AA$2,$A124)</f>
        <v>0</v>
      </c>
      <c r="AB124" s="32">
        <f ca="1">_xll.DBRW($C$1,$C$2,$C$3,$C$4,$C$6,$C$5,$C$7,AB$1,AB$2,$A124)</f>
        <v>0</v>
      </c>
      <c r="AC124" s="32">
        <f ca="1">_xll.DBRW($C$1,$C$2,$C$3,$C$4,$C$6,$C$5,$C$7,AC$1,AC$2,$A124)</f>
        <v>0</v>
      </c>
      <c r="AD124" s="32">
        <f ca="1">_xll.DBRW($C$1,$C$2,$C$3,$C$4,$C$6,$C$5,$C$7,AD$1,AD$2,$A124)</f>
        <v>0</v>
      </c>
      <c r="AE124" s="32">
        <f ca="1">_xll.DBRW($C$1,$C$2,$C$3,$C$4,$C$6,$C$5,$C$7,AE$1,AE$2,$A124)</f>
        <v>0</v>
      </c>
      <c r="AF124" s="32">
        <f ca="1">_xll.DBRW($C$1,$C$2,$C$3,$C$4,$C$6,$C$5,$C$7,AF$1,AF$2,$A124)</f>
        <v>0</v>
      </c>
      <c r="AG124" s="32">
        <f ca="1">_xll.DBRW($C$1,$C$2,$C$3,$C$4,$C$6,$C$5,$C$7,AG$1,AG$2,$A124)</f>
        <v>0</v>
      </c>
      <c r="AH124" s="32">
        <f ca="1">_xll.DBRW($C$1,$C$2,$C$3,$C$4,$C$6,$C$5,$C$7,AH$1,AH$2,$A124)</f>
        <v>0</v>
      </c>
      <c r="AI124" s="32">
        <f ca="1">_xll.DBRW($C$1,$C$2,$C$3,$C$4,$C$6,$C$5,$C$7,AI$1,AI$2,$A124)</f>
        <v>0</v>
      </c>
      <c r="AJ124" s="32">
        <f ca="1">_xll.DBRW($C$1,$C$2,$C$3,$C$4,$C$6,$C$5,$C$7,AJ$1,AJ$2,$A124)</f>
        <v>0</v>
      </c>
      <c r="AK124" s="32">
        <f ca="1">_xll.DBRW($C$1,$C$2,$C$3,$C$4,$C$6,$C$5,$C$7,AK$1,AK$2,$A124)</f>
        <v>0</v>
      </c>
      <c r="AL124" s="32">
        <f ca="1">_xll.DBRW($C$1,$C$2,$C$3,$C$4,$C$6,$C$5,$C$7,AL$1,AL$2,$A124)</f>
        <v>0</v>
      </c>
      <c r="AM124" s="32">
        <f ca="1">_xll.DBRW($C$1,$C$2,$C$3,$C$4,$C$6,$C$5,$C$7,AM$1,AM$2,$A124)</f>
        <v>0</v>
      </c>
      <c r="AN124" s="32">
        <f ca="1">_xll.DBRW($C$1,$C$2,$C$3,$C$4,$C$6,$C$5,$C$7,AN$1,AN$2,$A124)</f>
        <v>0</v>
      </c>
      <c r="AO124" s="32">
        <f ca="1">_xll.DBRW($C$1,$C$2,$C$3,$C$4,$C$6,$C$5,$C$7,AO$1,AO$2,$A124)</f>
        <v>0</v>
      </c>
      <c r="AP124" s="32">
        <f ca="1">_xll.DBRW($C$1,$C$2,$C$3,$C$4,$C$6,$C$5,$C$7,AP$1,AP$2,$A124)</f>
        <v>0</v>
      </c>
      <c r="AQ124" s="32">
        <f ca="1">_xll.DBRW($C$1,$C$2,$C$3,$C$4,$C$6,$C$5,$C$7,AQ$1,AQ$2,$A124)</f>
        <v>0</v>
      </c>
      <c r="AR124" s="32">
        <f ca="1">_xll.DBRW($C$1,$C$2,$C$3,$C$4,$C$6,$C$5,$C$7,AR$1,AR$2,$A124)</f>
        <v>0</v>
      </c>
      <c r="AS124" s="32">
        <f ca="1">_xll.DBRW($C$1,$C$2,$C$3,$C$4,$C$6,$C$5,$C$7,AS$1,AS$2,$A124)</f>
        <v>0</v>
      </c>
      <c r="AT124" s="32">
        <f ca="1">_xll.DBRW($C$1,$C$2,$C$3,$C$4,$C$6,$C$5,$C$7,AT$1,AT$2,$A124)</f>
        <v>0</v>
      </c>
      <c r="AU124" s="32">
        <f ca="1">_xll.DBRW($C$1,$C$2,$C$3,$C$4,$C$6,$C$5,$C$7,AU$1,AU$2,$A124)</f>
        <v>0</v>
      </c>
      <c r="AV124" s="32">
        <f ca="1">_xll.DBRW($C$1,$C$2,$C$3,$C$4,$C$6,$C$5,$C$7,AV$1,AV$2,$A124)</f>
        <v>0</v>
      </c>
      <c r="AW124" s="32">
        <f ca="1">_xll.DBRW($C$1,$C$2,$C$3,$C$4,$C$6,$C$5,$C$7,AW$1,AW$2,$A124)</f>
        <v>0</v>
      </c>
      <c r="AX124" s="32">
        <f ca="1">_xll.DBRW($C$1,$C$2,$C$3,$C$4,$C$6,$C$5,$C$7,AX$1,AX$2,$A124)</f>
        <v>0</v>
      </c>
      <c r="AY124" s="32">
        <f ca="1">_xll.DBRW($C$1,$C$2,$C$3,$C$4,$C$6,$C$5,$C$7,AY$1,AY$2,$A124)</f>
        <v>0</v>
      </c>
    </row>
    <row r="125" spans="1:51" ht="15.75" hidden="1" customHeight="1" outlineLevel="1">
      <c r="A125" s="1" t="s">
        <v>217</v>
      </c>
      <c r="C125" s="109"/>
      <c r="E125" s="9" t="str">
        <f ca="1">_xll.DBRW(Server&amp;"}ElementAttributes_Indicator",A125,"code_English")</f>
        <v>PL1115_CD_50 - Insurance premiums paid</v>
      </c>
      <c r="F125" s="32">
        <f ca="1">_xll.DBRW($C$1,$C$2,$C$3,$C$4,$C$6,$C$5,$C$7,F$1,F$2,$A125)</f>
        <v>0</v>
      </c>
      <c r="G125" s="32">
        <f ca="1">_xll.DBRW($C$1,$C$2,$C$3,$C$4,$C$6,$C$5,$C$7,G$1,G$2,$A125)</f>
        <v>0</v>
      </c>
      <c r="H125" s="32">
        <f ca="1">_xll.DBRW($C$1,$C$2,$C$3,$C$4,$C$6,$C$5,$C$7,H$1,H$2,$A125)</f>
        <v>0</v>
      </c>
      <c r="I125" s="32">
        <f ca="1">_xll.DBRW($C$1,$C$2,$C$3,$C$4,$C$6,$C$5,$C$7,I$1,I$2,$A125)</f>
        <v>0</v>
      </c>
      <c r="J125" s="32">
        <f ca="1">_xll.DBRW($C$1,$C$2,$C$3,$C$4,$C$6,$C$5,$C$7,J$1,J$2,$A125)</f>
        <v>0</v>
      </c>
      <c r="K125" s="32">
        <f ca="1">_xll.DBRW($C$1,$C$2,$C$3,$C$4,$C$6,$C$5,$C$7,K$1,K$2,$A125)</f>
        <v>0</v>
      </c>
      <c r="L125" s="32">
        <f ca="1">_xll.DBRW($C$1,$C$2,$C$3,$C$4,$C$6,$C$5,$C$7,L$1,L$2,$A125)</f>
        <v>0</v>
      </c>
      <c r="M125" s="32">
        <f ca="1">_xll.DBRW($C$1,$C$2,$C$3,$C$4,$C$6,$C$5,$C$7,M$1,M$2,$A125)</f>
        <v>0</v>
      </c>
      <c r="N125" s="32">
        <f ca="1">_xll.DBRW($C$1,$C$2,$C$3,$C$4,$C$6,$C$5,$C$7,N$1,N$2,$A125)</f>
        <v>0</v>
      </c>
      <c r="O125" s="32">
        <f ca="1">_xll.DBRW($C$1,$C$2,$C$3,$C$4,$C$6,$C$5,$C$7,O$1,O$2,$A125)</f>
        <v>0</v>
      </c>
      <c r="P125" s="32">
        <f ca="1">_xll.DBRW($C$1,$C$2,$C$3,$C$4,$C$6,$C$5,$C$7,P$1,P$2,$A125)</f>
        <v>0</v>
      </c>
      <c r="Q125" s="32">
        <f ca="1">_xll.DBRW($C$1,$C$2,$C$3,$C$4,$C$6,$C$5,$C$7,Q$1,Q$2,$A125)</f>
        <v>0</v>
      </c>
      <c r="R125" s="32">
        <f ca="1">_xll.DBRW($C$1,$C$2,$C$3,$C$4,$C$6,$C$5,$C$7,R$1,R$2,$A125)</f>
        <v>0</v>
      </c>
      <c r="S125" s="32">
        <f ca="1">_xll.DBRW($C$1,$C$2,$C$3,$C$4,$C$6,$C$5,$C$7,S$1,S$2,$A125)</f>
        <v>0</v>
      </c>
      <c r="T125" s="32">
        <f ca="1">_xll.DBRW($C$1,$C$2,$C$3,$C$4,$C$6,$C$5,$C$7,T$1,T$2,$A125)</f>
        <v>0</v>
      </c>
      <c r="U125" s="32">
        <f ca="1">_xll.DBRW($C$1,$C$2,$C$3,$C$4,$C$6,$C$5,$C$7,U$1,U$2,$A125)</f>
        <v>0</v>
      </c>
      <c r="V125" s="32">
        <f ca="1">_xll.DBRW($C$1,$C$2,$C$3,$C$4,$C$6,$C$5,$C$7,V$1,V$2,$A125)</f>
        <v>0</v>
      </c>
      <c r="W125" s="32">
        <f ca="1">_xll.DBRW($C$1,$C$2,$C$3,$C$4,$C$6,$C$5,$C$7,W$1,W$2,$A125)</f>
        <v>0</v>
      </c>
      <c r="X125" s="32">
        <f ca="1">_xll.DBRW($C$1,$C$2,$C$3,$C$4,$C$6,$C$5,$C$7,X$1,X$2,$A125)</f>
        <v>0</v>
      </c>
      <c r="Y125" s="32">
        <f ca="1">_xll.DBRW($C$1,$C$2,$C$3,$C$4,$C$6,$C$5,$C$7,Y$1,Y$2,$A125)</f>
        <v>0</v>
      </c>
      <c r="Z125" s="32">
        <f ca="1">_xll.DBRW($C$1,$C$2,$C$3,$C$4,$C$6,$C$5,$C$7,Z$1,Z$2,$A125)</f>
        <v>0</v>
      </c>
      <c r="AA125" s="32">
        <f ca="1">_xll.DBRW($C$1,$C$2,$C$3,$C$4,$C$6,$C$5,$C$7,AA$1,AA$2,$A125)</f>
        <v>0</v>
      </c>
      <c r="AB125" s="32">
        <f ca="1">_xll.DBRW($C$1,$C$2,$C$3,$C$4,$C$6,$C$5,$C$7,AB$1,AB$2,$A125)</f>
        <v>0</v>
      </c>
      <c r="AC125" s="32">
        <f ca="1">_xll.DBRW($C$1,$C$2,$C$3,$C$4,$C$6,$C$5,$C$7,AC$1,AC$2,$A125)</f>
        <v>0</v>
      </c>
      <c r="AD125" s="32">
        <f ca="1">_xll.DBRW($C$1,$C$2,$C$3,$C$4,$C$6,$C$5,$C$7,AD$1,AD$2,$A125)</f>
        <v>0</v>
      </c>
      <c r="AE125" s="32">
        <f ca="1">_xll.DBRW($C$1,$C$2,$C$3,$C$4,$C$6,$C$5,$C$7,AE$1,AE$2,$A125)</f>
        <v>0</v>
      </c>
      <c r="AF125" s="32">
        <f ca="1">_xll.DBRW($C$1,$C$2,$C$3,$C$4,$C$6,$C$5,$C$7,AF$1,AF$2,$A125)</f>
        <v>0</v>
      </c>
      <c r="AG125" s="32">
        <f ca="1">_xll.DBRW($C$1,$C$2,$C$3,$C$4,$C$6,$C$5,$C$7,AG$1,AG$2,$A125)</f>
        <v>0</v>
      </c>
      <c r="AH125" s="32">
        <f ca="1">_xll.DBRW($C$1,$C$2,$C$3,$C$4,$C$6,$C$5,$C$7,AH$1,AH$2,$A125)</f>
        <v>0</v>
      </c>
      <c r="AI125" s="32">
        <f ca="1">_xll.DBRW($C$1,$C$2,$C$3,$C$4,$C$6,$C$5,$C$7,AI$1,AI$2,$A125)</f>
        <v>0</v>
      </c>
      <c r="AJ125" s="32">
        <f ca="1">_xll.DBRW($C$1,$C$2,$C$3,$C$4,$C$6,$C$5,$C$7,AJ$1,AJ$2,$A125)</f>
        <v>0</v>
      </c>
      <c r="AK125" s="32">
        <f ca="1">_xll.DBRW($C$1,$C$2,$C$3,$C$4,$C$6,$C$5,$C$7,AK$1,AK$2,$A125)</f>
        <v>0</v>
      </c>
      <c r="AL125" s="32">
        <f ca="1">_xll.DBRW($C$1,$C$2,$C$3,$C$4,$C$6,$C$5,$C$7,AL$1,AL$2,$A125)</f>
        <v>0</v>
      </c>
      <c r="AM125" s="32">
        <f ca="1">_xll.DBRW($C$1,$C$2,$C$3,$C$4,$C$6,$C$5,$C$7,AM$1,AM$2,$A125)</f>
        <v>0</v>
      </c>
      <c r="AN125" s="32">
        <f ca="1">_xll.DBRW($C$1,$C$2,$C$3,$C$4,$C$6,$C$5,$C$7,AN$1,AN$2,$A125)</f>
        <v>0</v>
      </c>
      <c r="AO125" s="32">
        <f ca="1">_xll.DBRW($C$1,$C$2,$C$3,$C$4,$C$6,$C$5,$C$7,AO$1,AO$2,$A125)</f>
        <v>0</v>
      </c>
      <c r="AP125" s="32">
        <f ca="1">_xll.DBRW($C$1,$C$2,$C$3,$C$4,$C$6,$C$5,$C$7,AP$1,AP$2,$A125)</f>
        <v>0</v>
      </c>
      <c r="AQ125" s="32">
        <f ca="1">_xll.DBRW($C$1,$C$2,$C$3,$C$4,$C$6,$C$5,$C$7,AQ$1,AQ$2,$A125)</f>
        <v>0</v>
      </c>
      <c r="AR125" s="32">
        <f ca="1">_xll.DBRW($C$1,$C$2,$C$3,$C$4,$C$6,$C$5,$C$7,AR$1,AR$2,$A125)</f>
        <v>0</v>
      </c>
      <c r="AS125" s="32">
        <f ca="1">_xll.DBRW($C$1,$C$2,$C$3,$C$4,$C$6,$C$5,$C$7,AS$1,AS$2,$A125)</f>
        <v>0</v>
      </c>
      <c r="AT125" s="32">
        <f ca="1">_xll.DBRW($C$1,$C$2,$C$3,$C$4,$C$6,$C$5,$C$7,AT$1,AT$2,$A125)</f>
        <v>0</v>
      </c>
      <c r="AU125" s="32">
        <f ca="1">_xll.DBRW($C$1,$C$2,$C$3,$C$4,$C$6,$C$5,$C$7,AU$1,AU$2,$A125)</f>
        <v>0</v>
      </c>
      <c r="AV125" s="32">
        <f ca="1">_xll.DBRW($C$1,$C$2,$C$3,$C$4,$C$6,$C$5,$C$7,AV$1,AV$2,$A125)</f>
        <v>0</v>
      </c>
      <c r="AW125" s="32">
        <f ca="1">_xll.DBRW($C$1,$C$2,$C$3,$C$4,$C$6,$C$5,$C$7,AW$1,AW$2,$A125)</f>
        <v>0</v>
      </c>
      <c r="AX125" s="32">
        <f ca="1">_xll.DBRW($C$1,$C$2,$C$3,$C$4,$C$6,$C$5,$C$7,AX$1,AX$2,$A125)</f>
        <v>0</v>
      </c>
      <c r="AY125" s="32">
        <f ca="1">_xll.DBRW($C$1,$C$2,$C$3,$C$4,$C$6,$C$5,$C$7,AY$1,AY$2,$A125)</f>
        <v>0</v>
      </c>
    </row>
    <row r="126" spans="1:51" ht="15.75" hidden="1" customHeight="1" outlineLevel="1">
      <c r="A126" s="1" t="s">
        <v>218</v>
      </c>
      <c r="C126" s="109"/>
      <c r="E126" s="9" t="str">
        <f ca="1">_xll.DBRW(Server&amp;"}ElementAttributes_Indicator",A126,"code_English")</f>
        <v>PL1115_CD_51 - Insurance compensation received</v>
      </c>
      <c r="F126" s="32">
        <f ca="1">_xll.DBRW($C$1,$C$2,$C$3,$C$4,$C$6,$C$5,$C$7,F$1,F$2,$A126)</f>
        <v>0</v>
      </c>
      <c r="G126" s="32">
        <f ca="1">_xll.DBRW($C$1,$C$2,$C$3,$C$4,$C$6,$C$5,$C$7,G$1,G$2,$A126)</f>
        <v>0</v>
      </c>
      <c r="H126" s="32">
        <f ca="1">_xll.DBRW($C$1,$C$2,$C$3,$C$4,$C$6,$C$5,$C$7,H$1,H$2,$A126)</f>
        <v>0</v>
      </c>
      <c r="I126" s="32">
        <f ca="1">_xll.DBRW($C$1,$C$2,$C$3,$C$4,$C$6,$C$5,$C$7,I$1,I$2,$A126)</f>
        <v>0</v>
      </c>
      <c r="J126" s="32">
        <f ca="1">_xll.DBRW($C$1,$C$2,$C$3,$C$4,$C$6,$C$5,$C$7,J$1,J$2,$A126)</f>
        <v>0</v>
      </c>
      <c r="K126" s="32">
        <f ca="1">_xll.DBRW($C$1,$C$2,$C$3,$C$4,$C$6,$C$5,$C$7,K$1,K$2,$A126)</f>
        <v>0</v>
      </c>
      <c r="L126" s="32">
        <f ca="1">_xll.DBRW($C$1,$C$2,$C$3,$C$4,$C$6,$C$5,$C$7,L$1,L$2,$A126)</f>
        <v>0</v>
      </c>
      <c r="M126" s="32">
        <f ca="1">_xll.DBRW($C$1,$C$2,$C$3,$C$4,$C$6,$C$5,$C$7,M$1,M$2,$A126)</f>
        <v>0</v>
      </c>
      <c r="N126" s="32">
        <f ca="1">_xll.DBRW($C$1,$C$2,$C$3,$C$4,$C$6,$C$5,$C$7,N$1,N$2,$A126)</f>
        <v>0</v>
      </c>
      <c r="O126" s="32">
        <f ca="1">_xll.DBRW($C$1,$C$2,$C$3,$C$4,$C$6,$C$5,$C$7,O$1,O$2,$A126)</f>
        <v>0</v>
      </c>
      <c r="P126" s="32">
        <f ca="1">_xll.DBRW($C$1,$C$2,$C$3,$C$4,$C$6,$C$5,$C$7,P$1,P$2,$A126)</f>
        <v>0</v>
      </c>
      <c r="Q126" s="32">
        <f ca="1">_xll.DBRW($C$1,$C$2,$C$3,$C$4,$C$6,$C$5,$C$7,Q$1,Q$2,$A126)</f>
        <v>0</v>
      </c>
      <c r="R126" s="32">
        <f ca="1">_xll.DBRW($C$1,$C$2,$C$3,$C$4,$C$6,$C$5,$C$7,R$1,R$2,$A126)</f>
        <v>0</v>
      </c>
      <c r="S126" s="32">
        <f ca="1">_xll.DBRW($C$1,$C$2,$C$3,$C$4,$C$6,$C$5,$C$7,S$1,S$2,$A126)</f>
        <v>0</v>
      </c>
      <c r="T126" s="32">
        <f ca="1">_xll.DBRW($C$1,$C$2,$C$3,$C$4,$C$6,$C$5,$C$7,T$1,T$2,$A126)</f>
        <v>0</v>
      </c>
      <c r="U126" s="32">
        <f ca="1">_xll.DBRW($C$1,$C$2,$C$3,$C$4,$C$6,$C$5,$C$7,U$1,U$2,$A126)</f>
        <v>0</v>
      </c>
      <c r="V126" s="32">
        <f ca="1">_xll.DBRW($C$1,$C$2,$C$3,$C$4,$C$6,$C$5,$C$7,V$1,V$2,$A126)</f>
        <v>0</v>
      </c>
      <c r="W126" s="32">
        <f ca="1">_xll.DBRW($C$1,$C$2,$C$3,$C$4,$C$6,$C$5,$C$7,W$1,W$2,$A126)</f>
        <v>0</v>
      </c>
      <c r="X126" s="32">
        <f ca="1">_xll.DBRW($C$1,$C$2,$C$3,$C$4,$C$6,$C$5,$C$7,X$1,X$2,$A126)</f>
        <v>0</v>
      </c>
      <c r="Y126" s="32">
        <f ca="1">_xll.DBRW($C$1,$C$2,$C$3,$C$4,$C$6,$C$5,$C$7,Y$1,Y$2,$A126)</f>
        <v>0</v>
      </c>
      <c r="Z126" s="32">
        <f ca="1">_xll.DBRW($C$1,$C$2,$C$3,$C$4,$C$6,$C$5,$C$7,Z$1,Z$2,$A126)</f>
        <v>0</v>
      </c>
      <c r="AA126" s="32">
        <f ca="1">_xll.DBRW($C$1,$C$2,$C$3,$C$4,$C$6,$C$5,$C$7,AA$1,AA$2,$A126)</f>
        <v>0</v>
      </c>
      <c r="AB126" s="32">
        <f ca="1">_xll.DBRW($C$1,$C$2,$C$3,$C$4,$C$6,$C$5,$C$7,AB$1,AB$2,$A126)</f>
        <v>0</v>
      </c>
      <c r="AC126" s="32">
        <f ca="1">_xll.DBRW($C$1,$C$2,$C$3,$C$4,$C$6,$C$5,$C$7,AC$1,AC$2,$A126)</f>
        <v>0</v>
      </c>
      <c r="AD126" s="32">
        <f ca="1">_xll.DBRW($C$1,$C$2,$C$3,$C$4,$C$6,$C$5,$C$7,AD$1,AD$2,$A126)</f>
        <v>0</v>
      </c>
      <c r="AE126" s="32">
        <f ca="1">_xll.DBRW($C$1,$C$2,$C$3,$C$4,$C$6,$C$5,$C$7,AE$1,AE$2,$A126)</f>
        <v>0</v>
      </c>
      <c r="AF126" s="32">
        <f ca="1">_xll.DBRW($C$1,$C$2,$C$3,$C$4,$C$6,$C$5,$C$7,AF$1,AF$2,$A126)</f>
        <v>0</v>
      </c>
      <c r="AG126" s="32">
        <f ca="1">_xll.DBRW($C$1,$C$2,$C$3,$C$4,$C$6,$C$5,$C$7,AG$1,AG$2,$A126)</f>
        <v>0</v>
      </c>
      <c r="AH126" s="32">
        <f ca="1">_xll.DBRW($C$1,$C$2,$C$3,$C$4,$C$6,$C$5,$C$7,AH$1,AH$2,$A126)</f>
        <v>0</v>
      </c>
      <c r="AI126" s="32">
        <f ca="1">_xll.DBRW($C$1,$C$2,$C$3,$C$4,$C$6,$C$5,$C$7,AI$1,AI$2,$A126)</f>
        <v>0</v>
      </c>
      <c r="AJ126" s="32">
        <f ca="1">_xll.DBRW($C$1,$C$2,$C$3,$C$4,$C$6,$C$5,$C$7,AJ$1,AJ$2,$A126)</f>
        <v>0</v>
      </c>
      <c r="AK126" s="32">
        <f ca="1">_xll.DBRW($C$1,$C$2,$C$3,$C$4,$C$6,$C$5,$C$7,AK$1,AK$2,$A126)</f>
        <v>0</v>
      </c>
      <c r="AL126" s="32">
        <f ca="1">_xll.DBRW($C$1,$C$2,$C$3,$C$4,$C$6,$C$5,$C$7,AL$1,AL$2,$A126)</f>
        <v>0</v>
      </c>
      <c r="AM126" s="32">
        <f ca="1">_xll.DBRW($C$1,$C$2,$C$3,$C$4,$C$6,$C$5,$C$7,AM$1,AM$2,$A126)</f>
        <v>0</v>
      </c>
      <c r="AN126" s="32">
        <f ca="1">_xll.DBRW($C$1,$C$2,$C$3,$C$4,$C$6,$C$5,$C$7,AN$1,AN$2,$A126)</f>
        <v>0</v>
      </c>
      <c r="AO126" s="32">
        <f ca="1">_xll.DBRW($C$1,$C$2,$C$3,$C$4,$C$6,$C$5,$C$7,AO$1,AO$2,$A126)</f>
        <v>0</v>
      </c>
      <c r="AP126" s="32">
        <f ca="1">_xll.DBRW($C$1,$C$2,$C$3,$C$4,$C$6,$C$5,$C$7,AP$1,AP$2,$A126)</f>
        <v>0</v>
      </c>
      <c r="AQ126" s="32">
        <f ca="1">_xll.DBRW($C$1,$C$2,$C$3,$C$4,$C$6,$C$5,$C$7,AQ$1,AQ$2,$A126)</f>
        <v>0</v>
      </c>
      <c r="AR126" s="32">
        <f ca="1">_xll.DBRW($C$1,$C$2,$C$3,$C$4,$C$6,$C$5,$C$7,AR$1,AR$2,$A126)</f>
        <v>0</v>
      </c>
      <c r="AS126" s="32">
        <f ca="1">_xll.DBRW($C$1,$C$2,$C$3,$C$4,$C$6,$C$5,$C$7,AS$1,AS$2,$A126)</f>
        <v>0</v>
      </c>
      <c r="AT126" s="32">
        <f ca="1">_xll.DBRW($C$1,$C$2,$C$3,$C$4,$C$6,$C$5,$C$7,AT$1,AT$2,$A126)</f>
        <v>0</v>
      </c>
      <c r="AU126" s="32">
        <f ca="1">_xll.DBRW($C$1,$C$2,$C$3,$C$4,$C$6,$C$5,$C$7,AU$1,AU$2,$A126)</f>
        <v>0</v>
      </c>
      <c r="AV126" s="32">
        <f ca="1">_xll.DBRW($C$1,$C$2,$C$3,$C$4,$C$6,$C$5,$C$7,AV$1,AV$2,$A126)</f>
        <v>0</v>
      </c>
      <c r="AW126" s="32">
        <f ca="1">_xll.DBRW($C$1,$C$2,$C$3,$C$4,$C$6,$C$5,$C$7,AW$1,AW$2,$A126)</f>
        <v>0</v>
      </c>
      <c r="AX126" s="32">
        <f ca="1">_xll.DBRW($C$1,$C$2,$C$3,$C$4,$C$6,$C$5,$C$7,AX$1,AX$2,$A126)</f>
        <v>0</v>
      </c>
      <c r="AY126" s="32">
        <f ca="1">_xll.DBRW($C$1,$C$2,$C$3,$C$4,$C$6,$C$5,$C$7,AY$1,AY$2,$A126)</f>
        <v>0</v>
      </c>
    </row>
    <row r="127" spans="1:51" ht="15.75" hidden="1" customHeight="1" outlineLevel="1">
      <c r="A127" s="1" t="s">
        <v>219</v>
      </c>
      <c r="C127" s="109"/>
      <c r="E127" s="9" t="str">
        <f ca="1">_xll.DBRW(Server&amp;"}ElementAttributes_Indicator",A127,"code_English")</f>
        <v>PL1115_CD_99 - Others (CD)</v>
      </c>
      <c r="F127" s="32">
        <f ca="1">_xll.DBRW($C$1,$C$2,$C$3,$C$4,$C$6,$C$5,$C$7,F$1,F$2,$A127)</f>
        <v>0</v>
      </c>
      <c r="G127" s="32">
        <f ca="1">_xll.DBRW($C$1,$C$2,$C$3,$C$4,$C$6,$C$5,$C$7,G$1,G$2,$A127)</f>
        <v>0</v>
      </c>
      <c r="H127" s="32">
        <f ca="1">_xll.DBRW($C$1,$C$2,$C$3,$C$4,$C$6,$C$5,$C$7,H$1,H$2,$A127)</f>
        <v>0</v>
      </c>
      <c r="I127" s="32">
        <f ca="1">_xll.DBRW($C$1,$C$2,$C$3,$C$4,$C$6,$C$5,$C$7,I$1,I$2,$A127)</f>
        <v>0</v>
      </c>
      <c r="J127" s="32">
        <f ca="1">_xll.DBRW($C$1,$C$2,$C$3,$C$4,$C$6,$C$5,$C$7,J$1,J$2,$A127)</f>
        <v>0</v>
      </c>
      <c r="K127" s="32">
        <f ca="1">_xll.DBRW($C$1,$C$2,$C$3,$C$4,$C$6,$C$5,$C$7,K$1,K$2,$A127)</f>
        <v>0</v>
      </c>
      <c r="L127" s="32">
        <f ca="1">_xll.DBRW($C$1,$C$2,$C$3,$C$4,$C$6,$C$5,$C$7,L$1,L$2,$A127)</f>
        <v>0</v>
      </c>
      <c r="M127" s="32">
        <f ca="1">_xll.DBRW($C$1,$C$2,$C$3,$C$4,$C$6,$C$5,$C$7,M$1,M$2,$A127)</f>
        <v>0</v>
      </c>
      <c r="N127" s="32">
        <f ca="1">_xll.DBRW($C$1,$C$2,$C$3,$C$4,$C$6,$C$5,$C$7,N$1,N$2,$A127)</f>
        <v>0</v>
      </c>
      <c r="O127" s="32">
        <f ca="1">_xll.DBRW($C$1,$C$2,$C$3,$C$4,$C$6,$C$5,$C$7,O$1,O$2,$A127)</f>
        <v>0</v>
      </c>
      <c r="P127" s="32">
        <f ca="1">_xll.DBRW($C$1,$C$2,$C$3,$C$4,$C$6,$C$5,$C$7,P$1,P$2,$A127)</f>
        <v>0</v>
      </c>
      <c r="Q127" s="32">
        <f ca="1">_xll.DBRW($C$1,$C$2,$C$3,$C$4,$C$6,$C$5,$C$7,Q$1,Q$2,$A127)</f>
        <v>0</v>
      </c>
      <c r="R127" s="32">
        <f ca="1">_xll.DBRW($C$1,$C$2,$C$3,$C$4,$C$6,$C$5,$C$7,R$1,R$2,$A127)</f>
        <v>0</v>
      </c>
      <c r="S127" s="32">
        <f ca="1">_xll.DBRW($C$1,$C$2,$C$3,$C$4,$C$6,$C$5,$C$7,S$1,S$2,$A127)</f>
        <v>0</v>
      </c>
      <c r="T127" s="32">
        <f ca="1">_xll.DBRW($C$1,$C$2,$C$3,$C$4,$C$6,$C$5,$C$7,T$1,T$2,$A127)</f>
        <v>0</v>
      </c>
      <c r="U127" s="32">
        <f ca="1">_xll.DBRW($C$1,$C$2,$C$3,$C$4,$C$6,$C$5,$C$7,U$1,U$2,$A127)</f>
        <v>0</v>
      </c>
      <c r="V127" s="32">
        <f ca="1">_xll.DBRW($C$1,$C$2,$C$3,$C$4,$C$6,$C$5,$C$7,V$1,V$2,$A127)</f>
        <v>0</v>
      </c>
      <c r="W127" s="32">
        <f ca="1">_xll.DBRW($C$1,$C$2,$C$3,$C$4,$C$6,$C$5,$C$7,W$1,W$2,$A127)</f>
        <v>0</v>
      </c>
      <c r="X127" s="32">
        <f ca="1">_xll.DBRW($C$1,$C$2,$C$3,$C$4,$C$6,$C$5,$C$7,X$1,X$2,$A127)</f>
        <v>0</v>
      </c>
      <c r="Y127" s="32">
        <f ca="1">_xll.DBRW($C$1,$C$2,$C$3,$C$4,$C$6,$C$5,$C$7,Y$1,Y$2,$A127)</f>
        <v>0</v>
      </c>
      <c r="Z127" s="32">
        <f ca="1">_xll.DBRW($C$1,$C$2,$C$3,$C$4,$C$6,$C$5,$C$7,Z$1,Z$2,$A127)</f>
        <v>0</v>
      </c>
      <c r="AA127" s="32">
        <f ca="1">_xll.DBRW($C$1,$C$2,$C$3,$C$4,$C$6,$C$5,$C$7,AA$1,AA$2,$A127)</f>
        <v>0</v>
      </c>
      <c r="AB127" s="32">
        <f ca="1">_xll.DBRW($C$1,$C$2,$C$3,$C$4,$C$6,$C$5,$C$7,AB$1,AB$2,$A127)</f>
        <v>0</v>
      </c>
      <c r="AC127" s="32">
        <f ca="1">_xll.DBRW($C$1,$C$2,$C$3,$C$4,$C$6,$C$5,$C$7,AC$1,AC$2,$A127)</f>
        <v>0</v>
      </c>
      <c r="AD127" s="32">
        <f ca="1">_xll.DBRW($C$1,$C$2,$C$3,$C$4,$C$6,$C$5,$C$7,AD$1,AD$2,$A127)</f>
        <v>0</v>
      </c>
      <c r="AE127" s="32">
        <f ca="1">_xll.DBRW($C$1,$C$2,$C$3,$C$4,$C$6,$C$5,$C$7,AE$1,AE$2,$A127)</f>
        <v>0</v>
      </c>
      <c r="AF127" s="32">
        <f ca="1">_xll.DBRW($C$1,$C$2,$C$3,$C$4,$C$6,$C$5,$C$7,AF$1,AF$2,$A127)</f>
        <v>0</v>
      </c>
      <c r="AG127" s="32">
        <f ca="1">_xll.DBRW($C$1,$C$2,$C$3,$C$4,$C$6,$C$5,$C$7,AG$1,AG$2,$A127)</f>
        <v>0</v>
      </c>
      <c r="AH127" s="32">
        <f ca="1">_xll.DBRW($C$1,$C$2,$C$3,$C$4,$C$6,$C$5,$C$7,AH$1,AH$2,$A127)</f>
        <v>0</v>
      </c>
      <c r="AI127" s="32">
        <f ca="1">_xll.DBRW($C$1,$C$2,$C$3,$C$4,$C$6,$C$5,$C$7,AI$1,AI$2,$A127)</f>
        <v>0</v>
      </c>
      <c r="AJ127" s="32">
        <f ca="1">_xll.DBRW($C$1,$C$2,$C$3,$C$4,$C$6,$C$5,$C$7,AJ$1,AJ$2,$A127)</f>
        <v>0</v>
      </c>
      <c r="AK127" s="32">
        <f ca="1">_xll.DBRW($C$1,$C$2,$C$3,$C$4,$C$6,$C$5,$C$7,AK$1,AK$2,$A127)</f>
        <v>0</v>
      </c>
      <c r="AL127" s="32">
        <f ca="1">_xll.DBRW($C$1,$C$2,$C$3,$C$4,$C$6,$C$5,$C$7,AL$1,AL$2,$A127)</f>
        <v>0</v>
      </c>
      <c r="AM127" s="32">
        <f ca="1">_xll.DBRW($C$1,$C$2,$C$3,$C$4,$C$6,$C$5,$C$7,AM$1,AM$2,$A127)</f>
        <v>0</v>
      </c>
      <c r="AN127" s="32">
        <f ca="1">_xll.DBRW($C$1,$C$2,$C$3,$C$4,$C$6,$C$5,$C$7,AN$1,AN$2,$A127)</f>
        <v>0</v>
      </c>
      <c r="AO127" s="32">
        <f ca="1">_xll.DBRW($C$1,$C$2,$C$3,$C$4,$C$6,$C$5,$C$7,AO$1,AO$2,$A127)</f>
        <v>0</v>
      </c>
      <c r="AP127" s="32">
        <f ca="1">_xll.DBRW($C$1,$C$2,$C$3,$C$4,$C$6,$C$5,$C$7,AP$1,AP$2,$A127)</f>
        <v>0</v>
      </c>
      <c r="AQ127" s="32">
        <f ca="1">_xll.DBRW($C$1,$C$2,$C$3,$C$4,$C$6,$C$5,$C$7,AQ$1,AQ$2,$A127)</f>
        <v>0</v>
      </c>
      <c r="AR127" s="32">
        <f ca="1">_xll.DBRW($C$1,$C$2,$C$3,$C$4,$C$6,$C$5,$C$7,AR$1,AR$2,$A127)</f>
        <v>0</v>
      </c>
      <c r="AS127" s="32">
        <f ca="1">_xll.DBRW($C$1,$C$2,$C$3,$C$4,$C$6,$C$5,$C$7,AS$1,AS$2,$A127)</f>
        <v>0</v>
      </c>
      <c r="AT127" s="32">
        <f ca="1">_xll.DBRW($C$1,$C$2,$C$3,$C$4,$C$6,$C$5,$C$7,AT$1,AT$2,$A127)</f>
        <v>0</v>
      </c>
      <c r="AU127" s="32">
        <f ca="1">_xll.DBRW($C$1,$C$2,$C$3,$C$4,$C$6,$C$5,$C$7,AU$1,AU$2,$A127)</f>
        <v>0</v>
      </c>
      <c r="AV127" s="32">
        <f ca="1">_xll.DBRW($C$1,$C$2,$C$3,$C$4,$C$6,$C$5,$C$7,AV$1,AV$2,$A127)</f>
        <v>0</v>
      </c>
      <c r="AW127" s="32">
        <f ca="1">_xll.DBRW($C$1,$C$2,$C$3,$C$4,$C$6,$C$5,$C$7,AW$1,AW$2,$A127)</f>
        <v>0</v>
      </c>
      <c r="AX127" s="32">
        <f ca="1">_xll.DBRW($C$1,$C$2,$C$3,$C$4,$C$6,$C$5,$C$7,AX$1,AX$2,$A127)</f>
        <v>0</v>
      </c>
      <c r="AY127" s="32">
        <f ca="1">_xll.DBRW($C$1,$C$2,$C$3,$C$4,$C$6,$C$5,$C$7,AY$1,AY$2,$A127)</f>
        <v>0</v>
      </c>
    </row>
    <row r="128" spans="1:51" ht="15.75" hidden="1" customHeight="1" outlineLevel="1">
      <c r="A128" s="1" t="s">
        <v>220</v>
      </c>
      <c r="C128" s="109"/>
      <c r="E128" s="9" t="str">
        <f ca="1">_xll.DBRW(Server&amp;"}ElementAttributes_Indicator",A128,"code_English")</f>
        <v>PL1140_CD_10 - Amortization (CD)</v>
      </c>
      <c r="F128" s="32">
        <f ca="1">_xll.DBRW($C$1,$C$2,$C$3,$C$4,$C$6,$C$5,$C$7,F$1,F$2,$A128)</f>
        <v>0</v>
      </c>
      <c r="G128" s="32">
        <f ca="1">_xll.DBRW($C$1,$C$2,$C$3,$C$4,$C$6,$C$5,$C$7,G$1,G$2,$A128)</f>
        <v>0</v>
      </c>
      <c r="H128" s="32">
        <f ca="1">_xll.DBRW($C$1,$C$2,$C$3,$C$4,$C$6,$C$5,$C$7,H$1,H$2,$A128)</f>
        <v>0</v>
      </c>
      <c r="I128" s="32">
        <f ca="1">_xll.DBRW($C$1,$C$2,$C$3,$C$4,$C$6,$C$5,$C$7,I$1,I$2,$A128)</f>
        <v>0</v>
      </c>
      <c r="J128" s="32">
        <f ca="1">_xll.DBRW($C$1,$C$2,$C$3,$C$4,$C$6,$C$5,$C$7,J$1,J$2,$A128)</f>
        <v>0</v>
      </c>
      <c r="K128" s="32">
        <f ca="1">_xll.DBRW($C$1,$C$2,$C$3,$C$4,$C$6,$C$5,$C$7,K$1,K$2,$A128)</f>
        <v>0</v>
      </c>
      <c r="L128" s="32">
        <f ca="1">_xll.DBRW($C$1,$C$2,$C$3,$C$4,$C$6,$C$5,$C$7,L$1,L$2,$A128)</f>
        <v>0</v>
      </c>
      <c r="M128" s="32">
        <f ca="1">_xll.DBRW($C$1,$C$2,$C$3,$C$4,$C$6,$C$5,$C$7,M$1,M$2,$A128)</f>
        <v>0</v>
      </c>
      <c r="N128" s="32">
        <f ca="1">_xll.DBRW($C$1,$C$2,$C$3,$C$4,$C$6,$C$5,$C$7,N$1,N$2,$A128)</f>
        <v>0</v>
      </c>
      <c r="O128" s="32">
        <f ca="1">_xll.DBRW($C$1,$C$2,$C$3,$C$4,$C$6,$C$5,$C$7,O$1,O$2,$A128)</f>
        <v>0</v>
      </c>
      <c r="P128" s="32">
        <f ca="1">_xll.DBRW($C$1,$C$2,$C$3,$C$4,$C$6,$C$5,$C$7,P$1,P$2,$A128)</f>
        <v>0</v>
      </c>
      <c r="Q128" s="32">
        <f ca="1">_xll.DBRW($C$1,$C$2,$C$3,$C$4,$C$6,$C$5,$C$7,Q$1,Q$2,$A128)</f>
        <v>0</v>
      </c>
      <c r="R128" s="32">
        <f ca="1">_xll.DBRW($C$1,$C$2,$C$3,$C$4,$C$6,$C$5,$C$7,R$1,R$2,$A128)</f>
        <v>0</v>
      </c>
      <c r="S128" s="32">
        <f ca="1">_xll.DBRW($C$1,$C$2,$C$3,$C$4,$C$6,$C$5,$C$7,S$1,S$2,$A128)</f>
        <v>0</v>
      </c>
      <c r="T128" s="32">
        <f ca="1">_xll.DBRW($C$1,$C$2,$C$3,$C$4,$C$6,$C$5,$C$7,T$1,T$2,$A128)</f>
        <v>0</v>
      </c>
      <c r="U128" s="32">
        <f ca="1">_xll.DBRW($C$1,$C$2,$C$3,$C$4,$C$6,$C$5,$C$7,U$1,U$2,$A128)</f>
        <v>0</v>
      </c>
      <c r="V128" s="32">
        <f ca="1">_xll.DBRW($C$1,$C$2,$C$3,$C$4,$C$6,$C$5,$C$7,V$1,V$2,$A128)</f>
        <v>0</v>
      </c>
      <c r="W128" s="32">
        <f ca="1">_xll.DBRW($C$1,$C$2,$C$3,$C$4,$C$6,$C$5,$C$7,W$1,W$2,$A128)</f>
        <v>0</v>
      </c>
      <c r="X128" s="32">
        <f ca="1">_xll.DBRW($C$1,$C$2,$C$3,$C$4,$C$6,$C$5,$C$7,X$1,X$2,$A128)</f>
        <v>0</v>
      </c>
      <c r="Y128" s="32">
        <f ca="1">_xll.DBRW($C$1,$C$2,$C$3,$C$4,$C$6,$C$5,$C$7,Y$1,Y$2,$A128)</f>
        <v>0</v>
      </c>
      <c r="Z128" s="32">
        <f ca="1">_xll.DBRW($C$1,$C$2,$C$3,$C$4,$C$6,$C$5,$C$7,Z$1,Z$2,$A128)</f>
        <v>0</v>
      </c>
      <c r="AA128" s="32">
        <f ca="1">_xll.DBRW($C$1,$C$2,$C$3,$C$4,$C$6,$C$5,$C$7,AA$1,AA$2,$A128)</f>
        <v>0</v>
      </c>
      <c r="AB128" s="32">
        <f ca="1">_xll.DBRW($C$1,$C$2,$C$3,$C$4,$C$6,$C$5,$C$7,AB$1,AB$2,$A128)</f>
        <v>0</v>
      </c>
      <c r="AC128" s="32">
        <f ca="1">_xll.DBRW($C$1,$C$2,$C$3,$C$4,$C$6,$C$5,$C$7,AC$1,AC$2,$A128)</f>
        <v>0</v>
      </c>
      <c r="AD128" s="32">
        <f ca="1">_xll.DBRW($C$1,$C$2,$C$3,$C$4,$C$6,$C$5,$C$7,AD$1,AD$2,$A128)</f>
        <v>0</v>
      </c>
      <c r="AE128" s="32">
        <f ca="1">_xll.DBRW($C$1,$C$2,$C$3,$C$4,$C$6,$C$5,$C$7,AE$1,AE$2,$A128)</f>
        <v>0</v>
      </c>
      <c r="AF128" s="32">
        <f ca="1">_xll.DBRW($C$1,$C$2,$C$3,$C$4,$C$6,$C$5,$C$7,AF$1,AF$2,$A128)</f>
        <v>0</v>
      </c>
      <c r="AG128" s="32">
        <f ca="1">_xll.DBRW($C$1,$C$2,$C$3,$C$4,$C$6,$C$5,$C$7,AG$1,AG$2,$A128)</f>
        <v>0</v>
      </c>
      <c r="AH128" s="32">
        <f ca="1">_xll.DBRW($C$1,$C$2,$C$3,$C$4,$C$6,$C$5,$C$7,AH$1,AH$2,$A128)</f>
        <v>0</v>
      </c>
      <c r="AI128" s="32">
        <f ca="1">_xll.DBRW($C$1,$C$2,$C$3,$C$4,$C$6,$C$5,$C$7,AI$1,AI$2,$A128)</f>
        <v>0</v>
      </c>
      <c r="AJ128" s="32">
        <f ca="1">_xll.DBRW($C$1,$C$2,$C$3,$C$4,$C$6,$C$5,$C$7,AJ$1,AJ$2,$A128)</f>
        <v>0</v>
      </c>
      <c r="AK128" s="32">
        <f ca="1">_xll.DBRW($C$1,$C$2,$C$3,$C$4,$C$6,$C$5,$C$7,AK$1,AK$2,$A128)</f>
        <v>0</v>
      </c>
      <c r="AL128" s="32">
        <f ca="1">_xll.DBRW($C$1,$C$2,$C$3,$C$4,$C$6,$C$5,$C$7,AL$1,AL$2,$A128)</f>
        <v>0</v>
      </c>
      <c r="AM128" s="32">
        <f ca="1">_xll.DBRW($C$1,$C$2,$C$3,$C$4,$C$6,$C$5,$C$7,AM$1,AM$2,$A128)</f>
        <v>0</v>
      </c>
      <c r="AN128" s="32">
        <f ca="1">_xll.DBRW($C$1,$C$2,$C$3,$C$4,$C$6,$C$5,$C$7,AN$1,AN$2,$A128)</f>
        <v>0</v>
      </c>
      <c r="AO128" s="32">
        <f ca="1">_xll.DBRW($C$1,$C$2,$C$3,$C$4,$C$6,$C$5,$C$7,AO$1,AO$2,$A128)</f>
        <v>0</v>
      </c>
      <c r="AP128" s="32">
        <f ca="1">_xll.DBRW($C$1,$C$2,$C$3,$C$4,$C$6,$C$5,$C$7,AP$1,AP$2,$A128)</f>
        <v>0</v>
      </c>
      <c r="AQ128" s="32">
        <f ca="1">_xll.DBRW($C$1,$C$2,$C$3,$C$4,$C$6,$C$5,$C$7,AQ$1,AQ$2,$A128)</f>
        <v>0</v>
      </c>
      <c r="AR128" s="32">
        <f ca="1">_xll.DBRW($C$1,$C$2,$C$3,$C$4,$C$6,$C$5,$C$7,AR$1,AR$2,$A128)</f>
        <v>0</v>
      </c>
      <c r="AS128" s="32">
        <f ca="1">_xll.DBRW($C$1,$C$2,$C$3,$C$4,$C$6,$C$5,$C$7,AS$1,AS$2,$A128)</f>
        <v>0</v>
      </c>
      <c r="AT128" s="32">
        <f ca="1">_xll.DBRW($C$1,$C$2,$C$3,$C$4,$C$6,$C$5,$C$7,AT$1,AT$2,$A128)</f>
        <v>0</v>
      </c>
      <c r="AU128" s="32">
        <f ca="1">_xll.DBRW($C$1,$C$2,$C$3,$C$4,$C$6,$C$5,$C$7,AU$1,AU$2,$A128)</f>
        <v>0</v>
      </c>
      <c r="AV128" s="32">
        <f ca="1">_xll.DBRW($C$1,$C$2,$C$3,$C$4,$C$6,$C$5,$C$7,AV$1,AV$2,$A128)</f>
        <v>0</v>
      </c>
      <c r="AW128" s="32">
        <f ca="1">_xll.DBRW($C$1,$C$2,$C$3,$C$4,$C$6,$C$5,$C$7,AW$1,AW$2,$A128)</f>
        <v>0</v>
      </c>
      <c r="AX128" s="32">
        <f ca="1">_xll.DBRW($C$1,$C$2,$C$3,$C$4,$C$6,$C$5,$C$7,AX$1,AX$2,$A128)</f>
        <v>0</v>
      </c>
      <c r="AY128" s="32">
        <f ca="1">_xll.DBRW($C$1,$C$2,$C$3,$C$4,$C$6,$C$5,$C$7,AY$1,AY$2,$A128)</f>
        <v>0</v>
      </c>
    </row>
    <row r="129" spans="1:51" ht="15.75" hidden="1" customHeight="1" outlineLevel="1">
      <c r="A129" s="1" t="s">
        <v>221</v>
      </c>
      <c r="C129" s="109"/>
      <c r="E129" s="9" t="str">
        <f ca="1">_xll.DBRW(Server&amp;"}ElementAttributes_Indicator",A129,"code_English")</f>
        <v>PL1150_CD_15 - Impairment (other than working capital) and provisions - related to worker compensations</v>
      </c>
      <c r="F129" s="32">
        <f ca="1">_xll.DBRW($C$1,$C$2,$C$3,$C$4,$C$6,$C$5,$C$7,F$1,F$2,$A129)</f>
        <v>0</v>
      </c>
      <c r="G129" s="32">
        <f ca="1">_xll.DBRW($C$1,$C$2,$C$3,$C$4,$C$6,$C$5,$C$7,G$1,G$2,$A129)</f>
        <v>0</v>
      </c>
      <c r="H129" s="32">
        <f ca="1">_xll.DBRW($C$1,$C$2,$C$3,$C$4,$C$6,$C$5,$C$7,H$1,H$2,$A129)</f>
        <v>0</v>
      </c>
      <c r="I129" s="32">
        <f ca="1">_xll.DBRW($C$1,$C$2,$C$3,$C$4,$C$6,$C$5,$C$7,I$1,I$2,$A129)</f>
        <v>0</v>
      </c>
      <c r="J129" s="32">
        <f ca="1">_xll.DBRW($C$1,$C$2,$C$3,$C$4,$C$6,$C$5,$C$7,J$1,J$2,$A129)</f>
        <v>0</v>
      </c>
      <c r="K129" s="32">
        <f ca="1">_xll.DBRW($C$1,$C$2,$C$3,$C$4,$C$6,$C$5,$C$7,K$1,K$2,$A129)</f>
        <v>0</v>
      </c>
      <c r="L129" s="32">
        <f ca="1">_xll.DBRW($C$1,$C$2,$C$3,$C$4,$C$6,$C$5,$C$7,L$1,L$2,$A129)</f>
        <v>0</v>
      </c>
      <c r="M129" s="32">
        <f ca="1">_xll.DBRW($C$1,$C$2,$C$3,$C$4,$C$6,$C$5,$C$7,M$1,M$2,$A129)</f>
        <v>0</v>
      </c>
      <c r="N129" s="32">
        <f ca="1">_xll.DBRW($C$1,$C$2,$C$3,$C$4,$C$6,$C$5,$C$7,N$1,N$2,$A129)</f>
        <v>0</v>
      </c>
      <c r="O129" s="32">
        <f ca="1">_xll.DBRW($C$1,$C$2,$C$3,$C$4,$C$6,$C$5,$C$7,O$1,O$2,$A129)</f>
        <v>0</v>
      </c>
      <c r="P129" s="32">
        <f ca="1">_xll.DBRW($C$1,$C$2,$C$3,$C$4,$C$6,$C$5,$C$7,P$1,P$2,$A129)</f>
        <v>0</v>
      </c>
      <c r="Q129" s="32">
        <f ca="1">_xll.DBRW($C$1,$C$2,$C$3,$C$4,$C$6,$C$5,$C$7,Q$1,Q$2,$A129)</f>
        <v>0</v>
      </c>
      <c r="R129" s="32">
        <f ca="1">_xll.DBRW($C$1,$C$2,$C$3,$C$4,$C$6,$C$5,$C$7,R$1,R$2,$A129)</f>
        <v>0</v>
      </c>
      <c r="S129" s="32">
        <f ca="1">_xll.DBRW($C$1,$C$2,$C$3,$C$4,$C$6,$C$5,$C$7,S$1,S$2,$A129)</f>
        <v>0</v>
      </c>
      <c r="T129" s="32">
        <f ca="1">_xll.DBRW($C$1,$C$2,$C$3,$C$4,$C$6,$C$5,$C$7,T$1,T$2,$A129)</f>
        <v>0</v>
      </c>
      <c r="U129" s="32">
        <f ca="1">_xll.DBRW($C$1,$C$2,$C$3,$C$4,$C$6,$C$5,$C$7,U$1,U$2,$A129)</f>
        <v>0</v>
      </c>
      <c r="V129" s="32">
        <f ca="1">_xll.DBRW($C$1,$C$2,$C$3,$C$4,$C$6,$C$5,$C$7,V$1,V$2,$A129)</f>
        <v>0</v>
      </c>
      <c r="W129" s="32">
        <f ca="1">_xll.DBRW($C$1,$C$2,$C$3,$C$4,$C$6,$C$5,$C$7,W$1,W$2,$A129)</f>
        <v>0</v>
      </c>
      <c r="X129" s="32">
        <f ca="1">_xll.DBRW($C$1,$C$2,$C$3,$C$4,$C$6,$C$5,$C$7,X$1,X$2,$A129)</f>
        <v>0</v>
      </c>
      <c r="Y129" s="32">
        <f ca="1">_xll.DBRW($C$1,$C$2,$C$3,$C$4,$C$6,$C$5,$C$7,Y$1,Y$2,$A129)</f>
        <v>0</v>
      </c>
      <c r="Z129" s="32">
        <f ca="1">_xll.DBRW($C$1,$C$2,$C$3,$C$4,$C$6,$C$5,$C$7,Z$1,Z$2,$A129)</f>
        <v>0</v>
      </c>
      <c r="AA129" s="32">
        <f ca="1">_xll.DBRW($C$1,$C$2,$C$3,$C$4,$C$6,$C$5,$C$7,AA$1,AA$2,$A129)</f>
        <v>0</v>
      </c>
      <c r="AB129" s="32">
        <f ca="1">_xll.DBRW($C$1,$C$2,$C$3,$C$4,$C$6,$C$5,$C$7,AB$1,AB$2,$A129)</f>
        <v>0</v>
      </c>
      <c r="AC129" s="32">
        <f ca="1">_xll.DBRW($C$1,$C$2,$C$3,$C$4,$C$6,$C$5,$C$7,AC$1,AC$2,$A129)</f>
        <v>0</v>
      </c>
      <c r="AD129" s="32">
        <f ca="1">_xll.DBRW($C$1,$C$2,$C$3,$C$4,$C$6,$C$5,$C$7,AD$1,AD$2,$A129)</f>
        <v>0</v>
      </c>
      <c r="AE129" s="32">
        <f ca="1">_xll.DBRW($C$1,$C$2,$C$3,$C$4,$C$6,$C$5,$C$7,AE$1,AE$2,$A129)</f>
        <v>0</v>
      </c>
      <c r="AF129" s="32">
        <f ca="1">_xll.DBRW($C$1,$C$2,$C$3,$C$4,$C$6,$C$5,$C$7,AF$1,AF$2,$A129)</f>
        <v>0</v>
      </c>
      <c r="AG129" s="32">
        <f ca="1">_xll.DBRW($C$1,$C$2,$C$3,$C$4,$C$6,$C$5,$C$7,AG$1,AG$2,$A129)</f>
        <v>0</v>
      </c>
      <c r="AH129" s="32">
        <f ca="1">_xll.DBRW($C$1,$C$2,$C$3,$C$4,$C$6,$C$5,$C$7,AH$1,AH$2,$A129)</f>
        <v>0</v>
      </c>
      <c r="AI129" s="32">
        <f ca="1">_xll.DBRW($C$1,$C$2,$C$3,$C$4,$C$6,$C$5,$C$7,AI$1,AI$2,$A129)</f>
        <v>0</v>
      </c>
      <c r="AJ129" s="32">
        <f ca="1">_xll.DBRW($C$1,$C$2,$C$3,$C$4,$C$6,$C$5,$C$7,AJ$1,AJ$2,$A129)</f>
        <v>0</v>
      </c>
      <c r="AK129" s="32">
        <f ca="1">_xll.DBRW($C$1,$C$2,$C$3,$C$4,$C$6,$C$5,$C$7,AK$1,AK$2,$A129)</f>
        <v>0</v>
      </c>
      <c r="AL129" s="32">
        <f ca="1">_xll.DBRW($C$1,$C$2,$C$3,$C$4,$C$6,$C$5,$C$7,AL$1,AL$2,$A129)</f>
        <v>0</v>
      </c>
      <c r="AM129" s="32">
        <f ca="1">_xll.DBRW($C$1,$C$2,$C$3,$C$4,$C$6,$C$5,$C$7,AM$1,AM$2,$A129)</f>
        <v>0</v>
      </c>
      <c r="AN129" s="32">
        <f ca="1">_xll.DBRW($C$1,$C$2,$C$3,$C$4,$C$6,$C$5,$C$7,AN$1,AN$2,$A129)</f>
        <v>0</v>
      </c>
      <c r="AO129" s="32">
        <f ca="1">_xll.DBRW($C$1,$C$2,$C$3,$C$4,$C$6,$C$5,$C$7,AO$1,AO$2,$A129)</f>
        <v>0</v>
      </c>
      <c r="AP129" s="32">
        <f ca="1">_xll.DBRW($C$1,$C$2,$C$3,$C$4,$C$6,$C$5,$C$7,AP$1,AP$2,$A129)</f>
        <v>0</v>
      </c>
      <c r="AQ129" s="32">
        <f ca="1">_xll.DBRW($C$1,$C$2,$C$3,$C$4,$C$6,$C$5,$C$7,AQ$1,AQ$2,$A129)</f>
        <v>0</v>
      </c>
      <c r="AR129" s="32">
        <f ca="1">_xll.DBRW($C$1,$C$2,$C$3,$C$4,$C$6,$C$5,$C$7,AR$1,AR$2,$A129)</f>
        <v>0</v>
      </c>
      <c r="AS129" s="32">
        <f ca="1">_xll.DBRW($C$1,$C$2,$C$3,$C$4,$C$6,$C$5,$C$7,AS$1,AS$2,$A129)</f>
        <v>0</v>
      </c>
      <c r="AT129" s="32">
        <f ca="1">_xll.DBRW($C$1,$C$2,$C$3,$C$4,$C$6,$C$5,$C$7,AT$1,AT$2,$A129)</f>
        <v>0</v>
      </c>
      <c r="AU129" s="32">
        <f ca="1">_xll.DBRW($C$1,$C$2,$C$3,$C$4,$C$6,$C$5,$C$7,AU$1,AU$2,$A129)</f>
        <v>0</v>
      </c>
      <c r="AV129" s="32">
        <f ca="1">_xll.DBRW($C$1,$C$2,$C$3,$C$4,$C$6,$C$5,$C$7,AV$1,AV$2,$A129)</f>
        <v>0</v>
      </c>
      <c r="AW129" s="32">
        <f ca="1">_xll.DBRW($C$1,$C$2,$C$3,$C$4,$C$6,$C$5,$C$7,AW$1,AW$2,$A129)</f>
        <v>0</v>
      </c>
      <c r="AX129" s="32">
        <f ca="1">_xll.DBRW($C$1,$C$2,$C$3,$C$4,$C$6,$C$5,$C$7,AX$1,AX$2,$A129)</f>
        <v>0</v>
      </c>
      <c r="AY129" s="32">
        <f ca="1">_xll.DBRW($C$1,$C$2,$C$3,$C$4,$C$6,$C$5,$C$7,AY$1,AY$2,$A129)</f>
        <v>0</v>
      </c>
    </row>
    <row r="130" spans="1:51" ht="15.75" hidden="1" customHeight="1" outlineLevel="1">
      <c r="A130" s="1" t="s">
        <v>222</v>
      </c>
      <c r="C130" s="109"/>
      <c r="E130" s="9" t="str">
        <f ca="1">_xll.DBRW(Server&amp;"}ElementAttributes_Indicator",A130,"code_English")</f>
        <v>PL1150_CD_25 - Impairment (other than working capital) and provisions - related to autoliability</v>
      </c>
      <c r="F130" s="32">
        <f ca="1">_xll.DBRW($C$1,$C$2,$C$3,$C$4,$C$6,$C$5,$C$7,F$1,F$2,$A130)</f>
        <v>0</v>
      </c>
      <c r="G130" s="32">
        <f ca="1">_xll.DBRW($C$1,$C$2,$C$3,$C$4,$C$6,$C$5,$C$7,G$1,G$2,$A130)</f>
        <v>0</v>
      </c>
      <c r="H130" s="32">
        <f ca="1">_xll.DBRW($C$1,$C$2,$C$3,$C$4,$C$6,$C$5,$C$7,H$1,H$2,$A130)</f>
        <v>0</v>
      </c>
      <c r="I130" s="32">
        <f ca="1">_xll.DBRW($C$1,$C$2,$C$3,$C$4,$C$6,$C$5,$C$7,I$1,I$2,$A130)</f>
        <v>0</v>
      </c>
      <c r="J130" s="32">
        <f ca="1">_xll.DBRW($C$1,$C$2,$C$3,$C$4,$C$6,$C$5,$C$7,J$1,J$2,$A130)</f>
        <v>0</v>
      </c>
      <c r="K130" s="32">
        <f ca="1">_xll.DBRW($C$1,$C$2,$C$3,$C$4,$C$6,$C$5,$C$7,K$1,K$2,$A130)</f>
        <v>0</v>
      </c>
      <c r="L130" s="32">
        <f ca="1">_xll.DBRW($C$1,$C$2,$C$3,$C$4,$C$6,$C$5,$C$7,L$1,L$2,$A130)</f>
        <v>0</v>
      </c>
      <c r="M130" s="32">
        <f ca="1">_xll.DBRW($C$1,$C$2,$C$3,$C$4,$C$6,$C$5,$C$7,M$1,M$2,$A130)</f>
        <v>0</v>
      </c>
      <c r="N130" s="32">
        <f ca="1">_xll.DBRW($C$1,$C$2,$C$3,$C$4,$C$6,$C$5,$C$7,N$1,N$2,$A130)</f>
        <v>0</v>
      </c>
      <c r="O130" s="32">
        <f ca="1">_xll.DBRW($C$1,$C$2,$C$3,$C$4,$C$6,$C$5,$C$7,O$1,O$2,$A130)</f>
        <v>0</v>
      </c>
      <c r="P130" s="32">
        <f ca="1">_xll.DBRW($C$1,$C$2,$C$3,$C$4,$C$6,$C$5,$C$7,P$1,P$2,$A130)</f>
        <v>0</v>
      </c>
      <c r="Q130" s="32">
        <f ca="1">_xll.DBRW($C$1,$C$2,$C$3,$C$4,$C$6,$C$5,$C$7,Q$1,Q$2,$A130)</f>
        <v>0</v>
      </c>
      <c r="R130" s="32">
        <f ca="1">_xll.DBRW($C$1,$C$2,$C$3,$C$4,$C$6,$C$5,$C$7,R$1,R$2,$A130)</f>
        <v>0</v>
      </c>
      <c r="S130" s="32">
        <f ca="1">_xll.DBRW($C$1,$C$2,$C$3,$C$4,$C$6,$C$5,$C$7,S$1,S$2,$A130)</f>
        <v>0</v>
      </c>
      <c r="T130" s="32">
        <f ca="1">_xll.DBRW($C$1,$C$2,$C$3,$C$4,$C$6,$C$5,$C$7,T$1,T$2,$A130)</f>
        <v>0</v>
      </c>
      <c r="U130" s="32">
        <f ca="1">_xll.DBRW($C$1,$C$2,$C$3,$C$4,$C$6,$C$5,$C$7,U$1,U$2,$A130)</f>
        <v>0</v>
      </c>
      <c r="V130" s="32">
        <f ca="1">_xll.DBRW($C$1,$C$2,$C$3,$C$4,$C$6,$C$5,$C$7,V$1,V$2,$A130)</f>
        <v>0</v>
      </c>
      <c r="W130" s="32">
        <f ca="1">_xll.DBRW($C$1,$C$2,$C$3,$C$4,$C$6,$C$5,$C$7,W$1,W$2,$A130)</f>
        <v>0</v>
      </c>
      <c r="X130" s="32">
        <f ca="1">_xll.DBRW($C$1,$C$2,$C$3,$C$4,$C$6,$C$5,$C$7,X$1,X$2,$A130)</f>
        <v>0</v>
      </c>
      <c r="Y130" s="32">
        <f ca="1">_xll.DBRW($C$1,$C$2,$C$3,$C$4,$C$6,$C$5,$C$7,Y$1,Y$2,$A130)</f>
        <v>0</v>
      </c>
      <c r="Z130" s="32">
        <f ca="1">_xll.DBRW($C$1,$C$2,$C$3,$C$4,$C$6,$C$5,$C$7,Z$1,Z$2,$A130)</f>
        <v>0</v>
      </c>
      <c r="AA130" s="32">
        <f ca="1">_xll.DBRW($C$1,$C$2,$C$3,$C$4,$C$6,$C$5,$C$7,AA$1,AA$2,$A130)</f>
        <v>0</v>
      </c>
      <c r="AB130" s="32">
        <f ca="1">_xll.DBRW($C$1,$C$2,$C$3,$C$4,$C$6,$C$5,$C$7,AB$1,AB$2,$A130)</f>
        <v>0</v>
      </c>
      <c r="AC130" s="32">
        <f ca="1">_xll.DBRW($C$1,$C$2,$C$3,$C$4,$C$6,$C$5,$C$7,AC$1,AC$2,$A130)</f>
        <v>0</v>
      </c>
      <c r="AD130" s="32">
        <f ca="1">_xll.DBRW($C$1,$C$2,$C$3,$C$4,$C$6,$C$5,$C$7,AD$1,AD$2,$A130)</f>
        <v>0</v>
      </c>
      <c r="AE130" s="32">
        <f ca="1">_xll.DBRW($C$1,$C$2,$C$3,$C$4,$C$6,$C$5,$C$7,AE$1,AE$2,$A130)</f>
        <v>0</v>
      </c>
      <c r="AF130" s="32">
        <f ca="1">_xll.DBRW($C$1,$C$2,$C$3,$C$4,$C$6,$C$5,$C$7,AF$1,AF$2,$A130)</f>
        <v>0</v>
      </c>
      <c r="AG130" s="32">
        <f ca="1">_xll.DBRW($C$1,$C$2,$C$3,$C$4,$C$6,$C$5,$C$7,AG$1,AG$2,$A130)</f>
        <v>0</v>
      </c>
      <c r="AH130" s="32">
        <f ca="1">_xll.DBRW($C$1,$C$2,$C$3,$C$4,$C$6,$C$5,$C$7,AH$1,AH$2,$A130)</f>
        <v>0</v>
      </c>
      <c r="AI130" s="32">
        <f ca="1">_xll.DBRW($C$1,$C$2,$C$3,$C$4,$C$6,$C$5,$C$7,AI$1,AI$2,$A130)</f>
        <v>0</v>
      </c>
      <c r="AJ130" s="32">
        <f ca="1">_xll.DBRW($C$1,$C$2,$C$3,$C$4,$C$6,$C$5,$C$7,AJ$1,AJ$2,$A130)</f>
        <v>0</v>
      </c>
      <c r="AK130" s="32">
        <f ca="1">_xll.DBRW($C$1,$C$2,$C$3,$C$4,$C$6,$C$5,$C$7,AK$1,AK$2,$A130)</f>
        <v>0</v>
      </c>
      <c r="AL130" s="32">
        <f ca="1">_xll.DBRW($C$1,$C$2,$C$3,$C$4,$C$6,$C$5,$C$7,AL$1,AL$2,$A130)</f>
        <v>0</v>
      </c>
      <c r="AM130" s="32">
        <f ca="1">_xll.DBRW($C$1,$C$2,$C$3,$C$4,$C$6,$C$5,$C$7,AM$1,AM$2,$A130)</f>
        <v>0</v>
      </c>
      <c r="AN130" s="32">
        <f ca="1">_xll.DBRW($C$1,$C$2,$C$3,$C$4,$C$6,$C$5,$C$7,AN$1,AN$2,$A130)</f>
        <v>0</v>
      </c>
      <c r="AO130" s="32">
        <f ca="1">_xll.DBRW($C$1,$C$2,$C$3,$C$4,$C$6,$C$5,$C$7,AO$1,AO$2,$A130)</f>
        <v>0</v>
      </c>
      <c r="AP130" s="32">
        <f ca="1">_xll.DBRW($C$1,$C$2,$C$3,$C$4,$C$6,$C$5,$C$7,AP$1,AP$2,$A130)</f>
        <v>0</v>
      </c>
      <c r="AQ130" s="32">
        <f ca="1">_xll.DBRW($C$1,$C$2,$C$3,$C$4,$C$6,$C$5,$C$7,AQ$1,AQ$2,$A130)</f>
        <v>0</v>
      </c>
      <c r="AR130" s="32">
        <f ca="1">_xll.DBRW($C$1,$C$2,$C$3,$C$4,$C$6,$C$5,$C$7,AR$1,AR$2,$A130)</f>
        <v>0</v>
      </c>
      <c r="AS130" s="32">
        <f ca="1">_xll.DBRW($C$1,$C$2,$C$3,$C$4,$C$6,$C$5,$C$7,AS$1,AS$2,$A130)</f>
        <v>0</v>
      </c>
      <c r="AT130" s="32">
        <f ca="1">_xll.DBRW($C$1,$C$2,$C$3,$C$4,$C$6,$C$5,$C$7,AT$1,AT$2,$A130)</f>
        <v>0</v>
      </c>
      <c r="AU130" s="32">
        <f ca="1">_xll.DBRW($C$1,$C$2,$C$3,$C$4,$C$6,$C$5,$C$7,AU$1,AU$2,$A130)</f>
        <v>0</v>
      </c>
      <c r="AV130" s="32">
        <f ca="1">_xll.DBRW($C$1,$C$2,$C$3,$C$4,$C$6,$C$5,$C$7,AV$1,AV$2,$A130)</f>
        <v>0</v>
      </c>
      <c r="AW130" s="32">
        <f ca="1">_xll.DBRW($C$1,$C$2,$C$3,$C$4,$C$6,$C$5,$C$7,AW$1,AW$2,$A130)</f>
        <v>0</v>
      </c>
      <c r="AX130" s="32">
        <f ca="1">_xll.DBRW($C$1,$C$2,$C$3,$C$4,$C$6,$C$5,$C$7,AX$1,AX$2,$A130)</f>
        <v>0</v>
      </c>
      <c r="AY130" s="32">
        <f ca="1">_xll.DBRW($C$1,$C$2,$C$3,$C$4,$C$6,$C$5,$C$7,AY$1,AY$2,$A130)</f>
        <v>0</v>
      </c>
    </row>
    <row r="131" spans="1:51" ht="15.75" hidden="1" customHeight="1" outlineLevel="1">
      <c r="A131" s="1" t="s">
        <v>223</v>
      </c>
      <c r="C131" s="109"/>
      <c r="E131" s="9" t="str">
        <f ca="1">_xll.DBRW(Server&amp;"}ElementAttributes_Indicator",A131,"code_English")</f>
        <v>PL1150_CD_90 - Impairment (other than working capital) and provisions - others (CD)</v>
      </c>
      <c r="F131" s="32">
        <f ca="1">_xll.DBRW($C$1,$C$2,$C$3,$C$4,$C$6,$C$5,$C$7,F$1,F$2,$A131)</f>
        <v>0</v>
      </c>
      <c r="G131" s="32">
        <f ca="1">_xll.DBRW($C$1,$C$2,$C$3,$C$4,$C$6,$C$5,$C$7,G$1,G$2,$A131)</f>
        <v>0</v>
      </c>
      <c r="H131" s="32">
        <f ca="1">_xll.DBRW($C$1,$C$2,$C$3,$C$4,$C$6,$C$5,$C$7,H$1,H$2,$A131)</f>
        <v>0</v>
      </c>
      <c r="I131" s="32">
        <f ca="1">_xll.DBRW($C$1,$C$2,$C$3,$C$4,$C$6,$C$5,$C$7,I$1,I$2,$A131)</f>
        <v>0</v>
      </c>
      <c r="J131" s="32">
        <f ca="1">_xll.DBRW($C$1,$C$2,$C$3,$C$4,$C$6,$C$5,$C$7,J$1,J$2,$A131)</f>
        <v>0</v>
      </c>
      <c r="K131" s="32">
        <f ca="1">_xll.DBRW($C$1,$C$2,$C$3,$C$4,$C$6,$C$5,$C$7,K$1,K$2,$A131)</f>
        <v>0</v>
      </c>
      <c r="L131" s="32">
        <f ca="1">_xll.DBRW($C$1,$C$2,$C$3,$C$4,$C$6,$C$5,$C$7,L$1,L$2,$A131)</f>
        <v>0</v>
      </c>
      <c r="M131" s="32">
        <f ca="1">_xll.DBRW($C$1,$C$2,$C$3,$C$4,$C$6,$C$5,$C$7,M$1,M$2,$A131)</f>
        <v>0</v>
      </c>
      <c r="N131" s="32">
        <f ca="1">_xll.DBRW($C$1,$C$2,$C$3,$C$4,$C$6,$C$5,$C$7,N$1,N$2,$A131)</f>
        <v>0</v>
      </c>
      <c r="O131" s="32">
        <f ca="1">_xll.DBRW($C$1,$C$2,$C$3,$C$4,$C$6,$C$5,$C$7,O$1,O$2,$A131)</f>
        <v>0</v>
      </c>
      <c r="P131" s="32">
        <f ca="1">_xll.DBRW($C$1,$C$2,$C$3,$C$4,$C$6,$C$5,$C$7,P$1,P$2,$A131)</f>
        <v>0</v>
      </c>
      <c r="Q131" s="32">
        <f ca="1">_xll.DBRW($C$1,$C$2,$C$3,$C$4,$C$6,$C$5,$C$7,Q$1,Q$2,$A131)</f>
        <v>0</v>
      </c>
      <c r="R131" s="32">
        <f ca="1">_xll.DBRW($C$1,$C$2,$C$3,$C$4,$C$6,$C$5,$C$7,R$1,R$2,$A131)</f>
        <v>0</v>
      </c>
      <c r="S131" s="32">
        <f ca="1">_xll.DBRW($C$1,$C$2,$C$3,$C$4,$C$6,$C$5,$C$7,S$1,S$2,$A131)</f>
        <v>0</v>
      </c>
      <c r="T131" s="32">
        <f ca="1">_xll.DBRW($C$1,$C$2,$C$3,$C$4,$C$6,$C$5,$C$7,T$1,T$2,$A131)</f>
        <v>0</v>
      </c>
      <c r="U131" s="32">
        <f ca="1">_xll.DBRW($C$1,$C$2,$C$3,$C$4,$C$6,$C$5,$C$7,U$1,U$2,$A131)</f>
        <v>0</v>
      </c>
      <c r="V131" s="32">
        <f ca="1">_xll.DBRW($C$1,$C$2,$C$3,$C$4,$C$6,$C$5,$C$7,V$1,V$2,$A131)</f>
        <v>0</v>
      </c>
      <c r="W131" s="32">
        <f ca="1">_xll.DBRW($C$1,$C$2,$C$3,$C$4,$C$6,$C$5,$C$7,W$1,W$2,$A131)</f>
        <v>0</v>
      </c>
      <c r="X131" s="32">
        <f ca="1">_xll.DBRW($C$1,$C$2,$C$3,$C$4,$C$6,$C$5,$C$7,X$1,X$2,$A131)</f>
        <v>0</v>
      </c>
      <c r="Y131" s="32">
        <f ca="1">_xll.DBRW($C$1,$C$2,$C$3,$C$4,$C$6,$C$5,$C$7,Y$1,Y$2,$A131)</f>
        <v>0</v>
      </c>
      <c r="Z131" s="32">
        <f ca="1">_xll.DBRW($C$1,$C$2,$C$3,$C$4,$C$6,$C$5,$C$7,Z$1,Z$2,$A131)</f>
        <v>0</v>
      </c>
      <c r="AA131" s="32">
        <f ca="1">_xll.DBRW($C$1,$C$2,$C$3,$C$4,$C$6,$C$5,$C$7,AA$1,AA$2,$A131)</f>
        <v>0</v>
      </c>
      <c r="AB131" s="32">
        <f ca="1">_xll.DBRW($C$1,$C$2,$C$3,$C$4,$C$6,$C$5,$C$7,AB$1,AB$2,$A131)</f>
        <v>0</v>
      </c>
      <c r="AC131" s="32">
        <f ca="1">_xll.DBRW($C$1,$C$2,$C$3,$C$4,$C$6,$C$5,$C$7,AC$1,AC$2,$A131)</f>
        <v>0</v>
      </c>
      <c r="AD131" s="32">
        <f ca="1">_xll.DBRW($C$1,$C$2,$C$3,$C$4,$C$6,$C$5,$C$7,AD$1,AD$2,$A131)</f>
        <v>0</v>
      </c>
      <c r="AE131" s="32">
        <f ca="1">_xll.DBRW($C$1,$C$2,$C$3,$C$4,$C$6,$C$5,$C$7,AE$1,AE$2,$A131)</f>
        <v>0</v>
      </c>
      <c r="AF131" s="32">
        <f ca="1">_xll.DBRW($C$1,$C$2,$C$3,$C$4,$C$6,$C$5,$C$7,AF$1,AF$2,$A131)</f>
        <v>0</v>
      </c>
      <c r="AG131" s="32">
        <f ca="1">_xll.DBRW($C$1,$C$2,$C$3,$C$4,$C$6,$C$5,$C$7,AG$1,AG$2,$A131)</f>
        <v>0</v>
      </c>
      <c r="AH131" s="32">
        <f ca="1">_xll.DBRW($C$1,$C$2,$C$3,$C$4,$C$6,$C$5,$C$7,AH$1,AH$2,$A131)</f>
        <v>0</v>
      </c>
      <c r="AI131" s="32">
        <f ca="1">_xll.DBRW($C$1,$C$2,$C$3,$C$4,$C$6,$C$5,$C$7,AI$1,AI$2,$A131)</f>
        <v>0</v>
      </c>
      <c r="AJ131" s="32">
        <f ca="1">_xll.DBRW($C$1,$C$2,$C$3,$C$4,$C$6,$C$5,$C$7,AJ$1,AJ$2,$A131)</f>
        <v>0</v>
      </c>
      <c r="AK131" s="32">
        <f ca="1">_xll.DBRW($C$1,$C$2,$C$3,$C$4,$C$6,$C$5,$C$7,AK$1,AK$2,$A131)</f>
        <v>0</v>
      </c>
      <c r="AL131" s="32">
        <f ca="1">_xll.DBRW($C$1,$C$2,$C$3,$C$4,$C$6,$C$5,$C$7,AL$1,AL$2,$A131)</f>
        <v>0</v>
      </c>
      <c r="AM131" s="32">
        <f ca="1">_xll.DBRW($C$1,$C$2,$C$3,$C$4,$C$6,$C$5,$C$7,AM$1,AM$2,$A131)</f>
        <v>0</v>
      </c>
      <c r="AN131" s="32">
        <f ca="1">_xll.DBRW($C$1,$C$2,$C$3,$C$4,$C$6,$C$5,$C$7,AN$1,AN$2,$A131)</f>
        <v>0</v>
      </c>
      <c r="AO131" s="32">
        <f ca="1">_xll.DBRW($C$1,$C$2,$C$3,$C$4,$C$6,$C$5,$C$7,AO$1,AO$2,$A131)</f>
        <v>0</v>
      </c>
      <c r="AP131" s="32">
        <f ca="1">_xll.DBRW($C$1,$C$2,$C$3,$C$4,$C$6,$C$5,$C$7,AP$1,AP$2,$A131)</f>
        <v>0</v>
      </c>
      <c r="AQ131" s="32">
        <f ca="1">_xll.DBRW($C$1,$C$2,$C$3,$C$4,$C$6,$C$5,$C$7,AQ$1,AQ$2,$A131)</f>
        <v>0</v>
      </c>
      <c r="AR131" s="32">
        <f ca="1">_xll.DBRW($C$1,$C$2,$C$3,$C$4,$C$6,$C$5,$C$7,AR$1,AR$2,$A131)</f>
        <v>0</v>
      </c>
      <c r="AS131" s="32">
        <f ca="1">_xll.DBRW($C$1,$C$2,$C$3,$C$4,$C$6,$C$5,$C$7,AS$1,AS$2,$A131)</f>
        <v>0</v>
      </c>
      <c r="AT131" s="32">
        <f ca="1">_xll.DBRW($C$1,$C$2,$C$3,$C$4,$C$6,$C$5,$C$7,AT$1,AT$2,$A131)</f>
        <v>0</v>
      </c>
      <c r="AU131" s="32">
        <f ca="1">_xll.DBRW($C$1,$C$2,$C$3,$C$4,$C$6,$C$5,$C$7,AU$1,AU$2,$A131)</f>
        <v>0</v>
      </c>
      <c r="AV131" s="32">
        <f ca="1">_xll.DBRW($C$1,$C$2,$C$3,$C$4,$C$6,$C$5,$C$7,AV$1,AV$2,$A131)</f>
        <v>0</v>
      </c>
      <c r="AW131" s="32">
        <f ca="1">_xll.DBRW($C$1,$C$2,$C$3,$C$4,$C$6,$C$5,$C$7,AW$1,AW$2,$A131)</f>
        <v>0</v>
      </c>
      <c r="AX131" s="32">
        <f ca="1">_xll.DBRW($C$1,$C$2,$C$3,$C$4,$C$6,$C$5,$C$7,AX$1,AX$2,$A131)</f>
        <v>0</v>
      </c>
      <c r="AY131" s="32">
        <f ca="1">_xll.DBRW($C$1,$C$2,$C$3,$C$4,$C$6,$C$5,$C$7,AY$1,AY$2,$A131)</f>
        <v>0</v>
      </c>
    </row>
    <row r="132" spans="1:51" ht="15.5" hidden="1" outlineLevel="1" collapsed="1">
      <c r="A132" s="1" t="s">
        <v>142</v>
      </c>
      <c r="C132" s="109"/>
      <c r="E132" s="14" t="s">
        <v>39</v>
      </c>
      <c r="F132" s="33">
        <f t="shared" ref="F132:L132" ca="1" si="91">SUM(F119:F131)</f>
        <v>0</v>
      </c>
      <c r="G132" s="33">
        <f t="shared" ca="1" si="91"/>
        <v>0</v>
      </c>
      <c r="H132" s="33">
        <f t="shared" ca="1" si="91"/>
        <v>0</v>
      </c>
      <c r="I132" s="33">
        <f t="shared" ca="1" si="91"/>
        <v>0</v>
      </c>
      <c r="J132" s="33">
        <f t="shared" ca="1" si="91"/>
        <v>0</v>
      </c>
      <c r="K132" s="33">
        <f t="shared" ca="1" si="91"/>
        <v>0</v>
      </c>
      <c r="L132" s="33">
        <f t="shared" ca="1" si="91"/>
        <v>0</v>
      </c>
      <c r="M132" s="33">
        <f t="shared" ref="M132:X132" ca="1" si="92">SUM(M119:M131)</f>
        <v>0</v>
      </c>
      <c r="N132" s="33">
        <f t="shared" ca="1" si="92"/>
        <v>0</v>
      </c>
      <c r="O132" s="33">
        <f t="shared" ca="1" si="92"/>
        <v>0</v>
      </c>
      <c r="P132" s="33">
        <f t="shared" ca="1" si="92"/>
        <v>0</v>
      </c>
      <c r="Q132" s="33">
        <f t="shared" ca="1" si="92"/>
        <v>0</v>
      </c>
      <c r="R132" s="33">
        <f t="shared" ca="1" si="92"/>
        <v>0</v>
      </c>
      <c r="S132" s="33">
        <f t="shared" ca="1" si="92"/>
        <v>0</v>
      </c>
      <c r="T132" s="33">
        <f t="shared" ca="1" si="92"/>
        <v>0</v>
      </c>
      <c r="U132" s="33">
        <f t="shared" ca="1" si="92"/>
        <v>0</v>
      </c>
      <c r="V132" s="33">
        <f t="shared" ca="1" si="92"/>
        <v>0</v>
      </c>
      <c r="W132" s="33">
        <f t="shared" ca="1" si="92"/>
        <v>0</v>
      </c>
      <c r="X132" s="33">
        <f t="shared" ca="1" si="92"/>
        <v>0</v>
      </c>
      <c r="Y132" s="33">
        <f ca="1">SUM(Y119:Y131)</f>
        <v>0</v>
      </c>
      <c r="Z132" s="33">
        <f t="shared" ref="Z132:AK132" ca="1" si="93">SUM(Z119:Z131)</f>
        <v>0</v>
      </c>
      <c r="AA132" s="33">
        <f t="shared" ca="1" si="93"/>
        <v>0</v>
      </c>
      <c r="AB132" s="33">
        <f t="shared" ca="1" si="93"/>
        <v>0</v>
      </c>
      <c r="AC132" s="33">
        <f t="shared" ca="1" si="93"/>
        <v>0</v>
      </c>
      <c r="AD132" s="33">
        <f t="shared" ca="1" si="93"/>
        <v>0</v>
      </c>
      <c r="AE132" s="33">
        <f t="shared" ca="1" si="93"/>
        <v>0</v>
      </c>
      <c r="AF132" s="33">
        <f t="shared" ca="1" si="93"/>
        <v>0</v>
      </c>
      <c r="AG132" s="33">
        <f t="shared" ca="1" si="93"/>
        <v>0</v>
      </c>
      <c r="AH132" s="33">
        <f t="shared" ca="1" si="93"/>
        <v>0</v>
      </c>
      <c r="AI132" s="33">
        <f t="shared" ca="1" si="93"/>
        <v>0</v>
      </c>
      <c r="AJ132" s="33">
        <f t="shared" ca="1" si="93"/>
        <v>0</v>
      </c>
      <c r="AK132" s="33">
        <f t="shared" ca="1" si="93"/>
        <v>0</v>
      </c>
      <c r="AL132" s="33">
        <f ca="1">SUM(AL119:AL131)</f>
        <v>0</v>
      </c>
      <c r="AM132" s="33">
        <f t="shared" ref="AM132:AX132" ca="1" si="94">SUM(AM119:AM131)</f>
        <v>0</v>
      </c>
      <c r="AN132" s="33">
        <f t="shared" ca="1" si="94"/>
        <v>0</v>
      </c>
      <c r="AO132" s="33">
        <f t="shared" ca="1" si="94"/>
        <v>0</v>
      </c>
      <c r="AP132" s="33">
        <f t="shared" ca="1" si="94"/>
        <v>0</v>
      </c>
      <c r="AQ132" s="33">
        <f t="shared" ca="1" si="94"/>
        <v>0</v>
      </c>
      <c r="AR132" s="33">
        <f t="shared" ca="1" si="94"/>
        <v>0</v>
      </c>
      <c r="AS132" s="33">
        <f t="shared" ca="1" si="94"/>
        <v>0</v>
      </c>
      <c r="AT132" s="33">
        <f t="shared" ca="1" si="94"/>
        <v>0</v>
      </c>
      <c r="AU132" s="33">
        <f t="shared" ca="1" si="94"/>
        <v>0</v>
      </c>
      <c r="AV132" s="33">
        <f t="shared" ca="1" si="94"/>
        <v>0</v>
      </c>
      <c r="AW132" s="33">
        <f t="shared" ca="1" si="94"/>
        <v>0</v>
      </c>
      <c r="AX132" s="33">
        <f t="shared" ca="1" si="94"/>
        <v>0</v>
      </c>
      <c r="AY132" s="33">
        <f ca="1">SUM(AY119:AY131)</f>
        <v>0</v>
      </c>
    </row>
    <row r="133" spans="1:51" ht="15.75" hidden="1" customHeight="1" outlineLevel="2">
      <c r="A133" s="1" t="s">
        <v>224</v>
      </c>
      <c r="C133" s="109"/>
      <c r="E133" s="9" t="str">
        <f ca="1">_xll.DBRW(Server&amp;"}ElementAttributes_Indicator",A133,"code_English")</f>
        <v>PL1110_CS_10 - Staff costs (CS)</v>
      </c>
      <c r="F133" s="33">
        <f ca="1">_xll.DBRW($C$1,$C$2,$C$3,$C$4,$C$6,$C$5,$C$7,F$1,F$2,$A133)</f>
        <v>0</v>
      </c>
      <c r="G133" s="33">
        <f ca="1">_xll.DBRW($C$1,$C$2,$C$3,$C$4,$C$6,$C$5,$C$7,G$1,G$2,$A133)</f>
        <v>0</v>
      </c>
      <c r="H133" s="33">
        <f ca="1">_xll.DBRW($C$1,$C$2,$C$3,$C$4,$C$6,$C$5,$C$7,H$1,H$2,$A133)</f>
        <v>0</v>
      </c>
      <c r="I133" s="33">
        <f ca="1">_xll.DBRW($C$1,$C$2,$C$3,$C$4,$C$6,$C$5,$C$7,I$1,I$2,$A133)</f>
        <v>0</v>
      </c>
      <c r="J133" s="33">
        <f ca="1">_xll.DBRW($C$1,$C$2,$C$3,$C$4,$C$6,$C$5,$C$7,J$1,J$2,$A133)</f>
        <v>0</v>
      </c>
      <c r="K133" s="33">
        <f ca="1">_xll.DBRW($C$1,$C$2,$C$3,$C$4,$C$6,$C$5,$C$7,K$1,K$2,$A133)</f>
        <v>0</v>
      </c>
      <c r="L133" s="33">
        <f ca="1">_xll.DBRW($C$1,$C$2,$C$3,$C$4,$C$6,$C$5,$C$7,L$1,L$2,$A133)</f>
        <v>0</v>
      </c>
      <c r="M133" s="33">
        <f ca="1">_xll.DBRW($C$1,$C$2,$C$3,$C$4,$C$6,$C$5,$C$7,M$1,M$2,$A133)</f>
        <v>0</v>
      </c>
      <c r="N133" s="33">
        <f ca="1">_xll.DBRW($C$1,$C$2,$C$3,$C$4,$C$6,$C$5,$C$7,N$1,N$2,$A133)</f>
        <v>0</v>
      </c>
      <c r="O133" s="33">
        <f ca="1">_xll.DBRW($C$1,$C$2,$C$3,$C$4,$C$6,$C$5,$C$7,O$1,O$2,$A133)</f>
        <v>0</v>
      </c>
      <c r="P133" s="33">
        <f ca="1">_xll.DBRW($C$1,$C$2,$C$3,$C$4,$C$6,$C$5,$C$7,P$1,P$2,$A133)</f>
        <v>0</v>
      </c>
      <c r="Q133" s="33">
        <f ca="1">_xll.DBRW($C$1,$C$2,$C$3,$C$4,$C$6,$C$5,$C$7,Q$1,Q$2,$A133)</f>
        <v>0</v>
      </c>
      <c r="R133" s="33">
        <f ca="1">_xll.DBRW($C$1,$C$2,$C$3,$C$4,$C$6,$C$5,$C$7,R$1,R$2,$A133)</f>
        <v>0</v>
      </c>
      <c r="S133" s="33">
        <f ca="1">_xll.DBRW($C$1,$C$2,$C$3,$C$4,$C$6,$C$5,$C$7,S$1,S$2,$A133)</f>
        <v>0</v>
      </c>
      <c r="T133" s="33">
        <f ca="1">_xll.DBRW($C$1,$C$2,$C$3,$C$4,$C$6,$C$5,$C$7,T$1,T$2,$A133)</f>
        <v>0</v>
      </c>
      <c r="U133" s="33">
        <f ca="1">_xll.DBRW($C$1,$C$2,$C$3,$C$4,$C$6,$C$5,$C$7,U$1,U$2,$A133)</f>
        <v>0</v>
      </c>
      <c r="V133" s="33">
        <f ca="1">_xll.DBRW($C$1,$C$2,$C$3,$C$4,$C$6,$C$5,$C$7,V$1,V$2,$A133)</f>
        <v>0</v>
      </c>
      <c r="W133" s="33">
        <f ca="1">_xll.DBRW($C$1,$C$2,$C$3,$C$4,$C$6,$C$5,$C$7,W$1,W$2,$A133)</f>
        <v>0</v>
      </c>
      <c r="X133" s="33">
        <f ca="1">_xll.DBRW($C$1,$C$2,$C$3,$C$4,$C$6,$C$5,$C$7,X$1,X$2,$A133)</f>
        <v>0</v>
      </c>
      <c r="Y133" s="33">
        <f ca="1">_xll.DBRW($C$1,$C$2,$C$3,$C$4,$C$6,$C$5,$C$7,Y$1,Y$2,$A133)</f>
        <v>0</v>
      </c>
      <c r="Z133" s="33">
        <f ca="1">_xll.DBRW($C$1,$C$2,$C$3,$C$4,$C$6,$C$5,$C$7,Z$1,Z$2,$A133)</f>
        <v>0</v>
      </c>
      <c r="AA133" s="33">
        <f ca="1">_xll.DBRW($C$1,$C$2,$C$3,$C$4,$C$6,$C$5,$C$7,AA$1,AA$2,$A133)</f>
        <v>0</v>
      </c>
      <c r="AB133" s="33">
        <f ca="1">_xll.DBRW($C$1,$C$2,$C$3,$C$4,$C$6,$C$5,$C$7,AB$1,AB$2,$A133)</f>
        <v>0</v>
      </c>
      <c r="AC133" s="33">
        <f ca="1">_xll.DBRW($C$1,$C$2,$C$3,$C$4,$C$6,$C$5,$C$7,AC$1,AC$2,$A133)</f>
        <v>0</v>
      </c>
      <c r="AD133" s="33">
        <f ca="1">_xll.DBRW($C$1,$C$2,$C$3,$C$4,$C$6,$C$5,$C$7,AD$1,AD$2,$A133)</f>
        <v>0</v>
      </c>
      <c r="AE133" s="33">
        <f ca="1">_xll.DBRW($C$1,$C$2,$C$3,$C$4,$C$6,$C$5,$C$7,AE$1,AE$2,$A133)</f>
        <v>0</v>
      </c>
      <c r="AF133" s="33">
        <f ca="1">_xll.DBRW($C$1,$C$2,$C$3,$C$4,$C$6,$C$5,$C$7,AF$1,AF$2,$A133)</f>
        <v>0</v>
      </c>
      <c r="AG133" s="33">
        <f ca="1">_xll.DBRW($C$1,$C$2,$C$3,$C$4,$C$6,$C$5,$C$7,AG$1,AG$2,$A133)</f>
        <v>0</v>
      </c>
      <c r="AH133" s="33">
        <f ca="1">_xll.DBRW($C$1,$C$2,$C$3,$C$4,$C$6,$C$5,$C$7,AH$1,AH$2,$A133)</f>
        <v>0</v>
      </c>
      <c r="AI133" s="33">
        <f ca="1">_xll.DBRW($C$1,$C$2,$C$3,$C$4,$C$6,$C$5,$C$7,AI$1,AI$2,$A133)</f>
        <v>0</v>
      </c>
      <c r="AJ133" s="33">
        <f ca="1">_xll.DBRW($C$1,$C$2,$C$3,$C$4,$C$6,$C$5,$C$7,AJ$1,AJ$2,$A133)</f>
        <v>0</v>
      </c>
      <c r="AK133" s="33">
        <f ca="1">_xll.DBRW($C$1,$C$2,$C$3,$C$4,$C$6,$C$5,$C$7,AK$1,AK$2,$A133)</f>
        <v>0</v>
      </c>
      <c r="AL133" s="33">
        <f ca="1">_xll.DBRW($C$1,$C$2,$C$3,$C$4,$C$6,$C$5,$C$7,AL$1,AL$2,$A133)</f>
        <v>0</v>
      </c>
      <c r="AM133" s="33">
        <f ca="1">_xll.DBRW($C$1,$C$2,$C$3,$C$4,$C$6,$C$5,$C$7,AM$1,AM$2,$A133)</f>
        <v>0</v>
      </c>
      <c r="AN133" s="33">
        <f ca="1">_xll.DBRW($C$1,$C$2,$C$3,$C$4,$C$6,$C$5,$C$7,AN$1,AN$2,$A133)</f>
        <v>0</v>
      </c>
      <c r="AO133" s="33">
        <f ca="1">_xll.DBRW($C$1,$C$2,$C$3,$C$4,$C$6,$C$5,$C$7,AO$1,AO$2,$A133)</f>
        <v>0</v>
      </c>
      <c r="AP133" s="33">
        <f ca="1">_xll.DBRW($C$1,$C$2,$C$3,$C$4,$C$6,$C$5,$C$7,AP$1,AP$2,$A133)</f>
        <v>0</v>
      </c>
      <c r="AQ133" s="33">
        <f ca="1">_xll.DBRW($C$1,$C$2,$C$3,$C$4,$C$6,$C$5,$C$7,AQ$1,AQ$2,$A133)</f>
        <v>0</v>
      </c>
      <c r="AR133" s="33">
        <f ca="1">_xll.DBRW($C$1,$C$2,$C$3,$C$4,$C$6,$C$5,$C$7,AR$1,AR$2,$A133)</f>
        <v>0</v>
      </c>
      <c r="AS133" s="33">
        <f ca="1">_xll.DBRW($C$1,$C$2,$C$3,$C$4,$C$6,$C$5,$C$7,AS$1,AS$2,$A133)</f>
        <v>0</v>
      </c>
      <c r="AT133" s="33">
        <f ca="1">_xll.DBRW($C$1,$C$2,$C$3,$C$4,$C$6,$C$5,$C$7,AT$1,AT$2,$A133)</f>
        <v>0</v>
      </c>
      <c r="AU133" s="33">
        <f ca="1">_xll.DBRW($C$1,$C$2,$C$3,$C$4,$C$6,$C$5,$C$7,AU$1,AU$2,$A133)</f>
        <v>0</v>
      </c>
      <c r="AV133" s="33">
        <f ca="1">_xll.DBRW($C$1,$C$2,$C$3,$C$4,$C$6,$C$5,$C$7,AV$1,AV$2,$A133)</f>
        <v>0</v>
      </c>
      <c r="AW133" s="33">
        <f ca="1">_xll.DBRW($C$1,$C$2,$C$3,$C$4,$C$6,$C$5,$C$7,AW$1,AW$2,$A133)</f>
        <v>0</v>
      </c>
      <c r="AX133" s="33">
        <f ca="1">_xll.DBRW($C$1,$C$2,$C$3,$C$4,$C$6,$C$5,$C$7,AX$1,AX$2,$A133)</f>
        <v>0</v>
      </c>
      <c r="AY133" s="33">
        <f ca="1">_xll.DBRW($C$1,$C$2,$C$3,$C$4,$C$6,$C$5,$C$7,AY$1,AY$2,$A133)</f>
        <v>0</v>
      </c>
    </row>
    <row r="134" spans="1:51" ht="15.75" hidden="1" customHeight="1" outlineLevel="2">
      <c r="A134" s="1" t="s">
        <v>225</v>
      </c>
      <c r="C134" s="109"/>
      <c r="E134" s="9" t="str">
        <f ca="1">_xll.DBRW(Server&amp;"}ElementAttributes_Indicator",A134,"code_English")</f>
        <v>PL1155_CS_99 - Reinvoicing - Others (CS)</v>
      </c>
      <c r="F134" s="33">
        <f ca="1">_xll.DBRW($C$1,$C$2,$C$3,$C$4,$C$6,$C$5,$C$7,F$1,F$2,$A134)</f>
        <v>0</v>
      </c>
      <c r="G134" s="33">
        <f ca="1">_xll.DBRW($C$1,$C$2,$C$3,$C$4,$C$6,$C$5,$C$7,G$1,G$2,$A134)</f>
        <v>0</v>
      </c>
      <c r="H134" s="33">
        <f ca="1">_xll.DBRW($C$1,$C$2,$C$3,$C$4,$C$6,$C$5,$C$7,H$1,H$2,$A134)</f>
        <v>0</v>
      </c>
      <c r="I134" s="33">
        <f ca="1">_xll.DBRW($C$1,$C$2,$C$3,$C$4,$C$6,$C$5,$C$7,I$1,I$2,$A134)</f>
        <v>0</v>
      </c>
      <c r="J134" s="33">
        <f ca="1">_xll.DBRW($C$1,$C$2,$C$3,$C$4,$C$6,$C$5,$C$7,J$1,J$2,$A134)</f>
        <v>0</v>
      </c>
      <c r="K134" s="33">
        <f ca="1">_xll.DBRW($C$1,$C$2,$C$3,$C$4,$C$6,$C$5,$C$7,K$1,K$2,$A134)</f>
        <v>0</v>
      </c>
      <c r="L134" s="33">
        <f ca="1">_xll.DBRW($C$1,$C$2,$C$3,$C$4,$C$6,$C$5,$C$7,L$1,L$2,$A134)</f>
        <v>0</v>
      </c>
      <c r="M134" s="33">
        <f ca="1">_xll.DBRW($C$1,$C$2,$C$3,$C$4,$C$6,$C$5,$C$7,M$1,M$2,$A134)</f>
        <v>0</v>
      </c>
      <c r="N134" s="33">
        <f ca="1">_xll.DBRW($C$1,$C$2,$C$3,$C$4,$C$6,$C$5,$C$7,N$1,N$2,$A134)</f>
        <v>0</v>
      </c>
      <c r="O134" s="33">
        <f ca="1">_xll.DBRW($C$1,$C$2,$C$3,$C$4,$C$6,$C$5,$C$7,O$1,O$2,$A134)</f>
        <v>0</v>
      </c>
      <c r="P134" s="33">
        <f ca="1">_xll.DBRW($C$1,$C$2,$C$3,$C$4,$C$6,$C$5,$C$7,P$1,P$2,$A134)</f>
        <v>0</v>
      </c>
      <c r="Q134" s="33">
        <f ca="1">_xll.DBRW($C$1,$C$2,$C$3,$C$4,$C$6,$C$5,$C$7,Q$1,Q$2,$A134)</f>
        <v>0</v>
      </c>
      <c r="R134" s="33">
        <f ca="1">_xll.DBRW($C$1,$C$2,$C$3,$C$4,$C$6,$C$5,$C$7,R$1,R$2,$A134)</f>
        <v>0</v>
      </c>
      <c r="S134" s="33">
        <f ca="1">_xll.DBRW($C$1,$C$2,$C$3,$C$4,$C$6,$C$5,$C$7,S$1,S$2,$A134)</f>
        <v>0</v>
      </c>
      <c r="T134" s="33">
        <f ca="1">_xll.DBRW($C$1,$C$2,$C$3,$C$4,$C$6,$C$5,$C$7,T$1,T$2,$A134)</f>
        <v>0</v>
      </c>
      <c r="U134" s="33">
        <f ca="1">_xll.DBRW($C$1,$C$2,$C$3,$C$4,$C$6,$C$5,$C$7,U$1,U$2,$A134)</f>
        <v>0</v>
      </c>
      <c r="V134" s="33">
        <f ca="1">_xll.DBRW($C$1,$C$2,$C$3,$C$4,$C$6,$C$5,$C$7,V$1,V$2,$A134)</f>
        <v>0</v>
      </c>
      <c r="W134" s="33">
        <f ca="1">_xll.DBRW($C$1,$C$2,$C$3,$C$4,$C$6,$C$5,$C$7,W$1,W$2,$A134)</f>
        <v>0</v>
      </c>
      <c r="X134" s="33">
        <f ca="1">_xll.DBRW($C$1,$C$2,$C$3,$C$4,$C$6,$C$5,$C$7,X$1,X$2,$A134)</f>
        <v>0</v>
      </c>
      <c r="Y134" s="33">
        <f ca="1">_xll.DBRW($C$1,$C$2,$C$3,$C$4,$C$6,$C$5,$C$7,Y$1,Y$2,$A134)</f>
        <v>0</v>
      </c>
      <c r="Z134" s="33">
        <f ca="1">_xll.DBRW($C$1,$C$2,$C$3,$C$4,$C$6,$C$5,$C$7,Z$1,Z$2,$A134)</f>
        <v>0</v>
      </c>
      <c r="AA134" s="33">
        <f ca="1">_xll.DBRW($C$1,$C$2,$C$3,$C$4,$C$6,$C$5,$C$7,AA$1,AA$2,$A134)</f>
        <v>0</v>
      </c>
      <c r="AB134" s="33">
        <f ca="1">_xll.DBRW($C$1,$C$2,$C$3,$C$4,$C$6,$C$5,$C$7,AB$1,AB$2,$A134)</f>
        <v>0</v>
      </c>
      <c r="AC134" s="33">
        <f ca="1">_xll.DBRW($C$1,$C$2,$C$3,$C$4,$C$6,$C$5,$C$7,AC$1,AC$2,$A134)</f>
        <v>0</v>
      </c>
      <c r="AD134" s="33">
        <f ca="1">_xll.DBRW($C$1,$C$2,$C$3,$C$4,$C$6,$C$5,$C$7,AD$1,AD$2,$A134)</f>
        <v>0</v>
      </c>
      <c r="AE134" s="33">
        <f ca="1">_xll.DBRW($C$1,$C$2,$C$3,$C$4,$C$6,$C$5,$C$7,AE$1,AE$2,$A134)</f>
        <v>0</v>
      </c>
      <c r="AF134" s="33">
        <f ca="1">_xll.DBRW($C$1,$C$2,$C$3,$C$4,$C$6,$C$5,$C$7,AF$1,AF$2,$A134)</f>
        <v>0</v>
      </c>
      <c r="AG134" s="33">
        <f ca="1">_xll.DBRW($C$1,$C$2,$C$3,$C$4,$C$6,$C$5,$C$7,AG$1,AG$2,$A134)</f>
        <v>0</v>
      </c>
      <c r="AH134" s="33">
        <f ca="1">_xll.DBRW($C$1,$C$2,$C$3,$C$4,$C$6,$C$5,$C$7,AH$1,AH$2,$A134)</f>
        <v>0</v>
      </c>
      <c r="AI134" s="33">
        <f ca="1">_xll.DBRW($C$1,$C$2,$C$3,$C$4,$C$6,$C$5,$C$7,AI$1,AI$2,$A134)</f>
        <v>0</v>
      </c>
      <c r="AJ134" s="33">
        <f ca="1">_xll.DBRW($C$1,$C$2,$C$3,$C$4,$C$6,$C$5,$C$7,AJ$1,AJ$2,$A134)</f>
        <v>0</v>
      </c>
      <c r="AK134" s="33">
        <f ca="1">_xll.DBRW($C$1,$C$2,$C$3,$C$4,$C$6,$C$5,$C$7,AK$1,AK$2,$A134)</f>
        <v>0</v>
      </c>
      <c r="AL134" s="33">
        <f ca="1">_xll.DBRW($C$1,$C$2,$C$3,$C$4,$C$6,$C$5,$C$7,AL$1,AL$2,$A134)</f>
        <v>0</v>
      </c>
      <c r="AM134" s="33">
        <f ca="1">_xll.DBRW($C$1,$C$2,$C$3,$C$4,$C$6,$C$5,$C$7,AM$1,AM$2,$A134)</f>
        <v>0</v>
      </c>
      <c r="AN134" s="33">
        <f ca="1">_xll.DBRW($C$1,$C$2,$C$3,$C$4,$C$6,$C$5,$C$7,AN$1,AN$2,$A134)</f>
        <v>0</v>
      </c>
      <c r="AO134" s="33">
        <f ca="1">_xll.DBRW($C$1,$C$2,$C$3,$C$4,$C$6,$C$5,$C$7,AO$1,AO$2,$A134)</f>
        <v>0</v>
      </c>
      <c r="AP134" s="33">
        <f ca="1">_xll.DBRW($C$1,$C$2,$C$3,$C$4,$C$6,$C$5,$C$7,AP$1,AP$2,$A134)</f>
        <v>0</v>
      </c>
      <c r="AQ134" s="33">
        <f ca="1">_xll.DBRW($C$1,$C$2,$C$3,$C$4,$C$6,$C$5,$C$7,AQ$1,AQ$2,$A134)</f>
        <v>0</v>
      </c>
      <c r="AR134" s="33">
        <f ca="1">_xll.DBRW($C$1,$C$2,$C$3,$C$4,$C$6,$C$5,$C$7,AR$1,AR$2,$A134)</f>
        <v>0</v>
      </c>
      <c r="AS134" s="33">
        <f ca="1">_xll.DBRW($C$1,$C$2,$C$3,$C$4,$C$6,$C$5,$C$7,AS$1,AS$2,$A134)</f>
        <v>0</v>
      </c>
      <c r="AT134" s="33">
        <f ca="1">_xll.DBRW($C$1,$C$2,$C$3,$C$4,$C$6,$C$5,$C$7,AT$1,AT$2,$A134)</f>
        <v>0</v>
      </c>
      <c r="AU134" s="33">
        <f ca="1">_xll.DBRW($C$1,$C$2,$C$3,$C$4,$C$6,$C$5,$C$7,AU$1,AU$2,$A134)</f>
        <v>0</v>
      </c>
      <c r="AV134" s="33">
        <f ca="1">_xll.DBRW($C$1,$C$2,$C$3,$C$4,$C$6,$C$5,$C$7,AV$1,AV$2,$A134)</f>
        <v>0</v>
      </c>
      <c r="AW134" s="33">
        <f ca="1">_xll.DBRW($C$1,$C$2,$C$3,$C$4,$C$6,$C$5,$C$7,AW$1,AW$2,$A134)</f>
        <v>0</v>
      </c>
      <c r="AX134" s="33">
        <f ca="1">_xll.DBRW($C$1,$C$2,$C$3,$C$4,$C$6,$C$5,$C$7,AX$1,AX$2,$A134)</f>
        <v>0</v>
      </c>
      <c r="AY134" s="33">
        <f ca="1">_xll.DBRW($C$1,$C$2,$C$3,$C$4,$C$6,$C$5,$C$7,AY$1,AY$2,$A134)</f>
        <v>0</v>
      </c>
    </row>
    <row r="135" spans="1:51" ht="15.75" hidden="1" customHeight="1" outlineLevel="2">
      <c r="A135" s="1" t="s">
        <v>226</v>
      </c>
      <c r="C135" s="109"/>
      <c r="E135" s="9" t="str">
        <f ca="1">_xll.DBRW(Server&amp;"}ElementAttributes_Indicator",A135,"code_English")</f>
        <v>PL1115_CS_20 - Interim staff (CS)</v>
      </c>
      <c r="F135" s="33">
        <f ca="1">_xll.DBRW($C$1,$C$2,$C$3,$C$4,$C$6,$C$5,$C$7,F$1,F$2,$A135)</f>
        <v>0</v>
      </c>
      <c r="G135" s="33">
        <f ca="1">_xll.DBRW($C$1,$C$2,$C$3,$C$4,$C$6,$C$5,$C$7,G$1,G$2,$A135)</f>
        <v>0</v>
      </c>
      <c r="H135" s="33">
        <f ca="1">_xll.DBRW($C$1,$C$2,$C$3,$C$4,$C$6,$C$5,$C$7,H$1,H$2,$A135)</f>
        <v>0</v>
      </c>
      <c r="I135" s="33">
        <f ca="1">_xll.DBRW($C$1,$C$2,$C$3,$C$4,$C$6,$C$5,$C$7,I$1,I$2,$A135)</f>
        <v>0</v>
      </c>
      <c r="J135" s="33">
        <f ca="1">_xll.DBRW($C$1,$C$2,$C$3,$C$4,$C$6,$C$5,$C$7,J$1,J$2,$A135)</f>
        <v>0</v>
      </c>
      <c r="K135" s="33">
        <f ca="1">_xll.DBRW($C$1,$C$2,$C$3,$C$4,$C$6,$C$5,$C$7,K$1,K$2,$A135)</f>
        <v>0</v>
      </c>
      <c r="L135" s="33">
        <f ca="1">_xll.DBRW($C$1,$C$2,$C$3,$C$4,$C$6,$C$5,$C$7,L$1,L$2,$A135)</f>
        <v>0</v>
      </c>
      <c r="M135" s="33">
        <f ca="1">_xll.DBRW($C$1,$C$2,$C$3,$C$4,$C$6,$C$5,$C$7,M$1,M$2,$A135)</f>
        <v>0</v>
      </c>
      <c r="N135" s="33">
        <f ca="1">_xll.DBRW($C$1,$C$2,$C$3,$C$4,$C$6,$C$5,$C$7,N$1,N$2,$A135)</f>
        <v>0</v>
      </c>
      <c r="O135" s="33">
        <f ca="1">_xll.DBRW($C$1,$C$2,$C$3,$C$4,$C$6,$C$5,$C$7,O$1,O$2,$A135)</f>
        <v>0</v>
      </c>
      <c r="P135" s="33">
        <f ca="1">_xll.DBRW($C$1,$C$2,$C$3,$C$4,$C$6,$C$5,$C$7,P$1,P$2,$A135)</f>
        <v>0</v>
      </c>
      <c r="Q135" s="33">
        <f ca="1">_xll.DBRW($C$1,$C$2,$C$3,$C$4,$C$6,$C$5,$C$7,Q$1,Q$2,$A135)</f>
        <v>0</v>
      </c>
      <c r="R135" s="33">
        <f ca="1">_xll.DBRW($C$1,$C$2,$C$3,$C$4,$C$6,$C$5,$C$7,R$1,R$2,$A135)</f>
        <v>0</v>
      </c>
      <c r="S135" s="33">
        <f ca="1">_xll.DBRW($C$1,$C$2,$C$3,$C$4,$C$6,$C$5,$C$7,S$1,S$2,$A135)</f>
        <v>0</v>
      </c>
      <c r="T135" s="33">
        <f ca="1">_xll.DBRW($C$1,$C$2,$C$3,$C$4,$C$6,$C$5,$C$7,T$1,T$2,$A135)</f>
        <v>0</v>
      </c>
      <c r="U135" s="33">
        <f ca="1">_xll.DBRW($C$1,$C$2,$C$3,$C$4,$C$6,$C$5,$C$7,U$1,U$2,$A135)</f>
        <v>0</v>
      </c>
      <c r="V135" s="33">
        <f ca="1">_xll.DBRW($C$1,$C$2,$C$3,$C$4,$C$6,$C$5,$C$7,V$1,V$2,$A135)</f>
        <v>0</v>
      </c>
      <c r="W135" s="33">
        <f ca="1">_xll.DBRW($C$1,$C$2,$C$3,$C$4,$C$6,$C$5,$C$7,W$1,W$2,$A135)</f>
        <v>0</v>
      </c>
      <c r="X135" s="33">
        <f ca="1">_xll.DBRW($C$1,$C$2,$C$3,$C$4,$C$6,$C$5,$C$7,X$1,X$2,$A135)</f>
        <v>0</v>
      </c>
      <c r="Y135" s="33">
        <f ca="1">_xll.DBRW($C$1,$C$2,$C$3,$C$4,$C$6,$C$5,$C$7,Y$1,Y$2,$A135)</f>
        <v>0</v>
      </c>
      <c r="Z135" s="33">
        <f ca="1">_xll.DBRW($C$1,$C$2,$C$3,$C$4,$C$6,$C$5,$C$7,Z$1,Z$2,$A135)</f>
        <v>0</v>
      </c>
      <c r="AA135" s="33">
        <f ca="1">_xll.DBRW($C$1,$C$2,$C$3,$C$4,$C$6,$C$5,$C$7,AA$1,AA$2,$A135)</f>
        <v>0</v>
      </c>
      <c r="AB135" s="33">
        <f ca="1">_xll.DBRW($C$1,$C$2,$C$3,$C$4,$C$6,$C$5,$C$7,AB$1,AB$2,$A135)</f>
        <v>0</v>
      </c>
      <c r="AC135" s="33">
        <f ca="1">_xll.DBRW($C$1,$C$2,$C$3,$C$4,$C$6,$C$5,$C$7,AC$1,AC$2,$A135)</f>
        <v>0</v>
      </c>
      <c r="AD135" s="33">
        <f ca="1">_xll.DBRW($C$1,$C$2,$C$3,$C$4,$C$6,$C$5,$C$7,AD$1,AD$2,$A135)</f>
        <v>0</v>
      </c>
      <c r="AE135" s="33">
        <f ca="1">_xll.DBRW($C$1,$C$2,$C$3,$C$4,$C$6,$C$5,$C$7,AE$1,AE$2,$A135)</f>
        <v>0</v>
      </c>
      <c r="AF135" s="33">
        <f ca="1">_xll.DBRW($C$1,$C$2,$C$3,$C$4,$C$6,$C$5,$C$7,AF$1,AF$2,$A135)</f>
        <v>0</v>
      </c>
      <c r="AG135" s="33">
        <f ca="1">_xll.DBRW($C$1,$C$2,$C$3,$C$4,$C$6,$C$5,$C$7,AG$1,AG$2,$A135)</f>
        <v>0</v>
      </c>
      <c r="AH135" s="33">
        <f ca="1">_xll.DBRW($C$1,$C$2,$C$3,$C$4,$C$6,$C$5,$C$7,AH$1,AH$2,$A135)</f>
        <v>0</v>
      </c>
      <c r="AI135" s="33">
        <f ca="1">_xll.DBRW($C$1,$C$2,$C$3,$C$4,$C$6,$C$5,$C$7,AI$1,AI$2,$A135)</f>
        <v>0</v>
      </c>
      <c r="AJ135" s="33">
        <f ca="1">_xll.DBRW($C$1,$C$2,$C$3,$C$4,$C$6,$C$5,$C$7,AJ$1,AJ$2,$A135)</f>
        <v>0</v>
      </c>
      <c r="AK135" s="33">
        <f ca="1">_xll.DBRW($C$1,$C$2,$C$3,$C$4,$C$6,$C$5,$C$7,AK$1,AK$2,$A135)</f>
        <v>0</v>
      </c>
      <c r="AL135" s="33">
        <f ca="1">_xll.DBRW($C$1,$C$2,$C$3,$C$4,$C$6,$C$5,$C$7,AL$1,AL$2,$A135)</f>
        <v>0</v>
      </c>
      <c r="AM135" s="33">
        <f ca="1">_xll.DBRW($C$1,$C$2,$C$3,$C$4,$C$6,$C$5,$C$7,AM$1,AM$2,$A135)</f>
        <v>0</v>
      </c>
      <c r="AN135" s="33">
        <f ca="1">_xll.DBRW($C$1,$C$2,$C$3,$C$4,$C$6,$C$5,$C$7,AN$1,AN$2,$A135)</f>
        <v>0</v>
      </c>
      <c r="AO135" s="33">
        <f ca="1">_xll.DBRW($C$1,$C$2,$C$3,$C$4,$C$6,$C$5,$C$7,AO$1,AO$2,$A135)</f>
        <v>0</v>
      </c>
      <c r="AP135" s="33">
        <f ca="1">_xll.DBRW($C$1,$C$2,$C$3,$C$4,$C$6,$C$5,$C$7,AP$1,AP$2,$A135)</f>
        <v>0</v>
      </c>
      <c r="AQ135" s="33">
        <f ca="1">_xll.DBRW($C$1,$C$2,$C$3,$C$4,$C$6,$C$5,$C$7,AQ$1,AQ$2,$A135)</f>
        <v>0</v>
      </c>
      <c r="AR135" s="33">
        <f ca="1">_xll.DBRW($C$1,$C$2,$C$3,$C$4,$C$6,$C$5,$C$7,AR$1,AR$2,$A135)</f>
        <v>0</v>
      </c>
      <c r="AS135" s="33">
        <f ca="1">_xll.DBRW($C$1,$C$2,$C$3,$C$4,$C$6,$C$5,$C$7,AS$1,AS$2,$A135)</f>
        <v>0</v>
      </c>
      <c r="AT135" s="33">
        <f ca="1">_xll.DBRW($C$1,$C$2,$C$3,$C$4,$C$6,$C$5,$C$7,AT$1,AT$2,$A135)</f>
        <v>0</v>
      </c>
      <c r="AU135" s="33">
        <f ca="1">_xll.DBRW($C$1,$C$2,$C$3,$C$4,$C$6,$C$5,$C$7,AU$1,AU$2,$A135)</f>
        <v>0</v>
      </c>
      <c r="AV135" s="33">
        <f ca="1">_xll.DBRW($C$1,$C$2,$C$3,$C$4,$C$6,$C$5,$C$7,AV$1,AV$2,$A135)</f>
        <v>0</v>
      </c>
      <c r="AW135" s="33">
        <f ca="1">_xll.DBRW($C$1,$C$2,$C$3,$C$4,$C$6,$C$5,$C$7,AW$1,AW$2,$A135)</f>
        <v>0</v>
      </c>
      <c r="AX135" s="33">
        <f ca="1">_xll.DBRW($C$1,$C$2,$C$3,$C$4,$C$6,$C$5,$C$7,AX$1,AX$2,$A135)</f>
        <v>0</v>
      </c>
      <c r="AY135" s="33">
        <f ca="1">_xll.DBRW($C$1,$C$2,$C$3,$C$4,$C$6,$C$5,$C$7,AY$1,AY$2,$A135)</f>
        <v>0</v>
      </c>
    </row>
    <row r="136" spans="1:51" ht="15.75" hidden="1" customHeight="1" outlineLevel="2">
      <c r="A136" s="1" t="s">
        <v>227</v>
      </c>
      <c r="C136" s="109"/>
      <c r="E136" s="9" t="str">
        <f ca="1">_xll.DBRW(Server&amp;"}ElementAttributes_Indicator",A136,"code_English")</f>
        <v>PL1115_CS_99 - Others (CS)</v>
      </c>
      <c r="F136" s="33">
        <f ca="1">_xll.DBRW($C$1,$C$2,$C$3,$C$4,$C$6,$C$5,$C$7,F$1,F$2,$A136)</f>
        <v>0</v>
      </c>
      <c r="G136" s="33">
        <f ca="1">_xll.DBRW($C$1,$C$2,$C$3,$C$4,$C$6,$C$5,$C$7,G$1,G$2,$A136)</f>
        <v>0</v>
      </c>
      <c r="H136" s="33">
        <f ca="1">_xll.DBRW($C$1,$C$2,$C$3,$C$4,$C$6,$C$5,$C$7,H$1,H$2,$A136)</f>
        <v>0</v>
      </c>
      <c r="I136" s="33">
        <f ca="1">_xll.DBRW($C$1,$C$2,$C$3,$C$4,$C$6,$C$5,$C$7,I$1,I$2,$A136)</f>
        <v>0</v>
      </c>
      <c r="J136" s="33">
        <f ca="1">_xll.DBRW($C$1,$C$2,$C$3,$C$4,$C$6,$C$5,$C$7,J$1,J$2,$A136)</f>
        <v>0</v>
      </c>
      <c r="K136" s="33">
        <f ca="1">_xll.DBRW($C$1,$C$2,$C$3,$C$4,$C$6,$C$5,$C$7,K$1,K$2,$A136)</f>
        <v>0</v>
      </c>
      <c r="L136" s="33">
        <f ca="1">_xll.DBRW($C$1,$C$2,$C$3,$C$4,$C$6,$C$5,$C$7,L$1,L$2,$A136)</f>
        <v>0</v>
      </c>
      <c r="M136" s="33">
        <f ca="1">_xll.DBRW($C$1,$C$2,$C$3,$C$4,$C$6,$C$5,$C$7,M$1,M$2,$A136)</f>
        <v>0</v>
      </c>
      <c r="N136" s="33">
        <f ca="1">_xll.DBRW($C$1,$C$2,$C$3,$C$4,$C$6,$C$5,$C$7,N$1,N$2,$A136)</f>
        <v>0</v>
      </c>
      <c r="O136" s="33">
        <f ca="1">_xll.DBRW($C$1,$C$2,$C$3,$C$4,$C$6,$C$5,$C$7,O$1,O$2,$A136)</f>
        <v>0</v>
      </c>
      <c r="P136" s="33">
        <f ca="1">_xll.DBRW($C$1,$C$2,$C$3,$C$4,$C$6,$C$5,$C$7,P$1,P$2,$A136)</f>
        <v>0</v>
      </c>
      <c r="Q136" s="33">
        <f ca="1">_xll.DBRW($C$1,$C$2,$C$3,$C$4,$C$6,$C$5,$C$7,Q$1,Q$2,$A136)</f>
        <v>0</v>
      </c>
      <c r="R136" s="33">
        <f ca="1">_xll.DBRW($C$1,$C$2,$C$3,$C$4,$C$6,$C$5,$C$7,R$1,R$2,$A136)</f>
        <v>0</v>
      </c>
      <c r="S136" s="33">
        <f ca="1">_xll.DBRW($C$1,$C$2,$C$3,$C$4,$C$6,$C$5,$C$7,S$1,S$2,$A136)</f>
        <v>0</v>
      </c>
      <c r="T136" s="33">
        <f ca="1">_xll.DBRW($C$1,$C$2,$C$3,$C$4,$C$6,$C$5,$C$7,T$1,T$2,$A136)</f>
        <v>0</v>
      </c>
      <c r="U136" s="33">
        <f ca="1">_xll.DBRW($C$1,$C$2,$C$3,$C$4,$C$6,$C$5,$C$7,U$1,U$2,$A136)</f>
        <v>0</v>
      </c>
      <c r="V136" s="33">
        <f ca="1">_xll.DBRW($C$1,$C$2,$C$3,$C$4,$C$6,$C$5,$C$7,V$1,V$2,$A136)</f>
        <v>0</v>
      </c>
      <c r="W136" s="33">
        <f ca="1">_xll.DBRW($C$1,$C$2,$C$3,$C$4,$C$6,$C$5,$C$7,W$1,W$2,$A136)</f>
        <v>0</v>
      </c>
      <c r="X136" s="33">
        <f ca="1">_xll.DBRW($C$1,$C$2,$C$3,$C$4,$C$6,$C$5,$C$7,X$1,X$2,$A136)</f>
        <v>0</v>
      </c>
      <c r="Y136" s="33">
        <f ca="1">_xll.DBRW($C$1,$C$2,$C$3,$C$4,$C$6,$C$5,$C$7,Y$1,Y$2,$A136)</f>
        <v>0</v>
      </c>
      <c r="Z136" s="33">
        <f ca="1">_xll.DBRW($C$1,$C$2,$C$3,$C$4,$C$6,$C$5,$C$7,Z$1,Z$2,$A136)</f>
        <v>0</v>
      </c>
      <c r="AA136" s="33">
        <f ca="1">_xll.DBRW($C$1,$C$2,$C$3,$C$4,$C$6,$C$5,$C$7,AA$1,AA$2,$A136)</f>
        <v>0</v>
      </c>
      <c r="AB136" s="33">
        <f ca="1">_xll.DBRW($C$1,$C$2,$C$3,$C$4,$C$6,$C$5,$C$7,AB$1,AB$2,$A136)</f>
        <v>0</v>
      </c>
      <c r="AC136" s="33">
        <f ca="1">_xll.DBRW($C$1,$C$2,$C$3,$C$4,$C$6,$C$5,$C$7,AC$1,AC$2,$A136)</f>
        <v>0</v>
      </c>
      <c r="AD136" s="33">
        <f ca="1">_xll.DBRW($C$1,$C$2,$C$3,$C$4,$C$6,$C$5,$C$7,AD$1,AD$2,$A136)</f>
        <v>0</v>
      </c>
      <c r="AE136" s="33">
        <f ca="1">_xll.DBRW($C$1,$C$2,$C$3,$C$4,$C$6,$C$5,$C$7,AE$1,AE$2,$A136)</f>
        <v>0</v>
      </c>
      <c r="AF136" s="33">
        <f ca="1">_xll.DBRW($C$1,$C$2,$C$3,$C$4,$C$6,$C$5,$C$7,AF$1,AF$2,$A136)</f>
        <v>0</v>
      </c>
      <c r="AG136" s="33">
        <f ca="1">_xll.DBRW($C$1,$C$2,$C$3,$C$4,$C$6,$C$5,$C$7,AG$1,AG$2,$A136)</f>
        <v>0</v>
      </c>
      <c r="AH136" s="33">
        <f ca="1">_xll.DBRW($C$1,$C$2,$C$3,$C$4,$C$6,$C$5,$C$7,AH$1,AH$2,$A136)</f>
        <v>0</v>
      </c>
      <c r="AI136" s="33">
        <f ca="1">_xll.DBRW($C$1,$C$2,$C$3,$C$4,$C$6,$C$5,$C$7,AI$1,AI$2,$A136)</f>
        <v>0</v>
      </c>
      <c r="AJ136" s="33">
        <f ca="1">_xll.DBRW($C$1,$C$2,$C$3,$C$4,$C$6,$C$5,$C$7,AJ$1,AJ$2,$A136)</f>
        <v>0</v>
      </c>
      <c r="AK136" s="33">
        <f ca="1">_xll.DBRW($C$1,$C$2,$C$3,$C$4,$C$6,$C$5,$C$7,AK$1,AK$2,$A136)</f>
        <v>0</v>
      </c>
      <c r="AL136" s="33">
        <f ca="1">_xll.DBRW($C$1,$C$2,$C$3,$C$4,$C$6,$C$5,$C$7,AL$1,AL$2,$A136)</f>
        <v>0</v>
      </c>
      <c r="AM136" s="33">
        <f ca="1">_xll.DBRW($C$1,$C$2,$C$3,$C$4,$C$6,$C$5,$C$7,AM$1,AM$2,$A136)</f>
        <v>0</v>
      </c>
      <c r="AN136" s="33">
        <f ca="1">_xll.DBRW($C$1,$C$2,$C$3,$C$4,$C$6,$C$5,$C$7,AN$1,AN$2,$A136)</f>
        <v>0</v>
      </c>
      <c r="AO136" s="33">
        <f ca="1">_xll.DBRW($C$1,$C$2,$C$3,$C$4,$C$6,$C$5,$C$7,AO$1,AO$2,$A136)</f>
        <v>0</v>
      </c>
      <c r="AP136" s="33">
        <f ca="1">_xll.DBRW($C$1,$C$2,$C$3,$C$4,$C$6,$C$5,$C$7,AP$1,AP$2,$A136)</f>
        <v>0</v>
      </c>
      <c r="AQ136" s="33">
        <f ca="1">_xll.DBRW($C$1,$C$2,$C$3,$C$4,$C$6,$C$5,$C$7,AQ$1,AQ$2,$A136)</f>
        <v>0</v>
      </c>
      <c r="AR136" s="33">
        <f ca="1">_xll.DBRW($C$1,$C$2,$C$3,$C$4,$C$6,$C$5,$C$7,AR$1,AR$2,$A136)</f>
        <v>0</v>
      </c>
      <c r="AS136" s="33">
        <f ca="1">_xll.DBRW($C$1,$C$2,$C$3,$C$4,$C$6,$C$5,$C$7,AS$1,AS$2,$A136)</f>
        <v>0</v>
      </c>
      <c r="AT136" s="33">
        <f ca="1">_xll.DBRW($C$1,$C$2,$C$3,$C$4,$C$6,$C$5,$C$7,AT$1,AT$2,$A136)</f>
        <v>0</v>
      </c>
      <c r="AU136" s="33">
        <f ca="1">_xll.DBRW($C$1,$C$2,$C$3,$C$4,$C$6,$C$5,$C$7,AU$1,AU$2,$A136)</f>
        <v>0</v>
      </c>
      <c r="AV136" s="33">
        <f ca="1">_xll.DBRW($C$1,$C$2,$C$3,$C$4,$C$6,$C$5,$C$7,AV$1,AV$2,$A136)</f>
        <v>0</v>
      </c>
      <c r="AW136" s="33">
        <f ca="1">_xll.DBRW($C$1,$C$2,$C$3,$C$4,$C$6,$C$5,$C$7,AW$1,AW$2,$A136)</f>
        <v>0</v>
      </c>
      <c r="AX136" s="33">
        <f ca="1">_xll.DBRW($C$1,$C$2,$C$3,$C$4,$C$6,$C$5,$C$7,AX$1,AX$2,$A136)</f>
        <v>0</v>
      </c>
      <c r="AY136" s="33">
        <f ca="1">_xll.DBRW($C$1,$C$2,$C$3,$C$4,$C$6,$C$5,$C$7,AY$1,AY$2,$A136)</f>
        <v>0</v>
      </c>
    </row>
    <row r="137" spans="1:51" ht="15.75" hidden="1" customHeight="1" outlineLevel="2">
      <c r="A137" s="1" t="s">
        <v>228</v>
      </c>
      <c r="C137" s="109"/>
      <c r="E137" s="9" t="str">
        <f ca="1">_xll.DBRW(Server&amp;"}ElementAttributes_Indicator",A137,"code_English")</f>
        <v>PL1140_CS_05 - Amortization (CS)</v>
      </c>
      <c r="F137" s="33">
        <f ca="1">_xll.DBRW($C$1,$C$2,$C$3,$C$4,$C$6,$C$5,$C$7,F$1,F$2,$A137)</f>
        <v>0</v>
      </c>
      <c r="G137" s="33">
        <f ca="1">_xll.DBRW($C$1,$C$2,$C$3,$C$4,$C$6,$C$5,$C$7,G$1,G$2,$A137)</f>
        <v>0</v>
      </c>
      <c r="H137" s="33">
        <f ca="1">_xll.DBRW($C$1,$C$2,$C$3,$C$4,$C$6,$C$5,$C$7,H$1,H$2,$A137)</f>
        <v>0</v>
      </c>
      <c r="I137" s="33">
        <f ca="1">_xll.DBRW($C$1,$C$2,$C$3,$C$4,$C$6,$C$5,$C$7,I$1,I$2,$A137)</f>
        <v>0</v>
      </c>
      <c r="J137" s="33">
        <f ca="1">_xll.DBRW($C$1,$C$2,$C$3,$C$4,$C$6,$C$5,$C$7,J$1,J$2,$A137)</f>
        <v>0</v>
      </c>
      <c r="K137" s="33">
        <f ca="1">_xll.DBRW($C$1,$C$2,$C$3,$C$4,$C$6,$C$5,$C$7,K$1,K$2,$A137)</f>
        <v>0</v>
      </c>
      <c r="L137" s="33">
        <f ca="1">_xll.DBRW($C$1,$C$2,$C$3,$C$4,$C$6,$C$5,$C$7,L$1,L$2,$A137)</f>
        <v>0</v>
      </c>
      <c r="M137" s="33">
        <f ca="1">_xll.DBRW($C$1,$C$2,$C$3,$C$4,$C$6,$C$5,$C$7,M$1,M$2,$A137)</f>
        <v>0</v>
      </c>
      <c r="N137" s="33">
        <f ca="1">_xll.DBRW($C$1,$C$2,$C$3,$C$4,$C$6,$C$5,$C$7,N$1,N$2,$A137)</f>
        <v>0</v>
      </c>
      <c r="O137" s="33">
        <f ca="1">_xll.DBRW($C$1,$C$2,$C$3,$C$4,$C$6,$C$5,$C$7,O$1,O$2,$A137)</f>
        <v>0</v>
      </c>
      <c r="P137" s="33">
        <f ca="1">_xll.DBRW($C$1,$C$2,$C$3,$C$4,$C$6,$C$5,$C$7,P$1,P$2,$A137)</f>
        <v>0</v>
      </c>
      <c r="Q137" s="33">
        <f ca="1">_xll.DBRW($C$1,$C$2,$C$3,$C$4,$C$6,$C$5,$C$7,Q$1,Q$2,$A137)</f>
        <v>0</v>
      </c>
      <c r="R137" s="33">
        <f ca="1">_xll.DBRW($C$1,$C$2,$C$3,$C$4,$C$6,$C$5,$C$7,R$1,R$2,$A137)</f>
        <v>0</v>
      </c>
      <c r="S137" s="33">
        <f ca="1">_xll.DBRW($C$1,$C$2,$C$3,$C$4,$C$6,$C$5,$C$7,S$1,S$2,$A137)</f>
        <v>0</v>
      </c>
      <c r="T137" s="33">
        <f ca="1">_xll.DBRW($C$1,$C$2,$C$3,$C$4,$C$6,$C$5,$C$7,T$1,T$2,$A137)</f>
        <v>0</v>
      </c>
      <c r="U137" s="33">
        <f ca="1">_xll.DBRW($C$1,$C$2,$C$3,$C$4,$C$6,$C$5,$C$7,U$1,U$2,$A137)</f>
        <v>0</v>
      </c>
      <c r="V137" s="33">
        <f ca="1">_xll.DBRW($C$1,$C$2,$C$3,$C$4,$C$6,$C$5,$C$7,V$1,V$2,$A137)</f>
        <v>0</v>
      </c>
      <c r="W137" s="33">
        <f ca="1">_xll.DBRW($C$1,$C$2,$C$3,$C$4,$C$6,$C$5,$C$7,W$1,W$2,$A137)</f>
        <v>0</v>
      </c>
      <c r="X137" s="33">
        <f ca="1">_xll.DBRW($C$1,$C$2,$C$3,$C$4,$C$6,$C$5,$C$7,X$1,X$2,$A137)</f>
        <v>0</v>
      </c>
      <c r="Y137" s="33">
        <f ca="1">_xll.DBRW($C$1,$C$2,$C$3,$C$4,$C$6,$C$5,$C$7,Y$1,Y$2,$A137)</f>
        <v>0</v>
      </c>
      <c r="Z137" s="33">
        <f ca="1">_xll.DBRW($C$1,$C$2,$C$3,$C$4,$C$6,$C$5,$C$7,Z$1,Z$2,$A137)</f>
        <v>0</v>
      </c>
      <c r="AA137" s="33">
        <f ca="1">_xll.DBRW($C$1,$C$2,$C$3,$C$4,$C$6,$C$5,$C$7,AA$1,AA$2,$A137)</f>
        <v>0</v>
      </c>
      <c r="AB137" s="33">
        <f ca="1">_xll.DBRW($C$1,$C$2,$C$3,$C$4,$C$6,$C$5,$C$7,AB$1,AB$2,$A137)</f>
        <v>0</v>
      </c>
      <c r="AC137" s="33">
        <f ca="1">_xll.DBRW($C$1,$C$2,$C$3,$C$4,$C$6,$C$5,$C$7,AC$1,AC$2,$A137)</f>
        <v>0</v>
      </c>
      <c r="AD137" s="33">
        <f ca="1">_xll.DBRW($C$1,$C$2,$C$3,$C$4,$C$6,$C$5,$C$7,AD$1,AD$2,$A137)</f>
        <v>0</v>
      </c>
      <c r="AE137" s="33">
        <f ca="1">_xll.DBRW($C$1,$C$2,$C$3,$C$4,$C$6,$C$5,$C$7,AE$1,AE$2,$A137)</f>
        <v>0</v>
      </c>
      <c r="AF137" s="33">
        <f ca="1">_xll.DBRW($C$1,$C$2,$C$3,$C$4,$C$6,$C$5,$C$7,AF$1,AF$2,$A137)</f>
        <v>0</v>
      </c>
      <c r="AG137" s="33">
        <f ca="1">_xll.DBRW($C$1,$C$2,$C$3,$C$4,$C$6,$C$5,$C$7,AG$1,AG$2,$A137)</f>
        <v>0</v>
      </c>
      <c r="AH137" s="33">
        <f ca="1">_xll.DBRW($C$1,$C$2,$C$3,$C$4,$C$6,$C$5,$C$7,AH$1,AH$2,$A137)</f>
        <v>0</v>
      </c>
      <c r="AI137" s="33">
        <f ca="1">_xll.DBRW($C$1,$C$2,$C$3,$C$4,$C$6,$C$5,$C$7,AI$1,AI$2,$A137)</f>
        <v>0</v>
      </c>
      <c r="AJ137" s="33">
        <f ca="1">_xll.DBRW($C$1,$C$2,$C$3,$C$4,$C$6,$C$5,$C$7,AJ$1,AJ$2,$A137)</f>
        <v>0</v>
      </c>
      <c r="AK137" s="33">
        <f ca="1">_xll.DBRW($C$1,$C$2,$C$3,$C$4,$C$6,$C$5,$C$7,AK$1,AK$2,$A137)</f>
        <v>0</v>
      </c>
      <c r="AL137" s="33">
        <f ca="1">_xll.DBRW($C$1,$C$2,$C$3,$C$4,$C$6,$C$5,$C$7,AL$1,AL$2,$A137)</f>
        <v>0</v>
      </c>
      <c r="AM137" s="33">
        <f ca="1">_xll.DBRW($C$1,$C$2,$C$3,$C$4,$C$6,$C$5,$C$7,AM$1,AM$2,$A137)</f>
        <v>0</v>
      </c>
      <c r="AN137" s="33">
        <f ca="1">_xll.DBRW($C$1,$C$2,$C$3,$C$4,$C$6,$C$5,$C$7,AN$1,AN$2,$A137)</f>
        <v>0</v>
      </c>
      <c r="AO137" s="33">
        <f ca="1">_xll.DBRW($C$1,$C$2,$C$3,$C$4,$C$6,$C$5,$C$7,AO$1,AO$2,$A137)</f>
        <v>0</v>
      </c>
      <c r="AP137" s="33">
        <f ca="1">_xll.DBRW($C$1,$C$2,$C$3,$C$4,$C$6,$C$5,$C$7,AP$1,AP$2,$A137)</f>
        <v>0</v>
      </c>
      <c r="AQ137" s="33">
        <f ca="1">_xll.DBRW($C$1,$C$2,$C$3,$C$4,$C$6,$C$5,$C$7,AQ$1,AQ$2,$A137)</f>
        <v>0</v>
      </c>
      <c r="AR137" s="33">
        <f ca="1">_xll.DBRW($C$1,$C$2,$C$3,$C$4,$C$6,$C$5,$C$7,AR$1,AR$2,$A137)</f>
        <v>0</v>
      </c>
      <c r="AS137" s="33">
        <f ca="1">_xll.DBRW($C$1,$C$2,$C$3,$C$4,$C$6,$C$5,$C$7,AS$1,AS$2,$A137)</f>
        <v>0</v>
      </c>
      <c r="AT137" s="33">
        <f ca="1">_xll.DBRW($C$1,$C$2,$C$3,$C$4,$C$6,$C$5,$C$7,AT$1,AT$2,$A137)</f>
        <v>0</v>
      </c>
      <c r="AU137" s="33">
        <f ca="1">_xll.DBRW($C$1,$C$2,$C$3,$C$4,$C$6,$C$5,$C$7,AU$1,AU$2,$A137)</f>
        <v>0</v>
      </c>
      <c r="AV137" s="33">
        <f ca="1">_xll.DBRW($C$1,$C$2,$C$3,$C$4,$C$6,$C$5,$C$7,AV$1,AV$2,$A137)</f>
        <v>0</v>
      </c>
      <c r="AW137" s="33">
        <f ca="1">_xll.DBRW($C$1,$C$2,$C$3,$C$4,$C$6,$C$5,$C$7,AW$1,AW$2,$A137)</f>
        <v>0</v>
      </c>
      <c r="AX137" s="33">
        <f ca="1">_xll.DBRW($C$1,$C$2,$C$3,$C$4,$C$6,$C$5,$C$7,AX$1,AX$2,$A137)</f>
        <v>0</v>
      </c>
      <c r="AY137" s="33">
        <f ca="1">_xll.DBRW($C$1,$C$2,$C$3,$C$4,$C$6,$C$5,$C$7,AY$1,AY$2,$A137)</f>
        <v>0</v>
      </c>
    </row>
    <row r="138" spans="1:51" ht="15.75" hidden="1" customHeight="1" outlineLevel="2">
      <c r="A138" s="1" t="s">
        <v>229</v>
      </c>
      <c r="C138" s="109"/>
      <c r="E138" s="9" t="str">
        <f ca="1">_xll.DBRW(Server&amp;"}ElementAttributes_Indicator",A138,"code_English")</f>
        <v>PL1150_CS_10 - Impairment (other than working capital) and provisions - related to staff costs (CS)</v>
      </c>
      <c r="F138" s="33">
        <f ca="1">_xll.DBRW($C$1,$C$2,$C$3,$C$4,$C$6,$C$5,$C$7,F$1,F$2,$A138)</f>
        <v>0</v>
      </c>
      <c r="G138" s="33">
        <f ca="1">_xll.DBRW($C$1,$C$2,$C$3,$C$4,$C$6,$C$5,$C$7,G$1,G$2,$A138)</f>
        <v>0</v>
      </c>
      <c r="H138" s="33">
        <f ca="1">_xll.DBRW($C$1,$C$2,$C$3,$C$4,$C$6,$C$5,$C$7,H$1,H$2,$A138)</f>
        <v>0</v>
      </c>
      <c r="I138" s="33">
        <f ca="1">_xll.DBRW($C$1,$C$2,$C$3,$C$4,$C$6,$C$5,$C$7,I$1,I$2,$A138)</f>
        <v>0</v>
      </c>
      <c r="J138" s="33">
        <f ca="1">_xll.DBRW($C$1,$C$2,$C$3,$C$4,$C$6,$C$5,$C$7,J$1,J$2,$A138)</f>
        <v>0</v>
      </c>
      <c r="K138" s="33">
        <f ca="1">_xll.DBRW($C$1,$C$2,$C$3,$C$4,$C$6,$C$5,$C$7,K$1,K$2,$A138)</f>
        <v>0</v>
      </c>
      <c r="L138" s="33">
        <f ca="1">_xll.DBRW($C$1,$C$2,$C$3,$C$4,$C$6,$C$5,$C$7,L$1,L$2,$A138)</f>
        <v>0</v>
      </c>
      <c r="M138" s="33">
        <f ca="1">_xll.DBRW($C$1,$C$2,$C$3,$C$4,$C$6,$C$5,$C$7,M$1,M$2,$A138)</f>
        <v>0</v>
      </c>
      <c r="N138" s="33">
        <f ca="1">_xll.DBRW($C$1,$C$2,$C$3,$C$4,$C$6,$C$5,$C$7,N$1,N$2,$A138)</f>
        <v>0</v>
      </c>
      <c r="O138" s="33">
        <f ca="1">_xll.DBRW($C$1,$C$2,$C$3,$C$4,$C$6,$C$5,$C$7,O$1,O$2,$A138)</f>
        <v>0</v>
      </c>
      <c r="P138" s="33">
        <f ca="1">_xll.DBRW($C$1,$C$2,$C$3,$C$4,$C$6,$C$5,$C$7,P$1,P$2,$A138)</f>
        <v>0</v>
      </c>
      <c r="Q138" s="33">
        <f ca="1">_xll.DBRW($C$1,$C$2,$C$3,$C$4,$C$6,$C$5,$C$7,Q$1,Q$2,$A138)</f>
        <v>0</v>
      </c>
      <c r="R138" s="33">
        <f ca="1">_xll.DBRW($C$1,$C$2,$C$3,$C$4,$C$6,$C$5,$C$7,R$1,R$2,$A138)</f>
        <v>0</v>
      </c>
      <c r="S138" s="33">
        <f ca="1">_xll.DBRW($C$1,$C$2,$C$3,$C$4,$C$6,$C$5,$C$7,S$1,S$2,$A138)</f>
        <v>0</v>
      </c>
      <c r="T138" s="33">
        <f ca="1">_xll.DBRW($C$1,$C$2,$C$3,$C$4,$C$6,$C$5,$C$7,T$1,T$2,$A138)</f>
        <v>0</v>
      </c>
      <c r="U138" s="33">
        <f ca="1">_xll.DBRW($C$1,$C$2,$C$3,$C$4,$C$6,$C$5,$C$7,U$1,U$2,$A138)</f>
        <v>0</v>
      </c>
      <c r="V138" s="33">
        <f ca="1">_xll.DBRW($C$1,$C$2,$C$3,$C$4,$C$6,$C$5,$C$7,V$1,V$2,$A138)</f>
        <v>0</v>
      </c>
      <c r="W138" s="33">
        <f ca="1">_xll.DBRW($C$1,$C$2,$C$3,$C$4,$C$6,$C$5,$C$7,W$1,W$2,$A138)</f>
        <v>0</v>
      </c>
      <c r="X138" s="33">
        <f ca="1">_xll.DBRW($C$1,$C$2,$C$3,$C$4,$C$6,$C$5,$C$7,X$1,X$2,$A138)</f>
        <v>0</v>
      </c>
      <c r="Y138" s="33">
        <f ca="1">_xll.DBRW($C$1,$C$2,$C$3,$C$4,$C$6,$C$5,$C$7,Y$1,Y$2,$A138)</f>
        <v>0</v>
      </c>
      <c r="Z138" s="33">
        <f ca="1">_xll.DBRW($C$1,$C$2,$C$3,$C$4,$C$6,$C$5,$C$7,Z$1,Z$2,$A138)</f>
        <v>0</v>
      </c>
      <c r="AA138" s="33">
        <f ca="1">_xll.DBRW($C$1,$C$2,$C$3,$C$4,$C$6,$C$5,$C$7,AA$1,AA$2,$A138)</f>
        <v>0</v>
      </c>
      <c r="AB138" s="33">
        <f ca="1">_xll.DBRW($C$1,$C$2,$C$3,$C$4,$C$6,$C$5,$C$7,AB$1,AB$2,$A138)</f>
        <v>0</v>
      </c>
      <c r="AC138" s="33">
        <f ca="1">_xll.DBRW($C$1,$C$2,$C$3,$C$4,$C$6,$C$5,$C$7,AC$1,AC$2,$A138)</f>
        <v>0</v>
      </c>
      <c r="AD138" s="33">
        <f ca="1">_xll.DBRW($C$1,$C$2,$C$3,$C$4,$C$6,$C$5,$C$7,AD$1,AD$2,$A138)</f>
        <v>0</v>
      </c>
      <c r="AE138" s="33">
        <f ca="1">_xll.DBRW($C$1,$C$2,$C$3,$C$4,$C$6,$C$5,$C$7,AE$1,AE$2,$A138)</f>
        <v>0</v>
      </c>
      <c r="AF138" s="33">
        <f ca="1">_xll.DBRW($C$1,$C$2,$C$3,$C$4,$C$6,$C$5,$C$7,AF$1,AF$2,$A138)</f>
        <v>0</v>
      </c>
      <c r="AG138" s="33">
        <f ca="1">_xll.DBRW($C$1,$C$2,$C$3,$C$4,$C$6,$C$5,$C$7,AG$1,AG$2,$A138)</f>
        <v>0</v>
      </c>
      <c r="AH138" s="33">
        <f ca="1">_xll.DBRW($C$1,$C$2,$C$3,$C$4,$C$6,$C$5,$C$7,AH$1,AH$2,$A138)</f>
        <v>0</v>
      </c>
      <c r="AI138" s="33">
        <f ca="1">_xll.DBRW($C$1,$C$2,$C$3,$C$4,$C$6,$C$5,$C$7,AI$1,AI$2,$A138)</f>
        <v>0</v>
      </c>
      <c r="AJ138" s="33">
        <f ca="1">_xll.DBRW($C$1,$C$2,$C$3,$C$4,$C$6,$C$5,$C$7,AJ$1,AJ$2,$A138)</f>
        <v>0</v>
      </c>
      <c r="AK138" s="33">
        <f ca="1">_xll.DBRW($C$1,$C$2,$C$3,$C$4,$C$6,$C$5,$C$7,AK$1,AK$2,$A138)</f>
        <v>0</v>
      </c>
      <c r="AL138" s="33">
        <f ca="1">_xll.DBRW($C$1,$C$2,$C$3,$C$4,$C$6,$C$5,$C$7,AL$1,AL$2,$A138)</f>
        <v>0</v>
      </c>
      <c r="AM138" s="33">
        <f ca="1">_xll.DBRW($C$1,$C$2,$C$3,$C$4,$C$6,$C$5,$C$7,AM$1,AM$2,$A138)</f>
        <v>0</v>
      </c>
      <c r="AN138" s="33">
        <f ca="1">_xll.DBRW($C$1,$C$2,$C$3,$C$4,$C$6,$C$5,$C$7,AN$1,AN$2,$A138)</f>
        <v>0</v>
      </c>
      <c r="AO138" s="33">
        <f ca="1">_xll.DBRW($C$1,$C$2,$C$3,$C$4,$C$6,$C$5,$C$7,AO$1,AO$2,$A138)</f>
        <v>0</v>
      </c>
      <c r="AP138" s="33">
        <f ca="1">_xll.DBRW($C$1,$C$2,$C$3,$C$4,$C$6,$C$5,$C$7,AP$1,AP$2,$A138)</f>
        <v>0</v>
      </c>
      <c r="AQ138" s="33">
        <f ca="1">_xll.DBRW($C$1,$C$2,$C$3,$C$4,$C$6,$C$5,$C$7,AQ$1,AQ$2,$A138)</f>
        <v>0</v>
      </c>
      <c r="AR138" s="33">
        <f ca="1">_xll.DBRW($C$1,$C$2,$C$3,$C$4,$C$6,$C$5,$C$7,AR$1,AR$2,$A138)</f>
        <v>0</v>
      </c>
      <c r="AS138" s="33">
        <f ca="1">_xll.DBRW($C$1,$C$2,$C$3,$C$4,$C$6,$C$5,$C$7,AS$1,AS$2,$A138)</f>
        <v>0</v>
      </c>
      <c r="AT138" s="33">
        <f ca="1">_xll.DBRW($C$1,$C$2,$C$3,$C$4,$C$6,$C$5,$C$7,AT$1,AT$2,$A138)</f>
        <v>0</v>
      </c>
      <c r="AU138" s="33">
        <f ca="1">_xll.DBRW($C$1,$C$2,$C$3,$C$4,$C$6,$C$5,$C$7,AU$1,AU$2,$A138)</f>
        <v>0</v>
      </c>
      <c r="AV138" s="33">
        <f ca="1">_xll.DBRW($C$1,$C$2,$C$3,$C$4,$C$6,$C$5,$C$7,AV$1,AV$2,$A138)</f>
        <v>0</v>
      </c>
      <c r="AW138" s="33">
        <f ca="1">_xll.DBRW($C$1,$C$2,$C$3,$C$4,$C$6,$C$5,$C$7,AW$1,AW$2,$A138)</f>
        <v>0</v>
      </c>
      <c r="AX138" s="33">
        <f ca="1">_xll.DBRW($C$1,$C$2,$C$3,$C$4,$C$6,$C$5,$C$7,AX$1,AX$2,$A138)</f>
        <v>0</v>
      </c>
      <c r="AY138" s="33">
        <f ca="1">_xll.DBRW($C$1,$C$2,$C$3,$C$4,$C$6,$C$5,$C$7,AY$1,AY$2,$A138)</f>
        <v>0</v>
      </c>
    </row>
    <row r="139" spans="1:51" ht="15.75" hidden="1" customHeight="1" outlineLevel="2">
      <c r="A139" s="1" t="s">
        <v>230</v>
      </c>
      <c r="C139" s="109"/>
      <c r="E139" s="9" t="str">
        <f ca="1">_xll.DBRW(Server&amp;"}ElementAttributes_Indicator",A139,"code_English")</f>
        <v>PL1150_CS_11 - Impairment (other than working capital) and provisions - related to staff costs - Reversal (CS)</v>
      </c>
      <c r="F139" s="33">
        <f ca="1">_xll.DBRW($C$1,$C$2,$C$3,$C$4,$C$6,$C$5,$C$7,F$1,F$2,$A139)</f>
        <v>0</v>
      </c>
      <c r="G139" s="33">
        <f ca="1">_xll.DBRW($C$1,$C$2,$C$3,$C$4,$C$6,$C$5,$C$7,G$1,G$2,$A139)</f>
        <v>0</v>
      </c>
      <c r="H139" s="33">
        <f ca="1">_xll.DBRW($C$1,$C$2,$C$3,$C$4,$C$6,$C$5,$C$7,H$1,H$2,$A139)</f>
        <v>0</v>
      </c>
      <c r="I139" s="33">
        <f ca="1">_xll.DBRW($C$1,$C$2,$C$3,$C$4,$C$6,$C$5,$C$7,I$1,I$2,$A139)</f>
        <v>0</v>
      </c>
      <c r="J139" s="33">
        <f ca="1">_xll.DBRW($C$1,$C$2,$C$3,$C$4,$C$6,$C$5,$C$7,J$1,J$2,$A139)</f>
        <v>0</v>
      </c>
      <c r="K139" s="33">
        <f ca="1">_xll.DBRW($C$1,$C$2,$C$3,$C$4,$C$6,$C$5,$C$7,K$1,K$2,$A139)</f>
        <v>0</v>
      </c>
      <c r="L139" s="33">
        <f ca="1">_xll.DBRW($C$1,$C$2,$C$3,$C$4,$C$6,$C$5,$C$7,L$1,L$2,$A139)</f>
        <v>0</v>
      </c>
      <c r="M139" s="33">
        <f ca="1">_xll.DBRW($C$1,$C$2,$C$3,$C$4,$C$6,$C$5,$C$7,M$1,M$2,$A139)</f>
        <v>0</v>
      </c>
      <c r="N139" s="33">
        <f ca="1">_xll.DBRW($C$1,$C$2,$C$3,$C$4,$C$6,$C$5,$C$7,N$1,N$2,$A139)</f>
        <v>0</v>
      </c>
      <c r="O139" s="33">
        <f ca="1">_xll.DBRW($C$1,$C$2,$C$3,$C$4,$C$6,$C$5,$C$7,O$1,O$2,$A139)</f>
        <v>0</v>
      </c>
      <c r="P139" s="33">
        <f ca="1">_xll.DBRW($C$1,$C$2,$C$3,$C$4,$C$6,$C$5,$C$7,P$1,P$2,$A139)</f>
        <v>0</v>
      </c>
      <c r="Q139" s="33">
        <f ca="1">_xll.DBRW($C$1,$C$2,$C$3,$C$4,$C$6,$C$5,$C$7,Q$1,Q$2,$A139)</f>
        <v>0</v>
      </c>
      <c r="R139" s="33">
        <f ca="1">_xll.DBRW($C$1,$C$2,$C$3,$C$4,$C$6,$C$5,$C$7,R$1,R$2,$A139)</f>
        <v>0</v>
      </c>
      <c r="S139" s="33">
        <f ca="1">_xll.DBRW($C$1,$C$2,$C$3,$C$4,$C$6,$C$5,$C$7,S$1,S$2,$A139)</f>
        <v>0</v>
      </c>
      <c r="T139" s="33">
        <f ca="1">_xll.DBRW($C$1,$C$2,$C$3,$C$4,$C$6,$C$5,$C$7,T$1,T$2,$A139)</f>
        <v>0</v>
      </c>
      <c r="U139" s="33">
        <f ca="1">_xll.DBRW($C$1,$C$2,$C$3,$C$4,$C$6,$C$5,$C$7,U$1,U$2,$A139)</f>
        <v>0</v>
      </c>
      <c r="V139" s="33">
        <f ca="1">_xll.DBRW($C$1,$C$2,$C$3,$C$4,$C$6,$C$5,$C$7,V$1,V$2,$A139)</f>
        <v>0</v>
      </c>
      <c r="W139" s="33">
        <f ca="1">_xll.DBRW($C$1,$C$2,$C$3,$C$4,$C$6,$C$5,$C$7,W$1,W$2,$A139)</f>
        <v>0</v>
      </c>
      <c r="X139" s="33">
        <f ca="1">_xll.DBRW($C$1,$C$2,$C$3,$C$4,$C$6,$C$5,$C$7,X$1,X$2,$A139)</f>
        <v>0</v>
      </c>
      <c r="Y139" s="33">
        <f ca="1">_xll.DBRW($C$1,$C$2,$C$3,$C$4,$C$6,$C$5,$C$7,Y$1,Y$2,$A139)</f>
        <v>0</v>
      </c>
      <c r="Z139" s="33">
        <f ca="1">_xll.DBRW($C$1,$C$2,$C$3,$C$4,$C$6,$C$5,$C$7,Z$1,Z$2,$A139)</f>
        <v>0</v>
      </c>
      <c r="AA139" s="33">
        <f ca="1">_xll.DBRW($C$1,$C$2,$C$3,$C$4,$C$6,$C$5,$C$7,AA$1,AA$2,$A139)</f>
        <v>0</v>
      </c>
      <c r="AB139" s="33">
        <f ca="1">_xll.DBRW($C$1,$C$2,$C$3,$C$4,$C$6,$C$5,$C$7,AB$1,AB$2,$A139)</f>
        <v>0</v>
      </c>
      <c r="AC139" s="33">
        <f ca="1">_xll.DBRW($C$1,$C$2,$C$3,$C$4,$C$6,$C$5,$C$7,AC$1,AC$2,$A139)</f>
        <v>0</v>
      </c>
      <c r="AD139" s="33">
        <f ca="1">_xll.DBRW($C$1,$C$2,$C$3,$C$4,$C$6,$C$5,$C$7,AD$1,AD$2,$A139)</f>
        <v>0</v>
      </c>
      <c r="AE139" s="33">
        <f ca="1">_xll.DBRW($C$1,$C$2,$C$3,$C$4,$C$6,$C$5,$C$7,AE$1,AE$2,$A139)</f>
        <v>0</v>
      </c>
      <c r="AF139" s="33">
        <f ca="1">_xll.DBRW($C$1,$C$2,$C$3,$C$4,$C$6,$C$5,$C$7,AF$1,AF$2,$A139)</f>
        <v>0</v>
      </c>
      <c r="AG139" s="33">
        <f ca="1">_xll.DBRW($C$1,$C$2,$C$3,$C$4,$C$6,$C$5,$C$7,AG$1,AG$2,$A139)</f>
        <v>0</v>
      </c>
      <c r="AH139" s="33">
        <f ca="1">_xll.DBRW($C$1,$C$2,$C$3,$C$4,$C$6,$C$5,$C$7,AH$1,AH$2,$A139)</f>
        <v>0</v>
      </c>
      <c r="AI139" s="33">
        <f ca="1">_xll.DBRW($C$1,$C$2,$C$3,$C$4,$C$6,$C$5,$C$7,AI$1,AI$2,$A139)</f>
        <v>0</v>
      </c>
      <c r="AJ139" s="33">
        <f ca="1">_xll.DBRW($C$1,$C$2,$C$3,$C$4,$C$6,$C$5,$C$7,AJ$1,AJ$2,$A139)</f>
        <v>0</v>
      </c>
      <c r="AK139" s="33">
        <f ca="1">_xll.DBRW($C$1,$C$2,$C$3,$C$4,$C$6,$C$5,$C$7,AK$1,AK$2,$A139)</f>
        <v>0</v>
      </c>
      <c r="AL139" s="33">
        <f ca="1">_xll.DBRW($C$1,$C$2,$C$3,$C$4,$C$6,$C$5,$C$7,AL$1,AL$2,$A139)</f>
        <v>0</v>
      </c>
      <c r="AM139" s="33">
        <f ca="1">_xll.DBRW($C$1,$C$2,$C$3,$C$4,$C$6,$C$5,$C$7,AM$1,AM$2,$A139)</f>
        <v>0</v>
      </c>
      <c r="AN139" s="33">
        <f ca="1">_xll.DBRW($C$1,$C$2,$C$3,$C$4,$C$6,$C$5,$C$7,AN$1,AN$2,$A139)</f>
        <v>0</v>
      </c>
      <c r="AO139" s="33">
        <f ca="1">_xll.DBRW($C$1,$C$2,$C$3,$C$4,$C$6,$C$5,$C$7,AO$1,AO$2,$A139)</f>
        <v>0</v>
      </c>
      <c r="AP139" s="33">
        <f ca="1">_xll.DBRW($C$1,$C$2,$C$3,$C$4,$C$6,$C$5,$C$7,AP$1,AP$2,$A139)</f>
        <v>0</v>
      </c>
      <c r="AQ139" s="33">
        <f ca="1">_xll.DBRW($C$1,$C$2,$C$3,$C$4,$C$6,$C$5,$C$7,AQ$1,AQ$2,$A139)</f>
        <v>0</v>
      </c>
      <c r="AR139" s="33">
        <f ca="1">_xll.DBRW($C$1,$C$2,$C$3,$C$4,$C$6,$C$5,$C$7,AR$1,AR$2,$A139)</f>
        <v>0</v>
      </c>
      <c r="AS139" s="33">
        <f ca="1">_xll.DBRW($C$1,$C$2,$C$3,$C$4,$C$6,$C$5,$C$7,AS$1,AS$2,$A139)</f>
        <v>0</v>
      </c>
      <c r="AT139" s="33">
        <f ca="1">_xll.DBRW($C$1,$C$2,$C$3,$C$4,$C$6,$C$5,$C$7,AT$1,AT$2,$A139)</f>
        <v>0</v>
      </c>
      <c r="AU139" s="33">
        <f ca="1">_xll.DBRW($C$1,$C$2,$C$3,$C$4,$C$6,$C$5,$C$7,AU$1,AU$2,$A139)</f>
        <v>0</v>
      </c>
      <c r="AV139" s="33">
        <f ca="1">_xll.DBRW($C$1,$C$2,$C$3,$C$4,$C$6,$C$5,$C$7,AV$1,AV$2,$A139)</f>
        <v>0</v>
      </c>
      <c r="AW139" s="33">
        <f ca="1">_xll.DBRW($C$1,$C$2,$C$3,$C$4,$C$6,$C$5,$C$7,AW$1,AW$2,$A139)</f>
        <v>0</v>
      </c>
      <c r="AX139" s="33">
        <f ca="1">_xll.DBRW($C$1,$C$2,$C$3,$C$4,$C$6,$C$5,$C$7,AX$1,AX$2,$A139)</f>
        <v>0</v>
      </c>
      <c r="AY139" s="33">
        <f ca="1">_xll.DBRW($C$1,$C$2,$C$3,$C$4,$C$6,$C$5,$C$7,AY$1,AY$2,$A139)</f>
        <v>0</v>
      </c>
    </row>
    <row r="140" spans="1:51" ht="15.75" hidden="1" customHeight="1" outlineLevel="2">
      <c r="A140" s="1" t="s">
        <v>231</v>
      </c>
      <c r="C140" s="109"/>
      <c r="E140" s="9" t="str">
        <f ca="1">_xll.DBRW(Server&amp;"}ElementAttributes_Indicator",A140,"code_English")</f>
        <v>PL1150_CS_90 - Impairment (other than working capital) and provisions - others (CS)</v>
      </c>
      <c r="F140" s="33">
        <f ca="1">_xll.DBRW($C$1,$C$2,$C$3,$C$4,$C$6,$C$5,$C$7,F$1,F$2,$A140)</f>
        <v>0</v>
      </c>
      <c r="G140" s="33">
        <f ca="1">_xll.DBRW($C$1,$C$2,$C$3,$C$4,$C$6,$C$5,$C$7,G$1,G$2,$A140)</f>
        <v>0</v>
      </c>
      <c r="H140" s="33">
        <f ca="1">_xll.DBRW($C$1,$C$2,$C$3,$C$4,$C$6,$C$5,$C$7,H$1,H$2,$A140)</f>
        <v>0</v>
      </c>
      <c r="I140" s="33">
        <f ca="1">_xll.DBRW($C$1,$C$2,$C$3,$C$4,$C$6,$C$5,$C$7,I$1,I$2,$A140)</f>
        <v>0</v>
      </c>
      <c r="J140" s="33">
        <f ca="1">_xll.DBRW($C$1,$C$2,$C$3,$C$4,$C$6,$C$5,$C$7,J$1,J$2,$A140)</f>
        <v>0</v>
      </c>
      <c r="K140" s="33">
        <f ca="1">_xll.DBRW($C$1,$C$2,$C$3,$C$4,$C$6,$C$5,$C$7,K$1,K$2,$A140)</f>
        <v>0</v>
      </c>
      <c r="L140" s="33">
        <f ca="1">_xll.DBRW($C$1,$C$2,$C$3,$C$4,$C$6,$C$5,$C$7,L$1,L$2,$A140)</f>
        <v>0</v>
      </c>
      <c r="M140" s="33">
        <f ca="1">_xll.DBRW($C$1,$C$2,$C$3,$C$4,$C$6,$C$5,$C$7,M$1,M$2,$A140)</f>
        <v>0</v>
      </c>
      <c r="N140" s="33">
        <f ca="1">_xll.DBRW($C$1,$C$2,$C$3,$C$4,$C$6,$C$5,$C$7,N$1,N$2,$A140)</f>
        <v>0</v>
      </c>
      <c r="O140" s="33">
        <f ca="1">_xll.DBRW($C$1,$C$2,$C$3,$C$4,$C$6,$C$5,$C$7,O$1,O$2,$A140)</f>
        <v>0</v>
      </c>
      <c r="P140" s="33">
        <f ca="1">_xll.DBRW($C$1,$C$2,$C$3,$C$4,$C$6,$C$5,$C$7,P$1,P$2,$A140)</f>
        <v>0</v>
      </c>
      <c r="Q140" s="33">
        <f ca="1">_xll.DBRW($C$1,$C$2,$C$3,$C$4,$C$6,$C$5,$C$7,Q$1,Q$2,$A140)</f>
        <v>0</v>
      </c>
      <c r="R140" s="33">
        <f ca="1">_xll.DBRW($C$1,$C$2,$C$3,$C$4,$C$6,$C$5,$C$7,R$1,R$2,$A140)</f>
        <v>0</v>
      </c>
      <c r="S140" s="33">
        <f ca="1">_xll.DBRW($C$1,$C$2,$C$3,$C$4,$C$6,$C$5,$C$7,S$1,S$2,$A140)</f>
        <v>0</v>
      </c>
      <c r="T140" s="33">
        <f ca="1">_xll.DBRW($C$1,$C$2,$C$3,$C$4,$C$6,$C$5,$C$7,T$1,T$2,$A140)</f>
        <v>0</v>
      </c>
      <c r="U140" s="33">
        <f ca="1">_xll.DBRW($C$1,$C$2,$C$3,$C$4,$C$6,$C$5,$C$7,U$1,U$2,$A140)</f>
        <v>0</v>
      </c>
      <c r="V140" s="33">
        <f ca="1">_xll.DBRW($C$1,$C$2,$C$3,$C$4,$C$6,$C$5,$C$7,V$1,V$2,$A140)</f>
        <v>0</v>
      </c>
      <c r="W140" s="33">
        <f ca="1">_xll.DBRW($C$1,$C$2,$C$3,$C$4,$C$6,$C$5,$C$7,W$1,W$2,$A140)</f>
        <v>0</v>
      </c>
      <c r="X140" s="33">
        <f ca="1">_xll.DBRW($C$1,$C$2,$C$3,$C$4,$C$6,$C$5,$C$7,X$1,X$2,$A140)</f>
        <v>0</v>
      </c>
      <c r="Y140" s="33">
        <f ca="1">_xll.DBRW($C$1,$C$2,$C$3,$C$4,$C$6,$C$5,$C$7,Y$1,Y$2,$A140)</f>
        <v>0</v>
      </c>
      <c r="Z140" s="33">
        <f ca="1">_xll.DBRW($C$1,$C$2,$C$3,$C$4,$C$6,$C$5,$C$7,Z$1,Z$2,$A140)</f>
        <v>0</v>
      </c>
      <c r="AA140" s="33">
        <f ca="1">_xll.DBRW($C$1,$C$2,$C$3,$C$4,$C$6,$C$5,$C$7,AA$1,AA$2,$A140)</f>
        <v>0</v>
      </c>
      <c r="AB140" s="33">
        <f ca="1">_xll.DBRW($C$1,$C$2,$C$3,$C$4,$C$6,$C$5,$C$7,AB$1,AB$2,$A140)</f>
        <v>0</v>
      </c>
      <c r="AC140" s="33">
        <f ca="1">_xll.DBRW($C$1,$C$2,$C$3,$C$4,$C$6,$C$5,$C$7,AC$1,AC$2,$A140)</f>
        <v>0</v>
      </c>
      <c r="AD140" s="33">
        <f ca="1">_xll.DBRW($C$1,$C$2,$C$3,$C$4,$C$6,$C$5,$C$7,AD$1,AD$2,$A140)</f>
        <v>0</v>
      </c>
      <c r="AE140" s="33">
        <f ca="1">_xll.DBRW($C$1,$C$2,$C$3,$C$4,$C$6,$C$5,$C$7,AE$1,AE$2,$A140)</f>
        <v>0</v>
      </c>
      <c r="AF140" s="33">
        <f ca="1">_xll.DBRW($C$1,$C$2,$C$3,$C$4,$C$6,$C$5,$C$7,AF$1,AF$2,$A140)</f>
        <v>0</v>
      </c>
      <c r="AG140" s="33">
        <f ca="1">_xll.DBRW($C$1,$C$2,$C$3,$C$4,$C$6,$C$5,$C$7,AG$1,AG$2,$A140)</f>
        <v>0</v>
      </c>
      <c r="AH140" s="33">
        <f ca="1">_xll.DBRW($C$1,$C$2,$C$3,$C$4,$C$6,$C$5,$C$7,AH$1,AH$2,$A140)</f>
        <v>0</v>
      </c>
      <c r="AI140" s="33">
        <f ca="1">_xll.DBRW($C$1,$C$2,$C$3,$C$4,$C$6,$C$5,$C$7,AI$1,AI$2,$A140)</f>
        <v>0</v>
      </c>
      <c r="AJ140" s="33">
        <f ca="1">_xll.DBRW($C$1,$C$2,$C$3,$C$4,$C$6,$C$5,$C$7,AJ$1,AJ$2,$A140)</f>
        <v>0</v>
      </c>
      <c r="AK140" s="33">
        <f ca="1">_xll.DBRW($C$1,$C$2,$C$3,$C$4,$C$6,$C$5,$C$7,AK$1,AK$2,$A140)</f>
        <v>0</v>
      </c>
      <c r="AL140" s="33">
        <f ca="1">_xll.DBRW($C$1,$C$2,$C$3,$C$4,$C$6,$C$5,$C$7,AL$1,AL$2,$A140)</f>
        <v>0</v>
      </c>
      <c r="AM140" s="33">
        <f ca="1">_xll.DBRW($C$1,$C$2,$C$3,$C$4,$C$6,$C$5,$C$7,AM$1,AM$2,$A140)</f>
        <v>0</v>
      </c>
      <c r="AN140" s="33">
        <f ca="1">_xll.DBRW($C$1,$C$2,$C$3,$C$4,$C$6,$C$5,$C$7,AN$1,AN$2,$A140)</f>
        <v>0</v>
      </c>
      <c r="AO140" s="33">
        <f ca="1">_xll.DBRW($C$1,$C$2,$C$3,$C$4,$C$6,$C$5,$C$7,AO$1,AO$2,$A140)</f>
        <v>0</v>
      </c>
      <c r="AP140" s="33">
        <f ca="1">_xll.DBRW($C$1,$C$2,$C$3,$C$4,$C$6,$C$5,$C$7,AP$1,AP$2,$A140)</f>
        <v>0</v>
      </c>
      <c r="AQ140" s="33">
        <f ca="1">_xll.DBRW($C$1,$C$2,$C$3,$C$4,$C$6,$C$5,$C$7,AQ$1,AQ$2,$A140)</f>
        <v>0</v>
      </c>
      <c r="AR140" s="33">
        <f ca="1">_xll.DBRW($C$1,$C$2,$C$3,$C$4,$C$6,$C$5,$C$7,AR$1,AR$2,$A140)</f>
        <v>0</v>
      </c>
      <c r="AS140" s="33">
        <f ca="1">_xll.DBRW($C$1,$C$2,$C$3,$C$4,$C$6,$C$5,$C$7,AS$1,AS$2,$A140)</f>
        <v>0</v>
      </c>
      <c r="AT140" s="33">
        <f ca="1">_xll.DBRW($C$1,$C$2,$C$3,$C$4,$C$6,$C$5,$C$7,AT$1,AT$2,$A140)</f>
        <v>0</v>
      </c>
      <c r="AU140" s="33">
        <f ca="1">_xll.DBRW($C$1,$C$2,$C$3,$C$4,$C$6,$C$5,$C$7,AU$1,AU$2,$A140)</f>
        <v>0</v>
      </c>
      <c r="AV140" s="33">
        <f ca="1">_xll.DBRW($C$1,$C$2,$C$3,$C$4,$C$6,$C$5,$C$7,AV$1,AV$2,$A140)</f>
        <v>0</v>
      </c>
      <c r="AW140" s="33">
        <f ca="1">_xll.DBRW($C$1,$C$2,$C$3,$C$4,$C$6,$C$5,$C$7,AW$1,AW$2,$A140)</f>
        <v>0</v>
      </c>
      <c r="AX140" s="33">
        <f ca="1">_xll.DBRW($C$1,$C$2,$C$3,$C$4,$C$6,$C$5,$C$7,AX$1,AX$2,$A140)</f>
        <v>0</v>
      </c>
      <c r="AY140" s="33">
        <f ca="1">_xll.DBRW($C$1,$C$2,$C$3,$C$4,$C$6,$C$5,$C$7,AY$1,AY$2,$A140)</f>
        <v>0</v>
      </c>
    </row>
    <row r="141" spans="1:51" ht="15.5" hidden="1" outlineLevel="1" collapsed="1">
      <c r="A141" s="1" t="s">
        <v>232</v>
      </c>
      <c r="C141" s="109"/>
      <c r="E141" s="96" t="s">
        <v>379</v>
      </c>
      <c r="F141" s="34">
        <f t="shared" ref="F141:L141" ca="1" si="95">SUM(F133:F140)</f>
        <v>0</v>
      </c>
      <c r="G141" s="34">
        <f t="shared" ca="1" si="95"/>
        <v>0</v>
      </c>
      <c r="H141" s="34">
        <f t="shared" ca="1" si="95"/>
        <v>0</v>
      </c>
      <c r="I141" s="34">
        <f t="shared" ca="1" si="95"/>
        <v>0</v>
      </c>
      <c r="J141" s="34">
        <f t="shared" ca="1" si="95"/>
        <v>0</v>
      </c>
      <c r="K141" s="34">
        <f t="shared" ca="1" si="95"/>
        <v>0</v>
      </c>
      <c r="L141" s="34">
        <f t="shared" ca="1" si="95"/>
        <v>0</v>
      </c>
      <c r="M141" s="34">
        <f t="shared" ref="M141:X141" ca="1" si="96">SUM(M133:M140)</f>
        <v>0</v>
      </c>
      <c r="N141" s="34">
        <f t="shared" ca="1" si="96"/>
        <v>0</v>
      </c>
      <c r="O141" s="34">
        <f t="shared" ca="1" si="96"/>
        <v>0</v>
      </c>
      <c r="P141" s="34">
        <f t="shared" ca="1" si="96"/>
        <v>0</v>
      </c>
      <c r="Q141" s="34">
        <f t="shared" ca="1" si="96"/>
        <v>0</v>
      </c>
      <c r="R141" s="34">
        <f t="shared" ca="1" si="96"/>
        <v>0</v>
      </c>
      <c r="S141" s="34">
        <f t="shared" ca="1" si="96"/>
        <v>0</v>
      </c>
      <c r="T141" s="34">
        <f t="shared" ca="1" si="96"/>
        <v>0</v>
      </c>
      <c r="U141" s="34">
        <f t="shared" ca="1" si="96"/>
        <v>0</v>
      </c>
      <c r="V141" s="34">
        <f t="shared" ca="1" si="96"/>
        <v>0</v>
      </c>
      <c r="W141" s="34">
        <f t="shared" ca="1" si="96"/>
        <v>0</v>
      </c>
      <c r="X141" s="34">
        <f t="shared" ca="1" si="96"/>
        <v>0</v>
      </c>
      <c r="Y141" s="34">
        <f ca="1">SUM(Y133:Y140)</f>
        <v>0</v>
      </c>
      <c r="Z141" s="34">
        <f t="shared" ref="Z141:AK141" ca="1" si="97">SUM(Z133:Z140)</f>
        <v>0</v>
      </c>
      <c r="AA141" s="34">
        <f t="shared" ca="1" si="97"/>
        <v>0</v>
      </c>
      <c r="AB141" s="34">
        <f t="shared" ca="1" si="97"/>
        <v>0</v>
      </c>
      <c r="AC141" s="34">
        <f t="shared" ca="1" si="97"/>
        <v>0</v>
      </c>
      <c r="AD141" s="34">
        <f t="shared" ca="1" si="97"/>
        <v>0</v>
      </c>
      <c r="AE141" s="34">
        <f t="shared" ca="1" si="97"/>
        <v>0</v>
      </c>
      <c r="AF141" s="34">
        <f t="shared" ca="1" si="97"/>
        <v>0</v>
      </c>
      <c r="AG141" s="34">
        <f t="shared" ca="1" si="97"/>
        <v>0</v>
      </c>
      <c r="AH141" s="34">
        <f t="shared" ca="1" si="97"/>
        <v>0</v>
      </c>
      <c r="AI141" s="34">
        <f t="shared" ca="1" si="97"/>
        <v>0</v>
      </c>
      <c r="AJ141" s="34">
        <f t="shared" ca="1" si="97"/>
        <v>0</v>
      </c>
      <c r="AK141" s="34">
        <f t="shared" ca="1" si="97"/>
        <v>0</v>
      </c>
      <c r="AL141" s="34">
        <f ca="1">SUM(AL133:AL140)</f>
        <v>0</v>
      </c>
      <c r="AM141" s="34">
        <f t="shared" ref="AM141:AX141" ca="1" si="98">SUM(AM133:AM140)</f>
        <v>0</v>
      </c>
      <c r="AN141" s="34">
        <f t="shared" ca="1" si="98"/>
        <v>0</v>
      </c>
      <c r="AO141" s="34">
        <f t="shared" ca="1" si="98"/>
        <v>0</v>
      </c>
      <c r="AP141" s="34">
        <f t="shared" ca="1" si="98"/>
        <v>0</v>
      </c>
      <c r="AQ141" s="34">
        <f t="shared" ca="1" si="98"/>
        <v>0</v>
      </c>
      <c r="AR141" s="34">
        <f t="shared" ca="1" si="98"/>
        <v>0</v>
      </c>
      <c r="AS141" s="34">
        <f t="shared" ca="1" si="98"/>
        <v>0</v>
      </c>
      <c r="AT141" s="34">
        <f t="shared" ca="1" si="98"/>
        <v>0</v>
      </c>
      <c r="AU141" s="34">
        <f t="shared" ca="1" si="98"/>
        <v>0</v>
      </c>
      <c r="AV141" s="34">
        <f t="shared" ca="1" si="98"/>
        <v>0</v>
      </c>
      <c r="AW141" s="34">
        <f t="shared" ca="1" si="98"/>
        <v>0</v>
      </c>
      <c r="AX141" s="34">
        <f t="shared" ca="1" si="98"/>
        <v>0</v>
      </c>
      <c r="AY141" s="34">
        <f ca="1">SUM(AY133:AY140)</f>
        <v>0</v>
      </c>
    </row>
    <row r="142" spans="1:51" ht="15.75" hidden="1" customHeight="1" outlineLevel="2">
      <c r="A142" s="1" t="s">
        <v>233</v>
      </c>
      <c r="C142" s="109"/>
      <c r="E142" s="9" t="str">
        <f ca="1">_xll.DBRW(Server&amp;"}ElementAttributes_Indicator",A142,"code_English")</f>
        <v>PL1110_DS_10 - Staff costs (DS)</v>
      </c>
      <c r="F142" s="33">
        <f ca="1">_xll.DBRW($C$1,$C$2,$C$3,$C$4,$C$6,$C$5,$C$7,F$1,F$2,$A142)</f>
        <v>0</v>
      </c>
      <c r="G142" s="33">
        <f ca="1">_xll.DBRW($C$1,$C$2,$C$3,$C$4,$C$6,$C$5,$C$7,G$1,G$2,$A142)</f>
        <v>0</v>
      </c>
      <c r="H142" s="33">
        <f ca="1">_xll.DBRW($C$1,$C$2,$C$3,$C$4,$C$6,$C$5,$C$7,H$1,H$2,$A142)</f>
        <v>0</v>
      </c>
      <c r="I142" s="33">
        <f ca="1">_xll.DBRW($C$1,$C$2,$C$3,$C$4,$C$6,$C$5,$C$7,I$1,I$2,$A142)</f>
        <v>0</v>
      </c>
      <c r="J142" s="33">
        <f ca="1">_xll.DBRW($C$1,$C$2,$C$3,$C$4,$C$6,$C$5,$C$7,J$1,J$2,$A142)</f>
        <v>0</v>
      </c>
      <c r="K142" s="33">
        <f ca="1">_xll.DBRW($C$1,$C$2,$C$3,$C$4,$C$6,$C$5,$C$7,K$1,K$2,$A142)</f>
        <v>0</v>
      </c>
      <c r="L142" s="33">
        <f ca="1">_xll.DBRW($C$1,$C$2,$C$3,$C$4,$C$6,$C$5,$C$7,L$1,L$2,$A142)</f>
        <v>0</v>
      </c>
      <c r="M142" s="33">
        <f ca="1">_xll.DBRW($C$1,$C$2,$C$3,$C$4,$C$6,$C$5,$C$7,M$1,M$2,$A142)</f>
        <v>0</v>
      </c>
      <c r="N142" s="33">
        <f ca="1">_xll.DBRW($C$1,$C$2,$C$3,$C$4,$C$6,$C$5,$C$7,N$1,N$2,$A142)</f>
        <v>0</v>
      </c>
      <c r="O142" s="33">
        <f ca="1">_xll.DBRW($C$1,$C$2,$C$3,$C$4,$C$6,$C$5,$C$7,O$1,O$2,$A142)</f>
        <v>0</v>
      </c>
      <c r="P142" s="33">
        <f ca="1">_xll.DBRW($C$1,$C$2,$C$3,$C$4,$C$6,$C$5,$C$7,P$1,P$2,$A142)</f>
        <v>0</v>
      </c>
      <c r="Q142" s="33">
        <f ca="1">_xll.DBRW($C$1,$C$2,$C$3,$C$4,$C$6,$C$5,$C$7,Q$1,Q$2,$A142)</f>
        <v>0</v>
      </c>
      <c r="R142" s="33">
        <f ca="1">_xll.DBRW($C$1,$C$2,$C$3,$C$4,$C$6,$C$5,$C$7,R$1,R$2,$A142)</f>
        <v>0</v>
      </c>
      <c r="S142" s="33">
        <f ca="1">_xll.DBRW($C$1,$C$2,$C$3,$C$4,$C$6,$C$5,$C$7,S$1,S$2,$A142)</f>
        <v>0</v>
      </c>
      <c r="T142" s="33">
        <f ca="1">_xll.DBRW($C$1,$C$2,$C$3,$C$4,$C$6,$C$5,$C$7,T$1,T$2,$A142)</f>
        <v>0</v>
      </c>
      <c r="U142" s="33">
        <f ca="1">_xll.DBRW($C$1,$C$2,$C$3,$C$4,$C$6,$C$5,$C$7,U$1,U$2,$A142)</f>
        <v>0</v>
      </c>
      <c r="V142" s="33">
        <f ca="1">_xll.DBRW($C$1,$C$2,$C$3,$C$4,$C$6,$C$5,$C$7,V$1,V$2,$A142)</f>
        <v>0</v>
      </c>
      <c r="W142" s="33">
        <f ca="1">_xll.DBRW($C$1,$C$2,$C$3,$C$4,$C$6,$C$5,$C$7,W$1,W$2,$A142)</f>
        <v>0</v>
      </c>
      <c r="X142" s="33">
        <f ca="1">_xll.DBRW($C$1,$C$2,$C$3,$C$4,$C$6,$C$5,$C$7,X$1,X$2,$A142)</f>
        <v>0</v>
      </c>
      <c r="Y142" s="33">
        <f ca="1">_xll.DBRW($C$1,$C$2,$C$3,$C$4,$C$6,$C$5,$C$7,Y$1,Y$2,$A142)</f>
        <v>0</v>
      </c>
      <c r="Z142" s="33">
        <f ca="1">_xll.DBRW($C$1,$C$2,$C$3,$C$4,$C$6,$C$5,$C$7,Z$1,Z$2,$A142)</f>
        <v>0</v>
      </c>
      <c r="AA142" s="33">
        <f ca="1">_xll.DBRW($C$1,$C$2,$C$3,$C$4,$C$6,$C$5,$C$7,AA$1,AA$2,$A142)</f>
        <v>0</v>
      </c>
      <c r="AB142" s="33">
        <f ca="1">_xll.DBRW($C$1,$C$2,$C$3,$C$4,$C$6,$C$5,$C$7,AB$1,AB$2,$A142)</f>
        <v>0</v>
      </c>
      <c r="AC142" s="33">
        <f ca="1">_xll.DBRW($C$1,$C$2,$C$3,$C$4,$C$6,$C$5,$C$7,AC$1,AC$2,$A142)</f>
        <v>0</v>
      </c>
      <c r="AD142" s="33">
        <f ca="1">_xll.DBRW($C$1,$C$2,$C$3,$C$4,$C$6,$C$5,$C$7,AD$1,AD$2,$A142)</f>
        <v>0</v>
      </c>
      <c r="AE142" s="33">
        <f ca="1">_xll.DBRW($C$1,$C$2,$C$3,$C$4,$C$6,$C$5,$C$7,AE$1,AE$2,$A142)</f>
        <v>0</v>
      </c>
      <c r="AF142" s="33">
        <f ca="1">_xll.DBRW($C$1,$C$2,$C$3,$C$4,$C$6,$C$5,$C$7,AF$1,AF$2,$A142)</f>
        <v>0</v>
      </c>
      <c r="AG142" s="33">
        <f ca="1">_xll.DBRW($C$1,$C$2,$C$3,$C$4,$C$6,$C$5,$C$7,AG$1,AG$2,$A142)</f>
        <v>0</v>
      </c>
      <c r="AH142" s="33">
        <f ca="1">_xll.DBRW($C$1,$C$2,$C$3,$C$4,$C$6,$C$5,$C$7,AH$1,AH$2,$A142)</f>
        <v>0</v>
      </c>
      <c r="AI142" s="33">
        <f ca="1">_xll.DBRW($C$1,$C$2,$C$3,$C$4,$C$6,$C$5,$C$7,AI$1,AI$2,$A142)</f>
        <v>0</v>
      </c>
      <c r="AJ142" s="33">
        <f ca="1">_xll.DBRW($C$1,$C$2,$C$3,$C$4,$C$6,$C$5,$C$7,AJ$1,AJ$2,$A142)</f>
        <v>0</v>
      </c>
      <c r="AK142" s="33">
        <f ca="1">_xll.DBRW($C$1,$C$2,$C$3,$C$4,$C$6,$C$5,$C$7,AK$1,AK$2,$A142)</f>
        <v>0</v>
      </c>
      <c r="AL142" s="33">
        <f ca="1">_xll.DBRW($C$1,$C$2,$C$3,$C$4,$C$6,$C$5,$C$7,AL$1,AL$2,$A142)</f>
        <v>0</v>
      </c>
      <c r="AM142" s="33">
        <f ca="1">_xll.DBRW($C$1,$C$2,$C$3,$C$4,$C$6,$C$5,$C$7,AM$1,AM$2,$A142)</f>
        <v>0</v>
      </c>
      <c r="AN142" s="33">
        <f ca="1">_xll.DBRW($C$1,$C$2,$C$3,$C$4,$C$6,$C$5,$C$7,AN$1,AN$2,$A142)</f>
        <v>0</v>
      </c>
      <c r="AO142" s="33">
        <f ca="1">_xll.DBRW($C$1,$C$2,$C$3,$C$4,$C$6,$C$5,$C$7,AO$1,AO$2,$A142)</f>
        <v>0</v>
      </c>
      <c r="AP142" s="33">
        <f ca="1">_xll.DBRW($C$1,$C$2,$C$3,$C$4,$C$6,$C$5,$C$7,AP$1,AP$2,$A142)</f>
        <v>0</v>
      </c>
      <c r="AQ142" s="33">
        <f ca="1">_xll.DBRW($C$1,$C$2,$C$3,$C$4,$C$6,$C$5,$C$7,AQ$1,AQ$2,$A142)</f>
        <v>0</v>
      </c>
      <c r="AR142" s="33">
        <f ca="1">_xll.DBRW($C$1,$C$2,$C$3,$C$4,$C$6,$C$5,$C$7,AR$1,AR$2,$A142)</f>
        <v>0</v>
      </c>
      <c r="AS142" s="33">
        <f ca="1">_xll.DBRW($C$1,$C$2,$C$3,$C$4,$C$6,$C$5,$C$7,AS$1,AS$2,$A142)</f>
        <v>0</v>
      </c>
      <c r="AT142" s="33">
        <f ca="1">_xll.DBRW($C$1,$C$2,$C$3,$C$4,$C$6,$C$5,$C$7,AT$1,AT$2,$A142)</f>
        <v>0</v>
      </c>
      <c r="AU142" s="33">
        <f ca="1">_xll.DBRW($C$1,$C$2,$C$3,$C$4,$C$6,$C$5,$C$7,AU$1,AU$2,$A142)</f>
        <v>0</v>
      </c>
      <c r="AV142" s="33">
        <f ca="1">_xll.DBRW($C$1,$C$2,$C$3,$C$4,$C$6,$C$5,$C$7,AV$1,AV$2,$A142)</f>
        <v>0</v>
      </c>
      <c r="AW142" s="33">
        <f ca="1">_xll.DBRW($C$1,$C$2,$C$3,$C$4,$C$6,$C$5,$C$7,AW$1,AW$2,$A142)</f>
        <v>0</v>
      </c>
      <c r="AX142" s="33">
        <f ca="1">_xll.DBRW($C$1,$C$2,$C$3,$C$4,$C$6,$C$5,$C$7,AX$1,AX$2,$A142)</f>
        <v>0</v>
      </c>
      <c r="AY142" s="33">
        <f ca="1">_xll.DBRW($C$1,$C$2,$C$3,$C$4,$C$6,$C$5,$C$7,AY$1,AY$2,$A142)</f>
        <v>0</v>
      </c>
    </row>
    <row r="143" spans="1:51" ht="15.75" hidden="1" customHeight="1" outlineLevel="2">
      <c r="A143" s="1" t="s">
        <v>234</v>
      </c>
      <c r="C143" s="109"/>
      <c r="E143" s="9" t="str">
        <f ca="1">_xll.DBRW(Server&amp;"}ElementAttributes_Indicator",A143,"code_English")</f>
        <v>PL1116_DS - COS - Lease expenses (DS)</v>
      </c>
      <c r="F143" s="33">
        <f ca="1">_xll.DBRW($C$1,$C$2,$C$3,$C$4,$C$6,$C$5,$C$7,F$1,F$2,$A143)</f>
        <v>0</v>
      </c>
      <c r="G143" s="33">
        <f ca="1">_xll.DBRW($C$1,$C$2,$C$3,$C$4,$C$6,$C$5,$C$7,G$1,G$2,$A143)</f>
        <v>0</v>
      </c>
      <c r="H143" s="33">
        <f ca="1">_xll.DBRW($C$1,$C$2,$C$3,$C$4,$C$6,$C$5,$C$7,H$1,H$2,$A143)</f>
        <v>0</v>
      </c>
      <c r="I143" s="33">
        <f ca="1">_xll.DBRW($C$1,$C$2,$C$3,$C$4,$C$6,$C$5,$C$7,I$1,I$2,$A143)</f>
        <v>0</v>
      </c>
      <c r="J143" s="33">
        <f ca="1">_xll.DBRW($C$1,$C$2,$C$3,$C$4,$C$6,$C$5,$C$7,J$1,J$2,$A143)</f>
        <v>0</v>
      </c>
      <c r="K143" s="33">
        <f ca="1">_xll.DBRW($C$1,$C$2,$C$3,$C$4,$C$6,$C$5,$C$7,K$1,K$2,$A143)</f>
        <v>0</v>
      </c>
      <c r="L143" s="33">
        <f ca="1">_xll.DBRW($C$1,$C$2,$C$3,$C$4,$C$6,$C$5,$C$7,L$1,L$2,$A143)</f>
        <v>0</v>
      </c>
      <c r="M143" s="33">
        <f ca="1">_xll.DBRW($C$1,$C$2,$C$3,$C$4,$C$6,$C$5,$C$7,M$1,M$2,$A143)</f>
        <v>0</v>
      </c>
      <c r="N143" s="33">
        <f ca="1">_xll.DBRW($C$1,$C$2,$C$3,$C$4,$C$6,$C$5,$C$7,N$1,N$2,$A143)</f>
        <v>0</v>
      </c>
      <c r="O143" s="33">
        <f ca="1">_xll.DBRW($C$1,$C$2,$C$3,$C$4,$C$6,$C$5,$C$7,O$1,O$2,$A143)</f>
        <v>0</v>
      </c>
      <c r="P143" s="33">
        <f ca="1">_xll.DBRW($C$1,$C$2,$C$3,$C$4,$C$6,$C$5,$C$7,P$1,P$2,$A143)</f>
        <v>0</v>
      </c>
      <c r="Q143" s="33">
        <f ca="1">_xll.DBRW($C$1,$C$2,$C$3,$C$4,$C$6,$C$5,$C$7,Q$1,Q$2,$A143)</f>
        <v>0</v>
      </c>
      <c r="R143" s="33">
        <f ca="1">_xll.DBRW($C$1,$C$2,$C$3,$C$4,$C$6,$C$5,$C$7,R$1,R$2,$A143)</f>
        <v>0</v>
      </c>
      <c r="S143" s="33">
        <f ca="1">_xll.DBRW($C$1,$C$2,$C$3,$C$4,$C$6,$C$5,$C$7,S$1,S$2,$A143)</f>
        <v>0</v>
      </c>
      <c r="T143" s="33">
        <f ca="1">_xll.DBRW($C$1,$C$2,$C$3,$C$4,$C$6,$C$5,$C$7,T$1,T$2,$A143)</f>
        <v>0</v>
      </c>
      <c r="U143" s="33">
        <f ca="1">_xll.DBRW($C$1,$C$2,$C$3,$C$4,$C$6,$C$5,$C$7,U$1,U$2,$A143)</f>
        <v>0</v>
      </c>
      <c r="V143" s="33">
        <f ca="1">_xll.DBRW($C$1,$C$2,$C$3,$C$4,$C$6,$C$5,$C$7,V$1,V$2,$A143)</f>
        <v>0</v>
      </c>
      <c r="W143" s="33">
        <f ca="1">_xll.DBRW($C$1,$C$2,$C$3,$C$4,$C$6,$C$5,$C$7,W$1,W$2,$A143)</f>
        <v>0</v>
      </c>
      <c r="X143" s="33">
        <f ca="1">_xll.DBRW($C$1,$C$2,$C$3,$C$4,$C$6,$C$5,$C$7,X$1,X$2,$A143)</f>
        <v>0</v>
      </c>
      <c r="Y143" s="33">
        <f ca="1">_xll.DBRW($C$1,$C$2,$C$3,$C$4,$C$6,$C$5,$C$7,Y$1,Y$2,$A143)</f>
        <v>0</v>
      </c>
      <c r="Z143" s="33">
        <f ca="1">_xll.DBRW($C$1,$C$2,$C$3,$C$4,$C$6,$C$5,$C$7,Z$1,Z$2,$A143)</f>
        <v>0</v>
      </c>
      <c r="AA143" s="33">
        <f ca="1">_xll.DBRW($C$1,$C$2,$C$3,$C$4,$C$6,$C$5,$C$7,AA$1,AA$2,$A143)</f>
        <v>0</v>
      </c>
      <c r="AB143" s="33">
        <f ca="1">_xll.DBRW($C$1,$C$2,$C$3,$C$4,$C$6,$C$5,$C$7,AB$1,AB$2,$A143)</f>
        <v>0</v>
      </c>
      <c r="AC143" s="33">
        <f ca="1">_xll.DBRW($C$1,$C$2,$C$3,$C$4,$C$6,$C$5,$C$7,AC$1,AC$2,$A143)</f>
        <v>0</v>
      </c>
      <c r="AD143" s="33">
        <f ca="1">_xll.DBRW($C$1,$C$2,$C$3,$C$4,$C$6,$C$5,$C$7,AD$1,AD$2,$A143)</f>
        <v>0</v>
      </c>
      <c r="AE143" s="33">
        <f ca="1">_xll.DBRW($C$1,$C$2,$C$3,$C$4,$C$6,$C$5,$C$7,AE$1,AE$2,$A143)</f>
        <v>0</v>
      </c>
      <c r="AF143" s="33">
        <f ca="1">_xll.DBRW($C$1,$C$2,$C$3,$C$4,$C$6,$C$5,$C$7,AF$1,AF$2,$A143)</f>
        <v>0</v>
      </c>
      <c r="AG143" s="33">
        <f ca="1">_xll.DBRW($C$1,$C$2,$C$3,$C$4,$C$6,$C$5,$C$7,AG$1,AG$2,$A143)</f>
        <v>0</v>
      </c>
      <c r="AH143" s="33">
        <f ca="1">_xll.DBRW($C$1,$C$2,$C$3,$C$4,$C$6,$C$5,$C$7,AH$1,AH$2,$A143)</f>
        <v>0</v>
      </c>
      <c r="AI143" s="33">
        <f ca="1">_xll.DBRW($C$1,$C$2,$C$3,$C$4,$C$6,$C$5,$C$7,AI$1,AI$2,$A143)</f>
        <v>0</v>
      </c>
      <c r="AJ143" s="33">
        <f ca="1">_xll.DBRW($C$1,$C$2,$C$3,$C$4,$C$6,$C$5,$C$7,AJ$1,AJ$2,$A143)</f>
        <v>0</v>
      </c>
      <c r="AK143" s="33">
        <f ca="1">_xll.DBRW($C$1,$C$2,$C$3,$C$4,$C$6,$C$5,$C$7,AK$1,AK$2,$A143)</f>
        <v>0</v>
      </c>
      <c r="AL143" s="33">
        <f ca="1">_xll.DBRW($C$1,$C$2,$C$3,$C$4,$C$6,$C$5,$C$7,AL$1,AL$2,$A143)</f>
        <v>0</v>
      </c>
      <c r="AM143" s="33">
        <f ca="1">_xll.DBRW($C$1,$C$2,$C$3,$C$4,$C$6,$C$5,$C$7,AM$1,AM$2,$A143)</f>
        <v>0</v>
      </c>
      <c r="AN143" s="33">
        <f ca="1">_xll.DBRW($C$1,$C$2,$C$3,$C$4,$C$6,$C$5,$C$7,AN$1,AN$2,$A143)</f>
        <v>0</v>
      </c>
      <c r="AO143" s="33">
        <f ca="1">_xll.DBRW($C$1,$C$2,$C$3,$C$4,$C$6,$C$5,$C$7,AO$1,AO$2,$A143)</f>
        <v>0</v>
      </c>
      <c r="AP143" s="33">
        <f ca="1">_xll.DBRW($C$1,$C$2,$C$3,$C$4,$C$6,$C$5,$C$7,AP$1,AP$2,$A143)</f>
        <v>0</v>
      </c>
      <c r="AQ143" s="33">
        <f ca="1">_xll.DBRW($C$1,$C$2,$C$3,$C$4,$C$6,$C$5,$C$7,AQ$1,AQ$2,$A143)</f>
        <v>0</v>
      </c>
      <c r="AR143" s="33">
        <f ca="1">_xll.DBRW($C$1,$C$2,$C$3,$C$4,$C$6,$C$5,$C$7,AR$1,AR$2,$A143)</f>
        <v>0</v>
      </c>
      <c r="AS143" s="33">
        <f ca="1">_xll.DBRW($C$1,$C$2,$C$3,$C$4,$C$6,$C$5,$C$7,AS$1,AS$2,$A143)</f>
        <v>0</v>
      </c>
      <c r="AT143" s="33">
        <f ca="1">_xll.DBRW($C$1,$C$2,$C$3,$C$4,$C$6,$C$5,$C$7,AT$1,AT$2,$A143)</f>
        <v>0</v>
      </c>
      <c r="AU143" s="33">
        <f ca="1">_xll.DBRW($C$1,$C$2,$C$3,$C$4,$C$6,$C$5,$C$7,AU$1,AU$2,$A143)</f>
        <v>0</v>
      </c>
      <c r="AV143" s="33">
        <f ca="1">_xll.DBRW($C$1,$C$2,$C$3,$C$4,$C$6,$C$5,$C$7,AV$1,AV$2,$A143)</f>
        <v>0</v>
      </c>
      <c r="AW143" s="33">
        <f ca="1">_xll.DBRW($C$1,$C$2,$C$3,$C$4,$C$6,$C$5,$C$7,AW$1,AW$2,$A143)</f>
        <v>0</v>
      </c>
      <c r="AX143" s="33">
        <f ca="1">_xll.DBRW($C$1,$C$2,$C$3,$C$4,$C$6,$C$5,$C$7,AX$1,AX$2,$A143)</f>
        <v>0</v>
      </c>
      <c r="AY143" s="33">
        <f ca="1">_xll.DBRW($C$1,$C$2,$C$3,$C$4,$C$6,$C$5,$C$7,AY$1,AY$2,$A143)</f>
        <v>0</v>
      </c>
    </row>
    <row r="144" spans="1:51" ht="15.75" hidden="1" customHeight="1" outlineLevel="2">
      <c r="A144" s="1" t="s">
        <v>235</v>
      </c>
      <c r="C144" s="109"/>
      <c r="E144" s="9" t="str">
        <f ca="1">_xll.DBRW(Server&amp;"}ElementAttributes_Indicator",A144,"code_English")</f>
        <v>PL1145_DS - Impairment - working capital (DS)</v>
      </c>
      <c r="F144" s="33">
        <f ca="1">_xll.DBRW($C$1,$C$2,$C$3,$C$4,$C$6,$C$5,$C$7,F$1,F$2,$A144)</f>
        <v>0</v>
      </c>
      <c r="G144" s="33">
        <f ca="1">_xll.DBRW($C$1,$C$2,$C$3,$C$4,$C$6,$C$5,$C$7,G$1,G$2,$A144)</f>
        <v>0</v>
      </c>
      <c r="H144" s="33">
        <f ca="1">_xll.DBRW($C$1,$C$2,$C$3,$C$4,$C$6,$C$5,$C$7,H$1,H$2,$A144)</f>
        <v>0</v>
      </c>
      <c r="I144" s="33">
        <f ca="1">_xll.DBRW($C$1,$C$2,$C$3,$C$4,$C$6,$C$5,$C$7,I$1,I$2,$A144)</f>
        <v>0</v>
      </c>
      <c r="J144" s="33">
        <f ca="1">_xll.DBRW($C$1,$C$2,$C$3,$C$4,$C$6,$C$5,$C$7,J$1,J$2,$A144)</f>
        <v>0</v>
      </c>
      <c r="K144" s="33">
        <f ca="1">_xll.DBRW($C$1,$C$2,$C$3,$C$4,$C$6,$C$5,$C$7,K$1,K$2,$A144)</f>
        <v>0</v>
      </c>
      <c r="L144" s="33">
        <f ca="1">_xll.DBRW($C$1,$C$2,$C$3,$C$4,$C$6,$C$5,$C$7,L$1,L$2,$A144)</f>
        <v>0</v>
      </c>
      <c r="M144" s="33">
        <f ca="1">_xll.DBRW($C$1,$C$2,$C$3,$C$4,$C$6,$C$5,$C$7,M$1,M$2,$A144)</f>
        <v>0</v>
      </c>
      <c r="N144" s="33">
        <f ca="1">_xll.DBRW($C$1,$C$2,$C$3,$C$4,$C$6,$C$5,$C$7,N$1,N$2,$A144)</f>
        <v>0</v>
      </c>
      <c r="O144" s="33">
        <f ca="1">_xll.DBRW($C$1,$C$2,$C$3,$C$4,$C$6,$C$5,$C$7,O$1,O$2,$A144)</f>
        <v>0</v>
      </c>
      <c r="P144" s="33">
        <f ca="1">_xll.DBRW($C$1,$C$2,$C$3,$C$4,$C$6,$C$5,$C$7,P$1,P$2,$A144)</f>
        <v>0</v>
      </c>
      <c r="Q144" s="33">
        <f ca="1">_xll.DBRW($C$1,$C$2,$C$3,$C$4,$C$6,$C$5,$C$7,Q$1,Q$2,$A144)</f>
        <v>0</v>
      </c>
      <c r="R144" s="33">
        <f ca="1">_xll.DBRW($C$1,$C$2,$C$3,$C$4,$C$6,$C$5,$C$7,R$1,R$2,$A144)</f>
        <v>0</v>
      </c>
      <c r="S144" s="33">
        <f ca="1">_xll.DBRW($C$1,$C$2,$C$3,$C$4,$C$6,$C$5,$C$7,S$1,S$2,$A144)</f>
        <v>0</v>
      </c>
      <c r="T144" s="33">
        <f ca="1">_xll.DBRW($C$1,$C$2,$C$3,$C$4,$C$6,$C$5,$C$7,T$1,T$2,$A144)</f>
        <v>0</v>
      </c>
      <c r="U144" s="33">
        <f ca="1">_xll.DBRW($C$1,$C$2,$C$3,$C$4,$C$6,$C$5,$C$7,U$1,U$2,$A144)</f>
        <v>0</v>
      </c>
      <c r="V144" s="33">
        <f ca="1">_xll.DBRW($C$1,$C$2,$C$3,$C$4,$C$6,$C$5,$C$7,V$1,V$2,$A144)</f>
        <v>0</v>
      </c>
      <c r="W144" s="33">
        <f ca="1">_xll.DBRW($C$1,$C$2,$C$3,$C$4,$C$6,$C$5,$C$7,W$1,W$2,$A144)</f>
        <v>0</v>
      </c>
      <c r="X144" s="33">
        <f ca="1">_xll.DBRW($C$1,$C$2,$C$3,$C$4,$C$6,$C$5,$C$7,X$1,X$2,$A144)</f>
        <v>0</v>
      </c>
      <c r="Y144" s="33">
        <f ca="1">_xll.DBRW($C$1,$C$2,$C$3,$C$4,$C$6,$C$5,$C$7,Y$1,Y$2,$A144)</f>
        <v>0</v>
      </c>
      <c r="Z144" s="33">
        <f ca="1">_xll.DBRW($C$1,$C$2,$C$3,$C$4,$C$6,$C$5,$C$7,Z$1,Z$2,$A144)</f>
        <v>0</v>
      </c>
      <c r="AA144" s="33">
        <f ca="1">_xll.DBRW($C$1,$C$2,$C$3,$C$4,$C$6,$C$5,$C$7,AA$1,AA$2,$A144)</f>
        <v>0</v>
      </c>
      <c r="AB144" s="33">
        <f ca="1">_xll.DBRW($C$1,$C$2,$C$3,$C$4,$C$6,$C$5,$C$7,AB$1,AB$2,$A144)</f>
        <v>0</v>
      </c>
      <c r="AC144" s="33">
        <f ca="1">_xll.DBRW($C$1,$C$2,$C$3,$C$4,$C$6,$C$5,$C$7,AC$1,AC$2,$A144)</f>
        <v>0</v>
      </c>
      <c r="AD144" s="33">
        <f ca="1">_xll.DBRW($C$1,$C$2,$C$3,$C$4,$C$6,$C$5,$C$7,AD$1,AD$2,$A144)</f>
        <v>0</v>
      </c>
      <c r="AE144" s="33">
        <f ca="1">_xll.DBRW($C$1,$C$2,$C$3,$C$4,$C$6,$C$5,$C$7,AE$1,AE$2,$A144)</f>
        <v>0</v>
      </c>
      <c r="AF144" s="33">
        <f ca="1">_xll.DBRW($C$1,$C$2,$C$3,$C$4,$C$6,$C$5,$C$7,AF$1,AF$2,$A144)</f>
        <v>0</v>
      </c>
      <c r="AG144" s="33">
        <f ca="1">_xll.DBRW($C$1,$C$2,$C$3,$C$4,$C$6,$C$5,$C$7,AG$1,AG$2,$A144)</f>
        <v>0</v>
      </c>
      <c r="AH144" s="33">
        <f ca="1">_xll.DBRW($C$1,$C$2,$C$3,$C$4,$C$6,$C$5,$C$7,AH$1,AH$2,$A144)</f>
        <v>0</v>
      </c>
      <c r="AI144" s="33">
        <f ca="1">_xll.DBRW($C$1,$C$2,$C$3,$C$4,$C$6,$C$5,$C$7,AI$1,AI$2,$A144)</f>
        <v>0</v>
      </c>
      <c r="AJ144" s="33">
        <f ca="1">_xll.DBRW($C$1,$C$2,$C$3,$C$4,$C$6,$C$5,$C$7,AJ$1,AJ$2,$A144)</f>
        <v>0</v>
      </c>
      <c r="AK144" s="33">
        <f ca="1">_xll.DBRW($C$1,$C$2,$C$3,$C$4,$C$6,$C$5,$C$7,AK$1,AK$2,$A144)</f>
        <v>0</v>
      </c>
      <c r="AL144" s="33">
        <f ca="1">_xll.DBRW($C$1,$C$2,$C$3,$C$4,$C$6,$C$5,$C$7,AL$1,AL$2,$A144)</f>
        <v>0</v>
      </c>
      <c r="AM144" s="33">
        <f ca="1">_xll.DBRW($C$1,$C$2,$C$3,$C$4,$C$6,$C$5,$C$7,AM$1,AM$2,$A144)</f>
        <v>0</v>
      </c>
      <c r="AN144" s="33">
        <f ca="1">_xll.DBRW($C$1,$C$2,$C$3,$C$4,$C$6,$C$5,$C$7,AN$1,AN$2,$A144)</f>
        <v>0</v>
      </c>
      <c r="AO144" s="33">
        <f ca="1">_xll.DBRW($C$1,$C$2,$C$3,$C$4,$C$6,$C$5,$C$7,AO$1,AO$2,$A144)</f>
        <v>0</v>
      </c>
      <c r="AP144" s="33">
        <f ca="1">_xll.DBRW($C$1,$C$2,$C$3,$C$4,$C$6,$C$5,$C$7,AP$1,AP$2,$A144)</f>
        <v>0</v>
      </c>
      <c r="AQ144" s="33">
        <f ca="1">_xll.DBRW($C$1,$C$2,$C$3,$C$4,$C$6,$C$5,$C$7,AQ$1,AQ$2,$A144)</f>
        <v>0</v>
      </c>
      <c r="AR144" s="33">
        <f ca="1">_xll.DBRW($C$1,$C$2,$C$3,$C$4,$C$6,$C$5,$C$7,AR$1,AR$2,$A144)</f>
        <v>0</v>
      </c>
      <c r="AS144" s="33">
        <f ca="1">_xll.DBRW($C$1,$C$2,$C$3,$C$4,$C$6,$C$5,$C$7,AS$1,AS$2,$A144)</f>
        <v>0</v>
      </c>
      <c r="AT144" s="33">
        <f ca="1">_xll.DBRW($C$1,$C$2,$C$3,$C$4,$C$6,$C$5,$C$7,AT$1,AT$2,$A144)</f>
        <v>0</v>
      </c>
      <c r="AU144" s="33">
        <f ca="1">_xll.DBRW($C$1,$C$2,$C$3,$C$4,$C$6,$C$5,$C$7,AU$1,AU$2,$A144)</f>
        <v>0</v>
      </c>
      <c r="AV144" s="33">
        <f ca="1">_xll.DBRW($C$1,$C$2,$C$3,$C$4,$C$6,$C$5,$C$7,AV$1,AV$2,$A144)</f>
        <v>0</v>
      </c>
      <c r="AW144" s="33">
        <f ca="1">_xll.DBRW($C$1,$C$2,$C$3,$C$4,$C$6,$C$5,$C$7,AW$1,AW$2,$A144)</f>
        <v>0</v>
      </c>
      <c r="AX144" s="33">
        <f ca="1">_xll.DBRW($C$1,$C$2,$C$3,$C$4,$C$6,$C$5,$C$7,AX$1,AX$2,$A144)</f>
        <v>0</v>
      </c>
      <c r="AY144" s="33">
        <f ca="1">_xll.DBRW($C$1,$C$2,$C$3,$C$4,$C$6,$C$5,$C$7,AY$1,AY$2,$A144)</f>
        <v>0</v>
      </c>
    </row>
    <row r="145" spans="1:51" ht="15.75" hidden="1" customHeight="1" outlineLevel="2">
      <c r="A145" s="1" t="s">
        <v>236</v>
      </c>
      <c r="C145" s="109"/>
      <c r="E145" s="9" t="str">
        <f ca="1">_xll.DBRW(Server&amp;"}ElementAttributes_Indicator",A145,"code_English")</f>
        <v>PL1155_DS_99 - Reinvoicing - Others (DS)</v>
      </c>
      <c r="F145" s="33">
        <f ca="1">_xll.DBRW($C$1,$C$2,$C$3,$C$4,$C$6,$C$5,$C$7,F$1,F$2,$A145)</f>
        <v>0</v>
      </c>
      <c r="G145" s="33">
        <f ca="1">_xll.DBRW($C$1,$C$2,$C$3,$C$4,$C$6,$C$5,$C$7,G$1,G$2,$A145)</f>
        <v>0</v>
      </c>
      <c r="H145" s="33">
        <f ca="1">_xll.DBRW($C$1,$C$2,$C$3,$C$4,$C$6,$C$5,$C$7,H$1,H$2,$A145)</f>
        <v>0</v>
      </c>
      <c r="I145" s="33">
        <f ca="1">_xll.DBRW($C$1,$C$2,$C$3,$C$4,$C$6,$C$5,$C$7,I$1,I$2,$A145)</f>
        <v>0</v>
      </c>
      <c r="J145" s="33">
        <f ca="1">_xll.DBRW($C$1,$C$2,$C$3,$C$4,$C$6,$C$5,$C$7,J$1,J$2,$A145)</f>
        <v>0</v>
      </c>
      <c r="K145" s="33">
        <f ca="1">_xll.DBRW($C$1,$C$2,$C$3,$C$4,$C$6,$C$5,$C$7,K$1,K$2,$A145)</f>
        <v>0</v>
      </c>
      <c r="L145" s="33">
        <f ca="1">_xll.DBRW($C$1,$C$2,$C$3,$C$4,$C$6,$C$5,$C$7,L$1,L$2,$A145)</f>
        <v>0</v>
      </c>
      <c r="M145" s="33">
        <f ca="1">_xll.DBRW($C$1,$C$2,$C$3,$C$4,$C$6,$C$5,$C$7,M$1,M$2,$A145)</f>
        <v>0</v>
      </c>
      <c r="N145" s="33">
        <f ca="1">_xll.DBRW($C$1,$C$2,$C$3,$C$4,$C$6,$C$5,$C$7,N$1,N$2,$A145)</f>
        <v>0</v>
      </c>
      <c r="O145" s="33">
        <f ca="1">_xll.DBRW($C$1,$C$2,$C$3,$C$4,$C$6,$C$5,$C$7,O$1,O$2,$A145)</f>
        <v>0</v>
      </c>
      <c r="P145" s="33">
        <f ca="1">_xll.DBRW($C$1,$C$2,$C$3,$C$4,$C$6,$C$5,$C$7,P$1,P$2,$A145)</f>
        <v>0</v>
      </c>
      <c r="Q145" s="33">
        <f ca="1">_xll.DBRW($C$1,$C$2,$C$3,$C$4,$C$6,$C$5,$C$7,Q$1,Q$2,$A145)</f>
        <v>0</v>
      </c>
      <c r="R145" s="33">
        <f ca="1">_xll.DBRW($C$1,$C$2,$C$3,$C$4,$C$6,$C$5,$C$7,R$1,R$2,$A145)</f>
        <v>0</v>
      </c>
      <c r="S145" s="33">
        <f ca="1">_xll.DBRW($C$1,$C$2,$C$3,$C$4,$C$6,$C$5,$C$7,S$1,S$2,$A145)</f>
        <v>0</v>
      </c>
      <c r="T145" s="33">
        <f ca="1">_xll.DBRW($C$1,$C$2,$C$3,$C$4,$C$6,$C$5,$C$7,T$1,T$2,$A145)</f>
        <v>0</v>
      </c>
      <c r="U145" s="33">
        <f ca="1">_xll.DBRW($C$1,$C$2,$C$3,$C$4,$C$6,$C$5,$C$7,U$1,U$2,$A145)</f>
        <v>0</v>
      </c>
      <c r="V145" s="33">
        <f ca="1">_xll.DBRW($C$1,$C$2,$C$3,$C$4,$C$6,$C$5,$C$7,V$1,V$2,$A145)</f>
        <v>0</v>
      </c>
      <c r="W145" s="33">
        <f ca="1">_xll.DBRW($C$1,$C$2,$C$3,$C$4,$C$6,$C$5,$C$7,W$1,W$2,$A145)</f>
        <v>0</v>
      </c>
      <c r="X145" s="33">
        <f ca="1">_xll.DBRW($C$1,$C$2,$C$3,$C$4,$C$6,$C$5,$C$7,X$1,X$2,$A145)</f>
        <v>0</v>
      </c>
      <c r="Y145" s="33">
        <f ca="1">_xll.DBRW($C$1,$C$2,$C$3,$C$4,$C$6,$C$5,$C$7,Y$1,Y$2,$A145)</f>
        <v>0</v>
      </c>
      <c r="Z145" s="33">
        <f ca="1">_xll.DBRW($C$1,$C$2,$C$3,$C$4,$C$6,$C$5,$C$7,Z$1,Z$2,$A145)</f>
        <v>0</v>
      </c>
      <c r="AA145" s="33">
        <f ca="1">_xll.DBRW($C$1,$C$2,$C$3,$C$4,$C$6,$C$5,$C$7,AA$1,AA$2,$A145)</f>
        <v>0</v>
      </c>
      <c r="AB145" s="33">
        <f ca="1">_xll.DBRW($C$1,$C$2,$C$3,$C$4,$C$6,$C$5,$C$7,AB$1,AB$2,$A145)</f>
        <v>0</v>
      </c>
      <c r="AC145" s="33">
        <f ca="1">_xll.DBRW($C$1,$C$2,$C$3,$C$4,$C$6,$C$5,$C$7,AC$1,AC$2,$A145)</f>
        <v>0</v>
      </c>
      <c r="AD145" s="33">
        <f ca="1">_xll.DBRW($C$1,$C$2,$C$3,$C$4,$C$6,$C$5,$C$7,AD$1,AD$2,$A145)</f>
        <v>0</v>
      </c>
      <c r="AE145" s="33">
        <f ca="1">_xll.DBRW($C$1,$C$2,$C$3,$C$4,$C$6,$C$5,$C$7,AE$1,AE$2,$A145)</f>
        <v>0</v>
      </c>
      <c r="AF145" s="33">
        <f ca="1">_xll.DBRW($C$1,$C$2,$C$3,$C$4,$C$6,$C$5,$C$7,AF$1,AF$2,$A145)</f>
        <v>0</v>
      </c>
      <c r="AG145" s="33">
        <f ca="1">_xll.DBRW($C$1,$C$2,$C$3,$C$4,$C$6,$C$5,$C$7,AG$1,AG$2,$A145)</f>
        <v>0</v>
      </c>
      <c r="AH145" s="33">
        <f ca="1">_xll.DBRW($C$1,$C$2,$C$3,$C$4,$C$6,$C$5,$C$7,AH$1,AH$2,$A145)</f>
        <v>0</v>
      </c>
      <c r="AI145" s="33">
        <f ca="1">_xll.DBRW($C$1,$C$2,$C$3,$C$4,$C$6,$C$5,$C$7,AI$1,AI$2,$A145)</f>
        <v>0</v>
      </c>
      <c r="AJ145" s="33">
        <f ca="1">_xll.DBRW($C$1,$C$2,$C$3,$C$4,$C$6,$C$5,$C$7,AJ$1,AJ$2,$A145)</f>
        <v>0</v>
      </c>
      <c r="AK145" s="33">
        <f ca="1">_xll.DBRW($C$1,$C$2,$C$3,$C$4,$C$6,$C$5,$C$7,AK$1,AK$2,$A145)</f>
        <v>0</v>
      </c>
      <c r="AL145" s="33">
        <f ca="1">_xll.DBRW($C$1,$C$2,$C$3,$C$4,$C$6,$C$5,$C$7,AL$1,AL$2,$A145)</f>
        <v>0</v>
      </c>
      <c r="AM145" s="33">
        <f ca="1">_xll.DBRW($C$1,$C$2,$C$3,$C$4,$C$6,$C$5,$C$7,AM$1,AM$2,$A145)</f>
        <v>0</v>
      </c>
      <c r="AN145" s="33">
        <f ca="1">_xll.DBRW($C$1,$C$2,$C$3,$C$4,$C$6,$C$5,$C$7,AN$1,AN$2,$A145)</f>
        <v>0</v>
      </c>
      <c r="AO145" s="33">
        <f ca="1">_xll.DBRW($C$1,$C$2,$C$3,$C$4,$C$6,$C$5,$C$7,AO$1,AO$2,$A145)</f>
        <v>0</v>
      </c>
      <c r="AP145" s="33">
        <f ca="1">_xll.DBRW($C$1,$C$2,$C$3,$C$4,$C$6,$C$5,$C$7,AP$1,AP$2,$A145)</f>
        <v>0</v>
      </c>
      <c r="AQ145" s="33">
        <f ca="1">_xll.DBRW($C$1,$C$2,$C$3,$C$4,$C$6,$C$5,$C$7,AQ$1,AQ$2,$A145)</f>
        <v>0</v>
      </c>
      <c r="AR145" s="33">
        <f ca="1">_xll.DBRW($C$1,$C$2,$C$3,$C$4,$C$6,$C$5,$C$7,AR$1,AR$2,$A145)</f>
        <v>0</v>
      </c>
      <c r="AS145" s="33">
        <f ca="1">_xll.DBRW($C$1,$C$2,$C$3,$C$4,$C$6,$C$5,$C$7,AS$1,AS$2,$A145)</f>
        <v>0</v>
      </c>
      <c r="AT145" s="33">
        <f ca="1">_xll.DBRW($C$1,$C$2,$C$3,$C$4,$C$6,$C$5,$C$7,AT$1,AT$2,$A145)</f>
        <v>0</v>
      </c>
      <c r="AU145" s="33">
        <f ca="1">_xll.DBRW($C$1,$C$2,$C$3,$C$4,$C$6,$C$5,$C$7,AU$1,AU$2,$A145)</f>
        <v>0</v>
      </c>
      <c r="AV145" s="33">
        <f ca="1">_xll.DBRW($C$1,$C$2,$C$3,$C$4,$C$6,$C$5,$C$7,AV$1,AV$2,$A145)</f>
        <v>0</v>
      </c>
      <c r="AW145" s="33">
        <f ca="1">_xll.DBRW($C$1,$C$2,$C$3,$C$4,$C$6,$C$5,$C$7,AW$1,AW$2,$A145)</f>
        <v>0</v>
      </c>
      <c r="AX145" s="33">
        <f ca="1">_xll.DBRW($C$1,$C$2,$C$3,$C$4,$C$6,$C$5,$C$7,AX$1,AX$2,$A145)</f>
        <v>0</v>
      </c>
      <c r="AY145" s="33">
        <f ca="1">_xll.DBRW($C$1,$C$2,$C$3,$C$4,$C$6,$C$5,$C$7,AY$1,AY$2,$A145)</f>
        <v>0</v>
      </c>
    </row>
    <row r="146" spans="1:51" ht="15.75" hidden="1" customHeight="1" outlineLevel="2">
      <c r="A146" s="1" t="s">
        <v>237</v>
      </c>
      <c r="C146" s="109"/>
      <c r="E146" s="9" t="str">
        <f ca="1">_xll.DBRW(Server&amp;"}ElementAttributes_Indicator",A146,"code_English")</f>
        <v>PL1115_DS_20 - Interim staff (DS)</v>
      </c>
      <c r="F146" s="33">
        <f ca="1">_xll.DBRW($C$1,$C$2,$C$3,$C$4,$C$6,$C$5,$C$7,F$1,F$2,$A146)</f>
        <v>0</v>
      </c>
      <c r="G146" s="33">
        <f ca="1">_xll.DBRW($C$1,$C$2,$C$3,$C$4,$C$6,$C$5,$C$7,G$1,G$2,$A146)</f>
        <v>0</v>
      </c>
      <c r="H146" s="33">
        <f ca="1">_xll.DBRW($C$1,$C$2,$C$3,$C$4,$C$6,$C$5,$C$7,H$1,H$2,$A146)</f>
        <v>0</v>
      </c>
      <c r="I146" s="33">
        <f ca="1">_xll.DBRW($C$1,$C$2,$C$3,$C$4,$C$6,$C$5,$C$7,I$1,I$2,$A146)</f>
        <v>0</v>
      </c>
      <c r="J146" s="33">
        <f ca="1">_xll.DBRW($C$1,$C$2,$C$3,$C$4,$C$6,$C$5,$C$7,J$1,J$2,$A146)</f>
        <v>0</v>
      </c>
      <c r="K146" s="33">
        <f ca="1">_xll.DBRW($C$1,$C$2,$C$3,$C$4,$C$6,$C$5,$C$7,K$1,K$2,$A146)</f>
        <v>0</v>
      </c>
      <c r="L146" s="33">
        <f ca="1">_xll.DBRW($C$1,$C$2,$C$3,$C$4,$C$6,$C$5,$C$7,L$1,L$2,$A146)</f>
        <v>0</v>
      </c>
      <c r="M146" s="33">
        <f ca="1">_xll.DBRW($C$1,$C$2,$C$3,$C$4,$C$6,$C$5,$C$7,M$1,M$2,$A146)</f>
        <v>0</v>
      </c>
      <c r="N146" s="33">
        <f ca="1">_xll.DBRW($C$1,$C$2,$C$3,$C$4,$C$6,$C$5,$C$7,N$1,N$2,$A146)</f>
        <v>0</v>
      </c>
      <c r="O146" s="33">
        <f ca="1">_xll.DBRW($C$1,$C$2,$C$3,$C$4,$C$6,$C$5,$C$7,O$1,O$2,$A146)</f>
        <v>0</v>
      </c>
      <c r="P146" s="33">
        <f ca="1">_xll.DBRW($C$1,$C$2,$C$3,$C$4,$C$6,$C$5,$C$7,P$1,P$2,$A146)</f>
        <v>0</v>
      </c>
      <c r="Q146" s="33">
        <f ca="1">_xll.DBRW($C$1,$C$2,$C$3,$C$4,$C$6,$C$5,$C$7,Q$1,Q$2,$A146)</f>
        <v>0</v>
      </c>
      <c r="R146" s="33">
        <f ca="1">_xll.DBRW($C$1,$C$2,$C$3,$C$4,$C$6,$C$5,$C$7,R$1,R$2,$A146)</f>
        <v>0</v>
      </c>
      <c r="S146" s="33">
        <f ca="1">_xll.DBRW($C$1,$C$2,$C$3,$C$4,$C$6,$C$5,$C$7,S$1,S$2,$A146)</f>
        <v>0</v>
      </c>
      <c r="T146" s="33">
        <f ca="1">_xll.DBRW($C$1,$C$2,$C$3,$C$4,$C$6,$C$5,$C$7,T$1,T$2,$A146)</f>
        <v>0</v>
      </c>
      <c r="U146" s="33">
        <f ca="1">_xll.DBRW($C$1,$C$2,$C$3,$C$4,$C$6,$C$5,$C$7,U$1,U$2,$A146)</f>
        <v>0</v>
      </c>
      <c r="V146" s="33">
        <f ca="1">_xll.DBRW($C$1,$C$2,$C$3,$C$4,$C$6,$C$5,$C$7,V$1,V$2,$A146)</f>
        <v>0</v>
      </c>
      <c r="W146" s="33">
        <f ca="1">_xll.DBRW($C$1,$C$2,$C$3,$C$4,$C$6,$C$5,$C$7,W$1,W$2,$A146)</f>
        <v>0</v>
      </c>
      <c r="X146" s="33">
        <f ca="1">_xll.DBRW($C$1,$C$2,$C$3,$C$4,$C$6,$C$5,$C$7,X$1,X$2,$A146)</f>
        <v>0</v>
      </c>
      <c r="Y146" s="33">
        <f ca="1">_xll.DBRW($C$1,$C$2,$C$3,$C$4,$C$6,$C$5,$C$7,Y$1,Y$2,$A146)</f>
        <v>0</v>
      </c>
      <c r="Z146" s="33">
        <f ca="1">_xll.DBRW($C$1,$C$2,$C$3,$C$4,$C$6,$C$5,$C$7,Z$1,Z$2,$A146)</f>
        <v>0</v>
      </c>
      <c r="AA146" s="33">
        <f ca="1">_xll.DBRW($C$1,$C$2,$C$3,$C$4,$C$6,$C$5,$C$7,AA$1,AA$2,$A146)</f>
        <v>0</v>
      </c>
      <c r="AB146" s="33">
        <f ca="1">_xll.DBRW($C$1,$C$2,$C$3,$C$4,$C$6,$C$5,$C$7,AB$1,AB$2,$A146)</f>
        <v>0</v>
      </c>
      <c r="AC146" s="33">
        <f ca="1">_xll.DBRW($C$1,$C$2,$C$3,$C$4,$C$6,$C$5,$C$7,AC$1,AC$2,$A146)</f>
        <v>0</v>
      </c>
      <c r="AD146" s="33">
        <f ca="1">_xll.DBRW($C$1,$C$2,$C$3,$C$4,$C$6,$C$5,$C$7,AD$1,AD$2,$A146)</f>
        <v>0</v>
      </c>
      <c r="AE146" s="33">
        <f ca="1">_xll.DBRW($C$1,$C$2,$C$3,$C$4,$C$6,$C$5,$C$7,AE$1,AE$2,$A146)</f>
        <v>0</v>
      </c>
      <c r="AF146" s="33">
        <f ca="1">_xll.DBRW($C$1,$C$2,$C$3,$C$4,$C$6,$C$5,$C$7,AF$1,AF$2,$A146)</f>
        <v>0</v>
      </c>
      <c r="AG146" s="33">
        <f ca="1">_xll.DBRW($C$1,$C$2,$C$3,$C$4,$C$6,$C$5,$C$7,AG$1,AG$2,$A146)</f>
        <v>0</v>
      </c>
      <c r="AH146" s="33">
        <f ca="1">_xll.DBRW($C$1,$C$2,$C$3,$C$4,$C$6,$C$5,$C$7,AH$1,AH$2,$A146)</f>
        <v>0</v>
      </c>
      <c r="AI146" s="33">
        <f ca="1">_xll.DBRW($C$1,$C$2,$C$3,$C$4,$C$6,$C$5,$C$7,AI$1,AI$2,$A146)</f>
        <v>0</v>
      </c>
      <c r="AJ146" s="33">
        <f ca="1">_xll.DBRW($C$1,$C$2,$C$3,$C$4,$C$6,$C$5,$C$7,AJ$1,AJ$2,$A146)</f>
        <v>0</v>
      </c>
      <c r="AK146" s="33">
        <f ca="1">_xll.DBRW($C$1,$C$2,$C$3,$C$4,$C$6,$C$5,$C$7,AK$1,AK$2,$A146)</f>
        <v>0</v>
      </c>
      <c r="AL146" s="33">
        <f ca="1">_xll.DBRW($C$1,$C$2,$C$3,$C$4,$C$6,$C$5,$C$7,AL$1,AL$2,$A146)</f>
        <v>0</v>
      </c>
      <c r="AM146" s="33">
        <f ca="1">_xll.DBRW($C$1,$C$2,$C$3,$C$4,$C$6,$C$5,$C$7,AM$1,AM$2,$A146)</f>
        <v>0</v>
      </c>
      <c r="AN146" s="33">
        <f ca="1">_xll.DBRW($C$1,$C$2,$C$3,$C$4,$C$6,$C$5,$C$7,AN$1,AN$2,$A146)</f>
        <v>0</v>
      </c>
      <c r="AO146" s="33">
        <f ca="1">_xll.DBRW($C$1,$C$2,$C$3,$C$4,$C$6,$C$5,$C$7,AO$1,AO$2,$A146)</f>
        <v>0</v>
      </c>
      <c r="AP146" s="33">
        <f ca="1">_xll.DBRW($C$1,$C$2,$C$3,$C$4,$C$6,$C$5,$C$7,AP$1,AP$2,$A146)</f>
        <v>0</v>
      </c>
      <c r="AQ146" s="33">
        <f ca="1">_xll.DBRW($C$1,$C$2,$C$3,$C$4,$C$6,$C$5,$C$7,AQ$1,AQ$2,$A146)</f>
        <v>0</v>
      </c>
      <c r="AR146" s="33">
        <f ca="1">_xll.DBRW($C$1,$C$2,$C$3,$C$4,$C$6,$C$5,$C$7,AR$1,AR$2,$A146)</f>
        <v>0</v>
      </c>
      <c r="AS146" s="33">
        <f ca="1">_xll.DBRW($C$1,$C$2,$C$3,$C$4,$C$6,$C$5,$C$7,AS$1,AS$2,$A146)</f>
        <v>0</v>
      </c>
      <c r="AT146" s="33">
        <f ca="1">_xll.DBRW($C$1,$C$2,$C$3,$C$4,$C$6,$C$5,$C$7,AT$1,AT$2,$A146)</f>
        <v>0</v>
      </c>
      <c r="AU146" s="33">
        <f ca="1">_xll.DBRW($C$1,$C$2,$C$3,$C$4,$C$6,$C$5,$C$7,AU$1,AU$2,$A146)</f>
        <v>0</v>
      </c>
      <c r="AV146" s="33">
        <f ca="1">_xll.DBRW($C$1,$C$2,$C$3,$C$4,$C$6,$C$5,$C$7,AV$1,AV$2,$A146)</f>
        <v>0</v>
      </c>
      <c r="AW146" s="33">
        <f ca="1">_xll.DBRW($C$1,$C$2,$C$3,$C$4,$C$6,$C$5,$C$7,AW$1,AW$2,$A146)</f>
        <v>0</v>
      </c>
      <c r="AX146" s="33">
        <f ca="1">_xll.DBRW($C$1,$C$2,$C$3,$C$4,$C$6,$C$5,$C$7,AX$1,AX$2,$A146)</f>
        <v>0</v>
      </c>
      <c r="AY146" s="33">
        <f ca="1">_xll.DBRW($C$1,$C$2,$C$3,$C$4,$C$6,$C$5,$C$7,AY$1,AY$2,$A146)</f>
        <v>0</v>
      </c>
    </row>
    <row r="147" spans="1:51" ht="15.75" hidden="1" customHeight="1" outlineLevel="2">
      <c r="A147" s="1" t="s">
        <v>238</v>
      </c>
      <c r="C147" s="109"/>
      <c r="E147" s="9" t="str">
        <f ca="1">_xll.DBRW(Server&amp;"}ElementAttributes_Indicator",A147,"code_English")</f>
        <v>PL1115_DS_70 - Travelling (DS)</v>
      </c>
      <c r="F147" s="33">
        <f ca="1">_xll.DBRW($C$1,$C$2,$C$3,$C$4,$C$6,$C$5,$C$7,F$1,F$2,$A147)</f>
        <v>0</v>
      </c>
      <c r="G147" s="33">
        <f ca="1">_xll.DBRW($C$1,$C$2,$C$3,$C$4,$C$6,$C$5,$C$7,G$1,G$2,$A147)</f>
        <v>0</v>
      </c>
      <c r="H147" s="33">
        <f ca="1">_xll.DBRW($C$1,$C$2,$C$3,$C$4,$C$6,$C$5,$C$7,H$1,H$2,$A147)</f>
        <v>0</v>
      </c>
      <c r="I147" s="33">
        <f ca="1">_xll.DBRW($C$1,$C$2,$C$3,$C$4,$C$6,$C$5,$C$7,I$1,I$2,$A147)</f>
        <v>0</v>
      </c>
      <c r="J147" s="33">
        <f ca="1">_xll.DBRW($C$1,$C$2,$C$3,$C$4,$C$6,$C$5,$C$7,J$1,J$2,$A147)</f>
        <v>0</v>
      </c>
      <c r="K147" s="33">
        <f ca="1">_xll.DBRW($C$1,$C$2,$C$3,$C$4,$C$6,$C$5,$C$7,K$1,K$2,$A147)</f>
        <v>0</v>
      </c>
      <c r="L147" s="33">
        <f ca="1">_xll.DBRW($C$1,$C$2,$C$3,$C$4,$C$6,$C$5,$C$7,L$1,L$2,$A147)</f>
        <v>0</v>
      </c>
      <c r="M147" s="33">
        <f ca="1">_xll.DBRW($C$1,$C$2,$C$3,$C$4,$C$6,$C$5,$C$7,M$1,M$2,$A147)</f>
        <v>0</v>
      </c>
      <c r="N147" s="33">
        <f ca="1">_xll.DBRW($C$1,$C$2,$C$3,$C$4,$C$6,$C$5,$C$7,N$1,N$2,$A147)</f>
        <v>0</v>
      </c>
      <c r="O147" s="33">
        <f ca="1">_xll.DBRW($C$1,$C$2,$C$3,$C$4,$C$6,$C$5,$C$7,O$1,O$2,$A147)</f>
        <v>0</v>
      </c>
      <c r="P147" s="33">
        <f ca="1">_xll.DBRW($C$1,$C$2,$C$3,$C$4,$C$6,$C$5,$C$7,P$1,P$2,$A147)</f>
        <v>0</v>
      </c>
      <c r="Q147" s="33">
        <f ca="1">_xll.DBRW($C$1,$C$2,$C$3,$C$4,$C$6,$C$5,$C$7,Q$1,Q$2,$A147)</f>
        <v>0</v>
      </c>
      <c r="R147" s="33">
        <f ca="1">_xll.DBRW($C$1,$C$2,$C$3,$C$4,$C$6,$C$5,$C$7,R$1,R$2,$A147)</f>
        <v>0</v>
      </c>
      <c r="S147" s="33">
        <f ca="1">_xll.DBRW($C$1,$C$2,$C$3,$C$4,$C$6,$C$5,$C$7,S$1,S$2,$A147)</f>
        <v>0</v>
      </c>
      <c r="T147" s="33">
        <f ca="1">_xll.DBRW($C$1,$C$2,$C$3,$C$4,$C$6,$C$5,$C$7,T$1,T$2,$A147)</f>
        <v>0</v>
      </c>
      <c r="U147" s="33">
        <f ca="1">_xll.DBRW($C$1,$C$2,$C$3,$C$4,$C$6,$C$5,$C$7,U$1,U$2,$A147)</f>
        <v>0</v>
      </c>
      <c r="V147" s="33">
        <f ca="1">_xll.DBRW($C$1,$C$2,$C$3,$C$4,$C$6,$C$5,$C$7,V$1,V$2,$A147)</f>
        <v>0</v>
      </c>
      <c r="W147" s="33">
        <f ca="1">_xll.DBRW($C$1,$C$2,$C$3,$C$4,$C$6,$C$5,$C$7,W$1,W$2,$A147)</f>
        <v>0</v>
      </c>
      <c r="X147" s="33">
        <f ca="1">_xll.DBRW($C$1,$C$2,$C$3,$C$4,$C$6,$C$5,$C$7,X$1,X$2,$A147)</f>
        <v>0</v>
      </c>
      <c r="Y147" s="33">
        <f ca="1">_xll.DBRW($C$1,$C$2,$C$3,$C$4,$C$6,$C$5,$C$7,Y$1,Y$2,$A147)</f>
        <v>0</v>
      </c>
      <c r="Z147" s="33">
        <f ca="1">_xll.DBRW($C$1,$C$2,$C$3,$C$4,$C$6,$C$5,$C$7,Z$1,Z$2,$A147)</f>
        <v>0</v>
      </c>
      <c r="AA147" s="33">
        <f ca="1">_xll.DBRW($C$1,$C$2,$C$3,$C$4,$C$6,$C$5,$C$7,AA$1,AA$2,$A147)</f>
        <v>0</v>
      </c>
      <c r="AB147" s="33">
        <f ca="1">_xll.DBRW($C$1,$C$2,$C$3,$C$4,$C$6,$C$5,$C$7,AB$1,AB$2,$A147)</f>
        <v>0</v>
      </c>
      <c r="AC147" s="33">
        <f ca="1">_xll.DBRW($C$1,$C$2,$C$3,$C$4,$C$6,$C$5,$C$7,AC$1,AC$2,$A147)</f>
        <v>0</v>
      </c>
      <c r="AD147" s="33">
        <f ca="1">_xll.DBRW($C$1,$C$2,$C$3,$C$4,$C$6,$C$5,$C$7,AD$1,AD$2,$A147)</f>
        <v>0</v>
      </c>
      <c r="AE147" s="33">
        <f ca="1">_xll.DBRW($C$1,$C$2,$C$3,$C$4,$C$6,$C$5,$C$7,AE$1,AE$2,$A147)</f>
        <v>0</v>
      </c>
      <c r="AF147" s="33">
        <f ca="1">_xll.DBRW($C$1,$C$2,$C$3,$C$4,$C$6,$C$5,$C$7,AF$1,AF$2,$A147)</f>
        <v>0</v>
      </c>
      <c r="AG147" s="33">
        <f ca="1">_xll.DBRW($C$1,$C$2,$C$3,$C$4,$C$6,$C$5,$C$7,AG$1,AG$2,$A147)</f>
        <v>0</v>
      </c>
      <c r="AH147" s="33">
        <f ca="1">_xll.DBRW($C$1,$C$2,$C$3,$C$4,$C$6,$C$5,$C$7,AH$1,AH$2,$A147)</f>
        <v>0</v>
      </c>
      <c r="AI147" s="33">
        <f ca="1">_xll.DBRW($C$1,$C$2,$C$3,$C$4,$C$6,$C$5,$C$7,AI$1,AI$2,$A147)</f>
        <v>0</v>
      </c>
      <c r="AJ147" s="33">
        <f ca="1">_xll.DBRW($C$1,$C$2,$C$3,$C$4,$C$6,$C$5,$C$7,AJ$1,AJ$2,$A147)</f>
        <v>0</v>
      </c>
      <c r="AK147" s="33">
        <f ca="1">_xll.DBRW($C$1,$C$2,$C$3,$C$4,$C$6,$C$5,$C$7,AK$1,AK$2,$A147)</f>
        <v>0</v>
      </c>
      <c r="AL147" s="33">
        <f ca="1">_xll.DBRW($C$1,$C$2,$C$3,$C$4,$C$6,$C$5,$C$7,AL$1,AL$2,$A147)</f>
        <v>0</v>
      </c>
      <c r="AM147" s="33">
        <f ca="1">_xll.DBRW($C$1,$C$2,$C$3,$C$4,$C$6,$C$5,$C$7,AM$1,AM$2,$A147)</f>
        <v>0</v>
      </c>
      <c r="AN147" s="33">
        <f ca="1">_xll.DBRW($C$1,$C$2,$C$3,$C$4,$C$6,$C$5,$C$7,AN$1,AN$2,$A147)</f>
        <v>0</v>
      </c>
      <c r="AO147" s="33">
        <f ca="1">_xll.DBRW($C$1,$C$2,$C$3,$C$4,$C$6,$C$5,$C$7,AO$1,AO$2,$A147)</f>
        <v>0</v>
      </c>
      <c r="AP147" s="33">
        <f ca="1">_xll.DBRW($C$1,$C$2,$C$3,$C$4,$C$6,$C$5,$C$7,AP$1,AP$2,$A147)</f>
        <v>0</v>
      </c>
      <c r="AQ147" s="33">
        <f ca="1">_xll.DBRW($C$1,$C$2,$C$3,$C$4,$C$6,$C$5,$C$7,AQ$1,AQ$2,$A147)</f>
        <v>0</v>
      </c>
      <c r="AR147" s="33">
        <f ca="1">_xll.DBRW($C$1,$C$2,$C$3,$C$4,$C$6,$C$5,$C$7,AR$1,AR$2,$A147)</f>
        <v>0</v>
      </c>
      <c r="AS147" s="33">
        <f ca="1">_xll.DBRW($C$1,$C$2,$C$3,$C$4,$C$6,$C$5,$C$7,AS$1,AS$2,$A147)</f>
        <v>0</v>
      </c>
      <c r="AT147" s="33">
        <f ca="1">_xll.DBRW($C$1,$C$2,$C$3,$C$4,$C$6,$C$5,$C$7,AT$1,AT$2,$A147)</f>
        <v>0</v>
      </c>
      <c r="AU147" s="33">
        <f ca="1">_xll.DBRW($C$1,$C$2,$C$3,$C$4,$C$6,$C$5,$C$7,AU$1,AU$2,$A147)</f>
        <v>0</v>
      </c>
      <c r="AV147" s="33">
        <f ca="1">_xll.DBRW($C$1,$C$2,$C$3,$C$4,$C$6,$C$5,$C$7,AV$1,AV$2,$A147)</f>
        <v>0</v>
      </c>
      <c r="AW147" s="33">
        <f ca="1">_xll.DBRW($C$1,$C$2,$C$3,$C$4,$C$6,$C$5,$C$7,AW$1,AW$2,$A147)</f>
        <v>0</v>
      </c>
      <c r="AX147" s="33">
        <f ca="1">_xll.DBRW($C$1,$C$2,$C$3,$C$4,$C$6,$C$5,$C$7,AX$1,AX$2,$A147)</f>
        <v>0</v>
      </c>
      <c r="AY147" s="33">
        <f ca="1">_xll.DBRW($C$1,$C$2,$C$3,$C$4,$C$6,$C$5,$C$7,AY$1,AY$2,$A147)</f>
        <v>0</v>
      </c>
    </row>
    <row r="148" spans="1:51" ht="15.75" hidden="1" customHeight="1" outlineLevel="2">
      <c r="A148" s="1" t="s">
        <v>239</v>
      </c>
      <c r="C148" s="109"/>
      <c r="E148" s="9" t="str">
        <f ca="1">_xll.DBRW(Server&amp;"}ElementAttributes_Indicator",A148,"code_English")</f>
        <v>PL1115_DS_75 - Consulting (DS)</v>
      </c>
      <c r="F148" s="33">
        <f ca="1">_xll.DBRW($C$1,$C$2,$C$3,$C$4,$C$6,$C$5,$C$7,F$1,F$2,$A148)</f>
        <v>0</v>
      </c>
      <c r="G148" s="33">
        <f ca="1">_xll.DBRW($C$1,$C$2,$C$3,$C$4,$C$6,$C$5,$C$7,G$1,G$2,$A148)</f>
        <v>0</v>
      </c>
      <c r="H148" s="33">
        <f ca="1">_xll.DBRW($C$1,$C$2,$C$3,$C$4,$C$6,$C$5,$C$7,H$1,H$2,$A148)</f>
        <v>0</v>
      </c>
      <c r="I148" s="33">
        <f ca="1">_xll.DBRW($C$1,$C$2,$C$3,$C$4,$C$6,$C$5,$C$7,I$1,I$2,$A148)</f>
        <v>0</v>
      </c>
      <c r="J148" s="33">
        <f ca="1">_xll.DBRW($C$1,$C$2,$C$3,$C$4,$C$6,$C$5,$C$7,J$1,J$2,$A148)</f>
        <v>0</v>
      </c>
      <c r="K148" s="33">
        <f ca="1">_xll.DBRW($C$1,$C$2,$C$3,$C$4,$C$6,$C$5,$C$7,K$1,K$2,$A148)</f>
        <v>0</v>
      </c>
      <c r="L148" s="33">
        <f ca="1">_xll.DBRW($C$1,$C$2,$C$3,$C$4,$C$6,$C$5,$C$7,L$1,L$2,$A148)</f>
        <v>0</v>
      </c>
      <c r="M148" s="33">
        <f ca="1">_xll.DBRW($C$1,$C$2,$C$3,$C$4,$C$6,$C$5,$C$7,M$1,M$2,$A148)</f>
        <v>0</v>
      </c>
      <c r="N148" s="33">
        <f ca="1">_xll.DBRW($C$1,$C$2,$C$3,$C$4,$C$6,$C$5,$C$7,N$1,N$2,$A148)</f>
        <v>0</v>
      </c>
      <c r="O148" s="33">
        <f ca="1">_xll.DBRW($C$1,$C$2,$C$3,$C$4,$C$6,$C$5,$C$7,O$1,O$2,$A148)</f>
        <v>0</v>
      </c>
      <c r="P148" s="33">
        <f ca="1">_xll.DBRW($C$1,$C$2,$C$3,$C$4,$C$6,$C$5,$C$7,P$1,P$2,$A148)</f>
        <v>0</v>
      </c>
      <c r="Q148" s="33">
        <f ca="1">_xll.DBRW($C$1,$C$2,$C$3,$C$4,$C$6,$C$5,$C$7,Q$1,Q$2,$A148)</f>
        <v>0</v>
      </c>
      <c r="R148" s="33">
        <f ca="1">_xll.DBRW($C$1,$C$2,$C$3,$C$4,$C$6,$C$5,$C$7,R$1,R$2,$A148)</f>
        <v>0</v>
      </c>
      <c r="S148" s="33">
        <f ca="1">_xll.DBRW($C$1,$C$2,$C$3,$C$4,$C$6,$C$5,$C$7,S$1,S$2,$A148)</f>
        <v>0</v>
      </c>
      <c r="T148" s="33">
        <f ca="1">_xll.DBRW($C$1,$C$2,$C$3,$C$4,$C$6,$C$5,$C$7,T$1,T$2,$A148)</f>
        <v>0</v>
      </c>
      <c r="U148" s="33">
        <f ca="1">_xll.DBRW($C$1,$C$2,$C$3,$C$4,$C$6,$C$5,$C$7,U$1,U$2,$A148)</f>
        <v>0</v>
      </c>
      <c r="V148" s="33">
        <f ca="1">_xll.DBRW($C$1,$C$2,$C$3,$C$4,$C$6,$C$5,$C$7,V$1,V$2,$A148)</f>
        <v>0</v>
      </c>
      <c r="W148" s="33">
        <f ca="1">_xll.DBRW($C$1,$C$2,$C$3,$C$4,$C$6,$C$5,$C$7,W$1,W$2,$A148)</f>
        <v>0</v>
      </c>
      <c r="X148" s="33">
        <f ca="1">_xll.DBRW($C$1,$C$2,$C$3,$C$4,$C$6,$C$5,$C$7,X$1,X$2,$A148)</f>
        <v>0</v>
      </c>
      <c r="Y148" s="33">
        <f ca="1">_xll.DBRW($C$1,$C$2,$C$3,$C$4,$C$6,$C$5,$C$7,Y$1,Y$2,$A148)</f>
        <v>0</v>
      </c>
      <c r="Z148" s="33">
        <f ca="1">_xll.DBRW($C$1,$C$2,$C$3,$C$4,$C$6,$C$5,$C$7,Z$1,Z$2,$A148)</f>
        <v>0</v>
      </c>
      <c r="AA148" s="33">
        <f ca="1">_xll.DBRW($C$1,$C$2,$C$3,$C$4,$C$6,$C$5,$C$7,AA$1,AA$2,$A148)</f>
        <v>0</v>
      </c>
      <c r="AB148" s="33">
        <f ca="1">_xll.DBRW($C$1,$C$2,$C$3,$C$4,$C$6,$C$5,$C$7,AB$1,AB$2,$A148)</f>
        <v>0</v>
      </c>
      <c r="AC148" s="33">
        <f ca="1">_xll.DBRW($C$1,$C$2,$C$3,$C$4,$C$6,$C$5,$C$7,AC$1,AC$2,$A148)</f>
        <v>0</v>
      </c>
      <c r="AD148" s="33">
        <f ca="1">_xll.DBRW($C$1,$C$2,$C$3,$C$4,$C$6,$C$5,$C$7,AD$1,AD$2,$A148)</f>
        <v>0</v>
      </c>
      <c r="AE148" s="33">
        <f ca="1">_xll.DBRW($C$1,$C$2,$C$3,$C$4,$C$6,$C$5,$C$7,AE$1,AE$2,$A148)</f>
        <v>0</v>
      </c>
      <c r="AF148" s="33">
        <f ca="1">_xll.DBRW($C$1,$C$2,$C$3,$C$4,$C$6,$C$5,$C$7,AF$1,AF$2,$A148)</f>
        <v>0</v>
      </c>
      <c r="AG148" s="33">
        <f ca="1">_xll.DBRW($C$1,$C$2,$C$3,$C$4,$C$6,$C$5,$C$7,AG$1,AG$2,$A148)</f>
        <v>0</v>
      </c>
      <c r="AH148" s="33">
        <f ca="1">_xll.DBRW($C$1,$C$2,$C$3,$C$4,$C$6,$C$5,$C$7,AH$1,AH$2,$A148)</f>
        <v>0</v>
      </c>
      <c r="AI148" s="33">
        <f ca="1">_xll.DBRW($C$1,$C$2,$C$3,$C$4,$C$6,$C$5,$C$7,AI$1,AI$2,$A148)</f>
        <v>0</v>
      </c>
      <c r="AJ148" s="33">
        <f ca="1">_xll.DBRW($C$1,$C$2,$C$3,$C$4,$C$6,$C$5,$C$7,AJ$1,AJ$2,$A148)</f>
        <v>0</v>
      </c>
      <c r="AK148" s="33">
        <f ca="1">_xll.DBRW($C$1,$C$2,$C$3,$C$4,$C$6,$C$5,$C$7,AK$1,AK$2,$A148)</f>
        <v>0</v>
      </c>
      <c r="AL148" s="33">
        <f ca="1">_xll.DBRW($C$1,$C$2,$C$3,$C$4,$C$6,$C$5,$C$7,AL$1,AL$2,$A148)</f>
        <v>0</v>
      </c>
      <c r="AM148" s="33">
        <f ca="1">_xll.DBRW($C$1,$C$2,$C$3,$C$4,$C$6,$C$5,$C$7,AM$1,AM$2,$A148)</f>
        <v>0</v>
      </c>
      <c r="AN148" s="33">
        <f ca="1">_xll.DBRW($C$1,$C$2,$C$3,$C$4,$C$6,$C$5,$C$7,AN$1,AN$2,$A148)</f>
        <v>0</v>
      </c>
      <c r="AO148" s="33">
        <f ca="1">_xll.DBRW($C$1,$C$2,$C$3,$C$4,$C$6,$C$5,$C$7,AO$1,AO$2,$A148)</f>
        <v>0</v>
      </c>
      <c r="AP148" s="33">
        <f ca="1">_xll.DBRW($C$1,$C$2,$C$3,$C$4,$C$6,$C$5,$C$7,AP$1,AP$2,$A148)</f>
        <v>0</v>
      </c>
      <c r="AQ148" s="33">
        <f ca="1">_xll.DBRW($C$1,$C$2,$C$3,$C$4,$C$6,$C$5,$C$7,AQ$1,AQ$2,$A148)</f>
        <v>0</v>
      </c>
      <c r="AR148" s="33">
        <f ca="1">_xll.DBRW($C$1,$C$2,$C$3,$C$4,$C$6,$C$5,$C$7,AR$1,AR$2,$A148)</f>
        <v>0</v>
      </c>
      <c r="AS148" s="33">
        <f ca="1">_xll.DBRW($C$1,$C$2,$C$3,$C$4,$C$6,$C$5,$C$7,AS$1,AS$2,$A148)</f>
        <v>0</v>
      </c>
      <c r="AT148" s="33">
        <f ca="1">_xll.DBRW($C$1,$C$2,$C$3,$C$4,$C$6,$C$5,$C$7,AT$1,AT$2,$A148)</f>
        <v>0</v>
      </c>
      <c r="AU148" s="33">
        <f ca="1">_xll.DBRW($C$1,$C$2,$C$3,$C$4,$C$6,$C$5,$C$7,AU$1,AU$2,$A148)</f>
        <v>0</v>
      </c>
      <c r="AV148" s="33">
        <f ca="1">_xll.DBRW($C$1,$C$2,$C$3,$C$4,$C$6,$C$5,$C$7,AV$1,AV$2,$A148)</f>
        <v>0</v>
      </c>
      <c r="AW148" s="33">
        <f ca="1">_xll.DBRW($C$1,$C$2,$C$3,$C$4,$C$6,$C$5,$C$7,AW$1,AW$2,$A148)</f>
        <v>0</v>
      </c>
      <c r="AX148" s="33">
        <f ca="1">_xll.DBRW($C$1,$C$2,$C$3,$C$4,$C$6,$C$5,$C$7,AX$1,AX$2,$A148)</f>
        <v>0</v>
      </c>
      <c r="AY148" s="33">
        <f ca="1">_xll.DBRW($C$1,$C$2,$C$3,$C$4,$C$6,$C$5,$C$7,AY$1,AY$2,$A148)</f>
        <v>0</v>
      </c>
    </row>
    <row r="149" spans="1:51" ht="15.75" hidden="1" customHeight="1" outlineLevel="2">
      <c r="A149" s="1" t="s">
        <v>240</v>
      </c>
      <c r="C149" s="109"/>
      <c r="E149" s="9" t="str">
        <f ca="1">_xll.DBRW(Server&amp;"}ElementAttributes_Indicator",A149,"code_English")</f>
        <v>PL1115_DS_99 - Others (DS)</v>
      </c>
      <c r="F149" s="33">
        <f ca="1">_xll.DBRW($C$1,$C$2,$C$3,$C$4,$C$6,$C$5,$C$7,F$1,F$2,$A149)</f>
        <v>0</v>
      </c>
      <c r="G149" s="33">
        <f ca="1">_xll.DBRW($C$1,$C$2,$C$3,$C$4,$C$6,$C$5,$C$7,G$1,G$2,$A149)</f>
        <v>0</v>
      </c>
      <c r="H149" s="33">
        <f ca="1">_xll.DBRW($C$1,$C$2,$C$3,$C$4,$C$6,$C$5,$C$7,H$1,H$2,$A149)</f>
        <v>0</v>
      </c>
      <c r="I149" s="33">
        <f ca="1">_xll.DBRW($C$1,$C$2,$C$3,$C$4,$C$6,$C$5,$C$7,I$1,I$2,$A149)</f>
        <v>0</v>
      </c>
      <c r="J149" s="33">
        <f ca="1">_xll.DBRW($C$1,$C$2,$C$3,$C$4,$C$6,$C$5,$C$7,J$1,J$2,$A149)</f>
        <v>0</v>
      </c>
      <c r="K149" s="33">
        <f ca="1">_xll.DBRW($C$1,$C$2,$C$3,$C$4,$C$6,$C$5,$C$7,K$1,K$2,$A149)</f>
        <v>0</v>
      </c>
      <c r="L149" s="33">
        <f ca="1">_xll.DBRW($C$1,$C$2,$C$3,$C$4,$C$6,$C$5,$C$7,L$1,L$2,$A149)</f>
        <v>0</v>
      </c>
      <c r="M149" s="33">
        <f ca="1">_xll.DBRW($C$1,$C$2,$C$3,$C$4,$C$6,$C$5,$C$7,M$1,M$2,$A149)</f>
        <v>0</v>
      </c>
      <c r="N149" s="33">
        <f ca="1">_xll.DBRW($C$1,$C$2,$C$3,$C$4,$C$6,$C$5,$C$7,N$1,N$2,$A149)</f>
        <v>0</v>
      </c>
      <c r="O149" s="33">
        <f ca="1">_xll.DBRW($C$1,$C$2,$C$3,$C$4,$C$6,$C$5,$C$7,O$1,O$2,$A149)</f>
        <v>0</v>
      </c>
      <c r="P149" s="33">
        <f ca="1">_xll.DBRW($C$1,$C$2,$C$3,$C$4,$C$6,$C$5,$C$7,P$1,P$2,$A149)</f>
        <v>0</v>
      </c>
      <c r="Q149" s="33">
        <f ca="1">_xll.DBRW($C$1,$C$2,$C$3,$C$4,$C$6,$C$5,$C$7,Q$1,Q$2,$A149)</f>
        <v>0</v>
      </c>
      <c r="R149" s="33">
        <f ca="1">_xll.DBRW($C$1,$C$2,$C$3,$C$4,$C$6,$C$5,$C$7,R$1,R$2,$A149)</f>
        <v>0</v>
      </c>
      <c r="S149" s="33">
        <f ca="1">_xll.DBRW($C$1,$C$2,$C$3,$C$4,$C$6,$C$5,$C$7,S$1,S$2,$A149)</f>
        <v>0</v>
      </c>
      <c r="T149" s="33">
        <f ca="1">_xll.DBRW($C$1,$C$2,$C$3,$C$4,$C$6,$C$5,$C$7,T$1,T$2,$A149)</f>
        <v>0</v>
      </c>
      <c r="U149" s="33">
        <f ca="1">_xll.DBRW($C$1,$C$2,$C$3,$C$4,$C$6,$C$5,$C$7,U$1,U$2,$A149)</f>
        <v>0</v>
      </c>
      <c r="V149" s="33">
        <f ca="1">_xll.DBRW($C$1,$C$2,$C$3,$C$4,$C$6,$C$5,$C$7,V$1,V$2,$A149)</f>
        <v>0</v>
      </c>
      <c r="W149" s="33">
        <f ca="1">_xll.DBRW($C$1,$C$2,$C$3,$C$4,$C$6,$C$5,$C$7,W$1,W$2,$A149)</f>
        <v>0</v>
      </c>
      <c r="X149" s="33">
        <f ca="1">_xll.DBRW($C$1,$C$2,$C$3,$C$4,$C$6,$C$5,$C$7,X$1,X$2,$A149)</f>
        <v>0</v>
      </c>
      <c r="Y149" s="33">
        <f ca="1">_xll.DBRW($C$1,$C$2,$C$3,$C$4,$C$6,$C$5,$C$7,Y$1,Y$2,$A149)</f>
        <v>0</v>
      </c>
      <c r="Z149" s="33">
        <f ca="1">_xll.DBRW($C$1,$C$2,$C$3,$C$4,$C$6,$C$5,$C$7,Z$1,Z$2,$A149)</f>
        <v>0</v>
      </c>
      <c r="AA149" s="33">
        <f ca="1">_xll.DBRW($C$1,$C$2,$C$3,$C$4,$C$6,$C$5,$C$7,AA$1,AA$2,$A149)</f>
        <v>0</v>
      </c>
      <c r="AB149" s="33">
        <f ca="1">_xll.DBRW($C$1,$C$2,$C$3,$C$4,$C$6,$C$5,$C$7,AB$1,AB$2,$A149)</f>
        <v>0</v>
      </c>
      <c r="AC149" s="33">
        <f ca="1">_xll.DBRW($C$1,$C$2,$C$3,$C$4,$C$6,$C$5,$C$7,AC$1,AC$2,$A149)</f>
        <v>0</v>
      </c>
      <c r="AD149" s="33">
        <f ca="1">_xll.DBRW($C$1,$C$2,$C$3,$C$4,$C$6,$C$5,$C$7,AD$1,AD$2,$A149)</f>
        <v>0</v>
      </c>
      <c r="AE149" s="33">
        <f ca="1">_xll.DBRW($C$1,$C$2,$C$3,$C$4,$C$6,$C$5,$C$7,AE$1,AE$2,$A149)</f>
        <v>0</v>
      </c>
      <c r="AF149" s="33">
        <f ca="1">_xll.DBRW($C$1,$C$2,$C$3,$C$4,$C$6,$C$5,$C$7,AF$1,AF$2,$A149)</f>
        <v>0</v>
      </c>
      <c r="AG149" s="33">
        <f ca="1">_xll.DBRW($C$1,$C$2,$C$3,$C$4,$C$6,$C$5,$C$7,AG$1,AG$2,$A149)</f>
        <v>0</v>
      </c>
      <c r="AH149" s="33">
        <f ca="1">_xll.DBRW($C$1,$C$2,$C$3,$C$4,$C$6,$C$5,$C$7,AH$1,AH$2,$A149)</f>
        <v>0</v>
      </c>
      <c r="AI149" s="33">
        <f ca="1">_xll.DBRW($C$1,$C$2,$C$3,$C$4,$C$6,$C$5,$C$7,AI$1,AI$2,$A149)</f>
        <v>0</v>
      </c>
      <c r="AJ149" s="33">
        <f ca="1">_xll.DBRW($C$1,$C$2,$C$3,$C$4,$C$6,$C$5,$C$7,AJ$1,AJ$2,$A149)</f>
        <v>0</v>
      </c>
      <c r="AK149" s="33">
        <f ca="1">_xll.DBRW($C$1,$C$2,$C$3,$C$4,$C$6,$C$5,$C$7,AK$1,AK$2,$A149)</f>
        <v>0</v>
      </c>
      <c r="AL149" s="33">
        <f ca="1">_xll.DBRW($C$1,$C$2,$C$3,$C$4,$C$6,$C$5,$C$7,AL$1,AL$2,$A149)</f>
        <v>0</v>
      </c>
      <c r="AM149" s="33">
        <f ca="1">_xll.DBRW($C$1,$C$2,$C$3,$C$4,$C$6,$C$5,$C$7,AM$1,AM$2,$A149)</f>
        <v>0</v>
      </c>
      <c r="AN149" s="33">
        <f ca="1">_xll.DBRW($C$1,$C$2,$C$3,$C$4,$C$6,$C$5,$C$7,AN$1,AN$2,$A149)</f>
        <v>0</v>
      </c>
      <c r="AO149" s="33">
        <f ca="1">_xll.DBRW($C$1,$C$2,$C$3,$C$4,$C$6,$C$5,$C$7,AO$1,AO$2,$A149)</f>
        <v>0</v>
      </c>
      <c r="AP149" s="33">
        <f ca="1">_xll.DBRW($C$1,$C$2,$C$3,$C$4,$C$6,$C$5,$C$7,AP$1,AP$2,$A149)</f>
        <v>0</v>
      </c>
      <c r="AQ149" s="33">
        <f ca="1">_xll.DBRW($C$1,$C$2,$C$3,$C$4,$C$6,$C$5,$C$7,AQ$1,AQ$2,$A149)</f>
        <v>0</v>
      </c>
      <c r="AR149" s="33">
        <f ca="1">_xll.DBRW($C$1,$C$2,$C$3,$C$4,$C$6,$C$5,$C$7,AR$1,AR$2,$A149)</f>
        <v>0</v>
      </c>
      <c r="AS149" s="33">
        <f ca="1">_xll.DBRW($C$1,$C$2,$C$3,$C$4,$C$6,$C$5,$C$7,AS$1,AS$2,$A149)</f>
        <v>0</v>
      </c>
      <c r="AT149" s="33">
        <f ca="1">_xll.DBRW($C$1,$C$2,$C$3,$C$4,$C$6,$C$5,$C$7,AT$1,AT$2,$A149)</f>
        <v>0</v>
      </c>
      <c r="AU149" s="33">
        <f ca="1">_xll.DBRW($C$1,$C$2,$C$3,$C$4,$C$6,$C$5,$C$7,AU$1,AU$2,$A149)</f>
        <v>0</v>
      </c>
      <c r="AV149" s="33">
        <f ca="1">_xll.DBRW($C$1,$C$2,$C$3,$C$4,$C$6,$C$5,$C$7,AV$1,AV$2,$A149)</f>
        <v>0</v>
      </c>
      <c r="AW149" s="33">
        <f ca="1">_xll.DBRW($C$1,$C$2,$C$3,$C$4,$C$6,$C$5,$C$7,AW$1,AW$2,$A149)</f>
        <v>0</v>
      </c>
      <c r="AX149" s="33">
        <f ca="1">_xll.DBRW($C$1,$C$2,$C$3,$C$4,$C$6,$C$5,$C$7,AX$1,AX$2,$A149)</f>
        <v>0</v>
      </c>
      <c r="AY149" s="33">
        <f ca="1">_xll.DBRW($C$1,$C$2,$C$3,$C$4,$C$6,$C$5,$C$7,AY$1,AY$2,$A149)</f>
        <v>0</v>
      </c>
    </row>
    <row r="150" spans="1:51" ht="15.75" hidden="1" customHeight="1" outlineLevel="2">
      <c r="A150" s="1" t="s">
        <v>241</v>
      </c>
      <c r="C150" s="109"/>
      <c r="E150" s="9" t="str">
        <f ca="1">_xll.DBRW(Server&amp;"}ElementAttributes_Indicator",A150,"code_English")</f>
        <v>PL1118_DS - IFRS16 adjustment through P&amp;L (DS)</v>
      </c>
      <c r="F150" s="33">
        <f ca="1">_xll.DBRW($C$1,$C$2,$C$3,$C$4,$C$6,$C$5,$C$7,F$1,F$2,$A150)</f>
        <v>0</v>
      </c>
      <c r="G150" s="33">
        <f ca="1">_xll.DBRW($C$1,$C$2,$C$3,$C$4,$C$6,$C$5,$C$7,G$1,G$2,$A150)</f>
        <v>0</v>
      </c>
      <c r="H150" s="33">
        <f ca="1">_xll.DBRW($C$1,$C$2,$C$3,$C$4,$C$6,$C$5,$C$7,H$1,H$2,$A150)</f>
        <v>0</v>
      </c>
      <c r="I150" s="33">
        <f ca="1">_xll.DBRW($C$1,$C$2,$C$3,$C$4,$C$6,$C$5,$C$7,I$1,I$2,$A150)</f>
        <v>0</v>
      </c>
      <c r="J150" s="33">
        <f ca="1">_xll.DBRW($C$1,$C$2,$C$3,$C$4,$C$6,$C$5,$C$7,J$1,J$2,$A150)</f>
        <v>0</v>
      </c>
      <c r="K150" s="33">
        <f ca="1">_xll.DBRW($C$1,$C$2,$C$3,$C$4,$C$6,$C$5,$C$7,K$1,K$2,$A150)</f>
        <v>0</v>
      </c>
      <c r="L150" s="33">
        <f ca="1">_xll.DBRW($C$1,$C$2,$C$3,$C$4,$C$6,$C$5,$C$7,L$1,L$2,$A150)</f>
        <v>0</v>
      </c>
      <c r="M150" s="33">
        <f ca="1">_xll.DBRW($C$1,$C$2,$C$3,$C$4,$C$6,$C$5,$C$7,M$1,M$2,$A150)</f>
        <v>0</v>
      </c>
      <c r="N150" s="33">
        <f ca="1">_xll.DBRW($C$1,$C$2,$C$3,$C$4,$C$6,$C$5,$C$7,N$1,N$2,$A150)</f>
        <v>0</v>
      </c>
      <c r="O150" s="33">
        <f ca="1">_xll.DBRW($C$1,$C$2,$C$3,$C$4,$C$6,$C$5,$C$7,O$1,O$2,$A150)</f>
        <v>0</v>
      </c>
      <c r="P150" s="33">
        <f ca="1">_xll.DBRW($C$1,$C$2,$C$3,$C$4,$C$6,$C$5,$C$7,P$1,P$2,$A150)</f>
        <v>0</v>
      </c>
      <c r="Q150" s="33">
        <f ca="1">_xll.DBRW($C$1,$C$2,$C$3,$C$4,$C$6,$C$5,$C$7,Q$1,Q$2,$A150)</f>
        <v>0</v>
      </c>
      <c r="R150" s="33">
        <f ca="1">_xll.DBRW($C$1,$C$2,$C$3,$C$4,$C$6,$C$5,$C$7,R$1,R$2,$A150)</f>
        <v>0</v>
      </c>
      <c r="S150" s="33">
        <f ca="1">_xll.DBRW($C$1,$C$2,$C$3,$C$4,$C$6,$C$5,$C$7,S$1,S$2,$A150)</f>
        <v>0</v>
      </c>
      <c r="T150" s="33">
        <f ca="1">_xll.DBRW($C$1,$C$2,$C$3,$C$4,$C$6,$C$5,$C$7,T$1,T$2,$A150)</f>
        <v>0</v>
      </c>
      <c r="U150" s="33">
        <f ca="1">_xll.DBRW($C$1,$C$2,$C$3,$C$4,$C$6,$C$5,$C$7,U$1,U$2,$A150)</f>
        <v>0</v>
      </c>
      <c r="V150" s="33">
        <f ca="1">_xll.DBRW($C$1,$C$2,$C$3,$C$4,$C$6,$C$5,$C$7,V$1,V$2,$A150)</f>
        <v>0</v>
      </c>
      <c r="W150" s="33">
        <f ca="1">_xll.DBRW($C$1,$C$2,$C$3,$C$4,$C$6,$C$5,$C$7,W$1,W$2,$A150)</f>
        <v>0</v>
      </c>
      <c r="X150" s="33">
        <f ca="1">_xll.DBRW($C$1,$C$2,$C$3,$C$4,$C$6,$C$5,$C$7,X$1,X$2,$A150)</f>
        <v>0</v>
      </c>
      <c r="Y150" s="33">
        <f ca="1">_xll.DBRW($C$1,$C$2,$C$3,$C$4,$C$6,$C$5,$C$7,Y$1,Y$2,$A150)</f>
        <v>0</v>
      </c>
      <c r="Z150" s="33">
        <f ca="1">_xll.DBRW($C$1,$C$2,$C$3,$C$4,$C$6,$C$5,$C$7,Z$1,Z$2,$A150)</f>
        <v>0</v>
      </c>
      <c r="AA150" s="33">
        <f ca="1">_xll.DBRW($C$1,$C$2,$C$3,$C$4,$C$6,$C$5,$C$7,AA$1,AA$2,$A150)</f>
        <v>0</v>
      </c>
      <c r="AB150" s="33">
        <f ca="1">_xll.DBRW($C$1,$C$2,$C$3,$C$4,$C$6,$C$5,$C$7,AB$1,AB$2,$A150)</f>
        <v>0</v>
      </c>
      <c r="AC150" s="33">
        <f ca="1">_xll.DBRW($C$1,$C$2,$C$3,$C$4,$C$6,$C$5,$C$7,AC$1,AC$2,$A150)</f>
        <v>0</v>
      </c>
      <c r="AD150" s="33">
        <f ca="1">_xll.DBRW($C$1,$C$2,$C$3,$C$4,$C$6,$C$5,$C$7,AD$1,AD$2,$A150)</f>
        <v>0</v>
      </c>
      <c r="AE150" s="33">
        <f ca="1">_xll.DBRW($C$1,$C$2,$C$3,$C$4,$C$6,$C$5,$C$7,AE$1,AE$2,$A150)</f>
        <v>0</v>
      </c>
      <c r="AF150" s="33">
        <f ca="1">_xll.DBRW($C$1,$C$2,$C$3,$C$4,$C$6,$C$5,$C$7,AF$1,AF$2,$A150)</f>
        <v>0</v>
      </c>
      <c r="AG150" s="33">
        <f ca="1">_xll.DBRW($C$1,$C$2,$C$3,$C$4,$C$6,$C$5,$C$7,AG$1,AG$2,$A150)</f>
        <v>0</v>
      </c>
      <c r="AH150" s="33">
        <f ca="1">_xll.DBRW($C$1,$C$2,$C$3,$C$4,$C$6,$C$5,$C$7,AH$1,AH$2,$A150)</f>
        <v>0</v>
      </c>
      <c r="AI150" s="33">
        <f ca="1">_xll.DBRW($C$1,$C$2,$C$3,$C$4,$C$6,$C$5,$C$7,AI$1,AI$2,$A150)</f>
        <v>0</v>
      </c>
      <c r="AJ150" s="33">
        <f ca="1">_xll.DBRW($C$1,$C$2,$C$3,$C$4,$C$6,$C$5,$C$7,AJ$1,AJ$2,$A150)</f>
        <v>0</v>
      </c>
      <c r="AK150" s="33">
        <f ca="1">_xll.DBRW($C$1,$C$2,$C$3,$C$4,$C$6,$C$5,$C$7,AK$1,AK$2,$A150)</f>
        <v>0</v>
      </c>
      <c r="AL150" s="33">
        <f ca="1">_xll.DBRW($C$1,$C$2,$C$3,$C$4,$C$6,$C$5,$C$7,AL$1,AL$2,$A150)</f>
        <v>0</v>
      </c>
      <c r="AM150" s="33">
        <f ca="1">_xll.DBRW($C$1,$C$2,$C$3,$C$4,$C$6,$C$5,$C$7,AM$1,AM$2,$A150)</f>
        <v>0</v>
      </c>
      <c r="AN150" s="33">
        <f ca="1">_xll.DBRW($C$1,$C$2,$C$3,$C$4,$C$6,$C$5,$C$7,AN$1,AN$2,$A150)</f>
        <v>0</v>
      </c>
      <c r="AO150" s="33">
        <f ca="1">_xll.DBRW($C$1,$C$2,$C$3,$C$4,$C$6,$C$5,$C$7,AO$1,AO$2,$A150)</f>
        <v>0</v>
      </c>
      <c r="AP150" s="33">
        <f ca="1">_xll.DBRW($C$1,$C$2,$C$3,$C$4,$C$6,$C$5,$C$7,AP$1,AP$2,$A150)</f>
        <v>0</v>
      </c>
      <c r="AQ150" s="33">
        <f ca="1">_xll.DBRW($C$1,$C$2,$C$3,$C$4,$C$6,$C$5,$C$7,AQ$1,AQ$2,$A150)</f>
        <v>0</v>
      </c>
      <c r="AR150" s="33">
        <f ca="1">_xll.DBRW($C$1,$C$2,$C$3,$C$4,$C$6,$C$5,$C$7,AR$1,AR$2,$A150)</f>
        <v>0</v>
      </c>
      <c r="AS150" s="33">
        <f ca="1">_xll.DBRW($C$1,$C$2,$C$3,$C$4,$C$6,$C$5,$C$7,AS$1,AS$2,$A150)</f>
        <v>0</v>
      </c>
      <c r="AT150" s="33">
        <f ca="1">_xll.DBRW($C$1,$C$2,$C$3,$C$4,$C$6,$C$5,$C$7,AT$1,AT$2,$A150)</f>
        <v>0</v>
      </c>
      <c r="AU150" s="33">
        <f ca="1">_xll.DBRW($C$1,$C$2,$C$3,$C$4,$C$6,$C$5,$C$7,AU$1,AU$2,$A150)</f>
        <v>0</v>
      </c>
      <c r="AV150" s="33">
        <f ca="1">_xll.DBRW($C$1,$C$2,$C$3,$C$4,$C$6,$C$5,$C$7,AV$1,AV$2,$A150)</f>
        <v>0</v>
      </c>
      <c r="AW150" s="33">
        <f ca="1">_xll.DBRW($C$1,$C$2,$C$3,$C$4,$C$6,$C$5,$C$7,AW$1,AW$2,$A150)</f>
        <v>0</v>
      </c>
      <c r="AX150" s="33">
        <f ca="1">_xll.DBRW($C$1,$C$2,$C$3,$C$4,$C$6,$C$5,$C$7,AX$1,AX$2,$A150)</f>
        <v>0</v>
      </c>
      <c r="AY150" s="33">
        <f ca="1">_xll.DBRW($C$1,$C$2,$C$3,$C$4,$C$6,$C$5,$C$7,AY$1,AY$2,$A150)</f>
        <v>0</v>
      </c>
    </row>
    <row r="151" spans="1:51" ht="15.75" hidden="1" customHeight="1" outlineLevel="2">
      <c r="A151" s="1" t="s">
        <v>242</v>
      </c>
      <c r="C151" s="109"/>
      <c r="E151" s="9" t="str">
        <f ca="1">_xll.DBRW(Server&amp;"}ElementAttributes_Indicator",A151,"code_English")</f>
        <v>PL1140_DS_10 - Amortization (DS)</v>
      </c>
      <c r="F151" s="33">
        <f ca="1">_xll.DBRW($C$1,$C$2,$C$3,$C$4,$C$6,$C$5,$C$7,F$1,F$2,$A151)</f>
        <v>0</v>
      </c>
      <c r="G151" s="33">
        <f ca="1">_xll.DBRW($C$1,$C$2,$C$3,$C$4,$C$6,$C$5,$C$7,G$1,G$2,$A151)</f>
        <v>0</v>
      </c>
      <c r="H151" s="33">
        <f ca="1">_xll.DBRW($C$1,$C$2,$C$3,$C$4,$C$6,$C$5,$C$7,H$1,H$2,$A151)</f>
        <v>0</v>
      </c>
      <c r="I151" s="33">
        <f ca="1">_xll.DBRW($C$1,$C$2,$C$3,$C$4,$C$6,$C$5,$C$7,I$1,I$2,$A151)</f>
        <v>0</v>
      </c>
      <c r="J151" s="33">
        <f ca="1">_xll.DBRW($C$1,$C$2,$C$3,$C$4,$C$6,$C$5,$C$7,J$1,J$2,$A151)</f>
        <v>0</v>
      </c>
      <c r="K151" s="33">
        <f ca="1">_xll.DBRW($C$1,$C$2,$C$3,$C$4,$C$6,$C$5,$C$7,K$1,K$2,$A151)</f>
        <v>0</v>
      </c>
      <c r="L151" s="33">
        <f ca="1">_xll.DBRW($C$1,$C$2,$C$3,$C$4,$C$6,$C$5,$C$7,L$1,L$2,$A151)</f>
        <v>0</v>
      </c>
      <c r="M151" s="33">
        <f ca="1">_xll.DBRW($C$1,$C$2,$C$3,$C$4,$C$6,$C$5,$C$7,M$1,M$2,$A151)</f>
        <v>0</v>
      </c>
      <c r="N151" s="33">
        <f ca="1">_xll.DBRW($C$1,$C$2,$C$3,$C$4,$C$6,$C$5,$C$7,N$1,N$2,$A151)</f>
        <v>0</v>
      </c>
      <c r="O151" s="33">
        <f ca="1">_xll.DBRW($C$1,$C$2,$C$3,$C$4,$C$6,$C$5,$C$7,O$1,O$2,$A151)</f>
        <v>0</v>
      </c>
      <c r="P151" s="33">
        <f ca="1">_xll.DBRW($C$1,$C$2,$C$3,$C$4,$C$6,$C$5,$C$7,P$1,P$2,$A151)</f>
        <v>0</v>
      </c>
      <c r="Q151" s="33">
        <f ca="1">_xll.DBRW($C$1,$C$2,$C$3,$C$4,$C$6,$C$5,$C$7,Q$1,Q$2,$A151)</f>
        <v>0</v>
      </c>
      <c r="R151" s="33">
        <f ca="1">_xll.DBRW($C$1,$C$2,$C$3,$C$4,$C$6,$C$5,$C$7,R$1,R$2,$A151)</f>
        <v>0</v>
      </c>
      <c r="S151" s="33">
        <f ca="1">_xll.DBRW($C$1,$C$2,$C$3,$C$4,$C$6,$C$5,$C$7,S$1,S$2,$A151)</f>
        <v>0</v>
      </c>
      <c r="T151" s="33">
        <f ca="1">_xll.DBRW($C$1,$C$2,$C$3,$C$4,$C$6,$C$5,$C$7,T$1,T$2,$A151)</f>
        <v>0</v>
      </c>
      <c r="U151" s="33">
        <f ca="1">_xll.DBRW($C$1,$C$2,$C$3,$C$4,$C$6,$C$5,$C$7,U$1,U$2,$A151)</f>
        <v>0</v>
      </c>
      <c r="V151" s="33">
        <f ca="1">_xll.DBRW($C$1,$C$2,$C$3,$C$4,$C$6,$C$5,$C$7,V$1,V$2,$A151)</f>
        <v>0</v>
      </c>
      <c r="W151" s="33">
        <f ca="1">_xll.DBRW($C$1,$C$2,$C$3,$C$4,$C$6,$C$5,$C$7,W$1,W$2,$A151)</f>
        <v>0</v>
      </c>
      <c r="X151" s="33">
        <f ca="1">_xll.DBRW($C$1,$C$2,$C$3,$C$4,$C$6,$C$5,$C$7,X$1,X$2,$A151)</f>
        <v>0</v>
      </c>
      <c r="Y151" s="33">
        <f ca="1">_xll.DBRW($C$1,$C$2,$C$3,$C$4,$C$6,$C$5,$C$7,Y$1,Y$2,$A151)</f>
        <v>0</v>
      </c>
      <c r="Z151" s="33">
        <f ca="1">_xll.DBRW($C$1,$C$2,$C$3,$C$4,$C$6,$C$5,$C$7,Z$1,Z$2,$A151)</f>
        <v>0</v>
      </c>
      <c r="AA151" s="33">
        <f ca="1">_xll.DBRW($C$1,$C$2,$C$3,$C$4,$C$6,$C$5,$C$7,AA$1,AA$2,$A151)</f>
        <v>0</v>
      </c>
      <c r="AB151" s="33">
        <f ca="1">_xll.DBRW($C$1,$C$2,$C$3,$C$4,$C$6,$C$5,$C$7,AB$1,AB$2,$A151)</f>
        <v>0</v>
      </c>
      <c r="AC151" s="33">
        <f ca="1">_xll.DBRW($C$1,$C$2,$C$3,$C$4,$C$6,$C$5,$C$7,AC$1,AC$2,$A151)</f>
        <v>0</v>
      </c>
      <c r="AD151" s="33">
        <f ca="1">_xll.DBRW($C$1,$C$2,$C$3,$C$4,$C$6,$C$5,$C$7,AD$1,AD$2,$A151)</f>
        <v>0</v>
      </c>
      <c r="AE151" s="33">
        <f ca="1">_xll.DBRW($C$1,$C$2,$C$3,$C$4,$C$6,$C$5,$C$7,AE$1,AE$2,$A151)</f>
        <v>0</v>
      </c>
      <c r="AF151" s="33">
        <f ca="1">_xll.DBRW($C$1,$C$2,$C$3,$C$4,$C$6,$C$5,$C$7,AF$1,AF$2,$A151)</f>
        <v>0</v>
      </c>
      <c r="AG151" s="33">
        <f ca="1">_xll.DBRW($C$1,$C$2,$C$3,$C$4,$C$6,$C$5,$C$7,AG$1,AG$2,$A151)</f>
        <v>0</v>
      </c>
      <c r="AH151" s="33">
        <f ca="1">_xll.DBRW($C$1,$C$2,$C$3,$C$4,$C$6,$C$5,$C$7,AH$1,AH$2,$A151)</f>
        <v>0</v>
      </c>
      <c r="AI151" s="33">
        <f ca="1">_xll.DBRW($C$1,$C$2,$C$3,$C$4,$C$6,$C$5,$C$7,AI$1,AI$2,$A151)</f>
        <v>0</v>
      </c>
      <c r="AJ151" s="33">
        <f ca="1">_xll.DBRW($C$1,$C$2,$C$3,$C$4,$C$6,$C$5,$C$7,AJ$1,AJ$2,$A151)</f>
        <v>0</v>
      </c>
      <c r="AK151" s="33">
        <f ca="1">_xll.DBRW($C$1,$C$2,$C$3,$C$4,$C$6,$C$5,$C$7,AK$1,AK$2,$A151)</f>
        <v>0</v>
      </c>
      <c r="AL151" s="33">
        <f ca="1">_xll.DBRW($C$1,$C$2,$C$3,$C$4,$C$6,$C$5,$C$7,AL$1,AL$2,$A151)</f>
        <v>0</v>
      </c>
      <c r="AM151" s="33">
        <f ca="1">_xll.DBRW($C$1,$C$2,$C$3,$C$4,$C$6,$C$5,$C$7,AM$1,AM$2,$A151)</f>
        <v>0</v>
      </c>
      <c r="AN151" s="33">
        <f ca="1">_xll.DBRW($C$1,$C$2,$C$3,$C$4,$C$6,$C$5,$C$7,AN$1,AN$2,$A151)</f>
        <v>0</v>
      </c>
      <c r="AO151" s="33">
        <f ca="1">_xll.DBRW($C$1,$C$2,$C$3,$C$4,$C$6,$C$5,$C$7,AO$1,AO$2,$A151)</f>
        <v>0</v>
      </c>
      <c r="AP151" s="33">
        <f ca="1">_xll.DBRW($C$1,$C$2,$C$3,$C$4,$C$6,$C$5,$C$7,AP$1,AP$2,$A151)</f>
        <v>0</v>
      </c>
      <c r="AQ151" s="33">
        <f ca="1">_xll.DBRW($C$1,$C$2,$C$3,$C$4,$C$6,$C$5,$C$7,AQ$1,AQ$2,$A151)</f>
        <v>0</v>
      </c>
      <c r="AR151" s="33">
        <f ca="1">_xll.DBRW($C$1,$C$2,$C$3,$C$4,$C$6,$C$5,$C$7,AR$1,AR$2,$A151)</f>
        <v>0</v>
      </c>
      <c r="AS151" s="33">
        <f ca="1">_xll.DBRW($C$1,$C$2,$C$3,$C$4,$C$6,$C$5,$C$7,AS$1,AS$2,$A151)</f>
        <v>0</v>
      </c>
      <c r="AT151" s="33">
        <f ca="1">_xll.DBRW($C$1,$C$2,$C$3,$C$4,$C$6,$C$5,$C$7,AT$1,AT$2,$A151)</f>
        <v>0</v>
      </c>
      <c r="AU151" s="33">
        <f ca="1">_xll.DBRW($C$1,$C$2,$C$3,$C$4,$C$6,$C$5,$C$7,AU$1,AU$2,$A151)</f>
        <v>0</v>
      </c>
      <c r="AV151" s="33">
        <f ca="1">_xll.DBRW($C$1,$C$2,$C$3,$C$4,$C$6,$C$5,$C$7,AV$1,AV$2,$A151)</f>
        <v>0</v>
      </c>
      <c r="AW151" s="33">
        <f ca="1">_xll.DBRW($C$1,$C$2,$C$3,$C$4,$C$6,$C$5,$C$7,AW$1,AW$2,$A151)</f>
        <v>0</v>
      </c>
      <c r="AX151" s="33">
        <f ca="1">_xll.DBRW($C$1,$C$2,$C$3,$C$4,$C$6,$C$5,$C$7,AX$1,AX$2,$A151)</f>
        <v>0</v>
      </c>
      <c r="AY151" s="33">
        <f ca="1">_xll.DBRW($C$1,$C$2,$C$3,$C$4,$C$6,$C$5,$C$7,AY$1,AY$2,$A151)</f>
        <v>0</v>
      </c>
    </row>
    <row r="152" spans="1:51" ht="15.75" hidden="1" customHeight="1" outlineLevel="2">
      <c r="A152" s="1" t="s">
        <v>243</v>
      </c>
      <c r="C152" s="109"/>
      <c r="E152" s="9" t="str">
        <f ca="1">_xll.DBRW(Server&amp;"}ElementAttributes_Indicator",A152,"code_English")</f>
        <v>PL1150_DS_10 - Impairment (other than working capital) and provisions - related to staff costs (DS)</v>
      </c>
      <c r="F152" s="33">
        <f ca="1">_xll.DBRW($C$1,$C$2,$C$3,$C$4,$C$6,$C$5,$C$7,F$1,F$2,$A152)</f>
        <v>0</v>
      </c>
      <c r="G152" s="33">
        <f ca="1">_xll.DBRW($C$1,$C$2,$C$3,$C$4,$C$6,$C$5,$C$7,G$1,G$2,$A152)</f>
        <v>0</v>
      </c>
      <c r="H152" s="33">
        <f ca="1">_xll.DBRW($C$1,$C$2,$C$3,$C$4,$C$6,$C$5,$C$7,H$1,H$2,$A152)</f>
        <v>0</v>
      </c>
      <c r="I152" s="33">
        <f ca="1">_xll.DBRW($C$1,$C$2,$C$3,$C$4,$C$6,$C$5,$C$7,I$1,I$2,$A152)</f>
        <v>0</v>
      </c>
      <c r="J152" s="33">
        <f ca="1">_xll.DBRW($C$1,$C$2,$C$3,$C$4,$C$6,$C$5,$C$7,J$1,J$2,$A152)</f>
        <v>0</v>
      </c>
      <c r="K152" s="33">
        <f ca="1">_xll.DBRW($C$1,$C$2,$C$3,$C$4,$C$6,$C$5,$C$7,K$1,K$2,$A152)</f>
        <v>0</v>
      </c>
      <c r="L152" s="33">
        <f ca="1">_xll.DBRW($C$1,$C$2,$C$3,$C$4,$C$6,$C$5,$C$7,L$1,L$2,$A152)</f>
        <v>0</v>
      </c>
      <c r="M152" s="33">
        <f ca="1">_xll.DBRW($C$1,$C$2,$C$3,$C$4,$C$6,$C$5,$C$7,M$1,M$2,$A152)</f>
        <v>0</v>
      </c>
      <c r="N152" s="33">
        <f ca="1">_xll.DBRW($C$1,$C$2,$C$3,$C$4,$C$6,$C$5,$C$7,N$1,N$2,$A152)</f>
        <v>0</v>
      </c>
      <c r="O152" s="33">
        <f ca="1">_xll.DBRW($C$1,$C$2,$C$3,$C$4,$C$6,$C$5,$C$7,O$1,O$2,$A152)</f>
        <v>0</v>
      </c>
      <c r="P152" s="33">
        <f ca="1">_xll.DBRW($C$1,$C$2,$C$3,$C$4,$C$6,$C$5,$C$7,P$1,P$2,$A152)</f>
        <v>0</v>
      </c>
      <c r="Q152" s="33">
        <f ca="1">_xll.DBRW($C$1,$C$2,$C$3,$C$4,$C$6,$C$5,$C$7,Q$1,Q$2,$A152)</f>
        <v>0</v>
      </c>
      <c r="R152" s="33">
        <f ca="1">_xll.DBRW($C$1,$C$2,$C$3,$C$4,$C$6,$C$5,$C$7,R$1,R$2,$A152)</f>
        <v>0</v>
      </c>
      <c r="S152" s="33">
        <f ca="1">_xll.DBRW($C$1,$C$2,$C$3,$C$4,$C$6,$C$5,$C$7,S$1,S$2,$A152)</f>
        <v>0</v>
      </c>
      <c r="T152" s="33">
        <f ca="1">_xll.DBRW($C$1,$C$2,$C$3,$C$4,$C$6,$C$5,$C$7,T$1,T$2,$A152)</f>
        <v>0</v>
      </c>
      <c r="U152" s="33">
        <f ca="1">_xll.DBRW($C$1,$C$2,$C$3,$C$4,$C$6,$C$5,$C$7,U$1,U$2,$A152)</f>
        <v>0</v>
      </c>
      <c r="V152" s="33">
        <f ca="1">_xll.DBRW($C$1,$C$2,$C$3,$C$4,$C$6,$C$5,$C$7,V$1,V$2,$A152)</f>
        <v>0</v>
      </c>
      <c r="W152" s="33">
        <f ca="1">_xll.DBRW($C$1,$C$2,$C$3,$C$4,$C$6,$C$5,$C$7,W$1,W$2,$A152)</f>
        <v>0</v>
      </c>
      <c r="X152" s="33">
        <f ca="1">_xll.DBRW($C$1,$C$2,$C$3,$C$4,$C$6,$C$5,$C$7,X$1,X$2,$A152)</f>
        <v>0</v>
      </c>
      <c r="Y152" s="33">
        <f ca="1">_xll.DBRW($C$1,$C$2,$C$3,$C$4,$C$6,$C$5,$C$7,Y$1,Y$2,$A152)</f>
        <v>0</v>
      </c>
      <c r="Z152" s="33">
        <f ca="1">_xll.DBRW($C$1,$C$2,$C$3,$C$4,$C$6,$C$5,$C$7,Z$1,Z$2,$A152)</f>
        <v>0</v>
      </c>
      <c r="AA152" s="33">
        <f ca="1">_xll.DBRW($C$1,$C$2,$C$3,$C$4,$C$6,$C$5,$C$7,AA$1,AA$2,$A152)</f>
        <v>0</v>
      </c>
      <c r="AB152" s="33">
        <f ca="1">_xll.DBRW($C$1,$C$2,$C$3,$C$4,$C$6,$C$5,$C$7,AB$1,AB$2,$A152)</f>
        <v>0</v>
      </c>
      <c r="AC152" s="33">
        <f ca="1">_xll.DBRW($C$1,$C$2,$C$3,$C$4,$C$6,$C$5,$C$7,AC$1,AC$2,$A152)</f>
        <v>0</v>
      </c>
      <c r="AD152" s="33">
        <f ca="1">_xll.DBRW($C$1,$C$2,$C$3,$C$4,$C$6,$C$5,$C$7,AD$1,AD$2,$A152)</f>
        <v>0</v>
      </c>
      <c r="AE152" s="33">
        <f ca="1">_xll.DBRW($C$1,$C$2,$C$3,$C$4,$C$6,$C$5,$C$7,AE$1,AE$2,$A152)</f>
        <v>0</v>
      </c>
      <c r="AF152" s="33">
        <f ca="1">_xll.DBRW($C$1,$C$2,$C$3,$C$4,$C$6,$C$5,$C$7,AF$1,AF$2,$A152)</f>
        <v>0</v>
      </c>
      <c r="AG152" s="33">
        <f ca="1">_xll.DBRW($C$1,$C$2,$C$3,$C$4,$C$6,$C$5,$C$7,AG$1,AG$2,$A152)</f>
        <v>0</v>
      </c>
      <c r="AH152" s="33">
        <f ca="1">_xll.DBRW($C$1,$C$2,$C$3,$C$4,$C$6,$C$5,$C$7,AH$1,AH$2,$A152)</f>
        <v>0</v>
      </c>
      <c r="AI152" s="33">
        <f ca="1">_xll.DBRW($C$1,$C$2,$C$3,$C$4,$C$6,$C$5,$C$7,AI$1,AI$2,$A152)</f>
        <v>0</v>
      </c>
      <c r="AJ152" s="33">
        <f ca="1">_xll.DBRW($C$1,$C$2,$C$3,$C$4,$C$6,$C$5,$C$7,AJ$1,AJ$2,$A152)</f>
        <v>0</v>
      </c>
      <c r="AK152" s="33">
        <f ca="1">_xll.DBRW($C$1,$C$2,$C$3,$C$4,$C$6,$C$5,$C$7,AK$1,AK$2,$A152)</f>
        <v>0</v>
      </c>
      <c r="AL152" s="33">
        <f ca="1">_xll.DBRW($C$1,$C$2,$C$3,$C$4,$C$6,$C$5,$C$7,AL$1,AL$2,$A152)</f>
        <v>0</v>
      </c>
      <c r="AM152" s="33">
        <f ca="1">_xll.DBRW($C$1,$C$2,$C$3,$C$4,$C$6,$C$5,$C$7,AM$1,AM$2,$A152)</f>
        <v>0</v>
      </c>
      <c r="AN152" s="33">
        <f ca="1">_xll.DBRW($C$1,$C$2,$C$3,$C$4,$C$6,$C$5,$C$7,AN$1,AN$2,$A152)</f>
        <v>0</v>
      </c>
      <c r="AO152" s="33">
        <f ca="1">_xll.DBRW($C$1,$C$2,$C$3,$C$4,$C$6,$C$5,$C$7,AO$1,AO$2,$A152)</f>
        <v>0</v>
      </c>
      <c r="AP152" s="33">
        <f ca="1">_xll.DBRW($C$1,$C$2,$C$3,$C$4,$C$6,$C$5,$C$7,AP$1,AP$2,$A152)</f>
        <v>0</v>
      </c>
      <c r="AQ152" s="33">
        <f ca="1">_xll.DBRW($C$1,$C$2,$C$3,$C$4,$C$6,$C$5,$C$7,AQ$1,AQ$2,$A152)</f>
        <v>0</v>
      </c>
      <c r="AR152" s="33">
        <f ca="1">_xll.DBRW($C$1,$C$2,$C$3,$C$4,$C$6,$C$5,$C$7,AR$1,AR$2,$A152)</f>
        <v>0</v>
      </c>
      <c r="AS152" s="33">
        <f ca="1">_xll.DBRW($C$1,$C$2,$C$3,$C$4,$C$6,$C$5,$C$7,AS$1,AS$2,$A152)</f>
        <v>0</v>
      </c>
      <c r="AT152" s="33">
        <f ca="1">_xll.DBRW($C$1,$C$2,$C$3,$C$4,$C$6,$C$5,$C$7,AT$1,AT$2,$A152)</f>
        <v>0</v>
      </c>
      <c r="AU152" s="33">
        <f ca="1">_xll.DBRW($C$1,$C$2,$C$3,$C$4,$C$6,$C$5,$C$7,AU$1,AU$2,$A152)</f>
        <v>0</v>
      </c>
      <c r="AV152" s="33">
        <f ca="1">_xll.DBRW($C$1,$C$2,$C$3,$C$4,$C$6,$C$5,$C$7,AV$1,AV$2,$A152)</f>
        <v>0</v>
      </c>
      <c r="AW152" s="33">
        <f ca="1">_xll.DBRW($C$1,$C$2,$C$3,$C$4,$C$6,$C$5,$C$7,AW$1,AW$2,$A152)</f>
        <v>0</v>
      </c>
      <c r="AX152" s="33">
        <f ca="1">_xll.DBRW($C$1,$C$2,$C$3,$C$4,$C$6,$C$5,$C$7,AX$1,AX$2,$A152)</f>
        <v>0</v>
      </c>
      <c r="AY152" s="33">
        <f ca="1">_xll.DBRW($C$1,$C$2,$C$3,$C$4,$C$6,$C$5,$C$7,AY$1,AY$2,$A152)</f>
        <v>0</v>
      </c>
    </row>
    <row r="153" spans="1:51" ht="15.75" hidden="1" customHeight="1" outlineLevel="2">
      <c r="A153" s="1" t="s">
        <v>244</v>
      </c>
      <c r="C153" s="109"/>
      <c r="E153" s="9" t="str">
        <f ca="1">_xll.DBRW(Server&amp;"}ElementAttributes_Indicator",A153,"code_English")</f>
        <v>PL1150_DS_11 - Impairment (other than working capital) and provisions - related to staff costs - Reversal (DS)</v>
      </c>
      <c r="F153" s="33">
        <f ca="1">_xll.DBRW($C$1,$C$2,$C$3,$C$4,$C$6,$C$5,$C$7,F$1,F$2,$A153)</f>
        <v>0</v>
      </c>
      <c r="G153" s="33">
        <f ca="1">_xll.DBRW($C$1,$C$2,$C$3,$C$4,$C$6,$C$5,$C$7,G$1,G$2,$A153)</f>
        <v>0</v>
      </c>
      <c r="H153" s="33">
        <f ca="1">_xll.DBRW($C$1,$C$2,$C$3,$C$4,$C$6,$C$5,$C$7,H$1,H$2,$A153)</f>
        <v>0</v>
      </c>
      <c r="I153" s="33">
        <f ca="1">_xll.DBRW($C$1,$C$2,$C$3,$C$4,$C$6,$C$5,$C$7,I$1,I$2,$A153)</f>
        <v>0</v>
      </c>
      <c r="J153" s="33">
        <f ca="1">_xll.DBRW($C$1,$C$2,$C$3,$C$4,$C$6,$C$5,$C$7,J$1,J$2,$A153)</f>
        <v>0</v>
      </c>
      <c r="K153" s="33">
        <f ca="1">_xll.DBRW($C$1,$C$2,$C$3,$C$4,$C$6,$C$5,$C$7,K$1,K$2,$A153)</f>
        <v>0</v>
      </c>
      <c r="L153" s="33">
        <f ca="1">_xll.DBRW($C$1,$C$2,$C$3,$C$4,$C$6,$C$5,$C$7,L$1,L$2,$A153)</f>
        <v>0</v>
      </c>
      <c r="M153" s="33">
        <f ca="1">_xll.DBRW($C$1,$C$2,$C$3,$C$4,$C$6,$C$5,$C$7,M$1,M$2,$A153)</f>
        <v>0</v>
      </c>
      <c r="N153" s="33">
        <f ca="1">_xll.DBRW($C$1,$C$2,$C$3,$C$4,$C$6,$C$5,$C$7,N$1,N$2,$A153)</f>
        <v>0</v>
      </c>
      <c r="O153" s="33">
        <f ca="1">_xll.DBRW($C$1,$C$2,$C$3,$C$4,$C$6,$C$5,$C$7,O$1,O$2,$A153)</f>
        <v>0</v>
      </c>
      <c r="P153" s="33">
        <f ca="1">_xll.DBRW($C$1,$C$2,$C$3,$C$4,$C$6,$C$5,$C$7,P$1,P$2,$A153)</f>
        <v>0</v>
      </c>
      <c r="Q153" s="33">
        <f ca="1">_xll.DBRW($C$1,$C$2,$C$3,$C$4,$C$6,$C$5,$C$7,Q$1,Q$2,$A153)</f>
        <v>0</v>
      </c>
      <c r="R153" s="33">
        <f ca="1">_xll.DBRW($C$1,$C$2,$C$3,$C$4,$C$6,$C$5,$C$7,R$1,R$2,$A153)</f>
        <v>0</v>
      </c>
      <c r="S153" s="33">
        <f ca="1">_xll.DBRW($C$1,$C$2,$C$3,$C$4,$C$6,$C$5,$C$7,S$1,S$2,$A153)</f>
        <v>0</v>
      </c>
      <c r="T153" s="33">
        <f ca="1">_xll.DBRW($C$1,$C$2,$C$3,$C$4,$C$6,$C$5,$C$7,T$1,T$2,$A153)</f>
        <v>0</v>
      </c>
      <c r="U153" s="33">
        <f ca="1">_xll.DBRW($C$1,$C$2,$C$3,$C$4,$C$6,$C$5,$C$7,U$1,U$2,$A153)</f>
        <v>0</v>
      </c>
      <c r="V153" s="33">
        <f ca="1">_xll.DBRW($C$1,$C$2,$C$3,$C$4,$C$6,$C$5,$C$7,V$1,V$2,$A153)</f>
        <v>0</v>
      </c>
      <c r="W153" s="33">
        <f ca="1">_xll.DBRW($C$1,$C$2,$C$3,$C$4,$C$6,$C$5,$C$7,W$1,W$2,$A153)</f>
        <v>0</v>
      </c>
      <c r="X153" s="33">
        <f ca="1">_xll.DBRW($C$1,$C$2,$C$3,$C$4,$C$6,$C$5,$C$7,X$1,X$2,$A153)</f>
        <v>0</v>
      </c>
      <c r="Y153" s="33">
        <f ca="1">_xll.DBRW($C$1,$C$2,$C$3,$C$4,$C$6,$C$5,$C$7,Y$1,Y$2,$A153)</f>
        <v>0</v>
      </c>
      <c r="Z153" s="33">
        <f ca="1">_xll.DBRW($C$1,$C$2,$C$3,$C$4,$C$6,$C$5,$C$7,Z$1,Z$2,$A153)</f>
        <v>0</v>
      </c>
      <c r="AA153" s="33">
        <f ca="1">_xll.DBRW($C$1,$C$2,$C$3,$C$4,$C$6,$C$5,$C$7,AA$1,AA$2,$A153)</f>
        <v>0</v>
      </c>
      <c r="AB153" s="33">
        <f ca="1">_xll.DBRW($C$1,$C$2,$C$3,$C$4,$C$6,$C$5,$C$7,AB$1,AB$2,$A153)</f>
        <v>0</v>
      </c>
      <c r="AC153" s="33">
        <f ca="1">_xll.DBRW($C$1,$C$2,$C$3,$C$4,$C$6,$C$5,$C$7,AC$1,AC$2,$A153)</f>
        <v>0</v>
      </c>
      <c r="AD153" s="33">
        <f ca="1">_xll.DBRW($C$1,$C$2,$C$3,$C$4,$C$6,$C$5,$C$7,AD$1,AD$2,$A153)</f>
        <v>0</v>
      </c>
      <c r="AE153" s="33">
        <f ca="1">_xll.DBRW($C$1,$C$2,$C$3,$C$4,$C$6,$C$5,$C$7,AE$1,AE$2,$A153)</f>
        <v>0</v>
      </c>
      <c r="AF153" s="33">
        <f ca="1">_xll.DBRW($C$1,$C$2,$C$3,$C$4,$C$6,$C$5,$C$7,AF$1,AF$2,$A153)</f>
        <v>0</v>
      </c>
      <c r="AG153" s="33">
        <f ca="1">_xll.DBRW($C$1,$C$2,$C$3,$C$4,$C$6,$C$5,$C$7,AG$1,AG$2,$A153)</f>
        <v>0</v>
      </c>
      <c r="AH153" s="33">
        <f ca="1">_xll.DBRW($C$1,$C$2,$C$3,$C$4,$C$6,$C$5,$C$7,AH$1,AH$2,$A153)</f>
        <v>0</v>
      </c>
      <c r="AI153" s="33">
        <f ca="1">_xll.DBRW($C$1,$C$2,$C$3,$C$4,$C$6,$C$5,$C$7,AI$1,AI$2,$A153)</f>
        <v>0</v>
      </c>
      <c r="AJ153" s="33">
        <f ca="1">_xll.DBRW($C$1,$C$2,$C$3,$C$4,$C$6,$C$5,$C$7,AJ$1,AJ$2,$A153)</f>
        <v>0</v>
      </c>
      <c r="AK153" s="33">
        <f ca="1">_xll.DBRW($C$1,$C$2,$C$3,$C$4,$C$6,$C$5,$C$7,AK$1,AK$2,$A153)</f>
        <v>0</v>
      </c>
      <c r="AL153" s="33">
        <f ca="1">_xll.DBRW($C$1,$C$2,$C$3,$C$4,$C$6,$C$5,$C$7,AL$1,AL$2,$A153)</f>
        <v>0</v>
      </c>
      <c r="AM153" s="33">
        <f ca="1">_xll.DBRW($C$1,$C$2,$C$3,$C$4,$C$6,$C$5,$C$7,AM$1,AM$2,$A153)</f>
        <v>0</v>
      </c>
      <c r="AN153" s="33">
        <f ca="1">_xll.DBRW($C$1,$C$2,$C$3,$C$4,$C$6,$C$5,$C$7,AN$1,AN$2,$A153)</f>
        <v>0</v>
      </c>
      <c r="AO153" s="33">
        <f ca="1">_xll.DBRW($C$1,$C$2,$C$3,$C$4,$C$6,$C$5,$C$7,AO$1,AO$2,$A153)</f>
        <v>0</v>
      </c>
      <c r="AP153" s="33">
        <f ca="1">_xll.DBRW($C$1,$C$2,$C$3,$C$4,$C$6,$C$5,$C$7,AP$1,AP$2,$A153)</f>
        <v>0</v>
      </c>
      <c r="AQ153" s="33">
        <f ca="1">_xll.DBRW($C$1,$C$2,$C$3,$C$4,$C$6,$C$5,$C$7,AQ$1,AQ$2,$A153)</f>
        <v>0</v>
      </c>
      <c r="AR153" s="33">
        <f ca="1">_xll.DBRW($C$1,$C$2,$C$3,$C$4,$C$6,$C$5,$C$7,AR$1,AR$2,$A153)</f>
        <v>0</v>
      </c>
      <c r="AS153" s="33">
        <f ca="1">_xll.DBRW($C$1,$C$2,$C$3,$C$4,$C$6,$C$5,$C$7,AS$1,AS$2,$A153)</f>
        <v>0</v>
      </c>
      <c r="AT153" s="33">
        <f ca="1">_xll.DBRW($C$1,$C$2,$C$3,$C$4,$C$6,$C$5,$C$7,AT$1,AT$2,$A153)</f>
        <v>0</v>
      </c>
      <c r="AU153" s="33">
        <f ca="1">_xll.DBRW($C$1,$C$2,$C$3,$C$4,$C$6,$C$5,$C$7,AU$1,AU$2,$A153)</f>
        <v>0</v>
      </c>
      <c r="AV153" s="33">
        <f ca="1">_xll.DBRW($C$1,$C$2,$C$3,$C$4,$C$6,$C$5,$C$7,AV$1,AV$2,$A153)</f>
        <v>0</v>
      </c>
      <c r="AW153" s="33">
        <f ca="1">_xll.DBRW($C$1,$C$2,$C$3,$C$4,$C$6,$C$5,$C$7,AW$1,AW$2,$A153)</f>
        <v>0</v>
      </c>
      <c r="AX153" s="33">
        <f ca="1">_xll.DBRW($C$1,$C$2,$C$3,$C$4,$C$6,$C$5,$C$7,AX$1,AX$2,$A153)</f>
        <v>0</v>
      </c>
      <c r="AY153" s="33">
        <f ca="1">_xll.DBRW($C$1,$C$2,$C$3,$C$4,$C$6,$C$5,$C$7,AY$1,AY$2,$A153)</f>
        <v>0</v>
      </c>
    </row>
    <row r="154" spans="1:51" ht="15.75" hidden="1" customHeight="1" outlineLevel="2">
      <c r="A154" s="1" t="s">
        <v>245</v>
      </c>
      <c r="C154" s="109"/>
      <c r="E154" s="9" t="str">
        <f ca="1">_xll.DBRW(Server&amp;"}ElementAttributes_Indicator",A154,"code_English")</f>
        <v>PL1150_DS_90 - Impairment (other than working capital) and provisions - others (DS)</v>
      </c>
      <c r="F154" s="33">
        <f ca="1">_xll.DBRW($C$1,$C$2,$C$3,$C$4,$C$6,$C$5,$C$7,F$1,F$2,$A154)</f>
        <v>0</v>
      </c>
      <c r="G154" s="33">
        <f ca="1">_xll.DBRW($C$1,$C$2,$C$3,$C$4,$C$6,$C$5,$C$7,G$1,G$2,$A154)</f>
        <v>0</v>
      </c>
      <c r="H154" s="33">
        <f ca="1">_xll.DBRW($C$1,$C$2,$C$3,$C$4,$C$6,$C$5,$C$7,H$1,H$2,$A154)</f>
        <v>0</v>
      </c>
      <c r="I154" s="33">
        <f ca="1">_xll.DBRW($C$1,$C$2,$C$3,$C$4,$C$6,$C$5,$C$7,I$1,I$2,$A154)</f>
        <v>0</v>
      </c>
      <c r="J154" s="33">
        <f ca="1">_xll.DBRW($C$1,$C$2,$C$3,$C$4,$C$6,$C$5,$C$7,J$1,J$2,$A154)</f>
        <v>0</v>
      </c>
      <c r="K154" s="33">
        <f ca="1">_xll.DBRW($C$1,$C$2,$C$3,$C$4,$C$6,$C$5,$C$7,K$1,K$2,$A154)</f>
        <v>0</v>
      </c>
      <c r="L154" s="33">
        <f ca="1">_xll.DBRW($C$1,$C$2,$C$3,$C$4,$C$6,$C$5,$C$7,L$1,L$2,$A154)</f>
        <v>0</v>
      </c>
      <c r="M154" s="33">
        <f ca="1">_xll.DBRW($C$1,$C$2,$C$3,$C$4,$C$6,$C$5,$C$7,M$1,M$2,$A154)</f>
        <v>0</v>
      </c>
      <c r="N154" s="33">
        <f ca="1">_xll.DBRW($C$1,$C$2,$C$3,$C$4,$C$6,$C$5,$C$7,N$1,N$2,$A154)</f>
        <v>0</v>
      </c>
      <c r="O154" s="33">
        <f ca="1">_xll.DBRW($C$1,$C$2,$C$3,$C$4,$C$6,$C$5,$C$7,O$1,O$2,$A154)</f>
        <v>0</v>
      </c>
      <c r="P154" s="33">
        <f ca="1">_xll.DBRW($C$1,$C$2,$C$3,$C$4,$C$6,$C$5,$C$7,P$1,P$2,$A154)</f>
        <v>0</v>
      </c>
      <c r="Q154" s="33">
        <f ca="1">_xll.DBRW($C$1,$C$2,$C$3,$C$4,$C$6,$C$5,$C$7,Q$1,Q$2,$A154)</f>
        <v>0</v>
      </c>
      <c r="R154" s="33">
        <f ca="1">_xll.DBRW($C$1,$C$2,$C$3,$C$4,$C$6,$C$5,$C$7,R$1,R$2,$A154)</f>
        <v>0</v>
      </c>
      <c r="S154" s="33">
        <f ca="1">_xll.DBRW($C$1,$C$2,$C$3,$C$4,$C$6,$C$5,$C$7,S$1,S$2,$A154)</f>
        <v>0</v>
      </c>
      <c r="T154" s="33">
        <f ca="1">_xll.DBRW($C$1,$C$2,$C$3,$C$4,$C$6,$C$5,$C$7,T$1,T$2,$A154)</f>
        <v>0</v>
      </c>
      <c r="U154" s="33">
        <f ca="1">_xll.DBRW($C$1,$C$2,$C$3,$C$4,$C$6,$C$5,$C$7,U$1,U$2,$A154)</f>
        <v>0</v>
      </c>
      <c r="V154" s="33">
        <f ca="1">_xll.DBRW($C$1,$C$2,$C$3,$C$4,$C$6,$C$5,$C$7,V$1,V$2,$A154)</f>
        <v>0</v>
      </c>
      <c r="W154" s="33">
        <f ca="1">_xll.DBRW($C$1,$C$2,$C$3,$C$4,$C$6,$C$5,$C$7,W$1,W$2,$A154)</f>
        <v>0</v>
      </c>
      <c r="X154" s="33">
        <f ca="1">_xll.DBRW($C$1,$C$2,$C$3,$C$4,$C$6,$C$5,$C$7,X$1,X$2,$A154)</f>
        <v>0</v>
      </c>
      <c r="Y154" s="33">
        <f ca="1">_xll.DBRW($C$1,$C$2,$C$3,$C$4,$C$6,$C$5,$C$7,Y$1,Y$2,$A154)</f>
        <v>0</v>
      </c>
      <c r="Z154" s="33">
        <f ca="1">_xll.DBRW($C$1,$C$2,$C$3,$C$4,$C$6,$C$5,$C$7,Z$1,Z$2,$A154)</f>
        <v>0</v>
      </c>
      <c r="AA154" s="33">
        <f ca="1">_xll.DBRW($C$1,$C$2,$C$3,$C$4,$C$6,$C$5,$C$7,AA$1,AA$2,$A154)</f>
        <v>0</v>
      </c>
      <c r="AB154" s="33">
        <f ca="1">_xll.DBRW($C$1,$C$2,$C$3,$C$4,$C$6,$C$5,$C$7,AB$1,AB$2,$A154)</f>
        <v>0</v>
      </c>
      <c r="AC154" s="33">
        <f ca="1">_xll.DBRW($C$1,$C$2,$C$3,$C$4,$C$6,$C$5,$C$7,AC$1,AC$2,$A154)</f>
        <v>0</v>
      </c>
      <c r="AD154" s="33">
        <f ca="1">_xll.DBRW($C$1,$C$2,$C$3,$C$4,$C$6,$C$5,$C$7,AD$1,AD$2,$A154)</f>
        <v>0</v>
      </c>
      <c r="AE154" s="33">
        <f ca="1">_xll.DBRW($C$1,$C$2,$C$3,$C$4,$C$6,$C$5,$C$7,AE$1,AE$2,$A154)</f>
        <v>0</v>
      </c>
      <c r="AF154" s="33">
        <f ca="1">_xll.DBRW($C$1,$C$2,$C$3,$C$4,$C$6,$C$5,$C$7,AF$1,AF$2,$A154)</f>
        <v>0</v>
      </c>
      <c r="AG154" s="33">
        <f ca="1">_xll.DBRW($C$1,$C$2,$C$3,$C$4,$C$6,$C$5,$C$7,AG$1,AG$2,$A154)</f>
        <v>0</v>
      </c>
      <c r="AH154" s="33">
        <f ca="1">_xll.DBRW($C$1,$C$2,$C$3,$C$4,$C$6,$C$5,$C$7,AH$1,AH$2,$A154)</f>
        <v>0</v>
      </c>
      <c r="AI154" s="33">
        <f ca="1">_xll.DBRW($C$1,$C$2,$C$3,$C$4,$C$6,$C$5,$C$7,AI$1,AI$2,$A154)</f>
        <v>0</v>
      </c>
      <c r="AJ154" s="33">
        <f ca="1">_xll.DBRW($C$1,$C$2,$C$3,$C$4,$C$6,$C$5,$C$7,AJ$1,AJ$2,$A154)</f>
        <v>0</v>
      </c>
      <c r="AK154" s="33">
        <f ca="1">_xll.DBRW($C$1,$C$2,$C$3,$C$4,$C$6,$C$5,$C$7,AK$1,AK$2,$A154)</f>
        <v>0</v>
      </c>
      <c r="AL154" s="33">
        <f ca="1">_xll.DBRW($C$1,$C$2,$C$3,$C$4,$C$6,$C$5,$C$7,AL$1,AL$2,$A154)</f>
        <v>0</v>
      </c>
      <c r="AM154" s="33">
        <f ca="1">_xll.DBRW($C$1,$C$2,$C$3,$C$4,$C$6,$C$5,$C$7,AM$1,AM$2,$A154)</f>
        <v>0</v>
      </c>
      <c r="AN154" s="33">
        <f ca="1">_xll.DBRW($C$1,$C$2,$C$3,$C$4,$C$6,$C$5,$C$7,AN$1,AN$2,$A154)</f>
        <v>0</v>
      </c>
      <c r="AO154" s="33">
        <f ca="1">_xll.DBRW($C$1,$C$2,$C$3,$C$4,$C$6,$C$5,$C$7,AO$1,AO$2,$A154)</f>
        <v>0</v>
      </c>
      <c r="AP154" s="33">
        <f ca="1">_xll.DBRW($C$1,$C$2,$C$3,$C$4,$C$6,$C$5,$C$7,AP$1,AP$2,$A154)</f>
        <v>0</v>
      </c>
      <c r="AQ154" s="33">
        <f ca="1">_xll.DBRW($C$1,$C$2,$C$3,$C$4,$C$6,$C$5,$C$7,AQ$1,AQ$2,$A154)</f>
        <v>0</v>
      </c>
      <c r="AR154" s="33">
        <f ca="1">_xll.DBRW($C$1,$C$2,$C$3,$C$4,$C$6,$C$5,$C$7,AR$1,AR$2,$A154)</f>
        <v>0</v>
      </c>
      <c r="AS154" s="33">
        <f ca="1">_xll.DBRW($C$1,$C$2,$C$3,$C$4,$C$6,$C$5,$C$7,AS$1,AS$2,$A154)</f>
        <v>0</v>
      </c>
      <c r="AT154" s="33">
        <f ca="1">_xll.DBRW($C$1,$C$2,$C$3,$C$4,$C$6,$C$5,$C$7,AT$1,AT$2,$A154)</f>
        <v>0</v>
      </c>
      <c r="AU154" s="33">
        <f ca="1">_xll.DBRW($C$1,$C$2,$C$3,$C$4,$C$6,$C$5,$C$7,AU$1,AU$2,$A154)</f>
        <v>0</v>
      </c>
      <c r="AV154" s="33">
        <f ca="1">_xll.DBRW($C$1,$C$2,$C$3,$C$4,$C$6,$C$5,$C$7,AV$1,AV$2,$A154)</f>
        <v>0</v>
      </c>
      <c r="AW154" s="33">
        <f ca="1">_xll.DBRW($C$1,$C$2,$C$3,$C$4,$C$6,$C$5,$C$7,AW$1,AW$2,$A154)</f>
        <v>0</v>
      </c>
      <c r="AX154" s="33">
        <f ca="1">_xll.DBRW($C$1,$C$2,$C$3,$C$4,$C$6,$C$5,$C$7,AX$1,AX$2,$A154)</f>
        <v>0</v>
      </c>
      <c r="AY154" s="33">
        <f ca="1">_xll.DBRW($C$1,$C$2,$C$3,$C$4,$C$6,$C$5,$C$7,AY$1,AY$2,$A154)</f>
        <v>0</v>
      </c>
    </row>
    <row r="155" spans="1:51" ht="15.5" hidden="1" outlineLevel="1" collapsed="1">
      <c r="A155" s="1" t="s">
        <v>142</v>
      </c>
      <c r="C155" s="109"/>
      <c r="E155" s="15" t="s">
        <v>40</v>
      </c>
      <c r="F155" s="34">
        <f t="shared" ref="F155:L155" ca="1" si="99">SUM(F142:F154)</f>
        <v>0</v>
      </c>
      <c r="G155" s="34">
        <f t="shared" ca="1" si="99"/>
        <v>0</v>
      </c>
      <c r="H155" s="34">
        <f t="shared" ca="1" si="99"/>
        <v>0</v>
      </c>
      <c r="I155" s="34">
        <f t="shared" ca="1" si="99"/>
        <v>0</v>
      </c>
      <c r="J155" s="34">
        <f t="shared" ca="1" si="99"/>
        <v>0</v>
      </c>
      <c r="K155" s="34">
        <f t="shared" ca="1" si="99"/>
        <v>0</v>
      </c>
      <c r="L155" s="34">
        <f t="shared" ca="1" si="99"/>
        <v>0</v>
      </c>
      <c r="M155" s="34">
        <f t="shared" ref="M155:X155" ca="1" si="100">SUM(M142:M154)</f>
        <v>0</v>
      </c>
      <c r="N155" s="34">
        <f t="shared" ca="1" si="100"/>
        <v>0</v>
      </c>
      <c r="O155" s="34">
        <f t="shared" ca="1" si="100"/>
        <v>0</v>
      </c>
      <c r="P155" s="34">
        <f t="shared" ca="1" si="100"/>
        <v>0</v>
      </c>
      <c r="Q155" s="34">
        <f t="shared" ca="1" si="100"/>
        <v>0</v>
      </c>
      <c r="R155" s="34">
        <f t="shared" ca="1" si="100"/>
        <v>0</v>
      </c>
      <c r="S155" s="34">
        <f t="shared" ca="1" si="100"/>
        <v>0</v>
      </c>
      <c r="T155" s="34">
        <f t="shared" ca="1" si="100"/>
        <v>0</v>
      </c>
      <c r="U155" s="34">
        <f t="shared" ca="1" si="100"/>
        <v>0</v>
      </c>
      <c r="V155" s="34">
        <f t="shared" ca="1" si="100"/>
        <v>0</v>
      </c>
      <c r="W155" s="34">
        <f t="shared" ca="1" si="100"/>
        <v>0</v>
      </c>
      <c r="X155" s="34">
        <f t="shared" ca="1" si="100"/>
        <v>0</v>
      </c>
      <c r="Y155" s="34">
        <f ca="1">SUM(Y142:Y154)</f>
        <v>0</v>
      </c>
      <c r="Z155" s="34">
        <f t="shared" ref="Z155:AK155" ca="1" si="101">SUM(Z142:Z154)</f>
        <v>0</v>
      </c>
      <c r="AA155" s="34">
        <f t="shared" ca="1" si="101"/>
        <v>0</v>
      </c>
      <c r="AB155" s="34">
        <f t="shared" ca="1" si="101"/>
        <v>0</v>
      </c>
      <c r="AC155" s="34">
        <f t="shared" ca="1" si="101"/>
        <v>0</v>
      </c>
      <c r="AD155" s="34">
        <f t="shared" ca="1" si="101"/>
        <v>0</v>
      </c>
      <c r="AE155" s="34">
        <f t="shared" ca="1" si="101"/>
        <v>0</v>
      </c>
      <c r="AF155" s="34">
        <f t="shared" ca="1" si="101"/>
        <v>0</v>
      </c>
      <c r="AG155" s="34">
        <f t="shared" ca="1" si="101"/>
        <v>0</v>
      </c>
      <c r="AH155" s="34">
        <f t="shared" ca="1" si="101"/>
        <v>0</v>
      </c>
      <c r="AI155" s="34">
        <f t="shared" ca="1" si="101"/>
        <v>0</v>
      </c>
      <c r="AJ155" s="34">
        <f t="shared" ca="1" si="101"/>
        <v>0</v>
      </c>
      <c r="AK155" s="34">
        <f t="shared" ca="1" si="101"/>
        <v>0</v>
      </c>
      <c r="AL155" s="34">
        <f ca="1">SUM(AL142:AL154)</f>
        <v>0</v>
      </c>
      <c r="AM155" s="34">
        <f t="shared" ref="AM155:AX155" ca="1" si="102">SUM(AM142:AM154)</f>
        <v>0</v>
      </c>
      <c r="AN155" s="34">
        <f t="shared" ca="1" si="102"/>
        <v>0</v>
      </c>
      <c r="AO155" s="34">
        <f t="shared" ca="1" si="102"/>
        <v>0</v>
      </c>
      <c r="AP155" s="34">
        <f t="shared" ca="1" si="102"/>
        <v>0</v>
      </c>
      <c r="AQ155" s="34">
        <f t="shared" ca="1" si="102"/>
        <v>0</v>
      </c>
      <c r="AR155" s="34">
        <f t="shared" ca="1" si="102"/>
        <v>0</v>
      </c>
      <c r="AS155" s="34">
        <f t="shared" ca="1" si="102"/>
        <v>0</v>
      </c>
      <c r="AT155" s="34">
        <f t="shared" ca="1" si="102"/>
        <v>0</v>
      </c>
      <c r="AU155" s="34">
        <f t="shared" ca="1" si="102"/>
        <v>0</v>
      </c>
      <c r="AV155" s="34">
        <f t="shared" ca="1" si="102"/>
        <v>0</v>
      </c>
      <c r="AW155" s="34">
        <f t="shared" ca="1" si="102"/>
        <v>0</v>
      </c>
      <c r="AX155" s="34">
        <f t="shared" ca="1" si="102"/>
        <v>0</v>
      </c>
      <c r="AY155" s="34">
        <f ca="1">SUM(AY142:AY154)</f>
        <v>0</v>
      </c>
    </row>
    <row r="156" spans="1:51" ht="15.75" hidden="1" customHeight="1" outlineLevel="2">
      <c r="A156" s="1" t="s">
        <v>246</v>
      </c>
      <c r="C156" s="109"/>
      <c r="E156" s="9" t="str">
        <f ca="1">_xll.DBRW(Server&amp;"}ElementAttributes_Indicator",A156,"code_English")</f>
        <v>PL1116_IN - COS - Lease expenses (IN)</v>
      </c>
      <c r="F156" s="33">
        <f ca="1">_xll.DBRW($C$1,$C$2,$C$3,$C$4,$C$6,$C$5,$C$7,F$1,F$2,$A156)</f>
        <v>0</v>
      </c>
      <c r="G156" s="33">
        <f ca="1">_xll.DBRW($C$1,$C$2,$C$3,$C$4,$C$6,$C$5,$C$7,G$1,G$2,$A156)</f>
        <v>0</v>
      </c>
      <c r="H156" s="33">
        <f ca="1">_xll.DBRW($C$1,$C$2,$C$3,$C$4,$C$6,$C$5,$C$7,H$1,H$2,$A156)</f>
        <v>0</v>
      </c>
      <c r="I156" s="33">
        <f ca="1">_xll.DBRW($C$1,$C$2,$C$3,$C$4,$C$6,$C$5,$C$7,I$1,I$2,$A156)</f>
        <v>0</v>
      </c>
      <c r="J156" s="33">
        <f ca="1">_xll.DBRW($C$1,$C$2,$C$3,$C$4,$C$6,$C$5,$C$7,J$1,J$2,$A156)</f>
        <v>0</v>
      </c>
      <c r="K156" s="33">
        <f ca="1">_xll.DBRW($C$1,$C$2,$C$3,$C$4,$C$6,$C$5,$C$7,K$1,K$2,$A156)</f>
        <v>0</v>
      </c>
      <c r="L156" s="33">
        <f ca="1">_xll.DBRW($C$1,$C$2,$C$3,$C$4,$C$6,$C$5,$C$7,L$1,L$2,$A156)</f>
        <v>0</v>
      </c>
      <c r="M156" s="33">
        <f ca="1">_xll.DBRW($C$1,$C$2,$C$3,$C$4,$C$6,$C$5,$C$7,M$1,M$2,$A156)</f>
        <v>0</v>
      </c>
      <c r="N156" s="33">
        <f ca="1">_xll.DBRW($C$1,$C$2,$C$3,$C$4,$C$6,$C$5,$C$7,N$1,N$2,$A156)</f>
        <v>0</v>
      </c>
      <c r="O156" s="33">
        <f ca="1">_xll.DBRW($C$1,$C$2,$C$3,$C$4,$C$6,$C$5,$C$7,O$1,O$2,$A156)</f>
        <v>0</v>
      </c>
      <c r="P156" s="33">
        <f ca="1">_xll.DBRW($C$1,$C$2,$C$3,$C$4,$C$6,$C$5,$C$7,P$1,P$2,$A156)</f>
        <v>0</v>
      </c>
      <c r="Q156" s="33">
        <f ca="1">_xll.DBRW($C$1,$C$2,$C$3,$C$4,$C$6,$C$5,$C$7,Q$1,Q$2,$A156)</f>
        <v>0</v>
      </c>
      <c r="R156" s="33">
        <f ca="1">_xll.DBRW($C$1,$C$2,$C$3,$C$4,$C$6,$C$5,$C$7,R$1,R$2,$A156)</f>
        <v>0</v>
      </c>
      <c r="S156" s="33">
        <f ca="1">_xll.DBRW($C$1,$C$2,$C$3,$C$4,$C$6,$C$5,$C$7,S$1,S$2,$A156)</f>
        <v>0</v>
      </c>
      <c r="T156" s="33">
        <f ca="1">_xll.DBRW($C$1,$C$2,$C$3,$C$4,$C$6,$C$5,$C$7,T$1,T$2,$A156)</f>
        <v>0</v>
      </c>
      <c r="U156" s="33">
        <f ca="1">_xll.DBRW($C$1,$C$2,$C$3,$C$4,$C$6,$C$5,$C$7,U$1,U$2,$A156)</f>
        <v>0</v>
      </c>
      <c r="V156" s="33">
        <f ca="1">_xll.DBRW($C$1,$C$2,$C$3,$C$4,$C$6,$C$5,$C$7,V$1,V$2,$A156)</f>
        <v>0</v>
      </c>
      <c r="W156" s="33">
        <f ca="1">_xll.DBRW($C$1,$C$2,$C$3,$C$4,$C$6,$C$5,$C$7,W$1,W$2,$A156)</f>
        <v>0</v>
      </c>
      <c r="X156" s="33">
        <f ca="1">_xll.DBRW($C$1,$C$2,$C$3,$C$4,$C$6,$C$5,$C$7,X$1,X$2,$A156)</f>
        <v>0</v>
      </c>
      <c r="Y156" s="33">
        <f ca="1">_xll.DBRW($C$1,$C$2,$C$3,$C$4,$C$6,$C$5,$C$7,Y$1,Y$2,$A156)</f>
        <v>0</v>
      </c>
      <c r="Z156" s="33">
        <f ca="1">_xll.DBRW($C$1,$C$2,$C$3,$C$4,$C$6,$C$5,$C$7,Z$1,Z$2,$A156)</f>
        <v>0</v>
      </c>
      <c r="AA156" s="33">
        <f ca="1">_xll.DBRW($C$1,$C$2,$C$3,$C$4,$C$6,$C$5,$C$7,AA$1,AA$2,$A156)</f>
        <v>0</v>
      </c>
      <c r="AB156" s="33">
        <f ca="1">_xll.DBRW($C$1,$C$2,$C$3,$C$4,$C$6,$C$5,$C$7,AB$1,AB$2,$A156)</f>
        <v>0</v>
      </c>
      <c r="AC156" s="33">
        <f ca="1">_xll.DBRW($C$1,$C$2,$C$3,$C$4,$C$6,$C$5,$C$7,AC$1,AC$2,$A156)</f>
        <v>0</v>
      </c>
      <c r="AD156" s="33">
        <f ca="1">_xll.DBRW($C$1,$C$2,$C$3,$C$4,$C$6,$C$5,$C$7,AD$1,AD$2,$A156)</f>
        <v>0</v>
      </c>
      <c r="AE156" s="33">
        <f ca="1">_xll.DBRW($C$1,$C$2,$C$3,$C$4,$C$6,$C$5,$C$7,AE$1,AE$2,$A156)</f>
        <v>0</v>
      </c>
      <c r="AF156" s="33">
        <f ca="1">_xll.DBRW($C$1,$C$2,$C$3,$C$4,$C$6,$C$5,$C$7,AF$1,AF$2,$A156)</f>
        <v>0</v>
      </c>
      <c r="AG156" s="33">
        <f ca="1">_xll.DBRW($C$1,$C$2,$C$3,$C$4,$C$6,$C$5,$C$7,AG$1,AG$2,$A156)</f>
        <v>0</v>
      </c>
      <c r="AH156" s="33">
        <f ca="1">_xll.DBRW($C$1,$C$2,$C$3,$C$4,$C$6,$C$5,$C$7,AH$1,AH$2,$A156)</f>
        <v>0</v>
      </c>
      <c r="AI156" s="33">
        <f ca="1">_xll.DBRW($C$1,$C$2,$C$3,$C$4,$C$6,$C$5,$C$7,AI$1,AI$2,$A156)</f>
        <v>0</v>
      </c>
      <c r="AJ156" s="33">
        <f ca="1">_xll.DBRW($C$1,$C$2,$C$3,$C$4,$C$6,$C$5,$C$7,AJ$1,AJ$2,$A156)</f>
        <v>0</v>
      </c>
      <c r="AK156" s="33">
        <f ca="1">_xll.DBRW($C$1,$C$2,$C$3,$C$4,$C$6,$C$5,$C$7,AK$1,AK$2,$A156)</f>
        <v>0</v>
      </c>
      <c r="AL156" s="33">
        <f ca="1">_xll.DBRW($C$1,$C$2,$C$3,$C$4,$C$6,$C$5,$C$7,AL$1,AL$2,$A156)</f>
        <v>0</v>
      </c>
      <c r="AM156" s="33">
        <f ca="1">_xll.DBRW($C$1,$C$2,$C$3,$C$4,$C$6,$C$5,$C$7,AM$1,AM$2,$A156)</f>
        <v>0</v>
      </c>
      <c r="AN156" s="33">
        <f ca="1">_xll.DBRW($C$1,$C$2,$C$3,$C$4,$C$6,$C$5,$C$7,AN$1,AN$2,$A156)</f>
        <v>0</v>
      </c>
      <c r="AO156" s="33">
        <f ca="1">_xll.DBRW($C$1,$C$2,$C$3,$C$4,$C$6,$C$5,$C$7,AO$1,AO$2,$A156)</f>
        <v>0</v>
      </c>
      <c r="AP156" s="33">
        <f ca="1">_xll.DBRW($C$1,$C$2,$C$3,$C$4,$C$6,$C$5,$C$7,AP$1,AP$2,$A156)</f>
        <v>0</v>
      </c>
      <c r="AQ156" s="33">
        <f ca="1">_xll.DBRW($C$1,$C$2,$C$3,$C$4,$C$6,$C$5,$C$7,AQ$1,AQ$2,$A156)</f>
        <v>0</v>
      </c>
      <c r="AR156" s="33">
        <f ca="1">_xll.DBRW($C$1,$C$2,$C$3,$C$4,$C$6,$C$5,$C$7,AR$1,AR$2,$A156)</f>
        <v>0</v>
      </c>
      <c r="AS156" s="33">
        <f ca="1">_xll.DBRW($C$1,$C$2,$C$3,$C$4,$C$6,$C$5,$C$7,AS$1,AS$2,$A156)</f>
        <v>0</v>
      </c>
      <c r="AT156" s="33">
        <f ca="1">_xll.DBRW($C$1,$C$2,$C$3,$C$4,$C$6,$C$5,$C$7,AT$1,AT$2,$A156)</f>
        <v>0</v>
      </c>
      <c r="AU156" s="33">
        <f ca="1">_xll.DBRW($C$1,$C$2,$C$3,$C$4,$C$6,$C$5,$C$7,AU$1,AU$2,$A156)</f>
        <v>0</v>
      </c>
      <c r="AV156" s="33">
        <f ca="1">_xll.DBRW($C$1,$C$2,$C$3,$C$4,$C$6,$C$5,$C$7,AV$1,AV$2,$A156)</f>
        <v>0</v>
      </c>
      <c r="AW156" s="33">
        <f ca="1">_xll.DBRW($C$1,$C$2,$C$3,$C$4,$C$6,$C$5,$C$7,AW$1,AW$2,$A156)</f>
        <v>0</v>
      </c>
      <c r="AX156" s="33">
        <f ca="1">_xll.DBRW($C$1,$C$2,$C$3,$C$4,$C$6,$C$5,$C$7,AX$1,AX$2,$A156)</f>
        <v>0</v>
      </c>
      <c r="AY156" s="33">
        <f ca="1">_xll.DBRW($C$1,$C$2,$C$3,$C$4,$C$6,$C$5,$C$7,AY$1,AY$2,$A156)</f>
        <v>0</v>
      </c>
    </row>
    <row r="157" spans="1:51" ht="15.75" hidden="1" customHeight="1" outlineLevel="2">
      <c r="A157" s="1" t="s">
        <v>247</v>
      </c>
      <c r="C157" s="109"/>
      <c r="E157" s="9" t="str">
        <f ca="1">_xll.DBRW(Server&amp;"}ElementAttributes_Indicator",A157,"code_English")</f>
        <v>PL1155_IN_99 - Reinvoicing - Others (IN)</v>
      </c>
      <c r="F157" s="33">
        <f ca="1">_xll.DBRW($C$1,$C$2,$C$3,$C$4,$C$6,$C$5,$C$7,F$1,F$2,$A157)</f>
        <v>0</v>
      </c>
      <c r="G157" s="33">
        <f ca="1">_xll.DBRW($C$1,$C$2,$C$3,$C$4,$C$6,$C$5,$C$7,G$1,G$2,$A157)</f>
        <v>0</v>
      </c>
      <c r="H157" s="33">
        <f ca="1">_xll.DBRW($C$1,$C$2,$C$3,$C$4,$C$6,$C$5,$C$7,H$1,H$2,$A157)</f>
        <v>0</v>
      </c>
      <c r="I157" s="33">
        <f ca="1">_xll.DBRW($C$1,$C$2,$C$3,$C$4,$C$6,$C$5,$C$7,I$1,I$2,$A157)</f>
        <v>0</v>
      </c>
      <c r="J157" s="33">
        <f ca="1">_xll.DBRW($C$1,$C$2,$C$3,$C$4,$C$6,$C$5,$C$7,J$1,J$2,$A157)</f>
        <v>0</v>
      </c>
      <c r="K157" s="33">
        <f ca="1">_xll.DBRW($C$1,$C$2,$C$3,$C$4,$C$6,$C$5,$C$7,K$1,K$2,$A157)</f>
        <v>0</v>
      </c>
      <c r="L157" s="33">
        <f ca="1">_xll.DBRW($C$1,$C$2,$C$3,$C$4,$C$6,$C$5,$C$7,L$1,L$2,$A157)</f>
        <v>0</v>
      </c>
      <c r="M157" s="33">
        <f ca="1">_xll.DBRW($C$1,$C$2,$C$3,$C$4,$C$6,$C$5,$C$7,M$1,M$2,$A157)</f>
        <v>0</v>
      </c>
      <c r="N157" s="33">
        <f ca="1">_xll.DBRW($C$1,$C$2,$C$3,$C$4,$C$6,$C$5,$C$7,N$1,N$2,$A157)</f>
        <v>0</v>
      </c>
      <c r="O157" s="33">
        <f ca="1">_xll.DBRW($C$1,$C$2,$C$3,$C$4,$C$6,$C$5,$C$7,O$1,O$2,$A157)</f>
        <v>0</v>
      </c>
      <c r="P157" s="33">
        <f ca="1">_xll.DBRW($C$1,$C$2,$C$3,$C$4,$C$6,$C$5,$C$7,P$1,P$2,$A157)</f>
        <v>0</v>
      </c>
      <c r="Q157" s="33">
        <f ca="1">_xll.DBRW($C$1,$C$2,$C$3,$C$4,$C$6,$C$5,$C$7,Q$1,Q$2,$A157)</f>
        <v>0</v>
      </c>
      <c r="R157" s="33">
        <f ca="1">_xll.DBRW($C$1,$C$2,$C$3,$C$4,$C$6,$C$5,$C$7,R$1,R$2,$A157)</f>
        <v>0</v>
      </c>
      <c r="S157" s="33">
        <f ca="1">_xll.DBRW($C$1,$C$2,$C$3,$C$4,$C$6,$C$5,$C$7,S$1,S$2,$A157)</f>
        <v>0</v>
      </c>
      <c r="T157" s="33">
        <f ca="1">_xll.DBRW($C$1,$C$2,$C$3,$C$4,$C$6,$C$5,$C$7,T$1,T$2,$A157)</f>
        <v>0</v>
      </c>
      <c r="U157" s="33">
        <f ca="1">_xll.DBRW($C$1,$C$2,$C$3,$C$4,$C$6,$C$5,$C$7,U$1,U$2,$A157)</f>
        <v>0</v>
      </c>
      <c r="V157" s="33">
        <f ca="1">_xll.DBRW($C$1,$C$2,$C$3,$C$4,$C$6,$C$5,$C$7,V$1,V$2,$A157)</f>
        <v>0</v>
      </c>
      <c r="W157" s="33">
        <f ca="1">_xll.DBRW($C$1,$C$2,$C$3,$C$4,$C$6,$C$5,$C$7,W$1,W$2,$A157)</f>
        <v>0</v>
      </c>
      <c r="X157" s="33">
        <f ca="1">_xll.DBRW($C$1,$C$2,$C$3,$C$4,$C$6,$C$5,$C$7,X$1,X$2,$A157)</f>
        <v>0</v>
      </c>
      <c r="Y157" s="33">
        <f ca="1">_xll.DBRW($C$1,$C$2,$C$3,$C$4,$C$6,$C$5,$C$7,Y$1,Y$2,$A157)</f>
        <v>0</v>
      </c>
      <c r="Z157" s="33">
        <f ca="1">_xll.DBRW($C$1,$C$2,$C$3,$C$4,$C$6,$C$5,$C$7,Z$1,Z$2,$A157)</f>
        <v>0</v>
      </c>
      <c r="AA157" s="33">
        <f ca="1">_xll.DBRW($C$1,$C$2,$C$3,$C$4,$C$6,$C$5,$C$7,AA$1,AA$2,$A157)</f>
        <v>0</v>
      </c>
      <c r="AB157" s="33">
        <f ca="1">_xll.DBRW($C$1,$C$2,$C$3,$C$4,$C$6,$C$5,$C$7,AB$1,AB$2,$A157)</f>
        <v>0</v>
      </c>
      <c r="AC157" s="33">
        <f ca="1">_xll.DBRW($C$1,$C$2,$C$3,$C$4,$C$6,$C$5,$C$7,AC$1,AC$2,$A157)</f>
        <v>0</v>
      </c>
      <c r="AD157" s="33">
        <f ca="1">_xll.DBRW($C$1,$C$2,$C$3,$C$4,$C$6,$C$5,$C$7,AD$1,AD$2,$A157)</f>
        <v>0</v>
      </c>
      <c r="AE157" s="33">
        <f ca="1">_xll.DBRW($C$1,$C$2,$C$3,$C$4,$C$6,$C$5,$C$7,AE$1,AE$2,$A157)</f>
        <v>0</v>
      </c>
      <c r="AF157" s="33">
        <f ca="1">_xll.DBRW($C$1,$C$2,$C$3,$C$4,$C$6,$C$5,$C$7,AF$1,AF$2,$A157)</f>
        <v>0</v>
      </c>
      <c r="AG157" s="33">
        <f ca="1">_xll.DBRW($C$1,$C$2,$C$3,$C$4,$C$6,$C$5,$C$7,AG$1,AG$2,$A157)</f>
        <v>0</v>
      </c>
      <c r="AH157" s="33">
        <f ca="1">_xll.DBRW($C$1,$C$2,$C$3,$C$4,$C$6,$C$5,$C$7,AH$1,AH$2,$A157)</f>
        <v>0</v>
      </c>
      <c r="AI157" s="33">
        <f ca="1">_xll.DBRW($C$1,$C$2,$C$3,$C$4,$C$6,$C$5,$C$7,AI$1,AI$2,$A157)</f>
        <v>0</v>
      </c>
      <c r="AJ157" s="33">
        <f ca="1">_xll.DBRW($C$1,$C$2,$C$3,$C$4,$C$6,$C$5,$C$7,AJ$1,AJ$2,$A157)</f>
        <v>0</v>
      </c>
      <c r="AK157" s="33">
        <f ca="1">_xll.DBRW($C$1,$C$2,$C$3,$C$4,$C$6,$C$5,$C$7,AK$1,AK$2,$A157)</f>
        <v>0</v>
      </c>
      <c r="AL157" s="33">
        <f ca="1">_xll.DBRW($C$1,$C$2,$C$3,$C$4,$C$6,$C$5,$C$7,AL$1,AL$2,$A157)</f>
        <v>0</v>
      </c>
      <c r="AM157" s="33">
        <f ca="1">_xll.DBRW($C$1,$C$2,$C$3,$C$4,$C$6,$C$5,$C$7,AM$1,AM$2,$A157)</f>
        <v>0</v>
      </c>
      <c r="AN157" s="33">
        <f ca="1">_xll.DBRW($C$1,$C$2,$C$3,$C$4,$C$6,$C$5,$C$7,AN$1,AN$2,$A157)</f>
        <v>0</v>
      </c>
      <c r="AO157" s="33">
        <f ca="1">_xll.DBRW($C$1,$C$2,$C$3,$C$4,$C$6,$C$5,$C$7,AO$1,AO$2,$A157)</f>
        <v>0</v>
      </c>
      <c r="AP157" s="33">
        <f ca="1">_xll.DBRW($C$1,$C$2,$C$3,$C$4,$C$6,$C$5,$C$7,AP$1,AP$2,$A157)</f>
        <v>0</v>
      </c>
      <c r="AQ157" s="33">
        <f ca="1">_xll.DBRW($C$1,$C$2,$C$3,$C$4,$C$6,$C$5,$C$7,AQ$1,AQ$2,$A157)</f>
        <v>0</v>
      </c>
      <c r="AR157" s="33">
        <f ca="1">_xll.DBRW($C$1,$C$2,$C$3,$C$4,$C$6,$C$5,$C$7,AR$1,AR$2,$A157)</f>
        <v>0</v>
      </c>
      <c r="AS157" s="33">
        <f ca="1">_xll.DBRW($C$1,$C$2,$C$3,$C$4,$C$6,$C$5,$C$7,AS$1,AS$2,$A157)</f>
        <v>0</v>
      </c>
      <c r="AT157" s="33">
        <f ca="1">_xll.DBRW($C$1,$C$2,$C$3,$C$4,$C$6,$C$5,$C$7,AT$1,AT$2,$A157)</f>
        <v>0</v>
      </c>
      <c r="AU157" s="33">
        <f ca="1">_xll.DBRW($C$1,$C$2,$C$3,$C$4,$C$6,$C$5,$C$7,AU$1,AU$2,$A157)</f>
        <v>0</v>
      </c>
      <c r="AV157" s="33">
        <f ca="1">_xll.DBRW($C$1,$C$2,$C$3,$C$4,$C$6,$C$5,$C$7,AV$1,AV$2,$A157)</f>
        <v>0</v>
      </c>
      <c r="AW157" s="33">
        <f ca="1">_xll.DBRW($C$1,$C$2,$C$3,$C$4,$C$6,$C$5,$C$7,AW$1,AW$2,$A157)</f>
        <v>0</v>
      </c>
      <c r="AX157" s="33">
        <f ca="1">_xll.DBRW($C$1,$C$2,$C$3,$C$4,$C$6,$C$5,$C$7,AX$1,AX$2,$A157)</f>
        <v>0</v>
      </c>
      <c r="AY157" s="33">
        <f ca="1">_xll.DBRW($C$1,$C$2,$C$3,$C$4,$C$6,$C$5,$C$7,AY$1,AY$2,$A157)</f>
        <v>0</v>
      </c>
    </row>
    <row r="158" spans="1:51" ht="15.75" hidden="1" customHeight="1" outlineLevel="2">
      <c r="A158" s="1" t="s">
        <v>248</v>
      </c>
      <c r="C158" s="109"/>
      <c r="E158" s="9" t="str">
        <f ca="1">_xll.DBRW(Server&amp;"}ElementAttributes_Indicator",A158,"code_English")</f>
        <v>PL1115_IN_60 - Access fees</v>
      </c>
      <c r="F158" s="33">
        <f ca="1">_xll.DBRW($C$1,$C$2,$C$3,$C$4,$C$6,$C$5,$C$7,F$1,F$2,$A158)</f>
        <v>0</v>
      </c>
      <c r="G158" s="33">
        <f ca="1">_xll.DBRW($C$1,$C$2,$C$3,$C$4,$C$6,$C$5,$C$7,G$1,G$2,$A158)</f>
        <v>0</v>
      </c>
      <c r="H158" s="33">
        <f ca="1">_xll.DBRW($C$1,$C$2,$C$3,$C$4,$C$6,$C$5,$C$7,H$1,H$2,$A158)</f>
        <v>0</v>
      </c>
      <c r="I158" s="33">
        <f ca="1">_xll.DBRW($C$1,$C$2,$C$3,$C$4,$C$6,$C$5,$C$7,I$1,I$2,$A158)</f>
        <v>0</v>
      </c>
      <c r="J158" s="33">
        <f ca="1">_xll.DBRW($C$1,$C$2,$C$3,$C$4,$C$6,$C$5,$C$7,J$1,J$2,$A158)</f>
        <v>0</v>
      </c>
      <c r="K158" s="33">
        <f ca="1">_xll.DBRW($C$1,$C$2,$C$3,$C$4,$C$6,$C$5,$C$7,K$1,K$2,$A158)</f>
        <v>0</v>
      </c>
      <c r="L158" s="33">
        <f ca="1">_xll.DBRW($C$1,$C$2,$C$3,$C$4,$C$6,$C$5,$C$7,L$1,L$2,$A158)</f>
        <v>0</v>
      </c>
      <c r="M158" s="33">
        <f ca="1">_xll.DBRW($C$1,$C$2,$C$3,$C$4,$C$6,$C$5,$C$7,M$1,M$2,$A158)</f>
        <v>0</v>
      </c>
      <c r="N158" s="33">
        <f ca="1">_xll.DBRW($C$1,$C$2,$C$3,$C$4,$C$6,$C$5,$C$7,N$1,N$2,$A158)</f>
        <v>0</v>
      </c>
      <c r="O158" s="33">
        <f ca="1">_xll.DBRW($C$1,$C$2,$C$3,$C$4,$C$6,$C$5,$C$7,O$1,O$2,$A158)</f>
        <v>0</v>
      </c>
      <c r="P158" s="33">
        <f ca="1">_xll.DBRW($C$1,$C$2,$C$3,$C$4,$C$6,$C$5,$C$7,P$1,P$2,$A158)</f>
        <v>0</v>
      </c>
      <c r="Q158" s="33">
        <f ca="1">_xll.DBRW($C$1,$C$2,$C$3,$C$4,$C$6,$C$5,$C$7,Q$1,Q$2,$A158)</f>
        <v>0</v>
      </c>
      <c r="R158" s="33">
        <f ca="1">_xll.DBRW($C$1,$C$2,$C$3,$C$4,$C$6,$C$5,$C$7,R$1,R$2,$A158)</f>
        <v>0</v>
      </c>
      <c r="S158" s="33">
        <f ca="1">_xll.DBRW($C$1,$C$2,$C$3,$C$4,$C$6,$C$5,$C$7,S$1,S$2,$A158)</f>
        <v>0</v>
      </c>
      <c r="T158" s="33">
        <f ca="1">_xll.DBRW($C$1,$C$2,$C$3,$C$4,$C$6,$C$5,$C$7,T$1,T$2,$A158)</f>
        <v>0</v>
      </c>
      <c r="U158" s="33">
        <f ca="1">_xll.DBRW($C$1,$C$2,$C$3,$C$4,$C$6,$C$5,$C$7,U$1,U$2,$A158)</f>
        <v>0</v>
      </c>
      <c r="V158" s="33">
        <f ca="1">_xll.DBRW($C$1,$C$2,$C$3,$C$4,$C$6,$C$5,$C$7,V$1,V$2,$A158)</f>
        <v>0</v>
      </c>
      <c r="W158" s="33">
        <f ca="1">_xll.DBRW($C$1,$C$2,$C$3,$C$4,$C$6,$C$5,$C$7,W$1,W$2,$A158)</f>
        <v>0</v>
      </c>
      <c r="X158" s="33">
        <f ca="1">_xll.DBRW($C$1,$C$2,$C$3,$C$4,$C$6,$C$5,$C$7,X$1,X$2,$A158)</f>
        <v>0</v>
      </c>
      <c r="Y158" s="33">
        <f ca="1">_xll.DBRW($C$1,$C$2,$C$3,$C$4,$C$6,$C$5,$C$7,Y$1,Y$2,$A158)</f>
        <v>0</v>
      </c>
      <c r="Z158" s="33">
        <f ca="1">_xll.DBRW($C$1,$C$2,$C$3,$C$4,$C$6,$C$5,$C$7,Z$1,Z$2,$A158)</f>
        <v>0</v>
      </c>
      <c r="AA158" s="33">
        <f ca="1">_xll.DBRW($C$1,$C$2,$C$3,$C$4,$C$6,$C$5,$C$7,AA$1,AA$2,$A158)</f>
        <v>0</v>
      </c>
      <c r="AB158" s="33">
        <f ca="1">_xll.DBRW($C$1,$C$2,$C$3,$C$4,$C$6,$C$5,$C$7,AB$1,AB$2,$A158)</f>
        <v>0</v>
      </c>
      <c r="AC158" s="33">
        <f ca="1">_xll.DBRW($C$1,$C$2,$C$3,$C$4,$C$6,$C$5,$C$7,AC$1,AC$2,$A158)</f>
        <v>0</v>
      </c>
      <c r="AD158" s="33">
        <f ca="1">_xll.DBRW($C$1,$C$2,$C$3,$C$4,$C$6,$C$5,$C$7,AD$1,AD$2,$A158)</f>
        <v>0</v>
      </c>
      <c r="AE158" s="33">
        <f ca="1">_xll.DBRW($C$1,$C$2,$C$3,$C$4,$C$6,$C$5,$C$7,AE$1,AE$2,$A158)</f>
        <v>0</v>
      </c>
      <c r="AF158" s="33">
        <f ca="1">_xll.DBRW($C$1,$C$2,$C$3,$C$4,$C$6,$C$5,$C$7,AF$1,AF$2,$A158)</f>
        <v>0</v>
      </c>
      <c r="AG158" s="33">
        <f ca="1">_xll.DBRW($C$1,$C$2,$C$3,$C$4,$C$6,$C$5,$C$7,AG$1,AG$2,$A158)</f>
        <v>0</v>
      </c>
      <c r="AH158" s="33">
        <f ca="1">_xll.DBRW($C$1,$C$2,$C$3,$C$4,$C$6,$C$5,$C$7,AH$1,AH$2,$A158)</f>
        <v>0</v>
      </c>
      <c r="AI158" s="33">
        <f ca="1">_xll.DBRW($C$1,$C$2,$C$3,$C$4,$C$6,$C$5,$C$7,AI$1,AI$2,$A158)</f>
        <v>0</v>
      </c>
      <c r="AJ158" s="33">
        <f ca="1">_xll.DBRW($C$1,$C$2,$C$3,$C$4,$C$6,$C$5,$C$7,AJ$1,AJ$2,$A158)</f>
        <v>0</v>
      </c>
      <c r="AK158" s="33">
        <f ca="1">_xll.DBRW($C$1,$C$2,$C$3,$C$4,$C$6,$C$5,$C$7,AK$1,AK$2,$A158)</f>
        <v>0</v>
      </c>
      <c r="AL158" s="33">
        <f ca="1">_xll.DBRW($C$1,$C$2,$C$3,$C$4,$C$6,$C$5,$C$7,AL$1,AL$2,$A158)</f>
        <v>0</v>
      </c>
      <c r="AM158" s="33">
        <f ca="1">_xll.DBRW($C$1,$C$2,$C$3,$C$4,$C$6,$C$5,$C$7,AM$1,AM$2,$A158)</f>
        <v>0</v>
      </c>
      <c r="AN158" s="33">
        <f ca="1">_xll.DBRW($C$1,$C$2,$C$3,$C$4,$C$6,$C$5,$C$7,AN$1,AN$2,$A158)</f>
        <v>0</v>
      </c>
      <c r="AO158" s="33">
        <f ca="1">_xll.DBRW($C$1,$C$2,$C$3,$C$4,$C$6,$C$5,$C$7,AO$1,AO$2,$A158)</f>
        <v>0</v>
      </c>
      <c r="AP158" s="33">
        <f ca="1">_xll.DBRW($C$1,$C$2,$C$3,$C$4,$C$6,$C$5,$C$7,AP$1,AP$2,$A158)</f>
        <v>0</v>
      </c>
      <c r="AQ158" s="33">
        <f ca="1">_xll.DBRW($C$1,$C$2,$C$3,$C$4,$C$6,$C$5,$C$7,AQ$1,AQ$2,$A158)</f>
        <v>0</v>
      </c>
      <c r="AR158" s="33">
        <f ca="1">_xll.DBRW($C$1,$C$2,$C$3,$C$4,$C$6,$C$5,$C$7,AR$1,AR$2,$A158)</f>
        <v>0</v>
      </c>
      <c r="AS158" s="33">
        <f ca="1">_xll.DBRW($C$1,$C$2,$C$3,$C$4,$C$6,$C$5,$C$7,AS$1,AS$2,$A158)</f>
        <v>0</v>
      </c>
      <c r="AT158" s="33">
        <f ca="1">_xll.DBRW($C$1,$C$2,$C$3,$C$4,$C$6,$C$5,$C$7,AT$1,AT$2,$A158)</f>
        <v>0</v>
      </c>
      <c r="AU158" s="33">
        <f ca="1">_xll.DBRW($C$1,$C$2,$C$3,$C$4,$C$6,$C$5,$C$7,AU$1,AU$2,$A158)</f>
        <v>0</v>
      </c>
      <c r="AV158" s="33">
        <f ca="1">_xll.DBRW($C$1,$C$2,$C$3,$C$4,$C$6,$C$5,$C$7,AV$1,AV$2,$A158)</f>
        <v>0</v>
      </c>
      <c r="AW158" s="33">
        <f ca="1">_xll.DBRW($C$1,$C$2,$C$3,$C$4,$C$6,$C$5,$C$7,AW$1,AW$2,$A158)</f>
        <v>0</v>
      </c>
      <c r="AX158" s="33">
        <f ca="1">_xll.DBRW($C$1,$C$2,$C$3,$C$4,$C$6,$C$5,$C$7,AX$1,AX$2,$A158)</f>
        <v>0</v>
      </c>
      <c r="AY158" s="33">
        <f ca="1">_xll.DBRW($C$1,$C$2,$C$3,$C$4,$C$6,$C$5,$C$7,AY$1,AY$2,$A158)</f>
        <v>0</v>
      </c>
    </row>
    <row r="159" spans="1:51" ht="15.75" hidden="1" customHeight="1" outlineLevel="2">
      <c r="A159" s="1" t="s">
        <v>249</v>
      </c>
      <c r="C159" s="109"/>
      <c r="E159" s="9" t="str">
        <f ca="1">_xll.DBRW(Server&amp;"}ElementAttributes_Indicator",A159,"code_English")</f>
        <v>PL1115_IN_65 - Others (IN)</v>
      </c>
      <c r="F159" s="33">
        <f ca="1">_xll.DBRW($C$1,$C$2,$C$3,$C$4,$C$6,$C$5,$C$7,F$1,F$2,$A159)</f>
        <v>0</v>
      </c>
      <c r="G159" s="33">
        <f ca="1">_xll.DBRW($C$1,$C$2,$C$3,$C$4,$C$6,$C$5,$C$7,G$1,G$2,$A159)</f>
        <v>0</v>
      </c>
      <c r="H159" s="33">
        <f ca="1">_xll.DBRW($C$1,$C$2,$C$3,$C$4,$C$6,$C$5,$C$7,H$1,H$2,$A159)</f>
        <v>0</v>
      </c>
      <c r="I159" s="33">
        <f ca="1">_xll.DBRW($C$1,$C$2,$C$3,$C$4,$C$6,$C$5,$C$7,I$1,I$2,$A159)</f>
        <v>0</v>
      </c>
      <c r="J159" s="33">
        <f ca="1">_xll.DBRW($C$1,$C$2,$C$3,$C$4,$C$6,$C$5,$C$7,J$1,J$2,$A159)</f>
        <v>0</v>
      </c>
      <c r="K159" s="33">
        <f ca="1">_xll.DBRW($C$1,$C$2,$C$3,$C$4,$C$6,$C$5,$C$7,K$1,K$2,$A159)</f>
        <v>0</v>
      </c>
      <c r="L159" s="33">
        <f ca="1">_xll.DBRW($C$1,$C$2,$C$3,$C$4,$C$6,$C$5,$C$7,L$1,L$2,$A159)</f>
        <v>0</v>
      </c>
      <c r="M159" s="33">
        <f ca="1">_xll.DBRW($C$1,$C$2,$C$3,$C$4,$C$6,$C$5,$C$7,M$1,M$2,$A159)</f>
        <v>0</v>
      </c>
      <c r="N159" s="33">
        <f ca="1">_xll.DBRW($C$1,$C$2,$C$3,$C$4,$C$6,$C$5,$C$7,N$1,N$2,$A159)</f>
        <v>0</v>
      </c>
      <c r="O159" s="33">
        <f ca="1">_xll.DBRW($C$1,$C$2,$C$3,$C$4,$C$6,$C$5,$C$7,O$1,O$2,$A159)</f>
        <v>0</v>
      </c>
      <c r="P159" s="33">
        <f ca="1">_xll.DBRW($C$1,$C$2,$C$3,$C$4,$C$6,$C$5,$C$7,P$1,P$2,$A159)</f>
        <v>0</v>
      </c>
      <c r="Q159" s="33">
        <f ca="1">_xll.DBRW($C$1,$C$2,$C$3,$C$4,$C$6,$C$5,$C$7,Q$1,Q$2,$A159)</f>
        <v>0</v>
      </c>
      <c r="R159" s="33">
        <f ca="1">_xll.DBRW($C$1,$C$2,$C$3,$C$4,$C$6,$C$5,$C$7,R$1,R$2,$A159)</f>
        <v>0</v>
      </c>
      <c r="S159" s="33">
        <f ca="1">_xll.DBRW($C$1,$C$2,$C$3,$C$4,$C$6,$C$5,$C$7,S$1,S$2,$A159)</f>
        <v>0</v>
      </c>
      <c r="T159" s="33">
        <f ca="1">_xll.DBRW($C$1,$C$2,$C$3,$C$4,$C$6,$C$5,$C$7,T$1,T$2,$A159)</f>
        <v>0</v>
      </c>
      <c r="U159" s="33">
        <f ca="1">_xll.DBRW($C$1,$C$2,$C$3,$C$4,$C$6,$C$5,$C$7,U$1,U$2,$A159)</f>
        <v>0</v>
      </c>
      <c r="V159" s="33">
        <f ca="1">_xll.DBRW($C$1,$C$2,$C$3,$C$4,$C$6,$C$5,$C$7,V$1,V$2,$A159)</f>
        <v>0</v>
      </c>
      <c r="W159" s="33">
        <f ca="1">_xll.DBRW($C$1,$C$2,$C$3,$C$4,$C$6,$C$5,$C$7,W$1,W$2,$A159)</f>
        <v>0</v>
      </c>
      <c r="X159" s="33">
        <f ca="1">_xll.DBRW($C$1,$C$2,$C$3,$C$4,$C$6,$C$5,$C$7,X$1,X$2,$A159)</f>
        <v>0</v>
      </c>
      <c r="Y159" s="33">
        <f ca="1">_xll.DBRW($C$1,$C$2,$C$3,$C$4,$C$6,$C$5,$C$7,Y$1,Y$2,$A159)</f>
        <v>0</v>
      </c>
      <c r="Z159" s="33">
        <f ca="1">_xll.DBRW($C$1,$C$2,$C$3,$C$4,$C$6,$C$5,$C$7,Z$1,Z$2,$A159)</f>
        <v>0</v>
      </c>
      <c r="AA159" s="33">
        <f ca="1">_xll.DBRW($C$1,$C$2,$C$3,$C$4,$C$6,$C$5,$C$7,AA$1,AA$2,$A159)</f>
        <v>0</v>
      </c>
      <c r="AB159" s="33">
        <f ca="1">_xll.DBRW($C$1,$C$2,$C$3,$C$4,$C$6,$C$5,$C$7,AB$1,AB$2,$A159)</f>
        <v>0</v>
      </c>
      <c r="AC159" s="33">
        <f ca="1">_xll.DBRW($C$1,$C$2,$C$3,$C$4,$C$6,$C$5,$C$7,AC$1,AC$2,$A159)</f>
        <v>0</v>
      </c>
      <c r="AD159" s="33">
        <f ca="1">_xll.DBRW($C$1,$C$2,$C$3,$C$4,$C$6,$C$5,$C$7,AD$1,AD$2,$A159)</f>
        <v>0</v>
      </c>
      <c r="AE159" s="33">
        <f ca="1">_xll.DBRW($C$1,$C$2,$C$3,$C$4,$C$6,$C$5,$C$7,AE$1,AE$2,$A159)</f>
        <v>0</v>
      </c>
      <c r="AF159" s="33">
        <f ca="1">_xll.DBRW($C$1,$C$2,$C$3,$C$4,$C$6,$C$5,$C$7,AF$1,AF$2,$A159)</f>
        <v>0</v>
      </c>
      <c r="AG159" s="33">
        <f ca="1">_xll.DBRW($C$1,$C$2,$C$3,$C$4,$C$6,$C$5,$C$7,AG$1,AG$2,$A159)</f>
        <v>0</v>
      </c>
      <c r="AH159" s="33">
        <f ca="1">_xll.DBRW($C$1,$C$2,$C$3,$C$4,$C$6,$C$5,$C$7,AH$1,AH$2,$A159)</f>
        <v>0</v>
      </c>
      <c r="AI159" s="33">
        <f ca="1">_xll.DBRW($C$1,$C$2,$C$3,$C$4,$C$6,$C$5,$C$7,AI$1,AI$2,$A159)</f>
        <v>0</v>
      </c>
      <c r="AJ159" s="33">
        <f ca="1">_xll.DBRW($C$1,$C$2,$C$3,$C$4,$C$6,$C$5,$C$7,AJ$1,AJ$2,$A159)</f>
        <v>0</v>
      </c>
      <c r="AK159" s="33">
        <f ca="1">_xll.DBRW($C$1,$C$2,$C$3,$C$4,$C$6,$C$5,$C$7,AK$1,AK$2,$A159)</f>
        <v>0</v>
      </c>
      <c r="AL159" s="33">
        <f ca="1">_xll.DBRW($C$1,$C$2,$C$3,$C$4,$C$6,$C$5,$C$7,AL$1,AL$2,$A159)</f>
        <v>0</v>
      </c>
      <c r="AM159" s="33">
        <f ca="1">_xll.DBRW($C$1,$C$2,$C$3,$C$4,$C$6,$C$5,$C$7,AM$1,AM$2,$A159)</f>
        <v>0</v>
      </c>
      <c r="AN159" s="33">
        <f ca="1">_xll.DBRW($C$1,$C$2,$C$3,$C$4,$C$6,$C$5,$C$7,AN$1,AN$2,$A159)</f>
        <v>0</v>
      </c>
      <c r="AO159" s="33">
        <f ca="1">_xll.DBRW($C$1,$C$2,$C$3,$C$4,$C$6,$C$5,$C$7,AO$1,AO$2,$A159)</f>
        <v>0</v>
      </c>
      <c r="AP159" s="33">
        <f ca="1">_xll.DBRW($C$1,$C$2,$C$3,$C$4,$C$6,$C$5,$C$7,AP$1,AP$2,$A159)</f>
        <v>0</v>
      </c>
      <c r="AQ159" s="33">
        <f ca="1">_xll.DBRW($C$1,$C$2,$C$3,$C$4,$C$6,$C$5,$C$7,AQ$1,AQ$2,$A159)</f>
        <v>0</v>
      </c>
      <c r="AR159" s="33">
        <f ca="1">_xll.DBRW($C$1,$C$2,$C$3,$C$4,$C$6,$C$5,$C$7,AR$1,AR$2,$A159)</f>
        <v>0</v>
      </c>
      <c r="AS159" s="33">
        <f ca="1">_xll.DBRW($C$1,$C$2,$C$3,$C$4,$C$6,$C$5,$C$7,AS$1,AS$2,$A159)</f>
        <v>0</v>
      </c>
      <c r="AT159" s="33">
        <f ca="1">_xll.DBRW($C$1,$C$2,$C$3,$C$4,$C$6,$C$5,$C$7,AT$1,AT$2,$A159)</f>
        <v>0</v>
      </c>
      <c r="AU159" s="33">
        <f ca="1">_xll.DBRW($C$1,$C$2,$C$3,$C$4,$C$6,$C$5,$C$7,AU$1,AU$2,$A159)</f>
        <v>0</v>
      </c>
      <c r="AV159" s="33">
        <f ca="1">_xll.DBRW($C$1,$C$2,$C$3,$C$4,$C$6,$C$5,$C$7,AV$1,AV$2,$A159)</f>
        <v>0</v>
      </c>
      <c r="AW159" s="33">
        <f ca="1">_xll.DBRW($C$1,$C$2,$C$3,$C$4,$C$6,$C$5,$C$7,AW$1,AW$2,$A159)</f>
        <v>0</v>
      </c>
      <c r="AX159" s="33">
        <f ca="1">_xll.DBRW($C$1,$C$2,$C$3,$C$4,$C$6,$C$5,$C$7,AX$1,AX$2,$A159)</f>
        <v>0</v>
      </c>
      <c r="AY159" s="33">
        <f ca="1">_xll.DBRW($C$1,$C$2,$C$3,$C$4,$C$6,$C$5,$C$7,AY$1,AY$2,$A159)</f>
        <v>0</v>
      </c>
    </row>
    <row r="160" spans="1:51" ht="15.75" hidden="1" customHeight="1" outlineLevel="2">
      <c r="A160" s="1" t="s">
        <v>250</v>
      </c>
      <c r="C160" s="109"/>
      <c r="E160" s="9" t="str">
        <f ca="1">_xll.DBRW(Server&amp;"}ElementAttributes_Indicator",A160,"code_English")</f>
        <v>PL1115_IN_55 - Operating lease (IN)</v>
      </c>
      <c r="F160" s="33">
        <f ca="1">_xll.DBRW($C$1,$C$2,$C$3,$C$4,$C$6,$C$5,$C$7,F$1,F$2,$A160)</f>
        <v>0</v>
      </c>
      <c r="G160" s="33">
        <f ca="1">_xll.DBRW($C$1,$C$2,$C$3,$C$4,$C$6,$C$5,$C$7,G$1,G$2,$A160)</f>
        <v>0</v>
      </c>
      <c r="H160" s="33">
        <f ca="1">_xll.DBRW($C$1,$C$2,$C$3,$C$4,$C$6,$C$5,$C$7,H$1,H$2,$A160)</f>
        <v>0</v>
      </c>
      <c r="I160" s="33">
        <f ca="1">_xll.DBRW($C$1,$C$2,$C$3,$C$4,$C$6,$C$5,$C$7,I$1,I$2,$A160)</f>
        <v>0</v>
      </c>
      <c r="J160" s="33">
        <f ca="1">_xll.DBRW($C$1,$C$2,$C$3,$C$4,$C$6,$C$5,$C$7,J$1,J$2,$A160)</f>
        <v>0</v>
      </c>
      <c r="K160" s="33">
        <f ca="1">_xll.DBRW($C$1,$C$2,$C$3,$C$4,$C$6,$C$5,$C$7,K$1,K$2,$A160)</f>
        <v>0</v>
      </c>
      <c r="L160" s="33">
        <f ca="1">_xll.DBRW($C$1,$C$2,$C$3,$C$4,$C$6,$C$5,$C$7,L$1,L$2,$A160)</f>
        <v>0</v>
      </c>
      <c r="M160" s="33">
        <f ca="1">_xll.DBRW($C$1,$C$2,$C$3,$C$4,$C$6,$C$5,$C$7,M$1,M$2,$A160)</f>
        <v>0</v>
      </c>
      <c r="N160" s="33">
        <f ca="1">_xll.DBRW($C$1,$C$2,$C$3,$C$4,$C$6,$C$5,$C$7,N$1,N$2,$A160)</f>
        <v>0</v>
      </c>
      <c r="O160" s="33">
        <f ca="1">_xll.DBRW($C$1,$C$2,$C$3,$C$4,$C$6,$C$5,$C$7,O$1,O$2,$A160)</f>
        <v>0</v>
      </c>
      <c r="P160" s="33">
        <f ca="1">_xll.DBRW($C$1,$C$2,$C$3,$C$4,$C$6,$C$5,$C$7,P$1,P$2,$A160)</f>
        <v>0</v>
      </c>
      <c r="Q160" s="33">
        <f ca="1">_xll.DBRW($C$1,$C$2,$C$3,$C$4,$C$6,$C$5,$C$7,Q$1,Q$2,$A160)</f>
        <v>0</v>
      </c>
      <c r="R160" s="33">
        <f ca="1">_xll.DBRW($C$1,$C$2,$C$3,$C$4,$C$6,$C$5,$C$7,R$1,R$2,$A160)</f>
        <v>0</v>
      </c>
      <c r="S160" s="33">
        <f ca="1">_xll.DBRW($C$1,$C$2,$C$3,$C$4,$C$6,$C$5,$C$7,S$1,S$2,$A160)</f>
        <v>0</v>
      </c>
      <c r="T160" s="33">
        <f ca="1">_xll.DBRW($C$1,$C$2,$C$3,$C$4,$C$6,$C$5,$C$7,T$1,T$2,$A160)</f>
        <v>0</v>
      </c>
      <c r="U160" s="33">
        <f ca="1">_xll.DBRW($C$1,$C$2,$C$3,$C$4,$C$6,$C$5,$C$7,U$1,U$2,$A160)</f>
        <v>0</v>
      </c>
      <c r="V160" s="33">
        <f ca="1">_xll.DBRW($C$1,$C$2,$C$3,$C$4,$C$6,$C$5,$C$7,V$1,V$2,$A160)</f>
        <v>0</v>
      </c>
      <c r="W160" s="33">
        <f ca="1">_xll.DBRW($C$1,$C$2,$C$3,$C$4,$C$6,$C$5,$C$7,W$1,W$2,$A160)</f>
        <v>0</v>
      </c>
      <c r="X160" s="33">
        <f ca="1">_xll.DBRW($C$1,$C$2,$C$3,$C$4,$C$6,$C$5,$C$7,X$1,X$2,$A160)</f>
        <v>0</v>
      </c>
      <c r="Y160" s="33">
        <f ca="1">_xll.DBRW($C$1,$C$2,$C$3,$C$4,$C$6,$C$5,$C$7,Y$1,Y$2,$A160)</f>
        <v>0</v>
      </c>
      <c r="Z160" s="33">
        <f ca="1">_xll.DBRW($C$1,$C$2,$C$3,$C$4,$C$6,$C$5,$C$7,Z$1,Z$2,$A160)</f>
        <v>0</v>
      </c>
      <c r="AA160" s="33">
        <f ca="1">_xll.DBRW($C$1,$C$2,$C$3,$C$4,$C$6,$C$5,$C$7,AA$1,AA$2,$A160)</f>
        <v>0</v>
      </c>
      <c r="AB160" s="33">
        <f ca="1">_xll.DBRW($C$1,$C$2,$C$3,$C$4,$C$6,$C$5,$C$7,AB$1,AB$2,$A160)</f>
        <v>0</v>
      </c>
      <c r="AC160" s="33">
        <f ca="1">_xll.DBRW($C$1,$C$2,$C$3,$C$4,$C$6,$C$5,$C$7,AC$1,AC$2,$A160)</f>
        <v>0</v>
      </c>
      <c r="AD160" s="33">
        <f ca="1">_xll.DBRW($C$1,$C$2,$C$3,$C$4,$C$6,$C$5,$C$7,AD$1,AD$2,$A160)</f>
        <v>0</v>
      </c>
      <c r="AE160" s="33">
        <f ca="1">_xll.DBRW($C$1,$C$2,$C$3,$C$4,$C$6,$C$5,$C$7,AE$1,AE$2,$A160)</f>
        <v>0</v>
      </c>
      <c r="AF160" s="33">
        <f ca="1">_xll.DBRW($C$1,$C$2,$C$3,$C$4,$C$6,$C$5,$C$7,AF$1,AF$2,$A160)</f>
        <v>0</v>
      </c>
      <c r="AG160" s="33">
        <f ca="1">_xll.DBRW($C$1,$C$2,$C$3,$C$4,$C$6,$C$5,$C$7,AG$1,AG$2,$A160)</f>
        <v>0</v>
      </c>
      <c r="AH160" s="33">
        <f ca="1">_xll.DBRW($C$1,$C$2,$C$3,$C$4,$C$6,$C$5,$C$7,AH$1,AH$2,$A160)</f>
        <v>0</v>
      </c>
      <c r="AI160" s="33">
        <f ca="1">_xll.DBRW($C$1,$C$2,$C$3,$C$4,$C$6,$C$5,$C$7,AI$1,AI$2,$A160)</f>
        <v>0</v>
      </c>
      <c r="AJ160" s="33">
        <f ca="1">_xll.DBRW($C$1,$C$2,$C$3,$C$4,$C$6,$C$5,$C$7,AJ$1,AJ$2,$A160)</f>
        <v>0</v>
      </c>
      <c r="AK160" s="33">
        <f ca="1">_xll.DBRW($C$1,$C$2,$C$3,$C$4,$C$6,$C$5,$C$7,AK$1,AK$2,$A160)</f>
        <v>0</v>
      </c>
      <c r="AL160" s="33">
        <f ca="1">_xll.DBRW($C$1,$C$2,$C$3,$C$4,$C$6,$C$5,$C$7,AL$1,AL$2,$A160)</f>
        <v>0</v>
      </c>
      <c r="AM160" s="33">
        <f ca="1">_xll.DBRW($C$1,$C$2,$C$3,$C$4,$C$6,$C$5,$C$7,AM$1,AM$2,$A160)</f>
        <v>0</v>
      </c>
      <c r="AN160" s="33">
        <f ca="1">_xll.DBRW($C$1,$C$2,$C$3,$C$4,$C$6,$C$5,$C$7,AN$1,AN$2,$A160)</f>
        <v>0</v>
      </c>
      <c r="AO160" s="33">
        <f ca="1">_xll.DBRW($C$1,$C$2,$C$3,$C$4,$C$6,$C$5,$C$7,AO$1,AO$2,$A160)</f>
        <v>0</v>
      </c>
      <c r="AP160" s="33">
        <f ca="1">_xll.DBRW($C$1,$C$2,$C$3,$C$4,$C$6,$C$5,$C$7,AP$1,AP$2,$A160)</f>
        <v>0</v>
      </c>
      <c r="AQ160" s="33">
        <f ca="1">_xll.DBRW($C$1,$C$2,$C$3,$C$4,$C$6,$C$5,$C$7,AQ$1,AQ$2,$A160)</f>
        <v>0</v>
      </c>
      <c r="AR160" s="33">
        <f ca="1">_xll.DBRW($C$1,$C$2,$C$3,$C$4,$C$6,$C$5,$C$7,AR$1,AR$2,$A160)</f>
        <v>0</v>
      </c>
      <c r="AS160" s="33">
        <f ca="1">_xll.DBRW($C$1,$C$2,$C$3,$C$4,$C$6,$C$5,$C$7,AS$1,AS$2,$A160)</f>
        <v>0</v>
      </c>
      <c r="AT160" s="33">
        <f ca="1">_xll.DBRW($C$1,$C$2,$C$3,$C$4,$C$6,$C$5,$C$7,AT$1,AT$2,$A160)</f>
        <v>0</v>
      </c>
      <c r="AU160" s="33">
        <f ca="1">_xll.DBRW($C$1,$C$2,$C$3,$C$4,$C$6,$C$5,$C$7,AU$1,AU$2,$A160)</f>
        <v>0</v>
      </c>
      <c r="AV160" s="33">
        <f ca="1">_xll.DBRW($C$1,$C$2,$C$3,$C$4,$C$6,$C$5,$C$7,AV$1,AV$2,$A160)</f>
        <v>0</v>
      </c>
      <c r="AW160" s="33">
        <f ca="1">_xll.DBRW($C$1,$C$2,$C$3,$C$4,$C$6,$C$5,$C$7,AW$1,AW$2,$A160)</f>
        <v>0</v>
      </c>
      <c r="AX160" s="33">
        <f ca="1">_xll.DBRW($C$1,$C$2,$C$3,$C$4,$C$6,$C$5,$C$7,AX$1,AX$2,$A160)</f>
        <v>0</v>
      </c>
      <c r="AY160" s="33">
        <f ca="1">_xll.DBRW($C$1,$C$2,$C$3,$C$4,$C$6,$C$5,$C$7,AY$1,AY$2,$A160)</f>
        <v>0</v>
      </c>
    </row>
    <row r="161" spans="1:51" ht="15.75" hidden="1" customHeight="1" outlineLevel="2">
      <c r="A161" s="1" t="s">
        <v>251</v>
      </c>
      <c r="C161" s="109"/>
      <c r="E161" s="9" t="str">
        <f ca="1">_xll.DBRW(Server&amp;"}ElementAttributes_Indicator",A161,"code_English")</f>
        <v>PL1140_IN_05 - Amortization (IN)</v>
      </c>
      <c r="F161" s="33">
        <f ca="1">_xll.DBRW($C$1,$C$2,$C$3,$C$4,$C$6,$C$5,$C$7,F$1,F$2,$A161)</f>
        <v>0</v>
      </c>
      <c r="G161" s="33">
        <f ca="1">_xll.DBRW($C$1,$C$2,$C$3,$C$4,$C$6,$C$5,$C$7,G$1,G$2,$A161)</f>
        <v>0</v>
      </c>
      <c r="H161" s="33">
        <f ca="1">_xll.DBRW($C$1,$C$2,$C$3,$C$4,$C$6,$C$5,$C$7,H$1,H$2,$A161)</f>
        <v>0</v>
      </c>
      <c r="I161" s="33">
        <f ca="1">_xll.DBRW($C$1,$C$2,$C$3,$C$4,$C$6,$C$5,$C$7,I$1,I$2,$A161)</f>
        <v>0</v>
      </c>
      <c r="J161" s="33">
        <f ca="1">_xll.DBRW($C$1,$C$2,$C$3,$C$4,$C$6,$C$5,$C$7,J$1,J$2,$A161)</f>
        <v>0</v>
      </c>
      <c r="K161" s="33">
        <f ca="1">_xll.DBRW($C$1,$C$2,$C$3,$C$4,$C$6,$C$5,$C$7,K$1,K$2,$A161)</f>
        <v>0</v>
      </c>
      <c r="L161" s="33">
        <f ca="1">_xll.DBRW($C$1,$C$2,$C$3,$C$4,$C$6,$C$5,$C$7,L$1,L$2,$A161)</f>
        <v>0</v>
      </c>
      <c r="M161" s="33">
        <f ca="1">_xll.DBRW($C$1,$C$2,$C$3,$C$4,$C$6,$C$5,$C$7,M$1,M$2,$A161)</f>
        <v>0</v>
      </c>
      <c r="N161" s="33">
        <f ca="1">_xll.DBRW($C$1,$C$2,$C$3,$C$4,$C$6,$C$5,$C$7,N$1,N$2,$A161)</f>
        <v>0</v>
      </c>
      <c r="O161" s="33">
        <f ca="1">_xll.DBRW($C$1,$C$2,$C$3,$C$4,$C$6,$C$5,$C$7,O$1,O$2,$A161)</f>
        <v>0</v>
      </c>
      <c r="P161" s="33">
        <f ca="1">_xll.DBRW($C$1,$C$2,$C$3,$C$4,$C$6,$C$5,$C$7,P$1,P$2,$A161)</f>
        <v>0</v>
      </c>
      <c r="Q161" s="33">
        <f ca="1">_xll.DBRW($C$1,$C$2,$C$3,$C$4,$C$6,$C$5,$C$7,Q$1,Q$2,$A161)</f>
        <v>0</v>
      </c>
      <c r="R161" s="33">
        <f ca="1">_xll.DBRW($C$1,$C$2,$C$3,$C$4,$C$6,$C$5,$C$7,R$1,R$2,$A161)</f>
        <v>0</v>
      </c>
      <c r="S161" s="33">
        <f ca="1">_xll.DBRW($C$1,$C$2,$C$3,$C$4,$C$6,$C$5,$C$7,S$1,S$2,$A161)</f>
        <v>0</v>
      </c>
      <c r="T161" s="33">
        <f ca="1">_xll.DBRW($C$1,$C$2,$C$3,$C$4,$C$6,$C$5,$C$7,T$1,T$2,$A161)</f>
        <v>0</v>
      </c>
      <c r="U161" s="33">
        <f ca="1">_xll.DBRW($C$1,$C$2,$C$3,$C$4,$C$6,$C$5,$C$7,U$1,U$2,$A161)</f>
        <v>0</v>
      </c>
      <c r="V161" s="33">
        <f ca="1">_xll.DBRW($C$1,$C$2,$C$3,$C$4,$C$6,$C$5,$C$7,V$1,V$2,$A161)</f>
        <v>0</v>
      </c>
      <c r="W161" s="33">
        <f ca="1">_xll.DBRW($C$1,$C$2,$C$3,$C$4,$C$6,$C$5,$C$7,W$1,W$2,$A161)</f>
        <v>0</v>
      </c>
      <c r="X161" s="33">
        <f ca="1">_xll.DBRW($C$1,$C$2,$C$3,$C$4,$C$6,$C$5,$C$7,X$1,X$2,$A161)</f>
        <v>0</v>
      </c>
      <c r="Y161" s="33">
        <f ca="1">_xll.DBRW($C$1,$C$2,$C$3,$C$4,$C$6,$C$5,$C$7,Y$1,Y$2,$A161)</f>
        <v>0</v>
      </c>
      <c r="Z161" s="33">
        <f ca="1">_xll.DBRW($C$1,$C$2,$C$3,$C$4,$C$6,$C$5,$C$7,Z$1,Z$2,$A161)</f>
        <v>0</v>
      </c>
      <c r="AA161" s="33">
        <f ca="1">_xll.DBRW($C$1,$C$2,$C$3,$C$4,$C$6,$C$5,$C$7,AA$1,AA$2,$A161)</f>
        <v>0</v>
      </c>
      <c r="AB161" s="33">
        <f ca="1">_xll.DBRW($C$1,$C$2,$C$3,$C$4,$C$6,$C$5,$C$7,AB$1,AB$2,$A161)</f>
        <v>0</v>
      </c>
      <c r="AC161" s="33">
        <f ca="1">_xll.DBRW($C$1,$C$2,$C$3,$C$4,$C$6,$C$5,$C$7,AC$1,AC$2,$A161)</f>
        <v>0</v>
      </c>
      <c r="AD161" s="33">
        <f ca="1">_xll.DBRW($C$1,$C$2,$C$3,$C$4,$C$6,$C$5,$C$7,AD$1,AD$2,$A161)</f>
        <v>0</v>
      </c>
      <c r="AE161" s="33">
        <f ca="1">_xll.DBRW($C$1,$C$2,$C$3,$C$4,$C$6,$C$5,$C$7,AE$1,AE$2,$A161)</f>
        <v>0</v>
      </c>
      <c r="AF161" s="33">
        <f ca="1">_xll.DBRW($C$1,$C$2,$C$3,$C$4,$C$6,$C$5,$C$7,AF$1,AF$2,$A161)</f>
        <v>0</v>
      </c>
      <c r="AG161" s="33">
        <f ca="1">_xll.DBRW($C$1,$C$2,$C$3,$C$4,$C$6,$C$5,$C$7,AG$1,AG$2,$A161)</f>
        <v>0</v>
      </c>
      <c r="AH161" s="33">
        <f ca="1">_xll.DBRW($C$1,$C$2,$C$3,$C$4,$C$6,$C$5,$C$7,AH$1,AH$2,$A161)</f>
        <v>0</v>
      </c>
      <c r="AI161" s="33">
        <f ca="1">_xll.DBRW($C$1,$C$2,$C$3,$C$4,$C$6,$C$5,$C$7,AI$1,AI$2,$A161)</f>
        <v>0</v>
      </c>
      <c r="AJ161" s="33">
        <f ca="1">_xll.DBRW($C$1,$C$2,$C$3,$C$4,$C$6,$C$5,$C$7,AJ$1,AJ$2,$A161)</f>
        <v>0</v>
      </c>
      <c r="AK161" s="33">
        <f ca="1">_xll.DBRW($C$1,$C$2,$C$3,$C$4,$C$6,$C$5,$C$7,AK$1,AK$2,$A161)</f>
        <v>0</v>
      </c>
      <c r="AL161" s="33">
        <f ca="1">_xll.DBRW($C$1,$C$2,$C$3,$C$4,$C$6,$C$5,$C$7,AL$1,AL$2,$A161)</f>
        <v>0</v>
      </c>
      <c r="AM161" s="33">
        <f ca="1">_xll.DBRW($C$1,$C$2,$C$3,$C$4,$C$6,$C$5,$C$7,AM$1,AM$2,$A161)</f>
        <v>0</v>
      </c>
      <c r="AN161" s="33">
        <f ca="1">_xll.DBRW($C$1,$C$2,$C$3,$C$4,$C$6,$C$5,$C$7,AN$1,AN$2,$A161)</f>
        <v>0</v>
      </c>
      <c r="AO161" s="33">
        <f ca="1">_xll.DBRW($C$1,$C$2,$C$3,$C$4,$C$6,$C$5,$C$7,AO$1,AO$2,$A161)</f>
        <v>0</v>
      </c>
      <c r="AP161" s="33">
        <f ca="1">_xll.DBRW($C$1,$C$2,$C$3,$C$4,$C$6,$C$5,$C$7,AP$1,AP$2,$A161)</f>
        <v>0</v>
      </c>
      <c r="AQ161" s="33">
        <f ca="1">_xll.DBRW($C$1,$C$2,$C$3,$C$4,$C$6,$C$5,$C$7,AQ$1,AQ$2,$A161)</f>
        <v>0</v>
      </c>
      <c r="AR161" s="33">
        <f ca="1">_xll.DBRW($C$1,$C$2,$C$3,$C$4,$C$6,$C$5,$C$7,AR$1,AR$2,$A161)</f>
        <v>0</v>
      </c>
      <c r="AS161" s="33">
        <f ca="1">_xll.DBRW($C$1,$C$2,$C$3,$C$4,$C$6,$C$5,$C$7,AS$1,AS$2,$A161)</f>
        <v>0</v>
      </c>
      <c r="AT161" s="33">
        <f ca="1">_xll.DBRW($C$1,$C$2,$C$3,$C$4,$C$6,$C$5,$C$7,AT$1,AT$2,$A161)</f>
        <v>0</v>
      </c>
      <c r="AU161" s="33">
        <f ca="1">_xll.DBRW($C$1,$C$2,$C$3,$C$4,$C$6,$C$5,$C$7,AU$1,AU$2,$A161)</f>
        <v>0</v>
      </c>
      <c r="AV161" s="33">
        <f ca="1">_xll.DBRW($C$1,$C$2,$C$3,$C$4,$C$6,$C$5,$C$7,AV$1,AV$2,$A161)</f>
        <v>0</v>
      </c>
      <c r="AW161" s="33">
        <f ca="1">_xll.DBRW($C$1,$C$2,$C$3,$C$4,$C$6,$C$5,$C$7,AW$1,AW$2,$A161)</f>
        <v>0</v>
      </c>
      <c r="AX161" s="33">
        <f ca="1">_xll.DBRW($C$1,$C$2,$C$3,$C$4,$C$6,$C$5,$C$7,AX$1,AX$2,$A161)</f>
        <v>0</v>
      </c>
      <c r="AY161" s="33">
        <f ca="1">_xll.DBRW($C$1,$C$2,$C$3,$C$4,$C$6,$C$5,$C$7,AY$1,AY$2,$A161)</f>
        <v>0</v>
      </c>
    </row>
    <row r="162" spans="1:51" ht="15.75" hidden="1" customHeight="1" outlineLevel="2">
      <c r="A162" s="1" t="s">
        <v>252</v>
      </c>
      <c r="C162" s="109"/>
      <c r="E162" s="9" t="str">
        <f ca="1">_xll.DBRW(Server&amp;"}ElementAttributes_Indicator",A162,"code_English")</f>
        <v>PL1160_IN_15 - Gains/losses on disposal of tangible &amp; intangible fixed assets (IN)</v>
      </c>
      <c r="F162" s="33">
        <f ca="1">_xll.DBRW($C$1,$C$2,$C$3,$C$4,$C$6,$C$5,$C$7,F$1,F$2,$A162)</f>
        <v>0</v>
      </c>
      <c r="G162" s="33">
        <f ca="1">_xll.DBRW($C$1,$C$2,$C$3,$C$4,$C$6,$C$5,$C$7,G$1,G$2,$A162)</f>
        <v>0</v>
      </c>
      <c r="H162" s="33">
        <f ca="1">_xll.DBRW($C$1,$C$2,$C$3,$C$4,$C$6,$C$5,$C$7,H$1,H$2,$A162)</f>
        <v>0</v>
      </c>
      <c r="I162" s="33">
        <f ca="1">_xll.DBRW($C$1,$C$2,$C$3,$C$4,$C$6,$C$5,$C$7,I$1,I$2,$A162)</f>
        <v>0</v>
      </c>
      <c r="J162" s="33">
        <f ca="1">_xll.DBRW($C$1,$C$2,$C$3,$C$4,$C$6,$C$5,$C$7,J$1,J$2,$A162)</f>
        <v>0</v>
      </c>
      <c r="K162" s="33">
        <f ca="1">_xll.DBRW($C$1,$C$2,$C$3,$C$4,$C$6,$C$5,$C$7,K$1,K$2,$A162)</f>
        <v>0</v>
      </c>
      <c r="L162" s="33">
        <f ca="1">_xll.DBRW($C$1,$C$2,$C$3,$C$4,$C$6,$C$5,$C$7,L$1,L$2,$A162)</f>
        <v>0</v>
      </c>
      <c r="M162" s="33">
        <f ca="1">_xll.DBRW($C$1,$C$2,$C$3,$C$4,$C$6,$C$5,$C$7,M$1,M$2,$A162)</f>
        <v>0</v>
      </c>
      <c r="N162" s="33">
        <f ca="1">_xll.DBRW($C$1,$C$2,$C$3,$C$4,$C$6,$C$5,$C$7,N$1,N$2,$A162)</f>
        <v>0</v>
      </c>
      <c r="O162" s="33">
        <f ca="1">_xll.DBRW($C$1,$C$2,$C$3,$C$4,$C$6,$C$5,$C$7,O$1,O$2,$A162)</f>
        <v>0</v>
      </c>
      <c r="P162" s="33">
        <f ca="1">_xll.DBRW($C$1,$C$2,$C$3,$C$4,$C$6,$C$5,$C$7,P$1,P$2,$A162)</f>
        <v>0</v>
      </c>
      <c r="Q162" s="33">
        <f ca="1">_xll.DBRW($C$1,$C$2,$C$3,$C$4,$C$6,$C$5,$C$7,Q$1,Q$2,$A162)</f>
        <v>0</v>
      </c>
      <c r="R162" s="33">
        <f ca="1">_xll.DBRW($C$1,$C$2,$C$3,$C$4,$C$6,$C$5,$C$7,R$1,R$2,$A162)</f>
        <v>0</v>
      </c>
      <c r="S162" s="33">
        <f ca="1">_xll.DBRW($C$1,$C$2,$C$3,$C$4,$C$6,$C$5,$C$7,S$1,S$2,$A162)</f>
        <v>0</v>
      </c>
      <c r="T162" s="33">
        <f ca="1">_xll.DBRW($C$1,$C$2,$C$3,$C$4,$C$6,$C$5,$C$7,T$1,T$2,$A162)</f>
        <v>0</v>
      </c>
      <c r="U162" s="33">
        <f ca="1">_xll.DBRW($C$1,$C$2,$C$3,$C$4,$C$6,$C$5,$C$7,U$1,U$2,$A162)</f>
        <v>0</v>
      </c>
      <c r="V162" s="33">
        <f ca="1">_xll.DBRW($C$1,$C$2,$C$3,$C$4,$C$6,$C$5,$C$7,V$1,V$2,$A162)</f>
        <v>0</v>
      </c>
      <c r="W162" s="33">
        <f ca="1">_xll.DBRW($C$1,$C$2,$C$3,$C$4,$C$6,$C$5,$C$7,W$1,W$2,$A162)</f>
        <v>0</v>
      </c>
      <c r="X162" s="33">
        <f ca="1">_xll.DBRW($C$1,$C$2,$C$3,$C$4,$C$6,$C$5,$C$7,X$1,X$2,$A162)</f>
        <v>0</v>
      </c>
      <c r="Y162" s="33">
        <f ca="1">_xll.DBRW($C$1,$C$2,$C$3,$C$4,$C$6,$C$5,$C$7,Y$1,Y$2,$A162)</f>
        <v>0</v>
      </c>
      <c r="Z162" s="33">
        <f ca="1">_xll.DBRW($C$1,$C$2,$C$3,$C$4,$C$6,$C$5,$C$7,Z$1,Z$2,$A162)</f>
        <v>0</v>
      </c>
      <c r="AA162" s="33">
        <f ca="1">_xll.DBRW($C$1,$C$2,$C$3,$C$4,$C$6,$C$5,$C$7,AA$1,AA$2,$A162)</f>
        <v>0</v>
      </c>
      <c r="AB162" s="33">
        <f ca="1">_xll.DBRW($C$1,$C$2,$C$3,$C$4,$C$6,$C$5,$C$7,AB$1,AB$2,$A162)</f>
        <v>0</v>
      </c>
      <c r="AC162" s="33">
        <f ca="1">_xll.DBRW($C$1,$C$2,$C$3,$C$4,$C$6,$C$5,$C$7,AC$1,AC$2,$A162)</f>
        <v>0</v>
      </c>
      <c r="AD162" s="33">
        <f ca="1">_xll.DBRW($C$1,$C$2,$C$3,$C$4,$C$6,$C$5,$C$7,AD$1,AD$2,$A162)</f>
        <v>0</v>
      </c>
      <c r="AE162" s="33">
        <f ca="1">_xll.DBRW($C$1,$C$2,$C$3,$C$4,$C$6,$C$5,$C$7,AE$1,AE$2,$A162)</f>
        <v>0</v>
      </c>
      <c r="AF162" s="33">
        <f ca="1">_xll.DBRW($C$1,$C$2,$C$3,$C$4,$C$6,$C$5,$C$7,AF$1,AF$2,$A162)</f>
        <v>0</v>
      </c>
      <c r="AG162" s="33">
        <f ca="1">_xll.DBRW($C$1,$C$2,$C$3,$C$4,$C$6,$C$5,$C$7,AG$1,AG$2,$A162)</f>
        <v>0</v>
      </c>
      <c r="AH162" s="33">
        <f ca="1">_xll.DBRW($C$1,$C$2,$C$3,$C$4,$C$6,$C$5,$C$7,AH$1,AH$2,$A162)</f>
        <v>0</v>
      </c>
      <c r="AI162" s="33">
        <f ca="1">_xll.DBRW($C$1,$C$2,$C$3,$C$4,$C$6,$C$5,$C$7,AI$1,AI$2,$A162)</f>
        <v>0</v>
      </c>
      <c r="AJ162" s="33">
        <f ca="1">_xll.DBRW($C$1,$C$2,$C$3,$C$4,$C$6,$C$5,$C$7,AJ$1,AJ$2,$A162)</f>
        <v>0</v>
      </c>
      <c r="AK162" s="33">
        <f ca="1">_xll.DBRW($C$1,$C$2,$C$3,$C$4,$C$6,$C$5,$C$7,AK$1,AK$2,$A162)</f>
        <v>0</v>
      </c>
      <c r="AL162" s="33">
        <f ca="1">_xll.DBRW($C$1,$C$2,$C$3,$C$4,$C$6,$C$5,$C$7,AL$1,AL$2,$A162)</f>
        <v>0</v>
      </c>
      <c r="AM162" s="33">
        <f ca="1">_xll.DBRW($C$1,$C$2,$C$3,$C$4,$C$6,$C$5,$C$7,AM$1,AM$2,$A162)</f>
        <v>0</v>
      </c>
      <c r="AN162" s="33">
        <f ca="1">_xll.DBRW($C$1,$C$2,$C$3,$C$4,$C$6,$C$5,$C$7,AN$1,AN$2,$A162)</f>
        <v>0</v>
      </c>
      <c r="AO162" s="33">
        <f ca="1">_xll.DBRW($C$1,$C$2,$C$3,$C$4,$C$6,$C$5,$C$7,AO$1,AO$2,$A162)</f>
        <v>0</v>
      </c>
      <c r="AP162" s="33">
        <f ca="1">_xll.DBRW($C$1,$C$2,$C$3,$C$4,$C$6,$C$5,$C$7,AP$1,AP$2,$A162)</f>
        <v>0</v>
      </c>
      <c r="AQ162" s="33">
        <f ca="1">_xll.DBRW($C$1,$C$2,$C$3,$C$4,$C$6,$C$5,$C$7,AQ$1,AQ$2,$A162)</f>
        <v>0</v>
      </c>
      <c r="AR162" s="33">
        <f ca="1">_xll.DBRW($C$1,$C$2,$C$3,$C$4,$C$6,$C$5,$C$7,AR$1,AR$2,$A162)</f>
        <v>0</v>
      </c>
      <c r="AS162" s="33">
        <f ca="1">_xll.DBRW($C$1,$C$2,$C$3,$C$4,$C$6,$C$5,$C$7,AS$1,AS$2,$A162)</f>
        <v>0</v>
      </c>
      <c r="AT162" s="33">
        <f ca="1">_xll.DBRW($C$1,$C$2,$C$3,$C$4,$C$6,$C$5,$C$7,AT$1,AT$2,$A162)</f>
        <v>0</v>
      </c>
      <c r="AU162" s="33">
        <f ca="1">_xll.DBRW($C$1,$C$2,$C$3,$C$4,$C$6,$C$5,$C$7,AU$1,AU$2,$A162)</f>
        <v>0</v>
      </c>
      <c r="AV162" s="33">
        <f ca="1">_xll.DBRW($C$1,$C$2,$C$3,$C$4,$C$6,$C$5,$C$7,AV$1,AV$2,$A162)</f>
        <v>0</v>
      </c>
      <c r="AW162" s="33">
        <f ca="1">_xll.DBRW($C$1,$C$2,$C$3,$C$4,$C$6,$C$5,$C$7,AW$1,AW$2,$A162)</f>
        <v>0</v>
      </c>
      <c r="AX162" s="33">
        <f ca="1">_xll.DBRW($C$1,$C$2,$C$3,$C$4,$C$6,$C$5,$C$7,AX$1,AX$2,$A162)</f>
        <v>0</v>
      </c>
      <c r="AY162" s="33">
        <f ca="1">_xll.DBRW($C$1,$C$2,$C$3,$C$4,$C$6,$C$5,$C$7,AY$1,AY$2,$A162)</f>
        <v>0</v>
      </c>
    </row>
    <row r="163" spans="1:51" ht="15.75" hidden="1" customHeight="1" outlineLevel="2">
      <c r="A163" s="1" t="s">
        <v>253</v>
      </c>
      <c r="C163" s="109"/>
      <c r="E163" s="9" t="str">
        <f ca="1">_xll.DBRW(Server&amp;"}ElementAttributes_Indicator",A163,"code_English")</f>
        <v>PL1150_IN_90 - Impairment (other than working capital) and provisions - others (IN)</v>
      </c>
      <c r="F163" s="33">
        <f ca="1">_xll.DBRW($C$1,$C$2,$C$3,$C$4,$C$6,$C$5,$C$7,F$1,F$2,$A163)</f>
        <v>0</v>
      </c>
      <c r="G163" s="33">
        <f ca="1">_xll.DBRW($C$1,$C$2,$C$3,$C$4,$C$6,$C$5,$C$7,G$1,G$2,$A163)</f>
        <v>0</v>
      </c>
      <c r="H163" s="33">
        <f ca="1">_xll.DBRW($C$1,$C$2,$C$3,$C$4,$C$6,$C$5,$C$7,H$1,H$2,$A163)</f>
        <v>0</v>
      </c>
      <c r="I163" s="33">
        <f ca="1">_xll.DBRW($C$1,$C$2,$C$3,$C$4,$C$6,$C$5,$C$7,I$1,I$2,$A163)</f>
        <v>0</v>
      </c>
      <c r="J163" s="33">
        <f ca="1">_xll.DBRW($C$1,$C$2,$C$3,$C$4,$C$6,$C$5,$C$7,J$1,J$2,$A163)</f>
        <v>0</v>
      </c>
      <c r="K163" s="33">
        <f ca="1">_xll.DBRW($C$1,$C$2,$C$3,$C$4,$C$6,$C$5,$C$7,K$1,K$2,$A163)</f>
        <v>0</v>
      </c>
      <c r="L163" s="33">
        <f ca="1">_xll.DBRW($C$1,$C$2,$C$3,$C$4,$C$6,$C$5,$C$7,L$1,L$2,$A163)</f>
        <v>0</v>
      </c>
      <c r="M163" s="33">
        <f ca="1">_xll.DBRW($C$1,$C$2,$C$3,$C$4,$C$6,$C$5,$C$7,M$1,M$2,$A163)</f>
        <v>0</v>
      </c>
      <c r="N163" s="33">
        <f ca="1">_xll.DBRW($C$1,$C$2,$C$3,$C$4,$C$6,$C$5,$C$7,N$1,N$2,$A163)</f>
        <v>0</v>
      </c>
      <c r="O163" s="33">
        <f ca="1">_xll.DBRW($C$1,$C$2,$C$3,$C$4,$C$6,$C$5,$C$7,O$1,O$2,$A163)</f>
        <v>0</v>
      </c>
      <c r="P163" s="33">
        <f ca="1">_xll.DBRW($C$1,$C$2,$C$3,$C$4,$C$6,$C$5,$C$7,P$1,P$2,$A163)</f>
        <v>0</v>
      </c>
      <c r="Q163" s="33">
        <f ca="1">_xll.DBRW($C$1,$C$2,$C$3,$C$4,$C$6,$C$5,$C$7,Q$1,Q$2,$A163)</f>
        <v>0</v>
      </c>
      <c r="R163" s="33">
        <f ca="1">_xll.DBRW($C$1,$C$2,$C$3,$C$4,$C$6,$C$5,$C$7,R$1,R$2,$A163)</f>
        <v>0</v>
      </c>
      <c r="S163" s="33">
        <f ca="1">_xll.DBRW($C$1,$C$2,$C$3,$C$4,$C$6,$C$5,$C$7,S$1,S$2,$A163)</f>
        <v>0</v>
      </c>
      <c r="T163" s="33">
        <f ca="1">_xll.DBRW($C$1,$C$2,$C$3,$C$4,$C$6,$C$5,$C$7,T$1,T$2,$A163)</f>
        <v>0</v>
      </c>
      <c r="U163" s="33">
        <f ca="1">_xll.DBRW($C$1,$C$2,$C$3,$C$4,$C$6,$C$5,$C$7,U$1,U$2,$A163)</f>
        <v>0</v>
      </c>
      <c r="V163" s="33">
        <f ca="1">_xll.DBRW($C$1,$C$2,$C$3,$C$4,$C$6,$C$5,$C$7,V$1,V$2,$A163)</f>
        <v>0</v>
      </c>
      <c r="W163" s="33">
        <f ca="1">_xll.DBRW($C$1,$C$2,$C$3,$C$4,$C$6,$C$5,$C$7,W$1,W$2,$A163)</f>
        <v>0</v>
      </c>
      <c r="X163" s="33">
        <f ca="1">_xll.DBRW($C$1,$C$2,$C$3,$C$4,$C$6,$C$5,$C$7,X$1,X$2,$A163)</f>
        <v>0</v>
      </c>
      <c r="Y163" s="33">
        <f ca="1">_xll.DBRW($C$1,$C$2,$C$3,$C$4,$C$6,$C$5,$C$7,Y$1,Y$2,$A163)</f>
        <v>0</v>
      </c>
      <c r="Z163" s="33">
        <f ca="1">_xll.DBRW($C$1,$C$2,$C$3,$C$4,$C$6,$C$5,$C$7,Z$1,Z$2,$A163)</f>
        <v>0</v>
      </c>
      <c r="AA163" s="33">
        <f ca="1">_xll.DBRW($C$1,$C$2,$C$3,$C$4,$C$6,$C$5,$C$7,AA$1,AA$2,$A163)</f>
        <v>0</v>
      </c>
      <c r="AB163" s="33">
        <f ca="1">_xll.DBRW($C$1,$C$2,$C$3,$C$4,$C$6,$C$5,$C$7,AB$1,AB$2,$A163)</f>
        <v>0</v>
      </c>
      <c r="AC163" s="33">
        <f ca="1">_xll.DBRW($C$1,$C$2,$C$3,$C$4,$C$6,$C$5,$C$7,AC$1,AC$2,$A163)</f>
        <v>0</v>
      </c>
      <c r="AD163" s="33">
        <f ca="1">_xll.DBRW($C$1,$C$2,$C$3,$C$4,$C$6,$C$5,$C$7,AD$1,AD$2,$A163)</f>
        <v>0</v>
      </c>
      <c r="AE163" s="33">
        <f ca="1">_xll.DBRW($C$1,$C$2,$C$3,$C$4,$C$6,$C$5,$C$7,AE$1,AE$2,$A163)</f>
        <v>0</v>
      </c>
      <c r="AF163" s="33">
        <f ca="1">_xll.DBRW($C$1,$C$2,$C$3,$C$4,$C$6,$C$5,$C$7,AF$1,AF$2,$A163)</f>
        <v>0</v>
      </c>
      <c r="AG163" s="33">
        <f ca="1">_xll.DBRW($C$1,$C$2,$C$3,$C$4,$C$6,$C$5,$C$7,AG$1,AG$2,$A163)</f>
        <v>0</v>
      </c>
      <c r="AH163" s="33">
        <f ca="1">_xll.DBRW($C$1,$C$2,$C$3,$C$4,$C$6,$C$5,$C$7,AH$1,AH$2,$A163)</f>
        <v>0</v>
      </c>
      <c r="AI163" s="33">
        <f ca="1">_xll.DBRW($C$1,$C$2,$C$3,$C$4,$C$6,$C$5,$C$7,AI$1,AI$2,$A163)</f>
        <v>0</v>
      </c>
      <c r="AJ163" s="33">
        <f ca="1">_xll.DBRW($C$1,$C$2,$C$3,$C$4,$C$6,$C$5,$C$7,AJ$1,AJ$2,$A163)</f>
        <v>0</v>
      </c>
      <c r="AK163" s="33">
        <f ca="1">_xll.DBRW($C$1,$C$2,$C$3,$C$4,$C$6,$C$5,$C$7,AK$1,AK$2,$A163)</f>
        <v>0</v>
      </c>
      <c r="AL163" s="33">
        <f ca="1">_xll.DBRW($C$1,$C$2,$C$3,$C$4,$C$6,$C$5,$C$7,AL$1,AL$2,$A163)</f>
        <v>0</v>
      </c>
      <c r="AM163" s="33">
        <f ca="1">_xll.DBRW($C$1,$C$2,$C$3,$C$4,$C$6,$C$5,$C$7,AM$1,AM$2,$A163)</f>
        <v>0</v>
      </c>
      <c r="AN163" s="33">
        <f ca="1">_xll.DBRW($C$1,$C$2,$C$3,$C$4,$C$6,$C$5,$C$7,AN$1,AN$2,$A163)</f>
        <v>0</v>
      </c>
      <c r="AO163" s="33">
        <f ca="1">_xll.DBRW($C$1,$C$2,$C$3,$C$4,$C$6,$C$5,$C$7,AO$1,AO$2,$A163)</f>
        <v>0</v>
      </c>
      <c r="AP163" s="33">
        <f ca="1">_xll.DBRW($C$1,$C$2,$C$3,$C$4,$C$6,$C$5,$C$7,AP$1,AP$2,$A163)</f>
        <v>0</v>
      </c>
      <c r="AQ163" s="33">
        <f ca="1">_xll.DBRW($C$1,$C$2,$C$3,$C$4,$C$6,$C$5,$C$7,AQ$1,AQ$2,$A163)</f>
        <v>0</v>
      </c>
      <c r="AR163" s="33">
        <f ca="1">_xll.DBRW($C$1,$C$2,$C$3,$C$4,$C$6,$C$5,$C$7,AR$1,AR$2,$A163)</f>
        <v>0</v>
      </c>
      <c r="AS163" s="33">
        <f ca="1">_xll.DBRW($C$1,$C$2,$C$3,$C$4,$C$6,$C$5,$C$7,AS$1,AS$2,$A163)</f>
        <v>0</v>
      </c>
      <c r="AT163" s="33">
        <f ca="1">_xll.DBRW($C$1,$C$2,$C$3,$C$4,$C$6,$C$5,$C$7,AT$1,AT$2,$A163)</f>
        <v>0</v>
      </c>
      <c r="AU163" s="33">
        <f ca="1">_xll.DBRW($C$1,$C$2,$C$3,$C$4,$C$6,$C$5,$C$7,AU$1,AU$2,$A163)</f>
        <v>0</v>
      </c>
      <c r="AV163" s="33">
        <f ca="1">_xll.DBRW($C$1,$C$2,$C$3,$C$4,$C$6,$C$5,$C$7,AV$1,AV$2,$A163)</f>
        <v>0</v>
      </c>
      <c r="AW163" s="33">
        <f ca="1">_xll.DBRW($C$1,$C$2,$C$3,$C$4,$C$6,$C$5,$C$7,AW$1,AW$2,$A163)</f>
        <v>0</v>
      </c>
      <c r="AX163" s="33">
        <f ca="1">_xll.DBRW($C$1,$C$2,$C$3,$C$4,$C$6,$C$5,$C$7,AX$1,AX$2,$A163)</f>
        <v>0</v>
      </c>
      <c r="AY163" s="33">
        <f ca="1">_xll.DBRW($C$1,$C$2,$C$3,$C$4,$C$6,$C$5,$C$7,AY$1,AY$2,$A163)</f>
        <v>0</v>
      </c>
    </row>
    <row r="164" spans="1:51" ht="15.75" hidden="1" customHeight="1" outlineLevel="2">
      <c r="A164" s="1" t="s">
        <v>254</v>
      </c>
      <c r="C164" s="109"/>
      <c r="E164" s="9" t="str">
        <f ca="1">_xll.DBRW(Server&amp;"}ElementAttributes_Indicator",A164,"code_English")</f>
        <v>PL1110_MI_10 - Staff costs (MI)</v>
      </c>
      <c r="F164" s="33">
        <f ca="1">_xll.DBRW($C$1,$C$2,$C$3,$C$4,$C$6,$C$5,$C$7,F$1,F$2,$A164)</f>
        <v>0</v>
      </c>
      <c r="G164" s="33">
        <f ca="1">_xll.DBRW($C$1,$C$2,$C$3,$C$4,$C$6,$C$5,$C$7,G$1,G$2,$A164)</f>
        <v>0</v>
      </c>
      <c r="H164" s="33">
        <f ca="1">_xll.DBRW($C$1,$C$2,$C$3,$C$4,$C$6,$C$5,$C$7,H$1,H$2,$A164)</f>
        <v>0</v>
      </c>
      <c r="I164" s="33">
        <f ca="1">_xll.DBRW($C$1,$C$2,$C$3,$C$4,$C$6,$C$5,$C$7,I$1,I$2,$A164)</f>
        <v>0</v>
      </c>
      <c r="J164" s="33">
        <f ca="1">_xll.DBRW($C$1,$C$2,$C$3,$C$4,$C$6,$C$5,$C$7,J$1,J$2,$A164)</f>
        <v>0</v>
      </c>
      <c r="K164" s="33">
        <f ca="1">_xll.DBRW($C$1,$C$2,$C$3,$C$4,$C$6,$C$5,$C$7,K$1,K$2,$A164)</f>
        <v>0</v>
      </c>
      <c r="L164" s="33">
        <f ca="1">_xll.DBRW($C$1,$C$2,$C$3,$C$4,$C$6,$C$5,$C$7,L$1,L$2,$A164)</f>
        <v>0</v>
      </c>
      <c r="M164" s="33">
        <f ca="1">_xll.DBRW($C$1,$C$2,$C$3,$C$4,$C$6,$C$5,$C$7,M$1,M$2,$A164)</f>
        <v>0</v>
      </c>
      <c r="N164" s="33">
        <f ca="1">_xll.DBRW($C$1,$C$2,$C$3,$C$4,$C$6,$C$5,$C$7,N$1,N$2,$A164)</f>
        <v>0</v>
      </c>
      <c r="O164" s="33">
        <f ca="1">_xll.DBRW($C$1,$C$2,$C$3,$C$4,$C$6,$C$5,$C$7,O$1,O$2,$A164)</f>
        <v>0</v>
      </c>
      <c r="P164" s="33">
        <f ca="1">_xll.DBRW($C$1,$C$2,$C$3,$C$4,$C$6,$C$5,$C$7,P$1,P$2,$A164)</f>
        <v>0</v>
      </c>
      <c r="Q164" s="33">
        <f ca="1">_xll.DBRW($C$1,$C$2,$C$3,$C$4,$C$6,$C$5,$C$7,Q$1,Q$2,$A164)</f>
        <v>0</v>
      </c>
      <c r="R164" s="33">
        <f ca="1">_xll.DBRW($C$1,$C$2,$C$3,$C$4,$C$6,$C$5,$C$7,R$1,R$2,$A164)</f>
        <v>0</v>
      </c>
      <c r="S164" s="33">
        <f ca="1">_xll.DBRW($C$1,$C$2,$C$3,$C$4,$C$6,$C$5,$C$7,S$1,S$2,$A164)</f>
        <v>0</v>
      </c>
      <c r="T164" s="33">
        <f ca="1">_xll.DBRW($C$1,$C$2,$C$3,$C$4,$C$6,$C$5,$C$7,T$1,T$2,$A164)</f>
        <v>0</v>
      </c>
      <c r="U164" s="33">
        <f ca="1">_xll.DBRW($C$1,$C$2,$C$3,$C$4,$C$6,$C$5,$C$7,U$1,U$2,$A164)</f>
        <v>0</v>
      </c>
      <c r="V164" s="33">
        <f ca="1">_xll.DBRW($C$1,$C$2,$C$3,$C$4,$C$6,$C$5,$C$7,V$1,V$2,$A164)</f>
        <v>0</v>
      </c>
      <c r="W164" s="33">
        <f ca="1">_xll.DBRW($C$1,$C$2,$C$3,$C$4,$C$6,$C$5,$C$7,W$1,W$2,$A164)</f>
        <v>0</v>
      </c>
      <c r="X164" s="33">
        <f ca="1">_xll.DBRW($C$1,$C$2,$C$3,$C$4,$C$6,$C$5,$C$7,X$1,X$2,$A164)</f>
        <v>0</v>
      </c>
      <c r="Y164" s="33">
        <f ca="1">_xll.DBRW($C$1,$C$2,$C$3,$C$4,$C$6,$C$5,$C$7,Y$1,Y$2,$A164)</f>
        <v>0</v>
      </c>
      <c r="Z164" s="33">
        <f ca="1">_xll.DBRW($C$1,$C$2,$C$3,$C$4,$C$6,$C$5,$C$7,Z$1,Z$2,$A164)</f>
        <v>0</v>
      </c>
      <c r="AA164" s="33">
        <f ca="1">_xll.DBRW($C$1,$C$2,$C$3,$C$4,$C$6,$C$5,$C$7,AA$1,AA$2,$A164)</f>
        <v>0</v>
      </c>
      <c r="AB164" s="33">
        <f ca="1">_xll.DBRW($C$1,$C$2,$C$3,$C$4,$C$6,$C$5,$C$7,AB$1,AB$2,$A164)</f>
        <v>0</v>
      </c>
      <c r="AC164" s="33">
        <f ca="1">_xll.DBRW($C$1,$C$2,$C$3,$C$4,$C$6,$C$5,$C$7,AC$1,AC$2,$A164)</f>
        <v>0</v>
      </c>
      <c r="AD164" s="33">
        <f ca="1">_xll.DBRW($C$1,$C$2,$C$3,$C$4,$C$6,$C$5,$C$7,AD$1,AD$2,$A164)</f>
        <v>0</v>
      </c>
      <c r="AE164" s="33">
        <f ca="1">_xll.DBRW($C$1,$C$2,$C$3,$C$4,$C$6,$C$5,$C$7,AE$1,AE$2,$A164)</f>
        <v>0</v>
      </c>
      <c r="AF164" s="33">
        <f ca="1">_xll.DBRW($C$1,$C$2,$C$3,$C$4,$C$6,$C$5,$C$7,AF$1,AF$2,$A164)</f>
        <v>0</v>
      </c>
      <c r="AG164" s="33">
        <f ca="1">_xll.DBRW($C$1,$C$2,$C$3,$C$4,$C$6,$C$5,$C$7,AG$1,AG$2,$A164)</f>
        <v>0</v>
      </c>
      <c r="AH164" s="33">
        <f ca="1">_xll.DBRW($C$1,$C$2,$C$3,$C$4,$C$6,$C$5,$C$7,AH$1,AH$2,$A164)</f>
        <v>0</v>
      </c>
      <c r="AI164" s="33">
        <f ca="1">_xll.DBRW($C$1,$C$2,$C$3,$C$4,$C$6,$C$5,$C$7,AI$1,AI$2,$A164)</f>
        <v>0</v>
      </c>
      <c r="AJ164" s="33">
        <f ca="1">_xll.DBRW($C$1,$C$2,$C$3,$C$4,$C$6,$C$5,$C$7,AJ$1,AJ$2,$A164)</f>
        <v>0</v>
      </c>
      <c r="AK164" s="33">
        <f ca="1">_xll.DBRW($C$1,$C$2,$C$3,$C$4,$C$6,$C$5,$C$7,AK$1,AK$2,$A164)</f>
        <v>0</v>
      </c>
      <c r="AL164" s="33">
        <f ca="1">_xll.DBRW($C$1,$C$2,$C$3,$C$4,$C$6,$C$5,$C$7,AL$1,AL$2,$A164)</f>
        <v>0</v>
      </c>
      <c r="AM164" s="33">
        <f ca="1">_xll.DBRW($C$1,$C$2,$C$3,$C$4,$C$6,$C$5,$C$7,AM$1,AM$2,$A164)</f>
        <v>0</v>
      </c>
      <c r="AN164" s="33">
        <f ca="1">_xll.DBRW($C$1,$C$2,$C$3,$C$4,$C$6,$C$5,$C$7,AN$1,AN$2,$A164)</f>
        <v>0</v>
      </c>
      <c r="AO164" s="33">
        <f ca="1">_xll.DBRW($C$1,$C$2,$C$3,$C$4,$C$6,$C$5,$C$7,AO$1,AO$2,$A164)</f>
        <v>0</v>
      </c>
      <c r="AP164" s="33">
        <f ca="1">_xll.DBRW($C$1,$C$2,$C$3,$C$4,$C$6,$C$5,$C$7,AP$1,AP$2,$A164)</f>
        <v>0</v>
      </c>
      <c r="AQ164" s="33">
        <f ca="1">_xll.DBRW($C$1,$C$2,$C$3,$C$4,$C$6,$C$5,$C$7,AQ$1,AQ$2,$A164)</f>
        <v>0</v>
      </c>
      <c r="AR164" s="33">
        <f ca="1">_xll.DBRW($C$1,$C$2,$C$3,$C$4,$C$6,$C$5,$C$7,AR$1,AR$2,$A164)</f>
        <v>0</v>
      </c>
      <c r="AS164" s="33">
        <f ca="1">_xll.DBRW($C$1,$C$2,$C$3,$C$4,$C$6,$C$5,$C$7,AS$1,AS$2,$A164)</f>
        <v>0</v>
      </c>
      <c r="AT164" s="33">
        <f ca="1">_xll.DBRW($C$1,$C$2,$C$3,$C$4,$C$6,$C$5,$C$7,AT$1,AT$2,$A164)</f>
        <v>0</v>
      </c>
      <c r="AU164" s="33">
        <f ca="1">_xll.DBRW($C$1,$C$2,$C$3,$C$4,$C$6,$C$5,$C$7,AU$1,AU$2,$A164)</f>
        <v>0</v>
      </c>
      <c r="AV164" s="33">
        <f ca="1">_xll.DBRW($C$1,$C$2,$C$3,$C$4,$C$6,$C$5,$C$7,AV$1,AV$2,$A164)</f>
        <v>0</v>
      </c>
      <c r="AW164" s="33">
        <f ca="1">_xll.DBRW($C$1,$C$2,$C$3,$C$4,$C$6,$C$5,$C$7,AW$1,AW$2,$A164)</f>
        <v>0</v>
      </c>
      <c r="AX164" s="33">
        <f ca="1">_xll.DBRW($C$1,$C$2,$C$3,$C$4,$C$6,$C$5,$C$7,AX$1,AX$2,$A164)</f>
        <v>0</v>
      </c>
      <c r="AY164" s="33">
        <f ca="1">_xll.DBRW($C$1,$C$2,$C$3,$C$4,$C$6,$C$5,$C$7,AY$1,AY$2,$A164)</f>
        <v>0</v>
      </c>
    </row>
    <row r="165" spans="1:51" ht="15.75" hidden="1" customHeight="1" outlineLevel="2">
      <c r="A165" s="1" t="s">
        <v>255</v>
      </c>
      <c r="C165" s="109"/>
      <c r="E165" s="9" t="str">
        <f ca="1">_xll.DBRW(Server&amp;"}ElementAttributes_Indicator",A165,"code_English")</f>
        <v>PL1116_MI - COS - Lease expenses (MI)</v>
      </c>
      <c r="F165" s="33">
        <f ca="1">_xll.DBRW($C$1,$C$2,$C$3,$C$4,$C$6,$C$5,$C$7,F$1,F$2,$A165)</f>
        <v>0</v>
      </c>
      <c r="G165" s="33">
        <f ca="1">_xll.DBRW($C$1,$C$2,$C$3,$C$4,$C$6,$C$5,$C$7,G$1,G$2,$A165)</f>
        <v>0</v>
      </c>
      <c r="H165" s="33">
        <f ca="1">_xll.DBRW($C$1,$C$2,$C$3,$C$4,$C$6,$C$5,$C$7,H$1,H$2,$A165)</f>
        <v>0</v>
      </c>
      <c r="I165" s="33">
        <f ca="1">_xll.DBRW($C$1,$C$2,$C$3,$C$4,$C$6,$C$5,$C$7,I$1,I$2,$A165)</f>
        <v>0</v>
      </c>
      <c r="J165" s="33">
        <f ca="1">_xll.DBRW($C$1,$C$2,$C$3,$C$4,$C$6,$C$5,$C$7,J$1,J$2,$A165)</f>
        <v>0</v>
      </c>
      <c r="K165" s="33">
        <f ca="1">_xll.DBRW($C$1,$C$2,$C$3,$C$4,$C$6,$C$5,$C$7,K$1,K$2,$A165)</f>
        <v>0</v>
      </c>
      <c r="L165" s="33">
        <f ca="1">_xll.DBRW($C$1,$C$2,$C$3,$C$4,$C$6,$C$5,$C$7,L$1,L$2,$A165)</f>
        <v>0</v>
      </c>
      <c r="M165" s="33">
        <f ca="1">_xll.DBRW($C$1,$C$2,$C$3,$C$4,$C$6,$C$5,$C$7,M$1,M$2,$A165)</f>
        <v>0</v>
      </c>
      <c r="N165" s="33">
        <f ca="1">_xll.DBRW($C$1,$C$2,$C$3,$C$4,$C$6,$C$5,$C$7,N$1,N$2,$A165)</f>
        <v>0</v>
      </c>
      <c r="O165" s="33">
        <f ca="1">_xll.DBRW($C$1,$C$2,$C$3,$C$4,$C$6,$C$5,$C$7,O$1,O$2,$A165)</f>
        <v>0</v>
      </c>
      <c r="P165" s="33">
        <f ca="1">_xll.DBRW($C$1,$C$2,$C$3,$C$4,$C$6,$C$5,$C$7,P$1,P$2,$A165)</f>
        <v>0</v>
      </c>
      <c r="Q165" s="33">
        <f ca="1">_xll.DBRW($C$1,$C$2,$C$3,$C$4,$C$6,$C$5,$C$7,Q$1,Q$2,$A165)</f>
        <v>0</v>
      </c>
      <c r="R165" s="33">
        <f ca="1">_xll.DBRW($C$1,$C$2,$C$3,$C$4,$C$6,$C$5,$C$7,R$1,R$2,$A165)</f>
        <v>0</v>
      </c>
      <c r="S165" s="33">
        <f ca="1">_xll.DBRW($C$1,$C$2,$C$3,$C$4,$C$6,$C$5,$C$7,S$1,S$2,$A165)</f>
        <v>0</v>
      </c>
      <c r="T165" s="33">
        <f ca="1">_xll.DBRW($C$1,$C$2,$C$3,$C$4,$C$6,$C$5,$C$7,T$1,T$2,$A165)</f>
        <v>0</v>
      </c>
      <c r="U165" s="33">
        <f ca="1">_xll.DBRW($C$1,$C$2,$C$3,$C$4,$C$6,$C$5,$C$7,U$1,U$2,$A165)</f>
        <v>0</v>
      </c>
      <c r="V165" s="33">
        <f ca="1">_xll.DBRW($C$1,$C$2,$C$3,$C$4,$C$6,$C$5,$C$7,V$1,V$2,$A165)</f>
        <v>0</v>
      </c>
      <c r="W165" s="33">
        <f ca="1">_xll.DBRW($C$1,$C$2,$C$3,$C$4,$C$6,$C$5,$C$7,W$1,W$2,$A165)</f>
        <v>0</v>
      </c>
      <c r="X165" s="33">
        <f ca="1">_xll.DBRW($C$1,$C$2,$C$3,$C$4,$C$6,$C$5,$C$7,X$1,X$2,$A165)</f>
        <v>0</v>
      </c>
      <c r="Y165" s="33">
        <f ca="1">_xll.DBRW($C$1,$C$2,$C$3,$C$4,$C$6,$C$5,$C$7,Y$1,Y$2,$A165)</f>
        <v>0</v>
      </c>
      <c r="Z165" s="33">
        <f ca="1">_xll.DBRW($C$1,$C$2,$C$3,$C$4,$C$6,$C$5,$C$7,Z$1,Z$2,$A165)</f>
        <v>0</v>
      </c>
      <c r="AA165" s="33">
        <f ca="1">_xll.DBRW($C$1,$C$2,$C$3,$C$4,$C$6,$C$5,$C$7,AA$1,AA$2,$A165)</f>
        <v>0</v>
      </c>
      <c r="AB165" s="33">
        <f ca="1">_xll.DBRW($C$1,$C$2,$C$3,$C$4,$C$6,$C$5,$C$7,AB$1,AB$2,$A165)</f>
        <v>0</v>
      </c>
      <c r="AC165" s="33">
        <f ca="1">_xll.DBRW($C$1,$C$2,$C$3,$C$4,$C$6,$C$5,$C$7,AC$1,AC$2,$A165)</f>
        <v>0</v>
      </c>
      <c r="AD165" s="33">
        <f ca="1">_xll.DBRW($C$1,$C$2,$C$3,$C$4,$C$6,$C$5,$C$7,AD$1,AD$2,$A165)</f>
        <v>0</v>
      </c>
      <c r="AE165" s="33">
        <f ca="1">_xll.DBRW($C$1,$C$2,$C$3,$C$4,$C$6,$C$5,$C$7,AE$1,AE$2,$A165)</f>
        <v>0</v>
      </c>
      <c r="AF165" s="33">
        <f ca="1">_xll.DBRW($C$1,$C$2,$C$3,$C$4,$C$6,$C$5,$C$7,AF$1,AF$2,$A165)</f>
        <v>0</v>
      </c>
      <c r="AG165" s="33">
        <f ca="1">_xll.DBRW($C$1,$C$2,$C$3,$C$4,$C$6,$C$5,$C$7,AG$1,AG$2,$A165)</f>
        <v>0</v>
      </c>
      <c r="AH165" s="33">
        <f ca="1">_xll.DBRW($C$1,$C$2,$C$3,$C$4,$C$6,$C$5,$C$7,AH$1,AH$2,$A165)</f>
        <v>0</v>
      </c>
      <c r="AI165" s="33">
        <f ca="1">_xll.DBRW($C$1,$C$2,$C$3,$C$4,$C$6,$C$5,$C$7,AI$1,AI$2,$A165)</f>
        <v>0</v>
      </c>
      <c r="AJ165" s="33">
        <f ca="1">_xll.DBRW($C$1,$C$2,$C$3,$C$4,$C$6,$C$5,$C$7,AJ$1,AJ$2,$A165)</f>
        <v>0</v>
      </c>
      <c r="AK165" s="33">
        <f ca="1">_xll.DBRW($C$1,$C$2,$C$3,$C$4,$C$6,$C$5,$C$7,AK$1,AK$2,$A165)</f>
        <v>0</v>
      </c>
      <c r="AL165" s="33">
        <f ca="1">_xll.DBRW($C$1,$C$2,$C$3,$C$4,$C$6,$C$5,$C$7,AL$1,AL$2,$A165)</f>
        <v>0</v>
      </c>
      <c r="AM165" s="33">
        <f ca="1">_xll.DBRW($C$1,$C$2,$C$3,$C$4,$C$6,$C$5,$C$7,AM$1,AM$2,$A165)</f>
        <v>0</v>
      </c>
      <c r="AN165" s="33">
        <f ca="1">_xll.DBRW($C$1,$C$2,$C$3,$C$4,$C$6,$C$5,$C$7,AN$1,AN$2,$A165)</f>
        <v>0</v>
      </c>
      <c r="AO165" s="33">
        <f ca="1">_xll.DBRW($C$1,$C$2,$C$3,$C$4,$C$6,$C$5,$C$7,AO$1,AO$2,$A165)</f>
        <v>0</v>
      </c>
      <c r="AP165" s="33">
        <f ca="1">_xll.DBRW($C$1,$C$2,$C$3,$C$4,$C$6,$C$5,$C$7,AP$1,AP$2,$A165)</f>
        <v>0</v>
      </c>
      <c r="AQ165" s="33">
        <f ca="1">_xll.DBRW($C$1,$C$2,$C$3,$C$4,$C$6,$C$5,$C$7,AQ$1,AQ$2,$A165)</f>
        <v>0</v>
      </c>
      <c r="AR165" s="33">
        <f ca="1">_xll.DBRW($C$1,$C$2,$C$3,$C$4,$C$6,$C$5,$C$7,AR$1,AR$2,$A165)</f>
        <v>0</v>
      </c>
      <c r="AS165" s="33">
        <f ca="1">_xll.DBRW($C$1,$C$2,$C$3,$C$4,$C$6,$C$5,$C$7,AS$1,AS$2,$A165)</f>
        <v>0</v>
      </c>
      <c r="AT165" s="33">
        <f ca="1">_xll.DBRW($C$1,$C$2,$C$3,$C$4,$C$6,$C$5,$C$7,AT$1,AT$2,$A165)</f>
        <v>0</v>
      </c>
      <c r="AU165" s="33">
        <f ca="1">_xll.DBRW($C$1,$C$2,$C$3,$C$4,$C$6,$C$5,$C$7,AU$1,AU$2,$A165)</f>
        <v>0</v>
      </c>
      <c r="AV165" s="33">
        <f ca="1">_xll.DBRW($C$1,$C$2,$C$3,$C$4,$C$6,$C$5,$C$7,AV$1,AV$2,$A165)</f>
        <v>0</v>
      </c>
      <c r="AW165" s="33">
        <f ca="1">_xll.DBRW($C$1,$C$2,$C$3,$C$4,$C$6,$C$5,$C$7,AW$1,AW$2,$A165)</f>
        <v>0</v>
      </c>
      <c r="AX165" s="33">
        <f ca="1">_xll.DBRW($C$1,$C$2,$C$3,$C$4,$C$6,$C$5,$C$7,AX$1,AX$2,$A165)</f>
        <v>0</v>
      </c>
      <c r="AY165" s="33">
        <f ca="1">_xll.DBRW($C$1,$C$2,$C$3,$C$4,$C$6,$C$5,$C$7,AY$1,AY$2,$A165)</f>
        <v>0</v>
      </c>
    </row>
    <row r="166" spans="1:51" ht="15.75" hidden="1" customHeight="1" outlineLevel="2">
      <c r="A166" s="1" t="s">
        <v>256</v>
      </c>
      <c r="C166" s="109"/>
      <c r="E166" s="9" t="str">
        <f ca="1">_xll.DBRW(Server&amp;"}ElementAttributes_Indicator",A166,"code_English")</f>
        <v>PL1145_MI - Impairment - working capital (MI)</v>
      </c>
      <c r="F166" s="33">
        <f ca="1">_xll.DBRW($C$1,$C$2,$C$3,$C$4,$C$6,$C$5,$C$7,F$1,F$2,$A166)</f>
        <v>0</v>
      </c>
      <c r="G166" s="33">
        <f ca="1">_xll.DBRW($C$1,$C$2,$C$3,$C$4,$C$6,$C$5,$C$7,G$1,G$2,$A166)</f>
        <v>0</v>
      </c>
      <c r="H166" s="33">
        <f ca="1">_xll.DBRW($C$1,$C$2,$C$3,$C$4,$C$6,$C$5,$C$7,H$1,H$2,$A166)</f>
        <v>0</v>
      </c>
      <c r="I166" s="33">
        <f ca="1">_xll.DBRW($C$1,$C$2,$C$3,$C$4,$C$6,$C$5,$C$7,I$1,I$2,$A166)</f>
        <v>0</v>
      </c>
      <c r="J166" s="33">
        <f ca="1">_xll.DBRW($C$1,$C$2,$C$3,$C$4,$C$6,$C$5,$C$7,J$1,J$2,$A166)</f>
        <v>0</v>
      </c>
      <c r="K166" s="33">
        <f ca="1">_xll.DBRW($C$1,$C$2,$C$3,$C$4,$C$6,$C$5,$C$7,K$1,K$2,$A166)</f>
        <v>0</v>
      </c>
      <c r="L166" s="33">
        <f ca="1">_xll.DBRW($C$1,$C$2,$C$3,$C$4,$C$6,$C$5,$C$7,L$1,L$2,$A166)</f>
        <v>0</v>
      </c>
      <c r="M166" s="33">
        <f ca="1">_xll.DBRW($C$1,$C$2,$C$3,$C$4,$C$6,$C$5,$C$7,M$1,M$2,$A166)</f>
        <v>0</v>
      </c>
      <c r="N166" s="33">
        <f ca="1">_xll.DBRW($C$1,$C$2,$C$3,$C$4,$C$6,$C$5,$C$7,N$1,N$2,$A166)</f>
        <v>0</v>
      </c>
      <c r="O166" s="33">
        <f ca="1">_xll.DBRW($C$1,$C$2,$C$3,$C$4,$C$6,$C$5,$C$7,O$1,O$2,$A166)</f>
        <v>0</v>
      </c>
      <c r="P166" s="33">
        <f ca="1">_xll.DBRW($C$1,$C$2,$C$3,$C$4,$C$6,$C$5,$C$7,P$1,P$2,$A166)</f>
        <v>0</v>
      </c>
      <c r="Q166" s="33">
        <f ca="1">_xll.DBRW($C$1,$C$2,$C$3,$C$4,$C$6,$C$5,$C$7,Q$1,Q$2,$A166)</f>
        <v>0</v>
      </c>
      <c r="R166" s="33">
        <f ca="1">_xll.DBRW($C$1,$C$2,$C$3,$C$4,$C$6,$C$5,$C$7,R$1,R$2,$A166)</f>
        <v>0</v>
      </c>
      <c r="S166" s="33">
        <f ca="1">_xll.DBRW($C$1,$C$2,$C$3,$C$4,$C$6,$C$5,$C$7,S$1,S$2,$A166)</f>
        <v>0</v>
      </c>
      <c r="T166" s="33">
        <f ca="1">_xll.DBRW($C$1,$C$2,$C$3,$C$4,$C$6,$C$5,$C$7,T$1,T$2,$A166)</f>
        <v>0</v>
      </c>
      <c r="U166" s="33">
        <f ca="1">_xll.DBRW($C$1,$C$2,$C$3,$C$4,$C$6,$C$5,$C$7,U$1,U$2,$A166)</f>
        <v>0</v>
      </c>
      <c r="V166" s="33">
        <f ca="1">_xll.DBRW($C$1,$C$2,$C$3,$C$4,$C$6,$C$5,$C$7,V$1,V$2,$A166)</f>
        <v>0</v>
      </c>
      <c r="W166" s="33">
        <f ca="1">_xll.DBRW($C$1,$C$2,$C$3,$C$4,$C$6,$C$5,$C$7,W$1,W$2,$A166)</f>
        <v>0</v>
      </c>
      <c r="X166" s="33">
        <f ca="1">_xll.DBRW($C$1,$C$2,$C$3,$C$4,$C$6,$C$5,$C$7,X$1,X$2,$A166)</f>
        <v>0</v>
      </c>
      <c r="Y166" s="33">
        <f ca="1">_xll.DBRW($C$1,$C$2,$C$3,$C$4,$C$6,$C$5,$C$7,Y$1,Y$2,$A166)</f>
        <v>0</v>
      </c>
      <c r="Z166" s="33">
        <f ca="1">_xll.DBRW($C$1,$C$2,$C$3,$C$4,$C$6,$C$5,$C$7,Z$1,Z$2,$A166)</f>
        <v>0</v>
      </c>
      <c r="AA166" s="33">
        <f ca="1">_xll.DBRW($C$1,$C$2,$C$3,$C$4,$C$6,$C$5,$C$7,AA$1,AA$2,$A166)</f>
        <v>0</v>
      </c>
      <c r="AB166" s="33">
        <f ca="1">_xll.DBRW($C$1,$C$2,$C$3,$C$4,$C$6,$C$5,$C$7,AB$1,AB$2,$A166)</f>
        <v>0</v>
      </c>
      <c r="AC166" s="33">
        <f ca="1">_xll.DBRW($C$1,$C$2,$C$3,$C$4,$C$6,$C$5,$C$7,AC$1,AC$2,$A166)</f>
        <v>0</v>
      </c>
      <c r="AD166" s="33">
        <f ca="1">_xll.DBRW($C$1,$C$2,$C$3,$C$4,$C$6,$C$5,$C$7,AD$1,AD$2,$A166)</f>
        <v>0</v>
      </c>
      <c r="AE166" s="33">
        <f ca="1">_xll.DBRW($C$1,$C$2,$C$3,$C$4,$C$6,$C$5,$C$7,AE$1,AE$2,$A166)</f>
        <v>0</v>
      </c>
      <c r="AF166" s="33">
        <f ca="1">_xll.DBRW($C$1,$C$2,$C$3,$C$4,$C$6,$C$5,$C$7,AF$1,AF$2,$A166)</f>
        <v>0</v>
      </c>
      <c r="AG166" s="33">
        <f ca="1">_xll.DBRW($C$1,$C$2,$C$3,$C$4,$C$6,$C$5,$C$7,AG$1,AG$2,$A166)</f>
        <v>0</v>
      </c>
      <c r="AH166" s="33">
        <f ca="1">_xll.DBRW($C$1,$C$2,$C$3,$C$4,$C$6,$C$5,$C$7,AH$1,AH$2,$A166)</f>
        <v>0</v>
      </c>
      <c r="AI166" s="33">
        <f ca="1">_xll.DBRW($C$1,$C$2,$C$3,$C$4,$C$6,$C$5,$C$7,AI$1,AI$2,$A166)</f>
        <v>0</v>
      </c>
      <c r="AJ166" s="33">
        <f ca="1">_xll.DBRW($C$1,$C$2,$C$3,$C$4,$C$6,$C$5,$C$7,AJ$1,AJ$2,$A166)</f>
        <v>0</v>
      </c>
      <c r="AK166" s="33">
        <f ca="1">_xll.DBRW($C$1,$C$2,$C$3,$C$4,$C$6,$C$5,$C$7,AK$1,AK$2,$A166)</f>
        <v>0</v>
      </c>
      <c r="AL166" s="33">
        <f ca="1">_xll.DBRW($C$1,$C$2,$C$3,$C$4,$C$6,$C$5,$C$7,AL$1,AL$2,$A166)</f>
        <v>0</v>
      </c>
      <c r="AM166" s="33">
        <f ca="1">_xll.DBRW($C$1,$C$2,$C$3,$C$4,$C$6,$C$5,$C$7,AM$1,AM$2,$A166)</f>
        <v>0</v>
      </c>
      <c r="AN166" s="33">
        <f ca="1">_xll.DBRW($C$1,$C$2,$C$3,$C$4,$C$6,$C$5,$C$7,AN$1,AN$2,$A166)</f>
        <v>0</v>
      </c>
      <c r="AO166" s="33">
        <f ca="1">_xll.DBRW($C$1,$C$2,$C$3,$C$4,$C$6,$C$5,$C$7,AO$1,AO$2,$A166)</f>
        <v>0</v>
      </c>
      <c r="AP166" s="33">
        <f ca="1">_xll.DBRW($C$1,$C$2,$C$3,$C$4,$C$6,$C$5,$C$7,AP$1,AP$2,$A166)</f>
        <v>0</v>
      </c>
      <c r="AQ166" s="33">
        <f ca="1">_xll.DBRW($C$1,$C$2,$C$3,$C$4,$C$6,$C$5,$C$7,AQ$1,AQ$2,$A166)</f>
        <v>0</v>
      </c>
      <c r="AR166" s="33">
        <f ca="1">_xll.DBRW($C$1,$C$2,$C$3,$C$4,$C$6,$C$5,$C$7,AR$1,AR$2,$A166)</f>
        <v>0</v>
      </c>
      <c r="AS166" s="33">
        <f ca="1">_xll.DBRW($C$1,$C$2,$C$3,$C$4,$C$6,$C$5,$C$7,AS$1,AS$2,$A166)</f>
        <v>0</v>
      </c>
      <c r="AT166" s="33">
        <f ca="1">_xll.DBRW($C$1,$C$2,$C$3,$C$4,$C$6,$C$5,$C$7,AT$1,AT$2,$A166)</f>
        <v>0</v>
      </c>
      <c r="AU166" s="33">
        <f ca="1">_xll.DBRW($C$1,$C$2,$C$3,$C$4,$C$6,$C$5,$C$7,AU$1,AU$2,$A166)</f>
        <v>0</v>
      </c>
      <c r="AV166" s="33">
        <f ca="1">_xll.DBRW($C$1,$C$2,$C$3,$C$4,$C$6,$C$5,$C$7,AV$1,AV$2,$A166)</f>
        <v>0</v>
      </c>
      <c r="AW166" s="33">
        <f ca="1">_xll.DBRW($C$1,$C$2,$C$3,$C$4,$C$6,$C$5,$C$7,AW$1,AW$2,$A166)</f>
        <v>0</v>
      </c>
      <c r="AX166" s="33">
        <f ca="1">_xll.DBRW($C$1,$C$2,$C$3,$C$4,$C$6,$C$5,$C$7,AX$1,AX$2,$A166)</f>
        <v>0</v>
      </c>
      <c r="AY166" s="33">
        <f ca="1">_xll.DBRW($C$1,$C$2,$C$3,$C$4,$C$6,$C$5,$C$7,AY$1,AY$2,$A166)</f>
        <v>0</v>
      </c>
    </row>
    <row r="167" spans="1:51" ht="15.75" hidden="1" customHeight="1" outlineLevel="2">
      <c r="A167" s="1" t="s">
        <v>257</v>
      </c>
      <c r="C167" s="109"/>
      <c r="E167" s="9" t="str">
        <f ca="1">_xll.DBRW(Server&amp;"}ElementAttributes_Indicator",A167,"code_English")</f>
        <v>PL1155_MI_99 - Reinvoicing - Others (MI)</v>
      </c>
      <c r="F167" s="33">
        <f ca="1">_xll.DBRW($C$1,$C$2,$C$3,$C$4,$C$6,$C$5,$C$7,F$1,F$2,$A167)</f>
        <v>0</v>
      </c>
      <c r="G167" s="33">
        <f ca="1">_xll.DBRW($C$1,$C$2,$C$3,$C$4,$C$6,$C$5,$C$7,G$1,G$2,$A167)</f>
        <v>0</v>
      </c>
      <c r="H167" s="33">
        <f ca="1">_xll.DBRW($C$1,$C$2,$C$3,$C$4,$C$6,$C$5,$C$7,H$1,H$2,$A167)</f>
        <v>0</v>
      </c>
      <c r="I167" s="33">
        <f ca="1">_xll.DBRW($C$1,$C$2,$C$3,$C$4,$C$6,$C$5,$C$7,I$1,I$2,$A167)</f>
        <v>0</v>
      </c>
      <c r="J167" s="33">
        <f ca="1">_xll.DBRW($C$1,$C$2,$C$3,$C$4,$C$6,$C$5,$C$7,J$1,J$2,$A167)</f>
        <v>0</v>
      </c>
      <c r="K167" s="33">
        <f ca="1">_xll.DBRW($C$1,$C$2,$C$3,$C$4,$C$6,$C$5,$C$7,K$1,K$2,$A167)</f>
        <v>0</v>
      </c>
      <c r="L167" s="33">
        <f ca="1">_xll.DBRW($C$1,$C$2,$C$3,$C$4,$C$6,$C$5,$C$7,L$1,L$2,$A167)</f>
        <v>0</v>
      </c>
      <c r="M167" s="33">
        <f ca="1">_xll.DBRW($C$1,$C$2,$C$3,$C$4,$C$6,$C$5,$C$7,M$1,M$2,$A167)</f>
        <v>0</v>
      </c>
      <c r="N167" s="33">
        <f ca="1">_xll.DBRW($C$1,$C$2,$C$3,$C$4,$C$6,$C$5,$C$7,N$1,N$2,$A167)</f>
        <v>0</v>
      </c>
      <c r="O167" s="33">
        <f ca="1">_xll.DBRW($C$1,$C$2,$C$3,$C$4,$C$6,$C$5,$C$7,O$1,O$2,$A167)</f>
        <v>0</v>
      </c>
      <c r="P167" s="33">
        <f ca="1">_xll.DBRW($C$1,$C$2,$C$3,$C$4,$C$6,$C$5,$C$7,P$1,P$2,$A167)</f>
        <v>0</v>
      </c>
      <c r="Q167" s="33">
        <f ca="1">_xll.DBRW($C$1,$C$2,$C$3,$C$4,$C$6,$C$5,$C$7,Q$1,Q$2,$A167)</f>
        <v>0</v>
      </c>
      <c r="R167" s="33">
        <f ca="1">_xll.DBRW($C$1,$C$2,$C$3,$C$4,$C$6,$C$5,$C$7,R$1,R$2,$A167)</f>
        <v>0</v>
      </c>
      <c r="S167" s="33">
        <f ca="1">_xll.DBRW($C$1,$C$2,$C$3,$C$4,$C$6,$C$5,$C$7,S$1,S$2,$A167)</f>
        <v>0</v>
      </c>
      <c r="T167" s="33">
        <f ca="1">_xll.DBRW($C$1,$C$2,$C$3,$C$4,$C$6,$C$5,$C$7,T$1,T$2,$A167)</f>
        <v>0</v>
      </c>
      <c r="U167" s="33">
        <f ca="1">_xll.DBRW($C$1,$C$2,$C$3,$C$4,$C$6,$C$5,$C$7,U$1,U$2,$A167)</f>
        <v>0</v>
      </c>
      <c r="V167" s="33">
        <f ca="1">_xll.DBRW($C$1,$C$2,$C$3,$C$4,$C$6,$C$5,$C$7,V$1,V$2,$A167)</f>
        <v>0</v>
      </c>
      <c r="W167" s="33">
        <f ca="1">_xll.DBRW($C$1,$C$2,$C$3,$C$4,$C$6,$C$5,$C$7,W$1,W$2,$A167)</f>
        <v>0</v>
      </c>
      <c r="X167" s="33">
        <f ca="1">_xll.DBRW($C$1,$C$2,$C$3,$C$4,$C$6,$C$5,$C$7,X$1,X$2,$A167)</f>
        <v>0</v>
      </c>
      <c r="Y167" s="33">
        <f ca="1">_xll.DBRW($C$1,$C$2,$C$3,$C$4,$C$6,$C$5,$C$7,Y$1,Y$2,$A167)</f>
        <v>0</v>
      </c>
      <c r="Z167" s="33">
        <f ca="1">_xll.DBRW($C$1,$C$2,$C$3,$C$4,$C$6,$C$5,$C$7,Z$1,Z$2,$A167)</f>
        <v>0</v>
      </c>
      <c r="AA167" s="33">
        <f ca="1">_xll.DBRW($C$1,$C$2,$C$3,$C$4,$C$6,$C$5,$C$7,AA$1,AA$2,$A167)</f>
        <v>0</v>
      </c>
      <c r="AB167" s="33">
        <f ca="1">_xll.DBRW($C$1,$C$2,$C$3,$C$4,$C$6,$C$5,$C$7,AB$1,AB$2,$A167)</f>
        <v>0</v>
      </c>
      <c r="AC167" s="33">
        <f ca="1">_xll.DBRW($C$1,$C$2,$C$3,$C$4,$C$6,$C$5,$C$7,AC$1,AC$2,$A167)</f>
        <v>0</v>
      </c>
      <c r="AD167" s="33">
        <f ca="1">_xll.DBRW($C$1,$C$2,$C$3,$C$4,$C$6,$C$5,$C$7,AD$1,AD$2,$A167)</f>
        <v>0</v>
      </c>
      <c r="AE167" s="33">
        <f ca="1">_xll.DBRW($C$1,$C$2,$C$3,$C$4,$C$6,$C$5,$C$7,AE$1,AE$2,$A167)</f>
        <v>0</v>
      </c>
      <c r="AF167" s="33">
        <f ca="1">_xll.DBRW($C$1,$C$2,$C$3,$C$4,$C$6,$C$5,$C$7,AF$1,AF$2,$A167)</f>
        <v>0</v>
      </c>
      <c r="AG167" s="33">
        <f ca="1">_xll.DBRW($C$1,$C$2,$C$3,$C$4,$C$6,$C$5,$C$7,AG$1,AG$2,$A167)</f>
        <v>0</v>
      </c>
      <c r="AH167" s="33">
        <f ca="1">_xll.DBRW($C$1,$C$2,$C$3,$C$4,$C$6,$C$5,$C$7,AH$1,AH$2,$A167)</f>
        <v>0</v>
      </c>
      <c r="AI167" s="33">
        <f ca="1">_xll.DBRW($C$1,$C$2,$C$3,$C$4,$C$6,$C$5,$C$7,AI$1,AI$2,$A167)</f>
        <v>0</v>
      </c>
      <c r="AJ167" s="33">
        <f ca="1">_xll.DBRW($C$1,$C$2,$C$3,$C$4,$C$6,$C$5,$C$7,AJ$1,AJ$2,$A167)</f>
        <v>0</v>
      </c>
      <c r="AK167" s="33">
        <f ca="1">_xll.DBRW($C$1,$C$2,$C$3,$C$4,$C$6,$C$5,$C$7,AK$1,AK$2,$A167)</f>
        <v>0</v>
      </c>
      <c r="AL167" s="33">
        <f ca="1">_xll.DBRW($C$1,$C$2,$C$3,$C$4,$C$6,$C$5,$C$7,AL$1,AL$2,$A167)</f>
        <v>0</v>
      </c>
      <c r="AM167" s="33">
        <f ca="1">_xll.DBRW($C$1,$C$2,$C$3,$C$4,$C$6,$C$5,$C$7,AM$1,AM$2,$A167)</f>
        <v>0</v>
      </c>
      <c r="AN167" s="33">
        <f ca="1">_xll.DBRW($C$1,$C$2,$C$3,$C$4,$C$6,$C$5,$C$7,AN$1,AN$2,$A167)</f>
        <v>0</v>
      </c>
      <c r="AO167" s="33">
        <f ca="1">_xll.DBRW($C$1,$C$2,$C$3,$C$4,$C$6,$C$5,$C$7,AO$1,AO$2,$A167)</f>
        <v>0</v>
      </c>
      <c r="AP167" s="33">
        <f ca="1">_xll.DBRW($C$1,$C$2,$C$3,$C$4,$C$6,$C$5,$C$7,AP$1,AP$2,$A167)</f>
        <v>0</v>
      </c>
      <c r="AQ167" s="33">
        <f ca="1">_xll.DBRW($C$1,$C$2,$C$3,$C$4,$C$6,$C$5,$C$7,AQ$1,AQ$2,$A167)</f>
        <v>0</v>
      </c>
      <c r="AR167" s="33">
        <f ca="1">_xll.DBRW($C$1,$C$2,$C$3,$C$4,$C$6,$C$5,$C$7,AR$1,AR$2,$A167)</f>
        <v>0</v>
      </c>
      <c r="AS167" s="33">
        <f ca="1">_xll.DBRW($C$1,$C$2,$C$3,$C$4,$C$6,$C$5,$C$7,AS$1,AS$2,$A167)</f>
        <v>0</v>
      </c>
      <c r="AT167" s="33">
        <f ca="1">_xll.DBRW($C$1,$C$2,$C$3,$C$4,$C$6,$C$5,$C$7,AT$1,AT$2,$A167)</f>
        <v>0</v>
      </c>
      <c r="AU167" s="33">
        <f ca="1">_xll.DBRW($C$1,$C$2,$C$3,$C$4,$C$6,$C$5,$C$7,AU$1,AU$2,$A167)</f>
        <v>0</v>
      </c>
      <c r="AV167" s="33">
        <f ca="1">_xll.DBRW($C$1,$C$2,$C$3,$C$4,$C$6,$C$5,$C$7,AV$1,AV$2,$A167)</f>
        <v>0</v>
      </c>
      <c r="AW167" s="33">
        <f ca="1">_xll.DBRW($C$1,$C$2,$C$3,$C$4,$C$6,$C$5,$C$7,AW$1,AW$2,$A167)</f>
        <v>0</v>
      </c>
      <c r="AX167" s="33">
        <f ca="1">_xll.DBRW($C$1,$C$2,$C$3,$C$4,$C$6,$C$5,$C$7,AX$1,AX$2,$A167)</f>
        <v>0</v>
      </c>
      <c r="AY167" s="33">
        <f ca="1">_xll.DBRW($C$1,$C$2,$C$3,$C$4,$C$6,$C$5,$C$7,AY$1,AY$2,$A167)</f>
        <v>0</v>
      </c>
    </row>
    <row r="168" spans="1:51" ht="15.75" hidden="1" customHeight="1" outlineLevel="2">
      <c r="A168" s="1" t="s">
        <v>258</v>
      </c>
      <c r="C168" s="109"/>
      <c r="E168" s="9" t="str">
        <f ca="1">_xll.DBRW(Server&amp;"}ElementAttributes_Indicator",A168,"code_English")</f>
        <v>PL1115_MI_99 - Others (MI)</v>
      </c>
      <c r="F168" s="33">
        <f ca="1">_xll.DBRW($C$1,$C$2,$C$3,$C$4,$C$6,$C$5,$C$7,F$1,F$2,$A168)</f>
        <v>0</v>
      </c>
      <c r="G168" s="33">
        <f ca="1">_xll.DBRW($C$1,$C$2,$C$3,$C$4,$C$6,$C$5,$C$7,G$1,G$2,$A168)</f>
        <v>0</v>
      </c>
      <c r="H168" s="33">
        <f ca="1">_xll.DBRW($C$1,$C$2,$C$3,$C$4,$C$6,$C$5,$C$7,H$1,H$2,$A168)</f>
        <v>0</v>
      </c>
      <c r="I168" s="33">
        <f ca="1">_xll.DBRW($C$1,$C$2,$C$3,$C$4,$C$6,$C$5,$C$7,I$1,I$2,$A168)</f>
        <v>0</v>
      </c>
      <c r="J168" s="33">
        <f ca="1">_xll.DBRW($C$1,$C$2,$C$3,$C$4,$C$6,$C$5,$C$7,J$1,J$2,$A168)</f>
        <v>0</v>
      </c>
      <c r="K168" s="33">
        <f ca="1">_xll.DBRW($C$1,$C$2,$C$3,$C$4,$C$6,$C$5,$C$7,K$1,K$2,$A168)</f>
        <v>0</v>
      </c>
      <c r="L168" s="33">
        <f ca="1">_xll.DBRW($C$1,$C$2,$C$3,$C$4,$C$6,$C$5,$C$7,L$1,L$2,$A168)</f>
        <v>0</v>
      </c>
      <c r="M168" s="33">
        <f ca="1">_xll.DBRW($C$1,$C$2,$C$3,$C$4,$C$6,$C$5,$C$7,M$1,M$2,$A168)</f>
        <v>0</v>
      </c>
      <c r="N168" s="33">
        <f ca="1">_xll.DBRW($C$1,$C$2,$C$3,$C$4,$C$6,$C$5,$C$7,N$1,N$2,$A168)</f>
        <v>0</v>
      </c>
      <c r="O168" s="33">
        <f ca="1">_xll.DBRW($C$1,$C$2,$C$3,$C$4,$C$6,$C$5,$C$7,O$1,O$2,$A168)</f>
        <v>0</v>
      </c>
      <c r="P168" s="33">
        <f ca="1">_xll.DBRW($C$1,$C$2,$C$3,$C$4,$C$6,$C$5,$C$7,P$1,P$2,$A168)</f>
        <v>0</v>
      </c>
      <c r="Q168" s="33">
        <f ca="1">_xll.DBRW($C$1,$C$2,$C$3,$C$4,$C$6,$C$5,$C$7,Q$1,Q$2,$A168)</f>
        <v>0</v>
      </c>
      <c r="R168" s="33">
        <f ca="1">_xll.DBRW($C$1,$C$2,$C$3,$C$4,$C$6,$C$5,$C$7,R$1,R$2,$A168)</f>
        <v>0</v>
      </c>
      <c r="S168" s="33">
        <f ca="1">_xll.DBRW($C$1,$C$2,$C$3,$C$4,$C$6,$C$5,$C$7,S$1,S$2,$A168)</f>
        <v>0</v>
      </c>
      <c r="T168" s="33">
        <f ca="1">_xll.DBRW($C$1,$C$2,$C$3,$C$4,$C$6,$C$5,$C$7,T$1,T$2,$A168)</f>
        <v>0</v>
      </c>
      <c r="U168" s="33">
        <f ca="1">_xll.DBRW($C$1,$C$2,$C$3,$C$4,$C$6,$C$5,$C$7,U$1,U$2,$A168)</f>
        <v>0</v>
      </c>
      <c r="V168" s="33">
        <f ca="1">_xll.DBRW($C$1,$C$2,$C$3,$C$4,$C$6,$C$5,$C$7,V$1,V$2,$A168)</f>
        <v>0</v>
      </c>
      <c r="W168" s="33">
        <f ca="1">_xll.DBRW($C$1,$C$2,$C$3,$C$4,$C$6,$C$5,$C$7,W$1,W$2,$A168)</f>
        <v>0</v>
      </c>
      <c r="X168" s="33">
        <f ca="1">_xll.DBRW($C$1,$C$2,$C$3,$C$4,$C$6,$C$5,$C$7,X$1,X$2,$A168)</f>
        <v>0</v>
      </c>
      <c r="Y168" s="33">
        <f ca="1">_xll.DBRW($C$1,$C$2,$C$3,$C$4,$C$6,$C$5,$C$7,Y$1,Y$2,$A168)</f>
        <v>0</v>
      </c>
      <c r="Z168" s="33">
        <f ca="1">_xll.DBRW($C$1,$C$2,$C$3,$C$4,$C$6,$C$5,$C$7,Z$1,Z$2,$A168)</f>
        <v>0</v>
      </c>
      <c r="AA168" s="33">
        <f ca="1">_xll.DBRW($C$1,$C$2,$C$3,$C$4,$C$6,$C$5,$C$7,AA$1,AA$2,$A168)</f>
        <v>0</v>
      </c>
      <c r="AB168" s="33">
        <f ca="1">_xll.DBRW($C$1,$C$2,$C$3,$C$4,$C$6,$C$5,$C$7,AB$1,AB$2,$A168)</f>
        <v>0</v>
      </c>
      <c r="AC168" s="33">
        <f ca="1">_xll.DBRW($C$1,$C$2,$C$3,$C$4,$C$6,$C$5,$C$7,AC$1,AC$2,$A168)</f>
        <v>0</v>
      </c>
      <c r="AD168" s="33">
        <f ca="1">_xll.DBRW($C$1,$C$2,$C$3,$C$4,$C$6,$C$5,$C$7,AD$1,AD$2,$A168)</f>
        <v>0</v>
      </c>
      <c r="AE168" s="33">
        <f ca="1">_xll.DBRW($C$1,$C$2,$C$3,$C$4,$C$6,$C$5,$C$7,AE$1,AE$2,$A168)</f>
        <v>0</v>
      </c>
      <c r="AF168" s="33">
        <f ca="1">_xll.DBRW($C$1,$C$2,$C$3,$C$4,$C$6,$C$5,$C$7,AF$1,AF$2,$A168)</f>
        <v>0</v>
      </c>
      <c r="AG168" s="33">
        <f ca="1">_xll.DBRW($C$1,$C$2,$C$3,$C$4,$C$6,$C$5,$C$7,AG$1,AG$2,$A168)</f>
        <v>0</v>
      </c>
      <c r="AH168" s="33">
        <f ca="1">_xll.DBRW($C$1,$C$2,$C$3,$C$4,$C$6,$C$5,$C$7,AH$1,AH$2,$A168)</f>
        <v>0</v>
      </c>
      <c r="AI168" s="33">
        <f ca="1">_xll.DBRW($C$1,$C$2,$C$3,$C$4,$C$6,$C$5,$C$7,AI$1,AI$2,$A168)</f>
        <v>0</v>
      </c>
      <c r="AJ168" s="33">
        <f ca="1">_xll.DBRW($C$1,$C$2,$C$3,$C$4,$C$6,$C$5,$C$7,AJ$1,AJ$2,$A168)</f>
        <v>0</v>
      </c>
      <c r="AK168" s="33">
        <f ca="1">_xll.DBRW($C$1,$C$2,$C$3,$C$4,$C$6,$C$5,$C$7,AK$1,AK$2,$A168)</f>
        <v>0</v>
      </c>
      <c r="AL168" s="33">
        <f ca="1">_xll.DBRW($C$1,$C$2,$C$3,$C$4,$C$6,$C$5,$C$7,AL$1,AL$2,$A168)</f>
        <v>0</v>
      </c>
      <c r="AM168" s="33">
        <f ca="1">_xll.DBRW($C$1,$C$2,$C$3,$C$4,$C$6,$C$5,$C$7,AM$1,AM$2,$A168)</f>
        <v>0</v>
      </c>
      <c r="AN168" s="33">
        <f ca="1">_xll.DBRW($C$1,$C$2,$C$3,$C$4,$C$6,$C$5,$C$7,AN$1,AN$2,$A168)</f>
        <v>0</v>
      </c>
      <c r="AO168" s="33">
        <f ca="1">_xll.DBRW($C$1,$C$2,$C$3,$C$4,$C$6,$C$5,$C$7,AO$1,AO$2,$A168)</f>
        <v>0</v>
      </c>
      <c r="AP168" s="33">
        <f ca="1">_xll.DBRW($C$1,$C$2,$C$3,$C$4,$C$6,$C$5,$C$7,AP$1,AP$2,$A168)</f>
        <v>0</v>
      </c>
      <c r="AQ168" s="33">
        <f ca="1">_xll.DBRW($C$1,$C$2,$C$3,$C$4,$C$6,$C$5,$C$7,AQ$1,AQ$2,$A168)</f>
        <v>0</v>
      </c>
      <c r="AR168" s="33">
        <f ca="1">_xll.DBRW($C$1,$C$2,$C$3,$C$4,$C$6,$C$5,$C$7,AR$1,AR$2,$A168)</f>
        <v>0</v>
      </c>
      <c r="AS168" s="33">
        <f ca="1">_xll.DBRW($C$1,$C$2,$C$3,$C$4,$C$6,$C$5,$C$7,AS$1,AS$2,$A168)</f>
        <v>0</v>
      </c>
      <c r="AT168" s="33">
        <f ca="1">_xll.DBRW($C$1,$C$2,$C$3,$C$4,$C$6,$C$5,$C$7,AT$1,AT$2,$A168)</f>
        <v>0</v>
      </c>
      <c r="AU168" s="33">
        <f ca="1">_xll.DBRW($C$1,$C$2,$C$3,$C$4,$C$6,$C$5,$C$7,AU$1,AU$2,$A168)</f>
        <v>0</v>
      </c>
      <c r="AV168" s="33">
        <f ca="1">_xll.DBRW($C$1,$C$2,$C$3,$C$4,$C$6,$C$5,$C$7,AV$1,AV$2,$A168)</f>
        <v>0</v>
      </c>
      <c r="AW168" s="33">
        <f ca="1">_xll.DBRW($C$1,$C$2,$C$3,$C$4,$C$6,$C$5,$C$7,AW$1,AW$2,$A168)</f>
        <v>0</v>
      </c>
      <c r="AX168" s="33">
        <f ca="1">_xll.DBRW($C$1,$C$2,$C$3,$C$4,$C$6,$C$5,$C$7,AX$1,AX$2,$A168)</f>
        <v>0</v>
      </c>
      <c r="AY168" s="33">
        <f ca="1">_xll.DBRW($C$1,$C$2,$C$3,$C$4,$C$6,$C$5,$C$7,AY$1,AY$2,$A168)</f>
        <v>0</v>
      </c>
    </row>
    <row r="169" spans="1:51" ht="15.75" hidden="1" customHeight="1" outlineLevel="2">
      <c r="A169" s="1" t="s">
        <v>259</v>
      </c>
      <c r="C169" s="109"/>
      <c r="E169" s="9" t="str">
        <f ca="1">_xll.DBRW(Server&amp;"}ElementAttributes_Indicator",A169,"code_English")</f>
        <v>PL1115_MI_12 - Subcontracting cleaning (MI)</v>
      </c>
      <c r="F169" s="33">
        <f ca="1">_xll.DBRW($C$1,$C$2,$C$3,$C$4,$C$6,$C$5,$C$7,F$1,F$2,$A169)</f>
        <v>0</v>
      </c>
      <c r="G169" s="33">
        <f ca="1">_xll.DBRW($C$1,$C$2,$C$3,$C$4,$C$6,$C$5,$C$7,G$1,G$2,$A169)</f>
        <v>0</v>
      </c>
      <c r="H169" s="33">
        <f ca="1">_xll.DBRW($C$1,$C$2,$C$3,$C$4,$C$6,$C$5,$C$7,H$1,H$2,$A169)</f>
        <v>0</v>
      </c>
      <c r="I169" s="33">
        <f ca="1">_xll.DBRW($C$1,$C$2,$C$3,$C$4,$C$6,$C$5,$C$7,I$1,I$2,$A169)</f>
        <v>0</v>
      </c>
      <c r="J169" s="33">
        <f ca="1">_xll.DBRW($C$1,$C$2,$C$3,$C$4,$C$6,$C$5,$C$7,J$1,J$2,$A169)</f>
        <v>0</v>
      </c>
      <c r="K169" s="33">
        <f ca="1">_xll.DBRW($C$1,$C$2,$C$3,$C$4,$C$6,$C$5,$C$7,K$1,K$2,$A169)</f>
        <v>0</v>
      </c>
      <c r="L169" s="33">
        <f ca="1">_xll.DBRW($C$1,$C$2,$C$3,$C$4,$C$6,$C$5,$C$7,L$1,L$2,$A169)</f>
        <v>0</v>
      </c>
      <c r="M169" s="33">
        <f ca="1">_xll.DBRW($C$1,$C$2,$C$3,$C$4,$C$6,$C$5,$C$7,M$1,M$2,$A169)</f>
        <v>0</v>
      </c>
      <c r="N169" s="33">
        <f ca="1">_xll.DBRW($C$1,$C$2,$C$3,$C$4,$C$6,$C$5,$C$7,N$1,N$2,$A169)</f>
        <v>0</v>
      </c>
      <c r="O169" s="33">
        <f ca="1">_xll.DBRW($C$1,$C$2,$C$3,$C$4,$C$6,$C$5,$C$7,O$1,O$2,$A169)</f>
        <v>0</v>
      </c>
      <c r="P169" s="33">
        <f ca="1">_xll.DBRW($C$1,$C$2,$C$3,$C$4,$C$6,$C$5,$C$7,P$1,P$2,$A169)</f>
        <v>0</v>
      </c>
      <c r="Q169" s="33">
        <f ca="1">_xll.DBRW($C$1,$C$2,$C$3,$C$4,$C$6,$C$5,$C$7,Q$1,Q$2,$A169)</f>
        <v>0</v>
      </c>
      <c r="R169" s="33">
        <f ca="1">_xll.DBRW($C$1,$C$2,$C$3,$C$4,$C$6,$C$5,$C$7,R$1,R$2,$A169)</f>
        <v>0</v>
      </c>
      <c r="S169" s="33">
        <f ca="1">_xll.DBRW($C$1,$C$2,$C$3,$C$4,$C$6,$C$5,$C$7,S$1,S$2,$A169)</f>
        <v>0</v>
      </c>
      <c r="T169" s="33">
        <f ca="1">_xll.DBRW($C$1,$C$2,$C$3,$C$4,$C$6,$C$5,$C$7,T$1,T$2,$A169)</f>
        <v>0</v>
      </c>
      <c r="U169" s="33">
        <f ca="1">_xll.DBRW($C$1,$C$2,$C$3,$C$4,$C$6,$C$5,$C$7,U$1,U$2,$A169)</f>
        <v>0</v>
      </c>
      <c r="V169" s="33">
        <f ca="1">_xll.DBRW($C$1,$C$2,$C$3,$C$4,$C$6,$C$5,$C$7,V$1,V$2,$A169)</f>
        <v>0</v>
      </c>
      <c r="W169" s="33">
        <f ca="1">_xll.DBRW($C$1,$C$2,$C$3,$C$4,$C$6,$C$5,$C$7,W$1,W$2,$A169)</f>
        <v>0</v>
      </c>
      <c r="X169" s="33">
        <f ca="1">_xll.DBRW($C$1,$C$2,$C$3,$C$4,$C$6,$C$5,$C$7,X$1,X$2,$A169)</f>
        <v>0</v>
      </c>
      <c r="Y169" s="33">
        <f ca="1">_xll.DBRW($C$1,$C$2,$C$3,$C$4,$C$6,$C$5,$C$7,Y$1,Y$2,$A169)</f>
        <v>0</v>
      </c>
      <c r="Z169" s="33">
        <f ca="1">_xll.DBRW($C$1,$C$2,$C$3,$C$4,$C$6,$C$5,$C$7,Z$1,Z$2,$A169)</f>
        <v>0</v>
      </c>
      <c r="AA169" s="33">
        <f ca="1">_xll.DBRW($C$1,$C$2,$C$3,$C$4,$C$6,$C$5,$C$7,AA$1,AA$2,$A169)</f>
        <v>0</v>
      </c>
      <c r="AB169" s="33">
        <f ca="1">_xll.DBRW($C$1,$C$2,$C$3,$C$4,$C$6,$C$5,$C$7,AB$1,AB$2,$A169)</f>
        <v>0</v>
      </c>
      <c r="AC169" s="33">
        <f ca="1">_xll.DBRW($C$1,$C$2,$C$3,$C$4,$C$6,$C$5,$C$7,AC$1,AC$2,$A169)</f>
        <v>0</v>
      </c>
      <c r="AD169" s="33">
        <f ca="1">_xll.DBRW($C$1,$C$2,$C$3,$C$4,$C$6,$C$5,$C$7,AD$1,AD$2,$A169)</f>
        <v>0</v>
      </c>
      <c r="AE169" s="33">
        <f ca="1">_xll.DBRW($C$1,$C$2,$C$3,$C$4,$C$6,$C$5,$C$7,AE$1,AE$2,$A169)</f>
        <v>0</v>
      </c>
      <c r="AF169" s="33">
        <f ca="1">_xll.DBRW($C$1,$C$2,$C$3,$C$4,$C$6,$C$5,$C$7,AF$1,AF$2,$A169)</f>
        <v>0</v>
      </c>
      <c r="AG169" s="33">
        <f ca="1">_xll.DBRW($C$1,$C$2,$C$3,$C$4,$C$6,$C$5,$C$7,AG$1,AG$2,$A169)</f>
        <v>0</v>
      </c>
      <c r="AH169" s="33">
        <f ca="1">_xll.DBRW($C$1,$C$2,$C$3,$C$4,$C$6,$C$5,$C$7,AH$1,AH$2,$A169)</f>
        <v>0</v>
      </c>
      <c r="AI169" s="33">
        <f ca="1">_xll.DBRW($C$1,$C$2,$C$3,$C$4,$C$6,$C$5,$C$7,AI$1,AI$2,$A169)</f>
        <v>0</v>
      </c>
      <c r="AJ169" s="33">
        <f ca="1">_xll.DBRW($C$1,$C$2,$C$3,$C$4,$C$6,$C$5,$C$7,AJ$1,AJ$2,$A169)</f>
        <v>0</v>
      </c>
      <c r="AK169" s="33">
        <f ca="1">_xll.DBRW($C$1,$C$2,$C$3,$C$4,$C$6,$C$5,$C$7,AK$1,AK$2,$A169)</f>
        <v>0</v>
      </c>
      <c r="AL169" s="33">
        <f ca="1">_xll.DBRW($C$1,$C$2,$C$3,$C$4,$C$6,$C$5,$C$7,AL$1,AL$2,$A169)</f>
        <v>0</v>
      </c>
      <c r="AM169" s="33">
        <f ca="1">_xll.DBRW($C$1,$C$2,$C$3,$C$4,$C$6,$C$5,$C$7,AM$1,AM$2,$A169)</f>
        <v>0</v>
      </c>
      <c r="AN169" s="33">
        <f ca="1">_xll.DBRW($C$1,$C$2,$C$3,$C$4,$C$6,$C$5,$C$7,AN$1,AN$2,$A169)</f>
        <v>0</v>
      </c>
      <c r="AO169" s="33">
        <f ca="1">_xll.DBRW($C$1,$C$2,$C$3,$C$4,$C$6,$C$5,$C$7,AO$1,AO$2,$A169)</f>
        <v>0</v>
      </c>
      <c r="AP169" s="33">
        <f ca="1">_xll.DBRW($C$1,$C$2,$C$3,$C$4,$C$6,$C$5,$C$7,AP$1,AP$2,$A169)</f>
        <v>0</v>
      </c>
      <c r="AQ169" s="33">
        <f ca="1">_xll.DBRW($C$1,$C$2,$C$3,$C$4,$C$6,$C$5,$C$7,AQ$1,AQ$2,$A169)</f>
        <v>0</v>
      </c>
      <c r="AR169" s="33">
        <f ca="1">_xll.DBRW($C$1,$C$2,$C$3,$C$4,$C$6,$C$5,$C$7,AR$1,AR$2,$A169)</f>
        <v>0</v>
      </c>
      <c r="AS169" s="33">
        <f ca="1">_xll.DBRW($C$1,$C$2,$C$3,$C$4,$C$6,$C$5,$C$7,AS$1,AS$2,$A169)</f>
        <v>0</v>
      </c>
      <c r="AT169" s="33">
        <f ca="1">_xll.DBRW($C$1,$C$2,$C$3,$C$4,$C$6,$C$5,$C$7,AT$1,AT$2,$A169)</f>
        <v>0</v>
      </c>
      <c r="AU169" s="33">
        <f ca="1">_xll.DBRW($C$1,$C$2,$C$3,$C$4,$C$6,$C$5,$C$7,AU$1,AU$2,$A169)</f>
        <v>0</v>
      </c>
      <c r="AV169" s="33">
        <f ca="1">_xll.DBRW($C$1,$C$2,$C$3,$C$4,$C$6,$C$5,$C$7,AV$1,AV$2,$A169)</f>
        <v>0</v>
      </c>
      <c r="AW169" s="33">
        <f ca="1">_xll.DBRW($C$1,$C$2,$C$3,$C$4,$C$6,$C$5,$C$7,AW$1,AW$2,$A169)</f>
        <v>0</v>
      </c>
      <c r="AX169" s="33">
        <f ca="1">_xll.DBRW($C$1,$C$2,$C$3,$C$4,$C$6,$C$5,$C$7,AX$1,AX$2,$A169)</f>
        <v>0</v>
      </c>
      <c r="AY169" s="33">
        <f ca="1">_xll.DBRW($C$1,$C$2,$C$3,$C$4,$C$6,$C$5,$C$7,AY$1,AY$2,$A169)</f>
        <v>0</v>
      </c>
    </row>
    <row r="170" spans="1:51" ht="15.75" hidden="1" customHeight="1" outlineLevel="2">
      <c r="A170" s="1" t="s">
        <v>260</v>
      </c>
      <c r="C170" s="109"/>
      <c r="E170" s="9" t="str">
        <f ca="1">_xll.DBRW(Server&amp;"}ElementAttributes_Indicator",A170,"code_English")</f>
        <v>PL1115_MI_11 - Subcontracting maintenance (MI)</v>
      </c>
      <c r="F170" s="33">
        <f ca="1">_xll.DBRW($C$1,$C$2,$C$3,$C$4,$C$6,$C$5,$C$7,F$1,F$2,$A170)</f>
        <v>0</v>
      </c>
      <c r="G170" s="33">
        <f ca="1">_xll.DBRW($C$1,$C$2,$C$3,$C$4,$C$6,$C$5,$C$7,G$1,G$2,$A170)</f>
        <v>0</v>
      </c>
      <c r="H170" s="33">
        <f ca="1">_xll.DBRW($C$1,$C$2,$C$3,$C$4,$C$6,$C$5,$C$7,H$1,H$2,$A170)</f>
        <v>0</v>
      </c>
      <c r="I170" s="33">
        <f ca="1">_xll.DBRW($C$1,$C$2,$C$3,$C$4,$C$6,$C$5,$C$7,I$1,I$2,$A170)</f>
        <v>0</v>
      </c>
      <c r="J170" s="33">
        <f ca="1">_xll.DBRW($C$1,$C$2,$C$3,$C$4,$C$6,$C$5,$C$7,J$1,J$2,$A170)</f>
        <v>0</v>
      </c>
      <c r="K170" s="33">
        <f ca="1">_xll.DBRW($C$1,$C$2,$C$3,$C$4,$C$6,$C$5,$C$7,K$1,K$2,$A170)</f>
        <v>0</v>
      </c>
      <c r="L170" s="33">
        <f ca="1">_xll.DBRW($C$1,$C$2,$C$3,$C$4,$C$6,$C$5,$C$7,L$1,L$2,$A170)</f>
        <v>0</v>
      </c>
      <c r="M170" s="33">
        <f ca="1">_xll.DBRW($C$1,$C$2,$C$3,$C$4,$C$6,$C$5,$C$7,M$1,M$2,$A170)</f>
        <v>0</v>
      </c>
      <c r="N170" s="33">
        <f ca="1">_xll.DBRW($C$1,$C$2,$C$3,$C$4,$C$6,$C$5,$C$7,N$1,N$2,$A170)</f>
        <v>0</v>
      </c>
      <c r="O170" s="33">
        <f ca="1">_xll.DBRW($C$1,$C$2,$C$3,$C$4,$C$6,$C$5,$C$7,O$1,O$2,$A170)</f>
        <v>0</v>
      </c>
      <c r="P170" s="33">
        <f ca="1">_xll.DBRW($C$1,$C$2,$C$3,$C$4,$C$6,$C$5,$C$7,P$1,P$2,$A170)</f>
        <v>0</v>
      </c>
      <c r="Q170" s="33">
        <f ca="1">_xll.DBRW($C$1,$C$2,$C$3,$C$4,$C$6,$C$5,$C$7,Q$1,Q$2,$A170)</f>
        <v>0</v>
      </c>
      <c r="R170" s="33">
        <f ca="1">_xll.DBRW($C$1,$C$2,$C$3,$C$4,$C$6,$C$5,$C$7,R$1,R$2,$A170)</f>
        <v>0</v>
      </c>
      <c r="S170" s="33">
        <f ca="1">_xll.DBRW($C$1,$C$2,$C$3,$C$4,$C$6,$C$5,$C$7,S$1,S$2,$A170)</f>
        <v>0</v>
      </c>
      <c r="T170" s="33">
        <f ca="1">_xll.DBRW($C$1,$C$2,$C$3,$C$4,$C$6,$C$5,$C$7,T$1,T$2,$A170)</f>
        <v>0</v>
      </c>
      <c r="U170" s="33">
        <f ca="1">_xll.DBRW($C$1,$C$2,$C$3,$C$4,$C$6,$C$5,$C$7,U$1,U$2,$A170)</f>
        <v>0</v>
      </c>
      <c r="V170" s="33">
        <f ca="1">_xll.DBRW($C$1,$C$2,$C$3,$C$4,$C$6,$C$5,$C$7,V$1,V$2,$A170)</f>
        <v>0</v>
      </c>
      <c r="W170" s="33">
        <f ca="1">_xll.DBRW($C$1,$C$2,$C$3,$C$4,$C$6,$C$5,$C$7,W$1,W$2,$A170)</f>
        <v>0</v>
      </c>
      <c r="X170" s="33">
        <f ca="1">_xll.DBRW($C$1,$C$2,$C$3,$C$4,$C$6,$C$5,$C$7,X$1,X$2,$A170)</f>
        <v>0</v>
      </c>
      <c r="Y170" s="33">
        <f ca="1">_xll.DBRW($C$1,$C$2,$C$3,$C$4,$C$6,$C$5,$C$7,Y$1,Y$2,$A170)</f>
        <v>0</v>
      </c>
      <c r="Z170" s="33">
        <f ca="1">_xll.DBRW($C$1,$C$2,$C$3,$C$4,$C$6,$C$5,$C$7,Z$1,Z$2,$A170)</f>
        <v>0</v>
      </c>
      <c r="AA170" s="33">
        <f ca="1">_xll.DBRW($C$1,$C$2,$C$3,$C$4,$C$6,$C$5,$C$7,AA$1,AA$2,$A170)</f>
        <v>0</v>
      </c>
      <c r="AB170" s="33">
        <f ca="1">_xll.DBRW($C$1,$C$2,$C$3,$C$4,$C$6,$C$5,$C$7,AB$1,AB$2,$A170)</f>
        <v>0</v>
      </c>
      <c r="AC170" s="33">
        <f ca="1">_xll.DBRW($C$1,$C$2,$C$3,$C$4,$C$6,$C$5,$C$7,AC$1,AC$2,$A170)</f>
        <v>0</v>
      </c>
      <c r="AD170" s="33">
        <f ca="1">_xll.DBRW($C$1,$C$2,$C$3,$C$4,$C$6,$C$5,$C$7,AD$1,AD$2,$A170)</f>
        <v>0</v>
      </c>
      <c r="AE170" s="33">
        <f ca="1">_xll.DBRW($C$1,$C$2,$C$3,$C$4,$C$6,$C$5,$C$7,AE$1,AE$2,$A170)</f>
        <v>0</v>
      </c>
      <c r="AF170" s="33">
        <f ca="1">_xll.DBRW($C$1,$C$2,$C$3,$C$4,$C$6,$C$5,$C$7,AF$1,AF$2,$A170)</f>
        <v>0</v>
      </c>
      <c r="AG170" s="33">
        <f ca="1">_xll.DBRW($C$1,$C$2,$C$3,$C$4,$C$6,$C$5,$C$7,AG$1,AG$2,$A170)</f>
        <v>0</v>
      </c>
      <c r="AH170" s="33">
        <f ca="1">_xll.DBRW($C$1,$C$2,$C$3,$C$4,$C$6,$C$5,$C$7,AH$1,AH$2,$A170)</f>
        <v>0</v>
      </c>
      <c r="AI170" s="33">
        <f ca="1">_xll.DBRW($C$1,$C$2,$C$3,$C$4,$C$6,$C$5,$C$7,AI$1,AI$2,$A170)</f>
        <v>0</v>
      </c>
      <c r="AJ170" s="33">
        <f ca="1">_xll.DBRW($C$1,$C$2,$C$3,$C$4,$C$6,$C$5,$C$7,AJ$1,AJ$2,$A170)</f>
        <v>0</v>
      </c>
      <c r="AK170" s="33">
        <f ca="1">_xll.DBRW($C$1,$C$2,$C$3,$C$4,$C$6,$C$5,$C$7,AK$1,AK$2,$A170)</f>
        <v>0</v>
      </c>
      <c r="AL170" s="33">
        <f ca="1">_xll.DBRW($C$1,$C$2,$C$3,$C$4,$C$6,$C$5,$C$7,AL$1,AL$2,$A170)</f>
        <v>0</v>
      </c>
      <c r="AM170" s="33">
        <f ca="1">_xll.DBRW($C$1,$C$2,$C$3,$C$4,$C$6,$C$5,$C$7,AM$1,AM$2,$A170)</f>
        <v>0</v>
      </c>
      <c r="AN170" s="33">
        <f ca="1">_xll.DBRW($C$1,$C$2,$C$3,$C$4,$C$6,$C$5,$C$7,AN$1,AN$2,$A170)</f>
        <v>0</v>
      </c>
      <c r="AO170" s="33">
        <f ca="1">_xll.DBRW($C$1,$C$2,$C$3,$C$4,$C$6,$C$5,$C$7,AO$1,AO$2,$A170)</f>
        <v>0</v>
      </c>
      <c r="AP170" s="33">
        <f ca="1">_xll.DBRW($C$1,$C$2,$C$3,$C$4,$C$6,$C$5,$C$7,AP$1,AP$2,$A170)</f>
        <v>0</v>
      </c>
      <c r="AQ170" s="33">
        <f ca="1">_xll.DBRW($C$1,$C$2,$C$3,$C$4,$C$6,$C$5,$C$7,AQ$1,AQ$2,$A170)</f>
        <v>0</v>
      </c>
      <c r="AR170" s="33">
        <f ca="1">_xll.DBRW($C$1,$C$2,$C$3,$C$4,$C$6,$C$5,$C$7,AR$1,AR$2,$A170)</f>
        <v>0</v>
      </c>
      <c r="AS170" s="33">
        <f ca="1">_xll.DBRW($C$1,$C$2,$C$3,$C$4,$C$6,$C$5,$C$7,AS$1,AS$2,$A170)</f>
        <v>0</v>
      </c>
      <c r="AT170" s="33">
        <f ca="1">_xll.DBRW($C$1,$C$2,$C$3,$C$4,$C$6,$C$5,$C$7,AT$1,AT$2,$A170)</f>
        <v>0</v>
      </c>
      <c r="AU170" s="33">
        <f ca="1">_xll.DBRW($C$1,$C$2,$C$3,$C$4,$C$6,$C$5,$C$7,AU$1,AU$2,$A170)</f>
        <v>0</v>
      </c>
      <c r="AV170" s="33">
        <f ca="1">_xll.DBRW($C$1,$C$2,$C$3,$C$4,$C$6,$C$5,$C$7,AV$1,AV$2,$A170)</f>
        <v>0</v>
      </c>
      <c r="AW170" s="33">
        <f ca="1">_xll.DBRW($C$1,$C$2,$C$3,$C$4,$C$6,$C$5,$C$7,AW$1,AW$2,$A170)</f>
        <v>0</v>
      </c>
      <c r="AX170" s="33">
        <f ca="1">_xll.DBRW($C$1,$C$2,$C$3,$C$4,$C$6,$C$5,$C$7,AX$1,AX$2,$A170)</f>
        <v>0</v>
      </c>
      <c r="AY170" s="33">
        <f ca="1">_xll.DBRW($C$1,$C$2,$C$3,$C$4,$C$6,$C$5,$C$7,AY$1,AY$2,$A170)</f>
        <v>0</v>
      </c>
    </row>
    <row r="171" spans="1:51" ht="15.75" hidden="1" customHeight="1" outlineLevel="2">
      <c r="A171" s="1" t="s">
        <v>261</v>
      </c>
      <c r="C171" s="109"/>
      <c r="E171" s="9" t="str">
        <f ca="1">_xll.DBRW(Server&amp;"}ElementAttributes_Indicator",A171,"code_English")</f>
        <v>PL1140_MI_10 - Amortization (MI)</v>
      </c>
      <c r="F171" s="33">
        <f ca="1">_xll.DBRW($C$1,$C$2,$C$3,$C$4,$C$6,$C$5,$C$7,F$1,F$2,$A171)</f>
        <v>0</v>
      </c>
      <c r="G171" s="33">
        <f ca="1">_xll.DBRW($C$1,$C$2,$C$3,$C$4,$C$6,$C$5,$C$7,G$1,G$2,$A171)</f>
        <v>0</v>
      </c>
      <c r="H171" s="33">
        <f ca="1">_xll.DBRW($C$1,$C$2,$C$3,$C$4,$C$6,$C$5,$C$7,H$1,H$2,$A171)</f>
        <v>0</v>
      </c>
      <c r="I171" s="33">
        <f ca="1">_xll.DBRW($C$1,$C$2,$C$3,$C$4,$C$6,$C$5,$C$7,I$1,I$2,$A171)</f>
        <v>0</v>
      </c>
      <c r="J171" s="33">
        <f ca="1">_xll.DBRW($C$1,$C$2,$C$3,$C$4,$C$6,$C$5,$C$7,J$1,J$2,$A171)</f>
        <v>0</v>
      </c>
      <c r="K171" s="33">
        <f ca="1">_xll.DBRW($C$1,$C$2,$C$3,$C$4,$C$6,$C$5,$C$7,K$1,K$2,$A171)</f>
        <v>0</v>
      </c>
      <c r="L171" s="33">
        <f ca="1">_xll.DBRW($C$1,$C$2,$C$3,$C$4,$C$6,$C$5,$C$7,L$1,L$2,$A171)</f>
        <v>0</v>
      </c>
      <c r="M171" s="33">
        <f ca="1">_xll.DBRW($C$1,$C$2,$C$3,$C$4,$C$6,$C$5,$C$7,M$1,M$2,$A171)</f>
        <v>0</v>
      </c>
      <c r="N171" s="33">
        <f ca="1">_xll.DBRW($C$1,$C$2,$C$3,$C$4,$C$6,$C$5,$C$7,N$1,N$2,$A171)</f>
        <v>0</v>
      </c>
      <c r="O171" s="33">
        <f ca="1">_xll.DBRW($C$1,$C$2,$C$3,$C$4,$C$6,$C$5,$C$7,O$1,O$2,$A171)</f>
        <v>0</v>
      </c>
      <c r="P171" s="33">
        <f ca="1">_xll.DBRW($C$1,$C$2,$C$3,$C$4,$C$6,$C$5,$C$7,P$1,P$2,$A171)</f>
        <v>0</v>
      </c>
      <c r="Q171" s="33">
        <f ca="1">_xll.DBRW($C$1,$C$2,$C$3,$C$4,$C$6,$C$5,$C$7,Q$1,Q$2,$A171)</f>
        <v>0</v>
      </c>
      <c r="R171" s="33">
        <f ca="1">_xll.DBRW($C$1,$C$2,$C$3,$C$4,$C$6,$C$5,$C$7,R$1,R$2,$A171)</f>
        <v>0</v>
      </c>
      <c r="S171" s="33">
        <f ca="1">_xll.DBRW($C$1,$C$2,$C$3,$C$4,$C$6,$C$5,$C$7,S$1,S$2,$A171)</f>
        <v>0</v>
      </c>
      <c r="T171" s="33">
        <f ca="1">_xll.DBRW($C$1,$C$2,$C$3,$C$4,$C$6,$C$5,$C$7,T$1,T$2,$A171)</f>
        <v>0</v>
      </c>
      <c r="U171" s="33">
        <f ca="1">_xll.DBRW($C$1,$C$2,$C$3,$C$4,$C$6,$C$5,$C$7,U$1,U$2,$A171)</f>
        <v>0</v>
      </c>
      <c r="V171" s="33">
        <f ca="1">_xll.DBRW($C$1,$C$2,$C$3,$C$4,$C$6,$C$5,$C$7,V$1,V$2,$A171)</f>
        <v>0</v>
      </c>
      <c r="W171" s="33">
        <f ca="1">_xll.DBRW($C$1,$C$2,$C$3,$C$4,$C$6,$C$5,$C$7,W$1,W$2,$A171)</f>
        <v>0</v>
      </c>
      <c r="X171" s="33">
        <f ca="1">_xll.DBRW($C$1,$C$2,$C$3,$C$4,$C$6,$C$5,$C$7,X$1,X$2,$A171)</f>
        <v>0</v>
      </c>
      <c r="Y171" s="33">
        <f ca="1">_xll.DBRW($C$1,$C$2,$C$3,$C$4,$C$6,$C$5,$C$7,Y$1,Y$2,$A171)</f>
        <v>0</v>
      </c>
      <c r="Z171" s="33">
        <f ca="1">_xll.DBRW($C$1,$C$2,$C$3,$C$4,$C$6,$C$5,$C$7,Z$1,Z$2,$A171)</f>
        <v>0</v>
      </c>
      <c r="AA171" s="33">
        <f ca="1">_xll.DBRW($C$1,$C$2,$C$3,$C$4,$C$6,$C$5,$C$7,AA$1,AA$2,$A171)</f>
        <v>0</v>
      </c>
      <c r="AB171" s="33">
        <f ca="1">_xll.DBRW($C$1,$C$2,$C$3,$C$4,$C$6,$C$5,$C$7,AB$1,AB$2,$A171)</f>
        <v>0</v>
      </c>
      <c r="AC171" s="33">
        <f ca="1">_xll.DBRW($C$1,$C$2,$C$3,$C$4,$C$6,$C$5,$C$7,AC$1,AC$2,$A171)</f>
        <v>0</v>
      </c>
      <c r="AD171" s="33">
        <f ca="1">_xll.DBRW($C$1,$C$2,$C$3,$C$4,$C$6,$C$5,$C$7,AD$1,AD$2,$A171)</f>
        <v>0</v>
      </c>
      <c r="AE171" s="33">
        <f ca="1">_xll.DBRW($C$1,$C$2,$C$3,$C$4,$C$6,$C$5,$C$7,AE$1,AE$2,$A171)</f>
        <v>0</v>
      </c>
      <c r="AF171" s="33">
        <f ca="1">_xll.DBRW($C$1,$C$2,$C$3,$C$4,$C$6,$C$5,$C$7,AF$1,AF$2,$A171)</f>
        <v>0</v>
      </c>
      <c r="AG171" s="33">
        <f ca="1">_xll.DBRW($C$1,$C$2,$C$3,$C$4,$C$6,$C$5,$C$7,AG$1,AG$2,$A171)</f>
        <v>0</v>
      </c>
      <c r="AH171" s="33">
        <f ca="1">_xll.DBRW($C$1,$C$2,$C$3,$C$4,$C$6,$C$5,$C$7,AH$1,AH$2,$A171)</f>
        <v>0</v>
      </c>
      <c r="AI171" s="33">
        <f ca="1">_xll.DBRW($C$1,$C$2,$C$3,$C$4,$C$6,$C$5,$C$7,AI$1,AI$2,$A171)</f>
        <v>0</v>
      </c>
      <c r="AJ171" s="33">
        <f ca="1">_xll.DBRW($C$1,$C$2,$C$3,$C$4,$C$6,$C$5,$C$7,AJ$1,AJ$2,$A171)</f>
        <v>0</v>
      </c>
      <c r="AK171" s="33">
        <f ca="1">_xll.DBRW($C$1,$C$2,$C$3,$C$4,$C$6,$C$5,$C$7,AK$1,AK$2,$A171)</f>
        <v>0</v>
      </c>
      <c r="AL171" s="33">
        <f ca="1">_xll.DBRW($C$1,$C$2,$C$3,$C$4,$C$6,$C$5,$C$7,AL$1,AL$2,$A171)</f>
        <v>0</v>
      </c>
      <c r="AM171" s="33">
        <f ca="1">_xll.DBRW($C$1,$C$2,$C$3,$C$4,$C$6,$C$5,$C$7,AM$1,AM$2,$A171)</f>
        <v>0</v>
      </c>
      <c r="AN171" s="33">
        <f ca="1">_xll.DBRW($C$1,$C$2,$C$3,$C$4,$C$6,$C$5,$C$7,AN$1,AN$2,$A171)</f>
        <v>0</v>
      </c>
      <c r="AO171" s="33">
        <f ca="1">_xll.DBRW($C$1,$C$2,$C$3,$C$4,$C$6,$C$5,$C$7,AO$1,AO$2,$A171)</f>
        <v>0</v>
      </c>
      <c r="AP171" s="33">
        <f ca="1">_xll.DBRW($C$1,$C$2,$C$3,$C$4,$C$6,$C$5,$C$7,AP$1,AP$2,$A171)</f>
        <v>0</v>
      </c>
      <c r="AQ171" s="33">
        <f ca="1">_xll.DBRW($C$1,$C$2,$C$3,$C$4,$C$6,$C$5,$C$7,AQ$1,AQ$2,$A171)</f>
        <v>0</v>
      </c>
      <c r="AR171" s="33">
        <f ca="1">_xll.DBRW($C$1,$C$2,$C$3,$C$4,$C$6,$C$5,$C$7,AR$1,AR$2,$A171)</f>
        <v>0</v>
      </c>
      <c r="AS171" s="33">
        <f ca="1">_xll.DBRW($C$1,$C$2,$C$3,$C$4,$C$6,$C$5,$C$7,AS$1,AS$2,$A171)</f>
        <v>0</v>
      </c>
      <c r="AT171" s="33">
        <f ca="1">_xll.DBRW($C$1,$C$2,$C$3,$C$4,$C$6,$C$5,$C$7,AT$1,AT$2,$A171)</f>
        <v>0</v>
      </c>
      <c r="AU171" s="33">
        <f ca="1">_xll.DBRW($C$1,$C$2,$C$3,$C$4,$C$6,$C$5,$C$7,AU$1,AU$2,$A171)</f>
        <v>0</v>
      </c>
      <c r="AV171" s="33">
        <f ca="1">_xll.DBRW($C$1,$C$2,$C$3,$C$4,$C$6,$C$5,$C$7,AV$1,AV$2,$A171)</f>
        <v>0</v>
      </c>
      <c r="AW171" s="33">
        <f ca="1">_xll.DBRW($C$1,$C$2,$C$3,$C$4,$C$6,$C$5,$C$7,AW$1,AW$2,$A171)</f>
        <v>0</v>
      </c>
      <c r="AX171" s="33">
        <f ca="1">_xll.DBRW($C$1,$C$2,$C$3,$C$4,$C$6,$C$5,$C$7,AX$1,AX$2,$A171)</f>
        <v>0</v>
      </c>
      <c r="AY171" s="33">
        <f ca="1">_xll.DBRW($C$1,$C$2,$C$3,$C$4,$C$6,$C$5,$C$7,AY$1,AY$2,$A171)</f>
        <v>0</v>
      </c>
    </row>
    <row r="172" spans="1:51" ht="15.75" hidden="1" customHeight="1" outlineLevel="2">
      <c r="A172" s="1" t="s">
        <v>262</v>
      </c>
      <c r="C172" s="109"/>
      <c r="E172" s="9" t="str">
        <f ca="1">_xll.DBRW(Server&amp;"}ElementAttributes_Indicator",A172,"code_English")</f>
        <v>PL1150_MI_10 - Impairment (other than working capital) and provisions - related to staff costs (MI)</v>
      </c>
      <c r="F172" s="33">
        <f ca="1">_xll.DBRW($C$1,$C$2,$C$3,$C$4,$C$6,$C$5,$C$7,F$1,F$2,$A172)</f>
        <v>0</v>
      </c>
      <c r="G172" s="33">
        <f ca="1">_xll.DBRW($C$1,$C$2,$C$3,$C$4,$C$6,$C$5,$C$7,G$1,G$2,$A172)</f>
        <v>0</v>
      </c>
      <c r="H172" s="33">
        <f ca="1">_xll.DBRW($C$1,$C$2,$C$3,$C$4,$C$6,$C$5,$C$7,H$1,H$2,$A172)</f>
        <v>0</v>
      </c>
      <c r="I172" s="33">
        <f ca="1">_xll.DBRW($C$1,$C$2,$C$3,$C$4,$C$6,$C$5,$C$7,I$1,I$2,$A172)</f>
        <v>0</v>
      </c>
      <c r="J172" s="33">
        <f ca="1">_xll.DBRW($C$1,$C$2,$C$3,$C$4,$C$6,$C$5,$C$7,J$1,J$2,$A172)</f>
        <v>0</v>
      </c>
      <c r="K172" s="33">
        <f ca="1">_xll.DBRW($C$1,$C$2,$C$3,$C$4,$C$6,$C$5,$C$7,K$1,K$2,$A172)</f>
        <v>0</v>
      </c>
      <c r="L172" s="33">
        <f ca="1">_xll.DBRW($C$1,$C$2,$C$3,$C$4,$C$6,$C$5,$C$7,L$1,L$2,$A172)</f>
        <v>0</v>
      </c>
      <c r="M172" s="33">
        <f ca="1">_xll.DBRW($C$1,$C$2,$C$3,$C$4,$C$6,$C$5,$C$7,M$1,M$2,$A172)</f>
        <v>0</v>
      </c>
      <c r="N172" s="33">
        <f ca="1">_xll.DBRW($C$1,$C$2,$C$3,$C$4,$C$6,$C$5,$C$7,N$1,N$2,$A172)</f>
        <v>0</v>
      </c>
      <c r="O172" s="33">
        <f ca="1">_xll.DBRW($C$1,$C$2,$C$3,$C$4,$C$6,$C$5,$C$7,O$1,O$2,$A172)</f>
        <v>0</v>
      </c>
      <c r="P172" s="33">
        <f ca="1">_xll.DBRW($C$1,$C$2,$C$3,$C$4,$C$6,$C$5,$C$7,P$1,P$2,$A172)</f>
        <v>0</v>
      </c>
      <c r="Q172" s="33">
        <f ca="1">_xll.DBRW($C$1,$C$2,$C$3,$C$4,$C$6,$C$5,$C$7,Q$1,Q$2,$A172)</f>
        <v>0</v>
      </c>
      <c r="R172" s="33">
        <f ca="1">_xll.DBRW($C$1,$C$2,$C$3,$C$4,$C$6,$C$5,$C$7,R$1,R$2,$A172)</f>
        <v>0</v>
      </c>
      <c r="S172" s="33">
        <f ca="1">_xll.DBRW($C$1,$C$2,$C$3,$C$4,$C$6,$C$5,$C$7,S$1,S$2,$A172)</f>
        <v>0</v>
      </c>
      <c r="T172" s="33">
        <f ca="1">_xll.DBRW($C$1,$C$2,$C$3,$C$4,$C$6,$C$5,$C$7,T$1,T$2,$A172)</f>
        <v>0</v>
      </c>
      <c r="U172" s="33">
        <f ca="1">_xll.DBRW($C$1,$C$2,$C$3,$C$4,$C$6,$C$5,$C$7,U$1,U$2,$A172)</f>
        <v>0</v>
      </c>
      <c r="V172" s="33">
        <f ca="1">_xll.DBRW($C$1,$C$2,$C$3,$C$4,$C$6,$C$5,$C$7,V$1,V$2,$A172)</f>
        <v>0</v>
      </c>
      <c r="W172" s="33">
        <f ca="1">_xll.DBRW($C$1,$C$2,$C$3,$C$4,$C$6,$C$5,$C$7,W$1,W$2,$A172)</f>
        <v>0</v>
      </c>
      <c r="X172" s="33">
        <f ca="1">_xll.DBRW($C$1,$C$2,$C$3,$C$4,$C$6,$C$5,$C$7,X$1,X$2,$A172)</f>
        <v>0</v>
      </c>
      <c r="Y172" s="33">
        <f ca="1">_xll.DBRW($C$1,$C$2,$C$3,$C$4,$C$6,$C$5,$C$7,Y$1,Y$2,$A172)</f>
        <v>0</v>
      </c>
      <c r="Z172" s="33">
        <f ca="1">_xll.DBRW($C$1,$C$2,$C$3,$C$4,$C$6,$C$5,$C$7,Z$1,Z$2,$A172)</f>
        <v>0</v>
      </c>
      <c r="AA172" s="33">
        <f ca="1">_xll.DBRW($C$1,$C$2,$C$3,$C$4,$C$6,$C$5,$C$7,AA$1,AA$2,$A172)</f>
        <v>0</v>
      </c>
      <c r="AB172" s="33">
        <f ca="1">_xll.DBRW($C$1,$C$2,$C$3,$C$4,$C$6,$C$5,$C$7,AB$1,AB$2,$A172)</f>
        <v>0</v>
      </c>
      <c r="AC172" s="33">
        <f ca="1">_xll.DBRW($C$1,$C$2,$C$3,$C$4,$C$6,$C$5,$C$7,AC$1,AC$2,$A172)</f>
        <v>0</v>
      </c>
      <c r="AD172" s="33">
        <f ca="1">_xll.DBRW($C$1,$C$2,$C$3,$C$4,$C$6,$C$5,$C$7,AD$1,AD$2,$A172)</f>
        <v>0</v>
      </c>
      <c r="AE172" s="33">
        <f ca="1">_xll.DBRW($C$1,$C$2,$C$3,$C$4,$C$6,$C$5,$C$7,AE$1,AE$2,$A172)</f>
        <v>0</v>
      </c>
      <c r="AF172" s="33">
        <f ca="1">_xll.DBRW($C$1,$C$2,$C$3,$C$4,$C$6,$C$5,$C$7,AF$1,AF$2,$A172)</f>
        <v>0</v>
      </c>
      <c r="AG172" s="33">
        <f ca="1">_xll.DBRW($C$1,$C$2,$C$3,$C$4,$C$6,$C$5,$C$7,AG$1,AG$2,$A172)</f>
        <v>0</v>
      </c>
      <c r="AH172" s="33">
        <f ca="1">_xll.DBRW($C$1,$C$2,$C$3,$C$4,$C$6,$C$5,$C$7,AH$1,AH$2,$A172)</f>
        <v>0</v>
      </c>
      <c r="AI172" s="33">
        <f ca="1">_xll.DBRW($C$1,$C$2,$C$3,$C$4,$C$6,$C$5,$C$7,AI$1,AI$2,$A172)</f>
        <v>0</v>
      </c>
      <c r="AJ172" s="33">
        <f ca="1">_xll.DBRW($C$1,$C$2,$C$3,$C$4,$C$6,$C$5,$C$7,AJ$1,AJ$2,$A172)</f>
        <v>0</v>
      </c>
      <c r="AK172" s="33">
        <f ca="1">_xll.DBRW($C$1,$C$2,$C$3,$C$4,$C$6,$C$5,$C$7,AK$1,AK$2,$A172)</f>
        <v>0</v>
      </c>
      <c r="AL172" s="33">
        <f ca="1">_xll.DBRW($C$1,$C$2,$C$3,$C$4,$C$6,$C$5,$C$7,AL$1,AL$2,$A172)</f>
        <v>0</v>
      </c>
      <c r="AM172" s="33">
        <f ca="1">_xll.DBRW($C$1,$C$2,$C$3,$C$4,$C$6,$C$5,$C$7,AM$1,AM$2,$A172)</f>
        <v>0</v>
      </c>
      <c r="AN172" s="33">
        <f ca="1">_xll.DBRW($C$1,$C$2,$C$3,$C$4,$C$6,$C$5,$C$7,AN$1,AN$2,$A172)</f>
        <v>0</v>
      </c>
      <c r="AO172" s="33">
        <f ca="1">_xll.DBRW($C$1,$C$2,$C$3,$C$4,$C$6,$C$5,$C$7,AO$1,AO$2,$A172)</f>
        <v>0</v>
      </c>
      <c r="AP172" s="33">
        <f ca="1">_xll.DBRW($C$1,$C$2,$C$3,$C$4,$C$6,$C$5,$C$7,AP$1,AP$2,$A172)</f>
        <v>0</v>
      </c>
      <c r="AQ172" s="33">
        <f ca="1">_xll.DBRW($C$1,$C$2,$C$3,$C$4,$C$6,$C$5,$C$7,AQ$1,AQ$2,$A172)</f>
        <v>0</v>
      </c>
      <c r="AR172" s="33">
        <f ca="1">_xll.DBRW($C$1,$C$2,$C$3,$C$4,$C$6,$C$5,$C$7,AR$1,AR$2,$A172)</f>
        <v>0</v>
      </c>
      <c r="AS172" s="33">
        <f ca="1">_xll.DBRW($C$1,$C$2,$C$3,$C$4,$C$6,$C$5,$C$7,AS$1,AS$2,$A172)</f>
        <v>0</v>
      </c>
      <c r="AT172" s="33">
        <f ca="1">_xll.DBRW($C$1,$C$2,$C$3,$C$4,$C$6,$C$5,$C$7,AT$1,AT$2,$A172)</f>
        <v>0</v>
      </c>
      <c r="AU172" s="33">
        <f ca="1">_xll.DBRW($C$1,$C$2,$C$3,$C$4,$C$6,$C$5,$C$7,AU$1,AU$2,$A172)</f>
        <v>0</v>
      </c>
      <c r="AV172" s="33">
        <f ca="1">_xll.DBRW($C$1,$C$2,$C$3,$C$4,$C$6,$C$5,$C$7,AV$1,AV$2,$A172)</f>
        <v>0</v>
      </c>
      <c r="AW172" s="33">
        <f ca="1">_xll.DBRW($C$1,$C$2,$C$3,$C$4,$C$6,$C$5,$C$7,AW$1,AW$2,$A172)</f>
        <v>0</v>
      </c>
      <c r="AX172" s="33">
        <f ca="1">_xll.DBRW($C$1,$C$2,$C$3,$C$4,$C$6,$C$5,$C$7,AX$1,AX$2,$A172)</f>
        <v>0</v>
      </c>
      <c r="AY172" s="33">
        <f ca="1">_xll.DBRW($C$1,$C$2,$C$3,$C$4,$C$6,$C$5,$C$7,AY$1,AY$2,$A172)</f>
        <v>0</v>
      </c>
    </row>
    <row r="173" spans="1:51" ht="15.5" hidden="1" outlineLevel="1" collapsed="1">
      <c r="A173" s="1" t="s">
        <v>142</v>
      </c>
      <c r="C173" s="109"/>
      <c r="E173" s="15" t="s">
        <v>41</v>
      </c>
      <c r="F173" s="34">
        <f t="shared" ref="F173:L173" ca="1" si="103">SUM(F156:F172)</f>
        <v>0</v>
      </c>
      <c r="G173" s="34">
        <f t="shared" ca="1" si="103"/>
        <v>0</v>
      </c>
      <c r="H173" s="34">
        <f t="shared" ca="1" si="103"/>
        <v>0</v>
      </c>
      <c r="I173" s="34">
        <f t="shared" ca="1" si="103"/>
        <v>0</v>
      </c>
      <c r="J173" s="34">
        <f t="shared" ca="1" si="103"/>
        <v>0</v>
      </c>
      <c r="K173" s="34">
        <f t="shared" ca="1" si="103"/>
        <v>0</v>
      </c>
      <c r="L173" s="34">
        <f t="shared" ca="1" si="103"/>
        <v>0</v>
      </c>
      <c r="M173" s="34">
        <f t="shared" ref="M173:X173" ca="1" si="104">SUM(M156:M172)</f>
        <v>0</v>
      </c>
      <c r="N173" s="34">
        <f t="shared" ca="1" si="104"/>
        <v>0</v>
      </c>
      <c r="O173" s="34">
        <f t="shared" ca="1" si="104"/>
        <v>0</v>
      </c>
      <c r="P173" s="34">
        <f t="shared" ca="1" si="104"/>
        <v>0</v>
      </c>
      <c r="Q173" s="34">
        <f t="shared" ca="1" si="104"/>
        <v>0</v>
      </c>
      <c r="R173" s="34">
        <f t="shared" ca="1" si="104"/>
        <v>0</v>
      </c>
      <c r="S173" s="34">
        <f t="shared" ca="1" si="104"/>
        <v>0</v>
      </c>
      <c r="T173" s="34">
        <f t="shared" ca="1" si="104"/>
        <v>0</v>
      </c>
      <c r="U173" s="34">
        <f t="shared" ca="1" si="104"/>
        <v>0</v>
      </c>
      <c r="V173" s="34">
        <f t="shared" ca="1" si="104"/>
        <v>0</v>
      </c>
      <c r="W173" s="34">
        <f t="shared" ca="1" si="104"/>
        <v>0</v>
      </c>
      <c r="X173" s="34">
        <f t="shared" ca="1" si="104"/>
        <v>0</v>
      </c>
      <c r="Y173" s="34">
        <f ca="1">SUM(Y156:Y172)</f>
        <v>0</v>
      </c>
      <c r="Z173" s="34">
        <f t="shared" ref="Z173:AK173" ca="1" si="105">SUM(Z156:Z172)</f>
        <v>0</v>
      </c>
      <c r="AA173" s="34">
        <f t="shared" ca="1" si="105"/>
        <v>0</v>
      </c>
      <c r="AB173" s="34">
        <f t="shared" ca="1" si="105"/>
        <v>0</v>
      </c>
      <c r="AC173" s="34">
        <f t="shared" ca="1" si="105"/>
        <v>0</v>
      </c>
      <c r="AD173" s="34">
        <f t="shared" ca="1" si="105"/>
        <v>0</v>
      </c>
      <c r="AE173" s="34">
        <f t="shared" ca="1" si="105"/>
        <v>0</v>
      </c>
      <c r="AF173" s="34">
        <f t="shared" ca="1" si="105"/>
        <v>0</v>
      </c>
      <c r="AG173" s="34">
        <f t="shared" ca="1" si="105"/>
        <v>0</v>
      </c>
      <c r="AH173" s="34">
        <f t="shared" ca="1" si="105"/>
        <v>0</v>
      </c>
      <c r="AI173" s="34">
        <f t="shared" ca="1" si="105"/>
        <v>0</v>
      </c>
      <c r="AJ173" s="34">
        <f t="shared" ca="1" si="105"/>
        <v>0</v>
      </c>
      <c r="AK173" s="34">
        <f t="shared" ca="1" si="105"/>
        <v>0</v>
      </c>
      <c r="AL173" s="34">
        <f ca="1">SUM(AL156:AL172)</f>
        <v>0</v>
      </c>
      <c r="AM173" s="34">
        <f t="shared" ref="AM173:AX173" ca="1" si="106">SUM(AM156:AM172)</f>
        <v>0</v>
      </c>
      <c r="AN173" s="34">
        <f t="shared" ca="1" si="106"/>
        <v>0</v>
      </c>
      <c r="AO173" s="34">
        <f t="shared" ca="1" si="106"/>
        <v>0</v>
      </c>
      <c r="AP173" s="34">
        <f t="shared" ca="1" si="106"/>
        <v>0</v>
      </c>
      <c r="AQ173" s="34">
        <f t="shared" ca="1" si="106"/>
        <v>0</v>
      </c>
      <c r="AR173" s="34">
        <f t="shared" ca="1" si="106"/>
        <v>0</v>
      </c>
      <c r="AS173" s="34">
        <f t="shared" ca="1" si="106"/>
        <v>0</v>
      </c>
      <c r="AT173" s="34">
        <f t="shared" ca="1" si="106"/>
        <v>0</v>
      </c>
      <c r="AU173" s="34">
        <f t="shared" ca="1" si="106"/>
        <v>0</v>
      </c>
      <c r="AV173" s="34">
        <f t="shared" ca="1" si="106"/>
        <v>0</v>
      </c>
      <c r="AW173" s="34">
        <f t="shared" ca="1" si="106"/>
        <v>0</v>
      </c>
      <c r="AX173" s="34">
        <f t="shared" ca="1" si="106"/>
        <v>0</v>
      </c>
      <c r="AY173" s="34">
        <f ca="1">SUM(AY156:AY172)</f>
        <v>0</v>
      </c>
    </row>
    <row r="174" spans="1:51" ht="15.75" hidden="1" customHeight="1" outlineLevel="2">
      <c r="A174" s="1" t="s">
        <v>263</v>
      </c>
      <c r="C174" s="109"/>
      <c r="E174" s="9" t="str">
        <f ca="1">_xll.DBRW(Server&amp;"}ElementAttributes_Indicator",A174,"code_English")</f>
        <v>PL1100_AC - Capitalized production recognized as inventory, change in inventories (AC)</v>
      </c>
      <c r="F174" s="33">
        <f ca="1">_xll.DBRW($C$1,$C$2,$C$3,$C$4,$C$6,$C$5,$C$7,F$1,F$2,$A174)</f>
        <v>0</v>
      </c>
      <c r="G174" s="33">
        <f ca="1">_xll.DBRW($C$1,$C$2,$C$3,$C$4,$C$6,$C$5,$C$7,G$1,G$2,$A174)</f>
        <v>0</v>
      </c>
      <c r="H174" s="33">
        <f ca="1">_xll.DBRW($C$1,$C$2,$C$3,$C$4,$C$6,$C$5,$C$7,H$1,H$2,$A174)</f>
        <v>0</v>
      </c>
      <c r="I174" s="33">
        <f ca="1">_xll.DBRW($C$1,$C$2,$C$3,$C$4,$C$6,$C$5,$C$7,I$1,I$2,$A174)</f>
        <v>0</v>
      </c>
      <c r="J174" s="33">
        <f ca="1">_xll.DBRW($C$1,$C$2,$C$3,$C$4,$C$6,$C$5,$C$7,J$1,J$2,$A174)</f>
        <v>0</v>
      </c>
      <c r="K174" s="33">
        <f ca="1">_xll.DBRW($C$1,$C$2,$C$3,$C$4,$C$6,$C$5,$C$7,K$1,K$2,$A174)</f>
        <v>0</v>
      </c>
      <c r="L174" s="33">
        <f ca="1">_xll.DBRW($C$1,$C$2,$C$3,$C$4,$C$6,$C$5,$C$7,L$1,L$2,$A174)</f>
        <v>0</v>
      </c>
      <c r="M174" s="33">
        <f ca="1">_xll.DBRW($C$1,$C$2,$C$3,$C$4,$C$6,$C$5,$C$7,M$1,M$2,$A174)</f>
        <v>0</v>
      </c>
      <c r="N174" s="33">
        <f ca="1">_xll.DBRW($C$1,$C$2,$C$3,$C$4,$C$6,$C$5,$C$7,N$1,N$2,$A174)</f>
        <v>0</v>
      </c>
      <c r="O174" s="33">
        <f ca="1">_xll.DBRW($C$1,$C$2,$C$3,$C$4,$C$6,$C$5,$C$7,O$1,O$2,$A174)</f>
        <v>0</v>
      </c>
      <c r="P174" s="33">
        <f ca="1">_xll.DBRW($C$1,$C$2,$C$3,$C$4,$C$6,$C$5,$C$7,P$1,P$2,$A174)</f>
        <v>0</v>
      </c>
      <c r="Q174" s="33">
        <f ca="1">_xll.DBRW($C$1,$C$2,$C$3,$C$4,$C$6,$C$5,$C$7,Q$1,Q$2,$A174)</f>
        <v>0</v>
      </c>
      <c r="R174" s="33">
        <f ca="1">_xll.DBRW($C$1,$C$2,$C$3,$C$4,$C$6,$C$5,$C$7,R$1,R$2,$A174)</f>
        <v>0</v>
      </c>
      <c r="S174" s="33">
        <f ca="1">_xll.DBRW($C$1,$C$2,$C$3,$C$4,$C$6,$C$5,$C$7,S$1,S$2,$A174)</f>
        <v>0</v>
      </c>
      <c r="T174" s="33">
        <f ca="1">_xll.DBRW($C$1,$C$2,$C$3,$C$4,$C$6,$C$5,$C$7,T$1,T$2,$A174)</f>
        <v>0</v>
      </c>
      <c r="U174" s="33">
        <f ca="1">_xll.DBRW($C$1,$C$2,$C$3,$C$4,$C$6,$C$5,$C$7,U$1,U$2,$A174)</f>
        <v>0</v>
      </c>
      <c r="V174" s="33">
        <f ca="1">_xll.DBRW($C$1,$C$2,$C$3,$C$4,$C$6,$C$5,$C$7,V$1,V$2,$A174)</f>
        <v>0</v>
      </c>
      <c r="W174" s="33">
        <f ca="1">_xll.DBRW($C$1,$C$2,$C$3,$C$4,$C$6,$C$5,$C$7,W$1,W$2,$A174)</f>
        <v>0</v>
      </c>
      <c r="X174" s="33">
        <f ca="1">_xll.DBRW($C$1,$C$2,$C$3,$C$4,$C$6,$C$5,$C$7,X$1,X$2,$A174)</f>
        <v>0</v>
      </c>
      <c r="Y174" s="33">
        <f ca="1">_xll.DBRW($C$1,$C$2,$C$3,$C$4,$C$6,$C$5,$C$7,Y$1,Y$2,$A174)</f>
        <v>0</v>
      </c>
      <c r="Z174" s="33">
        <f ca="1">_xll.DBRW($C$1,$C$2,$C$3,$C$4,$C$6,$C$5,$C$7,Z$1,Z$2,$A174)</f>
        <v>0</v>
      </c>
      <c r="AA174" s="33">
        <f ca="1">_xll.DBRW($C$1,$C$2,$C$3,$C$4,$C$6,$C$5,$C$7,AA$1,AA$2,$A174)</f>
        <v>0</v>
      </c>
      <c r="AB174" s="33">
        <f ca="1">_xll.DBRW($C$1,$C$2,$C$3,$C$4,$C$6,$C$5,$C$7,AB$1,AB$2,$A174)</f>
        <v>0</v>
      </c>
      <c r="AC174" s="33">
        <f ca="1">_xll.DBRW($C$1,$C$2,$C$3,$C$4,$C$6,$C$5,$C$7,AC$1,AC$2,$A174)</f>
        <v>0</v>
      </c>
      <c r="AD174" s="33">
        <f ca="1">_xll.DBRW($C$1,$C$2,$C$3,$C$4,$C$6,$C$5,$C$7,AD$1,AD$2,$A174)</f>
        <v>0</v>
      </c>
      <c r="AE174" s="33">
        <f ca="1">_xll.DBRW($C$1,$C$2,$C$3,$C$4,$C$6,$C$5,$C$7,AE$1,AE$2,$A174)</f>
        <v>0</v>
      </c>
      <c r="AF174" s="33">
        <f ca="1">_xll.DBRW($C$1,$C$2,$C$3,$C$4,$C$6,$C$5,$C$7,AF$1,AF$2,$A174)</f>
        <v>0</v>
      </c>
      <c r="AG174" s="33">
        <f ca="1">_xll.DBRW($C$1,$C$2,$C$3,$C$4,$C$6,$C$5,$C$7,AG$1,AG$2,$A174)</f>
        <v>0</v>
      </c>
      <c r="AH174" s="33">
        <f ca="1">_xll.DBRW($C$1,$C$2,$C$3,$C$4,$C$6,$C$5,$C$7,AH$1,AH$2,$A174)</f>
        <v>0</v>
      </c>
      <c r="AI174" s="33">
        <f ca="1">_xll.DBRW($C$1,$C$2,$C$3,$C$4,$C$6,$C$5,$C$7,AI$1,AI$2,$A174)</f>
        <v>0</v>
      </c>
      <c r="AJ174" s="33">
        <f ca="1">_xll.DBRW($C$1,$C$2,$C$3,$C$4,$C$6,$C$5,$C$7,AJ$1,AJ$2,$A174)</f>
        <v>0</v>
      </c>
      <c r="AK174" s="33">
        <f ca="1">_xll.DBRW($C$1,$C$2,$C$3,$C$4,$C$6,$C$5,$C$7,AK$1,AK$2,$A174)</f>
        <v>0</v>
      </c>
      <c r="AL174" s="33">
        <f ca="1">_xll.DBRW($C$1,$C$2,$C$3,$C$4,$C$6,$C$5,$C$7,AL$1,AL$2,$A174)</f>
        <v>0</v>
      </c>
      <c r="AM174" s="33">
        <f ca="1">_xll.DBRW($C$1,$C$2,$C$3,$C$4,$C$6,$C$5,$C$7,AM$1,AM$2,$A174)</f>
        <v>0</v>
      </c>
      <c r="AN174" s="33">
        <f ca="1">_xll.DBRW($C$1,$C$2,$C$3,$C$4,$C$6,$C$5,$C$7,AN$1,AN$2,$A174)</f>
        <v>0</v>
      </c>
      <c r="AO174" s="33">
        <f ca="1">_xll.DBRW($C$1,$C$2,$C$3,$C$4,$C$6,$C$5,$C$7,AO$1,AO$2,$A174)</f>
        <v>0</v>
      </c>
      <c r="AP174" s="33">
        <f ca="1">_xll.DBRW($C$1,$C$2,$C$3,$C$4,$C$6,$C$5,$C$7,AP$1,AP$2,$A174)</f>
        <v>0</v>
      </c>
      <c r="AQ174" s="33">
        <f ca="1">_xll.DBRW($C$1,$C$2,$C$3,$C$4,$C$6,$C$5,$C$7,AQ$1,AQ$2,$A174)</f>
        <v>0</v>
      </c>
      <c r="AR174" s="33">
        <f ca="1">_xll.DBRW($C$1,$C$2,$C$3,$C$4,$C$6,$C$5,$C$7,AR$1,AR$2,$A174)</f>
        <v>0</v>
      </c>
      <c r="AS174" s="33">
        <f ca="1">_xll.DBRW($C$1,$C$2,$C$3,$C$4,$C$6,$C$5,$C$7,AS$1,AS$2,$A174)</f>
        <v>0</v>
      </c>
      <c r="AT174" s="33">
        <f ca="1">_xll.DBRW($C$1,$C$2,$C$3,$C$4,$C$6,$C$5,$C$7,AT$1,AT$2,$A174)</f>
        <v>0</v>
      </c>
      <c r="AU174" s="33">
        <f ca="1">_xll.DBRW($C$1,$C$2,$C$3,$C$4,$C$6,$C$5,$C$7,AU$1,AU$2,$A174)</f>
        <v>0</v>
      </c>
      <c r="AV174" s="33">
        <f ca="1">_xll.DBRW($C$1,$C$2,$C$3,$C$4,$C$6,$C$5,$C$7,AV$1,AV$2,$A174)</f>
        <v>0</v>
      </c>
      <c r="AW174" s="33">
        <f ca="1">_xll.DBRW($C$1,$C$2,$C$3,$C$4,$C$6,$C$5,$C$7,AW$1,AW$2,$A174)</f>
        <v>0</v>
      </c>
      <c r="AX174" s="33">
        <f ca="1">_xll.DBRW($C$1,$C$2,$C$3,$C$4,$C$6,$C$5,$C$7,AX$1,AX$2,$A174)</f>
        <v>0</v>
      </c>
      <c r="AY174" s="33">
        <f ca="1">_xll.DBRW($C$1,$C$2,$C$3,$C$4,$C$6,$C$5,$C$7,AY$1,AY$2,$A174)</f>
        <v>0</v>
      </c>
    </row>
    <row r="175" spans="1:51" ht="15.75" hidden="1" customHeight="1" outlineLevel="2">
      <c r="A175" s="1" t="s">
        <v>264</v>
      </c>
      <c r="C175" s="109"/>
      <c r="E175" s="9" t="str">
        <f ca="1">_xll.DBRW(Server&amp;"}ElementAttributes_Indicator",A175,"code_English")</f>
        <v>PL1110_AC_20 - Health insurance costs (COS)</v>
      </c>
      <c r="F175" s="33">
        <f ca="1">_xll.DBRW($C$1,$C$2,$C$3,$C$4,$C$6,$C$5,$C$7,F$1,F$2,$A175)</f>
        <v>0</v>
      </c>
      <c r="G175" s="33">
        <f ca="1">_xll.DBRW($C$1,$C$2,$C$3,$C$4,$C$6,$C$5,$C$7,G$1,G$2,$A175)</f>
        <v>0</v>
      </c>
      <c r="H175" s="33">
        <f ca="1">_xll.DBRW($C$1,$C$2,$C$3,$C$4,$C$6,$C$5,$C$7,H$1,H$2,$A175)</f>
        <v>0</v>
      </c>
      <c r="I175" s="33">
        <f ca="1">_xll.DBRW($C$1,$C$2,$C$3,$C$4,$C$6,$C$5,$C$7,I$1,I$2,$A175)</f>
        <v>0</v>
      </c>
      <c r="J175" s="33">
        <f ca="1">_xll.DBRW($C$1,$C$2,$C$3,$C$4,$C$6,$C$5,$C$7,J$1,J$2,$A175)</f>
        <v>0</v>
      </c>
      <c r="K175" s="33">
        <f ca="1">_xll.DBRW($C$1,$C$2,$C$3,$C$4,$C$6,$C$5,$C$7,K$1,K$2,$A175)</f>
        <v>0</v>
      </c>
      <c r="L175" s="33">
        <f ca="1">_xll.DBRW($C$1,$C$2,$C$3,$C$4,$C$6,$C$5,$C$7,L$1,L$2,$A175)</f>
        <v>0</v>
      </c>
      <c r="M175" s="33">
        <f ca="1">_xll.DBRW($C$1,$C$2,$C$3,$C$4,$C$6,$C$5,$C$7,M$1,M$2,$A175)</f>
        <v>0</v>
      </c>
      <c r="N175" s="33">
        <f ca="1">_xll.DBRW($C$1,$C$2,$C$3,$C$4,$C$6,$C$5,$C$7,N$1,N$2,$A175)</f>
        <v>0</v>
      </c>
      <c r="O175" s="33">
        <f ca="1">_xll.DBRW($C$1,$C$2,$C$3,$C$4,$C$6,$C$5,$C$7,O$1,O$2,$A175)</f>
        <v>0</v>
      </c>
      <c r="P175" s="33">
        <f ca="1">_xll.DBRW($C$1,$C$2,$C$3,$C$4,$C$6,$C$5,$C$7,P$1,P$2,$A175)</f>
        <v>0</v>
      </c>
      <c r="Q175" s="33">
        <f ca="1">_xll.DBRW($C$1,$C$2,$C$3,$C$4,$C$6,$C$5,$C$7,Q$1,Q$2,$A175)</f>
        <v>0</v>
      </c>
      <c r="R175" s="33">
        <f ca="1">_xll.DBRW($C$1,$C$2,$C$3,$C$4,$C$6,$C$5,$C$7,R$1,R$2,$A175)</f>
        <v>0</v>
      </c>
      <c r="S175" s="33">
        <f ca="1">_xll.DBRW($C$1,$C$2,$C$3,$C$4,$C$6,$C$5,$C$7,S$1,S$2,$A175)</f>
        <v>0</v>
      </c>
      <c r="T175" s="33">
        <f ca="1">_xll.DBRW($C$1,$C$2,$C$3,$C$4,$C$6,$C$5,$C$7,T$1,T$2,$A175)</f>
        <v>0</v>
      </c>
      <c r="U175" s="33">
        <f ca="1">_xll.DBRW($C$1,$C$2,$C$3,$C$4,$C$6,$C$5,$C$7,U$1,U$2,$A175)</f>
        <v>0</v>
      </c>
      <c r="V175" s="33">
        <f ca="1">_xll.DBRW($C$1,$C$2,$C$3,$C$4,$C$6,$C$5,$C$7,V$1,V$2,$A175)</f>
        <v>0</v>
      </c>
      <c r="W175" s="33">
        <f ca="1">_xll.DBRW($C$1,$C$2,$C$3,$C$4,$C$6,$C$5,$C$7,W$1,W$2,$A175)</f>
        <v>0</v>
      </c>
      <c r="X175" s="33">
        <f ca="1">_xll.DBRW($C$1,$C$2,$C$3,$C$4,$C$6,$C$5,$C$7,X$1,X$2,$A175)</f>
        <v>0</v>
      </c>
      <c r="Y175" s="33">
        <f ca="1">_xll.DBRW($C$1,$C$2,$C$3,$C$4,$C$6,$C$5,$C$7,Y$1,Y$2,$A175)</f>
        <v>0</v>
      </c>
      <c r="Z175" s="33">
        <f ca="1">_xll.DBRW($C$1,$C$2,$C$3,$C$4,$C$6,$C$5,$C$7,Z$1,Z$2,$A175)</f>
        <v>0</v>
      </c>
      <c r="AA175" s="33">
        <f ca="1">_xll.DBRW($C$1,$C$2,$C$3,$C$4,$C$6,$C$5,$C$7,AA$1,AA$2,$A175)</f>
        <v>0</v>
      </c>
      <c r="AB175" s="33">
        <f ca="1">_xll.DBRW($C$1,$C$2,$C$3,$C$4,$C$6,$C$5,$C$7,AB$1,AB$2,$A175)</f>
        <v>0</v>
      </c>
      <c r="AC175" s="33">
        <f ca="1">_xll.DBRW($C$1,$C$2,$C$3,$C$4,$C$6,$C$5,$C$7,AC$1,AC$2,$A175)</f>
        <v>0</v>
      </c>
      <c r="AD175" s="33">
        <f ca="1">_xll.DBRW($C$1,$C$2,$C$3,$C$4,$C$6,$C$5,$C$7,AD$1,AD$2,$A175)</f>
        <v>0</v>
      </c>
      <c r="AE175" s="33">
        <f ca="1">_xll.DBRW($C$1,$C$2,$C$3,$C$4,$C$6,$C$5,$C$7,AE$1,AE$2,$A175)</f>
        <v>0</v>
      </c>
      <c r="AF175" s="33">
        <f ca="1">_xll.DBRW($C$1,$C$2,$C$3,$C$4,$C$6,$C$5,$C$7,AF$1,AF$2,$A175)</f>
        <v>0</v>
      </c>
      <c r="AG175" s="33">
        <f ca="1">_xll.DBRW($C$1,$C$2,$C$3,$C$4,$C$6,$C$5,$C$7,AG$1,AG$2,$A175)</f>
        <v>0</v>
      </c>
      <c r="AH175" s="33">
        <f ca="1">_xll.DBRW($C$1,$C$2,$C$3,$C$4,$C$6,$C$5,$C$7,AH$1,AH$2,$A175)</f>
        <v>0</v>
      </c>
      <c r="AI175" s="33">
        <f ca="1">_xll.DBRW($C$1,$C$2,$C$3,$C$4,$C$6,$C$5,$C$7,AI$1,AI$2,$A175)</f>
        <v>0</v>
      </c>
      <c r="AJ175" s="33">
        <f ca="1">_xll.DBRW($C$1,$C$2,$C$3,$C$4,$C$6,$C$5,$C$7,AJ$1,AJ$2,$A175)</f>
        <v>0</v>
      </c>
      <c r="AK175" s="33">
        <f ca="1">_xll.DBRW($C$1,$C$2,$C$3,$C$4,$C$6,$C$5,$C$7,AK$1,AK$2,$A175)</f>
        <v>0</v>
      </c>
      <c r="AL175" s="33">
        <f ca="1">_xll.DBRW($C$1,$C$2,$C$3,$C$4,$C$6,$C$5,$C$7,AL$1,AL$2,$A175)</f>
        <v>0</v>
      </c>
      <c r="AM175" s="33">
        <f ca="1">_xll.DBRW($C$1,$C$2,$C$3,$C$4,$C$6,$C$5,$C$7,AM$1,AM$2,$A175)</f>
        <v>0</v>
      </c>
      <c r="AN175" s="33">
        <f ca="1">_xll.DBRW($C$1,$C$2,$C$3,$C$4,$C$6,$C$5,$C$7,AN$1,AN$2,$A175)</f>
        <v>0</v>
      </c>
      <c r="AO175" s="33">
        <f ca="1">_xll.DBRW($C$1,$C$2,$C$3,$C$4,$C$6,$C$5,$C$7,AO$1,AO$2,$A175)</f>
        <v>0</v>
      </c>
      <c r="AP175" s="33">
        <f ca="1">_xll.DBRW($C$1,$C$2,$C$3,$C$4,$C$6,$C$5,$C$7,AP$1,AP$2,$A175)</f>
        <v>0</v>
      </c>
      <c r="AQ175" s="33">
        <f ca="1">_xll.DBRW($C$1,$C$2,$C$3,$C$4,$C$6,$C$5,$C$7,AQ$1,AQ$2,$A175)</f>
        <v>0</v>
      </c>
      <c r="AR175" s="33">
        <f ca="1">_xll.DBRW($C$1,$C$2,$C$3,$C$4,$C$6,$C$5,$C$7,AR$1,AR$2,$A175)</f>
        <v>0</v>
      </c>
      <c r="AS175" s="33">
        <f ca="1">_xll.DBRW($C$1,$C$2,$C$3,$C$4,$C$6,$C$5,$C$7,AS$1,AS$2,$A175)</f>
        <v>0</v>
      </c>
      <c r="AT175" s="33">
        <f ca="1">_xll.DBRW($C$1,$C$2,$C$3,$C$4,$C$6,$C$5,$C$7,AT$1,AT$2,$A175)</f>
        <v>0</v>
      </c>
      <c r="AU175" s="33">
        <f ca="1">_xll.DBRW($C$1,$C$2,$C$3,$C$4,$C$6,$C$5,$C$7,AU$1,AU$2,$A175)</f>
        <v>0</v>
      </c>
      <c r="AV175" s="33">
        <f ca="1">_xll.DBRW($C$1,$C$2,$C$3,$C$4,$C$6,$C$5,$C$7,AV$1,AV$2,$A175)</f>
        <v>0</v>
      </c>
      <c r="AW175" s="33">
        <f ca="1">_xll.DBRW($C$1,$C$2,$C$3,$C$4,$C$6,$C$5,$C$7,AW$1,AW$2,$A175)</f>
        <v>0</v>
      </c>
      <c r="AX175" s="33">
        <f ca="1">_xll.DBRW($C$1,$C$2,$C$3,$C$4,$C$6,$C$5,$C$7,AX$1,AX$2,$A175)</f>
        <v>0</v>
      </c>
      <c r="AY175" s="33">
        <f ca="1">_xll.DBRW($C$1,$C$2,$C$3,$C$4,$C$6,$C$5,$C$7,AY$1,AY$2,$A175)</f>
        <v>0</v>
      </c>
    </row>
    <row r="176" spans="1:51" ht="15.75" hidden="1" customHeight="1" outlineLevel="2">
      <c r="A176" s="1" t="s">
        <v>265</v>
      </c>
      <c r="C176" s="109"/>
      <c r="E176" s="9" t="str">
        <f ca="1">_xll.DBRW(Server&amp;"}ElementAttributes_Indicator",A176,"code_English")</f>
        <v>PL1115_AC_65 - Others (AC)</v>
      </c>
      <c r="F176" s="33">
        <f ca="1">_xll.DBRW($C$1,$C$2,$C$3,$C$4,$C$6,$C$5,$C$7,F$1,F$2,$A176)</f>
        <v>0</v>
      </c>
      <c r="G176" s="33">
        <f ca="1">_xll.DBRW($C$1,$C$2,$C$3,$C$4,$C$6,$C$5,$C$7,G$1,G$2,$A176)</f>
        <v>0</v>
      </c>
      <c r="H176" s="33">
        <f ca="1">_xll.DBRW($C$1,$C$2,$C$3,$C$4,$C$6,$C$5,$C$7,H$1,H$2,$A176)</f>
        <v>0</v>
      </c>
      <c r="I176" s="33">
        <f ca="1">_xll.DBRW($C$1,$C$2,$C$3,$C$4,$C$6,$C$5,$C$7,I$1,I$2,$A176)</f>
        <v>0</v>
      </c>
      <c r="J176" s="33">
        <f ca="1">_xll.DBRW($C$1,$C$2,$C$3,$C$4,$C$6,$C$5,$C$7,J$1,J$2,$A176)</f>
        <v>0</v>
      </c>
      <c r="K176" s="33">
        <f ca="1">_xll.DBRW($C$1,$C$2,$C$3,$C$4,$C$6,$C$5,$C$7,K$1,K$2,$A176)</f>
        <v>0</v>
      </c>
      <c r="L176" s="33">
        <f ca="1">_xll.DBRW($C$1,$C$2,$C$3,$C$4,$C$6,$C$5,$C$7,L$1,L$2,$A176)</f>
        <v>0</v>
      </c>
      <c r="M176" s="33">
        <f ca="1">_xll.DBRW($C$1,$C$2,$C$3,$C$4,$C$6,$C$5,$C$7,M$1,M$2,$A176)</f>
        <v>0</v>
      </c>
      <c r="N176" s="33">
        <f ca="1">_xll.DBRW($C$1,$C$2,$C$3,$C$4,$C$6,$C$5,$C$7,N$1,N$2,$A176)</f>
        <v>0</v>
      </c>
      <c r="O176" s="33">
        <f ca="1">_xll.DBRW($C$1,$C$2,$C$3,$C$4,$C$6,$C$5,$C$7,O$1,O$2,$A176)</f>
        <v>0</v>
      </c>
      <c r="P176" s="33">
        <f ca="1">_xll.DBRW($C$1,$C$2,$C$3,$C$4,$C$6,$C$5,$C$7,P$1,P$2,$A176)</f>
        <v>0</v>
      </c>
      <c r="Q176" s="33">
        <f ca="1">_xll.DBRW($C$1,$C$2,$C$3,$C$4,$C$6,$C$5,$C$7,Q$1,Q$2,$A176)</f>
        <v>0</v>
      </c>
      <c r="R176" s="33">
        <f ca="1">_xll.DBRW($C$1,$C$2,$C$3,$C$4,$C$6,$C$5,$C$7,R$1,R$2,$A176)</f>
        <v>0</v>
      </c>
      <c r="S176" s="33">
        <f ca="1">_xll.DBRW($C$1,$C$2,$C$3,$C$4,$C$6,$C$5,$C$7,S$1,S$2,$A176)</f>
        <v>0</v>
      </c>
      <c r="T176" s="33">
        <f ca="1">_xll.DBRW($C$1,$C$2,$C$3,$C$4,$C$6,$C$5,$C$7,T$1,T$2,$A176)</f>
        <v>0</v>
      </c>
      <c r="U176" s="33">
        <f ca="1">_xll.DBRW($C$1,$C$2,$C$3,$C$4,$C$6,$C$5,$C$7,U$1,U$2,$A176)</f>
        <v>0</v>
      </c>
      <c r="V176" s="33">
        <f ca="1">_xll.DBRW($C$1,$C$2,$C$3,$C$4,$C$6,$C$5,$C$7,V$1,V$2,$A176)</f>
        <v>0</v>
      </c>
      <c r="W176" s="33">
        <f ca="1">_xll.DBRW($C$1,$C$2,$C$3,$C$4,$C$6,$C$5,$C$7,W$1,W$2,$A176)</f>
        <v>0</v>
      </c>
      <c r="X176" s="33">
        <f ca="1">_xll.DBRW($C$1,$C$2,$C$3,$C$4,$C$6,$C$5,$C$7,X$1,X$2,$A176)</f>
        <v>0</v>
      </c>
      <c r="Y176" s="33">
        <f ca="1">_xll.DBRW($C$1,$C$2,$C$3,$C$4,$C$6,$C$5,$C$7,Y$1,Y$2,$A176)</f>
        <v>0</v>
      </c>
      <c r="Z176" s="33">
        <f ca="1">_xll.DBRW($C$1,$C$2,$C$3,$C$4,$C$6,$C$5,$C$7,Z$1,Z$2,$A176)</f>
        <v>0</v>
      </c>
      <c r="AA176" s="33">
        <f ca="1">_xll.DBRW($C$1,$C$2,$C$3,$C$4,$C$6,$C$5,$C$7,AA$1,AA$2,$A176)</f>
        <v>0</v>
      </c>
      <c r="AB176" s="33">
        <f ca="1">_xll.DBRW($C$1,$C$2,$C$3,$C$4,$C$6,$C$5,$C$7,AB$1,AB$2,$A176)</f>
        <v>0</v>
      </c>
      <c r="AC176" s="33">
        <f ca="1">_xll.DBRW($C$1,$C$2,$C$3,$C$4,$C$6,$C$5,$C$7,AC$1,AC$2,$A176)</f>
        <v>0</v>
      </c>
      <c r="AD176" s="33">
        <f ca="1">_xll.DBRW($C$1,$C$2,$C$3,$C$4,$C$6,$C$5,$C$7,AD$1,AD$2,$A176)</f>
        <v>0</v>
      </c>
      <c r="AE176" s="33">
        <f ca="1">_xll.DBRW($C$1,$C$2,$C$3,$C$4,$C$6,$C$5,$C$7,AE$1,AE$2,$A176)</f>
        <v>0</v>
      </c>
      <c r="AF176" s="33">
        <f ca="1">_xll.DBRW($C$1,$C$2,$C$3,$C$4,$C$6,$C$5,$C$7,AF$1,AF$2,$A176)</f>
        <v>0</v>
      </c>
      <c r="AG176" s="33">
        <f ca="1">_xll.DBRW($C$1,$C$2,$C$3,$C$4,$C$6,$C$5,$C$7,AG$1,AG$2,$A176)</f>
        <v>0</v>
      </c>
      <c r="AH176" s="33">
        <f ca="1">_xll.DBRW($C$1,$C$2,$C$3,$C$4,$C$6,$C$5,$C$7,AH$1,AH$2,$A176)</f>
        <v>0</v>
      </c>
      <c r="AI176" s="33">
        <f ca="1">_xll.DBRW($C$1,$C$2,$C$3,$C$4,$C$6,$C$5,$C$7,AI$1,AI$2,$A176)</f>
        <v>0</v>
      </c>
      <c r="AJ176" s="33">
        <f ca="1">_xll.DBRW($C$1,$C$2,$C$3,$C$4,$C$6,$C$5,$C$7,AJ$1,AJ$2,$A176)</f>
        <v>0</v>
      </c>
      <c r="AK176" s="33">
        <f ca="1">_xll.DBRW($C$1,$C$2,$C$3,$C$4,$C$6,$C$5,$C$7,AK$1,AK$2,$A176)</f>
        <v>0</v>
      </c>
      <c r="AL176" s="33">
        <f ca="1">_xll.DBRW($C$1,$C$2,$C$3,$C$4,$C$6,$C$5,$C$7,AL$1,AL$2,$A176)</f>
        <v>0</v>
      </c>
      <c r="AM176" s="33">
        <f ca="1">_xll.DBRW($C$1,$C$2,$C$3,$C$4,$C$6,$C$5,$C$7,AM$1,AM$2,$A176)</f>
        <v>0</v>
      </c>
      <c r="AN176" s="33">
        <f ca="1">_xll.DBRW($C$1,$C$2,$C$3,$C$4,$C$6,$C$5,$C$7,AN$1,AN$2,$A176)</f>
        <v>0</v>
      </c>
      <c r="AO176" s="33">
        <f ca="1">_xll.DBRW($C$1,$C$2,$C$3,$C$4,$C$6,$C$5,$C$7,AO$1,AO$2,$A176)</f>
        <v>0</v>
      </c>
      <c r="AP176" s="33">
        <f ca="1">_xll.DBRW($C$1,$C$2,$C$3,$C$4,$C$6,$C$5,$C$7,AP$1,AP$2,$A176)</f>
        <v>0</v>
      </c>
      <c r="AQ176" s="33">
        <f ca="1">_xll.DBRW($C$1,$C$2,$C$3,$C$4,$C$6,$C$5,$C$7,AQ$1,AQ$2,$A176)</f>
        <v>0</v>
      </c>
      <c r="AR176" s="33">
        <f ca="1">_xll.DBRW($C$1,$C$2,$C$3,$C$4,$C$6,$C$5,$C$7,AR$1,AR$2,$A176)</f>
        <v>0</v>
      </c>
      <c r="AS176" s="33">
        <f ca="1">_xll.DBRW($C$1,$C$2,$C$3,$C$4,$C$6,$C$5,$C$7,AS$1,AS$2,$A176)</f>
        <v>0</v>
      </c>
      <c r="AT176" s="33">
        <f ca="1">_xll.DBRW($C$1,$C$2,$C$3,$C$4,$C$6,$C$5,$C$7,AT$1,AT$2,$A176)</f>
        <v>0</v>
      </c>
      <c r="AU176" s="33">
        <f ca="1">_xll.DBRW($C$1,$C$2,$C$3,$C$4,$C$6,$C$5,$C$7,AU$1,AU$2,$A176)</f>
        <v>0</v>
      </c>
      <c r="AV176" s="33">
        <f ca="1">_xll.DBRW($C$1,$C$2,$C$3,$C$4,$C$6,$C$5,$C$7,AV$1,AV$2,$A176)</f>
        <v>0</v>
      </c>
      <c r="AW176" s="33">
        <f ca="1">_xll.DBRW($C$1,$C$2,$C$3,$C$4,$C$6,$C$5,$C$7,AW$1,AW$2,$A176)</f>
        <v>0</v>
      </c>
      <c r="AX176" s="33">
        <f ca="1">_xll.DBRW($C$1,$C$2,$C$3,$C$4,$C$6,$C$5,$C$7,AX$1,AX$2,$A176)</f>
        <v>0</v>
      </c>
      <c r="AY176" s="33">
        <f ca="1">_xll.DBRW($C$1,$C$2,$C$3,$C$4,$C$6,$C$5,$C$7,AY$1,AY$2,$A176)</f>
        <v>0</v>
      </c>
    </row>
    <row r="177" spans="1:51" ht="15.75" hidden="1" customHeight="1" outlineLevel="2">
      <c r="A177" s="1" t="s">
        <v>266</v>
      </c>
      <c r="C177" s="109"/>
      <c r="E177" s="9" t="str">
        <f ca="1">_xll.DBRW(Server&amp;"}ElementAttributes_Indicator",A177,"code_English")</f>
        <v>PL1116_AC - COS - Lease expenses (AC)</v>
      </c>
      <c r="F177" s="33">
        <f ca="1">_xll.DBRW($C$1,$C$2,$C$3,$C$4,$C$6,$C$5,$C$7,F$1,F$2,$A177)</f>
        <v>0</v>
      </c>
      <c r="G177" s="33">
        <f ca="1">_xll.DBRW($C$1,$C$2,$C$3,$C$4,$C$6,$C$5,$C$7,G$1,G$2,$A177)</f>
        <v>0</v>
      </c>
      <c r="H177" s="33">
        <f ca="1">_xll.DBRW($C$1,$C$2,$C$3,$C$4,$C$6,$C$5,$C$7,H$1,H$2,$A177)</f>
        <v>0</v>
      </c>
      <c r="I177" s="33">
        <f ca="1">_xll.DBRW($C$1,$C$2,$C$3,$C$4,$C$6,$C$5,$C$7,I$1,I$2,$A177)</f>
        <v>0</v>
      </c>
      <c r="J177" s="33">
        <f ca="1">_xll.DBRW($C$1,$C$2,$C$3,$C$4,$C$6,$C$5,$C$7,J$1,J$2,$A177)</f>
        <v>0</v>
      </c>
      <c r="K177" s="33">
        <f ca="1">_xll.DBRW($C$1,$C$2,$C$3,$C$4,$C$6,$C$5,$C$7,K$1,K$2,$A177)</f>
        <v>0</v>
      </c>
      <c r="L177" s="33">
        <f ca="1">_xll.DBRW($C$1,$C$2,$C$3,$C$4,$C$6,$C$5,$C$7,L$1,L$2,$A177)</f>
        <v>0</v>
      </c>
      <c r="M177" s="33">
        <f ca="1">_xll.DBRW($C$1,$C$2,$C$3,$C$4,$C$6,$C$5,$C$7,M$1,M$2,$A177)</f>
        <v>0</v>
      </c>
      <c r="N177" s="33">
        <f ca="1">_xll.DBRW($C$1,$C$2,$C$3,$C$4,$C$6,$C$5,$C$7,N$1,N$2,$A177)</f>
        <v>0</v>
      </c>
      <c r="O177" s="33">
        <f ca="1">_xll.DBRW($C$1,$C$2,$C$3,$C$4,$C$6,$C$5,$C$7,O$1,O$2,$A177)</f>
        <v>0</v>
      </c>
      <c r="P177" s="33">
        <f ca="1">_xll.DBRW($C$1,$C$2,$C$3,$C$4,$C$6,$C$5,$C$7,P$1,P$2,$A177)</f>
        <v>0</v>
      </c>
      <c r="Q177" s="33">
        <f ca="1">_xll.DBRW($C$1,$C$2,$C$3,$C$4,$C$6,$C$5,$C$7,Q$1,Q$2,$A177)</f>
        <v>0</v>
      </c>
      <c r="R177" s="33">
        <f ca="1">_xll.DBRW($C$1,$C$2,$C$3,$C$4,$C$6,$C$5,$C$7,R$1,R$2,$A177)</f>
        <v>0</v>
      </c>
      <c r="S177" s="33">
        <f ca="1">_xll.DBRW($C$1,$C$2,$C$3,$C$4,$C$6,$C$5,$C$7,S$1,S$2,$A177)</f>
        <v>0</v>
      </c>
      <c r="T177" s="33">
        <f ca="1">_xll.DBRW($C$1,$C$2,$C$3,$C$4,$C$6,$C$5,$C$7,T$1,T$2,$A177)</f>
        <v>0</v>
      </c>
      <c r="U177" s="33">
        <f ca="1">_xll.DBRW($C$1,$C$2,$C$3,$C$4,$C$6,$C$5,$C$7,U$1,U$2,$A177)</f>
        <v>0</v>
      </c>
      <c r="V177" s="33">
        <f ca="1">_xll.DBRW($C$1,$C$2,$C$3,$C$4,$C$6,$C$5,$C$7,V$1,V$2,$A177)</f>
        <v>0</v>
      </c>
      <c r="W177" s="33">
        <f ca="1">_xll.DBRW($C$1,$C$2,$C$3,$C$4,$C$6,$C$5,$C$7,W$1,W$2,$A177)</f>
        <v>0</v>
      </c>
      <c r="X177" s="33">
        <f ca="1">_xll.DBRW($C$1,$C$2,$C$3,$C$4,$C$6,$C$5,$C$7,X$1,X$2,$A177)</f>
        <v>0</v>
      </c>
      <c r="Y177" s="33">
        <f ca="1">_xll.DBRW($C$1,$C$2,$C$3,$C$4,$C$6,$C$5,$C$7,Y$1,Y$2,$A177)</f>
        <v>0</v>
      </c>
      <c r="Z177" s="33">
        <f ca="1">_xll.DBRW($C$1,$C$2,$C$3,$C$4,$C$6,$C$5,$C$7,Z$1,Z$2,$A177)</f>
        <v>0</v>
      </c>
      <c r="AA177" s="33">
        <f ca="1">_xll.DBRW($C$1,$C$2,$C$3,$C$4,$C$6,$C$5,$C$7,AA$1,AA$2,$A177)</f>
        <v>0</v>
      </c>
      <c r="AB177" s="33">
        <f ca="1">_xll.DBRW($C$1,$C$2,$C$3,$C$4,$C$6,$C$5,$C$7,AB$1,AB$2,$A177)</f>
        <v>0</v>
      </c>
      <c r="AC177" s="33">
        <f ca="1">_xll.DBRW($C$1,$C$2,$C$3,$C$4,$C$6,$C$5,$C$7,AC$1,AC$2,$A177)</f>
        <v>0</v>
      </c>
      <c r="AD177" s="33">
        <f ca="1">_xll.DBRW($C$1,$C$2,$C$3,$C$4,$C$6,$C$5,$C$7,AD$1,AD$2,$A177)</f>
        <v>0</v>
      </c>
      <c r="AE177" s="33">
        <f ca="1">_xll.DBRW($C$1,$C$2,$C$3,$C$4,$C$6,$C$5,$C$7,AE$1,AE$2,$A177)</f>
        <v>0</v>
      </c>
      <c r="AF177" s="33">
        <f ca="1">_xll.DBRW($C$1,$C$2,$C$3,$C$4,$C$6,$C$5,$C$7,AF$1,AF$2,$A177)</f>
        <v>0</v>
      </c>
      <c r="AG177" s="33">
        <f ca="1">_xll.DBRW($C$1,$C$2,$C$3,$C$4,$C$6,$C$5,$C$7,AG$1,AG$2,$A177)</f>
        <v>0</v>
      </c>
      <c r="AH177" s="33">
        <f ca="1">_xll.DBRW($C$1,$C$2,$C$3,$C$4,$C$6,$C$5,$C$7,AH$1,AH$2,$A177)</f>
        <v>0</v>
      </c>
      <c r="AI177" s="33">
        <f ca="1">_xll.DBRW($C$1,$C$2,$C$3,$C$4,$C$6,$C$5,$C$7,AI$1,AI$2,$A177)</f>
        <v>0</v>
      </c>
      <c r="AJ177" s="33">
        <f ca="1">_xll.DBRW($C$1,$C$2,$C$3,$C$4,$C$6,$C$5,$C$7,AJ$1,AJ$2,$A177)</f>
        <v>0</v>
      </c>
      <c r="AK177" s="33">
        <f ca="1">_xll.DBRW($C$1,$C$2,$C$3,$C$4,$C$6,$C$5,$C$7,AK$1,AK$2,$A177)</f>
        <v>0</v>
      </c>
      <c r="AL177" s="33">
        <f ca="1">_xll.DBRW($C$1,$C$2,$C$3,$C$4,$C$6,$C$5,$C$7,AL$1,AL$2,$A177)</f>
        <v>0</v>
      </c>
      <c r="AM177" s="33">
        <f ca="1">_xll.DBRW($C$1,$C$2,$C$3,$C$4,$C$6,$C$5,$C$7,AM$1,AM$2,$A177)</f>
        <v>0</v>
      </c>
      <c r="AN177" s="33">
        <f ca="1">_xll.DBRW($C$1,$C$2,$C$3,$C$4,$C$6,$C$5,$C$7,AN$1,AN$2,$A177)</f>
        <v>0</v>
      </c>
      <c r="AO177" s="33">
        <f ca="1">_xll.DBRW($C$1,$C$2,$C$3,$C$4,$C$6,$C$5,$C$7,AO$1,AO$2,$A177)</f>
        <v>0</v>
      </c>
      <c r="AP177" s="33">
        <f ca="1">_xll.DBRW($C$1,$C$2,$C$3,$C$4,$C$6,$C$5,$C$7,AP$1,AP$2,$A177)</f>
        <v>0</v>
      </c>
      <c r="AQ177" s="33">
        <f ca="1">_xll.DBRW($C$1,$C$2,$C$3,$C$4,$C$6,$C$5,$C$7,AQ$1,AQ$2,$A177)</f>
        <v>0</v>
      </c>
      <c r="AR177" s="33">
        <f ca="1">_xll.DBRW($C$1,$C$2,$C$3,$C$4,$C$6,$C$5,$C$7,AR$1,AR$2,$A177)</f>
        <v>0</v>
      </c>
      <c r="AS177" s="33">
        <f ca="1">_xll.DBRW($C$1,$C$2,$C$3,$C$4,$C$6,$C$5,$C$7,AS$1,AS$2,$A177)</f>
        <v>0</v>
      </c>
      <c r="AT177" s="33">
        <f ca="1">_xll.DBRW($C$1,$C$2,$C$3,$C$4,$C$6,$C$5,$C$7,AT$1,AT$2,$A177)</f>
        <v>0</v>
      </c>
      <c r="AU177" s="33">
        <f ca="1">_xll.DBRW($C$1,$C$2,$C$3,$C$4,$C$6,$C$5,$C$7,AU$1,AU$2,$A177)</f>
        <v>0</v>
      </c>
      <c r="AV177" s="33">
        <f ca="1">_xll.DBRW($C$1,$C$2,$C$3,$C$4,$C$6,$C$5,$C$7,AV$1,AV$2,$A177)</f>
        <v>0</v>
      </c>
      <c r="AW177" s="33">
        <f ca="1">_xll.DBRW($C$1,$C$2,$C$3,$C$4,$C$6,$C$5,$C$7,AW$1,AW$2,$A177)</f>
        <v>0</v>
      </c>
      <c r="AX177" s="33">
        <f ca="1">_xll.DBRW($C$1,$C$2,$C$3,$C$4,$C$6,$C$5,$C$7,AX$1,AX$2,$A177)</f>
        <v>0</v>
      </c>
      <c r="AY177" s="33">
        <f ca="1">_xll.DBRW($C$1,$C$2,$C$3,$C$4,$C$6,$C$5,$C$7,AY$1,AY$2,$A177)</f>
        <v>0</v>
      </c>
    </row>
    <row r="178" spans="1:51" ht="15.75" hidden="1" customHeight="1" outlineLevel="2">
      <c r="A178" s="1" t="s">
        <v>267</v>
      </c>
      <c r="C178" s="109"/>
      <c r="E178" s="9" t="str">
        <f ca="1">_xll.DBRW(Server&amp;"}ElementAttributes_Indicator",A178,"code_English")</f>
        <v>PL1126_AC - Replacement and maintenance expenses (AC)</v>
      </c>
      <c r="F178" s="33">
        <f ca="1">_xll.DBRW($C$1,$C$2,$C$3,$C$4,$C$6,$C$5,$C$7,F$1,F$2,$A178)</f>
        <v>0</v>
      </c>
      <c r="G178" s="33">
        <f ca="1">_xll.DBRW($C$1,$C$2,$C$3,$C$4,$C$6,$C$5,$C$7,G$1,G$2,$A178)</f>
        <v>0</v>
      </c>
      <c r="H178" s="33">
        <f ca="1">_xll.DBRW($C$1,$C$2,$C$3,$C$4,$C$6,$C$5,$C$7,H$1,H$2,$A178)</f>
        <v>0</v>
      </c>
      <c r="I178" s="33">
        <f ca="1">_xll.DBRW($C$1,$C$2,$C$3,$C$4,$C$6,$C$5,$C$7,I$1,I$2,$A178)</f>
        <v>0</v>
      </c>
      <c r="J178" s="33">
        <f ca="1">_xll.DBRW($C$1,$C$2,$C$3,$C$4,$C$6,$C$5,$C$7,J$1,J$2,$A178)</f>
        <v>0</v>
      </c>
      <c r="K178" s="33">
        <f ca="1">_xll.DBRW($C$1,$C$2,$C$3,$C$4,$C$6,$C$5,$C$7,K$1,K$2,$A178)</f>
        <v>0</v>
      </c>
      <c r="L178" s="33">
        <f ca="1">_xll.DBRW($C$1,$C$2,$C$3,$C$4,$C$6,$C$5,$C$7,L$1,L$2,$A178)</f>
        <v>0</v>
      </c>
      <c r="M178" s="33">
        <f ca="1">_xll.DBRW($C$1,$C$2,$C$3,$C$4,$C$6,$C$5,$C$7,M$1,M$2,$A178)</f>
        <v>0</v>
      </c>
      <c r="N178" s="33">
        <f ca="1">_xll.DBRW($C$1,$C$2,$C$3,$C$4,$C$6,$C$5,$C$7,N$1,N$2,$A178)</f>
        <v>0</v>
      </c>
      <c r="O178" s="33">
        <f ca="1">_xll.DBRW($C$1,$C$2,$C$3,$C$4,$C$6,$C$5,$C$7,O$1,O$2,$A178)</f>
        <v>0</v>
      </c>
      <c r="P178" s="33">
        <f ca="1">_xll.DBRW($C$1,$C$2,$C$3,$C$4,$C$6,$C$5,$C$7,P$1,P$2,$A178)</f>
        <v>0</v>
      </c>
      <c r="Q178" s="33">
        <f ca="1">_xll.DBRW($C$1,$C$2,$C$3,$C$4,$C$6,$C$5,$C$7,Q$1,Q$2,$A178)</f>
        <v>0</v>
      </c>
      <c r="R178" s="33">
        <f ca="1">_xll.DBRW($C$1,$C$2,$C$3,$C$4,$C$6,$C$5,$C$7,R$1,R$2,$A178)</f>
        <v>0</v>
      </c>
      <c r="S178" s="33">
        <f ca="1">_xll.DBRW($C$1,$C$2,$C$3,$C$4,$C$6,$C$5,$C$7,S$1,S$2,$A178)</f>
        <v>0</v>
      </c>
      <c r="T178" s="33">
        <f ca="1">_xll.DBRW($C$1,$C$2,$C$3,$C$4,$C$6,$C$5,$C$7,T$1,T$2,$A178)</f>
        <v>0</v>
      </c>
      <c r="U178" s="33">
        <f ca="1">_xll.DBRW($C$1,$C$2,$C$3,$C$4,$C$6,$C$5,$C$7,U$1,U$2,$A178)</f>
        <v>0</v>
      </c>
      <c r="V178" s="33">
        <f ca="1">_xll.DBRW($C$1,$C$2,$C$3,$C$4,$C$6,$C$5,$C$7,V$1,V$2,$A178)</f>
        <v>0</v>
      </c>
      <c r="W178" s="33">
        <f ca="1">_xll.DBRW($C$1,$C$2,$C$3,$C$4,$C$6,$C$5,$C$7,W$1,W$2,$A178)</f>
        <v>0</v>
      </c>
      <c r="X178" s="33">
        <f ca="1">_xll.DBRW($C$1,$C$2,$C$3,$C$4,$C$6,$C$5,$C$7,X$1,X$2,$A178)</f>
        <v>0</v>
      </c>
      <c r="Y178" s="33">
        <f ca="1">_xll.DBRW($C$1,$C$2,$C$3,$C$4,$C$6,$C$5,$C$7,Y$1,Y$2,$A178)</f>
        <v>0</v>
      </c>
      <c r="Z178" s="33">
        <f ca="1">_xll.DBRW($C$1,$C$2,$C$3,$C$4,$C$6,$C$5,$C$7,Z$1,Z$2,$A178)</f>
        <v>0</v>
      </c>
      <c r="AA178" s="33">
        <f ca="1">_xll.DBRW($C$1,$C$2,$C$3,$C$4,$C$6,$C$5,$C$7,AA$1,AA$2,$A178)</f>
        <v>0</v>
      </c>
      <c r="AB178" s="33">
        <f ca="1">_xll.DBRW($C$1,$C$2,$C$3,$C$4,$C$6,$C$5,$C$7,AB$1,AB$2,$A178)</f>
        <v>0</v>
      </c>
      <c r="AC178" s="33">
        <f ca="1">_xll.DBRW($C$1,$C$2,$C$3,$C$4,$C$6,$C$5,$C$7,AC$1,AC$2,$A178)</f>
        <v>0</v>
      </c>
      <c r="AD178" s="33">
        <f ca="1">_xll.DBRW($C$1,$C$2,$C$3,$C$4,$C$6,$C$5,$C$7,AD$1,AD$2,$A178)</f>
        <v>0</v>
      </c>
      <c r="AE178" s="33">
        <f ca="1">_xll.DBRW($C$1,$C$2,$C$3,$C$4,$C$6,$C$5,$C$7,AE$1,AE$2,$A178)</f>
        <v>0</v>
      </c>
      <c r="AF178" s="33">
        <f ca="1">_xll.DBRW($C$1,$C$2,$C$3,$C$4,$C$6,$C$5,$C$7,AF$1,AF$2,$A178)</f>
        <v>0</v>
      </c>
      <c r="AG178" s="33">
        <f ca="1">_xll.DBRW($C$1,$C$2,$C$3,$C$4,$C$6,$C$5,$C$7,AG$1,AG$2,$A178)</f>
        <v>0</v>
      </c>
      <c r="AH178" s="33">
        <f ca="1">_xll.DBRW($C$1,$C$2,$C$3,$C$4,$C$6,$C$5,$C$7,AH$1,AH$2,$A178)</f>
        <v>0</v>
      </c>
      <c r="AI178" s="33">
        <f ca="1">_xll.DBRW($C$1,$C$2,$C$3,$C$4,$C$6,$C$5,$C$7,AI$1,AI$2,$A178)</f>
        <v>0</v>
      </c>
      <c r="AJ178" s="33">
        <f ca="1">_xll.DBRW($C$1,$C$2,$C$3,$C$4,$C$6,$C$5,$C$7,AJ$1,AJ$2,$A178)</f>
        <v>0</v>
      </c>
      <c r="AK178" s="33">
        <f ca="1">_xll.DBRW($C$1,$C$2,$C$3,$C$4,$C$6,$C$5,$C$7,AK$1,AK$2,$A178)</f>
        <v>0</v>
      </c>
      <c r="AL178" s="33">
        <f ca="1">_xll.DBRW($C$1,$C$2,$C$3,$C$4,$C$6,$C$5,$C$7,AL$1,AL$2,$A178)</f>
        <v>0</v>
      </c>
      <c r="AM178" s="33">
        <f ca="1">_xll.DBRW($C$1,$C$2,$C$3,$C$4,$C$6,$C$5,$C$7,AM$1,AM$2,$A178)</f>
        <v>0</v>
      </c>
      <c r="AN178" s="33">
        <f ca="1">_xll.DBRW($C$1,$C$2,$C$3,$C$4,$C$6,$C$5,$C$7,AN$1,AN$2,$A178)</f>
        <v>0</v>
      </c>
      <c r="AO178" s="33">
        <f ca="1">_xll.DBRW($C$1,$C$2,$C$3,$C$4,$C$6,$C$5,$C$7,AO$1,AO$2,$A178)</f>
        <v>0</v>
      </c>
      <c r="AP178" s="33">
        <f ca="1">_xll.DBRW($C$1,$C$2,$C$3,$C$4,$C$6,$C$5,$C$7,AP$1,AP$2,$A178)</f>
        <v>0</v>
      </c>
      <c r="AQ178" s="33">
        <f ca="1">_xll.DBRW($C$1,$C$2,$C$3,$C$4,$C$6,$C$5,$C$7,AQ$1,AQ$2,$A178)</f>
        <v>0</v>
      </c>
      <c r="AR178" s="33">
        <f ca="1">_xll.DBRW($C$1,$C$2,$C$3,$C$4,$C$6,$C$5,$C$7,AR$1,AR$2,$A178)</f>
        <v>0</v>
      </c>
      <c r="AS178" s="33">
        <f ca="1">_xll.DBRW($C$1,$C$2,$C$3,$C$4,$C$6,$C$5,$C$7,AS$1,AS$2,$A178)</f>
        <v>0</v>
      </c>
      <c r="AT178" s="33">
        <f ca="1">_xll.DBRW($C$1,$C$2,$C$3,$C$4,$C$6,$C$5,$C$7,AT$1,AT$2,$A178)</f>
        <v>0</v>
      </c>
      <c r="AU178" s="33">
        <f ca="1">_xll.DBRW($C$1,$C$2,$C$3,$C$4,$C$6,$C$5,$C$7,AU$1,AU$2,$A178)</f>
        <v>0</v>
      </c>
      <c r="AV178" s="33">
        <f ca="1">_xll.DBRW($C$1,$C$2,$C$3,$C$4,$C$6,$C$5,$C$7,AV$1,AV$2,$A178)</f>
        <v>0</v>
      </c>
      <c r="AW178" s="33">
        <f ca="1">_xll.DBRW($C$1,$C$2,$C$3,$C$4,$C$6,$C$5,$C$7,AW$1,AW$2,$A178)</f>
        <v>0</v>
      </c>
      <c r="AX178" s="33">
        <f ca="1">_xll.DBRW($C$1,$C$2,$C$3,$C$4,$C$6,$C$5,$C$7,AX$1,AX$2,$A178)</f>
        <v>0</v>
      </c>
      <c r="AY178" s="33">
        <f ca="1">_xll.DBRW($C$1,$C$2,$C$3,$C$4,$C$6,$C$5,$C$7,AY$1,AY$2,$A178)</f>
        <v>0</v>
      </c>
    </row>
    <row r="179" spans="1:51" ht="15.75" hidden="1" customHeight="1" outlineLevel="2">
      <c r="A179" s="1" t="s">
        <v>268</v>
      </c>
      <c r="C179" s="109"/>
      <c r="E179" s="9" t="str">
        <f ca="1">_xll.DBRW(Server&amp;"}ElementAttributes_Indicator",A179,"code_English")</f>
        <v>PL1140_AC_10 - Amortization (AC)</v>
      </c>
      <c r="F179" s="33">
        <f ca="1">_xll.DBRW($C$1,$C$2,$C$3,$C$4,$C$6,$C$5,$C$7,F$1,F$2,$A179)</f>
        <v>0</v>
      </c>
      <c r="G179" s="33">
        <f ca="1">_xll.DBRW($C$1,$C$2,$C$3,$C$4,$C$6,$C$5,$C$7,G$1,G$2,$A179)</f>
        <v>0</v>
      </c>
      <c r="H179" s="33">
        <f ca="1">_xll.DBRW($C$1,$C$2,$C$3,$C$4,$C$6,$C$5,$C$7,H$1,H$2,$A179)</f>
        <v>0</v>
      </c>
      <c r="I179" s="33">
        <f ca="1">_xll.DBRW($C$1,$C$2,$C$3,$C$4,$C$6,$C$5,$C$7,I$1,I$2,$A179)</f>
        <v>0</v>
      </c>
      <c r="J179" s="33">
        <f ca="1">_xll.DBRW($C$1,$C$2,$C$3,$C$4,$C$6,$C$5,$C$7,J$1,J$2,$A179)</f>
        <v>0</v>
      </c>
      <c r="K179" s="33">
        <f ca="1">_xll.DBRW($C$1,$C$2,$C$3,$C$4,$C$6,$C$5,$C$7,K$1,K$2,$A179)</f>
        <v>0</v>
      </c>
      <c r="L179" s="33">
        <f ca="1">_xll.DBRW($C$1,$C$2,$C$3,$C$4,$C$6,$C$5,$C$7,L$1,L$2,$A179)</f>
        <v>0</v>
      </c>
      <c r="M179" s="33">
        <f ca="1">_xll.DBRW($C$1,$C$2,$C$3,$C$4,$C$6,$C$5,$C$7,M$1,M$2,$A179)</f>
        <v>0</v>
      </c>
      <c r="N179" s="33">
        <f ca="1">_xll.DBRW($C$1,$C$2,$C$3,$C$4,$C$6,$C$5,$C$7,N$1,N$2,$A179)</f>
        <v>0</v>
      </c>
      <c r="O179" s="33">
        <f ca="1">_xll.DBRW($C$1,$C$2,$C$3,$C$4,$C$6,$C$5,$C$7,O$1,O$2,$A179)</f>
        <v>0</v>
      </c>
      <c r="P179" s="33">
        <f ca="1">_xll.DBRW($C$1,$C$2,$C$3,$C$4,$C$6,$C$5,$C$7,P$1,P$2,$A179)</f>
        <v>0</v>
      </c>
      <c r="Q179" s="33">
        <f ca="1">_xll.DBRW($C$1,$C$2,$C$3,$C$4,$C$6,$C$5,$C$7,Q$1,Q$2,$A179)</f>
        <v>0</v>
      </c>
      <c r="R179" s="33">
        <f ca="1">_xll.DBRW($C$1,$C$2,$C$3,$C$4,$C$6,$C$5,$C$7,R$1,R$2,$A179)</f>
        <v>0</v>
      </c>
      <c r="S179" s="33">
        <f ca="1">_xll.DBRW($C$1,$C$2,$C$3,$C$4,$C$6,$C$5,$C$7,S$1,S$2,$A179)</f>
        <v>0</v>
      </c>
      <c r="T179" s="33">
        <f ca="1">_xll.DBRW($C$1,$C$2,$C$3,$C$4,$C$6,$C$5,$C$7,T$1,T$2,$A179)</f>
        <v>0</v>
      </c>
      <c r="U179" s="33">
        <f ca="1">_xll.DBRW($C$1,$C$2,$C$3,$C$4,$C$6,$C$5,$C$7,U$1,U$2,$A179)</f>
        <v>0</v>
      </c>
      <c r="V179" s="33">
        <f ca="1">_xll.DBRW($C$1,$C$2,$C$3,$C$4,$C$6,$C$5,$C$7,V$1,V$2,$A179)</f>
        <v>0</v>
      </c>
      <c r="W179" s="33">
        <f ca="1">_xll.DBRW($C$1,$C$2,$C$3,$C$4,$C$6,$C$5,$C$7,W$1,W$2,$A179)</f>
        <v>0</v>
      </c>
      <c r="X179" s="33">
        <f ca="1">_xll.DBRW($C$1,$C$2,$C$3,$C$4,$C$6,$C$5,$C$7,X$1,X$2,$A179)</f>
        <v>0</v>
      </c>
      <c r="Y179" s="33">
        <f ca="1">_xll.DBRW($C$1,$C$2,$C$3,$C$4,$C$6,$C$5,$C$7,Y$1,Y$2,$A179)</f>
        <v>0</v>
      </c>
      <c r="Z179" s="33">
        <f ca="1">_xll.DBRW($C$1,$C$2,$C$3,$C$4,$C$6,$C$5,$C$7,Z$1,Z$2,$A179)</f>
        <v>0</v>
      </c>
      <c r="AA179" s="33">
        <f ca="1">_xll.DBRW($C$1,$C$2,$C$3,$C$4,$C$6,$C$5,$C$7,AA$1,AA$2,$A179)</f>
        <v>0</v>
      </c>
      <c r="AB179" s="33">
        <f ca="1">_xll.DBRW($C$1,$C$2,$C$3,$C$4,$C$6,$C$5,$C$7,AB$1,AB$2,$A179)</f>
        <v>0</v>
      </c>
      <c r="AC179" s="33">
        <f ca="1">_xll.DBRW($C$1,$C$2,$C$3,$C$4,$C$6,$C$5,$C$7,AC$1,AC$2,$A179)</f>
        <v>0</v>
      </c>
      <c r="AD179" s="33">
        <f ca="1">_xll.DBRW($C$1,$C$2,$C$3,$C$4,$C$6,$C$5,$C$7,AD$1,AD$2,$A179)</f>
        <v>0</v>
      </c>
      <c r="AE179" s="33">
        <f ca="1">_xll.DBRW($C$1,$C$2,$C$3,$C$4,$C$6,$C$5,$C$7,AE$1,AE$2,$A179)</f>
        <v>0</v>
      </c>
      <c r="AF179" s="33">
        <f ca="1">_xll.DBRW($C$1,$C$2,$C$3,$C$4,$C$6,$C$5,$C$7,AF$1,AF$2,$A179)</f>
        <v>0</v>
      </c>
      <c r="AG179" s="33">
        <f ca="1">_xll.DBRW($C$1,$C$2,$C$3,$C$4,$C$6,$C$5,$C$7,AG$1,AG$2,$A179)</f>
        <v>0</v>
      </c>
      <c r="AH179" s="33">
        <f ca="1">_xll.DBRW($C$1,$C$2,$C$3,$C$4,$C$6,$C$5,$C$7,AH$1,AH$2,$A179)</f>
        <v>0</v>
      </c>
      <c r="AI179" s="33">
        <f ca="1">_xll.DBRW($C$1,$C$2,$C$3,$C$4,$C$6,$C$5,$C$7,AI$1,AI$2,$A179)</f>
        <v>0</v>
      </c>
      <c r="AJ179" s="33">
        <f ca="1">_xll.DBRW($C$1,$C$2,$C$3,$C$4,$C$6,$C$5,$C$7,AJ$1,AJ$2,$A179)</f>
        <v>0</v>
      </c>
      <c r="AK179" s="33">
        <f ca="1">_xll.DBRW($C$1,$C$2,$C$3,$C$4,$C$6,$C$5,$C$7,AK$1,AK$2,$A179)</f>
        <v>0</v>
      </c>
      <c r="AL179" s="33">
        <f ca="1">_xll.DBRW($C$1,$C$2,$C$3,$C$4,$C$6,$C$5,$C$7,AL$1,AL$2,$A179)</f>
        <v>0</v>
      </c>
      <c r="AM179" s="33">
        <f ca="1">_xll.DBRW($C$1,$C$2,$C$3,$C$4,$C$6,$C$5,$C$7,AM$1,AM$2,$A179)</f>
        <v>0</v>
      </c>
      <c r="AN179" s="33">
        <f ca="1">_xll.DBRW($C$1,$C$2,$C$3,$C$4,$C$6,$C$5,$C$7,AN$1,AN$2,$A179)</f>
        <v>0</v>
      </c>
      <c r="AO179" s="33">
        <f ca="1">_xll.DBRW($C$1,$C$2,$C$3,$C$4,$C$6,$C$5,$C$7,AO$1,AO$2,$A179)</f>
        <v>0</v>
      </c>
      <c r="AP179" s="33">
        <f ca="1">_xll.DBRW($C$1,$C$2,$C$3,$C$4,$C$6,$C$5,$C$7,AP$1,AP$2,$A179)</f>
        <v>0</v>
      </c>
      <c r="AQ179" s="33">
        <f ca="1">_xll.DBRW($C$1,$C$2,$C$3,$C$4,$C$6,$C$5,$C$7,AQ$1,AQ$2,$A179)</f>
        <v>0</v>
      </c>
      <c r="AR179" s="33">
        <f ca="1">_xll.DBRW($C$1,$C$2,$C$3,$C$4,$C$6,$C$5,$C$7,AR$1,AR$2,$A179)</f>
        <v>0</v>
      </c>
      <c r="AS179" s="33">
        <f ca="1">_xll.DBRW($C$1,$C$2,$C$3,$C$4,$C$6,$C$5,$C$7,AS$1,AS$2,$A179)</f>
        <v>0</v>
      </c>
      <c r="AT179" s="33">
        <f ca="1">_xll.DBRW($C$1,$C$2,$C$3,$C$4,$C$6,$C$5,$C$7,AT$1,AT$2,$A179)</f>
        <v>0</v>
      </c>
      <c r="AU179" s="33">
        <f ca="1">_xll.DBRW($C$1,$C$2,$C$3,$C$4,$C$6,$C$5,$C$7,AU$1,AU$2,$A179)</f>
        <v>0</v>
      </c>
      <c r="AV179" s="33">
        <f ca="1">_xll.DBRW($C$1,$C$2,$C$3,$C$4,$C$6,$C$5,$C$7,AV$1,AV$2,$A179)</f>
        <v>0</v>
      </c>
      <c r="AW179" s="33">
        <f ca="1">_xll.DBRW($C$1,$C$2,$C$3,$C$4,$C$6,$C$5,$C$7,AW$1,AW$2,$A179)</f>
        <v>0</v>
      </c>
      <c r="AX179" s="33">
        <f ca="1">_xll.DBRW($C$1,$C$2,$C$3,$C$4,$C$6,$C$5,$C$7,AX$1,AX$2,$A179)</f>
        <v>0</v>
      </c>
      <c r="AY179" s="33">
        <f ca="1">_xll.DBRW($C$1,$C$2,$C$3,$C$4,$C$6,$C$5,$C$7,AY$1,AY$2,$A179)</f>
        <v>0</v>
      </c>
    </row>
    <row r="180" spans="1:51" ht="15.75" hidden="1" customHeight="1" outlineLevel="2">
      <c r="A180" s="1" t="s">
        <v>269</v>
      </c>
      <c r="C180" s="109"/>
      <c r="E180" s="9" t="str">
        <f ca="1">_xll.DBRW(Server&amp;"}ElementAttributes_Indicator",A180,"code_English")</f>
        <v>PL1155_AC_99 - Reinvoicing - Others (AC)</v>
      </c>
      <c r="F180" s="33">
        <f ca="1">_xll.DBRW($C$1,$C$2,$C$3,$C$4,$C$6,$C$5,$C$7,F$1,F$2,$A180)</f>
        <v>0</v>
      </c>
      <c r="G180" s="33">
        <f ca="1">_xll.DBRW($C$1,$C$2,$C$3,$C$4,$C$6,$C$5,$C$7,G$1,G$2,$A180)</f>
        <v>0</v>
      </c>
      <c r="H180" s="33">
        <f ca="1">_xll.DBRW($C$1,$C$2,$C$3,$C$4,$C$6,$C$5,$C$7,H$1,H$2,$A180)</f>
        <v>0</v>
      </c>
      <c r="I180" s="33">
        <f ca="1">_xll.DBRW($C$1,$C$2,$C$3,$C$4,$C$6,$C$5,$C$7,I$1,I$2,$A180)</f>
        <v>0</v>
      </c>
      <c r="J180" s="33">
        <f ca="1">_xll.DBRW($C$1,$C$2,$C$3,$C$4,$C$6,$C$5,$C$7,J$1,J$2,$A180)</f>
        <v>0</v>
      </c>
      <c r="K180" s="33">
        <f ca="1">_xll.DBRW($C$1,$C$2,$C$3,$C$4,$C$6,$C$5,$C$7,K$1,K$2,$A180)</f>
        <v>0</v>
      </c>
      <c r="L180" s="33">
        <f ca="1">_xll.DBRW($C$1,$C$2,$C$3,$C$4,$C$6,$C$5,$C$7,L$1,L$2,$A180)</f>
        <v>0</v>
      </c>
      <c r="M180" s="33">
        <f ca="1">_xll.DBRW($C$1,$C$2,$C$3,$C$4,$C$6,$C$5,$C$7,M$1,M$2,$A180)</f>
        <v>0</v>
      </c>
      <c r="N180" s="33">
        <f ca="1">_xll.DBRW($C$1,$C$2,$C$3,$C$4,$C$6,$C$5,$C$7,N$1,N$2,$A180)</f>
        <v>0</v>
      </c>
      <c r="O180" s="33">
        <f ca="1">_xll.DBRW($C$1,$C$2,$C$3,$C$4,$C$6,$C$5,$C$7,O$1,O$2,$A180)</f>
        <v>0</v>
      </c>
      <c r="P180" s="33">
        <f ca="1">_xll.DBRW($C$1,$C$2,$C$3,$C$4,$C$6,$C$5,$C$7,P$1,P$2,$A180)</f>
        <v>0</v>
      </c>
      <c r="Q180" s="33">
        <f ca="1">_xll.DBRW($C$1,$C$2,$C$3,$C$4,$C$6,$C$5,$C$7,Q$1,Q$2,$A180)</f>
        <v>0</v>
      </c>
      <c r="R180" s="33">
        <f ca="1">_xll.DBRW($C$1,$C$2,$C$3,$C$4,$C$6,$C$5,$C$7,R$1,R$2,$A180)</f>
        <v>0</v>
      </c>
      <c r="S180" s="33">
        <f ca="1">_xll.DBRW($C$1,$C$2,$C$3,$C$4,$C$6,$C$5,$C$7,S$1,S$2,$A180)</f>
        <v>0</v>
      </c>
      <c r="T180" s="33">
        <f ca="1">_xll.DBRW($C$1,$C$2,$C$3,$C$4,$C$6,$C$5,$C$7,T$1,T$2,$A180)</f>
        <v>0</v>
      </c>
      <c r="U180" s="33">
        <f ca="1">_xll.DBRW($C$1,$C$2,$C$3,$C$4,$C$6,$C$5,$C$7,U$1,U$2,$A180)</f>
        <v>0</v>
      </c>
      <c r="V180" s="33">
        <f ca="1">_xll.DBRW($C$1,$C$2,$C$3,$C$4,$C$6,$C$5,$C$7,V$1,V$2,$A180)</f>
        <v>0</v>
      </c>
      <c r="W180" s="33">
        <f ca="1">_xll.DBRW($C$1,$C$2,$C$3,$C$4,$C$6,$C$5,$C$7,W$1,W$2,$A180)</f>
        <v>0</v>
      </c>
      <c r="X180" s="33">
        <f ca="1">_xll.DBRW($C$1,$C$2,$C$3,$C$4,$C$6,$C$5,$C$7,X$1,X$2,$A180)</f>
        <v>0</v>
      </c>
      <c r="Y180" s="33">
        <f ca="1">_xll.DBRW($C$1,$C$2,$C$3,$C$4,$C$6,$C$5,$C$7,Y$1,Y$2,$A180)</f>
        <v>0</v>
      </c>
      <c r="Z180" s="33">
        <f ca="1">_xll.DBRW($C$1,$C$2,$C$3,$C$4,$C$6,$C$5,$C$7,Z$1,Z$2,$A180)</f>
        <v>0</v>
      </c>
      <c r="AA180" s="33">
        <f ca="1">_xll.DBRW($C$1,$C$2,$C$3,$C$4,$C$6,$C$5,$C$7,AA$1,AA$2,$A180)</f>
        <v>0</v>
      </c>
      <c r="AB180" s="33">
        <f ca="1">_xll.DBRW($C$1,$C$2,$C$3,$C$4,$C$6,$C$5,$C$7,AB$1,AB$2,$A180)</f>
        <v>0</v>
      </c>
      <c r="AC180" s="33">
        <f ca="1">_xll.DBRW($C$1,$C$2,$C$3,$C$4,$C$6,$C$5,$C$7,AC$1,AC$2,$A180)</f>
        <v>0</v>
      </c>
      <c r="AD180" s="33">
        <f ca="1">_xll.DBRW($C$1,$C$2,$C$3,$C$4,$C$6,$C$5,$C$7,AD$1,AD$2,$A180)</f>
        <v>0</v>
      </c>
      <c r="AE180" s="33">
        <f ca="1">_xll.DBRW($C$1,$C$2,$C$3,$C$4,$C$6,$C$5,$C$7,AE$1,AE$2,$A180)</f>
        <v>0</v>
      </c>
      <c r="AF180" s="33">
        <f ca="1">_xll.DBRW($C$1,$C$2,$C$3,$C$4,$C$6,$C$5,$C$7,AF$1,AF$2,$A180)</f>
        <v>0</v>
      </c>
      <c r="AG180" s="33">
        <f ca="1">_xll.DBRW($C$1,$C$2,$C$3,$C$4,$C$6,$C$5,$C$7,AG$1,AG$2,$A180)</f>
        <v>0</v>
      </c>
      <c r="AH180" s="33">
        <f ca="1">_xll.DBRW($C$1,$C$2,$C$3,$C$4,$C$6,$C$5,$C$7,AH$1,AH$2,$A180)</f>
        <v>0</v>
      </c>
      <c r="AI180" s="33">
        <f ca="1">_xll.DBRW($C$1,$C$2,$C$3,$C$4,$C$6,$C$5,$C$7,AI$1,AI$2,$A180)</f>
        <v>0</v>
      </c>
      <c r="AJ180" s="33">
        <f ca="1">_xll.DBRW($C$1,$C$2,$C$3,$C$4,$C$6,$C$5,$C$7,AJ$1,AJ$2,$A180)</f>
        <v>0</v>
      </c>
      <c r="AK180" s="33">
        <f ca="1">_xll.DBRW($C$1,$C$2,$C$3,$C$4,$C$6,$C$5,$C$7,AK$1,AK$2,$A180)</f>
        <v>0</v>
      </c>
      <c r="AL180" s="33">
        <f ca="1">_xll.DBRW($C$1,$C$2,$C$3,$C$4,$C$6,$C$5,$C$7,AL$1,AL$2,$A180)</f>
        <v>0</v>
      </c>
      <c r="AM180" s="33">
        <f ca="1">_xll.DBRW($C$1,$C$2,$C$3,$C$4,$C$6,$C$5,$C$7,AM$1,AM$2,$A180)</f>
        <v>0</v>
      </c>
      <c r="AN180" s="33">
        <f ca="1">_xll.DBRW($C$1,$C$2,$C$3,$C$4,$C$6,$C$5,$C$7,AN$1,AN$2,$A180)</f>
        <v>0</v>
      </c>
      <c r="AO180" s="33">
        <f ca="1">_xll.DBRW($C$1,$C$2,$C$3,$C$4,$C$6,$C$5,$C$7,AO$1,AO$2,$A180)</f>
        <v>0</v>
      </c>
      <c r="AP180" s="33">
        <f ca="1">_xll.DBRW($C$1,$C$2,$C$3,$C$4,$C$6,$C$5,$C$7,AP$1,AP$2,$A180)</f>
        <v>0</v>
      </c>
      <c r="AQ180" s="33">
        <f ca="1">_xll.DBRW($C$1,$C$2,$C$3,$C$4,$C$6,$C$5,$C$7,AQ$1,AQ$2,$A180)</f>
        <v>0</v>
      </c>
      <c r="AR180" s="33">
        <f ca="1">_xll.DBRW($C$1,$C$2,$C$3,$C$4,$C$6,$C$5,$C$7,AR$1,AR$2,$A180)</f>
        <v>0</v>
      </c>
      <c r="AS180" s="33">
        <f ca="1">_xll.DBRW($C$1,$C$2,$C$3,$C$4,$C$6,$C$5,$C$7,AS$1,AS$2,$A180)</f>
        <v>0</v>
      </c>
      <c r="AT180" s="33">
        <f ca="1">_xll.DBRW($C$1,$C$2,$C$3,$C$4,$C$6,$C$5,$C$7,AT$1,AT$2,$A180)</f>
        <v>0</v>
      </c>
      <c r="AU180" s="33">
        <f ca="1">_xll.DBRW($C$1,$C$2,$C$3,$C$4,$C$6,$C$5,$C$7,AU$1,AU$2,$A180)</f>
        <v>0</v>
      </c>
      <c r="AV180" s="33">
        <f ca="1">_xll.DBRW($C$1,$C$2,$C$3,$C$4,$C$6,$C$5,$C$7,AV$1,AV$2,$A180)</f>
        <v>0</v>
      </c>
      <c r="AW180" s="33">
        <f ca="1">_xll.DBRW($C$1,$C$2,$C$3,$C$4,$C$6,$C$5,$C$7,AW$1,AW$2,$A180)</f>
        <v>0</v>
      </c>
      <c r="AX180" s="33">
        <f ca="1">_xll.DBRW($C$1,$C$2,$C$3,$C$4,$C$6,$C$5,$C$7,AX$1,AX$2,$A180)</f>
        <v>0</v>
      </c>
      <c r="AY180" s="33">
        <f ca="1">_xll.DBRW($C$1,$C$2,$C$3,$C$4,$C$6,$C$5,$C$7,AY$1,AY$2,$A180)</f>
        <v>0</v>
      </c>
    </row>
    <row r="181" spans="1:51" ht="15.75" hidden="1" customHeight="1" outlineLevel="2">
      <c r="A181" s="1" t="s">
        <v>270</v>
      </c>
      <c r="C181" s="109"/>
      <c r="E181" s="9" t="str">
        <f ca="1">_xll.DBRW(Server&amp;"}ElementAttributes_Indicator",A181,"code_English")</f>
        <v>PL1165_AC - Restructuring costs (AC)</v>
      </c>
      <c r="F181" s="33">
        <f ca="1">_xll.DBRW($C$1,$C$2,$C$3,$C$4,$C$6,$C$5,$C$7,F$1,F$2,$A181)</f>
        <v>0</v>
      </c>
      <c r="G181" s="33">
        <f ca="1">_xll.DBRW($C$1,$C$2,$C$3,$C$4,$C$6,$C$5,$C$7,G$1,G$2,$A181)</f>
        <v>0</v>
      </c>
      <c r="H181" s="33">
        <f ca="1">_xll.DBRW($C$1,$C$2,$C$3,$C$4,$C$6,$C$5,$C$7,H$1,H$2,$A181)</f>
        <v>0</v>
      </c>
      <c r="I181" s="33">
        <f ca="1">_xll.DBRW($C$1,$C$2,$C$3,$C$4,$C$6,$C$5,$C$7,I$1,I$2,$A181)</f>
        <v>0</v>
      </c>
      <c r="J181" s="33">
        <f ca="1">_xll.DBRW($C$1,$C$2,$C$3,$C$4,$C$6,$C$5,$C$7,J$1,J$2,$A181)</f>
        <v>0</v>
      </c>
      <c r="K181" s="33">
        <f ca="1">_xll.DBRW($C$1,$C$2,$C$3,$C$4,$C$6,$C$5,$C$7,K$1,K$2,$A181)</f>
        <v>0</v>
      </c>
      <c r="L181" s="33">
        <f ca="1">_xll.DBRW($C$1,$C$2,$C$3,$C$4,$C$6,$C$5,$C$7,L$1,L$2,$A181)</f>
        <v>0</v>
      </c>
      <c r="M181" s="33">
        <f ca="1">_xll.DBRW($C$1,$C$2,$C$3,$C$4,$C$6,$C$5,$C$7,M$1,M$2,$A181)</f>
        <v>0</v>
      </c>
      <c r="N181" s="33">
        <f ca="1">_xll.DBRW($C$1,$C$2,$C$3,$C$4,$C$6,$C$5,$C$7,N$1,N$2,$A181)</f>
        <v>0</v>
      </c>
      <c r="O181" s="33">
        <f ca="1">_xll.DBRW($C$1,$C$2,$C$3,$C$4,$C$6,$C$5,$C$7,O$1,O$2,$A181)</f>
        <v>0</v>
      </c>
      <c r="P181" s="33">
        <f ca="1">_xll.DBRW($C$1,$C$2,$C$3,$C$4,$C$6,$C$5,$C$7,P$1,P$2,$A181)</f>
        <v>0</v>
      </c>
      <c r="Q181" s="33">
        <f ca="1">_xll.DBRW($C$1,$C$2,$C$3,$C$4,$C$6,$C$5,$C$7,Q$1,Q$2,$A181)</f>
        <v>0</v>
      </c>
      <c r="R181" s="33">
        <f ca="1">_xll.DBRW($C$1,$C$2,$C$3,$C$4,$C$6,$C$5,$C$7,R$1,R$2,$A181)</f>
        <v>0</v>
      </c>
      <c r="S181" s="33">
        <f ca="1">_xll.DBRW($C$1,$C$2,$C$3,$C$4,$C$6,$C$5,$C$7,S$1,S$2,$A181)</f>
        <v>0</v>
      </c>
      <c r="T181" s="33">
        <f ca="1">_xll.DBRW($C$1,$C$2,$C$3,$C$4,$C$6,$C$5,$C$7,T$1,T$2,$A181)</f>
        <v>0</v>
      </c>
      <c r="U181" s="33">
        <f ca="1">_xll.DBRW($C$1,$C$2,$C$3,$C$4,$C$6,$C$5,$C$7,U$1,U$2,$A181)</f>
        <v>0</v>
      </c>
      <c r="V181" s="33">
        <f ca="1">_xll.DBRW($C$1,$C$2,$C$3,$C$4,$C$6,$C$5,$C$7,V$1,V$2,$A181)</f>
        <v>0</v>
      </c>
      <c r="W181" s="33">
        <f ca="1">_xll.DBRW($C$1,$C$2,$C$3,$C$4,$C$6,$C$5,$C$7,W$1,W$2,$A181)</f>
        <v>0</v>
      </c>
      <c r="X181" s="33">
        <f ca="1">_xll.DBRW($C$1,$C$2,$C$3,$C$4,$C$6,$C$5,$C$7,X$1,X$2,$A181)</f>
        <v>0</v>
      </c>
      <c r="Y181" s="33">
        <f ca="1">_xll.DBRW($C$1,$C$2,$C$3,$C$4,$C$6,$C$5,$C$7,Y$1,Y$2,$A181)</f>
        <v>0</v>
      </c>
      <c r="Z181" s="33">
        <f ca="1">_xll.DBRW($C$1,$C$2,$C$3,$C$4,$C$6,$C$5,$C$7,Z$1,Z$2,$A181)</f>
        <v>0</v>
      </c>
      <c r="AA181" s="33">
        <f ca="1">_xll.DBRW($C$1,$C$2,$C$3,$C$4,$C$6,$C$5,$C$7,AA$1,AA$2,$A181)</f>
        <v>0</v>
      </c>
      <c r="AB181" s="33">
        <f ca="1">_xll.DBRW($C$1,$C$2,$C$3,$C$4,$C$6,$C$5,$C$7,AB$1,AB$2,$A181)</f>
        <v>0</v>
      </c>
      <c r="AC181" s="33">
        <f ca="1">_xll.DBRW($C$1,$C$2,$C$3,$C$4,$C$6,$C$5,$C$7,AC$1,AC$2,$A181)</f>
        <v>0</v>
      </c>
      <c r="AD181" s="33">
        <f ca="1">_xll.DBRW($C$1,$C$2,$C$3,$C$4,$C$6,$C$5,$C$7,AD$1,AD$2,$A181)</f>
        <v>0</v>
      </c>
      <c r="AE181" s="33">
        <f ca="1">_xll.DBRW($C$1,$C$2,$C$3,$C$4,$C$6,$C$5,$C$7,AE$1,AE$2,$A181)</f>
        <v>0</v>
      </c>
      <c r="AF181" s="33">
        <f ca="1">_xll.DBRW($C$1,$C$2,$C$3,$C$4,$C$6,$C$5,$C$7,AF$1,AF$2,$A181)</f>
        <v>0</v>
      </c>
      <c r="AG181" s="33">
        <f ca="1">_xll.DBRW($C$1,$C$2,$C$3,$C$4,$C$6,$C$5,$C$7,AG$1,AG$2,$A181)</f>
        <v>0</v>
      </c>
      <c r="AH181" s="33">
        <f ca="1">_xll.DBRW($C$1,$C$2,$C$3,$C$4,$C$6,$C$5,$C$7,AH$1,AH$2,$A181)</f>
        <v>0</v>
      </c>
      <c r="AI181" s="33">
        <f ca="1">_xll.DBRW($C$1,$C$2,$C$3,$C$4,$C$6,$C$5,$C$7,AI$1,AI$2,$A181)</f>
        <v>0</v>
      </c>
      <c r="AJ181" s="33">
        <f ca="1">_xll.DBRW($C$1,$C$2,$C$3,$C$4,$C$6,$C$5,$C$7,AJ$1,AJ$2,$A181)</f>
        <v>0</v>
      </c>
      <c r="AK181" s="33">
        <f ca="1">_xll.DBRW($C$1,$C$2,$C$3,$C$4,$C$6,$C$5,$C$7,AK$1,AK$2,$A181)</f>
        <v>0</v>
      </c>
      <c r="AL181" s="33">
        <f ca="1">_xll.DBRW($C$1,$C$2,$C$3,$C$4,$C$6,$C$5,$C$7,AL$1,AL$2,$A181)</f>
        <v>0</v>
      </c>
      <c r="AM181" s="33">
        <f ca="1">_xll.DBRW($C$1,$C$2,$C$3,$C$4,$C$6,$C$5,$C$7,AM$1,AM$2,$A181)</f>
        <v>0</v>
      </c>
      <c r="AN181" s="33">
        <f ca="1">_xll.DBRW($C$1,$C$2,$C$3,$C$4,$C$6,$C$5,$C$7,AN$1,AN$2,$A181)</f>
        <v>0</v>
      </c>
      <c r="AO181" s="33">
        <f ca="1">_xll.DBRW($C$1,$C$2,$C$3,$C$4,$C$6,$C$5,$C$7,AO$1,AO$2,$A181)</f>
        <v>0</v>
      </c>
      <c r="AP181" s="33">
        <f ca="1">_xll.DBRW($C$1,$C$2,$C$3,$C$4,$C$6,$C$5,$C$7,AP$1,AP$2,$A181)</f>
        <v>0</v>
      </c>
      <c r="AQ181" s="33">
        <f ca="1">_xll.DBRW($C$1,$C$2,$C$3,$C$4,$C$6,$C$5,$C$7,AQ$1,AQ$2,$A181)</f>
        <v>0</v>
      </c>
      <c r="AR181" s="33">
        <f ca="1">_xll.DBRW($C$1,$C$2,$C$3,$C$4,$C$6,$C$5,$C$7,AR$1,AR$2,$A181)</f>
        <v>0</v>
      </c>
      <c r="AS181" s="33">
        <f ca="1">_xll.DBRW($C$1,$C$2,$C$3,$C$4,$C$6,$C$5,$C$7,AS$1,AS$2,$A181)</f>
        <v>0</v>
      </c>
      <c r="AT181" s="33">
        <f ca="1">_xll.DBRW($C$1,$C$2,$C$3,$C$4,$C$6,$C$5,$C$7,AT$1,AT$2,$A181)</f>
        <v>0</v>
      </c>
      <c r="AU181" s="33">
        <f ca="1">_xll.DBRW($C$1,$C$2,$C$3,$C$4,$C$6,$C$5,$C$7,AU$1,AU$2,$A181)</f>
        <v>0</v>
      </c>
      <c r="AV181" s="33">
        <f ca="1">_xll.DBRW($C$1,$C$2,$C$3,$C$4,$C$6,$C$5,$C$7,AV$1,AV$2,$A181)</f>
        <v>0</v>
      </c>
      <c r="AW181" s="33">
        <f ca="1">_xll.DBRW($C$1,$C$2,$C$3,$C$4,$C$6,$C$5,$C$7,AW$1,AW$2,$A181)</f>
        <v>0</v>
      </c>
      <c r="AX181" s="33">
        <f ca="1">_xll.DBRW($C$1,$C$2,$C$3,$C$4,$C$6,$C$5,$C$7,AX$1,AX$2,$A181)</f>
        <v>0</v>
      </c>
      <c r="AY181" s="33">
        <f ca="1">_xll.DBRW($C$1,$C$2,$C$3,$C$4,$C$6,$C$5,$C$7,AY$1,AY$2,$A181)</f>
        <v>0</v>
      </c>
    </row>
    <row r="182" spans="1:51" ht="15.75" hidden="1" customHeight="1" outlineLevel="2">
      <c r="A182" s="1" t="s">
        <v>271</v>
      </c>
      <c r="C182" s="109"/>
      <c r="E182" s="9" t="str">
        <f ca="1">_xll.DBRW(Server&amp;"}ElementAttributes_Indicator",A182,"code_English")</f>
        <v>PL1145_AC - Impairment - working capital (AC)</v>
      </c>
      <c r="F182" s="33">
        <f ca="1">_xll.DBRW($C$1,$C$2,$C$3,$C$4,$C$6,$C$5,$C$7,F$1,F$2,$A182)</f>
        <v>0</v>
      </c>
      <c r="G182" s="33">
        <f ca="1">_xll.DBRW($C$1,$C$2,$C$3,$C$4,$C$6,$C$5,$C$7,G$1,G$2,$A182)</f>
        <v>0</v>
      </c>
      <c r="H182" s="33">
        <f ca="1">_xll.DBRW($C$1,$C$2,$C$3,$C$4,$C$6,$C$5,$C$7,H$1,H$2,$A182)</f>
        <v>0</v>
      </c>
      <c r="I182" s="33">
        <f ca="1">_xll.DBRW($C$1,$C$2,$C$3,$C$4,$C$6,$C$5,$C$7,I$1,I$2,$A182)</f>
        <v>0</v>
      </c>
      <c r="J182" s="33">
        <f ca="1">_xll.DBRW($C$1,$C$2,$C$3,$C$4,$C$6,$C$5,$C$7,J$1,J$2,$A182)</f>
        <v>0</v>
      </c>
      <c r="K182" s="33">
        <f ca="1">_xll.DBRW($C$1,$C$2,$C$3,$C$4,$C$6,$C$5,$C$7,K$1,K$2,$A182)</f>
        <v>0</v>
      </c>
      <c r="L182" s="33">
        <f ca="1">_xll.DBRW($C$1,$C$2,$C$3,$C$4,$C$6,$C$5,$C$7,L$1,L$2,$A182)</f>
        <v>0</v>
      </c>
      <c r="M182" s="33">
        <f ca="1">_xll.DBRW($C$1,$C$2,$C$3,$C$4,$C$6,$C$5,$C$7,M$1,M$2,$A182)</f>
        <v>0</v>
      </c>
      <c r="N182" s="33">
        <f ca="1">_xll.DBRW($C$1,$C$2,$C$3,$C$4,$C$6,$C$5,$C$7,N$1,N$2,$A182)</f>
        <v>0</v>
      </c>
      <c r="O182" s="33">
        <f ca="1">_xll.DBRW($C$1,$C$2,$C$3,$C$4,$C$6,$C$5,$C$7,O$1,O$2,$A182)</f>
        <v>0</v>
      </c>
      <c r="P182" s="33">
        <f ca="1">_xll.DBRW($C$1,$C$2,$C$3,$C$4,$C$6,$C$5,$C$7,P$1,P$2,$A182)</f>
        <v>0</v>
      </c>
      <c r="Q182" s="33">
        <f ca="1">_xll.DBRW($C$1,$C$2,$C$3,$C$4,$C$6,$C$5,$C$7,Q$1,Q$2,$A182)</f>
        <v>0</v>
      </c>
      <c r="R182" s="33">
        <f ca="1">_xll.DBRW($C$1,$C$2,$C$3,$C$4,$C$6,$C$5,$C$7,R$1,R$2,$A182)</f>
        <v>0</v>
      </c>
      <c r="S182" s="33">
        <f ca="1">_xll.DBRW($C$1,$C$2,$C$3,$C$4,$C$6,$C$5,$C$7,S$1,S$2,$A182)</f>
        <v>0</v>
      </c>
      <c r="T182" s="33">
        <f ca="1">_xll.DBRW($C$1,$C$2,$C$3,$C$4,$C$6,$C$5,$C$7,T$1,T$2,$A182)</f>
        <v>0</v>
      </c>
      <c r="U182" s="33">
        <f ca="1">_xll.DBRW($C$1,$C$2,$C$3,$C$4,$C$6,$C$5,$C$7,U$1,U$2,$A182)</f>
        <v>0</v>
      </c>
      <c r="V182" s="33">
        <f ca="1">_xll.DBRW($C$1,$C$2,$C$3,$C$4,$C$6,$C$5,$C$7,V$1,V$2,$A182)</f>
        <v>0</v>
      </c>
      <c r="W182" s="33">
        <f ca="1">_xll.DBRW($C$1,$C$2,$C$3,$C$4,$C$6,$C$5,$C$7,W$1,W$2,$A182)</f>
        <v>0</v>
      </c>
      <c r="X182" s="33">
        <f ca="1">_xll.DBRW($C$1,$C$2,$C$3,$C$4,$C$6,$C$5,$C$7,X$1,X$2,$A182)</f>
        <v>0</v>
      </c>
      <c r="Y182" s="33">
        <f ca="1">_xll.DBRW($C$1,$C$2,$C$3,$C$4,$C$6,$C$5,$C$7,Y$1,Y$2,$A182)</f>
        <v>0</v>
      </c>
      <c r="Z182" s="33">
        <f ca="1">_xll.DBRW($C$1,$C$2,$C$3,$C$4,$C$6,$C$5,$C$7,Z$1,Z$2,$A182)</f>
        <v>0</v>
      </c>
      <c r="AA182" s="33">
        <f ca="1">_xll.DBRW($C$1,$C$2,$C$3,$C$4,$C$6,$C$5,$C$7,AA$1,AA$2,$A182)</f>
        <v>0</v>
      </c>
      <c r="AB182" s="33">
        <f ca="1">_xll.DBRW($C$1,$C$2,$C$3,$C$4,$C$6,$C$5,$C$7,AB$1,AB$2,$A182)</f>
        <v>0</v>
      </c>
      <c r="AC182" s="33">
        <f ca="1">_xll.DBRW($C$1,$C$2,$C$3,$C$4,$C$6,$C$5,$C$7,AC$1,AC$2,$A182)</f>
        <v>0</v>
      </c>
      <c r="AD182" s="33">
        <f ca="1">_xll.DBRW($C$1,$C$2,$C$3,$C$4,$C$6,$C$5,$C$7,AD$1,AD$2,$A182)</f>
        <v>0</v>
      </c>
      <c r="AE182" s="33">
        <f ca="1">_xll.DBRW($C$1,$C$2,$C$3,$C$4,$C$6,$C$5,$C$7,AE$1,AE$2,$A182)</f>
        <v>0</v>
      </c>
      <c r="AF182" s="33">
        <f ca="1">_xll.DBRW($C$1,$C$2,$C$3,$C$4,$C$6,$C$5,$C$7,AF$1,AF$2,$A182)</f>
        <v>0</v>
      </c>
      <c r="AG182" s="33">
        <f ca="1">_xll.DBRW($C$1,$C$2,$C$3,$C$4,$C$6,$C$5,$C$7,AG$1,AG$2,$A182)</f>
        <v>0</v>
      </c>
      <c r="AH182" s="33">
        <f ca="1">_xll.DBRW($C$1,$C$2,$C$3,$C$4,$C$6,$C$5,$C$7,AH$1,AH$2,$A182)</f>
        <v>0</v>
      </c>
      <c r="AI182" s="33">
        <f ca="1">_xll.DBRW($C$1,$C$2,$C$3,$C$4,$C$6,$C$5,$C$7,AI$1,AI$2,$A182)</f>
        <v>0</v>
      </c>
      <c r="AJ182" s="33">
        <f ca="1">_xll.DBRW($C$1,$C$2,$C$3,$C$4,$C$6,$C$5,$C$7,AJ$1,AJ$2,$A182)</f>
        <v>0</v>
      </c>
      <c r="AK182" s="33">
        <f ca="1">_xll.DBRW($C$1,$C$2,$C$3,$C$4,$C$6,$C$5,$C$7,AK$1,AK$2,$A182)</f>
        <v>0</v>
      </c>
      <c r="AL182" s="33">
        <f ca="1">_xll.DBRW($C$1,$C$2,$C$3,$C$4,$C$6,$C$5,$C$7,AL$1,AL$2,$A182)</f>
        <v>0</v>
      </c>
      <c r="AM182" s="33">
        <f ca="1">_xll.DBRW($C$1,$C$2,$C$3,$C$4,$C$6,$C$5,$C$7,AM$1,AM$2,$A182)</f>
        <v>0</v>
      </c>
      <c r="AN182" s="33">
        <f ca="1">_xll.DBRW($C$1,$C$2,$C$3,$C$4,$C$6,$C$5,$C$7,AN$1,AN$2,$A182)</f>
        <v>0</v>
      </c>
      <c r="AO182" s="33">
        <f ca="1">_xll.DBRW($C$1,$C$2,$C$3,$C$4,$C$6,$C$5,$C$7,AO$1,AO$2,$A182)</f>
        <v>0</v>
      </c>
      <c r="AP182" s="33">
        <f ca="1">_xll.DBRW($C$1,$C$2,$C$3,$C$4,$C$6,$C$5,$C$7,AP$1,AP$2,$A182)</f>
        <v>0</v>
      </c>
      <c r="AQ182" s="33">
        <f ca="1">_xll.DBRW($C$1,$C$2,$C$3,$C$4,$C$6,$C$5,$C$7,AQ$1,AQ$2,$A182)</f>
        <v>0</v>
      </c>
      <c r="AR182" s="33">
        <f ca="1">_xll.DBRW($C$1,$C$2,$C$3,$C$4,$C$6,$C$5,$C$7,AR$1,AR$2,$A182)</f>
        <v>0</v>
      </c>
      <c r="AS182" s="33">
        <f ca="1">_xll.DBRW($C$1,$C$2,$C$3,$C$4,$C$6,$C$5,$C$7,AS$1,AS$2,$A182)</f>
        <v>0</v>
      </c>
      <c r="AT182" s="33">
        <f ca="1">_xll.DBRW($C$1,$C$2,$C$3,$C$4,$C$6,$C$5,$C$7,AT$1,AT$2,$A182)</f>
        <v>0</v>
      </c>
      <c r="AU182" s="33">
        <f ca="1">_xll.DBRW($C$1,$C$2,$C$3,$C$4,$C$6,$C$5,$C$7,AU$1,AU$2,$A182)</f>
        <v>0</v>
      </c>
      <c r="AV182" s="33">
        <f ca="1">_xll.DBRW($C$1,$C$2,$C$3,$C$4,$C$6,$C$5,$C$7,AV$1,AV$2,$A182)</f>
        <v>0</v>
      </c>
      <c r="AW182" s="33">
        <f ca="1">_xll.DBRW($C$1,$C$2,$C$3,$C$4,$C$6,$C$5,$C$7,AW$1,AW$2,$A182)</f>
        <v>0</v>
      </c>
      <c r="AX182" s="33">
        <f ca="1">_xll.DBRW($C$1,$C$2,$C$3,$C$4,$C$6,$C$5,$C$7,AX$1,AX$2,$A182)</f>
        <v>0</v>
      </c>
      <c r="AY182" s="33">
        <f ca="1">_xll.DBRW($C$1,$C$2,$C$3,$C$4,$C$6,$C$5,$C$7,AY$1,AY$2,$A182)</f>
        <v>0</v>
      </c>
    </row>
    <row r="183" spans="1:51" ht="15.75" hidden="1" customHeight="1" outlineLevel="2">
      <c r="A183" s="1" t="s">
        <v>272</v>
      </c>
      <c r="C183" s="109"/>
      <c r="E183" s="9" t="str">
        <f ca="1">_xll.DBRW(Server&amp;"}ElementAttributes_Indicator",A183,"code_English")</f>
        <v>PL1150_AC_30 - Impairment (other than working capital) and provisions - related to onerous contracts</v>
      </c>
      <c r="F183" s="33">
        <f ca="1">_xll.DBRW($C$1,$C$2,$C$3,$C$4,$C$6,$C$5,$C$7,F$1,F$2,$A183)</f>
        <v>0</v>
      </c>
      <c r="G183" s="33">
        <f ca="1">_xll.DBRW($C$1,$C$2,$C$3,$C$4,$C$6,$C$5,$C$7,G$1,G$2,$A183)</f>
        <v>0</v>
      </c>
      <c r="H183" s="33">
        <f ca="1">_xll.DBRW($C$1,$C$2,$C$3,$C$4,$C$6,$C$5,$C$7,H$1,H$2,$A183)</f>
        <v>0</v>
      </c>
      <c r="I183" s="33">
        <f ca="1">_xll.DBRW($C$1,$C$2,$C$3,$C$4,$C$6,$C$5,$C$7,I$1,I$2,$A183)</f>
        <v>0</v>
      </c>
      <c r="J183" s="33">
        <f ca="1">_xll.DBRW($C$1,$C$2,$C$3,$C$4,$C$6,$C$5,$C$7,J$1,J$2,$A183)</f>
        <v>0</v>
      </c>
      <c r="K183" s="33">
        <f ca="1">_xll.DBRW($C$1,$C$2,$C$3,$C$4,$C$6,$C$5,$C$7,K$1,K$2,$A183)</f>
        <v>0</v>
      </c>
      <c r="L183" s="33">
        <f ca="1">_xll.DBRW($C$1,$C$2,$C$3,$C$4,$C$6,$C$5,$C$7,L$1,L$2,$A183)</f>
        <v>0</v>
      </c>
      <c r="M183" s="33">
        <f ca="1">_xll.DBRW($C$1,$C$2,$C$3,$C$4,$C$6,$C$5,$C$7,M$1,M$2,$A183)</f>
        <v>0</v>
      </c>
      <c r="N183" s="33">
        <f ca="1">_xll.DBRW($C$1,$C$2,$C$3,$C$4,$C$6,$C$5,$C$7,N$1,N$2,$A183)</f>
        <v>0</v>
      </c>
      <c r="O183" s="33">
        <f ca="1">_xll.DBRW($C$1,$C$2,$C$3,$C$4,$C$6,$C$5,$C$7,O$1,O$2,$A183)</f>
        <v>0</v>
      </c>
      <c r="P183" s="33">
        <f ca="1">_xll.DBRW($C$1,$C$2,$C$3,$C$4,$C$6,$C$5,$C$7,P$1,P$2,$A183)</f>
        <v>0</v>
      </c>
      <c r="Q183" s="33">
        <f ca="1">_xll.DBRW($C$1,$C$2,$C$3,$C$4,$C$6,$C$5,$C$7,Q$1,Q$2,$A183)</f>
        <v>0</v>
      </c>
      <c r="R183" s="33">
        <f ca="1">_xll.DBRW($C$1,$C$2,$C$3,$C$4,$C$6,$C$5,$C$7,R$1,R$2,$A183)</f>
        <v>0</v>
      </c>
      <c r="S183" s="33">
        <f ca="1">_xll.DBRW($C$1,$C$2,$C$3,$C$4,$C$6,$C$5,$C$7,S$1,S$2,$A183)</f>
        <v>0</v>
      </c>
      <c r="T183" s="33">
        <f ca="1">_xll.DBRW($C$1,$C$2,$C$3,$C$4,$C$6,$C$5,$C$7,T$1,T$2,$A183)</f>
        <v>0</v>
      </c>
      <c r="U183" s="33">
        <f ca="1">_xll.DBRW($C$1,$C$2,$C$3,$C$4,$C$6,$C$5,$C$7,U$1,U$2,$A183)</f>
        <v>0</v>
      </c>
      <c r="V183" s="33">
        <f ca="1">_xll.DBRW($C$1,$C$2,$C$3,$C$4,$C$6,$C$5,$C$7,V$1,V$2,$A183)</f>
        <v>0</v>
      </c>
      <c r="W183" s="33">
        <f ca="1">_xll.DBRW($C$1,$C$2,$C$3,$C$4,$C$6,$C$5,$C$7,W$1,W$2,$A183)</f>
        <v>0</v>
      </c>
      <c r="X183" s="33">
        <f ca="1">_xll.DBRW($C$1,$C$2,$C$3,$C$4,$C$6,$C$5,$C$7,X$1,X$2,$A183)</f>
        <v>0</v>
      </c>
      <c r="Y183" s="33">
        <f ca="1">_xll.DBRW($C$1,$C$2,$C$3,$C$4,$C$6,$C$5,$C$7,Y$1,Y$2,$A183)</f>
        <v>0</v>
      </c>
      <c r="Z183" s="33">
        <f ca="1">_xll.DBRW($C$1,$C$2,$C$3,$C$4,$C$6,$C$5,$C$7,Z$1,Z$2,$A183)</f>
        <v>0</v>
      </c>
      <c r="AA183" s="33">
        <f ca="1">_xll.DBRW($C$1,$C$2,$C$3,$C$4,$C$6,$C$5,$C$7,AA$1,AA$2,$A183)</f>
        <v>0</v>
      </c>
      <c r="AB183" s="33">
        <f ca="1">_xll.DBRW($C$1,$C$2,$C$3,$C$4,$C$6,$C$5,$C$7,AB$1,AB$2,$A183)</f>
        <v>0</v>
      </c>
      <c r="AC183" s="33">
        <f ca="1">_xll.DBRW($C$1,$C$2,$C$3,$C$4,$C$6,$C$5,$C$7,AC$1,AC$2,$A183)</f>
        <v>0</v>
      </c>
      <c r="AD183" s="33">
        <f ca="1">_xll.DBRW($C$1,$C$2,$C$3,$C$4,$C$6,$C$5,$C$7,AD$1,AD$2,$A183)</f>
        <v>0</v>
      </c>
      <c r="AE183" s="33">
        <f ca="1">_xll.DBRW($C$1,$C$2,$C$3,$C$4,$C$6,$C$5,$C$7,AE$1,AE$2,$A183)</f>
        <v>0</v>
      </c>
      <c r="AF183" s="33">
        <f ca="1">_xll.DBRW($C$1,$C$2,$C$3,$C$4,$C$6,$C$5,$C$7,AF$1,AF$2,$A183)</f>
        <v>0</v>
      </c>
      <c r="AG183" s="33">
        <f ca="1">_xll.DBRW($C$1,$C$2,$C$3,$C$4,$C$6,$C$5,$C$7,AG$1,AG$2,$A183)</f>
        <v>0</v>
      </c>
      <c r="AH183" s="33">
        <f ca="1">_xll.DBRW($C$1,$C$2,$C$3,$C$4,$C$6,$C$5,$C$7,AH$1,AH$2,$A183)</f>
        <v>0</v>
      </c>
      <c r="AI183" s="33">
        <f ca="1">_xll.DBRW($C$1,$C$2,$C$3,$C$4,$C$6,$C$5,$C$7,AI$1,AI$2,$A183)</f>
        <v>0</v>
      </c>
      <c r="AJ183" s="33">
        <f ca="1">_xll.DBRW($C$1,$C$2,$C$3,$C$4,$C$6,$C$5,$C$7,AJ$1,AJ$2,$A183)</f>
        <v>0</v>
      </c>
      <c r="AK183" s="33">
        <f ca="1">_xll.DBRW($C$1,$C$2,$C$3,$C$4,$C$6,$C$5,$C$7,AK$1,AK$2,$A183)</f>
        <v>0</v>
      </c>
      <c r="AL183" s="33">
        <f ca="1">_xll.DBRW($C$1,$C$2,$C$3,$C$4,$C$6,$C$5,$C$7,AL$1,AL$2,$A183)</f>
        <v>0</v>
      </c>
      <c r="AM183" s="33">
        <f ca="1">_xll.DBRW($C$1,$C$2,$C$3,$C$4,$C$6,$C$5,$C$7,AM$1,AM$2,$A183)</f>
        <v>0</v>
      </c>
      <c r="AN183" s="33">
        <f ca="1">_xll.DBRW($C$1,$C$2,$C$3,$C$4,$C$6,$C$5,$C$7,AN$1,AN$2,$A183)</f>
        <v>0</v>
      </c>
      <c r="AO183" s="33">
        <f ca="1">_xll.DBRW($C$1,$C$2,$C$3,$C$4,$C$6,$C$5,$C$7,AO$1,AO$2,$A183)</f>
        <v>0</v>
      </c>
      <c r="AP183" s="33">
        <f ca="1">_xll.DBRW($C$1,$C$2,$C$3,$C$4,$C$6,$C$5,$C$7,AP$1,AP$2,$A183)</f>
        <v>0</v>
      </c>
      <c r="AQ183" s="33">
        <f ca="1">_xll.DBRW($C$1,$C$2,$C$3,$C$4,$C$6,$C$5,$C$7,AQ$1,AQ$2,$A183)</f>
        <v>0</v>
      </c>
      <c r="AR183" s="33">
        <f ca="1">_xll.DBRW($C$1,$C$2,$C$3,$C$4,$C$6,$C$5,$C$7,AR$1,AR$2,$A183)</f>
        <v>0</v>
      </c>
      <c r="AS183" s="33">
        <f ca="1">_xll.DBRW($C$1,$C$2,$C$3,$C$4,$C$6,$C$5,$C$7,AS$1,AS$2,$A183)</f>
        <v>0</v>
      </c>
      <c r="AT183" s="33">
        <f ca="1">_xll.DBRW($C$1,$C$2,$C$3,$C$4,$C$6,$C$5,$C$7,AT$1,AT$2,$A183)</f>
        <v>0</v>
      </c>
      <c r="AU183" s="33">
        <f ca="1">_xll.DBRW($C$1,$C$2,$C$3,$C$4,$C$6,$C$5,$C$7,AU$1,AU$2,$A183)</f>
        <v>0</v>
      </c>
      <c r="AV183" s="33">
        <f ca="1">_xll.DBRW($C$1,$C$2,$C$3,$C$4,$C$6,$C$5,$C$7,AV$1,AV$2,$A183)</f>
        <v>0</v>
      </c>
      <c r="AW183" s="33">
        <f ca="1">_xll.DBRW($C$1,$C$2,$C$3,$C$4,$C$6,$C$5,$C$7,AW$1,AW$2,$A183)</f>
        <v>0</v>
      </c>
      <c r="AX183" s="33">
        <f ca="1">_xll.DBRW($C$1,$C$2,$C$3,$C$4,$C$6,$C$5,$C$7,AX$1,AX$2,$A183)</f>
        <v>0</v>
      </c>
      <c r="AY183" s="33">
        <f ca="1">_xll.DBRW($C$1,$C$2,$C$3,$C$4,$C$6,$C$5,$C$7,AY$1,AY$2,$A183)</f>
        <v>0</v>
      </c>
    </row>
    <row r="184" spans="1:51" ht="15.75" hidden="1" customHeight="1" outlineLevel="2">
      <c r="A184" s="1" t="s">
        <v>273</v>
      </c>
      <c r="C184" s="109"/>
      <c r="E184" s="9" t="str">
        <f ca="1">_xll.DBRW(Server&amp;"}ElementAttributes_Indicator",A184,"code_English")</f>
        <v>PL1150_AC_31 - Impairment (other than working capital) and provisions - related to onerous contracts - Reversal</v>
      </c>
      <c r="F184" s="33">
        <f ca="1">_xll.DBRW($C$1,$C$2,$C$3,$C$4,$C$6,$C$5,$C$7,F$1,F$2,$A184)</f>
        <v>0</v>
      </c>
      <c r="G184" s="33">
        <f ca="1">_xll.DBRW($C$1,$C$2,$C$3,$C$4,$C$6,$C$5,$C$7,G$1,G$2,$A184)</f>
        <v>0</v>
      </c>
      <c r="H184" s="33">
        <f ca="1">_xll.DBRW($C$1,$C$2,$C$3,$C$4,$C$6,$C$5,$C$7,H$1,H$2,$A184)</f>
        <v>0</v>
      </c>
      <c r="I184" s="33">
        <f ca="1">_xll.DBRW($C$1,$C$2,$C$3,$C$4,$C$6,$C$5,$C$7,I$1,I$2,$A184)</f>
        <v>0</v>
      </c>
      <c r="J184" s="33">
        <f ca="1">_xll.DBRW($C$1,$C$2,$C$3,$C$4,$C$6,$C$5,$C$7,J$1,J$2,$A184)</f>
        <v>0</v>
      </c>
      <c r="K184" s="33">
        <f ca="1">_xll.DBRW($C$1,$C$2,$C$3,$C$4,$C$6,$C$5,$C$7,K$1,K$2,$A184)</f>
        <v>0</v>
      </c>
      <c r="L184" s="33">
        <f ca="1">_xll.DBRW($C$1,$C$2,$C$3,$C$4,$C$6,$C$5,$C$7,L$1,L$2,$A184)</f>
        <v>0</v>
      </c>
      <c r="M184" s="33">
        <f ca="1">_xll.DBRW($C$1,$C$2,$C$3,$C$4,$C$6,$C$5,$C$7,M$1,M$2,$A184)</f>
        <v>0</v>
      </c>
      <c r="N184" s="33">
        <f ca="1">_xll.DBRW($C$1,$C$2,$C$3,$C$4,$C$6,$C$5,$C$7,N$1,N$2,$A184)</f>
        <v>0</v>
      </c>
      <c r="O184" s="33">
        <f ca="1">_xll.DBRW($C$1,$C$2,$C$3,$C$4,$C$6,$C$5,$C$7,O$1,O$2,$A184)</f>
        <v>0</v>
      </c>
      <c r="P184" s="33">
        <f ca="1">_xll.DBRW($C$1,$C$2,$C$3,$C$4,$C$6,$C$5,$C$7,P$1,P$2,$A184)</f>
        <v>0</v>
      </c>
      <c r="Q184" s="33">
        <f ca="1">_xll.DBRW($C$1,$C$2,$C$3,$C$4,$C$6,$C$5,$C$7,Q$1,Q$2,$A184)</f>
        <v>0</v>
      </c>
      <c r="R184" s="33">
        <f ca="1">_xll.DBRW($C$1,$C$2,$C$3,$C$4,$C$6,$C$5,$C$7,R$1,R$2,$A184)</f>
        <v>0</v>
      </c>
      <c r="S184" s="33">
        <f ca="1">_xll.DBRW($C$1,$C$2,$C$3,$C$4,$C$6,$C$5,$C$7,S$1,S$2,$A184)</f>
        <v>0</v>
      </c>
      <c r="T184" s="33">
        <f ca="1">_xll.DBRW($C$1,$C$2,$C$3,$C$4,$C$6,$C$5,$C$7,T$1,T$2,$A184)</f>
        <v>0</v>
      </c>
      <c r="U184" s="33">
        <f ca="1">_xll.DBRW($C$1,$C$2,$C$3,$C$4,$C$6,$C$5,$C$7,U$1,U$2,$A184)</f>
        <v>0</v>
      </c>
      <c r="V184" s="33">
        <f ca="1">_xll.DBRW($C$1,$C$2,$C$3,$C$4,$C$6,$C$5,$C$7,V$1,V$2,$A184)</f>
        <v>0</v>
      </c>
      <c r="W184" s="33">
        <f ca="1">_xll.DBRW($C$1,$C$2,$C$3,$C$4,$C$6,$C$5,$C$7,W$1,W$2,$A184)</f>
        <v>0</v>
      </c>
      <c r="X184" s="33">
        <f ca="1">_xll.DBRW($C$1,$C$2,$C$3,$C$4,$C$6,$C$5,$C$7,X$1,X$2,$A184)</f>
        <v>0</v>
      </c>
      <c r="Y184" s="33">
        <f ca="1">_xll.DBRW($C$1,$C$2,$C$3,$C$4,$C$6,$C$5,$C$7,Y$1,Y$2,$A184)</f>
        <v>0</v>
      </c>
      <c r="Z184" s="33">
        <f ca="1">_xll.DBRW($C$1,$C$2,$C$3,$C$4,$C$6,$C$5,$C$7,Z$1,Z$2,$A184)</f>
        <v>0</v>
      </c>
      <c r="AA184" s="33">
        <f ca="1">_xll.DBRW($C$1,$C$2,$C$3,$C$4,$C$6,$C$5,$C$7,AA$1,AA$2,$A184)</f>
        <v>0</v>
      </c>
      <c r="AB184" s="33">
        <f ca="1">_xll.DBRW($C$1,$C$2,$C$3,$C$4,$C$6,$C$5,$C$7,AB$1,AB$2,$A184)</f>
        <v>0</v>
      </c>
      <c r="AC184" s="33">
        <f ca="1">_xll.DBRW($C$1,$C$2,$C$3,$C$4,$C$6,$C$5,$C$7,AC$1,AC$2,$A184)</f>
        <v>0</v>
      </c>
      <c r="AD184" s="33">
        <f ca="1">_xll.DBRW($C$1,$C$2,$C$3,$C$4,$C$6,$C$5,$C$7,AD$1,AD$2,$A184)</f>
        <v>0</v>
      </c>
      <c r="AE184" s="33">
        <f ca="1">_xll.DBRW($C$1,$C$2,$C$3,$C$4,$C$6,$C$5,$C$7,AE$1,AE$2,$A184)</f>
        <v>0</v>
      </c>
      <c r="AF184" s="33">
        <f ca="1">_xll.DBRW($C$1,$C$2,$C$3,$C$4,$C$6,$C$5,$C$7,AF$1,AF$2,$A184)</f>
        <v>0</v>
      </c>
      <c r="AG184" s="33">
        <f ca="1">_xll.DBRW($C$1,$C$2,$C$3,$C$4,$C$6,$C$5,$C$7,AG$1,AG$2,$A184)</f>
        <v>0</v>
      </c>
      <c r="AH184" s="33">
        <f ca="1">_xll.DBRW($C$1,$C$2,$C$3,$C$4,$C$6,$C$5,$C$7,AH$1,AH$2,$A184)</f>
        <v>0</v>
      </c>
      <c r="AI184" s="33">
        <f ca="1">_xll.DBRW($C$1,$C$2,$C$3,$C$4,$C$6,$C$5,$C$7,AI$1,AI$2,$A184)</f>
        <v>0</v>
      </c>
      <c r="AJ184" s="33">
        <f ca="1">_xll.DBRW($C$1,$C$2,$C$3,$C$4,$C$6,$C$5,$C$7,AJ$1,AJ$2,$A184)</f>
        <v>0</v>
      </c>
      <c r="AK184" s="33">
        <f ca="1">_xll.DBRW($C$1,$C$2,$C$3,$C$4,$C$6,$C$5,$C$7,AK$1,AK$2,$A184)</f>
        <v>0</v>
      </c>
      <c r="AL184" s="33">
        <f ca="1">_xll.DBRW($C$1,$C$2,$C$3,$C$4,$C$6,$C$5,$C$7,AL$1,AL$2,$A184)</f>
        <v>0</v>
      </c>
      <c r="AM184" s="33">
        <f ca="1">_xll.DBRW($C$1,$C$2,$C$3,$C$4,$C$6,$C$5,$C$7,AM$1,AM$2,$A184)</f>
        <v>0</v>
      </c>
      <c r="AN184" s="33">
        <f ca="1">_xll.DBRW($C$1,$C$2,$C$3,$C$4,$C$6,$C$5,$C$7,AN$1,AN$2,$A184)</f>
        <v>0</v>
      </c>
      <c r="AO184" s="33">
        <f ca="1">_xll.DBRW($C$1,$C$2,$C$3,$C$4,$C$6,$C$5,$C$7,AO$1,AO$2,$A184)</f>
        <v>0</v>
      </c>
      <c r="AP184" s="33">
        <f ca="1">_xll.DBRW($C$1,$C$2,$C$3,$C$4,$C$6,$C$5,$C$7,AP$1,AP$2,$A184)</f>
        <v>0</v>
      </c>
      <c r="AQ184" s="33">
        <f ca="1">_xll.DBRW($C$1,$C$2,$C$3,$C$4,$C$6,$C$5,$C$7,AQ$1,AQ$2,$A184)</f>
        <v>0</v>
      </c>
      <c r="AR184" s="33">
        <f ca="1">_xll.DBRW($C$1,$C$2,$C$3,$C$4,$C$6,$C$5,$C$7,AR$1,AR$2,$A184)</f>
        <v>0</v>
      </c>
      <c r="AS184" s="33">
        <f ca="1">_xll.DBRW($C$1,$C$2,$C$3,$C$4,$C$6,$C$5,$C$7,AS$1,AS$2,$A184)</f>
        <v>0</v>
      </c>
      <c r="AT184" s="33">
        <f ca="1">_xll.DBRW($C$1,$C$2,$C$3,$C$4,$C$6,$C$5,$C$7,AT$1,AT$2,$A184)</f>
        <v>0</v>
      </c>
      <c r="AU184" s="33">
        <f ca="1">_xll.DBRW($C$1,$C$2,$C$3,$C$4,$C$6,$C$5,$C$7,AU$1,AU$2,$A184)</f>
        <v>0</v>
      </c>
      <c r="AV184" s="33">
        <f ca="1">_xll.DBRW($C$1,$C$2,$C$3,$C$4,$C$6,$C$5,$C$7,AV$1,AV$2,$A184)</f>
        <v>0</v>
      </c>
      <c r="AW184" s="33">
        <f ca="1">_xll.DBRW($C$1,$C$2,$C$3,$C$4,$C$6,$C$5,$C$7,AW$1,AW$2,$A184)</f>
        <v>0</v>
      </c>
      <c r="AX184" s="33">
        <f ca="1">_xll.DBRW($C$1,$C$2,$C$3,$C$4,$C$6,$C$5,$C$7,AX$1,AX$2,$A184)</f>
        <v>0</v>
      </c>
      <c r="AY184" s="33">
        <f ca="1">_xll.DBRW($C$1,$C$2,$C$3,$C$4,$C$6,$C$5,$C$7,AY$1,AY$2,$A184)</f>
        <v>0</v>
      </c>
    </row>
    <row r="185" spans="1:51" ht="15.75" hidden="1" customHeight="1" outlineLevel="2">
      <c r="A185" s="1" t="s">
        <v>274</v>
      </c>
      <c r="C185" s="109"/>
      <c r="E185" s="9" t="str">
        <f ca="1">_xll.DBRW(Server&amp;"}ElementAttributes_Indicator",A185,"code_English")</f>
        <v>PL1150_AC_90 - Impairment (other than working capital) and provisions - others (AC)</v>
      </c>
      <c r="F185" s="33">
        <f ca="1">_xll.DBRW($C$1,$C$2,$C$3,$C$4,$C$6,$C$5,$C$7,F$1,F$2,$A185)</f>
        <v>0</v>
      </c>
      <c r="G185" s="33">
        <f ca="1">_xll.DBRW($C$1,$C$2,$C$3,$C$4,$C$6,$C$5,$C$7,G$1,G$2,$A185)</f>
        <v>0</v>
      </c>
      <c r="H185" s="33">
        <f ca="1">_xll.DBRW($C$1,$C$2,$C$3,$C$4,$C$6,$C$5,$C$7,H$1,H$2,$A185)</f>
        <v>0</v>
      </c>
      <c r="I185" s="33">
        <f ca="1">_xll.DBRW($C$1,$C$2,$C$3,$C$4,$C$6,$C$5,$C$7,I$1,I$2,$A185)</f>
        <v>0</v>
      </c>
      <c r="J185" s="33">
        <f ca="1">_xll.DBRW($C$1,$C$2,$C$3,$C$4,$C$6,$C$5,$C$7,J$1,J$2,$A185)</f>
        <v>0</v>
      </c>
      <c r="K185" s="33">
        <f ca="1">_xll.DBRW($C$1,$C$2,$C$3,$C$4,$C$6,$C$5,$C$7,K$1,K$2,$A185)</f>
        <v>0</v>
      </c>
      <c r="L185" s="33">
        <f ca="1">_xll.DBRW($C$1,$C$2,$C$3,$C$4,$C$6,$C$5,$C$7,L$1,L$2,$A185)</f>
        <v>0</v>
      </c>
      <c r="M185" s="33">
        <f ca="1">_xll.DBRW($C$1,$C$2,$C$3,$C$4,$C$6,$C$5,$C$7,M$1,M$2,$A185)</f>
        <v>0</v>
      </c>
      <c r="N185" s="33">
        <f ca="1">_xll.DBRW($C$1,$C$2,$C$3,$C$4,$C$6,$C$5,$C$7,N$1,N$2,$A185)</f>
        <v>0</v>
      </c>
      <c r="O185" s="33">
        <f ca="1">_xll.DBRW($C$1,$C$2,$C$3,$C$4,$C$6,$C$5,$C$7,O$1,O$2,$A185)</f>
        <v>0</v>
      </c>
      <c r="P185" s="33">
        <f ca="1">_xll.DBRW($C$1,$C$2,$C$3,$C$4,$C$6,$C$5,$C$7,P$1,P$2,$A185)</f>
        <v>0</v>
      </c>
      <c r="Q185" s="33">
        <f ca="1">_xll.DBRW($C$1,$C$2,$C$3,$C$4,$C$6,$C$5,$C$7,Q$1,Q$2,$A185)</f>
        <v>0</v>
      </c>
      <c r="R185" s="33">
        <f ca="1">_xll.DBRW($C$1,$C$2,$C$3,$C$4,$C$6,$C$5,$C$7,R$1,R$2,$A185)</f>
        <v>0</v>
      </c>
      <c r="S185" s="33">
        <f ca="1">_xll.DBRW($C$1,$C$2,$C$3,$C$4,$C$6,$C$5,$C$7,S$1,S$2,$A185)</f>
        <v>0</v>
      </c>
      <c r="T185" s="33">
        <f ca="1">_xll.DBRW($C$1,$C$2,$C$3,$C$4,$C$6,$C$5,$C$7,T$1,T$2,$A185)</f>
        <v>0</v>
      </c>
      <c r="U185" s="33">
        <f ca="1">_xll.DBRW($C$1,$C$2,$C$3,$C$4,$C$6,$C$5,$C$7,U$1,U$2,$A185)</f>
        <v>0</v>
      </c>
      <c r="V185" s="33">
        <f ca="1">_xll.DBRW($C$1,$C$2,$C$3,$C$4,$C$6,$C$5,$C$7,V$1,V$2,$A185)</f>
        <v>0</v>
      </c>
      <c r="W185" s="33">
        <f ca="1">_xll.DBRW($C$1,$C$2,$C$3,$C$4,$C$6,$C$5,$C$7,W$1,W$2,$A185)</f>
        <v>0</v>
      </c>
      <c r="X185" s="33">
        <f ca="1">_xll.DBRW($C$1,$C$2,$C$3,$C$4,$C$6,$C$5,$C$7,X$1,X$2,$A185)</f>
        <v>0</v>
      </c>
      <c r="Y185" s="33">
        <f ca="1">_xll.DBRW($C$1,$C$2,$C$3,$C$4,$C$6,$C$5,$C$7,Y$1,Y$2,$A185)</f>
        <v>0</v>
      </c>
      <c r="Z185" s="33">
        <f ca="1">_xll.DBRW($C$1,$C$2,$C$3,$C$4,$C$6,$C$5,$C$7,Z$1,Z$2,$A185)</f>
        <v>0</v>
      </c>
      <c r="AA185" s="33">
        <f ca="1">_xll.DBRW($C$1,$C$2,$C$3,$C$4,$C$6,$C$5,$C$7,AA$1,AA$2,$A185)</f>
        <v>0</v>
      </c>
      <c r="AB185" s="33">
        <f ca="1">_xll.DBRW($C$1,$C$2,$C$3,$C$4,$C$6,$C$5,$C$7,AB$1,AB$2,$A185)</f>
        <v>0</v>
      </c>
      <c r="AC185" s="33">
        <f ca="1">_xll.DBRW($C$1,$C$2,$C$3,$C$4,$C$6,$C$5,$C$7,AC$1,AC$2,$A185)</f>
        <v>0</v>
      </c>
      <c r="AD185" s="33">
        <f ca="1">_xll.DBRW($C$1,$C$2,$C$3,$C$4,$C$6,$C$5,$C$7,AD$1,AD$2,$A185)</f>
        <v>0</v>
      </c>
      <c r="AE185" s="33">
        <f ca="1">_xll.DBRW($C$1,$C$2,$C$3,$C$4,$C$6,$C$5,$C$7,AE$1,AE$2,$A185)</f>
        <v>0</v>
      </c>
      <c r="AF185" s="33">
        <f ca="1">_xll.DBRW($C$1,$C$2,$C$3,$C$4,$C$6,$C$5,$C$7,AF$1,AF$2,$A185)</f>
        <v>0</v>
      </c>
      <c r="AG185" s="33">
        <f ca="1">_xll.DBRW($C$1,$C$2,$C$3,$C$4,$C$6,$C$5,$C$7,AG$1,AG$2,$A185)</f>
        <v>0</v>
      </c>
      <c r="AH185" s="33">
        <f ca="1">_xll.DBRW($C$1,$C$2,$C$3,$C$4,$C$6,$C$5,$C$7,AH$1,AH$2,$A185)</f>
        <v>0</v>
      </c>
      <c r="AI185" s="33">
        <f ca="1">_xll.DBRW($C$1,$C$2,$C$3,$C$4,$C$6,$C$5,$C$7,AI$1,AI$2,$A185)</f>
        <v>0</v>
      </c>
      <c r="AJ185" s="33">
        <f ca="1">_xll.DBRW($C$1,$C$2,$C$3,$C$4,$C$6,$C$5,$C$7,AJ$1,AJ$2,$A185)</f>
        <v>0</v>
      </c>
      <c r="AK185" s="33">
        <f ca="1">_xll.DBRW($C$1,$C$2,$C$3,$C$4,$C$6,$C$5,$C$7,AK$1,AK$2,$A185)</f>
        <v>0</v>
      </c>
      <c r="AL185" s="33">
        <f ca="1">_xll.DBRW($C$1,$C$2,$C$3,$C$4,$C$6,$C$5,$C$7,AL$1,AL$2,$A185)</f>
        <v>0</v>
      </c>
      <c r="AM185" s="33">
        <f ca="1">_xll.DBRW($C$1,$C$2,$C$3,$C$4,$C$6,$C$5,$C$7,AM$1,AM$2,$A185)</f>
        <v>0</v>
      </c>
      <c r="AN185" s="33">
        <f ca="1">_xll.DBRW($C$1,$C$2,$C$3,$C$4,$C$6,$C$5,$C$7,AN$1,AN$2,$A185)</f>
        <v>0</v>
      </c>
      <c r="AO185" s="33">
        <f ca="1">_xll.DBRW($C$1,$C$2,$C$3,$C$4,$C$6,$C$5,$C$7,AO$1,AO$2,$A185)</f>
        <v>0</v>
      </c>
      <c r="AP185" s="33">
        <f ca="1">_xll.DBRW($C$1,$C$2,$C$3,$C$4,$C$6,$C$5,$C$7,AP$1,AP$2,$A185)</f>
        <v>0</v>
      </c>
      <c r="AQ185" s="33">
        <f ca="1">_xll.DBRW($C$1,$C$2,$C$3,$C$4,$C$6,$C$5,$C$7,AQ$1,AQ$2,$A185)</f>
        <v>0</v>
      </c>
      <c r="AR185" s="33">
        <f ca="1">_xll.DBRW($C$1,$C$2,$C$3,$C$4,$C$6,$C$5,$C$7,AR$1,AR$2,$A185)</f>
        <v>0</v>
      </c>
      <c r="AS185" s="33">
        <f ca="1">_xll.DBRW($C$1,$C$2,$C$3,$C$4,$C$6,$C$5,$C$7,AS$1,AS$2,$A185)</f>
        <v>0</v>
      </c>
      <c r="AT185" s="33">
        <f ca="1">_xll.DBRW($C$1,$C$2,$C$3,$C$4,$C$6,$C$5,$C$7,AT$1,AT$2,$A185)</f>
        <v>0</v>
      </c>
      <c r="AU185" s="33">
        <f ca="1">_xll.DBRW($C$1,$C$2,$C$3,$C$4,$C$6,$C$5,$C$7,AU$1,AU$2,$A185)</f>
        <v>0</v>
      </c>
      <c r="AV185" s="33">
        <f ca="1">_xll.DBRW($C$1,$C$2,$C$3,$C$4,$C$6,$C$5,$C$7,AV$1,AV$2,$A185)</f>
        <v>0</v>
      </c>
      <c r="AW185" s="33">
        <f ca="1">_xll.DBRW($C$1,$C$2,$C$3,$C$4,$C$6,$C$5,$C$7,AW$1,AW$2,$A185)</f>
        <v>0</v>
      </c>
      <c r="AX185" s="33">
        <f ca="1">_xll.DBRW($C$1,$C$2,$C$3,$C$4,$C$6,$C$5,$C$7,AX$1,AX$2,$A185)</f>
        <v>0</v>
      </c>
      <c r="AY185" s="33">
        <f ca="1">_xll.DBRW($C$1,$C$2,$C$3,$C$4,$C$6,$C$5,$C$7,AY$1,AY$2,$A185)</f>
        <v>0</v>
      </c>
    </row>
    <row r="186" spans="1:51" ht="15.75" hidden="1" customHeight="1" outlineLevel="2">
      <c r="A186" s="1" t="s">
        <v>275</v>
      </c>
      <c r="C186" s="109"/>
      <c r="E186" s="9" t="str">
        <f ca="1">_xll.DBRW(Server&amp;"}ElementAttributes_Indicator",A186,"code_English")</f>
        <v>PL1150_AC_91 - Impairment (other than working capital) and provisions - others - Reversal</v>
      </c>
      <c r="F186" s="33">
        <f ca="1">_xll.DBRW($C$1,$C$2,$C$3,$C$4,$C$6,$C$5,$C$7,F$1,F$2,$A186)</f>
        <v>0</v>
      </c>
      <c r="G186" s="33">
        <f ca="1">_xll.DBRW($C$1,$C$2,$C$3,$C$4,$C$6,$C$5,$C$7,G$1,G$2,$A186)</f>
        <v>0</v>
      </c>
      <c r="H186" s="33">
        <f ca="1">_xll.DBRW($C$1,$C$2,$C$3,$C$4,$C$6,$C$5,$C$7,H$1,H$2,$A186)</f>
        <v>0</v>
      </c>
      <c r="I186" s="33">
        <f ca="1">_xll.DBRW($C$1,$C$2,$C$3,$C$4,$C$6,$C$5,$C$7,I$1,I$2,$A186)</f>
        <v>0</v>
      </c>
      <c r="J186" s="33">
        <f ca="1">_xll.DBRW($C$1,$C$2,$C$3,$C$4,$C$6,$C$5,$C$7,J$1,J$2,$A186)</f>
        <v>0</v>
      </c>
      <c r="K186" s="33">
        <f ca="1">_xll.DBRW($C$1,$C$2,$C$3,$C$4,$C$6,$C$5,$C$7,K$1,K$2,$A186)</f>
        <v>0</v>
      </c>
      <c r="L186" s="33">
        <f ca="1">_xll.DBRW($C$1,$C$2,$C$3,$C$4,$C$6,$C$5,$C$7,L$1,L$2,$A186)</f>
        <v>0</v>
      </c>
      <c r="M186" s="33">
        <f ca="1">_xll.DBRW($C$1,$C$2,$C$3,$C$4,$C$6,$C$5,$C$7,M$1,M$2,$A186)</f>
        <v>0</v>
      </c>
      <c r="N186" s="33">
        <f ca="1">_xll.DBRW($C$1,$C$2,$C$3,$C$4,$C$6,$C$5,$C$7,N$1,N$2,$A186)</f>
        <v>0</v>
      </c>
      <c r="O186" s="33">
        <f ca="1">_xll.DBRW($C$1,$C$2,$C$3,$C$4,$C$6,$C$5,$C$7,O$1,O$2,$A186)</f>
        <v>0</v>
      </c>
      <c r="P186" s="33">
        <f ca="1">_xll.DBRW($C$1,$C$2,$C$3,$C$4,$C$6,$C$5,$C$7,P$1,P$2,$A186)</f>
        <v>0</v>
      </c>
      <c r="Q186" s="33">
        <f ca="1">_xll.DBRW($C$1,$C$2,$C$3,$C$4,$C$6,$C$5,$C$7,Q$1,Q$2,$A186)</f>
        <v>0</v>
      </c>
      <c r="R186" s="33">
        <f ca="1">_xll.DBRW($C$1,$C$2,$C$3,$C$4,$C$6,$C$5,$C$7,R$1,R$2,$A186)</f>
        <v>0</v>
      </c>
      <c r="S186" s="33">
        <f ca="1">_xll.DBRW($C$1,$C$2,$C$3,$C$4,$C$6,$C$5,$C$7,S$1,S$2,$A186)</f>
        <v>0</v>
      </c>
      <c r="T186" s="33">
        <f ca="1">_xll.DBRW($C$1,$C$2,$C$3,$C$4,$C$6,$C$5,$C$7,T$1,T$2,$A186)</f>
        <v>0</v>
      </c>
      <c r="U186" s="33">
        <f ca="1">_xll.DBRW($C$1,$C$2,$C$3,$C$4,$C$6,$C$5,$C$7,U$1,U$2,$A186)</f>
        <v>0</v>
      </c>
      <c r="V186" s="33">
        <f ca="1">_xll.DBRW($C$1,$C$2,$C$3,$C$4,$C$6,$C$5,$C$7,V$1,V$2,$A186)</f>
        <v>0</v>
      </c>
      <c r="W186" s="33">
        <f ca="1">_xll.DBRW($C$1,$C$2,$C$3,$C$4,$C$6,$C$5,$C$7,W$1,W$2,$A186)</f>
        <v>0</v>
      </c>
      <c r="X186" s="33">
        <f ca="1">_xll.DBRW($C$1,$C$2,$C$3,$C$4,$C$6,$C$5,$C$7,X$1,X$2,$A186)</f>
        <v>0</v>
      </c>
      <c r="Y186" s="33">
        <f ca="1">_xll.DBRW($C$1,$C$2,$C$3,$C$4,$C$6,$C$5,$C$7,Y$1,Y$2,$A186)</f>
        <v>0</v>
      </c>
      <c r="Z186" s="33">
        <f ca="1">_xll.DBRW($C$1,$C$2,$C$3,$C$4,$C$6,$C$5,$C$7,Z$1,Z$2,$A186)</f>
        <v>0</v>
      </c>
      <c r="AA186" s="33">
        <f ca="1">_xll.DBRW($C$1,$C$2,$C$3,$C$4,$C$6,$C$5,$C$7,AA$1,AA$2,$A186)</f>
        <v>0</v>
      </c>
      <c r="AB186" s="33">
        <f ca="1">_xll.DBRW($C$1,$C$2,$C$3,$C$4,$C$6,$C$5,$C$7,AB$1,AB$2,$A186)</f>
        <v>0</v>
      </c>
      <c r="AC186" s="33">
        <f ca="1">_xll.DBRW($C$1,$C$2,$C$3,$C$4,$C$6,$C$5,$C$7,AC$1,AC$2,$A186)</f>
        <v>0</v>
      </c>
      <c r="AD186" s="33">
        <f ca="1">_xll.DBRW($C$1,$C$2,$C$3,$C$4,$C$6,$C$5,$C$7,AD$1,AD$2,$A186)</f>
        <v>0</v>
      </c>
      <c r="AE186" s="33">
        <f ca="1">_xll.DBRW($C$1,$C$2,$C$3,$C$4,$C$6,$C$5,$C$7,AE$1,AE$2,$A186)</f>
        <v>0</v>
      </c>
      <c r="AF186" s="33">
        <f ca="1">_xll.DBRW($C$1,$C$2,$C$3,$C$4,$C$6,$C$5,$C$7,AF$1,AF$2,$A186)</f>
        <v>0</v>
      </c>
      <c r="AG186" s="33">
        <f ca="1">_xll.DBRW($C$1,$C$2,$C$3,$C$4,$C$6,$C$5,$C$7,AG$1,AG$2,$A186)</f>
        <v>0</v>
      </c>
      <c r="AH186" s="33">
        <f ca="1">_xll.DBRW($C$1,$C$2,$C$3,$C$4,$C$6,$C$5,$C$7,AH$1,AH$2,$A186)</f>
        <v>0</v>
      </c>
      <c r="AI186" s="33">
        <f ca="1">_xll.DBRW($C$1,$C$2,$C$3,$C$4,$C$6,$C$5,$C$7,AI$1,AI$2,$A186)</f>
        <v>0</v>
      </c>
      <c r="AJ186" s="33">
        <f ca="1">_xll.DBRW($C$1,$C$2,$C$3,$C$4,$C$6,$C$5,$C$7,AJ$1,AJ$2,$A186)</f>
        <v>0</v>
      </c>
      <c r="AK186" s="33">
        <f ca="1">_xll.DBRW($C$1,$C$2,$C$3,$C$4,$C$6,$C$5,$C$7,AK$1,AK$2,$A186)</f>
        <v>0</v>
      </c>
      <c r="AL186" s="33">
        <f ca="1">_xll.DBRW($C$1,$C$2,$C$3,$C$4,$C$6,$C$5,$C$7,AL$1,AL$2,$A186)</f>
        <v>0</v>
      </c>
      <c r="AM186" s="33">
        <f ca="1">_xll.DBRW($C$1,$C$2,$C$3,$C$4,$C$6,$C$5,$C$7,AM$1,AM$2,$A186)</f>
        <v>0</v>
      </c>
      <c r="AN186" s="33">
        <f ca="1">_xll.DBRW($C$1,$C$2,$C$3,$C$4,$C$6,$C$5,$C$7,AN$1,AN$2,$A186)</f>
        <v>0</v>
      </c>
      <c r="AO186" s="33">
        <f ca="1">_xll.DBRW($C$1,$C$2,$C$3,$C$4,$C$6,$C$5,$C$7,AO$1,AO$2,$A186)</f>
        <v>0</v>
      </c>
      <c r="AP186" s="33">
        <f ca="1">_xll.DBRW($C$1,$C$2,$C$3,$C$4,$C$6,$C$5,$C$7,AP$1,AP$2,$A186)</f>
        <v>0</v>
      </c>
      <c r="AQ186" s="33">
        <f ca="1">_xll.DBRW($C$1,$C$2,$C$3,$C$4,$C$6,$C$5,$C$7,AQ$1,AQ$2,$A186)</f>
        <v>0</v>
      </c>
      <c r="AR186" s="33">
        <f ca="1">_xll.DBRW($C$1,$C$2,$C$3,$C$4,$C$6,$C$5,$C$7,AR$1,AR$2,$A186)</f>
        <v>0</v>
      </c>
      <c r="AS186" s="33">
        <f ca="1">_xll.DBRW($C$1,$C$2,$C$3,$C$4,$C$6,$C$5,$C$7,AS$1,AS$2,$A186)</f>
        <v>0</v>
      </c>
      <c r="AT186" s="33">
        <f ca="1">_xll.DBRW($C$1,$C$2,$C$3,$C$4,$C$6,$C$5,$C$7,AT$1,AT$2,$A186)</f>
        <v>0</v>
      </c>
      <c r="AU186" s="33">
        <f ca="1">_xll.DBRW($C$1,$C$2,$C$3,$C$4,$C$6,$C$5,$C$7,AU$1,AU$2,$A186)</f>
        <v>0</v>
      </c>
      <c r="AV186" s="33">
        <f ca="1">_xll.DBRW($C$1,$C$2,$C$3,$C$4,$C$6,$C$5,$C$7,AV$1,AV$2,$A186)</f>
        <v>0</v>
      </c>
      <c r="AW186" s="33">
        <f ca="1">_xll.DBRW($C$1,$C$2,$C$3,$C$4,$C$6,$C$5,$C$7,AW$1,AW$2,$A186)</f>
        <v>0</v>
      </c>
      <c r="AX186" s="33">
        <f ca="1">_xll.DBRW($C$1,$C$2,$C$3,$C$4,$C$6,$C$5,$C$7,AX$1,AX$2,$A186)</f>
        <v>0</v>
      </c>
      <c r="AY186" s="33">
        <f ca="1">_xll.DBRW($C$1,$C$2,$C$3,$C$4,$C$6,$C$5,$C$7,AY$1,AY$2,$A186)</f>
        <v>0</v>
      </c>
    </row>
    <row r="187" spans="1:51" ht="15.75" hidden="1" customHeight="1" outlineLevel="2">
      <c r="A187" s="1" t="s">
        <v>276</v>
      </c>
      <c r="C187" s="109"/>
      <c r="E187" s="9" t="str">
        <f ca="1">_xll.DBRW(Server&amp;"}ElementAttributes_Indicator",A187,"code_English")</f>
        <v>PL1170_AC - Net provisions for restructuring costs (AC)</v>
      </c>
      <c r="F187" s="33">
        <f ca="1">_xll.DBRW($C$1,$C$2,$C$3,$C$4,$C$6,$C$5,$C$7,F$1,F$2,$A187)</f>
        <v>0</v>
      </c>
      <c r="G187" s="33">
        <f ca="1">_xll.DBRW($C$1,$C$2,$C$3,$C$4,$C$6,$C$5,$C$7,G$1,G$2,$A187)</f>
        <v>0</v>
      </c>
      <c r="H187" s="33">
        <f ca="1">_xll.DBRW($C$1,$C$2,$C$3,$C$4,$C$6,$C$5,$C$7,H$1,H$2,$A187)</f>
        <v>0</v>
      </c>
      <c r="I187" s="33">
        <f ca="1">_xll.DBRW($C$1,$C$2,$C$3,$C$4,$C$6,$C$5,$C$7,I$1,I$2,$A187)</f>
        <v>0</v>
      </c>
      <c r="J187" s="33">
        <f ca="1">_xll.DBRW($C$1,$C$2,$C$3,$C$4,$C$6,$C$5,$C$7,J$1,J$2,$A187)</f>
        <v>0</v>
      </c>
      <c r="K187" s="33">
        <f ca="1">_xll.DBRW($C$1,$C$2,$C$3,$C$4,$C$6,$C$5,$C$7,K$1,K$2,$A187)</f>
        <v>0</v>
      </c>
      <c r="L187" s="33">
        <f ca="1">_xll.DBRW($C$1,$C$2,$C$3,$C$4,$C$6,$C$5,$C$7,L$1,L$2,$A187)</f>
        <v>0</v>
      </c>
      <c r="M187" s="33">
        <f ca="1">_xll.DBRW($C$1,$C$2,$C$3,$C$4,$C$6,$C$5,$C$7,M$1,M$2,$A187)</f>
        <v>0</v>
      </c>
      <c r="N187" s="33">
        <f ca="1">_xll.DBRW($C$1,$C$2,$C$3,$C$4,$C$6,$C$5,$C$7,N$1,N$2,$A187)</f>
        <v>0</v>
      </c>
      <c r="O187" s="33">
        <f ca="1">_xll.DBRW($C$1,$C$2,$C$3,$C$4,$C$6,$C$5,$C$7,O$1,O$2,$A187)</f>
        <v>0</v>
      </c>
      <c r="P187" s="33">
        <f ca="1">_xll.DBRW($C$1,$C$2,$C$3,$C$4,$C$6,$C$5,$C$7,P$1,P$2,$A187)</f>
        <v>0</v>
      </c>
      <c r="Q187" s="33">
        <f ca="1">_xll.DBRW($C$1,$C$2,$C$3,$C$4,$C$6,$C$5,$C$7,Q$1,Q$2,$A187)</f>
        <v>0</v>
      </c>
      <c r="R187" s="33">
        <f ca="1">_xll.DBRW($C$1,$C$2,$C$3,$C$4,$C$6,$C$5,$C$7,R$1,R$2,$A187)</f>
        <v>0</v>
      </c>
      <c r="S187" s="33">
        <f ca="1">_xll.DBRW($C$1,$C$2,$C$3,$C$4,$C$6,$C$5,$C$7,S$1,S$2,$A187)</f>
        <v>0</v>
      </c>
      <c r="T187" s="33">
        <f ca="1">_xll.DBRW($C$1,$C$2,$C$3,$C$4,$C$6,$C$5,$C$7,T$1,T$2,$A187)</f>
        <v>0</v>
      </c>
      <c r="U187" s="33">
        <f ca="1">_xll.DBRW($C$1,$C$2,$C$3,$C$4,$C$6,$C$5,$C$7,U$1,U$2,$A187)</f>
        <v>0</v>
      </c>
      <c r="V187" s="33">
        <f ca="1">_xll.DBRW($C$1,$C$2,$C$3,$C$4,$C$6,$C$5,$C$7,V$1,V$2,$A187)</f>
        <v>0</v>
      </c>
      <c r="W187" s="33">
        <f ca="1">_xll.DBRW($C$1,$C$2,$C$3,$C$4,$C$6,$C$5,$C$7,W$1,W$2,$A187)</f>
        <v>0</v>
      </c>
      <c r="X187" s="33">
        <f ca="1">_xll.DBRW($C$1,$C$2,$C$3,$C$4,$C$6,$C$5,$C$7,X$1,X$2,$A187)</f>
        <v>0</v>
      </c>
      <c r="Y187" s="33">
        <f ca="1">_xll.DBRW($C$1,$C$2,$C$3,$C$4,$C$6,$C$5,$C$7,Y$1,Y$2,$A187)</f>
        <v>0</v>
      </c>
      <c r="Z187" s="33">
        <f ca="1">_xll.DBRW($C$1,$C$2,$C$3,$C$4,$C$6,$C$5,$C$7,Z$1,Z$2,$A187)</f>
        <v>0</v>
      </c>
      <c r="AA187" s="33">
        <f ca="1">_xll.DBRW($C$1,$C$2,$C$3,$C$4,$C$6,$C$5,$C$7,AA$1,AA$2,$A187)</f>
        <v>0</v>
      </c>
      <c r="AB187" s="33">
        <f ca="1">_xll.DBRW($C$1,$C$2,$C$3,$C$4,$C$6,$C$5,$C$7,AB$1,AB$2,$A187)</f>
        <v>0</v>
      </c>
      <c r="AC187" s="33">
        <f ca="1">_xll.DBRW($C$1,$C$2,$C$3,$C$4,$C$6,$C$5,$C$7,AC$1,AC$2,$A187)</f>
        <v>0</v>
      </c>
      <c r="AD187" s="33">
        <f ca="1">_xll.DBRW($C$1,$C$2,$C$3,$C$4,$C$6,$C$5,$C$7,AD$1,AD$2,$A187)</f>
        <v>0</v>
      </c>
      <c r="AE187" s="33">
        <f ca="1">_xll.DBRW($C$1,$C$2,$C$3,$C$4,$C$6,$C$5,$C$7,AE$1,AE$2,$A187)</f>
        <v>0</v>
      </c>
      <c r="AF187" s="33">
        <f ca="1">_xll.DBRW($C$1,$C$2,$C$3,$C$4,$C$6,$C$5,$C$7,AF$1,AF$2,$A187)</f>
        <v>0</v>
      </c>
      <c r="AG187" s="33">
        <f ca="1">_xll.DBRW($C$1,$C$2,$C$3,$C$4,$C$6,$C$5,$C$7,AG$1,AG$2,$A187)</f>
        <v>0</v>
      </c>
      <c r="AH187" s="33">
        <f ca="1">_xll.DBRW($C$1,$C$2,$C$3,$C$4,$C$6,$C$5,$C$7,AH$1,AH$2,$A187)</f>
        <v>0</v>
      </c>
      <c r="AI187" s="33">
        <f ca="1">_xll.DBRW($C$1,$C$2,$C$3,$C$4,$C$6,$C$5,$C$7,AI$1,AI$2,$A187)</f>
        <v>0</v>
      </c>
      <c r="AJ187" s="33">
        <f ca="1">_xll.DBRW($C$1,$C$2,$C$3,$C$4,$C$6,$C$5,$C$7,AJ$1,AJ$2,$A187)</f>
        <v>0</v>
      </c>
      <c r="AK187" s="33">
        <f ca="1">_xll.DBRW($C$1,$C$2,$C$3,$C$4,$C$6,$C$5,$C$7,AK$1,AK$2,$A187)</f>
        <v>0</v>
      </c>
      <c r="AL187" s="33">
        <f ca="1">_xll.DBRW($C$1,$C$2,$C$3,$C$4,$C$6,$C$5,$C$7,AL$1,AL$2,$A187)</f>
        <v>0</v>
      </c>
      <c r="AM187" s="33">
        <f ca="1">_xll.DBRW($C$1,$C$2,$C$3,$C$4,$C$6,$C$5,$C$7,AM$1,AM$2,$A187)</f>
        <v>0</v>
      </c>
      <c r="AN187" s="33">
        <f ca="1">_xll.DBRW($C$1,$C$2,$C$3,$C$4,$C$6,$C$5,$C$7,AN$1,AN$2,$A187)</f>
        <v>0</v>
      </c>
      <c r="AO187" s="33">
        <f ca="1">_xll.DBRW($C$1,$C$2,$C$3,$C$4,$C$6,$C$5,$C$7,AO$1,AO$2,$A187)</f>
        <v>0</v>
      </c>
      <c r="AP187" s="33">
        <f ca="1">_xll.DBRW($C$1,$C$2,$C$3,$C$4,$C$6,$C$5,$C$7,AP$1,AP$2,$A187)</f>
        <v>0</v>
      </c>
      <c r="AQ187" s="33">
        <f ca="1">_xll.DBRW($C$1,$C$2,$C$3,$C$4,$C$6,$C$5,$C$7,AQ$1,AQ$2,$A187)</f>
        <v>0</v>
      </c>
      <c r="AR187" s="33">
        <f ca="1">_xll.DBRW($C$1,$C$2,$C$3,$C$4,$C$6,$C$5,$C$7,AR$1,AR$2,$A187)</f>
        <v>0</v>
      </c>
      <c r="AS187" s="33">
        <f ca="1">_xll.DBRW($C$1,$C$2,$C$3,$C$4,$C$6,$C$5,$C$7,AS$1,AS$2,$A187)</f>
        <v>0</v>
      </c>
      <c r="AT187" s="33">
        <f ca="1">_xll.DBRW($C$1,$C$2,$C$3,$C$4,$C$6,$C$5,$C$7,AT$1,AT$2,$A187)</f>
        <v>0</v>
      </c>
      <c r="AU187" s="33">
        <f ca="1">_xll.DBRW($C$1,$C$2,$C$3,$C$4,$C$6,$C$5,$C$7,AU$1,AU$2,$A187)</f>
        <v>0</v>
      </c>
      <c r="AV187" s="33">
        <f ca="1">_xll.DBRW($C$1,$C$2,$C$3,$C$4,$C$6,$C$5,$C$7,AV$1,AV$2,$A187)</f>
        <v>0</v>
      </c>
      <c r="AW187" s="33">
        <f ca="1">_xll.DBRW($C$1,$C$2,$C$3,$C$4,$C$6,$C$5,$C$7,AW$1,AW$2,$A187)</f>
        <v>0</v>
      </c>
      <c r="AX187" s="33">
        <f ca="1">_xll.DBRW($C$1,$C$2,$C$3,$C$4,$C$6,$C$5,$C$7,AX$1,AX$2,$A187)</f>
        <v>0</v>
      </c>
      <c r="AY187" s="33">
        <f ca="1">_xll.DBRW($C$1,$C$2,$C$3,$C$4,$C$6,$C$5,$C$7,AY$1,AY$2,$A187)</f>
        <v>0</v>
      </c>
    </row>
    <row r="188" spans="1:51" ht="15.75" hidden="1" customHeight="1" outlineLevel="2">
      <c r="A188" s="1" t="s">
        <v>277</v>
      </c>
      <c r="C188" s="109"/>
      <c r="E188" s="9" t="str">
        <f ca="1">_xll.DBRW(Server&amp;"}ElementAttributes_Indicator",A188,"code_English")</f>
        <v>PL1175_AC - Impairment on goodwill (full and proportionate consol.) (AC)</v>
      </c>
      <c r="F188" s="33">
        <f ca="1">_xll.DBRW($C$1,$C$2,$C$3,$C$4,$C$6,$C$5,$C$7,F$1,F$2,$A188)</f>
        <v>0</v>
      </c>
      <c r="G188" s="33">
        <f ca="1">_xll.DBRW($C$1,$C$2,$C$3,$C$4,$C$6,$C$5,$C$7,G$1,G$2,$A188)</f>
        <v>0</v>
      </c>
      <c r="H188" s="33">
        <f ca="1">_xll.DBRW($C$1,$C$2,$C$3,$C$4,$C$6,$C$5,$C$7,H$1,H$2,$A188)</f>
        <v>0</v>
      </c>
      <c r="I188" s="33">
        <f ca="1">_xll.DBRW($C$1,$C$2,$C$3,$C$4,$C$6,$C$5,$C$7,I$1,I$2,$A188)</f>
        <v>0</v>
      </c>
      <c r="J188" s="33">
        <f ca="1">_xll.DBRW($C$1,$C$2,$C$3,$C$4,$C$6,$C$5,$C$7,J$1,J$2,$A188)</f>
        <v>0</v>
      </c>
      <c r="K188" s="33">
        <f ca="1">_xll.DBRW($C$1,$C$2,$C$3,$C$4,$C$6,$C$5,$C$7,K$1,K$2,$A188)</f>
        <v>0</v>
      </c>
      <c r="L188" s="33">
        <f ca="1">_xll.DBRW($C$1,$C$2,$C$3,$C$4,$C$6,$C$5,$C$7,L$1,L$2,$A188)</f>
        <v>0</v>
      </c>
      <c r="M188" s="33">
        <f ca="1">_xll.DBRW($C$1,$C$2,$C$3,$C$4,$C$6,$C$5,$C$7,M$1,M$2,$A188)</f>
        <v>0</v>
      </c>
      <c r="N188" s="33">
        <f ca="1">_xll.DBRW($C$1,$C$2,$C$3,$C$4,$C$6,$C$5,$C$7,N$1,N$2,$A188)</f>
        <v>0</v>
      </c>
      <c r="O188" s="33">
        <f ca="1">_xll.DBRW($C$1,$C$2,$C$3,$C$4,$C$6,$C$5,$C$7,O$1,O$2,$A188)</f>
        <v>0</v>
      </c>
      <c r="P188" s="33">
        <f ca="1">_xll.DBRW($C$1,$C$2,$C$3,$C$4,$C$6,$C$5,$C$7,P$1,P$2,$A188)</f>
        <v>0</v>
      </c>
      <c r="Q188" s="33">
        <f ca="1">_xll.DBRW($C$1,$C$2,$C$3,$C$4,$C$6,$C$5,$C$7,Q$1,Q$2,$A188)</f>
        <v>0</v>
      </c>
      <c r="R188" s="33">
        <f ca="1">_xll.DBRW($C$1,$C$2,$C$3,$C$4,$C$6,$C$5,$C$7,R$1,R$2,$A188)</f>
        <v>0</v>
      </c>
      <c r="S188" s="33">
        <f ca="1">_xll.DBRW($C$1,$C$2,$C$3,$C$4,$C$6,$C$5,$C$7,S$1,S$2,$A188)</f>
        <v>0</v>
      </c>
      <c r="T188" s="33">
        <f ca="1">_xll.DBRW($C$1,$C$2,$C$3,$C$4,$C$6,$C$5,$C$7,T$1,T$2,$A188)</f>
        <v>0</v>
      </c>
      <c r="U188" s="33">
        <f ca="1">_xll.DBRW($C$1,$C$2,$C$3,$C$4,$C$6,$C$5,$C$7,U$1,U$2,$A188)</f>
        <v>0</v>
      </c>
      <c r="V188" s="33">
        <f ca="1">_xll.DBRW($C$1,$C$2,$C$3,$C$4,$C$6,$C$5,$C$7,V$1,V$2,$A188)</f>
        <v>0</v>
      </c>
      <c r="W188" s="33">
        <f ca="1">_xll.DBRW($C$1,$C$2,$C$3,$C$4,$C$6,$C$5,$C$7,W$1,W$2,$A188)</f>
        <v>0</v>
      </c>
      <c r="X188" s="33">
        <f ca="1">_xll.DBRW($C$1,$C$2,$C$3,$C$4,$C$6,$C$5,$C$7,X$1,X$2,$A188)</f>
        <v>0</v>
      </c>
      <c r="Y188" s="33">
        <f ca="1">_xll.DBRW($C$1,$C$2,$C$3,$C$4,$C$6,$C$5,$C$7,Y$1,Y$2,$A188)</f>
        <v>0</v>
      </c>
      <c r="Z188" s="33">
        <f ca="1">_xll.DBRW($C$1,$C$2,$C$3,$C$4,$C$6,$C$5,$C$7,Z$1,Z$2,$A188)</f>
        <v>0</v>
      </c>
      <c r="AA188" s="33">
        <f ca="1">_xll.DBRW($C$1,$C$2,$C$3,$C$4,$C$6,$C$5,$C$7,AA$1,AA$2,$A188)</f>
        <v>0</v>
      </c>
      <c r="AB188" s="33">
        <f ca="1">_xll.DBRW($C$1,$C$2,$C$3,$C$4,$C$6,$C$5,$C$7,AB$1,AB$2,$A188)</f>
        <v>0</v>
      </c>
      <c r="AC188" s="33">
        <f ca="1">_xll.DBRW($C$1,$C$2,$C$3,$C$4,$C$6,$C$5,$C$7,AC$1,AC$2,$A188)</f>
        <v>0</v>
      </c>
      <c r="AD188" s="33">
        <f ca="1">_xll.DBRW($C$1,$C$2,$C$3,$C$4,$C$6,$C$5,$C$7,AD$1,AD$2,$A188)</f>
        <v>0</v>
      </c>
      <c r="AE188" s="33">
        <f ca="1">_xll.DBRW($C$1,$C$2,$C$3,$C$4,$C$6,$C$5,$C$7,AE$1,AE$2,$A188)</f>
        <v>0</v>
      </c>
      <c r="AF188" s="33">
        <f ca="1">_xll.DBRW($C$1,$C$2,$C$3,$C$4,$C$6,$C$5,$C$7,AF$1,AF$2,$A188)</f>
        <v>0</v>
      </c>
      <c r="AG188" s="33">
        <f ca="1">_xll.DBRW($C$1,$C$2,$C$3,$C$4,$C$6,$C$5,$C$7,AG$1,AG$2,$A188)</f>
        <v>0</v>
      </c>
      <c r="AH188" s="33">
        <f ca="1">_xll.DBRW($C$1,$C$2,$C$3,$C$4,$C$6,$C$5,$C$7,AH$1,AH$2,$A188)</f>
        <v>0</v>
      </c>
      <c r="AI188" s="33">
        <f ca="1">_xll.DBRW($C$1,$C$2,$C$3,$C$4,$C$6,$C$5,$C$7,AI$1,AI$2,$A188)</f>
        <v>0</v>
      </c>
      <c r="AJ188" s="33">
        <f ca="1">_xll.DBRW($C$1,$C$2,$C$3,$C$4,$C$6,$C$5,$C$7,AJ$1,AJ$2,$A188)</f>
        <v>0</v>
      </c>
      <c r="AK188" s="33">
        <f ca="1">_xll.DBRW($C$1,$C$2,$C$3,$C$4,$C$6,$C$5,$C$7,AK$1,AK$2,$A188)</f>
        <v>0</v>
      </c>
      <c r="AL188" s="33">
        <f ca="1">_xll.DBRW($C$1,$C$2,$C$3,$C$4,$C$6,$C$5,$C$7,AL$1,AL$2,$A188)</f>
        <v>0</v>
      </c>
      <c r="AM188" s="33">
        <f ca="1">_xll.DBRW($C$1,$C$2,$C$3,$C$4,$C$6,$C$5,$C$7,AM$1,AM$2,$A188)</f>
        <v>0</v>
      </c>
      <c r="AN188" s="33">
        <f ca="1">_xll.DBRW($C$1,$C$2,$C$3,$C$4,$C$6,$C$5,$C$7,AN$1,AN$2,$A188)</f>
        <v>0</v>
      </c>
      <c r="AO188" s="33">
        <f ca="1">_xll.DBRW($C$1,$C$2,$C$3,$C$4,$C$6,$C$5,$C$7,AO$1,AO$2,$A188)</f>
        <v>0</v>
      </c>
      <c r="AP188" s="33">
        <f ca="1">_xll.DBRW($C$1,$C$2,$C$3,$C$4,$C$6,$C$5,$C$7,AP$1,AP$2,$A188)</f>
        <v>0</v>
      </c>
      <c r="AQ188" s="33">
        <f ca="1">_xll.DBRW($C$1,$C$2,$C$3,$C$4,$C$6,$C$5,$C$7,AQ$1,AQ$2,$A188)</f>
        <v>0</v>
      </c>
      <c r="AR188" s="33">
        <f ca="1">_xll.DBRW($C$1,$C$2,$C$3,$C$4,$C$6,$C$5,$C$7,AR$1,AR$2,$A188)</f>
        <v>0</v>
      </c>
      <c r="AS188" s="33">
        <f ca="1">_xll.DBRW($C$1,$C$2,$C$3,$C$4,$C$6,$C$5,$C$7,AS$1,AS$2,$A188)</f>
        <v>0</v>
      </c>
      <c r="AT188" s="33">
        <f ca="1">_xll.DBRW($C$1,$C$2,$C$3,$C$4,$C$6,$C$5,$C$7,AT$1,AT$2,$A188)</f>
        <v>0</v>
      </c>
      <c r="AU188" s="33">
        <f ca="1">_xll.DBRW($C$1,$C$2,$C$3,$C$4,$C$6,$C$5,$C$7,AU$1,AU$2,$A188)</f>
        <v>0</v>
      </c>
      <c r="AV188" s="33">
        <f ca="1">_xll.DBRW($C$1,$C$2,$C$3,$C$4,$C$6,$C$5,$C$7,AV$1,AV$2,$A188)</f>
        <v>0</v>
      </c>
      <c r="AW188" s="33">
        <f ca="1">_xll.DBRW($C$1,$C$2,$C$3,$C$4,$C$6,$C$5,$C$7,AW$1,AW$2,$A188)</f>
        <v>0</v>
      </c>
      <c r="AX188" s="33">
        <f ca="1">_xll.DBRW($C$1,$C$2,$C$3,$C$4,$C$6,$C$5,$C$7,AX$1,AX$2,$A188)</f>
        <v>0</v>
      </c>
      <c r="AY188" s="33">
        <f ca="1">_xll.DBRW($C$1,$C$2,$C$3,$C$4,$C$6,$C$5,$C$7,AY$1,AY$2,$A188)</f>
        <v>0</v>
      </c>
    </row>
    <row r="189" spans="1:51" ht="15.5" hidden="1" outlineLevel="1" collapsed="1">
      <c r="A189" s="1" t="s">
        <v>142</v>
      </c>
      <c r="C189" s="109"/>
      <c r="E189" s="14" t="s">
        <v>35</v>
      </c>
      <c r="F189" s="33">
        <f t="shared" ref="F189:AY189" ca="1" si="107">SUM(F174:F188)</f>
        <v>0</v>
      </c>
      <c r="G189" s="33">
        <f t="shared" ca="1" si="107"/>
        <v>0</v>
      </c>
      <c r="H189" s="33">
        <f t="shared" ca="1" si="107"/>
        <v>0</v>
      </c>
      <c r="I189" s="33">
        <f t="shared" ca="1" si="107"/>
        <v>0</v>
      </c>
      <c r="J189" s="33">
        <f t="shared" ca="1" si="107"/>
        <v>0</v>
      </c>
      <c r="K189" s="33">
        <f t="shared" ca="1" si="107"/>
        <v>0</v>
      </c>
      <c r="L189" s="33">
        <f t="shared" ca="1" si="107"/>
        <v>0</v>
      </c>
      <c r="M189" s="33">
        <f t="shared" ca="1" si="107"/>
        <v>0</v>
      </c>
      <c r="N189" s="33">
        <f t="shared" ca="1" si="107"/>
        <v>0</v>
      </c>
      <c r="O189" s="33">
        <f t="shared" ca="1" si="107"/>
        <v>0</v>
      </c>
      <c r="P189" s="33">
        <f t="shared" ca="1" si="107"/>
        <v>0</v>
      </c>
      <c r="Q189" s="33">
        <f t="shared" ca="1" si="107"/>
        <v>0</v>
      </c>
      <c r="R189" s="33">
        <f t="shared" ca="1" si="107"/>
        <v>0</v>
      </c>
      <c r="S189" s="33">
        <f t="shared" ca="1" si="107"/>
        <v>0</v>
      </c>
      <c r="T189" s="33">
        <f t="shared" ca="1" si="107"/>
        <v>0</v>
      </c>
      <c r="U189" s="33">
        <f t="shared" ca="1" si="107"/>
        <v>0</v>
      </c>
      <c r="V189" s="33">
        <f t="shared" ca="1" si="107"/>
        <v>0</v>
      </c>
      <c r="W189" s="33">
        <f t="shared" ca="1" si="107"/>
        <v>0</v>
      </c>
      <c r="X189" s="33">
        <f t="shared" ca="1" si="107"/>
        <v>0</v>
      </c>
      <c r="Y189" s="33">
        <f t="shared" ca="1" si="107"/>
        <v>0</v>
      </c>
      <c r="Z189" s="33">
        <f t="shared" ca="1" si="107"/>
        <v>0</v>
      </c>
      <c r="AA189" s="33">
        <f t="shared" ca="1" si="107"/>
        <v>0</v>
      </c>
      <c r="AB189" s="33">
        <f t="shared" ca="1" si="107"/>
        <v>0</v>
      </c>
      <c r="AC189" s="33">
        <f t="shared" ca="1" si="107"/>
        <v>0</v>
      </c>
      <c r="AD189" s="33">
        <f t="shared" ca="1" si="107"/>
        <v>0</v>
      </c>
      <c r="AE189" s="33">
        <f t="shared" ca="1" si="107"/>
        <v>0</v>
      </c>
      <c r="AF189" s="33">
        <f t="shared" ca="1" si="107"/>
        <v>0</v>
      </c>
      <c r="AG189" s="33">
        <f t="shared" ca="1" si="107"/>
        <v>0</v>
      </c>
      <c r="AH189" s="33">
        <f t="shared" ca="1" si="107"/>
        <v>0</v>
      </c>
      <c r="AI189" s="33">
        <f t="shared" ca="1" si="107"/>
        <v>0</v>
      </c>
      <c r="AJ189" s="33">
        <f t="shared" ca="1" si="107"/>
        <v>0</v>
      </c>
      <c r="AK189" s="33">
        <f t="shared" ca="1" si="107"/>
        <v>0</v>
      </c>
      <c r="AL189" s="33">
        <f t="shared" ca="1" si="107"/>
        <v>0</v>
      </c>
      <c r="AM189" s="33">
        <f t="shared" ca="1" si="107"/>
        <v>0</v>
      </c>
      <c r="AN189" s="33">
        <f t="shared" ca="1" si="107"/>
        <v>0</v>
      </c>
      <c r="AO189" s="33">
        <f t="shared" ca="1" si="107"/>
        <v>0</v>
      </c>
      <c r="AP189" s="33">
        <f t="shared" ca="1" si="107"/>
        <v>0</v>
      </c>
      <c r="AQ189" s="33">
        <f t="shared" ca="1" si="107"/>
        <v>0</v>
      </c>
      <c r="AR189" s="33">
        <f t="shared" ca="1" si="107"/>
        <v>0</v>
      </c>
      <c r="AS189" s="33">
        <f t="shared" ca="1" si="107"/>
        <v>0</v>
      </c>
      <c r="AT189" s="33">
        <f t="shared" ca="1" si="107"/>
        <v>0</v>
      </c>
      <c r="AU189" s="33">
        <f t="shared" ca="1" si="107"/>
        <v>0</v>
      </c>
      <c r="AV189" s="33">
        <f t="shared" ca="1" si="107"/>
        <v>0</v>
      </c>
      <c r="AW189" s="33">
        <f t="shared" ca="1" si="107"/>
        <v>0</v>
      </c>
      <c r="AX189" s="33">
        <f t="shared" ca="1" si="107"/>
        <v>0</v>
      </c>
      <c r="AY189" s="33">
        <f t="shared" ca="1" si="107"/>
        <v>0</v>
      </c>
    </row>
    <row r="190" spans="1:51" ht="15.5" collapsed="1">
      <c r="A190" s="1" t="s">
        <v>142</v>
      </c>
      <c r="C190" s="109"/>
      <c r="E190" s="11" t="s">
        <v>42</v>
      </c>
      <c r="F190" s="35">
        <f t="shared" ref="F190:AY190" ca="1" si="108">F189+F173+F155+F141+F132</f>
        <v>0</v>
      </c>
      <c r="G190" s="35">
        <f t="shared" ca="1" si="108"/>
        <v>0</v>
      </c>
      <c r="H190" s="35">
        <f t="shared" ca="1" si="108"/>
        <v>0</v>
      </c>
      <c r="I190" s="35">
        <f t="shared" ca="1" si="108"/>
        <v>0</v>
      </c>
      <c r="J190" s="35">
        <f t="shared" ca="1" si="108"/>
        <v>0</v>
      </c>
      <c r="K190" s="35">
        <f t="shared" ca="1" si="108"/>
        <v>0</v>
      </c>
      <c r="L190" s="35">
        <f t="shared" ca="1" si="108"/>
        <v>0</v>
      </c>
      <c r="M190" s="35">
        <f t="shared" ca="1" si="108"/>
        <v>0</v>
      </c>
      <c r="N190" s="35">
        <f t="shared" ca="1" si="108"/>
        <v>0</v>
      </c>
      <c r="O190" s="35">
        <f t="shared" ca="1" si="108"/>
        <v>0</v>
      </c>
      <c r="P190" s="35">
        <f t="shared" ca="1" si="108"/>
        <v>0</v>
      </c>
      <c r="Q190" s="35">
        <f t="shared" ca="1" si="108"/>
        <v>0</v>
      </c>
      <c r="R190" s="35">
        <f t="shared" ca="1" si="108"/>
        <v>0</v>
      </c>
      <c r="S190" s="35">
        <f t="shared" ca="1" si="108"/>
        <v>0</v>
      </c>
      <c r="T190" s="35">
        <f t="shared" ca="1" si="108"/>
        <v>0</v>
      </c>
      <c r="U190" s="35">
        <f t="shared" ca="1" si="108"/>
        <v>0</v>
      </c>
      <c r="V190" s="35">
        <f t="shared" ca="1" si="108"/>
        <v>0</v>
      </c>
      <c r="W190" s="35">
        <f t="shared" ca="1" si="108"/>
        <v>0</v>
      </c>
      <c r="X190" s="35">
        <f t="shared" ca="1" si="108"/>
        <v>0</v>
      </c>
      <c r="Y190" s="35">
        <f t="shared" ca="1" si="108"/>
        <v>0</v>
      </c>
      <c r="Z190" s="35">
        <f t="shared" ca="1" si="108"/>
        <v>0</v>
      </c>
      <c r="AA190" s="35">
        <f t="shared" ca="1" si="108"/>
        <v>0</v>
      </c>
      <c r="AB190" s="35">
        <f t="shared" ca="1" si="108"/>
        <v>0</v>
      </c>
      <c r="AC190" s="35">
        <f t="shared" ca="1" si="108"/>
        <v>0</v>
      </c>
      <c r="AD190" s="35">
        <f t="shared" ca="1" si="108"/>
        <v>0</v>
      </c>
      <c r="AE190" s="35">
        <f t="shared" ca="1" si="108"/>
        <v>0</v>
      </c>
      <c r="AF190" s="35">
        <f t="shared" ca="1" si="108"/>
        <v>0</v>
      </c>
      <c r="AG190" s="35">
        <f t="shared" ca="1" si="108"/>
        <v>0</v>
      </c>
      <c r="AH190" s="35">
        <f t="shared" ca="1" si="108"/>
        <v>0</v>
      </c>
      <c r="AI190" s="35">
        <f t="shared" ca="1" si="108"/>
        <v>0</v>
      </c>
      <c r="AJ190" s="35">
        <f t="shared" ca="1" si="108"/>
        <v>0</v>
      </c>
      <c r="AK190" s="35">
        <f t="shared" ca="1" si="108"/>
        <v>0</v>
      </c>
      <c r="AL190" s="35">
        <f t="shared" ca="1" si="108"/>
        <v>0</v>
      </c>
      <c r="AM190" s="35">
        <f t="shared" ca="1" si="108"/>
        <v>0</v>
      </c>
      <c r="AN190" s="35">
        <f t="shared" ca="1" si="108"/>
        <v>0</v>
      </c>
      <c r="AO190" s="35">
        <f t="shared" ca="1" si="108"/>
        <v>0</v>
      </c>
      <c r="AP190" s="35">
        <f t="shared" ca="1" si="108"/>
        <v>0</v>
      </c>
      <c r="AQ190" s="35">
        <f t="shared" ca="1" si="108"/>
        <v>0</v>
      </c>
      <c r="AR190" s="35">
        <f t="shared" ca="1" si="108"/>
        <v>0</v>
      </c>
      <c r="AS190" s="35">
        <f t="shared" ca="1" si="108"/>
        <v>0</v>
      </c>
      <c r="AT190" s="35">
        <f t="shared" ca="1" si="108"/>
        <v>0</v>
      </c>
      <c r="AU190" s="35">
        <f t="shared" ca="1" si="108"/>
        <v>0</v>
      </c>
      <c r="AV190" s="35">
        <f t="shared" ca="1" si="108"/>
        <v>0</v>
      </c>
      <c r="AW190" s="35">
        <f t="shared" ca="1" si="108"/>
        <v>0</v>
      </c>
      <c r="AX190" s="35">
        <f t="shared" ca="1" si="108"/>
        <v>0</v>
      </c>
      <c r="AY190" s="35">
        <f t="shared" ca="1" si="108"/>
        <v>0</v>
      </c>
    </row>
    <row r="191" spans="1:51" ht="15.75" hidden="1" customHeight="1" outlineLevel="1">
      <c r="A191" s="1" t="s">
        <v>278</v>
      </c>
      <c r="C191" s="109"/>
      <c r="E191" s="9" t="str">
        <f ca="1">_xll.DBRW(Server&amp;"}ElementAttributes_Indicator",A191,"code_English")</f>
        <v>PL1100_XX - Vector Reconciliation (TPL11) - Capitalized production recognized as inventory, change in inventories</v>
      </c>
      <c r="F191" s="32">
        <f ca="1">_xll.DBRW($C$1,$C$2,$C$3,$C$4,$C$6,$C$5,$C$7,F$1,F$2,$A191)</f>
        <v>0</v>
      </c>
      <c r="G191" s="32">
        <f ca="1">_xll.DBRW($C$1,$C$2,$C$3,$C$4,$C$6,$C$5,$C$7,G$1,G$2,$A191)</f>
        <v>0</v>
      </c>
      <c r="H191" s="32">
        <f ca="1">_xll.DBRW($C$1,$C$2,$C$3,$C$4,$C$6,$C$5,$C$7,H$1,H$2,$A191)</f>
        <v>0</v>
      </c>
      <c r="I191" s="32">
        <f ca="1">_xll.DBRW($C$1,$C$2,$C$3,$C$4,$C$6,$C$5,$C$7,I$1,I$2,$A191)</f>
        <v>0</v>
      </c>
      <c r="J191" s="32">
        <f ca="1">_xll.DBRW($C$1,$C$2,$C$3,$C$4,$C$6,$C$5,$C$7,J$1,J$2,$A191)</f>
        <v>0</v>
      </c>
      <c r="K191" s="32">
        <f ca="1">_xll.DBRW($C$1,$C$2,$C$3,$C$4,$C$6,$C$5,$C$7,K$1,K$2,$A191)</f>
        <v>0</v>
      </c>
      <c r="L191" s="32">
        <f ca="1">_xll.DBRW($C$1,$C$2,$C$3,$C$4,$C$6,$C$5,$C$7,L$1,L$2,$A191)</f>
        <v>0</v>
      </c>
      <c r="M191" s="32">
        <f ca="1">_xll.DBRW($C$1,$C$2,$C$3,$C$4,$C$6,$C$5,$C$7,M$1,M$2,$A191)</f>
        <v>0</v>
      </c>
      <c r="N191" s="32">
        <f ca="1">_xll.DBRW($C$1,$C$2,$C$3,$C$4,$C$6,$C$5,$C$7,N$1,N$2,$A191)</f>
        <v>0</v>
      </c>
      <c r="O191" s="32">
        <f ca="1">_xll.DBRW($C$1,$C$2,$C$3,$C$4,$C$6,$C$5,$C$7,O$1,O$2,$A191)</f>
        <v>0</v>
      </c>
      <c r="P191" s="32">
        <f ca="1">_xll.DBRW($C$1,$C$2,$C$3,$C$4,$C$6,$C$5,$C$7,P$1,P$2,$A191)</f>
        <v>0</v>
      </c>
      <c r="Q191" s="32">
        <f ca="1">_xll.DBRW($C$1,$C$2,$C$3,$C$4,$C$6,$C$5,$C$7,Q$1,Q$2,$A191)</f>
        <v>0</v>
      </c>
      <c r="R191" s="32">
        <f ca="1">_xll.DBRW($C$1,$C$2,$C$3,$C$4,$C$6,$C$5,$C$7,R$1,R$2,$A191)</f>
        <v>0</v>
      </c>
      <c r="S191" s="32">
        <f ca="1">_xll.DBRW($C$1,$C$2,$C$3,$C$4,$C$6,$C$5,$C$7,S$1,S$2,$A191)</f>
        <v>0</v>
      </c>
      <c r="T191" s="32">
        <f ca="1">_xll.DBRW($C$1,$C$2,$C$3,$C$4,$C$6,$C$5,$C$7,T$1,T$2,$A191)</f>
        <v>0</v>
      </c>
      <c r="U191" s="32">
        <f ca="1">_xll.DBRW($C$1,$C$2,$C$3,$C$4,$C$6,$C$5,$C$7,U$1,U$2,$A191)</f>
        <v>0</v>
      </c>
      <c r="V191" s="32">
        <f ca="1">_xll.DBRW($C$1,$C$2,$C$3,$C$4,$C$6,$C$5,$C$7,V$1,V$2,$A191)</f>
        <v>0</v>
      </c>
      <c r="W191" s="32">
        <f ca="1">_xll.DBRW($C$1,$C$2,$C$3,$C$4,$C$6,$C$5,$C$7,W$1,W$2,$A191)</f>
        <v>0</v>
      </c>
      <c r="X191" s="32">
        <f ca="1">_xll.DBRW($C$1,$C$2,$C$3,$C$4,$C$6,$C$5,$C$7,X$1,X$2,$A191)</f>
        <v>0</v>
      </c>
      <c r="Y191" s="32">
        <f ca="1">_xll.DBRW($C$1,$C$2,$C$3,$C$4,$C$6,$C$5,$C$7,Y$1,Y$2,$A191)</f>
        <v>0</v>
      </c>
      <c r="Z191" s="32">
        <f ca="1">_xll.DBRW($C$1,$C$2,$C$3,$C$4,$C$6,$C$5,$C$7,Z$1,Z$2,$A191)</f>
        <v>0</v>
      </c>
      <c r="AA191" s="32">
        <f ca="1">_xll.DBRW($C$1,$C$2,$C$3,$C$4,$C$6,$C$5,$C$7,AA$1,AA$2,$A191)</f>
        <v>0</v>
      </c>
      <c r="AB191" s="32">
        <f ca="1">_xll.DBRW($C$1,$C$2,$C$3,$C$4,$C$6,$C$5,$C$7,AB$1,AB$2,$A191)</f>
        <v>0</v>
      </c>
      <c r="AC191" s="32">
        <f ca="1">_xll.DBRW($C$1,$C$2,$C$3,$C$4,$C$6,$C$5,$C$7,AC$1,AC$2,$A191)</f>
        <v>0</v>
      </c>
      <c r="AD191" s="32">
        <f ca="1">_xll.DBRW($C$1,$C$2,$C$3,$C$4,$C$6,$C$5,$C$7,AD$1,AD$2,$A191)</f>
        <v>0</v>
      </c>
      <c r="AE191" s="32">
        <f ca="1">_xll.DBRW($C$1,$C$2,$C$3,$C$4,$C$6,$C$5,$C$7,AE$1,AE$2,$A191)</f>
        <v>0</v>
      </c>
      <c r="AF191" s="32">
        <f ca="1">_xll.DBRW($C$1,$C$2,$C$3,$C$4,$C$6,$C$5,$C$7,AF$1,AF$2,$A191)</f>
        <v>0</v>
      </c>
      <c r="AG191" s="32">
        <f ca="1">_xll.DBRW($C$1,$C$2,$C$3,$C$4,$C$6,$C$5,$C$7,AG$1,AG$2,$A191)</f>
        <v>0</v>
      </c>
      <c r="AH191" s="32">
        <f ca="1">_xll.DBRW($C$1,$C$2,$C$3,$C$4,$C$6,$C$5,$C$7,AH$1,AH$2,$A191)</f>
        <v>0</v>
      </c>
      <c r="AI191" s="32">
        <f ca="1">_xll.DBRW($C$1,$C$2,$C$3,$C$4,$C$6,$C$5,$C$7,AI$1,AI$2,$A191)</f>
        <v>0</v>
      </c>
      <c r="AJ191" s="32">
        <f ca="1">_xll.DBRW($C$1,$C$2,$C$3,$C$4,$C$6,$C$5,$C$7,AJ$1,AJ$2,$A191)</f>
        <v>0</v>
      </c>
      <c r="AK191" s="32">
        <f ca="1">_xll.DBRW($C$1,$C$2,$C$3,$C$4,$C$6,$C$5,$C$7,AK$1,AK$2,$A191)</f>
        <v>0</v>
      </c>
      <c r="AL191" s="32">
        <f ca="1">_xll.DBRW($C$1,$C$2,$C$3,$C$4,$C$6,$C$5,$C$7,AL$1,AL$2,$A191)</f>
        <v>0</v>
      </c>
      <c r="AM191" s="32">
        <f ca="1">_xll.DBRW($C$1,$C$2,$C$3,$C$4,$C$6,$C$5,$C$7,AM$1,AM$2,$A191)</f>
        <v>0</v>
      </c>
      <c r="AN191" s="32">
        <f ca="1">_xll.DBRW($C$1,$C$2,$C$3,$C$4,$C$6,$C$5,$C$7,AN$1,AN$2,$A191)</f>
        <v>0</v>
      </c>
      <c r="AO191" s="32">
        <f ca="1">_xll.DBRW($C$1,$C$2,$C$3,$C$4,$C$6,$C$5,$C$7,AO$1,AO$2,$A191)</f>
        <v>0</v>
      </c>
      <c r="AP191" s="32">
        <f ca="1">_xll.DBRW($C$1,$C$2,$C$3,$C$4,$C$6,$C$5,$C$7,AP$1,AP$2,$A191)</f>
        <v>0</v>
      </c>
      <c r="AQ191" s="32">
        <f ca="1">_xll.DBRW($C$1,$C$2,$C$3,$C$4,$C$6,$C$5,$C$7,AQ$1,AQ$2,$A191)</f>
        <v>0</v>
      </c>
      <c r="AR191" s="32">
        <f ca="1">_xll.DBRW($C$1,$C$2,$C$3,$C$4,$C$6,$C$5,$C$7,AR$1,AR$2,$A191)</f>
        <v>0</v>
      </c>
      <c r="AS191" s="32">
        <f ca="1">_xll.DBRW($C$1,$C$2,$C$3,$C$4,$C$6,$C$5,$C$7,AS$1,AS$2,$A191)</f>
        <v>0</v>
      </c>
      <c r="AT191" s="32">
        <f ca="1">_xll.DBRW($C$1,$C$2,$C$3,$C$4,$C$6,$C$5,$C$7,AT$1,AT$2,$A191)</f>
        <v>0</v>
      </c>
      <c r="AU191" s="32">
        <f ca="1">_xll.DBRW($C$1,$C$2,$C$3,$C$4,$C$6,$C$5,$C$7,AU$1,AU$2,$A191)</f>
        <v>0</v>
      </c>
      <c r="AV191" s="32">
        <f ca="1">_xll.DBRW($C$1,$C$2,$C$3,$C$4,$C$6,$C$5,$C$7,AV$1,AV$2,$A191)</f>
        <v>0</v>
      </c>
      <c r="AW191" s="32">
        <f ca="1">_xll.DBRW($C$1,$C$2,$C$3,$C$4,$C$6,$C$5,$C$7,AW$1,AW$2,$A191)</f>
        <v>0</v>
      </c>
      <c r="AX191" s="32">
        <f ca="1">_xll.DBRW($C$1,$C$2,$C$3,$C$4,$C$6,$C$5,$C$7,AX$1,AX$2,$A191)</f>
        <v>0</v>
      </c>
      <c r="AY191" s="32">
        <f ca="1">_xll.DBRW($C$1,$C$2,$C$3,$C$4,$C$6,$C$5,$C$7,AY$1,AY$2,$A191)</f>
        <v>0</v>
      </c>
    </row>
    <row r="192" spans="1:51" ht="15.75" hidden="1" customHeight="1" outlineLevel="1">
      <c r="A192" s="1" t="s">
        <v>279</v>
      </c>
      <c r="C192" s="109"/>
      <c r="E192" s="9" t="str">
        <f ca="1">_xll.DBRW(Server&amp;"}ElementAttributes_Indicator",A192,"code_English")</f>
        <v>PL1105_XX - Vector Reconciliation (TPL11) - Revenue received on behalf of 3rd parties</v>
      </c>
      <c r="F192" s="32">
        <f ca="1">_xll.DBRW($C$1,$C$2,$C$3,$C$4,$C$6,$C$5,$C$7,F$1,F$2,$A192)</f>
        <v>0</v>
      </c>
      <c r="G192" s="32">
        <f ca="1">_xll.DBRW($C$1,$C$2,$C$3,$C$4,$C$6,$C$5,$C$7,G$1,G$2,$A192)</f>
        <v>0</v>
      </c>
      <c r="H192" s="32">
        <f ca="1">_xll.DBRW($C$1,$C$2,$C$3,$C$4,$C$6,$C$5,$C$7,H$1,H$2,$A192)</f>
        <v>0</v>
      </c>
      <c r="I192" s="32">
        <f ca="1">_xll.DBRW($C$1,$C$2,$C$3,$C$4,$C$6,$C$5,$C$7,I$1,I$2,$A192)</f>
        <v>0</v>
      </c>
      <c r="J192" s="32">
        <f ca="1">_xll.DBRW($C$1,$C$2,$C$3,$C$4,$C$6,$C$5,$C$7,J$1,J$2,$A192)</f>
        <v>0</v>
      </c>
      <c r="K192" s="32">
        <f ca="1">_xll.DBRW($C$1,$C$2,$C$3,$C$4,$C$6,$C$5,$C$7,K$1,K$2,$A192)</f>
        <v>0</v>
      </c>
      <c r="L192" s="32">
        <f ca="1">_xll.DBRW($C$1,$C$2,$C$3,$C$4,$C$6,$C$5,$C$7,L$1,L$2,$A192)</f>
        <v>0</v>
      </c>
      <c r="M192" s="32">
        <f ca="1">_xll.DBRW($C$1,$C$2,$C$3,$C$4,$C$6,$C$5,$C$7,M$1,M$2,$A192)</f>
        <v>0</v>
      </c>
      <c r="N192" s="32">
        <f ca="1">_xll.DBRW($C$1,$C$2,$C$3,$C$4,$C$6,$C$5,$C$7,N$1,N$2,$A192)</f>
        <v>0</v>
      </c>
      <c r="O192" s="32">
        <f ca="1">_xll.DBRW($C$1,$C$2,$C$3,$C$4,$C$6,$C$5,$C$7,O$1,O$2,$A192)</f>
        <v>0</v>
      </c>
      <c r="P192" s="32">
        <f ca="1">_xll.DBRW($C$1,$C$2,$C$3,$C$4,$C$6,$C$5,$C$7,P$1,P$2,$A192)</f>
        <v>0</v>
      </c>
      <c r="Q192" s="32">
        <f ca="1">_xll.DBRW($C$1,$C$2,$C$3,$C$4,$C$6,$C$5,$C$7,Q$1,Q$2,$A192)</f>
        <v>0</v>
      </c>
      <c r="R192" s="32">
        <f ca="1">_xll.DBRW($C$1,$C$2,$C$3,$C$4,$C$6,$C$5,$C$7,R$1,R$2,$A192)</f>
        <v>0</v>
      </c>
      <c r="S192" s="32">
        <f ca="1">_xll.DBRW($C$1,$C$2,$C$3,$C$4,$C$6,$C$5,$C$7,S$1,S$2,$A192)</f>
        <v>0</v>
      </c>
      <c r="T192" s="32">
        <f ca="1">_xll.DBRW($C$1,$C$2,$C$3,$C$4,$C$6,$C$5,$C$7,T$1,T$2,$A192)</f>
        <v>0</v>
      </c>
      <c r="U192" s="32">
        <f ca="1">_xll.DBRW($C$1,$C$2,$C$3,$C$4,$C$6,$C$5,$C$7,U$1,U$2,$A192)</f>
        <v>0</v>
      </c>
      <c r="V192" s="32">
        <f ca="1">_xll.DBRW($C$1,$C$2,$C$3,$C$4,$C$6,$C$5,$C$7,V$1,V$2,$A192)</f>
        <v>0</v>
      </c>
      <c r="W192" s="32">
        <f ca="1">_xll.DBRW($C$1,$C$2,$C$3,$C$4,$C$6,$C$5,$C$7,W$1,W$2,$A192)</f>
        <v>0</v>
      </c>
      <c r="X192" s="32">
        <f ca="1">_xll.DBRW($C$1,$C$2,$C$3,$C$4,$C$6,$C$5,$C$7,X$1,X$2,$A192)</f>
        <v>0</v>
      </c>
      <c r="Y192" s="32">
        <f ca="1">_xll.DBRW($C$1,$C$2,$C$3,$C$4,$C$6,$C$5,$C$7,Y$1,Y$2,$A192)</f>
        <v>0</v>
      </c>
      <c r="Z192" s="32">
        <f ca="1">_xll.DBRW($C$1,$C$2,$C$3,$C$4,$C$6,$C$5,$C$7,Z$1,Z$2,$A192)</f>
        <v>0</v>
      </c>
      <c r="AA192" s="32">
        <f ca="1">_xll.DBRW($C$1,$C$2,$C$3,$C$4,$C$6,$C$5,$C$7,AA$1,AA$2,$A192)</f>
        <v>0</v>
      </c>
      <c r="AB192" s="32">
        <f ca="1">_xll.DBRW($C$1,$C$2,$C$3,$C$4,$C$6,$C$5,$C$7,AB$1,AB$2,$A192)</f>
        <v>0</v>
      </c>
      <c r="AC192" s="32">
        <f ca="1">_xll.DBRW($C$1,$C$2,$C$3,$C$4,$C$6,$C$5,$C$7,AC$1,AC$2,$A192)</f>
        <v>0</v>
      </c>
      <c r="AD192" s="32">
        <f ca="1">_xll.DBRW($C$1,$C$2,$C$3,$C$4,$C$6,$C$5,$C$7,AD$1,AD$2,$A192)</f>
        <v>0</v>
      </c>
      <c r="AE192" s="32">
        <f ca="1">_xll.DBRW($C$1,$C$2,$C$3,$C$4,$C$6,$C$5,$C$7,AE$1,AE$2,$A192)</f>
        <v>0</v>
      </c>
      <c r="AF192" s="32">
        <f ca="1">_xll.DBRW($C$1,$C$2,$C$3,$C$4,$C$6,$C$5,$C$7,AF$1,AF$2,$A192)</f>
        <v>0</v>
      </c>
      <c r="AG192" s="32">
        <f ca="1">_xll.DBRW($C$1,$C$2,$C$3,$C$4,$C$6,$C$5,$C$7,AG$1,AG$2,$A192)</f>
        <v>0</v>
      </c>
      <c r="AH192" s="32">
        <f ca="1">_xll.DBRW($C$1,$C$2,$C$3,$C$4,$C$6,$C$5,$C$7,AH$1,AH$2,$A192)</f>
        <v>0</v>
      </c>
      <c r="AI192" s="32">
        <f ca="1">_xll.DBRW($C$1,$C$2,$C$3,$C$4,$C$6,$C$5,$C$7,AI$1,AI$2,$A192)</f>
        <v>0</v>
      </c>
      <c r="AJ192" s="32">
        <f ca="1">_xll.DBRW($C$1,$C$2,$C$3,$C$4,$C$6,$C$5,$C$7,AJ$1,AJ$2,$A192)</f>
        <v>0</v>
      </c>
      <c r="AK192" s="32">
        <f ca="1">_xll.DBRW($C$1,$C$2,$C$3,$C$4,$C$6,$C$5,$C$7,AK$1,AK$2,$A192)</f>
        <v>0</v>
      </c>
      <c r="AL192" s="32">
        <f ca="1">_xll.DBRW($C$1,$C$2,$C$3,$C$4,$C$6,$C$5,$C$7,AL$1,AL$2,$A192)</f>
        <v>0</v>
      </c>
      <c r="AM192" s="32">
        <f ca="1">_xll.DBRW($C$1,$C$2,$C$3,$C$4,$C$6,$C$5,$C$7,AM$1,AM$2,$A192)</f>
        <v>0</v>
      </c>
      <c r="AN192" s="32">
        <f ca="1">_xll.DBRW($C$1,$C$2,$C$3,$C$4,$C$6,$C$5,$C$7,AN$1,AN$2,$A192)</f>
        <v>0</v>
      </c>
      <c r="AO192" s="32">
        <f ca="1">_xll.DBRW($C$1,$C$2,$C$3,$C$4,$C$6,$C$5,$C$7,AO$1,AO$2,$A192)</f>
        <v>0</v>
      </c>
      <c r="AP192" s="32">
        <f ca="1">_xll.DBRW($C$1,$C$2,$C$3,$C$4,$C$6,$C$5,$C$7,AP$1,AP$2,$A192)</f>
        <v>0</v>
      </c>
      <c r="AQ192" s="32">
        <f ca="1">_xll.DBRW($C$1,$C$2,$C$3,$C$4,$C$6,$C$5,$C$7,AQ$1,AQ$2,$A192)</f>
        <v>0</v>
      </c>
      <c r="AR192" s="32">
        <f ca="1">_xll.DBRW($C$1,$C$2,$C$3,$C$4,$C$6,$C$5,$C$7,AR$1,AR$2,$A192)</f>
        <v>0</v>
      </c>
      <c r="AS192" s="32">
        <f ca="1">_xll.DBRW($C$1,$C$2,$C$3,$C$4,$C$6,$C$5,$C$7,AS$1,AS$2,$A192)</f>
        <v>0</v>
      </c>
      <c r="AT192" s="32">
        <f ca="1">_xll.DBRW($C$1,$C$2,$C$3,$C$4,$C$6,$C$5,$C$7,AT$1,AT$2,$A192)</f>
        <v>0</v>
      </c>
      <c r="AU192" s="32">
        <f ca="1">_xll.DBRW($C$1,$C$2,$C$3,$C$4,$C$6,$C$5,$C$7,AU$1,AU$2,$A192)</f>
        <v>0</v>
      </c>
      <c r="AV192" s="32">
        <f ca="1">_xll.DBRW($C$1,$C$2,$C$3,$C$4,$C$6,$C$5,$C$7,AV$1,AV$2,$A192)</f>
        <v>0</v>
      </c>
      <c r="AW192" s="32">
        <f ca="1">_xll.DBRW($C$1,$C$2,$C$3,$C$4,$C$6,$C$5,$C$7,AW$1,AW$2,$A192)</f>
        <v>0</v>
      </c>
      <c r="AX192" s="32">
        <f ca="1">_xll.DBRW($C$1,$C$2,$C$3,$C$4,$C$6,$C$5,$C$7,AX$1,AX$2,$A192)</f>
        <v>0</v>
      </c>
      <c r="AY192" s="32">
        <f ca="1">_xll.DBRW($C$1,$C$2,$C$3,$C$4,$C$6,$C$5,$C$7,AY$1,AY$2,$A192)</f>
        <v>0</v>
      </c>
    </row>
    <row r="193" spans="1:51" ht="15.75" hidden="1" customHeight="1" outlineLevel="1">
      <c r="A193" s="1" t="s">
        <v>280</v>
      </c>
      <c r="C193" s="109"/>
      <c r="E193" s="9" t="str">
        <f ca="1">_xll.DBRW(Server&amp;"}ElementAttributes_Indicator",A193,"code_English")</f>
        <v>PL1110_XX - Vector Reconciliation (TPL11) - Staff costs</v>
      </c>
      <c r="F193" s="32">
        <f ca="1">_xll.DBRW($C$1,$C$2,$C$3,$C$4,$C$6,$C$5,$C$7,F$1,F$2,$A193)</f>
        <v>0</v>
      </c>
      <c r="G193" s="32">
        <f ca="1">_xll.DBRW($C$1,$C$2,$C$3,$C$4,$C$6,$C$5,$C$7,G$1,G$2,$A193)</f>
        <v>0</v>
      </c>
      <c r="H193" s="32">
        <f ca="1">_xll.DBRW($C$1,$C$2,$C$3,$C$4,$C$6,$C$5,$C$7,H$1,H$2,$A193)</f>
        <v>0</v>
      </c>
      <c r="I193" s="32">
        <f ca="1">_xll.DBRW($C$1,$C$2,$C$3,$C$4,$C$6,$C$5,$C$7,I$1,I$2,$A193)</f>
        <v>0</v>
      </c>
      <c r="J193" s="32">
        <f ca="1">_xll.DBRW($C$1,$C$2,$C$3,$C$4,$C$6,$C$5,$C$7,J$1,J$2,$A193)</f>
        <v>0</v>
      </c>
      <c r="K193" s="32">
        <f ca="1">_xll.DBRW($C$1,$C$2,$C$3,$C$4,$C$6,$C$5,$C$7,K$1,K$2,$A193)</f>
        <v>0</v>
      </c>
      <c r="L193" s="32">
        <f ca="1">_xll.DBRW($C$1,$C$2,$C$3,$C$4,$C$6,$C$5,$C$7,L$1,L$2,$A193)</f>
        <v>0</v>
      </c>
      <c r="M193" s="32">
        <f ca="1">_xll.DBRW($C$1,$C$2,$C$3,$C$4,$C$6,$C$5,$C$7,M$1,M$2,$A193)</f>
        <v>0</v>
      </c>
      <c r="N193" s="32">
        <f ca="1">_xll.DBRW($C$1,$C$2,$C$3,$C$4,$C$6,$C$5,$C$7,N$1,N$2,$A193)</f>
        <v>0</v>
      </c>
      <c r="O193" s="32">
        <f ca="1">_xll.DBRW($C$1,$C$2,$C$3,$C$4,$C$6,$C$5,$C$7,O$1,O$2,$A193)</f>
        <v>0</v>
      </c>
      <c r="P193" s="32">
        <f ca="1">_xll.DBRW($C$1,$C$2,$C$3,$C$4,$C$6,$C$5,$C$7,P$1,P$2,$A193)</f>
        <v>0</v>
      </c>
      <c r="Q193" s="32">
        <f ca="1">_xll.DBRW($C$1,$C$2,$C$3,$C$4,$C$6,$C$5,$C$7,Q$1,Q$2,$A193)</f>
        <v>0</v>
      </c>
      <c r="R193" s="32">
        <f ca="1">_xll.DBRW($C$1,$C$2,$C$3,$C$4,$C$6,$C$5,$C$7,R$1,R$2,$A193)</f>
        <v>0</v>
      </c>
      <c r="S193" s="32">
        <f ca="1">_xll.DBRW($C$1,$C$2,$C$3,$C$4,$C$6,$C$5,$C$7,S$1,S$2,$A193)</f>
        <v>0</v>
      </c>
      <c r="T193" s="32">
        <f ca="1">_xll.DBRW($C$1,$C$2,$C$3,$C$4,$C$6,$C$5,$C$7,T$1,T$2,$A193)</f>
        <v>0</v>
      </c>
      <c r="U193" s="32">
        <f ca="1">_xll.DBRW($C$1,$C$2,$C$3,$C$4,$C$6,$C$5,$C$7,U$1,U$2,$A193)</f>
        <v>0</v>
      </c>
      <c r="V193" s="32">
        <f ca="1">_xll.DBRW($C$1,$C$2,$C$3,$C$4,$C$6,$C$5,$C$7,V$1,V$2,$A193)</f>
        <v>0</v>
      </c>
      <c r="W193" s="32">
        <f ca="1">_xll.DBRW($C$1,$C$2,$C$3,$C$4,$C$6,$C$5,$C$7,W$1,W$2,$A193)</f>
        <v>0</v>
      </c>
      <c r="X193" s="32">
        <f ca="1">_xll.DBRW($C$1,$C$2,$C$3,$C$4,$C$6,$C$5,$C$7,X$1,X$2,$A193)</f>
        <v>0</v>
      </c>
      <c r="Y193" s="32">
        <f ca="1">_xll.DBRW($C$1,$C$2,$C$3,$C$4,$C$6,$C$5,$C$7,Y$1,Y$2,$A193)</f>
        <v>0</v>
      </c>
      <c r="Z193" s="32">
        <f ca="1">_xll.DBRW($C$1,$C$2,$C$3,$C$4,$C$6,$C$5,$C$7,Z$1,Z$2,$A193)</f>
        <v>0</v>
      </c>
      <c r="AA193" s="32">
        <f ca="1">_xll.DBRW($C$1,$C$2,$C$3,$C$4,$C$6,$C$5,$C$7,AA$1,AA$2,$A193)</f>
        <v>0</v>
      </c>
      <c r="AB193" s="32">
        <f ca="1">_xll.DBRW($C$1,$C$2,$C$3,$C$4,$C$6,$C$5,$C$7,AB$1,AB$2,$A193)</f>
        <v>0</v>
      </c>
      <c r="AC193" s="32">
        <f ca="1">_xll.DBRW($C$1,$C$2,$C$3,$C$4,$C$6,$C$5,$C$7,AC$1,AC$2,$A193)</f>
        <v>0</v>
      </c>
      <c r="AD193" s="32">
        <f ca="1">_xll.DBRW($C$1,$C$2,$C$3,$C$4,$C$6,$C$5,$C$7,AD$1,AD$2,$A193)</f>
        <v>0</v>
      </c>
      <c r="AE193" s="32">
        <f ca="1">_xll.DBRW($C$1,$C$2,$C$3,$C$4,$C$6,$C$5,$C$7,AE$1,AE$2,$A193)</f>
        <v>0</v>
      </c>
      <c r="AF193" s="32">
        <f ca="1">_xll.DBRW($C$1,$C$2,$C$3,$C$4,$C$6,$C$5,$C$7,AF$1,AF$2,$A193)</f>
        <v>0</v>
      </c>
      <c r="AG193" s="32">
        <f ca="1">_xll.DBRW($C$1,$C$2,$C$3,$C$4,$C$6,$C$5,$C$7,AG$1,AG$2,$A193)</f>
        <v>0</v>
      </c>
      <c r="AH193" s="32">
        <f ca="1">_xll.DBRW($C$1,$C$2,$C$3,$C$4,$C$6,$C$5,$C$7,AH$1,AH$2,$A193)</f>
        <v>0</v>
      </c>
      <c r="AI193" s="32">
        <f ca="1">_xll.DBRW($C$1,$C$2,$C$3,$C$4,$C$6,$C$5,$C$7,AI$1,AI$2,$A193)</f>
        <v>0</v>
      </c>
      <c r="AJ193" s="32">
        <f ca="1">_xll.DBRW($C$1,$C$2,$C$3,$C$4,$C$6,$C$5,$C$7,AJ$1,AJ$2,$A193)</f>
        <v>0</v>
      </c>
      <c r="AK193" s="32">
        <f ca="1">_xll.DBRW($C$1,$C$2,$C$3,$C$4,$C$6,$C$5,$C$7,AK$1,AK$2,$A193)</f>
        <v>0</v>
      </c>
      <c r="AL193" s="32">
        <f ca="1">_xll.DBRW($C$1,$C$2,$C$3,$C$4,$C$6,$C$5,$C$7,AL$1,AL$2,$A193)</f>
        <v>0</v>
      </c>
      <c r="AM193" s="32">
        <f ca="1">_xll.DBRW($C$1,$C$2,$C$3,$C$4,$C$6,$C$5,$C$7,AM$1,AM$2,$A193)</f>
        <v>0</v>
      </c>
      <c r="AN193" s="32">
        <f ca="1">_xll.DBRW($C$1,$C$2,$C$3,$C$4,$C$6,$C$5,$C$7,AN$1,AN$2,$A193)</f>
        <v>0</v>
      </c>
      <c r="AO193" s="32">
        <f ca="1">_xll.DBRW($C$1,$C$2,$C$3,$C$4,$C$6,$C$5,$C$7,AO$1,AO$2,$A193)</f>
        <v>0</v>
      </c>
      <c r="AP193" s="32">
        <f ca="1">_xll.DBRW($C$1,$C$2,$C$3,$C$4,$C$6,$C$5,$C$7,AP$1,AP$2,$A193)</f>
        <v>0</v>
      </c>
      <c r="AQ193" s="32">
        <f ca="1">_xll.DBRW($C$1,$C$2,$C$3,$C$4,$C$6,$C$5,$C$7,AQ$1,AQ$2,$A193)</f>
        <v>0</v>
      </c>
      <c r="AR193" s="32">
        <f ca="1">_xll.DBRW($C$1,$C$2,$C$3,$C$4,$C$6,$C$5,$C$7,AR$1,AR$2,$A193)</f>
        <v>0</v>
      </c>
      <c r="AS193" s="32">
        <f ca="1">_xll.DBRW($C$1,$C$2,$C$3,$C$4,$C$6,$C$5,$C$7,AS$1,AS$2,$A193)</f>
        <v>0</v>
      </c>
      <c r="AT193" s="32">
        <f ca="1">_xll.DBRW($C$1,$C$2,$C$3,$C$4,$C$6,$C$5,$C$7,AT$1,AT$2,$A193)</f>
        <v>0</v>
      </c>
      <c r="AU193" s="32">
        <f ca="1">_xll.DBRW($C$1,$C$2,$C$3,$C$4,$C$6,$C$5,$C$7,AU$1,AU$2,$A193)</f>
        <v>0</v>
      </c>
      <c r="AV193" s="32">
        <f ca="1">_xll.DBRW($C$1,$C$2,$C$3,$C$4,$C$6,$C$5,$C$7,AV$1,AV$2,$A193)</f>
        <v>0</v>
      </c>
      <c r="AW193" s="32">
        <f ca="1">_xll.DBRW($C$1,$C$2,$C$3,$C$4,$C$6,$C$5,$C$7,AW$1,AW$2,$A193)</f>
        <v>0</v>
      </c>
      <c r="AX193" s="32">
        <f ca="1">_xll.DBRW($C$1,$C$2,$C$3,$C$4,$C$6,$C$5,$C$7,AX$1,AX$2,$A193)</f>
        <v>0</v>
      </c>
      <c r="AY193" s="32">
        <f ca="1">_xll.DBRW($C$1,$C$2,$C$3,$C$4,$C$6,$C$5,$C$7,AY$1,AY$2,$A193)</f>
        <v>0</v>
      </c>
    </row>
    <row r="194" spans="1:51" ht="15.75" hidden="1" customHeight="1" outlineLevel="1">
      <c r="A194" s="1" t="s">
        <v>281</v>
      </c>
      <c r="C194" s="109"/>
      <c r="E194" s="9" t="str">
        <f ca="1">_xll.DBRW(Server&amp;"}ElementAttributes_Indicator",A194,"code_English")</f>
        <v>PL1111_XX - Vector Reconciliation (TPL11) - Staff costs - Stock Options</v>
      </c>
      <c r="F194" s="32">
        <f ca="1">_xll.DBRW($C$1,$C$2,$C$3,$C$4,$C$6,$C$5,$C$7,F$1,F$2,$A194)</f>
        <v>0</v>
      </c>
      <c r="G194" s="32">
        <f ca="1">_xll.DBRW($C$1,$C$2,$C$3,$C$4,$C$6,$C$5,$C$7,G$1,G$2,$A194)</f>
        <v>0</v>
      </c>
      <c r="H194" s="32">
        <f ca="1">_xll.DBRW($C$1,$C$2,$C$3,$C$4,$C$6,$C$5,$C$7,H$1,H$2,$A194)</f>
        <v>0</v>
      </c>
      <c r="I194" s="32">
        <f ca="1">_xll.DBRW($C$1,$C$2,$C$3,$C$4,$C$6,$C$5,$C$7,I$1,I$2,$A194)</f>
        <v>0</v>
      </c>
      <c r="J194" s="32">
        <f ca="1">_xll.DBRW($C$1,$C$2,$C$3,$C$4,$C$6,$C$5,$C$7,J$1,J$2,$A194)</f>
        <v>0</v>
      </c>
      <c r="K194" s="32">
        <f ca="1">_xll.DBRW($C$1,$C$2,$C$3,$C$4,$C$6,$C$5,$C$7,K$1,K$2,$A194)</f>
        <v>0</v>
      </c>
      <c r="L194" s="32">
        <f ca="1">_xll.DBRW($C$1,$C$2,$C$3,$C$4,$C$6,$C$5,$C$7,L$1,L$2,$A194)</f>
        <v>0</v>
      </c>
      <c r="M194" s="32">
        <f ca="1">_xll.DBRW($C$1,$C$2,$C$3,$C$4,$C$6,$C$5,$C$7,M$1,M$2,$A194)</f>
        <v>0</v>
      </c>
      <c r="N194" s="32">
        <f ca="1">_xll.DBRW($C$1,$C$2,$C$3,$C$4,$C$6,$C$5,$C$7,N$1,N$2,$A194)</f>
        <v>0</v>
      </c>
      <c r="O194" s="32">
        <f ca="1">_xll.DBRW($C$1,$C$2,$C$3,$C$4,$C$6,$C$5,$C$7,O$1,O$2,$A194)</f>
        <v>0</v>
      </c>
      <c r="P194" s="32">
        <f ca="1">_xll.DBRW($C$1,$C$2,$C$3,$C$4,$C$6,$C$5,$C$7,P$1,P$2,$A194)</f>
        <v>0</v>
      </c>
      <c r="Q194" s="32">
        <f ca="1">_xll.DBRW($C$1,$C$2,$C$3,$C$4,$C$6,$C$5,$C$7,Q$1,Q$2,$A194)</f>
        <v>0</v>
      </c>
      <c r="R194" s="32">
        <f ca="1">_xll.DBRW($C$1,$C$2,$C$3,$C$4,$C$6,$C$5,$C$7,R$1,R$2,$A194)</f>
        <v>0</v>
      </c>
      <c r="S194" s="32">
        <f ca="1">_xll.DBRW($C$1,$C$2,$C$3,$C$4,$C$6,$C$5,$C$7,S$1,S$2,$A194)</f>
        <v>0</v>
      </c>
      <c r="T194" s="32">
        <f ca="1">_xll.DBRW($C$1,$C$2,$C$3,$C$4,$C$6,$C$5,$C$7,T$1,T$2,$A194)</f>
        <v>0</v>
      </c>
      <c r="U194" s="32">
        <f ca="1">_xll.DBRW($C$1,$C$2,$C$3,$C$4,$C$6,$C$5,$C$7,U$1,U$2,$A194)</f>
        <v>0</v>
      </c>
      <c r="V194" s="32">
        <f ca="1">_xll.DBRW($C$1,$C$2,$C$3,$C$4,$C$6,$C$5,$C$7,V$1,V$2,$A194)</f>
        <v>0</v>
      </c>
      <c r="W194" s="32">
        <f ca="1">_xll.DBRW($C$1,$C$2,$C$3,$C$4,$C$6,$C$5,$C$7,W$1,W$2,$A194)</f>
        <v>0</v>
      </c>
      <c r="X194" s="32">
        <f ca="1">_xll.DBRW($C$1,$C$2,$C$3,$C$4,$C$6,$C$5,$C$7,X$1,X$2,$A194)</f>
        <v>0</v>
      </c>
      <c r="Y194" s="32">
        <f ca="1">_xll.DBRW($C$1,$C$2,$C$3,$C$4,$C$6,$C$5,$C$7,Y$1,Y$2,$A194)</f>
        <v>0</v>
      </c>
      <c r="Z194" s="32">
        <f ca="1">_xll.DBRW($C$1,$C$2,$C$3,$C$4,$C$6,$C$5,$C$7,Z$1,Z$2,$A194)</f>
        <v>0</v>
      </c>
      <c r="AA194" s="32">
        <f ca="1">_xll.DBRW($C$1,$C$2,$C$3,$C$4,$C$6,$C$5,$C$7,AA$1,AA$2,$A194)</f>
        <v>0</v>
      </c>
      <c r="AB194" s="32">
        <f ca="1">_xll.DBRW($C$1,$C$2,$C$3,$C$4,$C$6,$C$5,$C$7,AB$1,AB$2,$A194)</f>
        <v>0</v>
      </c>
      <c r="AC194" s="32">
        <f ca="1">_xll.DBRW($C$1,$C$2,$C$3,$C$4,$C$6,$C$5,$C$7,AC$1,AC$2,$A194)</f>
        <v>0</v>
      </c>
      <c r="AD194" s="32">
        <f ca="1">_xll.DBRW($C$1,$C$2,$C$3,$C$4,$C$6,$C$5,$C$7,AD$1,AD$2,$A194)</f>
        <v>0</v>
      </c>
      <c r="AE194" s="32">
        <f ca="1">_xll.DBRW($C$1,$C$2,$C$3,$C$4,$C$6,$C$5,$C$7,AE$1,AE$2,$A194)</f>
        <v>0</v>
      </c>
      <c r="AF194" s="32">
        <f ca="1">_xll.DBRW($C$1,$C$2,$C$3,$C$4,$C$6,$C$5,$C$7,AF$1,AF$2,$A194)</f>
        <v>0</v>
      </c>
      <c r="AG194" s="32">
        <f ca="1">_xll.DBRW($C$1,$C$2,$C$3,$C$4,$C$6,$C$5,$C$7,AG$1,AG$2,$A194)</f>
        <v>0</v>
      </c>
      <c r="AH194" s="32">
        <f ca="1">_xll.DBRW($C$1,$C$2,$C$3,$C$4,$C$6,$C$5,$C$7,AH$1,AH$2,$A194)</f>
        <v>0</v>
      </c>
      <c r="AI194" s="32">
        <f ca="1">_xll.DBRW($C$1,$C$2,$C$3,$C$4,$C$6,$C$5,$C$7,AI$1,AI$2,$A194)</f>
        <v>0</v>
      </c>
      <c r="AJ194" s="32">
        <f ca="1">_xll.DBRW($C$1,$C$2,$C$3,$C$4,$C$6,$C$5,$C$7,AJ$1,AJ$2,$A194)</f>
        <v>0</v>
      </c>
      <c r="AK194" s="32">
        <f ca="1">_xll.DBRW($C$1,$C$2,$C$3,$C$4,$C$6,$C$5,$C$7,AK$1,AK$2,$A194)</f>
        <v>0</v>
      </c>
      <c r="AL194" s="32">
        <f ca="1">_xll.DBRW($C$1,$C$2,$C$3,$C$4,$C$6,$C$5,$C$7,AL$1,AL$2,$A194)</f>
        <v>0</v>
      </c>
      <c r="AM194" s="32">
        <f ca="1">_xll.DBRW($C$1,$C$2,$C$3,$C$4,$C$6,$C$5,$C$7,AM$1,AM$2,$A194)</f>
        <v>0</v>
      </c>
      <c r="AN194" s="32">
        <f ca="1">_xll.DBRW($C$1,$C$2,$C$3,$C$4,$C$6,$C$5,$C$7,AN$1,AN$2,$A194)</f>
        <v>0</v>
      </c>
      <c r="AO194" s="32">
        <f ca="1">_xll.DBRW($C$1,$C$2,$C$3,$C$4,$C$6,$C$5,$C$7,AO$1,AO$2,$A194)</f>
        <v>0</v>
      </c>
      <c r="AP194" s="32">
        <f ca="1">_xll.DBRW($C$1,$C$2,$C$3,$C$4,$C$6,$C$5,$C$7,AP$1,AP$2,$A194)</f>
        <v>0</v>
      </c>
      <c r="AQ194" s="32">
        <f ca="1">_xll.DBRW($C$1,$C$2,$C$3,$C$4,$C$6,$C$5,$C$7,AQ$1,AQ$2,$A194)</f>
        <v>0</v>
      </c>
      <c r="AR194" s="32">
        <f ca="1">_xll.DBRW($C$1,$C$2,$C$3,$C$4,$C$6,$C$5,$C$7,AR$1,AR$2,$A194)</f>
        <v>0</v>
      </c>
      <c r="AS194" s="32">
        <f ca="1">_xll.DBRW($C$1,$C$2,$C$3,$C$4,$C$6,$C$5,$C$7,AS$1,AS$2,$A194)</f>
        <v>0</v>
      </c>
      <c r="AT194" s="32">
        <f ca="1">_xll.DBRW($C$1,$C$2,$C$3,$C$4,$C$6,$C$5,$C$7,AT$1,AT$2,$A194)</f>
        <v>0</v>
      </c>
      <c r="AU194" s="32">
        <f ca="1">_xll.DBRW($C$1,$C$2,$C$3,$C$4,$C$6,$C$5,$C$7,AU$1,AU$2,$A194)</f>
        <v>0</v>
      </c>
      <c r="AV194" s="32">
        <f ca="1">_xll.DBRW($C$1,$C$2,$C$3,$C$4,$C$6,$C$5,$C$7,AV$1,AV$2,$A194)</f>
        <v>0</v>
      </c>
      <c r="AW194" s="32">
        <f ca="1">_xll.DBRW($C$1,$C$2,$C$3,$C$4,$C$6,$C$5,$C$7,AW$1,AW$2,$A194)</f>
        <v>0</v>
      </c>
      <c r="AX194" s="32">
        <f ca="1">_xll.DBRW($C$1,$C$2,$C$3,$C$4,$C$6,$C$5,$C$7,AX$1,AX$2,$A194)</f>
        <v>0</v>
      </c>
      <c r="AY194" s="32">
        <f ca="1">_xll.DBRW($C$1,$C$2,$C$3,$C$4,$C$6,$C$5,$C$7,AY$1,AY$2,$A194)</f>
        <v>0</v>
      </c>
    </row>
    <row r="195" spans="1:51" ht="15.75" hidden="1" customHeight="1" outlineLevel="1">
      <c r="A195" s="1" t="s">
        <v>282</v>
      </c>
      <c r="C195" s="109"/>
      <c r="E195" s="9" t="str">
        <f ca="1">_xll.DBRW(Server&amp;"}ElementAttributes_Indicator",A195,"code_English")</f>
        <v>PL1115_XX - Vector Reconciliation (TPL11) - Other expenses</v>
      </c>
      <c r="F195" s="32">
        <f ca="1">_xll.DBRW($C$1,$C$2,$C$3,$C$4,$C$6,$C$5,$C$7,F$1,F$2,$A195)</f>
        <v>0</v>
      </c>
      <c r="G195" s="32">
        <f ca="1">_xll.DBRW($C$1,$C$2,$C$3,$C$4,$C$6,$C$5,$C$7,G$1,G$2,$A195)</f>
        <v>0</v>
      </c>
      <c r="H195" s="32">
        <f ca="1">_xll.DBRW($C$1,$C$2,$C$3,$C$4,$C$6,$C$5,$C$7,H$1,H$2,$A195)</f>
        <v>0</v>
      </c>
      <c r="I195" s="32">
        <f ca="1">_xll.DBRW($C$1,$C$2,$C$3,$C$4,$C$6,$C$5,$C$7,I$1,I$2,$A195)</f>
        <v>0</v>
      </c>
      <c r="J195" s="32">
        <f ca="1">_xll.DBRW($C$1,$C$2,$C$3,$C$4,$C$6,$C$5,$C$7,J$1,J$2,$A195)</f>
        <v>0</v>
      </c>
      <c r="K195" s="32">
        <f ca="1">_xll.DBRW($C$1,$C$2,$C$3,$C$4,$C$6,$C$5,$C$7,K$1,K$2,$A195)</f>
        <v>0</v>
      </c>
      <c r="L195" s="32">
        <f ca="1">_xll.DBRW($C$1,$C$2,$C$3,$C$4,$C$6,$C$5,$C$7,L$1,L$2,$A195)</f>
        <v>0</v>
      </c>
      <c r="M195" s="32">
        <f ca="1">_xll.DBRW($C$1,$C$2,$C$3,$C$4,$C$6,$C$5,$C$7,M$1,M$2,$A195)</f>
        <v>0</v>
      </c>
      <c r="N195" s="32">
        <f ca="1">_xll.DBRW($C$1,$C$2,$C$3,$C$4,$C$6,$C$5,$C$7,N$1,N$2,$A195)</f>
        <v>0</v>
      </c>
      <c r="O195" s="32">
        <f ca="1">_xll.DBRW($C$1,$C$2,$C$3,$C$4,$C$6,$C$5,$C$7,O$1,O$2,$A195)</f>
        <v>0</v>
      </c>
      <c r="P195" s="32">
        <f ca="1">_xll.DBRW($C$1,$C$2,$C$3,$C$4,$C$6,$C$5,$C$7,P$1,P$2,$A195)</f>
        <v>0</v>
      </c>
      <c r="Q195" s="32">
        <f ca="1">_xll.DBRW($C$1,$C$2,$C$3,$C$4,$C$6,$C$5,$C$7,Q$1,Q$2,$A195)</f>
        <v>0</v>
      </c>
      <c r="R195" s="32">
        <f ca="1">_xll.DBRW($C$1,$C$2,$C$3,$C$4,$C$6,$C$5,$C$7,R$1,R$2,$A195)</f>
        <v>0</v>
      </c>
      <c r="S195" s="32">
        <f ca="1">_xll.DBRW($C$1,$C$2,$C$3,$C$4,$C$6,$C$5,$C$7,S$1,S$2,$A195)</f>
        <v>0</v>
      </c>
      <c r="T195" s="32">
        <f ca="1">_xll.DBRW($C$1,$C$2,$C$3,$C$4,$C$6,$C$5,$C$7,T$1,T$2,$A195)</f>
        <v>0</v>
      </c>
      <c r="U195" s="32">
        <f ca="1">_xll.DBRW($C$1,$C$2,$C$3,$C$4,$C$6,$C$5,$C$7,U$1,U$2,$A195)</f>
        <v>0</v>
      </c>
      <c r="V195" s="32">
        <f ca="1">_xll.DBRW($C$1,$C$2,$C$3,$C$4,$C$6,$C$5,$C$7,V$1,V$2,$A195)</f>
        <v>0</v>
      </c>
      <c r="W195" s="32">
        <f ca="1">_xll.DBRW($C$1,$C$2,$C$3,$C$4,$C$6,$C$5,$C$7,W$1,W$2,$A195)</f>
        <v>0</v>
      </c>
      <c r="X195" s="32">
        <f ca="1">_xll.DBRW($C$1,$C$2,$C$3,$C$4,$C$6,$C$5,$C$7,X$1,X$2,$A195)</f>
        <v>0</v>
      </c>
      <c r="Y195" s="32">
        <f ca="1">_xll.DBRW($C$1,$C$2,$C$3,$C$4,$C$6,$C$5,$C$7,Y$1,Y$2,$A195)</f>
        <v>0</v>
      </c>
      <c r="Z195" s="32">
        <f ca="1">_xll.DBRW($C$1,$C$2,$C$3,$C$4,$C$6,$C$5,$C$7,Z$1,Z$2,$A195)</f>
        <v>0</v>
      </c>
      <c r="AA195" s="32">
        <f ca="1">_xll.DBRW($C$1,$C$2,$C$3,$C$4,$C$6,$C$5,$C$7,AA$1,AA$2,$A195)</f>
        <v>0</v>
      </c>
      <c r="AB195" s="32">
        <f ca="1">_xll.DBRW($C$1,$C$2,$C$3,$C$4,$C$6,$C$5,$C$7,AB$1,AB$2,$A195)</f>
        <v>0</v>
      </c>
      <c r="AC195" s="32">
        <f ca="1">_xll.DBRW($C$1,$C$2,$C$3,$C$4,$C$6,$C$5,$C$7,AC$1,AC$2,$A195)</f>
        <v>0</v>
      </c>
      <c r="AD195" s="32">
        <f ca="1">_xll.DBRW($C$1,$C$2,$C$3,$C$4,$C$6,$C$5,$C$7,AD$1,AD$2,$A195)</f>
        <v>0</v>
      </c>
      <c r="AE195" s="32">
        <f ca="1">_xll.DBRW($C$1,$C$2,$C$3,$C$4,$C$6,$C$5,$C$7,AE$1,AE$2,$A195)</f>
        <v>0</v>
      </c>
      <c r="AF195" s="32">
        <f ca="1">_xll.DBRW($C$1,$C$2,$C$3,$C$4,$C$6,$C$5,$C$7,AF$1,AF$2,$A195)</f>
        <v>0</v>
      </c>
      <c r="AG195" s="32">
        <f ca="1">_xll.DBRW($C$1,$C$2,$C$3,$C$4,$C$6,$C$5,$C$7,AG$1,AG$2,$A195)</f>
        <v>0</v>
      </c>
      <c r="AH195" s="32">
        <f ca="1">_xll.DBRW($C$1,$C$2,$C$3,$C$4,$C$6,$C$5,$C$7,AH$1,AH$2,$A195)</f>
        <v>0</v>
      </c>
      <c r="AI195" s="32">
        <f ca="1">_xll.DBRW($C$1,$C$2,$C$3,$C$4,$C$6,$C$5,$C$7,AI$1,AI$2,$A195)</f>
        <v>0</v>
      </c>
      <c r="AJ195" s="32">
        <f ca="1">_xll.DBRW($C$1,$C$2,$C$3,$C$4,$C$6,$C$5,$C$7,AJ$1,AJ$2,$A195)</f>
        <v>0</v>
      </c>
      <c r="AK195" s="32">
        <f ca="1">_xll.DBRW($C$1,$C$2,$C$3,$C$4,$C$6,$C$5,$C$7,AK$1,AK$2,$A195)</f>
        <v>0</v>
      </c>
      <c r="AL195" s="32">
        <f ca="1">_xll.DBRW($C$1,$C$2,$C$3,$C$4,$C$6,$C$5,$C$7,AL$1,AL$2,$A195)</f>
        <v>0</v>
      </c>
      <c r="AM195" s="32">
        <f ca="1">_xll.DBRW($C$1,$C$2,$C$3,$C$4,$C$6,$C$5,$C$7,AM$1,AM$2,$A195)</f>
        <v>0</v>
      </c>
      <c r="AN195" s="32">
        <f ca="1">_xll.DBRW($C$1,$C$2,$C$3,$C$4,$C$6,$C$5,$C$7,AN$1,AN$2,$A195)</f>
        <v>0</v>
      </c>
      <c r="AO195" s="32">
        <f ca="1">_xll.DBRW($C$1,$C$2,$C$3,$C$4,$C$6,$C$5,$C$7,AO$1,AO$2,$A195)</f>
        <v>0</v>
      </c>
      <c r="AP195" s="32">
        <f ca="1">_xll.DBRW($C$1,$C$2,$C$3,$C$4,$C$6,$C$5,$C$7,AP$1,AP$2,$A195)</f>
        <v>0</v>
      </c>
      <c r="AQ195" s="32">
        <f ca="1">_xll.DBRW($C$1,$C$2,$C$3,$C$4,$C$6,$C$5,$C$7,AQ$1,AQ$2,$A195)</f>
        <v>0</v>
      </c>
      <c r="AR195" s="32">
        <f ca="1">_xll.DBRW($C$1,$C$2,$C$3,$C$4,$C$6,$C$5,$C$7,AR$1,AR$2,$A195)</f>
        <v>0</v>
      </c>
      <c r="AS195" s="32">
        <f ca="1">_xll.DBRW($C$1,$C$2,$C$3,$C$4,$C$6,$C$5,$C$7,AS$1,AS$2,$A195)</f>
        <v>0</v>
      </c>
      <c r="AT195" s="32">
        <f ca="1">_xll.DBRW($C$1,$C$2,$C$3,$C$4,$C$6,$C$5,$C$7,AT$1,AT$2,$A195)</f>
        <v>0</v>
      </c>
      <c r="AU195" s="32">
        <f ca="1">_xll.DBRW($C$1,$C$2,$C$3,$C$4,$C$6,$C$5,$C$7,AU$1,AU$2,$A195)</f>
        <v>0</v>
      </c>
      <c r="AV195" s="32">
        <f ca="1">_xll.DBRW($C$1,$C$2,$C$3,$C$4,$C$6,$C$5,$C$7,AV$1,AV$2,$A195)</f>
        <v>0</v>
      </c>
      <c r="AW195" s="32">
        <f ca="1">_xll.DBRW($C$1,$C$2,$C$3,$C$4,$C$6,$C$5,$C$7,AW$1,AW$2,$A195)</f>
        <v>0</v>
      </c>
      <c r="AX195" s="32">
        <f ca="1">_xll.DBRW($C$1,$C$2,$C$3,$C$4,$C$6,$C$5,$C$7,AX$1,AX$2,$A195)</f>
        <v>0</v>
      </c>
      <c r="AY195" s="32">
        <f ca="1">_xll.DBRW($C$1,$C$2,$C$3,$C$4,$C$6,$C$5,$C$7,AY$1,AY$2,$A195)</f>
        <v>0</v>
      </c>
    </row>
    <row r="196" spans="1:51" ht="15.75" hidden="1" customHeight="1" outlineLevel="1">
      <c r="A196" s="1" t="s">
        <v>283</v>
      </c>
      <c r="C196" s="109"/>
      <c r="E196" s="9" t="str">
        <f ca="1">_xll.DBRW(Server&amp;"}ElementAttributes_Indicator",A196,"code_English")</f>
        <v>PL1115A_XX - Vector Reconciliation (TPL11) - Adjustment to operating profit</v>
      </c>
      <c r="F196" s="32">
        <f ca="1">_xll.DBRW($C$1,$C$2,$C$3,$C$4,$C$6,$C$5,$C$7,F$1,F$2,$A196)</f>
        <v>0</v>
      </c>
      <c r="G196" s="32">
        <f ca="1">_xll.DBRW($C$1,$C$2,$C$3,$C$4,$C$6,$C$5,$C$7,G$1,G$2,$A196)</f>
        <v>0</v>
      </c>
      <c r="H196" s="32">
        <f ca="1">_xll.DBRW($C$1,$C$2,$C$3,$C$4,$C$6,$C$5,$C$7,H$1,H$2,$A196)</f>
        <v>0</v>
      </c>
      <c r="I196" s="32">
        <f ca="1">_xll.DBRW($C$1,$C$2,$C$3,$C$4,$C$6,$C$5,$C$7,I$1,I$2,$A196)</f>
        <v>0</v>
      </c>
      <c r="J196" s="32">
        <f ca="1">_xll.DBRW($C$1,$C$2,$C$3,$C$4,$C$6,$C$5,$C$7,J$1,J$2,$A196)</f>
        <v>0</v>
      </c>
      <c r="K196" s="32">
        <f ca="1">_xll.DBRW($C$1,$C$2,$C$3,$C$4,$C$6,$C$5,$C$7,K$1,K$2,$A196)</f>
        <v>0</v>
      </c>
      <c r="L196" s="32">
        <f ca="1">_xll.DBRW($C$1,$C$2,$C$3,$C$4,$C$6,$C$5,$C$7,L$1,L$2,$A196)</f>
        <v>0</v>
      </c>
      <c r="M196" s="32">
        <f ca="1">_xll.DBRW($C$1,$C$2,$C$3,$C$4,$C$6,$C$5,$C$7,M$1,M$2,$A196)</f>
        <v>0</v>
      </c>
      <c r="N196" s="32">
        <f ca="1">_xll.DBRW($C$1,$C$2,$C$3,$C$4,$C$6,$C$5,$C$7,N$1,N$2,$A196)</f>
        <v>0</v>
      </c>
      <c r="O196" s="32">
        <f ca="1">_xll.DBRW($C$1,$C$2,$C$3,$C$4,$C$6,$C$5,$C$7,O$1,O$2,$A196)</f>
        <v>0</v>
      </c>
      <c r="P196" s="32">
        <f ca="1">_xll.DBRW($C$1,$C$2,$C$3,$C$4,$C$6,$C$5,$C$7,P$1,P$2,$A196)</f>
        <v>0</v>
      </c>
      <c r="Q196" s="32">
        <f ca="1">_xll.DBRW($C$1,$C$2,$C$3,$C$4,$C$6,$C$5,$C$7,Q$1,Q$2,$A196)</f>
        <v>0</v>
      </c>
      <c r="R196" s="32">
        <f ca="1">_xll.DBRW($C$1,$C$2,$C$3,$C$4,$C$6,$C$5,$C$7,R$1,R$2,$A196)</f>
        <v>0</v>
      </c>
      <c r="S196" s="32">
        <f ca="1">_xll.DBRW($C$1,$C$2,$C$3,$C$4,$C$6,$C$5,$C$7,S$1,S$2,$A196)</f>
        <v>0</v>
      </c>
      <c r="T196" s="32">
        <f ca="1">_xll.DBRW($C$1,$C$2,$C$3,$C$4,$C$6,$C$5,$C$7,T$1,T$2,$A196)</f>
        <v>0</v>
      </c>
      <c r="U196" s="32">
        <f ca="1">_xll.DBRW($C$1,$C$2,$C$3,$C$4,$C$6,$C$5,$C$7,U$1,U$2,$A196)</f>
        <v>0</v>
      </c>
      <c r="V196" s="32">
        <f ca="1">_xll.DBRW($C$1,$C$2,$C$3,$C$4,$C$6,$C$5,$C$7,V$1,V$2,$A196)</f>
        <v>0</v>
      </c>
      <c r="W196" s="32">
        <f ca="1">_xll.DBRW($C$1,$C$2,$C$3,$C$4,$C$6,$C$5,$C$7,W$1,W$2,$A196)</f>
        <v>0</v>
      </c>
      <c r="X196" s="32">
        <f ca="1">_xll.DBRW($C$1,$C$2,$C$3,$C$4,$C$6,$C$5,$C$7,X$1,X$2,$A196)</f>
        <v>0</v>
      </c>
      <c r="Y196" s="32">
        <f ca="1">_xll.DBRW($C$1,$C$2,$C$3,$C$4,$C$6,$C$5,$C$7,Y$1,Y$2,$A196)</f>
        <v>0</v>
      </c>
      <c r="Z196" s="32">
        <f ca="1">_xll.DBRW($C$1,$C$2,$C$3,$C$4,$C$6,$C$5,$C$7,Z$1,Z$2,$A196)</f>
        <v>0</v>
      </c>
      <c r="AA196" s="32">
        <f ca="1">_xll.DBRW($C$1,$C$2,$C$3,$C$4,$C$6,$C$5,$C$7,AA$1,AA$2,$A196)</f>
        <v>0</v>
      </c>
      <c r="AB196" s="32">
        <f ca="1">_xll.DBRW($C$1,$C$2,$C$3,$C$4,$C$6,$C$5,$C$7,AB$1,AB$2,$A196)</f>
        <v>0</v>
      </c>
      <c r="AC196" s="32">
        <f ca="1">_xll.DBRW($C$1,$C$2,$C$3,$C$4,$C$6,$C$5,$C$7,AC$1,AC$2,$A196)</f>
        <v>0</v>
      </c>
      <c r="AD196" s="32">
        <f ca="1">_xll.DBRW($C$1,$C$2,$C$3,$C$4,$C$6,$C$5,$C$7,AD$1,AD$2,$A196)</f>
        <v>0</v>
      </c>
      <c r="AE196" s="32">
        <f ca="1">_xll.DBRW($C$1,$C$2,$C$3,$C$4,$C$6,$C$5,$C$7,AE$1,AE$2,$A196)</f>
        <v>0</v>
      </c>
      <c r="AF196" s="32">
        <f ca="1">_xll.DBRW($C$1,$C$2,$C$3,$C$4,$C$6,$C$5,$C$7,AF$1,AF$2,$A196)</f>
        <v>0</v>
      </c>
      <c r="AG196" s="32">
        <f ca="1">_xll.DBRW($C$1,$C$2,$C$3,$C$4,$C$6,$C$5,$C$7,AG$1,AG$2,$A196)</f>
        <v>0</v>
      </c>
      <c r="AH196" s="32">
        <f ca="1">_xll.DBRW($C$1,$C$2,$C$3,$C$4,$C$6,$C$5,$C$7,AH$1,AH$2,$A196)</f>
        <v>0</v>
      </c>
      <c r="AI196" s="32">
        <f ca="1">_xll.DBRW($C$1,$C$2,$C$3,$C$4,$C$6,$C$5,$C$7,AI$1,AI$2,$A196)</f>
        <v>0</v>
      </c>
      <c r="AJ196" s="32">
        <f ca="1">_xll.DBRW($C$1,$C$2,$C$3,$C$4,$C$6,$C$5,$C$7,AJ$1,AJ$2,$A196)</f>
        <v>0</v>
      </c>
      <c r="AK196" s="32">
        <f ca="1">_xll.DBRW($C$1,$C$2,$C$3,$C$4,$C$6,$C$5,$C$7,AK$1,AK$2,$A196)</f>
        <v>0</v>
      </c>
      <c r="AL196" s="32">
        <f ca="1">_xll.DBRW($C$1,$C$2,$C$3,$C$4,$C$6,$C$5,$C$7,AL$1,AL$2,$A196)</f>
        <v>0</v>
      </c>
      <c r="AM196" s="32">
        <f ca="1">_xll.DBRW($C$1,$C$2,$C$3,$C$4,$C$6,$C$5,$C$7,AM$1,AM$2,$A196)</f>
        <v>0</v>
      </c>
      <c r="AN196" s="32">
        <f ca="1">_xll.DBRW($C$1,$C$2,$C$3,$C$4,$C$6,$C$5,$C$7,AN$1,AN$2,$A196)</f>
        <v>0</v>
      </c>
      <c r="AO196" s="32">
        <f ca="1">_xll.DBRW($C$1,$C$2,$C$3,$C$4,$C$6,$C$5,$C$7,AO$1,AO$2,$A196)</f>
        <v>0</v>
      </c>
      <c r="AP196" s="32">
        <f ca="1">_xll.DBRW($C$1,$C$2,$C$3,$C$4,$C$6,$C$5,$C$7,AP$1,AP$2,$A196)</f>
        <v>0</v>
      </c>
      <c r="AQ196" s="32">
        <f ca="1">_xll.DBRW($C$1,$C$2,$C$3,$C$4,$C$6,$C$5,$C$7,AQ$1,AQ$2,$A196)</f>
        <v>0</v>
      </c>
      <c r="AR196" s="32">
        <f ca="1">_xll.DBRW($C$1,$C$2,$C$3,$C$4,$C$6,$C$5,$C$7,AR$1,AR$2,$A196)</f>
        <v>0</v>
      </c>
      <c r="AS196" s="32">
        <f ca="1">_xll.DBRW($C$1,$C$2,$C$3,$C$4,$C$6,$C$5,$C$7,AS$1,AS$2,$A196)</f>
        <v>0</v>
      </c>
      <c r="AT196" s="32">
        <f ca="1">_xll.DBRW($C$1,$C$2,$C$3,$C$4,$C$6,$C$5,$C$7,AT$1,AT$2,$A196)</f>
        <v>0</v>
      </c>
      <c r="AU196" s="32">
        <f ca="1">_xll.DBRW($C$1,$C$2,$C$3,$C$4,$C$6,$C$5,$C$7,AU$1,AU$2,$A196)</f>
        <v>0</v>
      </c>
      <c r="AV196" s="32">
        <f ca="1">_xll.DBRW($C$1,$C$2,$C$3,$C$4,$C$6,$C$5,$C$7,AV$1,AV$2,$A196)</f>
        <v>0</v>
      </c>
      <c r="AW196" s="32">
        <f ca="1">_xll.DBRW($C$1,$C$2,$C$3,$C$4,$C$6,$C$5,$C$7,AW$1,AW$2,$A196)</f>
        <v>0</v>
      </c>
      <c r="AX196" s="32">
        <f ca="1">_xll.DBRW($C$1,$C$2,$C$3,$C$4,$C$6,$C$5,$C$7,AX$1,AX$2,$A196)</f>
        <v>0</v>
      </c>
      <c r="AY196" s="32">
        <f ca="1">_xll.DBRW($C$1,$C$2,$C$3,$C$4,$C$6,$C$5,$C$7,AY$1,AY$2,$A196)</f>
        <v>0</v>
      </c>
    </row>
    <row r="197" spans="1:51" ht="15.75" hidden="1" customHeight="1" outlineLevel="1">
      <c r="A197" s="1" t="s">
        <v>284</v>
      </c>
      <c r="C197" s="109"/>
      <c r="E197" s="9" t="str">
        <f ca="1">_xll.DBRW(Server&amp;"}ElementAttributes_Indicator",A197,"code_English")</f>
        <v>PL1115S_XX - Vector Reconciliation (TPL11) - COS - Subcontracting transportation costs</v>
      </c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6"/>
      <c r="AW197" s="76"/>
      <c r="AX197" s="76"/>
      <c r="AY197" s="76"/>
    </row>
    <row r="198" spans="1:51" ht="15.75" hidden="1" customHeight="1" outlineLevel="1">
      <c r="A198" s="1" t="s">
        <v>285</v>
      </c>
      <c r="C198" s="109"/>
      <c r="E198" s="9" t="str">
        <f ca="1">_xll.DBRW(Server&amp;"}ElementAttributes_Indicator",A198,"code_English")</f>
        <v>PL1116_XX - Vector Reconciliation (TPL11) - COS - Lease expenses</v>
      </c>
      <c r="F198" s="32">
        <f ca="1">_xll.DBRW($C$1,$C$2,$C$3,$C$4,$C$6,$C$5,$C$7,F$1,F$2,$A198)</f>
        <v>0</v>
      </c>
      <c r="G198" s="32">
        <f ca="1">_xll.DBRW($C$1,$C$2,$C$3,$C$4,$C$6,$C$5,$C$7,G$1,G$2,$A198)</f>
        <v>0</v>
      </c>
      <c r="H198" s="32">
        <f ca="1">_xll.DBRW($C$1,$C$2,$C$3,$C$4,$C$6,$C$5,$C$7,H$1,H$2,$A198)</f>
        <v>0</v>
      </c>
      <c r="I198" s="32">
        <f ca="1">_xll.DBRW($C$1,$C$2,$C$3,$C$4,$C$6,$C$5,$C$7,I$1,I$2,$A198)</f>
        <v>0</v>
      </c>
      <c r="J198" s="32">
        <f ca="1">_xll.DBRW($C$1,$C$2,$C$3,$C$4,$C$6,$C$5,$C$7,J$1,J$2,$A198)</f>
        <v>0</v>
      </c>
      <c r="K198" s="32">
        <f ca="1">_xll.DBRW($C$1,$C$2,$C$3,$C$4,$C$6,$C$5,$C$7,K$1,K$2,$A198)</f>
        <v>0</v>
      </c>
      <c r="L198" s="32">
        <f ca="1">_xll.DBRW($C$1,$C$2,$C$3,$C$4,$C$6,$C$5,$C$7,L$1,L$2,$A198)</f>
        <v>0</v>
      </c>
      <c r="M198" s="32">
        <f ca="1">_xll.DBRW($C$1,$C$2,$C$3,$C$4,$C$6,$C$5,$C$7,M$1,M$2,$A198)</f>
        <v>0</v>
      </c>
      <c r="N198" s="32">
        <f ca="1">_xll.DBRW($C$1,$C$2,$C$3,$C$4,$C$6,$C$5,$C$7,N$1,N$2,$A198)</f>
        <v>0</v>
      </c>
      <c r="O198" s="32">
        <f ca="1">_xll.DBRW($C$1,$C$2,$C$3,$C$4,$C$6,$C$5,$C$7,O$1,O$2,$A198)</f>
        <v>0</v>
      </c>
      <c r="P198" s="32">
        <f ca="1">_xll.DBRW($C$1,$C$2,$C$3,$C$4,$C$6,$C$5,$C$7,P$1,P$2,$A198)</f>
        <v>0</v>
      </c>
      <c r="Q198" s="32">
        <f ca="1">_xll.DBRW($C$1,$C$2,$C$3,$C$4,$C$6,$C$5,$C$7,Q$1,Q$2,$A198)</f>
        <v>0</v>
      </c>
      <c r="R198" s="32">
        <f ca="1">_xll.DBRW($C$1,$C$2,$C$3,$C$4,$C$6,$C$5,$C$7,R$1,R$2,$A198)</f>
        <v>0</v>
      </c>
      <c r="S198" s="32">
        <f ca="1">_xll.DBRW($C$1,$C$2,$C$3,$C$4,$C$6,$C$5,$C$7,S$1,S$2,$A198)</f>
        <v>0</v>
      </c>
      <c r="T198" s="32">
        <f ca="1">_xll.DBRW($C$1,$C$2,$C$3,$C$4,$C$6,$C$5,$C$7,T$1,T$2,$A198)</f>
        <v>0</v>
      </c>
      <c r="U198" s="32">
        <f ca="1">_xll.DBRW($C$1,$C$2,$C$3,$C$4,$C$6,$C$5,$C$7,U$1,U$2,$A198)</f>
        <v>0</v>
      </c>
      <c r="V198" s="32">
        <f ca="1">_xll.DBRW($C$1,$C$2,$C$3,$C$4,$C$6,$C$5,$C$7,V$1,V$2,$A198)</f>
        <v>0</v>
      </c>
      <c r="W198" s="32">
        <f ca="1">_xll.DBRW($C$1,$C$2,$C$3,$C$4,$C$6,$C$5,$C$7,W$1,W$2,$A198)</f>
        <v>0</v>
      </c>
      <c r="X198" s="32">
        <f ca="1">_xll.DBRW($C$1,$C$2,$C$3,$C$4,$C$6,$C$5,$C$7,X$1,X$2,$A198)</f>
        <v>0</v>
      </c>
      <c r="Y198" s="32">
        <f ca="1">_xll.DBRW($C$1,$C$2,$C$3,$C$4,$C$6,$C$5,$C$7,Y$1,Y$2,$A198)</f>
        <v>0</v>
      </c>
      <c r="Z198" s="32">
        <f ca="1">_xll.DBRW($C$1,$C$2,$C$3,$C$4,$C$6,$C$5,$C$7,Z$1,Z$2,$A198)</f>
        <v>0</v>
      </c>
      <c r="AA198" s="32">
        <f ca="1">_xll.DBRW($C$1,$C$2,$C$3,$C$4,$C$6,$C$5,$C$7,AA$1,AA$2,$A198)</f>
        <v>0</v>
      </c>
      <c r="AB198" s="32">
        <f ca="1">_xll.DBRW($C$1,$C$2,$C$3,$C$4,$C$6,$C$5,$C$7,AB$1,AB$2,$A198)</f>
        <v>0</v>
      </c>
      <c r="AC198" s="32">
        <f ca="1">_xll.DBRW($C$1,$C$2,$C$3,$C$4,$C$6,$C$5,$C$7,AC$1,AC$2,$A198)</f>
        <v>0</v>
      </c>
      <c r="AD198" s="32">
        <f ca="1">_xll.DBRW($C$1,$C$2,$C$3,$C$4,$C$6,$C$5,$C$7,AD$1,AD$2,$A198)</f>
        <v>0</v>
      </c>
      <c r="AE198" s="32">
        <f ca="1">_xll.DBRW($C$1,$C$2,$C$3,$C$4,$C$6,$C$5,$C$7,AE$1,AE$2,$A198)</f>
        <v>0</v>
      </c>
      <c r="AF198" s="32">
        <f ca="1">_xll.DBRW($C$1,$C$2,$C$3,$C$4,$C$6,$C$5,$C$7,AF$1,AF$2,$A198)</f>
        <v>0</v>
      </c>
      <c r="AG198" s="32">
        <f ca="1">_xll.DBRW($C$1,$C$2,$C$3,$C$4,$C$6,$C$5,$C$7,AG$1,AG$2,$A198)</f>
        <v>0</v>
      </c>
      <c r="AH198" s="32">
        <f ca="1">_xll.DBRW($C$1,$C$2,$C$3,$C$4,$C$6,$C$5,$C$7,AH$1,AH$2,$A198)</f>
        <v>0</v>
      </c>
      <c r="AI198" s="32">
        <f ca="1">_xll.DBRW($C$1,$C$2,$C$3,$C$4,$C$6,$C$5,$C$7,AI$1,AI$2,$A198)</f>
        <v>0</v>
      </c>
      <c r="AJ198" s="32">
        <f ca="1">_xll.DBRW($C$1,$C$2,$C$3,$C$4,$C$6,$C$5,$C$7,AJ$1,AJ$2,$A198)</f>
        <v>0</v>
      </c>
      <c r="AK198" s="32">
        <f ca="1">_xll.DBRW($C$1,$C$2,$C$3,$C$4,$C$6,$C$5,$C$7,AK$1,AK$2,$A198)</f>
        <v>0</v>
      </c>
      <c r="AL198" s="32">
        <f ca="1">_xll.DBRW($C$1,$C$2,$C$3,$C$4,$C$6,$C$5,$C$7,AL$1,AL$2,$A198)</f>
        <v>0</v>
      </c>
      <c r="AM198" s="32">
        <f ca="1">_xll.DBRW($C$1,$C$2,$C$3,$C$4,$C$6,$C$5,$C$7,AM$1,AM$2,$A198)</f>
        <v>0</v>
      </c>
      <c r="AN198" s="32">
        <f ca="1">_xll.DBRW($C$1,$C$2,$C$3,$C$4,$C$6,$C$5,$C$7,AN$1,AN$2,$A198)</f>
        <v>0</v>
      </c>
      <c r="AO198" s="32">
        <f ca="1">_xll.DBRW($C$1,$C$2,$C$3,$C$4,$C$6,$C$5,$C$7,AO$1,AO$2,$A198)</f>
        <v>0</v>
      </c>
      <c r="AP198" s="32">
        <f ca="1">_xll.DBRW($C$1,$C$2,$C$3,$C$4,$C$6,$C$5,$C$7,AP$1,AP$2,$A198)</f>
        <v>0</v>
      </c>
      <c r="AQ198" s="32">
        <f ca="1">_xll.DBRW($C$1,$C$2,$C$3,$C$4,$C$6,$C$5,$C$7,AQ$1,AQ$2,$A198)</f>
        <v>0</v>
      </c>
      <c r="AR198" s="32">
        <f ca="1">_xll.DBRW($C$1,$C$2,$C$3,$C$4,$C$6,$C$5,$C$7,AR$1,AR$2,$A198)</f>
        <v>0</v>
      </c>
      <c r="AS198" s="32">
        <f ca="1">_xll.DBRW($C$1,$C$2,$C$3,$C$4,$C$6,$C$5,$C$7,AS$1,AS$2,$A198)</f>
        <v>0</v>
      </c>
      <c r="AT198" s="32">
        <f ca="1">_xll.DBRW($C$1,$C$2,$C$3,$C$4,$C$6,$C$5,$C$7,AT$1,AT$2,$A198)</f>
        <v>0</v>
      </c>
      <c r="AU198" s="32">
        <f ca="1">_xll.DBRW($C$1,$C$2,$C$3,$C$4,$C$6,$C$5,$C$7,AU$1,AU$2,$A198)</f>
        <v>0</v>
      </c>
      <c r="AV198" s="32">
        <f ca="1">_xll.DBRW($C$1,$C$2,$C$3,$C$4,$C$6,$C$5,$C$7,AV$1,AV$2,$A198)</f>
        <v>0</v>
      </c>
      <c r="AW198" s="32">
        <f ca="1">_xll.DBRW($C$1,$C$2,$C$3,$C$4,$C$6,$C$5,$C$7,AW$1,AW$2,$A198)</f>
        <v>0</v>
      </c>
      <c r="AX198" s="32">
        <f ca="1">_xll.DBRW($C$1,$C$2,$C$3,$C$4,$C$6,$C$5,$C$7,AX$1,AX$2,$A198)</f>
        <v>0</v>
      </c>
      <c r="AY198" s="32">
        <f ca="1">_xll.DBRW($C$1,$C$2,$C$3,$C$4,$C$6,$C$5,$C$7,AY$1,AY$2,$A198)</f>
        <v>0</v>
      </c>
    </row>
    <row r="199" spans="1:51" ht="15.75" hidden="1" customHeight="1" outlineLevel="1">
      <c r="A199" s="1" t="s">
        <v>286</v>
      </c>
      <c r="C199" s="109"/>
      <c r="E199" s="9" t="str">
        <f ca="1">_xll.DBRW(Server&amp;"}ElementAttributes_Indicator",A199,"code_English")</f>
        <v>PL1117_XX - Réconciliation Vector (TPL11) - COS - Lease expenses (IFRIC12)</v>
      </c>
      <c r="F199" s="32">
        <f ca="1">_xll.DBRW($C$1,$C$2,$C$3,$C$4,$C$6,$C$5,$C$7,F$1,F$2,$A199)</f>
        <v>0</v>
      </c>
      <c r="G199" s="32">
        <f ca="1">_xll.DBRW($C$1,$C$2,$C$3,$C$4,$C$6,$C$5,$C$7,G$1,G$2,$A199)</f>
        <v>0</v>
      </c>
      <c r="H199" s="32">
        <f ca="1">_xll.DBRW($C$1,$C$2,$C$3,$C$4,$C$6,$C$5,$C$7,H$1,H$2,$A199)</f>
        <v>0</v>
      </c>
      <c r="I199" s="32">
        <f ca="1">_xll.DBRW($C$1,$C$2,$C$3,$C$4,$C$6,$C$5,$C$7,I$1,I$2,$A199)</f>
        <v>0</v>
      </c>
      <c r="J199" s="32">
        <f ca="1">_xll.DBRW($C$1,$C$2,$C$3,$C$4,$C$6,$C$5,$C$7,J$1,J$2,$A199)</f>
        <v>0</v>
      </c>
      <c r="K199" s="32">
        <f ca="1">_xll.DBRW($C$1,$C$2,$C$3,$C$4,$C$6,$C$5,$C$7,K$1,K$2,$A199)</f>
        <v>0</v>
      </c>
      <c r="L199" s="32">
        <f ca="1">_xll.DBRW($C$1,$C$2,$C$3,$C$4,$C$6,$C$5,$C$7,L$1,L$2,$A199)</f>
        <v>0</v>
      </c>
      <c r="M199" s="32">
        <f ca="1">_xll.DBRW($C$1,$C$2,$C$3,$C$4,$C$6,$C$5,$C$7,M$1,M$2,$A199)</f>
        <v>0</v>
      </c>
      <c r="N199" s="32">
        <f ca="1">_xll.DBRW($C$1,$C$2,$C$3,$C$4,$C$6,$C$5,$C$7,N$1,N$2,$A199)</f>
        <v>0</v>
      </c>
      <c r="O199" s="32">
        <f ca="1">_xll.DBRW($C$1,$C$2,$C$3,$C$4,$C$6,$C$5,$C$7,O$1,O$2,$A199)</f>
        <v>0</v>
      </c>
      <c r="P199" s="32">
        <f ca="1">_xll.DBRW($C$1,$C$2,$C$3,$C$4,$C$6,$C$5,$C$7,P$1,P$2,$A199)</f>
        <v>0</v>
      </c>
      <c r="Q199" s="32">
        <f ca="1">_xll.DBRW($C$1,$C$2,$C$3,$C$4,$C$6,$C$5,$C$7,Q$1,Q$2,$A199)</f>
        <v>0</v>
      </c>
      <c r="R199" s="32">
        <f ca="1">_xll.DBRW($C$1,$C$2,$C$3,$C$4,$C$6,$C$5,$C$7,R$1,R$2,$A199)</f>
        <v>0</v>
      </c>
      <c r="S199" s="32">
        <f ca="1">_xll.DBRW($C$1,$C$2,$C$3,$C$4,$C$6,$C$5,$C$7,S$1,S$2,$A199)</f>
        <v>0</v>
      </c>
      <c r="T199" s="32">
        <f ca="1">_xll.DBRW($C$1,$C$2,$C$3,$C$4,$C$6,$C$5,$C$7,T$1,T$2,$A199)</f>
        <v>0</v>
      </c>
      <c r="U199" s="32">
        <f ca="1">_xll.DBRW($C$1,$C$2,$C$3,$C$4,$C$6,$C$5,$C$7,U$1,U$2,$A199)</f>
        <v>0</v>
      </c>
      <c r="V199" s="32">
        <f ca="1">_xll.DBRW($C$1,$C$2,$C$3,$C$4,$C$6,$C$5,$C$7,V$1,V$2,$A199)</f>
        <v>0</v>
      </c>
      <c r="W199" s="32">
        <f ca="1">_xll.DBRW($C$1,$C$2,$C$3,$C$4,$C$6,$C$5,$C$7,W$1,W$2,$A199)</f>
        <v>0</v>
      </c>
      <c r="X199" s="32">
        <f ca="1">_xll.DBRW($C$1,$C$2,$C$3,$C$4,$C$6,$C$5,$C$7,X$1,X$2,$A199)</f>
        <v>0</v>
      </c>
      <c r="Y199" s="32">
        <f ca="1">_xll.DBRW($C$1,$C$2,$C$3,$C$4,$C$6,$C$5,$C$7,Y$1,Y$2,$A199)</f>
        <v>0</v>
      </c>
      <c r="Z199" s="32">
        <f ca="1">_xll.DBRW($C$1,$C$2,$C$3,$C$4,$C$6,$C$5,$C$7,Z$1,Z$2,$A199)</f>
        <v>0</v>
      </c>
      <c r="AA199" s="32">
        <f ca="1">_xll.DBRW($C$1,$C$2,$C$3,$C$4,$C$6,$C$5,$C$7,AA$1,AA$2,$A199)</f>
        <v>0</v>
      </c>
      <c r="AB199" s="32">
        <f ca="1">_xll.DBRW($C$1,$C$2,$C$3,$C$4,$C$6,$C$5,$C$7,AB$1,AB$2,$A199)</f>
        <v>0</v>
      </c>
      <c r="AC199" s="32">
        <f ca="1">_xll.DBRW($C$1,$C$2,$C$3,$C$4,$C$6,$C$5,$C$7,AC$1,AC$2,$A199)</f>
        <v>0</v>
      </c>
      <c r="AD199" s="32">
        <f ca="1">_xll.DBRW($C$1,$C$2,$C$3,$C$4,$C$6,$C$5,$C$7,AD$1,AD$2,$A199)</f>
        <v>0</v>
      </c>
      <c r="AE199" s="32">
        <f ca="1">_xll.DBRW($C$1,$C$2,$C$3,$C$4,$C$6,$C$5,$C$7,AE$1,AE$2,$A199)</f>
        <v>0</v>
      </c>
      <c r="AF199" s="32">
        <f ca="1">_xll.DBRW($C$1,$C$2,$C$3,$C$4,$C$6,$C$5,$C$7,AF$1,AF$2,$A199)</f>
        <v>0</v>
      </c>
      <c r="AG199" s="32">
        <f ca="1">_xll.DBRW($C$1,$C$2,$C$3,$C$4,$C$6,$C$5,$C$7,AG$1,AG$2,$A199)</f>
        <v>0</v>
      </c>
      <c r="AH199" s="32">
        <f ca="1">_xll.DBRW($C$1,$C$2,$C$3,$C$4,$C$6,$C$5,$C$7,AH$1,AH$2,$A199)</f>
        <v>0</v>
      </c>
      <c r="AI199" s="32">
        <f ca="1">_xll.DBRW($C$1,$C$2,$C$3,$C$4,$C$6,$C$5,$C$7,AI$1,AI$2,$A199)</f>
        <v>0</v>
      </c>
      <c r="AJ199" s="32">
        <f ca="1">_xll.DBRW($C$1,$C$2,$C$3,$C$4,$C$6,$C$5,$C$7,AJ$1,AJ$2,$A199)</f>
        <v>0</v>
      </c>
      <c r="AK199" s="32">
        <f ca="1">_xll.DBRW($C$1,$C$2,$C$3,$C$4,$C$6,$C$5,$C$7,AK$1,AK$2,$A199)</f>
        <v>0</v>
      </c>
      <c r="AL199" s="32">
        <f ca="1">_xll.DBRW($C$1,$C$2,$C$3,$C$4,$C$6,$C$5,$C$7,AL$1,AL$2,$A199)</f>
        <v>0</v>
      </c>
      <c r="AM199" s="32">
        <f ca="1">_xll.DBRW($C$1,$C$2,$C$3,$C$4,$C$6,$C$5,$C$7,AM$1,AM$2,$A199)</f>
        <v>0</v>
      </c>
      <c r="AN199" s="32">
        <f ca="1">_xll.DBRW($C$1,$C$2,$C$3,$C$4,$C$6,$C$5,$C$7,AN$1,AN$2,$A199)</f>
        <v>0</v>
      </c>
      <c r="AO199" s="32">
        <f ca="1">_xll.DBRW($C$1,$C$2,$C$3,$C$4,$C$6,$C$5,$C$7,AO$1,AO$2,$A199)</f>
        <v>0</v>
      </c>
      <c r="AP199" s="32">
        <f ca="1">_xll.DBRW($C$1,$C$2,$C$3,$C$4,$C$6,$C$5,$C$7,AP$1,AP$2,$A199)</f>
        <v>0</v>
      </c>
      <c r="AQ199" s="32">
        <f ca="1">_xll.DBRW($C$1,$C$2,$C$3,$C$4,$C$6,$C$5,$C$7,AQ$1,AQ$2,$A199)</f>
        <v>0</v>
      </c>
      <c r="AR199" s="32">
        <f ca="1">_xll.DBRW($C$1,$C$2,$C$3,$C$4,$C$6,$C$5,$C$7,AR$1,AR$2,$A199)</f>
        <v>0</v>
      </c>
      <c r="AS199" s="32">
        <f ca="1">_xll.DBRW($C$1,$C$2,$C$3,$C$4,$C$6,$C$5,$C$7,AS$1,AS$2,$A199)</f>
        <v>0</v>
      </c>
      <c r="AT199" s="32">
        <f ca="1">_xll.DBRW($C$1,$C$2,$C$3,$C$4,$C$6,$C$5,$C$7,AT$1,AT$2,$A199)</f>
        <v>0</v>
      </c>
      <c r="AU199" s="32">
        <f ca="1">_xll.DBRW($C$1,$C$2,$C$3,$C$4,$C$6,$C$5,$C$7,AU$1,AU$2,$A199)</f>
        <v>0</v>
      </c>
      <c r="AV199" s="32">
        <f ca="1">_xll.DBRW($C$1,$C$2,$C$3,$C$4,$C$6,$C$5,$C$7,AV$1,AV$2,$A199)</f>
        <v>0</v>
      </c>
      <c r="AW199" s="32">
        <f ca="1">_xll.DBRW($C$1,$C$2,$C$3,$C$4,$C$6,$C$5,$C$7,AW$1,AW$2,$A199)</f>
        <v>0</v>
      </c>
      <c r="AX199" s="32">
        <f ca="1">_xll.DBRW($C$1,$C$2,$C$3,$C$4,$C$6,$C$5,$C$7,AX$1,AX$2,$A199)</f>
        <v>0</v>
      </c>
      <c r="AY199" s="32">
        <f ca="1">_xll.DBRW($C$1,$C$2,$C$3,$C$4,$C$6,$C$5,$C$7,AY$1,AY$2,$A199)</f>
        <v>0</v>
      </c>
    </row>
    <row r="200" spans="1:51" ht="15.75" hidden="1" customHeight="1" outlineLevel="1">
      <c r="A200" s="1" t="s">
        <v>287</v>
      </c>
      <c r="C200" s="109"/>
      <c r="E200" s="9" t="str">
        <f ca="1">_xll.DBRW(Server&amp;"}ElementAttributes_Indicator",A200,"code_English")</f>
        <v>PL1118_XX - Réconciliation Vector (TPL11) - IFRS16 adjustment through P&amp;L</v>
      </c>
      <c r="F200" s="32">
        <f ca="1">_xll.DBRW($C$1,$C$2,$C$3,$C$4,$C$6,$C$5,$C$7,F$1,F$2,$A200)</f>
        <v>0</v>
      </c>
      <c r="G200" s="32">
        <f ca="1">_xll.DBRW($C$1,$C$2,$C$3,$C$4,$C$6,$C$5,$C$7,G$1,G$2,$A200)</f>
        <v>0</v>
      </c>
      <c r="H200" s="32">
        <f ca="1">_xll.DBRW($C$1,$C$2,$C$3,$C$4,$C$6,$C$5,$C$7,H$1,H$2,$A200)</f>
        <v>0</v>
      </c>
      <c r="I200" s="32">
        <f ca="1">_xll.DBRW($C$1,$C$2,$C$3,$C$4,$C$6,$C$5,$C$7,I$1,I$2,$A200)</f>
        <v>0</v>
      </c>
      <c r="J200" s="32">
        <f ca="1">_xll.DBRW($C$1,$C$2,$C$3,$C$4,$C$6,$C$5,$C$7,J$1,J$2,$A200)</f>
        <v>0</v>
      </c>
      <c r="K200" s="32">
        <f ca="1">_xll.DBRW($C$1,$C$2,$C$3,$C$4,$C$6,$C$5,$C$7,K$1,K$2,$A200)</f>
        <v>0</v>
      </c>
      <c r="L200" s="32">
        <f ca="1">_xll.DBRW($C$1,$C$2,$C$3,$C$4,$C$6,$C$5,$C$7,L$1,L$2,$A200)</f>
        <v>0</v>
      </c>
      <c r="M200" s="32">
        <f ca="1">_xll.DBRW($C$1,$C$2,$C$3,$C$4,$C$6,$C$5,$C$7,M$1,M$2,$A200)</f>
        <v>0</v>
      </c>
      <c r="N200" s="32">
        <f ca="1">_xll.DBRW($C$1,$C$2,$C$3,$C$4,$C$6,$C$5,$C$7,N$1,N$2,$A200)</f>
        <v>0</v>
      </c>
      <c r="O200" s="32">
        <f ca="1">_xll.DBRW($C$1,$C$2,$C$3,$C$4,$C$6,$C$5,$C$7,O$1,O$2,$A200)</f>
        <v>0</v>
      </c>
      <c r="P200" s="32">
        <f ca="1">_xll.DBRW($C$1,$C$2,$C$3,$C$4,$C$6,$C$5,$C$7,P$1,P$2,$A200)</f>
        <v>0</v>
      </c>
      <c r="Q200" s="32">
        <f ca="1">_xll.DBRW($C$1,$C$2,$C$3,$C$4,$C$6,$C$5,$C$7,Q$1,Q$2,$A200)</f>
        <v>0</v>
      </c>
      <c r="R200" s="32">
        <f ca="1">_xll.DBRW($C$1,$C$2,$C$3,$C$4,$C$6,$C$5,$C$7,R$1,R$2,$A200)</f>
        <v>0</v>
      </c>
      <c r="S200" s="32">
        <f ca="1">_xll.DBRW($C$1,$C$2,$C$3,$C$4,$C$6,$C$5,$C$7,S$1,S$2,$A200)</f>
        <v>0</v>
      </c>
      <c r="T200" s="32">
        <f ca="1">_xll.DBRW($C$1,$C$2,$C$3,$C$4,$C$6,$C$5,$C$7,T$1,T$2,$A200)</f>
        <v>0</v>
      </c>
      <c r="U200" s="32">
        <f ca="1">_xll.DBRW($C$1,$C$2,$C$3,$C$4,$C$6,$C$5,$C$7,U$1,U$2,$A200)</f>
        <v>0</v>
      </c>
      <c r="V200" s="32">
        <f ca="1">_xll.DBRW($C$1,$C$2,$C$3,$C$4,$C$6,$C$5,$C$7,V$1,V$2,$A200)</f>
        <v>0</v>
      </c>
      <c r="W200" s="32">
        <f ca="1">_xll.DBRW($C$1,$C$2,$C$3,$C$4,$C$6,$C$5,$C$7,W$1,W$2,$A200)</f>
        <v>0</v>
      </c>
      <c r="X200" s="32">
        <f ca="1">_xll.DBRW($C$1,$C$2,$C$3,$C$4,$C$6,$C$5,$C$7,X$1,X$2,$A200)</f>
        <v>0</v>
      </c>
      <c r="Y200" s="32">
        <f ca="1">_xll.DBRW($C$1,$C$2,$C$3,$C$4,$C$6,$C$5,$C$7,Y$1,Y$2,$A200)</f>
        <v>0</v>
      </c>
      <c r="Z200" s="32">
        <f ca="1">_xll.DBRW($C$1,$C$2,$C$3,$C$4,$C$6,$C$5,$C$7,Z$1,Z$2,$A200)</f>
        <v>0</v>
      </c>
      <c r="AA200" s="32">
        <f ca="1">_xll.DBRW($C$1,$C$2,$C$3,$C$4,$C$6,$C$5,$C$7,AA$1,AA$2,$A200)</f>
        <v>0</v>
      </c>
      <c r="AB200" s="32">
        <f ca="1">_xll.DBRW($C$1,$C$2,$C$3,$C$4,$C$6,$C$5,$C$7,AB$1,AB$2,$A200)</f>
        <v>0</v>
      </c>
      <c r="AC200" s="32">
        <f ca="1">_xll.DBRW($C$1,$C$2,$C$3,$C$4,$C$6,$C$5,$C$7,AC$1,AC$2,$A200)</f>
        <v>0</v>
      </c>
      <c r="AD200" s="32">
        <f ca="1">_xll.DBRW($C$1,$C$2,$C$3,$C$4,$C$6,$C$5,$C$7,AD$1,AD$2,$A200)</f>
        <v>0</v>
      </c>
      <c r="AE200" s="32">
        <f ca="1">_xll.DBRW($C$1,$C$2,$C$3,$C$4,$C$6,$C$5,$C$7,AE$1,AE$2,$A200)</f>
        <v>0</v>
      </c>
      <c r="AF200" s="32">
        <f ca="1">_xll.DBRW($C$1,$C$2,$C$3,$C$4,$C$6,$C$5,$C$7,AF$1,AF$2,$A200)</f>
        <v>0</v>
      </c>
      <c r="AG200" s="32">
        <f ca="1">_xll.DBRW($C$1,$C$2,$C$3,$C$4,$C$6,$C$5,$C$7,AG$1,AG$2,$A200)</f>
        <v>0</v>
      </c>
      <c r="AH200" s="32">
        <f ca="1">_xll.DBRW($C$1,$C$2,$C$3,$C$4,$C$6,$C$5,$C$7,AH$1,AH$2,$A200)</f>
        <v>0</v>
      </c>
      <c r="AI200" s="32">
        <f ca="1">_xll.DBRW($C$1,$C$2,$C$3,$C$4,$C$6,$C$5,$C$7,AI$1,AI$2,$A200)</f>
        <v>0</v>
      </c>
      <c r="AJ200" s="32">
        <f ca="1">_xll.DBRW($C$1,$C$2,$C$3,$C$4,$C$6,$C$5,$C$7,AJ$1,AJ$2,$A200)</f>
        <v>0</v>
      </c>
      <c r="AK200" s="32">
        <f ca="1">_xll.DBRW($C$1,$C$2,$C$3,$C$4,$C$6,$C$5,$C$7,AK$1,AK$2,$A200)</f>
        <v>0</v>
      </c>
      <c r="AL200" s="32">
        <f ca="1">_xll.DBRW($C$1,$C$2,$C$3,$C$4,$C$6,$C$5,$C$7,AL$1,AL$2,$A200)</f>
        <v>0</v>
      </c>
      <c r="AM200" s="32">
        <f ca="1">_xll.DBRW($C$1,$C$2,$C$3,$C$4,$C$6,$C$5,$C$7,AM$1,AM$2,$A200)</f>
        <v>0</v>
      </c>
      <c r="AN200" s="32">
        <f ca="1">_xll.DBRW($C$1,$C$2,$C$3,$C$4,$C$6,$C$5,$C$7,AN$1,AN$2,$A200)</f>
        <v>0</v>
      </c>
      <c r="AO200" s="32">
        <f ca="1">_xll.DBRW($C$1,$C$2,$C$3,$C$4,$C$6,$C$5,$C$7,AO$1,AO$2,$A200)</f>
        <v>0</v>
      </c>
      <c r="AP200" s="32">
        <f ca="1">_xll.DBRW($C$1,$C$2,$C$3,$C$4,$C$6,$C$5,$C$7,AP$1,AP$2,$A200)</f>
        <v>0</v>
      </c>
      <c r="AQ200" s="32">
        <f ca="1">_xll.DBRW($C$1,$C$2,$C$3,$C$4,$C$6,$C$5,$C$7,AQ$1,AQ$2,$A200)</f>
        <v>0</v>
      </c>
      <c r="AR200" s="32">
        <f ca="1">_xll.DBRW($C$1,$C$2,$C$3,$C$4,$C$6,$C$5,$C$7,AR$1,AR$2,$A200)</f>
        <v>0</v>
      </c>
      <c r="AS200" s="32">
        <f ca="1">_xll.DBRW($C$1,$C$2,$C$3,$C$4,$C$6,$C$5,$C$7,AS$1,AS$2,$A200)</f>
        <v>0</v>
      </c>
      <c r="AT200" s="32">
        <f ca="1">_xll.DBRW($C$1,$C$2,$C$3,$C$4,$C$6,$C$5,$C$7,AT$1,AT$2,$A200)</f>
        <v>0</v>
      </c>
      <c r="AU200" s="32">
        <f ca="1">_xll.DBRW($C$1,$C$2,$C$3,$C$4,$C$6,$C$5,$C$7,AU$1,AU$2,$A200)</f>
        <v>0</v>
      </c>
      <c r="AV200" s="32">
        <f ca="1">_xll.DBRW($C$1,$C$2,$C$3,$C$4,$C$6,$C$5,$C$7,AV$1,AV$2,$A200)</f>
        <v>0</v>
      </c>
      <c r="AW200" s="32">
        <f ca="1">_xll.DBRW($C$1,$C$2,$C$3,$C$4,$C$6,$C$5,$C$7,AW$1,AW$2,$A200)</f>
        <v>0</v>
      </c>
      <c r="AX200" s="32">
        <f ca="1">_xll.DBRW($C$1,$C$2,$C$3,$C$4,$C$6,$C$5,$C$7,AX$1,AX$2,$A200)</f>
        <v>0</v>
      </c>
      <c r="AY200" s="32">
        <f ca="1">_xll.DBRW($C$1,$C$2,$C$3,$C$4,$C$6,$C$5,$C$7,AY$1,AY$2,$A200)</f>
        <v>0</v>
      </c>
    </row>
    <row r="201" spans="1:51" ht="15.75" hidden="1" customHeight="1" outlineLevel="1">
      <c r="A201" s="1" t="s">
        <v>288</v>
      </c>
      <c r="C201" s="109"/>
      <c r="E201" s="9" t="str">
        <f ca="1">_xll.DBRW(Server&amp;"}ElementAttributes_Indicator",A201,"code_English")</f>
        <v>PL1120_XX - Vector Reconciliation (TPL11) - Group internal insurance compensation received</v>
      </c>
      <c r="F201" s="32">
        <f ca="1">_xll.DBRW($C$1,$C$2,$C$3,$C$4,$C$6,$C$5,$C$7,F$1,F$2,$A201)</f>
        <v>0</v>
      </c>
      <c r="G201" s="32">
        <f ca="1">_xll.DBRW($C$1,$C$2,$C$3,$C$4,$C$6,$C$5,$C$7,G$1,G$2,$A201)</f>
        <v>0</v>
      </c>
      <c r="H201" s="32">
        <f ca="1">_xll.DBRW($C$1,$C$2,$C$3,$C$4,$C$6,$C$5,$C$7,H$1,H$2,$A201)</f>
        <v>0</v>
      </c>
      <c r="I201" s="32">
        <f ca="1">_xll.DBRW($C$1,$C$2,$C$3,$C$4,$C$6,$C$5,$C$7,I$1,I$2,$A201)</f>
        <v>0</v>
      </c>
      <c r="J201" s="32">
        <f ca="1">_xll.DBRW($C$1,$C$2,$C$3,$C$4,$C$6,$C$5,$C$7,J$1,J$2,$A201)</f>
        <v>0</v>
      </c>
      <c r="K201" s="32">
        <f ca="1">_xll.DBRW($C$1,$C$2,$C$3,$C$4,$C$6,$C$5,$C$7,K$1,K$2,$A201)</f>
        <v>0</v>
      </c>
      <c r="L201" s="32">
        <f ca="1">_xll.DBRW($C$1,$C$2,$C$3,$C$4,$C$6,$C$5,$C$7,L$1,L$2,$A201)</f>
        <v>0</v>
      </c>
      <c r="M201" s="32">
        <f ca="1">_xll.DBRW($C$1,$C$2,$C$3,$C$4,$C$6,$C$5,$C$7,M$1,M$2,$A201)</f>
        <v>0</v>
      </c>
      <c r="N201" s="32">
        <f ca="1">_xll.DBRW($C$1,$C$2,$C$3,$C$4,$C$6,$C$5,$C$7,N$1,N$2,$A201)</f>
        <v>0</v>
      </c>
      <c r="O201" s="32">
        <f ca="1">_xll.DBRW($C$1,$C$2,$C$3,$C$4,$C$6,$C$5,$C$7,O$1,O$2,$A201)</f>
        <v>0</v>
      </c>
      <c r="P201" s="32">
        <f ca="1">_xll.DBRW($C$1,$C$2,$C$3,$C$4,$C$6,$C$5,$C$7,P$1,P$2,$A201)</f>
        <v>0</v>
      </c>
      <c r="Q201" s="32">
        <f ca="1">_xll.DBRW($C$1,$C$2,$C$3,$C$4,$C$6,$C$5,$C$7,Q$1,Q$2,$A201)</f>
        <v>0</v>
      </c>
      <c r="R201" s="32">
        <f ca="1">_xll.DBRW($C$1,$C$2,$C$3,$C$4,$C$6,$C$5,$C$7,R$1,R$2,$A201)</f>
        <v>0</v>
      </c>
      <c r="S201" s="32">
        <f ca="1">_xll.DBRW($C$1,$C$2,$C$3,$C$4,$C$6,$C$5,$C$7,S$1,S$2,$A201)</f>
        <v>0</v>
      </c>
      <c r="T201" s="32">
        <f ca="1">_xll.DBRW($C$1,$C$2,$C$3,$C$4,$C$6,$C$5,$C$7,T$1,T$2,$A201)</f>
        <v>0</v>
      </c>
      <c r="U201" s="32">
        <f ca="1">_xll.DBRW($C$1,$C$2,$C$3,$C$4,$C$6,$C$5,$C$7,U$1,U$2,$A201)</f>
        <v>0</v>
      </c>
      <c r="V201" s="32">
        <f ca="1">_xll.DBRW($C$1,$C$2,$C$3,$C$4,$C$6,$C$5,$C$7,V$1,V$2,$A201)</f>
        <v>0</v>
      </c>
      <c r="W201" s="32">
        <f ca="1">_xll.DBRW($C$1,$C$2,$C$3,$C$4,$C$6,$C$5,$C$7,W$1,W$2,$A201)</f>
        <v>0</v>
      </c>
      <c r="X201" s="32">
        <f ca="1">_xll.DBRW($C$1,$C$2,$C$3,$C$4,$C$6,$C$5,$C$7,X$1,X$2,$A201)</f>
        <v>0</v>
      </c>
      <c r="Y201" s="32">
        <f ca="1">_xll.DBRW($C$1,$C$2,$C$3,$C$4,$C$6,$C$5,$C$7,Y$1,Y$2,$A201)</f>
        <v>0</v>
      </c>
      <c r="Z201" s="32">
        <f ca="1">_xll.DBRW($C$1,$C$2,$C$3,$C$4,$C$6,$C$5,$C$7,Z$1,Z$2,$A201)</f>
        <v>0</v>
      </c>
      <c r="AA201" s="32">
        <f ca="1">_xll.DBRW($C$1,$C$2,$C$3,$C$4,$C$6,$C$5,$C$7,AA$1,AA$2,$A201)</f>
        <v>0</v>
      </c>
      <c r="AB201" s="32">
        <f ca="1">_xll.DBRW($C$1,$C$2,$C$3,$C$4,$C$6,$C$5,$C$7,AB$1,AB$2,$A201)</f>
        <v>0</v>
      </c>
      <c r="AC201" s="32">
        <f ca="1">_xll.DBRW($C$1,$C$2,$C$3,$C$4,$C$6,$C$5,$C$7,AC$1,AC$2,$A201)</f>
        <v>0</v>
      </c>
      <c r="AD201" s="32">
        <f ca="1">_xll.DBRW($C$1,$C$2,$C$3,$C$4,$C$6,$C$5,$C$7,AD$1,AD$2,$A201)</f>
        <v>0</v>
      </c>
      <c r="AE201" s="32">
        <f ca="1">_xll.DBRW($C$1,$C$2,$C$3,$C$4,$C$6,$C$5,$C$7,AE$1,AE$2,$A201)</f>
        <v>0</v>
      </c>
      <c r="AF201" s="32">
        <f ca="1">_xll.DBRW($C$1,$C$2,$C$3,$C$4,$C$6,$C$5,$C$7,AF$1,AF$2,$A201)</f>
        <v>0</v>
      </c>
      <c r="AG201" s="32">
        <f ca="1">_xll.DBRW($C$1,$C$2,$C$3,$C$4,$C$6,$C$5,$C$7,AG$1,AG$2,$A201)</f>
        <v>0</v>
      </c>
      <c r="AH201" s="32">
        <f ca="1">_xll.DBRW($C$1,$C$2,$C$3,$C$4,$C$6,$C$5,$C$7,AH$1,AH$2,$A201)</f>
        <v>0</v>
      </c>
      <c r="AI201" s="32">
        <f ca="1">_xll.DBRW($C$1,$C$2,$C$3,$C$4,$C$6,$C$5,$C$7,AI$1,AI$2,$A201)</f>
        <v>0</v>
      </c>
      <c r="AJ201" s="32">
        <f ca="1">_xll.DBRW($C$1,$C$2,$C$3,$C$4,$C$6,$C$5,$C$7,AJ$1,AJ$2,$A201)</f>
        <v>0</v>
      </c>
      <c r="AK201" s="32">
        <f ca="1">_xll.DBRW($C$1,$C$2,$C$3,$C$4,$C$6,$C$5,$C$7,AK$1,AK$2,$A201)</f>
        <v>0</v>
      </c>
      <c r="AL201" s="32">
        <f ca="1">_xll.DBRW($C$1,$C$2,$C$3,$C$4,$C$6,$C$5,$C$7,AL$1,AL$2,$A201)</f>
        <v>0</v>
      </c>
      <c r="AM201" s="32">
        <f ca="1">_xll.DBRW($C$1,$C$2,$C$3,$C$4,$C$6,$C$5,$C$7,AM$1,AM$2,$A201)</f>
        <v>0</v>
      </c>
      <c r="AN201" s="32">
        <f ca="1">_xll.DBRW($C$1,$C$2,$C$3,$C$4,$C$6,$C$5,$C$7,AN$1,AN$2,$A201)</f>
        <v>0</v>
      </c>
      <c r="AO201" s="32">
        <f ca="1">_xll.DBRW($C$1,$C$2,$C$3,$C$4,$C$6,$C$5,$C$7,AO$1,AO$2,$A201)</f>
        <v>0</v>
      </c>
      <c r="AP201" s="32">
        <f ca="1">_xll.DBRW($C$1,$C$2,$C$3,$C$4,$C$6,$C$5,$C$7,AP$1,AP$2,$A201)</f>
        <v>0</v>
      </c>
      <c r="AQ201" s="32">
        <f ca="1">_xll.DBRW($C$1,$C$2,$C$3,$C$4,$C$6,$C$5,$C$7,AQ$1,AQ$2,$A201)</f>
        <v>0</v>
      </c>
      <c r="AR201" s="32">
        <f ca="1">_xll.DBRW($C$1,$C$2,$C$3,$C$4,$C$6,$C$5,$C$7,AR$1,AR$2,$A201)</f>
        <v>0</v>
      </c>
      <c r="AS201" s="32">
        <f ca="1">_xll.DBRW($C$1,$C$2,$C$3,$C$4,$C$6,$C$5,$C$7,AS$1,AS$2,$A201)</f>
        <v>0</v>
      </c>
      <c r="AT201" s="32">
        <f ca="1">_xll.DBRW($C$1,$C$2,$C$3,$C$4,$C$6,$C$5,$C$7,AT$1,AT$2,$A201)</f>
        <v>0</v>
      </c>
      <c r="AU201" s="32">
        <f ca="1">_xll.DBRW($C$1,$C$2,$C$3,$C$4,$C$6,$C$5,$C$7,AU$1,AU$2,$A201)</f>
        <v>0</v>
      </c>
      <c r="AV201" s="32">
        <f ca="1">_xll.DBRW($C$1,$C$2,$C$3,$C$4,$C$6,$C$5,$C$7,AV$1,AV$2,$A201)</f>
        <v>0</v>
      </c>
      <c r="AW201" s="32">
        <f ca="1">_xll.DBRW($C$1,$C$2,$C$3,$C$4,$C$6,$C$5,$C$7,AW$1,AW$2,$A201)</f>
        <v>0</v>
      </c>
      <c r="AX201" s="32">
        <f ca="1">_xll.DBRW($C$1,$C$2,$C$3,$C$4,$C$6,$C$5,$C$7,AX$1,AX$2,$A201)</f>
        <v>0</v>
      </c>
      <c r="AY201" s="32">
        <f ca="1">_xll.DBRW($C$1,$C$2,$C$3,$C$4,$C$6,$C$5,$C$7,AY$1,AY$2,$A201)</f>
        <v>0</v>
      </c>
    </row>
    <row r="202" spans="1:51" ht="15.75" hidden="1" customHeight="1" outlineLevel="1">
      <c r="A202" s="1" t="s">
        <v>289</v>
      </c>
      <c r="C202" s="109"/>
      <c r="E202" s="9" t="str">
        <f ca="1">_xll.DBRW(Server&amp;"}ElementAttributes_Indicator",A202,"code_English")</f>
        <v>PL1125_XX - Vector Reconciliation (TPL11) - Group internal insurance compensation paid</v>
      </c>
      <c r="F202" s="32">
        <f ca="1">_xll.DBRW($C$1,$C$2,$C$3,$C$4,$C$6,$C$5,$C$7,F$1,F$2,$A202)</f>
        <v>0</v>
      </c>
      <c r="G202" s="32">
        <f ca="1">_xll.DBRW($C$1,$C$2,$C$3,$C$4,$C$6,$C$5,$C$7,G$1,G$2,$A202)</f>
        <v>0</v>
      </c>
      <c r="H202" s="32">
        <f ca="1">_xll.DBRW($C$1,$C$2,$C$3,$C$4,$C$6,$C$5,$C$7,H$1,H$2,$A202)</f>
        <v>0</v>
      </c>
      <c r="I202" s="32">
        <f ca="1">_xll.DBRW($C$1,$C$2,$C$3,$C$4,$C$6,$C$5,$C$7,I$1,I$2,$A202)</f>
        <v>0</v>
      </c>
      <c r="J202" s="32">
        <f ca="1">_xll.DBRW($C$1,$C$2,$C$3,$C$4,$C$6,$C$5,$C$7,J$1,J$2,$A202)</f>
        <v>0</v>
      </c>
      <c r="K202" s="32">
        <f ca="1">_xll.DBRW($C$1,$C$2,$C$3,$C$4,$C$6,$C$5,$C$7,K$1,K$2,$A202)</f>
        <v>0</v>
      </c>
      <c r="L202" s="32">
        <f ca="1">_xll.DBRW($C$1,$C$2,$C$3,$C$4,$C$6,$C$5,$C$7,L$1,L$2,$A202)</f>
        <v>0</v>
      </c>
      <c r="M202" s="32">
        <f ca="1">_xll.DBRW($C$1,$C$2,$C$3,$C$4,$C$6,$C$5,$C$7,M$1,M$2,$A202)</f>
        <v>0</v>
      </c>
      <c r="N202" s="32">
        <f ca="1">_xll.DBRW($C$1,$C$2,$C$3,$C$4,$C$6,$C$5,$C$7,N$1,N$2,$A202)</f>
        <v>0</v>
      </c>
      <c r="O202" s="32">
        <f ca="1">_xll.DBRW($C$1,$C$2,$C$3,$C$4,$C$6,$C$5,$C$7,O$1,O$2,$A202)</f>
        <v>0</v>
      </c>
      <c r="P202" s="32">
        <f ca="1">_xll.DBRW($C$1,$C$2,$C$3,$C$4,$C$6,$C$5,$C$7,P$1,P$2,$A202)</f>
        <v>0</v>
      </c>
      <c r="Q202" s="32">
        <f ca="1">_xll.DBRW($C$1,$C$2,$C$3,$C$4,$C$6,$C$5,$C$7,Q$1,Q$2,$A202)</f>
        <v>0</v>
      </c>
      <c r="R202" s="32">
        <f ca="1">_xll.DBRW($C$1,$C$2,$C$3,$C$4,$C$6,$C$5,$C$7,R$1,R$2,$A202)</f>
        <v>0</v>
      </c>
      <c r="S202" s="32">
        <f ca="1">_xll.DBRW($C$1,$C$2,$C$3,$C$4,$C$6,$C$5,$C$7,S$1,S$2,$A202)</f>
        <v>0</v>
      </c>
      <c r="T202" s="32">
        <f ca="1">_xll.DBRW($C$1,$C$2,$C$3,$C$4,$C$6,$C$5,$C$7,T$1,T$2,$A202)</f>
        <v>0</v>
      </c>
      <c r="U202" s="32">
        <f ca="1">_xll.DBRW($C$1,$C$2,$C$3,$C$4,$C$6,$C$5,$C$7,U$1,U$2,$A202)</f>
        <v>0</v>
      </c>
      <c r="V202" s="32">
        <f ca="1">_xll.DBRW($C$1,$C$2,$C$3,$C$4,$C$6,$C$5,$C$7,V$1,V$2,$A202)</f>
        <v>0</v>
      </c>
      <c r="W202" s="32">
        <f ca="1">_xll.DBRW($C$1,$C$2,$C$3,$C$4,$C$6,$C$5,$C$7,W$1,W$2,$A202)</f>
        <v>0</v>
      </c>
      <c r="X202" s="32">
        <f ca="1">_xll.DBRW($C$1,$C$2,$C$3,$C$4,$C$6,$C$5,$C$7,X$1,X$2,$A202)</f>
        <v>0</v>
      </c>
      <c r="Y202" s="32">
        <f ca="1">_xll.DBRW($C$1,$C$2,$C$3,$C$4,$C$6,$C$5,$C$7,Y$1,Y$2,$A202)</f>
        <v>0</v>
      </c>
      <c r="Z202" s="32">
        <f ca="1">_xll.DBRW($C$1,$C$2,$C$3,$C$4,$C$6,$C$5,$C$7,Z$1,Z$2,$A202)</f>
        <v>0</v>
      </c>
      <c r="AA202" s="32">
        <f ca="1">_xll.DBRW($C$1,$C$2,$C$3,$C$4,$C$6,$C$5,$C$7,AA$1,AA$2,$A202)</f>
        <v>0</v>
      </c>
      <c r="AB202" s="32">
        <f ca="1">_xll.DBRW($C$1,$C$2,$C$3,$C$4,$C$6,$C$5,$C$7,AB$1,AB$2,$A202)</f>
        <v>0</v>
      </c>
      <c r="AC202" s="32">
        <f ca="1">_xll.DBRW($C$1,$C$2,$C$3,$C$4,$C$6,$C$5,$C$7,AC$1,AC$2,$A202)</f>
        <v>0</v>
      </c>
      <c r="AD202" s="32">
        <f ca="1">_xll.DBRW($C$1,$C$2,$C$3,$C$4,$C$6,$C$5,$C$7,AD$1,AD$2,$A202)</f>
        <v>0</v>
      </c>
      <c r="AE202" s="32">
        <f ca="1">_xll.DBRW($C$1,$C$2,$C$3,$C$4,$C$6,$C$5,$C$7,AE$1,AE$2,$A202)</f>
        <v>0</v>
      </c>
      <c r="AF202" s="32">
        <f ca="1">_xll.DBRW($C$1,$C$2,$C$3,$C$4,$C$6,$C$5,$C$7,AF$1,AF$2,$A202)</f>
        <v>0</v>
      </c>
      <c r="AG202" s="32">
        <f ca="1">_xll.DBRW($C$1,$C$2,$C$3,$C$4,$C$6,$C$5,$C$7,AG$1,AG$2,$A202)</f>
        <v>0</v>
      </c>
      <c r="AH202" s="32">
        <f ca="1">_xll.DBRW($C$1,$C$2,$C$3,$C$4,$C$6,$C$5,$C$7,AH$1,AH$2,$A202)</f>
        <v>0</v>
      </c>
      <c r="AI202" s="32">
        <f ca="1">_xll.DBRW($C$1,$C$2,$C$3,$C$4,$C$6,$C$5,$C$7,AI$1,AI$2,$A202)</f>
        <v>0</v>
      </c>
      <c r="AJ202" s="32">
        <f ca="1">_xll.DBRW($C$1,$C$2,$C$3,$C$4,$C$6,$C$5,$C$7,AJ$1,AJ$2,$A202)</f>
        <v>0</v>
      </c>
      <c r="AK202" s="32">
        <f ca="1">_xll.DBRW($C$1,$C$2,$C$3,$C$4,$C$6,$C$5,$C$7,AK$1,AK$2,$A202)</f>
        <v>0</v>
      </c>
      <c r="AL202" s="32">
        <f ca="1">_xll.DBRW($C$1,$C$2,$C$3,$C$4,$C$6,$C$5,$C$7,AL$1,AL$2,$A202)</f>
        <v>0</v>
      </c>
      <c r="AM202" s="32">
        <f ca="1">_xll.DBRW($C$1,$C$2,$C$3,$C$4,$C$6,$C$5,$C$7,AM$1,AM$2,$A202)</f>
        <v>0</v>
      </c>
      <c r="AN202" s="32">
        <f ca="1">_xll.DBRW($C$1,$C$2,$C$3,$C$4,$C$6,$C$5,$C$7,AN$1,AN$2,$A202)</f>
        <v>0</v>
      </c>
      <c r="AO202" s="32">
        <f ca="1">_xll.DBRW($C$1,$C$2,$C$3,$C$4,$C$6,$C$5,$C$7,AO$1,AO$2,$A202)</f>
        <v>0</v>
      </c>
      <c r="AP202" s="32">
        <f ca="1">_xll.DBRW($C$1,$C$2,$C$3,$C$4,$C$6,$C$5,$C$7,AP$1,AP$2,$A202)</f>
        <v>0</v>
      </c>
      <c r="AQ202" s="32">
        <f ca="1">_xll.DBRW($C$1,$C$2,$C$3,$C$4,$C$6,$C$5,$C$7,AQ$1,AQ$2,$A202)</f>
        <v>0</v>
      </c>
      <c r="AR202" s="32">
        <f ca="1">_xll.DBRW($C$1,$C$2,$C$3,$C$4,$C$6,$C$5,$C$7,AR$1,AR$2,$A202)</f>
        <v>0</v>
      </c>
      <c r="AS202" s="32">
        <f ca="1">_xll.DBRW($C$1,$C$2,$C$3,$C$4,$C$6,$C$5,$C$7,AS$1,AS$2,$A202)</f>
        <v>0</v>
      </c>
      <c r="AT202" s="32">
        <f ca="1">_xll.DBRW($C$1,$C$2,$C$3,$C$4,$C$6,$C$5,$C$7,AT$1,AT$2,$A202)</f>
        <v>0</v>
      </c>
      <c r="AU202" s="32">
        <f ca="1">_xll.DBRW($C$1,$C$2,$C$3,$C$4,$C$6,$C$5,$C$7,AU$1,AU$2,$A202)</f>
        <v>0</v>
      </c>
      <c r="AV202" s="32">
        <f ca="1">_xll.DBRW($C$1,$C$2,$C$3,$C$4,$C$6,$C$5,$C$7,AV$1,AV$2,$A202)</f>
        <v>0</v>
      </c>
      <c r="AW202" s="32">
        <f ca="1">_xll.DBRW($C$1,$C$2,$C$3,$C$4,$C$6,$C$5,$C$7,AW$1,AW$2,$A202)</f>
        <v>0</v>
      </c>
      <c r="AX202" s="32">
        <f ca="1">_xll.DBRW($C$1,$C$2,$C$3,$C$4,$C$6,$C$5,$C$7,AX$1,AX$2,$A202)</f>
        <v>0</v>
      </c>
      <c r="AY202" s="32">
        <f ca="1">_xll.DBRW($C$1,$C$2,$C$3,$C$4,$C$6,$C$5,$C$7,AY$1,AY$2,$A202)</f>
        <v>0</v>
      </c>
    </row>
    <row r="203" spans="1:51" ht="15.75" hidden="1" customHeight="1" outlineLevel="1">
      <c r="A203" s="1" t="s">
        <v>290</v>
      </c>
      <c r="C203" s="109"/>
      <c r="E203" s="9" t="str">
        <f ca="1">_xll.DBRW(Server&amp;"}ElementAttributes_Indicator",A203,"code_English")</f>
        <v>PL1126_XX - Vector Reconciliation (TPL11) - Replacement and maintenance expenses</v>
      </c>
      <c r="F203" s="32">
        <f ca="1">_xll.DBRW($C$1,$C$2,$C$3,$C$4,$C$6,$C$5,$C$7,F$1,F$2,$A203)</f>
        <v>0</v>
      </c>
      <c r="G203" s="32">
        <f ca="1">_xll.DBRW($C$1,$C$2,$C$3,$C$4,$C$6,$C$5,$C$7,G$1,G$2,$A203)</f>
        <v>0</v>
      </c>
      <c r="H203" s="32">
        <f ca="1">_xll.DBRW($C$1,$C$2,$C$3,$C$4,$C$6,$C$5,$C$7,H$1,H$2,$A203)</f>
        <v>0</v>
      </c>
      <c r="I203" s="32">
        <f ca="1">_xll.DBRW($C$1,$C$2,$C$3,$C$4,$C$6,$C$5,$C$7,I$1,I$2,$A203)</f>
        <v>0</v>
      </c>
      <c r="J203" s="32">
        <f ca="1">_xll.DBRW($C$1,$C$2,$C$3,$C$4,$C$6,$C$5,$C$7,J$1,J$2,$A203)</f>
        <v>0</v>
      </c>
      <c r="K203" s="32">
        <f ca="1">_xll.DBRW($C$1,$C$2,$C$3,$C$4,$C$6,$C$5,$C$7,K$1,K$2,$A203)</f>
        <v>0</v>
      </c>
      <c r="L203" s="32">
        <f ca="1">_xll.DBRW($C$1,$C$2,$C$3,$C$4,$C$6,$C$5,$C$7,L$1,L$2,$A203)</f>
        <v>0</v>
      </c>
      <c r="M203" s="32">
        <f ca="1">_xll.DBRW($C$1,$C$2,$C$3,$C$4,$C$6,$C$5,$C$7,M$1,M$2,$A203)</f>
        <v>0</v>
      </c>
      <c r="N203" s="32">
        <f ca="1">_xll.DBRW($C$1,$C$2,$C$3,$C$4,$C$6,$C$5,$C$7,N$1,N$2,$A203)</f>
        <v>0</v>
      </c>
      <c r="O203" s="32">
        <f ca="1">_xll.DBRW($C$1,$C$2,$C$3,$C$4,$C$6,$C$5,$C$7,O$1,O$2,$A203)</f>
        <v>0</v>
      </c>
      <c r="P203" s="32">
        <f ca="1">_xll.DBRW($C$1,$C$2,$C$3,$C$4,$C$6,$C$5,$C$7,P$1,P$2,$A203)</f>
        <v>0</v>
      </c>
      <c r="Q203" s="32">
        <f ca="1">_xll.DBRW($C$1,$C$2,$C$3,$C$4,$C$6,$C$5,$C$7,Q$1,Q$2,$A203)</f>
        <v>0</v>
      </c>
      <c r="R203" s="32">
        <f ca="1">_xll.DBRW($C$1,$C$2,$C$3,$C$4,$C$6,$C$5,$C$7,R$1,R$2,$A203)</f>
        <v>0</v>
      </c>
      <c r="S203" s="32">
        <f ca="1">_xll.DBRW($C$1,$C$2,$C$3,$C$4,$C$6,$C$5,$C$7,S$1,S$2,$A203)</f>
        <v>0</v>
      </c>
      <c r="T203" s="32">
        <f ca="1">_xll.DBRW($C$1,$C$2,$C$3,$C$4,$C$6,$C$5,$C$7,T$1,T$2,$A203)</f>
        <v>0</v>
      </c>
      <c r="U203" s="32">
        <f ca="1">_xll.DBRW($C$1,$C$2,$C$3,$C$4,$C$6,$C$5,$C$7,U$1,U$2,$A203)</f>
        <v>0</v>
      </c>
      <c r="V203" s="32">
        <f ca="1">_xll.DBRW($C$1,$C$2,$C$3,$C$4,$C$6,$C$5,$C$7,V$1,V$2,$A203)</f>
        <v>0</v>
      </c>
      <c r="W203" s="32">
        <f ca="1">_xll.DBRW($C$1,$C$2,$C$3,$C$4,$C$6,$C$5,$C$7,W$1,W$2,$A203)</f>
        <v>0</v>
      </c>
      <c r="X203" s="32">
        <f ca="1">_xll.DBRW($C$1,$C$2,$C$3,$C$4,$C$6,$C$5,$C$7,X$1,X$2,$A203)</f>
        <v>0</v>
      </c>
      <c r="Y203" s="32">
        <f ca="1">_xll.DBRW($C$1,$C$2,$C$3,$C$4,$C$6,$C$5,$C$7,Y$1,Y$2,$A203)</f>
        <v>0</v>
      </c>
      <c r="Z203" s="32">
        <f ca="1">_xll.DBRW($C$1,$C$2,$C$3,$C$4,$C$6,$C$5,$C$7,Z$1,Z$2,$A203)</f>
        <v>0</v>
      </c>
      <c r="AA203" s="32">
        <f ca="1">_xll.DBRW($C$1,$C$2,$C$3,$C$4,$C$6,$C$5,$C$7,AA$1,AA$2,$A203)</f>
        <v>0</v>
      </c>
      <c r="AB203" s="32">
        <f ca="1">_xll.DBRW($C$1,$C$2,$C$3,$C$4,$C$6,$C$5,$C$7,AB$1,AB$2,$A203)</f>
        <v>0</v>
      </c>
      <c r="AC203" s="32">
        <f ca="1">_xll.DBRW($C$1,$C$2,$C$3,$C$4,$C$6,$C$5,$C$7,AC$1,AC$2,$A203)</f>
        <v>0</v>
      </c>
      <c r="AD203" s="32">
        <f ca="1">_xll.DBRW($C$1,$C$2,$C$3,$C$4,$C$6,$C$5,$C$7,AD$1,AD$2,$A203)</f>
        <v>0</v>
      </c>
      <c r="AE203" s="32">
        <f ca="1">_xll.DBRW($C$1,$C$2,$C$3,$C$4,$C$6,$C$5,$C$7,AE$1,AE$2,$A203)</f>
        <v>0</v>
      </c>
      <c r="AF203" s="32">
        <f ca="1">_xll.DBRW($C$1,$C$2,$C$3,$C$4,$C$6,$C$5,$C$7,AF$1,AF$2,$A203)</f>
        <v>0</v>
      </c>
      <c r="AG203" s="32">
        <f ca="1">_xll.DBRW($C$1,$C$2,$C$3,$C$4,$C$6,$C$5,$C$7,AG$1,AG$2,$A203)</f>
        <v>0</v>
      </c>
      <c r="AH203" s="32">
        <f ca="1">_xll.DBRW($C$1,$C$2,$C$3,$C$4,$C$6,$C$5,$C$7,AH$1,AH$2,$A203)</f>
        <v>0</v>
      </c>
      <c r="AI203" s="32">
        <f ca="1">_xll.DBRW($C$1,$C$2,$C$3,$C$4,$C$6,$C$5,$C$7,AI$1,AI$2,$A203)</f>
        <v>0</v>
      </c>
      <c r="AJ203" s="32">
        <f ca="1">_xll.DBRW($C$1,$C$2,$C$3,$C$4,$C$6,$C$5,$C$7,AJ$1,AJ$2,$A203)</f>
        <v>0</v>
      </c>
      <c r="AK203" s="32">
        <f ca="1">_xll.DBRW($C$1,$C$2,$C$3,$C$4,$C$6,$C$5,$C$7,AK$1,AK$2,$A203)</f>
        <v>0</v>
      </c>
      <c r="AL203" s="32">
        <f ca="1">_xll.DBRW($C$1,$C$2,$C$3,$C$4,$C$6,$C$5,$C$7,AL$1,AL$2,$A203)</f>
        <v>0</v>
      </c>
      <c r="AM203" s="32">
        <f ca="1">_xll.DBRW($C$1,$C$2,$C$3,$C$4,$C$6,$C$5,$C$7,AM$1,AM$2,$A203)</f>
        <v>0</v>
      </c>
      <c r="AN203" s="32">
        <f ca="1">_xll.DBRW($C$1,$C$2,$C$3,$C$4,$C$6,$C$5,$C$7,AN$1,AN$2,$A203)</f>
        <v>0</v>
      </c>
      <c r="AO203" s="32">
        <f ca="1">_xll.DBRW($C$1,$C$2,$C$3,$C$4,$C$6,$C$5,$C$7,AO$1,AO$2,$A203)</f>
        <v>0</v>
      </c>
      <c r="AP203" s="32">
        <f ca="1">_xll.DBRW($C$1,$C$2,$C$3,$C$4,$C$6,$C$5,$C$7,AP$1,AP$2,$A203)</f>
        <v>0</v>
      </c>
      <c r="AQ203" s="32">
        <f ca="1">_xll.DBRW($C$1,$C$2,$C$3,$C$4,$C$6,$C$5,$C$7,AQ$1,AQ$2,$A203)</f>
        <v>0</v>
      </c>
      <c r="AR203" s="32">
        <f ca="1">_xll.DBRW($C$1,$C$2,$C$3,$C$4,$C$6,$C$5,$C$7,AR$1,AR$2,$A203)</f>
        <v>0</v>
      </c>
      <c r="AS203" s="32">
        <f ca="1">_xll.DBRW($C$1,$C$2,$C$3,$C$4,$C$6,$C$5,$C$7,AS$1,AS$2,$A203)</f>
        <v>0</v>
      </c>
      <c r="AT203" s="32">
        <f ca="1">_xll.DBRW($C$1,$C$2,$C$3,$C$4,$C$6,$C$5,$C$7,AT$1,AT$2,$A203)</f>
        <v>0</v>
      </c>
      <c r="AU203" s="32">
        <f ca="1">_xll.DBRW($C$1,$C$2,$C$3,$C$4,$C$6,$C$5,$C$7,AU$1,AU$2,$A203)</f>
        <v>0</v>
      </c>
      <c r="AV203" s="32">
        <f ca="1">_xll.DBRW($C$1,$C$2,$C$3,$C$4,$C$6,$C$5,$C$7,AV$1,AV$2,$A203)</f>
        <v>0</v>
      </c>
      <c r="AW203" s="32">
        <f ca="1">_xll.DBRW($C$1,$C$2,$C$3,$C$4,$C$6,$C$5,$C$7,AW$1,AW$2,$A203)</f>
        <v>0</v>
      </c>
      <c r="AX203" s="32">
        <f ca="1">_xll.DBRW($C$1,$C$2,$C$3,$C$4,$C$6,$C$5,$C$7,AX$1,AX$2,$A203)</f>
        <v>0</v>
      </c>
      <c r="AY203" s="32">
        <f ca="1">_xll.DBRW($C$1,$C$2,$C$3,$C$4,$C$6,$C$5,$C$7,AY$1,AY$2,$A203)</f>
        <v>0</v>
      </c>
    </row>
    <row r="204" spans="1:51" ht="15.75" hidden="1" customHeight="1" outlineLevel="1">
      <c r="A204" s="1" t="s">
        <v>291</v>
      </c>
      <c r="C204" s="109"/>
      <c r="E204" s="9" t="str">
        <f ca="1">_xll.DBRW(Server&amp;"}ElementAttributes_Indicator",A204,"code_English")</f>
        <v>PL1130_XX - Vector Reconciliation (TPL11) - Provision for concession activities</v>
      </c>
      <c r="F204" s="32">
        <f ca="1">_xll.DBRW($C$1,$C$2,$C$3,$C$4,$C$6,$C$5,$C$7,F$1,F$2,$A204)</f>
        <v>0</v>
      </c>
      <c r="G204" s="32">
        <f ca="1">_xll.DBRW($C$1,$C$2,$C$3,$C$4,$C$6,$C$5,$C$7,G$1,G$2,$A204)</f>
        <v>0</v>
      </c>
      <c r="H204" s="32">
        <f ca="1">_xll.DBRW($C$1,$C$2,$C$3,$C$4,$C$6,$C$5,$C$7,H$1,H$2,$A204)</f>
        <v>0</v>
      </c>
      <c r="I204" s="32">
        <f ca="1">_xll.DBRW($C$1,$C$2,$C$3,$C$4,$C$6,$C$5,$C$7,I$1,I$2,$A204)</f>
        <v>0</v>
      </c>
      <c r="J204" s="32">
        <f ca="1">_xll.DBRW($C$1,$C$2,$C$3,$C$4,$C$6,$C$5,$C$7,J$1,J$2,$A204)</f>
        <v>0</v>
      </c>
      <c r="K204" s="32">
        <f ca="1">_xll.DBRW($C$1,$C$2,$C$3,$C$4,$C$6,$C$5,$C$7,K$1,K$2,$A204)</f>
        <v>0</v>
      </c>
      <c r="L204" s="32">
        <f ca="1">_xll.DBRW($C$1,$C$2,$C$3,$C$4,$C$6,$C$5,$C$7,L$1,L$2,$A204)</f>
        <v>0</v>
      </c>
      <c r="M204" s="32">
        <f ca="1">_xll.DBRW($C$1,$C$2,$C$3,$C$4,$C$6,$C$5,$C$7,M$1,M$2,$A204)</f>
        <v>0</v>
      </c>
      <c r="N204" s="32">
        <f ca="1">_xll.DBRW($C$1,$C$2,$C$3,$C$4,$C$6,$C$5,$C$7,N$1,N$2,$A204)</f>
        <v>0</v>
      </c>
      <c r="O204" s="32">
        <f ca="1">_xll.DBRW($C$1,$C$2,$C$3,$C$4,$C$6,$C$5,$C$7,O$1,O$2,$A204)</f>
        <v>0</v>
      </c>
      <c r="P204" s="32">
        <f ca="1">_xll.DBRW($C$1,$C$2,$C$3,$C$4,$C$6,$C$5,$C$7,P$1,P$2,$A204)</f>
        <v>0</v>
      </c>
      <c r="Q204" s="32">
        <f ca="1">_xll.DBRW($C$1,$C$2,$C$3,$C$4,$C$6,$C$5,$C$7,Q$1,Q$2,$A204)</f>
        <v>0</v>
      </c>
      <c r="R204" s="32">
        <f ca="1">_xll.DBRW($C$1,$C$2,$C$3,$C$4,$C$6,$C$5,$C$7,R$1,R$2,$A204)</f>
        <v>0</v>
      </c>
      <c r="S204" s="32">
        <f ca="1">_xll.DBRW($C$1,$C$2,$C$3,$C$4,$C$6,$C$5,$C$7,S$1,S$2,$A204)</f>
        <v>0</v>
      </c>
      <c r="T204" s="32">
        <f ca="1">_xll.DBRW($C$1,$C$2,$C$3,$C$4,$C$6,$C$5,$C$7,T$1,T$2,$A204)</f>
        <v>0</v>
      </c>
      <c r="U204" s="32">
        <f ca="1">_xll.DBRW($C$1,$C$2,$C$3,$C$4,$C$6,$C$5,$C$7,U$1,U$2,$A204)</f>
        <v>0</v>
      </c>
      <c r="V204" s="32">
        <f ca="1">_xll.DBRW($C$1,$C$2,$C$3,$C$4,$C$6,$C$5,$C$7,V$1,V$2,$A204)</f>
        <v>0</v>
      </c>
      <c r="W204" s="32">
        <f ca="1">_xll.DBRW($C$1,$C$2,$C$3,$C$4,$C$6,$C$5,$C$7,W$1,W$2,$A204)</f>
        <v>0</v>
      </c>
      <c r="X204" s="32">
        <f ca="1">_xll.DBRW($C$1,$C$2,$C$3,$C$4,$C$6,$C$5,$C$7,X$1,X$2,$A204)</f>
        <v>0</v>
      </c>
      <c r="Y204" s="32">
        <f ca="1">_xll.DBRW($C$1,$C$2,$C$3,$C$4,$C$6,$C$5,$C$7,Y$1,Y$2,$A204)</f>
        <v>0</v>
      </c>
      <c r="Z204" s="32">
        <f ca="1">_xll.DBRW($C$1,$C$2,$C$3,$C$4,$C$6,$C$5,$C$7,Z$1,Z$2,$A204)</f>
        <v>0</v>
      </c>
      <c r="AA204" s="32">
        <f ca="1">_xll.DBRW($C$1,$C$2,$C$3,$C$4,$C$6,$C$5,$C$7,AA$1,AA$2,$A204)</f>
        <v>0</v>
      </c>
      <c r="AB204" s="32">
        <f ca="1">_xll.DBRW($C$1,$C$2,$C$3,$C$4,$C$6,$C$5,$C$7,AB$1,AB$2,$A204)</f>
        <v>0</v>
      </c>
      <c r="AC204" s="32">
        <f ca="1">_xll.DBRW($C$1,$C$2,$C$3,$C$4,$C$6,$C$5,$C$7,AC$1,AC$2,$A204)</f>
        <v>0</v>
      </c>
      <c r="AD204" s="32">
        <f ca="1">_xll.DBRW($C$1,$C$2,$C$3,$C$4,$C$6,$C$5,$C$7,AD$1,AD$2,$A204)</f>
        <v>0</v>
      </c>
      <c r="AE204" s="32">
        <f ca="1">_xll.DBRW($C$1,$C$2,$C$3,$C$4,$C$6,$C$5,$C$7,AE$1,AE$2,$A204)</f>
        <v>0</v>
      </c>
      <c r="AF204" s="32">
        <f ca="1">_xll.DBRW($C$1,$C$2,$C$3,$C$4,$C$6,$C$5,$C$7,AF$1,AF$2,$A204)</f>
        <v>0</v>
      </c>
      <c r="AG204" s="32">
        <f ca="1">_xll.DBRW($C$1,$C$2,$C$3,$C$4,$C$6,$C$5,$C$7,AG$1,AG$2,$A204)</f>
        <v>0</v>
      </c>
      <c r="AH204" s="32">
        <f ca="1">_xll.DBRW($C$1,$C$2,$C$3,$C$4,$C$6,$C$5,$C$7,AH$1,AH$2,$A204)</f>
        <v>0</v>
      </c>
      <c r="AI204" s="32">
        <f ca="1">_xll.DBRW($C$1,$C$2,$C$3,$C$4,$C$6,$C$5,$C$7,AI$1,AI$2,$A204)</f>
        <v>0</v>
      </c>
      <c r="AJ204" s="32">
        <f ca="1">_xll.DBRW($C$1,$C$2,$C$3,$C$4,$C$6,$C$5,$C$7,AJ$1,AJ$2,$A204)</f>
        <v>0</v>
      </c>
      <c r="AK204" s="32">
        <f ca="1">_xll.DBRW($C$1,$C$2,$C$3,$C$4,$C$6,$C$5,$C$7,AK$1,AK$2,$A204)</f>
        <v>0</v>
      </c>
      <c r="AL204" s="32">
        <f ca="1">_xll.DBRW($C$1,$C$2,$C$3,$C$4,$C$6,$C$5,$C$7,AL$1,AL$2,$A204)</f>
        <v>0</v>
      </c>
      <c r="AM204" s="32">
        <f ca="1">_xll.DBRW($C$1,$C$2,$C$3,$C$4,$C$6,$C$5,$C$7,AM$1,AM$2,$A204)</f>
        <v>0</v>
      </c>
      <c r="AN204" s="32">
        <f ca="1">_xll.DBRW($C$1,$C$2,$C$3,$C$4,$C$6,$C$5,$C$7,AN$1,AN$2,$A204)</f>
        <v>0</v>
      </c>
      <c r="AO204" s="32">
        <f ca="1">_xll.DBRW($C$1,$C$2,$C$3,$C$4,$C$6,$C$5,$C$7,AO$1,AO$2,$A204)</f>
        <v>0</v>
      </c>
      <c r="AP204" s="32">
        <f ca="1">_xll.DBRW($C$1,$C$2,$C$3,$C$4,$C$6,$C$5,$C$7,AP$1,AP$2,$A204)</f>
        <v>0</v>
      </c>
      <c r="AQ204" s="32">
        <f ca="1">_xll.DBRW($C$1,$C$2,$C$3,$C$4,$C$6,$C$5,$C$7,AQ$1,AQ$2,$A204)</f>
        <v>0</v>
      </c>
      <c r="AR204" s="32">
        <f ca="1">_xll.DBRW($C$1,$C$2,$C$3,$C$4,$C$6,$C$5,$C$7,AR$1,AR$2,$A204)</f>
        <v>0</v>
      </c>
      <c r="AS204" s="32">
        <f ca="1">_xll.DBRW($C$1,$C$2,$C$3,$C$4,$C$6,$C$5,$C$7,AS$1,AS$2,$A204)</f>
        <v>0</v>
      </c>
      <c r="AT204" s="32">
        <f ca="1">_xll.DBRW($C$1,$C$2,$C$3,$C$4,$C$6,$C$5,$C$7,AT$1,AT$2,$A204)</f>
        <v>0</v>
      </c>
      <c r="AU204" s="32">
        <f ca="1">_xll.DBRW($C$1,$C$2,$C$3,$C$4,$C$6,$C$5,$C$7,AU$1,AU$2,$A204)</f>
        <v>0</v>
      </c>
      <c r="AV204" s="32">
        <f ca="1">_xll.DBRW($C$1,$C$2,$C$3,$C$4,$C$6,$C$5,$C$7,AV$1,AV$2,$A204)</f>
        <v>0</v>
      </c>
      <c r="AW204" s="32">
        <f ca="1">_xll.DBRW($C$1,$C$2,$C$3,$C$4,$C$6,$C$5,$C$7,AW$1,AW$2,$A204)</f>
        <v>0</v>
      </c>
      <c r="AX204" s="32">
        <f ca="1">_xll.DBRW($C$1,$C$2,$C$3,$C$4,$C$6,$C$5,$C$7,AX$1,AX$2,$A204)</f>
        <v>0</v>
      </c>
      <c r="AY204" s="32">
        <f ca="1">_xll.DBRW($C$1,$C$2,$C$3,$C$4,$C$6,$C$5,$C$7,AY$1,AY$2,$A204)</f>
        <v>0</v>
      </c>
    </row>
    <row r="205" spans="1:51" ht="15.75" hidden="1" customHeight="1" outlineLevel="1">
      <c r="A205" s="1" t="s">
        <v>292</v>
      </c>
      <c r="C205" s="109"/>
      <c r="E205" s="9" t="str">
        <f ca="1">_xll.DBRW(Server&amp;"}ElementAttributes_Indicator",A205,"code_English")</f>
        <v>PL1135_XX - Vector Reconciliation (TPL11) - Reversal of provision for concession activities</v>
      </c>
      <c r="F205" s="32">
        <f ca="1">_xll.DBRW($C$1,$C$2,$C$3,$C$4,$C$6,$C$5,$C$7,F$1,F$2,$A205)</f>
        <v>0</v>
      </c>
      <c r="G205" s="32">
        <f ca="1">_xll.DBRW($C$1,$C$2,$C$3,$C$4,$C$6,$C$5,$C$7,G$1,G$2,$A205)</f>
        <v>0</v>
      </c>
      <c r="H205" s="32">
        <f ca="1">_xll.DBRW($C$1,$C$2,$C$3,$C$4,$C$6,$C$5,$C$7,H$1,H$2,$A205)</f>
        <v>0</v>
      </c>
      <c r="I205" s="32">
        <f ca="1">_xll.DBRW($C$1,$C$2,$C$3,$C$4,$C$6,$C$5,$C$7,I$1,I$2,$A205)</f>
        <v>0</v>
      </c>
      <c r="J205" s="32">
        <f ca="1">_xll.DBRW($C$1,$C$2,$C$3,$C$4,$C$6,$C$5,$C$7,J$1,J$2,$A205)</f>
        <v>0</v>
      </c>
      <c r="K205" s="32">
        <f ca="1">_xll.DBRW($C$1,$C$2,$C$3,$C$4,$C$6,$C$5,$C$7,K$1,K$2,$A205)</f>
        <v>0</v>
      </c>
      <c r="L205" s="32">
        <f ca="1">_xll.DBRW($C$1,$C$2,$C$3,$C$4,$C$6,$C$5,$C$7,L$1,L$2,$A205)</f>
        <v>0</v>
      </c>
      <c r="M205" s="32">
        <f ca="1">_xll.DBRW($C$1,$C$2,$C$3,$C$4,$C$6,$C$5,$C$7,M$1,M$2,$A205)</f>
        <v>0</v>
      </c>
      <c r="N205" s="32">
        <f ca="1">_xll.DBRW($C$1,$C$2,$C$3,$C$4,$C$6,$C$5,$C$7,N$1,N$2,$A205)</f>
        <v>0</v>
      </c>
      <c r="O205" s="32">
        <f ca="1">_xll.DBRW($C$1,$C$2,$C$3,$C$4,$C$6,$C$5,$C$7,O$1,O$2,$A205)</f>
        <v>0</v>
      </c>
      <c r="P205" s="32">
        <f ca="1">_xll.DBRW($C$1,$C$2,$C$3,$C$4,$C$6,$C$5,$C$7,P$1,P$2,$A205)</f>
        <v>0</v>
      </c>
      <c r="Q205" s="32">
        <f ca="1">_xll.DBRW($C$1,$C$2,$C$3,$C$4,$C$6,$C$5,$C$7,Q$1,Q$2,$A205)</f>
        <v>0</v>
      </c>
      <c r="R205" s="32">
        <f ca="1">_xll.DBRW($C$1,$C$2,$C$3,$C$4,$C$6,$C$5,$C$7,R$1,R$2,$A205)</f>
        <v>0</v>
      </c>
      <c r="S205" s="32">
        <f ca="1">_xll.DBRW($C$1,$C$2,$C$3,$C$4,$C$6,$C$5,$C$7,S$1,S$2,$A205)</f>
        <v>0</v>
      </c>
      <c r="T205" s="32">
        <f ca="1">_xll.DBRW($C$1,$C$2,$C$3,$C$4,$C$6,$C$5,$C$7,T$1,T$2,$A205)</f>
        <v>0</v>
      </c>
      <c r="U205" s="32">
        <f ca="1">_xll.DBRW($C$1,$C$2,$C$3,$C$4,$C$6,$C$5,$C$7,U$1,U$2,$A205)</f>
        <v>0</v>
      </c>
      <c r="V205" s="32">
        <f ca="1">_xll.DBRW($C$1,$C$2,$C$3,$C$4,$C$6,$C$5,$C$7,V$1,V$2,$A205)</f>
        <v>0</v>
      </c>
      <c r="W205" s="32">
        <f ca="1">_xll.DBRW($C$1,$C$2,$C$3,$C$4,$C$6,$C$5,$C$7,W$1,W$2,$A205)</f>
        <v>0</v>
      </c>
      <c r="X205" s="32">
        <f ca="1">_xll.DBRW($C$1,$C$2,$C$3,$C$4,$C$6,$C$5,$C$7,X$1,X$2,$A205)</f>
        <v>0</v>
      </c>
      <c r="Y205" s="32">
        <f ca="1">_xll.DBRW($C$1,$C$2,$C$3,$C$4,$C$6,$C$5,$C$7,Y$1,Y$2,$A205)</f>
        <v>0</v>
      </c>
      <c r="Z205" s="32">
        <f ca="1">_xll.DBRW($C$1,$C$2,$C$3,$C$4,$C$6,$C$5,$C$7,Z$1,Z$2,$A205)</f>
        <v>0</v>
      </c>
      <c r="AA205" s="32">
        <f ca="1">_xll.DBRW($C$1,$C$2,$C$3,$C$4,$C$6,$C$5,$C$7,AA$1,AA$2,$A205)</f>
        <v>0</v>
      </c>
      <c r="AB205" s="32">
        <f ca="1">_xll.DBRW($C$1,$C$2,$C$3,$C$4,$C$6,$C$5,$C$7,AB$1,AB$2,$A205)</f>
        <v>0</v>
      </c>
      <c r="AC205" s="32">
        <f ca="1">_xll.DBRW($C$1,$C$2,$C$3,$C$4,$C$6,$C$5,$C$7,AC$1,AC$2,$A205)</f>
        <v>0</v>
      </c>
      <c r="AD205" s="32">
        <f ca="1">_xll.DBRW($C$1,$C$2,$C$3,$C$4,$C$6,$C$5,$C$7,AD$1,AD$2,$A205)</f>
        <v>0</v>
      </c>
      <c r="AE205" s="32">
        <f ca="1">_xll.DBRW($C$1,$C$2,$C$3,$C$4,$C$6,$C$5,$C$7,AE$1,AE$2,$A205)</f>
        <v>0</v>
      </c>
      <c r="AF205" s="32">
        <f ca="1">_xll.DBRW($C$1,$C$2,$C$3,$C$4,$C$6,$C$5,$C$7,AF$1,AF$2,$A205)</f>
        <v>0</v>
      </c>
      <c r="AG205" s="32">
        <f ca="1">_xll.DBRW($C$1,$C$2,$C$3,$C$4,$C$6,$C$5,$C$7,AG$1,AG$2,$A205)</f>
        <v>0</v>
      </c>
      <c r="AH205" s="32">
        <f ca="1">_xll.DBRW($C$1,$C$2,$C$3,$C$4,$C$6,$C$5,$C$7,AH$1,AH$2,$A205)</f>
        <v>0</v>
      </c>
      <c r="AI205" s="32">
        <f ca="1">_xll.DBRW($C$1,$C$2,$C$3,$C$4,$C$6,$C$5,$C$7,AI$1,AI$2,$A205)</f>
        <v>0</v>
      </c>
      <c r="AJ205" s="32">
        <f ca="1">_xll.DBRW($C$1,$C$2,$C$3,$C$4,$C$6,$C$5,$C$7,AJ$1,AJ$2,$A205)</f>
        <v>0</v>
      </c>
      <c r="AK205" s="32">
        <f ca="1">_xll.DBRW($C$1,$C$2,$C$3,$C$4,$C$6,$C$5,$C$7,AK$1,AK$2,$A205)</f>
        <v>0</v>
      </c>
      <c r="AL205" s="32">
        <f ca="1">_xll.DBRW($C$1,$C$2,$C$3,$C$4,$C$6,$C$5,$C$7,AL$1,AL$2,$A205)</f>
        <v>0</v>
      </c>
      <c r="AM205" s="32">
        <f ca="1">_xll.DBRW($C$1,$C$2,$C$3,$C$4,$C$6,$C$5,$C$7,AM$1,AM$2,$A205)</f>
        <v>0</v>
      </c>
      <c r="AN205" s="32">
        <f ca="1">_xll.DBRW($C$1,$C$2,$C$3,$C$4,$C$6,$C$5,$C$7,AN$1,AN$2,$A205)</f>
        <v>0</v>
      </c>
      <c r="AO205" s="32">
        <f ca="1">_xll.DBRW($C$1,$C$2,$C$3,$C$4,$C$6,$C$5,$C$7,AO$1,AO$2,$A205)</f>
        <v>0</v>
      </c>
      <c r="AP205" s="32">
        <f ca="1">_xll.DBRW($C$1,$C$2,$C$3,$C$4,$C$6,$C$5,$C$7,AP$1,AP$2,$A205)</f>
        <v>0</v>
      </c>
      <c r="AQ205" s="32">
        <f ca="1">_xll.DBRW($C$1,$C$2,$C$3,$C$4,$C$6,$C$5,$C$7,AQ$1,AQ$2,$A205)</f>
        <v>0</v>
      </c>
      <c r="AR205" s="32">
        <f ca="1">_xll.DBRW($C$1,$C$2,$C$3,$C$4,$C$6,$C$5,$C$7,AR$1,AR$2,$A205)</f>
        <v>0</v>
      </c>
      <c r="AS205" s="32">
        <f ca="1">_xll.DBRW($C$1,$C$2,$C$3,$C$4,$C$6,$C$5,$C$7,AS$1,AS$2,$A205)</f>
        <v>0</v>
      </c>
      <c r="AT205" s="32">
        <f ca="1">_xll.DBRW($C$1,$C$2,$C$3,$C$4,$C$6,$C$5,$C$7,AT$1,AT$2,$A205)</f>
        <v>0</v>
      </c>
      <c r="AU205" s="32">
        <f ca="1">_xll.DBRW($C$1,$C$2,$C$3,$C$4,$C$6,$C$5,$C$7,AU$1,AU$2,$A205)</f>
        <v>0</v>
      </c>
      <c r="AV205" s="32">
        <f ca="1">_xll.DBRW($C$1,$C$2,$C$3,$C$4,$C$6,$C$5,$C$7,AV$1,AV$2,$A205)</f>
        <v>0</v>
      </c>
      <c r="AW205" s="32">
        <f ca="1">_xll.DBRW($C$1,$C$2,$C$3,$C$4,$C$6,$C$5,$C$7,AW$1,AW$2,$A205)</f>
        <v>0</v>
      </c>
      <c r="AX205" s="32">
        <f ca="1">_xll.DBRW($C$1,$C$2,$C$3,$C$4,$C$6,$C$5,$C$7,AX$1,AX$2,$A205)</f>
        <v>0</v>
      </c>
      <c r="AY205" s="32">
        <f ca="1">_xll.DBRW($C$1,$C$2,$C$3,$C$4,$C$6,$C$5,$C$7,AY$1,AY$2,$A205)</f>
        <v>0</v>
      </c>
    </row>
    <row r="206" spans="1:51" ht="15.75" hidden="1" customHeight="1" outlineLevel="1">
      <c r="A206" s="1" t="s">
        <v>293</v>
      </c>
      <c r="C206" s="109"/>
      <c r="E206" s="9" t="str">
        <f ca="1">_xll.DBRW(Server&amp;"}ElementAttributes_Indicator",A206,"code_English")</f>
        <v>PL1140_XX - Vector Reconciliation (TPL11) - Amortization</v>
      </c>
      <c r="F206" s="32">
        <f ca="1">_xll.DBRW($C$1,$C$2,$C$3,$C$4,$C$6,$C$5,$C$7,F$1,F$2,$A206)</f>
        <v>0</v>
      </c>
      <c r="G206" s="32">
        <f ca="1">_xll.DBRW($C$1,$C$2,$C$3,$C$4,$C$6,$C$5,$C$7,G$1,G$2,$A206)</f>
        <v>0</v>
      </c>
      <c r="H206" s="32">
        <f ca="1">_xll.DBRW($C$1,$C$2,$C$3,$C$4,$C$6,$C$5,$C$7,H$1,H$2,$A206)</f>
        <v>0</v>
      </c>
      <c r="I206" s="32">
        <f ca="1">_xll.DBRW($C$1,$C$2,$C$3,$C$4,$C$6,$C$5,$C$7,I$1,I$2,$A206)</f>
        <v>0</v>
      </c>
      <c r="J206" s="32">
        <f ca="1">_xll.DBRW($C$1,$C$2,$C$3,$C$4,$C$6,$C$5,$C$7,J$1,J$2,$A206)</f>
        <v>0</v>
      </c>
      <c r="K206" s="32">
        <f ca="1">_xll.DBRW($C$1,$C$2,$C$3,$C$4,$C$6,$C$5,$C$7,K$1,K$2,$A206)</f>
        <v>0</v>
      </c>
      <c r="L206" s="32">
        <f ca="1">_xll.DBRW($C$1,$C$2,$C$3,$C$4,$C$6,$C$5,$C$7,L$1,L$2,$A206)</f>
        <v>0</v>
      </c>
      <c r="M206" s="32">
        <f ca="1">_xll.DBRW($C$1,$C$2,$C$3,$C$4,$C$6,$C$5,$C$7,M$1,M$2,$A206)</f>
        <v>0</v>
      </c>
      <c r="N206" s="32">
        <f ca="1">_xll.DBRW($C$1,$C$2,$C$3,$C$4,$C$6,$C$5,$C$7,N$1,N$2,$A206)</f>
        <v>0</v>
      </c>
      <c r="O206" s="32">
        <f ca="1">_xll.DBRW($C$1,$C$2,$C$3,$C$4,$C$6,$C$5,$C$7,O$1,O$2,$A206)</f>
        <v>0</v>
      </c>
      <c r="P206" s="32">
        <f ca="1">_xll.DBRW($C$1,$C$2,$C$3,$C$4,$C$6,$C$5,$C$7,P$1,P$2,$A206)</f>
        <v>0</v>
      </c>
      <c r="Q206" s="32">
        <f ca="1">_xll.DBRW($C$1,$C$2,$C$3,$C$4,$C$6,$C$5,$C$7,Q$1,Q$2,$A206)</f>
        <v>0</v>
      </c>
      <c r="R206" s="32">
        <f ca="1">_xll.DBRW($C$1,$C$2,$C$3,$C$4,$C$6,$C$5,$C$7,R$1,R$2,$A206)</f>
        <v>0</v>
      </c>
      <c r="S206" s="32">
        <f ca="1">_xll.DBRW($C$1,$C$2,$C$3,$C$4,$C$6,$C$5,$C$7,S$1,S$2,$A206)</f>
        <v>0</v>
      </c>
      <c r="T206" s="32">
        <f ca="1">_xll.DBRW($C$1,$C$2,$C$3,$C$4,$C$6,$C$5,$C$7,T$1,T$2,$A206)</f>
        <v>0</v>
      </c>
      <c r="U206" s="32">
        <f ca="1">_xll.DBRW($C$1,$C$2,$C$3,$C$4,$C$6,$C$5,$C$7,U$1,U$2,$A206)</f>
        <v>0</v>
      </c>
      <c r="V206" s="32">
        <f ca="1">_xll.DBRW($C$1,$C$2,$C$3,$C$4,$C$6,$C$5,$C$7,V$1,V$2,$A206)</f>
        <v>0</v>
      </c>
      <c r="W206" s="32">
        <f ca="1">_xll.DBRW($C$1,$C$2,$C$3,$C$4,$C$6,$C$5,$C$7,W$1,W$2,$A206)</f>
        <v>0</v>
      </c>
      <c r="X206" s="32">
        <f ca="1">_xll.DBRW($C$1,$C$2,$C$3,$C$4,$C$6,$C$5,$C$7,X$1,X$2,$A206)</f>
        <v>0</v>
      </c>
      <c r="Y206" s="32">
        <f ca="1">_xll.DBRW($C$1,$C$2,$C$3,$C$4,$C$6,$C$5,$C$7,Y$1,Y$2,$A206)</f>
        <v>0</v>
      </c>
      <c r="Z206" s="32">
        <f ca="1">_xll.DBRW($C$1,$C$2,$C$3,$C$4,$C$6,$C$5,$C$7,Z$1,Z$2,$A206)</f>
        <v>0</v>
      </c>
      <c r="AA206" s="32">
        <f ca="1">_xll.DBRW($C$1,$C$2,$C$3,$C$4,$C$6,$C$5,$C$7,AA$1,AA$2,$A206)</f>
        <v>0</v>
      </c>
      <c r="AB206" s="32">
        <f ca="1">_xll.DBRW($C$1,$C$2,$C$3,$C$4,$C$6,$C$5,$C$7,AB$1,AB$2,$A206)</f>
        <v>0</v>
      </c>
      <c r="AC206" s="32">
        <f ca="1">_xll.DBRW($C$1,$C$2,$C$3,$C$4,$C$6,$C$5,$C$7,AC$1,AC$2,$A206)</f>
        <v>0</v>
      </c>
      <c r="AD206" s="32">
        <f ca="1">_xll.DBRW($C$1,$C$2,$C$3,$C$4,$C$6,$C$5,$C$7,AD$1,AD$2,$A206)</f>
        <v>0</v>
      </c>
      <c r="AE206" s="32">
        <f ca="1">_xll.DBRW($C$1,$C$2,$C$3,$C$4,$C$6,$C$5,$C$7,AE$1,AE$2,$A206)</f>
        <v>0</v>
      </c>
      <c r="AF206" s="32">
        <f ca="1">_xll.DBRW($C$1,$C$2,$C$3,$C$4,$C$6,$C$5,$C$7,AF$1,AF$2,$A206)</f>
        <v>0</v>
      </c>
      <c r="AG206" s="32">
        <f ca="1">_xll.DBRW($C$1,$C$2,$C$3,$C$4,$C$6,$C$5,$C$7,AG$1,AG$2,$A206)</f>
        <v>0</v>
      </c>
      <c r="AH206" s="32">
        <f ca="1">_xll.DBRW($C$1,$C$2,$C$3,$C$4,$C$6,$C$5,$C$7,AH$1,AH$2,$A206)</f>
        <v>0</v>
      </c>
      <c r="AI206" s="32">
        <f ca="1">_xll.DBRW($C$1,$C$2,$C$3,$C$4,$C$6,$C$5,$C$7,AI$1,AI$2,$A206)</f>
        <v>0</v>
      </c>
      <c r="AJ206" s="32">
        <f ca="1">_xll.DBRW($C$1,$C$2,$C$3,$C$4,$C$6,$C$5,$C$7,AJ$1,AJ$2,$A206)</f>
        <v>0</v>
      </c>
      <c r="AK206" s="32">
        <f ca="1">_xll.DBRW($C$1,$C$2,$C$3,$C$4,$C$6,$C$5,$C$7,AK$1,AK$2,$A206)</f>
        <v>0</v>
      </c>
      <c r="AL206" s="32">
        <f ca="1">_xll.DBRW($C$1,$C$2,$C$3,$C$4,$C$6,$C$5,$C$7,AL$1,AL$2,$A206)</f>
        <v>0</v>
      </c>
      <c r="AM206" s="32">
        <f ca="1">_xll.DBRW($C$1,$C$2,$C$3,$C$4,$C$6,$C$5,$C$7,AM$1,AM$2,$A206)</f>
        <v>0</v>
      </c>
      <c r="AN206" s="32">
        <f ca="1">_xll.DBRW($C$1,$C$2,$C$3,$C$4,$C$6,$C$5,$C$7,AN$1,AN$2,$A206)</f>
        <v>0</v>
      </c>
      <c r="AO206" s="32">
        <f ca="1">_xll.DBRW($C$1,$C$2,$C$3,$C$4,$C$6,$C$5,$C$7,AO$1,AO$2,$A206)</f>
        <v>0</v>
      </c>
      <c r="AP206" s="32">
        <f ca="1">_xll.DBRW($C$1,$C$2,$C$3,$C$4,$C$6,$C$5,$C$7,AP$1,AP$2,$A206)</f>
        <v>0</v>
      </c>
      <c r="AQ206" s="32">
        <f ca="1">_xll.DBRW($C$1,$C$2,$C$3,$C$4,$C$6,$C$5,$C$7,AQ$1,AQ$2,$A206)</f>
        <v>0</v>
      </c>
      <c r="AR206" s="32">
        <f ca="1">_xll.DBRW($C$1,$C$2,$C$3,$C$4,$C$6,$C$5,$C$7,AR$1,AR$2,$A206)</f>
        <v>0</v>
      </c>
      <c r="AS206" s="32">
        <f ca="1">_xll.DBRW($C$1,$C$2,$C$3,$C$4,$C$6,$C$5,$C$7,AS$1,AS$2,$A206)</f>
        <v>0</v>
      </c>
      <c r="AT206" s="32">
        <f ca="1">_xll.DBRW($C$1,$C$2,$C$3,$C$4,$C$6,$C$5,$C$7,AT$1,AT$2,$A206)</f>
        <v>0</v>
      </c>
      <c r="AU206" s="32">
        <f ca="1">_xll.DBRW($C$1,$C$2,$C$3,$C$4,$C$6,$C$5,$C$7,AU$1,AU$2,$A206)</f>
        <v>0</v>
      </c>
      <c r="AV206" s="32">
        <f ca="1">_xll.DBRW($C$1,$C$2,$C$3,$C$4,$C$6,$C$5,$C$7,AV$1,AV$2,$A206)</f>
        <v>0</v>
      </c>
      <c r="AW206" s="32">
        <f ca="1">_xll.DBRW($C$1,$C$2,$C$3,$C$4,$C$6,$C$5,$C$7,AW$1,AW$2,$A206)</f>
        <v>0</v>
      </c>
      <c r="AX206" s="32">
        <f ca="1">_xll.DBRW($C$1,$C$2,$C$3,$C$4,$C$6,$C$5,$C$7,AX$1,AX$2,$A206)</f>
        <v>0</v>
      </c>
      <c r="AY206" s="32">
        <f ca="1">_xll.DBRW($C$1,$C$2,$C$3,$C$4,$C$6,$C$5,$C$7,AY$1,AY$2,$A206)</f>
        <v>0</v>
      </c>
    </row>
    <row r="207" spans="1:51" ht="15.75" hidden="1" customHeight="1" outlineLevel="1">
      <c r="A207" s="1" t="s">
        <v>294</v>
      </c>
      <c r="C207" s="109"/>
      <c r="E207" s="9" t="str">
        <f ca="1">_xll.DBRW(Server&amp;"}ElementAttributes_Indicator",A207,"code_English")</f>
        <v>PL1145_XX - Vector Reconciliation (TPL11) - Impairment - working capital</v>
      </c>
      <c r="F207" s="32">
        <f ca="1">_xll.DBRW($C$1,$C$2,$C$3,$C$4,$C$6,$C$5,$C$7,F$1,F$2,$A207)</f>
        <v>0</v>
      </c>
      <c r="G207" s="32">
        <f ca="1">_xll.DBRW($C$1,$C$2,$C$3,$C$4,$C$6,$C$5,$C$7,G$1,G$2,$A207)</f>
        <v>0</v>
      </c>
      <c r="H207" s="32">
        <f ca="1">_xll.DBRW($C$1,$C$2,$C$3,$C$4,$C$6,$C$5,$C$7,H$1,H$2,$A207)</f>
        <v>0</v>
      </c>
      <c r="I207" s="32">
        <f ca="1">_xll.DBRW($C$1,$C$2,$C$3,$C$4,$C$6,$C$5,$C$7,I$1,I$2,$A207)</f>
        <v>0</v>
      </c>
      <c r="J207" s="32">
        <f ca="1">_xll.DBRW($C$1,$C$2,$C$3,$C$4,$C$6,$C$5,$C$7,J$1,J$2,$A207)</f>
        <v>0</v>
      </c>
      <c r="K207" s="32">
        <f ca="1">_xll.DBRW($C$1,$C$2,$C$3,$C$4,$C$6,$C$5,$C$7,K$1,K$2,$A207)</f>
        <v>0</v>
      </c>
      <c r="L207" s="32">
        <f ca="1">_xll.DBRW($C$1,$C$2,$C$3,$C$4,$C$6,$C$5,$C$7,L$1,L$2,$A207)</f>
        <v>0</v>
      </c>
      <c r="M207" s="32">
        <f ca="1">_xll.DBRW($C$1,$C$2,$C$3,$C$4,$C$6,$C$5,$C$7,M$1,M$2,$A207)</f>
        <v>0</v>
      </c>
      <c r="N207" s="32">
        <f ca="1">_xll.DBRW($C$1,$C$2,$C$3,$C$4,$C$6,$C$5,$C$7,N$1,N$2,$A207)</f>
        <v>0</v>
      </c>
      <c r="O207" s="32">
        <f ca="1">_xll.DBRW($C$1,$C$2,$C$3,$C$4,$C$6,$C$5,$C$7,O$1,O$2,$A207)</f>
        <v>0</v>
      </c>
      <c r="P207" s="32">
        <f ca="1">_xll.DBRW($C$1,$C$2,$C$3,$C$4,$C$6,$C$5,$C$7,P$1,P$2,$A207)</f>
        <v>0</v>
      </c>
      <c r="Q207" s="32">
        <f ca="1">_xll.DBRW($C$1,$C$2,$C$3,$C$4,$C$6,$C$5,$C$7,Q$1,Q$2,$A207)</f>
        <v>0</v>
      </c>
      <c r="R207" s="32">
        <f ca="1">_xll.DBRW($C$1,$C$2,$C$3,$C$4,$C$6,$C$5,$C$7,R$1,R$2,$A207)</f>
        <v>0</v>
      </c>
      <c r="S207" s="32">
        <f ca="1">_xll.DBRW($C$1,$C$2,$C$3,$C$4,$C$6,$C$5,$C$7,S$1,S$2,$A207)</f>
        <v>0</v>
      </c>
      <c r="T207" s="32">
        <f ca="1">_xll.DBRW($C$1,$C$2,$C$3,$C$4,$C$6,$C$5,$C$7,T$1,T$2,$A207)</f>
        <v>0</v>
      </c>
      <c r="U207" s="32">
        <f ca="1">_xll.DBRW($C$1,$C$2,$C$3,$C$4,$C$6,$C$5,$C$7,U$1,U$2,$A207)</f>
        <v>0</v>
      </c>
      <c r="V207" s="32">
        <f ca="1">_xll.DBRW($C$1,$C$2,$C$3,$C$4,$C$6,$C$5,$C$7,V$1,V$2,$A207)</f>
        <v>0</v>
      </c>
      <c r="W207" s="32">
        <f ca="1">_xll.DBRW($C$1,$C$2,$C$3,$C$4,$C$6,$C$5,$C$7,W$1,W$2,$A207)</f>
        <v>0</v>
      </c>
      <c r="X207" s="32">
        <f ca="1">_xll.DBRW($C$1,$C$2,$C$3,$C$4,$C$6,$C$5,$C$7,X$1,X$2,$A207)</f>
        <v>0</v>
      </c>
      <c r="Y207" s="32">
        <f ca="1">_xll.DBRW($C$1,$C$2,$C$3,$C$4,$C$6,$C$5,$C$7,Y$1,Y$2,$A207)</f>
        <v>0</v>
      </c>
      <c r="Z207" s="32">
        <f ca="1">_xll.DBRW($C$1,$C$2,$C$3,$C$4,$C$6,$C$5,$C$7,Z$1,Z$2,$A207)</f>
        <v>0</v>
      </c>
      <c r="AA207" s="32">
        <f ca="1">_xll.DBRW($C$1,$C$2,$C$3,$C$4,$C$6,$C$5,$C$7,AA$1,AA$2,$A207)</f>
        <v>0</v>
      </c>
      <c r="AB207" s="32">
        <f ca="1">_xll.DBRW($C$1,$C$2,$C$3,$C$4,$C$6,$C$5,$C$7,AB$1,AB$2,$A207)</f>
        <v>0</v>
      </c>
      <c r="AC207" s="32">
        <f ca="1">_xll.DBRW($C$1,$C$2,$C$3,$C$4,$C$6,$C$5,$C$7,AC$1,AC$2,$A207)</f>
        <v>0</v>
      </c>
      <c r="AD207" s="32">
        <f ca="1">_xll.DBRW($C$1,$C$2,$C$3,$C$4,$C$6,$C$5,$C$7,AD$1,AD$2,$A207)</f>
        <v>0</v>
      </c>
      <c r="AE207" s="32">
        <f ca="1">_xll.DBRW($C$1,$C$2,$C$3,$C$4,$C$6,$C$5,$C$7,AE$1,AE$2,$A207)</f>
        <v>0</v>
      </c>
      <c r="AF207" s="32">
        <f ca="1">_xll.DBRW($C$1,$C$2,$C$3,$C$4,$C$6,$C$5,$C$7,AF$1,AF$2,$A207)</f>
        <v>0</v>
      </c>
      <c r="AG207" s="32">
        <f ca="1">_xll.DBRW($C$1,$C$2,$C$3,$C$4,$C$6,$C$5,$C$7,AG$1,AG$2,$A207)</f>
        <v>0</v>
      </c>
      <c r="AH207" s="32">
        <f ca="1">_xll.DBRW($C$1,$C$2,$C$3,$C$4,$C$6,$C$5,$C$7,AH$1,AH$2,$A207)</f>
        <v>0</v>
      </c>
      <c r="AI207" s="32">
        <f ca="1">_xll.DBRW($C$1,$C$2,$C$3,$C$4,$C$6,$C$5,$C$7,AI$1,AI$2,$A207)</f>
        <v>0</v>
      </c>
      <c r="AJ207" s="32">
        <f ca="1">_xll.DBRW($C$1,$C$2,$C$3,$C$4,$C$6,$C$5,$C$7,AJ$1,AJ$2,$A207)</f>
        <v>0</v>
      </c>
      <c r="AK207" s="32">
        <f ca="1">_xll.DBRW($C$1,$C$2,$C$3,$C$4,$C$6,$C$5,$C$7,AK$1,AK$2,$A207)</f>
        <v>0</v>
      </c>
      <c r="AL207" s="32">
        <f ca="1">_xll.DBRW($C$1,$C$2,$C$3,$C$4,$C$6,$C$5,$C$7,AL$1,AL$2,$A207)</f>
        <v>0</v>
      </c>
      <c r="AM207" s="32">
        <f ca="1">_xll.DBRW($C$1,$C$2,$C$3,$C$4,$C$6,$C$5,$C$7,AM$1,AM$2,$A207)</f>
        <v>0</v>
      </c>
      <c r="AN207" s="32">
        <f ca="1">_xll.DBRW($C$1,$C$2,$C$3,$C$4,$C$6,$C$5,$C$7,AN$1,AN$2,$A207)</f>
        <v>0</v>
      </c>
      <c r="AO207" s="32">
        <f ca="1">_xll.DBRW($C$1,$C$2,$C$3,$C$4,$C$6,$C$5,$C$7,AO$1,AO$2,$A207)</f>
        <v>0</v>
      </c>
      <c r="AP207" s="32">
        <f ca="1">_xll.DBRW($C$1,$C$2,$C$3,$C$4,$C$6,$C$5,$C$7,AP$1,AP$2,$A207)</f>
        <v>0</v>
      </c>
      <c r="AQ207" s="32">
        <f ca="1">_xll.DBRW($C$1,$C$2,$C$3,$C$4,$C$6,$C$5,$C$7,AQ$1,AQ$2,$A207)</f>
        <v>0</v>
      </c>
      <c r="AR207" s="32">
        <f ca="1">_xll.DBRW($C$1,$C$2,$C$3,$C$4,$C$6,$C$5,$C$7,AR$1,AR$2,$A207)</f>
        <v>0</v>
      </c>
      <c r="AS207" s="32">
        <f ca="1">_xll.DBRW($C$1,$C$2,$C$3,$C$4,$C$6,$C$5,$C$7,AS$1,AS$2,$A207)</f>
        <v>0</v>
      </c>
      <c r="AT207" s="32">
        <f ca="1">_xll.DBRW($C$1,$C$2,$C$3,$C$4,$C$6,$C$5,$C$7,AT$1,AT$2,$A207)</f>
        <v>0</v>
      </c>
      <c r="AU207" s="32">
        <f ca="1">_xll.DBRW($C$1,$C$2,$C$3,$C$4,$C$6,$C$5,$C$7,AU$1,AU$2,$A207)</f>
        <v>0</v>
      </c>
      <c r="AV207" s="32">
        <f ca="1">_xll.DBRW($C$1,$C$2,$C$3,$C$4,$C$6,$C$5,$C$7,AV$1,AV$2,$A207)</f>
        <v>0</v>
      </c>
      <c r="AW207" s="32">
        <f ca="1">_xll.DBRW($C$1,$C$2,$C$3,$C$4,$C$6,$C$5,$C$7,AW$1,AW$2,$A207)</f>
        <v>0</v>
      </c>
      <c r="AX207" s="32">
        <f ca="1">_xll.DBRW($C$1,$C$2,$C$3,$C$4,$C$6,$C$5,$C$7,AX$1,AX$2,$A207)</f>
        <v>0</v>
      </c>
      <c r="AY207" s="32">
        <f ca="1">_xll.DBRW($C$1,$C$2,$C$3,$C$4,$C$6,$C$5,$C$7,AY$1,AY$2,$A207)</f>
        <v>0</v>
      </c>
    </row>
    <row r="208" spans="1:51" ht="15.75" hidden="1" customHeight="1" outlineLevel="1">
      <c r="A208" s="1" t="s">
        <v>295</v>
      </c>
      <c r="C208" s="109"/>
      <c r="E208" s="9" t="str">
        <f ca="1">_xll.DBRW(Server&amp;"}ElementAttributes_Indicator",A208,"code_English")</f>
        <v>PL1150_XX - Vector Reconciliation (TPL11) - Impairment (other than working capital) and provisions</v>
      </c>
      <c r="F208" s="32">
        <f ca="1">_xll.DBRW($C$1,$C$2,$C$3,$C$4,$C$6,$C$5,$C$7,F$1,F$2,$A208)</f>
        <v>0</v>
      </c>
      <c r="G208" s="32">
        <f ca="1">_xll.DBRW($C$1,$C$2,$C$3,$C$4,$C$6,$C$5,$C$7,G$1,G$2,$A208)</f>
        <v>0</v>
      </c>
      <c r="H208" s="32">
        <f ca="1">_xll.DBRW($C$1,$C$2,$C$3,$C$4,$C$6,$C$5,$C$7,H$1,H$2,$A208)</f>
        <v>0</v>
      </c>
      <c r="I208" s="32">
        <f ca="1">_xll.DBRW($C$1,$C$2,$C$3,$C$4,$C$6,$C$5,$C$7,I$1,I$2,$A208)</f>
        <v>0</v>
      </c>
      <c r="J208" s="32">
        <f ca="1">_xll.DBRW($C$1,$C$2,$C$3,$C$4,$C$6,$C$5,$C$7,J$1,J$2,$A208)</f>
        <v>0</v>
      </c>
      <c r="K208" s="32">
        <f ca="1">_xll.DBRW($C$1,$C$2,$C$3,$C$4,$C$6,$C$5,$C$7,K$1,K$2,$A208)</f>
        <v>0</v>
      </c>
      <c r="L208" s="32">
        <f ca="1">_xll.DBRW($C$1,$C$2,$C$3,$C$4,$C$6,$C$5,$C$7,L$1,L$2,$A208)</f>
        <v>0</v>
      </c>
      <c r="M208" s="32">
        <f ca="1">_xll.DBRW($C$1,$C$2,$C$3,$C$4,$C$6,$C$5,$C$7,M$1,M$2,$A208)</f>
        <v>0</v>
      </c>
      <c r="N208" s="32">
        <f ca="1">_xll.DBRW($C$1,$C$2,$C$3,$C$4,$C$6,$C$5,$C$7,N$1,N$2,$A208)</f>
        <v>0</v>
      </c>
      <c r="O208" s="32">
        <f ca="1">_xll.DBRW($C$1,$C$2,$C$3,$C$4,$C$6,$C$5,$C$7,O$1,O$2,$A208)</f>
        <v>0</v>
      </c>
      <c r="P208" s="32">
        <f ca="1">_xll.DBRW($C$1,$C$2,$C$3,$C$4,$C$6,$C$5,$C$7,P$1,P$2,$A208)</f>
        <v>0</v>
      </c>
      <c r="Q208" s="32">
        <f ca="1">_xll.DBRW($C$1,$C$2,$C$3,$C$4,$C$6,$C$5,$C$7,Q$1,Q$2,$A208)</f>
        <v>0</v>
      </c>
      <c r="R208" s="32">
        <f ca="1">_xll.DBRW($C$1,$C$2,$C$3,$C$4,$C$6,$C$5,$C$7,R$1,R$2,$A208)</f>
        <v>0</v>
      </c>
      <c r="S208" s="32">
        <f ca="1">_xll.DBRW($C$1,$C$2,$C$3,$C$4,$C$6,$C$5,$C$7,S$1,S$2,$A208)</f>
        <v>0</v>
      </c>
      <c r="T208" s="32">
        <f ca="1">_xll.DBRW($C$1,$C$2,$C$3,$C$4,$C$6,$C$5,$C$7,T$1,T$2,$A208)</f>
        <v>0</v>
      </c>
      <c r="U208" s="32">
        <f ca="1">_xll.DBRW($C$1,$C$2,$C$3,$C$4,$C$6,$C$5,$C$7,U$1,U$2,$A208)</f>
        <v>0</v>
      </c>
      <c r="V208" s="32">
        <f ca="1">_xll.DBRW($C$1,$C$2,$C$3,$C$4,$C$6,$C$5,$C$7,V$1,V$2,$A208)</f>
        <v>0</v>
      </c>
      <c r="W208" s="32">
        <f ca="1">_xll.DBRW($C$1,$C$2,$C$3,$C$4,$C$6,$C$5,$C$7,W$1,W$2,$A208)</f>
        <v>0</v>
      </c>
      <c r="X208" s="32">
        <f ca="1">_xll.DBRW($C$1,$C$2,$C$3,$C$4,$C$6,$C$5,$C$7,X$1,X$2,$A208)</f>
        <v>0</v>
      </c>
      <c r="Y208" s="32">
        <f ca="1">_xll.DBRW($C$1,$C$2,$C$3,$C$4,$C$6,$C$5,$C$7,Y$1,Y$2,$A208)</f>
        <v>0</v>
      </c>
      <c r="Z208" s="32">
        <f ca="1">_xll.DBRW($C$1,$C$2,$C$3,$C$4,$C$6,$C$5,$C$7,Z$1,Z$2,$A208)</f>
        <v>0</v>
      </c>
      <c r="AA208" s="32">
        <f ca="1">_xll.DBRW($C$1,$C$2,$C$3,$C$4,$C$6,$C$5,$C$7,AA$1,AA$2,$A208)</f>
        <v>0</v>
      </c>
      <c r="AB208" s="32">
        <f ca="1">_xll.DBRW($C$1,$C$2,$C$3,$C$4,$C$6,$C$5,$C$7,AB$1,AB$2,$A208)</f>
        <v>0</v>
      </c>
      <c r="AC208" s="32">
        <f ca="1">_xll.DBRW($C$1,$C$2,$C$3,$C$4,$C$6,$C$5,$C$7,AC$1,AC$2,$A208)</f>
        <v>0</v>
      </c>
      <c r="AD208" s="32">
        <f ca="1">_xll.DBRW($C$1,$C$2,$C$3,$C$4,$C$6,$C$5,$C$7,AD$1,AD$2,$A208)</f>
        <v>0</v>
      </c>
      <c r="AE208" s="32">
        <f ca="1">_xll.DBRW($C$1,$C$2,$C$3,$C$4,$C$6,$C$5,$C$7,AE$1,AE$2,$A208)</f>
        <v>0</v>
      </c>
      <c r="AF208" s="32">
        <f ca="1">_xll.DBRW($C$1,$C$2,$C$3,$C$4,$C$6,$C$5,$C$7,AF$1,AF$2,$A208)</f>
        <v>0</v>
      </c>
      <c r="AG208" s="32">
        <f ca="1">_xll.DBRW($C$1,$C$2,$C$3,$C$4,$C$6,$C$5,$C$7,AG$1,AG$2,$A208)</f>
        <v>0</v>
      </c>
      <c r="AH208" s="32">
        <f ca="1">_xll.DBRW($C$1,$C$2,$C$3,$C$4,$C$6,$C$5,$C$7,AH$1,AH$2,$A208)</f>
        <v>0</v>
      </c>
      <c r="AI208" s="32">
        <f ca="1">_xll.DBRW($C$1,$C$2,$C$3,$C$4,$C$6,$C$5,$C$7,AI$1,AI$2,$A208)</f>
        <v>0</v>
      </c>
      <c r="AJ208" s="32">
        <f ca="1">_xll.DBRW($C$1,$C$2,$C$3,$C$4,$C$6,$C$5,$C$7,AJ$1,AJ$2,$A208)</f>
        <v>0</v>
      </c>
      <c r="AK208" s="32">
        <f ca="1">_xll.DBRW($C$1,$C$2,$C$3,$C$4,$C$6,$C$5,$C$7,AK$1,AK$2,$A208)</f>
        <v>0</v>
      </c>
      <c r="AL208" s="32">
        <f ca="1">_xll.DBRW($C$1,$C$2,$C$3,$C$4,$C$6,$C$5,$C$7,AL$1,AL$2,$A208)</f>
        <v>0</v>
      </c>
      <c r="AM208" s="32">
        <f ca="1">_xll.DBRW($C$1,$C$2,$C$3,$C$4,$C$6,$C$5,$C$7,AM$1,AM$2,$A208)</f>
        <v>0</v>
      </c>
      <c r="AN208" s="32">
        <f ca="1">_xll.DBRW($C$1,$C$2,$C$3,$C$4,$C$6,$C$5,$C$7,AN$1,AN$2,$A208)</f>
        <v>0</v>
      </c>
      <c r="AO208" s="32">
        <f ca="1">_xll.DBRW($C$1,$C$2,$C$3,$C$4,$C$6,$C$5,$C$7,AO$1,AO$2,$A208)</f>
        <v>0</v>
      </c>
      <c r="AP208" s="32">
        <f ca="1">_xll.DBRW($C$1,$C$2,$C$3,$C$4,$C$6,$C$5,$C$7,AP$1,AP$2,$A208)</f>
        <v>0</v>
      </c>
      <c r="AQ208" s="32">
        <f ca="1">_xll.DBRW($C$1,$C$2,$C$3,$C$4,$C$6,$C$5,$C$7,AQ$1,AQ$2,$A208)</f>
        <v>0</v>
      </c>
      <c r="AR208" s="32">
        <f ca="1">_xll.DBRW($C$1,$C$2,$C$3,$C$4,$C$6,$C$5,$C$7,AR$1,AR$2,$A208)</f>
        <v>0</v>
      </c>
      <c r="AS208" s="32">
        <f ca="1">_xll.DBRW($C$1,$C$2,$C$3,$C$4,$C$6,$C$5,$C$7,AS$1,AS$2,$A208)</f>
        <v>0</v>
      </c>
      <c r="AT208" s="32">
        <f ca="1">_xll.DBRW($C$1,$C$2,$C$3,$C$4,$C$6,$C$5,$C$7,AT$1,AT$2,$A208)</f>
        <v>0</v>
      </c>
      <c r="AU208" s="32">
        <f ca="1">_xll.DBRW($C$1,$C$2,$C$3,$C$4,$C$6,$C$5,$C$7,AU$1,AU$2,$A208)</f>
        <v>0</v>
      </c>
      <c r="AV208" s="32">
        <f ca="1">_xll.DBRW($C$1,$C$2,$C$3,$C$4,$C$6,$C$5,$C$7,AV$1,AV$2,$A208)</f>
        <v>0</v>
      </c>
      <c r="AW208" s="32">
        <f ca="1">_xll.DBRW($C$1,$C$2,$C$3,$C$4,$C$6,$C$5,$C$7,AW$1,AW$2,$A208)</f>
        <v>0</v>
      </c>
      <c r="AX208" s="32">
        <f ca="1">_xll.DBRW($C$1,$C$2,$C$3,$C$4,$C$6,$C$5,$C$7,AX$1,AX$2,$A208)</f>
        <v>0</v>
      </c>
      <c r="AY208" s="32">
        <f ca="1">_xll.DBRW($C$1,$C$2,$C$3,$C$4,$C$6,$C$5,$C$7,AY$1,AY$2,$A208)</f>
        <v>0</v>
      </c>
    </row>
    <row r="209" spans="1:51" ht="15.75" hidden="1" customHeight="1" outlineLevel="1">
      <c r="A209" s="1" t="s">
        <v>296</v>
      </c>
      <c r="C209" s="109"/>
      <c r="E209" s="9" t="str">
        <f ca="1">_xll.DBRW(Server&amp;"}ElementAttributes_Indicator",A209,"code_English")</f>
        <v>PL1151_XX - Vector Reconciliation (TPL11) - Impact of change in revaluation rate on provisions for losses on LT contracts</v>
      </c>
      <c r="F209" s="32">
        <f ca="1">_xll.DBRW($C$1,$C$2,$C$3,$C$4,$C$6,$C$5,$C$7,F$1,F$2,$A209)</f>
        <v>0</v>
      </c>
      <c r="G209" s="32">
        <f ca="1">_xll.DBRW($C$1,$C$2,$C$3,$C$4,$C$6,$C$5,$C$7,G$1,G$2,$A209)</f>
        <v>0</v>
      </c>
      <c r="H209" s="32">
        <f ca="1">_xll.DBRW($C$1,$C$2,$C$3,$C$4,$C$6,$C$5,$C$7,H$1,H$2,$A209)</f>
        <v>0</v>
      </c>
      <c r="I209" s="32">
        <f ca="1">_xll.DBRW($C$1,$C$2,$C$3,$C$4,$C$6,$C$5,$C$7,I$1,I$2,$A209)</f>
        <v>0</v>
      </c>
      <c r="J209" s="32">
        <f ca="1">_xll.DBRW($C$1,$C$2,$C$3,$C$4,$C$6,$C$5,$C$7,J$1,J$2,$A209)</f>
        <v>0</v>
      </c>
      <c r="K209" s="32">
        <f ca="1">_xll.DBRW($C$1,$C$2,$C$3,$C$4,$C$6,$C$5,$C$7,K$1,K$2,$A209)</f>
        <v>0</v>
      </c>
      <c r="L209" s="32">
        <f ca="1">_xll.DBRW($C$1,$C$2,$C$3,$C$4,$C$6,$C$5,$C$7,L$1,L$2,$A209)</f>
        <v>0</v>
      </c>
      <c r="M209" s="32">
        <f ca="1">_xll.DBRW($C$1,$C$2,$C$3,$C$4,$C$6,$C$5,$C$7,M$1,M$2,$A209)</f>
        <v>0</v>
      </c>
      <c r="N209" s="32">
        <f ca="1">_xll.DBRW($C$1,$C$2,$C$3,$C$4,$C$6,$C$5,$C$7,N$1,N$2,$A209)</f>
        <v>0</v>
      </c>
      <c r="O209" s="32">
        <f ca="1">_xll.DBRW($C$1,$C$2,$C$3,$C$4,$C$6,$C$5,$C$7,O$1,O$2,$A209)</f>
        <v>0</v>
      </c>
      <c r="P209" s="32">
        <f ca="1">_xll.DBRW($C$1,$C$2,$C$3,$C$4,$C$6,$C$5,$C$7,P$1,P$2,$A209)</f>
        <v>0</v>
      </c>
      <c r="Q209" s="32">
        <f ca="1">_xll.DBRW($C$1,$C$2,$C$3,$C$4,$C$6,$C$5,$C$7,Q$1,Q$2,$A209)</f>
        <v>0</v>
      </c>
      <c r="R209" s="32">
        <f ca="1">_xll.DBRW($C$1,$C$2,$C$3,$C$4,$C$6,$C$5,$C$7,R$1,R$2,$A209)</f>
        <v>0</v>
      </c>
      <c r="S209" s="32">
        <f ca="1">_xll.DBRW($C$1,$C$2,$C$3,$C$4,$C$6,$C$5,$C$7,S$1,S$2,$A209)</f>
        <v>0</v>
      </c>
      <c r="T209" s="32">
        <f ca="1">_xll.DBRW($C$1,$C$2,$C$3,$C$4,$C$6,$C$5,$C$7,T$1,T$2,$A209)</f>
        <v>0</v>
      </c>
      <c r="U209" s="32">
        <f ca="1">_xll.DBRW($C$1,$C$2,$C$3,$C$4,$C$6,$C$5,$C$7,U$1,U$2,$A209)</f>
        <v>0</v>
      </c>
      <c r="V209" s="32">
        <f ca="1">_xll.DBRW($C$1,$C$2,$C$3,$C$4,$C$6,$C$5,$C$7,V$1,V$2,$A209)</f>
        <v>0</v>
      </c>
      <c r="W209" s="32">
        <f ca="1">_xll.DBRW($C$1,$C$2,$C$3,$C$4,$C$6,$C$5,$C$7,W$1,W$2,$A209)</f>
        <v>0</v>
      </c>
      <c r="X209" s="32">
        <f ca="1">_xll.DBRW($C$1,$C$2,$C$3,$C$4,$C$6,$C$5,$C$7,X$1,X$2,$A209)</f>
        <v>0</v>
      </c>
      <c r="Y209" s="32">
        <f ca="1">_xll.DBRW($C$1,$C$2,$C$3,$C$4,$C$6,$C$5,$C$7,Y$1,Y$2,$A209)</f>
        <v>0</v>
      </c>
      <c r="Z209" s="32">
        <f ca="1">_xll.DBRW($C$1,$C$2,$C$3,$C$4,$C$6,$C$5,$C$7,Z$1,Z$2,$A209)</f>
        <v>0</v>
      </c>
      <c r="AA209" s="32">
        <f ca="1">_xll.DBRW($C$1,$C$2,$C$3,$C$4,$C$6,$C$5,$C$7,AA$1,AA$2,$A209)</f>
        <v>0</v>
      </c>
      <c r="AB209" s="32">
        <f ca="1">_xll.DBRW($C$1,$C$2,$C$3,$C$4,$C$6,$C$5,$C$7,AB$1,AB$2,$A209)</f>
        <v>0</v>
      </c>
      <c r="AC209" s="32">
        <f ca="1">_xll.DBRW($C$1,$C$2,$C$3,$C$4,$C$6,$C$5,$C$7,AC$1,AC$2,$A209)</f>
        <v>0</v>
      </c>
      <c r="AD209" s="32">
        <f ca="1">_xll.DBRW($C$1,$C$2,$C$3,$C$4,$C$6,$C$5,$C$7,AD$1,AD$2,$A209)</f>
        <v>0</v>
      </c>
      <c r="AE209" s="32">
        <f ca="1">_xll.DBRW($C$1,$C$2,$C$3,$C$4,$C$6,$C$5,$C$7,AE$1,AE$2,$A209)</f>
        <v>0</v>
      </c>
      <c r="AF209" s="32">
        <f ca="1">_xll.DBRW($C$1,$C$2,$C$3,$C$4,$C$6,$C$5,$C$7,AF$1,AF$2,$A209)</f>
        <v>0</v>
      </c>
      <c r="AG209" s="32">
        <f ca="1">_xll.DBRW($C$1,$C$2,$C$3,$C$4,$C$6,$C$5,$C$7,AG$1,AG$2,$A209)</f>
        <v>0</v>
      </c>
      <c r="AH209" s="32">
        <f ca="1">_xll.DBRW($C$1,$C$2,$C$3,$C$4,$C$6,$C$5,$C$7,AH$1,AH$2,$A209)</f>
        <v>0</v>
      </c>
      <c r="AI209" s="32">
        <f ca="1">_xll.DBRW($C$1,$C$2,$C$3,$C$4,$C$6,$C$5,$C$7,AI$1,AI$2,$A209)</f>
        <v>0</v>
      </c>
      <c r="AJ209" s="32">
        <f ca="1">_xll.DBRW($C$1,$C$2,$C$3,$C$4,$C$6,$C$5,$C$7,AJ$1,AJ$2,$A209)</f>
        <v>0</v>
      </c>
      <c r="AK209" s="32">
        <f ca="1">_xll.DBRW($C$1,$C$2,$C$3,$C$4,$C$6,$C$5,$C$7,AK$1,AK$2,$A209)</f>
        <v>0</v>
      </c>
      <c r="AL209" s="32">
        <f ca="1">_xll.DBRW($C$1,$C$2,$C$3,$C$4,$C$6,$C$5,$C$7,AL$1,AL$2,$A209)</f>
        <v>0</v>
      </c>
      <c r="AM209" s="32">
        <f ca="1">_xll.DBRW($C$1,$C$2,$C$3,$C$4,$C$6,$C$5,$C$7,AM$1,AM$2,$A209)</f>
        <v>0</v>
      </c>
      <c r="AN209" s="32">
        <f ca="1">_xll.DBRW($C$1,$C$2,$C$3,$C$4,$C$6,$C$5,$C$7,AN$1,AN$2,$A209)</f>
        <v>0</v>
      </c>
      <c r="AO209" s="32">
        <f ca="1">_xll.DBRW($C$1,$C$2,$C$3,$C$4,$C$6,$C$5,$C$7,AO$1,AO$2,$A209)</f>
        <v>0</v>
      </c>
      <c r="AP209" s="32">
        <f ca="1">_xll.DBRW($C$1,$C$2,$C$3,$C$4,$C$6,$C$5,$C$7,AP$1,AP$2,$A209)</f>
        <v>0</v>
      </c>
      <c r="AQ209" s="32">
        <f ca="1">_xll.DBRW($C$1,$C$2,$C$3,$C$4,$C$6,$C$5,$C$7,AQ$1,AQ$2,$A209)</f>
        <v>0</v>
      </c>
      <c r="AR209" s="32">
        <f ca="1">_xll.DBRW($C$1,$C$2,$C$3,$C$4,$C$6,$C$5,$C$7,AR$1,AR$2,$A209)</f>
        <v>0</v>
      </c>
      <c r="AS209" s="32">
        <f ca="1">_xll.DBRW($C$1,$C$2,$C$3,$C$4,$C$6,$C$5,$C$7,AS$1,AS$2,$A209)</f>
        <v>0</v>
      </c>
      <c r="AT209" s="32">
        <f ca="1">_xll.DBRW($C$1,$C$2,$C$3,$C$4,$C$6,$C$5,$C$7,AT$1,AT$2,$A209)</f>
        <v>0</v>
      </c>
      <c r="AU209" s="32">
        <f ca="1">_xll.DBRW($C$1,$C$2,$C$3,$C$4,$C$6,$C$5,$C$7,AU$1,AU$2,$A209)</f>
        <v>0</v>
      </c>
      <c r="AV209" s="32">
        <f ca="1">_xll.DBRW($C$1,$C$2,$C$3,$C$4,$C$6,$C$5,$C$7,AV$1,AV$2,$A209)</f>
        <v>0</v>
      </c>
      <c r="AW209" s="32">
        <f ca="1">_xll.DBRW($C$1,$C$2,$C$3,$C$4,$C$6,$C$5,$C$7,AW$1,AW$2,$A209)</f>
        <v>0</v>
      </c>
      <c r="AX209" s="32">
        <f ca="1">_xll.DBRW($C$1,$C$2,$C$3,$C$4,$C$6,$C$5,$C$7,AX$1,AX$2,$A209)</f>
        <v>0</v>
      </c>
      <c r="AY209" s="32">
        <f ca="1">_xll.DBRW($C$1,$C$2,$C$3,$C$4,$C$6,$C$5,$C$7,AY$1,AY$2,$A209)</f>
        <v>0</v>
      </c>
    </row>
    <row r="210" spans="1:51" ht="15.75" hidden="1" customHeight="1" outlineLevel="1">
      <c r="A210" s="1" t="s">
        <v>297</v>
      </c>
      <c r="C210" s="109"/>
      <c r="E210" s="9" t="str">
        <f ca="1">_xll.DBRW(Server&amp;"}ElementAttributes_Indicator",A210,"code_English")</f>
        <v>PL1155_XX - Vector Reconciliation (TPL11) - Reinvoicing</v>
      </c>
      <c r="F210" s="32">
        <f ca="1">_xll.DBRW($C$1,$C$2,$C$3,$C$4,$C$6,$C$5,$C$7,F$1,F$2,$A210)</f>
        <v>0</v>
      </c>
      <c r="G210" s="32">
        <f ca="1">_xll.DBRW($C$1,$C$2,$C$3,$C$4,$C$6,$C$5,$C$7,G$1,G$2,$A210)</f>
        <v>0</v>
      </c>
      <c r="H210" s="32">
        <f ca="1">_xll.DBRW($C$1,$C$2,$C$3,$C$4,$C$6,$C$5,$C$7,H$1,H$2,$A210)</f>
        <v>0</v>
      </c>
      <c r="I210" s="32">
        <f ca="1">_xll.DBRW($C$1,$C$2,$C$3,$C$4,$C$6,$C$5,$C$7,I$1,I$2,$A210)</f>
        <v>0</v>
      </c>
      <c r="J210" s="32">
        <f ca="1">_xll.DBRW($C$1,$C$2,$C$3,$C$4,$C$6,$C$5,$C$7,J$1,J$2,$A210)</f>
        <v>0</v>
      </c>
      <c r="K210" s="32">
        <f ca="1">_xll.DBRW($C$1,$C$2,$C$3,$C$4,$C$6,$C$5,$C$7,K$1,K$2,$A210)</f>
        <v>0</v>
      </c>
      <c r="L210" s="32">
        <f ca="1">_xll.DBRW($C$1,$C$2,$C$3,$C$4,$C$6,$C$5,$C$7,L$1,L$2,$A210)</f>
        <v>0</v>
      </c>
      <c r="M210" s="32">
        <f ca="1">_xll.DBRW($C$1,$C$2,$C$3,$C$4,$C$6,$C$5,$C$7,M$1,M$2,$A210)</f>
        <v>0</v>
      </c>
      <c r="N210" s="32">
        <f ca="1">_xll.DBRW($C$1,$C$2,$C$3,$C$4,$C$6,$C$5,$C$7,N$1,N$2,$A210)</f>
        <v>0</v>
      </c>
      <c r="O210" s="32">
        <f ca="1">_xll.DBRW($C$1,$C$2,$C$3,$C$4,$C$6,$C$5,$C$7,O$1,O$2,$A210)</f>
        <v>0</v>
      </c>
      <c r="P210" s="32">
        <f ca="1">_xll.DBRW($C$1,$C$2,$C$3,$C$4,$C$6,$C$5,$C$7,P$1,P$2,$A210)</f>
        <v>0</v>
      </c>
      <c r="Q210" s="32">
        <f ca="1">_xll.DBRW($C$1,$C$2,$C$3,$C$4,$C$6,$C$5,$C$7,Q$1,Q$2,$A210)</f>
        <v>0</v>
      </c>
      <c r="R210" s="32">
        <f ca="1">_xll.DBRW($C$1,$C$2,$C$3,$C$4,$C$6,$C$5,$C$7,R$1,R$2,$A210)</f>
        <v>0</v>
      </c>
      <c r="S210" s="32">
        <f ca="1">_xll.DBRW($C$1,$C$2,$C$3,$C$4,$C$6,$C$5,$C$7,S$1,S$2,$A210)</f>
        <v>0</v>
      </c>
      <c r="T210" s="32">
        <f ca="1">_xll.DBRW($C$1,$C$2,$C$3,$C$4,$C$6,$C$5,$C$7,T$1,T$2,$A210)</f>
        <v>0</v>
      </c>
      <c r="U210" s="32">
        <f ca="1">_xll.DBRW($C$1,$C$2,$C$3,$C$4,$C$6,$C$5,$C$7,U$1,U$2,$A210)</f>
        <v>0</v>
      </c>
      <c r="V210" s="32">
        <f ca="1">_xll.DBRW($C$1,$C$2,$C$3,$C$4,$C$6,$C$5,$C$7,V$1,V$2,$A210)</f>
        <v>0</v>
      </c>
      <c r="W210" s="32">
        <f ca="1">_xll.DBRW($C$1,$C$2,$C$3,$C$4,$C$6,$C$5,$C$7,W$1,W$2,$A210)</f>
        <v>0</v>
      </c>
      <c r="X210" s="32">
        <f ca="1">_xll.DBRW($C$1,$C$2,$C$3,$C$4,$C$6,$C$5,$C$7,X$1,X$2,$A210)</f>
        <v>0</v>
      </c>
      <c r="Y210" s="32">
        <f ca="1">_xll.DBRW($C$1,$C$2,$C$3,$C$4,$C$6,$C$5,$C$7,Y$1,Y$2,$A210)</f>
        <v>0</v>
      </c>
      <c r="Z210" s="32">
        <f ca="1">_xll.DBRW($C$1,$C$2,$C$3,$C$4,$C$6,$C$5,$C$7,Z$1,Z$2,$A210)</f>
        <v>0</v>
      </c>
      <c r="AA210" s="32">
        <f ca="1">_xll.DBRW($C$1,$C$2,$C$3,$C$4,$C$6,$C$5,$C$7,AA$1,AA$2,$A210)</f>
        <v>0</v>
      </c>
      <c r="AB210" s="32">
        <f ca="1">_xll.DBRW($C$1,$C$2,$C$3,$C$4,$C$6,$C$5,$C$7,AB$1,AB$2,$A210)</f>
        <v>0</v>
      </c>
      <c r="AC210" s="32">
        <f ca="1">_xll.DBRW($C$1,$C$2,$C$3,$C$4,$C$6,$C$5,$C$7,AC$1,AC$2,$A210)</f>
        <v>0</v>
      </c>
      <c r="AD210" s="32">
        <f ca="1">_xll.DBRW($C$1,$C$2,$C$3,$C$4,$C$6,$C$5,$C$7,AD$1,AD$2,$A210)</f>
        <v>0</v>
      </c>
      <c r="AE210" s="32">
        <f ca="1">_xll.DBRW($C$1,$C$2,$C$3,$C$4,$C$6,$C$5,$C$7,AE$1,AE$2,$A210)</f>
        <v>0</v>
      </c>
      <c r="AF210" s="32">
        <f ca="1">_xll.DBRW($C$1,$C$2,$C$3,$C$4,$C$6,$C$5,$C$7,AF$1,AF$2,$A210)</f>
        <v>0</v>
      </c>
      <c r="AG210" s="32">
        <f ca="1">_xll.DBRW($C$1,$C$2,$C$3,$C$4,$C$6,$C$5,$C$7,AG$1,AG$2,$A210)</f>
        <v>0</v>
      </c>
      <c r="AH210" s="32">
        <f ca="1">_xll.DBRW($C$1,$C$2,$C$3,$C$4,$C$6,$C$5,$C$7,AH$1,AH$2,$A210)</f>
        <v>0</v>
      </c>
      <c r="AI210" s="32">
        <f ca="1">_xll.DBRW($C$1,$C$2,$C$3,$C$4,$C$6,$C$5,$C$7,AI$1,AI$2,$A210)</f>
        <v>0</v>
      </c>
      <c r="AJ210" s="32">
        <f ca="1">_xll.DBRW($C$1,$C$2,$C$3,$C$4,$C$6,$C$5,$C$7,AJ$1,AJ$2,$A210)</f>
        <v>0</v>
      </c>
      <c r="AK210" s="32">
        <f ca="1">_xll.DBRW($C$1,$C$2,$C$3,$C$4,$C$6,$C$5,$C$7,AK$1,AK$2,$A210)</f>
        <v>0</v>
      </c>
      <c r="AL210" s="32">
        <f ca="1">_xll.DBRW($C$1,$C$2,$C$3,$C$4,$C$6,$C$5,$C$7,AL$1,AL$2,$A210)</f>
        <v>0</v>
      </c>
      <c r="AM210" s="32">
        <f ca="1">_xll.DBRW($C$1,$C$2,$C$3,$C$4,$C$6,$C$5,$C$7,AM$1,AM$2,$A210)</f>
        <v>0</v>
      </c>
      <c r="AN210" s="32">
        <f ca="1">_xll.DBRW($C$1,$C$2,$C$3,$C$4,$C$6,$C$5,$C$7,AN$1,AN$2,$A210)</f>
        <v>0</v>
      </c>
      <c r="AO210" s="32">
        <f ca="1">_xll.DBRW($C$1,$C$2,$C$3,$C$4,$C$6,$C$5,$C$7,AO$1,AO$2,$A210)</f>
        <v>0</v>
      </c>
      <c r="AP210" s="32">
        <f ca="1">_xll.DBRW($C$1,$C$2,$C$3,$C$4,$C$6,$C$5,$C$7,AP$1,AP$2,$A210)</f>
        <v>0</v>
      </c>
      <c r="AQ210" s="32">
        <f ca="1">_xll.DBRW($C$1,$C$2,$C$3,$C$4,$C$6,$C$5,$C$7,AQ$1,AQ$2,$A210)</f>
        <v>0</v>
      </c>
      <c r="AR210" s="32">
        <f ca="1">_xll.DBRW($C$1,$C$2,$C$3,$C$4,$C$6,$C$5,$C$7,AR$1,AR$2,$A210)</f>
        <v>0</v>
      </c>
      <c r="AS210" s="32">
        <f ca="1">_xll.DBRW($C$1,$C$2,$C$3,$C$4,$C$6,$C$5,$C$7,AS$1,AS$2,$A210)</f>
        <v>0</v>
      </c>
      <c r="AT210" s="32">
        <f ca="1">_xll.DBRW($C$1,$C$2,$C$3,$C$4,$C$6,$C$5,$C$7,AT$1,AT$2,$A210)</f>
        <v>0</v>
      </c>
      <c r="AU210" s="32">
        <f ca="1">_xll.DBRW($C$1,$C$2,$C$3,$C$4,$C$6,$C$5,$C$7,AU$1,AU$2,$A210)</f>
        <v>0</v>
      </c>
      <c r="AV210" s="32">
        <f ca="1">_xll.DBRW($C$1,$C$2,$C$3,$C$4,$C$6,$C$5,$C$7,AV$1,AV$2,$A210)</f>
        <v>0</v>
      </c>
      <c r="AW210" s="32">
        <f ca="1">_xll.DBRW($C$1,$C$2,$C$3,$C$4,$C$6,$C$5,$C$7,AW$1,AW$2,$A210)</f>
        <v>0</v>
      </c>
      <c r="AX210" s="32">
        <f ca="1">_xll.DBRW($C$1,$C$2,$C$3,$C$4,$C$6,$C$5,$C$7,AX$1,AX$2,$A210)</f>
        <v>0</v>
      </c>
      <c r="AY210" s="32">
        <f ca="1">_xll.DBRW($C$1,$C$2,$C$3,$C$4,$C$6,$C$5,$C$7,AY$1,AY$2,$A210)</f>
        <v>0</v>
      </c>
    </row>
    <row r="211" spans="1:51" ht="15.75" hidden="1" customHeight="1" outlineLevel="1">
      <c r="A211" s="1" t="s">
        <v>298</v>
      </c>
      <c r="C211" s="109"/>
      <c r="E211" s="9" t="str">
        <f ca="1">_xll.DBRW(Server&amp;"}ElementAttributes_Indicator",A211,"code_English")</f>
        <v>PL1160_XX - Vector Reconciliation (TPL11) - Gains/losses on disposal of tangible &amp; intangible fixed assets</v>
      </c>
      <c r="F211" s="32">
        <f ca="1">_xll.DBRW($C$1,$C$2,$C$3,$C$4,$C$6,$C$5,$C$7,F$1,F$2,$A211)</f>
        <v>0</v>
      </c>
      <c r="G211" s="32">
        <f ca="1">_xll.DBRW($C$1,$C$2,$C$3,$C$4,$C$6,$C$5,$C$7,G$1,G$2,$A211)</f>
        <v>0</v>
      </c>
      <c r="H211" s="32">
        <f ca="1">_xll.DBRW($C$1,$C$2,$C$3,$C$4,$C$6,$C$5,$C$7,H$1,H$2,$A211)</f>
        <v>0</v>
      </c>
      <c r="I211" s="32">
        <f ca="1">_xll.DBRW($C$1,$C$2,$C$3,$C$4,$C$6,$C$5,$C$7,I$1,I$2,$A211)</f>
        <v>0</v>
      </c>
      <c r="J211" s="32">
        <f ca="1">_xll.DBRW($C$1,$C$2,$C$3,$C$4,$C$6,$C$5,$C$7,J$1,J$2,$A211)</f>
        <v>0</v>
      </c>
      <c r="K211" s="32">
        <f ca="1">_xll.DBRW($C$1,$C$2,$C$3,$C$4,$C$6,$C$5,$C$7,K$1,K$2,$A211)</f>
        <v>0</v>
      </c>
      <c r="L211" s="32">
        <f ca="1">_xll.DBRW($C$1,$C$2,$C$3,$C$4,$C$6,$C$5,$C$7,L$1,L$2,$A211)</f>
        <v>0</v>
      </c>
      <c r="M211" s="32">
        <f ca="1">_xll.DBRW($C$1,$C$2,$C$3,$C$4,$C$6,$C$5,$C$7,M$1,M$2,$A211)</f>
        <v>0</v>
      </c>
      <c r="N211" s="32">
        <f ca="1">_xll.DBRW($C$1,$C$2,$C$3,$C$4,$C$6,$C$5,$C$7,N$1,N$2,$A211)</f>
        <v>0</v>
      </c>
      <c r="O211" s="32">
        <f ca="1">_xll.DBRW($C$1,$C$2,$C$3,$C$4,$C$6,$C$5,$C$7,O$1,O$2,$A211)</f>
        <v>0</v>
      </c>
      <c r="P211" s="32">
        <f ca="1">_xll.DBRW($C$1,$C$2,$C$3,$C$4,$C$6,$C$5,$C$7,P$1,P$2,$A211)</f>
        <v>0</v>
      </c>
      <c r="Q211" s="32">
        <f ca="1">_xll.DBRW($C$1,$C$2,$C$3,$C$4,$C$6,$C$5,$C$7,Q$1,Q$2,$A211)</f>
        <v>0</v>
      </c>
      <c r="R211" s="32">
        <f ca="1">_xll.DBRW($C$1,$C$2,$C$3,$C$4,$C$6,$C$5,$C$7,R$1,R$2,$A211)</f>
        <v>0</v>
      </c>
      <c r="S211" s="32">
        <f ca="1">_xll.DBRW($C$1,$C$2,$C$3,$C$4,$C$6,$C$5,$C$7,S$1,S$2,$A211)</f>
        <v>0</v>
      </c>
      <c r="T211" s="32">
        <f ca="1">_xll.DBRW($C$1,$C$2,$C$3,$C$4,$C$6,$C$5,$C$7,T$1,T$2,$A211)</f>
        <v>0</v>
      </c>
      <c r="U211" s="32">
        <f ca="1">_xll.DBRW($C$1,$C$2,$C$3,$C$4,$C$6,$C$5,$C$7,U$1,U$2,$A211)</f>
        <v>0</v>
      </c>
      <c r="V211" s="32">
        <f ca="1">_xll.DBRW($C$1,$C$2,$C$3,$C$4,$C$6,$C$5,$C$7,V$1,V$2,$A211)</f>
        <v>0</v>
      </c>
      <c r="W211" s="32">
        <f ca="1">_xll.DBRW($C$1,$C$2,$C$3,$C$4,$C$6,$C$5,$C$7,W$1,W$2,$A211)</f>
        <v>0</v>
      </c>
      <c r="X211" s="32">
        <f ca="1">_xll.DBRW($C$1,$C$2,$C$3,$C$4,$C$6,$C$5,$C$7,X$1,X$2,$A211)</f>
        <v>0</v>
      </c>
      <c r="Y211" s="32">
        <f ca="1">_xll.DBRW($C$1,$C$2,$C$3,$C$4,$C$6,$C$5,$C$7,Y$1,Y$2,$A211)</f>
        <v>0</v>
      </c>
      <c r="Z211" s="32">
        <f ca="1">_xll.DBRW($C$1,$C$2,$C$3,$C$4,$C$6,$C$5,$C$7,Z$1,Z$2,$A211)</f>
        <v>0</v>
      </c>
      <c r="AA211" s="32">
        <f ca="1">_xll.DBRW($C$1,$C$2,$C$3,$C$4,$C$6,$C$5,$C$7,AA$1,AA$2,$A211)</f>
        <v>0</v>
      </c>
      <c r="AB211" s="32">
        <f ca="1">_xll.DBRW($C$1,$C$2,$C$3,$C$4,$C$6,$C$5,$C$7,AB$1,AB$2,$A211)</f>
        <v>0</v>
      </c>
      <c r="AC211" s="32">
        <f ca="1">_xll.DBRW($C$1,$C$2,$C$3,$C$4,$C$6,$C$5,$C$7,AC$1,AC$2,$A211)</f>
        <v>0</v>
      </c>
      <c r="AD211" s="32">
        <f ca="1">_xll.DBRW($C$1,$C$2,$C$3,$C$4,$C$6,$C$5,$C$7,AD$1,AD$2,$A211)</f>
        <v>0</v>
      </c>
      <c r="AE211" s="32">
        <f ca="1">_xll.DBRW($C$1,$C$2,$C$3,$C$4,$C$6,$C$5,$C$7,AE$1,AE$2,$A211)</f>
        <v>0</v>
      </c>
      <c r="AF211" s="32">
        <f ca="1">_xll.DBRW($C$1,$C$2,$C$3,$C$4,$C$6,$C$5,$C$7,AF$1,AF$2,$A211)</f>
        <v>0</v>
      </c>
      <c r="AG211" s="32">
        <f ca="1">_xll.DBRW($C$1,$C$2,$C$3,$C$4,$C$6,$C$5,$C$7,AG$1,AG$2,$A211)</f>
        <v>0</v>
      </c>
      <c r="AH211" s="32">
        <f ca="1">_xll.DBRW($C$1,$C$2,$C$3,$C$4,$C$6,$C$5,$C$7,AH$1,AH$2,$A211)</f>
        <v>0</v>
      </c>
      <c r="AI211" s="32">
        <f ca="1">_xll.DBRW($C$1,$C$2,$C$3,$C$4,$C$6,$C$5,$C$7,AI$1,AI$2,$A211)</f>
        <v>0</v>
      </c>
      <c r="AJ211" s="32">
        <f ca="1">_xll.DBRW($C$1,$C$2,$C$3,$C$4,$C$6,$C$5,$C$7,AJ$1,AJ$2,$A211)</f>
        <v>0</v>
      </c>
      <c r="AK211" s="32">
        <f ca="1">_xll.DBRW($C$1,$C$2,$C$3,$C$4,$C$6,$C$5,$C$7,AK$1,AK$2,$A211)</f>
        <v>0</v>
      </c>
      <c r="AL211" s="32">
        <f ca="1">_xll.DBRW($C$1,$C$2,$C$3,$C$4,$C$6,$C$5,$C$7,AL$1,AL$2,$A211)</f>
        <v>0</v>
      </c>
      <c r="AM211" s="32">
        <f ca="1">_xll.DBRW($C$1,$C$2,$C$3,$C$4,$C$6,$C$5,$C$7,AM$1,AM$2,$A211)</f>
        <v>0</v>
      </c>
      <c r="AN211" s="32">
        <f ca="1">_xll.DBRW($C$1,$C$2,$C$3,$C$4,$C$6,$C$5,$C$7,AN$1,AN$2,$A211)</f>
        <v>0</v>
      </c>
      <c r="AO211" s="32">
        <f ca="1">_xll.DBRW($C$1,$C$2,$C$3,$C$4,$C$6,$C$5,$C$7,AO$1,AO$2,$A211)</f>
        <v>0</v>
      </c>
      <c r="AP211" s="32">
        <f ca="1">_xll.DBRW($C$1,$C$2,$C$3,$C$4,$C$6,$C$5,$C$7,AP$1,AP$2,$A211)</f>
        <v>0</v>
      </c>
      <c r="AQ211" s="32">
        <f ca="1">_xll.DBRW($C$1,$C$2,$C$3,$C$4,$C$6,$C$5,$C$7,AQ$1,AQ$2,$A211)</f>
        <v>0</v>
      </c>
      <c r="AR211" s="32">
        <f ca="1">_xll.DBRW($C$1,$C$2,$C$3,$C$4,$C$6,$C$5,$C$7,AR$1,AR$2,$A211)</f>
        <v>0</v>
      </c>
      <c r="AS211" s="32">
        <f ca="1">_xll.DBRW($C$1,$C$2,$C$3,$C$4,$C$6,$C$5,$C$7,AS$1,AS$2,$A211)</f>
        <v>0</v>
      </c>
      <c r="AT211" s="32">
        <f ca="1">_xll.DBRW($C$1,$C$2,$C$3,$C$4,$C$6,$C$5,$C$7,AT$1,AT$2,$A211)</f>
        <v>0</v>
      </c>
      <c r="AU211" s="32">
        <f ca="1">_xll.DBRW($C$1,$C$2,$C$3,$C$4,$C$6,$C$5,$C$7,AU$1,AU$2,$A211)</f>
        <v>0</v>
      </c>
      <c r="AV211" s="32">
        <f ca="1">_xll.DBRW($C$1,$C$2,$C$3,$C$4,$C$6,$C$5,$C$7,AV$1,AV$2,$A211)</f>
        <v>0</v>
      </c>
      <c r="AW211" s="32">
        <f ca="1">_xll.DBRW($C$1,$C$2,$C$3,$C$4,$C$6,$C$5,$C$7,AW$1,AW$2,$A211)</f>
        <v>0</v>
      </c>
      <c r="AX211" s="32">
        <f ca="1">_xll.DBRW($C$1,$C$2,$C$3,$C$4,$C$6,$C$5,$C$7,AX$1,AX$2,$A211)</f>
        <v>0</v>
      </c>
      <c r="AY211" s="32">
        <f ca="1">_xll.DBRW($C$1,$C$2,$C$3,$C$4,$C$6,$C$5,$C$7,AY$1,AY$2,$A211)</f>
        <v>0</v>
      </c>
    </row>
    <row r="212" spans="1:51" ht="15.75" hidden="1" customHeight="1" outlineLevel="1">
      <c r="A212" s="1" t="s">
        <v>299</v>
      </c>
      <c r="C212" s="109"/>
      <c r="E212" s="9" t="str">
        <f ca="1">_xll.DBRW(Server&amp;"}ElementAttributes_Indicator",A212,"code_English")</f>
        <v>PL1161_XX - Vector Reconciliation (TPL11) - Gains/losses on write-off of contract costs</v>
      </c>
      <c r="F212" s="32">
        <f ca="1">_xll.DBRW($C$1,$C$2,$C$3,$C$4,$C$6,$C$5,$C$7,F$1,F$2,$A212)</f>
        <v>0</v>
      </c>
      <c r="G212" s="32">
        <f ca="1">_xll.DBRW($C$1,$C$2,$C$3,$C$4,$C$6,$C$5,$C$7,G$1,G$2,$A212)</f>
        <v>0</v>
      </c>
      <c r="H212" s="32">
        <f ca="1">_xll.DBRW($C$1,$C$2,$C$3,$C$4,$C$6,$C$5,$C$7,H$1,H$2,$A212)</f>
        <v>0</v>
      </c>
      <c r="I212" s="32">
        <f ca="1">_xll.DBRW($C$1,$C$2,$C$3,$C$4,$C$6,$C$5,$C$7,I$1,I$2,$A212)</f>
        <v>0</v>
      </c>
      <c r="J212" s="32">
        <f ca="1">_xll.DBRW($C$1,$C$2,$C$3,$C$4,$C$6,$C$5,$C$7,J$1,J$2,$A212)</f>
        <v>0</v>
      </c>
      <c r="K212" s="32">
        <f ca="1">_xll.DBRW($C$1,$C$2,$C$3,$C$4,$C$6,$C$5,$C$7,K$1,K$2,$A212)</f>
        <v>0</v>
      </c>
      <c r="L212" s="32">
        <f ca="1">_xll.DBRW($C$1,$C$2,$C$3,$C$4,$C$6,$C$5,$C$7,L$1,L$2,$A212)</f>
        <v>0</v>
      </c>
      <c r="M212" s="32">
        <f ca="1">_xll.DBRW($C$1,$C$2,$C$3,$C$4,$C$6,$C$5,$C$7,M$1,M$2,$A212)</f>
        <v>0</v>
      </c>
      <c r="N212" s="32">
        <f ca="1">_xll.DBRW($C$1,$C$2,$C$3,$C$4,$C$6,$C$5,$C$7,N$1,N$2,$A212)</f>
        <v>0</v>
      </c>
      <c r="O212" s="32">
        <f ca="1">_xll.DBRW($C$1,$C$2,$C$3,$C$4,$C$6,$C$5,$C$7,O$1,O$2,$A212)</f>
        <v>0</v>
      </c>
      <c r="P212" s="32">
        <f ca="1">_xll.DBRW($C$1,$C$2,$C$3,$C$4,$C$6,$C$5,$C$7,P$1,P$2,$A212)</f>
        <v>0</v>
      </c>
      <c r="Q212" s="32">
        <f ca="1">_xll.DBRW($C$1,$C$2,$C$3,$C$4,$C$6,$C$5,$C$7,Q$1,Q$2,$A212)</f>
        <v>0</v>
      </c>
      <c r="R212" s="32">
        <f ca="1">_xll.DBRW($C$1,$C$2,$C$3,$C$4,$C$6,$C$5,$C$7,R$1,R$2,$A212)</f>
        <v>0</v>
      </c>
      <c r="S212" s="32">
        <f ca="1">_xll.DBRW($C$1,$C$2,$C$3,$C$4,$C$6,$C$5,$C$7,S$1,S$2,$A212)</f>
        <v>0</v>
      </c>
      <c r="T212" s="32">
        <f ca="1">_xll.DBRW($C$1,$C$2,$C$3,$C$4,$C$6,$C$5,$C$7,T$1,T$2,$A212)</f>
        <v>0</v>
      </c>
      <c r="U212" s="32">
        <f ca="1">_xll.DBRW($C$1,$C$2,$C$3,$C$4,$C$6,$C$5,$C$7,U$1,U$2,$A212)</f>
        <v>0</v>
      </c>
      <c r="V212" s="32">
        <f ca="1">_xll.DBRW($C$1,$C$2,$C$3,$C$4,$C$6,$C$5,$C$7,V$1,V$2,$A212)</f>
        <v>0</v>
      </c>
      <c r="W212" s="32">
        <f ca="1">_xll.DBRW($C$1,$C$2,$C$3,$C$4,$C$6,$C$5,$C$7,W$1,W$2,$A212)</f>
        <v>0</v>
      </c>
      <c r="X212" s="32">
        <f ca="1">_xll.DBRW($C$1,$C$2,$C$3,$C$4,$C$6,$C$5,$C$7,X$1,X$2,$A212)</f>
        <v>0</v>
      </c>
      <c r="Y212" s="32">
        <f ca="1">_xll.DBRW($C$1,$C$2,$C$3,$C$4,$C$6,$C$5,$C$7,Y$1,Y$2,$A212)</f>
        <v>0</v>
      </c>
      <c r="Z212" s="32">
        <f ca="1">_xll.DBRW($C$1,$C$2,$C$3,$C$4,$C$6,$C$5,$C$7,Z$1,Z$2,$A212)</f>
        <v>0</v>
      </c>
      <c r="AA212" s="32">
        <f ca="1">_xll.DBRW($C$1,$C$2,$C$3,$C$4,$C$6,$C$5,$C$7,AA$1,AA$2,$A212)</f>
        <v>0</v>
      </c>
      <c r="AB212" s="32">
        <f ca="1">_xll.DBRW($C$1,$C$2,$C$3,$C$4,$C$6,$C$5,$C$7,AB$1,AB$2,$A212)</f>
        <v>0</v>
      </c>
      <c r="AC212" s="32">
        <f ca="1">_xll.DBRW($C$1,$C$2,$C$3,$C$4,$C$6,$C$5,$C$7,AC$1,AC$2,$A212)</f>
        <v>0</v>
      </c>
      <c r="AD212" s="32">
        <f ca="1">_xll.DBRW($C$1,$C$2,$C$3,$C$4,$C$6,$C$5,$C$7,AD$1,AD$2,$A212)</f>
        <v>0</v>
      </c>
      <c r="AE212" s="32">
        <f ca="1">_xll.DBRW($C$1,$C$2,$C$3,$C$4,$C$6,$C$5,$C$7,AE$1,AE$2,$A212)</f>
        <v>0</v>
      </c>
      <c r="AF212" s="32">
        <f ca="1">_xll.DBRW($C$1,$C$2,$C$3,$C$4,$C$6,$C$5,$C$7,AF$1,AF$2,$A212)</f>
        <v>0</v>
      </c>
      <c r="AG212" s="32">
        <f ca="1">_xll.DBRW($C$1,$C$2,$C$3,$C$4,$C$6,$C$5,$C$7,AG$1,AG$2,$A212)</f>
        <v>0</v>
      </c>
      <c r="AH212" s="32">
        <f ca="1">_xll.DBRW($C$1,$C$2,$C$3,$C$4,$C$6,$C$5,$C$7,AH$1,AH$2,$A212)</f>
        <v>0</v>
      </c>
      <c r="AI212" s="32">
        <f ca="1">_xll.DBRW($C$1,$C$2,$C$3,$C$4,$C$6,$C$5,$C$7,AI$1,AI$2,$A212)</f>
        <v>0</v>
      </c>
      <c r="AJ212" s="32">
        <f ca="1">_xll.DBRW($C$1,$C$2,$C$3,$C$4,$C$6,$C$5,$C$7,AJ$1,AJ$2,$A212)</f>
        <v>0</v>
      </c>
      <c r="AK212" s="32">
        <f ca="1">_xll.DBRW($C$1,$C$2,$C$3,$C$4,$C$6,$C$5,$C$7,AK$1,AK$2,$A212)</f>
        <v>0</v>
      </c>
      <c r="AL212" s="32">
        <f ca="1">_xll.DBRW($C$1,$C$2,$C$3,$C$4,$C$6,$C$5,$C$7,AL$1,AL$2,$A212)</f>
        <v>0</v>
      </c>
      <c r="AM212" s="32">
        <f ca="1">_xll.DBRW($C$1,$C$2,$C$3,$C$4,$C$6,$C$5,$C$7,AM$1,AM$2,$A212)</f>
        <v>0</v>
      </c>
      <c r="AN212" s="32">
        <f ca="1">_xll.DBRW($C$1,$C$2,$C$3,$C$4,$C$6,$C$5,$C$7,AN$1,AN$2,$A212)</f>
        <v>0</v>
      </c>
      <c r="AO212" s="32">
        <f ca="1">_xll.DBRW($C$1,$C$2,$C$3,$C$4,$C$6,$C$5,$C$7,AO$1,AO$2,$A212)</f>
        <v>0</v>
      </c>
      <c r="AP212" s="32">
        <f ca="1">_xll.DBRW($C$1,$C$2,$C$3,$C$4,$C$6,$C$5,$C$7,AP$1,AP$2,$A212)</f>
        <v>0</v>
      </c>
      <c r="AQ212" s="32">
        <f ca="1">_xll.DBRW($C$1,$C$2,$C$3,$C$4,$C$6,$C$5,$C$7,AQ$1,AQ$2,$A212)</f>
        <v>0</v>
      </c>
      <c r="AR212" s="32">
        <f ca="1">_xll.DBRW($C$1,$C$2,$C$3,$C$4,$C$6,$C$5,$C$7,AR$1,AR$2,$A212)</f>
        <v>0</v>
      </c>
      <c r="AS212" s="32">
        <f ca="1">_xll.DBRW($C$1,$C$2,$C$3,$C$4,$C$6,$C$5,$C$7,AS$1,AS$2,$A212)</f>
        <v>0</v>
      </c>
      <c r="AT212" s="32">
        <f ca="1">_xll.DBRW($C$1,$C$2,$C$3,$C$4,$C$6,$C$5,$C$7,AT$1,AT$2,$A212)</f>
        <v>0</v>
      </c>
      <c r="AU212" s="32">
        <f ca="1">_xll.DBRW($C$1,$C$2,$C$3,$C$4,$C$6,$C$5,$C$7,AU$1,AU$2,$A212)</f>
        <v>0</v>
      </c>
      <c r="AV212" s="32">
        <f ca="1">_xll.DBRW($C$1,$C$2,$C$3,$C$4,$C$6,$C$5,$C$7,AV$1,AV$2,$A212)</f>
        <v>0</v>
      </c>
      <c r="AW212" s="32">
        <f ca="1">_xll.DBRW($C$1,$C$2,$C$3,$C$4,$C$6,$C$5,$C$7,AW$1,AW$2,$A212)</f>
        <v>0</v>
      </c>
      <c r="AX212" s="32">
        <f ca="1">_xll.DBRW($C$1,$C$2,$C$3,$C$4,$C$6,$C$5,$C$7,AX$1,AX$2,$A212)</f>
        <v>0</v>
      </c>
      <c r="AY212" s="32">
        <f ca="1">_xll.DBRW($C$1,$C$2,$C$3,$C$4,$C$6,$C$5,$C$7,AY$1,AY$2,$A212)</f>
        <v>0</v>
      </c>
    </row>
    <row r="213" spans="1:51" ht="15.75" hidden="1" customHeight="1" outlineLevel="1">
      <c r="A213" s="1" t="s">
        <v>300</v>
      </c>
      <c r="C213" s="109"/>
      <c r="E213" s="9" t="str">
        <f ca="1">_xll.DBRW(Server&amp;"}ElementAttributes_Indicator",A213,"code_English")</f>
        <v>PL1162_XX - Réconciliation Vector (TPL11) - COS - Gains/losses on disposal of right-of-use</v>
      </c>
      <c r="F213" s="32">
        <f ca="1">_xll.DBRW($C$1,$C$2,$C$3,$C$4,$C$6,$C$5,$C$7,F$1,F$2,$A213)</f>
        <v>0</v>
      </c>
      <c r="G213" s="32">
        <f ca="1">_xll.DBRW($C$1,$C$2,$C$3,$C$4,$C$6,$C$5,$C$7,G$1,G$2,$A213)</f>
        <v>0</v>
      </c>
      <c r="H213" s="32">
        <f ca="1">_xll.DBRW($C$1,$C$2,$C$3,$C$4,$C$6,$C$5,$C$7,H$1,H$2,$A213)</f>
        <v>0</v>
      </c>
      <c r="I213" s="32">
        <f ca="1">_xll.DBRW($C$1,$C$2,$C$3,$C$4,$C$6,$C$5,$C$7,I$1,I$2,$A213)</f>
        <v>0</v>
      </c>
      <c r="J213" s="32">
        <f ca="1">_xll.DBRW($C$1,$C$2,$C$3,$C$4,$C$6,$C$5,$C$7,J$1,J$2,$A213)</f>
        <v>0</v>
      </c>
      <c r="K213" s="32">
        <f ca="1">_xll.DBRW($C$1,$C$2,$C$3,$C$4,$C$6,$C$5,$C$7,K$1,K$2,$A213)</f>
        <v>0</v>
      </c>
      <c r="L213" s="32">
        <f ca="1">_xll.DBRW($C$1,$C$2,$C$3,$C$4,$C$6,$C$5,$C$7,L$1,L$2,$A213)</f>
        <v>0</v>
      </c>
      <c r="M213" s="32">
        <f ca="1">_xll.DBRW($C$1,$C$2,$C$3,$C$4,$C$6,$C$5,$C$7,M$1,M$2,$A213)</f>
        <v>0</v>
      </c>
      <c r="N213" s="32">
        <f ca="1">_xll.DBRW($C$1,$C$2,$C$3,$C$4,$C$6,$C$5,$C$7,N$1,N$2,$A213)</f>
        <v>0</v>
      </c>
      <c r="O213" s="32">
        <f ca="1">_xll.DBRW($C$1,$C$2,$C$3,$C$4,$C$6,$C$5,$C$7,O$1,O$2,$A213)</f>
        <v>0</v>
      </c>
      <c r="P213" s="32">
        <f ca="1">_xll.DBRW($C$1,$C$2,$C$3,$C$4,$C$6,$C$5,$C$7,P$1,P$2,$A213)</f>
        <v>0</v>
      </c>
      <c r="Q213" s="32">
        <f ca="1">_xll.DBRW($C$1,$C$2,$C$3,$C$4,$C$6,$C$5,$C$7,Q$1,Q$2,$A213)</f>
        <v>0</v>
      </c>
      <c r="R213" s="32">
        <f ca="1">_xll.DBRW($C$1,$C$2,$C$3,$C$4,$C$6,$C$5,$C$7,R$1,R$2,$A213)</f>
        <v>0</v>
      </c>
      <c r="S213" s="32">
        <f ca="1">_xll.DBRW($C$1,$C$2,$C$3,$C$4,$C$6,$C$5,$C$7,S$1,S$2,$A213)</f>
        <v>0</v>
      </c>
      <c r="T213" s="32">
        <f ca="1">_xll.DBRW($C$1,$C$2,$C$3,$C$4,$C$6,$C$5,$C$7,T$1,T$2,$A213)</f>
        <v>0</v>
      </c>
      <c r="U213" s="32">
        <f ca="1">_xll.DBRW($C$1,$C$2,$C$3,$C$4,$C$6,$C$5,$C$7,U$1,U$2,$A213)</f>
        <v>0</v>
      </c>
      <c r="V213" s="32">
        <f ca="1">_xll.DBRW($C$1,$C$2,$C$3,$C$4,$C$6,$C$5,$C$7,V$1,V$2,$A213)</f>
        <v>0</v>
      </c>
      <c r="W213" s="32">
        <f ca="1">_xll.DBRW($C$1,$C$2,$C$3,$C$4,$C$6,$C$5,$C$7,W$1,W$2,$A213)</f>
        <v>0</v>
      </c>
      <c r="X213" s="32">
        <f ca="1">_xll.DBRW($C$1,$C$2,$C$3,$C$4,$C$6,$C$5,$C$7,X$1,X$2,$A213)</f>
        <v>0</v>
      </c>
      <c r="Y213" s="32">
        <f ca="1">_xll.DBRW($C$1,$C$2,$C$3,$C$4,$C$6,$C$5,$C$7,Y$1,Y$2,$A213)</f>
        <v>0</v>
      </c>
      <c r="Z213" s="32">
        <f ca="1">_xll.DBRW($C$1,$C$2,$C$3,$C$4,$C$6,$C$5,$C$7,Z$1,Z$2,$A213)</f>
        <v>0</v>
      </c>
      <c r="AA213" s="32">
        <f ca="1">_xll.DBRW($C$1,$C$2,$C$3,$C$4,$C$6,$C$5,$C$7,AA$1,AA$2,$A213)</f>
        <v>0</v>
      </c>
      <c r="AB213" s="32">
        <f ca="1">_xll.DBRW($C$1,$C$2,$C$3,$C$4,$C$6,$C$5,$C$7,AB$1,AB$2,$A213)</f>
        <v>0</v>
      </c>
      <c r="AC213" s="32">
        <f ca="1">_xll.DBRW($C$1,$C$2,$C$3,$C$4,$C$6,$C$5,$C$7,AC$1,AC$2,$A213)</f>
        <v>0</v>
      </c>
      <c r="AD213" s="32">
        <f ca="1">_xll.DBRW($C$1,$C$2,$C$3,$C$4,$C$6,$C$5,$C$7,AD$1,AD$2,$A213)</f>
        <v>0</v>
      </c>
      <c r="AE213" s="32">
        <f ca="1">_xll.DBRW($C$1,$C$2,$C$3,$C$4,$C$6,$C$5,$C$7,AE$1,AE$2,$A213)</f>
        <v>0</v>
      </c>
      <c r="AF213" s="32">
        <f ca="1">_xll.DBRW($C$1,$C$2,$C$3,$C$4,$C$6,$C$5,$C$7,AF$1,AF$2,$A213)</f>
        <v>0</v>
      </c>
      <c r="AG213" s="32">
        <f ca="1">_xll.DBRW($C$1,$C$2,$C$3,$C$4,$C$6,$C$5,$C$7,AG$1,AG$2,$A213)</f>
        <v>0</v>
      </c>
      <c r="AH213" s="32">
        <f ca="1">_xll.DBRW($C$1,$C$2,$C$3,$C$4,$C$6,$C$5,$C$7,AH$1,AH$2,$A213)</f>
        <v>0</v>
      </c>
      <c r="AI213" s="32">
        <f ca="1">_xll.DBRW($C$1,$C$2,$C$3,$C$4,$C$6,$C$5,$C$7,AI$1,AI$2,$A213)</f>
        <v>0</v>
      </c>
      <c r="AJ213" s="32">
        <f ca="1">_xll.DBRW($C$1,$C$2,$C$3,$C$4,$C$6,$C$5,$C$7,AJ$1,AJ$2,$A213)</f>
        <v>0</v>
      </c>
      <c r="AK213" s="32">
        <f ca="1">_xll.DBRW($C$1,$C$2,$C$3,$C$4,$C$6,$C$5,$C$7,AK$1,AK$2,$A213)</f>
        <v>0</v>
      </c>
      <c r="AL213" s="32">
        <f ca="1">_xll.DBRW($C$1,$C$2,$C$3,$C$4,$C$6,$C$5,$C$7,AL$1,AL$2,$A213)</f>
        <v>0</v>
      </c>
      <c r="AM213" s="32">
        <f ca="1">_xll.DBRW($C$1,$C$2,$C$3,$C$4,$C$6,$C$5,$C$7,AM$1,AM$2,$A213)</f>
        <v>0</v>
      </c>
      <c r="AN213" s="32">
        <f ca="1">_xll.DBRW($C$1,$C$2,$C$3,$C$4,$C$6,$C$5,$C$7,AN$1,AN$2,$A213)</f>
        <v>0</v>
      </c>
      <c r="AO213" s="32">
        <f ca="1">_xll.DBRW($C$1,$C$2,$C$3,$C$4,$C$6,$C$5,$C$7,AO$1,AO$2,$A213)</f>
        <v>0</v>
      </c>
      <c r="AP213" s="32">
        <f ca="1">_xll.DBRW($C$1,$C$2,$C$3,$C$4,$C$6,$C$5,$C$7,AP$1,AP$2,$A213)</f>
        <v>0</v>
      </c>
      <c r="AQ213" s="32">
        <f ca="1">_xll.DBRW($C$1,$C$2,$C$3,$C$4,$C$6,$C$5,$C$7,AQ$1,AQ$2,$A213)</f>
        <v>0</v>
      </c>
      <c r="AR213" s="32">
        <f ca="1">_xll.DBRW($C$1,$C$2,$C$3,$C$4,$C$6,$C$5,$C$7,AR$1,AR$2,$A213)</f>
        <v>0</v>
      </c>
      <c r="AS213" s="32">
        <f ca="1">_xll.DBRW($C$1,$C$2,$C$3,$C$4,$C$6,$C$5,$C$7,AS$1,AS$2,$A213)</f>
        <v>0</v>
      </c>
      <c r="AT213" s="32">
        <f ca="1">_xll.DBRW($C$1,$C$2,$C$3,$C$4,$C$6,$C$5,$C$7,AT$1,AT$2,$A213)</f>
        <v>0</v>
      </c>
      <c r="AU213" s="32">
        <f ca="1">_xll.DBRW($C$1,$C$2,$C$3,$C$4,$C$6,$C$5,$C$7,AU$1,AU$2,$A213)</f>
        <v>0</v>
      </c>
      <c r="AV213" s="32">
        <f ca="1">_xll.DBRW($C$1,$C$2,$C$3,$C$4,$C$6,$C$5,$C$7,AV$1,AV$2,$A213)</f>
        <v>0</v>
      </c>
      <c r="AW213" s="32">
        <f ca="1">_xll.DBRW($C$1,$C$2,$C$3,$C$4,$C$6,$C$5,$C$7,AW$1,AW$2,$A213)</f>
        <v>0</v>
      </c>
      <c r="AX213" s="32">
        <f ca="1">_xll.DBRW($C$1,$C$2,$C$3,$C$4,$C$6,$C$5,$C$7,AX$1,AX$2,$A213)</f>
        <v>0</v>
      </c>
      <c r="AY213" s="32">
        <f ca="1">_xll.DBRW($C$1,$C$2,$C$3,$C$4,$C$6,$C$5,$C$7,AY$1,AY$2,$A213)</f>
        <v>0</v>
      </c>
    </row>
    <row r="214" spans="1:51" ht="15.75" hidden="1" customHeight="1" outlineLevel="1">
      <c r="A214" s="1" t="s">
        <v>301</v>
      </c>
      <c r="C214" s="109"/>
      <c r="E214" s="9" t="str">
        <f ca="1">_xll.DBRW(Server&amp;"}ElementAttributes_Indicator",A214,"code_English")</f>
        <v>PL1165_XX - Vector Reconciliation (TPL11) - Restructuring costs</v>
      </c>
      <c r="F214" s="32">
        <f ca="1">_xll.DBRW($C$1,$C$2,$C$3,$C$4,$C$6,$C$5,$C$7,F$1,F$2,$A214)</f>
        <v>0</v>
      </c>
      <c r="G214" s="32">
        <f ca="1">_xll.DBRW($C$1,$C$2,$C$3,$C$4,$C$6,$C$5,$C$7,G$1,G$2,$A214)</f>
        <v>0</v>
      </c>
      <c r="H214" s="32">
        <f ca="1">_xll.DBRW($C$1,$C$2,$C$3,$C$4,$C$6,$C$5,$C$7,H$1,H$2,$A214)</f>
        <v>0</v>
      </c>
      <c r="I214" s="32">
        <f ca="1">_xll.DBRW($C$1,$C$2,$C$3,$C$4,$C$6,$C$5,$C$7,I$1,I$2,$A214)</f>
        <v>0</v>
      </c>
      <c r="J214" s="32">
        <f ca="1">_xll.DBRW($C$1,$C$2,$C$3,$C$4,$C$6,$C$5,$C$7,J$1,J$2,$A214)</f>
        <v>0</v>
      </c>
      <c r="K214" s="32">
        <f ca="1">_xll.DBRW($C$1,$C$2,$C$3,$C$4,$C$6,$C$5,$C$7,K$1,K$2,$A214)</f>
        <v>0</v>
      </c>
      <c r="L214" s="32">
        <f ca="1">_xll.DBRW($C$1,$C$2,$C$3,$C$4,$C$6,$C$5,$C$7,L$1,L$2,$A214)</f>
        <v>0</v>
      </c>
      <c r="M214" s="32">
        <f ca="1">_xll.DBRW($C$1,$C$2,$C$3,$C$4,$C$6,$C$5,$C$7,M$1,M$2,$A214)</f>
        <v>0</v>
      </c>
      <c r="N214" s="32">
        <f ca="1">_xll.DBRW($C$1,$C$2,$C$3,$C$4,$C$6,$C$5,$C$7,N$1,N$2,$A214)</f>
        <v>0</v>
      </c>
      <c r="O214" s="32">
        <f ca="1">_xll.DBRW($C$1,$C$2,$C$3,$C$4,$C$6,$C$5,$C$7,O$1,O$2,$A214)</f>
        <v>0</v>
      </c>
      <c r="P214" s="32">
        <f ca="1">_xll.DBRW($C$1,$C$2,$C$3,$C$4,$C$6,$C$5,$C$7,P$1,P$2,$A214)</f>
        <v>0</v>
      </c>
      <c r="Q214" s="32">
        <f ca="1">_xll.DBRW($C$1,$C$2,$C$3,$C$4,$C$6,$C$5,$C$7,Q$1,Q$2,$A214)</f>
        <v>0</v>
      </c>
      <c r="R214" s="32">
        <f ca="1">_xll.DBRW($C$1,$C$2,$C$3,$C$4,$C$6,$C$5,$C$7,R$1,R$2,$A214)</f>
        <v>0</v>
      </c>
      <c r="S214" s="32">
        <f ca="1">_xll.DBRW($C$1,$C$2,$C$3,$C$4,$C$6,$C$5,$C$7,S$1,S$2,$A214)</f>
        <v>0</v>
      </c>
      <c r="T214" s="32">
        <f ca="1">_xll.DBRW($C$1,$C$2,$C$3,$C$4,$C$6,$C$5,$C$7,T$1,T$2,$A214)</f>
        <v>0</v>
      </c>
      <c r="U214" s="32">
        <f ca="1">_xll.DBRW($C$1,$C$2,$C$3,$C$4,$C$6,$C$5,$C$7,U$1,U$2,$A214)</f>
        <v>0</v>
      </c>
      <c r="V214" s="32">
        <f ca="1">_xll.DBRW($C$1,$C$2,$C$3,$C$4,$C$6,$C$5,$C$7,V$1,V$2,$A214)</f>
        <v>0</v>
      </c>
      <c r="W214" s="32">
        <f ca="1">_xll.DBRW($C$1,$C$2,$C$3,$C$4,$C$6,$C$5,$C$7,W$1,W$2,$A214)</f>
        <v>0</v>
      </c>
      <c r="X214" s="32">
        <f ca="1">_xll.DBRW($C$1,$C$2,$C$3,$C$4,$C$6,$C$5,$C$7,X$1,X$2,$A214)</f>
        <v>0</v>
      </c>
      <c r="Y214" s="32">
        <f ca="1">_xll.DBRW($C$1,$C$2,$C$3,$C$4,$C$6,$C$5,$C$7,Y$1,Y$2,$A214)</f>
        <v>0</v>
      </c>
      <c r="Z214" s="32">
        <f ca="1">_xll.DBRW($C$1,$C$2,$C$3,$C$4,$C$6,$C$5,$C$7,Z$1,Z$2,$A214)</f>
        <v>0</v>
      </c>
      <c r="AA214" s="32">
        <f ca="1">_xll.DBRW($C$1,$C$2,$C$3,$C$4,$C$6,$C$5,$C$7,AA$1,AA$2,$A214)</f>
        <v>0</v>
      </c>
      <c r="AB214" s="32">
        <f ca="1">_xll.DBRW($C$1,$C$2,$C$3,$C$4,$C$6,$C$5,$C$7,AB$1,AB$2,$A214)</f>
        <v>0</v>
      </c>
      <c r="AC214" s="32">
        <f ca="1">_xll.DBRW($C$1,$C$2,$C$3,$C$4,$C$6,$C$5,$C$7,AC$1,AC$2,$A214)</f>
        <v>0</v>
      </c>
      <c r="AD214" s="32">
        <f ca="1">_xll.DBRW($C$1,$C$2,$C$3,$C$4,$C$6,$C$5,$C$7,AD$1,AD$2,$A214)</f>
        <v>0</v>
      </c>
      <c r="AE214" s="32">
        <f ca="1">_xll.DBRW($C$1,$C$2,$C$3,$C$4,$C$6,$C$5,$C$7,AE$1,AE$2,$A214)</f>
        <v>0</v>
      </c>
      <c r="AF214" s="32">
        <f ca="1">_xll.DBRW($C$1,$C$2,$C$3,$C$4,$C$6,$C$5,$C$7,AF$1,AF$2,$A214)</f>
        <v>0</v>
      </c>
      <c r="AG214" s="32">
        <f ca="1">_xll.DBRW($C$1,$C$2,$C$3,$C$4,$C$6,$C$5,$C$7,AG$1,AG$2,$A214)</f>
        <v>0</v>
      </c>
      <c r="AH214" s="32">
        <f ca="1">_xll.DBRW($C$1,$C$2,$C$3,$C$4,$C$6,$C$5,$C$7,AH$1,AH$2,$A214)</f>
        <v>0</v>
      </c>
      <c r="AI214" s="32">
        <f ca="1">_xll.DBRW($C$1,$C$2,$C$3,$C$4,$C$6,$C$5,$C$7,AI$1,AI$2,$A214)</f>
        <v>0</v>
      </c>
      <c r="AJ214" s="32">
        <f ca="1">_xll.DBRW($C$1,$C$2,$C$3,$C$4,$C$6,$C$5,$C$7,AJ$1,AJ$2,$A214)</f>
        <v>0</v>
      </c>
      <c r="AK214" s="32">
        <f ca="1">_xll.DBRW($C$1,$C$2,$C$3,$C$4,$C$6,$C$5,$C$7,AK$1,AK$2,$A214)</f>
        <v>0</v>
      </c>
      <c r="AL214" s="32">
        <f ca="1">_xll.DBRW($C$1,$C$2,$C$3,$C$4,$C$6,$C$5,$C$7,AL$1,AL$2,$A214)</f>
        <v>0</v>
      </c>
      <c r="AM214" s="32">
        <f ca="1">_xll.DBRW($C$1,$C$2,$C$3,$C$4,$C$6,$C$5,$C$7,AM$1,AM$2,$A214)</f>
        <v>0</v>
      </c>
      <c r="AN214" s="32">
        <f ca="1">_xll.DBRW($C$1,$C$2,$C$3,$C$4,$C$6,$C$5,$C$7,AN$1,AN$2,$A214)</f>
        <v>0</v>
      </c>
      <c r="AO214" s="32">
        <f ca="1">_xll.DBRW($C$1,$C$2,$C$3,$C$4,$C$6,$C$5,$C$7,AO$1,AO$2,$A214)</f>
        <v>0</v>
      </c>
      <c r="AP214" s="32">
        <f ca="1">_xll.DBRW($C$1,$C$2,$C$3,$C$4,$C$6,$C$5,$C$7,AP$1,AP$2,$A214)</f>
        <v>0</v>
      </c>
      <c r="AQ214" s="32">
        <f ca="1">_xll.DBRW($C$1,$C$2,$C$3,$C$4,$C$6,$C$5,$C$7,AQ$1,AQ$2,$A214)</f>
        <v>0</v>
      </c>
      <c r="AR214" s="32">
        <f ca="1">_xll.DBRW($C$1,$C$2,$C$3,$C$4,$C$6,$C$5,$C$7,AR$1,AR$2,$A214)</f>
        <v>0</v>
      </c>
      <c r="AS214" s="32">
        <f ca="1">_xll.DBRW($C$1,$C$2,$C$3,$C$4,$C$6,$C$5,$C$7,AS$1,AS$2,$A214)</f>
        <v>0</v>
      </c>
      <c r="AT214" s="32">
        <f ca="1">_xll.DBRW($C$1,$C$2,$C$3,$C$4,$C$6,$C$5,$C$7,AT$1,AT$2,$A214)</f>
        <v>0</v>
      </c>
      <c r="AU214" s="32">
        <f ca="1">_xll.DBRW($C$1,$C$2,$C$3,$C$4,$C$6,$C$5,$C$7,AU$1,AU$2,$A214)</f>
        <v>0</v>
      </c>
      <c r="AV214" s="32">
        <f ca="1">_xll.DBRW($C$1,$C$2,$C$3,$C$4,$C$6,$C$5,$C$7,AV$1,AV$2,$A214)</f>
        <v>0</v>
      </c>
      <c r="AW214" s="32">
        <f ca="1">_xll.DBRW($C$1,$C$2,$C$3,$C$4,$C$6,$C$5,$C$7,AW$1,AW$2,$A214)</f>
        <v>0</v>
      </c>
      <c r="AX214" s="32">
        <f ca="1">_xll.DBRW($C$1,$C$2,$C$3,$C$4,$C$6,$C$5,$C$7,AX$1,AX$2,$A214)</f>
        <v>0</v>
      </c>
      <c r="AY214" s="32">
        <f ca="1">_xll.DBRW($C$1,$C$2,$C$3,$C$4,$C$6,$C$5,$C$7,AY$1,AY$2,$A214)</f>
        <v>0</v>
      </c>
    </row>
    <row r="215" spans="1:51" ht="15.75" hidden="1" customHeight="1" outlineLevel="1">
      <c r="A215" s="1" t="s">
        <v>302</v>
      </c>
      <c r="C215" s="109"/>
      <c r="E215" s="9" t="str">
        <f ca="1">_xll.DBRW(Server&amp;"}ElementAttributes_Indicator",A215,"code_English")</f>
        <v>PL1170_XX - Vector Reconciliation (TPL11) - Net provisions for restructuring costs</v>
      </c>
      <c r="F215" s="32">
        <f ca="1">_xll.DBRW($C$1,$C$2,$C$3,$C$4,$C$6,$C$5,$C$7,F$1,F$2,$A215)</f>
        <v>0</v>
      </c>
      <c r="G215" s="32">
        <f ca="1">_xll.DBRW($C$1,$C$2,$C$3,$C$4,$C$6,$C$5,$C$7,G$1,G$2,$A215)</f>
        <v>0</v>
      </c>
      <c r="H215" s="32">
        <f ca="1">_xll.DBRW($C$1,$C$2,$C$3,$C$4,$C$6,$C$5,$C$7,H$1,H$2,$A215)</f>
        <v>0</v>
      </c>
      <c r="I215" s="32">
        <f ca="1">_xll.DBRW($C$1,$C$2,$C$3,$C$4,$C$6,$C$5,$C$7,I$1,I$2,$A215)</f>
        <v>0</v>
      </c>
      <c r="J215" s="32">
        <f ca="1">_xll.DBRW($C$1,$C$2,$C$3,$C$4,$C$6,$C$5,$C$7,J$1,J$2,$A215)</f>
        <v>0</v>
      </c>
      <c r="K215" s="32">
        <f ca="1">_xll.DBRW($C$1,$C$2,$C$3,$C$4,$C$6,$C$5,$C$7,K$1,K$2,$A215)</f>
        <v>0</v>
      </c>
      <c r="L215" s="32">
        <f ca="1">_xll.DBRW($C$1,$C$2,$C$3,$C$4,$C$6,$C$5,$C$7,L$1,L$2,$A215)</f>
        <v>0</v>
      </c>
      <c r="M215" s="32">
        <f ca="1">_xll.DBRW($C$1,$C$2,$C$3,$C$4,$C$6,$C$5,$C$7,M$1,M$2,$A215)</f>
        <v>0</v>
      </c>
      <c r="N215" s="32">
        <f ca="1">_xll.DBRW($C$1,$C$2,$C$3,$C$4,$C$6,$C$5,$C$7,N$1,N$2,$A215)</f>
        <v>0</v>
      </c>
      <c r="O215" s="32">
        <f ca="1">_xll.DBRW($C$1,$C$2,$C$3,$C$4,$C$6,$C$5,$C$7,O$1,O$2,$A215)</f>
        <v>0</v>
      </c>
      <c r="P215" s="32">
        <f ca="1">_xll.DBRW($C$1,$C$2,$C$3,$C$4,$C$6,$C$5,$C$7,P$1,P$2,$A215)</f>
        <v>0</v>
      </c>
      <c r="Q215" s="32">
        <f ca="1">_xll.DBRW($C$1,$C$2,$C$3,$C$4,$C$6,$C$5,$C$7,Q$1,Q$2,$A215)</f>
        <v>0</v>
      </c>
      <c r="R215" s="32">
        <f ca="1">_xll.DBRW($C$1,$C$2,$C$3,$C$4,$C$6,$C$5,$C$7,R$1,R$2,$A215)</f>
        <v>0</v>
      </c>
      <c r="S215" s="32">
        <f ca="1">_xll.DBRW($C$1,$C$2,$C$3,$C$4,$C$6,$C$5,$C$7,S$1,S$2,$A215)</f>
        <v>0</v>
      </c>
      <c r="T215" s="32">
        <f ca="1">_xll.DBRW($C$1,$C$2,$C$3,$C$4,$C$6,$C$5,$C$7,T$1,T$2,$A215)</f>
        <v>0</v>
      </c>
      <c r="U215" s="32">
        <f ca="1">_xll.DBRW($C$1,$C$2,$C$3,$C$4,$C$6,$C$5,$C$7,U$1,U$2,$A215)</f>
        <v>0</v>
      </c>
      <c r="V215" s="32">
        <f ca="1">_xll.DBRW($C$1,$C$2,$C$3,$C$4,$C$6,$C$5,$C$7,V$1,V$2,$A215)</f>
        <v>0</v>
      </c>
      <c r="W215" s="32">
        <f ca="1">_xll.DBRW($C$1,$C$2,$C$3,$C$4,$C$6,$C$5,$C$7,W$1,W$2,$A215)</f>
        <v>0</v>
      </c>
      <c r="X215" s="32">
        <f ca="1">_xll.DBRW($C$1,$C$2,$C$3,$C$4,$C$6,$C$5,$C$7,X$1,X$2,$A215)</f>
        <v>0</v>
      </c>
      <c r="Y215" s="32">
        <f ca="1">_xll.DBRW($C$1,$C$2,$C$3,$C$4,$C$6,$C$5,$C$7,Y$1,Y$2,$A215)</f>
        <v>0</v>
      </c>
      <c r="Z215" s="32">
        <f ca="1">_xll.DBRW($C$1,$C$2,$C$3,$C$4,$C$6,$C$5,$C$7,Z$1,Z$2,$A215)</f>
        <v>0</v>
      </c>
      <c r="AA215" s="32">
        <f ca="1">_xll.DBRW($C$1,$C$2,$C$3,$C$4,$C$6,$C$5,$C$7,AA$1,AA$2,$A215)</f>
        <v>0</v>
      </c>
      <c r="AB215" s="32">
        <f ca="1">_xll.DBRW($C$1,$C$2,$C$3,$C$4,$C$6,$C$5,$C$7,AB$1,AB$2,$A215)</f>
        <v>0</v>
      </c>
      <c r="AC215" s="32">
        <f ca="1">_xll.DBRW($C$1,$C$2,$C$3,$C$4,$C$6,$C$5,$C$7,AC$1,AC$2,$A215)</f>
        <v>0</v>
      </c>
      <c r="AD215" s="32">
        <f ca="1">_xll.DBRW($C$1,$C$2,$C$3,$C$4,$C$6,$C$5,$C$7,AD$1,AD$2,$A215)</f>
        <v>0</v>
      </c>
      <c r="AE215" s="32">
        <f ca="1">_xll.DBRW($C$1,$C$2,$C$3,$C$4,$C$6,$C$5,$C$7,AE$1,AE$2,$A215)</f>
        <v>0</v>
      </c>
      <c r="AF215" s="32">
        <f ca="1">_xll.DBRW($C$1,$C$2,$C$3,$C$4,$C$6,$C$5,$C$7,AF$1,AF$2,$A215)</f>
        <v>0</v>
      </c>
      <c r="AG215" s="32">
        <f ca="1">_xll.DBRW($C$1,$C$2,$C$3,$C$4,$C$6,$C$5,$C$7,AG$1,AG$2,$A215)</f>
        <v>0</v>
      </c>
      <c r="AH215" s="32">
        <f ca="1">_xll.DBRW($C$1,$C$2,$C$3,$C$4,$C$6,$C$5,$C$7,AH$1,AH$2,$A215)</f>
        <v>0</v>
      </c>
      <c r="AI215" s="32">
        <f ca="1">_xll.DBRW($C$1,$C$2,$C$3,$C$4,$C$6,$C$5,$C$7,AI$1,AI$2,$A215)</f>
        <v>0</v>
      </c>
      <c r="AJ215" s="32">
        <f ca="1">_xll.DBRW($C$1,$C$2,$C$3,$C$4,$C$6,$C$5,$C$7,AJ$1,AJ$2,$A215)</f>
        <v>0</v>
      </c>
      <c r="AK215" s="32">
        <f ca="1">_xll.DBRW($C$1,$C$2,$C$3,$C$4,$C$6,$C$5,$C$7,AK$1,AK$2,$A215)</f>
        <v>0</v>
      </c>
      <c r="AL215" s="32">
        <f ca="1">_xll.DBRW($C$1,$C$2,$C$3,$C$4,$C$6,$C$5,$C$7,AL$1,AL$2,$A215)</f>
        <v>0</v>
      </c>
      <c r="AM215" s="32">
        <f ca="1">_xll.DBRW($C$1,$C$2,$C$3,$C$4,$C$6,$C$5,$C$7,AM$1,AM$2,$A215)</f>
        <v>0</v>
      </c>
      <c r="AN215" s="32">
        <f ca="1">_xll.DBRW($C$1,$C$2,$C$3,$C$4,$C$6,$C$5,$C$7,AN$1,AN$2,$A215)</f>
        <v>0</v>
      </c>
      <c r="AO215" s="32">
        <f ca="1">_xll.DBRW($C$1,$C$2,$C$3,$C$4,$C$6,$C$5,$C$7,AO$1,AO$2,$A215)</f>
        <v>0</v>
      </c>
      <c r="AP215" s="32">
        <f ca="1">_xll.DBRW($C$1,$C$2,$C$3,$C$4,$C$6,$C$5,$C$7,AP$1,AP$2,$A215)</f>
        <v>0</v>
      </c>
      <c r="AQ215" s="32">
        <f ca="1">_xll.DBRW($C$1,$C$2,$C$3,$C$4,$C$6,$C$5,$C$7,AQ$1,AQ$2,$A215)</f>
        <v>0</v>
      </c>
      <c r="AR215" s="32">
        <f ca="1">_xll.DBRW($C$1,$C$2,$C$3,$C$4,$C$6,$C$5,$C$7,AR$1,AR$2,$A215)</f>
        <v>0</v>
      </c>
      <c r="AS215" s="32">
        <f ca="1">_xll.DBRW($C$1,$C$2,$C$3,$C$4,$C$6,$C$5,$C$7,AS$1,AS$2,$A215)</f>
        <v>0</v>
      </c>
      <c r="AT215" s="32">
        <f ca="1">_xll.DBRW($C$1,$C$2,$C$3,$C$4,$C$6,$C$5,$C$7,AT$1,AT$2,$A215)</f>
        <v>0</v>
      </c>
      <c r="AU215" s="32">
        <f ca="1">_xll.DBRW($C$1,$C$2,$C$3,$C$4,$C$6,$C$5,$C$7,AU$1,AU$2,$A215)</f>
        <v>0</v>
      </c>
      <c r="AV215" s="32">
        <f ca="1">_xll.DBRW($C$1,$C$2,$C$3,$C$4,$C$6,$C$5,$C$7,AV$1,AV$2,$A215)</f>
        <v>0</v>
      </c>
      <c r="AW215" s="32">
        <f ca="1">_xll.DBRW($C$1,$C$2,$C$3,$C$4,$C$6,$C$5,$C$7,AW$1,AW$2,$A215)</f>
        <v>0</v>
      </c>
      <c r="AX215" s="32">
        <f ca="1">_xll.DBRW($C$1,$C$2,$C$3,$C$4,$C$6,$C$5,$C$7,AX$1,AX$2,$A215)</f>
        <v>0</v>
      </c>
      <c r="AY215" s="32">
        <f ca="1">_xll.DBRW($C$1,$C$2,$C$3,$C$4,$C$6,$C$5,$C$7,AY$1,AY$2,$A215)</f>
        <v>0</v>
      </c>
    </row>
    <row r="216" spans="1:51" ht="15.75" hidden="1" customHeight="1" outlineLevel="1">
      <c r="A216" s="1" t="s">
        <v>303</v>
      </c>
      <c r="C216" s="109"/>
      <c r="E216" s="9" t="str">
        <f ca="1">_xll.DBRW(Server&amp;"}ElementAttributes_Indicator",A216,"code_English")</f>
        <v>PL1175_XX - Vector Reconciliation (TPL11) - Impairment on goodwill (full and proportionate consol.)</v>
      </c>
      <c r="F216" s="32">
        <f ca="1">_xll.DBRW($C$1,$C$2,$C$3,$C$4,$C$6,$C$5,$C$7,F$1,F$2,$A216)</f>
        <v>0</v>
      </c>
      <c r="G216" s="32">
        <f ca="1">_xll.DBRW($C$1,$C$2,$C$3,$C$4,$C$6,$C$5,$C$7,G$1,G$2,$A216)</f>
        <v>0</v>
      </c>
      <c r="H216" s="32">
        <f ca="1">_xll.DBRW($C$1,$C$2,$C$3,$C$4,$C$6,$C$5,$C$7,H$1,H$2,$A216)</f>
        <v>0</v>
      </c>
      <c r="I216" s="32">
        <f ca="1">_xll.DBRW($C$1,$C$2,$C$3,$C$4,$C$6,$C$5,$C$7,I$1,I$2,$A216)</f>
        <v>0</v>
      </c>
      <c r="J216" s="32">
        <f ca="1">_xll.DBRW($C$1,$C$2,$C$3,$C$4,$C$6,$C$5,$C$7,J$1,J$2,$A216)</f>
        <v>0</v>
      </c>
      <c r="K216" s="32">
        <f ca="1">_xll.DBRW($C$1,$C$2,$C$3,$C$4,$C$6,$C$5,$C$7,K$1,K$2,$A216)</f>
        <v>0</v>
      </c>
      <c r="L216" s="32">
        <f ca="1">_xll.DBRW($C$1,$C$2,$C$3,$C$4,$C$6,$C$5,$C$7,L$1,L$2,$A216)</f>
        <v>0</v>
      </c>
      <c r="M216" s="32">
        <f ca="1">_xll.DBRW($C$1,$C$2,$C$3,$C$4,$C$6,$C$5,$C$7,M$1,M$2,$A216)</f>
        <v>0</v>
      </c>
      <c r="N216" s="32">
        <f ca="1">_xll.DBRW($C$1,$C$2,$C$3,$C$4,$C$6,$C$5,$C$7,N$1,N$2,$A216)</f>
        <v>0</v>
      </c>
      <c r="O216" s="32">
        <f ca="1">_xll.DBRW($C$1,$C$2,$C$3,$C$4,$C$6,$C$5,$C$7,O$1,O$2,$A216)</f>
        <v>0</v>
      </c>
      <c r="P216" s="32">
        <f ca="1">_xll.DBRW($C$1,$C$2,$C$3,$C$4,$C$6,$C$5,$C$7,P$1,P$2,$A216)</f>
        <v>0</v>
      </c>
      <c r="Q216" s="32">
        <f ca="1">_xll.DBRW($C$1,$C$2,$C$3,$C$4,$C$6,$C$5,$C$7,Q$1,Q$2,$A216)</f>
        <v>0</v>
      </c>
      <c r="R216" s="32">
        <f ca="1">_xll.DBRW($C$1,$C$2,$C$3,$C$4,$C$6,$C$5,$C$7,R$1,R$2,$A216)</f>
        <v>0</v>
      </c>
      <c r="S216" s="32">
        <f ca="1">_xll.DBRW($C$1,$C$2,$C$3,$C$4,$C$6,$C$5,$C$7,S$1,S$2,$A216)</f>
        <v>0</v>
      </c>
      <c r="T216" s="32">
        <f ca="1">_xll.DBRW($C$1,$C$2,$C$3,$C$4,$C$6,$C$5,$C$7,T$1,T$2,$A216)</f>
        <v>0</v>
      </c>
      <c r="U216" s="32">
        <f ca="1">_xll.DBRW($C$1,$C$2,$C$3,$C$4,$C$6,$C$5,$C$7,U$1,U$2,$A216)</f>
        <v>0</v>
      </c>
      <c r="V216" s="32">
        <f ca="1">_xll.DBRW($C$1,$C$2,$C$3,$C$4,$C$6,$C$5,$C$7,V$1,V$2,$A216)</f>
        <v>0</v>
      </c>
      <c r="W216" s="32">
        <f ca="1">_xll.DBRW($C$1,$C$2,$C$3,$C$4,$C$6,$C$5,$C$7,W$1,W$2,$A216)</f>
        <v>0</v>
      </c>
      <c r="X216" s="32">
        <f ca="1">_xll.DBRW($C$1,$C$2,$C$3,$C$4,$C$6,$C$5,$C$7,X$1,X$2,$A216)</f>
        <v>0</v>
      </c>
      <c r="Y216" s="32">
        <f ca="1">_xll.DBRW($C$1,$C$2,$C$3,$C$4,$C$6,$C$5,$C$7,Y$1,Y$2,$A216)</f>
        <v>0</v>
      </c>
      <c r="Z216" s="32">
        <f ca="1">_xll.DBRW($C$1,$C$2,$C$3,$C$4,$C$6,$C$5,$C$7,Z$1,Z$2,$A216)</f>
        <v>0</v>
      </c>
      <c r="AA216" s="32">
        <f ca="1">_xll.DBRW($C$1,$C$2,$C$3,$C$4,$C$6,$C$5,$C$7,AA$1,AA$2,$A216)</f>
        <v>0</v>
      </c>
      <c r="AB216" s="32">
        <f ca="1">_xll.DBRW($C$1,$C$2,$C$3,$C$4,$C$6,$C$5,$C$7,AB$1,AB$2,$A216)</f>
        <v>0</v>
      </c>
      <c r="AC216" s="32">
        <f ca="1">_xll.DBRW($C$1,$C$2,$C$3,$C$4,$C$6,$C$5,$C$7,AC$1,AC$2,$A216)</f>
        <v>0</v>
      </c>
      <c r="AD216" s="32">
        <f ca="1">_xll.DBRW($C$1,$C$2,$C$3,$C$4,$C$6,$C$5,$C$7,AD$1,AD$2,$A216)</f>
        <v>0</v>
      </c>
      <c r="AE216" s="32">
        <f ca="1">_xll.DBRW($C$1,$C$2,$C$3,$C$4,$C$6,$C$5,$C$7,AE$1,AE$2,$A216)</f>
        <v>0</v>
      </c>
      <c r="AF216" s="32">
        <f ca="1">_xll.DBRW($C$1,$C$2,$C$3,$C$4,$C$6,$C$5,$C$7,AF$1,AF$2,$A216)</f>
        <v>0</v>
      </c>
      <c r="AG216" s="32">
        <f ca="1">_xll.DBRW($C$1,$C$2,$C$3,$C$4,$C$6,$C$5,$C$7,AG$1,AG$2,$A216)</f>
        <v>0</v>
      </c>
      <c r="AH216" s="32">
        <f ca="1">_xll.DBRW($C$1,$C$2,$C$3,$C$4,$C$6,$C$5,$C$7,AH$1,AH$2,$A216)</f>
        <v>0</v>
      </c>
      <c r="AI216" s="32">
        <f ca="1">_xll.DBRW($C$1,$C$2,$C$3,$C$4,$C$6,$C$5,$C$7,AI$1,AI$2,$A216)</f>
        <v>0</v>
      </c>
      <c r="AJ216" s="32">
        <f ca="1">_xll.DBRW($C$1,$C$2,$C$3,$C$4,$C$6,$C$5,$C$7,AJ$1,AJ$2,$A216)</f>
        <v>0</v>
      </c>
      <c r="AK216" s="32">
        <f ca="1">_xll.DBRW($C$1,$C$2,$C$3,$C$4,$C$6,$C$5,$C$7,AK$1,AK$2,$A216)</f>
        <v>0</v>
      </c>
      <c r="AL216" s="32">
        <f ca="1">_xll.DBRW($C$1,$C$2,$C$3,$C$4,$C$6,$C$5,$C$7,AL$1,AL$2,$A216)</f>
        <v>0</v>
      </c>
      <c r="AM216" s="32">
        <f ca="1">_xll.DBRW($C$1,$C$2,$C$3,$C$4,$C$6,$C$5,$C$7,AM$1,AM$2,$A216)</f>
        <v>0</v>
      </c>
      <c r="AN216" s="32">
        <f ca="1">_xll.DBRW($C$1,$C$2,$C$3,$C$4,$C$6,$C$5,$C$7,AN$1,AN$2,$A216)</f>
        <v>0</v>
      </c>
      <c r="AO216" s="32">
        <f ca="1">_xll.DBRW($C$1,$C$2,$C$3,$C$4,$C$6,$C$5,$C$7,AO$1,AO$2,$A216)</f>
        <v>0</v>
      </c>
      <c r="AP216" s="32">
        <f ca="1">_xll.DBRW($C$1,$C$2,$C$3,$C$4,$C$6,$C$5,$C$7,AP$1,AP$2,$A216)</f>
        <v>0</v>
      </c>
      <c r="AQ216" s="32">
        <f ca="1">_xll.DBRW($C$1,$C$2,$C$3,$C$4,$C$6,$C$5,$C$7,AQ$1,AQ$2,$A216)</f>
        <v>0</v>
      </c>
      <c r="AR216" s="32">
        <f ca="1">_xll.DBRW($C$1,$C$2,$C$3,$C$4,$C$6,$C$5,$C$7,AR$1,AR$2,$A216)</f>
        <v>0</v>
      </c>
      <c r="AS216" s="32">
        <f ca="1">_xll.DBRW($C$1,$C$2,$C$3,$C$4,$C$6,$C$5,$C$7,AS$1,AS$2,$A216)</f>
        <v>0</v>
      </c>
      <c r="AT216" s="32">
        <f ca="1">_xll.DBRW($C$1,$C$2,$C$3,$C$4,$C$6,$C$5,$C$7,AT$1,AT$2,$A216)</f>
        <v>0</v>
      </c>
      <c r="AU216" s="32">
        <f ca="1">_xll.DBRW($C$1,$C$2,$C$3,$C$4,$C$6,$C$5,$C$7,AU$1,AU$2,$A216)</f>
        <v>0</v>
      </c>
      <c r="AV216" s="32">
        <f ca="1">_xll.DBRW($C$1,$C$2,$C$3,$C$4,$C$6,$C$5,$C$7,AV$1,AV$2,$A216)</f>
        <v>0</v>
      </c>
      <c r="AW216" s="32">
        <f ca="1">_xll.DBRW($C$1,$C$2,$C$3,$C$4,$C$6,$C$5,$C$7,AW$1,AW$2,$A216)</f>
        <v>0</v>
      </c>
      <c r="AX216" s="32">
        <f ca="1">_xll.DBRW($C$1,$C$2,$C$3,$C$4,$C$6,$C$5,$C$7,AX$1,AX$2,$A216)</f>
        <v>0</v>
      </c>
      <c r="AY216" s="32">
        <f ca="1">_xll.DBRW($C$1,$C$2,$C$3,$C$4,$C$6,$C$5,$C$7,AY$1,AY$2,$A216)</f>
        <v>0</v>
      </c>
    </row>
    <row r="217" spans="1:51" ht="15.75" hidden="1" customHeight="1" outlineLevel="1">
      <c r="A217" s="1" t="s">
        <v>304</v>
      </c>
      <c r="C217" s="109"/>
      <c r="E217" s="9" t="str">
        <f ca="1">_xll.DBRW(Server&amp;"}ElementAttributes_Indicator",A217,"code_English")</f>
        <v>PL1180_XX - Vector Reconciliation (TPL11) - Fair value gain/loss on deriv instr related to oper activ excl I12&amp;I4</v>
      </c>
      <c r="F217" s="32">
        <f ca="1">_xll.DBRW($C$1,$C$2,$C$3,$C$4,$C$6,$C$5,$C$7,F$1,F$2,$A217)</f>
        <v>0</v>
      </c>
      <c r="G217" s="32">
        <f ca="1">_xll.DBRW($C$1,$C$2,$C$3,$C$4,$C$6,$C$5,$C$7,G$1,G$2,$A217)</f>
        <v>0</v>
      </c>
      <c r="H217" s="32">
        <f ca="1">_xll.DBRW($C$1,$C$2,$C$3,$C$4,$C$6,$C$5,$C$7,H$1,H$2,$A217)</f>
        <v>0</v>
      </c>
      <c r="I217" s="32">
        <f ca="1">_xll.DBRW($C$1,$C$2,$C$3,$C$4,$C$6,$C$5,$C$7,I$1,I$2,$A217)</f>
        <v>0</v>
      </c>
      <c r="J217" s="32">
        <f ca="1">_xll.DBRW($C$1,$C$2,$C$3,$C$4,$C$6,$C$5,$C$7,J$1,J$2,$A217)</f>
        <v>0</v>
      </c>
      <c r="K217" s="32">
        <f ca="1">_xll.DBRW($C$1,$C$2,$C$3,$C$4,$C$6,$C$5,$C$7,K$1,K$2,$A217)</f>
        <v>0</v>
      </c>
      <c r="L217" s="32">
        <f ca="1">_xll.DBRW($C$1,$C$2,$C$3,$C$4,$C$6,$C$5,$C$7,L$1,L$2,$A217)</f>
        <v>0</v>
      </c>
      <c r="M217" s="32">
        <f ca="1">_xll.DBRW($C$1,$C$2,$C$3,$C$4,$C$6,$C$5,$C$7,M$1,M$2,$A217)</f>
        <v>0</v>
      </c>
      <c r="N217" s="32">
        <f ca="1">_xll.DBRW($C$1,$C$2,$C$3,$C$4,$C$6,$C$5,$C$7,N$1,N$2,$A217)</f>
        <v>0</v>
      </c>
      <c r="O217" s="32">
        <f ca="1">_xll.DBRW($C$1,$C$2,$C$3,$C$4,$C$6,$C$5,$C$7,O$1,O$2,$A217)</f>
        <v>0</v>
      </c>
      <c r="P217" s="32">
        <f ca="1">_xll.DBRW($C$1,$C$2,$C$3,$C$4,$C$6,$C$5,$C$7,P$1,P$2,$A217)</f>
        <v>0</v>
      </c>
      <c r="Q217" s="32">
        <f ca="1">_xll.DBRW($C$1,$C$2,$C$3,$C$4,$C$6,$C$5,$C$7,Q$1,Q$2,$A217)</f>
        <v>0</v>
      </c>
      <c r="R217" s="32">
        <f ca="1">_xll.DBRW($C$1,$C$2,$C$3,$C$4,$C$6,$C$5,$C$7,R$1,R$2,$A217)</f>
        <v>0</v>
      </c>
      <c r="S217" s="32">
        <f ca="1">_xll.DBRW($C$1,$C$2,$C$3,$C$4,$C$6,$C$5,$C$7,S$1,S$2,$A217)</f>
        <v>0</v>
      </c>
      <c r="T217" s="32">
        <f ca="1">_xll.DBRW($C$1,$C$2,$C$3,$C$4,$C$6,$C$5,$C$7,T$1,T$2,$A217)</f>
        <v>0</v>
      </c>
      <c r="U217" s="32">
        <f ca="1">_xll.DBRW($C$1,$C$2,$C$3,$C$4,$C$6,$C$5,$C$7,U$1,U$2,$A217)</f>
        <v>0</v>
      </c>
      <c r="V217" s="32">
        <f ca="1">_xll.DBRW($C$1,$C$2,$C$3,$C$4,$C$6,$C$5,$C$7,V$1,V$2,$A217)</f>
        <v>0</v>
      </c>
      <c r="W217" s="32">
        <f ca="1">_xll.DBRW($C$1,$C$2,$C$3,$C$4,$C$6,$C$5,$C$7,W$1,W$2,$A217)</f>
        <v>0</v>
      </c>
      <c r="X217" s="32">
        <f ca="1">_xll.DBRW($C$1,$C$2,$C$3,$C$4,$C$6,$C$5,$C$7,X$1,X$2,$A217)</f>
        <v>0</v>
      </c>
      <c r="Y217" s="32">
        <f ca="1">_xll.DBRW($C$1,$C$2,$C$3,$C$4,$C$6,$C$5,$C$7,Y$1,Y$2,$A217)</f>
        <v>0</v>
      </c>
      <c r="Z217" s="32">
        <f ca="1">_xll.DBRW($C$1,$C$2,$C$3,$C$4,$C$6,$C$5,$C$7,Z$1,Z$2,$A217)</f>
        <v>0</v>
      </c>
      <c r="AA217" s="32">
        <f ca="1">_xll.DBRW($C$1,$C$2,$C$3,$C$4,$C$6,$C$5,$C$7,AA$1,AA$2,$A217)</f>
        <v>0</v>
      </c>
      <c r="AB217" s="32">
        <f ca="1">_xll.DBRW($C$1,$C$2,$C$3,$C$4,$C$6,$C$5,$C$7,AB$1,AB$2,$A217)</f>
        <v>0</v>
      </c>
      <c r="AC217" s="32">
        <f ca="1">_xll.DBRW($C$1,$C$2,$C$3,$C$4,$C$6,$C$5,$C$7,AC$1,AC$2,$A217)</f>
        <v>0</v>
      </c>
      <c r="AD217" s="32">
        <f ca="1">_xll.DBRW($C$1,$C$2,$C$3,$C$4,$C$6,$C$5,$C$7,AD$1,AD$2,$A217)</f>
        <v>0</v>
      </c>
      <c r="AE217" s="32">
        <f ca="1">_xll.DBRW($C$1,$C$2,$C$3,$C$4,$C$6,$C$5,$C$7,AE$1,AE$2,$A217)</f>
        <v>0</v>
      </c>
      <c r="AF217" s="32">
        <f ca="1">_xll.DBRW($C$1,$C$2,$C$3,$C$4,$C$6,$C$5,$C$7,AF$1,AF$2,$A217)</f>
        <v>0</v>
      </c>
      <c r="AG217" s="32">
        <f ca="1">_xll.DBRW($C$1,$C$2,$C$3,$C$4,$C$6,$C$5,$C$7,AG$1,AG$2,$A217)</f>
        <v>0</v>
      </c>
      <c r="AH217" s="32">
        <f ca="1">_xll.DBRW($C$1,$C$2,$C$3,$C$4,$C$6,$C$5,$C$7,AH$1,AH$2,$A217)</f>
        <v>0</v>
      </c>
      <c r="AI217" s="32">
        <f ca="1">_xll.DBRW($C$1,$C$2,$C$3,$C$4,$C$6,$C$5,$C$7,AI$1,AI$2,$A217)</f>
        <v>0</v>
      </c>
      <c r="AJ217" s="32">
        <f ca="1">_xll.DBRW($C$1,$C$2,$C$3,$C$4,$C$6,$C$5,$C$7,AJ$1,AJ$2,$A217)</f>
        <v>0</v>
      </c>
      <c r="AK217" s="32">
        <f ca="1">_xll.DBRW($C$1,$C$2,$C$3,$C$4,$C$6,$C$5,$C$7,AK$1,AK$2,$A217)</f>
        <v>0</v>
      </c>
      <c r="AL217" s="32">
        <f ca="1">_xll.DBRW($C$1,$C$2,$C$3,$C$4,$C$6,$C$5,$C$7,AL$1,AL$2,$A217)</f>
        <v>0</v>
      </c>
      <c r="AM217" s="32">
        <f ca="1">_xll.DBRW($C$1,$C$2,$C$3,$C$4,$C$6,$C$5,$C$7,AM$1,AM$2,$A217)</f>
        <v>0</v>
      </c>
      <c r="AN217" s="32">
        <f ca="1">_xll.DBRW($C$1,$C$2,$C$3,$C$4,$C$6,$C$5,$C$7,AN$1,AN$2,$A217)</f>
        <v>0</v>
      </c>
      <c r="AO217" s="32">
        <f ca="1">_xll.DBRW($C$1,$C$2,$C$3,$C$4,$C$6,$C$5,$C$7,AO$1,AO$2,$A217)</f>
        <v>0</v>
      </c>
      <c r="AP217" s="32">
        <f ca="1">_xll.DBRW($C$1,$C$2,$C$3,$C$4,$C$6,$C$5,$C$7,AP$1,AP$2,$A217)</f>
        <v>0</v>
      </c>
      <c r="AQ217" s="32">
        <f ca="1">_xll.DBRW($C$1,$C$2,$C$3,$C$4,$C$6,$C$5,$C$7,AQ$1,AQ$2,$A217)</f>
        <v>0</v>
      </c>
      <c r="AR217" s="32">
        <f ca="1">_xll.DBRW($C$1,$C$2,$C$3,$C$4,$C$6,$C$5,$C$7,AR$1,AR$2,$A217)</f>
        <v>0</v>
      </c>
      <c r="AS217" s="32">
        <f ca="1">_xll.DBRW($C$1,$C$2,$C$3,$C$4,$C$6,$C$5,$C$7,AS$1,AS$2,$A217)</f>
        <v>0</v>
      </c>
      <c r="AT217" s="32">
        <f ca="1">_xll.DBRW($C$1,$C$2,$C$3,$C$4,$C$6,$C$5,$C$7,AT$1,AT$2,$A217)</f>
        <v>0</v>
      </c>
      <c r="AU217" s="32">
        <f ca="1">_xll.DBRW($C$1,$C$2,$C$3,$C$4,$C$6,$C$5,$C$7,AU$1,AU$2,$A217)</f>
        <v>0</v>
      </c>
      <c r="AV217" s="32">
        <f ca="1">_xll.DBRW($C$1,$C$2,$C$3,$C$4,$C$6,$C$5,$C$7,AV$1,AV$2,$A217)</f>
        <v>0</v>
      </c>
      <c r="AW217" s="32">
        <f ca="1">_xll.DBRW($C$1,$C$2,$C$3,$C$4,$C$6,$C$5,$C$7,AW$1,AW$2,$A217)</f>
        <v>0</v>
      </c>
      <c r="AX217" s="32">
        <f ca="1">_xll.DBRW($C$1,$C$2,$C$3,$C$4,$C$6,$C$5,$C$7,AX$1,AX$2,$A217)</f>
        <v>0</v>
      </c>
      <c r="AY217" s="32">
        <f ca="1">_xll.DBRW($C$1,$C$2,$C$3,$C$4,$C$6,$C$5,$C$7,AY$1,AY$2,$A217)</f>
        <v>0</v>
      </c>
    </row>
    <row r="218" spans="1:51" ht="15.75" hidden="1" customHeight="1" outlineLevel="1">
      <c r="A218" s="1" t="s">
        <v>305</v>
      </c>
      <c r="C218" s="109"/>
      <c r="E218" s="9" t="str">
        <f ca="1">_xll.DBRW(Server&amp;"}ElementAttributes_Indicator",A218,"code_English")</f>
        <v>PL1181_XX - Vector Reconciliation (TPL11) - Fair value gain/loss on deriv instr related to oper activ I12 fin. Receivables &amp; I4</v>
      </c>
      <c r="F218" s="32">
        <f ca="1">_xll.DBRW($C$1,$C$2,$C$3,$C$4,$C$6,$C$5,$C$7,F$1,F$2,$A218)</f>
        <v>0</v>
      </c>
      <c r="G218" s="32">
        <f ca="1">_xll.DBRW($C$1,$C$2,$C$3,$C$4,$C$6,$C$5,$C$7,G$1,G$2,$A218)</f>
        <v>0</v>
      </c>
      <c r="H218" s="32">
        <f ca="1">_xll.DBRW($C$1,$C$2,$C$3,$C$4,$C$6,$C$5,$C$7,H$1,H$2,$A218)</f>
        <v>0</v>
      </c>
      <c r="I218" s="32">
        <f ca="1">_xll.DBRW($C$1,$C$2,$C$3,$C$4,$C$6,$C$5,$C$7,I$1,I$2,$A218)</f>
        <v>0</v>
      </c>
      <c r="J218" s="32">
        <f ca="1">_xll.DBRW($C$1,$C$2,$C$3,$C$4,$C$6,$C$5,$C$7,J$1,J$2,$A218)</f>
        <v>0</v>
      </c>
      <c r="K218" s="32">
        <f ca="1">_xll.DBRW($C$1,$C$2,$C$3,$C$4,$C$6,$C$5,$C$7,K$1,K$2,$A218)</f>
        <v>0</v>
      </c>
      <c r="L218" s="32">
        <f ca="1">_xll.DBRW($C$1,$C$2,$C$3,$C$4,$C$6,$C$5,$C$7,L$1,L$2,$A218)</f>
        <v>0</v>
      </c>
      <c r="M218" s="32">
        <f ca="1">_xll.DBRW($C$1,$C$2,$C$3,$C$4,$C$6,$C$5,$C$7,M$1,M$2,$A218)</f>
        <v>0</v>
      </c>
      <c r="N218" s="32">
        <f ca="1">_xll.DBRW($C$1,$C$2,$C$3,$C$4,$C$6,$C$5,$C$7,N$1,N$2,$A218)</f>
        <v>0</v>
      </c>
      <c r="O218" s="32">
        <f ca="1">_xll.DBRW($C$1,$C$2,$C$3,$C$4,$C$6,$C$5,$C$7,O$1,O$2,$A218)</f>
        <v>0</v>
      </c>
      <c r="P218" s="32">
        <f ca="1">_xll.DBRW($C$1,$C$2,$C$3,$C$4,$C$6,$C$5,$C$7,P$1,P$2,$A218)</f>
        <v>0</v>
      </c>
      <c r="Q218" s="32">
        <f ca="1">_xll.DBRW($C$1,$C$2,$C$3,$C$4,$C$6,$C$5,$C$7,Q$1,Q$2,$A218)</f>
        <v>0</v>
      </c>
      <c r="R218" s="32">
        <f ca="1">_xll.DBRW($C$1,$C$2,$C$3,$C$4,$C$6,$C$5,$C$7,R$1,R$2,$A218)</f>
        <v>0</v>
      </c>
      <c r="S218" s="32">
        <f ca="1">_xll.DBRW($C$1,$C$2,$C$3,$C$4,$C$6,$C$5,$C$7,S$1,S$2,$A218)</f>
        <v>0</v>
      </c>
      <c r="T218" s="32">
        <f ca="1">_xll.DBRW($C$1,$C$2,$C$3,$C$4,$C$6,$C$5,$C$7,T$1,T$2,$A218)</f>
        <v>0</v>
      </c>
      <c r="U218" s="32">
        <f ca="1">_xll.DBRW($C$1,$C$2,$C$3,$C$4,$C$6,$C$5,$C$7,U$1,U$2,$A218)</f>
        <v>0</v>
      </c>
      <c r="V218" s="32">
        <f ca="1">_xll.DBRW($C$1,$C$2,$C$3,$C$4,$C$6,$C$5,$C$7,V$1,V$2,$A218)</f>
        <v>0</v>
      </c>
      <c r="W218" s="32">
        <f ca="1">_xll.DBRW($C$1,$C$2,$C$3,$C$4,$C$6,$C$5,$C$7,W$1,W$2,$A218)</f>
        <v>0</v>
      </c>
      <c r="X218" s="32">
        <f ca="1">_xll.DBRW($C$1,$C$2,$C$3,$C$4,$C$6,$C$5,$C$7,X$1,X$2,$A218)</f>
        <v>0</v>
      </c>
      <c r="Y218" s="32">
        <f ca="1">_xll.DBRW($C$1,$C$2,$C$3,$C$4,$C$6,$C$5,$C$7,Y$1,Y$2,$A218)</f>
        <v>0</v>
      </c>
      <c r="Z218" s="32">
        <f ca="1">_xll.DBRW($C$1,$C$2,$C$3,$C$4,$C$6,$C$5,$C$7,Z$1,Z$2,$A218)</f>
        <v>0</v>
      </c>
      <c r="AA218" s="32">
        <f ca="1">_xll.DBRW($C$1,$C$2,$C$3,$C$4,$C$6,$C$5,$C$7,AA$1,AA$2,$A218)</f>
        <v>0</v>
      </c>
      <c r="AB218" s="32">
        <f ca="1">_xll.DBRW($C$1,$C$2,$C$3,$C$4,$C$6,$C$5,$C$7,AB$1,AB$2,$A218)</f>
        <v>0</v>
      </c>
      <c r="AC218" s="32">
        <f ca="1">_xll.DBRW($C$1,$C$2,$C$3,$C$4,$C$6,$C$5,$C$7,AC$1,AC$2,$A218)</f>
        <v>0</v>
      </c>
      <c r="AD218" s="32">
        <f ca="1">_xll.DBRW($C$1,$C$2,$C$3,$C$4,$C$6,$C$5,$C$7,AD$1,AD$2,$A218)</f>
        <v>0</v>
      </c>
      <c r="AE218" s="32">
        <f ca="1">_xll.DBRW($C$1,$C$2,$C$3,$C$4,$C$6,$C$5,$C$7,AE$1,AE$2,$A218)</f>
        <v>0</v>
      </c>
      <c r="AF218" s="32">
        <f ca="1">_xll.DBRW($C$1,$C$2,$C$3,$C$4,$C$6,$C$5,$C$7,AF$1,AF$2,$A218)</f>
        <v>0</v>
      </c>
      <c r="AG218" s="32">
        <f ca="1">_xll.DBRW($C$1,$C$2,$C$3,$C$4,$C$6,$C$5,$C$7,AG$1,AG$2,$A218)</f>
        <v>0</v>
      </c>
      <c r="AH218" s="32">
        <f ca="1">_xll.DBRW($C$1,$C$2,$C$3,$C$4,$C$6,$C$5,$C$7,AH$1,AH$2,$A218)</f>
        <v>0</v>
      </c>
      <c r="AI218" s="32">
        <f ca="1">_xll.DBRW($C$1,$C$2,$C$3,$C$4,$C$6,$C$5,$C$7,AI$1,AI$2,$A218)</f>
        <v>0</v>
      </c>
      <c r="AJ218" s="32">
        <f ca="1">_xll.DBRW($C$1,$C$2,$C$3,$C$4,$C$6,$C$5,$C$7,AJ$1,AJ$2,$A218)</f>
        <v>0</v>
      </c>
      <c r="AK218" s="32">
        <f ca="1">_xll.DBRW($C$1,$C$2,$C$3,$C$4,$C$6,$C$5,$C$7,AK$1,AK$2,$A218)</f>
        <v>0</v>
      </c>
      <c r="AL218" s="32">
        <f ca="1">_xll.DBRW($C$1,$C$2,$C$3,$C$4,$C$6,$C$5,$C$7,AL$1,AL$2,$A218)</f>
        <v>0</v>
      </c>
      <c r="AM218" s="32">
        <f ca="1">_xll.DBRW($C$1,$C$2,$C$3,$C$4,$C$6,$C$5,$C$7,AM$1,AM$2,$A218)</f>
        <v>0</v>
      </c>
      <c r="AN218" s="32">
        <f ca="1">_xll.DBRW($C$1,$C$2,$C$3,$C$4,$C$6,$C$5,$C$7,AN$1,AN$2,$A218)</f>
        <v>0</v>
      </c>
      <c r="AO218" s="32">
        <f ca="1">_xll.DBRW($C$1,$C$2,$C$3,$C$4,$C$6,$C$5,$C$7,AO$1,AO$2,$A218)</f>
        <v>0</v>
      </c>
      <c r="AP218" s="32">
        <f ca="1">_xll.DBRW($C$1,$C$2,$C$3,$C$4,$C$6,$C$5,$C$7,AP$1,AP$2,$A218)</f>
        <v>0</v>
      </c>
      <c r="AQ218" s="32">
        <f ca="1">_xll.DBRW($C$1,$C$2,$C$3,$C$4,$C$6,$C$5,$C$7,AQ$1,AQ$2,$A218)</f>
        <v>0</v>
      </c>
      <c r="AR218" s="32">
        <f ca="1">_xll.DBRW($C$1,$C$2,$C$3,$C$4,$C$6,$C$5,$C$7,AR$1,AR$2,$A218)</f>
        <v>0</v>
      </c>
      <c r="AS218" s="32">
        <f ca="1">_xll.DBRW($C$1,$C$2,$C$3,$C$4,$C$6,$C$5,$C$7,AS$1,AS$2,$A218)</f>
        <v>0</v>
      </c>
      <c r="AT218" s="32">
        <f ca="1">_xll.DBRW($C$1,$C$2,$C$3,$C$4,$C$6,$C$5,$C$7,AT$1,AT$2,$A218)</f>
        <v>0</v>
      </c>
      <c r="AU218" s="32">
        <f ca="1">_xll.DBRW($C$1,$C$2,$C$3,$C$4,$C$6,$C$5,$C$7,AU$1,AU$2,$A218)</f>
        <v>0</v>
      </c>
      <c r="AV218" s="32">
        <f ca="1">_xll.DBRW($C$1,$C$2,$C$3,$C$4,$C$6,$C$5,$C$7,AV$1,AV$2,$A218)</f>
        <v>0</v>
      </c>
      <c r="AW218" s="32">
        <f ca="1">_xll.DBRW($C$1,$C$2,$C$3,$C$4,$C$6,$C$5,$C$7,AW$1,AW$2,$A218)</f>
        <v>0</v>
      </c>
      <c r="AX218" s="32">
        <f ca="1">_xll.DBRW($C$1,$C$2,$C$3,$C$4,$C$6,$C$5,$C$7,AX$1,AX$2,$A218)</f>
        <v>0</v>
      </c>
      <c r="AY218" s="32">
        <f ca="1">_xll.DBRW($C$1,$C$2,$C$3,$C$4,$C$6,$C$5,$C$7,AY$1,AY$2,$A218)</f>
        <v>0</v>
      </c>
    </row>
    <row r="219" spans="1:51" ht="15.75" hidden="1" customHeight="1" outlineLevel="1">
      <c r="A219" s="1" t="s">
        <v>306</v>
      </c>
      <c r="C219" s="109"/>
      <c r="E219" s="9" t="str">
        <f ca="1">_xll.DBRW(Server&amp;"}ElementAttributes_Indicator",A219,"code_English")</f>
        <v>PL1182_XX - Vector Reconciliation (TPL11) - Non hedged fair value on derivatives related to operating activities excl.I4 and I12</v>
      </c>
      <c r="F219" s="32">
        <f ca="1">_xll.DBRW($C$1,$C$2,$C$3,$C$4,$C$6,$C$5,$C$7,F$1,F$2,$A219)</f>
        <v>0</v>
      </c>
      <c r="G219" s="32">
        <f ca="1">_xll.DBRW($C$1,$C$2,$C$3,$C$4,$C$6,$C$5,$C$7,G$1,G$2,$A219)</f>
        <v>0</v>
      </c>
      <c r="H219" s="32">
        <f ca="1">_xll.DBRW($C$1,$C$2,$C$3,$C$4,$C$6,$C$5,$C$7,H$1,H$2,$A219)</f>
        <v>0</v>
      </c>
      <c r="I219" s="32">
        <f ca="1">_xll.DBRW($C$1,$C$2,$C$3,$C$4,$C$6,$C$5,$C$7,I$1,I$2,$A219)</f>
        <v>0</v>
      </c>
      <c r="J219" s="32">
        <f ca="1">_xll.DBRW($C$1,$C$2,$C$3,$C$4,$C$6,$C$5,$C$7,J$1,J$2,$A219)</f>
        <v>0</v>
      </c>
      <c r="K219" s="32">
        <f ca="1">_xll.DBRW($C$1,$C$2,$C$3,$C$4,$C$6,$C$5,$C$7,K$1,K$2,$A219)</f>
        <v>0</v>
      </c>
      <c r="L219" s="32">
        <f ca="1">_xll.DBRW($C$1,$C$2,$C$3,$C$4,$C$6,$C$5,$C$7,L$1,L$2,$A219)</f>
        <v>0</v>
      </c>
      <c r="M219" s="32">
        <f ca="1">_xll.DBRW($C$1,$C$2,$C$3,$C$4,$C$6,$C$5,$C$7,M$1,M$2,$A219)</f>
        <v>0</v>
      </c>
      <c r="N219" s="32">
        <f ca="1">_xll.DBRW($C$1,$C$2,$C$3,$C$4,$C$6,$C$5,$C$7,N$1,N$2,$A219)</f>
        <v>0</v>
      </c>
      <c r="O219" s="32">
        <f ca="1">_xll.DBRW($C$1,$C$2,$C$3,$C$4,$C$6,$C$5,$C$7,O$1,O$2,$A219)</f>
        <v>0</v>
      </c>
      <c r="P219" s="32">
        <f ca="1">_xll.DBRW($C$1,$C$2,$C$3,$C$4,$C$6,$C$5,$C$7,P$1,P$2,$A219)</f>
        <v>0</v>
      </c>
      <c r="Q219" s="32">
        <f ca="1">_xll.DBRW($C$1,$C$2,$C$3,$C$4,$C$6,$C$5,$C$7,Q$1,Q$2,$A219)</f>
        <v>0</v>
      </c>
      <c r="R219" s="32">
        <f ca="1">_xll.DBRW($C$1,$C$2,$C$3,$C$4,$C$6,$C$5,$C$7,R$1,R$2,$A219)</f>
        <v>0</v>
      </c>
      <c r="S219" s="32">
        <f ca="1">_xll.DBRW($C$1,$C$2,$C$3,$C$4,$C$6,$C$5,$C$7,S$1,S$2,$A219)</f>
        <v>0</v>
      </c>
      <c r="T219" s="32">
        <f ca="1">_xll.DBRW($C$1,$C$2,$C$3,$C$4,$C$6,$C$5,$C$7,T$1,T$2,$A219)</f>
        <v>0</v>
      </c>
      <c r="U219" s="32">
        <f ca="1">_xll.DBRW($C$1,$C$2,$C$3,$C$4,$C$6,$C$5,$C$7,U$1,U$2,$A219)</f>
        <v>0</v>
      </c>
      <c r="V219" s="32">
        <f ca="1">_xll.DBRW($C$1,$C$2,$C$3,$C$4,$C$6,$C$5,$C$7,V$1,V$2,$A219)</f>
        <v>0</v>
      </c>
      <c r="W219" s="32">
        <f ca="1">_xll.DBRW($C$1,$C$2,$C$3,$C$4,$C$6,$C$5,$C$7,W$1,W$2,$A219)</f>
        <v>0</v>
      </c>
      <c r="X219" s="32">
        <f ca="1">_xll.DBRW($C$1,$C$2,$C$3,$C$4,$C$6,$C$5,$C$7,X$1,X$2,$A219)</f>
        <v>0</v>
      </c>
      <c r="Y219" s="32">
        <f ca="1">_xll.DBRW($C$1,$C$2,$C$3,$C$4,$C$6,$C$5,$C$7,Y$1,Y$2,$A219)</f>
        <v>0</v>
      </c>
      <c r="Z219" s="32">
        <f ca="1">_xll.DBRW($C$1,$C$2,$C$3,$C$4,$C$6,$C$5,$C$7,Z$1,Z$2,$A219)</f>
        <v>0</v>
      </c>
      <c r="AA219" s="32">
        <f ca="1">_xll.DBRW($C$1,$C$2,$C$3,$C$4,$C$6,$C$5,$C$7,AA$1,AA$2,$A219)</f>
        <v>0</v>
      </c>
      <c r="AB219" s="32">
        <f ca="1">_xll.DBRW($C$1,$C$2,$C$3,$C$4,$C$6,$C$5,$C$7,AB$1,AB$2,$A219)</f>
        <v>0</v>
      </c>
      <c r="AC219" s="32">
        <f ca="1">_xll.DBRW($C$1,$C$2,$C$3,$C$4,$C$6,$C$5,$C$7,AC$1,AC$2,$A219)</f>
        <v>0</v>
      </c>
      <c r="AD219" s="32">
        <f ca="1">_xll.DBRW($C$1,$C$2,$C$3,$C$4,$C$6,$C$5,$C$7,AD$1,AD$2,$A219)</f>
        <v>0</v>
      </c>
      <c r="AE219" s="32">
        <f ca="1">_xll.DBRW($C$1,$C$2,$C$3,$C$4,$C$6,$C$5,$C$7,AE$1,AE$2,$A219)</f>
        <v>0</v>
      </c>
      <c r="AF219" s="32">
        <f ca="1">_xll.DBRW($C$1,$C$2,$C$3,$C$4,$C$6,$C$5,$C$7,AF$1,AF$2,$A219)</f>
        <v>0</v>
      </c>
      <c r="AG219" s="32">
        <f ca="1">_xll.DBRW($C$1,$C$2,$C$3,$C$4,$C$6,$C$5,$C$7,AG$1,AG$2,$A219)</f>
        <v>0</v>
      </c>
      <c r="AH219" s="32">
        <f ca="1">_xll.DBRW($C$1,$C$2,$C$3,$C$4,$C$6,$C$5,$C$7,AH$1,AH$2,$A219)</f>
        <v>0</v>
      </c>
      <c r="AI219" s="32">
        <f ca="1">_xll.DBRW($C$1,$C$2,$C$3,$C$4,$C$6,$C$5,$C$7,AI$1,AI$2,$A219)</f>
        <v>0</v>
      </c>
      <c r="AJ219" s="32">
        <f ca="1">_xll.DBRW($C$1,$C$2,$C$3,$C$4,$C$6,$C$5,$C$7,AJ$1,AJ$2,$A219)</f>
        <v>0</v>
      </c>
      <c r="AK219" s="32">
        <f ca="1">_xll.DBRW($C$1,$C$2,$C$3,$C$4,$C$6,$C$5,$C$7,AK$1,AK$2,$A219)</f>
        <v>0</v>
      </c>
      <c r="AL219" s="32">
        <f ca="1">_xll.DBRW($C$1,$C$2,$C$3,$C$4,$C$6,$C$5,$C$7,AL$1,AL$2,$A219)</f>
        <v>0</v>
      </c>
      <c r="AM219" s="32">
        <f ca="1">_xll.DBRW($C$1,$C$2,$C$3,$C$4,$C$6,$C$5,$C$7,AM$1,AM$2,$A219)</f>
        <v>0</v>
      </c>
      <c r="AN219" s="32">
        <f ca="1">_xll.DBRW($C$1,$C$2,$C$3,$C$4,$C$6,$C$5,$C$7,AN$1,AN$2,$A219)</f>
        <v>0</v>
      </c>
      <c r="AO219" s="32">
        <f ca="1">_xll.DBRW($C$1,$C$2,$C$3,$C$4,$C$6,$C$5,$C$7,AO$1,AO$2,$A219)</f>
        <v>0</v>
      </c>
      <c r="AP219" s="32">
        <f ca="1">_xll.DBRW($C$1,$C$2,$C$3,$C$4,$C$6,$C$5,$C$7,AP$1,AP$2,$A219)</f>
        <v>0</v>
      </c>
      <c r="AQ219" s="32">
        <f ca="1">_xll.DBRW($C$1,$C$2,$C$3,$C$4,$C$6,$C$5,$C$7,AQ$1,AQ$2,$A219)</f>
        <v>0</v>
      </c>
      <c r="AR219" s="32">
        <f ca="1">_xll.DBRW($C$1,$C$2,$C$3,$C$4,$C$6,$C$5,$C$7,AR$1,AR$2,$A219)</f>
        <v>0</v>
      </c>
      <c r="AS219" s="32">
        <f ca="1">_xll.DBRW($C$1,$C$2,$C$3,$C$4,$C$6,$C$5,$C$7,AS$1,AS$2,$A219)</f>
        <v>0</v>
      </c>
      <c r="AT219" s="32">
        <f ca="1">_xll.DBRW($C$1,$C$2,$C$3,$C$4,$C$6,$C$5,$C$7,AT$1,AT$2,$A219)</f>
        <v>0</v>
      </c>
      <c r="AU219" s="32">
        <f ca="1">_xll.DBRW($C$1,$C$2,$C$3,$C$4,$C$6,$C$5,$C$7,AU$1,AU$2,$A219)</f>
        <v>0</v>
      </c>
      <c r="AV219" s="32">
        <f ca="1">_xll.DBRW($C$1,$C$2,$C$3,$C$4,$C$6,$C$5,$C$7,AV$1,AV$2,$A219)</f>
        <v>0</v>
      </c>
      <c r="AW219" s="32">
        <f ca="1">_xll.DBRW($C$1,$C$2,$C$3,$C$4,$C$6,$C$5,$C$7,AW$1,AW$2,$A219)</f>
        <v>0</v>
      </c>
      <c r="AX219" s="32">
        <f ca="1">_xll.DBRW($C$1,$C$2,$C$3,$C$4,$C$6,$C$5,$C$7,AX$1,AX$2,$A219)</f>
        <v>0</v>
      </c>
      <c r="AY219" s="32">
        <f ca="1">_xll.DBRW($C$1,$C$2,$C$3,$C$4,$C$6,$C$5,$C$7,AY$1,AY$2,$A219)</f>
        <v>0</v>
      </c>
    </row>
    <row r="220" spans="1:51" ht="15.75" hidden="1" customHeight="1" outlineLevel="1">
      <c r="A220" s="1" t="s">
        <v>307</v>
      </c>
      <c r="C220" s="109"/>
      <c r="E220" s="9" t="str">
        <f ca="1">_xll.DBRW(Server&amp;"}ElementAttributes_Indicator",A220,"code_English")</f>
        <v>PL1183_XX - Vector Reconciliation (TPL11) - Non hedged fair value on derivatives related to financial operating activities(I4 and I12)</v>
      </c>
      <c r="F220" s="32">
        <f ca="1">_xll.DBRW($C$1,$C$2,$C$3,$C$4,$C$6,$C$5,$C$7,F$1,F$2,$A220)</f>
        <v>0</v>
      </c>
      <c r="G220" s="32">
        <f ca="1">_xll.DBRW($C$1,$C$2,$C$3,$C$4,$C$6,$C$5,$C$7,G$1,G$2,$A220)</f>
        <v>0</v>
      </c>
      <c r="H220" s="32">
        <f ca="1">_xll.DBRW($C$1,$C$2,$C$3,$C$4,$C$6,$C$5,$C$7,H$1,H$2,$A220)</f>
        <v>0</v>
      </c>
      <c r="I220" s="32">
        <f ca="1">_xll.DBRW($C$1,$C$2,$C$3,$C$4,$C$6,$C$5,$C$7,I$1,I$2,$A220)</f>
        <v>0</v>
      </c>
      <c r="J220" s="32">
        <f ca="1">_xll.DBRW($C$1,$C$2,$C$3,$C$4,$C$6,$C$5,$C$7,J$1,J$2,$A220)</f>
        <v>0</v>
      </c>
      <c r="K220" s="32">
        <f ca="1">_xll.DBRW($C$1,$C$2,$C$3,$C$4,$C$6,$C$5,$C$7,K$1,K$2,$A220)</f>
        <v>0</v>
      </c>
      <c r="L220" s="32">
        <f ca="1">_xll.DBRW($C$1,$C$2,$C$3,$C$4,$C$6,$C$5,$C$7,L$1,L$2,$A220)</f>
        <v>0</v>
      </c>
      <c r="M220" s="32">
        <f ca="1">_xll.DBRW($C$1,$C$2,$C$3,$C$4,$C$6,$C$5,$C$7,M$1,M$2,$A220)</f>
        <v>0</v>
      </c>
      <c r="N220" s="32">
        <f ca="1">_xll.DBRW($C$1,$C$2,$C$3,$C$4,$C$6,$C$5,$C$7,N$1,N$2,$A220)</f>
        <v>0</v>
      </c>
      <c r="O220" s="32">
        <f ca="1">_xll.DBRW($C$1,$C$2,$C$3,$C$4,$C$6,$C$5,$C$7,O$1,O$2,$A220)</f>
        <v>0</v>
      </c>
      <c r="P220" s="32">
        <f ca="1">_xll.DBRW($C$1,$C$2,$C$3,$C$4,$C$6,$C$5,$C$7,P$1,P$2,$A220)</f>
        <v>0</v>
      </c>
      <c r="Q220" s="32">
        <f ca="1">_xll.DBRW($C$1,$C$2,$C$3,$C$4,$C$6,$C$5,$C$7,Q$1,Q$2,$A220)</f>
        <v>0</v>
      </c>
      <c r="R220" s="32">
        <f ca="1">_xll.DBRW($C$1,$C$2,$C$3,$C$4,$C$6,$C$5,$C$7,R$1,R$2,$A220)</f>
        <v>0</v>
      </c>
      <c r="S220" s="32">
        <f ca="1">_xll.DBRW($C$1,$C$2,$C$3,$C$4,$C$6,$C$5,$C$7,S$1,S$2,$A220)</f>
        <v>0</v>
      </c>
      <c r="T220" s="32">
        <f ca="1">_xll.DBRW($C$1,$C$2,$C$3,$C$4,$C$6,$C$5,$C$7,T$1,T$2,$A220)</f>
        <v>0</v>
      </c>
      <c r="U220" s="32">
        <f ca="1">_xll.DBRW($C$1,$C$2,$C$3,$C$4,$C$6,$C$5,$C$7,U$1,U$2,$A220)</f>
        <v>0</v>
      </c>
      <c r="V220" s="32">
        <f ca="1">_xll.DBRW($C$1,$C$2,$C$3,$C$4,$C$6,$C$5,$C$7,V$1,V$2,$A220)</f>
        <v>0</v>
      </c>
      <c r="W220" s="32">
        <f ca="1">_xll.DBRW($C$1,$C$2,$C$3,$C$4,$C$6,$C$5,$C$7,W$1,W$2,$A220)</f>
        <v>0</v>
      </c>
      <c r="X220" s="32">
        <f ca="1">_xll.DBRW($C$1,$C$2,$C$3,$C$4,$C$6,$C$5,$C$7,X$1,X$2,$A220)</f>
        <v>0</v>
      </c>
      <c r="Y220" s="32">
        <f ca="1">_xll.DBRW($C$1,$C$2,$C$3,$C$4,$C$6,$C$5,$C$7,Y$1,Y$2,$A220)</f>
        <v>0</v>
      </c>
      <c r="Z220" s="32">
        <f ca="1">_xll.DBRW($C$1,$C$2,$C$3,$C$4,$C$6,$C$5,$C$7,Z$1,Z$2,$A220)</f>
        <v>0</v>
      </c>
      <c r="AA220" s="32">
        <f ca="1">_xll.DBRW($C$1,$C$2,$C$3,$C$4,$C$6,$C$5,$C$7,AA$1,AA$2,$A220)</f>
        <v>0</v>
      </c>
      <c r="AB220" s="32">
        <f ca="1">_xll.DBRW($C$1,$C$2,$C$3,$C$4,$C$6,$C$5,$C$7,AB$1,AB$2,$A220)</f>
        <v>0</v>
      </c>
      <c r="AC220" s="32">
        <f ca="1">_xll.DBRW($C$1,$C$2,$C$3,$C$4,$C$6,$C$5,$C$7,AC$1,AC$2,$A220)</f>
        <v>0</v>
      </c>
      <c r="AD220" s="32">
        <f ca="1">_xll.DBRW($C$1,$C$2,$C$3,$C$4,$C$6,$C$5,$C$7,AD$1,AD$2,$A220)</f>
        <v>0</v>
      </c>
      <c r="AE220" s="32">
        <f ca="1">_xll.DBRW($C$1,$C$2,$C$3,$C$4,$C$6,$C$5,$C$7,AE$1,AE$2,$A220)</f>
        <v>0</v>
      </c>
      <c r="AF220" s="32">
        <f ca="1">_xll.DBRW($C$1,$C$2,$C$3,$C$4,$C$6,$C$5,$C$7,AF$1,AF$2,$A220)</f>
        <v>0</v>
      </c>
      <c r="AG220" s="32">
        <f ca="1">_xll.DBRW($C$1,$C$2,$C$3,$C$4,$C$6,$C$5,$C$7,AG$1,AG$2,$A220)</f>
        <v>0</v>
      </c>
      <c r="AH220" s="32">
        <f ca="1">_xll.DBRW($C$1,$C$2,$C$3,$C$4,$C$6,$C$5,$C$7,AH$1,AH$2,$A220)</f>
        <v>0</v>
      </c>
      <c r="AI220" s="32">
        <f ca="1">_xll.DBRW($C$1,$C$2,$C$3,$C$4,$C$6,$C$5,$C$7,AI$1,AI$2,$A220)</f>
        <v>0</v>
      </c>
      <c r="AJ220" s="32">
        <f ca="1">_xll.DBRW($C$1,$C$2,$C$3,$C$4,$C$6,$C$5,$C$7,AJ$1,AJ$2,$A220)</f>
        <v>0</v>
      </c>
      <c r="AK220" s="32">
        <f ca="1">_xll.DBRW($C$1,$C$2,$C$3,$C$4,$C$6,$C$5,$C$7,AK$1,AK$2,$A220)</f>
        <v>0</v>
      </c>
      <c r="AL220" s="32">
        <f ca="1">_xll.DBRW($C$1,$C$2,$C$3,$C$4,$C$6,$C$5,$C$7,AL$1,AL$2,$A220)</f>
        <v>0</v>
      </c>
      <c r="AM220" s="32">
        <f ca="1">_xll.DBRW($C$1,$C$2,$C$3,$C$4,$C$6,$C$5,$C$7,AM$1,AM$2,$A220)</f>
        <v>0</v>
      </c>
      <c r="AN220" s="32">
        <f ca="1">_xll.DBRW($C$1,$C$2,$C$3,$C$4,$C$6,$C$5,$C$7,AN$1,AN$2,$A220)</f>
        <v>0</v>
      </c>
      <c r="AO220" s="32">
        <f ca="1">_xll.DBRW($C$1,$C$2,$C$3,$C$4,$C$6,$C$5,$C$7,AO$1,AO$2,$A220)</f>
        <v>0</v>
      </c>
      <c r="AP220" s="32">
        <f ca="1">_xll.DBRW($C$1,$C$2,$C$3,$C$4,$C$6,$C$5,$C$7,AP$1,AP$2,$A220)</f>
        <v>0</v>
      </c>
      <c r="AQ220" s="32">
        <f ca="1">_xll.DBRW($C$1,$C$2,$C$3,$C$4,$C$6,$C$5,$C$7,AQ$1,AQ$2,$A220)</f>
        <v>0</v>
      </c>
      <c r="AR220" s="32">
        <f ca="1">_xll.DBRW($C$1,$C$2,$C$3,$C$4,$C$6,$C$5,$C$7,AR$1,AR$2,$A220)</f>
        <v>0</v>
      </c>
      <c r="AS220" s="32">
        <f ca="1">_xll.DBRW($C$1,$C$2,$C$3,$C$4,$C$6,$C$5,$C$7,AS$1,AS$2,$A220)</f>
        <v>0</v>
      </c>
      <c r="AT220" s="32">
        <f ca="1">_xll.DBRW($C$1,$C$2,$C$3,$C$4,$C$6,$C$5,$C$7,AT$1,AT$2,$A220)</f>
        <v>0</v>
      </c>
      <c r="AU220" s="32">
        <f ca="1">_xll.DBRW($C$1,$C$2,$C$3,$C$4,$C$6,$C$5,$C$7,AU$1,AU$2,$A220)</f>
        <v>0</v>
      </c>
      <c r="AV220" s="32">
        <f ca="1">_xll.DBRW($C$1,$C$2,$C$3,$C$4,$C$6,$C$5,$C$7,AV$1,AV$2,$A220)</f>
        <v>0</v>
      </c>
      <c r="AW220" s="32">
        <f ca="1">_xll.DBRW($C$1,$C$2,$C$3,$C$4,$C$6,$C$5,$C$7,AW$1,AW$2,$A220)</f>
        <v>0</v>
      </c>
      <c r="AX220" s="32">
        <f ca="1">_xll.DBRW($C$1,$C$2,$C$3,$C$4,$C$6,$C$5,$C$7,AX$1,AX$2,$A220)</f>
        <v>0</v>
      </c>
      <c r="AY220" s="32">
        <f ca="1">_xll.DBRW($C$1,$C$2,$C$3,$C$4,$C$6,$C$5,$C$7,AY$1,AY$2,$A220)</f>
        <v>0</v>
      </c>
    </row>
    <row r="221" spans="1:51" ht="15.75" hidden="1" customHeight="1" outlineLevel="1">
      <c r="A221" s="1" t="s">
        <v>308</v>
      </c>
      <c r="C221" s="109"/>
      <c r="E221" s="9" t="str">
        <f ca="1">_xll.DBRW(Server&amp;"}ElementAttributes_Indicator",A221,"code_English")</f>
        <v>PL1184_XX - Vector Reconciliation (TPL11) - Recycling from Fair value reserves to operating profit (CFH)</v>
      </c>
      <c r="F221" s="32">
        <f ca="1">_xll.DBRW($C$1,$C$2,$C$3,$C$4,$C$6,$C$5,$C$7,F$1,F$2,$A221)</f>
        <v>0</v>
      </c>
      <c r="G221" s="32">
        <f ca="1">_xll.DBRW($C$1,$C$2,$C$3,$C$4,$C$6,$C$5,$C$7,G$1,G$2,$A221)</f>
        <v>0</v>
      </c>
      <c r="H221" s="32">
        <f ca="1">_xll.DBRW($C$1,$C$2,$C$3,$C$4,$C$6,$C$5,$C$7,H$1,H$2,$A221)</f>
        <v>0</v>
      </c>
      <c r="I221" s="32">
        <f ca="1">_xll.DBRW($C$1,$C$2,$C$3,$C$4,$C$6,$C$5,$C$7,I$1,I$2,$A221)</f>
        <v>0</v>
      </c>
      <c r="J221" s="32">
        <f ca="1">_xll.DBRW($C$1,$C$2,$C$3,$C$4,$C$6,$C$5,$C$7,J$1,J$2,$A221)</f>
        <v>0</v>
      </c>
      <c r="K221" s="32">
        <f ca="1">_xll.DBRW($C$1,$C$2,$C$3,$C$4,$C$6,$C$5,$C$7,K$1,K$2,$A221)</f>
        <v>0</v>
      </c>
      <c r="L221" s="32">
        <f ca="1">_xll.DBRW($C$1,$C$2,$C$3,$C$4,$C$6,$C$5,$C$7,L$1,L$2,$A221)</f>
        <v>0</v>
      </c>
      <c r="M221" s="32">
        <f ca="1">_xll.DBRW($C$1,$C$2,$C$3,$C$4,$C$6,$C$5,$C$7,M$1,M$2,$A221)</f>
        <v>0</v>
      </c>
      <c r="N221" s="32">
        <f ca="1">_xll.DBRW($C$1,$C$2,$C$3,$C$4,$C$6,$C$5,$C$7,N$1,N$2,$A221)</f>
        <v>0</v>
      </c>
      <c r="O221" s="32">
        <f ca="1">_xll.DBRW($C$1,$C$2,$C$3,$C$4,$C$6,$C$5,$C$7,O$1,O$2,$A221)</f>
        <v>0</v>
      </c>
      <c r="P221" s="32">
        <f ca="1">_xll.DBRW($C$1,$C$2,$C$3,$C$4,$C$6,$C$5,$C$7,P$1,P$2,$A221)</f>
        <v>0</v>
      </c>
      <c r="Q221" s="32">
        <f ca="1">_xll.DBRW($C$1,$C$2,$C$3,$C$4,$C$6,$C$5,$C$7,Q$1,Q$2,$A221)</f>
        <v>0</v>
      </c>
      <c r="R221" s="32">
        <f ca="1">_xll.DBRW($C$1,$C$2,$C$3,$C$4,$C$6,$C$5,$C$7,R$1,R$2,$A221)</f>
        <v>0</v>
      </c>
      <c r="S221" s="32">
        <f ca="1">_xll.DBRW($C$1,$C$2,$C$3,$C$4,$C$6,$C$5,$C$7,S$1,S$2,$A221)</f>
        <v>0</v>
      </c>
      <c r="T221" s="32">
        <f ca="1">_xll.DBRW($C$1,$C$2,$C$3,$C$4,$C$6,$C$5,$C$7,T$1,T$2,$A221)</f>
        <v>0</v>
      </c>
      <c r="U221" s="32">
        <f ca="1">_xll.DBRW($C$1,$C$2,$C$3,$C$4,$C$6,$C$5,$C$7,U$1,U$2,$A221)</f>
        <v>0</v>
      </c>
      <c r="V221" s="32">
        <f ca="1">_xll.DBRW($C$1,$C$2,$C$3,$C$4,$C$6,$C$5,$C$7,V$1,V$2,$A221)</f>
        <v>0</v>
      </c>
      <c r="W221" s="32">
        <f ca="1">_xll.DBRW($C$1,$C$2,$C$3,$C$4,$C$6,$C$5,$C$7,W$1,W$2,$A221)</f>
        <v>0</v>
      </c>
      <c r="X221" s="32">
        <f ca="1">_xll.DBRW($C$1,$C$2,$C$3,$C$4,$C$6,$C$5,$C$7,X$1,X$2,$A221)</f>
        <v>0</v>
      </c>
      <c r="Y221" s="32">
        <f ca="1">_xll.DBRW($C$1,$C$2,$C$3,$C$4,$C$6,$C$5,$C$7,Y$1,Y$2,$A221)</f>
        <v>0</v>
      </c>
      <c r="Z221" s="32">
        <f ca="1">_xll.DBRW($C$1,$C$2,$C$3,$C$4,$C$6,$C$5,$C$7,Z$1,Z$2,$A221)</f>
        <v>0</v>
      </c>
      <c r="AA221" s="32">
        <f ca="1">_xll.DBRW($C$1,$C$2,$C$3,$C$4,$C$6,$C$5,$C$7,AA$1,AA$2,$A221)</f>
        <v>0</v>
      </c>
      <c r="AB221" s="32">
        <f ca="1">_xll.DBRW($C$1,$C$2,$C$3,$C$4,$C$6,$C$5,$C$7,AB$1,AB$2,$A221)</f>
        <v>0</v>
      </c>
      <c r="AC221" s="32">
        <f ca="1">_xll.DBRW($C$1,$C$2,$C$3,$C$4,$C$6,$C$5,$C$7,AC$1,AC$2,$A221)</f>
        <v>0</v>
      </c>
      <c r="AD221" s="32">
        <f ca="1">_xll.DBRW($C$1,$C$2,$C$3,$C$4,$C$6,$C$5,$C$7,AD$1,AD$2,$A221)</f>
        <v>0</v>
      </c>
      <c r="AE221" s="32">
        <f ca="1">_xll.DBRW($C$1,$C$2,$C$3,$C$4,$C$6,$C$5,$C$7,AE$1,AE$2,$A221)</f>
        <v>0</v>
      </c>
      <c r="AF221" s="32">
        <f ca="1">_xll.DBRW($C$1,$C$2,$C$3,$C$4,$C$6,$C$5,$C$7,AF$1,AF$2,$A221)</f>
        <v>0</v>
      </c>
      <c r="AG221" s="32">
        <f ca="1">_xll.DBRW($C$1,$C$2,$C$3,$C$4,$C$6,$C$5,$C$7,AG$1,AG$2,$A221)</f>
        <v>0</v>
      </c>
      <c r="AH221" s="32">
        <f ca="1">_xll.DBRW($C$1,$C$2,$C$3,$C$4,$C$6,$C$5,$C$7,AH$1,AH$2,$A221)</f>
        <v>0</v>
      </c>
      <c r="AI221" s="32">
        <f ca="1">_xll.DBRW($C$1,$C$2,$C$3,$C$4,$C$6,$C$5,$C$7,AI$1,AI$2,$A221)</f>
        <v>0</v>
      </c>
      <c r="AJ221" s="32">
        <f ca="1">_xll.DBRW($C$1,$C$2,$C$3,$C$4,$C$6,$C$5,$C$7,AJ$1,AJ$2,$A221)</f>
        <v>0</v>
      </c>
      <c r="AK221" s="32">
        <f ca="1">_xll.DBRW($C$1,$C$2,$C$3,$C$4,$C$6,$C$5,$C$7,AK$1,AK$2,$A221)</f>
        <v>0</v>
      </c>
      <c r="AL221" s="32">
        <f ca="1">_xll.DBRW($C$1,$C$2,$C$3,$C$4,$C$6,$C$5,$C$7,AL$1,AL$2,$A221)</f>
        <v>0</v>
      </c>
      <c r="AM221" s="32">
        <f ca="1">_xll.DBRW($C$1,$C$2,$C$3,$C$4,$C$6,$C$5,$C$7,AM$1,AM$2,$A221)</f>
        <v>0</v>
      </c>
      <c r="AN221" s="32">
        <f ca="1">_xll.DBRW($C$1,$C$2,$C$3,$C$4,$C$6,$C$5,$C$7,AN$1,AN$2,$A221)</f>
        <v>0</v>
      </c>
      <c r="AO221" s="32">
        <f ca="1">_xll.DBRW($C$1,$C$2,$C$3,$C$4,$C$6,$C$5,$C$7,AO$1,AO$2,$A221)</f>
        <v>0</v>
      </c>
      <c r="AP221" s="32">
        <f ca="1">_xll.DBRW($C$1,$C$2,$C$3,$C$4,$C$6,$C$5,$C$7,AP$1,AP$2,$A221)</f>
        <v>0</v>
      </c>
      <c r="AQ221" s="32">
        <f ca="1">_xll.DBRW($C$1,$C$2,$C$3,$C$4,$C$6,$C$5,$C$7,AQ$1,AQ$2,$A221)</f>
        <v>0</v>
      </c>
      <c r="AR221" s="32">
        <f ca="1">_xll.DBRW($C$1,$C$2,$C$3,$C$4,$C$6,$C$5,$C$7,AR$1,AR$2,$A221)</f>
        <v>0</v>
      </c>
      <c r="AS221" s="32">
        <f ca="1">_xll.DBRW($C$1,$C$2,$C$3,$C$4,$C$6,$C$5,$C$7,AS$1,AS$2,$A221)</f>
        <v>0</v>
      </c>
      <c r="AT221" s="32">
        <f ca="1">_xll.DBRW($C$1,$C$2,$C$3,$C$4,$C$6,$C$5,$C$7,AT$1,AT$2,$A221)</f>
        <v>0</v>
      </c>
      <c r="AU221" s="32">
        <f ca="1">_xll.DBRW($C$1,$C$2,$C$3,$C$4,$C$6,$C$5,$C$7,AU$1,AU$2,$A221)</f>
        <v>0</v>
      </c>
      <c r="AV221" s="32">
        <f ca="1">_xll.DBRW($C$1,$C$2,$C$3,$C$4,$C$6,$C$5,$C$7,AV$1,AV$2,$A221)</f>
        <v>0</v>
      </c>
      <c r="AW221" s="32">
        <f ca="1">_xll.DBRW($C$1,$C$2,$C$3,$C$4,$C$6,$C$5,$C$7,AW$1,AW$2,$A221)</f>
        <v>0</v>
      </c>
      <c r="AX221" s="32">
        <f ca="1">_xll.DBRW($C$1,$C$2,$C$3,$C$4,$C$6,$C$5,$C$7,AX$1,AX$2,$A221)</f>
        <v>0</v>
      </c>
      <c r="AY221" s="32">
        <f ca="1">_xll.DBRW($C$1,$C$2,$C$3,$C$4,$C$6,$C$5,$C$7,AY$1,AY$2,$A221)</f>
        <v>0</v>
      </c>
    </row>
    <row r="222" spans="1:51" ht="14.5" collapsed="1">
      <c r="A222" s="1" t="s">
        <v>142</v>
      </c>
      <c r="C222" s="109"/>
      <c r="E222" s="23" t="s">
        <v>43</v>
      </c>
      <c r="F222" s="36">
        <f t="shared" ref="F222:L222" ca="1" si="109">SUM(F191:F221)</f>
        <v>0</v>
      </c>
      <c r="G222" s="36">
        <f t="shared" ca="1" si="109"/>
        <v>0</v>
      </c>
      <c r="H222" s="36">
        <f t="shared" ca="1" si="109"/>
        <v>0</v>
      </c>
      <c r="I222" s="36">
        <f t="shared" ca="1" si="109"/>
        <v>0</v>
      </c>
      <c r="J222" s="36">
        <f t="shared" ca="1" si="109"/>
        <v>0</v>
      </c>
      <c r="K222" s="36">
        <f t="shared" ca="1" si="109"/>
        <v>0</v>
      </c>
      <c r="L222" s="36">
        <f t="shared" ca="1" si="109"/>
        <v>0</v>
      </c>
      <c r="M222" s="36">
        <f t="shared" ref="M222:X222" ca="1" si="110">SUM(M191:M221)</f>
        <v>0</v>
      </c>
      <c r="N222" s="36">
        <f t="shared" ca="1" si="110"/>
        <v>0</v>
      </c>
      <c r="O222" s="36">
        <f t="shared" ca="1" si="110"/>
        <v>0</v>
      </c>
      <c r="P222" s="36">
        <f t="shared" ca="1" si="110"/>
        <v>0</v>
      </c>
      <c r="Q222" s="36">
        <f t="shared" ca="1" si="110"/>
        <v>0</v>
      </c>
      <c r="R222" s="36">
        <f t="shared" ca="1" si="110"/>
        <v>0</v>
      </c>
      <c r="S222" s="36">
        <f t="shared" ca="1" si="110"/>
        <v>0</v>
      </c>
      <c r="T222" s="36">
        <f t="shared" ca="1" si="110"/>
        <v>0</v>
      </c>
      <c r="U222" s="36">
        <f t="shared" ca="1" si="110"/>
        <v>0</v>
      </c>
      <c r="V222" s="36">
        <f t="shared" ca="1" si="110"/>
        <v>0</v>
      </c>
      <c r="W222" s="36">
        <f t="shared" ca="1" si="110"/>
        <v>0</v>
      </c>
      <c r="X222" s="36">
        <f t="shared" ca="1" si="110"/>
        <v>0</v>
      </c>
      <c r="Y222" s="36">
        <f ca="1">SUM(Y191:Y221)</f>
        <v>0</v>
      </c>
      <c r="Z222" s="36">
        <f t="shared" ref="Z222:AK222" ca="1" si="111">SUM(Z191:Z221)</f>
        <v>0</v>
      </c>
      <c r="AA222" s="36">
        <f t="shared" ca="1" si="111"/>
        <v>0</v>
      </c>
      <c r="AB222" s="36">
        <f t="shared" ca="1" si="111"/>
        <v>0</v>
      </c>
      <c r="AC222" s="36">
        <f t="shared" ca="1" si="111"/>
        <v>0</v>
      </c>
      <c r="AD222" s="36">
        <f t="shared" ca="1" si="111"/>
        <v>0</v>
      </c>
      <c r="AE222" s="36">
        <f t="shared" ca="1" si="111"/>
        <v>0</v>
      </c>
      <c r="AF222" s="36">
        <f t="shared" ca="1" si="111"/>
        <v>0</v>
      </c>
      <c r="AG222" s="36">
        <f t="shared" ca="1" si="111"/>
        <v>0</v>
      </c>
      <c r="AH222" s="36">
        <f t="shared" ca="1" si="111"/>
        <v>0</v>
      </c>
      <c r="AI222" s="36">
        <f t="shared" ca="1" si="111"/>
        <v>0</v>
      </c>
      <c r="AJ222" s="36">
        <f t="shared" ca="1" si="111"/>
        <v>0</v>
      </c>
      <c r="AK222" s="36">
        <f t="shared" ca="1" si="111"/>
        <v>0</v>
      </c>
      <c r="AL222" s="36">
        <f ca="1">SUM(AL191:AL221)</f>
        <v>0</v>
      </c>
      <c r="AM222" s="36">
        <f t="shared" ref="AM222:AX222" ca="1" si="112">SUM(AM191:AM221)</f>
        <v>0</v>
      </c>
      <c r="AN222" s="36">
        <f t="shared" ca="1" si="112"/>
        <v>0</v>
      </c>
      <c r="AO222" s="36">
        <f t="shared" ca="1" si="112"/>
        <v>0</v>
      </c>
      <c r="AP222" s="36">
        <f t="shared" ca="1" si="112"/>
        <v>0</v>
      </c>
      <c r="AQ222" s="36">
        <f t="shared" ca="1" si="112"/>
        <v>0</v>
      </c>
      <c r="AR222" s="36">
        <f t="shared" ca="1" si="112"/>
        <v>0</v>
      </c>
      <c r="AS222" s="36">
        <f t="shared" ca="1" si="112"/>
        <v>0</v>
      </c>
      <c r="AT222" s="36">
        <f t="shared" ca="1" si="112"/>
        <v>0</v>
      </c>
      <c r="AU222" s="36">
        <f t="shared" ca="1" si="112"/>
        <v>0</v>
      </c>
      <c r="AV222" s="36">
        <f t="shared" ca="1" si="112"/>
        <v>0</v>
      </c>
      <c r="AW222" s="36">
        <f t="shared" ca="1" si="112"/>
        <v>0</v>
      </c>
      <c r="AX222" s="36">
        <f t="shared" ca="1" si="112"/>
        <v>0</v>
      </c>
      <c r="AY222" s="36">
        <f ca="1">SUM(AY191:AY221)</f>
        <v>0</v>
      </c>
    </row>
    <row r="223" spans="1:51" ht="15.5">
      <c r="A223" s="1" t="s">
        <v>142</v>
      </c>
      <c r="C223" s="109"/>
      <c r="E223" s="20" t="s">
        <v>44</v>
      </c>
      <c r="F223" s="37">
        <f t="shared" ref="F223:AY223" ca="1" si="113">F34+F45+F84+F102+F118+F190+F222</f>
        <v>0</v>
      </c>
      <c r="G223" s="37">
        <f t="shared" ca="1" si="113"/>
        <v>0</v>
      </c>
      <c r="H223" s="37">
        <f t="shared" ca="1" si="113"/>
        <v>0</v>
      </c>
      <c r="I223" s="37">
        <f t="shared" ca="1" si="113"/>
        <v>0</v>
      </c>
      <c r="J223" s="37">
        <f t="shared" ca="1" si="113"/>
        <v>0</v>
      </c>
      <c r="K223" s="37">
        <f t="shared" ca="1" si="113"/>
        <v>0</v>
      </c>
      <c r="L223" s="37">
        <f t="shared" ca="1" si="113"/>
        <v>0</v>
      </c>
      <c r="M223" s="37">
        <f t="shared" ca="1" si="113"/>
        <v>0</v>
      </c>
      <c r="N223" s="37">
        <f t="shared" ca="1" si="113"/>
        <v>0</v>
      </c>
      <c r="O223" s="37">
        <f t="shared" ca="1" si="113"/>
        <v>0</v>
      </c>
      <c r="P223" s="37">
        <f t="shared" ca="1" si="113"/>
        <v>0</v>
      </c>
      <c r="Q223" s="37">
        <f t="shared" ca="1" si="113"/>
        <v>0</v>
      </c>
      <c r="R223" s="37">
        <f t="shared" ca="1" si="113"/>
        <v>0</v>
      </c>
      <c r="S223" s="37">
        <f t="shared" ca="1" si="113"/>
        <v>0</v>
      </c>
      <c r="T223" s="37">
        <f t="shared" ca="1" si="113"/>
        <v>0</v>
      </c>
      <c r="U223" s="37">
        <f t="shared" ca="1" si="113"/>
        <v>0</v>
      </c>
      <c r="V223" s="37">
        <f t="shared" ca="1" si="113"/>
        <v>0</v>
      </c>
      <c r="W223" s="37">
        <f t="shared" ca="1" si="113"/>
        <v>0</v>
      </c>
      <c r="X223" s="37">
        <f t="shared" ca="1" si="113"/>
        <v>0</v>
      </c>
      <c r="Y223" s="37">
        <f t="shared" ca="1" si="113"/>
        <v>0</v>
      </c>
      <c r="Z223" s="37">
        <f t="shared" ca="1" si="113"/>
        <v>0</v>
      </c>
      <c r="AA223" s="37">
        <f t="shared" ca="1" si="113"/>
        <v>0</v>
      </c>
      <c r="AB223" s="37">
        <f t="shared" ca="1" si="113"/>
        <v>0</v>
      </c>
      <c r="AC223" s="37">
        <f t="shared" ca="1" si="113"/>
        <v>0</v>
      </c>
      <c r="AD223" s="37">
        <f t="shared" ca="1" si="113"/>
        <v>0</v>
      </c>
      <c r="AE223" s="37">
        <f t="shared" ca="1" si="113"/>
        <v>0</v>
      </c>
      <c r="AF223" s="37">
        <f t="shared" ca="1" si="113"/>
        <v>0</v>
      </c>
      <c r="AG223" s="37">
        <f t="shared" ca="1" si="113"/>
        <v>0</v>
      </c>
      <c r="AH223" s="37">
        <f t="shared" ca="1" si="113"/>
        <v>0</v>
      </c>
      <c r="AI223" s="37">
        <f t="shared" ca="1" si="113"/>
        <v>0</v>
      </c>
      <c r="AJ223" s="37">
        <f t="shared" ca="1" si="113"/>
        <v>0</v>
      </c>
      <c r="AK223" s="37">
        <f t="shared" ca="1" si="113"/>
        <v>0</v>
      </c>
      <c r="AL223" s="37">
        <f t="shared" ca="1" si="113"/>
        <v>0</v>
      </c>
      <c r="AM223" s="37">
        <f t="shared" ca="1" si="113"/>
        <v>0</v>
      </c>
      <c r="AN223" s="37">
        <f t="shared" ca="1" si="113"/>
        <v>0</v>
      </c>
      <c r="AO223" s="37">
        <f t="shared" ca="1" si="113"/>
        <v>0</v>
      </c>
      <c r="AP223" s="37">
        <f t="shared" ca="1" si="113"/>
        <v>0</v>
      </c>
      <c r="AQ223" s="37">
        <f t="shared" ca="1" si="113"/>
        <v>0</v>
      </c>
      <c r="AR223" s="37">
        <f t="shared" ca="1" si="113"/>
        <v>0</v>
      </c>
      <c r="AS223" s="37">
        <f t="shared" ca="1" si="113"/>
        <v>0</v>
      </c>
      <c r="AT223" s="37">
        <f t="shared" ca="1" si="113"/>
        <v>0</v>
      </c>
      <c r="AU223" s="37">
        <f t="shared" ca="1" si="113"/>
        <v>0</v>
      </c>
      <c r="AV223" s="37">
        <f t="shared" ca="1" si="113"/>
        <v>0</v>
      </c>
      <c r="AW223" s="37">
        <f t="shared" ca="1" si="113"/>
        <v>0</v>
      </c>
      <c r="AX223" s="37">
        <f t="shared" ca="1" si="113"/>
        <v>0</v>
      </c>
      <c r="AY223" s="37">
        <f t="shared" ca="1" si="113"/>
        <v>0</v>
      </c>
    </row>
    <row r="224" spans="1:51" ht="9" customHeight="1">
      <c r="A224" s="1" t="s">
        <v>142</v>
      </c>
      <c r="C224" s="109"/>
      <c r="E224" s="7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25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29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</row>
    <row r="225" spans="1:51" ht="15.5">
      <c r="A225" s="1" t="s">
        <v>309</v>
      </c>
      <c r="C225" s="109"/>
      <c r="E225" s="20" t="s">
        <v>45</v>
      </c>
      <c r="F225" s="37">
        <f ca="1">F31+F223</f>
        <v>0</v>
      </c>
      <c r="G225" s="37">
        <f t="shared" ref="G225:AY225" ca="1" si="114">G31+G223</f>
        <v>0</v>
      </c>
      <c r="H225" s="37">
        <f t="shared" ca="1" si="114"/>
        <v>0</v>
      </c>
      <c r="I225" s="37">
        <f t="shared" ca="1" si="114"/>
        <v>0</v>
      </c>
      <c r="J225" s="37">
        <f t="shared" ca="1" si="114"/>
        <v>0</v>
      </c>
      <c r="K225" s="37">
        <f t="shared" ca="1" si="114"/>
        <v>0</v>
      </c>
      <c r="L225" s="37">
        <f t="shared" ca="1" si="114"/>
        <v>0</v>
      </c>
      <c r="M225" s="37">
        <f t="shared" ca="1" si="114"/>
        <v>0</v>
      </c>
      <c r="N225" s="37">
        <f t="shared" ca="1" si="114"/>
        <v>0</v>
      </c>
      <c r="O225" s="37">
        <f t="shared" ca="1" si="114"/>
        <v>0</v>
      </c>
      <c r="P225" s="37">
        <f t="shared" ca="1" si="114"/>
        <v>0</v>
      </c>
      <c r="Q225" s="37">
        <f t="shared" ca="1" si="114"/>
        <v>0</v>
      </c>
      <c r="R225" s="37">
        <f t="shared" ca="1" si="114"/>
        <v>0</v>
      </c>
      <c r="S225" s="37">
        <f t="shared" ca="1" si="114"/>
        <v>0</v>
      </c>
      <c r="T225" s="37">
        <f t="shared" ca="1" si="114"/>
        <v>0</v>
      </c>
      <c r="U225" s="37">
        <f t="shared" ca="1" si="114"/>
        <v>0</v>
      </c>
      <c r="V225" s="37">
        <f t="shared" ca="1" si="114"/>
        <v>0</v>
      </c>
      <c r="W225" s="37">
        <f t="shared" ca="1" si="114"/>
        <v>0</v>
      </c>
      <c r="X225" s="37">
        <f t="shared" ca="1" si="114"/>
        <v>0</v>
      </c>
      <c r="Y225" s="37">
        <f t="shared" ca="1" si="114"/>
        <v>0</v>
      </c>
      <c r="Z225" s="37">
        <f t="shared" ca="1" si="114"/>
        <v>0</v>
      </c>
      <c r="AA225" s="37">
        <f t="shared" ca="1" si="114"/>
        <v>0</v>
      </c>
      <c r="AB225" s="37">
        <f t="shared" ca="1" si="114"/>
        <v>0</v>
      </c>
      <c r="AC225" s="37">
        <f t="shared" ca="1" si="114"/>
        <v>0</v>
      </c>
      <c r="AD225" s="37">
        <f t="shared" ca="1" si="114"/>
        <v>0</v>
      </c>
      <c r="AE225" s="37">
        <f t="shared" ca="1" si="114"/>
        <v>0</v>
      </c>
      <c r="AF225" s="37">
        <f t="shared" ca="1" si="114"/>
        <v>0</v>
      </c>
      <c r="AG225" s="37">
        <f t="shared" ca="1" si="114"/>
        <v>0</v>
      </c>
      <c r="AH225" s="37">
        <f t="shared" ca="1" si="114"/>
        <v>0</v>
      </c>
      <c r="AI225" s="37">
        <f t="shared" ca="1" si="114"/>
        <v>0</v>
      </c>
      <c r="AJ225" s="37">
        <f t="shared" ca="1" si="114"/>
        <v>0</v>
      </c>
      <c r="AK225" s="37">
        <f t="shared" ca="1" si="114"/>
        <v>0</v>
      </c>
      <c r="AL225" s="37">
        <f t="shared" ca="1" si="114"/>
        <v>0</v>
      </c>
      <c r="AM225" s="37">
        <f t="shared" ca="1" si="114"/>
        <v>0</v>
      </c>
      <c r="AN225" s="37">
        <f t="shared" ca="1" si="114"/>
        <v>0</v>
      </c>
      <c r="AO225" s="37">
        <f t="shared" ca="1" si="114"/>
        <v>0</v>
      </c>
      <c r="AP225" s="37">
        <f t="shared" ca="1" si="114"/>
        <v>0</v>
      </c>
      <c r="AQ225" s="37">
        <f t="shared" ca="1" si="114"/>
        <v>0</v>
      </c>
      <c r="AR225" s="37">
        <f t="shared" ca="1" si="114"/>
        <v>0</v>
      </c>
      <c r="AS225" s="37">
        <f t="shared" ca="1" si="114"/>
        <v>0</v>
      </c>
      <c r="AT225" s="37">
        <f t="shared" ca="1" si="114"/>
        <v>0</v>
      </c>
      <c r="AU225" s="37">
        <f t="shared" ca="1" si="114"/>
        <v>0</v>
      </c>
      <c r="AV225" s="37">
        <f t="shared" ca="1" si="114"/>
        <v>0</v>
      </c>
      <c r="AW225" s="37">
        <f t="shared" ca="1" si="114"/>
        <v>0</v>
      </c>
      <c r="AX225" s="37">
        <f t="shared" ca="1" si="114"/>
        <v>0</v>
      </c>
      <c r="AY225" s="37">
        <f t="shared" ca="1" si="114"/>
        <v>0</v>
      </c>
    </row>
    <row r="226" spans="1:51" ht="9" customHeight="1">
      <c r="A226" s="1" t="s">
        <v>142</v>
      </c>
      <c r="C226" s="109"/>
      <c r="E226" s="7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29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</row>
    <row r="227" spans="1:51" ht="15.75" hidden="1" customHeight="1" outlineLevel="1">
      <c r="A227" s="1" t="s">
        <v>310</v>
      </c>
      <c r="C227" s="109"/>
      <c r="E227" s="9" t="str">
        <f ca="1">_xll.DBRW(Server&amp;"}ElementAttributes_Indicator",A227,"code_English")</f>
        <v>PL0000_BD - Business development expenses (RESOP)</v>
      </c>
      <c r="F227" s="10">
        <f ca="1">_xll.DBRW($C$1,$C$2,$C$3,$C$4,$C$6,$C$5,$C$7,F$1,F$2,$A227)</f>
        <v>0</v>
      </c>
      <c r="G227" s="10">
        <f ca="1">_xll.DBRW($C$1,$C$2,$C$3,$C$4,$C$6,$C$5,$C$7,G$1,G$2,$A227)</f>
        <v>0</v>
      </c>
      <c r="H227" s="10">
        <f ca="1">_xll.DBRW($C$1,$C$2,$C$3,$C$4,$C$6,$C$5,$C$7,H$1,H$2,$A227)</f>
        <v>0</v>
      </c>
      <c r="I227" s="10">
        <f ca="1">_xll.DBRW($C$1,$C$2,$C$3,$C$4,$C$6,$C$5,$C$7,I$1,I$2,$A227)</f>
        <v>0</v>
      </c>
      <c r="J227" s="10">
        <f ca="1">_xll.DBRW($C$1,$C$2,$C$3,$C$4,$C$6,$C$5,$C$7,J$1,J$2,$A227)</f>
        <v>0</v>
      </c>
      <c r="K227" s="10">
        <f ca="1">_xll.DBRW($C$1,$C$2,$C$3,$C$4,$C$6,$C$5,$C$7,K$1,K$2,$A227)</f>
        <v>0</v>
      </c>
      <c r="L227" s="10">
        <f ca="1">_xll.DBRW($C$1,$C$2,$C$3,$C$4,$C$6,$C$5,$C$7,L$1,L$2,$A227)</f>
        <v>0</v>
      </c>
      <c r="M227" s="10">
        <f ca="1">_xll.DBRW($C$1,$C$2,$C$3,$C$4,$C$6,$C$5,$C$7,M$1,M$2,$A227)</f>
        <v>0</v>
      </c>
      <c r="N227" s="10">
        <f ca="1">_xll.DBRW($C$1,$C$2,$C$3,$C$4,$C$6,$C$5,$C$7,N$1,N$2,$A227)</f>
        <v>0</v>
      </c>
      <c r="O227" s="10">
        <f ca="1">_xll.DBRW($C$1,$C$2,$C$3,$C$4,$C$6,$C$5,$C$7,O$1,O$2,$A227)</f>
        <v>0</v>
      </c>
      <c r="P227" s="10">
        <f ca="1">_xll.DBRW($C$1,$C$2,$C$3,$C$4,$C$6,$C$5,$C$7,P$1,P$2,$A227)</f>
        <v>0</v>
      </c>
      <c r="Q227" s="10">
        <f ca="1">_xll.DBRW($C$1,$C$2,$C$3,$C$4,$C$6,$C$5,$C$7,Q$1,Q$2,$A227)</f>
        <v>0</v>
      </c>
      <c r="R227" s="10">
        <f ca="1">_xll.DBRW($C$1,$C$2,$C$3,$C$4,$C$6,$C$5,$C$7,R$1,R$2,$A227)</f>
        <v>0</v>
      </c>
      <c r="S227" s="10">
        <f ca="1">_xll.DBRW($C$1,$C$2,$C$3,$C$4,$C$6,$C$5,$C$7,S$1,S$2,$A227)</f>
        <v>0</v>
      </c>
      <c r="T227" s="10">
        <f ca="1">_xll.DBRW($C$1,$C$2,$C$3,$C$4,$C$6,$C$5,$C$7,T$1,T$2,$A227)</f>
        <v>0</v>
      </c>
      <c r="U227" s="10">
        <f ca="1">_xll.DBRW($C$1,$C$2,$C$3,$C$4,$C$6,$C$5,$C$7,U$1,U$2,$A227)</f>
        <v>0</v>
      </c>
      <c r="V227" s="10">
        <f ca="1">_xll.DBRW($C$1,$C$2,$C$3,$C$4,$C$6,$C$5,$C$7,V$1,V$2,$A227)</f>
        <v>0</v>
      </c>
      <c r="W227" s="10">
        <f ca="1">_xll.DBRW($C$1,$C$2,$C$3,$C$4,$C$6,$C$5,$C$7,W$1,W$2,$A227)</f>
        <v>0</v>
      </c>
      <c r="X227" s="10">
        <f ca="1">_xll.DBRW($C$1,$C$2,$C$3,$C$4,$C$6,$C$5,$C$7,X$1,X$2,$A227)</f>
        <v>0</v>
      </c>
      <c r="Y227" s="10">
        <f ca="1">_xll.DBRW($C$1,$C$2,$C$3,$C$4,$C$6,$C$5,$C$7,Y$1,Y$2,$A227)</f>
        <v>0</v>
      </c>
      <c r="Z227" s="10">
        <f ca="1">_xll.DBRW($C$1,$C$2,$C$3,$C$4,$C$6,$C$5,$C$7,Z$1,Z$2,$A227)</f>
        <v>0</v>
      </c>
      <c r="AA227" s="10">
        <f ca="1">_xll.DBRW($C$1,$C$2,$C$3,$C$4,$C$6,$C$5,$C$7,AA$1,AA$2,$A227)</f>
        <v>0</v>
      </c>
      <c r="AB227" s="10">
        <f ca="1">_xll.DBRW($C$1,$C$2,$C$3,$C$4,$C$6,$C$5,$C$7,AB$1,AB$2,$A227)</f>
        <v>0</v>
      </c>
      <c r="AC227" s="10">
        <f ca="1">_xll.DBRW($C$1,$C$2,$C$3,$C$4,$C$6,$C$5,$C$7,AC$1,AC$2,$A227)</f>
        <v>0</v>
      </c>
      <c r="AD227" s="10">
        <f ca="1">_xll.DBRW($C$1,$C$2,$C$3,$C$4,$C$6,$C$5,$C$7,AD$1,AD$2,$A227)</f>
        <v>0</v>
      </c>
      <c r="AE227" s="10">
        <f ca="1">_xll.DBRW($C$1,$C$2,$C$3,$C$4,$C$6,$C$5,$C$7,AE$1,AE$2,$A227)</f>
        <v>0</v>
      </c>
      <c r="AF227" s="10">
        <f ca="1">_xll.DBRW($C$1,$C$2,$C$3,$C$4,$C$6,$C$5,$C$7,AF$1,AF$2,$A227)</f>
        <v>0</v>
      </c>
      <c r="AG227" s="10">
        <f ca="1">_xll.DBRW($C$1,$C$2,$C$3,$C$4,$C$6,$C$5,$C$7,AG$1,AG$2,$A227)</f>
        <v>0</v>
      </c>
      <c r="AH227" s="10">
        <f ca="1">_xll.DBRW($C$1,$C$2,$C$3,$C$4,$C$6,$C$5,$C$7,AH$1,AH$2,$A227)</f>
        <v>0</v>
      </c>
      <c r="AI227" s="10">
        <f ca="1">_xll.DBRW($C$1,$C$2,$C$3,$C$4,$C$6,$C$5,$C$7,AI$1,AI$2,$A227)</f>
        <v>0</v>
      </c>
      <c r="AJ227" s="10">
        <f ca="1">_xll.DBRW($C$1,$C$2,$C$3,$C$4,$C$6,$C$5,$C$7,AJ$1,AJ$2,$A227)</f>
        <v>0</v>
      </c>
      <c r="AK227" s="10">
        <f ca="1">_xll.DBRW($C$1,$C$2,$C$3,$C$4,$C$6,$C$5,$C$7,AK$1,AK$2,$A227)</f>
        <v>0</v>
      </c>
      <c r="AL227" s="24">
        <f ca="1">_xll.DBRW($C$1,$C$2,$C$3,$C$4,$C$6,$C$5,$C$7,AL$1,AL$2,$A227)</f>
        <v>0</v>
      </c>
      <c r="AM227" s="10">
        <f ca="1">_xll.DBRW($C$1,$C$2,$C$3,$C$4,$C$6,$C$5,$C$7,AM$1,AM$2,$A227)</f>
        <v>0</v>
      </c>
      <c r="AN227" s="10">
        <f ca="1">_xll.DBRW($C$1,$C$2,$C$3,$C$4,$C$6,$C$5,$C$7,AN$1,AN$2,$A227)</f>
        <v>0</v>
      </c>
      <c r="AO227" s="10">
        <f ca="1">_xll.DBRW($C$1,$C$2,$C$3,$C$4,$C$6,$C$5,$C$7,AO$1,AO$2,$A227)</f>
        <v>0</v>
      </c>
      <c r="AP227" s="10">
        <f ca="1">_xll.DBRW($C$1,$C$2,$C$3,$C$4,$C$6,$C$5,$C$7,AP$1,AP$2,$A227)</f>
        <v>0</v>
      </c>
      <c r="AQ227" s="10">
        <f ca="1">_xll.DBRW($C$1,$C$2,$C$3,$C$4,$C$6,$C$5,$C$7,AQ$1,AQ$2,$A227)</f>
        <v>0</v>
      </c>
      <c r="AR227" s="10">
        <f ca="1">_xll.DBRW($C$1,$C$2,$C$3,$C$4,$C$6,$C$5,$C$7,AR$1,AR$2,$A227)</f>
        <v>0</v>
      </c>
      <c r="AS227" s="10">
        <f ca="1">_xll.DBRW($C$1,$C$2,$C$3,$C$4,$C$6,$C$5,$C$7,AS$1,AS$2,$A227)</f>
        <v>0</v>
      </c>
      <c r="AT227" s="10">
        <f ca="1">_xll.DBRW($C$1,$C$2,$C$3,$C$4,$C$6,$C$5,$C$7,AT$1,AT$2,$A227)</f>
        <v>0</v>
      </c>
      <c r="AU227" s="10">
        <f ca="1">_xll.DBRW($C$1,$C$2,$C$3,$C$4,$C$6,$C$5,$C$7,AU$1,AU$2,$A227)</f>
        <v>0</v>
      </c>
      <c r="AV227" s="10">
        <f ca="1">_xll.DBRW($C$1,$C$2,$C$3,$C$4,$C$6,$C$5,$C$7,AV$1,AV$2,$A227)</f>
        <v>0</v>
      </c>
      <c r="AW227" s="10">
        <f ca="1">_xll.DBRW($C$1,$C$2,$C$3,$C$4,$C$6,$C$5,$C$7,AW$1,AW$2,$A227)</f>
        <v>0</v>
      </c>
      <c r="AX227" s="10">
        <f ca="1">_xll.DBRW($C$1,$C$2,$C$3,$C$4,$C$6,$C$5,$C$7,AX$1,AX$2,$A227)</f>
        <v>0</v>
      </c>
      <c r="AY227" s="10">
        <f ca="1">_xll.DBRW($C$1,$C$2,$C$3,$C$4,$C$6,$C$5,$C$7,AY$1,AY$2,$A227)</f>
        <v>0</v>
      </c>
    </row>
    <row r="228" spans="1:51" ht="15.75" hidden="1" customHeight="1" outlineLevel="1">
      <c r="A228" s="1" t="s">
        <v>311</v>
      </c>
      <c r="C228" s="109"/>
      <c r="E228" s="9" t="str">
        <f ca="1">_xll.DBRW(Server&amp;"}ElementAttributes_Indicator",A228,"code_English")</f>
        <v>PL0000_TPL12 - Business development expenses - Vector Reconciliation</v>
      </c>
      <c r="F228" s="10">
        <f ca="1">_xll.DBRW($C$1,$C$2,$C$3,$C$4,$C$6,$C$5,$C$7,F$1,F$2,$A228)</f>
        <v>0</v>
      </c>
      <c r="G228" s="10">
        <f ca="1">_xll.DBRW($C$1,$C$2,$C$3,$C$4,$C$6,$C$5,$C$7,G$1,G$2,$A228)</f>
        <v>0</v>
      </c>
      <c r="H228" s="10">
        <f ca="1">_xll.DBRW($C$1,$C$2,$C$3,$C$4,$C$6,$C$5,$C$7,H$1,H$2,$A228)</f>
        <v>0</v>
      </c>
      <c r="I228" s="10">
        <f ca="1">_xll.DBRW($C$1,$C$2,$C$3,$C$4,$C$6,$C$5,$C$7,I$1,I$2,$A228)</f>
        <v>0</v>
      </c>
      <c r="J228" s="10">
        <f ca="1">_xll.DBRW($C$1,$C$2,$C$3,$C$4,$C$6,$C$5,$C$7,J$1,J$2,$A228)</f>
        <v>0</v>
      </c>
      <c r="K228" s="10">
        <f ca="1">_xll.DBRW($C$1,$C$2,$C$3,$C$4,$C$6,$C$5,$C$7,K$1,K$2,$A228)</f>
        <v>0</v>
      </c>
      <c r="L228" s="10">
        <f ca="1">_xll.DBRW($C$1,$C$2,$C$3,$C$4,$C$6,$C$5,$C$7,L$1,L$2,$A228)</f>
        <v>0</v>
      </c>
      <c r="M228" s="10">
        <f ca="1">_xll.DBRW($C$1,$C$2,$C$3,$C$4,$C$6,$C$5,$C$7,M$1,M$2,$A228)</f>
        <v>0</v>
      </c>
      <c r="N228" s="10">
        <f ca="1">_xll.DBRW($C$1,$C$2,$C$3,$C$4,$C$6,$C$5,$C$7,N$1,N$2,$A228)</f>
        <v>0</v>
      </c>
      <c r="O228" s="10">
        <f ca="1">_xll.DBRW($C$1,$C$2,$C$3,$C$4,$C$6,$C$5,$C$7,O$1,O$2,$A228)</f>
        <v>0</v>
      </c>
      <c r="P228" s="10">
        <f ca="1">_xll.DBRW($C$1,$C$2,$C$3,$C$4,$C$6,$C$5,$C$7,P$1,P$2,$A228)</f>
        <v>0</v>
      </c>
      <c r="Q228" s="10">
        <f ca="1">_xll.DBRW($C$1,$C$2,$C$3,$C$4,$C$6,$C$5,$C$7,Q$1,Q$2,$A228)</f>
        <v>0</v>
      </c>
      <c r="R228" s="10">
        <f ca="1">_xll.DBRW($C$1,$C$2,$C$3,$C$4,$C$6,$C$5,$C$7,R$1,R$2,$A228)</f>
        <v>0</v>
      </c>
      <c r="S228" s="10">
        <f ca="1">_xll.DBRW($C$1,$C$2,$C$3,$C$4,$C$6,$C$5,$C$7,S$1,S$2,$A228)</f>
        <v>0</v>
      </c>
      <c r="T228" s="10">
        <f ca="1">_xll.DBRW($C$1,$C$2,$C$3,$C$4,$C$6,$C$5,$C$7,T$1,T$2,$A228)</f>
        <v>0</v>
      </c>
      <c r="U228" s="10">
        <f ca="1">_xll.DBRW($C$1,$C$2,$C$3,$C$4,$C$6,$C$5,$C$7,U$1,U$2,$A228)</f>
        <v>0</v>
      </c>
      <c r="V228" s="10">
        <f ca="1">_xll.DBRW($C$1,$C$2,$C$3,$C$4,$C$6,$C$5,$C$7,V$1,V$2,$A228)</f>
        <v>0</v>
      </c>
      <c r="W228" s="10">
        <f ca="1">_xll.DBRW($C$1,$C$2,$C$3,$C$4,$C$6,$C$5,$C$7,W$1,W$2,$A228)</f>
        <v>0</v>
      </c>
      <c r="X228" s="10">
        <f ca="1">_xll.DBRW($C$1,$C$2,$C$3,$C$4,$C$6,$C$5,$C$7,X$1,X$2,$A228)</f>
        <v>0</v>
      </c>
      <c r="Y228" s="10">
        <f ca="1">_xll.DBRW($C$1,$C$2,$C$3,$C$4,$C$6,$C$5,$C$7,Y$1,Y$2,$A228)</f>
        <v>0</v>
      </c>
      <c r="Z228" s="10">
        <f ca="1">_xll.DBRW($C$1,$C$2,$C$3,$C$4,$C$6,$C$5,$C$7,Z$1,Z$2,$A228)</f>
        <v>0</v>
      </c>
      <c r="AA228" s="10">
        <f ca="1">_xll.DBRW($C$1,$C$2,$C$3,$C$4,$C$6,$C$5,$C$7,AA$1,AA$2,$A228)</f>
        <v>0</v>
      </c>
      <c r="AB228" s="10">
        <f ca="1">_xll.DBRW($C$1,$C$2,$C$3,$C$4,$C$6,$C$5,$C$7,AB$1,AB$2,$A228)</f>
        <v>0</v>
      </c>
      <c r="AC228" s="10">
        <f ca="1">_xll.DBRW($C$1,$C$2,$C$3,$C$4,$C$6,$C$5,$C$7,AC$1,AC$2,$A228)</f>
        <v>0</v>
      </c>
      <c r="AD228" s="10">
        <f ca="1">_xll.DBRW($C$1,$C$2,$C$3,$C$4,$C$6,$C$5,$C$7,AD$1,AD$2,$A228)</f>
        <v>0</v>
      </c>
      <c r="AE228" s="10">
        <f ca="1">_xll.DBRW($C$1,$C$2,$C$3,$C$4,$C$6,$C$5,$C$7,AE$1,AE$2,$A228)</f>
        <v>0</v>
      </c>
      <c r="AF228" s="10">
        <f ca="1">_xll.DBRW($C$1,$C$2,$C$3,$C$4,$C$6,$C$5,$C$7,AF$1,AF$2,$A228)</f>
        <v>0</v>
      </c>
      <c r="AG228" s="10">
        <f ca="1">_xll.DBRW($C$1,$C$2,$C$3,$C$4,$C$6,$C$5,$C$7,AG$1,AG$2,$A228)</f>
        <v>0</v>
      </c>
      <c r="AH228" s="10">
        <f ca="1">_xll.DBRW($C$1,$C$2,$C$3,$C$4,$C$6,$C$5,$C$7,AH$1,AH$2,$A228)</f>
        <v>0</v>
      </c>
      <c r="AI228" s="10">
        <f ca="1">_xll.DBRW($C$1,$C$2,$C$3,$C$4,$C$6,$C$5,$C$7,AI$1,AI$2,$A228)</f>
        <v>0</v>
      </c>
      <c r="AJ228" s="10">
        <f ca="1">_xll.DBRW($C$1,$C$2,$C$3,$C$4,$C$6,$C$5,$C$7,AJ$1,AJ$2,$A228)</f>
        <v>0</v>
      </c>
      <c r="AK228" s="10">
        <f ca="1">_xll.DBRW($C$1,$C$2,$C$3,$C$4,$C$6,$C$5,$C$7,AK$1,AK$2,$A228)</f>
        <v>0</v>
      </c>
      <c r="AL228" s="24">
        <f ca="1">_xll.DBRW($C$1,$C$2,$C$3,$C$4,$C$6,$C$5,$C$7,AL$1,AL$2,$A228)</f>
        <v>0</v>
      </c>
      <c r="AM228" s="10">
        <f ca="1">_xll.DBRW($C$1,$C$2,$C$3,$C$4,$C$6,$C$5,$C$7,AM$1,AM$2,$A228)</f>
        <v>0</v>
      </c>
      <c r="AN228" s="10">
        <f ca="1">_xll.DBRW($C$1,$C$2,$C$3,$C$4,$C$6,$C$5,$C$7,AN$1,AN$2,$A228)</f>
        <v>0</v>
      </c>
      <c r="AO228" s="10">
        <f ca="1">_xll.DBRW($C$1,$C$2,$C$3,$C$4,$C$6,$C$5,$C$7,AO$1,AO$2,$A228)</f>
        <v>0</v>
      </c>
      <c r="AP228" s="10">
        <f ca="1">_xll.DBRW($C$1,$C$2,$C$3,$C$4,$C$6,$C$5,$C$7,AP$1,AP$2,$A228)</f>
        <v>0</v>
      </c>
      <c r="AQ228" s="10">
        <f ca="1">_xll.DBRW($C$1,$C$2,$C$3,$C$4,$C$6,$C$5,$C$7,AQ$1,AQ$2,$A228)</f>
        <v>0</v>
      </c>
      <c r="AR228" s="10">
        <f ca="1">_xll.DBRW($C$1,$C$2,$C$3,$C$4,$C$6,$C$5,$C$7,AR$1,AR$2,$A228)</f>
        <v>0</v>
      </c>
      <c r="AS228" s="10">
        <f ca="1">_xll.DBRW($C$1,$C$2,$C$3,$C$4,$C$6,$C$5,$C$7,AS$1,AS$2,$A228)</f>
        <v>0</v>
      </c>
      <c r="AT228" s="10">
        <f ca="1">_xll.DBRW($C$1,$C$2,$C$3,$C$4,$C$6,$C$5,$C$7,AT$1,AT$2,$A228)</f>
        <v>0</v>
      </c>
      <c r="AU228" s="10">
        <f ca="1">_xll.DBRW($C$1,$C$2,$C$3,$C$4,$C$6,$C$5,$C$7,AU$1,AU$2,$A228)</f>
        <v>0</v>
      </c>
      <c r="AV228" s="10">
        <f ca="1">_xll.DBRW($C$1,$C$2,$C$3,$C$4,$C$6,$C$5,$C$7,AV$1,AV$2,$A228)</f>
        <v>0</v>
      </c>
      <c r="AW228" s="10">
        <f ca="1">_xll.DBRW($C$1,$C$2,$C$3,$C$4,$C$6,$C$5,$C$7,AW$1,AW$2,$A228)</f>
        <v>0</v>
      </c>
      <c r="AX228" s="10">
        <f ca="1">_xll.DBRW($C$1,$C$2,$C$3,$C$4,$C$6,$C$5,$C$7,AX$1,AX$2,$A228)</f>
        <v>0</v>
      </c>
      <c r="AY228" s="10">
        <f ca="1">_xll.DBRW($C$1,$C$2,$C$3,$C$4,$C$6,$C$5,$C$7,AY$1,AY$2,$A228)</f>
        <v>0</v>
      </c>
    </row>
    <row r="229" spans="1:51" ht="15.5" hidden="1" outlineLevel="1" collapsed="1">
      <c r="A229" s="1" t="s">
        <v>142</v>
      </c>
      <c r="C229" s="109"/>
      <c r="E229" s="14" t="s">
        <v>46</v>
      </c>
      <c r="F229" s="38">
        <f t="shared" ref="F229:L229" ca="1" si="115">F228+F227</f>
        <v>0</v>
      </c>
      <c r="G229" s="38">
        <f t="shared" ca="1" si="115"/>
        <v>0</v>
      </c>
      <c r="H229" s="38">
        <f t="shared" ca="1" si="115"/>
        <v>0</v>
      </c>
      <c r="I229" s="38">
        <f t="shared" ca="1" si="115"/>
        <v>0</v>
      </c>
      <c r="J229" s="38">
        <f t="shared" ca="1" si="115"/>
        <v>0</v>
      </c>
      <c r="K229" s="38">
        <f t="shared" ca="1" si="115"/>
        <v>0</v>
      </c>
      <c r="L229" s="38">
        <f t="shared" ca="1" si="115"/>
        <v>0</v>
      </c>
      <c r="M229" s="38">
        <f t="shared" ref="M229:X229" ca="1" si="116">M228+M227</f>
        <v>0</v>
      </c>
      <c r="N229" s="38">
        <f t="shared" ca="1" si="116"/>
        <v>0</v>
      </c>
      <c r="O229" s="38">
        <f t="shared" ca="1" si="116"/>
        <v>0</v>
      </c>
      <c r="P229" s="38">
        <f t="shared" ca="1" si="116"/>
        <v>0</v>
      </c>
      <c r="Q229" s="38">
        <f t="shared" ca="1" si="116"/>
        <v>0</v>
      </c>
      <c r="R229" s="38">
        <f t="shared" ca="1" si="116"/>
        <v>0</v>
      </c>
      <c r="S229" s="38">
        <f t="shared" ca="1" si="116"/>
        <v>0</v>
      </c>
      <c r="T229" s="38">
        <f t="shared" ca="1" si="116"/>
        <v>0</v>
      </c>
      <c r="U229" s="38">
        <f t="shared" ca="1" si="116"/>
        <v>0</v>
      </c>
      <c r="V229" s="38">
        <f t="shared" ca="1" si="116"/>
        <v>0</v>
      </c>
      <c r="W229" s="38">
        <f t="shared" ca="1" si="116"/>
        <v>0</v>
      </c>
      <c r="X229" s="38">
        <f t="shared" ca="1" si="116"/>
        <v>0</v>
      </c>
      <c r="Y229" s="38">
        <f ca="1">Y228+Y227</f>
        <v>0</v>
      </c>
      <c r="Z229" s="38">
        <f t="shared" ref="Z229:AK229" ca="1" si="117">Z228+Z227</f>
        <v>0</v>
      </c>
      <c r="AA229" s="38">
        <f t="shared" ca="1" si="117"/>
        <v>0</v>
      </c>
      <c r="AB229" s="38">
        <f t="shared" ca="1" si="117"/>
        <v>0</v>
      </c>
      <c r="AC229" s="38">
        <f t="shared" ca="1" si="117"/>
        <v>0</v>
      </c>
      <c r="AD229" s="38">
        <f t="shared" ca="1" si="117"/>
        <v>0</v>
      </c>
      <c r="AE229" s="38">
        <f t="shared" ca="1" si="117"/>
        <v>0</v>
      </c>
      <c r="AF229" s="38">
        <f t="shared" ca="1" si="117"/>
        <v>0</v>
      </c>
      <c r="AG229" s="38">
        <f t="shared" ca="1" si="117"/>
        <v>0</v>
      </c>
      <c r="AH229" s="38">
        <f t="shared" ca="1" si="117"/>
        <v>0</v>
      </c>
      <c r="AI229" s="38">
        <f t="shared" ca="1" si="117"/>
        <v>0</v>
      </c>
      <c r="AJ229" s="38">
        <f t="shared" ca="1" si="117"/>
        <v>0</v>
      </c>
      <c r="AK229" s="38">
        <f t="shared" ca="1" si="117"/>
        <v>0</v>
      </c>
      <c r="AL229" s="38">
        <f ca="1">AL228+AL227</f>
        <v>0</v>
      </c>
      <c r="AM229" s="38">
        <f t="shared" ref="AM229:AX229" ca="1" si="118">AM228+AM227</f>
        <v>0</v>
      </c>
      <c r="AN229" s="38">
        <f t="shared" ca="1" si="118"/>
        <v>0</v>
      </c>
      <c r="AO229" s="38">
        <f t="shared" ca="1" si="118"/>
        <v>0</v>
      </c>
      <c r="AP229" s="38">
        <f t="shared" ca="1" si="118"/>
        <v>0</v>
      </c>
      <c r="AQ229" s="38">
        <f t="shared" ca="1" si="118"/>
        <v>0</v>
      </c>
      <c r="AR229" s="38">
        <f t="shared" ca="1" si="118"/>
        <v>0</v>
      </c>
      <c r="AS229" s="38">
        <f t="shared" ca="1" si="118"/>
        <v>0</v>
      </c>
      <c r="AT229" s="38">
        <f t="shared" ca="1" si="118"/>
        <v>0</v>
      </c>
      <c r="AU229" s="38">
        <f t="shared" ca="1" si="118"/>
        <v>0</v>
      </c>
      <c r="AV229" s="38">
        <f t="shared" ca="1" si="118"/>
        <v>0</v>
      </c>
      <c r="AW229" s="38">
        <f t="shared" ca="1" si="118"/>
        <v>0</v>
      </c>
      <c r="AX229" s="38">
        <f t="shared" ca="1" si="118"/>
        <v>0</v>
      </c>
      <c r="AY229" s="38">
        <f ca="1">AY228+AY227</f>
        <v>0</v>
      </c>
    </row>
    <row r="230" spans="1:51" ht="15.75" hidden="1" customHeight="1" outlineLevel="2">
      <c r="A230" s="1" t="s">
        <v>312</v>
      </c>
      <c r="C230" s="109"/>
      <c r="E230" s="9" t="str">
        <f ca="1">_xll.DBRW(Server&amp;"}ElementAttributes_Indicator",A230,"code_English")</f>
        <v>PL0000_CO - Communication</v>
      </c>
      <c r="F230" s="33">
        <f ca="1">_xll.DBRW($C$1,$C$2,$C$3,$C$4,$C$6,$C$5,$C$7,F$1,F$2,$A230)</f>
        <v>0</v>
      </c>
      <c r="G230" s="33">
        <f ca="1">_xll.DBRW($C$1,$C$2,$C$3,$C$4,$C$6,$C$5,$C$7,G$1,G$2,$A230)</f>
        <v>0</v>
      </c>
      <c r="H230" s="33">
        <f ca="1">_xll.DBRW($C$1,$C$2,$C$3,$C$4,$C$6,$C$5,$C$7,H$1,H$2,$A230)</f>
        <v>0</v>
      </c>
      <c r="I230" s="33">
        <f ca="1">_xll.DBRW($C$1,$C$2,$C$3,$C$4,$C$6,$C$5,$C$7,I$1,I$2,$A230)</f>
        <v>0</v>
      </c>
      <c r="J230" s="33">
        <f ca="1">_xll.DBRW($C$1,$C$2,$C$3,$C$4,$C$6,$C$5,$C$7,J$1,J$2,$A230)</f>
        <v>0</v>
      </c>
      <c r="K230" s="33">
        <f ca="1">_xll.DBRW($C$1,$C$2,$C$3,$C$4,$C$6,$C$5,$C$7,K$1,K$2,$A230)</f>
        <v>0</v>
      </c>
      <c r="L230" s="33">
        <f ca="1">_xll.DBRW($C$1,$C$2,$C$3,$C$4,$C$6,$C$5,$C$7,L$1,L$2,$A230)</f>
        <v>0</v>
      </c>
      <c r="M230" s="33">
        <f ca="1">_xll.DBRW($C$1,$C$2,$C$3,$C$4,$C$6,$C$5,$C$7,M$1,M$2,$A230)</f>
        <v>0</v>
      </c>
      <c r="N230" s="33">
        <f ca="1">_xll.DBRW($C$1,$C$2,$C$3,$C$4,$C$6,$C$5,$C$7,N$1,N$2,$A230)</f>
        <v>0</v>
      </c>
      <c r="O230" s="33">
        <f ca="1">_xll.DBRW($C$1,$C$2,$C$3,$C$4,$C$6,$C$5,$C$7,O$1,O$2,$A230)</f>
        <v>0</v>
      </c>
      <c r="P230" s="33">
        <f ca="1">_xll.DBRW($C$1,$C$2,$C$3,$C$4,$C$6,$C$5,$C$7,P$1,P$2,$A230)</f>
        <v>0</v>
      </c>
      <c r="Q230" s="33">
        <f ca="1">_xll.DBRW($C$1,$C$2,$C$3,$C$4,$C$6,$C$5,$C$7,Q$1,Q$2,$A230)</f>
        <v>0</v>
      </c>
      <c r="R230" s="33">
        <f ca="1">_xll.DBRW($C$1,$C$2,$C$3,$C$4,$C$6,$C$5,$C$7,R$1,R$2,$A230)</f>
        <v>0</v>
      </c>
      <c r="S230" s="33">
        <f ca="1">_xll.DBRW($C$1,$C$2,$C$3,$C$4,$C$6,$C$5,$C$7,S$1,S$2,$A230)</f>
        <v>0</v>
      </c>
      <c r="T230" s="33">
        <f ca="1">_xll.DBRW($C$1,$C$2,$C$3,$C$4,$C$6,$C$5,$C$7,T$1,T$2,$A230)</f>
        <v>0</v>
      </c>
      <c r="U230" s="33">
        <f ca="1">_xll.DBRW($C$1,$C$2,$C$3,$C$4,$C$6,$C$5,$C$7,U$1,U$2,$A230)</f>
        <v>0</v>
      </c>
      <c r="V230" s="33">
        <f ca="1">_xll.DBRW($C$1,$C$2,$C$3,$C$4,$C$6,$C$5,$C$7,V$1,V$2,$A230)</f>
        <v>0</v>
      </c>
      <c r="W230" s="33">
        <f ca="1">_xll.DBRW($C$1,$C$2,$C$3,$C$4,$C$6,$C$5,$C$7,W$1,W$2,$A230)</f>
        <v>0</v>
      </c>
      <c r="X230" s="33">
        <f ca="1">_xll.DBRW($C$1,$C$2,$C$3,$C$4,$C$6,$C$5,$C$7,X$1,X$2,$A230)</f>
        <v>0</v>
      </c>
      <c r="Y230" s="33">
        <f ca="1">_xll.DBRW($C$1,$C$2,$C$3,$C$4,$C$6,$C$5,$C$7,Y$1,Y$2,$A230)</f>
        <v>0</v>
      </c>
      <c r="Z230" s="33">
        <f ca="1">_xll.DBRW($C$1,$C$2,$C$3,$C$4,$C$6,$C$5,$C$7,Z$1,Z$2,$A230)</f>
        <v>0</v>
      </c>
      <c r="AA230" s="33">
        <f ca="1">_xll.DBRW($C$1,$C$2,$C$3,$C$4,$C$6,$C$5,$C$7,AA$1,AA$2,$A230)</f>
        <v>0</v>
      </c>
      <c r="AB230" s="33">
        <f ca="1">_xll.DBRW($C$1,$C$2,$C$3,$C$4,$C$6,$C$5,$C$7,AB$1,AB$2,$A230)</f>
        <v>0</v>
      </c>
      <c r="AC230" s="33">
        <f ca="1">_xll.DBRW($C$1,$C$2,$C$3,$C$4,$C$6,$C$5,$C$7,AC$1,AC$2,$A230)</f>
        <v>0</v>
      </c>
      <c r="AD230" s="33">
        <f ca="1">_xll.DBRW($C$1,$C$2,$C$3,$C$4,$C$6,$C$5,$C$7,AD$1,AD$2,$A230)</f>
        <v>0</v>
      </c>
      <c r="AE230" s="33">
        <f ca="1">_xll.DBRW($C$1,$C$2,$C$3,$C$4,$C$6,$C$5,$C$7,AE$1,AE$2,$A230)</f>
        <v>0</v>
      </c>
      <c r="AF230" s="33">
        <f ca="1">_xll.DBRW($C$1,$C$2,$C$3,$C$4,$C$6,$C$5,$C$7,AF$1,AF$2,$A230)</f>
        <v>0</v>
      </c>
      <c r="AG230" s="33">
        <f ca="1">_xll.DBRW($C$1,$C$2,$C$3,$C$4,$C$6,$C$5,$C$7,AG$1,AG$2,$A230)</f>
        <v>0</v>
      </c>
      <c r="AH230" s="33">
        <f ca="1">_xll.DBRW($C$1,$C$2,$C$3,$C$4,$C$6,$C$5,$C$7,AH$1,AH$2,$A230)</f>
        <v>0</v>
      </c>
      <c r="AI230" s="33">
        <f ca="1">_xll.DBRW($C$1,$C$2,$C$3,$C$4,$C$6,$C$5,$C$7,AI$1,AI$2,$A230)</f>
        <v>0</v>
      </c>
      <c r="AJ230" s="33">
        <f ca="1">_xll.DBRW($C$1,$C$2,$C$3,$C$4,$C$6,$C$5,$C$7,AJ$1,AJ$2,$A230)</f>
        <v>0</v>
      </c>
      <c r="AK230" s="33">
        <f ca="1">_xll.DBRW($C$1,$C$2,$C$3,$C$4,$C$6,$C$5,$C$7,AK$1,AK$2,$A230)</f>
        <v>0</v>
      </c>
      <c r="AL230" s="33">
        <f ca="1">_xll.DBRW($C$1,$C$2,$C$3,$C$4,$C$6,$C$5,$C$7,AL$1,AL$2,$A230)</f>
        <v>0</v>
      </c>
      <c r="AM230" s="33">
        <f ca="1">_xll.DBRW($C$1,$C$2,$C$3,$C$4,$C$6,$C$5,$C$7,AM$1,AM$2,$A230)</f>
        <v>0</v>
      </c>
      <c r="AN230" s="33">
        <f ca="1">_xll.DBRW($C$1,$C$2,$C$3,$C$4,$C$6,$C$5,$C$7,AN$1,AN$2,$A230)</f>
        <v>0</v>
      </c>
      <c r="AO230" s="33">
        <f ca="1">_xll.DBRW($C$1,$C$2,$C$3,$C$4,$C$6,$C$5,$C$7,AO$1,AO$2,$A230)</f>
        <v>0</v>
      </c>
      <c r="AP230" s="33">
        <f ca="1">_xll.DBRW($C$1,$C$2,$C$3,$C$4,$C$6,$C$5,$C$7,AP$1,AP$2,$A230)</f>
        <v>0</v>
      </c>
      <c r="AQ230" s="33">
        <f ca="1">_xll.DBRW($C$1,$C$2,$C$3,$C$4,$C$6,$C$5,$C$7,AQ$1,AQ$2,$A230)</f>
        <v>0</v>
      </c>
      <c r="AR230" s="33">
        <f ca="1">_xll.DBRW($C$1,$C$2,$C$3,$C$4,$C$6,$C$5,$C$7,AR$1,AR$2,$A230)</f>
        <v>0</v>
      </c>
      <c r="AS230" s="33">
        <f ca="1">_xll.DBRW($C$1,$C$2,$C$3,$C$4,$C$6,$C$5,$C$7,AS$1,AS$2,$A230)</f>
        <v>0</v>
      </c>
      <c r="AT230" s="33">
        <f ca="1">_xll.DBRW($C$1,$C$2,$C$3,$C$4,$C$6,$C$5,$C$7,AT$1,AT$2,$A230)</f>
        <v>0</v>
      </c>
      <c r="AU230" s="33">
        <f ca="1">_xll.DBRW($C$1,$C$2,$C$3,$C$4,$C$6,$C$5,$C$7,AU$1,AU$2,$A230)</f>
        <v>0</v>
      </c>
      <c r="AV230" s="33">
        <f ca="1">_xll.DBRW($C$1,$C$2,$C$3,$C$4,$C$6,$C$5,$C$7,AV$1,AV$2,$A230)</f>
        <v>0</v>
      </c>
      <c r="AW230" s="33">
        <f ca="1">_xll.DBRW($C$1,$C$2,$C$3,$C$4,$C$6,$C$5,$C$7,AW$1,AW$2,$A230)</f>
        <v>0</v>
      </c>
      <c r="AX230" s="33">
        <f ca="1">_xll.DBRW($C$1,$C$2,$C$3,$C$4,$C$6,$C$5,$C$7,AX$1,AX$2,$A230)</f>
        <v>0</v>
      </c>
      <c r="AY230" s="33">
        <f ca="1">_xll.DBRW($C$1,$C$2,$C$3,$C$4,$C$6,$C$5,$C$7,AY$1,AY$2,$A230)</f>
        <v>0</v>
      </c>
    </row>
    <row r="231" spans="1:51" ht="15.5" hidden="1" outlineLevel="1" collapsed="1">
      <c r="A231" s="1" t="s">
        <v>142</v>
      </c>
      <c r="C231" s="109"/>
      <c r="E231" s="15" t="s">
        <v>47</v>
      </c>
      <c r="F231" s="39">
        <f t="shared" ref="F231:M231" ca="1" si="119">F230</f>
        <v>0</v>
      </c>
      <c r="G231" s="39">
        <f t="shared" ca="1" si="119"/>
        <v>0</v>
      </c>
      <c r="H231" s="39">
        <f t="shared" ca="1" si="119"/>
        <v>0</v>
      </c>
      <c r="I231" s="39">
        <f t="shared" ca="1" si="119"/>
        <v>0</v>
      </c>
      <c r="J231" s="39">
        <f t="shared" ca="1" si="119"/>
        <v>0</v>
      </c>
      <c r="K231" s="39">
        <f t="shared" ca="1" si="119"/>
        <v>0</v>
      </c>
      <c r="L231" s="39">
        <f t="shared" ca="1" si="119"/>
        <v>0</v>
      </c>
      <c r="M231" s="39">
        <f t="shared" ca="1" si="119"/>
        <v>0</v>
      </c>
      <c r="N231" s="39">
        <f t="shared" ref="N231:X231" ca="1" si="120">N230</f>
        <v>0</v>
      </c>
      <c r="O231" s="39">
        <f t="shared" ca="1" si="120"/>
        <v>0</v>
      </c>
      <c r="P231" s="39">
        <f t="shared" ca="1" si="120"/>
        <v>0</v>
      </c>
      <c r="Q231" s="39">
        <f t="shared" ca="1" si="120"/>
        <v>0</v>
      </c>
      <c r="R231" s="39">
        <f t="shared" ca="1" si="120"/>
        <v>0</v>
      </c>
      <c r="S231" s="39">
        <f t="shared" ca="1" si="120"/>
        <v>0</v>
      </c>
      <c r="T231" s="39">
        <f t="shared" ca="1" si="120"/>
        <v>0</v>
      </c>
      <c r="U231" s="39">
        <f t="shared" ca="1" si="120"/>
        <v>0</v>
      </c>
      <c r="V231" s="39">
        <f t="shared" ca="1" si="120"/>
        <v>0</v>
      </c>
      <c r="W231" s="39">
        <f t="shared" ca="1" si="120"/>
        <v>0</v>
      </c>
      <c r="X231" s="39">
        <f t="shared" ca="1" si="120"/>
        <v>0</v>
      </c>
      <c r="Y231" s="39">
        <f ca="1">Y230</f>
        <v>0</v>
      </c>
      <c r="Z231" s="39">
        <f ca="1">Z230</f>
        <v>0</v>
      </c>
      <c r="AA231" s="39">
        <f t="shared" ref="AA231:AK231" ca="1" si="121">AA230</f>
        <v>0</v>
      </c>
      <c r="AB231" s="39">
        <f t="shared" ca="1" si="121"/>
        <v>0</v>
      </c>
      <c r="AC231" s="39">
        <f t="shared" ca="1" si="121"/>
        <v>0</v>
      </c>
      <c r="AD231" s="39">
        <f t="shared" ca="1" si="121"/>
        <v>0</v>
      </c>
      <c r="AE231" s="39">
        <f t="shared" ca="1" si="121"/>
        <v>0</v>
      </c>
      <c r="AF231" s="39">
        <f t="shared" ca="1" si="121"/>
        <v>0</v>
      </c>
      <c r="AG231" s="39">
        <f t="shared" ca="1" si="121"/>
        <v>0</v>
      </c>
      <c r="AH231" s="39">
        <f t="shared" ca="1" si="121"/>
        <v>0</v>
      </c>
      <c r="AI231" s="39">
        <f t="shared" ca="1" si="121"/>
        <v>0</v>
      </c>
      <c r="AJ231" s="39">
        <f t="shared" ca="1" si="121"/>
        <v>0</v>
      </c>
      <c r="AK231" s="39">
        <f t="shared" ca="1" si="121"/>
        <v>0</v>
      </c>
      <c r="AL231" s="39">
        <f ca="1">AL230</f>
        <v>0</v>
      </c>
      <c r="AM231" s="39">
        <f ca="1">AM230</f>
        <v>0</v>
      </c>
      <c r="AN231" s="39">
        <f t="shared" ref="AN231:AX231" ca="1" si="122">AN230</f>
        <v>0</v>
      </c>
      <c r="AO231" s="39">
        <f t="shared" ca="1" si="122"/>
        <v>0</v>
      </c>
      <c r="AP231" s="39">
        <f t="shared" ca="1" si="122"/>
        <v>0</v>
      </c>
      <c r="AQ231" s="39">
        <f t="shared" ca="1" si="122"/>
        <v>0</v>
      </c>
      <c r="AR231" s="39">
        <f t="shared" ca="1" si="122"/>
        <v>0</v>
      </c>
      <c r="AS231" s="39">
        <f t="shared" ca="1" si="122"/>
        <v>0</v>
      </c>
      <c r="AT231" s="39">
        <f t="shared" ca="1" si="122"/>
        <v>0</v>
      </c>
      <c r="AU231" s="39">
        <f t="shared" ca="1" si="122"/>
        <v>0</v>
      </c>
      <c r="AV231" s="39">
        <f t="shared" ca="1" si="122"/>
        <v>0</v>
      </c>
      <c r="AW231" s="39">
        <f t="shared" ca="1" si="122"/>
        <v>0</v>
      </c>
      <c r="AX231" s="39">
        <f t="shared" ca="1" si="122"/>
        <v>0</v>
      </c>
      <c r="AY231" s="39">
        <f ca="1">AY230</f>
        <v>0</v>
      </c>
    </row>
    <row r="232" spans="1:51" ht="15.75" hidden="1" customHeight="1" outlineLevel="2">
      <c r="A232" s="1" t="s">
        <v>313</v>
      </c>
      <c r="C232" s="109"/>
      <c r="E232" s="9" t="str">
        <f ca="1">_xll.DBRW(Server&amp;"}ElementAttributes_Indicator",A232,"code_English")</f>
        <v>PL0000_FI - Finance</v>
      </c>
      <c r="F232" s="33">
        <f ca="1">_xll.DBRW($C$1,$C$2,$C$3,$C$4,$C$6,$C$5,$C$7,F$1,F$2,$A232)</f>
        <v>0</v>
      </c>
      <c r="G232" s="33">
        <f ca="1">_xll.DBRW($C$1,$C$2,$C$3,$C$4,$C$6,$C$5,$C$7,G$1,G$2,$A232)</f>
        <v>0</v>
      </c>
      <c r="H232" s="33">
        <f ca="1">_xll.DBRW($C$1,$C$2,$C$3,$C$4,$C$6,$C$5,$C$7,H$1,H$2,$A232)</f>
        <v>0</v>
      </c>
      <c r="I232" s="33">
        <f ca="1">_xll.DBRW($C$1,$C$2,$C$3,$C$4,$C$6,$C$5,$C$7,I$1,I$2,$A232)</f>
        <v>0</v>
      </c>
      <c r="J232" s="33">
        <f ca="1">_xll.DBRW($C$1,$C$2,$C$3,$C$4,$C$6,$C$5,$C$7,J$1,J$2,$A232)</f>
        <v>0</v>
      </c>
      <c r="K232" s="33">
        <f ca="1">_xll.DBRW($C$1,$C$2,$C$3,$C$4,$C$6,$C$5,$C$7,K$1,K$2,$A232)</f>
        <v>0</v>
      </c>
      <c r="L232" s="33">
        <f ca="1">_xll.DBRW($C$1,$C$2,$C$3,$C$4,$C$6,$C$5,$C$7,L$1,L$2,$A232)</f>
        <v>0</v>
      </c>
      <c r="M232" s="33">
        <f ca="1">_xll.DBRW($C$1,$C$2,$C$3,$C$4,$C$6,$C$5,$C$7,M$1,M$2,$A232)</f>
        <v>0</v>
      </c>
      <c r="N232" s="33">
        <f ca="1">_xll.DBRW($C$1,$C$2,$C$3,$C$4,$C$6,$C$5,$C$7,N$1,N$2,$A232)</f>
        <v>0</v>
      </c>
      <c r="O232" s="33">
        <f ca="1">_xll.DBRW($C$1,$C$2,$C$3,$C$4,$C$6,$C$5,$C$7,O$1,O$2,$A232)</f>
        <v>0</v>
      </c>
      <c r="P232" s="33">
        <f ca="1">_xll.DBRW($C$1,$C$2,$C$3,$C$4,$C$6,$C$5,$C$7,P$1,P$2,$A232)</f>
        <v>0</v>
      </c>
      <c r="Q232" s="33">
        <f ca="1">_xll.DBRW($C$1,$C$2,$C$3,$C$4,$C$6,$C$5,$C$7,Q$1,Q$2,$A232)</f>
        <v>0</v>
      </c>
      <c r="R232" s="33">
        <f ca="1">_xll.DBRW($C$1,$C$2,$C$3,$C$4,$C$6,$C$5,$C$7,R$1,R$2,$A232)</f>
        <v>0</v>
      </c>
      <c r="S232" s="33">
        <f ca="1">_xll.DBRW($C$1,$C$2,$C$3,$C$4,$C$6,$C$5,$C$7,S$1,S$2,$A232)</f>
        <v>0</v>
      </c>
      <c r="T232" s="33">
        <f ca="1">_xll.DBRW($C$1,$C$2,$C$3,$C$4,$C$6,$C$5,$C$7,T$1,T$2,$A232)</f>
        <v>0</v>
      </c>
      <c r="U232" s="33">
        <f ca="1">_xll.DBRW($C$1,$C$2,$C$3,$C$4,$C$6,$C$5,$C$7,U$1,U$2,$A232)</f>
        <v>0</v>
      </c>
      <c r="V232" s="33">
        <f ca="1">_xll.DBRW($C$1,$C$2,$C$3,$C$4,$C$6,$C$5,$C$7,V$1,V$2,$A232)</f>
        <v>0</v>
      </c>
      <c r="W232" s="33">
        <f ca="1">_xll.DBRW($C$1,$C$2,$C$3,$C$4,$C$6,$C$5,$C$7,W$1,W$2,$A232)</f>
        <v>0</v>
      </c>
      <c r="X232" s="33">
        <f ca="1">_xll.DBRW($C$1,$C$2,$C$3,$C$4,$C$6,$C$5,$C$7,X$1,X$2,$A232)</f>
        <v>0</v>
      </c>
      <c r="Y232" s="33">
        <f ca="1">_xll.DBRW($C$1,$C$2,$C$3,$C$4,$C$6,$C$5,$C$7,Y$1,Y$2,$A232)</f>
        <v>0</v>
      </c>
      <c r="Z232" s="33">
        <f ca="1">_xll.DBRW($C$1,$C$2,$C$3,$C$4,$C$6,$C$5,$C$7,Z$1,Z$2,$A232)</f>
        <v>0</v>
      </c>
      <c r="AA232" s="33">
        <f ca="1">_xll.DBRW($C$1,$C$2,$C$3,$C$4,$C$6,$C$5,$C$7,AA$1,AA$2,$A232)</f>
        <v>0</v>
      </c>
      <c r="AB232" s="33">
        <f ca="1">_xll.DBRW($C$1,$C$2,$C$3,$C$4,$C$6,$C$5,$C$7,AB$1,AB$2,$A232)</f>
        <v>0</v>
      </c>
      <c r="AC232" s="33">
        <f ca="1">_xll.DBRW($C$1,$C$2,$C$3,$C$4,$C$6,$C$5,$C$7,AC$1,AC$2,$A232)</f>
        <v>0</v>
      </c>
      <c r="AD232" s="33">
        <f ca="1">_xll.DBRW($C$1,$C$2,$C$3,$C$4,$C$6,$C$5,$C$7,AD$1,AD$2,$A232)</f>
        <v>0</v>
      </c>
      <c r="AE232" s="33">
        <f ca="1">_xll.DBRW($C$1,$C$2,$C$3,$C$4,$C$6,$C$5,$C$7,AE$1,AE$2,$A232)</f>
        <v>0</v>
      </c>
      <c r="AF232" s="33">
        <f ca="1">_xll.DBRW($C$1,$C$2,$C$3,$C$4,$C$6,$C$5,$C$7,AF$1,AF$2,$A232)</f>
        <v>0</v>
      </c>
      <c r="AG232" s="33">
        <f ca="1">_xll.DBRW($C$1,$C$2,$C$3,$C$4,$C$6,$C$5,$C$7,AG$1,AG$2,$A232)</f>
        <v>0</v>
      </c>
      <c r="AH232" s="33">
        <f ca="1">_xll.DBRW($C$1,$C$2,$C$3,$C$4,$C$6,$C$5,$C$7,AH$1,AH$2,$A232)</f>
        <v>0</v>
      </c>
      <c r="AI232" s="33">
        <f ca="1">_xll.DBRW($C$1,$C$2,$C$3,$C$4,$C$6,$C$5,$C$7,AI$1,AI$2,$A232)</f>
        <v>0</v>
      </c>
      <c r="AJ232" s="33">
        <f ca="1">_xll.DBRW($C$1,$C$2,$C$3,$C$4,$C$6,$C$5,$C$7,AJ$1,AJ$2,$A232)</f>
        <v>0</v>
      </c>
      <c r="AK232" s="33">
        <f ca="1">_xll.DBRW($C$1,$C$2,$C$3,$C$4,$C$6,$C$5,$C$7,AK$1,AK$2,$A232)</f>
        <v>0</v>
      </c>
      <c r="AL232" s="33">
        <f ca="1">_xll.DBRW($C$1,$C$2,$C$3,$C$4,$C$6,$C$5,$C$7,AL$1,AL$2,$A232)</f>
        <v>0</v>
      </c>
      <c r="AM232" s="33">
        <f ca="1">_xll.DBRW($C$1,$C$2,$C$3,$C$4,$C$6,$C$5,$C$7,AM$1,AM$2,$A232)</f>
        <v>0</v>
      </c>
      <c r="AN232" s="33">
        <f ca="1">_xll.DBRW($C$1,$C$2,$C$3,$C$4,$C$6,$C$5,$C$7,AN$1,AN$2,$A232)</f>
        <v>0</v>
      </c>
      <c r="AO232" s="33">
        <f ca="1">_xll.DBRW($C$1,$C$2,$C$3,$C$4,$C$6,$C$5,$C$7,AO$1,AO$2,$A232)</f>
        <v>0</v>
      </c>
      <c r="AP232" s="33">
        <f ca="1">_xll.DBRW($C$1,$C$2,$C$3,$C$4,$C$6,$C$5,$C$7,AP$1,AP$2,$A232)</f>
        <v>0</v>
      </c>
      <c r="AQ232" s="33">
        <f ca="1">_xll.DBRW($C$1,$C$2,$C$3,$C$4,$C$6,$C$5,$C$7,AQ$1,AQ$2,$A232)</f>
        <v>0</v>
      </c>
      <c r="AR232" s="33">
        <f ca="1">_xll.DBRW($C$1,$C$2,$C$3,$C$4,$C$6,$C$5,$C$7,AR$1,AR$2,$A232)</f>
        <v>0</v>
      </c>
      <c r="AS232" s="33">
        <f ca="1">_xll.DBRW($C$1,$C$2,$C$3,$C$4,$C$6,$C$5,$C$7,AS$1,AS$2,$A232)</f>
        <v>0</v>
      </c>
      <c r="AT232" s="33">
        <f ca="1">_xll.DBRW($C$1,$C$2,$C$3,$C$4,$C$6,$C$5,$C$7,AT$1,AT$2,$A232)</f>
        <v>0</v>
      </c>
      <c r="AU232" s="33">
        <f ca="1">_xll.DBRW($C$1,$C$2,$C$3,$C$4,$C$6,$C$5,$C$7,AU$1,AU$2,$A232)</f>
        <v>0</v>
      </c>
      <c r="AV232" s="33">
        <f ca="1">_xll.DBRW($C$1,$C$2,$C$3,$C$4,$C$6,$C$5,$C$7,AV$1,AV$2,$A232)</f>
        <v>0</v>
      </c>
      <c r="AW232" s="33">
        <f ca="1">_xll.DBRW($C$1,$C$2,$C$3,$C$4,$C$6,$C$5,$C$7,AW$1,AW$2,$A232)</f>
        <v>0</v>
      </c>
      <c r="AX232" s="33">
        <f ca="1">_xll.DBRW($C$1,$C$2,$C$3,$C$4,$C$6,$C$5,$C$7,AX$1,AX$2,$A232)</f>
        <v>0</v>
      </c>
      <c r="AY232" s="33">
        <f ca="1">_xll.DBRW($C$1,$C$2,$C$3,$C$4,$C$6,$C$5,$C$7,AY$1,AY$2,$A232)</f>
        <v>0</v>
      </c>
    </row>
    <row r="233" spans="1:51" ht="15.5" hidden="1" outlineLevel="1" collapsed="1">
      <c r="A233" s="1" t="s">
        <v>313</v>
      </c>
      <c r="C233" s="109"/>
      <c r="E233" s="15" t="s">
        <v>48</v>
      </c>
      <c r="F233" s="39">
        <f t="shared" ref="F233:M233" ca="1" si="123">F232</f>
        <v>0</v>
      </c>
      <c r="G233" s="39">
        <f t="shared" ca="1" si="123"/>
        <v>0</v>
      </c>
      <c r="H233" s="39">
        <f t="shared" ca="1" si="123"/>
        <v>0</v>
      </c>
      <c r="I233" s="39">
        <f t="shared" ca="1" si="123"/>
        <v>0</v>
      </c>
      <c r="J233" s="39">
        <f t="shared" ca="1" si="123"/>
        <v>0</v>
      </c>
      <c r="K233" s="39">
        <f t="shared" ca="1" si="123"/>
        <v>0</v>
      </c>
      <c r="L233" s="39">
        <f t="shared" ca="1" si="123"/>
        <v>0</v>
      </c>
      <c r="M233" s="39">
        <f t="shared" ca="1" si="123"/>
        <v>0</v>
      </c>
      <c r="N233" s="39">
        <f t="shared" ref="N233:X233" ca="1" si="124">N232</f>
        <v>0</v>
      </c>
      <c r="O233" s="39">
        <f t="shared" ca="1" si="124"/>
        <v>0</v>
      </c>
      <c r="P233" s="39">
        <f t="shared" ca="1" si="124"/>
        <v>0</v>
      </c>
      <c r="Q233" s="39">
        <f t="shared" ca="1" si="124"/>
        <v>0</v>
      </c>
      <c r="R233" s="39">
        <f t="shared" ca="1" si="124"/>
        <v>0</v>
      </c>
      <c r="S233" s="39">
        <f t="shared" ca="1" si="124"/>
        <v>0</v>
      </c>
      <c r="T233" s="39">
        <f t="shared" ca="1" si="124"/>
        <v>0</v>
      </c>
      <c r="U233" s="39">
        <f t="shared" ca="1" si="124"/>
        <v>0</v>
      </c>
      <c r="V233" s="39">
        <f t="shared" ca="1" si="124"/>
        <v>0</v>
      </c>
      <c r="W233" s="39">
        <f t="shared" ca="1" si="124"/>
        <v>0</v>
      </c>
      <c r="X233" s="39">
        <f t="shared" ca="1" si="124"/>
        <v>0</v>
      </c>
      <c r="Y233" s="39">
        <f ca="1">Y232</f>
        <v>0</v>
      </c>
      <c r="Z233" s="39">
        <f ca="1">Z232</f>
        <v>0</v>
      </c>
      <c r="AA233" s="39">
        <f t="shared" ref="AA233:AK233" ca="1" si="125">AA232</f>
        <v>0</v>
      </c>
      <c r="AB233" s="39">
        <f t="shared" ca="1" si="125"/>
        <v>0</v>
      </c>
      <c r="AC233" s="39">
        <f t="shared" ca="1" si="125"/>
        <v>0</v>
      </c>
      <c r="AD233" s="39">
        <f t="shared" ca="1" si="125"/>
        <v>0</v>
      </c>
      <c r="AE233" s="39">
        <f t="shared" ca="1" si="125"/>
        <v>0</v>
      </c>
      <c r="AF233" s="39">
        <f t="shared" ca="1" si="125"/>
        <v>0</v>
      </c>
      <c r="AG233" s="39">
        <f t="shared" ca="1" si="125"/>
        <v>0</v>
      </c>
      <c r="AH233" s="39">
        <f t="shared" ca="1" si="125"/>
        <v>0</v>
      </c>
      <c r="AI233" s="39">
        <f t="shared" ca="1" si="125"/>
        <v>0</v>
      </c>
      <c r="AJ233" s="39">
        <f t="shared" ca="1" si="125"/>
        <v>0</v>
      </c>
      <c r="AK233" s="39">
        <f t="shared" ca="1" si="125"/>
        <v>0</v>
      </c>
      <c r="AL233" s="39">
        <f ca="1">AL232</f>
        <v>0</v>
      </c>
      <c r="AM233" s="39">
        <f ca="1">AM232</f>
        <v>0</v>
      </c>
      <c r="AN233" s="39">
        <f t="shared" ref="AN233:AX233" ca="1" si="126">AN232</f>
        <v>0</v>
      </c>
      <c r="AO233" s="39">
        <f t="shared" ca="1" si="126"/>
        <v>0</v>
      </c>
      <c r="AP233" s="39">
        <f t="shared" ca="1" si="126"/>
        <v>0</v>
      </c>
      <c r="AQ233" s="39">
        <f t="shared" ca="1" si="126"/>
        <v>0</v>
      </c>
      <c r="AR233" s="39">
        <f t="shared" ca="1" si="126"/>
        <v>0</v>
      </c>
      <c r="AS233" s="39">
        <f t="shared" ca="1" si="126"/>
        <v>0</v>
      </c>
      <c r="AT233" s="39">
        <f t="shared" ca="1" si="126"/>
        <v>0</v>
      </c>
      <c r="AU233" s="39">
        <f t="shared" ca="1" si="126"/>
        <v>0</v>
      </c>
      <c r="AV233" s="39">
        <f t="shared" ca="1" si="126"/>
        <v>0</v>
      </c>
      <c r="AW233" s="39">
        <f t="shared" ca="1" si="126"/>
        <v>0</v>
      </c>
      <c r="AX233" s="39">
        <f t="shared" ca="1" si="126"/>
        <v>0</v>
      </c>
      <c r="AY233" s="39">
        <f ca="1">AY232</f>
        <v>0</v>
      </c>
    </row>
    <row r="234" spans="1:51" ht="15.75" hidden="1" customHeight="1" outlineLevel="2">
      <c r="A234" s="1" t="s">
        <v>314</v>
      </c>
      <c r="C234" s="109"/>
      <c r="E234" s="9" t="str">
        <f ca="1">_xll.DBRW(Server&amp;"}ElementAttributes_Indicator",A234,"code_English")</f>
        <v>PL0000_GM - General Management (RESOP)</v>
      </c>
      <c r="F234" s="33">
        <f ca="1">_xll.DBRW($C$1,$C$2,$C$3,$C$4,$C$6,$C$5,$C$7,F$1,F$2,$A234)</f>
        <v>0</v>
      </c>
      <c r="G234" s="33">
        <f ca="1">_xll.DBRW($C$1,$C$2,$C$3,$C$4,$C$6,$C$5,$C$7,G$1,G$2,$A234)</f>
        <v>0</v>
      </c>
      <c r="H234" s="33">
        <f ca="1">_xll.DBRW($C$1,$C$2,$C$3,$C$4,$C$6,$C$5,$C$7,H$1,H$2,$A234)</f>
        <v>0</v>
      </c>
      <c r="I234" s="33">
        <f ca="1">_xll.DBRW($C$1,$C$2,$C$3,$C$4,$C$6,$C$5,$C$7,I$1,I$2,$A234)</f>
        <v>0</v>
      </c>
      <c r="J234" s="33">
        <f ca="1">_xll.DBRW($C$1,$C$2,$C$3,$C$4,$C$6,$C$5,$C$7,J$1,J$2,$A234)</f>
        <v>0</v>
      </c>
      <c r="K234" s="33">
        <f ca="1">_xll.DBRW($C$1,$C$2,$C$3,$C$4,$C$6,$C$5,$C$7,K$1,K$2,$A234)</f>
        <v>0</v>
      </c>
      <c r="L234" s="33">
        <f ca="1">_xll.DBRW($C$1,$C$2,$C$3,$C$4,$C$6,$C$5,$C$7,L$1,L$2,$A234)</f>
        <v>0</v>
      </c>
      <c r="M234" s="33">
        <f ca="1">_xll.DBRW($C$1,$C$2,$C$3,$C$4,$C$6,$C$5,$C$7,M$1,M$2,$A234)</f>
        <v>0</v>
      </c>
      <c r="N234" s="33">
        <f ca="1">_xll.DBRW($C$1,$C$2,$C$3,$C$4,$C$6,$C$5,$C$7,N$1,N$2,$A234)</f>
        <v>0</v>
      </c>
      <c r="O234" s="33">
        <f ca="1">_xll.DBRW($C$1,$C$2,$C$3,$C$4,$C$6,$C$5,$C$7,O$1,O$2,$A234)</f>
        <v>0</v>
      </c>
      <c r="P234" s="33">
        <f ca="1">_xll.DBRW($C$1,$C$2,$C$3,$C$4,$C$6,$C$5,$C$7,P$1,P$2,$A234)</f>
        <v>0</v>
      </c>
      <c r="Q234" s="33">
        <f ca="1">_xll.DBRW($C$1,$C$2,$C$3,$C$4,$C$6,$C$5,$C$7,Q$1,Q$2,$A234)</f>
        <v>0</v>
      </c>
      <c r="R234" s="33">
        <f ca="1">_xll.DBRW($C$1,$C$2,$C$3,$C$4,$C$6,$C$5,$C$7,R$1,R$2,$A234)</f>
        <v>0</v>
      </c>
      <c r="S234" s="33">
        <f ca="1">_xll.DBRW($C$1,$C$2,$C$3,$C$4,$C$6,$C$5,$C$7,S$1,S$2,$A234)</f>
        <v>0</v>
      </c>
      <c r="T234" s="33">
        <f ca="1">_xll.DBRW($C$1,$C$2,$C$3,$C$4,$C$6,$C$5,$C$7,T$1,T$2,$A234)</f>
        <v>0</v>
      </c>
      <c r="U234" s="33">
        <f ca="1">_xll.DBRW($C$1,$C$2,$C$3,$C$4,$C$6,$C$5,$C$7,U$1,U$2,$A234)</f>
        <v>0</v>
      </c>
      <c r="V234" s="33">
        <f ca="1">_xll.DBRW($C$1,$C$2,$C$3,$C$4,$C$6,$C$5,$C$7,V$1,V$2,$A234)</f>
        <v>0</v>
      </c>
      <c r="W234" s="33">
        <f ca="1">_xll.DBRW($C$1,$C$2,$C$3,$C$4,$C$6,$C$5,$C$7,W$1,W$2,$A234)</f>
        <v>0</v>
      </c>
      <c r="X234" s="33">
        <f ca="1">_xll.DBRW($C$1,$C$2,$C$3,$C$4,$C$6,$C$5,$C$7,X$1,X$2,$A234)</f>
        <v>0</v>
      </c>
      <c r="Y234" s="33">
        <f ca="1">_xll.DBRW($C$1,$C$2,$C$3,$C$4,$C$6,$C$5,$C$7,Y$1,Y$2,$A234)</f>
        <v>0</v>
      </c>
      <c r="Z234" s="33">
        <f ca="1">_xll.DBRW($C$1,$C$2,$C$3,$C$4,$C$6,$C$5,$C$7,Z$1,Z$2,$A234)</f>
        <v>0</v>
      </c>
      <c r="AA234" s="33">
        <f ca="1">_xll.DBRW($C$1,$C$2,$C$3,$C$4,$C$6,$C$5,$C$7,AA$1,AA$2,$A234)</f>
        <v>0</v>
      </c>
      <c r="AB234" s="33">
        <f ca="1">_xll.DBRW($C$1,$C$2,$C$3,$C$4,$C$6,$C$5,$C$7,AB$1,AB$2,$A234)</f>
        <v>0</v>
      </c>
      <c r="AC234" s="33">
        <f ca="1">_xll.DBRW($C$1,$C$2,$C$3,$C$4,$C$6,$C$5,$C$7,AC$1,AC$2,$A234)</f>
        <v>0</v>
      </c>
      <c r="AD234" s="33">
        <f ca="1">_xll.DBRW($C$1,$C$2,$C$3,$C$4,$C$6,$C$5,$C$7,AD$1,AD$2,$A234)</f>
        <v>0</v>
      </c>
      <c r="AE234" s="33">
        <f ca="1">_xll.DBRW($C$1,$C$2,$C$3,$C$4,$C$6,$C$5,$C$7,AE$1,AE$2,$A234)</f>
        <v>0</v>
      </c>
      <c r="AF234" s="33">
        <f ca="1">_xll.DBRW($C$1,$C$2,$C$3,$C$4,$C$6,$C$5,$C$7,AF$1,AF$2,$A234)</f>
        <v>0</v>
      </c>
      <c r="AG234" s="33">
        <f ca="1">_xll.DBRW($C$1,$C$2,$C$3,$C$4,$C$6,$C$5,$C$7,AG$1,AG$2,$A234)</f>
        <v>0</v>
      </c>
      <c r="AH234" s="33">
        <f ca="1">_xll.DBRW($C$1,$C$2,$C$3,$C$4,$C$6,$C$5,$C$7,AH$1,AH$2,$A234)</f>
        <v>0</v>
      </c>
      <c r="AI234" s="33">
        <f ca="1">_xll.DBRW($C$1,$C$2,$C$3,$C$4,$C$6,$C$5,$C$7,AI$1,AI$2,$A234)</f>
        <v>0</v>
      </c>
      <c r="AJ234" s="33">
        <f ca="1">_xll.DBRW($C$1,$C$2,$C$3,$C$4,$C$6,$C$5,$C$7,AJ$1,AJ$2,$A234)</f>
        <v>0</v>
      </c>
      <c r="AK234" s="33">
        <f ca="1">_xll.DBRW($C$1,$C$2,$C$3,$C$4,$C$6,$C$5,$C$7,AK$1,AK$2,$A234)</f>
        <v>0</v>
      </c>
      <c r="AL234" s="33">
        <f ca="1">_xll.DBRW($C$1,$C$2,$C$3,$C$4,$C$6,$C$5,$C$7,AL$1,AL$2,$A234)</f>
        <v>0</v>
      </c>
      <c r="AM234" s="33">
        <f ca="1">_xll.DBRW($C$1,$C$2,$C$3,$C$4,$C$6,$C$5,$C$7,AM$1,AM$2,$A234)</f>
        <v>0</v>
      </c>
      <c r="AN234" s="33">
        <f ca="1">_xll.DBRW($C$1,$C$2,$C$3,$C$4,$C$6,$C$5,$C$7,AN$1,AN$2,$A234)</f>
        <v>0</v>
      </c>
      <c r="AO234" s="33">
        <f ca="1">_xll.DBRW($C$1,$C$2,$C$3,$C$4,$C$6,$C$5,$C$7,AO$1,AO$2,$A234)</f>
        <v>0</v>
      </c>
      <c r="AP234" s="33">
        <f ca="1">_xll.DBRW($C$1,$C$2,$C$3,$C$4,$C$6,$C$5,$C$7,AP$1,AP$2,$A234)</f>
        <v>0</v>
      </c>
      <c r="AQ234" s="33">
        <f ca="1">_xll.DBRW($C$1,$C$2,$C$3,$C$4,$C$6,$C$5,$C$7,AQ$1,AQ$2,$A234)</f>
        <v>0</v>
      </c>
      <c r="AR234" s="33">
        <f ca="1">_xll.DBRW($C$1,$C$2,$C$3,$C$4,$C$6,$C$5,$C$7,AR$1,AR$2,$A234)</f>
        <v>0</v>
      </c>
      <c r="AS234" s="33">
        <f ca="1">_xll.DBRW($C$1,$C$2,$C$3,$C$4,$C$6,$C$5,$C$7,AS$1,AS$2,$A234)</f>
        <v>0</v>
      </c>
      <c r="AT234" s="33">
        <f ca="1">_xll.DBRW($C$1,$C$2,$C$3,$C$4,$C$6,$C$5,$C$7,AT$1,AT$2,$A234)</f>
        <v>0</v>
      </c>
      <c r="AU234" s="33">
        <f ca="1">_xll.DBRW($C$1,$C$2,$C$3,$C$4,$C$6,$C$5,$C$7,AU$1,AU$2,$A234)</f>
        <v>0</v>
      </c>
      <c r="AV234" s="33">
        <f ca="1">_xll.DBRW($C$1,$C$2,$C$3,$C$4,$C$6,$C$5,$C$7,AV$1,AV$2,$A234)</f>
        <v>0</v>
      </c>
      <c r="AW234" s="33">
        <f ca="1">_xll.DBRW($C$1,$C$2,$C$3,$C$4,$C$6,$C$5,$C$7,AW$1,AW$2,$A234)</f>
        <v>0</v>
      </c>
      <c r="AX234" s="33">
        <f ca="1">_xll.DBRW($C$1,$C$2,$C$3,$C$4,$C$6,$C$5,$C$7,AX$1,AX$2,$A234)</f>
        <v>0</v>
      </c>
      <c r="AY234" s="33">
        <f ca="1">_xll.DBRW($C$1,$C$2,$C$3,$C$4,$C$6,$C$5,$C$7,AY$1,AY$2,$A234)</f>
        <v>0</v>
      </c>
    </row>
    <row r="235" spans="1:51" ht="15.5" hidden="1" outlineLevel="1" collapsed="1">
      <c r="A235" s="1" t="s">
        <v>142</v>
      </c>
      <c r="C235" s="109"/>
      <c r="E235" s="15" t="s">
        <v>49</v>
      </c>
      <c r="F235" s="39">
        <f t="shared" ref="F235:M235" ca="1" si="127">F234</f>
        <v>0</v>
      </c>
      <c r="G235" s="39">
        <f t="shared" ca="1" si="127"/>
        <v>0</v>
      </c>
      <c r="H235" s="39">
        <f t="shared" ca="1" si="127"/>
        <v>0</v>
      </c>
      <c r="I235" s="39">
        <f t="shared" ca="1" si="127"/>
        <v>0</v>
      </c>
      <c r="J235" s="39">
        <f t="shared" ca="1" si="127"/>
        <v>0</v>
      </c>
      <c r="K235" s="39">
        <f t="shared" ca="1" si="127"/>
        <v>0</v>
      </c>
      <c r="L235" s="39">
        <f t="shared" ca="1" si="127"/>
        <v>0</v>
      </c>
      <c r="M235" s="39">
        <f t="shared" ca="1" si="127"/>
        <v>0</v>
      </c>
      <c r="N235" s="39">
        <f t="shared" ref="N235:X235" ca="1" si="128">N234</f>
        <v>0</v>
      </c>
      <c r="O235" s="39">
        <f t="shared" ca="1" si="128"/>
        <v>0</v>
      </c>
      <c r="P235" s="39">
        <f t="shared" ca="1" si="128"/>
        <v>0</v>
      </c>
      <c r="Q235" s="39">
        <f t="shared" ca="1" si="128"/>
        <v>0</v>
      </c>
      <c r="R235" s="39">
        <f t="shared" ca="1" si="128"/>
        <v>0</v>
      </c>
      <c r="S235" s="39">
        <f t="shared" ca="1" si="128"/>
        <v>0</v>
      </c>
      <c r="T235" s="39">
        <f t="shared" ca="1" si="128"/>
        <v>0</v>
      </c>
      <c r="U235" s="39">
        <f t="shared" ca="1" si="128"/>
        <v>0</v>
      </c>
      <c r="V235" s="39">
        <f t="shared" ca="1" si="128"/>
        <v>0</v>
      </c>
      <c r="W235" s="39">
        <f t="shared" ca="1" si="128"/>
        <v>0</v>
      </c>
      <c r="X235" s="39">
        <f t="shared" ca="1" si="128"/>
        <v>0</v>
      </c>
      <c r="Y235" s="39">
        <f ca="1">Y234</f>
        <v>0</v>
      </c>
      <c r="Z235" s="39">
        <f ca="1">Z234</f>
        <v>0</v>
      </c>
      <c r="AA235" s="39">
        <f t="shared" ref="AA235:AK235" ca="1" si="129">AA234</f>
        <v>0</v>
      </c>
      <c r="AB235" s="39">
        <f t="shared" ca="1" si="129"/>
        <v>0</v>
      </c>
      <c r="AC235" s="39">
        <f t="shared" ca="1" si="129"/>
        <v>0</v>
      </c>
      <c r="AD235" s="39">
        <f t="shared" ca="1" si="129"/>
        <v>0</v>
      </c>
      <c r="AE235" s="39">
        <f t="shared" ca="1" si="129"/>
        <v>0</v>
      </c>
      <c r="AF235" s="39">
        <f t="shared" ca="1" si="129"/>
        <v>0</v>
      </c>
      <c r="AG235" s="39">
        <f t="shared" ca="1" si="129"/>
        <v>0</v>
      </c>
      <c r="AH235" s="39">
        <f t="shared" ca="1" si="129"/>
        <v>0</v>
      </c>
      <c r="AI235" s="39">
        <f t="shared" ca="1" si="129"/>
        <v>0</v>
      </c>
      <c r="AJ235" s="39">
        <f t="shared" ca="1" si="129"/>
        <v>0</v>
      </c>
      <c r="AK235" s="39">
        <f t="shared" ca="1" si="129"/>
        <v>0</v>
      </c>
      <c r="AL235" s="39">
        <f ca="1">AL234</f>
        <v>0</v>
      </c>
      <c r="AM235" s="39">
        <f ca="1">AM234</f>
        <v>0</v>
      </c>
      <c r="AN235" s="39">
        <f t="shared" ref="AN235:AX235" ca="1" si="130">AN234</f>
        <v>0</v>
      </c>
      <c r="AO235" s="39">
        <f t="shared" ca="1" si="130"/>
        <v>0</v>
      </c>
      <c r="AP235" s="39">
        <f t="shared" ca="1" si="130"/>
        <v>0</v>
      </c>
      <c r="AQ235" s="39">
        <f t="shared" ca="1" si="130"/>
        <v>0</v>
      </c>
      <c r="AR235" s="39">
        <f t="shared" ca="1" si="130"/>
        <v>0</v>
      </c>
      <c r="AS235" s="39">
        <f t="shared" ca="1" si="130"/>
        <v>0</v>
      </c>
      <c r="AT235" s="39">
        <f t="shared" ca="1" si="130"/>
        <v>0</v>
      </c>
      <c r="AU235" s="39">
        <f t="shared" ca="1" si="130"/>
        <v>0</v>
      </c>
      <c r="AV235" s="39">
        <f t="shared" ca="1" si="130"/>
        <v>0</v>
      </c>
      <c r="AW235" s="39">
        <f t="shared" ca="1" si="130"/>
        <v>0</v>
      </c>
      <c r="AX235" s="39">
        <f t="shared" ca="1" si="130"/>
        <v>0</v>
      </c>
      <c r="AY235" s="39">
        <f ca="1">AY234</f>
        <v>0</v>
      </c>
    </row>
    <row r="236" spans="1:51" ht="15.75" hidden="1" customHeight="1" outlineLevel="2">
      <c r="A236" s="1" t="s">
        <v>315</v>
      </c>
      <c r="C236" s="109"/>
      <c r="E236" s="9" t="str">
        <f ca="1">_xll.DBRW(Server&amp;"}ElementAttributes_Indicator",A236,"code_English")</f>
        <v>PL0000_GS - General Services</v>
      </c>
      <c r="F236" s="33">
        <f ca="1">_xll.DBRW($C$1,$C$2,$C$3,$C$4,$C$6,$C$5,$C$7,F$1,F$2,$A236)</f>
        <v>0</v>
      </c>
      <c r="G236" s="33">
        <f ca="1">_xll.DBRW($C$1,$C$2,$C$3,$C$4,$C$6,$C$5,$C$7,G$1,G$2,$A236)</f>
        <v>0</v>
      </c>
      <c r="H236" s="33">
        <f ca="1">_xll.DBRW($C$1,$C$2,$C$3,$C$4,$C$6,$C$5,$C$7,H$1,H$2,$A236)</f>
        <v>0</v>
      </c>
      <c r="I236" s="33">
        <f ca="1">_xll.DBRW($C$1,$C$2,$C$3,$C$4,$C$6,$C$5,$C$7,I$1,I$2,$A236)</f>
        <v>0</v>
      </c>
      <c r="J236" s="33">
        <f ca="1">_xll.DBRW($C$1,$C$2,$C$3,$C$4,$C$6,$C$5,$C$7,J$1,J$2,$A236)</f>
        <v>0</v>
      </c>
      <c r="K236" s="33">
        <f ca="1">_xll.DBRW($C$1,$C$2,$C$3,$C$4,$C$6,$C$5,$C$7,K$1,K$2,$A236)</f>
        <v>0</v>
      </c>
      <c r="L236" s="33">
        <f ca="1">_xll.DBRW($C$1,$C$2,$C$3,$C$4,$C$6,$C$5,$C$7,L$1,L$2,$A236)</f>
        <v>0</v>
      </c>
      <c r="M236" s="33">
        <f ca="1">_xll.DBRW($C$1,$C$2,$C$3,$C$4,$C$6,$C$5,$C$7,M$1,M$2,$A236)</f>
        <v>0</v>
      </c>
      <c r="N236" s="33">
        <f ca="1">_xll.DBRW($C$1,$C$2,$C$3,$C$4,$C$6,$C$5,$C$7,N$1,N$2,$A236)</f>
        <v>0</v>
      </c>
      <c r="O236" s="33">
        <f ca="1">_xll.DBRW($C$1,$C$2,$C$3,$C$4,$C$6,$C$5,$C$7,O$1,O$2,$A236)</f>
        <v>0</v>
      </c>
      <c r="P236" s="33">
        <f ca="1">_xll.DBRW($C$1,$C$2,$C$3,$C$4,$C$6,$C$5,$C$7,P$1,P$2,$A236)</f>
        <v>0</v>
      </c>
      <c r="Q236" s="33">
        <f ca="1">_xll.DBRW($C$1,$C$2,$C$3,$C$4,$C$6,$C$5,$C$7,Q$1,Q$2,$A236)</f>
        <v>0</v>
      </c>
      <c r="R236" s="33">
        <f ca="1">_xll.DBRW($C$1,$C$2,$C$3,$C$4,$C$6,$C$5,$C$7,R$1,R$2,$A236)</f>
        <v>0</v>
      </c>
      <c r="S236" s="33">
        <f ca="1">_xll.DBRW($C$1,$C$2,$C$3,$C$4,$C$6,$C$5,$C$7,S$1,S$2,$A236)</f>
        <v>0</v>
      </c>
      <c r="T236" s="33">
        <f ca="1">_xll.DBRW($C$1,$C$2,$C$3,$C$4,$C$6,$C$5,$C$7,T$1,T$2,$A236)</f>
        <v>0</v>
      </c>
      <c r="U236" s="33">
        <f ca="1">_xll.DBRW($C$1,$C$2,$C$3,$C$4,$C$6,$C$5,$C$7,U$1,U$2,$A236)</f>
        <v>0</v>
      </c>
      <c r="V236" s="33">
        <f ca="1">_xll.DBRW($C$1,$C$2,$C$3,$C$4,$C$6,$C$5,$C$7,V$1,V$2,$A236)</f>
        <v>0</v>
      </c>
      <c r="W236" s="33">
        <f ca="1">_xll.DBRW($C$1,$C$2,$C$3,$C$4,$C$6,$C$5,$C$7,W$1,W$2,$A236)</f>
        <v>0</v>
      </c>
      <c r="X236" s="33">
        <f ca="1">_xll.DBRW($C$1,$C$2,$C$3,$C$4,$C$6,$C$5,$C$7,X$1,X$2,$A236)</f>
        <v>0</v>
      </c>
      <c r="Y236" s="33">
        <f ca="1">_xll.DBRW($C$1,$C$2,$C$3,$C$4,$C$6,$C$5,$C$7,Y$1,Y$2,$A236)</f>
        <v>0</v>
      </c>
      <c r="Z236" s="33">
        <f ca="1">_xll.DBRW($C$1,$C$2,$C$3,$C$4,$C$6,$C$5,$C$7,Z$1,Z$2,$A236)</f>
        <v>0</v>
      </c>
      <c r="AA236" s="33">
        <f ca="1">_xll.DBRW($C$1,$C$2,$C$3,$C$4,$C$6,$C$5,$C$7,AA$1,AA$2,$A236)</f>
        <v>0</v>
      </c>
      <c r="AB236" s="33">
        <f ca="1">_xll.DBRW($C$1,$C$2,$C$3,$C$4,$C$6,$C$5,$C$7,AB$1,AB$2,$A236)</f>
        <v>0</v>
      </c>
      <c r="AC236" s="33">
        <f ca="1">_xll.DBRW($C$1,$C$2,$C$3,$C$4,$C$6,$C$5,$C$7,AC$1,AC$2,$A236)</f>
        <v>0</v>
      </c>
      <c r="AD236" s="33">
        <f ca="1">_xll.DBRW($C$1,$C$2,$C$3,$C$4,$C$6,$C$5,$C$7,AD$1,AD$2,$A236)</f>
        <v>0</v>
      </c>
      <c r="AE236" s="33">
        <f ca="1">_xll.DBRW($C$1,$C$2,$C$3,$C$4,$C$6,$C$5,$C$7,AE$1,AE$2,$A236)</f>
        <v>0</v>
      </c>
      <c r="AF236" s="33">
        <f ca="1">_xll.DBRW($C$1,$C$2,$C$3,$C$4,$C$6,$C$5,$C$7,AF$1,AF$2,$A236)</f>
        <v>0</v>
      </c>
      <c r="AG236" s="33">
        <f ca="1">_xll.DBRW($C$1,$C$2,$C$3,$C$4,$C$6,$C$5,$C$7,AG$1,AG$2,$A236)</f>
        <v>0</v>
      </c>
      <c r="AH236" s="33">
        <f ca="1">_xll.DBRW($C$1,$C$2,$C$3,$C$4,$C$6,$C$5,$C$7,AH$1,AH$2,$A236)</f>
        <v>0</v>
      </c>
      <c r="AI236" s="33">
        <f ca="1">_xll.DBRW($C$1,$C$2,$C$3,$C$4,$C$6,$C$5,$C$7,AI$1,AI$2,$A236)</f>
        <v>0</v>
      </c>
      <c r="AJ236" s="33">
        <f ca="1">_xll.DBRW($C$1,$C$2,$C$3,$C$4,$C$6,$C$5,$C$7,AJ$1,AJ$2,$A236)</f>
        <v>0</v>
      </c>
      <c r="AK236" s="33">
        <f ca="1">_xll.DBRW($C$1,$C$2,$C$3,$C$4,$C$6,$C$5,$C$7,AK$1,AK$2,$A236)</f>
        <v>0</v>
      </c>
      <c r="AL236" s="33">
        <f ca="1">_xll.DBRW($C$1,$C$2,$C$3,$C$4,$C$6,$C$5,$C$7,AL$1,AL$2,$A236)</f>
        <v>0</v>
      </c>
      <c r="AM236" s="33">
        <f ca="1">_xll.DBRW($C$1,$C$2,$C$3,$C$4,$C$6,$C$5,$C$7,AM$1,AM$2,$A236)</f>
        <v>0</v>
      </c>
      <c r="AN236" s="33">
        <f ca="1">_xll.DBRW($C$1,$C$2,$C$3,$C$4,$C$6,$C$5,$C$7,AN$1,AN$2,$A236)</f>
        <v>0</v>
      </c>
      <c r="AO236" s="33">
        <f ca="1">_xll.DBRW($C$1,$C$2,$C$3,$C$4,$C$6,$C$5,$C$7,AO$1,AO$2,$A236)</f>
        <v>0</v>
      </c>
      <c r="AP236" s="33">
        <f ca="1">_xll.DBRW($C$1,$C$2,$C$3,$C$4,$C$6,$C$5,$C$7,AP$1,AP$2,$A236)</f>
        <v>0</v>
      </c>
      <c r="AQ236" s="33">
        <f ca="1">_xll.DBRW($C$1,$C$2,$C$3,$C$4,$C$6,$C$5,$C$7,AQ$1,AQ$2,$A236)</f>
        <v>0</v>
      </c>
      <c r="AR236" s="33">
        <f ca="1">_xll.DBRW($C$1,$C$2,$C$3,$C$4,$C$6,$C$5,$C$7,AR$1,AR$2,$A236)</f>
        <v>0</v>
      </c>
      <c r="AS236" s="33">
        <f ca="1">_xll.DBRW($C$1,$C$2,$C$3,$C$4,$C$6,$C$5,$C$7,AS$1,AS$2,$A236)</f>
        <v>0</v>
      </c>
      <c r="AT236" s="33">
        <f ca="1">_xll.DBRW($C$1,$C$2,$C$3,$C$4,$C$6,$C$5,$C$7,AT$1,AT$2,$A236)</f>
        <v>0</v>
      </c>
      <c r="AU236" s="33">
        <f ca="1">_xll.DBRW($C$1,$C$2,$C$3,$C$4,$C$6,$C$5,$C$7,AU$1,AU$2,$A236)</f>
        <v>0</v>
      </c>
      <c r="AV236" s="33">
        <f ca="1">_xll.DBRW($C$1,$C$2,$C$3,$C$4,$C$6,$C$5,$C$7,AV$1,AV$2,$A236)</f>
        <v>0</v>
      </c>
      <c r="AW236" s="33">
        <f ca="1">_xll.DBRW($C$1,$C$2,$C$3,$C$4,$C$6,$C$5,$C$7,AW$1,AW$2,$A236)</f>
        <v>0</v>
      </c>
      <c r="AX236" s="33">
        <f ca="1">_xll.DBRW($C$1,$C$2,$C$3,$C$4,$C$6,$C$5,$C$7,AX$1,AX$2,$A236)</f>
        <v>0</v>
      </c>
      <c r="AY236" s="33">
        <f ca="1">_xll.DBRW($C$1,$C$2,$C$3,$C$4,$C$6,$C$5,$C$7,AY$1,AY$2,$A236)</f>
        <v>0</v>
      </c>
    </row>
    <row r="237" spans="1:51" ht="15.5" hidden="1" outlineLevel="1" collapsed="1">
      <c r="A237" s="1" t="s">
        <v>142</v>
      </c>
      <c r="C237" s="109"/>
      <c r="E237" s="15" t="s">
        <v>50</v>
      </c>
      <c r="F237" s="39">
        <f t="shared" ref="F237:M237" ca="1" si="131">F236</f>
        <v>0</v>
      </c>
      <c r="G237" s="39">
        <f t="shared" ca="1" si="131"/>
        <v>0</v>
      </c>
      <c r="H237" s="39">
        <f t="shared" ca="1" si="131"/>
        <v>0</v>
      </c>
      <c r="I237" s="39">
        <f t="shared" ca="1" si="131"/>
        <v>0</v>
      </c>
      <c r="J237" s="39">
        <f t="shared" ca="1" si="131"/>
        <v>0</v>
      </c>
      <c r="K237" s="39">
        <f t="shared" ca="1" si="131"/>
        <v>0</v>
      </c>
      <c r="L237" s="39">
        <f t="shared" ca="1" si="131"/>
        <v>0</v>
      </c>
      <c r="M237" s="39">
        <f t="shared" ca="1" si="131"/>
        <v>0</v>
      </c>
      <c r="N237" s="39">
        <f t="shared" ref="N237:X237" ca="1" si="132">N236</f>
        <v>0</v>
      </c>
      <c r="O237" s="39">
        <f t="shared" ca="1" si="132"/>
        <v>0</v>
      </c>
      <c r="P237" s="39">
        <f t="shared" ca="1" si="132"/>
        <v>0</v>
      </c>
      <c r="Q237" s="39">
        <f t="shared" ca="1" si="132"/>
        <v>0</v>
      </c>
      <c r="R237" s="39">
        <f t="shared" ca="1" si="132"/>
        <v>0</v>
      </c>
      <c r="S237" s="39">
        <f t="shared" ca="1" si="132"/>
        <v>0</v>
      </c>
      <c r="T237" s="39">
        <f t="shared" ca="1" si="132"/>
        <v>0</v>
      </c>
      <c r="U237" s="39">
        <f t="shared" ca="1" si="132"/>
        <v>0</v>
      </c>
      <c r="V237" s="39">
        <f t="shared" ca="1" si="132"/>
        <v>0</v>
      </c>
      <c r="W237" s="39">
        <f t="shared" ca="1" si="132"/>
        <v>0</v>
      </c>
      <c r="X237" s="39">
        <f t="shared" ca="1" si="132"/>
        <v>0</v>
      </c>
      <c r="Y237" s="39">
        <f ca="1">Y236</f>
        <v>0</v>
      </c>
      <c r="Z237" s="39">
        <f ca="1">Z236</f>
        <v>0</v>
      </c>
      <c r="AA237" s="39">
        <f t="shared" ref="AA237:AK237" ca="1" si="133">AA236</f>
        <v>0</v>
      </c>
      <c r="AB237" s="39">
        <f t="shared" ca="1" si="133"/>
        <v>0</v>
      </c>
      <c r="AC237" s="39">
        <f t="shared" ca="1" si="133"/>
        <v>0</v>
      </c>
      <c r="AD237" s="39">
        <f t="shared" ca="1" si="133"/>
        <v>0</v>
      </c>
      <c r="AE237" s="39">
        <f t="shared" ca="1" si="133"/>
        <v>0</v>
      </c>
      <c r="AF237" s="39">
        <f t="shared" ca="1" si="133"/>
        <v>0</v>
      </c>
      <c r="AG237" s="39">
        <f t="shared" ca="1" si="133"/>
        <v>0</v>
      </c>
      <c r="AH237" s="39">
        <f t="shared" ca="1" si="133"/>
        <v>0</v>
      </c>
      <c r="AI237" s="39">
        <f t="shared" ca="1" si="133"/>
        <v>0</v>
      </c>
      <c r="AJ237" s="39">
        <f t="shared" ca="1" si="133"/>
        <v>0</v>
      </c>
      <c r="AK237" s="39">
        <f t="shared" ca="1" si="133"/>
        <v>0</v>
      </c>
      <c r="AL237" s="39">
        <f ca="1">AL236</f>
        <v>0</v>
      </c>
      <c r="AM237" s="39">
        <f ca="1">AM236</f>
        <v>0</v>
      </c>
      <c r="AN237" s="39">
        <f t="shared" ref="AN237:AX237" ca="1" si="134">AN236</f>
        <v>0</v>
      </c>
      <c r="AO237" s="39">
        <f t="shared" ca="1" si="134"/>
        <v>0</v>
      </c>
      <c r="AP237" s="39">
        <f t="shared" ca="1" si="134"/>
        <v>0</v>
      </c>
      <c r="AQ237" s="39">
        <f t="shared" ca="1" si="134"/>
        <v>0</v>
      </c>
      <c r="AR237" s="39">
        <f t="shared" ca="1" si="134"/>
        <v>0</v>
      </c>
      <c r="AS237" s="39">
        <f t="shared" ca="1" si="134"/>
        <v>0</v>
      </c>
      <c r="AT237" s="39">
        <f t="shared" ca="1" si="134"/>
        <v>0</v>
      </c>
      <c r="AU237" s="39">
        <f t="shared" ca="1" si="134"/>
        <v>0</v>
      </c>
      <c r="AV237" s="39">
        <f t="shared" ca="1" si="134"/>
        <v>0</v>
      </c>
      <c r="AW237" s="39">
        <f t="shared" ca="1" si="134"/>
        <v>0</v>
      </c>
      <c r="AX237" s="39">
        <f t="shared" ca="1" si="134"/>
        <v>0</v>
      </c>
      <c r="AY237" s="39">
        <f ca="1">AY236</f>
        <v>0</v>
      </c>
    </row>
    <row r="238" spans="1:51" ht="15.75" hidden="1" customHeight="1" outlineLevel="2">
      <c r="A238" s="1" t="s">
        <v>316</v>
      </c>
      <c r="C238" s="109"/>
      <c r="E238" s="9" t="str">
        <f ca="1">_xll.DBRW(Server&amp;"}ElementAttributes_Indicator",A238,"code_English")</f>
        <v>PL0000_HR - HR department</v>
      </c>
      <c r="F238" s="33">
        <f ca="1">_xll.DBRW($C$1,$C$2,$C$3,$C$4,$C$6,$C$5,$C$7,F$1,F$2,$A238)</f>
        <v>0</v>
      </c>
      <c r="G238" s="33">
        <f ca="1">_xll.DBRW($C$1,$C$2,$C$3,$C$4,$C$6,$C$5,$C$7,G$1,G$2,$A238)</f>
        <v>0</v>
      </c>
      <c r="H238" s="33">
        <f ca="1">_xll.DBRW($C$1,$C$2,$C$3,$C$4,$C$6,$C$5,$C$7,H$1,H$2,$A238)</f>
        <v>0</v>
      </c>
      <c r="I238" s="33">
        <f ca="1">_xll.DBRW($C$1,$C$2,$C$3,$C$4,$C$6,$C$5,$C$7,I$1,I$2,$A238)</f>
        <v>0</v>
      </c>
      <c r="J238" s="33">
        <f ca="1">_xll.DBRW($C$1,$C$2,$C$3,$C$4,$C$6,$C$5,$C$7,J$1,J$2,$A238)</f>
        <v>0</v>
      </c>
      <c r="K238" s="33">
        <f ca="1">_xll.DBRW($C$1,$C$2,$C$3,$C$4,$C$6,$C$5,$C$7,K$1,K$2,$A238)</f>
        <v>0</v>
      </c>
      <c r="L238" s="33">
        <f ca="1">_xll.DBRW($C$1,$C$2,$C$3,$C$4,$C$6,$C$5,$C$7,L$1,L$2,$A238)</f>
        <v>0</v>
      </c>
      <c r="M238" s="33">
        <f ca="1">_xll.DBRW($C$1,$C$2,$C$3,$C$4,$C$6,$C$5,$C$7,M$1,M$2,$A238)</f>
        <v>0</v>
      </c>
      <c r="N238" s="33">
        <f ca="1">_xll.DBRW($C$1,$C$2,$C$3,$C$4,$C$6,$C$5,$C$7,N$1,N$2,$A238)</f>
        <v>0</v>
      </c>
      <c r="O238" s="33">
        <f ca="1">_xll.DBRW($C$1,$C$2,$C$3,$C$4,$C$6,$C$5,$C$7,O$1,O$2,$A238)</f>
        <v>0</v>
      </c>
      <c r="P238" s="33">
        <f ca="1">_xll.DBRW($C$1,$C$2,$C$3,$C$4,$C$6,$C$5,$C$7,P$1,P$2,$A238)</f>
        <v>0</v>
      </c>
      <c r="Q238" s="33">
        <f ca="1">_xll.DBRW($C$1,$C$2,$C$3,$C$4,$C$6,$C$5,$C$7,Q$1,Q$2,$A238)</f>
        <v>0</v>
      </c>
      <c r="R238" s="33">
        <f ca="1">_xll.DBRW($C$1,$C$2,$C$3,$C$4,$C$6,$C$5,$C$7,R$1,R$2,$A238)</f>
        <v>0</v>
      </c>
      <c r="S238" s="33">
        <f ca="1">_xll.DBRW($C$1,$C$2,$C$3,$C$4,$C$6,$C$5,$C$7,S$1,S$2,$A238)</f>
        <v>0</v>
      </c>
      <c r="T238" s="33">
        <f ca="1">_xll.DBRW($C$1,$C$2,$C$3,$C$4,$C$6,$C$5,$C$7,T$1,T$2,$A238)</f>
        <v>0</v>
      </c>
      <c r="U238" s="33">
        <f ca="1">_xll.DBRW($C$1,$C$2,$C$3,$C$4,$C$6,$C$5,$C$7,U$1,U$2,$A238)</f>
        <v>0</v>
      </c>
      <c r="V238" s="33">
        <f ca="1">_xll.DBRW($C$1,$C$2,$C$3,$C$4,$C$6,$C$5,$C$7,V$1,V$2,$A238)</f>
        <v>0</v>
      </c>
      <c r="W238" s="33">
        <f ca="1">_xll.DBRW($C$1,$C$2,$C$3,$C$4,$C$6,$C$5,$C$7,W$1,W$2,$A238)</f>
        <v>0</v>
      </c>
      <c r="X238" s="33">
        <f ca="1">_xll.DBRW($C$1,$C$2,$C$3,$C$4,$C$6,$C$5,$C$7,X$1,X$2,$A238)</f>
        <v>0</v>
      </c>
      <c r="Y238" s="33">
        <f ca="1">_xll.DBRW($C$1,$C$2,$C$3,$C$4,$C$6,$C$5,$C$7,Y$1,Y$2,$A238)</f>
        <v>0</v>
      </c>
      <c r="Z238" s="33">
        <f ca="1">_xll.DBRW($C$1,$C$2,$C$3,$C$4,$C$6,$C$5,$C$7,Z$1,Z$2,$A238)</f>
        <v>0</v>
      </c>
      <c r="AA238" s="33">
        <f ca="1">_xll.DBRW($C$1,$C$2,$C$3,$C$4,$C$6,$C$5,$C$7,AA$1,AA$2,$A238)</f>
        <v>0</v>
      </c>
      <c r="AB238" s="33">
        <f ca="1">_xll.DBRW($C$1,$C$2,$C$3,$C$4,$C$6,$C$5,$C$7,AB$1,AB$2,$A238)</f>
        <v>0</v>
      </c>
      <c r="AC238" s="33">
        <f ca="1">_xll.DBRW($C$1,$C$2,$C$3,$C$4,$C$6,$C$5,$C$7,AC$1,AC$2,$A238)</f>
        <v>0</v>
      </c>
      <c r="AD238" s="33">
        <f ca="1">_xll.DBRW($C$1,$C$2,$C$3,$C$4,$C$6,$C$5,$C$7,AD$1,AD$2,$A238)</f>
        <v>0</v>
      </c>
      <c r="AE238" s="33">
        <f ca="1">_xll.DBRW($C$1,$C$2,$C$3,$C$4,$C$6,$C$5,$C$7,AE$1,AE$2,$A238)</f>
        <v>0</v>
      </c>
      <c r="AF238" s="33">
        <f ca="1">_xll.DBRW($C$1,$C$2,$C$3,$C$4,$C$6,$C$5,$C$7,AF$1,AF$2,$A238)</f>
        <v>0</v>
      </c>
      <c r="AG238" s="33">
        <f ca="1">_xll.DBRW($C$1,$C$2,$C$3,$C$4,$C$6,$C$5,$C$7,AG$1,AG$2,$A238)</f>
        <v>0</v>
      </c>
      <c r="AH238" s="33">
        <f ca="1">_xll.DBRW($C$1,$C$2,$C$3,$C$4,$C$6,$C$5,$C$7,AH$1,AH$2,$A238)</f>
        <v>0</v>
      </c>
      <c r="AI238" s="33">
        <f ca="1">_xll.DBRW($C$1,$C$2,$C$3,$C$4,$C$6,$C$5,$C$7,AI$1,AI$2,$A238)</f>
        <v>0</v>
      </c>
      <c r="AJ238" s="33">
        <f ca="1">_xll.DBRW($C$1,$C$2,$C$3,$C$4,$C$6,$C$5,$C$7,AJ$1,AJ$2,$A238)</f>
        <v>0</v>
      </c>
      <c r="AK238" s="33">
        <f ca="1">_xll.DBRW($C$1,$C$2,$C$3,$C$4,$C$6,$C$5,$C$7,AK$1,AK$2,$A238)</f>
        <v>0</v>
      </c>
      <c r="AL238" s="33">
        <f ca="1">_xll.DBRW($C$1,$C$2,$C$3,$C$4,$C$6,$C$5,$C$7,AL$1,AL$2,$A238)</f>
        <v>0</v>
      </c>
      <c r="AM238" s="33">
        <f ca="1">_xll.DBRW($C$1,$C$2,$C$3,$C$4,$C$6,$C$5,$C$7,AM$1,AM$2,$A238)</f>
        <v>0</v>
      </c>
      <c r="AN238" s="33">
        <f ca="1">_xll.DBRW($C$1,$C$2,$C$3,$C$4,$C$6,$C$5,$C$7,AN$1,AN$2,$A238)</f>
        <v>0</v>
      </c>
      <c r="AO238" s="33">
        <f ca="1">_xll.DBRW($C$1,$C$2,$C$3,$C$4,$C$6,$C$5,$C$7,AO$1,AO$2,$A238)</f>
        <v>0</v>
      </c>
      <c r="AP238" s="33">
        <f ca="1">_xll.DBRW($C$1,$C$2,$C$3,$C$4,$C$6,$C$5,$C$7,AP$1,AP$2,$A238)</f>
        <v>0</v>
      </c>
      <c r="AQ238" s="33">
        <f ca="1">_xll.DBRW($C$1,$C$2,$C$3,$C$4,$C$6,$C$5,$C$7,AQ$1,AQ$2,$A238)</f>
        <v>0</v>
      </c>
      <c r="AR238" s="33">
        <f ca="1">_xll.DBRW($C$1,$C$2,$C$3,$C$4,$C$6,$C$5,$C$7,AR$1,AR$2,$A238)</f>
        <v>0</v>
      </c>
      <c r="AS238" s="33">
        <f ca="1">_xll.DBRW($C$1,$C$2,$C$3,$C$4,$C$6,$C$5,$C$7,AS$1,AS$2,$A238)</f>
        <v>0</v>
      </c>
      <c r="AT238" s="33">
        <f ca="1">_xll.DBRW($C$1,$C$2,$C$3,$C$4,$C$6,$C$5,$C$7,AT$1,AT$2,$A238)</f>
        <v>0</v>
      </c>
      <c r="AU238" s="33">
        <f ca="1">_xll.DBRW($C$1,$C$2,$C$3,$C$4,$C$6,$C$5,$C$7,AU$1,AU$2,$A238)</f>
        <v>0</v>
      </c>
      <c r="AV238" s="33">
        <f ca="1">_xll.DBRW($C$1,$C$2,$C$3,$C$4,$C$6,$C$5,$C$7,AV$1,AV$2,$A238)</f>
        <v>0</v>
      </c>
      <c r="AW238" s="33">
        <f ca="1">_xll.DBRW($C$1,$C$2,$C$3,$C$4,$C$6,$C$5,$C$7,AW$1,AW$2,$A238)</f>
        <v>0</v>
      </c>
      <c r="AX238" s="33">
        <f ca="1">_xll.DBRW($C$1,$C$2,$C$3,$C$4,$C$6,$C$5,$C$7,AX$1,AX$2,$A238)</f>
        <v>0</v>
      </c>
      <c r="AY238" s="33">
        <f ca="1">_xll.DBRW($C$1,$C$2,$C$3,$C$4,$C$6,$C$5,$C$7,AY$1,AY$2,$A238)</f>
        <v>0</v>
      </c>
    </row>
    <row r="239" spans="1:51" ht="15.5" hidden="1" outlineLevel="1" collapsed="1">
      <c r="A239" s="1" t="s">
        <v>142</v>
      </c>
      <c r="C239" s="109"/>
      <c r="E239" s="15" t="s">
        <v>51</v>
      </c>
      <c r="F239" s="39">
        <f t="shared" ref="F239:M239" ca="1" si="135">F238</f>
        <v>0</v>
      </c>
      <c r="G239" s="39">
        <f t="shared" ca="1" si="135"/>
        <v>0</v>
      </c>
      <c r="H239" s="39">
        <f t="shared" ca="1" si="135"/>
        <v>0</v>
      </c>
      <c r="I239" s="39">
        <f t="shared" ca="1" si="135"/>
        <v>0</v>
      </c>
      <c r="J239" s="39">
        <f t="shared" ca="1" si="135"/>
        <v>0</v>
      </c>
      <c r="K239" s="39">
        <f t="shared" ca="1" si="135"/>
        <v>0</v>
      </c>
      <c r="L239" s="39">
        <f t="shared" ca="1" si="135"/>
        <v>0</v>
      </c>
      <c r="M239" s="39">
        <f t="shared" ca="1" si="135"/>
        <v>0</v>
      </c>
      <c r="N239" s="39">
        <f t="shared" ref="N239:X239" ca="1" si="136">N238</f>
        <v>0</v>
      </c>
      <c r="O239" s="39">
        <f t="shared" ca="1" si="136"/>
        <v>0</v>
      </c>
      <c r="P239" s="39">
        <f t="shared" ca="1" si="136"/>
        <v>0</v>
      </c>
      <c r="Q239" s="39">
        <f t="shared" ca="1" si="136"/>
        <v>0</v>
      </c>
      <c r="R239" s="39">
        <f t="shared" ca="1" si="136"/>
        <v>0</v>
      </c>
      <c r="S239" s="39">
        <f t="shared" ca="1" si="136"/>
        <v>0</v>
      </c>
      <c r="T239" s="39">
        <f t="shared" ca="1" si="136"/>
        <v>0</v>
      </c>
      <c r="U239" s="39">
        <f t="shared" ca="1" si="136"/>
        <v>0</v>
      </c>
      <c r="V239" s="39">
        <f t="shared" ca="1" si="136"/>
        <v>0</v>
      </c>
      <c r="W239" s="39">
        <f t="shared" ca="1" si="136"/>
        <v>0</v>
      </c>
      <c r="X239" s="39">
        <f t="shared" ca="1" si="136"/>
        <v>0</v>
      </c>
      <c r="Y239" s="39">
        <f ca="1">Y238</f>
        <v>0</v>
      </c>
      <c r="Z239" s="39">
        <f ca="1">Z238</f>
        <v>0</v>
      </c>
      <c r="AA239" s="39">
        <f t="shared" ref="AA239:AK239" ca="1" si="137">AA238</f>
        <v>0</v>
      </c>
      <c r="AB239" s="39">
        <f t="shared" ca="1" si="137"/>
        <v>0</v>
      </c>
      <c r="AC239" s="39">
        <f t="shared" ca="1" si="137"/>
        <v>0</v>
      </c>
      <c r="AD239" s="39">
        <f t="shared" ca="1" si="137"/>
        <v>0</v>
      </c>
      <c r="AE239" s="39">
        <f t="shared" ca="1" si="137"/>
        <v>0</v>
      </c>
      <c r="AF239" s="39">
        <f t="shared" ca="1" si="137"/>
        <v>0</v>
      </c>
      <c r="AG239" s="39">
        <f t="shared" ca="1" si="137"/>
        <v>0</v>
      </c>
      <c r="AH239" s="39">
        <f t="shared" ca="1" si="137"/>
        <v>0</v>
      </c>
      <c r="AI239" s="39">
        <f t="shared" ca="1" si="137"/>
        <v>0</v>
      </c>
      <c r="AJ239" s="39">
        <f t="shared" ca="1" si="137"/>
        <v>0</v>
      </c>
      <c r="AK239" s="39">
        <f t="shared" ca="1" si="137"/>
        <v>0</v>
      </c>
      <c r="AL239" s="39">
        <f ca="1">AL238</f>
        <v>0</v>
      </c>
      <c r="AM239" s="39">
        <f ca="1">AM238</f>
        <v>0</v>
      </c>
      <c r="AN239" s="39">
        <f t="shared" ref="AN239:AX239" ca="1" si="138">AN238</f>
        <v>0</v>
      </c>
      <c r="AO239" s="39">
        <f t="shared" ca="1" si="138"/>
        <v>0</v>
      </c>
      <c r="AP239" s="39">
        <f t="shared" ca="1" si="138"/>
        <v>0</v>
      </c>
      <c r="AQ239" s="39">
        <f t="shared" ca="1" si="138"/>
        <v>0</v>
      </c>
      <c r="AR239" s="39">
        <f t="shared" ca="1" si="138"/>
        <v>0</v>
      </c>
      <c r="AS239" s="39">
        <f t="shared" ca="1" si="138"/>
        <v>0</v>
      </c>
      <c r="AT239" s="39">
        <f t="shared" ca="1" si="138"/>
        <v>0</v>
      </c>
      <c r="AU239" s="39">
        <f t="shared" ca="1" si="138"/>
        <v>0</v>
      </c>
      <c r="AV239" s="39">
        <f t="shared" ca="1" si="138"/>
        <v>0</v>
      </c>
      <c r="AW239" s="39">
        <f t="shared" ca="1" si="138"/>
        <v>0</v>
      </c>
      <c r="AX239" s="39">
        <f t="shared" ca="1" si="138"/>
        <v>0</v>
      </c>
      <c r="AY239" s="39">
        <f ca="1">AY238</f>
        <v>0</v>
      </c>
    </row>
    <row r="240" spans="1:51" ht="15.75" hidden="1" customHeight="1" outlineLevel="2">
      <c r="A240" s="1" t="s">
        <v>317</v>
      </c>
      <c r="C240" s="109"/>
      <c r="E240" s="9" t="str">
        <f ca="1">_xll.DBRW(Server&amp;"}ElementAttributes_Indicator",A240,"code_English")</f>
        <v>PL0000_IA - Internal audit</v>
      </c>
      <c r="F240" s="33">
        <f ca="1">_xll.DBRW($C$1,$C$2,$C$3,$C$4,$C$6,$C$5,$C$7,F$1,F$2,$A240)</f>
        <v>0</v>
      </c>
      <c r="G240" s="33">
        <f ca="1">_xll.DBRW($C$1,$C$2,$C$3,$C$4,$C$6,$C$5,$C$7,G$1,G$2,$A240)</f>
        <v>0</v>
      </c>
      <c r="H240" s="33">
        <f ca="1">_xll.DBRW($C$1,$C$2,$C$3,$C$4,$C$6,$C$5,$C$7,H$1,H$2,$A240)</f>
        <v>0</v>
      </c>
      <c r="I240" s="33">
        <f ca="1">_xll.DBRW($C$1,$C$2,$C$3,$C$4,$C$6,$C$5,$C$7,I$1,I$2,$A240)</f>
        <v>0</v>
      </c>
      <c r="J240" s="33">
        <f ca="1">_xll.DBRW($C$1,$C$2,$C$3,$C$4,$C$6,$C$5,$C$7,J$1,J$2,$A240)</f>
        <v>0</v>
      </c>
      <c r="K240" s="33">
        <f ca="1">_xll.DBRW($C$1,$C$2,$C$3,$C$4,$C$6,$C$5,$C$7,K$1,K$2,$A240)</f>
        <v>0</v>
      </c>
      <c r="L240" s="33">
        <f ca="1">_xll.DBRW($C$1,$C$2,$C$3,$C$4,$C$6,$C$5,$C$7,L$1,L$2,$A240)</f>
        <v>0</v>
      </c>
      <c r="M240" s="33">
        <f ca="1">_xll.DBRW($C$1,$C$2,$C$3,$C$4,$C$6,$C$5,$C$7,M$1,M$2,$A240)</f>
        <v>0</v>
      </c>
      <c r="N240" s="33">
        <f ca="1">_xll.DBRW($C$1,$C$2,$C$3,$C$4,$C$6,$C$5,$C$7,N$1,N$2,$A240)</f>
        <v>0</v>
      </c>
      <c r="O240" s="33">
        <f ca="1">_xll.DBRW($C$1,$C$2,$C$3,$C$4,$C$6,$C$5,$C$7,O$1,O$2,$A240)</f>
        <v>0</v>
      </c>
      <c r="P240" s="33">
        <f ca="1">_xll.DBRW($C$1,$C$2,$C$3,$C$4,$C$6,$C$5,$C$7,P$1,P$2,$A240)</f>
        <v>0</v>
      </c>
      <c r="Q240" s="33">
        <f ca="1">_xll.DBRW($C$1,$C$2,$C$3,$C$4,$C$6,$C$5,$C$7,Q$1,Q$2,$A240)</f>
        <v>0</v>
      </c>
      <c r="R240" s="33">
        <f ca="1">_xll.DBRW($C$1,$C$2,$C$3,$C$4,$C$6,$C$5,$C$7,R$1,R$2,$A240)</f>
        <v>0</v>
      </c>
      <c r="S240" s="33">
        <f ca="1">_xll.DBRW($C$1,$C$2,$C$3,$C$4,$C$6,$C$5,$C$7,S$1,S$2,$A240)</f>
        <v>0</v>
      </c>
      <c r="T240" s="33">
        <f ca="1">_xll.DBRW($C$1,$C$2,$C$3,$C$4,$C$6,$C$5,$C$7,T$1,T$2,$A240)</f>
        <v>0</v>
      </c>
      <c r="U240" s="33">
        <f ca="1">_xll.DBRW($C$1,$C$2,$C$3,$C$4,$C$6,$C$5,$C$7,U$1,U$2,$A240)</f>
        <v>0</v>
      </c>
      <c r="V240" s="33">
        <f ca="1">_xll.DBRW($C$1,$C$2,$C$3,$C$4,$C$6,$C$5,$C$7,V$1,V$2,$A240)</f>
        <v>0</v>
      </c>
      <c r="W240" s="33">
        <f ca="1">_xll.DBRW($C$1,$C$2,$C$3,$C$4,$C$6,$C$5,$C$7,W$1,W$2,$A240)</f>
        <v>0</v>
      </c>
      <c r="X240" s="33">
        <f ca="1">_xll.DBRW($C$1,$C$2,$C$3,$C$4,$C$6,$C$5,$C$7,X$1,X$2,$A240)</f>
        <v>0</v>
      </c>
      <c r="Y240" s="33">
        <f ca="1">_xll.DBRW($C$1,$C$2,$C$3,$C$4,$C$6,$C$5,$C$7,Y$1,Y$2,$A240)</f>
        <v>0</v>
      </c>
      <c r="Z240" s="33">
        <f ca="1">_xll.DBRW($C$1,$C$2,$C$3,$C$4,$C$6,$C$5,$C$7,Z$1,Z$2,$A240)</f>
        <v>0</v>
      </c>
      <c r="AA240" s="33">
        <f ca="1">_xll.DBRW($C$1,$C$2,$C$3,$C$4,$C$6,$C$5,$C$7,AA$1,AA$2,$A240)</f>
        <v>0</v>
      </c>
      <c r="AB240" s="33">
        <f ca="1">_xll.DBRW($C$1,$C$2,$C$3,$C$4,$C$6,$C$5,$C$7,AB$1,AB$2,$A240)</f>
        <v>0</v>
      </c>
      <c r="AC240" s="33">
        <f ca="1">_xll.DBRW($C$1,$C$2,$C$3,$C$4,$C$6,$C$5,$C$7,AC$1,AC$2,$A240)</f>
        <v>0</v>
      </c>
      <c r="AD240" s="33">
        <f ca="1">_xll.DBRW($C$1,$C$2,$C$3,$C$4,$C$6,$C$5,$C$7,AD$1,AD$2,$A240)</f>
        <v>0</v>
      </c>
      <c r="AE240" s="33">
        <f ca="1">_xll.DBRW($C$1,$C$2,$C$3,$C$4,$C$6,$C$5,$C$7,AE$1,AE$2,$A240)</f>
        <v>0</v>
      </c>
      <c r="AF240" s="33">
        <f ca="1">_xll.DBRW($C$1,$C$2,$C$3,$C$4,$C$6,$C$5,$C$7,AF$1,AF$2,$A240)</f>
        <v>0</v>
      </c>
      <c r="AG240" s="33">
        <f ca="1">_xll.DBRW($C$1,$C$2,$C$3,$C$4,$C$6,$C$5,$C$7,AG$1,AG$2,$A240)</f>
        <v>0</v>
      </c>
      <c r="AH240" s="33">
        <f ca="1">_xll.DBRW($C$1,$C$2,$C$3,$C$4,$C$6,$C$5,$C$7,AH$1,AH$2,$A240)</f>
        <v>0</v>
      </c>
      <c r="AI240" s="33">
        <f ca="1">_xll.DBRW($C$1,$C$2,$C$3,$C$4,$C$6,$C$5,$C$7,AI$1,AI$2,$A240)</f>
        <v>0</v>
      </c>
      <c r="AJ240" s="33">
        <f ca="1">_xll.DBRW($C$1,$C$2,$C$3,$C$4,$C$6,$C$5,$C$7,AJ$1,AJ$2,$A240)</f>
        <v>0</v>
      </c>
      <c r="AK240" s="33">
        <f ca="1">_xll.DBRW($C$1,$C$2,$C$3,$C$4,$C$6,$C$5,$C$7,AK$1,AK$2,$A240)</f>
        <v>0</v>
      </c>
      <c r="AL240" s="33">
        <f ca="1">_xll.DBRW($C$1,$C$2,$C$3,$C$4,$C$6,$C$5,$C$7,AL$1,AL$2,$A240)</f>
        <v>0</v>
      </c>
      <c r="AM240" s="33">
        <f ca="1">_xll.DBRW($C$1,$C$2,$C$3,$C$4,$C$6,$C$5,$C$7,AM$1,AM$2,$A240)</f>
        <v>0</v>
      </c>
      <c r="AN240" s="33">
        <f ca="1">_xll.DBRW($C$1,$C$2,$C$3,$C$4,$C$6,$C$5,$C$7,AN$1,AN$2,$A240)</f>
        <v>0</v>
      </c>
      <c r="AO240" s="33">
        <f ca="1">_xll.DBRW($C$1,$C$2,$C$3,$C$4,$C$6,$C$5,$C$7,AO$1,AO$2,$A240)</f>
        <v>0</v>
      </c>
      <c r="AP240" s="33">
        <f ca="1">_xll.DBRW($C$1,$C$2,$C$3,$C$4,$C$6,$C$5,$C$7,AP$1,AP$2,$A240)</f>
        <v>0</v>
      </c>
      <c r="AQ240" s="33">
        <f ca="1">_xll.DBRW($C$1,$C$2,$C$3,$C$4,$C$6,$C$5,$C$7,AQ$1,AQ$2,$A240)</f>
        <v>0</v>
      </c>
      <c r="AR240" s="33">
        <f ca="1">_xll.DBRW($C$1,$C$2,$C$3,$C$4,$C$6,$C$5,$C$7,AR$1,AR$2,$A240)</f>
        <v>0</v>
      </c>
      <c r="AS240" s="33">
        <f ca="1">_xll.DBRW($C$1,$C$2,$C$3,$C$4,$C$6,$C$5,$C$7,AS$1,AS$2,$A240)</f>
        <v>0</v>
      </c>
      <c r="AT240" s="33">
        <f ca="1">_xll.DBRW($C$1,$C$2,$C$3,$C$4,$C$6,$C$5,$C$7,AT$1,AT$2,$A240)</f>
        <v>0</v>
      </c>
      <c r="AU240" s="33">
        <f ca="1">_xll.DBRW($C$1,$C$2,$C$3,$C$4,$C$6,$C$5,$C$7,AU$1,AU$2,$A240)</f>
        <v>0</v>
      </c>
      <c r="AV240" s="33">
        <f ca="1">_xll.DBRW($C$1,$C$2,$C$3,$C$4,$C$6,$C$5,$C$7,AV$1,AV$2,$A240)</f>
        <v>0</v>
      </c>
      <c r="AW240" s="33">
        <f ca="1">_xll.DBRW($C$1,$C$2,$C$3,$C$4,$C$6,$C$5,$C$7,AW$1,AW$2,$A240)</f>
        <v>0</v>
      </c>
      <c r="AX240" s="33">
        <f ca="1">_xll.DBRW($C$1,$C$2,$C$3,$C$4,$C$6,$C$5,$C$7,AX$1,AX$2,$A240)</f>
        <v>0</v>
      </c>
      <c r="AY240" s="33">
        <f ca="1">_xll.DBRW($C$1,$C$2,$C$3,$C$4,$C$6,$C$5,$C$7,AY$1,AY$2,$A240)</f>
        <v>0</v>
      </c>
    </row>
    <row r="241" spans="1:51" ht="15.5" hidden="1" outlineLevel="1" collapsed="1">
      <c r="C241" s="109"/>
      <c r="E241" s="84" t="s">
        <v>52</v>
      </c>
      <c r="F241" s="39">
        <f t="shared" ref="F241:M241" ca="1" si="139">F240</f>
        <v>0</v>
      </c>
      <c r="G241" s="39">
        <f t="shared" ca="1" si="139"/>
        <v>0</v>
      </c>
      <c r="H241" s="39">
        <f t="shared" ca="1" si="139"/>
        <v>0</v>
      </c>
      <c r="I241" s="39">
        <f t="shared" ca="1" si="139"/>
        <v>0</v>
      </c>
      <c r="J241" s="39">
        <f t="shared" ca="1" si="139"/>
        <v>0</v>
      </c>
      <c r="K241" s="39">
        <f t="shared" ca="1" si="139"/>
        <v>0</v>
      </c>
      <c r="L241" s="39">
        <f t="shared" ca="1" si="139"/>
        <v>0</v>
      </c>
      <c r="M241" s="39">
        <f t="shared" ca="1" si="139"/>
        <v>0</v>
      </c>
      <c r="N241" s="39">
        <f t="shared" ref="N241:X241" ca="1" si="140">N240</f>
        <v>0</v>
      </c>
      <c r="O241" s="39">
        <f t="shared" ca="1" si="140"/>
        <v>0</v>
      </c>
      <c r="P241" s="39">
        <f t="shared" ca="1" si="140"/>
        <v>0</v>
      </c>
      <c r="Q241" s="39">
        <f t="shared" ca="1" si="140"/>
        <v>0</v>
      </c>
      <c r="R241" s="39">
        <f t="shared" ca="1" si="140"/>
        <v>0</v>
      </c>
      <c r="S241" s="39">
        <f t="shared" ca="1" si="140"/>
        <v>0</v>
      </c>
      <c r="T241" s="39">
        <f t="shared" ca="1" si="140"/>
        <v>0</v>
      </c>
      <c r="U241" s="39">
        <f t="shared" ca="1" si="140"/>
        <v>0</v>
      </c>
      <c r="V241" s="39">
        <f t="shared" ca="1" si="140"/>
        <v>0</v>
      </c>
      <c r="W241" s="39">
        <f t="shared" ca="1" si="140"/>
        <v>0</v>
      </c>
      <c r="X241" s="39">
        <f t="shared" ca="1" si="140"/>
        <v>0</v>
      </c>
      <c r="Y241" s="39">
        <f ca="1">Y240</f>
        <v>0</v>
      </c>
      <c r="Z241" s="39">
        <f ca="1">Z240</f>
        <v>0</v>
      </c>
      <c r="AA241" s="39">
        <f t="shared" ref="AA241:AK241" ca="1" si="141">AA240</f>
        <v>0</v>
      </c>
      <c r="AB241" s="39">
        <f t="shared" ca="1" si="141"/>
        <v>0</v>
      </c>
      <c r="AC241" s="39">
        <f t="shared" ca="1" si="141"/>
        <v>0</v>
      </c>
      <c r="AD241" s="39">
        <f t="shared" ca="1" si="141"/>
        <v>0</v>
      </c>
      <c r="AE241" s="39">
        <f t="shared" ca="1" si="141"/>
        <v>0</v>
      </c>
      <c r="AF241" s="39">
        <f t="shared" ca="1" si="141"/>
        <v>0</v>
      </c>
      <c r="AG241" s="39">
        <f t="shared" ca="1" si="141"/>
        <v>0</v>
      </c>
      <c r="AH241" s="39">
        <f t="shared" ca="1" si="141"/>
        <v>0</v>
      </c>
      <c r="AI241" s="39">
        <f t="shared" ca="1" si="141"/>
        <v>0</v>
      </c>
      <c r="AJ241" s="39">
        <f t="shared" ca="1" si="141"/>
        <v>0</v>
      </c>
      <c r="AK241" s="39">
        <f t="shared" ca="1" si="141"/>
        <v>0</v>
      </c>
      <c r="AL241" s="39">
        <f ca="1">AL240</f>
        <v>0</v>
      </c>
      <c r="AM241" s="39">
        <f ca="1">AM240</f>
        <v>0</v>
      </c>
      <c r="AN241" s="39">
        <f t="shared" ref="AN241:AX241" ca="1" si="142">AN240</f>
        <v>0</v>
      </c>
      <c r="AO241" s="39">
        <f t="shared" ca="1" si="142"/>
        <v>0</v>
      </c>
      <c r="AP241" s="39">
        <f t="shared" ca="1" si="142"/>
        <v>0</v>
      </c>
      <c r="AQ241" s="39">
        <f t="shared" ca="1" si="142"/>
        <v>0</v>
      </c>
      <c r="AR241" s="39">
        <f t="shared" ca="1" si="142"/>
        <v>0</v>
      </c>
      <c r="AS241" s="39">
        <f t="shared" ca="1" si="142"/>
        <v>0</v>
      </c>
      <c r="AT241" s="39">
        <f t="shared" ca="1" si="142"/>
        <v>0</v>
      </c>
      <c r="AU241" s="39">
        <f t="shared" ca="1" si="142"/>
        <v>0</v>
      </c>
      <c r="AV241" s="39">
        <f t="shared" ca="1" si="142"/>
        <v>0</v>
      </c>
      <c r="AW241" s="39">
        <f t="shared" ca="1" si="142"/>
        <v>0</v>
      </c>
      <c r="AX241" s="39">
        <f t="shared" ca="1" si="142"/>
        <v>0</v>
      </c>
      <c r="AY241" s="39">
        <f ca="1">AY240</f>
        <v>0</v>
      </c>
    </row>
    <row r="242" spans="1:51" ht="15.75" hidden="1" customHeight="1" outlineLevel="2">
      <c r="A242" s="1" t="s">
        <v>318</v>
      </c>
      <c r="C242" s="109"/>
      <c r="E242" s="9" t="str">
        <f ca="1">_xll.DBRW(Server&amp;"}ElementAttributes_Indicator",A242,"code_English")</f>
        <v>PL0000_IT - IT</v>
      </c>
      <c r="F242" s="33">
        <f ca="1">_xll.DBRW($C$1,$C$2,$C$3,$C$4,$C$6,$C$5,$C$7,F$1,F$2,$A242)</f>
        <v>0</v>
      </c>
      <c r="G242" s="33">
        <f ca="1">_xll.DBRW($C$1,$C$2,$C$3,$C$4,$C$6,$C$5,$C$7,G$1,G$2,$A242)</f>
        <v>0</v>
      </c>
      <c r="H242" s="33">
        <f ca="1">_xll.DBRW($C$1,$C$2,$C$3,$C$4,$C$6,$C$5,$C$7,H$1,H$2,$A242)</f>
        <v>0</v>
      </c>
      <c r="I242" s="33">
        <f ca="1">_xll.DBRW($C$1,$C$2,$C$3,$C$4,$C$6,$C$5,$C$7,I$1,I$2,$A242)</f>
        <v>0</v>
      </c>
      <c r="J242" s="33">
        <f ca="1">_xll.DBRW($C$1,$C$2,$C$3,$C$4,$C$6,$C$5,$C$7,J$1,J$2,$A242)</f>
        <v>0</v>
      </c>
      <c r="K242" s="33">
        <f ca="1">_xll.DBRW($C$1,$C$2,$C$3,$C$4,$C$6,$C$5,$C$7,K$1,K$2,$A242)</f>
        <v>0</v>
      </c>
      <c r="L242" s="33">
        <f ca="1">_xll.DBRW($C$1,$C$2,$C$3,$C$4,$C$6,$C$5,$C$7,L$1,L$2,$A242)</f>
        <v>0</v>
      </c>
      <c r="M242" s="33">
        <f ca="1">_xll.DBRW($C$1,$C$2,$C$3,$C$4,$C$6,$C$5,$C$7,M$1,M$2,$A242)</f>
        <v>0</v>
      </c>
      <c r="N242" s="33">
        <f ca="1">_xll.DBRW($C$1,$C$2,$C$3,$C$4,$C$6,$C$5,$C$7,N$1,N$2,$A242)</f>
        <v>0</v>
      </c>
      <c r="O242" s="33">
        <f ca="1">_xll.DBRW($C$1,$C$2,$C$3,$C$4,$C$6,$C$5,$C$7,O$1,O$2,$A242)</f>
        <v>0</v>
      </c>
      <c r="P242" s="33">
        <f ca="1">_xll.DBRW($C$1,$C$2,$C$3,$C$4,$C$6,$C$5,$C$7,P$1,P$2,$A242)</f>
        <v>0</v>
      </c>
      <c r="Q242" s="33">
        <f ca="1">_xll.DBRW($C$1,$C$2,$C$3,$C$4,$C$6,$C$5,$C$7,Q$1,Q$2,$A242)</f>
        <v>0</v>
      </c>
      <c r="R242" s="33">
        <f ca="1">_xll.DBRW($C$1,$C$2,$C$3,$C$4,$C$6,$C$5,$C$7,R$1,R$2,$A242)</f>
        <v>0</v>
      </c>
      <c r="S242" s="33">
        <f ca="1">_xll.DBRW($C$1,$C$2,$C$3,$C$4,$C$6,$C$5,$C$7,S$1,S$2,$A242)</f>
        <v>0</v>
      </c>
      <c r="T242" s="33">
        <f ca="1">_xll.DBRW($C$1,$C$2,$C$3,$C$4,$C$6,$C$5,$C$7,T$1,T$2,$A242)</f>
        <v>0</v>
      </c>
      <c r="U242" s="33">
        <f ca="1">_xll.DBRW($C$1,$C$2,$C$3,$C$4,$C$6,$C$5,$C$7,U$1,U$2,$A242)</f>
        <v>0</v>
      </c>
      <c r="V242" s="33">
        <f ca="1">_xll.DBRW($C$1,$C$2,$C$3,$C$4,$C$6,$C$5,$C$7,V$1,V$2,$A242)</f>
        <v>0</v>
      </c>
      <c r="W242" s="33">
        <f ca="1">_xll.DBRW($C$1,$C$2,$C$3,$C$4,$C$6,$C$5,$C$7,W$1,W$2,$A242)</f>
        <v>0</v>
      </c>
      <c r="X242" s="33">
        <f ca="1">_xll.DBRW($C$1,$C$2,$C$3,$C$4,$C$6,$C$5,$C$7,X$1,X$2,$A242)</f>
        <v>0</v>
      </c>
      <c r="Y242" s="33">
        <f ca="1">_xll.DBRW($C$1,$C$2,$C$3,$C$4,$C$6,$C$5,$C$7,Y$1,Y$2,$A242)</f>
        <v>0</v>
      </c>
      <c r="Z242" s="33">
        <f ca="1">_xll.DBRW($C$1,$C$2,$C$3,$C$4,$C$6,$C$5,$C$7,Z$1,Z$2,$A242)</f>
        <v>0</v>
      </c>
      <c r="AA242" s="33">
        <f ca="1">_xll.DBRW($C$1,$C$2,$C$3,$C$4,$C$6,$C$5,$C$7,AA$1,AA$2,$A242)</f>
        <v>0</v>
      </c>
      <c r="AB242" s="33">
        <f ca="1">_xll.DBRW($C$1,$C$2,$C$3,$C$4,$C$6,$C$5,$C$7,AB$1,AB$2,$A242)</f>
        <v>0</v>
      </c>
      <c r="AC242" s="33">
        <f ca="1">_xll.DBRW($C$1,$C$2,$C$3,$C$4,$C$6,$C$5,$C$7,AC$1,AC$2,$A242)</f>
        <v>0</v>
      </c>
      <c r="AD242" s="33">
        <f ca="1">_xll.DBRW($C$1,$C$2,$C$3,$C$4,$C$6,$C$5,$C$7,AD$1,AD$2,$A242)</f>
        <v>0</v>
      </c>
      <c r="AE242" s="33">
        <f ca="1">_xll.DBRW($C$1,$C$2,$C$3,$C$4,$C$6,$C$5,$C$7,AE$1,AE$2,$A242)</f>
        <v>0</v>
      </c>
      <c r="AF242" s="33">
        <f ca="1">_xll.DBRW($C$1,$C$2,$C$3,$C$4,$C$6,$C$5,$C$7,AF$1,AF$2,$A242)</f>
        <v>0</v>
      </c>
      <c r="AG242" s="33">
        <f ca="1">_xll.DBRW($C$1,$C$2,$C$3,$C$4,$C$6,$C$5,$C$7,AG$1,AG$2,$A242)</f>
        <v>0</v>
      </c>
      <c r="AH242" s="33">
        <f ca="1">_xll.DBRW($C$1,$C$2,$C$3,$C$4,$C$6,$C$5,$C$7,AH$1,AH$2,$A242)</f>
        <v>0</v>
      </c>
      <c r="AI242" s="33">
        <f ca="1">_xll.DBRW($C$1,$C$2,$C$3,$C$4,$C$6,$C$5,$C$7,AI$1,AI$2,$A242)</f>
        <v>0</v>
      </c>
      <c r="AJ242" s="33">
        <f ca="1">_xll.DBRW($C$1,$C$2,$C$3,$C$4,$C$6,$C$5,$C$7,AJ$1,AJ$2,$A242)</f>
        <v>0</v>
      </c>
      <c r="AK242" s="33">
        <f ca="1">_xll.DBRW($C$1,$C$2,$C$3,$C$4,$C$6,$C$5,$C$7,AK$1,AK$2,$A242)</f>
        <v>0</v>
      </c>
      <c r="AL242" s="33">
        <f ca="1">_xll.DBRW($C$1,$C$2,$C$3,$C$4,$C$6,$C$5,$C$7,AL$1,AL$2,$A242)</f>
        <v>0</v>
      </c>
      <c r="AM242" s="33">
        <f ca="1">_xll.DBRW($C$1,$C$2,$C$3,$C$4,$C$6,$C$5,$C$7,AM$1,AM$2,$A242)</f>
        <v>0</v>
      </c>
      <c r="AN242" s="33">
        <f ca="1">_xll.DBRW($C$1,$C$2,$C$3,$C$4,$C$6,$C$5,$C$7,AN$1,AN$2,$A242)</f>
        <v>0</v>
      </c>
      <c r="AO242" s="33">
        <f ca="1">_xll.DBRW($C$1,$C$2,$C$3,$C$4,$C$6,$C$5,$C$7,AO$1,AO$2,$A242)</f>
        <v>0</v>
      </c>
      <c r="AP242" s="33">
        <f ca="1">_xll.DBRW($C$1,$C$2,$C$3,$C$4,$C$6,$C$5,$C$7,AP$1,AP$2,$A242)</f>
        <v>0</v>
      </c>
      <c r="AQ242" s="33">
        <f ca="1">_xll.DBRW($C$1,$C$2,$C$3,$C$4,$C$6,$C$5,$C$7,AQ$1,AQ$2,$A242)</f>
        <v>0</v>
      </c>
      <c r="AR242" s="33">
        <f ca="1">_xll.DBRW($C$1,$C$2,$C$3,$C$4,$C$6,$C$5,$C$7,AR$1,AR$2,$A242)</f>
        <v>0</v>
      </c>
      <c r="AS242" s="33">
        <f ca="1">_xll.DBRW($C$1,$C$2,$C$3,$C$4,$C$6,$C$5,$C$7,AS$1,AS$2,$A242)</f>
        <v>0</v>
      </c>
      <c r="AT242" s="33">
        <f ca="1">_xll.DBRW($C$1,$C$2,$C$3,$C$4,$C$6,$C$5,$C$7,AT$1,AT$2,$A242)</f>
        <v>0</v>
      </c>
      <c r="AU242" s="33">
        <f ca="1">_xll.DBRW($C$1,$C$2,$C$3,$C$4,$C$6,$C$5,$C$7,AU$1,AU$2,$A242)</f>
        <v>0</v>
      </c>
      <c r="AV242" s="33">
        <f ca="1">_xll.DBRW($C$1,$C$2,$C$3,$C$4,$C$6,$C$5,$C$7,AV$1,AV$2,$A242)</f>
        <v>0</v>
      </c>
      <c r="AW242" s="33">
        <f ca="1">_xll.DBRW($C$1,$C$2,$C$3,$C$4,$C$6,$C$5,$C$7,AW$1,AW$2,$A242)</f>
        <v>0</v>
      </c>
      <c r="AX242" s="33">
        <f ca="1">_xll.DBRW($C$1,$C$2,$C$3,$C$4,$C$6,$C$5,$C$7,AX$1,AX$2,$A242)</f>
        <v>0</v>
      </c>
      <c r="AY242" s="33">
        <f ca="1">_xll.DBRW($C$1,$C$2,$C$3,$C$4,$C$6,$C$5,$C$7,AY$1,AY$2,$A242)</f>
        <v>0</v>
      </c>
    </row>
    <row r="243" spans="1:51" ht="15.5" hidden="1" outlineLevel="1" collapsed="1">
      <c r="C243" s="109"/>
      <c r="E243" s="84" t="s">
        <v>53</v>
      </c>
      <c r="F243" s="39">
        <f t="shared" ref="F243:M243" ca="1" si="143">F242</f>
        <v>0</v>
      </c>
      <c r="G243" s="39">
        <f t="shared" ca="1" si="143"/>
        <v>0</v>
      </c>
      <c r="H243" s="39">
        <f t="shared" ca="1" si="143"/>
        <v>0</v>
      </c>
      <c r="I243" s="39">
        <f t="shared" ca="1" si="143"/>
        <v>0</v>
      </c>
      <c r="J243" s="39">
        <f t="shared" ca="1" si="143"/>
        <v>0</v>
      </c>
      <c r="K243" s="39">
        <f t="shared" ca="1" si="143"/>
        <v>0</v>
      </c>
      <c r="L243" s="39">
        <f t="shared" ca="1" si="143"/>
        <v>0</v>
      </c>
      <c r="M243" s="39">
        <f t="shared" ca="1" si="143"/>
        <v>0</v>
      </c>
      <c r="N243" s="39">
        <f t="shared" ref="N243:X243" ca="1" si="144">N242</f>
        <v>0</v>
      </c>
      <c r="O243" s="39">
        <f t="shared" ca="1" si="144"/>
        <v>0</v>
      </c>
      <c r="P243" s="39">
        <f t="shared" ca="1" si="144"/>
        <v>0</v>
      </c>
      <c r="Q243" s="39">
        <f t="shared" ca="1" si="144"/>
        <v>0</v>
      </c>
      <c r="R243" s="39">
        <f t="shared" ca="1" si="144"/>
        <v>0</v>
      </c>
      <c r="S243" s="39">
        <f t="shared" ca="1" si="144"/>
        <v>0</v>
      </c>
      <c r="T243" s="39">
        <f t="shared" ca="1" si="144"/>
        <v>0</v>
      </c>
      <c r="U243" s="39">
        <f t="shared" ca="1" si="144"/>
        <v>0</v>
      </c>
      <c r="V243" s="39">
        <f t="shared" ca="1" si="144"/>
        <v>0</v>
      </c>
      <c r="W243" s="39">
        <f t="shared" ca="1" si="144"/>
        <v>0</v>
      </c>
      <c r="X243" s="39">
        <f t="shared" ca="1" si="144"/>
        <v>0</v>
      </c>
      <c r="Y243" s="39">
        <f ca="1">Y242</f>
        <v>0</v>
      </c>
      <c r="Z243" s="39">
        <f ca="1">Z242</f>
        <v>0</v>
      </c>
      <c r="AA243" s="39">
        <f t="shared" ref="AA243:AK243" ca="1" si="145">AA242</f>
        <v>0</v>
      </c>
      <c r="AB243" s="39">
        <f t="shared" ca="1" si="145"/>
        <v>0</v>
      </c>
      <c r="AC243" s="39">
        <f t="shared" ca="1" si="145"/>
        <v>0</v>
      </c>
      <c r="AD243" s="39">
        <f t="shared" ca="1" si="145"/>
        <v>0</v>
      </c>
      <c r="AE243" s="39">
        <f t="shared" ca="1" si="145"/>
        <v>0</v>
      </c>
      <c r="AF243" s="39">
        <f t="shared" ca="1" si="145"/>
        <v>0</v>
      </c>
      <c r="AG243" s="39">
        <f t="shared" ca="1" si="145"/>
        <v>0</v>
      </c>
      <c r="AH243" s="39">
        <f t="shared" ca="1" si="145"/>
        <v>0</v>
      </c>
      <c r="AI243" s="39">
        <f t="shared" ca="1" si="145"/>
        <v>0</v>
      </c>
      <c r="AJ243" s="39">
        <f t="shared" ca="1" si="145"/>
        <v>0</v>
      </c>
      <c r="AK243" s="39">
        <f t="shared" ca="1" si="145"/>
        <v>0</v>
      </c>
      <c r="AL243" s="39">
        <f ca="1">AL242</f>
        <v>0</v>
      </c>
      <c r="AM243" s="39">
        <f ca="1">AM242</f>
        <v>0</v>
      </c>
      <c r="AN243" s="39">
        <f t="shared" ref="AN243:AX243" ca="1" si="146">AN242</f>
        <v>0</v>
      </c>
      <c r="AO243" s="39">
        <f t="shared" ca="1" si="146"/>
        <v>0</v>
      </c>
      <c r="AP243" s="39">
        <f t="shared" ca="1" si="146"/>
        <v>0</v>
      </c>
      <c r="AQ243" s="39">
        <f t="shared" ca="1" si="146"/>
        <v>0</v>
      </c>
      <c r="AR243" s="39">
        <f t="shared" ca="1" si="146"/>
        <v>0</v>
      </c>
      <c r="AS243" s="39">
        <f t="shared" ca="1" si="146"/>
        <v>0</v>
      </c>
      <c r="AT243" s="39">
        <f t="shared" ca="1" si="146"/>
        <v>0</v>
      </c>
      <c r="AU243" s="39">
        <f t="shared" ca="1" si="146"/>
        <v>0</v>
      </c>
      <c r="AV243" s="39">
        <f t="shared" ca="1" si="146"/>
        <v>0</v>
      </c>
      <c r="AW243" s="39">
        <f t="shared" ca="1" si="146"/>
        <v>0</v>
      </c>
      <c r="AX243" s="39">
        <f t="shared" ca="1" si="146"/>
        <v>0</v>
      </c>
      <c r="AY243" s="39">
        <f ca="1">AY242</f>
        <v>0</v>
      </c>
    </row>
    <row r="244" spans="1:51" ht="15.75" hidden="1" customHeight="1" outlineLevel="2">
      <c r="A244" s="1" t="s">
        <v>319</v>
      </c>
      <c r="C244" s="109"/>
      <c r="E244" s="9" t="str">
        <f ca="1">_xll.DBRW(Server&amp;"}ElementAttributes_Indicator",A244,"code_English")</f>
        <v>PL0000_LE - Legal</v>
      </c>
      <c r="F244" s="33">
        <f ca="1">_xll.DBRW($C$1,$C$2,$C$3,$C$4,$C$6,$C$5,$C$7,F$1,F$2,$A244)</f>
        <v>0</v>
      </c>
      <c r="G244" s="33">
        <f ca="1">_xll.DBRW($C$1,$C$2,$C$3,$C$4,$C$6,$C$5,$C$7,G$1,G$2,$A244)</f>
        <v>0</v>
      </c>
      <c r="H244" s="33">
        <f ca="1">_xll.DBRW($C$1,$C$2,$C$3,$C$4,$C$6,$C$5,$C$7,H$1,H$2,$A244)</f>
        <v>0</v>
      </c>
      <c r="I244" s="33">
        <f ca="1">_xll.DBRW($C$1,$C$2,$C$3,$C$4,$C$6,$C$5,$C$7,I$1,I$2,$A244)</f>
        <v>0</v>
      </c>
      <c r="J244" s="33">
        <f ca="1">_xll.DBRW($C$1,$C$2,$C$3,$C$4,$C$6,$C$5,$C$7,J$1,J$2,$A244)</f>
        <v>0</v>
      </c>
      <c r="K244" s="33">
        <f ca="1">_xll.DBRW($C$1,$C$2,$C$3,$C$4,$C$6,$C$5,$C$7,K$1,K$2,$A244)</f>
        <v>0</v>
      </c>
      <c r="L244" s="33">
        <f ca="1">_xll.DBRW($C$1,$C$2,$C$3,$C$4,$C$6,$C$5,$C$7,L$1,L$2,$A244)</f>
        <v>0</v>
      </c>
      <c r="M244" s="33">
        <f ca="1">_xll.DBRW($C$1,$C$2,$C$3,$C$4,$C$6,$C$5,$C$7,M$1,M$2,$A244)</f>
        <v>0</v>
      </c>
      <c r="N244" s="33">
        <f ca="1">_xll.DBRW($C$1,$C$2,$C$3,$C$4,$C$6,$C$5,$C$7,N$1,N$2,$A244)</f>
        <v>0</v>
      </c>
      <c r="O244" s="33">
        <f ca="1">_xll.DBRW($C$1,$C$2,$C$3,$C$4,$C$6,$C$5,$C$7,O$1,O$2,$A244)</f>
        <v>0</v>
      </c>
      <c r="P244" s="33">
        <f ca="1">_xll.DBRW($C$1,$C$2,$C$3,$C$4,$C$6,$C$5,$C$7,P$1,P$2,$A244)</f>
        <v>0</v>
      </c>
      <c r="Q244" s="33">
        <f ca="1">_xll.DBRW($C$1,$C$2,$C$3,$C$4,$C$6,$C$5,$C$7,Q$1,Q$2,$A244)</f>
        <v>0</v>
      </c>
      <c r="R244" s="33">
        <f ca="1">_xll.DBRW($C$1,$C$2,$C$3,$C$4,$C$6,$C$5,$C$7,R$1,R$2,$A244)</f>
        <v>0</v>
      </c>
      <c r="S244" s="33">
        <f ca="1">_xll.DBRW($C$1,$C$2,$C$3,$C$4,$C$6,$C$5,$C$7,S$1,S$2,$A244)</f>
        <v>0</v>
      </c>
      <c r="T244" s="33">
        <f ca="1">_xll.DBRW($C$1,$C$2,$C$3,$C$4,$C$6,$C$5,$C$7,T$1,T$2,$A244)</f>
        <v>0</v>
      </c>
      <c r="U244" s="33">
        <f ca="1">_xll.DBRW($C$1,$C$2,$C$3,$C$4,$C$6,$C$5,$C$7,U$1,U$2,$A244)</f>
        <v>0</v>
      </c>
      <c r="V244" s="33">
        <f ca="1">_xll.DBRW($C$1,$C$2,$C$3,$C$4,$C$6,$C$5,$C$7,V$1,V$2,$A244)</f>
        <v>0</v>
      </c>
      <c r="W244" s="33">
        <f ca="1">_xll.DBRW($C$1,$C$2,$C$3,$C$4,$C$6,$C$5,$C$7,W$1,W$2,$A244)</f>
        <v>0</v>
      </c>
      <c r="X244" s="33">
        <f ca="1">_xll.DBRW($C$1,$C$2,$C$3,$C$4,$C$6,$C$5,$C$7,X$1,X$2,$A244)</f>
        <v>0</v>
      </c>
      <c r="Y244" s="33">
        <f ca="1">_xll.DBRW($C$1,$C$2,$C$3,$C$4,$C$6,$C$5,$C$7,Y$1,Y$2,$A244)</f>
        <v>0</v>
      </c>
      <c r="Z244" s="33">
        <f ca="1">_xll.DBRW($C$1,$C$2,$C$3,$C$4,$C$6,$C$5,$C$7,Z$1,Z$2,$A244)</f>
        <v>0</v>
      </c>
      <c r="AA244" s="33">
        <f ca="1">_xll.DBRW($C$1,$C$2,$C$3,$C$4,$C$6,$C$5,$C$7,AA$1,AA$2,$A244)</f>
        <v>0</v>
      </c>
      <c r="AB244" s="33">
        <f ca="1">_xll.DBRW($C$1,$C$2,$C$3,$C$4,$C$6,$C$5,$C$7,AB$1,AB$2,$A244)</f>
        <v>0</v>
      </c>
      <c r="AC244" s="33">
        <f ca="1">_xll.DBRW($C$1,$C$2,$C$3,$C$4,$C$6,$C$5,$C$7,AC$1,AC$2,$A244)</f>
        <v>0</v>
      </c>
      <c r="AD244" s="33">
        <f ca="1">_xll.DBRW($C$1,$C$2,$C$3,$C$4,$C$6,$C$5,$C$7,AD$1,AD$2,$A244)</f>
        <v>0</v>
      </c>
      <c r="AE244" s="33">
        <f ca="1">_xll.DBRW($C$1,$C$2,$C$3,$C$4,$C$6,$C$5,$C$7,AE$1,AE$2,$A244)</f>
        <v>0</v>
      </c>
      <c r="AF244" s="33">
        <f ca="1">_xll.DBRW($C$1,$C$2,$C$3,$C$4,$C$6,$C$5,$C$7,AF$1,AF$2,$A244)</f>
        <v>0</v>
      </c>
      <c r="AG244" s="33">
        <f ca="1">_xll.DBRW($C$1,$C$2,$C$3,$C$4,$C$6,$C$5,$C$7,AG$1,AG$2,$A244)</f>
        <v>0</v>
      </c>
      <c r="AH244" s="33">
        <f ca="1">_xll.DBRW($C$1,$C$2,$C$3,$C$4,$C$6,$C$5,$C$7,AH$1,AH$2,$A244)</f>
        <v>0</v>
      </c>
      <c r="AI244" s="33">
        <f ca="1">_xll.DBRW($C$1,$C$2,$C$3,$C$4,$C$6,$C$5,$C$7,AI$1,AI$2,$A244)</f>
        <v>0</v>
      </c>
      <c r="AJ244" s="33">
        <f ca="1">_xll.DBRW($C$1,$C$2,$C$3,$C$4,$C$6,$C$5,$C$7,AJ$1,AJ$2,$A244)</f>
        <v>0</v>
      </c>
      <c r="AK244" s="33">
        <f ca="1">_xll.DBRW($C$1,$C$2,$C$3,$C$4,$C$6,$C$5,$C$7,AK$1,AK$2,$A244)</f>
        <v>0</v>
      </c>
      <c r="AL244" s="33">
        <f ca="1">_xll.DBRW($C$1,$C$2,$C$3,$C$4,$C$6,$C$5,$C$7,AL$1,AL$2,$A244)</f>
        <v>0</v>
      </c>
      <c r="AM244" s="33">
        <f ca="1">_xll.DBRW($C$1,$C$2,$C$3,$C$4,$C$6,$C$5,$C$7,AM$1,AM$2,$A244)</f>
        <v>0</v>
      </c>
      <c r="AN244" s="33">
        <f ca="1">_xll.DBRW($C$1,$C$2,$C$3,$C$4,$C$6,$C$5,$C$7,AN$1,AN$2,$A244)</f>
        <v>0</v>
      </c>
      <c r="AO244" s="33">
        <f ca="1">_xll.DBRW($C$1,$C$2,$C$3,$C$4,$C$6,$C$5,$C$7,AO$1,AO$2,$A244)</f>
        <v>0</v>
      </c>
      <c r="AP244" s="33">
        <f ca="1">_xll.DBRW($C$1,$C$2,$C$3,$C$4,$C$6,$C$5,$C$7,AP$1,AP$2,$A244)</f>
        <v>0</v>
      </c>
      <c r="AQ244" s="33">
        <f ca="1">_xll.DBRW($C$1,$C$2,$C$3,$C$4,$C$6,$C$5,$C$7,AQ$1,AQ$2,$A244)</f>
        <v>0</v>
      </c>
      <c r="AR244" s="33">
        <f ca="1">_xll.DBRW($C$1,$C$2,$C$3,$C$4,$C$6,$C$5,$C$7,AR$1,AR$2,$A244)</f>
        <v>0</v>
      </c>
      <c r="AS244" s="33">
        <f ca="1">_xll.DBRW($C$1,$C$2,$C$3,$C$4,$C$6,$C$5,$C$7,AS$1,AS$2,$A244)</f>
        <v>0</v>
      </c>
      <c r="AT244" s="33">
        <f ca="1">_xll.DBRW($C$1,$C$2,$C$3,$C$4,$C$6,$C$5,$C$7,AT$1,AT$2,$A244)</f>
        <v>0</v>
      </c>
      <c r="AU244" s="33">
        <f ca="1">_xll.DBRW($C$1,$C$2,$C$3,$C$4,$C$6,$C$5,$C$7,AU$1,AU$2,$A244)</f>
        <v>0</v>
      </c>
      <c r="AV244" s="33">
        <f ca="1">_xll.DBRW($C$1,$C$2,$C$3,$C$4,$C$6,$C$5,$C$7,AV$1,AV$2,$A244)</f>
        <v>0</v>
      </c>
      <c r="AW244" s="33">
        <f ca="1">_xll.DBRW($C$1,$C$2,$C$3,$C$4,$C$6,$C$5,$C$7,AW$1,AW$2,$A244)</f>
        <v>0</v>
      </c>
      <c r="AX244" s="33">
        <f ca="1">_xll.DBRW($C$1,$C$2,$C$3,$C$4,$C$6,$C$5,$C$7,AX$1,AX$2,$A244)</f>
        <v>0</v>
      </c>
      <c r="AY244" s="33">
        <f ca="1">_xll.DBRW($C$1,$C$2,$C$3,$C$4,$C$6,$C$5,$C$7,AY$1,AY$2,$A244)</f>
        <v>0</v>
      </c>
    </row>
    <row r="245" spans="1:51" ht="15.5" hidden="1" outlineLevel="1" collapsed="1">
      <c r="C245" s="109"/>
      <c r="E245" s="84" t="s">
        <v>54</v>
      </c>
      <c r="F245" s="39">
        <f t="shared" ref="F245:M245" ca="1" si="147">F244</f>
        <v>0</v>
      </c>
      <c r="G245" s="39">
        <f t="shared" ca="1" si="147"/>
        <v>0</v>
      </c>
      <c r="H245" s="39">
        <f t="shared" ca="1" si="147"/>
        <v>0</v>
      </c>
      <c r="I245" s="39">
        <f t="shared" ca="1" si="147"/>
        <v>0</v>
      </c>
      <c r="J245" s="39">
        <f t="shared" ca="1" si="147"/>
        <v>0</v>
      </c>
      <c r="K245" s="39">
        <f t="shared" ca="1" si="147"/>
        <v>0</v>
      </c>
      <c r="L245" s="39">
        <f t="shared" ca="1" si="147"/>
        <v>0</v>
      </c>
      <c r="M245" s="39">
        <f t="shared" ca="1" si="147"/>
        <v>0</v>
      </c>
      <c r="N245" s="39">
        <f t="shared" ref="N245:X245" ca="1" si="148">N244</f>
        <v>0</v>
      </c>
      <c r="O245" s="39">
        <f t="shared" ca="1" si="148"/>
        <v>0</v>
      </c>
      <c r="P245" s="39">
        <f t="shared" ca="1" si="148"/>
        <v>0</v>
      </c>
      <c r="Q245" s="39">
        <f t="shared" ca="1" si="148"/>
        <v>0</v>
      </c>
      <c r="R245" s="39">
        <f t="shared" ca="1" si="148"/>
        <v>0</v>
      </c>
      <c r="S245" s="39">
        <f t="shared" ca="1" si="148"/>
        <v>0</v>
      </c>
      <c r="T245" s="39">
        <f t="shared" ca="1" si="148"/>
        <v>0</v>
      </c>
      <c r="U245" s="39">
        <f t="shared" ca="1" si="148"/>
        <v>0</v>
      </c>
      <c r="V245" s="39">
        <f t="shared" ca="1" si="148"/>
        <v>0</v>
      </c>
      <c r="W245" s="39">
        <f t="shared" ca="1" si="148"/>
        <v>0</v>
      </c>
      <c r="X245" s="39">
        <f t="shared" ca="1" si="148"/>
        <v>0</v>
      </c>
      <c r="Y245" s="39">
        <f ca="1">Y244</f>
        <v>0</v>
      </c>
      <c r="Z245" s="39">
        <f ca="1">Z244</f>
        <v>0</v>
      </c>
      <c r="AA245" s="39">
        <f t="shared" ref="AA245:AK245" ca="1" si="149">AA244</f>
        <v>0</v>
      </c>
      <c r="AB245" s="39">
        <f t="shared" ca="1" si="149"/>
        <v>0</v>
      </c>
      <c r="AC245" s="39">
        <f t="shared" ca="1" si="149"/>
        <v>0</v>
      </c>
      <c r="AD245" s="39">
        <f t="shared" ca="1" si="149"/>
        <v>0</v>
      </c>
      <c r="AE245" s="39">
        <f t="shared" ca="1" si="149"/>
        <v>0</v>
      </c>
      <c r="AF245" s="39">
        <f t="shared" ca="1" si="149"/>
        <v>0</v>
      </c>
      <c r="AG245" s="39">
        <f t="shared" ca="1" si="149"/>
        <v>0</v>
      </c>
      <c r="AH245" s="39">
        <f t="shared" ca="1" si="149"/>
        <v>0</v>
      </c>
      <c r="AI245" s="39">
        <f t="shared" ca="1" si="149"/>
        <v>0</v>
      </c>
      <c r="AJ245" s="39">
        <f t="shared" ca="1" si="149"/>
        <v>0</v>
      </c>
      <c r="AK245" s="39">
        <f t="shared" ca="1" si="149"/>
        <v>0</v>
      </c>
      <c r="AL245" s="39">
        <f ca="1">AL244</f>
        <v>0</v>
      </c>
      <c r="AM245" s="39">
        <f ca="1">AM244</f>
        <v>0</v>
      </c>
      <c r="AN245" s="39">
        <f t="shared" ref="AN245:AX245" ca="1" si="150">AN244</f>
        <v>0</v>
      </c>
      <c r="AO245" s="39">
        <f t="shared" ca="1" si="150"/>
        <v>0</v>
      </c>
      <c r="AP245" s="39">
        <f t="shared" ca="1" si="150"/>
        <v>0</v>
      </c>
      <c r="AQ245" s="39">
        <f t="shared" ca="1" si="150"/>
        <v>0</v>
      </c>
      <c r="AR245" s="39">
        <f t="shared" ca="1" si="150"/>
        <v>0</v>
      </c>
      <c r="AS245" s="39">
        <f t="shared" ca="1" si="150"/>
        <v>0</v>
      </c>
      <c r="AT245" s="39">
        <f t="shared" ca="1" si="150"/>
        <v>0</v>
      </c>
      <c r="AU245" s="39">
        <f t="shared" ca="1" si="150"/>
        <v>0</v>
      </c>
      <c r="AV245" s="39">
        <f t="shared" ca="1" si="150"/>
        <v>0</v>
      </c>
      <c r="AW245" s="39">
        <f t="shared" ca="1" si="150"/>
        <v>0</v>
      </c>
      <c r="AX245" s="39">
        <f t="shared" ca="1" si="150"/>
        <v>0</v>
      </c>
      <c r="AY245" s="39">
        <f ca="1">AY244</f>
        <v>0</v>
      </c>
    </row>
    <row r="246" spans="1:51" ht="15.75" hidden="1" customHeight="1" outlineLevel="2">
      <c r="A246" s="1" t="s">
        <v>320</v>
      </c>
      <c r="C246" s="109"/>
      <c r="E246" s="9" t="str">
        <f ca="1">_xll.DBRW(Server&amp;"}ElementAttributes_Indicator",A246,"code_English")</f>
        <v>PL0000_PU - Purchasing</v>
      </c>
      <c r="F246" s="33">
        <f ca="1">_xll.DBRW($C$1,$C$2,$C$3,$C$4,$C$6,$C$5,$C$7,F$1,F$2,$A246)</f>
        <v>0</v>
      </c>
      <c r="G246" s="33">
        <f ca="1">_xll.DBRW($C$1,$C$2,$C$3,$C$4,$C$6,$C$5,$C$7,G$1,G$2,$A246)</f>
        <v>0</v>
      </c>
      <c r="H246" s="33">
        <f ca="1">_xll.DBRW($C$1,$C$2,$C$3,$C$4,$C$6,$C$5,$C$7,H$1,H$2,$A246)</f>
        <v>0</v>
      </c>
      <c r="I246" s="33">
        <f ca="1">_xll.DBRW($C$1,$C$2,$C$3,$C$4,$C$6,$C$5,$C$7,I$1,I$2,$A246)</f>
        <v>0</v>
      </c>
      <c r="J246" s="33">
        <f ca="1">_xll.DBRW($C$1,$C$2,$C$3,$C$4,$C$6,$C$5,$C$7,J$1,J$2,$A246)</f>
        <v>0</v>
      </c>
      <c r="K246" s="33">
        <f ca="1">_xll.DBRW($C$1,$C$2,$C$3,$C$4,$C$6,$C$5,$C$7,K$1,K$2,$A246)</f>
        <v>0</v>
      </c>
      <c r="L246" s="33">
        <f ca="1">_xll.DBRW($C$1,$C$2,$C$3,$C$4,$C$6,$C$5,$C$7,L$1,L$2,$A246)</f>
        <v>0</v>
      </c>
      <c r="M246" s="33">
        <f ca="1">_xll.DBRW($C$1,$C$2,$C$3,$C$4,$C$6,$C$5,$C$7,M$1,M$2,$A246)</f>
        <v>0</v>
      </c>
      <c r="N246" s="33">
        <f ca="1">_xll.DBRW($C$1,$C$2,$C$3,$C$4,$C$6,$C$5,$C$7,N$1,N$2,$A246)</f>
        <v>0</v>
      </c>
      <c r="O246" s="33">
        <f ca="1">_xll.DBRW($C$1,$C$2,$C$3,$C$4,$C$6,$C$5,$C$7,O$1,O$2,$A246)</f>
        <v>0</v>
      </c>
      <c r="P246" s="33">
        <f ca="1">_xll.DBRW($C$1,$C$2,$C$3,$C$4,$C$6,$C$5,$C$7,P$1,P$2,$A246)</f>
        <v>0</v>
      </c>
      <c r="Q246" s="33">
        <f ca="1">_xll.DBRW($C$1,$C$2,$C$3,$C$4,$C$6,$C$5,$C$7,Q$1,Q$2,$A246)</f>
        <v>0</v>
      </c>
      <c r="R246" s="33">
        <f ca="1">_xll.DBRW($C$1,$C$2,$C$3,$C$4,$C$6,$C$5,$C$7,R$1,R$2,$A246)</f>
        <v>0</v>
      </c>
      <c r="S246" s="33">
        <f ca="1">_xll.DBRW($C$1,$C$2,$C$3,$C$4,$C$6,$C$5,$C$7,S$1,S$2,$A246)</f>
        <v>0</v>
      </c>
      <c r="T246" s="33">
        <f ca="1">_xll.DBRW($C$1,$C$2,$C$3,$C$4,$C$6,$C$5,$C$7,T$1,T$2,$A246)</f>
        <v>0</v>
      </c>
      <c r="U246" s="33">
        <f ca="1">_xll.DBRW($C$1,$C$2,$C$3,$C$4,$C$6,$C$5,$C$7,U$1,U$2,$A246)</f>
        <v>0</v>
      </c>
      <c r="V246" s="33">
        <f ca="1">_xll.DBRW($C$1,$C$2,$C$3,$C$4,$C$6,$C$5,$C$7,V$1,V$2,$A246)</f>
        <v>0</v>
      </c>
      <c r="W246" s="33">
        <f ca="1">_xll.DBRW($C$1,$C$2,$C$3,$C$4,$C$6,$C$5,$C$7,W$1,W$2,$A246)</f>
        <v>0</v>
      </c>
      <c r="X246" s="33">
        <f ca="1">_xll.DBRW($C$1,$C$2,$C$3,$C$4,$C$6,$C$5,$C$7,X$1,X$2,$A246)</f>
        <v>0</v>
      </c>
      <c r="Y246" s="33">
        <f ca="1">_xll.DBRW($C$1,$C$2,$C$3,$C$4,$C$6,$C$5,$C$7,Y$1,Y$2,$A246)</f>
        <v>0</v>
      </c>
      <c r="Z246" s="33">
        <f ca="1">_xll.DBRW($C$1,$C$2,$C$3,$C$4,$C$6,$C$5,$C$7,Z$1,Z$2,$A246)</f>
        <v>0</v>
      </c>
      <c r="AA246" s="33">
        <f ca="1">_xll.DBRW($C$1,$C$2,$C$3,$C$4,$C$6,$C$5,$C$7,AA$1,AA$2,$A246)</f>
        <v>0</v>
      </c>
      <c r="AB246" s="33">
        <f ca="1">_xll.DBRW($C$1,$C$2,$C$3,$C$4,$C$6,$C$5,$C$7,AB$1,AB$2,$A246)</f>
        <v>0</v>
      </c>
      <c r="AC246" s="33">
        <f ca="1">_xll.DBRW($C$1,$C$2,$C$3,$C$4,$C$6,$C$5,$C$7,AC$1,AC$2,$A246)</f>
        <v>0</v>
      </c>
      <c r="AD246" s="33">
        <f ca="1">_xll.DBRW($C$1,$C$2,$C$3,$C$4,$C$6,$C$5,$C$7,AD$1,AD$2,$A246)</f>
        <v>0</v>
      </c>
      <c r="AE246" s="33">
        <f ca="1">_xll.DBRW($C$1,$C$2,$C$3,$C$4,$C$6,$C$5,$C$7,AE$1,AE$2,$A246)</f>
        <v>0</v>
      </c>
      <c r="AF246" s="33">
        <f ca="1">_xll.DBRW($C$1,$C$2,$C$3,$C$4,$C$6,$C$5,$C$7,AF$1,AF$2,$A246)</f>
        <v>0</v>
      </c>
      <c r="AG246" s="33">
        <f ca="1">_xll.DBRW($C$1,$C$2,$C$3,$C$4,$C$6,$C$5,$C$7,AG$1,AG$2,$A246)</f>
        <v>0</v>
      </c>
      <c r="AH246" s="33">
        <f ca="1">_xll.DBRW($C$1,$C$2,$C$3,$C$4,$C$6,$C$5,$C$7,AH$1,AH$2,$A246)</f>
        <v>0</v>
      </c>
      <c r="AI246" s="33">
        <f ca="1">_xll.DBRW($C$1,$C$2,$C$3,$C$4,$C$6,$C$5,$C$7,AI$1,AI$2,$A246)</f>
        <v>0</v>
      </c>
      <c r="AJ246" s="33">
        <f ca="1">_xll.DBRW($C$1,$C$2,$C$3,$C$4,$C$6,$C$5,$C$7,AJ$1,AJ$2,$A246)</f>
        <v>0</v>
      </c>
      <c r="AK246" s="33">
        <f ca="1">_xll.DBRW($C$1,$C$2,$C$3,$C$4,$C$6,$C$5,$C$7,AK$1,AK$2,$A246)</f>
        <v>0</v>
      </c>
      <c r="AL246" s="33">
        <f ca="1">_xll.DBRW($C$1,$C$2,$C$3,$C$4,$C$6,$C$5,$C$7,AL$1,AL$2,$A246)</f>
        <v>0</v>
      </c>
      <c r="AM246" s="33">
        <f ca="1">_xll.DBRW($C$1,$C$2,$C$3,$C$4,$C$6,$C$5,$C$7,AM$1,AM$2,$A246)</f>
        <v>0</v>
      </c>
      <c r="AN246" s="33">
        <f ca="1">_xll.DBRW($C$1,$C$2,$C$3,$C$4,$C$6,$C$5,$C$7,AN$1,AN$2,$A246)</f>
        <v>0</v>
      </c>
      <c r="AO246" s="33">
        <f ca="1">_xll.DBRW($C$1,$C$2,$C$3,$C$4,$C$6,$C$5,$C$7,AO$1,AO$2,$A246)</f>
        <v>0</v>
      </c>
      <c r="AP246" s="33">
        <f ca="1">_xll.DBRW($C$1,$C$2,$C$3,$C$4,$C$6,$C$5,$C$7,AP$1,AP$2,$A246)</f>
        <v>0</v>
      </c>
      <c r="AQ246" s="33">
        <f ca="1">_xll.DBRW($C$1,$C$2,$C$3,$C$4,$C$6,$C$5,$C$7,AQ$1,AQ$2,$A246)</f>
        <v>0</v>
      </c>
      <c r="AR246" s="33">
        <f ca="1">_xll.DBRW($C$1,$C$2,$C$3,$C$4,$C$6,$C$5,$C$7,AR$1,AR$2,$A246)</f>
        <v>0</v>
      </c>
      <c r="AS246" s="33">
        <f ca="1">_xll.DBRW($C$1,$C$2,$C$3,$C$4,$C$6,$C$5,$C$7,AS$1,AS$2,$A246)</f>
        <v>0</v>
      </c>
      <c r="AT246" s="33">
        <f ca="1">_xll.DBRW($C$1,$C$2,$C$3,$C$4,$C$6,$C$5,$C$7,AT$1,AT$2,$A246)</f>
        <v>0</v>
      </c>
      <c r="AU246" s="33">
        <f ca="1">_xll.DBRW($C$1,$C$2,$C$3,$C$4,$C$6,$C$5,$C$7,AU$1,AU$2,$A246)</f>
        <v>0</v>
      </c>
      <c r="AV246" s="33">
        <f ca="1">_xll.DBRW($C$1,$C$2,$C$3,$C$4,$C$6,$C$5,$C$7,AV$1,AV$2,$A246)</f>
        <v>0</v>
      </c>
      <c r="AW246" s="33">
        <f ca="1">_xll.DBRW($C$1,$C$2,$C$3,$C$4,$C$6,$C$5,$C$7,AW$1,AW$2,$A246)</f>
        <v>0</v>
      </c>
      <c r="AX246" s="33">
        <f ca="1">_xll.DBRW($C$1,$C$2,$C$3,$C$4,$C$6,$C$5,$C$7,AX$1,AX$2,$A246)</f>
        <v>0</v>
      </c>
      <c r="AY246" s="33">
        <f ca="1">_xll.DBRW($C$1,$C$2,$C$3,$C$4,$C$6,$C$5,$C$7,AY$1,AY$2,$A246)</f>
        <v>0</v>
      </c>
    </row>
    <row r="247" spans="1:51" ht="15.5" hidden="1" outlineLevel="1" collapsed="1">
      <c r="C247" s="109"/>
      <c r="E247" s="84" t="s">
        <v>55</v>
      </c>
      <c r="F247" s="39">
        <f t="shared" ref="F247:M247" ca="1" si="151">F246</f>
        <v>0</v>
      </c>
      <c r="G247" s="39">
        <f t="shared" ca="1" si="151"/>
        <v>0</v>
      </c>
      <c r="H247" s="39">
        <f t="shared" ca="1" si="151"/>
        <v>0</v>
      </c>
      <c r="I247" s="39">
        <f t="shared" ca="1" si="151"/>
        <v>0</v>
      </c>
      <c r="J247" s="39">
        <f t="shared" ca="1" si="151"/>
        <v>0</v>
      </c>
      <c r="K247" s="39">
        <f t="shared" ca="1" si="151"/>
        <v>0</v>
      </c>
      <c r="L247" s="39">
        <f t="shared" ca="1" si="151"/>
        <v>0</v>
      </c>
      <c r="M247" s="39">
        <f t="shared" ca="1" si="151"/>
        <v>0</v>
      </c>
      <c r="N247" s="39">
        <f t="shared" ref="N247:X247" ca="1" si="152">N246</f>
        <v>0</v>
      </c>
      <c r="O247" s="39">
        <f t="shared" ca="1" si="152"/>
        <v>0</v>
      </c>
      <c r="P247" s="39">
        <f t="shared" ca="1" si="152"/>
        <v>0</v>
      </c>
      <c r="Q247" s="39">
        <f t="shared" ca="1" si="152"/>
        <v>0</v>
      </c>
      <c r="R247" s="39">
        <f t="shared" ca="1" si="152"/>
        <v>0</v>
      </c>
      <c r="S247" s="39">
        <f t="shared" ca="1" si="152"/>
        <v>0</v>
      </c>
      <c r="T247" s="39">
        <f t="shared" ca="1" si="152"/>
        <v>0</v>
      </c>
      <c r="U247" s="39">
        <f t="shared" ca="1" si="152"/>
        <v>0</v>
      </c>
      <c r="V247" s="39">
        <f t="shared" ca="1" si="152"/>
        <v>0</v>
      </c>
      <c r="W247" s="39">
        <f t="shared" ca="1" si="152"/>
        <v>0</v>
      </c>
      <c r="X247" s="39">
        <f t="shared" ca="1" si="152"/>
        <v>0</v>
      </c>
      <c r="Y247" s="39">
        <f ca="1">Y246</f>
        <v>0</v>
      </c>
      <c r="Z247" s="39">
        <f ca="1">Z246</f>
        <v>0</v>
      </c>
      <c r="AA247" s="39">
        <f t="shared" ref="AA247:AK247" ca="1" si="153">AA246</f>
        <v>0</v>
      </c>
      <c r="AB247" s="39">
        <f t="shared" ca="1" si="153"/>
        <v>0</v>
      </c>
      <c r="AC247" s="39">
        <f t="shared" ca="1" si="153"/>
        <v>0</v>
      </c>
      <c r="AD247" s="39">
        <f t="shared" ca="1" si="153"/>
        <v>0</v>
      </c>
      <c r="AE247" s="39">
        <f t="shared" ca="1" si="153"/>
        <v>0</v>
      </c>
      <c r="AF247" s="39">
        <f t="shared" ca="1" si="153"/>
        <v>0</v>
      </c>
      <c r="AG247" s="39">
        <f t="shared" ca="1" si="153"/>
        <v>0</v>
      </c>
      <c r="AH247" s="39">
        <f t="shared" ca="1" si="153"/>
        <v>0</v>
      </c>
      <c r="AI247" s="39">
        <f t="shared" ca="1" si="153"/>
        <v>0</v>
      </c>
      <c r="AJ247" s="39">
        <f t="shared" ca="1" si="153"/>
        <v>0</v>
      </c>
      <c r="AK247" s="39">
        <f t="shared" ca="1" si="153"/>
        <v>0</v>
      </c>
      <c r="AL247" s="39">
        <f ca="1">AL246</f>
        <v>0</v>
      </c>
      <c r="AM247" s="39">
        <f ca="1">AM246</f>
        <v>0</v>
      </c>
      <c r="AN247" s="39">
        <f t="shared" ref="AN247:AX247" ca="1" si="154">AN246</f>
        <v>0</v>
      </c>
      <c r="AO247" s="39">
        <f t="shared" ca="1" si="154"/>
        <v>0</v>
      </c>
      <c r="AP247" s="39">
        <f t="shared" ca="1" si="154"/>
        <v>0</v>
      </c>
      <c r="AQ247" s="39">
        <f t="shared" ca="1" si="154"/>
        <v>0</v>
      </c>
      <c r="AR247" s="39">
        <f t="shared" ca="1" si="154"/>
        <v>0</v>
      </c>
      <c r="AS247" s="39">
        <f t="shared" ca="1" si="154"/>
        <v>0</v>
      </c>
      <c r="AT247" s="39">
        <f t="shared" ca="1" si="154"/>
        <v>0</v>
      </c>
      <c r="AU247" s="39">
        <f t="shared" ca="1" si="154"/>
        <v>0</v>
      </c>
      <c r="AV247" s="39">
        <f t="shared" ca="1" si="154"/>
        <v>0</v>
      </c>
      <c r="AW247" s="39">
        <f t="shared" ca="1" si="154"/>
        <v>0</v>
      </c>
      <c r="AX247" s="39">
        <f t="shared" ca="1" si="154"/>
        <v>0</v>
      </c>
      <c r="AY247" s="39">
        <f ca="1">AY246</f>
        <v>0</v>
      </c>
    </row>
    <row r="248" spans="1:51" ht="15.75" hidden="1" customHeight="1" outlineLevel="2">
      <c r="A248" s="1" t="s">
        <v>321</v>
      </c>
      <c r="C248" s="109"/>
      <c r="E248" s="9" t="str">
        <f ca="1">_xll.DBRW(Server&amp;"}ElementAttributes_Indicator",A248,"code_English")</f>
        <v>PL0000_RD - R &amp; D</v>
      </c>
      <c r="F248" s="33">
        <f ca="1">_xll.DBRW($C$1,$C$2,$C$3,$C$4,$C$6,$C$5,$C$7,F$1,F$2,$A248)</f>
        <v>0</v>
      </c>
      <c r="G248" s="33">
        <f ca="1">_xll.DBRW($C$1,$C$2,$C$3,$C$4,$C$6,$C$5,$C$7,G$1,G$2,$A248)</f>
        <v>0</v>
      </c>
      <c r="H248" s="33">
        <f ca="1">_xll.DBRW($C$1,$C$2,$C$3,$C$4,$C$6,$C$5,$C$7,H$1,H$2,$A248)</f>
        <v>0</v>
      </c>
      <c r="I248" s="33">
        <f ca="1">_xll.DBRW($C$1,$C$2,$C$3,$C$4,$C$6,$C$5,$C$7,I$1,I$2,$A248)</f>
        <v>0</v>
      </c>
      <c r="J248" s="33">
        <f ca="1">_xll.DBRW($C$1,$C$2,$C$3,$C$4,$C$6,$C$5,$C$7,J$1,J$2,$A248)</f>
        <v>0</v>
      </c>
      <c r="K248" s="33">
        <f ca="1">_xll.DBRW($C$1,$C$2,$C$3,$C$4,$C$6,$C$5,$C$7,K$1,K$2,$A248)</f>
        <v>0</v>
      </c>
      <c r="L248" s="33">
        <f ca="1">_xll.DBRW($C$1,$C$2,$C$3,$C$4,$C$6,$C$5,$C$7,L$1,L$2,$A248)</f>
        <v>0</v>
      </c>
      <c r="M248" s="33">
        <f ca="1">_xll.DBRW($C$1,$C$2,$C$3,$C$4,$C$6,$C$5,$C$7,M$1,M$2,$A248)</f>
        <v>0</v>
      </c>
      <c r="N248" s="33">
        <f ca="1">_xll.DBRW($C$1,$C$2,$C$3,$C$4,$C$6,$C$5,$C$7,N$1,N$2,$A248)</f>
        <v>0</v>
      </c>
      <c r="O248" s="33">
        <f ca="1">_xll.DBRW($C$1,$C$2,$C$3,$C$4,$C$6,$C$5,$C$7,O$1,O$2,$A248)</f>
        <v>0</v>
      </c>
      <c r="P248" s="33">
        <f ca="1">_xll.DBRW($C$1,$C$2,$C$3,$C$4,$C$6,$C$5,$C$7,P$1,P$2,$A248)</f>
        <v>0</v>
      </c>
      <c r="Q248" s="33">
        <f ca="1">_xll.DBRW($C$1,$C$2,$C$3,$C$4,$C$6,$C$5,$C$7,Q$1,Q$2,$A248)</f>
        <v>0</v>
      </c>
      <c r="R248" s="33">
        <f ca="1">_xll.DBRW($C$1,$C$2,$C$3,$C$4,$C$6,$C$5,$C$7,R$1,R$2,$A248)</f>
        <v>0</v>
      </c>
      <c r="S248" s="33">
        <f ca="1">_xll.DBRW($C$1,$C$2,$C$3,$C$4,$C$6,$C$5,$C$7,S$1,S$2,$A248)</f>
        <v>0</v>
      </c>
      <c r="T248" s="33">
        <f ca="1">_xll.DBRW($C$1,$C$2,$C$3,$C$4,$C$6,$C$5,$C$7,T$1,T$2,$A248)</f>
        <v>0</v>
      </c>
      <c r="U248" s="33">
        <f ca="1">_xll.DBRW($C$1,$C$2,$C$3,$C$4,$C$6,$C$5,$C$7,U$1,U$2,$A248)</f>
        <v>0</v>
      </c>
      <c r="V248" s="33">
        <f ca="1">_xll.DBRW($C$1,$C$2,$C$3,$C$4,$C$6,$C$5,$C$7,V$1,V$2,$A248)</f>
        <v>0</v>
      </c>
      <c r="W248" s="33">
        <f ca="1">_xll.DBRW($C$1,$C$2,$C$3,$C$4,$C$6,$C$5,$C$7,W$1,W$2,$A248)</f>
        <v>0</v>
      </c>
      <c r="X248" s="33">
        <f ca="1">_xll.DBRW($C$1,$C$2,$C$3,$C$4,$C$6,$C$5,$C$7,X$1,X$2,$A248)</f>
        <v>0</v>
      </c>
      <c r="Y248" s="33">
        <f ca="1">_xll.DBRW($C$1,$C$2,$C$3,$C$4,$C$6,$C$5,$C$7,Y$1,Y$2,$A248)</f>
        <v>0</v>
      </c>
      <c r="Z248" s="33">
        <f ca="1">_xll.DBRW($C$1,$C$2,$C$3,$C$4,$C$6,$C$5,$C$7,Z$1,Z$2,$A248)</f>
        <v>0</v>
      </c>
      <c r="AA248" s="33">
        <f ca="1">_xll.DBRW($C$1,$C$2,$C$3,$C$4,$C$6,$C$5,$C$7,AA$1,AA$2,$A248)</f>
        <v>0</v>
      </c>
      <c r="AB248" s="33">
        <f ca="1">_xll.DBRW($C$1,$C$2,$C$3,$C$4,$C$6,$C$5,$C$7,AB$1,AB$2,$A248)</f>
        <v>0</v>
      </c>
      <c r="AC248" s="33">
        <f ca="1">_xll.DBRW($C$1,$C$2,$C$3,$C$4,$C$6,$C$5,$C$7,AC$1,AC$2,$A248)</f>
        <v>0</v>
      </c>
      <c r="AD248" s="33">
        <f ca="1">_xll.DBRW($C$1,$C$2,$C$3,$C$4,$C$6,$C$5,$C$7,AD$1,AD$2,$A248)</f>
        <v>0</v>
      </c>
      <c r="AE248" s="33">
        <f ca="1">_xll.DBRW($C$1,$C$2,$C$3,$C$4,$C$6,$C$5,$C$7,AE$1,AE$2,$A248)</f>
        <v>0</v>
      </c>
      <c r="AF248" s="33">
        <f ca="1">_xll.DBRW($C$1,$C$2,$C$3,$C$4,$C$6,$C$5,$C$7,AF$1,AF$2,$A248)</f>
        <v>0</v>
      </c>
      <c r="AG248" s="33">
        <f ca="1">_xll.DBRW($C$1,$C$2,$C$3,$C$4,$C$6,$C$5,$C$7,AG$1,AG$2,$A248)</f>
        <v>0</v>
      </c>
      <c r="AH248" s="33">
        <f ca="1">_xll.DBRW($C$1,$C$2,$C$3,$C$4,$C$6,$C$5,$C$7,AH$1,AH$2,$A248)</f>
        <v>0</v>
      </c>
      <c r="AI248" s="33">
        <f ca="1">_xll.DBRW($C$1,$C$2,$C$3,$C$4,$C$6,$C$5,$C$7,AI$1,AI$2,$A248)</f>
        <v>0</v>
      </c>
      <c r="AJ248" s="33">
        <f ca="1">_xll.DBRW($C$1,$C$2,$C$3,$C$4,$C$6,$C$5,$C$7,AJ$1,AJ$2,$A248)</f>
        <v>0</v>
      </c>
      <c r="AK248" s="33">
        <f ca="1">_xll.DBRW($C$1,$C$2,$C$3,$C$4,$C$6,$C$5,$C$7,AK$1,AK$2,$A248)</f>
        <v>0</v>
      </c>
      <c r="AL248" s="33">
        <f ca="1">_xll.DBRW($C$1,$C$2,$C$3,$C$4,$C$6,$C$5,$C$7,AL$1,AL$2,$A248)</f>
        <v>0</v>
      </c>
      <c r="AM248" s="33">
        <f ca="1">_xll.DBRW($C$1,$C$2,$C$3,$C$4,$C$6,$C$5,$C$7,AM$1,AM$2,$A248)</f>
        <v>0</v>
      </c>
      <c r="AN248" s="33">
        <f ca="1">_xll.DBRW($C$1,$C$2,$C$3,$C$4,$C$6,$C$5,$C$7,AN$1,AN$2,$A248)</f>
        <v>0</v>
      </c>
      <c r="AO248" s="33">
        <f ca="1">_xll.DBRW($C$1,$C$2,$C$3,$C$4,$C$6,$C$5,$C$7,AO$1,AO$2,$A248)</f>
        <v>0</v>
      </c>
      <c r="AP248" s="33">
        <f ca="1">_xll.DBRW($C$1,$C$2,$C$3,$C$4,$C$6,$C$5,$C$7,AP$1,AP$2,$A248)</f>
        <v>0</v>
      </c>
      <c r="AQ248" s="33">
        <f ca="1">_xll.DBRW($C$1,$C$2,$C$3,$C$4,$C$6,$C$5,$C$7,AQ$1,AQ$2,$A248)</f>
        <v>0</v>
      </c>
      <c r="AR248" s="33">
        <f ca="1">_xll.DBRW($C$1,$C$2,$C$3,$C$4,$C$6,$C$5,$C$7,AR$1,AR$2,$A248)</f>
        <v>0</v>
      </c>
      <c r="AS248" s="33">
        <f ca="1">_xll.DBRW($C$1,$C$2,$C$3,$C$4,$C$6,$C$5,$C$7,AS$1,AS$2,$A248)</f>
        <v>0</v>
      </c>
      <c r="AT248" s="33">
        <f ca="1">_xll.DBRW($C$1,$C$2,$C$3,$C$4,$C$6,$C$5,$C$7,AT$1,AT$2,$A248)</f>
        <v>0</v>
      </c>
      <c r="AU248" s="33">
        <f ca="1">_xll.DBRW($C$1,$C$2,$C$3,$C$4,$C$6,$C$5,$C$7,AU$1,AU$2,$A248)</f>
        <v>0</v>
      </c>
      <c r="AV248" s="33">
        <f ca="1">_xll.DBRW($C$1,$C$2,$C$3,$C$4,$C$6,$C$5,$C$7,AV$1,AV$2,$A248)</f>
        <v>0</v>
      </c>
      <c r="AW248" s="33">
        <f ca="1">_xll.DBRW($C$1,$C$2,$C$3,$C$4,$C$6,$C$5,$C$7,AW$1,AW$2,$A248)</f>
        <v>0</v>
      </c>
      <c r="AX248" s="33">
        <f ca="1">_xll.DBRW($C$1,$C$2,$C$3,$C$4,$C$6,$C$5,$C$7,AX$1,AX$2,$A248)</f>
        <v>0</v>
      </c>
      <c r="AY248" s="33">
        <f ca="1">_xll.DBRW($C$1,$C$2,$C$3,$C$4,$C$6,$C$5,$C$7,AY$1,AY$2,$A248)</f>
        <v>0</v>
      </c>
    </row>
    <row r="249" spans="1:51" ht="15.5" hidden="1" outlineLevel="1" collapsed="1">
      <c r="C249" s="109"/>
      <c r="E249" s="84" t="s">
        <v>56</v>
      </c>
      <c r="F249" s="39">
        <f t="shared" ref="F249:M249" ca="1" si="155">F248</f>
        <v>0</v>
      </c>
      <c r="G249" s="39">
        <f t="shared" ca="1" si="155"/>
        <v>0</v>
      </c>
      <c r="H249" s="39">
        <f t="shared" ca="1" si="155"/>
        <v>0</v>
      </c>
      <c r="I249" s="39">
        <f t="shared" ca="1" si="155"/>
        <v>0</v>
      </c>
      <c r="J249" s="39">
        <f t="shared" ca="1" si="155"/>
        <v>0</v>
      </c>
      <c r="K249" s="39">
        <f t="shared" ca="1" si="155"/>
        <v>0</v>
      </c>
      <c r="L249" s="39">
        <f t="shared" ca="1" si="155"/>
        <v>0</v>
      </c>
      <c r="M249" s="39">
        <f t="shared" ca="1" si="155"/>
        <v>0</v>
      </c>
      <c r="N249" s="39">
        <f t="shared" ref="N249:X249" ca="1" si="156">N248</f>
        <v>0</v>
      </c>
      <c r="O249" s="39">
        <f t="shared" ca="1" si="156"/>
        <v>0</v>
      </c>
      <c r="P249" s="39">
        <f t="shared" ca="1" si="156"/>
        <v>0</v>
      </c>
      <c r="Q249" s="39">
        <f t="shared" ca="1" si="156"/>
        <v>0</v>
      </c>
      <c r="R249" s="39">
        <f t="shared" ca="1" si="156"/>
        <v>0</v>
      </c>
      <c r="S249" s="39">
        <f t="shared" ca="1" si="156"/>
        <v>0</v>
      </c>
      <c r="T249" s="39">
        <f t="shared" ca="1" si="156"/>
        <v>0</v>
      </c>
      <c r="U249" s="39">
        <f t="shared" ca="1" si="156"/>
        <v>0</v>
      </c>
      <c r="V249" s="39">
        <f t="shared" ca="1" si="156"/>
        <v>0</v>
      </c>
      <c r="W249" s="39">
        <f t="shared" ca="1" si="156"/>
        <v>0</v>
      </c>
      <c r="X249" s="39">
        <f t="shared" ca="1" si="156"/>
        <v>0</v>
      </c>
      <c r="Y249" s="39">
        <f ca="1">Y248</f>
        <v>0</v>
      </c>
      <c r="Z249" s="39">
        <f ca="1">Z248</f>
        <v>0</v>
      </c>
      <c r="AA249" s="39">
        <f t="shared" ref="AA249:AK249" ca="1" si="157">AA248</f>
        <v>0</v>
      </c>
      <c r="AB249" s="39">
        <f t="shared" ca="1" si="157"/>
        <v>0</v>
      </c>
      <c r="AC249" s="39">
        <f t="shared" ca="1" si="157"/>
        <v>0</v>
      </c>
      <c r="AD249" s="39">
        <f t="shared" ca="1" si="157"/>
        <v>0</v>
      </c>
      <c r="AE249" s="39">
        <f t="shared" ca="1" si="157"/>
        <v>0</v>
      </c>
      <c r="AF249" s="39">
        <f t="shared" ca="1" si="157"/>
        <v>0</v>
      </c>
      <c r="AG249" s="39">
        <f t="shared" ca="1" si="157"/>
        <v>0</v>
      </c>
      <c r="AH249" s="39">
        <f t="shared" ca="1" si="157"/>
        <v>0</v>
      </c>
      <c r="AI249" s="39">
        <f t="shared" ca="1" si="157"/>
        <v>0</v>
      </c>
      <c r="AJ249" s="39">
        <f t="shared" ca="1" si="157"/>
        <v>0</v>
      </c>
      <c r="AK249" s="39">
        <f t="shared" ca="1" si="157"/>
        <v>0</v>
      </c>
      <c r="AL249" s="39">
        <f ca="1">AL248</f>
        <v>0</v>
      </c>
      <c r="AM249" s="39">
        <f ca="1">AM248</f>
        <v>0</v>
      </c>
      <c r="AN249" s="39">
        <f t="shared" ref="AN249:AX249" ca="1" si="158">AN248</f>
        <v>0</v>
      </c>
      <c r="AO249" s="39">
        <f t="shared" ca="1" si="158"/>
        <v>0</v>
      </c>
      <c r="AP249" s="39">
        <f t="shared" ca="1" si="158"/>
        <v>0</v>
      </c>
      <c r="AQ249" s="39">
        <f t="shared" ca="1" si="158"/>
        <v>0</v>
      </c>
      <c r="AR249" s="39">
        <f t="shared" ca="1" si="158"/>
        <v>0</v>
      </c>
      <c r="AS249" s="39">
        <f t="shared" ca="1" si="158"/>
        <v>0</v>
      </c>
      <c r="AT249" s="39">
        <f t="shared" ca="1" si="158"/>
        <v>0</v>
      </c>
      <c r="AU249" s="39">
        <f t="shared" ca="1" si="158"/>
        <v>0</v>
      </c>
      <c r="AV249" s="39">
        <f t="shared" ca="1" si="158"/>
        <v>0</v>
      </c>
      <c r="AW249" s="39">
        <f t="shared" ca="1" si="158"/>
        <v>0</v>
      </c>
      <c r="AX249" s="39">
        <f t="shared" ca="1" si="158"/>
        <v>0</v>
      </c>
      <c r="AY249" s="39">
        <f ca="1">AY248</f>
        <v>0</v>
      </c>
    </row>
    <row r="250" spans="1:51" ht="15.75" hidden="1" customHeight="1" outlineLevel="2">
      <c r="A250" s="1" t="s">
        <v>322</v>
      </c>
      <c r="C250" s="109"/>
      <c r="E250" s="9" t="str">
        <f ca="1">_xll.DBRW(Server&amp;"}ElementAttributes_Indicator",A250,"code_English")</f>
        <v>PL0000_RM - Risk management</v>
      </c>
      <c r="F250" s="33">
        <f ca="1">_xll.DBRW($C$1,$C$2,$C$3,$C$4,$C$6,$C$5,$C$7,F$1,F$2,$A250)</f>
        <v>0</v>
      </c>
      <c r="G250" s="33">
        <f ca="1">_xll.DBRW($C$1,$C$2,$C$3,$C$4,$C$6,$C$5,$C$7,G$1,G$2,$A250)</f>
        <v>0</v>
      </c>
      <c r="H250" s="33">
        <f ca="1">_xll.DBRW($C$1,$C$2,$C$3,$C$4,$C$6,$C$5,$C$7,H$1,H$2,$A250)</f>
        <v>0</v>
      </c>
      <c r="I250" s="33">
        <f ca="1">_xll.DBRW($C$1,$C$2,$C$3,$C$4,$C$6,$C$5,$C$7,I$1,I$2,$A250)</f>
        <v>0</v>
      </c>
      <c r="J250" s="33">
        <f ca="1">_xll.DBRW($C$1,$C$2,$C$3,$C$4,$C$6,$C$5,$C$7,J$1,J$2,$A250)</f>
        <v>0</v>
      </c>
      <c r="K250" s="33">
        <f ca="1">_xll.DBRW($C$1,$C$2,$C$3,$C$4,$C$6,$C$5,$C$7,K$1,K$2,$A250)</f>
        <v>0</v>
      </c>
      <c r="L250" s="33">
        <f ca="1">_xll.DBRW($C$1,$C$2,$C$3,$C$4,$C$6,$C$5,$C$7,L$1,L$2,$A250)</f>
        <v>0</v>
      </c>
      <c r="M250" s="33">
        <f ca="1">_xll.DBRW($C$1,$C$2,$C$3,$C$4,$C$6,$C$5,$C$7,M$1,M$2,$A250)</f>
        <v>0</v>
      </c>
      <c r="N250" s="33">
        <f ca="1">_xll.DBRW($C$1,$C$2,$C$3,$C$4,$C$6,$C$5,$C$7,N$1,N$2,$A250)</f>
        <v>0</v>
      </c>
      <c r="O250" s="33">
        <f ca="1">_xll.DBRW($C$1,$C$2,$C$3,$C$4,$C$6,$C$5,$C$7,O$1,O$2,$A250)</f>
        <v>0</v>
      </c>
      <c r="P250" s="33">
        <f ca="1">_xll.DBRW($C$1,$C$2,$C$3,$C$4,$C$6,$C$5,$C$7,P$1,P$2,$A250)</f>
        <v>0</v>
      </c>
      <c r="Q250" s="33">
        <f ca="1">_xll.DBRW($C$1,$C$2,$C$3,$C$4,$C$6,$C$5,$C$7,Q$1,Q$2,$A250)</f>
        <v>0</v>
      </c>
      <c r="R250" s="33">
        <f ca="1">_xll.DBRW($C$1,$C$2,$C$3,$C$4,$C$6,$C$5,$C$7,R$1,R$2,$A250)</f>
        <v>0</v>
      </c>
      <c r="S250" s="33">
        <f ca="1">_xll.DBRW($C$1,$C$2,$C$3,$C$4,$C$6,$C$5,$C$7,S$1,S$2,$A250)</f>
        <v>0</v>
      </c>
      <c r="T250" s="33">
        <f ca="1">_xll.DBRW($C$1,$C$2,$C$3,$C$4,$C$6,$C$5,$C$7,T$1,T$2,$A250)</f>
        <v>0</v>
      </c>
      <c r="U250" s="33">
        <f ca="1">_xll.DBRW($C$1,$C$2,$C$3,$C$4,$C$6,$C$5,$C$7,U$1,U$2,$A250)</f>
        <v>0</v>
      </c>
      <c r="V250" s="33">
        <f ca="1">_xll.DBRW($C$1,$C$2,$C$3,$C$4,$C$6,$C$5,$C$7,V$1,V$2,$A250)</f>
        <v>0</v>
      </c>
      <c r="W250" s="33">
        <f ca="1">_xll.DBRW($C$1,$C$2,$C$3,$C$4,$C$6,$C$5,$C$7,W$1,W$2,$A250)</f>
        <v>0</v>
      </c>
      <c r="X250" s="33">
        <f ca="1">_xll.DBRW($C$1,$C$2,$C$3,$C$4,$C$6,$C$5,$C$7,X$1,X$2,$A250)</f>
        <v>0</v>
      </c>
      <c r="Y250" s="33">
        <f ca="1">_xll.DBRW($C$1,$C$2,$C$3,$C$4,$C$6,$C$5,$C$7,Y$1,Y$2,$A250)</f>
        <v>0</v>
      </c>
      <c r="Z250" s="33">
        <f ca="1">_xll.DBRW($C$1,$C$2,$C$3,$C$4,$C$6,$C$5,$C$7,Z$1,Z$2,$A250)</f>
        <v>0</v>
      </c>
      <c r="AA250" s="33">
        <f ca="1">_xll.DBRW($C$1,$C$2,$C$3,$C$4,$C$6,$C$5,$C$7,AA$1,AA$2,$A250)</f>
        <v>0</v>
      </c>
      <c r="AB250" s="33">
        <f ca="1">_xll.DBRW($C$1,$C$2,$C$3,$C$4,$C$6,$C$5,$C$7,AB$1,AB$2,$A250)</f>
        <v>0</v>
      </c>
      <c r="AC250" s="33">
        <f ca="1">_xll.DBRW($C$1,$C$2,$C$3,$C$4,$C$6,$C$5,$C$7,AC$1,AC$2,$A250)</f>
        <v>0</v>
      </c>
      <c r="AD250" s="33">
        <f ca="1">_xll.DBRW($C$1,$C$2,$C$3,$C$4,$C$6,$C$5,$C$7,AD$1,AD$2,$A250)</f>
        <v>0</v>
      </c>
      <c r="AE250" s="33">
        <f ca="1">_xll.DBRW($C$1,$C$2,$C$3,$C$4,$C$6,$C$5,$C$7,AE$1,AE$2,$A250)</f>
        <v>0</v>
      </c>
      <c r="AF250" s="33">
        <f ca="1">_xll.DBRW($C$1,$C$2,$C$3,$C$4,$C$6,$C$5,$C$7,AF$1,AF$2,$A250)</f>
        <v>0</v>
      </c>
      <c r="AG250" s="33">
        <f ca="1">_xll.DBRW($C$1,$C$2,$C$3,$C$4,$C$6,$C$5,$C$7,AG$1,AG$2,$A250)</f>
        <v>0</v>
      </c>
      <c r="AH250" s="33">
        <f ca="1">_xll.DBRW($C$1,$C$2,$C$3,$C$4,$C$6,$C$5,$C$7,AH$1,AH$2,$A250)</f>
        <v>0</v>
      </c>
      <c r="AI250" s="33">
        <f ca="1">_xll.DBRW($C$1,$C$2,$C$3,$C$4,$C$6,$C$5,$C$7,AI$1,AI$2,$A250)</f>
        <v>0</v>
      </c>
      <c r="AJ250" s="33">
        <f ca="1">_xll.DBRW($C$1,$C$2,$C$3,$C$4,$C$6,$C$5,$C$7,AJ$1,AJ$2,$A250)</f>
        <v>0</v>
      </c>
      <c r="AK250" s="33">
        <f ca="1">_xll.DBRW($C$1,$C$2,$C$3,$C$4,$C$6,$C$5,$C$7,AK$1,AK$2,$A250)</f>
        <v>0</v>
      </c>
      <c r="AL250" s="33">
        <f ca="1">_xll.DBRW($C$1,$C$2,$C$3,$C$4,$C$6,$C$5,$C$7,AL$1,AL$2,$A250)</f>
        <v>0</v>
      </c>
      <c r="AM250" s="33">
        <f ca="1">_xll.DBRW($C$1,$C$2,$C$3,$C$4,$C$6,$C$5,$C$7,AM$1,AM$2,$A250)</f>
        <v>0</v>
      </c>
      <c r="AN250" s="33">
        <f ca="1">_xll.DBRW($C$1,$C$2,$C$3,$C$4,$C$6,$C$5,$C$7,AN$1,AN$2,$A250)</f>
        <v>0</v>
      </c>
      <c r="AO250" s="33">
        <f ca="1">_xll.DBRW($C$1,$C$2,$C$3,$C$4,$C$6,$C$5,$C$7,AO$1,AO$2,$A250)</f>
        <v>0</v>
      </c>
      <c r="AP250" s="33">
        <f ca="1">_xll.DBRW($C$1,$C$2,$C$3,$C$4,$C$6,$C$5,$C$7,AP$1,AP$2,$A250)</f>
        <v>0</v>
      </c>
      <c r="AQ250" s="33">
        <f ca="1">_xll.DBRW($C$1,$C$2,$C$3,$C$4,$C$6,$C$5,$C$7,AQ$1,AQ$2,$A250)</f>
        <v>0</v>
      </c>
      <c r="AR250" s="33">
        <f ca="1">_xll.DBRW($C$1,$C$2,$C$3,$C$4,$C$6,$C$5,$C$7,AR$1,AR$2,$A250)</f>
        <v>0</v>
      </c>
      <c r="AS250" s="33">
        <f ca="1">_xll.DBRW($C$1,$C$2,$C$3,$C$4,$C$6,$C$5,$C$7,AS$1,AS$2,$A250)</f>
        <v>0</v>
      </c>
      <c r="AT250" s="33">
        <f ca="1">_xll.DBRW($C$1,$C$2,$C$3,$C$4,$C$6,$C$5,$C$7,AT$1,AT$2,$A250)</f>
        <v>0</v>
      </c>
      <c r="AU250" s="33">
        <f ca="1">_xll.DBRW($C$1,$C$2,$C$3,$C$4,$C$6,$C$5,$C$7,AU$1,AU$2,$A250)</f>
        <v>0</v>
      </c>
      <c r="AV250" s="33">
        <f ca="1">_xll.DBRW($C$1,$C$2,$C$3,$C$4,$C$6,$C$5,$C$7,AV$1,AV$2,$A250)</f>
        <v>0</v>
      </c>
      <c r="AW250" s="33">
        <f ca="1">_xll.DBRW($C$1,$C$2,$C$3,$C$4,$C$6,$C$5,$C$7,AW$1,AW$2,$A250)</f>
        <v>0</v>
      </c>
      <c r="AX250" s="33">
        <f ca="1">_xll.DBRW($C$1,$C$2,$C$3,$C$4,$C$6,$C$5,$C$7,AX$1,AX$2,$A250)</f>
        <v>0</v>
      </c>
      <c r="AY250" s="33">
        <f ca="1">_xll.DBRW($C$1,$C$2,$C$3,$C$4,$C$6,$C$5,$C$7,AY$1,AY$2,$A250)</f>
        <v>0</v>
      </c>
    </row>
    <row r="251" spans="1:51" ht="15.5" hidden="1" outlineLevel="1" collapsed="1">
      <c r="C251" s="109"/>
      <c r="E251" s="84" t="s">
        <v>57</v>
      </c>
      <c r="F251" s="39">
        <f t="shared" ref="F251:M251" ca="1" si="159">F250</f>
        <v>0</v>
      </c>
      <c r="G251" s="39">
        <f t="shared" ca="1" si="159"/>
        <v>0</v>
      </c>
      <c r="H251" s="39">
        <f t="shared" ca="1" si="159"/>
        <v>0</v>
      </c>
      <c r="I251" s="39">
        <f t="shared" ca="1" si="159"/>
        <v>0</v>
      </c>
      <c r="J251" s="39">
        <f t="shared" ca="1" si="159"/>
        <v>0</v>
      </c>
      <c r="K251" s="39">
        <f t="shared" ca="1" si="159"/>
        <v>0</v>
      </c>
      <c r="L251" s="39">
        <f t="shared" ca="1" si="159"/>
        <v>0</v>
      </c>
      <c r="M251" s="39">
        <f t="shared" ca="1" si="159"/>
        <v>0</v>
      </c>
      <c r="N251" s="39">
        <f t="shared" ref="N251:X251" ca="1" si="160">N250</f>
        <v>0</v>
      </c>
      <c r="O251" s="39">
        <f t="shared" ca="1" si="160"/>
        <v>0</v>
      </c>
      <c r="P251" s="39">
        <f t="shared" ca="1" si="160"/>
        <v>0</v>
      </c>
      <c r="Q251" s="39">
        <f t="shared" ca="1" si="160"/>
        <v>0</v>
      </c>
      <c r="R251" s="39">
        <f t="shared" ca="1" si="160"/>
        <v>0</v>
      </c>
      <c r="S251" s="39">
        <f t="shared" ca="1" si="160"/>
        <v>0</v>
      </c>
      <c r="T251" s="39">
        <f t="shared" ca="1" si="160"/>
        <v>0</v>
      </c>
      <c r="U251" s="39">
        <f t="shared" ca="1" si="160"/>
        <v>0</v>
      </c>
      <c r="V251" s="39">
        <f t="shared" ca="1" si="160"/>
        <v>0</v>
      </c>
      <c r="W251" s="39">
        <f t="shared" ca="1" si="160"/>
        <v>0</v>
      </c>
      <c r="X251" s="39">
        <f t="shared" ca="1" si="160"/>
        <v>0</v>
      </c>
      <c r="Y251" s="39">
        <f ca="1">Y250</f>
        <v>0</v>
      </c>
      <c r="Z251" s="39">
        <f ca="1">Z250</f>
        <v>0</v>
      </c>
      <c r="AA251" s="39">
        <f t="shared" ref="AA251:AK251" ca="1" si="161">AA250</f>
        <v>0</v>
      </c>
      <c r="AB251" s="39">
        <f t="shared" ca="1" si="161"/>
        <v>0</v>
      </c>
      <c r="AC251" s="39">
        <f t="shared" ca="1" si="161"/>
        <v>0</v>
      </c>
      <c r="AD251" s="39">
        <f t="shared" ca="1" si="161"/>
        <v>0</v>
      </c>
      <c r="AE251" s="39">
        <f t="shared" ca="1" si="161"/>
        <v>0</v>
      </c>
      <c r="AF251" s="39">
        <f t="shared" ca="1" si="161"/>
        <v>0</v>
      </c>
      <c r="AG251" s="39">
        <f t="shared" ca="1" si="161"/>
        <v>0</v>
      </c>
      <c r="AH251" s="39">
        <f t="shared" ca="1" si="161"/>
        <v>0</v>
      </c>
      <c r="AI251" s="39">
        <f t="shared" ca="1" si="161"/>
        <v>0</v>
      </c>
      <c r="AJ251" s="39">
        <f t="shared" ca="1" si="161"/>
        <v>0</v>
      </c>
      <c r="AK251" s="39">
        <f t="shared" ca="1" si="161"/>
        <v>0</v>
      </c>
      <c r="AL251" s="39">
        <f ca="1">AL250</f>
        <v>0</v>
      </c>
      <c r="AM251" s="39">
        <f ca="1">AM250</f>
        <v>0</v>
      </c>
      <c r="AN251" s="39">
        <f t="shared" ref="AN251:AX251" ca="1" si="162">AN250</f>
        <v>0</v>
      </c>
      <c r="AO251" s="39">
        <f t="shared" ca="1" si="162"/>
        <v>0</v>
      </c>
      <c r="AP251" s="39">
        <f t="shared" ca="1" si="162"/>
        <v>0</v>
      </c>
      <c r="AQ251" s="39">
        <f t="shared" ca="1" si="162"/>
        <v>0</v>
      </c>
      <c r="AR251" s="39">
        <f t="shared" ca="1" si="162"/>
        <v>0</v>
      </c>
      <c r="AS251" s="39">
        <f t="shared" ca="1" si="162"/>
        <v>0</v>
      </c>
      <c r="AT251" s="39">
        <f t="shared" ca="1" si="162"/>
        <v>0</v>
      </c>
      <c r="AU251" s="39">
        <f t="shared" ca="1" si="162"/>
        <v>0</v>
      </c>
      <c r="AV251" s="39">
        <f t="shared" ca="1" si="162"/>
        <v>0</v>
      </c>
      <c r="AW251" s="39">
        <f t="shared" ca="1" si="162"/>
        <v>0</v>
      </c>
      <c r="AX251" s="39">
        <f t="shared" ca="1" si="162"/>
        <v>0</v>
      </c>
      <c r="AY251" s="39">
        <f ca="1">AY250</f>
        <v>0</v>
      </c>
    </row>
    <row r="252" spans="1:51" ht="15.75" hidden="1" customHeight="1" outlineLevel="2">
      <c r="A252" s="1" t="s">
        <v>323</v>
      </c>
      <c r="C252" s="109"/>
      <c r="E252" s="9" t="str">
        <f ca="1">_xll.DBRW(Server&amp;"}ElementAttributes_Indicator",A252,"code_English")</f>
        <v>PL0000_SE - QHSE</v>
      </c>
      <c r="F252" s="33">
        <f ca="1">_xll.DBRW($C$1,$C$2,$C$3,$C$4,$C$6,$C$5,$C$7,F$1,F$2,$A252)</f>
        <v>0</v>
      </c>
      <c r="G252" s="33">
        <f ca="1">_xll.DBRW($C$1,$C$2,$C$3,$C$4,$C$6,$C$5,$C$7,G$1,G$2,$A252)</f>
        <v>0</v>
      </c>
      <c r="H252" s="33">
        <f ca="1">_xll.DBRW($C$1,$C$2,$C$3,$C$4,$C$6,$C$5,$C$7,H$1,H$2,$A252)</f>
        <v>0</v>
      </c>
      <c r="I252" s="33">
        <f ca="1">_xll.DBRW($C$1,$C$2,$C$3,$C$4,$C$6,$C$5,$C$7,I$1,I$2,$A252)</f>
        <v>0</v>
      </c>
      <c r="J252" s="33">
        <f ca="1">_xll.DBRW($C$1,$C$2,$C$3,$C$4,$C$6,$C$5,$C$7,J$1,J$2,$A252)</f>
        <v>0</v>
      </c>
      <c r="K252" s="33">
        <f ca="1">_xll.DBRW($C$1,$C$2,$C$3,$C$4,$C$6,$C$5,$C$7,K$1,K$2,$A252)</f>
        <v>0</v>
      </c>
      <c r="L252" s="33">
        <f ca="1">_xll.DBRW($C$1,$C$2,$C$3,$C$4,$C$6,$C$5,$C$7,L$1,L$2,$A252)</f>
        <v>0</v>
      </c>
      <c r="M252" s="33">
        <f ca="1">_xll.DBRW($C$1,$C$2,$C$3,$C$4,$C$6,$C$5,$C$7,M$1,M$2,$A252)</f>
        <v>0</v>
      </c>
      <c r="N252" s="33">
        <f ca="1">_xll.DBRW($C$1,$C$2,$C$3,$C$4,$C$6,$C$5,$C$7,N$1,N$2,$A252)</f>
        <v>0</v>
      </c>
      <c r="O252" s="33">
        <f ca="1">_xll.DBRW($C$1,$C$2,$C$3,$C$4,$C$6,$C$5,$C$7,O$1,O$2,$A252)</f>
        <v>0</v>
      </c>
      <c r="P252" s="33">
        <f ca="1">_xll.DBRW($C$1,$C$2,$C$3,$C$4,$C$6,$C$5,$C$7,P$1,P$2,$A252)</f>
        <v>0</v>
      </c>
      <c r="Q252" s="33">
        <f ca="1">_xll.DBRW($C$1,$C$2,$C$3,$C$4,$C$6,$C$5,$C$7,Q$1,Q$2,$A252)</f>
        <v>0</v>
      </c>
      <c r="R252" s="33">
        <f ca="1">_xll.DBRW($C$1,$C$2,$C$3,$C$4,$C$6,$C$5,$C$7,R$1,R$2,$A252)</f>
        <v>0</v>
      </c>
      <c r="S252" s="33">
        <f ca="1">_xll.DBRW($C$1,$C$2,$C$3,$C$4,$C$6,$C$5,$C$7,S$1,S$2,$A252)</f>
        <v>0</v>
      </c>
      <c r="T252" s="33">
        <f ca="1">_xll.DBRW($C$1,$C$2,$C$3,$C$4,$C$6,$C$5,$C$7,T$1,T$2,$A252)</f>
        <v>0</v>
      </c>
      <c r="U252" s="33">
        <f ca="1">_xll.DBRW($C$1,$C$2,$C$3,$C$4,$C$6,$C$5,$C$7,U$1,U$2,$A252)</f>
        <v>0</v>
      </c>
      <c r="V252" s="33">
        <f ca="1">_xll.DBRW($C$1,$C$2,$C$3,$C$4,$C$6,$C$5,$C$7,V$1,V$2,$A252)</f>
        <v>0</v>
      </c>
      <c r="W252" s="33">
        <f ca="1">_xll.DBRW($C$1,$C$2,$C$3,$C$4,$C$6,$C$5,$C$7,W$1,W$2,$A252)</f>
        <v>0</v>
      </c>
      <c r="X252" s="33">
        <f ca="1">_xll.DBRW($C$1,$C$2,$C$3,$C$4,$C$6,$C$5,$C$7,X$1,X$2,$A252)</f>
        <v>0</v>
      </c>
      <c r="Y252" s="33">
        <f ca="1">_xll.DBRW($C$1,$C$2,$C$3,$C$4,$C$6,$C$5,$C$7,Y$1,Y$2,$A252)</f>
        <v>0</v>
      </c>
      <c r="Z252" s="33">
        <f ca="1">_xll.DBRW($C$1,$C$2,$C$3,$C$4,$C$6,$C$5,$C$7,Z$1,Z$2,$A252)</f>
        <v>0</v>
      </c>
      <c r="AA252" s="33">
        <f ca="1">_xll.DBRW($C$1,$C$2,$C$3,$C$4,$C$6,$C$5,$C$7,AA$1,AA$2,$A252)</f>
        <v>0</v>
      </c>
      <c r="AB252" s="33">
        <f ca="1">_xll.DBRW($C$1,$C$2,$C$3,$C$4,$C$6,$C$5,$C$7,AB$1,AB$2,$A252)</f>
        <v>0</v>
      </c>
      <c r="AC252" s="33">
        <f ca="1">_xll.DBRW($C$1,$C$2,$C$3,$C$4,$C$6,$C$5,$C$7,AC$1,AC$2,$A252)</f>
        <v>0</v>
      </c>
      <c r="AD252" s="33">
        <f ca="1">_xll.DBRW($C$1,$C$2,$C$3,$C$4,$C$6,$C$5,$C$7,AD$1,AD$2,$A252)</f>
        <v>0</v>
      </c>
      <c r="AE252" s="33">
        <f ca="1">_xll.DBRW($C$1,$C$2,$C$3,$C$4,$C$6,$C$5,$C$7,AE$1,AE$2,$A252)</f>
        <v>0</v>
      </c>
      <c r="AF252" s="33">
        <f ca="1">_xll.DBRW($C$1,$C$2,$C$3,$C$4,$C$6,$C$5,$C$7,AF$1,AF$2,$A252)</f>
        <v>0</v>
      </c>
      <c r="AG252" s="33">
        <f ca="1">_xll.DBRW($C$1,$C$2,$C$3,$C$4,$C$6,$C$5,$C$7,AG$1,AG$2,$A252)</f>
        <v>0</v>
      </c>
      <c r="AH252" s="33">
        <f ca="1">_xll.DBRW($C$1,$C$2,$C$3,$C$4,$C$6,$C$5,$C$7,AH$1,AH$2,$A252)</f>
        <v>0</v>
      </c>
      <c r="AI252" s="33">
        <f ca="1">_xll.DBRW($C$1,$C$2,$C$3,$C$4,$C$6,$C$5,$C$7,AI$1,AI$2,$A252)</f>
        <v>0</v>
      </c>
      <c r="AJ252" s="33">
        <f ca="1">_xll.DBRW($C$1,$C$2,$C$3,$C$4,$C$6,$C$5,$C$7,AJ$1,AJ$2,$A252)</f>
        <v>0</v>
      </c>
      <c r="AK252" s="33">
        <f ca="1">_xll.DBRW($C$1,$C$2,$C$3,$C$4,$C$6,$C$5,$C$7,AK$1,AK$2,$A252)</f>
        <v>0</v>
      </c>
      <c r="AL252" s="33">
        <f ca="1">_xll.DBRW($C$1,$C$2,$C$3,$C$4,$C$6,$C$5,$C$7,AL$1,AL$2,$A252)</f>
        <v>0</v>
      </c>
      <c r="AM252" s="33">
        <f ca="1">_xll.DBRW($C$1,$C$2,$C$3,$C$4,$C$6,$C$5,$C$7,AM$1,AM$2,$A252)</f>
        <v>0</v>
      </c>
      <c r="AN252" s="33">
        <f ca="1">_xll.DBRW($C$1,$C$2,$C$3,$C$4,$C$6,$C$5,$C$7,AN$1,AN$2,$A252)</f>
        <v>0</v>
      </c>
      <c r="AO252" s="33">
        <f ca="1">_xll.DBRW($C$1,$C$2,$C$3,$C$4,$C$6,$C$5,$C$7,AO$1,AO$2,$A252)</f>
        <v>0</v>
      </c>
      <c r="AP252" s="33">
        <f ca="1">_xll.DBRW($C$1,$C$2,$C$3,$C$4,$C$6,$C$5,$C$7,AP$1,AP$2,$A252)</f>
        <v>0</v>
      </c>
      <c r="AQ252" s="33">
        <f ca="1">_xll.DBRW($C$1,$C$2,$C$3,$C$4,$C$6,$C$5,$C$7,AQ$1,AQ$2,$A252)</f>
        <v>0</v>
      </c>
      <c r="AR252" s="33">
        <f ca="1">_xll.DBRW($C$1,$C$2,$C$3,$C$4,$C$6,$C$5,$C$7,AR$1,AR$2,$A252)</f>
        <v>0</v>
      </c>
      <c r="AS252" s="33">
        <f ca="1">_xll.DBRW($C$1,$C$2,$C$3,$C$4,$C$6,$C$5,$C$7,AS$1,AS$2,$A252)</f>
        <v>0</v>
      </c>
      <c r="AT252" s="33">
        <f ca="1">_xll.DBRW($C$1,$C$2,$C$3,$C$4,$C$6,$C$5,$C$7,AT$1,AT$2,$A252)</f>
        <v>0</v>
      </c>
      <c r="AU252" s="33">
        <f ca="1">_xll.DBRW($C$1,$C$2,$C$3,$C$4,$C$6,$C$5,$C$7,AU$1,AU$2,$A252)</f>
        <v>0</v>
      </c>
      <c r="AV252" s="33">
        <f ca="1">_xll.DBRW($C$1,$C$2,$C$3,$C$4,$C$6,$C$5,$C$7,AV$1,AV$2,$A252)</f>
        <v>0</v>
      </c>
      <c r="AW252" s="33">
        <f ca="1">_xll.DBRW($C$1,$C$2,$C$3,$C$4,$C$6,$C$5,$C$7,AW$1,AW$2,$A252)</f>
        <v>0</v>
      </c>
      <c r="AX252" s="33">
        <f ca="1">_xll.DBRW($C$1,$C$2,$C$3,$C$4,$C$6,$C$5,$C$7,AX$1,AX$2,$A252)</f>
        <v>0</v>
      </c>
      <c r="AY252" s="33">
        <f ca="1">_xll.DBRW($C$1,$C$2,$C$3,$C$4,$C$6,$C$5,$C$7,AY$1,AY$2,$A252)</f>
        <v>0</v>
      </c>
    </row>
    <row r="253" spans="1:51" ht="15.5" hidden="1" outlineLevel="1" collapsed="1">
      <c r="C253" s="109"/>
      <c r="E253" s="84" t="s">
        <v>58</v>
      </c>
      <c r="F253" s="39">
        <f t="shared" ref="F253:M253" ca="1" si="163">F252</f>
        <v>0</v>
      </c>
      <c r="G253" s="39">
        <f t="shared" ca="1" si="163"/>
        <v>0</v>
      </c>
      <c r="H253" s="39">
        <f t="shared" ca="1" si="163"/>
        <v>0</v>
      </c>
      <c r="I253" s="39">
        <f t="shared" ca="1" si="163"/>
        <v>0</v>
      </c>
      <c r="J253" s="39">
        <f t="shared" ca="1" si="163"/>
        <v>0</v>
      </c>
      <c r="K253" s="39">
        <f t="shared" ca="1" si="163"/>
        <v>0</v>
      </c>
      <c r="L253" s="39">
        <f t="shared" ca="1" si="163"/>
        <v>0</v>
      </c>
      <c r="M253" s="39">
        <f t="shared" ca="1" si="163"/>
        <v>0</v>
      </c>
      <c r="N253" s="39">
        <f t="shared" ref="N253:X253" ca="1" si="164">N252</f>
        <v>0</v>
      </c>
      <c r="O253" s="39">
        <f t="shared" ca="1" si="164"/>
        <v>0</v>
      </c>
      <c r="P253" s="39">
        <f t="shared" ca="1" si="164"/>
        <v>0</v>
      </c>
      <c r="Q253" s="39">
        <f t="shared" ca="1" si="164"/>
        <v>0</v>
      </c>
      <c r="R253" s="39">
        <f t="shared" ca="1" si="164"/>
        <v>0</v>
      </c>
      <c r="S253" s="39">
        <f t="shared" ca="1" si="164"/>
        <v>0</v>
      </c>
      <c r="T253" s="39">
        <f t="shared" ca="1" si="164"/>
        <v>0</v>
      </c>
      <c r="U253" s="39">
        <f t="shared" ca="1" si="164"/>
        <v>0</v>
      </c>
      <c r="V253" s="39">
        <f t="shared" ca="1" si="164"/>
        <v>0</v>
      </c>
      <c r="W253" s="39">
        <f t="shared" ca="1" si="164"/>
        <v>0</v>
      </c>
      <c r="X253" s="39">
        <f t="shared" ca="1" si="164"/>
        <v>0</v>
      </c>
      <c r="Y253" s="39">
        <f ca="1">Y252</f>
        <v>0</v>
      </c>
      <c r="Z253" s="39">
        <f ca="1">Z252</f>
        <v>0</v>
      </c>
      <c r="AA253" s="39">
        <f t="shared" ref="AA253:AK253" ca="1" si="165">AA252</f>
        <v>0</v>
      </c>
      <c r="AB253" s="39">
        <f t="shared" ca="1" si="165"/>
        <v>0</v>
      </c>
      <c r="AC253" s="39">
        <f t="shared" ca="1" si="165"/>
        <v>0</v>
      </c>
      <c r="AD253" s="39">
        <f t="shared" ca="1" si="165"/>
        <v>0</v>
      </c>
      <c r="AE253" s="39">
        <f t="shared" ca="1" si="165"/>
        <v>0</v>
      </c>
      <c r="AF253" s="39">
        <f t="shared" ca="1" si="165"/>
        <v>0</v>
      </c>
      <c r="AG253" s="39">
        <f t="shared" ca="1" si="165"/>
        <v>0</v>
      </c>
      <c r="AH253" s="39">
        <f t="shared" ca="1" si="165"/>
        <v>0</v>
      </c>
      <c r="AI253" s="39">
        <f t="shared" ca="1" si="165"/>
        <v>0</v>
      </c>
      <c r="AJ253" s="39">
        <f t="shared" ca="1" si="165"/>
        <v>0</v>
      </c>
      <c r="AK253" s="39">
        <f t="shared" ca="1" si="165"/>
        <v>0</v>
      </c>
      <c r="AL253" s="39">
        <f ca="1">AL252</f>
        <v>0</v>
      </c>
      <c r="AM253" s="39">
        <f ca="1">AM252</f>
        <v>0</v>
      </c>
      <c r="AN253" s="39">
        <f t="shared" ref="AN253:AX253" ca="1" si="166">AN252</f>
        <v>0</v>
      </c>
      <c r="AO253" s="39">
        <f t="shared" ca="1" si="166"/>
        <v>0</v>
      </c>
      <c r="AP253" s="39">
        <f t="shared" ca="1" si="166"/>
        <v>0</v>
      </c>
      <c r="AQ253" s="39">
        <f t="shared" ca="1" si="166"/>
        <v>0</v>
      </c>
      <c r="AR253" s="39">
        <f t="shared" ca="1" si="166"/>
        <v>0</v>
      </c>
      <c r="AS253" s="39">
        <f t="shared" ca="1" si="166"/>
        <v>0</v>
      </c>
      <c r="AT253" s="39">
        <f t="shared" ca="1" si="166"/>
        <v>0</v>
      </c>
      <c r="AU253" s="39">
        <f t="shared" ca="1" si="166"/>
        <v>0</v>
      </c>
      <c r="AV253" s="39">
        <f t="shared" ca="1" si="166"/>
        <v>0</v>
      </c>
      <c r="AW253" s="39">
        <f t="shared" ca="1" si="166"/>
        <v>0</v>
      </c>
      <c r="AX253" s="39">
        <f t="shared" ca="1" si="166"/>
        <v>0</v>
      </c>
      <c r="AY253" s="39">
        <f ca="1">AY252</f>
        <v>0</v>
      </c>
    </row>
    <row r="254" spans="1:51" ht="15.75" hidden="1" customHeight="1" outlineLevel="2">
      <c r="A254" s="1" t="s">
        <v>324</v>
      </c>
      <c r="C254" s="109"/>
      <c r="E254" s="9" t="str">
        <f ca="1">_xll.DBRW(Server&amp;"}ElementAttributes_Indicator",A254,"code_English")</f>
        <v>PL0000_TD - Technical department</v>
      </c>
      <c r="F254" s="33">
        <f ca="1">_xll.DBRW($C$1,$C$2,$C$3,$C$4,$C$6,$C$5,$C$7,F$1,F$2,$A254)</f>
        <v>0</v>
      </c>
      <c r="G254" s="33">
        <f ca="1">_xll.DBRW($C$1,$C$2,$C$3,$C$4,$C$6,$C$5,$C$7,G$1,G$2,$A254)</f>
        <v>0</v>
      </c>
      <c r="H254" s="33">
        <f ca="1">_xll.DBRW($C$1,$C$2,$C$3,$C$4,$C$6,$C$5,$C$7,H$1,H$2,$A254)</f>
        <v>0</v>
      </c>
      <c r="I254" s="33">
        <f ca="1">_xll.DBRW($C$1,$C$2,$C$3,$C$4,$C$6,$C$5,$C$7,I$1,I$2,$A254)</f>
        <v>0</v>
      </c>
      <c r="J254" s="33">
        <f ca="1">_xll.DBRW($C$1,$C$2,$C$3,$C$4,$C$6,$C$5,$C$7,J$1,J$2,$A254)</f>
        <v>0</v>
      </c>
      <c r="K254" s="33">
        <f ca="1">_xll.DBRW($C$1,$C$2,$C$3,$C$4,$C$6,$C$5,$C$7,K$1,K$2,$A254)</f>
        <v>0</v>
      </c>
      <c r="L254" s="33">
        <f ca="1">_xll.DBRW($C$1,$C$2,$C$3,$C$4,$C$6,$C$5,$C$7,L$1,L$2,$A254)</f>
        <v>0</v>
      </c>
      <c r="M254" s="33">
        <f ca="1">_xll.DBRW($C$1,$C$2,$C$3,$C$4,$C$6,$C$5,$C$7,M$1,M$2,$A254)</f>
        <v>0</v>
      </c>
      <c r="N254" s="33">
        <f ca="1">_xll.DBRW($C$1,$C$2,$C$3,$C$4,$C$6,$C$5,$C$7,N$1,N$2,$A254)</f>
        <v>0</v>
      </c>
      <c r="O254" s="33">
        <f ca="1">_xll.DBRW($C$1,$C$2,$C$3,$C$4,$C$6,$C$5,$C$7,O$1,O$2,$A254)</f>
        <v>0</v>
      </c>
      <c r="P254" s="33">
        <f ca="1">_xll.DBRW($C$1,$C$2,$C$3,$C$4,$C$6,$C$5,$C$7,P$1,P$2,$A254)</f>
        <v>0</v>
      </c>
      <c r="Q254" s="33">
        <f ca="1">_xll.DBRW($C$1,$C$2,$C$3,$C$4,$C$6,$C$5,$C$7,Q$1,Q$2,$A254)</f>
        <v>0</v>
      </c>
      <c r="R254" s="33">
        <f ca="1">_xll.DBRW($C$1,$C$2,$C$3,$C$4,$C$6,$C$5,$C$7,R$1,R$2,$A254)</f>
        <v>0</v>
      </c>
      <c r="S254" s="33">
        <f ca="1">_xll.DBRW($C$1,$C$2,$C$3,$C$4,$C$6,$C$5,$C$7,S$1,S$2,$A254)</f>
        <v>0</v>
      </c>
      <c r="T254" s="33">
        <f ca="1">_xll.DBRW($C$1,$C$2,$C$3,$C$4,$C$6,$C$5,$C$7,T$1,T$2,$A254)</f>
        <v>0</v>
      </c>
      <c r="U254" s="33">
        <f ca="1">_xll.DBRW($C$1,$C$2,$C$3,$C$4,$C$6,$C$5,$C$7,U$1,U$2,$A254)</f>
        <v>0</v>
      </c>
      <c r="V254" s="33">
        <f ca="1">_xll.DBRW($C$1,$C$2,$C$3,$C$4,$C$6,$C$5,$C$7,V$1,V$2,$A254)</f>
        <v>0</v>
      </c>
      <c r="W254" s="33">
        <f ca="1">_xll.DBRW($C$1,$C$2,$C$3,$C$4,$C$6,$C$5,$C$7,W$1,W$2,$A254)</f>
        <v>0</v>
      </c>
      <c r="X254" s="33">
        <f ca="1">_xll.DBRW($C$1,$C$2,$C$3,$C$4,$C$6,$C$5,$C$7,X$1,X$2,$A254)</f>
        <v>0</v>
      </c>
      <c r="Y254" s="33">
        <f ca="1">_xll.DBRW($C$1,$C$2,$C$3,$C$4,$C$6,$C$5,$C$7,Y$1,Y$2,$A254)</f>
        <v>0</v>
      </c>
      <c r="Z254" s="33">
        <f ca="1">_xll.DBRW($C$1,$C$2,$C$3,$C$4,$C$6,$C$5,$C$7,Z$1,Z$2,$A254)</f>
        <v>0</v>
      </c>
      <c r="AA254" s="33">
        <f ca="1">_xll.DBRW($C$1,$C$2,$C$3,$C$4,$C$6,$C$5,$C$7,AA$1,AA$2,$A254)</f>
        <v>0</v>
      </c>
      <c r="AB254" s="33">
        <f ca="1">_xll.DBRW($C$1,$C$2,$C$3,$C$4,$C$6,$C$5,$C$7,AB$1,AB$2,$A254)</f>
        <v>0</v>
      </c>
      <c r="AC254" s="33">
        <f ca="1">_xll.DBRW($C$1,$C$2,$C$3,$C$4,$C$6,$C$5,$C$7,AC$1,AC$2,$A254)</f>
        <v>0</v>
      </c>
      <c r="AD254" s="33">
        <f ca="1">_xll.DBRW($C$1,$C$2,$C$3,$C$4,$C$6,$C$5,$C$7,AD$1,AD$2,$A254)</f>
        <v>0</v>
      </c>
      <c r="AE254" s="33">
        <f ca="1">_xll.DBRW($C$1,$C$2,$C$3,$C$4,$C$6,$C$5,$C$7,AE$1,AE$2,$A254)</f>
        <v>0</v>
      </c>
      <c r="AF254" s="33">
        <f ca="1">_xll.DBRW($C$1,$C$2,$C$3,$C$4,$C$6,$C$5,$C$7,AF$1,AF$2,$A254)</f>
        <v>0</v>
      </c>
      <c r="AG254" s="33">
        <f ca="1">_xll.DBRW($C$1,$C$2,$C$3,$C$4,$C$6,$C$5,$C$7,AG$1,AG$2,$A254)</f>
        <v>0</v>
      </c>
      <c r="AH254" s="33">
        <f ca="1">_xll.DBRW($C$1,$C$2,$C$3,$C$4,$C$6,$C$5,$C$7,AH$1,AH$2,$A254)</f>
        <v>0</v>
      </c>
      <c r="AI254" s="33">
        <f ca="1">_xll.DBRW($C$1,$C$2,$C$3,$C$4,$C$6,$C$5,$C$7,AI$1,AI$2,$A254)</f>
        <v>0</v>
      </c>
      <c r="AJ254" s="33">
        <f ca="1">_xll.DBRW($C$1,$C$2,$C$3,$C$4,$C$6,$C$5,$C$7,AJ$1,AJ$2,$A254)</f>
        <v>0</v>
      </c>
      <c r="AK254" s="33">
        <f ca="1">_xll.DBRW($C$1,$C$2,$C$3,$C$4,$C$6,$C$5,$C$7,AK$1,AK$2,$A254)</f>
        <v>0</v>
      </c>
      <c r="AL254" s="33">
        <f ca="1">_xll.DBRW($C$1,$C$2,$C$3,$C$4,$C$6,$C$5,$C$7,AL$1,AL$2,$A254)</f>
        <v>0</v>
      </c>
      <c r="AM254" s="33">
        <f ca="1">_xll.DBRW($C$1,$C$2,$C$3,$C$4,$C$6,$C$5,$C$7,AM$1,AM$2,$A254)</f>
        <v>0</v>
      </c>
      <c r="AN254" s="33">
        <f ca="1">_xll.DBRW($C$1,$C$2,$C$3,$C$4,$C$6,$C$5,$C$7,AN$1,AN$2,$A254)</f>
        <v>0</v>
      </c>
      <c r="AO254" s="33">
        <f ca="1">_xll.DBRW($C$1,$C$2,$C$3,$C$4,$C$6,$C$5,$C$7,AO$1,AO$2,$A254)</f>
        <v>0</v>
      </c>
      <c r="AP254" s="33">
        <f ca="1">_xll.DBRW($C$1,$C$2,$C$3,$C$4,$C$6,$C$5,$C$7,AP$1,AP$2,$A254)</f>
        <v>0</v>
      </c>
      <c r="AQ254" s="33">
        <f ca="1">_xll.DBRW($C$1,$C$2,$C$3,$C$4,$C$6,$C$5,$C$7,AQ$1,AQ$2,$A254)</f>
        <v>0</v>
      </c>
      <c r="AR254" s="33">
        <f ca="1">_xll.DBRW($C$1,$C$2,$C$3,$C$4,$C$6,$C$5,$C$7,AR$1,AR$2,$A254)</f>
        <v>0</v>
      </c>
      <c r="AS254" s="33">
        <f ca="1">_xll.DBRW($C$1,$C$2,$C$3,$C$4,$C$6,$C$5,$C$7,AS$1,AS$2,$A254)</f>
        <v>0</v>
      </c>
      <c r="AT254" s="33">
        <f ca="1">_xll.DBRW($C$1,$C$2,$C$3,$C$4,$C$6,$C$5,$C$7,AT$1,AT$2,$A254)</f>
        <v>0</v>
      </c>
      <c r="AU254" s="33">
        <f ca="1">_xll.DBRW($C$1,$C$2,$C$3,$C$4,$C$6,$C$5,$C$7,AU$1,AU$2,$A254)</f>
        <v>0</v>
      </c>
      <c r="AV254" s="33">
        <f ca="1">_xll.DBRW($C$1,$C$2,$C$3,$C$4,$C$6,$C$5,$C$7,AV$1,AV$2,$A254)</f>
        <v>0</v>
      </c>
      <c r="AW254" s="33">
        <f ca="1">_xll.DBRW($C$1,$C$2,$C$3,$C$4,$C$6,$C$5,$C$7,AW$1,AW$2,$A254)</f>
        <v>0</v>
      </c>
      <c r="AX254" s="33">
        <f ca="1">_xll.DBRW($C$1,$C$2,$C$3,$C$4,$C$6,$C$5,$C$7,AX$1,AX$2,$A254)</f>
        <v>0</v>
      </c>
      <c r="AY254" s="33">
        <f ca="1">_xll.DBRW($C$1,$C$2,$C$3,$C$4,$C$6,$C$5,$C$7,AY$1,AY$2,$A254)</f>
        <v>0</v>
      </c>
    </row>
    <row r="255" spans="1:51" ht="15.5" hidden="1" outlineLevel="1" collapsed="1">
      <c r="C255" s="109"/>
      <c r="E255" s="84" t="s">
        <v>59</v>
      </c>
      <c r="F255" s="39">
        <f t="shared" ref="F255:M255" ca="1" si="167">F254</f>
        <v>0</v>
      </c>
      <c r="G255" s="39">
        <f t="shared" ca="1" si="167"/>
        <v>0</v>
      </c>
      <c r="H255" s="39">
        <f t="shared" ca="1" si="167"/>
        <v>0</v>
      </c>
      <c r="I255" s="39">
        <f t="shared" ca="1" si="167"/>
        <v>0</v>
      </c>
      <c r="J255" s="39">
        <f t="shared" ca="1" si="167"/>
        <v>0</v>
      </c>
      <c r="K255" s="39">
        <f t="shared" ca="1" si="167"/>
        <v>0</v>
      </c>
      <c r="L255" s="39">
        <f t="shared" ca="1" si="167"/>
        <v>0</v>
      </c>
      <c r="M255" s="39">
        <f t="shared" ca="1" si="167"/>
        <v>0</v>
      </c>
      <c r="N255" s="39">
        <f t="shared" ref="N255:X255" ca="1" si="168">N254</f>
        <v>0</v>
      </c>
      <c r="O255" s="39">
        <f t="shared" ca="1" si="168"/>
        <v>0</v>
      </c>
      <c r="P255" s="39">
        <f t="shared" ca="1" si="168"/>
        <v>0</v>
      </c>
      <c r="Q255" s="39">
        <f t="shared" ca="1" si="168"/>
        <v>0</v>
      </c>
      <c r="R255" s="39">
        <f t="shared" ca="1" si="168"/>
        <v>0</v>
      </c>
      <c r="S255" s="39">
        <f t="shared" ca="1" si="168"/>
        <v>0</v>
      </c>
      <c r="T255" s="39">
        <f t="shared" ca="1" si="168"/>
        <v>0</v>
      </c>
      <c r="U255" s="39">
        <f t="shared" ca="1" si="168"/>
        <v>0</v>
      </c>
      <c r="V255" s="39">
        <f t="shared" ca="1" si="168"/>
        <v>0</v>
      </c>
      <c r="W255" s="39">
        <f t="shared" ca="1" si="168"/>
        <v>0</v>
      </c>
      <c r="X255" s="39">
        <f t="shared" ca="1" si="168"/>
        <v>0</v>
      </c>
      <c r="Y255" s="39">
        <f ca="1">Y254</f>
        <v>0</v>
      </c>
      <c r="Z255" s="39">
        <f ca="1">Z254</f>
        <v>0</v>
      </c>
      <c r="AA255" s="39">
        <f t="shared" ref="AA255:AK255" ca="1" si="169">AA254</f>
        <v>0</v>
      </c>
      <c r="AB255" s="39">
        <f t="shared" ca="1" si="169"/>
        <v>0</v>
      </c>
      <c r="AC255" s="39">
        <f t="shared" ca="1" si="169"/>
        <v>0</v>
      </c>
      <c r="AD255" s="39">
        <f t="shared" ca="1" si="169"/>
        <v>0</v>
      </c>
      <c r="AE255" s="39">
        <f t="shared" ca="1" si="169"/>
        <v>0</v>
      </c>
      <c r="AF255" s="39">
        <f t="shared" ca="1" si="169"/>
        <v>0</v>
      </c>
      <c r="AG255" s="39">
        <f t="shared" ca="1" si="169"/>
        <v>0</v>
      </c>
      <c r="AH255" s="39">
        <f t="shared" ca="1" si="169"/>
        <v>0</v>
      </c>
      <c r="AI255" s="39">
        <f t="shared" ca="1" si="169"/>
        <v>0</v>
      </c>
      <c r="AJ255" s="39">
        <f t="shared" ca="1" si="169"/>
        <v>0</v>
      </c>
      <c r="AK255" s="39">
        <f t="shared" ca="1" si="169"/>
        <v>0</v>
      </c>
      <c r="AL255" s="39">
        <f ca="1">AL254</f>
        <v>0</v>
      </c>
      <c r="AM255" s="39">
        <f ca="1">AM254</f>
        <v>0</v>
      </c>
      <c r="AN255" s="39">
        <f t="shared" ref="AN255:AX255" ca="1" si="170">AN254</f>
        <v>0</v>
      </c>
      <c r="AO255" s="39">
        <f t="shared" ca="1" si="170"/>
        <v>0</v>
      </c>
      <c r="AP255" s="39">
        <f t="shared" ca="1" si="170"/>
        <v>0</v>
      </c>
      <c r="AQ255" s="39">
        <f t="shared" ca="1" si="170"/>
        <v>0</v>
      </c>
      <c r="AR255" s="39">
        <f t="shared" ca="1" si="170"/>
        <v>0</v>
      </c>
      <c r="AS255" s="39">
        <f t="shared" ca="1" si="170"/>
        <v>0</v>
      </c>
      <c r="AT255" s="39">
        <f t="shared" ca="1" si="170"/>
        <v>0</v>
      </c>
      <c r="AU255" s="39">
        <f t="shared" ca="1" si="170"/>
        <v>0</v>
      </c>
      <c r="AV255" s="39">
        <f t="shared" ca="1" si="170"/>
        <v>0</v>
      </c>
      <c r="AW255" s="39">
        <f t="shared" ca="1" si="170"/>
        <v>0</v>
      </c>
      <c r="AX255" s="39">
        <f t="shared" ca="1" si="170"/>
        <v>0</v>
      </c>
      <c r="AY255" s="39">
        <f ca="1">AY254</f>
        <v>0</v>
      </c>
    </row>
    <row r="256" spans="1:51" ht="15.75" hidden="1" customHeight="1" outlineLevel="2">
      <c r="A256" s="1" t="s">
        <v>325</v>
      </c>
      <c r="C256" s="109"/>
      <c r="E256" s="9" t="str">
        <f ca="1">_xll.DBRW(Server&amp;"}ElementAttributes_Indicator",A256,"code_English")</f>
        <v>PL0000_TM - Tax Management</v>
      </c>
      <c r="F256" s="33">
        <f ca="1">_xll.DBRW($C$1,$C$2,$C$3,$C$4,$C$6,$C$5,$C$7,F$1,F$2,$A256)</f>
        <v>0</v>
      </c>
      <c r="G256" s="33">
        <f ca="1">_xll.DBRW($C$1,$C$2,$C$3,$C$4,$C$6,$C$5,$C$7,G$1,G$2,$A256)</f>
        <v>0</v>
      </c>
      <c r="H256" s="33">
        <f ca="1">_xll.DBRW($C$1,$C$2,$C$3,$C$4,$C$6,$C$5,$C$7,H$1,H$2,$A256)</f>
        <v>0</v>
      </c>
      <c r="I256" s="33">
        <f ca="1">_xll.DBRW($C$1,$C$2,$C$3,$C$4,$C$6,$C$5,$C$7,I$1,I$2,$A256)</f>
        <v>0</v>
      </c>
      <c r="J256" s="33">
        <f ca="1">_xll.DBRW($C$1,$C$2,$C$3,$C$4,$C$6,$C$5,$C$7,J$1,J$2,$A256)</f>
        <v>0</v>
      </c>
      <c r="K256" s="33">
        <f ca="1">_xll.DBRW($C$1,$C$2,$C$3,$C$4,$C$6,$C$5,$C$7,K$1,K$2,$A256)</f>
        <v>0</v>
      </c>
      <c r="L256" s="33">
        <f ca="1">_xll.DBRW($C$1,$C$2,$C$3,$C$4,$C$6,$C$5,$C$7,L$1,L$2,$A256)</f>
        <v>0</v>
      </c>
      <c r="M256" s="33">
        <f ca="1">_xll.DBRW($C$1,$C$2,$C$3,$C$4,$C$6,$C$5,$C$7,M$1,M$2,$A256)</f>
        <v>0</v>
      </c>
      <c r="N256" s="33">
        <f ca="1">_xll.DBRW($C$1,$C$2,$C$3,$C$4,$C$6,$C$5,$C$7,N$1,N$2,$A256)</f>
        <v>0</v>
      </c>
      <c r="O256" s="33">
        <f ca="1">_xll.DBRW($C$1,$C$2,$C$3,$C$4,$C$6,$C$5,$C$7,O$1,O$2,$A256)</f>
        <v>0</v>
      </c>
      <c r="P256" s="33">
        <f ca="1">_xll.DBRW($C$1,$C$2,$C$3,$C$4,$C$6,$C$5,$C$7,P$1,P$2,$A256)</f>
        <v>0</v>
      </c>
      <c r="Q256" s="33">
        <f ca="1">_xll.DBRW($C$1,$C$2,$C$3,$C$4,$C$6,$C$5,$C$7,Q$1,Q$2,$A256)</f>
        <v>0</v>
      </c>
      <c r="R256" s="33">
        <f ca="1">_xll.DBRW($C$1,$C$2,$C$3,$C$4,$C$6,$C$5,$C$7,R$1,R$2,$A256)</f>
        <v>0</v>
      </c>
      <c r="S256" s="33">
        <f ca="1">_xll.DBRW($C$1,$C$2,$C$3,$C$4,$C$6,$C$5,$C$7,S$1,S$2,$A256)</f>
        <v>0</v>
      </c>
      <c r="T256" s="33">
        <f ca="1">_xll.DBRW($C$1,$C$2,$C$3,$C$4,$C$6,$C$5,$C$7,T$1,T$2,$A256)</f>
        <v>0</v>
      </c>
      <c r="U256" s="33">
        <f ca="1">_xll.DBRW($C$1,$C$2,$C$3,$C$4,$C$6,$C$5,$C$7,U$1,U$2,$A256)</f>
        <v>0</v>
      </c>
      <c r="V256" s="33">
        <f ca="1">_xll.DBRW($C$1,$C$2,$C$3,$C$4,$C$6,$C$5,$C$7,V$1,V$2,$A256)</f>
        <v>0</v>
      </c>
      <c r="W256" s="33">
        <f ca="1">_xll.DBRW($C$1,$C$2,$C$3,$C$4,$C$6,$C$5,$C$7,W$1,W$2,$A256)</f>
        <v>0</v>
      </c>
      <c r="X256" s="33">
        <f ca="1">_xll.DBRW($C$1,$C$2,$C$3,$C$4,$C$6,$C$5,$C$7,X$1,X$2,$A256)</f>
        <v>0</v>
      </c>
      <c r="Y256" s="33">
        <f ca="1">_xll.DBRW($C$1,$C$2,$C$3,$C$4,$C$6,$C$5,$C$7,Y$1,Y$2,$A256)</f>
        <v>0</v>
      </c>
      <c r="Z256" s="33">
        <f ca="1">_xll.DBRW($C$1,$C$2,$C$3,$C$4,$C$6,$C$5,$C$7,Z$1,Z$2,$A256)</f>
        <v>0</v>
      </c>
      <c r="AA256" s="33">
        <f ca="1">_xll.DBRW($C$1,$C$2,$C$3,$C$4,$C$6,$C$5,$C$7,AA$1,AA$2,$A256)</f>
        <v>0</v>
      </c>
      <c r="AB256" s="33">
        <f ca="1">_xll.DBRW($C$1,$C$2,$C$3,$C$4,$C$6,$C$5,$C$7,AB$1,AB$2,$A256)</f>
        <v>0</v>
      </c>
      <c r="AC256" s="33">
        <f ca="1">_xll.DBRW($C$1,$C$2,$C$3,$C$4,$C$6,$C$5,$C$7,AC$1,AC$2,$A256)</f>
        <v>0</v>
      </c>
      <c r="AD256" s="33">
        <f ca="1">_xll.DBRW($C$1,$C$2,$C$3,$C$4,$C$6,$C$5,$C$7,AD$1,AD$2,$A256)</f>
        <v>0</v>
      </c>
      <c r="AE256" s="33">
        <f ca="1">_xll.DBRW($C$1,$C$2,$C$3,$C$4,$C$6,$C$5,$C$7,AE$1,AE$2,$A256)</f>
        <v>0</v>
      </c>
      <c r="AF256" s="33">
        <f ca="1">_xll.DBRW($C$1,$C$2,$C$3,$C$4,$C$6,$C$5,$C$7,AF$1,AF$2,$A256)</f>
        <v>0</v>
      </c>
      <c r="AG256" s="33">
        <f ca="1">_xll.DBRW($C$1,$C$2,$C$3,$C$4,$C$6,$C$5,$C$7,AG$1,AG$2,$A256)</f>
        <v>0</v>
      </c>
      <c r="AH256" s="33">
        <f ca="1">_xll.DBRW($C$1,$C$2,$C$3,$C$4,$C$6,$C$5,$C$7,AH$1,AH$2,$A256)</f>
        <v>0</v>
      </c>
      <c r="AI256" s="33">
        <f ca="1">_xll.DBRW($C$1,$C$2,$C$3,$C$4,$C$6,$C$5,$C$7,AI$1,AI$2,$A256)</f>
        <v>0</v>
      </c>
      <c r="AJ256" s="33">
        <f ca="1">_xll.DBRW($C$1,$C$2,$C$3,$C$4,$C$6,$C$5,$C$7,AJ$1,AJ$2,$A256)</f>
        <v>0</v>
      </c>
      <c r="AK256" s="33">
        <f ca="1">_xll.DBRW($C$1,$C$2,$C$3,$C$4,$C$6,$C$5,$C$7,AK$1,AK$2,$A256)</f>
        <v>0</v>
      </c>
      <c r="AL256" s="33">
        <f ca="1">_xll.DBRW($C$1,$C$2,$C$3,$C$4,$C$6,$C$5,$C$7,AL$1,AL$2,$A256)</f>
        <v>0</v>
      </c>
      <c r="AM256" s="33">
        <f ca="1">_xll.DBRW($C$1,$C$2,$C$3,$C$4,$C$6,$C$5,$C$7,AM$1,AM$2,$A256)</f>
        <v>0</v>
      </c>
      <c r="AN256" s="33">
        <f ca="1">_xll.DBRW($C$1,$C$2,$C$3,$C$4,$C$6,$C$5,$C$7,AN$1,AN$2,$A256)</f>
        <v>0</v>
      </c>
      <c r="AO256" s="33">
        <f ca="1">_xll.DBRW($C$1,$C$2,$C$3,$C$4,$C$6,$C$5,$C$7,AO$1,AO$2,$A256)</f>
        <v>0</v>
      </c>
      <c r="AP256" s="33">
        <f ca="1">_xll.DBRW($C$1,$C$2,$C$3,$C$4,$C$6,$C$5,$C$7,AP$1,AP$2,$A256)</f>
        <v>0</v>
      </c>
      <c r="AQ256" s="33">
        <f ca="1">_xll.DBRW($C$1,$C$2,$C$3,$C$4,$C$6,$C$5,$C$7,AQ$1,AQ$2,$A256)</f>
        <v>0</v>
      </c>
      <c r="AR256" s="33">
        <f ca="1">_xll.DBRW($C$1,$C$2,$C$3,$C$4,$C$6,$C$5,$C$7,AR$1,AR$2,$A256)</f>
        <v>0</v>
      </c>
      <c r="AS256" s="33">
        <f ca="1">_xll.DBRW($C$1,$C$2,$C$3,$C$4,$C$6,$C$5,$C$7,AS$1,AS$2,$A256)</f>
        <v>0</v>
      </c>
      <c r="AT256" s="33">
        <f ca="1">_xll.DBRW($C$1,$C$2,$C$3,$C$4,$C$6,$C$5,$C$7,AT$1,AT$2,$A256)</f>
        <v>0</v>
      </c>
      <c r="AU256" s="33">
        <f ca="1">_xll.DBRW($C$1,$C$2,$C$3,$C$4,$C$6,$C$5,$C$7,AU$1,AU$2,$A256)</f>
        <v>0</v>
      </c>
      <c r="AV256" s="33">
        <f ca="1">_xll.DBRW($C$1,$C$2,$C$3,$C$4,$C$6,$C$5,$C$7,AV$1,AV$2,$A256)</f>
        <v>0</v>
      </c>
      <c r="AW256" s="33">
        <f ca="1">_xll.DBRW($C$1,$C$2,$C$3,$C$4,$C$6,$C$5,$C$7,AW$1,AW$2,$A256)</f>
        <v>0</v>
      </c>
      <c r="AX256" s="33">
        <f ca="1">_xll.DBRW($C$1,$C$2,$C$3,$C$4,$C$6,$C$5,$C$7,AX$1,AX$2,$A256)</f>
        <v>0</v>
      </c>
      <c r="AY256" s="33">
        <f ca="1">_xll.DBRW($C$1,$C$2,$C$3,$C$4,$C$6,$C$5,$C$7,AY$1,AY$2,$A256)</f>
        <v>0</v>
      </c>
    </row>
    <row r="257" spans="1:51" ht="15.5" hidden="1" outlineLevel="1" collapsed="1">
      <c r="C257" s="109"/>
      <c r="E257" s="84" t="s">
        <v>60</v>
      </c>
      <c r="F257" s="39">
        <f t="shared" ref="F257:M257" ca="1" si="171">F256</f>
        <v>0</v>
      </c>
      <c r="G257" s="39">
        <f t="shared" ca="1" si="171"/>
        <v>0</v>
      </c>
      <c r="H257" s="39">
        <f t="shared" ca="1" si="171"/>
        <v>0</v>
      </c>
      <c r="I257" s="39">
        <f t="shared" ca="1" si="171"/>
        <v>0</v>
      </c>
      <c r="J257" s="39">
        <f t="shared" ca="1" si="171"/>
        <v>0</v>
      </c>
      <c r="K257" s="39">
        <f t="shared" ca="1" si="171"/>
        <v>0</v>
      </c>
      <c r="L257" s="39">
        <f t="shared" ca="1" si="171"/>
        <v>0</v>
      </c>
      <c r="M257" s="39">
        <f t="shared" ca="1" si="171"/>
        <v>0</v>
      </c>
      <c r="N257" s="39">
        <f t="shared" ref="N257:X257" ca="1" si="172">N256</f>
        <v>0</v>
      </c>
      <c r="O257" s="39">
        <f t="shared" ca="1" si="172"/>
        <v>0</v>
      </c>
      <c r="P257" s="39">
        <f t="shared" ca="1" si="172"/>
        <v>0</v>
      </c>
      <c r="Q257" s="39">
        <f t="shared" ca="1" si="172"/>
        <v>0</v>
      </c>
      <c r="R257" s="39">
        <f t="shared" ca="1" si="172"/>
        <v>0</v>
      </c>
      <c r="S257" s="39">
        <f t="shared" ca="1" si="172"/>
        <v>0</v>
      </c>
      <c r="T257" s="39">
        <f t="shared" ca="1" si="172"/>
        <v>0</v>
      </c>
      <c r="U257" s="39">
        <f t="shared" ca="1" si="172"/>
        <v>0</v>
      </c>
      <c r="V257" s="39">
        <f t="shared" ca="1" si="172"/>
        <v>0</v>
      </c>
      <c r="W257" s="39">
        <f t="shared" ca="1" si="172"/>
        <v>0</v>
      </c>
      <c r="X257" s="39">
        <f t="shared" ca="1" si="172"/>
        <v>0</v>
      </c>
      <c r="Y257" s="39">
        <f ca="1">Y256</f>
        <v>0</v>
      </c>
      <c r="Z257" s="39">
        <f ca="1">Z256</f>
        <v>0</v>
      </c>
      <c r="AA257" s="39">
        <f t="shared" ref="AA257:AK257" ca="1" si="173">AA256</f>
        <v>0</v>
      </c>
      <c r="AB257" s="39">
        <f t="shared" ca="1" si="173"/>
        <v>0</v>
      </c>
      <c r="AC257" s="39">
        <f t="shared" ca="1" si="173"/>
        <v>0</v>
      </c>
      <c r="AD257" s="39">
        <f t="shared" ca="1" si="173"/>
        <v>0</v>
      </c>
      <c r="AE257" s="39">
        <f t="shared" ca="1" si="173"/>
        <v>0</v>
      </c>
      <c r="AF257" s="39">
        <f t="shared" ca="1" si="173"/>
        <v>0</v>
      </c>
      <c r="AG257" s="39">
        <f t="shared" ca="1" si="173"/>
        <v>0</v>
      </c>
      <c r="AH257" s="39">
        <f t="shared" ca="1" si="173"/>
        <v>0</v>
      </c>
      <c r="AI257" s="39">
        <f t="shared" ca="1" si="173"/>
        <v>0</v>
      </c>
      <c r="AJ257" s="39">
        <f t="shared" ca="1" si="173"/>
        <v>0</v>
      </c>
      <c r="AK257" s="39">
        <f t="shared" ca="1" si="173"/>
        <v>0</v>
      </c>
      <c r="AL257" s="39">
        <f ca="1">AL256</f>
        <v>0</v>
      </c>
      <c r="AM257" s="39">
        <f ca="1">AM256</f>
        <v>0</v>
      </c>
      <c r="AN257" s="39">
        <f t="shared" ref="AN257:AX257" ca="1" si="174">AN256</f>
        <v>0</v>
      </c>
      <c r="AO257" s="39">
        <f t="shared" ca="1" si="174"/>
        <v>0</v>
      </c>
      <c r="AP257" s="39">
        <f t="shared" ca="1" si="174"/>
        <v>0</v>
      </c>
      <c r="AQ257" s="39">
        <f t="shared" ca="1" si="174"/>
        <v>0</v>
      </c>
      <c r="AR257" s="39">
        <f t="shared" ca="1" si="174"/>
        <v>0</v>
      </c>
      <c r="AS257" s="39">
        <f t="shared" ca="1" si="174"/>
        <v>0</v>
      </c>
      <c r="AT257" s="39">
        <f t="shared" ca="1" si="174"/>
        <v>0</v>
      </c>
      <c r="AU257" s="39">
        <f t="shared" ca="1" si="174"/>
        <v>0</v>
      </c>
      <c r="AV257" s="39">
        <f t="shared" ca="1" si="174"/>
        <v>0</v>
      </c>
      <c r="AW257" s="39">
        <f t="shared" ca="1" si="174"/>
        <v>0</v>
      </c>
      <c r="AX257" s="39">
        <f t="shared" ca="1" si="174"/>
        <v>0</v>
      </c>
      <c r="AY257" s="39">
        <f ca="1">AY256</f>
        <v>0</v>
      </c>
    </row>
    <row r="258" spans="1:51" ht="15.75" hidden="1" customHeight="1" outlineLevel="2">
      <c r="A258" s="1" t="s">
        <v>326</v>
      </c>
      <c r="C258" s="109"/>
      <c r="E258" s="9" t="str">
        <f ca="1">_xll.DBRW(Server&amp;"}ElementAttributes_Indicator",A258,"code_English")</f>
        <v>PL0000_MGF - Management fees</v>
      </c>
      <c r="F258" s="33">
        <f ca="1">_xll.DBRW($C$1,$C$2,$C$3,$C$4,$C$6,$C$5,$C$7,F$1,F$2,$A258)</f>
        <v>0</v>
      </c>
      <c r="G258" s="33">
        <f ca="1">_xll.DBRW($C$1,$C$2,$C$3,$C$4,$C$6,$C$5,$C$7,G$1,G$2,$A258)</f>
        <v>0</v>
      </c>
      <c r="H258" s="33">
        <f ca="1">_xll.DBRW($C$1,$C$2,$C$3,$C$4,$C$6,$C$5,$C$7,H$1,H$2,$A258)</f>
        <v>0</v>
      </c>
      <c r="I258" s="33">
        <f ca="1">_xll.DBRW($C$1,$C$2,$C$3,$C$4,$C$6,$C$5,$C$7,I$1,I$2,$A258)</f>
        <v>0</v>
      </c>
      <c r="J258" s="33">
        <f ca="1">_xll.DBRW($C$1,$C$2,$C$3,$C$4,$C$6,$C$5,$C$7,J$1,J$2,$A258)</f>
        <v>0</v>
      </c>
      <c r="K258" s="33">
        <f ca="1">_xll.DBRW($C$1,$C$2,$C$3,$C$4,$C$6,$C$5,$C$7,K$1,K$2,$A258)</f>
        <v>0</v>
      </c>
      <c r="L258" s="33">
        <f ca="1">_xll.DBRW($C$1,$C$2,$C$3,$C$4,$C$6,$C$5,$C$7,L$1,L$2,$A258)</f>
        <v>0</v>
      </c>
      <c r="M258" s="33">
        <f ca="1">_xll.DBRW($C$1,$C$2,$C$3,$C$4,$C$6,$C$5,$C$7,M$1,M$2,$A258)</f>
        <v>0</v>
      </c>
      <c r="N258" s="33">
        <f ca="1">_xll.DBRW($C$1,$C$2,$C$3,$C$4,$C$6,$C$5,$C$7,N$1,N$2,$A258)</f>
        <v>0</v>
      </c>
      <c r="O258" s="33">
        <f ca="1">_xll.DBRW($C$1,$C$2,$C$3,$C$4,$C$6,$C$5,$C$7,O$1,O$2,$A258)</f>
        <v>0</v>
      </c>
      <c r="P258" s="33">
        <f ca="1">_xll.DBRW($C$1,$C$2,$C$3,$C$4,$C$6,$C$5,$C$7,P$1,P$2,$A258)</f>
        <v>0</v>
      </c>
      <c r="Q258" s="33">
        <f ca="1">_xll.DBRW($C$1,$C$2,$C$3,$C$4,$C$6,$C$5,$C$7,Q$1,Q$2,$A258)</f>
        <v>0</v>
      </c>
      <c r="R258" s="33">
        <f ca="1">_xll.DBRW($C$1,$C$2,$C$3,$C$4,$C$6,$C$5,$C$7,R$1,R$2,$A258)</f>
        <v>0</v>
      </c>
      <c r="S258" s="33">
        <f ca="1">_xll.DBRW($C$1,$C$2,$C$3,$C$4,$C$6,$C$5,$C$7,S$1,S$2,$A258)</f>
        <v>0</v>
      </c>
      <c r="T258" s="33">
        <f ca="1">_xll.DBRW($C$1,$C$2,$C$3,$C$4,$C$6,$C$5,$C$7,T$1,T$2,$A258)</f>
        <v>0</v>
      </c>
      <c r="U258" s="33">
        <f ca="1">_xll.DBRW($C$1,$C$2,$C$3,$C$4,$C$6,$C$5,$C$7,U$1,U$2,$A258)</f>
        <v>0</v>
      </c>
      <c r="V258" s="33">
        <f ca="1">_xll.DBRW($C$1,$C$2,$C$3,$C$4,$C$6,$C$5,$C$7,V$1,V$2,$A258)</f>
        <v>0</v>
      </c>
      <c r="W258" s="33">
        <f ca="1">_xll.DBRW($C$1,$C$2,$C$3,$C$4,$C$6,$C$5,$C$7,W$1,W$2,$A258)</f>
        <v>0</v>
      </c>
      <c r="X258" s="33">
        <f ca="1">_xll.DBRW($C$1,$C$2,$C$3,$C$4,$C$6,$C$5,$C$7,X$1,X$2,$A258)</f>
        <v>0</v>
      </c>
      <c r="Y258" s="33">
        <f ca="1">_xll.DBRW($C$1,$C$2,$C$3,$C$4,$C$6,$C$5,$C$7,Y$1,Y$2,$A258)</f>
        <v>0</v>
      </c>
      <c r="Z258" s="33">
        <f ca="1">_xll.DBRW($C$1,$C$2,$C$3,$C$4,$C$6,$C$5,$C$7,Z$1,Z$2,$A258)</f>
        <v>0</v>
      </c>
      <c r="AA258" s="33">
        <f ca="1">_xll.DBRW($C$1,$C$2,$C$3,$C$4,$C$6,$C$5,$C$7,AA$1,AA$2,$A258)</f>
        <v>0</v>
      </c>
      <c r="AB258" s="33">
        <f ca="1">_xll.DBRW($C$1,$C$2,$C$3,$C$4,$C$6,$C$5,$C$7,AB$1,AB$2,$A258)</f>
        <v>0</v>
      </c>
      <c r="AC258" s="33">
        <f ca="1">_xll.DBRW($C$1,$C$2,$C$3,$C$4,$C$6,$C$5,$C$7,AC$1,AC$2,$A258)</f>
        <v>0</v>
      </c>
      <c r="AD258" s="33">
        <f ca="1">_xll.DBRW($C$1,$C$2,$C$3,$C$4,$C$6,$C$5,$C$7,AD$1,AD$2,$A258)</f>
        <v>0</v>
      </c>
      <c r="AE258" s="33">
        <f ca="1">_xll.DBRW($C$1,$C$2,$C$3,$C$4,$C$6,$C$5,$C$7,AE$1,AE$2,$A258)</f>
        <v>0</v>
      </c>
      <c r="AF258" s="33">
        <f ca="1">_xll.DBRW($C$1,$C$2,$C$3,$C$4,$C$6,$C$5,$C$7,AF$1,AF$2,$A258)</f>
        <v>0</v>
      </c>
      <c r="AG258" s="33">
        <f ca="1">_xll.DBRW($C$1,$C$2,$C$3,$C$4,$C$6,$C$5,$C$7,AG$1,AG$2,$A258)</f>
        <v>0</v>
      </c>
      <c r="AH258" s="33">
        <f ca="1">_xll.DBRW($C$1,$C$2,$C$3,$C$4,$C$6,$C$5,$C$7,AH$1,AH$2,$A258)</f>
        <v>0</v>
      </c>
      <c r="AI258" s="33">
        <f ca="1">_xll.DBRW($C$1,$C$2,$C$3,$C$4,$C$6,$C$5,$C$7,AI$1,AI$2,$A258)</f>
        <v>0</v>
      </c>
      <c r="AJ258" s="33">
        <f ca="1">_xll.DBRW($C$1,$C$2,$C$3,$C$4,$C$6,$C$5,$C$7,AJ$1,AJ$2,$A258)</f>
        <v>0</v>
      </c>
      <c r="AK258" s="33">
        <f ca="1">_xll.DBRW($C$1,$C$2,$C$3,$C$4,$C$6,$C$5,$C$7,AK$1,AK$2,$A258)</f>
        <v>0</v>
      </c>
      <c r="AL258" s="33">
        <f ca="1">_xll.DBRW($C$1,$C$2,$C$3,$C$4,$C$6,$C$5,$C$7,AL$1,AL$2,$A258)</f>
        <v>0</v>
      </c>
      <c r="AM258" s="33">
        <f ca="1">_xll.DBRW($C$1,$C$2,$C$3,$C$4,$C$6,$C$5,$C$7,AM$1,AM$2,$A258)</f>
        <v>0</v>
      </c>
      <c r="AN258" s="33">
        <f ca="1">_xll.DBRW($C$1,$C$2,$C$3,$C$4,$C$6,$C$5,$C$7,AN$1,AN$2,$A258)</f>
        <v>0</v>
      </c>
      <c r="AO258" s="33">
        <f ca="1">_xll.DBRW($C$1,$C$2,$C$3,$C$4,$C$6,$C$5,$C$7,AO$1,AO$2,$A258)</f>
        <v>0</v>
      </c>
      <c r="AP258" s="33">
        <f ca="1">_xll.DBRW($C$1,$C$2,$C$3,$C$4,$C$6,$C$5,$C$7,AP$1,AP$2,$A258)</f>
        <v>0</v>
      </c>
      <c r="AQ258" s="33">
        <f ca="1">_xll.DBRW($C$1,$C$2,$C$3,$C$4,$C$6,$C$5,$C$7,AQ$1,AQ$2,$A258)</f>
        <v>0</v>
      </c>
      <c r="AR258" s="33">
        <f ca="1">_xll.DBRW($C$1,$C$2,$C$3,$C$4,$C$6,$C$5,$C$7,AR$1,AR$2,$A258)</f>
        <v>0</v>
      </c>
      <c r="AS258" s="33">
        <f ca="1">_xll.DBRW($C$1,$C$2,$C$3,$C$4,$C$6,$C$5,$C$7,AS$1,AS$2,$A258)</f>
        <v>0</v>
      </c>
      <c r="AT258" s="33">
        <f ca="1">_xll.DBRW($C$1,$C$2,$C$3,$C$4,$C$6,$C$5,$C$7,AT$1,AT$2,$A258)</f>
        <v>0</v>
      </c>
      <c r="AU258" s="33">
        <f ca="1">_xll.DBRW($C$1,$C$2,$C$3,$C$4,$C$6,$C$5,$C$7,AU$1,AU$2,$A258)</f>
        <v>0</v>
      </c>
      <c r="AV258" s="33">
        <f ca="1">_xll.DBRW($C$1,$C$2,$C$3,$C$4,$C$6,$C$5,$C$7,AV$1,AV$2,$A258)</f>
        <v>0</v>
      </c>
      <c r="AW258" s="33">
        <f ca="1">_xll.DBRW($C$1,$C$2,$C$3,$C$4,$C$6,$C$5,$C$7,AW$1,AW$2,$A258)</f>
        <v>0</v>
      </c>
      <c r="AX258" s="33">
        <f ca="1">_xll.DBRW($C$1,$C$2,$C$3,$C$4,$C$6,$C$5,$C$7,AX$1,AX$2,$A258)</f>
        <v>0</v>
      </c>
      <c r="AY258" s="33">
        <f ca="1">_xll.DBRW($C$1,$C$2,$C$3,$C$4,$C$6,$C$5,$C$7,AY$1,AY$2,$A258)</f>
        <v>0</v>
      </c>
    </row>
    <row r="259" spans="1:51" ht="15.5" hidden="1" outlineLevel="1" collapsed="1">
      <c r="C259" s="109"/>
      <c r="E259" s="84" t="s">
        <v>61</v>
      </c>
      <c r="F259" s="39">
        <f t="shared" ref="F259:M259" ca="1" si="175">F258</f>
        <v>0</v>
      </c>
      <c r="G259" s="39">
        <f t="shared" ca="1" si="175"/>
        <v>0</v>
      </c>
      <c r="H259" s="39">
        <f t="shared" ca="1" si="175"/>
        <v>0</v>
      </c>
      <c r="I259" s="39">
        <f t="shared" ca="1" si="175"/>
        <v>0</v>
      </c>
      <c r="J259" s="39">
        <f t="shared" ca="1" si="175"/>
        <v>0</v>
      </c>
      <c r="K259" s="39">
        <f t="shared" ca="1" si="175"/>
        <v>0</v>
      </c>
      <c r="L259" s="39">
        <f t="shared" ca="1" si="175"/>
        <v>0</v>
      </c>
      <c r="M259" s="39">
        <f t="shared" ca="1" si="175"/>
        <v>0</v>
      </c>
      <c r="N259" s="39">
        <f t="shared" ref="N259:X259" ca="1" si="176">N258</f>
        <v>0</v>
      </c>
      <c r="O259" s="39">
        <f t="shared" ca="1" si="176"/>
        <v>0</v>
      </c>
      <c r="P259" s="39">
        <f t="shared" ca="1" si="176"/>
        <v>0</v>
      </c>
      <c r="Q259" s="39">
        <f t="shared" ca="1" si="176"/>
        <v>0</v>
      </c>
      <c r="R259" s="39">
        <f t="shared" ca="1" si="176"/>
        <v>0</v>
      </c>
      <c r="S259" s="39">
        <f t="shared" ca="1" si="176"/>
        <v>0</v>
      </c>
      <c r="T259" s="39">
        <f t="shared" ca="1" si="176"/>
        <v>0</v>
      </c>
      <c r="U259" s="39">
        <f t="shared" ca="1" si="176"/>
        <v>0</v>
      </c>
      <c r="V259" s="39">
        <f t="shared" ca="1" si="176"/>
        <v>0</v>
      </c>
      <c r="W259" s="39">
        <f t="shared" ca="1" si="176"/>
        <v>0</v>
      </c>
      <c r="X259" s="39">
        <f t="shared" ca="1" si="176"/>
        <v>0</v>
      </c>
      <c r="Y259" s="39">
        <f ca="1">Y258</f>
        <v>0</v>
      </c>
      <c r="Z259" s="39">
        <f ca="1">Z258</f>
        <v>0</v>
      </c>
      <c r="AA259" s="39">
        <f t="shared" ref="AA259:AK259" ca="1" si="177">AA258</f>
        <v>0</v>
      </c>
      <c r="AB259" s="39">
        <f t="shared" ca="1" si="177"/>
        <v>0</v>
      </c>
      <c r="AC259" s="39">
        <f t="shared" ca="1" si="177"/>
        <v>0</v>
      </c>
      <c r="AD259" s="39">
        <f t="shared" ca="1" si="177"/>
        <v>0</v>
      </c>
      <c r="AE259" s="39">
        <f t="shared" ca="1" si="177"/>
        <v>0</v>
      </c>
      <c r="AF259" s="39">
        <f t="shared" ca="1" si="177"/>
        <v>0</v>
      </c>
      <c r="AG259" s="39">
        <f t="shared" ca="1" si="177"/>
        <v>0</v>
      </c>
      <c r="AH259" s="39">
        <f t="shared" ca="1" si="177"/>
        <v>0</v>
      </c>
      <c r="AI259" s="39">
        <f t="shared" ca="1" si="177"/>
        <v>0</v>
      </c>
      <c r="AJ259" s="39">
        <f t="shared" ca="1" si="177"/>
        <v>0</v>
      </c>
      <c r="AK259" s="39">
        <f t="shared" ca="1" si="177"/>
        <v>0</v>
      </c>
      <c r="AL259" s="39">
        <f ca="1">AL258</f>
        <v>0</v>
      </c>
      <c r="AM259" s="39">
        <f ca="1">AM258</f>
        <v>0</v>
      </c>
      <c r="AN259" s="39">
        <f t="shared" ref="AN259:AX259" ca="1" si="178">AN258</f>
        <v>0</v>
      </c>
      <c r="AO259" s="39">
        <f t="shared" ca="1" si="178"/>
        <v>0</v>
      </c>
      <c r="AP259" s="39">
        <f t="shared" ca="1" si="178"/>
        <v>0</v>
      </c>
      <c r="AQ259" s="39">
        <f t="shared" ca="1" si="178"/>
        <v>0</v>
      </c>
      <c r="AR259" s="39">
        <f t="shared" ca="1" si="178"/>
        <v>0</v>
      </c>
      <c r="AS259" s="39">
        <f t="shared" ca="1" si="178"/>
        <v>0</v>
      </c>
      <c r="AT259" s="39">
        <f t="shared" ca="1" si="178"/>
        <v>0</v>
      </c>
      <c r="AU259" s="39">
        <f t="shared" ca="1" si="178"/>
        <v>0</v>
      </c>
      <c r="AV259" s="39">
        <f t="shared" ca="1" si="178"/>
        <v>0</v>
      </c>
      <c r="AW259" s="39">
        <f t="shared" ca="1" si="178"/>
        <v>0</v>
      </c>
      <c r="AX259" s="39">
        <f t="shared" ca="1" si="178"/>
        <v>0</v>
      </c>
      <c r="AY259" s="39">
        <f ca="1">AY258</f>
        <v>0</v>
      </c>
    </row>
    <row r="260" spans="1:51" ht="15.75" hidden="1" customHeight="1" outlineLevel="2">
      <c r="A260" s="1" t="s">
        <v>327</v>
      </c>
      <c r="C260" s="109"/>
      <c r="E260" s="9" t="str">
        <f ca="1">_xll.DBRW(Server&amp;"}ElementAttributes_Indicator",A260,"code_English")</f>
        <v>PL0000_TPL13 - G&amp;A Overhead costs - Vector Reconciliation</v>
      </c>
      <c r="F260" s="33">
        <f ca="1">_xll.DBRW($C$1,$C$2,$C$3,$C$4,$C$6,$C$5,$C$7,F$1,F$2,$A260)</f>
        <v>0</v>
      </c>
      <c r="G260" s="33">
        <f ca="1">_xll.DBRW($C$1,$C$2,$C$3,$C$4,$C$6,$C$5,$C$7,G$1,G$2,$A260)</f>
        <v>0</v>
      </c>
      <c r="H260" s="33">
        <f ca="1">_xll.DBRW($C$1,$C$2,$C$3,$C$4,$C$6,$C$5,$C$7,H$1,H$2,$A260)</f>
        <v>0</v>
      </c>
      <c r="I260" s="33">
        <f ca="1">_xll.DBRW($C$1,$C$2,$C$3,$C$4,$C$6,$C$5,$C$7,I$1,I$2,$A260)</f>
        <v>0</v>
      </c>
      <c r="J260" s="33">
        <f ca="1">_xll.DBRW($C$1,$C$2,$C$3,$C$4,$C$6,$C$5,$C$7,J$1,J$2,$A260)</f>
        <v>0</v>
      </c>
      <c r="K260" s="33">
        <f ca="1">_xll.DBRW($C$1,$C$2,$C$3,$C$4,$C$6,$C$5,$C$7,K$1,K$2,$A260)</f>
        <v>0</v>
      </c>
      <c r="L260" s="33">
        <f ca="1">_xll.DBRW($C$1,$C$2,$C$3,$C$4,$C$6,$C$5,$C$7,L$1,L$2,$A260)</f>
        <v>0</v>
      </c>
      <c r="M260" s="33">
        <f ca="1">_xll.DBRW($C$1,$C$2,$C$3,$C$4,$C$6,$C$5,$C$7,M$1,M$2,$A260)</f>
        <v>0</v>
      </c>
      <c r="N260" s="33">
        <f ca="1">_xll.DBRW($C$1,$C$2,$C$3,$C$4,$C$6,$C$5,$C$7,N$1,N$2,$A260)</f>
        <v>0</v>
      </c>
      <c r="O260" s="33">
        <f ca="1">_xll.DBRW($C$1,$C$2,$C$3,$C$4,$C$6,$C$5,$C$7,O$1,O$2,$A260)</f>
        <v>0</v>
      </c>
      <c r="P260" s="33">
        <f ca="1">_xll.DBRW($C$1,$C$2,$C$3,$C$4,$C$6,$C$5,$C$7,P$1,P$2,$A260)</f>
        <v>0</v>
      </c>
      <c r="Q260" s="33">
        <f ca="1">_xll.DBRW($C$1,$C$2,$C$3,$C$4,$C$6,$C$5,$C$7,Q$1,Q$2,$A260)</f>
        <v>0</v>
      </c>
      <c r="R260" s="33">
        <f ca="1">_xll.DBRW($C$1,$C$2,$C$3,$C$4,$C$6,$C$5,$C$7,R$1,R$2,$A260)</f>
        <v>0</v>
      </c>
      <c r="S260" s="33">
        <f ca="1">_xll.DBRW($C$1,$C$2,$C$3,$C$4,$C$6,$C$5,$C$7,S$1,S$2,$A260)</f>
        <v>0</v>
      </c>
      <c r="T260" s="33">
        <f ca="1">_xll.DBRW($C$1,$C$2,$C$3,$C$4,$C$6,$C$5,$C$7,T$1,T$2,$A260)</f>
        <v>0</v>
      </c>
      <c r="U260" s="33">
        <f ca="1">_xll.DBRW($C$1,$C$2,$C$3,$C$4,$C$6,$C$5,$C$7,U$1,U$2,$A260)</f>
        <v>0</v>
      </c>
      <c r="V260" s="33">
        <f ca="1">_xll.DBRW($C$1,$C$2,$C$3,$C$4,$C$6,$C$5,$C$7,V$1,V$2,$A260)</f>
        <v>0</v>
      </c>
      <c r="W260" s="33">
        <f ca="1">_xll.DBRW($C$1,$C$2,$C$3,$C$4,$C$6,$C$5,$C$7,W$1,W$2,$A260)</f>
        <v>0</v>
      </c>
      <c r="X260" s="33">
        <f ca="1">_xll.DBRW($C$1,$C$2,$C$3,$C$4,$C$6,$C$5,$C$7,X$1,X$2,$A260)</f>
        <v>0</v>
      </c>
      <c r="Y260" s="33">
        <f ca="1">_xll.DBRW($C$1,$C$2,$C$3,$C$4,$C$6,$C$5,$C$7,Y$1,Y$2,$A260)</f>
        <v>0</v>
      </c>
      <c r="Z260" s="33">
        <f ca="1">_xll.DBRW($C$1,$C$2,$C$3,$C$4,$C$6,$C$5,$C$7,Z$1,Z$2,$A260)</f>
        <v>0</v>
      </c>
      <c r="AA260" s="33">
        <f ca="1">_xll.DBRW($C$1,$C$2,$C$3,$C$4,$C$6,$C$5,$C$7,AA$1,AA$2,$A260)</f>
        <v>0</v>
      </c>
      <c r="AB260" s="33">
        <f ca="1">_xll.DBRW($C$1,$C$2,$C$3,$C$4,$C$6,$C$5,$C$7,AB$1,AB$2,$A260)</f>
        <v>0</v>
      </c>
      <c r="AC260" s="33">
        <f ca="1">_xll.DBRW($C$1,$C$2,$C$3,$C$4,$C$6,$C$5,$C$7,AC$1,AC$2,$A260)</f>
        <v>0</v>
      </c>
      <c r="AD260" s="33">
        <f ca="1">_xll.DBRW($C$1,$C$2,$C$3,$C$4,$C$6,$C$5,$C$7,AD$1,AD$2,$A260)</f>
        <v>0</v>
      </c>
      <c r="AE260" s="33">
        <f ca="1">_xll.DBRW($C$1,$C$2,$C$3,$C$4,$C$6,$C$5,$C$7,AE$1,AE$2,$A260)</f>
        <v>0</v>
      </c>
      <c r="AF260" s="33">
        <f ca="1">_xll.DBRW($C$1,$C$2,$C$3,$C$4,$C$6,$C$5,$C$7,AF$1,AF$2,$A260)</f>
        <v>0</v>
      </c>
      <c r="AG260" s="33">
        <f ca="1">_xll.DBRW($C$1,$C$2,$C$3,$C$4,$C$6,$C$5,$C$7,AG$1,AG$2,$A260)</f>
        <v>0</v>
      </c>
      <c r="AH260" s="33">
        <f ca="1">_xll.DBRW($C$1,$C$2,$C$3,$C$4,$C$6,$C$5,$C$7,AH$1,AH$2,$A260)</f>
        <v>0</v>
      </c>
      <c r="AI260" s="33">
        <f ca="1">_xll.DBRW($C$1,$C$2,$C$3,$C$4,$C$6,$C$5,$C$7,AI$1,AI$2,$A260)</f>
        <v>0</v>
      </c>
      <c r="AJ260" s="33">
        <f ca="1">_xll.DBRW($C$1,$C$2,$C$3,$C$4,$C$6,$C$5,$C$7,AJ$1,AJ$2,$A260)</f>
        <v>0</v>
      </c>
      <c r="AK260" s="33">
        <f ca="1">_xll.DBRW($C$1,$C$2,$C$3,$C$4,$C$6,$C$5,$C$7,AK$1,AK$2,$A260)</f>
        <v>0</v>
      </c>
      <c r="AL260" s="33">
        <f ca="1">_xll.DBRW($C$1,$C$2,$C$3,$C$4,$C$6,$C$5,$C$7,AL$1,AL$2,$A260)</f>
        <v>0</v>
      </c>
      <c r="AM260" s="33">
        <f ca="1">_xll.DBRW($C$1,$C$2,$C$3,$C$4,$C$6,$C$5,$C$7,AM$1,AM$2,$A260)</f>
        <v>0</v>
      </c>
      <c r="AN260" s="33">
        <f ca="1">_xll.DBRW($C$1,$C$2,$C$3,$C$4,$C$6,$C$5,$C$7,AN$1,AN$2,$A260)</f>
        <v>0</v>
      </c>
      <c r="AO260" s="33">
        <f ca="1">_xll.DBRW($C$1,$C$2,$C$3,$C$4,$C$6,$C$5,$C$7,AO$1,AO$2,$A260)</f>
        <v>0</v>
      </c>
      <c r="AP260" s="33">
        <f ca="1">_xll.DBRW($C$1,$C$2,$C$3,$C$4,$C$6,$C$5,$C$7,AP$1,AP$2,$A260)</f>
        <v>0</v>
      </c>
      <c r="AQ260" s="33">
        <f ca="1">_xll.DBRW($C$1,$C$2,$C$3,$C$4,$C$6,$C$5,$C$7,AQ$1,AQ$2,$A260)</f>
        <v>0</v>
      </c>
      <c r="AR260" s="33">
        <f ca="1">_xll.DBRW($C$1,$C$2,$C$3,$C$4,$C$6,$C$5,$C$7,AR$1,AR$2,$A260)</f>
        <v>0</v>
      </c>
      <c r="AS260" s="33">
        <f ca="1">_xll.DBRW($C$1,$C$2,$C$3,$C$4,$C$6,$C$5,$C$7,AS$1,AS$2,$A260)</f>
        <v>0</v>
      </c>
      <c r="AT260" s="33">
        <f ca="1">_xll.DBRW($C$1,$C$2,$C$3,$C$4,$C$6,$C$5,$C$7,AT$1,AT$2,$A260)</f>
        <v>0</v>
      </c>
      <c r="AU260" s="33">
        <f ca="1">_xll.DBRW($C$1,$C$2,$C$3,$C$4,$C$6,$C$5,$C$7,AU$1,AU$2,$A260)</f>
        <v>0</v>
      </c>
      <c r="AV260" s="33">
        <f ca="1">_xll.DBRW($C$1,$C$2,$C$3,$C$4,$C$6,$C$5,$C$7,AV$1,AV$2,$A260)</f>
        <v>0</v>
      </c>
      <c r="AW260" s="33">
        <f ca="1">_xll.DBRW($C$1,$C$2,$C$3,$C$4,$C$6,$C$5,$C$7,AW$1,AW$2,$A260)</f>
        <v>0</v>
      </c>
      <c r="AX260" s="33">
        <f ca="1">_xll.DBRW($C$1,$C$2,$C$3,$C$4,$C$6,$C$5,$C$7,AX$1,AX$2,$A260)</f>
        <v>0</v>
      </c>
      <c r="AY260" s="33">
        <f ca="1">_xll.DBRW($C$1,$C$2,$C$3,$C$4,$C$6,$C$5,$C$7,AY$1,AY$2,$A260)</f>
        <v>0</v>
      </c>
    </row>
    <row r="261" spans="1:51" ht="14.5" hidden="1" outlineLevel="1" collapsed="1">
      <c r="A261" s="1" t="s">
        <v>142</v>
      </c>
      <c r="C261" s="109"/>
      <c r="E261" s="23" t="s">
        <v>62</v>
      </c>
      <c r="F261" s="36">
        <f t="shared" ref="F261:L261" ca="1" si="179">F260</f>
        <v>0</v>
      </c>
      <c r="G261" s="36">
        <f t="shared" ca="1" si="179"/>
        <v>0</v>
      </c>
      <c r="H261" s="36">
        <f t="shared" ca="1" si="179"/>
        <v>0</v>
      </c>
      <c r="I261" s="36">
        <f t="shared" ca="1" si="179"/>
        <v>0</v>
      </c>
      <c r="J261" s="36">
        <f t="shared" ca="1" si="179"/>
        <v>0</v>
      </c>
      <c r="K261" s="36">
        <f t="shared" ca="1" si="179"/>
        <v>0</v>
      </c>
      <c r="L261" s="36">
        <f t="shared" ca="1" si="179"/>
        <v>0</v>
      </c>
      <c r="M261" s="36">
        <f t="shared" ref="M261:X261" ca="1" si="180">M260</f>
        <v>0</v>
      </c>
      <c r="N261" s="36">
        <f t="shared" ca="1" si="180"/>
        <v>0</v>
      </c>
      <c r="O261" s="36">
        <f t="shared" ca="1" si="180"/>
        <v>0</v>
      </c>
      <c r="P261" s="36">
        <f t="shared" ca="1" si="180"/>
        <v>0</v>
      </c>
      <c r="Q261" s="36">
        <f t="shared" ca="1" si="180"/>
        <v>0</v>
      </c>
      <c r="R261" s="36">
        <f t="shared" ca="1" si="180"/>
        <v>0</v>
      </c>
      <c r="S261" s="36">
        <f t="shared" ca="1" si="180"/>
        <v>0</v>
      </c>
      <c r="T261" s="36">
        <f t="shared" ca="1" si="180"/>
        <v>0</v>
      </c>
      <c r="U261" s="36">
        <f t="shared" ca="1" si="180"/>
        <v>0</v>
      </c>
      <c r="V261" s="36">
        <f t="shared" ca="1" si="180"/>
        <v>0</v>
      </c>
      <c r="W261" s="36">
        <f t="shared" ca="1" si="180"/>
        <v>0</v>
      </c>
      <c r="X261" s="36">
        <f t="shared" ca="1" si="180"/>
        <v>0</v>
      </c>
      <c r="Y261" s="36">
        <f ca="1">Y260</f>
        <v>0</v>
      </c>
      <c r="Z261" s="36">
        <f t="shared" ref="Z261:AK261" ca="1" si="181">Z260</f>
        <v>0</v>
      </c>
      <c r="AA261" s="36">
        <f t="shared" ca="1" si="181"/>
        <v>0</v>
      </c>
      <c r="AB261" s="36">
        <f t="shared" ca="1" si="181"/>
        <v>0</v>
      </c>
      <c r="AC261" s="36">
        <f t="shared" ca="1" si="181"/>
        <v>0</v>
      </c>
      <c r="AD261" s="36">
        <f t="shared" ca="1" si="181"/>
        <v>0</v>
      </c>
      <c r="AE261" s="36">
        <f t="shared" ca="1" si="181"/>
        <v>0</v>
      </c>
      <c r="AF261" s="36">
        <f t="shared" ca="1" si="181"/>
        <v>0</v>
      </c>
      <c r="AG261" s="36">
        <f t="shared" ca="1" si="181"/>
        <v>0</v>
      </c>
      <c r="AH261" s="36">
        <f t="shared" ca="1" si="181"/>
        <v>0</v>
      </c>
      <c r="AI261" s="36">
        <f t="shared" ca="1" si="181"/>
        <v>0</v>
      </c>
      <c r="AJ261" s="36">
        <f t="shared" ca="1" si="181"/>
        <v>0</v>
      </c>
      <c r="AK261" s="36">
        <f t="shared" ca="1" si="181"/>
        <v>0</v>
      </c>
      <c r="AL261" s="36">
        <f ca="1">AL260</f>
        <v>0</v>
      </c>
      <c r="AM261" s="36">
        <f t="shared" ref="AM261:AX261" ca="1" si="182">AM260</f>
        <v>0</v>
      </c>
      <c r="AN261" s="36">
        <f t="shared" ca="1" si="182"/>
        <v>0</v>
      </c>
      <c r="AO261" s="36">
        <f t="shared" ca="1" si="182"/>
        <v>0</v>
      </c>
      <c r="AP261" s="36">
        <f t="shared" ca="1" si="182"/>
        <v>0</v>
      </c>
      <c r="AQ261" s="36">
        <f t="shared" ca="1" si="182"/>
        <v>0</v>
      </c>
      <c r="AR261" s="36">
        <f t="shared" ca="1" si="182"/>
        <v>0</v>
      </c>
      <c r="AS261" s="36">
        <f t="shared" ca="1" si="182"/>
        <v>0</v>
      </c>
      <c r="AT261" s="36">
        <f t="shared" ca="1" si="182"/>
        <v>0</v>
      </c>
      <c r="AU261" s="36">
        <f t="shared" ca="1" si="182"/>
        <v>0</v>
      </c>
      <c r="AV261" s="36">
        <f t="shared" ca="1" si="182"/>
        <v>0</v>
      </c>
      <c r="AW261" s="36">
        <f t="shared" ca="1" si="182"/>
        <v>0</v>
      </c>
      <c r="AX261" s="36">
        <f t="shared" ca="1" si="182"/>
        <v>0</v>
      </c>
      <c r="AY261" s="36">
        <f ca="1">AY260</f>
        <v>0</v>
      </c>
    </row>
    <row r="262" spans="1:51" ht="15.5" collapsed="1">
      <c r="A262" s="1" t="s">
        <v>63</v>
      </c>
      <c r="C262" s="109"/>
      <c r="E262" s="11" t="s">
        <v>63</v>
      </c>
      <c r="F262" s="35">
        <f ca="1">F229+F231+F233+F235+F237+F239+F241+F243+F245+F247+F249+F251+F253+F255+F257+F259+F261</f>
        <v>0</v>
      </c>
      <c r="G262" s="35">
        <f t="shared" ref="G262:L262" ca="1" si="183">G229+G231+G233+G235+G237+G239+G241+G243+G245+G247+G249+G251+G253+G255+G257+G259+G261</f>
        <v>0</v>
      </c>
      <c r="H262" s="35">
        <f t="shared" ca="1" si="183"/>
        <v>0</v>
      </c>
      <c r="I262" s="35">
        <f t="shared" ca="1" si="183"/>
        <v>0</v>
      </c>
      <c r="J262" s="35">
        <f t="shared" ca="1" si="183"/>
        <v>0</v>
      </c>
      <c r="K262" s="35">
        <f t="shared" ca="1" si="183"/>
        <v>0</v>
      </c>
      <c r="L262" s="35">
        <f t="shared" ca="1" si="183"/>
        <v>0</v>
      </c>
      <c r="M262" s="35">
        <f t="shared" ref="M262:X262" ca="1" si="184">M229+M231+M233+M235+M237+M239+M241+M243+M245+M247+M249+M251+M253+M255+M257+M259+M261</f>
        <v>0</v>
      </c>
      <c r="N262" s="35">
        <f t="shared" ca="1" si="184"/>
        <v>0</v>
      </c>
      <c r="O262" s="35">
        <f t="shared" ca="1" si="184"/>
        <v>0</v>
      </c>
      <c r="P262" s="35">
        <f t="shared" ca="1" si="184"/>
        <v>0</v>
      </c>
      <c r="Q262" s="35">
        <f t="shared" ca="1" si="184"/>
        <v>0</v>
      </c>
      <c r="R262" s="35">
        <f t="shared" ca="1" si="184"/>
        <v>0</v>
      </c>
      <c r="S262" s="35">
        <f t="shared" ca="1" si="184"/>
        <v>0</v>
      </c>
      <c r="T262" s="35">
        <f t="shared" ca="1" si="184"/>
        <v>0</v>
      </c>
      <c r="U262" s="35">
        <f t="shared" ca="1" si="184"/>
        <v>0</v>
      </c>
      <c r="V262" s="35">
        <f t="shared" ca="1" si="184"/>
        <v>0</v>
      </c>
      <c r="W262" s="35">
        <f t="shared" ca="1" si="184"/>
        <v>0</v>
      </c>
      <c r="X262" s="35">
        <f t="shared" ca="1" si="184"/>
        <v>0</v>
      </c>
      <c r="Y262" s="35">
        <f ca="1">Y229+Y231+Y233+Y235+Y237+Y239+Y241+Y243+Y245+Y247+Y249+Y251+Y253+Y255+Y257+Y259+Y261</f>
        <v>0</v>
      </c>
      <c r="Z262" s="35">
        <f t="shared" ref="Z262:AK262" ca="1" si="185">Z229+Z231+Z233+Z235+Z237+Z239+Z241+Z243+Z245+Z247+Z249+Z251+Z253+Z255+Z257+Z259+Z261</f>
        <v>0</v>
      </c>
      <c r="AA262" s="35">
        <f t="shared" ca="1" si="185"/>
        <v>0</v>
      </c>
      <c r="AB262" s="35">
        <f t="shared" ca="1" si="185"/>
        <v>0</v>
      </c>
      <c r="AC262" s="35">
        <f t="shared" ca="1" si="185"/>
        <v>0</v>
      </c>
      <c r="AD262" s="35">
        <f t="shared" ca="1" si="185"/>
        <v>0</v>
      </c>
      <c r="AE262" s="35">
        <f t="shared" ca="1" si="185"/>
        <v>0</v>
      </c>
      <c r="AF262" s="35">
        <f t="shared" ca="1" si="185"/>
        <v>0</v>
      </c>
      <c r="AG262" s="35">
        <f t="shared" ca="1" si="185"/>
        <v>0</v>
      </c>
      <c r="AH262" s="35">
        <f t="shared" ca="1" si="185"/>
        <v>0</v>
      </c>
      <c r="AI262" s="35">
        <f t="shared" ca="1" si="185"/>
        <v>0</v>
      </c>
      <c r="AJ262" s="35">
        <f t="shared" ca="1" si="185"/>
        <v>0</v>
      </c>
      <c r="AK262" s="35">
        <f t="shared" ca="1" si="185"/>
        <v>0</v>
      </c>
      <c r="AL262" s="35">
        <f ca="1">AL229+AL231+AL233+AL235+AL237+AL239+AL241+AL243+AL245+AL247+AL249+AL251+AL253+AL255+AL257+AL259+AL261</f>
        <v>0</v>
      </c>
      <c r="AM262" s="35">
        <f t="shared" ref="AM262:AX262" ca="1" si="186">AM229+AM231+AM233+AM235+AM237+AM239+AM241+AM243+AM245+AM247+AM249+AM251+AM253+AM255+AM257+AM259+AM261</f>
        <v>0</v>
      </c>
      <c r="AN262" s="35">
        <f t="shared" ca="1" si="186"/>
        <v>0</v>
      </c>
      <c r="AO262" s="35">
        <f t="shared" ca="1" si="186"/>
        <v>0</v>
      </c>
      <c r="AP262" s="35">
        <f t="shared" ca="1" si="186"/>
        <v>0</v>
      </c>
      <c r="AQ262" s="35">
        <f t="shared" ca="1" si="186"/>
        <v>0</v>
      </c>
      <c r="AR262" s="35">
        <f t="shared" ca="1" si="186"/>
        <v>0</v>
      </c>
      <c r="AS262" s="35">
        <f t="shared" ca="1" si="186"/>
        <v>0</v>
      </c>
      <c r="AT262" s="35">
        <f t="shared" ca="1" si="186"/>
        <v>0</v>
      </c>
      <c r="AU262" s="35">
        <f t="shared" ca="1" si="186"/>
        <v>0</v>
      </c>
      <c r="AV262" s="35">
        <f t="shared" ca="1" si="186"/>
        <v>0</v>
      </c>
      <c r="AW262" s="35">
        <f t="shared" ca="1" si="186"/>
        <v>0</v>
      </c>
      <c r="AX262" s="35">
        <f t="shared" ca="1" si="186"/>
        <v>0</v>
      </c>
      <c r="AY262" s="35">
        <f ca="1">AY229+AY231+AY233+AY235+AY237+AY239+AY241+AY243+AY245+AY247+AY249+AY251+AY253+AY255+AY257+AY259+AY261</f>
        <v>0</v>
      </c>
    </row>
    <row r="263" spans="1:51" ht="15.75" hidden="1" customHeight="1" outlineLevel="1">
      <c r="A263" s="1" t="s">
        <v>328</v>
      </c>
      <c r="C263" s="109"/>
      <c r="E263" s="9" t="str">
        <f ca="1">_xll.DBRW(Server&amp;"}ElementAttributes_Indicator",A263,"code_English")</f>
        <v>PL0000_OO - Other operating rev. &amp; exp.</v>
      </c>
      <c r="F263" s="32">
        <f ca="1">_xll.DBRW($C$1,$C$2,$C$3,$C$4,$C$6,$C$5,$C$7,F$1,F$2,$A263)</f>
        <v>0</v>
      </c>
      <c r="G263" s="32">
        <f ca="1">_xll.DBRW($C$1,$C$2,$C$3,$C$4,$C$6,$C$5,$C$7,G$1,G$2,$A263)</f>
        <v>0</v>
      </c>
      <c r="H263" s="32">
        <f ca="1">_xll.DBRW($C$1,$C$2,$C$3,$C$4,$C$6,$C$5,$C$7,H$1,H$2,$A263)</f>
        <v>0</v>
      </c>
      <c r="I263" s="32">
        <f ca="1">_xll.DBRW($C$1,$C$2,$C$3,$C$4,$C$6,$C$5,$C$7,I$1,I$2,$A263)</f>
        <v>0</v>
      </c>
      <c r="J263" s="32">
        <f ca="1">_xll.DBRW($C$1,$C$2,$C$3,$C$4,$C$6,$C$5,$C$7,J$1,J$2,$A263)</f>
        <v>0</v>
      </c>
      <c r="K263" s="32">
        <f ca="1">_xll.DBRW($C$1,$C$2,$C$3,$C$4,$C$6,$C$5,$C$7,K$1,K$2,$A263)</f>
        <v>0</v>
      </c>
      <c r="L263" s="32">
        <f ca="1">_xll.DBRW($C$1,$C$2,$C$3,$C$4,$C$6,$C$5,$C$7,L$1,L$2,$A263)</f>
        <v>0</v>
      </c>
      <c r="M263" s="32">
        <f ca="1">_xll.DBRW($C$1,$C$2,$C$3,$C$4,$C$6,$C$5,$C$7,M$1,M$2,$A263)</f>
        <v>0</v>
      </c>
      <c r="N263" s="32">
        <f ca="1">_xll.DBRW($C$1,$C$2,$C$3,$C$4,$C$6,$C$5,$C$7,N$1,N$2,$A263)</f>
        <v>0</v>
      </c>
      <c r="O263" s="32">
        <f ca="1">_xll.DBRW($C$1,$C$2,$C$3,$C$4,$C$6,$C$5,$C$7,O$1,O$2,$A263)</f>
        <v>0</v>
      </c>
      <c r="P263" s="32">
        <f ca="1">_xll.DBRW($C$1,$C$2,$C$3,$C$4,$C$6,$C$5,$C$7,P$1,P$2,$A263)</f>
        <v>0</v>
      </c>
      <c r="Q263" s="32">
        <f ca="1">_xll.DBRW($C$1,$C$2,$C$3,$C$4,$C$6,$C$5,$C$7,Q$1,Q$2,$A263)</f>
        <v>0</v>
      </c>
      <c r="R263" s="32">
        <f ca="1">_xll.DBRW($C$1,$C$2,$C$3,$C$4,$C$6,$C$5,$C$7,R$1,R$2,$A263)</f>
        <v>0</v>
      </c>
      <c r="S263" s="32">
        <f ca="1">_xll.DBRW($C$1,$C$2,$C$3,$C$4,$C$6,$C$5,$C$7,S$1,S$2,$A263)</f>
        <v>0</v>
      </c>
      <c r="T263" s="32">
        <f ca="1">_xll.DBRW($C$1,$C$2,$C$3,$C$4,$C$6,$C$5,$C$7,T$1,T$2,$A263)</f>
        <v>0</v>
      </c>
      <c r="U263" s="32">
        <f ca="1">_xll.DBRW($C$1,$C$2,$C$3,$C$4,$C$6,$C$5,$C$7,U$1,U$2,$A263)</f>
        <v>0</v>
      </c>
      <c r="V263" s="32">
        <f ca="1">_xll.DBRW($C$1,$C$2,$C$3,$C$4,$C$6,$C$5,$C$7,V$1,V$2,$A263)</f>
        <v>0</v>
      </c>
      <c r="W263" s="32">
        <f ca="1">_xll.DBRW($C$1,$C$2,$C$3,$C$4,$C$6,$C$5,$C$7,W$1,W$2,$A263)</f>
        <v>0</v>
      </c>
      <c r="X263" s="32">
        <f ca="1">_xll.DBRW($C$1,$C$2,$C$3,$C$4,$C$6,$C$5,$C$7,X$1,X$2,$A263)</f>
        <v>0</v>
      </c>
      <c r="Y263" s="32">
        <f ca="1">_xll.DBRW($C$1,$C$2,$C$3,$C$4,$C$6,$C$5,$C$7,Y$1,Y$2,$A263)</f>
        <v>0</v>
      </c>
      <c r="Z263" s="32">
        <f ca="1">_xll.DBRW($C$1,$C$2,$C$3,$C$4,$C$6,$C$5,$C$7,Z$1,Z$2,$A263)</f>
        <v>0</v>
      </c>
      <c r="AA263" s="32">
        <f ca="1">_xll.DBRW($C$1,$C$2,$C$3,$C$4,$C$6,$C$5,$C$7,AA$1,AA$2,$A263)</f>
        <v>0</v>
      </c>
      <c r="AB263" s="32">
        <f ca="1">_xll.DBRW($C$1,$C$2,$C$3,$C$4,$C$6,$C$5,$C$7,AB$1,AB$2,$A263)</f>
        <v>0</v>
      </c>
      <c r="AC263" s="32">
        <f ca="1">_xll.DBRW($C$1,$C$2,$C$3,$C$4,$C$6,$C$5,$C$7,AC$1,AC$2,$A263)</f>
        <v>0</v>
      </c>
      <c r="AD263" s="32">
        <f ca="1">_xll.DBRW($C$1,$C$2,$C$3,$C$4,$C$6,$C$5,$C$7,AD$1,AD$2,$A263)</f>
        <v>0</v>
      </c>
      <c r="AE263" s="32">
        <f ca="1">_xll.DBRW($C$1,$C$2,$C$3,$C$4,$C$6,$C$5,$C$7,AE$1,AE$2,$A263)</f>
        <v>0</v>
      </c>
      <c r="AF263" s="32">
        <f ca="1">_xll.DBRW($C$1,$C$2,$C$3,$C$4,$C$6,$C$5,$C$7,AF$1,AF$2,$A263)</f>
        <v>0</v>
      </c>
      <c r="AG263" s="32">
        <f ca="1">_xll.DBRW($C$1,$C$2,$C$3,$C$4,$C$6,$C$5,$C$7,AG$1,AG$2,$A263)</f>
        <v>0</v>
      </c>
      <c r="AH263" s="32">
        <f ca="1">_xll.DBRW($C$1,$C$2,$C$3,$C$4,$C$6,$C$5,$C$7,AH$1,AH$2,$A263)</f>
        <v>0</v>
      </c>
      <c r="AI263" s="32">
        <f ca="1">_xll.DBRW($C$1,$C$2,$C$3,$C$4,$C$6,$C$5,$C$7,AI$1,AI$2,$A263)</f>
        <v>0</v>
      </c>
      <c r="AJ263" s="32">
        <f ca="1">_xll.DBRW($C$1,$C$2,$C$3,$C$4,$C$6,$C$5,$C$7,AJ$1,AJ$2,$A263)</f>
        <v>0</v>
      </c>
      <c r="AK263" s="32">
        <f ca="1">_xll.DBRW($C$1,$C$2,$C$3,$C$4,$C$6,$C$5,$C$7,AK$1,AK$2,$A263)</f>
        <v>0</v>
      </c>
      <c r="AL263" s="32">
        <f ca="1">_xll.DBRW($C$1,$C$2,$C$3,$C$4,$C$6,$C$5,$C$7,AL$1,AL$2,$A263)</f>
        <v>0</v>
      </c>
      <c r="AM263" s="32">
        <f ca="1">_xll.DBRW($C$1,$C$2,$C$3,$C$4,$C$6,$C$5,$C$7,AM$1,AM$2,$A263)</f>
        <v>0</v>
      </c>
      <c r="AN263" s="32">
        <f ca="1">_xll.DBRW($C$1,$C$2,$C$3,$C$4,$C$6,$C$5,$C$7,AN$1,AN$2,$A263)</f>
        <v>0</v>
      </c>
      <c r="AO263" s="32">
        <f ca="1">_xll.DBRW($C$1,$C$2,$C$3,$C$4,$C$6,$C$5,$C$7,AO$1,AO$2,$A263)</f>
        <v>0</v>
      </c>
      <c r="AP263" s="32">
        <f ca="1">_xll.DBRW($C$1,$C$2,$C$3,$C$4,$C$6,$C$5,$C$7,AP$1,AP$2,$A263)</f>
        <v>0</v>
      </c>
      <c r="AQ263" s="32">
        <f ca="1">_xll.DBRW($C$1,$C$2,$C$3,$C$4,$C$6,$C$5,$C$7,AQ$1,AQ$2,$A263)</f>
        <v>0</v>
      </c>
      <c r="AR263" s="32">
        <f ca="1">_xll.DBRW($C$1,$C$2,$C$3,$C$4,$C$6,$C$5,$C$7,AR$1,AR$2,$A263)</f>
        <v>0</v>
      </c>
      <c r="AS263" s="32">
        <f ca="1">_xll.DBRW($C$1,$C$2,$C$3,$C$4,$C$6,$C$5,$C$7,AS$1,AS$2,$A263)</f>
        <v>0</v>
      </c>
      <c r="AT263" s="32">
        <f ca="1">_xll.DBRW($C$1,$C$2,$C$3,$C$4,$C$6,$C$5,$C$7,AT$1,AT$2,$A263)</f>
        <v>0</v>
      </c>
      <c r="AU263" s="32">
        <f ca="1">_xll.DBRW($C$1,$C$2,$C$3,$C$4,$C$6,$C$5,$C$7,AU$1,AU$2,$A263)</f>
        <v>0</v>
      </c>
      <c r="AV263" s="32">
        <f ca="1">_xll.DBRW($C$1,$C$2,$C$3,$C$4,$C$6,$C$5,$C$7,AV$1,AV$2,$A263)</f>
        <v>0</v>
      </c>
      <c r="AW263" s="32">
        <f ca="1">_xll.DBRW($C$1,$C$2,$C$3,$C$4,$C$6,$C$5,$C$7,AW$1,AW$2,$A263)</f>
        <v>0</v>
      </c>
      <c r="AX263" s="32">
        <f ca="1">_xll.DBRW($C$1,$C$2,$C$3,$C$4,$C$6,$C$5,$C$7,AX$1,AX$2,$A263)</f>
        <v>0</v>
      </c>
      <c r="AY263" s="32">
        <f ca="1">_xll.DBRW($C$1,$C$2,$C$3,$C$4,$C$6,$C$5,$C$7,AY$1,AY$2,$A263)</f>
        <v>0</v>
      </c>
    </row>
    <row r="264" spans="1:51" ht="15.75" hidden="1" customHeight="1" outlineLevel="1">
      <c r="A264" s="1" t="s">
        <v>329</v>
      </c>
      <c r="C264" s="109"/>
      <c r="E264" s="9" t="str">
        <f ca="1">_xll.DBRW(Server&amp;"}ElementAttributes_Indicator",A264,"code_English")</f>
        <v>PL0000_TPL14 - Other operating rev. &amp; exp. - Vector Reconciliation</v>
      </c>
      <c r="F264" s="32">
        <f ca="1">_xll.DBRW($C$1,$C$2,$C$3,$C$4,$C$6,$C$5,$C$7,F$1,F$2,$A264)</f>
        <v>0</v>
      </c>
      <c r="G264" s="32">
        <f ca="1">_xll.DBRW($C$1,$C$2,$C$3,$C$4,$C$6,$C$5,$C$7,G$1,G$2,$A264)</f>
        <v>0</v>
      </c>
      <c r="H264" s="32">
        <f ca="1">_xll.DBRW($C$1,$C$2,$C$3,$C$4,$C$6,$C$5,$C$7,H$1,H$2,$A264)</f>
        <v>0</v>
      </c>
      <c r="I264" s="32">
        <f ca="1">_xll.DBRW($C$1,$C$2,$C$3,$C$4,$C$6,$C$5,$C$7,I$1,I$2,$A264)</f>
        <v>0</v>
      </c>
      <c r="J264" s="32">
        <f ca="1">_xll.DBRW($C$1,$C$2,$C$3,$C$4,$C$6,$C$5,$C$7,J$1,J$2,$A264)</f>
        <v>0</v>
      </c>
      <c r="K264" s="32">
        <f ca="1">_xll.DBRW($C$1,$C$2,$C$3,$C$4,$C$6,$C$5,$C$7,K$1,K$2,$A264)</f>
        <v>0</v>
      </c>
      <c r="L264" s="32">
        <f ca="1">_xll.DBRW($C$1,$C$2,$C$3,$C$4,$C$6,$C$5,$C$7,L$1,L$2,$A264)</f>
        <v>0</v>
      </c>
      <c r="M264" s="32">
        <f ca="1">_xll.DBRW($C$1,$C$2,$C$3,$C$4,$C$6,$C$5,$C$7,M$1,M$2,$A264)</f>
        <v>0</v>
      </c>
      <c r="N264" s="32">
        <f ca="1">_xll.DBRW($C$1,$C$2,$C$3,$C$4,$C$6,$C$5,$C$7,N$1,N$2,$A264)</f>
        <v>0</v>
      </c>
      <c r="O264" s="32">
        <f ca="1">_xll.DBRW($C$1,$C$2,$C$3,$C$4,$C$6,$C$5,$C$7,O$1,O$2,$A264)</f>
        <v>0</v>
      </c>
      <c r="P264" s="32">
        <f ca="1">_xll.DBRW($C$1,$C$2,$C$3,$C$4,$C$6,$C$5,$C$7,P$1,P$2,$A264)</f>
        <v>0</v>
      </c>
      <c r="Q264" s="32">
        <f ca="1">_xll.DBRW($C$1,$C$2,$C$3,$C$4,$C$6,$C$5,$C$7,Q$1,Q$2,$A264)</f>
        <v>0</v>
      </c>
      <c r="R264" s="32">
        <f ca="1">_xll.DBRW($C$1,$C$2,$C$3,$C$4,$C$6,$C$5,$C$7,R$1,R$2,$A264)</f>
        <v>0</v>
      </c>
      <c r="S264" s="32">
        <f ca="1">_xll.DBRW($C$1,$C$2,$C$3,$C$4,$C$6,$C$5,$C$7,S$1,S$2,$A264)</f>
        <v>0</v>
      </c>
      <c r="T264" s="32">
        <f ca="1">_xll.DBRW($C$1,$C$2,$C$3,$C$4,$C$6,$C$5,$C$7,T$1,T$2,$A264)</f>
        <v>0</v>
      </c>
      <c r="U264" s="32">
        <f ca="1">_xll.DBRW($C$1,$C$2,$C$3,$C$4,$C$6,$C$5,$C$7,U$1,U$2,$A264)</f>
        <v>0</v>
      </c>
      <c r="V264" s="32">
        <f ca="1">_xll.DBRW($C$1,$C$2,$C$3,$C$4,$C$6,$C$5,$C$7,V$1,V$2,$A264)</f>
        <v>0</v>
      </c>
      <c r="W264" s="32">
        <f ca="1">_xll.DBRW($C$1,$C$2,$C$3,$C$4,$C$6,$C$5,$C$7,W$1,W$2,$A264)</f>
        <v>0</v>
      </c>
      <c r="X264" s="32">
        <f ca="1">_xll.DBRW($C$1,$C$2,$C$3,$C$4,$C$6,$C$5,$C$7,X$1,X$2,$A264)</f>
        <v>0</v>
      </c>
      <c r="Y264" s="32">
        <f ca="1">_xll.DBRW($C$1,$C$2,$C$3,$C$4,$C$6,$C$5,$C$7,Y$1,Y$2,$A264)</f>
        <v>0</v>
      </c>
      <c r="Z264" s="32">
        <f ca="1">_xll.DBRW($C$1,$C$2,$C$3,$C$4,$C$6,$C$5,$C$7,Z$1,Z$2,$A264)</f>
        <v>0</v>
      </c>
      <c r="AA264" s="32">
        <f ca="1">_xll.DBRW($C$1,$C$2,$C$3,$C$4,$C$6,$C$5,$C$7,AA$1,AA$2,$A264)</f>
        <v>0</v>
      </c>
      <c r="AB264" s="32">
        <f ca="1">_xll.DBRW($C$1,$C$2,$C$3,$C$4,$C$6,$C$5,$C$7,AB$1,AB$2,$A264)</f>
        <v>0</v>
      </c>
      <c r="AC264" s="32">
        <f ca="1">_xll.DBRW($C$1,$C$2,$C$3,$C$4,$C$6,$C$5,$C$7,AC$1,AC$2,$A264)</f>
        <v>0</v>
      </c>
      <c r="AD264" s="32">
        <f ca="1">_xll.DBRW($C$1,$C$2,$C$3,$C$4,$C$6,$C$5,$C$7,AD$1,AD$2,$A264)</f>
        <v>0</v>
      </c>
      <c r="AE264" s="32">
        <f ca="1">_xll.DBRW($C$1,$C$2,$C$3,$C$4,$C$6,$C$5,$C$7,AE$1,AE$2,$A264)</f>
        <v>0</v>
      </c>
      <c r="AF264" s="32">
        <f ca="1">_xll.DBRW($C$1,$C$2,$C$3,$C$4,$C$6,$C$5,$C$7,AF$1,AF$2,$A264)</f>
        <v>0</v>
      </c>
      <c r="AG264" s="32">
        <f ca="1">_xll.DBRW($C$1,$C$2,$C$3,$C$4,$C$6,$C$5,$C$7,AG$1,AG$2,$A264)</f>
        <v>0</v>
      </c>
      <c r="AH264" s="32">
        <f ca="1">_xll.DBRW($C$1,$C$2,$C$3,$C$4,$C$6,$C$5,$C$7,AH$1,AH$2,$A264)</f>
        <v>0</v>
      </c>
      <c r="AI264" s="32">
        <f ca="1">_xll.DBRW($C$1,$C$2,$C$3,$C$4,$C$6,$C$5,$C$7,AI$1,AI$2,$A264)</f>
        <v>0</v>
      </c>
      <c r="AJ264" s="32">
        <f ca="1">_xll.DBRW($C$1,$C$2,$C$3,$C$4,$C$6,$C$5,$C$7,AJ$1,AJ$2,$A264)</f>
        <v>0</v>
      </c>
      <c r="AK264" s="32">
        <f ca="1">_xll.DBRW($C$1,$C$2,$C$3,$C$4,$C$6,$C$5,$C$7,AK$1,AK$2,$A264)</f>
        <v>0</v>
      </c>
      <c r="AL264" s="32">
        <f ca="1">_xll.DBRW($C$1,$C$2,$C$3,$C$4,$C$6,$C$5,$C$7,AL$1,AL$2,$A264)</f>
        <v>0</v>
      </c>
      <c r="AM264" s="32">
        <f ca="1">_xll.DBRW($C$1,$C$2,$C$3,$C$4,$C$6,$C$5,$C$7,AM$1,AM$2,$A264)</f>
        <v>0</v>
      </c>
      <c r="AN264" s="32">
        <f ca="1">_xll.DBRW($C$1,$C$2,$C$3,$C$4,$C$6,$C$5,$C$7,AN$1,AN$2,$A264)</f>
        <v>0</v>
      </c>
      <c r="AO264" s="32">
        <f ca="1">_xll.DBRW($C$1,$C$2,$C$3,$C$4,$C$6,$C$5,$C$7,AO$1,AO$2,$A264)</f>
        <v>0</v>
      </c>
      <c r="AP264" s="32">
        <f ca="1">_xll.DBRW($C$1,$C$2,$C$3,$C$4,$C$6,$C$5,$C$7,AP$1,AP$2,$A264)</f>
        <v>0</v>
      </c>
      <c r="AQ264" s="32">
        <f ca="1">_xll.DBRW($C$1,$C$2,$C$3,$C$4,$C$6,$C$5,$C$7,AQ$1,AQ$2,$A264)</f>
        <v>0</v>
      </c>
      <c r="AR264" s="32">
        <f ca="1">_xll.DBRW($C$1,$C$2,$C$3,$C$4,$C$6,$C$5,$C$7,AR$1,AR$2,$A264)</f>
        <v>0</v>
      </c>
      <c r="AS264" s="32">
        <f ca="1">_xll.DBRW($C$1,$C$2,$C$3,$C$4,$C$6,$C$5,$C$7,AS$1,AS$2,$A264)</f>
        <v>0</v>
      </c>
      <c r="AT264" s="32">
        <f ca="1">_xll.DBRW($C$1,$C$2,$C$3,$C$4,$C$6,$C$5,$C$7,AT$1,AT$2,$A264)</f>
        <v>0</v>
      </c>
      <c r="AU264" s="32">
        <f ca="1">_xll.DBRW($C$1,$C$2,$C$3,$C$4,$C$6,$C$5,$C$7,AU$1,AU$2,$A264)</f>
        <v>0</v>
      </c>
      <c r="AV264" s="32">
        <f ca="1">_xll.DBRW($C$1,$C$2,$C$3,$C$4,$C$6,$C$5,$C$7,AV$1,AV$2,$A264)</f>
        <v>0</v>
      </c>
      <c r="AW264" s="32">
        <f ca="1">_xll.DBRW($C$1,$C$2,$C$3,$C$4,$C$6,$C$5,$C$7,AW$1,AW$2,$A264)</f>
        <v>0</v>
      </c>
      <c r="AX264" s="32">
        <f ca="1">_xll.DBRW($C$1,$C$2,$C$3,$C$4,$C$6,$C$5,$C$7,AX$1,AX$2,$A264)</f>
        <v>0</v>
      </c>
      <c r="AY264" s="32">
        <f ca="1">_xll.DBRW($C$1,$C$2,$C$3,$C$4,$C$6,$C$5,$C$7,AY$1,AY$2,$A264)</f>
        <v>0</v>
      </c>
    </row>
    <row r="265" spans="1:51" ht="15.5" collapsed="1">
      <c r="A265" s="1" t="s">
        <v>142</v>
      </c>
      <c r="C265" s="109"/>
      <c r="E265" s="11" t="s">
        <v>64</v>
      </c>
      <c r="F265" s="35">
        <f t="shared" ref="F265:L265" ca="1" si="187">F263+F264</f>
        <v>0</v>
      </c>
      <c r="G265" s="35">
        <f t="shared" ca="1" si="187"/>
        <v>0</v>
      </c>
      <c r="H265" s="35">
        <f t="shared" ca="1" si="187"/>
        <v>0</v>
      </c>
      <c r="I265" s="35">
        <f t="shared" ca="1" si="187"/>
        <v>0</v>
      </c>
      <c r="J265" s="35">
        <f t="shared" ca="1" si="187"/>
        <v>0</v>
      </c>
      <c r="K265" s="35">
        <f t="shared" ca="1" si="187"/>
        <v>0</v>
      </c>
      <c r="L265" s="35">
        <f t="shared" ca="1" si="187"/>
        <v>0</v>
      </c>
      <c r="M265" s="35">
        <f t="shared" ref="M265:X265" ca="1" si="188">M263+M264</f>
        <v>0</v>
      </c>
      <c r="N265" s="35">
        <f t="shared" ca="1" si="188"/>
        <v>0</v>
      </c>
      <c r="O265" s="35">
        <f t="shared" ca="1" si="188"/>
        <v>0</v>
      </c>
      <c r="P265" s="35">
        <f t="shared" ca="1" si="188"/>
        <v>0</v>
      </c>
      <c r="Q265" s="35">
        <f t="shared" ca="1" si="188"/>
        <v>0</v>
      </c>
      <c r="R265" s="35">
        <f t="shared" ca="1" si="188"/>
        <v>0</v>
      </c>
      <c r="S265" s="35">
        <f t="shared" ca="1" si="188"/>
        <v>0</v>
      </c>
      <c r="T265" s="35">
        <f t="shared" ca="1" si="188"/>
        <v>0</v>
      </c>
      <c r="U265" s="35">
        <f t="shared" ca="1" si="188"/>
        <v>0</v>
      </c>
      <c r="V265" s="35">
        <f t="shared" ca="1" si="188"/>
        <v>0</v>
      </c>
      <c r="W265" s="35">
        <f t="shared" ca="1" si="188"/>
        <v>0</v>
      </c>
      <c r="X265" s="35">
        <f t="shared" ca="1" si="188"/>
        <v>0</v>
      </c>
      <c r="Y265" s="35">
        <f ca="1">Y263+Y264</f>
        <v>0</v>
      </c>
      <c r="Z265" s="35">
        <f t="shared" ref="Z265:AK265" ca="1" si="189">Z263+Z264</f>
        <v>0</v>
      </c>
      <c r="AA265" s="35">
        <f t="shared" ca="1" si="189"/>
        <v>0</v>
      </c>
      <c r="AB265" s="35">
        <f t="shared" ca="1" si="189"/>
        <v>0</v>
      </c>
      <c r="AC265" s="35">
        <f t="shared" ca="1" si="189"/>
        <v>0</v>
      </c>
      <c r="AD265" s="35">
        <f t="shared" ca="1" si="189"/>
        <v>0</v>
      </c>
      <c r="AE265" s="35">
        <f t="shared" ca="1" si="189"/>
        <v>0</v>
      </c>
      <c r="AF265" s="35">
        <f t="shared" ca="1" si="189"/>
        <v>0</v>
      </c>
      <c r="AG265" s="35">
        <f t="shared" ca="1" si="189"/>
        <v>0</v>
      </c>
      <c r="AH265" s="35">
        <f t="shared" ca="1" si="189"/>
        <v>0</v>
      </c>
      <c r="AI265" s="35">
        <f t="shared" ca="1" si="189"/>
        <v>0</v>
      </c>
      <c r="AJ265" s="35">
        <f t="shared" ca="1" si="189"/>
        <v>0</v>
      </c>
      <c r="AK265" s="35">
        <f t="shared" ca="1" si="189"/>
        <v>0</v>
      </c>
      <c r="AL265" s="35">
        <f ca="1">AL263+AL264</f>
        <v>0</v>
      </c>
      <c r="AM265" s="35">
        <f t="shared" ref="AM265:AX265" ca="1" si="190">AM263+AM264</f>
        <v>0</v>
      </c>
      <c r="AN265" s="35">
        <f t="shared" ca="1" si="190"/>
        <v>0</v>
      </c>
      <c r="AO265" s="35">
        <f t="shared" ca="1" si="190"/>
        <v>0</v>
      </c>
      <c r="AP265" s="35">
        <f t="shared" ca="1" si="190"/>
        <v>0</v>
      </c>
      <c r="AQ265" s="35">
        <f t="shared" ca="1" si="190"/>
        <v>0</v>
      </c>
      <c r="AR265" s="35">
        <f t="shared" ca="1" si="190"/>
        <v>0</v>
      </c>
      <c r="AS265" s="35">
        <f t="shared" ca="1" si="190"/>
        <v>0</v>
      </c>
      <c r="AT265" s="35">
        <f t="shared" ca="1" si="190"/>
        <v>0</v>
      </c>
      <c r="AU265" s="35">
        <f t="shared" ca="1" si="190"/>
        <v>0</v>
      </c>
      <c r="AV265" s="35">
        <f t="shared" ca="1" si="190"/>
        <v>0</v>
      </c>
      <c r="AW265" s="35">
        <f t="shared" ca="1" si="190"/>
        <v>0</v>
      </c>
      <c r="AX265" s="35">
        <f t="shared" ca="1" si="190"/>
        <v>0</v>
      </c>
      <c r="AY265" s="35">
        <f ca="1">AY263+AY264</f>
        <v>0</v>
      </c>
    </row>
    <row r="266" spans="1:51" ht="15.75" hidden="1" customHeight="1" outlineLevel="1">
      <c r="A266" s="1" t="s">
        <v>330</v>
      </c>
      <c r="C266" s="109"/>
      <c r="E266" s="9" t="str">
        <f ca="1">_xll.DBRW(Server&amp;"}ElementAttributes_Indicator",A266,"code_English")</f>
        <v>PL1500_JV - P&amp;L JV - Share in profit or loss of joint ventures (from 2013)</v>
      </c>
      <c r="F266" s="32">
        <f ca="1">_xll.DBRW($C$1,$C$2,$C$3,$C$4,$C$6,$C$5,$C$7,F$1,F$2,$A266)</f>
        <v>0</v>
      </c>
      <c r="G266" s="32">
        <f ca="1">_xll.DBRW($C$1,$C$2,$C$3,$C$4,$C$6,$C$5,$C$7,G$1,G$2,$A266)</f>
        <v>0</v>
      </c>
      <c r="H266" s="32">
        <f ca="1">_xll.DBRW($C$1,$C$2,$C$3,$C$4,$C$6,$C$5,$C$7,H$1,H$2,$A266)</f>
        <v>0</v>
      </c>
      <c r="I266" s="32">
        <f ca="1">_xll.DBRW($C$1,$C$2,$C$3,$C$4,$C$6,$C$5,$C$7,I$1,I$2,$A266)</f>
        <v>0</v>
      </c>
      <c r="J266" s="32">
        <f ca="1">_xll.DBRW($C$1,$C$2,$C$3,$C$4,$C$6,$C$5,$C$7,J$1,J$2,$A266)</f>
        <v>0</v>
      </c>
      <c r="K266" s="32">
        <f ca="1">_xll.DBRW($C$1,$C$2,$C$3,$C$4,$C$6,$C$5,$C$7,K$1,K$2,$A266)</f>
        <v>0</v>
      </c>
      <c r="L266" s="32">
        <f ca="1">_xll.DBRW($C$1,$C$2,$C$3,$C$4,$C$6,$C$5,$C$7,L$1,L$2,$A266)</f>
        <v>0</v>
      </c>
      <c r="M266" s="32">
        <f ca="1">_xll.DBRW($C$1,$C$2,$C$3,$C$4,$C$6,$C$5,$C$7,M$1,M$2,$A266)</f>
        <v>0</v>
      </c>
      <c r="N266" s="32">
        <f ca="1">_xll.DBRW($C$1,$C$2,$C$3,$C$4,$C$6,$C$5,$C$7,N$1,N$2,$A266)</f>
        <v>0</v>
      </c>
      <c r="O266" s="32">
        <f ca="1">_xll.DBRW($C$1,$C$2,$C$3,$C$4,$C$6,$C$5,$C$7,O$1,O$2,$A266)</f>
        <v>0</v>
      </c>
      <c r="P266" s="32">
        <f ca="1">_xll.DBRW($C$1,$C$2,$C$3,$C$4,$C$6,$C$5,$C$7,P$1,P$2,$A266)</f>
        <v>0</v>
      </c>
      <c r="Q266" s="32">
        <f ca="1">_xll.DBRW($C$1,$C$2,$C$3,$C$4,$C$6,$C$5,$C$7,Q$1,Q$2,$A266)</f>
        <v>0</v>
      </c>
      <c r="R266" s="32">
        <f ca="1">_xll.DBRW($C$1,$C$2,$C$3,$C$4,$C$6,$C$5,$C$7,R$1,R$2,$A266)</f>
        <v>0</v>
      </c>
      <c r="S266" s="32">
        <f ca="1">_xll.DBRW($C$1,$C$2,$C$3,$C$4,$C$6,$C$5,$C$7,S$1,S$2,$A266)</f>
        <v>0</v>
      </c>
      <c r="T266" s="32">
        <f ca="1">_xll.DBRW($C$1,$C$2,$C$3,$C$4,$C$6,$C$5,$C$7,T$1,T$2,$A266)</f>
        <v>0</v>
      </c>
      <c r="U266" s="32">
        <f ca="1">_xll.DBRW($C$1,$C$2,$C$3,$C$4,$C$6,$C$5,$C$7,U$1,U$2,$A266)</f>
        <v>0</v>
      </c>
      <c r="V266" s="32">
        <f ca="1">_xll.DBRW($C$1,$C$2,$C$3,$C$4,$C$6,$C$5,$C$7,V$1,V$2,$A266)</f>
        <v>0</v>
      </c>
      <c r="W266" s="32">
        <f ca="1">_xll.DBRW($C$1,$C$2,$C$3,$C$4,$C$6,$C$5,$C$7,W$1,W$2,$A266)</f>
        <v>0</v>
      </c>
      <c r="X266" s="32">
        <f ca="1">_xll.DBRW($C$1,$C$2,$C$3,$C$4,$C$6,$C$5,$C$7,X$1,X$2,$A266)</f>
        <v>0</v>
      </c>
      <c r="Y266" s="32">
        <f ca="1">_xll.DBRW($C$1,$C$2,$C$3,$C$4,$C$6,$C$5,$C$7,Y$1,Y$2,$A266)</f>
        <v>0</v>
      </c>
      <c r="Z266" s="32">
        <f ca="1">_xll.DBRW($C$1,$C$2,$C$3,$C$4,$C$6,$C$5,$C$7,Z$1,Z$2,$A266)</f>
        <v>0</v>
      </c>
      <c r="AA266" s="32">
        <f ca="1">_xll.DBRW($C$1,$C$2,$C$3,$C$4,$C$6,$C$5,$C$7,AA$1,AA$2,$A266)</f>
        <v>0</v>
      </c>
      <c r="AB266" s="32">
        <f ca="1">_xll.DBRW($C$1,$C$2,$C$3,$C$4,$C$6,$C$5,$C$7,AB$1,AB$2,$A266)</f>
        <v>0</v>
      </c>
      <c r="AC266" s="32">
        <f ca="1">_xll.DBRW($C$1,$C$2,$C$3,$C$4,$C$6,$C$5,$C$7,AC$1,AC$2,$A266)</f>
        <v>0</v>
      </c>
      <c r="AD266" s="32">
        <f ca="1">_xll.DBRW($C$1,$C$2,$C$3,$C$4,$C$6,$C$5,$C$7,AD$1,AD$2,$A266)</f>
        <v>0</v>
      </c>
      <c r="AE266" s="32">
        <f ca="1">_xll.DBRW($C$1,$C$2,$C$3,$C$4,$C$6,$C$5,$C$7,AE$1,AE$2,$A266)</f>
        <v>0</v>
      </c>
      <c r="AF266" s="32">
        <f ca="1">_xll.DBRW($C$1,$C$2,$C$3,$C$4,$C$6,$C$5,$C$7,AF$1,AF$2,$A266)</f>
        <v>0</v>
      </c>
      <c r="AG266" s="32">
        <f ca="1">_xll.DBRW($C$1,$C$2,$C$3,$C$4,$C$6,$C$5,$C$7,AG$1,AG$2,$A266)</f>
        <v>0</v>
      </c>
      <c r="AH266" s="32">
        <f ca="1">_xll.DBRW($C$1,$C$2,$C$3,$C$4,$C$6,$C$5,$C$7,AH$1,AH$2,$A266)</f>
        <v>0</v>
      </c>
      <c r="AI266" s="32">
        <f ca="1">_xll.DBRW($C$1,$C$2,$C$3,$C$4,$C$6,$C$5,$C$7,AI$1,AI$2,$A266)</f>
        <v>0</v>
      </c>
      <c r="AJ266" s="32">
        <f ca="1">_xll.DBRW($C$1,$C$2,$C$3,$C$4,$C$6,$C$5,$C$7,AJ$1,AJ$2,$A266)</f>
        <v>0</v>
      </c>
      <c r="AK266" s="32">
        <f ca="1">_xll.DBRW($C$1,$C$2,$C$3,$C$4,$C$6,$C$5,$C$7,AK$1,AK$2,$A266)</f>
        <v>0</v>
      </c>
      <c r="AL266" s="32">
        <f ca="1">_xll.DBRW($C$1,$C$2,$C$3,$C$4,$C$6,$C$5,$C$7,AL$1,AL$2,$A266)</f>
        <v>0</v>
      </c>
      <c r="AM266" s="32">
        <f ca="1">_xll.DBRW($C$1,$C$2,$C$3,$C$4,$C$6,$C$5,$C$7,AM$1,AM$2,$A266)</f>
        <v>0</v>
      </c>
      <c r="AN266" s="32">
        <f ca="1">_xll.DBRW($C$1,$C$2,$C$3,$C$4,$C$6,$C$5,$C$7,AN$1,AN$2,$A266)</f>
        <v>0</v>
      </c>
      <c r="AO266" s="32">
        <f ca="1">_xll.DBRW($C$1,$C$2,$C$3,$C$4,$C$6,$C$5,$C$7,AO$1,AO$2,$A266)</f>
        <v>0</v>
      </c>
      <c r="AP266" s="32">
        <f ca="1">_xll.DBRW($C$1,$C$2,$C$3,$C$4,$C$6,$C$5,$C$7,AP$1,AP$2,$A266)</f>
        <v>0</v>
      </c>
      <c r="AQ266" s="32">
        <f ca="1">_xll.DBRW($C$1,$C$2,$C$3,$C$4,$C$6,$C$5,$C$7,AQ$1,AQ$2,$A266)</f>
        <v>0</v>
      </c>
      <c r="AR266" s="32">
        <f ca="1">_xll.DBRW($C$1,$C$2,$C$3,$C$4,$C$6,$C$5,$C$7,AR$1,AR$2,$A266)</f>
        <v>0</v>
      </c>
      <c r="AS266" s="32">
        <f ca="1">_xll.DBRW($C$1,$C$2,$C$3,$C$4,$C$6,$C$5,$C$7,AS$1,AS$2,$A266)</f>
        <v>0</v>
      </c>
      <c r="AT266" s="32">
        <f ca="1">_xll.DBRW($C$1,$C$2,$C$3,$C$4,$C$6,$C$5,$C$7,AT$1,AT$2,$A266)</f>
        <v>0</v>
      </c>
      <c r="AU266" s="32">
        <f ca="1">_xll.DBRW($C$1,$C$2,$C$3,$C$4,$C$6,$C$5,$C$7,AU$1,AU$2,$A266)</f>
        <v>0</v>
      </c>
      <c r="AV266" s="32">
        <f ca="1">_xll.DBRW($C$1,$C$2,$C$3,$C$4,$C$6,$C$5,$C$7,AV$1,AV$2,$A266)</f>
        <v>0</v>
      </c>
      <c r="AW266" s="32">
        <f ca="1">_xll.DBRW($C$1,$C$2,$C$3,$C$4,$C$6,$C$5,$C$7,AW$1,AW$2,$A266)</f>
        <v>0</v>
      </c>
      <c r="AX266" s="32">
        <f ca="1">_xll.DBRW($C$1,$C$2,$C$3,$C$4,$C$6,$C$5,$C$7,AX$1,AX$2,$A266)</f>
        <v>0</v>
      </c>
      <c r="AY266" s="32">
        <f ca="1">_xll.DBRW($C$1,$C$2,$C$3,$C$4,$C$6,$C$5,$C$7,AY$1,AY$2,$A266)</f>
        <v>0</v>
      </c>
    </row>
    <row r="267" spans="1:51" ht="15.75" hidden="1" customHeight="1" outlineLevel="1">
      <c r="A267" s="1" t="s">
        <v>331</v>
      </c>
      <c r="C267" s="109"/>
      <c r="E267" s="9" t="str">
        <f ca="1">_xll.DBRW(Server&amp;"}ElementAttributes_Indicator",A267,"code_English")</f>
        <v>PL1500_XX - Vector Reconciliation (TPL15) - Share in profit or loss of joint ventures (from 2013)</v>
      </c>
      <c r="F267" s="32">
        <f ca="1">_xll.DBRW($C$1,$C$2,$C$3,$C$4,$C$6,$C$5,$C$7,F$1,F$2,$A267)</f>
        <v>0</v>
      </c>
      <c r="G267" s="32">
        <f ca="1">_xll.DBRW($C$1,$C$2,$C$3,$C$4,$C$6,$C$5,$C$7,G$1,G$2,$A267)</f>
        <v>0</v>
      </c>
      <c r="H267" s="32">
        <f ca="1">_xll.DBRW($C$1,$C$2,$C$3,$C$4,$C$6,$C$5,$C$7,H$1,H$2,$A267)</f>
        <v>0</v>
      </c>
      <c r="I267" s="32">
        <f ca="1">_xll.DBRW($C$1,$C$2,$C$3,$C$4,$C$6,$C$5,$C$7,I$1,I$2,$A267)</f>
        <v>0</v>
      </c>
      <c r="J267" s="32">
        <f ca="1">_xll.DBRW($C$1,$C$2,$C$3,$C$4,$C$6,$C$5,$C$7,J$1,J$2,$A267)</f>
        <v>0</v>
      </c>
      <c r="K267" s="32">
        <f ca="1">_xll.DBRW($C$1,$C$2,$C$3,$C$4,$C$6,$C$5,$C$7,K$1,K$2,$A267)</f>
        <v>0</v>
      </c>
      <c r="L267" s="32">
        <f ca="1">_xll.DBRW($C$1,$C$2,$C$3,$C$4,$C$6,$C$5,$C$7,L$1,L$2,$A267)</f>
        <v>0</v>
      </c>
      <c r="M267" s="32">
        <f ca="1">_xll.DBRW($C$1,$C$2,$C$3,$C$4,$C$6,$C$5,$C$7,M$1,M$2,$A267)</f>
        <v>0</v>
      </c>
      <c r="N267" s="32">
        <f ca="1">_xll.DBRW($C$1,$C$2,$C$3,$C$4,$C$6,$C$5,$C$7,N$1,N$2,$A267)</f>
        <v>0</v>
      </c>
      <c r="O267" s="32">
        <f ca="1">_xll.DBRW($C$1,$C$2,$C$3,$C$4,$C$6,$C$5,$C$7,O$1,O$2,$A267)</f>
        <v>0</v>
      </c>
      <c r="P267" s="32">
        <f ca="1">_xll.DBRW($C$1,$C$2,$C$3,$C$4,$C$6,$C$5,$C$7,P$1,P$2,$A267)</f>
        <v>0</v>
      </c>
      <c r="Q267" s="32">
        <f ca="1">_xll.DBRW($C$1,$C$2,$C$3,$C$4,$C$6,$C$5,$C$7,Q$1,Q$2,$A267)</f>
        <v>0</v>
      </c>
      <c r="R267" s="32">
        <f ca="1">_xll.DBRW($C$1,$C$2,$C$3,$C$4,$C$6,$C$5,$C$7,R$1,R$2,$A267)</f>
        <v>0</v>
      </c>
      <c r="S267" s="32">
        <f ca="1">_xll.DBRW($C$1,$C$2,$C$3,$C$4,$C$6,$C$5,$C$7,S$1,S$2,$A267)</f>
        <v>0</v>
      </c>
      <c r="T267" s="32">
        <f ca="1">_xll.DBRW($C$1,$C$2,$C$3,$C$4,$C$6,$C$5,$C$7,T$1,T$2,$A267)</f>
        <v>0</v>
      </c>
      <c r="U267" s="32">
        <f ca="1">_xll.DBRW($C$1,$C$2,$C$3,$C$4,$C$6,$C$5,$C$7,U$1,U$2,$A267)</f>
        <v>0</v>
      </c>
      <c r="V267" s="32">
        <f ca="1">_xll.DBRW($C$1,$C$2,$C$3,$C$4,$C$6,$C$5,$C$7,V$1,V$2,$A267)</f>
        <v>0</v>
      </c>
      <c r="W267" s="32">
        <f ca="1">_xll.DBRW($C$1,$C$2,$C$3,$C$4,$C$6,$C$5,$C$7,W$1,W$2,$A267)</f>
        <v>0</v>
      </c>
      <c r="X267" s="32">
        <f ca="1">_xll.DBRW($C$1,$C$2,$C$3,$C$4,$C$6,$C$5,$C$7,X$1,X$2,$A267)</f>
        <v>0</v>
      </c>
      <c r="Y267" s="32">
        <f ca="1">_xll.DBRW($C$1,$C$2,$C$3,$C$4,$C$6,$C$5,$C$7,Y$1,Y$2,$A267)</f>
        <v>0</v>
      </c>
      <c r="Z267" s="32">
        <f ca="1">_xll.DBRW($C$1,$C$2,$C$3,$C$4,$C$6,$C$5,$C$7,Z$1,Z$2,$A267)</f>
        <v>0</v>
      </c>
      <c r="AA267" s="32">
        <f ca="1">_xll.DBRW($C$1,$C$2,$C$3,$C$4,$C$6,$C$5,$C$7,AA$1,AA$2,$A267)</f>
        <v>0</v>
      </c>
      <c r="AB267" s="32">
        <f ca="1">_xll.DBRW($C$1,$C$2,$C$3,$C$4,$C$6,$C$5,$C$7,AB$1,AB$2,$A267)</f>
        <v>0</v>
      </c>
      <c r="AC267" s="32">
        <f ca="1">_xll.DBRW($C$1,$C$2,$C$3,$C$4,$C$6,$C$5,$C$7,AC$1,AC$2,$A267)</f>
        <v>0</v>
      </c>
      <c r="AD267" s="32">
        <f ca="1">_xll.DBRW($C$1,$C$2,$C$3,$C$4,$C$6,$C$5,$C$7,AD$1,AD$2,$A267)</f>
        <v>0</v>
      </c>
      <c r="AE267" s="32">
        <f ca="1">_xll.DBRW($C$1,$C$2,$C$3,$C$4,$C$6,$C$5,$C$7,AE$1,AE$2,$A267)</f>
        <v>0</v>
      </c>
      <c r="AF267" s="32">
        <f ca="1">_xll.DBRW($C$1,$C$2,$C$3,$C$4,$C$6,$C$5,$C$7,AF$1,AF$2,$A267)</f>
        <v>0</v>
      </c>
      <c r="AG267" s="32">
        <f ca="1">_xll.DBRW($C$1,$C$2,$C$3,$C$4,$C$6,$C$5,$C$7,AG$1,AG$2,$A267)</f>
        <v>0</v>
      </c>
      <c r="AH267" s="32">
        <f ca="1">_xll.DBRW($C$1,$C$2,$C$3,$C$4,$C$6,$C$5,$C$7,AH$1,AH$2,$A267)</f>
        <v>0</v>
      </c>
      <c r="AI267" s="32">
        <f ca="1">_xll.DBRW($C$1,$C$2,$C$3,$C$4,$C$6,$C$5,$C$7,AI$1,AI$2,$A267)</f>
        <v>0</v>
      </c>
      <c r="AJ267" s="32">
        <f ca="1">_xll.DBRW($C$1,$C$2,$C$3,$C$4,$C$6,$C$5,$C$7,AJ$1,AJ$2,$A267)</f>
        <v>0</v>
      </c>
      <c r="AK267" s="32">
        <f ca="1">_xll.DBRW($C$1,$C$2,$C$3,$C$4,$C$6,$C$5,$C$7,AK$1,AK$2,$A267)</f>
        <v>0</v>
      </c>
      <c r="AL267" s="32">
        <f ca="1">_xll.DBRW($C$1,$C$2,$C$3,$C$4,$C$6,$C$5,$C$7,AL$1,AL$2,$A267)</f>
        <v>0</v>
      </c>
      <c r="AM267" s="32">
        <f ca="1">_xll.DBRW($C$1,$C$2,$C$3,$C$4,$C$6,$C$5,$C$7,AM$1,AM$2,$A267)</f>
        <v>0</v>
      </c>
      <c r="AN267" s="32">
        <f ca="1">_xll.DBRW($C$1,$C$2,$C$3,$C$4,$C$6,$C$5,$C$7,AN$1,AN$2,$A267)</f>
        <v>0</v>
      </c>
      <c r="AO267" s="32">
        <f ca="1">_xll.DBRW($C$1,$C$2,$C$3,$C$4,$C$6,$C$5,$C$7,AO$1,AO$2,$A267)</f>
        <v>0</v>
      </c>
      <c r="AP267" s="32">
        <f ca="1">_xll.DBRW($C$1,$C$2,$C$3,$C$4,$C$6,$C$5,$C$7,AP$1,AP$2,$A267)</f>
        <v>0</v>
      </c>
      <c r="AQ267" s="32">
        <f ca="1">_xll.DBRW($C$1,$C$2,$C$3,$C$4,$C$6,$C$5,$C$7,AQ$1,AQ$2,$A267)</f>
        <v>0</v>
      </c>
      <c r="AR267" s="32">
        <f ca="1">_xll.DBRW($C$1,$C$2,$C$3,$C$4,$C$6,$C$5,$C$7,AR$1,AR$2,$A267)</f>
        <v>0</v>
      </c>
      <c r="AS267" s="32">
        <f ca="1">_xll.DBRW($C$1,$C$2,$C$3,$C$4,$C$6,$C$5,$C$7,AS$1,AS$2,$A267)</f>
        <v>0</v>
      </c>
      <c r="AT267" s="32">
        <f ca="1">_xll.DBRW($C$1,$C$2,$C$3,$C$4,$C$6,$C$5,$C$7,AT$1,AT$2,$A267)</f>
        <v>0</v>
      </c>
      <c r="AU267" s="32">
        <f ca="1">_xll.DBRW($C$1,$C$2,$C$3,$C$4,$C$6,$C$5,$C$7,AU$1,AU$2,$A267)</f>
        <v>0</v>
      </c>
      <c r="AV267" s="32">
        <f ca="1">_xll.DBRW($C$1,$C$2,$C$3,$C$4,$C$6,$C$5,$C$7,AV$1,AV$2,$A267)</f>
        <v>0</v>
      </c>
      <c r="AW267" s="32">
        <f ca="1">_xll.DBRW($C$1,$C$2,$C$3,$C$4,$C$6,$C$5,$C$7,AW$1,AW$2,$A267)</f>
        <v>0</v>
      </c>
      <c r="AX267" s="32">
        <f ca="1">_xll.DBRW($C$1,$C$2,$C$3,$C$4,$C$6,$C$5,$C$7,AX$1,AX$2,$A267)</f>
        <v>0</v>
      </c>
      <c r="AY267" s="32">
        <f ca="1">_xll.DBRW($C$1,$C$2,$C$3,$C$4,$C$6,$C$5,$C$7,AY$1,AY$2,$A267)</f>
        <v>0</v>
      </c>
    </row>
    <row r="268" spans="1:51" ht="15.75" hidden="1" customHeight="1" outlineLevel="1">
      <c r="A268" s="1" t="s">
        <v>332</v>
      </c>
      <c r="C268" s="109"/>
      <c r="E268" s="9" t="str">
        <f ca="1">_xll.DBRW(Server&amp;"}ElementAttributes_Indicator",A268,"code_English")</f>
        <v>PL1520_JV - P&amp;L JV - Impairment - Goodwill (joint ventures)  (from 2013)</v>
      </c>
      <c r="F268" s="32">
        <f ca="1">_xll.DBRW($C$1,$C$2,$C$3,$C$4,$C$6,$C$5,$C$7,F$1,F$2,$A268)</f>
        <v>0</v>
      </c>
      <c r="G268" s="32">
        <f ca="1">_xll.DBRW($C$1,$C$2,$C$3,$C$4,$C$6,$C$5,$C$7,G$1,G$2,$A268)</f>
        <v>0</v>
      </c>
      <c r="H268" s="32">
        <f ca="1">_xll.DBRW($C$1,$C$2,$C$3,$C$4,$C$6,$C$5,$C$7,H$1,H$2,$A268)</f>
        <v>0</v>
      </c>
      <c r="I268" s="32">
        <f ca="1">_xll.DBRW($C$1,$C$2,$C$3,$C$4,$C$6,$C$5,$C$7,I$1,I$2,$A268)</f>
        <v>0</v>
      </c>
      <c r="J268" s="32">
        <f ca="1">_xll.DBRW($C$1,$C$2,$C$3,$C$4,$C$6,$C$5,$C$7,J$1,J$2,$A268)</f>
        <v>0</v>
      </c>
      <c r="K268" s="32">
        <f ca="1">_xll.DBRW($C$1,$C$2,$C$3,$C$4,$C$6,$C$5,$C$7,K$1,K$2,$A268)</f>
        <v>0</v>
      </c>
      <c r="L268" s="32">
        <f ca="1">_xll.DBRW($C$1,$C$2,$C$3,$C$4,$C$6,$C$5,$C$7,L$1,L$2,$A268)</f>
        <v>0</v>
      </c>
      <c r="M268" s="32">
        <f ca="1">_xll.DBRW($C$1,$C$2,$C$3,$C$4,$C$6,$C$5,$C$7,M$1,M$2,$A268)</f>
        <v>0</v>
      </c>
      <c r="N268" s="32">
        <f ca="1">_xll.DBRW($C$1,$C$2,$C$3,$C$4,$C$6,$C$5,$C$7,N$1,N$2,$A268)</f>
        <v>0</v>
      </c>
      <c r="O268" s="32">
        <f ca="1">_xll.DBRW($C$1,$C$2,$C$3,$C$4,$C$6,$C$5,$C$7,O$1,O$2,$A268)</f>
        <v>0</v>
      </c>
      <c r="P268" s="32">
        <f ca="1">_xll.DBRW($C$1,$C$2,$C$3,$C$4,$C$6,$C$5,$C$7,P$1,P$2,$A268)</f>
        <v>0</v>
      </c>
      <c r="Q268" s="32">
        <f ca="1">_xll.DBRW($C$1,$C$2,$C$3,$C$4,$C$6,$C$5,$C$7,Q$1,Q$2,$A268)</f>
        <v>0</v>
      </c>
      <c r="R268" s="32">
        <f ca="1">_xll.DBRW($C$1,$C$2,$C$3,$C$4,$C$6,$C$5,$C$7,R$1,R$2,$A268)</f>
        <v>0</v>
      </c>
      <c r="S268" s="32">
        <f ca="1">_xll.DBRW($C$1,$C$2,$C$3,$C$4,$C$6,$C$5,$C$7,S$1,S$2,$A268)</f>
        <v>0</v>
      </c>
      <c r="T268" s="32">
        <f ca="1">_xll.DBRW($C$1,$C$2,$C$3,$C$4,$C$6,$C$5,$C$7,T$1,T$2,$A268)</f>
        <v>0</v>
      </c>
      <c r="U268" s="32">
        <f ca="1">_xll.DBRW($C$1,$C$2,$C$3,$C$4,$C$6,$C$5,$C$7,U$1,U$2,$A268)</f>
        <v>0</v>
      </c>
      <c r="V268" s="32">
        <f ca="1">_xll.DBRW($C$1,$C$2,$C$3,$C$4,$C$6,$C$5,$C$7,V$1,V$2,$A268)</f>
        <v>0</v>
      </c>
      <c r="W268" s="32">
        <f ca="1">_xll.DBRW($C$1,$C$2,$C$3,$C$4,$C$6,$C$5,$C$7,W$1,W$2,$A268)</f>
        <v>0</v>
      </c>
      <c r="X268" s="32">
        <f ca="1">_xll.DBRW($C$1,$C$2,$C$3,$C$4,$C$6,$C$5,$C$7,X$1,X$2,$A268)</f>
        <v>0</v>
      </c>
      <c r="Y268" s="32">
        <f ca="1">_xll.DBRW($C$1,$C$2,$C$3,$C$4,$C$6,$C$5,$C$7,Y$1,Y$2,$A268)</f>
        <v>0</v>
      </c>
      <c r="Z268" s="32">
        <f ca="1">_xll.DBRW($C$1,$C$2,$C$3,$C$4,$C$6,$C$5,$C$7,Z$1,Z$2,$A268)</f>
        <v>0</v>
      </c>
      <c r="AA268" s="32">
        <f ca="1">_xll.DBRW($C$1,$C$2,$C$3,$C$4,$C$6,$C$5,$C$7,AA$1,AA$2,$A268)</f>
        <v>0</v>
      </c>
      <c r="AB268" s="32">
        <f ca="1">_xll.DBRW($C$1,$C$2,$C$3,$C$4,$C$6,$C$5,$C$7,AB$1,AB$2,$A268)</f>
        <v>0</v>
      </c>
      <c r="AC268" s="32">
        <f ca="1">_xll.DBRW($C$1,$C$2,$C$3,$C$4,$C$6,$C$5,$C$7,AC$1,AC$2,$A268)</f>
        <v>0</v>
      </c>
      <c r="AD268" s="32">
        <f ca="1">_xll.DBRW($C$1,$C$2,$C$3,$C$4,$C$6,$C$5,$C$7,AD$1,AD$2,$A268)</f>
        <v>0</v>
      </c>
      <c r="AE268" s="32">
        <f ca="1">_xll.DBRW($C$1,$C$2,$C$3,$C$4,$C$6,$C$5,$C$7,AE$1,AE$2,$A268)</f>
        <v>0</v>
      </c>
      <c r="AF268" s="32">
        <f ca="1">_xll.DBRW($C$1,$C$2,$C$3,$C$4,$C$6,$C$5,$C$7,AF$1,AF$2,$A268)</f>
        <v>0</v>
      </c>
      <c r="AG268" s="32">
        <f ca="1">_xll.DBRW($C$1,$C$2,$C$3,$C$4,$C$6,$C$5,$C$7,AG$1,AG$2,$A268)</f>
        <v>0</v>
      </c>
      <c r="AH268" s="32">
        <f ca="1">_xll.DBRW($C$1,$C$2,$C$3,$C$4,$C$6,$C$5,$C$7,AH$1,AH$2,$A268)</f>
        <v>0</v>
      </c>
      <c r="AI268" s="32">
        <f ca="1">_xll.DBRW($C$1,$C$2,$C$3,$C$4,$C$6,$C$5,$C$7,AI$1,AI$2,$A268)</f>
        <v>0</v>
      </c>
      <c r="AJ268" s="32">
        <f ca="1">_xll.DBRW($C$1,$C$2,$C$3,$C$4,$C$6,$C$5,$C$7,AJ$1,AJ$2,$A268)</f>
        <v>0</v>
      </c>
      <c r="AK268" s="32">
        <f ca="1">_xll.DBRW($C$1,$C$2,$C$3,$C$4,$C$6,$C$5,$C$7,AK$1,AK$2,$A268)</f>
        <v>0</v>
      </c>
      <c r="AL268" s="32">
        <f ca="1">_xll.DBRW($C$1,$C$2,$C$3,$C$4,$C$6,$C$5,$C$7,AL$1,AL$2,$A268)</f>
        <v>0</v>
      </c>
      <c r="AM268" s="32">
        <f ca="1">_xll.DBRW($C$1,$C$2,$C$3,$C$4,$C$6,$C$5,$C$7,AM$1,AM$2,$A268)</f>
        <v>0</v>
      </c>
      <c r="AN268" s="32">
        <f ca="1">_xll.DBRW($C$1,$C$2,$C$3,$C$4,$C$6,$C$5,$C$7,AN$1,AN$2,$A268)</f>
        <v>0</v>
      </c>
      <c r="AO268" s="32">
        <f ca="1">_xll.DBRW($C$1,$C$2,$C$3,$C$4,$C$6,$C$5,$C$7,AO$1,AO$2,$A268)</f>
        <v>0</v>
      </c>
      <c r="AP268" s="32">
        <f ca="1">_xll.DBRW($C$1,$C$2,$C$3,$C$4,$C$6,$C$5,$C$7,AP$1,AP$2,$A268)</f>
        <v>0</v>
      </c>
      <c r="AQ268" s="32">
        <f ca="1">_xll.DBRW($C$1,$C$2,$C$3,$C$4,$C$6,$C$5,$C$7,AQ$1,AQ$2,$A268)</f>
        <v>0</v>
      </c>
      <c r="AR268" s="32">
        <f ca="1">_xll.DBRW($C$1,$C$2,$C$3,$C$4,$C$6,$C$5,$C$7,AR$1,AR$2,$A268)</f>
        <v>0</v>
      </c>
      <c r="AS268" s="32">
        <f ca="1">_xll.DBRW($C$1,$C$2,$C$3,$C$4,$C$6,$C$5,$C$7,AS$1,AS$2,$A268)</f>
        <v>0</v>
      </c>
      <c r="AT268" s="32">
        <f ca="1">_xll.DBRW($C$1,$C$2,$C$3,$C$4,$C$6,$C$5,$C$7,AT$1,AT$2,$A268)</f>
        <v>0</v>
      </c>
      <c r="AU268" s="32">
        <f ca="1">_xll.DBRW($C$1,$C$2,$C$3,$C$4,$C$6,$C$5,$C$7,AU$1,AU$2,$A268)</f>
        <v>0</v>
      </c>
      <c r="AV268" s="32">
        <f ca="1">_xll.DBRW($C$1,$C$2,$C$3,$C$4,$C$6,$C$5,$C$7,AV$1,AV$2,$A268)</f>
        <v>0</v>
      </c>
      <c r="AW268" s="32">
        <f ca="1">_xll.DBRW($C$1,$C$2,$C$3,$C$4,$C$6,$C$5,$C$7,AW$1,AW$2,$A268)</f>
        <v>0</v>
      </c>
      <c r="AX268" s="32">
        <f ca="1">_xll.DBRW($C$1,$C$2,$C$3,$C$4,$C$6,$C$5,$C$7,AX$1,AX$2,$A268)</f>
        <v>0</v>
      </c>
      <c r="AY268" s="32">
        <f ca="1">_xll.DBRW($C$1,$C$2,$C$3,$C$4,$C$6,$C$5,$C$7,AY$1,AY$2,$A268)</f>
        <v>0</v>
      </c>
    </row>
    <row r="269" spans="1:51" ht="15.75" hidden="1" customHeight="1" outlineLevel="1">
      <c r="A269" s="1" t="s">
        <v>333</v>
      </c>
      <c r="C269" s="109"/>
      <c r="E269" s="9" t="str">
        <f ca="1">_xll.DBRW(Server&amp;"}ElementAttributes_Indicator",A269,"code_English")</f>
        <v>PL1520_XX - Vector Reconciliation (TPL15) - Impairment - Goodwill (joint ventures)  (from 2013)</v>
      </c>
      <c r="F269" s="32">
        <f ca="1">_xll.DBRW($C$1,$C$2,$C$3,$C$4,$C$6,$C$5,$C$7,F$1,F$2,$A269)</f>
        <v>0</v>
      </c>
      <c r="G269" s="32">
        <f ca="1">_xll.DBRW($C$1,$C$2,$C$3,$C$4,$C$6,$C$5,$C$7,G$1,G$2,$A269)</f>
        <v>0</v>
      </c>
      <c r="H269" s="32">
        <f ca="1">_xll.DBRW($C$1,$C$2,$C$3,$C$4,$C$6,$C$5,$C$7,H$1,H$2,$A269)</f>
        <v>0</v>
      </c>
      <c r="I269" s="32">
        <f ca="1">_xll.DBRW($C$1,$C$2,$C$3,$C$4,$C$6,$C$5,$C$7,I$1,I$2,$A269)</f>
        <v>0</v>
      </c>
      <c r="J269" s="32">
        <f ca="1">_xll.DBRW($C$1,$C$2,$C$3,$C$4,$C$6,$C$5,$C$7,J$1,J$2,$A269)</f>
        <v>0</v>
      </c>
      <c r="K269" s="32">
        <f ca="1">_xll.DBRW($C$1,$C$2,$C$3,$C$4,$C$6,$C$5,$C$7,K$1,K$2,$A269)</f>
        <v>0</v>
      </c>
      <c r="L269" s="32">
        <f ca="1">_xll.DBRW($C$1,$C$2,$C$3,$C$4,$C$6,$C$5,$C$7,L$1,L$2,$A269)</f>
        <v>0</v>
      </c>
      <c r="M269" s="32">
        <f ca="1">_xll.DBRW($C$1,$C$2,$C$3,$C$4,$C$6,$C$5,$C$7,M$1,M$2,$A269)</f>
        <v>0</v>
      </c>
      <c r="N269" s="32">
        <f ca="1">_xll.DBRW($C$1,$C$2,$C$3,$C$4,$C$6,$C$5,$C$7,N$1,N$2,$A269)</f>
        <v>0</v>
      </c>
      <c r="O269" s="32">
        <f ca="1">_xll.DBRW($C$1,$C$2,$C$3,$C$4,$C$6,$C$5,$C$7,O$1,O$2,$A269)</f>
        <v>0</v>
      </c>
      <c r="P269" s="32">
        <f ca="1">_xll.DBRW($C$1,$C$2,$C$3,$C$4,$C$6,$C$5,$C$7,P$1,P$2,$A269)</f>
        <v>0</v>
      </c>
      <c r="Q269" s="32">
        <f ca="1">_xll.DBRW($C$1,$C$2,$C$3,$C$4,$C$6,$C$5,$C$7,Q$1,Q$2,$A269)</f>
        <v>0</v>
      </c>
      <c r="R269" s="32">
        <f ca="1">_xll.DBRW($C$1,$C$2,$C$3,$C$4,$C$6,$C$5,$C$7,R$1,R$2,$A269)</f>
        <v>0</v>
      </c>
      <c r="S269" s="32">
        <f ca="1">_xll.DBRW($C$1,$C$2,$C$3,$C$4,$C$6,$C$5,$C$7,S$1,S$2,$A269)</f>
        <v>0</v>
      </c>
      <c r="T269" s="32">
        <f ca="1">_xll.DBRW($C$1,$C$2,$C$3,$C$4,$C$6,$C$5,$C$7,T$1,T$2,$A269)</f>
        <v>0</v>
      </c>
      <c r="U269" s="32">
        <f ca="1">_xll.DBRW($C$1,$C$2,$C$3,$C$4,$C$6,$C$5,$C$7,U$1,U$2,$A269)</f>
        <v>0</v>
      </c>
      <c r="V269" s="32">
        <f ca="1">_xll.DBRW($C$1,$C$2,$C$3,$C$4,$C$6,$C$5,$C$7,V$1,V$2,$A269)</f>
        <v>0</v>
      </c>
      <c r="W269" s="32">
        <f ca="1">_xll.DBRW($C$1,$C$2,$C$3,$C$4,$C$6,$C$5,$C$7,W$1,W$2,$A269)</f>
        <v>0</v>
      </c>
      <c r="X269" s="32">
        <f ca="1">_xll.DBRW($C$1,$C$2,$C$3,$C$4,$C$6,$C$5,$C$7,X$1,X$2,$A269)</f>
        <v>0</v>
      </c>
      <c r="Y269" s="32">
        <f ca="1">_xll.DBRW($C$1,$C$2,$C$3,$C$4,$C$6,$C$5,$C$7,Y$1,Y$2,$A269)</f>
        <v>0</v>
      </c>
      <c r="Z269" s="32">
        <f ca="1">_xll.DBRW($C$1,$C$2,$C$3,$C$4,$C$6,$C$5,$C$7,Z$1,Z$2,$A269)</f>
        <v>0</v>
      </c>
      <c r="AA269" s="32">
        <f ca="1">_xll.DBRW($C$1,$C$2,$C$3,$C$4,$C$6,$C$5,$C$7,AA$1,AA$2,$A269)</f>
        <v>0</v>
      </c>
      <c r="AB269" s="32">
        <f ca="1">_xll.DBRW($C$1,$C$2,$C$3,$C$4,$C$6,$C$5,$C$7,AB$1,AB$2,$A269)</f>
        <v>0</v>
      </c>
      <c r="AC269" s="32">
        <f ca="1">_xll.DBRW($C$1,$C$2,$C$3,$C$4,$C$6,$C$5,$C$7,AC$1,AC$2,$A269)</f>
        <v>0</v>
      </c>
      <c r="AD269" s="32">
        <f ca="1">_xll.DBRW($C$1,$C$2,$C$3,$C$4,$C$6,$C$5,$C$7,AD$1,AD$2,$A269)</f>
        <v>0</v>
      </c>
      <c r="AE269" s="32">
        <f ca="1">_xll.DBRW($C$1,$C$2,$C$3,$C$4,$C$6,$C$5,$C$7,AE$1,AE$2,$A269)</f>
        <v>0</v>
      </c>
      <c r="AF269" s="32">
        <f ca="1">_xll.DBRW($C$1,$C$2,$C$3,$C$4,$C$6,$C$5,$C$7,AF$1,AF$2,$A269)</f>
        <v>0</v>
      </c>
      <c r="AG269" s="32">
        <f ca="1">_xll.DBRW($C$1,$C$2,$C$3,$C$4,$C$6,$C$5,$C$7,AG$1,AG$2,$A269)</f>
        <v>0</v>
      </c>
      <c r="AH269" s="32">
        <f ca="1">_xll.DBRW($C$1,$C$2,$C$3,$C$4,$C$6,$C$5,$C$7,AH$1,AH$2,$A269)</f>
        <v>0</v>
      </c>
      <c r="AI269" s="32">
        <f ca="1">_xll.DBRW($C$1,$C$2,$C$3,$C$4,$C$6,$C$5,$C$7,AI$1,AI$2,$A269)</f>
        <v>0</v>
      </c>
      <c r="AJ269" s="32">
        <f ca="1">_xll.DBRW($C$1,$C$2,$C$3,$C$4,$C$6,$C$5,$C$7,AJ$1,AJ$2,$A269)</f>
        <v>0</v>
      </c>
      <c r="AK269" s="32">
        <f ca="1">_xll.DBRW($C$1,$C$2,$C$3,$C$4,$C$6,$C$5,$C$7,AK$1,AK$2,$A269)</f>
        <v>0</v>
      </c>
      <c r="AL269" s="32">
        <f ca="1">_xll.DBRW($C$1,$C$2,$C$3,$C$4,$C$6,$C$5,$C$7,AL$1,AL$2,$A269)</f>
        <v>0</v>
      </c>
      <c r="AM269" s="32">
        <f ca="1">_xll.DBRW($C$1,$C$2,$C$3,$C$4,$C$6,$C$5,$C$7,AM$1,AM$2,$A269)</f>
        <v>0</v>
      </c>
      <c r="AN269" s="32">
        <f ca="1">_xll.DBRW($C$1,$C$2,$C$3,$C$4,$C$6,$C$5,$C$7,AN$1,AN$2,$A269)</f>
        <v>0</v>
      </c>
      <c r="AO269" s="32">
        <f ca="1">_xll.DBRW($C$1,$C$2,$C$3,$C$4,$C$6,$C$5,$C$7,AO$1,AO$2,$A269)</f>
        <v>0</v>
      </c>
      <c r="AP269" s="32">
        <f ca="1">_xll.DBRW($C$1,$C$2,$C$3,$C$4,$C$6,$C$5,$C$7,AP$1,AP$2,$A269)</f>
        <v>0</v>
      </c>
      <c r="AQ269" s="32">
        <f ca="1">_xll.DBRW($C$1,$C$2,$C$3,$C$4,$C$6,$C$5,$C$7,AQ$1,AQ$2,$A269)</f>
        <v>0</v>
      </c>
      <c r="AR269" s="32">
        <f ca="1">_xll.DBRW($C$1,$C$2,$C$3,$C$4,$C$6,$C$5,$C$7,AR$1,AR$2,$A269)</f>
        <v>0</v>
      </c>
      <c r="AS269" s="32">
        <f ca="1">_xll.DBRW($C$1,$C$2,$C$3,$C$4,$C$6,$C$5,$C$7,AS$1,AS$2,$A269)</f>
        <v>0</v>
      </c>
      <c r="AT269" s="32">
        <f ca="1">_xll.DBRW($C$1,$C$2,$C$3,$C$4,$C$6,$C$5,$C$7,AT$1,AT$2,$A269)</f>
        <v>0</v>
      </c>
      <c r="AU269" s="32">
        <f ca="1">_xll.DBRW($C$1,$C$2,$C$3,$C$4,$C$6,$C$5,$C$7,AU$1,AU$2,$A269)</f>
        <v>0</v>
      </c>
      <c r="AV269" s="32">
        <f ca="1">_xll.DBRW($C$1,$C$2,$C$3,$C$4,$C$6,$C$5,$C$7,AV$1,AV$2,$A269)</f>
        <v>0</v>
      </c>
      <c r="AW269" s="32">
        <f ca="1">_xll.DBRW($C$1,$C$2,$C$3,$C$4,$C$6,$C$5,$C$7,AW$1,AW$2,$A269)</f>
        <v>0</v>
      </c>
      <c r="AX269" s="32">
        <f ca="1">_xll.DBRW($C$1,$C$2,$C$3,$C$4,$C$6,$C$5,$C$7,AX$1,AX$2,$A269)</f>
        <v>0</v>
      </c>
      <c r="AY269" s="32">
        <f ca="1">_xll.DBRW($C$1,$C$2,$C$3,$C$4,$C$6,$C$5,$C$7,AY$1,AY$2,$A269)</f>
        <v>0</v>
      </c>
    </row>
    <row r="270" spans="1:51" ht="15.5" hidden="1" outlineLevel="1" collapsed="1">
      <c r="A270" s="1" t="s">
        <v>142</v>
      </c>
      <c r="C270" s="109"/>
      <c r="E270" s="11" t="s">
        <v>65</v>
      </c>
      <c r="F270" s="35">
        <f ca="1">SUM(F266:F269)</f>
        <v>0</v>
      </c>
      <c r="G270" s="35">
        <f ca="1">SUM(G266:G269)</f>
        <v>0</v>
      </c>
      <c r="H270" s="35">
        <f ca="1">SUM(H266:H269)</f>
        <v>0</v>
      </c>
      <c r="I270" s="35">
        <f ca="1">SUM(I266:I269)</f>
        <v>0</v>
      </c>
      <c r="J270" s="35">
        <f ca="1">SUM(J266:J269)</f>
        <v>0</v>
      </c>
      <c r="K270" s="35">
        <f t="shared" ref="K270:AY270" ca="1" si="191">SUM(K266:K269)</f>
        <v>0</v>
      </c>
      <c r="L270" s="35">
        <f t="shared" ca="1" si="191"/>
        <v>0</v>
      </c>
      <c r="M270" s="35">
        <f t="shared" ca="1" si="191"/>
        <v>0</v>
      </c>
      <c r="N270" s="35">
        <f t="shared" ca="1" si="191"/>
        <v>0</v>
      </c>
      <c r="O270" s="35">
        <f t="shared" ca="1" si="191"/>
        <v>0</v>
      </c>
      <c r="P270" s="35">
        <f t="shared" ca="1" si="191"/>
        <v>0</v>
      </c>
      <c r="Q270" s="35">
        <f t="shared" ca="1" si="191"/>
        <v>0</v>
      </c>
      <c r="R270" s="35">
        <f t="shared" ca="1" si="191"/>
        <v>0</v>
      </c>
      <c r="S270" s="35">
        <f t="shared" ca="1" si="191"/>
        <v>0</v>
      </c>
      <c r="T270" s="35">
        <f t="shared" ca="1" si="191"/>
        <v>0</v>
      </c>
      <c r="U270" s="35">
        <f t="shared" ca="1" si="191"/>
        <v>0</v>
      </c>
      <c r="V270" s="35">
        <f t="shared" ca="1" si="191"/>
        <v>0</v>
      </c>
      <c r="W270" s="35">
        <f t="shared" ca="1" si="191"/>
        <v>0</v>
      </c>
      <c r="X270" s="35">
        <f t="shared" ca="1" si="191"/>
        <v>0</v>
      </c>
      <c r="Y270" s="35">
        <f t="shared" ca="1" si="191"/>
        <v>0</v>
      </c>
      <c r="Z270" s="35">
        <f t="shared" ca="1" si="191"/>
        <v>0</v>
      </c>
      <c r="AA270" s="35">
        <f t="shared" ca="1" si="191"/>
        <v>0</v>
      </c>
      <c r="AB270" s="35">
        <f t="shared" ca="1" si="191"/>
        <v>0</v>
      </c>
      <c r="AC270" s="35">
        <f t="shared" ca="1" si="191"/>
        <v>0</v>
      </c>
      <c r="AD270" s="35">
        <f t="shared" ca="1" si="191"/>
        <v>0</v>
      </c>
      <c r="AE270" s="35">
        <f t="shared" ca="1" si="191"/>
        <v>0</v>
      </c>
      <c r="AF270" s="35">
        <f t="shared" ca="1" si="191"/>
        <v>0</v>
      </c>
      <c r="AG270" s="35">
        <f t="shared" ca="1" si="191"/>
        <v>0</v>
      </c>
      <c r="AH270" s="35">
        <f t="shared" ca="1" si="191"/>
        <v>0</v>
      </c>
      <c r="AI270" s="35">
        <f t="shared" ca="1" si="191"/>
        <v>0</v>
      </c>
      <c r="AJ270" s="35">
        <f t="shared" ca="1" si="191"/>
        <v>0</v>
      </c>
      <c r="AK270" s="35">
        <f t="shared" ca="1" si="191"/>
        <v>0</v>
      </c>
      <c r="AL270" s="35">
        <f t="shared" ca="1" si="191"/>
        <v>0</v>
      </c>
      <c r="AM270" s="35">
        <f t="shared" ca="1" si="191"/>
        <v>0</v>
      </c>
      <c r="AN270" s="35">
        <f t="shared" ca="1" si="191"/>
        <v>0</v>
      </c>
      <c r="AO270" s="35">
        <f t="shared" ca="1" si="191"/>
        <v>0</v>
      </c>
      <c r="AP270" s="35">
        <f t="shared" ca="1" si="191"/>
        <v>0</v>
      </c>
      <c r="AQ270" s="35">
        <f t="shared" ca="1" si="191"/>
        <v>0</v>
      </c>
      <c r="AR270" s="35">
        <f t="shared" ca="1" si="191"/>
        <v>0</v>
      </c>
      <c r="AS270" s="35">
        <f t="shared" ca="1" si="191"/>
        <v>0</v>
      </c>
      <c r="AT270" s="35">
        <f t="shared" ca="1" si="191"/>
        <v>0</v>
      </c>
      <c r="AU270" s="35">
        <f t="shared" ca="1" si="191"/>
        <v>0</v>
      </c>
      <c r="AV270" s="35">
        <f t="shared" ca="1" si="191"/>
        <v>0</v>
      </c>
      <c r="AW270" s="35">
        <f t="shared" ca="1" si="191"/>
        <v>0</v>
      </c>
      <c r="AX270" s="35">
        <f t="shared" ca="1" si="191"/>
        <v>0</v>
      </c>
      <c r="AY270" s="35">
        <f t="shared" ca="1" si="191"/>
        <v>0</v>
      </c>
    </row>
    <row r="271" spans="1:51" ht="15.75" hidden="1" customHeight="1" outlineLevel="2">
      <c r="A271" s="1" t="s">
        <v>334</v>
      </c>
      <c r="C271" s="109"/>
      <c r="E271" s="9" t="str">
        <f ca="1">_xll.DBRW(Server&amp;"}ElementAttributes_Indicator",A271,"code_English")</f>
        <v>PL1600_AS - P&amp;L AS - Share in profit or loss of associates (from 2013)</v>
      </c>
      <c r="F271" s="32">
        <f ca="1">_xll.DBRW($C$1,$C$2,$C$3,$C$4,$C$6,$C$5,$C$7,F$1,F$2,$A271)</f>
        <v>0</v>
      </c>
      <c r="G271" s="32">
        <f ca="1">_xll.DBRW($C$1,$C$2,$C$3,$C$4,$C$6,$C$5,$C$7,G$1,G$2,$A271)</f>
        <v>0</v>
      </c>
      <c r="H271" s="32">
        <f ca="1">_xll.DBRW($C$1,$C$2,$C$3,$C$4,$C$6,$C$5,$C$7,H$1,H$2,$A271)</f>
        <v>0</v>
      </c>
      <c r="I271" s="32">
        <f ca="1">_xll.DBRW($C$1,$C$2,$C$3,$C$4,$C$6,$C$5,$C$7,I$1,I$2,$A271)</f>
        <v>0</v>
      </c>
      <c r="J271" s="32">
        <f ca="1">_xll.DBRW($C$1,$C$2,$C$3,$C$4,$C$6,$C$5,$C$7,J$1,J$2,$A271)</f>
        <v>0</v>
      </c>
      <c r="K271" s="32">
        <f ca="1">_xll.DBRW($C$1,$C$2,$C$3,$C$4,$C$6,$C$5,$C$7,K$1,K$2,$A271)</f>
        <v>0</v>
      </c>
      <c r="L271" s="32">
        <f ca="1">_xll.DBRW($C$1,$C$2,$C$3,$C$4,$C$6,$C$5,$C$7,L$1,L$2,$A271)</f>
        <v>0</v>
      </c>
      <c r="M271" s="32">
        <f ca="1">_xll.DBRW($C$1,$C$2,$C$3,$C$4,$C$6,$C$5,$C$7,M$1,M$2,$A271)</f>
        <v>0</v>
      </c>
      <c r="N271" s="32">
        <f ca="1">_xll.DBRW($C$1,$C$2,$C$3,$C$4,$C$6,$C$5,$C$7,N$1,N$2,$A271)</f>
        <v>0</v>
      </c>
      <c r="O271" s="32">
        <f ca="1">_xll.DBRW($C$1,$C$2,$C$3,$C$4,$C$6,$C$5,$C$7,O$1,O$2,$A271)</f>
        <v>0</v>
      </c>
      <c r="P271" s="32">
        <f ca="1">_xll.DBRW($C$1,$C$2,$C$3,$C$4,$C$6,$C$5,$C$7,P$1,P$2,$A271)</f>
        <v>0</v>
      </c>
      <c r="Q271" s="32">
        <f ca="1">_xll.DBRW($C$1,$C$2,$C$3,$C$4,$C$6,$C$5,$C$7,Q$1,Q$2,$A271)</f>
        <v>0</v>
      </c>
      <c r="R271" s="32">
        <f ca="1">_xll.DBRW($C$1,$C$2,$C$3,$C$4,$C$6,$C$5,$C$7,R$1,R$2,$A271)</f>
        <v>0</v>
      </c>
      <c r="S271" s="32">
        <f ca="1">_xll.DBRW($C$1,$C$2,$C$3,$C$4,$C$6,$C$5,$C$7,S$1,S$2,$A271)</f>
        <v>0</v>
      </c>
      <c r="T271" s="32">
        <f ca="1">_xll.DBRW($C$1,$C$2,$C$3,$C$4,$C$6,$C$5,$C$7,T$1,T$2,$A271)</f>
        <v>0</v>
      </c>
      <c r="U271" s="32">
        <f ca="1">_xll.DBRW($C$1,$C$2,$C$3,$C$4,$C$6,$C$5,$C$7,U$1,U$2,$A271)</f>
        <v>0</v>
      </c>
      <c r="V271" s="32">
        <f ca="1">_xll.DBRW($C$1,$C$2,$C$3,$C$4,$C$6,$C$5,$C$7,V$1,V$2,$A271)</f>
        <v>0</v>
      </c>
      <c r="W271" s="32">
        <f ca="1">_xll.DBRW($C$1,$C$2,$C$3,$C$4,$C$6,$C$5,$C$7,W$1,W$2,$A271)</f>
        <v>0</v>
      </c>
      <c r="X271" s="32">
        <f ca="1">_xll.DBRW($C$1,$C$2,$C$3,$C$4,$C$6,$C$5,$C$7,X$1,X$2,$A271)</f>
        <v>0</v>
      </c>
      <c r="Y271" s="32">
        <f ca="1">_xll.DBRW($C$1,$C$2,$C$3,$C$4,$C$6,$C$5,$C$7,Y$1,Y$2,$A271)</f>
        <v>0</v>
      </c>
      <c r="Z271" s="32">
        <f ca="1">_xll.DBRW($C$1,$C$2,$C$3,$C$4,$C$6,$C$5,$C$7,Z$1,Z$2,$A271)</f>
        <v>0</v>
      </c>
      <c r="AA271" s="32">
        <f ca="1">_xll.DBRW($C$1,$C$2,$C$3,$C$4,$C$6,$C$5,$C$7,AA$1,AA$2,$A271)</f>
        <v>0</v>
      </c>
      <c r="AB271" s="32">
        <f ca="1">_xll.DBRW($C$1,$C$2,$C$3,$C$4,$C$6,$C$5,$C$7,AB$1,AB$2,$A271)</f>
        <v>0</v>
      </c>
      <c r="AC271" s="32">
        <f ca="1">_xll.DBRW($C$1,$C$2,$C$3,$C$4,$C$6,$C$5,$C$7,AC$1,AC$2,$A271)</f>
        <v>0</v>
      </c>
      <c r="AD271" s="32">
        <f ca="1">_xll.DBRW($C$1,$C$2,$C$3,$C$4,$C$6,$C$5,$C$7,AD$1,AD$2,$A271)</f>
        <v>0</v>
      </c>
      <c r="AE271" s="32">
        <f ca="1">_xll.DBRW($C$1,$C$2,$C$3,$C$4,$C$6,$C$5,$C$7,AE$1,AE$2,$A271)</f>
        <v>0</v>
      </c>
      <c r="AF271" s="32">
        <f ca="1">_xll.DBRW($C$1,$C$2,$C$3,$C$4,$C$6,$C$5,$C$7,AF$1,AF$2,$A271)</f>
        <v>0</v>
      </c>
      <c r="AG271" s="32">
        <f ca="1">_xll.DBRW($C$1,$C$2,$C$3,$C$4,$C$6,$C$5,$C$7,AG$1,AG$2,$A271)</f>
        <v>0</v>
      </c>
      <c r="AH271" s="32">
        <f ca="1">_xll.DBRW($C$1,$C$2,$C$3,$C$4,$C$6,$C$5,$C$7,AH$1,AH$2,$A271)</f>
        <v>0</v>
      </c>
      <c r="AI271" s="32">
        <f ca="1">_xll.DBRW($C$1,$C$2,$C$3,$C$4,$C$6,$C$5,$C$7,AI$1,AI$2,$A271)</f>
        <v>0</v>
      </c>
      <c r="AJ271" s="32">
        <f ca="1">_xll.DBRW($C$1,$C$2,$C$3,$C$4,$C$6,$C$5,$C$7,AJ$1,AJ$2,$A271)</f>
        <v>0</v>
      </c>
      <c r="AK271" s="32">
        <f ca="1">_xll.DBRW($C$1,$C$2,$C$3,$C$4,$C$6,$C$5,$C$7,AK$1,AK$2,$A271)</f>
        <v>0</v>
      </c>
      <c r="AL271" s="32">
        <f ca="1">_xll.DBRW($C$1,$C$2,$C$3,$C$4,$C$6,$C$5,$C$7,AL$1,AL$2,$A271)</f>
        <v>0</v>
      </c>
      <c r="AM271" s="32">
        <f ca="1">_xll.DBRW($C$1,$C$2,$C$3,$C$4,$C$6,$C$5,$C$7,AM$1,AM$2,$A271)</f>
        <v>0</v>
      </c>
      <c r="AN271" s="32">
        <f ca="1">_xll.DBRW($C$1,$C$2,$C$3,$C$4,$C$6,$C$5,$C$7,AN$1,AN$2,$A271)</f>
        <v>0</v>
      </c>
      <c r="AO271" s="32">
        <f ca="1">_xll.DBRW($C$1,$C$2,$C$3,$C$4,$C$6,$C$5,$C$7,AO$1,AO$2,$A271)</f>
        <v>0</v>
      </c>
      <c r="AP271" s="32">
        <f ca="1">_xll.DBRW($C$1,$C$2,$C$3,$C$4,$C$6,$C$5,$C$7,AP$1,AP$2,$A271)</f>
        <v>0</v>
      </c>
      <c r="AQ271" s="32">
        <f ca="1">_xll.DBRW($C$1,$C$2,$C$3,$C$4,$C$6,$C$5,$C$7,AQ$1,AQ$2,$A271)</f>
        <v>0</v>
      </c>
      <c r="AR271" s="32">
        <f ca="1">_xll.DBRW($C$1,$C$2,$C$3,$C$4,$C$6,$C$5,$C$7,AR$1,AR$2,$A271)</f>
        <v>0</v>
      </c>
      <c r="AS271" s="32">
        <f ca="1">_xll.DBRW($C$1,$C$2,$C$3,$C$4,$C$6,$C$5,$C$7,AS$1,AS$2,$A271)</f>
        <v>0</v>
      </c>
      <c r="AT271" s="32">
        <f ca="1">_xll.DBRW($C$1,$C$2,$C$3,$C$4,$C$6,$C$5,$C$7,AT$1,AT$2,$A271)</f>
        <v>0</v>
      </c>
      <c r="AU271" s="32">
        <f ca="1">_xll.DBRW($C$1,$C$2,$C$3,$C$4,$C$6,$C$5,$C$7,AU$1,AU$2,$A271)</f>
        <v>0</v>
      </c>
      <c r="AV271" s="32">
        <f ca="1">_xll.DBRW($C$1,$C$2,$C$3,$C$4,$C$6,$C$5,$C$7,AV$1,AV$2,$A271)</f>
        <v>0</v>
      </c>
      <c r="AW271" s="32">
        <f ca="1">_xll.DBRW($C$1,$C$2,$C$3,$C$4,$C$6,$C$5,$C$7,AW$1,AW$2,$A271)</f>
        <v>0</v>
      </c>
      <c r="AX271" s="32">
        <f ca="1">_xll.DBRW($C$1,$C$2,$C$3,$C$4,$C$6,$C$5,$C$7,AX$1,AX$2,$A271)</f>
        <v>0</v>
      </c>
      <c r="AY271" s="32">
        <f ca="1">_xll.DBRW($C$1,$C$2,$C$3,$C$4,$C$6,$C$5,$C$7,AY$1,AY$2,$A271)</f>
        <v>0</v>
      </c>
    </row>
    <row r="272" spans="1:51" ht="15.75" hidden="1" customHeight="1" outlineLevel="2">
      <c r="A272" s="1" t="s">
        <v>335</v>
      </c>
      <c r="C272" s="109"/>
      <c r="E272" s="9" t="str">
        <f ca="1">_xll.DBRW(Server&amp;"}ElementAttributes_Indicator",A272,"code_English")</f>
        <v>PL1600_XX - Vector Reconciliation (TPL16) - Share in profit or loss of associates (from 2013)</v>
      </c>
      <c r="F272" s="32">
        <f ca="1">_xll.DBRW($C$1,$C$2,$C$3,$C$4,$C$6,$C$5,$C$7,F$1,F$2,$A272)</f>
        <v>0</v>
      </c>
      <c r="G272" s="32">
        <f ca="1">_xll.DBRW($C$1,$C$2,$C$3,$C$4,$C$6,$C$5,$C$7,G$1,G$2,$A272)</f>
        <v>0</v>
      </c>
      <c r="H272" s="32">
        <f ca="1">_xll.DBRW($C$1,$C$2,$C$3,$C$4,$C$6,$C$5,$C$7,H$1,H$2,$A272)</f>
        <v>0</v>
      </c>
      <c r="I272" s="32">
        <f ca="1">_xll.DBRW($C$1,$C$2,$C$3,$C$4,$C$6,$C$5,$C$7,I$1,I$2,$A272)</f>
        <v>0</v>
      </c>
      <c r="J272" s="32">
        <f ca="1">_xll.DBRW($C$1,$C$2,$C$3,$C$4,$C$6,$C$5,$C$7,J$1,J$2,$A272)</f>
        <v>0</v>
      </c>
      <c r="K272" s="32">
        <f ca="1">_xll.DBRW($C$1,$C$2,$C$3,$C$4,$C$6,$C$5,$C$7,K$1,K$2,$A272)</f>
        <v>0</v>
      </c>
      <c r="L272" s="32">
        <f ca="1">_xll.DBRW($C$1,$C$2,$C$3,$C$4,$C$6,$C$5,$C$7,L$1,L$2,$A272)</f>
        <v>0</v>
      </c>
      <c r="M272" s="32">
        <f ca="1">_xll.DBRW($C$1,$C$2,$C$3,$C$4,$C$6,$C$5,$C$7,M$1,M$2,$A272)</f>
        <v>0</v>
      </c>
      <c r="N272" s="32">
        <f ca="1">_xll.DBRW($C$1,$C$2,$C$3,$C$4,$C$6,$C$5,$C$7,N$1,N$2,$A272)</f>
        <v>0</v>
      </c>
      <c r="O272" s="32">
        <f ca="1">_xll.DBRW($C$1,$C$2,$C$3,$C$4,$C$6,$C$5,$C$7,O$1,O$2,$A272)</f>
        <v>0</v>
      </c>
      <c r="P272" s="32">
        <f ca="1">_xll.DBRW($C$1,$C$2,$C$3,$C$4,$C$6,$C$5,$C$7,P$1,P$2,$A272)</f>
        <v>0</v>
      </c>
      <c r="Q272" s="32">
        <f ca="1">_xll.DBRW($C$1,$C$2,$C$3,$C$4,$C$6,$C$5,$C$7,Q$1,Q$2,$A272)</f>
        <v>0</v>
      </c>
      <c r="R272" s="32">
        <f ca="1">_xll.DBRW($C$1,$C$2,$C$3,$C$4,$C$6,$C$5,$C$7,R$1,R$2,$A272)</f>
        <v>0</v>
      </c>
      <c r="S272" s="32">
        <f ca="1">_xll.DBRW($C$1,$C$2,$C$3,$C$4,$C$6,$C$5,$C$7,S$1,S$2,$A272)</f>
        <v>0</v>
      </c>
      <c r="T272" s="32">
        <f ca="1">_xll.DBRW($C$1,$C$2,$C$3,$C$4,$C$6,$C$5,$C$7,T$1,T$2,$A272)</f>
        <v>0</v>
      </c>
      <c r="U272" s="32">
        <f ca="1">_xll.DBRW($C$1,$C$2,$C$3,$C$4,$C$6,$C$5,$C$7,U$1,U$2,$A272)</f>
        <v>0</v>
      </c>
      <c r="V272" s="32">
        <f ca="1">_xll.DBRW($C$1,$C$2,$C$3,$C$4,$C$6,$C$5,$C$7,V$1,V$2,$A272)</f>
        <v>0</v>
      </c>
      <c r="W272" s="32">
        <f ca="1">_xll.DBRW($C$1,$C$2,$C$3,$C$4,$C$6,$C$5,$C$7,W$1,W$2,$A272)</f>
        <v>0</v>
      </c>
      <c r="X272" s="32">
        <f ca="1">_xll.DBRW($C$1,$C$2,$C$3,$C$4,$C$6,$C$5,$C$7,X$1,X$2,$A272)</f>
        <v>0</v>
      </c>
      <c r="Y272" s="32">
        <f ca="1">_xll.DBRW($C$1,$C$2,$C$3,$C$4,$C$6,$C$5,$C$7,Y$1,Y$2,$A272)</f>
        <v>0</v>
      </c>
      <c r="Z272" s="32">
        <f ca="1">_xll.DBRW($C$1,$C$2,$C$3,$C$4,$C$6,$C$5,$C$7,Z$1,Z$2,$A272)</f>
        <v>0</v>
      </c>
      <c r="AA272" s="32">
        <f ca="1">_xll.DBRW($C$1,$C$2,$C$3,$C$4,$C$6,$C$5,$C$7,AA$1,AA$2,$A272)</f>
        <v>0</v>
      </c>
      <c r="AB272" s="32">
        <f ca="1">_xll.DBRW($C$1,$C$2,$C$3,$C$4,$C$6,$C$5,$C$7,AB$1,AB$2,$A272)</f>
        <v>0</v>
      </c>
      <c r="AC272" s="32">
        <f ca="1">_xll.DBRW($C$1,$C$2,$C$3,$C$4,$C$6,$C$5,$C$7,AC$1,AC$2,$A272)</f>
        <v>0</v>
      </c>
      <c r="AD272" s="32">
        <f ca="1">_xll.DBRW($C$1,$C$2,$C$3,$C$4,$C$6,$C$5,$C$7,AD$1,AD$2,$A272)</f>
        <v>0</v>
      </c>
      <c r="AE272" s="32">
        <f ca="1">_xll.DBRW($C$1,$C$2,$C$3,$C$4,$C$6,$C$5,$C$7,AE$1,AE$2,$A272)</f>
        <v>0</v>
      </c>
      <c r="AF272" s="32">
        <f ca="1">_xll.DBRW($C$1,$C$2,$C$3,$C$4,$C$6,$C$5,$C$7,AF$1,AF$2,$A272)</f>
        <v>0</v>
      </c>
      <c r="AG272" s="32">
        <f ca="1">_xll.DBRW($C$1,$C$2,$C$3,$C$4,$C$6,$C$5,$C$7,AG$1,AG$2,$A272)</f>
        <v>0</v>
      </c>
      <c r="AH272" s="32">
        <f ca="1">_xll.DBRW($C$1,$C$2,$C$3,$C$4,$C$6,$C$5,$C$7,AH$1,AH$2,$A272)</f>
        <v>0</v>
      </c>
      <c r="AI272" s="32">
        <f ca="1">_xll.DBRW($C$1,$C$2,$C$3,$C$4,$C$6,$C$5,$C$7,AI$1,AI$2,$A272)</f>
        <v>0</v>
      </c>
      <c r="AJ272" s="32">
        <f ca="1">_xll.DBRW($C$1,$C$2,$C$3,$C$4,$C$6,$C$5,$C$7,AJ$1,AJ$2,$A272)</f>
        <v>0</v>
      </c>
      <c r="AK272" s="32">
        <f ca="1">_xll.DBRW($C$1,$C$2,$C$3,$C$4,$C$6,$C$5,$C$7,AK$1,AK$2,$A272)</f>
        <v>0</v>
      </c>
      <c r="AL272" s="32">
        <f ca="1">_xll.DBRW($C$1,$C$2,$C$3,$C$4,$C$6,$C$5,$C$7,AL$1,AL$2,$A272)</f>
        <v>0</v>
      </c>
      <c r="AM272" s="32">
        <f ca="1">_xll.DBRW($C$1,$C$2,$C$3,$C$4,$C$6,$C$5,$C$7,AM$1,AM$2,$A272)</f>
        <v>0</v>
      </c>
      <c r="AN272" s="32">
        <f ca="1">_xll.DBRW($C$1,$C$2,$C$3,$C$4,$C$6,$C$5,$C$7,AN$1,AN$2,$A272)</f>
        <v>0</v>
      </c>
      <c r="AO272" s="32">
        <f ca="1">_xll.DBRW($C$1,$C$2,$C$3,$C$4,$C$6,$C$5,$C$7,AO$1,AO$2,$A272)</f>
        <v>0</v>
      </c>
      <c r="AP272" s="32">
        <f ca="1">_xll.DBRW($C$1,$C$2,$C$3,$C$4,$C$6,$C$5,$C$7,AP$1,AP$2,$A272)</f>
        <v>0</v>
      </c>
      <c r="AQ272" s="32">
        <f ca="1">_xll.DBRW($C$1,$C$2,$C$3,$C$4,$C$6,$C$5,$C$7,AQ$1,AQ$2,$A272)</f>
        <v>0</v>
      </c>
      <c r="AR272" s="32">
        <f ca="1">_xll.DBRW($C$1,$C$2,$C$3,$C$4,$C$6,$C$5,$C$7,AR$1,AR$2,$A272)</f>
        <v>0</v>
      </c>
      <c r="AS272" s="32">
        <f ca="1">_xll.DBRW($C$1,$C$2,$C$3,$C$4,$C$6,$C$5,$C$7,AS$1,AS$2,$A272)</f>
        <v>0</v>
      </c>
      <c r="AT272" s="32">
        <f ca="1">_xll.DBRW($C$1,$C$2,$C$3,$C$4,$C$6,$C$5,$C$7,AT$1,AT$2,$A272)</f>
        <v>0</v>
      </c>
      <c r="AU272" s="32">
        <f ca="1">_xll.DBRW($C$1,$C$2,$C$3,$C$4,$C$6,$C$5,$C$7,AU$1,AU$2,$A272)</f>
        <v>0</v>
      </c>
      <c r="AV272" s="32">
        <f ca="1">_xll.DBRW($C$1,$C$2,$C$3,$C$4,$C$6,$C$5,$C$7,AV$1,AV$2,$A272)</f>
        <v>0</v>
      </c>
      <c r="AW272" s="32">
        <f ca="1">_xll.DBRW($C$1,$C$2,$C$3,$C$4,$C$6,$C$5,$C$7,AW$1,AW$2,$A272)</f>
        <v>0</v>
      </c>
      <c r="AX272" s="32">
        <f ca="1">_xll.DBRW($C$1,$C$2,$C$3,$C$4,$C$6,$C$5,$C$7,AX$1,AX$2,$A272)</f>
        <v>0</v>
      </c>
      <c r="AY272" s="32">
        <f ca="1">_xll.DBRW($C$1,$C$2,$C$3,$C$4,$C$6,$C$5,$C$7,AY$1,AY$2,$A272)</f>
        <v>0</v>
      </c>
    </row>
    <row r="273" spans="1:51" ht="15.75" hidden="1" customHeight="1" outlineLevel="2">
      <c r="A273" s="1" t="s">
        <v>336</v>
      </c>
      <c r="C273" s="109"/>
      <c r="E273" s="9" t="str">
        <f ca="1">_xll.DBRW(Server&amp;"}ElementAttributes_Indicator",A273,"code_English")</f>
        <v>PL1620_AS - P&amp;L AS - Impairment - Goodwill (Associates) (from 2013)</v>
      </c>
      <c r="F273" s="32">
        <f ca="1">_xll.DBRW($C$1,$C$2,$C$3,$C$4,$C$6,$C$5,$C$7,F$1,F$2,$A273)</f>
        <v>0</v>
      </c>
      <c r="G273" s="32">
        <f ca="1">_xll.DBRW($C$1,$C$2,$C$3,$C$4,$C$6,$C$5,$C$7,G$1,G$2,$A273)</f>
        <v>0</v>
      </c>
      <c r="H273" s="32">
        <f ca="1">_xll.DBRW($C$1,$C$2,$C$3,$C$4,$C$6,$C$5,$C$7,H$1,H$2,$A273)</f>
        <v>0</v>
      </c>
      <c r="I273" s="32">
        <f ca="1">_xll.DBRW($C$1,$C$2,$C$3,$C$4,$C$6,$C$5,$C$7,I$1,I$2,$A273)</f>
        <v>0</v>
      </c>
      <c r="J273" s="32">
        <f ca="1">_xll.DBRW($C$1,$C$2,$C$3,$C$4,$C$6,$C$5,$C$7,J$1,J$2,$A273)</f>
        <v>0</v>
      </c>
      <c r="K273" s="32">
        <f ca="1">_xll.DBRW($C$1,$C$2,$C$3,$C$4,$C$6,$C$5,$C$7,K$1,K$2,$A273)</f>
        <v>0</v>
      </c>
      <c r="L273" s="32">
        <f ca="1">_xll.DBRW($C$1,$C$2,$C$3,$C$4,$C$6,$C$5,$C$7,L$1,L$2,$A273)</f>
        <v>0</v>
      </c>
      <c r="M273" s="32">
        <f ca="1">_xll.DBRW($C$1,$C$2,$C$3,$C$4,$C$6,$C$5,$C$7,M$1,M$2,$A273)</f>
        <v>0</v>
      </c>
      <c r="N273" s="32">
        <f ca="1">_xll.DBRW($C$1,$C$2,$C$3,$C$4,$C$6,$C$5,$C$7,N$1,N$2,$A273)</f>
        <v>0</v>
      </c>
      <c r="O273" s="32">
        <f ca="1">_xll.DBRW($C$1,$C$2,$C$3,$C$4,$C$6,$C$5,$C$7,O$1,O$2,$A273)</f>
        <v>0</v>
      </c>
      <c r="P273" s="32">
        <f ca="1">_xll.DBRW($C$1,$C$2,$C$3,$C$4,$C$6,$C$5,$C$7,P$1,P$2,$A273)</f>
        <v>0</v>
      </c>
      <c r="Q273" s="32">
        <f ca="1">_xll.DBRW($C$1,$C$2,$C$3,$C$4,$C$6,$C$5,$C$7,Q$1,Q$2,$A273)</f>
        <v>0</v>
      </c>
      <c r="R273" s="32">
        <f ca="1">_xll.DBRW($C$1,$C$2,$C$3,$C$4,$C$6,$C$5,$C$7,R$1,R$2,$A273)</f>
        <v>0</v>
      </c>
      <c r="S273" s="32">
        <f ca="1">_xll.DBRW($C$1,$C$2,$C$3,$C$4,$C$6,$C$5,$C$7,S$1,S$2,$A273)</f>
        <v>0</v>
      </c>
      <c r="T273" s="32">
        <f ca="1">_xll.DBRW($C$1,$C$2,$C$3,$C$4,$C$6,$C$5,$C$7,T$1,T$2,$A273)</f>
        <v>0</v>
      </c>
      <c r="U273" s="32">
        <f ca="1">_xll.DBRW($C$1,$C$2,$C$3,$C$4,$C$6,$C$5,$C$7,U$1,U$2,$A273)</f>
        <v>0</v>
      </c>
      <c r="V273" s="32">
        <f ca="1">_xll.DBRW($C$1,$C$2,$C$3,$C$4,$C$6,$C$5,$C$7,V$1,V$2,$A273)</f>
        <v>0</v>
      </c>
      <c r="W273" s="32">
        <f ca="1">_xll.DBRW($C$1,$C$2,$C$3,$C$4,$C$6,$C$5,$C$7,W$1,W$2,$A273)</f>
        <v>0</v>
      </c>
      <c r="X273" s="32">
        <f ca="1">_xll.DBRW($C$1,$C$2,$C$3,$C$4,$C$6,$C$5,$C$7,X$1,X$2,$A273)</f>
        <v>0</v>
      </c>
      <c r="Y273" s="32">
        <f ca="1">_xll.DBRW($C$1,$C$2,$C$3,$C$4,$C$6,$C$5,$C$7,Y$1,Y$2,$A273)</f>
        <v>0</v>
      </c>
      <c r="Z273" s="32">
        <f ca="1">_xll.DBRW($C$1,$C$2,$C$3,$C$4,$C$6,$C$5,$C$7,Z$1,Z$2,$A273)</f>
        <v>0</v>
      </c>
      <c r="AA273" s="32">
        <f ca="1">_xll.DBRW($C$1,$C$2,$C$3,$C$4,$C$6,$C$5,$C$7,AA$1,AA$2,$A273)</f>
        <v>0</v>
      </c>
      <c r="AB273" s="32">
        <f ca="1">_xll.DBRW($C$1,$C$2,$C$3,$C$4,$C$6,$C$5,$C$7,AB$1,AB$2,$A273)</f>
        <v>0</v>
      </c>
      <c r="AC273" s="32">
        <f ca="1">_xll.DBRW($C$1,$C$2,$C$3,$C$4,$C$6,$C$5,$C$7,AC$1,AC$2,$A273)</f>
        <v>0</v>
      </c>
      <c r="AD273" s="32">
        <f ca="1">_xll.DBRW($C$1,$C$2,$C$3,$C$4,$C$6,$C$5,$C$7,AD$1,AD$2,$A273)</f>
        <v>0</v>
      </c>
      <c r="AE273" s="32">
        <f ca="1">_xll.DBRW($C$1,$C$2,$C$3,$C$4,$C$6,$C$5,$C$7,AE$1,AE$2,$A273)</f>
        <v>0</v>
      </c>
      <c r="AF273" s="32">
        <f ca="1">_xll.DBRW($C$1,$C$2,$C$3,$C$4,$C$6,$C$5,$C$7,AF$1,AF$2,$A273)</f>
        <v>0</v>
      </c>
      <c r="AG273" s="32">
        <f ca="1">_xll.DBRW($C$1,$C$2,$C$3,$C$4,$C$6,$C$5,$C$7,AG$1,AG$2,$A273)</f>
        <v>0</v>
      </c>
      <c r="AH273" s="32">
        <f ca="1">_xll.DBRW($C$1,$C$2,$C$3,$C$4,$C$6,$C$5,$C$7,AH$1,AH$2,$A273)</f>
        <v>0</v>
      </c>
      <c r="AI273" s="32">
        <f ca="1">_xll.DBRW($C$1,$C$2,$C$3,$C$4,$C$6,$C$5,$C$7,AI$1,AI$2,$A273)</f>
        <v>0</v>
      </c>
      <c r="AJ273" s="32">
        <f ca="1">_xll.DBRW($C$1,$C$2,$C$3,$C$4,$C$6,$C$5,$C$7,AJ$1,AJ$2,$A273)</f>
        <v>0</v>
      </c>
      <c r="AK273" s="32">
        <f ca="1">_xll.DBRW($C$1,$C$2,$C$3,$C$4,$C$6,$C$5,$C$7,AK$1,AK$2,$A273)</f>
        <v>0</v>
      </c>
      <c r="AL273" s="32">
        <f ca="1">_xll.DBRW($C$1,$C$2,$C$3,$C$4,$C$6,$C$5,$C$7,AL$1,AL$2,$A273)</f>
        <v>0</v>
      </c>
      <c r="AM273" s="32">
        <f ca="1">_xll.DBRW($C$1,$C$2,$C$3,$C$4,$C$6,$C$5,$C$7,AM$1,AM$2,$A273)</f>
        <v>0</v>
      </c>
      <c r="AN273" s="32">
        <f ca="1">_xll.DBRW($C$1,$C$2,$C$3,$C$4,$C$6,$C$5,$C$7,AN$1,AN$2,$A273)</f>
        <v>0</v>
      </c>
      <c r="AO273" s="32">
        <f ca="1">_xll.DBRW($C$1,$C$2,$C$3,$C$4,$C$6,$C$5,$C$7,AO$1,AO$2,$A273)</f>
        <v>0</v>
      </c>
      <c r="AP273" s="32">
        <f ca="1">_xll.DBRW($C$1,$C$2,$C$3,$C$4,$C$6,$C$5,$C$7,AP$1,AP$2,$A273)</f>
        <v>0</v>
      </c>
      <c r="AQ273" s="32">
        <f ca="1">_xll.DBRW($C$1,$C$2,$C$3,$C$4,$C$6,$C$5,$C$7,AQ$1,AQ$2,$A273)</f>
        <v>0</v>
      </c>
      <c r="AR273" s="32">
        <f ca="1">_xll.DBRW($C$1,$C$2,$C$3,$C$4,$C$6,$C$5,$C$7,AR$1,AR$2,$A273)</f>
        <v>0</v>
      </c>
      <c r="AS273" s="32">
        <f ca="1">_xll.DBRW($C$1,$C$2,$C$3,$C$4,$C$6,$C$5,$C$7,AS$1,AS$2,$A273)</f>
        <v>0</v>
      </c>
      <c r="AT273" s="32">
        <f ca="1">_xll.DBRW($C$1,$C$2,$C$3,$C$4,$C$6,$C$5,$C$7,AT$1,AT$2,$A273)</f>
        <v>0</v>
      </c>
      <c r="AU273" s="32">
        <f ca="1">_xll.DBRW($C$1,$C$2,$C$3,$C$4,$C$6,$C$5,$C$7,AU$1,AU$2,$A273)</f>
        <v>0</v>
      </c>
      <c r="AV273" s="32">
        <f ca="1">_xll.DBRW($C$1,$C$2,$C$3,$C$4,$C$6,$C$5,$C$7,AV$1,AV$2,$A273)</f>
        <v>0</v>
      </c>
      <c r="AW273" s="32">
        <f ca="1">_xll.DBRW($C$1,$C$2,$C$3,$C$4,$C$6,$C$5,$C$7,AW$1,AW$2,$A273)</f>
        <v>0</v>
      </c>
      <c r="AX273" s="32">
        <f ca="1">_xll.DBRW($C$1,$C$2,$C$3,$C$4,$C$6,$C$5,$C$7,AX$1,AX$2,$A273)</f>
        <v>0</v>
      </c>
      <c r="AY273" s="32">
        <f ca="1">_xll.DBRW($C$1,$C$2,$C$3,$C$4,$C$6,$C$5,$C$7,AY$1,AY$2,$A273)</f>
        <v>0</v>
      </c>
    </row>
    <row r="274" spans="1:51" ht="15.75" hidden="1" customHeight="1" outlineLevel="2">
      <c r="A274" s="1" t="s">
        <v>337</v>
      </c>
      <c r="C274" s="109"/>
      <c r="E274" s="9" t="str">
        <f ca="1">_xll.DBRW(Server&amp;"}ElementAttributes_Indicator",A274,"code_English")</f>
        <v>PL1620_XX - Vector Reconciliation (TPL16) - Impairment - Goodwill (Associates) (from 2013)</v>
      </c>
      <c r="F274" s="32">
        <f ca="1">_xll.DBRW($C$1,$C$2,$C$3,$C$4,$C$6,$C$5,$C$7,F$1,F$2,$A274)</f>
        <v>0</v>
      </c>
      <c r="G274" s="32">
        <f ca="1">_xll.DBRW($C$1,$C$2,$C$3,$C$4,$C$6,$C$5,$C$7,G$1,G$2,$A274)</f>
        <v>0</v>
      </c>
      <c r="H274" s="32">
        <f ca="1">_xll.DBRW($C$1,$C$2,$C$3,$C$4,$C$6,$C$5,$C$7,H$1,H$2,$A274)</f>
        <v>0</v>
      </c>
      <c r="I274" s="32">
        <f ca="1">_xll.DBRW($C$1,$C$2,$C$3,$C$4,$C$6,$C$5,$C$7,I$1,I$2,$A274)</f>
        <v>0</v>
      </c>
      <c r="J274" s="32">
        <f ca="1">_xll.DBRW($C$1,$C$2,$C$3,$C$4,$C$6,$C$5,$C$7,J$1,J$2,$A274)</f>
        <v>0</v>
      </c>
      <c r="K274" s="32">
        <f ca="1">_xll.DBRW($C$1,$C$2,$C$3,$C$4,$C$6,$C$5,$C$7,K$1,K$2,$A274)</f>
        <v>0</v>
      </c>
      <c r="L274" s="32">
        <f ca="1">_xll.DBRW($C$1,$C$2,$C$3,$C$4,$C$6,$C$5,$C$7,L$1,L$2,$A274)</f>
        <v>0</v>
      </c>
      <c r="M274" s="32">
        <f ca="1">_xll.DBRW($C$1,$C$2,$C$3,$C$4,$C$6,$C$5,$C$7,M$1,M$2,$A274)</f>
        <v>0</v>
      </c>
      <c r="N274" s="32">
        <f ca="1">_xll.DBRW($C$1,$C$2,$C$3,$C$4,$C$6,$C$5,$C$7,N$1,N$2,$A274)</f>
        <v>0</v>
      </c>
      <c r="O274" s="32">
        <f ca="1">_xll.DBRW($C$1,$C$2,$C$3,$C$4,$C$6,$C$5,$C$7,O$1,O$2,$A274)</f>
        <v>0</v>
      </c>
      <c r="P274" s="32">
        <f ca="1">_xll.DBRW($C$1,$C$2,$C$3,$C$4,$C$6,$C$5,$C$7,P$1,P$2,$A274)</f>
        <v>0</v>
      </c>
      <c r="Q274" s="32">
        <f ca="1">_xll.DBRW($C$1,$C$2,$C$3,$C$4,$C$6,$C$5,$C$7,Q$1,Q$2,$A274)</f>
        <v>0</v>
      </c>
      <c r="R274" s="32">
        <f ca="1">_xll.DBRW($C$1,$C$2,$C$3,$C$4,$C$6,$C$5,$C$7,R$1,R$2,$A274)</f>
        <v>0</v>
      </c>
      <c r="S274" s="32">
        <f ca="1">_xll.DBRW($C$1,$C$2,$C$3,$C$4,$C$6,$C$5,$C$7,S$1,S$2,$A274)</f>
        <v>0</v>
      </c>
      <c r="T274" s="32">
        <f ca="1">_xll.DBRW($C$1,$C$2,$C$3,$C$4,$C$6,$C$5,$C$7,T$1,T$2,$A274)</f>
        <v>0</v>
      </c>
      <c r="U274" s="32">
        <f ca="1">_xll.DBRW($C$1,$C$2,$C$3,$C$4,$C$6,$C$5,$C$7,U$1,U$2,$A274)</f>
        <v>0</v>
      </c>
      <c r="V274" s="32">
        <f ca="1">_xll.DBRW($C$1,$C$2,$C$3,$C$4,$C$6,$C$5,$C$7,V$1,V$2,$A274)</f>
        <v>0</v>
      </c>
      <c r="W274" s="32">
        <f ca="1">_xll.DBRW($C$1,$C$2,$C$3,$C$4,$C$6,$C$5,$C$7,W$1,W$2,$A274)</f>
        <v>0</v>
      </c>
      <c r="X274" s="32">
        <f ca="1">_xll.DBRW($C$1,$C$2,$C$3,$C$4,$C$6,$C$5,$C$7,X$1,X$2,$A274)</f>
        <v>0</v>
      </c>
      <c r="Y274" s="32">
        <f ca="1">_xll.DBRW($C$1,$C$2,$C$3,$C$4,$C$6,$C$5,$C$7,Y$1,Y$2,$A274)</f>
        <v>0</v>
      </c>
      <c r="Z274" s="32">
        <f ca="1">_xll.DBRW($C$1,$C$2,$C$3,$C$4,$C$6,$C$5,$C$7,Z$1,Z$2,$A274)</f>
        <v>0</v>
      </c>
      <c r="AA274" s="32">
        <f ca="1">_xll.DBRW($C$1,$C$2,$C$3,$C$4,$C$6,$C$5,$C$7,AA$1,AA$2,$A274)</f>
        <v>0</v>
      </c>
      <c r="AB274" s="32">
        <f ca="1">_xll.DBRW($C$1,$C$2,$C$3,$C$4,$C$6,$C$5,$C$7,AB$1,AB$2,$A274)</f>
        <v>0</v>
      </c>
      <c r="AC274" s="32">
        <f ca="1">_xll.DBRW($C$1,$C$2,$C$3,$C$4,$C$6,$C$5,$C$7,AC$1,AC$2,$A274)</f>
        <v>0</v>
      </c>
      <c r="AD274" s="32">
        <f ca="1">_xll.DBRW($C$1,$C$2,$C$3,$C$4,$C$6,$C$5,$C$7,AD$1,AD$2,$A274)</f>
        <v>0</v>
      </c>
      <c r="AE274" s="32">
        <f ca="1">_xll.DBRW($C$1,$C$2,$C$3,$C$4,$C$6,$C$5,$C$7,AE$1,AE$2,$A274)</f>
        <v>0</v>
      </c>
      <c r="AF274" s="32">
        <f ca="1">_xll.DBRW($C$1,$C$2,$C$3,$C$4,$C$6,$C$5,$C$7,AF$1,AF$2,$A274)</f>
        <v>0</v>
      </c>
      <c r="AG274" s="32">
        <f ca="1">_xll.DBRW($C$1,$C$2,$C$3,$C$4,$C$6,$C$5,$C$7,AG$1,AG$2,$A274)</f>
        <v>0</v>
      </c>
      <c r="AH274" s="32">
        <f ca="1">_xll.DBRW($C$1,$C$2,$C$3,$C$4,$C$6,$C$5,$C$7,AH$1,AH$2,$A274)</f>
        <v>0</v>
      </c>
      <c r="AI274" s="32">
        <f ca="1">_xll.DBRW($C$1,$C$2,$C$3,$C$4,$C$6,$C$5,$C$7,AI$1,AI$2,$A274)</f>
        <v>0</v>
      </c>
      <c r="AJ274" s="32">
        <f ca="1">_xll.DBRW($C$1,$C$2,$C$3,$C$4,$C$6,$C$5,$C$7,AJ$1,AJ$2,$A274)</f>
        <v>0</v>
      </c>
      <c r="AK274" s="32">
        <f ca="1">_xll.DBRW($C$1,$C$2,$C$3,$C$4,$C$6,$C$5,$C$7,AK$1,AK$2,$A274)</f>
        <v>0</v>
      </c>
      <c r="AL274" s="32">
        <f ca="1">_xll.DBRW($C$1,$C$2,$C$3,$C$4,$C$6,$C$5,$C$7,AL$1,AL$2,$A274)</f>
        <v>0</v>
      </c>
      <c r="AM274" s="32">
        <f ca="1">_xll.DBRW($C$1,$C$2,$C$3,$C$4,$C$6,$C$5,$C$7,AM$1,AM$2,$A274)</f>
        <v>0</v>
      </c>
      <c r="AN274" s="32">
        <f ca="1">_xll.DBRW($C$1,$C$2,$C$3,$C$4,$C$6,$C$5,$C$7,AN$1,AN$2,$A274)</f>
        <v>0</v>
      </c>
      <c r="AO274" s="32">
        <f ca="1">_xll.DBRW($C$1,$C$2,$C$3,$C$4,$C$6,$C$5,$C$7,AO$1,AO$2,$A274)</f>
        <v>0</v>
      </c>
      <c r="AP274" s="32">
        <f ca="1">_xll.DBRW($C$1,$C$2,$C$3,$C$4,$C$6,$C$5,$C$7,AP$1,AP$2,$A274)</f>
        <v>0</v>
      </c>
      <c r="AQ274" s="32">
        <f ca="1">_xll.DBRW($C$1,$C$2,$C$3,$C$4,$C$6,$C$5,$C$7,AQ$1,AQ$2,$A274)</f>
        <v>0</v>
      </c>
      <c r="AR274" s="32">
        <f ca="1">_xll.DBRW($C$1,$C$2,$C$3,$C$4,$C$6,$C$5,$C$7,AR$1,AR$2,$A274)</f>
        <v>0</v>
      </c>
      <c r="AS274" s="32">
        <f ca="1">_xll.DBRW($C$1,$C$2,$C$3,$C$4,$C$6,$C$5,$C$7,AS$1,AS$2,$A274)</f>
        <v>0</v>
      </c>
      <c r="AT274" s="32">
        <f ca="1">_xll.DBRW($C$1,$C$2,$C$3,$C$4,$C$6,$C$5,$C$7,AT$1,AT$2,$A274)</f>
        <v>0</v>
      </c>
      <c r="AU274" s="32">
        <f ca="1">_xll.DBRW($C$1,$C$2,$C$3,$C$4,$C$6,$C$5,$C$7,AU$1,AU$2,$A274)</f>
        <v>0</v>
      </c>
      <c r="AV274" s="32">
        <f ca="1">_xll.DBRW($C$1,$C$2,$C$3,$C$4,$C$6,$C$5,$C$7,AV$1,AV$2,$A274)</f>
        <v>0</v>
      </c>
      <c r="AW274" s="32">
        <f ca="1">_xll.DBRW($C$1,$C$2,$C$3,$C$4,$C$6,$C$5,$C$7,AW$1,AW$2,$A274)</f>
        <v>0</v>
      </c>
      <c r="AX274" s="32">
        <f ca="1">_xll.DBRW($C$1,$C$2,$C$3,$C$4,$C$6,$C$5,$C$7,AX$1,AX$2,$A274)</f>
        <v>0</v>
      </c>
      <c r="AY274" s="32">
        <f ca="1">_xll.DBRW($C$1,$C$2,$C$3,$C$4,$C$6,$C$5,$C$7,AY$1,AY$2,$A274)</f>
        <v>0</v>
      </c>
    </row>
    <row r="275" spans="1:51" ht="15.5" hidden="1" outlineLevel="1" collapsed="1">
      <c r="A275" s="1" t="s">
        <v>338</v>
      </c>
      <c r="C275" s="109"/>
      <c r="E275" s="11" t="s">
        <v>66</v>
      </c>
      <c r="F275" s="35">
        <f t="shared" ref="F275:K275" ca="1" si="192">SUM(F271:F274)</f>
        <v>0</v>
      </c>
      <c r="G275" s="35">
        <f t="shared" ca="1" si="192"/>
        <v>0</v>
      </c>
      <c r="H275" s="35">
        <f t="shared" ca="1" si="192"/>
        <v>0</v>
      </c>
      <c r="I275" s="35">
        <f t="shared" ca="1" si="192"/>
        <v>0</v>
      </c>
      <c r="J275" s="35">
        <f t="shared" ca="1" si="192"/>
        <v>0</v>
      </c>
      <c r="K275" s="35">
        <f t="shared" ca="1" si="192"/>
        <v>0</v>
      </c>
      <c r="L275" s="35">
        <f t="shared" ref="L275:AY275" ca="1" si="193">SUM(L271:L274)</f>
        <v>0</v>
      </c>
      <c r="M275" s="35">
        <f t="shared" ca="1" si="193"/>
        <v>0</v>
      </c>
      <c r="N275" s="35">
        <f t="shared" ca="1" si="193"/>
        <v>0</v>
      </c>
      <c r="O275" s="35">
        <f t="shared" ca="1" si="193"/>
        <v>0</v>
      </c>
      <c r="P275" s="35">
        <f t="shared" ca="1" si="193"/>
        <v>0</v>
      </c>
      <c r="Q275" s="35">
        <f t="shared" ca="1" si="193"/>
        <v>0</v>
      </c>
      <c r="R275" s="35">
        <f t="shared" ca="1" si="193"/>
        <v>0</v>
      </c>
      <c r="S275" s="35">
        <f t="shared" ca="1" si="193"/>
        <v>0</v>
      </c>
      <c r="T275" s="35">
        <f t="shared" ca="1" si="193"/>
        <v>0</v>
      </c>
      <c r="U275" s="35">
        <f t="shared" ca="1" si="193"/>
        <v>0</v>
      </c>
      <c r="V275" s="35">
        <f t="shared" ca="1" si="193"/>
        <v>0</v>
      </c>
      <c r="W275" s="35">
        <f t="shared" ca="1" si="193"/>
        <v>0</v>
      </c>
      <c r="X275" s="35">
        <f t="shared" ca="1" si="193"/>
        <v>0</v>
      </c>
      <c r="Y275" s="35">
        <f t="shared" ca="1" si="193"/>
        <v>0</v>
      </c>
      <c r="Z275" s="35">
        <f t="shared" ca="1" si="193"/>
        <v>0</v>
      </c>
      <c r="AA275" s="35">
        <f t="shared" ca="1" si="193"/>
        <v>0</v>
      </c>
      <c r="AB275" s="35">
        <f t="shared" ca="1" si="193"/>
        <v>0</v>
      </c>
      <c r="AC275" s="35">
        <f t="shared" ca="1" si="193"/>
        <v>0</v>
      </c>
      <c r="AD275" s="35">
        <f t="shared" ca="1" si="193"/>
        <v>0</v>
      </c>
      <c r="AE275" s="35">
        <f t="shared" ca="1" si="193"/>
        <v>0</v>
      </c>
      <c r="AF275" s="35">
        <f t="shared" ca="1" si="193"/>
        <v>0</v>
      </c>
      <c r="AG275" s="35">
        <f t="shared" ca="1" si="193"/>
        <v>0</v>
      </c>
      <c r="AH275" s="35">
        <f t="shared" ca="1" si="193"/>
        <v>0</v>
      </c>
      <c r="AI275" s="35">
        <f t="shared" ca="1" si="193"/>
        <v>0</v>
      </c>
      <c r="AJ275" s="35">
        <f t="shared" ca="1" si="193"/>
        <v>0</v>
      </c>
      <c r="AK275" s="35">
        <f t="shared" ca="1" si="193"/>
        <v>0</v>
      </c>
      <c r="AL275" s="35">
        <f t="shared" ca="1" si="193"/>
        <v>0</v>
      </c>
      <c r="AM275" s="35">
        <f t="shared" ca="1" si="193"/>
        <v>0</v>
      </c>
      <c r="AN275" s="35">
        <f t="shared" ca="1" si="193"/>
        <v>0</v>
      </c>
      <c r="AO275" s="35">
        <f t="shared" ca="1" si="193"/>
        <v>0</v>
      </c>
      <c r="AP275" s="35">
        <f t="shared" ca="1" si="193"/>
        <v>0</v>
      </c>
      <c r="AQ275" s="35">
        <f t="shared" ca="1" si="193"/>
        <v>0</v>
      </c>
      <c r="AR275" s="35">
        <f t="shared" ca="1" si="193"/>
        <v>0</v>
      </c>
      <c r="AS275" s="35">
        <f t="shared" ca="1" si="193"/>
        <v>0</v>
      </c>
      <c r="AT275" s="35">
        <f t="shared" ca="1" si="193"/>
        <v>0</v>
      </c>
      <c r="AU275" s="35">
        <f t="shared" ca="1" si="193"/>
        <v>0</v>
      </c>
      <c r="AV275" s="35">
        <f t="shared" ca="1" si="193"/>
        <v>0</v>
      </c>
      <c r="AW275" s="35">
        <f t="shared" ca="1" si="193"/>
        <v>0</v>
      </c>
      <c r="AX275" s="35">
        <f t="shared" ca="1" si="193"/>
        <v>0</v>
      </c>
      <c r="AY275" s="35">
        <f t="shared" ca="1" si="193"/>
        <v>0</v>
      </c>
    </row>
    <row r="276" spans="1:51" ht="15.5" hidden="1" outlineLevel="1">
      <c r="A276" s="1" t="s">
        <v>339</v>
      </c>
      <c r="C276" s="109"/>
      <c r="E276" s="9" t="str">
        <f ca="1">_xll.DBRW(Server&amp;"}ElementAttributes_Indicator",A276,"code_English")</f>
        <v>RESOP_bef_mgmt_fees - OPERATING PROFIT bef. Mgmt &amp; Brand fees</v>
      </c>
      <c r="F276" s="32">
        <f ca="1">_xll.DBRW($C$1,$C$2,$C$3,$C$4,$C$6,$C$5,$C$7,F$1,F$2,$A276)</f>
        <v>0</v>
      </c>
      <c r="G276" s="32">
        <f ca="1">_xll.DBRW($C$1,$C$2,$C$3,$C$4,$C$6,$C$5,$C$7,G$1,G$2,$A276)</f>
        <v>0</v>
      </c>
      <c r="H276" s="32">
        <f ca="1">_xll.DBRW($C$1,$C$2,$C$3,$C$4,$C$6,$C$5,$C$7,H$1,H$2,$A276)</f>
        <v>0</v>
      </c>
      <c r="I276" s="32">
        <f ca="1">_xll.DBRW($C$1,$C$2,$C$3,$C$4,$C$6,$C$5,$C$7,I$1,I$2,$A276)</f>
        <v>0</v>
      </c>
      <c r="J276" s="32">
        <f ca="1">_xll.DBRW($C$1,$C$2,$C$3,$C$4,$C$6,$C$5,$C$7,J$1,J$2,$A276)</f>
        <v>0</v>
      </c>
      <c r="K276" s="32">
        <f ca="1">_xll.DBRW($C$1,$C$2,$C$3,$C$4,$C$6,$C$5,$C$7,K$1,K$2,$A276)</f>
        <v>0</v>
      </c>
      <c r="L276" s="32">
        <f ca="1">_xll.DBRW($C$1,$C$2,$C$3,$C$4,$C$6,$C$5,$C$7,L$1,L$2,$A276)</f>
        <v>0</v>
      </c>
      <c r="M276" s="32">
        <f ca="1">_xll.DBRW($C$1,$C$2,$C$3,$C$4,$C$6,$C$5,$C$7,M$1,M$2,$A276)</f>
        <v>0</v>
      </c>
      <c r="N276" s="32">
        <f ca="1">_xll.DBRW($C$1,$C$2,$C$3,$C$4,$C$6,$C$5,$C$7,N$1,N$2,$A276)</f>
        <v>0</v>
      </c>
      <c r="O276" s="32">
        <f ca="1">_xll.DBRW($C$1,$C$2,$C$3,$C$4,$C$6,$C$5,$C$7,O$1,O$2,$A276)</f>
        <v>0</v>
      </c>
      <c r="P276" s="32">
        <f ca="1">_xll.DBRW($C$1,$C$2,$C$3,$C$4,$C$6,$C$5,$C$7,P$1,P$2,$A276)</f>
        <v>0</v>
      </c>
      <c r="Q276" s="32">
        <f ca="1">_xll.DBRW($C$1,$C$2,$C$3,$C$4,$C$6,$C$5,$C$7,Q$1,Q$2,$A276)</f>
        <v>0</v>
      </c>
      <c r="R276" s="32">
        <f ca="1">_xll.DBRW($C$1,$C$2,$C$3,$C$4,$C$6,$C$5,$C$7,R$1,R$2,$A276)</f>
        <v>0</v>
      </c>
      <c r="S276" s="32">
        <f ca="1">_xll.DBRW($C$1,$C$2,$C$3,$C$4,$C$6,$C$5,$C$7,S$1,S$2,$A276)</f>
        <v>0</v>
      </c>
      <c r="T276" s="32">
        <f ca="1">_xll.DBRW($C$1,$C$2,$C$3,$C$4,$C$6,$C$5,$C$7,T$1,T$2,$A276)</f>
        <v>0</v>
      </c>
      <c r="U276" s="32">
        <f ca="1">_xll.DBRW($C$1,$C$2,$C$3,$C$4,$C$6,$C$5,$C$7,U$1,U$2,$A276)</f>
        <v>0</v>
      </c>
      <c r="V276" s="32">
        <f ca="1">_xll.DBRW($C$1,$C$2,$C$3,$C$4,$C$6,$C$5,$C$7,V$1,V$2,$A276)</f>
        <v>0</v>
      </c>
      <c r="W276" s="32">
        <f ca="1">_xll.DBRW($C$1,$C$2,$C$3,$C$4,$C$6,$C$5,$C$7,W$1,W$2,$A276)</f>
        <v>0</v>
      </c>
      <c r="X276" s="32">
        <f ca="1">_xll.DBRW($C$1,$C$2,$C$3,$C$4,$C$6,$C$5,$C$7,X$1,X$2,$A276)</f>
        <v>0</v>
      </c>
      <c r="Y276" s="32">
        <f ca="1">_xll.DBRW($C$1,$C$2,$C$3,$C$4,$C$6,$C$5,$C$7,Y$1,Y$2,$A276)</f>
        <v>0</v>
      </c>
      <c r="Z276" s="32">
        <f ca="1">_xll.DBRW($C$1,$C$2,$C$3,$C$4,$C$6,$C$5,$C$7,Z$1,Z$2,$A276)</f>
        <v>0</v>
      </c>
      <c r="AA276" s="32">
        <f ca="1">_xll.DBRW($C$1,$C$2,$C$3,$C$4,$C$6,$C$5,$C$7,AA$1,AA$2,$A276)</f>
        <v>0</v>
      </c>
      <c r="AB276" s="32">
        <f ca="1">_xll.DBRW($C$1,$C$2,$C$3,$C$4,$C$6,$C$5,$C$7,AB$1,AB$2,$A276)</f>
        <v>0</v>
      </c>
      <c r="AC276" s="32">
        <f ca="1">_xll.DBRW($C$1,$C$2,$C$3,$C$4,$C$6,$C$5,$C$7,AC$1,AC$2,$A276)</f>
        <v>0</v>
      </c>
      <c r="AD276" s="32">
        <f ca="1">_xll.DBRW($C$1,$C$2,$C$3,$C$4,$C$6,$C$5,$C$7,AD$1,AD$2,$A276)</f>
        <v>0</v>
      </c>
      <c r="AE276" s="32">
        <f ca="1">_xll.DBRW($C$1,$C$2,$C$3,$C$4,$C$6,$C$5,$C$7,AE$1,AE$2,$A276)</f>
        <v>0</v>
      </c>
      <c r="AF276" s="32">
        <f ca="1">_xll.DBRW($C$1,$C$2,$C$3,$C$4,$C$6,$C$5,$C$7,AF$1,AF$2,$A276)</f>
        <v>0</v>
      </c>
      <c r="AG276" s="32">
        <f ca="1">_xll.DBRW($C$1,$C$2,$C$3,$C$4,$C$6,$C$5,$C$7,AG$1,AG$2,$A276)</f>
        <v>0</v>
      </c>
      <c r="AH276" s="32">
        <f ca="1">_xll.DBRW($C$1,$C$2,$C$3,$C$4,$C$6,$C$5,$C$7,AH$1,AH$2,$A276)</f>
        <v>0</v>
      </c>
      <c r="AI276" s="32">
        <f ca="1">_xll.DBRW($C$1,$C$2,$C$3,$C$4,$C$6,$C$5,$C$7,AI$1,AI$2,$A276)</f>
        <v>0</v>
      </c>
      <c r="AJ276" s="32">
        <f ca="1">_xll.DBRW($C$1,$C$2,$C$3,$C$4,$C$6,$C$5,$C$7,AJ$1,AJ$2,$A276)</f>
        <v>0</v>
      </c>
      <c r="AK276" s="32">
        <f ca="1">_xll.DBRW($C$1,$C$2,$C$3,$C$4,$C$6,$C$5,$C$7,AK$1,AK$2,$A276)</f>
        <v>0</v>
      </c>
      <c r="AL276" s="32">
        <f ca="1">_xll.DBRW($C$1,$C$2,$C$3,$C$4,$C$6,$C$5,$C$7,AL$1,AL$2,$A276)</f>
        <v>0</v>
      </c>
      <c r="AM276" s="32">
        <f ca="1">_xll.DBRW($C$1,$C$2,$C$3,$C$4,$C$6,$C$5,$C$7,AM$1,AM$2,$A276)</f>
        <v>0</v>
      </c>
      <c r="AN276" s="32">
        <f ca="1">_xll.DBRW($C$1,$C$2,$C$3,$C$4,$C$6,$C$5,$C$7,AN$1,AN$2,$A276)</f>
        <v>0</v>
      </c>
      <c r="AO276" s="32">
        <f ca="1">_xll.DBRW($C$1,$C$2,$C$3,$C$4,$C$6,$C$5,$C$7,AO$1,AO$2,$A276)</f>
        <v>0</v>
      </c>
      <c r="AP276" s="32">
        <f ca="1">_xll.DBRW($C$1,$C$2,$C$3,$C$4,$C$6,$C$5,$C$7,AP$1,AP$2,$A276)</f>
        <v>0</v>
      </c>
      <c r="AQ276" s="32">
        <f ca="1">_xll.DBRW($C$1,$C$2,$C$3,$C$4,$C$6,$C$5,$C$7,AQ$1,AQ$2,$A276)</f>
        <v>0</v>
      </c>
      <c r="AR276" s="32">
        <f ca="1">_xll.DBRW($C$1,$C$2,$C$3,$C$4,$C$6,$C$5,$C$7,AR$1,AR$2,$A276)</f>
        <v>0</v>
      </c>
      <c r="AS276" s="32">
        <f ca="1">_xll.DBRW($C$1,$C$2,$C$3,$C$4,$C$6,$C$5,$C$7,AS$1,AS$2,$A276)</f>
        <v>0</v>
      </c>
      <c r="AT276" s="32">
        <f ca="1">_xll.DBRW($C$1,$C$2,$C$3,$C$4,$C$6,$C$5,$C$7,AT$1,AT$2,$A276)</f>
        <v>0</v>
      </c>
      <c r="AU276" s="32">
        <f ca="1">_xll.DBRW($C$1,$C$2,$C$3,$C$4,$C$6,$C$5,$C$7,AU$1,AU$2,$A276)</f>
        <v>0</v>
      </c>
      <c r="AV276" s="32">
        <f ca="1">_xll.DBRW($C$1,$C$2,$C$3,$C$4,$C$6,$C$5,$C$7,AV$1,AV$2,$A276)</f>
        <v>0</v>
      </c>
      <c r="AW276" s="32">
        <f ca="1">_xll.DBRW($C$1,$C$2,$C$3,$C$4,$C$6,$C$5,$C$7,AW$1,AW$2,$A276)</f>
        <v>0</v>
      </c>
      <c r="AX276" s="32">
        <f ca="1">_xll.DBRW($C$1,$C$2,$C$3,$C$4,$C$6,$C$5,$C$7,AX$1,AX$2,$A276)</f>
        <v>0</v>
      </c>
      <c r="AY276" s="32">
        <f ca="1">_xll.DBRW($C$1,$C$2,$C$3,$C$4,$C$6,$C$5,$C$7,AY$1,AY$2,$A276)</f>
        <v>0</v>
      </c>
    </row>
    <row r="277" spans="1:51" ht="15.5" collapsed="1">
      <c r="A277" s="1" t="s">
        <v>142</v>
      </c>
      <c r="C277" s="109"/>
      <c r="E277" s="20" t="s">
        <v>68</v>
      </c>
      <c r="F277" s="37">
        <f ca="1">F276</f>
        <v>0</v>
      </c>
      <c r="G277" s="37">
        <f t="shared" ref="G277:AY277" ca="1" si="194">G276</f>
        <v>0</v>
      </c>
      <c r="H277" s="37">
        <f t="shared" ca="1" si="194"/>
        <v>0</v>
      </c>
      <c r="I277" s="37">
        <f t="shared" ca="1" si="194"/>
        <v>0</v>
      </c>
      <c r="J277" s="37">
        <f t="shared" ca="1" si="194"/>
        <v>0</v>
      </c>
      <c r="K277" s="37">
        <f ca="1">K276</f>
        <v>0</v>
      </c>
      <c r="L277" s="37">
        <f t="shared" ca="1" si="194"/>
        <v>0</v>
      </c>
      <c r="M277" s="37">
        <f t="shared" ca="1" si="194"/>
        <v>0</v>
      </c>
      <c r="N277" s="37">
        <f t="shared" ca="1" si="194"/>
        <v>0</v>
      </c>
      <c r="O277" s="37">
        <f t="shared" ca="1" si="194"/>
        <v>0</v>
      </c>
      <c r="P277" s="37">
        <f t="shared" ca="1" si="194"/>
        <v>0</v>
      </c>
      <c r="Q277" s="37">
        <f t="shared" ca="1" si="194"/>
        <v>0</v>
      </c>
      <c r="R277" s="37">
        <f t="shared" ca="1" si="194"/>
        <v>0</v>
      </c>
      <c r="S277" s="37">
        <f t="shared" ca="1" si="194"/>
        <v>0</v>
      </c>
      <c r="T277" s="37">
        <f t="shared" ca="1" si="194"/>
        <v>0</v>
      </c>
      <c r="U277" s="37">
        <f t="shared" ca="1" si="194"/>
        <v>0</v>
      </c>
      <c r="V277" s="37">
        <f t="shared" ca="1" si="194"/>
        <v>0</v>
      </c>
      <c r="W277" s="37">
        <f t="shared" ca="1" si="194"/>
        <v>0</v>
      </c>
      <c r="X277" s="37">
        <f t="shared" ca="1" si="194"/>
        <v>0</v>
      </c>
      <c r="Y277" s="37">
        <f t="shared" ca="1" si="194"/>
        <v>0</v>
      </c>
      <c r="Z277" s="37">
        <f t="shared" ca="1" si="194"/>
        <v>0</v>
      </c>
      <c r="AA277" s="37">
        <f t="shared" ca="1" si="194"/>
        <v>0</v>
      </c>
      <c r="AB277" s="37">
        <f t="shared" ca="1" si="194"/>
        <v>0</v>
      </c>
      <c r="AC277" s="37">
        <f t="shared" ca="1" si="194"/>
        <v>0</v>
      </c>
      <c r="AD277" s="37">
        <f t="shared" ca="1" si="194"/>
        <v>0</v>
      </c>
      <c r="AE277" s="37">
        <f t="shared" ca="1" si="194"/>
        <v>0</v>
      </c>
      <c r="AF277" s="37">
        <f t="shared" ca="1" si="194"/>
        <v>0</v>
      </c>
      <c r="AG277" s="37">
        <f t="shared" ca="1" si="194"/>
        <v>0</v>
      </c>
      <c r="AH277" s="37">
        <f t="shared" ca="1" si="194"/>
        <v>0</v>
      </c>
      <c r="AI277" s="37">
        <f t="shared" ca="1" si="194"/>
        <v>0</v>
      </c>
      <c r="AJ277" s="37">
        <f t="shared" ca="1" si="194"/>
        <v>0</v>
      </c>
      <c r="AK277" s="37">
        <f t="shared" ca="1" si="194"/>
        <v>0</v>
      </c>
      <c r="AL277" s="37">
        <f t="shared" ca="1" si="194"/>
        <v>0</v>
      </c>
      <c r="AM277" s="37">
        <f t="shared" ca="1" si="194"/>
        <v>0</v>
      </c>
      <c r="AN277" s="37">
        <f t="shared" ca="1" si="194"/>
        <v>0</v>
      </c>
      <c r="AO277" s="37">
        <f t="shared" ca="1" si="194"/>
        <v>0</v>
      </c>
      <c r="AP277" s="37">
        <f t="shared" ca="1" si="194"/>
        <v>0</v>
      </c>
      <c r="AQ277" s="37">
        <f t="shared" ca="1" si="194"/>
        <v>0</v>
      </c>
      <c r="AR277" s="37">
        <f t="shared" ca="1" si="194"/>
        <v>0</v>
      </c>
      <c r="AS277" s="37">
        <f t="shared" ca="1" si="194"/>
        <v>0</v>
      </c>
      <c r="AT277" s="37">
        <f t="shared" ca="1" si="194"/>
        <v>0</v>
      </c>
      <c r="AU277" s="37">
        <f t="shared" ca="1" si="194"/>
        <v>0</v>
      </c>
      <c r="AV277" s="37">
        <f t="shared" ca="1" si="194"/>
        <v>0</v>
      </c>
      <c r="AW277" s="37">
        <f t="shared" ca="1" si="194"/>
        <v>0</v>
      </c>
      <c r="AX277" s="37">
        <f t="shared" ca="1" si="194"/>
        <v>0</v>
      </c>
      <c r="AY277" s="37">
        <f t="shared" ca="1" si="194"/>
        <v>0</v>
      </c>
    </row>
    <row r="278" spans="1:51" ht="15.5" hidden="1" outlineLevel="1">
      <c r="A278" s="1" t="s">
        <v>340</v>
      </c>
      <c r="C278" s="109"/>
      <c r="E278" s="9" t="str">
        <f ca="1">_xll.DBRW(Server&amp;"}ElementAttributes_Indicator",A278,"code_English")</f>
        <v>TPL1_nat - OPERATING PROFIT (by nature)</v>
      </c>
      <c r="F278" s="32">
        <f ca="1">_xll.DBRW($C$1,$C$2,$C$3,$C$4,$C$6,$C$5,$C$7,F$1,F$2,$A278)</f>
        <v>0</v>
      </c>
      <c r="G278" s="32">
        <f ca="1">_xll.DBRW($C$1,$C$2,$C$3,$C$4,$C$6,$C$5,$C$7,G$1,G$2,$A278)</f>
        <v>0</v>
      </c>
      <c r="H278" s="32">
        <f ca="1">_xll.DBRW($C$1,$C$2,$C$3,$C$4,$C$6,$C$5,$C$7,H$1,H$2,$A278)</f>
        <v>0</v>
      </c>
      <c r="I278" s="32">
        <f ca="1">_xll.DBRW($C$1,$C$2,$C$3,$C$4,$C$6,$C$5,$C$7,I$1,I$2,$A278)</f>
        <v>0</v>
      </c>
      <c r="J278" s="32">
        <f ca="1">_xll.DBRW($C$1,$C$2,$C$3,$C$4,$C$6,$C$5,$C$7,J$1,J$2,$A278)</f>
        <v>0</v>
      </c>
      <c r="K278" s="32">
        <f ca="1">_xll.DBRW($C$1,$C$2,$C$3,$C$4,$C$6,$C$5,$C$7,K$1,K$2,$A278)</f>
        <v>0</v>
      </c>
      <c r="L278" s="32">
        <f ca="1">_xll.DBRW($C$1,$C$2,$C$3,$C$4,$C$6,$C$5,$C$7,L$1,L$2,$A278)</f>
        <v>0</v>
      </c>
      <c r="M278" s="32">
        <f ca="1">_xll.DBRW($C$1,$C$2,$C$3,$C$4,$C$6,$C$5,$C$7,M$1,M$2,$A278)</f>
        <v>0</v>
      </c>
      <c r="N278" s="32">
        <f ca="1">_xll.DBRW($C$1,$C$2,$C$3,$C$4,$C$6,$C$5,$C$7,N$1,N$2,$A278)</f>
        <v>0</v>
      </c>
      <c r="O278" s="32">
        <f ca="1">_xll.DBRW($C$1,$C$2,$C$3,$C$4,$C$6,$C$5,$C$7,O$1,O$2,$A278)</f>
        <v>0</v>
      </c>
      <c r="P278" s="32">
        <f ca="1">_xll.DBRW($C$1,$C$2,$C$3,$C$4,$C$6,$C$5,$C$7,P$1,P$2,$A278)</f>
        <v>0</v>
      </c>
      <c r="Q278" s="32">
        <f ca="1">_xll.DBRW($C$1,$C$2,$C$3,$C$4,$C$6,$C$5,$C$7,Q$1,Q$2,$A278)</f>
        <v>0</v>
      </c>
      <c r="R278" s="32">
        <f ca="1">_xll.DBRW($C$1,$C$2,$C$3,$C$4,$C$6,$C$5,$C$7,R$1,R$2,$A278)</f>
        <v>0</v>
      </c>
      <c r="S278" s="32">
        <f ca="1">_xll.DBRW($C$1,$C$2,$C$3,$C$4,$C$6,$C$5,$C$7,S$1,S$2,$A278)</f>
        <v>0</v>
      </c>
      <c r="T278" s="32">
        <f ca="1">_xll.DBRW($C$1,$C$2,$C$3,$C$4,$C$6,$C$5,$C$7,T$1,T$2,$A278)</f>
        <v>0</v>
      </c>
      <c r="U278" s="32">
        <f ca="1">_xll.DBRW($C$1,$C$2,$C$3,$C$4,$C$6,$C$5,$C$7,U$1,U$2,$A278)</f>
        <v>0</v>
      </c>
      <c r="V278" s="32">
        <f ca="1">_xll.DBRW($C$1,$C$2,$C$3,$C$4,$C$6,$C$5,$C$7,V$1,V$2,$A278)</f>
        <v>0</v>
      </c>
      <c r="W278" s="32">
        <f ca="1">_xll.DBRW($C$1,$C$2,$C$3,$C$4,$C$6,$C$5,$C$7,W$1,W$2,$A278)</f>
        <v>0</v>
      </c>
      <c r="X278" s="32">
        <f ca="1">_xll.DBRW($C$1,$C$2,$C$3,$C$4,$C$6,$C$5,$C$7,X$1,X$2,$A278)</f>
        <v>0</v>
      </c>
      <c r="Y278" s="32">
        <f ca="1">_xll.DBRW($C$1,$C$2,$C$3,$C$4,$C$6,$C$5,$C$7,Y$1,Y$2,$A278)</f>
        <v>0</v>
      </c>
      <c r="Z278" s="32">
        <f ca="1">_xll.DBRW($C$1,$C$2,$C$3,$C$4,$C$6,$C$5,$C$7,Z$1,Z$2,$A278)</f>
        <v>0</v>
      </c>
      <c r="AA278" s="32">
        <f ca="1">_xll.DBRW($C$1,$C$2,$C$3,$C$4,$C$6,$C$5,$C$7,AA$1,AA$2,$A278)</f>
        <v>0</v>
      </c>
      <c r="AB278" s="32">
        <f ca="1">_xll.DBRW($C$1,$C$2,$C$3,$C$4,$C$6,$C$5,$C$7,AB$1,AB$2,$A278)</f>
        <v>0</v>
      </c>
      <c r="AC278" s="32">
        <f ca="1">_xll.DBRW($C$1,$C$2,$C$3,$C$4,$C$6,$C$5,$C$7,AC$1,AC$2,$A278)</f>
        <v>0</v>
      </c>
      <c r="AD278" s="32">
        <f ca="1">_xll.DBRW($C$1,$C$2,$C$3,$C$4,$C$6,$C$5,$C$7,AD$1,AD$2,$A278)</f>
        <v>0</v>
      </c>
      <c r="AE278" s="32">
        <f ca="1">_xll.DBRW($C$1,$C$2,$C$3,$C$4,$C$6,$C$5,$C$7,AE$1,AE$2,$A278)</f>
        <v>0</v>
      </c>
      <c r="AF278" s="32">
        <f ca="1">_xll.DBRW($C$1,$C$2,$C$3,$C$4,$C$6,$C$5,$C$7,AF$1,AF$2,$A278)</f>
        <v>0</v>
      </c>
      <c r="AG278" s="32">
        <f ca="1">_xll.DBRW($C$1,$C$2,$C$3,$C$4,$C$6,$C$5,$C$7,AG$1,AG$2,$A278)</f>
        <v>0</v>
      </c>
      <c r="AH278" s="32">
        <f ca="1">_xll.DBRW($C$1,$C$2,$C$3,$C$4,$C$6,$C$5,$C$7,AH$1,AH$2,$A278)</f>
        <v>0</v>
      </c>
      <c r="AI278" s="32">
        <f ca="1">_xll.DBRW($C$1,$C$2,$C$3,$C$4,$C$6,$C$5,$C$7,AI$1,AI$2,$A278)</f>
        <v>0</v>
      </c>
      <c r="AJ278" s="32">
        <f ca="1">_xll.DBRW($C$1,$C$2,$C$3,$C$4,$C$6,$C$5,$C$7,AJ$1,AJ$2,$A278)</f>
        <v>0</v>
      </c>
      <c r="AK278" s="32">
        <f ca="1">_xll.DBRW($C$1,$C$2,$C$3,$C$4,$C$6,$C$5,$C$7,AK$1,AK$2,$A278)</f>
        <v>0</v>
      </c>
      <c r="AL278" s="32">
        <f ca="1">_xll.DBRW($C$1,$C$2,$C$3,$C$4,$C$6,$C$5,$C$7,AL$1,AL$2,$A278)</f>
        <v>0</v>
      </c>
      <c r="AM278" s="32">
        <f ca="1">_xll.DBRW($C$1,$C$2,$C$3,$C$4,$C$6,$C$5,$C$7,AM$1,AM$2,$A278)</f>
        <v>0</v>
      </c>
      <c r="AN278" s="32">
        <f ca="1">_xll.DBRW($C$1,$C$2,$C$3,$C$4,$C$6,$C$5,$C$7,AN$1,AN$2,$A278)</f>
        <v>0</v>
      </c>
      <c r="AO278" s="32">
        <f ca="1">_xll.DBRW($C$1,$C$2,$C$3,$C$4,$C$6,$C$5,$C$7,AO$1,AO$2,$A278)</f>
        <v>0</v>
      </c>
      <c r="AP278" s="32">
        <f ca="1">_xll.DBRW($C$1,$C$2,$C$3,$C$4,$C$6,$C$5,$C$7,AP$1,AP$2,$A278)</f>
        <v>0</v>
      </c>
      <c r="AQ278" s="32">
        <f ca="1">_xll.DBRW($C$1,$C$2,$C$3,$C$4,$C$6,$C$5,$C$7,AQ$1,AQ$2,$A278)</f>
        <v>0</v>
      </c>
      <c r="AR278" s="32">
        <f ca="1">_xll.DBRW($C$1,$C$2,$C$3,$C$4,$C$6,$C$5,$C$7,AR$1,AR$2,$A278)</f>
        <v>0</v>
      </c>
      <c r="AS278" s="32">
        <f ca="1">_xll.DBRW($C$1,$C$2,$C$3,$C$4,$C$6,$C$5,$C$7,AS$1,AS$2,$A278)</f>
        <v>0</v>
      </c>
      <c r="AT278" s="32">
        <f ca="1">_xll.DBRW($C$1,$C$2,$C$3,$C$4,$C$6,$C$5,$C$7,AT$1,AT$2,$A278)</f>
        <v>0</v>
      </c>
      <c r="AU278" s="32">
        <f ca="1">_xll.DBRW($C$1,$C$2,$C$3,$C$4,$C$6,$C$5,$C$7,AU$1,AU$2,$A278)</f>
        <v>0</v>
      </c>
      <c r="AV278" s="32">
        <f ca="1">_xll.DBRW($C$1,$C$2,$C$3,$C$4,$C$6,$C$5,$C$7,AV$1,AV$2,$A278)</f>
        <v>0</v>
      </c>
      <c r="AW278" s="32">
        <f ca="1">_xll.DBRW($C$1,$C$2,$C$3,$C$4,$C$6,$C$5,$C$7,AW$1,AW$2,$A278)</f>
        <v>0</v>
      </c>
      <c r="AX278" s="32">
        <f ca="1">_xll.DBRW($C$1,$C$2,$C$3,$C$4,$C$6,$C$5,$C$7,AX$1,AX$2,$A278)</f>
        <v>0</v>
      </c>
      <c r="AY278" s="32">
        <f ca="1">_xll.DBRW($C$1,$C$2,$C$3,$C$4,$C$6,$C$5,$C$7,AY$1,AY$2,$A278)</f>
        <v>0</v>
      </c>
    </row>
    <row r="279" spans="1:51" ht="15.5" collapsed="1">
      <c r="A279" s="1" t="s">
        <v>142</v>
      </c>
      <c r="C279" s="109"/>
      <c r="E279" s="20" t="s">
        <v>69</v>
      </c>
      <c r="F279" s="37">
        <f ca="1">F278</f>
        <v>0</v>
      </c>
      <c r="G279" s="37">
        <f t="shared" ref="G279:AY279" ca="1" si="195">G278</f>
        <v>0</v>
      </c>
      <c r="H279" s="37">
        <f t="shared" ca="1" si="195"/>
        <v>0</v>
      </c>
      <c r="I279" s="37">
        <f t="shared" ca="1" si="195"/>
        <v>0</v>
      </c>
      <c r="J279" s="37">
        <f t="shared" ca="1" si="195"/>
        <v>0</v>
      </c>
      <c r="K279" s="37">
        <f t="shared" ca="1" si="195"/>
        <v>0</v>
      </c>
      <c r="L279" s="37">
        <f t="shared" ca="1" si="195"/>
        <v>0</v>
      </c>
      <c r="M279" s="37">
        <f t="shared" ca="1" si="195"/>
        <v>0</v>
      </c>
      <c r="N279" s="37">
        <f t="shared" ca="1" si="195"/>
        <v>0</v>
      </c>
      <c r="O279" s="37">
        <f t="shared" ca="1" si="195"/>
        <v>0</v>
      </c>
      <c r="P279" s="37">
        <f t="shared" ca="1" si="195"/>
        <v>0</v>
      </c>
      <c r="Q279" s="37">
        <f t="shared" ca="1" si="195"/>
        <v>0</v>
      </c>
      <c r="R279" s="37">
        <f t="shared" ca="1" si="195"/>
        <v>0</v>
      </c>
      <c r="S279" s="37">
        <f t="shared" ca="1" si="195"/>
        <v>0</v>
      </c>
      <c r="T279" s="37">
        <f t="shared" ca="1" si="195"/>
        <v>0</v>
      </c>
      <c r="U279" s="37">
        <f t="shared" ca="1" si="195"/>
        <v>0</v>
      </c>
      <c r="V279" s="37">
        <f t="shared" ca="1" si="195"/>
        <v>0</v>
      </c>
      <c r="W279" s="37">
        <f t="shared" ca="1" si="195"/>
        <v>0</v>
      </c>
      <c r="X279" s="37">
        <f t="shared" ca="1" si="195"/>
        <v>0</v>
      </c>
      <c r="Y279" s="37">
        <f t="shared" ca="1" si="195"/>
        <v>0</v>
      </c>
      <c r="Z279" s="37">
        <f t="shared" ca="1" si="195"/>
        <v>0</v>
      </c>
      <c r="AA279" s="37">
        <f t="shared" ca="1" si="195"/>
        <v>0</v>
      </c>
      <c r="AB279" s="37">
        <f t="shared" ca="1" si="195"/>
        <v>0</v>
      </c>
      <c r="AC279" s="37">
        <f t="shared" ca="1" si="195"/>
        <v>0</v>
      </c>
      <c r="AD279" s="37">
        <f t="shared" ca="1" si="195"/>
        <v>0</v>
      </c>
      <c r="AE279" s="37">
        <f t="shared" ca="1" si="195"/>
        <v>0</v>
      </c>
      <c r="AF279" s="37">
        <f t="shared" ca="1" si="195"/>
        <v>0</v>
      </c>
      <c r="AG279" s="37">
        <f t="shared" ca="1" si="195"/>
        <v>0</v>
      </c>
      <c r="AH279" s="37">
        <f t="shared" ca="1" si="195"/>
        <v>0</v>
      </c>
      <c r="AI279" s="37">
        <f t="shared" ca="1" si="195"/>
        <v>0</v>
      </c>
      <c r="AJ279" s="37">
        <f t="shared" ca="1" si="195"/>
        <v>0</v>
      </c>
      <c r="AK279" s="37">
        <f t="shared" ca="1" si="195"/>
        <v>0</v>
      </c>
      <c r="AL279" s="37">
        <f t="shared" ca="1" si="195"/>
        <v>0</v>
      </c>
      <c r="AM279" s="37">
        <f t="shared" ca="1" si="195"/>
        <v>0</v>
      </c>
      <c r="AN279" s="37">
        <f t="shared" ca="1" si="195"/>
        <v>0</v>
      </c>
      <c r="AO279" s="37">
        <f t="shared" ca="1" si="195"/>
        <v>0</v>
      </c>
      <c r="AP279" s="37">
        <f t="shared" ca="1" si="195"/>
        <v>0</v>
      </c>
      <c r="AQ279" s="37">
        <f t="shared" ca="1" si="195"/>
        <v>0</v>
      </c>
      <c r="AR279" s="37">
        <f t="shared" ca="1" si="195"/>
        <v>0</v>
      </c>
      <c r="AS279" s="37">
        <f t="shared" ca="1" si="195"/>
        <v>0</v>
      </c>
      <c r="AT279" s="37">
        <f t="shared" ca="1" si="195"/>
        <v>0</v>
      </c>
      <c r="AU279" s="37">
        <f t="shared" ca="1" si="195"/>
        <v>0</v>
      </c>
      <c r="AV279" s="37">
        <f t="shared" ca="1" si="195"/>
        <v>0</v>
      </c>
      <c r="AW279" s="37">
        <f t="shared" ca="1" si="195"/>
        <v>0</v>
      </c>
      <c r="AX279" s="37">
        <f t="shared" ca="1" si="195"/>
        <v>0</v>
      </c>
      <c r="AY279" s="37">
        <f t="shared" ca="1" si="195"/>
        <v>0</v>
      </c>
    </row>
    <row r="280" spans="1:51" ht="14.5">
      <c r="A280" s="1" t="s">
        <v>142</v>
      </c>
      <c r="C280" s="109"/>
      <c r="E280" s="21" t="s">
        <v>70</v>
      </c>
      <c r="F280" s="22" t="str">
        <f ca="1">IFERROR(F279/F25,"-")</f>
        <v>-</v>
      </c>
      <c r="G280" s="22" t="str">
        <f t="shared" ref="G280:AY280" ca="1" si="196">IFERROR(G279/G25,"-")</f>
        <v>-</v>
      </c>
      <c r="H280" s="22" t="str">
        <f t="shared" ca="1" si="196"/>
        <v>-</v>
      </c>
      <c r="I280" s="22" t="str">
        <f t="shared" ca="1" si="196"/>
        <v>-</v>
      </c>
      <c r="J280" s="22" t="str">
        <f t="shared" ca="1" si="196"/>
        <v>-</v>
      </c>
      <c r="K280" s="22" t="str">
        <f t="shared" ca="1" si="196"/>
        <v>-</v>
      </c>
      <c r="L280" s="22" t="str">
        <f t="shared" ca="1" si="196"/>
        <v>-</v>
      </c>
      <c r="M280" s="22" t="str">
        <f t="shared" ca="1" si="196"/>
        <v>-</v>
      </c>
      <c r="N280" s="22" t="str">
        <f t="shared" ca="1" si="196"/>
        <v>-</v>
      </c>
      <c r="O280" s="22" t="str">
        <f t="shared" ca="1" si="196"/>
        <v>-</v>
      </c>
      <c r="P280" s="22" t="str">
        <f t="shared" ca="1" si="196"/>
        <v>-</v>
      </c>
      <c r="Q280" s="22" t="str">
        <f t="shared" ca="1" si="196"/>
        <v>-</v>
      </c>
      <c r="R280" s="22" t="str">
        <f t="shared" ca="1" si="196"/>
        <v>-</v>
      </c>
      <c r="S280" s="22" t="str">
        <f t="shared" ca="1" si="196"/>
        <v>-</v>
      </c>
      <c r="T280" s="22" t="str">
        <f t="shared" ca="1" si="196"/>
        <v>-</v>
      </c>
      <c r="U280" s="22" t="str">
        <f t="shared" ca="1" si="196"/>
        <v>-</v>
      </c>
      <c r="V280" s="22" t="str">
        <f t="shared" ca="1" si="196"/>
        <v>-</v>
      </c>
      <c r="W280" s="22" t="str">
        <f t="shared" ca="1" si="196"/>
        <v>-</v>
      </c>
      <c r="X280" s="22" t="str">
        <f t="shared" ca="1" si="196"/>
        <v>-</v>
      </c>
      <c r="Y280" s="22" t="str">
        <f t="shared" ca="1" si="196"/>
        <v>-</v>
      </c>
      <c r="Z280" s="22" t="str">
        <f t="shared" ca="1" si="196"/>
        <v>-</v>
      </c>
      <c r="AA280" s="22" t="str">
        <f t="shared" ca="1" si="196"/>
        <v>-</v>
      </c>
      <c r="AB280" s="22" t="str">
        <f t="shared" ca="1" si="196"/>
        <v>-</v>
      </c>
      <c r="AC280" s="22" t="str">
        <f t="shared" ca="1" si="196"/>
        <v>-</v>
      </c>
      <c r="AD280" s="22" t="str">
        <f t="shared" ca="1" si="196"/>
        <v>-</v>
      </c>
      <c r="AE280" s="22" t="str">
        <f t="shared" ca="1" si="196"/>
        <v>-</v>
      </c>
      <c r="AF280" s="22" t="str">
        <f t="shared" ca="1" si="196"/>
        <v>-</v>
      </c>
      <c r="AG280" s="22" t="str">
        <f t="shared" ca="1" si="196"/>
        <v>-</v>
      </c>
      <c r="AH280" s="22" t="str">
        <f t="shared" ca="1" si="196"/>
        <v>-</v>
      </c>
      <c r="AI280" s="22" t="str">
        <f t="shared" ca="1" si="196"/>
        <v>-</v>
      </c>
      <c r="AJ280" s="22" t="str">
        <f t="shared" ca="1" si="196"/>
        <v>-</v>
      </c>
      <c r="AK280" s="22" t="str">
        <f t="shared" ca="1" si="196"/>
        <v>-</v>
      </c>
      <c r="AL280" s="22" t="str">
        <f t="shared" ca="1" si="196"/>
        <v>-</v>
      </c>
      <c r="AM280" s="22" t="str">
        <f t="shared" ca="1" si="196"/>
        <v>-</v>
      </c>
      <c r="AN280" s="22" t="str">
        <f t="shared" ca="1" si="196"/>
        <v>-</v>
      </c>
      <c r="AO280" s="22" t="str">
        <f t="shared" ca="1" si="196"/>
        <v>-</v>
      </c>
      <c r="AP280" s="22" t="str">
        <f t="shared" ca="1" si="196"/>
        <v>-</v>
      </c>
      <c r="AQ280" s="22" t="str">
        <f t="shared" ca="1" si="196"/>
        <v>-</v>
      </c>
      <c r="AR280" s="22" t="str">
        <f t="shared" ca="1" si="196"/>
        <v>-</v>
      </c>
      <c r="AS280" s="22" t="str">
        <f t="shared" ca="1" si="196"/>
        <v>-</v>
      </c>
      <c r="AT280" s="22" t="str">
        <f t="shared" ca="1" si="196"/>
        <v>-</v>
      </c>
      <c r="AU280" s="22" t="str">
        <f t="shared" ca="1" si="196"/>
        <v>-</v>
      </c>
      <c r="AV280" s="22" t="str">
        <f t="shared" ca="1" si="196"/>
        <v>-</v>
      </c>
      <c r="AW280" s="22" t="str">
        <f t="shared" ca="1" si="196"/>
        <v>-</v>
      </c>
      <c r="AX280" s="22" t="str">
        <f t="shared" ca="1" si="196"/>
        <v>-</v>
      </c>
      <c r="AY280" s="22" t="str">
        <f t="shared" ca="1" si="196"/>
        <v>-</v>
      </c>
    </row>
    <row r="281" spans="1:51" ht="14.5">
      <c r="A281" s="1" t="s">
        <v>142</v>
      </c>
      <c r="C281" s="26"/>
      <c r="E281" s="27"/>
      <c r="F281" s="52">
        <f ca="1">ROUND(F279-F225-F262-F265-F270-F275,4)</f>
        <v>0</v>
      </c>
      <c r="G281" s="52">
        <f t="shared" ref="G281:AY281" ca="1" si="197">ROUND(G279-G225-G262-G265-G270-G275,4)</f>
        <v>0</v>
      </c>
      <c r="H281" s="52">
        <f ca="1">ROUND(H279-H225-H262-H265-H270-H275,4)</f>
        <v>0</v>
      </c>
      <c r="I281" s="52">
        <f t="shared" ca="1" si="197"/>
        <v>0</v>
      </c>
      <c r="J281" s="52">
        <f ca="1">ROUND(J279-J225-J262-J265-J270-J275,4)</f>
        <v>0</v>
      </c>
      <c r="K281" s="52">
        <f t="shared" ca="1" si="197"/>
        <v>0</v>
      </c>
      <c r="L281" s="52">
        <f t="shared" ca="1" si="197"/>
        <v>0</v>
      </c>
      <c r="M281" s="52">
        <f t="shared" ca="1" si="197"/>
        <v>0</v>
      </c>
      <c r="N281" s="52">
        <f t="shared" ca="1" si="197"/>
        <v>0</v>
      </c>
      <c r="O281" s="52">
        <f t="shared" ca="1" si="197"/>
        <v>0</v>
      </c>
      <c r="P281" s="52">
        <f t="shared" ca="1" si="197"/>
        <v>0</v>
      </c>
      <c r="Q281" s="52">
        <f t="shared" ca="1" si="197"/>
        <v>0</v>
      </c>
      <c r="R281" s="52">
        <f t="shared" ca="1" si="197"/>
        <v>0</v>
      </c>
      <c r="S281" s="52">
        <f t="shared" ca="1" si="197"/>
        <v>0</v>
      </c>
      <c r="T281" s="52">
        <f t="shared" ca="1" si="197"/>
        <v>0</v>
      </c>
      <c r="U281" s="52">
        <f t="shared" ca="1" si="197"/>
        <v>0</v>
      </c>
      <c r="V281" s="52">
        <f t="shared" ca="1" si="197"/>
        <v>0</v>
      </c>
      <c r="W281" s="52">
        <f t="shared" ca="1" si="197"/>
        <v>0</v>
      </c>
      <c r="X281" s="52">
        <f t="shared" ca="1" si="197"/>
        <v>0</v>
      </c>
      <c r="Y281" s="52">
        <f t="shared" ca="1" si="197"/>
        <v>0</v>
      </c>
      <c r="Z281" s="52">
        <f t="shared" ca="1" si="197"/>
        <v>0</v>
      </c>
      <c r="AA281" s="52">
        <f t="shared" ca="1" si="197"/>
        <v>0</v>
      </c>
      <c r="AB281" s="52">
        <f t="shared" ca="1" si="197"/>
        <v>0</v>
      </c>
      <c r="AC281" s="52">
        <f t="shared" ca="1" si="197"/>
        <v>0</v>
      </c>
      <c r="AD281" s="52">
        <f t="shared" ca="1" si="197"/>
        <v>0</v>
      </c>
      <c r="AE281" s="52">
        <f t="shared" ca="1" si="197"/>
        <v>0</v>
      </c>
      <c r="AF281" s="52">
        <f t="shared" ca="1" si="197"/>
        <v>0</v>
      </c>
      <c r="AG281" s="52">
        <f t="shared" ca="1" si="197"/>
        <v>0</v>
      </c>
      <c r="AH281" s="52">
        <f t="shared" ca="1" si="197"/>
        <v>0</v>
      </c>
      <c r="AI281" s="52">
        <f t="shared" ca="1" si="197"/>
        <v>0</v>
      </c>
      <c r="AJ281" s="52">
        <f t="shared" ca="1" si="197"/>
        <v>0</v>
      </c>
      <c r="AK281" s="52">
        <f t="shared" ca="1" si="197"/>
        <v>0</v>
      </c>
      <c r="AL281" s="52">
        <f t="shared" ca="1" si="197"/>
        <v>0</v>
      </c>
      <c r="AM281" s="52">
        <f t="shared" ca="1" si="197"/>
        <v>0</v>
      </c>
      <c r="AN281" s="52">
        <f t="shared" ca="1" si="197"/>
        <v>0</v>
      </c>
      <c r="AO281" s="52">
        <f t="shared" ca="1" si="197"/>
        <v>0</v>
      </c>
      <c r="AP281" s="52">
        <f t="shared" ca="1" si="197"/>
        <v>0</v>
      </c>
      <c r="AQ281" s="52">
        <f t="shared" ca="1" si="197"/>
        <v>0</v>
      </c>
      <c r="AR281" s="52">
        <f t="shared" ca="1" si="197"/>
        <v>0</v>
      </c>
      <c r="AS281" s="52">
        <f t="shared" ca="1" si="197"/>
        <v>0</v>
      </c>
      <c r="AT281" s="52">
        <f t="shared" ca="1" si="197"/>
        <v>0</v>
      </c>
      <c r="AU281" s="52">
        <f t="shared" ca="1" si="197"/>
        <v>0</v>
      </c>
      <c r="AV281" s="52">
        <f t="shared" ca="1" si="197"/>
        <v>0</v>
      </c>
      <c r="AW281" s="52">
        <f t="shared" ca="1" si="197"/>
        <v>0</v>
      </c>
      <c r="AX281" s="52">
        <f t="shared" ca="1" si="197"/>
        <v>0</v>
      </c>
      <c r="AY281" s="52">
        <f t="shared" ca="1" si="197"/>
        <v>0</v>
      </c>
    </row>
    <row r="282" spans="1:51" ht="15.5">
      <c r="A282" s="1" t="s">
        <v>142</v>
      </c>
      <c r="E282" s="7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28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  <c r="AW282" s="12"/>
      <c r="AX282" s="12"/>
      <c r="AY282" s="12"/>
    </row>
    <row r="283" spans="1:51" ht="15.5" hidden="1" outlineLevel="1">
      <c r="A283" s="1" t="s">
        <v>341</v>
      </c>
      <c r="E283" s="9" t="str">
        <f ca="1">_xll.DBRW(Server&amp;"}ElementAttributes_Indicator",A283,"code_English")</f>
        <v>CAPEX_RS - Gross industrial CAPEX - Rolling stock</v>
      </c>
      <c r="F283" s="10">
        <f ca="1">_xll.DBRW($C$1,$C$2,$C$3,$C$4,$C$6,$C$5,$C$7,F$1,F$2,$A283)</f>
        <v>0</v>
      </c>
      <c r="G283" s="10">
        <f ca="1">_xll.DBRW($C$1,$C$2,$C$3,$C$4,$C$6,$C$5,$C$7,G$1,G$2,$A283)</f>
        <v>0</v>
      </c>
      <c r="H283" s="10">
        <f ca="1">_xll.DBRW($C$1,$C$2,$C$3,$C$4,$C$6,$C$5,$C$7,H$1,H$2,$A283)</f>
        <v>0</v>
      </c>
      <c r="I283" s="10">
        <f ca="1">_xll.DBRW($C$1,$C$2,$C$3,$C$4,$C$6,$C$5,$C$7,I$1,I$2,$A283)</f>
        <v>0</v>
      </c>
      <c r="J283" s="10">
        <f ca="1">_xll.DBRW($C$1,$C$2,$C$3,$C$4,$C$6,$C$5,$C$7,J$1,J$2,$A283)</f>
        <v>0</v>
      </c>
      <c r="K283" s="10">
        <f ca="1">_xll.DBRW($C$1,$C$2,$C$3,$C$4,$C$6,$C$5,$C$7,K$1,K$2,$A283)</f>
        <v>0</v>
      </c>
      <c r="L283" s="10">
        <f ca="1">_xll.DBRW($C$1,$C$2,$C$3,$C$4,$C$6,$C$5,$C$7,L$1,L$2,$A283)</f>
        <v>0</v>
      </c>
      <c r="M283" s="10">
        <f ca="1">_xll.DBRW($C$1,$C$2,$C$3,$C$4,$C$6,$C$5,$C$7,M$1,M$2,$A283)</f>
        <v>0</v>
      </c>
      <c r="N283" s="10">
        <f ca="1">_xll.DBRW($C$1,$C$2,$C$3,$C$4,$C$6,$C$5,$C$7,N$1,N$2,$A283)</f>
        <v>0</v>
      </c>
      <c r="O283" s="10">
        <f ca="1">_xll.DBRW($C$1,$C$2,$C$3,$C$4,$C$6,$C$5,$C$7,O$1,O$2,$A283)</f>
        <v>0</v>
      </c>
      <c r="P283" s="10">
        <f ca="1">_xll.DBRW($C$1,$C$2,$C$3,$C$4,$C$6,$C$5,$C$7,P$1,P$2,$A283)</f>
        <v>0</v>
      </c>
      <c r="Q283" s="10">
        <f ca="1">_xll.DBRW($C$1,$C$2,$C$3,$C$4,$C$6,$C$5,$C$7,Q$1,Q$2,$A283)</f>
        <v>0</v>
      </c>
      <c r="R283" s="10">
        <f ca="1">_xll.DBRW($C$1,$C$2,$C$3,$C$4,$C$6,$C$5,$C$7,R$1,R$2,$A283)</f>
        <v>0</v>
      </c>
      <c r="S283" s="10">
        <f ca="1">_xll.DBRW($C$1,$C$2,$C$3,$C$4,$C$6,$C$5,$C$7,S$1,S$2,$A283)</f>
        <v>0</v>
      </c>
      <c r="T283" s="10">
        <f ca="1">_xll.DBRW($C$1,$C$2,$C$3,$C$4,$C$6,$C$5,$C$7,T$1,T$2,$A283)</f>
        <v>0</v>
      </c>
      <c r="U283" s="10">
        <f ca="1">_xll.DBRW($C$1,$C$2,$C$3,$C$4,$C$6,$C$5,$C$7,U$1,U$2,$A283)</f>
        <v>0</v>
      </c>
      <c r="V283" s="10">
        <f ca="1">_xll.DBRW($C$1,$C$2,$C$3,$C$4,$C$6,$C$5,$C$7,V$1,V$2,$A283)</f>
        <v>0</v>
      </c>
      <c r="W283" s="10">
        <f ca="1">_xll.DBRW($C$1,$C$2,$C$3,$C$4,$C$6,$C$5,$C$7,W$1,W$2,$A283)</f>
        <v>0</v>
      </c>
      <c r="X283" s="10">
        <f ca="1">_xll.DBRW($C$1,$C$2,$C$3,$C$4,$C$6,$C$5,$C$7,X$1,X$2,$A283)</f>
        <v>0</v>
      </c>
      <c r="Y283" s="10">
        <f ca="1">_xll.DBRW($C$1,$C$2,$C$3,$C$4,$C$6,$C$5,$C$7,Y$1,Y$2,$A283)</f>
        <v>0</v>
      </c>
      <c r="Z283" s="10">
        <f ca="1">_xll.DBRW($C$1,$C$2,$C$3,$C$4,$C$6,$C$5,$C$7,Z$1,Z$2,$A283)</f>
        <v>0</v>
      </c>
      <c r="AA283" s="10">
        <f ca="1">_xll.DBRW($C$1,$C$2,$C$3,$C$4,$C$6,$C$5,$C$7,AA$1,AA$2,$A283)</f>
        <v>0</v>
      </c>
      <c r="AB283" s="10">
        <f ca="1">_xll.DBRW($C$1,$C$2,$C$3,$C$4,$C$6,$C$5,$C$7,AB$1,AB$2,$A283)</f>
        <v>0</v>
      </c>
      <c r="AC283" s="10">
        <f ca="1">_xll.DBRW($C$1,$C$2,$C$3,$C$4,$C$6,$C$5,$C$7,AC$1,AC$2,$A283)</f>
        <v>0</v>
      </c>
      <c r="AD283" s="10">
        <f ca="1">_xll.DBRW($C$1,$C$2,$C$3,$C$4,$C$6,$C$5,$C$7,AD$1,AD$2,$A283)</f>
        <v>0</v>
      </c>
      <c r="AE283" s="10">
        <f ca="1">_xll.DBRW($C$1,$C$2,$C$3,$C$4,$C$6,$C$5,$C$7,AE$1,AE$2,$A283)</f>
        <v>0</v>
      </c>
      <c r="AF283" s="10">
        <f ca="1">_xll.DBRW($C$1,$C$2,$C$3,$C$4,$C$6,$C$5,$C$7,AF$1,AF$2,$A283)</f>
        <v>0</v>
      </c>
      <c r="AG283" s="10">
        <f ca="1">_xll.DBRW($C$1,$C$2,$C$3,$C$4,$C$6,$C$5,$C$7,AG$1,AG$2,$A283)</f>
        <v>0</v>
      </c>
      <c r="AH283" s="10">
        <f ca="1">_xll.DBRW($C$1,$C$2,$C$3,$C$4,$C$6,$C$5,$C$7,AH$1,AH$2,$A283)</f>
        <v>0</v>
      </c>
      <c r="AI283" s="10">
        <f ca="1">_xll.DBRW($C$1,$C$2,$C$3,$C$4,$C$6,$C$5,$C$7,AI$1,AI$2,$A283)</f>
        <v>0</v>
      </c>
      <c r="AJ283" s="10">
        <f ca="1">_xll.DBRW($C$1,$C$2,$C$3,$C$4,$C$6,$C$5,$C$7,AJ$1,AJ$2,$A283)</f>
        <v>0</v>
      </c>
      <c r="AK283" s="10">
        <f ca="1">_xll.DBRW($C$1,$C$2,$C$3,$C$4,$C$6,$C$5,$C$7,AK$1,AK$2,$A283)</f>
        <v>0</v>
      </c>
      <c r="AL283" s="10">
        <f ca="1">_xll.DBRW($C$1,$C$2,$C$3,$C$4,$C$6,$C$5,$C$7,AL$1,AL$2,$A283)</f>
        <v>0</v>
      </c>
      <c r="AM283" s="10">
        <f ca="1">_xll.DBRW($C$1,$C$2,$C$3,$C$4,$C$6,$C$5,$C$7,AM$1,AM$2,$A283)</f>
        <v>0</v>
      </c>
      <c r="AN283" s="10">
        <f ca="1">_xll.DBRW($C$1,$C$2,$C$3,$C$4,$C$6,$C$5,$C$7,AN$1,AN$2,$A283)</f>
        <v>0</v>
      </c>
      <c r="AO283" s="10">
        <f ca="1">_xll.DBRW($C$1,$C$2,$C$3,$C$4,$C$6,$C$5,$C$7,AO$1,AO$2,$A283)</f>
        <v>0</v>
      </c>
      <c r="AP283" s="10">
        <f ca="1">_xll.DBRW($C$1,$C$2,$C$3,$C$4,$C$6,$C$5,$C$7,AP$1,AP$2,$A283)</f>
        <v>0</v>
      </c>
      <c r="AQ283" s="10">
        <f ca="1">_xll.DBRW($C$1,$C$2,$C$3,$C$4,$C$6,$C$5,$C$7,AQ$1,AQ$2,$A283)</f>
        <v>0</v>
      </c>
      <c r="AR283" s="10">
        <f ca="1">_xll.DBRW($C$1,$C$2,$C$3,$C$4,$C$6,$C$5,$C$7,AR$1,AR$2,$A283)</f>
        <v>0</v>
      </c>
      <c r="AS283" s="10">
        <f ca="1">_xll.DBRW($C$1,$C$2,$C$3,$C$4,$C$6,$C$5,$C$7,AS$1,AS$2,$A283)</f>
        <v>0</v>
      </c>
      <c r="AT283" s="10">
        <f ca="1">_xll.DBRW($C$1,$C$2,$C$3,$C$4,$C$6,$C$5,$C$7,AT$1,AT$2,$A283)</f>
        <v>0</v>
      </c>
      <c r="AU283" s="10">
        <f ca="1">_xll.DBRW($C$1,$C$2,$C$3,$C$4,$C$6,$C$5,$C$7,AU$1,AU$2,$A283)</f>
        <v>0</v>
      </c>
      <c r="AV283" s="10">
        <f ca="1">_xll.DBRW($C$1,$C$2,$C$3,$C$4,$C$6,$C$5,$C$7,AV$1,AV$2,$A283)</f>
        <v>0</v>
      </c>
      <c r="AW283" s="10">
        <f ca="1">_xll.DBRW($C$1,$C$2,$C$3,$C$4,$C$6,$C$5,$C$7,AW$1,AW$2,$A283)</f>
        <v>0</v>
      </c>
      <c r="AX283" s="10">
        <f ca="1">_xll.DBRW($C$1,$C$2,$C$3,$C$4,$C$6,$C$5,$C$7,AX$1,AX$2,$A283)</f>
        <v>0</v>
      </c>
      <c r="AY283" s="10">
        <f ca="1">_xll.DBRW($C$1,$C$2,$C$3,$C$4,$C$6,$C$5,$C$7,AY$1,AY$2,$A283)</f>
        <v>0</v>
      </c>
    </row>
    <row r="284" spans="1:51" ht="15.5" hidden="1" outlineLevel="1">
      <c r="A284" s="1" t="s">
        <v>342</v>
      </c>
      <c r="E284" s="9" t="str">
        <f ca="1">_xll.DBRW(Server&amp;"}ElementAttributes_Indicator",A284,"code_English")</f>
        <v>DISP_RS - Industrial Disposals - Rolling stock</v>
      </c>
      <c r="F284" s="10">
        <f ca="1">_xll.DBRW($C$1,$C$2,$C$3,$C$4,$C$6,$C$5,$C$7,F$1,F$2,$A284)</f>
        <v>0</v>
      </c>
      <c r="G284" s="10">
        <f ca="1">_xll.DBRW($C$1,$C$2,$C$3,$C$4,$C$6,$C$5,$C$7,G$1,G$2,$A284)</f>
        <v>0</v>
      </c>
      <c r="H284" s="10">
        <f ca="1">_xll.DBRW($C$1,$C$2,$C$3,$C$4,$C$6,$C$5,$C$7,H$1,H$2,$A284)</f>
        <v>0</v>
      </c>
      <c r="I284" s="10">
        <f ca="1">_xll.DBRW($C$1,$C$2,$C$3,$C$4,$C$6,$C$5,$C$7,I$1,I$2,$A284)</f>
        <v>0</v>
      </c>
      <c r="J284" s="10">
        <f ca="1">_xll.DBRW($C$1,$C$2,$C$3,$C$4,$C$6,$C$5,$C$7,J$1,J$2,$A284)</f>
        <v>0</v>
      </c>
      <c r="K284" s="10">
        <f ca="1">_xll.DBRW($C$1,$C$2,$C$3,$C$4,$C$6,$C$5,$C$7,K$1,K$2,$A284)</f>
        <v>0</v>
      </c>
      <c r="L284" s="10">
        <f ca="1">_xll.DBRW($C$1,$C$2,$C$3,$C$4,$C$6,$C$5,$C$7,L$1,L$2,$A284)</f>
        <v>0</v>
      </c>
      <c r="M284" s="10">
        <f ca="1">_xll.DBRW($C$1,$C$2,$C$3,$C$4,$C$6,$C$5,$C$7,M$1,M$2,$A284)</f>
        <v>0</v>
      </c>
      <c r="N284" s="10">
        <f ca="1">_xll.DBRW($C$1,$C$2,$C$3,$C$4,$C$6,$C$5,$C$7,N$1,N$2,$A284)</f>
        <v>0</v>
      </c>
      <c r="O284" s="10">
        <f ca="1">_xll.DBRW($C$1,$C$2,$C$3,$C$4,$C$6,$C$5,$C$7,O$1,O$2,$A284)</f>
        <v>0</v>
      </c>
      <c r="P284" s="10">
        <f ca="1">_xll.DBRW($C$1,$C$2,$C$3,$C$4,$C$6,$C$5,$C$7,P$1,P$2,$A284)</f>
        <v>0</v>
      </c>
      <c r="Q284" s="10">
        <f ca="1">_xll.DBRW($C$1,$C$2,$C$3,$C$4,$C$6,$C$5,$C$7,Q$1,Q$2,$A284)</f>
        <v>0</v>
      </c>
      <c r="R284" s="10">
        <f ca="1">_xll.DBRW($C$1,$C$2,$C$3,$C$4,$C$6,$C$5,$C$7,R$1,R$2,$A284)</f>
        <v>0</v>
      </c>
      <c r="S284" s="10">
        <f ca="1">_xll.DBRW($C$1,$C$2,$C$3,$C$4,$C$6,$C$5,$C$7,S$1,S$2,$A284)</f>
        <v>0</v>
      </c>
      <c r="T284" s="10">
        <f ca="1">_xll.DBRW($C$1,$C$2,$C$3,$C$4,$C$6,$C$5,$C$7,T$1,T$2,$A284)</f>
        <v>0</v>
      </c>
      <c r="U284" s="10">
        <f ca="1">_xll.DBRW($C$1,$C$2,$C$3,$C$4,$C$6,$C$5,$C$7,U$1,U$2,$A284)</f>
        <v>0</v>
      </c>
      <c r="V284" s="10">
        <f ca="1">_xll.DBRW($C$1,$C$2,$C$3,$C$4,$C$6,$C$5,$C$7,V$1,V$2,$A284)</f>
        <v>0</v>
      </c>
      <c r="W284" s="10">
        <f ca="1">_xll.DBRW($C$1,$C$2,$C$3,$C$4,$C$6,$C$5,$C$7,W$1,W$2,$A284)</f>
        <v>0</v>
      </c>
      <c r="X284" s="10">
        <f ca="1">_xll.DBRW($C$1,$C$2,$C$3,$C$4,$C$6,$C$5,$C$7,X$1,X$2,$A284)</f>
        <v>0</v>
      </c>
      <c r="Y284" s="10">
        <f ca="1">_xll.DBRW($C$1,$C$2,$C$3,$C$4,$C$6,$C$5,$C$7,Y$1,Y$2,$A284)</f>
        <v>0</v>
      </c>
      <c r="Z284" s="10">
        <f ca="1">_xll.DBRW($C$1,$C$2,$C$3,$C$4,$C$6,$C$5,$C$7,Z$1,Z$2,$A284)</f>
        <v>0</v>
      </c>
      <c r="AA284" s="10">
        <f ca="1">_xll.DBRW($C$1,$C$2,$C$3,$C$4,$C$6,$C$5,$C$7,AA$1,AA$2,$A284)</f>
        <v>0</v>
      </c>
      <c r="AB284" s="10">
        <f ca="1">_xll.DBRW($C$1,$C$2,$C$3,$C$4,$C$6,$C$5,$C$7,AB$1,AB$2,$A284)</f>
        <v>0</v>
      </c>
      <c r="AC284" s="10">
        <f ca="1">_xll.DBRW($C$1,$C$2,$C$3,$C$4,$C$6,$C$5,$C$7,AC$1,AC$2,$A284)</f>
        <v>0</v>
      </c>
      <c r="AD284" s="10">
        <f ca="1">_xll.DBRW($C$1,$C$2,$C$3,$C$4,$C$6,$C$5,$C$7,AD$1,AD$2,$A284)</f>
        <v>0</v>
      </c>
      <c r="AE284" s="10">
        <f ca="1">_xll.DBRW($C$1,$C$2,$C$3,$C$4,$C$6,$C$5,$C$7,AE$1,AE$2,$A284)</f>
        <v>0</v>
      </c>
      <c r="AF284" s="10">
        <f ca="1">_xll.DBRW($C$1,$C$2,$C$3,$C$4,$C$6,$C$5,$C$7,AF$1,AF$2,$A284)</f>
        <v>0</v>
      </c>
      <c r="AG284" s="10">
        <f ca="1">_xll.DBRW($C$1,$C$2,$C$3,$C$4,$C$6,$C$5,$C$7,AG$1,AG$2,$A284)</f>
        <v>0</v>
      </c>
      <c r="AH284" s="10">
        <f ca="1">_xll.DBRW($C$1,$C$2,$C$3,$C$4,$C$6,$C$5,$C$7,AH$1,AH$2,$A284)</f>
        <v>0</v>
      </c>
      <c r="AI284" s="10">
        <f ca="1">_xll.DBRW($C$1,$C$2,$C$3,$C$4,$C$6,$C$5,$C$7,AI$1,AI$2,$A284)</f>
        <v>0</v>
      </c>
      <c r="AJ284" s="10">
        <f ca="1">_xll.DBRW($C$1,$C$2,$C$3,$C$4,$C$6,$C$5,$C$7,AJ$1,AJ$2,$A284)</f>
        <v>0</v>
      </c>
      <c r="AK284" s="10">
        <f ca="1">_xll.DBRW($C$1,$C$2,$C$3,$C$4,$C$6,$C$5,$C$7,AK$1,AK$2,$A284)</f>
        <v>0</v>
      </c>
      <c r="AL284" s="10">
        <f ca="1">_xll.DBRW($C$1,$C$2,$C$3,$C$4,$C$6,$C$5,$C$7,AL$1,AL$2,$A284)</f>
        <v>0</v>
      </c>
      <c r="AM284" s="10">
        <f ca="1">_xll.DBRW($C$1,$C$2,$C$3,$C$4,$C$6,$C$5,$C$7,AM$1,AM$2,$A284)</f>
        <v>0</v>
      </c>
      <c r="AN284" s="10">
        <f ca="1">_xll.DBRW($C$1,$C$2,$C$3,$C$4,$C$6,$C$5,$C$7,AN$1,AN$2,$A284)</f>
        <v>0</v>
      </c>
      <c r="AO284" s="10">
        <f ca="1">_xll.DBRW($C$1,$C$2,$C$3,$C$4,$C$6,$C$5,$C$7,AO$1,AO$2,$A284)</f>
        <v>0</v>
      </c>
      <c r="AP284" s="10">
        <f ca="1">_xll.DBRW($C$1,$C$2,$C$3,$C$4,$C$6,$C$5,$C$7,AP$1,AP$2,$A284)</f>
        <v>0</v>
      </c>
      <c r="AQ284" s="10">
        <f ca="1">_xll.DBRW($C$1,$C$2,$C$3,$C$4,$C$6,$C$5,$C$7,AQ$1,AQ$2,$A284)</f>
        <v>0</v>
      </c>
      <c r="AR284" s="10">
        <f ca="1">_xll.DBRW($C$1,$C$2,$C$3,$C$4,$C$6,$C$5,$C$7,AR$1,AR$2,$A284)</f>
        <v>0</v>
      </c>
      <c r="AS284" s="10">
        <f ca="1">_xll.DBRW($C$1,$C$2,$C$3,$C$4,$C$6,$C$5,$C$7,AS$1,AS$2,$A284)</f>
        <v>0</v>
      </c>
      <c r="AT284" s="10">
        <f ca="1">_xll.DBRW($C$1,$C$2,$C$3,$C$4,$C$6,$C$5,$C$7,AT$1,AT$2,$A284)</f>
        <v>0</v>
      </c>
      <c r="AU284" s="10">
        <f ca="1">_xll.DBRW($C$1,$C$2,$C$3,$C$4,$C$6,$C$5,$C$7,AU$1,AU$2,$A284)</f>
        <v>0</v>
      </c>
      <c r="AV284" s="10">
        <f ca="1">_xll.DBRW($C$1,$C$2,$C$3,$C$4,$C$6,$C$5,$C$7,AV$1,AV$2,$A284)</f>
        <v>0</v>
      </c>
      <c r="AW284" s="10">
        <f ca="1">_xll.DBRW($C$1,$C$2,$C$3,$C$4,$C$6,$C$5,$C$7,AW$1,AW$2,$A284)</f>
        <v>0</v>
      </c>
      <c r="AX284" s="10">
        <f ca="1">_xll.DBRW($C$1,$C$2,$C$3,$C$4,$C$6,$C$5,$C$7,AX$1,AX$2,$A284)</f>
        <v>0</v>
      </c>
      <c r="AY284" s="10">
        <f ca="1">_xll.DBRW($C$1,$C$2,$C$3,$C$4,$C$6,$C$5,$C$7,AY$1,AY$2,$A284)</f>
        <v>0</v>
      </c>
    </row>
    <row r="285" spans="1:51" ht="15.75" customHeight="1" collapsed="1">
      <c r="C285" s="109" t="s">
        <v>71</v>
      </c>
      <c r="E285" s="86" t="s">
        <v>72</v>
      </c>
      <c r="F285" s="40">
        <f t="shared" ref="F285:L285" ca="1" si="198">SUM(F283:F284)</f>
        <v>0</v>
      </c>
      <c r="G285" s="40">
        <f t="shared" ca="1" si="198"/>
        <v>0</v>
      </c>
      <c r="H285" s="40">
        <f t="shared" ca="1" si="198"/>
        <v>0</v>
      </c>
      <c r="I285" s="40">
        <f t="shared" ca="1" si="198"/>
        <v>0</v>
      </c>
      <c r="J285" s="40">
        <f t="shared" ca="1" si="198"/>
        <v>0</v>
      </c>
      <c r="K285" s="40">
        <f t="shared" ca="1" si="198"/>
        <v>0</v>
      </c>
      <c r="L285" s="40">
        <f t="shared" ca="1" si="198"/>
        <v>0</v>
      </c>
      <c r="M285" s="40">
        <f t="shared" ref="M285:X285" ca="1" si="199">SUM(M283:M284)</f>
        <v>0</v>
      </c>
      <c r="N285" s="40">
        <f t="shared" ca="1" si="199"/>
        <v>0</v>
      </c>
      <c r="O285" s="40">
        <f t="shared" ca="1" si="199"/>
        <v>0</v>
      </c>
      <c r="P285" s="40">
        <f t="shared" ca="1" si="199"/>
        <v>0</v>
      </c>
      <c r="Q285" s="40">
        <f t="shared" ca="1" si="199"/>
        <v>0</v>
      </c>
      <c r="R285" s="40">
        <f t="shared" ca="1" si="199"/>
        <v>0</v>
      </c>
      <c r="S285" s="40">
        <f t="shared" ca="1" si="199"/>
        <v>0</v>
      </c>
      <c r="T285" s="40">
        <f t="shared" ca="1" si="199"/>
        <v>0</v>
      </c>
      <c r="U285" s="40">
        <f t="shared" ca="1" si="199"/>
        <v>0</v>
      </c>
      <c r="V285" s="40">
        <f t="shared" ca="1" si="199"/>
        <v>0</v>
      </c>
      <c r="W285" s="40">
        <f t="shared" ca="1" si="199"/>
        <v>0</v>
      </c>
      <c r="X285" s="40">
        <f t="shared" ca="1" si="199"/>
        <v>0</v>
      </c>
      <c r="Y285" s="40">
        <f ca="1">SUM(Y283:Y284)</f>
        <v>0</v>
      </c>
      <c r="Z285" s="40">
        <f t="shared" ref="Z285:AK285" ca="1" si="200">SUM(Z283:Z284)</f>
        <v>0</v>
      </c>
      <c r="AA285" s="40">
        <f t="shared" ca="1" si="200"/>
        <v>0</v>
      </c>
      <c r="AB285" s="40">
        <f t="shared" ca="1" si="200"/>
        <v>0</v>
      </c>
      <c r="AC285" s="40">
        <f t="shared" ca="1" si="200"/>
        <v>0</v>
      </c>
      <c r="AD285" s="40">
        <f t="shared" ca="1" si="200"/>
        <v>0</v>
      </c>
      <c r="AE285" s="40">
        <f t="shared" ca="1" si="200"/>
        <v>0</v>
      </c>
      <c r="AF285" s="40">
        <f t="shared" ca="1" si="200"/>
        <v>0</v>
      </c>
      <c r="AG285" s="40">
        <f t="shared" ca="1" si="200"/>
        <v>0</v>
      </c>
      <c r="AH285" s="40">
        <f t="shared" ca="1" si="200"/>
        <v>0</v>
      </c>
      <c r="AI285" s="40">
        <f t="shared" ca="1" si="200"/>
        <v>0</v>
      </c>
      <c r="AJ285" s="40">
        <f t="shared" ca="1" si="200"/>
        <v>0</v>
      </c>
      <c r="AK285" s="40">
        <f t="shared" ca="1" si="200"/>
        <v>0</v>
      </c>
      <c r="AL285" s="40">
        <f ca="1">SUM(AL283:AL284)</f>
        <v>0</v>
      </c>
      <c r="AM285" s="40">
        <f t="shared" ref="AM285:AX285" ca="1" si="201">SUM(AM283:AM284)</f>
        <v>0</v>
      </c>
      <c r="AN285" s="40">
        <f t="shared" ca="1" si="201"/>
        <v>0</v>
      </c>
      <c r="AO285" s="40">
        <f t="shared" ca="1" si="201"/>
        <v>0</v>
      </c>
      <c r="AP285" s="40">
        <f t="shared" ca="1" si="201"/>
        <v>0</v>
      </c>
      <c r="AQ285" s="40">
        <f t="shared" ca="1" si="201"/>
        <v>0</v>
      </c>
      <c r="AR285" s="40">
        <f t="shared" ca="1" si="201"/>
        <v>0</v>
      </c>
      <c r="AS285" s="40">
        <f t="shared" ca="1" si="201"/>
        <v>0</v>
      </c>
      <c r="AT285" s="40">
        <f t="shared" ca="1" si="201"/>
        <v>0</v>
      </c>
      <c r="AU285" s="40">
        <f t="shared" ca="1" si="201"/>
        <v>0</v>
      </c>
      <c r="AV285" s="40">
        <f t="shared" ca="1" si="201"/>
        <v>0</v>
      </c>
      <c r="AW285" s="40">
        <f t="shared" ca="1" si="201"/>
        <v>0</v>
      </c>
      <c r="AX285" s="40">
        <f t="shared" ca="1" si="201"/>
        <v>0</v>
      </c>
      <c r="AY285" s="40">
        <f ca="1">SUM(AY283:AY284)</f>
        <v>0</v>
      </c>
    </row>
    <row r="286" spans="1:51" ht="15.75" hidden="1" customHeight="1" outlineLevel="1">
      <c r="A286" s="1" t="s">
        <v>343</v>
      </c>
      <c r="C286" s="109"/>
      <c r="E286" s="9" t="str">
        <f ca="1">_xll.DBRW(Server&amp;"}ElementAttributes_Indicator",A286,"code_English")</f>
        <v>CAPEX_BE - Gross industrial CAPEX - Buildings plants &amp; equipment</v>
      </c>
      <c r="F286" s="33">
        <f ca="1">_xll.DBRW($C$1,$C$2,$C$3,$C$4,$C$6,$C$5,$C$7,F$1,F$2,$A286)</f>
        <v>0</v>
      </c>
      <c r="G286" s="33">
        <f ca="1">_xll.DBRW($C$1,$C$2,$C$3,$C$4,$C$6,$C$5,$C$7,G$1,G$2,$A286)</f>
        <v>0</v>
      </c>
      <c r="H286" s="33">
        <f ca="1">_xll.DBRW($C$1,$C$2,$C$3,$C$4,$C$6,$C$5,$C$7,H$1,H$2,$A286)</f>
        <v>0</v>
      </c>
      <c r="I286" s="33">
        <f ca="1">_xll.DBRW($C$1,$C$2,$C$3,$C$4,$C$6,$C$5,$C$7,I$1,I$2,$A286)</f>
        <v>0</v>
      </c>
      <c r="J286" s="33">
        <f ca="1">_xll.DBRW($C$1,$C$2,$C$3,$C$4,$C$6,$C$5,$C$7,J$1,J$2,$A286)</f>
        <v>0</v>
      </c>
      <c r="K286" s="33">
        <f ca="1">_xll.DBRW($C$1,$C$2,$C$3,$C$4,$C$6,$C$5,$C$7,K$1,K$2,$A286)</f>
        <v>0</v>
      </c>
      <c r="L286" s="33">
        <f ca="1">_xll.DBRW($C$1,$C$2,$C$3,$C$4,$C$6,$C$5,$C$7,L$1,L$2,$A286)</f>
        <v>0</v>
      </c>
      <c r="M286" s="33">
        <f ca="1">_xll.DBRW($C$1,$C$2,$C$3,$C$4,$C$6,$C$5,$C$7,M$1,M$2,$A286)</f>
        <v>0</v>
      </c>
      <c r="N286" s="33">
        <f ca="1">_xll.DBRW($C$1,$C$2,$C$3,$C$4,$C$6,$C$5,$C$7,N$1,N$2,$A286)</f>
        <v>0</v>
      </c>
      <c r="O286" s="33">
        <f ca="1">_xll.DBRW($C$1,$C$2,$C$3,$C$4,$C$6,$C$5,$C$7,O$1,O$2,$A286)</f>
        <v>0</v>
      </c>
      <c r="P286" s="33">
        <f ca="1">_xll.DBRW($C$1,$C$2,$C$3,$C$4,$C$6,$C$5,$C$7,P$1,P$2,$A286)</f>
        <v>0</v>
      </c>
      <c r="Q286" s="33">
        <f ca="1">_xll.DBRW($C$1,$C$2,$C$3,$C$4,$C$6,$C$5,$C$7,Q$1,Q$2,$A286)</f>
        <v>0</v>
      </c>
      <c r="R286" s="33">
        <f ca="1">_xll.DBRW($C$1,$C$2,$C$3,$C$4,$C$6,$C$5,$C$7,R$1,R$2,$A286)</f>
        <v>0</v>
      </c>
      <c r="S286" s="33">
        <f ca="1">_xll.DBRW($C$1,$C$2,$C$3,$C$4,$C$6,$C$5,$C$7,S$1,S$2,$A286)</f>
        <v>0</v>
      </c>
      <c r="T286" s="33">
        <f ca="1">_xll.DBRW($C$1,$C$2,$C$3,$C$4,$C$6,$C$5,$C$7,T$1,T$2,$A286)</f>
        <v>0</v>
      </c>
      <c r="U286" s="33">
        <f ca="1">_xll.DBRW($C$1,$C$2,$C$3,$C$4,$C$6,$C$5,$C$7,U$1,U$2,$A286)</f>
        <v>0</v>
      </c>
      <c r="V286" s="33">
        <f ca="1">_xll.DBRW($C$1,$C$2,$C$3,$C$4,$C$6,$C$5,$C$7,V$1,V$2,$A286)</f>
        <v>0</v>
      </c>
      <c r="W286" s="33">
        <f ca="1">_xll.DBRW($C$1,$C$2,$C$3,$C$4,$C$6,$C$5,$C$7,W$1,W$2,$A286)</f>
        <v>0</v>
      </c>
      <c r="X286" s="33">
        <f ca="1">_xll.DBRW($C$1,$C$2,$C$3,$C$4,$C$6,$C$5,$C$7,X$1,X$2,$A286)</f>
        <v>0</v>
      </c>
      <c r="Y286" s="33">
        <f ca="1">_xll.DBRW($C$1,$C$2,$C$3,$C$4,$C$6,$C$5,$C$7,Y$1,Y$2,$A286)</f>
        <v>0</v>
      </c>
      <c r="Z286" s="33">
        <f ca="1">_xll.DBRW($C$1,$C$2,$C$3,$C$4,$C$6,$C$5,$C$7,Z$1,Z$2,$A286)</f>
        <v>0</v>
      </c>
      <c r="AA286" s="33">
        <f ca="1">_xll.DBRW($C$1,$C$2,$C$3,$C$4,$C$6,$C$5,$C$7,AA$1,AA$2,$A286)</f>
        <v>0</v>
      </c>
      <c r="AB286" s="33">
        <f ca="1">_xll.DBRW($C$1,$C$2,$C$3,$C$4,$C$6,$C$5,$C$7,AB$1,AB$2,$A286)</f>
        <v>0</v>
      </c>
      <c r="AC286" s="33">
        <f ca="1">_xll.DBRW($C$1,$C$2,$C$3,$C$4,$C$6,$C$5,$C$7,AC$1,AC$2,$A286)</f>
        <v>0</v>
      </c>
      <c r="AD286" s="33">
        <f ca="1">_xll.DBRW($C$1,$C$2,$C$3,$C$4,$C$6,$C$5,$C$7,AD$1,AD$2,$A286)</f>
        <v>0</v>
      </c>
      <c r="AE286" s="33">
        <f ca="1">_xll.DBRW($C$1,$C$2,$C$3,$C$4,$C$6,$C$5,$C$7,AE$1,AE$2,$A286)</f>
        <v>0</v>
      </c>
      <c r="AF286" s="33">
        <f ca="1">_xll.DBRW($C$1,$C$2,$C$3,$C$4,$C$6,$C$5,$C$7,AF$1,AF$2,$A286)</f>
        <v>0</v>
      </c>
      <c r="AG286" s="33">
        <f ca="1">_xll.DBRW($C$1,$C$2,$C$3,$C$4,$C$6,$C$5,$C$7,AG$1,AG$2,$A286)</f>
        <v>0</v>
      </c>
      <c r="AH286" s="33">
        <f ca="1">_xll.DBRW($C$1,$C$2,$C$3,$C$4,$C$6,$C$5,$C$7,AH$1,AH$2,$A286)</f>
        <v>0</v>
      </c>
      <c r="AI286" s="33">
        <f ca="1">_xll.DBRW($C$1,$C$2,$C$3,$C$4,$C$6,$C$5,$C$7,AI$1,AI$2,$A286)</f>
        <v>0</v>
      </c>
      <c r="AJ286" s="33">
        <f ca="1">_xll.DBRW($C$1,$C$2,$C$3,$C$4,$C$6,$C$5,$C$7,AJ$1,AJ$2,$A286)</f>
        <v>0</v>
      </c>
      <c r="AK286" s="33">
        <f ca="1">_xll.DBRW($C$1,$C$2,$C$3,$C$4,$C$6,$C$5,$C$7,AK$1,AK$2,$A286)</f>
        <v>0</v>
      </c>
      <c r="AL286" s="33">
        <f ca="1">_xll.DBRW($C$1,$C$2,$C$3,$C$4,$C$6,$C$5,$C$7,AL$1,AL$2,$A286)</f>
        <v>0</v>
      </c>
      <c r="AM286" s="33">
        <f ca="1">_xll.DBRW($C$1,$C$2,$C$3,$C$4,$C$6,$C$5,$C$7,AM$1,AM$2,$A286)</f>
        <v>0</v>
      </c>
      <c r="AN286" s="33">
        <f ca="1">_xll.DBRW($C$1,$C$2,$C$3,$C$4,$C$6,$C$5,$C$7,AN$1,AN$2,$A286)</f>
        <v>0</v>
      </c>
      <c r="AO286" s="33">
        <f ca="1">_xll.DBRW($C$1,$C$2,$C$3,$C$4,$C$6,$C$5,$C$7,AO$1,AO$2,$A286)</f>
        <v>0</v>
      </c>
      <c r="AP286" s="33">
        <f ca="1">_xll.DBRW($C$1,$C$2,$C$3,$C$4,$C$6,$C$5,$C$7,AP$1,AP$2,$A286)</f>
        <v>0</v>
      </c>
      <c r="AQ286" s="33">
        <f ca="1">_xll.DBRW($C$1,$C$2,$C$3,$C$4,$C$6,$C$5,$C$7,AQ$1,AQ$2,$A286)</f>
        <v>0</v>
      </c>
      <c r="AR286" s="33">
        <f ca="1">_xll.DBRW($C$1,$C$2,$C$3,$C$4,$C$6,$C$5,$C$7,AR$1,AR$2,$A286)</f>
        <v>0</v>
      </c>
      <c r="AS286" s="33">
        <f ca="1">_xll.DBRW($C$1,$C$2,$C$3,$C$4,$C$6,$C$5,$C$7,AS$1,AS$2,$A286)</f>
        <v>0</v>
      </c>
      <c r="AT286" s="33">
        <f ca="1">_xll.DBRW($C$1,$C$2,$C$3,$C$4,$C$6,$C$5,$C$7,AT$1,AT$2,$A286)</f>
        <v>0</v>
      </c>
      <c r="AU286" s="33">
        <f ca="1">_xll.DBRW($C$1,$C$2,$C$3,$C$4,$C$6,$C$5,$C$7,AU$1,AU$2,$A286)</f>
        <v>0</v>
      </c>
      <c r="AV286" s="33">
        <f ca="1">_xll.DBRW($C$1,$C$2,$C$3,$C$4,$C$6,$C$5,$C$7,AV$1,AV$2,$A286)</f>
        <v>0</v>
      </c>
      <c r="AW286" s="33">
        <f ca="1">_xll.DBRW($C$1,$C$2,$C$3,$C$4,$C$6,$C$5,$C$7,AW$1,AW$2,$A286)</f>
        <v>0</v>
      </c>
      <c r="AX286" s="33">
        <f ca="1">_xll.DBRW($C$1,$C$2,$C$3,$C$4,$C$6,$C$5,$C$7,AX$1,AX$2,$A286)</f>
        <v>0</v>
      </c>
      <c r="AY286" s="33">
        <f ca="1">_xll.DBRW($C$1,$C$2,$C$3,$C$4,$C$6,$C$5,$C$7,AY$1,AY$2,$A286)</f>
        <v>0</v>
      </c>
    </row>
    <row r="287" spans="1:51" ht="15.75" hidden="1" customHeight="1" outlineLevel="1">
      <c r="A287" s="1" t="s">
        <v>344</v>
      </c>
      <c r="C287" s="109"/>
      <c r="E287" s="9" t="s">
        <v>381</v>
      </c>
      <c r="F287" s="33">
        <f ca="1">_xll.DBRW($C$1,$C$2,$C$3,$C$4,$C$6,$C$5,$C$7,F$1,F$2,$A287)</f>
        <v>0</v>
      </c>
      <c r="G287" s="33">
        <f ca="1">_xll.DBRW($C$1,$C$2,$C$3,$C$4,$C$6,$C$5,$C$7,G$1,G$2,$A287)</f>
        <v>0</v>
      </c>
      <c r="H287" s="33">
        <f ca="1">_xll.DBRW($C$1,$C$2,$C$3,$C$4,$C$6,$C$5,$C$7,H$1,H$2,$A287)</f>
        <v>0</v>
      </c>
      <c r="I287" s="33">
        <f ca="1">_xll.DBRW($C$1,$C$2,$C$3,$C$4,$C$6,$C$5,$C$7,I$1,I$2,$A287)</f>
        <v>0</v>
      </c>
      <c r="J287" s="33">
        <f ca="1">_xll.DBRW($C$1,$C$2,$C$3,$C$4,$C$6,$C$5,$C$7,J$1,J$2,$A287)</f>
        <v>0</v>
      </c>
      <c r="K287" s="33">
        <f ca="1">_xll.DBRW($C$1,$C$2,$C$3,$C$4,$C$6,$C$5,$C$7,K$1,K$2,$A287)</f>
        <v>0</v>
      </c>
      <c r="L287" s="33">
        <f ca="1">_xll.DBRW($C$1,$C$2,$C$3,$C$4,$C$6,$C$5,$C$7,L$1,L$2,$A287)</f>
        <v>0</v>
      </c>
      <c r="M287" s="33">
        <f ca="1">_xll.DBRW($C$1,$C$2,$C$3,$C$4,$C$6,$C$5,$C$7,M$1,M$2,$A287)</f>
        <v>0</v>
      </c>
      <c r="N287" s="33">
        <f ca="1">_xll.DBRW($C$1,$C$2,$C$3,$C$4,$C$6,$C$5,$C$7,N$1,N$2,$A287)</f>
        <v>0</v>
      </c>
      <c r="O287" s="33">
        <f ca="1">_xll.DBRW($C$1,$C$2,$C$3,$C$4,$C$6,$C$5,$C$7,O$1,O$2,$A287)</f>
        <v>0</v>
      </c>
      <c r="P287" s="33">
        <f ca="1">_xll.DBRW($C$1,$C$2,$C$3,$C$4,$C$6,$C$5,$C$7,P$1,P$2,$A287)</f>
        <v>0</v>
      </c>
      <c r="Q287" s="33">
        <f ca="1">_xll.DBRW($C$1,$C$2,$C$3,$C$4,$C$6,$C$5,$C$7,Q$1,Q$2,$A287)</f>
        <v>0</v>
      </c>
      <c r="R287" s="33">
        <f ca="1">_xll.DBRW($C$1,$C$2,$C$3,$C$4,$C$6,$C$5,$C$7,R$1,R$2,$A287)</f>
        <v>0</v>
      </c>
      <c r="S287" s="33">
        <f ca="1">_xll.DBRW($C$1,$C$2,$C$3,$C$4,$C$6,$C$5,$C$7,S$1,S$2,$A287)</f>
        <v>0</v>
      </c>
      <c r="T287" s="33">
        <f ca="1">_xll.DBRW($C$1,$C$2,$C$3,$C$4,$C$6,$C$5,$C$7,T$1,T$2,$A287)</f>
        <v>0</v>
      </c>
      <c r="U287" s="33">
        <f ca="1">_xll.DBRW($C$1,$C$2,$C$3,$C$4,$C$6,$C$5,$C$7,U$1,U$2,$A287)</f>
        <v>0</v>
      </c>
      <c r="V287" s="33">
        <f ca="1">_xll.DBRW($C$1,$C$2,$C$3,$C$4,$C$6,$C$5,$C$7,V$1,V$2,$A287)</f>
        <v>0</v>
      </c>
      <c r="W287" s="33">
        <f ca="1">_xll.DBRW($C$1,$C$2,$C$3,$C$4,$C$6,$C$5,$C$7,W$1,W$2,$A287)</f>
        <v>0</v>
      </c>
      <c r="X287" s="33">
        <f ca="1">_xll.DBRW($C$1,$C$2,$C$3,$C$4,$C$6,$C$5,$C$7,X$1,X$2,$A287)</f>
        <v>0</v>
      </c>
      <c r="Y287" s="33">
        <f ca="1">_xll.DBRW($C$1,$C$2,$C$3,$C$4,$C$6,$C$5,$C$7,Y$1,Y$2,$A287)</f>
        <v>0</v>
      </c>
      <c r="Z287" s="33">
        <f ca="1">_xll.DBRW($C$1,$C$2,$C$3,$C$4,$C$6,$C$5,$C$7,Z$1,Z$2,$A287)</f>
        <v>0</v>
      </c>
      <c r="AA287" s="33">
        <f ca="1">_xll.DBRW($C$1,$C$2,$C$3,$C$4,$C$6,$C$5,$C$7,AA$1,AA$2,$A287)</f>
        <v>0</v>
      </c>
      <c r="AB287" s="33">
        <f ca="1">_xll.DBRW($C$1,$C$2,$C$3,$C$4,$C$6,$C$5,$C$7,AB$1,AB$2,$A287)</f>
        <v>0</v>
      </c>
      <c r="AC287" s="33">
        <f ca="1">_xll.DBRW($C$1,$C$2,$C$3,$C$4,$C$6,$C$5,$C$7,AC$1,AC$2,$A287)</f>
        <v>0</v>
      </c>
      <c r="AD287" s="33">
        <f ca="1">_xll.DBRW($C$1,$C$2,$C$3,$C$4,$C$6,$C$5,$C$7,AD$1,AD$2,$A287)</f>
        <v>0</v>
      </c>
      <c r="AE287" s="33">
        <f ca="1">_xll.DBRW($C$1,$C$2,$C$3,$C$4,$C$6,$C$5,$C$7,AE$1,AE$2,$A287)</f>
        <v>0</v>
      </c>
      <c r="AF287" s="33">
        <f ca="1">_xll.DBRW($C$1,$C$2,$C$3,$C$4,$C$6,$C$5,$C$7,AF$1,AF$2,$A287)</f>
        <v>0</v>
      </c>
      <c r="AG287" s="33">
        <f ca="1">_xll.DBRW($C$1,$C$2,$C$3,$C$4,$C$6,$C$5,$C$7,AG$1,AG$2,$A287)</f>
        <v>0</v>
      </c>
      <c r="AH287" s="33">
        <f ca="1">_xll.DBRW($C$1,$C$2,$C$3,$C$4,$C$6,$C$5,$C$7,AH$1,AH$2,$A287)</f>
        <v>0</v>
      </c>
      <c r="AI287" s="33">
        <f ca="1">_xll.DBRW($C$1,$C$2,$C$3,$C$4,$C$6,$C$5,$C$7,AI$1,AI$2,$A287)</f>
        <v>0</v>
      </c>
      <c r="AJ287" s="33">
        <f ca="1">_xll.DBRW($C$1,$C$2,$C$3,$C$4,$C$6,$C$5,$C$7,AJ$1,AJ$2,$A287)</f>
        <v>0</v>
      </c>
      <c r="AK287" s="33">
        <f ca="1">_xll.DBRW($C$1,$C$2,$C$3,$C$4,$C$6,$C$5,$C$7,AK$1,AK$2,$A287)</f>
        <v>0</v>
      </c>
      <c r="AL287" s="33">
        <f ca="1">_xll.DBRW($C$1,$C$2,$C$3,$C$4,$C$6,$C$5,$C$7,AL$1,AL$2,$A287)</f>
        <v>0</v>
      </c>
      <c r="AM287" s="33">
        <f ca="1">_xll.DBRW($C$1,$C$2,$C$3,$C$4,$C$6,$C$5,$C$7,AM$1,AM$2,$A287)</f>
        <v>0</v>
      </c>
      <c r="AN287" s="33">
        <f ca="1">_xll.DBRW($C$1,$C$2,$C$3,$C$4,$C$6,$C$5,$C$7,AN$1,AN$2,$A287)</f>
        <v>0</v>
      </c>
      <c r="AO287" s="33">
        <f ca="1">_xll.DBRW($C$1,$C$2,$C$3,$C$4,$C$6,$C$5,$C$7,AO$1,AO$2,$A287)</f>
        <v>0</v>
      </c>
      <c r="AP287" s="33">
        <f ca="1">_xll.DBRW($C$1,$C$2,$C$3,$C$4,$C$6,$C$5,$C$7,AP$1,AP$2,$A287)</f>
        <v>0</v>
      </c>
      <c r="AQ287" s="33">
        <f ca="1">_xll.DBRW($C$1,$C$2,$C$3,$C$4,$C$6,$C$5,$C$7,AQ$1,AQ$2,$A287)</f>
        <v>0</v>
      </c>
      <c r="AR287" s="33">
        <f ca="1">_xll.DBRW($C$1,$C$2,$C$3,$C$4,$C$6,$C$5,$C$7,AR$1,AR$2,$A287)</f>
        <v>0</v>
      </c>
      <c r="AS287" s="33">
        <f ca="1">_xll.DBRW($C$1,$C$2,$C$3,$C$4,$C$6,$C$5,$C$7,AS$1,AS$2,$A287)</f>
        <v>0</v>
      </c>
      <c r="AT287" s="33">
        <f ca="1">_xll.DBRW($C$1,$C$2,$C$3,$C$4,$C$6,$C$5,$C$7,AT$1,AT$2,$A287)</f>
        <v>0</v>
      </c>
      <c r="AU287" s="33">
        <f ca="1">_xll.DBRW($C$1,$C$2,$C$3,$C$4,$C$6,$C$5,$C$7,AU$1,AU$2,$A287)</f>
        <v>0</v>
      </c>
      <c r="AV287" s="33">
        <f ca="1">_xll.DBRW($C$1,$C$2,$C$3,$C$4,$C$6,$C$5,$C$7,AV$1,AV$2,$A287)</f>
        <v>0</v>
      </c>
      <c r="AW287" s="33">
        <f ca="1">_xll.DBRW($C$1,$C$2,$C$3,$C$4,$C$6,$C$5,$C$7,AW$1,AW$2,$A287)</f>
        <v>0</v>
      </c>
      <c r="AX287" s="33">
        <f ca="1">_xll.DBRW($C$1,$C$2,$C$3,$C$4,$C$6,$C$5,$C$7,AX$1,AX$2,$A287)</f>
        <v>0</v>
      </c>
      <c r="AY287" s="33">
        <f ca="1">_xll.DBRW($C$1,$C$2,$C$3,$C$4,$C$6,$C$5,$C$7,AY$1,AY$2,$A287)</f>
        <v>0</v>
      </c>
    </row>
    <row r="288" spans="1:51" ht="15.5" collapsed="1">
      <c r="C288" s="109"/>
      <c r="E288" s="84" t="s">
        <v>73</v>
      </c>
      <c r="F288" s="39">
        <f t="shared" ref="F288:L288" ca="1" si="202">SUM(F286:F287)</f>
        <v>0</v>
      </c>
      <c r="G288" s="39">
        <f t="shared" ca="1" si="202"/>
        <v>0</v>
      </c>
      <c r="H288" s="39">
        <f t="shared" ca="1" si="202"/>
        <v>0</v>
      </c>
      <c r="I288" s="39">
        <f t="shared" ca="1" si="202"/>
        <v>0</v>
      </c>
      <c r="J288" s="39">
        <f t="shared" ca="1" si="202"/>
        <v>0</v>
      </c>
      <c r="K288" s="39">
        <f t="shared" ca="1" si="202"/>
        <v>0</v>
      </c>
      <c r="L288" s="39">
        <f t="shared" ca="1" si="202"/>
        <v>0</v>
      </c>
      <c r="M288" s="39">
        <f t="shared" ref="M288:X288" ca="1" si="203">SUM(M286:M287)</f>
        <v>0</v>
      </c>
      <c r="N288" s="39">
        <f t="shared" ca="1" si="203"/>
        <v>0</v>
      </c>
      <c r="O288" s="39">
        <f t="shared" ca="1" si="203"/>
        <v>0</v>
      </c>
      <c r="P288" s="39">
        <f t="shared" ca="1" si="203"/>
        <v>0</v>
      </c>
      <c r="Q288" s="39">
        <f t="shared" ca="1" si="203"/>
        <v>0</v>
      </c>
      <c r="R288" s="39">
        <f t="shared" ca="1" si="203"/>
        <v>0</v>
      </c>
      <c r="S288" s="39">
        <f t="shared" ca="1" si="203"/>
        <v>0</v>
      </c>
      <c r="T288" s="39">
        <f t="shared" ca="1" si="203"/>
        <v>0</v>
      </c>
      <c r="U288" s="39">
        <f t="shared" ca="1" si="203"/>
        <v>0</v>
      </c>
      <c r="V288" s="39">
        <f t="shared" ca="1" si="203"/>
        <v>0</v>
      </c>
      <c r="W288" s="39">
        <f t="shared" ca="1" si="203"/>
        <v>0</v>
      </c>
      <c r="X288" s="39">
        <f t="shared" ca="1" si="203"/>
        <v>0</v>
      </c>
      <c r="Y288" s="39">
        <f ca="1">SUM(Y286:Y287)</f>
        <v>0</v>
      </c>
      <c r="Z288" s="39">
        <f t="shared" ref="Z288:AK288" ca="1" si="204">SUM(Z286:Z287)</f>
        <v>0</v>
      </c>
      <c r="AA288" s="39">
        <f t="shared" ca="1" si="204"/>
        <v>0</v>
      </c>
      <c r="AB288" s="39">
        <f t="shared" ca="1" si="204"/>
        <v>0</v>
      </c>
      <c r="AC288" s="39">
        <f t="shared" ca="1" si="204"/>
        <v>0</v>
      </c>
      <c r="AD288" s="39">
        <f t="shared" ca="1" si="204"/>
        <v>0</v>
      </c>
      <c r="AE288" s="39">
        <f t="shared" ca="1" si="204"/>
        <v>0</v>
      </c>
      <c r="AF288" s="39">
        <f t="shared" ca="1" si="204"/>
        <v>0</v>
      </c>
      <c r="AG288" s="39">
        <f t="shared" ca="1" si="204"/>
        <v>0</v>
      </c>
      <c r="AH288" s="39">
        <f t="shared" ca="1" si="204"/>
        <v>0</v>
      </c>
      <c r="AI288" s="39">
        <f t="shared" ca="1" si="204"/>
        <v>0</v>
      </c>
      <c r="AJ288" s="39">
        <f t="shared" ca="1" si="204"/>
        <v>0</v>
      </c>
      <c r="AK288" s="39">
        <f t="shared" ca="1" si="204"/>
        <v>0</v>
      </c>
      <c r="AL288" s="39">
        <f ca="1">SUM(AL286:AL287)</f>
        <v>0</v>
      </c>
      <c r="AM288" s="39">
        <f t="shared" ref="AM288:AX288" ca="1" si="205">SUM(AM286:AM287)</f>
        <v>0</v>
      </c>
      <c r="AN288" s="39">
        <f t="shared" ca="1" si="205"/>
        <v>0</v>
      </c>
      <c r="AO288" s="39">
        <f t="shared" ca="1" si="205"/>
        <v>0</v>
      </c>
      <c r="AP288" s="39">
        <f t="shared" ca="1" si="205"/>
        <v>0</v>
      </c>
      <c r="AQ288" s="39">
        <f t="shared" ca="1" si="205"/>
        <v>0</v>
      </c>
      <c r="AR288" s="39">
        <f t="shared" ca="1" si="205"/>
        <v>0</v>
      </c>
      <c r="AS288" s="39">
        <f t="shared" ca="1" si="205"/>
        <v>0</v>
      </c>
      <c r="AT288" s="39">
        <f t="shared" ca="1" si="205"/>
        <v>0</v>
      </c>
      <c r="AU288" s="39">
        <f t="shared" ca="1" si="205"/>
        <v>0</v>
      </c>
      <c r="AV288" s="39">
        <f t="shared" ca="1" si="205"/>
        <v>0</v>
      </c>
      <c r="AW288" s="39">
        <f t="shared" ca="1" si="205"/>
        <v>0</v>
      </c>
      <c r="AX288" s="39">
        <f t="shared" ca="1" si="205"/>
        <v>0</v>
      </c>
      <c r="AY288" s="39">
        <f ca="1">SUM(AY286:AY287)</f>
        <v>0</v>
      </c>
    </row>
    <row r="289" spans="1:51" ht="15.75" hidden="1" customHeight="1" outlineLevel="1">
      <c r="A289" s="1" t="s">
        <v>368</v>
      </c>
      <c r="C289" s="109"/>
      <c r="E289" s="9" t="str">
        <f ca="1">_xll.DBRW(Server&amp;"}ElementAttributes_Indicator",A289,"code_English")</f>
        <v>CAPEX_IT - Gross industrial CAPEX - IT</v>
      </c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</row>
    <row r="290" spans="1:51" ht="15.75" hidden="1" customHeight="1" outlineLevel="1">
      <c r="A290" s="1" t="s">
        <v>369</v>
      </c>
      <c r="C290" s="109"/>
      <c r="E290" s="9" t="str">
        <f ca="1">_xll.DBRW(Server&amp;"}ElementAttributes_Indicator",A290,"code_English")</f>
        <v>DISP_IT - Industrial Disposals - IT</v>
      </c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</row>
    <row r="291" spans="1:51" ht="15.5" collapsed="1">
      <c r="C291" s="109"/>
      <c r="E291" s="84" t="s">
        <v>74</v>
      </c>
      <c r="F291" s="39">
        <f>SUM(F289:F290)</f>
        <v>0</v>
      </c>
      <c r="G291" s="39">
        <f t="shared" ref="G291:AY291" si="206">SUM(G289:G290)</f>
        <v>0</v>
      </c>
      <c r="H291" s="39">
        <f t="shared" si="206"/>
        <v>0</v>
      </c>
      <c r="I291" s="39">
        <f t="shared" si="206"/>
        <v>0</v>
      </c>
      <c r="J291" s="39">
        <f t="shared" si="206"/>
        <v>0</v>
      </c>
      <c r="K291" s="39">
        <f t="shared" si="206"/>
        <v>0</v>
      </c>
      <c r="L291" s="39">
        <f t="shared" si="206"/>
        <v>0</v>
      </c>
      <c r="M291" s="39">
        <f t="shared" si="206"/>
        <v>0</v>
      </c>
      <c r="N291" s="39">
        <f t="shared" si="206"/>
        <v>0</v>
      </c>
      <c r="O291" s="39">
        <f t="shared" si="206"/>
        <v>0</v>
      </c>
      <c r="P291" s="39">
        <f t="shared" si="206"/>
        <v>0</v>
      </c>
      <c r="Q291" s="39">
        <f t="shared" si="206"/>
        <v>0</v>
      </c>
      <c r="R291" s="39">
        <f t="shared" si="206"/>
        <v>0</v>
      </c>
      <c r="S291" s="39">
        <f t="shared" si="206"/>
        <v>0</v>
      </c>
      <c r="T291" s="39">
        <f t="shared" si="206"/>
        <v>0</v>
      </c>
      <c r="U291" s="39">
        <f t="shared" si="206"/>
        <v>0</v>
      </c>
      <c r="V291" s="39">
        <f t="shared" si="206"/>
        <v>0</v>
      </c>
      <c r="W291" s="39">
        <f t="shared" si="206"/>
        <v>0</v>
      </c>
      <c r="X291" s="39">
        <f t="shared" si="206"/>
        <v>0</v>
      </c>
      <c r="Y291" s="39">
        <f t="shared" si="206"/>
        <v>0</v>
      </c>
      <c r="Z291" s="39">
        <f t="shared" si="206"/>
        <v>0</v>
      </c>
      <c r="AA291" s="39">
        <f t="shared" si="206"/>
        <v>0</v>
      </c>
      <c r="AB291" s="39">
        <f t="shared" si="206"/>
        <v>0</v>
      </c>
      <c r="AC291" s="39">
        <f t="shared" si="206"/>
        <v>0</v>
      </c>
      <c r="AD291" s="39">
        <f t="shared" si="206"/>
        <v>0</v>
      </c>
      <c r="AE291" s="39">
        <f t="shared" si="206"/>
        <v>0</v>
      </c>
      <c r="AF291" s="39">
        <f t="shared" si="206"/>
        <v>0</v>
      </c>
      <c r="AG291" s="39">
        <f t="shared" si="206"/>
        <v>0</v>
      </c>
      <c r="AH291" s="39">
        <f t="shared" si="206"/>
        <v>0</v>
      </c>
      <c r="AI291" s="39">
        <f t="shared" si="206"/>
        <v>0</v>
      </c>
      <c r="AJ291" s="39">
        <f t="shared" si="206"/>
        <v>0</v>
      </c>
      <c r="AK291" s="39">
        <f t="shared" si="206"/>
        <v>0</v>
      </c>
      <c r="AL291" s="39">
        <f t="shared" si="206"/>
        <v>0</v>
      </c>
      <c r="AM291" s="39">
        <f t="shared" si="206"/>
        <v>0</v>
      </c>
      <c r="AN291" s="39">
        <f t="shared" si="206"/>
        <v>0</v>
      </c>
      <c r="AO291" s="39">
        <f t="shared" si="206"/>
        <v>0</v>
      </c>
      <c r="AP291" s="39">
        <f t="shared" si="206"/>
        <v>0</v>
      </c>
      <c r="AQ291" s="39">
        <f t="shared" si="206"/>
        <v>0</v>
      </c>
      <c r="AR291" s="39">
        <f t="shared" si="206"/>
        <v>0</v>
      </c>
      <c r="AS291" s="39">
        <f t="shared" si="206"/>
        <v>0</v>
      </c>
      <c r="AT291" s="39">
        <f t="shared" si="206"/>
        <v>0</v>
      </c>
      <c r="AU291" s="39">
        <f t="shared" si="206"/>
        <v>0</v>
      </c>
      <c r="AV291" s="39">
        <f t="shared" si="206"/>
        <v>0</v>
      </c>
      <c r="AW291" s="39">
        <f t="shared" si="206"/>
        <v>0</v>
      </c>
      <c r="AX291" s="39">
        <f t="shared" si="206"/>
        <v>0</v>
      </c>
      <c r="AY291" s="39">
        <f t="shared" si="206"/>
        <v>0</v>
      </c>
    </row>
    <row r="292" spans="1:51" ht="15.75" hidden="1" customHeight="1" outlineLevel="1">
      <c r="A292" s="1" t="s">
        <v>345</v>
      </c>
      <c r="C292" s="109"/>
      <c r="E292" s="9" t="str">
        <f ca="1">_xll.DBRW(Server&amp;"}ElementAttributes_Indicator",A292,"code_English")</f>
        <v>CAPEX_Other - Gross industrial CAPEX - Other</v>
      </c>
      <c r="F292" s="33">
        <f ca="1">_xll.DBRW($C$1,$C$2,$C$3,$C$4,$C$6,$C$5,$C$7,F$1,F$2,$A292)</f>
        <v>0</v>
      </c>
      <c r="G292" s="33">
        <f ca="1">_xll.DBRW($C$1,$C$2,$C$3,$C$4,$C$6,$C$5,$C$7,G$1,G$2,$A292)</f>
        <v>0</v>
      </c>
      <c r="H292" s="33">
        <f ca="1">_xll.DBRW($C$1,$C$2,$C$3,$C$4,$C$6,$C$5,$C$7,H$1,H$2,$A292)</f>
        <v>0</v>
      </c>
      <c r="I292" s="33">
        <f ca="1">_xll.DBRW($C$1,$C$2,$C$3,$C$4,$C$6,$C$5,$C$7,I$1,I$2,$A292)</f>
        <v>0</v>
      </c>
      <c r="J292" s="33">
        <f ca="1">_xll.DBRW($C$1,$C$2,$C$3,$C$4,$C$6,$C$5,$C$7,J$1,J$2,$A292)</f>
        <v>0</v>
      </c>
      <c r="K292" s="33">
        <f ca="1">_xll.DBRW($C$1,$C$2,$C$3,$C$4,$C$6,$C$5,$C$7,K$1,K$2,$A292)</f>
        <v>0</v>
      </c>
      <c r="L292" s="33">
        <f ca="1">_xll.DBRW($C$1,$C$2,$C$3,$C$4,$C$6,$C$5,$C$7,L$1,L$2,$A292)</f>
        <v>0</v>
      </c>
      <c r="M292" s="33">
        <f ca="1">_xll.DBRW($C$1,$C$2,$C$3,$C$4,$C$6,$C$5,$C$7,M$1,M$2,$A292)</f>
        <v>0</v>
      </c>
      <c r="N292" s="33">
        <f ca="1">_xll.DBRW($C$1,$C$2,$C$3,$C$4,$C$6,$C$5,$C$7,N$1,N$2,$A292)</f>
        <v>0</v>
      </c>
      <c r="O292" s="33">
        <f ca="1">_xll.DBRW($C$1,$C$2,$C$3,$C$4,$C$6,$C$5,$C$7,O$1,O$2,$A292)</f>
        <v>0</v>
      </c>
      <c r="P292" s="33">
        <f ca="1">_xll.DBRW($C$1,$C$2,$C$3,$C$4,$C$6,$C$5,$C$7,P$1,P$2,$A292)</f>
        <v>0</v>
      </c>
      <c r="Q292" s="33">
        <f ca="1">_xll.DBRW($C$1,$C$2,$C$3,$C$4,$C$6,$C$5,$C$7,Q$1,Q$2,$A292)</f>
        <v>0</v>
      </c>
      <c r="R292" s="33">
        <f ca="1">_xll.DBRW($C$1,$C$2,$C$3,$C$4,$C$6,$C$5,$C$7,R$1,R$2,$A292)</f>
        <v>0</v>
      </c>
      <c r="S292" s="33">
        <f ca="1">_xll.DBRW($C$1,$C$2,$C$3,$C$4,$C$6,$C$5,$C$7,S$1,S$2,$A292)</f>
        <v>0</v>
      </c>
      <c r="T292" s="33">
        <f ca="1">_xll.DBRW($C$1,$C$2,$C$3,$C$4,$C$6,$C$5,$C$7,T$1,T$2,$A292)</f>
        <v>0</v>
      </c>
      <c r="U292" s="33">
        <f ca="1">_xll.DBRW($C$1,$C$2,$C$3,$C$4,$C$6,$C$5,$C$7,U$1,U$2,$A292)</f>
        <v>0</v>
      </c>
      <c r="V292" s="33">
        <f ca="1">_xll.DBRW($C$1,$C$2,$C$3,$C$4,$C$6,$C$5,$C$7,V$1,V$2,$A292)</f>
        <v>0</v>
      </c>
      <c r="W292" s="33">
        <f ca="1">_xll.DBRW($C$1,$C$2,$C$3,$C$4,$C$6,$C$5,$C$7,W$1,W$2,$A292)</f>
        <v>0</v>
      </c>
      <c r="X292" s="33">
        <f ca="1">_xll.DBRW($C$1,$C$2,$C$3,$C$4,$C$6,$C$5,$C$7,X$1,X$2,$A292)</f>
        <v>0</v>
      </c>
      <c r="Y292" s="33">
        <f ca="1">_xll.DBRW($C$1,$C$2,$C$3,$C$4,$C$6,$C$5,$C$7,Y$1,Y$2,$A292)</f>
        <v>0</v>
      </c>
      <c r="Z292" s="33">
        <f ca="1">_xll.DBRW($C$1,$C$2,$C$3,$C$4,$C$6,$C$5,$C$7,Z$1,Z$2,$A292)</f>
        <v>0</v>
      </c>
      <c r="AA292" s="33">
        <f ca="1">_xll.DBRW($C$1,$C$2,$C$3,$C$4,$C$6,$C$5,$C$7,AA$1,AA$2,$A292)</f>
        <v>0</v>
      </c>
      <c r="AB292" s="33">
        <f ca="1">_xll.DBRW($C$1,$C$2,$C$3,$C$4,$C$6,$C$5,$C$7,AB$1,AB$2,$A292)</f>
        <v>0</v>
      </c>
      <c r="AC292" s="33">
        <f ca="1">_xll.DBRW($C$1,$C$2,$C$3,$C$4,$C$6,$C$5,$C$7,AC$1,AC$2,$A292)</f>
        <v>0</v>
      </c>
      <c r="AD292" s="33">
        <f ca="1">_xll.DBRW($C$1,$C$2,$C$3,$C$4,$C$6,$C$5,$C$7,AD$1,AD$2,$A292)</f>
        <v>0</v>
      </c>
      <c r="AE292" s="33">
        <f ca="1">_xll.DBRW($C$1,$C$2,$C$3,$C$4,$C$6,$C$5,$C$7,AE$1,AE$2,$A292)</f>
        <v>0</v>
      </c>
      <c r="AF292" s="33">
        <f ca="1">_xll.DBRW($C$1,$C$2,$C$3,$C$4,$C$6,$C$5,$C$7,AF$1,AF$2,$A292)</f>
        <v>0</v>
      </c>
      <c r="AG292" s="33">
        <f ca="1">_xll.DBRW($C$1,$C$2,$C$3,$C$4,$C$6,$C$5,$C$7,AG$1,AG$2,$A292)</f>
        <v>0</v>
      </c>
      <c r="AH292" s="33">
        <f ca="1">_xll.DBRW($C$1,$C$2,$C$3,$C$4,$C$6,$C$5,$C$7,AH$1,AH$2,$A292)</f>
        <v>0</v>
      </c>
      <c r="AI292" s="33">
        <f ca="1">_xll.DBRW($C$1,$C$2,$C$3,$C$4,$C$6,$C$5,$C$7,AI$1,AI$2,$A292)</f>
        <v>0</v>
      </c>
      <c r="AJ292" s="33">
        <f ca="1">_xll.DBRW($C$1,$C$2,$C$3,$C$4,$C$6,$C$5,$C$7,AJ$1,AJ$2,$A292)</f>
        <v>0</v>
      </c>
      <c r="AK292" s="33">
        <f ca="1">_xll.DBRW($C$1,$C$2,$C$3,$C$4,$C$6,$C$5,$C$7,AK$1,AK$2,$A292)</f>
        <v>0</v>
      </c>
      <c r="AL292" s="33">
        <f ca="1">_xll.DBRW($C$1,$C$2,$C$3,$C$4,$C$6,$C$5,$C$7,AL$1,AL$2,$A292)</f>
        <v>0</v>
      </c>
      <c r="AM292" s="33">
        <f ca="1">_xll.DBRW($C$1,$C$2,$C$3,$C$4,$C$6,$C$5,$C$7,AM$1,AM$2,$A292)</f>
        <v>0</v>
      </c>
      <c r="AN292" s="33">
        <f ca="1">_xll.DBRW($C$1,$C$2,$C$3,$C$4,$C$6,$C$5,$C$7,AN$1,AN$2,$A292)</f>
        <v>0</v>
      </c>
      <c r="AO292" s="33">
        <f ca="1">_xll.DBRW($C$1,$C$2,$C$3,$C$4,$C$6,$C$5,$C$7,AO$1,AO$2,$A292)</f>
        <v>0</v>
      </c>
      <c r="AP292" s="33">
        <f ca="1">_xll.DBRW($C$1,$C$2,$C$3,$C$4,$C$6,$C$5,$C$7,AP$1,AP$2,$A292)</f>
        <v>0</v>
      </c>
      <c r="AQ292" s="33">
        <f ca="1">_xll.DBRW($C$1,$C$2,$C$3,$C$4,$C$6,$C$5,$C$7,AQ$1,AQ$2,$A292)</f>
        <v>0</v>
      </c>
      <c r="AR292" s="33">
        <f ca="1">_xll.DBRW($C$1,$C$2,$C$3,$C$4,$C$6,$C$5,$C$7,AR$1,AR$2,$A292)</f>
        <v>0</v>
      </c>
      <c r="AS292" s="33">
        <f ca="1">_xll.DBRW($C$1,$C$2,$C$3,$C$4,$C$6,$C$5,$C$7,AS$1,AS$2,$A292)</f>
        <v>0</v>
      </c>
      <c r="AT292" s="33">
        <f ca="1">_xll.DBRW($C$1,$C$2,$C$3,$C$4,$C$6,$C$5,$C$7,AT$1,AT$2,$A292)</f>
        <v>0</v>
      </c>
      <c r="AU292" s="33">
        <f ca="1">_xll.DBRW($C$1,$C$2,$C$3,$C$4,$C$6,$C$5,$C$7,AU$1,AU$2,$A292)</f>
        <v>0</v>
      </c>
      <c r="AV292" s="33">
        <f ca="1">_xll.DBRW($C$1,$C$2,$C$3,$C$4,$C$6,$C$5,$C$7,AV$1,AV$2,$A292)</f>
        <v>0</v>
      </c>
      <c r="AW292" s="33">
        <f ca="1">_xll.DBRW($C$1,$C$2,$C$3,$C$4,$C$6,$C$5,$C$7,AW$1,AW$2,$A292)</f>
        <v>0</v>
      </c>
      <c r="AX292" s="33">
        <f ca="1">_xll.DBRW($C$1,$C$2,$C$3,$C$4,$C$6,$C$5,$C$7,AX$1,AX$2,$A292)</f>
        <v>0</v>
      </c>
      <c r="AY292" s="33">
        <f ca="1">_xll.DBRW($C$1,$C$2,$C$3,$C$4,$C$6,$C$5,$C$7,AY$1,AY$2,$A292)</f>
        <v>0</v>
      </c>
    </row>
    <row r="293" spans="1:51" ht="15.75" hidden="1" customHeight="1" outlineLevel="1">
      <c r="A293" s="1" t="s">
        <v>346</v>
      </c>
      <c r="C293" s="109"/>
      <c r="E293" s="9" t="str">
        <f ca="1">_xll.DBRW(Server&amp;"}ElementAttributes_Indicator",A293,"code_English")</f>
        <v>DISP_Other - Industrial Disposals - Other</v>
      </c>
      <c r="F293" s="33">
        <f ca="1">_xll.DBRW($C$1,$C$2,$C$3,$C$4,$C$6,$C$5,$C$7,F$1,F$2,$A293)</f>
        <v>0</v>
      </c>
      <c r="G293" s="33">
        <f ca="1">_xll.DBRW($C$1,$C$2,$C$3,$C$4,$C$6,$C$5,$C$7,G$1,G$2,$A293)</f>
        <v>0</v>
      </c>
      <c r="H293" s="33">
        <f ca="1">_xll.DBRW($C$1,$C$2,$C$3,$C$4,$C$6,$C$5,$C$7,H$1,H$2,$A293)</f>
        <v>0</v>
      </c>
      <c r="I293" s="33">
        <f ca="1">_xll.DBRW($C$1,$C$2,$C$3,$C$4,$C$6,$C$5,$C$7,I$1,I$2,$A293)</f>
        <v>0</v>
      </c>
      <c r="J293" s="33">
        <f ca="1">_xll.DBRW($C$1,$C$2,$C$3,$C$4,$C$6,$C$5,$C$7,J$1,J$2,$A293)</f>
        <v>0</v>
      </c>
      <c r="K293" s="33">
        <f ca="1">_xll.DBRW($C$1,$C$2,$C$3,$C$4,$C$6,$C$5,$C$7,K$1,K$2,$A293)</f>
        <v>0</v>
      </c>
      <c r="L293" s="33">
        <f ca="1">_xll.DBRW($C$1,$C$2,$C$3,$C$4,$C$6,$C$5,$C$7,L$1,L$2,$A293)</f>
        <v>0</v>
      </c>
      <c r="M293" s="33">
        <f ca="1">_xll.DBRW($C$1,$C$2,$C$3,$C$4,$C$6,$C$5,$C$7,M$1,M$2,$A293)</f>
        <v>0</v>
      </c>
      <c r="N293" s="33">
        <f ca="1">_xll.DBRW($C$1,$C$2,$C$3,$C$4,$C$6,$C$5,$C$7,N$1,N$2,$A293)</f>
        <v>0</v>
      </c>
      <c r="O293" s="33">
        <f ca="1">_xll.DBRW($C$1,$C$2,$C$3,$C$4,$C$6,$C$5,$C$7,O$1,O$2,$A293)</f>
        <v>0</v>
      </c>
      <c r="P293" s="33">
        <f ca="1">_xll.DBRW($C$1,$C$2,$C$3,$C$4,$C$6,$C$5,$C$7,P$1,P$2,$A293)</f>
        <v>0</v>
      </c>
      <c r="Q293" s="33">
        <f ca="1">_xll.DBRW($C$1,$C$2,$C$3,$C$4,$C$6,$C$5,$C$7,Q$1,Q$2,$A293)</f>
        <v>0</v>
      </c>
      <c r="R293" s="33">
        <f ca="1">_xll.DBRW($C$1,$C$2,$C$3,$C$4,$C$6,$C$5,$C$7,R$1,R$2,$A293)</f>
        <v>0</v>
      </c>
      <c r="S293" s="33">
        <f ca="1">_xll.DBRW($C$1,$C$2,$C$3,$C$4,$C$6,$C$5,$C$7,S$1,S$2,$A293)</f>
        <v>0</v>
      </c>
      <c r="T293" s="33">
        <f ca="1">_xll.DBRW($C$1,$C$2,$C$3,$C$4,$C$6,$C$5,$C$7,T$1,T$2,$A293)</f>
        <v>0</v>
      </c>
      <c r="U293" s="33">
        <f ca="1">_xll.DBRW($C$1,$C$2,$C$3,$C$4,$C$6,$C$5,$C$7,U$1,U$2,$A293)</f>
        <v>0</v>
      </c>
      <c r="V293" s="33">
        <f ca="1">_xll.DBRW($C$1,$C$2,$C$3,$C$4,$C$6,$C$5,$C$7,V$1,V$2,$A293)</f>
        <v>0</v>
      </c>
      <c r="W293" s="33">
        <f ca="1">_xll.DBRW($C$1,$C$2,$C$3,$C$4,$C$6,$C$5,$C$7,W$1,W$2,$A293)</f>
        <v>0</v>
      </c>
      <c r="X293" s="33">
        <f ca="1">_xll.DBRW($C$1,$C$2,$C$3,$C$4,$C$6,$C$5,$C$7,X$1,X$2,$A293)</f>
        <v>0</v>
      </c>
      <c r="Y293" s="33">
        <f ca="1">_xll.DBRW($C$1,$C$2,$C$3,$C$4,$C$6,$C$5,$C$7,Y$1,Y$2,$A293)</f>
        <v>0</v>
      </c>
      <c r="Z293" s="33">
        <f ca="1">_xll.DBRW($C$1,$C$2,$C$3,$C$4,$C$6,$C$5,$C$7,Z$1,Z$2,$A293)</f>
        <v>0</v>
      </c>
      <c r="AA293" s="33">
        <f ca="1">_xll.DBRW($C$1,$C$2,$C$3,$C$4,$C$6,$C$5,$C$7,AA$1,AA$2,$A293)</f>
        <v>0</v>
      </c>
      <c r="AB293" s="33">
        <f ca="1">_xll.DBRW($C$1,$C$2,$C$3,$C$4,$C$6,$C$5,$C$7,AB$1,AB$2,$A293)</f>
        <v>0</v>
      </c>
      <c r="AC293" s="33">
        <f ca="1">_xll.DBRW($C$1,$C$2,$C$3,$C$4,$C$6,$C$5,$C$7,AC$1,AC$2,$A293)</f>
        <v>0</v>
      </c>
      <c r="AD293" s="33">
        <f ca="1">_xll.DBRW($C$1,$C$2,$C$3,$C$4,$C$6,$C$5,$C$7,AD$1,AD$2,$A293)</f>
        <v>0</v>
      </c>
      <c r="AE293" s="33">
        <f ca="1">_xll.DBRW($C$1,$C$2,$C$3,$C$4,$C$6,$C$5,$C$7,AE$1,AE$2,$A293)</f>
        <v>0</v>
      </c>
      <c r="AF293" s="33">
        <f ca="1">_xll.DBRW($C$1,$C$2,$C$3,$C$4,$C$6,$C$5,$C$7,AF$1,AF$2,$A293)</f>
        <v>0</v>
      </c>
      <c r="AG293" s="33">
        <f ca="1">_xll.DBRW($C$1,$C$2,$C$3,$C$4,$C$6,$C$5,$C$7,AG$1,AG$2,$A293)</f>
        <v>0</v>
      </c>
      <c r="AH293" s="33">
        <f ca="1">_xll.DBRW($C$1,$C$2,$C$3,$C$4,$C$6,$C$5,$C$7,AH$1,AH$2,$A293)</f>
        <v>0</v>
      </c>
      <c r="AI293" s="33">
        <f ca="1">_xll.DBRW($C$1,$C$2,$C$3,$C$4,$C$6,$C$5,$C$7,AI$1,AI$2,$A293)</f>
        <v>0</v>
      </c>
      <c r="AJ293" s="33">
        <f ca="1">_xll.DBRW($C$1,$C$2,$C$3,$C$4,$C$6,$C$5,$C$7,AJ$1,AJ$2,$A293)</f>
        <v>0</v>
      </c>
      <c r="AK293" s="33">
        <f ca="1">_xll.DBRW($C$1,$C$2,$C$3,$C$4,$C$6,$C$5,$C$7,AK$1,AK$2,$A293)</f>
        <v>0</v>
      </c>
      <c r="AL293" s="33">
        <f ca="1">_xll.DBRW($C$1,$C$2,$C$3,$C$4,$C$6,$C$5,$C$7,AL$1,AL$2,$A293)</f>
        <v>0</v>
      </c>
      <c r="AM293" s="33">
        <f ca="1">_xll.DBRW($C$1,$C$2,$C$3,$C$4,$C$6,$C$5,$C$7,AM$1,AM$2,$A293)</f>
        <v>0</v>
      </c>
      <c r="AN293" s="33">
        <f ca="1">_xll.DBRW($C$1,$C$2,$C$3,$C$4,$C$6,$C$5,$C$7,AN$1,AN$2,$A293)</f>
        <v>0</v>
      </c>
      <c r="AO293" s="33">
        <f ca="1">_xll.DBRW($C$1,$C$2,$C$3,$C$4,$C$6,$C$5,$C$7,AO$1,AO$2,$A293)</f>
        <v>0</v>
      </c>
      <c r="AP293" s="33">
        <f ca="1">_xll.DBRW($C$1,$C$2,$C$3,$C$4,$C$6,$C$5,$C$7,AP$1,AP$2,$A293)</f>
        <v>0</v>
      </c>
      <c r="AQ293" s="33">
        <f ca="1">_xll.DBRW($C$1,$C$2,$C$3,$C$4,$C$6,$C$5,$C$7,AQ$1,AQ$2,$A293)</f>
        <v>0</v>
      </c>
      <c r="AR293" s="33">
        <f ca="1">_xll.DBRW($C$1,$C$2,$C$3,$C$4,$C$6,$C$5,$C$7,AR$1,AR$2,$A293)</f>
        <v>0</v>
      </c>
      <c r="AS293" s="33">
        <f ca="1">_xll.DBRW($C$1,$C$2,$C$3,$C$4,$C$6,$C$5,$C$7,AS$1,AS$2,$A293)</f>
        <v>0</v>
      </c>
      <c r="AT293" s="33">
        <f ca="1">_xll.DBRW($C$1,$C$2,$C$3,$C$4,$C$6,$C$5,$C$7,AT$1,AT$2,$A293)</f>
        <v>0</v>
      </c>
      <c r="AU293" s="33">
        <f ca="1">_xll.DBRW($C$1,$C$2,$C$3,$C$4,$C$6,$C$5,$C$7,AU$1,AU$2,$A293)</f>
        <v>0</v>
      </c>
      <c r="AV293" s="33">
        <f ca="1">_xll.DBRW($C$1,$C$2,$C$3,$C$4,$C$6,$C$5,$C$7,AV$1,AV$2,$A293)</f>
        <v>0</v>
      </c>
      <c r="AW293" s="33">
        <f ca="1">_xll.DBRW($C$1,$C$2,$C$3,$C$4,$C$6,$C$5,$C$7,AW$1,AW$2,$A293)</f>
        <v>0</v>
      </c>
      <c r="AX293" s="33">
        <f ca="1">_xll.DBRW($C$1,$C$2,$C$3,$C$4,$C$6,$C$5,$C$7,AX$1,AX$2,$A293)</f>
        <v>0</v>
      </c>
      <c r="AY293" s="33">
        <f ca="1">_xll.DBRW($C$1,$C$2,$C$3,$C$4,$C$6,$C$5,$C$7,AY$1,AY$2,$A293)</f>
        <v>0</v>
      </c>
    </row>
    <row r="294" spans="1:51" ht="15.5" collapsed="1">
      <c r="C294" s="109"/>
      <c r="E294" s="87" t="s">
        <v>75</v>
      </c>
      <c r="F294" s="41">
        <f t="shared" ref="F294:L294" ca="1" si="207">SUM(F292:F293)</f>
        <v>0</v>
      </c>
      <c r="G294" s="41">
        <f t="shared" ca="1" si="207"/>
        <v>0</v>
      </c>
      <c r="H294" s="41">
        <f t="shared" ca="1" si="207"/>
        <v>0</v>
      </c>
      <c r="I294" s="41">
        <f t="shared" ca="1" si="207"/>
        <v>0</v>
      </c>
      <c r="J294" s="41">
        <f t="shared" ca="1" si="207"/>
        <v>0</v>
      </c>
      <c r="K294" s="41">
        <f t="shared" ca="1" si="207"/>
        <v>0</v>
      </c>
      <c r="L294" s="41">
        <f t="shared" ca="1" si="207"/>
        <v>0</v>
      </c>
      <c r="M294" s="41">
        <f t="shared" ref="M294:X294" ca="1" si="208">SUM(M292:M293)</f>
        <v>0</v>
      </c>
      <c r="N294" s="41">
        <f t="shared" ca="1" si="208"/>
        <v>0</v>
      </c>
      <c r="O294" s="41">
        <f t="shared" ca="1" si="208"/>
        <v>0</v>
      </c>
      <c r="P294" s="41">
        <f t="shared" ca="1" si="208"/>
        <v>0</v>
      </c>
      <c r="Q294" s="41">
        <f t="shared" ca="1" si="208"/>
        <v>0</v>
      </c>
      <c r="R294" s="41">
        <f t="shared" ca="1" si="208"/>
        <v>0</v>
      </c>
      <c r="S294" s="41">
        <f t="shared" ca="1" si="208"/>
        <v>0</v>
      </c>
      <c r="T294" s="41">
        <f t="shared" ca="1" si="208"/>
        <v>0</v>
      </c>
      <c r="U294" s="41">
        <f t="shared" ca="1" si="208"/>
        <v>0</v>
      </c>
      <c r="V294" s="41">
        <f t="shared" ca="1" si="208"/>
        <v>0</v>
      </c>
      <c r="W294" s="41">
        <f t="shared" ca="1" si="208"/>
        <v>0</v>
      </c>
      <c r="X294" s="41">
        <f t="shared" ca="1" si="208"/>
        <v>0</v>
      </c>
      <c r="Y294" s="41">
        <f ca="1">SUM(Y292:Y293)</f>
        <v>0</v>
      </c>
      <c r="Z294" s="41">
        <f t="shared" ref="Z294:AK294" ca="1" si="209">SUM(Z292:Z293)</f>
        <v>0</v>
      </c>
      <c r="AA294" s="41">
        <f t="shared" ca="1" si="209"/>
        <v>0</v>
      </c>
      <c r="AB294" s="41">
        <f t="shared" ca="1" si="209"/>
        <v>0</v>
      </c>
      <c r="AC294" s="41">
        <f t="shared" ca="1" si="209"/>
        <v>0</v>
      </c>
      <c r="AD294" s="41">
        <f t="shared" ca="1" si="209"/>
        <v>0</v>
      </c>
      <c r="AE294" s="41">
        <f t="shared" ca="1" si="209"/>
        <v>0</v>
      </c>
      <c r="AF294" s="41">
        <f t="shared" ca="1" si="209"/>
        <v>0</v>
      </c>
      <c r="AG294" s="41">
        <f t="shared" ca="1" si="209"/>
        <v>0</v>
      </c>
      <c r="AH294" s="41">
        <f t="shared" ca="1" si="209"/>
        <v>0</v>
      </c>
      <c r="AI294" s="41">
        <f t="shared" ca="1" si="209"/>
        <v>0</v>
      </c>
      <c r="AJ294" s="41">
        <f t="shared" ca="1" si="209"/>
        <v>0</v>
      </c>
      <c r="AK294" s="41">
        <f t="shared" ca="1" si="209"/>
        <v>0</v>
      </c>
      <c r="AL294" s="41">
        <f ca="1">SUM(AL292:AL293)</f>
        <v>0</v>
      </c>
      <c r="AM294" s="41">
        <f t="shared" ref="AM294:AX294" ca="1" si="210">SUM(AM292:AM293)</f>
        <v>0</v>
      </c>
      <c r="AN294" s="41">
        <f t="shared" ca="1" si="210"/>
        <v>0</v>
      </c>
      <c r="AO294" s="41">
        <f t="shared" ca="1" si="210"/>
        <v>0</v>
      </c>
      <c r="AP294" s="41">
        <f t="shared" ca="1" si="210"/>
        <v>0</v>
      </c>
      <c r="AQ294" s="41">
        <f t="shared" ca="1" si="210"/>
        <v>0</v>
      </c>
      <c r="AR294" s="41">
        <f t="shared" ca="1" si="210"/>
        <v>0</v>
      </c>
      <c r="AS294" s="41">
        <f t="shared" ca="1" si="210"/>
        <v>0</v>
      </c>
      <c r="AT294" s="41">
        <f t="shared" ca="1" si="210"/>
        <v>0</v>
      </c>
      <c r="AU294" s="41">
        <f t="shared" ca="1" si="210"/>
        <v>0</v>
      </c>
      <c r="AV294" s="41">
        <f t="shared" ca="1" si="210"/>
        <v>0</v>
      </c>
      <c r="AW294" s="41">
        <f t="shared" ca="1" si="210"/>
        <v>0</v>
      </c>
      <c r="AX294" s="41">
        <f t="shared" ca="1" si="210"/>
        <v>0</v>
      </c>
      <c r="AY294" s="41">
        <f ca="1">SUM(AY292:AY293)</f>
        <v>0</v>
      </c>
    </row>
    <row r="295" spans="1:51" ht="15.5">
      <c r="A295" s="1" t="s">
        <v>142</v>
      </c>
      <c r="C295" s="109"/>
      <c r="E295" s="11" t="s">
        <v>76</v>
      </c>
      <c r="F295" s="35">
        <f t="shared" ref="F295:L295" ca="1" si="211">F285+F288+F294</f>
        <v>0</v>
      </c>
      <c r="G295" s="35">
        <f t="shared" ca="1" si="211"/>
        <v>0</v>
      </c>
      <c r="H295" s="35">
        <f t="shared" ca="1" si="211"/>
        <v>0</v>
      </c>
      <c r="I295" s="35">
        <f t="shared" ca="1" si="211"/>
        <v>0</v>
      </c>
      <c r="J295" s="35">
        <f t="shared" ca="1" si="211"/>
        <v>0</v>
      </c>
      <c r="K295" s="35">
        <f t="shared" ca="1" si="211"/>
        <v>0</v>
      </c>
      <c r="L295" s="35">
        <f t="shared" ca="1" si="211"/>
        <v>0</v>
      </c>
      <c r="M295" s="35">
        <f t="shared" ref="M295:X295" ca="1" si="212">M285+M288+M294</f>
        <v>0</v>
      </c>
      <c r="N295" s="35">
        <f t="shared" ca="1" si="212"/>
        <v>0</v>
      </c>
      <c r="O295" s="35">
        <f t="shared" ca="1" si="212"/>
        <v>0</v>
      </c>
      <c r="P295" s="35">
        <f t="shared" ca="1" si="212"/>
        <v>0</v>
      </c>
      <c r="Q295" s="35">
        <f t="shared" ca="1" si="212"/>
        <v>0</v>
      </c>
      <c r="R295" s="35">
        <f t="shared" ca="1" si="212"/>
        <v>0</v>
      </c>
      <c r="S295" s="35">
        <f t="shared" ca="1" si="212"/>
        <v>0</v>
      </c>
      <c r="T295" s="35">
        <f t="shared" ca="1" si="212"/>
        <v>0</v>
      </c>
      <c r="U295" s="35">
        <f t="shared" ca="1" si="212"/>
        <v>0</v>
      </c>
      <c r="V295" s="35">
        <f t="shared" ca="1" si="212"/>
        <v>0</v>
      </c>
      <c r="W295" s="35">
        <f t="shared" ca="1" si="212"/>
        <v>0</v>
      </c>
      <c r="X295" s="35">
        <f t="shared" ca="1" si="212"/>
        <v>0</v>
      </c>
      <c r="Y295" s="35">
        <f ca="1">Y285+Y288+Y294</f>
        <v>0</v>
      </c>
      <c r="Z295" s="35">
        <f t="shared" ref="Z295:AK295" ca="1" si="213">Z285+Z288+Z294</f>
        <v>0</v>
      </c>
      <c r="AA295" s="35">
        <f t="shared" ca="1" si="213"/>
        <v>0</v>
      </c>
      <c r="AB295" s="35">
        <f t="shared" ca="1" si="213"/>
        <v>0</v>
      </c>
      <c r="AC295" s="35">
        <f t="shared" ca="1" si="213"/>
        <v>0</v>
      </c>
      <c r="AD295" s="35">
        <f t="shared" ca="1" si="213"/>
        <v>0</v>
      </c>
      <c r="AE295" s="35">
        <f t="shared" ca="1" si="213"/>
        <v>0</v>
      </c>
      <c r="AF295" s="35">
        <f t="shared" ca="1" si="213"/>
        <v>0</v>
      </c>
      <c r="AG295" s="35">
        <f t="shared" ca="1" si="213"/>
        <v>0</v>
      </c>
      <c r="AH295" s="35">
        <f t="shared" ca="1" si="213"/>
        <v>0</v>
      </c>
      <c r="AI295" s="35">
        <f t="shared" ca="1" si="213"/>
        <v>0</v>
      </c>
      <c r="AJ295" s="35">
        <f t="shared" ca="1" si="213"/>
        <v>0</v>
      </c>
      <c r="AK295" s="35">
        <f t="shared" ca="1" si="213"/>
        <v>0</v>
      </c>
      <c r="AL295" s="35">
        <f ca="1">AL285+AL288+AL294</f>
        <v>0</v>
      </c>
      <c r="AM295" s="35">
        <f t="shared" ref="AM295:AX295" ca="1" si="214">AM285+AM288+AM294</f>
        <v>0</v>
      </c>
      <c r="AN295" s="35">
        <f t="shared" ca="1" si="214"/>
        <v>0</v>
      </c>
      <c r="AO295" s="35">
        <f t="shared" ca="1" si="214"/>
        <v>0</v>
      </c>
      <c r="AP295" s="35">
        <f t="shared" ca="1" si="214"/>
        <v>0</v>
      </c>
      <c r="AQ295" s="35">
        <f t="shared" ca="1" si="214"/>
        <v>0</v>
      </c>
      <c r="AR295" s="35">
        <f t="shared" ca="1" si="214"/>
        <v>0</v>
      </c>
      <c r="AS295" s="35">
        <f t="shared" ca="1" si="214"/>
        <v>0</v>
      </c>
      <c r="AT295" s="35">
        <f t="shared" ca="1" si="214"/>
        <v>0</v>
      </c>
      <c r="AU295" s="35">
        <f t="shared" ca="1" si="214"/>
        <v>0</v>
      </c>
      <c r="AV295" s="35">
        <f t="shared" ca="1" si="214"/>
        <v>0</v>
      </c>
      <c r="AW295" s="35">
        <f t="shared" ca="1" si="214"/>
        <v>0</v>
      </c>
      <c r="AX295" s="35">
        <f t="shared" ca="1" si="214"/>
        <v>0</v>
      </c>
      <c r="AY295" s="35">
        <f ca="1">AY285+AY288+AY294</f>
        <v>0</v>
      </c>
    </row>
    <row r="296" spans="1:51" ht="9" customHeight="1">
      <c r="A296" s="1" t="s">
        <v>142</v>
      </c>
      <c r="C296" s="109"/>
      <c r="E296" s="7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</row>
    <row r="297" spans="1:51" ht="15.75" hidden="1" customHeight="1" outlineLevel="1">
      <c r="A297" s="1" t="s">
        <v>142</v>
      </c>
      <c r="C297" s="109"/>
      <c r="E297" s="7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</row>
    <row r="298" spans="1:51" ht="15.75" hidden="1" customHeight="1" outlineLevel="1">
      <c r="A298" s="1" t="s">
        <v>339</v>
      </c>
      <c r="C298" s="109"/>
      <c r="E298" s="84" t="s">
        <v>67</v>
      </c>
      <c r="F298" s="39">
        <f ca="1">_xll.DBRW($C$1,$C$2,$C$3,$C$4,$C$6,$C$5,$C$7,F$1,F$2,$A298)</f>
        <v>0</v>
      </c>
      <c r="G298" s="39">
        <f ca="1">_xll.DBRW($C$1,$C$2,$C$3,$C$4,$C$6,$C$5,$C$7,G$1,G$2,$A298)</f>
        <v>0</v>
      </c>
      <c r="H298" s="39">
        <f ca="1">_xll.DBRW($C$1,$C$2,$C$3,$C$4,$C$6,$C$5,$C$7,H$1,H$2,$A298)</f>
        <v>0</v>
      </c>
      <c r="I298" s="39">
        <f ca="1">_xll.DBRW($C$1,$C$2,$C$3,$C$4,$C$6,$C$5,$C$7,I$1,I$2,$A298)</f>
        <v>0</v>
      </c>
      <c r="J298" s="39">
        <f ca="1">_xll.DBRW($C$1,$C$2,$C$3,$C$4,$C$6,$C$5,$C$7,J$1,J$2,$A298)</f>
        <v>0</v>
      </c>
      <c r="K298" s="39">
        <f ca="1">_xll.DBRW($C$1,$C$2,$C$3,$C$4,$C$6,$C$5,$C$7,K$1,K$2,$A298)</f>
        <v>0</v>
      </c>
      <c r="L298" s="39">
        <f ca="1">_xll.DBRW($C$1,$C$2,$C$3,$C$4,$C$6,$C$5,$C$7,L$1,L$2,$A298)</f>
        <v>0</v>
      </c>
      <c r="M298" s="39">
        <f ca="1">_xll.DBRW($C$1,$C$2,$C$3,$C$4,$C$6,$C$5,$C$7,M$1,M$2,$A298)</f>
        <v>0</v>
      </c>
      <c r="N298" s="39">
        <f ca="1">_xll.DBRW($C$1,$C$2,$C$3,$C$4,$C$6,$C$5,$C$7,N$1,N$2,$A298)</f>
        <v>0</v>
      </c>
      <c r="O298" s="39">
        <f ca="1">_xll.DBRW($C$1,$C$2,$C$3,$C$4,$C$6,$C$5,$C$7,O$1,O$2,$A298)</f>
        <v>0</v>
      </c>
      <c r="P298" s="39">
        <f ca="1">_xll.DBRW($C$1,$C$2,$C$3,$C$4,$C$6,$C$5,$C$7,P$1,P$2,$A298)</f>
        <v>0</v>
      </c>
      <c r="Q298" s="39">
        <f ca="1">_xll.DBRW($C$1,$C$2,$C$3,$C$4,$C$6,$C$5,$C$7,Q$1,Q$2,$A298)</f>
        <v>0</v>
      </c>
      <c r="R298" s="39">
        <f ca="1">_xll.DBRW($C$1,$C$2,$C$3,$C$4,$C$6,$C$5,$C$7,R$1,R$2,$A298)</f>
        <v>0</v>
      </c>
      <c r="S298" s="39">
        <f ca="1">_xll.DBRW($C$1,$C$2,$C$3,$C$4,$C$6,$C$5,$C$7,S$1,S$2,$A298)</f>
        <v>0</v>
      </c>
      <c r="T298" s="39">
        <f ca="1">_xll.DBRW($C$1,$C$2,$C$3,$C$4,$C$6,$C$5,$C$7,T$1,T$2,$A298)</f>
        <v>0</v>
      </c>
      <c r="U298" s="39">
        <f ca="1">_xll.DBRW($C$1,$C$2,$C$3,$C$4,$C$6,$C$5,$C$7,U$1,U$2,$A298)</f>
        <v>0</v>
      </c>
      <c r="V298" s="39">
        <f ca="1">_xll.DBRW($C$1,$C$2,$C$3,$C$4,$C$6,$C$5,$C$7,V$1,V$2,$A298)</f>
        <v>0</v>
      </c>
      <c r="W298" s="39">
        <f ca="1">_xll.DBRW($C$1,$C$2,$C$3,$C$4,$C$6,$C$5,$C$7,W$1,W$2,$A298)</f>
        <v>0</v>
      </c>
      <c r="X298" s="39">
        <f ca="1">_xll.DBRW($C$1,$C$2,$C$3,$C$4,$C$6,$C$5,$C$7,X$1,X$2,$A298)</f>
        <v>0</v>
      </c>
      <c r="Y298" s="39">
        <f ca="1">_xll.DBRW($C$1,$C$2,$C$3,$C$4,$C$6,$C$5,$C$7,Y$1,Y$2,$A298)</f>
        <v>0</v>
      </c>
      <c r="Z298" s="39">
        <f ca="1">_xll.DBRW($C$1,$C$2,$C$3,$C$4,$C$6,$C$5,$C$7,Z$1,Z$2,$A298)</f>
        <v>0</v>
      </c>
      <c r="AA298" s="39">
        <f ca="1">_xll.DBRW($C$1,$C$2,$C$3,$C$4,$C$6,$C$5,$C$7,AA$1,AA$2,$A298)</f>
        <v>0</v>
      </c>
      <c r="AB298" s="39">
        <f ca="1">_xll.DBRW($C$1,$C$2,$C$3,$C$4,$C$6,$C$5,$C$7,AB$1,AB$2,$A298)</f>
        <v>0</v>
      </c>
      <c r="AC298" s="39">
        <f ca="1">_xll.DBRW($C$1,$C$2,$C$3,$C$4,$C$6,$C$5,$C$7,AC$1,AC$2,$A298)</f>
        <v>0</v>
      </c>
      <c r="AD298" s="39">
        <f ca="1">_xll.DBRW($C$1,$C$2,$C$3,$C$4,$C$6,$C$5,$C$7,AD$1,AD$2,$A298)</f>
        <v>0</v>
      </c>
      <c r="AE298" s="39">
        <f ca="1">_xll.DBRW($C$1,$C$2,$C$3,$C$4,$C$6,$C$5,$C$7,AE$1,AE$2,$A298)</f>
        <v>0</v>
      </c>
      <c r="AF298" s="39">
        <f ca="1">_xll.DBRW($C$1,$C$2,$C$3,$C$4,$C$6,$C$5,$C$7,AF$1,AF$2,$A298)</f>
        <v>0</v>
      </c>
      <c r="AG298" s="39">
        <f ca="1">_xll.DBRW($C$1,$C$2,$C$3,$C$4,$C$6,$C$5,$C$7,AG$1,AG$2,$A298)</f>
        <v>0</v>
      </c>
      <c r="AH298" s="39">
        <f ca="1">_xll.DBRW($C$1,$C$2,$C$3,$C$4,$C$6,$C$5,$C$7,AH$1,AH$2,$A298)</f>
        <v>0</v>
      </c>
      <c r="AI298" s="39">
        <f ca="1">_xll.DBRW($C$1,$C$2,$C$3,$C$4,$C$6,$C$5,$C$7,AI$1,AI$2,$A298)</f>
        <v>0</v>
      </c>
      <c r="AJ298" s="39">
        <f ca="1">_xll.DBRW($C$1,$C$2,$C$3,$C$4,$C$6,$C$5,$C$7,AJ$1,AJ$2,$A298)</f>
        <v>0</v>
      </c>
      <c r="AK298" s="39">
        <f ca="1">_xll.DBRW($C$1,$C$2,$C$3,$C$4,$C$6,$C$5,$C$7,AK$1,AK$2,$A298)</f>
        <v>0</v>
      </c>
      <c r="AL298" s="39">
        <f ca="1">_xll.DBRW($C$1,$C$2,$C$3,$C$4,$C$6,$C$5,$C$7,AL$1,AL$2,$A298)</f>
        <v>0</v>
      </c>
      <c r="AM298" s="39">
        <f ca="1">_xll.DBRW($C$1,$C$2,$C$3,$C$4,$C$6,$C$5,$C$7,AM$1,AM$2,$A298)</f>
        <v>0</v>
      </c>
      <c r="AN298" s="39">
        <f ca="1">_xll.DBRW($C$1,$C$2,$C$3,$C$4,$C$6,$C$5,$C$7,AN$1,AN$2,$A298)</f>
        <v>0</v>
      </c>
      <c r="AO298" s="39">
        <f ca="1">_xll.DBRW($C$1,$C$2,$C$3,$C$4,$C$6,$C$5,$C$7,AO$1,AO$2,$A298)</f>
        <v>0</v>
      </c>
      <c r="AP298" s="39">
        <f ca="1">_xll.DBRW($C$1,$C$2,$C$3,$C$4,$C$6,$C$5,$C$7,AP$1,AP$2,$A298)</f>
        <v>0</v>
      </c>
      <c r="AQ298" s="39">
        <f ca="1">_xll.DBRW($C$1,$C$2,$C$3,$C$4,$C$6,$C$5,$C$7,AQ$1,AQ$2,$A298)</f>
        <v>0</v>
      </c>
      <c r="AR298" s="39">
        <f ca="1">_xll.DBRW($C$1,$C$2,$C$3,$C$4,$C$6,$C$5,$C$7,AR$1,AR$2,$A298)</f>
        <v>0</v>
      </c>
      <c r="AS298" s="39">
        <f ca="1">_xll.DBRW($C$1,$C$2,$C$3,$C$4,$C$6,$C$5,$C$7,AS$1,AS$2,$A298)</f>
        <v>0</v>
      </c>
      <c r="AT298" s="39">
        <f ca="1">_xll.DBRW($C$1,$C$2,$C$3,$C$4,$C$6,$C$5,$C$7,AT$1,AT$2,$A298)</f>
        <v>0</v>
      </c>
      <c r="AU298" s="39">
        <f ca="1">_xll.DBRW($C$1,$C$2,$C$3,$C$4,$C$6,$C$5,$C$7,AU$1,AU$2,$A298)</f>
        <v>0</v>
      </c>
      <c r="AV298" s="39">
        <f ca="1">_xll.DBRW($C$1,$C$2,$C$3,$C$4,$C$6,$C$5,$C$7,AV$1,AV$2,$A298)</f>
        <v>0</v>
      </c>
      <c r="AW298" s="39">
        <f ca="1">_xll.DBRW($C$1,$C$2,$C$3,$C$4,$C$6,$C$5,$C$7,AW$1,AW$2,$A298)</f>
        <v>0</v>
      </c>
      <c r="AX298" s="39">
        <f ca="1">_xll.DBRW($C$1,$C$2,$C$3,$C$4,$C$6,$C$5,$C$7,AX$1,AX$2,$A298)</f>
        <v>0</v>
      </c>
      <c r="AY298" s="39">
        <f ca="1">_xll.DBRW($C$1,$C$2,$C$3,$C$4,$C$6,$C$5,$C$7,AY$1,AY$2,$A298)</f>
        <v>0</v>
      </c>
    </row>
    <row r="299" spans="1:51" ht="15.75" hidden="1" customHeight="1" outlineLevel="1">
      <c r="A299" s="1" t="s">
        <v>347</v>
      </c>
      <c r="C299" s="109"/>
      <c r="E299" s="84" t="s">
        <v>77</v>
      </c>
      <c r="F299" s="39">
        <f ca="1">_xll.DBRW($C$1,$C$2,$C$3,$C$4,$C$6,$C$5,$C$7,F$1,F$2,$A299)</f>
        <v>0</v>
      </c>
      <c r="G299" s="39">
        <f ca="1">_xll.DBRW($C$1,$C$2,$C$3,$C$4,$C$6,$C$5,$C$7,G$1,G$2,$A299)</f>
        <v>0</v>
      </c>
      <c r="H299" s="39">
        <f ca="1">_xll.DBRW($C$1,$C$2,$C$3,$C$4,$C$6,$C$5,$C$7,H$1,H$2,$A299)</f>
        <v>0</v>
      </c>
      <c r="I299" s="39">
        <f ca="1">_xll.DBRW($C$1,$C$2,$C$3,$C$4,$C$6,$C$5,$C$7,I$1,I$2,$A299)</f>
        <v>0</v>
      </c>
      <c r="J299" s="39">
        <f ca="1">_xll.DBRW($C$1,$C$2,$C$3,$C$4,$C$6,$C$5,$C$7,J$1,J$2,$A299)</f>
        <v>0</v>
      </c>
      <c r="K299" s="39">
        <f ca="1">_xll.DBRW($C$1,$C$2,$C$3,$C$4,$C$6,$C$5,$C$7,K$1,K$2,$A299)</f>
        <v>0</v>
      </c>
      <c r="L299" s="39">
        <f ca="1">_xll.DBRW($C$1,$C$2,$C$3,$C$4,$C$6,$C$5,$C$7,L$1,L$2,$A299)</f>
        <v>0</v>
      </c>
      <c r="M299" s="39">
        <f ca="1">_xll.DBRW($C$1,$C$2,$C$3,$C$4,$C$6,$C$5,$C$7,M$1,M$2,$A299)</f>
        <v>0</v>
      </c>
      <c r="N299" s="39">
        <f ca="1">_xll.DBRW($C$1,$C$2,$C$3,$C$4,$C$6,$C$5,$C$7,N$1,N$2,$A299)</f>
        <v>0</v>
      </c>
      <c r="O299" s="39">
        <f ca="1">_xll.DBRW($C$1,$C$2,$C$3,$C$4,$C$6,$C$5,$C$7,O$1,O$2,$A299)</f>
        <v>0</v>
      </c>
      <c r="P299" s="39">
        <f ca="1">_xll.DBRW($C$1,$C$2,$C$3,$C$4,$C$6,$C$5,$C$7,P$1,P$2,$A299)</f>
        <v>0</v>
      </c>
      <c r="Q299" s="39">
        <f ca="1">_xll.DBRW($C$1,$C$2,$C$3,$C$4,$C$6,$C$5,$C$7,Q$1,Q$2,$A299)</f>
        <v>0</v>
      </c>
      <c r="R299" s="39">
        <f ca="1">_xll.DBRW($C$1,$C$2,$C$3,$C$4,$C$6,$C$5,$C$7,R$1,R$2,$A299)</f>
        <v>0</v>
      </c>
      <c r="S299" s="39">
        <f ca="1">_xll.DBRW($C$1,$C$2,$C$3,$C$4,$C$6,$C$5,$C$7,S$1,S$2,$A299)</f>
        <v>0</v>
      </c>
      <c r="T299" s="39">
        <f ca="1">_xll.DBRW($C$1,$C$2,$C$3,$C$4,$C$6,$C$5,$C$7,T$1,T$2,$A299)</f>
        <v>0</v>
      </c>
      <c r="U299" s="39">
        <f ca="1">_xll.DBRW($C$1,$C$2,$C$3,$C$4,$C$6,$C$5,$C$7,U$1,U$2,$A299)</f>
        <v>0</v>
      </c>
      <c r="V299" s="39">
        <f ca="1">_xll.DBRW($C$1,$C$2,$C$3,$C$4,$C$6,$C$5,$C$7,V$1,V$2,$A299)</f>
        <v>0</v>
      </c>
      <c r="W299" s="39">
        <f ca="1">_xll.DBRW($C$1,$C$2,$C$3,$C$4,$C$6,$C$5,$C$7,W$1,W$2,$A299)</f>
        <v>0</v>
      </c>
      <c r="X299" s="39">
        <f ca="1">_xll.DBRW($C$1,$C$2,$C$3,$C$4,$C$6,$C$5,$C$7,X$1,X$2,$A299)</f>
        <v>0</v>
      </c>
      <c r="Y299" s="39">
        <f ca="1">_xll.DBRW($C$1,$C$2,$C$3,$C$4,$C$6,$C$5,$C$7,Y$1,Y$2,$A299)</f>
        <v>0</v>
      </c>
      <c r="Z299" s="39">
        <f ca="1">_xll.DBRW($C$1,$C$2,$C$3,$C$4,$C$6,$C$5,$C$7,Z$1,Z$2,$A299)</f>
        <v>0</v>
      </c>
      <c r="AA299" s="39">
        <f ca="1">_xll.DBRW($C$1,$C$2,$C$3,$C$4,$C$6,$C$5,$C$7,AA$1,AA$2,$A299)</f>
        <v>0</v>
      </c>
      <c r="AB299" s="39">
        <f ca="1">_xll.DBRW($C$1,$C$2,$C$3,$C$4,$C$6,$C$5,$C$7,AB$1,AB$2,$A299)</f>
        <v>0</v>
      </c>
      <c r="AC299" s="39">
        <f ca="1">_xll.DBRW($C$1,$C$2,$C$3,$C$4,$C$6,$C$5,$C$7,AC$1,AC$2,$A299)</f>
        <v>0</v>
      </c>
      <c r="AD299" s="39">
        <f ca="1">_xll.DBRW($C$1,$C$2,$C$3,$C$4,$C$6,$C$5,$C$7,AD$1,AD$2,$A299)</f>
        <v>0</v>
      </c>
      <c r="AE299" s="39">
        <f ca="1">_xll.DBRW($C$1,$C$2,$C$3,$C$4,$C$6,$C$5,$C$7,AE$1,AE$2,$A299)</f>
        <v>0</v>
      </c>
      <c r="AF299" s="39">
        <f ca="1">_xll.DBRW($C$1,$C$2,$C$3,$C$4,$C$6,$C$5,$C$7,AF$1,AF$2,$A299)</f>
        <v>0</v>
      </c>
      <c r="AG299" s="39">
        <f ca="1">_xll.DBRW($C$1,$C$2,$C$3,$C$4,$C$6,$C$5,$C$7,AG$1,AG$2,$A299)</f>
        <v>0</v>
      </c>
      <c r="AH299" s="39">
        <f ca="1">_xll.DBRW($C$1,$C$2,$C$3,$C$4,$C$6,$C$5,$C$7,AH$1,AH$2,$A299)</f>
        <v>0</v>
      </c>
      <c r="AI299" s="39">
        <f ca="1">_xll.DBRW($C$1,$C$2,$C$3,$C$4,$C$6,$C$5,$C$7,AI$1,AI$2,$A299)</f>
        <v>0</v>
      </c>
      <c r="AJ299" s="39">
        <f ca="1">_xll.DBRW($C$1,$C$2,$C$3,$C$4,$C$6,$C$5,$C$7,AJ$1,AJ$2,$A299)</f>
        <v>0</v>
      </c>
      <c r="AK299" s="39">
        <f ca="1">_xll.DBRW($C$1,$C$2,$C$3,$C$4,$C$6,$C$5,$C$7,AK$1,AK$2,$A299)</f>
        <v>0</v>
      </c>
      <c r="AL299" s="39">
        <f ca="1">_xll.DBRW($C$1,$C$2,$C$3,$C$4,$C$6,$C$5,$C$7,AL$1,AL$2,$A299)</f>
        <v>0</v>
      </c>
      <c r="AM299" s="39">
        <f ca="1">_xll.DBRW($C$1,$C$2,$C$3,$C$4,$C$6,$C$5,$C$7,AM$1,AM$2,$A299)</f>
        <v>0</v>
      </c>
      <c r="AN299" s="39">
        <f ca="1">_xll.DBRW($C$1,$C$2,$C$3,$C$4,$C$6,$C$5,$C$7,AN$1,AN$2,$A299)</f>
        <v>0</v>
      </c>
      <c r="AO299" s="39">
        <f ca="1">_xll.DBRW($C$1,$C$2,$C$3,$C$4,$C$6,$C$5,$C$7,AO$1,AO$2,$A299)</f>
        <v>0</v>
      </c>
      <c r="AP299" s="39">
        <f ca="1">_xll.DBRW($C$1,$C$2,$C$3,$C$4,$C$6,$C$5,$C$7,AP$1,AP$2,$A299)</f>
        <v>0</v>
      </c>
      <c r="AQ299" s="39">
        <f ca="1">_xll.DBRW($C$1,$C$2,$C$3,$C$4,$C$6,$C$5,$C$7,AQ$1,AQ$2,$A299)</f>
        <v>0</v>
      </c>
      <c r="AR299" s="39">
        <f ca="1">_xll.DBRW($C$1,$C$2,$C$3,$C$4,$C$6,$C$5,$C$7,AR$1,AR$2,$A299)</f>
        <v>0</v>
      </c>
      <c r="AS299" s="39">
        <f ca="1">_xll.DBRW($C$1,$C$2,$C$3,$C$4,$C$6,$C$5,$C$7,AS$1,AS$2,$A299)</f>
        <v>0</v>
      </c>
      <c r="AT299" s="39">
        <f ca="1">_xll.DBRW($C$1,$C$2,$C$3,$C$4,$C$6,$C$5,$C$7,AT$1,AT$2,$A299)</f>
        <v>0</v>
      </c>
      <c r="AU299" s="39">
        <f ca="1">_xll.DBRW($C$1,$C$2,$C$3,$C$4,$C$6,$C$5,$C$7,AU$1,AU$2,$A299)</f>
        <v>0</v>
      </c>
      <c r="AV299" s="39">
        <f ca="1">_xll.DBRW($C$1,$C$2,$C$3,$C$4,$C$6,$C$5,$C$7,AV$1,AV$2,$A299)</f>
        <v>0</v>
      </c>
      <c r="AW299" s="39">
        <f ca="1">_xll.DBRW($C$1,$C$2,$C$3,$C$4,$C$6,$C$5,$C$7,AW$1,AW$2,$A299)</f>
        <v>0</v>
      </c>
      <c r="AX299" s="39">
        <f ca="1">_xll.DBRW($C$1,$C$2,$C$3,$C$4,$C$6,$C$5,$C$7,AX$1,AX$2,$A299)</f>
        <v>0</v>
      </c>
      <c r="AY299" s="39">
        <f ca="1">_xll.DBRW($C$1,$C$2,$C$3,$C$4,$C$6,$C$5,$C$7,AY$1,AY$2,$A299)</f>
        <v>0</v>
      </c>
    </row>
    <row r="300" spans="1:51" ht="15.75" hidden="1" customHeight="1" outlineLevel="1">
      <c r="A300" s="1" t="s">
        <v>142</v>
      </c>
      <c r="C300" s="109"/>
      <c r="E300" s="15" t="s">
        <v>78</v>
      </c>
      <c r="F300" s="39">
        <f ca="1">(-F25+F299)*0.8%</f>
        <v>0</v>
      </c>
      <c r="G300" s="39">
        <f t="shared" ref="G300:AY300" ca="1" si="215">(-G25+G299)*0.8%</f>
        <v>0</v>
      </c>
      <c r="H300" s="39">
        <f t="shared" ca="1" si="215"/>
        <v>0</v>
      </c>
      <c r="I300" s="39">
        <f t="shared" ca="1" si="215"/>
        <v>0</v>
      </c>
      <c r="J300" s="39">
        <f t="shared" ca="1" si="215"/>
        <v>0</v>
      </c>
      <c r="K300" s="39">
        <f t="shared" ca="1" si="215"/>
        <v>0</v>
      </c>
      <c r="L300" s="39">
        <f t="shared" ca="1" si="215"/>
        <v>0</v>
      </c>
      <c r="M300" s="39">
        <f t="shared" ca="1" si="215"/>
        <v>0</v>
      </c>
      <c r="N300" s="39">
        <f t="shared" ca="1" si="215"/>
        <v>0</v>
      </c>
      <c r="O300" s="39">
        <f t="shared" ca="1" si="215"/>
        <v>0</v>
      </c>
      <c r="P300" s="39">
        <f t="shared" ca="1" si="215"/>
        <v>0</v>
      </c>
      <c r="Q300" s="39">
        <f t="shared" ca="1" si="215"/>
        <v>0</v>
      </c>
      <c r="R300" s="39">
        <f t="shared" ca="1" si="215"/>
        <v>0</v>
      </c>
      <c r="S300" s="39">
        <f t="shared" ca="1" si="215"/>
        <v>0</v>
      </c>
      <c r="T300" s="39">
        <f t="shared" ca="1" si="215"/>
        <v>0</v>
      </c>
      <c r="U300" s="39">
        <f t="shared" ca="1" si="215"/>
        <v>0</v>
      </c>
      <c r="V300" s="39">
        <f t="shared" ca="1" si="215"/>
        <v>0</v>
      </c>
      <c r="W300" s="39">
        <f t="shared" ca="1" si="215"/>
        <v>0</v>
      </c>
      <c r="X300" s="39">
        <f t="shared" ca="1" si="215"/>
        <v>0</v>
      </c>
      <c r="Y300" s="39">
        <f t="shared" ca="1" si="215"/>
        <v>0</v>
      </c>
      <c r="Z300" s="39">
        <f t="shared" ca="1" si="215"/>
        <v>0</v>
      </c>
      <c r="AA300" s="39">
        <f t="shared" ca="1" si="215"/>
        <v>0</v>
      </c>
      <c r="AB300" s="39">
        <f t="shared" ca="1" si="215"/>
        <v>0</v>
      </c>
      <c r="AC300" s="39">
        <f t="shared" ca="1" si="215"/>
        <v>0</v>
      </c>
      <c r="AD300" s="39">
        <f t="shared" ca="1" si="215"/>
        <v>0</v>
      </c>
      <c r="AE300" s="39">
        <f t="shared" ca="1" si="215"/>
        <v>0</v>
      </c>
      <c r="AF300" s="39">
        <f t="shared" ca="1" si="215"/>
        <v>0</v>
      </c>
      <c r="AG300" s="39">
        <f t="shared" ca="1" si="215"/>
        <v>0</v>
      </c>
      <c r="AH300" s="39">
        <f t="shared" ca="1" si="215"/>
        <v>0</v>
      </c>
      <c r="AI300" s="39">
        <f t="shared" ca="1" si="215"/>
        <v>0</v>
      </c>
      <c r="AJ300" s="39">
        <f t="shared" ca="1" si="215"/>
        <v>0</v>
      </c>
      <c r="AK300" s="39">
        <f t="shared" ca="1" si="215"/>
        <v>0</v>
      </c>
      <c r="AL300" s="39">
        <f t="shared" ca="1" si="215"/>
        <v>0</v>
      </c>
      <c r="AM300" s="39">
        <f t="shared" ca="1" si="215"/>
        <v>0</v>
      </c>
      <c r="AN300" s="39">
        <f t="shared" ca="1" si="215"/>
        <v>0</v>
      </c>
      <c r="AO300" s="39">
        <f t="shared" ca="1" si="215"/>
        <v>0</v>
      </c>
      <c r="AP300" s="39">
        <f t="shared" ca="1" si="215"/>
        <v>0</v>
      </c>
      <c r="AQ300" s="39">
        <f t="shared" ca="1" si="215"/>
        <v>0</v>
      </c>
      <c r="AR300" s="39">
        <f t="shared" ca="1" si="215"/>
        <v>0</v>
      </c>
      <c r="AS300" s="39">
        <f t="shared" ca="1" si="215"/>
        <v>0</v>
      </c>
      <c r="AT300" s="39">
        <f t="shared" ca="1" si="215"/>
        <v>0</v>
      </c>
      <c r="AU300" s="39">
        <f t="shared" ca="1" si="215"/>
        <v>0</v>
      </c>
      <c r="AV300" s="39">
        <f t="shared" ca="1" si="215"/>
        <v>0</v>
      </c>
      <c r="AW300" s="39">
        <f t="shared" ca="1" si="215"/>
        <v>0</v>
      </c>
      <c r="AX300" s="39">
        <f t="shared" ca="1" si="215"/>
        <v>0</v>
      </c>
      <c r="AY300" s="39">
        <f t="shared" ca="1" si="215"/>
        <v>0</v>
      </c>
    </row>
    <row r="301" spans="1:51" ht="15.75" hidden="1" customHeight="1" outlineLevel="1">
      <c r="A301" s="1" t="s">
        <v>142</v>
      </c>
      <c r="C301" s="109"/>
      <c r="E301" s="15" t="s">
        <v>79</v>
      </c>
      <c r="F301" s="39">
        <f ca="1">F298-F299+F300</f>
        <v>0</v>
      </c>
      <c r="G301" s="39">
        <f t="shared" ref="G301:AY301" ca="1" si="216">G298-G299+G300</f>
        <v>0</v>
      </c>
      <c r="H301" s="39">
        <f t="shared" ca="1" si="216"/>
        <v>0</v>
      </c>
      <c r="I301" s="39">
        <f t="shared" ca="1" si="216"/>
        <v>0</v>
      </c>
      <c r="J301" s="39">
        <f t="shared" ca="1" si="216"/>
        <v>0</v>
      </c>
      <c r="K301" s="39">
        <f t="shared" ca="1" si="216"/>
        <v>0</v>
      </c>
      <c r="L301" s="39">
        <f t="shared" ca="1" si="216"/>
        <v>0</v>
      </c>
      <c r="M301" s="39">
        <f t="shared" ca="1" si="216"/>
        <v>0</v>
      </c>
      <c r="N301" s="39">
        <f t="shared" ca="1" si="216"/>
        <v>0</v>
      </c>
      <c r="O301" s="39">
        <f t="shared" ca="1" si="216"/>
        <v>0</v>
      </c>
      <c r="P301" s="39">
        <f t="shared" ca="1" si="216"/>
        <v>0</v>
      </c>
      <c r="Q301" s="39">
        <f t="shared" ca="1" si="216"/>
        <v>0</v>
      </c>
      <c r="R301" s="39">
        <f t="shared" ca="1" si="216"/>
        <v>0</v>
      </c>
      <c r="S301" s="39">
        <f t="shared" ca="1" si="216"/>
        <v>0</v>
      </c>
      <c r="T301" s="39">
        <f t="shared" ca="1" si="216"/>
        <v>0</v>
      </c>
      <c r="U301" s="39">
        <f t="shared" ca="1" si="216"/>
        <v>0</v>
      </c>
      <c r="V301" s="39">
        <f t="shared" ca="1" si="216"/>
        <v>0</v>
      </c>
      <c r="W301" s="39">
        <f t="shared" ca="1" si="216"/>
        <v>0</v>
      </c>
      <c r="X301" s="39">
        <f t="shared" ca="1" si="216"/>
        <v>0</v>
      </c>
      <c r="Y301" s="39">
        <f t="shared" ca="1" si="216"/>
        <v>0</v>
      </c>
      <c r="Z301" s="39">
        <f t="shared" ca="1" si="216"/>
        <v>0</v>
      </c>
      <c r="AA301" s="39">
        <f t="shared" ca="1" si="216"/>
        <v>0</v>
      </c>
      <c r="AB301" s="39">
        <f t="shared" ca="1" si="216"/>
        <v>0</v>
      </c>
      <c r="AC301" s="39">
        <f t="shared" ca="1" si="216"/>
        <v>0</v>
      </c>
      <c r="AD301" s="39">
        <f t="shared" ca="1" si="216"/>
        <v>0</v>
      </c>
      <c r="AE301" s="39">
        <f t="shared" ca="1" si="216"/>
        <v>0</v>
      </c>
      <c r="AF301" s="39">
        <f t="shared" ca="1" si="216"/>
        <v>0</v>
      </c>
      <c r="AG301" s="39">
        <f t="shared" ca="1" si="216"/>
        <v>0</v>
      </c>
      <c r="AH301" s="39">
        <f t="shared" ca="1" si="216"/>
        <v>0</v>
      </c>
      <c r="AI301" s="39">
        <f t="shared" ca="1" si="216"/>
        <v>0</v>
      </c>
      <c r="AJ301" s="39">
        <f t="shared" ca="1" si="216"/>
        <v>0</v>
      </c>
      <c r="AK301" s="39">
        <f t="shared" ca="1" si="216"/>
        <v>0</v>
      </c>
      <c r="AL301" s="39">
        <f t="shared" ca="1" si="216"/>
        <v>0</v>
      </c>
      <c r="AM301" s="39">
        <f t="shared" ca="1" si="216"/>
        <v>0</v>
      </c>
      <c r="AN301" s="39">
        <f t="shared" ca="1" si="216"/>
        <v>0</v>
      </c>
      <c r="AO301" s="39">
        <f t="shared" ca="1" si="216"/>
        <v>0</v>
      </c>
      <c r="AP301" s="39">
        <f t="shared" ca="1" si="216"/>
        <v>0</v>
      </c>
      <c r="AQ301" s="39">
        <f t="shared" ca="1" si="216"/>
        <v>0</v>
      </c>
      <c r="AR301" s="39">
        <f t="shared" ca="1" si="216"/>
        <v>0</v>
      </c>
      <c r="AS301" s="39">
        <f t="shared" ca="1" si="216"/>
        <v>0</v>
      </c>
      <c r="AT301" s="39">
        <f t="shared" ca="1" si="216"/>
        <v>0</v>
      </c>
      <c r="AU301" s="39">
        <f t="shared" ca="1" si="216"/>
        <v>0</v>
      </c>
      <c r="AV301" s="39">
        <f t="shared" ca="1" si="216"/>
        <v>0</v>
      </c>
      <c r="AW301" s="39">
        <f t="shared" ca="1" si="216"/>
        <v>0</v>
      </c>
      <c r="AX301" s="39">
        <f t="shared" ca="1" si="216"/>
        <v>0</v>
      </c>
      <c r="AY301" s="39">
        <f t="shared" ca="1" si="216"/>
        <v>0</v>
      </c>
    </row>
    <row r="302" spans="1:51" ht="15.5" collapsed="1">
      <c r="A302" s="1" t="s">
        <v>348</v>
      </c>
      <c r="C302" s="109"/>
      <c r="E302" s="88" t="s">
        <v>80</v>
      </c>
      <c r="F302" s="40">
        <f ca="1">_xll.DBRW($C$1,$C$2,$C$3,$C$4,$C$6,$C$5,$C$7,F$1,F$2,$A302)</f>
        <v>0</v>
      </c>
      <c r="G302" s="40">
        <f ca="1">_xll.DBRW($C$1,$C$2,$C$3,$C$4,$C$6,$C$5,$C$7,G$1,G$2,$A302)</f>
        <v>0</v>
      </c>
      <c r="H302" s="40">
        <f ca="1">_xll.DBRW($C$1,$C$2,$C$3,$C$4,$C$6,$C$5,$C$7,H$1,H$2,$A302)</f>
        <v>0</v>
      </c>
      <c r="I302" s="40">
        <f ca="1">_xll.DBRW($C$1,$C$2,$C$3,$C$4,$C$6,$C$5,$C$7,I$1,I$2,$A302)</f>
        <v>0</v>
      </c>
      <c r="J302" s="40">
        <f ca="1">_xll.DBRW($C$1,$C$2,$C$3,$C$4,$C$6,$C$5,$C$7,J$1,J$2,$A302)</f>
        <v>0</v>
      </c>
      <c r="K302" s="40">
        <f ca="1">_xll.DBRW($C$1,$C$2,$C$3,$C$4,$C$6,$C$5,$C$7,K$1,K$2,$A302)</f>
        <v>0</v>
      </c>
      <c r="L302" s="40">
        <f ca="1">_xll.DBRW($C$1,$C$2,$C$3,$C$4,$C$6,$C$5,$C$7,L$1,L$2,$A302)</f>
        <v>0</v>
      </c>
      <c r="M302" s="40">
        <f ca="1">_xll.DBRW($C$1,$C$2,$C$3,$C$4,$C$6,$C$5,$C$7,M$1,M$2,$A302)</f>
        <v>0</v>
      </c>
      <c r="N302" s="40">
        <f ca="1">_xll.DBRW($C$1,$C$2,$C$3,$C$4,$C$6,$C$5,$C$7,N$1,N$2,$A302)</f>
        <v>0</v>
      </c>
      <c r="O302" s="40">
        <f ca="1">_xll.DBRW($C$1,$C$2,$C$3,$C$4,$C$6,$C$5,$C$7,O$1,O$2,$A302)</f>
        <v>0</v>
      </c>
      <c r="P302" s="40">
        <f ca="1">_xll.DBRW($C$1,$C$2,$C$3,$C$4,$C$6,$C$5,$C$7,P$1,P$2,$A302)</f>
        <v>0</v>
      </c>
      <c r="Q302" s="40">
        <f ca="1">_xll.DBRW($C$1,$C$2,$C$3,$C$4,$C$6,$C$5,$C$7,Q$1,Q$2,$A302)</f>
        <v>0</v>
      </c>
      <c r="R302" s="40">
        <f ca="1">_xll.DBRW($C$1,$C$2,$C$3,$C$4,$C$6,$C$5,$C$7,R$1,R$2,$A302)</f>
        <v>0</v>
      </c>
      <c r="S302" s="40">
        <f ca="1">_xll.DBRW($C$1,$C$2,$C$3,$C$4,$C$6,$C$5,$C$7,S$1,S$2,$A302)</f>
        <v>0</v>
      </c>
      <c r="T302" s="40">
        <f ca="1">_xll.DBRW($C$1,$C$2,$C$3,$C$4,$C$6,$C$5,$C$7,T$1,T$2,$A302)</f>
        <v>0</v>
      </c>
      <c r="U302" s="40">
        <f ca="1">_xll.DBRW($C$1,$C$2,$C$3,$C$4,$C$6,$C$5,$C$7,U$1,U$2,$A302)</f>
        <v>0</v>
      </c>
      <c r="V302" s="40">
        <f ca="1">_xll.DBRW($C$1,$C$2,$C$3,$C$4,$C$6,$C$5,$C$7,V$1,V$2,$A302)</f>
        <v>0</v>
      </c>
      <c r="W302" s="40">
        <f ca="1">_xll.DBRW($C$1,$C$2,$C$3,$C$4,$C$6,$C$5,$C$7,W$1,W$2,$A302)</f>
        <v>0</v>
      </c>
      <c r="X302" s="40">
        <f ca="1">_xll.DBRW($C$1,$C$2,$C$3,$C$4,$C$6,$C$5,$C$7,X$1,X$2,$A302)</f>
        <v>0</v>
      </c>
      <c r="Y302" s="40">
        <f ca="1">_xll.DBRW($C$1,$C$2,$C$3,$C$4,$C$6,$C$5,$C$7,Y$1,Y$2,$A302)</f>
        <v>0</v>
      </c>
      <c r="Z302" s="40">
        <f ca="1">_xll.DBRW($C$1,$C$2,$C$3,$C$4,$C$6,$C$5,$C$7,Z$1,Z$2,$A302)</f>
        <v>0</v>
      </c>
      <c r="AA302" s="40">
        <f ca="1">_xll.DBRW($C$1,$C$2,$C$3,$C$4,$C$6,$C$5,$C$7,AA$1,AA$2,$A302)</f>
        <v>0</v>
      </c>
      <c r="AB302" s="40">
        <f ca="1">_xll.DBRW($C$1,$C$2,$C$3,$C$4,$C$6,$C$5,$C$7,AB$1,AB$2,$A302)</f>
        <v>0</v>
      </c>
      <c r="AC302" s="40">
        <f ca="1">_xll.DBRW($C$1,$C$2,$C$3,$C$4,$C$6,$C$5,$C$7,AC$1,AC$2,$A302)</f>
        <v>0</v>
      </c>
      <c r="AD302" s="40">
        <f ca="1">_xll.DBRW($C$1,$C$2,$C$3,$C$4,$C$6,$C$5,$C$7,AD$1,AD$2,$A302)</f>
        <v>0</v>
      </c>
      <c r="AE302" s="40">
        <f ca="1">_xll.DBRW($C$1,$C$2,$C$3,$C$4,$C$6,$C$5,$C$7,AE$1,AE$2,$A302)</f>
        <v>0</v>
      </c>
      <c r="AF302" s="40">
        <f ca="1">_xll.DBRW($C$1,$C$2,$C$3,$C$4,$C$6,$C$5,$C$7,AF$1,AF$2,$A302)</f>
        <v>0</v>
      </c>
      <c r="AG302" s="40">
        <f ca="1">_xll.DBRW($C$1,$C$2,$C$3,$C$4,$C$6,$C$5,$C$7,AG$1,AG$2,$A302)</f>
        <v>0</v>
      </c>
      <c r="AH302" s="40">
        <f ca="1">_xll.DBRW($C$1,$C$2,$C$3,$C$4,$C$6,$C$5,$C$7,AH$1,AH$2,$A302)</f>
        <v>0</v>
      </c>
      <c r="AI302" s="40">
        <f ca="1">_xll.DBRW($C$1,$C$2,$C$3,$C$4,$C$6,$C$5,$C$7,AI$1,AI$2,$A302)</f>
        <v>0</v>
      </c>
      <c r="AJ302" s="40">
        <f ca="1">_xll.DBRW($C$1,$C$2,$C$3,$C$4,$C$6,$C$5,$C$7,AJ$1,AJ$2,$A302)</f>
        <v>0</v>
      </c>
      <c r="AK302" s="40">
        <f ca="1">_xll.DBRW($C$1,$C$2,$C$3,$C$4,$C$6,$C$5,$C$7,AK$1,AK$2,$A302)</f>
        <v>0</v>
      </c>
      <c r="AL302" s="40">
        <f ca="1">_xll.DBRW($C$1,$C$2,$C$3,$C$4,$C$6,$C$5,$C$7,AL$1,AL$2,$A302)</f>
        <v>0</v>
      </c>
      <c r="AM302" s="40">
        <f ca="1">_xll.DBRW($C$1,$C$2,$C$3,$C$4,$C$6,$C$5,$C$7,AM$1,AM$2,$A302)</f>
        <v>0</v>
      </c>
      <c r="AN302" s="40">
        <f ca="1">_xll.DBRW($C$1,$C$2,$C$3,$C$4,$C$6,$C$5,$C$7,AN$1,AN$2,$A302)</f>
        <v>0</v>
      </c>
      <c r="AO302" s="40">
        <f ca="1">_xll.DBRW($C$1,$C$2,$C$3,$C$4,$C$6,$C$5,$C$7,AO$1,AO$2,$A302)</f>
        <v>0</v>
      </c>
      <c r="AP302" s="40">
        <f ca="1">_xll.DBRW($C$1,$C$2,$C$3,$C$4,$C$6,$C$5,$C$7,AP$1,AP$2,$A302)</f>
        <v>0</v>
      </c>
      <c r="AQ302" s="40">
        <f ca="1">_xll.DBRW($C$1,$C$2,$C$3,$C$4,$C$6,$C$5,$C$7,AQ$1,AQ$2,$A302)</f>
        <v>0</v>
      </c>
      <c r="AR302" s="40">
        <f ca="1">_xll.DBRW($C$1,$C$2,$C$3,$C$4,$C$6,$C$5,$C$7,AR$1,AR$2,$A302)</f>
        <v>0</v>
      </c>
      <c r="AS302" s="40">
        <f ca="1">_xll.DBRW($C$1,$C$2,$C$3,$C$4,$C$6,$C$5,$C$7,AS$1,AS$2,$A302)</f>
        <v>0</v>
      </c>
      <c r="AT302" s="40">
        <f ca="1">_xll.DBRW($C$1,$C$2,$C$3,$C$4,$C$6,$C$5,$C$7,AT$1,AT$2,$A302)</f>
        <v>0</v>
      </c>
      <c r="AU302" s="40">
        <f ca="1">_xll.DBRW($C$1,$C$2,$C$3,$C$4,$C$6,$C$5,$C$7,AU$1,AU$2,$A302)</f>
        <v>0</v>
      </c>
      <c r="AV302" s="40">
        <f ca="1">_xll.DBRW($C$1,$C$2,$C$3,$C$4,$C$6,$C$5,$C$7,AV$1,AV$2,$A302)</f>
        <v>0</v>
      </c>
      <c r="AW302" s="40">
        <f ca="1">_xll.DBRW($C$1,$C$2,$C$3,$C$4,$C$6,$C$5,$C$7,AW$1,AW$2,$A302)</f>
        <v>0</v>
      </c>
      <c r="AX302" s="40">
        <f ca="1">_xll.DBRW($C$1,$C$2,$C$3,$C$4,$C$6,$C$5,$C$7,AX$1,AX$2,$A302)</f>
        <v>0</v>
      </c>
      <c r="AY302" s="40">
        <f ca="1">_xll.DBRW($C$1,$C$2,$C$3,$C$4,$C$6,$C$5,$C$7,AY$1,AY$2,$A302)</f>
        <v>0</v>
      </c>
    </row>
    <row r="303" spans="1:51" ht="15.5">
      <c r="A303" s="1" t="s">
        <v>142</v>
      </c>
      <c r="C303" s="109"/>
      <c r="E303" s="11" t="s">
        <v>81</v>
      </c>
      <c r="F303" s="42" t="str">
        <f ca="1">IF(F302&lt;=0,"n/a",F301/AVERAGE(F302:G302))</f>
        <v>n/a</v>
      </c>
      <c r="G303" s="42" t="str">
        <f t="shared" ref="G303:AY303" ca="1" si="217">IF(G302&lt;=0,"n/a",G301/AVERAGE(F302:G302))</f>
        <v>n/a</v>
      </c>
      <c r="H303" s="42" t="str">
        <f t="shared" ca="1" si="217"/>
        <v>n/a</v>
      </c>
      <c r="I303" s="42" t="str">
        <f t="shared" ca="1" si="217"/>
        <v>n/a</v>
      </c>
      <c r="J303" s="42" t="str">
        <f t="shared" ca="1" si="217"/>
        <v>n/a</v>
      </c>
      <c r="K303" s="42" t="str">
        <f t="shared" ca="1" si="217"/>
        <v>n/a</v>
      </c>
      <c r="L303" s="42" t="str">
        <f t="shared" ca="1" si="217"/>
        <v>n/a</v>
      </c>
      <c r="M303" s="42" t="str">
        <f t="shared" ca="1" si="217"/>
        <v>n/a</v>
      </c>
      <c r="N303" s="42" t="str">
        <f t="shared" ca="1" si="217"/>
        <v>n/a</v>
      </c>
      <c r="O303" s="42" t="str">
        <f t="shared" ca="1" si="217"/>
        <v>n/a</v>
      </c>
      <c r="P303" s="42" t="str">
        <f t="shared" ca="1" si="217"/>
        <v>n/a</v>
      </c>
      <c r="Q303" s="42" t="str">
        <f t="shared" ca="1" si="217"/>
        <v>n/a</v>
      </c>
      <c r="R303" s="42" t="str">
        <f t="shared" ca="1" si="217"/>
        <v>n/a</v>
      </c>
      <c r="S303" s="42" t="str">
        <f t="shared" ca="1" si="217"/>
        <v>n/a</v>
      </c>
      <c r="T303" s="42" t="str">
        <f t="shared" ca="1" si="217"/>
        <v>n/a</v>
      </c>
      <c r="U303" s="42" t="str">
        <f t="shared" ca="1" si="217"/>
        <v>n/a</v>
      </c>
      <c r="V303" s="42" t="str">
        <f t="shared" ca="1" si="217"/>
        <v>n/a</v>
      </c>
      <c r="W303" s="42" t="str">
        <f t="shared" ca="1" si="217"/>
        <v>n/a</v>
      </c>
      <c r="X303" s="42" t="str">
        <f t="shared" ca="1" si="217"/>
        <v>n/a</v>
      </c>
      <c r="Y303" s="42" t="str">
        <f t="shared" ca="1" si="217"/>
        <v>n/a</v>
      </c>
      <c r="Z303" s="42" t="str">
        <f t="shared" ca="1" si="217"/>
        <v>n/a</v>
      </c>
      <c r="AA303" s="42" t="str">
        <f t="shared" ca="1" si="217"/>
        <v>n/a</v>
      </c>
      <c r="AB303" s="42" t="str">
        <f t="shared" ca="1" si="217"/>
        <v>n/a</v>
      </c>
      <c r="AC303" s="42" t="str">
        <f t="shared" ca="1" si="217"/>
        <v>n/a</v>
      </c>
      <c r="AD303" s="42" t="str">
        <f t="shared" ca="1" si="217"/>
        <v>n/a</v>
      </c>
      <c r="AE303" s="42" t="str">
        <f t="shared" ca="1" si="217"/>
        <v>n/a</v>
      </c>
      <c r="AF303" s="42" t="str">
        <f t="shared" ca="1" si="217"/>
        <v>n/a</v>
      </c>
      <c r="AG303" s="42" t="str">
        <f t="shared" ca="1" si="217"/>
        <v>n/a</v>
      </c>
      <c r="AH303" s="42" t="str">
        <f t="shared" ca="1" si="217"/>
        <v>n/a</v>
      </c>
      <c r="AI303" s="42" t="str">
        <f t="shared" ca="1" si="217"/>
        <v>n/a</v>
      </c>
      <c r="AJ303" s="42" t="str">
        <f t="shared" ca="1" si="217"/>
        <v>n/a</v>
      </c>
      <c r="AK303" s="42" t="str">
        <f t="shared" ca="1" si="217"/>
        <v>n/a</v>
      </c>
      <c r="AL303" s="42" t="str">
        <f t="shared" ca="1" si="217"/>
        <v>n/a</v>
      </c>
      <c r="AM303" s="42" t="str">
        <f t="shared" ca="1" si="217"/>
        <v>n/a</v>
      </c>
      <c r="AN303" s="42" t="str">
        <f t="shared" ca="1" si="217"/>
        <v>n/a</v>
      </c>
      <c r="AO303" s="42" t="str">
        <f t="shared" ca="1" si="217"/>
        <v>n/a</v>
      </c>
      <c r="AP303" s="42" t="str">
        <f t="shared" ca="1" si="217"/>
        <v>n/a</v>
      </c>
      <c r="AQ303" s="42" t="str">
        <f t="shared" ca="1" si="217"/>
        <v>n/a</v>
      </c>
      <c r="AR303" s="42" t="str">
        <f t="shared" ca="1" si="217"/>
        <v>n/a</v>
      </c>
      <c r="AS303" s="42" t="str">
        <f t="shared" ca="1" si="217"/>
        <v>n/a</v>
      </c>
      <c r="AT303" s="42" t="str">
        <f t="shared" ca="1" si="217"/>
        <v>n/a</v>
      </c>
      <c r="AU303" s="42" t="str">
        <f t="shared" ca="1" si="217"/>
        <v>n/a</v>
      </c>
      <c r="AV303" s="42" t="str">
        <f t="shared" ca="1" si="217"/>
        <v>n/a</v>
      </c>
      <c r="AW303" s="42" t="str">
        <f t="shared" ca="1" si="217"/>
        <v>n/a</v>
      </c>
      <c r="AX303" s="42" t="str">
        <f t="shared" ca="1" si="217"/>
        <v>n/a</v>
      </c>
      <c r="AY303" s="42" t="str">
        <f t="shared" ca="1" si="217"/>
        <v>n/a</v>
      </c>
    </row>
    <row r="304" spans="1:51" ht="15.5">
      <c r="A304" s="1" t="s">
        <v>142</v>
      </c>
      <c r="C304" s="26"/>
      <c r="E304" s="62" t="s">
        <v>82</v>
      </c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55"/>
      <c r="AE304" s="55"/>
      <c r="AF304" s="55"/>
      <c r="AG304" s="55"/>
      <c r="AH304" s="55"/>
      <c r="AI304" s="55"/>
      <c r="AJ304" s="55"/>
      <c r="AK304" s="55"/>
      <c r="AL304" s="55"/>
      <c r="AM304" s="55"/>
      <c r="AN304" s="55"/>
      <c r="AO304" s="55"/>
      <c r="AP304" s="55"/>
      <c r="AQ304" s="55"/>
      <c r="AR304" s="55"/>
      <c r="AS304" s="55"/>
      <c r="AT304" s="55"/>
      <c r="AU304" s="55"/>
      <c r="AV304" s="55"/>
      <c r="AW304" s="55"/>
      <c r="AX304" s="55"/>
      <c r="AY304" s="55"/>
    </row>
    <row r="305" spans="1:51" ht="15.5">
      <c r="A305" s="1" t="s">
        <v>142</v>
      </c>
      <c r="E305" s="19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0"/>
      <c r="AT305" s="30"/>
      <c r="AU305" s="30"/>
      <c r="AV305" s="30"/>
      <c r="AW305" s="30"/>
      <c r="AX305" s="30"/>
      <c r="AY305" s="30"/>
    </row>
    <row r="306" spans="1:51" ht="15.5" hidden="1" outlineLevel="1">
      <c r="A306" s="1" t="s">
        <v>349</v>
      </c>
      <c r="E306" s="9" t="str">
        <f ca="1">_xll.DBRW(Server&amp;"}ElementAttributes_Indicator",A306,"code_English")</f>
        <v>Tot_km - Total KM self driven</v>
      </c>
      <c r="F306" s="16">
        <f ca="1">_xll.DBRW($C$1,$C$2,$C$3,$C$4,$C$6,$C$5,$C$7,F$1,F$2,$A306)</f>
        <v>0</v>
      </c>
      <c r="G306" s="16">
        <f ca="1">_xll.DBRW($C$1,$C$2,$C$3,$C$4,$C$6,$C$5,$C$7,G$1,G$2,$A306)</f>
        <v>0</v>
      </c>
      <c r="H306" s="16">
        <f ca="1">_xll.DBRW($C$1,$C$2,$C$3,$C$4,$C$6,$C$5,$C$7,H$1,H$2,$A306)</f>
        <v>0</v>
      </c>
      <c r="I306" s="16">
        <f ca="1">_xll.DBRW($C$1,$C$2,$C$3,$C$4,$C$6,$C$5,$C$7,I$1,I$2,$A306)</f>
        <v>0</v>
      </c>
      <c r="J306" s="16">
        <f ca="1">_xll.DBRW($C$1,$C$2,$C$3,$C$4,$C$6,$C$5,$C$7,J$1,J$2,$A306)</f>
        <v>0</v>
      </c>
      <c r="K306" s="16">
        <f ca="1">_xll.DBRW($C$1,$C$2,$C$3,$C$4,$C$6,$C$5,$C$7,K$1,K$2,$A306)</f>
        <v>0</v>
      </c>
      <c r="L306" s="16">
        <f ca="1">_xll.DBRW($C$1,$C$2,$C$3,$C$4,$C$6,$C$5,$C$7,L$1,L$2,$A306)</f>
        <v>0</v>
      </c>
      <c r="M306" s="16">
        <f ca="1">_xll.DBRW($C$1,$C$2,$C$3,$C$4,$C$6,$C$5,$C$7,M$1,M$2,$A306)</f>
        <v>0</v>
      </c>
      <c r="N306" s="16">
        <f ca="1">_xll.DBRW($C$1,$C$2,$C$3,$C$4,$C$6,$C$5,$C$7,N$1,N$2,$A306)</f>
        <v>0</v>
      </c>
      <c r="O306" s="16">
        <f ca="1">_xll.DBRW($C$1,$C$2,$C$3,$C$4,$C$6,$C$5,$C$7,O$1,O$2,$A306)</f>
        <v>0</v>
      </c>
      <c r="P306" s="16">
        <f ca="1">_xll.DBRW($C$1,$C$2,$C$3,$C$4,$C$6,$C$5,$C$7,P$1,P$2,$A306)</f>
        <v>0</v>
      </c>
      <c r="Q306" s="16">
        <f ca="1">_xll.DBRW($C$1,$C$2,$C$3,$C$4,$C$6,$C$5,$C$7,Q$1,Q$2,$A306)</f>
        <v>0</v>
      </c>
      <c r="R306" s="16">
        <f ca="1">_xll.DBRW($C$1,$C$2,$C$3,$C$4,$C$6,$C$5,$C$7,R$1,R$2,$A306)</f>
        <v>0</v>
      </c>
      <c r="S306" s="16">
        <f ca="1">_xll.DBRW($C$1,$C$2,$C$3,$C$4,$C$6,$C$5,$C$7,S$1,S$2,$A306)</f>
        <v>0</v>
      </c>
      <c r="T306" s="16">
        <f ca="1">_xll.DBRW($C$1,$C$2,$C$3,$C$4,$C$6,$C$5,$C$7,T$1,T$2,$A306)</f>
        <v>0</v>
      </c>
      <c r="U306" s="16">
        <f ca="1">_xll.DBRW($C$1,$C$2,$C$3,$C$4,$C$6,$C$5,$C$7,U$1,U$2,$A306)</f>
        <v>0</v>
      </c>
      <c r="V306" s="16">
        <f ca="1">_xll.DBRW($C$1,$C$2,$C$3,$C$4,$C$6,$C$5,$C$7,V$1,V$2,$A306)</f>
        <v>0</v>
      </c>
      <c r="W306" s="16">
        <f ca="1">_xll.DBRW($C$1,$C$2,$C$3,$C$4,$C$6,$C$5,$C$7,W$1,W$2,$A306)</f>
        <v>0</v>
      </c>
      <c r="X306" s="16">
        <f ca="1">_xll.DBRW($C$1,$C$2,$C$3,$C$4,$C$6,$C$5,$C$7,X$1,X$2,$A306)</f>
        <v>0</v>
      </c>
      <c r="Y306" s="16">
        <f ca="1">_xll.DBRW($C$1,$C$2,$C$3,$C$4,$C$6,$C$5,$C$7,Y$1,Y$2,$A306)</f>
        <v>0</v>
      </c>
      <c r="Z306" s="16">
        <f ca="1">_xll.DBRW($C$1,$C$2,$C$3,$C$4,$C$6,$C$5,$C$7,Z$1,Z$2,$A306)</f>
        <v>0</v>
      </c>
      <c r="AA306" s="16">
        <f ca="1">_xll.DBRW($C$1,$C$2,$C$3,$C$4,$C$6,$C$5,$C$7,AA$1,AA$2,$A306)</f>
        <v>0</v>
      </c>
      <c r="AB306" s="16">
        <f ca="1">_xll.DBRW($C$1,$C$2,$C$3,$C$4,$C$6,$C$5,$C$7,AB$1,AB$2,$A306)</f>
        <v>0</v>
      </c>
      <c r="AC306" s="16">
        <f ca="1">_xll.DBRW($C$1,$C$2,$C$3,$C$4,$C$6,$C$5,$C$7,AC$1,AC$2,$A306)</f>
        <v>0</v>
      </c>
      <c r="AD306" s="16">
        <f ca="1">_xll.DBRW($C$1,$C$2,$C$3,$C$4,$C$6,$C$5,$C$7,AD$1,AD$2,$A306)</f>
        <v>0</v>
      </c>
      <c r="AE306" s="16">
        <f ca="1">_xll.DBRW($C$1,$C$2,$C$3,$C$4,$C$6,$C$5,$C$7,AE$1,AE$2,$A306)</f>
        <v>0</v>
      </c>
      <c r="AF306" s="16">
        <f ca="1">_xll.DBRW($C$1,$C$2,$C$3,$C$4,$C$6,$C$5,$C$7,AF$1,AF$2,$A306)</f>
        <v>0</v>
      </c>
      <c r="AG306" s="16">
        <f ca="1">_xll.DBRW($C$1,$C$2,$C$3,$C$4,$C$6,$C$5,$C$7,AG$1,AG$2,$A306)</f>
        <v>0</v>
      </c>
      <c r="AH306" s="16">
        <f ca="1">_xll.DBRW($C$1,$C$2,$C$3,$C$4,$C$6,$C$5,$C$7,AH$1,AH$2,$A306)</f>
        <v>0</v>
      </c>
      <c r="AI306" s="16">
        <f ca="1">_xll.DBRW($C$1,$C$2,$C$3,$C$4,$C$6,$C$5,$C$7,AI$1,AI$2,$A306)</f>
        <v>0</v>
      </c>
      <c r="AJ306" s="16">
        <f ca="1">_xll.DBRW($C$1,$C$2,$C$3,$C$4,$C$6,$C$5,$C$7,AJ$1,AJ$2,$A306)</f>
        <v>0</v>
      </c>
      <c r="AK306" s="16">
        <f ca="1">_xll.DBRW($C$1,$C$2,$C$3,$C$4,$C$6,$C$5,$C$7,AK$1,AK$2,$A306)</f>
        <v>0</v>
      </c>
      <c r="AL306" s="16">
        <f ca="1">_xll.DBRW($C$1,$C$2,$C$3,$C$4,$C$6,$C$5,$C$7,AL$1,AL$2,$A306)</f>
        <v>0</v>
      </c>
      <c r="AM306" s="16">
        <f ca="1">_xll.DBRW($C$1,$C$2,$C$3,$C$4,$C$6,$C$5,$C$7,AM$1,AM$2,$A306)</f>
        <v>0</v>
      </c>
      <c r="AN306" s="16">
        <f ca="1">_xll.DBRW($C$1,$C$2,$C$3,$C$4,$C$6,$C$5,$C$7,AN$1,AN$2,$A306)</f>
        <v>0</v>
      </c>
      <c r="AO306" s="16">
        <f ca="1">_xll.DBRW($C$1,$C$2,$C$3,$C$4,$C$6,$C$5,$C$7,AO$1,AO$2,$A306)</f>
        <v>0</v>
      </c>
      <c r="AP306" s="16">
        <f ca="1">_xll.DBRW($C$1,$C$2,$C$3,$C$4,$C$6,$C$5,$C$7,AP$1,AP$2,$A306)</f>
        <v>0</v>
      </c>
      <c r="AQ306" s="16">
        <f ca="1">_xll.DBRW($C$1,$C$2,$C$3,$C$4,$C$6,$C$5,$C$7,AQ$1,AQ$2,$A306)</f>
        <v>0</v>
      </c>
      <c r="AR306" s="16">
        <f ca="1">_xll.DBRW($C$1,$C$2,$C$3,$C$4,$C$6,$C$5,$C$7,AR$1,AR$2,$A306)</f>
        <v>0</v>
      </c>
      <c r="AS306" s="16">
        <f ca="1">_xll.DBRW($C$1,$C$2,$C$3,$C$4,$C$6,$C$5,$C$7,AS$1,AS$2,$A306)</f>
        <v>0</v>
      </c>
      <c r="AT306" s="16">
        <f ca="1">_xll.DBRW($C$1,$C$2,$C$3,$C$4,$C$6,$C$5,$C$7,AT$1,AT$2,$A306)</f>
        <v>0</v>
      </c>
      <c r="AU306" s="16">
        <f ca="1">_xll.DBRW($C$1,$C$2,$C$3,$C$4,$C$6,$C$5,$C$7,AU$1,AU$2,$A306)</f>
        <v>0</v>
      </c>
      <c r="AV306" s="16">
        <f ca="1">_xll.DBRW($C$1,$C$2,$C$3,$C$4,$C$6,$C$5,$C$7,AV$1,AV$2,$A306)</f>
        <v>0</v>
      </c>
      <c r="AW306" s="16">
        <f ca="1">_xll.DBRW($C$1,$C$2,$C$3,$C$4,$C$6,$C$5,$C$7,AW$1,AW$2,$A306)</f>
        <v>0</v>
      </c>
      <c r="AX306" s="16">
        <f ca="1">_xll.DBRW($C$1,$C$2,$C$3,$C$4,$C$6,$C$5,$C$7,AX$1,AX$2,$A306)</f>
        <v>0</v>
      </c>
      <c r="AY306" s="16">
        <f ca="1">_xll.DBRW($C$1,$C$2,$C$3,$C$4,$C$6,$C$5,$C$7,AY$1,AY$2,$A306)</f>
        <v>0</v>
      </c>
    </row>
    <row r="307" spans="1:51" ht="15.5" hidden="1" outlineLevel="1">
      <c r="A307" s="75" t="s">
        <v>358</v>
      </c>
      <c r="B307" s="75"/>
      <c r="E307" s="9" t="str">
        <f ca="1">_xll.DBRW(Server&amp;"}ElementAttributes_Indicator",A307,"code_English")</f>
        <v>Tot_km_bus_coach - Total KM driven by buses/coaches</v>
      </c>
      <c r="F307" s="39">
        <f ca="1">_xll.DBRW($C$1,$C$2,$C$3,$C$4,$C$6,$C$5,$C$7,F$1,F$2,$A307)</f>
        <v>0</v>
      </c>
      <c r="G307" s="39">
        <f ca="1">_xll.DBRW($C$1,$C$2,$C$3,$C$4,$C$6,$C$5,$C$7,G$1,G$2,$A307)</f>
        <v>0</v>
      </c>
      <c r="H307" s="39">
        <f ca="1">_xll.DBRW($C$1,$C$2,$C$3,$C$4,$C$6,$C$5,$C$7,H$1,H$2,$A307)</f>
        <v>0</v>
      </c>
      <c r="I307" s="39">
        <f ca="1">_xll.DBRW($C$1,$C$2,$C$3,$C$4,$C$6,$C$5,$C$7,I$1,I$2,$A307)</f>
        <v>0</v>
      </c>
      <c r="J307" s="39">
        <f ca="1">_xll.DBRW($C$1,$C$2,$C$3,$C$4,$C$6,$C$5,$C$7,J$1,J$2,$A307)</f>
        <v>0</v>
      </c>
      <c r="K307" s="39">
        <f ca="1">_xll.DBRW($C$1,$C$2,$C$3,$C$4,$C$6,$C$5,$C$7,K$1,K$2,$A307)</f>
        <v>0</v>
      </c>
      <c r="L307" s="39">
        <f ca="1">_xll.DBRW($C$1,$C$2,$C$3,$C$4,$C$6,$C$5,$C$7,L$1,L$2,$A307)</f>
        <v>0</v>
      </c>
      <c r="M307" s="39">
        <f ca="1">_xll.DBRW($C$1,$C$2,$C$3,$C$4,$C$6,$C$5,$C$7,M$1,M$2,$A307)</f>
        <v>0</v>
      </c>
      <c r="N307" s="39">
        <f ca="1">_xll.DBRW($C$1,$C$2,$C$3,$C$4,$C$6,$C$5,$C$7,N$1,N$2,$A307)</f>
        <v>0</v>
      </c>
      <c r="O307" s="39">
        <f ca="1">_xll.DBRW($C$1,$C$2,$C$3,$C$4,$C$6,$C$5,$C$7,O$1,O$2,$A307)</f>
        <v>0</v>
      </c>
      <c r="P307" s="39">
        <f ca="1">_xll.DBRW($C$1,$C$2,$C$3,$C$4,$C$6,$C$5,$C$7,P$1,P$2,$A307)</f>
        <v>0</v>
      </c>
      <c r="Q307" s="39">
        <f ca="1">_xll.DBRW($C$1,$C$2,$C$3,$C$4,$C$6,$C$5,$C$7,Q$1,Q$2,$A307)</f>
        <v>0</v>
      </c>
      <c r="R307" s="39">
        <f ca="1">_xll.DBRW($C$1,$C$2,$C$3,$C$4,$C$6,$C$5,$C$7,R$1,R$2,$A307)</f>
        <v>0</v>
      </c>
      <c r="S307" s="39">
        <f ca="1">_xll.DBRW($C$1,$C$2,$C$3,$C$4,$C$6,$C$5,$C$7,S$1,S$2,$A307)</f>
        <v>0</v>
      </c>
      <c r="T307" s="39">
        <f ca="1">_xll.DBRW($C$1,$C$2,$C$3,$C$4,$C$6,$C$5,$C$7,T$1,T$2,$A307)</f>
        <v>0</v>
      </c>
      <c r="U307" s="39">
        <f ca="1">_xll.DBRW($C$1,$C$2,$C$3,$C$4,$C$6,$C$5,$C$7,U$1,U$2,$A307)</f>
        <v>0</v>
      </c>
      <c r="V307" s="39">
        <f ca="1">_xll.DBRW($C$1,$C$2,$C$3,$C$4,$C$6,$C$5,$C$7,V$1,V$2,$A307)</f>
        <v>0</v>
      </c>
      <c r="W307" s="39">
        <f ca="1">_xll.DBRW($C$1,$C$2,$C$3,$C$4,$C$6,$C$5,$C$7,W$1,W$2,$A307)</f>
        <v>0</v>
      </c>
      <c r="X307" s="39">
        <f ca="1">_xll.DBRW($C$1,$C$2,$C$3,$C$4,$C$6,$C$5,$C$7,X$1,X$2,$A307)</f>
        <v>0</v>
      </c>
      <c r="Y307" s="39">
        <f ca="1">_xll.DBRW($C$1,$C$2,$C$3,$C$4,$C$6,$C$5,$C$7,Y$1,Y$2,$A307)</f>
        <v>0</v>
      </c>
      <c r="Z307" s="39">
        <f ca="1">_xll.DBRW($C$1,$C$2,$C$3,$C$4,$C$6,$C$5,$C$7,Z$1,Z$2,$A307)</f>
        <v>0</v>
      </c>
      <c r="AA307" s="39">
        <f ca="1">_xll.DBRW($C$1,$C$2,$C$3,$C$4,$C$6,$C$5,$C$7,AA$1,AA$2,$A307)</f>
        <v>0</v>
      </c>
      <c r="AB307" s="39">
        <f ca="1">_xll.DBRW($C$1,$C$2,$C$3,$C$4,$C$6,$C$5,$C$7,AB$1,AB$2,$A307)</f>
        <v>0</v>
      </c>
      <c r="AC307" s="39">
        <f ca="1">_xll.DBRW($C$1,$C$2,$C$3,$C$4,$C$6,$C$5,$C$7,AC$1,AC$2,$A307)</f>
        <v>0</v>
      </c>
      <c r="AD307" s="39">
        <f ca="1">_xll.DBRW($C$1,$C$2,$C$3,$C$4,$C$6,$C$5,$C$7,AD$1,AD$2,$A307)</f>
        <v>0</v>
      </c>
      <c r="AE307" s="39">
        <f ca="1">_xll.DBRW($C$1,$C$2,$C$3,$C$4,$C$6,$C$5,$C$7,AE$1,AE$2,$A307)</f>
        <v>0</v>
      </c>
      <c r="AF307" s="39">
        <f ca="1">_xll.DBRW($C$1,$C$2,$C$3,$C$4,$C$6,$C$5,$C$7,AF$1,AF$2,$A307)</f>
        <v>0</v>
      </c>
      <c r="AG307" s="39">
        <f ca="1">_xll.DBRW($C$1,$C$2,$C$3,$C$4,$C$6,$C$5,$C$7,AG$1,AG$2,$A307)</f>
        <v>0</v>
      </c>
      <c r="AH307" s="39">
        <f ca="1">_xll.DBRW($C$1,$C$2,$C$3,$C$4,$C$6,$C$5,$C$7,AH$1,AH$2,$A307)</f>
        <v>0</v>
      </c>
      <c r="AI307" s="39">
        <f ca="1">_xll.DBRW($C$1,$C$2,$C$3,$C$4,$C$6,$C$5,$C$7,AI$1,AI$2,$A307)</f>
        <v>0</v>
      </c>
      <c r="AJ307" s="39">
        <f ca="1">_xll.DBRW($C$1,$C$2,$C$3,$C$4,$C$6,$C$5,$C$7,AJ$1,AJ$2,$A307)</f>
        <v>0</v>
      </c>
      <c r="AK307" s="39">
        <f ca="1">_xll.DBRW($C$1,$C$2,$C$3,$C$4,$C$6,$C$5,$C$7,AK$1,AK$2,$A307)</f>
        <v>0</v>
      </c>
      <c r="AL307" s="39">
        <f ca="1">_xll.DBRW($C$1,$C$2,$C$3,$C$4,$C$6,$C$5,$C$7,AL$1,AL$2,$A307)</f>
        <v>0</v>
      </c>
      <c r="AM307" s="39">
        <f ca="1">_xll.DBRW($C$1,$C$2,$C$3,$C$4,$C$6,$C$5,$C$7,AM$1,AM$2,$A307)</f>
        <v>0</v>
      </c>
      <c r="AN307" s="39">
        <f ca="1">_xll.DBRW($C$1,$C$2,$C$3,$C$4,$C$6,$C$5,$C$7,AN$1,AN$2,$A307)</f>
        <v>0</v>
      </c>
      <c r="AO307" s="39">
        <f ca="1">_xll.DBRW($C$1,$C$2,$C$3,$C$4,$C$6,$C$5,$C$7,AO$1,AO$2,$A307)</f>
        <v>0</v>
      </c>
      <c r="AP307" s="39">
        <f ca="1">_xll.DBRW($C$1,$C$2,$C$3,$C$4,$C$6,$C$5,$C$7,AP$1,AP$2,$A307)</f>
        <v>0</v>
      </c>
      <c r="AQ307" s="39">
        <f ca="1">_xll.DBRW($C$1,$C$2,$C$3,$C$4,$C$6,$C$5,$C$7,AQ$1,AQ$2,$A307)</f>
        <v>0</v>
      </c>
      <c r="AR307" s="39">
        <f ca="1">_xll.DBRW($C$1,$C$2,$C$3,$C$4,$C$6,$C$5,$C$7,AR$1,AR$2,$A307)</f>
        <v>0</v>
      </c>
      <c r="AS307" s="39">
        <f ca="1">_xll.DBRW($C$1,$C$2,$C$3,$C$4,$C$6,$C$5,$C$7,AS$1,AS$2,$A307)</f>
        <v>0</v>
      </c>
      <c r="AT307" s="39">
        <f ca="1">_xll.DBRW($C$1,$C$2,$C$3,$C$4,$C$6,$C$5,$C$7,AT$1,AT$2,$A307)</f>
        <v>0</v>
      </c>
      <c r="AU307" s="39">
        <f ca="1">_xll.DBRW($C$1,$C$2,$C$3,$C$4,$C$6,$C$5,$C$7,AU$1,AU$2,$A307)</f>
        <v>0</v>
      </c>
      <c r="AV307" s="39">
        <f ca="1">_xll.DBRW($C$1,$C$2,$C$3,$C$4,$C$6,$C$5,$C$7,AV$1,AV$2,$A307)</f>
        <v>0</v>
      </c>
      <c r="AW307" s="39">
        <f ca="1">_xll.DBRW($C$1,$C$2,$C$3,$C$4,$C$6,$C$5,$C$7,AW$1,AW$2,$A307)</f>
        <v>0</v>
      </c>
      <c r="AX307" s="39">
        <f ca="1">_xll.DBRW($C$1,$C$2,$C$3,$C$4,$C$6,$C$5,$C$7,AX$1,AX$2,$A307)</f>
        <v>0</v>
      </c>
      <c r="AY307" s="39">
        <f ca="1">_xll.DBRW($C$1,$C$2,$C$3,$C$4,$C$6,$C$5,$C$7,AY$1,AY$2,$A307)</f>
        <v>0</v>
      </c>
    </row>
    <row r="308" spans="1:51" ht="15.5" hidden="1" outlineLevel="1">
      <c r="A308" s="75" t="s">
        <v>359</v>
      </c>
      <c r="B308" s="75"/>
      <c r="E308" s="9" t="str">
        <f ca="1">_xll.DBRW(Server&amp;"}ElementAttributes_Indicator",A308,"code_English")</f>
        <v>Tot_km_light_vehicle - Total KM driven by light vehicles</v>
      </c>
      <c r="F308" s="39">
        <f ca="1">_xll.DBRW($C$1,$C$2,$C$3,$C$4,$C$6,$C$5,$C$7,F$1,F$2,$A308)</f>
        <v>0</v>
      </c>
      <c r="G308" s="39">
        <f ca="1">_xll.DBRW($C$1,$C$2,$C$3,$C$4,$C$6,$C$5,$C$7,G$1,G$2,$A308)</f>
        <v>0</v>
      </c>
      <c r="H308" s="39">
        <f ca="1">_xll.DBRW($C$1,$C$2,$C$3,$C$4,$C$6,$C$5,$C$7,H$1,H$2,$A308)</f>
        <v>0</v>
      </c>
      <c r="I308" s="39">
        <f ca="1">_xll.DBRW($C$1,$C$2,$C$3,$C$4,$C$6,$C$5,$C$7,I$1,I$2,$A308)</f>
        <v>0</v>
      </c>
      <c r="J308" s="39">
        <f ca="1">_xll.DBRW($C$1,$C$2,$C$3,$C$4,$C$6,$C$5,$C$7,J$1,J$2,$A308)</f>
        <v>0</v>
      </c>
      <c r="K308" s="39">
        <f ca="1">_xll.DBRW($C$1,$C$2,$C$3,$C$4,$C$6,$C$5,$C$7,K$1,K$2,$A308)</f>
        <v>0</v>
      </c>
      <c r="L308" s="39">
        <f ca="1">_xll.DBRW($C$1,$C$2,$C$3,$C$4,$C$6,$C$5,$C$7,L$1,L$2,$A308)</f>
        <v>0</v>
      </c>
      <c r="M308" s="39">
        <f ca="1">_xll.DBRW($C$1,$C$2,$C$3,$C$4,$C$6,$C$5,$C$7,M$1,M$2,$A308)</f>
        <v>0</v>
      </c>
      <c r="N308" s="39">
        <f ca="1">_xll.DBRW($C$1,$C$2,$C$3,$C$4,$C$6,$C$5,$C$7,N$1,N$2,$A308)</f>
        <v>0</v>
      </c>
      <c r="O308" s="39">
        <f ca="1">_xll.DBRW($C$1,$C$2,$C$3,$C$4,$C$6,$C$5,$C$7,O$1,O$2,$A308)</f>
        <v>0</v>
      </c>
      <c r="P308" s="39">
        <f ca="1">_xll.DBRW($C$1,$C$2,$C$3,$C$4,$C$6,$C$5,$C$7,P$1,P$2,$A308)</f>
        <v>0</v>
      </c>
      <c r="Q308" s="39">
        <f ca="1">_xll.DBRW($C$1,$C$2,$C$3,$C$4,$C$6,$C$5,$C$7,Q$1,Q$2,$A308)</f>
        <v>0</v>
      </c>
      <c r="R308" s="39">
        <f ca="1">_xll.DBRW($C$1,$C$2,$C$3,$C$4,$C$6,$C$5,$C$7,R$1,R$2,$A308)</f>
        <v>0</v>
      </c>
      <c r="S308" s="39">
        <f ca="1">_xll.DBRW($C$1,$C$2,$C$3,$C$4,$C$6,$C$5,$C$7,S$1,S$2,$A308)</f>
        <v>0</v>
      </c>
      <c r="T308" s="39">
        <f ca="1">_xll.DBRW($C$1,$C$2,$C$3,$C$4,$C$6,$C$5,$C$7,T$1,T$2,$A308)</f>
        <v>0</v>
      </c>
      <c r="U308" s="39">
        <f ca="1">_xll.DBRW($C$1,$C$2,$C$3,$C$4,$C$6,$C$5,$C$7,U$1,U$2,$A308)</f>
        <v>0</v>
      </c>
      <c r="V308" s="39">
        <f ca="1">_xll.DBRW($C$1,$C$2,$C$3,$C$4,$C$6,$C$5,$C$7,V$1,V$2,$A308)</f>
        <v>0</v>
      </c>
      <c r="W308" s="39">
        <f ca="1">_xll.DBRW($C$1,$C$2,$C$3,$C$4,$C$6,$C$5,$C$7,W$1,W$2,$A308)</f>
        <v>0</v>
      </c>
      <c r="X308" s="39">
        <f ca="1">_xll.DBRW($C$1,$C$2,$C$3,$C$4,$C$6,$C$5,$C$7,X$1,X$2,$A308)</f>
        <v>0</v>
      </c>
      <c r="Y308" s="39">
        <f ca="1">_xll.DBRW($C$1,$C$2,$C$3,$C$4,$C$6,$C$5,$C$7,Y$1,Y$2,$A308)</f>
        <v>0</v>
      </c>
      <c r="Z308" s="39">
        <f ca="1">_xll.DBRW($C$1,$C$2,$C$3,$C$4,$C$6,$C$5,$C$7,Z$1,Z$2,$A308)</f>
        <v>0</v>
      </c>
      <c r="AA308" s="39">
        <f ca="1">_xll.DBRW($C$1,$C$2,$C$3,$C$4,$C$6,$C$5,$C$7,AA$1,AA$2,$A308)</f>
        <v>0</v>
      </c>
      <c r="AB308" s="39">
        <f ca="1">_xll.DBRW($C$1,$C$2,$C$3,$C$4,$C$6,$C$5,$C$7,AB$1,AB$2,$A308)</f>
        <v>0</v>
      </c>
      <c r="AC308" s="39">
        <f ca="1">_xll.DBRW($C$1,$C$2,$C$3,$C$4,$C$6,$C$5,$C$7,AC$1,AC$2,$A308)</f>
        <v>0</v>
      </c>
      <c r="AD308" s="39">
        <f ca="1">_xll.DBRW($C$1,$C$2,$C$3,$C$4,$C$6,$C$5,$C$7,AD$1,AD$2,$A308)</f>
        <v>0</v>
      </c>
      <c r="AE308" s="39">
        <f ca="1">_xll.DBRW($C$1,$C$2,$C$3,$C$4,$C$6,$C$5,$C$7,AE$1,AE$2,$A308)</f>
        <v>0</v>
      </c>
      <c r="AF308" s="39">
        <f ca="1">_xll.DBRW($C$1,$C$2,$C$3,$C$4,$C$6,$C$5,$C$7,AF$1,AF$2,$A308)</f>
        <v>0</v>
      </c>
      <c r="AG308" s="39">
        <f ca="1">_xll.DBRW($C$1,$C$2,$C$3,$C$4,$C$6,$C$5,$C$7,AG$1,AG$2,$A308)</f>
        <v>0</v>
      </c>
      <c r="AH308" s="39">
        <f ca="1">_xll.DBRW($C$1,$C$2,$C$3,$C$4,$C$6,$C$5,$C$7,AH$1,AH$2,$A308)</f>
        <v>0</v>
      </c>
      <c r="AI308" s="39">
        <f ca="1">_xll.DBRW($C$1,$C$2,$C$3,$C$4,$C$6,$C$5,$C$7,AI$1,AI$2,$A308)</f>
        <v>0</v>
      </c>
      <c r="AJ308" s="39">
        <f ca="1">_xll.DBRW($C$1,$C$2,$C$3,$C$4,$C$6,$C$5,$C$7,AJ$1,AJ$2,$A308)</f>
        <v>0</v>
      </c>
      <c r="AK308" s="39">
        <f ca="1">_xll.DBRW($C$1,$C$2,$C$3,$C$4,$C$6,$C$5,$C$7,AK$1,AK$2,$A308)</f>
        <v>0</v>
      </c>
      <c r="AL308" s="39">
        <f ca="1">_xll.DBRW($C$1,$C$2,$C$3,$C$4,$C$6,$C$5,$C$7,AL$1,AL$2,$A308)</f>
        <v>0</v>
      </c>
      <c r="AM308" s="39">
        <f ca="1">_xll.DBRW($C$1,$C$2,$C$3,$C$4,$C$6,$C$5,$C$7,AM$1,AM$2,$A308)</f>
        <v>0</v>
      </c>
      <c r="AN308" s="39">
        <f ca="1">_xll.DBRW($C$1,$C$2,$C$3,$C$4,$C$6,$C$5,$C$7,AN$1,AN$2,$A308)</f>
        <v>0</v>
      </c>
      <c r="AO308" s="39">
        <f ca="1">_xll.DBRW($C$1,$C$2,$C$3,$C$4,$C$6,$C$5,$C$7,AO$1,AO$2,$A308)</f>
        <v>0</v>
      </c>
      <c r="AP308" s="39">
        <f ca="1">_xll.DBRW($C$1,$C$2,$C$3,$C$4,$C$6,$C$5,$C$7,AP$1,AP$2,$A308)</f>
        <v>0</v>
      </c>
      <c r="AQ308" s="39">
        <f ca="1">_xll.DBRW($C$1,$C$2,$C$3,$C$4,$C$6,$C$5,$C$7,AQ$1,AQ$2,$A308)</f>
        <v>0</v>
      </c>
      <c r="AR308" s="39">
        <f ca="1">_xll.DBRW($C$1,$C$2,$C$3,$C$4,$C$6,$C$5,$C$7,AR$1,AR$2,$A308)</f>
        <v>0</v>
      </c>
      <c r="AS308" s="39">
        <f ca="1">_xll.DBRW($C$1,$C$2,$C$3,$C$4,$C$6,$C$5,$C$7,AS$1,AS$2,$A308)</f>
        <v>0</v>
      </c>
      <c r="AT308" s="39">
        <f ca="1">_xll.DBRW($C$1,$C$2,$C$3,$C$4,$C$6,$C$5,$C$7,AT$1,AT$2,$A308)</f>
        <v>0</v>
      </c>
      <c r="AU308" s="39">
        <f ca="1">_xll.DBRW($C$1,$C$2,$C$3,$C$4,$C$6,$C$5,$C$7,AU$1,AU$2,$A308)</f>
        <v>0</v>
      </c>
      <c r="AV308" s="39">
        <f ca="1">_xll.DBRW($C$1,$C$2,$C$3,$C$4,$C$6,$C$5,$C$7,AV$1,AV$2,$A308)</f>
        <v>0</v>
      </c>
      <c r="AW308" s="39">
        <f ca="1">_xll.DBRW($C$1,$C$2,$C$3,$C$4,$C$6,$C$5,$C$7,AW$1,AW$2,$A308)</f>
        <v>0</v>
      </c>
      <c r="AX308" s="39">
        <f ca="1">_xll.DBRW($C$1,$C$2,$C$3,$C$4,$C$6,$C$5,$C$7,AX$1,AX$2,$A308)</f>
        <v>0</v>
      </c>
      <c r="AY308" s="39">
        <f ca="1">_xll.DBRW($C$1,$C$2,$C$3,$C$4,$C$6,$C$5,$C$7,AY$1,AY$2,$A308)</f>
        <v>0</v>
      </c>
    </row>
    <row r="309" spans="1:51" ht="15.5" hidden="1" outlineLevel="1">
      <c r="A309" s="75" t="s">
        <v>360</v>
      </c>
      <c r="B309" s="75"/>
      <c r="E309" s="9" t="str">
        <f ca="1">_xll.DBRW(Server&amp;"}ElementAttributes_Indicator",A309,"code_English")</f>
        <v>Tot_km_LRV - Total KM driven by LRV</v>
      </c>
      <c r="F309" s="39">
        <f ca="1">_xll.DBRW($C$1,$C$2,$C$3,$C$4,$C$6,$C$5,$C$7,F$1,F$2,$A309)</f>
        <v>0</v>
      </c>
      <c r="G309" s="39">
        <f ca="1">_xll.DBRW($C$1,$C$2,$C$3,$C$4,$C$6,$C$5,$C$7,G$1,G$2,$A309)</f>
        <v>0</v>
      </c>
      <c r="H309" s="39">
        <f ca="1">_xll.DBRW($C$1,$C$2,$C$3,$C$4,$C$6,$C$5,$C$7,H$1,H$2,$A309)</f>
        <v>0</v>
      </c>
      <c r="I309" s="39">
        <f ca="1">_xll.DBRW($C$1,$C$2,$C$3,$C$4,$C$6,$C$5,$C$7,I$1,I$2,$A309)</f>
        <v>0</v>
      </c>
      <c r="J309" s="39">
        <f ca="1">_xll.DBRW($C$1,$C$2,$C$3,$C$4,$C$6,$C$5,$C$7,J$1,J$2,$A309)</f>
        <v>0</v>
      </c>
      <c r="K309" s="39">
        <f ca="1">_xll.DBRW($C$1,$C$2,$C$3,$C$4,$C$6,$C$5,$C$7,K$1,K$2,$A309)</f>
        <v>0</v>
      </c>
      <c r="L309" s="39">
        <f ca="1">_xll.DBRW($C$1,$C$2,$C$3,$C$4,$C$6,$C$5,$C$7,L$1,L$2,$A309)</f>
        <v>0</v>
      </c>
      <c r="M309" s="39">
        <f ca="1">_xll.DBRW($C$1,$C$2,$C$3,$C$4,$C$6,$C$5,$C$7,M$1,M$2,$A309)</f>
        <v>0</v>
      </c>
      <c r="N309" s="39">
        <f ca="1">_xll.DBRW($C$1,$C$2,$C$3,$C$4,$C$6,$C$5,$C$7,N$1,N$2,$A309)</f>
        <v>0</v>
      </c>
      <c r="O309" s="39">
        <f ca="1">_xll.DBRW($C$1,$C$2,$C$3,$C$4,$C$6,$C$5,$C$7,O$1,O$2,$A309)</f>
        <v>0</v>
      </c>
      <c r="P309" s="39">
        <f ca="1">_xll.DBRW($C$1,$C$2,$C$3,$C$4,$C$6,$C$5,$C$7,P$1,P$2,$A309)</f>
        <v>0</v>
      </c>
      <c r="Q309" s="39">
        <f ca="1">_xll.DBRW($C$1,$C$2,$C$3,$C$4,$C$6,$C$5,$C$7,Q$1,Q$2,$A309)</f>
        <v>0</v>
      </c>
      <c r="R309" s="39">
        <f ca="1">_xll.DBRW($C$1,$C$2,$C$3,$C$4,$C$6,$C$5,$C$7,R$1,R$2,$A309)</f>
        <v>0</v>
      </c>
      <c r="S309" s="39">
        <f ca="1">_xll.DBRW($C$1,$C$2,$C$3,$C$4,$C$6,$C$5,$C$7,S$1,S$2,$A309)</f>
        <v>0</v>
      </c>
      <c r="T309" s="39">
        <f ca="1">_xll.DBRW($C$1,$C$2,$C$3,$C$4,$C$6,$C$5,$C$7,T$1,T$2,$A309)</f>
        <v>0</v>
      </c>
      <c r="U309" s="39">
        <f ca="1">_xll.DBRW($C$1,$C$2,$C$3,$C$4,$C$6,$C$5,$C$7,U$1,U$2,$A309)</f>
        <v>0</v>
      </c>
      <c r="V309" s="39">
        <f ca="1">_xll.DBRW($C$1,$C$2,$C$3,$C$4,$C$6,$C$5,$C$7,V$1,V$2,$A309)</f>
        <v>0</v>
      </c>
      <c r="W309" s="39">
        <f ca="1">_xll.DBRW($C$1,$C$2,$C$3,$C$4,$C$6,$C$5,$C$7,W$1,W$2,$A309)</f>
        <v>0</v>
      </c>
      <c r="X309" s="39">
        <f ca="1">_xll.DBRW($C$1,$C$2,$C$3,$C$4,$C$6,$C$5,$C$7,X$1,X$2,$A309)</f>
        <v>0</v>
      </c>
      <c r="Y309" s="39">
        <f ca="1">_xll.DBRW($C$1,$C$2,$C$3,$C$4,$C$6,$C$5,$C$7,Y$1,Y$2,$A309)</f>
        <v>0</v>
      </c>
      <c r="Z309" s="39">
        <f ca="1">_xll.DBRW($C$1,$C$2,$C$3,$C$4,$C$6,$C$5,$C$7,Z$1,Z$2,$A309)</f>
        <v>0</v>
      </c>
      <c r="AA309" s="39">
        <f ca="1">_xll.DBRW($C$1,$C$2,$C$3,$C$4,$C$6,$C$5,$C$7,AA$1,AA$2,$A309)</f>
        <v>0</v>
      </c>
      <c r="AB309" s="39">
        <f ca="1">_xll.DBRW($C$1,$C$2,$C$3,$C$4,$C$6,$C$5,$C$7,AB$1,AB$2,$A309)</f>
        <v>0</v>
      </c>
      <c r="AC309" s="39">
        <f ca="1">_xll.DBRW($C$1,$C$2,$C$3,$C$4,$C$6,$C$5,$C$7,AC$1,AC$2,$A309)</f>
        <v>0</v>
      </c>
      <c r="AD309" s="39">
        <f ca="1">_xll.DBRW($C$1,$C$2,$C$3,$C$4,$C$6,$C$5,$C$7,AD$1,AD$2,$A309)</f>
        <v>0</v>
      </c>
      <c r="AE309" s="39">
        <f ca="1">_xll.DBRW($C$1,$C$2,$C$3,$C$4,$C$6,$C$5,$C$7,AE$1,AE$2,$A309)</f>
        <v>0</v>
      </c>
      <c r="AF309" s="39">
        <f ca="1">_xll.DBRW($C$1,$C$2,$C$3,$C$4,$C$6,$C$5,$C$7,AF$1,AF$2,$A309)</f>
        <v>0</v>
      </c>
      <c r="AG309" s="39">
        <f ca="1">_xll.DBRW($C$1,$C$2,$C$3,$C$4,$C$6,$C$5,$C$7,AG$1,AG$2,$A309)</f>
        <v>0</v>
      </c>
      <c r="AH309" s="39">
        <f ca="1">_xll.DBRW($C$1,$C$2,$C$3,$C$4,$C$6,$C$5,$C$7,AH$1,AH$2,$A309)</f>
        <v>0</v>
      </c>
      <c r="AI309" s="39">
        <f ca="1">_xll.DBRW($C$1,$C$2,$C$3,$C$4,$C$6,$C$5,$C$7,AI$1,AI$2,$A309)</f>
        <v>0</v>
      </c>
      <c r="AJ309" s="39">
        <f ca="1">_xll.DBRW($C$1,$C$2,$C$3,$C$4,$C$6,$C$5,$C$7,AJ$1,AJ$2,$A309)</f>
        <v>0</v>
      </c>
      <c r="AK309" s="39">
        <f ca="1">_xll.DBRW($C$1,$C$2,$C$3,$C$4,$C$6,$C$5,$C$7,AK$1,AK$2,$A309)</f>
        <v>0</v>
      </c>
      <c r="AL309" s="39">
        <f ca="1">_xll.DBRW($C$1,$C$2,$C$3,$C$4,$C$6,$C$5,$C$7,AL$1,AL$2,$A309)</f>
        <v>0</v>
      </c>
      <c r="AM309" s="39">
        <f ca="1">_xll.DBRW($C$1,$C$2,$C$3,$C$4,$C$6,$C$5,$C$7,AM$1,AM$2,$A309)</f>
        <v>0</v>
      </c>
      <c r="AN309" s="39">
        <f ca="1">_xll.DBRW($C$1,$C$2,$C$3,$C$4,$C$6,$C$5,$C$7,AN$1,AN$2,$A309)</f>
        <v>0</v>
      </c>
      <c r="AO309" s="39">
        <f ca="1">_xll.DBRW($C$1,$C$2,$C$3,$C$4,$C$6,$C$5,$C$7,AO$1,AO$2,$A309)</f>
        <v>0</v>
      </c>
      <c r="AP309" s="39">
        <f ca="1">_xll.DBRW($C$1,$C$2,$C$3,$C$4,$C$6,$C$5,$C$7,AP$1,AP$2,$A309)</f>
        <v>0</v>
      </c>
      <c r="AQ309" s="39">
        <f ca="1">_xll.DBRW($C$1,$C$2,$C$3,$C$4,$C$6,$C$5,$C$7,AQ$1,AQ$2,$A309)</f>
        <v>0</v>
      </c>
      <c r="AR309" s="39">
        <f ca="1">_xll.DBRW($C$1,$C$2,$C$3,$C$4,$C$6,$C$5,$C$7,AR$1,AR$2,$A309)</f>
        <v>0</v>
      </c>
      <c r="AS309" s="39">
        <f ca="1">_xll.DBRW($C$1,$C$2,$C$3,$C$4,$C$6,$C$5,$C$7,AS$1,AS$2,$A309)</f>
        <v>0</v>
      </c>
      <c r="AT309" s="39">
        <f ca="1">_xll.DBRW($C$1,$C$2,$C$3,$C$4,$C$6,$C$5,$C$7,AT$1,AT$2,$A309)</f>
        <v>0</v>
      </c>
      <c r="AU309" s="39">
        <f ca="1">_xll.DBRW($C$1,$C$2,$C$3,$C$4,$C$6,$C$5,$C$7,AU$1,AU$2,$A309)</f>
        <v>0</v>
      </c>
      <c r="AV309" s="39">
        <f ca="1">_xll.DBRW($C$1,$C$2,$C$3,$C$4,$C$6,$C$5,$C$7,AV$1,AV$2,$A309)</f>
        <v>0</v>
      </c>
      <c r="AW309" s="39">
        <f ca="1">_xll.DBRW($C$1,$C$2,$C$3,$C$4,$C$6,$C$5,$C$7,AW$1,AW$2,$A309)</f>
        <v>0</v>
      </c>
      <c r="AX309" s="39">
        <f ca="1">_xll.DBRW($C$1,$C$2,$C$3,$C$4,$C$6,$C$5,$C$7,AX$1,AX$2,$A309)</f>
        <v>0</v>
      </c>
      <c r="AY309" s="39">
        <f ca="1">_xll.DBRW($C$1,$C$2,$C$3,$C$4,$C$6,$C$5,$C$7,AY$1,AY$2,$A309)</f>
        <v>0</v>
      </c>
    </row>
    <row r="310" spans="1:51" ht="15.5" hidden="1" outlineLevel="1">
      <c r="A310" s="75" t="s">
        <v>361</v>
      </c>
      <c r="B310" s="75"/>
      <c r="E310" s="9" t="str">
        <f ca="1">_xll.DBRW(Server&amp;"}ElementAttributes_Indicator",A310,"code_English")</f>
        <v>Tot_km_heavy_rail - Total KM driven by heavy rail</v>
      </c>
      <c r="F310" s="39">
        <f ca="1">_xll.DBRW($C$1,$C$2,$C$3,$C$4,$C$6,$C$5,$C$7,F$1,F$2,$A310)</f>
        <v>0</v>
      </c>
      <c r="G310" s="39">
        <f ca="1">_xll.DBRW($C$1,$C$2,$C$3,$C$4,$C$6,$C$5,$C$7,G$1,G$2,$A310)</f>
        <v>0</v>
      </c>
      <c r="H310" s="39">
        <f ca="1">_xll.DBRW($C$1,$C$2,$C$3,$C$4,$C$6,$C$5,$C$7,H$1,H$2,$A310)</f>
        <v>0</v>
      </c>
      <c r="I310" s="39">
        <f ca="1">_xll.DBRW($C$1,$C$2,$C$3,$C$4,$C$6,$C$5,$C$7,I$1,I$2,$A310)</f>
        <v>0</v>
      </c>
      <c r="J310" s="39">
        <f ca="1">_xll.DBRW($C$1,$C$2,$C$3,$C$4,$C$6,$C$5,$C$7,J$1,J$2,$A310)</f>
        <v>0</v>
      </c>
      <c r="K310" s="39">
        <f ca="1">_xll.DBRW($C$1,$C$2,$C$3,$C$4,$C$6,$C$5,$C$7,K$1,K$2,$A310)</f>
        <v>0</v>
      </c>
      <c r="L310" s="39">
        <f ca="1">_xll.DBRW($C$1,$C$2,$C$3,$C$4,$C$6,$C$5,$C$7,L$1,L$2,$A310)</f>
        <v>0</v>
      </c>
      <c r="M310" s="39">
        <f ca="1">_xll.DBRW($C$1,$C$2,$C$3,$C$4,$C$6,$C$5,$C$7,M$1,M$2,$A310)</f>
        <v>0</v>
      </c>
      <c r="N310" s="39">
        <f ca="1">_xll.DBRW($C$1,$C$2,$C$3,$C$4,$C$6,$C$5,$C$7,N$1,N$2,$A310)</f>
        <v>0</v>
      </c>
      <c r="O310" s="39">
        <f ca="1">_xll.DBRW($C$1,$C$2,$C$3,$C$4,$C$6,$C$5,$C$7,O$1,O$2,$A310)</f>
        <v>0</v>
      </c>
      <c r="P310" s="39">
        <f ca="1">_xll.DBRW($C$1,$C$2,$C$3,$C$4,$C$6,$C$5,$C$7,P$1,P$2,$A310)</f>
        <v>0</v>
      </c>
      <c r="Q310" s="39">
        <f ca="1">_xll.DBRW($C$1,$C$2,$C$3,$C$4,$C$6,$C$5,$C$7,Q$1,Q$2,$A310)</f>
        <v>0</v>
      </c>
      <c r="R310" s="39">
        <f ca="1">_xll.DBRW($C$1,$C$2,$C$3,$C$4,$C$6,$C$5,$C$7,R$1,R$2,$A310)</f>
        <v>0</v>
      </c>
      <c r="S310" s="39">
        <f ca="1">_xll.DBRW($C$1,$C$2,$C$3,$C$4,$C$6,$C$5,$C$7,S$1,S$2,$A310)</f>
        <v>0</v>
      </c>
      <c r="T310" s="39">
        <f ca="1">_xll.DBRW($C$1,$C$2,$C$3,$C$4,$C$6,$C$5,$C$7,T$1,T$2,$A310)</f>
        <v>0</v>
      </c>
      <c r="U310" s="39">
        <f ca="1">_xll.DBRW($C$1,$C$2,$C$3,$C$4,$C$6,$C$5,$C$7,U$1,U$2,$A310)</f>
        <v>0</v>
      </c>
      <c r="V310" s="39">
        <f ca="1">_xll.DBRW($C$1,$C$2,$C$3,$C$4,$C$6,$C$5,$C$7,V$1,V$2,$A310)</f>
        <v>0</v>
      </c>
      <c r="W310" s="39">
        <f ca="1">_xll.DBRW($C$1,$C$2,$C$3,$C$4,$C$6,$C$5,$C$7,W$1,W$2,$A310)</f>
        <v>0</v>
      </c>
      <c r="X310" s="39">
        <f ca="1">_xll.DBRW($C$1,$C$2,$C$3,$C$4,$C$6,$C$5,$C$7,X$1,X$2,$A310)</f>
        <v>0</v>
      </c>
      <c r="Y310" s="39">
        <f ca="1">_xll.DBRW($C$1,$C$2,$C$3,$C$4,$C$6,$C$5,$C$7,Y$1,Y$2,$A310)</f>
        <v>0</v>
      </c>
      <c r="Z310" s="39">
        <f ca="1">_xll.DBRW($C$1,$C$2,$C$3,$C$4,$C$6,$C$5,$C$7,Z$1,Z$2,$A310)</f>
        <v>0</v>
      </c>
      <c r="AA310" s="39">
        <f ca="1">_xll.DBRW($C$1,$C$2,$C$3,$C$4,$C$6,$C$5,$C$7,AA$1,AA$2,$A310)</f>
        <v>0</v>
      </c>
      <c r="AB310" s="39">
        <f ca="1">_xll.DBRW($C$1,$C$2,$C$3,$C$4,$C$6,$C$5,$C$7,AB$1,AB$2,$A310)</f>
        <v>0</v>
      </c>
      <c r="AC310" s="39">
        <f ca="1">_xll.DBRW($C$1,$C$2,$C$3,$C$4,$C$6,$C$5,$C$7,AC$1,AC$2,$A310)</f>
        <v>0</v>
      </c>
      <c r="AD310" s="39">
        <f ca="1">_xll.DBRW($C$1,$C$2,$C$3,$C$4,$C$6,$C$5,$C$7,AD$1,AD$2,$A310)</f>
        <v>0</v>
      </c>
      <c r="AE310" s="39">
        <f ca="1">_xll.DBRW($C$1,$C$2,$C$3,$C$4,$C$6,$C$5,$C$7,AE$1,AE$2,$A310)</f>
        <v>0</v>
      </c>
      <c r="AF310" s="39">
        <f ca="1">_xll.DBRW($C$1,$C$2,$C$3,$C$4,$C$6,$C$5,$C$7,AF$1,AF$2,$A310)</f>
        <v>0</v>
      </c>
      <c r="AG310" s="39">
        <f ca="1">_xll.DBRW($C$1,$C$2,$C$3,$C$4,$C$6,$C$5,$C$7,AG$1,AG$2,$A310)</f>
        <v>0</v>
      </c>
      <c r="AH310" s="39">
        <f ca="1">_xll.DBRW($C$1,$C$2,$C$3,$C$4,$C$6,$C$5,$C$7,AH$1,AH$2,$A310)</f>
        <v>0</v>
      </c>
      <c r="AI310" s="39">
        <f ca="1">_xll.DBRW($C$1,$C$2,$C$3,$C$4,$C$6,$C$5,$C$7,AI$1,AI$2,$A310)</f>
        <v>0</v>
      </c>
      <c r="AJ310" s="39">
        <f ca="1">_xll.DBRW($C$1,$C$2,$C$3,$C$4,$C$6,$C$5,$C$7,AJ$1,AJ$2,$A310)</f>
        <v>0</v>
      </c>
      <c r="AK310" s="39">
        <f ca="1">_xll.DBRW($C$1,$C$2,$C$3,$C$4,$C$6,$C$5,$C$7,AK$1,AK$2,$A310)</f>
        <v>0</v>
      </c>
      <c r="AL310" s="39">
        <f ca="1">_xll.DBRW($C$1,$C$2,$C$3,$C$4,$C$6,$C$5,$C$7,AL$1,AL$2,$A310)</f>
        <v>0</v>
      </c>
      <c r="AM310" s="39">
        <f ca="1">_xll.DBRW($C$1,$C$2,$C$3,$C$4,$C$6,$C$5,$C$7,AM$1,AM$2,$A310)</f>
        <v>0</v>
      </c>
      <c r="AN310" s="39">
        <f ca="1">_xll.DBRW($C$1,$C$2,$C$3,$C$4,$C$6,$C$5,$C$7,AN$1,AN$2,$A310)</f>
        <v>0</v>
      </c>
      <c r="AO310" s="39">
        <f ca="1">_xll.DBRW($C$1,$C$2,$C$3,$C$4,$C$6,$C$5,$C$7,AO$1,AO$2,$A310)</f>
        <v>0</v>
      </c>
      <c r="AP310" s="39">
        <f ca="1">_xll.DBRW($C$1,$C$2,$C$3,$C$4,$C$6,$C$5,$C$7,AP$1,AP$2,$A310)</f>
        <v>0</v>
      </c>
      <c r="AQ310" s="39">
        <f ca="1">_xll.DBRW($C$1,$C$2,$C$3,$C$4,$C$6,$C$5,$C$7,AQ$1,AQ$2,$A310)</f>
        <v>0</v>
      </c>
      <c r="AR310" s="39">
        <f ca="1">_xll.DBRW($C$1,$C$2,$C$3,$C$4,$C$6,$C$5,$C$7,AR$1,AR$2,$A310)</f>
        <v>0</v>
      </c>
      <c r="AS310" s="39">
        <f ca="1">_xll.DBRW($C$1,$C$2,$C$3,$C$4,$C$6,$C$5,$C$7,AS$1,AS$2,$A310)</f>
        <v>0</v>
      </c>
      <c r="AT310" s="39">
        <f ca="1">_xll.DBRW($C$1,$C$2,$C$3,$C$4,$C$6,$C$5,$C$7,AT$1,AT$2,$A310)</f>
        <v>0</v>
      </c>
      <c r="AU310" s="39">
        <f ca="1">_xll.DBRW($C$1,$C$2,$C$3,$C$4,$C$6,$C$5,$C$7,AU$1,AU$2,$A310)</f>
        <v>0</v>
      </c>
      <c r="AV310" s="39">
        <f ca="1">_xll.DBRW($C$1,$C$2,$C$3,$C$4,$C$6,$C$5,$C$7,AV$1,AV$2,$A310)</f>
        <v>0</v>
      </c>
      <c r="AW310" s="39">
        <f ca="1">_xll.DBRW($C$1,$C$2,$C$3,$C$4,$C$6,$C$5,$C$7,AW$1,AW$2,$A310)</f>
        <v>0</v>
      </c>
      <c r="AX310" s="39">
        <f ca="1">_xll.DBRW($C$1,$C$2,$C$3,$C$4,$C$6,$C$5,$C$7,AX$1,AX$2,$A310)</f>
        <v>0</v>
      </c>
      <c r="AY310" s="39">
        <f ca="1">_xll.DBRW($C$1,$C$2,$C$3,$C$4,$C$6,$C$5,$C$7,AY$1,AY$2,$A310)</f>
        <v>0</v>
      </c>
    </row>
    <row r="311" spans="1:51" ht="15.5" hidden="1" outlineLevel="1">
      <c r="A311" s="75" t="s">
        <v>362</v>
      </c>
      <c r="B311" s="75"/>
      <c r="E311" s="9" t="str">
        <f ca="1">_xll.DBRW(Server&amp;"}ElementAttributes_Indicator",A311,"code_English")</f>
        <v>Tot_km_BRT - Total KM driven by BRT</v>
      </c>
      <c r="F311" s="39">
        <f ca="1">_xll.DBRW($C$1,$C$2,$C$3,$C$4,$C$6,$C$5,$C$7,F$1,F$2,$A311)</f>
        <v>0</v>
      </c>
      <c r="G311" s="39">
        <f ca="1">_xll.DBRW($C$1,$C$2,$C$3,$C$4,$C$6,$C$5,$C$7,G$1,G$2,$A311)</f>
        <v>0</v>
      </c>
      <c r="H311" s="39">
        <f ca="1">_xll.DBRW($C$1,$C$2,$C$3,$C$4,$C$6,$C$5,$C$7,H$1,H$2,$A311)</f>
        <v>0</v>
      </c>
      <c r="I311" s="39">
        <f ca="1">_xll.DBRW($C$1,$C$2,$C$3,$C$4,$C$6,$C$5,$C$7,I$1,I$2,$A311)</f>
        <v>0</v>
      </c>
      <c r="J311" s="39">
        <f ca="1">_xll.DBRW($C$1,$C$2,$C$3,$C$4,$C$6,$C$5,$C$7,J$1,J$2,$A311)</f>
        <v>0</v>
      </c>
      <c r="K311" s="39">
        <f ca="1">_xll.DBRW($C$1,$C$2,$C$3,$C$4,$C$6,$C$5,$C$7,K$1,K$2,$A311)</f>
        <v>0</v>
      </c>
      <c r="L311" s="39">
        <f ca="1">_xll.DBRW($C$1,$C$2,$C$3,$C$4,$C$6,$C$5,$C$7,L$1,L$2,$A311)</f>
        <v>0</v>
      </c>
      <c r="M311" s="39">
        <f ca="1">_xll.DBRW($C$1,$C$2,$C$3,$C$4,$C$6,$C$5,$C$7,M$1,M$2,$A311)</f>
        <v>0</v>
      </c>
      <c r="N311" s="39">
        <f ca="1">_xll.DBRW($C$1,$C$2,$C$3,$C$4,$C$6,$C$5,$C$7,N$1,N$2,$A311)</f>
        <v>0</v>
      </c>
      <c r="O311" s="39">
        <f ca="1">_xll.DBRW($C$1,$C$2,$C$3,$C$4,$C$6,$C$5,$C$7,O$1,O$2,$A311)</f>
        <v>0</v>
      </c>
      <c r="P311" s="39">
        <f ca="1">_xll.DBRW($C$1,$C$2,$C$3,$C$4,$C$6,$C$5,$C$7,P$1,P$2,$A311)</f>
        <v>0</v>
      </c>
      <c r="Q311" s="39">
        <f ca="1">_xll.DBRW($C$1,$C$2,$C$3,$C$4,$C$6,$C$5,$C$7,Q$1,Q$2,$A311)</f>
        <v>0</v>
      </c>
      <c r="R311" s="39">
        <f ca="1">_xll.DBRW($C$1,$C$2,$C$3,$C$4,$C$6,$C$5,$C$7,R$1,R$2,$A311)</f>
        <v>0</v>
      </c>
      <c r="S311" s="39">
        <f ca="1">_xll.DBRW($C$1,$C$2,$C$3,$C$4,$C$6,$C$5,$C$7,S$1,S$2,$A311)</f>
        <v>0</v>
      </c>
      <c r="T311" s="39">
        <f ca="1">_xll.DBRW($C$1,$C$2,$C$3,$C$4,$C$6,$C$5,$C$7,T$1,T$2,$A311)</f>
        <v>0</v>
      </c>
      <c r="U311" s="39">
        <f ca="1">_xll.DBRW($C$1,$C$2,$C$3,$C$4,$C$6,$C$5,$C$7,U$1,U$2,$A311)</f>
        <v>0</v>
      </c>
      <c r="V311" s="39">
        <f ca="1">_xll.DBRW($C$1,$C$2,$C$3,$C$4,$C$6,$C$5,$C$7,V$1,V$2,$A311)</f>
        <v>0</v>
      </c>
      <c r="W311" s="39">
        <f ca="1">_xll.DBRW($C$1,$C$2,$C$3,$C$4,$C$6,$C$5,$C$7,W$1,W$2,$A311)</f>
        <v>0</v>
      </c>
      <c r="X311" s="39">
        <f ca="1">_xll.DBRW($C$1,$C$2,$C$3,$C$4,$C$6,$C$5,$C$7,X$1,X$2,$A311)</f>
        <v>0</v>
      </c>
      <c r="Y311" s="39">
        <f ca="1">_xll.DBRW($C$1,$C$2,$C$3,$C$4,$C$6,$C$5,$C$7,Y$1,Y$2,$A311)</f>
        <v>0</v>
      </c>
      <c r="Z311" s="39">
        <f ca="1">_xll.DBRW($C$1,$C$2,$C$3,$C$4,$C$6,$C$5,$C$7,Z$1,Z$2,$A311)</f>
        <v>0</v>
      </c>
      <c r="AA311" s="39">
        <f ca="1">_xll.DBRW($C$1,$C$2,$C$3,$C$4,$C$6,$C$5,$C$7,AA$1,AA$2,$A311)</f>
        <v>0</v>
      </c>
      <c r="AB311" s="39">
        <f ca="1">_xll.DBRW($C$1,$C$2,$C$3,$C$4,$C$6,$C$5,$C$7,AB$1,AB$2,$A311)</f>
        <v>0</v>
      </c>
      <c r="AC311" s="39">
        <f ca="1">_xll.DBRW($C$1,$C$2,$C$3,$C$4,$C$6,$C$5,$C$7,AC$1,AC$2,$A311)</f>
        <v>0</v>
      </c>
      <c r="AD311" s="39">
        <f ca="1">_xll.DBRW($C$1,$C$2,$C$3,$C$4,$C$6,$C$5,$C$7,AD$1,AD$2,$A311)</f>
        <v>0</v>
      </c>
      <c r="AE311" s="39">
        <f ca="1">_xll.DBRW($C$1,$C$2,$C$3,$C$4,$C$6,$C$5,$C$7,AE$1,AE$2,$A311)</f>
        <v>0</v>
      </c>
      <c r="AF311" s="39">
        <f ca="1">_xll.DBRW($C$1,$C$2,$C$3,$C$4,$C$6,$C$5,$C$7,AF$1,AF$2,$A311)</f>
        <v>0</v>
      </c>
      <c r="AG311" s="39">
        <f ca="1">_xll.DBRW($C$1,$C$2,$C$3,$C$4,$C$6,$C$5,$C$7,AG$1,AG$2,$A311)</f>
        <v>0</v>
      </c>
      <c r="AH311" s="39">
        <f ca="1">_xll.DBRW($C$1,$C$2,$C$3,$C$4,$C$6,$C$5,$C$7,AH$1,AH$2,$A311)</f>
        <v>0</v>
      </c>
      <c r="AI311" s="39">
        <f ca="1">_xll.DBRW($C$1,$C$2,$C$3,$C$4,$C$6,$C$5,$C$7,AI$1,AI$2,$A311)</f>
        <v>0</v>
      </c>
      <c r="AJ311" s="39">
        <f ca="1">_xll.DBRW($C$1,$C$2,$C$3,$C$4,$C$6,$C$5,$C$7,AJ$1,AJ$2,$A311)</f>
        <v>0</v>
      </c>
      <c r="AK311" s="39">
        <f ca="1">_xll.DBRW($C$1,$C$2,$C$3,$C$4,$C$6,$C$5,$C$7,AK$1,AK$2,$A311)</f>
        <v>0</v>
      </c>
      <c r="AL311" s="39">
        <f ca="1">_xll.DBRW($C$1,$C$2,$C$3,$C$4,$C$6,$C$5,$C$7,AL$1,AL$2,$A311)</f>
        <v>0</v>
      </c>
      <c r="AM311" s="39">
        <f ca="1">_xll.DBRW($C$1,$C$2,$C$3,$C$4,$C$6,$C$5,$C$7,AM$1,AM$2,$A311)</f>
        <v>0</v>
      </c>
      <c r="AN311" s="39">
        <f ca="1">_xll.DBRW($C$1,$C$2,$C$3,$C$4,$C$6,$C$5,$C$7,AN$1,AN$2,$A311)</f>
        <v>0</v>
      </c>
      <c r="AO311" s="39">
        <f ca="1">_xll.DBRW($C$1,$C$2,$C$3,$C$4,$C$6,$C$5,$C$7,AO$1,AO$2,$A311)</f>
        <v>0</v>
      </c>
      <c r="AP311" s="39">
        <f ca="1">_xll.DBRW($C$1,$C$2,$C$3,$C$4,$C$6,$C$5,$C$7,AP$1,AP$2,$A311)</f>
        <v>0</v>
      </c>
      <c r="AQ311" s="39">
        <f ca="1">_xll.DBRW($C$1,$C$2,$C$3,$C$4,$C$6,$C$5,$C$7,AQ$1,AQ$2,$A311)</f>
        <v>0</v>
      </c>
      <c r="AR311" s="39">
        <f ca="1">_xll.DBRW($C$1,$C$2,$C$3,$C$4,$C$6,$C$5,$C$7,AR$1,AR$2,$A311)</f>
        <v>0</v>
      </c>
      <c r="AS311" s="39">
        <f ca="1">_xll.DBRW($C$1,$C$2,$C$3,$C$4,$C$6,$C$5,$C$7,AS$1,AS$2,$A311)</f>
        <v>0</v>
      </c>
      <c r="AT311" s="39">
        <f ca="1">_xll.DBRW($C$1,$C$2,$C$3,$C$4,$C$6,$C$5,$C$7,AT$1,AT$2,$A311)</f>
        <v>0</v>
      </c>
      <c r="AU311" s="39">
        <f ca="1">_xll.DBRW($C$1,$C$2,$C$3,$C$4,$C$6,$C$5,$C$7,AU$1,AU$2,$A311)</f>
        <v>0</v>
      </c>
      <c r="AV311" s="39">
        <f ca="1">_xll.DBRW($C$1,$C$2,$C$3,$C$4,$C$6,$C$5,$C$7,AV$1,AV$2,$A311)</f>
        <v>0</v>
      </c>
      <c r="AW311" s="39">
        <f ca="1">_xll.DBRW($C$1,$C$2,$C$3,$C$4,$C$6,$C$5,$C$7,AW$1,AW$2,$A311)</f>
        <v>0</v>
      </c>
      <c r="AX311" s="39">
        <f ca="1">_xll.DBRW($C$1,$C$2,$C$3,$C$4,$C$6,$C$5,$C$7,AX$1,AX$2,$A311)</f>
        <v>0</v>
      </c>
      <c r="AY311" s="39">
        <f ca="1">_xll.DBRW($C$1,$C$2,$C$3,$C$4,$C$6,$C$5,$C$7,AY$1,AY$2,$A311)</f>
        <v>0</v>
      </c>
    </row>
    <row r="312" spans="1:51" ht="15.5" hidden="1" outlineLevel="1">
      <c r="A312" s="75" t="s">
        <v>363</v>
      </c>
      <c r="B312" s="75"/>
      <c r="E312" s="9" t="str">
        <f ca="1">_xll.DBRW(Server&amp;"}ElementAttributes_Indicator",A312,"code_English")</f>
        <v>Tot_km_ferries - Total KM driven by ferries</v>
      </c>
      <c r="F312" s="39">
        <f ca="1">_xll.DBRW($C$1,$C$2,$C$3,$C$4,$C$6,$C$5,$C$7,F$1,F$2,$A312)</f>
        <v>0</v>
      </c>
      <c r="G312" s="39">
        <f ca="1">_xll.DBRW($C$1,$C$2,$C$3,$C$4,$C$6,$C$5,$C$7,G$1,G$2,$A312)</f>
        <v>0</v>
      </c>
      <c r="H312" s="39">
        <f ca="1">_xll.DBRW($C$1,$C$2,$C$3,$C$4,$C$6,$C$5,$C$7,H$1,H$2,$A312)</f>
        <v>0</v>
      </c>
      <c r="I312" s="39">
        <f ca="1">_xll.DBRW($C$1,$C$2,$C$3,$C$4,$C$6,$C$5,$C$7,I$1,I$2,$A312)</f>
        <v>0</v>
      </c>
      <c r="J312" s="39">
        <f ca="1">_xll.DBRW($C$1,$C$2,$C$3,$C$4,$C$6,$C$5,$C$7,J$1,J$2,$A312)</f>
        <v>0</v>
      </c>
      <c r="K312" s="39">
        <f ca="1">_xll.DBRW($C$1,$C$2,$C$3,$C$4,$C$6,$C$5,$C$7,K$1,K$2,$A312)</f>
        <v>0</v>
      </c>
      <c r="L312" s="39">
        <f ca="1">_xll.DBRW($C$1,$C$2,$C$3,$C$4,$C$6,$C$5,$C$7,L$1,L$2,$A312)</f>
        <v>0</v>
      </c>
      <c r="M312" s="39">
        <f ca="1">_xll.DBRW($C$1,$C$2,$C$3,$C$4,$C$6,$C$5,$C$7,M$1,M$2,$A312)</f>
        <v>0</v>
      </c>
      <c r="N312" s="39">
        <f ca="1">_xll.DBRW($C$1,$C$2,$C$3,$C$4,$C$6,$C$5,$C$7,N$1,N$2,$A312)</f>
        <v>0</v>
      </c>
      <c r="O312" s="39">
        <f ca="1">_xll.DBRW($C$1,$C$2,$C$3,$C$4,$C$6,$C$5,$C$7,O$1,O$2,$A312)</f>
        <v>0</v>
      </c>
      <c r="P312" s="39">
        <f ca="1">_xll.DBRW($C$1,$C$2,$C$3,$C$4,$C$6,$C$5,$C$7,P$1,P$2,$A312)</f>
        <v>0</v>
      </c>
      <c r="Q312" s="39">
        <f ca="1">_xll.DBRW($C$1,$C$2,$C$3,$C$4,$C$6,$C$5,$C$7,Q$1,Q$2,$A312)</f>
        <v>0</v>
      </c>
      <c r="R312" s="39">
        <f ca="1">_xll.DBRW($C$1,$C$2,$C$3,$C$4,$C$6,$C$5,$C$7,R$1,R$2,$A312)</f>
        <v>0</v>
      </c>
      <c r="S312" s="39">
        <f ca="1">_xll.DBRW($C$1,$C$2,$C$3,$C$4,$C$6,$C$5,$C$7,S$1,S$2,$A312)</f>
        <v>0</v>
      </c>
      <c r="T312" s="39">
        <f ca="1">_xll.DBRW($C$1,$C$2,$C$3,$C$4,$C$6,$C$5,$C$7,T$1,T$2,$A312)</f>
        <v>0</v>
      </c>
      <c r="U312" s="39">
        <f ca="1">_xll.DBRW($C$1,$C$2,$C$3,$C$4,$C$6,$C$5,$C$7,U$1,U$2,$A312)</f>
        <v>0</v>
      </c>
      <c r="V312" s="39">
        <f ca="1">_xll.DBRW($C$1,$C$2,$C$3,$C$4,$C$6,$C$5,$C$7,V$1,V$2,$A312)</f>
        <v>0</v>
      </c>
      <c r="W312" s="39">
        <f ca="1">_xll.DBRW($C$1,$C$2,$C$3,$C$4,$C$6,$C$5,$C$7,W$1,W$2,$A312)</f>
        <v>0</v>
      </c>
      <c r="X312" s="39">
        <f ca="1">_xll.DBRW($C$1,$C$2,$C$3,$C$4,$C$6,$C$5,$C$7,X$1,X$2,$A312)</f>
        <v>0</v>
      </c>
      <c r="Y312" s="39">
        <f ca="1">_xll.DBRW($C$1,$C$2,$C$3,$C$4,$C$6,$C$5,$C$7,Y$1,Y$2,$A312)</f>
        <v>0</v>
      </c>
      <c r="Z312" s="39">
        <f ca="1">_xll.DBRW($C$1,$C$2,$C$3,$C$4,$C$6,$C$5,$C$7,Z$1,Z$2,$A312)</f>
        <v>0</v>
      </c>
      <c r="AA312" s="39">
        <f ca="1">_xll.DBRW($C$1,$C$2,$C$3,$C$4,$C$6,$C$5,$C$7,AA$1,AA$2,$A312)</f>
        <v>0</v>
      </c>
      <c r="AB312" s="39">
        <f ca="1">_xll.DBRW($C$1,$C$2,$C$3,$C$4,$C$6,$C$5,$C$7,AB$1,AB$2,$A312)</f>
        <v>0</v>
      </c>
      <c r="AC312" s="39">
        <f ca="1">_xll.DBRW($C$1,$C$2,$C$3,$C$4,$C$6,$C$5,$C$7,AC$1,AC$2,$A312)</f>
        <v>0</v>
      </c>
      <c r="AD312" s="39">
        <f ca="1">_xll.DBRW($C$1,$C$2,$C$3,$C$4,$C$6,$C$5,$C$7,AD$1,AD$2,$A312)</f>
        <v>0</v>
      </c>
      <c r="AE312" s="39">
        <f ca="1">_xll.DBRW($C$1,$C$2,$C$3,$C$4,$C$6,$C$5,$C$7,AE$1,AE$2,$A312)</f>
        <v>0</v>
      </c>
      <c r="AF312" s="39">
        <f ca="1">_xll.DBRW($C$1,$C$2,$C$3,$C$4,$C$6,$C$5,$C$7,AF$1,AF$2,$A312)</f>
        <v>0</v>
      </c>
      <c r="AG312" s="39">
        <f ca="1">_xll.DBRW($C$1,$C$2,$C$3,$C$4,$C$6,$C$5,$C$7,AG$1,AG$2,$A312)</f>
        <v>0</v>
      </c>
      <c r="AH312" s="39">
        <f ca="1">_xll.DBRW($C$1,$C$2,$C$3,$C$4,$C$6,$C$5,$C$7,AH$1,AH$2,$A312)</f>
        <v>0</v>
      </c>
      <c r="AI312" s="39">
        <f ca="1">_xll.DBRW($C$1,$C$2,$C$3,$C$4,$C$6,$C$5,$C$7,AI$1,AI$2,$A312)</f>
        <v>0</v>
      </c>
      <c r="AJ312" s="39">
        <f ca="1">_xll.DBRW($C$1,$C$2,$C$3,$C$4,$C$6,$C$5,$C$7,AJ$1,AJ$2,$A312)</f>
        <v>0</v>
      </c>
      <c r="AK312" s="39">
        <f ca="1">_xll.DBRW($C$1,$C$2,$C$3,$C$4,$C$6,$C$5,$C$7,AK$1,AK$2,$A312)</f>
        <v>0</v>
      </c>
      <c r="AL312" s="39">
        <f ca="1">_xll.DBRW($C$1,$C$2,$C$3,$C$4,$C$6,$C$5,$C$7,AL$1,AL$2,$A312)</f>
        <v>0</v>
      </c>
      <c r="AM312" s="39">
        <f ca="1">_xll.DBRW($C$1,$C$2,$C$3,$C$4,$C$6,$C$5,$C$7,AM$1,AM$2,$A312)</f>
        <v>0</v>
      </c>
      <c r="AN312" s="39">
        <f ca="1">_xll.DBRW($C$1,$C$2,$C$3,$C$4,$C$6,$C$5,$C$7,AN$1,AN$2,$A312)</f>
        <v>0</v>
      </c>
      <c r="AO312" s="39">
        <f ca="1">_xll.DBRW($C$1,$C$2,$C$3,$C$4,$C$6,$C$5,$C$7,AO$1,AO$2,$A312)</f>
        <v>0</v>
      </c>
      <c r="AP312" s="39">
        <f ca="1">_xll.DBRW($C$1,$C$2,$C$3,$C$4,$C$6,$C$5,$C$7,AP$1,AP$2,$A312)</f>
        <v>0</v>
      </c>
      <c r="AQ312" s="39">
        <f ca="1">_xll.DBRW($C$1,$C$2,$C$3,$C$4,$C$6,$C$5,$C$7,AQ$1,AQ$2,$A312)</f>
        <v>0</v>
      </c>
      <c r="AR312" s="39">
        <f ca="1">_xll.DBRW($C$1,$C$2,$C$3,$C$4,$C$6,$C$5,$C$7,AR$1,AR$2,$A312)</f>
        <v>0</v>
      </c>
      <c r="AS312" s="39">
        <f ca="1">_xll.DBRW($C$1,$C$2,$C$3,$C$4,$C$6,$C$5,$C$7,AS$1,AS$2,$A312)</f>
        <v>0</v>
      </c>
      <c r="AT312" s="39">
        <f ca="1">_xll.DBRW($C$1,$C$2,$C$3,$C$4,$C$6,$C$5,$C$7,AT$1,AT$2,$A312)</f>
        <v>0</v>
      </c>
      <c r="AU312" s="39">
        <f ca="1">_xll.DBRW($C$1,$C$2,$C$3,$C$4,$C$6,$C$5,$C$7,AU$1,AU$2,$A312)</f>
        <v>0</v>
      </c>
      <c r="AV312" s="39">
        <f ca="1">_xll.DBRW($C$1,$C$2,$C$3,$C$4,$C$6,$C$5,$C$7,AV$1,AV$2,$A312)</f>
        <v>0</v>
      </c>
      <c r="AW312" s="39">
        <f ca="1">_xll.DBRW($C$1,$C$2,$C$3,$C$4,$C$6,$C$5,$C$7,AW$1,AW$2,$A312)</f>
        <v>0</v>
      </c>
      <c r="AX312" s="39">
        <f ca="1">_xll.DBRW($C$1,$C$2,$C$3,$C$4,$C$6,$C$5,$C$7,AX$1,AX$2,$A312)</f>
        <v>0</v>
      </c>
      <c r="AY312" s="39">
        <f ca="1">_xll.DBRW($C$1,$C$2,$C$3,$C$4,$C$6,$C$5,$C$7,AY$1,AY$2,$A312)</f>
        <v>0</v>
      </c>
    </row>
    <row r="313" spans="1:51" ht="15.5" hidden="1" outlineLevel="1">
      <c r="A313" s="1" t="s">
        <v>83</v>
      </c>
      <c r="E313" s="9" t="str">
        <f ca="1">_xll.DBRW(Server&amp;"}ElementAttributes_Indicator",A313,"code_English")</f>
        <v>Tot_km_fuel - Total KM driven by fuel</v>
      </c>
      <c r="F313" s="39">
        <f ca="1">_xll.DBRW($C$1,$C$2,$C$3,$C$4,$C$6,$C$5,$C$7,F$1,F$2,$A313)</f>
        <v>0</v>
      </c>
      <c r="G313" s="39">
        <f ca="1">_xll.DBRW($C$1,$C$2,$C$3,$C$4,$C$6,$C$5,$C$7,G$1,G$2,$A313)</f>
        <v>0</v>
      </c>
      <c r="H313" s="39">
        <f ca="1">_xll.DBRW($C$1,$C$2,$C$3,$C$4,$C$6,$C$5,$C$7,H$1,H$2,$A313)</f>
        <v>0</v>
      </c>
      <c r="I313" s="39">
        <f ca="1">_xll.DBRW($C$1,$C$2,$C$3,$C$4,$C$6,$C$5,$C$7,I$1,I$2,$A313)</f>
        <v>0</v>
      </c>
      <c r="J313" s="39">
        <f ca="1">_xll.DBRW($C$1,$C$2,$C$3,$C$4,$C$6,$C$5,$C$7,J$1,J$2,$A313)</f>
        <v>0</v>
      </c>
      <c r="K313" s="39">
        <f ca="1">_xll.DBRW($C$1,$C$2,$C$3,$C$4,$C$6,$C$5,$C$7,K$1,K$2,$A313)</f>
        <v>0</v>
      </c>
      <c r="L313" s="39">
        <f ca="1">_xll.DBRW($C$1,$C$2,$C$3,$C$4,$C$6,$C$5,$C$7,L$1,L$2,$A313)</f>
        <v>0</v>
      </c>
      <c r="M313" s="39">
        <f ca="1">_xll.DBRW($C$1,$C$2,$C$3,$C$4,$C$6,$C$5,$C$7,M$1,M$2,$A313)</f>
        <v>0</v>
      </c>
      <c r="N313" s="39">
        <f ca="1">_xll.DBRW($C$1,$C$2,$C$3,$C$4,$C$6,$C$5,$C$7,N$1,N$2,$A313)</f>
        <v>0</v>
      </c>
      <c r="O313" s="39">
        <f ca="1">_xll.DBRW($C$1,$C$2,$C$3,$C$4,$C$6,$C$5,$C$7,O$1,O$2,$A313)</f>
        <v>0</v>
      </c>
      <c r="P313" s="39">
        <f ca="1">_xll.DBRW($C$1,$C$2,$C$3,$C$4,$C$6,$C$5,$C$7,P$1,P$2,$A313)</f>
        <v>0</v>
      </c>
      <c r="Q313" s="39">
        <f ca="1">_xll.DBRW($C$1,$C$2,$C$3,$C$4,$C$6,$C$5,$C$7,Q$1,Q$2,$A313)</f>
        <v>0</v>
      </c>
      <c r="R313" s="39">
        <f ca="1">_xll.DBRW($C$1,$C$2,$C$3,$C$4,$C$6,$C$5,$C$7,R$1,R$2,$A313)</f>
        <v>0</v>
      </c>
      <c r="S313" s="39">
        <f ca="1">_xll.DBRW($C$1,$C$2,$C$3,$C$4,$C$6,$C$5,$C$7,S$1,S$2,$A313)</f>
        <v>0</v>
      </c>
      <c r="T313" s="39">
        <f ca="1">_xll.DBRW($C$1,$C$2,$C$3,$C$4,$C$6,$C$5,$C$7,T$1,T$2,$A313)</f>
        <v>0</v>
      </c>
      <c r="U313" s="39">
        <f ca="1">_xll.DBRW($C$1,$C$2,$C$3,$C$4,$C$6,$C$5,$C$7,U$1,U$2,$A313)</f>
        <v>0</v>
      </c>
      <c r="V313" s="39">
        <f ca="1">_xll.DBRW($C$1,$C$2,$C$3,$C$4,$C$6,$C$5,$C$7,V$1,V$2,$A313)</f>
        <v>0</v>
      </c>
      <c r="W313" s="39">
        <f ca="1">_xll.DBRW($C$1,$C$2,$C$3,$C$4,$C$6,$C$5,$C$7,W$1,W$2,$A313)</f>
        <v>0</v>
      </c>
      <c r="X313" s="39">
        <f ca="1">_xll.DBRW($C$1,$C$2,$C$3,$C$4,$C$6,$C$5,$C$7,X$1,X$2,$A313)</f>
        <v>0</v>
      </c>
      <c r="Y313" s="39">
        <f ca="1">_xll.DBRW($C$1,$C$2,$C$3,$C$4,$C$6,$C$5,$C$7,Y$1,Y$2,$A313)</f>
        <v>0</v>
      </c>
      <c r="Z313" s="39">
        <f ca="1">_xll.DBRW($C$1,$C$2,$C$3,$C$4,$C$6,$C$5,$C$7,Z$1,Z$2,$A313)</f>
        <v>0</v>
      </c>
      <c r="AA313" s="39">
        <f ca="1">_xll.DBRW($C$1,$C$2,$C$3,$C$4,$C$6,$C$5,$C$7,AA$1,AA$2,$A313)</f>
        <v>0</v>
      </c>
      <c r="AB313" s="39">
        <f ca="1">_xll.DBRW($C$1,$C$2,$C$3,$C$4,$C$6,$C$5,$C$7,AB$1,AB$2,$A313)</f>
        <v>0</v>
      </c>
      <c r="AC313" s="39">
        <f ca="1">_xll.DBRW($C$1,$C$2,$C$3,$C$4,$C$6,$C$5,$C$7,AC$1,AC$2,$A313)</f>
        <v>0</v>
      </c>
      <c r="AD313" s="39">
        <f ca="1">_xll.DBRW($C$1,$C$2,$C$3,$C$4,$C$6,$C$5,$C$7,AD$1,AD$2,$A313)</f>
        <v>0</v>
      </c>
      <c r="AE313" s="39">
        <f ca="1">_xll.DBRW($C$1,$C$2,$C$3,$C$4,$C$6,$C$5,$C$7,AE$1,AE$2,$A313)</f>
        <v>0</v>
      </c>
      <c r="AF313" s="39">
        <f ca="1">_xll.DBRW($C$1,$C$2,$C$3,$C$4,$C$6,$C$5,$C$7,AF$1,AF$2,$A313)</f>
        <v>0</v>
      </c>
      <c r="AG313" s="39">
        <f ca="1">_xll.DBRW($C$1,$C$2,$C$3,$C$4,$C$6,$C$5,$C$7,AG$1,AG$2,$A313)</f>
        <v>0</v>
      </c>
      <c r="AH313" s="39">
        <f ca="1">_xll.DBRW($C$1,$C$2,$C$3,$C$4,$C$6,$C$5,$C$7,AH$1,AH$2,$A313)</f>
        <v>0</v>
      </c>
      <c r="AI313" s="39">
        <f ca="1">_xll.DBRW($C$1,$C$2,$C$3,$C$4,$C$6,$C$5,$C$7,AI$1,AI$2,$A313)</f>
        <v>0</v>
      </c>
      <c r="AJ313" s="39">
        <f ca="1">_xll.DBRW($C$1,$C$2,$C$3,$C$4,$C$6,$C$5,$C$7,AJ$1,AJ$2,$A313)</f>
        <v>0</v>
      </c>
      <c r="AK313" s="39">
        <f ca="1">_xll.DBRW($C$1,$C$2,$C$3,$C$4,$C$6,$C$5,$C$7,AK$1,AK$2,$A313)</f>
        <v>0</v>
      </c>
      <c r="AL313" s="39">
        <f ca="1">_xll.DBRW($C$1,$C$2,$C$3,$C$4,$C$6,$C$5,$C$7,AL$1,AL$2,$A313)</f>
        <v>0</v>
      </c>
      <c r="AM313" s="39">
        <f ca="1">_xll.DBRW($C$1,$C$2,$C$3,$C$4,$C$6,$C$5,$C$7,AM$1,AM$2,$A313)</f>
        <v>0</v>
      </c>
      <c r="AN313" s="39">
        <f ca="1">_xll.DBRW($C$1,$C$2,$C$3,$C$4,$C$6,$C$5,$C$7,AN$1,AN$2,$A313)</f>
        <v>0</v>
      </c>
      <c r="AO313" s="39">
        <f ca="1">_xll.DBRW($C$1,$C$2,$C$3,$C$4,$C$6,$C$5,$C$7,AO$1,AO$2,$A313)</f>
        <v>0</v>
      </c>
      <c r="AP313" s="39">
        <f ca="1">_xll.DBRW($C$1,$C$2,$C$3,$C$4,$C$6,$C$5,$C$7,AP$1,AP$2,$A313)</f>
        <v>0</v>
      </c>
      <c r="AQ313" s="39">
        <f ca="1">_xll.DBRW($C$1,$C$2,$C$3,$C$4,$C$6,$C$5,$C$7,AQ$1,AQ$2,$A313)</f>
        <v>0</v>
      </c>
      <c r="AR313" s="39">
        <f ca="1">_xll.DBRW($C$1,$C$2,$C$3,$C$4,$C$6,$C$5,$C$7,AR$1,AR$2,$A313)</f>
        <v>0</v>
      </c>
      <c r="AS313" s="39">
        <f ca="1">_xll.DBRW($C$1,$C$2,$C$3,$C$4,$C$6,$C$5,$C$7,AS$1,AS$2,$A313)</f>
        <v>0</v>
      </c>
      <c r="AT313" s="39">
        <f ca="1">_xll.DBRW($C$1,$C$2,$C$3,$C$4,$C$6,$C$5,$C$7,AT$1,AT$2,$A313)</f>
        <v>0</v>
      </c>
      <c r="AU313" s="39">
        <f ca="1">_xll.DBRW($C$1,$C$2,$C$3,$C$4,$C$6,$C$5,$C$7,AU$1,AU$2,$A313)</f>
        <v>0</v>
      </c>
      <c r="AV313" s="39">
        <f ca="1">_xll.DBRW($C$1,$C$2,$C$3,$C$4,$C$6,$C$5,$C$7,AV$1,AV$2,$A313)</f>
        <v>0</v>
      </c>
      <c r="AW313" s="39">
        <f ca="1">_xll.DBRW($C$1,$C$2,$C$3,$C$4,$C$6,$C$5,$C$7,AW$1,AW$2,$A313)</f>
        <v>0</v>
      </c>
      <c r="AX313" s="39">
        <f ca="1">_xll.DBRW($C$1,$C$2,$C$3,$C$4,$C$6,$C$5,$C$7,AX$1,AX$2,$A313)</f>
        <v>0</v>
      </c>
      <c r="AY313" s="39">
        <f ca="1">_xll.DBRW($C$1,$C$2,$C$3,$C$4,$C$6,$C$5,$C$7,AY$1,AY$2,$A313)</f>
        <v>0</v>
      </c>
    </row>
    <row r="314" spans="1:51" ht="15.5" hidden="1" outlineLevel="1">
      <c r="A314" s="1" t="s">
        <v>84</v>
      </c>
      <c r="E314" s="9" t="str">
        <f ca="1">_xll.DBRW(Server&amp;"}ElementAttributes_Indicator",A314,"code_English")</f>
        <v>Tot_km_biofuel - Total KM driven by biofuel</v>
      </c>
      <c r="F314" s="39">
        <f ca="1">_xll.DBRW($C$1,$C$2,$C$3,$C$4,$C$6,$C$5,$C$7,F$1,F$2,$A314)</f>
        <v>0</v>
      </c>
      <c r="G314" s="39">
        <f ca="1">_xll.DBRW($C$1,$C$2,$C$3,$C$4,$C$6,$C$5,$C$7,G$1,G$2,$A314)</f>
        <v>0</v>
      </c>
      <c r="H314" s="39">
        <f ca="1">_xll.DBRW($C$1,$C$2,$C$3,$C$4,$C$6,$C$5,$C$7,H$1,H$2,$A314)</f>
        <v>0</v>
      </c>
      <c r="I314" s="39">
        <f ca="1">_xll.DBRW($C$1,$C$2,$C$3,$C$4,$C$6,$C$5,$C$7,I$1,I$2,$A314)</f>
        <v>0</v>
      </c>
      <c r="J314" s="39">
        <f ca="1">_xll.DBRW($C$1,$C$2,$C$3,$C$4,$C$6,$C$5,$C$7,J$1,J$2,$A314)</f>
        <v>0</v>
      </c>
      <c r="K314" s="39">
        <f ca="1">_xll.DBRW($C$1,$C$2,$C$3,$C$4,$C$6,$C$5,$C$7,K$1,K$2,$A314)</f>
        <v>0</v>
      </c>
      <c r="L314" s="39">
        <f ca="1">_xll.DBRW($C$1,$C$2,$C$3,$C$4,$C$6,$C$5,$C$7,L$1,L$2,$A314)</f>
        <v>0</v>
      </c>
      <c r="M314" s="39">
        <f ca="1">_xll.DBRW($C$1,$C$2,$C$3,$C$4,$C$6,$C$5,$C$7,M$1,M$2,$A314)</f>
        <v>0</v>
      </c>
      <c r="N314" s="39">
        <f ca="1">_xll.DBRW($C$1,$C$2,$C$3,$C$4,$C$6,$C$5,$C$7,N$1,N$2,$A314)</f>
        <v>0</v>
      </c>
      <c r="O314" s="39">
        <f ca="1">_xll.DBRW($C$1,$C$2,$C$3,$C$4,$C$6,$C$5,$C$7,O$1,O$2,$A314)</f>
        <v>0</v>
      </c>
      <c r="P314" s="39">
        <f ca="1">_xll.DBRW($C$1,$C$2,$C$3,$C$4,$C$6,$C$5,$C$7,P$1,P$2,$A314)</f>
        <v>0</v>
      </c>
      <c r="Q314" s="39">
        <f ca="1">_xll.DBRW($C$1,$C$2,$C$3,$C$4,$C$6,$C$5,$C$7,Q$1,Q$2,$A314)</f>
        <v>0</v>
      </c>
      <c r="R314" s="39">
        <f ca="1">_xll.DBRW($C$1,$C$2,$C$3,$C$4,$C$6,$C$5,$C$7,R$1,R$2,$A314)</f>
        <v>0</v>
      </c>
      <c r="S314" s="39">
        <f ca="1">_xll.DBRW($C$1,$C$2,$C$3,$C$4,$C$6,$C$5,$C$7,S$1,S$2,$A314)</f>
        <v>0</v>
      </c>
      <c r="T314" s="39">
        <f ca="1">_xll.DBRW($C$1,$C$2,$C$3,$C$4,$C$6,$C$5,$C$7,T$1,T$2,$A314)</f>
        <v>0</v>
      </c>
      <c r="U314" s="39">
        <f ca="1">_xll.DBRW($C$1,$C$2,$C$3,$C$4,$C$6,$C$5,$C$7,U$1,U$2,$A314)</f>
        <v>0</v>
      </c>
      <c r="V314" s="39">
        <f ca="1">_xll.DBRW($C$1,$C$2,$C$3,$C$4,$C$6,$C$5,$C$7,V$1,V$2,$A314)</f>
        <v>0</v>
      </c>
      <c r="W314" s="39">
        <f ca="1">_xll.DBRW($C$1,$C$2,$C$3,$C$4,$C$6,$C$5,$C$7,W$1,W$2,$A314)</f>
        <v>0</v>
      </c>
      <c r="X314" s="39">
        <f ca="1">_xll.DBRW($C$1,$C$2,$C$3,$C$4,$C$6,$C$5,$C$7,X$1,X$2,$A314)</f>
        <v>0</v>
      </c>
      <c r="Y314" s="39">
        <f ca="1">_xll.DBRW($C$1,$C$2,$C$3,$C$4,$C$6,$C$5,$C$7,Y$1,Y$2,$A314)</f>
        <v>0</v>
      </c>
      <c r="Z314" s="39">
        <f ca="1">_xll.DBRW($C$1,$C$2,$C$3,$C$4,$C$6,$C$5,$C$7,Z$1,Z$2,$A314)</f>
        <v>0</v>
      </c>
      <c r="AA314" s="39">
        <f ca="1">_xll.DBRW($C$1,$C$2,$C$3,$C$4,$C$6,$C$5,$C$7,AA$1,AA$2,$A314)</f>
        <v>0</v>
      </c>
      <c r="AB314" s="39">
        <f ca="1">_xll.DBRW($C$1,$C$2,$C$3,$C$4,$C$6,$C$5,$C$7,AB$1,AB$2,$A314)</f>
        <v>0</v>
      </c>
      <c r="AC314" s="39">
        <f ca="1">_xll.DBRW($C$1,$C$2,$C$3,$C$4,$C$6,$C$5,$C$7,AC$1,AC$2,$A314)</f>
        <v>0</v>
      </c>
      <c r="AD314" s="39">
        <f ca="1">_xll.DBRW($C$1,$C$2,$C$3,$C$4,$C$6,$C$5,$C$7,AD$1,AD$2,$A314)</f>
        <v>0</v>
      </c>
      <c r="AE314" s="39">
        <f ca="1">_xll.DBRW($C$1,$C$2,$C$3,$C$4,$C$6,$C$5,$C$7,AE$1,AE$2,$A314)</f>
        <v>0</v>
      </c>
      <c r="AF314" s="39">
        <f ca="1">_xll.DBRW($C$1,$C$2,$C$3,$C$4,$C$6,$C$5,$C$7,AF$1,AF$2,$A314)</f>
        <v>0</v>
      </c>
      <c r="AG314" s="39">
        <f ca="1">_xll.DBRW($C$1,$C$2,$C$3,$C$4,$C$6,$C$5,$C$7,AG$1,AG$2,$A314)</f>
        <v>0</v>
      </c>
      <c r="AH314" s="39">
        <f ca="1">_xll.DBRW($C$1,$C$2,$C$3,$C$4,$C$6,$C$5,$C$7,AH$1,AH$2,$A314)</f>
        <v>0</v>
      </c>
      <c r="AI314" s="39">
        <f ca="1">_xll.DBRW($C$1,$C$2,$C$3,$C$4,$C$6,$C$5,$C$7,AI$1,AI$2,$A314)</f>
        <v>0</v>
      </c>
      <c r="AJ314" s="39">
        <f ca="1">_xll.DBRW($C$1,$C$2,$C$3,$C$4,$C$6,$C$5,$C$7,AJ$1,AJ$2,$A314)</f>
        <v>0</v>
      </c>
      <c r="AK314" s="39">
        <f ca="1">_xll.DBRW($C$1,$C$2,$C$3,$C$4,$C$6,$C$5,$C$7,AK$1,AK$2,$A314)</f>
        <v>0</v>
      </c>
      <c r="AL314" s="39">
        <f ca="1">_xll.DBRW($C$1,$C$2,$C$3,$C$4,$C$6,$C$5,$C$7,AL$1,AL$2,$A314)</f>
        <v>0</v>
      </c>
      <c r="AM314" s="39">
        <f ca="1">_xll.DBRW($C$1,$C$2,$C$3,$C$4,$C$6,$C$5,$C$7,AM$1,AM$2,$A314)</f>
        <v>0</v>
      </c>
      <c r="AN314" s="39">
        <f ca="1">_xll.DBRW($C$1,$C$2,$C$3,$C$4,$C$6,$C$5,$C$7,AN$1,AN$2,$A314)</f>
        <v>0</v>
      </c>
      <c r="AO314" s="39">
        <f ca="1">_xll.DBRW($C$1,$C$2,$C$3,$C$4,$C$6,$C$5,$C$7,AO$1,AO$2,$A314)</f>
        <v>0</v>
      </c>
      <c r="AP314" s="39">
        <f ca="1">_xll.DBRW($C$1,$C$2,$C$3,$C$4,$C$6,$C$5,$C$7,AP$1,AP$2,$A314)</f>
        <v>0</v>
      </c>
      <c r="AQ314" s="39">
        <f ca="1">_xll.DBRW($C$1,$C$2,$C$3,$C$4,$C$6,$C$5,$C$7,AQ$1,AQ$2,$A314)</f>
        <v>0</v>
      </c>
      <c r="AR314" s="39">
        <f ca="1">_xll.DBRW($C$1,$C$2,$C$3,$C$4,$C$6,$C$5,$C$7,AR$1,AR$2,$A314)</f>
        <v>0</v>
      </c>
      <c r="AS314" s="39">
        <f ca="1">_xll.DBRW($C$1,$C$2,$C$3,$C$4,$C$6,$C$5,$C$7,AS$1,AS$2,$A314)</f>
        <v>0</v>
      </c>
      <c r="AT314" s="39">
        <f ca="1">_xll.DBRW($C$1,$C$2,$C$3,$C$4,$C$6,$C$5,$C$7,AT$1,AT$2,$A314)</f>
        <v>0</v>
      </c>
      <c r="AU314" s="39">
        <f ca="1">_xll.DBRW($C$1,$C$2,$C$3,$C$4,$C$6,$C$5,$C$7,AU$1,AU$2,$A314)</f>
        <v>0</v>
      </c>
      <c r="AV314" s="39">
        <f ca="1">_xll.DBRW($C$1,$C$2,$C$3,$C$4,$C$6,$C$5,$C$7,AV$1,AV$2,$A314)</f>
        <v>0</v>
      </c>
      <c r="AW314" s="39">
        <f ca="1">_xll.DBRW($C$1,$C$2,$C$3,$C$4,$C$6,$C$5,$C$7,AW$1,AW$2,$A314)</f>
        <v>0</v>
      </c>
      <c r="AX314" s="39">
        <f ca="1">_xll.DBRW($C$1,$C$2,$C$3,$C$4,$C$6,$C$5,$C$7,AX$1,AX$2,$A314)</f>
        <v>0</v>
      </c>
      <c r="AY314" s="39">
        <f ca="1">_xll.DBRW($C$1,$C$2,$C$3,$C$4,$C$6,$C$5,$C$7,AY$1,AY$2,$A314)</f>
        <v>0</v>
      </c>
    </row>
    <row r="315" spans="1:51" ht="15.5" hidden="1" outlineLevel="1">
      <c r="A315" s="1" t="s">
        <v>85</v>
      </c>
      <c r="E315" s="9" t="str">
        <f ca="1">_xll.DBRW(Server&amp;"}ElementAttributes_Indicator",A315,"code_English")</f>
        <v>Tot_km_elec - Total KM driven by electricity</v>
      </c>
      <c r="F315" s="39">
        <f ca="1">_xll.DBRW($C$1,$C$2,$C$3,$C$4,$C$6,$C$5,$C$7,F$1,F$2,$A315)</f>
        <v>0</v>
      </c>
      <c r="G315" s="39">
        <f ca="1">_xll.DBRW($C$1,$C$2,$C$3,$C$4,$C$6,$C$5,$C$7,G$1,G$2,$A315)</f>
        <v>0</v>
      </c>
      <c r="H315" s="39">
        <f ca="1">_xll.DBRW($C$1,$C$2,$C$3,$C$4,$C$6,$C$5,$C$7,H$1,H$2,$A315)</f>
        <v>0</v>
      </c>
      <c r="I315" s="39">
        <f ca="1">_xll.DBRW($C$1,$C$2,$C$3,$C$4,$C$6,$C$5,$C$7,I$1,I$2,$A315)</f>
        <v>0</v>
      </c>
      <c r="J315" s="39">
        <f ca="1">_xll.DBRW($C$1,$C$2,$C$3,$C$4,$C$6,$C$5,$C$7,J$1,J$2,$A315)</f>
        <v>0</v>
      </c>
      <c r="K315" s="39">
        <f ca="1">_xll.DBRW($C$1,$C$2,$C$3,$C$4,$C$6,$C$5,$C$7,K$1,K$2,$A315)</f>
        <v>0</v>
      </c>
      <c r="L315" s="39">
        <f ca="1">_xll.DBRW($C$1,$C$2,$C$3,$C$4,$C$6,$C$5,$C$7,L$1,L$2,$A315)</f>
        <v>0</v>
      </c>
      <c r="M315" s="39">
        <f ca="1">_xll.DBRW($C$1,$C$2,$C$3,$C$4,$C$6,$C$5,$C$7,M$1,M$2,$A315)</f>
        <v>0</v>
      </c>
      <c r="N315" s="39">
        <f ca="1">_xll.DBRW($C$1,$C$2,$C$3,$C$4,$C$6,$C$5,$C$7,N$1,N$2,$A315)</f>
        <v>0</v>
      </c>
      <c r="O315" s="39">
        <f ca="1">_xll.DBRW($C$1,$C$2,$C$3,$C$4,$C$6,$C$5,$C$7,O$1,O$2,$A315)</f>
        <v>0</v>
      </c>
      <c r="P315" s="39">
        <f ca="1">_xll.DBRW($C$1,$C$2,$C$3,$C$4,$C$6,$C$5,$C$7,P$1,P$2,$A315)</f>
        <v>0</v>
      </c>
      <c r="Q315" s="39">
        <f ca="1">_xll.DBRW($C$1,$C$2,$C$3,$C$4,$C$6,$C$5,$C$7,Q$1,Q$2,$A315)</f>
        <v>0</v>
      </c>
      <c r="R315" s="39">
        <f ca="1">_xll.DBRW($C$1,$C$2,$C$3,$C$4,$C$6,$C$5,$C$7,R$1,R$2,$A315)</f>
        <v>0</v>
      </c>
      <c r="S315" s="39">
        <f ca="1">_xll.DBRW($C$1,$C$2,$C$3,$C$4,$C$6,$C$5,$C$7,S$1,S$2,$A315)</f>
        <v>0</v>
      </c>
      <c r="T315" s="39">
        <f ca="1">_xll.DBRW($C$1,$C$2,$C$3,$C$4,$C$6,$C$5,$C$7,T$1,T$2,$A315)</f>
        <v>0</v>
      </c>
      <c r="U315" s="39">
        <f ca="1">_xll.DBRW($C$1,$C$2,$C$3,$C$4,$C$6,$C$5,$C$7,U$1,U$2,$A315)</f>
        <v>0</v>
      </c>
      <c r="V315" s="39">
        <f ca="1">_xll.DBRW($C$1,$C$2,$C$3,$C$4,$C$6,$C$5,$C$7,V$1,V$2,$A315)</f>
        <v>0</v>
      </c>
      <c r="W315" s="39">
        <f ca="1">_xll.DBRW($C$1,$C$2,$C$3,$C$4,$C$6,$C$5,$C$7,W$1,W$2,$A315)</f>
        <v>0</v>
      </c>
      <c r="X315" s="39">
        <f ca="1">_xll.DBRW($C$1,$C$2,$C$3,$C$4,$C$6,$C$5,$C$7,X$1,X$2,$A315)</f>
        <v>0</v>
      </c>
      <c r="Y315" s="39">
        <f ca="1">_xll.DBRW($C$1,$C$2,$C$3,$C$4,$C$6,$C$5,$C$7,Y$1,Y$2,$A315)</f>
        <v>0</v>
      </c>
      <c r="Z315" s="39">
        <f ca="1">_xll.DBRW($C$1,$C$2,$C$3,$C$4,$C$6,$C$5,$C$7,Z$1,Z$2,$A315)</f>
        <v>0</v>
      </c>
      <c r="AA315" s="39">
        <f ca="1">_xll.DBRW($C$1,$C$2,$C$3,$C$4,$C$6,$C$5,$C$7,AA$1,AA$2,$A315)</f>
        <v>0</v>
      </c>
      <c r="AB315" s="39">
        <f ca="1">_xll.DBRW($C$1,$C$2,$C$3,$C$4,$C$6,$C$5,$C$7,AB$1,AB$2,$A315)</f>
        <v>0</v>
      </c>
      <c r="AC315" s="39">
        <f ca="1">_xll.DBRW($C$1,$C$2,$C$3,$C$4,$C$6,$C$5,$C$7,AC$1,AC$2,$A315)</f>
        <v>0</v>
      </c>
      <c r="AD315" s="39">
        <f ca="1">_xll.DBRW($C$1,$C$2,$C$3,$C$4,$C$6,$C$5,$C$7,AD$1,AD$2,$A315)</f>
        <v>0</v>
      </c>
      <c r="AE315" s="39">
        <f ca="1">_xll.DBRW($C$1,$C$2,$C$3,$C$4,$C$6,$C$5,$C$7,AE$1,AE$2,$A315)</f>
        <v>0</v>
      </c>
      <c r="AF315" s="39">
        <f ca="1">_xll.DBRW($C$1,$C$2,$C$3,$C$4,$C$6,$C$5,$C$7,AF$1,AF$2,$A315)</f>
        <v>0</v>
      </c>
      <c r="AG315" s="39">
        <f ca="1">_xll.DBRW($C$1,$C$2,$C$3,$C$4,$C$6,$C$5,$C$7,AG$1,AG$2,$A315)</f>
        <v>0</v>
      </c>
      <c r="AH315" s="39">
        <f ca="1">_xll.DBRW($C$1,$C$2,$C$3,$C$4,$C$6,$C$5,$C$7,AH$1,AH$2,$A315)</f>
        <v>0</v>
      </c>
      <c r="AI315" s="39">
        <f ca="1">_xll.DBRW($C$1,$C$2,$C$3,$C$4,$C$6,$C$5,$C$7,AI$1,AI$2,$A315)</f>
        <v>0</v>
      </c>
      <c r="AJ315" s="39">
        <f ca="1">_xll.DBRW($C$1,$C$2,$C$3,$C$4,$C$6,$C$5,$C$7,AJ$1,AJ$2,$A315)</f>
        <v>0</v>
      </c>
      <c r="AK315" s="39">
        <f ca="1">_xll.DBRW($C$1,$C$2,$C$3,$C$4,$C$6,$C$5,$C$7,AK$1,AK$2,$A315)</f>
        <v>0</v>
      </c>
      <c r="AL315" s="39">
        <f ca="1">_xll.DBRW($C$1,$C$2,$C$3,$C$4,$C$6,$C$5,$C$7,AL$1,AL$2,$A315)</f>
        <v>0</v>
      </c>
      <c r="AM315" s="39">
        <f ca="1">_xll.DBRW($C$1,$C$2,$C$3,$C$4,$C$6,$C$5,$C$7,AM$1,AM$2,$A315)</f>
        <v>0</v>
      </c>
      <c r="AN315" s="39">
        <f ca="1">_xll.DBRW($C$1,$C$2,$C$3,$C$4,$C$6,$C$5,$C$7,AN$1,AN$2,$A315)</f>
        <v>0</v>
      </c>
      <c r="AO315" s="39">
        <f ca="1">_xll.DBRW($C$1,$C$2,$C$3,$C$4,$C$6,$C$5,$C$7,AO$1,AO$2,$A315)</f>
        <v>0</v>
      </c>
      <c r="AP315" s="39">
        <f ca="1">_xll.DBRW($C$1,$C$2,$C$3,$C$4,$C$6,$C$5,$C$7,AP$1,AP$2,$A315)</f>
        <v>0</v>
      </c>
      <c r="AQ315" s="39">
        <f ca="1">_xll.DBRW($C$1,$C$2,$C$3,$C$4,$C$6,$C$5,$C$7,AQ$1,AQ$2,$A315)</f>
        <v>0</v>
      </c>
      <c r="AR315" s="39">
        <f ca="1">_xll.DBRW($C$1,$C$2,$C$3,$C$4,$C$6,$C$5,$C$7,AR$1,AR$2,$A315)</f>
        <v>0</v>
      </c>
      <c r="AS315" s="39">
        <f ca="1">_xll.DBRW($C$1,$C$2,$C$3,$C$4,$C$6,$C$5,$C$7,AS$1,AS$2,$A315)</f>
        <v>0</v>
      </c>
      <c r="AT315" s="39">
        <f ca="1">_xll.DBRW($C$1,$C$2,$C$3,$C$4,$C$6,$C$5,$C$7,AT$1,AT$2,$A315)</f>
        <v>0</v>
      </c>
      <c r="AU315" s="39">
        <f ca="1">_xll.DBRW($C$1,$C$2,$C$3,$C$4,$C$6,$C$5,$C$7,AU$1,AU$2,$A315)</f>
        <v>0</v>
      </c>
      <c r="AV315" s="39">
        <f ca="1">_xll.DBRW($C$1,$C$2,$C$3,$C$4,$C$6,$C$5,$C$7,AV$1,AV$2,$A315)</f>
        <v>0</v>
      </c>
      <c r="AW315" s="39">
        <f ca="1">_xll.DBRW($C$1,$C$2,$C$3,$C$4,$C$6,$C$5,$C$7,AW$1,AW$2,$A315)</f>
        <v>0</v>
      </c>
      <c r="AX315" s="39">
        <f ca="1">_xll.DBRW($C$1,$C$2,$C$3,$C$4,$C$6,$C$5,$C$7,AX$1,AX$2,$A315)</f>
        <v>0</v>
      </c>
      <c r="AY315" s="39">
        <f ca="1">_xll.DBRW($C$1,$C$2,$C$3,$C$4,$C$6,$C$5,$C$7,AY$1,AY$2,$A315)</f>
        <v>0</v>
      </c>
    </row>
    <row r="316" spans="1:51" ht="15.5" hidden="1" outlineLevel="1">
      <c r="A316" s="1" t="s">
        <v>86</v>
      </c>
      <c r="E316" s="9" t="str">
        <f ca="1">_xll.DBRW(Server&amp;"}ElementAttributes_Indicator",A316,"code_English")</f>
        <v>Tot_km_gas - Total KM driven by gas</v>
      </c>
      <c r="F316" s="39">
        <f ca="1">_xll.DBRW($C$1,$C$2,$C$3,$C$4,$C$6,$C$5,$C$7,F$1,F$2,$A316)</f>
        <v>0</v>
      </c>
      <c r="G316" s="39">
        <f ca="1">_xll.DBRW($C$1,$C$2,$C$3,$C$4,$C$6,$C$5,$C$7,G$1,G$2,$A316)</f>
        <v>0</v>
      </c>
      <c r="H316" s="39">
        <f ca="1">_xll.DBRW($C$1,$C$2,$C$3,$C$4,$C$6,$C$5,$C$7,H$1,H$2,$A316)</f>
        <v>0</v>
      </c>
      <c r="I316" s="39">
        <f ca="1">_xll.DBRW($C$1,$C$2,$C$3,$C$4,$C$6,$C$5,$C$7,I$1,I$2,$A316)</f>
        <v>0</v>
      </c>
      <c r="J316" s="39">
        <f ca="1">_xll.DBRW($C$1,$C$2,$C$3,$C$4,$C$6,$C$5,$C$7,J$1,J$2,$A316)</f>
        <v>0</v>
      </c>
      <c r="K316" s="39">
        <f ca="1">_xll.DBRW($C$1,$C$2,$C$3,$C$4,$C$6,$C$5,$C$7,K$1,K$2,$A316)</f>
        <v>0</v>
      </c>
      <c r="L316" s="39">
        <f ca="1">_xll.DBRW($C$1,$C$2,$C$3,$C$4,$C$6,$C$5,$C$7,L$1,L$2,$A316)</f>
        <v>0</v>
      </c>
      <c r="M316" s="39">
        <f ca="1">_xll.DBRW($C$1,$C$2,$C$3,$C$4,$C$6,$C$5,$C$7,M$1,M$2,$A316)</f>
        <v>0</v>
      </c>
      <c r="N316" s="39">
        <f ca="1">_xll.DBRW($C$1,$C$2,$C$3,$C$4,$C$6,$C$5,$C$7,N$1,N$2,$A316)</f>
        <v>0</v>
      </c>
      <c r="O316" s="39">
        <f ca="1">_xll.DBRW($C$1,$C$2,$C$3,$C$4,$C$6,$C$5,$C$7,O$1,O$2,$A316)</f>
        <v>0</v>
      </c>
      <c r="P316" s="39">
        <f ca="1">_xll.DBRW($C$1,$C$2,$C$3,$C$4,$C$6,$C$5,$C$7,P$1,P$2,$A316)</f>
        <v>0</v>
      </c>
      <c r="Q316" s="39">
        <f ca="1">_xll.DBRW($C$1,$C$2,$C$3,$C$4,$C$6,$C$5,$C$7,Q$1,Q$2,$A316)</f>
        <v>0</v>
      </c>
      <c r="R316" s="39">
        <f ca="1">_xll.DBRW($C$1,$C$2,$C$3,$C$4,$C$6,$C$5,$C$7,R$1,R$2,$A316)</f>
        <v>0</v>
      </c>
      <c r="S316" s="39">
        <f ca="1">_xll.DBRW($C$1,$C$2,$C$3,$C$4,$C$6,$C$5,$C$7,S$1,S$2,$A316)</f>
        <v>0</v>
      </c>
      <c r="T316" s="39">
        <f ca="1">_xll.DBRW($C$1,$C$2,$C$3,$C$4,$C$6,$C$5,$C$7,T$1,T$2,$A316)</f>
        <v>0</v>
      </c>
      <c r="U316" s="39">
        <f ca="1">_xll.DBRW($C$1,$C$2,$C$3,$C$4,$C$6,$C$5,$C$7,U$1,U$2,$A316)</f>
        <v>0</v>
      </c>
      <c r="V316" s="39">
        <f ca="1">_xll.DBRW($C$1,$C$2,$C$3,$C$4,$C$6,$C$5,$C$7,V$1,V$2,$A316)</f>
        <v>0</v>
      </c>
      <c r="W316" s="39">
        <f ca="1">_xll.DBRW($C$1,$C$2,$C$3,$C$4,$C$6,$C$5,$C$7,W$1,W$2,$A316)</f>
        <v>0</v>
      </c>
      <c r="X316" s="39">
        <f ca="1">_xll.DBRW($C$1,$C$2,$C$3,$C$4,$C$6,$C$5,$C$7,X$1,X$2,$A316)</f>
        <v>0</v>
      </c>
      <c r="Y316" s="39">
        <f ca="1">_xll.DBRW($C$1,$C$2,$C$3,$C$4,$C$6,$C$5,$C$7,Y$1,Y$2,$A316)</f>
        <v>0</v>
      </c>
      <c r="Z316" s="39">
        <f ca="1">_xll.DBRW($C$1,$C$2,$C$3,$C$4,$C$6,$C$5,$C$7,Z$1,Z$2,$A316)</f>
        <v>0</v>
      </c>
      <c r="AA316" s="39">
        <f ca="1">_xll.DBRW($C$1,$C$2,$C$3,$C$4,$C$6,$C$5,$C$7,AA$1,AA$2,$A316)</f>
        <v>0</v>
      </c>
      <c r="AB316" s="39">
        <f ca="1">_xll.DBRW($C$1,$C$2,$C$3,$C$4,$C$6,$C$5,$C$7,AB$1,AB$2,$A316)</f>
        <v>0</v>
      </c>
      <c r="AC316" s="39">
        <f ca="1">_xll.DBRW($C$1,$C$2,$C$3,$C$4,$C$6,$C$5,$C$7,AC$1,AC$2,$A316)</f>
        <v>0</v>
      </c>
      <c r="AD316" s="39">
        <f ca="1">_xll.DBRW($C$1,$C$2,$C$3,$C$4,$C$6,$C$5,$C$7,AD$1,AD$2,$A316)</f>
        <v>0</v>
      </c>
      <c r="AE316" s="39">
        <f ca="1">_xll.DBRW($C$1,$C$2,$C$3,$C$4,$C$6,$C$5,$C$7,AE$1,AE$2,$A316)</f>
        <v>0</v>
      </c>
      <c r="AF316" s="39">
        <f ca="1">_xll.DBRW($C$1,$C$2,$C$3,$C$4,$C$6,$C$5,$C$7,AF$1,AF$2,$A316)</f>
        <v>0</v>
      </c>
      <c r="AG316" s="39">
        <f ca="1">_xll.DBRW($C$1,$C$2,$C$3,$C$4,$C$6,$C$5,$C$7,AG$1,AG$2,$A316)</f>
        <v>0</v>
      </c>
      <c r="AH316" s="39">
        <f ca="1">_xll.DBRW($C$1,$C$2,$C$3,$C$4,$C$6,$C$5,$C$7,AH$1,AH$2,$A316)</f>
        <v>0</v>
      </c>
      <c r="AI316" s="39">
        <f ca="1">_xll.DBRW($C$1,$C$2,$C$3,$C$4,$C$6,$C$5,$C$7,AI$1,AI$2,$A316)</f>
        <v>0</v>
      </c>
      <c r="AJ316" s="39">
        <f ca="1">_xll.DBRW($C$1,$C$2,$C$3,$C$4,$C$6,$C$5,$C$7,AJ$1,AJ$2,$A316)</f>
        <v>0</v>
      </c>
      <c r="AK316" s="39">
        <f ca="1">_xll.DBRW($C$1,$C$2,$C$3,$C$4,$C$6,$C$5,$C$7,AK$1,AK$2,$A316)</f>
        <v>0</v>
      </c>
      <c r="AL316" s="39">
        <f ca="1">_xll.DBRW($C$1,$C$2,$C$3,$C$4,$C$6,$C$5,$C$7,AL$1,AL$2,$A316)</f>
        <v>0</v>
      </c>
      <c r="AM316" s="39">
        <f ca="1">_xll.DBRW($C$1,$C$2,$C$3,$C$4,$C$6,$C$5,$C$7,AM$1,AM$2,$A316)</f>
        <v>0</v>
      </c>
      <c r="AN316" s="39">
        <f ca="1">_xll.DBRW($C$1,$C$2,$C$3,$C$4,$C$6,$C$5,$C$7,AN$1,AN$2,$A316)</f>
        <v>0</v>
      </c>
      <c r="AO316" s="39">
        <f ca="1">_xll.DBRW($C$1,$C$2,$C$3,$C$4,$C$6,$C$5,$C$7,AO$1,AO$2,$A316)</f>
        <v>0</v>
      </c>
      <c r="AP316" s="39">
        <f ca="1">_xll.DBRW($C$1,$C$2,$C$3,$C$4,$C$6,$C$5,$C$7,AP$1,AP$2,$A316)</f>
        <v>0</v>
      </c>
      <c r="AQ316" s="39">
        <f ca="1">_xll.DBRW($C$1,$C$2,$C$3,$C$4,$C$6,$C$5,$C$7,AQ$1,AQ$2,$A316)</f>
        <v>0</v>
      </c>
      <c r="AR316" s="39">
        <f ca="1">_xll.DBRW($C$1,$C$2,$C$3,$C$4,$C$6,$C$5,$C$7,AR$1,AR$2,$A316)</f>
        <v>0</v>
      </c>
      <c r="AS316" s="39">
        <f ca="1">_xll.DBRW($C$1,$C$2,$C$3,$C$4,$C$6,$C$5,$C$7,AS$1,AS$2,$A316)</f>
        <v>0</v>
      </c>
      <c r="AT316" s="39">
        <f ca="1">_xll.DBRW($C$1,$C$2,$C$3,$C$4,$C$6,$C$5,$C$7,AT$1,AT$2,$A316)</f>
        <v>0</v>
      </c>
      <c r="AU316" s="39">
        <f ca="1">_xll.DBRW($C$1,$C$2,$C$3,$C$4,$C$6,$C$5,$C$7,AU$1,AU$2,$A316)</f>
        <v>0</v>
      </c>
      <c r="AV316" s="39">
        <f ca="1">_xll.DBRW($C$1,$C$2,$C$3,$C$4,$C$6,$C$5,$C$7,AV$1,AV$2,$A316)</f>
        <v>0</v>
      </c>
      <c r="AW316" s="39">
        <f ca="1">_xll.DBRW($C$1,$C$2,$C$3,$C$4,$C$6,$C$5,$C$7,AW$1,AW$2,$A316)</f>
        <v>0</v>
      </c>
      <c r="AX316" s="39">
        <f ca="1">_xll.DBRW($C$1,$C$2,$C$3,$C$4,$C$6,$C$5,$C$7,AX$1,AX$2,$A316)</f>
        <v>0</v>
      </c>
      <c r="AY316" s="39">
        <f ca="1">_xll.DBRW($C$1,$C$2,$C$3,$C$4,$C$6,$C$5,$C$7,AY$1,AY$2,$A316)</f>
        <v>0</v>
      </c>
    </row>
    <row r="317" spans="1:51" ht="15.75" customHeight="1" collapsed="1">
      <c r="A317" s="1" t="s">
        <v>142</v>
      </c>
      <c r="C317" s="109" t="s">
        <v>87</v>
      </c>
      <c r="E317" s="17" t="s">
        <v>88</v>
      </c>
      <c r="F317" s="43">
        <f t="shared" ref="F317:AY317" ca="1" si="218">F306</f>
        <v>0</v>
      </c>
      <c r="G317" s="43">
        <f t="shared" ca="1" si="218"/>
        <v>0</v>
      </c>
      <c r="H317" s="43">
        <f t="shared" ca="1" si="218"/>
        <v>0</v>
      </c>
      <c r="I317" s="43">
        <f t="shared" ca="1" si="218"/>
        <v>0</v>
      </c>
      <c r="J317" s="43">
        <f t="shared" ca="1" si="218"/>
        <v>0</v>
      </c>
      <c r="K317" s="43">
        <f t="shared" ca="1" si="218"/>
        <v>0</v>
      </c>
      <c r="L317" s="43">
        <f t="shared" ca="1" si="218"/>
        <v>0</v>
      </c>
      <c r="M317" s="43">
        <f t="shared" ca="1" si="218"/>
        <v>0</v>
      </c>
      <c r="N317" s="43">
        <f t="shared" ca="1" si="218"/>
        <v>0</v>
      </c>
      <c r="O317" s="43">
        <f t="shared" ca="1" si="218"/>
        <v>0</v>
      </c>
      <c r="P317" s="43">
        <f t="shared" ca="1" si="218"/>
        <v>0</v>
      </c>
      <c r="Q317" s="43">
        <f t="shared" ca="1" si="218"/>
        <v>0</v>
      </c>
      <c r="R317" s="43">
        <f t="shared" ca="1" si="218"/>
        <v>0</v>
      </c>
      <c r="S317" s="43">
        <f t="shared" ca="1" si="218"/>
        <v>0</v>
      </c>
      <c r="T317" s="43">
        <f t="shared" ca="1" si="218"/>
        <v>0</v>
      </c>
      <c r="U317" s="43">
        <f t="shared" ca="1" si="218"/>
        <v>0</v>
      </c>
      <c r="V317" s="43">
        <f t="shared" ca="1" si="218"/>
        <v>0</v>
      </c>
      <c r="W317" s="43">
        <f t="shared" ca="1" si="218"/>
        <v>0</v>
      </c>
      <c r="X317" s="43">
        <f t="shared" ca="1" si="218"/>
        <v>0</v>
      </c>
      <c r="Y317" s="43">
        <f t="shared" ca="1" si="218"/>
        <v>0</v>
      </c>
      <c r="Z317" s="43">
        <f t="shared" ca="1" si="218"/>
        <v>0</v>
      </c>
      <c r="AA317" s="43">
        <f t="shared" ca="1" si="218"/>
        <v>0</v>
      </c>
      <c r="AB317" s="43">
        <f t="shared" ca="1" si="218"/>
        <v>0</v>
      </c>
      <c r="AC317" s="43">
        <f t="shared" ca="1" si="218"/>
        <v>0</v>
      </c>
      <c r="AD317" s="43">
        <f t="shared" ca="1" si="218"/>
        <v>0</v>
      </c>
      <c r="AE317" s="43">
        <f t="shared" ca="1" si="218"/>
        <v>0</v>
      </c>
      <c r="AF317" s="43">
        <f t="shared" ca="1" si="218"/>
        <v>0</v>
      </c>
      <c r="AG317" s="43">
        <f t="shared" ca="1" si="218"/>
        <v>0</v>
      </c>
      <c r="AH317" s="43">
        <f t="shared" ca="1" si="218"/>
        <v>0</v>
      </c>
      <c r="AI317" s="43">
        <f t="shared" ca="1" si="218"/>
        <v>0</v>
      </c>
      <c r="AJ317" s="43">
        <f t="shared" ca="1" si="218"/>
        <v>0</v>
      </c>
      <c r="AK317" s="43">
        <f t="shared" ca="1" si="218"/>
        <v>0</v>
      </c>
      <c r="AL317" s="43">
        <f t="shared" ca="1" si="218"/>
        <v>0</v>
      </c>
      <c r="AM317" s="43">
        <f t="shared" ca="1" si="218"/>
        <v>0</v>
      </c>
      <c r="AN317" s="43">
        <f t="shared" ca="1" si="218"/>
        <v>0</v>
      </c>
      <c r="AO317" s="43">
        <f t="shared" ca="1" si="218"/>
        <v>0</v>
      </c>
      <c r="AP317" s="43">
        <f t="shared" ca="1" si="218"/>
        <v>0</v>
      </c>
      <c r="AQ317" s="43">
        <f t="shared" ca="1" si="218"/>
        <v>0</v>
      </c>
      <c r="AR317" s="43">
        <f t="shared" ca="1" si="218"/>
        <v>0</v>
      </c>
      <c r="AS317" s="43">
        <f t="shared" ca="1" si="218"/>
        <v>0</v>
      </c>
      <c r="AT317" s="43">
        <f t="shared" ca="1" si="218"/>
        <v>0</v>
      </c>
      <c r="AU317" s="43">
        <f t="shared" ca="1" si="218"/>
        <v>0</v>
      </c>
      <c r="AV317" s="43">
        <f t="shared" ca="1" si="218"/>
        <v>0</v>
      </c>
      <c r="AW317" s="43">
        <f t="shared" ca="1" si="218"/>
        <v>0</v>
      </c>
      <c r="AX317" s="43">
        <f t="shared" ca="1" si="218"/>
        <v>0</v>
      </c>
      <c r="AY317" s="43">
        <f t="shared" ca="1" si="218"/>
        <v>0</v>
      </c>
    </row>
    <row r="318" spans="1:51" ht="15.75" hidden="1" customHeight="1" outlineLevel="1">
      <c r="A318" s="1" t="s">
        <v>350</v>
      </c>
      <c r="C318" s="109"/>
      <c r="E318" s="9" t="str">
        <f ca="1">_xll.DBRW(Server&amp;"}ElementAttributes_Indicator",A318,"code_English")</f>
        <v>Nb_Drivers - Number of drivers</v>
      </c>
      <c r="F318" s="44">
        <f ca="1">_xll.DBRW($C$1,$C$2,$C$3,$C$4,$C$6,$C$5,$C$7,F$1,F$2,$A318)</f>
        <v>0</v>
      </c>
      <c r="G318" s="44">
        <f ca="1">_xll.DBRW($C$1,$C$2,$C$3,$C$4,$C$6,$C$5,$C$7,G$1,G$2,$A318)</f>
        <v>0</v>
      </c>
      <c r="H318" s="44">
        <f ca="1">_xll.DBRW($C$1,$C$2,$C$3,$C$4,$C$6,$C$5,$C$7,H$1,H$2,$A318)</f>
        <v>0</v>
      </c>
      <c r="I318" s="44">
        <f ca="1">_xll.DBRW($C$1,$C$2,$C$3,$C$4,$C$6,$C$5,$C$7,I$1,I$2,$A318)</f>
        <v>0</v>
      </c>
      <c r="J318" s="44">
        <f ca="1">_xll.DBRW($C$1,$C$2,$C$3,$C$4,$C$6,$C$5,$C$7,J$1,J$2,$A318)</f>
        <v>0</v>
      </c>
      <c r="K318" s="44">
        <f ca="1">_xll.DBRW($C$1,$C$2,$C$3,$C$4,$C$6,$C$5,$C$7,K$1,K$2,$A318)</f>
        <v>0</v>
      </c>
      <c r="L318" s="44">
        <f ca="1">_xll.DBRW($C$1,$C$2,$C$3,$C$4,$C$6,$C$5,$C$7,L$1,L$2,$A318)</f>
        <v>0</v>
      </c>
      <c r="M318" s="44">
        <f ca="1">_xll.DBRW($C$1,$C$2,$C$3,$C$4,$C$6,$C$5,$C$7,M$1,M$2,$A318)</f>
        <v>0</v>
      </c>
      <c r="N318" s="44">
        <f ca="1">_xll.DBRW($C$1,$C$2,$C$3,$C$4,$C$6,$C$5,$C$7,N$1,N$2,$A318)</f>
        <v>0</v>
      </c>
      <c r="O318" s="44">
        <f ca="1">_xll.DBRW($C$1,$C$2,$C$3,$C$4,$C$6,$C$5,$C$7,O$1,O$2,$A318)</f>
        <v>0</v>
      </c>
      <c r="P318" s="44">
        <f ca="1">_xll.DBRW($C$1,$C$2,$C$3,$C$4,$C$6,$C$5,$C$7,P$1,P$2,$A318)</f>
        <v>0</v>
      </c>
      <c r="Q318" s="44">
        <f ca="1">_xll.DBRW($C$1,$C$2,$C$3,$C$4,$C$6,$C$5,$C$7,Q$1,Q$2,$A318)</f>
        <v>0</v>
      </c>
      <c r="R318" s="44">
        <f ca="1">_xll.DBRW($C$1,$C$2,$C$3,$C$4,$C$6,$C$5,$C$7,R$1,R$2,$A318)</f>
        <v>0</v>
      </c>
      <c r="S318" s="44">
        <f ca="1">_xll.DBRW($C$1,$C$2,$C$3,$C$4,$C$6,$C$5,$C$7,S$1,S$2,$A318)</f>
        <v>0</v>
      </c>
      <c r="T318" s="44">
        <f ca="1">_xll.DBRW($C$1,$C$2,$C$3,$C$4,$C$6,$C$5,$C$7,T$1,T$2,$A318)</f>
        <v>0</v>
      </c>
      <c r="U318" s="44">
        <f ca="1">_xll.DBRW($C$1,$C$2,$C$3,$C$4,$C$6,$C$5,$C$7,U$1,U$2,$A318)</f>
        <v>0</v>
      </c>
      <c r="V318" s="44">
        <f ca="1">_xll.DBRW($C$1,$C$2,$C$3,$C$4,$C$6,$C$5,$C$7,V$1,V$2,$A318)</f>
        <v>0</v>
      </c>
      <c r="W318" s="44">
        <f ca="1">_xll.DBRW($C$1,$C$2,$C$3,$C$4,$C$6,$C$5,$C$7,W$1,W$2,$A318)</f>
        <v>0</v>
      </c>
      <c r="X318" s="44">
        <f ca="1">_xll.DBRW($C$1,$C$2,$C$3,$C$4,$C$6,$C$5,$C$7,X$1,X$2,$A318)</f>
        <v>0</v>
      </c>
      <c r="Y318" s="44">
        <f ca="1">_xll.DBRW($C$1,$C$2,$C$3,$C$4,$C$6,$C$5,$C$7,Y$1,Y$2,$A318)</f>
        <v>0</v>
      </c>
      <c r="Z318" s="44">
        <f ca="1">_xll.DBRW($C$1,$C$2,$C$3,$C$4,$C$6,$C$5,$C$7,Z$1,Z$2,$A318)</f>
        <v>0</v>
      </c>
      <c r="AA318" s="44">
        <f ca="1">_xll.DBRW($C$1,$C$2,$C$3,$C$4,$C$6,$C$5,$C$7,AA$1,AA$2,$A318)</f>
        <v>0</v>
      </c>
      <c r="AB318" s="44">
        <f ca="1">_xll.DBRW($C$1,$C$2,$C$3,$C$4,$C$6,$C$5,$C$7,AB$1,AB$2,$A318)</f>
        <v>0</v>
      </c>
      <c r="AC318" s="44">
        <f ca="1">_xll.DBRW($C$1,$C$2,$C$3,$C$4,$C$6,$C$5,$C$7,AC$1,AC$2,$A318)</f>
        <v>0</v>
      </c>
      <c r="AD318" s="44">
        <f ca="1">_xll.DBRW($C$1,$C$2,$C$3,$C$4,$C$6,$C$5,$C$7,AD$1,AD$2,$A318)</f>
        <v>0</v>
      </c>
      <c r="AE318" s="44">
        <f ca="1">_xll.DBRW($C$1,$C$2,$C$3,$C$4,$C$6,$C$5,$C$7,AE$1,AE$2,$A318)</f>
        <v>0</v>
      </c>
      <c r="AF318" s="44">
        <f ca="1">_xll.DBRW($C$1,$C$2,$C$3,$C$4,$C$6,$C$5,$C$7,AF$1,AF$2,$A318)</f>
        <v>0</v>
      </c>
      <c r="AG318" s="44">
        <f ca="1">_xll.DBRW($C$1,$C$2,$C$3,$C$4,$C$6,$C$5,$C$7,AG$1,AG$2,$A318)</f>
        <v>0</v>
      </c>
      <c r="AH318" s="44">
        <f ca="1">_xll.DBRW($C$1,$C$2,$C$3,$C$4,$C$6,$C$5,$C$7,AH$1,AH$2,$A318)</f>
        <v>0</v>
      </c>
      <c r="AI318" s="44">
        <f ca="1">_xll.DBRW($C$1,$C$2,$C$3,$C$4,$C$6,$C$5,$C$7,AI$1,AI$2,$A318)</f>
        <v>0</v>
      </c>
      <c r="AJ318" s="44">
        <f ca="1">_xll.DBRW($C$1,$C$2,$C$3,$C$4,$C$6,$C$5,$C$7,AJ$1,AJ$2,$A318)</f>
        <v>0</v>
      </c>
      <c r="AK318" s="44">
        <f ca="1">_xll.DBRW($C$1,$C$2,$C$3,$C$4,$C$6,$C$5,$C$7,AK$1,AK$2,$A318)</f>
        <v>0</v>
      </c>
      <c r="AL318" s="44">
        <f ca="1">_xll.DBRW($C$1,$C$2,$C$3,$C$4,$C$6,$C$5,$C$7,AL$1,AL$2,$A318)</f>
        <v>0</v>
      </c>
      <c r="AM318" s="44">
        <f ca="1">_xll.DBRW($C$1,$C$2,$C$3,$C$4,$C$6,$C$5,$C$7,AM$1,AM$2,$A318)</f>
        <v>0</v>
      </c>
      <c r="AN318" s="44">
        <f ca="1">_xll.DBRW($C$1,$C$2,$C$3,$C$4,$C$6,$C$5,$C$7,AN$1,AN$2,$A318)</f>
        <v>0</v>
      </c>
      <c r="AO318" s="44">
        <f ca="1">_xll.DBRW($C$1,$C$2,$C$3,$C$4,$C$6,$C$5,$C$7,AO$1,AO$2,$A318)</f>
        <v>0</v>
      </c>
      <c r="AP318" s="44">
        <f ca="1">_xll.DBRW($C$1,$C$2,$C$3,$C$4,$C$6,$C$5,$C$7,AP$1,AP$2,$A318)</f>
        <v>0</v>
      </c>
      <c r="AQ318" s="44">
        <f ca="1">_xll.DBRW($C$1,$C$2,$C$3,$C$4,$C$6,$C$5,$C$7,AQ$1,AQ$2,$A318)</f>
        <v>0</v>
      </c>
      <c r="AR318" s="44">
        <f ca="1">_xll.DBRW($C$1,$C$2,$C$3,$C$4,$C$6,$C$5,$C$7,AR$1,AR$2,$A318)</f>
        <v>0</v>
      </c>
      <c r="AS318" s="44">
        <f ca="1">_xll.DBRW($C$1,$C$2,$C$3,$C$4,$C$6,$C$5,$C$7,AS$1,AS$2,$A318)</f>
        <v>0</v>
      </c>
      <c r="AT318" s="44">
        <f ca="1">_xll.DBRW($C$1,$C$2,$C$3,$C$4,$C$6,$C$5,$C$7,AT$1,AT$2,$A318)</f>
        <v>0</v>
      </c>
      <c r="AU318" s="44">
        <f ca="1">_xll.DBRW($C$1,$C$2,$C$3,$C$4,$C$6,$C$5,$C$7,AU$1,AU$2,$A318)</f>
        <v>0</v>
      </c>
      <c r="AV318" s="44">
        <f ca="1">_xll.DBRW($C$1,$C$2,$C$3,$C$4,$C$6,$C$5,$C$7,AV$1,AV$2,$A318)</f>
        <v>0</v>
      </c>
      <c r="AW318" s="44">
        <f ca="1">_xll.DBRW($C$1,$C$2,$C$3,$C$4,$C$6,$C$5,$C$7,AW$1,AW$2,$A318)</f>
        <v>0</v>
      </c>
      <c r="AX318" s="44">
        <f ca="1">_xll.DBRW($C$1,$C$2,$C$3,$C$4,$C$6,$C$5,$C$7,AX$1,AX$2,$A318)</f>
        <v>0</v>
      </c>
      <c r="AY318" s="44">
        <f ca="1">_xll.DBRW($C$1,$C$2,$C$3,$C$4,$C$6,$C$5,$C$7,AY$1,AY$2,$A318)</f>
        <v>0</v>
      </c>
    </row>
    <row r="319" spans="1:51" ht="15.75" hidden="1" customHeight="1" outlineLevel="1">
      <c r="A319" s="1" t="s">
        <v>351</v>
      </c>
      <c r="C319" s="109"/>
      <c r="E319" s="9" t="str">
        <f ca="1">_xll.DBRW(Server&amp;"}ElementAttributes_Indicator",A319,"code_English")</f>
        <v>Nb_Conductors - Number of conductors</v>
      </c>
      <c r="F319" s="44">
        <f ca="1">_xll.DBRW($C$1,$C$2,$C$3,$C$4,$C$6,$C$5,$C$7,F$1,F$2,$A319)</f>
        <v>0</v>
      </c>
      <c r="G319" s="44">
        <f ca="1">_xll.DBRW($C$1,$C$2,$C$3,$C$4,$C$6,$C$5,$C$7,G$1,G$2,$A319)</f>
        <v>0</v>
      </c>
      <c r="H319" s="44">
        <f ca="1">_xll.DBRW($C$1,$C$2,$C$3,$C$4,$C$6,$C$5,$C$7,H$1,H$2,$A319)</f>
        <v>0</v>
      </c>
      <c r="I319" s="44">
        <f ca="1">_xll.DBRW($C$1,$C$2,$C$3,$C$4,$C$6,$C$5,$C$7,I$1,I$2,$A319)</f>
        <v>0</v>
      </c>
      <c r="J319" s="44">
        <f ca="1">_xll.DBRW($C$1,$C$2,$C$3,$C$4,$C$6,$C$5,$C$7,J$1,J$2,$A319)</f>
        <v>0</v>
      </c>
      <c r="K319" s="44">
        <f ca="1">_xll.DBRW($C$1,$C$2,$C$3,$C$4,$C$6,$C$5,$C$7,K$1,K$2,$A319)</f>
        <v>0</v>
      </c>
      <c r="L319" s="44">
        <f ca="1">_xll.DBRW($C$1,$C$2,$C$3,$C$4,$C$6,$C$5,$C$7,L$1,L$2,$A319)</f>
        <v>0</v>
      </c>
      <c r="M319" s="44">
        <f ca="1">_xll.DBRW($C$1,$C$2,$C$3,$C$4,$C$6,$C$5,$C$7,M$1,M$2,$A319)</f>
        <v>0</v>
      </c>
      <c r="N319" s="44">
        <f ca="1">_xll.DBRW($C$1,$C$2,$C$3,$C$4,$C$6,$C$5,$C$7,N$1,N$2,$A319)</f>
        <v>0</v>
      </c>
      <c r="O319" s="44">
        <f ca="1">_xll.DBRW($C$1,$C$2,$C$3,$C$4,$C$6,$C$5,$C$7,O$1,O$2,$A319)</f>
        <v>0</v>
      </c>
      <c r="P319" s="44">
        <f ca="1">_xll.DBRW($C$1,$C$2,$C$3,$C$4,$C$6,$C$5,$C$7,P$1,P$2,$A319)</f>
        <v>0</v>
      </c>
      <c r="Q319" s="44">
        <f ca="1">_xll.DBRW($C$1,$C$2,$C$3,$C$4,$C$6,$C$5,$C$7,Q$1,Q$2,$A319)</f>
        <v>0</v>
      </c>
      <c r="R319" s="44">
        <f ca="1">_xll.DBRW($C$1,$C$2,$C$3,$C$4,$C$6,$C$5,$C$7,R$1,R$2,$A319)</f>
        <v>0</v>
      </c>
      <c r="S319" s="44">
        <f ca="1">_xll.DBRW($C$1,$C$2,$C$3,$C$4,$C$6,$C$5,$C$7,S$1,S$2,$A319)</f>
        <v>0</v>
      </c>
      <c r="T319" s="44">
        <f ca="1">_xll.DBRW($C$1,$C$2,$C$3,$C$4,$C$6,$C$5,$C$7,T$1,T$2,$A319)</f>
        <v>0</v>
      </c>
      <c r="U319" s="44">
        <f ca="1">_xll.DBRW($C$1,$C$2,$C$3,$C$4,$C$6,$C$5,$C$7,U$1,U$2,$A319)</f>
        <v>0</v>
      </c>
      <c r="V319" s="44">
        <f ca="1">_xll.DBRW($C$1,$C$2,$C$3,$C$4,$C$6,$C$5,$C$7,V$1,V$2,$A319)</f>
        <v>0</v>
      </c>
      <c r="W319" s="44">
        <f ca="1">_xll.DBRW($C$1,$C$2,$C$3,$C$4,$C$6,$C$5,$C$7,W$1,W$2,$A319)</f>
        <v>0</v>
      </c>
      <c r="X319" s="44">
        <f ca="1">_xll.DBRW($C$1,$C$2,$C$3,$C$4,$C$6,$C$5,$C$7,X$1,X$2,$A319)</f>
        <v>0</v>
      </c>
      <c r="Y319" s="44">
        <f ca="1">_xll.DBRW($C$1,$C$2,$C$3,$C$4,$C$6,$C$5,$C$7,Y$1,Y$2,$A319)</f>
        <v>0</v>
      </c>
      <c r="Z319" s="44">
        <f ca="1">_xll.DBRW($C$1,$C$2,$C$3,$C$4,$C$6,$C$5,$C$7,Z$1,Z$2,$A319)</f>
        <v>0</v>
      </c>
      <c r="AA319" s="44">
        <f ca="1">_xll.DBRW($C$1,$C$2,$C$3,$C$4,$C$6,$C$5,$C$7,AA$1,AA$2,$A319)</f>
        <v>0</v>
      </c>
      <c r="AB319" s="44">
        <f ca="1">_xll.DBRW($C$1,$C$2,$C$3,$C$4,$C$6,$C$5,$C$7,AB$1,AB$2,$A319)</f>
        <v>0</v>
      </c>
      <c r="AC319" s="44">
        <f ca="1">_xll.DBRW($C$1,$C$2,$C$3,$C$4,$C$6,$C$5,$C$7,AC$1,AC$2,$A319)</f>
        <v>0</v>
      </c>
      <c r="AD319" s="44">
        <f ca="1">_xll.DBRW($C$1,$C$2,$C$3,$C$4,$C$6,$C$5,$C$7,AD$1,AD$2,$A319)</f>
        <v>0</v>
      </c>
      <c r="AE319" s="44">
        <f ca="1">_xll.DBRW($C$1,$C$2,$C$3,$C$4,$C$6,$C$5,$C$7,AE$1,AE$2,$A319)</f>
        <v>0</v>
      </c>
      <c r="AF319" s="44">
        <f ca="1">_xll.DBRW($C$1,$C$2,$C$3,$C$4,$C$6,$C$5,$C$7,AF$1,AF$2,$A319)</f>
        <v>0</v>
      </c>
      <c r="AG319" s="44">
        <f ca="1">_xll.DBRW($C$1,$C$2,$C$3,$C$4,$C$6,$C$5,$C$7,AG$1,AG$2,$A319)</f>
        <v>0</v>
      </c>
      <c r="AH319" s="44">
        <f ca="1">_xll.DBRW($C$1,$C$2,$C$3,$C$4,$C$6,$C$5,$C$7,AH$1,AH$2,$A319)</f>
        <v>0</v>
      </c>
      <c r="AI319" s="44">
        <f ca="1">_xll.DBRW($C$1,$C$2,$C$3,$C$4,$C$6,$C$5,$C$7,AI$1,AI$2,$A319)</f>
        <v>0</v>
      </c>
      <c r="AJ319" s="44">
        <f ca="1">_xll.DBRW($C$1,$C$2,$C$3,$C$4,$C$6,$C$5,$C$7,AJ$1,AJ$2,$A319)</f>
        <v>0</v>
      </c>
      <c r="AK319" s="44">
        <f ca="1">_xll.DBRW($C$1,$C$2,$C$3,$C$4,$C$6,$C$5,$C$7,AK$1,AK$2,$A319)</f>
        <v>0</v>
      </c>
      <c r="AL319" s="44">
        <f ca="1">_xll.DBRW($C$1,$C$2,$C$3,$C$4,$C$6,$C$5,$C$7,AL$1,AL$2,$A319)</f>
        <v>0</v>
      </c>
      <c r="AM319" s="44">
        <f ca="1">_xll.DBRW($C$1,$C$2,$C$3,$C$4,$C$6,$C$5,$C$7,AM$1,AM$2,$A319)</f>
        <v>0</v>
      </c>
      <c r="AN319" s="44">
        <f ca="1">_xll.DBRW($C$1,$C$2,$C$3,$C$4,$C$6,$C$5,$C$7,AN$1,AN$2,$A319)</f>
        <v>0</v>
      </c>
      <c r="AO319" s="44">
        <f ca="1">_xll.DBRW($C$1,$C$2,$C$3,$C$4,$C$6,$C$5,$C$7,AO$1,AO$2,$A319)</f>
        <v>0</v>
      </c>
      <c r="AP319" s="44">
        <f ca="1">_xll.DBRW($C$1,$C$2,$C$3,$C$4,$C$6,$C$5,$C$7,AP$1,AP$2,$A319)</f>
        <v>0</v>
      </c>
      <c r="AQ319" s="44">
        <f ca="1">_xll.DBRW($C$1,$C$2,$C$3,$C$4,$C$6,$C$5,$C$7,AQ$1,AQ$2,$A319)</f>
        <v>0</v>
      </c>
      <c r="AR319" s="44">
        <f ca="1">_xll.DBRW($C$1,$C$2,$C$3,$C$4,$C$6,$C$5,$C$7,AR$1,AR$2,$A319)</f>
        <v>0</v>
      </c>
      <c r="AS319" s="44">
        <f ca="1">_xll.DBRW($C$1,$C$2,$C$3,$C$4,$C$6,$C$5,$C$7,AS$1,AS$2,$A319)</f>
        <v>0</v>
      </c>
      <c r="AT319" s="44">
        <f ca="1">_xll.DBRW($C$1,$C$2,$C$3,$C$4,$C$6,$C$5,$C$7,AT$1,AT$2,$A319)</f>
        <v>0</v>
      </c>
      <c r="AU319" s="44">
        <f ca="1">_xll.DBRW($C$1,$C$2,$C$3,$C$4,$C$6,$C$5,$C$7,AU$1,AU$2,$A319)</f>
        <v>0</v>
      </c>
      <c r="AV319" s="44">
        <f ca="1">_xll.DBRW($C$1,$C$2,$C$3,$C$4,$C$6,$C$5,$C$7,AV$1,AV$2,$A319)</f>
        <v>0</v>
      </c>
      <c r="AW319" s="44">
        <f ca="1">_xll.DBRW($C$1,$C$2,$C$3,$C$4,$C$6,$C$5,$C$7,AW$1,AW$2,$A319)</f>
        <v>0</v>
      </c>
      <c r="AX319" s="44">
        <f ca="1">_xll.DBRW($C$1,$C$2,$C$3,$C$4,$C$6,$C$5,$C$7,AX$1,AX$2,$A319)</f>
        <v>0</v>
      </c>
      <c r="AY319" s="44">
        <f ca="1">_xll.DBRW($C$1,$C$2,$C$3,$C$4,$C$6,$C$5,$C$7,AY$1,AY$2,$A319)</f>
        <v>0</v>
      </c>
    </row>
    <row r="320" spans="1:51" ht="15.75" hidden="1" customHeight="1" outlineLevel="1">
      <c r="A320" s="1" t="s">
        <v>364</v>
      </c>
      <c r="C320" s="109"/>
      <c r="E320" s="9" t="str">
        <f ca="1">_xll.DBRW(Server&amp;"}ElementAttributes_Indicator",A320,"code_English")</f>
        <v>Nb_FTE_Drivers - Number of FTE Drivers</v>
      </c>
      <c r="F320" s="44">
        <f ca="1">_xll.DBRW($C$1,$C$2,$C$3,$C$4,$C$6,$C$5,$C$7,F$1,F$2,$A320)</f>
        <v>0</v>
      </c>
      <c r="G320" s="44">
        <f ca="1">_xll.DBRW($C$1,$C$2,$C$3,$C$4,$C$6,$C$5,$C$7,G$1,G$2,$A320)</f>
        <v>0</v>
      </c>
      <c r="H320" s="44">
        <f ca="1">_xll.DBRW($C$1,$C$2,$C$3,$C$4,$C$6,$C$5,$C$7,H$1,H$2,$A320)</f>
        <v>0</v>
      </c>
      <c r="I320" s="44">
        <f ca="1">_xll.DBRW($C$1,$C$2,$C$3,$C$4,$C$6,$C$5,$C$7,I$1,I$2,$A320)</f>
        <v>0</v>
      </c>
      <c r="J320" s="44">
        <f ca="1">_xll.DBRW($C$1,$C$2,$C$3,$C$4,$C$6,$C$5,$C$7,J$1,J$2,$A320)</f>
        <v>0</v>
      </c>
      <c r="K320" s="44">
        <f ca="1">_xll.DBRW($C$1,$C$2,$C$3,$C$4,$C$6,$C$5,$C$7,K$1,K$2,$A320)</f>
        <v>0</v>
      </c>
      <c r="L320" s="44">
        <f ca="1">_xll.DBRW($C$1,$C$2,$C$3,$C$4,$C$6,$C$5,$C$7,L$1,L$2,$A320)</f>
        <v>0</v>
      </c>
      <c r="M320" s="44">
        <f ca="1">_xll.DBRW($C$1,$C$2,$C$3,$C$4,$C$6,$C$5,$C$7,M$1,M$2,$A320)</f>
        <v>0</v>
      </c>
      <c r="N320" s="44">
        <f ca="1">_xll.DBRW($C$1,$C$2,$C$3,$C$4,$C$6,$C$5,$C$7,N$1,N$2,$A320)</f>
        <v>0</v>
      </c>
      <c r="O320" s="44">
        <f ca="1">_xll.DBRW($C$1,$C$2,$C$3,$C$4,$C$6,$C$5,$C$7,O$1,O$2,$A320)</f>
        <v>0</v>
      </c>
      <c r="P320" s="44">
        <f ca="1">_xll.DBRW($C$1,$C$2,$C$3,$C$4,$C$6,$C$5,$C$7,P$1,P$2,$A320)</f>
        <v>0</v>
      </c>
      <c r="Q320" s="44">
        <f ca="1">_xll.DBRW($C$1,$C$2,$C$3,$C$4,$C$6,$C$5,$C$7,Q$1,Q$2,$A320)</f>
        <v>0</v>
      </c>
      <c r="R320" s="44">
        <f ca="1">_xll.DBRW($C$1,$C$2,$C$3,$C$4,$C$6,$C$5,$C$7,R$1,R$2,$A320)</f>
        <v>0</v>
      </c>
      <c r="S320" s="44">
        <f ca="1">_xll.DBRW($C$1,$C$2,$C$3,$C$4,$C$6,$C$5,$C$7,S$1,S$2,$A320)</f>
        <v>0</v>
      </c>
      <c r="T320" s="44">
        <f ca="1">_xll.DBRW($C$1,$C$2,$C$3,$C$4,$C$6,$C$5,$C$7,T$1,T$2,$A320)</f>
        <v>0</v>
      </c>
      <c r="U320" s="44">
        <f ca="1">_xll.DBRW($C$1,$C$2,$C$3,$C$4,$C$6,$C$5,$C$7,U$1,U$2,$A320)</f>
        <v>0</v>
      </c>
      <c r="V320" s="44">
        <f ca="1">_xll.DBRW($C$1,$C$2,$C$3,$C$4,$C$6,$C$5,$C$7,V$1,V$2,$A320)</f>
        <v>0</v>
      </c>
      <c r="W320" s="44">
        <f ca="1">_xll.DBRW($C$1,$C$2,$C$3,$C$4,$C$6,$C$5,$C$7,W$1,W$2,$A320)</f>
        <v>0</v>
      </c>
      <c r="X320" s="44">
        <f ca="1">_xll.DBRW($C$1,$C$2,$C$3,$C$4,$C$6,$C$5,$C$7,X$1,X$2,$A320)</f>
        <v>0</v>
      </c>
      <c r="Y320" s="44">
        <f ca="1">_xll.DBRW($C$1,$C$2,$C$3,$C$4,$C$6,$C$5,$C$7,Y$1,Y$2,$A320)</f>
        <v>0</v>
      </c>
      <c r="Z320" s="44">
        <f ca="1">_xll.DBRW($C$1,$C$2,$C$3,$C$4,$C$6,$C$5,$C$7,Z$1,Z$2,$A320)</f>
        <v>0</v>
      </c>
      <c r="AA320" s="44">
        <f ca="1">_xll.DBRW($C$1,$C$2,$C$3,$C$4,$C$6,$C$5,$C$7,AA$1,AA$2,$A320)</f>
        <v>0</v>
      </c>
      <c r="AB320" s="44">
        <f ca="1">_xll.DBRW($C$1,$C$2,$C$3,$C$4,$C$6,$C$5,$C$7,AB$1,AB$2,$A320)</f>
        <v>0</v>
      </c>
      <c r="AC320" s="44">
        <f ca="1">_xll.DBRW($C$1,$C$2,$C$3,$C$4,$C$6,$C$5,$C$7,AC$1,AC$2,$A320)</f>
        <v>0</v>
      </c>
      <c r="AD320" s="44">
        <f ca="1">_xll.DBRW($C$1,$C$2,$C$3,$C$4,$C$6,$C$5,$C$7,AD$1,AD$2,$A320)</f>
        <v>0</v>
      </c>
      <c r="AE320" s="44">
        <f ca="1">_xll.DBRW($C$1,$C$2,$C$3,$C$4,$C$6,$C$5,$C$7,AE$1,AE$2,$A320)</f>
        <v>0</v>
      </c>
      <c r="AF320" s="44">
        <f ca="1">_xll.DBRW($C$1,$C$2,$C$3,$C$4,$C$6,$C$5,$C$7,AF$1,AF$2,$A320)</f>
        <v>0</v>
      </c>
      <c r="AG320" s="44">
        <f ca="1">_xll.DBRW($C$1,$C$2,$C$3,$C$4,$C$6,$C$5,$C$7,AG$1,AG$2,$A320)</f>
        <v>0</v>
      </c>
      <c r="AH320" s="44">
        <f ca="1">_xll.DBRW($C$1,$C$2,$C$3,$C$4,$C$6,$C$5,$C$7,AH$1,AH$2,$A320)</f>
        <v>0</v>
      </c>
      <c r="AI320" s="44">
        <f ca="1">_xll.DBRW($C$1,$C$2,$C$3,$C$4,$C$6,$C$5,$C$7,AI$1,AI$2,$A320)</f>
        <v>0</v>
      </c>
      <c r="AJ320" s="44">
        <f ca="1">_xll.DBRW($C$1,$C$2,$C$3,$C$4,$C$6,$C$5,$C$7,AJ$1,AJ$2,$A320)</f>
        <v>0</v>
      </c>
      <c r="AK320" s="44">
        <f ca="1">_xll.DBRW($C$1,$C$2,$C$3,$C$4,$C$6,$C$5,$C$7,AK$1,AK$2,$A320)</f>
        <v>0</v>
      </c>
      <c r="AL320" s="44">
        <f ca="1">_xll.DBRW($C$1,$C$2,$C$3,$C$4,$C$6,$C$5,$C$7,AL$1,AL$2,$A320)</f>
        <v>0</v>
      </c>
      <c r="AM320" s="44">
        <f ca="1">_xll.DBRW($C$1,$C$2,$C$3,$C$4,$C$6,$C$5,$C$7,AM$1,AM$2,$A320)</f>
        <v>0</v>
      </c>
      <c r="AN320" s="44">
        <f ca="1">_xll.DBRW($C$1,$C$2,$C$3,$C$4,$C$6,$C$5,$C$7,AN$1,AN$2,$A320)</f>
        <v>0</v>
      </c>
      <c r="AO320" s="44">
        <f ca="1">_xll.DBRW($C$1,$C$2,$C$3,$C$4,$C$6,$C$5,$C$7,AO$1,AO$2,$A320)</f>
        <v>0</v>
      </c>
      <c r="AP320" s="44">
        <f ca="1">_xll.DBRW($C$1,$C$2,$C$3,$C$4,$C$6,$C$5,$C$7,AP$1,AP$2,$A320)</f>
        <v>0</v>
      </c>
      <c r="AQ320" s="44">
        <f ca="1">_xll.DBRW($C$1,$C$2,$C$3,$C$4,$C$6,$C$5,$C$7,AQ$1,AQ$2,$A320)</f>
        <v>0</v>
      </c>
      <c r="AR320" s="44">
        <f ca="1">_xll.DBRW($C$1,$C$2,$C$3,$C$4,$C$6,$C$5,$C$7,AR$1,AR$2,$A320)</f>
        <v>0</v>
      </c>
      <c r="AS320" s="44">
        <f ca="1">_xll.DBRW($C$1,$C$2,$C$3,$C$4,$C$6,$C$5,$C$7,AS$1,AS$2,$A320)</f>
        <v>0</v>
      </c>
      <c r="AT320" s="44">
        <f ca="1">_xll.DBRW($C$1,$C$2,$C$3,$C$4,$C$6,$C$5,$C$7,AT$1,AT$2,$A320)</f>
        <v>0</v>
      </c>
      <c r="AU320" s="44">
        <f ca="1">_xll.DBRW($C$1,$C$2,$C$3,$C$4,$C$6,$C$5,$C$7,AU$1,AU$2,$A320)</f>
        <v>0</v>
      </c>
      <c r="AV320" s="44">
        <f ca="1">_xll.DBRW($C$1,$C$2,$C$3,$C$4,$C$6,$C$5,$C$7,AV$1,AV$2,$A320)</f>
        <v>0</v>
      </c>
      <c r="AW320" s="44">
        <f ca="1">_xll.DBRW($C$1,$C$2,$C$3,$C$4,$C$6,$C$5,$C$7,AW$1,AW$2,$A320)</f>
        <v>0</v>
      </c>
      <c r="AX320" s="44">
        <f ca="1">_xll.DBRW($C$1,$C$2,$C$3,$C$4,$C$6,$C$5,$C$7,AX$1,AX$2,$A320)</f>
        <v>0</v>
      </c>
      <c r="AY320" s="44">
        <f ca="1">_xll.DBRW($C$1,$C$2,$C$3,$C$4,$C$6,$C$5,$C$7,AY$1,AY$2,$A320)</f>
        <v>0</v>
      </c>
    </row>
    <row r="321" spans="1:51" ht="15.5" collapsed="1">
      <c r="A321" s="1" t="s">
        <v>142</v>
      </c>
      <c r="C321" s="109"/>
      <c r="E321" s="15" t="s">
        <v>89</v>
      </c>
      <c r="F321" s="45">
        <f ca="1">SUM(F318:F320)</f>
        <v>0</v>
      </c>
      <c r="G321" s="45">
        <f t="shared" ref="G321:AY321" ca="1" si="219">SUM(G318:G320)</f>
        <v>0</v>
      </c>
      <c r="H321" s="45">
        <f t="shared" ca="1" si="219"/>
        <v>0</v>
      </c>
      <c r="I321" s="45">
        <f t="shared" ca="1" si="219"/>
        <v>0</v>
      </c>
      <c r="J321" s="45">
        <f t="shared" ca="1" si="219"/>
        <v>0</v>
      </c>
      <c r="K321" s="45">
        <f t="shared" ca="1" si="219"/>
        <v>0</v>
      </c>
      <c r="L321" s="45">
        <f t="shared" ca="1" si="219"/>
        <v>0</v>
      </c>
      <c r="M321" s="45">
        <f t="shared" ca="1" si="219"/>
        <v>0</v>
      </c>
      <c r="N321" s="45">
        <f t="shared" ca="1" si="219"/>
        <v>0</v>
      </c>
      <c r="O321" s="45">
        <f t="shared" ca="1" si="219"/>
        <v>0</v>
      </c>
      <c r="P321" s="45">
        <f t="shared" ca="1" si="219"/>
        <v>0</v>
      </c>
      <c r="Q321" s="45">
        <f t="shared" ca="1" si="219"/>
        <v>0</v>
      </c>
      <c r="R321" s="45">
        <f t="shared" ca="1" si="219"/>
        <v>0</v>
      </c>
      <c r="S321" s="45">
        <f t="shared" ca="1" si="219"/>
        <v>0</v>
      </c>
      <c r="T321" s="45">
        <f t="shared" ca="1" si="219"/>
        <v>0</v>
      </c>
      <c r="U321" s="45">
        <f t="shared" ca="1" si="219"/>
        <v>0</v>
      </c>
      <c r="V321" s="45">
        <f t="shared" ca="1" si="219"/>
        <v>0</v>
      </c>
      <c r="W321" s="45">
        <f t="shared" ca="1" si="219"/>
        <v>0</v>
      </c>
      <c r="X321" s="45">
        <f t="shared" ca="1" si="219"/>
        <v>0</v>
      </c>
      <c r="Y321" s="45">
        <f t="shared" ca="1" si="219"/>
        <v>0</v>
      </c>
      <c r="Z321" s="45">
        <f t="shared" ca="1" si="219"/>
        <v>0</v>
      </c>
      <c r="AA321" s="45">
        <f t="shared" ca="1" si="219"/>
        <v>0</v>
      </c>
      <c r="AB321" s="45">
        <f t="shared" ca="1" si="219"/>
        <v>0</v>
      </c>
      <c r="AC321" s="45">
        <f t="shared" ca="1" si="219"/>
        <v>0</v>
      </c>
      <c r="AD321" s="45">
        <f t="shared" ca="1" si="219"/>
        <v>0</v>
      </c>
      <c r="AE321" s="45">
        <f t="shared" ca="1" si="219"/>
        <v>0</v>
      </c>
      <c r="AF321" s="45">
        <f t="shared" ca="1" si="219"/>
        <v>0</v>
      </c>
      <c r="AG321" s="45">
        <f t="shared" ca="1" si="219"/>
        <v>0</v>
      </c>
      <c r="AH321" s="45">
        <f t="shared" ca="1" si="219"/>
        <v>0</v>
      </c>
      <c r="AI321" s="45">
        <f t="shared" ca="1" si="219"/>
        <v>0</v>
      </c>
      <c r="AJ321" s="45">
        <f t="shared" ca="1" si="219"/>
        <v>0</v>
      </c>
      <c r="AK321" s="45">
        <f t="shared" ca="1" si="219"/>
        <v>0</v>
      </c>
      <c r="AL321" s="45">
        <f t="shared" ca="1" si="219"/>
        <v>0</v>
      </c>
      <c r="AM321" s="45">
        <f t="shared" ca="1" si="219"/>
        <v>0</v>
      </c>
      <c r="AN321" s="45">
        <f t="shared" ca="1" si="219"/>
        <v>0</v>
      </c>
      <c r="AO321" s="45">
        <f t="shared" ca="1" si="219"/>
        <v>0</v>
      </c>
      <c r="AP321" s="45">
        <f t="shared" ca="1" si="219"/>
        <v>0</v>
      </c>
      <c r="AQ321" s="45">
        <f t="shared" ca="1" si="219"/>
        <v>0</v>
      </c>
      <c r="AR321" s="45">
        <f t="shared" ca="1" si="219"/>
        <v>0</v>
      </c>
      <c r="AS321" s="45">
        <f t="shared" ca="1" si="219"/>
        <v>0</v>
      </c>
      <c r="AT321" s="45">
        <f t="shared" ca="1" si="219"/>
        <v>0</v>
      </c>
      <c r="AU321" s="45">
        <f t="shared" ca="1" si="219"/>
        <v>0</v>
      </c>
      <c r="AV321" s="45">
        <f t="shared" ca="1" si="219"/>
        <v>0</v>
      </c>
      <c r="AW321" s="45">
        <f t="shared" ca="1" si="219"/>
        <v>0</v>
      </c>
      <c r="AX321" s="45">
        <f t="shared" ca="1" si="219"/>
        <v>0</v>
      </c>
      <c r="AY321" s="45">
        <f t="shared" ca="1" si="219"/>
        <v>0</v>
      </c>
    </row>
    <row r="322" spans="1:51" ht="15.75" hidden="1" customHeight="1" outlineLevel="1">
      <c r="A322" s="1" t="s">
        <v>352</v>
      </c>
      <c r="C322" s="109"/>
      <c r="E322" s="9" t="str">
        <f ca="1">_xll.DBRW(Server&amp;"}ElementAttributes_Indicator",A322,"code_English")</f>
        <v>Nb_Maintenance_team - Number of Maintenance collaborators</v>
      </c>
      <c r="F322" s="44">
        <f ca="1">_xll.DBRW($C$1,$C$2,$C$3,$C$4,$C$6,$C$5,$C$7,F$1,F$2,$A322)</f>
        <v>0</v>
      </c>
      <c r="G322" s="44">
        <f ca="1">_xll.DBRW($C$1,$C$2,$C$3,$C$4,$C$6,$C$5,$C$7,G$1,G$2,$A322)</f>
        <v>0</v>
      </c>
      <c r="H322" s="44">
        <f ca="1">_xll.DBRW($C$1,$C$2,$C$3,$C$4,$C$6,$C$5,$C$7,H$1,H$2,$A322)</f>
        <v>0</v>
      </c>
      <c r="I322" s="44">
        <f ca="1">_xll.DBRW($C$1,$C$2,$C$3,$C$4,$C$6,$C$5,$C$7,I$1,I$2,$A322)</f>
        <v>0</v>
      </c>
      <c r="J322" s="44">
        <f ca="1">_xll.DBRW($C$1,$C$2,$C$3,$C$4,$C$6,$C$5,$C$7,J$1,J$2,$A322)</f>
        <v>0</v>
      </c>
      <c r="K322" s="44">
        <f ca="1">_xll.DBRW($C$1,$C$2,$C$3,$C$4,$C$6,$C$5,$C$7,K$1,K$2,$A322)</f>
        <v>0</v>
      </c>
      <c r="L322" s="44">
        <f ca="1">_xll.DBRW($C$1,$C$2,$C$3,$C$4,$C$6,$C$5,$C$7,L$1,L$2,$A322)</f>
        <v>0</v>
      </c>
      <c r="M322" s="44">
        <f ca="1">_xll.DBRW($C$1,$C$2,$C$3,$C$4,$C$6,$C$5,$C$7,M$1,M$2,$A322)</f>
        <v>0</v>
      </c>
      <c r="N322" s="44">
        <f ca="1">_xll.DBRW($C$1,$C$2,$C$3,$C$4,$C$6,$C$5,$C$7,N$1,N$2,$A322)</f>
        <v>0</v>
      </c>
      <c r="O322" s="44">
        <f ca="1">_xll.DBRW($C$1,$C$2,$C$3,$C$4,$C$6,$C$5,$C$7,O$1,O$2,$A322)</f>
        <v>0</v>
      </c>
      <c r="P322" s="44">
        <f ca="1">_xll.DBRW($C$1,$C$2,$C$3,$C$4,$C$6,$C$5,$C$7,P$1,P$2,$A322)</f>
        <v>0</v>
      </c>
      <c r="Q322" s="44">
        <f ca="1">_xll.DBRW($C$1,$C$2,$C$3,$C$4,$C$6,$C$5,$C$7,Q$1,Q$2,$A322)</f>
        <v>0</v>
      </c>
      <c r="R322" s="44">
        <f ca="1">_xll.DBRW($C$1,$C$2,$C$3,$C$4,$C$6,$C$5,$C$7,R$1,R$2,$A322)</f>
        <v>0</v>
      </c>
      <c r="S322" s="44">
        <f ca="1">_xll.DBRW($C$1,$C$2,$C$3,$C$4,$C$6,$C$5,$C$7,S$1,S$2,$A322)</f>
        <v>0</v>
      </c>
      <c r="T322" s="44">
        <f ca="1">_xll.DBRW($C$1,$C$2,$C$3,$C$4,$C$6,$C$5,$C$7,T$1,T$2,$A322)</f>
        <v>0</v>
      </c>
      <c r="U322" s="44">
        <f ca="1">_xll.DBRW($C$1,$C$2,$C$3,$C$4,$C$6,$C$5,$C$7,U$1,U$2,$A322)</f>
        <v>0</v>
      </c>
      <c r="V322" s="44">
        <f ca="1">_xll.DBRW($C$1,$C$2,$C$3,$C$4,$C$6,$C$5,$C$7,V$1,V$2,$A322)</f>
        <v>0</v>
      </c>
      <c r="W322" s="44">
        <f ca="1">_xll.DBRW($C$1,$C$2,$C$3,$C$4,$C$6,$C$5,$C$7,W$1,W$2,$A322)</f>
        <v>0</v>
      </c>
      <c r="X322" s="44">
        <f ca="1">_xll.DBRW($C$1,$C$2,$C$3,$C$4,$C$6,$C$5,$C$7,X$1,X$2,$A322)</f>
        <v>0</v>
      </c>
      <c r="Y322" s="44">
        <f ca="1">_xll.DBRW($C$1,$C$2,$C$3,$C$4,$C$6,$C$5,$C$7,Y$1,Y$2,$A322)</f>
        <v>0</v>
      </c>
      <c r="Z322" s="44">
        <f ca="1">_xll.DBRW($C$1,$C$2,$C$3,$C$4,$C$6,$C$5,$C$7,Z$1,Z$2,$A322)</f>
        <v>0</v>
      </c>
      <c r="AA322" s="44">
        <f ca="1">_xll.DBRW($C$1,$C$2,$C$3,$C$4,$C$6,$C$5,$C$7,AA$1,AA$2,$A322)</f>
        <v>0</v>
      </c>
      <c r="AB322" s="44">
        <f ca="1">_xll.DBRW($C$1,$C$2,$C$3,$C$4,$C$6,$C$5,$C$7,AB$1,AB$2,$A322)</f>
        <v>0</v>
      </c>
      <c r="AC322" s="44">
        <f ca="1">_xll.DBRW($C$1,$C$2,$C$3,$C$4,$C$6,$C$5,$C$7,AC$1,AC$2,$A322)</f>
        <v>0</v>
      </c>
      <c r="AD322" s="44">
        <f ca="1">_xll.DBRW($C$1,$C$2,$C$3,$C$4,$C$6,$C$5,$C$7,AD$1,AD$2,$A322)</f>
        <v>0</v>
      </c>
      <c r="AE322" s="44">
        <f ca="1">_xll.DBRW($C$1,$C$2,$C$3,$C$4,$C$6,$C$5,$C$7,AE$1,AE$2,$A322)</f>
        <v>0</v>
      </c>
      <c r="AF322" s="44">
        <f ca="1">_xll.DBRW($C$1,$C$2,$C$3,$C$4,$C$6,$C$5,$C$7,AF$1,AF$2,$A322)</f>
        <v>0</v>
      </c>
      <c r="AG322" s="44">
        <f ca="1">_xll.DBRW($C$1,$C$2,$C$3,$C$4,$C$6,$C$5,$C$7,AG$1,AG$2,$A322)</f>
        <v>0</v>
      </c>
      <c r="AH322" s="44">
        <f ca="1">_xll.DBRW($C$1,$C$2,$C$3,$C$4,$C$6,$C$5,$C$7,AH$1,AH$2,$A322)</f>
        <v>0</v>
      </c>
      <c r="AI322" s="44">
        <f ca="1">_xll.DBRW($C$1,$C$2,$C$3,$C$4,$C$6,$C$5,$C$7,AI$1,AI$2,$A322)</f>
        <v>0</v>
      </c>
      <c r="AJ322" s="44">
        <f ca="1">_xll.DBRW($C$1,$C$2,$C$3,$C$4,$C$6,$C$5,$C$7,AJ$1,AJ$2,$A322)</f>
        <v>0</v>
      </c>
      <c r="AK322" s="44">
        <f ca="1">_xll.DBRW($C$1,$C$2,$C$3,$C$4,$C$6,$C$5,$C$7,AK$1,AK$2,$A322)</f>
        <v>0</v>
      </c>
      <c r="AL322" s="44">
        <f ca="1">_xll.DBRW($C$1,$C$2,$C$3,$C$4,$C$6,$C$5,$C$7,AL$1,AL$2,$A322)</f>
        <v>0</v>
      </c>
      <c r="AM322" s="44">
        <f ca="1">_xll.DBRW($C$1,$C$2,$C$3,$C$4,$C$6,$C$5,$C$7,AM$1,AM$2,$A322)</f>
        <v>0</v>
      </c>
      <c r="AN322" s="44">
        <f ca="1">_xll.DBRW($C$1,$C$2,$C$3,$C$4,$C$6,$C$5,$C$7,AN$1,AN$2,$A322)</f>
        <v>0</v>
      </c>
      <c r="AO322" s="44">
        <f ca="1">_xll.DBRW($C$1,$C$2,$C$3,$C$4,$C$6,$C$5,$C$7,AO$1,AO$2,$A322)</f>
        <v>0</v>
      </c>
      <c r="AP322" s="44">
        <f ca="1">_xll.DBRW($C$1,$C$2,$C$3,$C$4,$C$6,$C$5,$C$7,AP$1,AP$2,$A322)</f>
        <v>0</v>
      </c>
      <c r="AQ322" s="44">
        <f ca="1">_xll.DBRW($C$1,$C$2,$C$3,$C$4,$C$6,$C$5,$C$7,AQ$1,AQ$2,$A322)</f>
        <v>0</v>
      </c>
      <c r="AR322" s="44">
        <f ca="1">_xll.DBRW($C$1,$C$2,$C$3,$C$4,$C$6,$C$5,$C$7,AR$1,AR$2,$A322)</f>
        <v>0</v>
      </c>
      <c r="AS322" s="44">
        <f ca="1">_xll.DBRW($C$1,$C$2,$C$3,$C$4,$C$6,$C$5,$C$7,AS$1,AS$2,$A322)</f>
        <v>0</v>
      </c>
      <c r="AT322" s="44">
        <f ca="1">_xll.DBRW($C$1,$C$2,$C$3,$C$4,$C$6,$C$5,$C$7,AT$1,AT$2,$A322)</f>
        <v>0</v>
      </c>
      <c r="AU322" s="44">
        <f ca="1">_xll.DBRW($C$1,$C$2,$C$3,$C$4,$C$6,$C$5,$C$7,AU$1,AU$2,$A322)</f>
        <v>0</v>
      </c>
      <c r="AV322" s="44">
        <f ca="1">_xll.DBRW($C$1,$C$2,$C$3,$C$4,$C$6,$C$5,$C$7,AV$1,AV$2,$A322)</f>
        <v>0</v>
      </c>
      <c r="AW322" s="44">
        <f ca="1">_xll.DBRW($C$1,$C$2,$C$3,$C$4,$C$6,$C$5,$C$7,AW$1,AW$2,$A322)</f>
        <v>0</v>
      </c>
      <c r="AX322" s="44">
        <f ca="1">_xll.DBRW($C$1,$C$2,$C$3,$C$4,$C$6,$C$5,$C$7,AX$1,AX$2,$A322)</f>
        <v>0</v>
      </c>
      <c r="AY322" s="44">
        <f ca="1">_xll.DBRW($C$1,$C$2,$C$3,$C$4,$C$6,$C$5,$C$7,AY$1,AY$2,$A322)</f>
        <v>0</v>
      </c>
    </row>
    <row r="323" spans="1:51" ht="15.75" hidden="1" customHeight="1" outlineLevel="1">
      <c r="A323" s="1" t="s">
        <v>365</v>
      </c>
      <c r="C323" s="109"/>
      <c r="E323" s="9" t="str">
        <f ca="1">_xll.DBRW(Server&amp;"}ElementAttributes_Indicator",A323,"code_English")</f>
        <v>Nb_FTE_Maintenance_Technicians - Number of FTE Technicians</v>
      </c>
      <c r="F323" s="44">
        <f ca="1">_xll.DBRW($C$1,$C$2,$C$3,$C$4,$C$6,$C$5,$C$7,F$1,F$2,$A323)</f>
        <v>0</v>
      </c>
      <c r="G323" s="44">
        <f ca="1">_xll.DBRW($C$1,$C$2,$C$3,$C$4,$C$6,$C$5,$C$7,G$1,G$2,$A323)</f>
        <v>0</v>
      </c>
      <c r="H323" s="44">
        <f ca="1">_xll.DBRW($C$1,$C$2,$C$3,$C$4,$C$6,$C$5,$C$7,H$1,H$2,$A323)</f>
        <v>0</v>
      </c>
      <c r="I323" s="44">
        <f ca="1">_xll.DBRW($C$1,$C$2,$C$3,$C$4,$C$6,$C$5,$C$7,I$1,I$2,$A323)</f>
        <v>0</v>
      </c>
      <c r="J323" s="44">
        <f ca="1">_xll.DBRW($C$1,$C$2,$C$3,$C$4,$C$6,$C$5,$C$7,J$1,J$2,$A323)</f>
        <v>0</v>
      </c>
      <c r="K323" s="44">
        <f ca="1">_xll.DBRW($C$1,$C$2,$C$3,$C$4,$C$6,$C$5,$C$7,K$1,K$2,$A323)</f>
        <v>0</v>
      </c>
      <c r="L323" s="44">
        <f ca="1">_xll.DBRW($C$1,$C$2,$C$3,$C$4,$C$6,$C$5,$C$7,L$1,L$2,$A323)</f>
        <v>0</v>
      </c>
      <c r="M323" s="44">
        <f ca="1">_xll.DBRW($C$1,$C$2,$C$3,$C$4,$C$6,$C$5,$C$7,M$1,M$2,$A323)</f>
        <v>0</v>
      </c>
      <c r="N323" s="44">
        <f ca="1">_xll.DBRW($C$1,$C$2,$C$3,$C$4,$C$6,$C$5,$C$7,N$1,N$2,$A323)</f>
        <v>0</v>
      </c>
      <c r="O323" s="44">
        <f ca="1">_xll.DBRW($C$1,$C$2,$C$3,$C$4,$C$6,$C$5,$C$7,O$1,O$2,$A323)</f>
        <v>0</v>
      </c>
      <c r="P323" s="44">
        <f ca="1">_xll.DBRW($C$1,$C$2,$C$3,$C$4,$C$6,$C$5,$C$7,P$1,P$2,$A323)</f>
        <v>0</v>
      </c>
      <c r="Q323" s="44">
        <f ca="1">_xll.DBRW($C$1,$C$2,$C$3,$C$4,$C$6,$C$5,$C$7,Q$1,Q$2,$A323)</f>
        <v>0</v>
      </c>
      <c r="R323" s="44">
        <f ca="1">_xll.DBRW($C$1,$C$2,$C$3,$C$4,$C$6,$C$5,$C$7,R$1,R$2,$A323)</f>
        <v>0</v>
      </c>
      <c r="S323" s="44">
        <f ca="1">_xll.DBRW($C$1,$C$2,$C$3,$C$4,$C$6,$C$5,$C$7,S$1,S$2,$A323)</f>
        <v>0</v>
      </c>
      <c r="T323" s="44">
        <f ca="1">_xll.DBRW($C$1,$C$2,$C$3,$C$4,$C$6,$C$5,$C$7,T$1,T$2,$A323)</f>
        <v>0</v>
      </c>
      <c r="U323" s="44">
        <f ca="1">_xll.DBRW($C$1,$C$2,$C$3,$C$4,$C$6,$C$5,$C$7,U$1,U$2,$A323)</f>
        <v>0</v>
      </c>
      <c r="V323" s="44">
        <f ca="1">_xll.DBRW($C$1,$C$2,$C$3,$C$4,$C$6,$C$5,$C$7,V$1,V$2,$A323)</f>
        <v>0</v>
      </c>
      <c r="W323" s="44">
        <f ca="1">_xll.DBRW($C$1,$C$2,$C$3,$C$4,$C$6,$C$5,$C$7,W$1,W$2,$A323)</f>
        <v>0</v>
      </c>
      <c r="X323" s="44">
        <f ca="1">_xll.DBRW($C$1,$C$2,$C$3,$C$4,$C$6,$C$5,$C$7,X$1,X$2,$A323)</f>
        <v>0</v>
      </c>
      <c r="Y323" s="44">
        <f ca="1">_xll.DBRW($C$1,$C$2,$C$3,$C$4,$C$6,$C$5,$C$7,Y$1,Y$2,$A323)</f>
        <v>0</v>
      </c>
      <c r="Z323" s="44">
        <f ca="1">_xll.DBRW($C$1,$C$2,$C$3,$C$4,$C$6,$C$5,$C$7,Z$1,Z$2,$A323)</f>
        <v>0</v>
      </c>
      <c r="AA323" s="44">
        <f ca="1">_xll.DBRW($C$1,$C$2,$C$3,$C$4,$C$6,$C$5,$C$7,AA$1,AA$2,$A323)</f>
        <v>0</v>
      </c>
      <c r="AB323" s="44">
        <f ca="1">_xll.DBRW($C$1,$C$2,$C$3,$C$4,$C$6,$C$5,$C$7,AB$1,AB$2,$A323)</f>
        <v>0</v>
      </c>
      <c r="AC323" s="44">
        <f ca="1">_xll.DBRW($C$1,$C$2,$C$3,$C$4,$C$6,$C$5,$C$7,AC$1,AC$2,$A323)</f>
        <v>0</v>
      </c>
      <c r="AD323" s="44">
        <f ca="1">_xll.DBRW($C$1,$C$2,$C$3,$C$4,$C$6,$C$5,$C$7,AD$1,AD$2,$A323)</f>
        <v>0</v>
      </c>
      <c r="AE323" s="44">
        <f ca="1">_xll.DBRW($C$1,$C$2,$C$3,$C$4,$C$6,$C$5,$C$7,AE$1,AE$2,$A323)</f>
        <v>0</v>
      </c>
      <c r="AF323" s="44">
        <f ca="1">_xll.DBRW($C$1,$C$2,$C$3,$C$4,$C$6,$C$5,$C$7,AF$1,AF$2,$A323)</f>
        <v>0</v>
      </c>
      <c r="AG323" s="44">
        <f ca="1">_xll.DBRW($C$1,$C$2,$C$3,$C$4,$C$6,$C$5,$C$7,AG$1,AG$2,$A323)</f>
        <v>0</v>
      </c>
      <c r="AH323" s="44">
        <f ca="1">_xll.DBRW($C$1,$C$2,$C$3,$C$4,$C$6,$C$5,$C$7,AH$1,AH$2,$A323)</f>
        <v>0</v>
      </c>
      <c r="AI323" s="44">
        <f ca="1">_xll.DBRW($C$1,$C$2,$C$3,$C$4,$C$6,$C$5,$C$7,AI$1,AI$2,$A323)</f>
        <v>0</v>
      </c>
      <c r="AJ323" s="44">
        <f ca="1">_xll.DBRW($C$1,$C$2,$C$3,$C$4,$C$6,$C$5,$C$7,AJ$1,AJ$2,$A323)</f>
        <v>0</v>
      </c>
      <c r="AK323" s="44">
        <f ca="1">_xll.DBRW($C$1,$C$2,$C$3,$C$4,$C$6,$C$5,$C$7,AK$1,AK$2,$A323)</f>
        <v>0</v>
      </c>
      <c r="AL323" s="44">
        <f ca="1">_xll.DBRW($C$1,$C$2,$C$3,$C$4,$C$6,$C$5,$C$7,AL$1,AL$2,$A323)</f>
        <v>0</v>
      </c>
      <c r="AM323" s="44">
        <f ca="1">_xll.DBRW($C$1,$C$2,$C$3,$C$4,$C$6,$C$5,$C$7,AM$1,AM$2,$A323)</f>
        <v>0</v>
      </c>
      <c r="AN323" s="44">
        <f ca="1">_xll.DBRW($C$1,$C$2,$C$3,$C$4,$C$6,$C$5,$C$7,AN$1,AN$2,$A323)</f>
        <v>0</v>
      </c>
      <c r="AO323" s="44">
        <f ca="1">_xll.DBRW($C$1,$C$2,$C$3,$C$4,$C$6,$C$5,$C$7,AO$1,AO$2,$A323)</f>
        <v>0</v>
      </c>
      <c r="AP323" s="44">
        <f ca="1">_xll.DBRW($C$1,$C$2,$C$3,$C$4,$C$6,$C$5,$C$7,AP$1,AP$2,$A323)</f>
        <v>0</v>
      </c>
      <c r="AQ323" s="44">
        <f ca="1">_xll.DBRW($C$1,$C$2,$C$3,$C$4,$C$6,$C$5,$C$7,AQ$1,AQ$2,$A323)</f>
        <v>0</v>
      </c>
      <c r="AR323" s="44">
        <f ca="1">_xll.DBRW($C$1,$C$2,$C$3,$C$4,$C$6,$C$5,$C$7,AR$1,AR$2,$A323)</f>
        <v>0</v>
      </c>
      <c r="AS323" s="44">
        <f ca="1">_xll.DBRW($C$1,$C$2,$C$3,$C$4,$C$6,$C$5,$C$7,AS$1,AS$2,$A323)</f>
        <v>0</v>
      </c>
      <c r="AT323" s="44">
        <f ca="1">_xll.DBRW($C$1,$C$2,$C$3,$C$4,$C$6,$C$5,$C$7,AT$1,AT$2,$A323)</f>
        <v>0</v>
      </c>
      <c r="AU323" s="44">
        <f ca="1">_xll.DBRW($C$1,$C$2,$C$3,$C$4,$C$6,$C$5,$C$7,AU$1,AU$2,$A323)</f>
        <v>0</v>
      </c>
      <c r="AV323" s="44">
        <f ca="1">_xll.DBRW($C$1,$C$2,$C$3,$C$4,$C$6,$C$5,$C$7,AV$1,AV$2,$A323)</f>
        <v>0</v>
      </c>
      <c r="AW323" s="44">
        <f ca="1">_xll.DBRW($C$1,$C$2,$C$3,$C$4,$C$6,$C$5,$C$7,AW$1,AW$2,$A323)</f>
        <v>0</v>
      </c>
      <c r="AX323" s="44">
        <f ca="1">_xll.DBRW($C$1,$C$2,$C$3,$C$4,$C$6,$C$5,$C$7,AX$1,AX$2,$A323)</f>
        <v>0</v>
      </c>
      <c r="AY323" s="44">
        <f ca="1">_xll.DBRW($C$1,$C$2,$C$3,$C$4,$C$6,$C$5,$C$7,AY$1,AY$2,$A323)</f>
        <v>0</v>
      </c>
    </row>
    <row r="324" spans="1:51" ht="15.5" collapsed="1">
      <c r="A324" s="1" t="s">
        <v>142</v>
      </c>
      <c r="C324" s="109"/>
      <c r="E324" s="15" t="s">
        <v>90</v>
      </c>
      <c r="F324" s="45">
        <f ca="1">SUM(F322:F323)</f>
        <v>0</v>
      </c>
      <c r="G324" s="45">
        <f t="shared" ref="G324:AY324" ca="1" si="220">SUM(G322:G323)</f>
        <v>0</v>
      </c>
      <c r="H324" s="45">
        <f t="shared" ca="1" si="220"/>
        <v>0</v>
      </c>
      <c r="I324" s="45">
        <f t="shared" ca="1" si="220"/>
        <v>0</v>
      </c>
      <c r="J324" s="45">
        <f t="shared" ca="1" si="220"/>
        <v>0</v>
      </c>
      <c r="K324" s="45">
        <f t="shared" ca="1" si="220"/>
        <v>0</v>
      </c>
      <c r="L324" s="45">
        <f t="shared" ca="1" si="220"/>
        <v>0</v>
      </c>
      <c r="M324" s="45">
        <f t="shared" ca="1" si="220"/>
        <v>0</v>
      </c>
      <c r="N324" s="45">
        <f t="shared" ca="1" si="220"/>
        <v>0</v>
      </c>
      <c r="O324" s="45">
        <f t="shared" ca="1" si="220"/>
        <v>0</v>
      </c>
      <c r="P324" s="45">
        <f t="shared" ca="1" si="220"/>
        <v>0</v>
      </c>
      <c r="Q324" s="45">
        <f t="shared" ca="1" si="220"/>
        <v>0</v>
      </c>
      <c r="R324" s="45">
        <f t="shared" ca="1" si="220"/>
        <v>0</v>
      </c>
      <c r="S324" s="45">
        <f t="shared" ca="1" si="220"/>
        <v>0</v>
      </c>
      <c r="T324" s="45">
        <f t="shared" ca="1" si="220"/>
        <v>0</v>
      </c>
      <c r="U324" s="45">
        <f t="shared" ca="1" si="220"/>
        <v>0</v>
      </c>
      <c r="V324" s="45">
        <f t="shared" ca="1" si="220"/>
        <v>0</v>
      </c>
      <c r="W324" s="45">
        <f t="shared" ca="1" si="220"/>
        <v>0</v>
      </c>
      <c r="X324" s="45">
        <f t="shared" ca="1" si="220"/>
        <v>0</v>
      </c>
      <c r="Y324" s="45">
        <f t="shared" ca="1" si="220"/>
        <v>0</v>
      </c>
      <c r="Z324" s="45">
        <f t="shared" ca="1" si="220"/>
        <v>0</v>
      </c>
      <c r="AA324" s="45">
        <f t="shared" ca="1" si="220"/>
        <v>0</v>
      </c>
      <c r="AB324" s="45">
        <f t="shared" ca="1" si="220"/>
        <v>0</v>
      </c>
      <c r="AC324" s="45">
        <f t="shared" ca="1" si="220"/>
        <v>0</v>
      </c>
      <c r="AD324" s="45">
        <f t="shared" ca="1" si="220"/>
        <v>0</v>
      </c>
      <c r="AE324" s="45">
        <f t="shared" ca="1" si="220"/>
        <v>0</v>
      </c>
      <c r="AF324" s="45">
        <f t="shared" ca="1" si="220"/>
        <v>0</v>
      </c>
      <c r="AG324" s="45">
        <f t="shared" ca="1" si="220"/>
        <v>0</v>
      </c>
      <c r="AH324" s="45">
        <f t="shared" ca="1" si="220"/>
        <v>0</v>
      </c>
      <c r="AI324" s="45">
        <f t="shared" ca="1" si="220"/>
        <v>0</v>
      </c>
      <c r="AJ324" s="45">
        <f t="shared" ca="1" si="220"/>
        <v>0</v>
      </c>
      <c r="AK324" s="45">
        <f t="shared" ca="1" si="220"/>
        <v>0</v>
      </c>
      <c r="AL324" s="45">
        <f t="shared" ca="1" si="220"/>
        <v>0</v>
      </c>
      <c r="AM324" s="45">
        <f t="shared" ca="1" si="220"/>
        <v>0</v>
      </c>
      <c r="AN324" s="45">
        <f t="shared" ca="1" si="220"/>
        <v>0</v>
      </c>
      <c r="AO324" s="45">
        <f t="shared" ca="1" si="220"/>
        <v>0</v>
      </c>
      <c r="AP324" s="45">
        <f t="shared" ca="1" si="220"/>
        <v>0</v>
      </c>
      <c r="AQ324" s="45">
        <f t="shared" ca="1" si="220"/>
        <v>0</v>
      </c>
      <c r="AR324" s="45">
        <f t="shared" ca="1" si="220"/>
        <v>0</v>
      </c>
      <c r="AS324" s="45">
        <f t="shared" ca="1" si="220"/>
        <v>0</v>
      </c>
      <c r="AT324" s="45">
        <f t="shared" ca="1" si="220"/>
        <v>0</v>
      </c>
      <c r="AU324" s="45">
        <f t="shared" ca="1" si="220"/>
        <v>0</v>
      </c>
      <c r="AV324" s="45">
        <f t="shared" ca="1" si="220"/>
        <v>0</v>
      </c>
      <c r="AW324" s="45">
        <f t="shared" ca="1" si="220"/>
        <v>0</v>
      </c>
      <c r="AX324" s="45">
        <f t="shared" ca="1" si="220"/>
        <v>0</v>
      </c>
      <c r="AY324" s="45">
        <f t="shared" ca="1" si="220"/>
        <v>0</v>
      </c>
    </row>
    <row r="325" spans="1:51" ht="15.75" hidden="1" customHeight="1" outlineLevel="1">
      <c r="A325" s="1" t="s">
        <v>366</v>
      </c>
      <c r="C325" s="109"/>
      <c r="E325" s="9" t="str">
        <f ca="1">_xll.DBRW(Server&amp;"}ElementAttributes_Indicator",A325,"code_English")</f>
        <v>Nb_FTE_Operations_Others - Number of FTE Other Operation Staff</v>
      </c>
      <c r="F325" s="45">
        <f ca="1">SUM(F323:F324)</f>
        <v>0</v>
      </c>
      <c r="G325" s="45">
        <f t="shared" ref="G325:AY325" ca="1" si="221">SUM(G323:G324)</f>
        <v>0</v>
      </c>
      <c r="H325" s="45">
        <f t="shared" ca="1" si="221"/>
        <v>0</v>
      </c>
      <c r="I325" s="45">
        <f t="shared" ca="1" si="221"/>
        <v>0</v>
      </c>
      <c r="J325" s="45">
        <f t="shared" ca="1" si="221"/>
        <v>0</v>
      </c>
      <c r="K325" s="45">
        <f t="shared" ca="1" si="221"/>
        <v>0</v>
      </c>
      <c r="L325" s="45">
        <f t="shared" ca="1" si="221"/>
        <v>0</v>
      </c>
      <c r="M325" s="45">
        <f t="shared" ca="1" si="221"/>
        <v>0</v>
      </c>
      <c r="N325" s="45">
        <f t="shared" ca="1" si="221"/>
        <v>0</v>
      </c>
      <c r="O325" s="45">
        <f t="shared" ca="1" si="221"/>
        <v>0</v>
      </c>
      <c r="P325" s="45">
        <f t="shared" ca="1" si="221"/>
        <v>0</v>
      </c>
      <c r="Q325" s="45">
        <f t="shared" ca="1" si="221"/>
        <v>0</v>
      </c>
      <c r="R325" s="45">
        <f t="shared" ca="1" si="221"/>
        <v>0</v>
      </c>
      <c r="S325" s="45">
        <f t="shared" ca="1" si="221"/>
        <v>0</v>
      </c>
      <c r="T325" s="45">
        <f t="shared" ca="1" si="221"/>
        <v>0</v>
      </c>
      <c r="U325" s="45">
        <f t="shared" ca="1" si="221"/>
        <v>0</v>
      </c>
      <c r="V325" s="45">
        <f t="shared" ca="1" si="221"/>
        <v>0</v>
      </c>
      <c r="W325" s="45">
        <f t="shared" ca="1" si="221"/>
        <v>0</v>
      </c>
      <c r="X325" s="45">
        <f t="shared" ca="1" si="221"/>
        <v>0</v>
      </c>
      <c r="Y325" s="45">
        <f t="shared" ca="1" si="221"/>
        <v>0</v>
      </c>
      <c r="Z325" s="45">
        <f t="shared" ca="1" si="221"/>
        <v>0</v>
      </c>
      <c r="AA325" s="45">
        <f t="shared" ca="1" si="221"/>
        <v>0</v>
      </c>
      <c r="AB325" s="45">
        <f t="shared" ca="1" si="221"/>
        <v>0</v>
      </c>
      <c r="AC325" s="45">
        <f t="shared" ca="1" si="221"/>
        <v>0</v>
      </c>
      <c r="AD325" s="45">
        <f t="shared" ca="1" si="221"/>
        <v>0</v>
      </c>
      <c r="AE325" s="45">
        <f t="shared" ca="1" si="221"/>
        <v>0</v>
      </c>
      <c r="AF325" s="45">
        <f t="shared" ca="1" si="221"/>
        <v>0</v>
      </c>
      <c r="AG325" s="45">
        <f t="shared" ca="1" si="221"/>
        <v>0</v>
      </c>
      <c r="AH325" s="45">
        <f t="shared" ca="1" si="221"/>
        <v>0</v>
      </c>
      <c r="AI325" s="45">
        <f t="shared" ca="1" si="221"/>
        <v>0</v>
      </c>
      <c r="AJ325" s="45">
        <f t="shared" ca="1" si="221"/>
        <v>0</v>
      </c>
      <c r="AK325" s="45">
        <f t="shared" ca="1" si="221"/>
        <v>0</v>
      </c>
      <c r="AL325" s="45">
        <f t="shared" ca="1" si="221"/>
        <v>0</v>
      </c>
      <c r="AM325" s="45">
        <f t="shared" ca="1" si="221"/>
        <v>0</v>
      </c>
      <c r="AN325" s="45">
        <f t="shared" ca="1" si="221"/>
        <v>0</v>
      </c>
      <c r="AO325" s="45">
        <f t="shared" ca="1" si="221"/>
        <v>0</v>
      </c>
      <c r="AP325" s="45">
        <f t="shared" ca="1" si="221"/>
        <v>0</v>
      </c>
      <c r="AQ325" s="45">
        <f t="shared" ca="1" si="221"/>
        <v>0</v>
      </c>
      <c r="AR325" s="45">
        <f t="shared" ca="1" si="221"/>
        <v>0</v>
      </c>
      <c r="AS325" s="45">
        <f t="shared" ca="1" si="221"/>
        <v>0</v>
      </c>
      <c r="AT325" s="45">
        <f t="shared" ca="1" si="221"/>
        <v>0</v>
      </c>
      <c r="AU325" s="45">
        <f t="shared" ca="1" si="221"/>
        <v>0</v>
      </c>
      <c r="AV325" s="45">
        <f t="shared" ca="1" si="221"/>
        <v>0</v>
      </c>
      <c r="AW325" s="45">
        <f t="shared" ca="1" si="221"/>
        <v>0</v>
      </c>
      <c r="AX325" s="45">
        <f t="shared" ca="1" si="221"/>
        <v>0</v>
      </c>
      <c r="AY325" s="45">
        <f t="shared" ca="1" si="221"/>
        <v>0</v>
      </c>
    </row>
    <row r="326" spans="1:51" ht="15.5" collapsed="1">
      <c r="A326" s="1" t="s">
        <v>142</v>
      </c>
      <c r="C326" s="109"/>
      <c r="E326" s="82" t="s">
        <v>91</v>
      </c>
      <c r="F326" s="45">
        <f ca="1">SUM(F324:F325)</f>
        <v>0</v>
      </c>
      <c r="G326" s="45">
        <f t="shared" ref="G326:AY326" ca="1" si="222">SUM(G324:G325)</f>
        <v>0</v>
      </c>
      <c r="H326" s="45">
        <f t="shared" ca="1" si="222"/>
        <v>0</v>
      </c>
      <c r="I326" s="45">
        <f t="shared" ca="1" si="222"/>
        <v>0</v>
      </c>
      <c r="J326" s="45">
        <f t="shared" ca="1" si="222"/>
        <v>0</v>
      </c>
      <c r="K326" s="45">
        <f t="shared" ca="1" si="222"/>
        <v>0</v>
      </c>
      <c r="L326" s="45">
        <f t="shared" ca="1" si="222"/>
        <v>0</v>
      </c>
      <c r="M326" s="45">
        <f t="shared" ca="1" si="222"/>
        <v>0</v>
      </c>
      <c r="N326" s="45">
        <f t="shared" ca="1" si="222"/>
        <v>0</v>
      </c>
      <c r="O326" s="45">
        <f t="shared" ca="1" si="222"/>
        <v>0</v>
      </c>
      <c r="P326" s="45">
        <f t="shared" ca="1" si="222"/>
        <v>0</v>
      </c>
      <c r="Q326" s="45">
        <f t="shared" ca="1" si="222"/>
        <v>0</v>
      </c>
      <c r="R326" s="45">
        <f t="shared" ca="1" si="222"/>
        <v>0</v>
      </c>
      <c r="S326" s="45">
        <f t="shared" ca="1" si="222"/>
        <v>0</v>
      </c>
      <c r="T326" s="45">
        <f t="shared" ca="1" si="222"/>
        <v>0</v>
      </c>
      <c r="U326" s="45">
        <f t="shared" ca="1" si="222"/>
        <v>0</v>
      </c>
      <c r="V326" s="45">
        <f t="shared" ca="1" si="222"/>
        <v>0</v>
      </c>
      <c r="W326" s="45">
        <f t="shared" ca="1" si="222"/>
        <v>0</v>
      </c>
      <c r="X326" s="45">
        <f t="shared" ca="1" si="222"/>
        <v>0</v>
      </c>
      <c r="Y326" s="45">
        <f t="shared" ca="1" si="222"/>
        <v>0</v>
      </c>
      <c r="Z326" s="45">
        <f t="shared" ca="1" si="222"/>
        <v>0</v>
      </c>
      <c r="AA326" s="45">
        <f t="shared" ca="1" si="222"/>
        <v>0</v>
      </c>
      <c r="AB326" s="45">
        <f t="shared" ca="1" si="222"/>
        <v>0</v>
      </c>
      <c r="AC326" s="45">
        <f t="shared" ca="1" si="222"/>
        <v>0</v>
      </c>
      <c r="AD326" s="45">
        <f t="shared" ca="1" si="222"/>
        <v>0</v>
      </c>
      <c r="AE326" s="45">
        <f t="shared" ca="1" si="222"/>
        <v>0</v>
      </c>
      <c r="AF326" s="45">
        <f t="shared" ca="1" si="222"/>
        <v>0</v>
      </c>
      <c r="AG326" s="45">
        <f t="shared" ca="1" si="222"/>
        <v>0</v>
      </c>
      <c r="AH326" s="45">
        <f t="shared" ca="1" si="222"/>
        <v>0</v>
      </c>
      <c r="AI326" s="45">
        <f t="shared" ca="1" si="222"/>
        <v>0</v>
      </c>
      <c r="AJ326" s="45">
        <f t="shared" ca="1" si="222"/>
        <v>0</v>
      </c>
      <c r="AK326" s="45">
        <f t="shared" ca="1" si="222"/>
        <v>0</v>
      </c>
      <c r="AL326" s="45">
        <f t="shared" ca="1" si="222"/>
        <v>0</v>
      </c>
      <c r="AM326" s="45">
        <f t="shared" ca="1" si="222"/>
        <v>0</v>
      </c>
      <c r="AN326" s="45">
        <f t="shared" ca="1" si="222"/>
        <v>0</v>
      </c>
      <c r="AO326" s="45">
        <f t="shared" ca="1" si="222"/>
        <v>0</v>
      </c>
      <c r="AP326" s="45">
        <f t="shared" ca="1" si="222"/>
        <v>0</v>
      </c>
      <c r="AQ326" s="45">
        <f t="shared" ca="1" si="222"/>
        <v>0</v>
      </c>
      <c r="AR326" s="45">
        <f t="shared" ca="1" si="222"/>
        <v>0</v>
      </c>
      <c r="AS326" s="45">
        <f t="shared" ca="1" si="222"/>
        <v>0</v>
      </c>
      <c r="AT326" s="45">
        <f t="shared" ca="1" si="222"/>
        <v>0</v>
      </c>
      <c r="AU326" s="45">
        <f t="shared" ca="1" si="222"/>
        <v>0</v>
      </c>
      <c r="AV326" s="45">
        <f t="shared" ca="1" si="222"/>
        <v>0</v>
      </c>
      <c r="AW326" s="45">
        <f t="shared" ca="1" si="222"/>
        <v>0</v>
      </c>
      <c r="AX326" s="45">
        <f t="shared" ca="1" si="222"/>
        <v>0</v>
      </c>
      <c r="AY326" s="45">
        <f t="shared" ca="1" si="222"/>
        <v>0</v>
      </c>
    </row>
    <row r="327" spans="1:51" ht="15.75" hidden="1" customHeight="1" outlineLevel="1">
      <c r="A327" s="1" t="s">
        <v>367</v>
      </c>
      <c r="C327" s="109"/>
      <c r="E327" s="9" t="str">
        <f ca="1">_xll.DBRW(Server&amp;"}ElementAttributes_Indicator",A327,"code_English")</f>
        <v>Nb_FTE_Maintenance_Others - Number of FTE Other Maintenance Staff</v>
      </c>
      <c r="F327" s="45">
        <f ca="1">SUM(F325:F326)</f>
        <v>0</v>
      </c>
      <c r="G327" s="45">
        <f t="shared" ref="G327:AY327" ca="1" si="223">SUM(G325:G326)</f>
        <v>0</v>
      </c>
      <c r="H327" s="45">
        <f t="shared" ca="1" si="223"/>
        <v>0</v>
      </c>
      <c r="I327" s="45">
        <f t="shared" ca="1" si="223"/>
        <v>0</v>
      </c>
      <c r="J327" s="45">
        <f t="shared" ca="1" si="223"/>
        <v>0</v>
      </c>
      <c r="K327" s="45">
        <f t="shared" ca="1" si="223"/>
        <v>0</v>
      </c>
      <c r="L327" s="45">
        <f t="shared" ca="1" si="223"/>
        <v>0</v>
      </c>
      <c r="M327" s="45">
        <f t="shared" ca="1" si="223"/>
        <v>0</v>
      </c>
      <c r="N327" s="45">
        <f t="shared" ca="1" si="223"/>
        <v>0</v>
      </c>
      <c r="O327" s="45">
        <f t="shared" ca="1" si="223"/>
        <v>0</v>
      </c>
      <c r="P327" s="45">
        <f t="shared" ca="1" si="223"/>
        <v>0</v>
      </c>
      <c r="Q327" s="45">
        <f t="shared" ca="1" si="223"/>
        <v>0</v>
      </c>
      <c r="R327" s="45">
        <f t="shared" ca="1" si="223"/>
        <v>0</v>
      </c>
      <c r="S327" s="45">
        <f t="shared" ca="1" si="223"/>
        <v>0</v>
      </c>
      <c r="T327" s="45">
        <f t="shared" ca="1" si="223"/>
        <v>0</v>
      </c>
      <c r="U327" s="45">
        <f t="shared" ca="1" si="223"/>
        <v>0</v>
      </c>
      <c r="V327" s="45">
        <f t="shared" ca="1" si="223"/>
        <v>0</v>
      </c>
      <c r="W327" s="45">
        <f t="shared" ca="1" si="223"/>
        <v>0</v>
      </c>
      <c r="X327" s="45">
        <f t="shared" ca="1" si="223"/>
        <v>0</v>
      </c>
      <c r="Y327" s="45">
        <f t="shared" ca="1" si="223"/>
        <v>0</v>
      </c>
      <c r="Z327" s="45">
        <f t="shared" ca="1" si="223"/>
        <v>0</v>
      </c>
      <c r="AA327" s="45">
        <f t="shared" ca="1" si="223"/>
        <v>0</v>
      </c>
      <c r="AB327" s="45">
        <f t="shared" ca="1" si="223"/>
        <v>0</v>
      </c>
      <c r="AC327" s="45">
        <f t="shared" ca="1" si="223"/>
        <v>0</v>
      </c>
      <c r="AD327" s="45">
        <f t="shared" ca="1" si="223"/>
        <v>0</v>
      </c>
      <c r="AE327" s="45">
        <f t="shared" ca="1" si="223"/>
        <v>0</v>
      </c>
      <c r="AF327" s="45">
        <f t="shared" ca="1" si="223"/>
        <v>0</v>
      </c>
      <c r="AG327" s="45">
        <f t="shared" ca="1" si="223"/>
        <v>0</v>
      </c>
      <c r="AH327" s="45">
        <f t="shared" ca="1" si="223"/>
        <v>0</v>
      </c>
      <c r="AI327" s="45">
        <f t="shared" ca="1" si="223"/>
        <v>0</v>
      </c>
      <c r="AJ327" s="45">
        <f t="shared" ca="1" si="223"/>
        <v>0</v>
      </c>
      <c r="AK327" s="45">
        <f t="shared" ca="1" si="223"/>
        <v>0</v>
      </c>
      <c r="AL327" s="45">
        <f t="shared" ca="1" si="223"/>
        <v>0</v>
      </c>
      <c r="AM327" s="45">
        <f t="shared" ca="1" si="223"/>
        <v>0</v>
      </c>
      <c r="AN327" s="45">
        <f t="shared" ca="1" si="223"/>
        <v>0</v>
      </c>
      <c r="AO327" s="45">
        <f t="shared" ca="1" si="223"/>
        <v>0</v>
      </c>
      <c r="AP327" s="45">
        <f t="shared" ca="1" si="223"/>
        <v>0</v>
      </c>
      <c r="AQ327" s="45">
        <f t="shared" ca="1" si="223"/>
        <v>0</v>
      </c>
      <c r="AR327" s="45">
        <f t="shared" ca="1" si="223"/>
        <v>0</v>
      </c>
      <c r="AS327" s="45">
        <f t="shared" ca="1" si="223"/>
        <v>0</v>
      </c>
      <c r="AT327" s="45">
        <f t="shared" ca="1" si="223"/>
        <v>0</v>
      </c>
      <c r="AU327" s="45">
        <f t="shared" ca="1" si="223"/>
        <v>0</v>
      </c>
      <c r="AV327" s="45">
        <f t="shared" ca="1" si="223"/>
        <v>0</v>
      </c>
      <c r="AW327" s="45">
        <f t="shared" ca="1" si="223"/>
        <v>0</v>
      </c>
      <c r="AX327" s="45">
        <f t="shared" ca="1" si="223"/>
        <v>0</v>
      </c>
      <c r="AY327" s="45">
        <f t="shared" ca="1" si="223"/>
        <v>0</v>
      </c>
    </row>
    <row r="328" spans="1:51" ht="15.5" collapsed="1">
      <c r="A328" s="1" t="s">
        <v>142</v>
      </c>
      <c r="C328" s="109"/>
      <c r="E328" s="82" t="s">
        <v>92</v>
      </c>
      <c r="F328" s="44">
        <f ca="1">SUM(F327)</f>
        <v>0</v>
      </c>
      <c r="G328" s="44">
        <f t="shared" ref="G328:AY328" ca="1" si="224">SUM(G327)</f>
        <v>0</v>
      </c>
      <c r="H328" s="44">
        <f t="shared" ca="1" si="224"/>
        <v>0</v>
      </c>
      <c r="I328" s="44">
        <f t="shared" ca="1" si="224"/>
        <v>0</v>
      </c>
      <c r="J328" s="44">
        <f t="shared" ca="1" si="224"/>
        <v>0</v>
      </c>
      <c r="K328" s="44">
        <f t="shared" ca="1" si="224"/>
        <v>0</v>
      </c>
      <c r="L328" s="44">
        <f t="shared" ca="1" si="224"/>
        <v>0</v>
      </c>
      <c r="M328" s="44">
        <f t="shared" ca="1" si="224"/>
        <v>0</v>
      </c>
      <c r="N328" s="44">
        <f t="shared" ca="1" si="224"/>
        <v>0</v>
      </c>
      <c r="O328" s="44">
        <f t="shared" ca="1" si="224"/>
        <v>0</v>
      </c>
      <c r="P328" s="44">
        <f t="shared" ca="1" si="224"/>
        <v>0</v>
      </c>
      <c r="Q328" s="44">
        <f t="shared" ca="1" si="224"/>
        <v>0</v>
      </c>
      <c r="R328" s="44">
        <f t="shared" ca="1" si="224"/>
        <v>0</v>
      </c>
      <c r="S328" s="44">
        <f t="shared" ca="1" si="224"/>
        <v>0</v>
      </c>
      <c r="T328" s="44">
        <f t="shared" ca="1" si="224"/>
        <v>0</v>
      </c>
      <c r="U328" s="44">
        <f t="shared" ca="1" si="224"/>
        <v>0</v>
      </c>
      <c r="V328" s="44">
        <f t="shared" ca="1" si="224"/>
        <v>0</v>
      </c>
      <c r="W328" s="44">
        <f t="shared" ca="1" si="224"/>
        <v>0</v>
      </c>
      <c r="X328" s="44">
        <f t="shared" ca="1" si="224"/>
        <v>0</v>
      </c>
      <c r="Y328" s="44">
        <f t="shared" ca="1" si="224"/>
        <v>0</v>
      </c>
      <c r="Z328" s="44">
        <f t="shared" ca="1" si="224"/>
        <v>0</v>
      </c>
      <c r="AA328" s="44">
        <f t="shared" ca="1" si="224"/>
        <v>0</v>
      </c>
      <c r="AB328" s="44">
        <f t="shared" ca="1" si="224"/>
        <v>0</v>
      </c>
      <c r="AC328" s="44">
        <f t="shared" ca="1" si="224"/>
        <v>0</v>
      </c>
      <c r="AD328" s="44">
        <f t="shared" ca="1" si="224"/>
        <v>0</v>
      </c>
      <c r="AE328" s="44">
        <f t="shared" ca="1" si="224"/>
        <v>0</v>
      </c>
      <c r="AF328" s="44">
        <f t="shared" ca="1" si="224"/>
        <v>0</v>
      </c>
      <c r="AG328" s="44">
        <f t="shared" ca="1" si="224"/>
        <v>0</v>
      </c>
      <c r="AH328" s="44">
        <f t="shared" ca="1" si="224"/>
        <v>0</v>
      </c>
      <c r="AI328" s="44">
        <f t="shared" ca="1" si="224"/>
        <v>0</v>
      </c>
      <c r="AJ328" s="44">
        <f t="shared" ca="1" si="224"/>
        <v>0</v>
      </c>
      <c r="AK328" s="44">
        <f t="shared" ca="1" si="224"/>
        <v>0</v>
      </c>
      <c r="AL328" s="44">
        <f t="shared" ca="1" si="224"/>
        <v>0</v>
      </c>
      <c r="AM328" s="44">
        <f t="shared" ca="1" si="224"/>
        <v>0</v>
      </c>
      <c r="AN328" s="44">
        <f t="shared" ca="1" si="224"/>
        <v>0</v>
      </c>
      <c r="AO328" s="44">
        <f t="shared" ca="1" si="224"/>
        <v>0</v>
      </c>
      <c r="AP328" s="44">
        <f t="shared" ca="1" si="224"/>
        <v>0</v>
      </c>
      <c r="AQ328" s="44">
        <f t="shared" ca="1" si="224"/>
        <v>0</v>
      </c>
      <c r="AR328" s="44">
        <f t="shared" ca="1" si="224"/>
        <v>0</v>
      </c>
      <c r="AS328" s="44">
        <f t="shared" ca="1" si="224"/>
        <v>0</v>
      </c>
      <c r="AT328" s="44">
        <f t="shared" ca="1" si="224"/>
        <v>0</v>
      </c>
      <c r="AU328" s="44">
        <f t="shared" ca="1" si="224"/>
        <v>0</v>
      </c>
      <c r="AV328" s="44">
        <f t="shared" ca="1" si="224"/>
        <v>0</v>
      </c>
      <c r="AW328" s="44">
        <f t="shared" ca="1" si="224"/>
        <v>0</v>
      </c>
      <c r="AX328" s="44">
        <f t="shared" ca="1" si="224"/>
        <v>0</v>
      </c>
      <c r="AY328" s="44">
        <f t="shared" ca="1" si="224"/>
        <v>0</v>
      </c>
    </row>
    <row r="329" spans="1:51" ht="15.75" hidden="1" customHeight="1" outlineLevel="1">
      <c r="A329" s="1" t="s">
        <v>353</v>
      </c>
      <c r="C329" s="109"/>
      <c r="E329" s="9" t="str">
        <f ca="1">_xll.DBRW(Server&amp;"}ElementAttributes_Indicator",A329,"code_English")</f>
        <v>Nb_FTE - Number of Full Time Equivalent</v>
      </c>
      <c r="F329" s="44">
        <f ca="1">_xll.DBRW($C$1,$C$2,$C$3,$C$4,$C$6,$C$5,$C$7,F$1,F$2,$A329)</f>
        <v>0</v>
      </c>
      <c r="G329" s="44">
        <f ca="1">_xll.DBRW($C$1,$C$2,$C$3,$C$4,$C$6,$C$5,$C$7,G$1,G$2,$A329)</f>
        <v>0</v>
      </c>
      <c r="H329" s="44">
        <f ca="1">_xll.DBRW($C$1,$C$2,$C$3,$C$4,$C$6,$C$5,$C$7,H$1,H$2,$A329)</f>
        <v>0</v>
      </c>
      <c r="I329" s="44">
        <f ca="1">_xll.DBRW($C$1,$C$2,$C$3,$C$4,$C$6,$C$5,$C$7,I$1,I$2,$A329)</f>
        <v>0</v>
      </c>
      <c r="J329" s="44">
        <f ca="1">_xll.DBRW($C$1,$C$2,$C$3,$C$4,$C$6,$C$5,$C$7,J$1,J$2,$A329)</f>
        <v>0</v>
      </c>
      <c r="K329" s="44">
        <f ca="1">_xll.DBRW($C$1,$C$2,$C$3,$C$4,$C$6,$C$5,$C$7,K$1,K$2,$A329)</f>
        <v>0</v>
      </c>
      <c r="L329" s="44">
        <f ca="1">_xll.DBRW($C$1,$C$2,$C$3,$C$4,$C$6,$C$5,$C$7,L$1,L$2,$A329)</f>
        <v>0</v>
      </c>
      <c r="M329" s="44">
        <f ca="1">_xll.DBRW($C$1,$C$2,$C$3,$C$4,$C$6,$C$5,$C$7,M$1,M$2,$A329)</f>
        <v>0</v>
      </c>
      <c r="N329" s="44">
        <f ca="1">_xll.DBRW($C$1,$C$2,$C$3,$C$4,$C$6,$C$5,$C$7,N$1,N$2,$A329)</f>
        <v>0</v>
      </c>
      <c r="O329" s="44">
        <f ca="1">_xll.DBRW($C$1,$C$2,$C$3,$C$4,$C$6,$C$5,$C$7,O$1,O$2,$A329)</f>
        <v>0</v>
      </c>
      <c r="P329" s="44">
        <f ca="1">_xll.DBRW($C$1,$C$2,$C$3,$C$4,$C$6,$C$5,$C$7,P$1,P$2,$A329)</f>
        <v>0</v>
      </c>
      <c r="Q329" s="44">
        <f ca="1">_xll.DBRW($C$1,$C$2,$C$3,$C$4,$C$6,$C$5,$C$7,Q$1,Q$2,$A329)</f>
        <v>0</v>
      </c>
      <c r="R329" s="44">
        <f ca="1">_xll.DBRW($C$1,$C$2,$C$3,$C$4,$C$6,$C$5,$C$7,R$1,R$2,$A329)</f>
        <v>0</v>
      </c>
      <c r="S329" s="44">
        <f ca="1">_xll.DBRW($C$1,$C$2,$C$3,$C$4,$C$6,$C$5,$C$7,S$1,S$2,$A329)</f>
        <v>0</v>
      </c>
      <c r="T329" s="44">
        <f ca="1">_xll.DBRW($C$1,$C$2,$C$3,$C$4,$C$6,$C$5,$C$7,T$1,T$2,$A329)</f>
        <v>0</v>
      </c>
      <c r="U329" s="44">
        <f ca="1">_xll.DBRW($C$1,$C$2,$C$3,$C$4,$C$6,$C$5,$C$7,U$1,U$2,$A329)</f>
        <v>0</v>
      </c>
      <c r="V329" s="44">
        <f ca="1">_xll.DBRW($C$1,$C$2,$C$3,$C$4,$C$6,$C$5,$C$7,V$1,V$2,$A329)</f>
        <v>0</v>
      </c>
      <c r="W329" s="44">
        <f ca="1">_xll.DBRW($C$1,$C$2,$C$3,$C$4,$C$6,$C$5,$C$7,W$1,W$2,$A329)</f>
        <v>0</v>
      </c>
      <c r="X329" s="44">
        <f ca="1">_xll.DBRW($C$1,$C$2,$C$3,$C$4,$C$6,$C$5,$C$7,X$1,X$2,$A329)</f>
        <v>0</v>
      </c>
      <c r="Y329" s="44">
        <f ca="1">_xll.DBRW($C$1,$C$2,$C$3,$C$4,$C$6,$C$5,$C$7,Y$1,Y$2,$A329)</f>
        <v>0</v>
      </c>
      <c r="Z329" s="44">
        <f ca="1">_xll.DBRW($C$1,$C$2,$C$3,$C$4,$C$6,$C$5,$C$7,Z$1,Z$2,$A329)</f>
        <v>0</v>
      </c>
      <c r="AA329" s="44">
        <f ca="1">_xll.DBRW($C$1,$C$2,$C$3,$C$4,$C$6,$C$5,$C$7,AA$1,AA$2,$A329)</f>
        <v>0</v>
      </c>
      <c r="AB329" s="44">
        <f ca="1">_xll.DBRW($C$1,$C$2,$C$3,$C$4,$C$6,$C$5,$C$7,AB$1,AB$2,$A329)</f>
        <v>0</v>
      </c>
      <c r="AC329" s="44">
        <f ca="1">_xll.DBRW($C$1,$C$2,$C$3,$C$4,$C$6,$C$5,$C$7,AC$1,AC$2,$A329)</f>
        <v>0</v>
      </c>
      <c r="AD329" s="44">
        <f ca="1">_xll.DBRW($C$1,$C$2,$C$3,$C$4,$C$6,$C$5,$C$7,AD$1,AD$2,$A329)</f>
        <v>0</v>
      </c>
      <c r="AE329" s="44">
        <f ca="1">_xll.DBRW($C$1,$C$2,$C$3,$C$4,$C$6,$C$5,$C$7,AE$1,AE$2,$A329)</f>
        <v>0</v>
      </c>
      <c r="AF329" s="44">
        <f ca="1">_xll.DBRW($C$1,$C$2,$C$3,$C$4,$C$6,$C$5,$C$7,AF$1,AF$2,$A329)</f>
        <v>0</v>
      </c>
      <c r="AG329" s="44">
        <f ca="1">_xll.DBRW($C$1,$C$2,$C$3,$C$4,$C$6,$C$5,$C$7,AG$1,AG$2,$A329)</f>
        <v>0</v>
      </c>
      <c r="AH329" s="44">
        <f ca="1">_xll.DBRW($C$1,$C$2,$C$3,$C$4,$C$6,$C$5,$C$7,AH$1,AH$2,$A329)</f>
        <v>0</v>
      </c>
      <c r="AI329" s="44">
        <f ca="1">_xll.DBRW($C$1,$C$2,$C$3,$C$4,$C$6,$C$5,$C$7,AI$1,AI$2,$A329)</f>
        <v>0</v>
      </c>
      <c r="AJ329" s="44">
        <f ca="1">_xll.DBRW($C$1,$C$2,$C$3,$C$4,$C$6,$C$5,$C$7,AJ$1,AJ$2,$A329)</f>
        <v>0</v>
      </c>
      <c r="AK329" s="44">
        <f ca="1">_xll.DBRW($C$1,$C$2,$C$3,$C$4,$C$6,$C$5,$C$7,AK$1,AK$2,$A329)</f>
        <v>0</v>
      </c>
      <c r="AL329" s="44">
        <f ca="1">_xll.DBRW($C$1,$C$2,$C$3,$C$4,$C$6,$C$5,$C$7,AL$1,AL$2,$A329)</f>
        <v>0</v>
      </c>
      <c r="AM329" s="44">
        <f ca="1">_xll.DBRW($C$1,$C$2,$C$3,$C$4,$C$6,$C$5,$C$7,AM$1,AM$2,$A329)</f>
        <v>0</v>
      </c>
      <c r="AN329" s="44">
        <f ca="1">_xll.DBRW($C$1,$C$2,$C$3,$C$4,$C$6,$C$5,$C$7,AN$1,AN$2,$A329)</f>
        <v>0</v>
      </c>
      <c r="AO329" s="44">
        <f ca="1">_xll.DBRW($C$1,$C$2,$C$3,$C$4,$C$6,$C$5,$C$7,AO$1,AO$2,$A329)</f>
        <v>0</v>
      </c>
      <c r="AP329" s="44">
        <f ca="1">_xll.DBRW($C$1,$C$2,$C$3,$C$4,$C$6,$C$5,$C$7,AP$1,AP$2,$A329)</f>
        <v>0</v>
      </c>
      <c r="AQ329" s="44">
        <f ca="1">_xll.DBRW($C$1,$C$2,$C$3,$C$4,$C$6,$C$5,$C$7,AQ$1,AQ$2,$A329)</f>
        <v>0</v>
      </c>
      <c r="AR329" s="44">
        <f ca="1">_xll.DBRW($C$1,$C$2,$C$3,$C$4,$C$6,$C$5,$C$7,AR$1,AR$2,$A329)</f>
        <v>0</v>
      </c>
      <c r="AS329" s="44">
        <f ca="1">_xll.DBRW($C$1,$C$2,$C$3,$C$4,$C$6,$C$5,$C$7,AS$1,AS$2,$A329)</f>
        <v>0</v>
      </c>
      <c r="AT329" s="44">
        <f ca="1">_xll.DBRW($C$1,$C$2,$C$3,$C$4,$C$6,$C$5,$C$7,AT$1,AT$2,$A329)</f>
        <v>0</v>
      </c>
      <c r="AU329" s="44">
        <f ca="1">_xll.DBRW($C$1,$C$2,$C$3,$C$4,$C$6,$C$5,$C$7,AU$1,AU$2,$A329)</f>
        <v>0</v>
      </c>
      <c r="AV329" s="44">
        <f ca="1">_xll.DBRW($C$1,$C$2,$C$3,$C$4,$C$6,$C$5,$C$7,AV$1,AV$2,$A329)</f>
        <v>0</v>
      </c>
      <c r="AW329" s="44">
        <f ca="1">_xll.DBRW($C$1,$C$2,$C$3,$C$4,$C$6,$C$5,$C$7,AW$1,AW$2,$A329)</f>
        <v>0</v>
      </c>
      <c r="AX329" s="44">
        <f ca="1">_xll.DBRW($C$1,$C$2,$C$3,$C$4,$C$6,$C$5,$C$7,AX$1,AX$2,$A329)</f>
        <v>0</v>
      </c>
      <c r="AY329" s="44">
        <f ca="1">_xll.DBRW($C$1,$C$2,$C$3,$C$4,$C$6,$C$5,$C$7,AY$1,AY$2,$A329)</f>
        <v>0</v>
      </c>
    </row>
    <row r="330" spans="1:51" ht="15.5" collapsed="1">
      <c r="A330" s="1" t="s">
        <v>142</v>
      </c>
      <c r="C330" s="109"/>
      <c r="E330" s="83" t="s">
        <v>93</v>
      </c>
      <c r="F330" s="46">
        <f t="shared" ref="F330:AY330" ca="1" si="225">SUM(F329)</f>
        <v>0</v>
      </c>
      <c r="G330" s="46">
        <f t="shared" ca="1" si="225"/>
        <v>0</v>
      </c>
      <c r="H330" s="46">
        <f t="shared" ca="1" si="225"/>
        <v>0</v>
      </c>
      <c r="I330" s="46">
        <f t="shared" ca="1" si="225"/>
        <v>0</v>
      </c>
      <c r="J330" s="46">
        <f t="shared" ca="1" si="225"/>
        <v>0</v>
      </c>
      <c r="K330" s="46">
        <f t="shared" ca="1" si="225"/>
        <v>0</v>
      </c>
      <c r="L330" s="46">
        <f t="shared" ca="1" si="225"/>
        <v>0</v>
      </c>
      <c r="M330" s="46">
        <f t="shared" ca="1" si="225"/>
        <v>0</v>
      </c>
      <c r="N330" s="46">
        <f t="shared" ca="1" si="225"/>
        <v>0</v>
      </c>
      <c r="O330" s="46">
        <f t="shared" ca="1" si="225"/>
        <v>0</v>
      </c>
      <c r="P330" s="46">
        <f t="shared" ca="1" si="225"/>
        <v>0</v>
      </c>
      <c r="Q330" s="46">
        <f t="shared" ca="1" si="225"/>
        <v>0</v>
      </c>
      <c r="R330" s="46">
        <f t="shared" ca="1" si="225"/>
        <v>0</v>
      </c>
      <c r="S330" s="46">
        <f t="shared" ca="1" si="225"/>
        <v>0</v>
      </c>
      <c r="T330" s="46">
        <f t="shared" ca="1" si="225"/>
        <v>0</v>
      </c>
      <c r="U330" s="46">
        <f t="shared" ca="1" si="225"/>
        <v>0</v>
      </c>
      <c r="V330" s="46">
        <f t="shared" ca="1" si="225"/>
        <v>0</v>
      </c>
      <c r="W330" s="46">
        <f t="shared" ca="1" si="225"/>
        <v>0</v>
      </c>
      <c r="X330" s="46">
        <f t="shared" ca="1" si="225"/>
        <v>0</v>
      </c>
      <c r="Y330" s="46">
        <f t="shared" ca="1" si="225"/>
        <v>0</v>
      </c>
      <c r="Z330" s="46">
        <f t="shared" ca="1" si="225"/>
        <v>0</v>
      </c>
      <c r="AA330" s="46">
        <f t="shared" ca="1" si="225"/>
        <v>0</v>
      </c>
      <c r="AB330" s="46">
        <f t="shared" ca="1" si="225"/>
        <v>0</v>
      </c>
      <c r="AC330" s="46">
        <f t="shared" ca="1" si="225"/>
        <v>0</v>
      </c>
      <c r="AD330" s="46">
        <f t="shared" ca="1" si="225"/>
        <v>0</v>
      </c>
      <c r="AE330" s="46">
        <f t="shared" ca="1" si="225"/>
        <v>0</v>
      </c>
      <c r="AF330" s="46">
        <f t="shared" ca="1" si="225"/>
        <v>0</v>
      </c>
      <c r="AG330" s="46">
        <f t="shared" ca="1" si="225"/>
        <v>0</v>
      </c>
      <c r="AH330" s="46">
        <f t="shared" ca="1" si="225"/>
        <v>0</v>
      </c>
      <c r="AI330" s="46">
        <f t="shared" ca="1" si="225"/>
        <v>0</v>
      </c>
      <c r="AJ330" s="46">
        <f t="shared" ca="1" si="225"/>
        <v>0</v>
      </c>
      <c r="AK330" s="46">
        <f t="shared" ca="1" si="225"/>
        <v>0</v>
      </c>
      <c r="AL330" s="46">
        <f t="shared" ca="1" si="225"/>
        <v>0</v>
      </c>
      <c r="AM330" s="46">
        <f t="shared" ca="1" si="225"/>
        <v>0</v>
      </c>
      <c r="AN330" s="46">
        <f t="shared" ca="1" si="225"/>
        <v>0</v>
      </c>
      <c r="AO330" s="46">
        <f t="shared" ca="1" si="225"/>
        <v>0</v>
      </c>
      <c r="AP330" s="46">
        <f t="shared" ca="1" si="225"/>
        <v>0</v>
      </c>
      <c r="AQ330" s="46">
        <f t="shared" ca="1" si="225"/>
        <v>0</v>
      </c>
      <c r="AR330" s="46">
        <f t="shared" ca="1" si="225"/>
        <v>0</v>
      </c>
      <c r="AS330" s="46">
        <f t="shared" ca="1" si="225"/>
        <v>0</v>
      </c>
      <c r="AT330" s="46">
        <f t="shared" ca="1" si="225"/>
        <v>0</v>
      </c>
      <c r="AU330" s="46">
        <f t="shared" ca="1" si="225"/>
        <v>0</v>
      </c>
      <c r="AV330" s="46">
        <f t="shared" ca="1" si="225"/>
        <v>0</v>
      </c>
      <c r="AW330" s="46">
        <f t="shared" ca="1" si="225"/>
        <v>0</v>
      </c>
      <c r="AX330" s="46">
        <f t="shared" ca="1" si="225"/>
        <v>0</v>
      </c>
      <c r="AY330" s="46">
        <f t="shared" ca="1" si="225"/>
        <v>0</v>
      </c>
    </row>
    <row r="331" spans="1:51" ht="9" customHeight="1">
      <c r="A331" s="1" t="s">
        <v>142</v>
      </c>
      <c r="C331" s="109"/>
      <c r="E331" s="7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</row>
    <row r="332" spans="1:51" ht="15.75" hidden="1" customHeight="1" outlineLevel="1">
      <c r="A332" s="1" t="s">
        <v>354</v>
      </c>
      <c r="C332" s="109"/>
      <c r="E332" s="9" t="str">
        <f ca="1">_xll.DBRW(Server&amp;"}ElementAttributes_Indicator",A332,"code_English")</f>
        <v>Fuel_consu - Fuel consumed (liters)</v>
      </c>
      <c r="F332" s="10">
        <f ca="1">_xll.DBRW($C$1,$C$2,$C$3,$C$4,$C$6,$C$5,$C$7,F$1,F$2,$A332)</f>
        <v>0</v>
      </c>
      <c r="G332" s="10">
        <f ca="1">_xll.DBRW($C$1,$C$2,$C$3,$C$4,$C$6,$C$5,$C$7,G$1,G$2,$A332)</f>
        <v>0</v>
      </c>
      <c r="H332" s="10">
        <f ca="1">_xll.DBRW($C$1,$C$2,$C$3,$C$4,$C$6,$C$5,$C$7,H$1,H$2,$A332)</f>
        <v>0</v>
      </c>
      <c r="I332" s="10">
        <f ca="1">_xll.DBRW($C$1,$C$2,$C$3,$C$4,$C$6,$C$5,$C$7,I$1,I$2,$A332)</f>
        <v>0</v>
      </c>
      <c r="J332" s="10">
        <f ca="1">_xll.DBRW($C$1,$C$2,$C$3,$C$4,$C$6,$C$5,$C$7,J$1,J$2,$A332)</f>
        <v>0</v>
      </c>
      <c r="K332" s="10">
        <f ca="1">_xll.DBRW($C$1,$C$2,$C$3,$C$4,$C$6,$C$5,$C$7,K$1,K$2,$A332)</f>
        <v>0</v>
      </c>
      <c r="L332" s="10">
        <f ca="1">_xll.DBRW($C$1,$C$2,$C$3,$C$4,$C$6,$C$5,$C$7,L$1,L$2,$A332)</f>
        <v>0</v>
      </c>
      <c r="M332" s="10">
        <f ca="1">_xll.DBRW($C$1,$C$2,$C$3,$C$4,$C$6,$C$5,$C$7,M$1,M$2,$A332)</f>
        <v>0</v>
      </c>
      <c r="N332" s="10">
        <f ca="1">_xll.DBRW($C$1,$C$2,$C$3,$C$4,$C$6,$C$5,$C$7,N$1,N$2,$A332)</f>
        <v>0</v>
      </c>
      <c r="O332" s="10">
        <f ca="1">_xll.DBRW($C$1,$C$2,$C$3,$C$4,$C$6,$C$5,$C$7,O$1,O$2,$A332)</f>
        <v>0</v>
      </c>
      <c r="P332" s="10">
        <f ca="1">_xll.DBRW($C$1,$C$2,$C$3,$C$4,$C$6,$C$5,$C$7,P$1,P$2,$A332)</f>
        <v>0</v>
      </c>
      <c r="Q332" s="10">
        <f ca="1">_xll.DBRW($C$1,$C$2,$C$3,$C$4,$C$6,$C$5,$C$7,Q$1,Q$2,$A332)</f>
        <v>0</v>
      </c>
      <c r="R332" s="10">
        <f ca="1">_xll.DBRW($C$1,$C$2,$C$3,$C$4,$C$6,$C$5,$C$7,R$1,R$2,$A332)</f>
        <v>0</v>
      </c>
      <c r="S332" s="10">
        <f ca="1">_xll.DBRW($C$1,$C$2,$C$3,$C$4,$C$6,$C$5,$C$7,S$1,S$2,$A332)</f>
        <v>0</v>
      </c>
      <c r="T332" s="10">
        <f ca="1">_xll.DBRW($C$1,$C$2,$C$3,$C$4,$C$6,$C$5,$C$7,T$1,T$2,$A332)</f>
        <v>0</v>
      </c>
      <c r="U332" s="10">
        <f ca="1">_xll.DBRW($C$1,$C$2,$C$3,$C$4,$C$6,$C$5,$C$7,U$1,U$2,$A332)</f>
        <v>0</v>
      </c>
      <c r="V332" s="10">
        <f ca="1">_xll.DBRW($C$1,$C$2,$C$3,$C$4,$C$6,$C$5,$C$7,V$1,V$2,$A332)</f>
        <v>0</v>
      </c>
      <c r="W332" s="10">
        <f ca="1">_xll.DBRW($C$1,$C$2,$C$3,$C$4,$C$6,$C$5,$C$7,W$1,W$2,$A332)</f>
        <v>0</v>
      </c>
      <c r="X332" s="10">
        <f ca="1">_xll.DBRW($C$1,$C$2,$C$3,$C$4,$C$6,$C$5,$C$7,X$1,X$2,$A332)</f>
        <v>0</v>
      </c>
      <c r="Y332" s="10">
        <f ca="1">_xll.DBRW($C$1,$C$2,$C$3,$C$4,$C$6,$C$5,$C$7,Y$1,Y$2,$A332)</f>
        <v>0</v>
      </c>
      <c r="Z332" s="10">
        <f ca="1">_xll.DBRW($C$1,$C$2,$C$3,$C$4,$C$6,$C$5,$C$7,Z$1,Z$2,$A332)</f>
        <v>0</v>
      </c>
      <c r="AA332" s="10">
        <f ca="1">_xll.DBRW($C$1,$C$2,$C$3,$C$4,$C$6,$C$5,$C$7,AA$1,AA$2,$A332)</f>
        <v>0</v>
      </c>
      <c r="AB332" s="10">
        <f ca="1">_xll.DBRW($C$1,$C$2,$C$3,$C$4,$C$6,$C$5,$C$7,AB$1,AB$2,$A332)</f>
        <v>0</v>
      </c>
      <c r="AC332" s="10">
        <f ca="1">_xll.DBRW($C$1,$C$2,$C$3,$C$4,$C$6,$C$5,$C$7,AC$1,AC$2,$A332)</f>
        <v>0</v>
      </c>
      <c r="AD332" s="10">
        <f ca="1">_xll.DBRW($C$1,$C$2,$C$3,$C$4,$C$6,$C$5,$C$7,AD$1,AD$2,$A332)</f>
        <v>0</v>
      </c>
      <c r="AE332" s="10">
        <f ca="1">_xll.DBRW($C$1,$C$2,$C$3,$C$4,$C$6,$C$5,$C$7,AE$1,AE$2,$A332)</f>
        <v>0</v>
      </c>
      <c r="AF332" s="10">
        <f ca="1">_xll.DBRW($C$1,$C$2,$C$3,$C$4,$C$6,$C$5,$C$7,AF$1,AF$2,$A332)</f>
        <v>0</v>
      </c>
      <c r="AG332" s="10">
        <f ca="1">_xll.DBRW($C$1,$C$2,$C$3,$C$4,$C$6,$C$5,$C$7,AG$1,AG$2,$A332)</f>
        <v>0</v>
      </c>
      <c r="AH332" s="10">
        <f ca="1">_xll.DBRW($C$1,$C$2,$C$3,$C$4,$C$6,$C$5,$C$7,AH$1,AH$2,$A332)</f>
        <v>0</v>
      </c>
      <c r="AI332" s="10">
        <f ca="1">_xll.DBRW($C$1,$C$2,$C$3,$C$4,$C$6,$C$5,$C$7,AI$1,AI$2,$A332)</f>
        <v>0</v>
      </c>
      <c r="AJ332" s="10">
        <f ca="1">_xll.DBRW($C$1,$C$2,$C$3,$C$4,$C$6,$C$5,$C$7,AJ$1,AJ$2,$A332)</f>
        <v>0</v>
      </c>
      <c r="AK332" s="10">
        <f ca="1">_xll.DBRW($C$1,$C$2,$C$3,$C$4,$C$6,$C$5,$C$7,AK$1,AK$2,$A332)</f>
        <v>0</v>
      </c>
      <c r="AL332" s="10">
        <f ca="1">_xll.DBRW($C$1,$C$2,$C$3,$C$4,$C$6,$C$5,$C$7,AL$1,AL$2,$A332)</f>
        <v>0</v>
      </c>
      <c r="AM332" s="10">
        <f ca="1">_xll.DBRW($C$1,$C$2,$C$3,$C$4,$C$6,$C$5,$C$7,AM$1,AM$2,$A332)</f>
        <v>0</v>
      </c>
      <c r="AN332" s="10">
        <f ca="1">_xll.DBRW($C$1,$C$2,$C$3,$C$4,$C$6,$C$5,$C$7,AN$1,AN$2,$A332)</f>
        <v>0</v>
      </c>
      <c r="AO332" s="10">
        <f ca="1">_xll.DBRW($C$1,$C$2,$C$3,$C$4,$C$6,$C$5,$C$7,AO$1,AO$2,$A332)</f>
        <v>0</v>
      </c>
      <c r="AP332" s="10">
        <f ca="1">_xll.DBRW($C$1,$C$2,$C$3,$C$4,$C$6,$C$5,$C$7,AP$1,AP$2,$A332)</f>
        <v>0</v>
      </c>
      <c r="AQ332" s="10">
        <f ca="1">_xll.DBRW($C$1,$C$2,$C$3,$C$4,$C$6,$C$5,$C$7,AQ$1,AQ$2,$A332)</f>
        <v>0</v>
      </c>
      <c r="AR332" s="10">
        <f ca="1">_xll.DBRW($C$1,$C$2,$C$3,$C$4,$C$6,$C$5,$C$7,AR$1,AR$2,$A332)</f>
        <v>0</v>
      </c>
      <c r="AS332" s="10">
        <f ca="1">_xll.DBRW($C$1,$C$2,$C$3,$C$4,$C$6,$C$5,$C$7,AS$1,AS$2,$A332)</f>
        <v>0</v>
      </c>
      <c r="AT332" s="10">
        <f ca="1">_xll.DBRW($C$1,$C$2,$C$3,$C$4,$C$6,$C$5,$C$7,AT$1,AT$2,$A332)</f>
        <v>0</v>
      </c>
      <c r="AU332" s="10">
        <f ca="1">_xll.DBRW($C$1,$C$2,$C$3,$C$4,$C$6,$C$5,$C$7,AU$1,AU$2,$A332)</f>
        <v>0</v>
      </c>
      <c r="AV332" s="10">
        <f ca="1">_xll.DBRW($C$1,$C$2,$C$3,$C$4,$C$6,$C$5,$C$7,AV$1,AV$2,$A332)</f>
        <v>0</v>
      </c>
      <c r="AW332" s="10">
        <f ca="1">_xll.DBRW($C$1,$C$2,$C$3,$C$4,$C$6,$C$5,$C$7,AW$1,AW$2,$A332)</f>
        <v>0</v>
      </c>
      <c r="AX332" s="10">
        <f ca="1">_xll.DBRW($C$1,$C$2,$C$3,$C$4,$C$6,$C$5,$C$7,AX$1,AX$2,$A332)</f>
        <v>0</v>
      </c>
      <c r="AY332" s="10">
        <f ca="1">_xll.DBRW($C$1,$C$2,$C$3,$C$4,$C$6,$C$5,$C$7,AY$1,AY$2,$A332)</f>
        <v>0</v>
      </c>
    </row>
    <row r="333" spans="1:51" ht="15.5" collapsed="1">
      <c r="A333" s="1" t="s">
        <v>142</v>
      </c>
      <c r="C333" s="109"/>
      <c r="E333" s="17" t="s">
        <v>94</v>
      </c>
      <c r="F333" s="43">
        <f t="shared" ref="F333:L333" ca="1" si="226">SUM(F332)</f>
        <v>0</v>
      </c>
      <c r="G333" s="43">
        <f t="shared" ca="1" si="226"/>
        <v>0</v>
      </c>
      <c r="H333" s="43">
        <f t="shared" ca="1" si="226"/>
        <v>0</v>
      </c>
      <c r="I333" s="43">
        <f t="shared" ca="1" si="226"/>
        <v>0</v>
      </c>
      <c r="J333" s="43">
        <f t="shared" ca="1" si="226"/>
        <v>0</v>
      </c>
      <c r="K333" s="43">
        <f t="shared" ca="1" si="226"/>
        <v>0</v>
      </c>
      <c r="L333" s="43">
        <f t="shared" ca="1" si="226"/>
        <v>0</v>
      </c>
      <c r="M333" s="43">
        <f t="shared" ref="M333:X333" ca="1" si="227">SUM(M332)</f>
        <v>0</v>
      </c>
      <c r="N333" s="43">
        <f t="shared" ca="1" si="227"/>
        <v>0</v>
      </c>
      <c r="O333" s="43">
        <f t="shared" ca="1" si="227"/>
        <v>0</v>
      </c>
      <c r="P333" s="43">
        <f t="shared" ca="1" si="227"/>
        <v>0</v>
      </c>
      <c r="Q333" s="43">
        <f t="shared" ca="1" si="227"/>
        <v>0</v>
      </c>
      <c r="R333" s="43">
        <f t="shared" ca="1" si="227"/>
        <v>0</v>
      </c>
      <c r="S333" s="43">
        <f t="shared" ca="1" si="227"/>
        <v>0</v>
      </c>
      <c r="T333" s="43">
        <f t="shared" ca="1" si="227"/>
        <v>0</v>
      </c>
      <c r="U333" s="43">
        <f t="shared" ca="1" si="227"/>
        <v>0</v>
      </c>
      <c r="V333" s="43">
        <f t="shared" ca="1" si="227"/>
        <v>0</v>
      </c>
      <c r="W333" s="43">
        <f t="shared" ca="1" si="227"/>
        <v>0</v>
      </c>
      <c r="X333" s="43">
        <f t="shared" ca="1" si="227"/>
        <v>0</v>
      </c>
      <c r="Y333" s="43">
        <f ca="1">SUM(Y332)</f>
        <v>0</v>
      </c>
      <c r="Z333" s="43">
        <f t="shared" ref="Z333:AK333" ca="1" si="228">SUM(Z332)</f>
        <v>0</v>
      </c>
      <c r="AA333" s="43">
        <f t="shared" ca="1" si="228"/>
        <v>0</v>
      </c>
      <c r="AB333" s="43">
        <f t="shared" ca="1" si="228"/>
        <v>0</v>
      </c>
      <c r="AC333" s="43">
        <f t="shared" ca="1" si="228"/>
        <v>0</v>
      </c>
      <c r="AD333" s="43">
        <f t="shared" ca="1" si="228"/>
        <v>0</v>
      </c>
      <c r="AE333" s="43">
        <f t="shared" ca="1" si="228"/>
        <v>0</v>
      </c>
      <c r="AF333" s="43">
        <f t="shared" ca="1" si="228"/>
        <v>0</v>
      </c>
      <c r="AG333" s="43">
        <f t="shared" ca="1" si="228"/>
        <v>0</v>
      </c>
      <c r="AH333" s="43">
        <f t="shared" ca="1" si="228"/>
        <v>0</v>
      </c>
      <c r="AI333" s="43">
        <f t="shared" ca="1" si="228"/>
        <v>0</v>
      </c>
      <c r="AJ333" s="43">
        <f t="shared" ca="1" si="228"/>
        <v>0</v>
      </c>
      <c r="AK333" s="43">
        <f t="shared" ca="1" si="228"/>
        <v>0</v>
      </c>
      <c r="AL333" s="43">
        <f ca="1">SUM(AL332)</f>
        <v>0</v>
      </c>
      <c r="AM333" s="43">
        <f t="shared" ref="AM333:AX333" ca="1" si="229">SUM(AM332)</f>
        <v>0</v>
      </c>
      <c r="AN333" s="43">
        <f t="shared" ca="1" si="229"/>
        <v>0</v>
      </c>
      <c r="AO333" s="43">
        <f t="shared" ca="1" si="229"/>
        <v>0</v>
      </c>
      <c r="AP333" s="43">
        <f t="shared" ca="1" si="229"/>
        <v>0</v>
      </c>
      <c r="AQ333" s="43">
        <f t="shared" ca="1" si="229"/>
        <v>0</v>
      </c>
      <c r="AR333" s="43">
        <f t="shared" ca="1" si="229"/>
        <v>0</v>
      </c>
      <c r="AS333" s="43">
        <f t="shared" ca="1" si="229"/>
        <v>0</v>
      </c>
      <c r="AT333" s="43">
        <f t="shared" ca="1" si="229"/>
        <v>0</v>
      </c>
      <c r="AU333" s="43">
        <f t="shared" ca="1" si="229"/>
        <v>0</v>
      </c>
      <c r="AV333" s="43">
        <f t="shared" ca="1" si="229"/>
        <v>0</v>
      </c>
      <c r="AW333" s="43">
        <f t="shared" ca="1" si="229"/>
        <v>0</v>
      </c>
      <c r="AX333" s="43">
        <f t="shared" ca="1" si="229"/>
        <v>0</v>
      </c>
      <c r="AY333" s="43">
        <f ca="1">SUM(AY332)</f>
        <v>0</v>
      </c>
    </row>
    <row r="334" spans="1:51" ht="15.75" hidden="1" customHeight="1" outlineLevel="1">
      <c r="A334" s="1" t="s">
        <v>355</v>
      </c>
      <c r="C334" s="109"/>
      <c r="E334" s="9" t="s">
        <v>381</v>
      </c>
      <c r="F334" s="44">
        <f ca="1">_xll.DBRW($C$1,$C$2,$C$3,$C$4,$C$6,$C$5,$C$7,F$1,F$2,$A334)</f>
        <v>0</v>
      </c>
      <c r="G334" s="44">
        <f ca="1">_xll.DBRW($C$1,$C$2,$C$3,$C$4,$C$6,$C$5,$C$7,G$1,G$2,$A334)</f>
        <v>0</v>
      </c>
      <c r="H334" s="44">
        <f ca="1">_xll.DBRW($C$1,$C$2,$C$3,$C$4,$C$6,$C$5,$C$7,H$1,H$2,$A334)</f>
        <v>0</v>
      </c>
      <c r="I334" s="44">
        <f ca="1">_xll.DBRW($C$1,$C$2,$C$3,$C$4,$C$6,$C$5,$C$7,I$1,I$2,$A334)</f>
        <v>0</v>
      </c>
      <c r="J334" s="44">
        <f ca="1">_xll.DBRW($C$1,$C$2,$C$3,$C$4,$C$6,$C$5,$C$7,J$1,J$2,$A334)</f>
        <v>0</v>
      </c>
      <c r="K334" s="44">
        <f ca="1">_xll.DBRW($C$1,$C$2,$C$3,$C$4,$C$6,$C$5,$C$7,K$1,K$2,$A334)</f>
        <v>0</v>
      </c>
      <c r="L334" s="44">
        <f ca="1">_xll.DBRW($C$1,$C$2,$C$3,$C$4,$C$6,$C$5,$C$7,L$1,L$2,$A334)</f>
        <v>0</v>
      </c>
      <c r="M334" s="44">
        <f ca="1">_xll.DBRW($C$1,$C$2,$C$3,$C$4,$C$6,$C$5,$C$7,M$1,M$2,$A334)</f>
        <v>0</v>
      </c>
      <c r="N334" s="44">
        <f ca="1">_xll.DBRW($C$1,$C$2,$C$3,$C$4,$C$6,$C$5,$C$7,N$1,N$2,$A334)</f>
        <v>0</v>
      </c>
      <c r="O334" s="44">
        <f ca="1">_xll.DBRW($C$1,$C$2,$C$3,$C$4,$C$6,$C$5,$C$7,O$1,O$2,$A334)</f>
        <v>0</v>
      </c>
      <c r="P334" s="44">
        <f ca="1">_xll.DBRW($C$1,$C$2,$C$3,$C$4,$C$6,$C$5,$C$7,P$1,P$2,$A334)</f>
        <v>0</v>
      </c>
      <c r="Q334" s="44">
        <f ca="1">_xll.DBRW($C$1,$C$2,$C$3,$C$4,$C$6,$C$5,$C$7,Q$1,Q$2,$A334)</f>
        <v>0</v>
      </c>
      <c r="R334" s="44">
        <f ca="1">_xll.DBRW($C$1,$C$2,$C$3,$C$4,$C$6,$C$5,$C$7,R$1,R$2,$A334)</f>
        <v>0</v>
      </c>
      <c r="S334" s="44">
        <f ca="1">_xll.DBRW($C$1,$C$2,$C$3,$C$4,$C$6,$C$5,$C$7,S$1,S$2,$A334)</f>
        <v>0</v>
      </c>
      <c r="T334" s="44">
        <f ca="1">_xll.DBRW($C$1,$C$2,$C$3,$C$4,$C$6,$C$5,$C$7,T$1,T$2,$A334)</f>
        <v>0</v>
      </c>
      <c r="U334" s="44">
        <f ca="1">_xll.DBRW($C$1,$C$2,$C$3,$C$4,$C$6,$C$5,$C$7,U$1,U$2,$A334)</f>
        <v>0</v>
      </c>
      <c r="V334" s="44">
        <f ca="1">_xll.DBRW($C$1,$C$2,$C$3,$C$4,$C$6,$C$5,$C$7,V$1,V$2,$A334)</f>
        <v>0</v>
      </c>
      <c r="W334" s="44">
        <f ca="1">_xll.DBRW($C$1,$C$2,$C$3,$C$4,$C$6,$C$5,$C$7,W$1,W$2,$A334)</f>
        <v>0</v>
      </c>
      <c r="X334" s="44">
        <f ca="1">_xll.DBRW($C$1,$C$2,$C$3,$C$4,$C$6,$C$5,$C$7,X$1,X$2,$A334)</f>
        <v>0</v>
      </c>
      <c r="Y334" s="44">
        <f ca="1">_xll.DBRW($C$1,$C$2,$C$3,$C$4,$C$6,$C$5,$C$7,Y$1,Y$2,$A334)</f>
        <v>0</v>
      </c>
      <c r="Z334" s="44">
        <f ca="1">_xll.DBRW($C$1,$C$2,$C$3,$C$4,$C$6,$C$5,$C$7,Z$1,Z$2,$A334)</f>
        <v>0</v>
      </c>
      <c r="AA334" s="44">
        <f ca="1">_xll.DBRW($C$1,$C$2,$C$3,$C$4,$C$6,$C$5,$C$7,AA$1,AA$2,$A334)</f>
        <v>0</v>
      </c>
      <c r="AB334" s="44">
        <f ca="1">_xll.DBRW($C$1,$C$2,$C$3,$C$4,$C$6,$C$5,$C$7,AB$1,AB$2,$A334)</f>
        <v>0</v>
      </c>
      <c r="AC334" s="44">
        <f ca="1">_xll.DBRW($C$1,$C$2,$C$3,$C$4,$C$6,$C$5,$C$7,AC$1,AC$2,$A334)</f>
        <v>0</v>
      </c>
      <c r="AD334" s="44">
        <f ca="1">_xll.DBRW($C$1,$C$2,$C$3,$C$4,$C$6,$C$5,$C$7,AD$1,AD$2,$A334)</f>
        <v>0</v>
      </c>
      <c r="AE334" s="44">
        <f ca="1">_xll.DBRW($C$1,$C$2,$C$3,$C$4,$C$6,$C$5,$C$7,AE$1,AE$2,$A334)</f>
        <v>0</v>
      </c>
      <c r="AF334" s="44">
        <f ca="1">_xll.DBRW($C$1,$C$2,$C$3,$C$4,$C$6,$C$5,$C$7,AF$1,AF$2,$A334)</f>
        <v>0</v>
      </c>
      <c r="AG334" s="44">
        <f ca="1">_xll.DBRW($C$1,$C$2,$C$3,$C$4,$C$6,$C$5,$C$7,AG$1,AG$2,$A334)</f>
        <v>0</v>
      </c>
      <c r="AH334" s="44">
        <f ca="1">_xll.DBRW($C$1,$C$2,$C$3,$C$4,$C$6,$C$5,$C$7,AH$1,AH$2,$A334)</f>
        <v>0</v>
      </c>
      <c r="AI334" s="44">
        <f ca="1">_xll.DBRW($C$1,$C$2,$C$3,$C$4,$C$6,$C$5,$C$7,AI$1,AI$2,$A334)</f>
        <v>0</v>
      </c>
      <c r="AJ334" s="44">
        <f ca="1">_xll.DBRW($C$1,$C$2,$C$3,$C$4,$C$6,$C$5,$C$7,AJ$1,AJ$2,$A334)</f>
        <v>0</v>
      </c>
      <c r="AK334" s="44">
        <f ca="1">_xll.DBRW($C$1,$C$2,$C$3,$C$4,$C$6,$C$5,$C$7,AK$1,AK$2,$A334)</f>
        <v>0</v>
      </c>
      <c r="AL334" s="44">
        <f ca="1">_xll.DBRW($C$1,$C$2,$C$3,$C$4,$C$6,$C$5,$C$7,AL$1,AL$2,$A334)</f>
        <v>0</v>
      </c>
      <c r="AM334" s="44">
        <f ca="1">_xll.DBRW($C$1,$C$2,$C$3,$C$4,$C$6,$C$5,$C$7,AM$1,AM$2,$A334)</f>
        <v>0</v>
      </c>
      <c r="AN334" s="44">
        <f ca="1">_xll.DBRW($C$1,$C$2,$C$3,$C$4,$C$6,$C$5,$C$7,AN$1,AN$2,$A334)</f>
        <v>0</v>
      </c>
      <c r="AO334" s="44">
        <f ca="1">_xll.DBRW($C$1,$C$2,$C$3,$C$4,$C$6,$C$5,$C$7,AO$1,AO$2,$A334)</f>
        <v>0</v>
      </c>
      <c r="AP334" s="44">
        <f ca="1">_xll.DBRW($C$1,$C$2,$C$3,$C$4,$C$6,$C$5,$C$7,AP$1,AP$2,$A334)</f>
        <v>0</v>
      </c>
      <c r="AQ334" s="44">
        <f ca="1">_xll.DBRW($C$1,$C$2,$C$3,$C$4,$C$6,$C$5,$C$7,AQ$1,AQ$2,$A334)</f>
        <v>0</v>
      </c>
      <c r="AR334" s="44">
        <f ca="1">_xll.DBRW($C$1,$C$2,$C$3,$C$4,$C$6,$C$5,$C$7,AR$1,AR$2,$A334)</f>
        <v>0</v>
      </c>
      <c r="AS334" s="44">
        <f ca="1">_xll.DBRW($C$1,$C$2,$C$3,$C$4,$C$6,$C$5,$C$7,AS$1,AS$2,$A334)</f>
        <v>0</v>
      </c>
      <c r="AT334" s="44">
        <f ca="1">_xll.DBRW($C$1,$C$2,$C$3,$C$4,$C$6,$C$5,$C$7,AT$1,AT$2,$A334)</f>
        <v>0</v>
      </c>
      <c r="AU334" s="44">
        <f ca="1">_xll.DBRW($C$1,$C$2,$C$3,$C$4,$C$6,$C$5,$C$7,AU$1,AU$2,$A334)</f>
        <v>0</v>
      </c>
      <c r="AV334" s="44">
        <f ca="1">_xll.DBRW($C$1,$C$2,$C$3,$C$4,$C$6,$C$5,$C$7,AV$1,AV$2,$A334)</f>
        <v>0</v>
      </c>
      <c r="AW334" s="44">
        <f ca="1">_xll.DBRW($C$1,$C$2,$C$3,$C$4,$C$6,$C$5,$C$7,AW$1,AW$2,$A334)</f>
        <v>0</v>
      </c>
      <c r="AX334" s="44">
        <f ca="1">_xll.DBRW($C$1,$C$2,$C$3,$C$4,$C$6,$C$5,$C$7,AX$1,AX$2,$A334)</f>
        <v>0</v>
      </c>
      <c r="AY334" s="44">
        <f ca="1">_xll.DBRW($C$1,$C$2,$C$3,$C$4,$C$6,$C$5,$C$7,AY$1,AY$2,$A334)</f>
        <v>0</v>
      </c>
    </row>
    <row r="335" spans="1:51" ht="15.5" collapsed="1">
      <c r="A335" s="1" t="s">
        <v>142</v>
      </c>
      <c r="C335" s="109"/>
      <c r="E335" s="15" t="s">
        <v>95</v>
      </c>
      <c r="F335" s="45">
        <f t="shared" ref="F335:L335" ca="1" si="230">SUM(F334)</f>
        <v>0</v>
      </c>
      <c r="G335" s="45">
        <f t="shared" ca="1" si="230"/>
        <v>0</v>
      </c>
      <c r="H335" s="45">
        <f t="shared" ca="1" si="230"/>
        <v>0</v>
      </c>
      <c r="I335" s="45">
        <f t="shared" ca="1" si="230"/>
        <v>0</v>
      </c>
      <c r="J335" s="45">
        <f t="shared" ca="1" si="230"/>
        <v>0</v>
      </c>
      <c r="K335" s="45">
        <f t="shared" ca="1" si="230"/>
        <v>0</v>
      </c>
      <c r="L335" s="45">
        <f t="shared" ca="1" si="230"/>
        <v>0</v>
      </c>
      <c r="M335" s="45">
        <f t="shared" ref="M335:X335" ca="1" si="231">SUM(M334)</f>
        <v>0</v>
      </c>
      <c r="N335" s="45">
        <f t="shared" ca="1" si="231"/>
        <v>0</v>
      </c>
      <c r="O335" s="45">
        <f t="shared" ca="1" si="231"/>
        <v>0</v>
      </c>
      <c r="P335" s="45">
        <f t="shared" ca="1" si="231"/>
        <v>0</v>
      </c>
      <c r="Q335" s="45">
        <f t="shared" ca="1" si="231"/>
        <v>0</v>
      </c>
      <c r="R335" s="45">
        <f t="shared" ca="1" si="231"/>
        <v>0</v>
      </c>
      <c r="S335" s="45">
        <f t="shared" ca="1" si="231"/>
        <v>0</v>
      </c>
      <c r="T335" s="45">
        <f t="shared" ca="1" si="231"/>
        <v>0</v>
      </c>
      <c r="U335" s="45">
        <f t="shared" ca="1" si="231"/>
        <v>0</v>
      </c>
      <c r="V335" s="45">
        <f t="shared" ca="1" si="231"/>
        <v>0</v>
      </c>
      <c r="W335" s="45">
        <f t="shared" ca="1" si="231"/>
        <v>0</v>
      </c>
      <c r="X335" s="45">
        <f t="shared" ca="1" si="231"/>
        <v>0</v>
      </c>
      <c r="Y335" s="45">
        <f ca="1">SUM(Y334)</f>
        <v>0</v>
      </c>
      <c r="Z335" s="45">
        <f t="shared" ref="Z335:AK335" ca="1" si="232">SUM(Z334)</f>
        <v>0</v>
      </c>
      <c r="AA335" s="45">
        <f t="shared" ca="1" si="232"/>
        <v>0</v>
      </c>
      <c r="AB335" s="45">
        <f t="shared" ca="1" si="232"/>
        <v>0</v>
      </c>
      <c r="AC335" s="45">
        <f t="shared" ca="1" si="232"/>
        <v>0</v>
      </c>
      <c r="AD335" s="45">
        <f t="shared" ca="1" si="232"/>
        <v>0</v>
      </c>
      <c r="AE335" s="45">
        <f t="shared" ca="1" si="232"/>
        <v>0</v>
      </c>
      <c r="AF335" s="45">
        <f t="shared" ca="1" si="232"/>
        <v>0</v>
      </c>
      <c r="AG335" s="45">
        <f t="shared" ca="1" si="232"/>
        <v>0</v>
      </c>
      <c r="AH335" s="45">
        <f t="shared" ca="1" si="232"/>
        <v>0</v>
      </c>
      <c r="AI335" s="45">
        <f t="shared" ca="1" si="232"/>
        <v>0</v>
      </c>
      <c r="AJ335" s="45">
        <f t="shared" ca="1" si="232"/>
        <v>0</v>
      </c>
      <c r="AK335" s="45">
        <f t="shared" ca="1" si="232"/>
        <v>0</v>
      </c>
      <c r="AL335" s="45">
        <f ca="1">SUM(AL334)</f>
        <v>0</v>
      </c>
      <c r="AM335" s="45">
        <f t="shared" ref="AM335:AX335" ca="1" si="233">SUM(AM334)</f>
        <v>0</v>
      </c>
      <c r="AN335" s="45">
        <f t="shared" ca="1" si="233"/>
        <v>0</v>
      </c>
      <c r="AO335" s="45">
        <f t="shared" ca="1" si="233"/>
        <v>0</v>
      </c>
      <c r="AP335" s="45">
        <f t="shared" ca="1" si="233"/>
        <v>0</v>
      </c>
      <c r="AQ335" s="45">
        <f t="shared" ca="1" si="233"/>
        <v>0</v>
      </c>
      <c r="AR335" s="45">
        <f t="shared" ca="1" si="233"/>
        <v>0</v>
      </c>
      <c r="AS335" s="45">
        <f t="shared" ca="1" si="233"/>
        <v>0</v>
      </c>
      <c r="AT335" s="45">
        <f t="shared" ca="1" si="233"/>
        <v>0</v>
      </c>
      <c r="AU335" s="45">
        <f t="shared" ca="1" si="233"/>
        <v>0</v>
      </c>
      <c r="AV335" s="45">
        <f t="shared" ca="1" si="233"/>
        <v>0</v>
      </c>
      <c r="AW335" s="45">
        <f t="shared" ca="1" si="233"/>
        <v>0</v>
      </c>
      <c r="AX335" s="45">
        <f t="shared" ca="1" si="233"/>
        <v>0</v>
      </c>
      <c r="AY335" s="45">
        <f ca="1">SUM(AY334)</f>
        <v>0</v>
      </c>
    </row>
    <row r="336" spans="1:51" ht="15.75" hidden="1" customHeight="1" outlineLevel="1">
      <c r="A336" s="1" t="s">
        <v>356</v>
      </c>
      <c r="C336" s="109"/>
      <c r="E336" s="9" t="str">
        <f ca="1">_xll.DBRW(Server&amp;"}ElementAttributes_Indicator",A336,"code_English")</f>
        <v>Gas_consu - Gas consumed (kwh)</v>
      </c>
      <c r="F336" s="44">
        <f ca="1">_xll.DBRW($C$1,$C$2,$C$3,$C$4,$C$6,$C$5,$C$7,F$1,F$2,$A336)</f>
        <v>0</v>
      </c>
      <c r="G336" s="44">
        <f ca="1">_xll.DBRW($C$1,$C$2,$C$3,$C$4,$C$6,$C$5,$C$7,G$1,G$2,$A336)</f>
        <v>0</v>
      </c>
      <c r="H336" s="44">
        <f ca="1">_xll.DBRW($C$1,$C$2,$C$3,$C$4,$C$6,$C$5,$C$7,H$1,H$2,$A336)</f>
        <v>0</v>
      </c>
      <c r="I336" s="44">
        <f ca="1">_xll.DBRW($C$1,$C$2,$C$3,$C$4,$C$6,$C$5,$C$7,I$1,I$2,$A336)</f>
        <v>0</v>
      </c>
      <c r="J336" s="44">
        <f ca="1">_xll.DBRW($C$1,$C$2,$C$3,$C$4,$C$6,$C$5,$C$7,J$1,J$2,$A336)</f>
        <v>0</v>
      </c>
      <c r="K336" s="44">
        <f ca="1">_xll.DBRW($C$1,$C$2,$C$3,$C$4,$C$6,$C$5,$C$7,K$1,K$2,$A336)</f>
        <v>0</v>
      </c>
      <c r="L336" s="44">
        <f ca="1">_xll.DBRW($C$1,$C$2,$C$3,$C$4,$C$6,$C$5,$C$7,L$1,L$2,$A336)</f>
        <v>0</v>
      </c>
      <c r="M336" s="44">
        <f ca="1">_xll.DBRW($C$1,$C$2,$C$3,$C$4,$C$6,$C$5,$C$7,M$1,M$2,$A336)</f>
        <v>0</v>
      </c>
      <c r="N336" s="44">
        <f ca="1">_xll.DBRW($C$1,$C$2,$C$3,$C$4,$C$6,$C$5,$C$7,N$1,N$2,$A336)</f>
        <v>0</v>
      </c>
      <c r="O336" s="44">
        <f ca="1">_xll.DBRW($C$1,$C$2,$C$3,$C$4,$C$6,$C$5,$C$7,O$1,O$2,$A336)</f>
        <v>0</v>
      </c>
      <c r="P336" s="44">
        <f ca="1">_xll.DBRW($C$1,$C$2,$C$3,$C$4,$C$6,$C$5,$C$7,P$1,P$2,$A336)</f>
        <v>0</v>
      </c>
      <c r="Q336" s="44">
        <f ca="1">_xll.DBRW($C$1,$C$2,$C$3,$C$4,$C$6,$C$5,$C$7,Q$1,Q$2,$A336)</f>
        <v>0</v>
      </c>
      <c r="R336" s="44">
        <f ca="1">_xll.DBRW($C$1,$C$2,$C$3,$C$4,$C$6,$C$5,$C$7,R$1,R$2,$A336)</f>
        <v>0</v>
      </c>
      <c r="S336" s="44">
        <f ca="1">_xll.DBRW($C$1,$C$2,$C$3,$C$4,$C$6,$C$5,$C$7,S$1,S$2,$A336)</f>
        <v>0</v>
      </c>
      <c r="T336" s="44">
        <f ca="1">_xll.DBRW($C$1,$C$2,$C$3,$C$4,$C$6,$C$5,$C$7,T$1,T$2,$A336)</f>
        <v>0</v>
      </c>
      <c r="U336" s="44">
        <f ca="1">_xll.DBRW($C$1,$C$2,$C$3,$C$4,$C$6,$C$5,$C$7,U$1,U$2,$A336)</f>
        <v>0</v>
      </c>
      <c r="V336" s="44">
        <f ca="1">_xll.DBRW($C$1,$C$2,$C$3,$C$4,$C$6,$C$5,$C$7,V$1,V$2,$A336)</f>
        <v>0</v>
      </c>
      <c r="W336" s="44">
        <f ca="1">_xll.DBRW($C$1,$C$2,$C$3,$C$4,$C$6,$C$5,$C$7,W$1,W$2,$A336)</f>
        <v>0</v>
      </c>
      <c r="X336" s="44">
        <f ca="1">_xll.DBRW($C$1,$C$2,$C$3,$C$4,$C$6,$C$5,$C$7,X$1,X$2,$A336)</f>
        <v>0</v>
      </c>
      <c r="Y336" s="44">
        <f ca="1">_xll.DBRW($C$1,$C$2,$C$3,$C$4,$C$6,$C$5,$C$7,Y$1,Y$2,$A336)</f>
        <v>0</v>
      </c>
      <c r="Z336" s="44">
        <f ca="1">_xll.DBRW($C$1,$C$2,$C$3,$C$4,$C$6,$C$5,$C$7,Z$1,Z$2,$A336)</f>
        <v>0</v>
      </c>
      <c r="AA336" s="44">
        <f ca="1">_xll.DBRW($C$1,$C$2,$C$3,$C$4,$C$6,$C$5,$C$7,AA$1,AA$2,$A336)</f>
        <v>0</v>
      </c>
      <c r="AB336" s="44">
        <f ca="1">_xll.DBRW($C$1,$C$2,$C$3,$C$4,$C$6,$C$5,$C$7,AB$1,AB$2,$A336)</f>
        <v>0</v>
      </c>
      <c r="AC336" s="44">
        <f ca="1">_xll.DBRW($C$1,$C$2,$C$3,$C$4,$C$6,$C$5,$C$7,AC$1,AC$2,$A336)</f>
        <v>0</v>
      </c>
      <c r="AD336" s="44">
        <f ca="1">_xll.DBRW($C$1,$C$2,$C$3,$C$4,$C$6,$C$5,$C$7,AD$1,AD$2,$A336)</f>
        <v>0</v>
      </c>
      <c r="AE336" s="44">
        <f ca="1">_xll.DBRW($C$1,$C$2,$C$3,$C$4,$C$6,$C$5,$C$7,AE$1,AE$2,$A336)</f>
        <v>0</v>
      </c>
      <c r="AF336" s="44">
        <f ca="1">_xll.DBRW($C$1,$C$2,$C$3,$C$4,$C$6,$C$5,$C$7,AF$1,AF$2,$A336)</f>
        <v>0</v>
      </c>
      <c r="AG336" s="44">
        <f ca="1">_xll.DBRW($C$1,$C$2,$C$3,$C$4,$C$6,$C$5,$C$7,AG$1,AG$2,$A336)</f>
        <v>0</v>
      </c>
      <c r="AH336" s="44">
        <f ca="1">_xll.DBRW($C$1,$C$2,$C$3,$C$4,$C$6,$C$5,$C$7,AH$1,AH$2,$A336)</f>
        <v>0</v>
      </c>
      <c r="AI336" s="44">
        <f ca="1">_xll.DBRW($C$1,$C$2,$C$3,$C$4,$C$6,$C$5,$C$7,AI$1,AI$2,$A336)</f>
        <v>0</v>
      </c>
      <c r="AJ336" s="44">
        <f ca="1">_xll.DBRW($C$1,$C$2,$C$3,$C$4,$C$6,$C$5,$C$7,AJ$1,AJ$2,$A336)</f>
        <v>0</v>
      </c>
      <c r="AK336" s="44">
        <f ca="1">_xll.DBRW($C$1,$C$2,$C$3,$C$4,$C$6,$C$5,$C$7,AK$1,AK$2,$A336)</f>
        <v>0</v>
      </c>
      <c r="AL336" s="44">
        <f ca="1">_xll.DBRW($C$1,$C$2,$C$3,$C$4,$C$6,$C$5,$C$7,AL$1,AL$2,$A336)</f>
        <v>0</v>
      </c>
      <c r="AM336" s="44">
        <f ca="1">_xll.DBRW($C$1,$C$2,$C$3,$C$4,$C$6,$C$5,$C$7,AM$1,AM$2,$A336)</f>
        <v>0</v>
      </c>
      <c r="AN336" s="44">
        <f ca="1">_xll.DBRW($C$1,$C$2,$C$3,$C$4,$C$6,$C$5,$C$7,AN$1,AN$2,$A336)</f>
        <v>0</v>
      </c>
      <c r="AO336" s="44">
        <f ca="1">_xll.DBRW($C$1,$C$2,$C$3,$C$4,$C$6,$C$5,$C$7,AO$1,AO$2,$A336)</f>
        <v>0</v>
      </c>
      <c r="AP336" s="44">
        <f ca="1">_xll.DBRW($C$1,$C$2,$C$3,$C$4,$C$6,$C$5,$C$7,AP$1,AP$2,$A336)</f>
        <v>0</v>
      </c>
      <c r="AQ336" s="44">
        <f ca="1">_xll.DBRW($C$1,$C$2,$C$3,$C$4,$C$6,$C$5,$C$7,AQ$1,AQ$2,$A336)</f>
        <v>0</v>
      </c>
      <c r="AR336" s="44">
        <f ca="1">_xll.DBRW($C$1,$C$2,$C$3,$C$4,$C$6,$C$5,$C$7,AR$1,AR$2,$A336)</f>
        <v>0</v>
      </c>
      <c r="AS336" s="44">
        <f ca="1">_xll.DBRW($C$1,$C$2,$C$3,$C$4,$C$6,$C$5,$C$7,AS$1,AS$2,$A336)</f>
        <v>0</v>
      </c>
      <c r="AT336" s="44">
        <f ca="1">_xll.DBRW($C$1,$C$2,$C$3,$C$4,$C$6,$C$5,$C$7,AT$1,AT$2,$A336)</f>
        <v>0</v>
      </c>
      <c r="AU336" s="44">
        <f ca="1">_xll.DBRW($C$1,$C$2,$C$3,$C$4,$C$6,$C$5,$C$7,AU$1,AU$2,$A336)</f>
        <v>0</v>
      </c>
      <c r="AV336" s="44">
        <f ca="1">_xll.DBRW($C$1,$C$2,$C$3,$C$4,$C$6,$C$5,$C$7,AV$1,AV$2,$A336)</f>
        <v>0</v>
      </c>
      <c r="AW336" s="44">
        <f ca="1">_xll.DBRW($C$1,$C$2,$C$3,$C$4,$C$6,$C$5,$C$7,AW$1,AW$2,$A336)</f>
        <v>0</v>
      </c>
      <c r="AX336" s="44">
        <f ca="1">_xll.DBRW($C$1,$C$2,$C$3,$C$4,$C$6,$C$5,$C$7,AX$1,AX$2,$A336)</f>
        <v>0</v>
      </c>
      <c r="AY336" s="44">
        <f ca="1">_xll.DBRW($C$1,$C$2,$C$3,$C$4,$C$6,$C$5,$C$7,AY$1,AY$2,$A336)</f>
        <v>0</v>
      </c>
    </row>
    <row r="337" spans="1:51" ht="15.5" collapsed="1">
      <c r="A337" s="1" t="s">
        <v>142</v>
      </c>
      <c r="C337" s="109"/>
      <c r="E337" s="15" t="s">
        <v>96</v>
      </c>
      <c r="F337" s="44">
        <f t="shared" ref="F337:L337" ca="1" si="234">SUM(F336)</f>
        <v>0</v>
      </c>
      <c r="G337" s="44">
        <f t="shared" ca="1" si="234"/>
        <v>0</v>
      </c>
      <c r="H337" s="44">
        <f t="shared" ca="1" si="234"/>
        <v>0</v>
      </c>
      <c r="I337" s="44">
        <f t="shared" ca="1" si="234"/>
        <v>0</v>
      </c>
      <c r="J337" s="44">
        <f t="shared" ca="1" si="234"/>
        <v>0</v>
      </c>
      <c r="K337" s="44">
        <f t="shared" ca="1" si="234"/>
        <v>0</v>
      </c>
      <c r="L337" s="44">
        <f t="shared" ca="1" si="234"/>
        <v>0</v>
      </c>
      <c r="M337" s="44">
        <f t="shared" ref="M337:X337" ca="1" si="235">SUM(M336)</f>
        <v>0</v>
      </c>
      <c r="N337" s="44">
        <f t="shared" ca="1" si="235"/>
        <v>0</v>
      </c>
      <c r="O337" s="44">
        <f t="shared" ca="1" si="235"/>
        <v>0</v>
      </c>
      <c r="P337" s="44">
        <f t="shared" ca="1" si="235"/>
        <v>0</v>
      </c>
      <c r="Q337" s="44">
        <f t="shared" ca="1" si="235"/>
        <v>0</v>
      </c>
      <c r="R337" s="44">
        <f t="shared" ca="1" si="235"/>
        <v>0</v>
      </c>
      <c r="S337" s="44">
        <f t="shared" ca="1" si="235"/>
        <v>0</v>
      </c>
      <c r="T337" s="44">
        <f t="shared" ca="1" si="235"/>
        <v>0</v>
      </c>
      <c r="U337" s="44">
        <f t="shared" ca="1" si="235"/>
        <v>0</v>
      </c>
      <c r="V337" s="44">
        <f t="shared" ca="1" si="235"/>
        <v>0</v>
      </c>
      <c r="W337" s="44">
        <f t="shared" ca="1" si="235"/>
        <v>0</v>
      </c>
      <c r="X337" s="44">
        <f t="shared" ca="1" si="235"/>
        <v>0</v>
      </c>
      <c r="Y337" s="44">
        <f ca="1">SUM(Y336)</f>
        <v>0</v>
      </c>
      <c r="Z337" s="44">
        <f t="shared" ref="Z337:AK337" ca="1" si="236">SUM(Z336)</f>
        <v>0</v>
      </c>
      <c r="AA337" s="44">
        <f t="shared" ca="1" si="236"/>
        <v>0</v>
      </c>
      <c r="AB337" s="44">
        <f t="shared" ca="1" si="236"/>
        <v>0</v>
      </c>
      <c r="AC337" s="44">
        <f t="shared" ca="1" si="236"/>
        <v>0</v>
      </c>
      <c r="AD337" s="44">
        <f t="shared" ca="1" si="236"/>
        <v>0</v>
      </c>
      <c r="AE337" s="44">
        <f t="shared" ca="1" si="236"/>
        <v>0</v>
      </c>
      <c r="AF337" s="44">
        <f t="shared" ca="1" si="236"/>
        <v>0</v>
      </c>
      <c r="AG337" s="44">
        <f t="shared" ca="1" si="236"/>
        <v>0</v>
      </c>
      <c r="AH337" s="44">
        <f t="shared" ca="1" si="236"/>
        <v>0</v>
      </c>
      <c r="AI337" s="44">
        <f t="shared" ca="1" si="236"/>
        <v>0</v>
      </c>
      <c r="AJ337" s="44">
        <f t="shared" ca="1" si="236"/>
        <v>0</v>
      </c>
      <c r="AK337" s="44">
        <f t="shared" ca="1" si="236"/>
        <v>0</v>
      </c>
      <c r="AL337" s="44">
        <f ca="1">SUM(AL336)</f>
        <v>0</v>
      </c>
      <c r="AM337" s="44">
        <f t="shared" ref="AM337:AX337" ca="1" si="237">SUM(AM336)</f>
        <v>0</v>
      </c>
      <c r="AN337" s="44">
        <f t="shared" ca="1" si="237"/>
        <v>0</v>
      </c>
      <c r="AO337" s="44">
        <f t="shared" ca="1" si="237"/>
        <v>0</v>
      </c>
      <c r="AP337" s="44">
        <f t="shared" ca="1" si="237"/>
        <v>0</v>
      </c>
      <c r="AQ337" s="44">
        <f t="shared" ca="1" si="237"/>
        <v>0</v>
      </c>
      <c r="AR337" s="44">
        <f t="shared" ca="1" si="237"/>
        <v>0</v>
      </c>
      <c r="AS337" s="44">
        <f t="shared" ca="1" si="237"/>
        <v>0</v>
      </c>
      <c r="AT337" s="44">
        <f t="shared" ca="1" si="237"/>
        <v>0</v>
      </c>
      <c r="AU337" s="44">
        <f t="shared" ca="1" si="237"/>
        <v>0</v>
      </c>
      <c r="AV337" s="44">
        <f t="shared" ca="1" si="237"/>
        <v>0</v>
      </c>
      <c r="AW337" s="44">
        <f t="shared" ca="1" si="237"/>
        <v>0</v>
      </c>
      <c r="AX337" s="44">
        <f t="shared" ca="1" si="237"/>
        <v>0</v>
      </c>
      <c r="AY337" s="44">
        <f ca="1">SUM(AY336)</f>
        <v>0</v>
      </c>
    </row>
    <row r="338" spans="1:51" ht="15.75" hidden="1" customHeight="1" outlineLevel="1">
      <c r="A338" s="1" t="s">
        <v>357</v>
      </c>
      <c r="C338" s="109"/>
      <c r="E338" s="9" t="str">
        <f ca="1">_xll.DBRW(Server&amp;"}ElementAttributes_Indicator",A338,"code_English")</f>
        <v>Elec_consu - Electricity consumed (kwh)</v>
      </c>
      <c r="F338" s="44">
        <f ca="1">_xll.DBRW($C$1,$C$2,$C$3,$C$4,$C$6,$C$5,$C$7,F$1,F$2,$A338)</f>
        <v>0</v>
      </c>
      <c r="G338" s="44">
        <f ca="1">_xll.DBRW($C$1,$C$2,$C$3,$C$4,$C$6,$C$5,$C$7,G$1,G$2,$A338)</f>
        <v>0</v>
      </c>
      <c r="H338" s="44">
        <f ca="1">_xll.DBRW($C$1,$C$2,$C$3,$C$4,$C$6,$C$5,$C$7,H$1,H$2,$A338)</f>
        <v>0</v>
      </c>
      <c r="I338" s="44">
        <f ca="1">_xll.DBRW($C$1,$C$2,$C$3,$C$4,$C$6,$C$5,$C$7,I$1,I$2,$A338)</f>
        <v>0</v>
      </c>
      <c r="J338" s="44">
        <f ca="1">_xll.DBRW($C$1,$C$2,$C$3,$C$4,$C$6,$C$5,$C$7,J$1,J$2,$A338)</f>
        <v>0</v>
      </c>
      <c r="K338" s="44">
        <f ca="1">_xll.DBRW($C$1,$C$2,$C$3,$C$4,$C$6,$C$5,$C$7,K$1,K$2,$A338)</f>
        <v>0</v>
      </c>
      <c r="L338" s="44">
        <f ca="1">_xll.DBRW($C$1,$C$2,$C$3,$C$4,$C$6,$C$5,$C$7,L$1,L$2,$A338)</f>
        <v>0</v>
      </c>
      <c r="M338" s="44">
        <f ca="1">_xll.DBRW($C$1,$C$2,$C$3,$C$4,$C$6,$C$5,$C$7,M$1,M$2,$A338)</f>
        <v>0</v>
      </c>
      <c r="N338" s="44">
        <f ca="1">_xll.DBRW($C$1,$C$2,$C$3,$C$4,$C$6,$C$5,$C$7,N$1,N$2,$A338)</f>
        <v>0</v>
      </c>
      <c r="O338" s="44">
        <f ca="1">_xll.DBRW($C$1,$C$2,$C$3,$C$4,$C$6,$C$5,$C$7,O$1,O$2,$A338)</f>
        <v>0</v>
      </c>
      <c r="P338" s="44">
        <f ca="1">_xll.DBRW($C$1,$C$2,$C$3,$C$4,$C$6,$C$5,$C$7,P$1,P$2,$A338)</f>
        <v>0</v>
      </c>
      <c r="Q338" s="44">
        <f ca="1">_xll.DBRW($C$1,$C$2,$C$3,$C$4,$C$6,$C$5,$C$7,Q$1,Q$2,$A338)</f>
        <v>0</v>
      </c>
      <c r="R338" s="44">
        <f ca="1">_xll.DBRW($C$1,$C$2,$C$3,$C$4,$C$6,$C$5,$C$7,R$1,R$2,$A338)</f>
        <v>0</v>
      </c>
      <c r="S338" s="44">
        <f ca="1">_xll.DBRW($C$1,$C$2,$C$3,$C$4,$C$6,$C$5,$C$7,S$1,S$2,$A338)</f>
        <v>0</v>
      </c>
      <c r="T338" s="44">
        <f ca="1">_xll.DBRW($C$1,$C$2,$C$3,$C$4,$C$6,$C$5,$C$7,T$1,T$2,$A338)</f>
        <v>0</v>
      </c>
      <c r="U338" s="44">
        <f ca="1">_xll.DBRW($C$1,$C$2,$C$3,$C$4,$C$6,$C$5,$C$7,U$1,U$2,$A338)</f>
        <v>0</v>
      </c>
      <c r="V338" s="44">
        <f ca="1">_xll.DBRW($C$1,$C$2,$C$3,$C$4,$C$6,$C$5,$C$7,V$1,V$2,$A338)</f>
        <v>0</v>
      </c>
      <c r="W338" s="44">
        <f ca="1">_xll.DBRW($C$1,$C$2,$C$3,$C$4,$C$6,$C$5,$C$7,W$1,W$2,$A338)</f>
        <v>0</v>
      </c>
      <c r="X338" s="44">
        <f ca="1">_xll.DBRW($C$1,$C$2,$C$3,$C$4,$C$6,$C$5,$C$7,X$1,X$2,$A338)</f>
        <v>0</v>
      </c>
      <c r="Y338" s="44">
        <f ca="1">_xll.DBRW($C$1,$C$2,$C$3,$C$4,$C$6,$C$5,$C$7,Y$1,Y$2,$A338)</f>
        <v>0</v>
      </c>
      <c r="Z338" s="44">
        <f ca="1">_xll.DBRW($C$1,$C$2,$C$3,$C$4,$C$6,$C$5,$C$7,Z$1,Z$2,$A338)</f>
        <v>0</v>
      </c>
      <c r="AA338" s="44">
        <f ca="1">_xll.DBRW($C$1,$C$2,$C$3,$C$4,$C$6,$C$5,$C$7,AA$1,AA$2,$A338)</f>
        <v>0</v>
      </c>
      <c r="AB338" s="44">
        <f ca="1">_xll.DBRW($C$1,$C$2,$C$3,$C$4,$C$6,$C$5,$C$7,AB$1,AB$2,$A338)</f>
        <v>0</v>
      </c>
      <c r="AC338" s="44">
        <f ca="1">_xll.DBRW($C$1,$C$2,$C$3,$C$4,$C$6,$C$5,$C$7,AC$1,AC$2,$A338)</f>
        <v>0</v>
      </c>
      <c r="AD338" s="44">
        <f ca="1">_xll.DBRW($C$1,$C$2,$C$3,$C$4,$C$6,$C$5,$C$7,AD$1,AD$2,$A338)</f>
        <v>0</v>
      </c>
      <c r="AE338" s="44">
        <f ca="1">_xll.DBRW($C$1,$C$2,$C$3,$C$4,$C$6,$C$5,$C$7,AE$1,AE$2,$A338)</f>
        <v>0</v>
      </c>
      <c r="AF338" s="44">
        <f ca="1">_xll.DBRW($C$1,$C$2,$C$3,$C$4,$C$6,$C$5,$C$7,AF$1,AF$2,$A338)</f>
        <v>0</v>
      </c>
      <c r="AG338" s="44">
        <f ca="1">_xll.DBRW($C$1,$C$2,$C$3,$C$4,$C$6,$C$5,$C$7,AG$1,AG$2,$A338)</f>
        <v>0</v>
      </c>
      <c r="AH338" s="44">
        <f ca="1">_xll.DBRW($C$1,$C$2,$C$3,$C$4,$C$6,$C$5,$C$7,AH$1,AH$2,$A338)</f>
        <v>0</v>
      </c>
      <c r="AI338" s="44">
        <f ca="1">_xll.DBRW($C$1,$C$2,$C$3,$C$4,$C$6,$C$5,$C$7,AI$1,AI$2,$A338)</f>
        <v>0</v>
      </c>
      <c r="AJ338" s="44">
        <f ca="1">_xll.DBRW($C$1,$C$2,$C$3,$C$4,$C$6,$C$5,$C$7,AJ$1,AJ$2,$A338)</f>
        <v>0</v>
      </c>
      <c r="AK338" s="44">
        <f ca="1">_xll.DBRW($C$1,$C$2,$C$3,$C$4,$C$6,$C$5,$C$7,AK$1,AK$2,$A338)</f>
        <v>0</v>
      </c>
      <c r="AL338" s="44">
        <f ca="1">_xll.DBRW($C$1,$C$2,$C$3,$C$4,$C$6,$C$5,$C$7,AL$1,AL$2,$A338)</f>
        <v>0</v>
      </c>
      <c r="AM338" s="44">
        <f ca="1">_xll.DBRW($C$1,$C$2,$C$3,$C$4,$C$6,$C$5,$C$7,AM$1,AM$2,$A338)</f>
        <v>0</v>
      </c>
      <c r="AN338" s="44">
        <f ca="1">_xll.DBRW($C$1,$C$2,$C$3,$C$4,$C$6,$C$5,$C$7,AN$1,AN$2,$A338)</f>
        <v>0</v>
      </c>
      <c r="AO338" s="44">
        <f ca="1">_xll.DBRW($C$1,$C$2,$C$3,$C$4,$C$6,$C$5,$C$7,AO$1,AO$2,$A338)</f>
        <v>0</v>
      </c>
      <c r="AP338" s="44">
        <f ca="1">_xll.DBRW($C$1,$C$2,$C$3,$C$4,$C$6,$C$5,$C$7,AP$1,AP$2,$A338)</f>
        <v>0</v>
      </c>
      <c r="AQ338" s="44">
        <f ca="1">_xll.DBRW($C$1,$C$2,$C$3,$C$4,$C$6,$C$5,$C$7,AQ$1,AQ$2,$A338)</f>
        <v>0</v>
      </c>
      <c r="AR338" s="44">
        <f ca="1">_xll.DBRW($C$1,$C$2,$C$3,$C$4,$C$6,$C$5,$C$7,AR$1,AR$2,$A338)</f>
        <v>0</v>
      </c>
      <c r="AS338" s="44">
        <f ca="1">_xll.DBRW($C$1,$C$2,$C$3,$C$4,$C$6,$C$5,$C$7,AS$1,AS$2,$A338)</f>
        <v>0</v>
      </c>
      <c r="AT338" s="44">
        <f ca="1">_xll.DBRW($C$1,$C$2,$C$3,$C$4,$C$6,$C$5,$C$7,AT$1,AT$2,$A338)</f>
        <v>0</v>
      </c>
      <c r="AU338" s="44">
        <f ca="1">_xll.DBRW($C$1,$C$2,$C$3,$C$4,$C$6,$C$5,$C$7,AU$1,AU$2,$A338)</f>
        <v>0</v>
      </c>
      <c r="AV338" s="44">
        <f ca="1">_xll.DBRW($C$1,$C$2,$C$3,$C$4,$C$6,$C$5,$C$7,AV$1,AV$2,$A338)</f>
        <v>0</v>
      </c>
      <c r="AW338" s="44">
        <f ca="1">_xll.DBRW($C$1,$C$2,$C$3,$C$4,$C$6,$C$5,$C$7,AW$1,AW$2,$A338)</f>
        <v>0</v>
      </c>
      <c r="AX338" s="44">
        <f ca="1">_xll.DBRW($C$1,$C$2,$C$3,$C$4,$C$6,$C$5,$C$7,AX$1,AX$2,$A338)</f>
        <v>0</v>
      </c>
      <c r="AY338" s="44">
        <f ca="1">_xll.DBRW($C$1,$C$2,$C$3,$C$4,$C$6,$C$5,$C$7,AY$1,AY$2,$A338)</f>
        <v>0</v>
      </c>
    </row>
    <row r="339" spans="1:51" ht="15.5" collapsed="1">
      <c r="A339" s="1" t="s">
        <v>142</v>
      </c>
      <c r="C339" s="109"/>
      <c r="E339" s="15" t="s">
        <v>97</v>
      </c>
      <c r="F339" s="45">
        <f t="shared" ref="F339:L339" ca="1" si="238">SUM(F338)</f>
        <v>0</v>
      </c>
      <c r="G339" s="45">
        <f t="shared" ca="1" si="238"/>
        <v>0</v>
      </c>
      <c r="H339" s="45">
        <f t="shared" ca="1" si="238"/>
        <v>0</v>
      </c>
      <c r="I339" s="45">
        <f t="shared" ca="1" si="238"/>
        <v>0</v>
      </c>
      <c r="J339" s="45">
        <f t="shared" ca="1" si="238"/>
        <v>0</v>
      </c>
      <c r="K339" s="45">
        <f t="shared" ca="1" si="238"/>
        <v>0</v>
      </c>
      <c r="L339" s="45">
        <f t="shared" ca="1" si="238"/>
        <v>0</v>
      </c>
      <c r="M339" s="45">
        <f t="shared" ref="M339:X339" ca="1" si="239">SUM(M338)</f>
        <v>0</v>
      </c>
      <c r="N339" s="45">
        <f t="shared" ca="1" si="239"/>
        <v>0</v>
      </c>
      <c r="O339" s="45">
        <f t="shared" ca="1" si="239"/>
        <v>0</v>
      </c>
      <c r="P339" s="45">
        <f t="shared" ca="1" si="239"/>
        <v>0</v>
      </c>
      <c r="Q339" s="45">
        <f t="shared" ca="1" si="239"/>
        <v>0</v>
      </c>
      <c r="R339" s="45">
        <f t="shared" ca="1" si="239"/>
        <v>0</v>
      </c>
      <c r="S339" s="45">
        <f t="shared" ca="1" si="239"/>
        <v>0</v>
      </c>
      <c r="T339" s="45">
        <f t="shared" ca="1" si="239"/>
        <v>0</v>
      </c>
      <c r="U339" s="45">
        <f t="shared" ca="1" si="239"/>
        <v>0</v>
      </c>
      <c r="V339" s="45">
        <f t="shared" ca="1" si="239"/>
        <v>0</v>
      </c>
      <c r="W339" s="45">
        <f t="shared" ca="1" si="239"/>
        <v>0</v>
      </c>
      <c r="X339" s="45">
        <f t="shared" ca="1" si="239"/>
        <v>0</v>
      </c>
      <c r="Y339" s="45">
        <f ca="1">SUM(Y338)</f>
        <v>0</v>
      </c>
      <c r="Z339" s="45">
        <f t="shared" ref="Z339:AK339" ca="1" si="240">SUM(Z338)</f>
        <v>0</v>
      </c>
      <c r="AA339" s="45">
        <f t="shared" ca="1" si="240"/>
        <v>0</v>
      </c>
      <c r="AB339" s="45">
        <f t="shared" ca="1" si="240"/>
        <v>0</v>
      </c>
      <c r="AC339" s="45">
        <f t="shared" ca="1" si="240"/>
        <v>0</v>
      </c>
      <c r="AD339" s="45">
        <f t="shared" ca="1" si="240"/>
        <v>0</v>
      </c>
      <c r="AE339" s="45">
        <f t="shared" ca="1" si="240"/>
        <v>0</v>
      </c>
      <c r="AF339" s="45">
        <f t="shared" ca="1" si="240"/>
        <v>0</v>
      </c>
      <c r="AG339" s="45">
        <f t="shared" ca="1" si="240"/>
        <v>0</v>
      </c>
      <c r="AH339" s="45">
        <f t="shared" ca="1" si="240"/>
        <v>0</v>
      </c>
      <c r="AI339" s="45">
        <f t="shared" ca="1" si="240"/>
        <v>0</v>
      </c>
      <c r="AJ339" s="45">
        <f t="shared" ca="1" si="240"/>
        <v>0</v>
      </c>
      <c r="AK339" s="45">
        <f t="shared" ca="1" si="240"/>
        <v>0</v>
      </c>
      <c r="AL339" s="45">
        <f ca="1">SUM(AL338)</f>
        <v>0</v>
      </c>
      <c r="AM339" s="45">
        <f t="shared" ref="AM339:AX339" ca="1" si="241">SUM(AM338)</f>
        <v>0</v>
      </c>
      <c r="AN339" s="45">
        <f t="shared" ca="1" si="241"/>
        <v>0</v>
      </c>
      <c r="AO339" s="45">
        <f t="shared" ca="1" si="241"/>
        <v>0</v>
      </c>
      <c r="AP339" s="45">
        <f t="shared" ca="1" si="241"/>
        <v>0</v>
      </c>
      <c r="AQ339" s="45">
        <f t="shared" ca="1" si="241"/>
        <v>0</v>
      </c>
      <c r="AR339" s="45">
        <f t="shared" ca="1" si="241"/>
        <v>0</v>
      </c>
      <c r="AS339" s="45">
        <f t="shared" ca="1" si="241"/>
        <v>0</v>
      </c>
      <c r="AT339" s="45">
        <f t="shared" ca="1" si="241"/>
        <v>0</v>
      </c>
      <c r="AU339" s="45">
        <f t="shared" ca="1" si="241"/>
        <v>0</v>
      </c>
      <c r="AV339" s="45">
        <f t="shared" ca="1" si="241"/>
        <v>0</v>
      </c>
      <c r="AW339" s="45">
        <f t="shared" ca="1" si="241"/>
        <v>0</v>
      </c>
      <c r="AX339" s="45">
        <f t="shared" ca="1" si="241"/>
        <v>0</v>
      </c>
      <c r="AY339" s="45">
        <f ca="1">SUM(AY338)</f>
        <v>0</v>
      </c>
    </row>
    <row r="340" spans="1:51" ht="15.5" hidden="1" outlineLevel="1">
      <c r="A340" s="1" t="s">
        <v>370</v>
      </c>
      <c r="C340" s="109"/>
      <c r="E340" s="9" t="str">
        <f ca="1">_xll.DBRW(Server&amp;"}ElementAttributes_Indicator",A340,"code_English")</f>
        <v>Tot_nb_bus_coach - Total number of buses/coaches</v>
      </c>
      <c r="F340" s="44">
        <f ca="1">_xll.DBRW($C$1,$C$2,$C$3,$C$4,$C$6,$C$5,$C$7,F$1,F$2,$A340)</f>
        <v>0</v>
      </c>
      <c r="G340" s="44">
        <f ca="1">_xll.DBRW($C$1,$C$2,$C$3,$C$4,$C$6,$C$5,$C$7,G$1,G$2,$A340)</f>
        <v>0</v>
      </c>
      <c r="H340" s="44">
        <f ca="1">_xll.DBRW($C$1,$C$2,$C$3,$C$4,$C$6,$C$5,$C$7,H$1,H$2,$A340)</f>
        <v>0</v>
      </c>
      <c r="I340" s="44">
        <f ca="1">_xll.DBRW($C$1,$C$2,$C$3,$C$4,$C$6,$C$5,$C$7,I$1,I$2,$A340)</f>
        <v>0</v>
      </c>
      <c r="J340" s="44">
        <f ca="1">_xll.DBRW($C$1,$C$2,$C$3,$C$4,$C$6,$C$5,$C$7,J$1,J$2,$A340)</f>
        <v>0</v>
      </c>
      <c r="K340" s="44">
        <f ca="1">_xll.DBRW($C$1,$C$2,$C$3,$C$4,$C$6,$C$5,$C$7,K$1,K$2,$A340)</f>
        <v>0</v>
      </c>
      <c r="L340" s="44">
        <f ca="1">_xll.DBRW($C$1,$C$2,$C$3,$C$4,$C$6,$C$5,$C$7,L$1,L$2,$A340)</f>
        <v>0</v>
      </c>
      <c r="M340" s="44">
        <f ca="1">_xll.DBRW($C$1,$C$2,$C$3,$C$4,$C$6,$C$5,$C$7,M$1,M$2,$A340)</f>
        <v>0</v>
      </c>
      <c r="N340" s="44">
        <f ca="1">_xll.DBRW($C$1,$C$2,$C$3,$C$4,$C$6,$C$5,$C$7,N$1,N$2,$A340)</f>
        <v>0</v>
      </c>
      <c r="O340" s="44">
        <f ca="1">_xll.DBRW($C$1,$C$2,$C$3,$C$4,$C$6,$C$5,$C$7,O$1,O$2,$A340)</f>
        <v>0</v>
      </c>
      <c r="P340" s="44">
        <f ca="1">_xll.DBRW($C$1,$C$2,$C$3,$C$4,$C$6,$C$5,$C$7,P$1,P$2,$A340)</f>
        <v>0</v>
      </c>
      <c r="Q340" s="44">
        <f ca="1">_xll.DBRW($C$1,$C$2,$C$3,$C$4,$C$6,$C$5,$C$7,Q$1,Q$2,$A340)</f>
        <v>0</v>
      </c>
      <c r="R340" s="44">
        <f ca="1">_xll.DBRW($C$1,$C$2,$C$3,$C$4,$C$6,$C$5,$C$7,R$1,R$2,$A340)</f>
        <v>0</v>
      </c>
      <c r="S340" s="44">
        <f ca="1">_xll.DBRW($C$1,$C$2,$C$3,$C$4,$C$6,$C$5,$C$7,S$1,S$2,$A340)</f>
        <v>0</v>
      </c>
      <c r="T340" s="44">
        <f ca="1">_xll.DBRW($C$1,$C$2,$C$3,$C$4,$C$6,$C$5,$C$7,T$1,T$2,$A340)</f>
        <v>0</v>
      </c>
      <c r="U340" s="44">
        <f ca="1">_xll.DBRW($C$1,$C$2,$C$3,$C$4,$C$6,$C$5,$C$7,U$1,U$2,$A340)</f>
        <v>0</v>
      </c>
      <c r="V340" s="44">
        <f ca="1">_xll.DBRW($C$1,$C$2,$C$3,$C$4,$C$6,$C$5,$C$7,V$1,V$2,$A340)</f>
        <v>0</v>
      </c>
      <c r="W340" s="44">
        <f ca="1">_xll.DBRW($C$1,$C$2,$C$3,$C$4,$C$6,$C$5,$C$7,W$1,W$2,$A340)</f>
        <v>0</v>
      </c>
      <c r="X340" s="44">
        <f ca="1">_xll.DBRW($C$1,$C$2,$C$3,$C$4,$C$6,$C$5,$C$7,X$1,X$2,$A340)</f>
        <v>0</v>
      </c>
      <c r="Y340" s="44">
        <f ca="1">_xll.DBRW($C$1,$C$2,$C$3,$C$4,$C$6,$C$5,$C$7,Y$1,Y$2,$A340)</f>
        <v>0</v>
      </c>
      <c r="Z340" s="44">
        <f ca="1">_xll.DBRW($C$1,$C$2,$C$3,$C$4,$C$6,$C$5,$C$7,Z$1,Z$2,$A340)</f>
        <v>0</v>
      </c>
      <c r="AA340" s="44">
        <f ca="1">_xll.DBRW($C$1,$C$2,$C$3,$C$4,$C$6,$C$5,$C$7,AA$1,AA$2,$A340)</f>
        <v>0</v>
      </c>
      <c r="AB340" s="44">
        <f ca="1">_xll.DBRW($C$1,$C$2,$C$3,$C$4,$C$6,$C$5,$C$7,AB$1,AB$2,$A340)</f>
        <v>0</v>
      </c>
      <c r="AC340" s="44">
        <f ca="1">_xll.DBRW($C$1,$C$2,$C$3,$C$4,$C$6,$C$5,$C$7,AC$1,AC$2,$A340)</f>
        <v>0</v>
      </c>
      <c r="AD340" s="44">
        <f ca="1">_xll.DBRW($C$1,$C$2,$C$3,$C$4,$C$6,$C$5,$C$7,AD$1,AD$2,$A340)</f>
        <v>0</v>
      </c>
      <c r="AE340" s="44">
        <f ca="1">_xll.DBRW($C$1,$C$2,$C$3,$C$4,$C$6,$C$5,$C$7,AE$1,AE$2,$A340)</f>
        <v>0</v>
      </c>
      <c r="AF340" s="44">
        <f ca="1">_xll.DBRW($C$1,$C$2,$C$3,$C$4,$C$6,$C$5,$C$7,AF$1,AF$2,$A340)</f>
        <v>0</v>
      </c>
      <c r="AG340" s="44">
        <f ca="1">_xll.DBRW($C$1,$C$2,$C$3,$C$4,$C$6,$C$5,$C$7,AG$1,AG$2,$A340)</f>
        <v>0</v>
      </c>
      <c r="AH340" s="44">
        <f ca="1">_xll.DBRW($C$1,$C$2,$C$3,$C$4,$C$6,$C$5,$C$7,AH$1,AH$2,$A340)</f>
        <v>0</v>
      </c>
      <c r="AI340" s="44">
        <f ca="1">_xll.DBRW($C$1,$C$2,$C$3,$C$4,$C$6,$C$5,$C$7,AI$1,AI$2,$A340)</f>
        <v>0</v>
      </c>
      <c r="AJ340" s="44">
        <f ca="1">_xll.DBRW($C$1,$C$2,$C$3,$C$4,$C$6,$C$5,$C$7,AJ$1,AJ$2,$A340)</f>
        <v>0</v>
      </c>
      <c r="AK340" s="44">
        <f ca="1">_xll.DBRW($C$1,$C$2,$C$3,$C$4,$C$6,$C$5,$C$7,AK$1,AK$2,$A340)</f>
        <v>0</v>
      </c>
      <c r="AL340" s="44">
        <f ca="1">_xll.DBRW($C$1,$C$2,$C$3,$C$4,$C$6,$C$5,$C$7,AL$1,AL$2,$A340)</f>
        <v>0</v>
      </c>
      <c r="AM340" s="44">
        <f ca="1">_xll.DBRW($C$1,$C$2,$C$3,$C$4,$C$6,$C$5,$C$7,AM$1,AM$2,$A340)</f>
        <v>0</v>
      </c>
      <c r="AN340" s="44">
        <f ca="1">_xll.DBRW($C$1,$C$2,$C$3,$C$4,$C$6,$C$5,$C$7,AN$1,AN$2,$A340)</f>
        <v>0</v>
      </c>
      <c r="AO340" s="44">
        <f ca="1">_xll.DBRW($C$1,$C$2,$C$3,$C$4,$C$6,$C$5,$C$7,AO$1,AO$2,$A340)</f>
        <v>0</v>
      </c>
      <c r="AP340" s="44">
        <f ca="1">_xll.DBRW($C$1,$C$2,$C$3,$C$4,$C$6,$C$5,$C$7,AP$1,AP$2,$A340)</f>
        <v>0</v>
      </c>
      <c r="AQ340" s="44">
        <f ca="1">_xll.DBRW($C$1,$C$2,$C$3,$C$4,$C$6,$C$5,$C$7,AQ$1,AQ$2,$A340)</f>
        <v>0</v>
      </c>
      <c r="AR340" s="44">
        <f ca="1">_xll.DBRW($C$1,$C$2,$C$3,$C$4,$C$6,$C$5,$C$7,AR$1,AR$2,$A340)</f>
        <v>0</v>
      </c>
      <c r="AS340" s="44">
        <f ca="1">_xll.DBRW($C$1,$C$2,$C$3,$C$4,$C$6,$C$5,$C$7,AS$1,AS$2,$A340)</f>
        <v>0</v>
      </c>
      <c r="AT340" s="44">
        <f ca="1">_xll.DBRW($C$1,$C$2,$C$3,$C$4,$C$6,$C$5,$C$7,AT$1,AT$2,$A340)</f>
        <v>0</v>
      </c>
      <c r="AU340" s="44">
        <f ca="1">_xll.DBRW($C$1,$C$2,$C$3,$C$4,$C$6,$C$5,$C$7,AU$1,AU$2,$A340)</f>
        <v>0</v>
      </c>
      <c r="AV340" s="44">
        <f ca="1">_xll.DBRW($C$1,$C$2,$C$3,$C$4,$C$6,$C$5,$C$7,AV$1,AV$2,$A340)</f>
        <v>0</v>
      </c>
      <c r="AW340" s="44">
        <f ca="1">_xll.DBRW($C$1,$C$2,$C$3,$C$4,$C$6,$C$5,$C$7,AW$1,AW$2,$A340)</f>
        <v>0</v>
      </c>
      <c r="AX340" s="44">
        <f ca="1">_xll.DBRW($C$1,$C$2,$C$3,$C$4,$C$6,$C$5,$C$7,AX$1,AX$2,$A340)</f>
        <v>0</v>
      </c>
      <c r="AY340" s="44">
        <f ca="1">_xll.DBRW($C$1,$C$2,$C$3,$C$4,$C$6,$C$5,$C$7,AY$1,AY$2,$A340)</f>
        <v>0</v>
      </c>
    </row>
    <row r="341" spans="1:51" ht="15.5" collapsed="1">
      <c r="A341" s="1" t="s">
        <v>142</v>
      </c>
      <c r="C341" s="109"/>
      <c r="E341" s="15" t="s">
        <v>98</v>
      </c>
      <c r="F341" s="44">
        <f t="shared" ref="F341:X341" ca="1" si="242">SUM(F340)</f>
        <v>0</v>
      </c>
      <c r="G341" s="44">
        <f t="shared" ca="1" si="242"/>
        <v>0</v>
      </c>
      <c r="H341" s="44">
        <f t="shared" ca="1" si="242"/>
        <v>0</v>
      </c>
      <c r="I341" s="44">
        <f t="shared" ca="1" si="242"/>
        <v>0</v>
      </c>
      <c r="J341" s="44">
        <f t="shared" ca="1" si="242"/>
        <v>0</v>
      </c>
      <c r="K341" s="44">
        <f t="shared" ca="1" si="242"/>
        <v>0</v>
      </c>
      <c r="L341" s="44">
        <f t="shared" ca="1" si="242"/>
        <v>0</v>
      </c>
      <c r="M341" s="44">
        <f t="shared" ca="1" si="242"/>
        <v>0</v>
      </c>
      <c r="N341" s="44">
        <f t="shared" ca="1" si="242"/>
        <v>0</v>
      </c>
      <c r="O341" s="44">
        <f t="shared" ca="1" si="242"/>
        <v>0</v>
      </c>
      <c r="P341" s="44">
        <f t="shared" ca="1" si="242"/>
        <v>0</v>
      </c>
      <c r="Q341" s="44">
        <f t="shared" ca="1" si="242"/>
        <v>0</v>
      </c>
      <c r="R341" s="44">
        <f t="shared" ca="1" si="242"/>
        <v>0</v>
      </c>
      <c r="S341" s="44">
        <f t="shared" ca="1" si="242"/>
        <v>0</v>
      </c>
      <c r="T341" s="44">
        <f t="shared" ca="1" si="242"/>
        <v>0</v>
      </c>
      <c r="U341" s="44">
        <f t="shared" ca="1" si="242"/>
        <v>0</v>
      </c>
      <c r="V341" s="44">
        <f t="shared" ca="1" si="242"/>
        <v>0</v>
      </c>
      <c r="W341" s="44">
        <f t="shared" ca="1" si="242"/>
        <v>0</v>
      </c>
      <c r="X341" s="44">
        <f t="shared" ca="1" si="242"/>
        <v>0</v>
      </c>
      <c r="Y341" s="44">
        <f ca="1">SUM(Y340)</f>
        <v>0</v>
      </c>
      <c r="Z341" s="44">
        <f t="shared" ref="Z341:AK341" ca="1" si="243">SUM(Z340)</f>
        <v>0</v>
      </c>
      <c r="AA341" s="44">
        <f t="shared" ca="1" si="243"/>
        <v>0</v>
      </c>
      <c r="AB341" s="44">
        <f t="shared" ca="1" si="243"/>
        <v>0</v>
      </c>
      <c r="AC341" s="44">
        <f t="shared" ca="1" si="243"/>
        <v>0</v>
      </c>
      <c r="AD341" s="44">
        <f t="shared" ca="1" si="243"/>
        <v>0</v>
      </c>
      <c r="AE341" s="44">
        <f t="shared" ca="1" si="243"/>
        <v>0</v>
      </c>
      <c r="AF341" s="44">
        <f t="shared" ca="1" si="243"/>
        <v>0</v>
      </c>
      <c r="AG341" s="44">
        <f t="shared" ca="1" si="243"/>
        <v>0</v>
      </c>
      <c r="AH341" s="44">
        <f t="shared" ca="1" si="243"/>
        <v>0</v>
      </c>
      <c r="AI341" s="44">
        <f t="shared" ca="1" si="243"/>
        <v>0</v>
      </c>
      <c r="AJ341" s="44">
        <f t="shared" ca="1" si="243"/>
        <v>0</v>
      </c>
      <c r="AK341" s="44">
        <f t="shared" ca="1" si="243"/>
        <v>0</v>
      </c>
      <c r="AL341" s="44">
        <f ca="1">SUM(AL340)</f>
        <v>0</v>
      </c>
      <c r="AM341" s="44">
        <f t="shared" ref="AM341:AX341" ca="1" si="244">SUM(AM340)</f>
        <v>0</v>
      </c>
      <c r="AN341" s="44">
        <f t="shared" ca="1" si="244"/>
        <v>0</v>
      </c>
      <c r="AO341" s="44">
        <f t="shared" ca="1" si="244"/>
        <v>0</v>
      </c>
      <c r="AP341" s="44">
        <f t="shared" ca="1" si="244"/>
        <v>0</v>
      </c>
      <c r="AQ341" s="44">
        <f t="shared" ca="1" si="244"/>
        <v>0</v>
      </c>
      <c r="AR341" s="44">
        <f t="shared" ca="1" si="244"/>
        <v>0</v>
      </c>
      <c r="AS341" s="44">
        <f t="shared" ca="1" si="244"/>
        <v>0</v>
      </c>
      <c r="AT341" s="44">
        <f t="shared" ca="1" si="244"/>
        <v>0</v>
      </c>
      <c r="AU341" s="44">
        <f t="shared" ca="1" si="244"/>
        <v>0</v>
      </c>
      <c r="AV341" s="44">
        <f t="shared" ca="1" si="244"/>
        <v>0</v>
      </c>
      <c r="AW341" s="44">
        <f t="shared" ca="1" si="244"/>
        <v>0</v>
      </c>
      <c r="AX341" s="44">
        <f t="shared" ca="1" si="244"/>
        <v>0</v>
      </c>
      <c r="AY341" s="44">
        <f ca="1">SUM(AY340)</f>
        <v>0</v>
      </c>
    </row>
    <row r="342" spans="1:51" ht="15.5" hidden="1" outlineLevel="1">
      <c r="A342" s="1" t="s">
        <v>371</v>
      </c>
      <c r="C342" s="109"/>
      <c r="E342" s="9" t="str">
        <f ca="1">_xll.DBRW(Server&amp;"}ElementAttributes_Indicator",A342,"code_English")</f>
        <v>Tot_nb_light_vehicle - Total number of light vehicles</v>
      </c>
      <c r="F342" s="44">
        <f ca="1">_xll.DBRW($C$1,$C$2,$C$3,$C$4,$C$6,$C$5,$C$7,F$1,F$2,$A342)</f>
        <v>0</v>
      </c>
      <c r="G342" s="44">
        <f ca="1">_xll.DBRW($C$1,$C$2,$C$3,$C$4,$C$6,$C$5,$C$7,G$1,G$2,$A342)</f>
        <v>0</v>
      </c>
      <c r="H342" s="44">
        <f ca="1">_xll.DBRW($C$1,$C$2,$C$3,$C$4,$C$6,$C$5,$C$7,H$1,H$2,$A342)</f>
        <v>0</v>
      </c>
      <c r="I342" s="44">
        <f ca="1">_xll.DBRW($C$1,$C$2,$C$3,$C$4,$C$6,$C$5,$C$7,I$1,I$2,$A342)</f>
        <v>0</v>
      </c>
      <c r="J342" s="44">
        <f ca="1">_xll.DBRW($C$1,$C$2,$C$3,$C$4,$C$6,$C$5,$C$7,J$1,J$2,$A342)</f>
        <v>0</v>
      </c>
      <c r="K342" s="44">
        <f ca="1">_xll.DBRW($C$1,$C$2,$C$3,$C$4,$C$6,$C$5,$C$7,K$1,K$2,$A342)</f>
        <v>0</v>
      </c>
      <c r="L342" s="44">
        <f ca="1">_xll.DBRW($C$1,$C$2,$C$3,$C$4,$C$6,$C$5,$C$7,L$1,L$2,$A342)</f>
        <v>0</v>
      </c>
      <c r="M342" s="44">
        <f ca="1">_xll.DBRW($C$1,$C$2,$C$3,$C$4,$C$6,$C$5,$C$7,M$1,M$2,$A342)</f>
        <v>0</v>
      </c>
      <c r="N342" s="44">
        <f ca="1">_xll.DBRW($C$1,$C$2,$C$3,$C$4,$C$6,$C$5,$C$7,N$1,N$2,$A342)</f>
        <v>0</v>
      </c>
      <c r="O342" s="44">
        <f ca="1">_xll.DBRW($C$1,$C$2,$C$3,$C$4,$C$6,$C$5,$C$7,O$1,O$2,$A342)</f>
        <v>0</v>
      </c>
      <c r="P342" s="44">
        <f ca="1">_xll.DBRW($C$1,$C$2,$C$3,$C$4,$C$6,$C$5,$C$7,P$1,P$2,$A342)</f>
        <v>0</v>
      </c>
      <c r="Q342" s="44">
        <f ca="1">_xll.DBRW($C$1,$C$2,$C$3,$C$4,$C$6,$C$5,$C$7,Q$1,Q$2,$A342)</f>
        <v>0</v>
      </c>
      <c r="R342" s="44">
        <f ca="1">_xll.DBRW($C$1,$C$2,$C$3,$C$4,$C$6,$C$5,$C$7,R$1,R$2,$A342)</f>
        <v>0</v>
      </c>
      <c r="S342" s="44">
        <f ca="1">_xll.DBRW($C$1,$C$2,$C$3,$C$4,$C$6,$C$5,$C$7,S$1,S$2,$A342)</f>
        <v>0</v>
      </c>
      <c r="T342" s="44">
        <f ca="1">_xll.DBRW($C$1,$C$2,$C$3,$C$4,$C$6,$C$5,$C$7,T$1,T$2,$A342)</f>
        <v>0</v>
      </c>
      <c r="U342" s="44">
        <f ca="1">_xll.DBRW($C$1,$C$2,$C$3,$C$4,$C$6,$C$5,$C$7,U$1,U$2,$A342)</f>
        <v>0</v>
      </c>
      <c r="V342" s="44">
        <f ca="1">_xll.DBRW($C$1,$C$2,$C$3,$C$4,$C$6,$C$5,$C$7,V$1,V$2,$A342)</f>
        <v>0</v>
      </c>
      <c r="W342" s="44">
        <f ca="1">_xll.DBRW($C$1,$C$2,$C$3,$C$4,$C$6,$C$5,$C$7,W$1,W$2,$A342)</f>
        <v>0</v>
      </c>
      <c r="X342" s="44">
        <f ca="1">_xll.DBRW($C$1,$C$2,$C$3,$C$4,$C$6,$C$5,$C$7,X$1,X$2,$A342)</f>
        <v>0</v>
      </c>
      <c r="Y342" s="44">
        <f ca="1">_xll.DBRW($C$1,$C$2,$C$3,$C$4,$C$6,$C$5,$C$7,Y$1,Y$2,$A342)</f>
        <v>0</v>
      </c>
      <c r="Z342" s="44">
        <f ca="1">_xll.DBRW($C$1,$C$2,$C$3,$C$4,$C$6,$C$5,$C$7,Z$1,Z$2,$A342)</f>
        <v>0</v>
      </c>
      <c r="AA342" s="44">
        <f ca="1">_xll.DBRW($C$1,$C$2,$C$3,$C$4,$C$6,$C$5,$C$7,AA$1,AA$2,$A342)</f>
        <v>0</v>
      </c>
      <c r="AB342" s="44">
        <f ca="1">_xll.DBRW($C$1,$C$2,$C$3,$C$4,$C$6,$C$5,$C$7,AB$1,AB$2,$A342)</f>
        <v>0</v>
      </c>
      <c r="AC342" s="44">
        <f ca="1">_xll.DBRW($C$1,$C$2,$C$3,$C$4,$C$6,$C$5,$C$7,AC$1,AC$2,$A342)</f>
        <v>0</v>
      </c>
      <c r="AD342" s="44">
        <f ca="1">_xll.DBRW($C$1,$C$2,$C$3,$C$4,$C$6,$C$5,$C$7,AD$1,AD$2,$A342)</f>
        <v>0</v>
      </c>
      <c r="AE342" s="44">
        <f ca="1">_xll.DBRW($C$1,$C$2,$C$3,$C$4,$C$6,$C$5,$C$7,AE$1,AE$2,$A342)</f>
        <v>0</v>
      </c>
      <c r="AF342" s="44">
        <f ca="1">_xll.DBRW($C$1,$C$2,$C$3,$C$4,$C$6,$C$5,$C$7,AF$1,AF$2,$A342)</f>
        <v>0</v>
      </c>
      <c r="AG342" s="44">
        <f ca="1">_xll.DBRW($C$1,$C$2,$C$3,$C$4,$C$6,$C$5,$C$7,AG$1,AG$2,$A342)</f>
        <v>0</v>
      </c>
      <c r="AH342" s="44">
        <f ca="1">_xll.DBRW($C$1,$C$2,$C$3,$C$4,$C$6,$C$5,$C$7,AH$1,AH$2,$A342)</f>
        <v>0</v>
      </c>
      <c r="AI342" s="44">
        <f ca="1">_xll.DBRW($C$1,$C$2,$C$3,$C$4,$C$6,$C$5,$C$7,AI$1,AI$2,$A342)</f>
        <v>0</v>
      </c>
      <c r="AJ342" s="44">
        <f ca="1">_xll.DBRW($C$1,$C$2,$C$3,$C$4,$C$6,$C$5,$C$7,AJ$1,AJ$2,$A342)</f>
        <v>0</v>
      </c>
      <c r="AK342" s="44">
        <f ca="1">_xll.DBRW($C$1,$C$2,$C$3,$C$4,$C$6,$C$5,$C$7,AK$1,AK$2,$A342)</f>
        <v>0</v>
      </c>
      <c r="AL342" s="44">
        <f ca="1">_xll.DBRW($C$1,$C$2,$C$3,$C$4,$C$6,$C$5,$C$7,AL$1,AL$2,$A342)</f>
        <v>0</v>
      </c>
      <c r="AM342" s="44">
        <f ca="1">_xll.DBRW($C$1,$C$2,$C$3,$C$4,$C$6,$C$5,$C$7,AM$1,AM$2,$A342)</f>
        <v>0</v>
      </c>
      <c r="AN342" s="44">
        <f ca="1">_xll.DBRW($C$1,$C$2,$C$3,$C$4,$C$6,$C$5,$C$7,AN$1,AN$2,$A342)</f>
        <v>0</v>
      </c>
      <c r="AO342" s="44">
        <f ca="1">_xll.DBRW($C$1,$C$2,$C$3,$C$4,$C$6,$C$5,$C$7,AO$1,AO$2,$A342)</f>
        <v>0</v>
      </c>
      <c r="AP342" s="44">
        <f ca="1">_xll.DBRW($C$1,$C$2,$C$3,$C$4,$C$6,$C$5,$C$7,AP$1,AP$2,$A342)</f>
        <v>0</v>
      </c>
      <c r="AQ342" s="44">
        <f ca="1">_xll.DBRW($C$1,$C$2,$C$3,$C$4,$C$6,$C$5,$C$7,AQ$1,AQ$2,$A342)</f>
        <v>0</v>
      </c>
      <c r="AR342" s="44">
        <f ca="1">_xll.DBRW($C$1,$C$2,$C$3,$C$4,$C$6,$C$5,$C$7,AR$1,AR$2,$A342)</f>
        <v>0</v>
      </c>
      <c r="AS342" s="44">
        <f ca="1">_xll.DBRW($C$1,$C$2,$C$3,$C$4,$C$6,$C$5,$C$7,AS$1,AS$2,$A342)</f>
        <v>0</v>
      </c>
      <c r="AT342" s="44">
        <f ca="1">_xll.DBRW($C$1,$C$2,$C$3,$C$4,$C$6,$C$5,$C$7,AT$1,AT$2,$A342)</f>
        <v>0</v>
      </c>
      <c r="AU342" s="44">
        <f ca="1">_xll.DBRW($C$1,$C$2,$C$3,$C$4,$C$6,$C$5,$C$7,AU$1,AU$2,$A342)</f>
        <v>0</v>
      </c>
      <c r="AV342" s="44">
        <f ca="1">_xll.DBRW($C$1,$C$2,$C$3,$C$4,$C$6,$C$5,$C$7,AV$1,AV$2,$A342)</f>
        <v>0</v>
      </c>
      <c r="AW342" s="44">
        <f ca="1">_xll.DBRW($C$1,$C$2,$C$3,$C$4,$C$6,$C$5,$C$7,AW$1,AW$2,$A342)</f>
        <v>0</v>
      </c>
      <c r="AX342" s="44">
        <f ca="1">_xll.DBRW($C$1,$C$2,$C$3,$C$4,$C$6,$C$5,$C$7,AX$1,AX$2,$A342)</f>
        <v>0</v>
      </c>
      <c r="AY342" s="44">
        <f ca="1">_xll.DBRW($C$1,$C$2,$C$3,$C$4,$C$6,$C$5,$C$7,AY$1,AY$2,$A342)</f>
        <v>0</v>
      </c>
    </row>
    <row r="343" spans="1:51" ht="15.5" collapsed="1">
      <c r="A343" s="1" t="s">
        <v>142</v>
      </c>
      <c r="C343" s="109"/>
      <c r="E343" s="15" t="s">
        <v>99</v>
      </c>
      <c r="F343" s="44">
        <f t="shared" ref="F343:X343" ca="1" si="245">SUM(F342)</f>
        <v>0</v>
      </c>
      <c r="G343" s="44">
        <f t="shared" ca="1" si="245"/>
        <v>0</v>
      </c>
      <c r="H343" s="44">
        <f t="shared" ca="1" si="245"/>
        <v>0</v>
      </c>
      <c r="I343" s="44">
        <f t="shared" ca="1" si="245"/>
        <v>0</v>
      </c>
      <c r="J343" s="44">
        <f t="shared" ca="1" si="245"/>
        <v>0</v>
      </c>
      <c r="K343" s="44">
        <f t="shared" ca="1" si="245"/>
        <v>0</v>
      </c>
      <c r="L343" s="44">
        <f t="shared" ca="1" si="245"/>
        <v>0</v>
      </c>
      <c r="M343" s="44">
        <f t="shared" ca="1" si="245"/>
        <v>0</v>
      </c>
      <c r="N343" s="44">
        <f t="shared" ca="1" si="245"/>
        <v>0</v>
      </c>
      <c r="O343" s="44">
        <f t="shared" ca="1" si="245"/>
        <v>0</v>
      </c>
      <c r="P343" s="44">
        <f t="shared" ca="1" si="245"/>
        <v>0</v>
      </c>
      <c r="Q343" s="44">
        <f t="shared" ca="1" si="245"/>
        <v>0</v>
      </c>
      <c r="R343" s="44">
        <f t="shared" ca="1" si="245"/>
        <v>0</v>
      </c>
      <c r="S343" s="44">
        <f t="shared" ca="1" si="245"/>
        <v>0</v>
      </c>
      <c r="T343" s="44">
        <f t="shared" ca="1" si="245"/>
        <v>0</v>
      </c>
      <c r="U343" s="44">
        <f t="shared" ca="1" si="245"/>
        <v>0</v>
      </c>
      <c r="V343" s="44">
        <f t="shared" ca="1" si="245"/>
        <v>0</v>
      </c>
      <c r="W343" s="44">
        <f t="shared" ca="1" si="245"/>
        <v>0</v>
      </c>
      <c r="X343" s="44">
        <f t="shared" ca="1" si="245"/>
        <v>0</v>
      </c>
      <c r="Y343" s="44">
        <f ca="1">SUM(Y342)</f>
        <v>0</v>
      </c>
      <c r="Z343" s="44">
        <f t="shared" ref="Z343:AK343" ca="1" si="246">SUM(Z342)</f>
        <v>0</v>
      </c>
      <c r="AA343" s="44">
        <f t="shared" ca="1" si="246"/>
        <v>0</v>
      </c>
      <c r="AB343" s="44">
        <f t="shared" ca="1" si="246"/>
        <v>0</v>
      </c>
      <c r="AC343" s="44">
        <f t="shared" ca="1" si="246"/>
        <v>0</v>
      </c>
      <c r="AD343" s="44">
        <f t="shared" ca="1" si="246"/>
        <v>0</v>
      </c>
      <c r="AE343" s="44">
        <f t="shared" ca="1" si="246"/>
        <v>0</v>
      </c>
      <c r="AF343" s="44">
        <f t="shared" ca="1" si="246"/>
        <v>0</v>
      </c>
      <c r="AG343" s="44">
        <f t="shared" ca="1" si="246"/>
        <v>0</v>
      </c>
      <c r="AH343" s="44">
        <f t="shared" ca="1" si="246"/>
        <v>0</v>
      </c>
      <c r="AI343" s="44">
        <f t="shared" ca="1" si="246"/>
        <v>0</v>
      </c>
      <c r="AJ343" s="44">
        <f t="shared" ca="1" si="246"/>
        <v>0</v>
      </c>
      <c r="AK343" s="44">
        <f t="shared" ca="1" si="246"/>
        <v>0</v>
      </c>
      <c r="AL343" s="44">
        <f ca="1">SUM(AL342)</f>
        <v>0</v>
      </c>
      <c r="AM343" s="44">
        <f t="shared" ref="AM343:AX343" ca="1" si="247">SUM(AM342)</f>
        <v>0</v>
      </c>
      <c r="AN343" s="44">
        <f t="shared" ca="1" si="247"/>
        <v>0</v>
      </c>
      <c r="AO343" s="44">
        <f t="shared" ca="1" si="247"/>
        <v>0</v>
      </c>
      <c r="AP343" s="44">
        <f t="shared" ca="1" si="247"/>
        <v>0</v>
      </c>
      <c r="AQ343" s="44">
        <f t="shared" ca="1" si="247"/>
        <v>0</v>
      </c>
      <c r="AR343" s="44">
        <f t="shared" ca="1" si="247"/>
        <v>0</v>
      </c>
      <c r="AS343" s="44">
        <f t="shared" ca="1" si="247"/>
        <v>0</v>
      </c>
      <c r="AT343" s="44">
        <f t="shared" ca="1" si="247"/>
        <v>0</v>
      </c>
      <c r="AU343" s="44">
        <f t="shared" ca="1" si="247"/>
        <v>0</v>
      </c>
      <c r="AV343" s="44">
        <f t="shared" ca="1" si="247"/>
        <v>0</v>
      </c>
      <c r="AW343" s="44">
        <f t="shared" ca="1" si="247"/>
        <v>0</v>
      </c>
      <c r="AX343" s="44">
        <f t="shared" ca="1" si="247"/>
        <v>0</v>
      </c>
      <c r="AY343" s="44">
        <f ca="1">SUM(AY342)</f>
        <v>0</v>
      </c>
    </row>
    <row r="344" spans="1:51" ht="15.5" hidden="1" outlineLevel="1">
      <c r="A344" s="1" t="s">
        <v>372</v>
      </c>
      <c r="C344" s="109"/>
      <c r="E344" s="9" t="str">
        <f ca="1">_xll.DBRW(Server&amp;"}ElementAttributes_Indicator",A344,"code_English")</f>
        <v>Tot_nb_LRV - Total number of LRV</v>
      </c>
      <c r="F344" s="44">
        <f ca="1">_xll.DBRW($C$1,$C$2,$C$3,$C$4,$C$6,$C$5,$C$7,F$1,F$2,$A344)</f>
        <v>0</v>
      </c>
      <c r="G344" s="44">
        <f ca="1">_xll.DBRW($C$1,$C$2,$C$3,$C$4,$C$6,$C$5,$C$7,G$1,G$2,$A344)</f>
        <v>0</v>
      </c>
      <c r="H344" s="44">
        <f ca="1">_xll.DBRW($C$1,$C$2,$C$3,$C$4,$C$6,$C$5,$C$7,H$1,H$2,$A344)</f>
        <v>0</v>
      </c>
      <c r="I344" s="44">
        <f ca="1">_xll.DBRW($C$1,$C$2,$C$3,$C$4,$C$6,$C$5,$C$7,I$1,I$2,$A344)</f>
        <v>0</v>
      </c>
      <c r="J344" s="44">
        <f ca="1">_xll.DBRW($C$1,$C$2,$C$3,$C$4,$C$6,$C$5,$C$7,J$1,J$2,$A344)</f>
        <v>0</v>
      </c>
      <c r="K344" s="44">
        <f ca="1">_xll.DBRW($C$1,$C$2,$C$3,$C$4,$C$6,$C$5,$C$7,K$1,K$2,$A344)</f>
        <v>0</v>
      </c>
      <c r="L344" s="44">
        <f ca="1">_xll.DBRW($C$1,$C$2,$C$3,$C$4,$C$6,$C$5,$C$7,L$1,L$2,$A344)</f>
        <v>0</v>
      </c>
      <c r="M344" s="44">
        <f ca="1">_xll.DBRW($C$1,$C$2,$C$3,$C$4,$C$6,$C$5,$C$7,M$1,M$2,$A344)</f>
        <v>0</v>
      </c>
      <c r="N344" s="44">
        <f ca="1">_xll.DBRW($C$1,$C$2,$C$3,$C$4,$C$6,$C$5,$C$7,N$1,N$2,$A344)</f>
        <v>0</v>
      </c>
      <c r="O344" s="44">
        <f ca="1">_xll.DBRW($C$1,$C$2,$C$3,$C$4,$C$6,$C$5,$C$7,O$1,O$2,$A344)</f>
        <v>0</v>
      </c>
      <c r="P344" s="44">
        <f ca="1">_xll.DBRW($C$1,$C$2,$C$3,$C$4,$C$6,$C$5,$C$7,P$1,P$2,$A344)</f>
        <v>0</v>
      </c>
      <c r="Q344" s="44">
        <f ca="1">_xll.DBRW($C$1,$C$2,$C$3,$C$4,$C$6,$C$5,$C$7,Q$1,Q$2,$A344)</f>
        <v>0</v>
      </c>
      <c r="R344" s="44">
        <f ca="1">_xll.DBRW($C$1,$C$2,$C$3,$C$4,$C$6,$C$5,$C$7,R$1,R$2,$A344)</f>
        <v>0</v>
      </c>
      <c r="S344" s="44">
        <f ca="1">_xll.DBRW($C$1,$C$2,$C$3,$C$4,$C$6,$C$5,$C$7,S$1,S$2,$A344)</f>
        <v>0</v>
      </c>
      <c r="T344" s="44">
        <f ca="1">_xll.DBRW($C$1,$C$2,$C$3,$C$4,$C$6,$C$5,$C$7,T$1,T$2,$A344)</f>
        <v>0</v>
      </c>
      <c r="U344" s="44">
        <f ca="1">_xll.DBRW($C$1,$C$2,$C$3,$C$4,$C$6,$C$5,$C$7,U$1,U$2,$A344)</f>
        <v>0</v>
      </c>
      <c r="V344" s="44">
        <f ca="1">_xll.DBRW($C$1,$C$2,$C$3,$C$4,$C$6,$C$5,$C$7,V$1,V$2,$A344)</f>
        <v>0</v>
      </c>
      <c r="W344" s="44">
        <f ca="1">_xll.DBRW($C$1,$C$2,$C$3,$C$4,$C$6,$C$5,$C$7,W$1,W$2,$A344)</f>
        <v>0</v>
      </c>
      <c r="X344" s="44">
        <f ca="1">_xll.DBRW($C$1,$C$2,$C$3,$C$4,$C$6,$C$5,$C$7,X$1,X$2,$A344)</f>
        <v>0</v>
      </c>
      <c r="Y344" s="44">
        <f ca="1">_xll.DBRW($C$1,$C$2,$C$3,$C$4,$C$6,$C$5,$C$7,Y$1,Y$2,$A344)</f>
        <v>0</v>
      </c>
      <c r="Z344" s="44">
        <f ca="1">_xll.DBRW($C$1,$C$2,$C$3,$C$4,$C$6,$C$5,$C$7,Z$1,Z$2,$A344)</f>
        <v>0</v>
      </c>
      <c r="AA344" s="44">
        <f ca="1">_xll.DBRW($C$1,$C$2,$C$3,$C$4,$C$6,$C$5,$C$7,AA$1,AA$2,$A344)</f>
        <v>0</v>
      </c>
      <c r="AB344" s="44">
        <f ca="1">_xll.DBRW($C$1,$C$2,$C$3,$C$4,$C$6,$C$5,$C$7,AB$1,AB$2,$A344)</f>
        <v>0</v>
      </c>
      <c r="AC344" s="44">
        <f ca="1">_xll.DBRW($C$1,$C$2,$C$3,$C$4,$C$6,$C$5,$C$7,AC$1,AC$2,$A344)</f>
        <v>0</v>
      </c>
      <c r="AD344" s="44">
        <f ca="1">_xll.DBRW($C$1,$C$2,$C$3,$C$4,$C$6,$C$5,$C$7,AD$1,AD$2,$A344)</f>
        <v>0</v>
      </c>
      <c r="AE344" s="44">
        <f ca="1">_xll.DBRW($C$1,$C$2,$C$3,$C$4,$C$6,$C$5,$C$7,AE$1,AE$2,$A344)</f>
        <v>0</v>
      </c>
      <c r="AF344" s="44">
        <f ca="1">_xll.DBRW($C$1,$C$2,$C$3,$C$4,$C$6,$C$5,$C$7,AF$1,AF$2,$A344)</f>
        <v>0</v>
      </c>
      <c r="AG344" s="44">
        <f ca="1">_xll.DBRW($C$1,$C$2,$C$3,$C$4,$C$6,$C$5,$C$7,AG$1,AG$2,$A344)</f>
        <v>0</v>
      </c>
      <c r="AH344" s="44">
        <f ca="1">_xll.DBRW($C$1,$C$2,$C$3,$C$4,$C$6,$C$5,$C$7,AH$1,AH$2,$A344)</f>
        <v>0</v>
      </c>
      <c r="AI344" s="44">
        <f ca="1">_xll.DBRW($C$1,$C$2,$C$3,$C$4,$C$6,$C$5,$C$7,AI$1,AI$2,$A344)</f>
        <v>0</v>
      </c>
      <c r="AJ344" s="44">
        <f ca="1">_xll.DBRW($C$1,$C$2,$C$3,$C$4,$C$6,$C$5,$C$7,AJ$1,AJ$2,$A344)</f>
        <v>0</v>
      </c>
      <c r="AK344" s="44">
        <f ca="1">_xll.DBRW($C$1,$C$2,$C$3,$C$4,$C$6,$C$5,$C$7,AK$1,AK$2,$A344)</f>
        <v>0</v>
      </c>
      <c r="AL344" s="44">
        <f ca="1">_xll.DBRW($C$1,$C$2,$C$3,$C$4,$C$6,$C$5,$C$7,AL$1,AL$2,$A344)</f>
        <v>0</v>
      </c>
      <c r="AM344" s="44">
        <f ca="1">_xll.DBRW($C$1,$C$2,$C$3,$C$4,$C$6,$C$5,$C$7,AM$1,AM$2,$A344)</f>
        <v>0</v>
      </c>
      <c r="AN344" s="44">
        <f ca="1">_xll.DBRW($C$1,$C$2,$C$3,$C$4,$C$6,$C$5,$C$7,AN$1,AN$2,$A344)</f>
        <v>0</v>
      </c>
      <c r="AO344" s="44">
        <f ca="1">_xll.DBRW($C$1,$C$2,$C$3,$C$4,$C$6,$C$5,$C$7,AO$1,AO$2,$A344)</f>
        <v>0</v>
      </c>
      <c r="AP344" s="44">
        <f ca="1">_xll.DBRW($C$1,$C$2,$C$3,$C$4,$C$6,$C$5,$C$7,AP$1,AP$2,$A344)</f>
        <v>0</v>
      </c>
      <c r="AQ344" s="44">
        <f ca="1">_xll.DBRW($C$1,$C$2,$C$3,$C$4,$C$6,$C$5,$C$7,AQ$1,AQ$2,$A344)</f>
        <v>0</v>
      </c>
      <c r="AR344" s="44">
        <f ca="1">_xll.DBRW($C$1,$C$2,$C$3,$C$4,$C$6,$C$5,$C$7,AR$1,AR$2,$A344)</f>
        <v>0</v>
      </c>
      <c r="AS344" s="44">
        <f ca="1">_xll.DBRW($C$1,$C$2,$C$3,$C$4,$C$6,$C$5,$C$7,AS$1,AS$2,$A344)</f>
        <v>0</v>
      </c>
      <c r="AT344" s="44">
        <f ca="1">_xll.DBRW($C$1,$C$2,$C$3,$C$4,$C$6,$C$5,$C$7,AT$1,AT$2,$A344)</f>
        <v>0</v>
      </c>
      <c r="AU344" s="44">
        <f ca="1">_xll.DBRW($C$1,$C$2,$C$3,$C$4,$C$6,$C$5,$C$7,AU$1,AU$2,$A344)</f>
        <v>0</v>
      </c>
      <c r="AV344" s="44">
        <f ca="1">_xll.DBRW($C$1,$C$2,$C$3,$C$4,$C$6,$C$5,$C$7,AV$1,AV$2,$A344)</f>
        <v>0</v>
      </c>
      <c r="AW344" s="44">
        <f ca="1">_xll.DBRW($C$1,$C$2,$C$3,$C$4,$C$6,$C$5,$C$7,AW$1,AW$2,$A344)</f>
        <v>0</v>
      </c>
      <c r="AX344" s="44">
        <f ca="1">_xll.DBRW($C$1,$C$2,$C$3,$C$4,$C$6,$C$5,$C$7,AX$1,AX$2,$A344)</f>
        <v>0</v>
      </c>
      <c r="AY344" s="44">
        <f ca="1">_xll.DBRW($C$1,$C$2,$C$3,$C$4,$C$6,$C$5,$C$7,AY$1,AY$2,$A344)</f>
        <v>0</v>
      </c>
    </row>
    <row r="345" spans="1:51" ht="15.5" collapsed="1">
      <c r="A345" s="1" t="s">
        <v>142</v>
      </c>
      <c r="C345" s="109"/>
      <c r="E345" s="15" t="s">
        <v>100</v>
      </c>
      <c r="F345" s="44">
        <f t="shared" ref="F345:X345" ca="1" si="248">SUM(F344)</f>
        <v>0</v>
      </c>
      <c r="G345" s="44">
        <f t="shared" ca="1" si="248"/>
        <v>0</v>
      </c>
      <c r="H345" s="44">
        <f t="shared" ca="1" si="248"/>
        <v>0</v>
      </c>
      <c r="I345" s="44">
        <f t="shared" ca="1" si="248"/>
        <v>0</v>
      </c>
      <c r="J345" s="44">
        <f t="shared" ca="1" si="248"/>
        <v>0</v>
      </c>
      <c r="K345" s="44">
        <f t="shared" ca="1" si="248"/>
        <v>0</v>
      </c>
      <c r="L345" s="44">
        <f t="shared" ca="1" si="248"/>
        <v>0</v>
      </c>
      <c r="M345" s="44">
        <f t="shared" ca="1" si="248"/>
        <v>0</v>
      </c>
      <c r="N345" s="44">
        <f t="shared" ca="1" si="248"/>
        <v>0</v>
      </c>
      <c r="O345" s="44">
        <f t="shared" ca="1" si="248"/>
        <v>0</v>
      </c>
      <c r="P345" s="44">
        <f t="shared" ca="1" si="248"/>
        <v>0</v>
      </c>
      <c r="Q345" s="44">
        <f t="shared" ca="1" si="248"/>
        <v>0</v>
      </c>
      <c r="R345" s="44">
        <f t="shared" ca="1" si="248"/>
        <v>0</v>
      </c>
      <c r="S345" s="44">
        <f t="shared" ca="1" si="248"/>
        <v>0</v>
      </c>
      <c r="T345" s="44">
        <f t="shared" ca="1" si="248"/>
        <v>0</v>
      </c>
      <c r="U345" s="44">
        <f t="shared" ca="1" si="248"/>
        <v>0</v>
      </c>
      <c r="V345" s="44">
        <f t="shared" ca="1" si="248"/>
        <v>0</v>
      </c>
      <c r="W345" s="44">
        <f t="shared" ca="1" si="248"/>
        <v>0</v>
      </c>
      <c r="X345" s="44">
        <f t="shared" ca="1" si="248"/>
        <v>0</v>
      </c>
      <c r="Y345" s="44">
        <f ca="1">SUM(Y344)</f>
        <v>0</v>
      </c>
      <c r="Z345" s="44">
        <f t="shared" ref="Z345:AK345" ca="1" si="249">SUM(Z344)</f>
        <v>0</v>
      </c>
      <c r="AA345" s="44">
        <f t="shared" ca="1" si="249"/>
        <v>0</v>
      </c>
      <c r="AB345" s="44">
        <f t="shared" ca="1" si="249"/>
        <v>0</v>
      </c>
      <c r="AC345" s="44">
        <f t="shared" ca="1" si="249"/>
        <v>0</v>
      </c>
      <c r="AD345" s="44">
        <f t="shared" ca="1" si="249"/>
        <v>0</v>
      </c>
      <c r="AE345" s="44">
        <f t="shared" ca="1" si="249"/>
        <v>0</v>
      </c>
      <c r="AF345" s="44">
        <f t="shared" ca="1" si="249"/>
        <v>0</v>
      </c>
      <c r="AG345" s="44">
        <f t="shared" ca="1" si="249"/>
        <v>0</v>
      </c>
      <c r="AH345" s="44">
        <f t="shared" ca="1" si="249"/>
        <v>0</v>
      </c>
      <c r="AI345" s="44">
        <f t="shared" ca="1" si="249"/>
        <v>0</v>
      </c>
      <c r="AJ345" s="44">
        <f t="shared" ca="1" si="249"/>
        <v>0</v>
      </c>
      <c r="AK345" s="44">
        <f t="shared" ca="1" si="249"/>
        <v>0</v>
      </c>
      <c r="AL345" s="44">
        <f ca="1">SUM(AL344)</f>
        <v>0</v>
      </c>
      <c r="AM345" s="44">
        <f t="shared" ref="AM345:AX345" ca="1" si="250">SUM(AM344)</f>
        <v>0</v>
      </c>
      <c r="AN345" s="44">
        <f t="shared" ca="1" si="250"/>
        <v>0</v>
      </c>
      <c r="AO345" s="44">
        <f t="shared" ca="1" si="250"/>
        <v>0</v>
      </c>
      <c r="AP345" s="44">
        <f t="shared" ca="1" si="250"/>
        <v>0</v>
      </c>
      <c r="AQ345" s="44">
        <f t="shared" ca="1" si="250"/>
        <v>0</v>
      </c>
      <c r="AR345" s="44">
        <f t="shared" ca="1" si="250"/>
        <v>0</v>
      </c>
      <c r="AS345" s="44">
        <f t="shared" ca="1" si="250"/>
        <v>0</v>
      </c>
      <c r="AT345" s="44">
        <f t="shared" ca="1" si="250"/>
        <v>0</v>
      </c>
      <c r="AU345" s="44">
        <f t="shared" ca="1" si="250"/>
        <v>0</v>
      </c>
      <c r="AV345" s="44">
        <f t="shared" ca="1" si="250"/>
        <v>0</v>
      </c>
      <c r="AW345" s="44">
        <f t="shared" ca="1" si="250"/>
        <v>0</v>
      </c>
      <c r="AX345" s="44">
        <f t="shared" ca="1" si="250"/>
        <v>0</v>
      </c>
      <c r="AY345" s="44">
        <f ca="1">SUM(AY344)</f>
        <v>0</v>
      </c>
    </row>
    <row r="346" spans="1:51" ht="15.5" hidden="1" outlineLevel="1">
      <c r="A346" s="1" t="s">
        <v>373</v>
      </c>
      <c r="C346" s="109"/>
      <c r="E346" s="9" t="str">
        <f ca="1">_xll.DBRW(Server&amp;"}ElementAttributes_Indicator",A346,"code_English")</f>
        <v>Tot_nb_heavy_rail - Total number of heavy rail</v>
      </c>
      <c r="F346" s="44">
        <f ca="1">_xll.DBRW($C$1,$C$2,$C$3,$C$4,$C$6,$C$5,$C$7,F$1,F$2,$A346)</f>
        <v>0</v>
      </c>
      <c r="G346" s="44">
        <f ca="1">_xll.DBRW($C$1,$C$2,$C$3,$C$4,$C$6,$C$5,$C$7,G$1,G$2,$A346)</f>
        <v>0</v>
      </c>
      <c r="H346" s="44">
        <f ca="1">_xll.DBRW($C$1,$C$2,$C$3,$C$4,$C$6,$C$5,$C$7,H$1,H$2,$A346)</f>
        <v>0</v>
      </c>
      <c r="I346" s="44">
        <f ca="1">_xll.DBRW($C$1,$C$2,$C$3,$C$4,$C$6,$C$5,$C$7,I$1,I$2,$A346)</f>
        <v>0</v>
      </c>
      <c r="J346" s="44">
        <f ca="1">_xll.DBRW($C$1,$C$2,$C$3,$C$4,$C$6,$C$5,$C$7,J$1,J$2,$A346)</f>
        <v>0</v>
      </c>
      <c r="K346" s="44">
        <f ca="1">_xll.DBRW($C$1,$C$2,$C$3,$C$4,$C$6,$C$5,$C$7,K$1,K$2,$A346)</f>
        <v>0</v>
      </c>
      <c r="L346" s="44">
        <f ca="1">_xll.DBRW($C$1,$C$2,$C$3,$C$4,$C$6,$C$5,$C$7,L$1,L$2,$A346)</f>
        <v>0</v>
      </c>
      <c r="M346" s="44">
        <f ca="1">_xll.DBRW($C$1,$C$2,$C$3,$C$4,$C$6,$C$5,$C$7,M$1,M$2,$A346)</f>
        <v>0</v>
      </c>
      <c r="N346" s="44">
        <f ca="1">_xll.DBRW($C$1,$C$2,$C$3,$C$4,$C$6,$C$5,$C$7,N$1,N$2,$A346)</f>
        <v>0</v>
      </c>
      <c r="O346" s="44">
        <f ca="1">_xll.DBRW($C$1,$C$2,$C$3,$C$4,$C$6,$C$5,$C$7,O$1,O$2,$A346)</f>
        <v>0</v>
      </c>
      <c r="P346" s="44">
        <f ca="1">_xll.DBRW($C$1,$C$2,$C$3,$C$4,$C$6,$C$5,$C$7,P$1,P$2,$A346)</f>
        <v>0</v>
      </c>
      <c r="Q346" s="44">
        <f ca="1">_xll.DBRW($C$1,$C$2,$C$3,$C$4,$C$6,$C$5,$C$7,Q$1,Q$2,$A346)</f>
        <v>0</v>
      </c>
      <c r="R346" s="44">
        <f ca="1">_xll.DBRW($C$1,$C$2,$C$3,$C$4,$C$6,$C$5,$C$7,R$1,R$2,$A346)</f>
        <v>0</v>
      </c>
      <c r="S346" s="44">
        <f ca="1">_xll.DBRW($C$1,$C$2,$C$3,$C$4,$C$6,$C$5,$C$7,S$1,S$2,$A346)</f>
        <v>0</v>
      </c>
      <c r="T346" s="44">
        <f ca="1">_xll.DBRW($C$1,$C$2,$C$3,$C$4,$C$6,$C$5,$C$7,T$1,T$2,$A346)</f>
        <v>0</v>
      </c>
      <c r="U346" s="44">
        <f ca="1">_xll.DBRW($C$1,$C$2,$C$3,$C$4,$C$6,$C$5,$C$7,U$1,U$2,$A346)</f>
        <v>0</v>
      </c>
      <c r="V346" s="44">
        <f ca="1">_xll.DBRW($C$1,$C$2,$C$3,$C$4,$C$6,$C$5,$C$7,V$1,V$2,$A346)</f>
        <v>0</v>
      </c>
      <c r="W346" s="44">
        <f ca="1">_xll.DBRW($C$1,$C$2,$C$3,$C$4,$C$6,$C$5,$C$7,W$1,W$2,$A346)</f>
        <v>0</v>
      </c>
      <c r="X346" s="44">
        <f ca="1">_xll.DBRW($C$1,$C$2,$C$3,$C$4,$C$6,$C$5,$C$7,X$1,X$2,$A346)</f>
        <v>0</v>
      </c>
      <c r="Y346" s="44">
        <f ca="1">_xll.DBRW($C$1,$C$2,$C$3,$C$4,$C$6,$C$5,$C$7,Y$1,Y$2,$A346)</f>
        <v>0</v>
      </c>
      <c r="Z346" s="44">
        <f ca="1">_xll.DBRW($C$1,$C$2,$C$3,$C$4,$C$6,$C$5,$C$7,Z$1,Z$2,$A346)</f>
        <v>0</v>
      </c>
      <c r="AA346" s="44">
        <f ca="1">_xll.DBRW($C$1,$C$2,$C$3,$C$4,$C$6,$C$5,$C$7,AA$1,AA$2,$A346)</f>
        <v>0</v>
      </c>
      <c r="AB346" s="44">
        <f ca="1">_xll.DBRW($C$1,$C$2,$C$3,$C$4,$C$6,$C$5,$C$7,AB$1,AB$2,$A346)</f>
        <v>0</v>
      </c>
      <c r="AC346" s="44">
        <f ca="1">_xll.DBRW($C$1,$C$2,$C$3,$C$4,$C$6,$C$5,$C$7,AC$1,AC$2,$A346)</f>
        <v>0</v>
      </c>
      <c r="AD346" s="44">
        <f ca="1">_xll.DBRW($C$1,$C$2,$C$3,$C$4,$C$6,$C$5,$C$7,AD$1,AD$2,$A346)</f>
        <v>0</v>
      </c>
      <c r="AE346" s="44">
        <f ca="1">_xll.DBRW($C$1,$C$2,$C$3,$C$4,$C$6,$C$5,$C$7,AE$1,AE$2,$A346)</f>
        <v>0</v>
      </c>
      <c r="AF346" s="44">
        <f ca="1">_xll.DBRW($C$1,$C$2,$C$3,$C$4,$C$6,$C$5,$C$7,AF$1,AF$2,$A346)</f>
        <v>0</v>
      </c>
      <c r="AG346" s="44">
        <f ca="1">_xll.DBRW($C$1,$C$2,$C$3,$C$4,$C$6,$C$5,$C$7,AG$1,AG$2,$A346)</f>
        <v>0</v>
      </c>
      <c r="AH346" s="44">
        <f ca="1">_xll.DBRW($C$1,$C$2,$C$3,$C$4,$C$6,$C$5,$C$7,AH$1,AH$2,$A346)</f>
        <v>0</v>
      </c>
      <c r="AI346" s="44">
        <f ca="1">_xll.DBRW($C$1,$C$2,$C$3,$C$4,$C$6,$C$5,$C$7,AI$1,AI$2,$A346)</f>
        <v>0</v>
      </c>
      <c r="AJ346" s="44">
        <f ca="1">_xll.DBRW($C$1,$C$2,$C$3,$C$4,$C$6,$C$5,$C$7,AJ$1,AJ$2,$A346)</f>
        <v>0</v>
      </c>
      <c r="AK346" s="44">
        <f ca="1">_xll.DBRW($C$1,$C$2,$C$3,$C$4,$C$6,$C$5,$C$7,AK$1,AK$2,$A346)</f>
        <v>0</v>
      </c>
      <c r="AL346" s="44">
        <f ca="1">_xll.DBRW($C$1,$C$2,$C$3,$C$4,$C$6,$C$5,$C$7,AL$1,AL$2,$A346)</f>
        <v>0</v>
      </c>
      <c r="AM346" s="44">
        <f ca="1">_xll.DBRW($C$1,$C$2,$C$3,$C$4,$C$6,$C$5,$C$7,AM$1,AM$2,$A346)</f>
        <v>0</v>
      </c>
      <c r="AN346" s="44">
        <f ca="1">_xll.DBRW($C$1,$C$2,$C$3,$C$4,$C$6,$C$5,$C$7,AN$1,AN$2,$A346)</f>
        <v>0</v>
      </c>
      <c r="AO346" s="44">
        <f ca="1">_xll.DBRW($C$1,$C$2,$C$3,$C$4,$C$6,$C$5,$C$7,AO$1,AO$2,$A346)</f>
        <v>0</v>
      </c>
      <c r="AP346" s="44">
        <f ca="1">_xll.DBRW($C$1,$C$2,$C$3,$C$4,$C$6,$C$5,$C$7,AP$1,AP$2,$A346)</f>
        <v>0</v>
      </c>
      <c r="AQ346" s="44">
        <f ca="1">_xll.DBRW($C$1,$C$2,$C$3,$C$4,$C$6,$C$5,$C$7,AQ$1,AQ$2,$A346)</f>
        <v>0</v>
      </c>
      <c r="AR346" s="44">
        <f ca="1">_xll.DBRW($C$1,$C$2,$C$3,$C$4,$C$6,$C$5,$C$7,AR$1,AR$2,$A346)</f>
        <v>0</v>
      </c>
      <c r="AS346" s="44">
        <f ca="1">_xll.DBRW($C$1,$C$2,$C$3,$C$4,$C$6,$C$5,$C$7,AS$1,AS$2,$A346)</f>
        <v>0</v>
      </c>
      <c r="AT346" s="44">
        <f ca="1">_xll.DBRW($C$1,$C$2,$C$3,$C$4,$C$6,$C$5,$C$7,AT$1,AT$2,$A346)</f>
        <v>0</v>
      </c>
      <c r="AU346" s="44">
        <f ca="1">_xll.DBRW($C$1,$C$2,$C$3,$C$4,$C$6,$C$5,$C$7,AU$1,AU$2,$A346)</f>
        <v>0</v>
      </c>
      <c r="AV346" s="44">
        <f ca="1">_xll.DBRW($C$1,$C$2,$C$3,$C$4,$C$6,$C$5,$C$7,AV$1,AV$2,$A346)</f>
        <v>0</v>
      </c>
      <c r="AW346" s="44">
        <f ca="1">_xll.DBRW($C$1,$C$2,$C$3,$C$4,$C$6,$C$5,$C$7,AW$1,AW$2,$A346)</f>
        <v>0</v>
      </c>
      <c r="AX346" s="44">
        <f ca="1">_xll.DBRW($C$1,$C$2,$C$3,$C$4,$C$6,$C$5,$C$7,AX$1,AX$2,$A346)</f>
        <v>0</v>
      </c>
      <c r="AY346" s="44">
        <f ca="1">_xll.DBRW($C$1,$C$2,$C$3,$C$4,$C$6,$C$5,$C$7,AY$1,AY$2,$A346)</f>
        <v>0</v>
      </c>
    </row>
    <row r="347" spans="1:51" ht="15.5" collapsed="1">
      <c r="A347" s="1" t="s">
        <v>142</v>
      </c>
      <c r="C347" s="109"/>
      <c r="E347" s="15" t="s">
        <v>101</v>
      </c>
      <c r="F347" s="44">
        <f t="shared" ref="F347:X347" ca="1" si="251">SUM(F346)</f>
        <v>0</v>
      </c>
      <c r="G347" s="44">
        <f t="shared" ca="1" si="251"/>
        <v>0</v>
      </c>
      <c r="H347" s="44">
        <f t="shared" ca="1" si="251"/>
        <v>0</v>
      </c>
      <c r="I347" s="44">
        <f t="shared" ca="1" si="251"/>
        <v>0</v>
      </c>
      <c r="J347" s="44">
        <f t="shared" ca="1" si="251"/>
        <v>0</v>
      </c>
      <c r="K347" s="44">
        <f t="shared" ca="1" si="251"/>
        <v>0</v>
      </c>
      <c r="L347" s="44">
        <f t="shared" ca="1" si="251"/>
        <v>0</v>
      </c>
      <c r="M347" s="44">
        <f t="shared" ca="1" si="251"/>
        <v>0</v>
      </c>
      <c r="N347" s="44">
        <f t="shared" ca="1" si="251"/>
        <v>0</v>
      </c>
      <c r="O347" s="44">
        <f t="shared" ca="1" si="251"/>
        <v>0</v>
      </c>
      <c r="P347" s="44">
        <f t="shared" ca="1" si="251"/>
        <v>0</v>
      </c>
      <c r="Q347" s="44">
        <f t="shared" ca="1" si="251"/>
        <v>0</v>
      </c>
      <c r="R347" s="44">
        <f t="shared" ca="1" si="251"/>
        <v>0</v>
      </c>
      <c r="S347" s="44">
        <f t="shared" ca="1" si="251"/>
        <v>0</v>
      </c>
      <c r="T347" s="44">
        <f t="shared" ca="1" si="251"/>
        <v>0</v>
      </c>
      <c r="U347" s="44">
        <f t="shared" ca="1" si="251"/>
        <v>0</v>
      </c>
      <c r="V347" s="44">
        <f t="shared" ca="1" si="251"/>
        <v>0</v>
      </c>
      <c r="W347" s="44">
        <f t="shared" ca="1" si="251"/>
        <v>0</v>
      </c>
      <c r="X347" s="44">
        <f t="shared" ca="1" si="251"/>
        <v>0</v>
      </c>
      <c r="Y347" s="44">
        <f ca="1">SUM(Y346)</f>
        <v>0</v>
      </c>
      <c r="Z347" s="44">
        <f t="shared" ref="Z347:AK347" ca="1" si="252">SUM(Z346)</f>
        <v>0</v>
      </c>
      <c r="AA347" s="44">
        <f t="shared" ca="1" si="252"/>
        <v>0</v>
      </c>
      <c r="AB347" s="44">
        <f t="shared" ca="1" si="252"/>
        <v>0</v>
      </c>
      <c r="AC347" s="44">
        <f t="shared" ca="1" si="252"/>
        <v>0</v>
      </c>
      <c r="AD347" s="44">
        <f t="shared" ca="1" si="252"/>
        <v>0</v>
      </c>
      <c r="AE347" s="44">
        <f t="shared" ca="1" si="252"/>
        <v>0</v>
      </c>
      <c r="AF347" s="44">
        <f t="shared" ca="1" si="252"/>
        <v>0</v>
      </c>
      <c r="AG347" s="44">
        <f t="shared" ca="1" si="252"/>
        <v>0</v>
      </c>
      <c r="AH347" s="44">
        <f t="shared" ca="1" si="252"/>
        <v>0</v>
      </c>
      <c r="AI347" s="44">
        <f t="shared" ca="1" si="252"/>
        <v>0</v>
      </c>
      <c r="AJ347" s="44">
        <f t="shared" ca="1" si="252"/>
        <v>0</v>
      </c>
      <c r="AK347" s="44">
        <f t="shared" ca="1" si="252"/>
        <v>0</v>
      </c>
      <c r="AL347" s="44">
        <f ca="1">SUM(AL346)</f>
        <v>0</v>
      </c>
      <c r="AM347" s="44">
        <f t="shared" ref="AM347:AX347" ca="1" si="253">SUM(AM346)</f>
        <v>0</v>
      </c>
      <c r="AN347" s="44">
        <f t="shared" ca="1" si="253"/>
        <v>0</v>
      </c>
      <c r="AO347" s="44">
        <f t="shared" ca="1" si="253"/>
        <v>0</v>
      </c>
      <c r="AP347" s="44">
        <f t="shared" ca="1" si="253"/>
        <v>0</v>
      </c>
      <c r="AQ347" s="44">
        <f t="shared" ca="1" si="253"/>
        <v>0</v>
      </c>
      <c r="AR347" s="44">
        <f t="shared" ca="1" si="253"/>
        <v>0</v>
      </c>
      <c r="AS347" s="44">
        <f t="shared" ca="1" si="253"/>
        <v>0</v>
      </c>
      <c r="AT347" s="44">
        <f t="shared" ca="1" si="253"/>
        <v>0</v>
      </c>
      <c r="AU347" s="44">
        <f t="shared" ca="1" si="253"/>
        <v>0</v>
      </c>
      <c r="AV347" s="44">
        <f t="shared" ca="1" si="253"/>
        <v>0</v>
      </c>
      <c r="AW347" s="44">
        <f t="shared" ca="1" si="253"/>
        <v>0</v>
      </c>
      <c r="AX347" s="44">
        <f t="shared" ca="1" si="253"/>
        <v>0</v>
      </c>
      <c r="AY347" s="44">
        <f ca="1">SUM(AY346)</f>
        <v>0</v>
      </c>
    </row>
    <row r="348" spans="1:51" ht="15.5" hidden="1" outlineLevel="1">
      <c r="A348" s="1" t="s">
        <v>374</v>
      </c>
      <c r="C348" s="109"/>
      <c r="E348" s="9" t="str">
        <f ca="1">_xll.DBRW(Server&amp;"}ElementAttributes_Indicator",A348,"code_English")</f>
        <v>Tot_nb_BRT - Total number of BRT</v>
      </c>
      <c r="F348" s="44">
        <f ca="1">_xll.DBRW($C$1,$C$2,$C$3,$C$4,$C$6,$C$5,$C$7,F$1,F$2,$A348)</f>
        <v>0</v>
      </c>
      <c r="G348" s="44">
        <f ca="1">_xll.DBRW($C$1,$C$2,$C$3,$C$4,$C$6,$C$5,$C$7,G$1,G$2,$A348)</f>
        <v>0</v>
      </c>
      <c r="H348" s="44">
        <f ca="1">_xll.DBRW($C$1,$C$2,$C$3,$C$4,$C$6,$C$5,$C$7,H$1,H$2,$A348)</f>
        <v>0</v>
      </c>
      <c r="I348" s="44">
        <f ca="1">_xll.DBRW($C$1,$C$2,$C$3,$C$4,$C$6,$C$5,$C$7,I$1,I$2,$A348)</f>
        <v>0</v>
      </c>
      <c r="J348" s="44">
        <f ca="1">_xll.DBRW($C$1,$C$2,$C$3,$C$4,$C$6,$C$5,$C$7,J$1,J$2,$A348)</f>
        <v>0</v>
      </c>
      <c r="K348" s="44">
        <f ca="1">_xll.DBRW($C$1,$C$2,$C$3,$C$4,$C$6,$C$5,$C$7,K$1,K$2,$A348)</f>
        <v>0</v>
      </c>
      <c r="L348" s="44">
        <f ca="1">_xll.DBRW($C$1,$C$2,$C$3,$C$4,$C$6,$C$5,$C$7,L$1,L$2,$A348)</f>
        <v>0</v>
      </c>
      <c r="M348" s="44">
        <f ca="1">_xll.DBRW($C$1,$C$2,$C$3,$C$4,$C$6,$C$5,$C$7,M$1,M$2,$A348)</f>
        <v>0</v>
      </c>
      <c r="N348" s="44">
        <f ca="1">_xll.DBRW($C$1,$C$2,$C$3,$C$4,$C$6,$C$5,$C$7,N$1,N$2,$A348)</f>
        <v>0</v>
      </c>
      <c r="O348" s="44">
        <f ca="1">_xll.DBRW($C$1,$C$2,$C$3,$C$4,$C$6,$C$5,$C$7,O$1,O$2,$A348)</f>
        <v>0</v>
      </c>
      <c r="P348" s="44">
        <f ca="1">_xll.DBRW($C$1,$C$2,$C$3,$C$4,$C$6,$C$5,$C$7,P$1,P$2,$A348)</f>
        <v>0</v>
      </c>
      <c r="Q348" s="44">
        <f ca="1">_xll.DBRW($C$1,$C$2,$C$3,$C$4,$C$6,$C$5,$C$7,Q$1,Q$2,$A348)</f>
        <v>0</v>
      </c>
      <c r="R348" s="44">
        <f ca="1">_xll.DBRW($C$1,$C$2,$C$3,$C$4,$C$6,$C$5,$C$7,R$1,R$2,$A348)</f>
        <v>0</v>
      </c>
      <c r="S348" s="44">
        <f ca="1">_xll.DBRW($C$1,$C$2,$C$3,$C$4,$C$6,$C$5,$C$7,S$1,S$2,$A348)</f>
        <v>0</v>
      </c>
      <c r="T348" s="44">
        <f ca="1">_xll.DBRW($C$1,$C$2,$C$3,$C$4,$C$6,$C$5,$C$7,T$1,T$2,$A348)</f>
        <v>0</v>
      </c>
      <c r="U348" s="44">
        <f ca="1">_xll.DBRW($C$1,$C$2,$C$3,$C$4,$C$6,$C$5,$C$7,U$1,U$2,$A348)</f>
        <v>0</v>
      </c>
      <c r="V348" s="44">
        <f ca="1">_xll.DBRW($C$1,$C$2,$C$3,$C$4,$C$6,$C$5,$C$7,V$1,V$2,$A348)</f>
        <v>0</v>
      </c>
      <c r="W348" s="44">
        <f ca="1">_xll.DBRW($C$1,$C$2,$C$3,$C$4,$C$6,$C$5,$C$7,W$1,W$2,$A348)</f>
        <v>0</v>
      </c>
      <c r="X348" s="44">
        <f ca="1">_xll.DBRW($C$1,$C$2,$C$3,$C$4,$C$6,$C$5,$C$7,X$1,X$2,$A348)</f>
        <v>0</v>
      </c>
      <c r="Y348" s="44">
        <f ca="1">_xll.DBRW($C$1,$C$2,$C$3,$C$4,$C$6,$C$5,$C$7,Y$1,Y$2,$A348)</f>
        <v>0</v>
      </c>
      <c r="Z348" s="44">
        <f ca="1">_xll.DBRW($C$1,$C$2,$C$3,$C$4,$C$6,$C$5,$C$7,Z$1,Z$2,$A348)</f>
        <v>0</v>
      </c>
      <c r="AA348" s="44">
        <f ca="1">_xll.DBRW($C$1,$C$2,$C$3,$C$4,$C$6,$C$5,$C$7,AA$1,AA$2,$A348)</f>
        <v>0</v>
      </c>
      <c r="AB348" s="44">
        <f ca="1">_xll.DBRW($C$1,$C$2,$C$3,$C$4,$C$6,$C$5,$C$7,AB$1,AB$2,$A348)</f>
        <v>0</v>
      </c>
      <c r="AC348" s="44">
        <f ca="1">_xll.DBRW($C$1,$C$2,$C$3,$C$4,$C$6,$C$5,$C$7,AC$1,AC$2,$A348)</f>
        <v>0</v>
      </c>
      <c r="AD348" s="44">
        <f ca="1">_xll.DBRW($C$1,$C$2,$C$3,$C$4,$C$6,$C$5,$C$7,AD$1,AD$2,$A348)</f>
        <v>0</v>
      </c>
      <c r="AE348" s="44">
        <f ca="1">_xll.DBRW($C$1,$C$2,$C$3,$C$4,$C$6,$C$5,$C$7,AE$1,AE$2,$A348)</f>
        <v>0</v>
      </c>
      <c r="AF348" s="44">
        <f ca="1">_xll.DBRW($C$1,$C$2,$C$3,$C$4,$C$6,$C$5,$C$7,AF$1,AF$2,$A348)</f>
        <v>0</v>
      </c>
      <c r="AG348" s="44">
        <f ca="1">_xll.DBRW($C$1,$C$2,$C$3,$C$4,$C$6,$C$5,$C$7,AG$1,AG$2,$A348)</f>
        <v>0</v>
      </c>
      <c r="AH348" s="44">
        <f ca="1">_xll.DBRW($C$1,$C$2,$C$3,$C$4,$C$6,$C$5,$C$7,AH$1,AH$2,$A348)</f>
        <v>0</v>
      </c>
      <c r="AI348" s="44">
        <f ca="1">_xll.DBRW($C$1,$C$2,$C$3,$C$4,$C$6,$C$5,$C$7,AI$1,AI$2,$A348)</f>
        <v>0</v>
      </c>
      <c r="AJ348" s="44">
        <f ca="1">_xll.DBRW($C$1,$C$2,$C$3,$C$4,$C$6,$C$5,$C$7,AJ$1,AJ$2,$A348)</f>
        <v>0</v>
      </c>
      <c r="AK348" s="44">
        <f ca="1">_xll.DBRW($C$1,$C$2,$C$3,$C$4,$C$6,$C$5,$C$7,AK$1,AK$2,$A348)</f>
        <v>0</v>
      </c>
      <c r="AL348" s="44">
        <f ca="1">_xll.DBRW($C$1,$C$2,$C$3,$C$4,$C$6,$C$5,$C$7,AL$1,AL$2,$A348)</f>
        <v>0</v>
      </c>
      <c r="AM348" s="44">
        <f ca="1">_xll.DBRW($C$1,$C$2,$C$3,$C$4,$C$6,$C$5,$C$7,AM$1,AM$2,$A348)</f>
        <v>0</v>
      </c>
      <c r="AN348" s="44">
        <f ca="1">_xll.DBRW($C$1,$C$2,$C$3,$C$4,$C$6,$C$5,$C$7,AN$1,AN$2,$A348)</f>
        <v>0</v>
      </c>
      <c r="AO348" s="44">
        <f ca="1">_xll.DBRW($C$1,$C$2,$C$3,$C$4,$C$6,$C$5,$C$7,AO$1,AO$2,$A348)</f>
        <v>0</v>
      </c>
      <c r="AP348" s="44">
        <f ca="1">_xll.DBRW($C$1,$C$2,$C$3,$C$4,$C$6,$C$5,$C$7,AP$1,AP$2,$A348)</f>
        <v>0</v>
      </c>
      <c r="AQ348" s="44">
        <f ca="1">_xll.DBRW($C$1,$C$2,$C$3,$C$4,$C$6,$C$5,$C$7,AQ$1,AQ$2,$A348)</f>
        <v>0</v>
      </c>
      <c r="AR348" s="44">
        <f ca="1">_xll.DBRW($C$1,$C$2,$C$3,$C$4,$C$6,$C$5,$C$7,AR$1,AR$2,$A348)</f>
        <v>0</v>
      </c>
      <c r="AS348" s="44">
        <f ca="1">_xll.DBRW($C$1,$C$2,$C$3,$C$4,$C$6,$C$5,$C$7,AS$1,AS$2,$A348)</f>
        <v>0</v>
      </c>
      <c r="AT348" s="44">
        <f ca="1">_xll.DBRW($C$1,$C$2,$C$3,$C$4,$C$6,$C$5,$C$7,AT$1,AT$2,$A348)</f>
        <v>0</v>
      </c>
      <c r="AU348" s="44">
        <f ca="1">_xll.DBRW($C$1,$C$2,$C$3,$C$4,$C$6,$C$5,$C$7,AU$1,AU$2,$A348)</f>
        <v>0</v>
      </c>
      <c r="AV348" s="44">
        <f ca="1">_xll.DBRW($C$1,$C$2,$C$3,$C$4,$C$6,$C$5,$C$7,AV$1,AV$2,$A348)</f>
        <v>0</v>
      </c>
      <c r="AW348" s="44">
        <f ca="1">_xll.DBRW($C$1,$C$2,$C$3,$C$4,$C$6,$C$5,$C$7,AW$1,AW$2,$A348)</f>
        <v>0</v>
      </c>
      <c r="AX348" s="44">
        <f ca="1">_xll.DBRW($C$1,$C$2,$C$3,$C$4,$C$6,$C$5,$C$7,AX$1,AX$2,$A348)</f>
        <v>0</v>
      </c>
      <c r="AY348" s="44">
        <f ca="1">_xll.DBRW($C$1,$C$2,$C$3,$C$4,$C$6,$C$5,$C$7,AY$1,AY$2,$A348)</f>
        <v>0</v>
      </c>
    </row>
    <row r="349" spans="1:51" ht="15.5" collapsed="1">
      <c r="A349" s="1" t="s">
        <v>142</v>
      </c>
      <c r="C349" s="109"/>
      <c r="E349" s="15" t="s">
        <v>102</v>
      </c>
      <c r="F349" s="44">
        <f t="shared" ref="F349:X349" ca="1" si="254">SUM(F348)</f>
        <v>0</v>
      </c>
      <c r="G349" s="44">
        <f t="shared" ca="1" si="254"/>
        <v>0</v>
      </c>
      <c r="H349" s="44">
        <f t="shared" ca="1" si="254"/>
        <v>0</v>
      </c>
      <c r="I349" s="44">
        <f t="shared" ca="1" si="254"/>
        <v>0</v>
      </c>
      <c r="J349" s="44">
        <f t="shared" ca="1" si="254"/>
        <v>0</v>
      </c>
      <c r="K349" s="44">
        <f t="shared" ca="1" si="254"/>
        <v>0</v>
      </c>
      <c r="L349" s="44">
        <f t="shared" ca="1" si="254"/>
        <v>0</v>
      </c>
      <c r="M349" s="44">
        <f t="shared" ca="1" si="254"/>
        <v>0</v>
      </c>
      <c r="N349" s="44">
        <f t="shared" ca="1" si="254"/>
        <v>0</v>
      </c>
      <c r="O349" s="44">
        <f t="shared" ca="1" si="254"/>
        <v>0</v>
      </c>
      <c r="P349" s="44">
        <f t="shared" ca="1" si="254"/>
        <v>0</v>
      </c>
      <c r="Q349" s="44">
        <f t="shared" ca="1" si="254"/>
        <v>0</v>
      </c>
      <c r="R349" s="44">
        <f t="shared" ca="1" si="254"/>
        <v>0</v>
      </c>
      <c r="S349" s="44">
        <f t="shared" ca="1" si="254"/>
        <v>0</v>
      </c>
      <c r="T349" s="44">
        <f t="shared" ca="1" si="254"/>
        <v>0</v>
      </c>
      <c r="U349" s="44">
        <f t="shared" ca="1" si="254"/>
        <v>0</v>
      </c>
      <c r="V349" s="44">
        <f t="shared" ca="1" si="254"/>
        <v>0</v>
      </c>
      <c r="W349" s="44">
        <f t="shared" ca="1" si="254"/>
        <v>0</v>
      </c>
      <c r="X349" s="44">
        <f t="shared" ca="1" si="254"/>
        <v>0</v>
      </c>
      <c r="Y349" s="44">
        <f ca="1">SUM(Y348)</f>
        <v>0</v>
      </c>
      <c r="Z349" s="44">
        <f t="shared" ref="Z349:AK349" ca="1" si="255">SUM(Z348)</f>
        <v>0</v>
      </c>
      <c r="AA349" s="44">
        <f t="shared" ca="1" si="255"/>
        <v>0</v>
      </c>
      <c r="AB349" s="44">
        <f t="shared" ca="1" si="255"/>
        <v>0</v>
      </c>
      <c r="AC349" s="44">
        <f t="shared" ca="1" si="255"/>
        <v>0</v>
      </c>
      <c r="AD349" s="44">
        <f t="shared" ca="1" si="255"/>
        <v>0</v>
      </c>
      <c r="AE349" s="44">
        <f t="shared" ca="1" si="255"/>
        <v>0</v>
      </c>
      <c r="AF349" s="44">
        <f t="shared" ca="1" si="255"/>
        <v>0</v>
      </c>
      <c r="AG349" s="44">
        <f t="shared" ca="1" si="255"/>
        <v>0</v>
      </c>
      <c r="AH349" s="44">
        <f t="shared" ca="1" si="255"/>
        <v>0</v>
      </c>
      <c r="AI349" s="44">
        <f t="shared" ca="1" si="255"/>
        <v>0</v>
      </c>
      <c r="AJ349" s="44">
        <f t="shared" ca="1" si="255"/>
        <v>0</v>
      </c>
      <c r="AK349" s="44">
        <f t="shared" ca="1" si="255"/>
        <v>0</v>
      </c>
      <c r="AL349" s="44">
        <f ca="1">SUM(AL348)</f>
        <v>0</v>
      </c>
      <c r="AM349" s="44">
        <f t="shared" ref="AM349:AX349" ca="1" si="256">SUM(AM348)</f>
        <v>0</v>
      </c>
      <c r="AN349" s="44">
        <f t="shared" ca="1" si="256"/>
        <v>0</v>
      </c>
      <c r="AO349" s="44">
        <f t="shared" ca="1" si="256"/>
        <v>0</v>
      </c>
      <c r="AP349" s="44">
        <f t="shared" ca="1" si="256"/>
        <v>0</v>
      </c>
      <c r="AQ349" s="44">
        <f t="shared" ca="1" si="256"/>
        <v>0</v>
      </c>
      <c r="AR349" s="44">
        <f t="shared" ca="1" si="256"/>
        <v>0</v>
      </c>
      <c r="AS349" s="44">
        <f t="shared" ca="1" si="256"/>
        <v>0</v>
      </c>
      <c r="AT349" s="44">
        <f t="shared" ca="1" si="256"/>
        <v>0</v>
      </c>
      <c r="AU349" s="44">
        <f t="shared" ca="1" si="256"/>
        <v>0</v>
      </c>
      <c r="AV349" s="44">
        <f t="shared" ca="1" si="256"/>
        <v>0</v>
      </c>
      <c r="AW349" s="44">
        <f t="shared" ca="1" si="256"/>
        <v>0</v>
      </c>
      <c r="AX349" s="44">
        <f t="shared" ca="1" si="256"/>
        <v>0</v>
      </c>
      <c r="AY349" s="44">
        <f ca="1">SUM(AY348)</f>
        <v>0</v>
      </c>
    </row>
    <row r="350" spans="1:51" ht="15.75" hidden="1" customHeight="1" outlineLevel="1">
      <c r="A350" s="1" t="s">
        <v>375</v>
      </c>
      <c r="C350" s="109"/>
      <c r="E350" s="9" t="str">
        <f ca="1">_xll.DBRW(Server&amp;"}ElementAttributes_Indicator",A350,"code_English")</f>
        <v>Tot_nb_ferries - Total number of ferries</v>
      </c>
      <c r="F350" s="44">
        <f ca="1">_xll.DBRW($C$1,$C$2,$C$3,$C$4,$C$6,$C$5,$C$7,F$1,F$2,$A350)</f>
        <v>0</v>
      </c>
      <c r="G350" s="44">
        <f ca="1">_xll.DBRW($C$1,$C$2,$C$3,$C$4,$C$6,$C$5,$C$7,G$1,G$2,$A350)</f>
        <v>0</v>
      </c>
      <c r="H350" s="44">
        <f ca="1">_xll.DBRW($C$1,$C$2,$C$3,$C$4,$C$6,$C$5,$C$7,H$1,H$2,$A350)</f>
        <v>0</v>
      </c>
      <c r="I350" s="44">
        <f ca="1">_xll.DBRW($C$1,$C$2,$C$3,$C$4,$C$6,$C$5,$C$7,I$1,I$2,$A350)</f>
        <v>0</v>
      </c>
      <c r="J350" s="44">
        <f ca="1">_xll.DBRW($C$1,$C$2,$C$3,$C$4,$C$6,$C$5,$C$7,J$1,J$2,$A350)</f>
        <v>0</v>
      </c>
      <c r="K350" s="44">
        <f ca="1">_xll.DBRW($C$1,$C$2,$C$3,$C$4,$C$6,$C$5,$C$7,K$1,K$2,$A350)</f>
        <v>0</v>
      </c>
      <c r="L350" s="44">
        <f ca="1">_xll.DBRW($C$1,$C$2,$C$3,$C$4,$C$6,$C$5,$C$7,L$1,L$2,$A350)</f>
        <v>0</v>
      </c>
      <c r="M350" s="44">
        <f ca="1">_xll.DBRW($C$1,$C$2,$C$3,$C$4,$C$6,$C$5,$C$7,M$1,M$2,$A350)</f>
        <v>0</v>
      </c>
      <c r="N350" s="44">
        <f ca="1">_xll.DBRW($C$1,$C$2,$C$3,$C$4,$C$6,$C$5,$C$7,N$1,N$2,$A350)</f>
        <v>0</v>
      </c>
      <c r="O350" s="44">
        <f ca="1">_xll.DBRW($C$1,$C$2,$C$3,$C$4,$C$6,$C$5,$C$7,O$1,O$2,$A350)</f>
        <v>0</v>
      </c>
      <c r="P350" s="44">
        <f ca="1">_xll.DBRW($C$1,$C$2,$C$3,$C$4,$C$6,$C$5,$C$7,P$1,P$2,$A350)</f>
        <v>0</v>
      </c>
      <c r="Q350" s="44">
        <f ca="1">_xll.DBRW($C$1,$C$2,$C$3,$C$4,$C$6,$C$5,$C$7,Q$1,Q$2,$A350)</f>
        <v>0</v>
      </c>
      <c r="R350" s="44">
        <f ca="1">_xll.DBRW($C$1,$C$2,$C$3,$C$4,$C$6,$C$5,$C$7,R$1,R$2,$A350)</f>
        <v>0</v>
      </c>
      <c r="S350" s="44">
        <f ca="1">_xll.DBRW($C$1,$C$2,$C$3,$C$4,$C$6,$C$5,$C$7,S$1,S$2,$A350)</f>
        <v>0</v>
      </c>
      <c r="T350" s="44">
        <f ca="1">_xll.DBRW($C$1,$C$2,$C$3,$C$4,$C$6,$C$5,$C$7,T$1,T$2,$A350)</f>
        <v>0</v>
      </c>
      <c r="U350" s="44">
        <f ca="1">_xll.DBRW($C$1,$C$2,$C$3,$C$4,$C$6,$C$5,$C$7,U$1,U$2,$A350)</f>
        <v>0</v>
      </c>
      <c r="V350" s="44">
        <f ca="1">_xll.DBRW($C$1,$C$2,$C$3,$C$4,$C$6,$C$5,$C$7,V$1,V$2,$A350)</f>
        <v>0</v>
      </c>
      <c r="W350" s="44">
        <f ca="1">_xll.DBRW($C$1,$C$2,$C$3,$C$4,$C$6,$C$5,$C$7,W$1,W$2,$A350)</f>
        <v>0</v>
      </c>
      <c r="X350" s="44">
        <f ca="1">_xll.DBRW($C$1,$C$2,$C$3,$C$4,$C$6,$C$5,$C$7,X$1,X$2,$A350)</f>
        <v>0</v>
      </c>
      <c r="Y350" s="44">
        <f ca="1">_xll.DBRW($C$1,$C$2,$C$3,$C$4,$C$6,$C$5,$C$7,Y$1,Y$2,$A350)</f>
        <v>0</v>
      </c>
      <c r="Z350" s="44">
        <f ca="1">_xll.DBRW($C$1,$C$2,$C$3,$C$4,$C$6,$C$5,$C$7,Z$1,Z$2,$A350)</f>
        <v>0</v>
      </c>
      <c r="AA350" s="44">
        <f ca="1">_xll.DBRW($C$1,$C$2,$C$3,$C$4,$C$6,$C$5,$C$7,AA$1,AA$2,$A350)</f>
        <v>0</v>
      </c>
      <c r="AB350" s="44">
        <f ca="1">_xll.DBRW($C$1,$C$2,$C$3,$C$4,$C$6,$C$5,$C$7,AB$1,AB$2,$A350)</f>
        <v>0</v>
      </c>
      <c r="AC350" s="44">
        <f ca="1">_xll.DBRW($C$1,$C$2,$C$3,$C$4,$C$6,$C$5,$C$7,AC$1,AC$2,$A350)</f>
        <v>0</v>
      </c>
      <c r="AD350" s="44">
        <f ca="1">_xll.DBRW($C$1,$C$2,$C$3,$C$4,$C$6,$C$5,$C$7,AD$1,AD$2,$A350)</f>
        <v>0</v>
      </c>
      <c r="AE350" s="44">
        <f ca="1">_xll.DBRW($C$1,$C$2,$C$3,$C$4,$C$6,$C$5,$C$7,AE$1,AE$2,$A350)</f>
        <v>0</v>
      </c>
      <c r="AF350" s="44">
        <f ca="1">_xll.DBRW($C$1,$C$2,$C$3,$C$4,$C$6,$C$5,$C$7,AF$1,AF$2,$A350)</f>
        <v>0</v>
      </c>
      <c r="AG350" s="44">
        <f ca="1">_xll.DBRW($C$1,$C$2,$C$3,$C$4,$C$6,$C$5,$C$7,AG$1,AG$2,$A350)</f>
        <v>0</v>
      </c>
      <c r="AH350" s="44">
        <f ca="1">_xll.DBRW($C$1,$C$2,$C$3,$C$4,$C$6,$C$5,$C$7,AH$1,AH$2,$A350)</f>
        <v>0</v>
      </c>
      <c r="AI350" s="44">
        <f ca="1">_xll.DBRW($C$1,$C$2,$C$3,$C$4,$C$6,$C$5,$C$7,AI$1,AI$2,$A350)</f>
        <v>0</v>
      </c>
      <c r="AJ350" s="44">
        <f ca="1">_xll.DBRW($C$1,$C$2,$C$3,$C$4,$C$6,$C$5,$C$7,AJ$1,AJ$2,$A350)</f>
        <v>0</v>
      </c>
      <c r="AK350" s="44">
        <f ca="1">_xll.DBRW($C$1,$C$2,$C$3,$C$4,$C$6,$C$5,$C$7,AK$1,AK$2,$A350)</f>
        <v>0</v>
      </c>
      <c r="AL350" s="44">
        <f ca="1">_xll.DBRW($C$1,$C$2,$C$3,$C$4,$C$6,$C$5,$C$7,AL$1,AL$2,$A350)</f>
        <v>0</v>
      </c>
      <c r="AM350" s="44">
        <f ca="1">_xll.DBRW($C$1,$C$2,$C$3,$C$4,$C$6,$C$5,$C$7,AM$1,AM$2,$A350)</f>
        <v>0</v>
      </c>
      <c r="AN350" s="44">
        <f ca="1">_xll.DBRW($C$1,$C$2,$C$3,$C$4,$C$6,$C$5,$C$7,AN$1,AN$2,$A350)</f>
        <v>0</v>
      </c>
      <c r="AO350" s="44">
        <f ca="1">_xll.DBRW($C$1,$C$2,$C$3,$C$4,$C$6,$C$5,$C$7,AO$1,AO$2,$A350)</f>
        <v>0</v>
      </c>
      <c r="AP350" s="44">
        <f ca="1">_xll.DBRW($C$1,$C$2,$C$3,$C$4,$C$6,$C$5,$C$7,AP$1,AP$2,$A350)</f>
        <v>0</v>
      </c>
      <c r="AQ350" s="44">
        <f ca="1">_xll.DBRW($C$1,$C$2,$C$3,$C$4,$C$6,$C$5,$C$7,AQ$1,AQ$2,$A350)</f>
        <v>0</v>
      </c>
      <c r="AR350" s="44">
        <f ca="1">_xll.DBRW($C$1,$C$2,$C$3,$C$4,$C$6,$C$5,$C$7,AR$1,AR$2,$A350)</f>
        <v>0</v>
      </c>
      <c r="AS350" s="44">
        <f ca="1">_xll.DBRW($C$1,$C$2,$C$3,$C$4,$C$6,$C$5,$C$7,AS$1,AS$2,$A350)</f>
        <v>0</v>
      </c>
      <c r="AT350" s="44">
        <f ca="1">_xll.DBRW($C$1,$C$2,$C$3,$C$4,$C$6,$C$5,$C$7,AT$1,AT$2,$A350)</f>
        <v>0</v>
      </c>
      <c r="AU350" s="44">
        <f ca="1">_xll.DBRW($C$1,$C$2,$C$3,$C$4,$C$6,$C$5,$C$7,AU$1,AU$2,$A350)</f>
        <v>0</v>
      </c>
      <c r="AV350" s="44">
        <f ca="1">_xll.DBRW($C$1,$C$2,$C$3,$C$4,$C$6,$C$5,$C$7,AV$1,AV$2,$A350)</f>
        <v>0</v>
      </c>
      <c r="AW350" s="44">
        <f ca="1">_xll.DBRW($C$1,$C$2,$C$3,$C$4,$C$6,$C$5,$C$7,AW$1,AW$2,$A350)</f>
        <v>0</v>
      </c>
      <c r="AX350" s="44">
        <f ca="1">_xll.DBRW($C$1,$C$2,$C$3,$C$4,$C$6,$C$5,$C$7,AX$1,AX$2,$A350)</f>
        <v>0</v>
      </c>
      <c r="AY350" s="44">
        <f ca="1">_xll.DBRW($C$1,$C$2,$C$3,$C$4,$C$6,$C$5,$C$7,AY$1,AY$2,$A350)</f>
        <v>0</v>
      </c>
    </row>
    <row r="351" spans="1:51" ht="15.5" collapsed="1">
      <c r="A351" s="1" t="s">
        <v>142</v>
      </c>
      <c r="C351" s="109"/>
      <c r="E351" s="18" t="s">
        <v>103</v>
      </c>
      <c r="F351" s="44">
        <f t="shared" ref="F351:X351" ca="1" si="257">SUM(F350)</f>
        <v>0</v>
      </c>
      <c r="G351" s="44">
        <f t="shared" ca="1" si="257"/>
        <v>0</v>
      </c>
      <c r="H351" s="44">
        <f t="shared" ca="1" si="257"/>
        <v>0</v>
      </c>
      <c r="I351" s="44">
        <f t="shared" ca="1" si="257"/>
        <v>0</v>
      </c>
      <c r="J351" s="44">
        <f t="shared" ca="1" si="257"/>
        <v>0</v>
      </c>
      <c r="K351" s="44">
        <f t="shared" ca="1" si="257"/>
        <v>0</v>
      </c>
      <c r="L351" s="44">
        <f t="shared" ca="1" si="257"/>
        <v>0</v>
      </c>
      <c r="M351" s="44">
        <f t="shared" ca="1" si="257"/>
        <v>0</v>
      </c>
      <c r="N351" s="44">
        <f t="shared" ca="1" si="257"/>
        <v>0</v>
      </c>
      <c r="O351" s="44">
        <f t="shared" ca="1" si="257"/>
        <v>0</v>
      </c>
      <c r="P351" s="44">
        <f t="shared" ca="1" si="257"/>
        <v>0</v>
      </c>
      <c r="Q351" s="44">
        <f t="shared" ca="1" si="257"/>
        <v>0</v>
      </c>
      <c r="R351" s="44">
        <f t="shared" ca="1" si="257"/>
        <v>0</v>
      </c>
      <c r="S351" s="44">
        <f t="shared" ca="1" si="257"/>
        <v>0</v>
      </c>
      <c r="T351" s="44">
        <f t="shared" ca="1" si="257"/>
        <v>0</v>
      </c>
      <c r="U351" s="44">
        <f t="shared" ca="1" si="257"/>
        <v>0</v>
      </c>
      <c r="V351" s="44">
        <f t="shared" ca="1" si="257"/>
        <v>0</v>
      </c>
      <c r="W351" s="44">
        <f t="shared" ca="1" si="257"/>
        <v>0</v>
      </c>
      <c r="X351" s="44">
        <f t="shared" ca="1" si="257"/>
        <v>0</v>
      </c>
      <c r="Y351" s="44">
        <f ca="1">SUM(Y350)</f>
        <v>0</v>
      </c>
      <c r="Z351" s="44">
        <f t="shared" ref="Z351:AK351" ca="1" si="258">SUM(Z350)</f>
        <v>0</v>
      </c>
      <c r="AA351" s="44">
        <f t="shared" ca="1" si="258"/>
        <v>0</v>
      </c>
      <c r="AB351" s="44">
        <f t="shared" ca="1" si="258"/>
        <v>0</v>
      </c>
      <c r="AC351" s="44">
        <f t="shared" ca="1" si="258"/>
        <v>0</v>
      </c>
      <c r="AD351" s="44">
        <f t="shared" ca="1" si="258"/>
        <v>0</v>
      </c>
      <c r="AE351" s="44">
        <f t="shared" ca="1" si="258"/>
        <v>0</v>
      </c>
      <c r="AF351" s="44">
        <f t="shared" ca="1" si="258"/>
        <v>0</v>
      </c>
      <c r="AG351" s="44">
        <f t="shared" ca="1" si="258"/>
        <v>0</v>
      </c>
      <c r="AH351" s="44">
        <f t="shared" ca="1" si="258"/>
        <v>0</v>
      </c>
      <c r="AI351" s="44">
        <f t="shared" ca="1" si="258"/>
        <v>0</v>
      </c>
      <c r="AJ351" s="44">
        <f t="shared" ca="1" si="258"/>
        <v>0</v>
      </c>
      <c r="AK351" s="44">
        <f t="shared" ca="1" si="258"/>
        <v>0</v>
      </c>
      <c r="AL351" s="44">
        <f ca="1">SUM(AL350)</f>
        <v>0</v>
      </c>
      <c r="AM351" s="44">
        <f t="shared" ref="AM351:AX351" ca="1" si="259">SUM(AM350)</f>
        <v>0</v>
      </c>
      <c r="AN351" s="44">
        <f t="shared" ca="1" si="259"/>
        <v>0</v>
      </c>
      <c r="AO351" s="44">
        <f t="shared" ca="1" si="259"/>
        <v>0</v>
      </c>
      <c r="AP351" s="44">
        <f t="shared" ca="1" si="259"/>
        <v>0</v>
      </c>
      <c r="AQ351" s="44">
        <f t="shared" ca="1" si="259"/>
        <v>0</v>
      </c>
      <c r="AR351" s="44">
        <f t="shared" ca="1" si="259"/>
        <v>0</v>
      </c>
      <c r="AS351" s="44">
        <f t="shared" ca="1" si="259"/>
        <v>0</v>
      </c>
      <c r="AT351" s="44">
        <f t="shared" ca="1" si="259"/>
        <v>0</v>
      </c>
      <c r="AU351" s="44">
        <f t="shared" ca="1" si="259"/>
        <v>0</v>
      </c>
      <c r="AV351" s="44">
        <f t="shared" ca="1" si="259"/>
        <v>0</v>
      </c>
      <c r="AW351" s="44">
        <f t="shared" ca="1" si="259"/>
        <v>0</v>
      </c>
      <c r="AX351" s="44">
        <f t="shared" ca="1" si="259"/>
        <v>0</v>
      </c>
      <c r="AY351" s="44">
        <f ca="1">SUM(AY350)</f>
        <v>0</v>
      </c>
    </row>
    <row r="352" spans="1:51" ht="9" customHeight="1">
      <c r="A352" s="1" t="s">
        <v>142</v>
      </c>
      <c r="C352" s="109"/>
      <c r="E352" s="7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</row>
    <row r="353" spans="1:51" ht="15.75" hidden="1" customHeight="1" outlineLevel="1">
      <c r="A353" s="1" t="s">
        <v>376</v>
      </c>
      <c r="C353" s="109"/>
      <c r="E353" s="9" t="str">
        <f ca="1">_xll.DBRW(Server&amp;"}ElementAttributes_Indicator",A353,"code_English")</f>
        <v>Driver_absenteeism - Driver absenteeism in %</v>
      </c>
      <c r="F353" s="10">
        <f ca="1">_xll.DBRW($C$1,$C$2,$C$3,$C$4,$C$6,$C$5,$C$7,F$1,F$2,$A353)</f>
        <v>0</v>
      </c>
      <c r="G353" s="10">
        <f ca="1">_xll.DBRW($C$1,$C$2,$C$3,$C$4,$C$6,$C$5,$C$7,G$1,G$2,$A353)</f>
        <v>0</v>
      </c>
      <c r="H353" s="10">
        <f ca="1">_xll.DBRW($C$1,$C$2,$C$3,$C$4,$C$6,$C$5,$C$7,H$1,H$2,$A353)</f>
        <v>0</v>
      </c>
      <c r="I353" s="10">
        <f ca="1">_xll.DBRW($C$1,$C$2,$C$3,$C$4,$C$6,$C$5,$C$7,I$1,I$2,$A353)</f>
        <v>0</v>
      </c>
      <c r="J353" s="10">
        <f ca="1">_xll.DBRW($C$1,$C$2,$C$3,$C$4,$C$6,$C$5,$C$7,J$1,J$2,$A353)</f>
        <v>0</v>
      </c>
      <c r="K353" s="10">
        <f ca="1">_xll.DBRW($C$1,$C$2,$C$3,$C$4,$C$6,$C$5,$C$7,K$1,K$2,$A353)</f>
        <v>0</v>
      </c>
      <c r="L353" s="10">
        <f ca="1">_xll.DBRW($C$1,$C$2,$C$3,$C$4,$C$6,$C$5,$C$7,L$1,L$2,$A353)</f>
        <v>0</v>
      </c>
      <c r="M353" s="10">
        <f ca="1">_xll.DBRW($C$1,$C$2,$C$3,$C$4,$C$6,$C$5,$C$7,M$1,M$2,$A353)</f>
        <v>0</v>
      </c>
      <c r="N353" s="10">
        <f ca="1">_xll.DBRW($C$1,$C$2,$C$3,$C$4,$C$6,$C$5,$C$7,N$1,N$2,$A353)</f>
        <v>0</v>
      </c>
      <c r="O353" s="10">
        <f ca="1">_xll.DBRW($C$1,$C$2,$C$3,$C$4,$C$6,$C$5,$C$7,O$1,O$2,$A353)</f>
        <v>0</v>
      </c>
      <c r="P353" s="10">
        <f ca="1">_xll.DBRW($C$1,$C$2,$C$3,$C$4,$C$6,$C$5,$C$7,P$1,P$2,$A353)</f>
        <v>0</v>
      </c>
      <c r="Q353" s="10">
        <f ca="1">_xll.DBRW($C$1,$C$2,$C$3,$C$4,$C$6,$C$5,$C$7,Q$1,Q$2,$A353)</f>
        <v>0</v>
      </c>
      <c r="R353" s="10">
        <f ca="1">_xll.DBRW($C$1,$C$2,$C$3,$C$4,$C$6,$C$5,$C$7,R$1,R$2,$A353)</f>
        <v>0</v>
      </c>
      <c r="S353" s="10">
        <f ca="1">_xll.DBRW($C$1,$C$2,$C$3,$C$4,$C$6,$C$5,$C$7,S$1,S$2,$A353)</f>
        <v>0</v>
      </c>
      <c r="T353" s="10">
        <f ca="1">_xll.DBRW($C$1,$C$2,$C$3,$C$4,$C$6,$C$5,$C$7,T$1,T$2,$A353)</f>
        <v>0</v>
      </c>
      <c r="U353" s="10">
        <f ca="1">_xll.DBRW($C$1,$C$2,$C$3,$C$4,$C$6,$C$5,$C$7,U$1,U$2,$A353)</f>
        <v>0</v>
      </c>
      <c r="V353" s="10">
        <f ca="1">_xll.DBRW($C$1,$C$2,$C$3,$C$4,$C$6,$C$5,$C$7,V$1,V$2,$A353)</f>
        <v>0</v>
      </c>
      <c r="W353" s="10">
        <f ca="1">_xll.DBRW($C$1,$C$2,$C$3,$C$4,$C$6,$C$5,$C$7,W$1,W$2,$A353)</f>
        <v>0</v>
      </c>
      <c r="X353" s="10">
        <f ca="1">_xll.DBRW($C$1,$C$2,$C$3,$C$4,$C$6,$C$5,$C$7,X$1,X$2,$A353)</f>
        <v>0</v>
      </c>
      <c r="Y353" s="10">
        <f ca="1">_xll.DBRW($C$1,$C$2,$C$3,$C$4,$C$6,$C$5,$C$7,Y$1,Y$2,$A353)</f>
        <v>0</v>
      </c>
      <c r="Z353" s="10">
        <f ca="1">_xll.DBRW($C$1,$C$2,$C$3,$C$4,$C$6,$C$5,$C$7,Z$1,Z$2,$A353)</f>
        <v>0</v>
      </c>
      <c r="AA353" s="10">
        <f ca="1">_xll.DBRW($C$1,$C$2,$C$3,$C$4,$C$6,$C$5,$C$7,AA$1,AA$2,$A353)</f>
        <v>0</v>
      </c>
      <c r="AB353" s="10">
        <f ca="1">_xll.DBRW($C$1,$C$2,$C$3,$C$4,$C$6,$C$5,$C$7,AB$1,AB$2,$A353)</f>
        <v>0</v>
      </c>
      <c r="AC353" s="10">
        <f ca="1">_xll.DBRW($C$1,$C$2,$C$3,$C$4,$C$6,$C$5,$C$7,AC$1,AC$2,$A353)</f>
        <v>0</v>
      </c>
      <c r="AD353" s="10">
        <f ca="1">_xll.DBRW($C$1,$C$2,$C$3,$C$4,$C$6,$C$5,$C$7,AD$1,AD$2,$A353)</f>
        <v>0</v>
      </c>
      <c r="AE353" s="10">
        <f ca="1">_xll.DBRW($C$1,$C$2,$C$3,$C$4,$C$6,$C$5,$C$7,AE$1,AE$2,$A353)</f>
        <v>0</v>
      </c>
      <c r="AF353" s="10">
        <f ca="1">_xll.DBRW($C$1,$C$2,$C$3,$C$4,$C$6,$C$5,$C$7,AF$1,AF$2,$A353)</f>
        <v>0</v>
      </c>
      <c r="AG353" s="10">
        <f ca="1">_xll.DBRW($C$1,$C$2,$C$3,$C$4,$C$6,$C$5,$C$7,AG$1,AG$2,$A353)</f>
        <v>0</v>
      </c>
      <c r="AH353" s="10">
        <f ca="1">_xll.DBRW($C$1,$C$2,$C$3,$C$4,$C$6,$C$5,$C$7,AH$1,AH$2,$A353)</f>
        <v>0</v>
      </c>
      <c r="AI353" s="10">
        <f ca="1">_xll.DBRW($C$1,$C$2,$C$3,$C$4,$C$6,$C$5,$C$7,AI$1,AI$2,$A353)</f>
        <v>0</v>
      </c>
      <c r="AJ353" s="10">
        <f ca="1">_xll.DBRW($C$1,$C$2,$C$3,$C$4,$C$6,$C$5,$C$7,AJ$1,AJ$2,$A353)</f>
        <v>0</v>
      </c>
      <c r="AK353" s="10">
        <f ca="1">_xll.DBRW($C$1,$C$2,$C$3,$C$4,$C$6,$C$5,$C$7,AK$1,AK$2,$A353)</f>
        <v>0</v>
      </c>
      <c r="AL353" s="10">
        <f ca="1">_xll.DBRW($C$1,$C$2,$C$3,$C$4,$C$6,$C$5,$C$7,AL$1,AL$2,$A353)</f>
        <v>0</v>
      </c>
      <c r="AM353" s="10">
        <f ca="1">_xll.DBRW($C$1,$C$2,$C$3,$C$4,$C$6,$C$5,$C$7,AM$1,AM$2,$A353)</f>
        <v>0</v>
      </c>
      <c r="AN353" s="10">
        <f ca="1">_xll.DBRW($C$1,$C$2,$C$3,$C$4,$C$6,$C$5,$C$7,AN$1,AN$2,$A353)</f>
        <v>0</v>
      </c>
      <c r="AO353" s="10">
        <f ca="1">_xll.DBRW($C$1,$C$2,$C$3,$C$4,$C$6,$C$5,$C$7,AO$1,AO$2,$A353)</f>
        <v>0</v>
      </c>
      <c r="AP353" s="10">
        <f ca="1">_xll.DBRW($C$1,$C$2,$C$3,$C$4,$C$6,$C$5,$C$7,AP$1,AP$2,$A353)</f>
        <v>0</v>
      </c>
      <c r="AQ353" s="10">
        <f ca="1">_xll.DBRW($C$1,$C$2,$C$3,$C$4,$C$6,$C$5,$C$7,AQ$1,AQ$2,$A353)</f>
        <v>0</v>
      </c>
      <c r="AR353" s="10">
        <f ca="1">_xll.DBRW($C$1,$C$2,$C$3,$C$4,$C$6,$C$5,$C$7,AR$1,AR$2,$A353)</f>
        <v>0</v>
      </c>
      <c r="AS353" s="10">
        <f ca="1">_xll.DBRW($C$1,$C$2,$C$3,$C$4,$C$6,$C$5,$C$7,AS$1,AS$2,$A353)</f>
        <v>0</v>
      </c>
      <c r="AT353" s="10">
        <f ca="1">_xll.DBRW($C$1,$C$2,$C$3,$C$4,$C$6,$C$5,$C$7,AT$1,AT$2,$A353)</f>
        <v>0</v>
      </c>
      <c r="AU353" s="10">
        <f ca="1">_xll.DBRW($C$1,$C$2,$C$3,$C$4,$C$6,$C$5,$C$7,AU$1,AU$2,$A353)</f>
        <v>0</v>
      </c>
      <c r="AV353" s="10">
        <f ca="1">_xll.DBRW($C$1,$C$2,$C$3,$C$4,$C$6,$C$5,$C$7,AV$1,AV$2,$A353)</f>
        <v>0</v>
      </c>
      <c r="AW353" s="10">
        <f ca="1">_xll.DBRW($C$1,$C$2,$C$3,$C$4,$C$6,$C$5,$C$7,AW$1,AW$2,$A353)</f>
        <v>0</v>
      </c>
      <c r="AX353" s="10">
        <f ca="1">_xll.DBRW($C$1,$C$2,$C$3,$C$4,$C$6,$C$5,$C$7,AX$1,AX$2,$A353)</f>
        <v>0</v>
      </c>
      <c r="AY353" s="10">
        <f ca="1">_xll.DBRW($C$1,$C$2,$C$3,$C$4,$C$6,$C$5,$C$7,AY$1,AY$2,$A353)</f>
        <v>0</v>
      </c>
    </row>
    <row r="354" spans="1:51" ht="15.5" collapsed="1">
      <c r="A354" s="1" t="s">
        <v>142</v>
      </c>
      <c r="C354" s="109"/>
      <c r="E354" s="17" t="s">
        <v>104</v>
      </c>
      <c r="F354" s="43">
        <f t="shared" ref="F354:M354" ca="1" si="260">SUM(F353)</f>
        <v>0</v>
      </c>
      <c r="G354" s="43">
        <f t="shared" ca="1" si="260"/>
        <v>0</v>
      </c>
      <c r="H354" s="43">
        <f t="shared" ca="1" si="260"/>
        <v>0</v>
      </c>
      <c r="I354" s="43">
        <f t="shared" ca="1" si="260"/>
        <v>0</v>
      </c>
      <c r="J354" s="43">
        <f t="shared" ca="1" si="260"/>
        <v>0</v>
      </c>
      <c r="K354" s="43">
        <f t="shared" ca="1" si="260"/>
        <v>0</v>
      </c>
      <c r="L354" s="43">
        <f t="shared" ca="1" si="260"/>
        <v>0</v>
      </c>
      <c r="M354" s="43">
        <f t="shared" ca="1" si="260"/>
        <v>0</v>
      </c>
      <c r="N354" s="43">
        <f t="shared" ref="N354:X354" ca="1" si="261">SUM(N353)</f>
        <v>0</v>
      </c>
      <c r="O354" s="43">
        <f t="shared" ca="1" si="261"/>
        <v>0</v>
      </c>
      <c r="P354" s="43">
        <f t="shared" ca="1" si="261"/>
        <v>0</v>
      </c>
      <c r="Q354" s="43">
        <f t="shared" ca="1" si="261"/>
        <v>0</v>
      </c>
      <c r="R354" s="43">
        <f t="shared" ca="1" si="261"/>
        <v>0</v>
      </c>
      <c r="S354" s="43">
        <f t="shared" ca="1" si="261"/>
        <v>0</v>
      </c>
      <c r="T354" s="43">
        <f t="shared" ca="1" si="261"/>
        <v>0</v>
      </c>
      <c r="U354" s="43">
        <f t="shared" ca="1" si="261"/>
        <v>0</v>
      </c>
      <c r="V354" s="43">
        <f t="shared" ca="1" si="261"/>
        <v>0</v>
      </c>
      <c r="W354" s="43">
        <f t="shared" ca="1" si="261"/>
        <v>0</v>
      </c>
      <c r="X354" s="43">
        <f t="shared" ca="1" si="261"/>
        <v>0</v>
      </c>
      <c r="Y354" s="43">
        <f ca="1">SUM(Y353)</f>
        <v>0</v>
      </c>
      <c r="Z354" s="43">
        <f ca="1">SUM(Z353)</f>
        <v>0</v>
      </c>
      <c r="AA354" s="43">
        <f t="shared" ref="AA354:AK354" ca="1" si="262">SUM(AA353)</f>
        <v>0</v>
      </c>
      <c r="AB354" s="43">
        <f t="shared" ca="1" si="262"/>
        <v>0</v>
      </c>
      <c r="AC354" s="43">
        <f t="shared" ca="1" si="262"/>
        <v>0</v>
      </c>
      <c r="AD354" s="43">
        <f t="shared" ca="1" si="262"/>
        <v>0</v>
      </c>
      <c r="AE354" s="43">
        <f t="shared" ca="1" si="262"/>
        <v>0</v>
      </c>
      <c r="AF354" s="43">
        <f t="shared" ca="1" si="262"/>
        <v>0</v>
      </c>
      <c r="AG354" s="43">
        <f t="shared" ca="1" si="262"/>
        <v>0</v>
      </c>
      <c r="AH354" s="43">
        <f t="shared" ca="1" si="262"/>
        <v>0</v>
      </c>
      <c r="AI354" s="43">
        <f t="shared" ca="1" si="262"/>
        <v>0</v>
      </c>
      <c r="AJ354" s="43">
        <f t="shared" ca="1" si="262"/>
        <v>0</v>
      </c>
      <c r="AK354" s="43">
        <f t="shared" ca="1" si="262"/>
        <v>0</v>
      </c>
      <c r="AL354" s="43">
        <f ca="1">SUM(AL353)</f>
        <v>0</v>
      </c>
      <c r="AM354" s="43">
        <f ca="1">SUM(AM353)</f>
        <v>0</v>
      </c>
      <c r="AN354" s="43">
        <f t="shared" ref="AN354:AX354" ca="1" si="263">SUM(AN353)</f>
        <v>0</v>
      </c>
      <c r="AO354" s="43">
        <f t="shared" ca="1" si="263"/>
        <v>0</v>
      </c>
      <c r="AP354" s="43">
        <f t="shared" ca="1" si="263"/>
        <v>0</v>
      </c>
      <c r="AQ354" s="43">
        <f t="shared" ca="1" si="263"/>
        <v>0</v>
      </c>
      <c r="AR354" s="43">
        <f t="shared" ca="1" si="263"/>
        <v>0</v>
      </c>
      <c r="AS354" s="43">
        <f t="shared" ca="1" si="263"/>
        <v>0</v>
      </c>
      <c r="AT354" s="43">
        <f t="shared" ca="1" si="263"/>
        <v>0</v>
      </c>
      <c r="AU354" s="43">
        <f t="shared" ca="1" si="263"/>
        <v>0</v>
      </c>
      <c r="AV354" s="43">
        <f t="shared" ca="1" si="263"/>
        <v>0</v>
      </c>
      <c r="AW354" s="43">
        <f t="shared" ca="1" si="263"/>
        <v>0</v>
      </c>
      <c r="AX354" s="43">
        <f t="shared" ca="1" si="263"/>
        <v>0</v>
      </c>
      <c r="AY354" s="43">
        <f ca="1">SUM(AY353)</f>
        <v>0</v>
      </c>
    </row>
    <row r="355" spans="1:51" ht="15.75" hidden="1" customHeight="1" outlineLevel="1">
      <c r="A355" s="1" t="s">
        <v>377</v>
      </c>
      <c r="C355" s="109"/>
      <c r="E355" s="9" t="str">
        <f ca="1">_xll.DBRW(Server&amp;"}ElementAttributes_Indicator",A355,"code_English")</f>
        <v>Driver_turnover - Driver turnover in %</v>
      </c>
      <c r="F355" s="44">
        <f ca="1">_xll.DBRW($C$1,$C$2,$C$3,$C$4,$C$6,$C$5,$C$7,F$1,F$2,$A355)</f>
        <v>0</v>
      </c>
      <c r="G355" s="44">
        <f ca="1">_xll.DBRW($C$1,$C$2,$C$3,$C$4,$C$6,$C$5,$C$7,G$1,G$2,$A355)</f>
        <v>0</v>
      </c>
      <c r="H355" s="44">
        <f ca="1">_xll.DBRW($C$1,$C$2,$C$3,$C$4,$C$6,$C$5,$C$7,H$1,H$2,$A355)</f>
        <v>0</v>
      </c>
      <c r="I355" s="44">
        <f ca="1">_xll.DBRW($C$1,$C$2,$C$3,$C$4,$C$6,$C$5,$C$7,I$1,I$2,$A355)</f>
        <v>0</v>
      </c>
      <c r="J355" s="44">
        <f ca="1">_xll.DBRW($C$1,$C$2,$C$3,$C$4,$C$6,$C$5,$C$7,J$1,J$2,$A355)</f>
        <v>0</v>
      </c>
      <c r="K355" s="44">
        <f ca="1">_xll.DBRW($C$1,$C$2,$C$3,$C$4,$C$6,$C$5,$C$7,K$1,K$2,$A355)</f>
        <v>0</v>
      </c>
      <c r="L355" s="44">
        <f ca="1">_xll.DBRW($C$1,$C$2,$C$3,$C$4,$C$6,$C$5,$C$7,L$1,L$2,$A355)</f>
        <v>0</v>
      </c>
      <c r="M355" s="44">
        <f ca="1">_xll.DBRW($C$1,$C$2,$C$3,$C$4,$C$6,$C$5,$C$7,M$1,M$2,$A355)</f>
        <v>0</v>
      </c>
      <c r="N355" s="44">
        <f ca="1">_xll.DBRW($C$1,$C$2,$C$3,$C$4,$C$6,$C$5,$C$7,N$1,N$2,$A355)</f>
        <v>0</v>
      </c>
      <c r="O355" s="44">
        <f ca="1">_xll.DBRW($C$1,$C$2,$C$3,$C$4,$C$6,$C$5,$C$7,O$1,O$2,$A355)</f>
        <v>0</v>
      </c>
      <c r="P355" s="44">
        <f ca="1">_xll.DBRW($C$1,$C$2,$C$3,$C$4,$C$6,$C$5,$C$7,P$1,P$2,$A355)</f>
        <v>0</v>
      </c>
      <c r="Q355" s="44">
        <f ca="1">_xll.DBRW($C$1,$C$2,$C$3,$C$4,$C$6,$C$5,$C$7,Q$1,Q$2,$A355)</f>
        <v>0</v>
      </c>
      <c r="R355" s="44">
        <f ca="1">_xll.DBRW($C$1,$C$2,$C$3,$C$4,$C$6,$C$5,$C$7,R$1,R$2,$A355)</f>
        <v>0</v>
      </c>
      <c r="S355" s="44">
        <f ca="1">_xll.DBRW($C$1,$C$2,$C$3,$C$4,$C$6,$C$5,$C$7,S$1,S$2,$A355)</f>
        <v>0</v>
      </c>
      <c r="T355" s="44">
        <f ca="1">_xll.DBRW($C$1,$C$2,$C$3,$C$4,$C$6,$C$5,$C$7,T$1,T$2,$A355)</f>
        <v>0</v>
      </c>
      <c r="U355" s="44">
        <f ca="1">_xll.DBRW($C$1,$C$2,$C$3,$C$4,$C$6,$C$5,$C$7,U$1,U$2,$A355)</f>
        <v>0</v>
      </c>
      <c r="V355" s="44">
        <f ca="1">_xll.DBRW($C$1,$C$2,$C$3,$C$4,$C$6,$C$5,$C$7,V$1,V$2,$A355)</f>
        <v>0</v>
      </c>
      <c r="W355" s="44">
        <f ca="1">_xll.DBRW($C$1,$C$2,$C$3,$C$4,$C$6,$C$5,$C$7,W$1,W$2,$A355)</f>
        <v>0</v>
      </c>
      <c r="X355" s="44">
        <f ca="1">_xll.DBRW($C$1,$C$2,$C$3,$C$4,$C$6,$C$5,$C$7,X$1,X$2,$A355)</f>
        <v>0</v>
      </c>
      <c r="Y355" s="44">
        <f ca="1">_xll.DBRW($C$1,$C$2,$C$3,$C$4,$C$6,$C$5,$C$7,Y$1,Y$2,$A355)</f>
        <v>0</v>
      </c>
      <c r="Z355" s="44">
        <f ca="1">_xll.DBRW($C$1,$C$2,$C$3,$C$4,$C$6,$C$5,$C$7,Z$1,Z$2,$A355)</f>
        <v>0</v>
      </c>
      <c r="AA355" s="44">
        <f ca="1">_xll.DBRW($C$1,$C$2,$C$3,$C$4,$C$6,$C$5,$C$7,AA$1,AA$2,$A355)</f>
        <v>0</v>
      </c>
      <c r="AB355" s="44">
        <f ca="1">_xll.DBRW($C$1,$C$2,$C$3,$C$4,$C$6,$C$5,$C$7,AB$1,AB$2,$A355)</f>
        <v>0</v>
      </c>
      <c r="AC355" s="44">
        <f ca="1">_xll.DBRW($C$1,$C$2,$C$3,$C$4,$C$6,$C$5,$C$7,AC$1,AC$2,$A355)</f>
        <v>0</v>
      </c>
      <c r="AD355" s="44">
        <f ca="1">_xll.DBRW($C$1,$C$2,$C$3,$C$4,$C$6,$C$5,$C$7,AD$1,AD$2,$A355)</f>
        <v>0</v>
      </c>
      <c r="AE355" s="44">
        <f ca="1">_xll.DBRW($C$1,$C$2,$C$3,$C$4,$C$6,$C$5,$C$7,AE$1,AE$2,$A355)</f>
        <v>0</v>
      </c>
      <c r="AF355" s="44">
        <f ca="1">_xll.DBRW($C$1,$C$2,$C$3,$C$4,$C$6,$C$5,$C$7,AF$1,AF$2,$A355)</f>
        <v>0</v>
      </c>
      <c r="AG355" s="44">
        <f ca="1">_xll.DBRW($C$1,$C$2,$C$3,$C$4,$C$6,$C$5,$C$7,AG$1,AG$2,$A355)</f>
        <v>0</v>
      </c>
      <c r="AH355" s="44">
        <f ca="1">_xll.DBRW($C$1,$C$2,$C$3,$C$4,$C$6,$C$5,$C$7,AH$1,AH$2,$A355)</f>
        <v>0</v>
      </c>
      <c r="AI355" s="44">
        <f ca="1">_xll.DBRW($C$1,$C$2,$C$3,$C$4,$C$6,$C$5,$C$7,AI$1,AI$2,$A355)</f>
        <v>0</v>
      </c>
      <c r="AJ355" s="44">
        <f ca="1">_xll.DBRW($C$1,$C$2,$C$3,$C$4,$C$6,$C$5,$C$7,AJ$1,AJ$2,$A355)</f>
        <v>0</v>
      </c>
      <c r="AK355" s="44">
        <f ca="1">_xll.DBRW($C$1,$C$2,$C$3,$C$4,$C$6,$C$5,$C$7,AK$1,AK$2,$A355)</f>
        <v>0</v>
      </c>
      <c r="AL355" s="44">
        <f ca="1">_xll.DBRW($C$1,$C$2,$C$3,$C$4,$C$6,$C$5,$C$7,AL$1,AL$2,$A355)</f>
        <v>0</v>
      </c>
      <c r="AM355" s="44">
        <f ca="1">_xll.DBRW($C$1,$C$2,$C$3,$C$4,$C$6,$C$5,$C$7,AM$1,AM$2,$A355)</f>
        <v>0</v>
      </c>
      <c r="AN355" s="44">
        <f ca="1">_xll.DBRW($C$1,$C$2,$C$3,$C$4,$C$6,$C$5,$C$7,AN$1,AN$2,$A355)</f>
        <v>0</v>
      </c>
      <c r="AO355" s="44">
        <f ca="1">_xll.DBRW($C$1,$C$2,$C$3,$C$4,$C$6,$C$5,$C$7,AO$1,AO$2,$A355)</f>
        <v>0</v>
      </c>
      <c r="AP355" s="44">
        <f ca="1">_xll.DBRW($C$1,$C$2,$C$3,$C$4,$C$6,$C$5,$C$7,AP$1,AP$2,$A355)</f>
        <v>0</v>
      </c>
      <c r="AQ355" s="44">
        <f ca="1">_xll.DBRW($C$1,$C$2,$C$3,$C$4,$C$6,$C$5,$C$7,AQ$1,AQ$2,$A355)</f>
        <v>0</v>
      </c>
      <c r="AR355" s="44">
        <f ca="1">_xll.DBRW($C$1,$C$2,$C$3,$C$4,$C$6,$C$5,$C$7,AR$1,AR$2,$A355)</f>
        <v>0</v>
      </c>
      <c r="AS355" s="44">
        <f ca="1">_xll.DBRW($C$1,$C$2,$C$3,$C$4,$C$6,$C$5,$C$7,AS$1,AS$2,$A355)</f>
        <v>0</v>
      </c>
      <c r="AT355" s="44">
        <f ca="1">_xll.DBRW($C$1,$C$2,$C$3,$C$4,$C$6,$C$5,$C$7,AT$1,AT$2,$A355)</f>
        <v>0</v>
      </c>
      <c r="AU355" s="44">
        <f ca="1">_xll.DBRW($C$1,$C$2,$C$3,$C$4,$C$6,$C$5,$C$7,AU$1,AU$2,$A355)</f>
        <v>0</v>
      </c>
      <c r="AV355" s="44">
        <f ca="1">_xll.DBRW($C$1,$C$2,$C$3,$C$4,$C$6,$C$5,$C$7,AV$1,AV$2,$A355)</f>
        <v>0</v>
      </c>
      <c r="AW355" s="44">
        <f ca="1">_xll.DBRW($C$1,$C$2,$C$3,$C$4,$C$6,$C$5,$C$7,AW$1,AW$2,$A355)</f>
        <v>0</v>
      </c>
      <c r="AX355" s="44">
        <f ca="1">_xll.DBRW($C$1,$C$2,$C$3,$C$4,$C$6,$C$5,$C$7,AX$1,AX$2,$A355)</f>
        <v>0</v>
      </c>
      <c r="AY355" s="44">
        <f ca="1">_xll.DBRW($C$1,$C$2,$C$3,$C$4,$C$6,$C$5,$C$7,AY$1,AY$2,$A355)</f>
        <v>0</v>
      </c>
    </row>
    <row r="356" spans="1:51" ht="15.5" collapsed="1">
      <c r="A356" s="1" t="s">
        <v>142</v>
      </c>
      <c r="C356" s="109"/>
      <c r="E356" s="84" t="s">
        <v>382</v>
      </c>
      <c r="F356" s="45">
        <f t="shared" ref="F356:M356" ca="1" si="264">SUM(F355)</f>
        <v>0</v>
      </c>
      <c r="G356" s="45">
        <f t="shared" ca="1" si="264"/>
        <v>0</v>
      </c>
      <c r="H356" s="45">
        <f t="shared" ca="1" si="264"/>
        <v>0</v>
      </c>
      <c r="I356" s="45">
        <f t="shared" ca="1" si="264"/>
        <v>0</v>
      </c>
      <c r="J356" s="45">
        <f t="shared" ca="1" si="264"/>
        <v>0</v>
      </c>
      <c r="K356" s="45">
        <f t="shared" ca="1" si="264"/>
        <v>0</v>
      </c>
      <c r="L356" s="45">
        <f t="shared" ca="1" si="264"/>
        <v>0</v>
      </c>
      <c r="M356" s="45">
        <f t="shared" ca="1" si="264"/>
        <v>0</v>
      </c>
      <c r="N356" s="45">
        <f t="shared" ref="N356:X356" ca="1" si="265">SUM(N355)</f>
        <v>0</v>
      </c>
      <c r="O356" s="45">
        <f t="shared" ca="1" si="265"/>
        <v>0</v>
      </c>
      <c r="P356" s="45">
        <f t="shared" ca="1" si="265"/>
        <v>0</v>
      </c>
      <c r="Q356" s="45">
        <f t="shared" ca="1" si="265"/>
        <v>0</v>
      </c>
      <c r="R356" s="45">
        <f t="shared" ca="1" si="265"/>
        <v>0</v>
      </c>
      <c r="S356" s="45">
        <f t="shared" ca="1" si="265"/>
        <v>0</v>
      </c>
      <c r="T356" s="45">
        <f t="shared" ca="1" si="265"/>
        <v>0</v>
      </c>
      <c r="U356" s="45">
        <f t="shared" ca="1" si="265"/>
        <v>0</v>
      </c>
      <c r="V356" s="45">
        <f t="shared" ca="1" si="265"/>
        <v>0</v>
      </c>
      <c r="W356" s="45">
        <f t="shared" ca="1" si="265"/>
        <v>0</v>
      </c>
      <c r="X356" s="45">
        <f t="shared" ca="1" si="265"/>
        <v>0</v>
      </c>
      <c r="Y356" s="45">
        <f ca="1">SUM(Y355)</f>
        <v>0</v>
      </c>
      <c r="Z356" s="45">
        <f ca="1">SUM(Z355)</f>
        <v>0</v>
      </c>
      <c r="AA356" s="45">
        <f t="shared" ref="AA356:AK356" ca="1" si="266">SUM(AA355)</f>
        <v>0</v>
      </c>
      <c r="AB356" s="45">
        <f t="shared" ca="1" si="266"/>
        <v>0</v>
      </c>
      <c r="AC356" s="45">
        <f t="shared" ca="1" si="266"/>
        <v>0</v>
      </c>
      <c r="AD356" s="45">
        <f t="shared" ca="1" si="266"/>
        <v>0</v>
      </c>
      <c r="AE356" s="45">
        <f t="shared" ca="1" si="266"/>
        <v>0</v>
      </c>
      <c r="AF356" s="45">
        <f t="shared" ca="1" si="266"/>
        <v>0</v>
      </c>
      <c r="AG356" s="45">
        <f t="shared" ca="1" si="266"/>
        <v>0</v>
      </c>
      <c r="AH356" s="45">
        <f t="shared" ca="1" si="266"/>
        <v>0</v>
      </c>
      <c r="AI356" s="45">
        <f t="shared" ca="1" si="266"/>
        <v>0</v>
      </c>
      <c r="AJ356" s="45">
        <f t="shared" ca="1" si="266"/>
        <v>0</v>
      </c>
      <c r="AK356" s="45">
        <f t="shared" ca="1" si="266"/>
        <v>0</v>
      </c>
      <c r="AL356" s="45">
        <f ca="1">SUM(AL355)</f>
        <v>0</v>
      </c>
      <c r="AM356" s="45">
        <f ca="1">SUM(AM355)</f>
        <v>0</v>
      </c>
      <c r="AN356" s="45">
        <f t="shared" ref="AN356:AX356" ca="1" si="267">SUM(AN355)</f>
        <v>0</v>
      </c>
      <c r="AO356" s="45">
        <f t="shared" ca="1" si="267"/>
        <v>0</v>
      </c>
      <c r="AP356" s="45">
        <f t="shared" ca="1" si="267"/>
        <v>0</v>
      </c>
      <c r="AQ356" s="45">
        <f t="shared" ca="1" si="267"/>
        <v>0</v>
      </c>
      <c r="AR356" s="45">
        <f t="shared" ca="1" si="267"/>
        <v>0</v>
      </c>
      <c r="AS356" s="45">
        <f t="shared" ca="1" si="267"/>
        <v>0</v>
      </c>
      <c r="AT356" s="45">
        <f t="shared" ca="1" si="267"/>
        <v>0</v>
      </c>
      <c r="AU356" s="45">
        <f t="shared" ca="1" si="267"/>
        <v>0</v>
      </c>
      <c r="AV356" s="45">
        <f t="shared" ca="1" si="267"/>
        <v>0</v>
      </c>
      <c r="AW356" s="45">
        <f t="shared" ca="1" si="267"/>
        <v>0</v>
      </c>
      <c r="AX356" s="45">
        <f t="shared" ca="1" si="267"/>
        <v>0</v>
      </c>
      <c r="AY356" s="45">
        <f ca="1">SUM(AY355)</f>
        <v>0</v>
      </c>
    </row>
    <row r="357" spans="1:51" ht="15.75" hidden="1" customHeight="1" outlineLevel="1">
      <c r="A357" s="1" t="s">
        <v>378</v>
      </c>
      <c r="C357" s="109"/>
      <c r="E357" s="9" t="str">
        <f ca="1">_xll.DBRW(Server&amp;"}ElementAttributes_Indicator",A357,"code_English")</f>
        <v>Nb_Driver_open_positions - Driver open positions</v>
      </c>
      <c r="F357" s="44">
        <f ca="1">_xll.DBRW($C$1,$C$2,$C$3,$C$4,$C$6,$C$5,$C$7,F$1,F$2,$A357)</f>
        <v>0</v>
      </c>
      <c r="G357" s="44">
        <f ca="1">_xll.DBRW($C$1,$C$2,$C$3,$C$4,$C$6,$C$5,$C$7,G$1,G$2,$A357)</f>
        <v>0</v>
      </c>
      <c r="H357" s="44">
        <f ca="1">_xll.DBRW($C$1,$C$2,$C$3,$C$4,$C$6,$C$5,$C$7,H$1,H$2,$A357)</f>
        <v>0</v>
      </c>
      <c r="I357" s="44">
        <f ca="1">_xll.DBRW($C$1,$C$2,$C$3,$C$4,$C$6,$C$5,$C$7,I$1,I$2,$A357)</f>
        <v>0</v>
      </c>
      <c r="J357" s="44">
        <f ca="1">_xll.DBRW($C$1,$C$2,$C$3,$C$4,$C$6,$C$5,$C$7,J$1,J$2,$A357)</f>
        <v>0</v>
      </c>
      <c r="K357" s="44">
        <f ca="1">_xll.DBRW($C$1,$C$2,$C$3,$C$4,$C$6,$C$5,$C$7,K$1,K$2,$A357)</f>
        <v>0</v>
      </c>
      <c r="L357" s="44">
        <f ca="1">_xll.DBRW($C$1,$C$2,$C$3,$C$4,$C$6,$C$5,$C$7,L$1,L$2,$A357)</f>
        <v>0</v>
      </c>
      <c r="M357" s="44">
        <f ca="1">_xll.DBRW($C$1,$C$2,$C$3,$C$4,$C$6,$C$5,$C$7,M$1,M$2,$A357)</f>
        <v>0</v>
      </c>
      <c r="N357" s="44">
        <f ca="1">_xll.DBRW($C$1,$C$2,$C$3,$C$4,$C$6,$C$5,$C$7,N$1,N$2,$A357)</f>
        <v>0</v>
      </c>
      <c r="O357" s="44">
        <f ca="1">_xll.DBRW($C$1,$C$2,$C$3,$C$4,$C$6,$C$5,$C$7,O$1,O$2,$A357)</f>
        <v>0</v>
      </c>
      <c r="P357" s="44">
        <f ca="1">_xll.DBRW($C$1,$C$2,$C$3,$C$4,$C$6,$C$5,$C$7,P$1,P$2,$A357)</f>
        <v>0</v>
      </c>
      <c r="Q357" s="44">
        <f ca="1">_xll.DBRW($C$1,$C$2,$C$3,$C$4,$C$6,$C$5,$C$7,Q$1,Q$2,$A357)</f>
        <v>0</v>
      </c>
      <c r="R357" s="44">
        <f ca="1">_xll.DBRW($C$1,$C$2,$C$3,$C$4,$C$6,$C$5,$C$7,R$1,R$2,$A357)</f>
        <v>0</v>
      </c>
      <c r="S357" s="44">
        <f ca="1">_xll.DBRW($C$1,$C$2,$C$3,$C$4,$C$6,$C$5,$C$7,S$1,S$2,$A357)</f>
        <v>0</v>
      </c>
      <c r="T357" s="44">
        <f ca="1">_xll.DBRW($C$1,$C$2,$C$3,$C$4,$C$6,$C$5,$C$7,T$1,T$2,$A357)</f>
        <v>0</v>
      </c>
      <c r="U357" s="44">
        <f ca="1">_xll.DBRW($C$1,$C$2,$C$3,$C$4,$C$6,$C$5,$C$7,U$1,U$2,$A357)</f>
        <v>0</v>
      </c>
      <c r="V357" s="44">
        <f ca="1">_xll.DBRW($C$1,$C$2,$C$3,$C$4,$C$6,$C$5,$C$7,V$1,V$2,$A357)</f>
        <v>0</v>
      </c>
      <c r="W357" s="44">
        <f ca="1">_xll.DBRW($C$1,$C$2,$C$3,$C$4,$C$6,$C$5,$C$7,W$1,W$2,$A357)</f>
        <v>0</v>
      </c>
      <c r="X357" s="44">
        <f ca="1">_xll.DBRW($C$1,$C$2,$C$3,$C$4,$C$6,$C$5,$C$7,X$1,X$2,$A357)</f>
        <v>0</v>
      </c>
      <c r="Y357" s="44">
        <f ca="1">_xll.DBRW($C$1,$C$2,$C$3,$C$4,$C$6,$C$5,$C$7,Y$1,Y$2,$A357)</f>
        <v>0</v>
      </c>
      <c r="Z357" s="44">
        <f ca="1">_xll.DBRW($C$1,$C$2,$C$3,$C$4,$C$6,$C$5,$C$7,Z$1,Z$2,$A357)</f>
        <v>0</v>
      </c>
      <c r="AA357" s="44">
        <f ca="1">_xll.DBRW($C$1,$C$2,$C$3,$C$4,$C$6,$C$5,$C$7,AA$1,AA$2,$A357)</f>
        <v>0</v>
      </c>
      <c r="AB357" s="44">
        <f ca="1">_xll.DBRW($C$1,$C$2,$C$3,$C$4,$C$6,$C$5,$C$7,AB$1,AB$2,$A357)</f>
        <v>0</v>
      </c>
      <c r="AC357" s="44">
        <f ca="1">_xll.DBRW($C$1,$C$2,$C$3,$C$4,$C$6,$C$5,$C$7,AC$1,AC$2,$A357)</f>
        <v>0</v>
      </c>
      <c r="AD357" s="44">
        <f ca="1">_xll.DBRW($C$1,$C$2,$C$3,$C$4,$C$6,$C$5,$C$7,AD$1,AD$2,$A357)</f>
        <v>0</v>
      </c>
      <c r="AE357" s="44">
        <f ca="1">_xll.DBRW($C$1,$C$2,$C$3,$C$4,$C$6,$C$5,$C$7,AE$1,AE$2,$A357)</f>
        <v>0</v>
      </c>
      <c r="AF357" s="44">
        <f ca="1">_xll.DBRW($C$1,$C$2,$C$3,$C$4,$C$6,$C$5,$C$7,AF$1,AF$2,$A357)</f>
        <v>0</v>
      </c>
      <c r="AG357" s="44">
        <f ca="1">_xll.DBRW($C$1,$C$2,$C$3,$C$4,$C$6,$C$5,$C$7,AG$1,AG$2,$A357)</f>
        <v>0</v>
      </c>
      <c r="AH357" s="44">
        <f ca="1">_xll.DBRW($C$1,$C$2,$C$3,$C$4,$C$6,$C$5,$C$7,AH$1,AH$2,$A357)</f>
        <v>0</v>
      </c>
      <c r="AI357" s="44">
        <f ca="1">_xll.DBRW($C$1,$C$2,$C$3,$C$4,$C$6,$C$5,$C$7,AI$1,AI$2,$A357)</f>
        <v>0</v>
      </c>
      <c r="AJ357" s="44">
        <f ca="1">_xll.DBRW($C$1,$C$2,$C$3,$C$4,$C$6,$C$5,$C$7,AJ$1,AJ$2,$A357)</f>
        <v>0</v>
      </c>
      <c r="AK357" s="44">
        <f ca="1">_xll.DBRW($C$1,$C$2,$C$3,$C$4,$C$6,$C$5,$C$7,AK$1,AK$2,$A357)</f>
        <v>0</v>
      </c>
      <c r="AL357" s="44">
        <f ca="1">_xll.DBRW($C$1,$C$2,$C$3,$C$4,$C$6,$C$5,$C$7,AL$1,AL$2,$A357)</f>
        <v>0</v>
      </c>
      <c r="AM357" s="44">
        <f ca="1">_xll.DBRW($C$1,$C$2,$C$3,$C$4,$C$6,$C$5,$C$7,AM$1,AM$2,$A357)</f>
        <v>0</v>
      </c>
      <c r="AN357" s="44">
        <f ca="1">_xll.DBRW($C$1,$C$2,$C$3,$C$4,$C$6,$C$5,$C$7,AN$1,AN$2,$A357)</f>
        <v>0</v>
      </c>
      <c r="AO357" s="44">
        <f ca="1">_xll.DBRW($C$1,$C$2,$C$3,$C$4,$C$6,$C$5,$C$7,AO$1,AO$2,$A357)</f>
        <v>0</v>
      </c>
      <c r="AP357" s="44">
        <f ca="1">_xll.DBRW($C$1,$C$2,$C$3,$C$4,$C$6,$C$5,$C$7,AP$1,AP$2,$A357)</f>
        <v>0</v>
      </c>
      <c r="AQ357" s="44">
        <f ca="1">_xll.DBRW($C$1,$C$2,$C$3,$C$4,$C$6,$C$5,$C$7,AQ$1,AQ$2,$A357)</f>
        <v>0</v>
      </c>
      <c r="AR357" s="44">
        <f ca="1">_xll.DBRW($C$1,$C$2,$C$3,$C$4,$C$6,$C$5,$C$7,AR$1,AR$2,$A357)</f>
        <v>0</v>
      </c>
      <c r="AS357" s="44">
        <f ca="1">_xll.DBRW($C$1,$C$2,$C$3,$C$4,$C$6,$C$5,$C$7,AS$1,AS$2,$A357)</f>
        <v>0</v>
      </c>
      <c r="AT357" s="44">
        <f ca="1">_xll.DBRW($C$1,$C$2,$C$3,$C$4,$C$6,$C$5,$C$7,AT$1,AT$2,$A357)</f>
        <v>0</v>
      </c>
      <c r="AU357" s="44">
        <f ca="1">_xll.DBRW($C$1,$C$2,$C$3,$C$4,$C$6,$C$5,$C$7,AU$1,AU$2,$A357)</f>
        <v>0</v>
      </c>
      <c r="AV357" s="44">
        <f ca="1">_xll.DBRW($C$1,$C$2,$C$3,$C$4,$C$6,$C$5,$C$7,AV$1,AV$2,$A357)</f>
        <v>0</v>
      </c>
      <c r="AW357" s="44">
        <f ca="1">_xll.DBRW($C$1,$C$2,$C$3,$C$4,$C$6,$C$5,$C$7,AW$1,AW$2,$A357)</f>
        <v>0</v>
      </c>
      <c r="AX357" s="44">
        <f ca="1">_xll.DBRW($C$1,$C$2,$C$3,$C$4,$C$6,$C$5,$C$7,AX$1,AX$2,$A357)</f>
        <v>0</v>
      </c>
      <c r="AY357" s="44">
        <f ca="1">_xll.DBRW($C$1,$C$2,$C$3,$C$4,$C$6,$C$5,$C$7,AY$1,AY$2,$A357)</f>
        <v>0</v>
      </c>
    </row>
    <row r="358" spans="1:51" ht="15.5" collapsed="1">
      <c r="C358" s="109"/>
      <c r="E358" s="87" t="s">
        <v>105</v>
      </c>
      <c r="F358" s="46">
        <f t="shared" ref="F358:M358" ca="1" si="268">SUM(F357)</f>
        <v>0</v>
      </c>
      <c r="G358" s="46">
        <f t="shared" ca="1" si="268"/>
        <v>0</v>
      </c>
      <c r="H358" s="46">
        <f t="shared" ca="1" si="268"/>
        <v>0</v>
      </c>
      <c r="I358" s="46">
        <f t="shared" ca="1" si="268"/>
        <v>0</v>
      </c>
      <c r="J358" s="46">
        <f t="shared" ca="1" si="268"/>
        <v>0</v>
      </c>
      <c r="K358" s="46">
        <f t="shared" ca="1" si="268"/>
        <v>0</v>
      </c>
      <c r="L358" s="46">
        <f t="shared" ca="1" si="268"/>
        <v>0</v>
      </c>
      <c r="M358" s="46">
        <f t="shared" ca="1" si="268"/>
        <v>0</v>
      </c>
      <c r="N358" s="46">
        <f t="shared" ref="N358:X358" ca="1" si="269">SUM(N357)</f>
        <v>0</v>
      </c>
      <c r="O358" s="46">
        <f t="shared" ca="1" si="269"/>
        <v>0</v>
      </c>
      <c r="P358" s="46">
        <f t="shared" ca="1" si="269"/>
        <v>0</v>
      </c>
      <c r="Q358" s="46">
        <f t="shared" ca="1" si="269"/>
        <v>0</v>
      </c>
      <c r="R358" s="46">
        <f t="shared" ca="1" si="269"/>
        <v>0</v>
      </c>
      <c r="S358" s="46">
        <f t="shared" ca="1" si="269"/>
        <v>0</v>
      </c>
      <c r="T358" s="46">
        <f t="shared" ca="1" si="269"/>
        <v>0</v>
      </c>
      <c r="U358" s="46">
        <f t="shared" ca="1" si="269"/>
        <v>0</v>
      </c>
      <c r="V358" s="46">
        <f t="shared" ca="1" si="269"/>
        <v>0</v>
      </c>
      <c r="W358" s="46">
        <f t="shared" ca="1" si="269"/>
        <v>0</v>
      </c>
      <c r="X358" s="46">
        <f t="shared" ca="1" si="269"/>
        <v>0</v>
      </c>
      <c r="Y358" s="46">
        <f ca="1">SUM(Y357)</f>
        <v>0</v>
      </c>
      <c r="Z358" s="46">
        <f ca="1">SUM(Z357)</f>
        <v>0</v>
      </c>
      <c r="AA358" s="46">
        <f t="shared" ref="AA358:AK358" ca="1" si="270">SUM(AA357)</f>
        <v>0</v>
      </c>
      <c r="AB358" s="46">
        <f t="shared" ca="1" si="270"/>
        <v>0</v>
      </c>
      <c r="AC358" s="46">
        <f t="shared" ca="1" si="270"/>
        <v>0</v>
      </c>
      <c r="AD358" s="46">
        <f t="shared" ca="1" si="270"/>
        <v>0</v>
      </c>
      <c r="AE358" s="46">
        <f t="shared" ca="1" si="270"/>
        <v>0</v>
      </c>
      <c r="AF358" s="46">
        <f t="shared" ca="1" si="270"/>
        <v>0</v>
      </c>
      <c r="AG358" s="46">
        <f t="shared" ca="1" si="270"/>
        <v>0</v>
      </c>
      <c r="AH358" s="46">
        <f t="shared" ca="1" si="270"/>
        <v>0</v>
      </c>
      <c r="AI358" s="46">
        <f t="shared" ca="1" si="270"/>
        <v>0</v>
      </c>
      <c r="AJ358" s="46">
        <f t="shared" ca="1" si="270"/>
        <v>0</v>
      </c>
      <c r="AK358" s="46">
        <f t="shared" ca="1" si="270"/>
        <v>0</v>
      </c>
      <c r="AL358" s="46">
        <f ca="1">SUM(AL357)</f>
        <v>0</v>
      </c>
      <c r="AM358" s="46">
        <f ca="1">SUM(AM357)</f>
        <v>0</v>
      </c>
      <c r="AN358" s="46">
        <f t="shared" ref="AN358:AX358" ca="1" si="271">SUM(AN357)</f>
        <v>0</v>
      </c>
      <c r="AO358" s="46">
        <f t="shared" ca="1" si="271"/>
        <v>0</v>
      </c>
      <c r="AP358" s="46">
        <f t="shared" ca="1" si="271"/>
        <v>0</v>
      </c>
      <c r="AQ358" s="46">
        <f t="shared" ca="1" si="271"/>
        <v>0</v>
      </c>
      <c r="AR358" s="46">
        <f t="shared" ca="1" si="271"/>
        <v>0</v>
      </c>
      <c r="AS358" s="46">
        <f t="shared" ca="1" si="271"/>
        <v>0</v>
      </c>
      <c r="AT358" s="46">
        <f t="shared" ca="1" si="271"/>
        <v>0</v>
      </c>
      <c r="AU358" s="46">
        <f t="shared" ca="1" si="271"/>
        <v>0</v>
      </c>
      <c r="AV358" s="46">
        <f t="shared" ca="1" si="271"/>
        <v>0</v>
      </c>
      <c r="AW358" s="46">
        <f t="shared" ca="1" si="271"/>
        <v>0</v>
      </c>
      <c r="AX358" s="46">
        <f t="shared" ca="1" si="271"/>
        <v>0</v>
      </c>
      <c r="AY358" s="46">
        <f ca="1">SUM(AY357)</f>
        <v>0</v>
      </c>
    </row>
    <row r="359" spans="1:51" ht="15.5">
      <c r="A359" s="1" t="s">
        <v>142</v>
      </c>
      <c r="C359" s="26"/>
      <c r="E359" s="51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</row>
    <row r="360" spans="1:51">
      <c r="A360" s="1" t="s">
        <v>142</v>
      </c>
      <c r="C360" s="54"/>
    </row>
    <row r="361" spans="1:51" ht="15.75" customHeight="1">
      <c r="A361" s="1" t="s">
        <v>142</v>
      </c>
      <c r="C361" s="109" t="s">
        <v>106</v>
      </c>
      <c r="E361" s="17" t="s">
        <v>107</v>
      </c>
      <c r="F361" s="78" t="str">
        <f t="shared" ref="F361:AY361" ca="1" si="272">IFERROR((F45/(F45+F84+F102+F118+F190)),"-")</f>
        <v>-</v>
      </c>
      <c r="G361" s="78" t="str">
        <f t="shared" ca="1" si="272"/>
        <v>-</v>
      </c>
      <c r="H361" s="78" t="str">
        <f t="shared" ca="1" si="272"/>
        <v>-</v>
      </c>
      <c r="I361" s="78" t="str">
        <f t="shared" ca="1" si="272"/>
        <v>-</v>
      </c>
      <c r="J361" s="78" t="str">
        <f t="shared" ca="1" si="272"/>
        <v>-</v>
      </c>
      <c r="K361" s="78" t="str">
        <f t="shared" ca="1" si="272"/>
        <v>-</v>
      </c>
      <c r="L361" s="78" t="str">
        <f t="shared" ca="1" si="272"/>
        <v>-</v>
      </c>
      <c r="M361" s="78" t="str">
        <f t="shared" ca="1" si="272"/>
        <v>-</v>
      </c>
      <c r="N361" s="78" t="str">
        <f t="shared" ca="1" si="272"/>
        <v>-</v>
      </c>
      <c r="O361" s="78" t="str">
        <f t="shared" ca="1" si="272"/>
        <v>-</v>
      </c>
      <c r="P361" s="78" t="str">
        <f t="shared" ca="1" si="272"/>
        <v>-</v>
      </c>
      <c r="Q361" s="78" t="str">
        <f t="shared" ca="1" si="272"/>
        <v>-</v>
      </c>
      <c r="R361" s="78" t="str">
        <f t="shared" ca="1" si="272"/>
        <v>-</v>
      </c>
      <c r="S361" s="78" t="str">
        <f t="shared" ca="1" si="272"/>
        <v>-</v>
      </c>
      <c r="T361" s="78" t="str">
        <f t="shared" ca="1" si="272"/>
        <v>-</v>
      </c>
      <c r="U361" s="78" t="str">
        <f t="shared" ca="1" si="272"/>
        <v>-</v>
      </c>
      <c r="V361" s="78" t="str">
        <f t="shared" ca="1" si="272"/>
        <v>-</v>
      </c>
      <c r="W361" s="78" t="str">
        <f t="shared" ca="1" si="272"/>
        <v>-</v>
      </c>
      <c r="X361" s="78" t="str">
        <f t="shared" ca="1" si="272"/>
        <v>-</v>
      </c>
      <c r="Y361" s="78" t="str">
        <f t="shared" ca="1" si="272"/>
        <v>-</v>
      </c>
      <c r="Z361" s="78" t="str">
        <f t="shared" ca="1" si="272"/>
        <v>-</v>
      </c>
      <c r="AA361" s="78" t="str">
        <f t="shared" ca="1" si="272"/>
        <v>-</v>
      </c>
      <c r="AB361" s="78" t="str">
        <f t="shared" ca="1" si="272"/>
        <v>-</v>
      </c>
      <c r="AC361" s="78" t="str">
        <f t="shared" ca="1" si="272"/>
        <v>-</v>
      </c>
      <c r="AD361" s="78" t="str">
        <f t="shared" ca="1" si="272"/>
        <v>-</v>
      </c>
      <c r="AE361" s="78" t="str">
        <f t="shared" ca="1" si="272"/>
        <v>-</v>
      </c>
      <c r="AF361" s="78" t="str">
        <f t="shared" ca="1" si="272"/>
        <v>-</v>
      </c>
      <c r="AG361" s="78" t="str">
        <f t="shared" ca="1" si="272"/>
        <v>-</v>
      </c>
      <c r="AH361" s="78" t="str">
        <f t="shared" ca="1" si="272"/>
        <v>-</v>
      </c>
      <c r="AI361" s="78" t="str">
        <f t="shared" ca="1" si="272"/>
        <v>-</v>
      </c>
      <c r="AJ361" s="78" t="str">
        <f t="shared" ca="1" si="272"/>
        <v>-</v>
      </c>
      <c r="AK361" s="78" t="str">
        <f t="shared" ca="1" si="272"/>
        <v>-</v>
      </c>
      <c r="AL361" s="78" t="str">
        <f t="shared" ca="1" si="272"/>
        <v>-</v>
      </c>
      <c r="AM361" s="78" t="str">
        <f t="shared" ca="1" si="272"/>
        <v>-</v>
      </c>
      <c r="AN361" s="78" t="str">
        <f t="shared" ca="1" si="272"/>
        <v>-</v>
      </c>
      <c r="AO361" s="78" t="str">
        <f t="shared" ca="1" si="272"/>
        <v>-</v>
      </c>
      <c r="AP361" s="78" t="str">
        <f t="shared" ca="1" si="272"/>
        <v>-</v>
      </c>
      <c r="AQ361" s="78" t="str">
        <f t="shared" ca="1" si="272"/>
        <v>-</v>
      </c>
      <c r="AR361" s="78" t="str">
        <f t="shared" ca="1" si="272"/>
        <v>-</v>
      </c>
      <c r="AS361" s="78" t="str">
        <f t="shared" ca="1" si="272"/>
        <v>-</v>
      </c>
      <c r="AT361" s="78" t="str">
        <f t="shared" ca="1" si="272"/>
        <v>-</v>
      </c>
      <c r="AU361" s="78" t="str">
        <f t="shared" ca="1" si="272"/>
        <v>-</v>
      </c>
      <c r="AV361" s="78" t="str">
        <f t="shared" ca="1" si="272"/>
        <v>-</v>
      </c>
      <c r="AW361" s="78" t="str">
        <f t="shared" ca="1" si="272"/>
        <v>-</v>
      </c>
      <c r="AX361" s="78" t="str">
        <f t="shared" ca="1" si="272"/>
        <v>-</v>
      </c>
      <c r="AY361" s="78" t="str">
        <f t="shared" ca="1" si="272"/>
        <v>-</v>
      </c>
    </row>
    <row r="362" spans="1:51" ht="15.5">
      <c r="A362" s="1" t="s">
        <v>142</v>
      </c>
      <c r="C362" s="109"/>
      <c r="E362" s="15" t="s">
        <v>108</v>
      </c>
      <c r="F362" s="79" t="str">
        <f t="shared" ref="F362:AY362" ca="1" si="273">IFERROR((F84/(F45+F84+F102+F118+F190)),"-")</f>
        <v>-</v>
      </c>
      <c r="G362" s="79" t="str">
        <f t="shared" ca="1" si="273"/>
        <v>-</v>
      </c>
      <c r="H362" s="79" t="str">
        <f t="shared" ca="1" si="273"/>
        <v>-</v>
      </c>
      <c r="I362" s="79" t="str">
        <f t="shared" ca="1" si="273"/>
        <v>-</v>
      </c>
      <c r="J362" s="79" t="str">
        <f t="shared" ca="1" si="273"/>
        <v>-</v>
      </c>
      <c r="K362" s="79" t="str">
        <f t="shared" ca="1" si="273"/>
        <v>-</v>
      </c>
      <c r="L362" s="79" t="str">
        <f t="shared" ca="1" si="273"/>
        <v>-</v>
      </c>
      <c r="M362" s="79" t="str">
        <f t="shared" ca="1" si="273"/>
        <v>-</v>
      </c>
      <c r="N362" s="79" t="str">
        <f t="shared" ca="1" si="273"/>
        <v>-</v>
      </c>
      <c r="O362" s="79" t="str">
        <f t="shared" ca="1" si="273"/>
        <v>-</v>
      </c>
      <c r="P362" s="79" t="str">
        <f t="shared" ca="1" si="273"/>
        <v>-</v>
      </c>
      <c r="Q362" s="79" t="str">
        <f t="shared" ca="1" si="273"/>
        <v>-</v>
      </c>
      <c r="R362" s="79" t="str">
        <f t="shared" ca="1" si="273"/>
        <v>-</v>
      </c>
      <c r="S362" s="79" t="str">
        <f t="shared" ca="1" si="273"/>
        <v>-</v>
      </c>
      <c r="T362" s="79" t="str">
        <f t="shared" ca="1" si="273"/>
        <v>-</v>
      </c>
      <c r="U362" s="79" t="str">
        <f t="shared" ca="1" si="273"/>
        <v>-</v>
      </c>
      <c r="V362" s="79" t="str">
        <f t="shared" ca="1" si="273"/>
        <v>-</v>
      </c>
      <c r="W362" s="79" t="str">
        <f t="shared" ca="1" si="273"/>
        <v>-</v>
      </c>
      <c r="X362" s="79" t="str">
        <f t="shared" ca="1" si="273"/>
        <v>-</v>
      </c>
      <c r="Y362" s="79" t="str">
        <f t="shared" ca="1" si="273"/>
        <v>-</v>
      </c>
      <c r="Z362" s="79" t="str">
        <f t="shared" ca="1" si="273"/>
        <v>-</v>
      </c>
      <c r="AA362" s="79" t="str">
        <f t="shared" ca="1" si="273"/>
        <v>-</v>
      </c>
      <c r="AB362" s="79" t="str">
        <f t="shared" ca="1" si="273"/>
        <v>-</v>
      </c>
      <c r="AC362" s="79" t="str">
        <f t="shared" ca="1" si="273"/>
        <v>-</v>
      </c>
      <c r="AD362" s="79" t="str">
        <f t="shared" ca="1" si="273"/>
        <v>-</v>
      </c>
      <c r="AE362" s="79" t="str">
        <f t="shared" ca="1" si="273"/>
        <v>-</v>
      </c>
      <c r="AF362" s="79" t="str">
        <f t="shared" ca="1" si="273"/>
        <v>-</v>
      </c>
      <c r="AG362" s="79" t="str">
        <f t="shared" ca="1" si="273"/>
        <v>-</v>
      </c>
      <c r="AH362" s="79" t="str">
        <f t="shared" ca="1" si="273"/>
        <v>-</v>
      </c>
      <c r="AI362" s="79" t="str">
        <f t="shared" ca="1" si="273"/>
        <v>-</v>
      </c>
      <c r="AJ362" s="79" t="str">
        <f t="shared" ca="1" si="273"/>
        <v>-</v>
      </c>
      <c r="AK362" s="79" t="str">
        <f t="shared" ca="1" si="273"/>
        <v>-</v>
      </c>
      <c r="AL362" s="79" t="str">
        <f t="shared" ca="1" si="273"/>
        <v>-</v>
      </c>
      <c r="AM362" s="79" t="str">
        <f t="shared" ca="1" si="273"/>
        <v>-</v>
      </c>
      <c r="AN362" s="79" t="str">
        <f t="shared" ca="1" si="273"/>
        <v>-</v>
      </c>
      <c r="AO362" s="79" t="str">
        <f t="shared" ca="1" si="273"/>
        <v>-</v>
      </c>
      <c r="AP362" s="79" t="str">
        <f t="shared" ca="1" si="273"/>
        <v>-</v>
      </c>
      <c r="AQ362" s="79" t="str">
        <f t="shared" ca="1" si="273"/>
        <v>-</v>
      </c>
      <c r="AR362" s="79" t="str">
        <f t="shared" ca="1" si="273"/>
        <v>-</v>
      </c>
      <c r="AS362" s="79" t="str">
        <f t="shared" ca="1" si="273"/>
        <v>-</v>
      </c>
      <c r="AT362" s="79" t="str">
        <f t="shared" ca="1" si="273"/>
        <v>-</v>
      </c>
      <c r="AU362" s="79" t="str">
        <f t="shared" ca="1" si="273"/>
        <v>-</v>
      </c>
      <c r="AV362" s="79" t="str">
        <f t="shared" ca="1" si="273"/>
        <v>-</v>
      </c>
      <c r="AW362" s="79" t="str">
        <f t="shared" ca="1" si="273"/>
        <v>-</v>
      </c>
      <c r="AX362" s="79" t="str">
        <f t="shared" ca="1" si="273"/>
        <v>-</v>
      </c>
      <c r="AY362" s="79" t="str">
        <f t="shared" ca="1" si="273"/>
        <v>-</v>
      </c>
    </row>
    <row r="363" spans="1:51" ht="15.5">
      <c r="A363" s="1" t="s">
        <v>142</v>
      </c>
      <c r="C363" s="109"/>
      <c r="E363" s="15" t="s">
        <v>109</v>
      </c>
      <c r="F363" s="79" t="str">
        <f t="shared" ref="F363:AY363" ca="1" si="274">IFERROR((F102/(F45+F84+F102+F118+F190)),"-")</f>
        <v>-</v>
      </c>
      <c r="G363" s="79" t="str">
        <f t="shared" ca="1" si="274"/>
        <v>-</v>
      </c>
      <c r="H363" s="79" t="str">
        <f t="shared" ca="1" si="274"/>
        <v>-</v>
      </c>
      <c r="I363" s="79" t="str">
        <f t="shared" ca="1" si="274"/>
        <v>-</v>
      </c>
      <c r="J363" s="79" t="str">
        <f t="shared" ca="1" si="274"/>
        <v>-</v>
      </c>
      <c r="K363" s="79" t="str">
        <f t="shared" ca="1" si="274"/>
        <v>-</v>
      </c>
      <c r="L363" s="79" t="str">
        <f t="shared" ca="1" si="274"/>
        <v>-</v>
      </c>
      <c r="M363" s="79" t="str">
        <f t="shared" ca="1" si="274"/>
        <v>-</v>
      </c>
      <c r="N363" s="79" t="str">
        <f t="shared" ca="1" si="274"/>
        <v>-</v>
      </c>
      <c r="O363" s="79" t="str">
        <f t="shared" ca="1" si="274"/>
        <v>-</v>
      </c>
      <c r="P363" s="79" t="str">
        <f t="shared" ca="1" si="274"/>
        <v>-</v>
      </c>
      <c r="Q363" s="79" t="str">
        <f t="shared" ca="1" si="274"/>
        <v>-</v>
      </c>
      <c r="R363" s="79" t="str">
        <f t="shared" ca="1" si="274"/>
        <v>-</v>
      </c>
      <c r="S363" s="79" t="str">
        <f t="shared" ca="1" si="274"/>
        <v>-</v>
      </c>
      <c r="T363" s="79" t="str">
        <f t="shared" ca="1" si="274"/>
        <v>-</v>
      </c>
      <c r="U363" s="79" t="str">
        <f t="shared" ca="1" si="274"/>
        <v>-</v>
      </c>
      <c r="V363" s="79" t="str">
        <f t="shared" ca="1" si="274"/>
        <v>-</v>
      </c>
      <c r="W363" s="79" t="str">
        <f t="shared" ca="1" si="274"/>
        <v>-</v>
      </c>
      <c r="X363" s="79" t="str">
        <f t="shared" ca="1" si="274"/>
        <v>-</v>
      </c>
      <c r="Y363" s="79" t="str">
        <f t="shared" ca="1" si="274"/>
        <v>-</v>
      </c>
      <c r="Z363" s="79" t="str">
        <f t="shared" ca="1" si="274"/>
        <v>-</v>
      </c>
      <c r="AA363" s="79" t="str">
        <f t="shared" ca="1" si="274"/>
        <v>-</v>
      </c>
      <c r="AB363" s="79" t="str">
        <f t="shared" ca="1" si="274"/>
        <v>-</v>
      </c>
      <c r="AC363" s="79" t="str">
        <f t="shared" ca="1" si="274"/>
        <v>-</v>
      </c>
      <c r="AD363" s="79" t="str">
        <f t="shared" ca="1" si="274"/>
        <v>-</v>
      </c>
      <c r="AE363" s="79" t="str">
        <f t="shared" ca="1" si="274"/>
        <v>-</v>
      </c>
      <c r="AF363" s="79" t="str">
        <f t="shared" ca="1" si="274"/>
        <v>-</v>
      </c>
      <c r="AG363" s="79" t="str">
        <f t="shared" ca="1" si="274"/>
        <v>-</v>
      </c>
      <c r="AH363" s="79" t="str">
        <f t="shared" ca="1" si="274"/>
        <v>-</v>
      </c>
      <c r="AI363" s="79" t="str">
        <f t="shared" ca="1" si="274"/>
        <v>-</v>
      </c>
      <c r="AJ363" s="79" t="str">
        <f t="shared" ca="1" si="274"/>
        <v>-</v>
      </c>
      <c r="AK363" s="79" t="str">
        <f t="shared" ca="1" si="274"/>
        <v>-</v>
      </c>
      <c r="AL363" s="79" t="str">
        <f t="shared" ca="1" si="274"/>
        <v>-</v>
      </c>
      <c r="AM363" s="79" t="str">
        <f t="shared" ca="1" si="274"/>
        <v>-</v>
      </c>
      <c r="AN363" s="79" t="str">
        <f t="shared" ca="1" si="274"/>
        <v>-</v>
      </c>
      <c r="AO363" s="79" t="str">
        <f t="shared" ca="1" si="274"/>
        <v>-</v>
      </c>
      <c r="AP363" s="79" t="str">
        <f t="shared" ca="1" si="274"/>
        <v>-</v>
      </c>
      <c r="AQ363" s="79" t="str">
        <f t="shared" ca="1" si="274"/>
        <v>-</v>
      </c>
      <c r="AR363" s="79" t="str">
        <f t="shared" ca="1" si="274"/>
        <v>-</v>
      </c>
      <c r="AS363" s="79" t="str">
        <f t="shared" ca="1" si="274"/>
        <v>-</v>
      </c>
      <c r="AT363" s="79" t="str">
        <f t="shared" ca="1" si="274"/>
        <v>-</v>
      </c>
      <c r="AU363" s="79" t="str">
        <f t="shared" ca="1" si="274"/>
        <v>-</v>
      </c>
      <c r="AV363" s="79" t="str">
        <f t="shared" ca="1" si="274"/>
        <v>-</v>
      </c>
      <c r="AW363" s="79" t="str">
        <f t="shared" ca="1" si="274"/>
        <v>-</v>
      </c>
      <c r="AX363" s="79" t="str">
        <f t="shared" ca="1" si="274"/>
        <v>-</v>
      </c>
      <c r="AY363" s="79" t="str">
        <f t="shared" ca="1" si="274"/>
        <v>-</v>
      </c>
    </row>
    <row r="364" spans="1:51" ht="15.5">
      <c r="A364" s="1" t="s">
        <v>142</v>
      </c>
      <c r="C364" s="109"/>
      <c r="E364" s="15" t="s">
        <v>110</v>
      </c>
      <c r="F364" s="79" t="str">
        <f t="shared" ref="F364:AY364" ca="1" si="275">IFERROR((F118/(F45+F84+F102+F118+F190)),"-")</f>
        <v>-</v>
      </c>
      <c r="G364" s="79" t="str">
        <f t="shared" ca="1" si="275"/>
        <v>-</v>
      </c>
      <c r="H364" s="79" t="str">
        <f t="shared" ca="1" si="275"/>
        <v>-</v>
      </c>
      <c r="I364" s="79" t="str">
        <f t="shared" ca="1" si="275"/>
        <v>-</v>
      </c>
      <c r="J364" s="79" t="str">
        <f t="shared" ca="1" si="275"/>
        <v>-</v>
      </c>
      <c r="K364" s="79" t="str">
        <f t="shared" ca="1" si="275"/>
        <v>-</v>
      </c>
      <c r="L364" s="79" t="str">
        <f t="shared" ca="1" si="275"/>
        <v>-</v>
      </c>
      <c r="M364" s="79" t="str">
        <f t="shared" ca="1" si="275"/>
        <v>-</v>
      </c>
      <c r="N364" s="79" t="str">
        <f t="shared" ca="1" si="275"/>
        <v>-</v>
      </c>
      <c r="O364" s="79" t="str">
        <f t="shared" ca="1" si="275"/>
        <v>-</v>
      </c>
      <c r="P364" s="79" t="str">
        <f t="shared" ca="1" si="275"/>
        <v>-</v>
      </c>
      <c r="Q364" s="79" t="str">
        <f t="shared" ca="1" si="275"/>
        <v>-</v>
      </c>
      <c r="R364" s="79" t="str">
        <f t="shared" ca="1" si="275"/>
        <v>-</v>
      </c>
      <c r="S364" s="79" t="str">
        <f t="shared" ca="1" si="275"/>
        <v>-</v>
      </c>
      <c r="T364" s="79" t="str">
        <f t="shared" ca="1" si="275"/>
        <v>-</v>
      </c>
      <c r="U364" s="79" t="str">
        <f t="shared" ca="1" si="275"/>
        <v>-</v>
      </c>
      <c r="V364" s="79" t="str">
        <f t="shared" ca="1" si="275"/>
        <v>-</v>
      </c>
      <c r="W364" s="79" t="str">
        <f t="shared" ca="1" si="275"/>
        <v>-</v>
      </c>
      <c r="X364" s="79" t="str">
        <f t="shared" ca="1" si="275"/>
        <v>-</v>
      </c>
      <c r="Y364" s="79" t="str">
        <f t="shared" ca="1" si="275"/>
        <v>-</v>
      </c>
      <c r="Z364" s="79" t="str">
        <f t="shared" ca="1" si="275"/>
        <v>-</v>
      </c>
      <c r="AA364" s="79" t="str">
        <f t="shared" ca="1" si="275"/>
        <v>-</v>
      </c>
      <c r="AB364" s="79" t="str">
        <f t="shared" ca="1" si="275"/>
        <v>-</v>
      </c>
      <c r="AC364" s="79" t="str">
        <f t="shared" ca="1" si="275"/>
        <v>-</v>
      </c>
      <c r="AD364" s="79" t="str">
        <f t="shared" ca="1" si="275"/>
        <v>-</v>
      </c>
      <c r="AE364" s="79" t="str">
        <f t="shared" ca="1" si="275"/>
        <v>-</v>
      </c>
      <c r="AF364" s="79" t="str">
        <f t="shared" ca="1" si="275"/>
        <v>-</v>
      </c>
      <c r="AG364" s="79" t="str">
        <f t="shared" ca="1" si="275"/>
        <v>-</v>
      </c>
      <c r="AH364" s="79" t="str">
        <f t="shared" ca="1" si="275"/>
        <v>-</v>
      </c>
      <c r="AI364" s="79" t="str">
        <f t="shared" ca="1" si="275"/>
        <v>-</v>
      </c>
      <c r="AJ364" s="79" t="str">
        <f t="shared" ca="1" si="275"/>
        <v>-</v>
      </c>
      <c r="AK364" s="79" t="str">
        <f t="shared" ca="1" si="275"/>
        <v>-</v>
      </c>
      <c r="AL364" s="79" t="str">
        <f t="shared" ca="1" si="275"/>
        <v>-</v>
      </c>
      <c r="AM364" s="79" t="str">
        <f t="shared" ca="1" si="275"/>
        <v>-</v>
      </c>
      <c r="AN364" s="79" t="str">
        <f t="shared" ca="1" si="275"/>
        <v>-</v>
      </c>
      <c r="AO364" s="79" t="str">
        <f t="shared" ca="1" si="275"/>
        <v>-</v>
      </c>
      <c r="AP364" s="79" t="str">
        <f t="shared" ca="1" si="275"/>
        <v>-</v>
      </c>
      <c r="AQ364" s="79" t="str">
        <f t="shared" ca="1" si="275"/>
        <v>-</v>
      </c>
      <c r="AR364" s="79" t="str">
        <f t="shared" ca="1" si="275"/>
        <v>-</v>
      </c>
      <c r="AS364" s="79" t="str">
        <f t="shared" ca="1" si="275"/>
        <v>-</v>
      </c>
      <c r="AT364" s="79" t="str">
        <f t="shared" ca="1" si="275"/>
        <v>-</v>
      </c>
      <c r="AU364" s="79" t="str">
        <f t="shared" ca="1" si="275"/>
        <v>-</v>
      </c>
      <c r="AV364" s="79" t="str">
        <f t="shared" ca="1" si="275"/>
        <v>-</v>
      </c>
      <c r="AW364" s="79" t="str">
        <f t="shared" ca="1" si="275"/>
        <v>-</v>
      </c>
      <c r="AX364" s="79" t="str">
        <f t="shared" ca="1" si="275"/>
        <v>-</v>
      </c>
      <c r="AY364" s="79" t="str">
        <f t="shared" ca="1" si="275"/>
        <v>-</v>
      </c>
    </row>
    <row r="365" spans="1:51" ht="15.5">
      <c r="A365" s="1" t="s">
        <v>142</v>
      </c>
      <c r="C365" s="109"/>
      <c r="E365" s="15" t="s">
        <v>111</v>
      </c>
      <c r="F365" s="80" t="str">
        <f t="shared" ref="F365:AY365" ca="1" si="276">IFERROR((F190/(F45+F84+F102+F118+F190)),"-")</f>
        <v>-</v>
      </c>
      <c r="G365" s="80" t="str">
        <f t="shared" ca="1" si="276"/>
        <v>-</v>
      </c>
      <c r="H365" s="80" t="str">
        <f t="shared" ca="1" si="276"/>
        <v>-</v>
      </c>
      <c r="I365" s="80" t="str">
        <f t="shared" ca="1" si="276"/>
        <v>-</v>
      </c>
      <c r="J365" s="80" t="str">
        <f t="shared" ca="1" si="276"/>
        <v>-</v>
      </c>
      <c r="K365" s="80" t="str">
        <f t="shared" ca="1" si="276"/>
        <v>-</v>
      </c>
      <c r="L365" s="80" t="str">
        <f t="shared" ca="1" si="276"/>
        <v>-</v>
      </c>
      <c r="M365" s="80" t="str">
        <f t="shared" ca="1" si="276"/>
        <v>-</v>
      </c>
      <c r="N365" s="80" t="str">
        <f t="shared" ca="1" si="276"/>
        <v>-</v>
      </c>
      <c r="O365" s="80" t="str">
        <f t="shared" ca="1" si="276"/>
        <v>-</v>
      </c>
      <c r="P365" s="80" t="str">
        <f t="shared" ca="1" si="276"/>
        <v>-</v>
      </c>
      <c r="Q365" s="80" t="str">
        <f t="shared" ca="1" si="276"/>
        <v>-</v>
      </c>
      <c r="R365" s="80" t="str">
        <f t="shared" ca="1" si="276"/>
        <v>-</v>
      </c>
      <c r="S365" s="80" t="str">
        <f t="shared" ca="1" si="276"/>
        <v>-</v>
      </c>
      <c r="T365" s="80" t="str">
        <f t="shared" ca="1" si="276"/>
        <v>-</v>
      </c>
      <c r="U365" s="80" t="str">
        <f t="shared" ca="1" si="276"/>
        <v>-</v>
      </c>
      <c r="V365" s="80" t="str">
        <f t="shared" ca="1" si="276"/>
        <v>-</v>
      </c>
      <c r="W365" s="80" t="str">
        <f t="shared" ca="1" si="276"/>
        <v>-</v>
      </c>
      <c r="X365" s="80" t="str">
        <f t="shared" ca="1" si="276"/>
        <v>-</v>
      </c>
      <c r="Y365" s="80" t="str">
        <f t="shared" ca="1" si="276"/>
        <v>-</v>
      </c>
      <c r="Z365" s="80" t="str">
        <f t="shared" ca="1" si="276"/>
        <v>-</v>
      </c>
      <c r="AA365" s="80" t="str">
        <f t="shared" ca="1" si="276"/>
        <v>-</v>
      </c>
      <c r="AB365" s="80" t="str">
        <f t="shared" ca="1" si="276"/>
        <v>-</v>
      </c>
      <c r="AC365" s="80" t="str">
        <f t="shared" ca="1" si="276"/>
        <v>-</v>
      </c>
      <c r="AD365" s="80" t="str">
        <f t="shared" ca="1" si="276"/>
        <v>-</v>
      </c>
      <c r="AE365" s="80" t="str">
        <f t="shared" ca="1" si="276"/>
        <v>-</v>
      </c>
      <c r="AF365" s="80" t="str">
        <f t="shared" ca="1" si="276"/>
        <v>-</v>
      </c>
      <c r="AG365" s="80" t="str">
        <f t="shared" ca="1" si="276"/>
        <v>-</v>
      </c>
      <c r="AH365" s="80" t="str">
        <f t="shared" ca="1" si="276"/>
        <v>-</v>
      </c>
      <c r="AI365" s="80" t="str">
        <f t="shared" ca="1" si="276"/>
        <v>-</v>
      </c>
      <c r="AJ365" s="80" t="str">
        <f t="shared" ca="1" si="276"/>
        <v>-</v>
      </c>
      <c r="AK365" s="80" t="str">
        <f t="shared" ca="1" si="276"/>
        <v>-</v>
      </c>
      <c r="AL365" s="80" t="str">
        <f t="shared" ca="1" si="276"/>
        <v>-</v>
      </c>
      <c r="AM365" s="80" t="str">
        <f t="shared" ca="1" si="276"/>
        <v>-</v>
      </c>
      <c r="AN365" s="80" t="str">
        <f t="shared" ca="1" si="276"/>
        <v>-</v>
      </c>
      <c r="AO365" s="80" t="str">
        <f t="shared" ca="1" si="276"/>
        <v>-</v>
      </c>
      <c r="AP365" s="80" t="str">
        <f t="shared" ca="1" si="276"/>
        <v>-</v>
      </c>
      <c r="AQ365" s="80" t="str">
        <f t="shared" ca="1" si="276"/>
        <v>-</v>
      </c>
      <c r="AR365" s="80" t="str">
        <f t="shared" ca="1" si="276"/>
        <v>-</v>
      </c>
      <c r="AS365" s="80" t="str">
        <f t="shared" ca="1" si="276"/>
        <v>-</v>
      </c>
      <c r="AT365" s="80" t="str">
        <f t="shared" ca="1" si="276"/>
        <v>-</v>
      </c>
      <c r="AU365" s="80" t="str">
        <f t="shared" ca="1" si="276"/>
        <v>-</v>
      </c>
      <c r="AV365" s="80" t="str">
        <f t="shared" ca="1" si="276"/>
        <v>-</v>
      </c>
      <c r="AW365" s="80" t="str">
        <f t="shared" ca="1" si="276"/>
        <v>-</v>
      </c>
      <c r="AX365" s="80" t="str">
        <f t="shared" ca="1" si="276"/>
        <v>-</v>
      </c>
      <c r="AY365" s="80" t="str">
        <f t="shared" ca="1" si="276"/>
        <v>-</v>
      </c>
    </row>
    <row r="366" spans="1:51" ht="15.5">
      <c r="A366" s="1" t="s">
        <v>142</v>
      </c>
      <c r="C366" s="109"/>
      <c r="E366" s="53" t="s">
        <v>112</v>
      </c>
      <c r="F366" s="81" t="str">
        <f t="shared" ref="F366:AY366" ca="1" si="277">IFERROR(-F262/F25,"-")</f>
        <v>-</v>
      </c>
      <c r="G366" s="81" t="str">
        <f t="shared" ca="1" si="277"/>
        <v>-</v>
      </c>
      <c r="H366" s="81" t="str">
        <f t="shared" ca="1" si="277"/>
        <v>-</v>
      </c>
      <c r="I366" s="81" t="str">
        <f t="shared" ca="1" si="277"/>
        <v>-</v>
      </c>
      <c r="J366" s="81" t="str">
        <f t="shared" ca="1" si="277"/>
        <v>-</v>
      </c>
      <c r="K366" s="81" t="str">
        <f t="shared" ca="1" si="277"/>
        <v>-</v>
      </c>
      <c r="L366" s="81" t="str">
        <f t="shared" ca="1" si="277"/>
        <v>-</v>
      </c>
      <c r="M366" s="81" t="str">
        <f t="shared" ca="1" si="277"/>
        <v>-</v>
      </c>
      <c r="N366" s="81" t="str">
        <f t="shared" ca="1" si="277"/>
        <v>-</v>
      </c>
      <c r="O366" s="81" t="str">
        <f t="shared" ca="1" si="277"/>
        <v>-</v>
      </c>
      <c r="P366" s="81" t="str">
        <f t="shared" ca="1" si="277"/>
        <v>-</v>
      </c>
      <c r="Q366" s="81" t="str">
        <f t="shared" ca="1" si="277"/>
        <v>-</v>
      </c>
      <c r="R366" s="81" t="str">
        <f t="shared" ca="1" si="277"/>
        <v>-</v>
      </c>
      <c r="S366" s="81" t="str">
        <f t="shared" ca="1" si="277"/>
        <v>-</v>
      </c>
      <c r="T366" s="81" t="str">
        <f t="shared" ca="1" si="277"/>
        <v>-</v>
      </c>
      <c r="U366" s="81" t="str">
        <f t="shared" ca="1" si="277"/>
        <v>-</v>
      </c>
      <c r="V366" s="81" t="str">
        <f t="shared" ca="1" si="277"/>
        <v>-</v>
      </c>
      <c r="W366" s="81" t="str">
        <f t="shared" ca="1" si="277"/>
        <v>-</v>
      </c>
      <c r="X366" s="81" t="str">
        <f t="shared" ca="1" si="277"/>
        <v>-</v>
      </c>
      <c r="Y366" s="81" t="str">
        <f t="shared" ca="1" si="277"/>
        <v>-</v>
      </c>
      <c r="Z366" s="81" t="str">
        <f t="shared" ca="1" si="277"/>
        <v>-</v>
      </c>
      <c r="AA366" s="81" t="str">
        <f t="shared" ca="1" si="277"/>
        <v>-</v>
      </c>
      <c r="AB366" s="81" t="str">
        <f t="shared" ca="1" si="277"/>
        <v>-</v>
      </c>
      <c r="AC366" s="81" t="str">
        <f t="shared" ca="1" si="277"/>
        <v>-</v>
      </c>
      <c r="AD366" s="81" t="str">
        <f t="shared" ca="1" si="277"/>
        <v>-</v>
      </c>
      <c r="AE366" s="81" t="str">
        <f t="shared" ca="1" si="277"/>
        <v>-</v>
      </c>
      <c r="AF366" s="81" t="str">
        <f t="shared" ca="1" si="277"/>
        <v>-</v>
      </c>
      <c r="AG366" s="81" t="str">
        <f t="shared" ca="1" si="277"/>
        <v>-</v>
      </c>
      <c r="AH366" s="81" t="str">
        <f t="shared" ca="1" si="277"/>
        <v>-</v>
      </c>
      <c r="AI366" s="81" t="str">
        <f t="shared" ca="1" si="277"/>
        <v>-</v>
      </c>
      <c r="AJ366" s="81" t="str">
        <f t="shared" ca="1" si="277"/>
        <v>-</v>
      </c>
      <c r="AK366" s="81" t="str">
        <f t="shared" ca="1" si="277"/>
        <v>-</v>
      </c>
      <c r="AL366" s="81" t="str">
        <f t="shared" ca="1" si="277"/>
        <v>-</v>
      </c>
      <c r="AM366" s="81" t="str">
        <f t="shared" ca="1" si="277"/>
        <v>-</v>
      </c>
      <c r="AN366" s="81" t="str">
        <f t="shared" ca="1" si="277"/>
        <v>-</v>
      </c>
      <c r="AO366" s="81" t="str">
        <f t="shared" ca="1" si="277"/>
        <v>-</v>
      </c>
      <c r="AP366" s="81" t="str">
        <f t="shared" ca="1" si="277"/>
        <v>-</v>
      </c>
      <c r="AQ366" s="81" t="str">
        <f t="shared" ca="1" si="277"/>
        <v>-</v>
      </c>
      <c r="AR366" s="81" t="str">
        <f t="shared" ca="1" si="277"/>
        <v>-</v>
      </c>
      <c r="AS366" s="81" t="str">
        <f t="shared" ca="1" si="277"/>
        <v>-</v>
      </c>
      <c r="AT366" s="81" t="str">
        <f t="shared" ca="1" si="277"/>
        <v>-</v>
      </c>
      <c r="AU366" s="81" t="str">
        <f t="shared" ca="1" si="277"/>
        <v>-</v>
      </c>
      <c r="AV366" s="81" t="str">
        <f t="shared" ca="1" si="277"/>
        <v>-</v>
      </c>
      <c r="AW366" s="81" t="str">
        <f t="shared" ca="1" si="277"/>
        <v>-</v>
      </c>
      <c r="AX366" s="81" t="str">
        <f t="shared" ca="1" si="277"/>
        <v>-</v>
      </c>
      <c r="AY366" s="81" t="str">
        <f t="shared" ca="1" si="277"/>
        <v>-</v>
      </c>
    </row>
    <row r="367" spans="1:51" ht="9" customHeight="1">
      <c r="A367" s="1" t="s">
        <v>142</v>
      </c>
      <c r="C367" s="109"/>
      <c r="E367" s="7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</row>
    <row r="368" spans="1:51" ht="15.5">
      <c r="A368" s="1" t="s">
        <v>142</v>
      </c>
      <c r="C368" s="109"/>
      <c r="E368" s="17" t="str">
        <f ca="1">"Revenue "&amp;RIGHT(Context!$F$39,3)&amp;"/km"</f>
        <v>Revenue EUR/km</v>
      </c>
      <c r="F368" s="58" t="str">
        <f t="shared" ref="F368:AY368" ca="1" si="278">IFERROR(F25/F317,"-")</f>
        <v>-</v>
      </c>
      <c r="G368" s="58" t="str">
        <f t="shared" ca="1" si="278"/>
        <v>-</v>
      </c>
      <c r="H368" s="58" t="str">
        <f t="shared" ca="1" si="278"/>
        <v>-</v>
      </c>
      <c r="I368" s="58" t="str">
        <f t="shared" ca="1" si="278"/>
        <v>-</v>
      </c>
      <c r="J368" s="58" t="str">
        <f t="shared" ca="1" si="278"/>
        <v>-</v>
      </c>
      <c r="K368" s="58" t="str">
        <f t="shared" ca="1" si="278"/>
        <v>-</v>
      </c>
      <c r="L368" s="58" t="str">
        <f t="shared" ca="1" si="278"/>
        <v>-</v>
      </c>
      <c r="M368" s="58" t="str">
        <f t="shared" ca="1" si="278"/>
        <v>-</v>
      </c>
      <c r="N368" s="58" t="str">
        <f t="shared" ca="1" si="278"/>
        <v>-</v>
      </c>
      <c r="O368" s="58" t="str">
        <f t="shared" ca="1" si="278"/>
        <v>-</v>
      </c>
      <c r="P368" s="58" t="str">
        <f t="shared" ca="1" si="278"/>
        <v>-</v>
      </c>
      <c r="Q368" s="58" t="str">
        <f t="shared" ca="1" si="278"/>
        <v>-</v>
      </c>
      <c r="R368" s="58" t="str">
        <f t="shared" ca="1" si="278"/>
        <v>-</v>
      </c>
      <c r="S368" s="58" t="str">
        <f t="shared" ca="1" si="278"/>
        <v>-</v>
      </c>
      <c r="T368" s="58" t="str">
        <f t="shared" ca="1" si="278"/>
        <v>-</v>
      </c>
      <c r="U368" s="58" t="str">
        <f t="shared" ca="1" si="278"/>
        <v>-</v>
      </c>
      <c r="V368" s="58" t="str">
        <f t="shared" ca="1" si="278"/>
        <v>-</v>
      </c>
      <c r="W368" s="58" t="str">
        <f t="shared" ca="1" si="278"/>
        <v>-</v>
      </c>
      <c r="X368" s="58" t="str">
        <f t="shared" ca="1" si="278"/>
        <v>-</v>
      </c>
      <c r="Y368" s="58" t="str">
        <f t="shared" ca="1" si="278"/>
        <v>-</v>
      </c>
      <c r="Z368" s="58" t="str">
        <f t="shared" ca="1" si="278"/>
        <v>-</v>
      </c>
      <c r="AA368" s="58" t="str">
        <f t="shared" ca="1" si="278"/>
        <v>-</v>
      </c>
      <c r="AB368" s="58" t="str">
        <f t="shared" ca="1" si="278"/>
        <v>-</v>
      </c>
      <c r="AC368" s="58" t="str">
        <f t="shared" ca="1" si="278"/>
        <v>-</v>
      </c>
      <c r="AD368" s="58" t="str">
        <f t="shared" ca="1" si="278"/>
        <v>-</v>
      </c>
      <c r="AE368" s="58" t="str">
        <f t="shared" ca="1" si="278"/>
        <v>-</v>
      </c>
      <c r="AF368" s="58" t="str">
        <f t="shared" ca="1" si="278"/>
        <v>-</v>
      </c>
      <c r="AG368" s="58" t="str">
        <f t="shared" ca="1" si="278"/>
        <v>-</v>
      </c>
      <c r="AH368" s="58" t="str">
        <f t="shared" ca="1" si="278"/>
        <v>-</v>
      </c>
      <c r="AI368" s="58" t="str">
        <f t="shared" ca="1" si="278"/>
        <v>-</v>
      </c>
      <c r="AJ368" s="58" t="str">
        <f t="shared" ca="1" si="278"/>
        <v>-</v>
      </c>
      <c r="AK368" s="58" t="str">
        <f t="shared" ca="1" si="278"/>
        <v>-</v>
      </c>
      <c r="AL368" s="58" t="str">
        <f t="shared" ca="1" si="278"/>
        <v>-</v>
      </c>
      <c r="AM368" s="58" t="str">
        <f t="shared" ca="1" si="278"/>
        <v>-</v>
      </c>
      <c r="AN368" s="58" t="str">
        <f t="shared" ca="1" si="278"/>
        <v>-</v>
      </c>
      <c r="AO368" s="58" t="str">
        <f t="shared" ca="1" si="278"/>
        <v>-</v>
      </c>
      <c r="AP368" s="58" t="str">
        <f t="shared" ca="1" si="278"/>
        <v>-</v>
      </c>
      <c r="AQ368" s="58" t="str">
        <f t="shared" ca="1" si="278"/>
        <v>-</v>
      </c>
      <c r="AR368" s="58" t="str">
        <f t="shared" ca="1" si="278"/>
        <v>-</v>
      </c>
      <c r="AS368" s="58" t="str">
        <f t="shared" ca="1" si="278"/>
        <v>-</v>
      </c>
      <c r="AT368" s="58" t="str">
        <f t="shared" ca="1" si="278"/>
        <v>-</v>
      </c>
      <c r="AU368" s="58" t="str">
        <f t="shared" ca="1" si="278"/>
        <v>-</v>
      </c>
      <c r="AV368" s="58" t="str">
        <f t="shared" ca="1" si="278"/>
        <v>-</v>
      </c>
      <c r="AW368" s="58" t="str">
        <f t="shared" ca="1" si="278"/>
        <v>-</v>
      </c>
      <c r="AX368" s="58" t="str">
        <f t="shared" ca="1" si="278"/>
        <v>-</v>
      </c>
      <c r="AY368" s="58" t="str">
        <f t="shared" ca="1" si="278"/>
        <v>-</v>
      </c>
    </row>
    <row r="369" spans="1:51" ht="15.5">
      <c r="A369" s="1" t="s">
        <v>142</v>
      </c>
      <c r="C369" s="109"/>
      <c r="E369" s="15" t="s">
        <v>113</v>
      </c>
      <c r="F369" s="57" t="str">
        <f ca="1">IFERROR(F333/F313,"-")</f>
        <v>-</v>
      </c>
      <c r="G369" s="57" t="str">
        <f t="shared" ref="G369:AY369" ca="1" si="279">IFERROR(G333/G313,"-")</f>
        <v>-</v>
      </c>
      <c r="H369" s="57" t="str">
        <f t="shared" ca="1" si="279"/>
        <v>-</v>
      </c>
      <c r="I369" s="57" t="str">
        <f t="shared" ca="1" si="279"/>
        <v>-</v>
      </c>
      <c r="J369" s="57" t="str">
        <f t="shared" ca="1" si="279"/>
        <v>-</v>
      </c>
      <c r="K369" s="57" t="str">
        <f t="shared" ca="1" si="279"/>
        <v>-</v>
      </c>
      <c r="L369" s="57" t="str">
        <f t="shared" ca="1" si="279"/>
        <v>-</v>
      </c>
      <c r="M369" s="57" t="str">
        <f t="shared" ca="1" si="279"/>
        <v>-</v>
      </c>
      <c r="N369" s="57" t="str">
        <f t="shared" ca="1" si="279"/>
        <v>-</v>
      </c>
      <c r="O369" s="57" t="str">
        <f t="shared" ca="1" si="279"/>
        <v>-</v>
      </c>
      <c r="P369" s="57" t="str">
        <f t="shared" ca="1" si="279"/>
        <v>-</v>
      </c>
      <c r="Q369" s="57" t="str">
        <f t="shared" ca="1" si="279"/>
        <v>-</v>
      </c>
      <c r="R369" s="57" t="str">
        <f t="shared" ca="1" si="279"/>
        <v>-</v>
      </c>
      <c r="S369" s="57" t="str">
        <f t="shared" ca="1" si="279"/>
        <v>-</v>
      </c>
      <c r="T369" s="57" t="str">
        <f t="shared" ca="1" si="279"/>
        <v>-</v>
      </c>
      <c r="U369" s="57" t="str">
        <f t="shared" ca="1" si="279"/>
        <v>-</v>
      </c>
      <c r="V369" s="57" t="str">
        <f t="shared" ca="1" si="279"/>
        <v>-</v>
      </c>
      <c r="W369" s="57" t="str">
        <f t="shared" ca="1" si="279"/>
        <v>-</v>
      </c>
      <c r="X369" s="57" t="str">
        <f t="shared" ca="1" si="279"/>
        <v>-</v>
      </c>
      <c r="Y369" s="57" t="str">
        <f t="shared" ca="1" si="279"/>
        <v>-</v>
      </c>
      <c r="Z369" s="57" t="str">
        <f t="shared" ca="1" si="279"/>
        <v>-</v>
      </c>
      <c r="AA369" s="57" t="str">
        <f t="shared" ca="1" si="279"/>
        <v>-</v>
      </c>
      <c r="AB369" s="57" t="str">
        <f t="shared" ca="1" si="279"/>
        <v>-</v>
      </c>
      <c r="AC369" s="57" t="str">
        <f t="shared" ca="1" si="279"/>
        <v>-</v>
      </c>
      <c r="AD369" s="57" t="str">
        <f t="shared" ca="1" si="279"/>
        <v>-</v>
      </c>
      <c r="AE369" s="57" t="str">
        <f t="shared" ca="1" si="279"/>
        <v>-</v>
      </c>
      <c r="AF369" s="57" t="str">
        <f t="shared" ca="1" si="279"/>
        <v>-</v>
      </c>
      <c r="AG369" s="57" t="str">
        <f t="shared" ca="1" si="279"/>
        <v>-</v>
      </c>
      <c r="AH369" s="57" t="str">
        <f t="shared" ca="1" si="279"/>
        <v>-</v>
      </c>
      <c r="AI369" s="57" t="str">
        <f t="shared" ca="1" si="279"/>
        <v>-</v>
      </c>
      <c r="AJ369" s="57" t="str">
        <f t="shared" ca="1" si="279"/>
        <v>-</v>
      </c>
      <c r="AK369" s="57" t="str">
        <f t="shared" ca="1" si="279"/>
        <v>-</v>
      </c>
      <c r="AL369" s="57" t="str">
        <f t="shared" ca="1" si="279"/>
        <v>-</v>
      </c>
      <c r="AM369" s="57" t="str">
        <f t="shared" ca="1" si="279"/>
        <v>-</v>
      </c>
      <c r="AN369" s="57" t="str">
        <f t="shared" ca="1" si="279"/>
        <v>-</v>
      </c>
      <c r="AO369" s="57" t="str">
        <f t="shared" ca="1" si="279"/>
        <v>-</v>
      </c>
      <c r="AP369" s="57" t="str">
        <f t="shared" ca="1" si="279"/>
        <v>-</v>
      </c>
      <c r="AQ369" s="57" t="str">
        <f t="shared" ca="1" si="279"/>
        <v>-</v>
      </c>
      <c r="AR369" s="57" t="str">
        <f t="shared" ca="1" si="279"/>
        <v>-</v>
      </c>
      <c r="AS369" s="57" t="str">
        <f t="shared" ca="1" si="279"/>
        <v>-</v>
      </c>
      <c r="AT369" s="57" t="str">
        <f t="shared" ca="1" si="279"/>
        <v>-</v>
      </c>
      <c r="AU369" s="57" t="str">
        <f t="shared" ca="1" si="279"/>
        <v>-</v>
      </c>
      <c r="AV369" s="57" t="str">
        <f t="shared" ca="1" si="279"/>
        <v>-</v>
      </c>
      <c r="AW369" s="57" t="str">
        <f t="shared" ca="1" si="279"/>
        <v>-</v>
      </c>
      <c r="AX369" s="57" t="str">
        <f t="shared" ca="1" si="279"/>
        <v>-</v>
      </c>
      <c r="AY369" s="57" t="str">
        <f t="shared" ca="1" si="279"/>
        <v>-</v>
      </c>
    </row>
    <row r="370" spans="1:51" ht="15.5">
      <c r="A370" s="1" t="s">
        <v>142</v>
      </c>
      <c r="C370" s="109"/>
      <c r="E370" s="15" t="s">
        <v>114</v>
      </c>
      <c r="F370" s="57" t="str">
        <f ca="1">IFERROR(F335/F314,"-")</f>
        <v>-</v>
      </c>
      <c r="G370" s="57" t="str">
        <f t="shared" ref="G370:AY370" ca="1" si="280">IFERROR(G335/G314,"-")</f>
        <v>-</v>
      </c>
      <c r="H370" s="57" t="str">
        <f t="shared" ca="1" si="280"/>
        <v>-</v>
      </c>
      <c r="I370" s="57" t="str">
        <f t="shared" ca="1" si="280"/>
        <v>-</v>
      </c>
      <c r="J370" s="57" t="str">
        <f t="shared" ca="1" si="280"/>
        <v>-</v>
      </c>
      <c r="K370" s="57" t="str">
        <f t="shared" ca="1" si="280"/>
        <v>-</v>
      </c>
      <c r="L370" s="57" t="str">
        <f t="shared" ca="1" si="280"/>
        <v>-</v>
      </c>
      <c r="M370" s="57" t="str">
        <f t="shared" ca="1" si="280"/>
        <v>-</v>
      </c>
      <c r="N370" s="57" t="str">
        <f t="shared" ca="1" si="280"/>
        <v>-</v>
      </c>
      <c r="O370" s="57" t="str">
        <f t="shared" ca="1" si="280"/>
        <v>-</v>
      </c>
      <c r="P370" s="57" t="str">
        <f t="shared" ca="1" si="280"/>
        <v>-</v>
      </c>
      <c r="Q370" s="57" t="str">
        <f t="shared" ca="1" si="280"/>
        <v>-</v>
      </c>
      <c r="R370" s="57" t="str">
        <f t="shared" ca="1" si="280"/>
        <v>-</v>
      </c>
      <c r="S370" s="57" t="str">
        <f t="shared" ca="1" si="280"/>
        <v>-</v>
      </c>
      <c r="T370" s="57" t="str">
        <f t="shared" ca="1" si="280"/>
        <v>-</v>
      </c>
      <c r="U370" s="57" t="str">
        <f t="shared" ca="1" si="280"/>
        <v>-</v>
      </c>
      <c r="V370" s="57" t="str">
        <f t="shared" ca="1" si="280"/>
        <v>-</v>
      </c>
      <c r="W370" s="57" t="str">
        <f t="shared" ca="1" si="280"/>
        <v>-</v>
      </c>
      <c r="X370" s="57" t="str">
        <f t="shared" ca="1" si="280"/>
        <v>-</v>
      </c>
      <c r="Y370" s="57" t="str">
        <f t="shared" ca="1" si="280"/>
        <v>-</v>
      </c>
      <c r="Z370" s="57" t="str">
        <f t="shared" ca="1" si="280"/>
        <v>-</v>
      </c>
      <c r="AA370" s="57" t="str">
        <f t="shared" ca="1" si="280"/>
        <v>-</v>
      </c>
      <c r="AB370" s="57" t="str">
        <f t="shared" ca="1" si="280"/>
        <v>-</v>
      </c>
      <c r="AC370" s="57" t="str">
        <f t="shared" ca="1" si="280"/>
        <v>-</v>
      </c>
      <c r="AD370" s="57" t="str">
        <f t="shared" ca="1" si="280"/>
        <v>-</v>
      </c>
      <c r="AE370" s="57" t="str">
        <f t="shared" ca="1" si="280"/>
        <v>-</v>
      </c>
      <c r="AF370" s="57" t="str">
        <f t="shared" ca="1" si="280"/>
        <v>-</v>
      </c>
      <c r="AG370" s="57" t="str">
        <f t="shared" ca="1" si="280"/>
        <v>-</v>
      </c>
      <c r="AH370" s="57" t="str">
        <f t="shared" ca="1" si="280"/>
        <v>-</v>
      </c>
      <c r="AI370" s="57" t="str">
        <f t="shared" ca="1" si="280"/>
        <v>-</v>
      </c>
      <c r="AJ370" s="57" t="str">
        <f t="shared" ca="1" si="280"/>
        <v>-</v>
      </c>
      <c r="AK370" s="57" t="str">
        <f t="shared" ca="1" si="280"/>
        <v>-</v>
      </c>
      <c r="AL370" s="57" t="str">
        <f t="shared" ca="1" si="280"/>
        <v>-</v>
      </c>
      <c r="AM370" s="57" t="str">
        <f t="shared" ca="1" si="280"/>
        <v>-</v>
      </c>
      <c r="AN370" s="57" t="str">
        <f t="shared" ca="1" si="280"/>
        <v>-</v>
      </c>
      <c r="AO370" s="57" t="str">
        <f t="shared" ca="1" si="280"/>
        <v>-</v>
      </c>
      <c r="AP370" s="57" t="str">
        <f t="shared" ca="1" si="280"/>
        <v>-</v>
      </c>
      <c r="AQ370" s="57" t="str">
        <f t="shared" ca="1" si="280"/>
        <v>-</v>
      </c>
      <c r="AR370" s="57" t="str">
        <f t="shared" ca="1" si="280"/>
        <v>-</v>
      </c>
      <c r="AS370" s="57" t="str">
        <f t="shared" ca="1" si="280"/>
        <v>-</v>
      </c>
      <c r="AT370" s="57" t="str">
        <f t="shared" ca="1" si="280"/>
        <v>-</v>
      </c>
      <c r="AU370" s="57" t="str">
        <f t="shared" ca="1" si="280"/>
        <v>-</v>
      </c>
      <c r="AV370" s="57" t="str">
        <f t="shared" ca="1" si="280"/>
        <v>-</v>
      </c>
      <c r="AW370" s="57" t="str">
        <f t="shared" ca="1" si="280"/>
        <v>-</v>
      </c>
      <c r="AX370" s="57" t="str">
        <f t="shared" ca="1" si="280"/>
        <v>-</v>
      </c>
      <c r="AY370" s="57" t="str">
        <f t="shared" ca="1" si="280"/>
        <v>-</v>
      </c>
    </row>
    <row r="371" spans="1:51" ht="15.5">
      <c r="A371" s="1" t="s">
        <v>142</v>
      </c>
      <c r="C371" s="109"/>
      <c r="E371" s="15" t="s">
        <v>115</v>
      </c>
      <c r="F371" s="57" t="str">
        <f ca="1">IFERROR(F337/F316,"-")</f>
        <v>-</v>
      </c>
      <c r="G371" s="57" t="str">
        <f t="shared" ref="G371:AY371" ca="1" si="281">IFERROR(G337/G316,"-")</f>
        <v>-</v>
      </c>
      <c r="H371" s="57" t="str">
        <f t="shared" ca="1" si="281"/>
        <v>-</v>
      </c>
      <c r="I371" s="57" t="str">
        <f t="shared" ca="1" si="281"/>
        <v>-</v>
      </c>
      <c r="J371" s="57" t="str">
        <f t="shared" ca="1" si="281"/>
        <v>-</v>
      </c>
      <c r="K371" s="57" t="str">
        <f t="shared" ca="1" si="281"/>
        <v>-</v>
      </c>
      <c r="L371" s="57" t="str">
        <f t="shared" ca="1" si="281"/>
        <v>-</v>
      </c>
      <c r="M371" s="57" t="str">
        <f t="shared" ca="1" si="281"/>
        <v>-</v>
      </c>
      <c r="N371" s="57" t="str">
        <f t="shared" ca="1" si="281"/>
        <v>-</v>
      </c>
      <c r="O371" s="57" t="str">
        <f t="shared" ca="1" si="281"/>
        <v>-</v>
      </c>
      <c r="P371" s="57" t="str">
        <f t="shared" ca="1" si="281"/>
        <v>-</v>
      </c>
      <c r="Q371" s="57" t="str">
        <f t="shared" ca="1" si="281"/>
        <v>-</v>
      </c>
      <c r="R371" s="57" t="str">
        <f t="shared" ca="1" si="281"/>
        <v>-</v>
      </c>
      <c r="S371" s="57" t="str">
        <f t="shared" ca="1" si="281"/>
        <v>-</v>
      </c>
      <c r="T371" s="57" t="str">
        <f t="shared" ca="1" si="281"/>
        <v>-</v>
      </c>
      <c r="U371" s="57" t="str">
        <f t="shared" ca="1" si="281"/>
        <v>-</v>
      </c>
      <c r="V371" s="57" t="str">
        <f t="shared" ca="1" si="281"/>
        <v>-</v>
      </c>
      <c r="W371" s="57" t="str">
        <f t="shared" ca="1" si="281"/>
        <v>-</v>
      </c>
      <c r="X371" s="57" t="str">
        <f t="shared" ca="1" si="281"/>
        <v>-</v>
      </c>
      <c r="Y371" s="57" t="str">
        <f t="shared" ca="1" si="281"/>
        <v>-</v>
      </c>
      <c r="Z371" s="57" t="str">
        <f t="shared" ca="1" si="281"/>
        <v>-</v>
      </c>
      <c r="AA371" s="57" t="str">
        <f t="shared" ca="1" si="281"/>
        <v>-</v>
      </c>
      <c r="AB371" s="57" t="str">
        <f t="shared" ca="1" si="281"/>
        <v>-</v>
      </c>
      <c r="AC371" s="57" t="str">
        <f t="shared" ca="1" si="281"/>
        <v>-</v>
      </c>
      <c r="AD371" s="57" t="str">
        <f t="shared" ca="1" si="281"/>
        <v>-</v>
      </c>
      <c r="AE371" s="57" t="str">
        <f t="shared" ca="1" si="281"/>
        <v>-</v>
      </c>
      <c r="AF371" s="57" t="str">
        <f t="shared" ca="1" si="281"/>
        <v>-</v>
      </c>
      <c r="AG371" s="57" t="str">
        <f t="shared" ca="1" si="281"/>
        <v>-</v>
      </c>
      <c r="AH371" s="57" t="str">
        <f t="shared" ca="1" si="281"/>
        <v>-</v>
      </c>
      <c r="AI371" s="57" t="str">
        <f t="shared" ca="1" si="281"/>
        <v>-</v>
      </c>
      <c r="AJ371" s="57" t="str">
        <f t="shared" ca="1" si="281"/>
        <v>-</v>
      </c>
      <c r="AK371" s="57" t="str">
        <f t="shared" ca="1" si="281"/>
        <v>-</v>
      </c>
      <c r="AL371" s="57" t="str">
        <f t="shared" ca="1" si="281"/>
        <v>-</v>
      </c>
      <c r="AM371" s="57" t="str">
        <f t="shared" ca="1" si="281"/>
        <v>-</v>
      </c>
      <c r="AN371" s="57" t="str">
        <f t="shared" ca="1" si="281"/>
        <v>-</v>
      </c>
      <c r="AO371" s="57" t="str">
        <f t="shared" ca="1" si="281"/>
        <v>-</v>
      </c>
      <c r="AP371" s="57" t="str">
        <f t="shared" ca="1" si="281"/>
        <v>-</v>
      </c>
      <c r="AQ371" s="57" t="str">
        <f t="shared" ca="1" si="281"/>
        <v>-</v>
      </c>
      <c r="AR371" s="57" t="str">
        <f t="shared" ca="1" si="281"/>
        <v>-</v>
      </c>
      <c r="AS371" s="57" t="str">
        <f t="shared" ca="1" si="281"/>
        <v>-</v>
      </c>
      <c r="AT371" s="57" t="str">
        <f t="shared" ca="1" si="281"/>
        <v>-</v>
      </c>
      <c r="AU371" s="57" t="str">
        <f t="shared" ca="1" si="281"/>
        <v>-</v>
      </c>
      <c r="AV371" s="57" t="str">
        <f t="shared" ca="1" si="281"/>
        <v>-</v>
      </c>
      <c r="AW371" s="57" t="str">
        <f t="shared" ca="1" si="281"/>
        <v>-</v>
      </c>
      <c r="AX371" s="57" t="str">
        <f t="shared" ca="1" si="281"/>
        <v>-</v>
      </c>
      <c r="AY371" s="57" t="str">
        <f t="shared" ca="1" si="281"/>
        <v>-</v>
      </c>
    </row>
    <row r="372" spans="1:51" ht="15.5">
      <c r="A372" s="1" t="s">
        <v>142</v>
      </c>
      <c r="C372" s="109"/>
      <c r="E372" s="15" t="s">
        <v>116</v>
      </c>
      <c r="F372" s="57" t="str">
        <f ca="1">IFERROR(F339/F315,"-")</f>
        <v>-</v>
      </c>
      <c r="G372" s="57" t="str">
        <f t="shared" ref="G372:AY372" ca="1" si="282">IFERROR(G339/G315,"-")</f>
        <v>-</v>
      </c>
      <c r="H372" s="57" t="str">
        <f t="shared" ca="1" si="282"/>
        <v>-</v>
      </c>
      <c r="I372" s="57" t="str">
        <f t="shared" ca="1" si="282"/>
        <v>-</v>
      </c>
      <c r="J372" s="57" t="str">
        <f t="shared" ca="1" si="282"/>
        <v>-</v>
      </c>
      <c r="K372" s="57" t="str">
        <f t="shared" ca="1" si="282"/>
        <v>-</v>
      </c>
      <c r="L372" s="57" t="str">
        <f t="shared" ca="1" si="282"/>
        <v>-</v>
      </c>
      <c r="M372" s="57" t="str">
        <f t="shared" ca="1" si="282"/>
        <v>-</v>
      </c>
      <c r="N372" s="57" t="str">
        <f t="shared" ca="1" si="282"/>
        <v>-</v>
      </c>
      <c r="O372" s="57" t="str">
        <f t="shared" ca="1" si="282"/>
        <v>-</v>
      </c>
      <c r="P372" s="57" t="str">
        <f t="shared" ca="1" si="282"/>
        <v>-</v>
      </c>
      <c r="Q372" s="57" t="str">
        <f t="shared" ca="1" si="282"/>
        <v>-</v>
      </c>
      <c r="R372" s="57" t="str">
        <f t="shared" ca="1" si="282"/>
        <v>-</v>
      </c>
      <c r="S372" s="57" t="str">
        <f t="shared" ca="1" si="282"/>
        <v>-</v>
      </c>
      <c r="T372" s="57" t="str">
        <f t="shared" ca="1" si="282"/>
        <v>-</v>
      </c>
      <c r="U372" s="57" t="str">
        <f t="shared" ca="1" si="282"/>
        <v>-</v>
      </c>
      <c r="V372" s="57" t="str">
        <f t="shared" ca="1" si="282"/>
        <v>-</v>
      </c>
      <c r="W372" s="57" t="str">
        <f t="shared" ca="1" si="282"/>
        <v>-</v>
      </c>
      <c r="X372" s="57" t="str">
        <f t="shared" ca="1" si="282"/>
        <v>-</v>
      </c>
      <c r="Y372" s="57" t="str">
        <f t="shared" ca="1" si="282"/>
        <v>-</v>
      </c>
      <c r="Z372" s="57" t="str">
        <f t="shared" ca="1" si="282"/>
        <v>-</v>
      </c>
      <c r="AA372" s="57" t="str">
        <f t="shared" ca="1" si="282"/>
        <v>-</v>
      </c>
      <c r="AB372" s="57" t="str">
        <f t="shared" ca="1" si="282"/>
        <v>-</v>
      </c>
      <c r="AC372" s="57" t="str">
        <f t="shared" ca="1" si="282"/>
        <v>-</v>
      </c>
      <c r="AD372" s="57" t="str">
        <f t="shared" ca="1" si="282"/>
        <v>-</v>
      </c>
      <c r="AE372" s="57" t="str">
        <f t="shared" ca="1" si="282"/>
        <v>-</v>
      </c>
      <c r="AF372" s="57" t="str">
        <f t="shared" ca="1" si="282"/>
        <v>-</v>
      </c>
      <c r="AG372" s="57" t="str">
        <f t="shared" ca="1" si="282"/>
        <v>-</v>
      </c>
      <c r="AH372" s="57" t="str">
        <f t="shared" ca="1" si="282"/>
        <v>-</v>
      </c>
      <c r="AI372" s="57" t="str">
        <f t="shared" ca="1" si="282"/>
        <v>-</v>
      </c>
      <c r="AJ372" s="57" t="str">
        <f t="shared" ca="1" si="282"/>
        <v>-</v>
      </c>
      <c r="AK372" s="57" t="str">
        <f t="shared" ca="1" si="282"/>
        <v>-</v>
      </c>
      <c r="AL372" s="57" t="str">
        <f t="shared" ca="1" si="282"/>
        <v>-</v>
      </c>
      <c r="AM372" s="57" t="str">
        <f t="shared" ca="1" si="282"/>
        <v>-</v>
      </c>
      <c r="AN372" s="57" t="str">
        <f t="shared" ca="1" si="282"/>
        <v>-</v>
      </c>
      <c r="AO372" s="57" t="str">
        <f t="shared" ca="1" si="282"/>
        <v>-</v>
      </c>
      <c r="AP372" s="57" t="str">
        <f t="shared" ca="1" si="282"/>
        <v>-</v>
      </c>
      <c r="AQ372" s="57" t="str">
        <f t="shared" ca="1" si="282"/>
        <v>-</v>
      </c>
      <c r="AR372" s="57" t="str">
        <f t="shared" ca="1" si="282"/>
        <v>-</v>
      </c>
      <c r="AS372" s="57" t="str">
        <f t="shared" ca="1" si="282"/>
        <v>-</v>
      </c>
      <c r="AT372" s="57" t="str">
        <f t="shared" ca="1" si="282"/>
        <v>-</v>
      </c>
      <c r="AU372" s="57" t="str">
        <f t="shared" ca="1" si="282"/>
        <v>-</v>
      </c>
      <c r="AV372" s="57" t="str">
        <f t="shared" ca="1" si="282"/>
        <v>-</v>
      </c>
      <c r="AW372" s="57" t="str">
        <f t="shared" ca="1" si="282"/>
        <v>-</v>
      </c>
      <c r="AX372" s="57" t="str">
        <f t="shared" ca="1" si="282"/>
        <v>-</v>
      </c>
      <c r="AY372" s="57" t="str">
        <f t="shared" ca="1" si="282"/>
        <v>-</v>
      </c>
    </row>
    <row r="373" spans="1:51" ht="15.5">
      <c r="A373" s="1" t="s">
        <v>142</v>
      </c>
      <c r="C373" s="109"/>
      <c r="E373" s="15" t="str">
        <f ca="1">"(E2) Cost "&amp;RIGHT(Context!$F$39,3)&amp;"/L (fuel)"</f>
        <v>(E2) Cost EUR/L (fuel)</v>
      </c>
      <c r="F373" s="57" t="str">
        <f t="shared" ref="F373:AY373" ca="1" si="283">IFERROR(F92/F333,"-")</f>
        <v>-</v>
      </c>
      <c r="G373" s="57" t="str">
        <f t="shared" ca="1" si="283"/>
        <v>-</v>
      </c>
      <c r="H373" s="57" t="str">
        <f t="shared" ca="1" si="283"/>
        <v>-</v>
      </c>
      <c r="I373" s="57" t="str">
        <f t="shared" ca="1" si="283"/>
        <v>-</v>
      </c>
      <c r="J373" s="57" t="str">
        <f t="shared" ca="1" si="283"/>
        <v>-</v>
      </c>
      <c r="K373" s="57" t="str">
        <f t="shared" ca="1" si="283"/>
        <v>-</v>
      </c>
      <c r="L373" s="57" t="str">
        <f t="shared" ca="1" si="283"/>
        <v>-</v>
      </c>
      <c r="M373" s="57" t="str">
        <f t="shared" ca="1" si="283"/>
        <v>-</v>
      </c>
      <c r="N373" s="57" t="str">
        <f t="shared" ca="1" si="283"/>
        <v>-</v>
      </c>
      <c r="O373" s="57" t="str">
        <f t="shared" ca="1" si="283"/>
        <v>-</v>
      </c>
      <c r="P373" s="57" t="str">
        <f t="shared" ca="1" si="283"/>
        <v>-</v>
      </c>
      <c r="Q373" s="57" t="str">
        <f t="shared" ca="1" si="283"/>
        <v>-</v>
      </c>
      <c r="R373" s="57" t="str">
        <f t="shared" ca="1" si="283"/>
        <v>-</v>
      </c>
      <c r="S373" s="57" t="str">
        <f t="shared" ca="1" si="283"/>
        <v>-</v>
      </c>
      <c r="T373" s="57" t="str">
        <f t="shared" ca="1" si="283"/>
        <v>-</v>
      </c>
      <c r="U373" s="57" t="str">
        <f t="shared" ca="1" si="283"/>
        <v>-</v>
      </c>
      <c r="V373" s="57" t="str">
        <f t="shared" ca="1" si="283"/>
        <v>-</v>
      </c>
      <c r="W373" s="57" t="str">
        <f t="shared" ca="1" si="283"/>
        <v>-</v>
      </c>
      <c r="X373" s="57" t="str">
        <f t="shared" ca="1" si="283"/>
        <v>-</v>
      </c>
      <c r="Y373" s="57" t="str">
        <f t="shared" ca="1" si="283"/>
        <v>-</v>
      </c>
      <c r="Z373" s="57" t="str">
        <f t="shared" ca="1" si="283"/>
        <v>-</v>
      </c>
      <c r="AA373" s="57" t="str">
        <f t="shared" ca="1" si="283"/>
        <v>-</v>
      </c>
      <c r="AB373" s="57" t="str">
        <f t="shared" ca="1" si="283"/>
        <v>-</v>
      </c>
      <c r="AC373" s="57" t="str">
        <f t="shared" ca="1" si="283"/>
        <v>-</v>
      </c>
      <c r="AD373" s="57" t="str">
        <f t="shared" ca="1" si="283"/>
        <v>-</v>
      </c>
      <c r="AE373" s="57" t="str">
        <f t="shared" ca="1" si="283"/>
        <v>-</v>
      </c>
      <c r="AF373" s="57" t="str">
        <f t="shared" ca="1" si="283"/>
        <v>-</v>
      </c>
      <c r="AG373" s="57" t="str">
        <f t="shared" ca="1" si="283"/>
        <v>-</v>
      </c>
      <c r="AH373" s="57" t="str">
        <f t="shared" ca="1" si="283"/>
        <v>-</v>
      </c>
      <c r="AI373" s="57" t="str">
        <f t="shared" ca="1" si="283"/>
        <v>-</v>
      </c>
      <c r="AJ373" s="57" t="str">
        <f t="shared" ca="1" si="283"/>
        <v>-</v>
      </c>
      <c r="AK373" s="57" t="str">
        <f t="shared" ca="1" si="283"/>
        <v>-</v>
      </c>
      <c r="AL373" s="57" t="str">
        <f t="shared" ca="1" si="283"/>
        <v>-</v>
      </c>
      <c r="AM373" s="57" t="str">
        <f t="shared" ca="1" si="283"/>
        <v>-</v>
      </c>
      <c r="AN373" s="57" t="str">
        <f t="shared" ca="1" si="283"/>
        <v>-</v>
      </c>
      <c r="AO373" s="57" t="str">
        <f t="shared" ca="1" si="283"/>
        <v>-</v>
      </c>
      <c r="AP373" s="57" t="str">
        <f t="shared" ca="1" si="283"/>
        <v>-</v>
      </c>
      <c r="AQ373" s="57" t="str">
        <f t="shared" ca="1" si="283"/>
        <v>-</v>
      </c>
      <c r="AR373" s="57" t="str">
        <f t="shared" ca="1" si="283"/>
        <v>-</v>
      </c>
      <c r="AS373" s="57" t="str">
        <f t="shared" ca="1" si="283"/>
        <v>-</v>
      </c>
      <c r="AT373" s="57" t="str">
        <f t="shared" ca="1" si="283"/>
        <v>-</v>
      </c>
      <c r="AU373" s="57" t="str">
        <f t="shared" ca="1" si="283"/>
        <v>-</v>
      </c>
      <c r="AV373" s="57" t="str">
        <f t="shared" ca="1" si="283"/>
        <v>-</v>
      </c>
      <c r="AW373" s="57" t="str">
        <f t="shared" ca="1" si="283"/>
        <v>-</v>
      </c>
      <c r="AX373" s="57" t="str">
        <f t="shared" ca="1" si="283"/>
        <v>-</v>
      </c>
      <c r="AY373" s="57" t="str">
        <f t="shared" ca="1" si="283"/>
        <v>-</v>
      </c>
    </row>
    <row r="374" spans="1:51" ht="15.5">
      <c r="A374" s="1" t="s">
        <v>142</v>
      </c>
      <c r="C374" s="109"/>
      <c r="E374" s="15" t="str">
        <f ca="1">"(E2) Cost "&amp;RIGHT(Context!$F$39,3)&amp;"/L (biofuel)"</f>
        <v>(E2) Cost EUR/L (biofuel)</v>
      </c>
      <c r="F374" s="57" t="str">
        <f t="shared" ref="F374:AY374" ca="1" si="284">IFERROR(F95/F335,"-")</f>
        <v>-</v>
      </c>
      <c r="G374" s="57" t="str">
        <f t="shared" ca="1" si="284"/>
        <v>-</v>
      </c>
      <c r="H374" s="57" t="str">
        <f t="shared" ca="1" si="284"/>
        <v>-</v>
      </c>
      <c r="I374" s="57" t="str">
        <f t="shared" ca="1" si="284"/>
        <v>-</v>
      </c>
      <c r="J374" s="57" t="str">
        <f t="shared" ca="1" si="284"/>
        <v>-</v>
      </c>
      <c r="K374" s="57" t="str">
        <f t="shared" ca="1" si="284"/>
        <v>-</v>
      </c>
      <c r="L374" s="57" t="str">
        <f t="shared" ca="1" si="284"/>
        <v>-</v>
      </c>
      <c r="M374" s="57" t="str">
        <f t="shared" ca="1" si="284"/>
        <v>-</v>
      </c>
      <c r="N374" s="57" t="str">
        <f t="shared" ca="1" si="284"/>
        <v>-</v>
      </c>
      <c r="O374" s="57" t="str">
        <f t="shared" ca="1" si="284"/>
        <v>-</v>
      </c>
      <c r="P374" s="57" t="str">
        <f t="shared" ca="1" si="284"/>
        <v>-</v>
      </c>
      <c r="Q374" s="57" t="str">
        <f t="shared" ca="1" si="284"/>
        <v>-</v>
      </c>
      <c r="R374" s="57" t="str">
        <f t="shared" ca="1" si="284"/>
        <v>-</v>
      </c>
      <c r="S374" s="57" t="str">
        <f t="shared" ca="1" si="284"/>
        <v>-</v>
      </c>
      <c r="T374" s="57" t="str">
        <f t="shared" ca="1" si="284"/>
        <v>-</v>
      </c>
      <c r="U374" s="57" t="str">
        <f t="shared" ca="1" si="284"/>
        <v>-</v>
      </c>
      <c r="V374" s="57" t="str">
        <f t="shared" ca="1" si="284"/>
        <v>-</v>
      </c>
      <c r="W374" s="57" t="str">
        <f t="shared" ca="1" si="284"/>
        <v>-</v>
      </c>
      <c r="X374" s="57" t="str">
        <f t="shared" ca="1" si="284"/>
        <v>-</v>
      </c>
      <c r="Y374" s="57" t="str">
        <f t="shared" ca="1" si="284"/>
        <v>-</v>
      </c>
      <c r="Z374" s="57" t="str">
        <f t="shared" ca="1" si="284"/>
        <v>-</v>
      </c>
      <c r="AA374" s="57" t="str">
        <f t="shared" ca="1" si="284"/>
        <v>-</v>
      </c>
      <c r="AB374" s="57" t="str">
        <f t="shared" ca="1" si="284"/>
        <v>-</v>
      </c>
      <c r="AC374" s="57" t="str">
        <f t="shared" ca="1" si="284"/>
        <v>-</v>
      </c>
      <c r="AD374" s="57" t="str">
        <f t="shared" ca="1" si="284"/>
        <v>-</v>
      </c>
      <c r="AE374" s="57" t="str">
        <f t="shared" ca="1" si="284"/>
        <v>-</v>
      </c>
      <c r="AF374" s="57" t="str">
        <f t="shared" ca="1" si="284"/>
        <v>-</v>
      </c>
      <c r="AG374" s="57" t="str">
        <f t="shared" ca="1" si="284"/>
        <v>-</v>
      </c>
      <c r="AH374" s="57" t="str">
        <f t="shared" ca="1" si="284"/>
        <v>-</v>
      </c>
      <c r="AI374" s="57" t="str">
        <f t="shared" ca="1" si="284"/>
        <v>-</v>
      </c>
      <c r="AJ374" s="57" t="str">
        <f t="shared" ca="1" si="284"/>
        <v>-</v>
      </c>
      <c r="AK374" s="57" t="str">
        <f t="shared" ca="1" si="284"/>
        <v>-</v>
      </c>
      <c r="AL374" s="57" t="str">
        <f t="shared" ca="1" si="284"/>
        <v>-</v>
      </c>
      <c r="AM374" s="57" t="str">
        <f t="shared" ca="1" si="284"/>
        <v>-</v>
      </c>
      <c r="AN374" s="57" t="str">
        <f t="shared" ca="1" si="284"/>
        <v>-</v>
      </c>
      <c r="AO374" s="57" t="str">
        <f t="shared" ca="1" si="284"/>
        <v>-</v>
      </c>
      <c r="AP374" s="57" t="str">
        <f t="shared" ca="1" si="284"/>
        <v>-</v>
      </c>
      <c r="AQ374" s="57" t="str">
        <f t="shared" ca="1" si="284"/>
        <v>-</v>
      </c>
      <c r="AR374" s="57" t="str">
        <f t="shared" ca="1" si="284"/>
        <v>-</v>
      </c>
      <c r="AS374" s="57" t="str">
        <f t="shared" ca="1" si="284"/>
        <v>-</v>
      </c>
      <c r="AT374" s="57" t="str">
        <f t="shared" ca="1" si="284"/>
        <v>-</v>
      </c>
      <c r="AU374" s="57" t="str">
        <f t="shared" ca="1" si="284"/>
        <v>-</v>
      </c>
      <c r="AV374" s="57" t="str">
        <f t="shared" ca="1" si="284"/>
        <v>-</v>
      </c>
      <c r="AW374" s="57" t="str">
        <f t="shared" ca="1" si="284"/>
        <v>-</v>
      </c>
      <c r="AX374" s="57" t="str">
        <f t="shared" ca="1" si="284"/>
        <v>-</v>
      </c>
      <c r="AY374" s="57" t="str">
        <f t="shared" ca="1" si="284"/>
        <v>-</v>
      </c>
    </row>
    <row r="375" spans="1:51" ht="15.5">
      <c r="A375" s="1" t="s">
        <v>142</v>
      </c>
      <c r="C375" s="109"/>
      <c r="E375" s="15" t="str">
        <f ca="1">"(E2) Cost "&amp;RIGHT(Context!$F$39,3)&amp;"/kWh (gas)"</f>
        <v>(E2) Cost EUR/kWh (gas)</v>
      </c>
      <c r="F375" s="57" t="str">
        <f t="shared" ref="F375:AY375" ca="1" si="285">IFERROR(F98/F337,"-")</f>
        <v>-</v>
      </c>
      <c r="G375" s="57" t="str">
        <f t="shared" ca="1" si="285"/>
        <v>-</v>
      </c>
      <c r="H375" s="57" t="str">
        <f t="shared" ca="1" si="285"/>
        <v>-</v>
      </c>
      <c r="I375" s="57" t="str">
        <f t="shared" ca="1" si="285"/>
        <v>-</v>
      </c>
      <c r="J375" s="57" t="str">
        <f t="shared" ca="1" si="285"/>
        <v>-</v>
      </c>
      <c r="K375" s="57" t="str">
        <f t="shared" ca="1" si="285"/>
        <v>-</v>
      </c>
      <c r="L375" s="57" t="str">
        <f t="shared" ca="1" si="285"/>
        <v>-</v>
      </c>
      <c r="M375" s="57" t="str">
        <f t="shared" ca="1" si="285"/>
        <v>-</v>
      </c>
      <c r="N375" s="57" t="str">
        <f t="shared" ca="1" si="285"/>
        <v>-</v>
      </c>
      <c r="O375" s="57" t="str">
        <f t="shared" ca="1" si="285"/>
        <v>-</v>
      </c>
      <c r="P375" s="57" t="str">
        <f t="shared" ca="1" si="285"/>
        <v>-</v>
      </c>
      <c r="Q375" s="57" t="str">
        <f t="shared" ca="1" si="285"/>
        <v>-</v>
      </c>
      <c r="R375" s="57" t="str">
        <f t="shared" ca="1" si="285"/>
        <v>-</v>
      </c>
      <c r="S375" s="57" t="str">
        <f t="shared" ca="1" si="285"/>
        <v>-</v>
      </c>
      <c r="T375" s="57" t="str">
        <f t="shared" ca="1" si="285"/>
        <v>-</v>
      </c>
      <c r="U375" s="57" t="str">
        <f t="shared" ca="1" si="285"/>
        <v>-</v>
      </c>
      <c r="V375" s="57" t="str">
        <f t="shared" ca="1" si="285"/>
        <v>-</v>
      </c>
      <c r="W375" s="57" t="str">
        <f t="shared" ca="1" si="285"/>
        <v>-</v>
      </c>
      <c r="X375" s="57" t="str">
        <f t="shared" ca="1" si="285"/>
        <v>-</v>
      </c>
      <c r="Y375" s="57" t="str">
        <f t="shared" ca="1" si="285"/>
        <v>-</v>
      </c>
      <c r="Z375" s="57" t="str">
        <f t="shared" ca="1" si="285"/>
        <v>-</v>
      </c>
      <c r="AA375" s="57" t="str">
        <f t="shared" ca="1" si="285"/>
        <v>-</v>
      </c>
      <c r="AB375" s="57" t="str">
        <f t="shared" ca="1" si="285"/>
        <v>-</v>
      </c>
      <c r="AC375" s="57" t="str">
        <f t="shared" ca="1" si="285"/>
        <v>-</v>
      </c>
      <c r="AD375" s="57" t="str">
        <f t="shared" ca="1" si="285"/>
        <v>-</v>
      </c>
      <c r="AE375" s="57" t="str">
        <f t="shared" ca="1" si="285"/>
        <v>-</v>
      </c>
      <c r="AF375" s="57" t="str">
        <f t="shared" ca="1" si="285"/>
        <v>-</v>
      </c>
      <c r="AG375" s="57" t="str">
        <f t="shared" ca="1" si="285"/>
        <v>-</v>
      </c>
      <c r="AH375" s="57" t="str">
        <f t="shared" ca="1" si="285"/>
        <v>-</v>
      </c>
      <c r="AI375" s="57" t="str">
        <f t="shared" ca="1" si="285"/>
        <v>-</v>
      </c>
      <c r="AJ375" s="57" t="str">
        <f t="shared" ca="1" si="285"/>
        <v>-</v>
      </c>
      <c r="AK375" s="57" t="str">
        <f t="shared" ca="1" si="285"/>
        <v>-</v>
      </c>
      <c r="AL375" s="57" t="str">
        <f t="shared" ca="1" si="285"/>
        <v>-</v>
      </c>
      <c r="AM375" s="57" t="str">
        <f t="shared" ca="1" si="285"/>
        <v>-</v>
      </c>
      <c r="AN375" s="57" t="str">
        <f t="shared" ca="1" si="285"/>
        <v>-</v>
      </c>
      <c r="AO375" s="57" t="str">
        <f t="shared" ca="1" si="285"/>
        <v>-</v>
      </c>
      <c r="AP375" s="57" t="str">
        <f t="shared" ca="1" si="285"/>
        <v>-</v>
      </c>
      <c r="AQ375" s="57" t="str">
        <f t="shared" ca="1" si="285"/>
        <v>-</v>
      </c>
      <c r="AR375" s="57" t="str">
        <f t="shared" ca="1" si="285"/>
        <v>-</v>
      </c>
      <c r="AS375" s="57" t="str">
        <f t="shared" ca="1" si="285"/>
        <v>-</v>
      </c>
      <c r="AT375" s="57" t="str">
        <f t="shared" ca="1" si="285"/>
        <v>-</v>
      </c>
      <c r="AU375" s="57" t="str">
        <f t="shared" ca="1" si="285"/>
        <v>-</v>
      </c>
      <c r="AV375" s="57" t="str">
        <f t="shared" ca="1" si="285"/>
        <v>-</v>
      </c>
      <c r="AW375" s="57" t="str">
        <f t="shared" ca="1" si="285"/>
        <v>-</v>
      </c>
      <c r="AX375" s="57" t="str">
        <f t="shared" ca="1" si="285"/>
        <v>-</v>
      </c>
      <c r="AY375" s="57" t="str">
        <f t="shared" ca="1" si="285"/>
        <v>-</v>
      </c>
    </row>
    <row r="376" spans="1:51" ht="15.5">
      <c r="A376" s="1" t="s">
        <v>142</v>
      </c>
      <c r="C376" s="109"/>
      <c r="E376" s="15" t="str">
        <f ca="1">"(E2) Cost "&amp;RIGHT(Context!$F$39,3)&amp;"/kWh (electricity)"</f>
        <v>(E2) Cost EUR/kWh (electricity)</v>
      </c>
      <c r="F376" s="57" t="str">
        <f t="shared" ref="F376:AY376" ca="1" si="286">IFERROR(F87/F339,"-")</f>
        <v>-</v>
      </c>
      <c r="G376" s="57" t="str">
        <f t="shared" ca="1" si="286"/>
        <v>-</v>
      </c>
      <c r="H376" s="57" t="str">
        <f t="shared" ca="1" si="286"/>
        <v>-</v>
      </c>
      <c r="I376" s="57" t="str">
        <f t="shared" ca="1" si="286"/>
        <v>-</v>
      </c>
      <c r="J376" s="57" t="str">
        <f t="shared" ca="1" si="286"/>
        <v>-</v>
      </c>
      <c r="K376" s="57" t="str">
        <f t="shared" ca="1" si="286"/>
        <v>-</v>
      </c>
      <c r="L376" s="57" t="str">
        <f t="shared" ca="1" si="286"/>
        <v>-</v>
      </c>
      <c r="M376" s="57" t="str">
        <f t="shared" ca="1" si="286"/>
        <v>-</v>
      </c>
      <c r="N376" s="57" t="str">
        <f t="shared" ca="1" si="286"/>
        <v>-</v>
      </c>
      <c r="O376" s="57" t="str">
        <f t="shared" ca="1" si="286"/>
        <v>-</v>
      </c>
      <c r="P376" s="57" t="str">
        <f t="shared" ca="1" si="286"/>
        <v>-</v>
      </c>
      <c r="Q376" s="57" t="str">
        <f t="shared" ca="1" si="286"/>
        <v>-</v>
      </c>
      <c r="R376" s="57" t="str">
        <f t="shared" ca="1" si="286"/>
        <v>-</v>
      </c>
      <c r="S376" s="57" t="str">
        <f t="shared" ca="1" si="286"/>
        <v>-</v>
      </c>
      <c r="T376" s="57" t="str">
        <f t="shared" ca="1" si="286"/>
        <v>-</v>
      </c>
      <c r="U376" s="57" t="str">
        <f t="shared" ca="1" si="286"/>
        <v>-</v>
      </c>
      <c r="V376" s="57" t="str">
        <f t="shared" ca="1" si="286"/>
        <v>-</v>
      </c>
      <c r="W376" s="57" t="str">
        <f t="shared" ca="1" si="286"/>
        <v>-</v>
      </c>
      <c r="X376" s="57" t="str">
        <f t="shared" ca="1" si="286"/>
        <v>-</v>
      </c>
      <c r="Y376" s="57" t="str">
        <f t="shared" ca="1" si="286"/>
        <v>-</v>
      </c>
      <c r="Z376" s="57" t="str">
        <f t="shared" ca="1" si="286"/>
        <v>-</v>
      </c>
      <c r="AA376" s="57" t="str">
        <f t="shared" ca="1" si="286"/>
        <v>-</v>
      </c>
      <c r="AB376" s="57" t="str">
        <f t="shared" ca="1" si="286"/>
        <v>-</v>
      </c>
      <c r="AC376" s="57" t="str">
        <f t="shared" ca="1" si="286"/>
        <v>-</v>
      </c>
      <c r="AD376" s="57" t="str">
        <f t="shared" ca="1" si="286"/>
        <v>-</v>
      </c>
      <c r="AE376" s="57" t="str">
        <f t="shared" ca="1" si="286"/>
        <v>-</v>
      </c>
      <c r="AF376" s="57" t="str">
        <f t="shared" ca="1" si="286"/>
        <v>-</v>
      </c>
      <c r="AG376" s="57" t="str">
        <f t="shared" ca="1" si="286"/>
        <v>-</v>
      </c>
      <c r="AH376" s="57" t="str">
        <f t="shared" ca="1" si="286"/>
        <v>-</v>
      </c>
      <c r="AI376" s="57" t="str">
        <f t="shared" ca="1" si="286"/>
        <v>-</v>
      </c>
      <c r="AJ376" s="57" t="str">
        <f t="shared" ca="1" si="286"/>
        <v>-</v>
      </c>
      <c r="AK376" s="57" t="str">
        <f t="shared" ca="1" si="286"/>
        <v>-</v>
      </c>
      <c r="AL376" s="57" t="str">
        <f t="shared" ca="1" si="286"/>
        <v>-</v>
      </c>
      <c r="AM376" s="57" t="str">
        <f t="shared" ca="1" si="286"/>
        <v>-</v>
      </c>
      <c r="AN376" s="57" t="str">
        <f t="shared" ca="1" si="286"/>
        <v>-</v>
      </c>
      <c r="AO376" s="57" t="str">
        <f t="shared" ca="1" si="286"/>
        <v>-</v>
      </c>
      <c r="AP376" s="57" t="str">
        <f t="shared" ca="1" si="286"/>
        <v>-</v>
      </c>
      <c r="AQ376" s="57" t="str">
        <f t="shared" ca="1" si="286"/>
        <v>-</v>
      </c>
      <c r="AR376" s="57" t="str">
        <f t="shared" ca="1" si="286"/>
        <v>-</v>
      </c>
      <c r="AS376" s="57" t="str">
        <f t="shared" ca="1" si="286"/>
        <v>-</v>
      </c>
      <c r="AT376" s="57" t="str">
        <f t="shared" ca="1" si="286"/>
        <v>-</v>
      </c>
      <c r="AU376" s="57" t="str">
        <f t="shared" ca="1" si="286"/>
        <v>-</v>
      </c>
      <c r="AV376" s="57" t="str">
        <f t="shared" ca="1" si="286"/>
        <v>-</v>
      </c>
      <c r="AW376" s="57" t="str">
        <f t="shared" ca="1" si="286"/>
        <v>-</v>
      </c>
      <c r="AX376" s="57" t="str">
        <f t="shared" ca="1" si="286"/>
        <v>-</v>
      </c>
      <c r="AY376" s="57" t="str">
        <f t="shared" ca="1" si="286"/>
        <v>-</v>
      </c>
    </row>
    <row r="377" spans="1:51" ht="15.5">
      <c r="A377" s="1" t="s">
        <v>142</v>
      </c>
      <c r="C377" s="109"/>
      <c r="E377" s="15" t="str">
        <f ca="1">"(D1) Payroll "&amp;RIGHT(Context!$F$39,3)&amp;"/FTE (Drivers)"</f>
        <v>(D1) Payroll EUR/FTE (Drivers)</v>
      </c>
      <c r="F377" s="57" t="str">
        <f t="shared" ref="F377:AY377" ca="1" si="287">IFERROR(F45/F321,"-")</f>
        <v>-</v>
      </c>
      <c r="G377" s="57" t="str">
        <f t="shared" ca="1" si="287"/>
        <v>-</v>
      </c>
      <c r="H377" s="57" t="str">
        <f t="shared" ca="1" si="287"/>
        <v>-</v>
      </c>
      <c r="I377" s="57" t="str">
        <f t="shared" ca="1" si="287"/>
        <v>-</v>
      </c>
      <c r="J377" s="57" t="str">
        <f t="shared" ca="1" si="287"/>
        <v>-</v>
      </c>
      <c r="K377" s="57" t="str">
        <f t="shared" ca="1" si="287"/>
        <v>-</v>
      </c>
      <c r="L377" s="57" t="str">
        <f t="shared" ca="1" si="287"/>
        <v>-</v>
      </c>
      <c r="M377" s="57" t="str">
        <f t="shared" ca="1" si="287"/>
        <v>-</v>
      </c>
      <c r="N377" s="57" t="str">
        <f t="shared" ca="1" si="287"/>
        <v>-</v>
      </c>
      <c r="O377" s="57" t="str">
        <f t="shared" ca="1" si="287"/>
        <v>-</v>
      </c>
      <c r="P377" s="57" t="str">
        <f t="shared" ca="1" si="287"/>
        <v>-</v>
      </c>
      <c r="Q377" s="57" t="str">
        <f t="shared" ca="1" si="287"/>
        <v>-</v>
      </c>
      <c r="R377" s="57" t="str">
        <f t="shared" ca="1" si="287"/>
        <v>-</v>
      </c>
      <c r="S377" s="57" t="str">
        <f t="shared" ca="1" si="287"/>
        <v>-</v>
      </c>
      <c r="T377" s="57" t="str">
        <f t="shared" ca="1" si="287"/>
        <v>-</v>
      </c>
      <c r="U377" s="57" t="str">
        <f t="shared" ca="1" si="287"/>
        <v>-</v>
      </c>
      <c r="V377" s="57" t="str">
        <f t="shared" ca="1" si="287"/>
        <v>-</v>
      </c>
      <c r="W377" s="57" t="str">
        <f t="shared" ca="1" si="287"/>
        <v>-</v>
      </c>
      <c r="X377" s="57" t="str">
        <f t="shared" ca="1" si="287"/>
        <v>-</v>
      </c>
      <c r="Y377" s="57" t="str">
        <f t="shared" ca="1" si="287"/>
        <v>-</v>
      </c>
      <c r="Z377" s="57" t="str">
        <f t="shared" ca="1" si="287"/>
        <v>-</v>
      </c>
      <c r="AA377" s="57" t="str">
        <f t="shared" ca="1" si="287"/>
        <v>-</v>
      </c>
      <c r="AB377" s="57" t="str">
        <f t="shared" ca="1" si="287"/>
        <v>-</v>
      </c>
      <c r="AC377" s="57" t="str">
        <f t="shared" ca="1" si="287"/>
        <v>-</v>
      </c>
      <c r="AD377" s="57" t="str">
        <f t="shared" ca="1" si="287"/>
        <v>-</v>
      </c>
      <c r="AE377" s="57" t="str">
        <f t="shared" ca="1" si="287"/>
        <v>-</v>
      </c>
      <c r="AF377" s="57" t="str">
        <f t="shared" ca="1" si="287"/>
        <v>-</v>
      </c>
      <c r="AG377" s="57" t="str">
        <f t="shared" ca="1" si="287"/>
        <v>-</v>
      </c>
      <c r="AH377" s="57" t="str">
        <f t="shared" ca="1" si="287"/>
        <v>-</v>
      </c>
      <c r="AI377" s="57" t="str">
        <f t="shared" ca="1" si="287"/>
        <v>-</v>
      </c>
      <c r="AJ377" s="57" t="str">
        <f t="shared" ca="1" si="287"/>
        <v>-</v>
      </c>
      <c r="AK377" s="57" t="str">
        <f t="shared" ca="1" si="287"/>
        <v>-</v>
      </c>
      <c r="AL377" s="57" t="str">
        <f t="shared" ca="1" si="287"/>
        <v>-</v>
      </c>
      <c r="AM377" s="57" t="str">
        <f t="shared" ca="1" si="287"/>
        <v>-</v>
      </c>
      <c r="AN377" s="57" t="str">
        <f t="shared" ca="1" si="287"/>
        <v>-</v>
      </c>
      <c r="AO377" s="57" t="str">
        <f t="shared" ca="1" si="287"/>
        <v>-</v>
      </c>
      <c r="AP377" s="57" t="str">
        <f t="shared" ca="1" si="287"/>
        <v>-</v>
      </c>
      <c r="AQ377" s="57" t="str">
        <f t="shared" ca="1" si="287"/>
        <v>-</v>
      </c>
      <c r="AR377" s="57" t="str">
        <f t="shared" ca="1" si="287"/>
        <v>-</v>
      </c>
      <c r="AS377" s="57" t="str">
        <f t="shared" ca="1" si="287"/>
        <v>-</v>
      </c>
      <c r="AT377" s="57" t="str">
        <f t="shared" ca="1" si="287"/>
        <v>-</v>
      </c>
      <c r="AU377" s="57" t="str">
        <f t="shared" ca="1" si="287"/>
        <v>-</v>
      </c>
      <c r="AV377" s="57" t="str">
        <f t="shared" ca="1" si="287"/>
        <v>-</v>
      </c>
      <c r="AW377" s="57" t="str">
        <f t="shared" ca="1" si="287"/>
        <v>-</v>
      </c>
      <c r="AX377" s="57" t="str">
        <f t="shared" ca="1" si="287"/>
        <v>-</v>
      </c>
      <c r="AY377" s="57" t="str">
        <f t="shared" ca="1" si="287"/>
        <v>-</v>
      </c>
    </row>
    <row r="378" spans="1:51" ht="15.5">
      <c r="A378" s="1" t="s">
        <v>142</v>
      </c>
      <c r="C378" s="109"/>
      <c r="E378" s="15" t="s">
        <v>117</v>
      </c>
      <c r="F378" s="57" t="str">
        <f t="shared" ref="F378:AY378" ca="1" si="288">IFERROR(F317/F321,"-")</f>
        <v>-</v>
      </c>
      <c r="G378" s="57" t="str">
        <f t="shared" ca="1" si="288"/>
        <v>-</v>
      </c>
      <c r="H378" s="57" t="str">
        <f t="shared" ca="1" si="288"/>
        <v>-</v>
      </c>
      <c r="I378" s="57" t="str">
        <f t="shared" ca="1" si="288"/>
        <v>-</v>
      </c>
      <c r="J378" s="57" t="str">
        <f t="shared" ca="1" si="288"/>
        <v>-</v>
      </c>
      <c r="K378" s="57" t="str">
        <f t="shared" ca="1" si="288"/>
        <v>-</v>
      </c>
      <c r="L378" s="57" t="str">
        <f t="shared" ca="1" si="288"/>
        <v>-</v>
      </c>
      <c r="M378" s="57" t="str">
        <f t="shared" ca="1" si="288"/>
        <v>-</v>
      </c>
      <c r="N378" s="57" t="str">
        <f t="shared" ca="1" si="288"/>
        <v>-</v>
      </c>
      <c r="O378" s="57" t="str">
        <f t="shared" ca="1" si="288"/>
        <v>-</v>
      </c>
      <c r="P378" s="57" t="str">
        <f t="shared" ca="1" si="288"/>
        <v>-</v>
      </c>
      <c r="Q378" s="57" t="str">
        <f t="shared" ca="1" si="288"/>
        <v>-</v>
      </c>
      <c r="R378" s="57" t="str">
        <f t="shared" ca="1" si="288"/>
        <v>-</v>
      </c>
      <c r="S378" s="57" t="str">
        <f t="shared" ca="1" si="288"/>
        <v>-</v>
      </c>
      <c r="T378" s="57" t="str">
        <f t="shared" ca="1" si="288"/>
        <v>-</v>
      </c>
      <c r="U378" s="57" t="str">
        <f t="shared" ca="1" si="288"/>
        <v>-</v>
      </c>
      <c r="V378" s="57" t="str">
        <f t="shared" ca="1" si="288"/>
        <v>-</v>
      </c>
      <c r="W378" s="57" t="str">
        <f t="shared" ca="1" si="288"/>
        <v>-</v>
      </c>
      <c r="X378" s="57" t="str">
        <f t="shared" ca="1" si="288"/>
        <v>-</v>
      </c>
      <c r="Y378" s="57" t="str">
        <f t="shared" ca="1" si="288"/>
        <v>-</v>
      </c>
      <c r="Z378" s="57" t="str">
        <f t="shared" ca="1" si="288"/>
        <v>-</v>
      </c>
      <c r="AA378" s="57" t="str">
        <f t="shared" ca="1" si="288"/>
        <v>-</v>
      </c>
      <c r="AB378" s="57" t="str">
        <f t="shared" ca="1" si="288"/>
        <v>-</v>
      </c>
      <c r="AC378" s="57" t="str">
        <f t="shared" ca="1" si="288"/>
        <v>-</v>
      </c>
      <c r="AD378" s="57" t="str">
        <f t="shared" ca="1" si="288"/>
        <v>-</v>
      </c>
      <c r="AE378" s="57" t="str">
        <f t="shared" ca="1" si="288"/>
        <v>-</v>
      </c>
      <c r="AF378" s="57" t="str">
        <f t="shared" ca="1" si="288"/>
        <v>-</v>
      </c>
      <c r="AG378" s="57" t="str">
        <f t="shared" ca="1" si="288"/>
        <v>-</v>
      </c>
      <c r="AH378" s="57" t="str">
        <f t="shared" ca="1" si="288"/>
        <v>-</v>
      </c>
      <c r="AI378" s="57" t="str">
        <f t="shared" ca="1" si="288"/>
        <v>-</v>
      </c>
      <c r="AJ378" s="57" t="str">
        <f t="shared" ca="1" si="288"/>
        <v>-</v>
      </c>
      <c r="AK378" s="57" t="str">
        <f t="shared" ca="1" si="288"/>
        <v>-</v>
      </c>
      <c r="AL378" s="57" t="str">
        <f t="shared" ca="1" si="288"/>
        <v>-</v>
      </c>
      <c r="AM378" s="57" t="str">
        <f t="shared" ca="1" si="288"/>
        <v>-</v>
      </c>
      <c r="AN378" s="57" t="str">
        <f t="shared" ca="1" si="288"/>
        <v>-</v>
      </c>
      <c r="AO378" s="57" t="str">
        <f t="shared" ca="1" si="288"/>
        <v>-</v>
      </c>
      <c r="AP378" s="57" t="str">
        <f t="shared" ca="1" si="288"/>
        <v>-</v>
      </c>
      <c r="AQ378" s="57" t="str">
        <f t="shared" ca="1" si="288"/>
        <v>-</v>
      </c>
      <c r="AR378" s="57" t="str">
        <f t="shared" ca="1" si="288"/>
        <v>-</v>
      </c>
      <c r="AS378" s="57" t="str">
        <f t="shared" ca="1" si="288"/>
        <v>-</v>
      </c>
      <c r="AT378" s="57" t="str">
        <f t="shared" ca="1" si="288"/>
        <v>-</v>
      </c>
      <c r="AU378" s="57" t="str">
        <f t="shared" ca="1" si="288"/>
        <v>-</v>
      </c>
      <c r="AV378" s="57" t="str">
        <f t="shared" ca="1" si="288"/>
        <v>-</v>
      </c>
      <c r="AW378" s="57" t="str">
        <f t="shared" ca="1" si="288"/>
        <v>-</v>
      </c>
      <c r="AX378" s="57" t="str">
        <f t="shared" ca="1" si="288"/>
        <v>-</v>
      </c>
      <c r="AY378" s="57" t="str">
        <f t="shared" ca="1" si="288"/>
        <v>-</v>
      </c>
    </row>
    <row r="379" spans="1:51" ht="15.5">
      <c r="A379" s="1" t="s">
        <v>142</v>
      </c>
      <c r="C379" s="109"/>
      <c r="E379" s="15" t="str">
        <f ca="1">"(M1) "&amp;RIGHT(Context!$F$39,3)&amp;"/veh"</f>
        <v>(M1) EUR/veh</v>
      </c>
      <c r="F379" s="57" t="str">
        <f t="shared" ref="F379:AY379" ca="1" si="289">IFERROR(F48/(F341+F343+F345+F347+F349+F351),"-")</f>
        <v>-</v>
      </c>
      <c r="G379" s="57" t="str">
        <f t="shared" ca="1" si="289"/>
        <v>-</v>
      </c>
      <c r="H379" s="57" t="str">
        <f t="shared" ca="1" si="289"/>
        <v>-</v>
      </c>
      <c r="I379" s="57" t="str">
        <f t="shared" ca="1" si="289"/>
        <v>-</v>
      </c>
      <c r="J379" s="57" t="str">
        <f t="shared" ca="1" si="289"/>
        <v>-</v>
      </c>
      <c r="K379" s="57" t="str">
        <f t="shared" ca="1" si="289"/>
        <v>-</v>
      </c>
      <c r="L379" s="57" t="str">
        <f t="shared" ca="1" si="289"/>
        <v>-</v>
      </c>
      <c r="M379" s="57" t="str">
        <f t="shared" ca="1" si="289"/>
        <v>-</v>
      </c>
      <c r="N379" s="57" t="str">
        <f t="shared" ca="1" si="289"/>
        <v>-</v>
      </c>
      <c r="O379" s="57" t="str">
        <f t="shared" ca="1" si="289"/>
        <v>-</v>
      </c>
      <c r="P379" s="57" t="str">
        <f t="shared" ca="1" si="289"/>
        <v>-</v>
      </c>
      <c r="Q379" s="57" t="str">
        <f t="shared" ca="1" si="289"/>
        <v>-</v>
      </c>
      <c r="R379" s="57" t="str">
        <f t="shared" ca="1" si="289"/>
        <v>-</v>
      </c>
      <c r="S379" s="57" t="str">
        <f t="shared" ca="1" si="289"/>
        <v>-</v>
      </c>
      <c r="T379" s="57" t="str">
        <f t="shared" ca="1" si="289"/>
        <v>-</v>
      </c>
      <c r="U379" s="57" t="str">
        <f t="shared" ca="1" si="289"/>
        <v>-</v>
      </c>
      <c r="V379" s="57" t="str">
        <f t="shared" ca="1" si="289"/>
        <v>-</v>
      </c>
      <c r="W379" s="57" t="str">
        <f t="shared" ca="1" si="289"/>
        <v>-</v>
      </c>
      <c r="X379" s="57" t="str">
        <f t="shared" ca="1" si="289"/>
        <v>-</v>
      </c>
      <c r="Y379" s="57" t="str">
        <f t="shared" ca="1" si="289"/>
        <v>-</v>
      </c>
      <c r="Z379" s="57" t="str">
        <f t="shared" ca="1" si="289"/>
        <v>-</v>
      </c>
      <c r="AA379" s="57" t="str">
        <f t="shared" ca="1" si="289"/>
        <v>-</v>
      </c>
      <c r="AB379" s="57" t="str">
        <f t="shared" ca="1" si="289"/>
        <v>-</v>
      </c>
      <c r="AC379" s="57" t="str">
        <f t="shared" ca="1" si="289"/>
        <v>-</v>
      </c>
      <c r="AD379" s="57" t="str">
        <f t="shared" ca="1" si="289"/>
        <v>-</v>
      </c>
      <c r="AE379" s="57" t="str">
        <f t="shared" ca="1" si="289"/>
        <v>-</v>
      </c>
      <c r="AF379" s="57" t="str">
        <f t="shared" ca="1" si="289"/>
        <v>-</v>
      </c>
      <c r="AG379" s="57" t="str">
        <f t="shared" ca="1" si="289"/>
        <v>-</v>
      </c>
      <c r="AH379" s="57" t="str">
        <f t="shared" ca="1" si="289"/>
        <v>-</v>
      </c>
      <c r="AI379" s="57" t="str">
        <f t="shared" ca="1" si="289"/>
        <v>-</v>
      </c>
      <c r="AJ379" s="57" t="str">
        <f t="shared" ca="1" si="289"/>
        <v>-</v>
      </c>
      <c r="AK379" s="57" t="str">
        <f t="shared" ca="1" si="289"/>
        <v>-</v>
      </c>
      <c r="AL379" s="57" t="str">
        <f t="shared" ca="1" si="289"/>
        <v>-</v>
      </c>
      <c r="AM379" s="57" t="str">
        <f t="shared" ca="1" si="289"/>
        <v>-</v>
      </c>
      <c r="AN379" s="57" t="str">
        <f t="shared" ca="1" si="289"/>
        <v>-</v>
      </c>
      <c r="AO379" s="57" t="str">
        <f t="shared" ca="1" si="289"/>
        <v>-</v>
      </c>
      <c r="AP379" s="57" t="str">
        <f t="shared" ca="1" si="289"/>
        <v>-</v>
      </c>
      <c r="AQ379" s="57" t="str">
        <f t="shared" ca="1" si="289"/>
        <v>-</v>
      </c>
      <c r="AR379" s="57" t="str">
        <f t="shared" ca="1" si="289"/>
        <v>-</v>
      </c>
      <c r="AS379" s="57" t="str">
        <f t="shared" ca="1" si="289"/>
        <v>-</v>
      </c>
      <c r="AT379" s="57" t="str">
        <f t="shared" ca="1" si="289"/>
        <v>-</v>
      </c>
      <c r="AU379" s="57" t="str">
        <f t="shared" ca="1" si="289"/>
        <v>-</v>
      </c>
      <c r="AV379" s="57" t="str">
        <f t="shared" ca="1" si="289"/>
        <v>-</v>
      </c>
      <c r="AW379" s="57" t="str">
        <f t="shared" ca="1" si="289"/>
        <v>-</v>
      </c>
      <c r="AX379" s="57" t="str">
        <f t="shared" ca="1" si="289"/>
        <v>-</v>
      </c>
      <c r="AY379" s="57" t="str">
        <f t="shared" ca="1" si="289"/>
        <v>-</v>
      </c>
    </row>
    <row r="380" spans="1:51" ht="15.5">
      <c r="A380" s="1" t="s">
        <v>142</v>
      </c>
      <c r="C380" s="109"/>
      <c r="E380" s="15" t="str">
        <f ca="1">"(M2) Payroll "&amp;RIGHT(Context!$F$39,3)&amp;"/FTE (Maintenance)"</f>
        <v>(M2) Payroll EUR/FTE (Maintenance)</v>
      </c>
      <c r="F380" s="57" t="str">
        <f t="shared" ref="F380:AY380" ca="1" si="290">IFERROR(F48/(F324+F328),"-")</f>
        <v>-</v>
      </c>
      <c r="G380" s="57" t="str">
        <f t="shared" ca="1" si="290"/>
        <v>-</v>
      </c>
      <c r="H380" s="57" t="str">
        <f t="shared" ca="1" si="290"/>
        <v>-</v>
      </c>
      <c r="I380" s="57" t="str">
        <f t="shared" ca="1" si="290"/>
        <v>-</v>
      </c>
      <c r="J380" s="57" t="str">
        <f t="shared" ca="1" si="290"/>
        <v>-</v>
      </c>
      <c r="K380" s="57" t="str">
        <f t="shared" ca="1" si="290"/>
        <v>-</v>
      </c>
      <c r="L380" s="57" t="str">
        <f t="shared" ca="1" si="290"/>
        <v>-</v>
      </c>
      <c r="M380" s="57" t="str">
        <f t="shared" ca="1" si="290"/>
        <v>-</v>
      </c>
      <c r="N380" s="57" t="str">
        <f t="shared" ca="1" si="290"/>
        <v>-</v>
      </c>
      <c r="O380" s="57" t="str">
        <f t="shared" ca="1" si="290"/>
        <v>-</v>
      </c>
      <c r="P380" s="57" t="str">
        <f t="shared" ca="1" si="290"/>
        <v>-</v>
      </c>
      <c r="Q380" s="57" t="str">
        <f t="shared" ca="1" si="290"/>
        <v>-</v>
      </c>
      <c r="R380" s="57" t="str">
        <f t="shared" ca="1" si="290"/>
        <v>-</v>
      </c>
      <c r="S380" s="57" t="str">
        <f t="shared" ca="1" si="290"/>
        <v>-</v>
      </c>
      <c r="T380" s="57" t="str">
        <f t="shared" ca="1" si="290"/>
        <v>-</v>
      </c>
      <c r="U380" s="57" t="str">
        <f t="shared" ca="1" si="290"/>
        <v>-</v>
      </c>
      <c r="V380" s="57" t="str">
        <f t="shared" ca="1" si="290"/>
        <v>-</v>
      </c>
      <c r="W380" s="57" t="str">
        <f t="shared" ca="1" si="290"/>
        <v>-</v>
      </c>
      <c r="X380" s="57" t="str">
        <f t="shared" ca="1" si="290"/>
        <v>-</v>
      </c>
      <c r="Y380" s="57" t="str">
        <f t="shared" ca="1" si="290"/>
        <v>-</v>
      </c>
      <c r="Z380" s="57" t="str">
        <f t="shared" ca="1" si="290"/>
        <v>-</v>
      </c>
      <c r="AA380" s="57" t="str">
        <f t="shared" ca="1" si="290"/>
        <v>-</v>
      </c>
      <c r="AB380" s="57" t="str">
        <f t="shared" ca="1" si="290"/>
        <v>-</v>
      </c>
      <c r="AC380" s="57" t="str">
        <f t="shared" ca="1" si="290"/>
        <v>-</v>
      </c>
      <c r="AD380" s="57" t="str">
        <f t="shared" ca="1" si="290"/>
        <v>-</v>
      </c>
      <c r="AE380" s="57" t="str">
        <f t="shared" ca="1" si="290"/>
        <v>-</v>
      </c>
      <c r="AF380" s="57" t="str">
        <f t="shared" ca="1" si="290"/>
        <v>-</v>
      </c>
      <c r="AG380" s="57" t="str">
        <f t="shared" ca="1" si="290"/>
        <v>-</v>
      </c>
      <c r="AH380" s="57" t="str">
        <f t="shared" ca="1" si="290"/>
        <v>-</v>
      </c>
      <c r="AI380" s="57" t="str">
        <f t="shared" ca="1" si="290"/>
        <v>-</v>
      </c>
      <c r="AJ380" s="57" t="str">
        <f t="shared" ca="1" si="290"/>
        <v>-</v>
      </c>
      <c r="AK380" s="57" t="str">
        <f t="shared" ca="1" si="290"/>
        <v>-</v>
      </c>
      <c r="AL380" s="57" t="str">
        <f t="shared" ca="1" si="290"/>
        <v>-</v>
      </c>
      <c r="AM380" s="57" t="str">
        <f t="shared" ca="1" si="290"/>
        <v>-</v>
      </c>
      <c r="AN380" s="57" t="str">
        <f t="shared" ca="1" si="290"/>
        <v>-</v>
      </c>
      <c r="AO380" s="57" t="str">
        <f t="shared" ca="1" si="290"/>
        <v>-</v>
      </c>
      <c r="AP380" s="57" t="str">
        <f t="shared" ca="1" si="290"/>
        <v>-</v>
      </c>
      <c r="AQ380" s="57" t="str">
        <f t="shared" ca="1" si="290"/>
        <v>-</v>
      </c>
      <c r="AR380" s="57" t="str">
        <f t="shared" ca="1" si="290"/>
        <v>-</v>
      </c>
      <c r="AS380" s="57" t="str">
        <f t="shared" ca="1" si="290"/>
        <v>-</v>
      </c>
      <c r="AT380" s="57" t="str">
        <f t="shared" ca="1" si="290"/>
        <v>-</v>
      </c>
      <c r="AU380" s="57" t="str">
        <f t="shared" ca="1" si="290"/>
        <v>-</v>
      </c>
      <c r="AV380" s="57" t="str">
        <f t="shared" ca="1" si="290"/>
        <v>-</v>
      </c>
      <c r="AW380" s="57" t="str">
        <f t="shared" ca="1" si="290"/>
        <v>-</v>
      </c>
      <c r="AX380" s="57" t="str">
        <f t="shared" ca="1" si="290"/>
        <v>-</v>
      </c>
      <c r="AY380" s="57" t="str">
        <f t="shared" ca="1" si="290"/>
        <v>-</v>
      </c>
    </row>
    <row r="381" spans="1:51" ht="15.5">
      <c r="A381" s="1" t="s">
        <v>142</v>
      </c>
      <c r="C381" s="109"/>
      <c r="E381" s="15" t="s">
        <v>118</v>
      </c>
      <c r="F381" s="57" t="str">
        <f ca="1">IFERROR(F324/(F341+F343+F345+F347+F349+F351),"-")</f>
        <v>-</v>
      </c>
      <c r="G381" s="57" t="str">
        <f t="shared" ref="G381:AY381" ca="1" si="291">IFERROR(G324/(G341+G343+G345+G347+G349+G351),"-")</f>
        <v>-</v>
      </c>
      <c r="H381" s="57" t="str">
        <f t="shared" ca="1" si="291"/>
        <v>-</v>
      </c>
      <c r="I381" s="57" t="str">
        <f t="shared" ca="1" si="291"/>
        <v>-</v>
      </c>
      <c r="J381" s="57" t="str">
        <f t="shared" ca="1" si="291"/>
        <v>-</v>
      </c>
      <c r="K381" s="57" t="str">
        <f t="shared" ca="1" si="291"/>
        <v>-</v>
      </c>
      <c r="L381" s="57" t="str">
        <f t="shared" ca="1" si="291"/>
        <v>-</v>
      </c>
      <c r="M381" s="57" t="str">
        <f t="shared" ca="1" si="291"/>
        <v>-</v>
      </c>
      <c r="N381" s="57" t="str">
        <f t="shared" ca="1" si="291"/>
        <v>-</v>
      </c>
      <c r="O381" s="57" t="str">
        <f t="shared" ca="1" si="291"/>
        <v>-</v>
      </c>
      <c r="P381" s="57" t="str">
        <f t="shared" ca="1" si="291"/>
        <v>-</v>
      </c>
      <c r="Q381" s="57" t="str">
        <f t="shared" ca="1" si="291"/>
        <v>-</v>
      </c>
      <c r="R381" s="57" t="str">
        <f t="shared" ca="1" si="291"/>
        <v>-</v>
      </c>
      <c r="S381" s="57" t="str">
        <f t="shared" ca="1" si="291"/>
        <v>-</v>
      </c>
      <c r="T381" s="57" t="str">
        <f t="shared" ca="1" si="291"/>
        <v>-</v>
      </c>
      <c r="U381" s="57" t="str">
        <f t="shared" ca="1" si="291"/>
        <v>-</v>
      </c>
      <c r="V381" s="57" t="str">
        <f t="shared" ca="1" si="291"/>
        <v>-</v>
      </c>
      <c r="W381" s="57" t="str">
        <f t="shared" ca="1" si="291"/>
        <v>-</v>
      </c>
      <c r="X381" s="57" t="str">
        <f t="shared" ca="1" si="291"/>
        <v>-</v>
      </c>
      <c r="Y381" s="57" t="str">
        <f t="shared" ca="1" si="291"/>
        <v>-</v>
      </c>
      <c r="Z381" s="57" t="str">
        <f t="shared" ca="1" si="291"/>
        <v>-</v>
      </c>
      <c r="AA381" s="57" t="str">
        <f t="shared" ca="1" si="291"/>
        <v>-</v>
      </c>
      <c r="AB381" s="57" t="str">
        <f t="shared" ca="1" si="291"/>
        <v>-</v>
      </c>
      <c r="AC381" s="57" t="str">
        <f t="shared" ca="1" si="291"/>
        <v>-</v>
      </c>
      <c r="AD381" s="57" t="str">
        <f t="shared" ca="1" si="291"/>
        <v>-</v>
      </c>
      <c r="AE381" s="57" t="str">
        <f t="shared" ca="1" si="291"/>
        <v>-</v>
      </c>
      <c r="AF381" s="57" t="str">
        <f t="shared" ca="1" si="291"/>
        <v>-</v>
      </c>
      <c r="AG381" s="57" t="str">
        <f t="shared" ca="1" si="291"/>
        <v>-</v>
      </c>
      <c r="AH381" s="57" t="str">
        <f t="shared" ca="1" si="291"/>
        <v>-</v>
      </c>
      <c r="AI381" s="57" t="str">
        <f t="shared" ca="1" si="291"/>
        <v>-</v>
      </c>
      <c r="AJ381" s="57" t="str">
        <f t="shared" ca="1" si="291"/>
        <v>-</v>
      </c>
      <c r="AK381" s="57" t="str">
        <f t="shared" ca="1" si="291"/>
        <v>-</v>
      </c>
      <c r="AL381" s="57" t="str">
        <f t="shared" ca="1" si="291"/>
        <v>-</v>
      </c>
      <c r="AM381" s="57" t="str">
        <f t="shared" ca="1" si="291"/>
        <v>-</v>
      </c>
      <c r="AN381" s="57" t="str">
        <f t="shared" ca="1" si="291"/>
        <v>-</v>
      </c>
      <c r="AO381" s="57" t="str">
        <f t="shared" ca="1" si="291"/>
        <v>-</v>
      </c>
      <c r="AP381" s="57" t="str">
        <f t="shared" ca="1" si="291"/>
        <v>-</v>
      </c>
      <c r="AQ381" s="57" t="str">
        <f t="shared" ca="1" si="291"/>
        <v>-</v>
      </c>
      <c r="AR381" s="57" t="str">
        <f t="shared" ca="1" si="291"/>
        <v>-</v>
      </c>
      <c r="AS381" s="57" t="str">
        <f t="shared" ca="1" si="291"/>
        <v>-</v>
      </c>
      <c r="AT381" s="57" t="str">
        <f t="shared" ca="1" si="291"/>
        <v>-</v>
      </c>
      <c r="AU381" s="57" t="str">
        <f t="shared" ca="1" si="291"/>
        <v>-</v>
      </c>
      <c r="AV381" s="57" t="str">
        <f t="shared" ca="1" si="291"/>
        <v>-</v>
      </c>
      <c r="AW381" s="57" t="str">
        <f t="shared" ca="1" si="291"/>
        <v>-</v>
      </c>
      <c r="AX381" s="57" t="str">
        <f t="shared" ca="1" si="291"/>
        <v>-</v>
      </c>
      <c r="AY381" s="57" t="str">
        <f t="shared" ca="1" si="291"/>
        <v>-</v>
      </c>
    </row>
    <row r="382" spans="1:51" ht="15.5">
      <c r="A382" s="1" t="s">
        <v>142</v>
      </c>
      <c r="C382" s="109"/>
      <c r="E382" s="15" t="s">
        <v>119</v>
      </c>
      <c r="F382" s="57" t="str">
        <f ca="1">IFERROR(F307/F341,"-")</f>
        <v>-</v>
      </c>
      <c r="G382" s="57" t="str">
        <f t="shared" ref="G382:AY382" ca="1" si="292">IFERROR(G307/G341,"-")</f>
        <v>-</v>
      </c>
      <c r="H382" s="57" t="str">
        <f t="shared" ca="1" si="292"/>
        <v>-</v>
      </c>
      <c r="I382" s="57" t="str">
        <f t="shared" ca="1" si="292"/>
        <v>-</v>
      </c>
      <c r="J382" s="57" t="str">
        <f t="shared" ca="1" si="292"/>
        <v>-</v>
      </c>
      <c r="K382" s="57" t="str">
        <f t="shared" ca="1" si="292"/>
        <v>-</v>
      </c>
      <c r="L382" s="57" t="str">
        <f t="shared" ca="1" si="292"/>
        <v>-</v>
      </c>
      <c r="M382" s="57" t="str">
        <f t="shared" ca="1" si="292"/>
        <v>-</v>
      </c>
      <c r="N382" s="57" t="str">
        <f t="shared" ca="1" si="292"/>
        <v>-</v>
      </c>
      <c r="O382" s="57" t="str">
        <f t="shared" ca="1" si="292"/>
        <v>-</v>
      </c>
      <c r="P382" s="57" t="str">
        <f t="shared" ca="1" si="292"/>
        <v>-</v>
      </c>
      <c r="Q382" s="57" t="str">
        <f t="shared" ca="1" si="292"/>
        <v>-</v>
      </c>
      <c r="R382" s="57" t="str">
        <f t="shared" ca="1" si="292"/>
        <v>-</v>
      </c>
      <c r="S382" s="57" t="str">
        <f t="shared" ca="1" si="292"/>
        <v>-</v>
      </c>
      <c r="T382" s="57" t="str">
        <f t="shared" ca="1" si="292"/>
        <v>-</v>
      </c>
      <c r="U382" s="57" t="str">
        <f t="shared" ca="1" si="292"/>
        <v>-</v>
      </c>
      <c r="V382" s="57" t="str">
        <f t="shared" ca="1" si="292"/>
        <v>-</v>
      </c>
      <c r="W382" s="57" t="str">
        <f t="shared" ca="1" si="292"/>
        <v>-</v>
      </c>
      <c r="X382" s="57" t="str">
        <f t="shared" ca="1" si="292"/>
        <v>-</v>
      </c>
      <c r="Y382" s="57" t="str">
        <f t="shared" ca="1" si="292"/>
        <v>-</v>
      </c>
      <c r="Z382" s="57" t="str">
        <f t="shared" ca="1" si="292"/>
        <v>-</v>
      </c>
      <c r="AA382" s="57" t="str">
        <f t="shared" ca="1" si="292"/>
        <v>-</v>
      </c>
      <c r="AB382" s="57" t="str">
        <f t="shared" ca="1" si="292"/>
        <v>-</v>
      </c>
      <c r="AC382" s="57" t="str">
        <f t="shared" ca="1" si="292"/>
        <v>-</v>
      </c>
      <c r="AD382" s="57" t="str">
        <f t="shared" ca="1" si="292"/>
        <v>-</v>
      </c>
      <c r="AE382" s="57" t="str">
        <f t="shared" ca="1" si="292"/>
        <v>-</v>
      </c>
      <c r="AF382" s="57" t="str">
        <f t="shared" ca="1" si="292"/>
        <v>-</v>
      </c>
      <c r="AG382" s="57" t="str">
        <f t="shared" ca="1" si="292"/>
        <v>-</v>
      </c>
      <c r="AH382" s="57" t="str">
        <f t="shared" ca="1" si="292"/>
        <v>-</v>
      </c>
      <c r="AI382" s="57" t="str">
        <f t="shared" ca="1" si="292"/>
        <v>-</v>
      </c>
      <c r="AJ382" s="57" t="str">
        <f t="shared" ca="1" si="292"/>
        <v>-</v>
      </c>
      <c r="AK382" s="57" t="str">
        <f t="shared" ca="1" si="292"/>
        <v>-</v>
      </c>
      <c r="AL382" s="57" t="str">
        <f t="shared" ca="1" si="292"/>
        <v>-</v>
      </c>
      <c r="AM382" s="57" t="str">
        <f t="shared" ca="1" si="292"/>
        <v>-</v>
      </c>
      <c r="AN382" s="57" t="str">
        <f t="shared" ca="1" si="292"/>
        <v>-</v>
      </c>
      <c r="AO382" s="57" t="str">
        <f t="shared" ca="1" si="292"/>
        <v>-</v>
      </c>
      <c r="AP382" s="57" t="str">
        <f t="shared" ca="1" si="292"/>
        <v>-</v>
      </c>
      <c r="AQ382" s="57" t="str">
        <f t="shared" ca="1" si="292"/>
        <v>-</v>
      </c>
      <c r="AR382" s="57" t="str">
        <f t="shared" ca="1" si="292"/>
        <v>-</v>
      </c>
      <c r="AS382" s="57" t="str">
        <f t="shared" ca="1" si="292"/>
        <v>-</v>
      </c>
      <c r="AT382" s="57" t="str">
        <f t="shared" ca="1" si="292"/>
        <v>-</v>
      </c>
      <c r="AU382" s="57" t="str">
        <f t="shared" ca="1" si="292"/>
        <v>-</v>
      </c>
      <c r="AV382" s="57" t="str">
        <f t="shared" ca="1" si="292"/>
        <v>-</v>
      </c>
      <c r="AW382" s="57" t="str">
        <f t="shared" ca="1" si="292"/>
        <v>-</v>
      </c>
      <c r="AX382" s="57" t="str">
        <f t="shared" ca="1" si="292"/>
        <v>-</v>
      </c>
      <c r="AY382" s="57" t="str">
        <f t="shared" ca="1" si="292"/>
        <v>-</v>
      </c>
    </row>
    <row r="383" spans="1:51" ht="15.5">
      <c r="A383" s="1" t="s">
        <v>142</v>
      </c>
      <c r="C383" s="109"/>
      <c r="E383" s="15" t="s">
        <v>120</v>
      </c>
      <c r="F383" s="57" t="str">
        <f ca="1">IFERROR(F308/F343,"-")</f>
        <v>-</v>
      </c>
      <c r="G383" s="57" t="str">
        <f t="shared" ref="G383:AY383" ca="1" si="293">IFERROR(G308/G343,"-")</f>
        <v>-</v>
      </c>
      <c r="H383" s="57" t="str">
        <f t="shared" ca="1" si="293"/>
        <v>-</v>
      </c>
      <c r="I383" s="57" t="str">
        <f t="shared" ca="1" si="293"/>
        <v>-</v>
      </c>
      <c r="J383" s="57" t="str">
        <f t="shared" ca="1" si="293"/>
        <v>-</v>
      </c>
      <c r="K383" s="57" t="str">
        <f t="shared" ca="1" si="293"/>
        <v>-</v>
      </c>
      <c r="L383" s="57" t="str">
        <f t="shared" ca="1" si="293"/>
        <v>-</v>
      </c>
      <c r="M383" s="57" t="str">
        <f t="shared" ca="1" si="293"/>
        <v>-</v>
      </c>
      <c r="N383" s="57" t="str">
        <f t="shared" ca="1" si="293"/>
        <v>-</v>
      </c>
      <c r="O383" s="57" t="str">
        <f t="shared" ca="1" si="293"/>
        <v>-</v>
      </c>
      <c r="P383" s="57" t="str">
        <f t="shared" ca="1" si="293"/>
        <v>-</v>
      </c>
      <c r="Q383" s="57" t="str">
        <f t="shared" ca="1" si="293"/>
        <v>-</v>
      </c>
      <c r="R383" s="57" t="str">
        <f t="shared" ca="1" si="293"/>
        <v>-</v>
      </c>
      <c r="S383" s="57" t="str">
        <f t="shared" ca="1" si="293"/>
        <v>-</v>
      </c>
      <c r="T383" s="57" t="str">
        <f t="shared" ca="1" si="293"/>
        <v>-</v>
      </c>
      <c r="U383" s="57" t="str">
        <f t="shared" ca="1" si="293"/>
        <v>-</v>
      </c>
      <c r="V383" s="57" t="str">
        <f t="shared" ca="1" si="293"/>
        <v>-</v>
      </c>
      <c r="W383" s="57" t="str">
        <f t="shared" ca="1" si="293"/>
        <v>-</v>
      </c>
      <c r="X383" s="57" t="str">
        <f t="shared" ca="1" si="293"/>
        <v>-</v>
      </c>
      <c r="Y383" s="57" t="str">
        <f t="shared" ca="1" si="293"/>
        <v>-</v>
      </c>
      <c r="Z383" s="57" t="str">
        <f t="shared" ca="1" si="293"/>
        <v>-</v>
      </c>
      <c r="AA383" s="57" t="str">
        <f t="shared" ca="1" si="293"/>
        <v>-</v>
      </c>
      <c r="AB383" s="57" t="str">
        <f t="shared" ca="1" si="293"/>
        <v>-</v>
      </c>
      <c r="AC383" s="57" t="str">
        <f t="shared" ca="1" si="293"/>
        <v>-</v>
      </c>
      <c r="AD383" s="57" t="str">
        <f t="shared" ca="1" si="293"/>
        <v>-</v>
      </c>
      <c r="AE383" s="57" t="str">
        <f t="shared" ca="1" si="293"/>
        <v>-</v>
      </c>
      <c r="AF383" s="57" t="str">
        <f t="shared" ca="1" si="293"/>
        <v>-</v>
      </c>
      <c r="AG383" s="57" t="str">
        <f t="shared" ca="1" si="293"/>
        <v>-</v>
      </c>
      <c r="AH383" s="57" t="str">
        <f t="shared" ca="1" si="293"/>
        <v>-</v>
      </c>
      <c r="AI383" s="57" t="str">
        <f t="shared" ca="1" si="293"/>
        <v>-</v>
      </c>
      <c r="AJ383" s="57" t="str">
        <f t="shared" ca="1" si="293"/>
        <v>-</v>
      </c>
      <c r="AK383" s="57" t="str">
        <f t="shared" ca="1" si="293"/>
        <v>-</v>
      </c>
      <c r="AL383" s="57" t="str">
        <f t="shared" ca="1" si="293"/>
        <v>-</v>
      </c>
      <c r="AM383" s="57" t="str">
        <f t="shared" ca="1" si="293"/>
        <v>-</v>
      </c>
      <c r="AN383" s="57" t="str">
        <f t="shared" ca="1" si="293"/>
        <v>-</v>
      </c>
      <c r="AO383" s="57" t="str">
        <f t="shared" ca="1" si="293"/>
        <v>-</v>
      </c>
      <c r="AP383" s="57" t="str">
        <f t="shared" ca="1" si="293"/>
        <v>-</v>
      </c>
      <c r="AQ383" s="57" t="str">
        <f t="shared" ca="1" si="293"/>
        <v>-</v>
      </c>
      <c r="AR383" s="57" t="str">
        <f t="shared" ca="1" si="293"/>
        <v>-</v>
      </c>
      <c r="AS383" s="57" t="str">
        <f t="shared" ca="1" si="293"/>
        <v>-</v>
      </c>
      <c r="AT383" s="57" t="str">
        <f t="shared" ca="1" si="293"/>
        <v>-</v>
      </c>
      <c r="AU383" s="57" t="str">
        <f t="shared" ca="1" si="293"/>
        <v>-</v>
      </c>
      <c r="AV383" s="57" t="str">
        <f t="shared" ca="1" si="293"/>
        <v>-</v>
      </c>
      <c r="AW383" s="57" t="str">
        <f t="shared" ca="1" si="293"/>
        <v>-</v>
      </c>
      <c r="AX383" s="57" t="str">
        <f t="shared" ca="1" si="293"/>
        <v>-</v>
      </c>
      <c r="AY383" s="57" t="str">
        <f t="shared" ca="1" si="293"/>
        <v>-</v>
      </c>
    </row>
    <row r="384" spans="1:51" ht="15.5">
      <c r="A384" s="1" t="s">
        <v>142</v>
      </c>
      <c r="C384" s="109"/>
      <c r="E384" s="15" t="s">
        <v>121</v>
      </c>
      <c r="F384" s="57" t="str">
        <f ca="1">IFERROR(F309/F345,"-")</f>
        <v>-</v>
      </c>
      <c r="G384" s="57" t="str">
        <f t="shared" ref="G384:AY384" ca="1" si="294">IFERROR(G309/G345,"-")</f>
        <v>-</v>
      </c>
      <c r="H384" s="57" t="str">
        <f t="shared" ca="1" si="294"/>
        <v>-</v>
      </c>
      <c r="I384" s="57" t="str">
        <f t="shared" ca="1" si="294"/>
        <v>-</v>
      </c>
      <c r="J384" s="57" t="str">
        <f t="shared" ca="1" si="294"/>
        <v>-</v>
      </c>
      <c r="K384" s="57" t="str">
        <f t="shared" ca="1" si="294"/>
        <v>-</v>
      </c>
      <c r="L384" s="57" t="str">
        <f t="shared" ca="1" si="294"/>
        <v>-</v>
      </c>
      <c r="M384" s="57" t="str">
        <f t="shared" ca="1" si="294"/>
        <v>-</v>
      </c>
      <c r="N384" s="57" t="str">
        <f t="shared" ca="1" si="294"/>
        <v>-</v>
      </c>
      <c r="O384" s="57" t="str">
        <f t="shared" ca="1" si="294"/>
        <v>-</v>
      </c>
      <c r="P384" s="57" t="str">
        <f t="shared" ca="1" si="294"/>
        <v>-</v>
      </c>
      <c r="Q384" s="57" t="str">
        <f t="shared" ca="1" si="294"/>
        <v>-</v>
      </c>
      <c r="R384" s="57" t="str">
        <f t="shared" ca="1" si="294"/>
        <v>-</v>
      </c>
      <c r="S384" s="57" t="str">
        <f t="shared" ca="1" si="294"/>
        <v>-</v>
      </c>
      <c r="T384" s="57" t="str">
        <f t="shared" ca="1" si="294"/>
        <v>-</v>
      </c>
      <c r="U384" s="57" t="str">
        <f t="shared" ca="1" si="294"/>
        <v>-</v>
      </c>
      <c r="V384" s="57" t="str">
        <f t="shared" ca="1" si="294"/>
        <v>-</v>
      </c>
      <c r="W384" s="57" t="str">
        <f t="shared" ca="1" si="294"/>
        <v>-</v>
      </c>
      <c r="X384" s="57" t="str">
        <f t="shared" ca="1" si="294"/>
        <v>-</v>
      </c>
      <c r="Y384" s="57" t="str">
        <f t="shared" ca="1" si="294"/>
        <v>-</v>
      </c>
      <c r="Z384" s="57" t="str">
        <f t="shared" ca="1" si="294"/>
        <v>-</v>
      </c>
      <c r="AA384" s="57" t="str">
        <f t="shared" ca="1" si="294"/>
        <v>-</v>
      </c>
      <c r="AB384" s="57" t="str">
        <f t="shared" ca="1" si="294"/>
        <v>-</v>
      </c>
      <c r="AC384" s="57" t="str">
        <f t="shared" ca="1" si="294"/>
        <v>-</v>
      </c>
      <c r="AD384" s="57" t="str">
        <f t="shared" ca="1" si="294"/>
        <v>-</v>
      </c>
      <c r="AE384" s="57" t="str">
        <f t="shared" ca="1" si="294"/>
        <v>-</v>
      </c>
      <c r="AF384" s="57" t="str">
        <f t="shared" ca="1" si="294"/>
        <v>-</v>
      </c>
      <c r="AG384" s="57" t="str">
        <f t="shared" ca="1" si="294"/>
        <v>-</v>
      </c>
      <c r="AH384" s="57" t="str">
        <f t="shared" ca="1" si="294"/>
        <v>-</v>
      </c>
      <c r="AI384" s="57" t="str">
        <f t="shared" ca="1" si="294"/>
        <v>-</v>
      </c>
      <c r="AJ384" s="57" t="str">
        <f t="shared" ca="1" si="294"/>
        <v>-</v>
      </c>
      <c r="AK384" s="57" t="str">
        <f t="shared" ca="1" si="294"/>
        <v>-</v>
      </c>
      <c r="AL384" s="57" t="str">
        <f t="shared" ca="1" si="294"/>
        <v>-</v>
      </c>
      <c r="AM384" s="57" t="str">
        <f t="shared" ca="1" si="294"/>
        <v>-</v>
      </c>
      <c r="AN384" s="57" t="str">
        <f t="shared" ca="1" si="294"/>
        <v>-</v>
      </c>
      <c r="AO384" s="57" t="str">
        <f t="shared" ca="1" si="294"/>
        <v>-</v>
      </c>
      <c r="AP384" s="57" t="str">
        <f t="shared" ca="1" si="294"/>
        <v>-</v>
      </c>
      <c r="AQ384" s="57" t="str">
        <f t="shared" ca="1" si="294"/>
        <v>-</v>
      </c>
      <c r="AR384" s="57" t="str">
        <f t="shared" ca="1" si="294"/>
        <v>-</v>
      </c>
      <c r="AS384" s="57" t="str">
        <f t="shared" ca="1" si="294"/>
        <v>-</v>
      </c>
      <c r="AT384" s="57" t="str">
        <f t="shared" ca="1" si="294"/>
        <v>-</v>
      </c>
      <c r="AU384" s="57" t="str">
        <f t="shared" ca="1" si="294"/>
        <v>-</v>
      </c>
      <c r="AV384" s="57" t="str">
        <f t="shared" ca="1" si="294"/>
        <v>-</v>
      </c>
      <c r="AW384" s="57" t="str">
        <f t="shared" ca="1" si="294"/>
        <v>-</v>
      </c>
      <c r="AX384" s="57" t="str">
        <f t="shared" ca="1" si="294"/>
        <v>-</v>
      </c>
      <c r="AY384" s="57" t="str">
        <f t="shared" ca="1" si="294"/>
        <v>-</v>
      </c>
    </row>
    <row r="385" spans="1:51" ht="15.5">
      <c r="A385" s="1" t="s">
        <v>142</v>
      </c>
      <c r="C385" s="109"/>
      <c r="E385" s="15" t="s">
        <v>122</v>
      </c>
      <c r="F385" s="57" t="str">
        <f ca="1">IFERROR(F310/F347,"-")</f>
        <v>-</v>
      </c>
      <c r="G385" s="57" t="str">
        <f t="shared" ref="G385:AY385" ca="1" si="295">IFERROR(G310/G347,"-")</f>
        <v>-</v>
      </c>
      <c r="H385" s="57" t="str">
        <f t="shared" ca="1" si="295"/>
        <v>-</v>
      </c>
      <c r="I385" s="57" t="str">
        <f t="shared" ca="1" si="295"/>
        <v>-</v>
      </c>
      <c r="J385" s="57" t="str">
        <f t="shared" ca="1" si="295"/>
        <v>-</v>
      </c>
      <c r="K385" s="57" t="str">
        <f t="shared" ca="1" si="295"/>
        <v>-</v>
      </c>
      <c r="L385" s="57" t="str">
        <f t="shared" ca="1" si="295"/>
        <v>-</v>
      </c>
      <c r="M385" s="57" t="str">
        <f t="shared" ca="1" si="295"/>
        <v>-</v>
      </c>
      <c r="N385" s="57" t="str">
        <f t="shared" ca="1" si="295"/>
        <v>-</v>
      </c>
      <c r="O385" s="57" t="str">
        <f t="shared" ca="1" si="295"/>
        <v>-</v>
      </c>
      <c r="P385" s="57" t="str">
        <f t="shared" ca="1" si="295"/>
        <v>-</v>
      </c>
      <c r="Q385" s="57" t="str">
        <f t="shared" ca="1" si="295"/>
        <v>-</v>
      </c>
      <c r="R385" s="57" t="str">
        <f t="shared" ca="1" si="295"/>
        <v>-</v>
      </c>
      <c r="S385" s="57" t="str">
        <f t="shared" ca="1" si="295"/>
        <v>-</v>
      </c>
      <c r="T385" s="57" t="str">
        <f t="shared" ca="1" si="295"/>
        <v>-</v>
      </c>
      <c r="U385" s="57" t="str">
        <f t="shared" ca="1" si="295"/>
        <v>-</v>
      </c>
      <c r="V385" s="57" t="str">
        <f t="shared" ca="1" si="295"/>
        <v>-</v>
      </c>
      <c r="W385" s="57" t="str">
        <f t="shared" ca="1" si="295"/>
        <v>-</v>
      </c>
      <c r="X385" s="57" t="str">
        <f t="shared" ca="1" si="295"/>
        <v>-</v>
      </c>
      <c r="Y385" s="57" t="str">
        <f t="shared" ca="1" si="295"/>
        <v>-</v>
      </c>
      <c r="Z385" s="57" t="str">
        <f t="shared" ca="1" si="295"/>
        <v>-</v>
      </c>
      <c r="AA385" s="57" t="str">
        <f t="shared" ca="1" si="295"/>
        <v>-</v>
      </c>
      <c r="AB385" s="57" t="str">
        <f t="shared" ca="1" si="295"/>
        <v>-</v>
      </c>
      <c r="AC385" s="57" t="str">
        <f t="shared" ca="1" si="295"/>
        <v>-</v>
      </c>
      <c r="AD385" s="57" t="str">
        <f t="shared" ca="1" si="295"/>
        <v>-</v>
      </c>
      <c r="AE385" s="57" t="str">
        <f t="shared" ca="1" si="295"/>
        <v>-</v>
      </c>
      <c r="AF385" s="57" t="str">
        <f t="shared" ca="1" si="295"/>
        <v>-</v>
      </c>
      <c r="AG385" s="57" t="str">
        <f t="shared" ca="1" si="295"/>
        <v>-</v>
      </c>
      <c r="AH385" s="57" t="str">
        <f t="shared" ca="1" si="295"/>
        <v>-</v>
      </c>
      <c r="AI385" s="57" t="str">
        <f t="shared" ca="1" si="295"/>
        <v>-</v>
      </c>
      <c r="AJ385" s="57" t="str">
        <f t="shared" ca="1" si="295"/>
        <v>-</v>
      </c>
      <c r="AK385" s="57" t="str">
        <f t="shared" ca="1" si="295"/>
        <v>-</v>
      </c>
      <c r="AL385" s="57" t="str">
        <f t="shared" ca="1" si="295"/>
        <v>-</v>
      </c>
      <c r="AM385" s="57" t="str">
        <f t="shared" ca="1" si="295"/>
        <v>-</v>
      </c>
      <c r="AN385" s="57" t="str">
        <f t="shared" ca="1" si="295"/>
        <v>-</v>
      </c>
      <c r="AO385" s="57" t="str">
        <f t="shared" ca="1" si="295"/>
        <v>-</v>
      </c>
      <c r="AP385" s="57" t="str">
        <f t="shared" ca="1" si="295"/>
        <v>-</v>
      </c>
      <c r="AQ385" s="57" t="str">
        <f t="shared" ca="1" si="295"/>
        <v>-</v>
      </c>
      <c r="AR385" s="57" t="str">
        <f t="shared" ca="1" si="295"/>
        <v>-</v>
      </c>
      <c r="AS385" s="57" t="str">
        <f t="shared" ca="1" si="295"/>
        <v>-</v>
      </c>
      <c r="AT385" s="57" t="str">
        <f t="shared" ca="1" si="295"/>
        <v>-</v>
      </c>
      <c r="AU385" s="57" t="str">
        <f t="shared" ca="1" si="295"/>
        <v>-</v>
      </c>
      <c r="AV385" s="57" t="str">
        <f t="shared" ca="1" si="295"/>
        <v>-</v>
      </c>
      <c r="AW385" s="57" t="str">
        <f t="shared" ca="1" si="295"/>
        <v>-</v>
      </c>
      <c r="AX385" s="57" t="str">
        <f t="shared" ca="1" si="295"/>
        <v>-</v>
      </c>
      <c r="AY385" s="57" t="str">
        <f t="shared" ca="1" si="295"/>
        <v>-</v>
      </c>
    </row>
    <row r="386" spans="1:51" ht="15.5">
      <c r="A386" s="1" t="s">
        <v>142</v>
      </c>
      <c r="C386" s="109"/>
      <c r="E386" s="15" t="s">
        <v>123</v>
      </c>
      <c r="F386" s="57" t="str">
        <f ca="1">IFERROR(F311/F349,"-")</f>
        <v>-</v>
      </c>
      <c r="G386" s="57" t="str">
        <f t="shared" ref="G386:AY386" ca="1" si="296">IFERROR(G311/G349,"-")</f>
        <v>-</v>
      </c>
      <c r="H386" s="57" t="str">
        <f t="shared" ca="1" si="296"/>
        <v>-</v>
      </c>
      <c r="I386" s="57" t="str">
        <f t="shared" ca="1" si="296"/>
        <v>-</v>
      </c>
      <c r="J386" s="57" t="str">
        <f t="shared" ca="1" si="296"/>
        <v>-</v>
      </c>
      <c r="K386" s="57" t="str">
        <f t="shared" ca="1" si="296"/>
        <v>-</v>
      </c>
      <c r="L386" s="57" t="str">
        <f t="shared" ca="1" si="296"/>
        <v>-</v>
      </c>
      <c r="M386" s="57" t="str">
        <f t="shared" ca="1" si="296"/>
        <v>-</v>
      </c>
      <c r="N386" s="57" t="str">
        <f t="shared" ca="1" si="296"/>
        <v>-</v>
      </c>
      <c r="O386" s="57" t="str">
        <f t="shared" ca="1" si="296"/>
        <v>-</v>
      </c>
      <c r="P386" s="57" t="str">
        <f t="shared" ca="1" si="296"/>
        <v>-</v>
      </c>
      <c r="Q386" s="57" t="str">
        <f t="shared" ca="1" si="296"/>
        <v>-</v>
      </c>
      <c r="R386" s="57" t="str">
        <f t="shared" ca="1" si="296"/>
        <v>-</v>
      </c>
      <c r="S386" s="57" t="str">
        <f t="shared" ca="1" si="296"/>
        <v>-</v>
      </c>
      <c r="T386" s="57" t="str">
        <f t="shared" ca="1" si="296"/>
        <v>-</v>
      </c>
      <c r="U386" s="57" t="str">
        <f t="shared" ca="1" si="296"/>
        <v>-</v>
      </c>
      <c r="V386" s="57" t="str">
        <f t="shared" ca="1" si="296"/>
        <v>-</v>
      </c>
      <c r="W386" s="57" t="str">
        <f t="shared" ca="1" si="296"/>
        <v>-</v>
      </c>
      <c r="X386" s="57" t="str">
        <f t="shared" ca="1" si="296"/>
        <v>-</v>
      </c>
      <c r="Y386" s="57" t="str">
        <f t="shared" ca="1" si="296"/>
        <v>-</v>
      </c>
      <c r="Z386" s="57" t="str">
        <f t="shared" ca="1" si="296"/>
        <v>-</v>
      </c>
      <c r="AA386" s="57" t="str">
        <f t="shared" ca="1" si="296"/>
        <v>-</v>
      </c>
      <c r="AB386" s="57" t="str">
        <f t="shared" ca="1" si="296"/>
        <v>-</v>
      </c>
      <c r="AC386" s="57" t="str">
        <f t="shared" ca="1" si="296"/>
        <v>-</v>
      </c>
      <c r="AD386" s="57" t="str">
        <f t="shared" ca="1" si="296"/>
        <v>-</v>
      </c>
      <c r="AE386" s="57" t="str">
        <f t="shared" ca="1" si="296"/>
        <v>-</v>
      </c>
      <c r="AF386" s="57" t="str">
        <f t="shared" ca="1" si="296"/>
        <v>-</v>
      </c>
      <c r="AG386" s="57" t="str">
        <f t="shared" ca="1" si="296"/>
        <v>-</v>
      </c>
      <c r="AH386" s="57" t="str">
        <f t="shared" ca="1" si="296"/>
        <v>-</v>
      </c>
      <c r="AI386" s="57" t="str">
        <f t="shared" ca="1" si="296"/>
        <v>-</v>
      </c>
      <c r="AJ386" s="57" t="str">
        <f t="shared" ca="1" si="296"/>
        <v>-</v>
      </c>
      <c r="AK386" s="57" t="str">
        <f t="shared" ca="1" si="296"/>
        <v>-</v>
      </c>
      <c r="AL386" s="57" t="str">
        <f t="shared" ca="1" si="296"/>
        <v>-</v>
      </c>
      <c r="AM386" s="57" t="str">
        <f t="shared" ca="1" si="296"/>
        <v>-</v>
      </c>
      <c r="AN386" s="57" t="str">
        <f t="shared" ca="1" si="296"/>
        <v>-</v>
      </c>
      <c r="AO386" s="57" t="str">
        <f t="shared" ca="1" si="296"/>
        <v>-</v>
      </c>
      <c r="AP386" s="57" t="str">
        <f t="shared" ca="1" si="296"/>
        <v>-</v>
      </c>
      <c r="AQ386" s="57" t="str">
        <f t="shared" ca="1" si="296"/>
        <v>-</v>
      </c>
      <c r="AR386" s="57" t="str">
        <f t="shared" ca="1" si="296"/>
        <v>-</v>
      </c>
      <c r="AS386" s="57" t="str">
        <f t="shared" ca="1" si="296"/>
        <v>-</v>
      </c>
      <c r="AT386" s="57" t="str">
        <f t="shared" ca="1" si="296"/>
        <v>-</v>
      </c>
      <c r="AU386" s="57" t="str">
        <f t="shared" ca="1" si="296"/>
        <v>-</v>
      </c>
      <c r="AV386" s="57" t="str">
        <f t="shared" ca="1" si="296"/>
        <v>-</v>
      </c>
      <c r="AW386" s="57" t="str">
        <f t="shared" ca="1" si="296"/>
        <v>-</v>
      </c>
      <c r="AX386" s="57" t="str">
        <f t="shared" ca="1" si="296"/>
        <v>-</v>
      </c>
      <c r="AY386" s="57" t="str">
        <f t="shared" ca="1" si="296"/>
        <v>-</v>
      </c>
    </row>
    <row r="387" spans="1:51" ht="15.5">
      <c r="A387" s="1" t="s">
        <v>142</v>
      </c>
      <c r="C387" s="109"/>
      <c r="E387" s="15" t="s">
        <v>124</v>
      </c>
      <c r="F387" s="57" t="str">
        <f ca="1">IFERROR(F312/F351,"-")</f>
        <v>-</v>
      </c>
      <c r="G387" s="57" t="str">
        <f t="shared" ref="G387:AY387" ca="1" si="297">IFERROR(G312/G351,"-")</f>
        <v>-</v>
      </c>
      <c r="H387" s="57" t="str">
        <f t="shared" ca="1" si="297"/>
        <v>-</v>
      </c>
      <c r="I387" s="57" t="str">
        <f t="shared" ca="1" si="297"/>
        <v>-</v>
      </c>
      <c r="J387" s="57" t="str">
        <f t="shared" ca="1" si="297"/>
        <v>-</v>
      </c>
      <c r="K387" s="57" t="str">
        <f t="shared" ca="1" si="297"/>
        <v>-</v>
      </c>
      <c r="L387" s="57" t="str">
        <f t="shared" ca="1" si="297"/>
        <v>-</v>
      </c>
      <c r="M387" s="57" t="str">
        <f t="shared" ca="1" si="297"/>
        <v>-</v>
      </c>
      <c r="N387" s="57" t="str">
        <f t="shared" ca="1" si="297"/>
        <v>-</v>
      </c>
      <c r="O387" s="57" t="str">
        <f t="shared" ca="1" si="297"/>
        <v>-</v>
      </c>
      <c r="P387" s="57" t="str">
        <f t="shared" ca="1" si="297"/>
        <v>-</v>
      </c>
      <c r="Q387" s="57" t="str">
        <f t="shared" ca="1" si="297"/>
        <v>-</v>
      </c>
      <c r="R387" s="57" t="str">
        <f t="shared" ca="1" si="297"/>
        <v>-</v>
      </c>
      <c r="S387" s="57" t="str">
        <f t="shared" ca="1" si="297"/>
        <v>-</v>
      </c>
      <c r="T387" s="57" t="str">
        <f t="shared" ca="1" si="297"/>
        <v>-</v>
      </c>
      <c r="U387" s="57" t="str">
        <f t="shared" ca="1" si="297"/>
        <v>-</v>
      </c>
      <c r="V387" s="57" t="str">
        <f t="shared" ca="1" si="297"/>
        <v>-</v>
      </c>
      <c r="W387" s="57" t="str">
        <f t="shared" ca="1" si="297"/>
        <v>-</v>
      </c>
      <c r="X387" s="57" t="str">
        <f t="shared" ca="1" si="297"/>
        <v>-</v>
      </c>
      <c r="Y387" s="57" t="str">
        <f t="shared" ca="1" si="297"/>
        <v>-</v>
      </c>
      <c r="Z387" s="57" t="str">
        <f t="shared" ca="1" si="297"/>
        <v>-</v>
      </c>
      <c r="AA387" s="57" t="str">
        <f t="shared" ca="1" si="297"/>
        <v>-</v>
      </c>
      <c r="AB387" s="57" t="str">
        <f t="shared" ca="1" si="297"/>
        <v>-</v>
      </c>
      <c r="AC387" s="57" t="str">
        <f t="shared" ca="1" si="297"/>
        <v>-</v>
      </c>
      <c r="AD387" s="57" t="str">
        <f t="shared" ca="1" si="297"/>
        <v>-</v>
      </c>
      <c r="AE387" s="57" t="str">
        <f t="shared" ca="1" si="297"/>
        <v>-</v>
      </c>
      <c r="AF387" s="57" t="str">
        <f t="shared" ca="1" si="297"/>
        <v>-</v>
      </c>
      <c r="AG387" s="57" t="str">
        <f t="shared" ca="1" si="297"/>
        <v>-</v>
      </c>
      <c r="AH387" s="57" t="str">
        <f t="shared" ca="1" si="297"/>
        <v>-</v>
      </c>
      <c r="AI387" s="57" t="str">
        <f t="shared" ca="1" si="297"/>
        <v>-</v>
      </c>
      <c r="AJ387" s="57" t="str">
        <f t="shared" ca="1" si="297"/>
        <v>-</v>
      </c>
      <c r="AK387" s="57" t="str">
        <f t="shared" ca="1" si="297"/>
        <v>-</v>
      </c>
      <c r="AL387" s="57" t="str">
        <f t="shared" ca="1" si="297"/>
        <v>-</v>
      </c>
      <c r="AM387" s="57" t="str">
        <f t="shared" ca="1" si="297"/>
        <v>-</v>
      </c>
      <c r="AN387" s="57" t="str">
        <f t="shared" ca="1" si="297"/>
        <v>-</v>
      </c>
      <c r="AO387" s="57" t="str">
        <f t="shared" ca="1" si="297"/>
        <v>-</v>
      </c>
      <c r="AP387" s="57" t="str">
        <f t="shared" ca="1" si="297"/>
        <v>-</v>
      </c>
      <c r="AQ387" s="57" t="str">
        <f t="shared" ca="1" si="297"/>
        <v>-</v>
      </c>
      <c r="AR387" s="57" t="str">
        <f t="shared" ca="1" si="297"/>
        <v>-</v>
      </c>
      <c r="AS387" s="57" t="str">
        <f t="shared" ca="1" si="297"/>
        <v>-</v>
      </c>
      <c r="AT387" s="57" t="str">
        <f t="shared" ca="1" si="297"/>
        <v>-</v>
      </c>
      <c r="AU387" s="57" t="str">
        <f t="shared" ca="1" si="297"/>
        <v>-</v>
      </c>
      <c r="AV387" s="57" t="str">
        <f t="shared" ca="1" si="297"/>
        <v>-</v>
      </c>
      <c r="AW387" s="57" t="str">
        <f t="shared" ca="1" si="297"/>
        <v>-</v>
      </c>
      <c r="AX387" s="57" t="str">
        <f t="shared" ca="1" si="297"/>
        <v>-</v>
      </c>
      <c r="AY387" s="57" t="str">
        <f t="shared" ca="1" si="297"/>
        <v>-</v>
      </c>
    </row>
    <row r="388" spans="1:51" ht="15.5">
      <c r="A388" s="1" t="s">
        <v>142</v>
      </c>
      <c r="C388" s="109"/>
      <c r="E388" s="18" t="str">
        <f ca="1">"(M5) "&amp;RIGHT(Context!$F$39,3)&amp;"/km"</f>
        <v>(M5) EUR/km</v>
      </c>
      <c r="F388" s="59" t="str">
        <f t="shared" ref="F388:AY388" ca="1" si="298">IFERROR(F48/F317,"-")</f>
        <v>-</v>
      </c>
      <c r="G388" s="59" t="str">
        <f t="shared" ca="1" si="298"/>
        <v>-</v>
      </c>
      <c r="H388" s="59" t="str">
        <f t="shared" ca="1" si="298"/>
        <v>-</v>
      </c>
      <c r="I388" s="59" t="str">
        <f t="shared" ca="1" si="298"/>
        <v>-</v>
      </c>
      <c r="J388" s="59" t="str">
        <f t="shared" ca="1" si="298"/>
        <v>-</v>
      </c>
      <c r="K388" s="59" t="str">
        <f t="shared" ca="1" si="298"/>
        <v>-</v>
      </c>
      <c r="L388" s="59" t="str">
        <f t="shared" ca="1" si="298"/>
        <v>-</v>
      </c>
      <c r="M388" s="59" t="str">
        <f t="shared" ca="1" si="298"/>
        <v>-</v>
      </c>
      <c r="N388" s="59" t="str">
        <f t="shared" ca="1" si="298"/>
        <v>-</v>
      </c>
      <c r="O388" s="59" t="str">
        <f t="shared" ca="1" si="298"/>
        <v>-</v>
      </c>
      <c r="P388" s="59" t="str">
        <f t="shared" ca="1" si="298"/>
        <v>-</v>
      </c>
      <c r="Q388" s="59" t="str">
        <f t="shared" ca="1" si="298"/>
        <v>-</v>
      </c>
      <c r="R388" s="59" t="str">
        <f t="shared" ca="1" si="298"/>
        <v>-</v>
      </c>
      <c r="S388" s="59" t="str">
        <f t="shared" ca="1" si="298"/>
        <v>-</v>
      </c>
      <c r="T388" s="59" t="str">
        <f t="shared" ca="1" si="298"/>
        <v>-</v>
      </c>
      <c r="U388" s="59" t="str">
        <f t="shared" ca="1" si="298"/>
        <v>-</v>
      </c>
      <c r="V388" s="59" t="str">
        <f t="shared" ca="1" si="298"/>
        <v>-</v>
      </c>
      <c r="W388" s="59" t="str">
        <f t="shared" ca="1" si="298"/>
        <v>-</v>
      </c>
      <c r="X388" s="59" t="str">
        <f t="shared" ca="1" si="298"/>
        <v>-</v>
      </c>
      <c r="Y388" s="59" t="str">
        <f t="shared" ca="1" si="298"/>
        <v>-</v>
      </c>
      <c r="Z388" s="59" t="str">
        <f t="shared" ca="1" si="298"/>
        <v>-</v>
      </c>
      <c r="AA388" s="59" t="str">
        <f t="shared" ca="1" si="298"/>
        <v>-</v>
      </c>
      <c r="AB388" s="59" t="str">
        <f t="shared" ca="1" si="298"/>
        <v>-</v>
      </c>
      <c r="AC388" s="59" t="str">
        <f t="shared" ca="1" si="298"/>
        <v>-</v>
      </c>
      <c r="AD388" s="59" t="str">
        <f t="shared" ca="1" si="298"/>
        <v>-</v>
      </c>
      <c r="AE388" s="59" t="str">
        <f t="shared" ca="1" si="298"/>
        <v>-</v>
      </c>
      <c r="AF388" s="59" t="str">
        <f t="shared" ca="1" si="298"/>
        <v>-</v>
      </c>
      <c r="AG388" s="59" t="str">
        <f t="shared" ca="1" si="298"/>
        <v>-</v>
      </c>
      <c r="AH388" s="59" t="str">
        <f t="shared" ca="1" si="298"/>
        <v>-</v>
      </c>
      <c r="AI388" s="59" t="str">
        <f t="shared" ca="1" si="298"/>
        <v>-</v>
      </c>
      <c r="AJ388" s="59" t="str">
        <f t="shared" ca="1" si="298"/>
        <v>-</v>
      </c>
      <c r="AK388" s="59" t="str">
        <f t="shared" ca="1" si="298"/>
        <v>-</v>
      </c>
      <c r="AL388" s="59" t="str">
        <f t="shared" ca="1" si="298"/>
        <v>-</v>
      </c>
      <c r="AM388" s="59" t="str">
        <f t="shared" ca="1" si="298"/>
        <v>-</v>
      </c>
      <c r="AN388" s="59" t="str">
        <f t="shared" ca="1" si="298"/>
        <v>-</v>
      </c>
      <c r="AO388" s="59" t="str">
        <f t="shared" ca="1" si="298"/>
        <v>-</v>
      </c>
      <c r="AP388" s="59" t="str">
        <f t="shared" ca="1" si="298"/>
        <v>-</v>
      </c>
      <c r="AQ388" s="59" t="str">
        <f t="shared" ca="1" si="298"/>
        <v>-</v>
      </c>
      <c r="AR388" s="59" t="str">
        <f t="shared" ca="1" si="298"/>
        <v>-</v>
      </c>
      <c r="AS388" s="59" t="str">
        <f t="shared" ca="1" si="298"/>
        <v>-</v>
      </c>
      <c r="AT388" s="59" t="str">
        <f t="shared" ca="1" si="298"/>
        <v>-</v>
      </c>
      <c r="AU388" s="59" t="str">
        <f t="shared" ca="1" si="298"/>
        <v>-</v>
      </c>
      <c r="AV388" s="59" t="str">
        <f t="shared" ca="1" si="298"/>
        <v>-</v>
      </c>
      <c r="AW388" s="59" t="str">
        <f t="shared" ca="1" si="298"/>
        <v>-</v>
      </c>
      <c r="AX388" s="59" t="str">
        <f t="shared" ca="1" si="298"/>
        <v>-</v>
      </c>
      <c r="AY388" s="59" t="str">
        <f t="shared" ca="1" si="298"/>
        <v>-</v>
      </c>
    </row>
    <row r="389" spans="1:51"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</row>
    <row r="390" spans="1:51"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</row>
  </sheetData>
  <sheetProtection sheet="1" objects="1" scenarios="1"/>
  <mergeCells count="6">
    <mergeCell ref="E9:Z11"/>
    <mergeCell ref="C361:C388"/>
    <mergeCell ref="E21:E22"/>
    <mergeCell ref="C25:C280"/>
    <mergeCell ref="C317:C358"/>
    <mergeCell ref="C285:C303"/>
  </mergeCells>
  <dataValidations disablePrompts="1" count="1">
    <dataValidation allowBlank="1" showInputMessage="1" showErrorMessage="1" error="La valeur entrée n'est pas valide._x000a_Un utilisateur dispose de valeurs restreintes pouvant être entrées dans cette cellule." sqref="E9"/>
  </dataValidations>
  <pageMargins left="0.25" right="0.25" top="0.75" bottom="0.75" header="0.3" footer="0.3"/>
  <pageSetup paperSize="9" scale="14" orientation="portrait" r:id="rId1"/>
  <ignoredErrors>
    <ignoredError sqref="AL354 I354:K354 Y354 G354 F28:AY28 F34:AY34 F45:AU45 G333 Y333 I333:K333 AL333 F237:AY237 G335 I335:K335 Y335 AL335 G337 I337:K337 Y337 AL337 G339 I339:K339 Y339 AL339 G356 I356:K356 Y356 AL356 G358 I358:K358 Y358 AL35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value">
                <anchor moveWithCells="1" sizeWithCells="1">
                  <from>
                    <xdr:col>3</xdr:col>
                    <xdr:colOff>76200</xdr:colOff>
                    <xdr:row>16</xdr:row>
                    <xdr:rowOff>38100</xdr:rowOff>
                  </from>
                  <to>
                    <xdr:col>4</xdr:col>
                    <xdr:colOff>1174750</xdr:colOff>
                    <xdr:row>18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3391AA"/>
    <pageSetUpPr fitToPage="1"/>
  </sheetPr>
  <dimension ref="A1:Q601"/>
  <sheetViews>
    <sheetView showGridLines="0" topLeftCell="B8" zoomScale="80" zoomScaleNormal="80" workbookViewId="0"/>
  </sheetViews>
  <sheetFormatPr defaultColWidth="11.453125" defaultRowHeight="13.5"/>
  <cols>
    <col min="1" max="1" width="27.7265625" style="1" hidden="1" customWidth="1"/>
    <col min="2" max="2" width="2.81640625" style="1" customWidth="1"/>
    <col min="3" max="3" width="3.81640625" style="1" customWidth="1"/>
    <col min="4" max="4" width="1.453125" style="1" customWidth="1"/>
    <col min="5" max="5" width="60.54296875" style="1" customWidth="1"/>
    <col min="6" max="6" width="17" style="2" customWidth="1"/>
    <col min="7" max="8" width="15.7265625" style="2" bestFit="1" customWidth="1"/>
    <col min="9" max="16384" width="11.453125" style="1"/>
  </cols>
  <sheetData>
    <row r="1" spans="1:16" ht="15.5" hidden="1" customHeight="1">
      <c r="A1" s="1" t="s">
        <v>8</v>
      </c>
      <c r="C1" s="1" t="str">
        <f ca="1">_xll.VIEW("tango_core_model:Report_PL",$C$2,$C$3,$C$4,$C$6,$C$5,$C$7,"!","!","!")</f>
        <v>tango_core_model:Report_PL</v>
      </c>
      <c r="F1" s="74" t="str">
        <f ca="1">Context!G34</f>
        <v>2023.02_YTD</v>
      </c>
      <c r="G1" s="74" t="str">
        <f ca="1">Context!G36</f>
        <v>2022.02_YTD</v>
      </c>
      <c r="H1" s="74" t="str">
        <f ca="1">Context!G37</f>
        <v>2023.02_YTD</v>
      </c>
    </row>
    <row r="2" spans="1:16" ht="13.5" hidden="1" customHeight="1">
      <c r="A2" s="3" t="s">
        <v>9</v>
      </c>
      <c r="B2" s="3"/>
      <c r="C2" s="1" t="s">
        <v>385</v>
      </c>
      <c r="F2" s="4" t="str">
        <f ca="1">z_Current_Phase</f>
        <v>Actual</v>
      </c>
      <c r="G2" s="4" t="str">
        <f ca="1">Context!F36</f>
        <v>Actual</v>
      </c>
      <c r="H2" s="4" t="str">
        <f ca="1">Context!F37</f>
        <v>Budget V current</v>
      </c>
    </row>
    <row r="3" spans="1:16" ht="13.5" hidden="1" customHeight="1">
      <c r="A3" s="3" t="s">
        <v>6</v>
      </c>
      <c r="B3" s="3"/>
      <c r="C3" s="1" t="str">
        <f ca="1">Context!F39</f>
        <v>MEUR</v>
      </c>
    </row>
    <row r="4" spans="1:16" ht="13.5" hidden="1" customHeight="1">
      <c r="A4" s="3" t="s">
        <v>12</v>
      </c>
      <c r="B4" s="3"/>
      <c r="C4" s="1" t="str">
        <f ca="1">Context!F40</f>
        <v>Total_conso_wo_opt_dis</v>
      </c>
    </row>
    <row r="5" spans="1:16" ht="13.5" hidden="1" customHeight="1">
      <c r="A5" s="3" t="s">
        <v>13</v>
      </c>
      <c r="B5" s="3"/>
      <c r="C5" s="1" t="str">
        <f ca="1">Context!F32</f>
        <v>SI278</v>
      </c>
    </row>
    <row r="6" spans="1:16" ht="11.5" hidden="1" customHeight="1">
      <c r="A6" s="3" t="s">
        <v>14</v>
      </c>
      <c r="B6" s="3"/>
      <c r="C6" s="1" t="s">
        <v>384</v>
      </c>
    </row>
    <row r="7" spans="1:16" ht="17" hidden="1" customHeight="1">
      <c r="A7" s="3" t="s">
        <v>15</v>
      </c>
      <c r="B7" s="3"/>
      <c r="C7" s="1" t="str">
        <f ca="1">Context!F31</f>
        <v>CAN</v>
      </c>
    </row>
    <row r="8" spans="1:16" ht="13.5" customHeight="1">
      <c r="A8" s="3"/>
      <c r="B8" s="3"/>
    </row>
    <row r="9" spans="1:16" ht="14.5">
      <c r="A9" s="3"/>
      <c r="B9" s="3"/>
      <c r="C9" s="93"/>
      <c r="D9" s="94"/>
      <c r="E9" s="107" t="str">
        <f ca="1">"Reporting Europe "&amp;_xll.DBRA(Server&amp;"Management_Organization",Context!$F$31,"English")&amp;", "&amp;Context!$G$34</f>
        <v>Reporting Europe Canada, 2023.02_YTD</v>
      </c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</row>
    <row r="10" spans="1:16" ht="14.5">
      <c r="A10" s="3"/>
      <c r="B10" s="3"/>
      <c r="C10" s="93"/>
      <c r="D10" s="94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</row>
    <row r="11" spans="1:16" ht="25.5" customHeight="1">
      <c r="C11" s="93"/>
      <c r="D11" s="94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</row>
    <row r="14" spans="1:16">
      <c r="A14" s="3"/>
      <c r="B14" s="3"/>
    </row>
    <row r="19" spans="1:11" ht="15.5" customHeight="1">
      <c r="E19" s="110" t="str">
        <f ca="1">C7</f>
        <v>CAN</v>
      </c>
      <c r="F19" s="60" t="str">
        <f ca="1">IF(F2="Actual","ACTUAL",IF(F2="Budget V current","BUDGET",IF(F2="Forecast 1 V current","FORECAST 1","FORECAST 2")))</f>
        <v>ACTUAL</v>
      </c>
      <c r="G19" s="60" t="str">
        <f ca="1">IF(G2="Actual","ACTUAL",IF(G2="Budget V current","BUDGET",IF(G2="Forecast 1 V current","FORECAST 1","FORECAST 2")))</f>
        <v>ACTUAL</v>
      </c>
      <c r="H19" s="60" t="str">
        <f ca="1">IF(H2="Actual","ACTUAL",IF(H2="Budget V current","BUDGET",IF(H2="Forecast 1 V current","FORECAST 1","FORECAST 2")))</f>
        <v>BUDGET</v>
      </c>
      <c r="J19" s="113" t="str">
        <f ca="1">"VAR "&amp;G19&amp;" "&amp;LEFT(G20,4)</f>
        <v>VAR ACTUAL 2022</v>
      </c>
      <c r="K19" s="113" t="str">
        <f ca="1">"VAR "&amp;H19&amp;" "&amp;LEFT(H20,4)</f>
        <v>VAR BUDGET 2023</v>
      </c>
    </row>
    <row r="20" spans="1:11" ht="15.5">
      <c r="E20" s="111"/>
      <c r="F20" s="61" t="str">
        <f ca="1">F1</f>
        <v>2023.02_YTD</v>
      </c>
      <c r="G20" s="61" t="str">
        <f t="shared" ref="G20:H20" ca="1" si="0">G1</f>
        <v>2022.02_YTD</v>
      </c>
      <c r="H20" s="61" t="str">
        <f t="shared" ca="1" si="0"/>
        <v>2023.02_YTD</v>
      </c>
      <c r="J20" s="113"/>
      <c r="K20" s="113"/>
    </row>
    <row r="21" spans="1:11" ht="7.5" customHeight="1">
      <c r="E21" s="7"/>
      <c r="F21" s="8"/>
      <c r="G21" s="8"/>
      <c r="H21" s="8"/>
    </row>
    <row r="22" spans="1:11" ht="15.5" hidden="1" customHeight="1">
      <c r="A22" s="1" t="s">
        <v>141</v>
      </c>
      <c r="E22" s="9" t="str">
        <f ca="1">_xll.DBRW(Server&amp;"}ElementAttributes_Indicator",A22,"code_English")</f>
        <v>TPL10_nat - REVENUE FROM ORDINARY ACTIVITIES (by nature)</v>
      </c>
      <c r="F22" s="10">
        <f ca="1">_xll.DBRW($C$1,$C$2,$C$3,$C$4,$C$6,$C$5,$C$7,F$1,F$2,A22)</f>
        <v>0</v>
      </c>
      <c r="G22" s="10">
        <f ca="1">_xll.DBRW($C$1,$C$2,$C$3,$C$4,$C$6,$C$5,$C$7,G$1,G$2,A22)</f>
        <v>0</v>
      </c>
      <c r="H22" s="10">
        <f ca="1">_xll.DBRW($C$1,$C$2,$C$3,$C$4,$C$6,$C$5,$C$7,H$1,H$2,A22)</f>
        <v>0</v>
      </c>
    </row>
    <row r="23" spans="1:11" ht="15.75" customHeight="1">
      <c r="A23" s="1" t="s">
        <v>142</v>
      </c>
      <c r="C23" s="109" t="s">
        <v>16</v>
      </c>
      <c r="E23" s="20" t="s">
        <v>17</v>
      </c>
      <c r="F23" s="37">
        <f ca="1">F22</f>
        <v>0</v>
      </c>
      <c r="G23" s="37">
        <f t="shared" ref="G23:H23" ca="1" si="1">G22</f>
        <v>0</v>
      </c>
      <c r="H23" s="37">
        <f t="shared" ca="1" si="1"/>
        <v>0</v>
      </c>
      <c r="J23" s="98">
        <f ca="1">F23-G23</f>
        <v>0</v>
      </c>
      <c r="K23" s="98">
        <f ca="1">F26-H26</f>
        <v>0</v>
      </c>
    </row>
    <row r="24" spans="1:11" ht="7.5" customHeight="1">
      <c r="A24" s="1" t="s">
        <v>142</v>
      </c>
      <c r="C24" s="109"/>
      <c r="E24" s="7"/>
      <c r="F24" s="8"/>
      <c r="G24" s="8"/>
      <c r="H24" s="8"/>
    </row>
    <row r="25" spans="1:11" ht="15.75" hidden="1" customHeight="1">
      <c r="A25" s="1" t="s">
        <v>143</v>
      </c>
      <c r="C25" s="109"/>
      <c r="E25" s="9" t="str">
        <f ca="1">_xll.DBRW(Server&amp;"}ElementAttributes_Indicator",A25,"code_English")</f>
        <v>PL1003_RC_30 - Other transportation revenue (incl. subcontracting revenue)</v>
      </c>
      <c r="F25" s="10">
        <f ca="1">_xll.DBRW($C$1,$C$2,$C$3,$C$4,$C$6,$C$5,$C$7,F$1,F$2,A25)</f>
        <v>0</v>
      </c>
      <c r="G25" s="10">
        <f ca="1">_xll.DBRW($C$1,$C$2,$C$3,$C$4,$C$6,$C$5,$C$7,G$1,G$2,A25)</f>
        <v>0</v>
      </c>
      <c r="H25" s="10">
        <f ca="1">_xll.DBRW($C$1,$C$2,$C$3,$C$4,$C$6,$C$5,$C$7,H$1,H$2,A25)</f>
        <v>0</v>
      </c>
    </row>
    <row r="26" spans="1:11" ht="15.75" customHeight="1">
      <c r="A26" s="1" t="s">
        <v>142</v>
      </c>
      <c r="C26" s="109"/>
      <c r="E26" s="13" t="s">
        <v>18</v>
      </c>
      <c r="F26" s="31">
        <f t="shared" ref="F26:H26" ca="1" si="2">F25</f>
        <v>0</v>
      </c>
      <c r="G26" s="31">
        <f t="shared" ca="1" si="2"/>
        <v>0</v>
      </c>
      <c r="H26" s="31">
        <f t="shared" ca="1" si="2"/>
        <v>0</v>
      </c>
      <c r="J26" s="31">
        <f ca="1">F26-G26</f>
        <v>0</v>
      </c>
      <c r="K26" s="31">
        <f ca="1">F26-H26</f>
        <v>0</v>
      </c>
    </row>
    <row r="27" spans="1:11" ht="15.75" hidden="1" customHeight="1">
      <c r="A27" s="1" t="s">
        <v>144</v>
      </c>
      <c r="C27" s="109"/>
      <c r="E27" s="9" t="str">
        <f ca="1">_xll.DBRW(Server&amp;"}ElementAttributes_Indicator",A27,"code_English")</f>
        <v>PL1115S - COS - Subcontracting transportation costs</v>
      </c>
      <c r="F27" s="32">
        <f ca="1">_xll.DBRW($C$1,$C$2,$C$3,$C$4,$C$6,$C$5,$C$7,F$1,F$2,A27)</f>
        <v>0</v>
      </c>
      <c r="G27" s="32">
        <f ca="1">_xll.DBRW($C$1,$C$2,$C$3,$C$4,$C$6,$C$5,$C$7,G$1,G$2,A27)</f>
        <v>0</v>
      </c>
      <c r="H27" s="32">
        <f ca="1">_xll.DBRW($C$1,$C$2,$C$3,$C$4,$C$6,$C$5,$C$7,H$1,H$2,A27)</f>
        <v>0</v>
      </c>
      <c r="J27" s="31">
        <f t="shared" ref="J27:J28" ca="1" si="3">F27-G27</f>
        <v>0</v>
      </c>
      <c r="K27" s="31">
        <f t="shared" ref="K27:K28" ca="1" si="4">F27-H27</f>
        <v>0</v>
      </c>
    </row>
    <row r="28" spans="1:11" ht="15.5">
      <c r="A28" s="1" t="s">
        <v>142</v>
      </c>
      <c r="C28" s="109"/>
      <c r="E28" s="13" t="s">
        <v>19</v>
      </c>
      <c r="F28" s="31">
        <f t="shared" ref="F28:H28" ca="1" si="5">F27</f>
        <v>0</v>
      </c>
      <c r="G28" s="31">
        <f t="shared" ca="1" si="5"/>
        <v>0</v>
      </c>
      <c r="H28" s="31">
        <f t="shared" ca="1" si="5"/>
        <v>0</v>
      </c>
      <c r="J28" s="31">
        <f t="shared" ca="1" si="3"/>
        <v>0</v>
      </c>
      <c r="K28" s="31">
        <f t="shared" ca="1" si="4"/>
        <v>0</v>
      </c>
    </row>
    <row r="29" spans="1:11" ht="15.5">
      <c r="A29" s="1" t="s">
        <v>142</v>
      </c>
      <c r="C29" s="109"/>
      <c r="E29" s="20" t="s">
        <v>20</v>
      </c>
      <c r="F29" s="37">
        <f t="shared" ref="F29:H29" ca="1" si="6">F26+F28</f>
        <v>0</v>
      </c>
      <c r="G29" s="37">
        <f t="shared" ca="1" si="6"/>
        <v>0</v>
      </c>
      <c r="H29" s="37">
        <f t="shared" ca="1" si="6"/>
        <v>0</v>
      </c>
      <c r="J29" s="98">
        <f ca="1">F29-G29</f>
        <v>0</v>
      </c>
      <c r="K29" s="98">
        <f ca="1">F32-H32</f>
        <v>0</v>
      </c>
    </row>
    <row r="30" spans="1:11" ht="9" customHeight="1">
      <c r="A30" s="1" t="s">
        <v>142</v>
      </c>
      <c r="C30" s="109"/>
      <c r="E30" s="7"/>
      <c r="F30" s="8"/>
      <c r="G30" s="8"/>
      <c r="H30" s="8"/>
    </row>
    <row r="31" spans="1:11" ht="15.75" hidden="1" customHeight="1">
      <c r="A31" s="1" t="s">
        <v>141</v>
      </c>
      <c r="C31" s="109"/>
      <c r="E31" s="9" t="str">
        <f ca="1">_xll.DBRW(Server&amp;"}ElementAttributes_Indicator",A32,"code_English")</f>
        <v>TPL10_dest_nosub - REVENUE FROM ORDINARY ACTIVITIES (ROA) net of subcontracted transport and reinvoicing</v>
      </c>
      <c r="F31" s="10">
        <f ca="1">_xll.DBRW($C$1,$C$2,$C$3,$C$4,$C$6,$C$5,$C$7,F$1,F$2,A31)</f>
        <v>0</v>
      </c>
      <c r="G31" s="10">
        <f ca="1">_xll.DBRW($C$1,$C$2,$C$3,$C$4,$C$6,$C$5,$C$7,G$1,G$2,A31)</f>
        <v>0</v>
      </c>
      <c r="H31" s="10">
        <f ca="1">_xll.DBRW($C$1,$C$2,$C$3,$C$4,$C$6,$C$5,$C$7,H$1,H$2,A31)</f>
        <v>0</v>
      </c>
    </row>
    <row r="32" spans="1:11" ht="15.5">
      <c r="A32" s="73" t="s">
        <v>140</v>
      </c>
      <c r="B32" s="73"/>
      <c r="C32" s="109"/>
      <c r="E32" s="13" t="s">
        <v>21</v>
      </c>
      <c r="F32" s="31">
        <f t="shared" ref="F32:H32" ca="1" si="7">F31-F26</f>
        <v>0</v>
      </c>
      <c r="G32" s="31">
        <f t="shared" ca="1" si="7"/>
        <v>0</v>
      </c>
      <c r="H32" s="31">
        <f t="shared" ca="1" si="7"/>
        <v>0</v>
      </c>
      <c r="J32" s="31">
        <f ca="1">F32-G32</f>
        <v>0</v>
      </c>
      <c r="K32" s="31">
        <f ca="1">F32-H32</f>
        <v>0</v>
      </c>
    </row>
    <row r="33" spans="1:11" ht="15.75" hidden="1" customHeight="1">
      <c r="A33" s="1" t="s">
        <v>145</v>
      </c>
      <c r="C33" s="109"/>
      <c r="E33" s="9" t="str">
        <f ca="1">_xll.DBRW(Server&amp;"}ElementAttributes_Indicator",A33,"code_English")</f>
        <v>PL1110_DO_10 - Staff costs (DO)</v>
      </c>
      <c r="F33" s="32">
        <f ca="1">_xll.DBRW($C$1,$C$2,$C$3,$C$4,$C$6,$C$5,$C$7,F$1,F$2,A33)</f>
        <v>0</v>
      </c>
      <c r="G33" s="32">
        <f ca="1">_xll.DBRW($C$1,$C$2,$C$3,$C$4,$C$6,$C$5,$C$7,G$1,G$2,A33)</f>
        <v>0</v>
      </c>
      <c r="H33" s="32">
        <f ca="1">_xll.DBRW($C$1,$C$2,$C$3,$C$4,$C$6,$C$5,$C$7,H$1,H$2,A33)</f>
        <v>0</v>
      </c>
      <c r="J33" s="31">
        <f t="shared" ref="J33:J34" ca="1" si="8">F33-G33</f>
        <v>0</v>
      </c>
      <c r="K33" s="31">
        <f t="shared" ref="K33:K34" ca="1" si="9">F33-H33</f>
        <v>0</v>
      </c>
    </row>
    <row r="34" spans="1:11" ht="15.75" hidden="1" customHeight="1">
      <c r="A34" s="1" t="s">
        <v>146</v>
      </c>
      <c r="C34" s="109"/>
      <c r="E34" s="9" t="str">
        <f ca="1">_xll.DBRW(Server&amp;"}ElementAttributes_Indicator",A34,"code_English")</f>
        <v>PL1115_DO_20 - Interim staff (DO)</v>
      </c>
      <c r="F34" s="32">
        <f ca="1">_xll.DBRW($C$1,$C$2,$C$3,$C$4,$C$6,$C$5,$C$7,F$1,F$2,A34)</f>
        <v>0</v>
      </c>
      <c r="G34" s="32">
        <f ca="1">_xll.DBRW($C$1,$C$2,$C$3,$C$4,$C$6,$C$5,$C$7,G$1,G$2,A34)</f>
        <v>0</v>
      </c>
      <c r="H34" s="32">
        <f ca="1">_xll.DBRW($C$1,$C$2,$C$3,$C$4,$C$6,$C$5,$C$7,H$1,H$2,A34)</f>
        <v>0</v>
      </c>
      <c r="J34" s="31">
        <f t="shared" ca="1" si="8"/>
        <v>0</v>
      </c>
      <c r="K34" s="31">
        <f t="shared" ca="1" si="9"/>
        <v>0</v>
      </c>
    </row>
    <row r="35" spans="1:11" ht="15.75" hidden="1" customHeight="1">
      <c r="A35" s="1" t="s">
        <v>147</v>
      </c>
      <c r="C35" s="109"/>
      <c r="E35" s="9" t="str">
        <f ca="1">_xll.DBRW(Server&amp;"}ElementAttributes_Indicator",A35,"code_English")</f>
        <v>PL1115_DO_99 - Others (DO)</v>
      </c>
      <c r="F35" s="32">
        <f ca="1">_xll.DBRW($C$1,$C$2,$C$3,$C$4,$C$6,$C$5,$C$7,F$1,F$2,A35)</f>
        <v>0</v>
      </c>
      <c r="G35" s="32">
        <f ca="1">_xll.DBRW($C$1,$C$2,$C$3,$C$4,$C$6,$C$5,$C$7,G$1,G$2,A35)</f>
        <v>0</v>
      </c>
      <c r="H35" s="32">
        <f ca="1">_xll.DBRW($C$1,$C$2,$C$3,$C$4,$C$6,$C$5,$C$7,H$1,H$2,A35)</f>
        <v>0</v>
      </c>
    </row>
    <row r="36" spans="1:11" ht="15.75" hidden="1" customHeight="1">
      <c r="A36" s="1" t="s">
        <v>148</v>
      </c>
      <c r="C36" s="109"/>
      <c r="E36" s="9" t="str">
        <f ca="1">_xll.DBRW(Server&amp;"}ElementAttributes_Indicator",A36,"code_English")</f>
        <v>PL1140_DO_10 - Amortization of pensions</v>
      </c>
      <c r="F36" s="32">
        <f ca="1">_xll.DBRW($C$1,$C$2,$C$3,$C$4,$C$6,$C$5,$C$7,F$1,F$2,A36)</f>
        <v>0</v>
      </c>
      <c r="G36" s="32">
        <f ca="1">_xll.DBRW($C$1,$C$2,$C$3,$C$4,$C$6,$C$5,$C$7,G$1,G$2,A36)</f>
        <v>0</v>
      </c>
      <c r="H36" s="32">
        <f ca="1">_xll.DBRW($C$1,$C$2,$C$3,$C$4,$C$6,$C$5,$C$7,H$1,H$2,A36)</f>
        <v>0</v>
      </c>
    </row>
    <row r="37" spans="1:11" ht="15.75" hidden="1" customHeight="1">
      <c r="A37" s="1" t="s">
        <v>149</v>
      </c>
      <c r="C37" s="109"/>
      <c r="E37" s="9" t="str">
        <f ca="1">_xll.DBRW(Server&amp;"}ElementAttributes_Indicator",A37,"code_English")</f>
        <v>PL1150_DO_10 - Impairment (other than working capital) and provisions - related to staff costs (DO)</v>
      </c>
      <c r="F37" s="32">
        <f ca="1">_xll.DBRW($C$1,$C$2,$C$3,$C$4,$C$6,$C$5,$C$7,F$1,F$2,A37)</f>
        <v>0</v>
      </c>
      <c r="G37" s="32">
        <f ca="1">_xll.DBRW($C$1,$C$2,$C$3,$C$4,$C$6,$C$5,$C$7,G$1,G$2,A37)</f>
        <v>0</v>
      </c>
      <c r="H37" s="32">
        <f ca="1">_xll.DBRW($C$1,$C$2,$C$3,$C$4,$C$6,$C$5,$C$7,H$1,H$2,A37)</f>
        <v>0</v>
      </c>
    </row>
    <row r="38" spans="1:11" ht="15.75" hidden="1" customHeight="1">
      <c r="A38" s="1" t="s">
        <v>150</v>
      </c>
      <c r="C38" s="109"/>
      <c r="E38" s="9" t="str">
        <f ca="1">_xll.DBRW(Server&amp;"}ElementAttributes_Indicator",A38,"code_English")</f>
        <v>PL1150_DO_11 - Impairment (other than working capital) and provisions - related to staff costs - Reversal (DO)</v>
      </c>
      <c r="F38" s="32">
        <f ca="1">_xll.DBRW($C$1,$C$2,$C$3,$C$4,$C$6,$C$5,$C$7,F$1,F$2,A38)</f>
        <v>0</v>
      </c>
      <c r="G38" s="32">
        <f ca="1">_xll.DBRW($C$1,$C$2,$C$3,$C$4,$C$6,$C$5,$C$7,G$1,G$2,A38)</f>
        <v>0</v>
      </c>
      <c r="H38" s="32">
        <f ca="1">_xll.DBRW($C$1,$C$2,$C$3,$C$4,$C$6,$C$5,$C$7,H$1,H$2,A38)</f>
        <v>0</v>
      </c>
    </row>
    <row r="39" spans="1:11" ht="15.75" hidden="1" customHeight="1">
      <c r="A39" s="1" t="s">
        <v>151</v>
      </c>
      <c r="C39" s="109"/>
      <c r="E39" s="9" t="str">
        <f ca="1">_xll.DBRW(Server&amp;"}ElementAttributes_Indicator",A39,"code_English")</f>
        <v>PL1150_DO_90 - Impairment (other than working capital) and provisions - other (DO)</v>
      </c>
      <c r="F39" s="32">
        <f ca="1">_xll.DBRW($C$1,$C$2,$C$3,$C$4,$C$6,$C$5,$C$7,F$1,F$2,A39)</f>
        <v>0</v>
      </c>
      <c r="G39" s="32">
        <f ca="1">_xll.DBRW($C$1,$C$2,$C$3,$C$4,$C$6,$C$5,$C$7,G$1,G$2,A39)</f>
        <v>0</v>
      </c>
      <c r="H39" s="32">
        <f ca="1">_xll.DBRW($C$1,$C$2,$C$3,$C$4,$C$6,$C$5,$C$7,H$1,H$2,A39)</f>
        <v>0</v>
      </c>
    </row>
    <row r="40" spans="1:11" ht="15.75" hidden="1" customHeight="1">
      <c r="A40" s="1" t="s">
        <v>152</v>
      </c>
      <c r="C40" s="109"/>
      <c r="E40" s="9" t="str">
        <f ca="1">_xll.DBRW(Server&amp;"}ElementAttributes_Indicator",A40,"code_English")</f>
        <v>PL1151_DO_10 - Impact of change in revaluation rate on provisions for losses on LT contracts - related to staff costs (DO)</v>
      </c>
      <c r="F40" s="32">
        <f ca="1">_xll.DBRW($C$1,$C$2,$C$3,$C$4,$C$6,$C$5,$C$7,F$1,F$2,A40)</f>
        <v>0</v>
      </c>
      <c r="G40" s="32">
        <f ca="1">_xll.DBRW($C$1,$C$2,$C$3,$C$4,$C$6,$C$5,$C$7,G$1,G$2,A40)</f>
        <v>0</v>
      </c>
      <c r="H40" s="32">
        <f ca="1">_xll.DBRW($C$1,$C$2,$C$3,$C$4,$C$6,$C$5,$C$7,H$1,H$2,A40)</f>
        <v>0</v>
      </c>
    </row>
    <row r="41" spans="1:11" ht="15.75" hidden="1" customHeight="1">
      <c r="A41" s="1" t="s">
        <v>153</v>
      </c>
      <c r="C41" s="109"/>
      <c r="E41" s="9" t="str">
        <f ca="1">_xll.DBRW(Server&amp;"}ElementAttributes_Indicator",A41,"code_English")</f>
        <v>PL1151_DO_11 - Impact of change in revaluation rate on provisions for losses on LT contracts  - related to staff costs - Reversal (DO)</v>
      </c>
      <c r="F41" s="32">
        <f ca="1">_xll.DBRW($C$1,$C$2,$C$3,$C$4,$C$6,$C$5,$C$7,F$1,F$2,A41)</f>
        <v>0</v>
      </c>
      <c r="G41" s="32">
        <f ca="1">_xll.DBRW($C$1,$C$2,$C$3,$C$4,$C$6,$C$5,$C$7,G$1,G$2,A41)</f>
        <v>0</v>
      </c>
      <c r="H41" s="32">
        <f ca="1">_xll.DBRW($C$1,$C$2,$C$3,$C$4,$C$6,$C$5,$C$7,H$1,H$2,A41)</f>
        <v>0</v>
      </c>
    </row>
    <row r="42" spans="1:11" ht="15.75" hidden="1" customHeight="1">
      <c r="A42" s="1" t="s">
        <v>154</v>
      </c>
      <c r="C42" s="109"/>
      <c r="E42" s="9" t="str">
        <f ca="1">_xll.DBRW(Server&amp;"}ElementAttributes_Indicator",A42,"code_English")</f>
        <v>PL1155_DO_10 - Reinvoicing - Others (DO)</v>
      </c>
      <c r="F42" s="32">
        <f ca="1">_xll.DBRW($C$1,$C$2,$C$3,$C$4,$C$6,$C$5,$C$7,F$1,F$2,A42)</f>
        <v>0</v>
      </c>
      <c r="G42" s="32">
        <f ca="1">_xll.DBRW($C$1,$C$2,$C$3,$C$4,$C$6,$C$5,$C$7,G$1,G$2,A42)</f>
        <v>0</v>
      </c>
      <c r="H42" s="32">
        <f ca="1">_xll.DBRW($C$1,$C$2,$C$3,$C$4,$C$6,$C$5,$C$7,H$1,H$2,A42)</f>
        <v>0</v>
      </c>
    </row>
    <row r="43" spans="1:11" ht="15.5">
      <c r="A43" s="73" t="s">
        <v>139</v>
      </c>
      <c r="B43" s="73"/>
      <c r="C43" s="109"/>
      <c r="E43" s="13" t="s">
        <v>22</v>
      </c>
      <c r="F43" s="31">
        <f t="shared" ref="F43:H43" ca="1" si="10">SUM(F33:F42)</f>
        <v>0</v>
      </c>
      <c r="G43" s="31">
        <f t="shared" ca="1" si="10"/>
        <v>0</v>
      </c>
      <c r="H43" s="31">
        <f t="shared" ca="1" si="10"/>
        <v>0</v>
      </c>
      <c r="J43" s="31">
        <f ca="1">F43-G43</f>
        <v>0</v>
      </c>
      <c r="K43" s="31">
        <f ca="1">F43-H43</f>
        <v>0</v>
      </c>
    </row>
    <row r="44" spans="1:11" ht="15.75" hidden="1" customHeight="1">
      <c r="A44" s="1" t="s">
        <v>155</v>
      </c>
      <c r="C44" s="109"/>
      <c r="E44" s="9" t="str">
        <f ca="1">_xll.DBRW(Server&amp;"}ElementAttributes_Indicator",A44,"code_English")</f>
        <v>PL1110_MF_10 - Staff costs (MF)</v>
      </c>
      <c r="F44" s="32">
        <f ca="1">_xll.DBRW($C$1,$C$2,$C$3,$C$4,$C$6,$C$5,$C$7,F$1,F$2,A44)</f>
        <v>0</v>
      </c>
      <c r="G44" s="32">
        <f ca="1">_xll.DBRW($C$1,$C$2,$C$3,$C$4,$C$6,$C$5,$C$7,G$1,G$2,A44)</f>
        <v>0</v>
      </c>
      <c r="H44" s="32">
        <f ca="1">_xll.DBRW($C$1,$C$2,$C$3,$C$4,$C$6,$C$5,$C$7,H$1,H$2,A44)</f>
        <v>0</v>
      </c>
      <c r="J44" s="31">
        <f t="shared" ref="J44:J45" ca="1" si="11">F44-G44</f>
        <v>0</v>
      </c>
      <c r="K44" s="31">
        <f t="shared" ref="K44:K45" ca="1" si="12">F44-H44</f>
        <v>0</v>
      </c>
    </row>
    <row r="45" spans="1:11" ht="15.75" hidden="1" customHeight="1">
      <c r="A45" s="1" t="s">
        <v>156</v>
      </c>
      <c r="C45" s="109"/>
      <c r="E45" s="9" t="str">
        <f ca="1">_xll.DBRW(Server&amp;"}ElementAttributes_Indicator",A45,"code_English")</f>
        <v>PL1115_MF_20 - Interim staff (MF)</v>
      </c>
      <c r="F45" s="32">
        <f ca="1">_xll.DBRW($C$1,$C$2,$C$3,$C$4,$C$6,$C$5,$C$7,F$1,F$2,A45)</f>
        <v>0</v>
      </c>
      <c r="G45" s="32">
        <f ca="1">_xll.DBRW($C$1,$C$2,$C$3,$C$4,$C$6,$C$5,$C$7,G$1,G$2,A45)</f>
        <v>0</v>
      </c>
      <c r="H45" s="32">
        <f ca="1">_xll.DBRW($C$1,$C$2,$C$3,$C$4,$C$6,$C$5,$C$7,H$1,H$2,A45)</f>
        <v>0</v>
      </c>
      <c r="J45" s="31">
        <f t="shared" ca="1" si="11"/>
        <v>0</v>
      </c>
      <c r="K45" s="31">
        <f t="shared" ca="1" si="12"/>
        <v>0</v>
      </c>
    </row>
    <row r="46" spans="1:11" ht="15.5" collapsed="1">
      <c r="A46" s="1" t="s">
        <v>142</v>
      </c>
      <c r="C46" s="109"/>
      <c r="E46" s="14" t="s">
        <v>23</v>
      </c>
      <c r="F46" s="33">
        <f ca="1">SUM(F44:F45)</f>
        <v>0</v>
      </c>
      <c r="G46" s="33">
        <f t="shared" ref="G46:H46" ca="1" si="13">SUM(G44:G45)</f>
        <v>0</v>
      </c>
      <c r="H46" s="33">
        <f t="shared" ca="1" si="13"/>
        <v>0</v>
      </c>
      <c r="J46" s="33">
        <f ca="1">F46-G46</f>
        <v>0</v>
      </c>
      <c r="K46" s="33">
        <f ca="1">F46-H46</f>
        <v>0</v>
      </c>
    </row>
    <row r="47" spans="1:11" ht="15.75" hidden="1" customHeight="1">
      <c r="A47" s="1" t="s">
        <v>157</v>
      </c>
      <c r="C47" s="109"/>
      <c r="E47" s="9" t="str">
        <f ca="1">_xll.DBRW(Server&amp;"}ElementAttributes_Indicator",A47,"code_English")</f>
        <v>PL1115_MF_11 - Subcontracting maintenance (MF)</v>
      </c>
      <c r="F47" s="33">
        <f ca="1">_xll.DBRW($C$1,$C$2,$C$3,$C$4,$C$6,$C$5,$C$7,F$1,F$2,A47)</f>
        <v>0</v>
      </c>
      <c r="G47" s="33">
        <f ca="1">_xll.DBRW($C$1,$C$2,$C$3,$C$4,$C$6,$C$5,$C$7,G$1,G$2,A47)</f>
        <v>0</v>
      </c>
      <c r="H47" s="33">
        <f ca="1">_xll.DBRW($C$1,$C$2,$C$3,$C$4,$C$6,$C$5,$C$7,H$1,H$2,A47)</f>
        <v>0</v>
      </c>
      <c r="J47" s="33">
        <f t="shared" ref="J47:J81" ca="1" si="14">F47-G47</f>
        <v>0</v>
      </c>
      <c r="K47" s="33">
        <f t="shared" ref="K47:K81" ca="1" si="15">F47-H47</f>
        <v>0</v>
      </c>
    </row>
    <row r="48" spans="1:11" ht="15.75" hidden="1" customHeight="1">
      <c r="A48" s="1" t="s">
        <v>158</v>
      </c>
      <c r="C48" s="109"/>
      <c r="E48" s="9" t="str">
        <f ca="1">_xll.DBRW(Server&amp;"}ElementAttributes_Indicator",A48,"code_English")</f>
        <v>PL1115_MF_25 - Major maintenance</v>
      </c>
      <c r="F48" s="33">
        <f ca="1">_xll.DBRW($C$1,$C$2,$C$3,$C$4,$C$6,$C$5,$C$7,F$1,F$2,A48)</f>
        <v>0</v>
      </c>
      <c r="G48" s="33">
        <f ca="1">_xll.DBRW($C$1,$C$2,$C$3,$C$4,$C$6,$C$5,$C$7,G$1,G$2,A48)</f>
        <v>0</v>
      </c>
      <c r="H48" s="33">
        <f ca="1">_xll.DBRW($C$1,$C$2,$C$3,$C$4,$C$6,$C$5,$C$7,H$1,H$2,A48)</f>
        <v>0</v>
      </c>
      <c r="J48" s="33">
        <f t="shared" ca="1" si="14"/>
        <v>0</v>
      </c>
      <c r="K48" s="33">
        <f t="shared" ca="1" si="15"/>
        <v>0</v>
      </c>
    </row>
    <row r="49" spans="1:11" ht="15.5">
      <c r="A49" s="1" t="s">
        <v>142</v>
      </c>
      <c r="C49" s="109"/>
      <c r="E49" s="15" t="s">
        <v>24</v>
      </c>
      <c r="F49" s="34">
        <f t="shared" ref="F49:H49" ca="1" si="16">SUM(F47:F48)</f>
        <v>0</v>
      </c>
      <c r="G49" s="34">
        <f t="shared" ca="1" si="16"/>
        <v>0</v>
      </c>
      <c r="H49" s="34">
        <f t="shared" ca="1" si="16"/>
        <v>0</v>
      </c>
      <c r="J49" s="33">
        <f t="shared" ca="1" si="14"/>
        <v>0</v>
      </c>
      <c r="K49" s="33">
        <f t="shared" ca="1" si="15"/>
        <v>0</v>
      </c>
    </row>
    <row r="50" spans="1:11" ht="15.75" hidden="1" customHeight="1">
      <c r="A50" s="1" t="s">
        <v>159</v>
      </c>
      <c r="C50" s="109"/>
      <c r="E50" s="9" t="str">
        <f ca="1">_xll.DBRW(Server&amp;"}ElementAttributes_Indicator",A50,"code_English")</f>
        <v>PL1115_MF_12 - Subcontracting cleaning (MF)</v>
      </c>
      <c r="F50" s="33">
        <f ca="1">_xll.DBRW($C$1,$C$2,$C$3,$C$4,$C$6,$C$5,$C$7,F$1,F$2,A50)</f>
        <v>0</v>
      </c>
      <c r="G50" s="33">
        <f ca="1">_xll.DBRW($C$1,$C$2,$C$3,$C$4,$C$6,$C$5,$C$7,G$1,G$2,A50)</f>
        <v>0</v>
      </c>
      <c r="H50" s="33">
        <f ca="1">_xll.DBRW($C$1,$C$2,$C$3,$C$4,$C$6,$C$5,$C$7,H$1,H$2,A50)</f>
        <v>0</v>
      </c>
      <c r="J50" s="33">
        <f t="shared" ca="1" si="14"/>
        <v>0</v>
      </c>
      <c r="K50" s="33">
        <f t="shared" ca="1" si="15"/>
        <v>0</v>
      </c>
    </row>
    <row r="51" spans="1:11" ht="15.5">
      <c r="A51" s="1" t="s">
        <v>142</v>
      </c>
      <c r="C51" s="109"/>
      <c r="E51" s="15" t="s">
        <v>25</v>
      </c>
      <c r="F51" s="34">
        <f t="shared" ref="F51:H51" ca="1" si="17">SUM(F50)</f>
        <v>0</v>
      </c>
      <c r="G51" s="34">
        <f t="shared" ca="1" si="17"/>
        <v>0</v>
      </c>
      <c r="H51" s="34">
        <f t="shared" ca="1" si="17"/>
        <v>0</v>
      </c>
      <c r="J51" s="33">
        <f t="shared" ca="1" si="14"/>
        <v>0</v>
      </c>
      <c r="K51" s="33">
        <f t="shared" ca="1" si="15"/>
        <v>0</v>
      </c>
    </row>
    <row r="52" spans="1:11" ht="15.75" hidden="1" customHeight="1">
      <c r="A52" s="1" t="s">
        <v>160</v>
      </c>
      <c r="C52" s="109"/>
      <c r="E52" s="9" t="str">
        <f ca="1">_xll.DBRW(Server&amp;"}ElementAttributes_Indicator",A52,"code_English")</f>
        <v>PL1115_MF_30 - Spare parts for maintenance of rolling stock</v>
      </c>
      <c r="F52" s="33">
        <f ca="1">_xll.DBRW($C$1,$C$2,$C$3,$C$4,$C$6,$C$5,$C$7,F$1,F$2,A52)</f>
        <v>0</v>
      </c>
      <c r="G52" s="33">
        <f ca="1">_xll.DBRW($C$1,$C$2,$C$3,$C$4,$C$6,$C$5,$C$7,G$1,G$2,A52)</f>
        <v>0</v>
      </c>
      <c r="H52" s="33">
        <f ca="1">_xll.DBRW($C$1,$C$2,$C$3,$C$4,$C$6,$C$5,$C$7,H$1,H$2,A52)</f>
        <v>0</v>
      </c>
      <c r="J52" s="33">
        <f t="shared" ca="1" si="14"/>
        <v>0</v>
      </c>
      <c r="K52" s="33">
        <f t="shared" ca="1" si="15"/>
        <v>0</v>
      </c>
    </row>
    <row r="53" spans="1:11" ht="15.5">
      <c r="A53" s="1" t="s">
        <v>142</v>
      </c>
      <c r="C53" s="109"/>
      <c r="E53" s="15" t="s">
        <v>26</v>
      </c>
      <c r="F53" s="34">
        <f t="shared" ref="F53:H53" ca="1" si="18">SUM(F52)</f>
        <v>0</v>
      </c>
      <c r="G53" s="34">
        <f t="shared" ca="1" si="18"/>
        <v>0</v>
      </c>
      <c r="H53" s="34">
        <f t="shared" ca="1" si="18"/>
        <v>0</v>
      </c>
      <c r="J53" s="33">
        <f t="shared" ca="1" si="14"/>
        <v>0</v>
      </c>
      <c r="K53" s="33">
        <f t="shared" ca="1" si="15"/>
        <v>0</v>
      </c>
    </row>
    <row r="54" spans="1:11" ht="15.75" hidden="1" customHeight="1">
      <c r="A54" s="1" t="s">
        <v>161</v>
      </c>
      <c r="C54" s="109"/>
      <c r="E54" s="9" t="str">
        <f ca="1">_xll.DBRW(Server&amp;"}ElementAttributes_Indicator",A54,"code_English")</f>
        <v>PL1115_MF_31 - Tyres</v>
      </c>
      <c r="F54" s="33">
        <f ca="1">_xll.DBRW($C$1,$C$2,$C$3,$C$4,$C$6,$C$5,$C$7,F$1,F$2,A54)</f>
        <v>0</v>
      </c>
      <c r="G54" s="33">
        <f ca="1">_xll.DBRW($C$1,$C$2,$C$3,$C$4,$C$6,$C$5,$C$7,G$1,G$2,A54)</f>
        <v>0</v>
      </c>
      <c r="H54" s="33">
        <f ca="1">_xll.DBRW($C$1,$C$2,$C$3,$C$4,$C$6,$C$5,$C$7,H$1,H$2,A54)</f>
        <v>0</v>
      </c>
      <c r="J54" s="33">
        <f t="shared" ca="1" si="14"/>
        <v>0</v>
      </c>
      <c r="K54" s="33">
        <f t="shared" ca="1" si="15"/>
        <v>0</v>
      </c>
    </row>
    <row r="55" spans="1:11" ht="15.5">
      <c r="A55" s="1" t="s">
        <v>161</v>
      </c>
      <c r="C55" s="109"/>
      <c r="E55" s="15" t="s">
        <v>27</v>
      </c>
      <c r="F55" s="34">
        <f t="shared" ref="F55:H55" ca="1" si="19">SUM(F54)</f>
        <v>0</v>
      </c>
      <c r="G55" s="34">
        <f t="shared" ca="1" si="19"/>
        <v>0</v>
      </c>
      <c r="H55" s="34">
        <f t="shared" ca="1" si="19"/>
        <v>0</v>
      </c>
      <c r="J55" s="33">
        <f t="shared" ca="1" si="14"/>
        <v>0</v>
      </c>
      <c r="K55" s="33">
        <f t="shared" ca="1" si="15"/>
        <v>0</v>
      </c>
    </row>
    <row r="56" spans="1:11" ht="15.75" hidden="1" customHeight="1">
      <c r="A56" s="1" t="s">
        <v>162</v>
      </c>
      <c r="C56" s="109"/>
      <c r="E56" s="9" t="str">
        <f ca="1">_xll.DBRW(Server&amp;"}ElementAttributes_Indicator",A56,"code_English")</f>
        <v>PL1115_MF_32 - Lubricants</v>
      </c>
      <c r="F56" s="33">
        <f ca="1">_xll.DBRW($C$1,$C$2,$C$3,$C$4,$C$6,$C$5,$C$7,F$1,F$2,A56)</f>
        <v>0</v>
      </c>
      <c r="G56" s="33">
        <f ca="1">_xll.DBRW($C$1,$C$2,$C$3,$C$4,$C$6,$C$5,$C$7,G$1,G$2,A56)</f>
        <v>0</v>
      </c>
      <c r="H56" s="33">
        <f ca="1">_xll.DBRW($C$1,$C$2,$C$3,$C$4,$C$6,$C$5,$C$7,H$1,H$2,A56)</f>
        <v>0</v>
      </c>
      <c r="J56" s="33">
        <f t="shared" ca="1" si="14"/>
        <v>0</v>
      </c>
      <c r="K56" s="33">
        <f t="shared" ca="1" si="15"/>
        <v>0</v>
      </c>
    </row>
    <row r="57" spans="1:11" ht="15.5">
      <c r="A57" s="1" t="s">
        <v>162</v>
      </c>
      <c r="C57" s="109"/>
      <c r="E57" s="15" t="s">
        <v>28</v>
      </c>
      <c r="F57" s="34">
        <f t="shared" ref="F57:H57" ca="1" si="20">SUM(F56)</f>
        <v>0</v>
      </c>
      <c r="G57" s="34">
        <f t="shared" ca="1" si="20"/>
        <v>0</v>
      </c>
      <c r="H57" s="34">
        <f t="shared" ca="1" si="20"/>
        <v>0</v>
      </c>
      <c r="J57" s="33">
        <f t="shared" ca="1" si="14"/>
        <v>0</v>
      </c>
      <c r="K57" s="33">
        <f t="shared" ca="1" si="15"/>
        <v>0</v>
      </c>
    </row>
    <row r="58" spans="1:11" ht="15.75" hidden="1" customHeight="1">
      <c r="A58" s="1" t="s">
        <v>163</v>
      </c>
      <c r="C58" s="109"/>
      <c r="E58" s="9" t="str">
        <f ca="1">_xll.DBRW(Server&amp;"}ElementAttributes_Indicator",A58,"code_English")</f>
        <v>PL1115_MF_99 - Others (MF)</v>
      </c>
      <c r="F58" s="33">
        <f ca="1">_xll.DBRW($C$1,$C$2,$C$3,$C$4,$C$6,$C$5,$C$7,F$1,F$2,A58)</f>
        <v>0</v>
      </c>
      <c r="G58" s="33">
        <f ca="1">_xll.DBRW($C$1,$C$2,$C$3,$C$4,$C$6,$C$5,$C$7,G$1,G$2,A58)</f>
        <v>0</v>
      </c>
      <c r="H58" s="33">
        <f ca="1">_xll.DBRW($C$1,$C$2,$C$3,$C$4,$C$6,$C$5,$C$7,H$1,H$2,A58)</f>
        <v>0</v>
      </c>
      <c r="J58" s="33">
        <f t="shared" ca="1" si="14"/>
        <v>0</v>
      </c>
      <c r="K58" s="33">
        <f t="shared" ca="1" si="15"/>
        <v>0</v>
      </c>
    </row>
    <row r="59" spans="1:11" ht="15.75" hidden="1" customHeight="1">
      <c r="A59" s="1" t="s">
        <v>164</v>
      </c>
      <c r="C59" s="109"/>
      <c r="E59" s="9" t="str">
        <f ca="1">_xll.DBRW(Server&amp;"}ElementAttributes_Indicator",A59,"code_English")</f>
        <v>PL1115_ST_10 - Subcontracting transport (ST)</v>
      </c>
      <c r="F59" s="33">
        <f ca="1">_xll.DBRW($C$1,$C$2,$C$3,$C$4,$C$6,$C$5,$C$7,F$1,F$2,A59)</f>
        <v>0</v>
      </c>
      <c r="G59" s="33">
        <f ca="1">_xll.DBRW($C$1,$C$2,$C$3,$C$4,$C$6,$C$5,$C$7,G$1,G$2,A59)</f>
        <v>0</v>
      </c>
      <c r="H59" s="33">
        <f ca="1">_xll.DBRW($C$1,$C$2,$C$3,$C$4,$C$6,$C$5,$C$7,H$1,H$2,A59)</f>
        <v>0</v>
      </c>
      <c r="J59" s="33">
        <f t="shared" ca="1" si="14"/>
        <v>0</v>
      </c>
      <c r="K59" s="33">
        <f t="shared" ca="1" si="15"/>
        <v>0</v>
      </c>
    </row>
    <row r="60" spans="1:11" ht="15.75" hidden="1" customHeight="1">
      <c r="A60" s="1" t="s">
        <v>165</v>
      </c>
      <c r="C60" s="109"/>
      <c r="E60" s="9" t="str">
        <f ca="1">_xll.DBRW(Server&amp;"}ElementAttributes_Indicator",A60,"code_English")</f>
        <v>PL1116_MF - COS - Lease expenses (MF)</v>
      </c>
      <c r="F60" s="33">
        <f ca="1">_xll.DBRW($C$1,$C$2,$C$3,$C$4,$C$6,$C$5,$C$7,F$1,F$2,A60)</f>
        <v>0</v>
      </c>
      <c r="G60" s="33">
        <f ca="1">_xll.DBRW($C$1,$C$2,$C$3,$C$4,$C$6,$C$5,$C$7,G$1,G$2,A60)</f>
        <v>0</v>
      </c>
      <c r="H60" s="33">
        <f ca="1">_xll.DBRW($C$1,$C$2,$C$3,$C$4,$C$6,$C$5,$C$7,H$1,H$2,A60)</f>
        <v>0</v>
      </c>
      <c r="J60" s="33">
        <f t="shared" ca="1" si="14"/>
        <v>0</v>
      </c>
      <c r="K60" s="33">
        <f t="shared" ca="1" si="15"/>
        <v>0</v>
      </c>
    </row>
    <row r="61" spans="1:11" ht="15.75" hidden="1" customHeight="1">
      <c r="A61" s="1" t="s">
        <v>166</v>
      </c>
      <c r="C61" s="109"/>
      <c r="E61" s="9" t="str">
        <f ca="1">_xll.DBRW(Server&amp;"}ElementAttributes_Indicator",A61,"code_English")</f>
        <v>PL1116_ST - COS - Lease expenses (ST)</v>
      </c>
      <c r="F61" s="33">
        <f ca="1">_xll.DBRW($C$1,$C$2,$C$3,$C$4,$C$6,$C$5,$C$7,F$1,F$2,A61)</f>
        <v>0</v>
      </c>
      <c r="G61" s="33">
        <f ca="1">_xll.DBRW($C$1,$C$2,$C$3,$C$4,$C$6,$C$5,$C$7,G$1,G$2,A61)</f>
        <v>0</v>
      </c>
      <c r="H61" s="33">
        <f ca="1">_xll.DBRW($C$1,$C$2,$C$3,$C$4,$C$6,$C$5,$C$7,H$1,H$2,A61)</f>
        <v>0</v>
      </c>
      <c r="J61" s="33">
        <f t="shared" ca="1" si="14"/>
        <v>0</v>
      </c>
      <c r="K61" s="33">
        <f t="shared" ca="1" si="15"/>
        <v>0</v>
      </c>
    </row>
    <row r="62" spans="1:11" ht="15.75" hidden="1" customHeight="1">
      <c r="A62" s="1" t="s">
        <v>167</v>
      </c>
      <c r="C62" s="109"/>
      <c r="E62" s="9" t="str">
        <f ca="1">_xll.DBRW(Server&amp;"}ElementAttributes_Indicator",A62,"code_English")</f>
        <v>PL1117_MF - COS - Lease expenses (IFRIC12) (MF)</v>
      </c>
      <c r="F62" s="33">
        <f ca="1">_xll.DBRW($C$1,$C$2,$C$3,$C$4,$C$6,$C$5,$C$7,F$1,F$2,A62)</f>
        <v>0</v>
      </c>
      <c r="G62" s="33">
        <f ca="1">_xll.DBRW($C$1,$C$2,$C$3,$C$4,$C$6,$C$5,$C$7,G$1,G$2,A62)</f>
        <v>0</v>
      </c>
      <c r="H62" s="33">
        <f ca="1">_xll.DBRW($C$1,$C$2,$C$3,$C$4,$C$6,$C$5,$C$7,H$1,H$2,A62)</f>
        <v>0</v>
      </c>
      <c r="J62" s="33">
        <f t="shared" ca="1" si="14"/>
        <v>0</v>
      </c>
      <c r="K62" s="33">
        <f t="shared" ca="1" si="15"/>
        <v>0</v>
      </c>
    </row>
    <row r="63" spans="1:11" ht="15.75" hidden="1" customHeight="1">
      <c r="A63" s="1" t="s">
        <v>168</v>
      </c>
      <c r="C63" s="109"/>
      <c r="E63" s="9" t="str">
        <f ca="1">_xll.DBRW(Server&amp;"}ElementAttributes_Indicator",A63,"code_English")</f>
        <v>PL1117_ST - COS - Lease expenses (IFRIC12) (ST)</v>
      </c>
      <c r="F63" s="33">
        <f ca="1">_xll.DBRW($C$1,$C$2,$C$3,$C$4,$C$6,$C$5,$C$7,F$1,F$2,A63)</f>
        <v>0</v>
      </c>
      <c r="G63" s="33">
        <f ca="1">_xll.DBRW($C$1,$C$2,$C$3,$C$4,$C$6,$C$5,$C$7,G$1,G$2,A63)</f>
        <v>0</v>
      </c>
      <c r="H63" s="33">
        <f ca="1">_xll.DBRW($C$1,$C$2,$C$3,$C$4,$C$6,$C$5,$C$7,H$1,H$2,A63)</f>
        <v>0</v>
      </c>
      <c r="J63" s="33">
        <f t="shared" ca="1" si="14"/>
        <v>0</v>
      </c>
      <c r="K63" s="33">
        <f t="shared" ca="1" si="15"/>
        <v>0</v>
      </c>
    </row>
    <row r="64" spans="1:11" ht="15.75" hidden="1" customHeight="1">
      <c r="A64" s="1" t="s">
        <v>169</v>
      </c>
      <c r="C64" s="109"/>
      <c r="E64" s="9" t="str">
        <f ca="1">_xll.DBRW(Server&amp;"}ElementAttributes_Indicator",A64,"code_English")</f>
        <v>PL1118_MF - IFRS16 adjustment through P&amp;L (MF)</v>
      </c>
      <c r="F64" s="33">
        <f ca="1">_xll.DBRW($C$1,$C$2,$C$3,$C$4,$C$6,$C$5,$C$7,F$1,F$2,A64)</f>
        <v>0</v>
      </c>
      <c r="G64" s="33">
        <f ca="1">_xll.DBRW($C$1,$C$2,$C$3,$C$4,$C$6,$C$5,$C$7,G$1,G$2,A64)</f>
        <v>0</v>
      </c>
      <c r="H64" s="33">
        <f ca="1">_xll.DBRW($C$1,$C$2,$C$3,$C$4,$C$6,$C$5,$C$7,H$1,H$2,A64)</f>
        <v>0</v>
      </c>
      <c r="J64" s="33">
        <f t="shared" ca="1" si="14"/>
        <v>0</v>
      </c>
      <c r="K64" s="33">
        <f t="shared" ca="1" si="15"/>
        <v>0</v>
      </c>
    </row>
    <row r="65" spans="1:11" ht="15.75" hidden="1" customHeight="1">
      <c r="A65" s="1" t="s">
        <v>170</v>
      </c>
      <c r="C65" s="109"/>
      <c r="E65" s="9" t="str">
        <f ca="1">_xll.DBRW(Server&amp;"}ElementAttributes_Indicator",A65,"code_English")</f>
        <v>PL1118_ST - IFRS16 adjustment through P&amp;L (ST)</v>
      </c>
      <c r="F65" s="33">
        <f ca="1">_xll.DBRW($C$1,$C$2,$C$3,$C$4,$C$6,$C$5,$C$7,F$1,F$2,A65)</f>
        <v>0</v>
      </c>
      <c r="G65" s="33">
        <f ca="1">_xll.DBRW($C$1,$C$2,$C$3,$C$4,$C$6,$C$5,$C$7,G$1,G$2,A65)</f>
        <v>0</v>
      </c>
      <c r="H65" s="33">
        <f ca="1">_xll.DBRW($C$1,$C$2,$C$3,$C$4,$C$6,$C$5,$C$7,H$1,H$2,A65)</f>
        <v>0</v>
      </c>
      <c r="J65" s="33">
        <f t="shared" ca="1" si="14"/>
        <v>0</v>
      </c>
      <c r="K65" s="33">
        <f t="shared" ca="1" si="15"/>
        <v>0</v>
      </c>
    </row>
    <row r="66" spans="1:11" ht="15.75" hidden="1" customHeight="1">
      <c r="A66" s="1" t="s">
        <v>171</v>
      </c>
      <c r="C66" s="109"/>
      <c r="E66" s="9" t="str">
        <f ca="1">_xll.DBRW(Server&amp;"}ElementAttributes_Indicator",A66,"code_English")</f>
        <v>PL1140_MF_10 - Amortization (MF)</v>
      </c>
      <c r="F66" s="33">
        <f ca="1">_xll.DBRW($C$1,$C$2,$C$3,$C$4,$C$6,$C$5,$C$7,F$1,F$2,A66)</f>
        <v>0</v>
      </c>
      <c r="G66" s="33">
        <f ca="1">_xll.DBRW($C$1,$C$2,$C$3,$C$4,$C$6,$C$5,$C$7,G$1,G$2,A66)</f>
        <v>0</v>
      </c>
      <c r="H66" s="33">
        <f ca="1">_xll.DBRW($C$1,$C$2,$C$3,$C$4,$C$6,$C$5,$C$7,H$1,H$2,A66)</f>
        <v>0</v>
      </c>
      <c r="J66" s="33">
        <f t="shared" ca="1" si="14"/>
        <v>0</v>
      </c>
      <c r="K66" s="33">
        <f t="shared" ca="1" si="15"/>
        <v>0</v>
      </c>
    </row>
    <row r="67" spans="1:11" ht="15.75" hidden="1" customHeight="1">
      <c r="A67" s="1" t="s">
        <v>172</v>
      </c>
      <c r="C67" s="109"/>
      <c r="E67" s="9" t="str">
        <f ca="1">_xll.DBRW(Server&amp;"}ElementAttributes_Indicator",A67,"code_English")</f>
        <v>PL1145_MF - Impairment - working capital (MF)</v>
      </c>
      <c r="F67" s="33">
        <f ca="1">_xll.DBRW($C$1,$C$2,$C$3,$C$4,$C$6,$C$5,$C$7,F$1,F$2,A67)</f>
        <v>0</v>
      </c>
      <c r="G67" s="33">
        <f ca="1">_xll.DBRW($C$1,$C$2,$C$3,$C$4,$C$6,$C$5,$C$7,G$1,G$2,A67)</f>
        <v>0</v>
      </c>
      <c r="H67" s="33">
        <f ca="1">_xll.DBRW($C$1,$C$2,$C$3,$C$4,$C$6,$C$5,$C$7,H$1,H$2,A67)</f>
        <v>0</v>
      </c>
      <c r="J67" s="33">
        <f t="shared" ca="1" si="14"/>
        <v>0</v>
      </c>
      <c r="K67" s="33">
        <f t="shared" ca="1" si="15"/>
        <v>0</v>
      </c>
    </row>
    <row r="68" spans="1:11" ht="15.75" hidden="1" customHeight="1">
      <c r="A68" s="1" t="s">
        <v>173</v>
      </c>
      <c r="C68" s="109"/>
      <c r="E68" s="9" t="str">
        <f ca="1">_xll.DBRW(Server&amp;"}ElementAttributes_Indicator",A68,"code_English")</f>
        <v>PL1150_MF_10 - Impairment (other than working capital) and provisions - related to staff costs (MF)</v>
      </c>
      <c r="F68" s="33">
        <f ca="1">_xll.DBRW($C$1,$C$2,$C$3,$C$4,$C$6,$C$5,$C$7,F$1,F$2,A68)</f>
        <v>0</v>
      </c>
      <c r="G68" s="33">
        <f ca="1">_xll.DBRW($C$1,$C$2,$C$3,$C$4,$C$6,$C$5,$C$7,G$1,G$2,A68)</f>
        <v>0</v>
      </c>
      <c r="H68" s="33">
        <f ca="1">_xll.DBRW($C$1,$C$2,$C$3,$C$4,$C$6,$C$5,$C$7,H$1,H$2,A68)</f>
        <v>0</v>
      </c>
      <c r="J68" s="33">
        <f t="shared" ca="1" si="14"/>
        <v>0</v>
      </c>
      <c r="K68" s="33">
        <f t="shared" ca="1" si="15"/>
        <v>0</v>
      </c>
    </row>
    <row r="69" spans="1:11" ht="15.75" hidden="1" customHeight="1">
      <c r="A69" s="1" t="s">
        <v>174</v>
      </c>
      <c r="C69" s="109"/>
      <c r="E69" s="9" t="str">
        <f ca="1">_xll.DBRW(Server&amp;"}ElementAttributes_Indicator",A69,"code_English")</f>
        <v>PL1150_MF_11 - Impairment (other than working capital) and provisions - related to staff costs - Reversal (MF)</v>
      </c>
      <c r="F69" s="33">
        <f ca="1">_xll.DBRW($C$1,$C$2,$C$3,$C$4,$C$6,$C$5,$C$7,F$1,F$2,A69)</f>
        <v>0</v>
      </c>
      <c r="G69" s="33">
        <f ca="1">_xll.DBRW($C$1,$C$2,$C$3,$C$4,$C$6,$C$5,$C$7,G$1,G$2,A69)</f>
        <v>0</v>
      </c>
      <c r="H69" s="33">
        <f ca="1">_xll.DBRW($C$1,$C$2,$C$3,$C$4,$C$6,$C$5,$C$7,H$1,H$2,A69)</f>
        <v>0</v>
      </c>
      <c r="J69" s="33">
        <f t="shared" ca="1" si="14"/>
        <v>0</v>
      </c>
      <c r="K69" s="33">
        <f t="shared" ca="1" si="15"/>
        <v>0</v>
      </c>
    </row>
    <row r="70" spans="1:11" ht="15.75" hidden="1" customHeight="1">
      <c r="A70" s="1" t="s">
        <v>175</v>
      </c>
      <c r="C70" s="109"/>
      <c r="E70" s="9" t="str">
        <f ca="1">_xll.DBRW(Server&amp;"}ElementAttributes_Indicator",A70,"code_English")</f>
        <v>PL1150_MF_20 - Impairment (other than working capital) and provisions - related to heavy maintenance</v>
      </c>
      <c r="F70" s="33">
        <f ca="1">_xll.DBRW($C$1,$C$2,$C$3,$C$4,$C$6,$C$5,$C$7,F$1,F$2,A70)</f>
        <v>0</v>
      </c>
      <c r="G70" s="33">
        <f ca="1">_xll.DBRW($C$1,$C$2,$C$3,$C$4,$C$6,$C$5,$C$7,G$1,G$2,A70)</f>
        <v>0</v>
      </c>
      <c r="H70" s="33">
        <f ca="1">_xll.DBRW($C$1,$C$2,$C$3,$C$4,$C$6,$C$5,$C$7,H$1,H$2,A70)</f>
        <v>0</v>
      </c>
      <c r="J70" s="33">
        <f t="shared" ca="1" si="14"/>
        <v>0</v>
      </c>
      <c r="K70" s="33">
        <f t="shared" ca="1" si="15"/>
        <v>0</v>
      </c>
    </row>
    <row r="71" spans="1:11" ht="15.75" hidden="1" customHeight="1">
      <c r="A71" s="1" t="s">
        <v>176</v>
      </c>
      <c r="C71" s="109"/>
      <c r="E71" s="9" t="str">
        <f ca="1">_xll.DBRW(Server&amp;"}ElementAttributes_Indicator",A71,"code_English")</f>
        <v>PL1150_MF_21 - Impairment (other than working capital) and provisions - related to heavy maintenance - Reversal</v>
      </c>
      <c r="F71" s="33">
        <f ca="1">_xll.DBRW($C$1,$C$2,$C$3,$C$4,$C$6,$C$5,$C$7,F$1,F$2,A71)</f>
        <v>0</v>
      </c>
      <c r="G71" s="33">
        <f ca="1">_xll.DBRW($C$1,$C$2,$C$3,$C$4,$C$6,$C$5,$C$7,G$1,G$2,A71)</f>
        <v>0</v>
      </c>
      <c r="H71" s="33">
        <f ca="1">_xll.DBRW($C$1,$C$2,$C$3,$C$4,$C$6,$C$5,$C$7,H$1,H$2,A71)</f>
        <v>0</v>
      </c>
      <c r="J71" s="33">
        <f t="shared" ca="1" si="14"/>
        <v>0</v>
      </c>
      <c r="K71" s="33">
        <f t="shared" ca="1" si="15"/>
        <v>0</v>
      </c>
    </row>
    <row r="72" spans="1:11" ht="15.75" hidden="1" customHeight="1">
      <c r="A72" s="1" t="s">
        <v>177</v>
      </c>
      <c r="C72" s="109"/>
      <c r="E72" s="9" t="str">
        <f ca="1">_xll.DBRW(Server&amp;"}ElementAttributes_Indicator",A72,"code_English")</f>
        <v>PL1150_MF_90 - Impairment (other than working capital) and provisions - others (MF)</v>
      </c>
      <c r="F72" s="33">
        <f ca="1">_xll.DBRW($C$1,$C$2,$C$3,$C$4,$C$6,$C$5,$C$7,F$1,F$2,A72)</f>
        <v>0</v>
      </c>
      <c r="G72" s="33">
        <f ca="1">_xll.DBRW($C$1,$C$2,$C$3,$C$4,$C$6,$C$5,$C$7,G$1,G$2,A72)</f>
        <v>0</v>
      </c>
      <c r="H72" s="33">
        <f ca="1">_xll.DBRW($C$1,$C$2,$C$3,$C$4,$C$6,$C$5,$C$7,H$1,H$2,A72)</f>
        <v>0</v>
      </c>
      <c r="J72" s="33">
        <f t="shared" ca="1" si="14"/>
        <v>0</v>
      </c>
      <c r="K72" s="33">
        <f t="shared" ca="1" si="15"/>
        <v>0</v>
      </c>
    </row>
    <row r="73" spans="1:11" ht="15.75" hidden="1" customHeight="1">
      <c r="A73" s="1" t="s">
        <v>178</v>
      </c>
      <c r="C73" s="109"/>
      <c r="E73" s="9" t="str">
        <f ca="1">_xll.DBRW(Server&amp;"}ElementAttributes_Indicator",A73,"code_English")</f>
        <v>PL1151_MF_10 - Impact of change in revaluation rate on provisions for losses on LT contracts - related to staff costs (MF)</v>
      </c>
      <c r="F73" s="33">
        <f ca="1">_xll.DBRW($C$1,$C$2,$C$3,$C$4,$C$6,$C$5,$C$7,F$1,F$2,A73)</f>
        <v>0</v>
      </c>
      <c r="G73" s="33">
        <f ca="1">_xll.DBRW($C$1,$C$2,$C$3,$C$4,$C$6,$C$5,$C$7,G$1,G$2,A73)</f>
        <v>0</v>
      </c>
      <c r="H73" s="33">
        <f ca="1">_xll.DBRW($C$1,$C$2,$C$3,$C$4,$C$6,$C$5,$C$7,H$1,H$2,A73)</f>
        <v>0</v>
      </c>
      <c r="J73" s="33">
        <f t="shared" ca="1" si="14"/>
        <v>0</v>
      </c>
      <c r="K73" s="33">
        <f t="shared" ca="1" si="15"/>
        <v>0</v>
      </c>
    </row>
    <row r="74" spans="1:11" ht="15.75" hidden="1" customHeight="1">
      <c r="A74" s="1" t="s">
        <v>179</v>
      </c>
      <c r="C74" s="109"/>
      <c r="E74" s="9" t="str">
        <f ca="1">_xll.DBRW(Server&amp;"}ElementAttributes_Indicator",A74,"code_English")</f>
        <v>PL1151_MF_11 - Impact of change in revaluation rate on provisions for losses on LT contracts - related to staff costs - Reversal (MF)</v>
      </c>
      <c r="F74" s="33">
        <f ca="1">_xll.DBRW($C$1,$C$2,$C$3,$C$4,$C$6,$C$5,$C$7,F$1,F$2,A74)</f>
        <v>0</v>
      </c>
      <c r="G74" s="33">
        <f ca="1">_xll.DBRW($C$1,$C$2,$C$3,$C$4,$C$6,$C$5,$C$7,G$1,G$2,A74)</f>
        <v>0</v>
      </c>
      <c r="H74" s="33">
        <f ca="1">_xll.DBRW($C$1,$C$2,$C$3,$C$4,$C$6,$C$5,$C$7,H$1,H$2,A74)</f>
        <v>0</v>
      </c>
      <c r="J74" s="33">
        <f t="shared" ca="1" si="14"/>
        <v>0</v>
      </c>
      <c r="K74" s="33">
        <f t="shared" ca="1" si="15"/>
        <v>0</v>
      </c>
    </row>
    <row r="75" spans="1:11" ht="15.75" hidden="1" customHeight="1">
      <c r="A75" s="1" t="s">
        <v>180</v>
      </c>
      <c r="C75" s="109"/>
      <c r="E75" s="9" t="str">
        <f ca="1">_xll.DBRW(Server&amp;"}ElementAttributes_Indicator",A75,"code_English")</f>
        <v>PL1151_MF_20 - Impact of change in revaluation rate on provisions for losses on LT contracts - related to heavy maintenance</v>
      </c>
      <c r="F75" s="33">
        <f ca="1">_xll.DBRW($C$1,$C$2,$C$3,$C$4,$C$6,$C$5,$C$7,F$1,F$2,A75)</f>
        <v>0</v>
      </c>
      <c r="G75" s="33">
        <f ca="1">_xll.DBRW($C$1,$C$2,$C$3,$C$4,$C$6,$C$5,$C$7,G$1,G$2,A75)</f>
        <v>0</v>
      </c>
      <c r="H75" s="33">
        <f ca="1">_xll.DBRW($C$1,$C$2,$C$3,$C$4,$C$6,$C$5,$C$7,H$1,H$2,A75)</f>
        <v>0</v>
      </c>
      <c r="J75" s="33">
        <f t="shared" ca="1" si="14"/>
        <v>0</v>
      </c>
      <c r="K75" s="33">
        <f t="shared" ca="1" si="15"/>
        <v>0</v>
      </c>
    </row>
    <row r="76" spans="1:11" ht="15.75" hidden="1" customHeight="1">
      <c r="A76" s="1" t="s">
        <v>181</v>
      </c>
      <c r="C76" s="109"/>
      <c r="E76" s="9" t="str">
        <f ca="1">_xll.DBRW(Server&amp;"}ElementAttributes_Indicator",A76,"code_English")</f>
        <v>PL1151_MF_21 - Impact of change in revaluation rate on provisions for losses on LT contracts - related to heavy maintenance - Reversal</v>
      </c>
      <c r="F76" s="33">
        <f ca="1">_xll.DBRW($C$1,$C$2,$C$3,$C$4,$C$6,$C$5,$C$7,F$1,F$2,A76)</f>
        <v>0</v>
      </c>
      <c r="G76" s="33">
        <f ca="1">_xll.DBRW($C$1,$C$2,$C$3,$C$4,$C$6,$C$5,$C$7,G$1,G$2,A76)</f>
        <v>0</v>
      </c>
      <c r="H76" s="33">
        <f ca="1">_xll.DBRW($C$1,$C$2,$C$3,$C$4,$C$6,$C$5,$C$7,H$1,H$2,A76)</f>
        <v>0</v>
      </c>
      <c r="J76" s="33">
        <f t="shared" ca="1" si="14"/>
        <v>0</v>
      </c>
      <c r="K76" s="33">
        <f t="shared" ca="1" si="15"/>
        <v>0</v>
      </c>
    </row>
    <row r="77" spans="1:11" ht="15.75" hidden="1" customHeight="1">
      <c r="A77" s="1" t="s">
        <v>182</v>
      </c>
      <c r="C77" s="109"/>
      <c r="E77" s="9" t="str">
        <f ca="1">_xll.DBRW(Server&amp;"}ElementAttributes_Indicator",A77,"code_English")</f>
        <v>PL1155_MF_99 - Reinvoicing - Others (MF)</v>
      </c>
      <c r="F77" s="33">
        <f ca="1">_xll.DBRW($C$1,$C$2,$C$3,$C$4,$C$6,$C$5,$C$7,F$1,F$2,A77)</f>
        <v>0</v>
      </c>
      <c r="G77" s="33">
        <f ca="1">_xll.DBRW($C$1,$C$2,$C$3,$C$4,$C$6,$C$5,$C$7,G$1,G$2,A77)</f>
        <v>0</v>
      </c>
      <c r="H77" s="33">
        <f ca="1">_xll.DBRW($C$1,$C$2,$C$3,$C$4,$C$6,$C$5,$C$7,H$1,H$2,A77)</f>
        <v>0</v>
      </c>
      <c r="J77" s="33">
        <f t="shared" ca="1" si="14"/>
        <v>0</v>
      </c>
      <c r="K77" s="33">
        <f t="shared" ca="1" si="15"/>
        <v>0</v>
      </c>
    </row>
    <row r="78" spans="1:11" ht="15.75" hidden="1" customHeight="1">
      <c r="A78" s="1" t="s">
        <v>183</v>
      </c>
      <c r="C78" s="109"/>
      <c r="E78" s="9" t="str">
        <f ca="1">_xll.DBRW(Server&amp;"}ElementAttributes_Indicator",A78,"code_English")</f>
        <v>PL1160_MF_15 - Gains/losses on disposal of tangible &amp; intangible fixed assets (MF)</v>
      </c>
      <c r="F78" s="33">
        <f ca="1">_xll.DBRW($C$1,$C$2,$C$3,$C$4,$C$6,$C$5,$C$7,F$1,F$2,A78)</f>
        <v>0</v>
      </c>
      <c r="G78" s="33">
        <f ca="1">_xll.DBRW($C$1,$C$2,$C$3,$C$4,$C$6,$C$5,$C$7,G$1,G$2,A78)</f>
        <v>0</v>
      </c>
      <c r="H78" s="33">
        <f ca="1">_xll.DBRW($C$1,$C$2,$C$3,$C$4,$C$6,$C$5,$C$7,H$1,H$2,A78)</f>
        <v>0</v>
      </c>
      <c r="J78" s="33">
        <f t="shared" ca="1" si="14"/>
        <v>0</v>
      </c>
      <c r="K78" s="33">
        <f t="shared" ca="1" si="15"/>
        <v>0</v>
      </c>
    </row>
    <row r="79" spans="1:11" ht="15.75" hidden="1" customHeight="1">
      <c r="A79" s="1" t="s">
        <v>184</v>
      </c>
      <c r="C79" s="109"/>
      <c r="E79" s="9" t="str">
        <f ca="1">_xll.DBRW(Server&amp;"}ElementAttributes_Indicator",A79,"code_English")</f>
        <v>PL1162_MF - COS - Gains/losses on disposal of right-of-use (MF)</v>
      </c>
      <c r="F79" s="33">
        <f ca="1">_xll.DBRW($C$1,$C$2,$C$3,$C$4,$C$6,$C$5,$C$7,F$1,F$2,A79)</f>
        <v>0</v>
      </c>
      <c r="G79" s="33">
        <f ca="1">_xll.DBRW($C$1,$C$2,$C$3,$C$4,$C$6,$C$5,$C$7,G$1,G$2,A79)</f>
        <v>0</v>
      </c>
      <c r="H79" s="33">
        <f ca="1">_xll.DBRW($C$1,$C$2,$C$3,$C$4,$C$6,$C$5,$C$7,H$1,H$2,A79)</f>
        <v>0</v>
      </c>
      <c r="J79" s="33">
        <f t="shared" ca="1" si="14"/>
        <v>0</v>
      </c>
      <c r="K79" s="33">
        <f t="shared" ca="1" si="15"/>
        <v>0</v>
      </c>
    </row>
    <row r="80" spans="1:11" ht="15.75" hidden="1" customHeight="1">
      <c r="A80" s="1" t="s">
        <v>185</v>
      </c>
      <c r="C80" s="109"/>
      <c r="E80" s="9" t="str">
        <f ca="1">_xll.DBRW(Server&amp;"}ElementAttributes_Indicator",A80,"code_English")</f>
        <v>PL1162_ST - COS - Gains/losses on disposal of right-of-use (ST)</v>
      </c>
      <c r="F80" s="33">
        <f ca="1">_xll.DBRW($C$1,$C$2,$C$3,$C$4,$C$6,$C$5,$C$7,F$1,F$2,A80)</f>
        <v>0</v>
      </c>
      <c r="G80" s="33">
        <f ca="1">_xll.DBRW($C$1,$C$2,$C$3,$C$4,$C$6,$C$5,$C$7,G$1,G$2,A80)</f>
        <v>0</v>
      </c>
      <c r="H80" s="33">
        <f ca="1">_xll.DBRW($C$1,$C$2,$C$3,$C$4,$C$6,$C$5,$C$7,H$1,H$2,A80)</f>
        <v>0</v>
      </c>
      <c r="J80" s="33">
        <f t="shared" ca="1" si="14"/>
        <v>0</v>
      </c>
      <c r="K80" s="33">
        <f t="shared" ca="1" si="15"/>
        <v>0</v>
      </c>
    </row>
    <row r="81" spans="1:11" ht="15.5">
      <c r="A81" s="1" t="s">
        <v>142</v>
      </c>
      <c r="C81" s="109"/>
      <c r="E81" s="14" t="s">
        <v>29</v>
      </c>
      <c r="F81" s="33">
        <f ca="1">SUM(F58:F80)</f>
        <v>0</v>
      </c>
      <c r="G81" s="33">
        <f t="shared" ref="G81:H81" ca="1" si="21">SUM(G58:G80)</f>
        <v>0</v>
      </c>
      <c r="H81" s="33">
        <f t="shared" ca="1" si="21"/>
        <v>0</v>
      </c>
      <c r="J81" s="33">
        <f t="shared" ca="1" si="14"/>
        <v>0</v>
      </c>
      <c r="K81" s="33">
        <f t="shared" ca="1" si="15"/>
        <v>0</v>
      </c>
    </row>
    <row r="82" spans="1:11" ht="15.5" collapsed="1">
      <c r="A82" s="1" t="s">
        <v>142</v>
      </c>
      <c r="C82" s="109"/>
      <c r="E82" s="11" t="s">
        <v>30</v>
      </c>
      <c r="F82" s="35">
        <f t="shared" ref="F82:H82" ca="1" si="22">F81+F57+F55+F53+F51+F49+F46</f>
        <v>0</v>
      </c>
      <c r="G82" s="35">
        <f t="shared" ca="1" si="22"/>
        <v>0</v>
      </c>
      <c r="H82" s="35">
        <f t="shared" ca="1" si="22"/>
        <v>0</v>
      </c>
      <c r="J82" s="31">
        <f ca="1">F82-G82</f>
        <v>0</v>
      </c>
      <c r="K82" s="31">
        <f ca="1">F82-H82</f>
        <v>0</v>
      </c>
    </row>
    <row r="83" spans="1:11" ht="15.75" hidden="1" customHeight="1">
      <c r="A83" s="1" t="s">
        <v>186</v>
      </c>
      <c r="C83" s="109"/>
      <c r="E83" s="9" t="str">
        <f ca="1">_xll.DBRW(Server&amp;"}ElementAttributes_Indicator",A83,"code_English")</f>
        <v>PL1115_ET_83 - Electricity</v>
      </c>
      <c r="F83" s="32">
        <f ca="1">_xll.DBRW($C$1,$C$2,$C$3,$C$4,$C$6,$C$5,$C$7,F$1,F$2,A83)</f>
        <v>0</v>
      </c>
      <c r="G83" s="32">
        <f ca="1">_xll.DBRW($C$1,$C$2,$C$3,$C$4,$C$6,$C$5,$C$7,G$1,G$2,A83)</f>
        <v>0</v>
      </c>
      <c r="H83" s="32">
        <f ca="1">_xll.DBRW($C$1,$C$2,$C$3,$C$4,$C$6,$C$5,$C$7,H$1,H$2,A83)</f>
        <v>0</v>
      </c>
    </row>
    <row r="84" spans="1:11" ht="15.75" hidden="1" customHeight="1">
      <c r="A84" s="1" t="s">
        <v>187</v>
      </c>
      <c r="C84" s="109"/>
      <c r="E84" s="9" t="str">
        <f ca="1">_xll.DBRW(Server&amp;"}ElementAttributes_Indicator",A84,"code_English")</f>
        <v>PL1155_ET_18 - Reinvoicing - Electricity</v>
      </c>
      <c r="F84" s="32">
        <f ca="1">_xll.DBRW($C$1,$C$2,$C$3,$C$4,$C$6,$C$5,$C$7,F$1,F$2,A84)</f>
        <v>0</v>
      </c>
      <c r="G84" s="32">
        <f ca="1">_xll.DBRW($C$1,$C$2,$C$3,$C$4,$C$6,$C$5,$C$7,G$1,G$2,A84)</f>
        <v>0</v>
      </c>
      <c r="H84" s="32">
        <f ca="1">_xll.DBRW($C$1,$C$2,$C$3,$C$4,$C$6,$C$5,$C$7,H$1,H$2,A84)</f>
        <v>0</v>
      </c>
    </row>
    <row r="85" spans="1:11" ht="15.5" collapsed="1">
      <c r="A85" s="1" t="s">
        <v>142</v>
      </c>
      <c r="C85" s="109"/>
      <c r="E85" s="14" t="s">
        <v>31</v>
      </c>
      <c r="F85" s="33">
        <f t="shared" ref="F85:H85" ca="1" si="23">SUM(F83:F84)</f>
        <v>0</v>
      </c>
      <c r="G85" s="33">
        <f t="shared" ca="1" si="23"/>
        <v>0</v>
      </c>
      <c r="H85" s="33">
        <f t="shared" ca="1" si="23"/>
        <v>0</v>
      </c>
      <c r="J85" s="33">
        <f t="shared" ref="J85:J99" ca="1" si="24">F85-G85</f>
        <v>0</v>
      </c>
      <c r="K85" s="33">
        <f t="shared" ref="K85:K99" ca="1" si="25">F85-H85</f>
        <v>0</v>
      </c>
    </row>
    <row r="86" spans="1:11" ht="15.75" hidden="1" customHeight="1">
      <c r="A86" s="1" t="s">
        <v>188</v>
      </c>
      <c r="C86" s="109"/>
      <c r="E86" s="9" t="str">
        <f ca="1">_xll.DBRW(Server&amp;"}ElementAttributes_Indicator",A86,"code_English")</f>
        <v>PL1115_ET_80 - Fuel</v>
      </c>
      <c r="F86" s="33">
        <f ca="1">_xll.DBRW($C$1,$C$2,$C$3,$C$4,$C$6,$C$5,$C$7,F$1,F$2,A86)</f>
        <v>0</v>
      </c>
      <c r="G86" s="33">
        <f ca="1">_xll.DBRW($C$1,$C$2,$C$3,$C$4,$C$6,$C$5,$C$7,G$1,G$2,A86)</f>
        <v>0</v>
      </c>
      <c r="H86" s="33">
        <f ca="1">_xll.DBRW($C$1,$C$2,$C$3,$C$4,$C$6,$C$5,$C$7,H$1,H$2,A86)</f>
        <v>0</v>
      </c>
      <c r="J86" s="33">
        <f t="shared" ca="1" si="24"/>
        <v>0</v>
      </c>
      <c r="K86" s="33">
        <f t="shared" ca="1" si="25"/>
        <v>0</v>
      </c>
    </row>
    <row r="87" spans="1:11" ht="15.75" hidden="1" customHeight="1">
      <c r="A87" s="1" t="s">
        <v>189</v>
      </c>
      <c r="C87" s="109"/>
      <c r="E87" s="9" t="str">
        <f ca="1">_xll.DBRW(Server&amp;"}ElementAttributes_Indicator",A87,"code_English")</f>
        <v>PL1115_ET_801 - Fuel Hedging Result</v>
      </c>
      <c r="F87" s="33">
        <f ca="1">_xll.DBRW($C$1,$C$2,$C$3,$C$4,$C$6,$C$5,$C$7,F$1,F$2,A87)</f>
        <v>0</v>
      </c>
      <c r="G87" s="33">
        <f ca="1">_xll.DBRW($C$1,$C$2,$C$3,$C$4,$C$6,$C$5,$C$7,G$1,G$2,A87)</f>
        <v>0</v>
      </c>
      <c r="H87" s="33">
        <f ca="1">_xll.DBRW($C$1,$C$2,$C$3,$C$4,$C$6,$C$5,$C$7,H$1,H$2,A87)</f>
        <v>0</v>
      </c>
      <c r="J87" s="33">
        <f t="shared" ca="1" si="24"/>
        <v>0</v>
      </c>
      <c r="K87" s="33">
        <f t="shared" ca="1" si="25"/>
        <v>0</v>
      </c>
    </row>
    <row r="88" spans="1:11" ht="15.75" hidden="1" customHeight="1">
      <c r="A88" s="1" t="s">
        <v>190</v>
      </c>
      <c r="C88" s="109"/>
      <c r="E88" s="9" t="str">
        <f ca="1">_xll.DBRW(Server&amp;"}ElementAttributes_Indicator",A88,"code_English")</f>
        <v>PL1115_ET_802 - Fuel Tax reimbursement</v>
      </c>
      <c r="F88" s="33">
        <f ca="1">_xll.DBRW($C$1,$C$2,$C$3,$C$4,$C$6,$C$5,$C$7,F$1,F$2,A88)</f>
        <v>0</v>
      </c>
      <c r="G88" s="33">
        <f ca="1">_xll.DBRW($C$1,$C$2,$C$3,$C$4,$C$6,$C$5,$C$7,G$1,G$2,A88)</f>
        <v>0</v>
      </c>
      <c r="H88" s="33">
        <f ca="1">_xll.DBRW($C$1,$C$2,$C$3,$C$4,$C$6,$C$5,$C$7,H$1,H$2,A88)</f>
        <v>0</v>
      </c>
      <c r="J88" s="33">
        <f t="shared" ca="1" si="24"/>
        <v>0</v>
      </c>
      <c r="K88" s="33">
        <f t="shared" ca="1" si="25"/>
        <v>0</v>
      </c>
    </row>
    <row r="89" spans="1:11" ht="15.75" hidden="1" customHeight="1">
      <c r="A89" s="1" t="s">
        <v>191</v>
      </c>
      <c r="C89" s="109"/>
      <c r="E89" s="9" t="str">
        <f ca="1">_xll.DBRW(Server&amp;"}ElementAttributes_Indicator",A89,"code_English")</f>
        <v>PL1155_ET_15 - Reinvoicing - Fuel</v>
      </c>
      <c r="F89" s="33">
        <f ca="1">_xll.DBRW($C$1,$C$2,$C$3,$C$4,$C$6,$C$5,$C$7,F$1,F$2,A89)</f>
        <v>0</v>
      </c>
      <c r="G89" s="33">
        <f ca="1">_xll.DBRW($C$1,$C$2,$C$3,$C$4,$C$6,$C$5,$C$7,G$1,G$2,A89)</f>
        <v>0</v>
      </c>
      <c r="H89" s="33">
        <f ca="1">_xll.DBRW($C$1,$C$2,$C$3,$C$4,$C$6,$C$5,$C$7,H$1,H$2,A89)</f>
        <v>0</v>
      </c>
      <c r="J89" s="33">
        <f t="shared" ca="1" si="24"/>
        <v>0</v>
      </c>
      <c r="K89" s="33">
        <f t="shared" ca="1" si="25"/>
        <v>0</v>
      </c>
    </row>
    <row r="90" spans="1:11" ht="15.5">
      <c r="C90" s="109"/>
      <c r="E90" s="84" t="s">
        <v>32</v>
      </c>
      <c r="F90" s="34">
        <f t="shared" ref="F90:H90" ca="1" si="26">SUM(F86:F89)</f>
        <v>0</v>
      </c>
      <c r="G90" s="34">
        <f t="shared" ca="1" si="26"/>
        <v>0</v>
      </c>
      <c r="H90" s="34">
        <f t="shared" ca="1" si="26"/>
        <v>0</v>
      </c>
      <c r="J90" s="33">
        <f t="shared" ca="1" si="24"/>
        <v>0</v>
      </c>
      <c r="K90" s="33">
        <f t="shared" ca="1" si="25"/>
        <v>0</v>
      </c>
    </row>
    <row r="91" spans="1:11" ht="15.75" hidden="1" customHeight="1">
      <c r="A91" s="1" t="s">
        <v>192</v>
      </c>
      <c r="C91" s="109"/>
      <c r="E91" s="9" t="str">
        <f ca="1">_xll.DBRW(Server&amp;"}ElementAttributes_Indicator",A91,"code_English")</f>
        <v>PL1115_ET_81 - Bio fuel</v>
      </c>
      <c r="F91" s="33">
        <f ca="1">_xll.DBRW($C$1,$C$2,$C$3,$C$4,$C$6,$C$5,$C$7,F$1,F$2,A91)</f>
        <v>0</v>
      </c>
      <c r="G91" s="33">
        <f ca="1">_xll.DBRW($C$1,$C$2,$C$3,$C$4,$C$6,$C$5,$C$7,G$1,G$2,A91)</f>
        <v>0</v>
      </c>
      <c r="H91" s="33">
        <f ca="1">_xll.DBRW($C$1,$C$2,$C$3,$C$4,$C$6,$C$5,$C$7,H$1,H$2,A91)</f>
        <v>0</v>
      </c>
      <c r="J91" s="33">
        <f t="shared" ca="1" si="24"/>
        <v>0</v>
      </c>
      <c r="K91" s="33">
        <f t="shared" ca="1" si="25"/>
        <v>0</v>
      </c>
    </row>
    <row r="92" spans="1:11" ht="15.75" hidden="1" customHeight="1">
      <c r="A92" s="1" t="s">
        <v>193</v>
      </c>
      <c r="C92" s="109"/>
      <c r="E92" s="9" t="str">
        <f ca="1">_xll.DBRW(Server&amp;"}ElementAttributes_Indicator",A92,"code_English")</f>
        <v>PL1155_ET_16 - Reinvoicing - Bio fuel</v>
      </c>
      <c r="F92" s="33">
        <f ca="1">_xll.DBRW($C$1,$C$2,$C$3,$C$4,$C$6,$C$5,$C$7,F$1,F$2,A92)</f>
        <v>0</v>
      </c>
      <c r="G92" s="33">
        <f ca="1">_xll.DBRW($C$1,$C$2,$C$3,$C$4,$C$6,$C$5,$C$7,G$1,G$2,A92)</f>
        <v>0</v>
      </c>
      <c r="H92" s="33">
        <f ca="1">_xll.DBRW($C$1,$C$2,$C$3,$C$4,$C$6,$C$5,$C$7,H$1,H$2,A92)</f>
        <v>0</v>
      </c>
      <c r="J92" s="33">
        <f t="shared" ca="1" si="24"/>
        <v>0</v>
      </c>
      <c r="K92" s="33">
        <f t="shared" ca="1" si="25"/>
        <v>0</v>
      </c>
    </row>
    <row r="93" spans="1:11" ht="15.5">
      <c r="A93" s="1" t="s">
        <v>192</v>
      </c>
      <c r="C93" s="109"/>
      <c r="E93" s="84" t="s">
        <v>33</v>
      </c>
      <c r="F93" s="34">
        <f t="shared" ref="F93:H93" ca="1" si="27">SUM(F91:F92)</f>
        <v>0</v>
      </c>
      <c r="G93" s="34">
        <f t="shared" ca="1" si="27"/>
        <v>0</v>
      </c>
      <c r="H93" s="34">
        <f t="shared" ca="1" si="27"/>
        <v>0</v>
      </c>
      <c r="J93" s="33">
        <f t="shared" ca="1" si="24"/>
        <v>0</v>
      </c>
      <c r="K93" s="33">
        <f t="shared" ca="1" si="25"/>
        <v>0</v>
      </c>
    </row>
    <row r="94" spans="1:11" ht="15.75" hidden="1" customHeight="1">
      <c r="A94" s="1" t="s">
        <v>194</v>
      </c>
      <c r="C94" s="109"/>
      <c r="E94" s="9" t="str">
        <f ca="1">_xll.DBRW(Server&amp;"}ElementAttributes_Indicator",A94,"code_English")</f>
        <v>PL1115_ET_82 - Gas</v>
      </c>
      <c r="F94" s="33">
        <f ca="1">_xll.DBRW($C$1,$C$2,$C$3,$C$4,$C$6,$C$5,$C$7,F$1,F$2,A94)</f>
        <v>0</v>
      </c>
      <c r="G94" s="33">
        <f ca="1">_xll.DBRW($C$1,$C$2,$C$3,$C$4,$C$6,$C$5,$C$7,G$1,G$2,A94)</f>
        <v>0</v>
      </c>
      <c r="H94" s="33">
        <f ca="1">_xll.DBRW($C$1,$C$2,$C$3,$C$4,$C$6,$C$5,$C$7,H$1,H$2,A94)</f>
        <v>0</v>
      </c>
      <c r="J94" s="33">
        <f t="shared" ca="1" si="24"/>
        <v>0</v>
      </c>
      <c r="K94" s="33">
        <f t="shared" ca="1" si="25"/>
        <v>0</v>
      </c>
    </row>
    <row r="95" spans="1:11" ht="15.75" hidden="1" customHeight="1">
      <c r="A95" s="1" t="s">
        <v>195</v>
      </c>
      <c r="C95" s="109"/>
      <c r="E95" s="9" t="str">
        <f ca="1">_xll.DBRW(Server&amp;"}ElementAttributes_Indicator",A95,"code_English")</f>
        <v>PL1155_ET_17 - Reinvoicing - Gas</v>
      </c>
      <c r="F95" s="33">
        <f ca="1">_xll.DBRW($C$1,$C$2,$C$3,$C$4,$C$6,$C$5,$C$7,F$1,F$2,A95)</f>
        <v>0</v>
      </c>
      <c r="G95" s="33">
        <f ca="1">_xll.DBRW($C$1,$C$2,$C$3,$C$4,$C$6,$C$5,$C$7,G$1,G$2,A95)</f>
        <v>0</v>
      </c>
      <c r="H95" s="33">
        <f ca="1">_xll.DBRW($C$1,$C$2,$C$3,$C$4,$C$6,$C$5,$C$7,H$1,H$2,A95)</f>
        <v>0</v>
      </c>
      <c r="J95" s="33">
        <f t="shared" ca="1" si="24"/>
        <v>0</v>
      </c>
      <c r="K95" s="33">
        <f t="shared" ca="1" si="25"/>
        <v>0</v>
      </c>
    </row>
    <row r="96" spans="1:11" ht="15.5">
      <c r="A96" s="1" t="s">
        <v>142</v>
      </c>
      <c r="C96" s="109"/>
      <c r="E96" s="15" t="s">
        <v>34</v>
      </c>
      <c r="F96" s="34">
        <f t="shared" ref="F96:H96" ca="1" si="28">SUM(F94:F95)</f>
        <v>0</v>
      </c>
      <c r="G96" s="34">
        <f t="shared" ca="1" si="28"/>
        <v>0</v>
      </c>
      <c r="H96" s="34">
        <f t="shared" ca="1" si="28"/>
        <v>0</v>
      </c>
      <c r="J96" s="33">
        <f t="shared" ca="1" si="24"/>
        <v>0</v>
      </c>
      <c r="K96" s="33">
        <f t="shared" ca="1" si="25"/>
        <v>0</v>
      </c>
    </row>
    <row r="97" spans="1:11" ht="15.75" hidden="1" customHeight="1">
      <c r="A97" s="1" t="s">
        <v>196</v>
      </c>
      <c r="C97" s="109"/>
      <c r="E97" s="9" t="str">
        <f ca="1">_xll.DBRW(Server&amp;"}ElementAttributes_Indicator",A97,"code_English")</f>
        <v>PL1115_ET_99 - Others (ET)</v>
      </c>
      <c r="F97" s="33">
        <f ca="1">_xll.DBRW($C$1,$C$2,$C$3,$C$4,$C$6,$C$5,$C$7,F$1,F$2,A97)</f>
        <v>0</v>
      </c>
      <c r="G97" s="33">
        <f ca="1">_xll.DBRW($C$1,$C$2,$C$3,$C$4,$C$6,$C$5,$C$7,G$1,G$2,A97)</f>
        <v>0</v>
      </c>
      <c r="H97" s="33">
        <f ca="1">_xll.DBRW($C$1,$C$2,$C$3,$C$4,$C$6,$C$5,$C$7,H$1,H$2,A97)</f>
        <v>0</v>
      </c>
      <c r="J97" s="33">
        <f t="shared" ca="1" si="24"/>
        <v>0</v>
      </c>
      <c r="K97" s="33">
        <f t="shared" ca="1" si="25"/>
        <v>0</v>
      </c>
    </row>
    <row r="98" spans="1:11" ht="15.75" hidden="1" customHeight="1">
      <c r="A98" s="1" t="s">
        <v>197</v>
      </c>
      <c r="C98" s="109"/>
      <c r="E98" s="9" t="str">
        <f ca="1">_xll.DBRW(Server&amp;"}ElementAttributes_Indicator",A98,"code_English")</f>
        <v>PL1155_ET_99 - Reinvoicing - Others (ET)</v>
      </c>
      <c r="F98" s="33">
        <f ca="1">_xll.DBRW($C$1,$C$2,$C$3,$C$4,$C$6,$C$5,$C$7,F$1,F$2,A98)</f>
        <v>0</v>
      </c>
      <c r="G98" s="33">
        <f ca="1">_xll.DBRW($C$1,$C$2,$C$3,$C$4,$C$6,$C$5,$C$7,G$1,G$2,A98)</f>
        <v>0</v>
      </c>
      <c r="H98" s="33">
        <f ca="1">_xll.DBRW($C$1,$C$2,$C$3,$C$4,$C$6,$C$5,$C$7,H$1,H$2,A98)</f>
        <v>0</v>
      </c>
      <c r="J98" s="33">
        <f t="shared" ca="1" si="24"/>
        <v>0</v>
      </c>
      <c r="K98" s="33">
        <f t="shared" ca="1" si="25"/>
        <v>0</v>
      </c>
    </row>
    <row r="99" spans="1:11" ht="15.5">
      <c r="A99" s="1" t="s">
        <v>142</v>
      </c>
      <c r="C99" s="109"/>
      <c r="E99" s="14" t="s">
        <v>35</v>
      </c>
      <c r="F99" s="33">
        <f t="shared" ref="F99:H99" ca="1" si="29">SUM(F97:F98)</f>
        <v>0</v>
      </c>
      <c r="G99" s="33">
        <f t="shared" ca="1" si="29"/>
        <v>0</v>
      </c>
      <c r="H99" s="33">
        <f t="shared" ca="1" si="29"/>
        <v>0</v>
      </c>
      <c r="J99" s="33">
        <f t="shared" ca="1" si="24"/>
        <v>0</v>
      </c>
      <c r="K99" s="33">
        <f t="shared" ca="1" si="25"/>
        <v>0</v>
      </c>
    </row>
    <row r="100" spans="1:11" ht="15.5" collapsed="1">
      <c r="A100" s="1" t="s">
        <v>142</v>
      </c>
      <c r="C100" s="109"/>
      <c r="E100" s="11" t="s">
        <v>36</v>
      </c>
      <c r="F100" s="35">
        <f t="shared" ref="F100:H100" ca="1" si="30">F85+F90+F93+F96+F99</f>
        <v>0</v>
      </c>
      <c r="G100" s="35">
        <f t="shared" ca="1" si="30"/>
        <v>0</v>
      </c>
      <c r="H100" s="35">
        <f t="shared" ca="1" si="30"/>
        <v>0</v>
      </c>
      <c r="J100" s="31">
        <f ca="1">F100-G100</f>
        <v>0</v>
      </c>
      <c r="K100" s="31">
        <f ca="1">F100-H100</f>
        <v>0</v>
      </c>
    </row>
    <row r="101" spans="1:11" ht="15.75" hidden="1" customHeight="1">
      <c r="A101" s="1" t="s">
        <v>198</v>
      </c>
      <c r="C101" s="109"/>
      <c r="E101" s="9" t="str">
        <f ca="1">_xll.DBRW(Server&amp;"}ElementAttributes_Indicator",A101,"code_English")</f>
        <v>PL1115_FL_55 - Operating lease (FL)</v>
      </c>
      <c r="F101" s="32">
        <f ca="1">_xll.DBRW($C$1,$C$2,$C$3,$C$4,$C$6,$C$5,$C$7,F$1,F$2,A101)</f>
        <v>0</v>
      </c>
      <c r="G101" s="32">
        <f ca="1">_xll.DBRW($C$1,$C$2,$C$3,$C$4,$C$6,$C$5,$C$7,G$1,G$2,A101)</f>
        <v>0</v>
      </c>
      <c r="H101" s="32">
        <f ca="1">_xll.DBRW($C$1,$C$2,$C$3,$C$4,$C$6,$C$5,$C$7,H$1,H$2,A101)</f>
        <v>0</v>
      </c>
    </row>
    <row r="102" spans="1:11" ht="15.75" hidden="1" customHeight="1">
      <c r="A102" s="1" t="s">
        <v>199</v>
      </c>
      <c r="C102" s="109"/>
      <c r="E102" s="9" t="str">
        <f ca="1">_xll.DBRW(Server&amp;"}ElementAttributes_Indicator",A102,"code_English")</f>
        <v>PL1115_FL_56 - Financial lease (FL)</v>
      </c>
      <c r="F102" s="32">
        <f ca="1">_xll.DBRW($C$1,$C$2,$C$3,$C$4,$C$6,$C$5,$C$7,F$1,F$2,A102)</f>
        <v>0</v>
      </c>
      <c r="G102" s="32">
        <f ca="1">_xll.DBRW($C$1,$C$2,$C$3,$C$4,$C$6,$C$5,$C$7,G$1,G$2,A102)</f>
        <v>0</v>
      </c>
      <c r="H102" s="32">
        <f ca="1">_xll.DBRW($C$1,$C$2,$C$3,$C$4,$C$6,$C$5,$C$7,H$1,H$2,A102)</f>
        <v>0</v>
      </c>
    </row>
    <row r="103" spans="1:11" ht="15.75" hidden="1" customHeight="1">
      <c r="A103" s="1" t="s">
        <v>200</v>
      </c>
      <c r="C103" s="109"/>
      <c r="E103" s="9" t="str">
        <f ca="1">_xll.DBRW(Server&amp;"}ElementAttributes_Indicator",A103,"code_English")</f>
        <v>PL1116_FL - COS - Lease expenses (FL)</v>
      </c>
      <c r="F103" s="32">
        <f ca="1">_xll.DBRW($C$1,$C$2,$C$3,$C$4,$C$6,$C$5,$C$7,F$1,F$2,A103)</f>
        <v>0</v>
      </c>
      <c r="G103" s="32">
        <f ca="1">_xll.DBRW($C$1,$C$2,$C$3,$C$4,$C$6,$C$5,$C$7,G$1,G$2,A103)</f>
        <v>0</v>
      </c>
      <c r="H103" s="32">
        <f ca="1">_xll.DBRW($C$1,$C$2,$C$3,$C$4,$C$6,$C$5,$C$7,H$1,H$2,A103)</f>
        <v>0</v>
      </c>
    </row>
    <row r="104" spans="1:11" ht="15.75" hidden="1" customHeight="1">
      <c r="A104" s="1" t="s">
        <v>201</v>
      </c>
      <c r="C104" s="109"/>
      <c r="E104" s="9" t="str">
        <f ca="1">_xll.DBRW(Server&amp;"}ElementAttributes_Indicator",A104,"code_English")</f>
        <v>PL1117_FL - COS - Lease expenses (IFRIC12) (FL)</v>
      </c>
      <c r="F104" s="32">
        <f ca="1">_xll.DBRW($C$1,$C$2,$C$3,$C$4,$C$6,$C$5,$C$7,F$1,F$2,A104)</f>
        <v>0</v>
      </c>
      <c r="G104" s="32">
        <f ca="1">_xll.DBRW($C$1,$C$2,$C$3,$C$4,$C$6,$C$5,$C$7,G$1,G$2,A104)</f>
        <v>0</v>
      </c>
      <c r="H104" s="32">
        <f ca="1">_xll.DBRW($C$1,$C$2,$C$3,$C$4,$C$6,$C$5,$C$7,H$1,H$2,A104)</f>
        <v>0</v>
      </c>
    </row>
    <row r="105" spans="1:11" ht="15.75" hidden="1" customHeight="1">
      <c r="A105" s="1" t="s">
        <v>202</v>
      </c>
      <c r="C105" s="109"/>
      <c r="E105" s="9" t="str">
        <f ca="1">_xll.DBRW(Server&amp;"}ElementAttributes_Indicator",A105,"code_English")</f>
        <v>PL1118_FL - IFRS16 adjustment through P&amp;L (FL)</v>
      </c>
      <c r="F105" s="32">
        <f ca="1">_xll.DBRW($C$1,$C$2,$C$3,$C$4,$C$6,$C$5,$C$7,F$1,F$2,A105)</f>
        <v>0</v>
      </c>
      <c r="G105" s="32">
        <f ca="1">_xll.DBRW($C$1,$C$2,$C$3,$C$4,$C$6,$C$5,$C$7,G$1,G$2,A105)</f>
        <v>0</v>
      </c>
      <c r="H105" s="32">
        <f ca="1">_xll.DBRW($C$1,$C$2,$C$3,$C$4,$C$6,$C$5,$C$7,H$1,H$2,A105)</f>
        <v>0</v>
      </c>
    </row>
    <row r="106" spans="1:11" ht="15.75" hidden="1" customHeight="1">
      <c r="A106" s="1" t="s">
        <v>203</v>
      </c>
      <c r="C106" s="109"/>
      <c r="E106" s="9" t="str">
        <f ca="1">_xll.DBRW(Server&amp;"}ElementAttributes_Indicator",A106,"code_English")</f>
        <v>PL1140_FL_05 - Amortization (FL)</v>
      </c>
      <c r="F106" s="32">
        <f ca="1">_xll.DBRW($C$1,$C$2,$C$3,$C$4,$C$6,$C$5,$C$7,F$1,F$2,$A106)</f>
        <v>0</v>
      </c>
      <c r="G106" s="32">
        <f ca="1">_xll.DBRW($C$1,$C$2,$C$3,$C$4,$C$6,$C$5,$C$7,G$1,G$2,$A106)</f>
        <v>0</v>
      </c>
      <c r="H106" s="32">
        <f ca="1">_xll.DBRW($C$1,$C$2,$C$3,$C$4,$C$6,$C$5,$C$7,H$1,H$2,$A106)</f>
        <v>0</v>
      </c>
    </row>
    <row r="107" spans="1:11" ht="15.75" hidden="1" customHeight="1">
      <c r="A107" s="1" t="s">
        <v>204</v>
      </c>
      <c r="C107" s="109"/>
      <c r="E107" s="9" t="str">
        <f ca="1">_xll.DBRW(Server&amp;"}ElementAttributes_Indicator",A107,"code_English")</f>
        <v>PL1150_FL_10 - Impairment (other than working capital) and provisions - others (FL)</v>
      </c>
      <c r="F107" s="32">
        <f ca="1">_xll.DBRW($C$1,$C$2,$C$3,$C$4,$C$6,$C$5,$C$7,F$1,F$2,$A107)</f>
        <v>0</v>
      </c>
      <c r="G107" s="32">
        <f ca="1">_xll.DBRW($C$1,$C$2,$C$3,$C$4,$C$6,$C$5,$C$7,G$1,G$2,$A107)</f>
        <v>0</v>
      </c>
      <c r="H107" s="32">
        <f ca="1">_xll.DBRW($C$1,$C$2,$C$3,$C$4,$C$6,$C$5,$C$7,H$1,H$2,$A107)</f>
        <v>0</v>
      </c>
    </row>
    <row r="108" spans="1:11" ht="15.75" hidden="1" customHeight="1">
      <c r="A108" s="1" t="s">
        <v>205</v>
      </c>
      <c r="C108" s="109"/>
      <c r="E108" s="9" t="str">
        <f ca="1">_xll.DBRW(Server&amp;"}ElementAttributes_Indicator",A108,"code_English")</f>
        <v>PL1151_FL_10 - Impact of change in revaluation rate on provisions for losses on LT contracts - others (FL)</v>
      </c>
      <c r="F108" s="32">
        <f ca="1">_xll.DBRW($C$1,$C$2,$C$3,$C$4,$C$6,$C$5,$C$7,F$1,F$2,$A108)</f>
        <v>0</v>
      </c>
      <c r="G108" s="32">
        <f ca="1">_xll.DBRW($C$1,$C$2,$C$3,$C$4,$C$6,$C$5,$C$7,G$1,G$2,$A108)</f>
        <v>0</v>
      </c>
      <c r="H108" s="32">
        <f ca="1">_xll.DBRW($C$1,$C$2,$C$3,$C$4,$C$6,$C$5,$C$7,H$1,H$2,$A108)</f>
        <v>0</v>
      </c>
    </row>
    <row r="109" spans="1:11" ht="15.75" hidden="1" customHeight="1">
      <c r="A109" s="1" t="s">
        <v>206</v>
      </c>
      <c r="C109" s="109"/>
      <c r="E109" s="9" t="str">
        <f ca="1">_xll.DBRW(Server&amp;"}ElementAttributes_Indicator",A109,"code_English")</f>
        <v>PL1160_FL_10 - Gains/losses on disposal of tangible &amp; intangible fixed assets (FL)</v>
      </c>
      <c r="F109" s="32">
        <f ca="1">_xll.DBRW($C$1,$C$2,$C$3,$C$4,$C$6,$C$5,$C$7,F$1,F$2,$A109)</f>
        <v>0</v>
      </c>
      <c r="G109" s="32">
        <f ca="1">_xll.DBRW($C$1,$C$2,$C$3,$C$4,$C$6,$C$5,$C$7,G$1,G$2,$A109)</f>
        <v>0</v>
      </c>
      <c r="H109" s="32">
        <f ca="1">_xll.DBRW($C$1,$C$2,$C$3,$C$4,$C$6,$C$5,$C$7,H$1,H$2,$A109)</f>
        <v>0</v>
      </c>
    </row>
    <row r="110" spans="1:11" ht="15.75" hidden="1" customHeight="1">
      <c r="A110" s="1" t="s">
        <v>207</v>
      </c>
      <c r="C110" s="109"/>
      <c r="E110" s="9" t="str">
        <f ca="1">_xll.DBRW(Server&amp;"}ElementAttributes_Indicator",A110,"code_English")</f>
        <v>PL1162_FL - COS - Gains/losses on disposal of right-of-use (FL)</v>
      </c>
      <c r="F110" s="32">
        <f ca="1">_xll.DBRW($C$1,$C$2,$C$3,$C$4,$C$6,$C$5,$C$7,F$1,F$2,$A110)</f>
        <v>0</v>
      </c>
      <c r="G110" s="32">
        <f ca="1">_xll.DBRW($C$1,$C$2,$C$3,$C$4,$C$6,$C$5,$C$7,G$1,G$2,$A110)</f>
        <v>0</v>
      </c>
      <c r="H110" s="32">
        <f ca="1">_xll.DBRW($C$1,$C$2,$C$3,$C$4,$C$6,$C$5,$C$7,H$1,H$2,$A110)</f>
        <v>0</v>
      </c>
    </row>
    <row r="111" spans="1:11" ht="15.5" collapsed="1">
      <c r="A111" s="1" t="s">
        <v>142</v>
      </c>
      <c r="C111" s="109"/>
      <c r="E111" s="14" t="s">
        <v>37</v>
      </c>
      <c r="F111" s="33">
        <f t="shared" ref="F111:H111" ca="1" si="31">SUM(F101:F110)</f>
        <v>0</v>
      </c>
      <c r="G111" s="33">
        <f t="shared" ca="1" si="31"/>
        <v>0</v>
      </c>
      <c r="H111" s="33">
        <f t="shared" ca="1" si="31"/>
        <v>0</v>
      </c>
      <c r="J111" s="33">
        <f t="shared" ref="J111" ca="1" si="32">F111-G111</f>
        <v>0</v>
      </c>
      <c r="K111" s="33">
        <f t="shared" ref="K111" ca="1" si="33">F111-H111</f>
        <v>0</v>
      </c>
    </row>
    <row r="112" spans="1:11" ht="15.75" hidden="1" customHeight="1">
      <c r="A112" s="1" t="s">
        <v>208</v>
      </c>
      <c r="C112" s="109"/>
      <c r="E112" s="9" t="str">
        <f ca="1">_xll.DBRW(Server&amp;"}ElementAttributes_Indicator",A112,"code_English")</f>
        <v>PL1115_FL_65 - Fleet vehicle taxes (FL)</v>
      </c>
      <c r="F112" s="33">
        <f ca="1">_xll.DBRW($C$1,$C$2,$C$3,$C$4,$C$6,$C$5,$C$7,F$1,F$2,$A112)</f>
        <v>0</v>
      </c>
      <c r="G112" s="33">
        <f ca="1">_xll.DBRW($C$1,$C$2,$C$3,$C$4,$C$6,$C$5,$C$7,G$1,G$2,$A112)</f>
        <v>0</v>
      </c>
      <c r="H112" s="33">
        <f ca="1">_xll.DBRW($C$1,$C$2,$C$3,$C$4,$C$6,$C$5,$C$7,H$1,H$2,$A112)</f>
        <v>0</v>
      </c>
    </row>
    <row r="113" spans="1:11" ht="15.75" hidden="1" customHeight="1">
      <c r="A113" s="1" t="s">
        <v>209</v>
      </c>
      <c r="C113" s="109"/>
      <c r="E113" s="9" t="str">
        <f ca="1">_xll.DBRW(Server&amp;"}ElementAttributes_Indicator",A113,"code_English")</f>
        <v>PL1115_FL_70 - Others (FL)</v>
      </c>
      <c r="F113" s="33">
        <f ca="1">_xll.DBRW($C$1,$C$2,$C$3,$C$4,$C$6,$C$5,$C$7,F$1,F$2,$A113)</f>
        <v>0</v>
      </c>
      <c r="G113" s="33">
        <f ca="1">_xll.DBRW($C$1,$C$2,$C$3,$C$4,$C$6,$C$5,$C$7,G$1,G$2,$A113)</f>
        <v>0</v>
      </c>
      <c r="H113" s="33">
        <f ca="1">_xll.DBRW($C$1,$C$2,$C$3,$C$4,$C$6,$C$5,$C$7,H$1,H$2,$A113)</f>
        <v>0</v>
      </c>
    </row>
    <row r="114" spans="1:11" ht="15.75" hidden="1" customHeight="1">
      <c r="A114" s="1" t="s">
        <v>210</v>
      </c>
      <c r="C114" s="109"/>
      <c r="E114" s="9" t="str">
        <f ca="1">_xll.DBRW(Server&amp;"}ElementAttributes_Indicator",A114,"code_English")</f>
        <v>PL1155_FL_99 - Reinvoicing - Others (FL)</v>
      </c>
      <c r="F114" s="33">
        <f ca="1">_xll.DBRW($C$1,$C$2,$C$3,$C$4,$C$6,$C$5,$C$7,F$1,F$2,$A114)</f>
        <v>0</v>
      </c>
      <c r="G114" s="33">
        <f ca="1">_xll.DBRW($C$1,$C$2,$C$3,$C$4,$C$6,$C$5,$C$7,G$1,G$2,$A114)</f>
        <v>0</v>
      </c>
      <c r="H114" s="33">
        <f ca="1">_xll.DBRW($C$1,$C$2,$C$3,$C$4,$C$6,$C$5,$C$7,H$1,H$2,$A114)</f>
        <v>0</v>
      </c>
    </row>
    <row r="115" spans="1:11" ht="15.5">
      <c r="A115" s="1" t="s">
        <v>142</v>
      </c>
      <c r="C115" s="109"/>
      <c r="E115" s="15" t="s">
        <v>35</v>
      </c>
      <c r="F115" s="34">
        <f t="shared" ref="F115:H115" ca="1" si="34">SUM(F112:F114)</f>
        <v>0</v>
      </c>
      <c r="G115" s="34">
        <f t="shared" ca="1" si="34"/>
        <v>0</v>
      </c>
      <c r="H115" s="34">
        <f t="shared" ca="1" si="34"/>
        <v>0</v>
      </c>
      <c r="J115" s="33">
        <f t="shared" ref="J115" ca="1" si="35">F115-G115</f>
        <v>0</v>
      </c>
      <c r="K115" s="33">
        <f t="shared" ref="K115" ca="1" si="36">F115-H115</f>
        <v>0</v>
      </c>
    </row>
    <row r="116" spans="1:11" ht="15.5" collapsed="1">
      <c r="A116" s="1" t="s">
        <v>142</v>
      </c>
      <c r="C116" s="109"/>
      <c r="E116" s="11" t="s">
        <v>38</v>
      </c>
      <c r="F116" s="35">
        <f t="shared" ref="F116:H116" ca="1" si="37">F115+F111</f>
        <v>0</v>
      </c>
      <c r="G116" s="35">
        <f t="shared" ca="1" si="37"/>
        <v>0</v>
      </c>
      <c r="H116" s="35">
        <f t="shared" ca="1" si="37"/>
        <v>0</v>
      </c>
      <c r="J116" s="31">
        <f ca="1">F116-G116</f>
        <v>0</v>
      </c>
      <c r="K116" s="31">
        <f ca="1">F116-H116</f>
        <v>0</v>
      </c>
    </row>
    <row r="117" spans="1:11" ht="15.75" hidden="1" customHeight="1">
      <c r="A117" s="1" t="s">
        <v>211</v>
      </c>
      <c r="C117" s="109"/>
      <c r="E117" s="9" t="str">
        <f ca="1">_xll.DBRW(Server&amp;"}ElementAttributes_Indicator",A117,"code_English")</f>
        <v>PL1110_CD_10 - Staff Costs (CD)</v>
      </c>
      <c r="F117" s="32">
        <f ca="1">_xll.DBRW($C$1,$C$2,$C$3,$C$4,$C$6,$C$5,$C$7,F$1,F$2,$A117)</f>
        <v>0</v>
      </c>
      <c r="G117" s="32">
        <f ca="1">_xll.DBRW($C$1,$C$2,$C$3,$C$4,$C$6,$C$5,$C$7,G$1,G$2,$A117)</f>
        <v>0</v>
      </c>
      <c r="H117" s="32">
        <f ca="1">_xll.DBRW($C$1,$C$2,$C$3,$C$4,$C$6,$C$5,$C$7,H$1,H$2,$A117)</f>
        <v>0</v>
      </c>
    </row>
    <row r="118" spans="1:11" ht="15.75" hidden="1" customHeight="1">
      <c r="A118" s="1" t="s">
        <v>212</v>
      </c>
      <c r="C118" s="109"/>
      <c r="E118" s="9" t="str">
        <f ca="1">_xll.DBRW(Server&amp;"}ElementAttributes_Indicator",A118,"code_English")</f>
        <v>PL1110_CD_20 - Worker compensations</v>
      </c>
      <c r="F118" s="32">
        <f ca="1">_xll.DBRW($C$1,$C$2,$C$3,$C$4,$C$6,$C$5,$C$7,F$1,F$2,$A118)</f>
        <v>0</v>
      </c>
      <c r="G118" s="32">
        <f ca="1">_xll.DBRW($C$1,$C$2,$C$3,$C$4,$C$6,$C$5,$C$7,G$1,G$2,$A118)</f>
        <v>0</v>
      </c>
      <c r="H118" s="32">
        <f ca="1">_xll.DBRW($C$1,$C$2,$C$3,$C$4,$C$6,$C$5,$C$7,H$1,H$2,$A118)</f>
        <v>0</v>
      </c>
    </row>
    <row r="119" spans="1:11" ht="15.75" hidden="1" customHeight="1">
      <c r="A119" s="1" t="s">
        <v>213</v>
      </c>
      <c r="C119" s="109"/>
      <c r="E119" s="9" t="str">
        <f ca="1">_xll.DBRW(Server&amp;"}ElementAttributes_Indicator",A119,"code_English")</f>
        <v>PL1110_CD_30 - Worker compensations - fixed insurance</v>
      </c>
      <c r="F119" s="32">
        <f ca="1">_xll.DBRW($C$1,$C$2,$C$3,$C$4,$C$6,$C$5,$C$7,F$1,F$2,$A119)</f>
        <v>0</v>
      </c>
      <c r="G119" s="32">
        <f ca="1">_xll.DBRW($C$1,$C$2,$C$3,$C$4,$C$6,$C$5,$C$7,G$1,G$2,$A119)</f>
        <v>0</v>
      </c>
      <c r="H119" s="32">
        <f ca="1">_xll.DBRW($C$1,$C$2,$C$3,$C$4,$C$6,$C$5,$C$7,H$1,H$2,$A119)</f>
        <v>0</v>
      </c>
    </row>
    <row r="120" spans="1:11" ht="15.75" hidden="1" customHeight="1">
      <c r="A120" s="1" t="s">
        <v>214</v>
      </c>
      <c r="C120" s="109"/>
      <c r="E120" s="9" t="str">
        <f ca="1">_xll.DBRW(Server&amp;"}ElementAttributes_Indicator",A120,"code_English")</f>
        <v>PL1115_CD_20 - Interim staff (CD)</v>
      </c>
      <c r="F120" s="32">
        <f ca="1">_xll.DBRW($C$1,$C$2,$C$3,$C$4,$C$6,$C$5,$C$7,F$1,F$2,$A120)</f>
        <v>0</v>
      </c>
      <c r="G120" s="32">
        <f ca="1">_xll.DBRW($C$1,$C$2,$C$3,$C$4,$C$6,$C$5,$C$7,G$1,G$2,$A120)</f>
        <v>0</v>
      </c>
      <c r="H120" s="32">
        <f ca="1">_xll.DBRW($C$1,$C$2,$C$3,$C$4,$C$6,$C$5,$C$7,H$1,H$2,$A120)</f>
        <v>0</v>
      </c>
    </row>
    <row r="121" spans="1:11" ht="15.75" hidden="1" customHeight="1">
      <c r="A121" s="1" t="s">
        <v>215</v>
      </c>
      <c r="C121" s="109"/>
      <c r="E121" s="9" t="str">
        <f ca="1">_xll.DBRW(Server&amp;"}ElementAttributes_Indicator",A121,"code_English")</f>
        <v>PL1115_CD_40 - Repairs</v>
      </c>
      <c r="F121" s="32">
        <f ca="1">_xll.DBRW($C$1,$C$2,$C$3,$C$4,$C$6,$C$5,$C$7,F$1,F$2,$A121)</f>
        <v>0</v>
      </c>
      <c r="G121" s="32">
        <f ca="1">_xll.DBRW($C$1,$C$2,$C$3,$C$4,$C$6,$C$5,$C$7,G$1,G$2,$A121)</f>
        <v>0</v>
      </c>
      <c r="H121" s="32">
        <f ca="1">_xll.DBRW($C$1,$C$2,$C$3,$C$4,$C$6,$C$5,$C$7,H$1,H$2,$A121)</f>
        <v>0</v>
      </c>
    </row>
    <row r="122" spans="1:11" ht="15.75" hidden="1" customHeight="1">
      <c r="A122" s="1" t="s">
        <v>216</v>
      </c>
      <c r="C122" s="109"/>
      <c r="E122" s="9" t="str">
        <f ca="1">_xll.DBRW(Server&amp;"}ElementAttributes_Indicator",A122,"code_English")</f>
        <v>PL1115_CD_45 - Autoliability</v>
      </c>
      <c r="F122" s="32">
        <f ca="1">_xll.DBRW($C$1,$C$2,$C$3,$C$4,$C$6,$C$5,$C$7,F$1,F$2,$A122)</f>
        <v>0</v>
      </c>
      <c r="G122" s="32">
        <f ca="1">_xll.DBRW($C$1,$C$2,$C$3,$C$4,$C$6,$C$5,$C$7,G$1,G$2,$A122)</f>
        <v>0</v>
      </c>
      <c r="H122" s="32">
        <f ca="1">_xll.DBRW($C$1,$C$2,$C$3,$C$4,$C$6,$C$5,$C$7,H$1,H$2,$A122)</f>
        <v>0</v>
      </c>
    </row>
    <row r="123" spans="1:11" ht="15.75" hidden="1" customHeight="1">
      <c r="A123" s="1" t="s">
        <v>217</v>
      </c>
      <c r="C123" s="109"/>
      <c r="E123" s="9" t="str">
        <f ca="1">_xll.DBRW(Server&amp;"}ElementAttributes_Indicator",A123,"code_English")</f>
        <v>PL1115_CD_50 - Insurance premiums paid</v>
      </c>
      <c r="F123" s="32">
        <f ca="1">_xll.DBRW($C$1,$C$2,$C$3,$C$4,$C$6,$C$5,$C$7,F$1,F$2,$A123)</f>
        <v>0</v>
      </c>
      <c r="G123" s="32">
        <f ca="1">_xll.DBRW($C$1,$C$2,$C$3,$C$4,$C$6,$C$5,$C$7,G$1,G$2,$A123)</f>
        <v>0</v>
      </c>
      <c r="H123" s="32">
        <f ca="1">_xll.DBRW($C$1,$C$2,$C$3,$C$4,$C$6,$C$5,$C$7,H$1,H$2,$A123)</f>
        <v>0</v>
      </c>
    </row>
    <row r="124" spans="1:11" ht="15.75" hidden="1" customHeight="1">
      <c r="A124" s="1" t="s">
        <v>218</v>
      </c>
      <c r="C124" s="109"/>
      <c r="E124" s="9" t="str">
        <f ca="1">_xll.DBRW(Server&amp;"}ElementAttributes_Indicator",A124,"code_English")</f>
        <v>PL1115_CD_51 - Insurance compensation received</v>
      </c>
      <c r="F124" s="32">
        <f ca="1">_xll.DBRW($C$1,$C$2,$C$3,$C$4,$C$6,$C$5,$C$7,F$1,F$2,$A124)</f>
        <v>0</v>
      </c>
      <c r="G124" s="32">
        <f ca="1">_xll.DBRW($C$1,$C$2,$C$3,$C$4,$C$6,$C$5,$C$7,G$1,G$2,$A124)</f>
        <v>0</v>
      </c>
      <c r="H124" s="32">
        <f ca="1">_xll.DBRW($C$1,$C$2,$C$3,$C$4,$C$6,$C$5,$C$7,H$1,H$2,$A124)</f>
        <v>0</v>
      </c>
    </row>
    <row r="125" spans="1:11" ht="15.75" hidden="1" customHeight="1">
      <c r="A125" s="1" t="s">
        <v>219</v>
      </c>
      <c r="C125" s="109"/>
      <c r="E125" s="9" t="str">
        <f ca="1">_xll.DBRW(Server&amp;"}ElementAttributes_Indicator",A125,"code_English")</f>
        <v>PL1115_CD_99 - Others (CD)</v>
      </c>
      <c r="F125" s="32">
        <f ca="1">_xll.DBRW($C$1,$C$2,$C$3,$C$4,$C$6,$C$5,$C$7,F$1,F$2,$A125)</f>
        <v>0</v>
      </c>
      <c r="G125" s="32">
        <f ca="1">_xll.DBRW($C$1,$C$2,$C$3,$C$4,$C$6,$C$5,$C$7,G$1,G$2,$A125)</f>
        <v>0</v>
      </c>
      <c r="H125" s="32">
        <f ca="1">_xll.DBRW($C$1,$C$2,$C$3,$C$4,$C$6,$C$5,$C$7,H$1,H$2,$A125)</f>
        <v>0</v>
      </c>
    </row>
    <row r="126" spans="1:11" ht="15.75" hidden="1" customHeight="1">
      <c r="A126" s="1" t="s">
        <v>220</v>
      </c>
      <c r="C126" s="109"/>
      <c r="E126" s="9" t="str">
        <f ca="1">_xll.DBRW(Server&amp;"}ElementAttributes_Indicator",A126,"code_English")</f>
        <v>PL1140_CD_10 - Amortization (CD)</v>
      </c>
      <c r="F126" s="32">
        <f ca="1">_xll.DBRW($C$1,$C$2,$C$3,$C$4,$C$6,$C$5,$C$7,F$1,F$2,$A126)</f>
        <v>0</v>
      </c>
      <c r="G126" s="32">
        <f ca="1">_xll.DBRW($C$1,$C$2,$C$3,$C$4,$C$6,$C$5,$C$7,G$1,G$2,$A126)</f>
        <v>0</v>
      </c>
      <c r="H126" s="32">
        <f ca="1">_xll.DBRW($C$1,$C$2,$C$3,$C$4,$C$6,$C$5,$C$7,H$1,H$2,$A126)</f>
        <v>0</v>
      </c>
    </row>
    <row r="127" spans="1:11" ht="15.75" hidden="1" customHeight="1">
      <c r="A127" s="1" t="s">
        <v>221</v>
      </c>
      <c r="C127" s="109"/>
      <c r="E127" s="9" t="str">
        <f ca="1">_xll.DBRW(Server&amp;"}ElementAttributes_Indicator",A127,"code_English")</f>
        <v>PL1150_CD_15 - Impairment (other than working capital) and provisions - related to worker compensations</v>
      </c>
      <c r="F127" s="32">
        <f ca="1">_xll.DBRW($C$1,$C$2,$C$3,$C$4,$C$6,$C$5,$C$7,F$1,F$2,$A127)</f>
        <v>0</v>
      </c>
      <c r="G127" s="32">
        <f ca="1">_xll.DBRW($C$1,$C$2,$C$3,$C$4,$C$6,$C$5,$C$7,G$1,G$2,$A127)</f>
        <v>0</v>
      </c>
      <c r="H127" s="32">
        <f ca="1">_xll.DBRW($C$1,$C$2,$C$3,$C$4,$C$6,$C$5,$C$7,H$1,H$2,$A127)</f>
        <v>0</v>
      </c>
    </row>
    <row r="128" spans="1:11" ht="15.75" hidden="1" customHeight="1">
      <c r="A128" s="1" t="s">
        <v>222</v>
      </c>
      <c r="C128" s="109"/>
      <c r="E128" s="9" t="str">
        <f ca="1">_xll.DBRW(Server&amp;"}ElementAttributes_Indicator",A128,"code_English")</f>
        <v>PL1150_CD_25 - Impairment (other than working capital) and provisions - related to autoliability</v>
      </c>
      <c r="F128" s="32">
        <f ca="1">_xll.DBRW($C$1,$C$2,$C$3,$C$4,$C$6,$C$5,$C$7,F$1,F$2,$A128)</f>
        <v>0</v>
      </c>
      <c r="G128" s="32">
        <f ca="1">_xll.DBRW($C$1,$C$2,$C$3,$C$4,$C$6,$C$5,$C$7,G$1,G$2,$A128)</f>
        <v>0</v>
      </c>
      <c r="H128" s="32">
        <f ca="1">_xll.DBRW($C$1,$C$2,$C$3,$C$4,$C$6,$C$5,$C$7,H$1,H$2,$A128)</f>
        <v>0</v>
      </c>
    </row>
    <row r="129" spans="1:11" ht="15.75" hidden="1" customHeight="1">
      <c r="A129" s="1" t="s">
        <v>223</v>
      </c>
      <c r="C129" s="109"/>
      <c r="E129" s="9" t="str">
        <f ca="1">_xll.DBRW(Server&amp;"}ElementAttributes_Indicator",A129,"code_English")</f>
        <v>PL1150_CD_90 - Impairment (other than working capital) and provisions - others (CD)</v>
      </c>
      <c r="F129" s="32">
        <f ca="1">_xll.DBRW($C$1,$C$2,$C$3,$C$4,$C$6,$C$5,$C$7,F$1,F$2,$A129)</f>
        <v>0</v>
      </c>
      <c r="G129" s="32">
        <f ca="1">_xll.DBRW($C$1,$C$2,$C$3,$C$4,$C$6,$C$5,$C$7,G$1,G$2,$A129)</f>
        <v>0</v>
      </c>
      <c r="H129" s="32">
        <f ca="1">_xll.DBRW($C$1,$C$2,$C$3,$C$4,$C$6,$C$5,$C$7,H$1,H$2,$A129)</f>
        <v>0</v>
      </c>
    </row>
    <row r="130" spans="1:11" ht="15.5" collapsed="1">
      <c r="A130" s="1" t="s">
        <v>142</v>
      </c>
      <c r="C130" s="109"/>
      <c r="E130" s="14" t="s">
        <v>39</v>
      </c>
      <c r="F130" s="33">
        <f t="shared" ref="F130:H130" ca="1" si="38">SUM(F117:F129)</f>
        <v>0</v>
      </c>
      <c r="G130" s="33">
        <f t="shared" ca="1" si="38"/>
        <v>0</v>
      </c>
      <c r="H130" s="33">
        <f t="shared" ca="1" si="38"/>
        <v>0</v>
      </c>
      <c r="J130" s="33">
        <f t="shared" ref="J130" ca="1" si="39">F130-G130</f>
        <v>0</v>
      </c>
      <c r="K130" s="33">
        <f t="shared" ref="K130" ca="1" si="40">F130-H130</f>
        <v>0</v>
      </c>
    </row>
    <row r="131" spans="1:11" ht="15.75" hidden="1" customHeight="1">
      <c r="A131" s="1" t="s">
        <v>224</v>
      </c>
      <c r="C131" s="109"/>
      <c r="E131" s="9" t="str">
        <f ca="1">_xll.DBRW(Server&amp;"}ElementAttributes_Indicator",A131,"code_English")</f>
        <v>PL1110_CS_10 - Staff costs (CS)</v>
      </c>
      <c r="F131" s="33">
        <f ca="1">_xll.DBRW($C$1,$C$2,$C$3,$C$4,$C$6,$C$5,$C$7,F$1,F$2,$A131)</f>
        <v>0</v>
      </c>
      <c r="G131" s="33">
        <f ca="1">_xll.DBRW($C$1,$C$2,$C$3,$C$4,$C$6,$C$5,$C$7,G$1,G$2,$A131)</f>
        <v>0</v>
      </c>
      <c r="H131" s="33">
        <f ca="1">_xll.DBRW($C$1,$C$2,$C$3,$C$4,$C$6,$C$5,$C$7,H$1,H$2,$A131)</f>
        <v>0</v>
      </c>
      <c r="J131" s="33">
        <f t="shared" ref="J131:J194" ca="1" si="41">F131-G131</f>
        <v>0</v>
      </c>
      <c r="K131" s="33">
        <f t="shared" ref="K131:K194" ca="1" si="42">F131-H131</f>
        <v>0</v>
      </c>
    </row>
    <row r="132" spans="1:11" ht="15.75" hidden="1" customHeight="1">
      <c r="A132" s="1" t="s">
        <v>225</v>
      </c>
      <c r="C132" s="109"/>
      <c r="E132" s="9" t="str">
        <f ca="1">_xll.DBRW(Server&amp;"}ElementAttributes_Indicator",A132,"code_English")</f>
        <v>PL1155_CS_99 - Reinvoicing - Others (CS)</v>
      </c>
      <c r="F132" s="33">
        <f ca="1">_xll.DBRW($C$1,$C$2,$C$3,$C$4,$C$6,$C$5,$C$7,F$1,F$2,$A132)</f>
        <v>0</v>
      </c>
      <c r="G132" s="33">
        <f ca="1">_xll.DBRW($C$1,$C$2,$C$3,$C$4,$C$6,$C$5,$C$7,G$1,G$2,$A132)</f>
        <v>0</v>
      </c>
      <c r="H132" s="33">
        <f ca="1">_xll.DBRW($C$1,$C$2,$C$3,$C$4,$C$6,$C$5,$C$7,H$1,H$2,$A132)</f>
        <v>0</v>
      </c>
      <c r="J132" s="33">
        <f t="shared" ca="1" si="41"/>
        <v>0</v>
      </c>
      <c r="K132" s="33">
        <f t="shared" ca="1" si="42"/>
        <v>0</v>
      </c>
    </row>
    <row r="133" spans="1:11" ht="15.75" hidden="1" customHeight="1">
      <c r="A133" s="1" t="s">
        <v>226</v>
      </c>
      <c r="C133" s="109"/>
      <c r="E133" s="9" t="str">
        <f ca="1">_xll.DBRW(Server&amp;"}ElementAttributes_Indicator",A133,"code_English")</f>
        <v>PL1115_CS_20 - Interim staff (CS)</v>
      </c>
      <c r="F133" s="33">
        <f ca="1">_xll.DBRW($C$1,$C$2,$C$3,$C$4,$C$6,$C$5,$C$7,F$1,F$2,$A133)</f>
        <v>0</v>
      </c>
      <c r="G133" s="33">
        <f ca="1">_xll.DBRW($C$1,$C$2,$C$3,$C$4,$C$6,$C$5,$C$7,G$1,G$2,$A133)</f>
        <v>0</v>
      </c>
      <c r="H133" s="33">
        <f ca="1">_xll.DBRW($C$1,$C$2,$C$3,$C$4,$C$6,$C$5,$C$7,H$1,H$2,$A133)</f>
        <v>0</v>
      </c>
      <c r="J133" s="33">
        <f t="shared" ca="1" si="41"/>
        <v>0</v>
      </c>
      <c r="K133" s="33">
        <f t="shared" ca="1" si="42"/>
        <v>0</v>
      </c>
    </row>
    <row r="134" spans="1:11" ht="15.75" hidden="1" customHeight="1">
      <c r="A134" s="1" t="s">
        <v>227</v>
      </c>
      <c r="C134" s="109"/>
      <c r="E134" s="9" t="str">
        <f ca="1">_xll.DBRW(Server&amp;"}ElementAttributes_Indicator",A134,"code_English")</f>
        <v>PL1115_CS_99 - Others (CS)</v>
      </c>
      <c r="F134" s="33">
        <f ca="1">_xll.DBRW($C$1,$C$2,$C$3,$C$4,$C$6,$C$5,$C$7,F$1,F$2,$A134)</f>
        <v>0</v>
      </c>
      <c r="G134" s="33">
        <f ca="1">_xll.DBRW($C$1,$C$2,$C$3,$C$4,$C$6,$C$5,$C$7,G$1,G$2,$A134)</f>
        <v>0</v>
      </c>
      <c r="H134" s="33">
        <f ca="1">_xll.DBRW($C$1,$C$2,$C$3,$C$4,$C$6,$C$5,$C$7,H$1,H$2,$A134)</f>
        <v>0</v>
      </c>
      <c r="J134" s="33">
        <f t="shared" ca="1" si="41"/>
        <v>0</v>
      </c>
      <c r="K134" s="33">
        <f t="shared" ca="1" si="42"/>
        <v>0</v>
      </c>
    </row>
    <row r="135" spans="1:11" ht="15.75" hidden="1" customHeight="1">
      <c r="A135" s="1" t="s">
        <v>228</v>
      </c>
      <c r="C135" s="109"/>
      <c r="E135" s="9" t="str">
        <f ca="1">_xll.DBRW(Server&amp;"}ElementAttributes_Indicator",A135,"code_English")</f>
        <v>PL1140_CS_05 - Amortization (CS)</v>
      </c>
      <c r="F135" s="33">
        <f ca="1">_xll.DBRW($C$1,$C$2,$C$3,$C$4,$C$6,$C$5,$C$7,F$1,F$2,$A135)</f>
        <v>0</v>
      </c>
      <c r="G135" s="33">
        <f ca="1">_xll.DBRW($C$1,$C$2,$C$3,$C$4,$C$6,$C$5,$C$7,G$1,G$2,$A135)</f>
        <v>0</v>
      </c>
      <c r="H135" s="33">
        <f ca="1">_xll.DBRW($C$1,$C$2,$C$3,$C$4,$C$6,$C$5,$C$7,H$1,H$2,$A135)</f>
        <v>0</v>
      </c>
      <c r="J135" s="33">
        <f t="shared" ca="1" si="41"/>
        <v>0</v>
      </c>
      <c r="K135" s="33">
        <f t="shared" ca="1" si="42"/>
        <v>0</v>
      </c>
    </row>
    <row r="136" spans="1:11" ht="15.75" hidden="1" customHeight="1">
      <c r="A136" s="1" t="s">
        <v>229</v>
      </c>
      <c r="C136" s="109"/>
      <c r="E136" s="9" t="str">
        <f ca="1">_xll.DBRW(Server&amp;"}ElementAttributes_Indicator",A136,"code_English")</f>
        <v>PL1150_CS_10 - Impairment (other than working capital) and provisions - related to staff costs (CS)</v>
      </c>
      <c r="F136" s="33">
        <f ca="1">_xll.DBRW($C$1,$C$2,$C$3,$C$4,$C$6,$C$5,$C$7,F$1,F$2,$A136)</f>
        <v>0</v>
      </c>
      <c r="G136" s="33">
        <f ca="1">_xll.DBRW($C$1,$C$2,$C$3,$C$4,$C$6,$C$5,$C$7,G$1,G$2,$A136)</f>
        <v>0</v>
      </c>
      <c r="H136" s="33">
        <f ca="1">_xll.DBRW($C$1,$C$2,$C$3,$C$4,$C$6,$C$5,$C$7,H$1,H$2,$A136)</f>
        <v>0</v>
      </c>
      <c r="J136" s="33">
        <f t="shared" ca="1" si="41"/>
        <v>0</v>
      </c>
      <c r="K136" s="33">
        <f t="shared" ca="1" si="42"/>
        <v>0</v>
      </c>
    </row>
    <row r="137" spans="1:11" ht="15.75" hidden="1" customHeight="1">
      <c r="A137" s="1" t="s">
        <v>230</v>
      </c>
      <c r="C137" s="109"/>
      <c r="E137" s="9" t="str">
        <f ca="1">_xll.DBRW(Server&amp;"}ElementAttributes_Indicator",A137,"code_English")</f>
        <v>PL1150_CS_11 - Impairment (other than working capital) and provisions - related to staff costs - Reversal (CS)</v>
      </c>
      <c r="F137" s="33">
        <f ca="1">_xll.DBRW($C$1,$C$2,$C$3,$C$4,$C$6,$C$5,$C$7,F$1,F$2,$A137)</f>
        <v>0</v>
      </c>
      <c r="G137" s="33">
        <f ca="1">_xll.DBRW($C$1,$C$2,$C$3,$C$4,$C$6,$C$5,$C$7,G$1,G$2,$A137)</f>
        <v>0</v>
      </c>
      <c r="H137" s="33">
        <f ca="1">_xll.DBRW($C$1,$C$2,$C$3,$C$4,$C$6,$C$5,$C$7,H$1,H$2,$A137)</f>
        <v>0</v>
      </c>
      <c r="J137" s="33">
        <f t="shared" ca="1" si="41"/>
        <v>0</v>
      </c>
      <c r="K137" s="33">
        <f t="shared" ca="1" si="42"/>
        <v>0</v>
      </c>
    </row>
    <row r="138" spans="1:11" ht="15.75" hidden="1" customHeight="1">
      <c r="A138" s="1" t="s">
        <v>231</v>
      </c>
      <c r="C138" s="109"/>
      <c r="E138" s="9" t="str">
        <f ca="1">_xll.DBRW(Server&amp;"}ElementAttributes_Indicator",A138,"code_English")</f>
        <v>PL1150_CS_90 - Impairment (other than working capital) and provisions - others (CS)</v>
      </c>
      <c r="F138" s="33">
        <f ca="1">_xll.DBRW($C$1,$C$2,$C$3,$C$4,$C$6,$C$5,$C$7,F$1,F$2,$A138)</f>
        <v>0</v>
      </c>
      <c r="G138" s="33">
        <f ca="1">_xll.DBRW($C$1,$C$2,$C$3,$C$4,$C$6,$C$5,$C$7,G$1,G$2,$A138)</f>
        <v>0</v>
      </c>
      <c r="H138" s="33">
        <f ca="1">_xll.DBRW($C$1,$C$2,$C$3,$C$4,$C$6,$C$5,$C$7,H$1,H$2,$A138)</f>
        <v>0</v>
      </c>
      <c r="J138" s="33">
        <f t="shared" ca="1" si="41"/>
        <v>0</v>
      </c>
      <c r="K138" s="33">
        <f t="shared" ca="1" si="42"/>
        <v>0</v>
      </c>
    </row>
    <row r="139" spans="1:11" ht="15.5">
      <c r="A139" s="1" t="s">
        <v>232</v>
      </c>
      <c r="C139" s="109"/>
      <c r="E139" s="96" t="s">
        <v>379</v>
      </c>
      <c r="F139" s="34">
        <f t="shared" ref="F139:H139" ca="1" si="43">SUM(F131:F138)</f>
        <v>0</v>
      </c>
      <c r="G139" s="34">
        <f t="shared" ca="1" si="43"/>
        <v>0</v>
      </c>
      <c r="H139" s="34">
        <f t="shared" ca="1" si="43"/>
        <v>0</v>
      </c>
      <c r="J139" s="33">
        <f t="shared" ca="1" si="41"/>
        <v>0</v>
      </c>
      <c r="K139" s="33">
        <f t="shared" ca="1" si="42"/>
        <v>0</v>
      </c>
    </row>
    <row r="140" spans="1:11" ht="15.75" hidden="1" customHeight="1">
      <c r="A140" s="1" t="s">
        <v>233</v>
      </c>
      <c r="C140" s="109"/>
      <c r="E140" s="9" t="str">
        <f ca="1">_xll.DBRW(Server&amp;"}ElementAttributes_Indicator",A140,"code_English")</f>
        <v>PL1110_DS_10 - Staff costs (DS)</v>
      </c>
      <c r="F140" s="33">
        <f ca="1">_xll.DBRW($C$1,$C$2,$C$3,$C$4,$C$6,$C$5,$C$7,F$1,F$2,$A140)</f>
        <v>0</v>
      </c>
      <c r="G140" s="33">
        <f ca="1">_xll.DBRW($C$1,$C$2,$C$3,$C$4,$C$6,$C$5,$C$7,G$1,G$2,$A140)</f>
        <v>0</v>
      </c>
      <c r="H140" s="33">
        <f ca="1">_xll.DBRW($C$1,$C$2,$C$3,$C$4,$C$6,$C$5,$C$7,H$1,H$2,$A140)</f>
        <v>0</v>
      </c>
      <c r="J140" s="33">
        <f t="shared" ca="1" si="41"/>
        <v>0</v>
      </c>
      <c r="K140" s="33">
        <f t="shared" ca="1" si="42"/>
        <v>0</v>
      </c>
    </row>
    <row r="141" spans="1:11" ht="15.75" hidden="1" customHeight="1">
      <c r="A141" s="1" t="s">
        <v>234</v>
      </c>
      <c r="C141" s="109"/>
      <c r="E141" s="9" t="str">
        <f ca="1">_xll.DBRW(Server&amp;"}ElementAttributes_Indicator",A141,"code_English")</f>
        <v>PL1116_DS - COS - Lease expenses (DS)</v>
      </c>
      <c r="F141" s="33">
        <f ca="1">_xll.DBRW($C$1,$C$2,$C$3,$C$4,$C$6,$C$5,$C$7,F$1,F$2,$A141)</f>
        <v>0</v>
      </c>
      <c r="G141" s="33">
        <f ca="1">_xll.DBRW($C$1,$C$2,$C$3,$C$4,$C$6,$C$5,$C$7,G$1,G$2,$A141)</f>
        <v>0</v>
      </c>
      <c r="H141" s="33">
        <f ca="1">_xll.DBRW($C$1,$C$2,$C$3,$C$4,$C$6,$C$5,$C$7,H$1,H$2,$A141)</f>
        <v>0</v>
      </c>
      <c r="J141" s="33">
        <f t="shared" ca="1" si="41"/>
        <v>0</v>
      </c>
      <c r="K141" s="33">
        <f t="shared" ca="1" si="42"/>
        <v>0</v>
      </c>
    </row>
    <row r="142" spans="1:11" ht="15.75" hidden="1" customHeight="1">
      <c r="A142" s="1" t="s">
        <v>235</v>
      </c>
      <c r="C142" s="109"/>
      <c r="E142" s="9" t="str">
        <f ca="1">_xll.DBRW(Server&amp;"}ElementAttributes_Indicator",A142,"code_English")</f>
        <v>PL1145_DS - Impairment - working capital (DS)</v>
      </c>
      <c r="F142" s="33">
        <f ca="1">_xll.DBRW($C$1,$C$2,$C$3,$C$4,$C$6,$C$5,$C$7,F$1,F$2,$A142)</f>
        <v>0</v>
      </c>
      <c r="G142" s="33">
        <f ca="1">_xll.DBRW($C$1,$C$2,$C$3,$C$4,$C$6,$C$5,$C$7,G$1,G$2,$A142)</f>
        <v>0</v>
      </c>
      <c r="H142" s="33">
        <f ca="1">_xll.DBRW($C$1,$C$2,$C$3,$C$4,$C$6,$C$5,$C$7,H$1,H$2,$A142)</f>
        <v>0</v>
      </c>
      <c r="J142" s="33">
        <f t="shared" ca="1" si="41"/>
        <v>0</v>
      </c>
      <c r="K142" s="33">
        <f t="shared" ca="1" si="42"/>
        <v>0</v>
      </c>
    </row>
    <row r="143" spans="1:11" ht="15.75" hidden="1" customHeight="1">
      <c r="A143" s="1" t="s">
        <v>236</v>
      </c>
      <c r="C143" s="109"/>
      <c r="E143" s="9" t="str">
        <f ca="1">_xll.DBRW(Server&amp;"}ElementAttributes_Indicator",A143,"code_English")</f>
        <v>PL1155_DS_99 - Reinvoicing - Others (DS)</v>
      </c>
      <c r="F143" s="33">
        <f ca="1">_xll.DBRW($C$1,$C$2,$C$3,$C$4,$C$6,$C$5,$C$7,F$1,F$2,$A143)</f>
        <v>0</v>
      </c>
      <c r="G143" s="33">
        <f ca="1">_xll.DBRW($C$1,$C$2,$C$3,$C$4,$C$6,$C$5,$C$7,G$1,G$2,$A143)</f>
        <v>0</v>
      </c>
      <c r="H143" s="33">
        <f ca="1">_xll.DBRW($C$1,$C$2,$C$3,$C$4,$C$6,$C$5,$C$7,H$1,H$2,$A143)</f>
        <v>0</v>
      </c>
      <c r="J143" s="33">
        <f t="shared" ca="1" si="41"/>
        <v>0</v>
      </c>
      <c r="K143" s="33">
        <f t="shared" ca="1" si="42"/>
        <v>0</v>
      </c>
    </row>
    <row r="144" spans="1:11" ht="15.75" hidden="1" customHeight="1">
      <c r="A144" s="1" t="s">
        <v>237</v>
      </c>
      <c r="C144" s="109"/>
      <c r="E144" s="9" t="str">
        <f ca="1">_xll.DBRW(Server&amp;"}ElementAttributes_Indicator",A144,"code_English")</f>
        <v>PL1115_DS_20 - Interim staff (DS)</v>
      </c>
      <c r="F144" s="33">
        <f ca="1">_xll.DBRW($C$1,$C$2,$C$3,$C$4,$C$6,$C$5,$C$7,F$1,F$2,$A144)</f>
        <v>0</v>
      </c>
      <c r="G144" s="33">
        <f ca="1">_xll.DBRW($C$1,$C$2,$C$3,$C$4,$C$6,$C$5,$C$7,G$1,G$2,$A144)</f>
        <v>0</v>
      </c>
      <c r="H144" s="33">
        <f ca="1">_xll.DBRW($C$1,$C$2,$C$3,$C$4,$C$6,$C$5,$C$7,H$1,H$2,$A144)</f>
        <v>0</v>
      </c>
      <c r="J144" s="33">
        <f t="shared" ca="1" si="41"/>
        <v>0</v>
      </c>
      <c r="K144" s="33">
        <f t="shared" ca="1" si="42"/>
        <v>0</v>
      </c>
    </row>
    <row r="145" spans="1:11" ht="15.75" hidden="1" customHeight="1">
      <c r="A145" s="1" t="s">
        <v>238</v>
      </c>
      <c r="C145" s="109"/>
      <c r="E145" s="9" t="str">
        <f ca="1">_xll.DBRW(Server&amp;"}ElementAttributes_Indicator",A145,"code_English")</f>
        <v>PL1115_DS_70 - Travelling (DS)</v>
      </c>
      <c r="F145" s="33">
        <f ca="1">_xll.DBRW($C$1,$C$2,$C$3,$C$4,$C$6,$C$5,$C$7,F$1,F$2,$A145)</f>
        <v>0</v>
      </c>
      <c r="G145" s="33">
        <f ca="1">_xll.DBRW($C$1,$C$2,$C$3,$C$4,$C$6,$C$5,$C$7,G$1,G$2,$A145)</f>
        <v>0</v>
      </c>
      <c r="H145" s="33">
        <f ca="1">_xll.DBRW($C$1,$C$2,$C$3,$C$4,$C$6,$C$5,$C$7,H$1,H$2,$A145)</f>
        <v>0</v>
      </c>
      <c r="J145" s="33">
        <f t="shared" ca="1" si="41"/>
        <v>0</v>
      </c>
      <c r="K145" s="33">
        <f t="shared" ca="1" si="42"/>
        <v>0</v>
      </c>
    </row>
    <row r="146" spans="1:11" ht="15.75" hidden="1" customHeight="1">
      <c r="A146" s="1" t="s">
        <v>239</v>
      </c>
      <c r="C146" s="109"/>
      <c r="E146" s="9" t="str">
        <f ca="1">_xll.DBRW(Server&amp;"}ElementAttributes_Indicator",A146,"code_English")</f>
        <v>PL1115_DS_75 - Consulting (DS)</v>
      </c>
      <c r="F146" s="33">
        <f ca="1">_xll.DBRW($C$1,$C$2,$C$3,$C$4,$C$6,$C$5,$C$7,F$1,F$2,$A146)</f>
        <v>0</v>
      </c>
      <c r="G146" s="33">
        <f ca="1">_xll.DBRW($C$1,$C$2,$C$3,$C$4,$C$6,$C$5,$C$7,G$1,G$2,$A146)</f>
        <v>0</v>
      </c>
      <c r="H146" s="33">
        <f ca="1">_xll.DBRW($C$1,$C$2,$C$3,$C$4,$C$6,$C$5,$C$7,H$1,H$2,$A146)</f>
        <v>0</v>
      </c>
      <c r="J146" s="33">
        <f t="shared" ca="1" si="41"/>
        <v>0</v>
      </c>
      <c r="K146" s="33">
        <f t="shared" ca="1" si="42"/>
        <v>0</v>
      </c>
    </row>
    <row r="147" spans="1:11" ht="15.75" hidden="1" customHeight="1">
      <c r="A147" s="1" t="s">
        <v>240</v>
      </c>
      <c r="C147" s="109"/>
      <c r="E147" s="9" t="str">
        <f ca="1">_xll.DBRW(Server&amp;"}ElementAttributes_Indicator",A147,"code_English")</f>
        <v>PL1115_DS_99 - Others (DS)</v>
      </c>
      <c r="F147" s="33">
        <f ca="1">_xll.DBRW($C$1,$C$2,$C$3,$C$4,$C$6,$C$5,$C$7,F$1,F$2,$A147)</f>
        <v>0</v>
      </c>
      <c r="G147" s="33">
        <f ca="1">_xll.DBRW($C$1,$C$2,$C$3,$C$4,$C$6,$C$5,$C$7,G$1,G$2,$A147)</f>
        <v>0</v>
      </c>
      <c r="H147" s="33">
        <f ca="1">_xll.DBRW($C$1,$C$2,$C$3,$C$4,$C$6,$C$5,$C$7,H$1,H$2,$A147)</f>
        <v>0</v>
      </c>
      <c r="J147" s="33">
        <f t="shared" ca="1" si="41"/>
        <v>0</v>
      </c>
      <c r="K147" s="33">
        <f t="shared" ca="1" si="42"/>
        <v>0</v>
      </c>
    </row>
    <row r="148" spans="1:11" ht="15.75" hidden="1" customHeight="1">
      <c r="A148" s="1" t="s">
        <v>241</v>
      </c>
      <c r="C148" s="109"/>
      <c r="E148" s="9" t="str">
        <f ca="1">_xll.DBRW(Server&amp;"}ElementAttributes_Indicator",A148,"code_English")</f>
        <v>PL1118_DS - IFRS16 adjustment through P&amp;L (DS)</v>
      </c>
      <c r="F148" s="33">
        <f ca="1">_xll.DBRW($C$1,$C$2,$C$3,$C$4,$C$6,$C$5,$C$7,F$1,F$2,$A148)</f>
        <v>0</v>
      </c>
      <c r="G148" s="33">
        <f ca="1">_xll.DBRW($C$1,$C$2,$C$3,$C$4,$C$6,$C$5,$C$7,G$1,G$2,$A148)</f>
        <v>0</v>
      </c>
      <c r="H148" s="33">
        <f ca="1">_xll.DBRW($C$1,$C$2,$C$3,$C$4,$C$6,$C$5,$C$7,H$1,H$2,$A148)</f>
        <v>0</v>
      </c>
      <c r="J148" s="33">
        <f t="shared" ca="1" si="41"/>
        <v>0</v>
      </c>
      <c r="K148" s="33">
        <f t="shared" ca="1" si="42"/>
        <v>0</v>
      </c>
    </row>
    <row r="149" spans="1:11" ht="15.75" hidden="1" customHeight="1">
      <c r="A149" s="1" t="s">
        <v>242</v>
      </c>
      <c r="C149" s="109"/>
      <c r="E149" s="9" t="str">
        <f ca="1">_xll.DBRW(Server&amp;"}ElementAttributes_Indicator",A149,"code_English")</f>
        <v>PL1140_DS_10 - Amortization (DS)</v>
      </c>
      <c r="F149" s="33">
        <f ca="1">_xll.DBRW($C$1,$C$2,$C$3,$C$4,$C$6,$C$5,$C$7,F$1,F$2,$A149)</f>
        <v>0</v>
      </c>
      <c r="G149" s="33">
        <f ca="1">_xll.DBRW($C$1,$C$2,$C$3,$C$4,$C$6,$C$5,$C$7,G$1,G$2,$A149)</f>
        <v>0</v>
      </c>
      <c r="H149" s="33">
        <f ca="1">_xll.DBRW($C$1,$C$2,$C$3,$C$4,$C$6,$C$5,$C$7,H$1,H$2,$A149)</f>
        <v>0</v>
      </c>
      <c r="J149" s="33">
        <f t="shared" ca="1" si="41"/>
        <v>0</v>
      </c>
      <c r="K149" s="33">
        <f t="shared" ca="1" si="42"/>
        <v>0</v>
      </c>
    </row>
    <row r="150" spans="1:11" ht="15.75" hidden="1" customHeight="1">
      <c r="A150" s="1" t="s">
        <v>243</v>
      </c>
      <c r="C150" s="109"/>
      <c r="E150" s="9" t="str">
        <f ca="1">_xll.DBRW(Server&amp;"}ElementAttributes_Indicator",A150,"code_English")</f>
        <v>PL1150_DS_10 - Impairment (other than working capital) and provisions - related to staff costs (DS)</v>
      </c>
      <c r="F150" s="33">
        <f ca="1">_xll.DBRW($C$1,$C$2,$C$3,$C$4,$C$6,$C$5,$C$7,F$1,F$2,$A150)</f>
        <v>0</v>
      </c>
      <c r="G150" s="33">
        <f ca="1">_xll.DBRW($C$1,$C$2,$C$3,$C$4,$C$6,$C$5,$C$7,G$1,G$2,$A150)</f>
        <v>0</v>
      </c>
      <c r="H150" s="33">
        <f ca="1">_xll.DBRW($C$1,$C$2,$C$3,$C$4,$C$6,$C$5,$C$7,H$1,H$2,$A150)</f>
        <v>0</v>
      </c>
      <c r="J150" s="33">
        <f t="shared" ca="1" si="41"/>
        <v>0</v>
      </c>
      <c r="K150" s="33">
        <f t="shared" ca="1" si="42"/>
        <v>0</v>
      </c>
    </row>
    <row r="151" spans="1:11" ht="15.75" hidden="1" customHeight="1">
      <c r="A151" s="1" t="s">
        <v>244</v>
      </c>
      <c r="C151" s="109"/>
      <c r="E151" s="9" t="str">
        <f ca="1">_xll.DBRW(Server&amp;"}ElementAttributes_Indicator",A151,"code_English")</f>
        <v>PL1150_DS_11 - Impairment (other than working capital) and provisions - related to staff costs - Reversal (DS)</v>
      </c>
      <c r="F151" s="33">
        <f ca="1">_xll.DBRW($C$1,$C$2,$C$3,$C$4,$C$6,$C$5,$C$7,F$1,F$2,$A151)</f>
        <v>0</v>
      </c>
      <c r="G151" s="33">
        <f ca="1">_xll.DBRW($C$1,$C$2,$C$3,$C$4,$C$6,$C$5,$C$7,G$1,G$2,$A151)</f>
        <v>0</v>
      </c>
      <c r="H151" s="33">
        <f ca="1">_xll.DBRW($C$1,$C$2,$C$3,$C$4,$C$6,$C$5,$C$7,H$1,H$2,$A151)</f>
        <v>0</v>
      </c>
      <c r="J151" s="33">
        <f t="shared" ca="1" si="41"/>
        <v>0</v>
      </c>
      <c r="K151" s="33">
        <f t="shared" ca="1" si="42"/>
        <v>0</v>
      </c>
    </row>
    <row r="152" spans="1:11" ht="15.75" hidden="1" customHeight="1">
      <c r="A152" s="1" t="s">
        <v>245</v>
      </c>
      <c r="C152" s="109"/>
      <c r="E152" s="9" t="str">
        <f ca="1">_xll.DBRW(Server&amp;"}ElementAttributes_Indicator",A152,"code_English")</f>
        <v>PL1150_DS_90 - Impairment (other than working capital) and provisions - others (DS)</v>
      </c>
      <c r="F152" s="33">
        <f ca="1">_xll.DBRW($C$1,$C$2,$C$3,$C$4,$C$6,$C$5,$C$7,F$1,F$2,$A152)</f>
        <v>0</v>
      </c>
      <c r="G152" s="33">
        <f ca="1">_xll.DBRW($C$1,$C$2,$C$3,$C$4,$C$6,$C$5,$C$7,G$1,G$2,$A152)</f>
        <v>0</v>
      </c>
      <c r="H152" s="33">
        <f ca="1">_xll.DBRW($C$1,$C$2,$C$3,$C$4,$C$6,$C$5,$C$7,H$1,H$2,$A152)</f>
        <v>0</v>
      </c>
      <c r="J152" s="33">
        <f t="shared" ca="1" si="41"/>
        <v>0</v>
      </c>
      <c r="K152" s="33">
        <f t="shared" ca="1" si="42"/>
        <v>0</v>
      </c>
    </row>
    <row r="153" spans="1:11" ht="15.5">
      <c r="A153" s="1" t="s">
        <v>142</v>
      </c>
      <c r="C153" s="109"/>
      <c r="E153" s="15" t="s">
        <v>40</v>
      </c>
      <c r="F153" s="34">
        <f t="shared" ref="F153:H153" ca="1" si="44">SUM(F140:F152)</f>
        <v>0</v>
      </c>
      <c r="G153" s="34">
        <f t="shared" ca="1" si="44"/>
        <v>0</v>
      </c>
      <c r="H153" s="34">
        <f t="shared" ca="1" si="44"/>
        <v>0</v>
      </c>
      <c r="J153" s="33">
        <f t="shared" ca="1" si="41"/>
        <v>0</v>
      </c>
      <c r="K153" s="33">
        <f t="shared" ca="1" si="42"/>
        <v>0</v>
      </c>
    </row>
    <row r="154" spans="1:11" ht="15.75" hidden="1" customHeight="1">
      <c r="A154" s="1" t="s">
        <v>246</v>
      </c>
      <c r="C154" s="109"/>
      <c r="E154" s="9" t="str">
        <f ca="1">_xll.DBRW(Server&amp;"}ElementAttributes_Indicator",A154,"code_English")</f>
        <v>PL1116_IN - COS - Lease expenses (IN)</v>
      </c>
      <c r="F154" s="33">
        <f ca="1">_xll.DBRW($C$1,$C$2,$C$3,$C$4,$C$6,$C$5,$C$7,F$1,F$2,$A154)</f>
        <v>0</v>
      </c>
      <c r="G154" s="33">
        <f ca="1">_xll.DBRW($C$1,$C$2,$C$3,$C$4,$C$6,$C$5,$C$7,G$1,G$2,$A154)</f>
        <v>0</v>
      </c>
      <c r="H154" s="33">
        <f ca="1">_xll.DBRW($C$1,$C$2,$C$3,$C$4,$C$6,$C$5,$C$7,H$1,H$2,$A154)</f>
        <v>0</v>
      </c>
      <c r="J154" s="33">
        <f t="shared" ca="1" si="41"/>
        <v>0</v>
      </c>
      <c r="K154" s="33">
        <f t="shared" ca="1" si="42"/>
        <v>0</v>
      </c>
    </row>
    <row r="155" spans="1:11" ht="15.75" hidden="1" customHeight="1">
      <c r="A155" s="1" t="s">
        <v>247</v>
      </c>
      <c r="C155" s="109"/>
      <c r="E155" s="9" t="str">
        <f ca="1">_xll.DBRW(Server&amp;"}ElementAttributes_Indicator",A155,"code_English")</f>
        <v>PL1155_IN_99 - Reinvoicing - Others (IN)</v>
      </c>
      <c r="F155" s="33">
        <f ca="1">_xll.DBRW($C$1,$C$2,$C$3,$C$4,$C$6,$C$5,$C$7,F$1,F$2,$A155)</f>
        <v>0</v>
      </c>
      <c r="G155" s="33">
        <f ca="1">_xll.DBRW($C$1,$C$2,$C$3,$C$4,$C$6,$C$5,$C$7,G$1,G$2,$A155)</f>
        <v>0</v>
      </c>
      <c r="H155" s="33">
        <f ca="1">_xll.DBRW($C$1,$C$2,$C$3,$C$4,$C$6,$C$5,$C$7,H$1,H$2,$A155)</f>
        <v>0</v>
      </c>
      <c r="J155" s="33">
        <f t="shared" ca="1" si="41"/>
        <v>0</v>
      </c>
      <c r="K155" s="33">
        <f t="shared" ca="1" si="42"/>
        <v>0</v>
      </c>
    </row>
    <row r="156" spans="1:11" ht="15.75" hidden="1" customHeight="1">
      <c r="A156" s="1" t="s">
        <v>248</v>
      </c>
      <c r="C156" s="109"/>
      <c r="E156" s="9" t="str">
        <f ca="1">_xll.DBRW(Server&amp;"}ElementAttributes_Indicator",A156,"code_English")</f>
        <v>PL1115_IN_60 - Access fees</v>
      </c>
      <c r="F156" s="33">
        <f ca="1">_xll.DBRW($C$1,$C$2,$C$3,$C$4,$C$6,$C$5,$C$7,F$1,F$2,$A156)</f>
        <v>0</v>
      </c>
      <c r="G156" s="33">
        <f ca="1">_xll.DBRW($C$1,$C$2,$C$3,$C$4,$C$6,$C$5,$C$7,G$1,G$2,$A156)</f>
        <v>0</v>
      </c>
      <c r="H156" s="33">
        <f ca="1">_xll.DBRW($C$1,$C$2,$C$3,$C$4,$C$6,$C$5,$C$7,H$1,H$2,$A156)</f>
        <v>0</v>
      </c>
      <c r="J156" s="33">
        <f t="shared" ca="1" si="41"/>
        <v>0</v>
      </c>
      <c r="K156" s="33">
        <f t="shared" ca="1" si="42"/>
        <v>0</v>
      </c>
    </row>
    <row r="157" spans="1:11" ht="15.75" hidden="1" customHeight="1">
      <c r="A157" s="1" t="s">
        <v>249</v>
      </c>
      <c r="C157" s="109"/>
      <c r="E157" s="9" t="str">
        <f ca="1">_xll.DBRW(Server&amp;"}ElementAttributes_Indicator",A157,"code_English")</f>
        <v>PL1115_IN_65 - Others (IN)</v>
      </c>
      <c r="F157" s="33">
        <f ca="1">_xll.DBRW($C$1,$C$2,$C$3,$C$4,$C$6,$C$5,$C$7,F$1,F$2,$A157)</f>
        <v>0</v>
      </c>
      <c r="G157" s="33">
        <f ca="1">_xll.DBRW($C$1,$C$2,$C$3,$C$4,$C$6,$C$5,$C$7,G$1,G$2,$A157)</f>
        <v>0</v>
      </c>
      <c r="H157" s="33">
        <f ca="1">_xll.DBRW($C$1,$C$2,$C$3,$C$4,$C$6,$C$5,$C$7,H$1,H$2,$A157)</f>
        <v>0</v>
      </c>
      <c r="J157" s="33">
        <f t="shared" ca="1" si="41"/>
        <v>0</v>
      </c>
      <c r="K157" s="33">
        <f t="shared" ca="1" si="42"/>
        <v>0</v>
      </c>
    </row>
    <row r="158" spans="1:11" ht="15.75" hidden="1" customHeight="1">
      <c r="A158" s="1" t="s">
        <v>250</v>
      </c>
      <c r="C158" s="109"/>
      <c r="E158" s="9" t="str">
        <f ca="1">_xll.DBRW(Server&amp;"}ElementAttributes_Indicator",A158,"code_English")</f>
        <v>PL1115_IN_55 - Operating lease (IN)</v>
      </c>
      <c r="F158" s="33">
        <f ca="1">_xll.DBRW($C$1,$C$2,$C$3,$C$4,$C$6,$C$5,$C$7,F$1,F$2,$A158)</f>
        <v>0</v>
      </c>
      <c r="G158" s="33">
        <f ca="1">_xll.DBRW($C$1,$C$2,$C$3,$C$4,$C$6,$C$5,$C$7,G$1,G$2,$A158)</f>
        <v>0</v>
      </c>
      <c r="H158" s="33">
        <f ca="1">_xll.DBRW($C$1,$C$2,$C$3,$C$4,$C$6,$C$5,$C$7,H$1,H$2,$A158)</f>
        <v>0</v>
      </c>
      <c r="J158" s="33">
        <f t="shared" ca="1" si="41"/>
        <v>0</v>
      </c>
      <c r="K158" s="33">
        <f t="shared" ca="1" si="42"/>
        <v>0</v>
      </c>
    </row>
    <row r="159" spans="1:11" ht="15.75" hidden="1" customHeight="1">
      <c r="A159" s="1" t="s">
        <v>251</v>
      </c>
      <c r="C159" s="109"/>
      <c r="E159" s="9" t="str">
        <f ca="1">_xll.DBRW(Server&amp;"}ElementAttributes_Indicator",A159,"code_English")</f>
        <v>PL1140_IN_05 - Amortization (IN)</v>
      </c>
      <c r="F159" s="33">
        <f ca="1">_xll.DBRW($C$1,$C$2,$C$3,$C$4,$C$6,$C$5,$C$7,F$1,F$2,$A159)</f>
        <v>0</v>
      </c>
      <c r="G159" s="33">
        <f ca="1">_xll.DBRW($C$1,$C$2,$C$3,$C$4,$C$6,$C$5,$C$7,G$1,G$2,$A159)</f>
        <v>0</v>
      </c>
      <c r="H159" s="33">
        <f ca="1">_xll.DBRW($C$1,$C$2,$C$3,$C$4,$C$6,$C$5,$C$7,H$1,H$2,$A159)</f>
        <v>0</v>
      </c>
      <c r="J159" s="33">
        <f t="shared" ca="1" si="41"/>
        <v>0</v>
      </c>
      <c r="K159" s="33">
        <f t="shared" ca="1" si="42"/>
        <v>0</v>
      </c>
    </row>
    <row r="160" spans="1:11" ht="15.75" hidden="1" customHeight="1">
      <c r="A160" s="1" t="s">
        <v>252</v>
      </c>
      <c r="C160" s="109"/>
      <c r="E160" s="9" t="str">
        <f ca="1">_xll.DBRW(Server&amp;"}ElementAttributes_Indicator",A160,"code_English")</f>
        <v>PL1160_IN_15 - Gains/losses on disposal of tangible &amp; intangible fixed assets (IN)</v>
      </c>
      <c r="F160" s="33">
        <f ca="1">_xll.DBRW($C$1,$C$2,$C$3,$C$4,$C$6,$C$5,$C$7,F$1,F$2,$A160)</f>
        <v>0</v>
      </c>
      <c r="G160" s="33">
        <f ca="1">_xll.DBRW($C$1,$C$2,$C$3,$C$4,$C$6,$C$5,$C$7,G$1,G$2,$A160)</f>
        <v>0</v>
      </c>
      <c r="H160" s="33">
        <f ca="1">_xll.DBRW($C$1,$C$2,$C$3,$C$4,$C$6,$C$5,$C$7,H$1,H$2,$A160)</f>
        <v>0</v>
      </c>
      <c r="J160" s="33">
        <f t="shared" ca="1" si="41"/>
        <v>0</v>
      </c>
      <c r="K160" s="33">
        <f t="shared" ca="1" si="42"/>
        <v>0</v>
      </c>
    </row>
    <row r="161" spans="1:11" ht="15.75" hidden="1" customHeight="1">
      <c r="A161" s="1" t="s">
        <v>253</v>
      </c>
      <c r="C161" s="109"/>
      <c r="E161" s="9" t="str">
        <f ca="1">_xll.DBRW(Server&amp;"}ElementAttributes_Indicator",A161,"code_English")</f>
        <v>PL1150_IN_90 - Impairment (other than working capital) and provisions - others (IN)</v>
      </c>
      <c r="F161" s="33">
        <f ca="1">_xll.DBRW($C$1,$C$2,$C$3,$C$4,$C$6,$C$5,$C$7,F$1,F$2,$A161)</f>
        <v>0</v>
      </c>
      <c r="G161" s="33">
        <f ca="1">_xll.DBRW($C$1,$C$2,$C$3,$C$4,$C$6,$C$5,$C$7,G$1,G$2,$A161)</f>
        <v>0</v>
      </c>
      <c r="H161" s="33">
        <f ca="1">_xll.DBRW($C$1,$C$2,$C$3,$C$4,$C$6,$C$5,$C$7,H$1,H$2,$A161)</f>
        <v>0</v>
      </c>
      <c r="J161" s="33">
        <f t="shared" ca="1" si="41"/>
        <v>0</v>
      </c>
      <c r="K161" s="33">
        <f t="shared" ca="1" si="42"/>
        <v>0</v>
      </c>
    </row>
    <row r="162" spans="1:11" ht="15.75" hidden="1" customHeight="1">
      <c r="A162" s="1" t="s">
        <v>254</v>
      </c>
      <c r="C162" s="109"/>
      <c r="E162" s="9" t="str">
        <f ca="1">_xll.DBRW(Server&amp;"}ElementAttributes_Indicator",A162,"code_English")</f>
        <v>PL1110_MI_10 - Staff costs (MI)</v>
      </c>
      <c r="F162" s="33">
        <f ca="1">_xll.DBRW($C$1,$C$2,$C$3,$C$4,$C$6,$C$5,$C$7,F$1,F$2,$A162)</f>
        <v>0</v>
      </c>
      <c r="G162" s="33">
        <f ca="1">_xll.DBRW($C$1,$C$2,$C$3,$C$4,$C$6,$C$5,$C$7,G$1,G$2,$A162)</f>
        <v>0</v>
      </c>
      <c r="H162" s="33">
        <f ca="1">_xll.DBRW($C$1,$C$2,$C$3,$C$4,$C$6,$C$5,$C$7,H$1,H$2,$A162)</f>
        <v>0</v>
      </c>
      <c r="J162" s="33">
        <f t="shared" ca="1" si="41"/>
        <v>0</v>
      </c>
      <c r="K162" s="33">
        <f t="shared" ca="1" si="42"/>
        <v>0</v>
      </c>
    </row>
    <row r="163" spans="1:11" ht="15.75" hidden="1" customHeight="1">
      <c r="A163" s="1" t="s">
        <v>255</v>
      </c>
      <c r="C163" s="109"/>
      <c r="E163" s="9" t="str">
        <f ca="1">_xll.DBRW(Server&amp;"}ElementAttributes_Indicator",A163,"code_English")</f>
        <v>PL1116_MI - COS - Lease expenses (MI)</v>
      </c>
      <c r="F163" s="33">
        <f ca="1">_xll.DBRW($C$1,$C$2,$C$3,$C$4,$C$6,$C$5,$C$7,F$1,F$2,$A163)</f>
        <v>0</v>
      </c>
      <c r="G163" s="33">
        <f ca="1">_xll.DBRW($C$1,$C$2,$C$3,$C$4,$C$6,$C$5,$C$7,G$1,G$2,$A163)</f>
        <v>0</v>
      </c>
      <c r="H163" s="33">
        <f ca="1">_xll.DBRW($C$1,$C$2,$C$3,$C$4,$C$6,$C$5,$C$7,H$1,H$2,$A163)</f>
        <v>0</v>
      </c>
      <c r="J163" s="33">
        <f t="shared" ca="1" si="41"/>
        <v>0</v>
      </c>
      <c r="K163" s="33">
        <f t="shared" ca="1" si="42"/>
        <v>0</v>
      </c>
    </row>
    <row r="164" spans="1:11" ht="15.75" hidden="1" customHeight="1">
      <c r="A164" s="1" t="s">
        <v>256</v>
      </c>
      <c r="C164" s="109"/>
      <c r="E164" s="9" t="str">
        <f ca="1">_xll.DBRW(Server&amp;"}ElementAttributes_Indicator",A164,"code_English")</f>
        <v>PL1145_MI - Impairment - working capital (MI)</v>
      </c>
      <c r="F164" s="33">
        <f ca="1">_xll.DBRW($C$1,$C$2,$C$3,$C$4,$C$6,$C$5,$C$7,F$1,F$2,$A164)</f>
        <v>0</v>
      </c>
      <c r="G164" s="33">
        <f ca="1">_xll.DBRW($C$1,$C$2,$C$3,$C$4,$C$6,$C$5,$C$7,G$1,G$2,$A164)</f>
        <v>0</v>
      </c>
      <c r="H164" s="33">
        <f ca="1">_xll.DBRW($C$1,$C$2,$C$3,$C$4,$C$6,$C$5,$C$7,H$1,H$2,$A164)</f>
        <v>0</v>
      </c>
      <c r="J164" s="33">
        <f t="shared" ca="1" si="41"/>
        <v>0</v>
      </c>
      <c r="K164" s="33">
        <f t="shared" ca="1" si="42"/>
        <v>0</v>
      </c>
    </row>
    <row r="165" spans="1:11" ht="15.75" hidden="1" customHeight="1">
      <c r="A165" s="1" t="s">
        <v>257</v>
      </c>
      <c r="C165" s="109"/>
      <c r="E165" s="9" t="str">
        <f ca="1">_xll.DBRW(Server&amp;"}ElementAttributes_Indicator",A165,"code_English")</f>
        <v>PL1155_MI_99 - Reinvoicing - Others (MI)</v>
      </c>
      <c r="F165" s="33">
        <f ca="1">_xll.DBRW($C$1,$C$2,$C$3,$C$4,$C$6,$C$5,$C$7,F$1,F$2,$A165)</f>
        <v>0</v>
      </c>
      <c r="G165" s="33">
        <f ca="1">_xll.DBRW($C$1,$C$2,$C$3,$C$4,$C$6,$C$5,$C$7,G$1,G$2,$A165)</f>
        <v>0</v>
      </c>
      <c r="H165" s="33">
        <f ca="1">_xll.DBRW($C$1,$C$2,$C$3,$C$4,$C$6,$C$5,$C$7,H$1,H$2,$A165)</f>
        <v>0</v>
      </c>
      <c r="J165" s="33">
        <f t="shared" ca="1" si="41"/>
        <v>0</v>
      </c>
      <c r="K165" s="33">
        <f t="shared" ca="1" si="42"/>
        <v>0</v>
      </c>
    </row>
    <row r="166" spans="1:11" ht="15.75" hidden="1" customHeight="1">
      <c r="A166" s="1" t="s">
        <v>258</v>
      </c>
      <c r="C166" s="109"/>
      <c r="E166" s="9" t="str">
        <f ca="1">_xll.DBRW(Server&amp;"}ElementAttributes_Indicator",A166,"code_English")</f>
        <v>PL1115_MI_99 - Others (MI)</v>
      </c>
      <c r="F166" s="33">
        <f ca="1">_xll.DBRW($C$1,$C$2,$C$3,$C$4,$C$6,$C$5,$C$7,F$1,F$2,$A166)</f>
        <v>0</v>
      </c>
      <c r="G166" s="33">
        <f ca="1">_xll.DBRW($C$1,$C$2,$C$3,$C$4,$C$6,$C$5,$C$7,G$1,G$2,$A166)</f>
        <v>0</v>
      </c>
      <c r="H166" s="33">
        <f ca="1">_xll.DBRW($C$1,$C$2,$C$3,$C$4,$C$6,$C$5,$C$7,H$1,H$2,$A166)</f>
        <v>0</v>
      </c>
      <c r="J166" s="33">
        <f t="shared" ca="1" si="41"/>
        <v>0</v>
      </c>
      <c r="K166" s="33">
        <f t="shared" ca="1" si="42"/>
        <v>0</v>
      </c>
    </row>
    <row r="167" spans="1:11" ht="15.75" hidden="1" customHeight="1">
      <c r="A167" s="1" t="s">
        <v>259</v>
      </c>
      <c r="C167" s="109"/>
      <c r="E167" s="9" t="str">
        <f ca="1">_xll.DBRW(Server&amp;"}ElementAttributes_Indicator",A167,"code_English")</f>
        <v>PL1115_MI_12 - Subcontracting cleaning (MI)</v>
      </c>
      <c r="F167" s="33">
        <f ca="1">_xll.DBRW($C$1,$C$2,$C$3,$C$4,$C$6,$C$5,$C$7,F$1,F$2,$A167)</f>
        <v>0</v>
      </c>
      <c r="G167" s="33">
        <f ca="1">_xll.DBRW($C$1,$C$2,$C$3,$C$4,$C$6,$C$5,$C$7,G$1,G$2,$A167)</f>
        <v>0</v>
      </c>
      <c r="H167" s="33">
        <f ca="1">_xll.DBRW($C$1,$C$2,$C$3,$C$4,$C$6,$C$5,$C$7,H$1,H$2,$A167)</f>
        <v>0</v>
      </c>
      <c r="J167" s="33">
        <f t="shared" ca="1" si="41"/>
        <v>0</v>
      </c>
      <c r="K167" s="33">
        <f t="shared" ca="1" si="42"/>
        <v>0</v>
      </c>
    </row>
    <row r="168" spans="1:11" ht="15.75" hidden="1" customHeight="1">
      <c r="A168" s="1" t="s">
        <v>260</v>
      </c>
      <c r="C168" s="109"/>
      <c r="E168" s="9" t="str">
        <f ca="1">_xll.DBRW(Server&amp;"}ElementAttributes_Indicator",A168,"code_English")</f>
        <v>PL1115_MI_11 - Subcontracting maintenance (MI)</v>
      </c>
      <c r="F168" s="33">
        <f ca="1">_xll.DBRW($C$1,$C$2,$C$3,$C$4,$C$6,$C$5,$C$7,F$1,F$2,$A168)</f>
        <v>0</v>
      </c>
      <c r="G168" s="33">
        <f ca="1">_xll.DBRW($C$1,$C$2,$C$3,$C$4,$C$6,$C$5,$C$7,G$1,G$2,$A168)</f>
        <v>0</v>
      </c>
      <c r="H168" s="33">
        <f ca="1">_xll.DBRW($C$1,$C$2,$C$3,$C$4,$C$6,$C$5,$C$7,H$1,H$2,$A168)</f>
        <v>0</v>
      </c>
      <c r="J168" s="33">
        <f t="shared" ca="1" si="41"/>
        <v>0</v>
      </c>
      <c r="K168" s="33">
        <f t="shared" ca="1" si="42"/>
        <v>0</v>
      </c>
    </row>
    <row r="169" spans="1:11" ht="15.75" hidden="1" customHeight="1">
      <c r="A169" s="1" t="s">
        <v>261</v>
      </c>
      <c r="C169" s="109"/>
      <c r="E169" s="9" t="str">
        <f ca="1">_xll.DBRW(Server&amp;"}ElementAttributes_Indicator",A169,"code_English")</f>
        <v>PL1140_MI_10 - Amortization (MI)</v>
      </c>
      <c r="F169" s="33">
        <f ca="1">_xll.DBRW($C$1,$C$2,$C$3,$C$4,$C$6,$C$5,$C$7,F$1,F$2,$A169)</f>
        <v>0</v>
      </c>
      <c r="G169" s="33">
        <f ca="1">_xll.DBRW($C$1,$C$2,$C$3,$C$4,$C$6,$C$5,$C$7,G$1,G$2,$A169)</f>
        <v>0</v>
      </c>
      <c r="H169" s="33">
        <f ca="1">_xll.DBRW($C$1,$C$2,$C$3,$C$4,$C$6,$C$5,$C$7,H$1,H$2,$A169)</f>
        <v>0</v>
      </c>
      <c r="J169" s="33">
        <f t="shared" ca="1" si="41"/>
        <v>0</v>
      </c>
      <c r="K169" s="33">
        <f t="shared" ca="1" si="42"/>
        <v>0</v>
      </c>
    </row>
    <row r="170" spans="1:11" ht="15.75" hidden="1" customHeight="1">
      <c r="A170" s="1" t="s">
        <v>262</v>
      </c>
      <c r="C170" s="109"/>
      <c r="E170" s="9" t="str">
        <f ca="1">_xll.DBRW(Server&amp;"}ElementAttributes_Indicator",A170,"code_English")</f>
        <v>PL1150_MI_10 - Impairment (other than working capital) and provisions - related to staff costs (MI)</v>
      </c>
      <c r="F170" s="33">
        <f ca="1">_xll.DBRW($C$1,$C$2,$C$3,$C$4,$C$6,$C$5,$C$7,F$1,F$2,$A170)</f>
        <v>0</v>
      </c>
      <c r="G170" s="33">
        <f ca="1">_xll.DBRW($C$1,$C$2,$C$3,$C$4,$C$6,$C$5,$C$7,G$1,G$2,$A170)</f>
        <v>0</v>
      </c>
      <c r="H170" s="33">
        <f ca="1">_xll.DBRW($C$1,$C$2,$C$3,$C$4,$C$6,$C$5,$C$7,H$1,H$2,$A170)</f>
        <v>0</v>
      </c>
      <c r="J170" s="33">
        <f t="shared" ca="1" si="41"/>
        <v>0</v>
      </c>
      <c r="K170" s="33">
        <f t="shared" ca="1" si="42"/>
        <v>0</v>
      </c>
    </row>
    <row r="171" spans="1:11" ht="15.5" hidden="1" customHeight="1">
      <c r="A171" s="1" t="s">
        <v>142</v>
      </c>
      <c r="C171" s="109"/>
      <c r="E171" s="15" t="s">
        <v>41</v>
      </c>
      <c r="F171" s="34">
        <f t="shared" ref="F171:H171" ca="1" si="45">SUM(F154:F170)</f>
        <v>0</v>
      </c>
      <c r="G171" s="34">
        <f t="shared" ca="1" si="45"/>
        <v>0</v>
      </c>
      <c r="H171" s="34">
        <f t="shared" ca="1" si="45"/>
        <v>0</v>
      </c>
      <c r="J171" s="33">
        <f t="shared" ca="1" si="41"/>
        <v>0</v>
      </c>
      <c r="K171" s="33">
        <f t="shared" ca="1" si="42"/>
        <v>0</v>
      </c>
    </row>
    <row r="172" spans="1:11" ht="15.75" hidden="1" customHeight="1">
      <c r="A172" s="1" t="s">
        <v>263</v>
      </c>
      <c r="C172" s="109"/>
      <c r="E172" s="9" t="str">
        <f ca="1">_xll.DBRW(Server&amp;"}ElementAttributes_Indicator",A172,"code_English")</f>
        <v>PL1100_AC - Capitalized production recognized as inventory, change in inventories (AC)</v>
      </c>
      <c r="F172" s="33">
        <f ca="1">_xll.DBRW($C$1,$C$2,$C$3,$C$4,$C$6,$C$5,$C$7,F$1,F$2,$A172)</f>
        <v>0</v>
      </c>
      <c r="G172" s="33">
        <f ca="1">_xll.DBRW($C$1,$C$2,$C$3,$C$4,$C$6,$C$5,$C$7,G$1,G$2,$A172)</f>
        <v>0</v>
      </c>
      <c r="H172" s="33">
        <f ca="1">_xll.DBRW($C$1,$C$2,$C$3,$C$4,$C$6,$C$5,$C$7,H$1,H$2,$A172)</f>
        <v>0</v>
      </c>
      <c r="J172" s="33">
        <f t="shared" ca="1" si="41"/>
        <v>0</v>
      </c>
      <c r="K172" s="33">
        <f t="shared" ca="1" si="42"/>
        <v>0</v>
      </c>
    </row>
    <row r="173" spans="1:11" ht="15.75" hidden="1" customHeight="1">
      <c r="A173" s="1" t="s">
        <v>264</v>
      </c>
      <c r="C173" s="109"/>
      <c r="E173" s="9" t="str">
        <f ca="1">_xll.DBRW(Server&amp;"}ElementAttributes_Indicator",A173,"code_English")</f>
        <v>PL1110_AC_20 - Health insurance costs (COS)</v>
      </c>
      <c r="F173" s="33">
        <f ca="1">_xll.DBRW($C$1,$C$2,$C$3,$C$4,$C$6,$C$5,$C$7,F$1,F$2,$A173)</f>
        <v>0</v>
      </c>
      <c r="G173" s="33">
        <f ca="1">_xll.DBRW($C$1,$C$2,$C$3,$C$4,$C$6,$C$5,$C$7,G$1,G$2,$A173)</f>
        <v>0</v>
      </c>
      <c r="H173" s="33">
        <f ca="1">_xll.DBRW($C$1,$C$2,$C$3,$C$4,$C$6,$C$5,$C$7,H$1,H$2,$A173)</f>
        <v>0</v>
      </c>
      <c r="J173" s="33">
        <f t="shared" ca="1" si="41"/>
        <v>0</v>
      </c>
      <c r="K173" s="33">
        <f t="shared" ca="1" si="42"/>
        <v>0</v>
      </c>
    </row>
    <row r="174" spans="1:11" ht="15.75" hidden="1" customHeight="1">
      <c r="A174" s="1" t="s">
        <v>265</v>
      </c>
      <c r="C174" s="109"/>
      <c r="E174" s="9" t="str">
        <f ca="1">_xll.DBRW(Server&amp;"}ElementAttributes_Indicator",A174,"code_English")</f>
        <v>PL1115_AC_65 - Others (AC)</v>
      </c>
      <c r="F174" s="33">
        <f ca="1">_xll.DBRW($C$1,$C$2,$C$3,$C$4,$C$6,$C$5,$C$7,F$1,F$2,$A174)</f>
        <v>0</v>
      </c>
      <c r="G174" s="33">
        <f ca="1">_xll.DBRW($C$1,$C$2,$C$3,$C$4,$C$6,$C$5,$C$7,G$1,G$2,$A174)</f>
        <v>0</v>
      </c>
      <c r="H174" s="33">
        <f ca="1">_xll.DBRW($C$1,$C$2,$C$3,$C$4,$C$6,$C$5,$C$7,H$1,H$2,$A174)</f>
        <v>0</v>
      </c>
      <c r="J174" s="33">
        <f t="shared" ca="1" si="41"/>
        <v>0</v>
      </c>
      <c r="K174" s="33">
        <f t="shared" ca="1" si="42"/>
        <v>0</v>
      </c>
    </row>
    <row r="175" spans="1:11" ht="15.75" hidden="1" customHeight="1">
      <c r="A175" s="1" t="s">
        <v>266</v>
      </c>
      <c r="C175" s="109"/>
      <c r="E175" s="9" t="str">
        <f ca="1">_xll.DBRW(Server&amp;"}ElementAttributes_Indicator",A175,"code_English")</f>
        <v>PL1116_AC - COS - Lease expenses (AC)</v>
      </c>
      <c r="F175" s="33">
        <f ca="1">_xll.DBRW($C$1,$C$2,$C$3,$C$4,$C$6,$C$5,$C$7,F$1,F$2,$A175)</f>
        <v>0</v>
      </c>
      <c r="G175" s="33">
        <f ca="1">_xll.DBRW($C$1,$C$2,$C$3,$C$4,$C$6,$C$5,$C$7,G$1,G$2,$A175)</f>
        <v>0</v>
      </c>
      <c r="H175" s="33">
        <f ca="1">_xll.DBRW($C$1,$C$2,$C$3,$C$4,$C$6,$C$5,$C$7,H$1,H$2,$A175)</f>
        <v>0</v>
      </c>
      <c r="J175" s="33">
        <f t="shared" ca="1" si="41"/>
        <v>0</v>
      </c>
      <c r="K175" s="33">
        <f t="shared" ca="1" si="42"/>
        <v>0</v>
      </c>
    </row>
    <row r="176" spans="1:11" ht="15.75" hidden="1" customHeight="1">
      <c r="A176" s="1" t="s">
        <v>267</v>
      </c>
      <c r="C176" s="109"/>
      <c r="E176" s="9" t="str">
        <f ca="1">_xll.DBRW(Server&amp;"}ElementAttributes_Indicator",A176,"code_English")</f>
        <v>PL1126_AC - Replacement and maintenance expenses (AC)</v>
      </c>
      <c r="F176" s="33">
        <f ca="1">_xll.DBRW($C$1,$C$2,$C$3,$C$4,$C$6,$C$5,$C$7,F$1,F$2,$A176)</f>
        <v>0</v>
      </c>
      <c r="G176" s="33">
        <f ca="1">_xll.DBRW($C$1,$C$2,$C$3,$C$4,$C$6,$C$5,$C$7,G$1,G$2,$A176)</f>
        <v>0</v>
      </c>
      <c r="H176" s="33">
        <f ca="1">_xll.DBRW($C$1,$C$2,$C$3,$C$4,$C$6,$C$5,$C$7,H$1,H$2,$A176)</f>
        <v>0</v>
      </c>
      <c r="J176" s="33">
        <f t="shared" ca="1" si="41"/>
        <v>0</v>
      </c>
      <c r="K176" s="33">
        <f t="shared" ca="1" si="42"/>
        <v>0</v>
      </c>
    </row>
    <row r="177" spans="1:11" ht="15.75" hidden="1" customHeight="1">
      <c r="A177" s="1" t="s">
        <v>268</v>
      </c>
      <c r="C177" s="109"/>
      <c r="E177" s="9" t="str">
        <f ca="1">_xll.DBRW(Server&amp;"}ElementAttributes_Indicator",A177,"code_English")</f>
        <v>PL1140_AC_10 - Amortization (AC)</v>
      </c>
      <c r="F177" s="33">
        <f ca="1">_xll.DBRW($C$1,$C$2,$C$3,$C$4,$C$6,$C$5,$C$7,F$1,F$2,$A177)</f>
        <v>0</v>
      </c>
      <c r="G177" s="33">
        <f ca="1">_xll.DBRW($C$1,$C$2,$C$3,$C$4,$C$6,$C$5,$C$7,G$1,G$2,$A177)</f>
        <v>0</v>
      </c>
      <c r="H177" s="33">
        <f ca="1">_xll.DBRW($C$1,$C$2,$C$3,$C$4,$C$6,$C$5,$C$7,H$1,H$2,$A177)</f>
        <v>0</v>
      </c>
      <c r="J177" s="33">
        <f t="shared" ca="1" si="41"/>
        <v>0</v>
      </c>
      <c r="K177" s="33">
        <f t="shared" ca="1" si="42"/>
        <v>0</v>
      </c>
    </row>
    <row r="178" spans="1:11" ht="15.75" hidden="1" customHeight="1">
      <c r="A178" s="1" t="s">
        <v>269</v>
      </c>
      <c r="C178" s="109"/>
      <c r="E178" s="9" t="str">
        <f ca="1">_xll.DBRW(Server&amp;"}ElementAttributes_Indicator",A178,"code_English")</f>
        <v>PL1155_AC_99 - Reinvoicing - Others (AC)</v>
      </c>
      <c r="F178" s="33">
        <f ca="1">_xll.DBRW($C$1,$C$2,$C$3,$C$4,$C$6,$C$5,$C$7,F$1,F$2,$A178)</f>
        <v>0</v>
      </c>
      <c r="G178" s="33">
        <f ca="1">_xll.DBRW($C$1,$C$2,$C$3,$C$4,$C$6,$C$5,$C$7,G$1,G$2,$A178)</f>
        <v>0</v>
      </c>
      <c r="H178" s="33">
        <f ca="1">_xll.DBRW($C$1,$C$2,$C$3,$C$4,$C$6,$C$5,$C$7,H$1,H$2,$A178)</f>
        <v>0</v>
      </c>
      <c r="J178" s="33">
        <f t="shared" ca="1" si="41"/>
        <v>0</v>
      </c>
      <c r="K178" s="33">
        <f t="shared" ca="1" si="42"/>
        <v>0</v>
      </c>
    </row>
    <row r="179" spans="1:11" ht="15.75" hidden="1" customHeight="1">
      <c r="A179" s="1" t="s">
        <v>270</v>
      </c>
      <c r="C179" s="109"/>
      <c r="E179" s="9" t="str">
        <f ca="1">_xll.DBRW(Server&amp;"}ElementAttributes_Indicator",A179,"code_English")</f>
        <v>PL1165_AC - Restructuring costs (AC)</v>
      </c>
      <c r="F179" s="33">
        <f ca="1">_xll.DBRW($C$1,$C$2,$C$3,$C$4,$C$6,$C$5,$C$7,F$1,F$2,$A179)</f>
        <v>0</v>
      </c>
      <c r="G179" s="33">
        <f ca="1">_xll.DBRW($C$1,$C$2,$C$3,$C$4,$C$6,$C$5,$C$7,G$1,G$2,$A179)</f>
        <v>0</v>
      </c>
      <c r="H179" s="33">
        <f ca="1">_xll.DBRW($C$1,$C$2,$C$3,$C$4,$C$6,$C$5,$C$7,H$1,H$2,$A179)</f>
        <v>0</v>
      </c>
      <c r="J179" s="33">
        <f t="shared" ca="1" si="41"/>
        <v>0</v>
      </c>
      <c r="K179" s="33">
        <f t="shared" ca="1" si="42"/>
        <v>0</v>
      </c>
    </row>
    <row r="180" spans="1:11" ht="15.75" hidden="1" customHeight="1">
      <c r="A180" s="1" t="s">
        <v>271</v>
      </c>
      <c r="C180" s="109"/>
      <c r="E180" s="9" t="str">
        <f ca="1">_xll.DBRW(Server&amp;"}ElementAttributes_Indicator",A180,"code_English")</f>
        <v>PL1145_AC - Impairment - working capital (AC)</v>
      </c>
      <c r="F180" s="33">
        <f ca="1">_xll.DBRW($C$1,$C$2,$C$3,$C$4,$C$6,$C$5,$C$7,F$1,F$2,$A180)</f>
        <v>0</v>
      </c>
      <c r="G180" s="33">
        <f ca="1">_xll.DBRW($C$1,$C$2,$C$3,$C$4,$C$6,$C$5,$C$7,G$1,G$2,$A180)</f>
        <v>0</v>
      </c>
      <c r="H180" s="33">
        <f ca="1">_xll.DBRW($C$1,$C$2,$C$3,$C$4,$C$6,$C$5,$C$7,H$1,H$2,$A180)</f>
        <v>0</v>
      </c>
      <c r="J180" s="33">
        <f t="shared" ca="1" si="41"/>
        <v>0</v>
      </c>
      <c r="K180" s="33">
        <f t="shared" ca="1" si="42"/>
        <v>0</v>
      </c>
    </row>
    <row r="181" spans="1:11" ht="15.75" hidden="1" customHeight="1">
      <c r="A181" s="1" t="s">
        <v>272</v>
      </c>
      <c r="C181" s="109"/>
      <c r="E181" s="9" t="str">
        <f ca="1">_xll.DBRW(Server&amp;"}ElementAttributes_Indicator",A181,"code_English")</f>
        <v>PL1150_AC_30 - Impairment (other than working capital) and provisions - related to onerous contracts</v>
      </c>
      <c r="F181" s="33">
        <f ca="1">_xll.DBRW($C$1,$C$2,$C$3,$C$4,$C$6,$C$5,$C$7,F$1,F$2,$A181)</f>
        <v>0</v>
      </c>
      <c r="G181" s="33">
        <f ca="1">_xll.DBRW($C$1,$C$2,$C$3,$C$4,$C$6,$C$5,$C$7,G$1,G$2,$A181)</f>
        <v>0</v>
      </c>
      <c r="H181" s="33">
        <f ca="1">_xll.DBRW($C$1,$C$2,$C$3,$C$4,$C$6,$C$5,$C$7,H$1,H$2,$A181)</f>
        <v>0</v>
      </c>
      <c r="J181" s="33">
        <f t="shared" ca="1" si="41"/>
        <v>0</v>
      </c>
      <c r="K181" s="33">
        <f t="shared" ca="1" si="42"/>
        <v>0</v>
      </c>
    </row>
    <row r="182" spans="1:11" ht="15.75" hidden="1" customHeight="1">
      <c r="A182" s="1" t="s">
        <v>273</v>
      </c>
      <c r="C182" s="109"/>
      <c r="E182" s="9" t="str">
        <f ca="1">_xll.DBRW(Server&amp;"}ElementAttributes_Indicator",A182,"code_English")</f>
        <v>PL1150_AC_31 - Impairment (other than working capital) and provisions - related to onerous contracts - Reversal</v>
      </c>
      <c r="F182" s="33">
        <f ca="1">_xll.DBRW($C$1,$C$2,$C$3,$C$4,$C$6,$C$5,$C$7,F$1,F$2,$A182)</f>
        <v>0</v>
      </c>
      <c r="G182" s="33">
        <f ca="1">_xll.DBRW($C$1,$C$2,$C$3,$C$4,$C$6,$C$5,$C$7,G$1,G$2,$A182)</f>
        <v>0</v>
      </c>
      <c r="H182" s="33">
        <f ca="1">_xll.DBRW($C$1,$C$2,$C$3,$C$4,$C$6,$C$5,$C$7,H$1,H$2,$A182)</f>
        <v>0</v>
      </c>
      <c r="J182" s="33">
        <f t="shared" ca="1" si="41"/>
        <v>0</v>
      </c>
      <c r="K182" s="33">
        <f t="shared" ca="1" si="42"/>
        <v>0</v>
      </c>
    </row>
    <row r="183" spans="1:11" ht="15.75" hidden="1" customHeight="1">
      <c r="A183" s="1" t="s">
        <v>274</v>
      </c>
      <c r="C183" s="109"/>
      <c r="E183" s="9" t="str">
        <f ca="1">_xll.DBRW(Server&amp;"}ElementAttributes_Indicator",A183,"code_English")</f>
        <v>PL1150_AC_90 - Impairment (other than working capital) and provisions - others (AC)</v>
      </c>
      <c r="F183" s="33">
        <f ca="1">_xll.DBRW($C$1,$C$2,$C$3,$C$4,$C$6,$C$5,$C$7,F$1,F$2,$A183)</f>
        <v>0</v>
      </c>
      <c r="G183" s="33">
        <f ca="1">_xll.DBRW($C$1,$C$2,$C$3,$C$4,$C$6,$C$5,$C$7,G$1,G$2,$A183)</f>
        <v>0</v>
      </c>
      <c r="H183" s="33">
        <f ca="1">_xll.DBRW($C$1,$C$2,$C$3,$C$4,$C$6,$C$5,$C$7,H$1,H$2,$A183)</f>
        <v>0</v>
      </c>
      <c r="J183" s="33">
        <f t="shared" ca="1" si="41"/>
        <v>0</v>
      </c>
      <c r="K183" s="33">
        <f t="shared" ca="1" si="42"/>
        <v>0</v>
      </c>
    </row>
    <row r="184" spans="1:11" ht="15.75" hidden="1" customHeight="1">
      <c r="A184" s="1" t="s">
        <v>275</v>
      </c>
      <c r="C184" s="109"/>
      <c r="E184" s="9" t="str">
        <f ca="1">_xll.DBRW(Server&amp;"}ElementAttributes_Indicator",A184,"code_English")</f>
        <v>PL1150_AC_91 - Impairment (other than working capital) and provisions - others - Reversal</v>
      </c>
      <c r="F184" s="33">
        <f ca="1">_xll.DBRW($C$1,$C$2,$C$3,$C$4,$C$6,$C$5,$C$7,F$1,F$2,$A184)</f>
        <v>0</v>
      </c>
      <c r="G184" s="33">
        <f ca="1">_xll.DBRW($C$1,$C$2,$C$3,$C$4,$C$6,$C$5,$C$7,G$1,G$2,$A184)</f>
        <v>0</v>
      </c>
      <c r="H184" s="33">
        <f ca="1">_xll.DBRW($C$1,$C$2,$C$3,$C$4,$C$6,$C$5,$C$7,H$1,H$2,$A184)</f>
        <v>0</v>
      </c>
      <c r="J184" s="33">
        <f t="shared" ca="1" si="41"/>
        <v>0</v>
      </c>
      <c r="K184" s="33">
        <f t="shared" ca="1" si="42"/>
        <v>0</v>
      </c>
    </row>
    <row r="185" spans="1:11" ht="15.75" hidden="1" customHeight="1">
      <c r="A185" s="1" t="s">
        <v>276</v>
      </c>
      <c r="C185" s="109"/>
      <c r="E185" s="9" t="str">
        <f ca="1">_xll.DBRW(Server&amp;"}ElementAttributes_Indicator",A185,"code_English")</f>
        <v>PL1170_AC - Net provisions for restructuring costs (AC)</v>
      </c>
      <c r="F185" s="33">
        <f ca="1">_xll.DBRW($C$1,$C$2,$C$3,$C$4,$C$6,$C$5,$C$7,F$1,F$2,$A185)</f>
        <v>0</v>
      </c>
      <c r="G185" s="33">
        <f ca="1">_xll.DBRW($C$1,$C$2,$C$3,$C$4,$C$6,$C$5,$C$7,G$1,G$2,$A185)</f>
        <v>0</v>
      </c>
      <c r="H185" s="33">
        <f ca="1">_xll.DBRW($C$1,$C$2,$C$3,$C$4,$C$6,$C$5,$C$7,H$1,H$2,$A185)</f>
        <v>0</v>
      </c>
      <c r="J185" s="33">
        <f t="shared" ca="1" si="41"/>
        <v>0</v>
      </c>
      <c r="K185" s="33">
        <f t="shared" ca="1" si="42"/>
        <v>0</v>
      </c>
    </row>
    <row r="186" spans="1:11" ht="15.75" hidden="1" customHeight="1">
      <c r="A186" s="1" t="s">
        <v>277</v>
      </c>
      <c r="C186" s="109"/>
      <c r="E186" s="9" t="str">
        <f ca="1">_xll.DBRW(Server&amp;"}ElementAttributes_Indicator",A186,"code_English")</f>
        <v>PL1175_AC - Impairment on goodwill (full and proportionate consol.) (AC)</v>
      </c>
      <c r="F186" s="33">
        <f ca="1">_xll.DBRW($C$1,$C$2,$C$3,$C$4,$C$6,$C$5,$C$7,F$1,F$2,$A186)</f>
        <v>0</v>
      </c>
      <c r="G186" s="33">
        <f ca="1">_xll.DBRW($C$1,$C$2,$C$3,$C$4,$C$6,$C$5,$C$7,G$1,G$2,$A186)</f>
        <v>0</v>
      </c>
      <c r="H186" s="33">
        <f ca="1">_xll.DBRW($C$1,$C$2,$C$3,$C$4,$C$6,$C$5,$C$7,H$1,H$2,$A186)</f>
        <v>0</v>
      </c>
      <c r="J186" s="33">
        <f t="shared" ca="1" si="41"/>
        <v>0</v>
      </c>
      <c r="K186" s="33">
        <f t="shared" ca="1" si="42"/>
        <v>0</v>
      </c>
    </row>
    <row r="187" spans="1:11" ht="15.5" hidden="1" customHeight="1">
      <c r="A187" s="1" t="s">
        <v>142</v>
      </c>
      <c r="C187" s="109"/>
      <c r="E187" s="14" t="s">
        <v>35</v>
      </c>
      <c r="F187" s="33">
        <f t="shared" ref="F187:H187" ca="1" si="46">SUM(F172:F186)</f>
        <v>0</v>
      </c>
      <c r="G187" s="33">
        <f t="shared" ca="1" si="46"/>
        <v>0</v>
      </c>
      <c r="H187" s="33">
        <f t="shared" ca="1" si="46"/>
        <v>0</v>
      </c>
      <c r="J187" s="33">
        <f t="shared" ca="1" si="41"/>
        <v>0</v>
      </c>
      <c r="K187" s="33">
        <f t="shared" ca="1" si="42"/>
        <v>0</v>
      </c>
    </row>
    <row r="188" spans="1:11" ht="15.5" hidden="1" customHeight="1" collapsed="1">
      <c r="A188" s="1" t="s">
        <v>142</v>
      </c>
      <c r="C188" s="109"/>
      <c r="E188" s="11" t="s">
        <v>42</v>
      </c>
      <c r="F188" s="35">
        <f t="shared" ref="F188:H188" ca="1" si="47">F187+F171+F153+F139+F130</f>
        <v>0</v>
      </c>
      <c r="G188" s="35">
        <f t="shared" ca="1" si="47"/>
        <v>0</v>
      </c>
      <c r="H188" s="35">
        <f t="shared" ca="1" si="47"/>
        <v>0</v>
      </c>
      <c r="J188" s="33">
        <f t="shared" ca="1" si="41"/>
        <v>0</v>
      </c>
      <c r="K188" s="33">
        <f t="shared" ca="1" si="42"/>
        <v>0</v>
      </c>
    </row>
    <row r="189" spans="1:11" ht="15.75" hidden="1" customHeight="1">
      <c r="A189" s="1" t="s">
        <v>278</v>
      </c>
      <c r="C189" s="109"/>
      <c r="E189" s="9" t="str">
        <f ca="1">_xll.DBRW(Server&amp;"}ElementAttributes_Indicator",A189,"code_English")</f>
        <v>PL1100_XX - Vector Reconciliation (TPL11) - Capitalized production recognized as inventory, change in inventories</v>
      </c>
      <c r="F189" s="32">
        <f ca="1">_xll.DBRW($C$1,$C$2,$C$3,$C$4,$C$6,$C$5,$C$7,F$1,F$2,$A189)</f>
        <v>0</v>
      </c>
      <c r="G189" s="32">
        <f ca="1">_xll.DBRW($C$1,$C$2,$C$3,$C$4,$C$6,$C$5,$C$7,G$1,G$2,$A189)</f>
        <v>0</v>
      </c>
      <c r="H189" s="32">
        <f ca="1">_xll.DBRW($C$1,$C$2,$C$3,$C$4,$C$6,$C$5,$C$7,H$1,H$2,$A189)</f>
        <v>0</v>
      </c>
      <c r="J189" s="33">
        <f t="shared" ca="1" si="41"/>
        <v>0</v>
      </c>
      <c r="K189" s="33">
        <f t="shared" ca="1" si="42"/>
        <v>0</v>
      </c>
    </row>
    <row r="190" spans="1:11" ht="15.75" hidden="1" customHeight="1">
      <c r="A190" s="1" t="s">
        <v>279</v>
      </c>
      <c r="C190" s="109"/>
      <c r="E190" s="9" t="str">
        <f ca="1">_xll.DBRW(Server&amp;"}ElementAttributes_Indicator",A190,"code_English")</f>
        <v>PL1105_XX - Vector Reconciliation (TPL11) - Revenue received on behalf of 3rd parties</v>
      </c>
      <c r="F190" s="32">
        <f ca="1">_xll.DBRW($C$1,$C$2,$C$3,$C$4,$C$6,$C$5,$C$7,F$1,F$2,$A190)</f>
        <v>0</v>
      </c>
      <c r="G190" s="32">
        <f ca="1">_xll.DBRW($C$1,$C$2,$C$3,$C$4,$C$6,$C$5,$C$7,G$1,G$2,$A190)</f>
        <v>0</v>
      </c>
      <c r="H190" s="32">
        <f ca="1">_xll.DBRW($C$1,$C$2,$C$3,$C$4,$C$6,$C$5,$C$7,H$1,H$2,$A190)</f>
        <v>0</v>
      </c>
      <c r="J190" s="33">
        <f t="shared" ca="1" si="41"/>
        <v>0</v>
      </c>
      <c r="K190" s="33">
        <f t="shared" ca="1" si="42"/>
        <v>0</v>
      </c>
    </row>
    <row r="191" spans="1:11" ht="15.75" hidden="1" customHeight="1">
      <c r="A191" s="1" t="s">
        <v>280</v>
      </c>
      <c r="C191" s="109"/>
      <c r="E191" s="9" t="str">
        <f ca="1">_xll.DBRW(Server&amp;"}ElementAttributes_Indicator",A191,"code_English")</f>
        <v>PL1110_XX - Vector Reconciliation (TPL11) - Staff costs</v>
      </c>
      <c r="F191" s="32">
        <f ca="1">_xll.DBRW($C$1,$C$2,$C$3,$C$4,$C$6,$C$5,$C$7,F$1,F$2,$A191)</f>
        <v>0</v>
      </c>
      <c r="G191" s="32">
        <f ca="1">_xll.DBRW($C$1,$C$2,$C$3,$C$4,$C$6,$C$5,$C$7,G$1,G$2,$A191)</f>
        <v>0</v>
      </c>
      <c r="H191" s="32">
        <f ca="1">_xll.DBRW($C$1,$C$2,$C$3,$C$4,$C$6,$C$5,$C$7,H$1,H$2,$A191)</f>
        <v>0</v>
      </c>
      <c r="J191" s="33">
        <f t="shared" ca="1" si="41"/>
        <v>0</v>
      </c>
      <c r="K191" s="33">
        <f t="shared" ca="1" si="42"/>
        <v>0</v>
      </c>
    </row>
    <row r="192" spans="1:11" ht="15.75" hidden="1" customHeight="1">
      <c r="A192" s="1" t="s">
        <v>281</v>
      </c>
      <c r="C192" s="109"/>
      <c r="E192" s="9" t="str">
        <f ca="1">_xll.DBRW(Server&amp;"}ElementAttributes_Indicator",A192,"code_English")</f>
        <v>PL1111_XX - Vector Reconciliation (TPL11) - Staff costs - Stock Options</v>
      </c>
      <c r="F192" s="32">
        <f ca="1">_xll.DBRW($C$1,$C$2,$C$3,$C$4,$C$6,$C$5,$C$7,F$1,F$2,$A192)</f>
        <v>0</v>
      </c>
      <c r="G192" s="32">
        <f ca="1">_xll.DBRW($C$1,$C$2,$C$3,$C$4,$C$6,$C$5,$C$7,G$1,G$2,$A192)</f>
        <v>0</v>
      </c>
      <c r="H192" s="32">
        <f ca="1">_xll.DBRW($C$1,$C$2,$C$3,$C$4,$C$6,$C$5,$C$7,H$1,H$2,$A192)</f>
        <v>0</v>
      </c>
      <c r="J192" s="33">
        <f t="shared" ca="1" si="41"/>
        <v>0</v>
      </c>
      <c r="K192" s="33">
        <f t="shared" ca="1" si="42"/>
        <v>0</v>
      </c>
    </row>
    <row r="193" spans="1:17" ht="15.75" hidden="1" customHeight="1">
      <c r="A193" s="1" t="s">
        <v>282</v>
      </c>
      <c r="C193" s="109"/>
      <c r="E193" s="9" t="str">
        <f ca="1">_xll.DBRW(Server&amp;"}ElementAttributes_Indicator",A193,"code_English")</f>
        <v>PL1115_XX - Vector Reconciliation (TPL11) - Other expenses</v>
      </c>
      <c r="F193" s="32">
        <f ca="1">_xll.DBRW($C$1,$C$2,$C$3,$C$4,$C$6,$C$5,$C$7,F$1,F$2,$A193)</f>
        <v>0</v>
      </c>
      <c r="G193" s="32">
        <f ca="1">_xll.DBRW($C$1,$C$2,$C$3,$C$4,$C$6,$C$5,$C$7,G$1,G$2,$A193)</f>
        <v>0</v>
      </c>
      <c r="H193" s="32">
        <f ca="1">_xll.DBRW($C$1,$C$2,$C$3,$C$4,$C$6,$C$5,$C$7,H$1,H$2,$A193)</f>
        <v>0</v>
      </c>
      <c r="J193" s="33">
        <f t="shared" ca="1" si="41"/>
        <v>0</v>
      </c>
      <c r="K193" s="33">
        <f t="shared" ca="1" si="42"/>
        <v>0</v>
      </c>
    </row>
    <row r="194" spans="1:17" ht="15.75" hidden="1" customHeight="1">
      <c r="A194" s="1" t="s">
        <v>283</v>
      </c>
      <c r="C194" s="109"/>
      <c r="E194" s="9" t="str">
        <f ca="1">_xll.DBRW(Server&amp;"}ElementAttributes_Indicator",A194,"code_English")</f>
        <v>PL1115A_XX - Vector Reconciliation (TPL11) - Adjustment to operating profit</v>
      </c>
      <c r="F194" s="32">
        <f ca="1">_xll.DBRW($C$1,$C$2,$C$3,$C$4,$C$6,$C$5,$C$7,F$1,F$2,$A194)</f>
        <v>0</v>
      </c>
      <c r="G194" s="32">
        <f ca="1">_xll.DBRW($C$1,$C$2,$C$3,$C$4,$C$6,$C$5,$C$7,G$1,G$2,$A194)</f>
        <v>0</v>
      </c>
      <c r="H194" s="32">
        <f ca="1">_xll.DBRW($C$1,$C$2,$C$3,$C$4,$C$6,$C$5,$C$7,H$1,H$2,$A194)</f>
        <v>0</v>
      </c>
      <c r="J194" s="33">
        <f t="shared" ca="1" si="41"/>
        <v>0</v>
      </c>
      <c r="K194" s="33">
        <f t="shared" ca="1" si="42"/>
        <v>0</v>
      </c>
    </row>
    <row r="195" spans="1:17" ht="15.75" hidden="1" customHeight="1">
      <c r="A195" s="1" t="s">
        <v>284</v>
      </c>
      <c r="C195" s="109"/>
      <c r="E195" s="9" t="str">
        <f ca="1">_xll.DBRW(Server&amp;"}ElementAttributes_Indicator",A195,"code_English")</f>
        <v>PL1115S_XX - Vector Reconciliation (TPL11) - COS - Subcontracting transportation costs</v>
      </c>
      <c r="F195" s="76"/>
      <c r="G195" s="76"/>
      <c r="H195" s="76"/>
      <c r="I195" s="77"/>
      <c r="J195" s="33">
        <f t="shared" ref="J195:J220" ca="1" si="48">F195-G195</f>
        <v>0</v>
      </c>
      <c r="K195" s="33">
        <f t="shared" ref="K195:K220" si="49">F195-H195</f>
        <v>0</v>
      </c>
      <c r="L195" s="77"/>
      <c r="M195" s="77"/>
      <c r="N195" s="77"/>
      <c r="O195" s="77"/>
      <c r="P195" s="77"/>
      <c r="Q195" s="77"/>
    </row>
    <row r="196" spans="1:17" ht="15.75" hidden="1" customHeight="1">
      <c r="A196" s="1" t="s">
        <v>285</v>
      </c>
      <c r="C196" s="109"/>
      <c r="E196" s="9" t="str">
        <f ca="1">_xll.DBRW(Server&amp;"}ElementAttributes_Indicator",A196,"code_English")</f>
        <v>PL1116_XX - Vector Reconciliation (TPL11) - COS - Lease expenses</v>
      </c>
      <c r="F196" s="32">
        <f ca="1">_xll.DBRW($C$1,$C$2,$C$3,$C$4,$C$6,$C$5,$C$7,F$1,F$2,$A196)</f>
        <v>0</v>
      </c>
      <c r="G196" s="32">
        <f ca="1">_xll.DBRW($C$1,$C$2,$C$3,$C$4,$C$6,$C$5,$C$7,G$1,G$2,$A196)</f>
        <v>0</v>
      </c>
      <c r="H196" s="32">
        <f ca="1">_xll.DBRW($C$1,$C$2,$C$3,$C$4,$C$6,$C$5,$C$7,H$1,H$2,$A196)</f>
        <v>0</v>
      </c>
      <c r="J196" s="33">
        <f t="shared" ca="1" si="48"/>
        <v>0</v>
      </c>
      <c r="K196" s="33">
        <f t="shared" ca="1" si="49"/>
        <v>0</v>
      </c>
    </row>
    <row r="197" spans="1:17" ht="15.75" hidden="1" customHeight="1">
      <c r="A197" s="1" t="s">
        <v>286</v>
      </c>
      <c r="C197" s="109"/>
      <c r="E197" s="9" t="str">
        <f ca="1">_xll.DBRW(Server&amp;"}ElementAttributes_Indicator",A197,"code_English")</f>
        <v>PL1117_XX - Réconciliation Vector (TPL11) - COS - Lease expenses (IFRIC12)</v>
      </c>
      <c r="F197" s="32">
        <f ca="1">_xll.DBRW($C$1,$C$2,$C$3,$C$4,$C$6,$C$5,$C$7,F$1,F$2,$A197)</f>
        <v>0</v>
      </c>
      <c r="G197" s="32">
        <f ca="1">_xll.DBRW($C$1,$C$2,$C$3,$C$4,$C$6,$C$5,$C$7,G$1,G$2,$A197)</f>
        <v>0</v>
      </c>
      <c r="H197" s="32">
        <f ca="1">_xll.DBRW($C$1,$C$2,$C$3,$C$4,$C$6,$C$5,$C$7,H$1,H$2,$A197)</f>
        <v>0</v>
      </c>
      <c r="J197" s="33">
        <f t="shared" ca="1" si="48"/>
        <v>0</v>
      </c>
      <c r="K197" s="33">
        <f t="shared" ca="1" si="49"/>
        <v>0</v>
      </c>
    </row>
    <row r="198" spans="1:17" ht="15.75" hidden="1" customHeight="1">
      <c r="A198" s="1" t="s">
        <v>287</v>
      </c>
      <c r="C198" s="109"/>
      <c r="E198" s="9" t="str">
        <f ca="1">_xll.DBRW(Server&amp;"}ElementAttributes_Indicator",A198,"code_English")</f>
        <v>PL1118_XX - Réconciliation Vector (TPL11) - IFRS16 adjustment through P&amp;L</v>
      </c>
      <c r="F198" s="32">
        <f ca="1">_xll.DBRW($C$1,$C$2,$C$3,$C$4,$C$6,$C$5,$C$7,F$1,F$2,$A198)</f>
        <v>0</v>
      </c>
      <c r="G198" s="32">
        <f ca="1">_xll.DBRW($C$1,$C$2,$C$3,$C$4,$C$6,$C$5,$C$7,G$1,G$2,$A198)</f>
        <v>0</v>
      </c>
      <c r="H198" s="32">
        <f ca="1">_xll.DBRW($C$1,$C$2,$C$3,$C$4,$C$6,$C$5,$C$7,H$1,H$2,$A198)</f>
        <v>0</v>
      </c>
      <c r="J198" s="33">
        <f t="shared" ca="1" si="48"/>
        <v>0</v>
      </c>
      <c r="K198" s="33">
        <f t="shared" ca="1" si="49"/>
        <v>0</v>
      </c>
    </row>
    <row r="199" spans="1:17" ht="15.75" hidden="1" customHeight="1">
      <c r="A199" s="1" t="s">
        <v>288</v>
      </c>
      <c r="C199" s="109"/>
      <c r="E199" s="9" t="str">
        <f ca="1">_xll.DBRW(Server&amp;"}ElementAttributes_Indicator",A199,"code_English")</f>
        <v>PL1120_XX - Vector Reconciliation (TPL11) - Group internal insurance compensation received</v>
      </c>
      <c r="F199" s="32">
        <f ca="1">_xll.DBRW($C$1,$C$2,$C$3,$C$4,$C$6,$C$5,$C$7,F$1,F$2,$A199)</f>
        <v>0</v>
      </c>
      <c r="G199" s="32">
        <f ca="1">_xll.DBRW($C$1,$C$2,$C$3,$C$4,$C$6,$C$5,$C$7,G$1,G$2,$A199)</f>
        <v>0</v>
      </c>
      <c r="H199" s="32">
        <f ca="1">_xll.DBRW($C$1,$C$2,$C$3,$C$4,$C$6,$C$5,$C$7,H$1,H$2,$A199)</f>
        <v>0</v>
      </c>
      <c r="J199" s="33">
        <f t="shared" ca="1" si="48"/>
        <v>0</v>
      </c>
      <c r="K199" s="33">
        <f t="shared" ca="1" si="49"/>
        <v>0</v>
      </c>
    </row>
    <row r="200" spans="1:17" ht="15.75" hidden="1" customHeight="1">
      <c r="A200" s="1" t="s">
        <v>289</v>
      </c>
      <c r="C200" s="109"/>
      <c r="E200" s="9" t="str">
        <f ca="1">_xll.DBRW(Server&amp;"}ElementAttributes_Indicator",A200,"code_English")</f>
        <v>PL1125_XX - Vector Reconciliation (TPL11) - Group internal insurance compensation paid</v>
      </c>
      <c r="F200" s="32">
        <f ca="1">_xll.DBRW($C$1,$C$2,$C$3,$C$4,$C$6,$C$5,$C$7,F$1,F$2,$A200)</f>
        <v>0</v>
      </c>
      <c r="G200" s="32">
        <f ca="1">_xll.DBRW($C$1,$C$2,$C$3,$C$4,$C$6,$C$5,$C$7,G$1,G$2,$A200)</f>
        <v>0</v>
      </c>
      <c r="H200" s="32">
        <f ca="1">_xll.DBRW($C$1,$C$2,$C$3,$C$4,$C$6,$C$5,$C$7,H$1,H$2,$A200)</f>
        <v>0</v>
      </c>
      <c r="J200" s="33">
        <f t="shared" ca="1" si="48"/>
        <v>0</v>
      </c>
      <c r="K200" s="33">
        <f t="shared" ca="1" si="49"/>
        <v>0</v>
      </c>
    </row>
    <row r="201" spans="1:17" ht="15.75" hidden="1" customHeight="1">
      <c r="A201" s="1" t="s">
        <v>290</v>
      </c>
      <c r="C201" s="109"/>
      <c r="E201" s="9" t="str">
        <f ca="1">_xll.DBRW(Server&amp;"}ElementAttributes_Indicator",A201,"code_English")</f>
        <v>PL1126_XX - Vector Reconciliation (TPL11) - Replacement and maintenance expenses</v>
      </c>
      <c r="F201" s="32">
        <f ca="1">_xll.DBRW($C$1,$C$2,$C$3,$C$4,$C$6,$C$5,$C$7,F$1,F$2,$A201)</f>
        <v>0</v>
      </c>
      <c r="G201" s="32">
        <f ca="1">_xll.DBRW($C$1,$C$2,$C$3,$C$4,$C$6,$C$5,$C$7,G$1,G$2,$A201)</f>
        <v>0</v>
      </c>
      <c r="H201" s="32">
        <f ca="1">_xll.DBRW($C$1,$C$2,$C$3,$C$4,$C$6,$C$5,$C$7,H$1,H$2,$A201)</f>
        <v>0</v>
      </c>
      <c r="J201" s="33">
        <f t="shared" ca="1" si="48"/>
        <v>0</v>
      </c>
      <c r="K201" s="33">
        <f t="shared" ca="1" si="49"/>
        <v>0</v>
      </c>
    </row>
    <row r="202" spans="1:17" ht="15.75" hidden="1" customHeight="1">
      <c r="A202" s="1" t="s">
        <v>291</v>
      </c>
      <c r="C202" s="109"/>
      <c r="E202" s="9" t="str">
        <f ca="1">_xll.DBRW(Server&amp;"}ElementAttributes_Indicator",A202,"code_English")</f>
        <v>PL1130_XX - Vector Reconciliation (TPL11) - Provision for concession activities</v>
      </c>
      <c r="F202" s="32">
        <f ca="1">_xll.DBRW($C$1,$C$2,$C$3,$C$4,$C$6,$C$5,$C$7,F$1,F$2,$A202)</f>
        <v>0</v>
      </c>
      <c r="G202" s="32">
        <f ca="1">_xll.DBRW($C$1,$C$2,$C$3,$C$4,$C$6,$C$5,$C$7,G$1,G$2,$A202)</f>
        <v>0</v>
      </c>
      <c r="H202" s="32">
        <f ca="1">_xll.DBRW($C$1,$C$2,$C$3,$C$4,$C$6,$C$5,$C$7,H$1,H$2,$A202)</f>
        <v>0</v>
      </c>
      <c r="J202" s="33">
        <f t="shared" ca="1" si="48"/>
        <v>0</v>
      </c>
      <c r="K202" s="33">
        <f t="shared" ca="1" si="49"/>
        <v>0</v>
      </c>
    </row>
    <row r="203" spans="1:17" ht="15.75" hidden="1" customHeight="1">
      <c r="A203" s="1" t="s">
        <v>292</v>
      </c>
      <c r="C203" s="109"/>
      <c r="E203" s="9" t="str">
        <f ca="1">_xll.DBRW(Server&amp;"}ElementAttributes_Indicator",A203,"code_English")</f>
        <v>PL1135_XX - Vector Reconciliation (TPL11) - Reversal of provision for concession activities</v>
      </c>
      <c r="F203" s="32">
        <f ca="1">_xll.DBRW($C$1,$C$2,$C$3,$C$4,$C$6,$C$5,$C$7,F$1,F$2,$A203)</f>
        <v>0</v>
      </c>
      <c r="G203" s="32">
        <f ca="1">_xll.DBRW($C$1,$C$2,$C$3,$C$4,$C$6,$C$5,$C$7,G$1,G$2,$A203)</f>
        <v>0</v>
      </c>
      <c r="H203" s="32">
        <f ca="1">_xll.DBRW($C$1,$C$2,$C$3,$C$4,$C$6,$C$5,$C$7,H$1,H$2,$A203)</f>
        <v>0</v>
      </c>
      <c r="J203" s="33">
        <f t="shared" ca="1" si="48"/>
        <v>0</v>
      </c>
      <c r="K203" s="33">
        <f t="shared" ca="1" si="49"/>
        <v>0</v>
      </c>
    </row>
    <row r="204" spans="1:17" ht="15.75" hidden="1" customHeight="1">
      <c r="A204" s="1" t="s">
        <v>293</v>
      </c>
      <c r="C204" s="109"/>
      <c r="E204" s="9" t="str">
        <f ca="1">_xll.DBRW(Server&amp;"}ElementAttributes_Indicator",A204,"code_English")</f>
        <v>PL1140_XX - Vector Reconciliation (TPL11) - Amortization</v>
      </c>
      <c r="F204" s="32">
        <f ca="1">_xll.DBRW($C$1,$C$2,$C$3,$C$4,$C$6,$C$5,$C$7,F$1,F$2,$A204)</f>
        <v>0</v>
      </c>
      <c r="G204" s="32">
        <f ca="1">_xll.DBRW($C$1,$C$2,$C$3,$C$4,$C$6,$C$5,$C$7,G$1,G$2,$A204)</f>
        <v>0</v>
      </c>
      <c r="H204" s="32">
        <f ca="1">_xll.DBRW($C$1,$C$2,$C$3,$C$4,$C$6,$C$5,$C$7,H$1,H$2,$A204)</f>
        <v>0</v>
      </c>
      <c r="J204" s="33">
        <f t="shared" ca="1" si="48"/>
        <v>0</v>
      </c>
      <c r="K204" s="33">
        <f t="shared" ca="1" si="49"/>
        <v>0</v>
      </c>
    </row>
    <row r="205" spans="1:17" ht="15.75" hidden="1" customHeight="1">
      <c r="A205" s="1" t="s">
        <v>294</v>
      </c>
      <c r="C205" s="109"/>
      <c r="E205" s="9" t="str">
        <f ca="1">_xll.DBRW(Server&amp;"}ElementAttributes_Indicator",A205,"code_English")</f>
        <v>PL1145_XX - Vector Reconciliation (TPL11) - Impairment - working capital</v>
      </c>
      <c r="F205" s="32">
        <f ca="1">_xll.DBRW($C$1,$C$2,$C$3,$C$4,$C$6,$C$5,$C$7,F$1,F$2,$A205)</f>
        <v>0</v>
      </c>
      <c r="G205" s="32">
        <f ca="1">_xll.DBRW($C$1,$C$2,$C$3,$C$4,$C$6,$C$5,$C$7,G$1,G$2,$A205)</f>
        <v>0</v>
      </c>
      <c r="H205" s="32">
        <f ca="1">_xll.DBRW($C$1,$C$2,$C$3,$C$4,$C$6,$C$5,$C$7,H$1,H$2,$A205)</f>
        <v>0</v>
      </c>
      <c r="J205" s="33">
        <f t="shared" ca="1" si="48"/>
        <v>0</v>
      </c>
      <c r="K205" s="33">
        <f t="shared" ca="1" si="49"/>
        <v>0</v>
      </c>
    </row>
    <row r="206" spans="1:17" ht="15.75" hidden="1" customHeight="1">
      <c r="A206" s="1" t="s">
        <v>295</v>
      </c>
      <c r="C206" s="109"/>
      <c r="E206" s="9" t="str">
        <f ca="1">_xll.DBRW(Server&amp;"}ElementAttributes_Indicator",A206,"code_English")</f>
        <v>PL1150_XX - Vector Reconciliation (TPL11) - Impairment (other than working capital) and provisions</v>
      </c>
      <c r="F206" s="32">
        <f ca="1">_xll.DBRW($C$1,$C$2,$C$3,$C$4,$C$6,$C$5,$C$7,F$1,F$2,$A206)</f>
        <v>0</v>
      </c>
      <c r="G206" s="32">
        <f ca="1">_xll.DBRW($C$1,$C$2,$C$3,$C$4,$C$6,$C$5,$C$7,G$1,G$2,$A206)</f>
        <v>0</v>
      </c>
      <c r="H206" s="32">
        <f ca="1">_xll.DBRW($C$1,$C$2,$C$3,$C$4,$C$6,$C$5,$C$7,H$1,H$2,$A206)</f>
        <v>0</v>
      </c>
      <c r="J206" s="33">
        <f t="shared" ca="1" si="48"/>
        <v>0</v>
      </c>
      <c r="K206" s="33">
        <f t="shared" ca="1" si="49"/>
        <v>0</v>
      </c>
    </row>
    <row r="207" spans="1:17" ht="15.75" hidden="1" customHeight="1">
      <c r="A207" s="1" t="s">
        <v>296</v>
      </c>
      <c r="C207" s="109"/>
      <c r="E207" s="9" t="str">
        <f ca="1">_xll.DBRW(Server&amp;"}ElementAttributes_Indicator",A207,"code_English")</f>
        <v>PL1151_XX - Vector Reconciliation (TPL11) - Impact of change in revaluation rate on provisions for losses on LT contracts</v>
      </c>
      <c r="F207" s="32">
        <f ca="1">_xll.DBRW($C$1,$C$2,$C$3,$C$4,$C$6,$C$5,$C$7,F$1,F$2,$A207)</f>
        <v>0</v>
      </c>
      <c r="G207" s="32">
        <f ca="1">_xll.DBRW($C$1,$C$2,$C$3,$C$4,$C$6,$C$5,$C$7,G$1,G$2,$A207)</f>
        <v>0</v>
      </c>
      <c r="H207" s="32">
        <f ca="1">_xll.DBRW($C$1,$C$2,$C$3,$C$4,$C$6,$C$5,$C$7,H$1,H$2,$A207)</f>
        <v>0</v>
      </c>
      <c r="J207" s="33">
        <f t="shared" ca="1" si="48"/>
        <v>0</v>
      </c>
      <c r="K207" s="33">
        <f t="shared" ca="1" si="49"/>
        <v>0</v>
      </c>
    </row>
    <row r="208" spans="1:17" ht="15.75" hidden="1" customHeight="1">
      <c r="A208" s="1" t="s">
        <v>297</v>
      </c>
      <c r="C208" s="109"/>
      <c r="E208" s="9" t="str">
        <f ca="1">_xll.DBRW(Server&amp;"}ElementAttributes_Indicator",A208,"code_English")</f>
        <v>PL1155_XX - Vector Reconciliation (TPL11) - Reinvoicing</v>
      </c>
      <c r="F208" s="32">
        <f ca="1">_xll.DBRW($C$1,$C$2,$C$3,$C$4,$C$6,$C$5,$C$7,F$1,F$2,$A208)</f>
        <v>0</v>
      </c>
      <c r="G208" s="32">
        <f ca="1">_xll.DBRW($C$1,$C$2,$C$3,$C$4,$C$6,$C$5,$C$7,G$1,G$2,$A208)</f>
        <v>0</v>
      </c>
      <c r="H208" s="32">
        <f ca="1">_xll.DBRW($C$1,$C$2,$C$3,$C$4,$C$6,$C$5,$C$7,H$1,H$2,$A208)</f>
        <v>0</v>
      </c>
      <c r="J208" s="33">
        <f t="shared" ca="1" si="48"/>
        <v>0</v>
      </c>
      <c r="K208" s="33">
        <f t="shared" ca="1" si="49"/>
        <v>0</v>
      </c>
    </row>
    <row r="209" spans="1:11" ht="15.75" hidden="1" customHeight="1">
      <c r="A209" s="1" t="s">
        <v>298</v>
      </c>
      <c r="C209" s="109"/>
      <c r="E209" s="9" t="str">
        <f ca="1">_xll.DBRW(Server&amp;"}ElementAttributes_Indicator",A209,"code_English")</f>
        <v>PL1160_XX - Vector Reconciliation (TPL11) - Gains/losses on disposal of tangible &amp; intangible fixed assets</v>
      </c>
      <c r="F209" s="32">
        <f ca="1">_xll.DBRW($C$1,$C$2,$C$3,$C$4,$C$6,$C$5,$C$7,F$1,F$2,$A209)</f>
        <v>0</v>
      </c>
      <c r="G209" s="32">
        <f ca="1">_xll.DBRW($C$1,$C$2,$C$3,$C$4,$C$6,$C$5,$C$7,G$1,G$2,$A209)</f>
        <v>0</v>
      </c>
      <c r="H209" s="32">
        <f ca="1">_xll.DBRW($C$1,$C$2,$C$3,$C$4,$C$6,$C$5,$C$7,H$1,H$2,$A209)</f>
        <v>0</v>
      </c>
      <c r="J209" s="33">
        <f t="shared" ca="1" si="48"/>
        <v>0</v>
      </c>
      <c r="K209" s="33">
        <f t="shared" ca="1" si="49"/>
        <v>0</v>
      </c>
    </row>
    <row r="210" spans="1:11" ht="15.75" hidden="1" customHeight="1">
      <c r="A210" s="1" t="s">
        <v>299</v>
      </c>
      <c r="C210" s="109"/>
      <c r="E210" s="9" t="str">
        <f ca="1">_xll.DBRW(Server&amp;"}ElementAttributes_Indicator",A210,"code_English")</f>
        <v>PL1161_XX - Vector Reconciliation (TPL11) - Gains/losses on write-off of contract costs</v>
      </c>
      <c r="F210" s="32">
        <f ca="1">_xll.DBRW($C$1,$C$2,$C$3,$C$4,$C$6,$C$5,$C$7,F$1,F$2,$A210)</f>
        <v>0</v>
      </c>
      <c r="G210" s="32">
        <f ca="1">_xll.DBRW($C$1,$C$2,$C$3,$C$4,$C$6,$C$5,$C$7,G$1,G$2,$A210)</f>
        <v>0</v>
      </c>
      <c r="H210" s="32">
        <f ca="1">_xll.DBRW($C$1,$C$2,$C$3,$C$4,$C$6,$C$5,$C$7,H$1,H$2,$A210)</f>
        <v>0</v>
      </c>
      <c r="J210" s="33">
        <f t="shared" ca="1" si="48"/>
        <v>0</v>
      </c>
      <c r="K210" s="33">
        <f t="shared" ca="1" si="49"/>
        <v>0</v>
      </c>
    </row>
    <row r="211" spans="1:11" ht="15.75" hidden="1" customHeight="1">
      <c r="A211" s="1" t="s">
        <v>300</v>
      </c>
      <c r="C211" s="109"/>
      <c r="E211" s="9" t="str">
        <f ca="1">_xll.DBRW(Server&amp;"}ElementAttributes_Indicator",A211,"code_English")</f>
        <v>PL1162_XX - Réconciliation Vector (TPL11) - COS - Gains/losses on disposal of right-of-use</v>
      </c>
      <c r="F211" s="32">
        <f ca="1">_xll.DBRW($C$1,$C$2,$C$3,$C$4,$C$6,$C$5,$C$7,F$1,F$2,$A211)</f>
        <v>0</v>
      </c>
      <c r="G211" s="32">
        <f ca="1">_xll.DBRW($C$1,$C$2,$C$3,$C$4,$C$6,$C$5,$C$7,G$1,G$2,$A211)</f>
        <v>0</v>
      </c>
      <c r="H211" s="32">
        <f ca="1">_xll.DBRW($C$1,$C$2,$C$3,$C$4,$C$6,$C$5,$C$7,H$1,H$2,$A211)</f>
        <v>0</v>
      </c>
      <c r="J211" s="33">
        <f t="shared" ca="1" si="48"/>
        <v>0</v>
      </c>
      <c r="K211" s="33">
        <f t="shared" ca="1" si="49"/>
        <v>0</v>
      </c>
    </row>
    <row r="212" spans="1:11" ht="15.75" hidden="1" customHeight="1">
      <c r="A212" s="1" t="s">
        <v>301</v>
      </c>
      <c r="C212" s="109"/>
      <c r="E212" s="9" t="str">
        <f ca="1">_xll.DBRW(Server&amp;"}ElementAttributes_Indicator",A212,"code_English")</f>
        <v>PL1165_XX - Vector Reconciliation (TPL11) - Restructuring costs</v>
      </c>
      <c r="F212" s="32">
        <f ca="1">_xll.DBRW($C$1,$C$2,$C$3,$C$4,$C$6,$C$5,$C$7,F$1,F$2,$A212)</f>
        <v>0</v>
      </c>
      <c r="G212" s="32">
        <f ca="1">_xll.DBRW($C$1,$C$2,$C$3,$C$4,$C$6,$C$5,$C$7,G$1,G$2,$A212)</f>
        <v>0</v>
      </c>
      <c r="H212" s="32">
        <f ca="1">_xll.DBRW($C$1,$C$2,$C$3,$C$4,$C$6,$C$5,$C$7,H$1,H$2,$A212)</f>
        <v>0</v>
      </c>
      <c r="J212" s="33">
        <f t="shared" ca="1" si="48"/>
        <v>0</v>
      </c>
      <c r="K212" s="33">
        <f t="shared" ca="1" si="49"/>
        <v>0</v>
      </c>
    </row>
    <row r="213" spans="1:11" ht="15.75" hidden="1" customHeight="1">
      <c r="A213" s="1" t="s">
        <v>302</v>
      </c>
      <c r="C213" s="109"/>
      <c r="E213" s="9" t="str">
        <f ca="1">_xll.DBRW(Server&amp;"}ElementAttributes_Indicator",A213,"code_English")</f>
        <v>PL1170_XX - Vector Reconciliation (TPL11) - Net provisions for restructuring costs</v>
      </c>
      <c r="F213" s="32">
        <f ca="1">_xll.DBRW($C$1,$C$2,$C$3,$C$4,$C$6,$C$5,$C$7,F$1,F$2,$A213)</f>
        <v>0</v>
      </c>
      <c r="G213" s="32">
        <f ca="1">_xll.DBRW($C$1,$C$2,$C$3,$C$4,$C$6,$C$5,$C$7,G$1,G$2,$A213)</f>
        <v>0</v>
      </c>
      <c r="H213" s="32">
        <f ca="1">_xll.DBRW($C$1,$C$2,$C$3,$C$4,$C$6,$C$5,$C$7,H$1,H$2,$A213)</f>
        <v>0</v>
      </c>
      <c r="J213" s="33">
        <f t="shared" ca="1" si="48"/>
        <v>0</v>
      </c>
      <c r="K213" s="33">
        <f t="shared" ca="1" si="49"/>
        <v>0</v>
      </c>
    </row>
    <row r="214" spans="1:11" ht="15.75" hidden="1" customHeight="1">
      <c r="A214" s="1" t="s">
        <v>303</v>
      </c>
      <c r="C214" s="109"/>
      <c r="E214" s="9" t="str">
        <f ca="1">_xll.DBRW(Server&amp;"}ElementAttributes_Indicator",A214,"code_English")</f>
        <v>PL1175_XX - Vector Reconciliation (TPL11) - Impairment on goodwill (full and proportionate consol.)</v>
      </c>
      <c r="F214" s="32">
        <f ca="1">_xll.DBRW($C$1,$C$2,$C$3,$C$4,$C$6,$C$5,$C$7,F$1,F$2,$A214)</f>
        <v>0</v>
      </c>
      <c r="G214" s="32">
        <f ca="1">_xll.DBRW($C$1,$C$2,$C$3,$C$4,$C$6,$C$5,$C$7,G$1,G$2,$A214)</f>
        <v>0</v>
      </c>
      <c r="H214" s="32">
        <f ca="1">_xll.DBRW($C$1,$C$2,$C$3,$C$4,$C$6,$C$5,$C$7,H$1,H$2,$A214)</f>
        <v>0</v>
      </c>
      <c r="J214" s="33">
        <f t="shared" ca="1" si="48"/>
        <v>0</v>
      </c>
      <c r="K214" s="33">
        <f t="shared" ca="1" si="49"/>
        <v>0</v>
      </c>
    </row>
    <row r="215" spans="1:11" ht="15.75" hidden="1" customHeight="1">
      <c r="A215" s="1" t="s">
        <v>304</v>
      </c>
      <c r="C215" s="109"/>
      <c r="E215" s="9" t="str">
        <f ca="1">_xll.DBRW(Server&amp;"}ElementAttributes_Indicator",A215,"code_English")</f>
        <v>PL1180_XX - Vector Reconciliation (TPL11) - Fair value gain/loss on deriv instr related to oper activ excl I12&amp;I4</v>
      </c>
      <c r="F215" s="32">
        <f ca="1">_xll.DBRW($C$1,$C$2,$C$3,$C$4,$C$6,$C$5,$C$7,F$1,F$2,$A215)</f>
        <v>0</v>
      </c>
      <c r="G215" s="32">
        <f ca="1">_xll.DBRW($C$1,$C$2,$C$3,$C$4,$C$6,$C$5,$C$7,G$1,G$2,$A215)</f>
        <v>0</v>
      </c>
      <c r="H215" s="32">
        <f ca="1">_xll.DBRW($C$1,$C$2,$C$3,$C$4,$C$6,$C$5,$C$7,H$1,H$2,$A215)</f>
        <v>0</v>
      </c>
      <c r="J215" s="33">
        <f t="shared" ca="1" si="48"/>
        <v>0</v>
      </c>
      <c r="K215" s="33">
        <f t="shared" ca="1" si="49"/>
        <v>0</v>
      </c>
    </row>
    <row r="216" spans="1:11" ht="15.75" hidden="1" customHeight="1">
      <c r="A216" s="1" t="s">
        <v>305</v>
      </c>
      <c r="C216" s="109"/>
      <c r="E216" s="9" t="str">
        <f ca="1">_xll.DBRW(Server&amp;"}ElementAttributes_Indicator",A216,"code_English")</f>
        <v>PL1181_XX - Vector Reconciliation (TPL11) - Fair value gain/loss on deriv instr related to oper activ I12 fin. Receivables &amp; I4</v>
      </c>
      <c r="F216" s="32">
        <f ca="1">_xll.DBRW($C$1,$C$2,$C$3,$C$4,$C$6,$C$5,$C$7,F$1,F$2,$A216)</f>
        <v>0</v>
      </c>
      <c r="G216" s="32">
        <f ca="1">_xll.DBRW($C$1,$C$2,$C$3,$C$4,$C$6,$C$5,$C$7,G$1,G$2,$A216)</f>
        <v>0</v>
      </c>
      <c r="H216" s="32">
        <f ca="1">_xll.DBRW($C$1,$C$2,$C$3,$C$4,$C$6,$C$5,$C$7,H$1,H$2,$A216)</f>
        <v>0</v>
      </c>
      <c r="J216" s="33">
        <f t="shared" ca="1" si="48"/>
        <v>0</v>
      </c>
      <c r="K216" s="33">
        <f t="shared" ca="1" si="49"/>
        <v>0</v>
      </c>
    </row>
    <row r="217" spans="1:11" ht="15.75" hidden="1" customHeight="1">
      <c r="A217" s="1" t="s">
        <v>306</v>
      </c>
      <c r="C217" s="109"/>
      <c r="E217" s="9" t="str">
        <f ca="1">_xll.DBRW(Server&amp;"}ElementAttributes_Indicator",A217,"code_English")</f>
        <v>PL1182_XX - Vector Reconciliation (TPL11) - Non hedged fair value on derivatives related to operating activities excl.I4 and I12</v>
      </c>
      <c r="F217" s="32">
        <f ca="1">_xll.DBRW($C$1,$C$2,$C$3,$C$4,$C$6,$C$5,$C$7,F$1,F$2,$A217)</f>
        <v>0</v>
      </c>
      <c r="G217" s="32">
        <f ca="1">_xll.DBRW($C$1,$C$2,$C$3,$C$4,$C$6,$C$5,$C$7,G$1,G$2,$A217)</f>
        <v>0</v>
      </c>
      <c r="H217" s="32">
        <f ca="1">_xll.DBRW($C$1,$C$2,$C$3,$C$4,$C$6,$C$5,$C$7,H$1,H$2,$A217)</f>
        <v>0</v>
      </c>
      <c r="J217" s="33">
        <f t="shared" ca="1" si="48"/>
        <v>0</v>
      </c>
      <c r="K217" s="33">
        <f t="shared" ca="1" si="49"/>
        <v>0</v>
      </c>
    </row>
    <row r="218" spans="1:11" ht="15.75" hidden="1" customHeight="1">
      <c r="A218" s="1" t="s">
        <v>307</v>
      </c>
      <c r="C218" s="109"/>
      <c r="E218" s="9" t="str">
        <f ca="1">_xll.DBRW(Server&amp;"}ElementAttributes_Indicator",A218,"code_English")</f>
        <v>PL1183_XX - Vector Reconciliation (TPL11) - Non hedged fair value on derivatives related to financial operating activities(I4 and I12)</v>
      </c>
      <c r="F218" s="32">
        <f ca="1">_xll.DBRW($C$1,$C$2,$C$3,$C$4,$C$6,$C$5,$C$7,F$1,F$2,$A218)</f>
        <v>0</v>
      </c>
      <c r="G218" s="32">
        <f ca="1">_xll.DBRW($C$1,$C$2,$C$3,$C$4,$C$6,$C$5,$C$7,G$1,G$2,$A218)</f>
        <v>0</v>
      </c>
      <c r="H218" s="32">
        <f ca="1">_xll.DBRW($C$1,$C$2,$C$3,$C$4,$C$6,$C$5,$C$7,H$1,H$2,$A218)</f>
        <v>0</v>
      </c>
      <c r="J218" s="33">
        <f t="shared" ca="1" si="48"/>
        <v>0</v>
      </c>
      <c r="K218" s="33">
        <f t="shared" ca="1" si="49"/>
        <v>0</v>
      </c>
    </row>
    <row r="219" spans="1:11" ht="15.75" hidden="1" customHeight="1">
      <c r="A219" s="1" t="s">
        <v>308</v>
      </c>
      <c r="C219" s="109"/>
      <c r="E219" s="9" t="str">
        <f ca="1">_xll.DBRW(Server&amp;"}ElementAttributes_Indicator",A219,"code_English")</f>
        <v>PL1184_XX - Vector Reconciliation (TPL11) - Recycling from Fair value reserves to operating profit (CFH)</v>
      </c>
      <c r="F219" s="32">
        <f ca="1">_xll.DBRW($C$1,$C$2,$C$3,$C$4,$C$6,$C$5,$C$7,F$1,F$2,$A219)</f>
        <v>0</v>
      </c>
      <c r="G219" s="32">
        <f ca="1">_xll.DBRW($C$1,$C$2,$C$3,$C$4,$C$6,$C$5,$C$7,G$1,G$2,$A219)</f>
        <v>0</v>
      </c>
      <c r="H219" s="32">
        <f ca="1">_xll.DBRW($C$1,$C$2,$C$3,$C$4,$C$6,$C$5,$C$7,H$1,H$2,$A219)</f>
        <v>0</v>
      </c>
      <c r="J219" s="33">
        <f t="shared" ca="1" si="48"/>
        <v>0</v>
      </c>
      <c r="K219" s="33">
        <f t="shared" ca="1" si="49"/>
        <v>0</v>
      </c>
    </row>
    <row r="220" spans="1:11" ht="15.5" collapsed="1">
      <c r="A220" s="1" t="s">
        <v>142</v>
      </c>
      <c r="C220" s="109"/>
      <c r="E220" s="23" t="s">
        <v>43</v>
      </c>
      <c r="F220" s="36">
        <f t="shared" ref="F220:H220" ca="1" si="50">SUM(F189:F219)</f>
        <v>0</v>
      </c>
      <c r="G220" s="36">
        <f t="shared" ca="1" si="50"/>
        <v>0</v>
      </c>
      <c r="H220" s="36">
        <f t="shared" ca="1" si="50"/>
        <v>0</v>
      </c>
      <c r="J220" s="33">
        <f t="shared" ca="1" si="48"/>
        <v>0</v>
      </c>
      <c r="K220" s="33">
        <f t="shared" ca="1" si="49"/>
        <v>0</v>
      </c>
    </row>
    <row r="221" spans="1:11" ht="15.5">
      <c r="A221" s="1" t="s">
        <v>142</v>
      </c>
      <c r="C221" s="109"/>
      <c r="E221" s="20" t="s">
        <v>44</v>
      </c>
      <c r="F221" s="37">
        <f t="shared" ref="F221:H221" ca="1" si="51">F32+F43+F82+F100+F116+F188+F220</f>
        <v>0</v>
      </c>
      <c r="G221" s="37">
        <f t="shared" ca="1" si="51"/>
        <v>0</v>
      </c>
      <c r="H221" s="37">
        <f t="shared" ca="1" si="51"/>
        <v>0</v>
      </c>
      <c r="J221" s="98">
        <f ca="1">F221-G221</f>
        <v>0</v>
      </c>
      <c r="K221" s="98">
        <f>F224-H224</f>
        <v>0</v>
      </c>
    </row>
    <row r="222" spans="1:11" ht="9" customHeight="1">
      <c r="A222" s="1" t="s">
        <v>142</v>
      </c>
      <c r="C222" s="109"/>
      <c r="E222" s="7"/>
      <c r="F222" s="8"/>
      <c r="G222" s="8"/>
      <c r="H222" s="8"/>
    </row>
    <row r="223" spans="1:11" ht="15.5">
      <c r="A223" s="1" t="s">
        <v>309</v>
      </c>
      <c r="C223" s="109"/>
      <c r="E223" s="20" t="s">
        <v>45</v>
      </c>
      <c r="F223" s="37">
        <f ca="1">F29+F221</f>
        <v>0</v>
      </c>
      <c r="G223" s="37">
        <f t="shared" ref="G223:H223" ca="1" si="52">G29+G221</f>
        <v>0</v>
      </c>
      <c r="H223" s="37">
        <f t="shared" ca="1" si="52"/>
        <v>0</v>
      </c>
      <c r="J223" s="98">
        <f ca="1">F223-G223</f>
        <v>0</v>
      </c>
      <c r="K223" s="98">
        <f ca="1">F226-H226</f>
        <v>0</v>
      </c>
    </row>
    <row r="224" spans="1:11" ht="9" customHeight="1">
      <c r="A224" s="1" t="s">
        <v>142</v>
      </c>
      <c r="C224" s="109"/>
      <c r="E224" s="7"/>
      <c r="F224" s="8"/>
      <c r="G224" s="8"/>
      <c r="H224" s="8"/>
    </row>
    <row r="225" spans="1:11" ht="15.75" hidden="1" customHeight="1">
      <c r="A225" s="1" t="s">
        <v>310</v>
      </c>
      <c r="C225" s="109"/>
      <c r="E225" s="9" t="str">
        <f ca="1">_xll.DBRW(Server&amp;"}ElementAttributes_Indicator",A225,"code_English")</f>
        <v>PL0000_BD - Business development expenses (RESOP)</v>
      </c>
      <c r="F225" s="10">
        <f ca="1">_xll.DBRW($C$1,$C$2,$C$3,$C$4,$C$6,$C$5,$C$7,F$1,F$2,$A225)</f>
        <v>0</v>
      </c>
      <c r="G225" s="10">
        <f ca="1">_xll.DBRW($C$1,$C$2,$C$3,$C$4,$C$6,$C$5,$C$7,G$1,G$2,$A225)</f>
        <v>0</v>
      </c>
      <c r="H225" s="10">
        <f ca="1">_xll.DBRW($C$1,$C$2,$C$3,$C$4,$C$6,$C$5,$C$7,H$1,H$2,$A225)</f>
        <v>0</v>
      </c>
    </row>
    <row r="226" spans="1:11" ht="15.75" hidden="1" customHeight="1">
      <c r="A226" s="1" t="s">
        <v>311</v>
      </c>
      <c r="C226" s="109"/>
      <c r="E226" s="9" t="str">
        <f ca="1">_xll.DBRW(Server&amp;"}ElementAttributes_Indicator",A226,"code_English")</f>
        <v>PL0000_TPL12 - Business development expenses - Vector Reconciliation</v>
      </c>
      <c r="F226" s="10">
        <f ca="1">_xll.DBRW($C$1,$C$2,$C$3,$C$4,$C$6,$C$5,$C$7,F$1,F$2,$A226)</f>
        <v>0</v>
      </c>
      <c r="G226" s="10">
        <f ca="1">_xll.DBRW($C$1,$C$2,$C$3,$C$4,$C$6,$C$5,$C$7,G$1,G$2,$A226)</f>
        <v>0</v>
      </c>
      <c r="H226" s="10">
        <f ca="1">_xll.DBRW($C$1,$C$2,$C$3,$C$4,$C$6,$C$5,$C$7,H$1,H$2,$A226)</f>
        <v>0</v>
      </c>
    </row>
    <row r="227" spans="1:11" ht="15.5" collapsed="1">
      <c r="A227" s="1" t="s">
        <v>142</v>
      </c>
      <c r="C227" s="109"/>
      <c r="E227" s="14" t="s">
        <v>46</v>
      </c>
      <c r="F227" s="38">
        <f t="shared" ref="F227:H227" ca="1" si="53">F226+F225</f>
        <v>0</v>
      </c>
      <c r="G227" s="38">
        <f t="shared" ca="1" si="53"/>
        <v>0</v>
      </c>
      <c r="H227" s="38">
        <f t="shared" ca="1" si="53"/>
        <v>0</v>
      </c>
      <c r="J227" s="33">
        <f t="shared" ref="J227" ca="1" si="54">F227-G227</f>
        <v>0</v>
      </c>
      <c r="K227" s="33">
        <f t="shared" ref="K227" ca="1" si="55">F227-H227</f>
        <v>0</v>
      </c>
    </row>
    <row r="228" spans="1:11" ht="15.75" hidden="1" customHeight="1">
      <c r="A228" s="1" t="s">
        <v>312</v>
      </c>
      <c r="C228" s="109"/>
      <c r="E228" s="9" t="str">
        <f ca="1">_xll.DBRW(Server&amp;"}ElementAttributes_Indicator",A228,"code_English")</f>
        <v>PL0000_CO - Communication</v>
      </c>
      <c r="F228" s="33">
        <f ca="1">_xll.DBRW($C$1,$C$2,$C$3,$C$4,$C$6,$C$5,$C$7,F$1,F$2,$A228)</f>
        <v>0</v>
      </c>
      <c r="G228" s="33">
        <f ca="1">_xll.DBRW($C$1,$C$2,$C$3,$C$4,$C$6,$C$5,$C$7,G$1,G$2,$A228)</f>
        <v>0</v>
      </c>
      <c r="H228" s="33">
        <f ca="1">_xll.DBRW($C$1,$C$2,$C$3,$C$4,$C$6,$C$5,$C$7,H$1,H$2,$A228)</f>
        <v>0</v>
      </c>
      <c r="J228" s="33">
        <f t="shared" ref="J228:J259" ca="1" si="56">F228-G228</f>
        <v>0</v>
      </c>
      <c r="K228" s="33">
        <f t="shared" ref="K228:K259" ca="1" si="57">F228-H228</f>
        <v>0</v>
      </c>
    </row>
    <row r="229" spans="1:11" ht="15.5">
      <c r="A229" s="1" t="s">
        <v>142</v>
      </c>
      <c r="C229" s="109"/>
      <c r="E229" s="15" t="s">
        <v>47</v>
      </c>
      <c r="F229" s="39">
        <f t="shared" ref="F229:H229" ca="1" si="58">F228</f>
        <v>0</v>
      </c>
      <c r="G229" s="39">
        <f t="shared" ca="1" si="58"/>
        <v>0</v>
      </c>
      <c r="H229" s="39">
        <f t="shared" ca="1" si="58"/>
        <v>0</v>
      </c>
      <c r="J229" s="33">
        <f t="shared" ca="1" si="56"/>
        <v>0</v>
      </c>
      <c r="K229" s="33">
        <f t="shared" ca="1" si="57"/>
        <v>0</v>
      </c>
    </row>
    <row r="230" spans="1:11" ht="15.75" hidden="1" customHeight="1">
      <c r="A230" s="1" t="s">
        <v>313</v>
      </c>
      <c r="C230" s="109"/>
      <c r="E230" s="9" t="str">
        <f ca="1">_xll.DBRW(Server&amp;"}ElementAttributes_Indicator",A230,"code_English")</f>
        <v>PL0000_FI - Finance</v>
      </c>
      <c r="F230" s="33">
        <f ca="1">_xll.DBRW($C$1,$C$2,$C$3,$C$4,$C$6,$C$5,$C$7,F$1,F$2,$A230)</f>
        <v>0</v>
      </c>
      <c r="G230" s="33">
        <f ca="1">_xll.DBRW($C$1,$C$2,$C$3,$C$4,$C$6,$C$5,$C$7,G$1,G$2,$A230)</f>
        <v>0</v>
      </c>
      <c r="H230" s="33">
        <f ca="1">_xll.DBRW($C$1,$C$2,$C$3,$C$4,$C$6,$C$5,$C$7,H$1,H$2,$A230)</f>
        <v>0</v>
      </c>
      <c r="J230" s="33">
        <f t="shared" ca="1" si="56"/>
        <v>0</v>
      </c>
      <c r="K230" s="33">
        <f t="shared" ca="1" si="57"/>
        <v>0</v>
      </c>
    </row>
    <row r="231" spans="1:11" ht="15.5">
      <c r="A231" s="1" t="s">
        <v>313</v>
      </c>
      <c r="C231" s="109"/>
      <c r="E231" s="15" t="s">
        <v>48</v>
      </c>
      <c r="F231" s="39">
        <f t="shared" ref="F231:H231" ca="1" si="59">F230</f>
        <v>0</v>
      </c>
      <c r="G231" s="39">
        <f t="shared" ca="1" si="59"/>
        <v>0</v>
      </c>
      <c r="H231" s="39">
        <f t="shared" ca="1" si="59"/>
        <v>0</v>
      </c>
      <c r="J231" s="33">
        <f t="shared" ca="1" si="56"/>
        <v>0</v>
      </c>
      <c r="K231" s="33">
        <f t="shared" ca="1" si="57"/>
        <v>0</v>
      </c>
    </row>
    <row r="232" spans="1:11" ht="15.75" hidden="1" customHeight="1">
      <c r="A232" s="1" t="s">
        <v>314</v>
      </c>
      <c r="C232" s="109"/>
      <c r="E232" s="9" t="str">
        <f ca="1">_xll.DBRW(Server&amp;"}ElementAttributes_Indicator",A232,"code_English")</f>
        <v>PL0000_GM - General Management (RESOP)</v>
      </c>
      <c r="F232" s="33">
        <f ca="1">_xll.DBRW($C$1,$C$2,$C$3,$C$4,$C$6,$C$5,$C$7,F$1,F$2,$A232)</f>
        <v>0</v>
      </c>
      <c r="G232" s="33">
        <f ca="1">_xll.DBRW($C$1,$C$2,$C$3,$C$4,$C$6,$C$5,$C$7,G$1,G$2,$A232)</f>
        <v>0</v>
      </c>
      <c r="H232" s="33">
        <f ca="1">_xll.DBRW($C$1,$C$2,$C$3,$C$4,$C$6,$C$5,$C$7,H$1,H$2,$A232)</f>
        <v>0</v>
      </c>
      <c r="J232" s="33">
        <f t="shared" ca="1" si="56"/>
        <v>0</v>
      </c>
      <c r="K232" s="33">
        <f t="shared" ca="1" si="57"/>
        <v>0</v>
      </c>
    </row>
    <row r="233" spans="1:11" ht="15.5">
      <c r="A233" s="1" t="s">
        <v>142</v>
      </c>
      <c r="C233" s="109"/>
      <c r="E233" s="15" t="s">
        <v>49</v>
      </c>
      <c r="F233" s="39">
        <f t="shared" ref="F233:H233" ca="1" si="60">F232</f>
        <v>0</v>
      </c>
      <c r="G233" s="39">
        <f t="shared" ca="1" si="60"/>
        <v>0</v>
      </c>
      <c r="H233" s="39">
        <f t="shared" ca="1" si="60"/>
        <v>0</v>
      </c>
      <c r="J233" s="33">
        <f t="shared" ca="1" si="56"/>
        <v>0</v>
      </c>
      <c r="K233" s="33">
        <f t="shared" ca="1" si="57"/>
        <v>0</v>
      </c>
    </row>
    <row r="234" spans="1:11" ht="15.75" hidden="1" customHeight="1">
      <c r="A234" s="1" t="s">
        <v>315</v>
      </c>
      <c r="C234" s="109"/>
      <c r="E234" s="9" t="str">
        <f ca="1">_xll.DBRW(Server&amp;"}ElementAttributes_Indicator",A234,"code_English")</f>
        <v>PL0000_GS - General Services</v>
      </c>
      <c r="F234" s="33">
        <f ca="1">_xll.DBRW($C$1,$C$2,$C$3,$C$4,$C$6,$C$5,$C$7,F$1,F$2,$A234)</f>
        <v>0</v>
      </c>
      <c r="G234" s="33">
        <f ca="1">_xll.DBRW($C$1,$C$2,$C$3,$C$4,$C$6,$C$5,$C$7,G$1,G$2,$A234)</f>
        <v>0</v>
      </c>
      <c r="H234" s="33">
        <f ca="1">_xll.DBRW($C$1,$C$2,$C$3,$C$4,$C$6,$C$5,$C$7,H$1,H$2,$A234)</f>
        <v>0</v>
      </c>
      <c r="J234" s="33">
        <f t="shared" ca="1" si="56"/>
        <v>0</v>
      </c>
      <c r="K234" s="33">
        <f t="shared" ca="1" si="57"/>
        <v>0</v>
      </c>
    </row>
    <row r="235" spans="1:11" ht="15.5">
      <c r="A235" s="1" t="s">
        <v>142</v>
      </c>
      <c r="C235" s="109"/>
      <c r="E235" s="15" t="s">
        <v>50</v>
      </c>
      <c r="F235" s="39">
        <f t="shared" ref="F235:H235" ca="1" si="61">F234</f>
        <v>0</v>
      </c>
      <c r="G235" s="39">
        <f t="shared" ca="1" si="61"/>
        <v>0</v>
      </c>
      <c r="H235" s="39">
        <f t="shared" ca="1" si="61"/>
        <v>0</v>
      </c>
      <c r="J235" s="33">
        <f t="shared" ca="1" si="56"/>
        <v>0</v>
      </c>
      <c r="K235" s="33">
        <f t="shared" ca="1" si="57"/>
        <v>0</v>
      </c>
    </row>
    <row r="236" spans="1:11" ht="15.75" hidden="1" customHeight="1">
      <c r="A236" s="1" t="s">
        <v>316</v>
      </c>
      <c r="C236" s="109"/>
      <c r="E236" s="9" t="str">
        <f ca="1">_xll.DBRW(Server&amp;"}ElementAttributes_Indicator",A236,"code_English")</f>
        <v>PL0000_HR - HR department</v>
      </c>
      <c r="F236" s="33">
        <f ca="1">_xll.DBRW($C$1,$C$2,$C$3,$C$4,$C$6,$C$5,$C$7,F$1,F$2,$A236)</f>
        <v>0</v>
      </c>
      <c r="G236" s="33">
        <f ca="1">_xll.DBRW($C$1,$C$2,$C$3,$C$4,$C$6,$C$5,$C$7,G$1,G$2,$A236)</f>
        <v>0</v>
      </c>
      <c r="H236" s="33">
        <f ca="1">_xll.DBRW($C$1,$C$2,$C$3,$C$4,$C$6,$C$5,$C$7,H$1,H$2,$A236)</f>
        <v>0</v>
      </c>
      <c r="J236" s="33">
        <f t="shared" ca="1" si="56"/>
        <v>0</v>
      </c>
      <c r="K236" s="33">
        <f t="shared" ca="1" si="57"/>
        <v>0</v>
      </c>
    </row>
    <row r="237" spans="1:11" ht="15.5">
      <c r="A237" s="1" t="s">
        <v>142</v>
      </c>
      <c r="C237" s="109"/>
      <c r="E237" s="15" t="s">
        <v>51</v>
      </c>
      <c r="F237" s="39">
        <f t="shared" ref="F237:H237" ca="1" si="62">F236</f>
        <v>0</v>
      </c>
      <c r="G237" s="39">
        <f t="shared" ca="1" si="62"/>
        <v>0</v>
      </c>
      <c r="H237" s="39">
        <f t="shared" ca="1" si="62"/>
        <v>0</v>
      </c>
      <c r="J237" s="33">
        <f t="shared" ca="1" si="56"/>
        <v>0</v>
      </c>
      <c r="K237" s="33">
        <f t="shared" ca="1" si="57"/>
        <v>0</v>
      </c>
    </row>
    <row r="238" spans="1:11" ht="15.75" hidden="1" customHeight="1">
      <c r="A238" s="1" t="s">
        <v>317</v>
      </c>
      <c r="C238" s="109"/>
      <c r="E238" s="9" t="str">
        <f ca="1">_xll.DBRW(Server&amp;"}ElementAttributes_Indicator",A238,"code_English")</f>
        <v>PL0000_IA - Internal audit</v>
      </c>
      <c r="F238" s="33">
        <f ca="1">_xll.DBRW($C$1,$C$2,$C$3,$C$4,$C$6,$C$5,$C$7,F$1,F$2,$A238)</f>
        <v>0</v>
      </c>
      <c r="G238" s="33">
        <f ca="1">_xll.DBRW($C$1,$C$2,$C$3,$C$4,$C$6,$C$5,$C$7,G$1,G$2,$A238)</f>
        <v>0</v>
      </c>
      <c r="H238" s="33">
        <f ca="1">_xll.DBRW($C$1,$C$2,$C$3,$C$4,$C$6,$C$5,$C$7,H$1,H$2,$A238)</f>
        <v>0</v>
      </c>
      <c r="J238" s="33">
        <f t="shared" ca="1" si="56"/>
        <v>0</v>
      </c>
      <c r="K238" s="33">
        <f t="shared" ca="1" si="57"/>
        <v>0</v>
      </c>
    </row>
    <row r="239" spans="1:11" ht="15.5">
      <c r="C239" s="109"/>
      <c r="E239" s="84" t="s">
        <v>52</v>
      </c>
      <c r="F239" s="39">
        <f t="shared" ref="F239:H239" ca="1" si="63">F238</f>
        <v>0</v>
      </c>
      <c r="G239" s="39">
        <f t="shared" ca="1" si="63"/>
        <v>0</v>
      </c>
      <c r="H239" s="39">
        <f t="shared" ca="1" si="63"/>
        <v>0</v>
      </c>
      <c r="J239" s="33">
        <f t="shared" ca="1" si="56"/>
        <v>0</v>
      </c>
      <c r="K239" s="33">
        <f t="shared" ca="1" si="57"/>
        <v>0</v>
      </c>
    </row>
    <row r="240" spans="1:11" ht="15.75" hidden="1" customHeight="1">
      <c r="A240" s="1" t="s">
        <v>318</v>
      </c>
      <c r="C240" s="109"/>
      <c r="E240" s="9" t="str">
        <f ca="1">_xll.DBRW(Server&amp;"}ElementAttributes_Indicator",A240,"code_English")</f>
        <v>PL0000_IT - IT</v>
      </c>
      <c r="F240" s="33">
        <f ca="1">_xll.DBRW($C$1,$C$2,$C$3,$C$4,$C$6,$C$5,$C$7,F$1,F$2,$A240)</f>
        <v>0</v>
      </c>
      <c r="G240" s="33">
        <f ca="1">_xll.DBRW($C$1,$C$2,$C$3,$C$4,$C$6,$C$5,$C$7,G$1,G$2,$A240)</f>
        <v>0</v>
      </c>
      <c r="H240" s="33">
        <f ca="1">_xll.DBRW($C$1,$C$2,$C$3,$C$4,$C$6,$C$5,$C$7,H$1,H$2,$A240)</f>
        <v>0</v>
      </c>
      <c r="J240" s="33">
        <f t="shared" ca="1" si="56"/>
        <v>0</v>
      </c>
      <c r="K240" s="33">
        <f t="shared" ca="1" si="57"/>
        <v>0</v>
      </c>
    </row>
    <row r="241" spans="1:11" ht="15.5">
      <c r="C241" s="109"/>
      <c r="E241" s="84" t="s">
        <v>53</v>
      </c>
      <c r="F241" s="39">
        <f t="shared" ref="F241:H241" ca="1" si="64">F240</f>
        <v>0</v>
      </c>
      <c r="G241" s="39">
        <f t="shared" ca="1" si="64"/>
        <v>0</v>
      </c>
      <c r="H241" s="39">
        <f t="shared" ca="1" si="64"/>
        <v>0</v>
      </c>
      <c r="J241" s="33">
        <f t="shared" ca="1" si="56"/>
        <v>0</v>
      </c>
      <c r="K241" s="33">
        <f t="shared" ca="1" si="57"/>
        <v>0</v>
      </c>
    </row>
    <row r="242" spans="1:11" ht="15.75" hidden="1" customHeight="1">
      <c r="A242" s="1" t="s">
        <v>319</v>
      </c>
      <c r="C242" s="109"/>
      <c r="E242" s="9" t="str">
        <f ca="1">_xll.DBRW(Server&amp;"}ElementAttributes_Indicator",A242,"code_English")</f>
        <v>PL0000_LE - Legal</v>
      </c>
      <c r="F242" s="33">
        <f ca="1">_xll.DBRW($C$1,$C$2,$C$3,$C$4,$C$6,$C$5,$C$7,F$1,F$2,$A242)</f>
        <v>0</v>
      </c>
      <c r="G242" s="33">
        <f ca="1">_xll.DBRW($C$1,$C$2,$C$3,$C$4,$C$6,$C$5,$C$7,G$1,G$2,$A242)</f>
        <v>0</v>
      </c>
      <c r="H242" s="33">
        <f ca="1">_xll.DBRW($C$1,$C$2,$C$3,$C$4,$C$6,$C$5,$C$7,H$1,H$2,$A242)</f>
        <v>0</v>
      </c>
      <c r="J242" s="33">
        <f t="shared" ca="1" si="56"/>
        <v>0</v>
      </c>
      <c r="K242" s="33">
        <f t="shared" ca="1" si="57"/>
        <v>0</v>
      </c>
    </row>
    <row r="243" spans="1:11" ht="15.5">
      <c r="C243" s="109"/>
      <c r="E243" s="84" t="s">
        <v>54</v>
      </c>
      <c r="F243" s="39">
        <f t="shared" ref="F243:H243" ca="1" si="65">F242</f>
        <v>0</v>
      </c>
      <c r="G243" s="39">
        <f t="shared" ca="1" si="65"/>
        <v>0</v>
      </c>
      <c r="H243" s="39">
        <f t="shared" ca="1" si="65"/>
        <v>0</v>
      </c>
      <c r="J243" s="33">
        <f t="shared" ca="1" si="56"/>
        <v>0</v>
      </c>
      <c r="K243" s="33">
        <f t="shared" ca="1" si="57"/>
        <v>0</v>
      </c>
    </row>
    <row r="244" spans="1:11" ht="15.75" hidden="1" customHeight="1">
      <c r="A244" s="1" t="s">
        <v>320</v>
      </c>
      <c r="C244" s="109"/>
      <c r="E244" s="9" t="str">
        <f ca="1">_xll.DBRW(Server&amp;"}ElementAttributes_Indicator",A244,"code_English")</f>
        <v>PL0000_PU - Purchasing</v>
      </c>
      <c r="F244" s="33">
        <f ca="1">_xll.DBRW($C$1,$C$2,$C$3,$C$4,$C$6,$C$5,$C$7,F$1,F$2,$A244)</f>
        <v>0</v>
      </c>
      <c r="G244" s="33">
        <f ca="1">_xll.DBRW($C$1,$C$2,$C$3,$C$4,$C$6,$C$5,$C$7,G$1,G$2,$A244)</f>
        <v>0</v>
      </c>
      <c r="H244" s="33">
        <f ca="1">_xll.DBRW($C$1,$C$2,$C$3,$C$4,$C$6,$C$5,$C$7,H$1,H$2,$A244)</f>
        <v>0</v>
      </c>
      <c r="J244" s="33">
        <f t="shared" ca="1" si="56"/>
        <v>0</v>
      </c>
      <c r="K244" s="33">
        <f t="shared" ca="1" si="57"/>
        <v>0</v>
      </c>
    </row>
    <row r="245" spans="1:11" ht="15.5">
      <c r="C245" s="109"/>
      <c r="E245" s="84" t="s">
        <v>55</v>
      </c>
      <c r="F245" s="39">
        <f t="shared" ref="F245:H245" ca="1" si="66">F244</f>
        <v>0</v>
      </c>
      <c r="G245" s="39">
        <f t="shared" ca="1" si="66"/>
        <v>0</v>
      </c>
      <c r="H245" s="39">
        <f t="shared" ca="1" si="66"/>
        <v>0</v>
      </c>
      <c r="J245" s="33">
        <f t="shared" ca="1" si="56"/>
        <v>0</v>
      </c>
      <c r="K245" s="33">
        <f t="shared" ca="1" si="57"/>
        <v>0</v>
      </c>
    </row>
    <row r="246" spans="1:11" ht="15.75" hidden="1" customHeight="1">
      <c r="A246" s="1" t="s">
        <v>321</v>
      </c>
      <c r="C246" s="109"/>
      <c r="E246" s="9" t="str">
        <f ca="1">_xll.DBRW(Server&amp;"}ElementAttributes_Indicator",A246,"code_English")</f>
        <v>PL0000_RD - R &amp; D</v>
      </c>
      <c r="F246" s="33">
        <f ca="1">_xll.DBRW($C$1,$C$2,$C$3,$C$4,$C$6,$C$5,$C$7,F$1,F$2,$A246)</f>
        <v>0</v>
      </c>
      <c r="G246" s="33">
        <f ca="1">_xll.DBRW($C$1,$C$2,$C$3,$C$4,$C$6,$C$5,$C$7,G$1,G$2,$A246)</f>
        <v>0</v>
      </c>
      <c r="H246" s="33">
        <f ca="1">_xll.DBRW($C$1,$C$2,$C$3,$C$4,$C$6,$C$5,$C$7,H$1,H$2,$A246)</f>
        <v>0</v>
      </c>
      <c r="J246" s="33">
        <f t="shared" ca="1" si="56"/>
        <v>0</v>
      </c>
      <c r="K246" s="33">
        <f t="shared" ca="1" si="57"/>
        <v>0</v>
      </c>
    </row>
    <row r="247" spans="1:11" ht="15.5">
      <c r="C247" s="109"/>
      <c r="E247" s="84" t="s">
        <v>56</v>
      </c>
      <c r="F247" s="39">
        <f t="shared" ref="F247:H247" ca="1" si="67">F246</f>
        <v>0</v>
      </c>
      <c r="G247" s="39">
        <f t="shared" ca="1" si="67"/>
        <v>0</v>
      </c>
      <c r="H247" s="39">
        <f t="shared" ca="1" si="67"/>
        <v>0</v>
      </c>
      <c r="J247" s="33">
        <f t="shared" ca="1" si="56"/>
        <v>0</v>
      </c>
      <c r="K247" s="33">
        <f t="shared" ca="1" si="57"/>
        <v>0</v>
      </c>
    </row>
    <row r="248" spans="1:11" ht="15.75" hidden="1" customHeight="1">
      <c r="A248" s="1" t="s">
        <v>322</v>
      </c>
      <c r="C248" s="109"/>
      <c r="E248" s="9" t="str">
        <f ca="1">_xll.DBRW(Server&amp;"}ElementAttributes_Indicator",A248,"code_English")</f>
        <v>PL0000_RM - Risk management</v>
      </c>
      <c r="F248" s="33">
        <f ca="1">_xll.DBRW($C$1,$C$2,$C$3,$C$4,$C$6,$C$5,$C$7,F$1,F$2,$A248)</f>
        <v>0</v>
      </c>
      <c r="G248" s="33">
        <f ca="1">_xll.DBRW($C$1,$C$2,$C$3,$C$4,$C$6,$C$5,$C$7,G$1,G$2,$A248)</f>
        <v>0</v>
      </c>
      <c r="H248" s="33">
        <f ca="1">_xll.DBRW($C$1,$C$2,$C$3,$C$4,$C$6,$C$5,$C$7,H$1,H$2,$A248)</f>
        <v>0</v>
      </c>
      <c r="J248" s="33">
        <f t="shared" ca="1" si="56"/>
        <v>0</v>
      </c>
      <c r="K248" s="33">
        <f t="shared" ca="1" si="57"/>
        <v>0</v>
      </c>
    </row>
    <row r="249" spans="1:11" ht="15.5">
      <c r="C249" s="109"/>
      <c r="E249" s="84" t="s">
        <v>57</v>
      </c>
      <c r="F249" s="39">
        <f t="shared" ref="F249:H249" ca="1" si="68">F248</f>
        <v>0</v>
      </c>
      <c r="G249" s="39">
        <f t="shared" ca="1" si="68"/>
        <v>0</v>
      </c>
      <c r="H249" s="39">
        <f t="shared" ca="1" si="68"/>
        <v>0</v>
      </c>
      <c r="J249" s="33">
        <f t="shared" ca="1" si="56"/>
        <v>0</v>
      </c>
      <c r="K249" s="33">
        <f t="shared" ca="1" si="57"/>
        <v>0</v>
      </c>
    </row>
    <row r="250" spans="1:11" ht="15.75" hidden="1" customHeight="1">
      <c r="A250" s="1" t="s">
        <v>323</v>
      </c>
      <c r="C250" s="109"/>
      <c r="E250" s="9" t="str">
        <f ca="1">_xll.DBRW(Server&amp;"}ElementAttributes_Indicator",A250,"code_English")</f>
        <v>PL0000_SE - QHSE</v>
      </c>
      <c r="F250" s="33">
        <f ca="1">_xll.DBRW($C$1,$C$2,$C$3,$C$4,$C$6,$C$5,$C$7,F$1,F$2,$A250)</f>
        <v>0</v>
      </c>
      <c r="G250" s="33">
        <f ca="1">_xll.DBRW($C$1,$C$2,$C$3,$C$4,$C$6,$C$5,$C$7,G$1,G$2,$A250)</f>
        <v>0</v>
      </c>
      <c r="H250" s="33">
        <f ca="1">_xll.DBRW($C$1,$C$2,$C$3,$C$4,$C$6,$C$5,$C$7,H$1,H$2,$A250)</f>
        <v>0</v>
      </c>
      <c r="J250" s="33">
        <f t="shared" ca="1" si="56"/>
        <v>0</v>
      </c>
      <c r="K250" s="33">
        <f t="shared" ca="1" si="57"/>
        <v>0</v>
      </c>
    </row>
    <row r="251" spans="1:11" ht="15.5">
      <c r="C251" s="109"/>
      <c r="E251" s="84" t="s">
        <v>58</v>
      </c>
      <c r="F251" s="39">
        <f t="shared" ref="F251:H251" ca="1" si="69">F250</f>
        <v>0</v>
      </c>
      <c r="G251" s="39">
        <f t="shared" ca="1" si="69"/>
        <v>0</v>
      </c>
      <c r="H251" s="39">
        <f t="shared" ca="1" si="69"/>
        <v>0</v>
      </c>
      <c r="J251" s="33">
        <f t="shared" ca="1" si="56"/>
        <v>0</v>
      </c>
      <c r="K251" s="33">
        <f t="shared" ca="1" si="57"/>
        <v>0</v>
      </c>
    </row>
    <row r="252" spans="1:11" ht="15.75" hidden="1" customHeight="1">
      <c r="A252" s="1" t="s">
        <v>324</v>
      </c>
      <c r="C252" s="109"/>
      <c r="E252" s="9" t="str">
        <f ca="1">_xll.DBRW(Server&amp;"}ElementAttributes_Indicator",A252,"code_English")</f>
        <v>PL0000_TD - Technical department</v>
      </c>
      <c r="F252" s="33">
        <f ca="1">_xll.DBRW($C$1,$C$2,$C$3,$C$4,$C$6,$C$5,$C$7,F$1,F$2,$A252)</f>
        <v>0</v>
      </c>
      <c r="G252" s="33">
        <f ca="1">_xll.DBRW($C$1,$C$2,$C$3,$C$4,$C$6,$C$5,$C$7,G$1,G$2,$A252)</f>
        <v>0</v>
      </c>
      <c r="H252" s="33">
        <f ca="1">_xll.DBRW($C$1,$C$2,$C$3,$C$4,$C$6,$C$5,$C$7,H$1,H$2,$A252)</f>
        <v>0</v>
      </c>
      <c r="J252" s="33">
        <f t="shared" ca="1" si="56"/>
        <v>0</v>
      </c>
      <c r="K252" s="33">
        <f t="shared" ca="1" si="57"/>
        <v>0</v>
      </c>
    </row>
    <row r="253" spans="1:11" ht="15.5">
      <c r="C253" s="109"/>
      <c r="E253" s="84" t="s">
        <v>59</v>
      </c>
      <c r="F253" s="39">
        <f t="shared" ref="F253:H253" ca="1" si="70">F252</f>
        <v>0</v>
      </c>
      <c r="G253" s="39">
        <f t="shared" ca="1" si="70"/>
        <v>0</v>
      </c>
      <c r="H253" s="39">
        <f t="shared" ca="1" si="70"/>
        <v>0</v>
      </c>
      <c r="J253" s="33">
        <f t="shared" ca="1" si="56"/>
        <v>0</v>
      </c>
      <c r="K253" s="33">
        <f t="shared" ca="1" si="57"/>
        <v>0</v>
      </c>
    </row>
    <row r="254" spans="1:11" ht="15.75" hidden="1" customHeight="1">
      <c r="A254" s="1" t="s">
        <v>325</v>
      </c>
      <c r="C254" s="109"/>
      <c r="E254" s="9" t="str">
        <f ca="1">_xll.DBRW(Server&amp;"}ElementAttributes_Indicator",A254,"code_English")</f>
        <v>PL0000_TM - Tax Management</v>
      </c>
      <c r="F254" s="33">
        <f ca="1">_xll.DBRW($C$1,$C$2,$C$3,$C$4,$C$6,$C$5,$C$7,F$1,F$2,$A254)</f>
        <v>0</v>
      </c>
      <c r="G254" s="33">
        <f ca="1">_xll.DBRW($C$1,$C$2,$C$3,$C$4,$C$6,$C$5,$C$7,G$1,G$2,$A254)</f>
        <v>0</v>
      </c>
      <c r="H254" s="33">
        <f ca="1">_xll.DBRW($C$1,$C$2,$C$3,$C$4,$C$6,$C$5,$C$7,H$1,H$2,$A254)</f>
        <v>0</v>
      </c>
      <c r="J254" s="33">
        <f t="shared" ca="1" si="56"/>
        <v>0</v>
      </c>
      <c r="K254" s="33">
        <f t="shared" ca="1" si="57"/>
        <v>0</v>
      </c>
    </row>
    <row r="255" spans="1:11" ht="15.5">
      <c r="C255" s="109"/>
      <c r="E255" s="84" t="s">
        <v>60</v>
      </c>
      <c r="F255" s="39">
        <f t="shared" ref="F255:H255" ca="1" si="71">F254</f>
        <v>0</v>
      </c>
      <c r="G255" s="39">
        <f t="shared" ca="1" si="71"/>
        <v>0</v>
      </c>
      <c r="H255" s="39">
        <f t="shared" ca="1" si="71"/>
        <v>0</v>
      </c>
      <c r="J255" s="33">
        <f t="shared" ca="1" si="56"/>
        <v>0</v>
      </c>
      <c r="K255" s="33">
        <f t="shared" ca="1" si="57"/>
        <v>0</v>
      </c>
    </row>
    <row r="256" spans="1:11" ht="15.75" hidden="1" customHeight="1">
      <c r="A256" s="1" t="s">
        <v>326</v>
      </c>
      <c r="C256" s="109"/>
      <c r="E256" s="9" t="str">
        <f ca="1">_xll.DBRW(Server&amp;"}ElementAttributes_Indicator",A256,"code_English")</f>
        <v>PL0000_MGF - Management fees</v>
      </c>
      <c r="F256" s="33">
        <f ca="1">_xll.DBRW($C$1,$C$2,$C$3,$C$4,$C$6,$C$5,$C$7,F$1,F$2,$A256)</f>
        <v>0</v>
      </c>
      <c r="G256" s="33">
        <f ca="1">_xll.DBRW($C$1,$C$2,$C$3,$C$4,$C$6,$C$5,$C$7,G$1,G$2,$A256)</f>
        <v>0</v>
      </c>
      <c r="H256" s="33">
        <f ca="1">_xll.DBRW($C$1,$C$2,$C$3,$C$4,$C$6,$C$5,$C$7,H$1,H$2,$A256)</f>
        <v>0</v>
      </c>
      <c r="J256" s="33">
        <f t="shared" ca="1" si="56"/>
        <v>0</v>
      </c>
      <c r="K256" s="33">
        <f t="shared" ca="1" si="57"/>
        <v>0</v>
      </c>
    </row>
    <row r="257" spans="1:11" ht="15.5">
      <c r="C257" s="109"/>
      <c r="E257" s="84" t="s">
        <v>61</v>
      </c>
      <c r="F257" s="39">
        <f t="shared" ref="F257:H257" ca="1" si="72">F256</f>
        <v>0</v>
      </c>
      <c r="G257" s="39">
        <f t="shared" ca="1" si="72"/>
        <v>0</v>
      </c>
      <c r="H257" s="39">
        <f t="shared" ca="1" si="72"/>
        <v>0</v>
      </c>
      <c r="J257" s="33">
        <f t="shared" ca="1" si="56"/>
        <v>0</v>
      </c>
      <c r="K257" s="33">
        <f t="shared" ca="1" si="57"/>
        <v>0</v>
      </c>
    </row>
    <row r="258" spans="1:11" ht="15.75" hidden="1" customHeight="1">
      <c r="A258" s="1" t="s">
        <v>327</v>
      </c>
      <c r="C258" s="109"/>
      <c r="E258" s="9" t="str">
        <f ca="1">_xll.DBRW(Server&amp;"}ElementAttributes_Indicator",A258,"code_English")</f>
        <v>PL0000_TPL13 - G&amp;A Overhead costs - Vector Reconciliation</v>
      </c>
      <c r="F258" s="33">
        <f ca="1">_xll.DBRW($C$1,$C$2,$C$3,$C$4,$C$6,$C$5,$C$7,F$1,F$2,$A258)</f>
        <v>0</v>
      </c>
      <c r="G258" s="33">
        <f ca="1">_xll.DBRW($C$1,$C$2,$C$3,$C$4,$C$6,$C$5,$C$7,G$1,G$2,$A258)</f>
        <v>0</v>
      </c>
      <c r="H258" s="33">
        <f ca="1">_xll.DBRW($C$1,$C$2,$C$3,$C$4,$C$6,$C$5,$C$7,H$1,H$2,$A258)</f>
        <v>0</v>
      </c>
      <c r="J258" s="33">
        <f t="shared" ca="1" si="56"/>
        <v>0</v>
      </c>
      <c r="K258" s="33">
        <f t="shared" ca="1" si="57"/>
        <v>0</v>
      </c>
    </row>
    <row r="259" spans="1:11" ht="15.5">
      <c r="A259" s="1" t="s">
        <v>142</v>
      </c>
      <c r="C259" s="109"/>
      <c r="E259" s="23" t="s">
        <v>62</v>
      </c>
      <c r="F259" s="36">
        <f t="shared" ref="F259:H259" ca="1" si="73">F258</f>
        <v>0</v>
      </c>
      <c r="G259" s="36">
        <f t="shared" ca="1" si="73"/>
        <v>0</v>
      </c>
      <c r="H259" s="36">
        <f t="shared" ca="1" si="73"/>
        <v>0</v>
      </c>
      <c r="J259" s="33">
        <f t="shared" ca="1" si="56"/>
        <v>0</v>
      </c>
      <c r="K259" s="33">
        <f t="shared" ca="1" si="57"/>
        <v>0</v>
      </c>
    </row>
    <row r="260" spans="1:11" ht="15.5" collapsed="1">
      <c r="A260" s="1" t="s">
        <v>63</v>
      </c>
      <c r="C260" s="109"/>
      <c r="E260" s="11" t="s">
        <v>63</v>
      </c>
      <c r="F260" s="35">
        <f ca="1">F227+F229+F231+F233+F235+F237+F239+F241+F243+F245+F247+F249+F251+F253+F255+F257+F259</f>
        <v>0</v>
      </c>
      <c r="G260" s="35">
        <f t="shared" ref="G260:H260" ca="1" si="74">G227+G229+G231+G233+G235+G237+G239+G241+G243+G245+G247+G249+G251+G253+G255+G257+G259</f>
        <v>0</v>
      </c>
      <c r="H260" s="35">
        <f t="shared" ca="1" si="74"/>
        <v>0</v>
      </c>
      <c r="J260" s="31">
        <f ca="1">F260-G260</f>
        <v>0</v>
      </c>
      <c r="K260" s="31">
        <f ca="1">F260-H260</f>
        <v>0</v>
      </c>
    </row>
    <row r="261" spans="1:11" ht="15.75" hidden="1" customHeight="1">
      <c r="A261" s="1" t="s">
        <v>328</v>
      </c>
      <c r="C261" s="109"/>
      <c r="E261" s="9" t="str">
        <f ca="1">_xll.DBRW(Server&amp;"}ElementAttributes_Indicator",A261,"code_English")</f>
        <v>PL0000_OO - Other operating rev. &amp; exp.</v>
      </c>
      <c r="F261" s="32">
        <f ca="1">_xll.DBRW($C$1,$C$2,$C$3,$C$4,$C$6,$C$5,$C$7,F$1,F$2,$A261)</f>
        <v>0</v>
      </c>
      <c r="G261" s="32">
        <f ca="1">_xll.DBRW($C$1,$C$2,$C$3,$C$4,$C$6,$C$5,$C$7,G$1,G$2,$A261)</f>
        <v>0</v>
      </c>
      <c r="H261" s="32">
        <f ca="1">_xll.DBRW($C$1,$C$2,$C$3,$C$4,$C$6,$C$5,$C$7,H$1,H$2,$A261)</f>
        <v>0</v>
      </c>
    </row>
    <row r="262" spans="1:11" ht="15.75" hidden="1" customHeight="1">
      <c r="A262" s="1" t="s">
        <v>329</v>
      </c>
      <c r="C262" s="109"/>
      <c r="E262" s="9" t="str">
        <f ca="1">_xll.DBRW(Server&amp;"}ElementAttributes_Indicator",A262,"code_English")</f>
        <v>PL0000_TPL14 - Other operating rev. &amp; exp. - Vector Reconciliation</v>
      </c>
      <c r="F262" s="32">
        <f ca="1">_xll.DBRW($C$1,$C$2,$C$3,$C$4,$C$6,$C$5,$C$7,F$1,F$2,$A262)</f>
        <v>0</v>
      </c>
      <c r="G262" s="32">
        <f ca="1">_xll.DBRW($C$1,$C$2,$C$3,$C$4,$C$6,$C$5,$C$7,G$1,G$2,$A262)</f>
        <v>0</v>
      </c>
      <c r="H262" s="32">
        <f ca="1">_xll.DBRW($C$1,$C$2,$C$3,$C$4,$C$6,$C$5,$C$7,H$1,H$2,$A262)</f>
        <v>0</v>
      </c>
    </row>
    <row r="263" spans="1:11" ht="15.5" collapsed="1">
      <c r="A263" s="1" t="s">
        <v>142</v>
      </c>
      <c r="C263" s="109"/>
      <c r="E263" s="11" t="s">
        <v>64</v>
      </c>
      <c r="F263" s="35">
        <f t="shared" ref="F263:H263" ca="1" si="75">F261+F262</f>
        <v>0</v>
      </c>
      <c r="G263" s="35">
        <f t="shared" ca="1" si="75"/>
        <v>0</v>
      </c>
      <c r="H263" s="35">
        <f t="shared" ca="1" si="75"/>
        <v>0</v>
      </c>
      <c r="J263" s="31">
        <f ca="1">F263-G263</f>
        <v>0</v>
      </c>
      <c r="K263" s="31">
        <f ca="1">F263-H263</f>
        <v>0</v>
      </c>
    </row>
    <row r="264" spans="1:11" ht="15.75" hidden="1" customHeight="1">
      <c r="A264" s="1" t="s">
        <v>330</v>
      </c>
      <c r="C264" s="109"/>
      <c r="E264" s="9" t="str">
        <f ca="1">_xll.DBRW(Server&amp;"}ElementAttributes_Indicator",A264,"code_English")</f>
        <v>PL1500_JV - P&amp;L JV - Share in profit or loss of joint ventures (from 2013)</v>
      </c>
      <c r="F264" s="32">
        <f ca="1">_xll.DBRW($C$1,$C$2,$C$3,$C$4,$C$6,$C$5,$C$7,F$1,F$2,$A264)</f>
        <v>0</v>
      </c>
      <c r="G264" s="32">
        <f ca="1">_xll.DBRW($C$1,$C$2,$C$3,$C$4,$C$6,$C$5,$C$7,G$1,G$2,$A264)</f>
        <v>0</v>
      </c>
      <c r="H264" s="32">
        <f ca="1">_xll.DBRW($C$1,$C$2,$C$3,$C$4,$C$6,$C$5,$C$7,H$1,H$2,$A264)</f>
        <v>0</v>
      </c>
    </row>
    <row r="265" spans="1:11" ht="15.75" hidden="1" customHeight="1">
      <c r="A265" s="1" t="s">
        <v>331</v>
      </c>
      <c r="C265" s="109"/>
      <c r="E265" s="9" t="str">
        <f ca="1">_xll.DBRW(Server&amp;"}ElementAttributes_Indicator",A265,"code_English")</f>
        <v>PL1500_XX - Vector Reconciliation (TPL15) - Share in profit or loss of joint ventures (from 2013)</v>
      </c>
      <c r="F265" s="32">
        <f ca="1">_xll.DBRW($C$1,$C$2,$C$3,$C$4,$C$6,$C$5,$C$7,F$1,F$2,$A265)</f>
        <v>0</v>
      </c>
      <c r="G265" s="32">
        <f ca="1">_xll.DBRW($C$1,$C$2,$C$3,$C$4,$C$6,$C$5,$C$7,G$1,G$2,$A265)</f>
        <v>0</v>
      </c>
      <c r="H265" s="32">
        <f ca="1">_xll.DBRW($C$1,$C$2,$C$3,$C$4,$C$6,$C$5,$C$7,H$1,H$2,$A265)</f>
        <v>0</v>
      </c>
    </row>
    <row r="266" spans="1:11" ht="15.75" hidden="1" customHeight="1">
      <c r="A266" s="1" t="s">
        <v>332</v>
      </c>
      <c r="C266" s="109"/>
      <c r="E266" s="9" t="str">
        <f ca="1">_xll.DBRW(Server&amp;"}ElementAttributes_Indicator",A266,"code_English")</f>
        <v>PL1520_JV - P&amp;L JV - Impairment - Goodwill (joint ventures)  (from 2013)</v>
      </c>
      <c r="F266" s="32">
        <f ca="1">_xll.DBRW($C$1,$C$2,$C$3,$C$4,$C$6,$C$5,$C$7,F$1,F$2,$A266)</f>
        <v>0</v>
      </c>
      <c r="G266" s="32">
        <f ca="1">_xll.DBRW($C$1,$C$2,$C$3,$C$4,$C$6,$C$5,$C$7,G$1,G$2,$A266)</f>
        <v>0</v>
      </c>
      <c r="H266" s="32">
        <f ca="1">_xll.DBRW($C$1,$C$2,$C$3,$C$4,$C$6,$C$5,$C$7,H$1,H$2,$A266)</f>
        <v>0</v>
      </c>
    </row>
    <row r="267" spans="1:11" ht="15.75" hidden="1" customHeight="1">
      <c r="A267" s="1" t="s">
        <v>333</v>
      </c>
      <c r="C267" s="109"/>
      <c r="E267" s="9" t="str">
        <f ca="1">_xll.DBRW(Server&amp;"}ElementAttributes_Indicator",A267,"code_English")</f>
        <v>PL1520_XX - Vector Reconciliation (TPL15) - Impairment - Goodwill (joint ventures)  (from 2013)</v>
      </c>
      <c r="F267" s="32">
        <f ca="1">_xll.DBRW($C$1,$C$2,$C$3,$C$4,$C$6,$C$5,$C$7,F$1,F$2,$A267)</f>
        <v>0</v>
      </c>
      <c r="G267" s="32">
        <f ca="1">_xll.DBRW($C$1,$C$2,$C$3,$C$4,$C$6,$C$5,$C$7,G$1,G$2,$A267)</f>
        <v>0</v>
      </c>
      <c r="H267" s="32">
        <f ca="1">_xll.DBRW($C$1,$C$2,$C$3,$C$4,$C$6,$C$5,$C$7,H$1,H$2,$A267)</f>
        <v>0</v>
      </c>
    </row>
    <row r="268" spans="1:11" ht="15.5" collapsed="1">
      <c r="A268" s="1" t="s">
        <v>142</v>
      </c>
      <c r="C268" s="109"/>
      <c r="E268" s="11" t="s">
        <v>65</v>
      </c>
      <c r="F268" s="35">
        <f ca="1">SUM(F264:F267)</f>
        <v>0</v>
      </c>
      <c r="G268" s="35">
        <f ca="1">SUM(G264:G267)</f>
        <v>0</v>
      </c>
      <c r="H268" s="35">
        <f ca="1">SUM(H264:H267)</f>
        <v>0</v>
      </c>
      <c r="J268" s="31">
        <f ca="1">F268-G268</f>
        <v>0</v>
      </c>
      <c r="K268" s="31">
        <f ca="1">F268-H268</f>
        <v>0</v>
      </c>
    </row>
    <row r="269" spans="1:11" ht="15.75" hidden="1" customHeight="1">
      <c r="A269" s="1" t="s">
        <v>334</v>
      </c>
      <c r="C269" s="109"/>
      <c r="E269" s="9" t="str">
        <f ca="1">_xll.DBRW(Server&amp;"}ElementAttributes_Indicator",A269,"code_English")</f>
        <v>PL1600_AS - P&amp;L AS - Share in profit or loss of associates (from 2013)</v>
      </c>
      <c r="F269" s="32">
        <f ca="1">_xll.DBRW($C$1,$C$2,$C$3,$C$4,$C$6,$C$5,$C$7,F$1,F$2,$A269)</f>
        <v>0</v>
      </c>
      <c r="G269" s="32">
        <f ca="1">_xll.DBRW($C$1,$C$2,$C$3,$C$4,$C$6,$C$5,$C$7,G$1,G$2,$A269)</f>
        <v>0</v>
      </c>
      <c r="H269" s="32">
        <f ca="1">_xll.DBRW($C$1,$C$2,$C$3,$C$4,$C$6,$C$5,$C$7,H$1,H$2,$A269)</f>
        <v>0</v>
      </c>
    </row>
    <row r="270" spans="1:11" ht="15.75" hidden="1" customHeight="1">
      <c r="A270" s="1" t="s">
        <v>335</v>
      </c>
      <c r="C270" s="109"/>
      <c r="E270" s="9" t="str">
        <f ca="1">_xll.DBRW(Server&amp;"}ElementAttributes_Indicator",A270,"code_English")</f>
        <v>PL1600_XX - Vector Reconciliation (TPL16) - Share in profit or loss of associates (from 2013)</v>
      </c>
      <c r="F270" s="32">
        <f ca="1">_xll.DBRW($C$1,$C$2,$C$3,$C$4,$C$6,$C$5,$C$7,F$1,F$2,$A270)</f>
        <v>0</v>
      </c>
      <c r="G270" s="32">
        <f ca="1">_xll.DBRW($C$1,$C$2,$C$3,$C$4,$C$6,$C$5,$C$7,G$1,G$2,$A270)</f>
        <v>0</v>
      </c>
      <c r="H270" s="32">
        <f ca="1">_xll.DBRW($C$1,$C$2,$C$3,$C$4,$C$6,$C$5,$C$7,H$1,H$2,$A270)</f>
        <v>0</v>
      </c>
    </row>
    <row r="271" spans="1:11" ht="15.75" hidden="1" customHeight="1">
      <c r="A271" s="1" t="s">
        <v>336</v>
      </c>
      <c r="C271" s="109"/>
      <c r="E271" s="9" t="str">
        <f ca="1">_xll.DBRW(Server&amp;"}ElementAttributes_Indicator",A271,"code_English")</f>
        <v>PL1620_AS - P&amp;L AS - Impairment - Goodwill (Associates) (from 2013)</v>
      </c>
      <c r="F271" s="32">
        <f ca="1">_xll.DBRW($C$1,$C$2,$C$3,$C$4,$C$6,$C$5,$C$7,F$1,F$2,$A271)</f>
        <v>0</v>
      </c>
      <c r="G271" s="32">
        <f ca="1">_xll.DBRW($C$1,$C$2,$C$3,$C$4,$C$6,$C$5,$C$7,G$1,G$2,$A271)</f>
        <v>0</v>
      </c>
      <c r="H271" s="32">
        <f ca="1">_xll.DBRW($C$1,$C$2,$C$3,$C$4,$C$6,$C$5,$C$7,H$1,H$2,$A271)</f>
        <v>0</v>
      </c>
    </row>
    <row r="272" spans="1:11" ht="15.75" hidden="1" customHeight="1">
      <c r="A272" s="1" t="s">
        <v>337</v>
      </c>
      <c r="C272" s="109"/>
      <c r="E272" s="9" t="str">
        <f ca="1">_xll.DBRW(Server&amp;"}ElementAttributes_Indicator",A272,"code_English")</f>
        <v>PL1620_XX - Vector Reconciliation (TPL16) - Impairment - Goodwill (Associates) (from 2013)</v>
      </c>
      <c r="F272" s="32">
        <f ca="1">_xll.DBRW($C$1,$C$2,$C$3,$C$4,$C$6,$C$5,$C$7,F$1,F$2,$A272)</f>
        <v>0</v>
      </c>
      <c r="G272" s="32">
        <f ca="1">_xll.DBRW($C$1,$C$2,$C$3,$C$4,$C$6,$C$5,$C$7,G$1,G$2,$A272)</f>
        <v>0</v>
      </c>
      <c r="H272" s="32">
        <f ca="1">_xll.DBRW($C$1,$C$2,$C$3,$C$4,$C$6,$C$5,$C$7,H$1,H$2,$A272)</f>
        <v>0</v>
      </c>
    </row>
    <row r="273" spans="1:11" ht="15.5">
      <c r="A273" s="1" t="s">
        <v>338</v>
      </c>
      <c r="C273" s="109"/>
      <c r="E273" s="11" t="s">
        <v>66</v>
      </c>
      <c r="F273" s="35">
        <f t="shared" ref="F273:H273" ca="1" si="76">SUM(F269:F272)</f>
        <v>0</v>
      </c>
      <c r="G273" s="35">
        <f t="shared" ca="1" si="76"/>
        <v>0</v>
      </c>
      <c r="H273" s="35">
        <f t="shared" ca="1" si="76"/>
        <v>0</v>
      </c>
      <c r="J273" s="31">
        <f ca="1">F273-G273</f>
        <v>0</v>
      </c>
      <c r="K273" s="31">
        <f ca="1">F273-H273</f>
        <v>0</v>
      </c>
    </row>
    <row r="274" spans="1:11" ht="15.5" hidden="1" customHeight="1">
      <c r="A274" s="1" t="s">
        <v>339</v>
      </c>
      <c r="C274" s="109"/>
      <c r="E274" s="9" t="str">
        <f ca="1">_xll.DBRW(Server&amp;"}ElementAttributes_Indicator",A274,"code_English")</f>
        <v>RESOP_bef_mgmt_fees - OPERATING PROFIT bef. Mgmt &amp; Brand fees</v>
      </c>
      <c r="F274" s="32">
        <f ca="1">_xll.DBRW($C$1,$C$2,$C$3,$C$4,$C$6,$C$5,$C$7,F$1,F$2,$A274)</f>
        <v>0</v>
      </c>
      <c r="G274" s="32">
        <f ca="1">_xll.DBRW($C$1,$C$2,$C$3,$C$4,$C$6,$C$5,$C$7,G$1,G$2,$A274)</f>
        <v>0</v>
      </c>
      <c r="H274" s="32">
        <f ca="1">_xll.DBRW($C$1,$C$2,$C$3,$C$4,$C$6,$C$5,$C$7,H$1,H$2,$A274)</f>
        <v>0</v>
      </c>
    </row>
    <row r="275" spans="1:11" ht="15.5" collapsed="1">
      <c r="A275" s="1" t="s">
        <v>142</v>
      </c>
      <c r="C275" s="109"/>
      <c r="E275" s="20" t="s">
        <v>68</v>
      </c>
      <c r="F275" s="37">
        <f ca="1">F274</f>
        <v>0</v>
      </c>
      <c r="G275" s="37">
        <f t="shared" ref="G275:H275" ca="1" si="77">G274</f>
        <v>0</v>
      </c>
      <c r="H275" s="37">
        <f t="shared" ca="1" si="77"/>
        <v>0</v>
      </c>
      <c r="J275" s="98">
        <f ca="1">F275-G275</f>
        <v>0</v>
      </c>
      <c r="K275" s="98" t="e">
        <f ca="1">F278-H278</f>
        <v>#VALUE!</v>
      </c>
    </row>
    <row r="276" spans="1:11" ht="15.5" hidden="1" customHeight="1">
      <c r="A276" s="1" t="s">
        <v>340</v>
      </c>
      <c r="C276" s="109"/>
      <c r="E276" s="9" t="str">
        <f ca="1">_xll.DBRW(Server&amp;"}ElementAttributes_Indicator",A276,"code_English")</f>
        <v>TPL1_nat - OPERATING PROFIT (by nature)</v>
      </c>
      <c r="F276" s="32">
        <f ca="1">_xll.DBRW($C$1,$C$2,$C$3,$C$4,$C$6,$C$5,$C$7,F$1,F$2,$A276)</f>
        <v>0</v>
      </c>
      <c r="G276" s="32">
        <f ca="1">_xll.DBRW($C$1,$C$2,$C$3,$C$4,$C$6,$C$5,$C$7,G$1,G$2,$A276)</f>
        <v>0</v>
      </c>
      <c r="H276" s="32">
        <f ca="1">_xll.DBRW($C$1,$C$2,$C$3,$C$4,$C$6,$C$5,$C$7,H$1,H$2,$A276)</f>
        <v>0</v>
      </c>
    </row>
    <row r="277" spans="1:11" ht="15.5" collapsed="1">
      <c r="A277" s="1" t="s">
        <v>142</v>
      </c>
      <c r="C277" s="109"/>
      <c r="E277" s="20" t="s">
        <v>69</v>
      </c>
      <c r="F277" s="37">
        <f ca="1">F276</f>
        <v>0</v>
      </c>
      <c r="G277" s="37">
        <f t="shared" ref="G277:H277" ca="1" si="78">G276</f>
        <v>0</v>
      </c>
      <c r="H277" s="37">
        <f t="shared" ca="1" si="78"/>
        <v>0</v>
      </c>
      <c r="J277" s="98">
        <f ca="1">F277-G277</f>
        <v>0</v>
      </c>
      <c r="K277" s="98">
        <f>F280-H280</f>
        <v>0</v>
      </c>
    </row>
    <row r="278" spans="1:11" ht="14.5">
      <c r="A278" s="1" t="s">
        <v>142</v>
      </c>
      <c r="C278" s="109"/>
      <c r="E278" s="21" t="s">
        <v>70</v>
      </c>
      <c r="F278" s="22" t="str">
        <f ca="1">IFERROR(F277/F23,"-")</f>
        <v>-</v>
      </c>
      <c r="G278" s="22" t="str">
        <f t="shared" ref="G278:H278" ca="1" si="79">IFERROR(G277/G23,"-")</f>
        <v>-</v>
      </c>
      <c r="H278" s="22" t="str">
        <f t="shared" ca="1" si="79"/>
        <v>-</v>
      </c>
    </row>
    <row r="279" spans="1:11" ht="14.5">
      <c r="A279" s="1" t="s">
        <v>142</v>
      </c>
      <c r="C279" s="26"/>
      <c r="E279" s="27"/>
      <c r="F279" s="52">
        <f ca="1">ROUND(F277-F223-F260-F263-F268-F273,4)</f>
        <v>0</v>
      </c>
      <c r="G279" s="52">
        <f t="shared" ref="G279" ca="1" si="80">ROUND(G277-G223-G260-G263-G268-G273,4)</f>
        <v>0</v>
      </c>
      <c r="H279" s="52">
        <f ca="1">ROUND(H277-H223-H260-H263-H268-H273,4)</f>
        <v>0</v>
      </c>
    </row>
    <row r="280" spans="1:11" ht="15.5">
      <c r="A280" s="1" t="s">
        <v>142</v>
      </c>
      <c r="E280" s="7"/>
      <c r="F280" s="28"/>
      <c r="G280" s="28"/>
      <c r="H280" s="28"/>
    </row>
    <row r="281" spans="1:11" ht="15.5" hidden="1" customHeight="1">
      <c r="A281" s="1" t="s">
        <v>341</v>
      </c>
      <c r="E281" s="9" t="str">
        <f ca="1">_xll.DBRW(Server&amp;"}ElementAttributes_Indicator",A281,"code_English")</f>
        <v>CAPEX_RS - Gross industrial CAPEX - Rolling stock</v>
      </c>
      <c r="F281" s="10">
        <f ca="1">_xll.DBRW($C$1,$C$2,$C$3,$C$4,$C$6,$C$5,$C$7,F$1,F$2,$A281)</f>
        <v>0</v>
      </c>
      <c r="G281" s="10">
        <f ca="1">_xll.DBRW($C$1,$C$2,$C$3,$C$4,$C$6,$C$5,$C$7,G$1,G$2,$A281)</f>
        <v>0</v>
      </c>
      <c r="H281" s="10">
        <f ca="1">_xll.DBRW($C$1,$C$2,$C$3,$C$4,$C$6,$C$5,$C$7,H$1,H$2,$A281)</f>
        <v>0</v>
      </c>
    </row>
    <row r="282" spans="1:11" ht="15.5" hidden="1" customHeight="1">
      <c r="A282" s="1" t="s">
        <v>342</v>
      </c>
      <c r="E282" s="9" t="str">
        <f ca="1">_xll.DBRW(Server&amp;"}ElementAttributes_Indicator",A282,"code_English")</f>
        <v>DISP_RS - Industrial Disposals - Rolling stock</v>
      </c>
      <c r="F282" s="10">
        <f ca="1">_xll.DBRW($C$1,$C$2,$C$3,$C$4,$C$6,$C$5,$C$7,F$1,F$2,$A282)</f>
        <v>0</v>
      </c>
      <c r="G282" s="10">
        <f ca="1">_xll.DBRW($C$1,$C$2,$C$3,$C$4,$C$6,$C$5,$C$7,G$1,G$2,$A282)</f>
        <v>0</v>
      </c>
      <c r="H282" s="10">
        <f ca="1">_xll.DBRW($C$1,$C$2,$C$3,$C$4,$C$6,$C$5,$C$7,H$1,H$2,$A282)</f>
        <v>0</v>
      </c>
    </row>
    <row r="283" spans="1:11" ht="15.75" customHeight="1" collapsed="1">
      <c r="C283" s="109" t="s">
        <v>71</v>
      </c>
      <c r="E283" s="86" t="s">
        <v>72</v>
      </c>
      <c r="F283" s="40">
        <f t="shared" ref="F283:H283" ca="1" si="81">SUM(F281:F282)</f>
        <v>0</v>
      </c>
      <c r="G283" s="40">
        <f t="shared" ca="1" si="81"/>
        <v>0</v>
      </c>
      <c r="H283" s="40">
        <f t="shared" ca="1" si="81"/>
        <v>0</v>
      </c>
      <c r="J283" s="100">
        <f t="shared" ref="J283" ca="1" si="82">F283-G283</f>
        <v>0</v>
      </c>
      <c r="K283" s="100">
        <f t="shared" ref="K283" ca="1" si="83">F283-H283</f>
        <v>0</v>
      </c>
    </row>
    <row r="284" spans="1:11" ht="15.75" hidden="1" customHeight="1">
      <c r="A284" s="1" t="s">
        <v>343</v>
      </c>
      <c r="C284" s="109"/>
      <c r="E284" s="9" t="str">
        <f ca="1">_xll.DBRW(Server&amp;"}ElementAttributes_Indicator",A284,"code_English")</f>
        <v>CAPEX_BE - Gross industrial CAPEX - Buildings plants &amp; equipment</v>
      </c>
      <c r="F284" s="33">
        <f ca="1">_xll.DBRW($C$1,$C$2,$C$3,$C$4,$C$6,$C$5,$C$7,F$1,F$2,$A284)</f>
        <v>0</v>
      </c>
      <c r="G284" s="33">
        <f ca="1">_xll.DBRW($C$1,$C$2,$C$3,$C$4,$C$6,$C$5,$C$7,G$1,G$2,$A284)</f>
        <v>0</v>
      </c>
      <c r="H284" s="33">
        <f ca="1">_xll.DBRW($C$1,$C$2,$C$3,$C$4,$C$6,$C$5,$C$7,H$1,H$2,$A284)</f>
        <v>0</v>
      </c>
      <c r="J284" s="33">
        <f t="shared" ref="J284:J292" ca="1" si="84">F284-G284</f>
        <v>0</v>
      </c>
      <c r="K284" s="33">
        <f t="shared" ref="K284:K292" ca="1" si="85">F284-H284</f>
        <v>0</v>
      </c>
    </row>
    <row r="285" spans="1:11" ht="15.75" hidden="1" customHeight="1">
      <c r="A285" s="1" t="s">
        <v>344</v>
      </c>
      <c r="C285" s="109"/>
      <c r="E285" s="9" t="s">
        <v>381</v>
      </c>
      <c r="F285" s="33">
        <f ca="1">_xll.DBRW($C$1,$C$2,$C$3,$C$4,$C$6,$C$5,$C$7,F$1,F$2,$A285)</f>
        <v>0</v>
      </c>
      <c r="G285" s="33">
        <f ca="1">_xll.DBRW($C$1,$C$2,$C$3,$C$4,$C$6,$C$5,$C$7,G$1,G$2,$A285)</f>
        <v>0</v>
      </c>
      <c r="H285" s="33">
        <f ca="1">_xll.DBRW($C$1,$C$2,$C$3,$C$4,$C$6,$C$5,$C$7,H$1,H$2,$A285)</f>
        <v>0</v>
      </c>
      <c r="J285" s="33">
        <f t="shared" ca="1" si="84"/>
        <v>0</v>
      </c>
      <c r="K285" s="33">
        <f t="shared" ca="1" si="85"/>
        <v>0</v>
      </c>
    </row>
    <row r="286" spans="1:11" ht="15.5" collapsed="1">
      <c r="C286" s="109"/>
      <c r="E286" s="84" t="s">
        <v>73</v>
      </c>
      <c r="F286" s="39">
        <f t="shared" ref="F286:H286" ca="1" si="86">SUM(F284:F285)</f>
        <v>0</v>
      </c>
      <c r="G286" s="39">
        <f t="shared" ca="1" si="86"/>
        <v>0</v>
      </c>
      <c r="H286" s="39">
        <f t="shared" ca="1" si="86"/>
        <v>0</v>
      </c>
      <c r="J286" s="33">
        <f t="shared" ca="1" si="84"/>
        <v>0</v>
      </c>
      <c r="K286" s="33">
        <f t="shared" ca="1" si="85"/>
        <v>0</v>
      </c>
    </row>
    <row r="287" spans="1:11" ht="15.75" hidden="1" customHeight="1">
      <c r="A287" s="1" t="s">
        <v>368</v>
      </c>
      <c r="C287" s="109"/>
      <c r="E287" s="9" t="str">
        <f ca="1">_xll.DBRW(Server&amp;"}ElementAttributes_Indicator",A287,"code_English")</f>
        <v>CAPEX_IT - Gross industrial CAPEX - IT</v>
      </c>
      <c r="F287" s="33"/>
      <c r="G287" s="33"/>
      <c r="H287" s="33"/>
      <c r="J287" s="33">
        <f t="shared" ca="1" si="84"/>
        <v>0</v>
      </c>
      <c r="K287" s="33">
        <f t="shared" si="85"/>
        <v>0</v>
      </c>
    </row>
    <row r="288" spans="1:11" ht="15.75" hidden="1" customHeight="1">
      <c r="A288" s="1" t="s">
        <v>369</v>
      </c>
      <c r="C288" s="109"/>
      <c r="E288" s="9" t="str">
        <f ca="1">_xll.DBRW(Server&amp;"}ElementAttributes_Indicator",A288,"code_English")</f>
        <v>DISP_IT - Industrial Disposals - IT</v>
      </c>
      <c r="F288" s="33"/>
      <c r="G288" s="33"/>
      <c r="H288" s="33"/>
      <c r="J288" s="33">
        <f t="shared" ca="1" si="84"/>
        <v>0</v>
      </c>
      <c r="K288" s="33">
        <f t="shared" si="85"/>
        <v>0</v>
      </c>
    </row>
    <row r="289" spans="1:11" ht="15.5" collapsed="1">
      <c r="C289" s="109"/>
      <c r="E289" s="84" t="s">
        <v>74</v>
      </c>
      <c r="F289" s="39">
        <f>SUM(F287:F288)</f>
        <v>0</v>
      </c>
      <c r="G289" s="39">
        <f t="shared" ref="G289:H289" si="87">SUM(G287:G288)</f>
        <v>0</v>
      </c>
      <c r="H289" s="39">
        <f t="shared" si="87"/>
        <v>0</v>
      </c>
      <c r="J289" s="33">
        <f t="shared" ca="1" si="84"/>
        <v>0</v>
      </c>
      <c r="K289" s="33">
        <f t="shared" si="85"/>
        <v>0</v>
      </c>
    </row>
    <row r="290" spans="1:11" ht="15.75" hidden="1" customHeight="1">
      <c r="A290" s="1" t="s">
        <v>345</v>
      </c>
      <c r="C290" s="109"/>
      <c r="E290" s="9" t="str">
        <f ca="1">_xll.DBRW(Server&amp;"}ElementAttributes_Indicator",A290,"code_English")</f>
        <v>CAPEX_Other - Gross industrial CAPEX - Other</v>
      </c>
      <c r="F290" s="33">
        <f ca="1">_xll.DBRW($C$1,$C$2,$C$3,$C$4,$C$6,$C$5,$C$7,F$1,F$2,$A290)</f>
        <v>0</v>
      </c>
      <c r="G290" s="33">
        <f ca="1">_xll.DBRW($C$1,$C$2,$C$3,$C$4,$C$6,$C$5,$C$7,G$1,G$2,$A290)</f>
        <v>0</v>
      </c>
      <c r="H290" s="33">
        <f ca="1">_xll.DBRW($C$1,$C$2,$C$3,$C$4,$C$6,$C$5,$C$7,H$1,H$2,$A290)</f>
        <v>0</v>
      </c>
      <c r="J290" s="33">
        <f t="shared" ca="1" si="84"/>
        <v>0</v>
      </c>
      <c r="K290" s="33">
        <f t="shared" ca="1" si="85"/>
        <v>0</v>
      </c>
    </row>
    <row r="291" spans="1:11" ht="15.75" hidden="1" customHeight="1">
      <c r="A291" s="1" t="s">
        <v>346</v>
      </c>
      <c r="C291" s="109"/>
      <c r="E291" s="9" t="str">
        <f ca="1">_xll.DBRW(Server&amp;"}ElementAttributes_Indicator",A291,"code_English")</f>
        <v>DISP_Other - Industrial Disposals - Other</v>
      </c>
      <c r="F291" s="33">
        <f ca="1">_xll.DBRW($C$1,$C$2,$C$3,$C$4,$C$6,$C$5,$C$7,F$1,F$2,$A291)</f>
        <v>0</v>
      </c>
      <c r="G291" s="33">
        <f ca="1">_xll.DBRW($C$1,$C$2,$C$3,$C$4,$C$6,$C$5,$C$7,G$1,G$2,$A291)</f>
        <v>0</v>
      </c>
      <c r="H291" s="33">
        <f ca="1">_xll.DBRW($C$1,$C$2,$C$3,$C$4,$C$6,$C$5,$C$7,H$1,H$2,$A291)</f>
        <v>0</v>
      </c>
      <c r="J291" s="33">
        <f t="shared" ca="1" si="84"/>
        <v>0</v>
      </c>
      <c r="K291" s="33">
        <f t="shared" ca="1" si="85"/>
        <v>0</v>
      </c>
    </row>
    <row r="292" spans="1:11" ht="15.5" collapsed="1">
      <c r="C292" s="109"/>
      <c r="E292" s="87" t="s">
        <v>75</v>
      </c>
      <c r="F292" s="41">
        <f t="shared" ref="F292:H292" ca="1" si="88">SUM(F290:F291)</f>
        <v>0</v>
      </c>
      <c r="G292" s="41">
        <f t="shared" ca="1" si="88"/>
        <v>0</v>
      </c>
      <c r="H292" s="41">
        <f t="shared" ca="1" si="88"/>
        <v>0</v>
      </c>
      <c r="J292" s="33">
        <f t="shared" ca="1" si="84"/>
        <v>0</v>
      </c>
      <c r="K292" s="33">
        <f t="shared" ca="1" si="85"/>
        <v>0</v>
      </c>
    </row>
    <row r="293" spans="1:11" ht="15.5">
      <c r="A293" s="1" t="s">
        <v>142</v>
      </c>
      <c r="C293" s="109"/>
      <c r="E293" s="11" t="s">
        <v>76</v>
      </c>
      <c r="F293" s="35">
        <f t="shared" ref="F293:H293" ca="1" si="89">F283+F286+F292</f>
        <v>0</v>
      </c>
      <c r="G293" s="35">
        <f t="shared" ca="1" si="89"/>
        <v>0</v>
      </c>
      <c r="H293" s="35">
        <f t="shared" ca="1" si="89"/>
        <v>0</v>
      </c>
      <c r="J293" s="31">
        <f ca="1">F293-G293</f>
        <v>0</v>
      </c>
      <c r="K293" s="31">
        <f ca="1">F293-H293</f>
        <v>0</v>
      </c>
    </row>
    <row r="294" spans="1:11" ht="9" customHeight="1">
      <c r="A294" s="1" t="s">
        <v>142</v>
      </c>
      <c r="C294" s="109"/>
      <c r="E294" s="7"/>
      <c r="F294" s="8"/>
      <c r="G294" s="8"/>
      <c r="H294" s="8"/>
    </row>
    <row r="295" spans="1:11" ht="15.75" customHeight="1">
      <c r="A295" s="1" t="s">
        <v>142</v>
      </c>
      <c r="C295" s="109"/>
      <c r="E295" s="7"/>
      <c r="F295" s="8"/>
      <c r="G295" s="8"/>
      <c r="H295" s="8"/>
    </row>
    <row r="296" spans="1:11" ht="15.75" hidden="1" customHeight="1">
      <c r="A296" s="1" t="s">
        <v>339</v>
      </c>
      <c r="C296" s="109"/>
      <c r="E296" s="84" t="s">
        <v>67</v>
      </c>
      <c r="F296" s="39">
        <f ca="1">_xll.DBRW($C$1,$C$2,$C$3,$C$4,$C$6,$C$5,$C$7,F$1,F$2,$A296)</f>
        <v>0</v>
      </c>
      <c r="G296" s="39">
        <f ca="1">_xll.DBRW($C$1,$C$2,$C$3,$C$4,$C$6,$C$5,$C$7,G$1,G$2,$A296)</f>
        <v>0</v>
      </c>
      <c r="H296" s="39">
        <f ca="1">_xll.DBRW($C$1,$C$2,$C$3,$C$4,$C$6,$C$5,$C$7,H$1,H$2,$A296)</f>
        <v>0</v>
      </c>
    </row>
    <row r="297" spans="1:11" ht="15.75" hidden="1" customHeight="1">
      <c r="A297" s="1" t="s">
        <v>347</v>
      </c>
      <c r="C297" s="109"/>
      <c r="E297" s="84" t="s">
        <v>77</v>
      </c>
      <c r="F297" s="39">
        <f ca="1">_xll.DBRW($C$1,$C$2,$C$3,$C$4,$C$6,$C$5,$C$7,F$1,F$2,$A297)</f>
        <v>0</v>
      </c>
      <c r="G297" s="39">
        <f ca="1">_xll.DBRW($C$1,$C$2,$C$3,$C$4,$C$6,$C$5,$C$7,G$1,G$2,$A297)</f>
        <v>0</v>
      </c>
      <c r="H297" s="39">
        <f ca="1">_xll.DBRW($C$1,$C$2,$C$3,$C$4,$C$6,$C$5,$C$7,H$1,H$2,$A297)</f>
        <v>0</v>
      </c>
    </row>
    <row r="298" spans="1:11" ht="15.75" customHeight="1">
      <c r="A298" s="1" t="s">
        <v>142</v>
      </c>
      <c r="C298" s="109"/>
      <c r="E298" s="15" t="s">
        <v>78</v>
      </c>
      <c r="F298" s="39">
        <f ca="1">(-F23+F297)*0.8%</f>
        <v>0</v>
      </c>
      <c r="G298" s="39">
        <f t="shared" ref="G298:H298" ca="1" si="90">(-G23+G297)*0.8%</f>
        <v>0</v>
      </c>
      <c r="H298" s="39">
        <f t="shared" ca="1" si="90"/>
        <v>0</v>
      </c>
      <c r="J298" s="33">
        <f t="shared" ref="J298" ca="1" si="91">F298-G298</f>
        <v>0</v>
      </c>
      <c r="K298" s="33">
        <f t="shared" ref="K298" ca="1" si="92">F298-H298</f>
        <v>0</v>
      </c>
    </row>
    <row r="299" spans="1:11" ht="15.75" customHeight="1">
      <c r="A299" s="1" t="s">
        <v>142</v>
      </c>
      <c r="C299" s="109"/>
      <c r="E299" s="15" t="s">
        <v>79</v>
      </c>
      <c r="F299" s="39">
        <f ca="1">F296-F297+F298</f>
        <v>0</v>
      </c>
      <c r="G299" s="39">
        <f t="shared" ref="G299:H299" ca="1" si="93">G296-G297+G298</f>
        <v>0</v>
      </c>
      <c r="H299" s="39">
        <f t="shared" ca="1" si="93"/>
        <v>0</v>
      </c>
      <c r="J299" s="33">
        <f t="shared" ref="J299:J300" ca="1" si="94">F299-G299</f>
        <v>0</v>
      </c>
      <c r="K299" s="33">
        <f t="shared" ref="K299:K300" ca="1" si="95">F299-H299</f>
        <v>0</v>
      </c>
    </row>
    <row r="300" spans="1:11" ht="15.5" collapsed="1">
      <c r="A300" s="1" t="s">
        <v>348</v>
      </c>
      <c r="C300" s="109"/>
      <c r="E300" s="88" t="s">
        <v>80</v>
      </c>
      <c r="F300" s="40">
        <f ca="1">_xll.DBRW($C$1,$C$2,$C$3,$C$4,$C$6,$C$5,$C$7,F$1,F$2,$A300)</f>
        <v>0</v>
      </c>
      <c r="G300" s="40">
        <f ca="1">_xll.DBRW($C$1,$C$2,$C$3,$C$4,$C$6,$C$5,$C$7,G$1,G$2,$A300)</f>
        <v>0</v>
      </c>
      <c r="H300" s="40">
        <f ca="1">_xll.DBRW($C$1,$C$2,$C$3,$C$4,$C$6,$C$5,$C$7,H$1,H$2,$A300)</f>
        <v>0</v>
      </c>
      <c r="J300" s="101">
        <f t="shared" ca="1" si="94"/>
        <v>0</v>
      </c>
      <c r="K300" s="101">
        <f t="shared" ca="1" si="95"/>
        <v>0</v>
      </c>
    </row>
    <row r="301" spans="1:11" ht="15.5">
      <c r="A301" s="1" t="s">
        <v>142</v>
      </c>
      <c r="C301" s="109"/>
      <c r="E301" s="11" t="s">
        <v>81</v>
      </c>
      <c r="F301" s="42" t="str">
        <f ca="1">IF(F300&lt;=0,"n/a",F299/AVERAGE(F300:G300))</f>
        <v>n/a</v>
      </c>
      <c r="G301" s="42" t="str">
        <f t="shared" ref="G301:H301" ca="1" si="96">IF(G300&lt;=0,"n/a",G299/AVERAGE(F300:G300))</f>
        <v>n/a</v>
      </c>
      <c r="H301" s="42" t="str">
        <f t="shared" ca="1" si="96"/>
        <v>n/a</v>
      </c>
      <c r="J301" s="31" t="e">
        <f ca="1">F301-G301</f>
        <v>#VALUE!</v>
      </c>
      <c r="K301" s="31" t="e">
        <f ca="1">F301-H301</f>
        <v>#VALUE!</v>
      </c>
    </row>
    <row r="302" spans="1:11" ht="15.5">
      <c r="A302" s="1" t="s">
        <v>142</v>
      </c>
      <c r="C302" s="26"/>
      <c r="E302" s="62" t="s">
        <v>82</v>
      </c>
      <c r="F302" s="55"/>
      <c r="G302" s="55"/>
      <c r="H302" s="55"/>
    </row>
    <row r="303" spans="1:11" ht="15.5">
      <c r="A303" s="1" t="s">
        <v>142</v>
      </c>
      <c r="E303" s="19"/>
      <c r="F303" s="30"/>
      <c r="G303" s="30"/>
      <c r="H303" s="30"/>
    </row>
    <row r="304" spans="1:11" ht="15.5" hidden="1" customHeight="1">
      <c r="A304" s="1" t="s">
        <v>349</v>
      </c>
      <c r="E304" s="9" t="str">
        <f ca="1">_xll.DBRW(Server&amp;"}ElementAttributes_Indicator",A304,"code_English")</f>
        <v>Tot_km - Total KM self driven</v>
      </c>
      <c r="F304" s="16">
        <f ca="1">_xll.DBRW($C$1,$C$2,$C$3,$C$4,$C$6,$C$5,$C$7,F$1,F$2,$A304)</f>
        <v>0</v>
      </c>
      <c r="G304" s="16">
        <f ca="1">_xll.DBRW($C$1,$C$2,$C$3,$C$4,$C$6,$C$5,$C$7,G$1,G$2,$A304)</f>
        <v>0</v>
      </c>
      <c r="H304" s="16">
        <f ca="1">_xll.DBRW($C$1,$C$2,$C$3,$C$4,$C$6,$C$5,$C$7,H$1,H$2,$A304)</f>
        <v>0</v>
      </c>
    </row>
    <row r="305" spans="1:11" ht="15.5" hidden="1" customHeight="1">
      <c r="A305" s="75" t="s">
        <v>358</v>
      </c>
      <c r="B305" s="75"/>
      <c r="E305" s="9" t="str">
        <f ca="1">_xll.DBRW(Server&amp;"}ElementAttributes_Indicator",A305,"code_English")</f>
        <v>Tot_km_bus_coach - Total KM driven by buses/coaches</v>
      </c>
      <c r="F305" s="39">
        <f ca="1">_xll.DBRW($C$1,$C$2,$C$3,$C$4,$C$6,$C$5,$C$7,F$1,F$2,$A305)</f>
        <v>0</v>
      </c>
      <c r="G305" s="39">
        <f ca="1">_xll.DBRW($C$1,$C$2,$C$3,$C$4,$C$6,$C$5,$C$7,G$1,G$2,$A305)</f>
        <v>0</v>
      </c>
      <c r="H305" s="39">
        <f ca="1">_xll.DBRW($C$1,$C$2,$C$3,$C$4,$C$6,$C$5,$C$7,H$1,H$2,$A305)</f>
        <v>0</v>
      </c>
    </row>
    <row r="306" spans="1:11" ht="15.5" hidden="1" customHeight="1">
      <c r="A306" s="75" t="s">
        <v>359</v>
      </c>
      <c r="B306" s="75"/>
      <c r="E306" s="9" t="str">
        <f ca="1">_xll.DBRW(Server&amp;"}ElementAttributes_Indicator",A306,"code_English")</f>
        <v>Tot_km_light_vehicle - Total KM driven by light vehicles</v>
      </c>
      <c r="F306" s="39">
        <f ca="1">_xll.DBRW($C$1,$C$2,$C$3,$C$4,$C$6,$C$5,$C$7,F$1,F$2,$A306)</f>
        <v>0</v>
      </c>
      <c r="G306" s="39">
        <f ca="1">_xll.DBRW($C$1,$C$2,$C$3,$C$4,$C$6,$C$5,$C$7,G$1,G$2,$A306)</f>
        <v>0</v>
      </c>
      <c r="H306" s="39">
        <f ca="1">_xll.DBRW($C$1,$C$2,$C$3,$C$4,$C$6,$C$5,$C$7,H$1,H$2,$A306)</f>
        <v>0</v>
      </c>
    </row>
    <row r="307" spans="1:11" ht="15.5" hidden="1" customHeight="1">
      <c r="A307" s="75" t="s">
        <v>360</v>
      </c>
      <c r="B307" s="75"/>
      <c r="E307" s="9" t="str">
        <f ca="1">_xll.DBRW(Server&amp;"}ElementAttributes_Indicator",A307,"code_English")</f>
        <v>Tot_km_LRV - Total KM driven by LRV</v>
      </c>
      <c r="F307" s="39">
        <f ca="1">_xll.DBRW($C$1,$C$2,$C$3,$C$4,$C$6,$C$5,$C$7,F$1,F$2,$A307)</f>
        <v>0</v>
      </c>
      <c r="G307" s="39">
        <f ca="1">_xll.DBRW($C$1,$C$2,$C$3,$C$4,$C$6,$C$5,$C$7,G$1,G$2,$A307)</f>
        <v>0</v>
      </c>
      <c r="H307" s="39">
        <f ca="1">_xll.DBRW($C$1,$C$2,$C$3,$C$4,$C$6,$C$5,$C$7,H$1,H$2,$A307)</f>
        <v>0</v>
      </c>
    </row>
    <row r="308" spans="1:11" ht="15.5" hidden="1" customHeight="1">
      <c r="A308" s="75" t="s">
        <v>361</v>
      </c>
      <c r="B308" s="75"/>
      <c r="E308" s="9" t="str">
        <f ca="1">_xll.DBRW(Server&amp;"}ElementAttributes_Indicator",A308,"code_English")</f>
        <v>Tot_km_heavy_rail - Total KM driven by heavy rail</v>
      </c>
      <c r="F308" s="39">
        <f ca="1">_xll.DBRW($C$1,$C$2,$C$3,$C$4,$C$6,$C$5,$C$7,F$1,F$2,$A308)</f>
        <v>0</v>
      </c>
      <c r="G308" s="39">
        <f ca="1">_xll.DBRW($C$1,$C$2,$C$3,$C$4,$C$6,$C$5,$C$7,G$1,G$2,$A308)</f>
        <v>0</v>
      </c>
      <c r="H308" s="39">
        <f ca="1">_xll.DBRW($C$1,$C$2,$C$3,$C$4,$C$6,$C$5,$C$7,H$1,H$2,$A308)</f>
        <v>0</v>
      </c>
    </row>
    <row r="309" spans="1:11" ht="15.5" hidden="1" customHeight="1">
      <c r="A309" s="75" t="s">
        <v>362</v>
      </c>
      <c r="B309" s="75"/>
      <c r="E309" s="9" t="str">
        <f ca="1">_xll.DBRW(Server&amp;"}ElementAttributes_Indicator",A309,"code_English")</f>
        <v>Tot_km_BRT - Total KM driven by BRT</v>
      </c>
      <c r="F309" s="39">
        <f ca="1">_xll.DBRW($C$1,$C$2,$C$3,$C$4,$C$6,$C$5,$C$7,F$1,F$2,$A309)</f>
        <v>0</v>
      </c>
      <c r="G309" s="39">
        <f ca="1">_xll.DBRW($C$1,$C$2,$C$3,$C$4,$C$6,$C$5,$C$7,G$1,G$2,$A309)</f>
        <v>0</v>
      </c>
      <c r="H309" s="39">
        <f ca="1">_xll.DBRW($C$1,$C$2,$C$3,$C$4,$C$6,$C$5,$C$7,H$1,H$2,$A309)</f>
        <v>0</v>
      </c>
    </row>
    <row r="310" spans="1:11" ht="15.5" hidden="1" customHeight="1">
      <c r="A310" s="75" t="s">
        <v>363</v>
      </c>
      <c r="B310" s="75"/>
      <c r="E310" s="9" t="str">
        <f ca="1">_xll.DBRW(Server&amp;"}ElementAttributes_Indicator",A310,"code_English")</f>
        <v>Tot_km_ferries - Total KM driven by ferries</v>
      </c>
      <c r="F310" s="39">
        <f ca="1">_xll.DBRW($C$1,$C$2,$C$3,$C$4,$C$6,$C$5,$C$7,F$1,F$2,$A310)</f>
        <v>0</v>
      </c>
      <c r="G310" s="39">
        <f ca="1">_xll.DBRW($C$1,$C$2,$C$3,$C$4,$C$6,$C$5,$C$7,G$1,G$2,$A310)</f>
        <v>0</v>
      </c>
      <c r="H310" s="39">
        <f ca="1">_xll.DBRW($C$1,$C$2,$C$3,$C$4,$C$6,$C$5,$C$7,H$1,H$2,$A310)</f>
        <v>0</v>
      </c>
    </row>
    <row r="311" spans="1:11" ht="15.5" hidden="1" customHeight="1">
      <c r="A311" s="1" t="s">
        <v>83</v>
      </c>
      <c r="E311" s="9" t="str">
        <f ca="1">_xll.DBRW(Server&amp;"}ElementAttributes_Indicator",A311,"code_English")</f>
        <v>Tot_km_fuel - Total KM driven by fuel</v>
      </c>
      <c r="F311" s="39">
        <f ca="1">_xll.DBRW($C$1,$C$2,$C$3,$C$4,$C$6,$C$5,$C$7,F$1,F$2,$A311)</f>
        <v>0</v>
      </c>
      <c r="G311" s="39">
        <f ca="1">_xll.DBRW($C$1,$C$2,$C$3,$C$4,$C$6,$C$5,$C$7,G$1,G$2,$A311)</f>
        <v>0</v>
      </c>
      <c r="H311" s="39">
        <f ca="1">_xll.DBRW($C$1,$C$2,$C$3,$C$4,$C$6,$C$5,$C$7,H$1,H$2,$A311)</f>
        <v>0</v>
      </c>
    </row>
    <row r="312" spans="1:11" ht="15.5" hidden="1" customHeight="1">
      <c r="A312" s="1" t="s">
        <v>84</v>
      </c>
      <c r="E312" s="9" t="str">
        <f ca="1">_xll.DBRW(Server&amp;"}ElementAttributes_Indicator",A312,"code_English")</f>
        <v>Tot_km_biofuel - Total KM driven by biofuel</v>
      </c>
      <c r="F312" s="39">
        <f ca="1">_xll.DBRW($C$1,$C$2,$C$3,$C$4,$C$6,$C$5,$C$7,F$1,F$2,$A312)</f>
        <v>0</v>
      </c>
      <c r="G312" s="39">
        <f ca="1">_xll.DBRW($C$1,$C$2,$C$3,$C$4,$C$6,$C$5,$C$7,G$1,G$2,$A312)</f>
        <v>0</v>
      </c>
      <c r="H312" s="39">
        <f ca="1">_xll.DBRW($C$1,$C$2,$C$3,$C$4,$C$6,$C$5,$C$7,H$1,H$2,$A312)</f>
        <v>0</v>
      </c>
    </row>
    <row r="313" spans="1:11" ht="15.5" hidden="1" customHeight="1">
      <c r="A313" s="1" t="s">
        <v>85</v>
      </c>
      <c r="E313" s="9" t="str">
        <f ca="1">_xll.DBRW(Server&amp;"}ElementAttributes_Indicator",A313,"code_English")</f>
        <v>Tot_km_elec - Total KM driven by electricity</v>
      </c>
      <c r="F313" s="39">
        <f ca="1">_xll.DBRW($C$1,$C$2,$C$3,$C$4,$C$6,$C$5,$C$7,F$1,F$2,$A313)</f>
        <v>0</v>
      </c>
      <c r="G313" s="39">
        <f ca="1">_xll.DBRW($C$1,$C$2,$C$3,$C$4,$C$6,$C$5,$C$7,G$1,G$2,$A313)</f>
        <v>0</v>
      </c>
      <c r="H313" s="39">
        <f ca="1">_xll.DBRW($C$1,$C$2,$C$3,$C$4,$C$6,$C$5,$C$7,H$1,H$2,$A313)</f>
        <v>0</v>
      </c>
    </row>
    <row r="314" spans="1:11" ht="15.5" hidden="1" customHeight="1">
      <c r="A314" s="1" t="s">
        <v>86</v>
      </c>
      <c r="E314" s="9" t="str">
        <f ca="1">_xll.DBRW(Server&amp;"}ElementAttributes_Indicator",A314,"code_English")</f>
        <v>Tot_km_gas - Total KM driven by gas</v>
      </c>
      <c r="F314" s="39">
        <f ca="1">_xll.DBRW($C$1,$C$2,$C$3,$C$4,$C$6,$C$5,$C$7,F$1,F$2,$A314)</f>
        <v>0</v>
      </c>
      <c r="G314" s="39">
        <f ca="1">_xll.DBRW($C$1,$C$2,$C$3,$C$4,$C$6,$C$5,$C$7,G$1,G$2,$A314)</f>
        <v>0</v>
      </c>
      <c r="H314" s="39">
        <f ca="1">_xll.DBRW($C$1,$C$2,$C$3,$C$4,$C$6,$C$5,$C$7,H$1,H$2,$A314)</f>
        <v>0</v>
      </c>
    </row>
    <row r="315" spans="1:11" ht="15.75" customHeight="1" collapsed="1">
      <c r="A315" s="1" t="s">
        <v>142</v>
      </c>
      <c r="C315" s="109" t="s">
        <v>87</v>
      </c>
      <c r="E315" s="17" t="s">
        <v>88</v>
      </c>
      <c r="F315" s="43">
        <f t="shared" ref="F315:H315" ca="1" si="97">F304</f>
        <v>0</v>
      </c>
      <c r="G315" s="43">
        <f t="shared" ca="1" si="97"/>
        <v>0</v>
      </c>
      <c r="H315" s="43">
        <f t="shared" ca="1" si="97"/>
        <v>0</v>
      </c>
      <c r="J315" s="100">
        <f t="shared" ref="J315" ca="1" si="98">F315-G315</f>
        <v>0</v>
      </c>
      <c r="K315" s="100">
        <f t="shared" ref="K315" ca="1" si="99">F315-H315</f>
        <v>0</v>
      </c>
    </row>
    <row r="316" spans="1:11" ht="15.75" hidden="1" customHeight="1">
      <c r="A316" s="1" t="s">
        <v>350</v>
      </c>
      <c r="C316" s="109"/>
      <c r="E316" s="9" t="str">
        <f ca="1">_xll.DBRW(Server&amp;"}ElementAttributes_Indicator",A316,"code_English")</f>
        <v>Nb_Drivers - Number of drivers</v>
      </c>
      <c r="F316" s="44">
        <f ca="1">_xll.DBRW($C$1,$C$2,$C$3,$C$4,$C$6,$C$5,$C$7,F$1,F$2,$A316)</f>
        <v>0</v>
      </c>
      <c r="G316" s="44">
        <f ca="1">_xll.DBRW($C$1,$C$2,$C$3,$C$4,$C$6,$C$5,$C$7,G$1,G$2,$A316)</f>
        <v>0</v>
      </c>
      <c r="H316" s="44">
        <f ca="1">_xll.DBRW($C$1,$C$2,$C$3,$C$4,$C$6,$C$5,$C$7,H$1,H$2,$A316)</f>
        <v>0</v>
      </c>
      <c r="J316" s="33">
        <f t="shared" ref="J316:J328" ca="1" si="100">F316-G316</f>
        <v>0</v>
      </c>
      <c r="K316" s="33">
        <f t="shared" ref="K316:K328" ca="1" si="101">F316-H316</f>
        <v>0</v>
      </c>
    </row>
    <row r="317" spans="1:11" ht="15.75" hidden="1" customHeight="1">
      <c r="A317" s="1" t="s">
        <v>351</v>
      </c>
      <c r="C317" s="109"/>
      <c r="E317" s="9" t="str">
        <f ca="1">_xll.DBRW(Server&amp;"}ElementAttributes_Indicator",A317,"code_English")</f>
        <v>Nb_Conductors - Number of conductors</v>
      </c>
      <c r="F317" s="44">
        <f ca="1">_xll.DBRW($C$1,$C$2,$C$3,$C$4,$C$6,$C$5,$C$7,F$1,F$2,$A317)</f>
        <v>0</v>
      </c>
      <c r="G317" s="44">
        <f ca="1">_xll.DBRW($C$1,$C$2,$C$3,$C$4,$C$6,$C$5,$C$7,G$1,G$2,$A317)</f>
        <v>0</v>
      </c>
      <c r="H317" s="44">
        <f ca="1">_xll.DBRW($C$1,$C$2,$C$3,$C$4,$C$6,$C$5,$C$7,H$1,H$2,$A317)</f>
        <v>0</v>
      </c>
      <c r="J317" s="33">
        <f t="shared" ca="1" si="100"/>
        <v>0</v>
      </c>
      <c r="K317" s="33">
        <f t="shared" ca="1" si="101"/>
        <v>0</v>
      </c>
    </row>
    <row r="318" spans="1:11" ht="15.75" hidden="1" customHeight="1">
      <c r="A318" s="1" t="s">
        <v>364</v>
      </c>
      <c r="C318" s="109"/>
      <c r="E318" s="9" t="str">
        <f ca="1">_xll.DBRW(Server&amp;"}ElementAttributes_Indicator",A318,"code_English")</f>
        <v>Nb_FTE_Drivers - Number of FTE Drivers</v>
      </c>
      <c r="F318" s="44">
        <f ca="1">_xll.DBRW($C$1,$C$2,$C$3,$C$4,$C$6,$C$5,$C$7,F$1,F$2,$A318)</f>
        <v>0</v>
      </c>
      <c r="G318" s="44">
        <f ca="1">_xll.DBRW($C$1,$C$2,$C$3,$C$4,$C$6,$C$5,$C$7,G$1,G$2,$A318)</f>
        <v>0</v>
      </c>
      <c r="H318" s="44">
        <f ca="1">_xll.DBRW($C$1,$C$2,$C$3,$C$4,$C$6,$C$5,$C$7,H$1,H$2,$A318)</f>
        <v>0</v>
      </c>
      <c r="J318" s="33">
        <f t="shared" ca="1" si="100"/>
        <v>0</v>
      </c>
      <c r="K318" s="33">
        <f t="shared" ca="1" si="101"/>
        <v>0</v>
      </c>
    </row>
    <row r="319" spans="1:11" ht="15.5" collapsed="1">
      <c r="A319" s="1" t="s">
        <v>142</v>
      </c>
      <c r="C319" s="109"/>
      <c r="E319" s="15" t="s">
        <v>89</v>
      </c>
      <c r="F319" s="45">
        <f ca="1">SUM(F316:F318)</f>
        <v>0</v>
      </c>
      <c r="G319" s="45">
        <f t="shared" ref="G319:H319" ca="1" si="102">SUM(G316:G318)</f>
        <v>0</v>
      </c>
      <c r="H319" s="45">
        <f t="shared" ca="1" si="102"/>
        <v>0</v>
      </c>
      <c r="J319" s="33">
        <f t="shared" ca="1" si="100"/>
        <v>0</v>
      </c>
      <c r="K319" s="33">
        <f t="shared" ca="1" si="101"/>
        <v>0</v>
      </c>
    </row>
    <row r="320" spans="1:11" ht="15.75" hidden="1" customHeight="1">
      <c r="A320" s="1" t="s">
        <v>352</v>
      </c>
      <c r="C320" s="109"/>
      <c r="E320" s="9" t="str">
        <f ca="1">_xll.DBRW(Server&amp;"}ElementAttributes_Indicator",A320,"code_English")</f>
        <v>Nb_Maintenance_team - Number of Maintenance collaborators</v>
      </c>
      <c r="F320" s="44">
        <f ca="1">_xll.DBRW($C$1,$C$2,$C$3,$C$4,$C$6,$C$5,$C$7,F$1,F$2,$A320)</f>
        <v>0</v>
      </c>
      <c r="G320" s="44">
        <f ca="1">_xll.DBRW($C$1,$C$2,$C$3,$C$4,$C$6,$C$5,$C$7,G$1,G$2,$A320)</f>
        <v>0</v>
      </c>
      <c r="H320" s="44">
        <f ca="1">_xll.DBRW($C$1,$C$2,$C$3,$C$4,$C$6,$C$5,$C$7,H$1,H$2,$A320)</f>
        <v>0</v>
      </c>
      <c r="J320" s="33">
        <f t="shared" ca="1" si="100"/>
        <v>0</v>
      </c>
      <c r="K320" s="33">
        <f t="shared" ca="1" si="101"/>
        <v>0</v>
      </c>
    </row>
    <row r="321" spans="1:11" ht="15.75" hidden="1" customHeight="1">
      <c r="A321" s="1" t="s">
        <v>365</v>
      </c>
      <c r="C321" s="109"/>
      <c r="E321" s="9" t="str">
        <f ca="1">_xll.DBRW(Server&amp;"}ElementAttributes_Indicator",A321,"code_English")</f>
        <v>Nb_FTE_Maintenance_Technicians - Number of FTE Technicians</v>
      </c>
      <c r="F321" s="44">
        <f ca="1">_xll.DBRW($C$1,$C$2,$C$3,$C$4,$C$6,$C$5,$C$7,F$1,F$2,$A321)</f>
        <v>0</v>
      </c>
      <c r="G321" s="44">
        <f ca="1">_xll.DBRW($C$1,$C$2,$C$3,$C$4,$C$6,$C$5,$C$7,G$1,G$2,$A321)</f>
        <v>0</v>
      </c>
      <c r="H321" s="44">
        <f ca="1">_xll.DBRW($C$1,$C$2,$C$3,$C$4,$C$6,$C$5,$C$7,H$1,H$2,$A321)</f>
        <v>0</v>
      </c>
      <c r="J321" s="33">
        <f t="shared" ca="1" si="100"/>
        <v>0</v>
      </c>
      <c r="K321" s="33">
        <f t="shared" ca="1" si="101"/>
        <v>0</v>
      </c>
    </row>
    <row r="322" spans="1:11" ht="15.5" collapsed="1">
      <c r="A322" s="1" t="s">
        <v>142</v>
      </c>
      <c r="C322" s="109"/>
      <c r="E322" s="15" t="s">
        <v>90</v>
      </c>
      <c r="F322" s="45">
        <f ca="1">SUM(F320:F321)</f>
        <v>0</v>
      </c>
      <c r="G322" s="45">
        <f t="shared" ref="G322:H322" ca="1" si="103">SUM(G320:G321)</f>
        <v>0</v>
      </c>
      <c r="H322" s="45">
        <f t="shared" ca="1" si="103"/>
        <v>0</v>
      </c>
      <c r="J322" s="33">
        <f t="shared" ca="1" si="100"/>
        <v>0</v>
      </c>
      <c r="K322" s="33">
        <f t="shared" ca="1" si="101"/>
        <v>0</v>
      </c>
    </row>
    <row r="323" spans="1:11" ht="15.75" hidden="1" customHeight="1">
      <c r="A323" s="1" t="s">
        <v>366</v>
      </c>
      <c r="C323" s="109"/>
      <c r="E323" s="9" t="str">
        <f ca="1">_xll.DBRW(Server&amp;"}ElementAttributes_Indicator",A323,"code_English")</f>
        <v>Nb_FTE_Operations_Others - Number of FTE Other Operation Staff</v>
      </c>
      <c r="F323" s="45">
        <f ca="1">SUM(F321:F322)</f>
        <v>0</v>
      </c>
      <c r="G323" s="45">
        <f t="shared" ref="G323:H325" ca="1" si="104">SUM(G321:G322)</f>
        <v>0</v>
      </c>
      <c r="H323" s="45">
        <f t="shared" ca="1" si="104"/>
        <v>0</v>
      </c>
      <c r="J323" s="33">
        <f t="shared" ca="1" si="100"/>
        <v>0</v>
      </c>
      <c r="K323" s="33">
        <f t="shared" ca="1" si="101"/>
        <v>0</v>
      </c>
    </row>
    <row r="324" spans="1:11" ht="15.5" hidden="1" customHeight="1" collapsed="1">
      <c r="A324" s="1" t="s">
        <v>142</v>
      </c>
      <c r="C324" s="109"/>
      <c r="E324" s="82" t="s">
        <v>91</v>
      </c>
      <c r="F324" s="45">
        <f ca="1">SUM(F322:F323)</f>
        <v>0</v>
      </c>
      <c r="G324" s="45">
        <f t="shared" ca="1" si="104"/>
        <v>0</v>
      </c>
      <c r="H324" s="45">
        <f t="shared" ca="1" si="104"/>
        <v>0</v>
      </c>
      <c r="J324" s="33">
        <f t="shared" ca="1" si="100"/>
        <v>0</v>
      </c>
      <c r="K324" s="33">
        <f t="shared" ca="1" si="101"/>
        <v>0</v>
      </c>
    </row>
    <row r="325" spans="1:11" ht="15.75" hidden="1" customHeight="1">
      <c r="A325" s="1" t="s">
        <v>367</v>
      </c>
      <c r="C325" s="109"/>
      <c r="E325" s="9" t="str">
        <f ca="1">_xll.DBRW(Server&amp;"}ElementAttributes_Indicator",A325,"code_English")</f>
        <v>Nb_FTE_Maintenance_Others - Number of FTE Other Maintenance Staff</v>
      </c>
      <c r="F325" s="45">
        <f ca="1">SUM(F323:F324)</f>
        <v>0</v>
      </c>
      <c r="G325" s="45">
        <f t="shared" ca="1" si="104"/>
        <v>0</v>
      </c>
      <c r="H325" s="45">
        <f t="shared" ca="1" si="104"/>
        <v>0</v>
      </c>
      <c r="J325" s="33">
        <f t="shared" ca="1" si="100"/>
        <v>0</v>
      </c>
      <c r="K325" s="33">
        <f t="shared" ca="1" si="101"/>
        <v>0</v>
      </c>
    </row>
    <row r="326" spans="1:11" ht="15.5" collapsed="1">
      <c r="A326" s="1" t="s">
        <v>142</v>
      </c>
      <c r="C326" s="109"/>
      <c r="E326" s="82" t="s">
        <v>92</v>
      </c>
      <c r="F326" s="44">
        <f ca="1">SUM(F325)</f>
        <v>0</v>
      </c>
      <c r="G326" s="44">
        <f t="shared" ref="G326:H326" ca="1" si="105">SUM(G325)</f>
        <v>0</v>
      </c>
      <c r="H326" s="44">
        <f t="shared" ca="1" si="105"/>
        <v>0</v>
      </c>
      <c r="J326" s="33">
        <f t="shared" ca="1" si="100"/>
        <v>0</v>
      </c>
      <c r="K326" s="33">
        <f t="shared" ca="1" si="101"/>
        <v>0</v>
      </c>
    </row>
    <row r="327" spans="1:11" ht="15.75" hidden="1" customHeight="1">
      <c r="A327" s="1" t="s">
        <v>353</v>
      </c>
      <c r="C327" s="109"/>
      <c r="E327" s="9" t="str">
        <f ca="1">_xll.DBRW(Server&amp;"}ElementAttributes_Indicator",A327,"code_English")</f>
        <v>Nb_FTE - Number of Full Time Equivalent</v>
      </c>
      <c r="F327" s="44">
        <f ca="1">_xll.DBRW($C$1,$C$2,$C$3,$C$4,$C$6,$C$5,$C$7,F$1,F$2,$A327)</f>
        <v>0</v>
      </c>
      <c r="G327" s="44">
        <f ca="1">_xll.DBRW($C$1,$C$2,$C$3,$C$4,$C$6,$C$5,$C$7,G$1,G$2,$A327)</f>
        <v>0</v>
      </c>
      <c r="H327" s="44">
        <f ca="1">_xll.DBRW($C$1,$C$2,$C$3,$C$4,$C$6,$C$5,$C$7,H$1,H$2,$A327)</f>
        <v>0</v>
      </c>
      <c r="J327" s="33">
        <f t="shared" ca="1" si="100"/>
        <v>0</v>
      </c>
      <c r="K327" s="33">
        <f t="shared" ca="1" si="101"/>
        <v>0</v>
      </c>
    </row>
    <row r="328" spans="1:11" ht="15.5" collapsed="1">
      <c r="A328" s="1" t="s">
        <v>142</v>
      </c>
      <c r="C328" s="109"/>
      <c r="E328" s="83" t="s">
        <v>93</v>
      </c>
      <c r="F328" s="46">
        <f t="shared" ref="F328:H328" ca="1" si="106">SUM(F327)</f>
        <v>0</v>
      </c>
      <c r="G328" s="46">
        <f t="shared" ca="1" si="106"/>
        <v>0</v>
      </c>
      <c r="H328" s="46">
        <f t="shared" ca="1" si="106"/>
        <v>0</v>
      </c>
      <c r="J328" s="102">
        <f t="shared" ca="1" si="100"/>
        <v>0</v>
      </c>
      <c r="K328" s="102">
        <f t="shared" ca="1" si="101"/>
        <v>0</v>
      </c>
    </row>
    <row r="329" spans="1:11" ht="9" customHeight="1">
      <c r="A329" s="1" t="s">
        <v>142</v>
      </c>
      <c r="C329" s="109"/>
      <c r="E329" s="7"/>
      <c r="F329" s="8"/>
      <c r="G329" s="8"/>
      <c r="H329" s="8"/>
    </row>
    <row r="330" spans="1:11" ht="15.75" hidden="1" customHeight="1">
      <c r="A330" s="1" t="s">
        <v>354</v>
      </c>
      <c r="C330" s="109"/>
      <c r="E330" s="9" t="str">
        <f ca="1">_xll.DBRW(Server&amp;"}ElementAttributes_Indicator",A330,"code_English")</f>
        <v>Fuel_consu - Fuel consumed (liters)</v>
      </c>
      <c r="F330" s="10">
        <f ca="1">_xll.DBRW($C$1,$C$2,$C$3,$C$4,$C$6,$C$5,$C$7,F$1,F$2,$A330)</f>
        <v>0</v>
      </c>
      <c r="G330" s="10">
        <f ca="1">_xll.DBRW($C$1,$C$2,$C$3,$C$4,$C$6,$C$5,$C$7,G$1,G$2,$A330)</f>
        <v>0</v>
      </c>
      <c r="H330" s="10">
        <f ca="1">_xll.DBRW($C$1,$C$2,$C$3,$C$4,$C$6,$C$5,$C$7,H$1,H$2,$A330)</f>
        <v>0</v>
      </c>
    </row>
    <row r="331" spans="1:11" ht="15.5" collapsed="1">
      <c r="A331" s="1" t="s">
        <v>142</v>
      </c>
      <c r="C331" s="109"/>
      <c r="E331" s="17" t="s">
        <v>94</v>
      </c>
      <c r="F331" s="43">
        <f t="shared" ref="F331:H331" ca="1" si="107">SUM(F330)</f>
        <v>0</v>
      </c>
      <c r="G331" s="43">
        <f t="shared" ca="1" si="107"/>
        <v>0</v>
      </c>
      <c r="H331" s="43">
        <f t="shared" ca="1" si="107"/>
        <v>0</v>
      </c>
      <c r="J331" s="100">
        <f t="shared" ref="J331" ca="1" si="108">F331-G331</f>
        <v>0</v>
      </c>
      <c r="K331" s="100">
        <f t="shared" ref="K331" ca="1" si="109">F331-H331</f>
        <v>0</v>
      </c>
    </row>
    <row r="332" spans="1:11" ht="15.75" hidden="1" customHeight="1">
      <c r="A332" s="1" t="s">
        <v>355</v>
      </c>
      <c r="C332" s="109"/>
      <c r="E332" s="9" t="s">
        <v>381</v>
      </c>
      <c r="F332" s="44">
        <f ca="1">_xll.DBRW($C$1,$C$2,$C$3,$C$4,$C$6,$C$5,$C$7,F$1,F$2,$A332)</f>
        <v>0</v>
      </c>
      <c r="G332" s="44">
        <f ca="1">_xll.DBRW($C$1,$C$2,$C$3,$C$4,$C$6,$C$5,$C$7,G$1,G$2,$A332)</f>
        <v>0</v>
      </c>
      <c r="H332" s="44">
        <f ca="1">_xll.DBRW($C$1,$C$2,$C$3,$C$4,$C$6,$C$5,$C$7,H$1,H$2,$A332)</f>
        <v>0</v>
      </c>
      <c r="J332" s="33">
        <f t="shared" ref="J332:J348" ca="1" si="110">F332-G332</f>
        <v>0</v>
      </c>
      <c r="K332" s="33">
        <f t="shared" ref="K332:K348" ca="1" si="111">F332-H332</f>
        <v>0</v>
      </c>
    </row>
    <row r="333" spans="1:11" ht="15.5" collapsed="1">
      <c r="A333" s="1" t="s">
        <v>142</v>
      </c>
      <c r="C333" s="109"/>
      <c r="E333" s="15" t="s">
        <v>95</v>
      </c>
      <c r="F333" s="45">
        <f t="shared" ref="F333:H333" ca="1" si="112">SUM(F332)</f>
        <v>0</v>
      </c>
      <c r="G333" s="45">
        <f t="shared" ca="1" si="112"/>
        <v>0</v>
      </c>
      <c r="H333" s="45">
        <f t="shared" ca="1" si="112"/>
        <v>0</v>
      </c>
      <c r="J333" s="33">
        <f t="shared" ca="1" si="110"/>
        <v>0</v>
      </c>
      <c r="K333" s="33">
        <f t="shared" ca="1" si="111"/>
        <v>0</v>
      </c>
    </row>
    <row r="334" spans="1:11" ht="15.75" hidden="1" customHeight="1">
      <c r="A334" s="1" t="s">
        <v>356</v>
      </c>
      <c r="C334" s="109"/>
      <c r="E334" s="9" t="str">
        <f ca="1">_xll.DBRW(Server&amp;"}ElementAttributes_Indicator",A334,"code_English")</f>
        <v>Gas_consu - Gas consumed (kwh)</v>
      </c>
      <c r="F334" s="44">
        <f ca="1">_xll.DBRW($C$1,$C$2,$C$3,$C$4,$C$6,$C$5,$C$7,F$1,F$2,$A334)</f>
        <v>0</v>
      </c>
      <c r="G334" s="44">
        <f ca="1">_xll.DBRW($C$1,$C$2,$C$3,$C$4,$C$6,$C$5,$C$7,G$1,G$2,$A334)</f>
        <v>0</v>
      </c>
      <c r="H334" s="44">
        <f ca="1">_xll.DBRW($C$1,$C$2,$C$3,$C$4,$C$6,$C$5,$C$7,H$1,H$2,$A334)</f>
        <v>0</v>
      </c>
      <c r="J334" s="33">
        <f t="shared" ca="1" si="110"/>
        <v>0</v>
      </c>
      <c r="K334" s="33">
        <f t="shared" ca="1" si="111"/>
        <v>0</v>
      </c>
    </row>
    <row r="335" spans="1:11" ht="15.5" collapsed="1">
      <c r="A335" s="1" t="s">
        <v>142</v>
      </c>
      <c r="C335" s="109"/>
      <c r="E335" s="15" t="s">
        <v>96</v>
      </c>
      <c r="F335" s="44">
        <f t="shared" ref="F335:H335" ca="1" si="113">SUM(F334)</f>
        <v>0</v>
      </c>
      <c r="G335" s="44">
        <f t="shared" ca="1" si="113"/>
        <v>0</v>
      </c>
      <c r="H335" s="44">
        <f t="shared" ca="1" si="113"/>
        <v>0</v>
      </c>
      <c r="J335" s="33">
        <f t="shared" ca="1" si="110"/>
        <v>0</v>
      </c>
      <c r="K335" s="33">
        <f t="shared" ca="1" si="111"/>
        <v>0</v>
      </c>
    </row>
    <row r="336" spans="1:11" ht="15.75" hidden="1" customHeight="1">
      <c r="A336" s="1" t="s">
        <v>357</v>
      </c>
      <c r="C336" s="109"/>
      <c r="E336" s="9" t="str">
        <f ca="1">_xll.DBRW(Server&amp;"}ElementAttributes_Indicator",A336,"code_English")</f>
        <v>Elec_consu - Electricity consumed (kwh)</v>
      </c>
      <c r="F336" s="44">
        <f ca="1">_xll.DBRW($C$1,$C$2,$C$3,$C$4,$C$6,$C$5,$C$7,F$1,F$2,$A336)</f>
        <v>0</v>
      </c>
      <c r="G336" s="44">
        <f ca="1">_xll.DBRW($C$1,$C$2,$C$3,$C$4,$C$6,$C$5,$C$7,G$1,G$2,$A336)</f>
        <v>0</v>
      </c>
      <c r="H336" s="44">
        <f ca="1">_xll.DBRW($C$1,$C$2,$C$3,$C$4,$C$6,$C$5,$C$7,H$1,H$2,$A336)</f>
        <v>0</v>
      </c>
      <c r="J336" s="33">
        <f t="shared" ca="1" si="110"/>
        <v>0</v>
      </c>
      <c r="K336" s="33">
        <f t="shared" ca="1" si="111"/>
        <v>0</v>
      </c>
    </row>
    <row r="337" spans="1:11" ht="15.5" collapsed="1">
      <c r="A337" s="1" t="s">
        <v>142</v>
      </c>
      <c r="C337" s="109"/>
      <c r="E337" s="15" t="s">
        <v>97</v>
      </c>
      <c r="F337" s="45">
        <f t="shared" ref="F337:H337" ca="1" si="114">SUM(F336)</f>
        <v>0</v>
      </c>
      <c r="G337" s="45">
        <f t="shared" ca="1" si="114"/>
        <v>0</v>
      </c>
      <c r="H337" s="45">
        <f t="shared" ca="1" si="114"/>
        <v>0</v>
      </c>
      <c r="J337" s="33">
        <f t="shared" ca="1" si="110"/>
        <v>0</v>
      </c>
      <c r="K337" s="33">
        <f t="shared" ca="1" si="111"/>
        <v>0</v>
      </c>
    </row>
    <row r="338" spans="1:11" ht="15.5" hidden="1" customHeight="1">
      <c r="A338" s="1" t="s">
        <v>370</v>
      </c>
      <c r="C338" s="109"/>
      <c r="E338" s="9" t="str">
        <f ca="1">_xll.DBRW(Server&amp;"}ElementAttributes_Indicator",A338,"code_English")</f>
        <v>Tot_nb_bus_coach - Total number of buses/coaches</v>
      </c>
      <c r="F338" s="44">
        <f ca="1">_xll.DBRW($C$1,$C$2,$C$3,$C$4,$C$6,$C$5,$C$7,F$1,F$2,$A338)</f>
        <v>0</v>
      </c>
      <c r="G338" s="44">
        <f ca="1">_xll.DBRW($C$1,$C$2,$C$3,$C$4,$C$6,$C$5,$C$7,G$1,G$2,$A338)</f>
        <v>0</v>
      </c>
      <c r="H338" s="44">
        <f ca="1">_xll.DBRW($C$1,$C$2,$C$3,$C$4,$C$6,$C$5,$C$7,H$1,H$2,$A338)</f>
        <v>0</v>
      </c>
      <c r="J338" s="33">
        <f t="shared" ca="1" si="110"/>
        <v>0</v>
      </c>
      <c r="K338" s="33">
        <f t="shared" ca="1" si="111"/>
        <v>0</v>
      </c>
    </row>
    <row r="339" spans="1:11" ht="15.5" collapsed="1">
      <c r="A339" s="1" t="s">
        <v>142</v>
      </c>
      <c r="C339" s="109"/>
      <c r="E339" s="15" t="s">
        <v>98</v>
      </c>
      <c r="F339" s="44">
        <f t="shared" ref="F339:H339" ca="1" si="115">SUM(F338)</f>
        <v>0</v>
      </c>
      <c r="G339" s="44">
        <f t="shared" ca="1" si="115"/>
        <v>0</v>
      </c>
      <c r="H339" s="44">
        <f t="shared" ca="1" si="115"/>
        <v>0</v>
      </c>
      <c r="J339" s="33">
        <f t="shared" ca="1" si="110"/>
        <v>0</v>
      </c>
      <c r="K339" s="33">
        <f t="shared" ca="1" si="111"/>
        <v>0</v>
      </c>
    </row>
    <row r="340" spans="1:11" ht="15.5" hidden="1" customHeight="1">
      <c r="A340" s="1" t="s">
        <v>371</v>
      </c>
      <c r="C340" s="109"/>
      <c r="E340" s="9" t="str">
        <f ca="1">_xll.DBRW(Server&amp;"}ElementAttributes_Indicator",A340,"code_English")</f>
        <v>Tot_nb_light_vehicle - Total number of light vehicles</v>
      </c>
      <c r="F340" s="44">
        <f ca="1">_xll.DBRW($C$1,$C$2,$C$3,$C$4,$C$6,$C$5,$C$7,F$1,F$2,$A340)</f>
        <v>0</v>
      </c>
      <c r="G340" s="44">
        <f ca="1">_xll.DBRW($C$1,$C$2,$C$3,$C$4,$C$6,$C$5,$C$7,G$1,G$2,$A340)</f>
        <v>0</v>
      </c>
      <c r="H340" s="44">
        <f ca="1">_xll.DBRW($C$1,$C$2,$C$3,$C$4,$C$6,$C$5,$C$7,H$1,H$2,$A340)</f>
        <v>0</v>
      </c>
      <c r="J340" s="33">
        <f t="shared" ca="1" si="110"/>
        <v>0</v>
      </c>
      <c r="K340" s="33">
        <f t="shared" ca="1" si="111"/>
        <v>0</v>
      </c>
    </row>
    <row r="341" spans="1:11" ht="15.5" collapsed="1">
      <c r="A341" s="1" t="s">
        <v>142</v>
      </c>
      <c r="C341" s="109"/>
      <c r="E341" s="15" t="s">
        <v>99</v>
      </c>
      <c r="F341" s="44">
        <f t="shared" ref="F341:H341" ca="1" si="116">SUM(F340)</f>
        <v>0</v>
      </c>
      <c r="G341" s="44">
        <f t="shared" ca="1" si="116"/>
        <v>0</v>
      </c>
      <c r="H341" s="44">
        <f t="shared" ca="1" si="116"/>
        <v>0</v>
      </c>
      <c r="J341" s="33">
        <f t="shared" ca="1" si="110"/>
        <v>0</v>
      </c>
      <c r="K341" s="33">
        <f t="shared" ca="1" si="111"/>
        <v>0</v>
      </c>
    </row>
    <row r="342" spans="1:11" ht="15.5" hidden="1" customHeight="1">
      <c r="A342" s="1" t="s">
        <v>372</v>
      </c>
      <c r="C342" s="109"/>
      <c r="E342" s="9" t="str">
        <f ca="1">_xll.DBRW(Server&amp;"}ElementAttributes_Indicator",A342,"code_English")</f>
        <v>Tot_nb_LRV - Total number of LRV</v>
      </c>
      <c r="F342" s="44">
        <f ca="1">_xll.DBRW($C$1,$C$2,$C$3,$C$4,$C$6,$C$5,$C$7,F$1,F$2,$A342)</f>
        <v>0</v>
      </c>
      <c r="G342" s="44">
        <f ca="1">_xll.DBRW($C$1,$C$2,$C$3,$C$4,$C$6,$C$5,$C$7,G$1,G$2,$A342)</f>
        <v>0</v>
      </c>
      <c r="H342" s="44">
        <f ca="1">_xll.DBRW($C$1,$C$2,$C$3,$C$4,$C$6,$C$5,$C$7,H$1,H$2,$A342)</f>
        <v>0</v>
      </c>
      <c r="J342" s="33">
        <f t="shared" ca="1" si="110"/>
        <v>0</v>
      </c>
      <c r="K342" s="33">
        <f t="shared" ca="1" si="111"/>
        <v>0</v>
      </c>
    </row>
    <row r="343" spans="1:11" ht="15.5" collapsed="1">
      <c r="A343" s="1" t="s">
        <v>142</v>
      </c>
      <c r="C343" s="109"/>
      <c r="E343" s="15" t="s">
        <v>100</v>
      </c>
      <c r="F343" s="44">
        <f t="shared" ref="F343:H343" ca="1" si="117">SUM(F342)</f>
        <v>0</v>
      </c>
      <c r="G343" s="44">
        <f t="shared" ca="1" si="117"/>
        <v>0</v>
      </c>
      <c r="H343" s="44">
        <f t="shared" ca="1" si="117"/>
        <v>0</v>
      </c>
      <c r="J343" s="33">
        <f t="shared" ca="1" si="110"/>
        <v>0</v>
      </c>
      <c r="K343" s="33">
        <f t="shared" ca="1" si="111"/>
        <v>0</v>
      </c>
    </row>
    <row r="344" spans="1:11" ht="15.5" hidden="1" customHeight="1">
      <c r="A344" s="1" t="s">
        <v>373</v>
      </c>
      <c r="C344" s="109"/>
      <c r="E344" s="9" t="str">
        <f ca="1">_xll.DBRW(Server&amp;"}ElementAttributes_Indicator",A344,"code_English")</f>
        <v>Tot_nb_heavy_rail - Total number of heavy rail</v>
      </c>
      <c r="F344" s="44">
        <f ca="1">_xll.DBRW($C$1,$C$2,$C$3,$C$4,$C$6,$C$5,$C$7,F$1,F$2,$A344)</f>
        <v>0</v>
      </c>
      <c r="G344" s="44">
        <f ca="1">_xll.DBRW($C$1,$C$2,$C$3,$C$4,$C$6,$C$5,$C$7,G$1,G$2,$A344)</f>
        <v>0</v>
      </c>
      <c r="H344" s="44">
        <f ca="1">_xll.DBRW($C$1,$C$2,$C$3,$C$4,$C$6,$C$5,$C$7,H$1,H$2,$A344)</f>
        <v>0</v>
      </c>
      <c r="J344" s="33">
        <f t="shared" ca="1" si="110"/>
        <v>0</v>
      </c>
      <c r="K344" s="33">
        <f t="shared" ca="1" si="111"/>
        <v>0</v>
      </c>
    </row>
    <row r="345" spans="1:11" ht="15.5" collapsed="1">
      <c r="A345" s="1" t="s">
        <v>142</v>
      </c>
      <c r="C345" s="109"/>
      <c r="E345" s="15" t="s">
        <v>101</v>
      </c>
      <c r="F345" s="44">
        <f t="shared" ref="F345:H345" ca="1" si="118">SUM(F344)</f>
        <v>0</v>
      </c>
      <c r="G345" s="44">
        <f t="shared" ca="1" si="118"/>
        <v>0</v>
      </c>
      <c r="H345" s="44">
        <f t="shared" ca="1" si="118"/>
        <v>0</v>
      </c>
      <c r="J345" s="33">
        <f t="shared" ca="1" si="110"/>
        <v>0</v>
      </c>
      <c r="K345" s="33">
        <f t="shared" ca="1" si="111"/>
        <v>0</v>
      </c>
    </row>
    <row r="346" spans="1:11" ht="15.5" hidden="1" customHeight="1">
      <c r="A346" s="1" t="s">
        <v>374</v>
      </c>
      <c r="C346" s="109"/>
      <c r="E346" s="9" t="str">
        <f ca="1">_xll.DBRW(Server&amp;"}ElementAttributes_Indicator",A346,"code_English")</f>
        <v>Tot_nb_BRT - Total number of BRT</v>
      </c>
      <c r="F346" s="44">
        <f ca="1">_xll.DBRW($C$1,$C$2,$C$3,$C$4,$C$6,$C$5,$C$7,F$1,F$2,$A346)</f>
        <v>0</v>
      </c>
      <c r="G346" s="44">
        <f ca="1">_xll.DBRW($C$1,$C$2,$C$3,$C$4,$C$6,$C$5,$C$7,G$1,G$2,$A346)</f>
        <v>0</v>
      </c>
      <c r="H346" s="44">
        <f ca="1">_xll.DBRW($C$1,$C$2,$C$3,$C$4,$C$6,$C$5,$C$7,H$1,H$2,$A346)</f>
        <v>0</v>
      </c>
      <c r="J346" s="33">
        <f t="shared" ca="1" si="110"/>
        <v>0</v>
      </c>
      <c r="K346" s="33">
        <f t="shared" ca="1" si="111"/>
        <v>0</v>
      </c>
    </row>
    <row r="347" spans="1:11" ht="15.5" collapsed="1">
      <c r="A347" s="1" t="s">
        <v>142</v>
      </c>
      <c r="C347" s="109"/>
      <c r="E347" s="15" t="s">
        <v>102</v>
      </c>
      <c r="F347" s="44">
        <f t="shared" ref="F347:H347" ca="1" si="119">SUM(F346)</f>
        <v>0</v>
      </c>
      <c r="G347" s="44">
        <f t="shared" ca="1" si="119"/>
        <v>0</v>
      </c>
      <c r="H347" s="44">
        <f t="shared" ca="1" si="119"/>
        <v>0</v>
      </c>
      <c r="J347" s="33">
        <f t="shared" ca="1" si="110"/>
        <v>0</v>
      </c>
      <c r="K347" s="33">
        <f t="shared" ca="1" si="111"/>
        <v>0</v>
      </c>
    </row>
    <row r="348" spans="1:11" ht="15.75" hidden="1" customHeight="1">
      <c r="A348" s="1" t="s">
        <v>375</v>
      </c>
      <c r="C348" s="109"/>
      <c r="E348" s="9" t="str">
        <f ca="1">_xll.DBRW(Server&amp;"}ElementAttributes_Indicator",A348,"code_English")</f>
        <v>Tot_nb_ferries - Total number of ferries</v>
      </c>
      <c r="F348" s="44">
        <f ca="1">_xll.DBRW($C$1,$C$2,$C$3,$C$4,$C$6,$C$5,$C$7,F$1,F$2,$A348)</f>
        <v>0</v>
      </c>
      <c r="G348" s="44">
        <f ca="1">_xll.DBRW($C$1,$C$2,$C$3,$C$4,$C$6,$C$5,$C$7,G$1,G$2,$A348)</f>
        <v>0</v>
      </c>
      <c r="H348" s="44">
        <f ca="1">_xll.DBRW($C$1,$C$2,$C$3,$C$4,$C$6,$C$5,$C$7,H$1,H$2,$A348)</f>
        <v>0</v>
      </c>
      <c r="J348" s="33">
        <f t="shared" ca="1" si="110"/>
        <v>0</v>
      </c>
      <c r="K348" s="33">
        <f t="shared" ca="1" si="111"/>
        <v>0</v>
      </c>
    </row>
    <row r="349" spans="1:11" ht="15.5" collapsed="1">
      <c r="A349" s="1" t="s">
        <v>142</v>
      </c>
      <c r="C349" s="109"/>
      <c r="E349" s="18" t="s">
        <v>103</v>
      </c>
      <c r="F349" s="44">
        <f t="shared" ref="F349:H349" ca="1" si="120">SUM(F348)</f>
        <v>0</v>
      </c>
      <c r="G349" s="44">
        <f t="shared" ca="1" si="120"/>
        <v>0</v>
      </c>
      <c r="H349" s="44">
        <f t="shared" ca="1" si="120"/>
        <v>0</v>
      </c>
      <c r="J349" s="33">
        <f t="shared" ref="J349" ca="1" si="121">F349-G349</f>
        <v>0</v>
      </c>
      <c r="K349" s="33">
        <f t="shared" ref="K349" ca="1" si="122">F349-H349</f>
        <v>0</v>
      </c>
    </row>
    <row r="350" spans="1:11" ht="9" customHeight="1">
      <c r="A350" s="1" t="s">
        <v>142</v>
      </c>
      <c r="C350" s="109"/>
      <c r="E350" s="7"/>
      <c r="F350" s="8"/>
      <c r="G350" s="8"/>
      <c r="H350" s="8"/>
    </row>
    <row r="351" spans="1:11" ht="15.75" hidden="1" customHeight="1">
      <c r="A351" s="1" t="s">
        <v>376</v>
      </c>
      <c r="C351" s="109"/>
      <c r="E351" s="9" t="str">
        <f ca="1">_xll.DBRW(Server&amp;"}ElementAttributes_Indicator",A351,"code_English")</f>
        <v>Driver_absenteeism - Driver absenteeism in %</v>
      </c>
      <c r="F351" s="10">
        <f ca="1">_xll.DBRW($C$1,$C$2,$C$3,$C$4,$C$6,$C$5,$C$7,F$1,F$2,$A351)</f>
        <v>0</v>
      </c>
      <c r="G351" s="10">
        <f ca="1">_xll.DBRW($C$1,$C$2,$C$3,$C$4,$C$6,$C$5,$C$7,G$1,G$2,$A351)</f>
        <v>0</v>
      </c>
      <c r="H351" s="10">
        <f ca="1">_xll.DBRW($C$1,$C$2,$C$3,$C$4,$C$6,$C$5,$C$7,H$1,H$2,$A351)</f>
        <v>0</v>
      </c>
    </row>
    <row r="352" spans="1:11" ht="15.5" collapsed="1">
      <c r="A352" s="1" t="s">
        <v>142</v>
      </c>
      <c r="C352" s="109"/>
      <c r="E352" s="17" t="s">
        <v>104</v>
      </c>
      <c r="F352" s="43">
        <f t="shared" ref="F352:H352" ca="1" si="123">SUM(F351)</f>
        <v>0</v>
      </c>
      <c r="G352" s="43">
        <f t="shared" ca="1" si="123"/>
        <v>0</v>
      </c>
      <c r="H352" s="43">
        <f t="shared" ca="1" si="123"/>
        <v>0</v>
      </c>
      <c r="J352" s="100">
        <f t="shared" ref="J352" ca="1" si="124">F352-G352</f>
        <v>0</v>
      </c>
      <c r="K352" s="100">
        <f t="shared" ref="K352" ca="1" si="125">F352-H352</f>
        <v>0</v>
      </c>
    </row>
    <row r="353" spans="1:11" ht="15.75" hidden="1" customHeight="1">
      <c r="A353" s="1" t="s">
        <v>377</v>
      </c>
      <c r="C353" s="109"/>
      <c r="E353" s="9" t="str">
        <f ca="1">_xll.DBRW(Server&amp;"}ElementAttributes_Indicator",A353,"code_English")</f>
        <v>Driver_turnover - Driver turnover in %</v>
      </c>
      <c r="F353" s="44">
        <f ca="1">_xll.DBRW($C$1,$C$2,$C$3,$C$4,$C$6,$C$5,$C$7,F$1,F$2,$A353)</f>
        <v>0</v>
      </c>
      <c r="G353" s="44">
        <f ca="1">_xll.DBRW($C$1,$C$2,$C$3,$C$4,$C$6,$C$5,$C$7,G$1,G$2,$A353)</f>
        <v>0</v>
      </c>
      <c r="H353" s="44">
        <f ca="1">_xll.DBRW($C$1,$C$2,$C$3,$C$4,$C$6,$C$5,$C$7,H$1,H$2,$A353)</f>
        <v>0</v>
      </c>
      <c r="J353" s="33">
        <f t="shared" ref="J353:J356" ca="1" si="126">F353-G353</f>
        <v>0</v>
      </c>
      <c r="K353" s="33">
        <f t="shared" ref="K353:K356" ca="1" si="127">F353-H353</f>
        <v>0</v>
      </c>
    </row>
    <row r="354" spans="1:11" ht="15.5" collapsed="1">
      <c r="A354" s="1" t="s">
        <v>142</v>
      </c>
      <c r="C354" s="109"/>
      <c r="E354" s="84" t="s">
        <v>382</v>
      </c>
      <c r="F354" s="45">
        <f t="shared" ref="F354:H354" ca="1" si="128">SUM(F353)</f>
        <v>0</v>
      </c>
      <c r="G354" s="45">
        <f t="shared" ca="1" si="128"/>
        <v>0</v>
      </c>
      <c r="H354" s="45">
        <f t="shared" ca="1" si="128"/>
        <v>0</v>
      </c>
      <c r="J354" s="33">
        <f t="shared" ca="1" si="126"/>
        <v>0</v>
      </c>
      <c r="K354" s="33">
        <f t="shared" ca="1" si="127"/>
        <v>0</v>
      </c>
    </row>
    <row r="355" spans="1:11" ht="15.75" hidden="1" customHeight="1">
      <c r="A355" s="1" t="s">
        <v>378</v>
      </c>
      <c r="C355" s="109"/>
      <c r="E355" s="9" t="str">
        <f ca="1">_xll.DBRW(Server&amp;"}ElementAttributes_Indicator",A355,"code_English")</f>
        <v>Nb_Driver_open_positions - Driver open positions</v>
      </c>
      <c r="F355" s="44">
        <f ca="1">_xll.DBRW($C$1,$C$2,$C$3,$C$4,$C$6,$C$5,$C$7,F$1,F$2,$A355)</f>
        <v>0</v>
      </c>
      <c r="G355" s="44">
        <f ca="1">_xll.DBRW($C$1,$C$2,$C$3,$C$4,$C$6,$C$5,$C$7,G$1,G$2,$A355)</f>
        <v>0</v>
      </c>
      <c r="H355" s="44">
        <f ca="1">_xll.DBRW($C$1,$C$2,$C$3,$C$4,$C$6,$C$5,$C$7,H$1,H$2,$A355)</f>
        <v>0</v>
      </c>
      <c r="J355" s="33">
        <f t="shared" ca="1" si="126"/>
        <v>0</v>
      </c>
      <c r="K355" s="33">
        <f t="shared" ca="1" si="127"/>
        <v>0</v>
      </c>
    </row>
    <row r="356" spans="1:11" ht="15.5" collapsed="1">
      <c r="C356" s="109"/>
      <c r="E356" s="87" t="s">
        <v>105</v>
      </c>
      <c r="F356" s="46">
        <f t="shared" ref="F356:H356" ca="1" si="129">SUM(F355)</f>
        <v>0</v>
      </c>
      <c r="G356" s="46">
        <f t="shared" ca="1" si="129"/>
        <v>0</v>
      </c>
      <c r="H356" s="46">
        <f t="shared" ca="1" si="129"/>
        <v>0</v>
      </c>
      <c r="J356" s="102">
        <f t="shared" ca="1" si="126"/>
        <v>0</v>
      </c>
      <c r="K356" s="102">
        <f t="shared" ca="1" si="127"/>
        <v>0</v>
      </c>
    </row>
    <row r="357" spans="1:11" ht="15.5">
      <c r="A357" s="1" t="s">
        <v>142</v>
      </c>
      <c r="C357" s="26"/>
      <c r="E357" s="51"/>
      <c r="F357" s="56"/>
      <c r="G357" s="56"/>
      <c r="H357" s="56"/>
    </row>
    <row r="358" spans="1:11">
      <c r="A358" s="1" t="s">
        <v>142</v>
      </c>
      <c r="C358" s="54"/>
    </row>
    <row r="359" spans="1:11" ht="15.75" customHeight="1">
      <c r="A359" s="1" t="s">
        <v>142</v>
      </c>
      <c r="C359" s="109" t="s">
        <v>106</v>
      </c>
      <c r="E359" s="17" t="s">
        <v>107</v>
      </c>
      <c r="F359" s="78" t="str">
        <f t="shared" ref="F359:H359" ca="1" si="130">IFERROR((F43/(F43+F82+F100+F116+F188)),"-")</f>
        <v>-</v>
      </c>
      <c r="G359" s="78" t="str">
        <f t="shared" ca="1" si="130"/>
        <v>-</v>
      </c>
      <c r="H359" s="78" t="str">
        <f t="shared" ca="1" si="130"/>
        <v>-</v>
      </c>
      <c r="J359" s="100" t="e">
        <f t="shared" ref="J359" ca="1" si="131">F359-G359</f>
        <v>#VALUE!</v>
      </c>
      <c r="K359" s="100" t="e">
        <f t="shared" ref="K359" ca="1" si="132">F359-H359</f>
        <v>#VALUE!</v>
      </c>
    </row>
    <row r="360" spans="1:11" ht="15.5">
      <c r="A360" s="1" t="s">
        <v>142</v>
      </c>
      <c r="C360" s="109"/>
      <c r="E360" s="15" t="s">
        <v>108</v>
      </c>
      <c r="F360" s="79" t="str">
        <f t="shared" ref="F360:H360" ca="1" si="133">IFERROR((F82/(F43+F82+F100+F116+F188)),"-")</f>
        <v>-</v>
      </c>
      <c r="G360" s="79" t="str">
        <f t="shared" ca="1" si="133"/>
        <v>-</v>
      </c>
      <c r="H360" s="79" t="str">
        <f t="shared" ca="1" si="133"/>
        <v>-</v>
      </c>
      <c r="J360" s="33" t="e">
        <f t="shared" ref="J360:J386" ca="1" si="134">F360-G360</f>
        <v>#VALUE!</v>
      </c>
      <c r="K360" s="33" t="e">
        <f t="shared" ref="K360:K386" ca="1" si="135">F360-H360</f>
        <v>#VALUE!</v>
      </c>
    </row>
    <row r="361" spans="1:11" ht="15.5">
      <c r="A361" s="1" t="s">
        <v>142</v>
      </c>
      <c r="C361" s="109"/>
      <c r="E361" s="15" t="s">
        <v>109</v>
      </c>
      <c r="F361" s="79" t="str">
        <f t="shared" ref="F361:H361" ca="1" si="136">IFERROR((F100/(F43+F82+F100+F116+F188)),"-")</f>
        <v>-</v>
      </c>
      <c r="G361" s="79" t="str">
        <f t="shared" ca="1" si="136"/>
        <v>-</v>
      </c>
      <c r="H361" s="79" t="str">
        <f t="shared" ca="1" si="136"/>
        <v>-</v>
      </c>
      <c r="J361" s="33" t="e">
        <f t="shared" ca="1" si="134"/>
        <v>#VALUE!</v>
      </c>
      <c r="K361" s="33" t="e">
        <f t="shared" ca="1" si="135"/>
        <v>#VALUE!</v>
      </c>
    </row>
    <row r="362" spans="1:11" ht="15.5">
      <c r="A362" s="1" t="s">
        <v>142</v>
      </c>
      <c r="C362" s="109"/>
      <c r="E362" s="15" t="s">
        <v>110</v>
      </c>
      <c r="F362" s="79" t="str">
        <f t="shared" ref="F362:H362" ca="1" si="137">IFERROR((F116/(F43+F82+F100+F116+F188)),"-")</f>
        <v>-</v>
      </c>
      <c r="G362" s="79" t="str">
        <f t="shared" ca="1" si="137"/>
        <v>-</v>
      </c>
      <c r="H362" s="79" t="str">
        <f t="shared" ca="1" si="137"/>
        <v>-</v>
      </c>
      <c r="J362" s="33" t="e">
        <f t="shared" ca="1" si="134"/>
        <v>#VALUE!</v>
      </c>
      <c r="K362" s="33" t="e">
        <f t="shared" ca="1" si="135"/>
        <v>#VALUE!</v>
      </c>
    </row>
    <row r="363" spans="1:11" ht="15.5">
      <c r="A363" s="1" t="s">
        <v>142</v>
      </c>
      <c r="C363" s="109"/>
      <c r="E363" s="15" t="s">
        <v>111</v>
      </c>
      <c r="F363" s="80" t="str">
        <f t="shared" ref="F363:H363" ca="1" si="138">IFERROR((F188/(F43+F82+F100+F116+F188)),"-")</f>
        <v>-</v>
      </c>
      <c r="G363" s="80" t="str">
        <f t="shared" ca="1" si="138"/>
        <v>-</v>
      </c>
      <c r="H363" s="80" t="str">
        <f t="shared" ca="1" si="138"/>
        <v>-</v>
      </c>
      <c r="J363" s="33" t="e">
        <f t="shared" ca="1" si="134"/>
        <v>#VALUE!</v>
      </c>
      <c r="K363" s="33" t="e">
        <f t="shared" ca="1" si="135"/>
        <v>#VALUE!</v>
      </c>
    </row>
    <row r="364" spans="1:11" ht="15.5">
      <c r="A364" s="1" t="s">
        <v>142</v>
      </c>
      <c r="C364" s="109"/>
      <c r="E364" s="53" t="s">
        <v>112</v>
      </c>
      <c r="F364" s="81" t="str">
        <f t="shared" ref="F364:H364" ca="1" si="139">IFERROR(-F260/F23,"-")</f>
        <v>-</v>
      </c>
      <c r="G364" s="81" t="str">
        <f t="shared" ca="1" si="139"/>
        <v>-</v>
      </c>
      <c r="H364" s="81" t="str">
        <f t="shared" ca="1" si="139"/>
        <v>-</v>
      </c>
      <c r="J364" s="33" t="e">
        <f t="shared" ca="1" si="134"/>
        <v>#VALUE!</v>
      </c>
      <c r="K364" s="33" t="e">
        <f t="shared" ca="1" si="135"/>
        <v>#VALUE!</v>
      </c>
    </row>
    <row r="365" spans="1:11" ht="9" customHeight="1">
      <c r="A365" s="1" t="s">
        <v>142</v>
      </c>
      <c r="C365" s="109"/>
      <c r="E365" s="7"/>
      <c r="F365" s="8"/>
      <c r="G365" s="8"/>
      <c r="H365" s="8"/>
      <c r="J365" s="99"/>
      <c r="K365" s="99"/>
    </row>
    <row r="366" spans="1:11" ht="15.5">
      <c r="A366" s="1" t="s">
        <v>142</v>
      </c>
      <c r="C366" s="109"/>
      <c r="E366" s="17" t="str">
        <f ca="1">"Revenue "&amp;RIGHT(Context!$F$39,3)&amp;"/km"</f>
        <v>Revenue EUR/km</v>
      </c>
      <c r="F366" s="58" t="str">
        <f t="shared" ref="F366:H366" ca="1" si="140">IFERROR(F23/F315,"-")</f>
        <v>-</v>
      </c>
      <c r="G366" s="58" t="str">
        <f t="shared" ca="1" si="140"/>
        <v>-</v>
      </c>
      <c r="H366" s="58" t="str">
        <f t="shared" ca="1" si="140"/>
        <v>-</v>
      </c>
      <c r="J366" s="33" t="e">
        <f t="shared" ca="1" si="134"/>
        <v>#VALUE!</v>
      </c>
      <c r="K366" s="33" t="e">
        <f t="shared" ca="1" si="135"/>
        <v>#VALUE!</v>
      </c>
    </row>
    <row r="367" spans="1:11" ht="15.5">
      <c r="A367" s="1" t="s">
        <v>142</v>
      </c>
      <c r="C367" s="109"/>
      <c r="E367" s="15" t="s">
        <v>113</v>
      </c>
      <c r="F367" s="57" t="str">
        <f ca="1">IFERROR(F331/F311,"-")</f>
        <v>-</v>
      </c>
      <c r="G367" s="57" t="str">
        <f t="shared" ref="G367:H367" ca="1" si="141">IFERROR(G331/G311,"-")</f>
        <v>-</v>
      </c>
      <c r="H367" s="57" t="str">
        <f t="shared" ca="1" si="141"/>
        <v>-</v>
      </c>
      <c r="J367" s="33" t="e">
        <f t="shared" ca="1" si="134"/>
        <v>#VALUE!</v>
      </c>
      <c r="K367" s="33" t="e">
        <f t="shared" ca="1" si="135"/>
        <v>#VALUE!</v>
      </c>
    </row>
    <row r="368" spans="1:11" ht="15.5">
      <c r="A368" s="1" t="s">
        <v>142</v>
      </c>
      <c r="C368" s="109"/>
      <c r="E368" s="15" t="s">
        <v>114</v>
      </c>
      <c r="F368" s="57" t="str">
        <f ca="1">IFERROR(F333/F312,"-")</f>
        <v>-</v>
      </c>
      <c r="G368" s="57" t="str">
        <f t="shared" ref="G368:H368" ca="1" si="142">IFERROR(G333/G312,"-")</f>
        <v>-</v>
      </c>
      <c r="H368" s="57" t="str">
        <f t="shared" ca="1" si="142"/>
        <v>-</v>
      </c>
      <c r="J368" s="33" t="e">
        <f t="shared" ca="1" si="134"/>
        <v>#VALUE!</v>
      </c>
      <c r="K368" s="33" t="e">
        <f t="shared" ca="1" si="135"/>
        <v>#VALUE!</v>
      </c>
    </row>
    <row r="369" spans="1:11" ht="15.5">
      <c r="A369" s="1" t="s">
        <v>142</v>
      </c>
      <c r="C369" s="109"/>
      <c r="E369" s="15" t="s">
        <v>115</v>
      </c>
      <c r="F369" s="57" t="str">
        <f ca="1">IFERROR(F335/F314,"-")</f>
        <v>-</v>
      </c>
      <c r="G369" s="57" t="str">
        <f t="shared" ref="G369:H369" ca="1" si="143">IFERROR(G335/G314,"-")</f>
        <v>-</v>
      </c>
      <c r="H369" s="57" t="str">
        <f t="shared" ca="1" si="143"/>
        <v>-</v>
      </c>
      <c r="J369" s="33" t="e">
        <f t="shared" ca="1" si="134"/>
        <v>#VALUE!</v>
      </c>
      <c r="K369" s="33" t="e">
        <f t="shared" ca="1" si="135"/>
        <v>#VALUE!</v>
      </c>
    </row>
    <row r="370" spans="1:11" ht="15.5">
      <c r="A370" s="1" t="s">
        <v>142</v>
      </c>
      <c r="C370" s="109"/>
      <c r="E370" s="15" t="s">
        <v>116</v>
      </c>
      <c r="F370" s="57" t="str">
        <f ca="1">IFERROR(F337/F313,"-")</f>
        <v>-</v>
      </c>
      <c r="G370" s="57" t="str">
        <f t="shared" ref="G370:H370" ca="1" si="144">IFERROR(G337/G313,"-")</f>
        <v>-</v>
      </c>
      <c r="H370" s="57" t="str">
        <f t="shared" ca="1" si="144"/>
        <v>-</v>
      </c>
      <c r="J370" s="33" t="e">
        <f t="shared" ca="1" si="134"/>
        <v>#VALUE!</v>
      </c>
      <c r="K370" s="33" t="e">
        <f t="shared" ca="1" si="135"/>
        <v>#VALUE!</v>
      </c>
    </row>
    <row r="371" spans="1:11" ht="15.5">
      <c r="A371" s="1" t="s">
        <v>142</v>
      </c>
      <c r="C371" s="109"/>
      <c r="E371" s="15" t="str">
        <f ca="1">"(E2) Cost "&amp;RIGHT(Context!$F$39,3)&amp;"/L (fuel)"</f>
        <v>(E2) Cost EUR/L (fuel)</v>
      </c>
      <c r="F371" s="57" t="str">
        <f t="shared" ref="F371:H371" ca="1" si="145">IFERROR(F90/F331,"-")</f>
        <v>-</v>
      </c>
      <c r="G371" s="57" t="str">
        <f t="shared" ca="1" si="145"/>
        <v>-</v>
      </c>
      <c r="H371" s="57" t="str">
        <f t="shared" ca="1" si="145"/>
        <v>-</v>
      </c>
      <c r="J371" s="33" t="e">
        <f t="shared" ca="1" si="134"/>
        <v>#VALUE!</v>
      </c>
      <c r="K371" s="33" t="e">
        <f t="shared" ca="1" si="135"/>
        <v>#VALUE!</v>
      </c>
    </row>
    <row r="372" spans="1:11" ht="15.5">
      <c r="A372" s="1" t="s">
        <v>142</v>
      </c>
      <c r="C372" s="109"/>
      <c r="E372" s="15" t="str">
        <f ca="1">"(E2) Cost "&amp;RIGHT(Context!$F$39,3)&amp;"/L (biofuel)"</f>
        <v>(E2) Cost EUR/L (biofuel)</v>
      </c>
      <c r="F372" s="57" t="str">
        <f t="shared" ref="F372:H372" ca="1" si="146">IFERROR(F93/F333,"-")</f>
        <v>-</v>
      </c>
      <c r="G372" s="57" t="str">
        <f t="shared" ca="1" si="146"/>
        <v>-</v>
      </c>
      <c r="H372" s="57" t="str">
        <f t="shared" ca="1" si="146"/>
        <v>-</v>
      </c>
      <c r="J372" s="33" t="e">
        <f t="shared" ca="1" si="134"/>
        <v>#VALUE!</v>
      </c>
      <c r="K372" s="33" t="e">
        <f t="shared" ca="1" si="135"/>
        <v>#VALUE!</v>
      </c>
    </row>
    <row r="373" spans="1:11" ht="15.5">
      <c r="A373" s="1" t="s">
        <v>142</v>
      </c>
      <c r="C373" s="109"/>
      <c r="E373" s="15" t="str">
        <f ca="1">"(E2) Cost "&amp;RIGHT(Context!$F$39,3)&amp;"/kWh (gas)"</f>
        <v>(E2) Cost EUR/kWh (gas)</v>
      </c>
      <c r="F373" s="57" t="str">
        <f t="shared" ref="F373:H373" ca="1" si="147">IFERROR(F96/F335,"-")</f>
        <v>-</v>
      </c>
      <c r="G373" s="57" t="str">
        <f t="shared" ca="1" si="147"/>
        <v>-</v>
      </c>
      <c r="H373" s="57" t="str">
        <f t="shared" ca="1" si="147"/>
        <v>-</v>
      </c>
      <c r="J373" s="33" t="e">
        <f t="shared" ca="1" si="134"/>
        <v>#VALUE!</v>
      </c>
      <c r="K373" s="33" t="e">
        <f t="shared" ca="1" si="135"/>
        <v>#VALUE!</v>
      </c>
    </row>
    <row r="374" spans="1:11" ht="15.5">
      <c r="A374" s="1" t="s">
        <v>142</v>
      </c>
      <c r="C374" s="109"/>
      <c r="E374" s="15" t="str">
        <f ca="1">"(E2) Cost "&amp;RIGHT(Context!$F$39,3)&amp;"/kWh (electricity)"</f>
        <v>(E2) Cost EUR/kWh (electricity)</v>
      </c>
      <c r="F374" s="57" t="str">
        <f t="shared" ref="F374:H374" ca="1" si="148">IFERROR(F85/F337,"-")</f>
        <v>-</v>
      </c>
      <c r="G374" s="57" t="str">
        <f t="shared" ca="1" si="148"/>
        <v>-</v>
      </c>
      <c r="H374" s="57" t="str">
        <f t="shared" ca="1" si="148"/>
        <v>-</v>
      </c>
      <c r="J374" s="33" t="e">
        <f t="shared" ca="1" si="134"/>
        <v>#VALUE!</v>
      </c>
      <c r="K374" s="33" t="e">
        <f t="shared" ca="1" si="135"/>
        <v>#VALUE!</v>
      </c>
    </row>
    <row r="375" spans="1:11" ht="15.5">
      <c r="A375" s="1" t="s">
        <v>142</v>
      </c>
      <c r="C375" s="109"/>
      <c r="E375" s="15" t="str">
        <f ca="1">"(D1) Payroll "&amp;RIGHT(Context!$F$39,3)&amp;"/FTE (Drivers)"</f>
        <v>(D1) Payroll EUR/FTE (Drivers)</v>
      </c>
      <c r="F375" s="57" t="str">
        <f t="shared" ref="F375:H375" ca="1" si="149">IFERROR(F43/F319,"-")</f>
        <v>-</v>
      </c>
      <c r="G375" s="57" t="str">
        <f t="shared" ca="1" si="149"/>
        <v>-</v>
      </c>
      <c r="H375" s="57" t="str">
        <f t="shared" ca="1" si="149"/>
        <v>-</v>
      </c>
      <c r="J375" s="33" t="e">
        <f t="shared" ca="1" si="134"/>
        <v>#VALUE!</v>
      </c>
      <c r="K375" s="33" t="e">
        <f t="shared" ca="1" si="135"/>
        <v>#VALUE!</v>
      </c>
    </row>
    <row r="376" spans="1:11" ht="15.5">
      <c r="A376" s="1" t="s">
        <v>142</v>
      </c>
      <c r="C376" s="109"/>
      <c r="E376" s="15" t="s">
        <v>117</v>
      </c>
      <c r="F376" s="57" t="str">
        <f t="shared" ref="F376:H376" ca="1" si="150">IFERROR(F315/F319,"-")</f>
        <v>-</v>
      </c>
      <c r="G376" s="57" t="str">
        <f t="shared" ca="1" si="150"/>
        <v>-</v>
      </c>
      <c r="H376" s="57" t="str">
        <f t="shared" ca="1" si="150"/>
        <v>-</v>
      </c>
      <c r="J376" s="33" t="e">
        <f t="shared" ca="1" si="134"/>
        <v>#VALUE!</v>
      </c>
      <c r="K376" s="33" t="e">
        <f t="shared" ca="1" si="135"/>
        <v>#VALUE!</v>
      </c>
    </row>
    <row r="377" spans="1:11" ht="15.5">
      <c r="A377" s="1" t="s">
        <v>142</v>
      </c>
      <c r="C377" s="109"/>
      <c r="E377" s="15" t="str">
        <f ca="1">"(M1) "&amp;RIGHT(Context!$F$39,3)&amp;"/veh"</f>
        <v>(M1) EUR/veh</v>
      </c>
      <c r="F377" s="57" t="str">
        <f t="shared" ref="F377:H377" ca="1" si="151">IFERROR(F46/(F339+F341+F343+F345+F347+F349),"-")</f>
        <v>-</v>
      </c>
      <c r="G377" s="57" t="str">
        <f t="shared" ca="1" si="151"/>
        <v>-</v>
      </c>
      <c r="H377" s="57" t="str">
        <f t="shared" ca="1" si="151"/>
        <v>-</v>
      </c>
      <c r="J377" s="33" t="e">
        <f t="shared" ca="1" si="134"/>
        <v>#VALUE!</v>
      </c>
      <c r="K377" s="33" t="e">
        <f t="shared" ca="1" si="135"/>
        <v>#VALUE!</v>
      </c>
    </row>
    <row r="378" spans="1:11" ht="15.5">
      <c r="A378" s="1" t="s">
        <v>142</v>
      </c>
      <c r="C378" s="109"/>
      <c r="E378" s="15" t="str">
        <f ca="1">"(M2) Payroll "&amp;RIGHT(Context!$F$39,3)&amp;"/FTE (Maintenance)"</f>
        <v>(M2) Payroll EUR/FTE (Maintenance)</v>
      </c>
      <c r="F378" s="57" t="str">
        <f t="shared" ref="F378:H378" ca="1" si="152">IFERROR(F46/(F322+F326),"-")</f>
        <v>-</v>
      </c>
      <c r="G378" s="57" t="str">
        <f t="shared" ca="1" si="152"/>
        <v>-</v>
      </c>
      <c r="H378" s="57" t="str">
        <f t="shared" ca="1" si="152"/>
        <v>-</v>
      </c>
      <c r="J378" s="33" t="e">
        <f t="shared" ca="1" si="134"/>
        <v>#VALUE!</v>
      </c>
      <c r="K378" s="33" t="e">
        <f t="shared" ca="1" si="135"/>
        <v>#VALUE!</v>
      </c>
    </row>
    <row r="379" spans="1:11" ht="15.5">
      <c r="A379" s="1" t="s">
        <v>142</v>
      </c>
      <c r="C379" s="109"/>
      <c r="E379" s="15" t="s">
        <v>118</v>
      </c>
      <c r="F379" s="57" t="str">
        <f ca="1">IFERROR(F322/(F339+F341+F343+F345+F347+F349),"-")</f>
        <v>-</v>
      </c>
      <c r="G379" s="57" t="str">
        <f t="shared" ref="G379:H379" ca="1" si="153">IFERROR(G322/(G339+G341+G343+G345+G347+G349),"-")</f>
        <v>-</v>
      </c>
      <c r="H379" s="57" t="str">
        <f t="shared" ca="1" si="153"/>
        <v>-</v>
      </c>
      <c r="J379" s="33" t="e">
        <f t="shared" ca="1" si="134"/>
        <v>#VALUE!</v>
      </c>
      <c r="K379" s="33" t="e">
        <f t="shared" ca="1" si="135"/>
        <v>#VALUE!</v>
      </c>
    </row>
    <row r="380" spans="1:11" ht="15.5">
      <c r="A380" s="1" t="s">
        <v>142</v>
      </c>
      <c r="C380" s="109"/>
      <c r="E380" s="15" t="s">
        <v>119</v>
      </c>
      <c r="F380" s="57" t="str">
        <f ca="1">IFERROR(F305/F339,"-")</f>
        <v>-</v>
      </c>
      <c r="G380" s="57" t="str">
        <f t="shared" ref="G380:H380" ca="1" si="154">IFERROR(G305/G339,"-")</f>
        <v>-</v>
      </c>
      <c r="H380" s="57" t="str">
        <f t="shared" ca="1" si="154"/>
        <v>-</v>
      </c>
      <c r="J380" s="33" t="e">
        <f t="shared" ca="1" si="134"/>
        <v>#VALUE!</v>
      </c>
      <c r="K380" s="33" t="e">
        <f t="shared" ca="1" si="135"/>
        <v>#VALUE!</v>
      </c>
    </row>
    <row r="381" spans="1:11" ht="15.5">
      <c r="A381" s="1" t="s">
        <v>142</v>
      </c>
      <c r="C381" s="109"/>
      <c r="E381" s="15" t="s">
        <v>120</v>
      </c>
      <c r="F381" s="57" t="str">
        <f ca="1">IFERROR(F306/F341,"-")</f>
        <v>-</v>
      </c>
      <c r="G381" s="57" t="str">
        <f t="shared" ref="G381:H381" ca="1" si="155">IFERROR(G306/G341,"-")</f>
        <v>-</v>
      </c>
      <c r="H381" s="57" t="str">
        <f t="shared" ca="1" si="155"/>
        <v>-</v>
      </c>
      <c r="J381" s="33" t="e">
        <f t="shared" ca="1" si="134"/>
        <v>#VALUE!</v>
      </c>
      <c r="K381" s="33" t="e">
        <f t="shared" ca="1" si="135"/>
        <v>#VALUE!</v>
      </c>
    </row>
    <row r="382" spans="1:11" ht="15.5">
      <c r="A382" s="1" t="s">
        <v>142</v>
      </c>
      <c r="C382" s="109"/>
      <c r="E382" s="15" t="s">
        <v>121</v>
      </c>
      <c r="F382" s="57" t="str">
        <f ca="1">IFERROR(F307/F343,"-")</f>
        <v>-</v>
      </c>
      <c r="G382" s="57" t="str">
        <f t="shared" ref="G382:H382" ca="1" si="156">IFERROR(G307/G343,"-")</f>
        <v>-</v>
      </c>
      <c r="H382" s="57" t="str">
        <f t="shared" ca="1" si="156"/>
        <v>-</v>
      </c>
      <c r="J382" s="33" t="e">
        <f t="shared" ca="1" si="134"/>
        <v>#VALUE!</v>
      </c>
      <c r="K382" s="33" t="e">
        <f t="shared" ca="1" si="135"/>
        <v>#VALUE!</v>
      </c>
    </row>
    <row r="383" spans="1:11" ht="15.5">
      <c r="A383" s="1" t="s">
        <v>142</v>
      </c>
      <c r="C383" s="109"/>
      <c r="E383" s="15" t="s">
        <v>122</v>
      </c>
      <c r="F383" s="57" t="str">
        <f ca="1">IFERROR(F308/F345,"-")</f>
        <v>-</v>
      </c>
      <c r="G383" s="57" t="str">
        <f t="shared" ref="G383:H383" ca="1" si="157">IFERROR(G308/G345,"-")</f>
        <v>-</v>
      </c>
      <c r="H383" s="57" t="str">
        <f t="shared" ca="1" si="157"/>
        <v>-</v>
      </c>
      <c r="J383" s="33" t="e">
        <f t="shared" ca="1" si="134"/>
        <v>#VALUE!</v>
      </c>
      <c r="K383" s="33" t="e">
        <f t="shared" ca="1" si="135"/>
        <v>#VALUE!</v>
      </c>
    </row>
    <row r="384" spans="1:11" ht="15.5">
      <c r="A384" s="1" t="s">
        <v>142</v>
      </c>
      <c r="C384" s="109"/>
      <c r="E384" s="15" t="s">
        <v>123</v>
      </c>
      <c r="F384" s="57" t="str">
        <f ca="1">IFERROR(F309/F347,"-")</f>
        <v>-</v>
      </c>
      <c r="G384" s="57" t="str">
        <f t="shared" ref="G384:H384" ca="1" si="158">IFERROR(G309/G347,"-")</f>
        <v>-</v>
      </c>
      <c r="H384" s="57" t="str">
        <f t="shared" ca="1" si="158"/>
        <v>-</v>
      </c>
      <c r="J384" s="33" t="e">
        <f t="shared" ca="1" si="134"/>
        <v>#VALUE!</v>
      </c>
      <c r="K384" s="33" t="e">
        <f t="shared" ca="1" si="135"/>
        <v>#VALUE!</v>
      </c>
    </row>
    <row r="385" spans="1:11" ht="15.5">
      <c r="A385" s="1" t="s">
        <v>142</v>
      </c>
      <c r="C385" s="109"/>
      <c r="E385" s="15" t="s">
        <v>124</v>
      </c>
      <c r="F385" s="57" t="str">
        <f ca="1">IFERROR(F310/F349,"-")</f>
        <v>-</v>
      </c>
      <c r="G385" s="57" t="str">
        <f t="shared" ref="G385:H385" ca="1" si="159">IFERROR(G310/G349,"-")</f>
        <v>-</v>
      </c>
      <c r="H385" s="57" t="str">
        <f t="shared" ca="1" si="159"/>
        <v>-</v>
      </c>
      <c r="J385" s="33" t="e">
        <f t="shared" ca="1" si="134"/>
        <v>#VALUE!</v>
      </c>
      <c r="K385" s="33" t="e">
        <f t="shared" ca="1" si="135"/>
        <v>#VALUE!</v>
      </c>
    </row>
    <row r="386" spans="1:11" ht="15.5">
      <c r="A386" s="1" t="s">
        <v>142</v>
      </c>
      <c r="C386" s="109"/>
      <c r="E386" s="18" t="str">
        <f ca="1">"(M5) "&amp;RIGHT(Context!$F$39,3)&amp;"/km"</f>
        <v>(M5) EUR/km</v>
      </c>
      <c r="F386" s="59" t="str">
        <f t="shared" ref="F386:H386" ca="1" si="160">IFERROR(F46/F315,"-")</f>
        <v>-</v>
      </c>
      <c r="G386" s="59" t="str">
        <f t="shared" ca="1" si="160"/>
        <v>-</v>
      </c>
      <c r="H386" s="59" t="str">
        <f t="shared" ca="1" si="160"/>
        <v>-</v>
      </c>
      <c r="J386" s="102" t="e">
        <f t="shared" ca="1" si="134"/>
        <v>#VALUE!</v>
      </c>
      <c r="K386" s="102" t="e">
        <f t="shared" ca="1" si="135"/>
        <v>#VALUE!</v>
      </c>
    </row>
    <row r="387" spans="1:11">
      <c r="F387" s="5"/>
      <c r="G387" s="5"/>
      <c r="H387" s="5"/>
    </row>
    <row r="388" spans="1:11">
      <c r="F388" s="5"/>
      <c r="G388" s="5"/>
      <c r="H388" s="5"/>
    </row>
    <row r="389" spans="1:11">
      <c r="F389" s="5"/>
      <c r="G389" s="5"/>
      <c r="H389" s="5"/>
    </row>
    <row r="390" spans="1:11">
      <c r="F390" s="5"/>
      <c r="G390" s="5"/>
      <c r="H390" s="5"/>
    </row>
    <row r="391" spans="1:11">
      <c r="F391" s="5"/>
      <c r="G391" s="5"/>
      <c r="H391" s="5"/>
    </row>
    <row r="392" spans="1:11">
      <c r="F392" s="5"/>
      <c r="G392" s="5"/>
      <c r="H392" s="5"/>
    </row>
    <row r="393" spans="1:11">
      <c r="F393" s="5"/>
      <c r="G393" s="5"/>
      <c r="H393" s="5"/>
    </row>
    <row r="394" spans="1:11">
      <c r="F394" s="5"/>
      <c r="G394" s="5"/>
      <c r="H394" s="5"/>
    </row>
    <row r="395" spans="1:11">
      <c r="F395" s="5"/>
      <c r="G395" s="5"/>
      <c r="H395" s="5"/>
    </row>
    <row r="396" spans="1:11">
      <c r="F396" s="5"/>
      <c r="G396" s="5"/>
      <c r="H396" s="5"/>
    </row>
    <row r="397" spans="1:11">
      <c r="F397" s="5"/>
      <c r="G397" s="5"/>
      <c r="H397" s="5"/>
    </row>
    <row r="398" spans="1:11">
      <c r="F398" s="5"/>
      <c r="G398" s="5"/>
      <c r="H398" s="5"/>
    </row>
    <row r="399" spans="1:11">
      <c r="F399" s="5"/>
      <c r="G399" s="5"/>
      <c r="H399" s="5"/>
    </row>
    <row r="400" spans="1:11">
      <c r="F400" s="5"/>
      <c r="G400" s="5"/>
      <c r="H400" s="5"/>
    </row>
    <row r="401" spans="6:8">
      <c r="F401" s="5"/>
      <c r="G401" s="5"/>
      <c r="H401" s="5"/>
    </row>
    <row r="402" spans="6:8">
      <c r="F402" s="5"/>
      <c r="G402" s="5"/>
      <c r="H402" s="5"/>
    </row>
    <row r="403" spans="6:8">
      <c r="F403" s="5"/>
      <c r="G403" s="5"/>
      <c r="H403" s="5"/>
    </row>
    <row r="404" spans="6:8">
      <c r="F404" s="5"/>
      <c r="G404" s="5"/>
      <c r="H404" s="5"/>
    </row>
    <row r="405" spans="6:8">
      <c r="F405" s="5"/>
      <c r="G405" s="5"/>
      <c r="H405" s="5"/>
    </row>
    <row r="406" spans="6:8">
      <c r="F406" s="5"/>
      <c r="G406" s="5"/>
      <c r="H406" s="5"/>
    </row>
    <row r="407" spans="6:8">
      <c r="F407" s="5"/>
      <c r="G407" s="5"/>
      <c r="H407" s="5"/>
    </row>
    <row r="408" spans="6:8">
      <c r="F408" s="5"/>
      <c r="G408" s="5"/>
      <c r="H408" s="5"/>
    </row>
    <row r="409" spans="6:8">
      <c r="F409" s="5"/>
      <c r="G409" s="5"/>
      <c r="H409" s="5"/>
    </row>
    <row r="410" spans="6:8">
      <c r="F410" s="5"/>
      <c r="G410" s="5"/>
      <c r="H410" s="5"/>
    </row>
    <row r="411" spans="6:8">
      <c r="F411" s="5"/>
      <c r="G411" s="5"/>
      <c r="H411" s="5"/>
    </row>
    <row r="412" spans="6:8">
      <c r="F412" s="5"/>
      <c r="G412" s="5"/>
      <c r="H412" s="5"/>
    </row>
    <row r="413" spans="6:8">
      <c r="F413" s="5"/>
      <c r="G413" s="5"/>
      <c r="H413" s="5"/>
    </row>
    <row r="414" spans="6:8">
      <c r="F414" s="5"/>
      <c r="G414" s="5"/>
      <c r="H414" s="5"/>
    </row>
    <row r="415" spans="6:8">
      <c r="F415" s="5"/>
      <c r="G415" s="5"/>
      <c r="H415" s="5"/>
    </row>
    <row r="416" spans="6:8">
      <c r="F416" s="5"/>
      <c r="G416" s="5"/>
      <c r="H416" s="5"/>
    </row>
    <row r="417" spans="6:8">
      <c r="F417" s="5"/>
      <c r="G417" s="5"/>
      <c r="H417" s="5"/>
    </row>
    <row r="418" spans="6:8">
      <c r="F418" s="5"/>
      <c r="G418" s="5"/>
      <c r="H418" s="5"/>
    </row>
    <row r="419" spans="6:8">
      <c r="F419" s="5"/>
      <c r="G419" s="5"/>
      <c r="H419" s="5"/>
    </row>
    <row r="420" spans="6:8">
      <c r="F420" s="5"/>
      <c r="G420" s="5"/>
      <c r="H420" s="5"/>
    </row>
    <row r="421" spans="6:8">
      <c r="F421" s="5"/>
      <c r="G421" s="5"/>
      <c r="H421" s="5"/>
    </row>
    <row r="422" spans="6:8">
      <c r="F422" s="5"/>
      <c r="G422" s="5"/>
      <c r="H422" s="5"/>
    </row>
    <row r="423" spans="6:8">
      <c r="F423" s="5"/>
      <c r="G423" s="5"/>
      <c r="H423" s="5"/>
    </row>
    <row r="424" spans="6:8">
      <c r="F424" s="5"/>
      <c r="G424" s="5"/>
      <c r="H424" s="5"/>
    </row>
    <row r="425" spans="6:8">
      <c r="F425" s="5"/>
      <c r="G425" s="5"/>
      <c r="H425" s="5"/>
    </row>
    <row r="426" spans="6:8">
      <c r="F426" s="5"/>
      <c r="G426" s="5"/>
      <c r="H426" s="5"/>
    </row>
    <row r="427" spans="6:8">
      <c r="F427" s="5"/>
      <c r="G427" s="5"/>
      <c r="H427" s="5"/>
    </row>
    <row r="428" spans="6:8">
      <c r="F428" s="5"/>
      <c r="G428" s="5"/>
      <c r="H428" s="5"/>
    </row>
    <row r="429" spans="6:8">
      <c r="F429" s="5"/>
      <c r="G429" s="5"/>
      <c r="H429" s="5"/>
    </row>
    <row r="430" spans="6:8">
      <c r="F430" s="5"/>
      <c r="G430" s="5"/>
      <c r="H430" s="5"/>
    </row>
    <row r="431" spans="6:8">
      <c r="F431" s="5"/>
      <c r="G431" s="5"/>
      <c r="H431" s="5"/>
    </row>
    <row r="432" spans="6:8">
      <c r="F432" s="5"/>
      <c r="G432" s="5"/>
      <c r="H432" s="5"/>
    </row>
    <row r="433" spans="6:8">
      <c r="F433" s="5"/>
      <c r="G433" s="5"/>
      <c r="H433" s="5"/>
    </row>
    <row r="434" spans="6:8">
      <c r="F434" s="5"/>
      <c r="G434" s="5"/>
      <c r="H434" s="5"/>
    </row>
    <row r="435" spans="6:8">
      <c r="F435" s="5"/>
      <c r="G435" s="5"/>
      <c r="H435" s="5"/>
    </row>
    <row r="436" spans="6:8">
      <c r="F436" s="5"/>
      <c r="G436" s="5"/>
      <c r="H436" s="5"/>
    </row>
    <row r="437" spans="6:8">
      <c r="F437" s="5"/>
      <c r="G437" s="5"/>
      <c r="H437" s="5"/>
    </row>
    <row r="438" spans="6:8">
      <c r="F438" s="5"/>
      <c r="G438" s="5"/>
      <c r="H438" s="5"/>
    </row>
    <row r="439" spans="6:8">
      <c r="F439" s="5"/>
      <c r="G439" s="5"/>
      <c r="H439" s="5"/>
    </row>
    <row r="440" spans="6:8">
      <c r="F440" s="5"/>
      <c r="G440" s="5"/>
      <c r="H440" s="5"/>
    </row>
    <row r="441" spans="6:8">
      <c r="F441" s="5"/>
      <c r="G441" s="5"/>
      <c r="H441" s="5"/>
    </row>
    <row r="442" spans="6:8">
      <c r="F442" s="5"/>
      <c r="G442" s="5"/>
      <c r="H442" s="5"/>
    </row>
    <row r="443" spans="6:8">
      <c r="F443" s="5"/>
      <c r="G443" s="5"/>
      <c r="H443" s="5"/>
    </row>
    <row r="444" spans="6:8">
      <c r="F444" s="5"/>
      <c r="G444" s="5"/>
      <c r="H444" s="5"/>
    </row>
    <row r="445" spans="6:8">
      <c r="F445" s="5"/>
      <c r="G445" s="5"/>
      <c r="H445" s="5"/>
    </row>
    <row r="446" spans="6:8">
      <c r="F446" s="5"/>
      <c r="G446" s="5"/>
      <c r="H446" s="5"/>
    </row>
    <row r="447" spans="6:8">
      <c r="F447" s="5"/>
      <c r="G447" s="5"/>
      <c r="H447" s="5"/>
    </row>
    <row r="448" spans="6:8">
      <c r="F448" s="5"/>
      <c r="G448" s="5"/>
      <c r="H448" s="5"/>
    </row>
    <row r="449" spans="6:8">
      <c r="F449" s="5"/>
      <c r="G449" s="5"/>
      <c r="H449" s="5"/>
    </row>
    <row r="450" spans="6:8">
      <c r="F450" s="5"/>
      <c r="G450" s="5"/>
      <c r="H450" s="5"/>
    </row>
    <row r="451" spans="6:8">
      <c r="F451" s="5"/>
      <c r="G451" s="5"/>
      <c r="H451" s="5"/>
    </row>
    <row r="452" spans="6:8">
      <c r="F452" s="5"/>
      <c r="G452" s="5"/>
      <c r="H452" s="5"/>
    </row>
    <row r="453" spans="6:8">
      <c r="F453" s="5"/>
      <c r="G453" s="5"/>
      <c r="H453" s="5"/>
    </row>
    <row r="454" spans="6:8">
      <c r="F454" s="5"/>
      <c r="G454" s="5"/>
      <c r="H454" s="5"/>
    </row>
    <row r="455" spans="6:8">
      <c r="F455" s="5"/>
      <c r="G455" s="5"/>
      <c r="H455" s="5"/>
    </row>
    <row r="456" spans="6:8">
      <c r="F456" s="5"/>
      <c r="G456" s="5"/>
      <c r="H456" s="5"/>
    </row>
    <row r="457" spans="6:8">
      <c r="F457" s="5"/>
      <c r="G457" s="5"/>
      <c r="H457" s="5"/>
    </row>
    <row r="458" spans="6:8">
      <c r="F458" s="5"/>
      <c r="G458" s="5"/>
      <c r="H458" s="5"/>
    </row>
    <row r="459" spans="6:8">
      <c r="F459" s="5"/>
      <c r="G459" s="5"/>
      <c r="H459" s="5"/>
    </row>
    <row r="460" spans="6:8">
      <c r="F460" s="5"/>
      <c r="G460" s="5"/>
      <c r="H460" s="5"/>
    </row>
    <row r="461" spans="6:8">
      <c r="F461" s="5"/>
      <c r="G461" s="5"/>
      <c r="H461" s="5"/>
    </row>
    <row r="462" spans="6:8">
      <c r="F462" s="5"/>
      <c r="G462" s="5"/>
      <c r="H462" s="5"/>
    </row>
    <row r="463" spans="6:8">
      <c r="F463" s="5"/>
      <c r="G463" s="5"/>
      <c r="H463" s="5"/>
    </row>
    <row r="464" spans="6:8">
      <c r="F464" s="5"/>
      <c r="G464" s="5"/>
      <c r="H464" s="5"/>
    </row>
    <row r="465" spans="6:8">
      <c r="F465" s="5"/>
      <c r="G465" s="5"/>
      <c r="H465" s="5"/>
    </row>
    <row r="466" spans="6:8">
      <c r="F466" s="5"/>
      <c r="G466" s="5"/>
      <c r="H466" s="5"/>
    </row>
    <row r="467" spans="6:8">
      <c r="F467" s="5"/>
      <c r="G467" s="5"/>
      <c r="H467" s="5"/>
    </row>
    <row r="468" spans="6:8">
      <c r="F468" s="5"/>
      <c r="G468" s="5"/>
      <c r="H468" s="5"/>
    </row>
    <row r="469" spans="6:8">
      <c r="F469" s="5"/>
      <c r="G469" s="5"/>
      <c r="H469" s="5"/>
    </row>
    <row r="470" spans="6:8">
      <c r="F470" s="5"/>
      <c r="G470" s="5"/>
      <c r="H470" s="5"/>
    </row>
    <row r="471" spans="6:8">
      <c r="F471" s="5"/>
      <c r="G471" s="5"/>
      <c r="H471" s="5"/>
    </row>
    <row r="472" spans="6:8">
      <c r="F472" s="5"/>
      <c r="G472" s="5"/>
      <c r="H472" s="5"/>
    </row>
    <row r="473" spans="6:8">
      <c r="F473" s="5"/>
      <c r="G473" s="5"/>
      <c r="H473" s="5"/>
    </row>
    <row r="474" spans="6:8">
      <c r="F474" s="5"/>
      <c r="G474" s="5"/>
      <c r="H474" s="5"/>
    </row>
    <row r="475" spans="6:8">
      <c r="F475" s="5"/>
      <c r="G475" s="5"/>
      <c r="H475" s="5"/>
    </row>
    <row r="476" spans="6:8">
      <c r="F476" s="5"/>
      <c r="G476" s="5"/>
      <c r="H476" s="5"/>
    </row>
    <row r="477" spans="6:8">
      <c r="F477" s="5"/>
      <c r="G477" s="5"/>
      <c r="H477" s="5"/>
    </row>
    <row r="478" spans="6:8">
      <c r="F478" s="5"/>
      <c r="G478" s="5"/>
      <c r="H478" s="5"/>
    </row>
    <row r="479" spans="6:8">
      <c r="F479" s="5"/>
      <c r="G479" s="5"/>
      <c r="H479" s="5"/>
    </row>
    <row r="480" spans="6:8">
      <c r="F480" s="5"/>
      <c r="G480" s="5"/>
      <c r="H480" s="5"/>
    </row>
    <row r="481" spans="6:8">
      <c r="F481" s="5"/>
      <c r="G481" s="5"/>
      <c r="H481" s="5"/>
    </row>
    <row r="482" spans="6:8">
      <c r="F482" s="5"/>
      <c r="G482" s="5"/>
      <c r="H482" s="5"/>
    </row>
    <row r="483" spans="6:8">
      <c r="F483" s="5"/>
      <c r="G483" s="5"/>
      <c r="H483" s="5"/>
    </row>
    <row r="484" spans="6:8">
      <c r="F484" s="5"/>
      <c r="G484" s="5"/>
      <c r="H484" s="5"/>
    </row>
    <row r="485" spans="6:8">
      <c r="F485" s="5"/>
      <c r="G485" s="5"/>
      <c r="H485" s="5"/>
    </row>
    <row r="486" spans="6:8">
      <c r="F486" s="5"/>
      <c r="G486" s="5"/>
      <c r="H486" s="5"/>
    </row>
    <row r="487" spans="6:8">
      <c r="F487" s="5"/>
      <c r="G487" s="5"/>
      <c r="H487" s="5"/>
    </row>
    <row r="488" spans="6:8">
      <c r="F488" s="5"/>
      <c r="G488" s="5"/>
      <c r="H488" s="5"/>
    </row>
    <row r="489" spans="6:8">
      <c r="F489" s="5"/>
      <c r="G489" s="5"/>
      <c r="H489" s="5"/>
    </row>
    <row r="490" spans="6:8">
      <c r="F490" s="5"/>
      <c r="G490" s="5"/>
      <c r="H490" s="5"/>
    </row>
    <row r="491" spans="6:8">
      <c r="F491" s="5"/>
      <c r="G491" s="5"/>
      <c r="H491" s="5"/>
    </row>
    <row r="492" spans="6:8">
      <c r="F492" s="5"/>
      <c r="G492" s="5"/>
      <c r="H492" s="5"/>
    </row>
    <row r="493" spans="6:8">
      <c r="F493" s="5"/>
      <c r="G493" s="5"/>
      <c r="H493" s="5"/>
    </row>
    <row r="494" spans="6:8">
      <c r="F494" s="5"/>
      <c r="G494" s="5"/>
      <c r="H494" s="5"/>
    </row>
    <row r="495" spans="6:8">
      <c r="F495" s="5"/>
      <c r="G495" s="5"/>
      <c r="H495" s="5"/>
    </row>
    <row r="496" spans="6:8">
      <c r="F496" s="5"/>
      <c r="G496" s="5"/>
      <c r="H496" s="5"/>
    </row>
    <row r="497" spans="6:8">
      <c r="F497" s="5"/>
      <c r="G497" s="5"/>
      <c r="H497" s="5"/>
    </row>
    <row r="498" spans="6:8">
      <c r="F498" s="5"/>
      <c r="G498" s="5"/>
      <c r="H498" s="5"/>
    </row>
    <row r="499" spans="6:8">
      <c r="F499" s="5"/>
      <c r="G499" s="5"/>
      <c r="H499" s="5"/>
    </row>
    <row r="500" spans="6:8">
      <c r="F500" s="5"/>
      <c r="G500" s="5"/>
      <c r="H500" s="5"/>
    </row>
    <row r="501" spans="6:8">
      <c r="F501" s="5"/>
      <c r="G501" s="5"/>
      <c r="H501" s="5"/>
    </row>
    <row r="502" spans="6:8">
      <c r="F502" s="5"/>
      <c r="G502" s="5"/>
      <c r="H502" s="5"/>
    </row>
    <row r="503" spans="6:8">
      <c r="F503" s="5"/>
      <c r="G503" s="5"/>
      <c r="H503" s="5"/>
    </row>
    <row r="504" spans="6:8">
      <c r="F504" s="5"/>
      <c r="G504" s="5"/>
      <c r="H504" s="5"/>
    </row>
    <row r="505" spans="6:8">
      <c r="F505" s="5"/>
      <c r="G505" s="5"/>
      <c r="H505" s="5"/>
    </row>
    <row r="506" spans="6:8">
      <c r="F506" s="5"/>
      <c r="G506" s="5"/>
      <c r="H506" s="5"/>
    </row>
    <row r="507" spans="6:8">
      <c r="F507" s="5"/>
      <c r="G507" s="5"/>
      <c r="H507" s="5"/>
    </row>
    <row r="508" spans="6:8">
      <c r="F508" s="5"/>
      <c r="G508" s="5"/>
      <c r="H508" s="5"/>
    </row>
    <row r="509" spans="6:8">
      <c r="F509" s="5"/>
      <c r="G509" s="5"/>
      <c r="H509" s="5"/>
    </row>
    <row r="510" spans="6:8">
      <c r="F510" s="5"/>
      <c r="G510" s="5"/>
      <c r="H510" s="5"/>
    </row>
    <row r="511" spans="6:8">
      <c r="F511" s="5"/>
      <c r="G511" s="5"/>
      <c r="H511" s="5"/>
    </row>
    <row r="512" spans="6:8">
      <c r="F512" s="5"/>
      <c r="G512" s="5"/>
      <c r="H512" s="5"/>
    </row>
    <row r="513" spans="6:8">
      <c r="F513" s="5"/>
      <c r="G513" s="5"/>
      <c r="H513" s="5"/>
    </row>
    <row r="514" spans="6:8">
      <c r="F514" s="5"/>
      <c r="G514" s="5"/>
      <c r="H514" s="5"/>
    </row>
    <row r="515" spans="6:8">
      <c r="F515" s="5"/>
      <c r="G515" s="5"/>
      <c r="H515" s="5"/>
    </row>
    <row r="516" spans="6:8">
      <c r="F516" s="5"/>
      <c r="G516" s="5"/>
      <c r="H516" s="5"/>
    </row>
    <row r="517" spans="6:8">
      <c r="F517" s="5"/>
      <c r="G517" s="5"/>
      <c r="H517" s="5"/>
    </row>
    <row r="518" spans="6:8">
      <c r="F518" s="5"/>
      <c r="G518" s="5"/>
      <c r="H518" s="5"/>
    </row>
    <row r="519" spans="6:8">
      <c r="F519" s="5"/>
      <c r="G519" s="5"/>
      <c r="H519" s="5"/>
    </row>
    <row r="520" spans="6:8">
      <c r="F520" s="5"/>
      <c r="G520" s="5"/>
      <c r="H520" s="5"/>
    </row>
    <row r="521" spans="6:8">
      <c r="F521" s="5"/>
      <c r="G521" s="5"/>
      <c r="H521" s="5"/>
    </row>
    <row r="522" spans="6:8">
      <c r="F522" s="5"/>
      <c r="G522" s="5"/>
      <c r="H522" s="5"/>
    </row>
    <row r="523" spans="6:8">
      <c r="F523" s="5"/>
      <c r="G523" s="5"/>
      <c r="H523" s="5"/>
    </row>
    <row r="524" spans="6:8">
      <c r="F524" s="5"/>
      <c r="G524" s="5"/>
      <c r="H524" s="5"/>
    </row>
    <row r="525" spans="6:8">
      <c r="F525" s="5"/>
      <c r="G525" s="5"/>
      <c r="H525" s="5"/>
    </row>
    <row r="526" spans="6:8">
      <c r="F526" s="5"/>
      <c r="G526" s="5"/>
      <c r="H526" s="5"/>
    </row>
    <row r="527" spans="6:8">
      <c r="F527" s="5"/>
      <c r="G527" s="5"/>
      <c r="H527" s="5"/>
    </row>
    <row r="528" spans="6:8">
      <c r="F528" s="5"/>
      <c r="G528" s="5"/>
      <c r="H528" s="5"/>
    </row>
    <row r="529" spans="6:8">
      <c r="F529" s="5"/>
      <c r="G529" s="5"/>
      <c r="H529" s="5"/>
    </row>
    <row r="530" spans="6:8">
      <c r="F530" s="5"/>
      <c r="G530" s="5"/>
      <c r="H530" s="5"/>
    </row>
    <row r="531" spans="6:8">
      <c r="F531" s="5"/>
      <c r="G531" s="5"/>
      <c r="H531" s="5"/>
    </row>
    <row r="532" spans="6:8">
      <c r="F532" s="5"/>
      <c r="G532" s="5"/>
      <c r="H532" s="5"/>
    </row>
    <row r="533" spans="6:8">
      <c r="F533" s="5"/>
      <c r="G533" s="5"/>
      <c r="H533" s="5"/>
    </row>
    <row r="534" spans="6:8">
      <c r="F534" s="5"/>
      <c r="G534" s="5"/>
      <c r="H534" s="5"/>
    </row>
    <row r="535" spans="6:8">
      <c r="F535" s="5"/>
      <c r="G535" s="5"/>
      <c r="H535" s="5"/>
    </row>
    <row r="536" spans="6:8">
      <c r="F536" s="5"/>
      <c r="G536" s="5"/>
      <c r="H536" s="5"/>
    </row>
    <row r="537" spans="6:8">
      <c r="F537" s="5"/>
      <c r="G537" s="5"/>
      <c r="H537" s="5"/>
    </row>
    <row r="538" spans="6:8">
      <c r="F538" s="5"/>
      <c r="G538" s="5"/>
      <c r="H538" s="5"/>
    </row>
    <row r="539" spans="6:8">
      <c r="F539" s="5"/>
      <c r="G539" s="5"/>
      <c r="H539" s="5"/>
    </row>
    <row r="540" spans="6:8">
      <c r="F540" s="5"/>
      <c r="G540" s="5"/>
      <c r="H540" s="5"/>
    </row>
    <row r="541" spans="6:8">
      <c r="F541" s="5"/>
      <c r="G541" s="5"/>
      <c r="H541" s="5"/>
    </row>
    <row r="542" spans="6:8">
      <c r="F542" s="5"/>
      <c r="G542" s="5"/>
      <c r="H542" s="5"/>
    </row>
    <row r="543" spans="6:8">
      <c r="F543" s="5"/>
      <c r="G543" s="5"/>
      <c r="H543" s="5"/>
    </row>
    <row r="544" spans="6:8">
      <c r="F544" s="5"/>
      <c r="G544" s="5"/>
      <c r="H544" s="5"/>
    </row>
    <row r="545" spans="6:8">
      <c r="F545" s="5"/>
      <c r="G545" s="5"/>
      <c r="H545" s="5"/>
    </row>
    <row r="546" spans="6:8">
      <c r="F546" s="5"/>
      <c r="G546" s="5"/>
      <c r="H546" s="5"/>
    </row>
    <row r="547" spans="6:8">
      <c r="F547" s="5"/>
      <c r="G547" s="5"/>
      <c r="H547" s="5"/>
    </row>
    <row r="548" spans="6:8">
      <c r="F548" s="5"/>
      <c r="G548" s="5"/>
      <c r="H548" s="5"/>
    </row>
    <row r="549" spans="6:8">
      <c r="F549" s="5"/>
      <c r="G549" s="5"/>
      <c r="H549" s="5"/>
    </row>
    <row r="550" spans="6:8">
      <c r="F550" s="5"/>
      <c r="G550" s="5"/>
      <c r="H550" s="5"/>
    </row>
    <row r="551" spans="6:8">
      <c r="F551" s="5"/>
      <c r="G551" s="5"/>
      <c r="H551" s="5"/>
    </row>
    <row r="552" spans="6:8">
      <c r="F552" s="5"/>
      <c r="G552" s="5"/>
      <c r="H552" s="5"/>
    </row>
    <row r="553" spans="6:8">
      <c r="F553" s="5"/>
      <c r="G553" s="5"/>
      <c r="H553" s="5"/>
    </row>
    <row r="554" spans="6:8">
      <c r="F554" s="5"/>
      <c r="G554" s="5"/>
      <c r="H554" s="5"/>
    </row>
    <row r="555" spans="6:8">
      <c r="F555" s="5"/>
      <c r="G555" s="5"/>
      <c r="H555" s="5"/>
    </row>
    <row r="556" spans="6:8">
      <c r="F556" s="5"/>
      <c r="G556" s="5"/>
      <c r="H556" s="5"/>
    </row>
    <row r="557" spans="6:8">
      <c r="F557" s="5"/>
      <c r="G557" s="5"/>
      <c r="H557" s="5"/>
    </row>
    <row r="558" spans="6:8">
      <c r="F558" s="5"/>
      <c r="G558" s="5"/>
      <c r="H558" s="5"/>
    </row>
    <row r="559" spans="6:8">
      <c r="F559" s="5"/>
      <c r="G559" s="5"/>
      <c r="H559" s="5"/>
    </row>
    <row r="560" spans="6:8">
      <c r="F560" s="5"/>
      <c r="G560" s="5"/>
      <c r="H560" s="5"/>
    </row>
    <row r="561" spans="6:8">
      <c r="F561" s="5"/>
      <c r="G561" s="5"/>
      <c r="H561" s="5"/>
    </row>
    <row r="562" spans="6:8">
      <c r="F562" s="5"/>
      <c r="G562" s="5"/>
      <c r="H562" s="5"/>
    </row>
    <row r="563" spans="6:8">
      <c r="F563" s="5"/>
      <c r="G563" s="5"/>
      <c r="H563" s="5"/>
    </row>
    <row r="564" spans="6:8">
      <c r="F564" s="5"/>
      <c r="G564" s="5"/>
      <c r="H564" s="5"/>
    </row>
    <row r="565" spans="6:8">
      <c r="F565" s="5"/>
      <c r="G565" s="5"/>
      <c r="H565" s="5"/>
    </row>
    <row r="566" spans="6:8">
      <c r="F566" s="5"/>
      <c r="G566" s="5"/>
      <c r="H566" s="5"/>
    </row>
    <row r="567" spans="6:8">
      <c r="F567" s="5"/>
      <c r="G567" s="5"/>
      <c r="H567" s="5"/>
    </row>
    <row r="568" spans="6:8">
      <c r="F568" s="5"/>
      <c r="G568" s="5"/>
      <c r="H568" s="5"/>
    </row>
    <row r="569" spans="6:8">
      <c r="F569" s="5"/>
      <c r="G569" s="5"/>
      <c r="H569" s="5"/>
    </row>
    <row r="570" spans="6:8">
      <c r="F570" s="5"/>
      <c r="G570" s="5"/>
      <c r="H570" s="5"/>
    </row>
    <row r="571" spans="6:8">
      <c r="F571" s="5"/>
      <c r="G571" s="5"/>
      <c r="H571" s="5"/>
    </row>
    <row r="572" spans="6:8">
      <c r="F572" s="5"/>
      <c r="G572" s="5"/>
      <c r="H572" s="5"/>
    </row>
    <row r="573" spans="6:8">
      <c r="F573" s="5"/>
      <c r="G573" s="5"/>
      <c r="H573" s="5"/>
    </row>
    <row r="574" spans="6:8">
      <c r="F574" s="5"/>
      <c r="G574" s="5"/>
      <c r="H574" s="5"/>
    </row>
    <row r="575" spans="6:8">
      <c r="F575" s="5"/>
      <c r="G575" s="5"/>
      <c r="H575" s="5"/>
    </row>
    <row r="576" spans="6:8">
      <c r="F576" s="5"/>
      <c r="G576" s="5"/>
      <c r="H576" s="5"/>
    </row>
    <row r="577" spans="6:8">
      <c r="F577" s="5"/>
      <c r="G577" s="5"/>
      <c r="H577" s="5"/>
    </row>
    <row r="578" spans="6:8">
      <c r="F578" s="5"/>
      <c r="G578" s="5"/>
      <c r="H578" s="5"/>
    </row>
    <row r="579" spans="6:8">
      <c r="F579" s="5"/>
      <c r="G579" s="5"/>
      <c r="H579" s="5"/>
    </row>
    <row r="580" spans="6:8">
      <c r="F580" s="5"/>
      <c r="G580" s="5"/>
      <c r="H580" s="5"/>
    </row>
    <row r="581" spans="6:8">
      <c r="F581" s="5"/>
      <c r="G581" s="5"/>
      <c r="H581" s="5"/>
    </row>
    <row r="582" spans="6:8">
      <c r="F582" s="5"/>
      <c r="G582" s="5"/>
      <c r="H582" s="5"/>
    </row>
    <row r="583" spans="6:8">
      <c r="F583" s="5"/>
      <c r="G583" s="5"/>
      <c r="H583" s="5"/>
    </row>
    <row r="584" spans="6:8">
      <c r="F584" s="5"/>
      <c r="G584" s="5"/>
      <c r="H584" s="5"/>
    </row>
    <row r="585" spans="6:8">
      <c r="F585" s="5"/>
      <c r="G585" s="5"/>
      <c r="H585" s="5"/>
    </row>
    <row r="586" spans="6:8">
      <c r="F586" s="5"/>
      <c r="G586" s="5"/>
      <c r="H586" s="5"/>
    </row>
    <row r="587" spans="6:8">
      <c r="F587" s="5"/>
      <c r="G587" s="5"/>
      <c r="H587" s="5"/>
    </row>
    <row r="588" spans="6:8">
      <c r="F588" s="5"/>
      <c r="G588" s="5"/>
      <c r="H588" s="5"/>
    </row>
    <row r="589" spans="6:8">
      <c r="F589" s="5"/>
      <c r="G589" s="5"/>
      <c r="H589" s="5"/>
    </row>
    <row r="590" spans="6:8">
      <c r="F590" s="5"/>
      <c r="G590" s="5"/>
      <c r="H590" s="5"/>
    </row>
    <row r="591" spans="6:8">
      <c r="F591" s="5"/>
      <c r="G591" s="5"/>
      <c r="H591" s="5"/>
    </row>
    <row r="592" spans="6:8">
      <c r="F592" s="5"/>
      <c r="G592" s="5"/>
      <c r="H592" s="5"/>
    </row>
    <row r="593" spans="6:8">
      <c r="F593" s="5"/>
      <c r="G593" s="5"/>
      <c r="H593" s="5"/>
    </row>
    <row r="594" spans="6:8">
      <c r="F594" s="5"/>
      <c r="G594" s="5"/>
      <c r="H594" s="5"/>
    </row>
    <row r="595" spans="6:8">
      <c r="F595" s="5"/>
      <c r="G595" s="5"/>
      <c r="H595" s="5"/>
    </row>
    <row r="596" spans="6:8">
      <c r="F596" s="5"/>
      <c r="G596" s="5"/>
      <c r="H596" s="5"/>
    </row>
    <row r="597" spans="6:8">
      <c r="F597" s="5"/>
      <c r="G597" s="5"/>
      <c r="H597" s="5"/>
    </row>
    <row r="598" spans="6:8">
      <c r="F598" s="5"/>
      <c r="G598" s="5"/>
      <c r="H598" s="5"/>
    </row>
    <row r="599" spans="6:8">
      <c r="F599" s="5"/>
      <c r="G599" s="5"/>
      <c r="H599" s="5"/>
    </row>
    <row r="600" spans="6:8">
      <c r="F600" s="5"/>
      <c r="G600" s="5"/>
      <c r="H600" s="5"/>
    </row>
    <row r="601" spans="6:8">
      <c r="F601" s="5"/>
      <c r="G601" s="5"/>
      <c r="H601" s="5"/>
    </row>
  </sheetData>
  <sheetProtection sheet="1" objects="1" scenarios="1"/>
  <mergeCells count="8">
    <mergeCell ref="C283:C301"/>
    <mergeCell ref="C315:C356"/>
    <mergeCell ref="C359:C386"/>
    <mergeCell ref="E9:P11"/>
    <mergeCell ref="J19:J20"/>
    <mergeCell ref="K19:K20"/>
    <mergeCell ref="E19:E20"/>
    <mergeCell ref="C23:C278"/>
  </mergeCells>
  <dataValidations disablePrompts="1" count="1">
    <dataValidation allowBlank="1" showInputMessage="1" showErrorMessage="1" error="La valeur entrée n'est pas valide._x000a_Un utilisateur dispose de valeurs restreintes pouvant être entrées dans cette cellule." sqref="E9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_value">
                <anchor moveWithCells="1" sizeWithCells="1">
                  <from>
                    <xdr:col>3</xdr:col>
                    <xdr:colOff>76200</xdr:colOff>
                    <xdr:row>14</xdr:row>
                    <xdr:rowOff>38100</xdr:rowOff>
                  </from>
                  <to>
                    <xdr:col>4</xdr:col>
                    <xdr:colOff>1174750</xdr:colOff>
                    <xdr:row>16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FE33F40CFD7145B1139C9898BD6259" ma:contentTypeVersion="2" ma:contentTypeDescription="Crée un document." ma:contentTypeScope="" ma:versionID="e0f87a1f6c14262a94e4e090216b84c3">
  <xsd:schema xmlns:xsd="http://www.w3.org/2001/XMLSchema" xmlns:xs="http://www.w3.org/2001/XMLSchema" xmlns:p="http://schemas.microsoft.com/office/2006/metadata/properties" xmlns:ns2="593288d4-c742-43c3-b1b4-ad2f71920d9b" targetNamespace="http://schemas.microsoft.com/office/2006/metadata/properties" ma:root="true" ma:fieldsID="3f055d2b7493998eceb926de075f74dc" ns2:_="">
    <xsd:import namespace="593288d4-c742-43c3-b1b4-ad2f71920d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3288d4-c742-43c3-b1b4-ad2f71920d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B47B38-12E1-437C-B06C-F7E294FBB799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593288d4-c742-43c3-b1b4-ad2f71920d9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4C4DAC5-32E8-4959-B49E-BC9C86CDBF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F6F1B6-AE27-43E1-B70A-B2DFBFA272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3288d4-c742-43c3-b1b4-ad2f71920d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Context</vt:lpstr>
      <vt:lpstr>Synthèse</vt:lpstr>
      <vt:lpstr>Restitution</vt:lpstr>
      <vt:lpstr>Current_Period_YTD</vt:lpstr>
      <vt:lpstr>Default_Legal_Organization</vt:lpstr>
      <vt:lpstr>Default_Management_Organization</vt:lpstr>
      <vt:lpstr>Restitution!Print_Area</vt:lpstr>
      <vt:lpstr>Synthèse!Print_Area</vt:lpstr>
      <vt:lpstr>Server</vt:lpstr>
      <vt:lpstr>z_Current_Period_N_1</vt:lpstr>
      <vt:lpstr>z_Current_Phase</vt:lpstr>
      <vt:lpstr>z_Current_Year</vt:lpstr>
      <vt:lpstr>z_Forecast_Phase</vt:lpstr>
      <vt:lpstr>z_Year_N_1</vt:lpstr>
      <vt:lpstr>z_Year_Selected</vt:lpstr>
      <vt:lpstr>zYearSelected</vt:lpstr>
    </vt:vector>
  </TitlesOfParts>
  <Company>TRANSDEV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LEYMARIE, Alexandre</dc:creator>
  <cp:lastModifiedBy>Adm BARKI, Mila</cp:lastModifiedBy>
  <cp:revision/>
  <dcterms:created xsi:type="dcterms:W3CDTF">2023-02-15T16:27:41Z</dcterms:created>
  <dcterms:modified xsi:type="dcterms:W3CDTF">2023-03-24T16:50:35Z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0x0101000AFE33F40CFD7145B1139C9898BD6259</vt:lpwstr>
  </property>
  <property fmtid="{D5CDD505-2E9C-101B-9397-08002B2CF9AE}" pid="3" name="MediaServiceImageTags">
    <vt:lpwstr/>
  </property>
</Properties>
</file>