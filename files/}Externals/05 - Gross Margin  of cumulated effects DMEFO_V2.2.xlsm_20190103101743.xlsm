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945" windowHeight="6510"/>
  </bookViews>
  <sheets>
    <sheet name="RWL Report" sheetId="2" r:id="rId1"/>
    <sheet name="DATA" sheetId="1" state="hidden" r:id="rId2"/>
  </sheets>
  <definedNames>
    <definedName name="ACTUAL_MONTH_YTD">'RWL Report'!$B$5</definedName>
    <definedName name="Auto_Fit">'RWL Report'!$H$17:$H$40</definedName>
    <definedName name="DEBUG_MODE">'RWL Report'!$A$6</definedName>
    <definedName name="DEFAULT_LANG">'RWL Report'!$B$8</definedName>
    <definedName name="DEFAULT_LEGAL_ORGANIZATION">'RWL Report'!$B$9</definedName>
    <definedName name="DEFAULT_MANAG_ORG">'RWL Report'!$B$7</definedName>
    <definedName name="Locallanguage">'RWL Report'!$B$4</definedName>
    <definedName name="MDX_PART1">DATA!$B$14</definedName>
    <definedName name="MDX_PART2">DATA!$B$15</definedName>
    <definedName name="MDX_PART3">DATA!$B$16</definedName>
    <definedName name="MDX_PART4">DATA!$B$17</definedName>
    <definedName name="POV_ACTIVITY">'RWL Report'!$F$5</definedName>
    <definedName name="POV_CURRENCY">'RWL Report'!$F$6</definedName>
    <definedName name="POV_GAAP">'RWL Report'!$F$8</definedName>
    <definedName name="POV_INTEG_RATE">'RWL Report'!$F$9</definedName>
    <definedName name="POV_LANG">'RWL Report'!$F$12</definedName>
    <definedName name="POV_LEGAL_ORGA">'RWL Report'!$F$10</definedName>
    <definedName name="POV_MANAG_ORGA">'RWL Report'!$F$7</definedName>
    <definedName name="POV_PERIOD">'RWL Report'!$F$4</definedName>
    <definedName name="Run_Actual_PL0000_DO">DATA!$P$19</definedName>
    <definedName name="Run_Actual_PL0000_ET">DATA!$AB$19</definedName>
    <definedName name="Run_Actual_PL0000_FL">DATA!$AH$19</definedName>
    <definedName name="Run_Actual_PL0000_MF">DATA!$V$19</definedName>
    <definedName name="Run_Actual_PL0000_OT">DATA!$AN$19</definedName>
    <definedName name="Run_Actual_PMM_D">DATA!$Q$19</definedName>
    <definedName name="Run_Actual_PMM_D_CWU">DATA!$AT$19</definedName>
    <definedName name="Run_Actual_PMM_D_PWU">DATA!$AU$19</definedName>
    <definedName name="Run_Actual_PMM_D1">DATA!$S$19</definedName>
    <definedName name="Run_Actual_PMM_D2">DATA!$T$19</definedName>
    <definedName name="Run_Actual_PMM_D3">DATA!$U$19</definedName>
    <definedName name="Run_Actual_PMM_E">DATA!$AC$19</definedName>
    <definedName name="Run_Actual_PMM_E_CWU">DATA!$AX$19</definedName>
    <definedName name="Run_Actual_PMM_E_PWU">DATA!$AY$19</definedName>
    <definedName name="Run_Actual_PMM_E1">DATA!$AE$19</definedName>
    <definedName name="Run_Actual_PMM_E2">DATA!$AF$19</definedName>
    <definedName name="Run_Actual_PMM_E3">DATA!$AG$19</definedName>
    <definedName name="Run_Actual_PMM_F">DATA!$AI$19</definedName>
    <definedName name="Run_Actual_PMM_F_CWU">DATA!$AZ$19</definedName>
    <definedName name="Run_Actual_PMM_F_PWU">DATA!$BA$19</definedName>
    <definedName name="Run_Actual_PMM_F1">DATA!$AK$19</definedName>
    <definedName name="Run_Actual_PMM_F2">DATA!$AL$19</definedName>
    <definedName name="Run_Actual_PMM_F3">DATA!$AM$19</definedName>
    <definedName name="Run_Actual_PMM_M">DATA!$W$19</definedName>
    <definedName name="Run_Actual_PMM_M_CWU">DATA!$AV$19</definedName>
    <definedName name="Run_Actual_PMM_M_PWU">DATA!$AW$19</definedName>
    <definedName name="Run_Actual_PMM_M1">DATA!$Y$19</definedName>
    <definedName name="Run_Actual_PMM_M2">DATA!$Z$19</definedName>
    <definedName name="Run_Actual_PMM_M3">DATA!$AA$19</definedName>
    <definedName name="Run_Actual_PMM_O">DATA!$AO$19</definedName>
    <definedName name="Run_Actual_PMM_O_CWU">DATA!$BB$19</definedName>
    <definedName name="Run_Actual_PMM_O_PWU">DATA!$BC$19</definedName>
    <definedName name="Run_Actual_PMM_O1">DATA!$AQ$19</definedName>
    <definedName name="Run_Actual_PMM_O2">DATA!$AR$19</definedName>
    <definedName name="Run_Actual_PMM_O3">DATA!$AS$19</definedName>
    <definedName name="Run_Actual_TPL10_dest_nosub">DATA!$O$19</definedName>
    <definedName name="Run_Budget_PL0000_DO">DATA!$BM$19</definedName>
    <definedName name="Run_Budget_PL0000_ET">DATA!$BY$19</definedName>
    <definedName name="Run_Budget_PL0000_FL">DATA!$CE$19</definedName>
    <definedName name="Run_Budget_PL0000_MF">DATA!$BS$19</definedName>
    <definedName name="Run_Budget_PL0000_OT">DATA!$CK$19</definedName>
    <definedName name="Run_Budget_PMM_D">DATA!$BN$19</definedName>
    <definedName name="Run_Budget_PMM_D_CWU">DATA!$CQ$19</definedName>
    <definedName name="Run_Budget_PMM_D_PWU">DATA!$CR$19</definedName>
    <definedName name="Run_Budget_PMM_D1">DATA!$BP$19</definedName>
    <definedName name="Run_Budget_PMM_D2">DATA!$BQ$19</definedName>
    <definedName name="Run_Budget_PMM_D3">DATA!$BR$19</definedName>
    <definedName name="Run_Budget_PMM_E">DATA!$BZ$19</definedName>
    <definedName name="Run_Budget_PMM_E_CWU">DATA!$CU$19</definedName>
    <definedName name="Run_Budget_PMM_E_PWU">DATA!$CV$19</definedName>
    <definedName name="Run_Budget_PMM_E1">DATA!$CB$19</definedName>
    <definedName name="Run_Budget_PMM_E2">DATA!$CC$19</definedName>
    <definedName name="Run_Budget_PMM_E3">DATA!$CD$19</definedName>
    <definedName name="Run_Budget_PMM_F">DATA!$CF$19</definedName>
    <definedName name="Run_Budget_PMM_F_CWU">DATA!$CW$19</definedName>
    <definedName name="Run_Budget_PMM_F_PWU">DATA!$CX$19</definedName>
    <definedName name="Run_Budget_PMM_F1">DATA!$CH$19</definedName>
    <definedName name="Run_Budget_PMM_F2">DATA!$CI$19</definedName>
    <definedName name="Run_Budget_PMM_F3">DATA!$CJ$19</definedName>
    <definedName name="Run_Budget_PMM_M">DATA!$BT$19</definedName>
    <definedName name="Run_Budget_PMM_M_CWU">DATA!$CS$19</definedName>
    <definedName name="Run_Budget_PMM_M_PWU">DATA!$CT$19</definedName>
    <definedName name="Run_Budget_PMM_M1">DATA!$BV$19</definedName>
    <definedName name="Run_Budget_PMM_M2">DATA!$BW$19</definedName>
    <definedName name="Run_Budget_PMM_M3">DATA!$BX$19</definedName>
    <definedName name="Run_Budget_PMM_O">DATA!$CL$19</definedName>
    <definedName name="Run_Budget_PMM_O_CWU">DATA!$CY$19</definedName>
    <definedName name="Run_Budget_PMM_O_PWU">DATA!$CZ$19</definedName>
    <definedName name="Run_Budget_PMM_O1">DATA!$CN$19</definedName>
    <definedName name="Run_Budget_PMM_O2">DATA!$CO$19</definedName>
    <definedName name="Run_Budget_PMM_O3">DATA!$CP$19</definedName>
    <definedName name="Run_Budget_TPL10_dest_nosub">DATA!$BL$19</definedName>
    <definedName name="Server">'RWL Report'!$B$1</definedName>
    <definedName name="TM1REBUILDOPTION">0</definedName>
    <definedName name="TM1RPTDATARNG1" localSheetId="1">DATA!$28:$325</definedName>
    <definedName name="TM1RPTFMTIDCOL" localSheetId="1">DATA!$A$1:$A$3</definedName>
    <definedName name="TM1RPTFMTRNG" localSheetId="1">DATA!$D$1:$EH$3</definedName>
    <definedName name="VAR_PL0000_DO">DATA!$DJ$19</definedName>
    <definedName name="VAR_PL0000_ET">DATA!$DV$19</definedName>
    <definedName name="VAR_PL0000_FL">DATA!$EB$19</definedName>
    <definedName name="VAR_PL0000_MF">DATA!$DP$19</definedName>
    <definedName name="VAR_PL0000_OT">DATA!$EH$19</definedName>
    <definedName name="VAR_PMM_D">DATA!$DK$19</definedName>
    <definedName name="VAR_PMM_D1">DATA!$DM$19</definedName>
    <definedName name="VAR_PMM_D2">DATA!$DN$19</definedName>
    <definedName name="VAR_PMM_D3">DATA!$DO$19</definedName>
    <definedName name="VAR_PMM_E">DATA!$DW$19</definedName>
    <definedName name="VAR_PMM_E1">DATA!$DY$19</definedName>
    <definedName name="VAR_PMM_E2">DATA!$DZ$19</definedName>
    <definedName name="VAR_PMM_E3">DATA!$EA$19</definedName>
    <definedName name="VAR_PMM_F">DATA!$EC$19</definedName>
    <definedName name="VAR_PMM_F1">DATA!$EE$19</definedName>
    <definedName name="VAR_PMM_F2">DATA!$EF$19</definedName>
    <definedName name="VAR_PMM_F3">DATA!$EG$19</definedName>
    <definedName name="VAR_PMM_M">DATA!$DQ$19</definedName>
    <definedName name="VAR_PMM_M1">DATA!$DS$19</definedName>
    <definedName name="VAR_PMM_M2">DATA!$DT$19</definedName>
    <definedName name="VAR_PMM_M3">DATA!$DU$19</definedName>
    <definedName name="VAR_PMM_O">DATA!$EI$19</definedName>
    <definedName name="VAR_PMM_O1">DATA!$EK$19</definedName>
    <definedName name="VAR_PMM_O2">DATA!$EL$19</definedName>
    <definedName name="VAR_PMM_O3">DATA!$EM$19</definedName>
    <definedName name="VAR_TPL10_dest_nosub">DATA!$DI$19</definedName>
    <definedName name="xServer">'RWL Report'!$B$2</definedName>
    <definedName name="Z_0981FFDB_2279_4D52_B759_965B5769EA6B_.wvu.Rows" localSheetId="1" hidden="1">DATA!$4:$4</definedName>
    <definedName name="Z_89D83D5E_00E2_481D_878C_45219CFAB555_.wvu.Cols" localSheetId="0" hidden="1">'RWL Report'!$A:$B</definedName>
    <definedName name="Z_89D83D5E_00E2_481D_878C_45219CFAB555_.wvu.Rows" localSheetId="1" hidden="1">DATA!$4:$4</definedName>
    <definedName name="Z_89D83D5E_00E2_481D_878C_45219CFAB555_.wvu.Rows" localSheetId="0" hidden="1">'RWL Report'!$8:$10,'RWL Report'!$21:$22,'RWL Report'!$26:$28,'RWL Report'!$38:$39</definedName>
  </definedNames>
  <calcPr calcId="145621" calcMode="manual" calcCompleted="0" calcOnSave="0" concurrentCalc="0"/>
  <customWorkbookViews>
    <customWorkbookView name="Prod" guid="{89D83D5E-00E2-481D-878C-45219CFAB555}" maximized="1" windowWidth="1676" windowHeight="800" activeSheetId="2" showFormulaBar="0"/>
    <customWorkbookView name="Dev" guid="{0981FFDB-2279-4D52-B759-965B5769EA6B}" maximized="1" windowWidth="1268" windowHeight="740" activeSheetId="2"/>
  </customWorkbookViews>
</workbook>
</file>

<file path=xl/calcChain.xml><?xml version="1.0" encoding="utf-8"?>
<calcChain xmlns="http://schemas.openxmlformats.org/spreadsheetml/2006/main">
  <c r="B325" i="1" l="1"/>
  <c r="A325" i="1"/>
  <c r="B324" i="1"/>
  <c r="A324" i="1"/>
  <c r="B323" i="1"/>
  <c r="A323" i="1"/>
  <c r="B322" i="1"/>
  <c r="A322" i="1"/>
  <c r="B321" i="1"/>
  <c r="A321" i="1"/>
  <c r="B320" i="1"/>
  <c r="A320" i="1"/>
  <c r="B319" i="1"/>
  <c r="A319" i="1"/>
  <c r="B318" i="1"/>
  <c r="A318" i="1"/>
  <c r="B317" i="1"/>
  <c r="A317" i="1"/>
  <c r="B316" i="1"/>
  <c r="A316" i="1"/>
  <c r="B315" i="1"/>
  <c r="A315" i="1"/>
  <c r="B314" i="1"/>
  <c r="A314" i="1"/>
  <c r="B313" i="1"/>
  <c r="A313" i="1"/>
  <c r="B312" i="1"/>
  <c r="A312" i="1"/>
  <c r="B311" i="1"/>
  <c r="A311" i="1"/>
  <c r="B310" i="1"/>
  <c r="A310" i="1"/>
  <c r="B309" i="1"/>
  <c r="A309" i="1"/>
  <c r="B308" i="1"/>
  <c r="A308" i="1"/>
  <c r="B307" i="1"/>
  <c r="A307" i="1"/>
  <c r="B306" i="1"/>
  <c r="A306" i="1"/>
  <c r="B305" i="1"/>
  <c r="A305" i="1"/>
  <c r="B304" i="1"/>
  <c r="A304" i="1"/>
  <c r="B303" i="1"/>
  <c r="A303" i="1"/>
  <c r="B302" i="1"/>
  <c r="A302" i="1"/>
  <c r="B301" i="1"/>
  <c r="A301" i="1"/>
  <c r="B300" i="1"/>
  <c r="A300" i="1"/>
  <c r="B299" i="1"/>
  <c r="A299" i="1"/>
  <c r="B298" i="1"/>
  <c r="A298" i="1"/>
  <c r="B297" i="1"/>
  <c r="A297" i="1"/>
  <c r="B296" i="1"/>
  <c r="A296" i="1"/>
  <c r="B295" i="1"/>
  <c r="A295" i="1"/>
  <c r="B294" i="1"/>
  <c r="A294" i="1"/>
  <c r="B293" i="1"/>
  <c r="A293" i="1"/>
  <c r="B292" i="1"/>
  <c r="A292" i="1"/>
  <c r="B291" i="1"/>
  <c r="A291" i="1"/>
  <c r="B290" i="1"/>
  <c r="A290" i="1"/>
  <c r="B289" i="1"/>
  <c r="A289" i="1"/>
  <c r="B288" i="1"/>
  <c r="A288" i="1"/>
  <c r="B287" i="1"/>
  <c r="A287" i="1"/>
  <c r="B286" i="1"/>
  <c r="A286" i="1"/>
  <c r="B285" i="1"/>
  <c r="A285" i="1"/>
  <c r="B284" i="1"/>
  <c r="A284" i="1"/>
  <c r="B283" i="1"/>
  <c r="A283" i="1"/>
  <c r="B282" i="1"/>
  <c r="A282" i="1"/>
  <c r="B281" i="1"/>
  <c r="A281" i="1"/>
  <c r="B280" i="1"/>
  <c r="A280" i="1"/>
  <c r="B279" i="1"/>
  <c r="A279" i="1"/>
  <c r="B278" i="1"/>
  <c r="A278" i="1"/>
  <c r="B277" i="1"/>
  <c r="A277" i="1"/>
  <c r="B276" i="1"/>
  <c r="A276" i="1"/>
  <c r="B275" i="1"/>
  <c r="A275" i="1"/>
  <c r="B274" i="1"/>
  <c r="A274" i="1"/>
  <c r="B273" i="1"/>
  <c r="A273" i="1"/>
  <c r="B272" i="1"/>
  <c r="A272" i="1"/>
  <c r="B271" i="1"/>
  <c r="A271" i="1"/>
  <c r="B270" i="1"/>
  <c r="A270" i="1"/>
  <c r="B269" i="1"/>
  <c r="A269" i="1"/>
  <c r="B268" i="1"/>
  <c r="A268" i="1"/>
  <c r="B267" i="1"/>
  <c r="A267" i="1"/>
  <c r="B266" i="1"/>
  <c r="A266" i="1"/>
  <c r="B265" i="1"/>
  <c r="A265" i="1"/>
  <c r="B264" i="1"/>
  <c r="A264" i="1"/>
  <c r="B263" i="1"/>
  <c r="A263" i="1"/>
  <c r="B262" i="1"/>
  <c r="A262" i="1"/>
  <c r="B261" i="1"/>
  <c r="A261" i="1"/>
  <c r="B260" i="1"/>
  <c r="A260" i="1"/>
  <c r="B259" i="1"/>
  <c r="A259" i="1"/>
  <c r="B258" i="1"/>
  <c r="A258" i="1"/>
  <c r="B257" i="1"/>
  <c r="A257" i="1"/>
  <c r="B256" i="1"/>
  <c r="A256" i="1"/>
  <c r="B255" i="1"/>
  <c r="A255" i="1"/>
  <c r="B254" i="1"/>
  <c r="A254" i="1"/>
  <c r="B253" i="1"/>
  <c r="A253" i="1"/>
  <c r="B252" i="1"/>
  <c r="A252" i="1"/>
  <c r="B251" i="1"/>
  <c r="A251" i="1"/>
  <c r="B250" i="1"/>
  <c r="A250" i="1"/>
  <c r="B249" i="1"/>
  <c r="A249" i="1"/>
  <c r="B248" i="1"/>
  <c r="A248" i="1"/>
  <c r="B247" i="1"/>
  <c r="A247" i="1"/>
  <c r="B246" i="1"/>
  <c r="A246" i="1"/>
  <c r="B245" i="1"/>
  <c r="A245" i="1"/>
  <c r="B244" i="1"/>
  <c r="A244" i="1"/>
  <c r="B243" i="1"/>
  <c r="A243" i="1"/>
  <c r="B242" i="1"/>
  <c r="A242" i="1"/>
  <c r="B241" i="1"/>
  <c r="A241" i="1"/>
  <c r="B240" i="1"/>
  <c r="A240" i="1"/>
  <c r="B239" i="1"/>
  <c r="A239" i="1"/>
  <c r="B238" i="1"/>
  <c r="A238" i="1"/>
  <c r="B237" i="1"/>
  <c r="A237" i="1"/>
  <c r="B236" i="1"/>
  <c r="A236" i="1"/>
  <c r="B235" i="1"/>
  <c r="A235" i="1"/>
  <c r="B234" i="1"/>
  <c r="A234" i="1"/>
  <c r="B233" i="1"/>
  <c r="A233" i="1"/>
  <c r="B232" i="1"/>
  <c r="A232" i="1"/>
  <c r="B231" i="1"/>
  <c r="A231" i="1"/>
  <c r="B230" i="1"/>
  <c r="A230" i="1"/>
  <c r="B229" i="1"/>
  <c r="A229" i="1"/>
  <c r="B228" i="1"/>
  <c r="A228" i="1"/>
  <c r="B227" i="1"/>
  <c r="A227" i="1"/>
  <c r="B226" i="1"/>
  <c r="A226" i="1"/>
  <c r="B225" i="1"/>
  <c r="A225" i="1"/>
  <c r="B224" i="1"/>
  <c r="A224" i="1"/>
  <c r="B223" i="1"/>
  <c r="A223" i="1"/>
  <c r="B222" i="1"/>
  <c r="A222" i="1"/>
  <c r="B221" i="1"/>
  <c r="A221" i="1"/>
  <c r="B220" i="1"/>
  <c r="A220" i="1"/>
  <c r="B219" i="1"/>
  <c r="A219" i="1"/>
  <c r="B218" i="1"/>
  <c r="A218" i="1"/>
  <c r="B217" i="1"/>
  <c r="A217" i="1"/>
  <c r="B216" i="1"/>
  <c r="A216" i="1"/>
  <c r="B215" i="1"/>
  <c r="A215" i="1"/>
  <c r="B214" i="1"/>
  <c r="A214" i="1"/>
  <c r="B213" i="1"/>
  <c r="A213" i="1"/>
  <c r="B212" i="1"/>
  <c r="A212" i="1"/>
  <c r="B211" i="1"/>
  <c r="A211" i="1"/>
  <c r="B210" i="1"/>
  <c r="A210" i="1"/>
  <c r="B209" i="1"/>
  <c r="A209" i="1"/>
  <c r="B208" i="1"/>
  <c r="A208" i="1"/>
  <c r="B207" i="1"/>
  <c r="A207" i="1"/>
  <c r="B206" i="1"/>
  <c r="A206" i="1"/>
  <c r="B205" i="1"/>
  <c r="A205" i="1"/>
  <c r="B204" i="1"/>
  <c r="A204" i="1"/>
  <c r="B203" i="1"/>
  <c r="A203" i="1"/>
  <c r="B202" i="1"/>
  <c r="A202" i="1"/>
  <c r="B201" i="1"/>
  <c r="A201" i="1"/>
  <c r="B200" i="1"/>
  <c r="A200" i="1"/>
  <c r="B199" i="1"/>
  <c r="A199" i="1"/>
  <c r="B198" i="1"/>
  <c r="A198" i="1"/>
  <c r="B197" i="1"/>
  <c r="A197" i="1"/>
  <c r="B196" i="1"/>
  <c r="A196" i="1"/>
  <c r="B195" i="1"/>
  <c r="A195" i="1"/>
  <c r="B194" i="1"/>
  <c r="A194" i="1"/>
  <c r="B193" i="1"/>
  <c r="A193" i="1"/>
  <c r="B192" i="1"/>
  <c r="A192" i="1"/>
  <c r="B191" i="1"/>
  <c r="A191" i="1"/>
  <c r="B190" i="1"/>
  <c r="A190" i="1"/>
  <c r="B189" i="1"/>
  <c r="A189" i="1"/>
  <c r="B188" i="1"/>
  <c r="A188" i="1"/>
  <c r="B187" i="1"/>
  <c r="A187" i="1"/>
  <c r="B186" i="1"/>
  <c r="A186" i="1"/>
  <c r="B185" i="1"/>
  <c r="A185" i="1"/>
  <c r="B184" i="1"/>
  <c r="A184" i="1"/>
  <c r="B183" i="1"/>
  <c r="A183" i="1"/>
  <c r="B182" i="1"/>
  <c r="A182" i="1"/>
  <c r="B181" i="1"/>
  <c r="A181" i="1"/>
  <c r="B180" i="1"/>
  <c r="A180" i="1"/>
  <c r="B179" i="1"/>
  <c r="A179" i="1"/>
  <c r="B178" i="1"/>
  <c r="A178" i="1"/>
  <c r="B177" i="1"/>
  <c r="A177" i="1"/>
  <c r="B176" i="1"/>
  <c r="A176" i="1"/>
  <c r="B175" i="1"/>
  <c r="A175" i="1"/>
  <c r="B174" i="1"/>
  <c r="A174" i="1"/>
  <c r="B173" i="1"/>
  <c r="A173" i="1"/>
  <c r="B172" i="1"/>
  <c r="A172" i="1"/>
  <c r="B171" i="1"/>
  <c r="A171" i="1"/>
  <c r="B170" i="1"/>
  <c r="A170" i="1"/>
  <c r="B169" i="1"/>
  <c r="A169" i="1"/>
  <c r="B168" i="1"/>
  <c r="A168" i="1"/>
  <c r="B167" i="1"/>
  <c r="A167" i="1"/>
  <c r="B166" i="1"/>
  <c r="A166" i="1"/>
  <c r="B165" i="1"/>
  <c r="A165" i="1"/>
  <c r="B164" i="1"/>
  <c r="A164" i="1"/>
  <c r="B163" i="1"/>
  <c r="A163" i="1"/>
  <c r="B162" i="1"/>
  <c r="A162" i="1"/>
  <c r="B161" i="1"/>
  <c r="A161" i="1"/>
  <c r="B160" i="1"/>
  <c r="A160" i="1"/>
  <c r="B159" i="1"/>
  <c r="A159" i="1"/>
  <c r="B158" i="1"/>
  <c r="A158" i="1"/>
  <c r="B157" i="1"/>
  <c r="A157" i="1"/>
  <c r="B156" i="1"/>
  <c r="A156" i="1"/>
  <c r="B155" i="1"/>
  <c r="A155" i="1"/>
  <c r="B154" i="1"/>
  <c r="A154" i="1"/>
  <c r="B153" i="1"/>
  <c r="A153" i="1"/>
  <c r="B152" i="1"/>
  <c r="A152" i="1"/>
  <c r="B151" i="1"/>
  <c r="A151" i="1"/>
  <c r="B150" i="1"/>
  <c r="A150" i="1"/>
  <c r="B149" i="1"/>
  <c r="A149" i="1"/>
  <c r="B148" i="1"/>
  <c r="A148" i="1"/>
  <c r="B147" i="1"/>
  <c r="A147" i="1"/>
  <c r="B146" i="1"/>
  <c r="A146" i="1"/>
  <c r="B145" i="1"/>
  <c r="A145" i="1"/>
  <c r="B144" i="1"/>
  <c r="A144" i="1"/>
  <c r="B143" i="1"/>
  <c r="A143" i="1"/>
  <c r="B142" i="1"/>
  <c r="A142" i="1"/>
  <c r="B141" i="1"/>
  <c r="A141" i="1"/>
  <c r="B140" i="1"/>
  <c r="A140" i="1"/>
  <c r="B139" i="1"/>
  <c r="A139" i="1"/>
  <c r="B138" i="1"/>
  <c r="A138" i="1"/>
  <c r="B137" i="1"/>
  <c r="A137" i="1"/>
  <c r="B136" i="1"/>
  <c r="A136" i="1"/>
  <c r="B135" i="1"/>
  <c r="A135" i="1"/>
  <c r="B134" i="1"/>
  <c r="A134" i="1"/>
  <c r="B133" i="1"/>
  <c r="A133" i="1"/>
  <c r="B132" i="1"/>
  <c r="A132" i="1"/>
  <c r="B131" i="1"/>
  <c r="A131" i="1"/>
  <c r="B130" i="1"/>
  <c r="A130" i="1"/>
  <c r="B129" i="1"/>
  <c r="A129" i="1"/>
  <c r="B128" i="1"/>
  <c r="A128" i="1"/>
  <c r="B127" i="1"/>
  <c r="A127" i="1"/>
  <c r="B126" i="1"/>
  <c r="A126" i="1"/>
  <c r="B125" i="1"/>
  <c r="A125" i="1"/>
  <c r="B124" i="1"/>
  <c r="A124" i="1"/>
  <c r="B123" i="1"/>
  <c r="A123" i="1"/>
  <c r="B122" i="1"/>
  <c r="A122" i="1"/>
  <c r="B121" i="1"/>
  <c r="A121" i="1"/>
  <c r="B120" i="1"/>
  <c r="A120" i="1"/>
  <c r="B119" i="1"/>
  <c r="A119" i="1"/>
  <c r="B118" i="1"/>
  <c r="A118" i="1"/>
  <c r="B117" i="1"/>
  <c r="A117" i="1"/>
  <c r="B116" i="1"/>
  <c r="A116" i="1"/>
  <c r="B115" i="1"/>
  <c r="A115" i="1"/>
  <c r="B114" i="1"/>
  <c r="A114" i="1"/>
  <c r="B113" i="1"/>
  <c r="A113" i="1"/>
  <c r="B112" i="1"/>
  <c r="A112" i="1"/>
  <c r="B111" i="1"/>
  <c r="A111" i="1"/>
  <c r="B110" i="1"/>
  <c r="A110" i="1"/>
  <c r="B109" i="1"/>
  <c r="A109" i="1"/>
  <c r="B108" i="1"/>
  <c r="A108" i="1"/>
  <c r="B107" i="1"/>
  <c r="A107" i="1"/>
  <c r="B106" i="1"/>
  <c r="A106" i="1"/>
  <c r="B105" i="1"/>
  <c r="A105" i="1"/>
  <c r="B104" i="1"/>
  <c r="A104" i="1"/>
  <c r="B103" i="1"/>
  <c r="A103" i="1"/>
  <c r="B102" i="1"/>
  <c r="A102" i="1"/>
  <c r="B101" i="1"/>
  <c r="A101" i="1"/>
  <c r="B100" i="1"/>
  <c r="A100" i="1"/>
  <c r="B99" i="1"/>
  <c r="A99" i="1"/>
  <c r="B98" i="1"/>
  <c r="A98" i="1"/>
  <c r="B97" i="1"/>
  <c r="A97" i="1"/>
  <c r="B96" i="1"/>
  <c r="A96" i="1"/>
  <c r="B95" i="1"/>
  <c r="A95" i="1"/>
  <c r="B94" i="1"/>
  <c r="A94" i="1"/>
  <c r="B93" i="1"/>
  <c r="A93" i="1"/>
  <c r="B92" i="1"/>
  <c r="A92" i="1"/>
  <c r="B91" i="1"/>
  <c r="A91" i="1"/>
  <c r="B90" i="1"/>
  <c r="A90" i="1"/>
  <c r="B89" i="1"/>
  <c r="A89" i="1"/>
  <c r="B88" i="1"/>
  <c r="A88" i="1"/>
  <c r="B87" i="1"/>
  <c r="A87" i="1"/>
  <c r="B86" i="1"/>
  <c r="A86" i="1"/>
  <c r="B85" i="1"/>
  <c r="A85" i="1"/>
  <c r="B84" i="1"/>
  <c r="A84" i="1"/>
  <c r="B83" i="1"/>
  <c r="A83" i="1"/>
  <c r="B82" i="1"/>
  <c r="A82" i="1"/>
  <c r="B81" i="1"/>
  <c r="A81" i="1"/>
  <c r="B80" i="1"/>
  <c r="A80" i="1"/>
  <c r="B79" i="1"/>
  <c r="A79" i="1"/>
  <c r="B78" i="1"/>
  <c r="A78" i="1"/>
  <c r="B77" i="1"/>
  <c r="A77" i="1"/>
  <c r="B76" i="1"/>
  <c r="A76" i="1"/>
  <c r="B75" i="1"/>
  <c r="A75" i="1"/>
  <c r="B74" i="1"/>
  <c r="A74" i="1"/>
  <c r="B73" i="1"/>
  <c r="A73" i="1"/>
  <c r="B72" i="1"/>
  <c r="A72" i="1"/>
  <c r="B71" i="1"/>
  <c r="A71" i="1"/>
  <c r="B70" i="1"/>
  <c r="A70" i="1"/>
  <c r="B69" i="1"/>
  <c r="A69" i="1"/>
  <c r="B68" i="1"/>
  <c r="A68" i="1"/>
  <c r="B67" i="1"/>
  <c r="A67" i="1"/>
  <c r="B66" i="1"/>
  <c r="A66" i="1"/>
  <c r="B65" i="1"/>
  <c r="A65" i="1"/>
  <c r="B64" i="1"/>
  <c r="A64" i="1"/>
  <c r="B63" i="1"/>
  <c r="A63" i="1"/>
  <c r="B62" i="1"/>
  <c r="A62" i="1"/>
  <c r="B61" i="1"/>
  <c r="A61" i="1"/>
  <c r="B60" i="1"/>
  <c r="A60" i="1"/>
  <c r="B59" i="1"/>
  <c r="A59" i="1"/>
  <c r="B58" i="1"/>
  <c r="A58" i="1"/>
  <c r="B57" i="1"/>
  <c r="A57" i="1"/>
  <c r="B56" i="1"/>
  <c r="A56" i="1"/>
  <c r="B55" i="1"/>
  <c r="A55" i="1"/>
  <c r="B54" i="1"/>
  <c r="A54" i="1"/>
  <c r="B53" i="1"/>
  <c r="A53" i="1"/>
  <c r="B52" i="1"/>
  <c r="A52" i="1"/>
  <c r="B51" i="1"/>
  <c r="A51" i="1"/>
  <c r="B50" i="1"/>
  <c r="A50" i="1"/>
  <c r="B49" i="1"/>
  <c r="A49" i="1"/>
  <c r="B48" i="1"/>
  <c r="A48" i="1"/>
  <c r="B47" i="1"/>
  <c r="A47" i="1"/>
  <c r="B46" i="1"/>
  <c r="A46" i="1"/>
  <c r="B45" i="1"/>
  <c r="A45" i="1"/>
  <c r="B44" i="1"/>
  <c r="A44" i="1"/>
  <c r="B43" i="1"/>
  <c r="A43" i="1"/>
  <c r="B42" i="1"/>
  <c r="A42" i="1"/>
  <c r="B41" i="1"/>
  <c r="A41" i="1"/>
  <c r="B40" i="1"/>
  <c r="A40" i="1"/>
  <c r="B39" i="1"/>
  <c r="A39" i="1"/>
  <c r="B38" i="1"/>
  <c r="A38" i="1"/>
  <c r="B37" i="1"/>
  <c r="A37" i="1"/>
  <c r="B36" i="1"/>
  <c r="A36" i="1"/>
  <c r="B35" i="1"/>
  <c r="A35" i="1"/>
  <c r="B34" i="1"/>
  <c r="A34" i="1"/>
  <c r="B33" i="1"/>
  <c r="A33" i="1"/>
  <c r="B32" i="1"/>
  <c r="A32" i="1"/>
  <c r="B31" i="1"/>
  <c r="A31" i="1"/>
  <c r="B30" i="1"/>
  <c r="A30" i="1"/>
  <c r="B29" i="1"/>
  <c r="A29" i="1"/>
  <c r="D4" i="1"/>
  <c r="E7" i="1"/>
  <c r="E8" i="1"/>
  <c r="E9" i="1"/>
  <c r="E10" i="1"/>
  <c r="E12" i="1"/>
  <c r="E6" i="1"/>
  <c r="W18" i="1"/>
  <c r="X18" i="1"/>
  <c r="AB18" i="1"/>
  <c r="AC18" i="1"/>
  <c r="AD18" i="1"/>
  <c r="AH18" i="1"/>
  <c r="AI18" i="1"/>
  <c r="AJ18" i="1"/>
  <c r="AN18" i="1"/>
  <c r="AO18" i="1"/>
  <c r="AO17" i="1"/>
  <c r="AO325" i="1"/>
  <c r="CL17" i="1"/>
  <c r="CL325" i="1"/>
  <c r="EI325" i="1"/>
  <c r="AN325" i="1"/>
  <c r="CK325" i="1"/>
  <c r="EH325" i="1"/>
  <c r="AI17" i="1"/>
  <c r="AI325" i="1"/>
  <c r="CF17" i="1"/>
  <c r="CF325" i="1"/>
  <c r="EC325" i="1"/>
  <c r="AH325" i="1"/>
  <c r="CE325" i="1"/>
  <c r="EB325" i="1"/>
  <c r="AC17" i="1"/>
  <c r="AC325" i="1"/>
  <c r="BZ17" i="1"/>
  <c r="BZ325" i="1"/>
  <c r="DW325" i="1"/>
  <c r="AB325" i="1"/>
  <c r="BY325" i="1"/>
  <c r="DV325" i="1"/>
  <c r="W17" i="1"/>
  <c r="W325" i="1"/>
  <c r="BT17" i="1"/>
  <c r="BT325" i="1"/>
  <c r="DQ325" i="1"/>
  <c r="V325" i="1"/>
  <c r="BS325" i="1"/>
  <c r="DP325" i="1"/>
  <c r="Q18" i="1"/>
  <c r="Q17" i="1"/>
  <c r="Q325" i="1"/>
  <c r="BN17" i="1"/>
  <c r="BN325" i="1"/>
  <c r="DK325" i="1"/>
  <c r="P325" i="1"/>
  <c r="BM325" i="1"/>
  <c r="DJ325" i="1"/>
  <c r="O325" i="1"/>
  <c r="BL325" i="1"/>
  <c r="DI325" i="1"/>
  <c r="N325" i="1"/>
  <c r="BK325" i="1"/>
  <c r="DH325" i="1"/>
  <c r="M325" i="1"/>
  <c r="BJ325" i="1"/>
  <c r="DG325" i="1"/>
  <c r="L325" i="1"/>
  <c r="BI325" i="1"/>
  <c r="DF325" i="1"/>
  <c r="K325" i="1"/>
  <c r="BH325" i="1"/>
  <c r="DE325" i="1"/>
  <c r="J325" i="1"/>
  <c r="BG325" i="1"/>
  <c r="DD325" i="1"/>
  <c r="I325" i="1"/>
  <c r="BF325" i="1"/>
  <c r="DC325" i="1"/>
  <c r="H325" i="1"/>
  <c r="BE325" i="1"/>
  <c r="DB325" i="1"/>
  <c r="G325" i="1"/>
  <c r="BD325" i="1"/>
  <c r="DA325" i="1"/>
  <c r="CZ17" i="1"/>
  <c r="CZ325" i="1"/>
  <c r="CY17" i="1"/>
  <c r="CY325" i="1"/>
  <c r="CX17" i="1"/>
  <c r="CX325" i="1"/>
  <c r="CW17" i="1"/>
  <c r="CW325" i="1"/>
  <c r="CV17" i="1"/>
  <c r="CV325" i="1"/>
  <c r="CU17" i="1"/>
  <c r="CU325" i="1"/>
  <c r="CT17" i="1"/>
  <c r="CT325" i="1"/>
  <c r="CS17" i="1"/>
  <c r="CS325" i="1"/>
  <c r="CR17" i="1"/>
  <c r="CR325" i="1"/>
  <c r="CQ17" i="1"/>
  <c r="CQ325" i="1"/>
  <c r="AT18" i="1"/>
  <c r="AU18" i="1"/>
  <c r="AV18" i="1"/>
  <c r="AW18" i="1"/>
  <c r="AX18" i="1"/>
  <c r="AY18" i="1"/>
  <c r="AZ18" i="1"/>
  <c r="BA18" i="1"/>
  <c r="BB18" i="1"/>
  <c r="BC18" i="1"/>
  <c r="BC17" i="1"/>
  <c r="BC325" i="1"/>
  <c r="BB17" i="1"/>
  <c r="BB325" i="1"/>
  <c r="BA17" i="1"/>
  <c r="BA325" i="1"/>
  <c r="AZ17" i="1"/>
  <c r="AZ325" i="1"/>
  <c r="AY17" i="1"/>
  <c r="AY325" i="1"/>
  <c r="AX17" i="1"/>
  <c r="AX325" i="1"/>
  <c r="AW17" i="1"/>
  <c r="AW325" i="1"/>
  <c r="AV17" i="1"/>
  <c r="AV325" i="1"/>
  <c r="AU17" i="1"/>
  <c r="AU325" i="1"/>
  <c r="AT17" i="1"/>
  <c r="AT325" i="1"/>
  <c r="AO324" i="1"/>
  <c r="CL324" i="1"/>
  <c r="EI324" i="1"/>
  <c r="AN324" i="1"/>
  <c r="CK324" i="1"/>
  <c r="EH324" i="1"/>
  <c r="AI324" i="1"/>
  <c r="CF324" i="1"/>
  <c r="EC324" i="1"/>
  <c r="AH324" i="1"/>
  <c r="CE324" i="1"/>
  <c r="EB324" i="1"/>
  <c r="AC324" i="1"/>
  <c r="BZ324" i="1"/>
  <c r="DW324" i="1"/>
  <c r="AB324" i="1"/>
  <c r="BY324" i="1"/>
  <c r="DV324" i="1"/>
  <c r="W324" i="1"/>
  <c r="BT324" i="1"/>
  <c r="DQ324" i="1"/>
  <c r="V324" i="1"/>
  <c r="BS324" i="1"/>
  <c r="DP324" i="1"/>
  <c r="Q324" i="1"/>
  <c r="BN324" i="1"/>
  <c r="DK324" i="1"/>
  <c r="P324" i="1"/>
  <c r="BM324" i="1"/>
  <c r="DJ324" i="1"/>
  <c r="O324" i="1"/>
  <c r="BL324" i="1"/>
  <c r="DI324" i="1"/>
  <c r="N324" i="1"/>
  <c r="BK324" i="1"/>
  <c r="DH324" i="1"/>
  <c r="M324" i="1"/>
  <c r="BJ324" i="1"/>
  <c r="DG324" i="1"/>
  <c r="L324" i="1"/>
  <c r="BI324" i="1"/>
  <c r="DF324" i="1"/>
  <c r="K324" i="1"/>
  <c r="BH324" i="1"/>
  <c r="DE324" i="1"/>
  <c r="J324" i="1"/>
  <c r="BG324" i="1"/>
  <c r="DD324" i="1"/>
  <c r="I324" i="1"/>
  <c r="BF324" i="1"/>
  <c r="DC324" i="1"/>
  <c r="H324" i="1"/>
  <c r="BE324" i="1"/>
  <c r="DB324" i="1"/>
  <c r="G324" i="1"/>
  <c r="BD324" i="1"/>
  <c r="DA324" i="1"/>
  <c r="CZ324" i="1"/>
  <c r="CY324" i="1"/>
  <c r="CX324" i="1"/>
  <c r="CW324" i="1"/>
  <c r="CV324" i="1"/>
  <c r="CU324" i="1"/>
  <c r="CT324" i="1"/>
  <c r="CS324" i="1"/>
  <c r="CR324" i="1"/>
  <c r="CQ324" i="1"/>
  <c r="BC324" i="1"/>
  <c r="BB324" i="1"/>
  <c r="BA324" i="1"/>
  <c r="AZ324" i="1"/>
  <c r="AY324" i="1"/>
  <c r="AX324" i="1"/>
  <c r="AW324" i="1"/>
  <c r="AV324" i="1"/>
  <c r="AU324" i="1"/>
  <c r="AT324" i="1"/>
  <c r="AO323" i="1"/>
  <c r="CL323" i="1"/>
  <c r="EI323" i="1"/>
  <c r="AN323" i="1"/>
  <c r="CK323" i="1"/>
  <c r="EH323" i="1"/>
  <c r="AI323" i="1"/>
  <c r="CF323" i="1"/>
  <c r="EC323" i="1"/>
  <c r="AH323" i="1"/>
  <c r="CE323" i="1"/>
  <c r="EB323" i="1"/>
  <c r="AC323" i="1"/>
  <c r="BZ323" i="1"/>
  <c r="DW323" i="1"/>
  <c r="AB323" i="1"/>
  <c r="BY323" i="1"/>
  <c r="DV323" i="1"/>
  <c r="W323" i="1"/>
  <c r="BT323" i="1"/>
  <c r="DQ323" i="1"/>
  <c r="V323" i="1"/>
  <c r="BS323" i="1"/>
  <c r="DP323" i="1"/>
  <c r="Q323" i="1"/>
  <c r="BN323" i="1"/>
  <c r="DK323" i="1"/>
  <c r="P323" i="1"/>
  <c r="BM323" i="1"/>
  <c r="DJ323" i="1"/>
  <c r="O323" i="1"/>
  <c r="BL323" i="1"/>
  <c r="DI323" i="1"/>
  <c r="N323" i="1"/>
  <c r="BK323" i="1"/>
  <c r="DH323" i="1"/>
  <c r="M323" i="1"/>
  <c r="BJ323" i="1"/>
  <c r="DG323" i="1"/>
  <c r="L323" i="1"/>
  <c r="BI323" i="1"/>
  <c r="DF323" i="1"/>
  <c r="K323" i="1"/>
  <c r="BH323" i="1"/>
  <c r="DE323" i="1"/>
  <c r="J323" i="1"/>
  <c r="BG323" i="1"/>
  <c r="DD323" i="1"/>
  <c r="I323" i="1"/>
  <c r="BF323" i="1"/>
  <c r="DC323" i="1"/>
  <c r="H323" i="1"/>
  <c r="BE323" i="1"/>
  <c r="DB323" i="1"/>
  <c r="G323" i="1"/>
  <c r="BD323" i="1"/>
  <c r="DA323" i="1"/>
  <c r="CZ323" i="1"/>
  <c r="CY323" i="1"/>
  <c r="CX323" i="1"/>
  <c r="CW323" i="1"/>
  <c r="CV323" i="1"/>
  <c r="CU323" i="1"/>
  <c r="CT323" i="1"/>
  <c r="CS323" i="1"/>
  <c r="CR323" i="1"/>
  <c r="CQ323" i="1"/>
  <c r="BC323" i="1"/>
  <c r="BB323" i="1"/>
  <c r="BA323" i="1"/>
  <c r="AZ323" i="1"/>
  <c r="AY323" i="1"/>
  <c r="AX323" i="1"/>
  <c r="AW323" i="1"/>
  <c r="AV323" i="1"/>
  <c r="AU323" i="1"/>
  <c r="AT323" i="1"/>
  <c r="AO322" i="1"/>
  <c r="CL322" i="1"/>
  <c r="EI322" i="1"/>
  <c r="AN322" i="1"/>
  <c r="CK322" i="1"/>
  <c r="EH322" i="1"/>
  <c r="AI322" i="1"/>
  <c r="CF322" i="1"/>
  <c r="EC322" i="1"/>
  <c r="AH322" i="1"/>
  <c r="CE322" i="1"/>
  <c r="EB322" i="1"/>
  <c r="AC322" i="1"/>
  <c r="BZ322" i="1"/>
  <c r="DW322" i="1"/>
  <c r="AB322" i="1"/>
  <c r="BY322" i="1"/>
  <c r="DV322" i="1"/>
  <c r="W322" i="1"/>
  <c r="BT322" i="1"/>
  <c r="DQ322" i="1"/>
  <c r="V322" i="1"/>
  <c r="BS322" i="1"/>
  <c r="DP322" i="1"/>
  <c r="Q322" i="1"/>
  <c r="BN322" i="1"/>
  <c r="DK322" i="1"/>
  <c r="P322" i="1"/>
  <c r="BM322" i="1"/>
  <c r="DJ322" i="1"/>
  <c r="O322" i="1"/>
  <c r="BL322" i="1"/>
  <c r="DI322" i="1"/>
  <c r="N322" i="1"/>
  <c r="BK322" i="1"/>
  <c r="DH322" i="1"/>
  <c r="M322" i="1"/>
  <c r="BJ322" i="1"/>
  <c r="DG322" i="1"/>
  <c r="L322" i="1"/>
  <c r="BI322" i="1"/>
  <c r="DF322" i="1"/>
  <c r="K322" i="1"/>
  <c r="BH322" i="1"/>
  <c r="DE322" i="1"/>
  <c r="J322" i="1"/>
  <c r="BG322" i="1"/>
  <c r="DD322" i="1"/>
  <c r="I322" i="1"/>
  <c r="BF322" i="1"/>
  <c r="DC322" i="1"/>
  <c r="H322" i="1"/>
  <c r="BE322" i="1"/>
  <c r="DB322" i="1"/>
  <c r="G322" i="1"/>
  <c r="BD322" i="1"/>
  <c r="DA322" i="1"/>
  <c r="CZ322" i="1"/>
  <c r="CY322" i="1"/>
  <c r="CX322" i="1"/>
  <c r="CW322" i="1"/>
  <c r="CV322" i="1"/>
  <c r="CU322" i="1"/>
  <c r="CT322" i="1"/>
  <c r="CS322" i="1"/>
  <c r="CR322" i="1"/>
  <c r="CQ322" i="1"/>
  <c r="BC322" i="1"/>
  <c r="BB322" i="1"/>
  <c r="BA322" i="1"/>
  <c r="AZ322" i="1"/>
  <c r="AY322" i="1"/>
  <c r="AX322" i="1"/>
  <c r="AW322" i="1"/>
  <c r="AV322" i="1"/>
  <c r="AU322" i="1"/>
  <c r="AT322" i="1"/>
  <c r="AO321" i="1"/>
  <c r="CL321" i="1"/>
  <c r="EI321" i="1"/>
  <c r="AN321" i="1"/>
  <c r="CK321" i="1"/>
  <c r="EH321" i="1"/>
  <c r="AI321" i="1"/>
  <c r="CF321" i="1"/>
  <c r="EC321" i="1"/>
  <c r="AH321" i="1"/>
  <c r="CE321" i="1"/>
  <c r="EB321" i="1"/>
  <c r="AC321" i="1"/>
  <c r="BZ321" i="1"/>
  <c r="DW321" i="1"/>
  <c r="AB321" i="1"/>
  <c r="BY321" i="1"/>
  <c r="DV321" i="1"/>
  <c r="W321" i="1"/>
  <c r="BT321" i="1"/>
  <c r="DQ321" i="1"/>
  <c r="V321" i="1"/>
  <c r="BS321" i="1"/>
  <c r="DP321" i="1"/>
  <c r="Q321" i="1"/>
  <c r="BN321" i="1"/>
  <c r="DK321" i="1"/>
  <c r="P321" i="1"/>
  <c r="BM321" i="1"/>
  <c r="DJ321" i="1"/>
  <c r="O321" i="1"/>
  <c r="BL321" i="1"/>
  <c r="DI321" i="1"/>
  <c r="N321" i="1"/>
  <c r="BK321" i="1"/>
  <c r="DH321" i="1"/>
  <c r="M321" i="1"/>
  <c r="BJ321" i="1"/>
  <c r="DG321" i="1"/>
  <c r="L321" i="1"/>
  <c r="BI321" i="1"/>
  <c r="DF321" i="1"/>
  <c r="K321" i="1"/>
  <c r="BH321" i="1"/>
  <c r="DE321" i="1"/>
  <c r="J321" i="1"/>
  <c r="BG321" i="1"/>
  <c r="DD321" i="1"/>
  <c r="I321" i="1"/>
  <c r="BF321" i="1"/>
  <c r="DC321" i="1"/>
  <c r="H321" i="1"/>
  <c r="BE321" i="1"/>
  <c r="DB321" i="1"/>
  <c r="G321" i="1"/>
  <c r="BD321" i="1"/>
  <c r="DA321" i="1"/>
  <c r="CZ321" i="1"/>
  <c r="CY321" i="1"/>
  <c r="CX321" i="1"/>
  <c r="CW321" i="1"/>
  <c r="CV321" i="1"/>
  <c r="CU321" i="1"/>
  <c r="CT321" i="1"/>
  <c r="CS321" i="1"/>
  <c r="CR321" i="1"/>
  <c r="CQ321" i="1"/>
  <c r="BC321" i="1"/>
  <c r="BB321" i="1"/>
  <c r="BA321" i="1"/>
  <c r="AZ321" i="1"/>
  <c r="AY321" i="1"/>
  <c r="AX321" i="1"/>
  <c r="AW321" i="1"/>
  <c r="AV321" i="1"/>
  <c r="AU321" i="1"/>
  <c r="AT321" i="1"/>
  <c r="AO320" i="1"/>
  <c r="CL320" i="1"/>
  <c r="EI320" i="1"/>
  <c r="AN320" i="1"/>
  <c r="CK320" i="1"/>
  <c r="EH320" i="1"/>
  <c r="AI320" i="1"/>
  <c r="CF320" i="1"/>
  <c r="EC320" i="1"/>
  <c r="AH320" i="1"/>
  <c r="CE320" i="1"/>
  <c r="EB320" i="1"/>
  <c r="AC320" i="1"/>
  <c r="BZ320" i="1"/>
  <c r="DW320" i="1"/>
  <c r="AB320" i="1"/>
  <c r="BY320" i="1"/>
  <c r="DV320" i="1"/>
  <c r="W320" i="1"/>
  <c r="BT320" i="1"/>
  <c r="DQ320" i="1"/>
  <c r="V320" i="1"/>
  <c r="BS320" i="1"/>
  <c r="DP320" i="1"/>
  <c r="Q320" i="1"/>
  <c r="BN320" i="1"/>
  <c r="DK320" i="1"/>
  <c r="P320" i="1"/>
  <c r="BM320" i="1"/>
  <c r="DJ320" i="1"/>
  <c r="O320" i="1"/>
  <c r="BL320" i="1"/>
  <c r="DI320" i="1"/>
  <c r="N320" i="1"/>
  <c r="BK320" i="1"/>
  <c r="DH320" i="1"/>
  <c r="M320" i="1"/>
  <c r="BJ320" i="1"/>
  <c r="DG320" i="1"/>
  <c r="L320" i="1"/>
  <c r="BI320" i="1"/>
  <c r="DF320" i="1"/>
  <c r="K320" i="1"/>
  <c r="BH320" i="1"/>
  <c r="DE320" i="1"/>
  <c r="J320" i="1"/>
  <c r="BG320" i="1"/>
  <c r="DD320" i="1"/>
  <c r="I320" i="1"/>
  <c r="BF320" i="1"/>
  <c r="DC320" i="1"/>
  <c r="H320" i="1"/>
  <c r="BE320" i="1"/>
  <c r="DB320" i="1"/>
  <c r="G320" i="1"/>
  <c r="BD320" i="1"/>
  <c r="DA320" i="1"/>
  <c r="CZ320" i="1"/>
  <c r="CY320" i="1"/>
  <c r="CX320" i="1"/>
  <c r="CW320" i="1"/>
  <c r="CV320" i="1"/>
  <c r="CU320" i="1"/>
  <c r="CT320" i="1"/>
  <c r="CS320" i="1"/>
  <c r="CR320" i="1"/>
  <c r="CQ320" i="1"/>
  <c r="BC320" i="1"/>
  <c r="BB320" i="1"/>
  <c r="BA320" i="1"/>
  <c r="AZ320" i="1"/>
  <c r="AY320" i="1"/>
  <c r="AX320" i="1"/>
  <c r="AW320" i="1"/>
  <c r="AV320" i="1"/>
  <c r="AU320" i="1"/>
  <c r="AT320" i="1"/>
  <c r="AO319" i="1"/>
  <c r="CL319" i="1"/>
  <c r="EI319" i="1"/>
  <c r="AN319" i="1"/>
  <c r="CK319" i="1"/>
  <c r="EH319" i="1"/>
  <c r="AI319" i="1"/>
  <c r="CF319" i="1"/>
  <c r="EC319" i="1"/>
  <c r="AH319" i="1"/>
  <c r="CE319" i="1"/>
  <c r="EB319" i="1"/>
  <c r="AC319" i="1"/>
  <c r="BZ319" i="1"/>
  <c r="DW319" i="1"/>
  <c r="AB319" i="1"/>
  <c r="BY319" i="1"/>
  <c r="DV319" i="1"/>
  <c r="W319" i="1"/>
  <c r="BT319" i="1"/>
  <c r="DQ319" i="1"/>
  <c r="V319" i="1"/>
  <c r="BS319" i="1"/>
  <c r="DP319" i="1"/>
  <c r="Q319" i="1"/>
  <c r="BN319" i="1"/>
  <c r="DK319" i="1"/>
  <c r="P319" i="1"/>
  <c r="BM319" i="1"/>
  <c r="DJ319" i="1"/>
  <c r="O319" i="1"/>
  <c r="BL319" i="1"/>
  <c r="DI319" i="1"/>
  <c r="N319" i="1"/>
  <c r="BK319" i="1"/>
  <c r="DH319" i="1"/>
  <c r="M319" i="1"/>
  <c r="BJ319" i="1"/>
  <c r="DG319" i="1"/>
  <c r="L319" i="1"/>
  <c r="BI319" i="1"/>
  <c r="DF319" i="1"/>
  <c r="K319" i="1"/>
  <c r="BH319" i="1"/>
  <c r="DE319" i="1"/>
  <c r="J319" i="1"/>
  <c r="BG319" i="1"/>
  <c r="DD319" i="1"/>
  <c r="I319" i="1"/>
  <c r="BF319" i="1"/>
  <c r="DC319" i="1"/>
  <c r="H319" i="1"/>
  <c r="BE319" i="1"/>
  <c r="DB319" i="1"/>
  <c r="G319" i="1"/>
  <c r="BD319" i="1"/>
  <c r="DA319" i="1"/>
  <c r="CZ319" i="1"/>
  <c r="CY319" i="1"/>
  <c r="CX319" i="1"/>
  <c r="CW319" i="1"/>
  <c r="CV319" i="1"/>
  <c r="CU319" i="1"/>
  <c r="CT319" i="1"/>
  <c r="CS319" i="1"/>
  <c r="CR319" i="1"/>
  <c r="CQ319" i="1"/>
  <c r="BC319" i="1"/>
  <c r="BB319" i="1"/>
  <c r="BA319" i="1"/>
  <c r="AZ319" i="1"/>
  <c r="AY319" i="1"/>
  <c r="AX319" i="1"/>
  <c r="AW319" i="1"/>
  <c r="AV319" i="1"/>
  <c r="AU319" i="1"/>
  <c r="AT319" i="1"/>
  <c r="AO318" i="1"/>
  <c r="CL318" i="1"/>
  <c r="EI318" i="1"/>
  <c r="AN318" i="1"/>
  <c r="CK318" i="1"/>
  <c r="EH318" i="1"/>
  <c r="AI318" i="1"/>
  <c r="CF318" i="1"/>
  <c r="EC318" i="1"/>
  <c r="AH318" i="1"/>
  <c r="CE318" i="1"/>
  <c r="EB318" i="1"/>
  <c r="AC318" i="1"/>
  <c r="BZ318" i="1"/>
  <c r="DW318" i="1"/>
  <c r="AB318" i="1"/>
  <c r="BY318" i="1"/>
  <c r="DV318" i="1"/>
  <c r="W318" i="1"/>
  <c r="BT318" i="1"/>
  <c r="DQ318" i="1"/>
  <c r="V318" i="1"/>
  <c r="BS318" i="1"/>
  <c r="DP318" i="1"/>
  <c r="Q318" i="1"/>
  <c r="BN318" i="1"/>
  <c r="DK318" i="1"/>
  <c r="P318" i="1"/>
  <c r="BM318" i="1"/>
  <c r="DJ318" i="1"/>
  <c r="O318" i="1"/>
  <c r="BL318" i="1"/>
  <c r="DI318" i="1"/>
  <c r="N318" i="1"/>
  <c r="BK318" i="1"/>
  <c r="DH318" i="1"/>
  <c r="M318" i="1"/>
  <c r="BJ318" i="1"/>
  <c r="DG318" i="1"/>
  <c r="L318" i="1"/>
  <c r="BI318" i="1"/>
  <c r="DF318" i="1"/>
  <c r="K318" i="1"/>
  <c r="BH318" i="1"/>
  <c r="DE318" i="1"/>
  <c r="J318" i="1"/>
  <c r="BG318" i="1"/>
  <c r="DD318" i="1"/>
  <c r="I318" i="1"/>
  <c r="BF318" i="1"/>
  <c r="DC318" i="1"/>
  <c r="H318" i="1"/>
  <c r="BE318" i="1"/>
  <c r="DB318" i="1"/>
  <c r="G318" i="1"/>
  <c r="BD318" i="1"/>
  <c r="DA318" i="1"/>
  <c r="CZ318" i="1"/>
  <c r="CY318" i="1"/>
  <c r="CX318" i="1"/>
  <c r="CW318" i="1"/>
  <c r="CV318" i="1"/>
  <c r="CU318" i="1"/>
  <c r="CT318" i="1"/>
  <c r="CS318" i="1"/>
  <c r="CR318" i="1"/>
  <c r="CQ318" i="1"/>
  <c r="BC318" i="1"/>
  <c r="BB318" i="1"/>
  <c r="BA318" i="1"/>
  <c r="AZ318" i="1"/>
  <c r="AY318" i="1"/>
  <c r="AX318" i="1"/>
  <c r="AW318" i="1"/>
  <c r="AV318" i="1"/>
  <c r="AU318" i="1"/>
  <c r="AT318" i="1"/>
  <c r="AO317" i="1"/>
  <c r="CL317" i="1"/>
  <c r="EI317" i="1"/>
  <c r="AN317" i="1"/>
  <c r="CK317" i="1"/>
  <c r="EH317" i="1"/>
  <c r="AI317" i="1"/>
  <c r="CF317" i="1"/>
  <c r="EC317" i="1"/>
  <c r="AH317" i="1"/>
  <c r="CE317" i="1"/>
  <c r="EB317" i="1"/>
  <c r="AC317" i="1"/>
  <c r="BZ317" i="1"/>
  <c r="DW317" i="1"/>
  <c r="AB317" i="1"/>
  <c r="BY317" i="1"/>
  <c r="DV317" i="1"/>
  <c r="W317" i="1"/>
  <c r="BT317" i="1"/>
  <c r="DQ317" i="1"/>
  <c r="V317" i="1"/>
  <c r="BS317" i="1"/>
  <c r="DP317" i="1"/>
  <c r="Q317" i="1"/>
  <c r="BN317" i="1"/>
  <c r="DK317" i="1"/>
  <c r="P317" i="1"/>
  <c r="BM317" i="1"/>
  <c r="DJ317" i="1"/>
  <c r="O317" i="1"/>
  <c r="BL317" i="1"/>
  <c r="DI317" i="1"/>
  <c r="N317" i="1"/>
  <c r="BK317" i="1"/>
  <c r="DH317" i="1"/>
  <c r="M317" i="1"/>
  <c r="BJ317" i="1"/>
  <c r="DG317" i="1"/>
  <c r="L317" i="1"/>
  <c r="BI317" i="1"/>
  <c r="DF317" i="1"/>
  <c r="K317" i="1"/>
  <c r="BH317" i="1"/>
  <c r="DE317" i="1"/>
  <c r="J317" i="1"/>
  <c r="BG317" i="1"/>
  <c r="DD317" i="1"/>
  <c r="I317" i="1"/>
  <c r="BF317" i="1"/>
  <c r="DC317" i="1"/>
  <c r="H317" i="1"/>
  <c r="BE317" i="1"/>
  <c r="DB317" i="1"/>
  <c r="G317" i="1"/>
  <c r="BD317" i="1"/>
  <c r="DA317" i="1"/>
  <c r="CZ317" i="1"/>
  <c r="CY317" i="1"/>
  <c r="CX317" i="1"/>
  <c r="CW317" i="1"/>
  <c r="CV317" i="1"/>
  <c r="CU317" i="1"/>
  <c r="CT317" i="1"/>
  <c r="CS317" i="1"/>
  <c r="CR317" i="1"/>
  <c r="CQ317" i="1"/>
  <c r="BC317" i="1"/>
  <c r="BB317" i="1"/>
  <c r="BA317" i="1"/>
  <c r="AZ317" i="1"/>
  <c r="AY317" i="1"/>
  <c r="AX317" i="1"/>
  <c r="AW317" i="1"/>
  <c r="AV317" i="1"/>
  <c r="AU317" i="1"/>
  <c r="AT317" i="1"/>
  <c r="AO316" i="1"/>
  <c r="CL316" i="1"/>
  <c r="EI316" i="1"/>
  <c r="AN316" i="1"/>
  <c r="CK316" i="1"/>
  <c r="EH316" i="1"/>
  <c r="AI316" i="1"/>
  <c r="CF316" i="1"/>
  <c r="EC316" i="1"/>
  <c r="AH316" i="1"/>
  <c r="CE316" i="1"/>
  <c r="EB316" i="1"/>
  <c r="AC316" i="1"/>
  <c r="BZ316" i="1"/>
  <c r="DW316" i="1"/>
  <c r="AB316" i="1"/>
  <c r="BY316" i="1"/>
  <c r="DV316" i="1"/>
  <c r="W316" i="1"/>
  <c r="BT316" i="1"/>
  <c r="DQ316" i="1"/>
  <c r="V316" i="1"/>
  <c r="BS316" i="1"/>
  <c r="DP316" i="1"/>
  <c r="Q316" i="1"/>
  <c r="BN316" i="1"/>
  <c r="DK316" i="1"/>
  <c r="P316" i="1"/>
  <c r="BM316" i="1"/>
  <c r="DJ316" i="1"/>
  <c r="O316" i="1"/>
  <c r="BL316" i="1"/>
  <c r="DI316" i="1"/>
  <c r="N316" i="1"/>
  <c r="BK316" i="1"/>
  <c r="DH316" i="1"/>
  <c r="M316" i="1"/>
  <c r="BJ316" i="1"/>
  <c r="DG316" i="1"/>
  <c r="L316" i="1"/>
  <c r="BI316" i="1"/>
  <c r="DF316" i="1"/>
  <c r="K316" i="1"/>
  <c r="BH316" i="1"/>
  <c r="DE316" i="1"/>
  <c r="J316" i="1"/>
  <c r="BG316" i="1"/>
  <c r="DD316" i="1"/>
  <c r="I316" i="1"/>
  <c r="BF316" i="1"/>
  <c r="DC316" i="1"/>
  <c r="H316" i="1"/>
  <c r="BE316" i="1"/>
  <c r="DB316" i="1"/>
  <c r="G316" i="1"/>
  <c r="BD316" i="1"/>
  <c r="DA316" i="1"/>
  <c r="CZ316" i="1"/>
  <c r="CY316" i="1"/>
  <c r="CX316" i="1"/>
  <c r="CW316" i="1"/>
  <c r="CV316" i="1"/>
  <c r="CU316" i="1"/>
  <c r="CT316" i="1"/>
  <c r="CS316" i="1"/>
  <c r="CR316" i="1"/>
  <c r="CQ316" i="1"/>
  <c r="BC316" i="1"/>
  <c r="BB316" i="1"/>
  <c r="BA316" i="1"/>
  <c r="AZ316" i="1"/>
  <c r="AY316" i="1"/>
  <c r="AX316" i="1"/>
  <c r="AW316" i="1"/>
  <c r="AV316" i="1"/>
  <c r="AU316" i="1"/>
  <c r="AT316" i="1"/>
  <c r="AO315" i="1"/>
  <c r="CL315" i="1"/>
  <c r="EI315" i="1"/>
  <c r="AN315" i="1"/>
  <c r="CK315" i="1"/>
  <c r="EH315" i="1"/>
  <c r="AI315" i="1"/>
  <c r="CF315" i="1"/>
  <c r="EC315" i="1"/>
  <c r="AH315" i="1"/>
  <c r="CE315" i="1"/>
  <c r="EB315" i="1"/>
  <c r="AC315" i="1"/>
  <c r="BZ315" i="1"/>
  <c r="DW315" i="1"/>
  <c r="AB315" i="1"/>
  <c r="BY315" i="1"/>
  <c r="DV315" i="1"/>
  <c r="W315" i="1"/>
  <c r="BT315" i="1"/>
  <c r="DQ315" i="1"/>
  <c r="V315" i="1"/>
  <c r="BS315" i="1"/>
  <c r="DP315" i="1"/>
  <c r="Q315" i="1"/>
  <c r="BN315" i="1"/>
  <c r="DK315" i="1"/>
  <c r="P315" i="1"/>
  <c r="BM315" i="1"/>
  <c r="DJ315" i="1"/>
  <c r="O315" i="1"/>
  <c r="BL315" i="1"/>
  <c r="DI315" i="1"/>
  <c r="N315" i="1"/>
  <c r="BK315" i="1"/>
  <c r="DH315" i="1"/>
  <c r="M315" i="1"/>
  <c r="BJ315" i="1"/>
  <c r="DG315" i="1"/>
  <c r="L315" i="1"/>
  <c r="BI315" i="1"/>
  <c r="DF315" i="1"/>
  <c r="K315" i="1"/>
  <c r="BH315" i="1"/>
  <c r="DE315" i="1"/>
  <c r="J315" i="1"/>
  <c r="BG315" i="1"/>
  <c r="DD315" i="1"/>
  <c r="I315" i="1"/>
  <c r="BF315" i="1"/>
  <c r="DC315" i="1"/>
  <c r="H315" i="1"/>
  <c r="BE315" i="1"/>
  <c r="DB315" i="1"/>
  <c r="G315" i="1"/>
  <c r="BD315" i="1"/>
  <c r="DA315" i="1"/>
  <c r="CZ315" i="1"/>
  <c r="CY315" i="1"/>
  <c r="CX315" i="1"/>
  <c r="CW315" i="1"/>
  <c r="CV315" i="1"/>
  <c r="CU315" i="1"/>
  <c r="CT315" i="1"/>
  <c r="CS315" i="1"/>
  <c r="CR315" i="1"/>
  <c r="CQ315" i="1"/>
  <c r="BC315" i="1"/>
  <c r="BB315" i="1"/>
  <c r="BA315" i="1"/>
  <c r="AZ315" i="1"/>
  <c r="AY315" i="1"/>
  <c r="AX315" i="1"/>
  <c r="AW315" i="1"/>
  <c r="AV315" i="1"/>
  <c r="AU315" i="1"/>
  <c r="AT315" i="1"/>
  <c r="AO314" i="1"/>
  <c r="CL314" i="1"/>
  <c r="EI314" i="1"/>
  <c r="AN314" i="1"/>
  <c r="CK314" i="1"/>
  <c r="EH314" i="1"/>
  <c r="AI314" i="1"/>
  <c r="CF314" i="1"/>
  <c r="EC314" i="1"/>
  <c r="AH314" i="1"/>
  <c r="CE314" i="1"/>
  <c r="EB314" i="1"/>
  <c r="AC314" i="1"/>
  <c r="BZ314" i="1"/>
  <c r="DW314" i="1"/>
  <c r="AB314" i="1"/>
  <c r="BY314" i="1"/>
  <c r="DV314" i="1"/>
  <c r="W314" i="1"/>
  <c r="BT314" i="1"/>
  <c r="DQ314" i="1"/>
  <c r="V314" i="1"/>
  <c r="BS314" i="1"/>
  <c r="DP314" i="1"/>
  <c r="Q314" i="1"/>
  <c r="BN314" i="1"/>
  <c r="DK314" i="1"/>
  <c r="P314" i="1"/>
  <c r="BM314" i="1"/>
  <c r="DJ314" i="1"/>
  <c r="O314" i="1"/>
  <c r="BL314" i="1"/>
  <c r="DI314" i="1"/>
  <c r="N314" i="1"/>
  <c r="BK314" i="1"/>
  <c r="DH314" i="1"/>
  <c r="M314" i="1"/>
  <c r="BJ314" i="1"/>
  <c r="DG314" i="1"/>
  <c r="L314" i="1"/>
  <c r="BI314" i="1"/>
  <c r="DF314" i="1"/>
  <c r="K314" i="1"/>
  <c r="BH314" i="1"/>
  <c r="DE314" i="1"/>
  <c r="J314" i="1"/>
  <c r="BG314" i="1"/>
  <c r="DD314" i="1"/>
  <c r="I314" i="1"/>
  <c r="BF314" i="1"/>
  <c r="DC314" i="1"/>
  <c r="H314" i="1"/>
  <c r="BE314" i="1"/>
  <c r="DB314" i="1"/>
  <c r="G314" i="1"/>
  <c r="BD314" i="1"/>
  <c r="DA314" i="1"/>
  <c r="CZ314" i="1"/>
  <c r="CY314" i="1"/>
  <c r="CX314" i="1"/>
  <c r="CW314" i="1"/>
  <c r="CV314" i="1"/>
  <c r="CU314" i="1"/>
  <c r="CT314" i="1"/>
  <c r="CS314" i="1"/>
  <c r="CR314" i="1"/>
  <c r="CQ314" i="1"/>
  <c r="BC314" i="1"/>
  <c r="BB314" i="1"/>
  <c r="BA314" i="1"/>
  <c r="AZ314" i="1"/>
  <c r="AY314" i="1"/>
  <c r="AX314" i="1"/>
  <c r="AW314" i="1"/>
  <c r="AV314" i="1"/>
  <c r="AU314" i="1"/>
  <c r="AT314" i="1"/>
  <c r="AO313" i="1"/>
  <c r="CL313" i="1"/>
  <c r="EI313" i="1"/>
  <c r="AN313" i="1"/>
  <c r="CK313" i="1"/>
  <c r="EH313" i="1"/>
  <c r="AI313" i="1"/>
  <c r="CF313" i="1"/>
  <c r="EC313" i="1"/>
  <c r="AH313" i="1"/>
  <c r="CE313" i="1"/>
  <c r="EB313" i="1"/>
  <c r="AC313" i="1"/>
  <c r="BZ313" i="1"/>
  <c r="DW313" i="1"/>
  <c r="AB313" i="1"/>
  <c r="BY313" i="1"/>
  <c r="DV313" i="1"/>
  <c r="W313" i="1"/>
  <c r="BT313" i="1"/>
  <c r="DQ313" i="1"/>
  <c r="V313" i="1"/>
  <c r="BS313" i="1"/>
  <c r="DP313" i="1"/>
  <c r="Q313" i="1"/>
  <c r="BN313" i="1"/>
  <c r="DK313" i="1"/>
  <c r="P313" i="1"/>
  <c r="BM313" i="1"/>
  <c r="DJ313" i="1"/>
  <c r="O313" i="1"/>
  <c r="BL313" i="1"/>
  <c r="DI313" i="1"/>
  <c r="N313" i="1"/>
  <c r="BK313" i="1"/>
  <c r="DH313" i="1"/>
  <c r="M313" i="1"/>
  <c r="BJ313" i="1"/>
  <c r="DG313" i="1"/>
  <c r="L313" i="1"/>
  <c r="BI313" i="1"/>
  <c r="DF313" i="1"/>
  <c r="K313" i="1"/>
  <c r="BH313" i="1"/>
  <c r="DE313" i="1"/>
  <c r="J313" i="1"/>
  <c r="BG313" i="1"/>
  <c r="DD313" i="1"/>
  <c r="I313" i="1"/>
  <c r="BF313" i="1"/>
  <c r="DC313" i="1"/>
  <c r="H313" i="1"/>
  <c r="BE313" i="1"/>
  <c r="DB313" i="1"/>
  <c r="G313" i="1"/>
  <c r="BD313" i="1"/>
  <c r="DA313" i="1"/>
  <c r="CZ313" i="1"/>
  <c r="CY313" i="1"/>
  <c r="CX313" i="1"/>
  <c r="CW313" i="1"/>
  <c r="CV313" i="1"/>
  <c r="CU313" i="1"/>
  <c r="CT313" i="1"/>
  <c r="CS313" i="1"/>
  <c r="CR313" i="1"/>
  <c r="CQ313" i="1"/>
  <c r="BC313" i="1"/>
  <c r="BB313" i="1"/>
  <c r="BA313" i="1"/>
  <c r="AZ313" i="1"/>
  <c r="AY313" i="1"/>
  <c r="AX313" i="1"/>
  <c r="AW313" i="1"/>
  <c r="AV313" i="1"/>
  <c r="AU313" i="1"/>
  <c r="AT313" i="1"/>
  <c r="AO312" i="1"/>
  <c r="CL312" i="1"/>
  <c r="EI312" i="1"/>
  <c r="AN312" i="1"/>
  <c r="CK312" i="1"/>
  <c r="EH312" i="1"/>
  <c r="AI312" i="1"/>
  <c r="CF312" i="1"/>
  <c r="EC312" i="1"/>
  <c r="AH312" i="1"/>
  <c r="CE312" i="1"/>
  <c r="EB312" i="1"/>
  <c r="AC312" i="1"/>
  <c r="BZ312" i="1"/>
  <c r="DW312" i="1"/>
  <c r="AB312" i="1"/>
  <c r="BY312" i="1"/>
  <c r="DV312" i="1"/>
  <c r="W312" i="1"/>
  <c r="BT312" i="1"/>
  <c r="DQ312" i="1"/>
  <c r="V312" i="1"/>
  <c r="BS312" i="1"/>
  <c r="DP312" i="1"/>
  <c r="Q312" i="1"/>
  <c r="BN312" i="1"/>
  <c r="DK312" i="1"/>
  <c r="P312" i="1"/>
  <c r="BM312" i="1"/>
  <c r="DJ312" i="1"/>
  <c r="O312" i="1"/>
  <c r="BL312" i="1"/>
  <c r="DI312" i="1"/>
  <c r="N312" i="1"/>
  <c r="BK312" i="1"/>
  <c r="DH312" i="1"/>
  <c r="M312" i="1"/>
  <c r="BJ312" i="1"/>
  <c r="DG312" i="1"/>
  <c r="L312" i="1"/>
  <c r="BI312" i="1"/>
  <c r="DF312" i="1"/>
  <c r="K312" i="1"/>
  <c r="BH312" i="1"/>
  <c r="DE312" i="1"/>
  <c r="J312" i="1"/>
  <c r="BG312" i="1"/>
  <c r="DD312" i="1"/>
  <c r="I312" i="1"/>
  <c r="BF312" i="1"/>
  <c r="DC312" i="1"/>
  <c r="H312" i="1"/>
  <c r="BE312" i="1"/>
  <c r="DB312" i="1"/>
  <c r="G312" i="1"/>
  <c r="BD312" i="1"/>
  <c r="DA312" i="1"/>
  <c r="CZ312" i="1"/>
  <c r="CY312" i="1"/>
  <c r="CX312" i="1"/>
  <c r="CW312" i="1"/>
  <c r="CV312" i="1"/>
  <c r="CU312" i="1"/>
  <c r="CT312" i="1"/>
  <c r="CS312" i="1"/>
  <c r="CR312" i="1"/>
  <c r="CQ312" i="1"/>
  <c r="BC312" i="1"/>
  <c r="BB312" i="1"/>
  <c r="BA312" i="1"/>
  <c r="AZ312" i="1"/>
  <c r="AY312" i="1"/>
  <c r="AX312" i="1"/>
  <c r="AW312" i="1"/>
  <c r="AV312" i="1"/>
  <c r="AU312" i="1"/>
  <c r="AT312" i="1"/>
  <c r="AO311" i="1"/>
  <c r="CL311" i="1"/>
  <c r="EI311" i="1"/>
  <c r="AN311" i="1"/>
  <c r="CK311" i="1"/>
  <c r="EH311" i="1"/>
  <c r="AI311" i="1"/>
  <c r="CF311" i="1"/>
  <c r="EC311" i="1"/>
  <c r="AH311" i="1"/>
  <c r="CE311" i="1"/>
  <c r="EB311" i="1"/>
  <c r="AC311" i="1"/>
  <c r="BZ311" i="1"/>
  <c r="DW311" i="1"/>
  <c r="AB311" i="1"/>
  <c r="BY311" i="1"/>
  <c r="DV311" i="1"/>
  <c r="W311" i="1"/>
  <c r="BT311" i="1"/>
  <c r="DQ311" i="1"/>
  <c r="V311" i="1"/>
  <c r="BS311" i="1"/>
  <c r="DP311" i="1"/>
  <c r="Q311" i="1"/>
  <c r="BN311" i="1"/>
  <c r="DK311" i="1"/>
  <c r="P311" i="1"/>
  <c r="BM311" i="1"/>
  <c r="DJ311" i="1"/>
  <c r="O311" i="1"/>
  <c r="BL311" i="1"/>
  <c r="DI311" i="1"/>
  <c r="N311" i="1"/>
  <c r="BK311" i="1"/>
  <c r="DH311" i="1"/>
  <c r="M311" i="1"/>
  <c r="BJ311" i="1"/>
  <c r="DG311" i="1"/>
  <c r="L311" i="1"/>
  <c r="BI311" i="1"/>
  <c r="DF311" i="1"/>
  <c r="K311" i="1"/>
  <c r="BH311" i="1"/>
  <c r="DE311" i="1"/>
  <c r="J311" i="1"/>
  <c r="BG311" i="1"/>
  <c r="DD311" i="1"/>
  <c r="I311" i="1"/>
  <c r="BF311" i="1"/>
  <c r="DC311" i="1"/>
  <c r="H311" i="1"/>
  <c r="BE311" i="1"/>
  <c r="DB311" i="1"/>
  <c r="G311" i="1"/>
  <c r="BD311" i="1"/>
  <c r="DA311" i="1"/>
  <c r="CZ311" i="1"/>
  <c r="CY311" i="1"/>
  <c r="CX311" i="1"/>
  <c r="CW311" i="1"/>
  <c r="CV311" i="1"/>
  <c r="CU311" i="1"/>
  <c r="CT311" i="1"/>
  <c r="CS311" i="1"/>
  <c r="CR311" i="1"/>
  <c r="CQ311" i="1"/>
  <c r="BC311" i="1"/>
  <c r="BB311" i="1"/>
  <c r="BA311" i="1"/>
  <c r="AZ311" i="1"/>
  <c r="AY311" i="1"/>
  <c r="AX311" i="1"/>
  <c r="AW311" i="1"/>
  <c r="AV311" i="1"/>
  <c r="AU311" i="1"/>
  <c r="AT311" i="1"/>
  <c r="AO310" i="1"/>
  <c r="CL310" i="1"/>
  <c r="EI310" i="1"/>
  <c r="AN310" i="1"/>
  <c r="CK310" i="1"/>
  <c r="EH310" i="1"/>
  <c r="AI310" i="1"/>
  <c r="CF310" i="1"/>
  <c r="EC310" i="1"/>
  <c r="AH310" i="1"/>
  <c r="CE310" i="1"/>
  <c r="EB310" i="1"/>
  <c r="AC310" i="1"/>
  <c r="BZ310" i="1"/>
  <c r="DW310" i="1"/>
  <c r="AB310" i="1"/>
  <c r="BY310" i="1"/>
  <c r="DV310" i="1"/>
  <c r="W310" i="1"/>
  <c r="BT310" i="1"/>
  <c r="DQ310" i="1"/>
  <c r="V310" i="1"/>
  <c r="BS310" i="1"/>
  <c r="DP310" i="1"/>
  <c r="Q310" i="1"/>
  <c r="BN310" i="1"/>
  <c r="DK310" i="1"/>
  <c r="P310" i="1"/>
  <c r="BM310" i="1"/>
  <c r="DJ310" i="1"/>
  <c r="O310" i="1"/>
  <c r="BL310" i="1"/>
  <c r="DI310" i="1"/>
  <c r="N310" i="1"/>
  <c r="BK310" i="1"/>
  <c r="DH310" i="1"/>
  <c r="M310" i="1"/>
  <c r="BJ310" i="1"/>
  <c r="DG310" i="1"/>
  <c r="L310" i="1"/>
  <c r="BI310" i="1"/>
  <c r="DF310" i="1"/>
  <c r="K310" i="1"/>
  <c r="BH310" i="1"/>
  <c r="DE310" i="1"/>
  <c r="J310" i="1"/>
  <c r="BG310" i="1"/>
  <c r="DD310" i="1"/>
  <c r="I310" i="1"/>
  <c r="BF310" i="1"/>
  <c r="DC310" i="1"/>
  <c r="H310" i="1"/>
  <c r="BE310" i="1"/>
  <c r="DB310" i="1"/>
  <c r="G310" i="1"/>
  <c r="BD310" i="1"/>
  <c r="DA310" i="1"/>
  <c r="CZ310" i="1"/>
  <c r="CY310" i="1"/>
  <c r="CX310" i="1"/>
  <c r="CW310" i="1"/>
  <c r="CV310" i="1"/>
  <c r="CU310" i="1"/>
  <c r="CT310" i="1"/>
  <c r="CS310" i="1"/>
  <c r="CR310" i="1"/>
  <c r="CQ310" i="1"/>
  <c r="BC310" i="1"/>
  <c r="BB310" i="1"/>
  <c r="BA310" i="1"/>
  <c r="AZ310" i="1"/>
  <c r="AY310" i="1"/>
  <c r="AX310" i="1"/>
  <c r="AW310" i="1"/>
  <c r="AV310" i="1"/>
  <c r="AU310" i="1"/>
  <c r="AT310" i="1"/>
  <c r="AO309" i="1"/>
  <c r="CL309" i="1"/>
  <c r="EI309" i="1"/>
  <c r="AN309" i="1"/>
  <c r="CK309" i="1"/>
  <c r="EH309" i="1"/>
  <c r="AI309" i="1"/>
  <c r="CF309" i="1"/>
  <c r="EC309" i="1"/>
  <c r="AH309" i="1"/>
  <c r="CE309" i="1"/>
  <c r="EB309" i="1"/>
  <c r="AC309" i="1"/>
  <c r="BZ309" i="1"/>
  <c r="DW309" i="1"/>
  <c r="AB309" i="1"/>
  <c r="BY309" i="1"/>
  <c r="DV309" i="1"/>
  <c r="W309" i="1"/>
  <c r="BT309" i="1"/>
  <c r="DQ309" i="1"/>
  <c r="V309" i="1"/>
  <c r="BS309" i="1"/>
  <c r="DP309" i="1"/>
  <c r="Q309" i="1"/>
  <c r="BN309" i="1"/>
  <c r="DK309" i="1"/>
  <c r="P309" i="1"/>
  <c r="BM309" i="1"/>
  <c r="DJ309" i="1"/>
  <c r="O309" i="1"/>
  <c r="BL309" i="1"/>
  <c r="DI309" i="1"/>
  <c r="N309" i="1"/>
  <c r="BK309" i="1"/>
  <c r="DH309" i="1"/>
  <c r="M309" i="1"/>
  <c r="BJ309" i="1"/>
  <c r="DG309" i="1"/>
  <c r="L309" i="1"/>
  <c r="BI309" i="1"/>
  <c r="DF309" i="1"/>
  <c r="K309" i="1"/>
  <c r="BH309" i="1"/>
  <c r="DE309" i="1"/>
  <c r="J309" i="1"/>
  <c r="BG309" i="1"/>
  <c r="DD309" i="1"/>
  <c r="I309" i="1"/>
  <c r="BF309" i="1"/>
  <c r="DC309" i="1"/>
  <c r="H309" i="1"/>
  <c r="BE309" i="1"/>
  <c r="DB309" i="1"/>
  <c r="G309" i="1"/>
  <c r="BD309" i="1"/>
  <c r="DA309" i="1"/>
  <c r="CZ309" i="1"/>
  <c r="CY309" i="1"/>
  <c r="CX309" i="1"/>
  <c r="CW309" i="1"/>
  <c r="CV309" i="1"/>
  <c r="CU309" i="1"/>
  <c r="CT309" i="1"/>
  <c r="CS309" i="1"/>
  <c r="CR309" i="1"/>
  <c r="CQ309" i="1"/>
  <c r="BC309" i="1"/>
  <c r="BB309" i="1"/>
  <c r="BA309" i="1"/>
  <c r="AZ309" i="1"/>
  <c r="AY309" i="1"/>
  <c r="AX309" i="1"/>
  <c r="AW309" i="1"/>
  <c r="AV309" i="1"/>
  <c r="AU309" i="1"/>
  <c r="AT309" i="1"/>
  <c r="AO308" i="1"/>
  <c r="CL308" i="1"/>
  <c r="EI308" i="1"/>
  <c r="AN308" i="1"/>
  <c r="CK308" i="1"/>
  <c r="EH308" i="1"/>
  <c r="AI308" i="1"/>
  <c r="CF308" i="1"/>
  <c r="EC308" i="1"/>
  <c r="AH308" i="1"/>
  <c r="CE308" i="1"/>
  <c r="EB308" i="1"/>
  <c r="AC308" i="1"/>
  <c r="BZ308" i="1"/>
  <c r="DW308" i="1"/>
  <c r="AB308" i="1"/>
  <c r="BY308" i="1"/>
  <c r="DV308" i="1"/>
  <c r="W308" i="1"/>
  <c r="BT308" i="1"/>
  <c r="DQ308" i="1"/>
  <c r="V308" i="1"/>
  <c r="BS308" i="1"/>
  <c r="DP308" i="1"/>
  <c r="Q308" i="1"/>
  <c r="BN308" i="1"/>
  <c r="DK308" i="1"/>
  <c r="P308" i="1"/>
  <c r="BM308" i="1"/>
  <c r="DJ308" i="1"/>
  <c r="O308" i="1"/>
  <c r="BL308" i="1"/>
  <c r="DI308" i="1"/>
  <c r="N308" i="1"/>
  <c r="BK308" i="1"/>
  <c r="DH308" i="1"/>
  <c r="M308" i="1"/>
  <c r="BJ308" i="1"/>
  <c r="DG308" i="1"/>
  <c r="L308" i="1"/>
  <c r="BI308" i="1"/>
  <c r="DF308" i="1"/>
  <c r="K308" i="1"/>
  <c r="BH308" i="1"/>
  <c r="DE308" i="1"/>
  <c r="J308" i="1"/>
  <c r="BG308" i="1"/>
  <c r="DD308" i="1"/>
  <c r="I308" i="1"/>
  <c r="BF308" i="1"/>
  <c r="DC308" i="1"/>
  <c r="H308" i="1"/>
  <c r="BE308" i="1"/>
  <c r="DB308" i="1"/>
  <c r="G308" i="1"/>
  <c r="BD308" i="1"/>
  <c r="DA308" i="1"/>
  <c r="CZ308" i="1"/>
  <c r="CY308" i="1"/>
  <c r="CX308" i="1"/>
  <c r="CW308" i="1"/>
  <c r="CV308" i="1"/>
  <c r="CU308" i="1"/>
  <c r="CT308" i="1"/>
  <c r="CS308" i="1"/>
  <c r="CR308" i="1"/>
  <c r="CQ308" i="1"/>
  <c r="BC308" i="1"/>
  <c r="BB308" i="1"/>
  <c r="BA308" i="1"/>
  <c r="AZ308" i="1"/>
  <c r="AY308" i="1"/>
  <c r="AX308" i="1"/>
  <c r="AW308" i="1"/>
  <c r="AV308" i="1"/>
  <c r="AU308" i="1"/>
  <c r="AT308" i="1"/>
  <c r="AO307" i="1"/>
  <c r="CL307" i="1"/>
  <c r="EI307" i="1"/>
  <c r="AN307" i="1"/>
  <c r="CK307" i="1"/>
  <c r="EH307" i="1"/>
  <c r="AI307" i="1"/>
  <c r="CF307" i="1"/>
  <c r="EC307" i="1"/>
  <c r="AH307" i="1"/>
  <c r="CE307" i="1"/>
  <c r="EB307" i="1"/>
  <c r="AC307" i="1"/>
  <c r="BZ307" i="1"/>
  <c r="DW307" i="1"/>
  <c r="AB307" i="1"/>
  <c r="BY307" i="1"/>
  <c r="DV307" i="1"/>
  <c r="W307" i="1"/>
  <c r="BT307" i="1"/>
  <c r="DQ307" i="1"/>
  <c r="V307" i="1"/>
  <c r="BS307" i="1"/>
  <c r="DP307" i="1"/>
  <c r="Q307" i="1"/>
  <c r="BN307" i="1"/>
  <c r="DK307" i="1"/>
  <c r="P307" i="1"/>
  <c r="BM307" i="1"/>
  <c r="DJ307" i="1"/>
  <c r="O307" i="1"/>
  <c r="BL307" i="1"/>
  <c r="DI307" i="1"/>
  <c r="N307" i="1"/>
  <c r="BK307" i="1"/>
  <c r="DH307" i="1"/>
  <c r="M307" i="1"/>
  <c r="BJ307" i="1"/>
  <c r="DG307" i="1"/>
  <c r="L307" i="1"/>
  <c r="BI307" i="1"/>
  <c r="DF307" i="1"/>
  <c r="K307" i="1"/>
  <c r="BH307" i="1"/>
  <c r="DE307" i="1"/>
  <c r="J307" i="1"/>
  <c r="BG307" i="1"/>
  <c r="DD307" i="1"/>
  <c r="I307" i="1"/>
  <c r="BF307" i="1"/>
  <c r="DC307" i="1"/>
  <c r="H307" i="1"/>
  <c r="BE307" i="1"/>
  <c r="DB307" i="1"/>
  <c r="G307" i="1"/>
  <c r="BD307" i="1"/>
  <c r="DA307" i="1"/>
  <c r="CZ307" i="1"/>
  <c r="CY307" i="1"/>
  <c r="CX307" i="1"/>
  <c r="CW307" i="1"/>
  <c r="CV307" i="1"/>
  <c r="CU307" i="1"/>
  <c r="CT307" i="1"/>
  <c r="CS307" i="1"/>
  <c r="CR307" i="1"/>
  <c r="CQ307" i="1"/>
  <c r="BC307" i="1"/>
  <c r="BB307" i="1"/>
  <c r="BA307" i="1"/>
  <c r="AZ307" i="1"/>
  <c r="AY307" i="1"/>
  <c r="AX307" i="1"/>
  <c r="AW307" i="1"/>
  <c r="AV307" i="1"/>
  <c r="AU307" i="1"/>
  <c r="AT307" i="1"/>
  <c r="AO306" i="1"/>
  <c r="CL306" i="1"/>
  <c r="EI306" i="1"/>
  <c r="AN306" i="1"/>
  <c r="CK306" i="1"/>
  <c r="EH306" i="1"/>
  <c r="AI306" i="1"/>
  <c r="CF306" i="1"/>
  <c r="EC306" i="1"/>
  <c r="AH306" i="1"/>
  <c r="CE306" i="1"/>
  <c r="EB306" i="1"/>
  <c r="AC306" i="1"/>
  <c r="BZ306" i="1"/>
  <c r="DW306" i="1"/>
  <c r="AB306" i="1"/>
  <c r="BY306" i="1"/>
  <c r="DV306" i="1"/>
  <c r="W306" i="1"/>
  <c r="BT306" i="1"/>
  <c r="DQ306" i="1"/>
  <c r="V306" i="1"/>
  <c r="BS306" i="1"/>
  <c r="DP306" i="1"/>
  <c r="Q306" i="1"/>
  <c r="BN306" i="1"/>
  <c r="DK306" i="1"/>
  <c r="P306" i="1"/>
  <c r="BM306" i="1"/>
  <c r="DJ306" i="1"/>
  <c r="O306" i="1"/>
  <c r="BL306" i="1"/>
  <c r="DI306" i="1"/>
  <c r="N306" i="1"/>
  <c r="BK306" i="1"/>
  <c r="DH306" i="1"/>
  <c r="M306" i="1"/>
  <c r="BJ306" i="1"/>
  <c r="DG306" i="1"/>
  <c r="L306" i="1"/>
  <c r="BI306" i="1"/>
  <c r="DF306" i="1"/>
  <c r="K306" i="1"/>
  <c r="BH306" i="1"/>
  <c r="DE306" i="1"/>
  <c r="J306" i="1"/>
  <c r="BG306" i="1"/>
  <c r="DD306" i="1"/>
  <c r="I306" i="1"/>
  <c r="BF306" i="1"/>
  <c r="DC306" i="1"/>
  <c r="H306" i="1"/>
  <c r="BE306" i="1"/>
  <c r="DB306" i="1"/>
  <c r="G306" i="1"/>
  <c r="BD306" i="1"/>
  <c r="DA306" i="1"/>
  <c r="CZ306" i="1"/>
  <c r="CY306" i="1"/>
  <c r="CX306" i="1"/>
  <c r="CW306" i="1"/>
  <c r="CV306" i="1"/>
  <c r="CU306" i="1"/>
  <c r="CT306" i="1"/>
  <c r="CS306" i="1"/>
  <c r="CR306" i="1"/>
  <c r="CQ306" i="1"/>
  <c r="BC306" i="1"/>
  <c r="BB306" i="1"/>
  <c r="BA306" i="1"/>
  <c r="AZ306" i="1"/>
  <c r="AY306" i="1"/>
  <c r="AX306" i="1"/>
  <c r="AW306" i="1"/>
  <c r="AV306" i="1"/>
  <c r="AU306" i="1"/>
  <c r="AT306" i="1"/>
  <c r="AO305" i="1"/>
  <c r="CL305" i="1"/>
  <c r="EI305" i="1"/>
  <c r="AN305" i="1"/>
  <c r="CK305" i="1"/>
  <c r="EH305" i="1"/>
  <c r="AI305" i="1"/>
  <c r="CF305" i="1"/>
  <c r="EC305" i="1"/>
  <c r="AH305" i="1"/>
  <c r="CE305" i="1"/>
  <c r="EB305" i="1"/>
  <c r="AC305" i="1"/>
  <c r="BZ305" i="1"/>
  <c r="DW305" i="1"/>
  <c r="AB305" i="1"/>
  <c r="BY305" i="1"/>
  <c r="DV305" i="1"/>
  <c r="W305" i="1"/>
  <c r="BT305" i="1"/>
  <c r="DQ305" i="1"/>
  <c r="V305" i="1"/>
  <c r="BS305" i="1"/>
  <c r="DP305" i="1"/>
  <c r="Q305" i="1"/>
  <c r="BN305" i="1"/>
  <c r="DK305" i="1"/>
  <c r="P305" i="1"/>
  <c r="BM305" i="1"/>
  <c r="DJ305" i="1"/>
  <c r="O305" i="1"/>
  <c r="BL305" i="1"/>
  <c r="DI305" i="1"/>
  <c r="N305" i="1"/>
  <c r="BK305" i="1"/>
  <c r="DH305" i="1"/>
  <c r="M305" i="1"/>
  <c r="BJ305" i="1"/>
  <c r="DG305" i="1"/>
  <c r="L305" i="1"/>
  <c r="BI305" i="1"/>
  <c r="DF305" i="1"/>
  <c r="K305" i="1"/>
  <c r="BH305" i="1"/>
  <c r="DE305" i="1"/>
  <c r="J305" i="1"/>
  <c r="BG305" i="1"/>
  <c r="DD305" i="1"/>
  <c r="I305" i="1"/>
  <c r="BF305" i="1"/>
  <c r="DC305" i="1"/>
  <c r="H305" i="1"/>
  <c r="BE305" i="1"/>
  <c r="DB305" i="1"/>
  <c r="G305" i="1"/>
  <c r="BD305" i="1"/>
  <c r="DA305" i="1"/>
  <c r="CZ305" i="1"/>
  <c r="CY305" i="1"/>
  <c r="CX305" i="1"/>
  <c r="CW305" i="1"/>
  <c r="CV305" i="1"/>
  <c r="CU305" i="1"/>
  <c r="CT305" i="1"/>
  <c r="CS305" i="1"/>
  <c r="CR305" i="1"/>
  <c r="CQ305" i="1"/>
  <c r="BC305" i="1"/>
  <c r="BB305" i="1"/>
  <c r="BA305" i="1"/>
  <c r="AZ305" i="1"/>
  <c r="AY305" i="1"/>
  <c r="AX305" i="1"/>
  <c r="AW305" i="1"/>
  <c r="AV305" i="1"/>
  <c r="AU305" i="1"/>
  <c r="AT305" i="1"/>
  <c r="AO304" i="1"/>
  <c r="CL304" i="1"/>
  <c r="EI304" i="1"/>
  <c r="AN304" i="1"/>
  <c r="CK304" i="1"/>
  <c r="EH304" i="1"/>
  <c r="AI304" i="1"/>
  <c r="CF304" i="1"/>
  <c r="EC304" i="1"/>
  <c r="AH304" i="1"/>
  <c r="CE304" i="1"/>
  <c r="EB304" i="1"/>
  <c r="AC304" i="1"/>
  <c r="BZ304" i="1"/>
  <c r="DW304" i="1"/>
  <c r="AB304" i="1"/>
  <c r="BY304" i="1"/>
  <c r="DV304" i="1"/>
  <c r="W304" i="1"/>
  <c r="BT304" i="1"/>
  <c r="DQ304" i="1"/>
  <c r="V304" i="1"/>
  <c r="BS304" i="1"/>
  <c r="DP304" i="1"/>
  <c r="Q304" i="1"/>
  <c r="BN304" i="1"/>
  <c r="DK304" i="1"/>
  <c r="P304" i="1"/>
  <c r="BM304" i="1"/>
  <c r="DJ304" i="1"/>
  <c r="O304" i="1"/>
  <c r="BL304" i="1"/>
  <c r="DI304" i="1"/>
  <c r="N304" i="1"/>
  <c r="BK304" i="1"/>
  <c r="DH304" i="1"/>
  <c r="M304" i="1"/>
  <c r="BJ304" i="1"/>
  <c r="DG304" i="1"/>
  <c r="L304" i="1"/>
  <c r="BI304" i="1"/>
  <c r="DF304" i="1"/>
  <c r="K304" i="1"/>
  <c r="BH304" i="1"/>
  <c r="DE304" i="1"/>
  <c r="J304" i="1"/>
  <c r="BG304" i="1"/>
  <c r="DD304" i="1"/>
  <c r="I304" i="1"/>
  <c r="BF304" i="1"/>
  <c r="DC304" i="1"/>
  <c r="H304" i="1"/>
  <c r="BE304" i="1"/>
  <c r="DB304" i="1"/>
  <c r="G304" i="1"/>
  <c r="BD304" i="1"/>
  <c r="DA304" i="1"/>
  <c r="CZ304" i="1"/>
  <c r="CY304" i="1"/>
  <c r="CX304" i="1"/>
  <c r="CW304" i="1"/>
  <c r="CV304" i="1"/>
  <c r="CU304" i="1"/>
  <c r="CT304" i="1"/>
  <c r="CS304" i="1"/>
  <c r="CR304" i="1"/>
  <c r="CQ304" i="1"/>
  <c r="BC304" i="1"/>
  <c r="BB304" i="1"/>
  <c r="BA304" i="1"/>
  <c r="AZ304" i="1"/>
  <c r="AY304" i="1"/>
  <c r="AX304" i="1"/>
  <c r="AW304" i="1"/>
  <c r="AV304" i="1"/>
  <c r="AU304" i="1"/>
  <c r="AT304" i="1"/>
  <c r="AO303" i="1"/>
  <c r="CL303" i="1"/>
  <c r="EI303" i="1"/>
  <c r="AN303" i="1"/>
  <c r="CK303" i="1"/>
  <c r="EH303" i="1"/>
  <c r="AI303" i="1"/>
  <c r="CF303" i="1"/>
  <c r="EC303" i="1"/>
  <c r="AH303" i="1"/>
  <c r="CE303" i="1"/>
  <c r="EB303" i="1"/>
  <c r="AC303" i="1"/>
  <c r="BZ303" i="1"/>
  <c r="DW303" i="1"/>
  <c r="AB303" i="1"/>
  <c r="BY303" i="1"/>
  <c r="DV303" i="1"/>
  <c r="W303" i="1"/>
  <c r="BT303" i="1"/>
  <c r="DQ303" i="1"/>
  <c r="V303" i="1"/>
  <c r="BS303" i="1"/>
  <c r="DP303" i="1"/>
  <c r="Q303" i="1"/>
  <c r="BN303" i="1"/>
  <c r="DK303" i="1"/>
  <c r="P303" i="1"/>
  <c r="BM303" i="1"/>
  <c r="DJ303" i="1"/>
  <c r="O303" i="1"/>
  <c r="BL303" i="1"/>
  <c r="DI303" i="1"/>
  <c r="N303" i="1"/>
  <c r="BK303" i="1"/>
  <c r="DH303" i="1"/>
  <c r="M303" i="1"/>
  <c r="BJ303" i="1"/>
  <c r="DG303" i="1"/>
  <c r="L303" i="1"/>
  <c r="BI303" i="1"/>
  <c r="DF303" i="1"/>
  <c r="K303" i="1"/>
  <c r="BH303" i="1"/>
  <c r="DE303" i="1"/>
  <c r="J303" i="1"/>
  <c r="BG303" i="1"/>
  <c r="DD303" i="1"/>
  <c r="I303" i="1"/>
  <c r="BF303" i="1"/>
  <c r="DC303" i="1"/>
  <c r="H303" i="1"/>
  <c r="BE303" i="1"/>
  <c r="DB303" i="1"/>
  <c r="G303" i="1"/>
  <c r="BD303" i="1"/>
  <c r="DA303" i="1"/>
  <c r="CZ303" i="1"/>
  <c r="CY303" i="1"/>
  <c r="CX303" i="1"/>
  <c r="CW303" i="1"/>
  <c r="CV303" i="1"/>
  <c r="CU303" i="1"/>
  <c r="CT303" i="1"/>
  <c r="CS303" i="1"/>
  <c r="CR303" i="1"/>
  <c r="CQ303" i="1"/>
  <c r="BC303" i="1"/>
  <c r="BB303" i="1"/>
  <c r="BA303" i="1"/>
  <c r="AZ303" i="1"/>
  <c r="AY303" i="1"/>
  <c r="AX303" i="1"/>
  <c r="AW303" i="1"/>
  <c r="AV303" i="1"/>
  <c r="AU303" i="1"/>
  <c r="AT303" i="1"/>
  <c r="AO302" i="1"/>
  <c r="CL302" i="1"/>
  <c r="EI302" i="1"/>
  <c r="AN302" i="1"/>
  <c r="CK302" i="1"/>
  <c r="EH302" i="1"/>
  <c r="AI302" i="1"/>
  <c r="CF302" i="1"/>
  <c r="EC302" i="1"/>
  <c r="AH302" i="1"/>
  <c r="CE302" i="1"/>
  <c r="EB302" i="1"/>
  <c r="AC302" i="1"/>
  <c r="BZ302" i="1"/>
  <c r="DW302" i="1"/>
  <c r="AB302" i="1"/>
  <c r="BY302" i="1"/>
  <c r="DV302" i="1"/>
  <c r="W302" i="1"/>
  <c r="BT302" i="1"/>
  <c r="DQ302" i="1"/>
  <c r="V302" i="1"/>
  <c r="BS302" i="1"/>
  <c r="DP302" i="1"/>
  <c r="Q302" i="1"/>
  <c r="BN302" i="1"/>
  <c r="DK302" i="1"/>
  <c r="P302" i="1"/>
  <c r="BM302" i="1"/>
  <c r="DJ302" i="1"/>
  <c r="O302" i="1"/>
  <c r="BL302" i="1"/>
  <c r="DI302" i="1"/>
  <c r="N302" i="1"/>
  <c r="BK302" i="1"/>
  <c r="DH302" i="1"/>
  <c r="M302" i="1"/>
  <c r="BJ302" i="1"/>
  <c r="DG302" i="1"/>
  <c r="L302" i="1"/>
  <c r="BI302" i="1"/>
  <c r="DF302" i="1"/>
  <c r="K302" i="1"/>
  <c r="BH302" i="1"/>
  <c r="DE302" i="1"/>
  <c r="J302" i="1"/>
  <c r="BG302" i="1"/>
  <c r="DD302" i="1"/>
  <c r="I302" i="1"/>
  <c r="BF302" i="1"/>
  <c r="DC302" i="1"/>
  <c r="H302" i="1"/>
  <c r="BE302" i="1"/>
  <c r="DB302" i="1"/>
  <c r="G302" i="1"/>
  <c r="BD302" i="1"/>
  <c r="DA302" i="1"/>
  <c r="CZ302" i="1"/>
  <c r="CY302" i="1"/>
  <c r="CX302" i="1"/>
  <c r="CW302" i="1"/>
  <c r="CV302" i="1"/>
  <c r="CU302" i="1"/>
  <c r="CT302" i="1"/>
  <c r="CS302" i="1"/>
  <c r="CR302" i="1"/>
  <c r="CQ302" i="1"/>
  <c r="BC302" i="1"/>
  <c r="BB302" i="1"/>
  <c r="BA302" i="1"/>
  <c r="AZ302" i="1"/>
  <c r="AY302" i="1"/>
  <c r="AX302" i="1"/>
  <c r="AW302" i="1"/>
  <c r="AV302" i="1"/>
  <c r="AU302" i="1"/>
  <c r="AT302" i="1"/>
  <c r="AO301" i="1"/>
  <c r="CL301" i="1"/>
  <c r="EI301" i="1"/>
  <c r="AN301" i="1"/>
  <c r="CK301" i="1"/>
  <c r="EH301" i="1"/>
  <c r="AI301" i="1"/>
  <c r="CF301" i="1"/>
  <c r="EC301" i="1"/>
  <c r="AH301" i="1"/>
  <c r="CE301" i="1"/>
  <c r="EB301" i="1"/>
  <c r="AC301" i="1"/>
  <c r="BZ301" i="1"/>
  <c r="DW301" i="1"/>
  <c r="AB301" i="1"/>
  <c r="BY301" i="1"/>
  <c r="DV301" i="1"/>
  <c r="W301" i="1"/>
  <c r="BT301" i="1"/>
  <c r="DQ301" i="1"/>
  <c r="V301" i="1"/>
  <c r="BS301" i="1"/>
  <c r="DP301" i="1"/>
  <c r="Q301" i="1"/>
  <c r="BN301" i="1"/>
  <c r="DK301" i="1"/>
  <c r="P301" i="1"/>
  <c r="BM301" i="1"/>
  <c r="DJ301" i="1"/>
  <c r="O301" i="1"/>
  <c r="BL301" i="1"/>
  <c r="DI301" i="1"/>
  <c r="N301" i="1"/>
  <c r="BK301" i="1"/>
  <c r="DH301" i="1"/>
  <c r="M301" i="1"/>
  <c r="BJ301" i="1"/>
  <c r="DG301" i="1"/>
  <c r="L301" i="1"/>
  <c r="BI301" i="1"/>
  <c r="DF301" i="1"/>
  <c r="K301" i="1"/>
  <c r="BH301" i="1"/>
  <c r="DE301" i="1"/>
  <c r="J301" i="1"/>
  <c r="BG301" i="1"/>
  <c r="DD301" i="1"/>
  <c r="I301" i="1"/>
  <c r="BF301" i="1"/>
  <c r="DC301" i="1"/>
  <c r="H301" i="1"/>
  <c r="BE301" i="1"/>
  <c r="DB301" i="1"/>
  <c r="G301" i="1"/>
  <c r="BD301" i="1"/>
  <c r="DA301" i="1"/>
  <c r="CZ301" i="1"/>
  <c r="CY301" i="1"/>
  <c r="CX301" i="1"/>
  <c r="CW301" i="1"/>
  <c r="CV301" i="1"/>
  <c r="CU301" i="1"/>
  <c r="CT301" i="1"/>
  <c r="CS301" i="1"/>
  <c r="CR301" i="1"/>
  <c r="CQ301" i="1"/>
  <c r="BC301" i="1"/>
  <c r="BB301" i="1"/>
  <c r="BA301" i="1"/>
  <c r="AZ301" i="1"/>
  <c r="AY301" i="1"/>
  <c r="AX301" i="1"/>
  <c r="AW301" i="1"/>
  <c r="AV301" i="1"/>
  <c r="AU301" i="1"/>
  <c r="AT301" i="1"/>
  <c r="AO300" i="1"/>
  <c r="CL300" i="1"/>
  <c r="EI300" i="1"/>
  <c r="AN300" i="1"/>
  <c r="CK300" i="1"/>
  <c r="EH300" i="1"/>
  <c r="AI300" i="1"/>
  <c r="CF300" i="1"/>
  <c r="EC300" i="1"/>
  <c r="AH300" i="1"/>
  <c r="CE300" i="1"/>
  <c r="EB300" i="1"/>
  <c r="AC300" i="1"/>
  <c r="BZ300" i="1"/>
  <c r="DW300" i="1"/>
  <c r="AB300" i="1"/>
  <c r="BY300" i="1"/>
  <c r="DV300" i="1"/>
  <c r="W300" i="1"/>
  <c r="BT300" i="1"/>
  <c r="DQ300" i="1"/>
  <c r="V300" i="1"/>
  <c r="BS300" i="1"/>
  <c r="DP300" i="1"/>
  <c r="Q300" i="1"/>
  <c r="BN300" i="1"/>
  <c r="DK300" i="1"/>
  <c r="P300" i="1"/>
  <c r="BM300" i="1"/>
  <c r="DJ300" i="1"/>
  <c r="O300" i="1"/>
  <c r="BL300" i="1"/>
  <c r="DI300" i="1"/>
  <c r="N300" i="1"/>
  <c r="BK300" i="1"/>
  <c r="DH300" i="1"/>
  <c r="M300" i="1"/>
  <c r="BJ300" i="1"/>
  <c r="DG300" i="1"/>
  <c r="L300" i="1"/>
  <c r="BI300" i="1"/>
  <c r="DF300" i="1"/>
  <c r="K300" i="1"/>
  <c r="BH300" i="1"/>
  <c r="DE300" i="1"/>
  <c r="J300" i="1"/>
  <c r="BG300" i="1"/>
  <c r="DD300" i="1"/>
  <c r="I300" i="1"/>
  <c r="BF300" i="1"/>
  <c r="DC300" i="1"/>
  <c r="H300" i="1"/>
  <c r="BE300" i="1"/>
  <c r="DB300" i="1"/>
  <c r="G300" i="1"/>
  <c r="BD300" i="1"/>
  <c r="DA300" i="1"/>
  <c r="CZ300" i="1"/>
  <c r="CY300" i="1"/>
  <c r="CX300" i="1"/>
  <c r="CW300" i="1"/>
  <c r="CV300" i="1"/>
  <c r="CU300" i="1"/>
  <c r="CT300" i="1"/>
  <c r="CS300" i="1"/>
  <c r="CR300" i="1"/>
  <c r="CQ300" i="1"/>
  <c r="BC300" i="1"/>
  <c r="BB300" i="1"/>
  <c r="BA300" i="1"/>
  <c r="AZ300" i="1"/>
  <c r="AY300" i="1"/>
  <c r="AX300" i="1"/>
  <c r="AW300" i="1"/>
  <c r="AV300" i="1"/>
  <c r="AU300" i="1"/>
  <c r="AT300" i="1"/>
  <c r="AO299" i="1"/>
  <c r="CL299" i="1"/>
  <c r="EI299" i="1"/>
  <c r="AN299" i="1"/>
  <c r="CK299" i="1"/>
  <c r="EH299" i="1"/>
  <c r="AI299" i="1"/>
  <c r="CF299" i="1"/>
  <c r="EC299" i="1"/>
  <c r="AH299" i="1"/>
  <c r="CE299" i="1"/>
  <c r="EB299" i="1"/>
  <c r="AC299" i="1"/>
  <c r="BZ299" i="1"/>
  <c r="DW299" i="1"/>
  <c r="AB299" i="1"/>
  <c r="BY299" i="1"/>
  <c r="DV299" i="1"/>
  <c r="W299" i="1"/>
  <c r="BT299" i="1"/>
  <c r="DQ299" i="1"/>
  <c r="V299" i="1"/>
  <c r="BS299" i="1"/>
  <c r="DP299" i="1"/>
  <c r="Q299" i="1"/>
  <c r="BN299" i="1"/>
  <c r="DK299" i="1"/>
  <c r="P299" i="1"/>
  <c r="BM299" i="1"/>
  <c r="DJ299" i="1"/>
  <c r="O299" i="1"/>
  <c r="BL299" i="1"/>
  <c r="DI299" i="1"/>
  <c r="N299" i="1"/>
  <c r="BK299" i="1"/>
  <c r="DH299" i="1"/>
  <c r="M299" i="1"/>
  <c r="BJ299" i="1"/>
  <c r="DG299" i="1"/>
  <c r="L299" i="1"/>
  <c r="BI299" i="1"/>
  <c r="DF299" i="1"/>
  <c r="K299" i="1"/>
  <c r="BH299" i="1"/>
  <c r="DE299" i="1"/>
  <c r="J299" i="1"/>
  <c r="BG299" i="1"/>
  <c r="DD299" i="1"/>
  <c r="I299" i="1"/>
  <c r="BF299" i="1"/>
  <c r="DC299" i="1"/>
  <c r="H299" i="1"/>
  <c r="BE299" i="1"/>
  <c r="DB299" i="1"/>
  <c r="G299" i="1"/>
  <c r="BD299" i="1"/>
  <c r="DA299" i="1"/>
  <c r="CZ299" i="1"/>
  <c r="CY299" i="1"/>
  <c r="CX299" i="1"/>
  <c r="CW299" i="1"/>
  <c r="CV299" i="1"/>
  <c r="CU299" i="1"/>
  <c r="CT299" i="1"/>
  <c r="CS299" i="1"/>
  <c r="CR299" i="1"/>
  <c r="CQ299" i="1"/>
  <c r="BC299" i="1"/>
  <c r="BB299" i="1"/>
  <c r="BA299" i="1"/>
  <c r="AZ299" i="1"/>
  <c r="AY299" i="1"/>
  <c r="AX299" i="1"/>
  <c r="AW299" i="1"/>
  <c r="AV299" i="1"/>
  <c r="AU299" i="1"/>
  <c r="AT299" i="1"/>
  <c r="AO298" i="1"/>
  <c r="CL298" i="1"/>
  <c r="EI298" i="1"/>
  <c r="AN298" i="1"/>
  <c r="CK298" i="1"/>
  <c r="EH298" i="1"/>
  <c r="AI298" i="1"/>
  <c r="CF298" i="1"/>
  <c r="EC298" i="1"/>
  <c r="AH298" i="1"/>
  <c r="CE298" i="1"/>
  <c r="EB298" i="1"/>
  <c r="AC298" i="1"/>
  <c r="BZ298" i="1"/>
  <c r="DW298" i="1"/>
  <c r="AB298" i="1"/>
  <c r="BY298" i="1"/>
  <c r="DV298" i="1"/>
  <c r="W298" i="1"/>
  <c r="BT298" i="1"/>
  <c r="DQ298" i="1"/>
  <c r="V298" i="1"/>
  <c r="BS298" i="1"/>
  <c r="DP298" i="1"/>
  <c r="Q298" i="1"/>
  <c r="BN298" i="1"/>
  <c r="DK298" i="1"/>
  <c r="P298" i="1"/>
  <c r="BM298" i="1"/>
  <c r="DJ298" i="1"/>
  <c r="O298" i="1"/>
  <c r="BL298" i="1"/>
  <c r="DI298" i="1"/>
  <c r="N298" i="1"/>
  <c r="BK298" i="1"/>
  <c r="DH298" i="1"/>
  <c r="M298" i="1"/>
  <c r="BJ298" i="1"/>
  <c r="DG298" i="1"/>
  <c r="L298" i="1"/>
  <c r="BI298" i="1"/>
  <c r="DF298" i="1"/>
  <c r="K298" i="1"/>
  <c r="BH298" i="1"/>
  <c r="DE298" i="1"/>
  <c r="J298" i="1"/>
  <c r="BG298" i="1"/>
  <c r="DD298" i="1"/>
  <c r="I298" i="1"/>
  <c r="BF298" i="1"/>
  <c r="DC298" i="1"/>
  <c r="H298" i="1"/>
  <c r="BE298" i="1"/>
  <c r="DB298" i="1"/>
  <c r="G298" i="1"/>
  <c r="BD298" i="1"/>
  <c r="DA298" i="1"/>
  <c r="CZ298" i="1"/>
  <c r="CY298" i="1"/>
  <c r="CX298" i="1"/>
  <c r="CW298" i="1"/>
  <c r="CV298" i="1"/>
  <c r="CU298" i="1"/>
  <c r="CT298" i="1"/>
  <c r="CS298" i="1"/>
  <c r="CR298" i="1"/>
  <c r="CQ298" i="1"/>
  <c r="BC298" i="1"/>
  <c r="BB298" i="1"/>
  <c r="BA298" i="1"/>
  <c r="AZ298" i="1"/>
  <c r="AY298" i="1"/>
  <c r="AX298" i="1"/>
  <c r="AW298" i="1"/>
  <c r="AV298" i="1"/>
  <c r="AU298" i="1"/>
  <c r="AT298" i="1"/>
  <c r="AO297" i="1"/>
  <c r="CL297" i="1"/>
  <c r="EI297" i="1"/>
  <c r="AN297" i="1"/>
  <c r="CK297" i="1"/>
  <c r="EH297" i="1"/>
  <c r="AI297" i="1"/>
  <c r="CF297" i="1"/>
  <c r="EC297" i="1"/>
  <c r="AH297" i="1"/>
  <c r="CE297" i="1"/>
  <c r="EB297" i="1"/>
  <c r="AC297" i="1"/>
  <c r="BZ297" i="1"/>
  <c r="DW297" i="1"/>
  <c r="AB297" i="1"/>
  <c r="BY297" i="1"/>
  <c r="DV297" i="1"/>
  <c r="W297" i="1"/>
  <c r="BT297" i="1"/>
  <c r="DQ297" i="1"/>
  <c r="V297" i="1"/>
  <c r="BS297" i="1"/>
  <c r="DP297" i="1"/>
  <c r="Q297" i="1"/>
  <c r="BN297" i="1"/>
  <c r="DK297" i="1"/>
  <c r="P297" i="1"/>
  <c r="BM297" i="1"/>
  <c r="DJ297" i="1"/>
  <c r="O297" i="1"/>
  <c r="BL297" i="1"/>
  <c r="DI297" i="1"/>
  <c r="N297" i="1"/>
  <c r="BK297" i="1"/>
  <c r="DH297" i="1"/>
  <c r="M297" i="1"/>
  <c r="BJ297" i="1"/>
  <c r="DG297" i="1"/>
  <c r="L297" i="1"/>
  <c r="BI297" i="1"/>
  <c r="DF297" i="1"/>
  <c r="K297" i="1"/>
  <c r="BH297" i="1"/>
  <c r="DE297" i="1"/>
  <c r="J297" i="1"/>
  <c r="BG297" i="1"/>
  <c r="DD297" i="1"/>
  <c r="I297" i="1"/>
  <c r="BF297" i="1"/>
  <c r="DC297" i="1"/>
  <c r="H297" i="1"/>
  <c r="BE297" i="1"/>
  <c r="DB297" i="1"/>
  <c r="G297" i="1"/>
  <c r="BD297" i="1"/>
  <c r="DA297" i="1"/>
  <c r="CZ297" i="1"/>
  <c r="CY297" i="1"/>
  <c r="CX297" i="1"/>
  <c r="CW297" i="1"/>
  <c r="CV297" i="1"/>
  <c r="CU297" i="1"/>
  <c r="CT297" i="1"/>
  <c r="CS297" i="1"/>
  <c r="CR297" i="1"/>
  <c r="CQ297" i="1"/>
  <c r="BC297" i="1"/>
  <c r="BB297" i="1"/>
  <c r="BA297" i="1"/>
  <c r="AZ297" i="1"/>
  <c r="AY297" i="1"/>
  <c r="AX297" i="1"/>
  <c r="AW297" i="1"/>
  <c r="AV297" i="1"/>
  <c r="AU297" i="1"/>
  <c r="AT297" i="1"/>
  <c r="AO296" i="1"/>
  <c r="CL296" i="1"/>
  <c r="EI296" i="1"/>
  <c r="AN296" i="1"/>
  <c r="CK296" i="1"/>
  <c r="EH296" i="1"/>
  <c r="AI296" i="1"/>
  <c r="CF296" i="1"/>
  <c r="EC296" i="1"/>
  <c r="AH296" i="1"/>
  <c r="CE296" i="1"/>
  <c r="EB296" i="1"/>
  <c r="AC296" i="1"/>
  <c r="BZ296" i="1"/>
  <c r="DW296" i="1"/>
  <c r="AB296" i="1"/>
  <c r="BY296" i="1"/>
  <c r="DV296" i="1"/>
  <c r="W296" i="1"/>
  <c r="BT296" i="1"/>
  <c r="DQ296" i="1"/>
  <c r="V296" i="1"/>
  <c r="BS296" i="1"/>
  <c r="DP296" i="1"/>
  <c r="Q296" i="1"/>
  <c r="BN296" i="1"/>
  <c r="DK296" i="1"/>
  <c r="P296" i="1"/>
  <c r="BM296" i="1"/>
  <c r="DJ296" i="1"/>
  <c r="O296" i="1"/>
  <c r="BL296" i="1"/>
  <c r="DI296" i="1"/>
  <c r="N296" i="1"/>
  <c r="BK296" i="1"/>
  <c r="DH296" i="1"/>
  <c r="M296" i="1"/>
  <c r="BJ296" i="1"/>
  <c r="DG296" i="1"/>
  <c r="L296" i="1"/>
  <c r="BI296" i="1"/>
  <c r="DF296" i="1"/>
  <c r="K296" i="1"/>
  <c r="BH296" i="1"/>
  <c r="DE296" i="1"/>
  <c r="J296" i="1"/>
  <c r="BG296" i="1"/>
  <c r="DD296" i="1"/>
  <c r="I296" i="1"/>
  <c r="BF296" i="1"/>
  <c r="DC296" i="1"/>
  <c r="H296" i="1"/>
  <c r="BE296" i="1"/>
  <c r="DB296" i="1"/>
  <c r="G296" i="1"/>
  <c r="BD296" i="1"/>
  <c r="DA296" i="1"/>
  <c r="CZ296" i="1"/>
  <c r="CY296" i="1"/>
  <c r="CX296" i="1"/>
  <c r="CW296" i="1"/>
  <c r="CV296" i="1"/>
  <c r="CU296" i="1"/>
  <c r="CT296" i="1"/>
  <c r="CS296" i="1"/>
  <c r="CR296" i="1"/>
  <c r="CQ296" i="1"/>
  <c r="BC296" i="1"/>
  <c r="BB296" i="1"/>
  <c r="BA296" i="1"/>
  <c r="AZ296" i="1"/>
  <c r="AY296" i="1"/>
  <c r="AX296" i="1"/>
  <c r="AW296" i="1"/>
  <c r="AV296" i="1"/>
  <c r="AU296" i="1"/>
  <c r="AT296" i="1"/>
  <c r="AO295" i="1"/>
  <c r="CL295" i="1"/>
  <c r="EI295" i="1"/>
  <c r="AN295" i="1"/>
  <c r="CK295" i="1"/>
  <c r="EH295" i="1"/>
  <c r="AI295" i="1"/>
  <c r="CF295" i="1"/>
  <c r="EC295" i="1"/>
  <c r="AH295" i="1"/>
  <c r="CE295" i="1"/>
  <c r="EB295" i="1"/>
  <c r="AC295" i="1"/>
  <c r="BZ295" i="1"/>
  <c r="DW295" i="1"/>
  <c r="AB295" i="1"/>
  <c r="BY295" i="1"/>
  <c r="DV295" i="1"/>
  <c r="W295" i="1"/>
  <c r="BT295" i="1"/>
  <c r="DQ295" i="1"/>
  <c r="V295" i="1"/>
  <c r="BS295" i="1"/>
  <c r="DP295" i="1"/>
  <c r="Q295" i="1"/>
  <c r="BN295" i="1"/>
  <c r="DK295" i="1"/>
  <c r="P295" i="1"/>
  <c r="BM295" i="1"/>
  <c r="DJ295" i="1"/>
  <c r="O295" i="1"/>
  <c r="BL295" i="1"/>
  <c r="DI295" i="1"/>
  <c r="N295" i="1"/>
  <c r="BK295" i="1"/>
  <c r="DH295" i="1"/>
  <c r="M295" i="1"/>
  <c r="BJ295" i="1"/>
  <c r="DG295" i="1"/>
  <c r="L295" i="1"/>
  <c r="BI295" i="1"/>
  <c r="DF295" i="1"/>
  <c r="K295" i="1"/>
  <c r="BH295" i="1"/>
  <c r="DE295" i="1"/>
  <c r="J295" i="1"/>
  <c r="BG295" i="1"/>
  <c r="DD295" i="1"/>
  <c r="I295" i="1"/>
  <c r="BF295" i="1"/>
  <c r="DC295" i="1"/>
  <c r="H295" i="1"/>
  <c r="BE295" i="1"/>
  <c r="DB295" i="1"/>
  <c r="G295" i="1"/>
  <c r="BD295" i="1"/>
  <c r="DA295" i="1"/>
  <c r="CZ295" i="1"/>
  <c r="CY295" i="1"/>
  <c r="CX295" i="1"/>
  <c r="CW295" i="1"/>
  <c r="CV295" i="1"/>
  <c r="CU295" i="1"/>
  <c r="CT295" i="1"/>
  <c r="CS295" i="1"/>
  <c r="CR295" i="1"/>
  <c r="CQ295" i="1"/>
  <c r="BC295" i="1"/>
  <c r="BB295" i="1"/>
  <c r="BA295" i="1"/>
  <c r="AZ295" i="1"/>
  <c r="AY295" i="1"/>
  <c r="AX295" i="1"/>
  <c r="AW295" i="1"/>
  <c r="AV295" i="1"/>
  <c r="AU295" i="1"/>
  <c r="AT295" i="1"/>
  <c r="AO294" i="1"/>
  <c r="CL294" i="1"/>
  <c r="EI294" i="1"/>
  <c r="AN294" i="1"/>
  <c r="CK294" i="1"/>
  <c r="EH294" i="1"/>
  <c r="AI294" i="1"/>
  <c r="CF294" i="1"/>
  <c r="EC294" i="1"/>
  <c r="AH294" i="1"/>
  <c r="CE294" i="1"/>
  <c r="EB294" i="1"/>
  <c r="AC294" i="1"/>
  <c r="BZ294" i="1"/>
  <c r="DW294" i="1"/>
  <c r="AB294" i="1"/>
  <c r="BY294" i="1"/>
  <c r="DV294" i="1"/>
  <c r="W294" i="1"/>
  <c r="BT294" i="1"/>
  <c r="DQ294" i="1"/>
  <c r="V294" i="1"/>
  <c r="BS294" i="1"/>
  <c r="DP294" i="1"/>
  <c r="Q294" i="1"/>
  <c r="BN294" i="1"/>
  <c r="DK294" i="1"/>
  <c r="P294" i="1"/>
  <c r="BM294" i="1"/>
  <c r="DJ294" i="1"/>
  <c r="O294" i="1"/>
  <c r="BL294" i="1"/>
  <c r="DI294" i="1"/>
  <c r="N294" i="1"/>
  <c r="BK294" i="1"/>
  <c r="DH294" i="1"/>
  <c r="M294" i="1"/>
  <c r="BJ294" i="1"/>
  <c r="DG294" i="1"/>
  <c r="L294" i="1"/>
  <c r="BI294" i="1"/>
  <c r="DF294" i="1"/>
  <c r="K294" i="1"/>
  <c r="BH294" i="1"/>
  <c r="DE294" i="1"/>
  <c r="J294" i="1"/>
  <c r="BG294" i="1"/>
  <c r="DD294" i="1"/>
  <c r="I294" i="1"/>
  <c r="BF294" i="1"/>
  <c r="DC294" i="1"/>
  <c r="H294" i="1"/>
  <c r="BE294" i="1"/>
  <c r="DB294" i="1"/>
  <c r="G294" i="1"/>
  <c r="BD294" i="1"/>
  <c r="DA294" i="1"/>
  <c r="CZ294" i="1"/>
  <c r="CY294" i="1"/>
  <c r="CX294" i="1"/>
  <c r="CW294" i="1"/>
  <c r="CV294" i="1"/>
  <c r="CU294" i="1"/>
  <c r="CT294" i="1"/>
  <c r="CS294" i="1"/>
  <c r="CR294" i="1"/>
  <c r="CQ294" i="1"/>
  <c r="BC294" i="1"/>
  <c r="BB294" i="1"/>
  <c r="BA294" i="1"/>
  <c r="AZ294" i="1"/>
  <c r="AY294" i="1"/>
  <c r="AX294" i="1"/>
  <c r="AW294" i="1"/>
  <c r="AV294" i="1"/>
  <c r="AU294" i="1"/>
  <c r="AT294" i="1"/>
  <c r="AO293" i="1"/>
  <c r="CL293" i="1"/>
  <c r="EI293" i="1"/>
  <c r="AN293" i="1"/>
  <c r="CK293" i="1"/>
  <c r="EH293" i="1"/>
  <c r="AI293" i="1"/>
  <c r="CF293" i="1"/>
  <c r="EC293" i="1"/>
  <c r="AH293" i="1"/>
  <c r="CE293" i="1"/>
  <c r="EB293" i="1"/>
  <c r="AC293" i="1"/>
  <c r="BZ293" i="1"/>
  <c r="DW293" i="1"/>
  <c r="AB293" i="1"/>
  <c r="BY293" i="1"/>
  <c r="DV293" i="1"/>
  <c r="W293" i="1"/>
  <c r="BT293" i="1"/>
  <c r="DQ293" i="1"/>
  <c r="V293" i="1"/>
  <c r="BS293" i="1"/>
  <c r="DP293" i="1"/>
  <c r="Q293" i="1"/>
  <c r="BN293" i="1"/>
  <c r="DK293" i="1"/>
  <c r="P293" i="1"/>
  <c r="BM293" i="1"/>
  <c r="DJ293" i="1"/>
  <c r="O293" i="1"/>
  <c r="BL293" i="1"/>
  <c r="DI293" i="1"/>
  <c r="N293" i="1"/>
  <c r="BK293" i="1"/>
  <c r="DH293" i="1"/>
  <c r="M293" i="1"/>
  <c r="BJ293" i="1"/>
  <c r="DG293" i="1"/>
  <c r="L293" i="1"/>
  <c r="BI293" i="1"/>
  <c r="DF293" i="1"/>
  <c r="K293" i="1"/>
  <c r="BH293" i="1"/>
  <c r="DE293" i="1"/>
  <c r="J293" i="1"/>
  <c r="BG293" i="1"/>
  <c r="DD293" i="1"/>
  <c r="I293" i="1"/>
  <c r="BF293" i="1"/>
  <c r="DC293" i="1"/>
  <c r="H293" i="1"/>
  <c r="BE293" i="1"/>
  <c r="DB293" i="1"/>
  <c r="G293" i="1"/>
  <c r="BD293" i="1"/>
  <c r="DA293" i="1"/>
  <c r="CZ293" i="1"/>
  <c r="CY293" i="1"/>
  <c r="CX293" i="1"/>
  <c r="CW293" i="1"/>
  <c r="CV293" i="1"/>
  <c r="CU293" i="1"/>
  <c r="CT293" i="1"/>
  <c r="CS293" i="1"/>
  <c r="CR293" i="1"/>
  <c r="CQ293" i="1"/>
  <c r="BC293" i="1"/>
  <c r="BB293" i="1"/>
  <c r="BA293" i="1"/>
  <c r="AZ293" i="1"/>
  <c r="AY293" i="1"/>
  <c r="AX293" i="1"/>
  <c r="AW293" i="1"/>
  <c r="AV293" i="1"/>
  <c r="AU293" i="1"/>
  <c r="AT293" i="1"/>
  <c r="AO292" i="1"/>
  <c r="CL292" i="1"/>
  <c r="EI292" i="1"/>
  <c r="AN292" i="1"/>
  <c r="CK292" i="1"/>
  <c r="EH292" i="1"/>
  <c r="AI292" i="1"/>
  <c r="CF292" i="1"/>
  <c r="EC292" i="1"/>
  <c r="AH292" i="1"/>
  <c r="CE292" i="1"/>
  <c r="EB292" i="1"/>
  <c r="AC292" i="1"/>
  <c r="BZ292" i="1"/>
  <c r="DW292" i="1"/>
  <c r="AB292" i="1"/>
  <c r="BY292" i="1"/>
  <c r="DV292" i="1"/>
  <c r="W292" i="1"/>
  <c r="BT292" i="1"/>
  <c r="DQ292" i="1"/>
  <c r="V292" i="1"/>
  <c r="BS292" i="1"/>
  <c r="DP292" i="1"/>
  <c r="Q292" i="1"/>
  <c r="BN292" i="1"/>
  <c r="DK292" i="1"/>
  <c r="P292" i="1"/>
  <c r="BM292" i="1"/>
  <c r="DJ292" i="1"/>
  <c r="O292" i="1"/>
  <c r="BL292" i="1"/>
  <c r="DI292" i="1"/>
  <c r="N292" i="1"/>
  <c r="BK292" i="1"/>
  <c r="DH292" i="1"/>
  <c r="M292" i="1"/>
  <c r="BJ292" i="1"/>
  <c r="DG292" i="1"/>
  <c r="L292" i="1"/>
  <c r="BI292" i="1"/>
  <c r="DF292" i="1"/>
  <c r="K292" i="1"/>
  <c r="BH292" i="1"/>
  <c r="DE292" i="1"/>
  <c r="J292" i="1"/>
  <c r="BG292" i="1"/>
  <c r="DD292" i="1"/>
  <c r="I292" i="1"/>
  <c r="BF292" i="1"/>
  <c r="DC292" i="1"/>
  <c r="H292" i="1"/>
  <c r="BE292" i="1"/>
  <c r="DB292" i="1"/>
  <c r="G292" i="1"/>
  <c r="BD292" i="1"/>
  <c r="DA292" i="1"/>
  <c r="CZ292" i="1"/>
  <c r="CY292" i="1"/>
  <c r="CX292" i="1"/>
  <c r="CW292" i="1"/>
  <c r="CV292" i="1"/>
  <c r="CU292" i="1"/>
  <c r="CT292" i="1"/>
  <c r="CS292" i="1"/>
  <c r="CR292" i="1"/>
  <c r="CQ292" i="1"/>
  <c r="BC292" i="1"/>
  <c r="BB292" i="1"/>
  <c r="BA292" i="1"/>
  <c r="AZ292" i="1"/>
  <c r="AY292" i="1"/>
  <c r="AX292" i="1"/>
  <c r="AW292" i="1"/>
  <c r="AV292" i="1"/>
  <c r="AU292" i="1"/>
  <c r="AT292" i="1"/>
  <c r="AO291" i="1"/>
  <c r="CL291" i="1"/>
  <c r="EI291" i="1"/>
  <c r="AN291" i="1"/>
  <c r="CK291" i="1"/>
  <c r="EH291" i="1"/>
  <c r="AI291" i="1"/>
  <c r="CF291" i="1"/>
  <c r="EC291" i="1"/>
  <c r="AH291" i="1"/>
  <c r="CE291" i="1"/>
  <c r="EB291" i="1"/>
  <c r="AC291" i="1"/>
  <c r="BZ291" i="1"/>
  <c r="DW291" i="1"/>
  <c r="AB291" i="1"/>
  <c r="BY291" i="1"/>
  <c r="DV291" i="1"/>
  <c r="W291" i="1"/>
  <c r="BT291" i="1"/>
  <c r="DQ291" i="1"/>
  <c r="V291" i="1"/>
  <c r="BS291" i="1"/>
  <c r="DP291" i="1"/>
  <c r="Q291" i="1"/>
  <c r="BN291" i="1"/>
  <c r="DK291" i="1"/>
  <c r="P291" i="1"/>
  <c r="BM291" i="1"/>
  <c r="DJ291" i="1"/>
  <c r="O291" i="1"/>
  <c r="BL291" i="1"/>
  <c r="DI291" i="1"/>
  <c r="N291" i="1"/>
  <c r="BK291" i="1"/>
  <c r="DH291" i="1"/>
  <c r="M291" i="1"/>
  <c r="BJ291" i="1"/>
  <c r="DG291" i="1"/>
  <c r="L291" i="1"/>
  <c r="BI291" i="1"/>
  <c r="DF291" i="1"/>
  <c r="K291" i="1"/>
  <c r="BH291" i="1"/>
  <c r="DE291" i="1"/>
  <c r="J291" i="1"/>
  <c r="BG291" i="1"/>
  <c r="DD291" i="1"/>
  <c r="I291" i="1"/>
  <c r="BF291" i="1"/>
  <c r="DC291" i="1"/>
  <c r="H291" i="1"/>
  <c r="BE291" i="1"/>
  <c r="DB291" i="1"/>
  <c r="G291" i="1"/>
  <c r="BD291" i="1"/>
  <c r="DA291" i="1"/>
  <c r="CZ291" i="1"/>
  <c r="CY291" i="1"/>
  <c r="CX291" i="1"/>
  <c r="CW291" i="1"/>
  <c r="CV291" i="1"/>
  <c r="CU291" i="1"/>
  <c r="CT291" i="1"/>
  <c r="CS291" i="1"/>
  <c r="CR291" i="1"/>
  <c r="CQ291" i="1"/>
  <c r="BC291" i="1"/>
  <c r="BB291" i="1"/>
  <c r="BA291" i="1"/>
  <c r="AZ291" i="1"/>
  <c r="AY291" i="1"/>
  <c r="AX291" i="1"/>
  <c r="AW291" i="1"/>
  <c r="AV291" i="1"/>
  <c r="AU291" i="1"/>
  <c r="AT291" i="1"/>
  <c r="AO290" i="1"/>
  <c r="CL290" i="1"/>
  <c r="EI290" i="1"/>
  <c r="AN290" i="1"/>
  <c r="CK290" i="1"/>
  <c r="EH290" i="1"/>
  <c r="AI290" i="1"/>
  <c r="CF290" i="1"/>
  <c r="EC290" i="1"/>
  <c r="AH290" i="1"/>
  <c r="CE290" i="1"/>
  <c r="EB290" i="1"/>
  <c r="AC290" i="1"/>
  <c r="BZ290" i="1"/>
  <c r="DW290" i="1"/>
  <c r="AB290" i="1"/>
  <c r="BY290" i="1"/>
  <c r="DV290" i="1"/>
  <c r="W290" i="1"/>
  <c r="BT290" i="1"/>
  <c r="DQ290" i="1"/>
  <c r="V290" i="1"/>
  <c r="BS290" i="1"/>
  <c r="DP290" i="1"/>
  <c r="Q290" i="1"/>
  <c r="BN290" i="1"/>
  <c r="DK290" i="1"/>
  <c r="P290" i="1"/>
  <c r="BM290" i="1"/>
  <c r="DJ290" i="1"/>
  <c r="O290" i="1"/>
  <c r="BL290" i="1"/>
  <c r="DI290" i="1"/>
  <c r="N290" i="1"/>
  <c r="BK290" i="1"/>
  <c r="DH290" i="1"/>
  <c r="M290" i="1"/>
  <c r="BJ290" i="1"/>
  <c r="DG290" i="1"/>
  <c r="L290" i="1"/>
  <c r="BI290" i="1"/>
  <c r="DF290" i="1"/>
  <c r="K290" i="1"/>
  <c r="BH290" i="1"/>
  <c r="DE290" i="1"/>
  <c r="J290" i="1"/>
  <c r="BG290" i="1"/>
  <c r="DD290" i="1"/>
  <c r="I290" i="1"/>
  <c r="BF290" i="1"/>
  <c r="DC290" i="1"/>
  <c r="H290" i="1"/>
  <c r="BE290" i="1"/>
  <c r="DB290" i="1"/>
  <c r="G290" i="1"/>
  <c r="BD290" i="1"/>
  <c r="DA290" i="1"/>
  <c r="CZ290" i="1"/>
  <c r="CY290" i="1"/>
  <c r="CX290" i="1"/>
  <c r="CW290" i="1"/>
  <c r="CV290" i="1"/>
  <c r="CU290" i="1"/>
  <c r="CT290" i="1"/>
  <c r="CS290" i="1"/>
  <c r="CR290" i="1"/>
  <c r="CQ290" i="1"/>
  <c r="BC290" i="1"/>
  <c r="BB290" i="1"/>
  <c r="BA290" i="1"/>
  <c r="AZ290" i="1"/>
  <c r="AY290" i="1"/>
  <c r="AX290" i="1"/>
  <c r="AW290" i="1"/>
  <c r="AV290" i="1"/>
  <c r="AU290" i="1"/>
  <c r="AT290" i="1"/>
  <c r="AO289" i="1"/>
  <c r="CL289" i="1"/>
  <c r="EI289" i="1"/>
  <c r="AN289" i="1"/>
  <c r="CK289" i="1"/>
  <c r="EH289" i="1"/>
  <c r="AI289" i="1"/>
  <c r="CF289" i="1"/>
  <c r="EC289" i="1"/>
  <c r="AH289" i="1"/>
  <c r="CE289" i="1"/>
  <c r="EB289" i="1"/>
  <c r="AC289" i="1"/>
  <c r="BZ289" i="1"/>
  <c r="DW289" i="1"/>
  <c r="AB289" i="1"/>
  <c r="BY289" i="1"/>
  <c r="DV289" i="1"/>
  <c r="W289" i="1"/>
  <c r="BT289" i="1"/>
  <c r="DQ289" i="1"/>
  <c r="V289" i="1"/>
  <c r="BS289" i="1"/>
  <c r="DP289" i="1"/>
  <c r="Q289" i="1"/>
  <c r="BN289" i="1"/>
  <c r="DK289" i="1"/>
  <c r="P289" i="1"/>
  <c r="BM289" i="1"/>
  <c r="DJ289" i="1"/>
  <c r="O289" i="1"/>
  <c r="BL289" i="1"/>
  <c r="DI289" i="1"/>
  <c r="N289" i="1"/>
  <c r="BK289" i="1"/>
  <c r="DH289" i="1"/>
  <c r="M289" i="1"/>
  <c r="BJ289" i="1"/>
  <c r="DG289" i="1"/>
  <c r="L289" i="1"/>
  <c r="BI289" i="1"/>
  <c r="DF289" i="1"/>
  <c r="K289" i="1"/>
  <c r="BH289" i="1"/>
  <c r="DE289" i="1"/>
  <c r="J289" i="1"/>
  <c r="BG289" i="1"/>
  <c r="DD289" i="1"/>
  <c r="I289" i="1"/>
  <c r="BF289" i="1"/>
  <c r="DC289" i="1"/>
  <c r="H289" i="1"/>
  <c r="BE289" i="1"/>
  <c r="DB289" i="1"/>
  <c r="G289" i="1"/>
  <c r="BD289" i="1"/>
  <c r="DA289" i="1"/>
  <c r="CZ289" i="1"/>
  <c r="CY289" i="1"/>
  <c r="CX289" i="1"/>
  <c r="CW289" i="1"/>
  <c r="CV289" i="1"/>
  <c r="CU289" i="1"/>
  <c r="CT289" i="1"/>
  <c r="CS289" i="1"/>
  <c r="CR289" i="1"/>
  <c r="CQ289" i="1"/>
  <c r="BC289" i="1"/>
  <c r="BB289" i="1"/>
  <c r="BA289" i="1"/>
  <c r="AZ289" i="1"/>
  <c r="AY289" i="1"/>
  <c r="AX289" i="1"/>
  <c r="AW289" i="1"/>
  <c r="AV289" i="1"/>
  <c r="AU289" i="1"/>
  <c r="AT289" i="1"/>
  <c r="AO288" i="1"/>
  <c r="CL288" i="1"/>
  <c r="EI288" i="1"/>
  <c r="AN288" i="1"/>
  <c r="CK288" i="1"/>
  <c r="EH288" i="1"/>
  <c r="AI288" i="1"/>
  <c r="CF288" i="1"/>
  <c r="EC288" i="1"/>
  <c r="AH288" i="1"/>
  <c r="CE288" i="1"/>
  <c r="EB288" i="1"/>
  <c r="AC288" i="1"/>
  <c r="BZ288" i="1"/>
  <c r="DW288" i="1"/>
  <c r="AB288" i="1"/>
  <c r="BY288" i="1"/>
  <c r="DV288" i="1"/>
  <c r="W288" i="1"/>
  <c r="BT288" i="1"/>
  <c r="DQ288" i="1"/>
  <c r="V288" i="1"/>
  <c r="BS288" i="1"/>
  <c r="DP288" i="1"/>
  <c r="Q288" i="1"/>
  <c r="BN288" i="1"/>
  <c r="DK288" i="1"/>
  <c r="P288" i="1"/>
  <c r="BM288" i="1"/>
  <c r="DJ288" i="1"/>
  <c r="O288" i="1"/>
  <c r="BL288" i="1"/>
  <c r="DI288" i="1"/>
  <c r="N288" i="1"/>
  <c r="BK288" i="1"/>
  <c r="DH288" i="1"/>
  <c r="M288" i="1"/>
  <c r="BJ288" i="1"/>
  <c r="DG288" i="1"/>
  <c r="L288" i="1"/>
  <c r="BI288" i="1"/>
  <c r="DF288" i="1"/>
  <c r="K288" i="1"/>
  <c r="BH288" i="1"/>
  <c r="DE288" i="1"/>
  <c r="J288" i="1"/>
  <c r="BG288" i="1"/>
  <c r="DD288" i="1"/>
  <c r="I288" i="1"/>
  <c r="BF288" i="1"/>
  <c r="DC288" i="1"/>
  <c r="H288" i="1"/>
  <c r="BE288" i="1"/>
  <c r="DB288" i="1"/>
  <c r="G288" i="1"/>
  <c r="BD288" i="1"/>
  <c r="DA288" i="1"/>
  <c r="CZ288" i="1"/>
  <c r="CY288" i="1"/>
  <c r="CX288" i="1"/>
  <c r="CW288" i="1"/>
  <c r="CV288" i="1"/>
  <c r="CU288" i="1"/>
  <c r="CT288" i="1"/>
  <c r="CS288" i="1"/>
  <c r="CR288" i="1"/>
  <c r="CQ288" i="1"/>
  <c r="BC288" i="1"/>
  <c r="BB288" i="1"/>
  <c r="BA288" i="1"/>
  <c r="AZ288" i="1"/>
  <c r="AY288" i="1"/>
  <c r="AX288" i="1"/>
  <c r="AW288" i="1"/>
  <c r="AV288" i="1"/>
  <c r="AU288" i="1"/>
  <c r="AT288" i="1"/>
  <c r="AO287" i="1"/>
  <c r="CL287" i="1"/>
  <c r="EI287" i="1"/>
  <c r="AN287" i="1"/>
  <c r="CK287" i="1"/>
  <c r="EH287" i="1"/>
  <c r="AI287" i="1"/>
  <c r="CF287" i="1"/>
  <c r="EC287" i="1"/>
  <c r="AH287" i="1"/>
  <c r="CE287" i="1"/>
  <c r="EB287" i="1"/>
  <c r="AC287" i="1"/>
  <c r="BZ287" i="1"/>
  <c r="DW287" i="1"/>
  <c r="AB287" i="1"/>
  <c r="BY287" i="1"/>
  <c r="DV287" i="1"/>
  <c r="W287" i="1"/>
  <c r="BT287" i="1"/>
  <c r="DQ287" i="1"/>
  <c r="V287" i="1"/>
  <c r="BS287" i="1"/>
  <c r="DP287" i="1"/>
  <c r="Q287" i="1"/>
  <c r="BN287" i="1"/>
  <c r="DK287" i="1"/>
  <c r="P287" i="1"/>
  <c r="BM287" i="1"/>
  <c r="DJ287" i="1"/>
  <c r="O287" i="1"/>
  <c r="BL287" i="1"/>
  <c r="DI287" i="1"/>
  <c r="N287" i="1"/>
  <c r="BK287" i="1"/>
  <c r="DH287" i="1"/>
  <c r="M287" i="1"/>
  <c r="BJ287" i="1"/>
  <c r="DG287" i="1"/>
  <c r="L287" i="1"/>
  <c r="BI287" i="1"/>
  <c r="DF287" i="1"/>
  <c r="K287" i="1"/>
  <c r="BH287" i="1"/>
  <c r="DE287" i="1"/>
  <c r="J287" i="1"/>
  <c r="BG287" i="1"/>
  <c r="DD287" i="1"/>
  <c r="I287" i="1"/>
  <c r="BF287" i="1"/>
  <c r="DC287" i="1"/>
  <c r="H287" i="1"/>
  <c r="BE287" i="1"/>
  <c r="DB287" i="1"/>
  <c r="G287" i="1"/>
  <c r="BD287" i="1"/>
  <c r="DA287" i="1"/>
  <c r="CZ287" i="1"/>
  <c r="CY287" i="1"/>
  <c r="CX287" i="1"/>
  <c r="CW287" i="1"/>
  <c r="CV287" i="1"/>
  <c r="CU287" i="1"/>
  <c r="CT287" i="1"/>
  <c r="CS287" i="1"/>
  <c r="CR287" i="1"/>
  <c r="CQ287" i="1"/>
  <c r="BC287" i="1"/>
  <c r="BB287" i="1"/>
  <c r="BA287" i="1"/>
  <c r="AZ287" i="1"/>
  <c r="AY287" i="1"/>
  <c r="AX287" i="1"/>
  <c r="AW287" i="1"/>
  <c r="AV287" i="1"/>
  <c r="AU287" i="1"/>
  <c r="AT287" i="1"/>
  <c r="AO286" i="1"/>
  <c r="CL286" i="1"/>
  <c r="EI286" i="1"/>
  <c r="AN286" i="1"/>
  <c r="CK286" i="1"/>
  <c r="EH286" i="1"/>
  <c r="AI286" i="1"/>
  <c r="CF286" i="1"/>
  <c r="EC286" i="1"/>
  <c r="AH286" i="1"/>
  <c r="CE286" i="1"/>
  <c r="EB286" i="1"/>
  <c r="AC286" i="1"/>
  <c r="BZ286" i="1"/>
  <c r="DW286" i="1"/>
  <c r="AB286" i="1"/>
  <c r="BY286" i="1"/>
  <c r="DV286" i="1"/>
  <c r="W286" i="1"/>
  <c r="BT286" i="1"/>
  <c r="DQ286" i="1"/>
  <c r="V286" i="1"/>
  <c r="BS286" i="1"/>
  <c r="DP286" i="1"/>
  <c r="Q286" i="1"/>
  <c r="BN286" i="1"/>
  <c r="DK286" i="1"/>
  <c r="P286" i="1"/>
  <c r="BM286" i="1"/>
  <c r="DJ286" i="1"/>
  <c r="O286" i="1"/>
  <c r="BL286" i="1"/>
  <c r="DI286" i="1"/>
  <c r="N286" i="1"/>
  <c r="BK286" i="1"/>
  <c r="DH286" i="1"/>
  <c r="M286" i="1"/>
  <c r="BJ286" i="1"/>
  <c r="DG286" i="1"/>
  <c r="L286" i="1"/>
  <c r="BI286" i="1"/>
  <c r="DF286" i="1"/>
  <c r="K286" i="1"/>
  <c r="BH286" i="1"/>
  <c r="DE286" i="1"/>
  <c r="J286" i="1"/>
  <c r="BG286" i="1"/>
  <c r="DD286" i="1"/>
  <c r="I286" i="1"/>
  <c r="BF286" i="1"/>
  <c r="DC286" i="1"/>
  <c r="H286" i="1"/>
  <c r="BE286" i="1"/>
  <c r="DB286" i="1"/>
  <c r="G286" i="1"/>
  <c r="BD286" i="1"/>
  <c r="DA286" i="1"/>
  <c r="CZ286" i="1"/>
  <c r="CY286" i="1"/>
  <c r="CX286" i="1"/>
  <c r="CW286" i="1"/>
  <c r="CV286" i="1"/>
  <c r="CU286" i="1"/>
  <c r="CT286" i="1"/>
  <c r="CS286" i="1"/>
  <c r="CR286" i="1"/>
  <c r="CQ286" i="1"/>
  <c r="BC286" i="1"/>
  <c r="BB286" i="1"/>
  <c r="BA286" i="1"/>
  <c r="AZ286" i="1"/>
  <c r="AY286" i="1"/>
  <c r="AX286" i="1"/>
  <c r="AW286" i="1"/>
  <c r="AV286" i="1"/>
  <c r="AU286" i="1"/>
  <c r="AT286" i="1"/>
  <c r="AO285" i="1"/>
  <c r="CL285" i="1"/>
  <c r="EI285" i="1"/>
  <c r="AN285" i="1"/>
  <c r="CK285" i="1"/>
  <c r="EH285" i="1"/>
  <c r="AI285" i="1"/>
  <c r="CF285" i="1"/>
  <c r="EC285" i="1"/>
  <c r="AH285" i="1"/>
  <c r="CE285" i="1"/>
  <c r="EB285" i="1"/>
  <c r="AC285" i="1"/>
  <c r="BZ285" i="1"/>
  <c r="DW285" i="1"/>
  <c r="AB285" i="1"/>
  <c r="BY285" i="1"/>
  <c r="DV285" i="1"/>
  <c r="W285" i="1"/>
  <c r="BT285" i="1"/>
  <c r="DQ285" i="1"/>
  <c r="V285" i="1"/>
  <c r="BS285" i="1"/>
  <c r="DP285" i="1"/>
  <c r="Q285" i="1"/>
  <c r="BN285" i="1"/>
  <c r="DK285" i="1"/>
  <c r="P285" i="1"/>
  <c r="BM285" i="1"/>
  <c r="DJ285" i="1"/>
  <c r="O285" i="1"/>
  <c r="BL285" i="1"/>
  <c r="DI285" i="1"/>
  <c r="N285" i="1"/>
  <c r="BK285" i="1"/>
  <c r="DH285" i="1"/>
  <c r="M285" i="1"/>
  <c r="BJ285" i="1"/>
  <c r="DG285" i="1"/>
  <c r="L285" i="1"/>
  <c r="BI285" i="1"/>
  <c r="DF285" i="1"/>
  <c r="K285" i="1"/>
  <c r="BH285" i="1"/>
  <c r="DE285" i="1"/>
  <c r="J285" i="1"/>
  <c r="BG285" i="1"/>
  <c r="DD285" i="1"/>
  <c r="I285" i="1"/>
  <c r="BF285" i="1"/>
  <c r="DC285" i="1"/>
  <c r="H285" i="1"/>
  <c r="BE285" i="1"/>
  <c r="DB285" i="1"/>
  <c r="G285" i="1"/>
  <c r="BD285" i="1"/>
  <c r="DA285" i="1"/>
  <c r="CZ285" i="1"/>
  <c r="CY285" i="1"/>
  <c r="CX285" i="1"/>
  <c r="CW285" i="1"/>
  <c r="CV285" i="1"/>
  <c r="CU285" i="1"/>
  <c r="CT285" i="1"/>
  <c r="CS285" i="1"/>
  <c r="CR285" i="1"/>
  <c r="CQ285" i="1"/>
  <c r="BC285" i="1"/>
  <c r="BB285" i="1"/>
  <c r="BA285" i="1"/>
  <c r="AZ285" i="1"/>
  <c r="AY285" i="1"/>
  <c r="AX285" i="1"/>
  <c r="AW285" i="1"/>
  <c r="AV285" i="1"/>
  <c r="AU285" i="1"/>
  <c r="AT285" i="1"/>
  <c r="AO284" i="1"/>
  <c r="CL284" i="1"/>
  <c r="EI284" i="1"/>
  <c r="AN284" i="1"/>
  <c r="CK284" i="1"/>
  <c r="EH284" i="1"/>
  <c r="AI284" i="1"/>
  <c r="CF284" i="1"/>
  <c r="EC284" i="1"/>
  <c r="AH284" i="1"/>
  <c r="CE284" i="1"/>
  <c r="EB284" i="1"/>
  <c r="AC284" i="1"/>
  <c r="BZ284" i="1"/>
  <c r="DW284" i="1"/>
  <c r="AB284" i="1"/>
  <c r="BY284" i="1"/>
  <c r="DV284" i="1"/>
  <c r="W284" i="1"/>
  <c r="BT284" i="1"/>
  <c r="DQ284" i="1"/>
  <c r="V284" i="1"/>
  <c r="BS284" i="1"/>
  <c r="DP284" i="1"/>
  <c r="Q284" i="1"/>
  <c r="BN284" i="1"/>
  <c r="DK284" i="1"/>
  <c r="P284" i="1"/>
  <c r="BM284" i="1"/>
  <c r="DJ284" i="1"/>
  <c r="O284" i="1"/>
  <c r="BL284" i="1"/>
  <c r="DI284" i="1"/>
  <c r="N284" i="1"/>
  <c r="BK284" i="1"/>
  <c r="DH284" i="1"/>
  <c r="M284" i="1"/>
  <c r="BJ284" i="1"/>
  <c r="DG284" i="1"/>
  <c r="L284" i="1"/>
  <c r="BI284" i="1"/>
  <c r="DF284" i="1"/>
  <c r="K284" i="1"/>
  <c r="BH284" i="1"/>
  <c r="DE284" i="1"/>
  <c r="J284" i="1"/>
  <c r="BG284" i="1"/>
  <c r="DD284" i="1"/>
  <c r="I284" i="1"/>
  <c r="BF284" i="1"/>
  <c r="DC284" i="1"/>
  <c r="H284" i="1"/>
  <c r="BE284" i="1"/>
  <c r="DB284" i="1"/>
  <c r="G284" i="1"/>
  <c r="BD284" i="1"/>
  <c r="DA284" i="1"/>
  <c r="CZ284" i="1"/>
  <c r="CY284" i="1"/>
  <c r="CX284" i="1"/>
  <c r="CW284" i="1"/>
  <c r="CV284" i="1"/>
  <c r="CU284" i="1"/>
  <c r="CT284" i="1"/>
  <c r="CS284" i="1"/>
  <c r="CR284" i="1"/>
  <c r="CQ284" i="1"/>
  <c r="BC284" i="1"/>
  <c r="BB284" i="1"/>
  <c r="BA284" i="1"/>
  <c r="AZ284" i="1"/>
  <c r="AY284" i="1"/>
  <c r="AX284" i="1"/>
  <c r="AW284" i="1"/>
  <c r="AV284" i="1"/>
  <c r="AU284" i="1"/>
  <c r="AT284" i="1"/>
  <c r="AO283" i="1"/>
  <c r="CL283" i="1"/>
  <c r="EI283" i="1"/>
  <c r="AN283" i="1"/>
  <c r="CK283" i="1"/>
  <c r="EH283" i="1"/>
  <c r="AI283" i="1"/>
  <c r="CF283" i="1"/>
  <c r="EC283" i="1"/>
  <c r="AH283" i="1"/>
  <c r="CE283" i="1"/>
  <c r="EB283" i="1"/>
  <c r="AC283" i="1"/>
  <c r="BZ283" i="1"/>
  <c r="DW283" i="1"/>
  <c r="AB283" i="1"/>
  <c r="BY283" i="1"/>
  <c r="DV283" i="1"/>
  <c r="W283" i="1"/>
  <c r="BT283" i="1"/>
  <c r="DQ283" i="1"/>
  <c r="V283" i="1"/>
  <c r="BS283" i="1"/>
  <c r="DP283" i="1"/>
  <c r="Q283" i="1"/>
  <c r="BN283" i="1"/>
  <c r="DK283" i="1"/>
  <c r="P283" i="1"/>
  <c r="BM283" i="1"/>
  <c r="DJ283" i="1"/>
  <c r="O283" i="1"/>
  <c r="BL283" i="1"/>
  <c r="DI283" i="1"/>
  <c r="N283" i="1"/>
  <c r="BK283" i="1"/>
  <c r="DH283" i="1"/>
  <c r="M283" i="1"/>
  <c r="BJ283" i="1"/>
  <c r="DG283" i="1"/>
  <c r="L283" i="1"/>
  <c r="BI283" i="1"/>
  <c r="DF283" i="1"/>
  <c r="K283" i="1"/>
  <c r="BH283" i="1"/>
  <c r="DE283" i="1"/>
  <c r="J283" i="1"/>
  <c r="BG283" i="1"/>
  <c r="DD283" i="1"/>
  <c r="I283" i="1"/>
  <c r="BF283" i="1"/>
  <c r="DC283" i="1"/>
  <c r="H283" i="1"/>
  <c r="BE283" i="1"/>
  <c r="DB283" i="1"/>
  <c r="G283" i="1"/>
  <c r="BD283" i="1"/>
  <c r="DA283" i="1"/>
  <c r="CZ283" i="1"/>
  <c r="CY283" i="1"/>
  <c r="CX283" i="1"/>
  <c r="CW283" i="1"/>
  <c r="CV283" i="1"/>
  <c r="CU283" i="1"/>
  <c r="CT283" i="1"/>
  <c r="CS283" i="1"/>
  <c r="CR283" i="1"/>
  <c r="CQ283" i="1"/>
  <c r="BC283" i="1"/>
  <c r="BB283" i="1"/>
  <c r="BA283" i="1"/>
  <c r="AZ283" i="1"/>
  <c r="AY283" i="1"/>
  <c r="AX283" i="1"/>
  <c r="AW283" i="1"/>
  <c r="AV283" i="1"/>
  <c r="AU283" i="1"/>
  <c r="AT283" i="1"/>
  <c r="AO282" i="1"/>
  <c r="CL282" i="1"/>
  <c r="EI282" i="1"/>
  <c r="AN282" i="1"/>
  <c r="CK282" i="1"/>
  <c r="EH282" i="1"/>
  <c r="AI282" i="1"/>
  <c r="CF282" i="1"/>
  <c r="EC282" i="1"/>
  <c r="AH282" i="1"/>
  <c r="CE282" i="1"/>
  <c r="EB282" i="1"/>
  <c r="AC282" i="1"/>
  <c r="BZ282" i="1"/>
  <c r="DW282" i="1"/>
  <c r="AB282" i="1"/>
  <c r="BY282" i="1"/>
  <c r="DV282" i="1"/>
  <c r="W282" i="1"/>
  <c r="BT282" i="1"/>
  <c r="DQ282" i="1"/>
  <c r="V282" i="1"/>
  <c r="BS282" i="1"/>
  <c r="DP282" i="1"/>
  <c r="Q282" i="1"/>
  <c r="BN282" i="1"/>
  <c r="DK282" i="1"/>
  <c r="P282" i="1"/>
  <c r="BM282" i="1"/>
  <c r="DJ282" i="1"/>
  <c r="O282" i="1"/>
  <c r="BL282" i="1"/>
  <c r="DI282" i="1"/>
  <c r="N282" i="1"/>
  <c r="BK282" i="1"/>
  <c r="DH282" i="1"/>
  <c r="M282" i="1"/>
  <c r="BJ282" i="1"/>
  <c r="DG282" i="1"/>
  <c r="L282" i="1"/>
  <c r="BI282" i="1"/>
  <c r="DF282" i="1"/>
  <c r="K282" i="1"/>
  <c r="BH282" i="1"/>
  <c r="DE282" i="1"/>
  <c r="J282" i="1"/>
  <c r="BG282" i="1"/>
  <c r="DD282" i="1"/>
  <c r="I282" i="1"/>
  <c r="BF282" i="1"/>
  <c r="DC282" i="1"/>
  <c r="H282" i="1"/>
  <c r="BE282" i="1"/>
  <c r="DB282" i="1"/>
  <c r="G282" i="1"/>
  <c r="BD282" i="1"/>
  <c r="DA282" i="1"/>
  <c r="CZ282" i="1"/>
  <c r="CY282" i="1"/>
  <c r="CX282" i="1"/>
  <c r="CW282" i="1"/>
  <c r="CV282" i="1"/>
  <c r="CU282" i="1"/>
  <c r="CT282" i="1"/>
  <c r="CS282" i="1"/>
  <c r="CR282" i="1"/>
  <c r="CQ282" i="1"/>
  <c r="BC282" i="1"/>
  <c r="BB282" i="1"/>
  <c r="BA282" i="1"/>
  <c r="AZ282" i="1"/>
  <c r="AY282" i="1"/>
  <c r="AX282" i="1"/>
  <c r="AW282" i="1"/>
  <c r="AV282" i="1"/>
  <c r="AU282" i="1"/>
  <c r="AT282" i="1"/>
  <c r="AO281" i="1"/>
  <c r="CL281" i="1"/>
  <c r="EI281" i="1"/>
  <c r="AN281" i="1"/>
  <c r="CK281" i="1"/>
  <c r="EH281" i="1"/>
  <c r="AI281" i="1"/>
  <c r="CF281" i="1"/>
  <c r="EC281" i="1"/>
  <c r="AH281" i="1"/>
  <c r="CE281" i="1"/>
  <c r="EB281" i="1"/>
  <c r="AC281" i="1"/>
  <c r="BZ281" i="1"/>
  <c r="DW281" i="1"/>
  <c r="AB281" i="1"/>
  <c r="BY281" i="1"/>
  <c r="DV281" i="1"/>
  <c r="W281" i="1"/>
  <c r="BT281" i="1"/>
  <c r="DQ281" i="1"/>
  <c r="V281" i="1"/>
  <c r="BS281" i="1"/>
  <c r="DP281" i="1"/>
  <c r="Q281" i="1"/>
  <c r="BN281" i="1"/>
  <c r="DK281" i="1"/>
  <c r="P281" i="1"/>
  <c r="BM281" i="1"/>
  <c r="DJ281" i="1"/>
  <c r="O281" i="1"/>
  <c r="BL281" i="1"/>
  <c r="DI281" i="1"/>
  <c r="N281" i="1"/>
  <c r="BK281" i="1"/>
  <c r="DH281" i="1"/>
  <c r="M281" i="1"/>
  <c r="BJ281" i="1"/>
  <c r="DG281" i="1"/>
  <c r="L281" i="1"/>
  <c r="BI281" i="1"/>
  <c r="DF281" i="1"/>
  <c r="K281" i="1"/>
  <c r="BH281" i="1"/>
  <c r="DE281" i="1"/>
  <c r="J281" i="1"/>
  <c r="BG281" i="1"/>
  <c r="DD281" i="1"/>
  <c r="I281" i="1"/>
  <c r="BF281" i="1"/>
  <c r="DC281" i="1"/>
  <c r="H281" i="1"/>
  <c r="BE281" i="1"/>
  <c r="DB281" i="1"/>
  <c r="G281" i="1"/>
  <c r="BD281" i="1"/>
  <c r="DA281" i="1"/>
  <c r="CZ281" i="1"/>
  <c r="CY281" i="1"/>
  <c r="CX281" i="1"/>
  <c r="CW281" i="1"/>
  <c r="CV281" i="1"/>
  <c r="CU281" i="1"/>
  <c r="CT281" i="1"/>
  <c r="CS281" i="1"/>
  <c r="CR281" i="1"/>
  <c r="CQ281" i="1"/>
  <c r="BC281" i="1"/>
  <c r="BB281" i="1"/>
  <c r="BA281" i="1"/>
  <c r="AZ281" i="1"/>
  <c r="AY281" i="1"/>
  <c r="AX281" i="1"/>
  <c r="AW281" i="1"/>
  <c r="AV281" i="1"/>
  <c r="AU281" i="1"/>
  <c r="AT281" i="1"/>
  <c r="AO280" i="1"/>
  <c r="CL280" i="1"/>
  <c r="EI280" i="1"/>
  <c r="AN280" i="1"/>
  <c r="CK280" i="1"/>
  <c r="EH280" i="1"/>
  <c r="AI280" i="1"/>
  <c r="CF280" i="1"/>
  <c r="EC280" i="1"/>
  <c r="AH280" i="1"/>
  <c r="CE280" i="1"/>
  <c r="EB280" i="1"/>
  <c r="AC280" i="1"/>
  <c r="BZ280" i="1"/>
  <c r="DW280" i="1"/>
  <c r="AB280" i="1"/>
  <c r="BY280" i="1"/>
  <c r="DV280" i="1"/>
  <c r="W280" i="1"/>
  <c r="BT280" i="1"/>
  <c r="DQ280" i="1"/>
  <c r="V280" i="1"/>
  <c r="BS280" i="1"/>
  <c r="DP280" i="1"/>
  <c r="Q280" i="1"/>
  <c r="BN280" i="1"/>
  <c r="DK280" i="1"/>
  <c r="P280" i="1"/>
  <c r="BM280" i="1"/>
  <c r="DJ280" i="1"/>
  <c r="O280" i="1"/>
  <c r="BL280" i="1"/>
  <c r="DI280" i="1"/>
  <c r="N280" i="1"/>
  <c r="BK280" i="1"/>
  <c r="DH280" i="1"/>
  <c r="M280" i="1"/>
  <c r="BJ280" i="1"/>
  <c r="DG280" i="1"/>
  <c r="L280" i="1"/>
  <c r="BI280" i="1"/>
  <c r="DF280" i="1"/>
  <c r="K280" i="1"/>
  <c r="BH280" i="1"/>
  <c r="DE280" i="1"/>
  <c r="J280" i="1"/>
  <c r="BG280" i="1"/>
  <c r="DD280" i="1"/>
  <c r="I280" i="1"/>
  <c r="BF280" i="1"/>
  <c r="DC280" i="1"/>
  <c r="H280" i="1"/>
  <c r="BE280" i="1"/>
  <c r="DB280" i="1"/>
  <c r="G280" i="1"/>
  <c r="BD280" i="1"/>
  <c r="DA280" i="1"/>
  <c r="CZ280" i="1"/>
  <c r="CY280" i="1"/>
  <c r="CX280" i="1"/>
  <c r="CW280" i="1"/>
  <c r="CV280" i="1"/>
  <c r="CU280" i="1"/>
  <c r="CT280" i="1"/>
  <c r="CS280" i="1"/>
  <c r="CR280" i="1"/>
  <c r="CQ280" i="1"/>
  <c r="BC280" i="1"/>
  <c r="BB280" i="1"/>
  <c r="BA280" i="1"/>
  <c r="AZ280" i="1"/>
  <c r="AY280" i="1"/>
  <c r="AX280" i="1"/>
  <c r="AW280" i="1"/>
  <c r="AV280" i="1"/>
  <c r="AU280" i="1"/>
  <c r="AT280" i="1"/>
  <c r="AO279" i="1"/>
  <c r="CL279" i="1"/>
  <c r="EI279" i="1"/>
  <c r="AN279" i="1"/>
  <c r="CK279" i="1"/>
  <c r="EH279" i="1"/>
  <c r="AI279" i="1"/>
  <c r="CF279" i="1"/>
  <c r="EC279" i="1"/>
  <c r="AH279" i="1"/>
  <c r="CE279" i="1"/>
  <c r="EB279" i="1"/>
  <c r="AC279" i="1"/>
  <c r="BZ279" i="1"/>
  <c r="DW279" i="1"/>
  <c r="AB279" i="1"/>
  <c r="BY279" i="1"/>
  <c r="DV279" i="1"/>
  <c r="W279" i="1"/>
  <c r="BT279" i="1"/>
  <c r="DQ279" i="1"/>
  <c r="V279" i="1"/>
  <c r="BS279" i="1"/>
  <c r="DP279" i="1"/>
  <c r="Q279" i="1"/>
  <c r="BN279" i="1"/>
  <c r="DK279" i="1"/>
  <c r="P279" i="1"/>
  <c r="BM279" i="1"/>
  <c r="DJ279" i="1"/>
  <c r="O279" i="1"/>
  <c r="BL279" i="1"/>
  <c r="DI279" i="1"/>
  <c r="N279" i="1"/>
  <c r="BK279" i="1"/>
  <c r="DH279" i="1"/>
  <c r="M279" i="1"/>
  <c r="BJ279" i="1"/>
  <c r="DG279" i="1"/>
  <c r="L279" i="1"/>
  <c r="BI279" i="1"/>
  <c r="DF279" i="1"/>
  <c r="K279" i="1"/>
  <c r="BH279" i="1"/>
  <c r="DE279" i="1"/>
  <c r="J279" i="1"/>
  <c r="BG279" i="1"/>
  <c r="DD279" i="1"/>
  <c r="I279" i="1"/>
  <c r="BF279" i="1"/>
  <c r="DC279" i="1"/>
  <c r="H279" i="1"/>
  <c r="BE279" i="1"/>
  <c r="DB279" i="1"/>
  <c r="G279" i="1"/>
  <c r="BD279" i="1"/>
  <c r="DA279" i="1"/>
  <c r="CZ279" i="1"/>
  <c r="CY279" i="1"/>
  <c r="CX279" i="1"/>
  <c r="CW279" i="1"/>
  <c r="CV279" i="1"/>
  <c r="CU279" i="1"/>
  <c r="CT279" i="1"/>
  <c r="CS279" i="1"/>
  <c r="CR279" i="1"/>
  <c r="CQ279" i="1"/>
  <c r="BC279" i="1"/>
  <c r="BB279" i="1"/>
  <c r="BA279" i="1"/>
  <c r="AZ279" i="1"/>
  <c r="AY279" i="1"/>
  <c r="AX279" i="1"/>
  <c r="AW279" i="1"/>
  <c r="AV279" i="1"/>
  <c r="AU279" i="1"/>
  <c r="AT279" i="1"/>
  <c r="AO278" i="1"/>
  <c r="CL278" i="1"/>
  <c r="EI278" i="1"/>
  <c r="AN278" i="1"/>
  <c r="CK278" i="1"/>
  <c r="EH278" i="1"/>
  <c r="AI278" i="1"/>
  <c r="CF278" i="1"/>
  <c r="EC278" i="1"/>
  <c r="AH278" i="1"/>
  <c r="CE278" i="1"/>
  <c r="EB278" i="1"/>
  <c r="AC278" i="1"/>
  <c r="BZ278" i="1"/>
  <c r="DW278" i="1"/>
  <c r="AB278" i="1"/>
  <c r="BY278" i="1"/>
  <c r="DV278" i="1"/>
  <c r="W278" i="1"/>
  <c r="BT278" i="1"/>
  <c r="DQ278" i="1"/>
  <c r="V278" i="1"/>
  <c r="BS278" i="1"/>
  <c r="DP278" i="1"/>
  <c r="Q278" i="1"/>
  <c r="BN278" i="1"/>
  <c r="DK278" i="1"/>
  <c r="P278" i="1"/>
  <c r="BM278" i="1"/>
  <c r="DJ278" i="1"/>
  <c r="O278" i="1"/>
  <c r="BL278" i="1"/>
  <c r="DI278" i="1"/>
  <c r="N278" i="1"/>
  <c r="BK278" i="1"/>
  <c r="DH278" i="1"/>
  <c r="M278" i="1"/>
  <c r="BJ278" i="1"/>
  <c r="DG278" i="1"/>
  <c r="L278" i="1"/>
  <c r="BI278" i="1"/>
  <c r="DF278" i="1"/>
  <c r="K278" i="1"/>
  <c r="BH278" i="1"/>
  <c r="DE278" i="1"/>
  <c r="J278" i="1"/>
  <c r="BG278" i="1"/>
  <c r="DD278" i="1"/>
  <c r="I278" i="1"/>
  <c r="BF278" i="1"/>
  <c r="DC278" i="1"/>
  <c r="H278" i="1"/>
  <c r="BE278" i="1"/>
  <c r="DB278" i="1"/>
  <c r="G278" i="1"/>
  <c r="BD278" i="1"/>
  <c r="DA278" i="1"/>
  <c r="CZ278" i="1"/>
  <c r="CY278" i="1"/>
  <c r="CX278" i="1"/>
  <c r="CW278" i="1"/>
  <c r="CV278" i="1"/>
  <c r="CU278" i="1"/>
  <c r="CT278" i="1"/>
  <c r="CS278" i="1"/>
  <c r="CR278" i="1"/>
  <c r="CQ278" i="1"/>
  <c r="BC278" i="1"/>
  <c r="BB278" i="1"/>
  <c r="BA278" i="1"/>
  <c r="AZ278" i="1"/>
  <c r="AY278" i="1"/>
  <c r="AX278" i="1"/>
  <c r="AW278" i="1"/>
  <c r="AV278" i="1"/>
  <c r="AU278" i="1"/>
  <c r="AT278" i="1"/>
  <c r="AO277" i="1"/>
  <c r="CL277" i="1"/>
  <c r="EI277" i="1"/>
  <c r="AN277" i="1"/>
  <c r="CK277" i="1"/>
  <c r="EH277" i="1"/>
  <c r="AI277" i="1"/>
  <c r="CF277" i="1"/>
  <c r="EC277" i="1"/>
  <c r="AH277" i="1"/>
  <c r="CE277" i="1"/>
  <c r="EB277" i="1"/>
  <c r="AC277" i="1"/>
  <c r="BZ277" i="1"/>
  <c r="DW277" i="1"/>
  <c r="AB277" i="1"/>
  <c r="BY277" i="1"/>
  <c r="DV277" i="1"/>
  <c r="W277" i="1"/>
  <c r="BT277" i="1"/>
  <c r="DQ277" i="1"/>
  <c r="V277" i="1"/>
  <c r="BS277" i="1"/>
  <c r="DP277" i="1"/>
  <c r="Q277" i="1"/>
  <c r="BN277" i="1"/>
  <c r="DK277" i="1"/>
  <c r="P277" i="1"/>
  <c r="BM277" i="1"/>
  <c r="DJ277" i="1"/>
  <c r="O277" i="1"/>
  <c r="BL277" i="1"/>
  <c r="DI277" i="1"/>
  <c r="N277" i="1"/>
  <c r="BK277" i="1"/>
  <c r="DH277" i="1"/>
  <c r="M277" i="1"/>
  <c r="BJ277" i="1"/>
  <c r="DG277" i="1"/>
  <c r="L277" i="1"/>
  <c r="BI277" i="1"/>
  <c r="DF277" i="1"/>
  <c r="K277" i="1"/>
  <c r="BH277" i="1"/>
  <c r="DE277" i="1"/>
  <c r="J277" i="1"/>
  <c r="BG277" i="1"/>
  <c r="DD277" i="1"/>
  <c r="I277" i="1"/>
  <c r="BF277" i="1"/>
  <c r="DC277" i="1"/>
  <c r="H277" i="1"/>
  <c r="BE277" i="1"/>
  <c r="DB277" i="1"/>
  <c r="G277" i="1"/>
  <c r="BD277" i="1"/>
  <c r="DA277" i="1"/>
  <c r="CZ277" i="1"/>
  <c r="CY277" i="1"/>
  <c r="CX277" i="1"/>
  <c r="CW277" i="1"/>
  <c r="CV277" i="1"/>
  <c r="CU277" i="1"/>
  <c r="CT277" i="1"/>
  <c r="CS277" i="1"/>
  <c r="CR277" i="1"/>
  <c r="CQ277" i="1"/>
  <c r="BC277" i="1"/>
  <c r="BB277" i="1"/>
  <c r="BA277" i="1"/>
  <c r="AZ277" i="1"/>
  <c r="AY277" i="1"/>
  <c r="AX277" i="1"/>
  <c r="AW277" i="1"/>
  <c r="AV277" i="1"/>
  <c r="AU277" i="1"/>
  <c r="AT277" i="1"/>
  <c r="AO276" i="1"/>
  <c r="CL276" i="1"/>
  <c r="EI276" i="1"/>
  <c r="AN276" i="1"/>
  <c r="CK276" i="1"/>
  <c r="EH276" i="1"/>
  <c r="AI276" i="1"/>
  <c r="CF276" i="1"/>
  <c r="EC276" i="1"/>
  <c r="AH276" i="1"/>
  <c r="CE276" i="1"/>
  <c r="EB276" i="1"/>
  <c r="AC276" i="1"/>
  <c r="BZ276" i="1"/>
  <c r="DW276" i="1"/>
  <c r="AB276" i="1"/>
  <c r="BY276" i="1"/>
  <c r="DV276" i="1"/>
  <c r="W276" i="1"/>
  <c r="BT276" i="1"/>
  <c r="DQ276" i="1"/>
  <c r="V276" i="1"/>
  <c r="BS276" i="1"/>
  <c r="DP276" i="1"/>
  <c r="Q276" i="1"/>
  <c r="BN276" i="1"/>
  <c r="DK276" i="1"/>
  <c r="P276" i="1"/>
  <c r="BM276" i="1"/>
  <c r="DJ276" i="1"/>
  <c r="O276" i="1"/>
  <c r="BL276" i="1"/>
  <c r="DI276" i="1"/>
  <c r="N276" i="1"/>
  <c r="BK276" i="1"/>
  <c r="DH276" i="1"/>
  <c r="M276" i="1"/>
  <c r="BJ276" i="1"/>
  <c r="DG276" i="1"/>
  <c r="L276" i="1"/>
  <c r="BI276" i="1"/>
  <c r="DF276" i="1"/>
  <c r="K276" i="1"/>
  <c r="BH276" i="1"/>
  <c r="DE276" i="1"/>
  <c r="J276" i="1"/>
  <c r="BG276" i="1"/>
  <c r="DD276" i="1"/>
  <c r="I276" i="1"/>
  <c r="BF276" i="1"/>
  <c r="DC276" i="1"/>
  <c r="H276" i="1"/>
  <c r="BE276" i="1"/>
  <c r="DB276" i="1"/>
  <c r="G276" i="1"/>
  <c r="BD276" i="1"/>
  <c r="DA276" i="1"/>
  <c r="CZ276" i="1"/>
  <c r="CY276" i="1"/>
  <c r="CX276" i="1"/>
  <c r="CW276" i="1"/>
  <c r="CV276" i="1"/>
  <c r="CU276" i="1"/>
  <c r="CT276" i="1"/>
  <c r="CS276" i="1"/>
  <c r="CR276" i="1"/>
  <c r="CQ276" i="1"/>
  <c r="BC276" i="1"/>
  <c r="BB276" i="1"/>
  <c r="BA276" i="1"/>
  <c r="AZ276" i="1"/>
  <c r="AY276" i="1"/>
  <c r="AX276" i="1"/>
  <c r="AW276" i="1"/>
  <c r="AV276" i="1"/>
  <c r="AU276" i="1"/>
  <c r="AT276" i="1"/>
  <c r="AO275" i="1"/>
  <c r="CL275" i="1"/>
  <c r="EI275" i="1"/>
  <c r="AN275" i="1"/>
  <c r="CK275" i="1"/>
  <c r="EH275" i="1"/>
  <c r="AI275" i="1"/>
  <c r="CF275" i="1"/>
  <c r="EC275" i="1"/>
  <c r="AH275" i="1"/>
  <c r="CE275" i="1"/>
  <c r="EB275" i="1"/>
  <c r="AC275" i="1"/>
  <c r="BZ275" i="1"/>
  <c r="DW275" i="1"/>
  <c r="AB275" i="1"/>
  <c r="BY275" i="1"/>
  <c r="DV275" i="1"/>
  <c r="W275" i="1"/>
  <c r="BT275" i="1"/>
  <c r="DQ275" i="1"/>
  <c r="V275" i="1"/>
  <c r="BS275" i="1"/>
  <c r="DP275" i="1"/>
  <c r="Q275" i="1"/>
  <c r="BN275" i="1"/>
  <c r="DK275" i="1"/>
  <c r="P275" i="1"/>
  <c r="BM275" i="1"/>
  <c r="DJ275" i="1"/>
  <c r="O275" i="1"/>
  <c r="BL275" i="1"/>
  <c r="DI275" i="1"/>
  <c r="N275" i="1"/>
  <c r="BK275" i="1"/>
  <c r="DH275" i="1"/>
  <c r="M275" i="1"/>
  <c r="BJ275" i="1"/>
  <c r="DG275" i="1"/>
  <c r="L275" i="1"/>
  <c r="BI275" i="1"/>
  <c r="DF275" i="1"/>
  <c r="K275" i="1"/>
  <c r="BH275" i="1"/>
  <c r="DE275" i="1"/>
  <c r="J275" i="1"/>
  <c r="BG275" i="1"/>
  <c r="DD275" i="1"/>
  <c r="I275" i="1"/>
  <c r="BF275" i="1"/>
  <c r="DC275" i="1"/>
  <c r="H275" i="1"/>
  <c r="BE275" i="1"/>
  <c r="DB275" i="1"/>
  <c r="G275" i="1"/>
  <c r="BD275" i="1"/>
  <c r="DA275" i="1"/>
  <c r="CZ275" i="1"/>
  <c r="CY275" i="1"/>
  <c r="CX275" i="1"/>
  <c r="CW275" i="1"/>
  <c r="CV275" i="1"/>
  <c r="CU275" i="1"/>
  <c r="CT275" i="1"/>
  <c r="CS275" i="1"/>
  <c r="CR275" i="1"/>
  <c r="CQ275" i="1"/>
  <c r="BC275" i="1"/>
  <c r="BB275" i="1"/>
  <c r="BA275" i="1"/>
  <c r="AZ275" i="1"/>
  <c r="AY275" i="1"/>
  <c r="AX275" i="1"/>
  <c r="AW275" i="1"/>
  <c r="AV275" i="1"/>
  <c r="AU275" i="1"/>
  <c r="AT275" i="1"/>
  <c r="AO274" i="1"/>
  <c r="CL274" i="1"/>
  <c r="EI274" i="1"/>
  <c r="AN274" i="1"/>
  <c r="CK274" i="1"/>
  <c r="EH274" i="1"/>
  <c r="AI274" i="1"/>
  <c r="CF274" i="1"/>
  <c r="EC274" i="1"/>
  <c r="AH274" i="1"/>
  <c r="CE274" i="1"/>
  <c r="EB274" i="1"/>
  <c r="AC274" i="1"/>
  <c r="BZ274" i="1"/>
  <c r="DW274" i="1"/>
  <c r="AB274" i="1"/>
  <c r="BY274" i="1"/>
  <c r="DV274" i="1"/>
  <c r="W274" i="1"/>
  <c r="BT274" i="1"/>
  <c r="DQ274" i="1"/>
  <c r="V274" i="1"/>
  <c r="BS274" i="1"/>
  <c r="DP274" i="1"/>
  <c r="Q274" i="1"/>
  <c r="BN274" i="1"/>
  <c r="DK274" i="1"/>
  <c r="P274" i="1"/>
  <c r="BM274" i="1"/>
  <c r="DJ274" i="1"/>
  <c r="O274" i="1"/>
  <c r="BL274" i="1"/>
  <c r="DI274" i="1"/>
  <c r="N274" i="1"/>
  <c r="BK274" i="1"/>
  <c r="DH274" i="1"/>
  <c r="M274" i="1"/>
  <c r="BJ274" i="1"/>
  <c r="DG274" i="1"/>
  <c r="L274" i="1"/>
  <c r="BI274" i="1"/>
  <c r="DF274" i="1"/>
  <c r="K274" i="1"/>
  <c r="BH274" i="1"/>
  <c r="DE274" i="1"/>
  <c r="J274" i="1"/>
  <c r="BG274" i="1"/>
  <c r="DD274" i="1"/>
  <c r="I274" i="1"/>
  <c r="BF274" i="1"/>
  <c r="DC274" i="1"/>
  <c r="H274" i="1"/>
  <c r="BE274" i="1"/>
  <c r="DB274" i="1"/>
  <c r="G274" i="1"/>
  <c r="BD274" i="1"/>
  <c r="DA274" i="1"/>
  <c r="CZ274" i="1"/>
  <c r="CY274" i="1"/>
  <c r="CX274" i="1"/>
  <c r="CW274" i="1"/>
  <c r="CV274" i="1"/>
  <c r="CU274" i="1"/>
  <c r="CT274" i="1"/>
  <c r="CS274" i="1"/>
  <c r="CR274" i="1"/>
  <c r="CQ274" i="1"/>
  <c r="BC274" i="1"/>
  <c r="BB274" i="1"/>
  <c r="BA274" i="1"/>
  <c r="AZ274" i="1"/>
  <c r="AY274" i="1"/>
  <c r="AX274" i="1"/>
  <c r="AW274" i="1"/>
  <c r="AV274" i="1"/>
  <c r="AU274" i="1"/>
  <c r="AT274" i="1"/>
  <c r="AO273" i="1"/>
  <c r="CL273" i="1"/>
  <c r="EI273" i="1"/>
  <c r="AN273" i="1"/>
  <c r="CK273" i="1"/>
  <c r="EH273" i="1"/>
  <c r="AI273" i="1"/>
  <c r="CF273" i="1"/>
  <c r="EC273" i="1"/>
  <c r="AH273" i="1"/>
  <c r="CE273" i="1"/>
  <c r="EB273" i="1"/>
  <c r="AC273" i="1"/>
  <c r="BZ273" i="1"/>
  <c r="DW273" i="1"/>
  <c r="AB273" i="1"/>
  <c r="BY273" i="1"/>
  <c r="DV273" i="1"/>
  <c r="W273" i="1"/>
  <c r="BT273" i="1"/>
  <c r="DQ273" i="1"/>
  <c r="V273" i="1"/>
  <c r="BS273" i="1"/>
  <c r="DP273" i="1"/>
  <c r="Q273" i="1"/>
  <c r="BN273" i="1"/>
  <c r="DK273" i="1"/>
  <c r="P273" i="1"/>
  <c r="BM273" i="1"/>
  <c r="DJ273" i="1"/>
  <c r="O273" i="1"/>
  <c r="BL273" i="1"/>
  <c r="DI273" i="1"/>
  <c r="N273" i="1"/>
  <c r="BK273" i="1"/>
  <c r="DH273" i="1"/>
  <c r="M273" i="1"/>
  <c r="BJ273" i="1"/>
  <c r="DG273" i="1"/>
  <c r="L273" i="1"/>
  <c r="BI273" i="1"/>
  <c r="DF273" i="1"/>
  <c r="K273" i="1"/>
  <c r="BH273" i="1"/>
  <c r="DE273" i="1"/>
  <c r="J273" i="1"/>
  <c r="BG273" i="1"/>
  <c r="DD273" i="1"/>
  <c r="I273" i="1"/>
  <c r="BF273" i="1"/>
  <c r="DC273" i="1"/>
  <c r="H273" i="1"/>
  <c r="BE273" i="1"/>
  <c r="DB273" i="1"/>
  <c r="G273" i="1"/>
  <c r="BD273" i="1"/>
  <c r="DA273" i="1"/>
  <c r="CZ273" i="1"/>
  <c r="CY273" i="1"/>
  <c r="CX273" i="1"/>
  <c r="CW273" i="1"/>
  <c r="CV273" i="1"/>
  <c r="CU273" i="1"/>
  <c r="CT273" i="1"/>
  <c r="CS273" i="1"/>
  <c r="CR273" i="1"/>
  <c r="CQ273" i="1"/>
  <c r="BC273" i="1"/>
  <c r="BB273" i="1"/>
  <c r="BA273" i="1"/>
  <c r="AZ273" i="1"/>
  <c r="AY273" i="1"/>
  <c r="AX273" i="1"/>
  <c r="AW273" i="1"/>
  <c r="AV273" i="1"/>
  <c r="AU273" i="1"/>
  <c r="AT273" i="1"/>
  <c r="AO272" i="1"/>
  <c r="CL272" i="1"/>
  <c r="EI272" i="1"/>
  <c r="AN272" i="1"/>
  <c r="CK272" i="1"/>
  <c r="EH272" i="1"/>
  <c r="AI272" i="1"/>
  <c r="CF272" i="1"/>
  <c r="EC272" i="1"/>
  <c r="AH272" i="1"/>
  <c r="CE272" i="1"/>
  <c r="EB272" i="1"/>
  <c r="AC272" i="1"/>
  <c r="BZ272" i="1"/>
  <c r="DW272" i="1"/>
  <c r="AB272" i="1"/>
  <c r="BY272" i="1"/>
  <c r="DV272" i="1"/>
  <c r="W272" i="1"/>
  <c r="BT272" i="1"/>
  <c r="DQ272" i="1"/>
  <c r="V272" i="1"/>
  <c r="BS272" i="1"/>
  <c r="DP272" i="1"/>
  <c r="Q272" i="1"/>
  <c r="BN272" i="1"/>
  <c r="DK272" i="1"/>
  <c r="P272" i="1"/>
  <c r="BM272" i="1"/>
  <c r="DJ272" i="1"/>
  <c r="O272" i="1"/>
  <c r="BL272" i="1"/>
  <c r="DI272" i="1"/>
  <c r="N272" i="1"/>
  <c r="BK272" i="1"/>
  <c r="DH272" i="1"/>
  <c r="M272" i="1"/>
  <c r="BJ272" i="1"/>
  <c r="DG272" i="1"/>
  <c r="L272" i="1"/>
  <c r="BI272" i="1"/>
  <c r="DF272" i="1"/>
  <c r="K272" i="1"/>
  <c r="BH272" i="1"/>
  <c r="DE272" i="1"/>
  <c r="J272" i="1"/>
  <c r="BG272" i="1"/>
  <c r="DD272" i="1"/>
  <c r="I272" i="1"/>
  <c r="BF272" i="1"/>
  <c r="DC272" i="1"/>
  <c r="H272" i="1"/>
  <c r="BE272" i="1"/>
  <c r="DB272" i="1"/>
  <c r="G272" i="1"/>
  <c r="BD272" i="1"/>
  <c r="DA272" i="1"/>
  <c r="CZ272" i="1"/>
  <c r="CY272" i="1"/>
  <c r="CX272" i="1"/>
  <c r="CW272" i="1"/>
  <c r="CV272" i="1"/>
  <c r="CU272" i="1"/>
  <c r="CT272" i="1"/>
  <c r="CS272" i="1"/>
  <c r="CR272" i="1"/>
  <c r="CQ272" i="1"/>
  <c r="BC272" i="1"/>
  <c r="BB272" i="1"/>
  <c r="BA272" i="1"/>
  <c r="AZ272" i="1"/>
  <c r="AY272" i="1"/>
  <c r="AX272" i="1"/>
  <c r="AW272" i="1"/>
  <c r="AV272" i="1"/>
  <c r="AU272" i="1"/>
  <c r="AT272" i="1"/>
  <c r="AO271" i="1"/>
  <c r="CL271" i="1"/>
  <c r="EI271" i="1"/>
  <c r="AN271" i="1"/>
  <c r="CK271" i="1"/>
  <c r="EH271" i="1"/>
  <c r="AI271" i="1"/>
  <c r="CF271" i="1"/>
  <c r="EC271" i="1"/>
  <c r="AH271" i="1"/>
  <c r="CE271" i="1"/>
  <c r="EB271" i="1"/>
  <c r="AC271" i="1"/>
  <c r="BZ271" i="1"/>
  <c r="DW271" i="1"/>
  <c r="AB271" i="1"/>
  <c r="BY271" i="1"/>
  <c r="DV271" i="1"/>
  <c r="W271" i="1"/>
  <c r="BT271" i="1"/>
  <c r="DQ271" i="1"/>
  <c r="V271" i="1"/>
  <c r="BS271" i="1"/>
  <c r="DP271" i="1"/>
  <c r="Q271" i="1"/>
  <c r="BN271" i="1"/>
  <c r="DK271" i="1"/>
  <c r="P271" i="1"/>
  <c r="BM271" i="1"/>
  <c r="DJ271" i="1"/>
  <c r="O271" i="1"/>
  <c r="BL271" i="1"/>
  <c r="DI271" i="1"/>
  <c r="N271" i="1"/>
  <c r="BK271" i="1"/>
  <c r="DH271" i="1"/>
  <c r="M271" i="1"/>
  <c r="BJ271" i="1"/>
  <c r="DG271" i="1"/>
  <c r="L271" i="1"/>
  <c r="BI271" i="1"/>
  <c r="DF271" i="1"/>
  <c r="K271" i="1"/>
  <c r="BH271" i="1"/>
  <c r="DE271" i="1"/>
  <c r="J271" i="1"/>
  <c r="BG271" i="1"/>
  <c r="DD271" i="1"/>
  <c r="I271" i="1"/>
  <c r="BF271" i="1"/>
  <c r="DC271" i="1"/>
  <c r="H271" i="1"/>
  <c r="BE271" i="1"/>
  <c r="DB271" i="1"/>
  <c r="G271" i="1"/>
  <c r="BD271" i="1"/>
  <c r="DA271" i="1"/>
  <c r="CZ271" i="1"/>
  <c r="CY271" i="1"/>
  <c r="CX271" i="1"/>
  <c r="CW271" i="1"/>
  <c r="CV271" i="1"/>
  <c r="CU271" i="1"/>
  <c r="CT271" i="1"/>
  <c r="CS271" i="1"/>
  <c r="CR271" i="1"/>
  <c r="CQ271" i="1"/>
  <c r="BC271" i="1"/>
  <c r="BB271" i="1"/>
  <c r="BA271" i="1"/>
  <c r="AZ271" i="1"/>
  <c r="AY271" i="1"/>
  <c r="AX271" i="1"/>
  <c r="AW271" i="1"/>
  <c r="AV271" i="1"/>
  <c r="AU271" i="1"/>
  <c r="AT271" i="1"/>
  <c r="AO270" i="1"/>
  <c r="CL270" i="1"/>
  <c r="EI270" i="1"/>
  <c r="AN270" i="1"/>
  <c r="CK270" i="1"/>
  <c r="EH270" i="1"/>
  <c r="AI270" i="1"/>
  <c r="CF270" i="1"/>
  <c r="EC270" i="1"/>
  <c r="AH270" i="1"/>
  <c r="CE270" i="1"/>
  <c r="EB270" i="1"/>
  <c r="AC270" i="1"/>
  <c r="BZ270" i="1"/>
  <c r="DW270" i="1"/>
  <c r="AB270" i="1"/>
  <c r="BY270" i="1"/>
  <c r="DV270" i="1"/>
  <c r="W270" i="1"/>
  <c r="BT270" i="1"/>
  <c r="DQ270" i="1"/>
  <c r="V270" i="1"/>
  <c r="BS270" i="1"/>
  <c r="DP270" i="1"/>
  <c r="Q270" i="1"/>
  <c r="BN270" i="1"/>
  <c r="DK270" i="1"/>
  <c r="P270" i="1"/>
  <c r="BM270" i="1"/>
  <c r="DJ270" i="1"/>
  <c r="O270" i="1"/>
  <c r="BL270" i="1"/>
  <c r="DI270" i="1"/>
  <c r="N270" i="1"/>
  <c r="BK270" i="1"/>
  <c r="DH270" i="1"/>
  <c r="M270" i="1"/>
  <c r="BJ270" i="1"/>
  <c r="DG270" i="1"/>
  <c r="L270" i="1"/>
  <c r="BI270" i="1"/>
  <c r="DF270" i="1"/>
  <c r="K270" i="1"/>
  <c r="BH270" i="1"/>
  <c r="DE270" i="1"/>
  <c r="J270" i="1"/>
  <c r="BG270" i="1"/>
  <c r="DD270" i="1"/>
  <c r="I270" i="1"/>
  <c r="BF270" i="1"/>
  <c r="DC270" i="1"/>
  <c r="H270" i="1"/>
  <c r="BE270" i="1"/>
  <c r="DB270" i="1"/>
  <c r="G270" i="1"/>
  <c r="BD270" i="1"/>
  <c r="DA270" i="1"/>
  <c r="CZ270" i="1"/>
  <c r="CY270" i="1"/>
  <c r="CX270" i="1"/>
  <c r="CW270" i="1"/>
  <c r="CV270" i="1"/>
  <c r="CU270" i="1"/>
  <c r="CT270" i="1"/>
  <c r="CS270" i="1"/>
  <c r="CR270" i="1"/>
  <c r="CQ270" i="1"/>
  <c r="BC270" i="1"/>
  <c r="BB270" i="1"/>
  <c r="BA270" i="1"/>
  <c r="AZ270" i="1"/>
  <c r="AY270" i="1"/>
  <c r="AX270" i="1"/>
  <c r="AW270" i="1"/>
  <c r="AV270" i="1"/>
  <c r="AU270" i="1"/>
  <c r="AT270" i="1"/>
  <c r="AO269" i="1"/>
  <c r="CL269" i="1"/>
  <c r="EI269" i="1"/>
  <c r="AN269" i="1"/>
  <c r="CK269" i="1"/>
  <c r="EH269" i="1"/>
  <c r="AI269" i="1"/>
  <c r="CF269" i="1"/>
  <c r="EC269" i="1"/>
  <c r="AH269" i="1"/>
  <c r="CE269" i="1"/>
  <c r="EB269" i="1"/>
  <c r="AC269" i="1"/>
  <c r="BZ269" i="1"/>
  <c r="DW269" i="1"/>
  <c r="AB269" i="1"/>
  <c r="BY269" i="1"/>
  <c r="DV269" i="1"/>
  <c r="W269" i="1"/>
  <c r="BT269" i="1"/>
  <c r="DQ269" i="1"/>
  <c r="V269" i="1"/>
  <c r="BS269" i="1"/>
  <c r="DP269" i="1"/>
  <c r="Q269" i="1"/>
  <c r="BN269" i="1"/>
  <c r="DK269" i="1"/>
  <c r="P269" i="1"/>
  <c r="BM269" i="1"/>
  <c r="DJ269" i="1"/>
  <c r="O269" i="1"/>
  <c r="BL269" i="1"/>
  <c r="DI269" i="1"/>
  <c r="N269" i="1"/>
  <c r="BK269" i="1"/>
  <c r="DH269" i="1"/>
  <c r="M269" i="1"/>
  <c r="BJ269" i="1"/>
  <c r="DG269" i="1"/>
  <c r="L269" i="1"/>
  <c r="BI269" i="1"/>
  <c r="DF269" i="1"/>
  <c r="K269" i="1"/>
  <c r="BH269" i="1"/>
  <c r="DE269" i="1"/>
  <c r="J269" i="1"/>
  <c r="BG269" i="1"/>
  <c r="DD269" i="1"/>
  <c r="I269" i="1"/>
  <c r="BF269" i="1"/>
  <c r="DC269" i="1"/>
  <c r="H269" i="1"/>
  <c r="BE269" i="1"/>
  <c r="DB269" i="1"/>
  <c r="G269" i="1"/>
  <c r="BD269" i="1"/>
  <c r="DA269" i="1"/>
  <c r="CZ269" i="1"/>
  <c r="CY269" i="1"/>
  <c r="CX269" i="1"/>
  <c r="CW269" i="1"/>
  <c r="CV269" i="1"/>
  <c r="CU269" i="1"/>
  <c r="CT269" i="1"/>
  <c r="CS269" i="1"/>
  <c r="CR269" i="1"/>
  <c r="CQ269" i="1"/>
  <c r="BC269" i="1"/>
  <c r="BB269" i="1"/>
  <c r="BA269" i="1"/>
  <c r="AZ269" i="1"/>
  <c r="AY269" i="1"/>
  <c r="AX269" i="1"/>
  <c r="AW269" i="1"/>
  <c r="AV269" i="1"/>
  <c r="AU269" i="1"/>
  <c r="AT269" i="1"/>
  <c r="AO268" i="1"/>
  <c r="CL268" i="1"/>
  <c r="EI268" i="1"/>
  <c r="AN268" i="1"/>
  <c r="CK268" i="1"/>
  <c r="EH268" i="1"/>
  <c r="AI268" i="1"/>
  <c r="CF268" i="1"/>
  <c r="EC268" i="1"/>
  <c r="AH268" i="1"/>
  <c r="CE268" i="1"/>
  <c r="EB268" i="1"/>
  <c r="AC268" i="1"/>
  <c r="BZ268" i="1"/>
  <c r="DW268" i="1"/>
  <c r="AB268" i="1"/>
  <c r="BY268" i="1"/>
  <c r="DV268" i="1"/>
  <c r="W268" i="1"/>
  <c r="BT268" i="1"/>
  <c r="DQ268" i="1"/>
  <c r="V268" i="1"/>
  <c r="BS268" i="1"/>
  <c r="DP268" i="1"/>
  <c r="Q268" i="1"/>
  <c r="BN268" i="1"/>
  <c r="DK268" i="1"/>
  <c r="P268" i="1"/>
  <c r="BM268" i="1"/>
  <c r="DJ268" i="1"/>
  <c r="O268" i="1"/>
  <c r="BL268" i="1"/>
  <c r="DI268" i="1"/>
  <c r="N268" i="1"/>
  <c r="BK268" i="1"/>
  <c r="DH268" i="1"/>
  <c r="M268" i="1"/>
  <c r="BJ268" i="1"/>
  <c r="DG268" i="1"/>
  <c r="L268" i="1"/>
  <c r="BI268" i="1"/>
  <c r="DF268" i="1"/>
  <c r="K268" i="1"/>
  <c r="BH268" i="1"/>
  <c r="DE268" i="1"/>
  <c r="J268" i="1"/>
  <c r="BG268" i="1"/>
  <c r="DD268" i="1"/>
  <c r="I268" i="1"/>
  <c r="BF268" i="1"/>
  <c r="DC268" i="1"/>
  <c r="H268" i="1"/>
  <c r="BE268" i="1"/>
  <c r="DB268" i="1"/>
  <c r="G268" i="1"/>
  <c r="BD268" i="1"/>
  <c r="DA268" i="1"/>
  <c r="CZ268" i="1"/>
  <c r="CY268" i="1"/>
  <c r="CX268" i="1"/>
  <c r="CW268" i="1"/>
  <c r="CV268" i="1"/>
  <c r="CU268" i="1"/>
  <c r="CT268" i="1"/>
  <c r="CS268" i="1"/>
  <c r="CR268" i="1"/>
  <c r="CQ268" i="1"/>
  <c r="BC268" i="1"/>
  <c r="BB268" i="1"/>
  <c r="BA268" i="1"/>
  <c r="AZ268" i="1"/>
  <c r="AY268" i="1"/>
  <c r="AX268" i="1"/>
  <c r="AW268" i="1"/>
  <c r="AV268" i="1"/>
  <c r="AU268" i="1"/>
  <c r="AT268" i="1"/>
  <c r="AO267" i="1"/>
  <c r="CL267" i="1"/>
  <c r="EI267" i="1"/>
  <c r="AN267" i="1"/>
  <c r="CK267" i="1"/>
  <c r="EH267" i="1"/>
  <c r="AI267" i="1"/>
  <c r="CF267" i="1"/>
  <c r="EC267" i="1"/>
  <c r="AH267" i="1"/>
  <c r="CE267" i="1"/>
  <c r="EB267" i="1"/>
  <c r="AC267" i="1"/>
  <c r="BZ267" i="1"/>
  <c r="DW267" i="1"/>
  <c r="AB267" i="1"/>
  <c r="BY267" i="1"/>
  <c r="DV267" i="1"/>
  <c r="W267" i="1"/>
  <c r="BT267" i="1"/>
  <c r="DQ267" i="1"/>
  <c r="V267" i="1"/>
  <c r="BS267" i="1"/>
  <c r="DP267" i="1"/>
  <c r="Q267" i="1"/>
  <c r="BN267" i="1"/>
  <c r="DK267" i="1"/>
  <c r="P267" i="1"/>
  <c r="BM267" i="1"/>
  <c r="DJ267" i="1"/>
  <c r="O267" i="1"/>
  <c r="BL267" i="1"/>
  <c r="DI267" i="1"/>
  <c r="N267" i="1"/>
  <c r="BK267" i="1"/>
  <c r="DH267" i="1"/>
  <c r="M267" i="1"/>
  <c r="BJ267" i="1"/>
  <c r="DG267" i="1"/>
  <c r="L267" i="1"/>
  <c r="BI267" i="1"/>
  <c r="DF267" i="1"/>
  <c r="K267" i="1"/>
  <c r="BH267" i="1"/>
  <c r="DE267" i="1"/>
  <c r="J267" i="1"/>
  <c r="BG267" i="1"/>
  <c r="DD267" i="1"/>
  <c r="I267" i="1"/>
  <c r="BF267" i="1"/>
  <c r="DC267" i="1"/>
  <c r="H267" i="1"/>
  <c r="BE267" i="1"/>
  <c r="DB267" i="1"/>
  <c r="G267" i="1"/>
  <c r="BD267" i="1"/>
  <c r="DA267" i="1"/>
  <c r="CZ267" i="1"/>
  <c r="CY267" i="1"/>
  <c r="CX267" i="1"/>
  <c r="CW267" i="1"/>
  <c r="CV267" i="1"/>
  <c r="CU267" i="1"/>
  <c r="CT267" i="1"/>
  <c r="CS267" i="1"/>
  <c r="CR267" i="1"/>
  <c r="CQ267" i="1"/>
  <c r="BC267" i="1"/>
  <c r="BB267" i="1"/>
  <c r="BA267" i="1"/>
  <c r="AZ267" i="1"/>
  <c r="AY267" i="1"/>
  <c r="AX267" i="1"/>
  <c r="AW267" i="1"/>
  <c r="AV267" i="1"/>
  <c r="AU267" i="1"/>
  <c r="AT267" i="1"/>
  <c r="AO266" i="1"/>
  <c r="CL266" i="1"/>
  <c r="EI266" i="1"/>
  <c r="AN266" i="1"/>
  <c r="CK266" i="1"/>
  <c r="EH266" i="1"/>
  <c r="AI266" i="1"/>
  <c r="CF266" i="1"/>
  <c r="EC266" i="1"/>
  <c r="AH266" i="1"/>
  <c r="CE266" i="1"/>
  <c r="EB266" i="1"/>
  <c r="AC266" i="1"/>
  <c r="BZ266" i="1"/>
  <c r="DW266" i="1"/>
  <c r="AB266" i="1"/>
  <c r="BY266" i="1"/>
  <c r="DV266" i="1"/>
  <c r="W266" i="1"/>
  <c r="BT266" i="1"/>
  <c r="DQ266" i="1"/>
  <c r="V266" i="1"/>
  <c r="BS266" i="1"/>
  <c r="DP266" i="1"/>
  <c r="Q266" i="1"/>
  <c r="BN266" i="1"/>
  <c r="DK266" i="1"/>
  <c r="P266" i="1"/>
  <c r="BM266" i="1"/>
  <c r="DJ266" i="1"/>
  <c r="O266" i="1"/>
  <c r="BL266" i="1"/>
  <c r="DI266" i="1"/>
  <c r="N266" i="1"/>
  <c r="BK266" i="1"/>
  <c r="DH266" i="1"/>
  <c r="M266" i="1"/>
  <c r="BJ266" i="1"/>
  <c r="DG266" i="1"/>
  <c r="L266" i="1"/>
  <c r="BI266" i="1"/>
  <c r="DF266" i="1"/>
  <c r="K266" i="1"/>
  <c r="BH266" i="1"/>
  <c r="DE266" i="1"/>
  <c r="J266" i="1"/>
  <c r="BG266" i="1"/>
  <c r="DD266" i="1"/>
  <c r="I266" i="1"/>
  <c r="BF266" i="1"/>
  <c r="DC266" i="1"/>
  <c r="H266" i="1"/>
  <c r="BE266" i="1"/>
  <c r="DB266" i="1"/>
  <c r="G266" i="1"/>
  <c r="BD266" i="1"/>
  <c r="DA266" i="1"/>
  <c r="CZ266" i="1"/>
  <c r="CY266" i="1"/>
  <c r="CX266" i="1"/>
  <c r="CW266" i="1"/>
  <c r="CV266" i="1"/>
  <c r="CU266" i="1"/>
  <c r="CT266" i="1"/>
  <c r="CS266" i="1"/>
  <c r="CR266" i="1"/>
  <c r="CQ266" i="1"/>
  <c r="BC266" i="1"/>
  <c r="BB266" i="1"/>
  <c r="BA266" i="1"/>
  <c r="AZ266" i="1"/>
  <c r="AY266" i="1"/>
  <c r="AX266" i="1"/>
  <c r="AW266" i="1"/>
  <c r="AV266" i="1"/>
  <c r="AU266" i="1"/>
  <c r="AT266" i="1"/>
  <c r="AO265" i="1"/>
  <c r="CL265" i="1"/>
  <c r="EI265" i="1"/>
  <c r="AN265" i="1"/>
  <c r="CK265" i="1"/>
  <c r="EH265" i="1"/>
  <c r="AI265" i="1"/>
  <c r="CF265" i="1"/>
  <c r="EC265" i="1"/>
  <c r="AH265" i="1"/>
  <c r="CE265" i="1"/>
  <c r="EB265" i="1"/>
  <c r="AC265" i="1"/>
  <c r="BZ265" i="1"/>
  <c r="DW265" i="1"/>
  <c r="AB265" i="1"/>
  <c r="BY265" i="1"/>
  <c r="DV265" i="1"/>
  <c r="W265" i="1"/>
  <c r="BT265" i="1"/>
  <c r="DQ265" i="1"/>
  <c r="V265" i="1"/>
  <c r="BS265" i="1"/>
  <c r="DP265" i="1"/>
  <c r="Q265" i="1"/>
  <c r="BN265" i="1"/>
  <c r="DK265" i="1"/>
  <c r="P265" i="1"/>
  <c r="BM265" i="1"/>
  <c r="DJ265" i="1"/>
  <c r="O265" i="1"/>
  <c r="BL265" i="1"/>
  <c r="DI265" i="1"/>
  <c r="N265" i="1"/>
  <c r="BK265" i="1"/>
  <c r="DH265" i="1"/>
  <c r="M265" i="1"/>
  <c r="BJ265" i="1"/>
  <c r="DG265" i="1"/>
  <c r="L265" i="1"/>
  <c r="BI265" i="1"/>
  <c r="DF265" i="1"/>
  <c r="K265" i="1"/>
  <c r="BH265" i="1"/>
  <c r="DE265" i="1"/>
  <c r="J265" i="1"/>
  <c r="BG265" i="1"/>
  <c r="DD265" i="1"/>
  <c r="I265" i="1"/>
  <c r="BF265" i="1"/>
  <c r="DC265" i="1"/>
  <c r="H265" i="1"/>
  <c r="BE265" i="1"/>
  <c r="DB265" i="1"/>
  <c r="G265" i="1"/>
  <c r="BD265" i="1"/>
  <c r="DA265" i="1"/>
  <c r="CZ265" i="1"/>
  <c r="CY265" i="1"/>
  <c r="CX265" i="1"/>
  <c r="CW265" i="1"/>
  <c r="CV265" i="1"/>
  <c r="CU265" i="1"/>
  <c r="CT265" i="1"/>
  <c r="CS265" i="1"/>
  <c r="CR265" i="1"/>
  <c r="CQ265" i="1"/>
  <c r="BC265" i="1"/>
  <c r="BB265" i="1"/>
  <c r="BA265" i="1"/>
  <c r="AZ265" i="1"/>
  <c r="AY265" i="1"/>
  <c r="AX265" i="1"/>
  <c r="AW265" i="1"/>
  <c r="AV265" i="1"/>
  <c r="AU265" i="1"/>
  <c r="AT265" i="1"/>
  <c r="AO264" i="1"/>
  <c r="CL264" i="1"/>
  <c r="EI264" i="1"/>
  <c r="AN264" i="1"/>
  <c r="CK264" i="1"/>
  <c r="EH264" i="1"/>
  <c r="AI264" i="1"/>
  <c r="CF264" i="1"/>
  <c r="EC264" i="1"/>
  <c r="AH264" i="1"/>
  <c r="CE264" i="1"/>
  <c r="EB264" i="1"/>
  <c r="AC264" i="1"/>
  <c r="BZ264" i="1"/>
  <c r="DW264" i="1"/>
  <c r="AB264" i="1"/>
  <c r="BY264" i="1"/>
  <c r="DV264" i="1"/>
  <c r="W264" i="1"/>
  <c r="BT264" i="1"/>
  <c r="DQ264" i="1"/>
  <c r="V264" i="1"/>
  <c r="BS264" i="1"/>
  <c r="DP264" i="1"/>
  <c r="Q264" i="1"/>
  <c r="BN264" i="1"/>
  <c r="DK264" i="1"/>
  <c r="P264" i="1"/>
  <c r="BM264" i="1"/>
  <c r="DJ264" i="1"/>
  <c r="O264" i="1"/>
  <c r="BL264" i="1"/>
  <c r="DI264" i="1"/>
  <c r="N264" i="1"/>
  <c r="BK264" i="1"/>
  <c r="DH264" i="1"/>
  <c r="M264" i="1"/>
  <c r="BJ264" i="1"/>
  <c r="DG264" i="1"/>
  <c r="L264" i="1"/>
  <c r="BI264" i="1"/>
  <c r="DF264" i="1"/>
  <c r="K264" i="1"/>
  <c r="BH264" i="1"/>
  <c r="DE264" i="1"/>
  <c r="J264" i="1"/>
  <c r="BG264" i="1"/>
  <c r="DD264" i="1"/>
  <c r="I264" i="1"/>
  <c r="BF264" i="1"/>
  <c r="DC264" i="1"/>
  <c r="H264" i="1"/>
  <c r="BE264" i="1"/>
  <c r="DB264" i="1"/>
  <c r="G264" i="1"/>
  <c r="BD264" i="1"/>
  <c r="DA264" i="1"/>
  <c r="CZ264" i="1"/>
  <c r="CY264" i="1"/>
  <c r="CX264" i="1"/>
  <c r="CW264" i="1"/>
  <c r="CV264" i="1"/>
  <c r="CU264" i="1"/>
  <c r="CT264" i="1"/>
  <c r="CS264" i="1"/>
  <c r="CR264" i="1"/>
  <c r="CQ264" i="1"/>
  <c r="BC264" i="1"/>
  <c r="BB264" i="1"/>
  <c r="BA264" i="1"/>
  <c r="AZ264" i="1"/>
  <c r="AY264" i="1"/>
  <c r="AX264" i="1"/>
  <c r="AW264" i="1"/>
  <c r="AV264" i="1"/>
  <c r="AU264" i="1"/>
  <c r="AT264" i="1"/>
  <c r="AO263" i="1"/>
  <c r="CL263" i="1"/>
  <c r="EI263" i="1"/>
  <c r="AN263" i="1"/>
  <c r="CK263" i="1"/>
  <c r="EH263" i="1"/>
  <c r="AI263" i="1"/>
  <c r="CF263" i="1"/>
  <c r="EC263" i="1"/>
  <c r="AH263" i="1"/>
  <c r="CE263" i="1"/>
  <c r="EB263" i="1"/>
  <c r="AC263" i="1"/>
  <c r="BZ263" i="1"/>
  <c r="DW263" i="1"/>
  <c r="AB263" i="1"/>
  <c r="BY263" i="1"/>
  <c r="DV263" i="1"/>
  <c r="W263" i="1"/>
  <c r="BT263" i="1"/>
  <c r="DQ263" i="1"/>
  <c r="V263" i="1"/>
  <c r="BS263" i="1"/>
  <c r="DP263" i="1"/>
  <c r="Q263" i="1"/>
  <c r="BN263" i="1"/>
  <c r="DK263" i="1"/>
  <c r="P263" i="1"/>
  <c r="BM263" i="1"/>
  <c r="DJ263" i="1"/>
  <c r="O263" i="1"/>
  <c r="BL263" i="1"/>
  <c r="DI263" i="1"/>
  <c r="N263" i="1"/>
  <c r="BK263" i="1"/>
  <c r="DH263" i="1"/>
  <c r="M263" i="1"/>
  <c r="BJ263" i="1"/>
  <c r="DG263" i="1"/>
  <c r="L263" i="1"/>
  <c r="BI263" i="1"/>
  <c r="DF263" i="1"/>
  <c r="K263" i="1"/>
  <c r="BH263" i="1"/>
  <c r="DE263" i="1"/>
  <c r="J263" i="1"/>
  <c r="BG263" i="1"/>
  <c r="DD263" i="1"/>
  <c r="I263" i="1"/>
  <c r="BF263" i="1"/>
  <c r="DC263" i="1"/>
  <c r="H263" i="1"/>
  <c r="BE263" i="1"/>
  <c r="DB263" i="1"/>
  <c r="G263" i="1"/>
  <c r="BD263" i="1"/>
  <c r="DA263" i="1"/>
  <c r="CZ263" i="1"/>
  <c r="CY263" i="1"/>
  <c r="CX263" i="1"/>
  <c r="CW263" i="1"/>
  <c r="CV263" i="1"/>
  <c r="CU263" i="1"/>
  <c r="CT263" i="1"/>
  <c r="CS263" i="1"/>
  <c r="CR263" i="1"/>
  <c r="CQ263" i="1"/>
  <c r="BC263" i="1"/>
  <c r="BB263" i="1"/>
  <c r="BA263" i="1"/>
  <c r="AZ263" i="1"/>
  <c r="AY263" i="1"/>
  <c r="AX263" i="1"/>
  <c r="AW263" i="1"/>
  <c r="AV263" i="1"/>
  <c r="AU263" i="1"/>
  <c r="AT263" i="1"/>
  <c r="AO262" i="1"/>
  <c r="CL262" i="1"/>
  <c r="EI262" i="1"/>
  <c r="AN262" i="1"/>
  <c r="CK262" i="1"/>
  <c r="EH262" i="1"/>
  <c r="AI262" i="1"/>
  <c r="CF262" i="1"/>
  <c r="EC262" i="1"/>
  <c r="AH262" i="1"/>
  <c r="CE262" i="1"/>
  <c r="EB262" i="1"/>
  <c r="AC262" i="1"/>
  <c r="BZ262" i="1"/>
  <c r="DW262" i="1"/>
  <c r="AB262" i="1"/>
  <c r="BY262" i="1"/>
  <c r="DV262" i="1"/>
  <c r="W262" i="1"/>
  <c r="BT262" i="1"/>
  <c r="DQ262" i="1"/>
  <c r="V262" i="1"/>
  <c r="BS262" i="1"/>
  <c r="DP262" i="1"/>
  <c r="Q262" i="1"/>
  <c r="BN262" i="1"/>
  <c r="DK262" i="1"/>
  <c r="P262" i="1"/>
  <c r="BM262" i="1"/>
  <c r="DJ262" i="1"/>
  <c r="O262" i="1"/>
  <c r="BL262" i="1"/>
  <c r="DI262" i="1"/>
  <c r="N262" i="1"/>
  <c r="BK262" i="1"/>
  <c r="DH262" i="1"/>
  <c r="M262" i="1"/>
  <c r="BJ262" i="1"/>
  <c r="DG262" i="1"/>
  <c r="L262" i="1"/>
  <c r="BI262" i="1"/>
  <c r="DF262" i="1"/>
  <c r="K262" i="1"/>
  <c r="BH262" i="1"/>
  <c r="DE262" i="1"/>
  <c r="J262" i="1"/>
  <c r="BG262" i="1"/>
  <c r="DD262" i="1"/>
  <c r="I262" i="1"/>
  <c r="BF262" i="1"/>
  <c r="DC262" i="1"/>
  <c r="H262" i="1"/>
  <c r="BE262" i="1"/>
  <c r="DB262" i="1"/>
  <c r="G262" i="1"/>
  <c r="BD262" i="1"/>
  <c r="DA262" i="1"/>
  <c r="CZ262" i="1"/>
  <c r="CY262" i="1"/>
  <c r="CX262" i="1"/>
  <c r="CW262" i="1"/>
  <c r="CV262" i="1"/>
  <c r="CU262" i="1"/>
  <c r="CT262" i="1"/>
  <c r="CS262" i="1"/>
  <c r="CR262" i="1"/>
  <c r="CQ262" i="1"/>
  <c r="BC262" i="1"/>
  <c r="BB262" i="1"/>
  <c r="BA262" i="1"/>
  <c r="AZ262" i="1"/>
  <c r="AY262" i="1"/>
  <c r="AX262" i="1"/>
  <c r="AW262" i="1"/>
  <c r="AV262" i="1"/>
  <c r="AU262" i="1"/>
  <c r="AT262" i="1"/>
  <c r="AO261" i="1"/>
  <c r="CL261" i="1"/>
  <c r="EI261" i="1"/>
  <c r="AN261" i="1"/>
  <c r="CK261" i="1"/>
  <c r="EH261" i="1"/>
  <c r="AI261" i="1"/>
  <c r="CF261" i="1"/>
  <c r="EC261" i="1"/>
  <c r="AH261" i="1"/>
  <c r="CE261" i="1"/>
  <c r="EB261" i="1"/>
  <c r="AC261" i="1"/>
  <c r="BZ261" i="1"/>
  <c r="DW261" i="1"/>
  <c r="AB261" i="1"/>
  <c r="BY261" i="1"/>
  <c r="DV261" i="1"/>
  <c r="W261" i="1"/>
  <c r="BT261" i="1"/>
  <c r="DQ261" i="1"/>
  <c r="V261" i="1"/>
  <c r="BS261" i="1"/>
  <c r="DP261" i="1"/>
  <c r="Q261" i="1"/>
  <c r="BN261" i="1"/>
  <c r="DK261" i="1"/>
  <c r="P261" i="1"/>
  <c r="BM261" i="1"/>
  <c r="DJ261" i="1"/>
  <c r="O261" i="1"/>
  <c r="BL261" i="1"/>
  <c r="DI261" i="1"/>
  <c r="N261" i="1"/>
  <c r="BK261" i="1"/>
  <c r="DH261" i="1"/>
  <c r="M261" i="1"/>
  <c r="BJ261" i="1"/>
  <c r="DG261" i="1"/>
  <c r="L261" i="1"/>
  <c r="BI261" i="1"/>
  <c r="DF261" i="1"/>
  <c r="K261" i="1"/>
  <c r="BH261" i="1"/>
  <c r="DE261" i="1"/>
  <c r="J261" i="1"/>
  <c r="BG261" i="1"/>
  <c r="DD261" i="1"/>
  <c r="I261" i="1"/>
  <c r="BF261" i="1"/>
  <c r="DC261" i="1"/>
  <c r="H261" i="1"/>
  <c r="BE261" i="1"/>
  <c r="DB261" i="1"/>
  <c r="G261" i="1"/>
  <c r="BD261" i="1"/>
  <c r="DA261" i="1"/>
  <c r="CZ261" i="1"/>
  <c r="CY261" i="1"/>
  <c r="CX261" i="1"/>
  <c r="CW261" i="1"/>
  <c r="CV261" i="1"/>
  <c r="CU261" i="1"/>
  <c r="CT261" i="1"/>
  <c r="CS261" i="1"/>
  <c r="CR261" i="1"/>
  <c r="CQ261" i="1"/>
  <c r="BC261" i="1"/>
  <c r="BB261" i="1"/>
  <c r="BA261" i="1"/>
  <c r="AZ261" i="1"/>
  <c r="AY261" i="1"/>
  <c r="AX261" i="1"/>
  <c r="AW261" i="1"/>
  <c r="AV261" i="1"/>
  <c r="AU261" i="1"/>
  <c r="AT261" i="1"/>
  <c r="AO260" i="1"/>
  <c r="CL260" i="1"/>
  <c r="EI260" i="1"/>
  <c r="AN260" i="1"/>
  <c r="CK260" i="1"/>
  <c r="EH260" i="1"/>
  <c r="AI260" i="1"/>
  <c r="CF260" i="1"/>
  <c r="EC260" i="1"/>
  <c r="AH260" i="1"/>
  <c r="CE260" i="1"/>
  <c r="EB260" i="1"/>
  <c r="AC260" i="1"/>
  <c r="BZ260" i="1"/>
  <c r="DW260" i="1"/>
  <c r="AB260" i="1"/>
  <c r="BY260" i="1"/>
  <c r="DV260" i="1"/>
  <c r="W260" i="1"/>
  <c r="BT260" i="1"/>
  <c r="DQ260" i="1"/>
  <c r="V260" i="1"/>
  <c r="BS260" i="1"/>
  <c r="DP260" i="1"/>
  <c r="Q260" i="1"/>
  <c r="BN260" i="1"/>
  <c r="DK260" i="1"/>
  <c r="P260" i="1"/>
  <c r="BM260" i="1"/>
  <c r="DJ260" i="1"/>
  <c r="O260" i="1"/>
  <c r="BL260" i="1"/>
  <c r="DI260" i="1"/>
  <c r="N260" i="1"/>
  <c r="BK260" i="1"/>
  <c r="DH260" i="1"/>
  <c r="M260" i="1"/>
  <c r="BJ260" i="1"/>
  <c r="DG260" i="1"/>
  <c r="L260" i="1"/>
  <c r="BI260" i="1"/>
  <c r="DF260" i="1"/>
  <c r="K260" i="1"/>
  <c r="BH260" i="1"/>
  <c r="DE260" i="1"/>
  <c r="J260" i="1"/>
  <c r="BG260" i="1"/>
  <c r="DD260" i="1"/>
  <c r="I260" i="1"/>
  <c r="BF260" i="1"/>
  <c r="DC260" i="1"/>
  <c r="H260" i="1"/>
  <c r="BE260" i="1"/>
  <c r="DB260" i="1"/>
  <c r="G260" i="1"/>
  <c r="BD260" i="1"/>
  <c r="DA260" i="1"/>
  <c r="CZ260" i="1"/>
  <c r="CY260" i="1"/>
  <c r="CX260" i="1"/>
  <c r="CW260" i="1"/>
  <c r="CV260" i="1"/>
  <c r="CU260" i="1"/>
  <c r="CT260" i="1"/>
  <c r="CS260" i="1"/>
  <c r="CR260" i="1"/>
  <c r="CQ260" i="1"/>
  <c r="BC260" i="1"/>
  <c r="BB260" i="1"/>
  <c r="BA260" i="1"/>
  <c r="AZ260" i="1"/>
  <c r="AY260" i="1"/>
  <c r="AX260" i="1"/>
  <c r="AW260" i="1"/>
  <c r="AV260" i="1"/>
  <c r="AU260" i="1"/>
  <c r="AT260" i="1"/>
  <c r="AO259" i="1"/>
  <c r="CL259" i="1"/>
  <c r="EI259" i="1"/>
  <c r="AN259" i="1"/>
  <c r="CK259" i="1"/>
  <c r="EH259" i="1"/>
  <c r="AI259" i="1"/>
  <c r="CF259" i="1"/>
  <c r="EC259" i="1"/>
  <c r="AH259" i="1"/>
  <c r="CE259" i="1"/>
  <c r="EB259" i="1"/>
  <c r="AC259" i="1"/>
  <c r="BZ259" i="1"/>
  <c r="DW259" i="1"/>
  <c r="AB259" i="1"/>
  <c r="BY259" i="1"/>
  <c r="DV259" i="1"/>
  <c r="W259" i="1"/>
  <c r="BT259" i="1"/>
  <c r="DQ259" i="1"/>
  <c r="V259" i="1"/>
  <c r="BS259" i="1"/>
  <c r="DP259" i="1"/>
  <c r="Q259" i="1"/>
  <c r="BN259" i="1"/>
  <c r="DK259" i="1"/>
  <c r="P259" i="1"/>
  <c r="BM259" i="1"/>
  <c r="DJ259" i="1"/>
  <c r="O259" i="1"/>
  <c r="BL259" i="1"/>
  <c r="DI259" i="1"/>
  <c r="N259" i="1"/>
  <c r="BK259" i="1"/>
  <c r="DH259" i="1"/>
  <c r="M259" i="1"/>
  <c r="BJ259" i="1"/>
  <c r="DG259" i="1"/>
  <c r="L259" i="1"/>
  <c r="BI259" i="1"/>
  <c r="DF259" i="1"/>
  <c r="K259" i="1"/>
  <c r="BH259" i="1"/>
  <c r="DE259" i="1"/>
  <c r="J259" i="1"/>
  <c r="BG259" i="1"/>
  <c r="DD259" i="1"/>
  <c r="I259" i="1"/>
  <c r="BF259" i="1"/>
  <c r="DC259" i="1"/>
  <c r="H259" i="1"/>
  <c r="BE259" i="1"/>
  <c r="DB259" i="1"/>
  <c r="G259" i="1"/>
  <c r="BD259" i="1"/>
  <c r="DA259" i="1"/>
  <c r="CZ259" i="1"/>
  <c r="CY259" i="1"/>
  <c r="CX259" i="1"/>
  <c r="CW259" i="1"/>
  <c r="CV259" i="1"/>
  <c r="CU259" i="1"/>
  <c r="CT259" i="1"/>
  <c r="CS259" i="1"/>
  <c r="CR259" i="1"/>
  <c r="CQ259" i="1"/>
  <c r="BC259" i="1"/>
  <c r="BB259" i="1"/>
  <c r="BA259" i="1"/>
  <c r="AZ259" i="1"/>
  <c r="AY259" i="1"/>
  <c r="AX259" i="1"/>
  <c r="AW259" i="1"/>
  <c r="AV259" i="1"/>
  <c r="AU259" i="1"/>
  <c r="AT259" i="1"/>
  <c r="AO258" i="1"/>
  <c r="CL258" i="1"/>
  <c r="EI258" i="1"/>
  <c r="AN258" i="1"/>
  <c r="CK258" i="1"/>
  <c r="EH258" i="1"/>
  <c r="AI258" i="1"/>
  <c r="CF258" i="1"/>
  <c r="EC258" i="1"/>
  <c r="AH258" i="1"/>
  <c r="CE258" i="1"/>
  <c r="EB258" i="1"/>
  <c r="AC258" i="1"/>
  <c r="BZ258" i="1"/>
  <c r="DW258" i="1"/>
  <c r="AB258" i="1"/>
  <c r="BY258" i="1"/>
  <c r="DV258" i="1"/>
  <c r="W258" i="1"/>
  <c r="BT258" i="1"/>
  <c r="DQ258" i="1"/>
  <c r="V258" i="1"/>
  <c r="BS258" i="1"/>
  <c r="DP258" i="1"/>
  <c r="Q258" i="1"/>
  <c r="BN258" i="1"/>
  <c r="DK258" i="1"/>
  <c r="P258" i="1"/>
  <c r="BM258" i="1"/>
  <c r="DJ258" i="1"/>
  <c r="O258" i="1"/>
  <c r="BL258" i="1"/>
  <c r="DI258" i="1"/>
  <c r="N258" i="1"/>
  <c r="BK258" i="1"/>
  <c r="DH258" i="1"/>
  <c r="M258" i="1"/>
  <c r="BJ258" i="1"/>
  <c r="DG258" i="1"/>
  <c r="L258" i="1"/>
  <c r="BI258" i="1"/>
  <c r="DF258" i="1"/>
  <c r="K258" i="1"/>
  <c r="BH258" i="1"/>
  <c r="DE258" i="1"/>
  <c r="J258" i="1"/>
  <c r="BG258" i="1"/>
  <c r="DD258" i="1"/>
  <c r="I258" i="1"/>
  <c r="BF258" i="1"/>
  <c r="DC258" i="1"/>
  <c r="H258" i="1"/>
  <c r="BE258" i="1"/>
  <c r="DB258" i="1"/>
  <c r="G258" i="1"/>
  <c r="BD258" i="1"/>
  <c r="DA258" i="1"/>
  <c r="CZ258" i="1"/>
  <c r="CY258" i="1"/>
  <c r="CX258" i="1"/>
  <c r="CW258" i="1"/>
  <c r="CV258" i="1"/>
  <c r="CU258" i="1"/>
  <c r="CT258" i="1"/>
  <c r="CS258" i="1"/>
  <c r="CR258" i="1"/>
  <c r="CQ258" i="1"/>
  <c r="BC258" i="1"/>
  <c r="BB258" i="1"/>
  <c r="BA258" i="1"/>
  <c r="AZ258" i="1"/>
  <c r="AY258" i="1"/>
  <c r="AX258" i="1"/>
  <c r="AW258" i="1"/>
  <c r="AV258" i="1"/>
  <c r="AU258" i="1"/>
  <c r="AT258" i="1"/>
  <c r="AO257" i="1"/>
  <c r="CL257" i="1"/>
  <c r="EI257" i="1"/>
  <c r="AN257" i="1"/>
  <c r="CK257" i="1"/>
  <c r="EH257" i="1"/>
  <c r="AI257" i="1"/>
  <c r="CF257" i="1"/>
  <c r="EC257" i="1"/>
  <c r="AH257" i="1"/>
  <c r="CE257" i="1"/>
  <c r="EB257" i="1"/>
  <c r="AC257" i="1"/>
  <c r="BZ257" i="1"/>
  <c r="DW257" i="1"/>
  <c r="AB257" i="1"/>
  <c r="BY257" i="1"/>
  <c r="DV257" i="1"/>
  <c r="W257" i="1"/>
  <c r="BT257" i="1"/>
  <c r="DQ257" i="1"/>
  <c r="V257" i="1"/>
  <c r="BS257" i="1"/>
  <c r="DP257" i="1"/>
  <c r="Q257" i="1"/>
  <c r="BN257" i="1"/>
  <c r="DK257" i="1"/>
  <c r="P257" i="1"/>
  <c r="BM257" i="1"/>
  <c r="DJ257" i="1"/>
  <c r="O257" i="1"/>
  <c r="BL257" i="1"/>
  <c r="DI257" i="1"/>
  <c r="N257" i="1"/>
  <c r="BK257" i="1"/>
  <c r="DH257" i="1"/>
  <c r="M257" i="1"/>
  <c r="BJ257" i="1"/>
  <c r="DG257" i="1"/>
  <c r="L257" i="1"/>
  <c r="BI257" i="1"/>
  <c r="DF257" i="1"/>
  <c r="K257" i="1"/>
  <c r="BH257" i="1"/>
  <c r="DE257" i="1"/>
  <c r="J257" i="1"/>
  <c r="BG257" i="1"/>
  <c r="DD257" i="1"/>
  <c r="I257" i="1"/>
  <c r="BF257" i="1"/>
  <c r="DC257" i="1"/>
  <c r="H257" i="1"/>
  <c r="BE257" i="1"/>
  <c r="DB257" i="1"/>
  <c r="G257" i="1"/>
  <c r="BD257" i="1"/>
  <c r="DA257" i="1"/>
  <c r="CZ257" i="1"/>
  <c r="CY257" i="1"/>
  <c r="CX257" i="1"/>
  <c r="CW257" i="1"/>
  <c r="CV257" i="1"/>
  <c r="CU257" i="1"/>
  <c r="CT257" i="1"/>
  <c r="CS257" i="1"/>
  <c r="CR257" i="1"/>
  <c r="CQ257" i="1"/>
  <c r="BC257" i="1"/>
  <c r="BB257" i="1"/>
  <c r="BA257" i="1"/>
  <c r="AZ257" i="1"/>
  <c r="AY257" i="1"/>
  <c r="AX257" i="1"/>
  <c r="AW257" i="1"/>
  <c r="AV257" i="1"/>
  <c r="AU257" i="1"/>
  <c r="AT257" i="1"/>
  <c r="AO256" i="1"/>
  <c r="CL256" i="1"/>
  <c r="EI256" i="1"/>
  <c r="AN256" i="1"/>
  <c r="CK256" i="1"/>
  <c r="EH256" i="1"/>
  <c r="AI256" i="1"/>
  <c r="CF256" i="1"/>
  <c r="EC256" i="1"/>
  <c r="AH256" i="1"/>
  <c r="CE256" i="1"/>
  <c r="EB256" i="1"/>
  <c r="AC256" i="1"/>
  <c r="BZ256" i="1"/>
  <c r="DW256" i="1"/>
  <c r="AB256" i="1"/>
  <c r="BY256" i="1"/>
  <c r="DV256" i="1"/>
  <c r="W256" i="1"/>
  <c r="BT256" i="1"/>
  <c r="DQ256" i="1"/>
  <c r="V256" i="1"/>
  <c r="BS256" i="1"/>
  <c r="DP256" i="1"/>
  <c r="Q256" i="1"/>
  <c r="BN256" i="1"/>
  <c r="DK256" i="1"/>
  <c r="P256" i="1"/>
  <c r="BM256" i="1"/>
  <c r="DJ256" i="1"/>
  <c r="O256" i="1"/>
  <c r="BL256" i="1"/>
  <c r="DI256" i="1"/>
  <c r="N256" i="1"/>
  <c r="BK256" i="1"/>
  <c r="DH256" i="1"/>
  <c r="M256" i="1"/>
  <c r="BJ256" i="1"/>
  <c r="DG256" i="1"/>
  <c r="L256" i="1"/>
  <c r="BI256" i="1"/>
  <c r="DF256" i="1"/>
  <c r="K256" i="1"/>
  <c r="BH256" i="1"/>
  <c r="DE256" i="1"/>
  <c r="J256" i="1"/>
  <c r="BG256" i="1"/>
  <c r="DD256" i="1"/>
  <c r="I256" i="1"/>
  <c r="BF256" i="1"/>
  <c r="DC256" i="1"/>
  <c r="H256" i="1"/>
  <c r="BE256" i="1"/>
  <c r="DB256" i="1"/>
  <c r="G256" i="1"/>
  <c r="BD256" i="1"/>
  <c r="DA256" i="1"/>
  <c r="CZ256" i="1"/>
  <c r="CY256" i="1"/>
  <c r="CX256" i="1"/>
  <c r="CW256" i="1"/>
  <c r="CV256" i="1"/>
  <c r="CU256" i="1"/>
  <c r="CT256" i="1"/>
  <c r="CS256" i="1"/>
  <c r="CR256" i="1"/>
  <c r="CQ256" i="1"/>
  <c r="BC256" i="1"/>
  <c r="BB256" i="1"/>
  <c r="BA256" i="1"/>
  <c r="AZ256" i="1"/>
  <c r="AY256" i="1"/>
  <c r="AX256" i="1"/>
  <c r="AW256" i="1"/>
  <c r="AV256" i="1"/>
  <c r="AU256" i="1"/>
  <c r="AT256" i="1"/>
  <c r="AO255" i="1"/>
  <c r="CL255" i="1"/>
  <c r="EI255" i="1"/>
  <c r="AN255" i="1"/>
  <c r="CK255" i="1"/>
  <c r="EH255" i="1"/>
  <c r="AI255" i="1"/>
  <c r="CF255" i="1"/>
  <c r="EC255" i="1"/>
  <c r="AH255" i="1"/>
  <c r="CE255" i="1"/>
  <c r="EB255" i="1"/>
  <c r="AC255" i="1"/>
  <c r="BZ255" i="1"/>
  <c r="DW255" i="1"/>
  <c r="AB255" i="1"/>
  <c r="BY255" i="1"/>
  <c r="DV255" i="1"/>
  <c r="W255" i="1"/>
  <c r="BT255" i="1"/>
  <c r="DQ255" i="1"/>
  <c r="V255" i="1"/>
  <c r="BS255" i="1"/>
  <c r="DP255" i="1"/>
  <c r="Q255" i="1"/>
  <c r="BN255" i="1"/>
  <c r="DK255" i="1"/>
  <c r="P255" i="1"/>
  <c r="BM255" i="1"/>
  <c r="DJ255" i="1"/>
  <c r="O255" i="1"/>
  <c r="BL255" i="1"/>
  <c r="DI255" i="1"/>
  <c r="N255" i="1"/>
  <c r="BK255" i="1"/>
  <c r="DH255" i="1"/>
  <c r="M255" i="1"/>
  <c r="BJ255" i="1"/>
  <c r="DG255" i="1"/>
  <c r="L255" i="1"/>
  <c r="BI255" i="1"/>
  <c r="DF255" i="1"/>
  <c r="K255" i="1"/>
  <c r="BH255" i="1"/>
  <c r="DE255" i="1"/>
  <c r="J255" i="1"/>
  <c r="BG255" i="1"/>
  <c r="DD255" i="1"/>
  <c r="I255" i="1"/>
  <c r="BF255" i="1"/>
  <c r="DC255" i="1"/>
  <c r="H255" i="1"/>
  <c r="BE255" i="1"/>
  <c r="DB255" i="1"/>
  <c r="G255" i="1"/>
  <c r="BD255" i="1"/>
  <c r="DA255" i="1"/>
  <c r="CZ255" i="1"/>
  <c r="CY255" i="1"/>
  <c r="CX255" i="1"/>
  <c r="CW255" i="1"/>
  <c r="CV255" i="1"/>
  <c r="CU255" i="1"/>
  <c r="CT255" i="1"/>
  <c r="CS255" i="1"/>
  <c r="CR255" i="1"/>
  <c r="CQ255" i="1"/>
  <c r="BC255" i="1"/>
  <c r="BB255" i="1"/>
  <c r="BA255" i="1"/>
  <c r="AZ255" i="1"/>
  <c r="AY255" i="1"/>
  <c r="AX255" i="1"/>
  <c r="AW255" i="1"/>
  <c r="AV255" i="1"/>
  <c r="AU255" i="1"/>
  <c r="AT255" i="1"/>
  <c r="AO254" i="1"/>
  <c r="CL254" i="1"/>
  <c r="EI254" i="1"/>
  <c r="AN254" i="1"/>
  <c r="CK254" i="1"/>
  <c r="EH254" i="1"/>
  <c r="AI254" i="1"/>
  <c r="CF254" i="1"/>
  <c r="EC254" i="1"/>
  <c r="AH254" i="1"/>
  <c r="CE254" i="1"/>
  <c r="EB254" i="1"/>
  <c r="AC254" i="1"/>
  <c r="BZ254" i="1"/>
  <c r="DW254" i="1"/>
  <c r="AB254" i="1"/>
  <c r="BY254" i="1"/>
  <c r="DV254" i="1"/>
  <c r="W254" i="1"/>
  <c r="BT254" i="1"/>
  <c r="DQ254" i="1"/>
  <c r="V254" i="1"/>
  <c r="BS254" i="1"/>
  <c r="DP254" i="1"/>
  <c r="Q254" i="1"/>
  <c r="BN254" i="1"/>
  <c r="DK254" i="1"/>
  <c r="P254" i="1"/>
  <c r="BM254" i="1"/>
  <c r="DJ254" i="1"/>
  <c r="O254" i="1"/>
  <c r="BL254" i="1"/>
  <c r="DI254" i="1"/>
  <c r="N254" i="1"/>
  <c r="BK254" i="1"/>
  <c r="DH254" i="1"/>
  <c r="M254" i="1"/>
  <c r="BJ254" i="1"/>
  <c r="DG254" i="1"/>
  <c r="L254" i="1"/>
  <c r="BI254" i="1"/>
  <c r="DF254" i="1"/>
  <c r="K254" i="1"/>
  <c r="BH254" i="1"/>
  <c r="DE254" i="1"/>
  <c r="J254" i="1"/>
  <c r="BG254" i="1"/>
  <c r="DD254" i="1"/>
  <c r="I254" i="1"/>
  <c r="BF254" i="1"/>
  <c r="DC254" i="1"/>
  <c r="H254" i="1"/>
  <c r="BE254" i="1"/>
  <c r="DB254" i="1"/>
  <c r="G254" i="1"/>
  <c r="BD254" i="1"/>
  <c r="DA254" i="1"/>
  <c r="CZ254" i="1"/>
  <c r="CY254" i="1"/>
  <c r="CX254" i="1"/>
  <c r="CW254" i="1"/>
  <c r="CV254" i="1"/>
  <c r="CU254" i="1"/>
  <c r="CT254" i="1"/>
  <c r="CS254" i="1"/>
  <c r="CR254" i="1"/>
  <c r="CQ254" i="1"/>
  <c r="BC254" i="1"/>
  <c r="BB254" i="1"/>
  <c r="BA254" i="1"/>
  <c r="AZ254" i="1"/>
  <c r="AY254" i="1"/>
  <c r="AX254" i="1"/>
  <c r="AW254" i="1"/>
  <c r="AV254" i="1"/>
  <c r="AU254" i="1"/>
  <c r="AT254" i="1"/>
  <c r="AO253" i="1"/>
  <c r="CL253" i="1"/>
  <c r="EI253" i="1"/>
  <c r="AN253" i="1"/>
  <c r="CK253" i="1"/>
  <c r="EH253" i="1"/>
  <c r="AI253" i="1"/>
  <c r="CF253" i="1"/>
  <c r="EC253" i="1"/>
  <c r="AH253" i="1"/>
  <c r="CE253" i="1"/>
  <c r="EB253" i="1"/>
  <c r="AC253" i="1"/>
  <c r="BZ253" i="1"/>
  <c r="DW253" i="1"/>
  <c r="AB253" i="1"/>
  <c r="BY253" i="1"/>
  <c r="DV253" i="1"/>
  <c r="W253" i="1"/>
  <c r="BT253" i="1"/>
  <c r="DQ253" i="1"/>
  <c r="V253" i="1"/>
  <c r="BS253" i="1"/>
  <c r="DP253" i="1"/>
  <c r="Q253" i="1"/>
  <c r="BN253" i="1"/>
  <c r="DK253" i="1"/>
  <c r="P253" i="1"/>
  <c r="BM253" i="1"/>
  <c r="DJ253" i="1"/>
  <c r="O253" i="1"/>
  <c r="BL253" i="1"/>
  <c r="DI253" i="1"/>
  <c r="N253" i="1"/>
  <c r="BK253" i="1"/>
  <c r="DH253" i="1"/>
  <c r="M253" i="1"/>
  <c r="BJ253" i="1"/>
  <c r="DG253" i="1"/>
  <c r="L253" i="1"/>
  <c r="BI253" i="1"/>
  <c r="DF253" i="1"/>
  <c r="K253" i="1"/>
  <c r="BH253" i="1"/>
  <c r="DE253" i="1"/>
  <c r="J253" i="1"/>
  <c r="BG253" i="1"/>
  <c r="DD253" i="1"/>
  <c r="I253" i="1"/>
  <c r="BF253" i="1"/>
  <c r="DC253" i="1"/>
  <c r="H253" i="1"/>
  <c r="BE253" i="1"/>
  <c r="DB253" i="1"/>
  <c r="G253" i="1"/>
  <c r="BD253" i="1"/>
  <c r="DA253" i="1"/>
  <c r="CZ253" i="1"/>
  <c r="CY253" i="1"/>
  <c r="CX253" i="1"/>
  <c r="CW253" i="1"/>
  <c r="CV253" i="1"/>
  <c r="CU253" i="1"/>
  <c r="CT253" i="1"/>
  <c r="CS253" i="1"/>
  <c r="CR253" i="1"/>
  <c r="CQ253" i="1"/>
  <c r="BC253" i="1"/>
  <c r="BB253" i="1"/>
  <c r="BA253" i="1"/>
  <c r="AZ253" i="1"/>
  <c r="AY253" i="1"/>
  <c r="AX253" i="1"/>
  <c r="AW253" i="1"/>
  <c r="AV253" i="1"/>
  <c r="AU253" i="1"/>
  <c r="AT253" i="1"/>
  <c r="AO252" i="1"/>
  <c r="CL252" i="1"/>
  <c r="EI252" i="1"/>
  <c r="AN252" i="1"/>
  <c r="CK252" i="1"/>
  <c r="EH252" i="1"/>
  <c r="AI252" i="1"/>
  <c r="CF252" i="1"/>
  <c r="EC252" i="1"/>
  <c r="AH252" i="1"/>
  <c r="CE252" i="1"/>
  <c r="EB252" i="1"/>
  <c r="AC252" i="1"/>
  <c r="BZ252" i="1"/>
  <c r="DW252" i="1"/>
  <c r="AB252" i="1"/>
  <c r="BY252" i="1"/>
  <c r="DV252" i="1"/>
  <c r="W252" i="1"/>
  <c r="BT252" i="1"/>
  <c r="DQ252" i="1"/>
  <c r="V252" i="1"/>
  <c r="BS252" i="1"/>
  <c r="DP252" i="1"/>
  <c r="Q252" i="1"/>
  <c r="BN252" i="1"/>
  <c r="DK252" i="1"/>
  <c r="P252" i="1"/>
  <c r="BM252" i="1"/>
  <c r="DJ252" i="1"/>
  <c r="O252" i="1"/>
  <c r="BL252" i="1"/>
  <c r="DI252" i="1"/>
  <c r="N252" i="1"/>
  <c r="BK252" i="1"/>
  <c r="DH252" i="1"/>
  <c r="M252" i="1"/>
  <c r="BJ252" i="1"/>
  <c r="DG252" i="1"/>
  <c r="L252" i="1"/>
  <c r="BI252" i="1"/>
  <c r="DF252" i="1"/>
  <c r="K252" i="1"/>
  <c r="BH252" i="1"/>
  <c r="DE252" i="1"/>
  <c r="J252" i="1"/>
  <c r="BG252" i="1"/>
  <c r="DD252" i="1"/>
  <c r="I252" i="1"/>
  <c r="BF252" i="1"/>
  <c r="DC252" i="1"/>
  <c r="H252" i="1"/>
  <c r="BE252" i="1"/>
  <c r="DB252" i="1"/>
  <c r="G252" i="1"/>
  <c r="BD252" i="1"/>
  <c r="DA252" i="1"/>
  <c r="CZ252" i="1"/>
  <c r="CY252" i="1"/>
  <c r="CX252" i="1"/>
  <c r="CW252" i="1"/>
  <c r="CV252" i="1"/>
  <c r="CU252" i="1"/>
  <c r="CT252" i="1"/>
  <c r="CS252" i="1"/>
  <c r="CR252" i="1"/>
  <c r="CQ252" i="1"/>
  <c r="BC252" i="1"/>
  <c r="BB252" i="1"/>
  <c r="BA252" i="1"/>
  <c r="AZ252" i="1"/>
  <c r="AY252" i="1"/>
  <c r="AX252" i="1"/>
  <c r="AW252" i="1"/>
  <c r="AV252" i="1"/>
  <c r="AU252" i="1"/>
  <c r="AT252" i="1"/>
  <c r="AO251" i="1"/>
  <c r="CL251" i="1"/>
  <c r="EI251" i="1"/>
  <c r="AN251" i="1"/>
  <c r="CK251" i="1"/>
  <c r="EH251" i="1"/>
  <c r="AI251" i="1"/>
  <c r="CF251" i="1"/>
  <c r="EC251" i="1"/>
  <c r="AH251" i="1"/>
  <c r="CE251" i="1"/>
  <c r="EB251" i="1"/>
  <c r="AC251" i="1"/>
  <c r="BZ251" i="1"/>
  <c r="DW251" i="1"/>
  <c r="AB251" i="1"/>
  <c r="BY251" i="1"/>
  <c r="DV251" i="1"/>
  <c r="W251" i="1"/>
  <c r="BT251" i="1"/>
  <c r="DQ251" i="1"/>
  <c r="V251" i="1"/>
  <c r="BS251" i="1"/>
  <c r="DP251" i="1"/>
  <c r="Q251" i="1"/>
  <c r="BN251" i="1"/>
  <c r="DK251" i="1"/>
  <c r="P251" i="1"/>
  <c r="BM251" i="1"/>
  <c r="DJ251" i="1"/>
  <c r="O251" i="1"/>
  <c r="BL251" i="1"/>
  <c r="DI251" i="1"/>
  <c r="N251" i="1"/>
  <c r="BK251" i="1"/>
  <c r="DH251" i="1"/>
  <c r="M251" i="1"/>
  <c r="BJ251" i="1"/>
  <c r="DG251" i="1"/>
  <c r="L251" i="1"/>
  <c r="BI251" i="1"/>
  <c r="DF251" i="1"/>
  <c r="K251" i="1"/>
  <c r="BH251" i="1"/>
  <c r="DE251" i="1"/>
  <c r="J251" i="1"/>
  <c r="BG251" i="1"/>
  <c r="DD251" i="1"/>
  <c r="I251" i="1"/>
  <c r="BF251" i="1"/>
  <c r="DC251" i="1"/>
  <c r="H251" i="1"/>
  <c r="BE251" i="1"/>
  <c r="DB251" i="1"/>
  <c r="G251" i="1"/>
  <c r="BD251" i="1"/>
  <c r="DA251" i="1"/>
  <c r="CZ251" i="1"/>
  <c r="CY251" i="1"/>
  <c r="CX251" i="1"/>
  <c r="CW251" i="1"/>
  <c r="CV251" i="1"/>
  <c r="CU251" i="1"/>
  <c r="CT251" i="1"/>
  <c r="CS251" i="1"/>
  <c r="CR251" i="1"/>
  <c r="CQ251" i="1"/>
  <c r="BC251" i="1"/>
  <c r="BB251" i="1"/>
  <c r="BA251" i="1"/>
  <c r="AZ251" i="1"/>
  <c r="AY251" i="1"/>
  <c r="AX251" i="1"/>
  <c r="AW251" i="1"/>
  <c r="AV251" i="1"/>
  <c r="AU251" i="1"/>
  <c r="AT251" i="1"/>
  <c r="AO250" i="1"/>
  <c r="CL250" i="1"/>
  <c r="EI250" i="1"/>
  <c r="AN250" i="1"/>
  <c r="CK250" i="1"/>
  <c r="EH250" i="1"/>
  <c r="AI250" i="1"/>
  <c r="CF250" i="1"/>
  <c r="EC250" i="1"/>
  <c r="AH250" i="1"/>
  <c r="CE250" i="1"/>
  <c r="EB250" i="1"/>
  <c r="AC250" i="1"/>
  <c r="BZ250" i="1"/>
  <c r="DW250" i="1"/>
  <c r="AB250" i="1"/>
  <c r="BY250" i="1"/>
  <c r="DV250" i="1"/>
  <c r="W250" i="1"/>
  <c r="BT250" i="1"/>
  <c r="DQ250" i="1"/>
  <c r="V250" i="1"/>
  <c r="BS250" i="1"/>
  <c r="DP250" i="1"/>
  <c r="Q250" i="1"/>
  <c r="BN250" i="1"/>
  <c r="DK250" i="1"/>
  <c r="P250" i="1"/>
  <c r="BM250" i="1"/>
  <c r="DJ250" i="1"/>
  <c r="O250" i="1"/>
  <c r="BL250" i="1"/>
  <c r="DI250" i="1"/>
  <c r="N250" i="1"/>
  <c r="BK250" i="1"/>
  <c r="DH250" i="1"/>
  <c r="M250" i="1"/>
  <c r="BJ250" i="1"/>
  <c r="DG250" i="1"/>
  <c r="L250" i="1"/>
  <c r="BI250" i="1"/>
  <c r="DF250" i="1"/>
  <c r="K250" i="1"/>
  <c r="BH250" i="1"/>
  <c r="DE250" i="1"/>
  <c r="J250" i="1"/>
  <c r="BG250" i="1"/>
  <c r="DD250" i="1"/>
  <c r="I250" i="1"/>
  <c r="BF250" i="1"/>
  <c r="DC250" i="1"/>
  <c r="H250" i="1"/>
  <c r="BE250" i="1"/>
  <c r="DB250" i="1"/>
  <c r="G250" i="1"/>
  <c r="BD250" i="1"/>
  <c r="DA250" i="1"/>
  <c r="CZ250" i="1"/>
  <c r="CY250" i="1"/>
  <c r="CX250" i="1"/>
  <c r="CW250" i="1"/>
  <c r="CV250" i="1"/>
  <c r="CU250" i="1"/>
  <c r="CT250" i="1"/>
  <c r="CS250" i="1"/>
  <c r="CR250" i="1"/>
  <c r="CQ250" i="1"/>
  <c r="BC250" i="1"/>
  <c r="BB250" i="1"/>
  <c r="BA250" i="1"/>
  <c r="AZ250" i="1"/>
  <c r="AY250" i="1"/>
  <c r="AX250" i="1"/>
  <c r="AW250" i="1"/>
  <c r="AV250" i="1"/>
  <c r="AU250" i="1"/>
  <c r="AT250" i="1"/>
  <c r="AO249" i="1"/>
  <c r="CL249" i="1"/>
  <c r="EI249" i="1"/>
  <c r="AN249" i="1"/>
  <c r="CK249" i="1"/>
  <c r="EH249" i="1"/>
  <c r="AI249" i="1"/>
  <c r="CF249" i="1"/>
  <c r="EC249" i="1"/>
  <c r="AH249" i="1"/>
  <c r="CE249" i="1"/>
  <c r="EB249" i="1"/>
  <c r="AC249" i="1"/>
  <c r="BZ249" i="1"/>
  <c r="DW249" i="1"/>
  <c r="AB249" i="1"/>
  <c r="BY249" i="1"/>
  <c r="DV249" i="1"/>
  <c r="W249" i="1"/>
  <c r="BT249" i="1"/>
  <c r="DQ249" i="1"/>
  <c r="V249" i="1"/>
  <c r="BS249" i="1"/>
  <c r="DP249" i="1"/>
  <c r="Q249" i="1"/>
  <c r="BN249" i="1"/>
  <c r="DK249" i="1"/>
  <c r="P249" i="1"/>
  <c r="BM249" i="1"/>
  <c r="DJ249" i="1"/>
  <c r="O249" i="1"/>
  <c r="BL249" i="1"/>
  <c r="DI249" i="1"/>
  <c r="N249" i="1"/>
  <c r="BK249" i="1"/>
  <c r="DH249" i="1"/>
  <c r="M249" i="1"/>
  <c r="BJ249" i="1"/>
  <c r="DG249" i="1"/>
  <c r="L249" i="1"/>
  <c r="BI249" i="1"/>
  <c r="DF249" i="1"/>
  <c r="K249" i="1"/>
  <c r="BH249" i="1"/>
  <c r="DE249" i="1"/>
  <c r="J249" i="1"/>
  <c r="BG249" i="1"/>
  <c r="DD249" i="1"/>
  <c r="I249" i="1"/>
  <c r="BF249" i="1"/>
  <c r="DC249" i="1"/>
  <c r="H249" i="1"/>
  <c r="BE249" i="1"/>
  <c r="DB249" i="1"/>
  <c r="G249" i="1"/>
  <c r="BD249" i="1"/>
  <c r="DA249" i="1"/>
  <c r="CZ249" i="1"/>
  <c r="CY249" i="1"/>
  <c r="CX249" i="1"/>
  <c r="CW249" i="1"/>
  <c r="CV249" i="1"/>
  <c r="CU249" i="1"/>
  <c r="CT249" i="1"/>
  <c r="CS249" i="1"/>
  <c r="CR249" i="1"/>
  <c r="CQ249" i="1"/>
  <c r="BC249" i="1"/>
  <c r="BB249" i="1"/>
  <c r="BA249" i="1"/>
  <c r="AZ249" i="1"/>
  <c r="AY249" i="1"/>
  <c r="AX249" i="1"/>
  <c r="AW249" i="1"/>
  <c r="AV249" i="1"/>
  <c r="AU249" i="1"/>
  <c r="AT249" i="1"/>
  <c r="AO248" i="1"/>
  <c r="CL248" i="1"/>
  <c r="EI248" i="1"/>
  <c r="AN248" i="1"/>
  <c r="CK248" i="1"/>
  <c r="EH248" i="1"/>
  <c r="AI248" i="1"/>
  <c r="CF248" i="1"/>
  <c r="EC248" i="1"/>
  <c r="AH248" i="1"/>
  <c r="CE248" i="1"/>
  <c r="EB248" i="1"/>
  <c r="AC248" i="1"/>
  <c r="BZ248" i="1"/>
  <c r="DW248" i="1"/>
  <c r="AB248" i="1"/>
  <c r="BY248" i="1"/>
  <c r="DV248" i="1"/>
  <c r="W248" i="1"/>
  <c r="BT248" i="1"/>
  <c r="DQ248" i="1"/>
  <c r="V248" i="1"/>
  <c r="BS248" i="1"/>
  <c r="DP248" i="1"/>
  <c r="Q248" i="1"/>
  <c r="BN248" i="1"/>
  <c r="DK248" i="1"/>
  <c r="P248" i="1"/>
  <c r="BM248" i="1"/>
  <c r="DJ248" i="1"/>
  <c r="O248" i="1"/>
  <c r="BL248" i="1"/>
  <c r="DI248" i="1"/>
  <c r="N248" i="1"/>
  <c r="BK248" i="1"/>
  <c r="DH248" i="1"/>
  <c r="M248" i="1"/>
  <c r="BJ248" i="1"/>
  <c r="DG248" i="1"/>
  <c r="L248" i="1"/>
  <c r="BI248" i="1"/>
  <c r="DF248" i="1"/>
  <c r="K248" i="1"/>
  <c r="BH248" i="1"/>
  <c r="DE248" i="1"/>
  <c r="J248" i="1"/>
  <c r="BG248" i="1"/>
  <c r="DD248" i="1"/>
  <c r="I248" i="1"/>
  <c r="BF248" i="1"/>
  <c r="DC248" i="1"/>
  <c r="H248" i="1"/>
  <c r="BE248" i="1"/>
  <c r="DB248" i="1"/>
  <c r="G248" i="1"/>
  <c r="BD248" i="1"/>
  <c r="DA248" i="1"/>
  <c r="CZ248" i="1"/>
  <c r="CY248" i="1"/>
  <c r="CX248" i="1"/>
  <c r="CW248" i="1"/>
  <c r="CV248" i="1"/>
  <c r="CU248" i="1"/>
  <c r="CT248" i="1"/>
  <c r="CS248" i="1"/>
  <c r="CR248" i="1"/>
  <c r="CQ248" i="1"/>
  <c r="BC248" i="1"/>
  <c r="BB248" i="1"/>
  <c r="BA248" i="1"/>
  <c r="AZ248" i="1"/>
  <c r="AY248" i="1"/>
  <c r="AX248" i="1"/>
  <c r="AW248" i="1"/>
  <c r="AV248" i="1"/>
  <c r="AU248" i="1"/>
  <c r="AT248" i="1"/>
  <c r="AO247" i="1"/>
  <c r="CL247" i="1"/>
  <c r="EI247" i="1"/>
  <c r="AN247" i="1"/>
  <c r="CK247" i="1"/>
  <c r="EH247" i="1"/>
  <c r="AI247" i="1"/>
  <c r="CF247" i="1"/>
  <c r="EC247" i="1"/>
  <c r="AH247" i="1"/>
  <c r="CE247" i="1"/>
  <c r="EB247" i="1"/>
  <c r="AC247" i="1"/>
  <c r="BZ247" i="1"/>
  <c r="DW247" i="1"/>
  <c r="AB247" i="1"/>
  <c r="BY247" i="1"/>
  <c r="DV247" i="1"/>
  <c r="W247" i="1"/>
  <c r="BT247" i="1"/>
  <c r="DQ247" i="1"/>
  <c r="V247" i="1"/>
  <c r="BS247" i="1"/>
  <c r="DP247" i="1"/>
  <c r="Q247" i="1"/>
  <c r="BN247" i="1"/>
  <c r="DK247" i="1"/>
  <c r="P247" i="1"/>
  <c r="BM247" i="1"/>
  <c r="DJ247" i="1"/>
  <c r="O247" i="1"/>
  <c r="BL247" i="1"/>
  <c r="DI247" i="1"/>
  <c r="N247" i="1"/>
  <c r="BK247" i="1"/>
  <c r="DH247" i="1"/>
  <c r="M247" i="1"/>
  <c r="BJ247" i="1"/>
  <c r="DG247" i="1"/>
  <c r="L247" i="1"/>
  <c r="BI247" i="1"/>
  <c r="DF247" i="1"/>
  <c r="K247" i="1"/>
  <c r="BH247" i="1"/>
  <c r="DE247" i="1"/>
  <c r="J247" i="1"/>
  <c r="BG247" i="1"/>
  <c r="DD247" i="1"/>
  <c r="I247" i="1"/>
  <c r="BF247" i="1"/>
  <c r="DC247" i="1"/>
  <c r="H247" i="1"/>
  <c r="BE247" i="1"/>
  <c r="DB247" i="1"/>
  <c r="G247" i="1"/>
  <c r="BD247" i="1"/>
  <c r="DA247" i="1"/>
  <c r="CZ247" i="1"/>
  <c r="CY247" i="1"/>
  <c r="CX247" i="1"/>
  <c r="CW247" i="1"/>
  <c r="CV247" i="1"/>
  <c r="CU247" i="1"/>
  <c r="CT247" i="1"/>
  <c r="CS247" i="1"/>
  <c r="CR247" i="1"/>
  <c r="CQ247" i="1"/>
  <c r="BC247" i="1"/>
  <c r="BB247" i="1"/>
  <c r="BA247" i="1"/>
  <c r="AZ247" i="1"/>
  <c r="AY247" i="1"/>
  <c r="AX247" i="1"/>
  <c r="AW247" i="1"/>
  <c r="AV247" i="1"/>
  <c r="AU247" i="1"/>
  <c r="AT247" i="1"/>
  <c r="AO246" i="1"/>
  <c r="CL246" i="1"/>
  <c r="EI246" i="1"/>
  <c r="AN246" i="1"/>
  <c r="CK246" i="1"/>
  <c r="EH246" i="1"/>
  <c r="AI246" i="1"/>
  <c r="CF246" i="1"/>
  <c r="EC246" i="1"/>
  <c r="AH246" i="1"/>
  <c r="CE246" i="1"/>
  <c r="EB246" i="1"/>
  <c r="AC246" i="1"/>
  <c r="BZ246" i="1"/>
  <c r="DW246" i="1"/>
  <c r="AB246" i="1"/>
  <c r="BY246" i="1"/>
  <c r="DV246" i="1"/>
  <c r="W246" i="1"/>
  <c r="BT246" i="1"/>
  <c r="DQ246" i="1"/>
  <c r="V246" i="1"/>
  <c r="BS246" i="1"/>
  <c r="DP246" i="1"/>
  <c r="Q246" i="1"/>
  <c r="BN246" i="1"/>
  <c r="DK246" i="1"/>
  <c r="P246" i="1"/>
  <c r="BM246" i="1"/>
  <c r="DJ246" i="1"/>
  <c r="O246" i="1"/>
  <c r="BL246" i="1"/>
  <c r="DI246" i="1"/>
  <c r="N246" i="1"/>
  <c r="BK246" i="1"/>
  <c r="DH246" i="1"/>
  <c r="M246" i="1"/>
  <c r="BJ246" i="1"/>
  <c r="DG246" i="1"/>
  <c r="L246" i="1"/>
  <c r="BI246" i="1"/>
  <c r="DF246" i="1"/>
  <c r="K246" i="1"/>
  <c r="BH246" i="1"/>
  <c r="DE246" i="1"/>
  <c r="J246" i="1"/>
  <c r="BG246" i="1"/>
  <c r="DD246" i="1"/>
  <c r="I246" i="1"/>
  <c r="BF246" i="1"/>
  <c r="DC246" i="1"/>
  <c r="H246" i="1"/>
  <c r="BE246" i="1"/>
  <c r="DB246" i="1"/>
  <c r="G246" i="1"/>
  <c r="BD246" i="1"/>
  <c r="DA246" i="1"/>
  <c r="CZ246" i="1"/>
  <c r="CY246" i="1"/>
  <c r="CX246" i="1"/>
  <c r="CW246" i="1"/>
  <c r="CV246" i="1"/>
  <c r="CU246" i="1"/>
  <c r="CT246" i="1"/>
  <c r="CS246" i="1"/>
  <c r="CR246" i="1"/>
  <c r="CQ246" i="1"/>
  <c r="BC246" i="1"/>
  <c r="BB246" i="1"/>
  <c r="BA246" i="1"/>
  <c r="AZ246" i="1"/>
  <c r="AY246" i="1"/>
  <c r="AX246" i="1"/>
  <c r="AW246" i="1"/>
  <c r="AV246" i="1"/>
  <c r="AU246" i="1"/>
  <c r="AT246" i="1"/>
  <c r="AO245" i="1"/>
  <c r="CL245" i="1"/>
  <c r="EI245" i="1"/>
  <c r="AN245" i="1"/>
  <c r="CK245" i="1"/>
  <c r="EH245" i="1"/>
  <c r="AI245" i="1"/>
  <c r="CF245" i="1"/>
  <c r="EC245" i="1"/>
  <c r="AH245" i="1"/>
  <c r="CE245" i="1"/>
  <c r="EB245" i="1"/>
  <c r="AC245" i="1"/>
  <c r="BZ245" i="1"/>
  <c r="DW245" i="1"/>
  <c r="AB245" i="1"/>
  <c r="BY245" i="1"/>
  <c r="DV245" i="1"/>
  <c r="W245" i="1"/>
  <c r="BT245" i="1"/>
  <c r="DQ245" i="1"/>
  <c r="V245" i="1"/>
  <c r="BS245" i="1"/>
  <c r="DP245" i="1"/>
  <c r="Q245" i="1"/>
  <c r="BN245" i="1"/>
  <c r="DK245" i="1"/>
  <c r="P245" i="1"/>
  <c r="BM245" i="1"/>
  <c r="DJ245" i="1"/>
  <c r="O245" i="1"/>
  <c r="BL245" i="1"/>
  <c r="DI245" i="1"/>
  <c r="N245" i="1"/>
  <c r="BK245" i="1"/>
  <c r="DH245" i="1"/>
  <c r="M245" i="1"/>
  <c r="BJ245" i="1"/>
  <c r="DG245" i="1"/>
  <c r="L245" i="1"/>
  <c r="BI245" i="1"/>
  <c r="DF245" i="1"/>
  <c r="K245" i="1"/>
  <c r="BH245" i="1"/>
  <c r="DE245" i="1"/>
  <c r="J245" i="1"/>
  <c r="BG245" i="1"/>
  <c r="DD245" i="1"/>
  <c r="I245" i="1"/>
  <c r="BF245" i="1"/>
  <c r="DC245" i="1"/>
  <c r="H245" i="1"/>
  <c r="BE245" i="1"/>
  <c r="DB245" i="1"/>
  <c r="G245" i="1"/>
  <c r="BD245" i="1"/>
  <c r="DA245" i="1"/>
  <c r="CZ245" i="1"/>
  <c r="CY245" i="1"/>
  <c r="CX245" i="1"/>
  <c r="CW245" i="1"/>
  <c r="CV245" i="1"/>
  <c r="CU245" i="1"/>
  <c r="CT245" i="1"/>
  <c r="CS245" i="1"/>
  <c r="CR245" i="1"/>
  <c r="CQ245" i="1"/>
  <c r="BC245" i="1"/>
  <c r="BB245" i="1"/>
  <c r="BA245" i="1"/>
  <c r="AZ245" i="1"/>
  <c r="AY245" i="1"/>
  <c r="AX245" i="1"/>
  <c r="AW245" i="1"/>
  <c r="AV245" i="1"/>
  <c r="AU245" i="1"/>
  <c r="AT245" i="1"/>
  <c r="AO244" i="1"/>
  <c r="CL244" i="1"/>
  <c r="EI244" i="1"/>
  <c r="AN244" i="1"/>
  <c r="CK244" i="1"/>
  <c r="EH244" i="1"/>
  <c r="AI244" i="1"/>
  <c r="CF244" i="1"/>
  <c r="EC244" i="1"/>
  <c r="AH244" i="1"/>
  <c r="CE244" i="1"/>
  <c r="EB244" i="1"/>
  <c r="AC244" i="1"/>
  <c r="BZ244" i="1"/>
  <c r="DW244" i="1"/>
  <c r="AB244" i="1"/>
  <c r="BY244" i="1"/>
  <c r="DV244" i="1"/>
  <c r="W244" i="1"/>
  <c r="BT244" i="1"/>
  <c r="DQ244" i="1"/>
  <c r="V244" i="1"/>
  <c r="BS244" i="1"/>
  <c r="DP244" i="1"/>
  <c r="Q244" i="1"/>
  <c r="BN244" i="1"/>
  <c r="DK244" i="1"/>
  <c r="P244" i="1"/>
  <c r="BM244" i="1"/>
  <c r="DJ244" i="1"/>
  <c r="O244" i="1"/>
  <c r="BL244" i="1"/>
  <c r="DI244" i="1"/>
  <c r="N244" i="1"/>
  <c r="BK244" i="1"/>
  <c r="DH244" i="1"/>
  <c r="M244" i="1"/>
  <c r="BJ244" i="1"/>
  <c r="DG244" i="1"/>
  <c r="L244" i="1"/>
  <c r="BI244" i="1"/>
  <c r="DF244" i="1"/>
  <c r="K244" i="1"/>
  <c r="BH244" i="1"/>
  <c r="DE244" i="1"/>
  <c r="J244" i="1"/>
  <c r="BG244" i="1"/>
  <c r="DD244" i="1"/>
  <c r="I244" i="1"/>
  <c r="BF244" i="1"/>
  <c r="DC244" i="1"/>
  <c r="H244" i="1"/>
  <c r="BE244" i="1"/>
  <c r="DB244" i="1"/>
  <c r="G244" i="1"/>
  <c r="BD244" i="1"/>
  <c r="DA244" i="1"/>
  <c r="CZ244" i="1"/>
  <c r="CY244" i="1"/>
  <c r="CX244" i="1"/>
  <c r="CW244" i="1"/>
  <c r="CV244" i="1"/>
  <c r="CU244" i="1"/>
  <c r="CT244" i="1"/>
  <c r="CS244" i="1"/>
  <c r="CR244" i="1"/>
  <c r="CQ244" i="1"/>
  <c r="BC244" i="1"/>
  <c r="BB244" i="1"/>
  <c r="BA244" i="1"/>
  <c r="AZ244" i="1"/>
  <c r="AY244" i="1"/>
  <c r="AX244" i="1"/>
  <c r="AW244" i="1"/>
  <c r="AV244" i="1"/>
  <c r="AU244" i="1"/>
  <c r="AT244" i="1"/>
  <c r="AO243" i="1"/>
  <c r="CL243" i="1"/>
  <c r="EI243" i="1"/>
  <c r="AN243" i="1"/>
  <c r="CK243" i="1"/>
  <c r="EH243" i="1"/>
  <c r="AI243" i="1"/>
  <c r="CF243" i="1"/>
  <c r="EC243" i="1"/>
  <c r="AH243" i="1"/>
  <c r="CE243" i="1"/>
  <c r="EB243" i="1"/>
  <c r="AC243" i="1"/>
  <c r="BZ243" i="1"/>
  <c r="DW243" i="1"/>
  <c r="AB243" i="1"/>
  <c r="BY243" i="1"/>
  <c r="DV243" i="1"/>
  <c r="W243" i="1"/>
  <c r="BT243" i="1"/>
  <c r="DQ243" i="1"/>
  <c r="V243" i="1"/>
  <c r="BS243" i="1"/>
  <c r="DP243" i="1"/>
  <c r="Q243" i="1"/>
  <c r="BN243" i="1"/>
  <c r="DK243" i="1"/>
  <c r="P243" i="1"/>
  <c r="BM243" i="1"/>
  <c r="DJ243" i="1"/>
  <c r="O243" i="1"/>
  <c r="BL243" i="1"/>
  <c r="DI243" i="1"/>
  <c r="N243" i="1"/>
  <c r="BK243" i="1"/>
  <c r="DH243" i="1"/>
  <c r="M243" i="1"/>
  <c r="BJ243" i="1"/>
  <c r="DG243" i="1"/>
  <c r="L243" i="1"/>
  <c r="BI243" i="1"/>
  <c r="DF243" i="1"/>
  <c r="K243" i="1"/>
  <c r="BH243" i="1"/>
  <c r="DE243" i="1"/>
  <c r="J243" i="1"/>
  <c r="BG243" i="1"/>
  <c r="DD243" i="1"/>
  <c r="I243" i="1"/>
  <c r="BF243" i="1"/>
  <c r="DC243" i="1"/>
  <c r="H243" i="1"/>
  <c r="BE243" i="1"/>
  <c r="DB243" i="1"/>
  <c r="G243" i="1"/>
  <c r="BD243" i="1"/>
  <c r="DA243" i="1"/>
  <c r="CZ243" i="1"/>
  <c r="CY243" i="1"/>
  <c r="CX243" i="1"/>
  <c r="CW243" i="1"/>
  <c r="CV243" i="1"/>
  <c r="CU243" i="1"/>
  <c r="CT243" i="1"/>
  <c r="CS243" i="1"/>
  <c r="CR243" i="1"/>
  <c r="CQ243" i="1"/>
  <c r="BC243" i="1"/>
  <c r="BB243" i="1"/>
  <c r="BA243" i="1"/>
  <c r="AZ243" i="1"/>
  <c r="AY243" i="1"/>
  <c r="AX243" i="1"/>
  <c r="AW243" i="1"/>
  <c r="AV243" i="1"/>
  <c r="AU243" i="1"/>
  <c r="AT243" i="1"/>
  <c r="AO242" i="1"/>
  <c r="CL242" i="1"/>
  <c r="EI242" i="1"/>
  <c r="AN242" i="1"/>
  <c r="CK242" i="1"/>
  <c r="EH242" i="1"/>
  <c r="AI242" i="1"/>
  <c r="CF242" i="1"/>
  <c r="EC242" i="1"/>
  <c r="AH242" i="1"/>
  <c r="CE242" i="1"/>
  <c r="EB242" i="1"/>
  <c r="AC242" i="1"/>
  <c r="BZ242" i="1"/>
  <c r="DW242" i="1"/>
  <c r="AB242" i="1"/>
  <c r="BY242" i="1"/>
  <c r="DV242" i="1"/>
  <c r="W242" i="1"/>
  <c r="BT242" i="1"/>
  <c r="DQ242" i="1"/>
  <c r="V242" i="1"/>
  <c r="BS242" i="1"/>
  <c r="DP242" i="1"/>
  <c r="Q242" i="1"/>
  <c r="BN242" i="1"/>
  <c r="DK242" i="1"/>
  <c r="P242" i="1"/>
  <c r="BM242" i="1"/>
  <c r="DJ242" i="1"/>
  <c r="O242" i="1"/>
  <c r="BL242" i="1"/>
  <c r="DI242" i="1"/>
  <c r="N242" i="1"/>
  <c r="BK242" i="1"/>
  <c r="DH242" i="1"/>
  <c r="M242" i="1"/>
  <c r="BJ242" i="1"/>
  <c r="DG242" i="1"/>
  <c r="L242" i="1"/>
  <c r="BI242" i="1"/>
  <c r="DF242" i="1"/>
  <c r="K242" i="1"/>
  <c r="BH242" i="1"/>
  <c r="DE242" i="1"/>
  <c r="J242" i="1"/>
  <c r="BG242" i="1"/>
  <c r="DD242" i="1"/>
  <c r="I242" i="1"/>
  <c r="BF242" i="1"/>
  <c r="DC242" i="1"/>
  <c r="H242" i="1"/>
  <c r="BE242" i="1"/>
  <c r="DB242" i="1"/>
  <c r="G242" i="1"/>
  <c r="BD242" i="1"/>
  <c r="DA242" i="1"/>
  <c r="CZ242" i="1"/>
  <c r="CY242" i="1"/>
  <c r="CX242" i="1"/>
  <c r="CW242" i="1"/>
  <c r="CV242" i="1"/>
  <c r="CU242" i="1"/>
  <c r="CT242" i="1"/>
  <c r="CS242" i="1"/>
  <c r="CR242" i="1"/>
  <c r="CQ242" i="1"/>
  <c r="BC242" i="1"/>
  <c r="BB242" i="1"/>
  <c r="BA242" i="1"/>
  <c r="AZ242" i="1"/>
  <c r="AY242" i="1"/>
  <c r="AX242" i="1"/>
  <c r="AW242" i="1"/>
  <c r="AV242" i="1"/>
  <c r="AU242" i="1"/>
  <c r="AT242" i="1"/>
  <c r="AO241" i="1"/>
  <c r="CL241" i="1"/>
  <c r="EI241" i="1"/>
  <c r="AN241" i="1"/>
  <c r="CK241" i="1"/>
  <c r="EH241" i="1"/>
  <c r="AI241" i="1"/>
  <c r="CF241" i="1"/>
  <c r="EC241" i="1"/>
  <c r="AH241" i="1"/>
  <c r="CE241" i="1"/>
  <c r="EB241" i="1"/>
  <c r="AC241" i="1"/>
  <c r="BZ241" i="1"/>
  <c r="DW241" i="1"/>
  <c r="AB241" i="1"/>
  <c r="BY241" i="1"/>
  <c r="DV241" i="1"/>
  <c r="W241" i="1"/>
  <c r="BT241" i="1"/>
  <c r="DQ241" i="1"/>
  <c r="V241" i="1"/>
  <c r="BS241" i="1"/>
  <c r="DP241" i="1"/>
  <c r="Q241" i="1"/>
  <c r="BN241" i="1"/>
  <c r="DK241" i="1"/>
  <c r="P241" i="1"/>
  <c r="BM241" i="1"/>
  <c r="DJ241" i="1"/>
  <c r="O241" i="1"/>
  <c r="BL241" i="1"/>
  <c r="DI241" i="1"/>
  <c r="N241" i="1"/>
  <c r="BK241" i="1"/>
  <c r="DH241" i="1"/>
  <c r="M241" i="1"/>
  <c r="BJ241" i="1"/>
  <c r="DG241" i="1"/>
  <c r="L241" i="1"/>
  <c r="BI241" i="1"/>
  <c r="DF241" i="1"/>
  <c r="K241" i="1"/>
  <c r="BH241" i="1"/>
  <c r="DE241" i="1"/>
  <c r="J241" i="1"/>
  <c r="BG241" i="1"/>
  <c r="DD241" i="1"/>
  <c r="I241" i="1"/>
  <c r="BF241" i="1"/>
  <c r="DC241" i="1"/>
  <c r="H241" i="1"/>
  <c r="BE241" i="1"/>
  <c r="DB241" i="1"/>
  <c r="G241" i="1"/>
  <c r="BD241" i="1"/>
  <c r="DA241" i="1"/>
  <c r="CZ241" i="1"/>
  <c r="CY241" i="1"/>
  <c r="CX241" i="1"/>
  <c r="CW241" i="1"/>
  <c r="CV241" i="1"/>
  <c r="CU241" i="1"/>
  <c r="CT241" i="1"/>
  <c r="CS241" i="1"/>
  <c r="CR241" i="1"/>
  <c r="CQ241" i="1"/>
  <c r="BC241" i="1"/>
  <c r="BB241" i="1"/>
  <c r="BA241" i="1"/>
  <c r="AZ241" i="1"/>
  <c r="AY241" i="1"/>
  <c r="AX241" i="1"/>
  <c r="AW241" i="1"/>
  <c r="AV241" i="1"/>
  <c r="AU241" i="1"/>
  <c r="AT241" i="1"/>
  <c r="AO240" i="1"/>
  <c r="CL240" i="1"/>
  <c r="EI240" i="1"/>
  <c r="AN240" i="1"/>
  <c r="CK240" i="1"/>
  <c r="EH240" i="1"/>
  <c r="AI240" i="1"/>
  <c r="CF240" i="1"/>
  <c r="EC240" i="1"/>
  <c r="AH240" i="1"/>
  <c r="CE240" i="1"/>
  <c r="EB240" i="1"/>
  <c r="AC240" i="1"/>
  <c r="BZ240" i="1"/>
  <c r="DW240" i="1"/>
  <c r="AB240" i="1"/>
  <c r="BY240" i="1"/>
  <c r="DV240" i="1"/>
  <c r="W240" i="1"/>
  <c r="BT240" i="1"/>
  <c r="DQ240" i="1"/>
  <c r="V240" i="1"/>
  <c r="BS240" i="1"/>
  <c r="DP240" i="1"/>
  <c r="Q240" i="1"/>
  <c r="BN240" i="1"/>
  <c r="DK240" i="1"/>
  <c r="P240" i="1"/>
  <c r="BM240" i="1"/>
  <c r="DJ240" i="1"/>
  <c r="O240" i="1"/>
  <c r="BL240" i="1"/>
  <c r="DI240" i="1"/>
  <c r="N240" i="1"/>
  <c r="BK240" i="1"/>
  <c r="DH240" i="1"/>
  <c r="M240" i="1"/>
  <c r="BJ240" i="1"/>
  <c r="DG240" i="1"/>
  <c r="L240" i="1"/>
  <c r="BI240" i="1"/>
  <c r="DF240" i="1"/>
  <c r="K240" i="1"/>
  <c r="BH240" i="1"/>
  <c r="DE240" i="1"/>
  <c r="J240" i="1"/>
  <c r="BG240" i="1"/>
  <c r="DD240" i="1"/>
  <c r="I240" i="1"/>
  <c r="BF240" i="1"/>
  <c r="DC240" i="1"/>
  <c r="H240" i="1"/>
  <c r="BE240" i="1"/>
  <c r="DB240" i="1"/>
  <c r="G240" i="1"/>
  <c r="BD240" i="1"/>
  <c r="DA240" i="1"/>
  <c r="CZ240" i="1"/>
  <c r="CY240" i="1"/>
  <c r="CX240" i="1"/>
  <c r="CW240" i="1"/>
  <c r="CV240" i="1"/>
  <c r="CU240" i="1"/>
  <c r="CT240" i="1"/>
  <c r="CS240" i="1"/>
  <c r="CR240" i="1"/>
  <c r="CQ240" i="1"/>
  <c r="BC240" i="1"/>
  <c r="BB240" i="1"/>
  <c r="BA240" i="1"/>
  <c r="AZ240" i="1"/>
  <c r="AY240" i="1"/>
  <c r="AX240" i="1"/>
  <c r="AW240" i="1"/>
  <c r="AV240" i="1"/>
  <c r="AU240" i="1"/>
  <c r="AT240" i="1"/>
  <c r="AO239" i="1"/>
  <c r="CL239" i="1"/>
  <c r="EI239" i="1"/>
  <c r="AN239" i="1"/>
  <c r="CK239" i="1"/>
  <c r="EH239" i="1"/>
  <c r="AI239" i="1"/>
  <c r="CF239" i="1"/>
  <c r="EC239" i="1"/>
  <c r="AH239" i="1"/>
  <c r="CE239" i="1"/>
  <c r="EB239" i="1"/>
  <c r="AC239" i="1"/>
  <c r="BZ239" i="1"/>
  <c r="DW239" i="1"/>
  <c r="AB239" i="1"/>
  <c r="BY239" i="1"/>
  <c r="DV239" i="1"/>
  <c r="W239" i="1"/>
  <c r="BT239" i="1"/>
  <c r="DQ239" i="1"/>
  <c r="V239" i="1"/>
  <c r="BS239" i="1"/>
  <c r="DP239" i="1"/>
  <c r="Q239" i="1"/>
  <c r="BN239" i="1"/>
  <c r="DK239" i="1"/>
  <c r="P239" i="1"/>
  <c r="BM239" i="1"/>
  <c r="DJ239" i="1"/>
  <c r="O239" i="1"/>
  <c r="BL239" i="1"/>
  <c r="DI239" i="1"/>
  <c r="N239" i="1"/>
  <c r="BK239" i="1"/>
  <c r="DH239" i="1"/>
  <c r="M239" i="1"/>
  <c r="BJ239" i="1"/>
  <c r="DG239" i="1"/>
  <c r="L239" i="1"/>
  <c r="BI239" i="1"/>
  <c r="DF239" i="1"/>
  <c r="K239" i="1"/>
  <c r="BH239" i="1"/>
  <c r="DE239" i="1"/>
  <c r="J239" i="1"/>
  <c r="BG239" i="1"/>
  <c r="DD239" i="1"/>
  <c r="I239" i="1"/>
  <c r="BF239" i="1"/>
  <c r="DC239" i="1"/>
  <c r="H239" i="1"/>
  <c r="BE239" i="1"/>
  <c r="DB239" i="1"/>
  <c r="G239" i="1"/>
  <c r="BD239" i="1"/>
  <c r="DA239" i="1"/>
  <c r="CZ239" i="1"/>
  <c r="CY239" i="1"/>
  <c r="CX239" i="1"/>
  <c r="CW239" i="1"/>
  <c r="CV239" i="1"/>
  <c r="CU239" i="1"/>
  <c r="CT239" i="1"/>
  <c r="CS239" i="1"/>
  <c r="CR239" i="1"/>
  <c r="CQ239" i="1"/>
  <c r="BC239" i="1"/>
  <c r="BB239" i="1"/>
  <c r="BA239" i="1"/>
  <c r="AZ239" i="1"/>
  <c r="AY239" i="1"/>
  <c r="AX239" i="1"/>
  <c r="AW239" i="1"/>
  <c r="AV239" i="1"/>
  <c r="AU239" i="1"/>
  <c r="AT239" i="1"/>
  <c r="AO238" i="1"/>
  <c r="CL238" i="1"/>
  <c r="EI238" i="1"/>
  <c r="AN238" i="1"/>
  <c r="CK238" i="1"/>
  <c r="EH238" i="1"/>
  <c r="AI238" i="1"/>
  <c r="CF238" i="1"/>
  <c r="EC238" i="1"/>
  <c r="AH238" i="1"/>
  <c r="CE238" i="1"/>
  <c r="EB238" i="1"/>
  <c r="AC238" i="1"/>
  <c r="BZ238" i="1"/>
  <c r="DW238" i="1"/>
  <c r="AB238" i="1"/>
  <c r="BY238" i="1"/>
  <c r="DV238" i="1"/>
  <c r="W238" i="1"/>
  <c r="BT238" i="1"/>
  <c r="DQ238" i="1"/>
  <c r="V238" i="1"/>
  <c r="BS238" i="1"/>
  <c r="DP238" i="1"/>
  <c r="Q238" i="1"/>
  <c r="BN238" i="1"/>
  <c r="DK238" i="1"/>
  <c r="P238" i="1"/>
  <c r="BM238" i="1"/>
  <c r="DJ238" i="1"/>
  <c r="O238" i="1"/>
  <c r="BL238" i="1"/>
  <c r="DI238" i="1"/>
  <c r="N238" i="1"/>
  <c r="BK238" i="1"/>
  <c r="DH238" i="1"/>
  <c r="M238" i="1"/>
  <c r="BJ238" i="1"/>
  <c r="DG238" i="1"/>
  <c r="L238" i="1"/>
  <c r="BI238" i="1"/>
  <c r="DF238" i="1"/>
  <c r="K238" i="1"/>
  <c r="BH238" i="1"/>
  <c r="DE238" i="1"/>
  <c r="J238" i="1"/>
  <c r="BG238" i="1"/>
  <c r="DD238" i="1"/>
  <c r="I238" i="1"/>
  <c r="BF238" i="1"/>
  <c r="DC238" i="1"/>
  <c r="H238" i="1"/>
  <c r="BE238" i="1"/>
  <c r="DB238" i="1"/>
  <c r="G238" i="1"/>
  <c r="BD238" i="1"/>
  <c r="DA238" i="1"/>
  <c r="CZ238" i="1"/>
  <c r="CY238" i="1"/>
  <c r="CX238" i="1"/>
  <c r="CW238" i="1"/>
  <c r="CV238" i="1"/>
  <c r="CU238" i="1"/>
  <c r="CT238" i="1"/>
  <c r="CS238" i="1"/>
  <c r="CR238" i="1"/>
  <c r="CQ238" i="1"/>
  <c r="BC238" i="1"/>
  <c r="BB238" i="1"/>
  <c r="BA238" i="1"/>
  <c r="AZ238" i="1"/>
  <c r="AY238" i="1"/>
  <c r="AX238" i="1"/>
  <c r="AW238" i="1"/>
  <c r="AV238" i="1"/>
  <c r="AU238" i="1"/>
  <c r="AT238" i="1"/>
  <c r="AO237" i="1"/>
  <c r="CL237" i="1"/>
  <c r="EI237" i="1"/>
  <c r="AN237" i="1"/>
  <c r="CK237" i="1"/>
  <c r="EH237" i="1"/>
  <c r="AI237" i="1"/>
  <c r="CF237" i="1"/>
  <c r="EC237" i="1"/>
  <c r="AH237" i="1"/>
  <c r="CE237" i="1"/>
  <c r="EB237" i="1"/>
  <c r="AC237" i="1"/>
  <c r="BZ237" i="1"/>
  <c r="DW237" i="1"/>
  <c r="AB237" i="1"/>
  <c r="BY237" i="1"/>
  <c r="DV237" i="1"/>
  <c r="W237" i="1"/>
  <c r="BT237" i="1"/>
  <c r="DQ237" i="1"/>
  <c r="V237" i="1"/>
  <c r="BS237" i="1"/>
  <c r="DP237" i="1"/>
  <c r="Q237" i="1"/>
  <c r="BN237" i="1"/>
  <c r="DK237" i="1"/>
  <c r="P237" i="1"/>
  <c r="BM237" i="1"/>
  <c r="DJ237" i="1"/>
  <c r="O237" i="1"/>
  <c r="BL237" i="1"/>
  <c r="DI237" i="1"/>
  <c r="N237" i="1"/>
  <c r="BK237" i="1"/>
  <c r="DH237" i="1"/>
  <c r="M237" i="1"/>
  <c r="BJ237" i="1"/>
  <c r="DG237" i="1"/>
  <c r="L237" i="1"/>
  <c r="BI237" i="1"/>
  <c r="DF237" i="1"/>
  <c r="K237" i="1"/>
  <c r="BH237" i="1"/>
  <c r="DE237" i="1"/>
  <c r="J237" i="1"/>
  <c r="BG237" i="1"/>
  <c r="DD237" i="1"/>
  <c r="I237" i="1"/>
  <c r="BF237" i="1"/>
  <c r="DC237" i="1"/>
  <c r="H237" i="1"/>
  <c r="BE237" i="1"/>
  <c r="DB237" i="1"/>
  <c r="G237" i="1"/>
  <c r="BD237" i="1"/>
  <c r="DA237" i="1"/>
  <c r="CZ237" i="1"/>
  <c r="CY237" i="1"/>
  <c r="CX237" i="1"/>
  <c r="CW237" i="1"/>
  <c r="CV237" i="1"/>
  <c r="CU237" i="1"/>
  <c r="CT237" i="1"/>
  <c r="CS237" i="1"/>
  <c r="CR237" i="1"/>
  <c r="CQ237" i="1"/>
  <c r="BC237" i="1"/>
  <c r="BB237" i="1"/>
  <c r="BA237" i="1"/>
  <c r="AZ237" i="1"/>
  <c r="AY237" i="1"/>
  <c r="AX237" i="1"/>
  <c r="AW237" i="1"/>
  <c r="AV237" i="1"/>
  <c r="AU237" i="1"/>
  <c r="AT237" i="1"/>
  <c r="AO236" i="1"/>
  <c r="CL236" i="1"/>
  <c r="EI236" i="1"/>
  <c r="AN236" i="1"/>
  <c r="CK236" i="1"/>
  <c r="EH236" i="1"/>
  <c r="AI236" i="1"/>
  <c r="CF236" i="1"/>
  <c r="EC236" i="1"/>
  <c r="AH236" i="1"/>
  <c r="CE236" i="1"/>
  <c r="EB236" i="1"/>
  <c r="AC236" i="1"/>
  <c r="BZ236" i="1"/>
  <c r="DW236" i="1"/>
  <c r="AB236" i="1"/>
  <c r="BY236" i="1"/>
  <c r="DV236" i="1"/>
  <c r="W236" i="1"/>
  <c r="BT236" i="1"/>
  <c r="DQ236" i="1"/>
  <c r="V236" i="1"/>
  <c r="BS236" i="1"/>
  <c r="DP236" i="1"/>
  <c r="Q236" i="1"/>
  <c r="BN236" i="1"/>
  <c r="DK236" i="1"/>
  <c r="P236" i="1"/>
  <c r="BM236" i="1"/>
  <c r="DJ236" i="1"/>
  <c r="O236" i="1"/>
  <c r="BL236" i="1"/>
  <c r="DI236" i="1"/>
  <c r="N236" i="1"/>
  <c r="BK236" i="1"/>
  <c r="DH236" i="1"/>
  <c r="M236" i="1"/>
  <c r="BJ236" i="1"/>
  <c r="DG236" i="1"/>
  <c r="L236" i="1"/>
  <c r="BI236" i="1"/>
  <c r="DF236" i="1"/>
  <c r="K236" i="1"/>
  <c r="BH236" i="1"/>
  <c r="DE236" i="1"/>
  <c r="J236" i="1"/>
  <c r="BG236" i="1"/>
  <c r="DD236" i="1"/>
  <c r="I236" i="1"/>
  <c r="BF236" i="1"/>
  <c r="DC236" i="1"/>
  <c r="H236" i="1"/>
  <c r="BE236" i="1"/>
  <c r="DB236" i="1"/>
  <c r="G236" i="1"/>
  <c r="BD236" i="1"/>
  <c r="DA236" i="1"/>
  <c r="CZ236" i="1"/>
  <c r="CY236" i="1"/>
  <c r="CX236" i="1"/>
  <c r="CW236" i="1"/>
  <c r="CV236" i="1"/>
  <c r="CU236" i="1"/>
  <c r="CT236" i="1"/>
  <c r="CS236" i="1"/>
  <c r="CR236" i="1"/>
  <c r="CQ236" i="1"/>
  <c r="BC236" i="1"/>
  <c r="BB236" i="1"/>
  <c r="BA236" i="1"/>
  <c r="AZ236" i="1"/>
  <c r="AY236" i="1"/>
  <c r="AX236" i="1"/>
  <c r="AW236" i="1"/>
  <c r="AV236" i="1"/>
  <c r="AU236" i="1"/>
  <c r="AT236" i="1"/>
  <c r="AO235" i="1"/>
  <c r="CL235" i="1"/>
  <c r="EI235" i="1"/>
  <c r="AN235" i="1"/>
  <c r="CK235" i="1"/>
  <c r="EH235" i="1"/>
  <c r="AI235" i="1"/>
  <c r="CF235" i="1"/>
  <c r="EC235" i="1"/>
  <c r="AH235" i="1"/>
  <c r="CE235" i="1"/>
  <c r="EB235" i="1"/>
  <c r="AC235" i="1"/>
  <c r="BZ235" i="1"/>
  <c r="DW235" i="1"/>
  <c r="AB235" i="1"/>
  <c r="BY235" i="1"/>
  <c r="DV235" i="1"/>
  <c r="W235" i="1"/>
  <c r="BT235" i="1"/>
  <c r="DQ235" i="1"/>
  <c r="V235" i="1"/>
  <c r="BS235" i="1"/>
  <c r="DP235" i="1"/>
  <c r="Q235" i="1"/>
  <c r="BN235" i="1"/>
  <c r="DK235" i="1"/>
  <c r="P235" i="1"/>
  <c r="BM235" i="1"/>
  <c r="DJ235" i="1"/>
  <c r="O235" i="1"/>
  <c r="BL235" i="1"/>
  <c r="DI235" i="1"/>
  <c r="N235" i="1"/>
  <c r="BK235" i="1"/>
  <c r="DH235" i="1"/>
  <c r="M235" i="1"/>
  <c r="BJ235" i="1"/>
  <c r="DG235" i="1"/>
  <c r="L235" i="1"/>
  <c r="BI235" i="1"/>
  <c r="DF235" i="1"/>
  <c r="K235" i="1"/>
  <c r="BH235" i="1"/>
  <c r="DE235" i="1"/>
  <c r="J235" i="1"/>
  <c r="BG235" i="1"/>
  <c r="DD235" i="1"/>
  <c r="I235" i="1"/>
  <c r="BF235" i="1"/>
  <c r="DC235" i="1"/>
  <c r="H235" i="1"/>
  <c r="BE235" i="1"/>
  <c r="DB235" i="1"/>
  <c r="G235" i="1"/>
  <c r="BD235" i="1"/>
  <c r="DA235" i="1"/>
  <c r="CZ235" i="1"/>
  <c r="CY235" i="1"/>
  <c r="CX235" i="1"/>
  <c r="CW235" i="1"/>
  <c r="CV235" i="1"/>
  <c r="CU235" i="1"/>
  <c r="CT235" i="1"/>
  <c r="CS235" i="1"/>
  <c r="CR235" i="1"/>
  <c r="CQ235" i="1"/>
  <c r="BC235" i="1"/>
  <c r="BB235" i="1"/>
  <c r="BA235" i="1"/>
  <c r="AZ235" i="1"/>
  <c r="AY235" i="1"/>
  <c r="AX235" i="1"/>
  <c r="AW235" i="1"/>
  <c r="AV235" i="1"/>
  <c r="AU235" i="1"/>
  <c r="AT235" i="1"/>
  <c r="AO234" i="1"/>
  <c r="CL234" i="1"/>
  <c r="EI234" i="1"/>
  <c r="AN234" i="1"/>
  <c r="CK234" i="1"/>
  <c r="EH234" i="1"/>
  <c r="AI234" i="1"/>
  <c r="CF234" i="1"/>
  <c r="EC234" i="1"/>
  <c r="AH234" i="1"/>
  <c r="CE234" i="1"/>
  <c r="EB234" i="1"/>
  <c r="AC234" i="1"/>
  <c r="BZ234" i="1"/>
  <c r="DW234" i="1"/>
  <c r="AB234" i="1"/>
  <c r="BY234" i="1"/>
  <c r="DV234" i="1"/>
  <c r="W234" i="1"/>
  <c r="BT234" i="1"/>
  <c r="DQ234" i="1"/>
  <c r="V234" i="1"/>
  <c r="BS234" i="1"/>
  <c r="DP234" i="1"/>
  <c r="Q234" i="1"/>
  <c r="BN234" i="1"/>
  <c r="DK234" i="1"/>
  <c r="P234" i="1"/>
  <c r="BM234" i="1"/>
  <c r="DJ234" i="1"/>
  <c r="O234" i="1"/>
  <c r="BL234" i="1"/>
  <c r="DI234" i="1"/>
  <c r="N234" i="1"/>
  <c r="BK234" i="1"/>
  <c r="DH234" i="1"/>
  <c r="M234" i="1"/>
  <c r="BJ234" i="1"/>
  <c r="DG234" i="1"/>
  <c r="L234" i="1"/>
  <c r="BI234" i="1"/>
  <c r="DF234" i="1"/>
  <c r="K234" i="1"/>
  <c r="BH234" i="1"/>
  <c r="DE234" i="1"/>
  <c r="J234" i="1"/>
  <c r="BG234" i="1"/>
  <c r="DD234" i="1"/>
  <c r="I234" i="1"/>
  <c r="BF234" i="1"/>
  <c r="DC234" i="1"/>
  <c r="H234" i="1"/>
  <c r="BE234" i="1"/>
  <c r="DB234" i="1"/>
  <c r="G234" i="1"/>
  <c r="BD234" i="1"/>
  <c r="DA234" i="1"/>
  <c r="CZ234" i="1"/>
  <c r="CY234" i="1"/>
  <c r="CX234" i="1"/>
  <c r="CW234" i="1"/>
  <c r="CV234" i="1"/>
  <c r="CU234" i="1"/>
  <c r="CT234" i="1"/>
  <c r="CS234" i="1"/>
  <c r="CR234" i="1"/>
  <c r="CQ234" i="1"/>
  <c r="BC234" i="1"/>
  <c r="BB234" i="1"/>
  <c r="BA234" i="1"/>
  <c r="AZ234" i="1"/>
  <c r="AY234" i="1"/>
  <c r="AX234" i="1"/>
  <c r="AW234" i="1"/>
  <c r="AV234" i="1"/>
  <c r="AU234" i="1"/>
  <c r="AT234" i="1"/>
  <c r="AO233" i="1"/>
  <c r="CL233" i="1"/>
  <c r="EI233" i="1"/>
  <c r="AN233" i="1"/>
  <c r="CK233" i="1"/>
  <c r="EH233" i="1"/>
  <c r="AI233" i="1"/>
  <c r="CF233" i="1"/>
  <c r="EC233" i="1"/>
  <c r="AH233" i="1"/>
  <c r="CE233" i="1"/>
  <c r="EB233" i="1"/>
  <c r="AC233" i="1"/>
  <c r="BZ233" i="1"/>
  <c r="DW233" i="1"/>
  <c r="AB233" i="1"/>
  <c r="BY233" i="1"/>
  <c r="DV233" i="1"/>
  <c r="W233" i="1"/>
  <c r="BT233" i="1"/>
  <c r="DQ233" i="1"/>
  <c r="V233" i="1"/>
  <c r="BS233" i="1"/>
  <c r="DP233" i="1"/>
  <c r="Q233" i="1"/>
  <c r="BN233" i="1"/>
  <c r="DK233" i="1"/>
  <c r="P233" i="1"/>
  <c r="BM233" i="1"/>
  <c r="DJ233" i="1"/>
  <c r="O233" i="1"/>
  <c r="BL233" i="1"/>
  <c r="DI233" i="1"/>
  <c r="N233" i="1"/>
  <c r="BK233" i="1"/>
  <c r="DH233" i="1"/>
  <c r="M233" i="1"/>
  <c r="BJ233" i="1"/>
  <c r="DG233" i="1"/>
  <c r="L233" i="1"/>
  <c r="BI233" i="1"/>
  <c r="DF233" i="1"/>
  <c r="K233" i="1"/>
  <c r="BH233" i="1"/>
  <c r="DE233" i="1"/>
  <c r="J233" i="1"/>
  <c r="BG233" i="1"/>
  <c r="DD233" i="1"/>
  <c r="I233" i="1"/>
  <c r="BF233" i="1"/>
  <c r="DC233" i="1"/>
  <c r="H233" i="1"/>
  <c r="BE233" i="1"/>
  <c r="DB233" i="1"/>
  <c r="G233" i="1"/>
  <c r="BD233" i="1"/>
  <c r="DA233" i="1"/>
  <c r="CZ233" i="1"/>
  <c r="CY233" i="1"/>
  <c r="CX233" i="1"/>
  <c r="CW233" i="1"/>
  <c r="CV233" i="1"/>
  <c r="CU233" i="1"/>
  <c r="CT233" i="1"/>
  <c r="CS233" i="1"/>
  <c r="CR233" i="1"/>
  <c r="CQ233" i="1"/>
  <c r="BC233" i="1"/>
  <c r="BB233" i="1"/>
  <c r="BA233" i="1"/>
  <c r="AZ233" i="1"/>
  <c r="AY233" i="1"/>
  <c r="AX233" i="1"/>
  <c r="AW233" i="1"/>
  <c r="AV233" i="1"/>
  <c r="AU233" i="1"/>
  <c r="AT233" i="1"/>
  <c r="AO232" i="1"/>
  <c r="CL232" i="1"/>
  <c r="EI232" i="1"/>
  <c r="AN232" i="1"/>
  <c r="CK232" i="1"/>
  <c r="EH232" i="1"/>
  <c r="AI232" i="1"/>
  <c r="CF232" i="1"/>
  <c r="EC232" i="1"/>
  <c r="AH232" i="1"/>
  <c r="CE232" i="1"/>
  <c r="EB232" i="1"/>
  <c r="AC232" i="1"/>
  <c r="BZ232" i="1"/>
  <c r="DW232" i="1"/>
  <c r="AB232" i="1"/>
  <c r="BY232" i="1"/>
  <c r="DV232" i="1"/>
  <c r="W232" i="1"/>
  <c r="BT232" i="1"/>
  <c r="DQ232" i="1"/>
  <c r="V232" i="1"/>
  <c r="BS232" i="1"/>
  <c r="DP232" i="1"/>
  <c r="Q232" i="1"/>
  <c r="BN232" i="1"/>
  <c r="DK232" i="1"/>
  <c r="P232" i="1"/>
  <c r="BM232" i="1"/>
  <c r="DJ232" i="1"/>
  <c r="O232" i="1"/>
  <c r="BL232" i="1"/>
  <c r="DI232" i="1"/>
  <c r="N232" i="1"/>
  <c r="BK232" i="1"/>
  <c r="DH232" i="1"/>
  <c r="M232" i="1"/>
  <c r="BJ232" i="1"/>
  <c r="DG232" i="1"/>
  <c r="L232" i="1"/>
  <c r="BI232" i="1"/>
  <c r="DF232" i="1"/>
  <c r="K232" i="1"/>
  <c r="BH232" i="1"/>
  <c r="DE232" i="1"/>
  <c r="J232" i="1"/>
  <c r="BG232" i="1"/>
  <c r="DD232" i="1"/>
  <c r="I232" i="1"/>
  <c r="BF232" i="1"/>
  <c r="DC232" i="1"/>
  <c r="H232" i="1"/>
  <c r="BE232" i="1"/>
  <c r="DB232" i="1"/>
  <c r="G232" i="1"/>
  <c r="BD232" i="1"/>
  <c r="DA232" i="1"/>
  <c r="CZ232" i="1"/>
  <c r="CY232" i="1"/>
  <c r="CX232" i="1"/>
  <c r="CW232" i="1"/>
  <c r="CV232" i="1"/>
  <c r="CU232" i="1"/>
  <c r="CT232" i="1"/>
  <c r="CS232" i="1"/>
  <c r="CR232" i="1"/>
  <c r="CQ232" i="1"/>
  <c r="BC232" i="1"/>
  <c r="BB232" i="1"/>
  <c r="BA232" i="1"/>
  <c r="AZ232" i="1"/>
  <c r="AY232" i="1"/>
  <c r="AX232" i="1"/>
  <c r="AW232" i="1"/>
  <c r="AV232" i="1"/>
  <c r="AU232" i="1"/>
  <c r="AT232" i="1"/>
  <c r="AO231" i="1"/>
  <c r="CL231" i="1"/>
  <c r="EI231" i="1"/>
  <c r="AN231" i="1"/>
  <c r="CK231" i="1"/>
  <c r="EH231" i="1"/>
  <c r="AI231" i="1"/>
  <c r="CF231" i="1"/>
  <c r="EC231" i="1"/>
  <c r="AH231" i="1"/>
  <c r="CE231" i="1"/>
  <c r="EB231" i="1"/>
  <c r="AC231" i="1"/>
  <c r="BZ231" i="1"/>
  <c r="DW231" i="1"/>
  <c r="AB231" i="1"/>
  <c r="BY231" i="1"/>
  <c r="DV231" i="1"/>
  <c r="W231" i="1"/>
  <c r="BT231" i="1"/>
  <c r="DQ231" i="1"/>
  <c r="V231" i="1"/>
  <c r="BS231" i="1"/>
  <c r="DP231" i="1"/>
  <c r="Q231" i="1"/>
  <c r="BN231" i="1"/>
  <c r="DK231" i="1"/>
  <c r="P231" i="1"/>
  <c r="BM231" i="1"/>
  <c r="DJ231" i="1"/>
  <c r="O231" i="1"/>
  <c r="BL231" i="1"/>
  <c r="DI231" i="1"/>
  <c r="N231" i="1"/>
  <c r="BK231" i="1"/>
  <c r="DH231" i="1"/>
  <c r="M231" i="1"/>
  <c r="BJ231" i="1"/>
  <c r="DG231" i="1"/>
  <c r="L231" i="1"/>
  <c r="BI231" i="1"/>
  <c r="DF231" i="1"/>
  <c r="K231" i="1"/>
  <c r="BH231" i="1"/>
  <c r="DE231" i="1"/>
  <c r="J231" i="1"/>
  <c r="BG231" i="1"/>
  <c r="DD231" i="1"/>
  <c r="I231" i="1"/>
  <c r="BF231" i="1"/>
  <c r="DC231" i="1"/>
  <c r="H231" i="1"/>
  <c r="BE231" i="1"/>
  <c r="DB231" i="1"/>
  <c r="G231" i="1"/>
  <c r="BD231" i="1"/>
  <c r="DA231" i="1"/>
  <c r="CZ231" i="1"/>
  <c r="CY231" i="1"/>
  <c r="CX231" i="1"/>
  <c r="CW231" i="1"/>
  <c r="CV231" i="1"/>
  <c r="CU231" i="1"/>
  <c r="CT231" i="1"/>
  <c r="CS231" i="1"/>
  <c r="CR231" i="1"/>
  <c r="CQ231" i="1"/>
  <c r="BC231" i="1"/>
  <c r="BB231" i="1"/>
  <c r="BA231" i="1"/>
  <c r="AZ231" i="1"/>
  <c r="AY231" i="1"/>
  <c r="AX231" i="1"/>
  <c r="AW231" i="1"/>
  <c r="AV231" i="1"/>
  <c r="AU231" i="1"/>
  <c r="AT231" i="1"/>
  <c r="AO230" i="1"/>
  <c r="CL230" i="1"/>
  <c r="EI230" i="1"/>
  <c r="AN230" i="1"/>
  <c r="CK230" i="1"/>
  <c r="EH230" i="1"/>
  <c r="AI230" i="1"/>
  <c r="CF230" i="1"/>
  <c r="EC230" i="1"/>
  <c r="AH230" i="1"/>
  <c r="CE230" i="1"/>
  <c r="EB230" i="1"/>
  <c r="AC230" i="1"/>
  <c r="BZ230" i="1"/>
  <c r="DW230" i="1"/>
  <c r="AB230" i="1"/>
  <c r="BY230" i="1"/>
  <c r="DV230" i="1"/>
  <c r="W230" i="1"/>
  <c r="BT230" i="1"/>
  <c r="DQ230" i="1"/>
  <c r="V230" i="1"/>
  <c r="BS230" i="1"/>
  <c r="DP230" i="1"/>
  <c r="Q230" i="1"/>
  <c r="BN230" i="1"/>
  <c r="DK230" i="1"/>
  <c r="P230" i="1"/>
  <c r="BM230" i="1"/>
  <c r="DJ230" i="1"/>
  <c r="O230" i="1"/>
  <c r="BL230" i="1"/>
  <c r="DI230" i="1"/>
  <c r="N230" i="1"/>
  <c r="BK230" i="1"/>
  <c r="DH230" i="1"/>
  <c r="M230" i="1"/>
  <c r="BJ230" i="1"/>
  <c r="DG230" i="1"/>
  <c r="L230" i="1"/>
  <c r="BI230" i="1"/>
  <c r="DF230" i="1"/>
  <c r="K230" i="1"/>
  <c r="BH230" i="1"/>
  <c r="DE230" i="1"/>
  <c r="J230" i="1"/>
  <c r="BG230" i="1"/>
  <c r="DD230" i="1"/>
  <c r="I230" i="1"/>
  <c r="BF230" i="1"/>
  <c r="DC230" i="1"/>
  <c r="H230" i="1"/>
  <c r="BE230" i="1"/>
  <c r="DB230" i="1"/>
  <c r="G230" i="1"/>
  <c r="BD230" i="1"/>
  <c r="DA230" i="1"/>
  <c r="CZ230" i="1"/>
  <c r="CY230" i="1"/>
  <c r="CX230" i="1"/>
  <c r="CW230" i="1"/>
  <c r="CV230" i="1"/>
  <c r="CU230" i="1"/>
  <c r="CT230" i="1"/>
  <c r="CS230" i="1"/>
  <c r="CR230" i="1"/>
  <c r="CQ230" i="1"/>
  <c r="BC230" i="1"/>
  <c r="BB230" i="1"/>
  <c r="BA230" i="1"/>
  <c r="AZ230" i="1"/>
  <c r="AY230" i="1"/>
  <c r="AX230" i="1"/>
  <c r="AW230" i="1"/>
  <c r="AV230" i="1"/>
  <c r="AU230" i="1"/>
  <c r="AT230" i="1"/>
  <c r="AO229" i="1"/>
  <c r="CL229" i="1"/>
  <c r="EI229" i="1"/>
  <c r="AN229" i="1"/>
  <c r="CK229" i="1"/>
  <c r="EH229" i="1"/>
  <c r="AI229" i="1"/>
  <c r="CF229" i="1"/>
  <c r="EC229" i="1"/>
  <c r="AH229" i="1"/>
  <c r="CE229" i="1"/>
  <c r="EB229" i="1"/>
  <c r="AC229" i="1"/>
  <c r="BZ229" i="1"/>
  <c r="DW229" i="1"/>
  <c r="AB229" i="1"/>
  <c r="BY229" i="1"/>
  <c r="DV229" i="1"/>
  <c r="W229" i="1"/>
  <c r="BT229" i="1"/>
  <c r="DQ229" i="1"/>
  <c r="V229" i="1"/>
  <c r="BS229" i="1"/>
  <c r="DP229" i="1"/>
  <c r="Q229" i="1"/>
  <c r="BN229" i="1"/>
  <c r="DK229" i="1"/>
  <c r="P229" i="1"/>
  <c r="BM229" i="1"/>
  <c r="DJ229" i="1"/>
  <c r="O229" i="1"/>
  <c r="BL229" i="1"/>
  <c r="DI229" i="1"/>
  <c r="N229" i="1"/>
  <c r="BK229" i="1"/>
  <c r="DH229" i="1"/>
  <c r="M229" i="1"/>
  <c r="BJ229" i="1"/>
  <c r="DG229" i="1"/>
  <c r="L229" i="1"/>
  <c r="BI229" i="1"/>
  <c r="DF229" i="1"/>
  <c r="K229" i="1"/>
  <c r="BH229" i="1"/>
  <c r="DE229" i="1"/>
  <c r="J229" i="1"/>
  <c r="BG229" i="1"/>
  <c r="DD229" i="1"/>
  <c r="I229" i="1"/>
  <c r="BF229" i="1"/>
  <c r="DC229" i="1"/>
  <c r="H229" i="1"/>
  <c r="BE229" i="1"/>
  <c r="DB229" i="1"/>
  <c r="G229" i="1"/>
  <c r="BD229" i="1"/>
  <c r="DA229" i="1"/>
  <c r="CZ229" i="1"/>
  <c r="CY229" i="1"/>
  <c r="CX229" i="1"/>
  <c r="CW229" i="1"/>
  <c r="CV229" i="1"/>
  <c r="CU229" i="1"/>
  <c r="CT229" i="1"/>
  <c r="CS229" i="1"/>
  <c r="CR229" i="1"/>
  <c r="CQ229" i="1"/>
  <c r="BC229" i="1"/>
  <c r="BB229" i="1"/>
  <c r="BA229" i="1"/>
  <c r="AZ229" i="1"/>
  <c r="AY229" i="1"/>
  <c r="AX229" i="1"/>
  <c r="AW229" i="1"/>
  <c r="AV229" i="1"/>
  <c r="AU229" i="1"/>
  <c r="AT229" i="1"/>
  <c r="AO228" i="1"/>
  <c r="CL228" i="1"/>
  <c r="EI228" i="1"/>
  <c r="AN228" i="1"/>
  <c r="CK228" i="1"/>
  <c r="EH228" i="1"/>
  <c r="AI228" i="1"/>
  <c r="CF228" i="1"/>
  <c r="EC228" i="1"/>
  <c r="AH228" i="1"/>
  <c r="CE228" i="1"/>
  <c r="EB228" i="1"/>
  <c r="AC228" i="1"/>
  <c r="BZ228" i="1"/>
  <c r="DW228" i="1"/>
  <c r="AB228" i="1"/>
  <c r="BY228" i="1"/>
  <c r="DV228" i="1"/>
  <c r="W228" i="1"/>
  <c r="BT228" i="1"/>
  <c r="DQ228" i="1"/>
  <c r="V228" i="1"/>
  <c r="BS228" i="1"/>
  <c r="DP228" i="1"/>
  <c r="Q228" i="1"/>
  <c r="BN228" i="1"/>
  <c r="DK228" i="1"/>
  <c r="P228" i="1"/>
  <c r="BM228" i="1"/>
  <c r="DJ228" i="1"/>
  <c r="O228" i="1"/>
  <c r="BL228" i="1"/>
  <c r="DI228" i="1"/>
  <c r="N228" i="1"/>
  <c r="BK228" i="1"/>
  <c r="DH228" i="1"/>
  <c r="M228" i="1"/>
  <c r="BJ228" i="1"/>
  <c r="DG228" i="1"/>
  <c r="L228" i="1"/>
  <c r="BI228" i="1"/>
  <c r="DF228" i="1"/>
  <c r="K228" i="1"/>
  <c r="BH228" i="1"/>
  <c r="DE228" i="1"/>
  <c r="J228" i="1"/>
  <c r="BG228" i="1"/>
  <c r="DD228" i="1"/>
  <c r="I228" i="1"/>
  <c r="BF228" i="1"/>
  <c r="DC228" i="1"/>
  <c r="H228" i="1"/>
  <c r="BE228" i="1"/>
  <c r="DB228" i="1"/>
  <c r="G228" i="1"/>
  <c r="BD228" i="1"/>
  <c r="DA228" i="1"/>
  <c r="CZ228" i="1"/>
  <c r="CY228" i="1"/>
  <c r="CX228" i="1"/>
  <c r="CW228" i="1"/>
  <c r="CV228" i="1"/>
  <c r="CU228" i="1"/>
  <c r="CT228" i="1"/>
  <c r="CS228" i="1"/>
  <c r="CR228" i="1"/>
  <c r="CQ228" i="1"/>
  <c r="BC228" i="1"/>
  <c r="BB228" i="1"/>
  <c r="BA228" i="1"/>
  <c r="AZ228" i="1"/>
  <c r="AY228" i="1"/>
  <c r="AX228" i="1"/>
  <c r="AW228" i="1"/>
  <c r="AV228" i="1"/>
  <c r="AU228" i="1"/>
  <c r="AT228" i="1"/>
  <c r="AO227" i="1"/>
  <c r="CL227" i="1"/>
  <c r="EI227" i="1"/>
  <c r="AN227" i="1"/>
  <c r="CK227" i="1"/>
  <c r="EH227" i="1"/>
  <c r="AI227" i="1"/>
  <c r="CF227" i="1"/>
  <c r="EC227" i="1"/>
  <c r="AH227" i="1"/>
  <c r="CE227" i="1"/>
  <c r="EB227" i="1"/>
  <c r="AC227" i="1"/>
  <c r="BZ227" i="1"/>
  <c r="DW227" i="1"/>
  <c r="AB227" i="1"/>
  <c r="BY227" i="1"/>
  <c r="DV227" i="1"/>
  <c r="W227" i="1"/>
  <c r="BT227" i="1"/>
  <c r="DQ227" i="1"/>
  <c r="V227" i="1"/>
  <c r="BS227" i="1"/>
  <c r="DP227" i="1"/>
  <c r="Q227" i="1"/>
  <c r="BN227" i="1"/>
  <c r="DK227" i="1"/>
  <c r="P227" i="1"/>
  <c r="BM227" i="1"/>
  <c r="DJ227" i="1"/>
  <c r="O227" i="1"/>
  <c r="BL227" i="1"/>
  <c r="DI227" i="1"/>
  <c r="N227" i="1"/>
  <c r="BK227" i="1"/>
  <c r="DH227" i="1"/>
  <c r="M227" i="1"/>
  <c r="BJ227" i="1"/>
  <c r="DG227" i="1"/>
  <c r="L227" i="1"/>
  <c r="BI227" i="1"/>
  <c r="DF227" i="1"/>
  <c r="K227" i="1"/>
  <c r="BH227" i="1"/>
  <c r="DE227" i="1"/>
  <c r="J227" i="1"/>
  <c r="BG227" i="1"/>
  <c r="DD227" i="1"/>
  <c r="I227" i="1"/>
  <c r="BF227" i="1"/>
  <c r="DC227" i="1"/>
  <c r="H227" i="1"/>
  <c r="BE227" i="1"/>
  <c r="DB227" i="1"/>
  <c r="G227" i="1"/>
  <c r="BD227" i="1"/>
  <c r="DA227" i="1"/>
  <c r="CZ227" i="1"/>
  <c r="CY227" i="1"/>
  <c r="CX227" i="1"/>
  <c r="CW227" i="1"/>
  <c r="CV227" i="1"/>
  <c r="CU227" i="1"/>
  <c r="CT227" i="1"/>
  <c r="CS227" i="1"/>
  <c r="CR227" i="1"/>
  <c r="CQ227" i="1"/>
  <c r="BC227" i="1"/>
  <c r="BB227" i="1"/>
  <c r="BA227" i="1"/>
  <c r="AZ227" i="1"/>
  <c r="AY227" i="1"/>
  <c r="AX227" i="1"/>
  <c r="AW227" i="1"/>
  <c r="AV227" i="1"/>
  <c r="AU227" i="1"/>
  <c r="AT227" i="1"/>
  <c r="AO226" i="1"/>
  <c r="CL226" i="1"/>
  <c r="EI226" i="1"/>
  <c r="AN226" i="1"/>
  <c r="CK226" i="1"/>
  <c r="EH226" i="1"/>
  <c r="AI226" i="1"/>
  <c r="CF226" i="1"/>
  <c r="EC226" i="1"/>
  <c r="AH226" i="1"/>
  <c r="CE226" i="1"/>
  <c r="EB226" i="1"/>
  <c r="AC226" i="1"/>
  <c r="BZ226" i="1"/>
  <c r="DW226" i="1"/>
  <c r="AB226" i="1"/>
  <c r="BY226" i="1"/>
  <c r="DV226" i="1"/>
  <c r="W226" i="1"/>
  <c r="BT226" i="1"/>
  <c r="DQ226" i="1"/>
  <c r="V226" i="1"/>
  <c r="BS226" i="1"/>
  <c r="DP226" i="1"/>
  <c r="Q226" i="1"/>
  <c r="BN226" i="1"/>
  <c r="DK226" i="1"/>
  <c r="P226" i="1"/>
  <c r="BM226" i="1"/>
  <c r="DJ226" i="1"/>
  <c r="O226" i="1"/>
  <c r="BL226" i="1"/>
  <c r="DI226" i="1"/>
  <c r="N226" i="1"/>
  <c r="BK226" i="1"/>
  <c r="DH226" i="1"/>
  <c r="M226" i="1"/>
  <c r="BJ226" i="1"/>
  <c r="DG226" i="1"/>
  <c r="L226" i="1"/>
  <c r="BI226" i="1"/>
  <c r="DF226" i="1"/>
  <c r="K226" i="1"/>
  <c r="BH226" i="1"/>
  <c r="DE226" i="1"/>
  <c r="J226" i="1"/>
  <c r="BG226" i="1"/>
  <c r="DD226" i="1"/>
  <c r="I226" i="1"/>
  <c r="BF226" i="1"/>
  <c r="DC226" i="1"/>
  <c r="H226" i="1"/>
  <c r="BE226" i="1"/>
  <c r="DB226" i="1"/>
  <c r="G226" i="1"/>
  <c r="BD226" i="1"/>
  <c r="DA226" i="1"/>
  <c r="CZ226" i="1"/>
  <c r="CY226" i="1"/>
  <c r="CX226" i="1"/>
  <c r="CW226" i="1"/>
  <c r="CV226" i="1"/>
  <c r="CU226" i="1"/>
  <c r="CT226" i="1"/>
  <c r="CS226" i="1"/>
  <c r="CR226" i="1"/>
  <c r="CQ226" i="1"/>
  <c r="BC226" i="1"/>
  <c r="BB226" i="1"/>
  <c r="BA226" i="1"/>
  <c r="AZ226" i="1"/>
  <c r="AY226" i="1"/>
  <c r="AX226" i="1"/>
  <c r="AW226" i="1"/>
  <c r="AV226" i="1"/>
  <c r="AU226" i="1"/>
  <c r="AT226" i="1"/>
  <c r="AO225" i="1"/>
  <c r="CL225" i="1"/>
  <c r="EI225" i="1"/>
  <c r="AN225" i="1"/>
  <c r="CK225" i="1"/>
  <c r="EH225" i="1"/>
  <c r="AI225" i="1"/>
  <c r="CF225" i="1"/>
  <c r="EC225" i="1"/>
  <c r="AH225" i="1"/>
  <c r="CE225" i="1"/>
  <c r="EB225" i="1"/>
  <c r="AC225" i="1"/>
  <c r="BZ225" i="1"/>
  <c r="DW225" i="1"/>
  <c r="AB225" i="1"/>
  <c r="BY225" i="1"/>
  <c r="DV225" i="1"/>
  <c r="W225" i="1"/>
  <c r="BT225" i="1"/>
  <c r="DQ225" i="1"/>
  <c r="V225" i="1"/>
  <c r="BS225" i="1"/>
  <c r="DP225" i="1"/>
  <c r="Q225" i="1"/>
  <c r="BN225" i="1"/>
  <c r="DK225" i="1"/>
  <c r="P225" i="1"/>
  <c r="BM225" i="1"/>
  <c r="DJ225" i="1"/>
  <c r="O225" i="1"/>
  <c r="BL225" i="1"/>
  <c r="DI225" i="1"/>
  <c r="N225" i="1"/>
  <c r="BK225" i="1"/>
  <c r="DH225" i="1"/>
  <c r="M225" i="1"/>
  <c r="BJ225" i="1"/>
  <c r="DG225" i="1"/>
  <c r="L225" i="1"/>
  <c r="BI225" i="1"/>
  <c r="DF225" i="1"/>
  <c r="K225" i="1"/>
  <c r="BH225" i="1"/>
  <c r="DE225" i="1"/>
  <c r="J225" i="1"/>
  <c r="BG225" i="1"/>
  <c r="DD225" i="1"/>
  <c r="I225" i="1"/>
  <c r="BF225" i="1"/>
  <c r="DC225" i="1"/>
  <c r="H225" i="1"/>
  <c r="BE225" i="1"/>
  <c r="DB225" i="1"/>
  <c r="G225" i="1"/>
  <c r="BD225" i="1"/>
  <c r="DA225" i="1"/>
  <c r="CZ225" i="1"/>
  <c r="CY225" i="1"/>
  <c r="CX225" i="1"/>
  <c r="CW225" i="1"/>
  <c r="CV225" i="1"/>
  <c r="CU225" i="1"/>
  <c r="CT225" i="1"/>
  <c r="CS225" i="1"/>
  <c r="CR225" i="1"/>
  <c r="CQ225" i="1"/>
  <c r="BC225" i="1"/>
  <c r="BB225" i="1"/>
  <c r="BA225" i="1"/>
  <c r="AZ225" i="1"/>
  <c r="AY225" i="1"/>
  <c r="AX225" i="1"/>
  <c r="AW225" i="1"/>
  <c r="AV225" i="1"/>
  <c r="AU225" i="1"/>
  <c r="AT225" i="1"/>
  <c r="AO224" i="1"/>
  <c r="CL224" i="1"/>
  <c r="EI224" i="1"/>
  <c r="AN224" i="1"/>
  <c r="CK224" i="1"/>
  <c r="EH224" i="1"/>
  <c r="AI224" i="1"/>
  <c r="CF224" i="1"/>
  <c r="EC224" i="1"/>
  <c r="AH224" i="1"/>
  <c r="CE224" i="1"/>
  <c r="EB224" i="1"/>
  <c r="AC224" i="1"/>
  <c r="BZ224" i="1"/>
  <c r="DW224" i="1"/>
  <c r="AB224" i="1"/>
  <c r="BY224" i="1"/>
  <c r="DV224" i="1"/>
  <c r="W224" i="1"/>
  <c r="BT224" i="1"/>
  <c r="DQ224" i="1"/>
  <c r="V224" i="1"/>
  <c r="BS224" i="1"/>
  <c r="DP224" i="1"/>
  <c r="Q224" i="1"/>
  <c r="BN224" i="1"/>
  <c r="DK224" i="1"/>
  <c r="P224" i="1"/>
  <c r="BM224" i="1"/>
  <c r="DJ224" i="1"/>
  <c r="O224" i="1"/>
  <c r="BL224" i="1"/>
  <c r="DI224" i="1"/>
  <c r="N224" i="1"/>
  <c r="BK224" i="1"/>
  <c r="DH224" i="1"/>
  <c r="M224" i="1"/>
  <c r="BJ224" i="1"/>
  <c r="DG224" i="1"/>
  <c r="L224" i="1"/>
  <c r="BI224" i="1"/>
  <c r="DF224" i="1"/>
  <c r="K224" i="1"/>
  <c r="BH224" i="1"/>
  <c r="DE224" i="1"/>
  <c r="J224" i="1"/>
  <c r="BG224" i="1"/>
  <c r="DD224" i="1"/>
  <c r="I224" i="1"/>
  <c r="BF224" i="1"/>
  <c r="DC224" i="1"/>
  <c r="H224" i="1"/>
  <c r="BE224" i="1"/>
  <c r="DB224" i="1"/>
  <c r="G224" i="1"/>
  <c r="BD224" i="1"/>
  <c r="DA224" i="1"/>
  <c r="CZ224" i="1"/>
  <c r="CY224" i="1"/>
  <c r="CX224" i="1"/>
  <c r="CW224" i="1"/>
  <c r="CV224" i="1"/>
  <c r="CU224" i="1"/>
  <c r="CT224" i="1"/>
  <c r="CS224" i="1"/>
  <c r="CR224" i="1"/>
  <c r="CQ224" i="1"/>
  <c r="BC224" i="1"/>
  <c r="BB224" i="1"/>
  <c r="BA224" i="1"/>
  <c r="AZ224" i="1"/>
  <c r="AY224" i="1"/>
  <c r="AX224" i="1"/>
  <c r="AW224" i="1"/>
  <c r="AV224" i="1"/>
  <c r="AU224" i="1"/>
  <c r="AT224" i="1"/>
  <c r="AO223" i="1"/>
  <c r="CL223" i="1"/>
  <c r="EI223" i="1"/>
  <c r="AN223" i="1"/>
  <c r="CK223" i="1"/>
  <c r="EH223" i="1"/>
  <c r="AI223" i="1"/>
  <c r="CF223" i="1"/>
  <c r="EC223" i="1"/>
  <c r="AH223" i="1"/>
  <c r="CE223" i="1"/>
  <c r="EB223" i="1"/>
  <c r="AC223" i="1"/>
  <c r="BZ223" i="1"/>
  <c r="DW223" i="1"/>
  <c r="AB223" i="1"/>
  <c r="BY223" i="1"/>
  <c r="DV223" i="1"/>
  <c r="W223" i="1"/>
  <c r="BT223" i="1"/>
  <c r="DQ223" i="1"/>
  <c r="V223" i="1"/>
  <c r="BS223" i="1"/>
  <c r="DP223" i="1"/>
  <c r="Q223" i="1"/>
  <c r="BN223" i="1"/>
  <c r="DK223" i="1"/>
  <c r="P223" i="1"/>
  <c r="BM223" i="1"/>
  <c r="DJ223" i="1"/>
  <c r="O223" i="1"/>
  <c r="BL223" i="1"/>
  <c r="DI223" i="1"/>
  <c r="N223" i="1"/>
  <c r="BK223" i="1"/>
  <c r="DH223" i="1"/>
  <c r="M223" i="1"/>
  <c r="BJ223" i="1"/>
  <c r="DG223" i="1"/>
  <c r="L223" i="1"/>
  <c r="BI223" i="1"/>
  <c r="DF223" i="1"/>
  <c r="K223" i="1"/>
  <c r="BH223" i="1"/>
  <c r="DE223" i="1"/>
  <c r="J223" i="1"/>
  <c r="BG223" i="1"/>
  <c r="DD223" i="1"/>
  <c r="I223" i="1"/>
  <c r="BF223" i="1"/>
  <c r="DC223" i="1"/>
  <c r="H223" i="1"/>
  <c r="BE223" i="1"/>
  <c r="DB223" i="1"/>
  <c r="G223" i="1"/>
  <c r="BD223" i="1"/>
  <c r="DA223" i="1"/>
  <c r="CZ223" i="1"/>
  <c r="CY223" i="1"/>
  <c r="CX223" i="1"/>
  <c r="CW223" i="1"/>
  <c r="CV223" i="1"/>
  <c r="CU223" i="1"/>
  <c r="CT223" i="1"/>
  <c r="CS223" i="1"/>
  <c r="CR223" i="1"/>
  <c r="CQ223" i="1"/>
  <c r="BC223" i="1"/>
  <c r="BB223" i="1"/>
  <c r="BA223" i="1"/>
  <c r="AZ223" i="1"/>
  <c r="AY223" i="1"/>
  <c r="AX223" i="1"/>
  <c r="AW223" i="1"/>
  <c r="AV223" i="1"/>
  <c r="AU223" i="1"/>
  <c r="AT223" i="1"/>
  <c r="AO222" i="1"/>
  <c r="CL222" i="1"/>
  <c r="EI222" i="1"/>
  <c r="AN222" i="1"/>
  <c r="CK222" i="1"/>
  <c r="EH222" i="1"/>
  <c r="AI222" i="1"/>
  <c r="CF222" i="1"/>
  <c r="EC222" i="1"/>
  <c r="AH222" i="1"/>
  <c r="CE222" i="1"/>
  <c r="EB222" i="1"/>
  <c r="AC222" i="1"/>
  <c r="BZ222" i="1"/>
  <c r="DW222" i="1"/>
  <c r="AB222" i="1"/>
  <c r="BY222" i="1"/>
  <c r="DV222" i="1"/>
  <c r="W222" i="1"/>
  <c r="BT222" i="1"/>
  <c r="DQ222" i="1"/>
  <c r="V222" i="1"/>
  <c r="BS222" i="1"/>
  <c r="DP222" i="1"/>
  <c r="Q222" i="1"/>
  <c r="BN222" i="1"/>
  <c r="DK222" i="1"/>
  <c r="P222" i="1"/>
  <c r="BM222" i="1"/>
  <c r="DJ222" i="1"/>
  <c r="O222" i="1"/>
  <c r="BL222" i="1"/>
  <c r="DI222" i="1"/>
  <c r="N222" i="1"/>
  <c r="BK222" i="1"/>
  <c r="DH222" i="1"/>
  <c r="M222" i="1"/>
  <c r="BJ222" i="1"/>
  <c r="DG222" i="1"/>
  <c r="L222" i="1"/>
  <c r="BI222" i="1"/>
  <c r="DF222" i="1"/>
  <c r="K222" i="1"/>
  <c r="BH222" i="1"/>
  <c r="DE222" i="1"/>
  <c r="J222" i="1"/>
  <c r="BG222" i="1"/>
  <c r="DD222" i="1"/>
  <c r="I222" i="1"/>
  <c r="BF222" i="1"/>
  <c r="DC222" i="1"/>
  <c r="H222" i="1"/>
  <c r="BE222" i="1"/>
  <c r="DB222" i="1"/>
  <c r="G222" i="1"/>
  <c r="BD222" i="1"/>
  <c r="DA222" i="1"/>
  <c r="CZ222" i="1"/>
  <c r="CY222" i="1"/>
  <c r="CX222" i="1"/>
  <c r="CW222" i="1"/>
  <c r="CV222" i="1"/>
  <c r="CU222" i="1"/>
  <c r="CT222" i="1"/>
  <c r="CS222" i="1"/>
  <c r="CR222" i="1"/>
  <c r="CQ222" i="1"/>
  <c r="BC222" i="1"/>
  <c r="BB222" i="1"/>
  <c r="BA222" i="1"/>
  <c r="AZ222" i="1"/>
  <c r="AY222" i="1"/>
  <c r="AX222" i="1"/>
  <c r="AW222" i="1"/>
  <c r="AV222" i="1"/>
  <c r="AU222" i="1"/>
  <c r="AT222" i="1"/>
  <c r="AO221" i="1"/>
  <c r="CL221" i="1"/>
  <c r="EI221" i="1"/>
  <c r="AN221" i="1"/>
  <c r="CK221" i="1"/>
  <c r="EH221" i="1"/>
  <c r="AI221" i="1"/>
  <c r="CF221" i="1"/>
  <c r="EC221" i="1"/>
  <c r="AH221" i="1"/>
  <c r="CE221" i="1"/>
  <c r="EB221" i="1"/>
  <c r="AC221" i="1"/>
  <c r="BZ221" i="1"/>
  <c r="DW221" i="1"/>
  <c r="AB221" i="1"/>
  <c r="BY221" i="1"/>
  <c r="DV221" i="1"/>
  <c r="W221" i="1"/>
  <c r="BT221" i="1"/>
  <c r="DQ221" i="1"/>
  <c r="V221" i="1"/>
  <c r="BS221" i="1"/>
  <c r="DP221" i="1"/>
  <c r="Q221" i="1"/>
  <c r="BN221" i="1"/>
  <c r="DK221" i="1"/>
  <c r="P221" i="1"/>
  <c r="BM221" i="1"/>
  <c r="DJ221" i="1"/>
  <c r="O221" i="1"/>
  <c r="BL221" i="1"/>
  <c r="DI221" i="1"/>
  <c r="N221" i="1"/>
  <c r="BK221" i="1"/>
  <c r="DH221" i="1"/>
  <c r="M221" i="1"/>
  <c r="BJ221" i="1"/>
  <c r="DG221" i="1"/>
  <c r="L221" i="1"/>
  <c r="BI221" i="1"/>
  <c r="DF221" i="1"/>
  <c r="K221" i="1"/>
  <c r="BH221" i="1"/>
  <c r="DE221" i="1"/>
  <c r="J221" i="1"/>
  <c r="BG221" i="1"/>
  <c r="DD221" i="1"/>
  <c r="I221" i="1"/>
  <c r="BF221" i="1"/>
  <c r="DC221" i="1"/>
  <c r="H221" i="1"/>
  <c r="BE221" i="1"/>
  <c r="DB221" i="1"/>
  <c r="G221" i="1"/>
  <c r="BD221" i="1"/>
  <c r="DA221" i="1"/>
  <c r="CZ221" i="1"/>
  <c r="CY221" i="1"/>
  <c r="CX221" i="1"/>
  <c r="CW221" i="1"/>
  <c r="CV221" i="1"/>
  <c r="CU221" i="1"/>
  <c r="CT221" i="1"/>
  <c r="CS221" i="1"/>
  <c r="CR221" i="1"/>
  <c r="CQ221" i="1"/>
  <c r="BC221" i="1"/>
  <c r="BB221" i="1"/>
  <c r="BA221" i="1"/>
  <c r="AZ221" i="1"/>
  <c r="AY221" i="1"/>
  <c r="AX221" i="1"/>
  <c r="AW221" i="1"/>
  <c r="AV221" i="1"/>
  <c r="AU221" i="1"/>
  <c r="AT221" i="1"/>
  <c r="AO220" i="1"/>
  <c r="CL220" i="1"/>
  <c r="EI220" i="1"/>
  <c r="AN220" i="1"/>
  <c r="CK220" i="1"/>
  <c r="EH220" i="1"/>
  <c r="AI220" i="1"/>
  <c r="CF220" i="1"/>
  <c r="EC220" i="1"/>
  <c r="AH220" i="1"/>
  <c r="CE220" i="1"/>
  <c r="EB220" i="1"/>
  <c r="AC220" i="1"/>
  <c r="BZ220" i="1"/>
  <c r="DW220" i="1"/>
  <c r="AB220" i="1"/>
  <c r="BY220" i="1"/>
  <c r="DV220" i="1"/>
  <c r="W220" i="1"/>
  <c r="BT220" i="1"/>
  <c r="DQ220" i="1"/>
  <c r="V220" i="1"/>
  <c r="BS220" i="1"/>
  <c r="DP220" i="1"/>
  <c r="Q220" i="1"/>
  <c r="BN220" i="1"/>
  <c r="DK220" i="1"/>
  <c r="P220" i="1"/>
  <c r="BM220" i="1"/>
  <c r="DJ220" i="1"/>
  <c r="O220" i="1"/>
  <c r="BL220" i="1"/>
  <c r="DI220" i="1"/>
  <c r="N220" i="1"/>
  <c r="BK220" i="1"/>
  <c r="DH220" i="1"/>
  <c r="M220" i="1"/>
  <c r="BJ220" i="1"/>
  <c r="DG220" i="1"/>
  <c r="L220" i="1"/>
  <c r="BI220" i="1"/>
  <c r="DF220" i="1"/>
  <c r="K220" i="1"/>
  <c r="BH220" i="1"/>
  <c r="DE220" i="1"/>
  <c r="J220" i="1"/>
  <c r="BG220" i="1"/>
  <c r="DD220" i="1"/>
  <c r="I220" i="1"/>
  <c r="BF220" i="1"/>
  <c r="DC220" i="1"/>
  <c r="H220" i="1"/>
  <c r="BE220" i="1"/>
  <c r="DB220" i="1"/>
  <c r="G220" i="1"/>
  <c r="BD220" i="1"/>
  <c r="DA220" i="1"/>
  <c r="CZ220" i="1"/>
  <c r="CY220" i="1"/>
  <c r="CX220" i="1"/>
  <c r="CW220" i="1"/>
  <c r="CV220" i="1"/>
  <c r="CU220" i="1"/>
  <c r="CT220" i="1"/>
  <c r="CS220" i="1"/>
  <c r="CR220" i="1"/>
  <c r="CQ220" i="1"/>
  <c r="BC220" i="1"/>
  <c r="BB220" i="1"/>
  <c r="BA220" i="1"/>
  <c r="AZ220" i="1"/>
  <c r="AY220" i="1"/>
  <c r="AX220" i="1"/>
  <c r="AW220" i="1"/>
  <c r="AV220" i="1"/>
  <c r="AU220" i="1"/>
  <c r="AT220" i="1"/>
  <c r="AO219" i="1"/>
  <c r="CL219" i="1"/>
  <c r="EI219" i="1"/>
  <c r="AN219" i="1"/>
  <c r="CK219" i="1"/>
  <c r="EH219" i="1"/>
  <c r="AI219" i="1"/>
  <c r="CF219" i="1"/>
  <c r="EC219" i="1"/>
  <c r="AH219" i="1"/>
  <c r="CE219" i="1"/>
  <c r="EB219" i="1"/>
  <c r="AC219" i="1"/>
  <c r="BZ219" i="1"/>
  <c r="DW219" i="1"/>
  <c r="AB219" i="1"/>
  <c r="BY219" i="1"/>
  <c r="DV219" i="1"/>
  <c r="W219" i="1"/>
  <c r="BT219" i="1"/>
  <c r="DQ219" i="1"/>
  <c r="V219" i="1"/>
  <c r="BS219" i="1"/>
  <c r="DP219" i="1"/>
  <c r="Q219" i="1"/>
  <c r="BN219" i="1"/>
  <c r="DK219" i="1"/>
  <c r="P219" i="1"/>
  <c r="BM219" i="1"/>
  <c r="DJ219" i="1"/>
  <c r="O219" i="1"/>
  <c r="BL219" i="1"/>
  <c r="DI219" i="1"/>
  <c r="N219" i="1"/>
  <c r="BK219" i="1"/>
  <c r="DH219" i="1"/>
  <c r="M219" i="1"/>
  <c r="BJ219" i="1"/>
  <c r="DG219" i="1"/>
  <c r="L219" i="1"/>
  <c r="BI219" i="1"/>
  <c r="DF219" i="1"/>
  <c r="K219" i="1"/>
  <c r="BH219" i="1"/>
  <c r="DE219" i="1"/>
  <c r="J219" i="1"/>
  <c r="BG219" i="1"/>
  <c r="DD219" i="1"/>
  <c r="I219" i="1"/>
  <c r="BF219" i="1"/>
  <c r="DC219" i="1"/>
  <c r="H219" i="1"/>
  <c r="BE219" i="1"/>
  <c r="DB219" i="1"/>
  <c r="G219" i="1"/>
  <c r="BD219" i="1"/>
  <c r="DA219" i="1"/>
  <c r="CZ219" i="1"/>
  <c r="CY219" i="1"/>
  <c r="CX219" i="1"/>
  <c r="CW219" i="1"/>
  <c r="CV219" i="1"/>
  <c r="CU219" i="1"/>
  <c r="CT219" i="1"/>
  <c r="CS219" i="1"/>
  <c r="CR219" i="1"/>
  <c r="CQ219" i="1"/>
  <c r="BC219" i="1"/>
  <c r="BB219" i="1"/>
  <c r="BA219" i="1"/>
  <c r="AZ219" i="1"/>
  <c r="AY219" i="1"/>
  <c r="AX219" i="1"/>
  <c r="AW219" i="1"/>
  <c r="AV219" i="1"/>
  <c r="AU219" i="1"/>
  <c r="AT219" i="1"/>
  <c r="AO218" i="1"/>
  <c r="CL218" i="1"/>
  <c r="EI218" i="1"/>
  <c r="AN218" i="1"/>
  <c r="CK218" i="1"/>
  <c r="EH218" i="1"/>
  <c r="AI218" i="1"/>
  <c r="CF218" i="1"/>
  <c r="EC218" i="1"/>
  <c r="AH218" i="1"/>
  <c r="CE218" i="1"/>
  <c r="EB218" i="1"/>
  <c r="AC218" i="1"/>
  <c r="BZ218" i="1"/>
  <c r="DW218" i="1"/>
  <c r="AB218" i="1"/>
  <c r="BY218" i="1"/>
  <c r="DV218" i="1"/>
  <c r="W218" i="1"/>
  <c r="BT218" i="1"/>
  <c r="DQ218" i="1"/>
  <c r="V218" i="1"/>
  <c r="BS218" i="1"/>
  <c r="DP218" i="1"/>
  <c r="Q218" i="1"/>
  <c r="BN218" i="1"/>
  <c r="DK218" i="1"/>
  <c r="P218" i="1"/>
  <c r="BM218" i="1"/>
  <c r="DJ218" i="1"/>
  <c r="O218" i="1"/>
  <c r="BL218" i="1"/>
  <c r="DI218" i="1"/>
  <c r="N218" i="1"/>
  <c r="BK218" i="1"/>
  <c r="DH218" i="1"/>
  <c r="M218" i="1"/>
  <c r="BJ218" i="1"/>
  <c r="DG218" i="1"/>
  <c r="L218" i="1"/>
  <c r="BI218" i="1"/>
  <c r="DF218" i="1"/>
  <c r="K218" i="1"/>
  <c r="BH218" i="1"/>
  <c r="DE218" i="1"/>
  <c r="J218" i="1"/>
  <c r="BG218" i="1"/>
  <c r="DD218" i="1"/>
  <c r="I218" i="1"/>
  <c r="BF218" i="1"/>
  <c r="DC218" i="1"/>
  <c r="H218" i="1"/>
  <c r="BE218" i="1"/>
  <c r="DB218" i="1"/>
  <c r="G218" i="1"/>
  <c r="BD218" i="1"/>
  <c r="DA218" i="1"/>
  <c r="CZ218" i="1"/>
  <c r="CY218" i="1"/>
  <c r="CX218" i="1"/>
  <c r="CW218" i="1"/>
  <c r="CV218" i="1"/>
  <c r="CU218" i="1"/>
  <c r="CT218" i="1"/>
  <c r="CS218" i="1"/>
  <c r="CR218" i="1"/>
  <c r="CQ218" i="1"/>
  <c r="BC218" i="1"/>
  <c r="BB218" i="1"/>
  <c r="BA218" i="1"/>
  <c r="AZ218" i="1"/>
  <c r="AY218" i="1"/>
  <c r="AX218" i="1"/>
  <c r="AW218" i="1"/>
  <c r="AV218" i="1"/>
  <c r="AU218" i="1"/>
  <c r="AT218" i="1"/>
  <c r="AO217" i="1"/>
  <c r="CL217" i="1"/>
  <c r="EI217" i="1"/>
  <c r="AN217" i="1"/>
  <c r="CK217" i="1"/>
  <c r="EH217" i="1"/>
  <c r="AI217" i="1"/>
  <c r="CF217" i="1"/>
  <c r="EC217" i="1"/>
  <c r="AH217" i="1"/>
  <c r="CE217" i="1"/>
  <c r="EB217" i="1"/>
  <c r="AC217" i="1"/>
  <c r="BZ217" i="1"/>
  <c r="DW217" i="1"/>
  <c r="AB217" i="1"/>
  <c r="BY217" i="1"/>
  <c r="DV217" i="1"/>
  <c r="W217" i="1"/>
  <c r="BT217" i="1"/>
  <c r="DQ217" i="1"/>
  <c r="V217" i="1"/>
  <c r="BS217" i="1"/>
  <c r="DP217" i="1"/>
  <c r="Q217" i="1"/>
  <c r="BN217" i="1"/>
  <c r="DK217" i="1"/>
  <c r="P217" i="1"/>
  <c r="BM217" i="1"/>
  <c r="DJ217" i="1"/>
  <c r="O217" i="1"/>
  <c r="BL217" i="1"/>
  <c r="DI217" i="1"/>
  <c r="N217" i="1"/>
  <c r="BK217" i="1"/>
  <c r="DH217" i="1"/>
  <c r="M217" i="1"/>
  <c r="BJ217" i="1"/>
  <c r="DG217" i="1"/>
  <c r="L217" i="1"/>
  <c r="BI217" i="1"/>
  <c r="DF217" i="1"/>
  <c r="K217" i="1"/>
  <c r="BH217" i="1"/>
  <c r="DE217" i="1"/>
  <c r="J217" i="1"/>
  <c r="BG217" i="1"/>
  <c r="DD217" i="1"/>
  <c r="I217" i="1"/>
  <c r="BF217" i="1"/>
  <c r="DC217" i="1"/>
  <c r="H217" i="1"/>
  <c r="BE217" i="1"/>
  <c r="DB217" i="1"/>
  <c r="G217" i="1"/>
  <c r="BD217" i="1"/>
  <c r="DA217" i="1"/>
  <c r="CZ217" i="1"/>
  <c r="CY217" i="1"/>
  <c r="CX217" i="1"/>
  <c r="CW217" i="1"/>
  <c r="CV217" i="1"/>
  <c r="CU217" i="1"/>
  <c r="CT217" i="1"/>
  <c r="CS217" i="1"/>
  <c r="CR217" i="1"/>
  <c r="CQ217" i="1"/>
  <c r="BC217" i="1"/>
  <c r="BB217" i="1"/>
  <c r="BA217" i="1"/>
  <c r="AZ217" i="1"/>
  <c r="AY217" i="1"/>
  <c r="AX217" i="1"/>
  <c r="AW217" i="1"/>
  <c r="AV217" i="1"/>
  <c r="AU217" i="1"/>
  <c r="AT217" i="1"/>
  <c r="AO216" i="1"/>
  <c r="CL216" i="1"/>
  <c r="EI216" i="1"/>
  <c r="AN216" i="1"/>
  <c r="CK216" i="1"/>
  <c r="EH216" i="1"/>
  <c r="AI216" i="1"/>
  <c r="CF216" i="1"/>
  <c r="EC216" i="1"/>
  <c r="AH216" i="1"/>
  <c r="CE216" i="1"/>
  <c r="EB216" i="1"/>
  <c r="AC216" i="1"/>
  <c r="BZ216" i="1"/>
  <c r="DW216" i="1"/>
  <c r="AB216" i="1"/>
  <c r="BY216" i="1"/>
  <c r="DV216" i="1"/>
  <c r="W216" i="1"/>
  <c r="BT216" i="1"/>
  <c r="DQ216" i="1"/>
  <c r="V216" i="1"/>
  <c r="BS216" i="1"/>
  <c r="DP216" i="1"/>
  <c r="Q216" i="1"/>
  <c r="BN216" i="1"/>
  <c r="DK216" i="1"/>
  <c r="P216" i="1"/>
  <c r="BM216" i="1"/>
  <c r="DJ216" i="1"/>
  <c r="O216" i="1"/>
  <c r="BL216" i="1"/>
  <c r="DI216" i="1"/>
  <c r="N216" i="1"/>
  <c r="BK216" i="1"/>
  <c r="DH216" i="1"/>
  <c r="M216" i="1"/>
  <c r="BJ216" i="1"/>
  <c r="DG216" i="1"/>
  <c r="L216" i="1"/>
  <c r="BI216" i="1"/>
  <c r="DF216" i="1"/>
  <c r="K216" i="1"/>
  <c r="BH216" i="1"/>
  <c r="DE216" i="1"/>
  <c r="J216" i="1"/>
  <c r="BG216" i="1"/>
  <c r="DD216" i="1"/>
  <c r="I216" i="1"/>
  <c r="BF216" i="1"/>
  <c r="DC216" i="1"/>
  <c r="H216" i="1"/>
  <c r="BE216" i="1"/>
  <c r="DB216" i="1"/>
  <c r="G216" i="1"/>
  <c r="BD216" i="1"/>
  <c r="DA216" i="1"/>
  <c r="CZ216" i="1"/>
  <c r="CY216" i="1"/>
  <c r="CX216" i="1"/>
  <c r="CW216" i="1"/>
  <c r="CV216" i="1"/>
  <c r="CU216" i="1"/>
  <c r="CT216" i="1"/>
  <c r="CS216" i="1"/>
  <c r="CR216" i="1"/>
  <c r="CQ216" i="1"/>
  <c r="BC216" i="1"/>
  <c r="BB216" i="1"/>
  <c r="BA216" i="1"/>
  <c r="AZ216" i="1"/>
  <c r="AY216" i="1"/>
  <c r="AX216" i="1"/>
  <c r="AW216" i="1"/>
  <c r="AV216" i="1"/>
  <c r="AU216" i="1"/>
  <c r="AT216" i="1"/>
  <c r="AO215" i="1"/>
  <c r="CL215" i="1"/>
  <c r="EI215" i="1"/>
  <c r="AN215" i="1"/>
  <c r="CK215" i="1"/>
  <c r="EH215" i="1"/>
  <c r="AI215" i="1"/>
  <c r="CF215" i="1"/>
  <c r="EC215" i="1"/>
  <c r="AH215" i="1"/>
  <c r="CE215" i="1"/>
  <c r="EB215" i="1"/>
  <c r="AC215" i="1"/>
  <c r="BZ215" i="1"/>
  <c r="DW215" i="1"/>
  <c r="AB215" i="1"/>
  <c r="BY215" i="1"/>
  <c r="DV215" i="1"/>
  <c r="W215" i="1"/>
  <c r="BT215" i="1"/>
  <c r="DQ215" i="1"/>
  <c r="V215" i="1"/>
  <c r="BS215" i="1"/>
  <c r="DP215" i="1"/>
  <c r="Q215" i="1"/>
  <c r="BN215" i="1"/>
  <c r="DK215" i="1"/>
  <c r="P215" i="1"/>
  <c r="BM215" i="1"/>
  <c r="DJ215" i="1"/>
  <c r="O215" i="1"/>
  <c r="BL215" i="1"/>
  <c r="DI215" i="1"/>
  <c r="N215" i="1"/>
  <c r="BK215" i="1"/>
  <c r="DH215" i="1"/>
  <c r="M215" i="1"/>
  <c r="BJ215" i="1"/>
  <c r="DG215" i="1"/>
  <c r="L215" i="1"/>
  <c r="BI215" i="1"/>
  <c r="DF215" i="1"/>
  <c r="K215" i="1"/>
  <c r="BH215" i="1"/>
  <c r="DE215" i="1"/>
  <c r="J215" i="1"/>
  <c r="BG215" i="1"/>
  <c r="DD215" i="1"/>
  <c r="I215" i="1"/>
  <c r="BF215" i="1"/>
  <c r="DC215" i="1"/>
  <c r="H215" i="1"/>
  <c r="BE215" i="1"/>
  <c r="DB215" i="1"/>
  <c r="G215" i="1"/>
  <c r="BD215" i="1"/>
  <c r="DA215" i="1"/>
  <c r="CZ215" i="1"/>
  <c r="CY215" i="1"/>
  <c r="CX215" i="1"/>
  <c r="CW215" i="1"/>
  <c r="CV215" i="1"/>
  <c r="CU215" i="1"/>
  <c r="CT215" i="1"/>
  <c r="CS215" i="1"/>
  <c r="CR215" i="1"/>
  <c r="CQ215" i="1"/>
  <c r="BC215" i="1"/>
  <c r="BB215" i="1"/>
  <c r="BA215" i="1"/>
  <c r="AZ215" i="1"/>
  <c r="AY215" i="1"/>
  <c r="AX215" i="1"/>
  <c r="AW215" i="1"/>
  <c r="AV215" i="1"/>
  <c r="AU215" i="1"/>
  <c r="AT215" i="1"/>
  <c r="AO214" i="1"/>
  <c r="CL214" i="1"/>
  <c r="EI214" i="1"/>
  <c r="AN214" i="1"/>
  <c r="CK214" i="1"/>
  <c r="EH214" i="1"/>
  <c r="AI214" i="1"/>
  <c r="CF214" i="1"/>
  <c r="EC214" i="1"/>
  <c r="AH214" i="1"/>
  <c r="CE214" i="1"/>
  <c r="EB214" i="1"/>
  <c r="AC214" i="1"/>
  <c r="BZ214" i="1"/>
  <c r="DW214" i="1"/>
  <c r="AB214" i="1"/>
  <c r="BY214" i="1"/>
  <c r="DV214" i="1"/>
  <c r="W214" i="1"/>
  <c r="BT214" i="1"/>
  <c r="DQ214" i="1"/>
  <c r="V214" i="1"/>
  <c r="BS214" i="1"/>
  <c r="DP214" i="1"/>
  <c r="Q214" i="1"/>
  <c r="BN214" i="1"/>
  <c r="DK214" i="1"/>
  <c r="P214" i="1"/>
  <c r="BM214" i="1"/>
  <c r="DJ214" i="1"/>
  <c r="O214" i="1"/>
  <c r="BL214" i="1"/>
  <c r="DI214" i="1"/>
  <c r="N214" i="1"/>
  <c r="BK214" i="1"/>
  <c r="DH214" i="1"/>
  <c r="M214" i="1"/>
  <c r="BJ214" i="1"/>
  <c r="DG214" i="1"/>
  <c r="L214" i="1"/>
  <c r="BI214" i="1"/>
  <c r="DF214" i="1"/>
  <c r="K214" i="1"/>
  <c r="BH214" i="1"/>
  <c r="DE214" i="1"/>
  <c r="J214" i="1"/>
  <c r="BG214" i="1"/>
  <c r="DD214" i="1"/>
  <c r="I214" i="1"/>
  <c r="BF214" i="1"/>
  <c r="DC214" i="1"/>
  <c r="H214" i="1"/>
  <c r="BE214" i="1"/>
  <c r="DB214" i="1"/>
  <c r="G214" i="1"/>
  <c r="BD214" i="1"/>
  <c r="DA214" i="1"/>
  <c r="CZ214" i="1"/>
  <c r="CY214" i="1"/>
  <c r="CX214" i="1"/>
  <c r="CW214" i="1"/>
  <c r="CV214" i="1"/>
  <c r="CU214" i="1"/>
  <c r="CT214" i="1"/>
  <c r="CS214" i="1"/>
  <c r="CR214" i="1"/>
  <c r="CQ214" i="1"/>
  <c r="BC214" i="1"/>
  <c r="BB214" i="1"/>
  <c r="BA214" i="1"/>
  <c r="AZ214" i="1"/>
  <c r="AY214" i="1"/>
  <c r="AX214" i="1"/>
  <c r="AW214" i="1"/>
  <c r="AV214" i="1"/>
  <c r="AU214" i="1"/>
  <c r="AT214" i="1"/>
  <c r="AO213" i="1"/>
  <c r="CL213" i="1"/>
  <c r="EI213" i="1"/>
  <c r="AN213" i="1"/>
  <c r="CK213" i="1"/>
  <c r="EH213" i="1"/>
  <c r="AI213" i="1"/>
  <c r="CF213" i="1"/>
  <c r="EC213" i="1"/>
  <c r="AH213" i="1"/>
  <c r="CE213" i="1"/>
  <c r="EB213" i="1"/>
  <c r="AC213" i="1"/>
  <c r="BZ213" i="1"/>
  <c r="DW213" i="1"/>
  <c r="AB213" i="1"/>
  <c r="BY213" i="1"/>
  <c r="DV213" i="1"/>
  <c r="W213" i="1"/>
  <c r="BT213" i="1"/>
  <c r="DQ213" i="1"/>
  <c r="V213" i="1"/>
  <c r="BS213" i="1"/>
  <c r="DP213" i="1"/>
  <c r="Q213" i="1"/>
  <c r="BN213" i="1"/>
  <c r="DK213" i="1"/>
  <c r="P213" i="1"/>
  <c r="BM213" i="1"/>
  <c r="DJ213" i="1"/>
  <c r="O213" i="1"/>
  <c r="BL213" i="1"/>
  <c r="DI213" i="1"/>
  <c r="N213" i="1"/>
  <c r="BK213" i="1"/>
  <c r="DH213" i="1"/>
  <c r="M213" i="1"/>
  <c r="BJ213" i="1"/>
  <c r="DG213" i="1"/>
  <c r="L213" i="1"/>
  <c r="BI213" i="1"/>
  <c r="DF213" i="1"/>
  <c r="K213" i="1"/>
  <c r="BH213" i="1"/>
  <c r="DE213" i="1"/>
  <c r="J213" i="1"/>
  <c r="BG213" i="1"/>
  <c r="DD213" i="1"/>
  <c r="I213" i="1"/>
  <c r="BF213" i="1"/>
  <c r="DC213" i="1"/>
  <c r="H213" i="1"/>
  <c r="BE213" i="1"/>
  <c r="DB213" i="1"/>
  <c r="G213" i="1"/>
  <c r="BD213" i="1"/>
  <c r="DA213" i="1"/>
  <c r="CZ213" i="1"/>
  <c r="CY213" i="1"/>
  <c r="CX213" i="1"/>
  <c r="CW213" i="1"/>
  <c r="CV213" i="1"/>
  <c r="CU213" i="1"/>
  <c r="CT213" i="1"/>
  <c r="CS213" i="1"/>
  <c r="CR213" i="1"/>
  <c r="CQ213" i="1"/>
  <c r="BC213" i="1"/>
  <c r="BB213" i="1"/>
  <c r="BA213" i="1"/>
  <c r="AZ213" i="1"/>
  <c r="AY213" i="1"/>
  <c r="AX213" i="1"/>
  <c r="AW213" i="1"/>
  <c r="AV213" i="1"/>
  <c r="AU213" i="1"/>
  <c r="AT213" i="1"/>
  <c r="AO212" i="1"/>
  <c r="CL212" i="1"/>
  <c r="EI212" i="1"/>
  <c r="AN212" i="1"/>
  <c r="CK212" i="1"/>
  <c r="EH212" i="1"/>
  <c r="AI212" i="1"/>
  <c r="CF212" i="1"/>
  <c r="EC212" i="1"/>
  <c r="AH212" i="1"/>
  <c r="CE212" i="1"/>
  <c r="EB212" i="1"/>
  <c r="AC212" i="1"/>
  <c r="BZ212" i="1"/>
  <c r="DW212" i="1"/>
  <c r="AB212" i="1"/>
  <c r="BY212" i="1"/>
  <c r="DV212" i="1"/>
  <c r="W212" i="1"/>
  <c r="BT212" i="1"/>
  <c r="DQ212" i="1"/>
  <c r="V212" i="1"/>
  <c r="BS212" i="1"/>
  <c r="DP212" i="1"/>
  <c r="Q212" i="1"/>
  <c r="BN212" i="1"/>
  <c r="DK212" i="1"/>
  <c r="P212" i="1"/>
  <c r="BM212" i="1"/>
  <c r="DJ212" i="1"/>
  <c r="O212" i="1"/>
  <c r="BL212" i="1"/>
  <c r="DI212" i="1"/>
  <c r="N212" i="1"/>
  <c r="BK212" i="1"/>
  <c r="DH212" i="1"/>
  <c r="M212" i="1"/>
  <c r="BJ212" i="1"/>
  <c r="DG212" i="1"/>
  <c r="L212" i="1"/>
  <c r="BI212" i="1"/>
  <c r="DF212" i="1"/>
  <c r="K212" i="1"/>
  <c r="BH212" i="1"/>
  <c r="DE212" i="1"/>
  <c r="J212" i="1"/>
  <c r="BG212" i="1"/>
  <c r="DD212" i="1"/>
  <c r="I212" i="1"/>
  <c r="BF212" i="1"/>
  <c r="DC212" i="1"/>
  <c r="H212" i="1"/>
  <c r="BE212" i="1"/>
  <c r="DB212" i="1"/>
  <c r="G212" i="1"/>
  <c r="BD212" i="1"/>
  <c r="DA212" i="1"/>
  <c r="CZ212" i="1"/>
  <c r="CY212" i="1"/>
  <c r="CX212" i="1"/>
  <c r="CW212" i="1"/>
  <c r="CV212" i="1"/>
  <c r="CU212" i="1"/>
  <c r="CT212" i="1"/>
  <c r="CS212" i="1"/>
  <c r="CR212" i="1"/>
  <c r="CQ212" i="1"/>
  <c r="BC212" i="1"/>
  <c r="BB212" i="1"/>
  <c r="BA212" i="1"/>
  <c r="AZ212" i="1"/>
  <c r="AY212" i="1"/>
  <c r="AX212" i="1"/>
  <c r="AW212" i="1"/>
  <c r="AV212" i="1"/>
  <c r="AU212" i="1"/>
  <c r="AT212" i="1"/>
  <c r="AO211" i="1"/>
  <c r="CL211" i="1"/>
  <c r="EI211" i="1"/>
  <c r="AN211" i="1"/>
  <c r="CK211" i="1"/>
  <c r="EH211" i="1"/>
  <c r="AI211" i="1"/>
  <c r="CF211" i="1"/>
  <c r="EC211" i="1"/>
  <c r="AH211" i="1"/>
  <c r="CE211" i="1"/>
  <c r="EB211" i="1"/>
  <c r="AC211" i="1"/>
  <c r="BZ211" i="1"/>
  <c r="DW211" i="1"/>
  <c r="AB211" i="1"/>
  <c r="BY211" i="1"/>
  <c r="DV211" i="1"/>
  <c r="W211" i="1"/>
  <c r="BT211" i="1"/>
  <c r="DQ211" i="1"/>
  <c r="V211" i="1"/>
  <c r="BS211" i="1"/>
  <c r="DP211" i="1"/>
  <c r="Q211" i="1"/>
  <c r="BN211" i="1"/>
  <c r="DK211" i="1"/>
  <c r="P211" i="1"/>
  <c r="BM211" i="1"/>
  <c r="DJ211" i="1"/>
  <c r="O211" i="1"/>
  <c r="BL211" i="1"/>
  <c r="DI211" i="1"/>
  <c r="N211" i="1"/>
  <c r="BK211" i="1"/>
  <c r="DH211" i="1"/>
  <c r="M211" i="1"/>
  <c r="BJ211" i="1"/>
  <c r="DG211" i="1"/>
  <c r="L211" i="1"/>
  <c r="BI211" i="1"/>
  <c r="DF211" i="1"/>
  <c r="K211" i="1"/>
  <c r="BH211" i="1"/>
  <c r="DE211" i="1"/>
  <c r="J211" i="1"/>
  <c r="BG211" i="1"/>
  <c r="DD211" i="1"/>
  <c r="I211" i="1"/>
  <c r="BF211" i="1"/>
  <c r="DC211" i="1"/>
  <c r="H211" i="1"/>
  <c r="BE211" i="1"/>
  <c r="DB211" i="1"/>
  <c r="G211" i="1"/>
  <c r="BD211" i="1"/>
  <c r="DA211" i="1"/>
  <c r="CZ211" i="1"/>
  <c r="CY211" i="1"/>
  <c r="CX211" i="1"/>
  <c r="CW211" i="1"/>
  <c r="CV211" i="1"/>
  <c r="CU211" i="1"/>
  <c r="CT211" i="1"/>
  <c r="CS211" i="1"/>
  <c r="CR211" i="1"/>
  <c r="CQ211" i="1"/>
  <c r="BC211" i="1"/>
  <c r="BB211" i="1"/>
  <c r="BA211" i="1"/>
  <c r="AZ211" i="1"/>
  <c r="AY211" i="1"/>
  <c r="AX211" i="1"/>
  <c r="AW211" i="1"/>
  <c r="AV211" i="1"/>
  <c r="AU211" i="1"/>
  <c r="AT211" i="1"/>
  <c r="AO210" i="1"/>
  <c r="CL210" i="1"/>
  <c r="EI210" i="1"/>
  <c r="AN210" i="1"/>
  <c r="CK210" i="1"/>
  <c r="EH210" i="1"/>
  <c r="AI210" i="1"/>
  <c r="CF210" i="1"/>
  <c r="EC210" i="1"/>
  <c r="AH210" i="1"/>
  <c r="CE210" i="1"/>
  <c r="EB210" i="1"/>
  <c r="AC210" i="1"/>
  <c r="BZ210" i="1"/>
  <c r="DW210" i="1"/>
  <c r="AB210" i="1"/>
  <c r="BY210" i="1"/>
  <c r="DV210" i="1"/>
  <c r="W210" i="1"/>
  <c r="BT210" i="1"/>
  <c r="DQ210" i="1"/>
  <c r="V210" i="1"/>
  <c r="BS210" i="1"/>
  <c r="DP210" i="1"/>
  <c r="Q210" i="1"/>
  <c r="BN210" i="1"/>
  <c r="DK210" i="1"/>
  <c r="P210" i="1"/>
  <c r="BM210" i="1"/>
  <c r="DJ210" i="1"/>
  <c r="O210" i="1"/>
  <c r="BL210" i="1"/>
  <c r="DI210" i="1"/>
  <c r="N210" i="1"/>
  <c r="BK210" i="1"/>
  <c r="DH210" i="1"/>
  <c r="M210" i="1"/>
  <c r="BJ210" i="1"/>
  <c r="DG210" i="1"/>
  <c r="L210" i="1"/>
  <c r="BI210" i="1"/>
  <c r="DF210" i="1"/>
  <c r="K210" i="1"/>
  <c r="BH210" i="1"/>
  <c r="DE210" i="1"/>
  <c r="J210" i="1"/>
  <c r="BG210" i="1"/>
  <c r="DD210" i="1"/>
  <c r="I210" i="1"/>
  <c r="BF210" i="1"/>
  <c r="DC210" i="1"/>
  <c r="H210" i="1"/>
  <c r="BE210" i="1"/>
  <c r="DB210" i="1"/>
  <c r="G210" i="1"/>
  <c r="BD210" i="1"/>
  <c r="DA210" i="1"/>
  <c r="CZ210" i="1"/>
  <c r="CY210" i="1"/>
  <c r="CX210" i="1"/>
  <c r="CW210" i="1"/>
  <c r="CV210" i="1"/>
  <c r="CU210" i="1"/>
  <c r="CT210" i="1"/>
  <c r="CS210" i="1"/>
  <c r="CR210" i="1"/>
  <c r="CQ210" i="1"/>
  <c r="BC210" i="1"/>
  <c r="BB210" i="1"/>
  <c r="BA210" i="1"/>
  <c r="AZ210" i="1"/>
  <c r="AY210" i="1"/>
  <c r="AX210" i="1"/>
  <c r="AW210" i="1"/>
  <c r="AV210" i="1"/>
  <c r="AU210" i="1"/>
  <c r="AT210" i="1"/>
  <c r="AO209" i="1"/>
  <c r="CL209" i="1"/>
  <c r="EI209" i="1"/>
  <c r="AN209" i="1"/>
  <c r="CK209" i="1"/>
  <c r="EH209" i="1"/>
  <c r="AI209" i="1"/>
  <c r="CF209" i="1"/>
  <c r="EC209" i="1"/>
  <c r="AH209" i="1"/>
  <c r="CE209" i="1"/>
  <c r="EB209" i="1"/>
  <c r="AC209" i="1"/>
  <c r="BZ209" i="1"/>
  <c r="DW209" i="1"/>
  <c r="AB209" i="1"/>
  <c r="BY209" i="1"/>
  <c r="DV209" i="1"/>
  <c r="W209" i="1"/>
  <c r="BT209" i="1"/>
  <c r="DQ209" i="1"/>
  <c r="V209" i="1"/>
  <c r="BS209" i="1"/>
  <c r="DP209" i="1"/>
  <c r="Q209" i="1"/>
  <c r="BN209" i="1"/>
  <c r="DK209" i="1"/>
  <c r="P209" i="1"/>
  <c r="BM209" i="1"/>
  <c r="DJ209" i="1"/>
  <c r="O209" i="1"/>
  <c r="BL209" i="1"/>
  <c r="DI209" i="1"/>
  <c r="N209" i="1"/>
  <c r="BK209" i="1"/>
  <c r="DH209" i="1"/>
  <c r="M209" i="1"/>
  <c r="BJ209" i="1"/>
  <c r="DG209" i="1"/>
  <c r="L209" i="1"/>
  <c r="BI209" i="1"/>
  <c r="DF209" i="1"/>
  <c r="K209" i="1"/>
  <c r="BH209" i="1"/>
  <c r="DE209" i="1"/>
  <c r="J209" i="1"/>
  <c r="BG209" i="1"/>
  <c r="DD209" i="1"/>
  <c r="I209" i="1"/>
  <c r="BF209" i="1"/>
  <c r="DC209" i="1"/>
  <c r="H209" i="1"/>
  <c r="BE209" i="1"/>
  <c r="DB209" i="1"/>
  <c r="G209" i="1"/>
  <c r="BD209" i="1"/>
  <c r="DA209" i="1"/>
  <c r="CZ209" i="1"/>
  <c r="CY209" i="1"/>
  <c r="CX209" i="1"/>
  <c r="CW209" i="1"/>
  <c r="CV209" i="1"/>
  <c r="CU209" i="1"/>
  <c r="CT209" i="1"/>
  <c r="CS209" i="1"/>
  <c r="CR209" i="1"/>
  <c r="CQ209" i="1"/>
  <c r="BC209" i="1"/>
  <c r="BB209" i="1"/>
  <c r="BA209" i="1"/>
  <c r="AZ209" i="1"/>
  <c r="AY209" i="1"/>
  <c r="AX209" i="1"/>
  <c r="AW209" i="1"/>
  <c r="AV209" i="1"/>
  <c r="AU209" i="1"/>
  <c r="AT209" i="1"/>
  <c r="AO208" i="1"/>
  <c r="CL208" i="1"/>
  <c r="EI208" i="1"/>
  <c r="AN208" i="1"/>
  <c r="CK208" i="1"/>
  <c r="EH208" i="1"/>
  <c r="AI208" i="1"/>
  <c r="CF208" i="1"/>
  <c r="EC208" i="1"/>
  <c r="AH208" i="1"/>
  <c r="CE208" i="1"/>
  <c r="EB208" i="1"/>
  <c r="AC208" i="1"/>
  <c r="BZ208" i="1"/>
  <c r="DW208" i="1"/>
  <c r="AB208" i="1"/>
  <c r="BY208" i="1"/>
  <c r="DV208" i="1"/>
  <c r="W208" i="1"/>
  <c r="BT208" i="1"/>
  <c r="DQ208" i="1"/>
  <c r="V208" i="1"/>
  <c r="BS208" i="1"/>
  <c r="DP208" i="1"/>
  <c r="Q208" i="1"/>
  <c r="BN208" i="1"/>
  <c r="DK208" i="1"/>
  <c r="P208" i="1"/>
  <c r="BM208" i="1"/>
  <c r="DJ208" i="1"/>
  <c r="O208" i="1"/>
  <c r="BL208" i="1"/>
  <c r="DI208" i="1"/>
  <c r="N208" i="1"/>
  <c r="BK208" i="1"/>
  <c r="DH208" i="1"/>
  <c r="M208" i="1"/>
  <c r="BJ208" i="1"/>
  <c r="DG208" i="1"/>
  <c r="L208" i="1"/>
  <c r="BI208" i="1"/>
  <c r="DF208" i="1"/>
  <c r="K208" i="1"/>
  <c r="BH208" i="1"/>
  <c r="DE208" i="1"/>
  <c r="J208" i="1"/>
  <c r="BG208" i="1"/>
  <c r="DD208" i="1"/>
  <c r="I208" i="1"/>
  <c r="BF208" i="1"/>
  <c r="DC208" i="1"/>
  <c r="H208" i="1"/>
  <c r="BE208" i="1"/>
  <c r="DB208" i="1"/>
  <c r="G208" i="1"/>
  <c r="BD208" i="1"/>
  <c r="DA208" i="1"/>
  <c r="CZ208" i="1"/>
  <c r="CY208" i="1"/>
  <c r="CX208" i="1"/>
  <c r="CW208" i="1"/>
  <c r="CV208" i="1"/>
  <c r="CU208" i="1"/>
  <c r="CT208" i="1"/>
  <c r="CS208" i="1"/>
  <c r="CR208" i="1"/>
  <c r="CQ208" i="1"/>
  <c r="BC208" i="1"/>
  <c r="BB208" i="1"/>
  <c r="BA208" i="1"/>
  <c r="AZ208" i="1"/>
  <c r="AY208" i="1"/>
  <c r="AX208" i="1"/>
  <c r="AW208" i="1"/>
  <c r="AV208" i="1"/>
  <c r="AU208" i="1"/>
  <c r="AT208" i="1"/>
  <c r="AO207" i="1"/>
  <c r="CL207" i="1"/>
  <c r="EI207" i="1"/>
  <c r="AN207" i="1"/>
  <c r="CK207" i="1"/>
  <c r="EH207" i="1"/>
  <c r="AI207" i="1"/>
  <c r="CF207" i="1"/>
  <c r="EC207" i="1"/>
  <c r="AH207" i="1"/>
  <c r="CE207" i="1"/>
  <c r="EB207" i="1"/>
  <c r="AC207" i="1"/>
  <c r="BZ207" i="1"/>
  <c r="DW207" i="1"/>
  <c r="AB207" i="1"/>
  <c r="BY207" i="1"/>
  <c r="DV207" i="1"/>
  <c r="W207" i="1"/>
  <c r="BT207" i="1"/>
  <c r="DQ207" i="1"/>
  <c r="V207" i="1"/>
  <c r="BS207" i="1"/>
  <c r="DP207" i="1"/>
  <c r="Q207" i="1"/>
  <c r="BN207" i="1"/>
  <c r="DK207" i="1"/>
  <c r="P207" i="1"/>
  <c r="BM207" i="1"/>
  <c r="DJ207" i="1"/>
  <c r="O207" i="1"/>
  <c r="BL207" i="1"/>
  <c r="DI207" i="1"/>
  <c r="N207" i="1"/>
  <c r="BK207" i="1"/>
  <c r="DH207" i="1"/>
  <c r="M207" i="1"/>
  <c r="BJ207" i="1"/>
  <c r="DG207" i="1"/>
  <c r="L207" i="1"/>
  <c r="BI207" i="1"/>
  <c r="DF207" i="1"/>
  <c r="K207" i="1"/>
  <c r="BH207" i="1"/>
  <c r="DE207" i="1"/>
  <c r="J207" i="1"/>
  <c r="BG207" i="1"/>
  <c r="DD207" i="1"/>
  <c r="I207" i="1"/>
  <c r="BF207" i="1"/>
  <c r="DC207" i="1"/>
  <c r="H207" i="1"/>
  <c r="BE207" i="1"/>
  <c r="DB207" i="1"/>
  <c r="G207" i="1"/>
  <c r="BD207" i="1"/>
  <c r="DA207" i="1"/>
  <c r="CZ207" i="1"/>
  <c r="CY207" i="1"/>
  <c r="CX207" i="1"/>
  <c r="CW207" i="1"/>
  <c r="CV207" i="1"/>
  <c r="CU207" i="1"/>
  <c r="CT207" i="1"/>
  <c r="CS207" i="1"/>
  <c r="CR207" i="1"/>
  <c r="CQ207" i="1"/>
  <c r="BC207" i="1"/>
  <c r="BB207" i="1"/>
  <c r="BA207" i="1"/>
  <c r="AZ207" i="1"/>
  <c r="AY207" i="1"/>
  <c r="AX207" i="1"/>
  <c r="AW207" i="1"/>
  <c r="AV207" i="1"/>
  <c r="AU207" i="1"/>
  <c r="AT207" i="1"/>
  <c r="AO206" i="1"/>
  <c r="CL206" i="1"/>
  <c r="EI206" i="1"/>
  <c r="AN206" i="1"/>
  <c r="CK206" i="1"/>
  <c r="EH206" i="1"/>
  <c r="AI206" i="1"/>
  <c r="CF206" i="1"/>
  <c r="EC206" i="1"/>
  <c r="AH206" i="1"/>
  <c r="CE206" i="1"/>
  <c r="EB206" i="1"/>
  <c r="AC206" i="1"/>
  <c r="BZ206" i="1"/>
  <c r="DW206" i="1"/>
  <c r="AB206" i="1"/>
  <c r="BY206" i="1"/>
  <c r="DV206" i="1"/>
  <c r="W206" i="1"/>
  <c r="BT206" i="1"/>
  <c r="DQ206" i="1"/>
  <c r="V206" i="1"/>
  <c r="BS206" i="1"/>
  <c r="DP206" i="1"/>
  <c r="Q206" i="1"/>
  <c r="BN206" i="1"/>
  <c r="DK206" i="1"/>
  <c r="P206" i="1"/>
  <c r="BM206" i="1"/>
  <c r="DJ206" i="1"/>
  <c r="O206" i="1"/>
  <c r="BL206" i="1"/>
  <c r="DI206" i="1"/>
  <c r="N206" i="1"/>
  <c r="BK206" i="1"/>
  <c r="DH206" i="1"/>
  <c r="M206" i="1"/>
  <c r="BJ206" i="1"/>
  <c r="DG206" i="1"/>
  <c r="L206" i="1"/>
  <c r="BI206" i="1"/>
  <c r="DF206" i="1"/>
  <c r="K206" i="1"/>
  <c r="BH206" i="1"/>
  <c r="DE206" i="1"/>
  <c r="J206" i="1"/>
  <c r="BG206" i="1"/>
  <c r="DD206" i="1"/>
  <c r="I206" i="1"/>
  <c r="BF206" i="1"/>
  <c r="DC206" i="1"/>
  <c r="H206" i="1"/>
  <c r="BE206" i="1"/>
  <c r="DB206" i="1"/>
  <c r="G206" i="1"/>
  <c r="BD206" i="1"/>
  <c r="DA206" i="1"/>
  <c r="CZ206" i="1"/>
  <c r="CY206" i="1"/>
  <c r="CX206" i="1"/>
  <c r="CW206" i="1"/>
  <c r="CV206" i="1"/>
  <c r="CU206" i="1"/>
  <c r="CT206" i="1"/>
  <c r="CS206" i="1"/>
  <c r="CR206" i="1"/>
  <c r="CQ206" i="1"/>
  <c r="BC206" i="1"/>
  <c r="BB206" i="1"/>
  <c r="BA206" i="1"/>
  <c r="AZ206" i="1"/>
  <c r="AY206" i="1"/>
  <c r="AX206" i="1"/>
  <c r="AW206" i="1"/>
  <c r="AV206" i="1"/>
  <c r="AU206" i="1"/>
  <c r="AT206" i="1"/>
  <c r="AO205" i="1"/>
  <c r="CL205" i="1"/>
  <c r="EI205" i="1"/>
  <c r="AN205" i="1"/>
  <c r="CK205" i="1"/>
  <c r="EH205" i="1"/>
  <c r="AI205" i="1"/>
  <c r="CF205" i="1"/>
  <c r="EC205" i="1"/>
  <c r="AH205" i="1"/>
  <c r="CE205" i="1"/>
  <c r="EB205" i="1"/>
  <c r="AC205" i="1"/>
  <c r="BZ205" i="1"/>
  <c r="DW205" i="1"/>
  <c r="AB205" i="1"/>
  <c r="BY205" i="1"/>
  <c r="DV205" i="1"/>
  <c r="W205" i="1"/>
  <c r="BT205" i="1"/>
  <c r="DQ205" i="1"/>
  <c r="V205" i="1"/>
  <c r="BS205" i="1"/>
  <c r="DP205" i="1"/>
  <c r="Q205" i="1"/>
  <c r="BN205" i="1"/>
  <c r="DK205" i="1"/>
  <c r="P205" i="1"/>
  <c r="BM205" i="1"/>
  <c r="DJ205" i="1"/>
  <c r="O205" i="1"/>
  <c r="BL205" i="1"/>
  <c r="DI205" i="1"/>
  <c r="N205" i="1"/>
  <c r="BK205" i="1"/>
  <c r="DH205" i="1"/>
  <c r="M205" i="1"/>
  <c r="BJ205" i="1"/>
  <c r="DG205" i="1"/>
  <c r="L205" i="1"/>
  <c r="BI205" i="1"/>
  <c r="DF205" i="1"/>
  <c r="K205" i="1"/>
  <c r="BH205" i="1"/>
  <c r="DE205" i="1"/>
  <c r="J205" i="1"/>
  <c r="BG205" i="1"/>
  <c r="DD205" i="1"/>
  <c r="I205" i="1"/>
  <c r="BF205" i="1"/>
  <c r="DC205" i="1"/>
  <c r="H205" i="1"/>
  <c r="BE205" i="1"/>
  <c r="DB205" i="1"/>
  <c r="G205" i="1"/>
  <c r="BD205" i="1"/>
  <c r="DA205" i="1"/>
  <c r="CZ205" i="1"/>
  <c r="CY205" i="1"/>
  <c r="CX205" i="1"/>
  <c r="CW205" i="1"/>
  <c r="CV205" i="1"/>
  <c r="CU205" i="1"/>
  <c r="CT205" i="1"/>
  <c r="CS205" i="1"/>
  <c r="CR205" i="1"/>
  <c r="CQ205" i="1"/>
  <c r="BC205" i="1"/>
  <c r="BB205" i="1"/>
  <c r="BA205" i="1"/>
  <c r="AZ205" i="1"/>
  <c r="AY205" i="1"/>
  <c r="AX205" i="1"/>
  <c r="AW205" i="1"/>
  <c r="AV205" i="1"/>
  <c r="AU205" i="1"/>
  <c r="AT205" i="1"/>
  <c r="AO204" i="1"/>
  <c r="CL204" i="1"/>
  <c r="EI204" i="1"/>
  <c r="AN204" i="1"/>
  <c r="CK204" i="1"/>
  <c r="EH204" i="1"/>
  <c r="AI204" i="1"/>
  <c r="CF204" i="1"/>
  <c r="EC204" i="1"/>
  <c r="AH204" i="1"/>
  <c r="CE204" i="1"/>
  <c r="EB204" i="1"/>
  <c r="AC204" i="1"/>
  <c r="BZ204" i="1"/>
  <c r="DW204" i="1"/>
  <c r="AB204" i="1"/>
  <c r="BY204" i="1"/>
  <c r="DV204" i="1"/>
  <c r="W204" i="1"/>
  <c r="BT204" i="1"/>
  <c r="DQ204" i="1"/>
  <c r="V204" i="1"/>
  <c r="BS204" i="1"/>
  <c r="DP204" i="1"/>
  <c r="Q204" i="1"/>
  <c r="BN204" i="1"/>
  <c r="DK204" i="1"/>
  <c r="P204" i="1"/>
  <c r="BM204" i="1"/>
  <c r="DJ204" i="1"/>
  <c r="O204" i="1"/>
  <c r="BL204" i="1"/>
  <c r="DI204" i="1"/>
  <c r="N204" i="1"/>
  <c r="BK204" i="1"/>
  <c r="DH204" i="1"/>
  <c r="M204" i="1"/>
  <c r="BJ204" i="1"/>
  <c r="DG204" i="1"/>
  <c r="L204" i="1"/>
  <c r="BI204" i="1"/>
  <c r="DF204" i="1"/>
  <c r="K204" i="1"/>
  <c r="BH204" i="1"/>
  <c r="DE204" i="1"/>
  <c r="J204" i="1"/>
  <c r="BG204" i="1"/>
  <c r="DD204" i="1"/>
  <c r="I204" i="1"/>
  <c r="BF204" i="1"/>
  <c r="DC204" i="1"/>
  <c r="H204" i="1"/>
  <c r="BE204" i="1"/>
  <c r="DB204" i="1"/>
  <c r="G204" i="1"/>
  <c r="BD204" i="1"/>
  <c r="DA204" i="1"/>
  <c r="CZ204" i="1"/>
  <c r="CY204" i="1"/>
  <c r="CX204" i="1"/>
  <c r="CW204" i="1"/>
  <c r="CV204" i="1"/>
  <c r="CU204" i="1"/>
  <c r="CT204" i="1"/>
  <c r="CS204" i="1"/>
  <c r="CR204" i="1"/>
  <c r="CQ204" i="1"/>
  <c r="BC204" i="1"/>
  <c r="BB204" i="1"/>
  <c r="BA204" i="1"/>
  <c r="AZ204" i="1"/>
  <c r="AY204" i="1"/>
  <c r="AX204" i="1"/>
  <c r="AW204" i="1"/>
  <c r="AV204" i="1"/>
  <c r="AU204" i="1"/>
  <c r="AT204" i="1"/>
  <c r="AO203" i="1"/>
  <c r="CL203" i="1"/>
  <c r="EI203" i="1"/>
  <c r="AN203" i="1"/>
  <c r="CK203" i="1"/>
  <c r="EH203" i="1"/>
  <c r="AI203" i="1"/>
  <c r="CF203" i="1"/>
  <c r="EC203" i="1"/>
  <c r="AH203" i="1"/>
  <c r="CE203" i="1"/>
  <c r="EB203" i="1"/>
  <c r="AC203" i="1"/>
  <c r="BZ203" i="1"/>
  <c r="DW203" i="1"/>
  <c r="AB203" i="1"/>
  <c r="BY203" i="1"/>
  <c r="DV203" i="1"/>
  <c r="W203" i="1"/>
  <c r="BT203" i="1"/>
  <c r="DQ203" i="1"/>
  <c r="V203" i="1"/>
  <c r="BS203" i="1"/>
  <c r="DP203" i="1"/>
  <c r="Q203" i="1"/>
  <c r="BN203" i="1"/>
  <c r="DK203" i="1"/>
  <c r="P203" i="1"/>
  <c r="BM203" i="1"/>
  <c r="DJ203" i="1"/>
  <c r="O203" i="1"/>
  <c r="BL203" i="1"/>
  <c r="DI203" i="1"/>
  <c r="N203" i="1"/>
  <c r="BK203" i="1"/>
  <c r="DH203" i="1"/>
  <c r="M203" i="1"/>
  <c r="BJ203" i="1"/>
  <c r="DG203" i="1"/>
  <c r="L203" i="1"/>
  <c r="BI203" i="1"/>
  <c r="DF203" i="1"/>
  <c r="K203" i="1"/>
  <c r="BH203" i="1"/>
  <c r="DE203" i="1"/>
  <c r="J203" i="1"/>
  <c r="BG203" i="1"/>
  <c r="DD203" i="1"/>
  <c r="I203" i="1"/>
  <c r="BF203" i="1"/>
  <c r="DC203" i="1"/>
  <c r="H203" i="1"/>
  <c r="BE203" i="1"/>
  <c r="DB203" i="1"/>
  <c r="G203" i="1"/>
  <c r="BD203" i="1"/>
  <c r="DA203" i="1"/>
  <c r="CZ203" i="1"/>
  <c r="CY203" i="1"/>
  <c r="CX203" i="1"/>
  <c r="CW203" i="1"/>
  <c r="CV203" i="1"/>
  <c r="CU203" i="1"/>
  <c r="CT203" i="1"/>
  <c r="CS203" i="1"/>
  <c r="CR203" i="1"/>
  <c r="CQ203" i="1"/>
  <c r="BC203" i="1"/>
  <c r="BB203" i="1"/>
  <c r="BA203" i="1"/>
  <c r="AZ203" i="1"/>
  <c r="AY203" i="1"/>
  <c r="AX203" i="1"/>
  <c r="AW203" i="1"/>
  <c r="AV203" i="1"/>
  <c r="AU203" i="1"/>
  <c r="AT203" i="1"/>
  <c r="AO202" i="1"/>
  <c r="CL202" i="1"/>
  <c r="EI202" i="1"/>
  <c r="AN202" i="1"/>
  <c r="CK202" i="1"/>
  <c r="EH202" i="1"/>
  <c r="AI202" i="1"/>
  <c r="CF202" i="1"/>
  <c r="EC202" i="1"/>
  <c r="AH202" i="1"/>
  <c r="CE202" i="1"/>
  <c r="EB202" i="1"/>
  <c r="AC202" i="1"/>
  <c r="BZ202" i="1"/>
  <c r="DW202" i="1"/>
  <c r="AB202" i="1"/>
  <c r="BY202" i="1"/>
  <c r="DV202" i="1"/>
  <c r="W202" i="1"/>
  <c r="BT202" i="1"/>
  <c r="DQ202" i="1"/>
  <c r="V202" i="1"/>
  <c r="BS202" i="1"/>
  <c r="DP202" i="1"/>
  <c r="Q202" i="1"/>
  <c r="BN202" i="1"/>
  <c r="DK202" i="1"/>
  <c r="P202" i="1"/>
  <c r="BM202" i="1"/>
  <c r="DJ202" i="1"/>
  <c r="O202" i="1"/>
  <c r="BL202" i="1"/>
  <c r="DI202" i="1"/>
  <c r="N202" i="1"/>
  <c r="BK202" i="1"/>
  <c r="DH202" i="1"/>
  <c r="M202" i="1"/>
  <c r="BJ202" i="1"/>
  <c r="DG202" i="1"/>
  <c r="L202" i="1"/>
  <c r="BI202" i="1"/>
  <c r="DF202" i="1"/>
  <c r="K202" i="1"/>
  <c r="BH202" i="1"/>
  <c r="DE202" i="1"/>
  <c r="J202" i="1"/>
  <c r="BG202" i="1"/>
  <c r="DD202" i="1"/>
  <c r="I202" i="1"/>
  <c r="BF202" i="1"/>
  <c r="DC202" i="1"/>
  <c r="H202" i="1"/>
  <c r="BE202" i="1"/>
  <c r="DB202" i="1"/>
  <c r="G202" i="1"/>
  <c r="BD202" i="1"/>
  <c r="DA202" i="1"/>
  <c r="CZ202" i="1"/>
  <c r="CY202" i="1"/>
  <c r="CX202" i="1"/>
  <c r="CW202" i="1"/>
  <c r="CV202" i="1"/>
  <c r="CU202" i="1"/>
  <c r="CT202" i="1"/>
  <c r="CS202" i="1"/>
  <c r="CR202" i="1"/>
  <c r="CQ202" i="1"/>
  <c r="BC202" i="1"/>
  <c r="BB202" i="1"/>
  <c r="BA202" i="1"/>
  <c r="AZ202" i="1"/>
  <c r="AY202" i="1"/>
  <c r="AX202" i="1"/>
  <c r="AW202" i="1"/>
  <c r="AV202" i="1"/>
  <c r="AU202" i="1"/>
  <c r="AT202" i="1"/>
  <c r="AO201" i="1"/>
  <c r="CL201" i="1"/>
  <c r="EI201" i="1"/>
  <c r="AN201" i="1"/>
  <c r="CK201" i="1"/>
  <c r="EH201" i="1"/>
  <c r="AI201" i="1"/>
  <c r="CF201" i="1"/>
  <c r="EC201" i="1"/>
  <c r="AH201" i="1"/>
  <c r="CE201" i="1"/>
  <c r="EB201" i="1"/>
  <c r="AC201" i="1"/>
  <c r="BZ201" i="1"/>
  <c r="DW201" i="1"/>
  <c r="AB201" i="1"/>
  <c r="BY201" i="1"/>
  <c r="DV201" i="1"/>
  <c r="W201" i="1"/>
  <c r="BT201" i="1"/>
  <c r="DQ201" i="1"/>
  <c r="V201" i="1"/>
  <c r="BS201" i="1"/>
  <c r="DP201" i="1"/>
  <c r="Q201" i="1"/>
  <c r="BN201" i="1"/>
  <c r="DK201" i="1"/>
  <c r="P201" i="1"/>
  <c r="BM201" i="1"/>
  <c r="DJ201" i="1"/>
  <c r="O201" i="1"/>
  <c r="BL201" i="1"/>
  <c r="DI201" i="1"/>
  <c r="N201" i="1"/>
  <c r="BK201" i="1"/>
  <c r="DH201" i="1"/>
  <c r="M201" i="1"/>
  <c r="BJ201" i="1"/>
  <c r="DG201" i="1"/>
  <c r="L201" i="1"/>
  <c r="BI201" i="1"/>
  <c r="DF201" i="1"/>
  <c r="K201" i="1"/>
  <c r="BH201" i="1"/>
  <c r="DE201" i="1"/>
  <c r="J201" i="1"/>
  <c r="BG201" i="1"/>
  <c r="DD201" i="1"/>
  <c r="I201" i="1"/>
  <c r="BF201" i="1"/>
  <c r="DC201" i="1"/>
  <c r="H201" i="1"/>
  <c r="BE201" i="1"/>
  <c r="DB201" i="1"/>
  <c r="G201" i="1"/>
  <c r="BD201" i="1"/>
  <c r="DA201" i="1"/>
  <c r="CZ201" i="1"/>
  <c r="CY201" i="1"/>
  <c r="CX201" i="1"/>
  <c r="CW201" i="1"/>
  <c r="CV201" i="1"/>
  <c r="CU201" i="1"/>
  <c r="CT201" i="1"/>
  <c r="CS201" i="1"/>
  <c r="CR201" i="1"/>
  <c r="CQ201" i="1"/>
  <c r="BC201" i="1"/>
  <c r="BB201" i="1"/>
  <c r="BA201" i="1"/>
  <c r="AZ201" i="1"/>
  <c r="AY201" i="1"/>
  <c r="AX201" i="1"/>
  <c r="AW201" i="1"/>
  <c r="AV201" i="1"/>
  <c r="AU201" i="1"/>
  <c r="AT201" i="1"/>
  <c r="AO200" i="1"/>
  <c r="CL200" i="1"/>
  <c r="EI200" i="1"/>
  <c r="AN200" i="1"/>
  <c r="CK200" i="1"/>
  <c r="EH200" i="1"/>
  <c r="AI200" i="1"/>
  <c r="CF200" i="1"/>
  <c r="EC200" i="1"/>
  <c r="AH200" i="1"/>
  <c r="CE200" i="1"/>
  <c r="EB200" i="1"/>
  <c r="AC200" i="1"/>
  <c r="BZ200" i="1"/>
  <c r="DW200" i="1"/>
  <c r="AB200" i="1"/>
  <c r="BY200" i="1"/>
  <c r="DV200" i="1"/>
  <c r="W200" i="1"/>
  <c r="BT200" i="1"/>
  <c r="DQ200" i="1"/>
  <c r="V200" i="1"/>
  <c r="BS200" i="1"/>
  <c r="DP200" i="1"/>
  <c r="Q200" i="1"/>
  <c r="BN200" i="1"/>
  <c r="DK200" i="1"/>
  <c r="P200" i="1"/>
  <c r="BM200" i="1"/>
  <c r="DJ200" i="1"/>
  <c r="O200" i="1"/>
  <c r="BL200" i="1"/>
  <c r="DI200" i="1"/>
  <c r="N200" i="1"/>
  <c r="BK200" i="1"/>
  <c r="DH200" i="1"/>
  <c r="M200" i="1"/>
  <c r="BJ200" i="1"/>
  <c r="DG200" i="1"/>
  <c r="L200" i="1"/>
  <c r="BI200" i="1"/>
  <c r="DF200" i="1"/>
  <c r="K200" i="1"/>
  <c r="BH200" i="1"/>
  <c r="DE200" i="1"/>
  <c r="J200" i="1"/>
  <c r="BG200" i="1"/>
  <c r="DD200" i="1"/>
  <c r="I200" i="1"/>
  <c r="BF200" i="1"/>
  <c r="DC200" i="1"/>
  <c r="H200" i="1"/>
  <c r="BE200" i="1"/>
  <c r="DB200" i="1"/>
  <c r="G200" i="1"/>
  <c r="BD200" i="1"/>
  <c r="DA200" i="1"/>
  <c r="CZ200" i="1"/>
  <c r="CY200" i="1"/>
  <c r="CX200" i="1"/>
  <c r="CW200" i="1"/>
  <c r="CV200" i="1"/>
  <c r="CU200" i="1"/>
  <c r="CT200" i="1"/>
  <c r="CS200" i="1"/>
  <c r="CR200" i="1"/>
  <c r="CQ200" i="1"/>
  <c r="BC200" i="1"/>
  <c r="BB200" i="1"/>
  <c r="BA200" i="1"/>
  <c r="AZ200" i="1"/>
  <c r="AY200" i="1"/>
  <c r="AX200" i="1"/>
  <c r="AW200" i="1"/>
  <c r="AV200" i="1"/>
  <c r="AU200" i="1"/>
  <c r="AT200" i="1"/>
  <c r="AO199" i="1"/>
  <c r="CL199" i="1"/>
  <c r="EI199" i="1"/>
  <c r="AN199" i="1"/>
  <c r="CK199" i="1"/>
  <c r="EH199" i="1"/>
  <c r="AI199" i="1"/>
  <c r="CF199" i="1"/>
  <c r="EC199" i="1"/>
  <c r="AH199" i="1"/>
  <c r="CE199" i="1"/>
  <c r="EB199" i="1"/>
  <c r="AC199" i="1"/>
  <c r="BZ199" i="1"/>
  <c r="DW199" i="1"/>
  <c r="AB199" i="1"/>
  <c r="BY199" i="1"/>
  <c r="DV199" i="1"/>
  <c r="W199" i="1"/>
  <c r="BT199" i="1"/>
  <c r="DQ199" i="1"/>
  <c r="V199" i="1"/>
  <c r="BS199" i="1"/>
  <c r="DP199" i="1"/>
  <c r="Q199" i="1"/>
  <c r="BN199" i="1"/>
  <c r="DK199" i="1"/>
  <c r="P199" i="1"/>
  <c r="BM199" i="1"/>
  <c r="DJ199" i="1"/>
  <c r="O199" i="1"/>
  <c r="BL199" i="1"/>
  <c r="DI199" i="1"/>
  <c r="N199" i="1"/>
  <c r="BK199" i="1"/>
  <c r="DH199" i="1"/>
  <c r="M199" i="1"/>
  <c r="BJ199" i="1"/>
  <c r="DG199" i="1"/>
  <c r="L199" i="1"/>
  <c r="BI199" i="1"/>
  <c r="DF199" i="1"/>
  <c r="K199" i="1"/>
  <c r="BH199" i="1"/>
  <c r="DE199" i="1"/>
  <c r="J199" i="1"/>
  <c r="BG199" i="1"/>
  <c r="DD199" i="1"/>
  <c r="I199" i="1"/>
  <c r="BF199" i="1"/>
  <c r="DC199" i="1"/>
  <c r="H199" i="1"/>
  <c r="BE199" i="1"/>
  <c r="DB199" i="1"/>
  <c r="G199" i="1"/>
  <c r="BD199" i="1"/>
  <c r="DA199" i="1"/>
  <c r="CZ199" i="1"/>
  <c r="CY199" i="1"/>
  <c r="CX199" i="1"/>
  <c r="CW199" i="1"/>
  <c r="CV199" i="1"/>
  <c r="CU199" i="1"/>
  <c r="CT199" i="1"/>
  <c r="CS199" i="1"/>
  <c r="CR199" i="1"/>
  <c r="CQ199" i="1"/>
  <c r="BC199" i="1"/>
  <c r="BB199" i="1"/>
  <c r="BA199" i="1"/>
  <c r="AZ199" i="1"/>
  <c r="AY199" i="1"/>
  <c r="AX199" i="1"/>
  <c r="AW199" i="1"/>
  <c r="AV199" i="1"/>
  <c r="AU199" i="1"/>
  <c r="AT199" i="1"/>
  <c r="AO198" i="1"/>
  <c r="CL198" i="1"/>
  <c r="EI198" i="1"/>
  <c r="AN198" i="1"/>
  <c r="CK198" i="1"/>
  <c r="EH198" i="1"/>
  <c r="AI198" i="1"/>
  <c r="CF198" i="1"/>
  <c r="EC198" i="1"/>
  <c r="AH198" i="1"/>
  <c r="CE198" i="1"/>
  <c r="EB198" i="1"/>
  <c r="AC198" i="1"/>
  <c r="BZ198" i="1"/>
  <c r="DW198" i="1"/>
  <c r="AB198" i="1"/>
  <c r="BY198" i="1"/>
  <c r="DV198" i="1"/>
  <c r="W198" i="1"/>
  <c r="BT198" i="1"/>
  <c r="DQ198" i="1"/>
  <c r="V198" i="1"/>
  <c r="BS198" i="1"/>
  <c r="DP198" i="1"/>
  <c r="Q198" i="1"/>
  <c r="BN198" i="1"/>
  <c r="DK198" i="1"/>
  <c r="P198" i="1"/>
  <c r="BM198" i="1"/>
  <c r="DJ198" i="1"/>
  <c r="O198" i="1"/>
  <c r="BL198" i="1"/>
  <c r="DI198" i="1"/>
  <c r="N198" i="1"/>
  <c r="BK198" i="1"/>
  <c r="DH198" i="1"/>
  <c r="M198" i="1"/>
  <c r="BJ198" i="1"/>
  <c r="DG198" i="1"/>
  <c r="L198" i="1"/>
  <c r="BI198" i="1"/>
  <c r="DF198" i="1"/>
  <c r="K198" i="1"/>
  <c r="BH198" i="1"/>
  <c r="DE198" i="1"/>
  <c r="J198" i="1"/>
  <c r="BG198" i="1"/>
  <c r="DD198" i="1"/>
  <c r="I198" i="1"/>
  <c r="BF198" i="1"/>
  <c r="DC198" i="1"/>
  <c r="H198" i="1"/>
  <c r="BE198" i="1"/>
  <c r="DB198" i="1"/>
  <c r="G198" i="1"/>
  <c r="BD198" i="1"/>
  <c r="DA198" i="1"/>
  <c r="CZ198" i="1"/>
  <c r="CY198" i="1"/>
  <c r="CX198" i="1"/>
  <c r="CW198" i="1"/>
  <c r="CV198" i="1"/>
  <c r="CU198" i="1"/>
  <c r="CT198" i="1"/>
  <c r="CS198" i="1"/>
  <c r="CR198" i="1"/>
  <c r="CQ198" i="1"/>
  <c r="BC198" i="1"/>
  <c r="BB198" i="1"/>
  <c r="BA198" i="1"/>
  <c r="AZ198" i="1"/>
  <c r="AY198" i="1"/>
  <c r="AX198" i="1"/>
  <c r="AW198" i="1"/>
  <c r="AV198" i="1"/>
  <c r="AU198" i="1"/>
  <c r="AT198" i="1"/>
  <c r="AO197" i="1"/>
  <c r="CL197" i="1"/>
  <c r="EI197" i="1"/>
  <c r="AN197" i="1"/>
  <c r="CK197" i="1"/>
  <c r="EH197" i="1"/>
  <c r="AI197" i="1"/>
  <c r="CF197" i="1"/>
  <c r="EC197" i="1"/>
  <c r="AH197" i="1"/>
  <c r="CE197" i="1"/>
  <c r="EB197" i="1"/>
  <c r="AC197" i="1"/>
  <c r="BZ197" i="1"/>
  <c r="DW197" i="1"/>
  <c r="AB197" i="1"/>
  <c r="BY197" i="1"/>
  <c r="DV197" i="1"/>
  <c r="W197" i="1"/>
  <c r="BT197" i="1"/>
  <c r="DQ197" i="1"/>
  <c r="V197" i="1"/>
  <c r="BS197" i="1"/>
  <c r="DP197" i="1"/>
  <c r="Q197" i="1"/>
  <c r="BN197" i="1"/>
  <c r="DK197" i="1"/>
  <c r="P197" i="1"/>
  <c r="BM197" i="1"/>
  <c r="DJ197" i="1"/>
  <c r="O197" i="1"/>
  <c r="BL197" i="1"/>
  <c r="DI197" i="1"/>
  <c r="N197" i="1"/>
  <c r="BK197" i="1"/>
  <c r="DH197" i="1"/>
  <c r="M197" i="1"/>
  <c r="BJ197" i="1"/>
  <c r="DG197" i="1"/>
  <c r="L197" i="1"/>
  <c r="BI197" i="1"/>
  <c r="DF197" i="1"/>
  <c r="K197" i="1"/>
  <c r="BH197" i="1"/>
  <c r="DE197" i="1"/>
  <c r="J197" i="1"/>
  <c r="BG197" i="1"/>
  <c r="DD197" i="1"/>
  <c r="I197" i="1"/>
  <c r="BF197" i="1"/>
  <c r="DC197" i="1"/>
  <c r="H197" i="1"/>
  <c r="BE197" i="1"/>
  <c r="DB197" i="1"/>
  <c r="G197" i="1"/>
  <c r="BD197" i="1"/>
  <c r="DA197" i="1"/>
  <c r="CZ197" i="1"/>
  <c r="CY197" i="1"/>
  <c r="CX197" i="1"/>
  <c r="CW197" i="1"/>
  <c r="CV197" i="1"/>
  <c r="CU197" i="1"/>
  <c r="CT197" i="1"/>
  <c r="CS197" i="1"/>
  <c r="CR197" i="1"/>
  <c r="CQ197" i="1"/>
  <c r="BC197" i="1"/>
  <c r="BB197" i="1"/>
  <c r="BA197" i="1"/>
  <c r="AZ197" i="1"/>
  <c r="AY197" i="1"/>
  <c r="AX197" i="1"/>
  <c r="AW197" i="1"/>
  <c r="AV197" i="1"/>
  <c r="AU197" i="1"/>
  <c r="AT197" i="1"/>
  <c r="AO196" i="1"/>
  <c r="CL196" i="1"/>
  <c r="EI196" i="1"/>
  <c r="AN196" i="1"/>
  <c r="CK196" i="1"/>
  <c r="EH196" i="1"/>
  <c r="AI196" i="1"/>
  <c r="CF196" i="1"/>
  <c r="EC196" i="1"/>
  <c r="AH196" i="1"/>
  <c r="CE196" i="1"/>
  <c r="EB196" i="1"/>
  <c r="AC196" i="1"/>
  <c r="BZ196" i="1"/>
  <c r="DW196" i="1"/>
  <c r="AB196" i="1"/>
  <c r="BY196" i="1"/>
  <c r="DV196" i="1"/>
  <c r="W196" i="1"/>
  <c r="BT196" i="1"/>
  <c r="DQ196" i="1"/>
  <c r="V196" i="1"/>
  <c r="BS196" i="1"/>
  <c r="DP196" i="1"/>
  <c r="Q196" i="1"/>
  <c r="BN196" i="1"/>
  <c r="DK196" i="1"/>
  <c r="P196" i="1"/>
  <c r="BM196" i="1"/>
  <c r="DJ196" i="1"/>
  <c r="O196" i="1"/>
  <c r="BL196" i="1"/>
  <c r="DI196" i="1"/>
  <c r="N196" i="1"/>
  <c r="BK196" i="1"/>
  <c r="DH196" i="1"/>
  <c r="M196" i="1"/>
  <c r="BJ196" i="1"/>
  <c r="DG196" i="1"/>
  <c r="L196" i="1"/>
  <c r="BI196" i="1"/>
  <c r="DF196" i="1"/>
  <c r="K196" i="1"/>
  <c r="BH196" i="1"/>
  <c r="DE196" i="1"/>
  <c r="J196" i="1"/>
  <c r="BG196" i="1"/>
  <c r="DD196" i="1"/>
  <c r="I196" i="1"/>
  <c r="BF196" i="1"/>
  <c r="DC196" i="1"/>
  <c r="H196" i="1"/>
  <c r="BE196" i="1"/>
  <c r="DB196" i="1"/>
  <c r="G196" i="1"/>
  <c r="BD196" i="1"/>
  <c r="DA196" i="1"/>
  <c r="CZ196" i="1"/>
  <c r="CY196" i="1"/>
  <c r="CX196" i="1"/>
  <c r="CW196" i="1"/>
  <c r="CV196" i="1"/>
  <c r="CU196" i="1"/>
  <c r="CT196" i="1"/>
  <c r="CS196" i="1"/>
  <c r="CR196" i="1"/>
  <c r="CQ196" i="1"/>
  <c r="BC196" i="1"/>
  <c r="BB196" i="1"/>
  <c r="BA196" i="1"/>
  <c r="AZ196" i="1"/>
  <c r="AY196" i="1"/>
  <c r="AX196" i="1"/>
  <c r="AW196" i="1"/>
  <c r="AV196" i="1"/>
  <c r="AU196" i="1"/>
  <c r="AT196" i="1"/>
  <c r="AO195" i="1"/>
  <c r="CL195" i="1"/>
  <c r="EI195" i="1"/>
  <c r="AN195" i="1"/>
  <c r="CK195" i="1"/>
  <c r="EH195" i="1"/>
  <c r="AI195" i="1"/>
  <c r="CF195" i="1"/>
  <c r="EC195" i="1"/>
  <c r="AH195" i="1"/>
  <c r="CE195" i="1"/>
  <c r="EB195" i="1"/>
  <c r="AC195" i="1"/>
  <c r="BZ195" i="1"/>
  <c r="DW195" i="1"/>
  <c r="AB195" i="1"/>
  <c r="BY195" i="1"/>
  <c r="DV195" i="1"/>
  <c r="W195" i="1"/>
  <c r="BT195" i="1"/>
  <c r="DQ195" i="1"/>
  <c r="V195" i="1"/>
  <c r="BS195" i="1"/>
  <c r="DP195" i="1"/>
  <c r="Q195" i="1"/>
  <c r="BN195" i="1"/>
  <c r="DK195" i="1"/>
  <c r="P195" i="1"/>
  <c r="BM195" i="1"/>
  <c r="DJ195" i="1"/>
  <c r="O195" i="1"/>
  <c r="BL195" i="1"/>
  <c r="DI195" i="1"/>
  <c r="N195" i="1"/>
  <c r="BK195" i="1"/>
  <c r="DH195" i="1"/>
  <c r="M195" i="1"/>
  <c r="BJ195" i="1"/>
  <c r="DG195" i="1"/>
  <c r="L195" i="1"/>
  <c r="BI195" i="1"/>
  <c r="DF195" i="1"/>
  <c r="K195" i="1"/>
  <c r="BH195" i="1"/>
  <c r="DE195" i="1"/>
  <c r="J195" i="1"/>
  <c r="BG195" i="1"/>
  <c r="DD195" i="1"/>
  <c r="I195" i="1"/>
  <c r="BF195" i="1"/>
  <c r="DC195" i="1"/>
  <c r="H195" i="1"/>
  <c r="BE195" i="1"/>
  <c r="DB195" i="1"/>
  <c r="G195" i="1"/>
  <c r="BD195" i="1"/>
  <c r="DA195" i="1"/>
  <c r="CZ195" i="1"/>
  <c r="CY195" i="1"/>
  <c r="CX195" i="1"/>
  <c r="CW195" i="1"/>
  <c r="CV195" i="1"/>
  <c r="CU195" i="1"/>
  <c r="CT195" i="1"/>
  <c r="CS195" i="1"/>
  <c r="CR195" i="1"/>
  <c r="CQ195" i="1"/>
  <c r="BC195" i="1"/>
  <c r="BB195" i="1"/>
  <c r="BA195" i="1"/>
  <c r="AZ195" i="1"/>
  <c r="AY195" i="1"/>
  <c r="AX195" i="1"/>
  <c r="AW195" i="1"/>
  <c r="AV195" i="1"/>
  <c r="AU195" i="1"/>
  <c r="AT195" i="1"/>
  <c r="AO194" i="1"/>
  <c r="CL194" i="1"/>
  <c r="EI194" i="1"/>
  <c r="AN194" i="1"/>
  <c r="CK194" i="1"/>
  <c r="EH194" i="1"/>
  <c r="AI194" i="1"/>
  <c r="CF194" i="1"/>
  <c r="EC194" i="1"/>
  <c r="AH194" i="1"/>
  <c r="CE194" i="1"/>
  <c r="EB194" i="1"/>
  <c r="AC194" i="1"/>
  <c r="BZ194" i="1"/>
  <c r="DW194" i="1"/>
  <c r="AB194" i="1"/>
  <c r="BY194" i="1"/>
  <c r="DV194" i="1"/>
  <c r="W194" i="1"/>
  <c r="BT194" i="1"/>
  <c r="DQ194" i="1"/>
  <c r="V194" i="1"/>
  <c r="BS194" i="1"/>
  <c r="DP194" i="1"/>
  <c r="Q194" i="1"/>
  <c r="BN194" i="1"/>
  <c r="DK194" i="1"/>
  <c r="P194" i="1"/>
  <c r="BM194" i="1"/>
  <c r="DJ194" i="1"/>
  <c r="O194" i="1"/>
  <c r="BL194" i="1"/>
  <c r="DI194" i="1"/>
  <c r="N194" i="1"/>
  <c r="BK194" i="1"/>
  <c r="DH194" i="1"/>
  <c r="M194" i="1"/>
  <c r="BJ194" i="1"/>
  <c r="DG194" i="1"/>
  <c r="L194" i="1"/>
  <c r="BI194" i="1"/>
  <c r="DF194" i="1"/>
  <c r="K194" i="1"/>
  <c r="BH194" i="1"/>
  <c r="DE194" i="1"/>
  <c r="J194" i="1"/>
  <c r="BG194" i="1"/>
  <c r="DD194" i="1"/>
  <c r="I194" i="1"/>
  <c r="BF194" i="1"/>
  <c r="DC194" i="1"/>
  <c r="H194" i="1"/>
  <c r="BE194" i="1"/>
  <c r="DB194" i="1"/>
  <c r="G194" i="1"/>
  <c r="BD194" i="1"/>
  <c r="DA194" i="1"/>
  <c r="CZ194" i="1"/>
  <c r="CY194" i="1"/>
  <c r="CX194" i="1"/>
  <c r="CW194" i="1"/>
  <c r="CV194" i="1"/>
  <c r="CU194" i="1"/>
  <c r="CT194" i="1"/>
  <c r="CS194" i="1"/>
  <c r="CR194" i="1"/>
  <c r="CQ194" i="1"/>
  <c r="BC194" i="1"/>
  <c r="BB194" i="1"/>
  <c r="BA194" i="1"/>
  <c r="AZ194" i="1"/>
  <c r="AY194" i="1"/>
  <c r="AX194" i="1"/>
  <c r="AW194" i="1"/>
  <c r="AV194" i="1"/>
  <c r="AU194" i="1"/>
  <c r="AT194" i="1"/>
  <c r="AO193" i="1"/>
  <c r="CL193" i="1"/>
  <c r="EI193" i="1"/>
  <c r="AN193" i="1"/>
  <c r="CK193" i="1"/>
  <c r="EH193" i="1"/>
  <c r="AI193" i="1"/>
  <c r="CF193" i="1"/>
  <c r="EC193" i="1"/>
  <c r="AH193" i="1"/>
  <c r="CE193" i="1"/>
  <c r="EB193" i="1"/>
  <c r="AC193" i="1"/>
  <c r="BZ193" i="1"/>
  <c r="DW193" i="1"/>
  <c r="AB193" i="1"/>
  <c r="BY193" i="1"/>
  <c r="DV193" i="1"/>
  <c r="W193" i="1"/>
  <c r="BT193" i="1"/>
  <c r="DQ193" i="1"/>
  <c r="V193" i="1"/>
  <c r="BS193" i="1"/>
  <c r="DP193" i="1"/>
  <c r="Q193" i="1"/>
  <c r="BN193" i="1"/>
  <c r="DK193" i="1"/>
  <c r="P193" i="1"/>
  <c r="BM193" i="1"/>
  <c r="DJ193" i="1"/>
  <c r="O193" i="1"/>
  <c r="BL193" i="1"/>
  <c r="DI193" i="1"/>
  <c r="N193" i="1"/>
  <c r="BK193" i="1"/>
  <c r="DH193" i="1"/>
  <c r="M193" i="1"/>
  <c r="BJ193" i="1"/>
  <c r="DG193" i="1"/>
  <c r="L193" i="1"/>
  <c r="BI193" i="1"/>
  <c r="DF193" i="1"/>
  <c r="K193" i="1"/>
  <c r="BH193" i="1"/>
  <c r="DE193" i="1"/>
  <c r="J193" i="1"/>
  <c r="BG193" i="1"/>
  <c r="DD193" i="1"/>
  <c r="I193" i="1"/>
  <c r="BF193" i="1"/>
  <c r="DC193" i="1"/>
  <c r="H193" i="1"/>
  <c r="BE193" i="1"/>
  <c r="DB193" i="1"/>
  <c r="G193" i="1"/>
  <c r="BD193" i="1"/>
  <c r="DA193" i="1"/>
  <c r="CZ193" i="1"/>
  <c r="CY193" i="1"/>
  <c r="CX193" i="1"/>
  <c r="CW193" i="1"/>
  <c r="CV193" i="1"/>
  <c r="CU193" i="1"/>
  <c r="CT193" i="1"/>
  <c r="CS193" i="1"/>
  <c r="CR193" i="1"/>
  <c r="CQ193" i="1"/>
  <c r="BC193" i="1"/>
  <c r="BB193" i="1"/>
  <c r="BA193" i="1"/>
  <c r="AZ193" i="1"/>
  <c r="AY193" i="1"/>
  <c r="AX193" i="1"/>
  <c r="AW193" i="1"/>
  <c r="AV193" i="1"/>
  <c r="AU193" i="1"/>
  <c r="AT193" i="1"/>
  <c r="AO192" i="1"/>
  <c r="CL192" i="1"/>
  <c r="EI192" i="1"/>
  <c r="AN192" i="1"/>
  <c r="CK192" i="1"/>
  <c r="EH192" i="1"/>
  <c r="AI192" i="1"/>
  <c r="CF192" i="1"/>
  <c r="EC192" i="1"/>
  <c r="AH192" i="1"/>
  <c r="CE192" i="1"/>
  <c r="EB192" i="1"/>
  <c r="AC192" i="1"/>
  <c r="BZ192" i="1"/>
  <c r="DW192" i="1"/>
  <c r="AB192" i="1"/>
  <c r="BY192" i="1"/>
  <c r="DV192" i="1"/>
  <c r="W192" i="1"/>
  <c r="BT192" i="1"/>
  <c r="DQ192" i="1"/>
  <c r="V192" i="1"/>
  <c r="BS192" i="1"/>
  <c r="DP192" i="1"/>
  <c r="Q192" i="1"/>
  <c r="BN192" i="1"/>
  <c r="DK192" i="1"/>
  <c r="P192" i="1"/>
  <c r="BM192" i="1"/>
  <c r="DJ192" i="1"/>
  <c r="O192" i="1"/>
  <c r="BL192" i="1"/>
  <c r="DI192" i="1"/>
  <c r="N192" i="1"/>
  <c r="BK192" i="1"/>
  <c r="DH192" i="1"/>
  <c r="M192" i="1"/>
  <c r="BJ192" i="1"/>
  <c r="DG192" i="1"/>
  <c r="L192" i="1"/>
  <c r="BI192" i="1"/>
  <c r="DF192" i="1"/>
  <c r="K192" i="1"/>
  <c r="BH192" i="1"/>
  <c r="DE192" i="1"/>
  <c r="J192" i="1"/>
  <c r="BG192" i="1"/>
  <c r="DD192" i="1"/>
  <c r="I192" i="1"/>
  <c r="BF192" i="1"/>
  <c r="DC192" i="1"/>
  <c r="H192" i="1"/>
  <c r="BE192" i="1"/>
  <c r="DB192" i="1"/>
  <c r="G192" i="1"/>
  <c r="BD192" i="1"/>
  <c r="DA192" i="1"/>
  <c r="CZ192" i="1"/>
  <c r="CY192" i="1"/>
  <c r="CX192" i="1"/>
  <c r="CW192" i="1"/>
  <c r="CV192" i="1"/>
  <c r="CU192" i="1"/>
  <c r="CT192" i="1"/>
  <c r="CS192" i="1"/>
  <c r="CR192" i="1"/>
  <c r="CQ192" i="1"/>
  <c r="BC192" i="1"/>
  <c r="BB192" i="1"/>
  <c r="BA192" i="1"/>
  <c r="AZ192" i="1"/>
  <c r="AY192" i="1"/>
  <c r="AX192" i="1"/>
  <c r="AW192" i="1"/>
  <c r="AV192" i="1"/>
  <c r="AU192" i="1"/>
  <c r="AT192" i="1"/>
  <c r="AO191" i="1"/>
  <c r="CL191" i="1"/>
  <c r="EI191" i="1"/>
  <c r="AN191" i="1"/>
  <c r="CK191" i="1"/>
  <c r="EH191" i="1"/>
  <c r="AI191" i="1"/>
  <c r="CF191" i="1"/>
  <c r="EC191" i="1"/>
  <c r="AH191" i="1"/>
  <c r="CE191" i="1"/>
  <c r="EB191" i="1"/>
  <c r="AC191" i="1"/>
  <c r="BZ191" i="1"/>
  <c r="DW191" i="1"/>
  <c r="AB191" i="1"/>
  <c r="BY191" i="1"/>
  <c r="DV191" i="1"/>
  <c r="W191" i="1"/>
  <c r="BT191" i="1"/>
  <c r="DQ191" i="1"/>
  <c r="V191" i="1"/>
  <c r="BS191" i="1"/>
  <c r="DP191" i="1"/>
  <c r="Q191" i="1"/>
  <c r="BN191" i="1"/>
  <c r="DK191" i="1"/>
  <c r="P191" i="1"/>
  <c r="BM191" i="1"/>
  <c r="DJ191" i="1"/>
  <c r="O191" i="1"/>
  <c r="BL191" i="1"/>
  <c r="DI191" i="1"/>
  <c r="N191" i="1"/>
  <c r="BK191" i="1"/>
  <c r="DH191" i="1"/>
  <c r="M191" i="1"/>
  <c r="BJ191" i="1"/>
  <c r="DG191" i="1"/>
  <c r="L191" i="1"/>
  <c r="BI191" i="1"/>
  <c r="DF191" i="1"/>
  <c r="K191" i="1"/>
  <c r="BH191" i="1"/>
  <c r="DE191" i="1"/>
  <c r="J191" i="1"/>
  <c r="BG191" i="1"/>
  <c r="DD191" i="1"/>
  <c r="I191" i="1"/>
  <c r="BF191" i="1"/>
  <c r="DC191" i="1"/>
  <c r="H191" i="1"/>
  <c r="BE191" i="1"/>
  <c r="DB191" i="1"/>
  <c r="G191" i="1"/>
  <c r="BD191" i="1"/>
  <c r="DA191" i="1"/>
  <c r="CZ191" i="1"/>
  <c r="CY191" i="1"/>
  <c r="CX191" i="1"/>
  <c r="CW191" i="1"/>
  <c r="CV191" i="1"/>
  <c r="CU191" i="1"/>
  <c r="CT191" i="1"/>
  <c r="CS191" i="1"/>
  <c r="CR191" i="1"/>
  <c r="CQ191" i="1"/>
  <c r="BC191" i="1"/>
  <c r="BB191" i="1"/>
  <c r="BA191" i="1"/>
  <c r="AZ191" i="1"/>
  <c r="AY191" i="1"/>
  <c r="AX191" i="1"/>
  <c r="AW191" i="1"/>
  <c r="AV191" i="1"/>
  <c r="AU191" i="1"/>
  <c r="AT191" i="1"/>
  <c r="AO190" i="1"/>
  <c r="CL190" i="1"/>
  <c r="EI190" i="1"/>
  <c r="AN190" i="1"/>
  <c r="CK190" i="1"/>
  <c r="EH190" i="1"/>
  <c r="AI190" i="1"/>
  <c r="CF190" i="1"/>
  <c r="EC190" i="1"/>
  <c r="AH190" i="1"/>
  <c r="CE190" i="1"/>
  <c r="EB190" i="1"/>
  <c r="AC190" i="1"/>
  <c r="BZ190" i="1"/>
  <c r="DW190" i="1"/>
  <c r="AB190" i="1"/>
  <c r="BY190" i="1"/>
  <c r="DV190" i="1"/>
  <c r="W190" i="1"/>
  <c r="BT190" i="1"/>
  <c r="DQ190" i="1"/>
  <c r="V190" i="1"/>
  <c r="BS190" i="1"/>
  <c r="DP190" i="1"/>
  <c r="Q190" i="1"/>
  <c r="BN190" i="1"/>
  <c r="DK190" i="1"/>
  <c r="P190" i="1"/>
  <c r="BM190" i="1"/>
  <c r="DJ190" i="1"/>
  <c r="O190" i="1"/>
  <c r="BL190" i="1"/>
  <c r="DI190" i="1"/>
  <c r="N190" i="1"/>
  <c r="BK190" i="1"/>
  <c r="DH190" i="1"/>
  <c r="M190" i="1"/>
  <c r="BJ190" i="1"/>
  <c r="DG190" i="1"/>
  <c r="L190" i="1"/>
  <c r="BI190" i="1"/>
  <c r="DF190" i="1"/>
  <c r="K190" i="1"/>
  <c r="BH190" i="1"/>
  <c r="DE190" i="1"/>
  <c r="J190" i="1"/>
  <c r="BG190" i="1"/>
  <c r="DD190" i="1"/>
  <c r="I190" i="1"/>
  <c r="BF190" i="1"/>
  <c r="DC190" i="1"/>
  <c r="H190" i="1"/>
  <c r="BE190" i="1"/>
  <c r="DB190" i="1"/>
  <c r="G190" i="1"/>
  <c r="BD190" i="1"/>
  <c r="DA190" i="1"/>
  <c r="CZ190" i="1"/>
  <c r="CY190" i="1"/>
  <c r="CX190" i="1"/>
  <c r="CW190" i="1"/>
  <c r="CV190" i="1"/>
  <c r="CU190" i="1"/>
  <c r="CT190" i="1"/>
  <c r="CS190" i="1"/>
  <c r="CR190" i="1"/>
  <c r="CQ190" i="1"/>
  <c r="BC190" i="1"/>
  <c r="BB190" i="1"/>
  <c r="BA190" i="1"/>
  <c r="AZ190" i="1"/>
  <c r="AY190" i="1"/>
  <c r="AX190" i="1"/>
  <c r="AW190" i="1"/>
  <c r="AV190" i="1"/>
  <c r="AU190" i="1"/>
  <c r="AT190" i="1"/>
  <c r="AO189" i="1"/>
  <c r="CL189" i="1"/>
  <c r="EI189" i="1"/>
  <c r="AN189" i="1"/>
  <c r="CK189" i="1"/>
  <c r="EH189" i="1"/>
  <c r="AI189" i="1"/>
  <c r="CF189" i="1"/>
  <c r="EC189" i="1"/>
  <c r="AH189" i="1"/>
  <c r="CE189" i="1"/>
  <c r="EB189" i="1"/>
  <c r="AC189" i="1"/>
  <c r="BZ189" i="1"/>
  <c r="DW189" i="1"/>
  <c r="AB189" i="1"/>
  <c r="BY189" i="1"/>
  <c r="DV189" i="1"/>
  <c r="W189" i="1"/>
  <c r="BT189" i="1"/>
  <c r="DQ189" i="1"/>
  <c r="V189" i="1"/>
  <c r="BS189" i="1"/>
  <c r="DP189" i="1"/>
  <c r="Q189" i="1"/>
  <c r="BN189" i="1"/>
  <c r="DK189" i="1"/>
  <c r="P189" i="1"/>
  <c r="BM189" i="1"/>
  <c r="DJ189" i="1"/>
  <c r="O189" i="1"/>
  <c r="BL189" i="1"/>
  <c r="DI189" i="1"/>
  <c r="N189" i="1"/>
  <c r="BK189" i="1"/>
  <c r="DH189" i="1"/>
  <c r="M189" i="1"/>
  <c r="BJ189" i="1"/>
  <c r="DG189" i="1"/>
  <c r="L189" i="1"/>
  <c r="BI189" i="1"/>
  <c r="DF189" i="1"/>
  <c r="K189" i="1"/>
  <c r="BH189" i="1"/>
  <c r="DE189" i="1"/>
  <c r="J189" i="1"/>
  <c r="BG189" i="1"/>
  <c r="DD189" i="1"/>
  <c r="I189" i="1"/>
  <c r="BF189" i="1"/>
  <c r="DC189" i="1"/>
  <c r="H189" i="1"/>
  <c r="BE189" i="1"/>
  <c r="DB189" i="1"/>
  <c r="G189" i="1"/>
  <c r="BD189" i="1"/>
  <c r="DA189" i="1"/>
  <c r="CZ189" i="1"/>
  <c r="CY189" i="1"/>
  <c r="CX189" i="1"/>
  <c r="CW189" i="1"/>
  <c r="CV189" i="1"/>
  <c r="CU189" i="1"/>
  <c r="CT189" i="1"/>
  <c r="CS189" i="1"/>
  <c r="CR189" i="1"/>
  <c r="CQ189" i="1"/>
  <c r="BC189" i="1"/>
  <c r="BB189" i="1"/>
  <c r="BA189" i="1"/>
  <c r="AZ189" i="1"/>
  <c r="AY189" i="1"/>
  <c r="AX189" i="1"/>
  <c r="AW189" i="1"/>
  <c r="AV189" i="1"/>
  <c r="AU189" i="1"/>
  <c r="AT189" i="1"/>
  <c r="AO188" i="1"/>
  <c r="CL188" i="1"/>
  <c r="EI188" i="1"/>
  <c r="AN188" i="1"/>
  <c r="CK188" i="1"/>
  <c r="EH188" i="1"/>
  <c r="AI188" i="1"/>
  <c r="CF188" i="1"/>
  <c r="EC188" i="1"/>
  <c r="AH188" i="1"/>
  <c r="CE188" i="1"/>
  <c r="EB188" i="1"/>
  <c r="AC188" i="1"/>
  <c r="BZ188" i="1"/>
  <c r="DW188" i="1"/>
  <c r="AB188" i="1"/>
  <c r="BY188" i="1"/>
  <c r="DV188" i="1"/>
  <c r="W188" i="1"/>
  <c r="BT188" i="1"/>
  <c r="DQ188" i="1"/>
  <c r="V188" i="1"/>
  <c r="BS188" i="1"/>
  <c r="DP188" i="1"/>
  <c r="Q188" i="1"/>
  <c r="BN188" i="1"/>
  <c r="DK188" i="1"/>
  <c r="P188" i="1"/>
  <c r="BM188" i="1"/>
  <c r="DJ188" i="1"/>
  <c r="O188" i="1"/>
  <c r="BL188" i="1"/>
  <c r="DI188" i="1"/>
  <c r="N188" i="1"/>
  <c r="BK188" i="1"/>
  <c r="DH188" i="1"/>
  <c r="M188" i="1"/>
  <c r="BJ188" i="1"/>
  <c r="DG188" i="1"/>
  <c r="L188" i="1"/>
  <c r="BI188" i="1"/>
  <c r="DF188" i="1"/>
  <c r="K188" i="1"/>
  <c r="BH188" i="1"/>
  <c r="DE188" i="1"/>
  <c r="J188" i="1"/>
  <c r="BG188" i="1"/>
  <c r="DD188" i="1"/>
  <c r="I188" i="1"/>
  <c r="BF188" i="1"/>
  <c r="DC188" i="1"/>
  <c r="H188" i="1"/>
  <c r="BE188" i="1"/>
  <c r="DB188" i="1"/>
  <c r="G188" i="1"/>
  <c r="BD188" i="1"/>
  <c r="DA188" i="1"/>
  <c r="CZ188" i="1"/>
  <c r="CY188" i="1"/>
  <c r="CX188" i="1"/>
  <c r="CW188" i="1"/>
  <c r="CV188" i="1"/>
  <c r="CU188" i="1"/>
  <c r="CT188" i="1"/>
  <c r="CS188" i="1"/>
  <c r="CR188" i="1"/>
  <c r="CQ188" i="1"/>
  <c r="BC188" i="1"/>
  <c r="BB188" i="1"/>
  <c r="BA188" i="1"/>
  <c r="AZ188" i="1"/>
  <c r="AY188" i="1"/>
  <c r="AX188" i="1"/>
  <c r="AW188" i="1"/>
  <c r="AV188" i="1"/>
  <c r="AU188" i="1"/>
  <c r="AT188" i="1"/>
  <c r="AO187" i="1"/>
  <c r="CL187" i="1"/>
  <c r="EI187" i="1"/>
  <c r="AN187" i="1"/>
  <c r="CK187" i="1"/>
  <c r="EH187" i="1"/>
  <c r="AI187" i="1"/>
  <c r="CF187" i="1"/>
  <c r="EC187" i="1"/>
  <c r="AH187" i="1"/>
  <c r="CE187" i="1"/>
  <c r="EB187" i="1"/>
  <c r="AC187" i="1"/>
  <c r="BZ187" i="1"/>
  <c r="DW187" i="1"/>
  <c r="AB187" i="1"/>
  <c r="BY187" i="1"/>
  <c r="DV187" i="1"/>
  <c r="W187" i="1"/>
  <c r="BT187" i="1"/>
  <c r="DQ187" i="1"/>
  <c r="V187" i="1"/>
  <c r="BS187" i="1"/>
  <c r="DP187" i="1"/>
  <c r="Q187" i="1"/>
  <c r="BN187" i="1"/>
  <c r="DK187" i="1"/>
  <c r="P187" i="1"/>
  <c r="BM187" i="1"/>
  <c r="DJ187" i="1"/>
  <c r="O187" i="1"/>
  <c r="BL187" i="1"/>
  <c r="DI187" i="1"/>
  <c r="N187" i="1"/>
  <c r="BK187" i="1"/>
  <c r="DH187" i="1"/>
  <c r="M187" i="1"/>
  <c r="BJ187" i="1"/>
  <c r="DG187" i="1"/>
  <c r="L187" i="1"/>
  <c r="BI187" i="1"/>
  <c r="DF187" i="1"/>
  <c r="K187" i="1"/>
  <c r="BH187" i="1"/>
  <c r="DE187" i="1"/>
  <c r="J187" i="1"/>
  <c r="BG187" i="1"/>
  <c r="DD187" i="1"/>
  <c r="I187" i="1"/>
  <c r="BF187" i="1"/>
  <c r="DC187" i="1"/>
  <c r="H187" i="1"/>
  <c r="BE187" i="1"/>
  <c r="DB187" i="1"/>
  <c r="G187" i="1"/>
  <c r="BD187" i="1"/>
  <c r="DA187" i="1"/>
  <c r="CZ187" i="1"/>
  <c r="CY187" i="1"/>
  <c r="CX187" i="1"/>
  <c r="CW187" i="1"/>
  <c r="CV187" i="1"/>
  <c r="CU187" i="1"/>
  <c r="CT187" i="1"/>
  <c r="CS187" i="1"/>
  <c r="CR187" i="1"/>
  <c r="CQ187" i="1"/>
  <c r="BC187" i="1"/>
  <c r="BB187" i="1"/>
  <c r="BA187" i="1"/>
  <c r="AZ187" i="1"/>
  <c r="AY187" i="1"/>
  <c r="AX187" i="1"/>
  <c r="AW187" i="1"/>
  <c r="AV187" i="1"/>
  <c r="AU187" i="1"/>
  <c r="AT187" i="1"/>
  <c r="AO186" i="1"/>
  <c r="CL186" i="1"/>
  <c r="EI186" i="1"/>
  <c r="AN186" i="1"/>
  <c r="CK186" i="1"/>
  <c r="EH186" i="1"/>
  <c r="AI186" i="1"/>
  <c r="CF186" i="1"/>
  <c r="EC186" i="1"/>
  <c r="AH186" i="1"/>
  <c r="CE186" i="1"/>
  <c r="EB186" i="1"/>
  <c r="AC186" i="1"/>
  <c r="BZ186" i="1"/>
  <c r="DW186" i="1"/>
  <c r="AB186" i="1"/>
  <c r="BY186" i="1"/>
  <c r="DV186" i="1"/>
  <c r="W186" i="1"/>
  <c r="BT186" i="1"/>
  <c r="DQ186" i="1"/>
  <c r="V186" i="1"/>
  <c r="BS186" i="1"/>
  <c r="DP186" i="1"/>
  <c r="Q186" i="1"/>
  <c r="BN186" i="1"/>
  <c r="DK186" i="1"/>
  <c r="P186" i="1"/>
  <c r="BM186" i="1"/>
  <c r="DJ186" i="1"/>
  <c r="O186" i="1"/>
  <c r="BL186" i="1"/>
  <c r="DI186" i="1"/>
  <c r="N186" i="1"/>
  <c r="BK186" i="1"/>
  <c r="DH186" i="1"/>
  <c r="M186" i="1"/>
  <c r="BJ186" i="1"/>
  <c r="DG186" i="1"/>
  <c r="L186" i="1"/>
  <c r="BI186" i="1"/>
  <c r="DF186" i="1"/>
  <c r="K186" i="1"/>
  <c r="BH186" i="1"/>
  <c r="DE186" i="1"/>
  <c r="J186" i="1"/>
  <c r="BG186" i="1"/>
  <c r="DD186" i="1"/>
  <c r="I186" i="1"/>
  <c r="BF186" i="1"/>
  <c r="DC186" i="1"/>
  <c r="H186" i="1"/>
  <c r="BE186" i="1"/>
  <c r="DB186" i="1"/>
  <c r="G186" i="1"/>
  <c r="BD186" i="1"/>
  <c r="DA186" i="1"/>
  <c r="CZ186" i="1"/>
  <c r="CY186" i="1"/>
  <c r="CX186" i="1"/>
  <c r="CW186" i="1"/>
  <c r="CV186" i="1"/>
  <c r="CU186" i="1"/>
  <c r="CT186" i="1"/>
  <c r="CS186" i="1"/>
  <c r="CR186" i="1"/>
  <c r="CQ186" i="1"/>
  <c r="BC186" i="1"/>
  <c r="BB186" i="1"/>
  <c r="BA186" i="1"/>
  <c r="AZ186" i="1"/>
  <c r="AY186" i="1"/>
  <c r="AX186" i="1"/>
  <c r="AW186" i="1"/>
  <c r="AV186" i="1"/>
  <c r="AU186" i="1"/>
  <c r="AT186" i="1"/>
  <c r="AO185" i="1"/>
  <c r="CL185" i="1"/>
  <c r="EI185" i="1"/>
  <c r="AN185" i="1"/>
  <c r="CK185" i="1"/>
  <c r="EH185" i="1"/>
  <c r="AI185" i="1"/>
  <c r="CF185" i="1"/>
  <c r="EC185" i="1"/>
  <c r="AH185" i="1"/>
  <c r="CE185" i="1"/>
  <c r="EB185" i="1"/>
  <c r="AC185" i="1"/>
  <c r="BZ185" i="1"/>
  <c r="DW185" i="1"/>
  <c r="AB185" i="1"/>
  <c r="BY185" i="1"/>
  <c r="DV185" i="1"/>
  <c r="W185" i="1"/>
  <c r="BT185" i="1"/>
  <c r="DQ185" i="1"/>
  <c r="V185" i="1"/>
  <c r="BS185" i="1"/>
  <c r="DP185" i="1"/>
  <c r="Q185" i="1"/>
  <c r="BN185" i="1"/>
  <c r="DK185" i="1"/>
  <c r="P185" i="1"/>
  <c r="BM185" i="1"/>
  <c r="DJ185" i="1"/>
  <c r="O185" i="1"/>
  <c r="BL185" i="1"/>
  <c r="DI185" i="1"/>
  <c r="N185" i="1"/>
  <c r="BK185" i="1"/>
  <c r="DH185" i="1"/>
  <c r="M185" i="1"/>
  <c r="BJ185" i="1"/>
  <c r="DG185" i="1"/>
  <c r="L185" i="1"/>
  <c r="BI185" i="1"/>
  <c r="DF185" i="1"/>
  <c r="K185" i="1"/>
  <c r="BH185" i="1"/>
  <c r="DE185" i="1"/>
  <c r="J185" i="1"/>
  <c r="BG185" i="1"/>
  <c r="DD185" i="1"/>
  <c r="I185" i="1"/>
  <c r="BF185" i="1"/>
  <c r="DC185" i="1"/>
  <c r="H185" i="1"/>
  <c r="BE185" i="1"/>
  <c r="DB185" i="1"/>
  <c r="G185" i="1"/>
  <c r="BD185" i="1"/>
  <c r="DA185" i="1"/>
  <c r="CZ185" i="1"/>
  <c r="CY185" i="1"/>
  <c r="CX185" i="1"/>
  <c r="CW185" i="1"/>
  <c r="CV185" i="1"/>
  <c r="CU185" i="1"/>
  <c r="CT185" i="1"/>
  <c r="CS185" i="1"/>
  <c r="CR185" i="1"/>
  <c r="CQ185" i="1"/>
  <c r="BC185" i="1"/>
  <c r="BB185" i="1"/>
  <c r="BA185" i="1"/>
  <c r="AZ185" i="1"/>
  <c r="AY185" i="1"/>
  <c r="AX185" i="1"/>
  <c r="AW185" i="1"/>
  <c r="AV185" i="1"/>
  <c r="AU185" i="1"/>
  <c r="AT185" i="1"/>
  <c r="AO184" i="1"/>
  <c r="CL184" i="1"/>
  <c r="EI184" i="1"/>
  <c r="AN184" i="1"/>
  <c r="CK184" i="1"/>
  <c r="EH184" i="1"/>
  <c r="AI184" i="1"/>
  <c r="CF184" i="1"/>
  <c r="EC184" i="1"/>
  <c r="AH184" i="1"/>
  <c r="CE184" i="1"/>
  <c r="EB184" i="1"/>
  <c r="AC184" i="1"/>
  <c r="BZ184" i="1"/>
  <c r="DW184" i="1"/>
  <c r="AB184" i="1"/>
  <c r="BY184" i="1"/>
  <c r="DV184" i="1"/>
  <c r="W184" i="1"/>
  <c r="BT184" i="1"/>
  <c r="DQ184" i="1"/>
  <c r="V184" i="1"/>
  <c r="BS184" i="1"/>
  <c r="DP184" i="1"/>
  <c r="Q184" i="1"/>
  <c r="BN184" i="1"/>
  <c r="DK184" i="1"/>
  <c r="P184" i="1"/>
  <c r="BM184" i="1"/>
  <c r="DJ184" i="1"/>
  <c r="O184" i="1"/>
  <c r="BL184" i="1"/>
  <c r="DI184" i="1"/>
  <c r="N184" i="1"/>
  <c r="BK184" i="1"/>
  <c r="DH184" i="1"/>
  <c r="M184" i="1"/>
  <c r="BJ184" i="1"/>
  <c r="DG184" i="1"/>
  <c r="L184" i="1"/>
  <c r="BI184" i="1"/>
  <c r="DF184" i="1"/>
  <c r="K184" i="1"/>
  <c r="BH184" i="1"/>
  <c r="DE184" i="1"/>
  <c r="J184" i="1"/>
  <c r="BG184" i="1"/>
  <c r="DD184" i="1"/>
  <c r="I184" i="1"/>
  <c r="BF184" i="1"/>
  <c r="DC184" i="1"/>
  <c r="H184" i="1"/>
  <c r="BE184" i="1"/>
  <c r="DB184" i="1"/>
  <c r="G184" i="1"/>
  <c r="BD184" i="1"/>
  <c r="DA184" i="1"/>
  <c r="CZ184" i="1"/>
  <c r="CY184" i="1"/>
  <c r="CX184" i="1"/>
  <c r="CW184" i="1"/>
  <c r="CV184" i="1"/>
  <c r="CU184" i="1"/>
  <c r="CT184" i="1"/>
  <c r="CS184" i="1"/>
  <c r="CR184" i="1"/>
  <c r="CQ184" i="1"/>
  <c r="BC184" i="1"/>
  <c r="BB184" i="1"/>
  <c r="BA184" i="1"/>
  <c r="AZ184" i="1"/>
  <c r="AY184" i="1"/>
  <c r="AX184" i="1"/>
  <c r="AW184" i="1"/>
  <c r="AV184" i="1"/>
  <c r="AU184" i="1"/>
  <c r="AT184" i="1"/>
  <c r="AO183" i="1"/>
  <c r="CL183" i="1"/>
  <c r="EI183" i="1"/>
  <c r="AN183" i="1"/>
  <c r="CK183" i="1"/>
  <c r="EH183" i="1"/>
  <c r="AI183" i="1"/>
  <c r="CF183" i="1"/>
  <c r="EC183" i="1"/>
  <c r="AH183" i="1"/>
  <c r="CE183" i="1"/>
  <c r="EB183" i="1"/>
  <c r="AC183" i="1"/>
  <c r="BZ183" i="1"/>
  <c r="DW183" i="1"/>
  <c r="AB183" i="1"/>
  <c r="BY183" i="1"/>
  <c r="DV183" i="1"/>
  <c r="W183" i="1"/>
  <c r="BT183" i="1"/>
  <c r="DQ183" i="1"/>
  <c r="V183" i="1"/>
  <c r="BS183" i="1"/>
  <c r="DP183" i="1"/>
  <c r="Q183" i="1"/>
  <c r="BN183" i="1"/>
  <c r="DK183" i="1"/>
  <c r="P183" i="1"/>
  <c r="BM183" i="1"/>
  <c r="DJ183" i="1"/>
  <c r="O183" i="1"/>
  <c r="BL183" i="1"/>
  <c r="DI183" i="1"/>
  <c r="N183" i="1"/>
  <c r="BK183" i="1"/>
  <c r="DH183" i="1"/>
  <c r="M183" i="1"/>
  <c r="BJ183" i="1"/>
  <c r="DG183" i="1"/>
  <c r="L183" i="1"/>
  <c r="BI183" i="1"/>
  <c r="DF183" i="1"/>
  <c r="K183" i="1"/>
  <c r="BH183" i="1"/>
  <c r="DE183" i="1"/>
  <c r="J183" i="1"/>
  <c r="BG183" i="1"/>
  <c r="DD183" i="1"/>
  <c r="I183" i="1"/>
  <c r="BF183" i="1"/>
  <c r="DC183" i="1"/>
  <c r="H183" i="1"/>
  <c r="BE183" i="1"/>
  <c r="DB183" i="1"/>
  <c r="G183" i="1"/>
  <c r="BD183" i="1"/>
  <c r="DA183" i="1"/>
  <c r="CZ183" i="1"/>
  <c r="CY183" i="1"/>
  <c r="CX183" i="1"/>
  <c r="CW183" i="1"/>
  <c r="CV183" i="1"/>
  <c r="CU183" i="1"/>
  <c r="CT183" i="1"/>
  <c r="CS183" i="1"/>
  <c r="CR183" i="1"/>
  <c r="CQ183" i="1"/>
  <c r="BC183" i="1"/>
  <c r="BB183" i="1"/>
  <c r="BA183" i="1"/>
  <c r="AZ183" i="1"/>
  <c r="AY183" i="1"/>
  <c r="AX183" i="1"/>
  <c r="AW183" i="1"/>
  <c r="AV183" i="1"/>
  <c r="AU183" i="1"/>
  <c r="AT183" i="1"/>
  <c r="AO182" i="1"/>
  <c r="CL182" i="1"/>
  <c r="EI182" i="1"/>
  <c r="AN182" i="1"/>
  <c r="CK182" i="1"/>
  <c r="EH182" i="1"/>
  <c r="AI182" i="1"/>
  <c r="CF182" i="1"/>
  <c r="EC182" i="1"/>
  <c r="AH182" i="1"/>
  <c r="CE182" i="1"/>
  <c r="EB182" i="1"/>
  <c r="AC182" i="1"/>
  <c r="BZ182" i="1"/>
  <c r="DW182" i="1"/>
  <c r="AB182" i="1"/>
  <c r="BY182" i="1"/>
  <c r="DV182" i="1"/>
  <c r="W182" i="1"/>
  <c r="BT182" i="1"/>
  <c r="DQ182" i="1"/>
  <c r="V182" i="1"/>
  <c r="BS182" i="1"/>
  <c r="DP182" i="1"/>
  <c r="Q182" i="1"/>
  <c r="BN182" i="1"/>
  <c r="DK182" i="1"/>
  <c r="P182" i="1"/>
  <c r="BM182" i="1"/>
  <c r="DJ182" i="1"/>
  <c r="O182" i="1"/>
  <c r="BL182" i="1"/>
  <c r="DI182" i="1"/>
  <c r="N182" i="1"/>
  <c r="BK182" i="1"/>
  <c r="DH182" i="1"/>
  <c r="M182" i="1"/>
  <c r="BJ182" i="1"/>
  <c r="DG182" i="1"/>
  <c r="L182" i="1"/>
  <c r="BI182" i="1"/>
  <c r="DF182" i="1"/>
  <c r="K182" i="1"/>
  <c r="BH182" i="1"/>
  <c r="DE182" i="1"/>
  <c r="J182" i="1"/>
  <c r="BG182" i="1"/>
  <c r="DD182" i="1"/>
  <c r="I182" i="1"/>
  <c r="BF182" i="1"/>
  <c r="DC182" i="1"/>
  <c r="H182" i="1"/>
  <c r="BE182" i="1"/>
  <c r="DB182" i="1"/>
  <c r="G182" i="1"/>
  <c r="BD182" i="1"/>
  <c r="DA182" i="1"/>
  <c r="CZ182" i="1"/>
  <c r="CY182" i="1"/>
  <c r="CX182" i="1"/>
  <c r="CW182" i="1"/>
  <c r="CV182" i="1"/>
  <c r="CU182" i="1"/>
  <c r="CT182" i="1"/>
  <c r="CS182" i="1"/>
  <c r="CR182" i="1"/>
  <c r="CQ182" i="1"/>
  <c r="BC182" i="1"/>
  <c r="BB182" i="1"/>
  <c r="BA182" i="1"/>
  <c r="AZ182" i="1"/>
  <c r="AY182" i="1"/>
  <c r="AX182" i="1"/>
  <c r="AW182" i="1"/>
  <c r="AV182" i="1"/>
  <c r="AU182" i="1"/>
  <c r="AT182" i="1"/>
  <c r="AO181" i="1"/>
  <c r="CL181" i="1"/>
  <c r="EI181" i="1"/>
  <c r="AN181" i="1"/>
  <c r="CK181" i="1"/>
  <c r="EH181" i="1"/>
  <c r="AI181" i="1"/>
  <c r="CF181" i="1"/>
  <c r="EC181" i="1"/>
  <c r="AH181" i="1"/>
  <c r="CE181" i="1"/>
  <c r="EB181" i="1"/>
  <c r="AC181" i="1"/>
  <c r="BZ181" i="1"/>
  <c r="DW181" i="1"/>
  <c r="AB181" i="1"/>
  <c r="BY181" i="1"/>
  <c r="DV181" i="1"/>
  <c r="W181" i="1"/>
  <c r="BT181" i="1"/>
  <c r="DQ181" i="1"/>
  <c r="V181" i="1"/>
  <c r="BS181" i="1"/>
  <c r="DP181" i="1"/>
  <c r="Q181" i="1"/>
  <c r="BN181" i="1"/>
  <c r="DK181" i="1"/>
  <c r="P181" i="1"/>
  <c r="BM181" i="1"/>
  <c r="DJ181" i="1"/>
  <c r="O181" i="1"/>
  <c r="BL181" i="1"/>
  <c r="DI181" i="1"/>
  <c r="N181" i="1"/>
  <c r="BK181" i="1"/>
  <c r="DH181" i="1"/>
  <c r="M181" i="1"/>
  <c r="BJ181" i="1"/>
  <c r="DG181" i="1"/>
  <c r="L181" i="1"/>
  <c r="BI181" i="1"/>
  <c r="DF181" i="1"/>
  <c r="K181" i="1"/>
  <c r="BH181" i="1"/>
  <c r="DE181" i="1"/>
  <c r="J181" i="1"/>
  <c r="BG181" i="1"/>
  <c r="DD181" i="1"/>
  <c r="I181" i="1"/>
  <c r="BF181" i="1"/>
  <c r="DC181" i="1"/>
  <c r="H181" i="1"/>
  <c r="BE181" i="1"/>
  <c r="DB181" i="1"/>
  <c r="G181" i="1"/>
  <c r="BD181" i="1"/>
  <c r="DA181" i="1"/>
  <c r="CZ181" i="1"/>
  <c r="CY181" i="1"/>
  <c r="CX181" i="1"/>
  <c r="CW181" i="1"/>
  <c r="CV181" i="1"/>
  <c r="CU181" i="1"/>
  <c r="CT181" i="1"/>
  <c r="CS181" i="1"/>
  <c r="CR181" i="1"/>
  <c r="CQ181" i="1"/>
  <c r="BC181" i="1"/>
  <c r="BB181" i="1"/>
  <c r="BA181" i="1"/>
  <c r="AZ181" i="1"/>
  <c r="AY181" i="1"/>
  <c r="AX181" i="1"/>
  <c r="AW181" i="1"/>
  <c r="AV181" i="1"/>
  <c r="AU181" i="1"/>
  <c r="AT181" i="1"/>
  <c r="AO180" i="1"/>
  <c r="CL180" i="1"/>
  <c r="EI180" i="1"/>
  <c r="AN180" i="1"/>
  <c r="CK180" i="1"/>
  <c r="EH180" i="1"/>
  <c r="AI180" i="1"/>
  <c r="CF180" i="1"/>
  <c r="EC180" i="1"/>
  <c r="AH180" i="1"/>
  <c r="CE180" i="1"/>
  <c r="EB180" i="1"/>
  <c r="AC180" i="1"/>
  <c r="BZ180" i="1"/>
  <c r="DW180" i="1"/>
  <c r="AB180" i="1"/>
  <c r="BY180" i="1"/>
  <c r="DV180" i="1"/>
  <c r="W180" i="1"/>
  <c r="BT180" i="1"/>
  <c r="DQ180" i="1"/>
  <c r="V180" i="1"/>
  <c r="BS180" i="1"/>
  <c r="DP180" i="1"/>
  <c r="Q180" i="1"/>
  <c r="BN180" i="1"/>
  <c r="DK180" i="1"/>
  <c r="P180" i="1"/>
  <c r="BM180" i="1"/>
  <c r="DJ180" i="1"/>
  <c r="O180" i="1"/>
  <c r="BL180" i="1"/>
  <c r="DI180" i="1"/>
  <c r="N180" i="1"/>
  <c r="BK180" i="1"/>
  <c r="DH180" i="1"/>
  <c r="M180" i="1"/>
  <c r="BJ180" i="1"/>
  <c r="DG180" i="1"/>
  <c r="L180" i="1"/>
  <c r="BI180" i="1"/>
  <c r="DF180" i="1"/>
  <c r="K180" i="1"/>
  <c r="BH180" i="1"/>
  <c r="DE180" i="1"/>
  <c r="J180" i="1"/>
  <c r="BG180" i="1"/>
  <c r="DD180" i="1"/>
  <c r="I180" i="1"/>
  <c r="BF180" i="1"/>
  <c r="DC180" i="1"/>
  <c r="H180" i="1"/>
  <c r="BE180" i="1"/>
  <c r="DB180" i="1"/>
  <c r="G180" i="1"/>
  <c r="BD180" i="1"/>
  <c r="DA180" i="1"/>
  <c r="CZ180" i="1"/>
  <c r="CY180" i="1"/>
  <c r="CX180" i="1"/>
  <c r="CW180" i="1"/>
  <c r="CV180" i="1"/>
  <c r="CU180" i="1"/>
  <c r="CT180" i="1"/>
  <c r="CS180" i="1"/>
  <c r="CR180" i="1"/>
  <c r="CQ180" i="1"/>
  <c r="BC180" i="1"/>
  <c r="BB180" i="1"/>
  <c r="BA180" i="1"/>
  <c r="AZ180" i="1"/>
  <c r="AY180" i="1"/>
  <c r="AX180" i="1"/>
  <c r="AW180" i="1"/>
  <c r="AV180" i="1"/>
  <c r="AU180" i="1"/>
  <c r="AT180" i="1"/>
  <c r="AO179" i="1"/>
  <c r="CL179" i="1"/>
  <c r="EI179" i="1"/>
  <c r="AN179" i="1"/>
  <c r="CK179" i="1"/>
  <c r="EH179" i="1"/>
  <c r="AI179" i="1"/>
  <c r="CF179" i="1"/>
  <c r="EC179" i="1"/>
  <c r="AH179" i="1"/>
  <c r="CE179" i="1"/>
  <c r="EB179" i="1"/>
  <c r="AC179" i="1"/>
  <c r="BZ179" i="1"/>
  <c r="DW179" i="1"/>
  <c r="AB179" i="1"/>
  <c r="BY179" i="1"/>
  <c r="DV179" i="1"/>
  <c r="W179" i="1"/>
  <c r="BT179" i="1"/>
  <c r="DQ179" i="1"/>
  <c r="V179" i="1"/>
  <c r="BS179" i="1"/>
  <c r="DP179" i="1"/>
  <c r="Q179" i="1"/>
  <c r="BN179" i="1"/>
  <c r="DK179" i="1"/>
  <c r="P179" i="1"/>
  <c r="BM179" i="1"/>
  <c r="DJ179" i="1"/>
  <c r="O179" i="1"/>
  <c r="BL179" i="1"/>
  <c r="DI179" i="1"/>
  <c r="N179" i="1"/>
  <c r="BK179" i="1"/>
  <c r="DH179" i="1"/>
  <c r="M179" i="1"/>
  <c r="BJ179" i="1"/>
  <c r="DG179" i="1"/>
  <c r="L179" i="1"/>
  <c r="BI179" i="1"/>
  <c r="DF179" i="1"/>
  <c r="K179" i="1"/>
  <c r="BH179" i="1"/>
  <c r="DE179" i="1"/>
  <c r="J179" i="1"/>
  <c r="BG179" i="1"/>
  <c r="DD179" i="1"/>
  <c r="I179" i="1"/>
  <c r="BF179" i="1"/>
  <c r="DC179" i="1"/>
  <c r="H179" i="1"/>
  <c r="BE179" i="1"/>
  <c r="DB179" i="1"/>
  <c r="G179" i="1"/>
  <c r="BD179" i="1"/>
  <c r="DA179" i="1"/>
  <c r="CZ179" i="1"/>
  <c r="CY179" i="1"/>
  <c r="CX179" i="1"/>
  <c r="CW179" i="1"/>
  <c r="CV179" i="1"/>
  <c r="CU179" i="1"/>
  <c r="CT179" i="1"/>
  <c r="CS179" i="1"/>
  <c r="CR179" i="1"/>
  <c r="CQ179" i="1"/>
  <c r="BC179" i="1"/>
  <c r="BB179" i="1"/>
  <c r="BA179" i="1"/>
  <c r="AZ179" i="1"/>
  <c r="AY179" i="1"/>
  <c r="AX179" i="1"/>
  <c r="AW179" i="1"/>
  <c r="AV179" i="1"/>
  <c r="AU179" i="1"/>
  <c r="AT179" i="1"/>
  <c r="AO178" i="1"/>
  <c r="CL178" i="1"/>
  <c r="EI178" i="1"/>
  <c r="AN178" i="1"/>
  <c r="CK178" i="1"/>
  <c r="EH178" i="1"/>
  <c r="AI178" i="1"/>
  <c r="CF178" i="1"/>
  <c r="EC178" i="1"/>
  <c r="AH178" i="1"/>
  <c r="CE178" i="1"/>
  <c r="EB178" i="1"/>
  <c r="AC178" i="1"/>
  <c r="BZ178" i="1"/>
  <c r="DW178" i="1"/>
  <c r="AB178" i="1"/>
  <c r="BY178" i="1"/>
  <c r="DV178" i="1"/>
  <c r="W178" i="1"/>
  <c r="BT178" i="1"/>
  <c r="DQ178" i="1"/>
  <c r="V178" i="1"/>
  <c r="BS178" i="1"/>
  <c r="DP178" i="1"/>
  <c r="Q178" i="1"/>
  <c r="BN178" i="1"/>
  <c r="DK178" i="1"/>
  <c r="P178" i="1"/>
  <c r="BM178" i="1"/>
  <c r="DJ178" i="1"/>
  <c r="O178" i="1"/>
  <c r="BL178" i="1"/>
  <c r="DI178" i="1"/>
  <c r="N178" i="1"/>
  <c r="BK178" i="1"/>
  <c r="DH178" i="1"/>
  <c r="M178" i="1"/>
  <c r="BJ178" i="1"/>
  <c r="DG178" i="1"/>
  <c r="L178" i="1"/>
  <c r="BI178" i="1"/>
  <c r="DF178" i="1"/>
  <c r="K178" i="1"/>
  <c r="BH178" i="1"/>
  <c r="DE178" i="1"/>
  <c r="J178" i="1"/>
  <c r="BG178" i="1"/>
  <c r="DD178" i="1"/>
  <c r="I178" i="1"/>
  <c r="BF178" i="1"/>
  <c r="DC178" i="1"/>
  <c r="H178" i="1"/>
  <c r="BE178" i="1"/>
  <c r="DB178" i="1"/>
  <c r="G178" i="1"/>
  <c r="BD178" i="1"/>
  <c r="DA178" i="1"/>
  <c r="CZ178" i="1"/>
  <c r="CY178" i="1"/>
  <c r="CX178" i="1"/>
  <c r="CW178" i="1"/>
  <c r="CV178" i="1"/>
  <c r="CU178" i="1"/>
  <c r="CT178" i="1"/>
  <c r="CS178" i="1"/>
  <c r="CR178" i="1"/>
  <c r="CQ178" i="1"/>
  <c r="BC178" i="1"/>
  <c r="BB178" i="1"/>
  <c r="BA178" i="1"/>
  <c r="AZ178" i="1"/>
  <c r="AY178" i="1"/>
  <c r="AX178" i="1"/>
  <c r="AW178" i="1"/>
  <c r="AV178" i="1"/>
  <c r="AU178" i="1"/>
  <c r="AT178" i="1"/>
  <c r="AO177" i="1"/>
  <c r="CL177" i="1"/>
  <c r="EI177" i="1"/>
  <c r="AN177" i="1"/>
  <c r="CK177" i="1"/>
  <c r="EH177" i="1"/>
  <c r="AI177" i="1"/>
  <c r="CF177" i="1"/>
  <c r="EC177" i="1"/>
  <c r="AH177" i="1"/>
  <c r="CE177" i="1"/>
  <c r="EB177" i="1"/>
  <c r="AC177" i="1"/>
  <c r="BZ177" i="1"/>
  <c r="DW177" i="1"/>
  <c r="AB177" i="1"/>
  <c r="BY177" i="1"/>
  <c r="DV177" i="1"/>
  <c r="W177" i="1"/>
  <c r="BT177" i="1"/>
  <c r="DQ177" i="1"/>
  <c r="V177" i="1"/>
  <c r="BS177" i="1"/>
  <c r="DP177" i="1"/>
  <c r="Q177" i="1"/>
  <c r="BN177" i="1"/>
  <c r="DK177" i="1"/>
  <c r="P177" i="1"/>
  <c r="BM177" i="1"/>
  <c r="DJ177" i="1"/>
  <c r="O177" i="1"/>
  <c r="BL177" i="1"/>
  <c r="DI177" i="1"/>
  <c r="N177" i="1"/>
  <c r="BK177" i="1"/>
  <c r="DH177" i="1"/>
  <c r="M177" i="1"/>
  <c r="BJ177" i="1"/>
  <c r="DG177" i="1"/>
  <c r="L177" i="1"/>
  <c r="BI177" i="1"/>
  <c r="DF177" i="1"/>
  <c r="K177" i="1"/>
  <c r="BH177" i="1"/>
  <c r="DE177" i="1"/>
  <c r="J177" i="1"/>
  <c r="BG177" i="1"/>
  <c r="DD177" i="1"/>
  <c r="I177" i="1"/>
  <c r="BF177" i="1"/>
  <c r="DC177" i="1"/>
  <c r="H177" i="1"/>
  <c r="BE177" i="1"/>
  <c r="DB177" i="1"/>
  <c r="G177" i="1"/>
  <c r="BD177" i="1"/>
  <c r="DA177" i="1"/>
  <c r="CZ177" i="1"/>
  <c r="CY177" i="1"/>
  <c r="CX177" i="1"/>
  <c r="CW177" i="1"/>
  <c r="CV177" i="1"/>
  <c r="CU177" i="1"/>
  <c r="CT177" i="1"/>
  <c r="CS177" i="1"/>
  <c r="CR177" i="1"/>
  <c r="CQ177" i="1"/>
  <c r="BC177" i="1"/>
  <c r="BB177" i="1"/>
  <c r="BA177" i="1"/>
  <c r="AZ177" i="1"/>
  <c r="AY177" i="1"/>
  <c r="AX177" i="1"/>
  <c r="AW177" i="1"/>
  <c r="AV177" i="1"/>
  <c r="AU177" i="1"/>
  <c r="AT177" i="1"/>
  <c r="AO176" i="1"/>
  <c r="CL176" i="1"/>
  <c r="EI176" i="1"/>
  <c r="AN176" i="1"/>
  <c r="CK176" i="1"/>
  <c r="EH176" i="1"/>
  <c r="AI176" i="1"/>
  <c r="CF176" i="1"/>
  <c r="EC176" i="1"/>
  <c r="AH176" i="1"/>
  <c r="CE176" i="1"/>
  <c r="EB176" i="1"/>
  <c r="AC176" i="1"/>
  <c r="BZ176" i="1"/>
  <c r="DW176" i="1"/>
  <c r="AB176" i="1"/>
  <c r="BY176" i="1"/>
  <c r="DV176" i="1"/>
  <c r="W176" i="1"/>
  <c r="BT176" i="1"/>
  <c r="DQ176" i="1"/>
  <c r="V176" i="1"/>
  <c r="BS176" i="1"/>
  <c r="DP176" i="1"/>
  <c r="Q176" i="1"/>
  <c r="BN176" i="1"/>
  <c r="DK176" i="1"/>
  <c r="P176" i="1"/>
  <c r="BM176" i="1"/>
  <c r="DJ176" i="1"/>
  <c r="O176" i="1"/>
  <c r="BL176" i="1"/>
  <c r="DI176" i="1"/>
  <c r="N176" i="1"/>
  <c r="BK176" i="1"/>
  <c r="DH176" i="1"/>
  <c r="M176" i="1"/>
  <c r="BJ176" i="1"/>
  <c r="DG176" i="1"/>
  <c r="L176" i="1"/>
  <c r="BI176" i="1"/>
  <c r="DF176" i="1"/>
  <c r="K176" i="1"/>
  <c r="BH176" i="1"/>
  <c r="DE176" i="1"/>
  <c r="J176" i="1"/>
  <c r="BG176" i="1"/>
  <c r="DD176" i="1"/>
  <c r="I176" i="1"/>
  <c r="BF176" i="1"/>
  <c r="DC176" i="1"/>
  <c r="H176" i="1"/>
  <c r="BE176" i="1"/>
  <c r="DB176" i="1"/>
  <c r="G176" i="1"/>
  <c r="BD176" i="1"/>
  <c r="DA176" i="1"/>
  <c r="CZ176" i="1"/>
  <c r="CY176" i="1"/>
  <c r="CX176" i="1"/>
  <c r="CW176" i="1"/>
  <c r="CV176" i="1"/>
  <c r="CU176" i="1"/>
  <c r="CT176" i="1"/>
  <c r="CS176" i="1"/>
  <c r="CR176" i="1"/>
  <c r="CQ176" i="1"/>
  <c r="BC176" i="1"/>
  <c r="BB176" i="1"/>
  <c r="BA176" i="1"/>
  <c r="AZ176" i="1"/>
  <c r="AY176" i="1"/>
  <c r="AX176" i="1"/>
  <c r="AW176" i="1"/>
  <c r="AV176" i="1"/>
  <c r="AU176" i="1"/>
  <c r="AT176" i="1"/>
  <c r="AO175" i="1"/>
  <c r="CL175" i="1"/>
  <c r="EI175" i="1"/>
  <c r="AN175" i="1"/>
  <c r="CK175" i="1"/>
  <c r="EH175" i="1"/>
  <c r="AI175" i="1"/>
  <c r="CF175" i="1"/>
  <c r="EC175" i="1"/>
  <c r="AH175" i="1"/>
  <c r="CE175" i="1"/>
  <c r="EB175" i="1"/>
  <c r="AC175" i="1"/>
  <c r="BZ175" i="1"/>
  <c r="DW175" i="1"/>
  <c r="AB175" i="1"/>
  <c r="BY175" i="1"/>
  <c r="DV175" i="1"/>
  <c r="W175" i="1"/>
  <c r="BT175" i="1"/>
  <c r="DQ175" i="1"/>
  <c r="V175" i="1"/>
  <c r="BS175" i="1"/>
  <c r="DP175" i="1"/>
  <c r="Q175" i="1"/>
  <c r="BN175" i="1"/>
  <c r="DK175" i="1"/>
  <c r="P175" i="1"/>
  <c r="BM175" i="1"/>
  <c r="DJ175" i="1"/>
  <c r="O175" i="1"/>
  <c r="BL175" i="1"/>
  <c r="DI175" i="1"/>
  <c r="N175" i="1"/>
  <c r="BK175" i="1"/>
  <c r="DH175" i="1"/>
  <c r="M175" i="1"/>
  <c r="BJ175" i="1"/>
  <c r="DG175" i="1"/>
  <c r="L175" i="1"/>
  <c r="BI175" i="1"/>
  <c r="DF175" i="1"/>
  <c r="K175" i="1"/>
  <c r="BH175" i="1"/>
  <c r="DE175" i="1"/>
  <c r="J175" i="1"/>
  <c r="BG175" i="1"/>
  <c r="DD175" i="1"/>
  <c r="I175" i="1"/>
  <c r="BF175" i="1"/>
  <c r="DC175" i="1"/>
  <c r="H175" i="1"/>
  <c r="BE175" i="1"/>
  <c r="DB175" i="1"/>
  <c r="G175" i="1"/>
  <c r="BD175" i="1"/>
  <c r="DA175" i="1"/>
  <c r="CZ175" i="1"/>
  <c r="CY175" i="1"/>
  <c r="CX175" i="1"/>
  <c r="CW175" i="1"/>
  <c r="CV175" i="1"/>
  <c r="CU175" i="1"/>
  <c r="CT175" i="1"/>
  <c r="CS175" i="1"/>
  <c r="CR175" i="1"/>
  <c r="CQ175" i="1"/>
  <c r="BC175" i="1"/>
  <c r="BB175" i="1"/>
  <c r="BA175" i="1"/>
  <c r="AZ175" i="1"/>
  <c r="AY175" i="1"/>
  <c r="AX175" i="1"/>
  <c r="AW175" i="1"/>
  <c r="AV175" i="1"/>
  <c r="AU175" i="1"/>
  <c r="AT175" i="1"/>
  <c r="AO174" i="1"/>
  <c r="CL174" i="1"/>
  <c r="EI174" i="1"/>
  <c r="AN174" i="1"/>
  <c r="CK174" i="1"/>
  <c r="EH174" i="1"/>
  <c r="AI174" i="1"/>
  <c r="CF174" i="1"/>
  <c r="EC174" i="1"/>
  <c r="AH174" i="1"/>
  <c r="CE174" i="1"/>
  <c r="EB174" i="1"/>
  <c r="AC174" i="1"/>
  <c r="BZ174" i="1"/>
  <c r="DW174" i="1"/>
  <c r="AB174" i="1"/>
  <c r="BY174" i="1"/>
  <c r="DV174" i="1"/>
  <c r="W174" i="1"/>
  <c r="BT174" i="1"/>
  <c r="DQ174" i="1"/>
  <c r="V174" i="1"/>
  <c r="BS174" i="1"/>
  <c r="DP174" i="1"/>
  <c r="Q174" i="1"/>
  <c r="BN174" i="1"/>
  <c r="DK174" i="1"/>
  <c r="P174" i="1"/>
  <c r="BM174" i="1"/>
  <c r="DJ174" i="1"/>
  <c r="O174" i="1"/>
  <c r="BL174" i="1"/>
  <c r="DI174" i="1"/>
  <c r="N174" i="1"/>
  <c r="BK174" i="1"/>
  <c r="DH174" i="1"/>
  <c r="M174" i="1"/>
  <c r="BJ174" i="1"/>
  <c r="DG174" i="1"/>
  <c r="L174" i="1"/>
  <c r="BI174" i="1"/>
  <c r="DF174" i="1"/>
  <c r="K174" i="1"/>
  <c r="BH174" i="1"/>
  <c r="DE174" i="1"/>
  <c r="J174" i="1"/>
  <c r="BG174" i="1"/>
  <c r="DD174" i="1"/>
  <c r="I174" i="1"/>
  <c r="BF174" i="1"/>
  <c r="DC174" i="1"/>
  <c r="H174" i="1"/>
  <c r="BE174" i="1"/>
  <c r="DB174" i="1"/>
  <c r="G174" i="1"/>
  <c r="BD174" i="1"/>
  <c r="DA174" i="1"/>
  <c r="CZ174" i="1"/>
  <c r="CY174" i="1"/>
  <c r="CX174" i="1"/>
  <c r="CW174" i="1"/>
  <c r="CV174" i="1"/>
  <c r="CU174" i="1"/>
  <c r="CT174" i="1"/>
  <c r="CS174" i="1"/>
  <c r="CR174" i="1"/>
  <c r="CQ174" i="1"/>
  <c r="BC174" i="1"/>
  <c r="BB174" i="1"/>
  <c r="BA174" i="1"/>
  <c r="AZ174" i="1"/>
  <c r="AY174" i="1"/>
  <c r="AX174" i="1"/>
  <c r="AW174" i="1"/>
  <c r="AV174" i="1"/>
  <c r="AU174" i="1"/>
  <c r="AT174" i="1"/>
  <c r="AO173" i="1"/>
  <c r="CL173" i="1"/>
  <c r="EI173" i="1"/>
  <c r="AN173" i="1"/>
  <c r="CK173" i="1"/>
  <c r="EH173" i="1"/>
  <c r="AI173" i="1"/>
  <c r="CF173" i="1"/>
  <c r="EC173" i="1"/>
  <c r="AH173" i="1"/>
  <c r="CE173" i="1"/>
  <c r="EB173" i="1"/>
  <c r="AC173" i="1"/>
  <c r="BZ173" i="1"/>
  <c r="DW173" i="1"/>
  <c r="AB173" i="1"/>
  <c r="BY173" i="1"/>
  <c r="DV173" i="1"/>
  <c r="W173" i="1"/>
  <c r="BT173" i="1"/>
  <c r="DQ173" i="1"/>
  <c r="V173" i="1"/>
  <c r="BS173" i="1"/>
  <c r="DP173" i="1"/>
  <c r="Q173" i="1"/>
  <c r="BN173" i="1"/>
  <c r="DK173" i="1"/>
  <c r="P173" i="1"/>
  <c r="BM173" i="1"/>
  <c r="DJ173" i="1"/>
  <c r="O173" i="1"/>
  <c r="BL173" i="1"/>
  <c r="DI173" i="1"/>
  <c r="N173" i="1"/>
  <c r="BK173" i="1"/>
  <c r="DH173" i="1"/>
  <c r="M173" i="1"/>
  <c r="BJ173" i="1"/>
  <c r="DG173" i="1"/>
  <c r="L173" i="1"/>
  <c r="BI173" i="1"/>
  <c r="DF173" i="1"/>
  <c r="K173" i="1"/>
  <c r="BH173" i="1"/>
  <c r="DE173" i="1"/>
  <c r="J173" i="1"/>
  <c r="BG173" i="1"/>
  <c r="DD173" i="1"/>
  <c r="I173" i="1"/>
  <c r="BF173" i="1"/>
  <c r="DC173" i="1"/>
  <c r="H173" i="1"/>
  <c r="BE173" i="1"/>
  <c r="DB173" i="1"/>
  <c r="G173" i="1"/>
  <c r="BD173" i="1"/>
  <c r="DA173" i="1"/>
  <c r="CZ173" i="1"/>
  <c r="CY173" i="1"/>
  <c r="CX173" i="1"/>
  <c r="CW173" i="1"/>
  <c r="CV173" i="1"/>
  <c r="CU173" i="1"/>
  <c r="CT173" i="1"/>
  <c r="CS173" i="1"/>
  <c r="CR173" i="1"/>
  <c r="CQ173" i="1"/>
  <c r="BC173" i="1"/>
  <c r="BB173" i="1"/>
  <c r="BA173" i="1"/>
  <c r="AZ173" i="1"/>
  <c r="AY173" i="1"/>
  <c r="AX173" i="1"/>
  <c r="AW173" i="1"/>
  <c r="AV173" i="1"/>
  <c r="AU173" i="1"/>
  <c r="AT173" i="1"/>
  <c r="AO172" i="1"/>
  <c r="CL172" i="1"/>
  <c r="EI172" i="1"/>
  <c r="AN172" i="1"/>
  <c r="CK172" i="1"/>
  <c r="EH172" i="1"/>
  <c r="AI172" i="1"/>
  <c r="CF172" i="1"/>
  <c r="EC172" i="1"/>
  <c r="AH172" i="1"/>
  <c r="CE172" i="1"/>
  <c r="EB172" i="1"/>
  <c r="AC172" i="1"/>
  <c r="BZ172" i="1"/>
  <c r="DW172" i="1"/>
  <c r="AB172" i="1"/>
  <c r="BY172" i="1"/>
  <c r="DV172" i="1"/>
  <c r="W172" i="1"/>
  <c r="BT172" i="1"/>
  <c r="DQ172" i="1"/>
  <c r="V172" i="1"/>
  <c r="BS172" i="1"/>
  <c r="DP172" i="1"/>
  <c r="Q172" i="1"/>
  <c r="BN172" i="1"/>
  <c r="DK172" i="1"/>
  <c r="P172" i="1"/>
  <c r="BM172" i="1"/>
  <c r="DJ172" i="1"/>
  <c r="O172" i="1"/>
  <c r="BL172" i="1"/>
  <c r="DI172" i="1"/>
  <c r="N172" i="1"/>
  <c r="BK172" i="1"/>
  <c r="DH172" i="1"/>
  <c r="M172" i="1"/>
  <c r="BJ172" i="1"/>
  <c r="DG172" i="1"/>
  <c r="L172" i="1"/>
  <c r="BI172" i="1"/>
  <c r="DF172" i="1"/>
  <c r="K172" i="1"/>
  <c r="BH172" i="1"/>
  <c r="DE172" i="1"/>
  <c r="J172" i="1"/>
  <c r="BG172" i="1"/>
  <c r="DD172" i="1"/>
  <c r="I172" i="1"/>
  <c r="BF172" i="1"/>
  <c r="DC172" i="1"/>
  <c r="H172" i="1"/>
  <c r="BE172" i="1"/>
  <c r="DB172" i="1"/>
  <c r="G172" i="1"/>
  <c r="BD172" i="1"/>
  <c r="DA172" i="1"/>
  <c r="CZ172" i="1"/>
  <c r="CY172" i="1"/>
  <c r="CX172" i="1"/>
  <c r="CW172" i="1"/>
  <c r="CV172" i="1"/>
  <c r="CU172" i="1"/>
  <c r="CT172" i="1"/>
  <c r="CS172" i="1"/>
  <c r="CR172" i="1"/>
  <c r="CQ172" i="1"/>
  <c r="BC172" i="1"/>
  <c r="BB172" i="1"/>
  <c r="BA172" i="1"/>
  <c r="AZ172" i="1"/>
  <c r="AY172" i="1"/>
  <c r="AX172" i="1"/>
  <c r="AW172" i="1"/>
  <c r="AV172" i="1"/>
  <c r="AU172" i="1"/>
  <c r="AT172" i="1"/>
  <c r="AO171" i="1"/>
  <c r="CL171" i="1"/>
  <c r="EI171" i="1"/>
  <c r="AN171" i="1"/>
  <c r="CK171" i="1"/>
  <c r="EH171" i="1"/>
  <c r="AI171" i="1"/>
  <c r="CF171" i="1"/>
  <c r="EC171" i="1"/>
  <c r="AH171" i="1"/>
  <c r="CE171" i="1"/>
  <c r="EB171" i="1"/>
  <c r="AC171" i="1"/>
  <c r="BZ171" i="1"/>
  <c r="DW171" i="1"/>
  <c r="AB171" i="1"/>
  <c r="BY171" i="1"/>
  <c r="DV171" i="1"/>
  <c r="W171" i="1"/>
  <c r="BT171" i="1"/>
  <c r="DQ171" i="1"/>
  <c r="V171" i="1"/>
  <c r="BS171" i="1"/>
  <c r="DP171" i="1"/>
  <c r="Q171" i="1"/>
  <c r="BN171" i="1"/>
  <c r="DK171" i="1"/>
  <c r="P171" i="1"/>
  <c r="BM171" i="1"/>
  <c r="DJ171" i="1"/>
  <c r="O171" i="1"/>
  <c r="BL171" i="1"/>
  <c r="DI171" i="1"/>
  <c r="N171" i="1"/>
  <c r="BK171" i="1"/>
  <c r="DH171" i="1"/>
  <c r="M171" i="1"/>
  <c r="BJ171" i="1"/>
  <c r="DG171" i="1"/>
  <c r="L171" i="1"/>
  <c r="BI171" i="1"/>
  <c r="DF171" i="1"/>
  <c r="K171" i="1"/>
  <c r="BH171" i="1"/>
  <c r="DE171" i="1"/>
  <c r="J171" i="1"/>
  <c r="BG171" i="1"/>
  <c r="DD171" i="1"/>
  <c r="I171" i="1"/>
  <c r="BF171" i="1"/>
  <c r="DC171" i="1"/>
  <c r="H171" i="1"/>
  <c r="BE171" i="1"/>
  <c r="DB171" i="1"/>
  <c r="G171" i="1"/>
  <c r="BD171" i="1"/>
  <c r="DA171" i="1"/>
  <c r="CZ171" i="1"/>
  <c r="CY171" i="1"/>
  <c r="CX171" i="1"/>
  <c r="CW171" i="1"/>
  <c r="CV171" i="1"/>
  <c r="CU171" i="1"/>
  <c r="CT171" i="1"/>
  <c r="CS171" i="1"/>
  <c r="CR171" i="1"/>
  <c r="CQ171" i="1"/>
  <c r="BC171" i="1"/>
  <c r="BB171" i="1"/>
  <c r="BA171" i="1"/>
  <c r="AZ171" i="1"/>
  <c r="AY171" i="1"/>
  <c r="AX171" i="1"/>
  <c r="AW171" i="1"/>
  <c r="AV171" i="1"/>
  <c r="AU171" i="1"/>
  <c r="AT171" i="1"/>
  <c r="AO170" i="1"/>
  <c r="CL170" i="1"/>
  <c r="EI170" i="1"/>
  <c r="AN170" i="1"/>
  <c r="CK170" i="1"/>
  <c r="EH170" i="1"/>
  <c r="AI170" i="1"/>
  <c r="CF170" i="1"/>
  <c r="EC170" i="1"/>
  <c r="AH170" i="1"/>
  <c r="CE170" i="1"/>
  <c r="EB170" i="1"/>
  <c r="AC170" i="1"/>
  <c r="BZ170" i="1"/>
  <c r="DW170" i="1"/>
  <c r="AB170" i="1"/>
  <c r="BY170" i="1"/>
  <c r="DV170" i="1"/>
  <c r="W170" i="1"/>
  <c r="BT170" i="1"/>
  <c r="DQ170" i="1"/>
  <c r="V170" i="1"/>
  <c r="BS170" i="1"/>
  <c r="DP170" i="1"/>
  <c r="Q170" i="1"/>
  <c r="BN170" i="1"/>
  <c r="DK170" i="1"/>
  <c r="P170" i="1"/>
  <c r="BM170" i="1"/>
  <c r="DJ170" i="1"/>
  <c r="O170" i="1"/>
  <c r="BL170" i="1"/>
  <c r="DI170" i="1"/>
  <c r="N170" i="1"/>
  <c r="BK170" i="1"/>
  <c r="DH170" i="1"/>
  <c r="M170" i="1"/>
  <c r="BJ170" i="1"/>
  <c r="DG170" i="1"/>
  <c r="L170" i="1"/>
  <c r="BI170" i="1"/>
  <c r="DF170" i="1"/>
  <c r="K170" i="1"/>
  <c r="BH170" i="1"/>
  <c r="DE170" i="1"/>
  <c r="J170" i="1"/>
  <c r="BG170" i="1"/>
  <c r="DD170" i="1"/>
  <c r="I170" i="1"/>
  <c r="BF170" i="1"/>
  <c r="DC170" i="1"/>
  <c r="H170" i="1"/>
  <c r="BE170" i="1"/>
  <c r="DB170" i="1"/>
  <c r="G170" i="1"/>
  <c r="BD170" i="1"/>
  <c r="DA170" i="1"/>
  <c r="CZ170" i="1"/>
  <c r="CY170" i="1"/>
  <c r="CX170" i="1"/>
  <c r="CW170" i="1"/>
  <c r="CV170" i="1"/>
  <c r="CU170" i="1"/>
  <c r="CT170" i="1"/>
  <c r="CS170" i="1"/>
  <c r="CR170" i="1"/>
  <c r="CQ170" i="1"/>
  <c r="BC170" i="1"/>
  <c r="BB170" i="1"/>
  <c r="BA170" i="1"/>
  <c r="AZ170" i="1"/>
  <c r="AY170" i="1"/>
  <c r="AX170" i="1"/>
  <c r="AW170" i="1"/>
  <c r="AV170" i="1"/>
  <c r="AU170" i="1"/>
  <c r="AT170" i="1"/>
  <c r="AO169" i="1"/>
  <c r="CL169" i="1"/>
  <c r="EI169" i="1"/>
  <c r="AN169" i="1"/>
  <c r="CK169" i="1"/>
  <c r="EH169" i="1"/>
  <c r="AI169" i="1"/>
  <c r="CF169" i="1"/>
  <c r="EC169" i="1"/>
  <c r="AH169" i="1"/>
  <c r="CE169" i="1"/>
  <c r="EB169" i="1"/>
  <c r="AC169" i="1"/>
  <c r="BZ169" i="1"/>
  <c r="DW169" i="1"/>
  <c r="AB169" i="1"/>
  <c r="BY169" i="1"/>
  <c r="DV169" i="1"/>
  <c r="W169" i="1"/>
  <c r="BT169" i="1"/>
  <c r="DQ169" i="1"/>
  <c r="V169" i="1"/>
  <c r="BS169" i="1"/>
  <c r="DP169" i="1"/>
  <c r="Q169" i="1"/>
  <c r="BN169" i="1"/>
  <c r="DK169" i="1"/>
  <c r="P169" i="1"/>
  <c r="BM169" i="1"/>
  <c r="DJ169" i="1"/>
  <c r="O169" i="1"/>
  <c r="BL169" i="1"/>
  <c r="DI169" i="1"/>
  <c r="N169" i="1"/>
  <c r="BK169" i="1"/>
  <c r="DH169" i="1"/>
  <c r="M169" i="1"/>
  <c r="BJ169" i="1"/>
  <c r="DG169" i="1"/>
  <c r="L169" i="1"/>
  <c r="BI169" i="1"/>
  <c r="DF169" i="1"/>
  <c r="K169" i="1"/>
  <c r="BH169" i="1"/>
  <c r="DE169" i="1"/>
  <c r="J169" i="1"/>
  <c r="BG169" i="1"/>
  <c r="DD169" i="1"/>
  <c r="I169" i="1"/>
  <c r="BF169" i="1"/>
  <c r="DC169" i="1"/>
  <c r="H169" i="1"/>
  <c r="BE169" i="1"/>
  <c r="DB169" i="1"/>
  <c r="G169" i="1"/>
  <c r="BD169" i="1"/>
  <c r="DA169" i="1"/>
  <c r="CZ169" i="1"/>
  <c r="CY169" i="1"/>
  <c r="CX169" i="1"/>
  <c r="CW169" i="1"/>
  <c r="CV169" i="1"/>
  <c r="CU169" i="1"/>
  <c r="CT169" i="1"/>
  <c r="CS169" i="1"/>
  <c r="CR169" i="1"/>
  <c r="CQ169" i="1"/>
  <c r="BC169" i="1"/>
  <c r="BB169" i="1"/>
  <c r="BA169" i="1"/>
  <c r="AZ169" i="1"/>
  <c r="AY169" i="1"/>
  <c r="AX169" i="1"/>
  <c r="AW169" i="1"/>
  <c r="AV169" i="1"/>
  <c r="AU169" i="1"/>
  <c r="AT169" i="1"/>
  <c r="AO168" i="1"/>
  <c r="CL168" i="1"/>
  <c r="EI168" i="1"/>
  <c r="AN168" i="1"/>
  <c r="CK168" i="1"/>
  <c r="EH168" i="1"/>
  <c r="AI168" i="1"/>
  <c r="CF168" i="1"/>
  <c r="EC168" i="1"/>
  <c r="AH168" i="1"/>
  <c r="CE168" i="1"/>
  <c r="EB168" i="1"/>
  <c r="AC168" i="1"/>
  <c r="BZ168" i="1"/>
  <c r="DW168" i="1"/>
  <c r="AB168" i="1"/>
  <c r="BY168" i="1"/>
  <c r="DV168" i="1"/>
  <c r="W168" i="1"/>
  <c r="BT168" i="1"/>
  <c r="DQ168" i="1"/>
  <c r="V168" i="1"/>
  <c r="BS168" i="1"/>
  <c r="DP168" i="1"/>
  <c r="Q168" i="1"/>
  <c r="BN168" i="1"/>
  <c r="DK168" i="1"/>
  <c r="P168" i="1"/>
  <c r="BM168" i="1"/>
  <c r="DJ168" i="1"/>
  <c r="O168" i="1"/>
  <c r="BL168" i="1"/>
  <c r="DI168" i="1"/>
  <c r="N168" i="1"/>
  <c r="BK168" i="1"/>
  <c r="DH168" i="1"/>
  <c r="M168" i="1"/>
  <c r="BJ168" i="1"/>
  <c r="DG168" i="1"/>
  <c r="L168" i="1"/>
  <c r="BI168" i="1"/>
  <c r="DF168" i="1"/>
  <c r="K168" i="1"/>
  <c r="BH168" i="1"/>
  <c r="DE168" i="1"/>
  <c r="J168" i="1"/>
  <c r="BG168" i="1"/>
  <c r="DD168" i="1"/>
  <c r="I168" i="1"/>
  <c r="BF168" i="1"/>
  <c r="DC168" i="1"/>
  <c r="H168" i="1"/>
  <c r="BE168" i="1"/>
  <c r="DB168" i="1"/>
  <c r="G168" i="1"/>
  <c r="BD168" i="1"/>
  <c r="DA168" i="1"/>
  <c r="CZ168" i="1"/>
  <c r="CY168" i="1"/>
  <c r="CX168" i="1"/>
  <c r="CW168" i="1"/>
  <c r="CV168" i="1"/>
  <c r="CU168" i="1"/>
  <c r="CT168" i="1"/>
  <c r="CS168" i="1"/>
  <c r="CR168" i="1"/>
  <c r="CQ168" i="1"/>
  <c r="BC168" i="1"/>
  <c r="BB168" i="1"/>
  <c r="BA168" i="1"/>
  <c r="AZ168" i="1"/>
  <c r="AY168" i="1"/>
  <c r="AX168" i="1"/>
  <c r="AW168" i="1"/>
  <c r="AV168" i="1"/>
  <c r="AU168" i="1"/>
  <c r="AT168" i="1"/>
  <c r="AO167" i="1"/>
  <c r="CL167" i="1"/>
  <c r="EI167" i="1"/>
  <c r="AN167" i="1"/>
  <c r="CK167" i="1"/>
  <c r="EH167" i="1"/>
  <c r="AI167" i="1"/>
  <c r="CF167" i="1"/>
  <c r="EC167" i="1"/>
  <c r="AH167" i="1"/>
  <c r="CE167" i="1"/>
  <c r="EB167" i="1"/>
  <c r="AC167" i="1"/>
  <c r="BZ167" i="1"/>
  <c r="DW167" i="1"/>
  <c r="AB167" i="1"/>
  <c r="BY167" i="1"/>
  <c r="DV167" i="1"/>
  <c r="W167" i="1"/>
  <c r="BT167" i="1"/>
  <c r="DQ167" i="1"/>
  <c r="V167" i="1"/>
  <c r="BS167" i="1"/>
  <c r="DP167" i="1"/>
  <c r="Q167" i="1"/>
  <c r="BN167" i="1"/>
  <c r="DK167" i="1"/>
  <c r="P167" i="1"/>
  <c r="BM167" i="1"/>
  <c r="DJ167" i="1"/>
  <c r="O167" i="1"/>
  <c r="BL167" i="1"/>
  <c r="DI167" i="1"/>
  <c r="N167" i="1"/>
  <c r="BK167" i="1"/>
  <c r="DH167" i="1"/>
  <c r="M167" i="1"/>
  <c r="BJ167" i="1"/>
  <c r="DG167" i="1"/>
  <c r="L167" i="1"/>
  <c r="BI167" i="1"/>
  <c r="DF167" i="1"/>
  <c r="K167" i="1"/>
  <c r="BH167" i="1"/>
  <c r="DE167" i="1"/>
  <c r="J167" i="1"/>
  <c r="BG167" i="1"/>
  <c r="DD167" i="1"/>
  <c r="I167" i="1"/>
  <c r="BF167" i="1"/>
  <c r="DC167" i="1"/>
  <c r="H167" i="1"/>
  <c r="BE167" i="1"/>
  <c r="DB167" i="1"/>
  <c r="G167" i="1"/>
  <c r="BD167" i="1"/>
  <c r="DA167" i="1"/>
  <c r="CZ167" i="1"/>
  <c r="CY167" i="1"/>
  <c r="CX167" i="1"/>
  <c r="CW167" i="1"/>
  <c r="CV167" i="1"/>
  <c r="CU167" i="1"/>
  <c r="CT167" i="1"/>
  <c r="CS167" i="1"/>
  <c r="CR167" i="1"/>
  <c r="CQ167" i="1"/>
  <c r="BC167" i="1"/>
  <c r="BB167" i="1"/>
  <c r="BA167" i="1"/>
  <c r="AZ167" i="1"/>
  <c r="AY167" i="1"/>
  <c r="AX167" i="1"/>
  <c r="AW167" i="1"/>
  <c r="AV167" i="1"/>
  <c r="AU167" i="1"/>
  <c r="AT167" i="1"/>
  <c r="AO166" i="1"/>
  <c r="CL166" i="1"/>
  <c r="EI166" i="1"/>
  <c r="AN166" i="1"/>
  <c r="CK166" i="1"/>
  <c r="EH166" i="1"/>
  <c r="AI166" i="1"/>
  <c r="CF166" i="1"/>
  <c r="EC166" i="1"/>
  <c r="AH166" i="1"/>
  <c r="CE166" i="1"/>
  <c r="EB166" i="1"/>
  <c r="AC166" i="1"/>
  <c r="BZ166" i="1"/>
  <c r="DW166" i="1"/>
  <c r="AB166" i="1"/>
  <c r="BY166" i="1"/>
  <c r="DV166" i="1"/>
  <c r="W166" i="1"/>
  <c r="BT166" i="1"/>
  <c r="DQ166" i="1"/>
  <c r="V166" i="1"/>
  <c r="BS166" i="1"/>
  <c r="DP166" i="1"/>
  <c r="Q166" i="1"/>
  <c r="BN166" i="1"/>
  <c r="DK166" i="1"/>
  <c r="P166" i="1"/>
  <c r="BM166" i="1"/>
  <c r="DJ166" i="1"/>
  <c r="O166" i="1"/>
  <c r="BL166" i="1"/>
  <c r="DI166" i="1"/>
  <c r="N166" i="1"/>
  <c r="BK166" i="1"/>
  <c r="DH166" i="1"/>
  <c r="M166" i="1"/>
  <c r="BJ166" i="1"/>
  <c r="DG166" i="1"/>
  <c r="L166" i="1"/>
  <c r="BI166" i="1"/>
  <c r="DF166" i="1"/>
  <c r="K166" i="1"/>
  <c r="BH166" i="1"/>
  <c r="DE166" i="1"/>
  <c r="J166" i="1"/>
  <c r="BG166" i="1"/>
  <c r="DD166" i="1"/>
  <c r="I166" i="1"/>
  <c r="BF166" i="1"/>
  <c r="DC166" i="1"/>
  <c r="H166" i="1"/>
  <c r="BE166" i="1"/>
  <c r="DB166" i="1"/>
  <c r="G166" i="1"/>
  <c r="BD166" i="1"/>
  <c r="DA166" i="1"/>
  <c r="CZ166" i="1"/>
  <c r="CY166" i="1"/>
  <c r="CX166" i="1"/>
  <c r="CW166" i="1"/>
  <c r="CV166" i="1"/>
  <c r="CU166" i="1"/>
  <c r="CT166" i="1"/>
  <c r="CS166" i="1"/>
  <c r="CR166" i="1"/>
  <c r="CQ166" i="1"/>
  <c r="BC166" i="1"/>
  <c r="BB166" i="1"/>
  <c r="BA166" i="1"/>
  <c r="AZ166" i="1"/>
  <c r="AY166" i="1"/>
  <c r="AX166" i="1"/>
  <c r="AW166" i="1"/>
  <c r="AV166" i="1"/>
  <c r="AU166" i="1"/>
  <c r="AT166" i="1"/>
  <c r="AO165" i="1"/>
  <c r="CL165" i="1"/>
  <c r="EI165" i="1"/>
  <c r="AN165" i="1"/>
  <c r="CK165" i="1"/>
  <c r="EH165" i="1"/>
  <c r="AI165" i="1"/>
  <c r="CF165" i="1"/>
  <c r="EC165" i="1"/>
  <c r="AH165" i="1"/>
  <c r="CE165" i="1"/>
  <c r="EB165" i="1"/>
  <c r="AC165" i="1"/>
  <c r="BZ165" i="1"/>
  <c r="DW165" i="1"/>
  <c r="AB165" i="1"/>
  <c r="BY165" i="1"/>
  <c r="DV165" i="1"/>
  <c r="W165" i="1"/>
  <c r="BT165" i="1"/>
  <c r="DQ165" i="1"/>
  <c r="V165" i="1"/>
  <c r="BS165" i="1"/>
  <c r="DP165" i="1"/>
  <c r="Q165" i="1"/>
  <c r="BN165" i="1"/>
  <c r="DK165" i="1"/>
  <c r="P165" i="1"/>
  <c r="BM165" i="1"/>
  <c r="DJ165" i="1"/>
  <c r="O165" i="1"/>
  <c r="BL165" i="1"/>
  <c r="DI165" i="1"/>
  <c r="N165" i="1"/>
  <c r="BK165" i="1"/>
  <c r="DH165" i="1"/>
  <c r="M165" i="1"/>
  <c r="BJ165" i="1"/>
  <c r="DG165" i="1"/>
  <c r="L165" i="1"/>
  <c r="BI165" i="1"/>
  <c r="DF165" i="1"/>
  <c r="K165" i="1"/>
  <c r="BH165" i="1"/>
  <c r="DE165" i="1"/>
  <c r="J165" i="1"/>
  <c r="BG165" i="1"/>
  <c r="DD165" i="1"/>
  <c r="I165" i="1"/>
  <c r="BF165" i="1"/>
  <c r="DC165" i="1"/>
  <c r="H165" i="1"/>
  <c r="BE165" i="1"/>
  <c r="DB165" i="1"/>
  <c r="G165" i="1"/>
  <c r="BD165" i="1"/>
  <c r="DA165" i="1"/>
  <c r="CZ165" i="1"/>
  <c r="CY165" i="1"/>
  <c r="CX165" i="1"/>
  <c r="CW165" i="1"/>
  <c r="CV165" i="1"/>
  <c r="CU165" i="1"/>
  <c r="CT165" i="1"/>
  <c r="CS165" i="1"/>
  <c r="CR165" i="1"/>
  <c r="CQ165" i="1"/>
  <c r="BC165" i="1"/>
  <c r="BB165" i="1"/>
  <c r="BA165" i="1"/>
  <c r="AZ165" i="1"/>
  <c r="AY165" i="1"/>
  <c r="AX165" i="1"/>
  <c r="AW165" i="1"/>
  <c r="AV165" i="1"/>
  <c r="AU165" i="1"/>
  <c r="AT165" i="1"/>
  <c r="AO164" i="1"/>
  <c r="CL164" i="1"/>
  <c r="EI164" i="1"/>
  <c r="AN164" i="1"/>
  <c r="CK164" i="1"/>
  <c r="EH164" i="1"/>
  <c r="AI164" i="1"/>
  <c r="CF164" i="1"/>
  <c r="EC164" i="1"/>
  <c r="AH164" i="1"/>
  <c r="CE164" i="1"/>
  <c r="EB164" i="1"/>
  <c r="AC164" i="1"/>
  <c r="BZ164" i="1"/>
  <c r="DW164" i="1"/>
  <c r="AB164" i="1"/>
  <c r="BY164" i="1"/>
  <c r="DV164" i="1"/>
  <c r="W164" i="1"/>
  <c r="BT164" i="1"/>
  <c r="DQ164" i="1"/>
  <c r="V164" i="1"/>
  <c r="BS164" i="1"/>
  <c r="DP164" i="1"/>
  <c r="Q164" i="1"/>
  <c r="BN164" i="1"/>
  <c r="DK164" i="1"/>
  <c r="P164" i="1"/>
  <c r="BM164" i="1"/>
  <c r="DJ164" i="1"/>
  <c r="O164" i="1"/>
  <c r="BL164" i="1"/>
  <c r="DI164" i="1"/>
  <c r="N164" i="1"/>
  <c r="BK164" i="1"/>
  <c r="DH164" i="1"/>
  <c r="M164" i="1"/>
  <c r="BJ164" i="1"/>
  <c r="DG164" i="1"/>
  <c r="L164" i="1"/>
  <c r="BI164" i="1"/>
  <c r="DF164" i="1"/>
  <c r="K164" i="1"/>
  <c r="BH164" i="1"/>
  <c r="DE164" i="1"/>
  <c r="J164" i="1"/>
  <c r="BG164" i="1"/>
  <c r="DD164" i="1"/>
  <c r="I164" i="1"/>
  <c r="BF164" i="1"/>
  <c r="DC164" i="1"/>
  <c r="H164" i="1"/>
  <c r="BE164" i="1"/>
  <c r="DB164" i="1"/>
  <c r="G164" i="1"/>
  <c r="BD164" i="1"/>
  <c r="DA164" i="1"/>
  <c r="CZ164" i="1"/>
  <c r="CY164" i="1"/>
  <c r="CX164" i="1"/>
  <c r="CW164" i="1"/>
  <c r="CV164" i="1"/>
  <c r="CU164" i="1"/>
  <c r="CT164" i="1"/>
  <c r="CS164" i="1"/>
  <c r="CR164" i="1"/>
  <c r="CQ164" i="1"/>
  <c r="BC164" i="1"/>
  <c r="BB164" i="1"/>
  <c r="BA164" i="1"/>
  <c r="AZ164" i="1"/>
  <c r="AY164" i="1"/>
  <c r="AX164" i="1"/>
  <c r="AW164" i="1"/>
  <c r="AV164" i="1"/>
  <c r="AU164" i="1"/>
  <c r="AT164" i="1"/>
  <c r="AO163" i="1"/>
  <c r="CL163" i="1"/>
  <c r="EI163" i="1"/>
  <c r="AN163" i="1"/>
  <c r="CK163" i="1"/>
  <c r="EH163" i="1"/>
  <c r="AI163" i="1"/>
  <c r="CF163" i="1"/>
  <c r="EC163" i="1"/>
  <c r="AH163" i="1"/>
  <c r="CE163" i="1"/>
  <c r="EB163" i="1"/>
  <c r="AC163" i="1"/>
  <c r="BZ163" i="1"/>
  <c r="DW163" i="1"/>
  <c r="AB163" i="1"/>
  <c r="BY163" i="1"/>
  <c r="DV163" i="1"/>
  <c r="W163" i="1"/>
  <c r="BT163" i="1"/>
  <c r="DQ163" i="1"/>
  <c r="V163" i="1"/>
  <c r="BS163" i="1"/>
  <c r="DP163" i="1"/>
  <c r="Q163" i="1"/>
  <c r="BN163" i="1"/>
  <c r="DK163" i="1"/>
  <c r="P163" i="1"/>
  <c r="BM163" i="1"/>
  <c r="DJ163" i="1"/>
  <c r="O163" i="1"/>
  <c r="BL163" i="1"/>
  <c r="DI163" i="1"/>
  <c r="N163" i="1"/>
  <c r="BK163" i="1"/>
  <c r="DH163" i="1"/>
  <c r="M163" i="1"/>
  <c r="BJ163" i="1"/>
  <c r="DG163" i="1"/>
  <c r="L163" i="1"/>
  <c r="BI163" i="1"/>
  <c r="DF163" i="1"/>
  <c r="K163" i="1"/>
  <c r="BH163" i="1"/>
  <c r="DE163" i="1"/>
  <c r="J163" i="1"/>
  <c r="BG163" i="1"/>
  <c r="DD163" i="1"/>
  <c r="I163" i="1"/>
  <c r="BF163" i="1"/>
  <c r="DC163" i="1"/>
  <c r="H163" i="1"/>
  <c r="BE163" i="1"/>
  <c r="DB163" i="1"/>
  <c r="G163" i="1"/>
  <c r="BD163" i="1"/>
  <c r="DA163" i="1"/>
  <c r="CZ163" i="1"/>
  <c r="CY163" i="1"/>
  <c r="CX163" i="1"/>
  <c r="CW163" i="1"/>
  <c r="CV163" i="1"/>
  <c r="CU163" i="1"/>
  <c r="CT163" i="1"/>
  <c r="CS163" i="1"/>
  <c r="CR163" i="1"/>
  <c r="CQ163" i="1"/>
  <c r="BC163" i="1"/>
  <c r="BB163" i="1"/>
  <c r="BA163" i="1"/>
  <c r="AZ163" i="1"/>
  <c r="AY163" i="1"/>
  <c r="AX163" i="1"/>
  <c r="AW163" i="1"/>
  <c r="AV163" i="1"/>
  <c r="AU163" i="1"/>
  <c r="AT163" i="1"/>
  <c r="AO162" i="1"/>
  <c r="CL162" i="1"/>
  <c r="EI162" i="1"/>
  <c r="AN162" i="1"/>
  <c r="CK162" i="1"/>
  <c r="EH162" i="1"/>
  <c r="AI162" i="1"/>
  <c r="CF162" i="1"/>
  <c r="EC162" i="1"/>
  <c r="AH162" i="1"/>
  <c r="CE162" i="1"/>
  <c r="EB162" i="1"/>
  <c r="AC162" i="1"/>
  <c r="BZ162" i="1"/>
  <c r="DW162" i="1"/>
  <c r="AB162" i="1"/>
  <c r="BY162" i="1"/>
  <c r="DV162" i="1"/>
  <c r="W162" i="1"/>
  <c r="BT162" i="1"/>
  <c r="DQ162" i="1"/>
  <c r="V162" i="1"/>
  <c r="BS162" i="1"/>
  <c r="DP162" i="1"/>
  <c r="Q162" i="1"/>
  <c r="BN162" i="1"/>
  <c r="DK162" i="1"/>
  <c r="P162" i="1"/>
  <c r="BM162" i="1"/>
  <c r="DJ162" i="1"/>
  <c r="O162" i="1"/>
  <c r="BL162" i="1"/>
  <c r="DI162" i="1"/>
  <c r="N162" i="1"/>
  <c r="BK162" i="1"/>
  <c r="DH162" i="1"/>
  <c r="M162" i="1"/>
  <c r="BJ162" i="1"/>
  <c r="DG162" i="1"/>
  <c r="L162" i="1"/>
  <c r="BI162" i="1"/>
  <c r="DF162" i="1"/>
  <c r="K162" i="1"/>
  <c r="BH162" i="1"/>
  <c r="DE162" i="1"/>
  <c r="J162" i="1"/>
  <c r="BG162" i="1"/>
  <c r="DD162" i="1"/>
  <c r="I162" i="1"/>
  <c r="BF162" i="1"/>
  <c r="DC162" i="1"/>
  <c r="H162" i="1"/>
  <c r="BE162" i="1"/>
  <c r="DB162" i="1"/>
  <c r="G162" i="1"/>
  <c r="BD162" i="1"/>
  <c r="DA162" i="1"/>
  <c r="CZ162" i="1"/>
  <c r="CY162" i="1"/>
  <c r="CX162" i="1"/>
  <c r="CW162" i="1"/>
  <c r="CV162" i="1"/>
  <c r="CU162" i="1"/>
  <c r="CT162" i="1"/>
  <c r="CS162" i="1"/>
  <c r="CR162" i="1"/>
  <c r="CQ162" i="1"/>
  <c r="BC162" i="1"/>
  <c r="BB162" i="1"/>
  <c r="BA162" i="1"/>
  <c r="AZ162" i="1"/>
  <c r="AY162" i="1"/>
  <c r="AX162" i="1"/>
  <c r="AW162" i="1"/>
  <c r="AV162" i="1"/>
  <c r="AU162" i="1"/>
  <c r="AT162" i="1"/>
  <c r="AO161" i="1"/>
  <c r="CL161" i="1"/>
  <c r="EI161" i="1"/>
  <c r="AN161" i="1"/>
  <c r="CK161" i="1"/>
  <c r="EH161" i="1"/>
  <c r="AI161" i="1"/>
  <c r="CF161" i="1"/>
  <c r="EC161" i="1"/>
  <c r="AH161" i="1"/>
  <c r="CE161" i="1"/>
  <c r="EB161" i="1"/>
  <c r="AC161" i="1"/>
  <c r="BZ161" i="1"/>
  <c r="DW161" i="1"/>
  <c r="AB161" i="1"/>
  <c r="BY161" i="1"/>
  <c r="DV161" i="1"/>
  <c r="W161" i="1"/>
  <c r="BT161" i="1"/>
  <c r="DQ161" i="1"/>
  <c r="V161" i="1"/>
  <c r="BS161" i="1"/>
  <c r="DP161" i="1"/>
  <c r="Q161" i="1"/>
  <c r="BN161" i="1"/>
  <c r="DK161" i="1"/>
  <c r="P161" i="1"/>
  <c r="BM161" i="1"/>
  <c r="DJ161" i="1"/>
  <c r="O161" i="1"/>
  <c r="BL161" i="1"/>
  <c r="DI161" i="1"/>
  <c r="N161" i="1"/>
  <c r="BK161" i="1"/>
  <c r="DH161" i="1"/>
  <c r="M161" i="1"/>
  <c r="BJ161" i="1"/>
  <c r="DG161" i="1"/>
  <c r="L161" i="1"/>
  <c r="BI161" i="1"/>
  <c r="DF161" i="1"/>
  <c r="K161" i="1"/>
  <c r="BH161" i="1"/>
  <c r="DE161" i="1"/>
  <c r="J161" i="1"/>
  <c r="BG161" i="1"/>
  <c r="DD161" i="1"/>
  <c r="I161" i="1"/>
  <c r="BF161" i="1"/>
  <c r="DC161" i="1"/>
  <c r="H161" i="1"/>
  <c r="BE161" i="1"/>
  <c r="DB161" i="1"/>
  <c r="G161" i="1"/>
  <c r="BD161" i="1"/>
  <c r="DA161" i="1"/>
  <c r="CZ161" i="1"/>
  <c r="CY161" i="1"/>
  <c r="CX161" i="1"/>
  <c r="CW161" i="1"/>
  <c r="CV161" i="1"/>
  <c r="CU161" i="1"/>
  <c r="CT161" i="1"/>
  <c r="CS161" i="1"/>
  <c r="CR161" i="1"/>
  <c r="CQ161" i="1"/>
  <c r="BC161" i="1"/>
  <c r="BB161" i="1"/>
  <c r="BA161" i="1"/>
  <c r="AZ161" i="1"/>
  <c r="AY161" i="1"/>
  <c r="AX161" i="1"/>
  <c r="AW161" i="1"/>
  <c r="AV161" i="1"/>
  <c r="AU161" i="1"/>
  <c r="AT161" i="1"/>
  <c r="AO160" i="1"/>
  <c r="CL160" i="1"/>
  <c r="EI160" i="1"/>
  <c r="AN160" i="1"/>
  <c r="CK160" i="1"/>
  <c r="EH160" i="1"/>
  <c r="AI160" i="1"/>
  <c r="CF160" i="1"/>
  <c r="EC160" i="1"/>
  <c r="AH160" i="1"/>
  <c r="CE160" i="1"/>
  <c r="EB160" i="1"/>
  <c r="AC160" i="1"/>
  <c r="BZ160" i="1"/>
  <c r="DW160" i="1"/>
  <c r="AB160" i="1"/>
  <c r="BY160" i="1"/>
  <c r="DV160" i="1"/>
  <c r="W160" i="1"/>
  <c r="BT160" i="1"/>
  <c r="DQ160" i="1"/>
  <c r="V160" i="1"/>
  <c r="BS160" i="1"/>
  <c r="DP160" i="1"/>
  <c r="Q160" i="1"/>
  <c r="BN160" i="1"/>
  <c r="DK160" i="1"/>
  <c r="P160" i="1"/>
  <c r="BM160" i="1"/>
  <c r="DJ160" i="1"/>
  <c r="O160" i="1"/>
  <c r="BL160" i="1"/>
  <c r="DI160" i="1"/>
  <c r="N160" i="1"/>
  <c r="BK160" i="1"/>
  <c r="DH160" i="1"/>
  <c r="M160" i="1"/>
  <c r="BJ160" i="1"/>
  <c r="DG160" i="1"/>
  <c r="L160" i="1"/>
  <c r="BI160" i="1"/>
  <c r="DF160" i="1"/>
  <c r="K160" i="1"/>
  <c r="BH160" i="1"/>
  <c r="DE160" i="1"/>
  <c r="J160" i="1"/>
  <c r="BG160" i="1"/>
  <c r="DD160" i="1"/>
  <c r="I160" i="1"/>
  <c r="BF160" i="1"/>
  <c r="DC160" i="1"/>
  <c r="H160" i="1"/>
  <c r="BE160" i="1"/>
  <c r="DB160" i="1"/>
  <c r="G160" i="1"/>
  <c r="BD160" i="1"/>
  <c r="DA160" i="1"/>
  <c r="CZ160" i="1"/>
  <c r="CY160" i="1"/>
  <c r="CX160" i="1"/>
  <c r="CW160" i="1"/>
  <c r="CV160" i="1"/>
  <c r="CU160" i="1"/>
  <c r="CT160" i="1"/>
  <c r="CS160" i="1"/>
  <c r="CR160" i="1"/>
  <c r="CQ160" i="1"/>
  <c r="BC160" i="1"/>
  <c r="BB160" i="1"/>
  <c r="BA160" i="1"/>
  <c r="AZ160" i="1"/>
  <c r="AY160" i="1"/>
  <c r="AX160" i="1"/>
  <c r="AW160" i="1"/>
  <c r="AV160" i="1"/>
  <c r="AU160" i="1"/>
  <c r="AT160" i="1"/>
  <c r="AO159" i="1"/>
  <c r="CL159" i="1"/>
  <c r="EI159" i="1"/>
  <c r="AN159" i="1"/>
  <c r="CK159" i="1"/>
  <c r="EH159" i="1"/>
  <c r="AI159" i="1"/>
  <c r="CF159" i="1"/>
  <c r="EC159" i="1"/>
  <c r="AH159" i="1"/>
  <c r="CE159" i="1"/>
  <c r="EB159" i="1"/>
  <c r="AC159" i="1"/>
  <c r="BZ159" i="1"/>
  <c r="DW159" i="1"/>
  <c r="AB159" i="1"/>
  <c r="BY159" i="1"/>
  <c r="DV159" i="1"/>
  <c r="W159" i="1"/>
  <c r="BT159" i="1"/>
  <c r="DQ159" i="1"/>
  <c r="V159" i="1"/>
  <c r="BS159" i="1"/>
  <c r="DP159" i="1"/>
  <c r="Q159" i="1"/>
  <c r="BN159" i="1"/>
  <c r="DK159" i="1"/>
  <c r="P159" i="1"/>
  <c r="BM159" i="1"/>
  <c r="DJ159" i="1"/>
  <c r="O159" i="1"/>
  <c r="BL159" i="1"/>
  <c r="DI159" i="1"/>
  <c r="N159" i="1"/>
  <c r="BK159" i="1"/>
  <c r="DH159" i="1"/>
  <c r="M159" i="1"/>
  <c r="BJ159" i="1"/>
  <c r="DG159" i="1"/>
  <c r="L159" i="1"/>
  <c r="BI159" i="1"/>
  <c r="DF159" i="1"/>
  <c r="K159" i="1"/>
  <c r="BH159" i="1"/>
  <c r="DE159" i="1"/>
  <c r="J159" i="1"/>
  <c r="BG159" i="1"/>
  <c r="DD159" i="1"/>
  <c r="I159" i="1"/>
  <c r="BF159" i="1"/>
  <c r="DC159" i="1"/>
  <c r="H159" i="1"/>
  <c r="BE159" i="1"/>
  <c r="DB159" i="1"/>
  <c r="G159" i="1"/>
  <c r="BD159" i="1"/>
  <c r="DA159" i="1"/>
  <c r="CZ159" i="1"/>
  <c r="CY159" i="1"/>
  <c r="CX159" i="1"/>
  <c r="CW159" i="1"/>
  <c r="CV159" i="1"/>
  <c r="CU159" i="1"/>
  <c r="CT159" i="1"/>
  <c r="CS159" i="1"/>
  <c r="CR159" i="1"/>
  <c r="CQ159" i="1"/>
  <c r="BC159" i="1"/>
  <c r="BB159" i="1"/>
  <c r="BA159" i="1"/>
  <c r="AZ159" i="1"/>
  <c r="AY159" i="1"/>
  <c r="AX159" i="1"/>
  <c r="AW159" i="1"/>
  <c r="AV159" i="1"/>
  <c r="AU159" i="1"/>
  <c r="AT159" i="1"/>
  <c r="AO158" i="1"/>
  <c r="CL158" i="1"/>
  <c r="EI158" i="1"/>
  <c r="AN158" i="1"/>
  <c r="CK158" i="1"/>
  <c r="EH158" i="1"/>
  <c r="AI158" i="1"/>
  <c r="CF158" i="1"/>
  <c r="EC158" i="1"/>
  <c r="AH158" i="1"/>
  <c r="CE158" i="1"/>
  <c r="EB158" i="1"/>
  <c r="AC158" i="1"/>
  <c r="BZ158" i="1"/>
  <c r="DW158" i="1"/>
  <c r="AB158" i="1"/>
  <c r="BY158" i="1"/>
  <c r="DV158" i="1"/>
  <c r="W158" i="1"/>
  <c r="BT158" i="1"/>
  <c r="DQ158" i="1"/>
  <c r="V158" i="1"/>
  <c r="BS158" i="1"/>
  <c r="DP158" i="1"/>
  <c r="Q158" i="1"/>
  <c r="BN158" i="1"/>
  <c r="DK158" i="1"/>
  <c r="P158" i="1"/>
  <c r="BM158" i="1"/>
  <c r="DJ158" i="1"/>
  <c r="O158" i="1"/>
  <c r="BL158" i="1"/>
  <c r="DI158" i="1"/>
  <c r="N158" i="1"/>
  <c r="BK158" i="1"/>
  <c r="DH158" i="1"/>
  <c r="M158" i="1"/>
  <c r="BJ158" i="1"/>
  <c r="DG158" i="1"/>
  <c r="L158" i="1"/>
  <c r="BI158" i="1"/>
  <c r="DF158" i="1"/>
  <c r="K158" i="1"/>
  <c r="BH158" i="1"/>
  <c r="DE158" i="1"/>
  <c r="J158" i="1"/>
  <c r="BG158" i="1"/>
  <c r="DD158" i="1"/>
  <c r="I158" i="1"/>
  <c r="BF158" i="1"/>
  <c r="DC158" i="1"/>
  <c r="H158" i="1"/>
  <c r="BE158" i="1"/>
  <c r="DB158" i="1"/>
  <c r="G158" i="1"/>
  <c r="BD158" i="1"/>
  <c r="DA158" i="1"/>
  <c r="CZ158" i="1"/>
  <c r="CY158" i="1"/>
  <c r="CX158" i="1"/>
  <c r="CW158" i="1"/>
  <c r="CV158" i="1"/>
  <c r="CU158" i="1"/>
  <c r="CT158" i="1"/>
  <c r="CS158" i="1"/>
  <c r="CR158" i="1"/>
  <c r="CQ158" i="1"/>
  <c r="BC158" i="1"/>
  <c r="BB158" i="1"/>
  <c r="BA158" i="1"/>
  <c r="AZ158" i="1"/>
  <c r="AY158" i="1"/>
  <c r="AX158" i="1"/>
  <c r="AW158" i="1"/>
  <c r="AV158" i="1"/>
  <c r="AU158" i="1"/>
  <c r="AT158" i="1"/>
  <c r="AO157" i="1"/>
  <c r="CL157" i="1"/>
  <c r="EI157" i="1"/>
  <c r="AN157" i="1"/>
  <c r="CK157" i="1"/>
  <c r="EH157" i="1"/>
  <c r="AI157" i="1"/>
  <c r="CF157" i="1"/>
  <c r="EC157" i="1"/>
  <c r="AH157" i="1"/>
  <c r="CE157" i="1"/>
  <c r="EB157" i="1"/>
  <c r="AC157" i="1"/>
  <c r="BZ157" i="1"/>
  <c r="DW157" i="1"/>
  <c r="AB157" i="1"/>
  <c r="BY157" i="1"/>
  <c r="DV157" i="1"/>
  <c r="W157" i="1"/>
  <c r="BT157" i="1"/>
  <c r="DQ157" i="1"/>
  <c r="V157" i="1"/>
  <c r="BS157" i="1"/>
  <c r="DP157" i="1"/>
  <c r="Q157" i="1"/>
  <c r="BN157" i="1"/>
  <c r="DK157" i="1"/>
  <c r="P157" i="1"/>
  <c r="BM157" i="1"/>
  <c r="DJ157" i="1"/>
  <c r="O157" i="1"/>
  <c r="BL157" i="1"/>
  <c r="DI157" i="1"/>
  <c r="N157" i="1"/>
  <c r="BK157" i="1"/>
  <c r="DH157" i="1"/>
  <c r="M157" i="1"/>
  <c r="BJ157" i="1"/>
  <c r="DG157" i="1"/>
  <c r="L157" i="1"/>
  <c r="BI157" i="1"/>
  <c r="DF157" i="1"/>
  <c r="K157" i="1"/>
  <c r="BH157" i="1"/>
  <c r="DE157" i="1"/>
  <c r="J157" i="1"/>
  <c r="BG157" i="1"/>
  <c r="DD157" i="1"/>
  <c r="I157" i="1"/>
  <c r="BF157" i="1"/>
  <c r="DC157" i="1"/>
  <c r="H157" i="1"/>
  <c r="BE157" i="1"/>
  <c r="DB157" i="1"/>
  <c r="G157" i="1"/>
  <c r="BD157" i="1"/>
  <c r="DA157" i="1"/>
  <c r="CZ157" i="1"/>
  <c r="CY157" i="1"/>
  <c r="CX157" i="1"/>
  <c r="CW157" i="1"/>
  <c r="CV157" i="1"/>
  <c r="CU157" i="1"/>
  <c r="CT157" i="1"/>
  <c r="CS157" i="1"/>
  <c r="CR157" i="1"/>
  <c r="CQ157" i="1"/>
  <c r="BC157" i="1"/>
  <c r="BB157" i="1"/>
  <c r="BA157" i="1"/>
  <c r="AZ157" i="1"/>
  <c r="AY157" i="1"/>
  <c r="AX157" i="1"/>
  <c r="AW157" i="1"/>
  <c r="AV157" i="1"/>
  <c r="AU157" i="1"/>
  <c r="AT157" i="1"/>
  <c r="AO156" i="1"/>
  <c r="CL156" i="1"/>
  <c r="EI156" i="1"/>
  <c r="AN156" i="1"/>
  <c r="CK156" i="1"/>
  <c r="EH156" i="1"/>
  <c r="AI156" i="1"/>
  <c r="CF156" i="1"/>
  <c r="EC156" i="1"/>
  <c r="AH156" i="1"/>
  <c r="CE156" i="1"/>
  <c r="EB156" i="1"/>
  <c r="AC156" i="1"/>
  <c r="BZ156" i="1"/>
  <c r="DW156" i="1"/>
  <c r="AB156" i="1"/>
  <c r="BY156" i="1"/>
  <c r="DV156" i="1"/>
  <c r="W156" i="1"/>
  <c r="BT156" i="1"/>
  <c r="DQ156" i="1"/>
  <c r="V156" i="1"/>
  <c r="BS156" i="1"/>
  <c r="DP156" i="1"/>
  <c r="Q156" i="1"/>
  <c r="BN156" i="1"/>
  <c r="DK156" i="1"/>
  <c r="P156" i="1"/>
  <c r="BM156" i="1"/>
  <c r="DJ156" i="1"/>
  <c r="O156" i="1"/>
  <c r="BL156" i="1"/>
  <c r="DI156" i="1"/>
  <c r="N156" i="1"/>
  <c r="BK156" i="1"/>
  <c r="DH156" i="1"/>
  <c r="M156" i="1"/>
  <c r="BJ156" i="1"/>
  <c r="DG156" i="1"/>
  <c r="L156" i="1"/>
  <c r="BI156" i="1"/>
  <c r="DF156" i="1"/>
  <c r="K156" i="1"/>
  <c r="BH156" i="1"/>
  <c r="DE156" i="1"/>
  <c r="J156" i="1"/>
  <c r="BG156" i="1"/>
  <c r="DD156" i="1"/>
  <c r="I156" i="1"/>
  <c r="BF156" i="1"/>
  <c r="DC156" i="1"/>
  <c r="H156" i="1"/>
  <c r="BE156" i="1"/>
  <c r="DB156" i="1"/>
  <c r="G156" i="1"/>
  <c r="BD156" i="1"/>
  <c r="DA156" i="1"/>
  <c r="CZ156" i="1"/>
  <c r="CY156" i="1"/>
  <c r="CX156" i="1"/>
  <c r="CW156" i="1"/>
  <c r="CV156" i="1"/>
  <c r="CU156" i="1"/>
  <c r="CT156" i="1"/>
  <c r="CS156" i="1"/>
  <c r="CR156" i="1"/>
  <c r="CQ156" i="1"/>
  <c r="BC156" i="1"/>
  <c r="BB156" i="1"/>
  <c r="BA156" i="1"/>
  <c r="AZ156" i="1"/>
  <c r="AY156" i="1"/>
  <c r="AX156" i="1"/>
  <c r="AW156" i="1"/>
  <c r="AV156" i="1"/>
  <c r="AU156" i="1"/>
  <c r="AT156" i="1"/>
  <c r="AO155" i="1"/>
  <c r="CL155" i="1"/>
  <c r="EI155" i="1"/>
  <c r="AN155" i="1"/>
  <c r="CK155" i="1"/>
  <c r="EH155" i="1"/>
  <c r="AI155" i="1"/>
  <c r="CF155" i="1"/>
  <c r="EC155" i="1"/>
  <c r="AH155" i="1"/>
  <c r="CE155" i="1"/>
  <c r="EB155" i="1"/>
  <c r="AC155" i="1"/>
  <c r="BZ155" i="1"/>
  <c r="DW155" i="1"/>
  <c r="AB155" i="1"/>
  <c r="BY155" i="1"/>
  <c r="DV155" i="1"/>
  <c r="W155" i="1"/>
  <c r="BT155" i="1"/>
  <c r="DQ155" i="1"/>
  <c r="V155" i="1"/>
  <c r="BS155" i="1"/>
  <c r="DP155" i="1"/>
  <c r="Q155" i="1"/>
  <c r="BN155" i="1"/>
  <c r="DK155" i="1"/>
  <c r="P155" i="1"/>
  <c r="BM155" i="1"/>
  <c r="DJ155" i="1"/>
  <c r="O155" i="1"/>
  <c r="BL155" i="1"/>
  <c r="DI155" i="1"/>
  <c r="N155" i="1"/>
  <c r="BK155" i="1"/>
  <c r="DH155" i="1"/>
  <c r="M155" i="1"/>
  <c r="BJ155" i="1"/>
  <c r="DG155" i="1"/>
  <c r="L155" i="1"/>
  <c r="BI155" i="1"/>
  <c r="DF155" i="1"/>
  <c r="K155" i="1"/>
  <c r="BH155" i="1"/>
  <c r="DE155" i="1"/>
  <c r="J155" i="1"/>
  <c r="BG155" i="1"/>
  <c r="DD155" i="1"/>
  <c r="I155" i="1"/>
  <c r="BF155" i="1"/>
  <c r="DC155" i="1"/>
  <c r="H155" i="1"/>
  <c r="BE155" i="1"/>
  <c r="DB155" i="1"/>
  <c r="G155" i="1"/>
  <c r="BD155" i="1"/>
  <c r="DA155" i="1"/>
  <c r="CZ155" i="1"/>
  <c r="CY155" i="1"/>
  <c r="CX155" i="1"/>
  <c r="CW155" i="1"/>
  <c r="CV155" i="1"/>
  <c r="CU155" i="1"/>
  <c r="CT155" i="1"/>
  <c r="CS155" i="1"/>
  <c r="CR155" i="1"/>
  <c r="CQ155" i="1"/>
  <c r="BC155" i="1"/>
  <c r="BB155" i="1"/>
  <c r="BA155" i="1"/>
  <c r="AZ155" i="1"/>
  <c r="AY155" i="1"/>
  <c r="AX155" i="1"/>
  <c r="AW155" i="1"/>
  <c r="AV155" i="1"/>
  <c r="AU155" i="1"/>
  <c r="AT155" i="1"/>
  <c r="AO154" i="1"/>
  <c r="CL154" i="1"/>
  <c r="EI154" i="1"/>
  <c r="AN154" i="1"/>
  <c r="CK154" i="1"/>
  <c r="EH154" i="1"/>
  <c r="AI154" i="1"/>
  <c r="CF154" i="1"/>
  <c r="EC154" i="1"/>
  <c r="AH154" i="1"/>
  <c r="CE154" i="1"/>
  <c r="EB154" i="1"/>
  <c r="AC154" i="1"/>
  <c r="BZ154" i="1"/>
  <c r="DW154" i="1"/>
  <c r="AB154" i="1"/>
  <c r="BY154" i="1"/>
  <c r="DV154" i="1"/>
  <c r="W154" i="1"/>
  <c r="BT154" i="1"/>
  <c r="DQ154" i="1"/>
  <c r="V154" i="1"/>
  <c r="BS154" i="1"/>
  <c r="DP154" i="1"/>
  <c r="Q154" i="1"/>
  <c r="BN154" i="1"/>
  <c r="DK154" i="1"/>
  <c r="P154" i="1"/>
  <c r="BM154" i="1"/>
  <c r="DJ154" i="1"/>
  <c r="O154" i="1"/>
  <c r="BL154" i="1"/>
  <c r="DI154" i="1"/>
  <c r="N154" i="1"/>
  <c r="BK154" i="1"/>
  <c r="DH154" i="1"/>
  <c r="M154" i="1"/>
  <c r="BJ154" i="1"/>
  <c r="DG154" i="1"/>
  <c r="L154" i="1"/>
  <c r="BI154" i="1"/>
  <c r="DF154" i="1"/>
  <c r="K154" i="1"/>
  <c r="BH154" i="1"/>
  <c r="DE154" i="1"/>
  <c r="J154" i="1"/>
  <c r="BG154" i="1"/>
  <c r="DD154" i="1"/>
  <c r="I154" i="1"/>
  <c r="BF154" i="1"/>
  <c r="DC154" i="1"/>
  <c r="H154" i="1"/>
  <c r="BE154" i="1"/>
  <c r="DB154" i="1"/>
  <c r="G154" i="1"/>
  <c r="BD154" i="1"/>
  <c r="DA154" i="1"/>
  <c r="CZ154" i="1"/>
  <c r="CY154" i="1"/>
  <c r="CX154" i="1"/>
  <c r="CW154" i="1"/>
  <c r="CV154" i="1"/>
  <c r="CU154" i="1"/>
  <c r="CT154" i="1"/>
  <c r="CS154" i="1"/>
  <c r="CR154" i="1"/>
  <c r="CQ154" i="1"/>
  <c r="BC154" i="1"/>
  <c r="BB154" i="1"/>
  <c r="BA154" i="1"/>
  <c r="AZ154" i="1"/>
  <c r="AY154" i="1"/>
  <c r="AX154" i="1"/>
  <c r="AW154" i="1"/>
  <c r="AV154" i="1"/>
  <c r="AU154" i="1"/>
  <c r="AT154" i="1"/>
  <c r="AO153" i="1"/>
  <c r="CL153" i="1"/>
  <c r="EI153" i="1"/>
  <c r="AN153" i="1"/>
  <c r="CK153" i="1"/>
  <c r="EH153" i="1"/>
  <c r="AI153" i="1"/>
  <c r="CF153" i="1"/>
  <c r="EC153" i="1"/>
  <c r="AH153" i="1"/>
  <c r="CE153" i="1"/>
  <c r="EB153" i="1"/>
  <c r="AC153" i="1"/>
  <c r="BZ153" i="1"/>
  <c r="DW153" i="1"/>
  <c r="AB153" i="1"/>
  <c r="BY153" i="1"/>
  <c r="DV153" i="1"/>
  <c r="W153" i="1"/>
  <c r="BT153" i="1"/>
  <c r="DQ153" i="1"/>
  <c r="V153" i="1"/>
  <c r="BS153" i="1"/>
  <c r="DP153" i="1"/>
  <c r="Q153" i="1"/>
  <c r="BN153" i="1"/>
  <c r="DK153" i="1"/>
  <c r="P153" i="1"/>
  <c r="BM153" i="1"/>
  <c r="DJ153" i="1"/>
  <c r="O153" i="1"/>
  <c r="BL153" i="1"/>
  <c r="DI153" i="1"/>
  <c r="N153" i="1"/>
  <c r="BK153" i="1"/>
  <c r="DH153" i="1"/>
  <c r="M153" i="1"/>
  <c r="BJ153" i="1"/>
  <c r="DG153" i="1"/>
  <c r="L153" i="1"/>
  <c r="BI153" i="1"/>
  <c r="DF153" i="1"/>
  <c r="K153" i="1"/>
  <c r="BH153" i="1"/>
  <c r="DE153" i="1"/>
  <c r="J153" i="1"/>
  <c r="BG153" i="1"/>
  <c r="DD153" i="1"/>
  <c r="I153" i="1"/>
  <c r="BF153" i="1"/>
  <c r="DC153" i="1"/>
  <c r="H153" i="1"/>
  <c r="BE153" i="1"/>
  <c r="DB153" i="1"/>
  <c r="G153" i="1"/>
  <c r="BD153" i="1"/>
  <c r="DA153" i="1"/>
  <c r="CZ153" i="1"/>
  <c r="CY153" i="1"/>
  <c r="CX153" i="1"/>
  <c r="CW153" i="1"/>
  <c r="CV153" i="1"/>
  <c r="CU153" i="1"/>
  <c r="CT153" i="1"/>
  <c r="CS153" i="1"/>
  <c r="CR153" i="1"/>
  <c r="CQ153" i="1"/>
  <c r="BC153" i="1"/>
  <c r="BB153" i="1"/>
  <c r="BA153" i="1"/>
  <c r="AZ153" i="1"/>
  <c r="AY153" i="1"/>
  <c r="AX153" i="1"/>
  <c r="AW153" i="1"/>
  <c r="AV153" i="1"/>
  <c r="AU153" i="1"/>
  <c r="AT153" i="1"/>
  <c r="AO152" i="1"/>
  <c r="CL152" i="1"/>
  <c r="EI152" i="1"/>
  <c r="AN152" i="1"/>
  <c r="CK152" i="1"/>
  <c r="EH152" i="1"/>
  <c r="AI152" i="1"/>
  <c r="CF152" i="1"/>
  <c r="EC152" i="1"/>
  <c r="AH152" i="1"/>
  <c r="CE152" i="1"/>
  <c r="EB152" i="1"/>
  <c r="AC152" i="1"/>
  <c r="BZ152" i="1"/>
  <c r="DW152" i="1"/>
  <c r="AB152" i="1"/>
  <c r="BY152" i="1"/>
  <c r="DV152" i="1"/>
  <c r="W152" i="1"/>
  <c r="BT152" i="1"/>
  <c r="DQ152" i="1"/>
  <c r="V152" i="1"/>
  <c r="BS152" i="1"/>
  <c r="DP152" i="1"/>
  <c r="Q152" i="1"/>
  <c r="BN152" i="1"/>
  <c r="DK152" i="1"/>
  <c r="P152" i="1"/>
  <c r="BM152" i="1"/>
  <c r="DJ152" i="1"/>
  <c r="O152" i="1"/>
  <c r="BL152" i="1"/>
  <c r="DI152" i="1"/>
  <c r="N152" i="1"/>
  <c r="BK152" i="1"/>
  <c r="DH152" i="1"/>
  <c r="M152" i="1"/>
  <c r="BJ152" i="1"/>
  <c r="DG152" i="1"/>
  <c r="L152" i="1"/>
  <c r="BI152" i="1"/>
  <c r="DF152" i="1"/>
  <c r="K152" i="1"/>
  <c r="BH152" i="1"/>
  <c r="DE152" i="1"/>
  <c r="J152" i="1"/>
  <c r="BG152" i="1"/>
  <c r="DD152" i="1"/>
  <c r="I152" i="1"/>
  <c r="BF152" i="1"/>
  <c r="DC152" i="1"/>
  <c r="H152" i="1"/>
  <c r="BE152" i="1"/>
  <c r="DB152" i="1"/>
  <c r="G152" i="1"/>
  <c r="BD152" i="1"/>
  <c r="DA152" i="1"/>
  <c r="CZ152" i="1"/>
  <c r="CY152" i="1"/>
  <c r="CX152" i="1"/>
  <c r="CW152" i="1"/>
  <c r="CV152" i="1"/>
  <c r="CU152" i="1"/>
  <c r="CT152" i="1"/>
  <c r="CS152" i="1"/>
  <c r="CR152" i="1"/>
  <c r="CQ152" i="1"/>
  <c r="BC152" i="1"/>
  <c r="BB152" i="1"/>
  <c r="BA152" i="1"/>
  <c r="AZ152" i="1"/>
  <c r="AY152" i="1"/>
  <c r="AX152" i="1"/>
  <c r="AW152" i="1"/>
  <c r="AV152" i="1"/>
  <c r="AU152" i="1"/>
  <c r="AT152" i="1"/>
  <c r="AO151" i="1"/>
  <c r="CL151" i="1"/>
  <c r="EI151" i="1"/>
  <c r="AN151" i="1"/>
  <c r="CK151" i="1"/>
  <c r="EH151" i="1"/>
  <c r="AI151" i="1"/>
  <c r="CF151" i="1"/>
  <c r="EC151" i="1"/>
  <c r="AH151" i="1"/>
  <c r="CE151" i="1"/>
  <c r="EB151" i="1"/>
  <c r="AC151" i="1"/>
  <c r="BZ151" i="1"/>
  <c r="DW151" i="1"/>
  <c r="AB151" i="1"/>
  <c r="BY151" i="1"/>
  <c r="DV151" i="1"/>
  <c r="W151" i="1"/>
  <c r="BT151" i="1"/>
  <c r="DQ151" i="1"/>
  <c r="V151" i="1"/>
  <c r="BS151" i="1"/>
  <c r="DP151" i="1"/>
  <c r="Q151" i="1"/>
  <c r="BN151" i="1"/>
  <c r="DK151" i="1"/>
  <c r="P151" i="1"/>
  <c r="BM151" i="1"/>
  <c r="DJ151" i="1"/>
  <c r="O151" i="1"/>
  <c r="BL151" i="1"/>
  <c r="DI151" i="1"/>
  <c r="N151" i="1"/>
  <c r="BK151" i="1"/>
  <c r="DH151" i="1"/>
  <c r="M151" i="1"/>
  <c r="BJ151" i="1"/>
  <c r="DG151" i="1"/>
  <c r="L151" i="1"/>
  <c r="BI151" i="1"/>
  <c r="DF151" i="1"/>
  <c r="K151" i="1"/>
  <c r="BH151" i="1"/>
  <c r="DE151" i="1"/>
  <c r="J151" i="1"/>
  <c r="BG151" i="1"/>
  <c r="DD151" i="1"/>
  <c r="I151" i="1"/>
  <c r="BF151" i="1"/>
  <c r="DC151" i="1"/>
  <c r="H151" i="1"/>
  <c r="BE151" i="1"/>
  <c r="DB151" i="1"/>
  <c r="G151" i="1"/>
  <c r="BD151" i="1"/>
  <c r="DA151" i="1"/>
  <c r="CZ151" i="1"/>
  <c r="CY151" i="1"/>
  <c r="CX151" i="1"/>
  <c r="CW151" i="1"/>
  <c r="CV151" i="1"/>
  <c r="CU151" i="1"/>
  <c r="CT151" i="1"/>
  <c r="CS151" i="1"/>
  <c r="CR151" i="1"/>
  <c r="CQ151" i="1"/>
  <c r="BC151" i="1"/>
  <c r="BB151" i="1"/>
  <c r="BA151" i="1"/>
  <c r="AZ151" i="1"/>
  <c r="AY151" i="1"/>
  <c r="AX151" i="1"/>
  <c r="AW151" i="1"/>
  <c r="AV151" i="1"/>
  <c r="AU151" i="1"/>
  <c r="AT151" i="1"/>
  <c r="AO150" i="1"/>
  <c r="CL150" i="1"/>
  <c r="EI150" i="1"/>
  <c r="AN150" i="1"/>
  <c r="CK150" i="1"/>
  <c r="EH150" i="1"/>
  <c r="AI150" i="1"/>
  <c r="CF150" i="1"/>
  <c r="EC150" i="1"/>
  <c r="AH150" i="1"/>
  <c r="CE150" i="1"/>
  <c r="EB150" i="1"/>
  <c r="AC150" i="1"/>
  <c r="BZ150" i="1"/>
  <c r="DW150" i="1"/>
  <c r="AB150" i="1"/>
  <c r="BY150" i="1"/>
  <c r="DV150" i="1"/>
  <c r="W150" i="1"/>
  <c r="BT150" i="1"/>
  <c r="DQ150" i="1"/>
  <c r="V150" i="1"/>
  <c r="BS150" i="1"/>
  <c r="DP150" i="1"/>
  <c r="Q150" i="1"/>
  <c r="BN150" i="1"/>
  <c r="DK150" i="1"/>
  <c r="P150" i="1"/>
  <c r="BM150" i="1"/>
  <c r="DJ150" i="1"/>
  <c r="O150" i="1"/>
  <c r="BL150" i="1"/>
  <c r="DI150" i="1"/>
  <c r="N150" i="1"/>
  <c r="BK150" i="1"/>
  <c r="DH150" i="1"/>
  <c r="M150" i="1"/>
  <c r="BJ150" i="1"/>
  <c r="DG150" i="1"/>
  <c r="L150" i="1"/>
  <c r="BI150" i="1"/>
  <c r="DF150" i="1"/>
  <c r="K150" i="1"/>
  <c r="BH150" i="1"/>
  <c r="DE150" i="1"/>
  <c r="J150" i="1"/>
  <c r="BG150" i="1"/>
  <c r="DD150" i="1"/>
  <c r="I150" i="1"/>
  <c r="BF150" i="1"/>
  <c r="DC150" i="1"/>
  <c r="H150" i="1"/>
  <c r="BE150" i="1"/>
  <c r="DB150" i="1"/>
  <c r="G150" i="1"/>
  <c r="BD150" i="1"/>
  <c r="DA150" i="1"/>
  <c r="CZ150" i="1"/>
  <c r="CY150" i="1"/>
  <c r="CX150" i="1"/>
  <c r="CW150" i="1"/>
  <c r="CV150" i="1"/>
  <c r="CU150" i="1"/>
  <c r="CT150" i="1"/>
  <c r="CS150" i="1"/>
  <c r="CR150" i="1"/>
  <c r="CQ150" i="1"/>
  <c r="BC150" i="1"/>
  <c r="BB150" i="1"/>
  <c r="BA150" i="1"/>
  <c r="AZ150" i="1"/>
  <c r="AY150" i="1"/>
  <c r="AX150" i="1"/>
  <c r="AW150" i="1"/>
  <c r="AV150" i="1"/>
  <c r="AU150" i="1"/>
  <c r="AT150" i="1"/>
  <c r="AO149" i="1"/>
  <c r="CL149" i="1"/>
  <c r="EI149" i="1"/>
  <c r="AN149" i="1"/>
  <c r="CK149" i="1"/>
  <c r="EH149" i="1"/>
  <c r="AI149" i="1"/>
  <c r="CF149" i="1"/>
  <c r="EC149" i="1"/>
  <c r="AH149" i="1"/>
  <c r="CE149" i="1"/>
  <c r="EB149" i="1"/>
  <c r="AC149" i="1"/>
  <c r="BZ149" i="1"/>
  <c r="DW149" i="1"/>
  <c r="AB149" i="1"/>
  <c r="BY149" i="1"/>
  <c r="DV149" i="1"/>
  <c r="W149" i="1"/>
  <c r="BT149" i="1"/>
  <c r="DQ149" i="1"/>
  <c r="V149" i="1"/>
  <c r="BS149" i="1"/>
  <c r="DP149" i="1"/>
  <c r="Q149" i="1"/>
  <c r="BN149" i="1"/>
  <c r="DK149" i="1"/>
  <c r="P149" i="1"/>
  <c r="BM149" i="1"/>
  <c r="DJ149" i="1"/>
  <c r="O149" i="1"/>
  <c r="BL149" i="1"/>
  <c r="DI149" i="1"/>
  <c r="N149" i="1"/>
  <c r="BK149" i="1"/>
  <c r="DH149" i="1"/>
  <c r="M149" i="1"/>
  <c r="BJ149" i="1"/>
  <c r="DG149" i="1"/>
  <c r="L149" i="1"/>
  <c r="BI149" i="1"/>
  <c r="DF149" i="1"/>
  <c r="K149" i="1"/>
  <c r="BH149" i="1"/>
  <c r="DE149" i="1"/>
  <c r="J149" i="1"/>
  <c r="BG149" i="1"/>
  <c r="DD149" i="1"/>
  <c r="I149" i="1"/>
  <c r="BF149" i="1"/>
  <c r="DC149" i="1"/>
  <c r="H149" i="1"/>
  <c r="BE149" i="1"/>
  <c r="DB149" i="1"/>
  <c r="G149" i="1"/>
  <c r="BD149" i="1"/>
  <c r="DA149" i="1"/>
  <c r="CZ149" i="1"/>
  <c r="CY149" i="1"/>
  <c r="CX149" i="1"/>
  <c r="CW149" i="1"/>
  <c r="CV149" i="1"/>
  <c r="CU149" i="1"/>
  <c r="CT149" i="1"/>
  <c r="CS149" i="1"/>
  <c r="CR149" i="1"/>
  <c r="CQ149" i="1"/>
  <c r="BC149" i="1"/>
  <c r="BB149" i="1"/>
  <c r="BA149" i="1"/>
  <c r="AZ149" i="1"/>
  <c r="AY149" i="1"/>
  <c r="AX149" i="1"/>
  <c r="AW149" i="1"/>
  <c r="AV149" i="1"/>
  <c r="AU149" i="1"/>
  <c r="AT149" i="1"/>
  <c r="AO148" i="1"/>
  <c r="CL148" i="1"/>
  <c r="EI148" i="1"/>
  <c r="AN148" i="1"/>
  <c r="CK148" i="1"/>
  <c r="EH148" i="1"/>
  <c r="AI148" i="1"/>
  <c r="CF148" i="1"/>
  <c r="EC148" i="1"/>
  <c r="AH148" i="1"/>
  <c r="CE148" i="1"/>
  <c r="EB148" i="1"/>
  <c r="AC148" i="1"/>
  <c r="BZ148" i="1"/>
  <c r="DW148" i="1"/>
  <c r="AB148" i="1"/>
  <c r="BY148" i="1"/>
  <c r="DV148" i="1"/>
  <c r="W148" i="1"/>
  <c r="BT148" i="1"/>
  <c r="DQ148" i="1"/>
  <c r="V148" i="1"/>
  <c r="BS148" i="1"/>
  <c r="DP148" i="1"/>
  <c r="Q148" i="1"/>
  <c r="BN148" i="1"/>
  <c r="DK148" i="1"/>
  <c r="P148" i="1"/>
  <c r="BM148" i="1"/>
  <c r="DJ148" i="1"/>
  <c r="O148" i="1"/>
  <c r="BL148" i="1"/>
  <c r="DI148" i="1"/>
  <c r="N148" i="1"/>
  <c r="BK148" i="1"/>
  <c r="DH148" i="1"/>
  <c r="M148" i="1"/>
  <c r="BJ148" i="1"/>
  <c r="DG148" i="1"/>
  <c r="L148" i="1"/>
  <c r="BI148" i="1"/>
  <c r="DF148" i="1"/>
  <c r="K148" i="1"/>
  <c r="BH148" i="1"/>
  <c r="DE148" i="1"/>
  <c r="J148" i="1"/>
  <c r="BG148" i="1"/>
  <c r="DD148" i="1"/>
  <c r="I148" i="1"/>
  <c r="BF148" i="1"/>
  <c r="DC148" i="1"/>
  <c r="H148" i="1"/>
  <c r="BE148" i="1"/>
  <c r="DB148" i="1"/>
  <c r="G148" i="1"/>
  <c r="BD148" i="1"/>
  <c r="DA148" i="1"/>
  <c r="CZ148" i="1"/>
  <c r="CY148" i="1"/>
  <c r="CX148" i="1"/>
  <c r="CW148" i="1"/>
  <c r="CV148" i="1"/>
  <c r="CU148" i="1"/>
  <c r="CT148" i="1"/>
  <c r="CS148" i="1"/>
  <c r="CR148" i="1"/>
  <c r="CQ148" i="1"/>
  <c r="BC148" i="1"/>
  <c r="BB148" i="1"/>
  <c r="BA148" i="1"/>
  <c r="AZ148" i="1"/>
  <c r="AY148" i="1"/>
  <c r="AX148" i="1"/>
  <c r="AW148" i="1"/>
  <c r="AV148" i="1"/>
  <c r="AU148" i="1"/>
  <c r="AT148" i="1"/>
  <c r="AO147" i="1"/>
  <c r="CL147" i="1"/>
  <c r="EI147" i="1"/>
  <c r="AN147" i="1"/>
  <c r="CK147" i="1"/>
  <c r="EH147" i="1"/>
  <c r="AI147" i="1"/>
  <c r="CF147" i="1"/>
  <c r="EC147" i="1"/>
  <c r="AH147" i="1"/>
  <c r="CE147" i="1"/>
  <c r="EB147" i="1"/>
  <c r="AC147" i="1"/>
  <c r="BZ147" i="1"/>
  <c r="DW147" i="1"/>
  <c r="AB147" i="1"/>
  <c r="BY147" i="1"/>
  <c r="DV147" i="1"/>
  <c r="W147" i="1"/>
  <c r="BT147" i="1"/>
  <c r="DQ147" i="1"/>
  <c r="V147" i="1"/>
  <c r="BS147" i="1"/>
  <c r="DP147" i="1"/>
  <c r="Q147" i="1"/>
  <c r="BN147" i="1"/>
  <c r="DK147" i="1"/>
  <c r="P147" i="1"/>
  <c r="BM147" i="1"/>
  <c r="DJ147" i="1"/>
  <c r="O147" i="1"/>
  <c r="BL147" i="1"/>
  <c r="DI147" i="1"/>
  <c r="N147" i="1"/>
  <c r="BK147" i="1"/>
  <c r="DH147" i="1"/>
  <c r="M147" i="1"/>
  <c r="BJ147" i="1"/>
  <c r="DG147" i="1"/>
  <c r="L147" i="1"/>
  <c r="BI147" i="1"/>
  <c r="DF147" i="1"/>
  <c r="K147" i="1"/>
  <c r="BH147" i="1"/>
  <c r="DE147" i="1"/>
  <c r="J147" i="1"/>
  <c r="BG147" i="1"/>
  <c r="DD147" i="1"/>
  <c r="I147" i="1"/>
  <c r="BF147" i="1"/>
  <c r="DC147" i="1"/>
  <c r="H147" i="1"/>
  <c r="BE147" i="1"/>
  <c r="DB147" i="1"/>
  <c r="G147" i="1"/>
  <c r="BD147" i="1"/>
  <c r="DA147" i="1"/>
  <c r="CZ147" i="1"/>
  <c r="CY147" i="1"/>
  <c r="CX147" i="1"/>
  <c r="CW147" i="1"/>
  <c r="CV147" i="1"/>
  <c r="CU147" i="1"/>
  <c r="CT147" i="1"/>
  <c r="CS147" i="1"/>
  <c r="CR147" i="1"/>
  <c r="CQ147" i="1"/>
  <c r="BC147" i="1"/>
  <c r="BB147" i="1"/>
  <c r="BA147" i="1"/>
  <c r="AZ147" i="1"/>
  <c r="AY147" i="1"/>
  <c r="AX147" i="1"/>
  <c r="AW147" i="1"/>
  <c r="AV147" i="1"/>
  <c r="AU147" i="1"/>
  <c r="AT147" i="1"/>
  <c r="AO146" i="1"/>
  <c r="CL146" i="1"/>
  <c r="EI146" i="1"/>
  <c r="AN146" i="1"/>
  <c r="CK146" i="1"/>
  <c r="EH146" i="1"/>
  <c r="AI146" i="1"/>
  <c r="CF146" i="1"/>
  <c r="EC146" i="1"/>
  <c r="AH146" i="1"/>
  <c r="CE146" i="1"/>
  <c r="EB146" i="1"/>
  <c r="AC146" i="1"/>
  <c r="BZ146" i="1"/>
  <c r="DW146" i="1"/>
  <c r="AB146" i="1"/>
  <c r="BY146" i="1"/>
  <c r="DV146" i="1"/>
  <c r="W146" i="1"/>
  <c r="BT146" i="1"/>
  <c r="DQ146" i="1"/>
  <c r="V146" i="1"/>
  <c r="BS146" i="1"/>
  <c r="DP146" i="1"/>
  <c r="Q146" i="1"/>
  <c r="BN146" i="1"/>
  <c r="DK146" i="1"/>
  <c r="P146" i="1"/>
  <c r="BM146" i="1"/>
  <c r="DJ146" i="1"/>
  <c r="O146" i="1"/>
  <c r="BL146" i="1"/>
  <c r="DI146" i="1"/>
  <c r="N146" i="1"/>
  <c r="BK146" i="1"/>
  <c r="DH146" i="1"/>
  <c r="M146" i="1"/>
  <c r="BJ146" i="1"/>
  <c r="DG146" i="1"/>
  <c r="L146" i="1"/>
  <c r="BI146" i="1"/>
  <c r="DF146" i="1"/>
  <c r="K146" i="1"/>
  <c r="BH146" i="1"/>
  <c r="DE146" i="1"/>
  <c r="J146" i="1"/>
  <c r="BG146" i="1"/>
  <c r="DD146" i="1"/>
  <c r="I146" i="1"/>
  <c r="BF146" i="1"/>
  <c r="DC146" i="1"/>
  <c r="H146" i="1"/>
  <c r="BE146" i="1"/>
  <c r="DB146" i="1"/>
  <c r="G146" i="1"/>
  <c r="BD146" i="1"/>
  <c r="DA146" i="1"/>
  <c r="CZ146" i="1"/>
  <c r="CY146" i="1"/>
  <c r="CX146" i="1"/>
  <c r="CW146" i="1"/>
  <c r="CV146" i="1"/>
  <c r="CU146" i="1"/>
  <c r="CT146" i="1"/>
  <c r="CS146" i="1"/>
  <c r="CR146" i="1"/>
  <c r="CQ146" i="1"/>
  <c r="BC146" i="1"/>
  <c r="BB146" i="1"/>
  <c r="BA146" i="1"/>
  <c r="AZ146" i="1"/>
  <c r="AY146" i="1"/>
  <c r="AX146" i="1"/>
  <c r="AW146" i="1"/>
  <c r="AV146" i="1"/>
  <c r="AU146" i="1"/>
  <c r="AT146" i="1"/>
  <c r="AO145" i="1"/>
  <c r="CL145" i="1"/>
  <c r="EI145" i="1"/>
  <c r="AN145" i="1"/>
  <c r="CK145" i="1"/>
  <c r="EH145" i="1"/>
  <c r="AI145" i="1"/>
  <c r="CF145" i="1"/>
  <c r="EC145" i="1"/>
  <c r="AH145" i="1"/>
  <c r="CE145" i="1"/>
  <c r="EB145" i="1"/>
  <c r="AC145" i="1"/>
  <c r="BZ145" i="1"/>
  <c r="DW145" i="1"/>
  <c r="AB145" i="1"/>
  <c r="BY145" i="1"/>
  <c r="DV145" i="1"/>
  <c r="W145" i="1"/>
  <c r="BT145" i="1"/>
  <c r="DQ145" i="1"/>
  <c r="V145" i="1"/>
  <c r="BS145" i="1"/>
  <c r="DP145" i="1"/>
  <c r="Q145" i="1"/>
  <c r="BN145" i="1"/>
  <c r="DK145" i="1"/>
  <c r="P145" i="1"/>
  <c r="BM145" i="1"/>
  <c r="DJ145" i="1"/>
  <c r="O145" i="1"/>
  <c r="BL145" i="1"/>
  <c r="DI145" i="1"/>
  <c r="N145" i="1"/>
  <c r="BK145" i="1"/>
  <c r="DH145" i="1"/>
  <c r="M145" i="1"/>
  <c r="BJ145" i="1"/>
  <c r="DG145" i="1"/>
  <c r="L145" i="1"/>
  <c r="BI145" i="1"/>
  <c r="DF145" i="1"/>
  <c r="K145" i="1"/>
  <c r="BH145" i="1"/>
  <c r="DE145" i="1"/>
  <c r="J145" i="1"/>
  <c r="BG145" i="1"/>
  <c r="DD145" i="1"/>
  <c r="I145" i="1"/>
  <c r="BF145" i="1"/>
  <c r="DC145" i="1"/>
  <c r="H145" i="1"/>
  <c r="BE145" i="1"/>
  <c r="DB145" i="1"/>
  <c r="G145" i="1"/>
  <c r="BD145" i="1"/>
  <c r="DA145" i="1"/>
  <c r="CZ145" i="1"/>
  <c r="CY145" i="1"/>
  <c r="CX145" i="1"/>
  <c r="CW145" i="1"/>
  <c r="CV145" i="1"/>
  <c r="CU145" i="1"/>
  <c r="CT145" i="1"/>
  <c r="CS145" i="1"/>
  <c r="CR145" i="1"/>
  <c r="CQ145" i="1"/>
  <c r="BC145" i="1"/>
  <c r="BB145" i="1"/>
  <c r="BA145" i="1"/>
  <c r="AZ145" i="1"/>
  <c r="AY145" i="1"/>
  <c r="AX145" i="1"/>
  <c r="AW145" i="1"/>
  <c r="AV145" i="1"/>
  <c r="AU145" i="1"/>
  <c r="AT145" i="1"/>
  <c r="AO144" i="1"/>
  <c r="CL144" i="1"/>
  <c r="EI144" i="1"/>
  <c r="AN144" i="1"/>
  <c r="CK144" i="1"/>
  <c r="EH144" i="1"/>
  <c r="AI144" i="1"/>
  <c r="CF144" i="1"/>
  <c r="EC144" i="1"/>
  <c r="AH144" i="1"/>
  <c r="CE144" i="1"/>
  <c r="EB144" i="1"/>
  <c r="AC144" i="1"/>
  <c r="BZ144" i="1"/>
  <c r="DW144" i="1"/>
  <c r="AB144" i="1"/>
  <c r="BY144" i="1"/>
  <c r="DV144" i="1"/>
  <c r="W144" i="1"/>
  <c r="BT144" i="1"/>
  <c r="DQ144" i="1"/>
  <c r="V144" i="1"/>
  <c r="BS144" i="1"/>
  <c r="DP144" i="1"/>
  <c r="Q144" i="1"/>
  <c r="BN144" i="1"/>
  <c r="DK144" i="1"/>
  <c r="P144" i="1"/>
  <c r="BM144" i="1"/>
  <c r="DJ144" i="1"/>
  <c r="O144" i="1"/>
  <c r="BL144" i="1"/>
  <c r="DI144" i="1"/>
  <c r="N144" i="1"/>
  <c r="BK144" i="1"/>
  <c r="DH144" i="1"/>
  <c r="M144" i="1"/>
  <c r="BJ144" i="1"/>
  <c r="DG144" i="1"/>
  <c r="L144" i="1"/>
  <c r="BI144" i="1"/>
  <c r="DF144" i="1"/>
  <c r="K144" i="1"/>
  <c r="BH144" i="1"/>
  <c r="DE144" i="1"/>
  <c r="J144" i="1"/>
  <c r="BG144" i="1"/>
  <c r="DD144" i="1"/>
  <c r="I144" i="1"/>
  <c r="BF144" i="1"/>
  <c r="DC144" i="1"/>
  <c r="H144" i="1"/>
  <c r="BE144" i="1"/>
  <c r="DB144" i="1"/>
  <c r="G144" i="1"/>
  <c r="BD144" i="1"/>
  <c r="DA144" i="1"/>
  <c r="CZ144" i="1"/>
  <c r="CY144" i="1"/>
  <c r="CX144" i="1"/>
  <c r="CW144" i="1"/>
  <c r="CV144" i="1"/>
  <c r="CU144" i="1"/>
  <c r="CT144" i="1"/>
  <c r="CS144" i="1"/>
  <c r="CR144" i="1"/>
  <c r="CQ144" i="1"/>
  <c r="BC144" i="1"/>
  <c r="BB144" i="1"/>
  <c r="BA144" i="1"/>
  <c r="AZ144" i="1"/>
  <c r="AY144" i="1"/>
  <c r="AX144" i="1"/>
  <c r="AW144" i="1"/>
  <c r="AV144" i="1"/>
  <c r="AU144" i="1"/>
  <c r="AT144" i="1"/>
  <c r="AO143" i="1"/>
  <c r="CL143" i="1"/>
  <c r="EI143" i="1"/>
  <c r="AN143" i="1"/>
  <c r="CK143" i="1"/>
  <c r="EH143" i="1"/>
  <c r="AI143" i="1"/>
  <c r="CF143" i="1"/>
  <c r="EC143" i="1"/>
  <c r="AH143" i="1"/>
  <c r="CE143" i="1"/>
  <c r="EB143" i="1"/>
  <c r="AC143" i="1"/>
  <c r="BZ143" i="1"/>
  <c r="DW143" i="1"/>
  <c r="AB143" i="1"/>
  <c r="BY143" i="1"/>
  <c r="DV143" i="1"/>
  <c r="W143" i="1"/>
  <c r="BT143" i="1"/>
  <c r="DQ143" i="1"/>
  <c r="V143" i="1"/>
  <c r="BS143" i="1"/>
  <c r="DP143" i="1"/>
  <c r="Q143" i="1"/>
  <c r="BN143" i="1"/>
  <c r="DK143" i="1"/>
  <c r="P143" i="1"/>
  <c r="BM143" i="1"/>
  <c r="DJ143" i="1"/>
  <c r="O143" i="1"/>
  <c r="BL143" i="1"/>
  <c r="DI143" i="1"/>
  <c r="N143" i="1"/>
  <c r="BK143" i="1"/>
  <c r="DH143" i="1"/>
  <c r="M143" i="1"/>
  <c r="BJ143" i="1"/>
  <c r="DG143" i="1"/>
  <c r="L143" i="1"/>
  <c r="BI143" i="1"/>
  <c r="DF143" i="1"/>
  <c r="K143" i="1"/>
  <c r="BH143" i="1"/>
  <c r="DE143" i="1"/>
  <c r="J143" i="1"/>
  <c r="BG143" i="1"/>
  <c r="DD143" i="1"/>
  <c r="I143" i="1"/>
  <c r="BF143" i="1"/>
  <c r="DC143" i="1"/>
  <c r="H143" i="1"/>
  <c r="BE143" i="1"/>
  <c r="DB143" i="1"/>
  <c r="G143" i="1"/>
  <c r="BD143" i="1"/>
  <c r="DA143" i="1"/>
  <c r="CZ143" i="1"/>
  <c r="CY143" i="1"/>
  <c r="CX143" i="1"/>
  <c r="CW143" i="1"/>
  <c r="CV143" i="1"/>
  <c r="CU143" i="1"/>
  <c r="CT143" i="1"/>
  <c r="CS143" i="1"/>
  <c r="CR143" i="1"/>
  <c r="CQ143" i="1"/>
  <c r="BC143" i="1"/>
  <c r="BB143" i="1"/>
  <c r="BA143" i="1"/>
  <c r="AZ143" i="1"/>
  <c r="AY143" i="1"/>
  <c r="AX143" i="1"/>
  <c r="AW143" i="1"/>
  <c r="AV143" i="1"/>
  <c r="AU143" i="1"/>
  <c r="AT143" i="1"/>
  <c r="AO142" i="1"/>
  <c r="CL142" i="1"/>
  <c r="EI142" i="1"/>
  <c r="AN142" i="1"/>
  <c r="CK142" i="1"/>
  <c r="EH142" i="1"/>
  <c r="AI142" i="1"/>
  <c r="CF142" i="1"/>
  <c r="EC142" i="1"/>
  <c r="AH142" i="1"/>
  <c r="CE142" i="1"/>
  <c r="EB142" i="1"/>
  <c r="AC142" i="1"/>
  <c r="BZ142" i="1"/>
  <c r="DW142" i="1"/>
  <c r="AB142" i="1"/>
  <c r="BY142" i="1"/>
  <c r="DV142" i="1"/>
  <c r="W142" i="1"/>
  <c r="BT142" i="1"/>
  <c r="DQ142" i="1"/>
  <c r="V142" i="1"/>
  <c r="BS142" i="1"/>
  <c r="DP142" i="1"/>
  <c r="Q142" i="1"/>
  <c r="BN142" i="1"/>
  <c r="DK142" i="1"/>
  <c r="P142" i="1"/>
  <c r="BM142" i="1"/>
  <c r="DJ142" i="1"/>
  <c r="O142" i="1"/>
  <c r="BL142" i="1"/>
  <c r="DI142" i="1"/>
  <c r="N142" i="1"/>
  <c r="BK142" i="1"/>
  <c r="DH142" i="1"/>
  <c r="M142" i="1"/>
  <c r="BJ142" i="1"/>
  <c r="DG142" i="1"/>
  <c r="L142" i="1"/>
  <c r="BI142" i="1"/>
  <c r="DF142" i="1"/>
  <c r="K142" i="1"/>
  <c r="BH142" i="1"/>
  <c r="DE142" i="1"/>
  <c r="J142" i="1"/>
  <c r="BG142" i="1"/>
  <c r="DD142" i="1"/>
  <c r="I142" i="1"/>
  <c r="BF142" i="1"/>
  <c r="DC142" i="1"/>
  <c r="H142" i="1"/>
  <c r="BE142" i="1"/>
  <c r="DB142" i="1"/>
  <c r="G142" i="1"/>
  <c r="BD142" i="1"/>
  <c r="DA142" i="1"/>
  <c r="CZ142" i="1"/>
  <c r="CY142" i="1"/>
  <c r="CX142" i="1"/>
  <c r="CW142" i="1"/>
  <c r="CV142" i="1"/>
  <c r="CU142" i="1"/>
  <c r="CT142" i="1"/>
  <c r="CS142" i="1"/>
  <c r="CR142" i="1"/>
  <c r="CQ142" i="1"/>
  <c r="BC142" i="1"/>
  <c r="BB142" i="1"/>
  <c r="BA142" i="1"/>
  <c r="AZ142" i="1"/>
  <c r="AY142" i="1"/>
  <c r="AX142" i="1"/>
  <c r="AW142" i="1"/>
  <c r="AV142" i="1"/>
  <c r="AU142" i="1"/>
  <c r="AT142" i="1"/>
  <c r="AO141" i="1"/>
  <c r="CL141" i="1"/>
  <c r="EI141" i="1"/>
  <c r="AN141" i="1"/>
  <c r="CK141" i="1"/>
  <c r="EH141" i="1"/>
  <c r="AI141" i="1"/>
  <c r="CF141" i="1"/>
  <c r="EC141" i="1"/>
  <c r="AH141" i="1"/>
  <c r="CE141" i="1"/>
  <c r="EB141" i="1"/>
  <c r="AC141" i="1"/>
  <c r="BZ141" i="1"/>
  <c r="DW141" i="1"/>
  <c r="AB141" i="1"/>
  <c r="BY141" i="1"/>
  <c r="DV141" i="1"/>
  <c r="W141" i="1"/>
  <c r="BT141" i="1"/>
  <c r="DQ141" i="1"/>
  <c r="V141" i="1"/>
  <c r="BS141" i="1"/>
  <c r="DP141" i="1"/>
  <c r="Q141" i="1"/>
  <c r="BN141" i="1"/>
  <c r="DK141" i="1"/>
  <c r="P141" i="1"/>
  <c r="BM141" i="1"/>
  <c r="DJ141" i="1"/>
  <c r="O141" i="1"/>
  <c r="BL141" i="1"/>
  <c r="DI141" i="1"/>
  <c r="N141" i="1"/>
  <c r="BK141" i="1"/>
  <c r="DH141" i="1"/>
  <c r="M141" i="1"/>
  <c r="BJ141" i="1"/>
  <c r="DG141" i="1"/>
  <c r="L141" i="1"/>
  <c r="BI141" i="1"/>
  <c r="DF141" i="1"/>
  <c r="K141" i="1"/>
  <c r="BH141" i="1"/>
  <c r="DE141" i="1"/>
  <c r="J141" i="1"/>
  <c r="BG141" i="1"/>
  <c r="DD141" i="1"/>
  <c r="I141" i="1"/>
  <c r="BF141" i="1"/>
  <c r="DC141" i="1"/>
  <c r="H141" i="1"/>
  <c r="BE141" i="1"/>
  <c r="DB141" i="1"/>
  <c r="G141" i="1"/>
  <c r="BD141" i="1"/>
  <c r="DA141" i="1"/>
  <c r="CZ141" i="1"/>
  <c r="CY141" i="1"/>
  <c r="CX141" i="1"/>
  <c r="CW141" i="1"/>
  <c r="CV141" i="1"/>
  <c r="CU141" i="1"/>
  <c r="CT141" i="1"/>
  <c r="CS141" i="1"/>
  <c r="CR141" i="1"/>
  <c r="CQ141" i="1"/>
  <c r="BC141" i="1"/>
  <c r="BB141" i="1"/>
  <c r="BA141" i="1"/>
  <c r="AZ141" i="1"/>
  <c r="AY141" i="1"/>
  <c r="AX141" i="1"/>
  <c r="AW141" i="1"/>
  <c r="AV141" i="1"/>
  <c r="AU141" i="1"/>
  <c r="AT141" i="1"/>
  <c r="AO140" i="1"/>
  <c r="CL140" i="1"/>
  <c r="EI140" i="1"/>
  <c r="AN140" i="1"/>
  <c r="CK140" i="1"/>
  <c r="EH140" i="1"/>
  <c r="AI140" i="1"/>
  <c r="CF140" i="1"/>
  <c r="EC140" i="1"/>
  <c r="AH140" i="1"/>
  <c r="CE140" i="1"/>
  <c r="EB140" i="1"/>
  <c r="AC140" i="1"/>
  <c r="BZ140" i="1"/>
  <c r="DW140" i="1"/>
  <c r="AB140" i="1"/>
  <c r="BY140" i="1"/>
  <c r="DV140" i="1"/>
  <c r="W140" i="1"/>
  <c r="BT140" i="1"/>
  <c r="DQ140" i="1"/>
  <c r="V140" i="1"/>
  <c r="BS140" i="1"/>
  <c r="DP140" i="1"/>
  <c r="Q140" i="1"/>
  <c r="BN140" i="1"/>
  <c r="DK140" i="1"/>
  <c r="P140" i="1"/>
  <c r="BM140" i="1"/>
  <c r="DJ140" i="1"/>
  <c r="O140" i="1"/>
  <c r="BL140" i="1"/>
  <c r="DI140" i="1"/>
  <c r="N140" i="1"/>
  <c r="BK140" i="1"/>
  <c r="DH140" i="1"/>
  <c r="M140" i="1"/>
  <c r="BJ140" i="1"/>
  <c r="DG140" i="1"/>
  <c r="L140" i="1"/>
  <c r="BI140" i="1"/>
  <c r="DF140" i="1"/>
  <c r="K140" i="1"/>
  <c r="BH140" i="1"/>
  <c r="DE140" i="1"/>
  <c r="J140" i="1"/>
  <c r="BG140" i="1"/>
  <c r="DD140" i="1"/>
  <c r="I140" i="1"/>
  <c r="BF140" i="1"/>
  <c r="DC140" i="1"/>
  <c r="H140" i="1"/>
  <c r="BE140" i="1"/>
  <c r="DB140" i="1"/>
  <c r="G140" i="1"/>
  <c r="BD140" i="1"/>
  <c r="DA140" i="1"/>
  <c r="CZ140" i="1"/>
  <c r="CY140" i="1"/>
  <c r="CX140" i="1"/>
  <c r="CW140" i="1"/>
  <c r="CV140" i="1"/>
  <c r="CU140" i="1"/>
  <c r="CT140" i="1"/>
  <c r="CS140" i="1"/>
  <c r="CR140" i="1"/>
  <c r="CQ140" i="1"/>
  <c r="BC140" i="1"/>
  <c r="BB140" i="1"/>
  <c r="BA140" i="1"/>
  <c r="AZ140" i="1"/>
  <c r="AY140" i="1"/>
  <c r="AX140" i="1"/>
  <c r="AW140" i="1"/>
  <c r="AV140" i="1"/>
  <c r="AU140" i="1"/>
  <c r="AT140" i="1"/>
  <c r="AO139" i="1"/>
  <c r="CL139" i="1"/>
  <c r="EI139" i="1"/>
  <c r="AN139" i="1"/>
  <c r="CK139" i="1"/>
  <c r="EH139" i="1"/>
  <c r="AI139" i="1"/>
  <c r="CF139" i="1"/>
  <c r="EC139" i="1"/>
  <c r="AH139" i="1"/>
  <c r="CE139" i="1"/>
  <c r="EB139" i="1"/>
  <c r="AC139" i="1"/>
  <c r="BZ139" i="1"/>
  <c r="DW139" i="1"/>
  <c r="AB139" i="1"/>
  <c r="BY139" i="1"/>
  <c r="DV139" i="1"/>
  <c r="W139" i="1"/>
  <c r="BT139" i="1"/>
  <c r="DQ139" i="1"/>
  <c r="V139" i="1"/>
  <c r="BS139" i="1"/>
  <c r="DP139" i="1"/>
  <c r="Q139" i="1"/>
  <c r="BN139" i="1"/>
  <c r="DK139" i="1"/>
  <c r="P139" i="1"/>
  <c r="BM139" i="1"/>
  <c r="DJ139" i="1"/>
  <c r="O139" i="1"/>
  <c r="BL139" i="1"/>
  <c r="DI139" i="1"/>
  <c r="N139" i="1"/>
  <c r="BK139" i="1"/>
  <c r="DH139" i="1"/>
  <c r="M139" i="1"/>
  <c r="BJ139" i="1"/>
  <c r="DG139" i="1"/>
  <c r="L139" i="1"/>
  <c r="BI139" i="1"/>
  <c r="DF139" i="1"/>
  <c r="K139" i="1"/>
  <c r="BH139" i="1"/>
  <c r="DE139" i="1"/>
  <c r="J139" i="1"/>
  <c r="BG139" i="1"/>
  <c r="DD139" i="1"/>
  <c r="I139" i="1"/>
  <c r="BF139" i="1"/>
  <c r="DC139" i="1"/>
  <c r="H139" i="1"/>
  <c r="BE139" i="1"/>
  <c r="DB139" i="1"/>
  <c r="G139" i="1"/>
  <c r="BD139" i="1"/>
  <c r="DA139" i="1"/>
  <c r="CZ139" i="1"/>
  <c r="CY139" i="1"/>
  <c r="CX139" i="1"/>
  <c r="CW139" i="1"/>
  <c r="CV139" i="1"/>
  <c r="CU139" i="1"/>
  <c r="CT139" i="1"/>
  <c r="CS139" i="1"/>
  <c r="CR139" i="1"/>
  <c r="CQ139" i="1"/>
  <c r="BC139" i="1"/>
  <c r="BB139" i="1"/>
  <c r="BA139" i="1"/>
  <c r="AZ139" i="1"/>
  <c r="AY139" i="1"/>
  <c r="AX139" i="1"/>
  <c r="AW139" i="1"/>
  <c r="AV139" i="1"/>
  <c r="AU139" i="1"/>
  <c r="AT139" i="1"/>
  <c r="AO138" i="1"/>
  <c r="CL138" i="1"/>
  <c r="EI138" i="1"/>
  <c r="AN138" i="1"/>
  <c r="CK138" i="1"/>
  <c r="EH138" i="1"/>
  <c r="AI138" i="1"/>
  <c r="CF138" i="1"/>
  <c r="EC138" i="1"/>
  <c r="AH138" i="1"/>
  <c r="CE138" i="1"/>
  <c r="EB138" i="1"/>
  <c r="AC138" i="1"/>
  <c r="BZ138" i="1"/>
  <c r="DW138" i="1"/>
  <c r="AB138" i="1"/>
  <c r="BY138" i="1"/>
  <c r="DV138" i="1"/>
  <c r="W138" i="1"/>
  <c r="BT138" i="1"/>
  <c r="DQ138" i="1"/>
  <c r="V138" i="1"/>
  <c r="BS138" i="1"/>
  <c r="DP138" i="1"/>
  <c r="Q138" i="1"/>
  <c r="BN138" i="1"/>
  <c r="DK138" i="1"/>
  <c r="P138" i="1"/>
  <c r="BM138" i="1"/>
  <c r="DJ138" i="1"/>
  <c r="O138" i="1"/>
  <c r="BL138" i="1"/>
  <c r="DI138" i="1"/>
  <c r="N138" i="1"/>
  <c r="BK138" i="1"/>
  <c r="DH138" i="1"/>
  <c r="M138" i="1"/>
  <c r="BJ138" i="1"/>
  <c r="DG138" i="1"/>
  <c r="L138" i="1"/>
  <c r="BI138" i="1"/>
  <c r="DF138" i="1"/>
  <c r="K138" i="1"/>
  <c r="BH138" i="1"/>
  <c r="DE138" i="1"/>
  <c r="J138" i="1"/>
  <c r="BG138" i="1"/>
  <c r="DD138" i="1"/>
  <c r="I138" i="1"/>
  <c r="BF138" i="1"/>
  <c r="DC138" i="1"/>
  <c r="H138" i="1"/>
  <c r="BE138" i="1"/>
  <c r="DB138" i="1"/>
  <c r="G138" i="1"/>
  <c r="BD138" i="1"/>
  <c r="DA138" i="1"/>
  <c r="CZ138" i="1"/>
  <c r="CY138" i="1"/>
  <c r="CX138" i="1"/>
  <c r="CW138" i="1"/>
  <c r="CV138" i="1"/>
  <c r="CU138" i="1"/>
  <c r="CT138" i="1"/>
  <c r="CS138" i="1"/>
  <c r="CR138" i="1"/>
  <c r="CQ138" i="1"/>
  <c r="BC138" i="1"/>
  <c r="BB138" i="1"/>
  <c r="BA138" i="1"/>
  <c r="AZ138" i="1"/>
  <c r="AY138" i="1"/>
  <c r="AX138" i="1"/>
  <c r="AW138" i="1"/>
  <c r="AV138" i="1"/>
  <c r="AU138" i="1"/>
  <c r="AT138" i="1"/>
  <c r="AO137" i="1"/>
  <c r="CL137" i="1"/>
  <c r="EI137" i="1"/>
  <c r="AN137" i="1"/>
  <c r="CK137" i="1"/>
  <c r="EH137" i="1"/>
  <c r="AI137" i="1"/>
  <c r="CF137" i="1"/>
  <c r="EC137" i="1"/>
  <c r="AH137" i="1"/>
  <c r="CE137" i="1"/>
  <c r="EB137" i="1"/>
  <c r="AC137" i="1"/>
  <c r="BZ137" i="1"/>
  <c r="DW137" i="1"/>
  <c r="AB137" i="1"/>
  <c r="BY137" i="1"/>
  <c r="DV137" i="1"/>
  <c r="W137" i="1"/>
  <c r="BT137" i="1"/>
  <c r="DQ137" i="1"/>
  <c r="V137" i="1"/>
  <c r="BS137" i="1"/>
  <c r="DP137" i="1"/>
  <c r="Q137" i="1"/>
  <c r="BN137" i="1"/>
  <c r="DK137" i="1"/>
  <c r="P137" i="1"/>
  <c r="BM137" i="1"/>
  <c r="DJ137" i="1"/>
  <c r="O137" i="1"/>
  <c r="BL137" i="1"/>
  <c r="DI137" i="1"/>
  <c r="N137" i="1"/>
  <c r="BK137" i="1"/>
  <c r="DH137" i="1"/>
  <c r="M137" i="1"/>
  <c r="BJ137" i="1"/>
  <c r="DG137" i="1"/>
  <c r="L137" i="1"/>
  <c r="BI137" i="1"/>
  <c r="DF137" i="1"/>
  <c r="K137" i="1"/>
  <c r="BH137" i="1"/>
  <c r="DE137" i="1"/>
  <c r="J137" i="1"/>
  <c r="BG137" i="1"/>
  <c r="DD137" i="1"/>
  <c r="I137" i="1"/>
  <c r="BF137" i="1"/>
  <c r="DC137" i="1"/>
  <c r="H137" i="1"/>
  <c r="BE137" i="1"/>
  <c r="DB137" i="1"/>
  <c r="G137" i="1"/>
  <c r="BD137" i="1"/>
  <c r="DA137" i="1"/>
  <c r="CZ137" i="1"/>
  <c r="CY137" i="1"/>
  <c r="CX137" i="1"/>
  <c r="CW137" i="1"/>
  <c r="CV137" i="1"/>
  <c r="CU137" i="1"/>
  <c r="CT137" i="1"/>
  <c r="CS137" i="1"/>
  <c r="CR137" i="1"/>
  <c r="CQ137" i="1"/>
  <c r="BC137" i="1"/>
  <c r="BB137" i="1"/>
  <c r="BA137" i="1"/>
  <c r="AZ137" i="1"/>
  <c r="AY137" i="1"/>
  <c r="AX137" i="1"/>
  <c r="AW137" i="1"/>
  <c r="AV137" i="1"/>
  <c r="AU137" i="1"/>
  <c r="AT137" i="1"/>
  <c r="AO136" i="1"/>
  <c r="CL136" i="1"/>
  <c r="EI136" i="1"/>
  <c r="AN136" i="1"/>
  <c r="CK136" i="1"/>
  <c r="EH136" i="1"/>
  <c r="AI136" i="1"/>
  <c r="CF136" i="1"/>
  <c r="EC136" i="1"/>
  <c r="AH136" i="1"/>
  <c r="CE136" i="1"/>
  <c r="EB136" i="1"/>
  <c r="AC136" i="1"/>
  <c r="BZ136" i="1"/>
  <c r="DW136" i="1"/>
  <c r="AB136" i="1"/>
  <c r="BY136" i="1"/>
  <c r="DV136" i="1"/>
  <c r="W136" i="1"/>
  <c r="BT136" i="1"/>
  <c r="DQ136" i="1"/>
  <c r="V136" i="1"/>
  <c r="BS136" i="1"/>
  <c r="DP136" i="1"/>
  <c r="Q136" i="1"/>
  <c r="BN136" i="1"/>
  <c r="DK136" i="1"/>
  <c r="P136" i="1"/>
  <c r="BM136" i="1"/>
  <c r="DJ136" i="1"/>
  <c r="O136" i="1"/>
  <c r="BL136" i="1"/>
  <c r="DI136" i="1"/>
  <c r="N136" i="1"/>
  <c r="BK136" i="1"/>
  <c r="DH136" i="1"/>
  <c r="M136" i="1"/>
  <c r="BJ136" i="1"/>
  <c r="DG136" i="1"/>
  <c r="L136" i="1"/>
  <c r="BI136" i="1"/>
  <c r="DF136" i="1"/>
  <c r="K136" i="1"/>
  <c r="BH136" i="1"/>
  <c r="DE136" i="1"/>
  <c r="J136" i="1"/>
  <c r="BG136" i="1"/>
  <c r="DD136" i="1"/>
  <c r="I136" i="1"/>
  <c r="BF136" i="1"/>
  <c r="DC136" i="1"/>
  <c r="H136" i="1"/>
  <c r="BE136" i="1"/>
  <c r="DB136" i="1"/>
  <c r="G136" i="1"/>
  <c r="BD136" i="1"/>
  <c r="DA136" i="1"/>
  <c r="CZ136" i="1"/>
  <c r="CY136" i="1"/>
  <c r="CX136" i="1"/>
  <c r="CW136" i="1"/>
  <c r="CV136" i="1"/>
  <c r="CU136" i="1"/>
  <c r="CT136" i="1"/>
  <c r="CS136" i="1"/>
  <c r="CR136" i="1"/>
  <c r="CQ136" i="1"/>
  <c r="BC136" i="1"/>
  <c r="BB136" i="1"/>
  <c r="BA136" i="1"/>
  <c r="AZ136" i="1"/>
  <c r="AY136" i="1"/>
  <c r="AX136" i="1"/>
  <c r="AW136" i="1"/>
  <c r="AV136" i="1"/>
  <c r="AU136" i="1"/>
  <c r="AT136" i="1"/>
  <c r="AO135" i="1"/>
  <c r="CL135" i="1"/>
  <c r="EI135" i="1"/>
  <c r="AN135" i="1"/>
  <c r="CK135" i="1"/>
  <c r="EH135" i="1"/>
  <c r="AI135" i="1"/>
  <c r="CF135" i="1"/>
  <c r="EC135" i="1"/>
  <c r="AH135" i="1"/>
  <c r="CE135" i="1"/>
  <c r="EB135" i="1"/>
  <c r="AC135" i="1"/>
  <c r="BZ135" i="1"/>
  <c r="DW135" i="1"/>
  <c r="AB135" i="1"/>
  <c r="BY135" i="1"/>
  <c r="DV135" i="1"/>
  <c r="W135" i="1"/>
  <c r="BT135" i="1"/>
  <c r="DQ135" i="1"/>
  <c r="V135" i="1"/>
  <c r="BS135" i="1"/>
  <c r="DP135" i="1"/>
  <c r="Q135" i="1"/>
  <c r="BN135" i="1"/>
  <c r="DK135" i="1"/>
  <c r="P135" i="1"/>
  <c r="BM135" i="1"/>
  <c r="DJ135" i="1"/>
  <c r="O135" i="1"/>
  <c r="BL135" i="1"/>
  <c r="DI135" i="1"/>
  <c r="N135" i="1"/>
  <c r="BK135" i="1"/>
  <c r="DH135" i="1"/>
  <c r="M135" i="1"/>
  <c r="BJ135" i="1"/>
  <c r="DG135" i="1"/>
  <c r="L135" i="1"/>
  <c r="BI135" i="1"/>
  <c r="DF135" i="1"/>
  <c r="K135" i="1"/>
  <c r="BH135" i="1"/>
  <c r="DE135" i="1"/>
  <c r="J135" i="1"/>
  <c r="BG135" i="1"/>
  <c r="DD135" i="1"/>
  <c r="I135" i="1"/>
  <c r="BF135" i="1"/>
  <c r="DC135" i="1"/>
  <c r="H135" i="1"/>
  <c r="BE135" i="1"/>
  <c r="DB135" i="1"/>
  <c r="G135" i="1"/>
  <c r="BD135" i="1"/>
  <c r="DA135" i="1"/>
  <c r="CZ135" i="1"/>
  <c r="CY135" i="1"/>
  <c r="CX135" i="1"/>
  <c r="CW135" i="1"/>
  <c r="CV135" i="1"/>
  <c r="CU135" i="1"/>
  <c r="CT135" i="1"/>
  <c r="CS135" i="1"/>
  <c r="CR135" i="1"/>
  <c r="CQ135" i="1"/>
  <c r="BC135" i="1"/>
  <c r="BB135" i="1"/>
  <c r="BA135" i="1"/>
  <c r="AZ135" i="1"/>
  <c r="AY135" i="1"/>
  <c r="AX135" i="1"/>
  <c r="AW135" i="1"/>
  <c r="AV135" i="1"/>
  <c r="AU135" i="1"/>
  <c r="AT135" i="1"/>
  <c r="AO134" i="1"/>
  <c r="CL134" i="1"/>
  <c r="EI134" i="1"/>
  <c r="AN134" i="1"/>
  <c r="CK134" i="1"/>
  <c r="EH134" i="1"/>
  <c r="AI134" i="1"/>
  <c r="CF134" i="1"/>
  <c r="EC134" i="1"/>
  <c r="AH134" i="1"/>
  <c r="CE134" i="1"/>
  <c r="EB134" i="1"/>
  <c r="AC134" i="1"/>
  <c r="BZ134" i="1"/>
  <c r="DW134" i="1"/>
  <c r="AB134" i="1"/>
  <c r="BY134" i="1"/>
  <c r="DV134" i="1"/>
  <c r="W134" i="1"/>
  <c r="BT134" i="1"/>
  <c r="DQ134" i="1"/>
  <c r="V134" i="1"/>
  <c r="BS134" i="1"/>
  <c r="DP134" i="1"/>
  <c r="Q134" i="1"/>
  <c r="BN134" i="1"/>
  <c r="DK134" i="1"/>
  <c r="P134" i="1"/>
  <c r="BM134" i="1"/>
  <c r="DJ134" i="1"/>
  <c r="O134" i="1"/>
  <c r="BL134" i="1"/>
  <c r="DI134" i="1"/>
  <c r="N134" i="1"/>
  <c r="BK134" i="1"/>
  <c r="DH134" i="1"/>
  <c r="M134" i="1"/>
  <c r="BJ134" i="1"/>
  <c r="DG134" i="1"/>
  <c r="L134" i="1"/>
  <c r="BI134" i="1"/>
  <c r="DF134" i="1"/>
  <c r="K134" i="1"/>
  <c r="BH134" i="1"/>
  <c r="DE134" i="1"/>
  <c r="J134" i="1"/>
  <c r="BG134" i="1"/>
  <c r="DD134" i="1"/>
  <c r="I134" i="1"/>
  <c r="BF134" i="1"/>
  <c r="DC134" i="1"/>
  <c r="H134" i="1"/>
  <c r="BE134" i="1"/>
  <c r="DB134" i="1"/>
  <c r="G134" i="1"/>
  <c r="BD134" i="1"/>
  <c r="DA134" i="1"/>
  <c r="CZ134" i="1"/>
  <c r="CY134" i="1"/>
  <c r="CX134" i="1"/>
  <c r="CW134" i="1"/>
  <c r="CV134" i="1"/>
  <c r="CU134" i="1"/>
  <c r="CT134" i="1"/>
  <c r="CS134" i="1"/>
  <c r="CR134" i="1"/>
  <c r="CQ134" i="1"/>
  <c r="BC134" i="1"/>
  <c r="BB134" i="1"/>
  <c r="BA134" i="1"/>
  <c r="AZ134" i="1"/>
  <c r="AY134" i="1"/>
  <c r="AX134" i="1"/>
  <c r="AW134" i="1"/>
  <c r="AV134" i="1"/>
  <c r="AU134" i="1"/>
  <c r="AT134" i="1"/>
  <c r="AO133" i="1"/>
  <c r="CL133" i="1"/>
  <c r="EI133" i="1"/>
  <c r="AN133" i="1"/>
  <c r="CK133" i="1"/>
  <c r="EH133" i="1"/>
  <c r="AI133" i="1"/>
  <c r="CF133" i="1"/>
  <c r="EC133" i="1"/>
  <c r="AH133" i="1"/>
  <c r="CE133" i="1"/>
  <c r="EB133" i="1"/>
  <c r="AC133" i="1"/>
  <c r="BZ133" i="1"/>
  <c r="DW133" i="1"/>
  <c r="AB133" i="1"/>
  <c r="BY133" i="1"/>
  <c r="DV133" i="1"/>
  <c r="W133" i="1"/>
  <c r="BT133" i="1"/>
  <c r="DQ133" i="1"/>
  <c r="V133" i="1"/>
  <c r="BS133" i="1"/>
  <c r="DP133" i="1"/>
  <c r="Q133" i="1"/>
  <c r="BN133" i="1"/>
  <c r="DK133" i="1"/>
  <c r="P133" i="1"/>
  <c r="BM133" i="1"/>
  <c r="DJ133" i="1"/>
  <c r="O133" i="1"/>
  <c r="BL133" i="1"/>
  <c r="DI133" i="1"/>
  <c r="N133" i="1"/>
  <c r="BK133" i="1"/>
  <c r="DH133" i="1"/>
  <c r="M133" i="1"/>
  <c r="BJ133" i="1"/>
  <c r="DG133" i="1"/>
  <c r="L133" i="1"/>
  <c r="BI133" i="1"/>
  <c r="DF133" i="1"/>
  <c r="K133" i="1"/>
  <c r="BH133" i="1"/>
  <c r="DE133" i="1"/>
  <c r="J133" i="1"/>
  <c r="BG133" i="1"/>
  <c r="DD133" i="1"/>
  <c r="I133" i="1"/>
  <c r="BF133" i="1"/>
  <c r="DC133" i="1"/>
  <c r="H133" i="1"/>
  <c r="BE133" i="1"/>
  <c r="DB133" i="1"/>
  <c r="G133" i="1"/>
  <c r="BD133" i="1"/>
  <c r="DA133" i="1"/>
  <c r="CZ133" i="1"/>
  <c r="CY133" i="1"/>
  <c r="CX133" i="1"/>
  <c r="CW133" i="1"/>
  <c r="CV133" i="1"/>
  <c r="CU133" i="1"/>
  <c r="CT133" i="1"/>
  <c r="CS133" i="1"/>
  <c r="CR133" i="1"/>
  <c r="CQ133" i="1"/>
  <c r="BC133" i="1"/>
  <c r="BB133" i="1"/>
  <c r="BA133" i="1"/>
  <c r="AZ133" i="1"/>
  <c r="AY133" i="1"/>
  <c r="AX133" i="1"/>
  <c r="AW133" i="1"/>
  <c r="AV133" i="1"/>
  <c r="AU133" i="1"/>
  <c r="AT133" i="1"/>
  <c r="AO132" i="1"/>
  <c r="CL132" i="1"/>
  <c r="EI132" i="1"/>
  <c r="AN132" i="1"/>
  <c r="CK132" i="1"/>
  <c r="EH132" i="1"/>
  <c r="AI132" i="1"/>
  <c r="CF132" i="1"/>
  <c r="EC132" i="1"/>
  <c r="AH132" i="1"/>
  <c r="CE132" i="1"/>
  <c r="EB132" i="1"/>
  <c r="AC132" i="1"/>
  <c r="BZ132" i="1"/>
  <c r="DW132" i="1"/>
  <c r="AB132" i="1"/>
  <c r="BY132" i="1"/>
  <c r="DV132" i="1"/>
  <c r="W132" i="1"/>
  <c r="BT132" i="1"/>
  <c r="DQ132" i="1"/>
  <c r="V132" i="1"/>
  <c r="BS132" i="1"/>
  <c r="DP132" i="1"/>
  <c r="Q132" i="1"/>
  <c r="BN132" i="1"/>
  <c r="DK132" i="1"/>
  <c r="P132" i="1"/>
  <c r="BM132" i="1"/>
  <c r="DJ132" i="1"/>
  <c r="O132" i="1"/>
  <c r="BL132" i="1"/>
  <c r="DI132" i="1"/>
  <c r="N132" i="1"/>
  <c r="BK132" i="1"/>
  <c r="DH132" i="1"/>
  <c r="M132" i="1"/>
  <c r="BJ132" i="1"/>
  <c r="DG132" i="1"/>
  <c r="L132" i="1"/>
  <c r="BI132" i="1"/>
  <c r="DF132" i="1"/>
  <c r="K132" i="1"/>
  <c r="BH132" i="1"/>
  <c r="DE132" i="1"/>
  <c r="J132" i="1"/>
  <c r="BG132" i="1"/>
  <c r="DD132" i="1"/>
  <c r="I132" i="1"/>
  <c r="BF132" i="1"/>
  <c r="DC132" i="1"/>
  <c r="H132" i="1"/>
  <c r="BE132" i="1"/>
  <c r="DB132" i="1"/>
  <c r="G132" i="1"/>
  <c r="BD132" i="1"/>
  <c r="DA132" i="1"/>
  <c r="CZ132" i="1"/>
  <c r="CY132" i="1"/>
  <c r="CX132" i="1"/>
  <c r="CW132" i="1"/>
  <c r="CV132" i="1"/>
  <c r="CU132" i="1"/>
  <c r="CT132" i="1"/>
  <c r="CS132" i="1"/>
  <c r="CR132" i="1"/>
  <c r="CQ132" i="1"/>
  <c r="BC132" i="1"/>
  <c r="BB132" i="1"/>
  <c r="BA132" i="1"/>
  <c r="AZ132" i="1"/>
  <c r="AY132" i="1"/>
  <c r="AX132" i="1"/>
  <c r="AW132" i="1"/>
  <c r="AV132" i="1"/>
  <c r="AU132" i="1"/>
  <c r="AT132" i="1"/>
  <c r="AO131" i="1"/>
  <c r="CL131" i="1"/>
  <c r="EI131" i="1"/>
  <c r="AN131" i="1"/>
  <c r="CK131" i="1"/>
  <c r="EH131" i="1"/>
  <c r="AI131" i="1"/>
  <c r="CF131" i="1"/>
  <c r="EC131" i="1"/>
  <c r="AH131" i="1"/>
  <c r="CE131" i="1"/>
  <c r="EB131" i="1"/>
  <c r="AC131" i="1"/>
  <c r="BZ131" i="1"/>
  <c r="DW131" i="1"/>
  <c r="AB131" i="1"/>
  <c r="BY131" i="1"/>
  <c r="DV131" i="1"/>
  <c r="W131" i="1"/>
  <c r="BT131" i="1"/>
  <c r="DQ131" i="1"/>
  <c r="V131" i="1"/>
  <c r="BS131" i="1"/>
  <c r="DP131" i="1"/>
  <c r="Q131" i="1"/>
  <c r="BN131" i="1"/>
  <c r="DK131" i="1"/>
  <c r="P131" i="1"/>
  <c r="BM131" i="1"/>
  <c r="DJ131" i="1"/>
  <c r="O131" i="1"/>
  <c r="BL131" i="1"/>
  <c r="DI131" i="1"/>
  <c r="N131" i="1"/>
  <c r="BK131" i="1"/>
  <c r="DH131" i="1"/>
  <c r="M131" i="1"/>
  <c r="BJ131" i="1"/>
  <c r="DG131" i="1"/>
  <c r="L131" i="1"/>
  <c r="BI131" i="1"/>
  <c r="DF131" i="1"/>
  <c r="K131" i="1"/>
  <c r="BH131" i="1"/>
  <c r="DE131" i="1"/>
  <c r="J131" i="1"/>
  <c r="BG131" i="1"/>
  <c r="DD131" i="1"/>
  <c r="I131" i="1"/>
  <c r="BF131" i="1"/>
  <c r="DC131" i="1"/>
  <c r="H131" i="1"/>
  <c r="BE131" i="1"/>
  <c r="DB131" i="1"/>
  <c r="G131" i="1"/>
  <c r="BD131" i="1"/>
  <c r="DA131" i="1"/>
  <c r="CZ131" i="1"/>
  <c r="CY131" i="1"/>
  <c r="CX131" i="1"/>
  <c r="CW131" i="1"/>
  <c r="CV131" i="1"/>
  <c r="CU131" i="1"/>
  <c r="CT131" i="1"/>
  <c r="CS131" i="1"/>
  <c r="CR131" i="1"/>
  <c r="CQ131" i="1"/>
  <c r="BC131" i="1"/>
  <c r="BB131" i="1"/>
  <c r="BA131" i="1"/>
  <c r="AZ131" i="1"/>
  <c r="AY131" i="1"/>
  <c r="AX131" i="1"/>
  <c r="AW131" i="1"/>
  <c r="AV131" i="1"/>
  <c r="AU131" i="1"/>
  <c r="AT131" i="1"/>
  <c r="AO130" i="1"/>
  <c r="CL130" i="1"/>
  <c r="EI130" i="1"/>
  <c r="AN130" i="1"/>
  <c r="CK130" i="1"/>
  <c r="EH130" i="1"/>
  <c r="AI130" i="1"/>
  <c r="CF130" i="1"/>
  <c r="EC130" i="1"/>
  <c r="AH130" i="1"/>
  <c r="CE130" i="1"/>
  <c r="EB130" i="1"/>
  <c r="AC130" i="1"/>
  <c r="BZ130" i="1"/>
  <c r="DW130" i="1"/>
  <c r="AB130" i="1"/>
  <c r="BY130" i="1"/>
  <c r="DV130" i="1"/>
  <c r="W130" i="1"/>
  <c r="BT130" i="1"/>
  <c r="DQ130" i="1"/>
  <c r="V130" i="1"/>
  <c r="BS130" i="1"/>
  <c r="DP130" i="1"/>
  <c r="Q130" i="1"/>
  <c r="BN130" i="1"/>
  <c r="DK130" i="1"/>
  <c r="P130" i="1"/>
  <c r="BM130" i="1"/>
  <c r="DJ130" i="1"/>
  <c r="O130" i="1"/>
  <c r="BL130" i="1"/>
  <c r="DI130" i="1"/>
  <c r="N130" i="1"/>
  <c r="BK130" i="1"/>
  <c r="DH130" i="1"/>
  <c r="M130" i="1"/>
  <c r="BJ130" i="1"/>
  <c r="DG130" i="1"/>
  <c r="L130" i="1"/>
  <c r="BI130" i="1"/>
  <c r="DF130" i="1"/>
  <c r="K130" i="1"/>
  <c r="BH130" i="1"/>
  <c r="DE130" i="1"/>
  <c r="J130" i="1"/>
  <c r="BG130" i="1"/>
  <c r="DD130" i="1"/>
  <c r="I130" i="1"/>
  <c r="BF130" i="1"/>
  <c r="DC130" i="1"/>
  <c r="H130" i="1"/>
  <c r="BE130" i="1"/>
  <c r="DB130" i="1"/>
  <c r="G130" i="1"/>
  <c r="BD130" i="1"/>
  <c r="DA130" i="1"/>
  <c r="CZ130" i="1"/>
  <c r="CY130" i="1"/>
  <c r="CX130" i="1"/>
  <c r="CW130" i="1"/>
  <c r="CV130" i="1"/>
  <c r="CU130" i="1"/>
  <c r="CT130" i="1"/>
  <c r="CS130" i="1"/>
  <c r="CR130" i="1"/>
  <c r="CQ130" i="1"/>
  <c r="BC130" i="1"/>
  <c r="BB130" i="1"/>
  <c r="BA130" i="1"/>
  <c r="AZ130" i="1"/>
  <c r="AY130" i="1"/>
  <c r="AX130" i="1"/>
  <c r="AW130" i="1"/>
  <c r="AV130" i="1"/>
  <c r="AU130" i="1"/>
  <c r="AT130" i="1"/>
  <c r="AO129" i="1"/>
  <c r="CL129" i="1"/>
  <c r="EI129" i="1"/>
  <c r="AN129" i="1"/>
  <c r="CK129" i="1"/>
  <c r="EH129" i="1"/>
  <c r="AI129" i="1"/>
  <c r="CF129" i="1"/>
  <c r="EC129" i="1"/>
  <c r="AH129" i="1"/>
  <c r="CE129" i="1"/>
  <c r="EB129" i="1"/>
  <c r="AC129" i="1"/>
  <c r="BZ129" i="1"/>
  <c r="DW129" i="1"/>
  <c r="AB129" i="1"/>
  <c r="BY129" i="1"/>
  <c r="DV129" i="1"/>
  <c r="W129" i="1"/>
  <c r="BT129" i="1"/>
  <c r="DQ129" i="1"/>
  <c r="V129" i="1"/>
  <c r="BS129" i="1"/>
  <c r="DP129" i="1"/>
  <c r="Q129" i="1"/>
  <c r="BN129" i="1"/>
  <c r="DK129" i="1"/>
  <c r="P129" i="1"/>
  <c r="BM129" i="1"/>
  <c r="DJ129" i="1"/>
  <c r="O129" i="1"/>
  <c r="BL129" i="1"/>
  <c r="DI129" i="1"/>
  <c r="N129" i="1"/>
  <c r="BK129" i="1"/>
  <c r="DH129" i="1"/>
  <c r="M129" i="1"/>
  <c r="BJ129" i="1"/>
  <c r="DG129" i="1"/>
  <c r="L129" i="1"/>
  <c r="BI129" i="1"/>
  <c r="DF129" i="1"/>
  <c r="K129" i="1"/>
  <c r="BH129" i="1"/>
  <c r="DE129" i="1"/>
  <c r="J129" i="1"/>
  <c r="BG129" i="1"/>
  <c r="DD129" i="1"/>
  <c r="I129" i="1"/>
  <c r="BF129" i="1"/>
  <c r="DC129" i="1"/>
  <c r="H129" i="1"/>
  <c r="BE129" i="1"/>
  <c r="DB129" i="1"/>
  <c r="G129" i="1"/>
  <c r="BD129" i="1"/>
  <c r="DA129" i="1"/>
  <c r="CZ129" i="1"/>
  <c r="CY129" i="1"/>
  <c r="CX129" i="1"/>
  <c r="CW129" i="1"/>
  <c r="CV129" i="1"/>
  <c r="CU129" i="1"/>
  <c r="CT129" i="1"/>
  <c r="CS129" i="1"/>
  <c r="CR129" i="1"/>
  <c r="CQ129" i="1"/>
  <c r="BC129" i="1"/>
  <c r="BB129" i="1"/>
  <c r="BA129" i="1"/>
  <c r="AZ129" i="1"/>
  <c r="AY129" i="1"/>
  <c r="AX129" i="1"/>
  <c r="AW129" i="1"/>
  <c r="AV129" i="1"/>
  <c r="AU129" i="1"/>
  <c r="AT129" i="1"/>
  <c r="AO128" i="1"/>
  <c r="CL128" i="1"/>
  <c r="EI128" i="1"/>
  <c r="AN128" i="1"/>
  <c r="CK128" i="1"/>
  <c r="EH128" i="1"/>
  <c r="AI128" i="1"/>
  <c r="CF128" i="1"/>
  <c r="EC128" i="1"/>
  <c r="AH128" i="1"/>
  <c r="CE128" i="1"/>
  <c r="EB128" i="1"/>
  <c r="AC128" i="1"/>
  <c r="BZ128" i="1"/>
  <c r="DW128" i="1"/>
  <c r="AB128" i="1"/>
  <c r="BY128" i="1"/>
  <c r="DV128" i="1"/>
  <c r="W128" i="1"/>
  <c r="BT128" i="1"/>
  <c r="DQ128" i="1"/>
  <c r="V128" i="1"/>
  <c r="BS128" i="1"/>
  <c r="DP128" i="1"/>
  <c r="Q128" i="1"/>
  <c r="BN128" i="1"/>
  <c r="DK128" i="1"/>
  <c r="P128" i="1"/>
  <c r="BM128" i="1"/>
  <c r="DJ128" i="1"/>
  <c r="O128" i="1"/>
  <c r="BL128" i="1"/>
  <c r="DI128" i="1"/>
  <c r="N128" i="1"/>
  <c r="BK128" i="1"/>
  <c r="DH128" i="1"/>
  <c r="M128" i="1"/>
  <c r="BJ128" i="1"/>
  <c r="DG128" i="1"/>
  <c r="L128" i="1"/>
  <c r="BI128" i="1"/>
  <c r="DF128" i="1"/>
  <c r="K128" i="1"/>
  <c r="BH128" i="1"/>
  <c r="DE128" i="1"/>
  <c r="J128" i="1"/>
  <c r="BG128" i="1"/>
  <c r="DD128" i="1"/>
  <c r="I128" i="1"/>
  <c r="BF128" i="1"/>
  <c r="DC128" i="1"/>
  <c r="H128" i="1"/>
  <c r="BE128" i="1"/>
  <c r="DB128" i="1"/>
  <c r="G128" i="1"/>
  <c r="BD128" i="1"/>
  <c r="DA128" i="1"/>
  <c r="CZ128" i="1"/>
  <c r="CY128" i="1"/>
  <c r="CX128" i="1"/>
  <c r="CW128" i="1"/>
  <c r="CV128" i="1"/>
  <c r="CU128" i="1"/>
  <c r="CT128" i="1"/>
  <c r="CS128" i="1"/>
  <c r="CR128" i="1"/>
  <c r="CQ128" i="1"/>
  <c r="BC128" i="1"/>
  <c r="BB128" i="1"/>
  <c r="BA128" i="1"/>
  <c r="AZ128" i="1"/>
  <c r="AY128" i="1"/>
  <c r="AX128" i="1"/>
  <c r="AW128" i="1"/>
  <c r="AV128" i="1"/>
  <c r="AU128" i="1"/>
  <c r="AT128" i="1"/>
  <c r="AO127" i="1"/>
  <c r="CL127" i="1"/>
  <c r="EI127" i="1"/>
  <c r="AN127" i="1"/>
  <c r="CK127" i="1"/>
  <c r="EH127" i="1"/>
  <c r="AI127" i="1"/>
  <c r="CF127" i="1"/>
  <c r="EC127" i="1"/>
  <c r="AH127" i="1"/>
  <c r="CE127" i="1"/>
  <c r="EB127" i="1"/>
  <c r="AC127" i="1"/>
  <c r="BZ127" i="1"/>
  <c r="DW127" i="1"/>
  <c r="AB127" i="1"/>
  <c r="BY127" i="1"/>
  <c r="DV127" i="1"/>
  <c r="W127" i="1"/>
  <c r="BT127" i="1"/>
  <c r="DQ127" i="1"/>
  <c r="V127" i="1"/>
  <c r="BS127" i="1"/>
  <c r="DP127" i="1"/>
  <c r="Q127" i="1"/>
  <c r="BN127" i="1"/>
  <c r="DK127" i="1"/>
  <c r="P127" i="1"/>
  <c r="BM127" i="1"/>
  <c r="DJ127" i="1"/>
  <c r="O127" i="1"/>
  <c r="BL127" i="1"/>
  <c r="DI127" i="1"/>
  <c r="N127" i="1"/>
  <c r="BK127" i="1"/>
  <c r="DH127" i="1"/>
  <c r="M127" i="1"/>
  <c r="BJ127" i="1"/>
  <c r="DG127" i="1"/>
  <c r="L127" i="1"/>
  <c r="BI127" i="1"/>
  <c r="DF127" i="1"/>
  <c r="K127" i="1"/>
  <c r="BH127" i="1"/>
  <c r="DE127" i="1"/>
  <c r="J127" i="1"/>
  <c r="BG127" i="1"/>
  <c r="DD127" i="1"/>
  <c r="I127" i="1"/>
  <c r="BF127" i="1"/>
  <c r="DC127" i="1"/>
  <c r="H127" i="1"/>
  <c r="BE127" i="1"/>
  <c r="DB127" i="1"/>
  <c r="G127" i="1"/>
  <c r="BD127" i="1"/>
  <c r="DA127" i="1"/>
  <c r="CZ127" i="1"/>
  <c r="CY127" i="1"/>
  <c r="CX127" i="1"/>
  <c r="CW127" i="1"/>
  <c r="CV127" i="1"/>
  <c r="CU127" i="1"/>
  <c r="CT127" i="1"/>
  <c r="CS127" i="1"/>
  <c r="CR127" i="1"/>
  <c r="CQ127" i="1"/>
  <c r="BC127" i="1"/>
  <c r="BB127" i="1"/>
  <c r="BA127" i="1"/>
  <c r="AZ127" i="1"/>
  <c r="AY127" i="1"/>
  <c r="AX127" i="1"/>
  <c r="AW127" i="1"/>
  <c r="AV127" i="1"/>
  <c r="AU127" i="1"/>
  <c r="AT127" i="1"/>
  <c r="AO126" i="1"/>
  <c r="CL126" i="1"/>
  <c r="EI126" i="1"/>
  <c r="AN126" i="1"/>
  <c r="CK126" i="1"/>
  <c r="EH126" i="1"/>
  <c r="AI126" i="1"/>
  <c r="CF126" i="1"/>
  <c r="EC126" i="1"/>
  <c r="AH126" i="1"/>
  <c r="CE126" i="1"/>
  <c r="EB126" i="1"/>
  <c r="AC126" i="1"/>
  <c r="BZ126" i="1"/>
  <c r="DW126" i="1"/>
  <c r="AB126" i="1"/>
  <c r="BY126" i="1"/>
  <c r="DV126" i="1"/>
  <c r="W126" i="1"/>
  <c r="BT126" i="1"/>
  <c r="DQ126" i="1"/>
  <c r="V126" i="1"/>
  <c r="BS126" i="1"/>
  <c r="DP126" i="1"/>
  <c r="Q126" i="1"/>
  <c r="BN126" i="1"/>
  <c r="DK126" i="1"/>
  <c r="P126" i="1"/>
  <c r="BM126" i="1"/>
  <c r="DJ126" i="1"/>
  <c r="O126" i="1"/>
  <c r="BL126" i="1"/>
  <c r="DI126" i="1"/>
  <c r="N126" i="1"/>
  <c r="BK126" i="1"/>
  <c r="DH126" i="1"/>
  <c r="M126" i="1"/>
  <c r="BJ126" i="1"/>
  <c r="DG126" i="1"/>
  <c r="L126" i="1"/>
  <c r="BI126" i="1"/>
  <c r="DF126" i="1"/>
  <c r="K126" i="1"/>
  <c r="BH126" i="1"/>
  <c r="DE126" i="1"/>
  <c r="J126" i="1"/>
  <c r="BG126" i="1"/>
  <c r="DD126" i="1"/>
  <c r="I126" i="1"/>
  <c r="BF126" i="1"/>
  <c r="DC126" i="1"/>
  <c r="H126" i="1"/>
  <c r="BE126" i="1"/>
  <c r="DB126" i="1"/>
  <c r="G126" i="1"/>
  <c r="BD126" i="1"/>
  <c r="DA126" i="1"/>
  <c r="CZ126" i="1"/>
  <c r="CY126" i="1"/>
  <c r="CX126" i="1"/>
  <c r="CW126" i="1"/>
  <c r="CV126" i="1"/>
  <c r="CU126" i="1"/>
  <c r="CT126" i="1"/>
  <c r="CS126" i="1"/>
  <c r="CR126" i="1"/>
  <c r="CQ126" i="1"/>
  <c r="BC126" i="1"/>
  <c r="BB126" i="1"/>
  <c r="BA126" i="1"/>
  <c r="AZ126" i="1"/>
  <c r="AY126" i="1"/>
  <c r="AX126" i="1"/>
  <c r="AW126" i="1"/>
  <c r="AV126" i="1"/>
  <c r="AU126" i="1"/>
  <c r="AT126" i="1"/>
  <c r="AO125" i="1"/>
  <c r="CL125" i="1"/>
  <c r="EI125" i="1"/>
  <c r="AN125" i="1"/>
  <c r="CK125" i="1"/>
  <c r="EH125" i="1"/>
  <c r="AI125" i="1"/>
  <c r="CF125" i="1"/>
  <c r="EC125" i="1"/>
  <c r="AH125" i="1"/>
  <c r="CE125" i="1"/>
  <c r="EB125" i="1"/>
  <c r="AC125" i="1"/>
  <c r="BZ125" i="1"/>
  <c r="DW125" i="1"/>
  <c r="AB125" i="1"/>
  <c r="BY125" i="1"/>
  <c r="DV125" i="1"/>
  <c r="W125" i="1"/>
  <c r="BT125" i="1"/>
  <c r="DQ125" i="1"/>
  <c r="V125" i="1"/>
  <c r="BS125" i="1"/>
  <c r="DP125" i="1"/>
  <c r="Q125" i="1"/>
  <c r="BN125" i="1"/>
  <c r="DK125" i="1"/>
  <c r="P125" i="1"/>
  <c r="BM125" i="1"/>
  <c r="DJ125" i="1"/>
  <c r="O125" i="1"/>
  <c r="BL125" i="1"/>
  <c r="DI125" i="1"/>
  <c r="N125" i="1"/>
  <c r="BK125" i="1"/>
  <c r="DH125" i="1"/>
  <c r="M125" i="1"/>
  <c r="BJ125" i="1"/>
  <c r="DG125" i="1"/>
  <c r="L125" i="1"/>
  <c r="BI125" i="1"/>
  <c r="DF125" i="1"/>
  <c r="K125" i="1"/>
  <c r="BH125" i="1"/>
  <c r="DE125" i="1"/>
  <c r="J125" i="1"/>
  <c r="BG125" i="1"/>
  <c r="DD125" i="1"/>
  <c r="I125" i="1"/>
  <c r="BF125" i="1"/>
  <c r="DC125" i="1"/>
  <c r="H125" i="1"/>
  <c r="BE125" i="1"/>
  <c r="DB125" i="1"/>
  <c r="G125" i="1"/>
  <c r="BD125" i="1"/>
  <c r="DA125" i="1"/>
  <c r="CZ125" i="1"/>
  <c r="CY125" i="1"/>
  <c r="CX125" i="1"/>
  <c r="CW125" i="1"/>
  <c r="CV125" i="1"/>
  <c r="CU125" i="1"/>
  <c r="CT125" i="1"/>
  <c r="CS125" i="1"/>
  <c r="CR125" i="1"/>
  <c r="CQ125" i="1"/>
  <c r="BC125" i="1"/>
  <c r="BB125" i="1"/>
  <c r="BA125" i="1"/>
  <c r="AZ125" i="1"/>
  <c r="AY125" i="1"/>
  <c r="AX125" i="1"/>
  <c r="AW125" i="1"/>
  <c r="AV125" i="1"/>
  <c r="AU125" i="1"/>
  <c r="AT125" i="1"/>
  <c r="AO124" i="1"/>
  <c r="CL124" i="1"/>
  <c r="EI124" i="1"/>
  <c r="AN124" i="1"/>
  <c r="CK124" i="1"/>
  <c r="EH124" i="1"/>
  <c r="AI124" i="1"/>
  <c r="CF124" i="1"/>
  <c r="EC124" i="1"/>
  <c r="AH124" i="1"/>
  <c r="CE124" i="1"/>
  <c r="EB124" i="1"/>
  <c r="AC124" i="1"/>
  <c r="BZ124" i="1"/>
  <c r="DW124" i="1"/>
  <c r="AB124" i="1"/>
  <c r="BY124" i="1"/>
  <c r="DV124" i="1"/>
  <c r="W124" i="1"/>
  <c r="BT124" i="1"/>
  <c r="DQ124" i="1"/>
  <c r="V124" i="1"/>
  <c r="BS124" i="1"/>
  <c r="DP124" i="1"/>
  <c r="Q124" i="1"/>
  <c r="BN124" i="1"/>
  <c r="DK124" i="1"/>
  <c r="P124" i="1"/>
  <c r="BM124" i="1"/>
  <c r="DJ124" i="1"/>
  <c r="O124" i="1"/>
  <c r="BL124" i="1"/>
  <c r="DI124" i="1"/>
  <c r="N124" i="1"/>
  <c r="BK124" i="1"/>
  <c r="DH124" i="1"/>
  <c r="M124" i="1"/>
  <c r="BJ124" i="1"/>
  <c r="DG124" i="1"/>
  <c r="L124" i="1"/>
  <c r="BI124" i="1"/>
  <c r="DF124" i="1"/>
  <c r="K124" i="1"/>
  <c r="BH124" i="1"/>
  <c r="DE124" i="1"/>
  <c r="J124" i="1"/>
  <c r="BG124" i="1"/>
  <c r="DD124" i="1"/>
  <c r="I124" i="1"/>
  <c r="BF124" i="1"/>
  <c r="DC124" i="1"/>
  <c r="H124" i="1"/>
  <c r="BE124" i="1"/>
  <c r="DB124" i="1"/>
  <c r="G124" i="1"/>
  <c r="BD124" i="1"/>
  <c r="DA124" i="1"/>
  <c r="CZ124" i="1"/>
  <c r="CY124" i="1"/>
  <c r="CX124" i="1"/>
  <c r="CW124" i="1"/>
  <c r="CV124" i="1"/>
  <c r="CU124" i="1"/>
  <c r="CT124" i="1"/>
  <c r="CS124" i="1"/>
  <c r="CR124" i="1"/>
  <c r="CQ124" i="1"/>
  <c r="BC124" i="1"/>
  <c r="BB124" i="1"/>
  <c r="BA124" i="1"/>
  <c r="AZ124" i="1"/>
  <c r="AY124" i="1"/>
  <c r="AX124" i="1"/>
  <c r="AW124" i="1"/>
  <c r="AV124" i="1"/>
  <c r="AU124" i="1"/>
  <c r="AT124" i="1"/>
  <c r="AO123" i="1"/>
  <c r="CL123" i="1"/>
  <c r="EI123" i="1"/>
  <c r="AN123" i="1"/>
  <c r="CK123" i="1"/>
  <c r="EH123" i="1"/>
  <c r="AI123" i="1"/>
  <c r="CF123" i="1"/>
  <c r="EC123" i="1"/>
  <c r="AH123" i="1"/>
  <c r="CE123" i="1"/>
  <c r="EB123" i="1"/>
  <c r="AC123" i="1"/>
  <c r="BZ123" i="1"/>
  <c r="DW123" i="1"/>
  <c r="AB123" i="1"/>
  <c r="BY123" i="1"/>
  <c r="DV123" i="1"/>
  <c r="W123" i="1"/>
  <c r="BT123" i="1"/>
  <c r="DQ123" i="1"/>
  <c r="V123" i="1"/>
  <c r="BS123" i="1"/>
  <c r="DP123" i="1"/>
  <c r="Q123" i="1"/>
  <c r="BN123" i="1"/>
  <c r="DK123" i="1"/>
  <c r="P123" i="1"/>
  <c r="BM123" i="1"/>
  <c r="DJ123" i="1"/>
  <c r="O123" i="1"/>
  <c r="BL123" i="1"/>
  <c r="DI123" i="1"/>
  <c r="N123" i="1"/>
  <c r="BK123" i="1"/>
  <c r="DH123" i="1"/>
  <c r="M123" i="1"/>
  <c r="BJ123" i="1"/>
  <c r="DG123" i="1"/>
  <c r="L123" i="1"/>
  <c r="BI123" i="1"/>
  <c r="DF123" i="1"/>
  <c r="K123" i="1"/>
  <c r="BH123" i="1"/>
  <c r="DE123" i="1"/>
  <c r="J123" i="1"/>
  <c r="BG123" i="1"/>
  <c r="DD123" i="1"/>
  <c r="I123" i="1"/>
  <c r="BF123" i="1"/>
  <c r="DC123" i="1"/>
  <c r="H123" i="1"/>
  <c r="BE123" i="1"/>
  <c r="DB123" i="1"/>
  <c r="G123" i="1"/>
  <c r="BD123" i="1"/>
  <c r="DA123" i="1"/>
  <c r="CZ123" i="1"/>
  <c r="CY123" i="1"/>
  <c r="CX123" i="1"/>
  <c r="CW123" i="1"/>
  <c r="CV123" i="1"/>
  <c r="CU123" i="1"/>
  <c r="CT123" i="1"/>
  <c r="CS123" i="1"/>
  <c r="CR123" i="1"/>
  <c r="CQ123" i="1"/>
  <c r="BC123" i="1"/>
  <c r="BB123" i="1"/>
  <c r="BA123" i="1"/>
  <c r="AZ123" i="1"/>
  <c r="AY123" i="1"/>
  <c r="AX123" i="1"/>
  <c r="AW123" i="1"/>
  <c r="AV123" i="1"/>
  <c r="AU123" i="1"/>
  <c r="AT123" i="1"/>
  <c r="AO122" i="1"/>
  <c r="CL122" i="1"/>
  <c r="EI122" i="1"/>
  <c r="AN122" i="1"/>
  <c r="CK122" i="1"/>
  <c r="EH122" i="1"/>
  <c r="AI122" i="1"/>
  <c r="CF122" i="1"/>
  <c r="EC122" i="1"/>
  <c r="AH122" i="1"/>
  <c r="CE122" i="1"/>
  <c r="EB122" i="1"/>
  <c r="AC122" i="1"/>
  <c r="BZ122" i="1"/>
  <c r="DW122" i="1"/>
  <c r="AB122" i="1"/>
  <c r="BY122" i="1"/>
  <c r="DV122" i="1"/>
  <c r="W122" i="1"/>
  <c r="BT122" i="1"/>
  <c r="DQ122" i="1"/>
  <c r="V122" i="1"/>
  <c r="BS122" i="1"/>
  <c r="DP122" i="1"/>
  <c r="Q122" i="1"/>
  <c r="BN122" i="1"/>
  <c r="DK122" i="1"/>
  <c r="P122" i="1"/>
  <c r="BM122" i="1"/>
  <c r="DJ122" i="1"/>
  <c r="O122" i="1"/>
  <c r="BL122" i="1"/>
  <c r="DI122" i="1"/>
  <c r="N122" i="1"/>
  <c r="BK122" i="1"/>
  <c r="DH122" i="1"/>
  <c r="M122" i="1"/>
  <c r="BJ122" i="1"/>
  <c r="DG122" i="1"/>
  <c r="L122" i="1"/>
  <c r="BI122" i="1"/>
  <c r="DF122" i="1"/>
  <c r="K122" i="1"/>
  <c r="BH122" i="1"/>
  <c r="DE122" i="1"/>
  <c r="J122" i="1"/>
  <c r="BG122" i="1"/>
  <c r="DD122" i="1"/>
  <c r="I122" i="1"/>
  <c r="BF122" i="1"/>
  <c r="DC122" i="1"/>
  <c r="H122" i="1"/>
  <c r="BE122" i="1"/>
  <c r="DB122" i="1"/>
  <c r="G122" i="1"/>
  <c r="BD122" i="1"/>
  <c r="DA122" i="1"/>
  <c r="CZ122" i="1"/>
  <c r="CY122" i="1"/>
  <c r="CX122" i="1"/>
  <c r="CW122" i="1"/>
  <c r="CV122" i="1"/>
  <c r="CU122" i="1"/>
  <c r="CT122" i="1"/>
  <c r="CS122" i="1"/>
  <c r="CR122" i="1"/>
  <c r="CQ122" i="1"/>
  <c r="BC122" i="1"/>
  <c r="BB122" i="1"/>
  <c r="BA122" i="1"/>
  <c r="AZ122" i="1"/>
  <c r="AY122" i="1"/>
  <c r="AX122" i="1"/>
  <c r="AW122" i="1"/>
  <c r="AV122" i="1"/>
  <c r="AU122" i="1"/>
  <c r="AT122" i="1"/>
  <c r="AO121" i="1"/>
  <c r="CL121" i="1"/>
  <c r="EI121" i="1"/>
  <c r="AN121" i="1"/>
  <c r="CK121" i="1"/>
  <c r="EH121" i="1"/>
  <c r="AI121" i="1"/>
  <c r="CF121" i="1"/>
  <c r="EC121" i="1"/>
  <c r="AH121" i="1"/>
  <c r="CE121" i="1"/>
  <c r="EB121" i="1"/>
  <c r="AC121" i="1"/>
  <c r="BZ121" i="1"/>
  <c r="DW121" i="1"/>
  <c r="AB121" i="1"/>
  <c r="BY121" i="1"/>
  <c r="DV121" i="1"/>
  <c r="W121" i="1"/>
  <c r="BT121" i="1"/>
  <c r="DQ121" i="1"/>
  <c r="V121" i="1"/>
  <c r="BS121" i="1"/>
  <c r="DP121" i="1"/>
  <c r="Q121" i="1"/>
  <c r="BN121" i="1"/>
  <c r="DK121" i="1"/>
  <c r="P121" i="1"/>
  <c r="BM121" i="1"/>
  <c r="DJ121" i="1"/>
  <c r="O121" i="1"/>
  <c r="BL121" i="1"/>
  <c r="DI121" i="1"/>
  <c r="N121" i="1"/>
  <c r="BK121" i="1"/>
  <c r="DH121" i="1"/>
  <c r="M121" i="1"/>
  <c r="BJ121" i="1"/>
  <c r="DG121" i="1"/>
  <c r="L121" i="1"/>
  <c r="BI121" i="1"/>
  <c r="DF121" i="1"/>
  <c r="K121" i="1"/>
  <c r="BH121" i="1"/>
  <c r="DE121" i="1"/>
  <c r="J121" i="1"/>
  <c r="BG121" i="1"/>
  <c r="DD121" i="1"/>
  <c r="I121" i="1"/>
  <c r="BF121" i="1"/>
  <c r="DC121" i="1"/>
  <c r="H121" i="1"/>
  <c r="BE121" i="1"/>
  <c r="DB121" i="1"/>
  <c r="G121" i="1"/>
  <c r="BD121" i="1"/>
  <c r="DA121" i="1"/>
  <c r="CZ121" i="1"/>
  <c r="CY121" i="1"/>
  <c r="CX121" i="1"/>
  <c r="CW121" i="1"/>
  <c r="CV121" i="1"/>
  <c r="CU121" i="1"/>
  <c r="CT121" i="1"/>
  <c r="CS121" i="1"/>
  <c r="CR121" i="1"/>
  <c r="CQ121" i="1"/>
  <c r="BC121" i="1"/>
  <c r="BB121" i="1"/>
  <c r="BA121" i="1"/>
  <c r="AZ121" i="1"/>
  <c r="AY121" i="1"/>
  <c r="AX121" i="1"/>
  <c r="AW121" i="1"/>
  <c r="AV121" i="1"/>
  <c r="AU121" i="1"/>
  <c r="AT121" i="1"/>
  <c r="AO120" i="1"/>
  <c r="CL120" i="1"/>
  <c r="EI120" i="1"/>
  <c r="AN120" i="1"/>
  <c r="CK120" i="1"/>
  <c r="EH120" i="1"/>
  <c r="AI120" i="1"/>
  <c r="CF120" i="1"/>
  <c r="EC120" i="1"/>
  <c r="AH120" i="1"/>
  <c r="CE120" i="1"/>
  <c r="EB120" i="1"/>
  <c r="AC120" i="1"/>
  <c r="BZ120" i="1"/>
  <c r="DW120" i="1"/>
  <c r="AB120" i="1"/>
  <c r="BY120" i="1"/>
  <c r="DV120" i="1"/>
  <c r="W120" i="1"/>
  <c r="BT120" i="1"/>
  <c r="DQ120" i="1"/>
  <c r="V120" i="1"/>
  <c r="BS120" i="1"/>
  <c r="DP120" i="1"/>
  <c r="Q120" i="1"/>
  <c r="BN120" i="1"/>
  <c r="DK120" i="1"/>
  <c r="P120" i="1"/>
  <c r="BM120" i="1"/>
  <c r="DJ120" i="1"/>
  <c r="O120" i="1"/>
  <c r="BL120" i="1"/>
  <c r="DI120" i="1"/>
  <c r="N120" i="1"/>
  <c r="BK120" i="1"/>
  <c r="DH120" i="1"/>
  <c r="M120" i="1"/>
  <c r="BJ120" i="1"/>
  <c r="DG120" i="1"/>
  <c r="L120" i="1"/>
  <c r="BI120" i="1"/>
  <c r="DF120" i="1"/>
  <c r="K120" i="1"/>
  <c r="BH120" i="1"/>
  <c r="DE120" i="1"/>
  <c r="J120" i="1"/>
  <c r="BG120" i="1"/>
  <c r="DD120" i="1"/>
  <c r="I120" i="1"/>
  <c r="BF120" i="1"/>
  <c r="DC120" i="1"/>
  <c r="H120" i="1"/>
  <c r="BE120" i="1"/>
  <c r="DB120" i="1"/>
  <c r="G120" i="1"/>
  <c r="BD120" i="1"/>
  <c r="DA120" i="1"/>
  <c r="CZ120" i="1"/>
  <c r="CY120" i="1"/>
  <c r="CX120" i="1"/>
  <c r="CW120" i="1"/>
  <c r="CV120" i="1"/>
  <c r="CU120" i="1"/>
  <c r="CT120" i="1"/>
  <c r="CS120" i="1"/>
  <c r="CR120" i="1"/>
  <c r="CQ120" i="1"/>
  <c r="BC120" i="1"/>
  <c r="BB120" i="1"/>
  <c r="BA120" i="1"/>
  <c r="AZ120" i="1"/>
  <c r="AY120" i="1"/>
  <c r="AX120" i="1"/>
  <c r="AW120" i="1"/>
  <c r="AV120" i="1"/>
  <c r="AU120" i="1"/>
  <c r="AT120" i="1"/>
  <c r="AO119" i="1"/>
  <c r="CL119" i="1"/>
  <c r="EI119" i="1"/>
  <c r="AN119" i="1"/>
  <c r="CK119" i="1"/>
  <c r="EH119" i="1"/>
  <c r="AI119" i="1"/>
  <c r="CF119" i="1"/>
  <c r="EC119" i="1"/>
  <c r="AH119" i="1"/>
  <c r="CE119" i="1"/>
  <c r="EB119" i="1"/>
  <c r="AC119" i="1"/>
  <c r="BZ119" i="1"/>
  <c r="DW119" i="1"/>
  <c r="AB119" i="1"/>
  <c r="BY119" i="1"/>
  <c r="DV119" i="1"/>
  <c r="W119" i="1"/>
  <c r="BT119" i="1"/>
  <c r="DQ119" i="1"/>
  <c r="V119" i="1"/>
  <c r="BS119" i="1"/>
  <c r="DP119" i="1"/>
  <c r="Q119" i="1"/>
  <c r="BN119" i="1"/>
  <c r="DK119" i="1"/>
  <c r="P119" i="1"/>
  <c r="BM119" i="1"/>
  <c r="DJ119" i="1"/>
  <c r="O119" i="1"/>
  <c r="BL119" i="1"/>
  <c r="DI119" i="1"/>
  <c r="N119" i="1"/>
  <c r="BK119" i="1"/>
  <c r="DH119" i="1"/>
  <c r="M119" i="1"/>
  <c r="BJ119" i="1"/>
  <c r="DG119" i="1"/>
  <c r="L119" i="1"/>
  <c r="BI119" i="1"/>
  <c r="DF119" i="1"/>
  <c r="K119" i="1"/>
  <c r="BH119" i="1"/>
  <c r="DE119" i="1"/>
  <c r="J119" i="1"/>
  <c r="BG119" i="1"/>
  <c r="DD119" i="1"/>
  <c r="I119" i="1"/>
  <c r="BF119" i="1"/>
  <c r="DC119" i="1"/>
  <c r="H119" i="1"/>
  <c r="BE119" i="1"/>
  <c r="DB119" i="1"/>
  <c r="G119" i="1"/>
  <c r="BD119" i="1"/>
  <c r="DA119" i="1"/>
  <c r="CZ119" i="1"/>
  <c r="CY119" i="1"/>
  <c r="CX119" i="1"/>
  <c r="CW119" i="1"/>
  <c r="CV119" i="1"/>
  <c r="CU119" i="1"/>
  <c r="CT119" i="1"/>
  <c r="CS119" i="1"/>
  <c r="CR119" i="1"/>
  <c r="CQ119" i="1"/>
  <c r="BC119" i="1"/>
  <c r="BB119" i="1"/>
  <c r="BA119" i="1"/>
  <c r="AZ119" i="1"/>
  <c r="AY119" i="1"/>
  <c r="AX119" i="1"/>
  <c r="AW119" i="1"/>
  <c r="AV119" i="1"/>
  <c r="AU119" i="1"/>
  <c r="AT119" i="1"/>
  <c r="AO118" i="1"/>
  <c r="CL118" i="1"/>
  <c r="EI118" i="1"/>
  <c r="AN118" i="1"/>
  <c r="CK118" i="1"/>
  <c r="EH118" i="1"/>
  <c r="AI118" i="1"/>
  <c r="CF118" i="1"/>
  <c r="EC118" i="1"/>
  <c r="AH118" i="1"/>
  <c r="CE118" i="1"/>
  <c r="EB118" i="1"/>
  <c r="AC118" i="1"/>
  <c r="BZ118" i="1"/>
  <c r="DW118" i="1"/>
  <c r="AB118" i="1"/>
  <c r="BY118" i="1"/>
  <c r="DV118" i="1"/>
  <c r="W118" i="1"/>
  <c r="BT118" i="1"/>
  <c r="DQ118" i="1"/>
  <c r="V118" i="1"/>
  <c r="BS118" i="1"/>
  <c r="DP118" i="1"/>
  <c r="Q118" i="1"/>
  <c r="BN118" i="1"/>
  <c r="DK118" i="1"/>
  <c r="P118" i="1"/>
  <c r="BM118" i="1"/>
  <c r="DJ118" i="1"/>
  <c r="O118" i="1"/>
  <c r="BL118" i="1"/>
  <c r="DI118" i="1"/>
  <c r="N118" i="1"/>
  <c r="BK118" i="1"/>
  <c r="DH118" i="1"/>
  <c r="M118" i="1"/>
  <c r="BJ118" i="1"/>
  <c r="DG118" i="1"/>
  <c r="L118" i="1"/>
  <c r="BI118" i="1"/>
  <c r="DF118" i="1"/>
  <c r="K118" i="1"/>
  <c r="BH118" i="1"/>
  <c r="DE118" i="1"/>
  <c r="J118" i="1"/>
  <c r="BG118" i="1"/>
  <c r="DD118" i="1"/>
  <c r="I118" i="1"/>
  <c r="BF118" i="1"/>
  <c r="DC118" i="1"/>
  <c r="H118" i="1"/>
  <c r="BE118" i="1"/>
  <c r="DB118" i="1"/>
  <c r="G118" i="1"/>
  <c r="BD118" i="1"/>
  <c r="DA118" i="1"/>
  <c r="CZ118" i="1"/>
  <c r="CY118" i="1"/>
  <c r="CX118" i="1"/>
  <c r="CW118" i="1"/>
  <c r="CV118" i="1"/>
  <c r="CU118" i="1"/>
  <c r="CT118" i="1"/>
  <c r="CS118" i="1"/>
  <c r="CR118" i="1"/>
  <c r="CQ118" i="1"/>
  <c r="BC118" i="1"/>
  <c r="BB118" i="1"/>
  <c r="BA118" i="1"/>
  <c r="AZ118" i="1"/>
  <c r="AY118" i="1"/>
  <c r="AX118" i="1"/>
  <c r="AW118" i="1"/>
  <c r="AV118" i="1"/>
  <c r="AU118" i="1"/>
  <c r="AT118" i="1"/>
  <c r="AO117" i="1"/>
  <c r="CL117" i="1"/>
  <c r="EI117" i="1"/>
  <c r="AN117" i="1"/>
  <c r="CK117" i="1"/>
  <c r="EH117" i="1"/>
  <c r="AI117" i="1"/>
  <c r="CF117" i="1"/>
  <c r="EC117" i="1"/>
  <c r="AH117" i="1"/>
  <c r="CE117" i="1"/>
  <c r="EB117" i="1"/>
  <c r="AC117" i="1"/>
  <c r="BZ117" i="1"/>
  <c r="DW117" i="1"/>
  <c r="AB117" i="1"/>
  <c r="BY117" i="1"/>
  <c r="DV117" i="1"/>
  <c r="W117" i="1"/>
  <c r="BT117" i="1"/>
  <c r="DQ117" i="1"/>
  <c r="V117" i="1"/>
  <c r="BS117" i="1"/>
  <c r="DP117" i="1"/>
  <c r="Q117" i="1"/>
  <c r="BN117" i="1"/>
  <c r="DK117" i="1"/>
  <c r="P117" i="1"/>
  <c r="BM117" i="1"/>
  <c r="DJ117" i="1"/>
  <c r="O117" i="1"/>
  <c r="BL117" i="1"/>
  <c r="DI117" i="1"/>
  <c r="N117" i="1"/>
  <c r="BK117" i="1"/>
  <c r="DH117" i="1"/>
  <c r="M117" i="1"/>
  <c r="BJ117" i="1"/>
  <c r="DG117" i="1"/>
  <c r="L117" i="1"/>
  <c r="BI117" i="1"/>
  <c r="DF117" i="1"/>
  <c r="K117" i="1"/>
  <c r="BH117" i="1"/>
  <c r="DE117" i="1"/>
  <c r="J117" i="1"/>
  <c r="BG117" i="1"/>
  <c r="DD117" i="1"/>
  <c r="I117" i="1"/>
  <c r="BF117" i="1"/>
  <c r="DC117" i="1"/>
  <c r="H117" i="1"/>
  <c r="BE117" i="1"/>
  <c r="DB117" i="1"/>
  <c r="G117" i="1"/>
  <c r="BD117" i="1"/>
  <c r="DA117" i="1"/>
  <c r="CZ117" i="1"/>
  <c r="CY117" i="1"/>
  <c r="CX117" i="1"/>
  <c r="CW117" i="1"/>
  <c r="CV117" i="1"/>
  <c r="CU117" i="1"/>
  <c r="CT117" i="1"/>
  <c r="CS117" i="1"/>
  <c r="CR117" i="1"/>
  <c r="CQ117" i="1"/>
  <c r="BC117" i="1"/>
  <c r="BB117" i="1"/>
  <c r="BA117" i="1"/>
  <c r="AZ117" i="1"/>
  <c r="AY117" i="1"/>
  <c r="AX117" i="1"/>
  <c r="AW117" i="1"/>
  <c r="AV117" i="1"/>
  <c r="AU117" i="1"/>
  <c r="AT117" i="1"/>
  <c r="AO116" i="1"/>
  <c r="CL116" i="1"/>
  <c r="EI116" i="1"/>
  <c r="AN116" i="1"/>
  <c r="CK116" i="1"/>
  <c r="EH116" i="1"/>
  <c r="AI116" i="1"/>
  <c r="CF116" i="1"/>
  <c r="EC116" i="1"/>
  <c r="AH116" i="1"/>
  <c r="CE116" i="1"/>
  <c r="EB116" i="1"/>
  <c r="AC116" i="1"/>
  <c r="BZ116" i="1"/>
  <c r="DW116" i="1"/>
  <c r="AB116" i="1"/>
  <c r="BY116" i="1"/>
  <c r="DV116" i="1"/>
  <c r="W116" i="1"/>
  <c r="BT116" i="1"/>
  <c r="DQ116" i="1"/>
  <c r="V116" i="1"/>
  <c r="BS116" i="1"/>
  <c r="DP116" i="1"/>
  <c r="Q116" i="1"/>
  <c r="BN116" i="1"/>
  <c r="DK116" i="1"/>
  <c r="P116" i="1"/>
  <c r="BM116" i="1"/>
  <c r="DJ116" i="1"/>
  <c r="O116" i="1"/>
  <c r="BL116" i="1"/>
  <c r="DI116" i="1"/>
  <c r="N116" i="1"/>
  <c r="BK116" i="1"/>
  <c r="DH116" i="1"/>
  <c r="M116" i="1"/>
  <c r="BJ116" i="1"/>
  <c r="DG116" i="1"/>
  <c r="L116" i="1"/>
  <c r="BI116" i="1"/>
  <c r="DF116" i="1"/>
  <c r="K116" i="1"/>
  <c r="BH116" i="1"/>
  <c r="DE116" i="1"/>
  <c r="J116" i="1"/>
  <c r="BG116" i="1"/>
  <c r="DD116" i="1"/>
  <c r="I116" i="1"/>
  <c r="BF116" i="1"/>
  <c r="DC116" i="1"/>
  <c r="H116" i="1"/>
  <c r="BE116" i="1"/>
  <c r="DB116" i="1"/>
  <c r="G116" i="1"/>
  <c r="BD116" i="1"/>
  <c r="DA116" i="1"/>
  <c r="CZ116" i="1"/>
  <c r="CY116" i="1"/>
  <c r="CX116" i="1"/>
  <c r="CW116" i="1"/>
  <c r="CV116" i="1"/>
  <c r="CU116" i="1"/>
  <c r="CT116" i="1"/>
  <c r="CS116" i="1"/>
  <c r="CR116" i="1"/>
  <c r="CQ116" i="1"/>
  <c r="BC116" i="1"/>
  <c r="BB116" i="1"/>
  <c r="BA116" i="1"/>
  <c r="AZ116" i="1"/>
  <c r="AY116" i="1"/>
  <c r="AX116" i="1"/>
  <c r="AW116" i="1"/>
  <c r="AV116" i="1"/>
  <c r="AU116" i="1"/>
  <c r="AT116" i="1"/>
  <c r="AO115" i="1"/>
  <c r="CL115" i="1"/>
  <c r="EI115" i="1"/>
  <c r="AN115" i="1"/>
  <c r="CK115" i="1"/>
  <c r="EH115" i="1"/>
  <c r="AI115" i="1"/>
  <c r="CF115" i="1"/>
  <c r="EC115" i="1"/>
  <c r="AH115" i="1"/>
  <c r="CE115" i="1"/>
  <c r="EB115" i="1"/>
  <c r="AC115" i="1"/>
  <c r="BZ115" i="1"/>
  <c r="DW115" i="1"/>
  <c r="AB115" i="1"/>
  <c r="BY115" i="1"/>
  <c r="DV115" i="1"/>
  <c r="W115" i="1"/>
  <c r="BT115" i="1"/>
  <c r="DQ115" i="1"/>
  <c r="V115" i="1"/>
  <c r="BS115" i="1"/>
  <c r="DP115" i="1"/>
  <c r="Q115" i="1"/>
  <c r="BN115" i="1"/>
  <c r="DK115" i="1"/>
  <c r="P115" i="1"/>
  <c r="BM115" i="1"/>
  <c r="DJ115" i="1"/>
  <c r="O115" i="1"/>
  <c r="BL115" i="1"/>
  <c r="DI115" i="1"/>
  <c r="N115" i="1"/>
  <c r="BK115" i="1"/>
  <c r="DH115" i="1"/>
  <c r="M115" i="1"/>
  <c r="BJ115" i="1"/>
  <c r="DG115" i="1"/>
  <c r="L115" i="1"/>
  <c r="BI115" i="1"/>
  <c r="DF115" i="1"/>
  <c r="K115" i="1"/>
  <c r="BH115" i="1"/>
  <c r="DE115" i="1"/>
  <c r="J115" i="1"/>
  <c r="BG115" i="1"/>
  <c r="DD115" i="1"/>
  <c r="I115" i="1"/>
  <c r="BF115" i="1"/>
  <c r="DC115" i="1"/>
  <c r="H115" i="1"/>
  <c r="BE115" i="1"/>
  <c r="DB115" i="1"/>
  <c r="G115" i="1"/>
  <c r="BD115" i="1"/>
  <c r="DA115" i="1"/>
  <c r="CZ115" i="1"/>
  <c r="CY115" i="1"/>
  <c r="CX115" i="1"/>
  <c r="CW115" i="1"/>
  <c r="CV115" i="1"/>
  <c r="CU115" i="1"/>
  <c r="CT115" i="1"/>
  <c r="CS115" i="1"/>
  <c r="CR115" i="1"/>
  <c r="CQ115" i="1"/>
  <c r="BC115" i="1"/>
  <c r="BB115" i="1"/>
  <c r="BA115" i="1"/>
  <c r="AZ115" i="1"/>
  <c r="AY115" i="1"/>
  <c r="AX115" i="1"/>
  <c r="AW115" i="1"/>
  <c r="AV115" i="1"/>
  <c r="AU115" i="1"/>
  <c r="AT115" i="1"/>
  <c r="AO114" i="1"/>
  <c r="CL114" i="1"/>
  <c r="EI114" i="1"/>
  <c r="AN114" i="1"/>
  <c r="CK114" i="1"/>
  <c r="EH114" i="1"/>
  <c r="AI114" i="1"/>
  <c r="CF114" i="1"/>
  <c r="EC114" i="1"/>
  <c r="AH114" i="1"/>
  <c r="CE114" i="1"/>
  <c r="EB114" i="1"/>
  <c r="AC114" i="1"/>
  <c r="BZ114" i="1"/>
  <c r="DW114" i="1"/>
  <c r="AB114" i="1"/>
  <c r="BY114" i="1"/>
  <c r="DV114" i="1"/>
  <c r="W114" i="1"/>
  <c r="BT114" i="1"/>
  <c r="DQ114" i="1"/>
  <c r="V114" i="1"/>
  <c r="BS114" i="1"/>
  <c r="DP114" i="1"/>
  <c r="Q114" i="1"/>
  <c r="BN114" i="1"/>
  <c r="DK114" i="1"/>
  <c r="P114" i="1"/>
  <c r="BM114" i="1"/>
  <c r="DJ114" i="1"/>
  <c r="O114" i="1"/>
  <c r="BL114" i="1"/>
  <c r="DI114" i="1"/>
  <c r="N114" i="1"/>
  <c r="BK114" i="1"/>
  <c r="DH114" i="1"/>
  <c r="M114" i="1"/>
  <c r="BJ114" i="1"/>
  <c r="DG114" i="1"/>
  <c r="L114" i="1"/>
  <c r="BI114" i="1"/>
  <c r="DF114" i="1"/>
  <c r="K114" i="1"/>
  <c r="BH114" i="1"/>
  <c r="DE114" i="1"/>
  <c r="J114" i="1"/>
  <c r="BG114" i="1"/>
  <c r="DD114" i="1"/>
  <c r="I114" i="1"/>
  <c r="BF114" i="1"/>
  <c r="DC114" i="1"/>
  <c r="H114" i="1"/>
  <c r="BE114" i="1"/>
  <c r="DB114" i="1"/>
  <c r="G114" i="1"/>
  <c r="BD114" i="1"/>
  <c r="DA114" i="1"/>
  <c r="CZ114" i="1"/>
  <c r="CY114" i="1"/>
  <c r="CX114" i="1"/>
  <c r="CW114" i="1"/>
  <c r="CV114" i="1"/>
  <c r="CU114" i="1"/>
  <c r="CT114" i="1"/>
  <c r="CS114" i="1"/>
  <c r="CR114" i="1"/>
  <c r="CQ114" i="1"/>
  <c r="BC114" i="1"/>
  <c r="BB114" i="1"/>
  <c r="BA114" i="1"/>
  <c r="AZ114" i="1"/>
  <c r="AY114" i="1"/>
  <c r="AX114" i="1"/>
  <c r="AW114" i="1"/>
  <c r="AV114" i="1"/>
  <c r="AU114" i="1"/>
  <c r="AT114" i="1"/>
  <c r="AO113" i="1"/>
  <c r="CL113" i="1"/>
  <c r="EI113" i="1"/>
  <c r="AN113" i="1"/>
  <c r="CK113" i="1"/>
  <c r="EH113" i="1"/>
  <c r="AI113" i="1"/>
  <c r="CF113" i="1"/>
  <c r="EC113" i="1"/>
  <c r="AH113" i="1"/>
  <c r="CE113" i="1"/>
  <c r="EB113" i="1"/>
  <c r="AC113" i="1"/>
  <c r="BZ113" i="1"/>
  <c r="DW113" i="1"/>
  <c r="AB113" i="1"/>
  <c r="BY113" i="1"/>
  <c r="DV113" i="1"/>
  <c r="W113" i="1"/>
  <c r="BT113" i="1"/>
  <c r="DQ113" i="1"/>
  <c r="V113" i="1"/>
  <c r="BS113" i="1"/>
  <c r="DP113" i="1"/>
  <c r="Q113" i="1"/>
  <c r="BN113" i="1"/>
  <c r="DK113" i="1"/>
  <c r="P113" i="1"/>
  <c r="BM113" i="1"/>
  <c r="DJ113" i="1"/>
  <c r="O113" i="1"/>
  <c r="BL113" i="1"/>
  <c r="DI113" i="1"/>
  <c r="N113" i="1"/>
  <c r="BK113" i="1"/>
  <c r="DH113" i="1"/>
  <c r="M113" i="1"/>
  <c r="BJ113" i="1"/>
  <c r="DG113" i="1"/>
  <c r="L113" i="1"/>
  <c r="BI113" i="1"/>
  <c r="DF113" i="1"/>
  <c r="K113" i="1"/>
  <c r="BH113" i="1"/>
  <c r="DE113" i="1"/>
  <c r="J113" i="1"/>
  <c r="BG113" i="1"/>
  <c r="DD113" i="1"/>
  <c r="I113" i="1"/>
  <c r="BF113" i="1"/>
  <c r="DC113" i="1"/>
  <c r="H113" i="1"/>
  <c r="BE113" i="1"/>
  <c r="DB113" i="1"/>
  <c r="G113" i="1"/>
  <c r="BD113" i="1"/>
  <c r="DA113" i="1"/>
  <c r="CZ113" i="1"/>
  <c r="CY113" i="1"/>
  <c r="CX113" i="1"/>
  <c r="CW113" i="1"/>
  <c r="CV113" i="1"/>
  <c r="CU113" i="1"/>
  <c r="CT113" i="1"/>
  <c r="CS113" i="1"/>
  <c r="CR113" i="1"/>
  <c r="CQ113" i="1"/>
  <c r="BC113" i="1"/>
  <c r="BB113" i="1"/>
  <c r="BA113" i="1"/>
  <c r="AZ113" i="1"/>
  <c r="AY113" i="1"/>
  <c r="AX113" i="1"/>
  <c r="AW113" i="1"/>
  <c r="AV113" i="1"/>
  <c r="AU113" i="1"/>
  <c r="AT113" i="1"/>
  <c r="AO112" i="1"/>
  <c r="CL112" i="1"/>
  <c r="EI112" i="1"/>
  <c r="AN112" i="1"/>
  <c r="CK112" i="1"/>
  <c r="EH112" i="1"/>
  <c r="AI112" i="1"/>
  <c r="CF112" i="1"/>
  <c r="EC112" i="1"/>
  <c r="AH112" i="1"/>
  <c r="CE112" i="1"/>
  <c r="EB112" i="1"/>
  <c r="AC112" i="1"/>
  <c r="BZ112" i="1"/>
  <c r="DW112" i="1"/>
  <c r="AB112" i="1"/>
  <c r="BY112" i="1"/>
  <c r="DV112" i="1"/>
  <c r="W112" i="1"/>
  <c r="BT112" i="1"/>
  <c r="DQ112" i="1"/>
  <c r="V112" i="1"/>
  <c r="BS112" i="1"/>
  <c r="DP112" i="1"/>
  <c r="Q112" i="1"/>
  <c r="BN112" i="1"/>
  <c r="DK112" i="1"/>
  <c r="P112" i="1"/>
  <c r="BM112" i="1"/>
  <c r="DJ112" i="1"/>
  <c r="O112" i="1"/>
  <c r="BL112" i="1"/>
  <c r="DI112" i="1"/>
  <c r="N112" i="1"/>
  <c r="BK112" i="1"/>
  <c r="DH112" i="1"/>
  <c r="M112" i="1"/>
  <c r="BJ112" i="1"/>
  <c r="DG112" i="1"/>
  <c r="L112" i="1"/>
  <c r="BI112" i="1"/>
  <c r="DF112" i="1"/>
  <c r="K112" i="1"/>
  <c r="BH112" i="1"/>
  <c r="DE112" i="1"/>
  <c r="J112" i="1"/>
  <c r="BG112" i="1"/>
  <c r="DD112" i="1"/>
  <c r="I112" i="1"/>
  <c r="BF112" i="1"/>
  <c r="DC112" i="1"/>
  <c r="H112" i="1"/>
  <c r="BE112" i="1"/>
  <c r="DB112" i="1"/>
  <c r="G112" i="1"/>
  <c r="BD112" i="1"/>
  <c r="DA112" i="1"/>
  <c r="CZ112" i="1"/>
  <c r="CY112" i="1"/>
  <c r="CX112" i="1"/>
  <c r="CW112" i="1"/>
  <c r="CV112" i="1"/>
  <c r="CU112" i="1"/>
  <c r="CT112" i="1"/>
  <c r="CS112" i="1"/>
  <c r="CR112" i="1"/>
  <c r="CQ112" i="1"/>
  <c r="BC112" i="1"/>
  <c r="BB112" i="1"/>
  <c r="BA112" i="1"/>
  <c r="AZ112" i="1"/>
  <c r="AY112" i="1"/>
  <c r="AX112" i="1"/>
  <c r="AW112" i="1"/>
  <c r="AV112" i="1"/>
  <c r="AU112" i="1"/>
  <c r="AT112" i="1"/>
  <c r="AO111" i="1"/>
  <c r="CL111" i="1"/>
  <c r="EI111" i="1"/>
  <c r="AN111" i="1"/>
  <c r="CK111" i="1"/>
  <c r="EH111" i="1"/>
  <c r="AI111" i="1"/>
  <c r="CF111" i="1"/>
  <c r="EC111" i="1"/>
  <c r="AH111" i="1"/>
  <c r="CE111" i="1"/>
  <c r="EB111" i="1"/>
  <c r="AC111" i="1"/>
  <c r="BZ111" i="1"/>
  <c r="DW111" i="1"/>
  <c r="AB111" i="1"/>
  <c r="BY111" i="1"/>
  <c r="DV111" i="1"/>
  <c r="W111" i="1"/>
  <c r="BT111" i="1"/>
  <c r="DQ111" i="1"/>
  <c r="V111" i="1"/>
  <c r="BS111" i="1"/>
  <c r="DP111" i="1"/>
  <c r="Q111" i="1"/>
  <c r="BN111" i="1"/>
  <c r="DK111" i="1"/>
  <c r="P111" i="1"/>
  <c r="BM111" i="1"/>
  <c r="DJ111" i="1"/>
  <c r="O111" i="1"/>
  <c r="BL111" i="1"/>
  <c r="DI111" i="1"/>
  <c r="N111" i="1"/>
  <c r="BK111" i="1"/>
  <c r="DH111" i="1"/>
  <c r="M111" i="1"/>
  <c r="BJ111" i="1"/>
  <c r="DG111" i="1"/>
  <c r="L111" i="1"/>
  <c r="BI111" i="1"/>
  <c r="DF111" i="1"/>
  <c r="K111" i="1"/>
  <c r="BH111" i="1"/>
  <c r="DE111" i="1"/>
  <c r="J111" i="1"/>
  <c r="BG111" i="1"/>
  <c r="DD111" i="1"/>
  <c r="I111" i="1"/>
  <c r="BF111" i="1"/>
  <c r="DC111" i="1"/>
  <c r="H111" i="1"/>
  <c r="BE111" i="1"/>
  <c r="DB111" i="1"/>
  <c r="G111" i="1"/>
  <c r="BD111" i="1"/>
  <c r="DA111" i="1"/>
  <c r="CZ111" i="1"/>
  <c r="CY111" i="1"/>
  <c r="CX111" i="1"/>
  <c r="CW111" i="1"/>
  <c r="CV111" i="1"/>
  <c r="CU111" i="1"/>
  <c r="CT111" i="1"/>
  <c r="CS111" i="1"/>
  <c r="CR111" i="1"/>
  <c r="CQ111" i="1"/>
  <c r="BC111" i="1"/>
  <c r="BB111" i="1"/>
  <c r="BA111" i="1"/>
  <c r="AZ111" i="1"/>
  <c r="AY111" i="1"/>
  <c r="AX111" i="1"/>
  <c r="AW111" i="1"/>
  <c r="AV111" i="1"/>
  <c r="AU111" i="1"/>
  <c r="AT111" i="1"/>
  <c r="AO110" i="1"/>
  <c r="CL110" i="1"/>
  <c r="EI110" i="1"/>
  <c r="AN110" i="1"/>
  <c r="CK110" i="1"/>
  <c r="EH110" i="1"/>
  <c r="AI110" i="1"/>
  <c r="CF110" i="1"/>
  <c r="EC110" i="1"/>
  <c r="AH110" i="1"/>
  <c r="CE110" i="1"/>
  <c r="EB110" i="1"/>
  <c r="AC110" i="1"/>
  <c r="BZ110" i="1"/>
  <c r="DW110" i="1"/>
  <c r="AB110" i="1"/>
  <c r="BY110" i="1"/>
  <c r="DV110" i="1"/>
  <c r="W110" i="1"/>
  <c r="BT110" i="1"/>
  <c r="DQ110" i="1"/>
  <c r="V110" i="1"/>
  <c r="BS110" i="1"/>
  <c r="DP110" i="1"/>
  <c r="Q110" i="1"/>
  <c r="BN110" i="1"/>
  <c r="DK110" i="1"/>
  <c r="P110" i="1"/>
  <c r="BM110" i="1"/>
  <c r="DJ110" i="1"/>
  <c r="O110" i="1"/>
  <c r="BL110" i="1"/>
  <c r="DI110" i="1"/>
  <c r="N110" i="1"/>
  <c r="BK110" i="1"/>
  <c r="DH110" i="1"/>
  <c r="M110" i="1"/>
  <c r="BJ110" i="1"/>
  <c r="DG110" i="1"/>
  <c r="L110" i="1"/>
  <c r="BI110" i="1"/>
  <c r="DF110" i="1"/>
  <c r="K110" i="1"/>
  <c r="BH110" i="1"/>
  <c r="DE110" i="1"/>
  <c r="J110" i="1"/>
  <c r="BG110" i="1"/>
  <c r="DD110" i="1"/>
  <c r="I110" i="1"/>
  <c r="BF110" i="1"/>
  <c r="DC110" i="1"/>
  <c r="H110" i="1"/>
  <c r="BE110" i="1"/>
  <c r="DB110" i="1"/>
  <c r="G110" i="1"/>
  <c r="BD110" i="1"/>
  <c r="DA110" i="1"/>
  <c r="CZ110" i="1"/>
  <c r="CY110" i="1"/>
  <c r="CX110" i="1"/>
  <c r="CW110" i="1"/>
  <c r="CV110" i="1"/>
  <c r="CU110" i="1"/>
  <c r="CT110" i="1"/>
  <c r="CS110" i="1"/>
  <c r="CR110" i="1"/>
  <c r="CQ110" i="1"/>
  <c r="BC110" i="1"/>
  <c r="BB110" i="1"/>
  <c r="BA110" i="1"/>
  <c r="AZ110" i="1"/>
  <c r="AY110" i="1"/>
  <c r="AX110" i="1"/>
  <c r="AW110" i="1"/>
  <c r="AV110" i="1"/>
  <c r="AU110" i="1"/>
  <c r="AT110" i="1"/>
  <c r="AO109" i="1"/>
  <c r="CL109" i="1"/>
  <c r="EI109" i="1"/>
  <c r="AN109" i="1"/>
  <c r="CK109" i="1"/>
  <c r="EH109" i="1"/>
  <c r="AI109" i="1"/>
  <c r="CF109" i="1"/>
  <c r="EC109" i="1"/>
  <c r="AH109" i="1"/>
  <c r="CE109" i="1"/>
  <c r="EB109" i="1"/>
  <c r="AC109" i="1"/>
  <c r="BZ109" i="1"/>
  <c r="DW109" i="1"/>
  <c r="AB109" i="1"/>
  <c r="BY109" i="1"/>
  <c r="DV109" i="1"/>
  <c r="W109" i="1"/>
  <c r="BT109" i="1"/>
  <c r="DQ109" i="1"/>
  <c r="V109" i="1"/>
  <c r="BS109" i="1"/>
  <c r="DP109" i="1"/>
  <c r="Q109" i="1"/>
  <c r="BN109" i="1"/>
  <c r="DK109" i="1"/>
  <c r="P109" i="1"/>
  <c r="BM109" i="1"/>
  <c r="DJ109" i="1"/>
  <c r="O109" i="1"/>
  <c r="BL109" i="1"/>
  <c r="DI109" i="1"/>
  <c r="N109" i="1"/>
  <c r="BK109" i="1"/>
  <c r="DH109" i="1"/>
  <c r="M109" i="1"/>
  <c r="BJ109" i="1"/>
  <c r="DG109" i="1"/>
  <c r="L109" i="1"/>
  <c r="BI109" i="1"/>
  <c r="DF109" i="1"/>
  <c r="K109" i="1"/>
  <c r="BH109" i="1"/>
  <c r="DE109" i="1"/>
  <c r="J109" i="1"/>
  <c r="BG109" i="1"/>
  <c r="DD109" i="1"/>
  <c r="I109" i="1"/>
  <c r="BF109" i="1"/>
  <c r="DC109" i="1"/>
  <c r="H109" i="1"/>
  <c r="BE109" i="1"/>
  <c r="DB109" i="1"/>
  <c r="G109" i="1"/>
  <c r="BD109" i="1"/>
  <c r="DA109" i="1"/>
  <c r="CZ109" i="1"/>
  <c r="CY109" i="1"/>
  <c r="CX109" i="1"/>
  <c r="CW109" i="1"/>
  <c r="CV109" i="1"/>
  <c r="CU109" i="1"/>
  <c r="CT109" i="1"/>
  <c r="CS109" i="1"/>
  <c r="CR109" i="1"/>
  <c r="CQ109" i="1"/>
  <c r="BC109" i="1"/>
  <c r="BB109" i="1"/>
  <c r="BA109" i="1"/>
  <c r="AZ109" i="1"/>
  <c r="AY109" i="1"/>
  <c r="AX109" i="1"/>
  <c r="AW109" i="1"/>
  <c r="AV109" i="1"/>
  <c r="AU109" i="1"/>
  <c r="AT109" i="1"/>
  <c r="AO108" i="1"/>
  <c r="CL108" i="1"/>
  <c r="EI108" i="1"/>
  <c r="AN108" i="1"/>
  <c r="CK108" i="1"/>
  <c r="EH108" i="1"/>
  <c r="AI108" i="1"/>
  <c r="CF108" i="1"/>
  <c r="EC108" i="1"/>
  <c r="AH108" i="1"/>
  <c r="CE108" i="1"/>
  <c r="EB108" i="1"/>
  <c r="AC108" i="1"/>
  <c r="BZ108" i="1"/>
  <c r="DW108" i="1"/>
  <c r="AB108" i="1"/>
  <c r="BY108" i="1"/>
  <c r="DV108" i="1"/>
  <c r="W108" i="1"/>
  <c r="BT108" i="1"/>
  <c r="DQ108" i="1"/>
  <c r="V108" i="1"/>
  <c r="BS108" i="1"/>
  <c r="DP108" i="1"/>
  <c r="Q108" i="1"/>
  <c r="BN108" i="1"/>
  <c r="DK108" i="1"/>
  <c r="P108" i="1"/>
  <c r="BM108" i="1"/>
  <c r="DJ108" i="1"/>
  <c r="O108" i="1"/>
  <c r="BL108" i="1"/>
  <c r="DI108" i="1"/>
  <c r="N108" i="1"/>
  <c r="BK108" i="1"/>
  <c r="DH108" i="1"/>
  <c r="M108" i="1"/>
  <c r="BJ108" i="1"/>
  <c r="DG108" i="1"/>
  <c r="L108" i="1"/>
  <c r="BI108" i="1"/>
  <c r="DF108" i="1"/>
  <c r="K108" i="1"/>
  <c r="BH108" i="1"/>
  <c r="DE108" i="1"/>
  <c r="J108" i="1"/>
  <c r="BG108" i="1"/>
  <c r="DD108" i="1"/>
  <c r="I108" i="1"/>
  <c r="BF108" i="1"/>
  <c r="DC108" i="1"/>
  <c r="H108" i="1"/>
  <c r="BE108" i="1"/>
  <c r="DB108" i="1"/>
  <c r="G108" i="1"/>
  <c r="BD108" i="1"/>
  <c r="DA108" i="1"/>
  <c r="CZ108" i="1"/>
  <c r="CY108" i="1"/>
  <c r="CX108" i="1"/>
  <c r="CW108" i="1"/>
  <c r="CV108" i="1"/>
  <c r="CU108" i="1"/>
  <c r="CT108" i="1"/>
  <c r="CS108" i="1"/>
  <c r="CR108" i="1"/>
  <c r="CQ108" i="1"/>
  <c r="BC108" i="1"/>
  <c r="BB108" i="1"/>
  <c r="BA108" i="1"/>
  <c r="AZ108" i="1"/>
  <c r="AY108" i="1"/>
  <c r="AX108" i="1"/>
  <c r="AW108" i="1"/>
  <c r="AV108" i="1"/>
  <c r="AU108" i="1"/>
  <c r="AT108" i="1"/>
  <c r="AO107" i="1"/>
  <c r="CL107" i="1"/>
  <c r="EI107" i="1"/>
  <c r="AN107" i="1"/>
  <c r="CK107" i="1"/>
  <c r="EH107" i="1"/>
  <c r="AI107" i="1"/>
  <c r="CF107" i="1"/>
  <c r="EC107" i="1"/>
  <c r="AH107" i="1"/>
  <c r="CE107" i="1"/>
  <c r="EB107" i="1"/>
  <c r="AC107" i="1"/>
  <c r="BZ107" i="1"/>
  <c r="DW107" i="1"/>
  <c r="AB107" i="1"/>
  <c r="BY107" i="1"/>
  <c r="DV107" i="1"/>
  <c r="W107" i="1"/>
  <c r="BT107" i="1"/>
  <c r="DQ107" i="1"/>
  <c r="V107" i="1"/>
  <c r="BS107" i="1"/>
  <c r="DP107" i="1"/>
  <c r="Q107" i="1"/>
  <c r="BN107" i="1"/>
  <c r="DK107" i="1"/>
  <c r="P107" i="1"/>
  <c r="BM107" i="1"/>
  <c r="DJ107" i="1"/>
  <c r="O107" i="1"/>
  <c r="BL107" i="1"/>
  <c r="DI107" i="1"/>
  <c r="N107" i="1"/>
  <c r="BK107" i="1"/>
  <c r="DH107" i="1"/>
  <c r="M107" i="1"/>
  <c r="BJ107" i="1"/>
  <c r="DG107" i="1"/>
  <c r="L107" i="1"/>
  <c r="BI107" i="1"/>
  <c r="DF107" i="1"/>
  <c r="K107" i="1"/>
  <c r="BH107" i="1"/>
  <c r="DE107" i="1"/>
  <c r="J107" i="1"/>
  <c r="BG107" i="1"/>
  <c r="DD107" i="1"/>
  <c r="I107" i="1"/>
  <c r="BF107" i="1"/>
  <c r="DC107" i="1"/>
  <c r="H107" i="1"/>
  <c r="BE107" i="1"/>
  <c r="DB107" i="1"/>
  <c r="G107" i="1"/>
  <c r="BD107" i="1"/>
  <c r="DA107" i="1"/>
  <c r="CZ107" i="1"/>
  <c r="CY107" i="1"/>
  <c r="CX107" i="1"/>
  <c r="CW107" i="1"/>
  <c r="CV107" i="1"/>
  <c r="CU107" i="1"/>
  <c r="CT107" i="1"/>
  <c r="CS107" i="1"/>
  <c r="CR107" i="1"/>
  <c r="CQ107" i="1"/>
  <c r="BC107" i="1"/>
  <c r="BB107" i="1"/>
  <c r="BA107" i="1"/>
  <c r="AZ107" i="1"/>
  <c r="AY107" i="1"/>
  <c r="AX107" i="1"/>
  <c r="AW107" i="1"/>
  <c r="AV107" i="1"/>
  <c r="AU107" i="1"/>
  <c r="AT107" i="1"/>
  <c r="AO106" i="1"/>
  <c r="CL106" i="1"/>
  <c r="EI106" i="1"/>
  <c r="AN106" i="1"/>
  <c r="CK106" i="1"/>
  <c r="EH106" i="1"/>
  <c r="AI106" i="1"/>
  <c r="CF106" i="1"/>
  <c r="EC106" i="1"/>
  <c r="AH106" i="1"/>
  <c r="CE106" i="1"/>
  <c r="EB106" i="1"/>
  <c r="AC106" i="1"/>
  <c r="BZ106" i="1"/>
  <c r="DW106" i="1"/>
  <c r="AB106" i="1"/>
  <c r="BY106" i="1"/>
  <c r="DV106" i="1"/>
  <c r="W106" i="1"/>
  <c r="BT106" i="1"/>
  <c r="DQ106" i="1"/>
  <c r="V106" i="1"/>
  <c r="BS106" i="1"/>
  <c r="DP106" i="1"/>
  <c r="Q106" i="1"/>
  <c r="BN106" i="1"/>
  <c r="DK106" i="1"/>
  <c r="P106" i="1"/>
  <c r="BM106" i="1"/>
  <c r="DJ106" i="1"/>
  <c r="O106" i="1"/>
  <c r="BL106" i="1"/>
  <c r="DI106" i="1"/>
  <c r="N106" i="1"/>
  <c r="BK106" i="1"/>
  <c r="DH106" i="1"/>
  <c r="M106" i="1"/>
  <c r="BJ106" i="1"/>
  <c r="DG106" i="1"/>
  <c r="L106" i="1"/>
  <c r="BI106" i="1"/>
  <c r="DF106" i="1"/>
  <c r="K106" i="1"/>
  <c r="BH106" i="1"/>
  <c r="DE106" i="1"/>
  <c r="J106" i="1"/>
  <c r="BG106" i="1"/>
  <c r="DD106" i="1"/>
  <c r="I106" i="1"/>
  <c r="BF106" i="1"/>
  <c r="DC106" i="1"/>
  <c r="H106" i="1"/>
  <c r="BE106" i="1"/>
  <c r="DB106" i="1"/>
  <c r="G106" i="1"/>
  <c r="BD106" i="1"/>
  <c r="DA106" i="1"/>
  <c r="CZ106" i="1"/>
  <c r="CY106" i="1"/>
  <c r="CX106" i="1"/>
  <c r="CW106" i="1"/>
  <c r="CV106" i="1"/>
  <c r="CU106" i="1"/>
  <c r="CT106" i="1"/>
  <c r="CS106" i="1"/>
  <c r="CR106" i="1"/>
  <c r="CQ106" i="1"/>
  <c r="BC106" i="1"/>
  <c r="BB106" i="1"/>
  <c r="BA106" i="1"/>
  <c r="AZ106" i="1"/>
  <c r="AY106" i="1"/>
  <c r="AX106" i="1"/>
  <c r="AW106" i="1"/>
  <c r="AV106" i="1"/>
  <c r="AU106" i="1"/>
  <c r="AT106" i="1"/>
  <c r="AO105" i="1"/>
  <c r="CL105" i="1"/>
  <c r="EI105" i="1"/>
  <c r="AN105" i="1"/>
  <c r="CK105" i="1"/>
  <c r="EH105" i="1"/>
  <c r="AI105" i="1"/>
  <c r="CF105" i="1"/>
  <c r="EC105" i="1"/>
  <c r="AH105" i="1"/>
  <c r="CE105" i="1"/>
  <c r="EB105" i="1"/>
  <c r="AC105" i="1"/>
  <c r="BZ105" i="1"/>
  <c r="DW105" i="1"/>
  <c r="AB105" i="1"/>
  <c r="BY105" i="1"/>
  <c r="DV105" i="1"/>
  <c r="W105" i="1"/>
  <c r="BT105" i="1"/>
  <c r="DQ105" i="1"/>
  <c r="V105" i="1"/>
  <c r="BS105" i="1"/>
  <c r="DP105" i="1"/>
  <c r="Q105" i="1"/>
  <c r="BN105" i="1"/>
  <c r="DK105" i="1"/>
  <c r="P105" i="1"/>
  <c r="BM105" i="1"/>
  <c r="DJ105" i="1"/>
  <c r="O105" i="1"/>
  <c r="BL105" i="1"/>
  <c r="DI105" i="1"/>
  <c r="N105" i="1"/>
  <c r="BK105" i="1"/>
  <c r="DH105" i="1"/>
  <c r="M105" i="1"/>
  <c r="BJ105" i="1"/>
  <c r="DG105" i="1"/>
  <c r="L105" i="1"/>
  <c r="BI105" i="1"/>
  <c r="DF105" i="1"/>
  <c r="K105" i="1"/>
  <c r="BH105" i="1"/>
  <c r="DE105" i="1"/>
  <c r="J105" i="1"/>
  <c r="BG105" i="1"/>
  <c r="DD105" i="1"/>
  <c r="I105" i="1"/>
  <c r="BF105" i="1"/>
  <c r="DC105" i="1"/>
  <c r="H105" i="1"/>
  <c r="BE105" i="1"/>
  <c r="DB105" i="1"/>
  <c r="G105" i="1"/>
  <c r="BD105" i="1"/>
  <c r="DA105" i="1"/>
  <c r="CZ105" i="1"/>
  <c r="CY105" i="1"/>
  <c r="CX105" i="1"/>
  <c r="CW105" i="1"/>
  <c r="CV105" i="1"/>
  <c r="CU105" i="1"/>
  <c r="CT105" i="1"/>
  <c r="CS105" i="1"/>
  <c r="CR105" i="1"/>
  <c r="CQ105" i="1"/>
  <c r="BC105" i="1"/>
  <c r="BB105" i="1"/>
  <c r="BA105" i="1"/>
  <c r="AZ105" i="1"/>
  <c r="AY105" i="1"/>
  <c r="AX105" i="1"/>
  <c r="AW105" i="1"/>
  <c r="AV105" i="1"/>
  <c r="AU105" i="1"/>
  <c r="AT105" i="1"/>
  <c r="AO104" i="1"/>
  <c r="CL104" i="1"/>
  <c r="EI104" i="1"/>
  <c r="AN104" i="1"/>
  <c r="CK104" i="1"/>
  <c r="EH104" i="1"/>
  <c r="AI104" i="1"/>
  <c r="CF104" i="1"/>
  <c r="EC104" i="1"/>
  <c r="AH104" i="1"/>
  <c r="CE104" i="1"/>
  <c r="EB104" i="1"/>
  <c r="AC104" i="1"/>
  <c r="BZ104" i="1"/>
  <c r="DW104" i="1"/>
  <c r="AB104" i="1"/>
  <c r="BY104" i="1"/>
  <c r="DV104" i="1"/>
  <c r="W104" i="1"/>
  <c r="BT104" i="1"/>
  <c r="DQ104" i="1"/>
  <c r="V104" i="1"/>
  <c r="BS104" i="1"/>
  <c r="DP104" i="1"/>
  <c r="Q104" i="1"/>
  <c r="BN104" i="1"/>
  <c r="DK104" i="1"/>
  <c r="P104" i="1"/>
  <c r="BM104" i="1"/>
  <c r="DJ104" i="1"/>
  <c r="O104" i="1"/>
  <c r="BL104" i="1"/>
  <c r="DI104" i="1"/>
  <c r="N104" i="1"/>
  <c r="BK104" i="1"/>
  <c r="DH104" i="1"/>
  <c r="M104" i="1"/>
  <c r="BJ104" i="1"/>
  <c r="DG104" i="1"/>
  <c r="L104" i="1"/>
  <c r="BI104" i="1"/>
  <c r="DF104" i="1"/>
  <c r="K104" i="1"/>
  <c r="BH104" i="1"/>
  <c r="DE104" i="1"/>
  <c r="J104" i="1"/>
  <c r="BG104" i="1"/>
  <c r="DD104" i="1"/>
  <c r="I104" i="1"/>
  <c r="BF104" i="1"/>
  <c r="DC104" i="1"/>
  <c r="H104" i="1"/>
  <c r="BE104" i="1"/>
  <c r="DB104" i="1"/>
  <c r="G104" i="1"/>
  <c r="BD104" i="1"/>
  <c r="DA104" i="1"/>
  <c r="CZ104" i="1"/>
  <c r="CY104" i="1"/>
  <c r="CX104" i="1"/>
  <c r="CW104" i="1"/>
  <c r="CV104" i="1"/>
  <c r="CU104" i="1"/>
  <c r="CT104" i="1"/>
  <c r="CS104" i="1"/>
  <c r="CR104" i="1"/>
  <c r="CQ104" i="1"/>
  <c r="BC104" i="1"/>
  <c r="BB104" i="1"/>
  <c r="BA104" i="1"/>
  <c r="AZ104" i="1"/>
  <c r="AY104" i="1"/>
  <c r="AX104" i="1"/>
  <c r="AW104" i="1"/>
  <c r="AV104" i="1"/>
  <c r="AU104" i="1"/>
  <c r="AT104" i="1"/>
  <c r="AO103" i="1"/>
  <c r="CL103" i="1"/>
  <c r="EI103" i="1"/>
  <c r="AN103" i="1"/>
  <c r="CK103" i="1"/>
  <c r="EH103" i="1"/>
  <c r="AI103" i="1"/>
  <c r="CF103" i="1"/>
  <c r="EC103" i="1"/>
  <c r="AH103" i="1"/>
  <c r="CE103" i="1"/>
  <c r="EB103" i="1"/>
  <c r="AC103" i="1"/>
  <c r="BZ103" i="1"/>
  <c r="DW103" i="1"/>
  <c r="AB103" i="1"/>
  <c r="BY103" i="1"/>
  <c r="DV103" i="1"/>
  <c r="W103" i="1"/>
  <c r="BT103" i="1"/>
  <c r="DQ103" i="1"/>
  <c r="V103" i="1"/>
  <c r="BS103" i="1"/>
  <c r="DP103" i="1"/>
  <c r="Q103" i="1"/>
  <c r="BN103" i="1"/>
  <c r="DK103" i="1"/>
  <c r="P103" i="1"/>
  <c r="BM103" i="1"/>
  <c r="DJ103" i="1"/>
  <c r="O103" i="1"/>
  <c r="BL103" i="1"/>
  <c r="DI103" i="1"/>
  <c r="N103" i="1"/>
  <c r="BK103" i="1"/>
  <c r="DH103" i="1"/>
  <c r="M103" i="1"/>
  <c r="BJ103" i="1"/>
  <c r="DG103" i="1"/>
  <c r="L103" i="1"/>
  <c r="BI103" i="1"/>
  <c r="DF103" i="1"/>
  <c r="K103" i="1"/>
  <c r="BH103" i="1"/>
  <c r="DE103" i="1"/>
  <c r="J103" i="1"/>
  <c r="BG103" i="1"/>
  <c r="DD103" i="1"/>
  <c r="I103" i="1"/>
  <c r="BF103" i="1"/>
  <c r="DC103" i="1"/>
  <c r="H103" i="1"/>
  <c r="BE103" i="1"/>
  <c r="DB103" i="1"/>
  <c r="G103" i="1"/>
  <c r="BD103" i="1"/>
  <c r="DA103" i="1"/>
  <c r="CZ103" i="1"/>
  <c r="CY103" i="1"/>
  <c r="CX103" i="1"/>
  <c r="CW103" i="1"/>
  <c r="CV103" i="1"/>
  <c r="CU103" i="1"/>
  <c r="CT103" i="1"/>
  <c r="CS103" i="1"/>
  <c r="CR103" i="1"/>
  <c r="CQ103" i="1"/>
  <c r="BC103" i="1"/>
  <c r="BB103" i="1"/>
  <c r="BA103" i="1"/>
  <c r="AZ103" i="1"/>
  <c r="AY103" i="1"/>
  <c r="AX103" i="1"/>
  <c r="AW103" i="1"/>
  <c r="AV103" i="1"/>
  <c r="AU103" i="1"/>
  <c r="AT103" i="1"/>
  <c r="AO102" i="1"/>
  <c r="CL102" i="1"/>
  <c r="EI102" i="1"/>
  <c r="AN102" i="1"/>
  <c r="CK102" i="1"/>
  <c r="EH102" i="1"/>
  <c r="AI102" i="1"/>
  <c r="CF102" i="1"/>
  <c r="EC102" i="1"/>
  <c r="AH102" i="1"/>
  <c r="CE102" i="1"/>
  <c r="EB102" i="1"/>
  <c r="AC102" i="1"/>
  <c r="BZ102" i="1"/>
  <c r="DW102" i="1"/>
  <c r="AB102" i="1"/>
  <c r="BY102" i="1"/>
  <c r="DV102" i="1"/>
  <c r="W102" i="1"/>
  <c r="BT102" i="1"/>
  <c r="DQ102" i="1"/>
  <c r="V102" i="1"/>
  <c r="BS102" i="1"/>
  <c r="DP102" i="1"/>
  <c r="Q102" i="1"/>
  <c r="BN102" i="1"/>
  <c r="DK102" i="1"/>
  <c r="P102" i="1"/>
  <c r="BM102" i="1"/>
  <c r="DJ102" i="1"/>
  <c r="O102" i="1"/>
  <c r="BL102" i="1"/>
  <c r="DI102" i="1"/>
  <c r="N102" i="1"/>
  <c r="BK102" i="1"/>
  <c r="DH102" i="1"/>
  <c r="M102" i="1"/>
  <c r="BJ102" i="1"/>
  <c r="DG102" i="1"/>
  <c r="L102" i="1"/>
  <c r="BI102" i="1"/>
  <c r="DF102" i="1"/>
  <c r="K102" i="1"/>
  <c r="BH102" i="1"/>
  <c r="DE102" i="1"/>
  <c r="J102" i="1"/>
  <c r="BG102" i="1"/>
  <c r="DD102" i="1"/>
  <c r="I102" i="1"/>
  <c r="BF102" i="1"/>
  <c r="DC102" i="1"/>
  <c r="H102" i="1"/>
  <c r="BE102" i="1"/>
  <c r="DB102" i="1"/>
  <c r="G102" i="1"/>
  <c r="BD102" i="1"/>
  <c r="DA102" i="1"/>
  <c r="CZ102" i="1"/>
  <c r="CY102" i="1"/>
  <c r="CX102" i="1"/>
  <c r="CW102" i="1"/>
  <c r="CV102" i="1"/>
  <c r="CU102" i="1"/>
  <c r="CT102" i="1"/>
  <c r="CS102" i="1"/>
  <c r="CR102" i="1"/>
  <c r="CQ102" i="1"/>
  <c r="BC102" i="1"/>
  <c r="BB102" i="1"/>
  <c r="BA102" i="1"/>
  <c r="AZ102" i="1"/>
  <c r="AY102" i="1"/>
  <c r="AX102" i="1"/>
  <c r="AW102" i="1"/>
  <c r="AV102" i="1"/>
  <c r="AU102" i="1"/>
  <c r="AT102" i="1"/>
  <c r="AO101" i="1"/>
  <c r="CL101" i="1"/>
  <c r="EI101" i="1"/>
  <c r="AN101" i="1"/>
  <c r="CK101" i="1"/>
  <c r="EH101" i="1"/>
  <c r="AI101" i="1"/>
  <c r="CF101" i="1"/>
  <c r="EC101" i="1"/>
  <c r="AH101" i="1"/>
  <c r="CE101" i="1"/>
  <c r="EB101" i="1"/>
  <c r="AC101" i="1"/>
  <c r="BZ101" i="1"/>
  <c r="DW101" i="1"/>
  <c r="AB101" i="1"/>
  <c r="BY101" i="1"/>
  <c r="DV101" i="1"/>
  <c r="W101" i="1"/>
  <c r="BT101" i="1"/>
  <c r="DQ101" i="1"/>
  <c r="V101" i="1"/>
  <c r="BS101" i="1"/>
  <c r="DP101" i="1"/>
  <c r="Q101" i="1"/>
  <c r="BN101" i="1"/>
  <c r="DK101" i="1"/>
  <c r="P101" i="1"/>
  <c r="BM101" i="1"/>
  <c r="DJ101" i="1"/>
  <c r="O101" i="1"/>
  <c r="BL101" i="1"/>
  <c r="DI101" i="1"/>
  <c r="N101" i="1"/>
  <c r="BK101" i="1"/>
  <c r="DH101" i="1"/>
  <c r="M101" i="1"/>
  <c r="BJ101" i="1"/>
  <c r="DG101" i="1"/>
  <c r="L101" i="1"/>
  <c r="BI101" i="1"/>
  <c r="DF101" i="1"/>
  <c r="K101" i="1"/>
  <c r="BH101" i="1"/>
  <c r="DE101" i="1"/>
  <c r="J101" i="1"/>
  <c r="BG101" i="1"/>
  <c r="DD101" i="1"/>
  <c r="I101" i="1"/>
  <c r="BF101" i="1"/>
  <c r="DC101" i="1"/>
  <c r="H101" i="1"/>
  <c r="BE101" i="1"/>
  <c r="DB101" i="1"/>
  <c r="G101" i="1"/>
  <c r="BD101" i="1"/>
  <c r="DA101" i="1"/>
  <c r="CZ101" i="1"/>
  <c r="CY101" i="1"/>
  <c r="CX101" i="1"/>
  <c r="CW101" i="1"/>
  <c r="CV101" i="1"/>
  <c r="CU101" i="1"/>
  <c r="CT101" i="1"/>
  <c r="CS101" i="1"/>
  <c r="CR101" i="1"/>
  <c r="CQ101" i="1"/>
  <c r="BC101" i="1"/>
  <c r="BB101" i="1"/>
  <c r="BA101" i="1"/>
  <c r="AZ101" i="1"/>
  <c r="AY101" i="1"/>
  <c r="AX101" i="1"/>
  <c r="AW101" i="1"/>
  <c r="AV101" i="1"/>
  <c r="AU101" i="1"/>
  <c r="AT101" i="1"/>
  <c r="AO100" i="1"/>
  <c r="CL100" i="1"/>
  <c r="EI100" i="1"/>
  <c r="AN100" i="1"/>
  <c r="CK100" i="1"/>
  <c r="EH100" i="1"/>
  <c r="AI100" i="1"/>
  <c r="CF100" i="1"/>
  <c r="EC100" i="1"/>
  <c r="AH100" i="1"/>
  <c r="CE100" i="1"/>
  <c r="EB100" i="1"/>
  <c r="AC100" i="1"/>
  <c r="BZ100" i="1"/>
  <c r="DW100" i="1"/>
  <c r="AB100" i="1"/>
  <c r="BY100" i="1"/>
  <c r="DV100" i="1"/>
  <c r="W100" i="1"/>
  <c r="BT100" i="1"/>
  <c r="DQ100" i="1"/>
  <c r="V100" i="1"/>
  <c r="BS100" i="1"/>
  <c r="DP100" i="1"/>
  <c r="Q100" i="1"/>
  <c r="BN100" i="1"/>
  <c r="DK100" i="1"/>
  <c r="P100" i="1"/>
  <c r="BM100" i="1"/>
  <c r="DJ100" i="1"/>
  <c r="O100" i="1"/>
  <c r="BL100" i="1"/>
  <c r="DI100" i="1"/>
  <c r="N100" i="1"/>
  <c r="BK100" i="1"/>
  <c r="DH100" i="1"/>
  <c r="M100" i="1"/>
  <c r="BJ100" i="1"/>
  <c r="DG100" i="1"/>
  <c r="L100" i="1"/>
  <c r="BI100" i="1"/>
  <c r="DF100" i="1"/>
  <c r="K100" i="1"/>
  <c r="BH100" i="1"/>
  <c r="DE100" i="1"/>
  <c r="J100" i="1"/>
  <c r="BG100" i="1"/>
  <c r="DD100" i="1"/>
  <c r="I100" i="1"/>
  <c r="BF100" i="1"/>
  <c r="DC100" i="1"/>
  <c r="H100" i="1"/>
  <c r="BE100" i="1"/>
  <c r="DB100" i="1"/>
  <c r="G100" i="1"/>
  <c r="BD100" i="1"/>
  <c r="DA100" i="1"/>
  <c r="CZ100" i="1"/>
  <c r="CY100" i="1"/>
  <c r="CX100" i="1"/>
  <c r="CW100" i="1"/>
  <c r="CV100" i="1"/>
  <c r="CU100" i="1"/>
  <c r="CT100" i="1"/>
  <c r="CS100" i="1"/>
  <c r="CR100" i="1"/>
  <c r="CQ100" i="1"/>
  <c r="BC100" i="1"/>
  <c r="BB100" i="1"/>
  <c r="BA100" i="1"/>
  <c r="AZ100" i="1"/>
  <c r="AY100" i="1"/>
  <c r="AX100" i="1"/>
  <c r="AW100" i="1"/>
  <c r="AV100" i="1"/>
  <c r="AU100" i="1"/>
  <c r="AT100" i="1"/>
  <c r="AO99" i="1"/>
  <c r="CL99" i="1"/>
  <c r="EI99" i="1"/>
  <c r="AN99" i="1"/>
  <c r="CK99" i="1"/>
  <c r="EH99" i="1"/>
  <c r="AI99" i="1"/>
  <c r="CF99" i="1"/>
  <c r="EC99" i="1"/>
  <c r="AH99" i="1"/>
  <c r="CE99" i="1"/>
  <c r="EB99" i="1"/>
  <c r="AC99" i="1"/>
  <c r="BZ99" i="1"/>
  <c r="DW99" i="1"/>
  <c r="AB99" i="1"/>
  <c r="BY99" i="1"/>
  <c r="DV99" i="1"/>
  <c r="W99" i="1"/>
  <c r="BT99" i="1"/>
  <c r="DQ99" i="1"/>
  <c r="V99" i="1"/>
  <c r="BS99" i="1"/>
  <c r="DP99" i="1"/>
  <c r="Q99" i="1"/>
  <c r="BN99" i="1"/>
  <c r="DK99" i="1"/>
  <c r="P99" i="1"/>
  <c r="BM99" i="1"/>
  <c r="DJ99" i="1"/>
  <c r="O99" i="1"/>
  <c r="BL99" i="1"/>
  <c r="DI99" i="1"/>
  <c r="N99" i="1"/>
  <c r="BK99" i="1"/>
  <c r="DH99" i="1"/>
  <c r="M99" i="1"/>
  <c r="BJ99" i="1"/>
  <c r="DG99" i="1"/>
  <c r="L99" i="1"/>
  <c r="BI99" i="1"/>
  <c r="DF99" i="1"/>
  <c r="K99" i="1"/>
  <c r="BH99" i="1"/>
  <c r="DE99" i="1"/>
  <c r="J99" i="1"/>
  <c r="BG99" i="1"/>
  <c r="DD99" i="1"/>
  <c r="I99" i="1"/>
  <c r="BF99" i="1"/>
  <c r="DC99" i="1"/>
  <c r="H99" i="1"/>
  <c r="BE99" i="1"/>
  <c r="DB99" i="1"/>
  <c r="G99" i="1"/>
  <c r="BD99" i="1"/>
  <c r="DA99" i="1"/>
  <c r="CZ99" i="1"/>
  <c r="CY99" i="1"/>
  <c r="CX99" i="1"/>
  <c r="CW99" i="1"/>
  <c r="CV99" i="1"/>
  <c r="CU99" i="1"/>
  <c r="CT99" i="1"/>
  <c r="CS99" i="1"/>
  <c r="CR99" i="1"/>
  <c r="CQ99" i="1"/>
  <c r="BC99" i="1"/>
  <c r="BB99" i="1"/>
  <c r="BA99" i="1"/>
  <c r="AZ99" i="1"/>
  <c r="AY99" i="1"/>
  <c r="AX99" i="1"/>
  <c r="AW99" i="1"/>
  <c r="AV99" i="1"/>
  <c r="AU99" i="1"/>
  <c r="AT99" i="1"/>
  <c r="AO98" i="1"/>
  <c r="CL98" i="1"/>
  <c r="EI98" i="1"/>
  <c r="AN98" i="1"/>
  <c r="CK98" i="1"/>
  <c r="EH98" i="1"/>
  <c r="AI98" i="1"/>
  <c r="CF98" i="1"/>
  <c r="EC98" i="1"/>
  <c r="AH98" i="1"/>
  <c r="CE98" i="1"/>
  <c r="EB98" i="1"/>
  <c r="AC98" i="1"/>
  <c r="BZ98" i="1"/>
  <c r="DW98" i="1"/>
  <c r="AB98" i="1"/>
  <c r="BY98" i="1"/>
  <c r="DV98" i="1"/>
  <c r="W98" i="1"/>
  <c r="BT98" i="1"/>
  <c r="DQ98" i="1"/>
  <c r="V98" i="1"/>
  <c r="BS98" i="1"/>
  <c r="DP98" i="1"/>
  <c r="Q98" i="1"/>
  <c r="BN98" i="1"/>
  <c r="DK98" i="1"/>
  <c r="P98" i="1"/>
  <c r="BM98" i="1"/>
  <c r="DJ98" i="1"/>
  <c r="O98" i="1"/>
  <c r="BL98" i="1"/>
  <c r="DI98" i="1"/>
  <c r="N98" i="1"/>
  <c r="BK98" i="1"/>
  <c r="DH98" i="1"/>
  <c r="M98" i="1"/>
  <c r="BJ98" i="1"/>
  <c r="DG98" i="1"/>
  <c r="L98" i="1"/>
  <c r="BI98" i="1"/>
  <c r="DF98" i="1"/>
  <c r="K98" i="1"/>
  <c r="BH98" i="1"/>
  <c r="DE98" i="1"/>
  <c r="J98" i="1"/>
  <c r="BG98" i="1"/>
  <c r="DD98" i="1"/>
  <c r="I98" i="1"/>
  <c r="BF98" i="1"/>
  <c r="DC98" i="1"/>
  <c r="H98" i="1"/>
  <c r="BE98" i="1"/>
  <c r="DB98" i="1"/>
  <c r="G98" i="1"/>
  <c r="BD98" i="1"/>
  <c r="DA98" i="1"/>
  <c r="CZ98" i="1"/>
  <c r="CY98" i="1"/>
  <c r="CX98" i="1"/>
  <c r="CW98" i="1"/>
  <c r="CV98" i="1"/>
  <c r="CU98" i="1"/>
  <c r="CT98" i="1"/>
  <c r="CS98" i="1"/>
  <c r="CR98" i="1"/>
  <c r="CQ98" i="1"/>
  <c r="BC98" i="1"/>
  <c r="BB98" i="1"/>
  <c r="BA98" i="1"/>
  <c r="AZ98" i="1"/>
  <c r="AY98" i="1"/>
  <c r="AX98" i="1"/>
  <c r="AW98" i="1"/>
  <c r="AV98" i="1"/>
  <c r="AU98" i="1"/>
  <c r="AT98" i="1"/>
  <c r="AO97" i="1"/>
  <c r="CL97" i="1"/>
  <c r="EI97" i="1"/>
  <c r="AN97" i="1"/>
  <c r="CK97" i="1"/>
  <c r="EH97" i="1"/>
  <c r="AI97" i="1"/>
  <c r="CF97" i="1"/>
  <c r="EC97" i="1"/>
  <c r="AH97" i="1"/>
  <c r="CE97" i="1"/>
  <c r="EB97" i="1"/>
  <c r="AC97" i="1"/>
  <c r="BZ97" i="1"/>
  <c r="DW97" i="1"/>
  <c r="AB97" i="1"/>
  <c r="BY97" i="1"/>
  <c r="DV97" i="1"/>
  <c r="W97" i="1"/>
  <c r="BT97" i="1"/>
  <c r="DQ97" i="1"/>
  <c r="V97" i="1"/>
  <c r="BS97" i="1"/>
  <c r="DP97" i="1"/>
  <c r="Q97" i="1"/>
  <c r="BN97" i="1"/>
  <c r="DK97" i="1"/>
  <c r="P97" i="1"/>
  <c r="BM97" i="1"/>
  <c r="DJ97" i="1"/>
  <c r="O97" i="1"/>
  <c r="BL97" i="1"/>
  <c r="DI97" i="1"/>
  <c r="N97" i="1"/>
  <c r="BK97" i="1"/>
  <c r="DH97" i="1"/>
  <c r="M97" i="1"/>
  <c r="BJ97" i="1"/>
  <c r="DG97" i="1"/>
  <c r="L97" i="1"/>
  <c r="BI97" i="1"/>
  <c r="DF97" i="1"/>
  <c r="K97" i="1"/>
  <c r="BH97" i="1"/>
  <c r="DE97" i="1"/>
  <c r="J97" i="1"/>
  <c r="BG97" i="1"/>
  <c r="DD97" i="1"/>
  <c r="I97" i="1"/>
  <c r="BF97" i="1"/>
  <c r="DC97" i="1"/>
  <c r="H97" i="1"/>
  <c r="BE97" i="1"/>
  <c r="DB97" i="1"/>
  <c r="G97" i="1"/>
  <c r="BD97" i="1"/>
  <c r="DA97" i="1"/>
  <c r="CZ97" i="1"/>
  <c r="CY97" i="1"/>
  <c r="CX97" i="1"/>
  <c r="CW97" i="1"/>
  <c r="CV97" i="1"/>
  <c r="CU97" i="1"/>
  <c r="CT97" i="1"/>
  <c r="CS97" i="1"/>
  <c r="CR97" i="1"/>
  <c r="CQ97" i="1"/>
  <c r="BC97" i="1"/>
  <c r="BB97" i="1"/>
  <c r="BA97" i="1"/>
  <c r="AZ97" i="1"/>
  <c r="AY97" i="1"/>
  <c r="AX97" i="1"/>
  <c r="AW97" i="1"/>
  <c r="AV97" i="1"/>
  <c r="AU97" i="1"/>
  <c r="AT97" i="1"/>
  <c r="AO96" i="1"/>
  <c r="CL96" i="1"/>
  <c r="EI96" i="1"/>
  <c r="AN96" i="1"/>
  <c r="CK96" i="1"/>
  <c r="EH96" i="1"/>
  <c r="AI96" i="1"/>
  <c r="CF96" i="1"/>
  <c r="EC96" i="1"/>
  <c r="AH96" i="1"/>
  <c r="CE96" i="1"/>
  <c r="EB96" i="1"/>
  <c r="AC96" i="1"/>
  <c r="BZ96" i="1"/>
  <c r="DW96" i="1"/>
  <c r="AB96" i="1"/>
  <c r="BY96" i="1"/>
  <c r="DV96" i="1"/>
  <c r="W96" i="1"/>
  <c r="BT96" i="1"/>
  <c r="DQ96" i="1"/>
  <c r="V96" i="1"/>
  <c r="BS96" i="1"/>
  <c r="DP96" i="1"/>
  <c r="Q96" i="1"/>
  <c r="BN96" i="1"/>
  <c r="DK96" i="1"/>
  <c r="P96" i="1"/>
  <c r="BM96" i="1"/>
  <c r="DJ96" i="1"/>
  <c r="O96" i="1"/>
  <c r="BL96" i="1"/>
  <c r="DI96" i="1"/>
  <c r="N96" i="1"/>
  <c r="BK96" i="1"/>
  <c r="DH96" i="1"/>
  <c r="M96" i="1"/>
  <c r="BJ96" i="1"/>
  <c r="DG96" i="1"/>
  <c r="L96" i="1"/>
  <c r="BI96" i="1"/>
  <c r="DF96" i="1"/>
  <c r="K96" i="1"/>
  <c r="BH96" i="1"/>
  <c r="DE96" i="1"/>
  <c r="J96" i="1"/>
  <c r="BG96" i="1"/>
  <c r="DD96" i="1"/>
  <c r="I96" i="1"/>
  <c r="BF96" i="1"/>
  <c r="DC96" i="1"/>
  <c r="H96" i="1"/>
  <c r="BE96" i="1"/>
  <c r="DB96" i="1"/>
  <c r="G96" i="1"/>
  <c r="BD96" i="1"/>
  <c r="DA96" i="1"/>
  <c r="CZ96" i="1"/>
  <c r="CY96" i="1"/>
  <c r="CX96" i="1"/>
  <c r="CW96" i="1"/>
  <c r="CV96" i="1"/>
  <c r="CU96" i="1"/>
  <c r="CT96" i="1"/>
  <c r="CS96" i="1"/>
  <c r="CR96" i="1"/>
  <c r="CQ96" i="1"/>
  <c r="BC96" i="1"/>
  <c r="BB96" i="1"/>
  <c r="BA96" i="1"/>
  <c r="AZ96" i="1"/>
  <c r="AY96" i="1"/>
  <c r="AX96" i="1"/>
  <c r="AW96" i="1"/>
  <c r="AV96" i="1"/>
  <c r="AU96" i="1"/>
  <c r="AT96" i="1"/>
  <c r="AO95" i="1"/>
  <c r="CL95" i="1"/>
  <c r="EI95" i="1"/>
  <c r="AN95" i="1"/>
  <c r="CK95" i="1"/>
  <c r="EH95" i="1"/>
  <c r="AI95" i="1"/>
  <c r="CF95" i="1"/>
  <c r="EC95" i="1"/>
  <c r="AH95" i="1"/>
  <c r="CE95" i="1"/>
  <c r="EB95" i="1"/>
  <c r="AC95" i="1"/>
  <c r="BZ95" i="1"/>
  <c r="DW95" i="1"/>
  <c r="AB95" i="1"/>
  <c r="BY95" i="1"/>
  <c r="DV95" i="1"/>
  <c r="W95" i="1"/>
  <c r="BT95" i="1"/>
  <c r="DQ95" i="1"/>
  <c r="V95" i="1"/>
  <c r="BS95" i="1"/>
  <c r="DP95" i="1"/>
  <c r="Q95" i="1"/>
  <c r="BN95" i="1"/>
  <c r="DK95" i="1"/>
  <c r="P95" i="1"/>
  <c r="BM95" i="1"/>
  <c r="DJ95" i="1"/>
  <c r="O95" i="1"/>
  <c r="BL95" i="1"/>
  <c r="DI95" i="1"/>
  <c r="N95" i="1"/>
  <c r="BK95" i="1"/>
  <c r="DH95" i="1"/>
  <c r="M95" i="1"/>
  <c r="BJ95" i="1"/>
  <c r="DG95" i="1"/>
  <c r="L95" i="1"/>
  <c r="BI95" i="1"/>
  <c r="DF95" i="1"/>
  <c r="K95" i="1"/>
  <c r="BH95" i="1"/>
  <c r="DE95" i="1"/>
  <c r="J95" i="1"/>
  <c r="BG95" i="1"/>
  <c r="DD95" i="1"/>
  <c r="I95" i="1"/>
  <c r="BF95" i="1"/>
  <c r="DC95" i="1"/>
  <c r="H95" i="1"/>
  <c r="BE95" i="1"/>
  <c r="DB95" i="1"/>
  <c r="G95" i="1"/>
  <c r="BD95" i="1"/>
  <c r="DA95" i="1"/>
  <c r="CZ95" i="1"/>
  <c r="CY95" i="1"/>
  <c r="CX95" i="1"/>
  <c r="CW95" i="1"/>
  <c r="CV95" i="1"/>
  <c r="CU95" i="1"/>
  <c r="CT95" i="1"/>
  <c r="CS95" i="1"/>
  <c r="CR95" i="1"/>
  <c r="CQ95" i="1"/>
  <c r="BC95" i="1"/>
  <c r="BB95" i="1"/>
  <c r="BA95" i="1"/>
  <c r="AZ95" i="1"/>
  <c r="AY95" i="1"/>
  <c r="AX95" i="1"/>
  <c r="AW95" i="1"/>
  <c r="AV95" i="1"/>
  <c r="AU95" i="1"/>
  <c r="AT95" i="1"/>
  <c r="AO94" i="1"/>
  <c r="CL94" i="1"/>
  <c r="EI94" i="1"/>
  <c r="AN94" i="1"/>
  <c r="CK94" i="1"/>
  <c r="EH94" i="1"/>
  <c r="AI94" i="1"/>
  <c r="CF94" i="1"/>
  <c r="EC94" i="1"/>
  <c r="AH94" i="1"/>
  <c r="CE94" i="1"/>
  <c r="EB94" i="1"/>
  <c r="AC94" i="1"/>
  <c r="BZ94" i="1"/>
  <c r="DW94" i="1"/>
  <c r="AB94" i="1"/>
  <c r="BY94" i="1"/>
  <c r="DV94" i="1"/>
  <c r="W94" i="1"/>
  <c r="BT94" i="1"/>
  <c r="DQ94" i="1"/>
  <c r="V94" i="1"/>
  <c r="BS94" i="1"/>
  <c r="DP94" i="1"/>
  <c r="Q94" i="1"/>
  <c r="BN94" i="1"/>
  <c r="DK94" i="1"/>
  <c r="P94" i="1"/>
  <c r="BM94" i="1"/>
  <c r="DJ94" i="1"/>
  <c r="O94" i="1"/>
  <c r="BL94" i="1"/>
  <c r="DI94" i="1"/>
  <c r="N94" i="1"/>
  <c r="BK94" i="1"/>
  <c r="DH94" i="1"/>
  <c r="M94" i="1"/>
  <c r="BJ94" i="1"/>
  <c r="DG94" i="1"/>
  <c r="L94" i="1"/>
  <c r="BI94" i="1"/>
  <c r="DF94" i="1"/>
  <c r="K94" i="1"/>
  <c r="BH94" i="1"/>
  <c r="DE94" i="1"/>
  <c r="J94" i="1"/>
  <c r="BG94" i="1"/>
  <c r="DD94" i="1"/>
  <c r="I94" i="1"/>
  <c r="BF94" i="1"/>
  <c r="DC94" i="1"/>
  <c r="H94" i="1"/>
  <c r="BE94" i="1"/>
  <c r="DB94" i="1"/>
  <c r="G94" i="1"/>
  <c r="BD94" i="1"/>
  <c r="DA94" i="1"/>
  <c r="CZ94" i="1"/>
  <c r="CY94" i="1"/>
  <c r="CX94" i="1"/>
  <c r="CW94" i="1"/>
  <c r="CV94" i="1"/>
  <c r="CU94" i="1"/>
  <c r="CT94" i="1"/>
  <c r="CS94" i="1"/>
  <c r="CR94" i="1"/>
  <c r="CQ94" i="1"/>
  <c r="BC94" i="1"/>
  <c r="BB94" i="1"/>
  <c r="BA94" i="1"/>
  <c r="AZ94" i="1"/>
  <c r="AY94" i="1"/>
  <c r="AX94" i="1"/>
  <c r="AW94" i="1"/>
  <c r="AV94" i="1"/>
  <c r="AU94" i="1"/>
  <c r="AT94" i="1"/>
  <c r="AO93" i="1"/>
  <c r="CL93" i="1"/>
  <c r="EI93" i="1"/>
  <c r="AN93" i="1"/>
  <c r="CK93" i="1"/>
  <c r="EH93" i="1"/>
  <c r="AI93" i="1"/>
  <c r="CF93" i="1"/>
  <c r="EC93" i="1"/>
  <c r="AH93" i="1"/>
  <c r="CE93" i="1"/>
  <c r="EB93" i="1"/>
  <c r="AC93" i="1"/>
  <c r="BZ93" i="1"/>
  <c r="DW93" i="1"/>
  <c r="AB93" i="1"/>
  <c r="BY93" i="1"/>
  <c r="DV93" i="1"/>
  <c r="W93" i="1"/>
  <c r="BT93" i="1"/>
  <c r="DQ93" i="1"/>
  <c r="V93" i="1"/>
  <c r="BS93" i="1"/>
  <c r="DP93" i="1"/>
  <c r="Q93" i="1"/>
  <c r="BN93" i="1"/>
  <c r="DK93" i="1"/>
  <c r="P93" i="1"/>
  <c r="BM93" i="1"/>
  <c r="DJ93" i="1"/>
  <c r="O93" i="1"/>
  <c r="BL93" i="1"/>
  <c r="DI93" i="1"/>
  <c r="N93" i="1"/>
  <c r="BK93" i="1"/>
  <c r="DH93" i="1"/>
  <c r="M93" i="1"/>
  <c r="BJ93" i="1"/>
  <c r="DG93" i="1"/>
  <c r="L93" i="1"/>
  <c r="BI93" i="1"/>
  <c r="DF93" i="1"/>
  <c r="K93" i="1"/>
  <c r="BH93" i="1"/>
  <c r="DE93" i="1"/>
  <c r="J93" i="1"/>
  <c r="BG93" i="1"/>
  <c r="DD93" i="1"/>
  <c r="I93" i="1"/>
  <c r="BF93" i="1"/>
  <c r="DC93" i="1"/>
  <c r="H93" i="1"/>
  <c r="BE93" i="1"/>
  <c r="DB93" i="1"/>
  <c r="G93" i="1"/>
  <c r="BD93" i="1"/>
  <c r="DA93" i="1"/>
  <c r="CZ93" i="1"/>
  <c r="CY93" i="1"/>
  <c r="CX93" i="1"/>
  <c r="CW93" i="1"/>
  <c r="CV93" i="1"/>
  <c r="CU93" i="1"/>
  <c r="CT93" i="1"/>
  <c r="CS93" i="1"/>
  <c r="CR93" i="1"/>
  <c r="CQ93" i="1"/>
  <c r="BC93" i="1"/>
  <c r="BB93" i="1"/>
  <c r="BA93" i="1"/>
  <c r="AZ93" i="1"/>
  <c r="AY93" i="1"/>
  <c r="AX93" i="1"/>
  <c r="AW93" i="1"/>
  <c r="AV93" i="1"/>
  <c r="AU93" i="1"/>
  <c r="AT93" i="1"/>
  <c r="AO92" i="1"/>
  <c r="CL92" i="1"/>
  <c r="EI92" i="1"/>
  <c r="AN92" i="1"/>
  <c r="CK92" i="1"/>
  <c r="EH92" i="1"/>
  <c r="AI92" i="1"/>
  <c r="CF92" i="1"/>
  <c r="EC92" i="1"/>
  <c r="AH92" i="1"/>
  <c r="CE92" i="1"/>
  <c r="EB92" i="1"/>
  <c r="AC92" i="1"/>
  <c r="BZ92" i="1"/>
  <c r="DW92" i="1"/>
  <c r="AB92" i="1"/>
  <c r="BY92" i="1"/>
  <c r="DV92" i="1"/>
  <c r="W92" i="1"/>
  <c r="BT92" i="1"/>
  <c r="DQ92" i="1"/>
  <c r="V92" i="1"/>
  <c r="BS92" i="1"/>
  <c r="DP92" i="1"/>
  <c r="Q92" i="1"/>
  <c r="BN92" i="1"/>
  <c r="DK92" i="1"/>
  <c r="P92" i="1"/>
  <c r="BM92" i="1"/>
  <c r="DJ92" i="1"/>
  <c r="O92" i="1"/>
  <c r="BL92" i="1"/>
  <c r="DI92" i="1"/>
  <c r="N92" i="1"/>
  <c r="BK92" i="1"/>
  <c r="DH92" i="1"/>
  <c r="M92" i="1"/>
  <c r="BJ92" i="1"/>
  <c r="DG92" i="1"/>
  <c r="L92" i="1"/>
  <c r="BI92" i="1"/>
  <c r="DF92" i="1"/>
  <c r="K92" i="1"/>
  <c r="BH92" i="1"/>
  <c r="DE92" i="1"/>
  <c r="J92" i="1"/>
  <c r="BG92" i="1"/>
  <c r="DD92" i="1"/>
  <c r="I92" i="1"/>
  <c r="BF92" i="1"/>
  <c r="DC92" i="1"/>
  <c r="H92" i="1"/>
  <c r="BE92" i="1"/>
  <c r="DB92" i="1"/>
  <c r="G92" i="1"/>
  <c r="BD92" i="1"/>
  <c r="DA92" i="1"/>
  <c r="CZ92" i="1"/>
  <c r="CY92" i="1"/>
  <c r="CX92" i="1"/>
  <c r="CW92" i="1"/>
  <c r="CV92" i="1"/>
  <c r="CU92" i="1"/>
  <c r="CT92" i="1"/>
  <c r="CS92" i="1"/>
  <c r="CR92" i="1"/>
  <c r="CQ92" i="1"/>
  <c r="BC92" i="1"/>
  <c r="BB92" i="1"/>
  <c r="BA92" i="1"/>
  <c r="AZ92" i="1"/>
  <c r="AY92" i="1"/>
  <c r="AX92" i="1"/>
  <c r="AW92" i="1"/>
  <c r="AV92" i="1"/>
  <c r="AU92" i="1"/>
  <c r="AT92" i="1"/>
  <c r="AO91" i="1"/>
  <c r="CL91" i="1"/>
  <c r="EI91" i="1"/>
  <c r="AN91" i="1"/>
  <c r="CK91" i="1"/>
  <c r="EH91" i="1"/>
  <c r="AI91" i="1"/>
  <c r="CF91" i="1"/>
  <c r="EC91" i="1"/>
  <c r="AH91" i="1"/>
  <c r="CE91" i="1"/>
  <c r="EB91" i="1"/>
  <c r="AC91" i="1"/>
  <c r="BZ91" i="1"/>
  <c r="DW91" i="1"/>
  <c r="AB91" i="1"/>
  <c r="BY91" i="1"/>
  <c r="DV91" i="1"/>
  <c r="W91" i="1"/>
  <c r="BT91" i="1"/>
  <c r="DQ91" i="1"/>
  <c r="V91" i="1"/>
  <c r="BS91" i="1"/>
  <c r="DP91" i="1"/>
  <c r="Q91" i="1"/>
  <c r="BN91" i="1"/>
  <c r="DK91" i="1"/>
  <c r="P91" i="1"/>
  <c r="BM91" i="1"/>
  <c r="DJ91" i="1"/>
  <c r="O91" i="1"/>
  <c r="BL91" i="1"/>
  <c r="DI91" i="1"/>
  <c r="N91" i="1"/>
  <c r="BK91" i="1"/>
  <c r="DH91" i="1"/>
  <c r="M91" i="1"/>
  <c r="BJ91" i="1"/>
  <c r="DG91" i="1"/>
  <c r="L91" i="1"/>
  <c r="BI91" i="1"/>
  <c r="DF91" i="1"/>
  <c r="K91" i="1"/>
  <c r="BH91" i="1"/>
  <c r="DE91" i="1"/>
  <c r="J91" i="1"/>
  <c r="BG91" i="1"/>
  <c r="DD91" i="1"/>
  <c r="I91" i="1"/>
  <c r="BF91" i="1"/>
  <c r="DC91" i="1"/>
  <c r="H91" i="1"/>
  <c r="BE91" i="1"/>
  <c r="DB91" i="1"/>
  <c r="G91" i="1"/>
  <c r="BD91" i="1"/>
  <c r="DA91" i="1"/>
  <c r="CZ91" i="1"/>
  <c r="CY91" i="1"/>
  <c r="CX91" i="1"/>
  <c r="CW91" i="1"/>
  <c r="CV91" i="1"/>
  <c r="CU91" i="1"/>
  <c r="CT91" i="1"/>
  <c r="CS91" i="1"/>
  <c r="CR91" i="1"/>
  <c r="CQ91" i="1"/>
  <c r="BC91" i="1"/>
  <c r="BB91" i="1"/>
  <c r="BA91" i="1"/>
  <c r="AZ91" i="1"/>
  <c r="AY91" i="1"/>
  <c r="AX91" i="1"/>
  <c r="AW91" i="1"/>
  <c r="AV91" i="1"/>
  <c r="AU91" i="1"/>
  <c r="AT91" i="1"/>
  <c r="AO90" i="1"/>
  <c r="CL90" i="1"/>
  <c r="EI90" i="1"/>
  <c r="AN90" i="1"/>
  <c r="CK90" i="1"/>
  <c r="EH90" i="1"/>
  <c r="AI90" i="1"/>
  <c r="CF90" i="1"/>
  <c r="EC90" i="1"/>
  <c r="AH90" i="1"/>
  <c r="CE90" i="1"/>
  <c r="EB90" i="1"/>
  <c r="AC90" i="1"/>
  <c r="BZ90" i="1"/>
  <c r="DW90" i="1"/>
  <c r="AB90" i="1"/>
  <c r="BY90" i="1"/>
  <c r="DV90" i="1"/>
  <c r="W90" i="1"/>
  <c r="BT90" i="1"/>
  <c r="DQ90" i="1"/>
  <c r="V90" i="1"/>
  <c r="BS90" i="1"/>
  <c r="DP90" i="1"/>
  <c r="Q90" i="1"/>
  <c r="BN90" i="1"/>
  <c r="DK90" i="1"/>
  <c r="P90" i="1"/>
  <c r="BM90" i="1"/>
  <c r="DJ90" i="1"/>
  <c r="O90" i="1"/>
  <c r="BL90" i="1"/>
  <c r="DI90" i="1"/>
  <c r="N90" i="1"/>
  <c r="BK90" i="1"/>
  <c r="DH90" i="1"/>
  <c r="M90" i="1"/>
  <c r="BJ90" i="1"/>
  <c r="DG90" i="1"/>
  <c r="L90" i="1"/>
  <c r="BI90" i="1"/>
  <c r="DF90" i="1"/>
  <c r="K90" i="1"/>
  <c r="BH90" i="1"/>
  <c r="DE90" i="1"/>
  <c r="J90" i="1"/>
  <c r="BG90" i="1"/>
  <c r="DD90" i="1"/>
  <c r="I90" i="1"/>
  <c r="BF90" i="1"/>
  <c r="DC90" i="1"/>
  <c r="H90" i="1"/>
  <c r="BE90" i="1"/>
  <c r="DB90" i="1"/>
  <c r="G90" i="1"/>
  <c r="BD90" i="1"/>
  <c r="DA90" i="1"/>
  <c r="CZ90" i="1"/>
  <c r="CY90" i="1"/>
  <c r="CX90" i="1"/>
  <c r="CW90" i="1"/>
  <c r="CV90" i="1"/>
  <c r="CU90" i="1"/>
  <c r="CT90" i="1"/>
  <c r="CS90" i="1"/>
  <c r="CR90" i="1"/>
  <c r="CQ90" i="1"/>
  <c r="BC90" i="1"/>
  <c r="BB90" i="1"/>
  <c r="BA90" i="1"/>
  <c r="AZ90" i="1"/>
  <c r="AY90" i="1"/>
  <c r="AX90" i="1"/>
  <c r="AW90" i="1"/>
  <c r="AV90" i="1"/>
  <c r="AU90" i="1"/>
  <c r="AT90" i="1"/>
  <c r="AO89" i="1"/>
  <c r="CL89" i="1"/>
  <c r="EI89" i="1"/>
  <c r="AN89" i="1"/>
  <c r="CK89" i="1"/>
  <c r="EH89" i="1"/>
  <c r="AI89" i="1"/>
  <c r="CF89" i="1"/>
  <c r="EC89" i="1"/>
  <c r="AH89" i="1"/>
  <c r="CE89" i="1"/>
  <c r="EB89" i="1"/>
  <c r="AC89" i="1"/>
  <c r="BZ89" i="1"/>
  <c r="DW89" i="1"/>
  <c r="AB89" i="1"/>
  <c r="BY89" i="1"/>
  <c r="DV89" i="1"/>
  <c r="W89" i="1"/>
  <c r="BT89" i="1"/>
  <c r="DQ89" i="1"/>
  <c r="V89" i="1"/>
  <c r="BS89" i="1"/>
  <c r="DP89" i="1"/>
  <c r="Q89" i="1"/>
  <c r="BN89" i="1"/>
  <c r="DK89" i="1"/>
  <c r="P89" i="1"/>
  <c r="BM89" i="1"/>
  <c r="DJ89" i="1"/>
  <c r="O89" i="1"/>
  <c r="BL89" i="1"/>
  <c r="DI89" i="1"/>
  <c r="N89" i="1"/>
  <c r="BK89" i="1"/>
  <c r="DH89" i="1"/>
  <c r="M89" i="1"/>
  <c r="BJ89" i="1"/>
  <c r="DG89" i="1"/>
  <c r="L89" i="1"/>
  <c r="BI89" i="1"/>
  <c r="DF89" i="1"/>
  <c r="K89" i="1"/>
  <c r="BH89" i="1"/>
  <c r="DE89" i="1"/>
  <c r="J89" i="1"/>
  <c r="BG89" i="1"/>
  <c r="DD89" i="1"/>
  <c r="I89" i="1"/>
  <c r="BF89" i="1"/>
  <c r="DC89" i="1"/>
  <c r="H89" i="1"/>
  <c r="BE89" i="1"/>
  <c r="DB89" i="1"/>
  <c r="G89" i="1"/>
  <c r="BD89" i="1"/>
  <c r="DA89" i="1"/>
  <c r="CZ89" i="1"/>
  <c r="CY89" i="1"/>
  <c r="CX89" i="1"/>
  <c r="CW89" i="1"/>
  <c r="CV89" i="1"/>
  <c r="CU89" i="1"/>
  <c r="CT89" i="1"/>
  <c r="CS89" i="1"/>
  <c r="CR89" i="1"/>
  <c r="CQ89" i="1"/>
  <c r="BC89" i="1"/>
  <c r="BB89" i="1"/>
  <c r="BA89" i="1"/>
  <c r="AZ89" i="1"/>
  <c r="AY89" i="1"/>
  <c r="AX89" i="1"/>
  <c r="AW89" i="1"/>
  <c r="AV89" i="1"/>
  <c r="AU89" i="1"/>
  <c r="AT89" i="1"/>
  <c r="AO88" i="1"/>
  <c r="CL88" i="1"/>
  <c r="EI88" i="1"/>
  <c r="AN88" i="1"/>
  <c r="CK88" i="1"/>
  <c r="EH88" i="1"/>
  <c r="AI88" i="1"/>
  <c r="CF88" i="1"/>
  <c r="EC88" i="1"/>
  <c r="AH88" i="1"/>
  <c r="CE88" i="1"/>
  <c r="EB88" i="1"/>
  <c r="AC88" i="1"/>
  <c r="BZ88" i="1"/>
  <c r="DW88" i="1"/>
  <c r="AB88" i="1"/>
  <c r="BY88" i="1"/>
  <c r="DV88" i="1"/>
  <c r="W88" i="1"/>
  <c r="BT88" i="1"/>
  <c r="DQ88" i="1"/>
  <c r="V88" i="1"/>
  <c r="BS88" i="1"/>
  <c r="DP88" i="1"/>
  <c r="Q88" i="1"/>
  <c r="BN88" i="1"/>
  <c r="DK88" i="1"/>
  <c r="P88" i="1"/>
  <c r="BM88" i="1"/>
  <c r="DJ88" i="1"/>
  <c r="O88" i="1"/>
  <c r="BL88" i="1"/>
  <c r="DI88" i="1"/>
  <c r="N88" i="1"/>
  <c r="BK88" i="1"/>
  <c r="DH88" i="1"/>
  <c r="M88" i="1"/>
  <c r="BJ88" i="1"/>
  <c r="DG88" i="1"/>
  <c r="L88" i="1"/>
  <c r="BI88" i="1"/>
  <c r="DF88" i="1"/>
  <c r="K88" i="1"/>
  <c r="BH88" i="1"/>
  <c r="DE88" i="1"/>
  <c r="J88" i="1"/>
  <c r="BG88" i="1"/>
  <c r="DD88" i="1"/>
  <c r="I88" i="1"/>
  <c r="BF88" i="1"/>
  <c r="DC88" i="1"/>
  <c r="H88" i="1"/>
  <c r="BE88" i="1"/>
  <c r="DB88" i="1"/>
  <c r="G88" i="1"/>
  <c r="BD88" i="1"/>
  <c r="DA88" i="1"/>
  <c r="CZ88" i="1"/>
  <c r="CY88" i="1"/>
  <c r="CX88" i="1"/>
  <c r="CW88" i="1"/>
  <c r="CV88" i="1"/>
  <c r="CU88" i="1"/>
  <c r="CT88" i="1"/>
  <c r="CS88" i="1"/>
  <c r="CR88" i="1"/>
  <c r="CQ88" i="1"/>
  <c r="BC88" i="1"/>
  <c r="BB88" i="1"/>
  <c r="BA88" i="1"/>
  <c r="AZ88" i="1"/>
  <c r="AY88" i="1"/>
  <c r="AX88" i="1"/>
  <c r="AW88" i="1"/>
  <c r="AV88" i="1"/>
  <c r="AU88" i="1"/>
  <c r="AT88" i="1"/>
  <c r="AO87" i="1"/>
  <c r="CL87" i="1"/>
  <c r="EI87" i="1"/>
  <c r="AN87" i="1"/>
  <c r="CK87" i="1"/>
  <c r="EH87" i="1"/>
  <c r="AI87" i="1"/>
  <c r="CF87" i="1"/>
  <c r="EC87" i="1"/>
  <c r="AH87" i="1"/>
  <c r="CE87" i="1"/>
  <c r="EB87" i="1"/>
  <c r="AC87" i="1"/>
  <c r="BZ87" i="1"/>
  <c r="DW87" i="1"/>
  <c r="AB87" i="1"/>
  <c r="BY87" i="1"/>
  <c r="DV87" i="1"/>
  <c r="W87" i="1"/>
  <c r="BT87" i="1"/>
  <c r="DQ87" i="1"/>
  <c r="V87" i="1"/>
  <c r="BS87" i="1"/>
  <c r="DP87" i="1"/>
  <c r="Q87" i="1"/>
  <c r="BN87" i="1"/>
  <c r="DK87" i="1"/>
  <c r="P87" i="1"/>
  <c r="BM87" i="1"/>
  <c r="DJ87" i="1"/>
  <c r="O87" i="1"/>
  <c r="BL87" i="1"/>
  <c r="DI87" i="1"/>
  <c r="N87" i="1"/>
  <c r="BK87" i="1"/>
  <c r="DH87" i="1"/>
  <c r="M87" i="1"/>
  <c r="BJ87" i="1"/>
  <c r="DG87" i="1"/>
  <c r="L87" i="1"/>
  <c r="BI87" i="1"/>
  <c r="DF87" i="1"/>
  <c r="K87" i="1"/>
  <c r="BH87" i="1"/>
  <c r="DE87" i="1"/>
  <c r="J87" i="1"/>
  <c r="BG87" i="1"/>
  <c r="DD87" i="1"/>
  <c r="I87" i="1"/>
  <c r="BF87" i="1"/>
  <c r="DC87" i="1"/>
  <c r="H87" i="1"/>
  <c r="BE87" i="1"/>
  <c r="DB87" i="1"/>
  <c r="G87" i="1"/>
  <c r="BD87" i="1"/>
  <c r="DA87" i="1"/>
  <c r="CZ87" i="1"/>
  <c r="CY87" i="1"/>
  <c r="CX87" i="1"/>
  <c r="CW87" i="1"/>
  <c r="CV87" i="1"/>
  <c r="CU87" i="1"/>
  <c r="CT87" i="1"/>
  <c r="CS87" i="1"/>
  <c r="CR87" i="1"/>
  <c r="CQ87" i="1"/>
  <c r="BC87" i="1"/>
  <c r="BB87" i="1"/>
  <c r="BA87" i="1"/>
  <c r="AZ87" i="1"/>
  <c r="AY87" i="1"/>
  <c r="AX87" i="1"/>
  <c r="AW87" i="1"/>
  <c r="AV87" i="1"/>
  <c r="AU87" i="1"/>
  <c r="AT87" i="1"/>
  <c r="AO86" i="1"/>
  <c r="CL86" i="1"/>
  <c r="EI86" i="1"/>
  <c r="AN86" i="1"/>
  <c r="CK86" i="1"/>
  <c r="EH86" i="1"/>
  <c r="AI86" i="1"/>
  <c r="CF86" i="1"/>
  <c r="EC86" i="1"/>
  <c r="AH86" i="1"/>
  <c r="CE86" i="1"/>
  <c r="EB86" i="1"/>
  <c r="AC86" i="1"/>
  <c r="BZ86" i="1"/>
  <c r="DW86" i="1"/>
  <c r="AB86" i="1"/>
  <c r="BY86" i="1"/>
  <c r="DV86" i="1"/>
  <c r="W86" i="1"/>
  <c r="BT86" i="1"/>
  <c r="DQ86" i="1"/>
  <c r="V86" i="1"/>
  <c r="BS86" i="1"/>
  <c r="DP86" i="1"/>
  <c r="Q86" i="1"/>
  <c r="BN86" i="1"/>
  <c r="DK86" i="1"/>
  <c r="P86" i="1"/>
  <c r="BM86" i="1"/>
  <c r="DJ86" i="1"/>
  <c r="O86" i="1"/>
  <c r="BL86" i="1"/>
  <c r="DI86" i="1"/>
  <c r="N86" i="1"/>
  <c r="BK86" i="1"/>
  <c r="DH86" i="1"/>
  <c r="M86" i="1"/>
  <c r="BJ86" i="1"/>
  <c r="DG86" i="1"/>
  <c r="L86" i="1"/>
  <c r="BI86" i="1"/>
  <c r="DF86" i="1"/>
  <c r="K86" i="1"/>
  <c r="BH86" i="1"/>
  <c r="DE86" i="1"/>
  <c r="J86" i="1"/>
  <c r="BG86" i="1"/>
  <c r="DD86" i="1"/>
  <c r="I86" i="1"/>
  <c r="BF86" i="1"/>
  <c r="DC86" i="1"/>
  <c r="H86" i="1"/>
  <c r="BE86" i="1"/>
  <c r="DB86" i="1"/>
  <c r="G86" i="1"/>
  <c r="BD86" i="1"/>
  <c r="DA86" i="1"/>
  <c r="CZ86" i="1"/>
  <c r="CY86" i="1"/>
  <c r="CX86" i="1"/>
  <c r="CW86" i="1"/>
  <c r="CV86" i="1"/>
  <c r="CU86" i="1"/>
  <c r="CT86" i="1"/>
  <c r="CS86" i="1"/>
  <c r="CR86" i="1"/>
  <c r="CQ86" i="1"/>
  <c r="BC86" i="1"/>
  <c r="BB86" i="1"/>
  <c r="BA86" i="1"/>
  <c r="AZ86" i="1"/>
  <c r="AY86" i="1"/>
  <c r="AX86" i="1"/>
  <c r="AW86" i="1"/>
  <c r="AV86" i="1"/>
  <c r="AU86" i="1"/>
  <c r="AT86" i="1"/>
  <c r="AO85" i="1"/>
  <c r="CL85" i="1"/>
  <c r="EI85" i="1"/>
  <c r="AN85" i="1"/>
  <c r="CK85" i="1"/>
  <c r="EH85" i="1"/>
  <c r="AI85" i="1"/>
  <c r="CF85" i="1"/>
  <c r="EC85" i="1"/>
  <c r="AH85" i="1"/>
  <c r="CE85" i="1"/>
  <c r="EB85" i="1"/>
  <c r="AC85" i="1"/>
  <c r="BZ85" i="1"/>
  <c r="DW85" i="1"/>
  <c r="AB85" i="1"/>
  <c r="BY85" i="1"/>
  <c r="DV85" i="1"/>
  <c r="W85" i="1"/>
  <c r="BT85" i="1"/>
  <c r="DQ85" i="1"/>
  <c r="V85" i="1"/>
  <c r="BS85" i="1"/>
  <c r="DP85" i="1"/>
  <c r="Q85" i="1"/>
  <c r="BN85" i="1"/>
  <c r="DK85" i="1"/>
  <c r="P85" i="1"/>
  <c r="BM85" i="1"/>
  <c r="DJ85" i="1"/>
  <c r="O85" i="1"/>
  <c r="BL85" i="1"/>
  <c r="DI85" i="1"/>
  <c r="N85" i="1"/>
  <c r="BK85" i="1"/>
  <c r="DH85" i="1"/>
  <c r="M85" i="1"/>
  <c r="BJ85" i="1"/>
  <c r="DG85" i="1"/>
  <c r="L85" i="1"/>
  <c r="BI85" i="1"/>
  <c r="DF85" i="1"/>
  <c r="K85" i="1"/>
  <c r="BH85" i="1"/>
  <c r="DE85" i="1"/>
  <c r="J85" i="1"/>
  <c r="BG85" i="1"/>
  <c r="DD85" i="1"/>
  <c r="I85" i="1"/>
  <c r="BF85" i="1"/>
  <c r="DC85" i="1"/>
  <c r="H85" i="1"/>
  <c r="BE85" i="1"/>
  <c r="DB85" i="1"/>
  <c r="G85" i="1"/>
  <c r="BD85" i="1"/>
  <c r="DA85" i="1"/>
  <c r="CZ85" i="1"/>
  <c r="CY85" i="1"/>
  <c r="CX85" i="1"/>
  <c r="CW85" i="1"/>
  <c r="CV85" i="1"/>
  <c r="CU85" i="1"/>
  <c r="CT85" i="1"/>
  <c r="CS85" i="1"/>
  <c r="CR85" i="1"/>
  <c r="CQ85" i="1"/>
  <c r="BC85" i="1"/>
  <c r="BB85" i="1"/>
  <c r="BA85" i="1"/>
  <c r="AZ85" i="1"/>
  <c r="AY85" i="1"/>
  <c r="AX85" i="1"/>
  <c r="AW85" i="1"/>
  <c r="AV85" i="1"/>
  <c r="AU85" i="1"/>
  <c r="AT85" i="1"/>
  <c r="AO84" i="1"/>
  <c r="CL84" i="1"/>
  <c r="EI84" i="1"/>
  <c r="AN84" i="1"/>
  <c r="CK84" i="1"/>
  <c r="EH84" i="1"/>
  <c r="AI84" i="1"/>
  <c r="CF84" i="1"/>
  <c r="EC84" i="1"/>
  <c r="AH84" i="1"/>
  <c r="CE84" i="1"/>
  <c r="EB84" i="1"/>
  <c r="AC84" i="1"/>
  <c r="BZ84" i="1"/>
  <c r="DW84" i="1"/>
  <c r="AB84" i="1"/>
  <c r="BY84" i="1"/>
  <c r="DV84" i="1"/>
  <c r="W84" i="1"/>
  <c r="BT84" i="1"/>
  <c r="DQ84" i="1"/>
  <c r="V84" i="1"/>
  <c r="BS84" i="1"/>
  <c r="DP84" i="1"/>
  <c r="Q84" i="1"/>
  <c r="BN84" i="1"/>
  <c r="DK84" i="1"/>
  <c r="P84" i="1"/>
  <c r="BM84" i="1"/>
  <c r="DJ84" i="1"/>
  <c r="O84" i="1"/>
  <c r="BL84" i="1"/>
  <c r="DI84" i="1"/>
  <c r="N84" i="1"/>
  <c r="BK84" i="1"/>
  <c r="DH84" i="1"/>
  <c r="M84" i="1"/>
  <c r="BJ84" i="1"/>
  <c r="DG84" i="1"/>
  <c r="L84" i="1"/>
  <c r="BI84" i="1"/>
  <c r="DF84" i="1"/>
  <c r="K84" i="1"/>
  <c r="BH84" i="1"/>
  <c r="DE84" i="1"/>
  <c r="J84" i="1"/>
  <c r="BG84" i="1"/>
  <c r="DD84" i="1"/>
  <c r="I84" i="1"/>
  <c r="BF84" i="1"/>
  <c r="DC84" i="1"/>
  <c r="H84" i="1"/>
  <c r="BE84" i="1"/>
  <c r="DB84" i="1"/>
  <c r="G84" i="1"/>
  <c r="BD84" i="1"/>
  <c r="DA84" i="1"/>
  <c r="CZ84" i="1"/>
  <c r="CY84" i="1"/>
  <c r="CX84" i="1"/>
  <c r="CW84" i="1"/>
  <c r="CV84" i="1"/>
  <c r="CU84" i="1"/>
  <c r="CT84" i="1"/>
  <c r="CS84" i="1"/>
  <c r="CR84" i="1"/>
  <c r="CQ84" i="1"/>
  <c r="BC84" i="1"/>
  <c r="BB84" i="1"/>
  <c r="BA84" i="1"/>
  <c r="AZ84" i="1"/>
  <c r="AY84" i="1"/>
  <c r="AX84" i="1"/>
  <c r="AW84" i="1"/>
  <c r="AV84" i="1"/>
  <c r="AU84" i="1"/>
  <c r="AT84" i="1"/>
  <c r="AO83" i="1"/>
  <c r="CL83" i="1"/>
  <c r="EI83" i="1"/>
  <c r="AN83" i="1"/>
  <c r="CK83" i="1"/>
  <c r="EH83" i="1"/>
  <c r="AI83" i="1"/>
  <c r="CF83" i="1"/>
  <c r="EC83" i="1"/>
  <c r="AH83" i="1"/>
  <c r="CE83" i="1"/>
  <c r="EB83" i="1"/>
  <c r="AC83" i="1"/>
  <c r="BZ83" i="1"/>
  <c r="DW83" i="1"/>
  <c r="AB83" i="1"/>
  <c r="BY83" i="1"/>
  <c r="DV83" i="1"/>
  <c r="W83" i="1"/>
  <c r="BT83" i="1"/>
  <c r="DQ83" i="1"/>
  <c r="V83" i="1"/>
  <c r="BS83" i="1"/>
  <c r="DP83" i="1"/>
  <c r="Q83" i="1"/>
  <c r="BN83" i="1"/>
  <c r="DK83" i="1"/>
  <c r="P83" i="1"/>
  <c r="BM83" i="1"/>
  <c r="DJ83" i="1"/>
  <c r="O83" i="1"/>
  <c r="BL83" i="1"/>
  <c r="DI83" i="1"/>
  <c r="N83" i="1"/>
  <c r="BK83" i="1"/>
  <c r="DH83" i="1"/>
  <c r="M83" i="1"/>
  <c r="BJ83" i="1"/>
  <c r="DG83" i="1"/>
  <c r="L83" i="1"/>
  <c r="BI83" i="1"/>
  <c r="DF83" i="1"/>
  <c r="K83" i="1"/>
  <c r="BH83" i="1"/>
  <c r="DE83" i="1"/>
  <c r="J83" i="1"/>
  <c r="BG83" i="1"/>
  <c r="DD83" i="1"/>
  <c r="I83" i="1"/>
  <c r="BF83" i="1"/>
  <c r="DC83" i="1"/>
  <c r="H83" i="1"/>
  <c r="BE83" i="1"/>
  <c r="DB83" i="1"/>
  <c r="G83" i="1"/>
  <c r="BD83" i="1"/>
  <c r="DA83" i="1"/>
  <c r="CZ83" i="1"/>
  <c r="CY83" i="1"/>
  <c r="CX83" i="1"/>
  <c r="CW83" i="1"/>
  <c r="CV83" i="1"/>
  <c r="CU83" i="1"/>
  <c r="CT83" i="1"/>
  <c r="CS83" i="1"/>
  <c r="CR83" i="1"/>
  <c r="CQ83" i="1"/>
  <c r="BC83" i="1"/>
  <c r="BB83" i="1"/>
  <c r="BA83" i="1"/>
  <c r="AZ83" i="1"/>
  <c r="AY83" i="1"/>
  <c r="AX83" i="1"/>
  <c r="AW83" i="1"/>
  <c r="AV83" i="1"/>
  <c r="AU83" i="1"/>
  <c r="AT83" i="1"/>
  <c r="AO82" i="1"/>
  <c r="CL82" i="1"/>
  <c r="EI82" i="1"/>
  <c r="AN82" i="1"/>
  <c r="CK82" i="1"/>
  <c r="EH82" i="1"/>
  <c r="AI82" i="1"/>
  <c r="CF82" i="1"/>
  <c r="EC82" i="1"/>
  <c r="AH82" i="1"/>
  <c r="CE82" i="1"/>
  <c r="EB82" i="1"/>
  <c r="AC82" i="1"/>
  <c r="BZ82" i="1"/>
  <c r="DW82" i="1"/>
  <c r="AB82" i="1"/>
  <c r="BY82" i="1"/>
  <c r="DV82" i="1"/>
  <c r="W82" i="1"/>
  <c r="BT82" i="1"/>
  <c r="DQ82" i="1"/>
  <c r="V82" i="1"/>
  <c r="BS82" i="1"/>
  <c r="DP82" i="1"/>
  <c r="Q82" i="1"/>
  <c r="BN82" i="1"/>
  <c r="DK82" i="1"/>
  <c r="P82" i="1"/>
  <c r="BM82" i="1"/>
  <c r="DJ82" i="1"/>
  <c r="O82" i="1"/>
  <c r="BL82" i="1"/>
  <c r="DI82" i="1"/>
  <c r="N82" i="1"/>
  <c r="BK82" i="1"/>
  <c r="DH82" i="1"/>
  <c r="M82" i="1"/>
  <c r="BJ82" i="1"/>
  <c r="DG82" i="1"/>
  <c r="L82" i="1"/>
  <c r="BI82" i="1"/>
  <c r="DF82" i="1"/>
  <c r="K82" i="1"/>
  <c r="BH82" i="1"/>
  <c r="DE82" i="1"/>
  <c r="J82" i="1"/>
  <c r="BG82" i="1"/>
  <c r="DD82" i="1"/>
  <c r="I82" i="1"/>
  <c r="BF82" i="1"/>
  <c r="DC82" i="1"/>
  <c r="H82" i="1"/>
  <c r="BE82" i="1"/>
  <c r="DB82" i="1"/>
  <c r="G82" i="1"/>
  <c r="BD82" i="1"/>
  <c r="DA82" i="1"/>
  <c r="CZ82" i="1"/>
  <c r="CY82" i="1"/>
  <c r="CX82" i="1"/>
  <c r="CW82" i="1"/>
  <c r="CV82" i="1"/>
  <c r="CU82" i="1"/>
  <c r="CT82" i="1"/>
  <c r="CS82" i="1"/>
  <c r="CR82" i="1"/>
  <c r="CQ82" i="1"/>
  <c r="BC82" i="1"/>
  <c r="BB82" i="1"/>
  <c r="BA82" i="1"/>
  <c r="AZ82" i="1"/>
  <c r="AY82" i="1"/>
  <c r="AX82" i="1"/>
  <c r="AW82" i="1"/>
  <c r="AV82" i="1"/>
  <c r="AU82" i="1"/>
  <c r="AT82" i="1"/>
  <c r="AO81" i="1"/>
  <c r="CL81" i="1"/>
  <c r="EI81" i="1"/>
  <c r="AN81" i="1"/>
  <c r="CK81" i="1"/>
  <c r="EH81" i="1"/>
  <c r="AI81" i="1"/>
  <c r="CF81" i="1"/>
  <c r="EC81" i="1"/>
  <c r="AH81" i="1"/>
  <c r="CE81" i="1"/>
  <c r="EB81" i="1"/>
  <c r="AC81" i="1"/>
  <c r="BZ81" i="1"/>
  <c r="DW81" i="1"/>
  <c r="AB81" i="1"/>
  <c r="BY81" i="1"/>
  <c r="DV81" i="1"/>
  <c r="W81" i="1"/>
  <c r="BT81" i="1"/>
  <c r="DQ81" i="1"/>
  <c r="V81" i="1"/>
  <c r="BS81" i="1"/>
  <c r="DP81" i="1"/>
  <c r="Q81" i="1"/>
  <c r="BN81" i="1"/>
  <c r="DK81" i="1"/>
  <c r="P81" i="1"/>
  <c r="BM81" i="1"/>
  <c r="DJ81" i="1"/>
  <c r="O81" i="1"/>
  <c r="BL81" i="1"/>
  <c r="DI81" i="1"/>
  <c r="N81" i="1"/>
  <c r="BK81" i="1"/>
  <c r="DH81" i="1"/>
  <c r="M81" i="1"/>
  <c r="BJ81" i="1"/>
  <c r="DG81" i="1"/>
  <c r="L81" i="1"/>
  <c r="BI81" i="1"/>
  <c r="DF81" i="1"/>
  <c r="K81" i="1"/>
  <c r="BH81" i="1"/>
  <c r="DE81" i="1"/>
  <c r="J81" i="1"/>
  <c r="BG81" i="1"/>
  <c r="DD81" i="1"/>
  <c r="I81" i="1"/>
  <c r="BF81" i="1"/>
  <c r="DC81" i="1"/>
  <c r="H81" i="1"/>
  <c r="BE81" i="1"/>
  <c r="DB81" i="1"/>
  <c r="G81" i="1"/>
  <c r="BD81" i="1"/>
  <c r="DA81" i="1"/>
  <c r="CZ81" i="1"/>
  <c r="CY81" i="1"/>
  <c r="CX81" i="1"/>
  <c r="CW81" i="1"/>
  <c r="CV81" i="1"/>
  <c r="CU81" i="1"/>
  <c r="CT81" i="1"/>
  <c r="CS81" i="1"/>
  <c r="CR81" i="1"/>
  <c r="CQ81" i="1"/>
  <c r="BC81" i="1"/>
  <c r="BB81" i="1"/>
  <c r="BA81" i="1"/>
  <c r="AZ81" i="1"/>
  <c r="AY81" i="1"/>
  <c r="AX81" i="1"/>
  <c r="AW81" i="1"/>
  <c r="AV81" i="1"/>
  <c r="AU81" i="1"/>
  <c r="AT81" i="1"/>
  <c r="AO80" i="1"/>
  <c r="CL80" i="1"/>
  <c r="EI80" i="1"/>
  <c r="AN80" i="1"/>
  <c r="CK80" i="1"/>
  <c r="EH80" i="1"/>
  <c r="AI80" i="1"/>
  <c r="CF80" i="1"/>
  <c r="EC80" i="1"/>
  <c r="AH80" i="1"/>
  <c r="CE80" i="1"/>
  <c r="EB80" i="1"/>
  <c r="AC80" i="1"/>
  <c r="BZ80" i="1"/>
  <c r="DW80" i="1"/>
  <c r="AB80" i="1"/>
  <c r="BY80" i="1"/>
  <c r="DV80" i="1"/>
  <c r="W80" i="1"/>
  <c r="BT80" i="1"/>
  <c r="DQ80" i="1"/>
  <c r="V80" i="1"/>
  <c r="BS80" i="1"/>
  <c r="DP80" i="1"/>
  <c r="Q80" i="1"/>
  <c r="BN80" i="1"/>
  <c r="DK80" i="1"/>
  <c r="P80" i="1"/>
  <c r="BM80" i="1"/>
  <c r="DJ80" i="1"/>
  <c r="O80" i="1"/>
  <c r="BL80" i="1"/>
  <c r="DI80" i="1"/>
  <c r="N80" i="1"/>
  <c r="BK80" i="1"/>
  <c r="DH80" i="1"/>
  <c r="M80" i="1"/>
  <c r="BJ80" i="1"/>
  <c r="DG80" i="1"/>
  <c r="L80" i="1"/>
  <c r="BI80" i="1"/>
  <c r="DF80" i="1"/>
  <c r="K80" i="1"/>
  <c r="BH80" i="1"/>
  <c r="DE80" i="1"/>
  <c r="J80" i="1"/>
  <c r="BG80" i="1"/>
  <c r="DD80" i="1"/>
  <c r="I80" i="1"/>
  <c r="BF80" i="1"/>
  <c r="DC80" i="1"/>
  <c r="H80" i="1"/>
  <c r="BE80" i="1"/>
  <c r="DB80" i="1"/>
  <c r="G80" i="1"/>
  <c r="BD80" i="1"/>
  <c r="DA80" i="1"/>
  <c r="CZ80" i="1"/>
  <c r="CY80" i="1"/>
  <c r="CX80" i="1"/>
  <c r="CW80" i="1"/>
  <c r="CV80" i="1"/>
  <c r="CU80" i="1"/>
  <c r="CT80" i="1"/>
  <c r="CS80" i="1"/>
  <c r="CR80" i="1"/>
  <c r="CQ80" i="1"/>
  <c r="BC80" i="1"/>
  <c r="BB80" i="1"/>
  <c r="BA80" i="1"/>
  <c r="AZ80" i="1"/>
  <c r="AY80" i="1"/>
  <c r="AX80" i="1"/>
  <c r="AW80" i="1"/>
  <c r="AV80" i="1"/>
  <c r="AU80" i="1"/>
  <c r="AT80" i="1"/>
  <c r="AO79" i="1"/>
  <c r="CL79" i="1"/>
  <c r="EI79" i="1"/>
  <c r="AN79" i="1"/>
  <c r="CK79" i="1"/>
  <c r="EH79" i="1"/>
  <c r="AI79" i="1"/>
  <c r="CF79" i="1"/>
  <c r="EC79" i="1"/>
  <c r="AH79" i="1"/>
  <c r="CE79" i="1"/>
  <c r="EB79" i="1"/>
  <c r="AC79" i="1"/>
  <c r="BZ79" i="1"/>
  <c r="DW79" i="1"/>
  <c r="AB79" i="1"/>
  <c r="BY79" i="1"/>
  <c r="DV79" i="1"/>
  <c r="W79" i="1"/>
  <c r="BT79" i="1"/>
  <c r="DQ79" i="1"/>
  <c r="V79" i="1"/>
  <c r="BS79" i="1"/>
  <c r="DP79" i="1"/>
  <c r="Q79" i="1"/>
  <c r="BN79" i="1"/>
  <c r="DK79" i="1"/>
  <c r="P79" i="1"/>
  <c r="BM79" i="1"/>
  <c r="DJ79" i="1"/>
  <c r="O79" i="1"/>
  <c r="BL79" i="1"/>
  <c r="DI79" i="1"/>
  <c r="N79" i="1"/>
  <c r="BK79" i="1"/>
  <c r="DH79" i="1"/>
  <c r="M79" i="1"/>
  <c r="BJ79" i="1"/>
  <c r="DG79" i="1"/>
  <c r="L79" i="1"/>
  <c r="BI79" i="1"/>
  <c r="DF79" i="1"/>
  <c r="K79" i="1"/>
  <c r="BH79" i="1"/>
  <c r="DE79" i="1"/>
  <c r="J79" i="1"/>
  <c r="BG79" i="1"/>
  <c r="DD79" i="1"/>
  <c r="I79" i="1"/>
  <c r="BF79" i="1"/>
  <c r="DC79" i="1"/>
  <c r="H79" i="1"/>
  <c r="BE79" i="1"/>
  <c r="DB79" i="1"/>
  <c r="G79" i="1"/>
  <c r="BD79" i="1"/>
  <c r="DA79" i="1"/>
  <c r="CZ79" i="1"/>
  <c r="CY79" i="1"/>
  <c r="CX79" i="1"/>
  <c r="CW79" i="1"/>
  <c r="CV79" i="1"/>
  <c r="CU79" i="1"/>
  <c r="CT79" i="1"/>
  <c r="CS79" i="1"/>
  <c r="CR79" i="1"/>
  <c r="CQ79" i="1"/>
  <c r="BC79" i="1"/>
  <c r="BB79" i="1"/>
  <c r="BA79" i="1"/>
  <c r="AZ79" i="1"/>
  <c r="AY79" i="1"/>
  <c r="AX79" i="1"/>
  <c r="AW79" i="1"/>
  <c r="AV79" i="1"/>
  <c r="AU79" i="1"/>
  <c r="AT79" i="1"/>
  <c r="AO78" i="1"/>
  <c r="CL78" i="1"/>
  <c r="EI78" i="1"/>
  <c r="AN78" i="1"/>
  <c r="CK78" i="1"/>
  <c r="EH78" i="1"/>
  <c r="AI78" i="1"/>
  <c r="CF78" i="1"/>
  <c r="EC78" i="1"/>
  <c r="AH78" i="1"/>
  <c r="CE78" i="1"/>
  <c r="EB78" i="1"/>
  <c r="AC78" i="1"/>
  <c r="BZ78" i="1"/>
  <c r="DW78" i="1"/>
  <c r="AB78" i="1"/>
  <c r="BY78" i="1"/>
  <c r="DV78" i="1"/>
  <c r="W78" i="1"/>
  <c r="BT78" i="1"/>
  <c r="DQ78" i="1"/>
  <c r="V78" i="1"/>
  <c r="BS78" i="1"/>
  <c r="DP78" i="1"/>
  <c r="Q78" i="1"/>
  <c r="BN78" i="1"/>
  <c r="DK78" i="1"/>
  <c r="P78" i="1"/>
  <c r="BM78" i="1"/>
  <c r="DJ78" i="1"/>
  <c r="O78" i="1"/>
  <c r="BL78" i="1"/>
  <c r="DI78" i="1"/>
  <c r="N78" i="1"/>
  <c r="BK78" i="1"/>
  <c r="DH78" i="1"/>
  <c r="M78" i="1"/>
  <c r="BJ78" i="1"/>
  <c r="DG78" i="1"/>
  <c r="L78" i="1"/>
  <c r="BI78" i="1"/>
  <c r="DF78" i="1"/>
  <c r="K78" i="1"/>
  <c r="BH78" i="1"/>
  <c r="DE78" i="1"/>
  <c r="J78" i="1"/>
  <c r="BG78" i="1"/>
  <c r="DD78" i="1"/>
  <c r="I78" i="1"/>
  <c r="BF78" i="1"/>
  <c r="DC78" i="1"/>
  <c r="H78" i="1"/>
  <c r="BE78" i="1"/>
  <c r="DB78" i="1"/>
  <c r="G78" i="1"/>
  <c r="BD78" i="1"/>
  <c r="DA78" i="1"/>
  <c r="CZ78" i="1"/>
  <c r="CY78" i="1"/>
  <c r="CX78" i="1"/>
  <c r="CW78" i="1"/>
  <c r="CV78" i="1"/>
  <c r="CU78" i="1"/>
  <c r="CT78" i="1"/>
  <c r="CS78" i="1"/>
  <c r="CR78" i="1"/>
  <c r="CQ78" i="1"/>
  <c r="BC78" i="1"/>
  <c r="BB78" i="1"/>
  <c r="BA78" i="1"/>
  <c r="AZ78" i="1"/>
  <c r="AY78" i="1"/>
  <c r="AX78" i="1"/>
  <c r="AW78" i="1"/>
  <c r="AV78" i="1"/>
  <c r="AU78" i="1"/>
  <c r="AT78" i="1"/>
  <c r="AO77" i="1"/>
  <c r="CL77" i="1"/>
  <c r="EI77" i="1"/>
  <c r="AN77" i="1"/>
  <c r="CK77" i="1"/>
  <c r="EH77" i="1"/>
  <c r="AI77" i="1"/>
  <c r="CF77" i="1"/>
  <c r="EC77" i="1"/>
  <c r="AH77" i="1"/>
  <c r="CE77" i="1"/>
  <c r="EB77" i="1"/>
  <c r="AC77" i="1"/>
  <c r="BZ77" i="1"/>
  <c r="DW77" i="1"/>
  <c r="AB77" i="1"/>
  <c r="BY77" i="1"/>
  <c r="DV77" i="1"/>
  <c r="W77" i="1"/>
  <c r="BT77" i="1"/>
  <c r="DQ77" i="1"/>
  <c r="V77" i="1"/>
  <c r="BS77" i="1"/>
  <c r="DP77" i="1"/>
  <c r="Q77" i="1"/>
  <c r="BN77" i="1"/>
  <c r="DK77" i="1"/>
  <c r="P77" i="1"/>
  <c r="BM77" i="1"/>
  <c r="DJ77" i="1"/>
  <c r="O77" i="1"/>
  <c r="BL77" i="1"/>
  <c r="DI77" i="1"/>
  <c r="N77" i="1"/>
  <c r="BK77" i="1"/>
  <c r="DH77" i="1"/>
  <c r="M77" i="1"/>
  <c r="BJ77" i="1"/>
  <c r="DG77" i="1"/>
  <c r="L77" i="1"/>
  <c r="BI77" i="1"/>
  <c r="DF77" i="1"/>
  <c r="K77" i="1"/>
  <c r="BH77" i="1"/>
  <c r="DE77" i="1"/>
  <c r="J77" i="1"/>
  <c r="BG77" i="1"/>
  <c r="DD77" i="1"/>
  <c r="I77" i="1"/>
  <c r="BF77" i="1"/>
  <c r="DC77" i="1"/>
  <c r="H77" i="1"/>
  <c r="BE77" i="1"/>
  <c r="DB77" i="1"/>
  <c r="G77" i="1"/>
  <c r="BD77" i="1"/>
  <c r="DA77" i="1"/>
  <c r="CZ77" i="1"/>
  <c r="CY77" i="1"/>
  <c r="CX77" i="1"/>
  <c r="CW77" i="1"/>
  <c r="CV77" i="1"/>
  <c r="CU77" i="1"/>
  <c r="CT77" i="1"/>
  <c r="CS77" i="1"/>
  <c r="CR77" i="1"/>
  <c r="CQ77" i="1"/>
  <c r="BC77" i="1"/>
  <c r="BB77" i="1"/>
  <c r="BA77" i="1"/>
  <c r="AZ77" i="1"/>
  <c r="AY77" i="1"/>
  <c r="AX77" i="1"/>
  <c r="AW77" i="1"/>
  <c r="AV77" i="1"/>
  <c r="AU77" i="1"/>
  <c r="AT77" i="1"/>
  <c r="AO76" i="1"/>
  <c r="CL76" i="1"/>
  <c r="EI76" i="1"/>
  <c r="AN76" i="1"/>
  <c r="CK76" i="1"/>
  <c r="EH76" i="1"/>
  <c r="AI76" i="1"/>
  <c r="CF76" i="1"/>
  <c r="EC76" i="1"/>
  <c r="AH76" i="1"/>
  <c r="CE76" i="1"/>
  <c r="EB76" i="1"/>
  <c r="AC76" i="1"/>
  <c r="BZ76" i="1"/>
  <c r="DW76" i="1"/>
  <c r="AB76" i="1"/>
  <c r="BY76" i="1"/>
  <c r="DV76" i="1"/>
  <c r="W76" i="1"/>
  <c r="BT76" i="1"/>
  <c r="DQ76" i="1"/>
  <c r="V76" i="1"/>
  <c r="BS76" i="1"/>
  <c r="DP76" i="1"/>
  <c r="Q76" i="1"/>
  <c r="BN76" i="1"/>
  <c r="DK76" i="1"/>
  <c r="P76" i="1"/>
  <c r="BM76" i="1"/>
  <c r="DJ76" i="1"/>
  <c r="O76" i="1"/>
  <c r="BL76" i="1"/>
  <c r="DI76" i="1"/>
  <c r="N76" i="1"/>
  <c r="BK76" i="1"/>
  <c r="DH76" i="1"/>
  <c r="M76" i="1"/>
  <c r="BJ76" i="1"/>
  <c r="DG76" i="1"/>
  <c r="L76" i="1"/>
  <c r="BI76" i="1"/>
  <c r="DF76" i="1"/>
  <c r="K76" i="1"/>
  <c r="BH76" i="1"/>
  <c r="DE76" i="1"/>
  <c r="J76" i="1"/>
  <c r="BG76" i="1"/>
  <c r="DD76" i="1"/>
  <c r="I76" i="1"/>
  <c r="BF76" i="1"/>
  <c r="DC76" i="1"/>
  <c r="H76" i="1"/>
  <c r="BE76" i="1"/>
  <c r="DB76" i="1"/>
  <c r="G76" i="1"/>
  <c r="BD76" i="1"/>
  <c r="DA76" i="1"/>
  <c r="CZ76" i="1"/>
  <c r="CY76" i="1"/>
  <c r="CX76" i="1"/>
  <c r="CW76" i="1"/>
  <c r="CV76" i="1"/>
  <c r="CU76" i="1"/>
  <c r="CT76" i="1"/>
  <c r="CS76" i="1"/>
  <c r="CR76" i="1"/>
  <c r="CQ76" i="1"/>
  <c r="BC76" i="1"/>
  <c r="BB76" i="1"/>
  <c r="BA76" i="1"/>
  <c r="AZ76" i="1"/>
  <c r="AY76" i="1"/>
  <c r="AX76" i="1"/>
  <c r="AW76" i="1"/>
  <c r="AV76" i="1"/>
  <c r="AU76" i="1"/>
  <c r="AT76" i="1"/>
  <c r="AO75" i="1"/>
  <c r="CL75" i="1"/>
  <c r="EI75" i="1"/>
  <c r="AN75" i="1"/>
  <c r="CK75" i="1"/>
  <c r="EH75" i="1"/>
  <c r="AI75" i="1"/>
  <c r="CF75" i="1"/>
  <c r="EC75" i="1"/>
  <c r="AH75" i="1"/>
  <c r="CE75" i="1"/>
  <c r="EB75" i="1"/>
  <c r="AC75" i="1"/>
  <c r="BZ75" i="1"/>
  <c r="DW75" i="1"/>
  <c r="AB75" i="1"/>
  <c r="BY75" i="1"/>
  <c r="DV75" i="1"/>
  <c r="W75" i="1"/>
  <c r="BT75" i="1"/>
  <c r="DQ75" i="1"/>
  <c r="V75" i="1"/>
  <c r="BS75" i="1"/>
  <c r="DP75" i="1"/>
  <c r="Q75" i="1"/>
  <c r="BN75" i="1"/>
  <c r="DK75" i="1"/>
  <c r="P75" i="1"/>
  <c r="BM75" i="1"/>
  <c r="DJ75" i="1"/>
  <c r="O75" i="1"/>
  <c r="BL75" i="1"/>
  <c r="DI75" i="1"/>
  <c r="N75" i="1"/>
  <c r="BK75" i="1"/>
  <c r="DH75" i="1"/>
  <c r="M75" i="1"/>
  <c r="BJ75" i="1"/>
  <c r="DG75" i="1"/>
  <c r="L75" i="1"/>
  <c r="BI75" i="1"/>
  <c r="DF75" i="1"/>
  <c r="K75" i="1"/>
  <c r="BH75" i="1"/>
  <c r="DE75" i="1"/>
  <c r="J75" i="1"/>
  <c r="BG75" i="1"/>
  <c r="DD75" i="1"/>
  <c r="I75" i="1"/>
  <c r="BF75" i="1"/>
  <c r="DC75" i="1"/>
  <c r="H75" i="1"/>
  <c r="BE75" i="1"/>
  <c r="DB75" i="1"/>
  <c r="G75" i="1"/>
  <c r="BD75" i="1"/>
  <c r="DA75" i="1"/>
  <c r="CZ75" i="1"/>
  <c r="CY75" i="1"/>
  <c r="CX75" i="1"/>
  <c r="CW75" i="1"/>
  <c r="CV75" i="1"/>
  <c r="CU75" i="1"/>
  <c r="CT75" i="1"/>
  <c r="CS75" i="1"/>
  <c r="CR75" i="1"/>
  <c r="CQ75" i="1"/>
  <c r="BC75" i="1"/>
  <c r="BB75" i="1"/>
  <c r="BA75" i="1"/>
  <c r="AZ75" i="1"/>
  <c r="AY75" i="1"/>
  <c r="AX75" i="1"/>
  <c r="AW75" i="1"/>
  <c r="AV75" i="1"/>
  <c r="AU75" i="1"/>
  <c r="AT75" i="1"/>
  <c r="AO74" i="1"/>
  <c r="CL74" i="1"/>
  <c r="EI74" i="1"/>
  <c r="AN74" i="1"/>
  <c r="CK74" i="1"/>
  <c r="EH74" i="1"/>
  <c r="AI74" i="1"/>
  <c r="CF74" i="1"/>
  <c r="EC74" i="1"/>
  <c r="AH74" i="1"/>
  <c r="CE74" i="1"/>
  <c r="EB74" i="1"/>
  <c r="AC74" i="1"/>
  <c r="BZ74" i="1"/>
  <c r="DW74" i="1"/>
  <c r="AB74" i="1"/>
  <c r="BY74" i="1"/>
  <c r="DV74" i="1"/>
  <c r="W74" i="1"/>
  <c r="BT74" i="1"/>
  <c r="DQ74" i="1"/>
  <c r="V74" i="1"/>
  <c r="BS74" i="1"/>
  <c r="DP74" i="1"/>
  <c r="Q74" i="1"/>
  <c r="BN74" i="1"/>
  <c r="DK74" i="1"/>
  <c r="P74" i="1"/>
  <c r="BM74" i="1"/>
  <c r="DJ74" i="1"/>
  <c r="O74" i="1"/>
  <c r="BL74" i="1"/>
  <c r="DI74" i="1"/>
  <c r="N74" i="1"/>
  <c r="BK74" i="1"/>
  <c r="DH74" i="1"/>
  <c r="M74" i="1"/>
  <c r="BJ74" i="1"/>
  <c r="DG74" i="1"/>
  <c r="L74" i="1"/>
  <c r="BI74" i="1"/>
  <c r="DF74" i="1"/>
  <c r="K74" i="1"/>
  <c r="BH74" i="1"/>
  <c r="DE74" i="1"/>
  <c r="J74" i="1"/>
  <c r="BG74" i="1"/>
  <c r="DD74" i="1"/>
  <c r="I74" i="1"/>
  <c r="BF74" i="1"/>
  <c r="DC74" i="1"/>
  <c r="H74" i="1"/>
  <c r="BE74" i="1"/>
  <c r="DB74" i="1"/>
  <c r="G74" i="1"/>
  <c r="BD74" i="1"/>
  <c r="DA74" i="1"/>
  <c r="CZ74" i="1"/>
  <c r="CY74" i="1"/>
  <c r="CX74" i="1"/>
  <c r="CW74" i="1"/>
  <c r="CV74" i="1"/>
  <c r="CU74" i="1"/>
  <c r="CT74" i="1"/>
  <c r="CS74" i="1"/>
  <c r="CR74" i="1"/>
  <c r="CQ74" i="1"/>
  <c r="BC74" i="1"/>
  <c r="BB74" i="1"/>
  <c r="BA74" i="1"/>
  <c r="AZ74" i="1"/>
  <c r="AY74" i="1"/>
  <c r="AX74" i="1"/>
  <c r="AW74" i="1"/>
  <c r="AV74" i="1"/>
  <c r="AU74" i="1"/>
  <c r="AT74" i="1"/>
  <c r="AO73" i="1"/>
  <c r="CL73" i="1"/>
  <c r="EI73" i="1"/>
  <c r="AN73" i="1"/>
  <c r="CK73" i="1"/>
  <c r="EH73" i="1"/>
  <c r="AI73" i="1"/>
  <c r="CF73" i="1"/>
  <c r="EC73" i="1"/>
  <c r="AH73" i="1"/>
  <c r="CE73" i="1"/>
  <c r="EB73" i="1"/>
  <c r="AC73" i="1"/>
  <c r="BZ73" i="1"/>
  <c r="DW73" i="1"/>
  <c r="AB73" i="1"/>
  <c r="BY73" i="1"/>
  <c r="DV73" i="1"/>
  <c r="W73" i="1"/>
  <c r="BT73" i="1"/>
  <c r="DQ73" i="1"/>
  <c r="V73" i="1"/>
  <c r="BS73" i="1"/>
  <c r="DP73" i="1"/>
  <c r="Q73" i="1"/>
  <c r="BN73" i="1"/>
  <c r="DK73" i="1"/>
  <c r="P73" i="1"/>
  <c r="BM73" i="1"/>
  <c r="DJ73" i="1"/>
  <c r="O73" i="1"/>
  <c r="BL73" i="1"/>
  <c r="DI73" i="1"/>
  <c r="N73" i="1"/>
  <c r="BK73" i="1"/>
  <c r="DH73" i="1"/>
  <c r="M73" i="1"/>
  <c r="BJ73" i="1"/>
  <c r="DG73" i="1"/>
  <c r="L73" i="1"/>
  <c r="BI73" i="1"/>
  <c r="DF73" i="1"/>
  <c r="K73" i="1"/>
  <c r="BH73" i="1"/>
  <c r="DE73" i="1"/>
  <c r="J73" i="1"/>
  <c r="BG73" i="1"/>
  <c r="DD73" i="1"/>
  <c r="I73" i="1"/>
  <c r="BF73" i="1"/>
  <c r="DC73" i="1"/>
  <c r="H73" i="1"/>
  <c r="BE73" i="1"/>
  <c r="DB73" i="1"/>
  <c r="G73" i="1"/>
  <c r="BD73" i="1"/>
  <c r="DA73" i="1"/>
  <c r="CZ73" i="1"/>
  <c r="CY73" i="1"/>
  <c r="CX73" i="1"/>
  <c r="CW73" i="1"/>
  <c r="CV73" i="1"/>
  <c r="CU73" i="1"/>
  <c r="CT73" i="1"/>
  <c r="CS73" i="1"/>
  <c r="CR73" i="1"/>
  <c r="CQ73" i="1"/>
  <c r="BC73" i="1"/>
  <c r="BB73" i="1"/>
  <c r="BA73" i="1"/>
  <c r="AZ73" i="1"/>
  <c r="AY73" i="1"/>
  <c r="AX73" i="1"/>
  <c r="AW73" i="1"/>
  <c r="AV73" i="1"/>
  <c r="AU73" i="1"/>
  <c r="AT73" i="1"/>
  <c r="AO72" i="1"/>
  <c r="CL72" i="1"/>
  <c r="EI72" i="1"/>
  <c r="AN72" i="1"/>
  <c r="CK72" i="1"/>
  <c r="EH72" i="1"/>
  <c r="AI72" i="1"/>
  <c r="CF72" i="1"/>
  <c r="EC72" i="1"/>
  <c r="AH72" i="1"/>
  <c r="CE72" i="1"/>
  <c r="EB72" i="1"/>
  <c r="AC72" i="1"/>
  <c r="BZ72" i="1"/>
  <c r="DW72" i="1"/>
  <c r="AB72" i="1"/>
  <c r="BY72" i="1"/>
  <c r="DV72" i="1"/>
  <c r="W72" i="1"/>
  <c r="BT72" i="1"/>
  <c r="DQ72" i="1"/>
  <c r="V72" i="1"/>
  <c r="BS72" i="1"/>
  <c r="DP72" i="1"/>
  <c r="Q72" i="1"/>
  <c r="BN72" i="1"/>
  <c r="DK72" i="1"/>
  <c r="P72" i="1"/>
  <c r="BM72" i="1"/>
  <c r="DJ72" i="1"/>
  <c r="O72" i="1"/>
  <c r="BL72" i="1"/>
  <c r="DI72" i="1"/>
  <c r="N72" i="1"/>
  <c r="BK72" i="1"/>
  <c r="DH72" i="1"/>
  <c r="M72" i="1"/>
  <c r="BJ72" i="1"/>
  <c r="DG72" i="1"/>
  <c r="L72" i="1"/>
  <c r="BI72" i="1"/>
  <c r="DF72" i="1"/>
  <c r="K72" i="1"/>
  <c r="BH72" i="1"/>
  <c r="DE72" i="1"/>
  <c r="J72" i="1"/>
  <c r="BG72" i="1"/>
  <c r="DD72" i="1"/>
  <c r="I72" i="1"/>
  <c r="BF72" i="1"/>
  <c r="DC72" i="1"/>
  <c r="H72" i="1"/>
  <c r="BE72" i="1"/>
  <c r="DB72" i="1"/>
  <c r="G72" i="1"/>
  <c r="BD72" i="1"/>
  <c r="DA72" i="1"/>
  <c r="CZ72" i="1"/>
  <c r="CY72" i="1"/>
  <c r="CX72" i="1"/>
  <c r="CW72" i="1"/>
  <c r="CV72" i="1"/>
  <c r="CU72" i="1"/>
  <c r="CT72" i="1"/>
  <c r="CS72" i="1"/>
  <c r="CR72" i="1"/>
  <c r="CQ72" i="1"/>
  <c r="BC72" i="1"/>
  <c r="BB72" i="1"/>
  <c r="BA72" i="1"/>
  <c r="AZ72" i="1"/>
  <c r="AY72" i="1"/>
  <c r="AX72" i="1"/>
  <c r="AW72" i="1"/>
  <c r="AV72" i="1"/>
  <c r="AU72" i="1"/>
  <c r="AT72" i="1"/>
  <c r="AO71" i="1"/>
  <c r="CL71" i="1"/>
  <c r="EI71" i="1"/>
  <c r="AN71" i="1"/>
  <c r="CK71" i="1"/>
  <c r="EH71" i="1"/>
  <c r="AI71" i="1"/>
  <c r="CF71" i="1"/>
  <c r="EC71" i="1"/>
  <c r="AH71" i="1"/>
  <c r="CE71" i="1"/>
  <c r="EB71" i="1"/>
  <c r="AC71" i="1"/>
  <c r="BZ71" i="1"/>
  <c r="DW71" i="1"/>
  <c r="AB71" i="1"/>
  <c r="BY71" i="1"/>
  <c r="DV71" i="1"/>
  <c r="W71" i="1"/>
  <c r="BT71" i="1"/>
  <c r="DQ71" i="1"/>
  <c r="V71" i="1"/>
  <c r="BS71" i="1"/>
  <c r="DP71" i="1"/>
  <c r="Q71" i="1"/>
  <c r="BN71" i="1"/>
  <c r="DK71" i="1"/>
  <c r="P71" i="1"/>
  <c r="BM71" i="1"/>
  <c r="DJ71" i="1"/>
  <c r="O71" i="1"/>
  <c r="BL71" i="1"/>
  <c r="DI71" i="1"/>
  <c r="N71" i="1"/>
  <c r="BK71" i="1"/>
  <c r="DH71" i="1"/>
  <c r="M71" i="1"/>
  <c r="BJ71" i="1"/>
  <c r="DG71" i="1"/>
  <c r="L71" i="1"/>
  <c r="BI71" i="1"/>
  <c r="DF71" i="1"/>
  <c r="K71" i="1"/>
  <c r="BH71" i="1"/>
  <c r="DE71" i="1"/>
  <c r="J71" i="1"/>
  <c r="BG71" i="1"/>
  <c r="DD71" i="1"/>
  <c r="I71" i="1"/>
  <c r="BF71" i="1"/>
  <c r="DC71" i="1"/>
  <c r="H71" i="1"/>
  <c r="BE71" i="1"/>
  <c r="DB71" i="1"/>
  <c r="G71" i="1"/>
  <c r="BD71" i="1"/>
  <c r="DA71" i="1"/>
  <c r="CZ71" i="1"/>
  <c r="CY71" i="1"/>
  <c r="CX71" i="1"/>
  <c r="CW71" i="1"/>
  <c r="CV71" i="1"/>
  <c r="CU71" i="1"/>
  <c r="CT71" i="1"/>
  <c r="CS71" i="1"/>
  <c r="CR71" i="1"/>
  <c r="CQ71" i="1"/>
  <c r="BC71" i="1"/>
  <c r="BB71" i="1"/>
  <c r="BA71" i="1"/>
  <c r="AZ71" i="1"/>
  <c r="AY71" i="1"/>
  <c r="AX71" i="1"/>
  <c r="AW71" i="1"/>
  <c r="AV71" i="1"/>
  <c r="AU71" i="1"/>
  <c r="AT71" i="1"/>
  <c r="AO70" i="1"/>
  <c r="CL70" i="1"/>
  <c r="EI70" i="1"/>
  <c r="AN70" i="1"/>
  <c r="CK70" i="1"/>
  <c r="EH70" i="1"/>
  <c r="AI70" i="1"/>
  <c r="CF70" i="1"/>
  <c r="EC70" i="1"/>
  <c r="AH70" i="1"/>
  <c r="CE70" i="1"/>
  <c r="EB70" i="1"/>
  <c r="AC70" i="1"/>
  <c r="BZ70" i="1"/>
  <c r="DW70" i="1"/>
  <c r="AB70" i="1"/>
  <c r="BY70" i="1"/>
  <c r="DV70" i="1"/>
  <c r="W70" i="1"/>
  <c r="BT70" i="1"/>
  <c r="DQ70" i="1"/>
  <c r="V70" i="1"/>
  <c r="BS70" i="1"/>
  <c r="DP70" i="1"/>
  <c r="Q70" i="1"/>
  <c r="BN70" i="1"/>
  <c r="DK70" i="1"/>
  <c r="P70" i="1"/>
  <c r="BM70" i="1"/>
  <c r="DJ70" i="1"/>
  <c r="O70" i="1"/>
  <c r="BL70" i="1"/>
  <c r="DI70" i="1"/>
  <c r="N70" i="1"/>
  <c r="BK70" i="1"/>
  <c r="DH70" i="1"/>
  <c r="M70" i="1"/>
  <c r="BJ70" i="1"/>
  <c r="DG70" i="1"/>
  <c r="L70" i="1"/>
  <c r="BI70" i="1"/>
  <c r="DF70" i="1"/>
  <c r="K70" i="1"/>
  <c r="BH70" i="1"/>
  <c r="DE70" i="1"/>
  <c r="J70" i="1"/>
  <c r="BG70" i="1"/>
  <c r="DD70" i="1"/>
  <c r="I70" i="1"/>
  <c r="BF70" i="1"/>
  <c r="DC70" i="1"/>
  <c r="H70" i="1"/>
  <c r="BE70" i="1"/>
  <c r="DB70" i="1"/>
  <c r="G70" i="1"/>
  <c r="BD70" i="1"/>
  <c r="DA70" i="1"/>
  <c r="CZ70" i="1"/>
  <c r="CY70" i="1"/>
  <c r="CX70" i="1"/>
  <c r="CW70" i="1"/>
  <c r="CV70" i="1"/>
  <c r="CU70" i="1"/>
  <c r="CT70" i="1"/>
  <c r="CS70" i="1"/>
  <c r="CR70" i="1"/>
  <c r="CQ70" i="1"/>
  <c r="BC70" i="1"/>
  <c r="BB70" i="1"/>
  <c r="BA70" i="1"/>
  <c r="AZ70" i="1"/>
  <c r="AY70" i="1"/>
  <c r="AX70" i="1"/>
  <c r="AW70" i="1"/>
  <c r="AV70" i="1"/>
  <c r="AU70" i="1"/>
  <c r="AT70" i="1"/>
  <c r="AO69" i="1"/>
  <c r="CL69" i="1"/>
  <c r="EI69" i="1"/>
  <c r="AN69" i="1"/>
  <c r="CK69" i="1"/>
  <c r="EH69" i="1"/>
  <c r="AI69" i="1"/>
  <c r="CF69" i="1"/>
  <c r="EC69" i="1"/>
  <c r="AH69" i="1"/>
  <c r="CE69" i="1"/>
  <c r="EB69" i="1"/>
  <c r="AC69" i="1"/>
  <c r="BZ69" i="1"/>
  <c r="DW69" i="1"/>
  <c r="AB69" i="1"/>
  <c r="BY69" i="1"/>
  <c r="DV69" i="1"/>
  <c r="W69" i="1"/>
  <c r="BT69" i="1"/>
  <c r="DQ69" i="1"/>
  <c r="V69" i="1"/>
  <c r="BS69" i="1"/>
  <c r="DP69" i="1"/>
  <c r="Q69" i="1"/>
  <c r="BN69" i="1"/>
  <c r="DK69" i="1"/>
  <c r="P69" i="1"/>
  <c r="BM69" i="1"/>
  <c r="DJ69" i="1"/>
  <c r="O69" i="1"/>
  <c r="BL69" i="1"/>
  <c r="DI69" i="1"/>
  <c r="N69" i="1"/>
  <c r="BK69" i="1"/>
  <c r="DH69" i="1"/>
  <c r="M69" i="1"/>
  <c r="BJ69" i="1"/>
  <c r="DG69" i="1"/>
  <c r="L69" i="1"/>
  <c r="BI69" i="1"/>
  <c r="DF69" i="1"/>
  <c r="K69" i="1"/>
  <c r="BH69" i="1"/>
  <c r="DE69" i="1"/>
  <c r="J69" i="1"/>
  <c r="BG69" i="1"/>
  <c r="DD69" i="1"/>
  <c r="I69" i="1"/>
  <c r="BF69" i="1"/>
  <c r="DC69" i="1"/>
  <c r="H69" i="1"/>
  <c r="BE69" i="1"/>
  <c r="DB69" i="1"/>
  <c r="G69" i="1"/>
  <c r="BD69" i="1"/>
  <c r="DA69" i="1"/>
  <c r="CZ69" i="1"/>
  <c r="CY69" i="1"/>
  <c r="CX69" i="1"/>
  <c r="CW69" i="1"/>
  <c r="CV69" i="1"/>
  <c r="CU69" i="1"/>
  <c r="CT69" i="1"/>
  <c r="CS69" i="1"/>
  <c r="CR69" i="1"/>
  <c r="CQ69" i="1"/>
  <c r="BC69" i="1"/>
  <c r="BB69" i="1"/>
  <c r="BA69" i="1"/>
  <c r="AZ69" i="1"/>
  <c r="AY69" i="1"/>
  <c r="AX69" i="1"/>
  <c r="AW69" i="1"/>
  <c r="AV69" i="1"/>
  <c r="AU69" i="1"/>
  <c r="AT69" i="1"/>
  <c r="AO68" i="1"/>
  <c r="CL68" i="1"/>
  <c r="EI68" i="1"/>
  <c r="AN68" i="1"/>
  <c r="CK68" i="1"/>
  <c r="EH68" i="1"/>
  <c r="AI68" i="1"/>
  <c r="CF68" i="1"/>
  <c r="EC68" i="1"/>
  <c r="AH68" i="1"/>
  <c r="CE68" i="1"/>
  <c r="EB68" i="1"/>
  <c r="AC68" i="1"/>
  <c r="BZ68" i="1"/>
  <c r="DW68" i="1"/>
  <c r="AB68" i="1"/>
  <c r="BY68" i="1"/>
  <c r="DV68" i="1"/>
  <c r="W68" i="1"/>
  <c r="BT68" i="1"/>
  <c r="DQ68" i="1"/>
  <c r="V68" i="1"/>
  <c r="BS68" i="1"/>
  <c r="DP68" i="1"/>
  <c r="Q68" i="1"/>
  <c r="BN68" i="1"/>
  <c r="DK68" i="1"/>
  <c r="P68" i="1"/>
  <c r="BM68" i="1"/>
  <c r="DJ68" i="1"/>
  <c r="O68" i="1"/>
  <c r="BL68" i="1"/>
  <c r="DI68" i="1"/>
  <c r="N68" i="1"/>
  <c r="BK68" i="1"/>
  <c r="DH68" i="1"/>
  <c r="M68" i="1"/>
  <c r="BJ68" i="1"/>
  <c r="DG68" i="1"/>
  <c r="L68" i="1"/>
  <c r="BI68" i="1"/>
  <c r="DF68" i="1"/>
  <c r="K68" i="1"/>
  <c r="BH68" i="1"/>
  <c r="DE68" i="1"/>
  <c r="J68" i="1"/>
  <c r="BG68" i="1"/>
  <c r="DD68" i="1"/>
  <c r="I68" i="1"/>
  <c r="BF68" i="1"/>
  <c r="DC68" i="1"/>
  <c r="H68" i="1"/>
  <c r="BE68" i="1"/>
  <c r="DB68" i="1"/>
  <c r="G68" i="1"/>
  <c r="BD68" i="1"/>
  <c r="DA68" i="1"/>
  <c r="CZ68" i="1"/>
  <c r="CY68" i="1"/>
  <c r="CX68" i="1"/>
  <c r="CW68" i="1"/>
  <c r="CV68" i="1"/>
  <c r="CU68" i="1"/>
  <c r="CT68" i="1"/>
  <c r="CS68" i="1"/>
  <c r="CR68" i="1"/>
  <c r="CQ68" i="1"/>
  <c r="BC68" i="1"/>
  <c r="BB68" i="1"/>
  <c r="BA68" i="1"/>
  <c r="AZ68" i="1"/>
  <c r="AY68" i="1"/>
  <c r="AX68" i="1"/>
  <c r="AW68" i="1"/>
  <c r="AV68" i="1"/>
  <c r="AU68" i="1"/>
  <c r="AT68" i="1"/>
  <c r="AO67" i="1"/>
  <c r="CL67" i="1"/>
  <c r="EI67" i="1"/>
  <c r="AN67" i="1"/>
  <c r="CK67" i="1"/>
  <c r="EH67" i="1"/>
  <c r="AI67" i="1"/>
  <c r="CF67" i="1"/>
  <c r="EC67" i="1"/>
  <c r="AH67" i="1"/>
  <c r="CE67" i="1"/>
  <c r="EB67" i="1"/>
  <c r="AC67" i="1"/>
  <c r="BZ67" i="1"/>
  <c r="DW67" i="1"/>
  <c r="AB67" i="1"/>
  <c r="BY67" i="1"/>
  <c r="DV67" i="1"/>
  <c r="W67" i="1"/>
  <c r="BT67" i="1"/>
  <c r="DQ67" i="1"/>
  <c r="V67" i="1"/>
  <c r="BS67" i="1"/>
  <c r="DP67" i="1"/>
  <c r="Q67" i="1"/>
  <c r="BN67" i="1"/>
  <c r="DK67" i="1"/>
  <c r="P67" i="1"/>
  <c r="BM67" i="1"/>
  <c r="DJ67" i="1"/>
  <c r="O67" i="1"/>
  <c r="BL67" i="1"/>
  <c r="DI67" i="1"/>
  <c r="N67" i="1"/>
  <c r="BK67" i="1"/>
  <c r="DH67" i="1"/>
  <c r="M67" i="1"/>
  <c r="BJ67" i="1"/>
  <c r="DG67" i="1"/>
  <c r="L67" i="1"/>
  <c r="BI67" i="1"/>
  <c r="DF67" i="1"/>
  <c r="K67" i="1"/>
  <c r="BH67" i="1"/>
  <c r="DE67" i="1"/>
  <c r="J67" i="1"/>
  <c r="BG67" i="1"/>
  <c r="DD67" i="1"/>
  <c r="I67" i="1"/>
  <c r="BF67" i="1"/>
  <c r="DC67" i="1"/>
  <c r="H67" i="1"/>
  <c r="BE67" i="1"/>
  <c r="DB67" i="1"/>
  <c r="G67" i="1"/>
  <c r="BD67" i="1"/>
  <c r="DA67" i="1"/>
  <c r="CZ67" i="1"/>
  <c r="CY67" i="1"/>
  <c r="CX67" i="1"/>
  <c r="CW67" i="1"/>
  <c r="CV67" i="1"/>
  <c r="CU67" i="1"/>
  <c r="CT67" i="1"/>
  <c r="CS67" i="1"/>
  <c r="CR67" i="1"/>
  <c r="CQ67" i="1"/>
  <c r="BC67" i="1"/>
  <c r="BB67" i="1"/>
  <c r="BA67" i="1"/>
  <c r="AZ67" i="1"/>
  <c r="AY67" i="1"/>
  <c r="AX67" i="1"/>
  <c r="AW67" i="1"/>
  <c r="AV67" i="1"/>
  <c r="AU67" i="1"/>
  <c r="AT67" i="1"/>
  <c r="AO66" i="1"/>
  <c r="CL66" i="1"/>
  <c r="EI66" i="1"/>
  <c r="AN66" i="1"/>
  <c r="CK66" i="1"/>
  <c r="EH66" i="1"/>
  <c r="AI66" i="1"/>
  <c r="CF66" i="1"/>
  <c r="EC66" i="1"/>
  <c r="AH66" i="1"/>
  <c r="CE66" i="1"/>
  <c r="EB66" i="1"/>
  <c r="AC66" i="1"/>
  <c r="BZ66" i="1"/>
  <c r="DW66" i="1"/>
  <c r="AB66" i="1"/>
  <c r="BY66" i="1"/>
  <c r="DV66" i="1"/>
  <c r="W66" i="1"/>
  <c r="BT66" i="1"/>
  <c r="DQ66" i="1"/>
  <c r="V66" i="1"/>
  <c r="BS66" i="1"/>
  <c r="DP66" i="1"/>
  <c r="Q66" i="1"/>
  <c r="BN66" i="1"/>
  <c r="DK66" i="1"/>
  <c r="P66" i="1"/>
  <c r="BM66" i="1"/>
  <c r="DJ66" i="1"/>
  <c r="O66" i="1"/>
  <c r="BL66" i="1"/>
  <c r="DI66" i="1"/>
  <c r="N66" i="1"/>
  <c r="BK66" i="1"/>
  <c r="DH66" i="1"/>
  <c r="M66" i="1"/>
  <c r="BJ66" i="1"/>
  <c r="DG66" i="1"/>
  <c r="L66" i="1"/>
  <c r="BI66" i="1"/>
  <c r="DF66" i="1"/>
  <c r="K66" i="1"/>
  <c r="BH66" i="1"/>
  <c r="DE66" i="1"/>
  <c r="J66" i="1"/>
  <c r="BG66" i="1"/>
  <c r="DD66" i="1"/>
  <c r="I66" i="1"/>
  <c r="BF66" i="1"/>
  <c r="DC66" i="1"/>
  <c r="H66" i="1"/>
  <c r="BE66" i="1"/>
  <c r="DB66" i="1"/>
  <c r="G66" i="1"/>
  <c r="BD66" i="1"/>
  <c r="DA66" i="1"/>
  <c r="CZ66" i="1"/>
  <c r="CY66" i="1"/>
  <c r="CX66" i="1"/>
  <c r="CW66" i="1"/>
  <c r="CV66" i="1"/>
  <c r="CU66" i="1"/>
  <c r="CT66" i="1"/>
  <c r="CS66" i="1"/>
  <c r="CR66" i="1"/>
  <c r="CQ66" i="1"/>
  <c r="BC66" i="1"/>
  <c r="BB66" i="1"/>
  <c r="BA66" i="1"/>
  <c r="AZ66" i="1"/>
  <c r="AY66" i="1"/>
  <c r="AX66" i="1"/>
  <c r="AW66" i="1"/>
  <c r="AV66" i="1"/>
  <c r="AU66" i="1"/>
  <c r="AT66" i="1"/>
  <c r="AO65" i="1"/>
  <c r="CL65" i="1"/>
  <c r="EI65" i="1"/>
  <c r="AN65" i="1"/>
  <c r="CK65" i="1"/>
  <c r="EH65" i="1"/>
  <c r="AI65" i="1"/>
  <c r="CF65" i="1"/>
  <c r="EC65" i="1"/>
  <c r="AH65" i="1"/>
  <c r="CE65" i="1"/>
  <c r="EB65" i="1"/>
  <c r="AC65" i="1"/>
  <c r="BZ65" i="1"/>
  <c r="DW65" i="1"/>
  <c r="AB65" i="1"/>
  <c r="BY65" i="1"/>
  <c r="DV65" i="1"/>
  <c r="W65" i="1"/>
  <c r="BT65" i="1"/>
  <c r="DQ65" i="1"/>
  <c r="V65" i="1"/>
  <c r="BS65" i="1"/>
  <c r="DP65" i="1"/>
  <c r="Q65" i="1"/>
  <c r="BN65" i="1"/>
  <c r="DK65" i="1"/>
  <c r="P65" i="1"/>
  <c r="BM65" i="1"/>
  <c r="DJ65" i="1"/>
  <c r="O65" i="1"/>
  <c r="BL65" i="1"/>
  <c r="DI65" i="1"/>
  <c r="N65" i="1"/>
  <c r="BK65" i="1"/>
  <c r="DH65" i="1"/>
  <c r="M65" i="1"/>
  <c r="BJ65" i="1"/>
  <c r="DG65" i="1"/>
  <c r="L65" i="1"/>
  <c r="BI65" i="1"/>
  <c r="DF65" i="1"/>
  <c r="K65" i="1"/>
  <c r="BH65" i="1"/>
  <c r="DE65" i="1"/>
  <c r="J65" i="1"/>
  <c r="BG65" i="1"/>
  <c r="DD65" i="1"/>
  <c r="I65" i="1"/>
  <c r="BF65" i="1"/>
  <c r="DC65" i="1"/>
  <c r="H65" i="1"/>
  <c r="BE65" i="1"/>
  <c r="DB65" i="1"/>
  <c r="G65" i="1"/>
  <c r="BD65" i="1"/>
  <c r="DA65" i="1"/>
  <c r="CZ65" i="1"/>
  <c r="CY65" i="1"/>
  <c r="CX65" i="1"/>
  <c r="CW65" i="1"/>
  <c r="CV65" i="1"/>
  <c r="CU65" i="1"/>
  <c r="CT65" i="1"/>
  <c r="CS65" i="1"/>
  <c r="CR65" i="1"/>
  <c r="CQ65" i="1"/>
  <c r="BC65" i="1"/>
  <c r="BB65" i="1"/>
  <c r="BA65" i="1"/>
  <c r="AZ65" i="1"/>
  <c r="AY65" i="1"/>
  <c r="AX65" i="1"/>
  <c r="AW65" i="1"/>
  <c r="AV65" i="1"/>
  <c r="AU65" i="1"/>
  <c r="AT65" i="1"/>
  <c r="AO64" i="1"/>
  <c r="CL64" i="1"/>
  <c r="EI64" i="1"/>
  <c r="AN64" i="1"/>
  <c r="CK64" i="1"/>
  <c r="EH64" i="1"/>
  <c r="AI64" i="1"/>
  <c r="CF64" i="1"/>
  <c r="EC64" i="1"/>
  <c r="AH64" i="1"/>
  <c r="CE64" i="1"/>
  <c r="EB64" i="1"/>
  <c r="AC64" i="1"/>
  <c r="BZ64" i="1"/>
  <c r="DW64" i="1"/>
  <c r="AB64" i="1"/>
  <c r="BY64" i="1"/>
  <c r="DV64" i="1"/>
  <c r="W64" i="1"/>
  <c r="BT64" i="1"/>
  <c r="DQ64" i="1"/>
  <c r="V64" i="1"/>
  <c r="BS64" i="1"/>
  <c r="DP64" i="1"/>
  <c r="Q64" i="1"/>
  <c r="BN64" i="1"/>
  <c r="DK64" i="1"/>
  <c r="P64" i="1"/>
  <c r="BM64" i="1"/>
  <c r="DJ64" i="1"/>
  <c r="O64" i="1"/>
  <c r="BL64" i="1"/>
  <c r="DI64" i="1"/>
  <c r="N64" i="1"/>
  <c r="BK64" i="1"/>
  <c r="DH64" i="1"/>
  <c r="M64" i="1"/>
  <c r="BJ64" i="1"/>
  <c r="DG64" i="1"/>
  <c r="L64" i="1"/>
  <c r="BI64" i="1"/>
  <c r="DF64" i="1"/>
  <c r="K64" i="1"/>
  <c r="BH64" i="1"/>
  <c r="DE64" i="1"/>
  <c r="J64" i="1"/>
  <c r="BG64" i="1"/>
  <c r="DD64" i="1"/>
  <c r="I64" i="1"/>
  <c r="BF64" i="1"/>
  <c r="DC64" i="1"/>
  <c r="H64" i="1"/>
  <c r="BE64" i="1"/>
  <c r="DB64" i="1"/>
  <c r="G64" i="1"/>
  <c r="BD64" i="1"/>
  <c r="DA64" i="1"/>
  <c r="CZ64" i="1"/>
  <c r="CY64" i="1"/>
  <c r="CX64" i="1"/>
  <c r="CW64" i="1"/>
  <c r="CV64" i="1"/>
  <c r="CU64" i="1"/>
  <c r="CT64" i="1"/>
  <c r="CS64" i="1"/>
  <c r="CR64" i="1"/>
  <c r="CQ64" i="1"/>
  <c r="BC64" i="1"/>
  <c r="BB64" i="1"/>
  <c r="BA64" i="1"/>
  <c r="AZ64" i="1"/>
  <c r="AY64" i="1"/>
  <c r="AX64" i="1"/>
  <c r="AW64" i="1"/>
  <c r="AV64" i="1"/>
  <c r="AU64" i="1"/>
  <c r="AT64" i="1"/>
  <c r="AO63" i="1"/>
  <c r="CL63" i="1"/>
  <c r="EI63" i="1"/>
  <c r="AN63" i="1"/>
  <c r="CK63" i="1"/>
  <c r="EH63" i="1"/>
  <c r="AI63" i="1"/>
  <c r="CF63" i="1"/>
  <c r="EC63" i="1"/>
  <c r="AH63" i="1"/>
  <c r="CE63" i="1"/>
  <c r="EB63" i="1"/>
  <c r="AC63" i="1"/>
  <c r="BZ63" i="1"/>
  <c r="DW63" i="1"/>
  <c r="AB63" i="1"/>
  <c r="BY63" i="1"/>
  <c r="DV63" i="1"/>
  <c r="W63" i="1"/>
  <c r="BT63" i="1"/>
  <c r="DQ63" i="1"/>
  <c r="V63" i="1"/>
  <c r="BS63" i="1"/>
  <c r="DP63" i="1"/>
  <c r="Q63" i="1"/>
  <c r="BN63" i="1"/>
  <c r="DK63" i="1"/>
  <c r="P63" i="1"/>
  <c r="BM63" i="1"/>
  <c r="DJ63" i="1"/>
  <c r="O63" i="1"/>
  <c r="BL63" i="1"/>
  <c r="DI63" i="1"/>
  <c r="N63" i="1"/>
  <c r="BK63" i="1"/>
  <c r="DH63" i="1"/>
  <c r="M63" i="1"/>
  <c r="BJ63" i="1"/>
  <c r="DG63" i="1"/>
  <c r="L63" i="1"/>
  <c r="BI63" i="1"/>
  <c r="DF63" i="1"/>
  <c r="K63" i="1"/>
  <c r="BH63" i="1"/>
  <c r="DE63" i="1"/>
  <c r="J63" i="1"/>
  <c r="BG63" i="1"/>
  <c r="DD63" i="1"/>
  <c r="I63" i="1"/>
  <c r="BF63" i="1"/>
  <c r="DC63" i="1"/>
  <c r="H63" i="1"/>
  <c r="BE63" i="1"/>
  <c r="DB63" i="1"/>
  <c r="G63" i="1"/>
  <c r="BD63" i="1"/>
  <c r="DA63" i="1"/>
  <c r="CZ63" i="1"/>
  <c r="CY63" i="1"/>
  <c r="CX63" i="1"/>
  <c r="CW63" i="1"/>
  <c r="CV63" i="1"/>
  <c r="CU63" i="1"/>
  <c r="CT63" i="1"/>
  <c r="CS63" i="1"/>
  <c r="CR63" i="1"/>
  <c r="CQ63" i="1"/>
  <c r="BC63" i="1"/>
  <c r="BB63" i="1"/>
  <c r="BA63" i="1"/>
  <c r="AZ63" i="1"/>
  <c r="AY63" i="1"/>
  <c r="AX63" i="1"/>
  <c r="AW63" i="1"/>
  <c r="AV63" i="1"/>
  <c r="AU63" i="1"/>
  <c r="AT63" i="1"/>
  <c r="AO62" i="1"/>
  <c r="CL62" i="1"/>
  <c r="EI62" i="1"/>
  <c r="AN62" i="1"/>
  <c r="CK62" i="1"/>
  <c r="EH62" i="1"/>
  <c r="AI62" i="1"/>
  <c r="CF62" i="1"/>
  <c r="EC62" i="1"/>
  <c r="AH62" i="1"/>
  <c r="CE62" i="1"/>
  <c r="EB62" i="1"/>
  <c r="AC62" i="1"/>
  <c r="BZ62" i="1"/>
  <c r="DW62" i="1"/>
  <c r="AB62" i="1"/>
  <c r="BY62" i="1"/>
  <c r="DV62" i="1"/>
  <c r="W62" i="1"/>
  <c r="BT62" i="1"/>
  <c r="DQ62" i="1"/>
  <c r="V62" i="1"/>
  <c r="BS62" i="1"/>
  <c r="DP62" i="1"/>
  <c r="Q62" i="1"/>
  <c r="BN62" i="1"/>
  <c r="DK62" i="1"/>
  <c r="P62" i="1"/>
  <c r="BM62" i="1"/>
  <c r="DJ62" i="1"/>
  <c r="O62" i="1"/>
  <c r="BL62" i="1"/>
  <c r="DI62" i="1"/>
  <c r="N62" i="1"/>
  <c r="BK62" i="1"/>
  <c r="DH62" i="1"/>
  <c r="M62" i="1"/>
  <c r="BJ62" i="1"/>
  <c r="DG62" i="1"/>
  <c r="L62" i="1"/>
  <c r="BI62" i="1"/>
  <c r="DF62" i="1"/>
  <c r="K62" i="1"/>
  <c r="BH62" i="1"/>
  <c r="DE62" i="1"/>
  <c r="J62" i="1"/>
  <c r="BG62" i="1"/>
  <c r="DD62" i="1"/>
  <c r="I62" i="1"/>
  <c r="BF62" i="1"/>
  <c r="DC62" i="1"/>
  <c r="H62" i="1"/>
  <c r="BE62" i="1"/>
  <c r="DB62" i="1"/>
  <c r="G62" i="1"/>
  <c r="BD62" i="1"/>
  <c r="DA62" i="1"/>
  <c r="CZ62" i="1"/>
  <c r="CY62" i="1"/>
  <c r="CX62" i="1"/>
  <c r="CW62" i="1"/>
  <c r="CV62" i="1"/>
  <c r="CU62" i="1"/>
  <c r="CT62" i="1"/>
  <c r="CS62" i="1"/>
  <c r="CR62" i="1"/>
  <c r="CQ62" i="1"/>
  <c r="BC62" i="1"/>
  <c r="BB62" i="1"/>
  <c r="BA62" i="1"/>
  <c r="AZ62" i="1"/>
  <c r="AY62" i="1"/>
  <c r="AX62" i="1"/>
  <c r="AW62" i="1"/>
  <c r="AV62" i="1"/>
  <c r="AU62" i="1"/>
  <c r="AT62" i="1"/>
  <c r="AO61" i="1"/>
  <c r="CL61" i="1"/>
  <c r="EI61" i="1"/>
  <c r="AN61" i="1"/>
  <c r="CK61" i="1"/>
  <c r="EH61" i="1"/>
  <c r="AI61" i="1"/>
  <c r="CF61" i="1"/>
  <c r="EC61" i="1"/>
  <c r="AH61" i="1"/>
  <c r="CE61" i="1"/>
  <c r="EB61" i="1"/>
  <c r="AC61" i="1"/>
  <c r="BZ61" i="1"/>
  <c r="DW61" i="1"/>
  <c r="AB61" i="1"/>
  <c r="BY61" i="1"/>
  <c r="DV61" i="1"/>
  <c r="W61" i="1"/>
  <c r="BT61" i="1"/>
  <c r="DQ61" i="1"/>
  <c r="V61" i="1"/>
  <c r="BS61" i="1"/>
  <c r="DP61" i="1"/>
  <c r="Q61" i="1"/>
  <c r="BN61" i="1"/>
  <c r="DK61" i="1"/>
  <c r="P61" i="1"/>
  <c r="BM61" i="1"/>
  <c r="DJ61" i="1"/>
  <c r="O61" i="1"/>
  <c r="BL61" i="1"/>
  <c r="DI61" i="1"/>
  <c r="N61" i="1"/>
  <c r="BK61" i="1"/>
  <c r="DH61" i="1"/>
  <c r="M61" i="1"/>
  <c r="BJ61" i="1"/>
  <c r="DG61" i="1"/>
  <c r="L61" i="1"/>
  <c r="BI61" i="1"/>
  <c r="DF61" i="1"/>
  <c r="K61" i="1"/>
  <c r="BH61" i="1"/>
  <c r="DE61" i="1"/>
  <c r="J61" i="1"/>
  <c r="BG61" i="1"/>
  <c r="DD61" i="1"/>
  <c r="I61" i="1"/>
  <c r="BF61" i="1"/>
  <c r="DC61" i="1"/>
  <c r="H61" i="1"/>
  <c r="BE61" i="1"/>
  <c r="DB61" i="1"/>
  <c r="G61" i="1"/>
  <c r="BD61" i="1"/>
  <c r="DA61" i="1"/>
  <c r="CZ61" i="1"/>
  <c r="CY61" i="1"/>
  <c r="CX61" i="1"/>
  <c r="CW61" i="1"/>
  <c r="CV61" i="1"/>
  <c r="CU61" i="1"/>
  <c r="CT61" i="1"/>
  <c r="CS61" i="1"/>
  <c r="CR61" i="1"/>
  <c r="CQ61" i="1"/>
  <c r="BC61" i="1"/>
  <c r="BB61" i="1"/>
  <c r="BA61" i="1"/>
  <c r="AZ61" i="1"/>
  <c r="AY61" i="1"/>
  <c r="AX61" i="1"/>
  <c r="AW61" i="1"/>
  <c r="AV61" i="1"/>
  <c r="AU61" i="1"/>
  <c r="AT61" i="1"/>
  <c r="AO60" i="1"/>
  <c r="CL60" i="1"/>
  <c r="EI60" i="1"/>
  <c r="AN60" i="1"/>
  <c r="CK60" i="1"/>
  <c r="EH60" i="1"/>
  <c r="AI60" i="1"/>
  <c r="CF60" i="1"/>
  <c r="EC60" i="1"/>
  <c r="AH60" i="1"/>
  <c r="CE60" i="1"/>
  <c r="EB60" i="1"/>
  <c r="AC60" i="1"/>
  <c r="BZ60" i="1"/>
  <c r="DW60" i="1"/>
  <c r="AB60" i="1"/>
  <c r="BY60" i="1"/>
  <c r="DV60" i="1"/>
  <c r="W60" i="1"/>
  <c r="BT60" i="1"/>
  <c r="DQ60" i="1"/>
  <c r="V60" i="1"/>
  <c r="BS60" i="1"/>
  <c r="DP60" i="1"/>
  <c r="Q60" i="1"/>
  <c r="BN60" i="1"/>
  <c r="DK60" i="1"/>
  <c r="P60" i="1"/>
  <c r="BM60" i="1"/>
  <c r="DJ60" i="1"/>
  <c r="O60" i="1"/>
  <c r="BL60" i="1"/>
  <c r="DI60" i="1"/>
  <c r="N60" i="1"/>
  <c r="BK60" i="1"/>
  <c r="DH60" i="1"/>
  <c r="M60" i="1"/>
  <c r="BJ60" i="1"/>
  <c r="DG60" i="1"/>
  <c r="L60" i="1"/>
  <c r="BI60" i="1"/>
  <c r="DF60" i="1"/>
  <c r="K60" i="1"/>
  <c r="BH60" i="1"/>
  <c r="DE60" i="1"/>
  <c r="J60" i="1"/>
  <c r="BG60" i="1"/>
  <c r="DD60" i="1"/>
  <c r="I60" i="1"/>
  <c r="BF60" i="1"/>
  <c r="DC60" i="1"/>
  <c r="H60" i="1"/>
  <c r="BE60" i="1"/>
  <c r="DB60" i="1"/>
  <c r="G60" i="1"/>
  <c r="BD60" i="1"/>
  <c r="DA60" i="1"/>
  <c r="CZ60" i="1"/>
  <c r="CY60" i="1"/>
  <c r="CX60" i="1"/>
  <c r="CW60" i="1"/>
  <c r="CV60" i="1"/>
  <c r="CU60" i="1"/>
  <c r="CT60" i="1"/>
  <c r="CS60" i="1"/>
  <c r="CR60" i="1"/>
  <c r="CQ60" i="1"/>
  <c r="BC60" i="1"/>
  <c r="BB60" i="1"/>
  <c r="BA60" i="1"/>
  <c r="AZ60" i="1"/>
  <c r="AY60" i="1"/>
  <c r="AX60" i="1"/>
  <c r="AW60" i="1"/>
  <c r="AV60" i="1"/>
  <c r="AU60" i="1"/>
  <c r="AT60" i="1"/>
  <c r="AO59" i="1"/>
  <c r="CL59" i="1"/>
  <c r="EI59" i="1"/>
  <c r="AN59" i="1"/>
  <c r="CK59" i="1"/>
  <c r="EH59" i="1"/>
  <c r="AI59" i="1"/>
  <c r="CF59" i="1"/>
  <c r="EC59" i="1"/>
  <c r="AH59" i="1"/>
  <c r="CE59" i="1"/>
  <c r="EB59" i="1"/>
  <c r="AC59" i="1"/>
  <c r="BZ59" i="1"/>
  <c r="DW59" i="1"/>
  <c r="AB59" i="1"/>
  <c r="BY59" i="1"/>
  <c r="DV59" i="1"/>
  <c r="W59" i="1"/>
  <c r="BT59" i="1"/>
  <c r="DQ59" i="1"/>
  <c r="V59" i="1"/>
  <c r="BS59" i="1"/>
  <c r="DP59" i="1"/>
  <c r="Q59" i="1"/>
  <c r="BN59" i="1"/>
  <c r="DK59" i="1"/>
  <c r="P59" i="1"/>
  <c r="BM59" i="1"/>
  <c r="DJ59" i="1"/>
  <c r="O59" i="1"/>
  <c r="BL59" i="1"/>
  <c r="DI59" i="1"/>
  <c r="N59" i="1"/>
  <c r="BK59" i="1"/>
  <c r="DH59" i="1"/>
  <c r="M59" i="1"/>
  <c r="BJ59" i="1"/>
  <c r="DG59" i="1"/>
  <c r="L59" i="1"/>
  <c r="BI59" i="1"/>
  <c r="DF59" i="1"/>
  <c r="K59" i="1"/>
  <c r="BH59" i="1"/>
  <c r="DE59" i="1"/>
  <c r="J59" i="1"/>
  <c r="BG59" i="1"/>
  <c r="DD59" i="1"/>
  <c r="I59" i="1"/>
  <c r="BF59" i="1"/>
  <c r="DC59" i="1"/>
  <c r="H59" i="1"/>
  <c r="BE59" i="1"/>
  <c r="DB59" i="1"/>
  <c r="G59" i="1"/>
  <c r="BD59" i="1"/>
  <c r="DA59" i="1"/>
  <c r="CZ59" i="1"/>
  <c r="CY59" i="1"/>
  <c r="CX59" i="1"/>
  <c r="CW59" i="1"/>
  <c r="CV59" i="1"/>
  <c r="CU59" i="1"/>
  <c r="CT59" i="1"/>
  <c r="CS59" i="1"/>
  <c r="CR59" i="1"/>
  <c r="CQ59" i="1"/>
  <c r="BC59" i="1"/>
  <c r="BB59" i="1"/>
  <c r="BA59" i="1"/>
  <c r="AZ59" i="1"/>
  <c r="AY59" i="1"/>
  <c r="AX59" i="1"/>
  <c r="AW59" i="1"/>
  <c r="AV59" i="1"/>
  <c r="AU59" i="1"/>
  <c r="AT59" i="1"/>
  <c r="AO58" i="1"/>
  <c r="CL58" i="1"/>
  <c r="EI58" i="1"/>
  <c r="AN58" i="1"/>
  <c r="CK58" i="1"/>
  <c r="EH58" i="1"/>
  <c r="AI58" i="1"/>
  <c r="CF58" i="1"/>
  <c r="EC58" i="1"/>
  <c r="AH58" i="1"/>
  <c r="CE58" i="1"/>
  <c r="EB58" i="1"/>
  <c r="AC58" i="1"/>
  <c r="BZ58" i="1"/>
  <c r="DW58" i="1"/>
  <c r="AB58" i="1"/>
  <c r="BY58" i="1"/>
  <c r="DV58" i="1"/>
  <c r="W58" i="1"/>
  <c r="BT58" i="1"/>
  <c r="DQ58" i="1"/>
  <c r="V58" i="1"/>
  <c r="BS58" i="1"/>
  <c r="DP58" i="1"/>
  <c r="Q58" i="1"/>
  <c r="BN58" i="1"/>
  <c r="DK58" i="1"/>
  <c r="P58" i="1"/>
  <c r="BM58" i="1"/>
  <c r="DJ58" i="1"/>
  <c r="O58" i="1"/>
  <c r="BL58" i="1"/>
  <c r="DI58" i="1"/>
  <c r="N58" i="1"/>
  <c r="BK58" i="1"/>
  <c r="DH58" i="1"/>
  <c r="M58" i="1"/>
  <c r="BJ58" i="1"/>
  <c r="DG58" i="1"/>
  <c r="L58" i="1"/>
  <c r="BI58" i="1"/>
  <c r="DF58" i="1"/>
  <c r="K58" i="1"/>
  <c r="BH58" i="1"/>
  <c r="DE58" i="1"/>
  <c r="J58" i="1"/>
  <c r="BG58" i="1"/>
  <c r="DD58" i="1"/>
  <c r="I58" i="1"/>
  <c r="BF58" i="1"/>
  <c r="DC58" i="1"/>
  <c r="H58" i="1"/>
  <c r="BE58" i="1"/>
  <c r="DB58" i="1"/>
  <c r="G58" i="1"/>
  <c r="BD58" i="1"/>
  <c r="DA58" i="1"/>
  <c r="CZ58" i="1"/>
  <c r="CY58" i="1"/>
  <c r="CX58" i="1"/>
  <c r="CW58" i="1"/>
  <c r="CV58" i="1"/>
  <c r="CU58" i="1"/>
  <c r="CT58" i="1"/>
  <c r="CS58" i="1"/>
  <c r="CR58" i="1"/>
  <c r="CQ58" i="1"/>
  <c r="BC58" i="1"/>
  <c r="BB58" i="1"/>
  <c r="BA58" i="1"/>
  <c r="AZ58" i="1"/>
  <c r="AY58" i="1"/>
  <c r="AX58" i="1"/>
  <c r="AW58" i="1"/>
  <c r="AV58" i="1"/>
  <c r="AU58" i="1"/>
  <c r="AT58" i="1"/>
  <c r="AO57" i="1"/>
  <c r="CL57" i="1"/>
  <c r="EI57" i="1"/>
  <c r="AN57" i="1"/>
  <c r="CK57" i="1"/>
  <c r="EH57" i="1"/>
  <c r="AI57" i="1"/>
  <c r="CF57" i="1"/>
  <c r="EC57" i="1"/>
  <c r="AH57" i="1"/>
  <c r="CE57" i="1"/>
  <c r="EB57" i="1"/>
  <c r="AC57" i="1"/>
  <c r="BZ57" i="1"/>
  <c r="DW57" i="1"/>
  <c r="AB57" i="1"/>
  <c r="BY57" i="1"/>
  <c r="DV57" i="1"/>
  <c r="W57" i="1"/>
  <c r="BT57" i="1"/>
  <c r="DQ57" i="1"/>
  <c r="V57" i="1"/>
  <c r="BS57" i="1"/>
  <c r="DP57" i="1"/>
  <c r="Q57" i="1"/>
  <c r="BN57" i="1"/>
  <c r="DK57" i="1"/>
  <c r="P57" i="1"/>
  <c r="BM57" i="1"/>
  <c r="DJ57" i="1"/>
  <c r="O57" i="1"/>
  <c r="BL57" i="1"/>
  <c r="DI57" i="1"/>
  <c r="N57" i="1"/>
  <c r="BK57" i="1"/>
  <c r="DH57" i="1"/>
  <c r="M57" i="1"/>
  <c r="BJ57" i="1"/>
  <c r="DG57" i="1"/>
  <c r="L57" i="1"/>
  <c r="BI57" i="1"/>
  <c r="DF57" i="1"/>
  <c r="K57" i="1"/>
  <c r="BH57" i="1"/>
  <c r="DE57" i="1"/>
  <c r="J57" i="1"/>
  <c r="BG57" i="1"/>
  <c r="DD57" i="1"/>
  <c r="I57" i="1"/>
  <c r="BF57" i="1"/>
  <c r="DC57" i="1"/>
  <c r="H57" i="1"/>
  <c r="BE57" i="1"/>
  <c r="DB57" i="1"/>
  <c r="G57" i="1"/>
  <c r="BD57" i="1"/>
  <c r="DA57" i="1"/>
  <c r="CZ57" i="1"/>
  <c r="CY57" i="1"/>
  <c r="CX57" i="1"/>
  <c r="CW57" i="1"/>
  <c r="CV57" i="1"/>
  <c r="CU57" i="1"/>
  <c r="CT57" i="1"/>
  <c r="CS57" i="1"/>
  <c r="CR57" i="1"/>
  <c r="CQ57" i="1"/>
  <c r="BC57" i="1"/>
  <c r="BB57" i="1"/>
  <c r="BA57" i="1"/>
  <c r="AZ57" i="1"/>
  <c r="AY57" i="1"/>
  <c r="AX57" i="1"/>
  <c r="AW57" i="1"/>
  <c r="AV57" i="1"/>
  <c r="AU57" i="1"/>
  <c r="AT57" i="1"/>
  <c r="AO56" i="1"/>
  <c r="CL56" i="1"/>
  <c r="EI56" i="1"/>
  <c r="AN56" i="1"/>
  <c r="CK56" i="1"/>
  <c r="EH56" i="1"/>
  <c r="AI56" i="1"/>
  <c r="CF56" i="1"/>
  <c r="EC56" i="1"/>
  <c r="AH56" i="1"/>
  <c r="CE56" i="1"/>
  <c r="EB56" i="1"/>
  <c r="AC56" i="1"/>
  <c r="BZ56" i="1"/>
  <c r="DW56" i="1"/>
  <c r="AB56" i="1"/>
  <c r="BY56" i="1"/>
  <c r="DV56" i="1"/>
  <c r="W56" i="1"/>
  <c r="BT56" i="1"/>
  <c r="DQ56" i="1"/>
  <c r="V56" i="1"/>
  <c r="BS56" i="1"/>
  <c r="DP56" i="1"/>
  <c r="Q56" i="1"/>
  <c r="BN56" i="1"/>
  <c r="DK56" i="1"/>
  <c r="P56" i="1"/>
  <c r="BM56" i="1"/>
  <c r="DJ56" i="1"/>
  <c r="O56" i="1"/>
  <c r="BL56" i="1"/>
  <c r="DI56" i="1"/>
  <c r="N56" i="1"/>
  <c r="BK56" i="1"/>
  <c r="DH56" i="1"/>
  <c r="M56" i="1"/>
  <c r="BJ56" i="1"/>
  <c r="DG56" i="1"/>
  <c r="L56" i="1"/>
  <c r="BI56" i="1"/>
  <c r="DF56" i="1"/>
  <c r="K56" i="1"/>
  <c r="BH56" i="1"/>
  <c r="DE56" i="1"/>
  <c r="J56" i="1"/>
  <c r="BG56" i="1"/>
  <c r="DD56" i="1"/>
  <c r="I56" i="1"/>
  <c r="BF56" i="1"/>
  <c r="DC56" i="1"/>
  <c r="H56" i="1"/>
  <c r="BE56" i="1"/>
  <c r="DB56" i="1"/>
  <c r="G56" i="1"/>
  <c r="BD56" i="1"/>
  <c r="DA56" i="1"/>
  <c r="CZ56" i="1"/>
  <c r="CY56" i="1"/>
  <c r="CX56" i="1"/>
  <c r="CW56" i="1"/>
  <c r="CV56" i="1"/>
  <c r="CU56" i="1"/>
  <c r="CT56" i="1"/>
  <c r="CS56" i="1"/>
  <c r="CR56" i="1"/>
  <c r="CQ56" i="1"/>
  <c r="BC56" i="1"/>
  <c r="BB56" i="1"/>
  <c r="BA56" i="1"/>
  <c r="AZ56" i="1"/>
  <c r="AY56" i="1"/>
  <c r="AX56" i="1"/>
  <c r="AW56" i="1"/>
  <c r="AV56" i="1"/>
  <c r="AU56" i="1"/>
  <c r="AT56" i="1"/>
  <c r="AO55" i="1"/>
  <c r="CL55" i="1"/>
  <c r="EI55" i="1"/>
  <c r="AN55" i="1"/>
  <c r="CK55" i="1"/>
  <c r="EH55" i="1"/>
  <c r="AI55" i="1"/>
  <c r="CF55" i="1"/>
  <c r="EC55" i="1"/>
  <c r="AH55" i="1"/>
  <c r="CE55" i="1"/>
  <c r="EB55" i="1"/>
  <c r="AC55" i="1"/>
  <c r="BZ55" i="1"/>
  <c r="DW55" i="1"/>
  <c r="AB55" i="1"/>
  <c r="BY55" i="1"/>
  <c r="DV55" i="1"/>
  <c r="W55" i="1"/>
  <c r="BT55" i="1"/>
  <c r="DQ55" i="1"/>
  <c r="V55" i="1"/>
  <c r="BS55" i="1"/>
  <c r="DP55" i="1"/>
  <c r="Q55" i="1"/>
  <c r="BN55" i="1"/>
  <c r="DK55" i="1"/>
  <c r="P55" i="1"/>
  <c r="BM55" i="1"/>
  <c r="DJ55" i="1"/>
  <c r="O55" i="1"/>
  <c r="BL55" i="1"/>
  <c r="DI55" i="1"/>
  <c r="N55" i="1"/>
  <c r="BK55" i="1"/>
  <c r="DH55" i="1"/>
  <c r="M55" i="1"/>
  <c r="BJ55" i="1"/>
  <c r="DG55" i="1"/>
  <c r="L55" i="1"/>
  <c r="BI55" i="1"/>
  <c r="DF55" i="1"/>
  <c r="K55" i="1"/>
  <c r="BH55" i="1"/>
  <c r="DE55" i="1"/>
  <c r="J55" i="1"/>
  <c r="BG55" i="1"/>
  <c r="DD55" i="1"/>
  <c r="I55" i="1"/>
  <c r="BF55" i="1"/>
  <c r="DC55" i="1"/>
  <c r="H55" i="1"/>
  <c r="BE55" i="1"/>
  <c r="DB55" i="1"/>
  <c r="G55" i="1"/>
  <c r="BD55" i="1"/>
  <c r="DA55" i="1"/>
  <c r="CZ55" i="1"/>
  <c r="CY55" i="1"/>
  <c r="CX55" i="1"/>
  <c r="CW55" i="1"/>
  <c r="CV55" i="1"/>
  <c r="CU55" i="1"/>
  <c r="CT55" i="1"/>
  <c r="CS55" i="1"/>
  <c r="CR55" i="1"/>
  <c r="CQ55" i="1"/>
  <c r="BC55" i="1"/>
  <c r="BB55" i="1"/>
  <c r="BA55" i="1"/>
  <c r="AZ55" i="1"/>
  <c r="AY55" i="1"/>
  <c r="AX55" i="1"/>
  <c r="AW55" i="1"/>
  <c r="AV55" i="1"/>
  <c r="AU55" i="1"/>
  <c r="AT55" i="1"/>
  <c r="AO54" i="1"/>
  <c r="CL54" i="1"/>
  <c r="EI54" i="1"/>
  <c r="AN54" i="1"/>
  <c r="CK54" i="1"/>
  <c r="EH54" i="1"/>
  <c r="AI54" i="1"/>
  <c r="CF54" i="1"/>
  <c r="EC54" i="1"/>
  <c r="AH54" i="1"/>
  <c r="CE54" i="1"/>
  <c r="EB54" i="1"/>
  <c r="AC54" i="1"/>
  <c r="BZ54" i="1"/>
  <c r="DW54" i="1"/>
  <c r="AB54" i="1"/>
  <c r="BY54" i="1"/>
  <c r="DV54" i="1"/>
  <c r="W54" i="1"/>
  <c r="BT54" i="1"/>
  <c r="DQ54" i="1"/>
  <c r="V54" i="1"/>
  <c r="BS54" i="1"/>
  <c r="DP54" i="1"/>
  <c r="Q54" i="1"/>
  <c r="BN54" i="1"/>
  <c r="DK54" i="1"/>
  <c r="P54" i="1"/>
  <c r="BM54" i="1"/>
  <c r="DJ54" i="1"/>
  <c r="O54" i="1"/>
  <c r="BL54" i="1"/>
  <c r="DI54" i="1"/>
  <c r="N54" i="1"/>
  <c r="BK54" i="1"/>
  <c r="DH54" i="1"/>
  <c r="M54" i="1"/>
  <c r="BJ54" i="1"/>
  <c r="DG54" i="1"/>
  <c r="L54" i="1"/>
  <c r="BI54" i="1"/>
  <c r="DF54" i="1"/>
  <c r="K54" i="1"/>
  <c r="BH54" i="1"/>
  <c r="DE54" i="1"/>
  <c r="J54" i="1"/>
  <c r="BG54" i="1"/>
  <c r="DD54" i="1"/>
  <c r="I54" i="1"/>
  <c r="BF54" i="1"/>
  <c r="DC54" i="1"/>
  <c r="H54" i="1"/>
  <c r="BE54" i="1"/>
  <c r="DB54" i="1"/>
  <c r="G54" i="1"/>
  <c r="BD54" i="1"/>
  <c r="DA54" i="1"/>
  <c r="CZ54" i="1"/>
  <c r="CY54" i="1"/>
  <c r="CX54" i="1"/>
  <c r="CW54" i="1"/>
  <c r="CV54" i="1"/>
  <c r="CU54" i="1"/>
  <c r="CT54" i="1"/>
  <c r="CS54" i="1"/>
  <c r="CR54" i="1"/>
  <c r="CQ54" i="1"/>
  <c r="BC54" i="1"/>
  <c r="BB54" i="1"/>
  <c r="BA54" i="1"/>
  <c r="AZ54" i="1"/>
  <c r="AY54" i="1"/>
  <c r="AX54" i="1"/>
  <c r="AW54" i="1"/>
  <c r="AV54" i="1"/>
  <c r="AU54" i="1"/>
  <c r="AT54" i="1"/>
  <c r="AO53" i="1"/>
  <c r="CL53" i="1"/>
  <c r="EI53" i="1"/>
  <c r="AN53" i="1"/>
  <c r="CK53" i="1"/>
  <c r="EH53" i="1"/>
  <c r="AI53" i="1"/>
  <c r="CF53" i="1"/>
  <c r="EC53" i="1"/>
  <c r="AH53" i="1"/>
  <c r="CE53" i="1"/>
  <c r="EB53" i="1"/>
  <c r="AC53" i="1"/>
  <c r="BZ53" i="1"/>
  <c r="DW53" i="1"/>
  <c r="AB53" i="1"/>
  <c r="BY53" i="1"/>
  <c r="DV53" i="1"/>
  <c r="W53" i="1"/>
  <c r="BT53" i="1"/>
  <c r="DQ53" i="1"/>
  <c r="V53" i="1"/>
  <c r="BS53" i="1"/>
  <c r="DP53" i="1"/>
  <c r="Q53" i="1"/>
  <c r="BN53" i="1"/>
  <c r="DK53" i="1"/>
  <c r="P53" i="1"/>
  <c r="BM53" i="1"/>
  <c r="DJ53" i="1"/>
  <c r="O53" i="1"/>
  <c r="BL53" i="1"/>
  <c r="DI53" i="1"/>
  <c r="N53" i="1"/>
  <c r="BK53" i="1"/>
  <c r="DH53" i="1"/>
  <c r="M53" i="1"/>
  <c r="BJ53" i="1"/>
  <c r="DG53" i="1"/>
  <c r="L53" i="1"/>
  <c r="BI53" i="1"/>
  <c r="DF53" i="1"/>
  <c r="K53" i="1"/>
  <c r="BH53" i="1"/>
  <c r="DE53" i="1"/>
  <c r="J53" i="1"/>
  <c r="BG53" i="1"/>
  <c r="DD53" i="1"/>
  <c r="I53" i="1"/>
  <c r="BF53" i="1"/>
  <c r="DC53" i="1"/>
  <c r="H53" i="1"/>
  <c r="BE53" i="1"/>
  <c r="DB53" i="1"/>
  <c r="G53" i="1"/>
  <c r="BD53" i="1"/>
  <c r="DA53" i="1"/>
  <c r="CZ53" i="1"/>
  <c r="CY53" i="1"/>
  <c r="CX53" i="1"/>
  <c r="CW53" i="1"/>
  <c r="CV53" i="1"/>
  <c r="CU53" i="1"/>
  <c r="CT53" i="1"/>
  <c r="CS53" i="1"/>
  <c r="CR53" i="1"/>
  <c r="CQ53" i="1"/>
  <c r="BC53" i="1"/>
  <c r="BB53" i="1"/>
  <c r="BA53" i="1"/>
  <c r="AZ53" i="1"/>
  <c r="AY53" i="1"/>
  <c r="AX53" i="1"/>
  <c r="AW53" i="1"/>
  <c r="AV53" i="1"/>
  <c r="AU53" i="1"/>
  <c r="AT53" i="1"/>
  <c r="AO52" i="1"/>
  <c r="CL52" i="1"/>
  <c r="EI52" i="1"/>
  <c r="AN52" i="1"/>
  <c r="CK52" i="1"/>
  <c r="EH52" i="1"/>
  <c r="AI52" i="1"/>
  <c r="CF52" i="1"/>
  <c r="EC52" i="1"/>
  <c r="AH52" i="1"/>
  <c r="CE52" i="1"/>
  <c r="EB52" i="1"/>
  <c r="AC52" i="1"/>
  <c r="BZ52" i="1"/>
  <c r="DW52" i="1"/>
  <c r="AB52" i="1"/>
  <c r="BY52" i="1"/>
  <c r="DV52" i="1"/>
  <c r="W52" i="1"/>
  <c r="BT52" i="1"/>
  <c r="DQ52" i="1"/>
  <c r="V52" i="1"/>
  <c r="BS52" i="1"/>
  <c r="DP52" i="1"/>
  <c r="Q52" i="1"/>
  <c r="BN52" i="1"/>
  <c r="DK52" i="1"/>
  <c r="P52" i="1"/>
  <c r="BM52" i="1"/>
  <c r="DJ52" i="1"/>
  <c r="O52" i="1"/>
  <c r="BL52" i="1"/>
  <c r="DI52" i="1"/>
  <c r="N52" i="1"/>
  <c r="BK52" i="1"/>
  <c r="DH52" i="1"/>
  <c r="M52" i="1"/>
  <c r="BJ52" i="1"/>
  <c r="DG52" i="1"/>
  <c r="L52" i="1"/>
  <c r="BI52" i="1"/>
  <c r="DF52" i="1"/>
  <c r="K52" i="1"/>
  <c r="BH52" i="1"/>
  <c r="DE52" i="1"/>
  <c r="J52" i="1"/>
  <c r="BG52" i="1"/>
  <c r="DD52" i="1"/>
  <c r="I52" i="1"/>
  <c r="BF52" i="1"/>
  <c r="DC52" i="1"/>
  <c r="H52" i="1"/>
  <c r="BE52" i="1"/>
  <c r="DB52" i="1"/>
  <c r="G52" i="1"/>
  <c r="BD52" i="1"/>
  <c r="DA52" i="1"/>
  <c r="CZ52" i="1"/>
  <c r="CY52" i="1"/>
  <c r="CX52" i="1"/>
  <c r="CW52" i="1"/>
  <c r="CV52" i="1"/>
  <c r="CU52" i="1"/>
  <c r="CT52" i="1"/>
  <c r="CS52" i="1"/>
  <c r="CR52" i="1"/>
  <c r="CQ52" i="1"/>
  <c r="BC52" i="1"/>
  <c r="BB52" i="1"/>
  <c r="BA52" i="1"/>
  <c r="AZ52" i="1"/>
  <c r="AY52" i="1"/>
  <c r="AX52" i="1"/>
  <c r="AW52" i="1"/>
  <c r="AV52" i="1"/>
  <c r="AU52" i="1"/>
  <c r="AT52" i="1"/>
  <c r="AO51" i="1"/>
  <c r="CL51" i="1"/>
  <c r="EI51" i="1"/>
  <c r="AN51" i="1"/>
  <c r="CK51" i="1"/>
  <c r="EH51" i="1"/>
  <c r="AI51" i="1"/>
  <c r="CF51" i="1"/>
  <c r="EC51" i="1"/>
  <c r="AH51" i="1"/>
  <c r="CE51" i="1"/>
  <c r="EB51" i="1"/>
  <c r="AC51" i="1"/>
  <c r="BZ51" i="1"/>
  <c r="DW51" i="1"/>
  <c r="AB51" i="1"/>
  <c r="BY51" i="1"/>
  <c r="DV51" i="1"/>
  <c r="W51" i="1"/>
  <c r="BT51" i="1"/>
  <c r="DQ51" i="1"/>
  <c r="V51" i="1"/>
  <c r="BS51" i="1"/>
  <c r="DP51" i="1"/>
  <c r="Q51" i="1"/>
  <c r="BN51" i="1"/>
  <c r="DK51" i="1"/>
  <c r="P51" i="1"/>
  <c r="BM51" i="1"/>
  <c r="DJ51" i="1"/>
  <c r="O51" i="1"/>
  <c r="BL51" i="1"/>
  <c r="DI51" i="1"/>
  <c r="N51" i="1"/>
  <c r="BK51" i="1"/>
  <c r="DH51" i="1"/>
  <c r="M51" i="1"/>
  <c r="BJ51" i="1"/>
  <c r="DG51" i="1"/>
  <c r="L51" i="1"/>
  <c r="BI51" i="1"/>
  <c r="DF51" i="1"/>
  <c r="K51" i="1"/>
  <c r="BH51" i="1"/>
  <c r="DE51" i="1"/>
  <c r="J51" i="1"/>
  <c r="BG51" i="1"/>
  <c r="DD51" i="1"/>
  <c r="I51" i="1"/>
  <c r="BF51" i="1"/>
  <c r="DC51" i="1"/>
  <c r="H51" i="1"/>
  <c r="BE51" i="1"/>
  <c r="DB51" i="1"/>
  <c r="G51" i="1"/>
  <c r="BD51" i="1"/>
  <c r="DA51" i="1"/>
  <c r="CZ51" i="1"/>
  <c r="CY51" i="1"/>
  <c r="CX51" i="1"/>
  <c r="CW51" i="1"/>
  <c r="CV51" i="1"/>
  <c r="CU51" i="1"/>
  <c r="CT51" i="1"/>
  <c r="CS51" i="1"/>
  <c r="CR51" i="1"/>
  <c r="CQ51" i="1"/>
  <c r="BC51" i="1"/>
  <c r="BB51" i="1"/>
  <c r="BA51" i="1"/>
  <c r="AZ51" i="1"/>
  <c r="AY51" i="1"/>
  <c r="AX51" i="1"/>
  <c r="AW51" i="1"/>
  <c r="AV51" i="1"/>
  <c r="AU51" i="1"/>
  <c r="AT51" i="1"/>
  <c r="AO50" i="1"/>
  <c r="CL50" i="1"/>
  <c r="EI50" i="1"/>
  <c r="AN50" i="1"/>
  <c r="CK50" i="1"/>
  <c r="EH50" i="1"/>
  <c r="AI50" i="1"/>
  <c r="CF50" i="1"/>
  <c r="EC50" i="1"/>
  <c r="AH50" i="1"/>
  <c r="CE50" i="1"/>
  <c r="EB50" i="1"/>
  <c r="AC50" i="1"/>
  <c r="BZ50" i="1"/>
  <c r="DW50" i="1"/>
  <c r="AB50" i="1"/>
  <c r="BY50" i="1"/>
  <c r="DV50" i="1"/>
  <c r="W50" i="1"/>
  <c r="BT50" i="1"/>
  <c r="DQ50" i="1"/>
  <c r="V50" i="1"/>
  <c r="BS50" i="1"/>
  <c r="DP50" i="1"/>
  <c r="Q50" i="1"/>
  <c r="BN50" i="1"/>
  <c r="DK50" i="1"/>
  <c r="P50" i="1"/>
  <c r="BM50" i="1"/>
  <c r="DJ50" i="1"/>
  <c r="O50" i="1"/>
  <c r="BL50" i="1"/>
  <c r="DI50" i="1"/>
  <c r="N50" i="1"/>
  <c r="BK50" i="1"/>
  <c r="DH50" i="1"/>
  <c r="M50" i="1"/>
  <c r="BJ50" i="1"/>
  <c r="DG50" i="1"/>
  <c r="L50" i="1"/>
  <c r="BI50" i="1"/>
  <c r="DF50" i="1"/>
  <c r="K50" i="1"/>
  <c r="BH50" i="1"/>
  <c r="DE50" i="1"/>
  <c r="J50" i="1"/>
  <c r="BG50" i="1"/>
  <c r="DD50" i="1"/>
  <c r="I50" i="1"/>
  <c r="BF50" i="1"/>
  <c r="DC50" i="1"/>
  <c r="H50" i="1"/>
  <c r="BE50" i="1"/>
  <c r="DB50" i="1"/>
  <c r="G50" i="1"/>
  <c r="BD50" i="1"/>
  <c r="DA50" i="1"/>
  <c r="CZ50" i="1"/>
  <c r="CY50" i="1"/>
  <c r="CX50" i="1"/>
  <c r="CW50" i="1"/>
  <c r="CV50" i="1"/>
  <c r="CU50" i="1"/>
  <c r="CT50" i="1"/>
  <c r="CS50" i="1"/>
  <c r="CR50" i="1"/>
  <c r="CQ50" i="1"/>
  <c r="BC50" i="1"/>
  <c r="BB50" i="1"/>
  <c r="BA50" i="1"/>
  <c r="AZ50" i="1"/>
  <c r="AY50" i="1"/>
  <c r="AX50" i="1"/>
  <c r="AW50" i="1"/>
  <c r="AV50" i="1"/>
  <c r="AU50" i="1"/>
  <c r="AT50" i="1"/>
  <c r="AO49" i="1"/>
  <c r="CL49" i="1"/>
  <c r="EI49" i="1"/>
  <c r="AN49" i="1"/>
  <c r="CK49" i="1"/>
  <c r="EH49" i="1"/>
  <c r="AI49" i="1"/>
  <c r="CF49" i="1"/>
  <c r="EC49" i="1"/>
  <c r="AH49" i="1"/>
  <c r="CE49" i="1"/>
  <c r="EB49" i="1"/>
  <c r="AC49" i="1"/>
  <c r="BZ49" i="1"/>
  <c r="DW49" i="1"/>
  <c r="AB49" i="1"/>
  <c r="BY49" i="1"/>
  <c r="DV49" i="1"/>
  <c r="W49" i="1"/>
  <c r="BT49" i="1"/>
  <c r="DQ49" i="1"/>
  <c r="V49" i="1"/>
  <c r="BS49" i="1"/>
  <c r="DP49" i="1"/>
  <c r="Q49" i="1"/>
  <c r="BN49" i="1"/>
  <c r="DK49" i="1"/>
  <c r="P49" i="1"/>
  <c r="BM49" i="1"/>
  <c r="DJ49" i="1"/>
  <c r="O49" i="1"/>
  <c r="BL49" i="1"/>
  <c r="DI49" i="1"/>
  <c r="N49" i="1"/>
  <c r="BK49" i="1"/>
  <c r="DH49" i="1"/>
  <c r="M49" i="1"/>
  <c r="BJ49" i="1"/>
  <c r="DG49" i="1"/>
  <c r="L49" i="1"/>
  <c r="BI49" i="1"/>
  <c r="DF49" i="1"/>
  <c r="K49" i="1"/>
  <c r="BH49" i="1"/>
  <c r="DE49" i="1"/>
  <c r="J49" i="1"/>
  <c r="BG49" i="1"/>
  <c r="DD49" i="1"/>
  <c r="I49" i="1"/>
  <c r="BF49" i="1"/>
  <c r="DC49" i="1"/>
  <c r="H49" i="1"/>
  <c r="BE49" i="1"/>
  <c r="DB49" i="1"/>
  <c r="G49" i="1"/>
  <c r="BD49" i="1"/>
  <c r="DA49" i="1"/>
  <c r="CZ49" i="1"/>
  <c r="CY49" i="1"/>
  <c r="CX49" i="1"/>
  <c r="CW49" i="1"/>
  <c r="CV49" i="1"/>
  <c r="CU49" i="1"/>
  <c r="CT49" i="1"/>
  <c r="CS49" i="1"/>
  <c r="CR49" i="1"/>
  <c r="CQ49" i="1"/>
  <c r="BC49" i="1"/>
  <c r="BB49" i="1"/>
  <c r="BA49" i="1"/>
  <c r="AZ49" i="1"/>
  <c r="AY49" i="1"/>
  <c r="AX49" i="1"/>
  <c r="AW49" i="1"/>
  <c r="AV49" i="1"/>
  <c r="AU49" i="1"/>
  <c r="AT49" i="1"/>
  <c r="AO48" i="1"/>
  <c r="CL48" i="1"/>
  <c r="EI48" i="1"/>
  <c r="AN48" i="1"/>
  <c r="CK48" i="1"/>
  <c r="EH48" i="1"/>
  <c r="AI48" i="1"/>
  <c r="CF48" i="1"/>
  <c r="EC48" i="1"/>
  <c r="AH48" i="1"/>
  <c r="CE48" i="1"/>
  <c r="EB48" i="1"/>
  <c r="AC48" i="1"/>
  <c r="BZ48" i="1"/>
  <c r="DW48" i="1"/>
  <c r="AB48" i="1"/>
  <c r="BY48" i="1"/>
  <c r="DV48" i="1"/>
  <c r="W48" i="1"/>
  <c r="BT48" i="1"/>
  <c r="DQ48" i="1"/>
  <c r="V48" i="1"/>
  <c r="BS48" i="1"/>
  <c r="DP48" i="1"/>
  <c r="Q48" i="1"/>
  <c r="BN48" i="1"/>
  <c r="DK48" i="1"/>
  <c r="P48" i="1"/>
  <c r="BM48" i="1"/>
  <c r="DJ48" i="1"/>
  <c r="O48" i="1"/>
  <c r="BL48" i="1"/>
  <c r="DI48" i="1"/>
  <c r="N48" i="1"/>
  <c r="BK48" i="1"/>
  <c r="DH48" i="1"/>
  <c r="M48" i="1"/>
  <c r="BJ48" i="1"/>
  <c r="DG48" i="1"/>
  <c r="L48" i="1"/>
  <c r="BI48" i="1"/>
  <c r="DF48" i="1"/>
  <c r="K48" i="1"/>
  <c r="BH48" i="1"/>
  <c r="DE48" i="1"/>
  <c r="J48" i="1"/>
  <c r="BG48" i="1"/>
  <c r="DD48" i="1"/>
  <c r="I48" i="1"/>
  <c r="BF48" i="1"/>
  <c r="DC48" i="1"/>
  <c r="H48" i="1"/>
  <c r="BE48" i="1"/>
  <c r="DB48" i="1"/>
  <c r="G48" i="1"/>
  <c r="BD48" i="1"/>
  <c r="DA48" i="1"/>
  <c r="CZ48" i="1"/>
  <c r="CY48" i="1"/>
  <c r="CX48" i="1"/>
  <c r="CW48" i="1"/>
  <c r="CV48" i="1"/>
  <c r="CU48" i="1"/>
  <c r="CT48" i="1"/>
  <c r="CS48" i="1"/>
  <c r="CR48" i="1"/>
  <c r="CQ48" i="1"/>
  <c r="BC48" i="1"/>
  <c r="BB48" i="1"/>
  <c r="BA48" i="1"/>
  <c r="AZ48" i="1"/>
  <c r="AY48" i="1"/>
  <c r="AX48" i="1"/>
  <c r="AW48" i="1"/>
  <c r="AV48" i="1"/>
  <c r="AU48" i="1"/>
  <c r="AT48" i="1"/>
  <c r="AO47" i="1"/>
  <c r="CL47" i="1"/>
  <c r="EI47" i="1"/>
  <c r="AN47" i="1"/>
  <c r="CK47" i="1"/>
  <c r="EH47" i="1"/>
  <c r="AI47" i="1"/>
  <c r="CF47" i="1"/>
  <c r="EC47" i="1"/>
  <c r="AH47" i="1"/>
  <c r="CE47" i="1"/>
  <c r="EB47" i="1"/>
  <c r="AC47" i="1"/>
  <c r="BZ47" i="1"/>
  <c r="DW47" i="1"/>
  <c r="AB47" i="1"/>
  <c r="BY47" i="1"/>
  <c r="DV47" i="1"/>
  <c r="W47" i="1"/>
  <c r="BT47" i="1"/>
  <c r="DQ47" i="1"/>
  <c r="V47" i="1"/>
  <c r="BS47" i="1"/>
  <c r="DP47" i="1"/>
  <c r="Q47" i="1"/>
  <c r="BN47" i="1"/>
  <c r="DK47" i="1"/>
  <c r="P47" i="1"/>
  <c r="BM47" i="1"/>
  <c r="DJ47" i="1"/>
  <c r="O47" i="1"/>
  <c r="BL47" i="1"/>
  <c r="DI47" i="1"/>
  <c r="N47" i="1"/>
  <c r="BK47" i="1"/>
  <c r="DH47" i="1"/>
  <c r="M47" i="1"/>
  <c r="BJ47" i="1"/>
  <c r="DG47" i="1"/>
  <c r="L47" i="1"/>
  <c r="BI47" i="1"/>
  <c r="DF47" i="1"/>
  <c r="K47" i="1"/>
  <c r="BH47" i="1"/>
  <c r="DE47" i="1"/>
  <c r="J47" i="1"/>
  <c r="BG47" i="1"/>
  <c r="DD47" i="1"/>
  <c r="I47" i="1"/>
  <c r="BF47" i="1"/>
  <c r="DC47" i="1"/>
  <c r="H47" i="1"/>
  <c r="BE47" i="1"/>
  <c r="DB47" i="1"/>
  <c r="G47" i="1"/>
  <c r="BD47" i="1"/>
  <c r="DA47" i="1"/>
  <c r="CZ47" i="1"/>
  <c r="CY47" i="1"/>
  <c r="CX47" i="1"/>
  <c r="CW47" i="1"/>
  <c r="CV47" i="1"/>
  <c r="CU47" i="1"/>
  <c r="CT47" i="1"/>
  <c r="CS47" i="1"/>
  <c r="CR47" i="1"/>
  <c r="CQ47" i="1"/>
  <c r="BC47" i="1"/>
  <c r="BB47" i="1"/>
  <c r="BA47" i="1"/>
  <c r="AZ47" i="1"/>
  <c r="AY47" i="1"/>
  <c r="AX47" i="1"/>
  <c r="AW47" i="1"/>
  <c r="AV47" i="1"/>
  <c r="AU47" i="1"/>
  <c r="AT47" i="1"/>
  <c r="AO46" i="1"/>
  <c r="CL46" i="1"/>
  <c r="EI46" i="1"/>
  <c r="AN46" i="1"/>
  <c r="CK46" i="1"/>
  <c r="EH46" i="1"/>
  <c r="AI46" i="1"/>
  <c r="CF46" i="1"/>
  <c r="EC46" i="1"/>
  <c r="AH46" i="1"/>
  <c r="CE46" i="1"/>
  <c r="EB46" i="1"/>
  <c r="AC46" i="1"/>
  <c r="BZ46" i="1"/>
  <c r="DW46" i="1"/>
  <c r="AB46" i="1"/>
  <c r="BY46" i="1"/>
  <c r="DV46" i="1"/>
  <c r="W46" i="1"/>
  <c r="BT46" i="1"/>
  <c r="DQ46" i="1"/>
  <c r="V46" i="1"/>
  <c r="BS46" i="1"/>
  <c r="DP46" i="1"/>
  <c r="Q46" i="1"/>
  <c r="BN46" i="1"/>
  <c r="DK46" i="1"/>
  <c r="P46" i="1"/>
  <c r="BM46" i="1"/>
  <c r="DJ46" i="1"/>
  <c r="O46" i="1"/>
  <c r="BL46" i="1"/>
  <c r="DI46" i="1"/>
  <c r="N46" i="1"/>
  <c r="BK46" i="1"/>
  <c r="DH46" i="1"/>
  <c r="M46" i="1"/>
  <c r="BJ46" i="1"/>
  <c r="DG46" i="1"/>
  <c r="L46" i="1"/>
  <c r="BI46" i="1"/>
  <c r="DF46" i="1"/>
  <c r="K46" i="1"/>
  <c r="BH46" i="1"/>
  <c r="DE46" i="1"/>
  <c r="J46" i="1"/>
  <c r="BG46" i="1"/>
  <c r="DD46" i="1"/>
  <c r="I46" i="1"/>
  <c r="BF46" i="1"/>
  <c r="DC46" i="1"/>
  <c r="H46" i="1"/>
  <c r="BE46" i="1"/>
  <c r="DB46" i="1"/>
  <c r="G46" i="1"/>
  <c r="BD46" i="1"/>
  <c r="DA46" i="1"/>
  <c r="CZ46" i="1"/>
  <c r="CY46" i="1"/>
  <c r="CX46" i="1"/>
  <c r="CW46" i="1"/>
  <c r="CV46" i="1"/>
  <c r="CU46" i="1"/>
  <c r="CT46" i="1"/>
  <c r="CS46" i="1"/>
  <c r="CR46" i="1"/>
  <c r="CQ46" i="1"/>
  <c r="BC46" i="1"/>
  <c r="BB46" i="1"/>
  <c r="BA46" i="1"/>
  <c r="AZ46" i="1"/>
  <c r="AY46" i="1"/>
  <c r="AX46" i="1"/>
  <c r="AW46" i="1"/>
  <c r="AV46" i="1"/>
  <c r="AU46" i="1"/>
  <c r="AT46" i="1"/>
  <c r="AO45" i="1"/>
  <c r="CL45" i="1"/>
  <c r="EI45" i="1"/>
  <c r="AN45" i="1"/>
  <c r="CK45" i="1"/>
  <c r="EH45" i="1"/>
  <c r="AI45" i="1"/>
  <c r="CF45" i="1"/>
  <c r="EC45" i="1"/>
  <c r="AH45" i="1"/>
  <c r="CE45" i="1"/>
  <c r="EB45" i="1"/>
  <c r="AC45" i="1"/>
  <c r="BZ45" i="1"/>
  <c r="DW45" i="1"/>
  <c r="AB45" i="1"/>
  <c r="BY45" i="1"/>
  <c r="DV45" i="1"/>
  <c r="W45" i="1"/>
  <c r="BT45" i="1"/>
  <c r="DQ45" i="1"/>
  <c r="V45" i="1"/>
  <c r="BS45" i="1"/>
  <c r="DP45" i="1"/>
  <c r="Q45" i="1"/>
  <c r="BN45" i="1"/>
  <c r="DK45" i="1"/>
  <c r="P45" i="1"/>
  <c r="BM45" i="1"/>
  <c r="DJ45" i="1"/>
  <c r="O45" i="1"/>
  <c r="BL45" i="1"/>
  <c r="DI45" i="1"/>
  <c r="N45" i="1"/>
  <c r="BK45" i="1"/>
  <c r="DH45" i="1"/>
  <c r="M45" i="1"/>
  <c r="BJ45" i="1"/>
  <c r="DG45" i="1"/>
  <c r="L45" i="1"/>
  <c r="BI45" i="1"/>
  <c r="DF45" i="1"/>
  <c r="K45" i="1"/>
  <c r="BH45" i="1"/>
  <c r="DE45" i="1"/>
  <c r="J45" i="1"/>
  <c r="BG45" i="1"/>
  <c r="DD45" i="1"/>
  <c r="I45" i="1"/>
  <c r="BF45" i="1"/>
  <c r="DC45" i="1"/>
  <c r="H45" i="1"/>
  <c r="BE45" i="1"/>
  <c r="DB45" i="1"/>
  <c r="G45" i="1"/>
  <c r="BD45" i="1"/>
  <c r="DA45" i="1"/>
  <c r="CZ45" i="1"/>
  <c r="CY45" i="1"/>
  <c r="CX45" i="1"/>
  <c r="CW45" i="1"/>
  <c r="CV45" i="1"/>
  <c r="CU45" i="1"/>
  <c r="CT45" i="1"/>
  <c r="CS45" i="1"/>
  <c r="CR45" i="1"/>
  <c r="CQ45" i="1"/>
  <c r="BC45" i="1"/>
  <c r="BB45" i="1"/>
  <c r="BA45" i="1"/>
  <c r="AZ45" i="1"/>
  <c r="AY45" i="1"/>
  <c r="AX45" i="1"/>
  <c r="AW45" i="1"/>
  <c r="AV45" i="1"/>
  <c r="AU45" i="1"/>
  <c r="AT45" i="1"/>
  <c r="AO44" i="1"/>
  <c r="CL44" i="1"/>
  <c r="EI44" i="1"/>
  <c r="AN44" i="1"/>
  <c r="CK44" i="1"/>
  <c r="EH44" i="1"/>
  <c r="AI44" i="1"/>
  <c r="CF44" i="1"/>
  <c r="EC44" i="1"/>
  <c r="AH44" i="1"/>
  <c r="CE44" i="1"/>
  <c r="EB44" i="1"/>
  <c r="AC44" i="1"/>
  <c r="BZ44" i="1"/>
  <c r="DW44" i="1"/>
  <c r="AB44" i="1"/>
  <c r="BY44" i="1"/>
  <c r="DV44" i="1"/>
  <c r="W44" i="1"/>
  <c r="BT44" i="1"/>
  <c r="DQ44" i="1"/>
  <c r="V44" i="1"/>
  <c r="BS44" i="1"/>
  <c r="DP44" i="1"/>
  <c r="Q44" i="1"/>
  <c r="BN44" i="1"/>
  <c r="DK44" i="1"/>
  <c r="P44" i="1"/>
  <c r="BM44" i="1"/>
  <c r="DJ44" i="1"/>
  <c r="O44" i="1"/>
  <c r="BL44" i="1"/>
  <c r="DI44" i="1"/>
  <c r="N44" i="1"/>
  <c r="BK44" i="1"/>
  <c r="DH44" i="1"/>
  <c r="M44" i="1"/>
  <c r="BJ44" i="1"/>
  <c r="DG44" i="1"/>
  <c r="L44" i="1"/>
  <c r="BI44" i="1"/>
  <c r="DF44" i="1"/>
  <c r="K44" i="1"/>
  <c r="BH44" i="1"/>
  <c r="DE44" i="1"/>
  <c r="J44" i="1"/>
  <c r="BG44" i="1"/>
  <c r="DD44" i="1"/>
  <c r="I44" i="1"/>
  <c r="BF44" i="1"/>
  <c r="DC44" i="1"/>
  <c r="H44" i="1"/>
  <c r="BE44" i="1"/>
  <c r="DB44" i="1"/>
  <c r="G44" i="1"/>
  <c r="BD44" i="1"/>
  <c r="DA44" i="1"/>
  <c r="CZ44" i="1"/>
  <c r="CY44" i="1"/>
  <c r="CX44" i="1"/>
  <c r="CW44" i="1"/>
  <c r="CV44" i="1"/>
  <c r="CU44" i="1"/>
  <c r="CT44" i="1"/>
  <c r="CS44" i="1"/>
  <c r="CR44" i="1"/>
  <c r="CQ44" i="1"/>
  <c r="BC44" i="1"/>
  <c r="BB44" i="1"/>
  <c r="BA44" i="1"/>
  <c r="AZ44" i="1"/>
  <c r="AY44" i="1"/>
  <c r="AX44" i="1"/>
  <c r="AW44" i="1"/>
  <c r="AV44" i="1"/>
  <c r="AU44" i="1"/>
  <c r="AT44" i="1"/>
  <c r="AO43" i="1"/>
  <c r="CL43" i="1"/>
  <c r="EI43" i="1"/>
  <c r="AN43" i="1"/>
  <c r="CK43" i="1"/>
  <c r="EH43" i="1"/>
  <c r="AI43" i="1"/>
  <c r="CF43" i="1"/>
  <c r="EC43" i="1"/>
  <c r="AH43" i="1"/>
  <c r="CE43" i="1"/>
  <c r="EB43" i="1"/>
  <c r="AC43" i="1"/>
  <c r="BZ43" i="1"/>
  <c r="DW43" i="1"/>
  <c r="AB43" i="1"/>
  <c r="BY43" i="1"/>
  <c r="DV43" i="1"/>
  <c r="W43" i="1"/>
  <c r="BT43" i="1"/>
  <c r="DQ43" i="1"/>
  <c r="V43" i="1"/>
  <c r="BS43" i="1"/>
  <c r="DP43" i="1"/>
  <c r="Q43" i="1"/>
  <c r="BN43" i="1"/>
  <c r="DK43" i="1"/>
  <c r="P43" i="1"/>
  <c r="BM43" i="1"/>
  <c r="DJ43" i="1"/>
  <c r="O43" i="1"/>
  <c r="BL43" i="1"/>
  <c r="DI43" i="1"/>
  <c r="N43" i="1"/>
  <c r="BK43" i="1"/>
  <c r="DH43" i="1"/>
  <c r="M43" i="1"/>
  <c r="BJ43" i="1"/>
  <c r="DG43" i="1"/>
  <c r="L43" i="1"/>
  <c r="BI43" i="1"/>
  <c r="DF43" i="1"/>
  <c r="K43" i="1"/>
  <c r="BH43" i="1"/>
  <c r="DE43" i="1"/>
  <c r="J43" i="1"/>
  <c r="BG43" i="1"/>
  <c r="DD43" i="1"/>
  <c r="I43" i="1"/>
  <c r="BF43" i="1"/>
  <c r="DC43" i="1"/>
  <c r="H43" i="1"/>
  <c r="BE43" i="1"/>
  <c r="DB43" i="1"/>
  <c r="G43" i="1"/>
  <c r="BD43" i="1"/>
  <c r="DA43" i="1"/>
  <c r="CZ43" i="1"/>
  <c r="CY43" i="1"/>
  <c r="CX43" i="1"/>
  <c r="CW43" i="1"/>
  <c r="CV43" i="1"/>
  <c r="CU43" i="1"/>
  <c r="CT43" i="1"/>
  <c r="CS43" i="1"/>
  <c r="CR43" i="1"/>
  <c r="CQ43" i="1"/>
  <c r="BC43" i="1"/>
  <c r="BB43" i="1"/>
  <c r="BA43" i="1"/>
  <c r="AZ43" i="1"/>
  <c r="AY43" i="1"/>
  <c r="AX43" i="1"/>
  <c r="AW43" i="1"/>
  <c r="AV43" i="1"/>
  <c r="AU43" i="1"/>
  <c r="AT43" i="1"/>
  <c r="AO42" i="1"/>
  <c r="CL42" i="1"/>
  <c r="EI42" i="1"/>
  <c r="AN42" i="1"/>
  <c r="CK42" i="1"/>
  <c r="EH42" i="1"/>
  <c r="AI42" i="1"/>
  <c r="CF42" i="1"/>
  <c r="EC42" i="1"/>
  <c r="AH42" i="1"/>
  <c r="CE42" i="1"/>
  <c r="EB42" i="1"/>
  <c r="AC42" i="1"/>
  <c r="BZ42" i="1"/>
  <c r="DW42" i="1"/>
  <c r="AB42" i="1"/>
  <c r="BY42" i="1"/>
  <c r="DV42" i="1"/>
  <c r="W42" i="1"/>
  <c r="BT42" i="1"/>
  <c r="DQ42" i="1"/>
  <c r="V42" i="1"/>
  <c r="BS42" i="1"/>
  <c r="DP42" i="1"/>
  <c r="Q42" i="1"/>
  <c r="BN42" i="1"/>
  <c r="DK42" i="1"/>
  <c r="P42" i="1"/>
  <c r="BM42" i="1"/>
  <c r="DJ42" i="1"/>
  <c r="O42" i="1"/>
  <c r="BL42" i="1"/>
  <c r="DI42" i="1"/>
  <c r="N42" i="1"/>
  <c r="BK42" i="1"/>
  <c r="DH42" i="1"/>
  <c r="M42" i="1"/>
  <c r="BJ42" i="1"/>
  <c r="DG42" i="1"/>
  <c r="L42" i="1"/>
  <c r="BI42" i="1"/>
  <c r="DF42" i="1"/>
  <c r="K42" i="1"/>
  <c r="BH42" i="1"/>
  <c r="DE42" i="1"/>
  <c r="J42" i="1"/>
  <c r="BG42" i="1"/>
  <c r="DD42" i="1"/>
  <c r="I42" i="1"/>
  <c r="BF42" i="1"/>
  <c r="DC42" i="1"/>
  <c r="H42" i="1"/>
  <c r="BE42" i="1"/>
  <c r="DB42" i="1"/>
  <c r="G42" i="1"/>
  <c r="BD42" i="1"/>
  <c r="DA42" i="1"/>
  <c r="CZ42" i="1"/>
  <c r="CY42" i="1"/>
  <c r="CX42" i="1"/>
  <c r="CW42" i="1"/>
  <c r="CV42" i="1"/>
  <c r="CU42" i="1"/>
  <c r="CT42" i="1"/>
  <c r="CS42" i="1"/>
  <c r="CR42" i="1"/>
  <c r="CQ42" i="1"/>
  <c r="BC42" i="1"/>
  <c r="BB42" i="1"/>
  <c r="BA42" i="1"/>
  <c r="AZ42" i="1"/>
  <c r="AY42" i="1"/>
  <c r="AX42" i="1"/>
  <c r="AW42" i="1"/>
  <c r="AV42" i="1"/>
  <c r="AU42" i="1"/>
  <c r="AT42" i="1"/>
  <c r="AO41" i="1"/>
  <c r="CL41" i="1"/>
  <c r="EI41" i="1"/>
  <c r="AN41" i="1"/>
  <c r="CK41" i="1"/>
  <c r="EH41" i="1"/>
  <c r="AI41" i="1"/>
  <c r="CF41" i="1"/>
  <c r="EC41" i="1"/>
  <c r="AH41" i="1"/>
  <c r="CE41" i="1"/>
  <c r="EB41" i="1"/>
  <c r="AC41" i="1"/>
  <c r="BZ41" i="1"/>
  <c r="DW41" i="1"/>
  <c r="AB41" i="1"/>
  <c r="BY41" i="1"/>
  <c r="DV41" i="1"/>
  <c r="W41" i="1"/>
  <c r="BT41" i="1"/>
  <c r="DQ41" i="1"/>
  <c r="V41" i="1"/>
  <c r="BS41" i="1"/>
  <c r="DP41" i="1"/>
  <c r="Q41" i="1"/>
  <c r="BN41" i="1"/>
  <c r="DK41" i="1"/>
  <c r="P41" i="1"/>
  <c r="BM41" i="1"/>
  <c r="DJ41" i="1"/>
  <c r="O41" i="1"/>
  <c r="BL41" i="1"/>
  <c r="DI41" i="1"/>
  <c r="N41" i="1"/>
  <c r="BK41" i="1"/>
  <c r="DH41" i="1"/>
  <c r="M41" i="1"/>
  <c r="BJ41" i="1"/>
  <c r="DG41" i="1"/>
  <c r="L41" i="1"/>
  <c r="BI41" i="1"/>
  <c r="DF41" i="1"/>
  <c r="K41" i="1"/>
  <c r="BH41" i="1"/>
  <c r="DE41" i="1"/>
  <c r="J41" i="1"/>
  <c r="BG41" i="1"/>
  <c r="DD41" i="1"/>
  <c r="I41" i="1"/>
  <c r="BF41" i="1"/>
  <c r="DC41" i="1"/>
  <c r="H41" i="1"/>
  <c r="BE41" i="1"/>
  <c r="DB41" i="1"/>
  <c r="G41" i="1"/>
  <c r="BD41" i="1"/>
  <c r="DA41" i="1"/>
  <c r="CZ41" i="1"/>
  <c r="CY41" i="1"/>
  <c r="CX41" i="1"/>
  <c r="CW41" i="1"/>
  <c r="CV41" i="1"/>
  <c r="CU41" i="1"/>
  <c r="CT41" i="1"/>
  <c r="CS41" i="1"/>
  <c r="CR41" i="1"/>
  <c r="CQ41" i="1"/>
  <c r="BC41" i="1"/>
  <c r="BB41" i="1"/>
  <c r="BA41" i="1"/>
  <c r="AZ41" i="1"/>
  <c r="AY41" i="1"/>
  <c r="AX41" i="1"/>
  <c r="AW41" i="1"/>
  <c r="AV41" i="1"/>
  <c r="AU41" i="1"/>
  <c r="AT41" i="1"/>
  <c r="AO40" i="1"/>
  <c r="CL40" i="1"/>
  <c r="EI40" i="1"/>
  <c r="AN40" i="1"/>
  <c r="CK40" i="1"/>
  <c r="EH40" i="1"/>
  <c r="AI40" i="1"/>
  <c r="CF40" i="1"/>
  <c r="EC40" i="1"/>
  <c r="AH40" i="1"/>
  <c r="CE40" i="1"/>
  <c r="EB40" i="1"/>
  <c r="AC40" i="1"/>
  <c r="BZ40" i="1"/>
  <c r="DW40" i="1"/>
  <c r="AB40" i="1"/>
  <c r="BY40" i="1"/>
  <c r="DV40" i="1"/>
  <c r="W40" i="1"/>
  <c r="BT40" i="1"/>
  <c r="DQ40" i="1"/>
  <c r="V40" i="1"/>
  <c r="BS40" i="1"/>
  <c r="DP40" i="1"/>
  <c r="Q40" i="1"/>
  <c r="BN40" i="1"/>
  <c r="DK40" i="1"/>
  <c r="P40" i="1"/>
  <c r="BM40" i="1"/>
  <c r="DJ40" i="1"/>
  <c r="O40" i="1"/>
  <c r="BL40" i="1"/>
  <c r="DI40" i="1"/>
  <c r="N40" i="1"/>
  <c r="BK40" i="1"/>
  <c r="DH40" i="1"/>
  <c r="M40" i="1"/>
  <c r="BJ40" i="1"/>
  <c r="DG40" i="1"/>
  <c r="L40" i="1"/>
  <c r="BI40" i="1"/>
  <c r="DF40" i="1"/>
  <c r="K40" i="1"/>
  <c r="BH40" i="1"/>
  <c r="DE40" i="1"/>
  <c r="J40" i="1"/>
  <c r="BG40" i="1"/>
  <c r="DD40" i="1"/>
  <c r="I40" i="1"/>
  <c r="BF40" i="1"/>
  <c r="DC40" i="1"/>
  <c r="H40" i="1"/>
  <c r="BE40" i="1"/>
  <c r="DB40" i="1"/>
  <c r="G40" i="1"/>
  <c r="BD40" i="1"/>
  <c r="DA40" i="1"/>
  <c r="CZ40" i="1"/>
  <c r="CY40" i="1"/>
  <c r="CX40" i="1"/>
  <c r="CW40" i="1"/>
  <c r="CV40" i="1"/>
  <c r="CU40" i="1"/>
  <c r="CT40" i="1"/>
  <c r="CS40" i="1"/>
  <c r="CR40" i="1"/>
  <c r="CQ40" i="1"/>
  <c r="BC40" i="1"/>
  <c r="BB40" i="1"/>
  <c r="BA40" i="1"/>
  <c r="AZ40" i="1"/>
  <c r="AY40" i="1"/>
  <c r="AX40" i="1"/>
  <c r="AW40" i="1"/>
  <c r="AV40" i="1"/>
  <c r="AU40" i="1"/>
  <c r="AT40" i="1"/>
  <c r="AO39" i="1"/>
  <c r="CL39" i="1"/>
  <c r="EI39" i="1"/>
  <c r="AN39" i="1"/>
  <c r="CK39" i="1"/>
  <c r="EH39" i="1"/>
  <c r="AI39" i="1"/>
  <c r="CF39" i="1"/>
  <c r="EC39" i="1"/>
  <c r="AH39" i="1"/>
  <c r="CE39" i="1"/>
  <c r="EB39" i="1"/>
  <c r="AC39" i="1"/>
  <c r="BZ39" i="1"/>
  <c r="DW39" i="1"/>
  <c r="AB39" i="1"/>
  <c r="BY39" i="1"/>
  <c r="DV39" i="1"/>
  <c r="W39" i="1"/>
  <c r="BT39" i="1"/>
  <c r="DQ39" i="1"/>
  <c r="V39" i="1"/>
  <c r="BS39" i="1"/>
  <c r="DP39" i="1"/>
  <c r="Q39" i="1"/>
  <c r="BN39" i="1"/>
  <c r="DK39" i="1"/>
  <c r="P39" i="1"/>
  <c r="BM39" i="1"/>
  <c r="DJ39" i="1"/>
  <c r="O39" i="1"/>
  <c r="BL39" i="1"/>
  <c r="DI39" i="1"/>
  <c r="N39" i="1"/>
  <c r="BK39" i="1"/>
  <c r="DH39" i="1"/>
  <c r="M39" i="1"/>
  <c r="BJ39" i="1"/>
  <c r="DG39" i="1"/>
  <c r="L39" i="1"/>
  <c r="BI39" i="1"/>
  <c r="DF39" i="1"/>
  <c r="K39" i="1"/>
  <c r="BH39" i="1"/>
  <c r="DE39" i="1"/>
  <c r="J39" i="1"/>
  <c r="BG39" i="1"/>
  <c r="DD39" i="1"/>
  <c r="I39" i="1"/>
  <c r="BF39" i="1"/>
  <c r="DC39" i="1"/>
  <c r="H39" i="1"/>
  <c r="BE39" i="1"/>
  <c r="DB39" i="1"/>
  <c r="G39" i="1"/>
  <c r="BD39" i="1"/>
  <c r="DA39" i="1"/>
  <c r="CZ39" i="1"/>
  <c r="CY39" i="1"/>
  <c r="CX39" i="1"/>
  <c r="CW39" i="1"/>
  <c r="CV39" i="1"/>
  <c r="CU39" i="1"/>
  <c r="CT39" i="1"/>
  <c r="CS39" i="1"/>
  <c r="CR39" i="1"/>
  <c r="CQ39" i="1"/>
  <c r="BC39" i="1"/>
  <c r="BB39" i="1"/>
  <c r="BA39" i="1"/>
  <c r="AZ39" i="1"/>
  <c r="AY39" i="1"/>
  <c r="AX39" i="1"/>
  <c r="AW39" i="1"/>
  <c r="AV39" i="1"/>
  <c r="AU39" i="1"/>
  <c r="AT39" i="1"/>
  <c r="AO38" i="1"/>
  <c r="CL38" i="1"/>
  <c r="EI38" i="1"/>
  <c r="AN38" i="1"/>
  <c r="CK38" i="1"/>
  <c r="EH38" i="1"/>
  <c r="AI38" i="1"/>
  <c r="CF38" i="1"/>
  <c r="EC38" i="1"/>
  <c r="AH38" i="1"/>
  <c r="CE38" i="1"/>
  <c r="EB38" i="1"/>
  <c r="AC38" i="1"/>
  <c r="BZ38" i="1"/>
  <c r="DW38" i="1"/>
  <c r="AB38" i="1"/>
  <c r="BY38" i="1"/>
  <c r="DV38" i="1"/>
  <c r="W38" i="1"/>
  <c r="BT38" i="1"/>
  <c r="DQ38" i="1"/>
  <c r="V38" i="1"/>
  <c r="BS38" i="1"/>
  <c r="DP38" i="1"/>
  <c r="Q38" i="1"/>
  <c r="BN38" i="1"/>
  <c r="DK38" i="1"/>
  <c r="P38" i="1"/>
  <c r="BM38" i="1"/>
  <c r="DJ38" i="1"/>
  <c r="O38" i="1"/>
  <c r="BL38" i="1"/>
  <c r="DI38" i="1"/>
  <c r="N38" i="1"/>
  <c r="BK38" i="1"/>
  <c r="DH38" i="1"/>
  <c r="M38" i="1"/>
  <c r="BJ38" i="1"/>
  <c r="DG38" i="1"/>
  <c r="L38" i="1"/>
  <c r="BI38" i="1"/>
  <c r="DF38" i="1"/>
  <c r="K38" i="1"/>
  <c r="BH38" i="1"/>
  <c r="DE38" i="1"/>
  <c r="J38" i="1"/>
  <c r="BG38" i="1"/>
  <c r="DD38" i="1"/>
  <c r="I38" i="1"/>
  <c r="BF38" i="1"/>
  <c r="DC38" i="1"/>
  <c r="H38" i="1"/>
  <c r="BE38" i="1"/>
  <c r="DB38" i="1"/>
  <c r="G38" i="1"/>
  <c r="BD38" i="1"/>
  <c r="DA38" i="1"/>
  <c r="CZ38" i="1"/>
  <c r="CY38" i="1"/>
  <c r="CX38" i="1"/>
  <c r="CW38" i="1"/>
  <c r="CV38" i="1"/>
  <c r="CU38" i="1"/>
  <c r="CT38" i="1"/>
  <c r="CS38" i="1"/>
  <c r="CR38" i="1"/>
  <c r="CQ38" i="1"/>
  <c r="BC38" i="1"/>
  <c r="BB38" i="1"/>
  <c r="BA38" i="1"/>
  <c r="AZ38" i="1"/>
  <c r="AY38" i="1"/>
  <c r="AX38" i="1"/>
  <c r="AW38" i="1"/>
  <c r="AV38" i="1"/>
  <c r="AU38" i="1"/>
  <c r="AT38" i="1"/>
  <c r="AO37" i="1"/>
  <c r="CL37" i="1"/>
  <c r="EI37" i="1"/>
  <c r="AN37" i="1"/>
  <c r="CK37" i="1"/>
  <c r="EH37" i="1"/>
  <c r="AI37" i="1"/>
  <c r="CF37" i="1"/>
  <c r="EC37" i="1"/>
  <c r="AH37" i="1"/>
  <c r="CE37" i="1"/>
  <c r="EB37" i="1"/>
  <c r="AC37" i="1"/>
  <c r="BZ37" i="1"/>
  <c r="DW37" i="1"/>
  <c r="AB37" i="1"/>
  <c r="BY37" i="1"/>
  <c r="DV37" i="1"/>
  <c r="W37" i="1"/>
  <c r="BT37" i="1"/>
  <c r="DQ37" i="1"/>
  <c r="V37" i="1"/>
  <c r="BS37" i="1"/>
  <c r="DP37" i="1"/>
  <c r="Q37" i="1"/>
  <c r="BN37" i="1"/>
  <c r="DK37" i="1"/>
  <c r="P37" i="1"/>
  <c r="BM37" i="1"/>
  <c r="DJ37" i="1"/>
  <c r="O37" i="1"/>
  <c r="BL37" i="1"/>
  <c r="DI37" i="1"/>
  <c r="N37" i="1"/>
  <c r="BK37" i="1"/>
  <c r="DH37" i="1"/>
  <c r="M37" i="1"/>
  <c r="BJ37" i="1"/>
  <c r="DG37" i="1"/>
  <c r="L37" i="1"/>
  <c r="BI37" i="1"/>
  <c r="DF37" i="1"/>
  <c r="K37" i="1"/>
  <c r="BH37" i="1"/>
  <c r="DE37" i="1"/>
  <c r="J37" i="1"/>
  <c r="BG37" i="1"/>
  <c r="DD37" i="1"/>
  <c r="I37" i="1"/>
  <c r="BF37" i="1"/>
  <c r="DC37" i="1"/>
  <c r="H37" i="1"/>
  <c r="BE37" i="1"/>
  <c r="DB37" i="1"/>
  <c r="G37" i="1"/>
  <c r="BD37" i="1"/>
  <c r="DA37" i="1"/>
  <c r="CZ37" i="1"/>
  <c r="CY37" i="1"/>
  <c r="CX37" i="1"/>
  <c r="CW37" i="1"/>
  <c r="CV37" i="1"/>
  <c r="CU37" i="1"/>
  <c r="CT37" i="1"/>
  <c r="CS37" i="1"/>
  <c r="CR37" i="1"/>
  <c r="CQ37" i="1"/>
  <c r="BC37" i="1"/>
  <c r="BB37" i="1"/>
  <c r="BA37" i="1"/>
  <c r="AZ37" i="1"/>
  <c r="AY37" i="1"/>
  <c r="AX37" i="1"/>
  <c r="AW37" i="1"/>
  <c r="AV37" i="1"/>
  <c r="AU37" i="1"/>
  <c r="AT37" i="1"/>
  <c r="AO36" i="1"/>
  <c r="CL36" i="1"/>
  <c r="EI36" i="1"/>
  <c r="AN36" i="1"/>
  <c r="CK36" i="1"/>
  <c r="EH36" i="1"/>
  <c r="AI36" i="1"/>
  <c r="CF36" i="1"/>
  <c r="EC36" i="1"/>
  <c r="AH36" i="1"/>
  <c r="CE36" i="1"/>
  <c r="EB36" i="1"/>
  <c r="AC36" i="1"/>
  <c r="BZ36" i="1"/>
  <c r="DW36" i="1"/>
  <c r="AB36" i="1"/>
  <c r="BY36" i="1"/>
  <c r="DV36" i="1"/>
  <c r="W36" i="1"/>
  <c r="BT36" i="1"/>
  <c r="DQ36" i="1"/>
  <c r="V36" i="1"/>
  <c r="BS36" i="1"/>
  <c r="DP36" i="1"/>
  <c r="Q36" i="1"/>
  <c r="BN36" i="1"/>
  <c r="DK36" i="1"/>
  <c r="P36" i="1"/>
  <c r="BM36" i="1"/>
  <c r="DJ36" i="1"/>
  <c r="O36" i="1"/>
  <c r="BL36" i="1"/>
  <c r="DI36" i="1"/>
  <c r="N36" i="1"/>
  <c r="BK36" i="1"/>
  <c r="DH36" i="1"/>
  <c r="M36" i="1"/>
  <c r="BJ36" i="1"/>
  <c r="DG36" i="1"/>
  <c r="L36" i="1"/>
  <c r="BI36" i="1"/>
  <c r="DF36" i="1"/>
  <c r="K36" i="1"/>
  <c r="BH36" i="1"/>
  <c r="DE36" i="1"/>
  <c r="J36" i="1"/>
  <c r="BG36" i="1"/>
  <c r="DD36" i="1"/>
  <c r="I36" i="1"/>
  <c r="BF36" i="1"/>
  <c r="DC36" i="1"/>
  <c r="H36" i="1"/>
  <c r="BE36" i="1"/>
  <c r="DB36" i="1"/>
  <c r="G36" i="1"/>
  <c r="BD36" i="1"/>
  <c r="DA36" i="1"/>
  <c r="CZ36" i="1"/>
  <c r="CY36" i="1"/>
  <c r="CX36" i="1"/>
  <c r="CW36" i="1"/>
  <c r="CV36" i="1"/>
  <c r="CU36" i="1"/>
  <c r="CT36" i="1"/>
  <c r="CS36" i="1"/>
  <c r="CR36" i="1"/>
  <c r="CQ36" i="1"/>
  <c r="BC36" i="1"/>
  <c r="BB36" i="1"/>
  <c r="BA36" i="1"/>
  <c r="AZ36" i="1"/>
  <c r="AY36" i="1"/>
  <c r="AX36" i="1"/>
  <c r="AW36" i="1"/>
  <c r="AV36" i="1"/>
  <c r="AU36" i="1"/>
  <c r="AT36" i="1"/>
  <c r="AO35" i="1"/>
  <c r="CL35" i="1"/>
  <c r="EI35" i="1"/>
  <c r="AN35" i="1"/>
  <c r="CK35" i="1"/>
  <c r="EH35" i="1"/>
  <c r="AI35" i="1"/>
  <c r="CF35" i="1"/>
  <c r="EC35" i="1"/>
  <c r="AH35" i="1"/>
  <c r="CE35" i="1"/>
  <c r="EB35" i="1"/>
  <c r="AC35" i="1"/>
  <c r="BZ35" i="1"/>
  <c r="DW35" i="1"/>
  <c r="AB35" i="1"/>
  <c r="BY35" i="1"/>
  <c r="DV35" i="1"/>
  <c r="W35" i="1"/>
  <c r="BT35" i="1"/>
  <c r="DQ35" i="1"/>
  <c r="V35" i="1"/>
  <c r="BS35" i="1"/>
  <c r="DP35" i="1"/>
  <c r="Q35" i="1"/>
  <c r="BN35" i="1"/>
  <c r="DK35" i="1"/>
  <c r="P35" i="1"/>
  <c r="BM35" i="1"/>
  <c r="DJ35" i="1"/>
  <c r="O35" i="1"/>
  <c r="BL35" i="1"/>
  <c r="DI35" i="1"/>
  <c r="N35" i="1"/>
  <c r="BK35" i="1"/>
  <c r="DH35" i="1"/>
  <c r="M35" i="1"/>
  <c r="BJ35" i="1"/>
  <c r="DG35" i="1"/>
  <c r="L35" i="1"/>
  <c r="BI35" i="1"/>
  <c r="DF35" i="1"/>
  <c r="K35" i="1"/>
  <c r="BH35" i="1"/>
  <c r="DE35" i="1"/>
  <c r="J35" i="1"/>
  <c r="BG35" i="1"/>
  <c r="DD35" i="1"/>
  <c r="I35" i="1"/>
  <c r="BF35" i="1"/>
  <c r="DC35" i="1"/>
  <c r="H35" i="1"/>
  <c r="BE35" i="1"/>
  <c r="DB35" i="1"/>
  <c r="G35" i="1"/>
  <c r="BD35" i="1"/>
  <c r="DA35" i="1"/>
  <c r="CZ35" i="1"/>
  <c r="CY35" i="1"/>
  <c r="CX35" i="1"/>
  <c r="CW35" i="1"/>
  <c r="CV35" i="1"/>
  <c r="CU35" i="1"/>
  <c r="CT35" i="1"/>
  <c r="CS35" i="1"/>
  <c r="CR35" i="1"/>
  <c r="CQ35" i="1"/>
  <c r="BC35" i="1"/>
  <c r="BB35" i="1"/>
  <c r="BA35" i="1"/>
  <c r="AZ35" i="1"/>
  <c r="AY35" i="1"/>
  <c r="AX35" i="1"/>
  <c r="AW35" i="1"/>
  <c r="AV35" i="1"/>
  <c r="AU35" i="1"/>
  <c r="AT35" i="1"/>
  <c r="AO34" i="1"/>
  <c r="CL34" i="1"/>
  <c r="EI34" i="1"/>
  <c r="AN34" i="1"/>
  <c r="CK34" i="1"/>
  <c r="EH34" i="1"/>
  <c r="AI34" i="1"/>
  <c r="CF34" i="1"/>
  <c r="EC34" i="1"/>
  <c r="AH34" i="1"/>
  <c r="CE34" i="1"/>
  <c r="EB34" i="1"/>
  <c r="AC34" i="1"/>
  <c r="BZ34" i="1"/>
  <c r="DW34" i="1"/>
  <c r="AB34" i="1"/>
  <c r="BY34" i="1"/>
  <c r="DV34" i="1"/>
  <c r="W34" i="1"/>
  <c r="BT34" i="1"/>
  <c r="DQ34" i="1"/>
  <c r="V34" i="1"/>
  <c r="BS34" i="1"/>
  <c r="DP34" i="1"/>
  <c r="Q34" i="1"/>
  <c r="BN34" i="1"/>
  <c r="DK34" i="1"/>
  <c r="P34" i="1"/>
  <c r="BM34" i="1"/>
  <c r="DJ34" i="1"/>
  <c r="O34" i="1"/>
  <c r="BL34" i="1"/>
  <c r="DI34" i="1"/>
  <c r="N34" i="1"/>
  <c r="BK34" i="1"/>
  <c r="DH34" i="1"/>
  <c r="M34" i="1"/>
  <c r="BJ34" i="1"/>
  <c r="DG34" i="1"/>
  <c r="L34" i="1"/>
  <c r="BI34" i="1"/>
  <c r="DF34" i="1"/>
  <c r="K34" i="1"/>
  <c r="BH34" i="1"/>
  <c r="DE34" i="1"/>
  <c r="J34" i="1"/>
  <c r="BG34" i="1"/>
  <c r="DD34" i="1"/>
  <c r="I34" i="1"/>
  <c r="BF34" i="1"/>
  <c r="DC34" i="1"/>
  <c r="H34" i="1"/>
  <c r="BE34" i="1"/>
  <c r="DB34" i="1"/>
  <c r="G34" i="1"/>
  <c r="BD34" i="1"/>
  <c r="DA34" i="1"/>
  <c r="CZ34" i="1"/>
  <c r="CY34" i="1"/>
  <c r="CX34" i="1"/>
  <c r="CW34" i="1"/>
  <c r="CV34" i="1"/>
  <c r="CU34" i="1"/>
  <c r="CT34" i="1"/>
  <c r="CS34" i="1"/>
  <c r="CR34" i="1"/>
  <c r="CQ34" i="1"/>
  <c r="BC34" i="1"/>
  <c r="BB34" i="1"/>
  <c r="BA34" i="1"/>
  <c r="AZ34" i="1"/>
  <c r="AY34" i="1"/>
  <c r="AX34" i="1"/>
  <c r="AW34" i="1"/>
  <c r="AV34" i="1"/>
  <c r="AU34" i="1"/>
  <c r="AT34" i="1"/>
  <c r="AO33" i="1"/>
  <c r="CL33" i="1"/>
  <c r="EI33" i="1"/>
  <c r="AN33" i="1"/>
  <c r="CK33" i="1"/>
  <c r="EH33" i="1"/>
  <c r="AI33" i="1"/>
  <c r="CF33" i="1"/>
  <c r="EC33" i="1"/>
  <c r="AH33" i="1"/>
  <c r="CE33" i="1"/>
  <c r="EB33" i="1"/>
  <c r="AC33" i="1"/>
  <c r="BZ33" i="1"/>
  <c r="DW33" i="1"/>
  <c r="AB33" i="1"/>
  <c r="BY33" i="1"/>
  <c r="DV33" i="1"/>
  <c r="W33" i="1"/>
  <c r="BT33" i="1"/>
  <c r="DQ33" i="1"/>
  <c r="V33" i="1"/>
  <c r="BS33" i="1"/>
  <c r="DP33" i="1"/>
  <c r="Q33" i="1"/>
  <c r="BN33" i="1"/>
  <c r="DK33" i="1"/>
  <c r="P33" i="1"/>
  <c r="BM33" i="1"/>
  <c r="DJ33" i="1"/>
  <c r="O33" i="1"/>
  <c r="BL33" i="1"/>
  <c r="DI33" i="1"/>
  <c r="N33" i="1"/>
  <c r="BK33" i="1"/>
  <c r="DH33" i="1"/>
  <c r="M33" i="1"/>
  <c r="BJ33" i="1"/>
  <c r="DG33" i="1"/>
  <c r="L33" i="1"/>
  <c r="BI33" i="1"/>
  <c r="DF33" i="1"/>
  <c r="K33" i="1"/>
  <c r="BH33" i="1"/>
  <c r="DE33" i="1"/>
  <c r="J33" i="1"/>
  <c r="BG33" i="1"/>
  <c r="DD33" i="1"/>
  <c r="I33" i="1"/>
  <c r="BF33" i="1"/>
  <c r="DC33" i="1"/>
  <c r="H33" i="1"/>
  <c r="BE33" i="1"/>
  <c r="DB33" i="1"/>
  <c r="G33" i="1"/>
  <c r="BD33" i="1"/>
  <c r="DA33" i="1"/>
  <c r="CZ33" i="1"/>
  <c r="CY33" i="1"/>
  <c r="CX33" i="1"/>
  <c r="CW33" i="1"/>
  <c r="CV33" i="1"/>
  <c r="CU33" i="1"/>
  <c r="CT33" i="1"/>
  <c r="CS33" i="1"/>
  <c r="CR33" i="1"/>
  <c r="CQ33" i="1"/>
  <c r="BC33" i="1"/>
  <c r="BB33" i="1"/>
  <c r="BA33" i="1"/>
  <c r="AZ33" i="1"/>
  <c r="AY33" i="1"/>
  <c r="AX33" i="1"/>
  <c r="AW33" i="1"/>
  <c r="AV33" i="1"/>
  <c r="AU33" i="1"/>
  <c r="AT33" i="1"/>
  <c r="AO32" i="1"/>
  <c r="CL32" i="1"/>
  <c r="EI32" i="1"/>
  <c r="AN32" i="1"/>
  <c r="CK32" i="1"/>
  <c r="EH32" i="1"/>
  <c r="AI32" i="1"/>
  <c r="CF32" i="1"/>
  <c r="EC32" i="1"/>
  <c r="AH32" i="1"/>
  <c r="CE32" i="1"/>
  <c r="EB32" i="1"/>
  <c r="AC32" i="1"/>
  <c r="BZ32" i="1"/>
  <c r="DW32" i="1"/>
  <c r="AB32" i="1"/>
  <c r="BY32" i="1"/>
  <c r="DV32" i="1"/>
  <c r="W32" i="1"/>
  <c r="BT32" i="1"/>
  <c r="DQ32" i="1"/>
  <c r="V32" i="1"/>
  <c r="BS32" i="1"/>
  <c r="DP32" i="1"/>
  <c r="Q32" i="1"/>
  <c r="BN32" i="1"/>
  <c r="DK32" i="1"/>
  <c r="P32" i="1"/>
  <c r="BM32" i="1"/>
  <c r="DJ32" i="1"/>
  <c r="O32" i="1"/>
  <c r="BL32" i="1"/>
  <c r="DI32" i="1"/>
  <c r="N32" i="1"/>
  <c r="BK32" i="1"/>
  <c r="DH32" i="1"/>
  <c r="M32" i="1"/>
  <c r="BJ32" i="1"/>
  <c r="DG32" i="1"/>
  <c r="L32" i="1"/>
  <c r="BI32" i="1"/>
  <c r="DF32" i="1"/>
  <c r="K32" i="1"/>
  <c r="BH32" i="1"/>
  <c r="DE32" i="1"/>
  <c r="J32" i="1"/>
  <c r="BG32" i="1"/>
  <c r="DD32" i="1"/>
  <c r="I32" i="1"/>
  <c r="BF32" i="1"/>
  <c r="DC32" i="1"/>
  <c r="H32" i="1"/>
  <c r="BE32" i="1"/>
  <c r="DB32" i="1"/>
  <c r="G32" i="1"/>
  <c r="BD32" i="1"/>
  <c r="DA32" i="1"/>
  <c r="CZ32" i="1"/>
  <c r="CY32" i="1"/>
  <c r="CX32" i="1"/>
  <c r="CW32" i="1"/>
  <c r="CV32" i="1"/>
  <c r="CU32" i="1"/>
  <c r="CT32" i="1"/>
  <c r="CS32" i="1"/>
  <c r="CR32" i="1"/>
  <c r="CQ32" i="1"/>
  <c r="BC32" i="1"/>
  <c r="BB32" i="1"/>
  <c r="BA32" i="1"/>
  <c r="AZ32" i="1"/>
  <c r="AY32" i="1"/>
  <c r="AX32" i="1"/>
  <c r="AW32" i="1"/>
  <c r="AV32" i="1"/>
  <c r="AU32" i="1"/>
  <c r="AT32" i="1"/>
  <c r="AO31" i="1"/>
  <c r="CL31" i="1"/>
  <c r="EI31" i="1"/>
  <c r="AN31" i="1"/>
  <c r="CK31" i="1"/>
  <c r="EH31" i="1"/>
  <c r="AI31" i="1"/>
  <c r="CF31" i="1"/>
  <c r="EC31" i="1"/>
  <c r="AH31" i="1"/>
  <c r="CE31" i="1"/>
  <c r="EB31" i="1"/>
  <c r="AC31" i="1"/>
  <c r="BZ31" i="1"/>
  <c r="DW31" i="1"/>
  <c r="AB31" i="1"/>
  <c r="BY31" i="1"/>
  <c r="DV31" i="1"/>
  <c r="W31" i="1"/>
  <c r="BT31" i="1"/>
  <c r="DQ31" i="1"/>
  <c r="V31" i="1"/>
  <c r="BS31" i="1"/>
  <c r="DP31" i="1"/>
  <c r="Q31" i="1"/>
  <c r="BN31" i="1"/>
  <c r="DK31" i="1"/>
  <c r="P31" i="1"/>
  <c r="BM31" i="1"/>
  <c r="DJ31" i="1"/>
  <c r="O31" i="1"/>
  <c r="BL31" i="1"/>
  <c r="DI31" i="1"/>
  <c r="N31" i="1"/>
  <c r="BK31" i="1"/>
  <c r="DH31" i="1"/>
  <c r="M31" i="1"/>
  <c r="BJ31" i="1"/>
  <c r="DG31" i="1"/>
  <c r="L31" i="1"/>
  <c r="BI31" i="1"/>
  <c r="DF31" i="1"/>
  <c r="K31" i="1"/>
  <c r="BH31" i="1"/>
  <c r="DE31" i="1"/>
  <c r="J31" i="1"/>
  <c r="BG31" i="1"/>
  <c r="DD31" i="1"/>
  <c r="I31" i="1"/>
  <c r="BF31" i="1"/>
  <c r="DC31" i="1"/>
  <c r="H31" i="1"/>
  <c r="BE31" i="1"/>
  <c r="DB31" i="1"/>
  <c r="G31" i="1"/>
  <c r="BD31" i="1"/>
  <c r="DA31" i="1"/>
  <c r="CZ31" i="1"/>
  <c r="CY31" i="1"/>
  <c r="CX31" i="1"/>
  <c r="CW31" i="1"/>
  <c r="CV31" i="1"/>
  <c r="CU31" i="1"/>
  <c r="CT31" i="1"/>
  <c r="CS31" i="1"/>
  <c r="CR31" i="1"/>
  <c r="CQ31" i="1"/>
  <c r="BC31" i="1"/>
  <c r="BB31" i="1"/>
  <c r="BA31" i="1"/>
  <c r="AZ31" i="1"/>
  <c r="AY31" i="1"/>
  <c r="AX31" i="1"/>
  <c r="AW31" i="1"/>
  <c r="AV31" i="1"/>
  <c r="AU31" i="1"/>
  <c r="AT31" i="1"/>
  <c r="AO30" i="1"/>
  <c r="CL30" i="1"/>
  <c r="EI30" i="1"/>
  <c r="AN30" i="1"/>
  <c r="CK30" i="1"/>
  <c r="EH30" i="1"/>
  <c r="AI30" i="1"/>
  <c r="CF30" i="1"/>
  <c r="EC30" i="1"/>
  <c r="AH30" i="1"/>
  <c r="CE30" i="1"/>
  <c r="EB30" i="1"/>
  <c r="AC30" i="1"/>
  <c r="BZ30" i="1"/>
  <c r="DW30" i="1"/>
  <c r="AB30" i="1"/>
  <c r="BY30" i="1"/>
  <c r="DV30" i="1"/>
  <c r="W30" i="1"/>
  <c r="BT30" i="1"/>
  <c r="DQ30" i="1"/>
  <c r="V30" i="1"/>
  <c r="BS30" i="1"/>
  <c r="DP30" i="1"/>
  <c r="Q30" i="1"/>
  <c r="BN30" i="1"/>
  <c r="DK30" i="1"/>
  <c r="P30" i="1"/>
  <c r="BM30" i="1"/>
  <c r="DJ30" i="1"/>
  <c r="O30" i="1"/>
  <c r="BL30" i="1"/>
  <c r="DI30" i="1"/>
  <c r="N30" i="1"/>
  <c r="BK30" i="1"/>
  <c r="DH30" i="1"/>
  <c r="M30" i="1"/>
  <c r="BJ30" i="1"/>
  <c r="DG30" i="1"/>
  <c r="L30" i="1"/>
  <c r="BI30" i="1"/>
  <c r="DF30" i="1"/>
  <c r="K30" i="1"/>
  <c r="BH30" i="1"/>
  <c r="DE30" i="1"/>
  <c r="J30" i="1"/>
  <c r="BG30" i="1"/>
  <c r="DD30" i="1"/>
  <c r="I30" i="1"/>
  <c r="BF30" i="1"/>
  <c r="DC30" i="1"/>
  <c r="H30" i="1"/>
  <c r="BE30" i="1"/>
  <c r="DB30" i="1"/>
  <c r="G30" i="1"/>
  <c r="BD30" i="1"/>
  <c r="DA30" i="1"/>
  <c r="CZ30" i="1"/>
  <c r="CY30" i="1"/>
  <c r="CX30" i="1"/>
  <c r="CW30" i="1"/>
  <c r="CV30" i="1"/>
  <c r="CU30" i="1"/>
  <c r="CT30" i="1"/>
  <c r="CS30" i="1"/>
  <c r="CR30" i="1"/>
  <c r="CQ30" i="1"/>
  <c r="BC30" i="1"/>
  <c r="BB30" i="1"/>
  <c r="BA30" i="1"/>
  <c r="AZ30" i="1"/>
  <c r="AY30" i="1"/>
  <c r="AX30" i="1"/>
  <c r="AW30" i="1"/>
  <c r="AV30" i="1"/>
  <c r="AU30" i="1"/>
  <c r="AT30" i="1"/>
  <c r="AO29" i="1"/>
  <c r="CL29" i="1"/>
  <c r="EI29" i="1"/>
  <c r="AN29" i="1"/>
  <c r="CK29" i="1"/>
  <c r="EH29" i="1"/>
  <c r="AI29" i="1"/>
  <c r="CF29" i="1"/>
  <c r="EC29" i="1"/>
  <c r="AH29" i="1"/>
  <c r="CE29" i="1"/>
  <c r="EB29" i="1"/>
  <c r="AC29" i="1"/>
  <c r="BZ29" i="1"/>
  <c r="DW29" i="1"/>
  <c r="AB29" i="1"/>
  <c r="BY29" i="1"/>
  <c r="DV29" i="1"/>
  <c r="W29" i="1"/>
  <c r="BT29" i="1"/>
  <c r="DQ29" i="1"/>
  <c r="V29" i="1"/>
  <c r="BS29" i="1"/>
  <c r="DP29" i="1"/>
  <c r="Q29" i="1"/>
  <c r="BN29" i="1"/>
  <c r="DK29" i="1"/>
  <c r="P29" i="1"/>
  <c r="BM29" i="1"/>
  <c r="DJ29" i="1"/>
  <c r="O29" i="1"/>
  <c r="BL29" i="1"/>
  <c r="DI29" i="1"/>
  <c r="N29" i="1"/>
  <c r="BK29" i="1"/>
  <c r="DH29" i="1"/>
  <c r="M29" i="1"/>
  <c r="BJ29" i="1"/>
  <c r="DG29" i="1"/>
  <c r="L29" i="1"/>
  <c r="BI29" i="1"/>
  <c r="DF29" i="1"/>
  <c r="K29" i="1"/>
  <c r="BH29" i="1"/>
  <c r="DE29" i="1"/>
  <c r="J29" i="1"/>
  <c r="BG29" i="1"/>
  <c r="DD29" i="1"/>
  <c r="I29" i="1"/>
  <c r="BF29" i="1"/>
  <c r="DC29" i="1"/>
  <c r="H29" i="1"/>
  <c r="BE29" i="1"/>
  <c r="DB29" i="1"/>
  <c r="G29" i="1"/>
  <c r="BD29" i="1"/>
  <c r="DA29" i="1"/>
  <c r="CZ29" i="1"/>
  <c r="CY29" i="1"/>
  <c r="CX29" i="1"/>
  <c r="CW29" i="1"/>
  <c r="CV29" i="1"/>
  <c r="CU29" i="1"/>
  <c r="CT29" i="1"/>
  <c r="CS29" i="1"/>
  <c r="CR29" i="1"/>
  <c r="CQ29" i="1"/>
  <c r="BC29" i="1"/>
  <c r="BB29" i="1"/>
  <c r="BA29" i="1"/>
  <c r="AZ29" i="1"/>
  <c r="AY29" i="1"/>
  <c r="AX29" i="1"/>
  <c r="AW29" i="1"/>
  <c r="AV29" i="1"/>
  <c r="AU29" i="1"/>
  <c r="AT29" i="1"/>
  <c r="F19" i="2"/>
  <c r="E11" i="1"/>
  <c r="B14" i="1"/>
  <c r="B15" i="1"/>
  <c r="B16" i="1"/>
  <c r="B17" i="1"/>
  <c r="D28" i="1"/>
  <c r="B28" i="1"/>
  <c r="BB28" i="1"/>
  <c r="BB19" i="1"/>
  <c r="CY28" i="1"/>
  <c r="CY19" i="1"/>
  <c r="BC28" i="1"/>
  <c r="BC19" i="1"/>
  <c r="CZ28" i="1"/>
  <c r="CZ19" i="1"/>
  <c r="AN28" i="1"/>
  <c r="AN19" i="1"/>
  <c r="CK28" i="1"/>
  <c r="CK19" i="1"/>
  <c r="EH19" i="1"/>
  <c r="AQ19" i="1"/>
  <c r="CN19" i="1"/>
  <c r="EK19" i="1"/>
  <c r="FP19" i="1"/>
  <c r="AR19" i="1"/>
  <c r="CO19" i="1"/>
  <c r="EL19" i="1"/>
  <c r="FQ19" i="1"/>
  <c r="O28" i="1"/>
  <c r="O19" i="1"/>
  <c r="AO19" i="1"/>
  <c r="AS19" i="1"/>
  <c r="BL28" i="1"/>
  <c r="BL19" i="1"/>
  <c r="CP19" i="1"/>
  <c r="EM19" i="1"/>
  <c r="FR19" i="1"/>
  <c r="DI19" i="1"/>
  <c r="FV19" i="1"/>
  <c r="FT19" i="1"/>
  <c r="AZ28" i="1"/>
  <c r="AZ19" i="1"/>
  <c r="CW28" i="1"/>
  <c r="CW19" i="1"/>
  <c r="BA28" i="1"/>
  <c r="BA19" i="1"/>
  <c r="CX28" i="1"/>
  <c r="CX19" i="1"/>
  <c r="AH28" i="1"/>
  <c r="AH19" i="1"/>
  <c r="CE28" i="1"/>
  <c r="CE19" i="1"/>
  <c r="EB19" i="1"/>
  <c r="AK19" i="1"/>
  <c r="CH19" i="1"/>
  <c r="EE19" i="1"/>
  <c r="FI19" i="1"/>
  <c r="AL19" i="1"/>
  <c r="CI19" i="1"/>
  <c r="EF19" i="1"/>
  <c r="FJ19" i="1"/>
  <c r="AI19" i="1"/>
  <c r="AM19" i="1"/>
  <c r="CJ19" i="1"/>
  <c r="EG19" i="1"/>
  <c r="FK19" i="1"/>
  <c r="FO19" i="1"/>
  <c r="FM19" i="1"/>
  <c r="AX28" i="1"/>
  <c r="AX19" i="1"/>
  <c r="CU28" i="1"/>
  <c r="CU19" i="1"/>
  <c r="AY28" i="1"/>
  <c r="AY19" i="1"/>
  <c r="CV28" i="1"/>
  <c r="CV19" i="1"/>
  <c r="AB28" i="1"/>
  <c r="AB19" i="1"/>
  <c r="BY28" i="1"/>
  <c r="BY19" i="1"/>
  <c r="DV19" i="1"/>
  <c r="AE19" i="1"/>
  <c r="CB19" i="1"/>
  <c r="DY19" i="1"/>
  <c r="FB19" i="1"/>
  <c r="AF19" i="1"/>
  <c r="CC19" i="1"/>
  <c r="DZ19" i="1"/>
  <c r="FC19" i="1"/>
  <c r="AC19" i="1"/>
  <c r="AG19" i="1"/>
  <c r="CD19" i="1"/>
  <c r="EA19" i="1"/>
  <c r="FD19" i="1"/>
  <c r="FH19" i="1"/>
  <c r="FF19" i="1"/>
  <c r="AV28" i="1"/>
  <c r="AV19" i="1"/>
  <c r="CS28" i="1"/>
  <c r="CS19" i="1"/>
  <c r="AW28" i="1"/>
  <c r="AW19" i="1"/>
  <c r="CT28" i="1"/>
  <c r="CT19" i="1"/>
  <c r="V28" i="1"/>
  <c r="V19" i="1"/>
  <c r="BS28" i="1"/>
  <c r="BS19" i="1"/>
  <c r="DP19" i="1"/>
  <c r="Y19" i="1"/>
  <c r="BV19" i="1"/>
  <c r="DS19" i="1"/>
  <c r="EU19" i="1"/>
  <c r="Z19" i="1"/>
  <c r="BW19" i="1"/>
  <c r="DT19" i="1"/>
  <c r="EV19" i="1"/>
  <c r="W19" i="1"/>
  <c r="AA19" i="1"/>
  <c r="BX19" i="1"/>
  <c r="DU19" i="1"/>
  <c r="EW19" i="1"/>
  <c r="FA19" i="1"/>
  <c r="EY19" i="1"/>
  <c r="B2" i="2"/>
  <c r="B9" i="2"/>
  <c r="B4" i="2"/>
  <c r="B8" i="2"/>
  <c r="F10" i="2"/>
  <c r="B7" i="2"/>
  <c r="F7" i="2"/>
  <c r="F6" i="2"/>
  <c r="B5" i="2"/>
  <c r="F4" i="2"/>
  <c r="D25" i="1"/>
  <c r="CZ25" i="1"/>
  <c r="CY25" i="1"/>
  <c r="CX25" i="1"/>
  <c r="CW25" i="1"/>
  <c r="CV25" i="1"/>
  <c r="CU25" i="1"/>
  <c r="CT25" i="1"/>
  <c r="CS25" i="1"/>
  <c r="CR25" i="1"/>
  <c r="CQ25" i="1"/>
  <c r="CL25" i="1"/>
  <c r="CK25" i="1"/>
  <c r="CF25" i="1"/>
  <c r="CE25" i="1"/>
  <c r="BZ25" i="1"/>
  <c r="BY25" i="1"/>
  <c r="BT25" i="1"/>
  <c r="BS25" i="1"/>
  <c r="BN25" i="1"/>
  <c r="BM25" i="1"/>
  <c r="BL25" i="1"/>
  <c r="BK25" i="1"/>
  <c r="BJ25" i="1"/>
  <c r="BI25" i="1"/>
  <c r="BH25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O25" i="1"/>
  <c r="AN25" i="1"/>
  <c r="AI25" i="1"/>
  <c r="AH25" i="1"/>
  <c r="AC25" i="1"/>
  <c r="AB25" i="1"/>
  <c r="W25" i="1"/>
  <c r="V25" i="1"/>
  <c r="Q25" i="1"/>
  <c r="P25" i="1"/>
  <c r="O25" i="1"/>
  <c r="N25" i="1"/>
  <c r="M25" i="1"/>
  <c r="L25" i="1"/>
  <c r="K25" i="1"/>
  <c r="J25" i="1"/>
  <c r="I25" i="1"/>
  <c r="H25" i="1"/>
  <c r="G25" i="1"/>
  <c r="CZ23" i="1"/>
  <c r="CY23" i="1"/>
  <c r="CX23" i="1"/>
  <c r="CW23" i="1"/>
  <c r="CV23" i="1"/>
  <c r="CU23" i="1"/>
  <c r="CT23" i="1"/>
  <c r="CS23" i="1"/>
  <c r="CR23" i="1"/>
  <c r="CQ23" i="1"/>
  <c r="CL23" i="1"/>
  <c r="CK23" i="1"/>
  <c r="CF23" i="1"/>
  <c r="CE23" i="1"/>
  <c r="BZ23" i="1"/>
  <c r="BY23" i="1"/>
  <c r="BT23" i="1"/>
  <c r="BS23" i="1"/>
  <c r="BN23" i="1"/>
  <c r="BM23" i="1"/>
  <c r="BL23" i="1"/>
  <c r="BK23" i="1"/>
  <c r="BJ23" i="1"/>
  <c r="BI23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O23" i="1"/>
  <c r="AN23" i="1"/>
  <c r="AI23" i="1"/>
  <c r="AH23" i="1"/>
  <c r="AC23" i="1"/>
  <c r="AB23" i="1"/>
  <c r="W23" i="1"/>
  <c r="V23" i="1"/>
  <c r="Q23" i="1"/>
  <c r="P23" i="1"/>
  <c r="O23" i="1"/>
  <c r="N23" i="1"/>
  <c r="M23" i="1"/>
  <c r="L23" i="1"/>
  <c r="K23" i="1"/>
  <c r="J23" i="1"/>
  <c r="I23" i="1"/>
  <c r="H23" i="1"/>
  <c r="G23" i="1"/>
  <c r="F5" i="2"/>
  <c r="F8" i="2"/>
  <c r="F9" i="2"/>
  <c r="BM28" i="1"/>
  <c r="BM19" i="1"/>
  <c r="ET19" i="1"/>
  <c r="G38" i="2"/>
  <c r="G39" i="2"/>
  <c r="G37" i="2"/>
  <c r="E37" i="2"/>
  <c r="E39" i="2"/>
  <c r="E38" i="2"/>
  <c r="E36" i="2"/>
  <c r="E35" i="2"/>
  <c r="E34" i="2"/>
  <c r="E33" i="2"/>
  <c r="E32" i="2"/>
  <c r="AT28" i="1"/>
  <c r="AT19" i="1"/>
  <c r="H40" i="2"/>
  <c r="N28" i="1"/>
  <c r="N19" i="1"/>
  <c r="G40" i="2"/>
  <c r="BK28" i="1"/>
  <c r="BK19" i="1"/>
  <c r="G31" i="2"/>
  <c r="FS19" i="1"/>
  <c r="FU19" i="1"/>
  <c r="G36" i="2"/>
  <c r="FL19" i="1"/>
  <c r="FN19" i="1"/>
  <c r="G35" i="2"/>
  <c r="FE19" i="1"/>
  <c r="FG19" i="1"/>
  <c r="G34" i="2"/>
  <c r="EX19" i="1"/>
  <c r="BT19" i="1"/>
  <c r="DQ19" i="1"/>
  <c r="EZ19" i="1"/>
  <c r="G33" i="2"/>
  <c r="CQ28" i="1"/>
  <c r="CQ19" i="1"/>
  <c r="P28" i="1"/>
  <c r="P19" i="1"/>
  <c r="S19" i="1"/>
  <c r="BP19" i="1"/>
  <c r="DM19" i="1"/>
  <c r="EN19" i="1"/>
  <c r="AU28" i="1"/>
  <c r="AU19" i="1"/>
  <c r="CR28" i="1"/>
  <c r="CR19" i="1"/>
  <c r="T19" i="1"/>
  <c r="BQ19" i="1"/>
  <c r="DN19" i="1"/>
  <c r="EO19" i="1"/>
  <c r="Q19" i="1"/>
  <c r="U19" i="1"/>
  <c r="BR19" i="1"/>
  <c r="DO19" i="1"/>
  <c r="EP19" i="1"/>
  <c r="DJ19" i="1"/>
  <c r="EQ19" i="1"/>
  <c r="ER19" i="1"/>
  <c r="ES19" i="1"/>
  <c r="G32" i="2"/>
  <c r="EM17" i="1"/>
  <c r="EL17" i="1"/>
  <c r="EK17" i="1"/>
  <c r="EI17" i="1"/>
  <c r="EG17" i="1"/>
  <c r="EF17" i="1"/>
  <c r="EE17" i="1"/>
  <c r="EC17" i="1"/>
  <c r="EA17" i="1"/>
  <c r="DZ17" i="1"/>
  <c r="DY17" i="1"/>
  <c r="DW17" i="1"/>
  <c r="DU17" i="1"/>
  <c r="DT17" i="1"/>
  <c r="DS17" i="1"/>
  <c r="DQ17" i="1"/>
  <c r="DL17" i="1"/>
  <c r="DK17" i="1"/>
  <c r="CP17" i="1"/>
  <c r="CO17" i="1"/>
  <c r="CN17" i="1"/>
  <c r="CJ17" i="1"/>
  <c r="CI17" i="1"/>
  <c r="CH17" i="1"/>
  <c r="CD17" i="1"/>
  <c r="CC17" i="1"/>
  <c r="CB17" i="1"/>
  <c r="BX17" i="1"/>
  <c r="BW17" i="1"/>
  <c r="BV17" i="1"/>
  <c r="BR17" i="1"/>
  <c r="BQ17" i="1"/>
  <c r="BP17" i="1"/>
  <c r="Y18" i="1"/>
  <c r="Y17" i="1"/>
  <c r="Z18" i="1"/>
  <c r="Z17" i="1"/>
  <c r="AA18" i="1"/>
  <c r="AA17" i="1"/>
  <c r="AE18" i="1"/>
  <c r="AE17" i="1"/>
  <c r="AF18" i="1"/>
  <c r="AF17" i="1"/>
  <c r="AG18" i="1"/>
  <c r="AG17" i="1"/>
  <c r="AK18" i="1"/>
  <c r="AK17" i="1"/>
  <c r="AL18" i="1"/>
  <c r="AL17" i="1"/>
  <c r="AM18" i="1"/>
  <c r="AM17" i="1"/>
  <c r="AP18" i="1"/>
  <c r="AQ18" i="1"/>
  <c r="AQ17" i="1"/>
  <c r="AR18" i="1"/>
  <c r="AR17" i="1"/>
  <c r="AS18" i="1"/>
  <c r="AS17" i="1"/>
  <c r="R18" i="1"/>
  <c r="S18" i="1"/>
  <c r="T18" i="1"/>
  <c r="T17" i="1"/>
  <c r="U18" i="1"/>
  <c r="U17" i="1"/>
  <c r="S17" i="1"/>
  <c r="DN17" i="1"/>
  <c r="DO17" i="1"/>
  <c r="DR17" i="1"/>
  <c r="DX17" i="1"/>
  <c r="ED17" i="1"/>
  <c r="EJ17" i="1"/>
  <c r="DM17" i="1"/>
  <c r="S25" i="1"/>
  <c r="DW15" i="1"/>
  <c r="DW16" i="1"/>
  <c r="DW18" i="1"/>
  <c r="BZ19" i="1"/>
  <c r="DW19" i="1"/>
  <c r="AB20" i="1"/>
  <c r="BY20" i="1"/>
  <c r="DV20" i="1"/>
  <c r="AB21" i="1"/>
  <c r="BY21" i="1"/>
  <c r="DV21" i="1"/>
  <c r="B22" i="1"/>
  <c r="AB22" i="1"/>
  <c r="BY22" i="1"/>
  <c r="DV22" i="1"/>
  <c r="DV23" i="1"/>
  <c r="DW23" i="1"/>
  <c r="DV25" i="1"/>
  <c r="DV24" i="1"/>
  <c r="DW25" i="1"/>
  <c r="DV28" i="1"/>
  <c r="AC28" i="1"/>
  <c r="BZ28" i="1"/>
  <c r="DW28" i="1"/>
  <c r="EI18" i="1"/>
  <c r="EN18" i="1"/>
  <c r="EO18" i="1"/>
  <c r="EP18" i="1"/>
  <c r="EQ18" i="1"/>
  <c r="ER18" i="1"/>
  <c r="ES18" i="1"/>
  <c r="EU18" i="1"/>
  <c r="EV18" i="1"/>
  <c r="EW18" i="1"/>
  <c r="EX18" i="1"/>
  <c r="EY18" i="1"/>
  <c r="EZ18" i="1"/>
  <c r="FB18" i="1"/>
  <c r="FC18" i="1"/>
  <c r="FD18" i="1"/>
  <c r="FE18" i="1"/>
  <c r="FF18" i="1"/>
  <c r="FG18" i="1"/>
  <c r="FI18" i="1"/>
  <c r="FJ18" i="1"/>
  <c r="FK18" i="1"/>
  <c r="FL18" i="1"/>
  <c r="FM18" i="1"/>
  <c r="FN18" i="1"/>
  <c r="FO18" i="1"/>
  <c r="FH18" i="1"/>
  <c r="FA18" i="1"/>
  <c r="ET18" i="1"/>
  <c r="FV17" i="1"/>
  <c r="FU17" i="1"/>
  <c r="FT17" i="1"/>
  <c r="FS17" i="1"/>
  <c r="FR17" i="1"/>
  <c r="FQ17" i="1"/>
  <c r="FP17" i="1"/>
  <c r="FO17" i="1"/>
  <c r="FN17" i="1"/>
  <c r="FM17" i="1"/>
  <c r="FL17" i="1"/>
  <c r="FK17" i="1"/>
  <c r="FJ17" i="1"/>
  <c r="FI17" i="1"/>
  <c r="FH17" i="1"/>
  <c r="FG17" i="1"/>
  <c r="FF17" i="1"/>
  <c r="FE17" i="1"/>
  <c r="FD17" i="1"/>
  <c r="FC17" i="1"/>
  <c r="FB17" i="1"/>
  <c r="FA17" i="1"/>
  <c r="EZ17" i="1"/>
  <c r="EY17" i="1"/>
  <c r="EX17" i="1"/>
  <c r="EW17" i="1"/>
  <c r="EV17" i="1"/>
  <c r="EU17" i="1"/>
  <c r="ET17" i="1"/>
  <c r="ES17" i="1"/>
  <c r="ER17" i="1"/>
  <c r="EQ17" i="1"/>
  <c r="EP17" i="1"/>
  <c r="EO17" i="1"/>
  <c r="EN17" i="1"/>
  <c r="EB28" i="1"/>
  <c r="FP18" i="1"/>
  <c r="FQ18" i="1"/>
  <c r="FR18" i="1"/>
  <c r="FS18" i="1"/>
  <c r="FT18" i="1"/>
  <c r="FU18" i="1"/>
  <c r="FV18" i="1"/>
  <c r="BH28" i="1"/>
  <c r="K28" i="1"/>
  <c r="DE28" i="1"/>
  <c r="DK25" i="1"/>
  <c r="DQ25" i="1"/>
  <c r="EC25" i="1"/>
  <c r="EI25" i="1"/>
  <c r="CL19" i="1"/>
  <c r="EI19" i="1"/>
  <c r="CF19" i="1"/>
  <c r="EC19" i="1"/>
  <c r="EI23" i="1"/>
  <c r="EC23" i="1"/>
  <c r="DQ23" i="1"/>
  <c r="BN19" i="1"/>
  <c r="DK19" i="1"/>
  <c r="AC24" i="1"/>
  <c r="DH19" i="1"/>
  <c r="CG17" i="1"/>
  <c r="BG28" i="1"/>
  <c r="BG19" i="1"/>
  <c r="BF28" i="1"/>
  <c r="BF19" i="1"/>
  <c r="P20" i="1"/>
  <c r="AT20" i="1"/>
  <c r="P21" i="1"/>
  <c r="AT21" i="1"/>
  <c r="P22" i="1"/>
  <c r="AT22" i="1"/>
  <c r="O22" i="1"/>
  <c r="BL22" i="1"/>
  <c r="O21" i="1"/>
  <c r="BL21" i="1"/>
  <c r="O20" i="1"/>
  <c r="BL20" i="1"/>
  <c r="Q28" i="1"/>
  <c r="BN28" i="1"/>
  <c r="CL28" i="1"/>
  <c r="CF28" i="1"/>
  <c r="BT28" i="1"/>
  <c r="CM17" i="1"/>
  <c r="CA17" i="1"/>
  <c r="BU17" i="1"/>
  <c r="BO17" i="1"/>
  <c r="AP17" i="1"/>
  <c r="AJ17" i="1"/>
  <c r="AD17" i="1"/>
  <c r="X17" i="1"/>
  <c r="AO28" i="1"/>
  <c r="AI28" i="1"/>
  <c r="W28" i="1"/>
  <c r="R17" i="1"/>
  <c r="DK28" i="1"/>
  <c r="CZ22" i="1"/>
  <c r="CY22" i="1"/>
  <c r="CX22" i="1"/>
  <c r="CW22" i="1"/>
  <c r="CV22" i="1"/>
  <c r="CU22" i="1"/>
  <c r="CT22" i="1"/>
  <c r="CS22" i="1"/>
  <c r="CR22" i="1"/>
  <c r="CQ22" i="1"/>
  <c r="CZ21" i="1"/>
  <c r="CY21" i="1"/>
  <c r="CX21" i="1"/>
  <c r="CW21" i="1"/>
  <c r="CV21" i="1"/>
  <c r="CU21" i="1"/>
  <c r="CT21" i="1"/>
  <c r="CS21" i="1"/>
  <c r="CR21" i="1"/>
  <c r="CQ21" i="1"/>
  <c r="CZ20" i="1"/>
  <c r="CY20" i="1"/>
  <c r="CX20" i="1"/>
  <c r="CW20" i="1"/>
  <c r="CV20" i="1"/>
  <c r="CU20" i="1"/>
  <c r="CT20" i="1"/>
  <c r="CS20" i="1"/>
  <c r="CR20" i="1"/>
  <c r="CQ20" i="1"/>
  <c r="CQ24" i="1"/>
  <c r="CR24" i="1"/>
  <c r="CS24" i="1"/>
  <c r="CT24" i="1"/>
  <c r="CU24" i="1"/>
  <c r="CV24" i="1"/>
  <c r="CW24" i="1"/>
  <c r="CX24" i="1"/>
  <c r="CY24" i="1"/>
  <c r="CZ24" i="1"/>
  <c r="AT24" i="1"/>
  <c r="AU20" i="1"/>
  <c r="AU21" i="1"/>
  <c r="AU22" i="1"/>
  <c r="AU24" i="1"/>
  <c r="AV20" i="1"/>
  <c r="AV21" i="1"/>
  <c r="AV22" i="1"/>
  <c r="AV24" i="1"/>
  <c r="AW20" i="1"/>
  <c r="AW21" i="1"/>
  <c r="AW22" i="1"/>
  <c r="AW24" i="1"/>
  <c r="AX20" i="1"/>
  <c r="AX21" i="1"/>
  <c r="AX22" i="1"/>
  <c r="AX24" i="1"/>
  <c r="AY20" i="1"/>
  <c r="AY21" i="1"/>
  <c r="AY22" i="1"/>
  <c r="AY24" i="1"/>
  <c r="AZ20" i="1"/>
  <c r="AZ21" i="1"/>
  <c r="AZ22" i="1"/>
  <c r="AZ24" i="1"/>
  <c r="BA20" i="1"/>
  <c r="BA21" i="1"/>
  <c r="BA22" i="1"/>
  <c r="BA24" i="1"/>
  <c r="BB20" i="1"/>
  <c r="BB21" i="1"/>
  <c r="BB22" i="1"/>
  <c r="BB24" i="1"/>
  <c r="BC20" i="1"/>
  <c r="BC21" i="1"/>
  <c r="BC22" i="1"/>
  <c r="BC24" i="1"/>
  <c r="BC15" i="1"/>
  <c r="BB15" i="1"/>
  <c r="BA15" i="1"/>
  <c r="AZ15" i="1"/>
  <c r="AY15" i="1"/>
  <c r="AX15" i="1"/>
  <c r="AW15" i="1"/>
  <c r="AV15" i="1"/>
  <c r="AU15" i="1"/>
  <c r="AT15" i="1"/>
  <c r="F22" i="2"/>
  <c r="F20" i="2"/>
  <c r="DC25" i="1"/>
  <c r="DE25" i="1"/>
  <c r="DF25" i="1"/>
  <c r="DG25" i="1"/>
  <c r="G28" i="2"/>
  <c r="DB25" i="1"/>
  <c r="G27" i="2"/>
  <c r="DD25" i="1"/>
  <c r="G26" i="2"/>
  <c r="G25" i="2"/>
  <c r="G18" i="2"/>
  <c r="N20" i="1"/>
  <c r="BK20" i="1"/>
  <c r="DH20" i="1"/>
  <c r="G19" i="2"/>
  <c r="N21" i="1"/>
  <c r="BK21" i="1"/>
  <c r="DH21" i="1"/>
  <c r="G21" i="2"/>
  <c r="N22" i="1"/>
  <c r="BK22" i="1"/>
  <c r="DH22" i="1"/>
  <c r="G22" i="2"/>
  <c r="G20" i="2"/>
  <c r="DH25" i="1"/>
  <c r="DH24" i="1"/>
  <c r="G23" i="2"/>
  <c r="G24" i="2"/>
  <c r="D26" i="2"/>
  <c r="D27" i="2"/>
  <c r="H31" i="2"/>
  <c r="H32" i="2"/>
  <c r="H33" i="2"/>
  <c r="H34" i="2"/>
  <c r="H35" i="2"/>
  <c r="H36" i="2"/>
  <c r="D12" i="2"/>
  <c r="D7" i="2"/>
  <c r="D6" i="2"/>
  <c r="D5" i="2"/>
  <c r="D4" i="2"/>
  <c r="D25" i="2"/>
  <c r="F18" i="2"/>
  <c r="D32" i="2"/>
  <c r="D28" i="2"/>
  <c r="F23" i="2"/>
  <c r="F21" i="2"/>
  <c r="E18" i="2"/>
  <c r="D18" i="2"/>
  <c r="D40" i="2"/>
  <c r="D31" i="2"/>
  <c r="D29" i="2"/>
  <c r="D17" i="2"/>
  <c r="D2" i="2"/>
  <c r="DP28" i="1"/>
  <c r="DQ28" i="1"/>
  <c r="EC28" i="1"/>
  <c r="EH28" i="1"/>
  <c r="EI28" i="1"/>
  <c r="V20" i="1"/>
  <c r="BS20" i="1"/>
  <c r="DP20" i="1"/>
  <c r="AH20" i="1"/>
  <c r="CE20" i="1"/>
  <c r="EB20" i="1"/>
  <c r="AN20" i="1"/>
  <c r="CK20" i="1"/>
  <c r="EH20" i="1"/>
  <c r="V21" i="1"/>
  <c r="BS21" i="1"/>
  <c r="DP21" i="1"/>
  <c r="AH21" i="1"/>
  <c r="CE21" i="1"/>
  <c r="EB21" i="1"/>
  <c r="AN21" i="1"/>
  <c r="CK21" i="1"/>
  <c r="EH21" i="1"/>
  <c r="V22" i="1"/>
  <c r="BS22" i="1"/>
  <c r="DP22" i="1"/>
  <c r="AH22" i="1"/>
  <c r="CE22" i="1"/>
  <c r="EB22" i="1"/>
  <c r="AN22" i="1"/>
  <c r="CK22" i="1"/>
  <c r="EH22" i="1"/>
  <c r="DK23" i="1"/>
  <c r="DP23" i="1"/>
  <c r="EB23" i="1"/>
  <c r="EH23" i="1"/>
  <c r="DP25" i="1"/>
  <c r="DP24" i="1"/>
  <c r="EB25" i="1"/>
  <c r="EB24" i="1"/>
  <c r="EH25" i="1"/>
  <c r="EH24" i="1"/>
  <c r="EI16" i="1"/>
  <c r="EI15" i="1"/>
  <c r="EC18" i="1"/>
  <c r="EC16" i="1"/>
  <c r="EC15" i="1"/>
  <c r="DQ18" i="1"/>
  <c r="DQ16" i="1"/>
  <c r="DQ15" i="1"/>
  <c r="DK18" i="1"/>
  <c r="DK16" i="1"/>
  <c r="DK15" i="1"/>
  <c r="V24" i="1"/>
  <c r="AB24" i="1"/>
  <c r="AH24" i="1"/>
  <c r="AN24" i="1"/>
  <c r="BS24" i="1"/>
  <c r="BY24" i="1"/>
  <c r="CE24" i="1"/>
  <c r="CK24" i="1"/>
  <c r="CL16" i="1"/>
  <c r="CL15" i="1"/>
  <c r="CF16" i="1"/>
  <c r="CF15" i="1"/>
  <c r="BZ16" i="1"/>
  <c r="BZ15" i="1"/>
  <c r="BT16" i="1"/>
  <c r="BT15" i="1"/>
  <c r="BN16" i="1"/>
  <c r="BN15" i="1"/>
  <c r="AO16" i="1"/>
  <c r="AO15" i="1"/>
  <c r="AI16" i="1"/>
  <c r="AI15" i="1"/>
  <c r="AC16" i="1"/>
  <c r="AC15" i="1"/>
  <c r="W16" i="1"/>
  <c r="W15" i="1"/>
  <c r="Q16" i="1"/>
  <c r="Q15" i="1"/>
  <c r="G29" i="2"/>
  <c r="G17" i="2"/>
  <c r="I28" i="1"/>
  <c r="I19" i="1"/>
  <c r="DC19" i="1"/>
  <c r="I20" i="1"/>
  <c r="BF20" i="1"/>
  <c r="DC20" i="1"/>
  <c r="I21" i="1"/>
  <c r="BF21" i="1"/>
  <c r="DC21" i="1"/>
  <c r="I22" i="1"/>
  <c r="BF22" i="1"/>
  <c r="DC22" i="1"/>
  <c r="DC23" i="1"/>
  <c r="DC24" i="1"/>
  <c r="DC28" i="1"/>
  <c r="BF24" i="1"/>
  <c r="I24" i="1"/>
  <c r="J28" i="1"/>
  <c r="J19" i="1"/>
  <c r="DD19" i="1"/>
  <c r="K19" i="1"/>
  <c r="BH19" i="1"/>
  <c r="DE19" i="1"/>
  <c r="L28" i="1"/>
  <c r="L19" i="1"/>
  <c r="BI28" i="1"/>
  <c r="BI19" i="1"/>
  <c r="DF19" i="1"/>
  <c r="M28" i="1"/>
  <c r="M19" i="1"/>
  <c r="BJ28" i="1"/>
  <c r="BJ19" i="1"/>
  <c r="DG19" i="1"/>
  <c r="J20" i="1"/>
  <c r="BG20" i="1"/>
  <c r="DD20" i="1"/>
  <c r="K20" i="1"/>
  <c r="BH20" i="1"/>
  <c r="DE20" i="1"/>
  <c r="L20" i="1"/>
  <c r="BI20" i="1"/>
  <c r="DF20" i="1"/>
  <c r="M20" i="1"/>
  <c r="BJ20" i="1"/>
  <c r="DG20" i="1"/>
  <c r="J21" i="1"/>
  <c r="BG21" i="1"/>
  <c r="DD21" i="1"/>
  <c r="K21" i="1"/>
  <c r="BH21" i="1"/>
  <c r="DE21" i="1"/>
  <c r="L21" i="1"/>
  <c r="BI21" i="1"/>
  <c r="DF21" i="1"/>
  <c r="M21" i="1"/>
  <c r="BJ21" i="1"/>
  <c r="DG21" i="1"/>
  <c r="J22" i="1"/>
  <c r="BG22" i="1"/>
  <c r="DD22" i="1"/>
  <c r="K22" i="1"/>
  <c r="BH22" i="1"/>
  <c r="DE22" i="1"/>
  <c r="L22" i="1"/>
  <c r="BI22" i="1"/>
  <c r="DF22" i="1"/>
  <c r="M22" i="1"/>
  <c r="BJ22" i="1"/>
  <c r="DG22" i="1"/>
  <c r="DD23" i="1"/>
  <c r="DE23" i="1"/>
  <c r="DF23" i="1"/>
  <c r="DG23" i="1"/>
  <c r="DD24" i="1"/>
  <c r="DE24" i="1"/>
  <c r="DF24" i="1"/>
  <c r="DG24" i="1"/>
  <c r="DD28" i="1"/>
  <c r="DF28" i="1"/>
  <c r="DG28" i="1"/>
  <c r="J24" i="1"/>
  <c r="K24" i="1"/>
  <c r="L24" i="1"/>
  <c r="M24" i="1"/>
  <c r="BG24" i="1"/>
  <c r="BH24" i="1"/>
  <c r="BI24" i="1"/>
  <c r="BJ24" i="1"/>
  <c r="H28" i="1"/>
  <c r="H19" i="1"/>
  <c r="BE28" i="1"/>
  <c r="BE19" i="1"/>
  <c r="DB19" i="1"/>
  <c r="H20" i="1"/>
  <c r="BE20" i="1"/>
  <c r="DB20" i="1"/>
  <c r="H21" i="1"/>
  <c r="BE21" i="1"/>
  <c r="DB21" i="1"/>
  <c r="H22" i="1"/>
  <c r="BE22" i="1"/>
  <c r="DB22" i="1"/>
  <c r="DB24" i="1"/>
  <c r="DJ25" i="1"/>
  <c r="BM20" i="1"/>
  <c r="DJ20" i="1"/>
  <c r="BM21" i="1"/>
  <c r="DJ21" i="1"/>
  <c r="BM22" i="1"/>
  <c r="DJ22" i="1"/>
  <c r="DJ24" i="1"/>
  <c r="DI25" i="1"/>
  <c r="DI20" i="1"/>
  <c r="DI21" i="1"/>
  <c r="DI22" i="1"/>
  <c r="DI24" i="1"/>
  <c r="DA25" i="1"/>
  <c r="G28" i="1"/>
  <c r="G19" i="1"/>
  <c r="BD28" i="1"/>
  <c r="BD19" i="1"/>
  <c r="DA19" i="1"/>
  <c r="G20" i="1"/>
  <c r="BD20" i="1"/>
  <c r="DA20" i="1"/>
  <c r="G21" i="1"/>
  <c r="BD21" i="1"/>
  <c r="DA21" i="1"/>
  <c r="G22" i="1"/>
  <c r="BD22" i="1"/>
  <c r="DA22" i="1"/>
  <c r="DA24" i="1"/>
  <c r="BM24" i="1"/>
  <c r="BL24" i="1"/>
  <c r="BK24" i="1"/>
  <c r="BE24" i="1"/>
  <c r="BD24" i="1"/>
  <c r="P24" i="1"/>
  <c r="O24" i="1"/>
  <c r="N24" i="1"/>
  <c r="H24" i="1"/>
  <c r="G24" i="1"/>
  <c r="D24" i="1"/>
  <c r="DA23" i="1"/>
  <c r="DB23" i="1"/>
  <c r="DH23" i="1"/>
  <c r="DI23" i="1"/>
  <c r="DJ23" i="1"/>
  <c r="DB28" i="1"/>
  <c r="DH28" i="1"/>
  <c r="DI28" i="1"/>
  <c r="DJ28" i="1"/>
  <c r="DA28" i="1"/>
  <c r="F22" i="1"/>
  <c r="E22" i="1"/>
  <c r="A28" i="1"/>
</calcChain>
</file>

<file path=xl/sharedStrings.xml><?xml version="1.0" encoding="utf-8"?>
<sst xmlns="http://schemas.openxmlformats.org/spreadsheetml/2006/main" count="519" uniqueCount="379">
  <si>
    <t>Period</t>
  </si>
  <si>
    <t>Activity</t>
  </si>
  <si>
    <t>Currency</t>
  </si>
  <si>
    <t>Gaap</t>
  </si>
  <si>
    <t>Integration_Rate</t>
  </si>
  <si>
    <t>Legal_Organization</t>
  </si>
  <si>
    <t>Actual</t>
  </si>
  <si>
    <t>TPL10_dest_nosub</t>
  </si>
  <si>
    <t>PL0000_DO</t>
  </si>
  <si>
    <t>PL0000_OT</t>
  </si>
  <si>
    <t>N</t>
  </si>
  <si>
    <t>[Begin Format Range]</t>
  </si>
  <si>
    <t>[End Format Range]</t>
  </si>
  <si>
    <t>Run_Win_Loss</t>
  </si>
  <si>
    <t>MDX_PART1</t>
  </si>
  <si>
    <t>MDX_PART2</t>
  </si>
  <si>
    <t>MDX_PART3</t>
  </si>
  <si>
    <t xml:space="preserve"> </t>
  </si>
  <si>
    <t>RUN</t>
  </si>
  <si>
    <t>WIN</t>
  </si>
  <si>
    <t>LOSS</t>
  </si>
  <si>
    <t>Total</t>
  </si>
  <si>
    <t>TPL1_dest</t>
  </si>
  <si>
    <t>GROSS_MARGIN_dest</t>
  </si>
  <si>
    <t>Contracts</t>
  </si>
  <si>
    <t>VTD_CORP_BM</t>
  </si>
  <si>
    <t>MDX_PART4</t>
  </si>
  <si>
    <t>vide</t>
  </si>
  <si>
    <t>TPL13_dest</t>
  </si>
  <si>
    <t>Management_Organization</t>
  </si>
  <si>
    <t>OPERATING PROFIT (by destination)</t>
  </si>
  <si>
    <t>GENERAL AND ADMINISTRATIVE COSTS (by destination)</t>
  </si>
  <si>
    <t>GROSS MARGIN (by destination)</t>
  </si>
  <si>
    <t>REVENUE FROM ORDINARY ACTIVITIES (ROA) net of subcontracted transport</t>
  </si>
  <si>
    <t>Driving/operating (RESOP)</t>
  </si>
  <si>
    <t>Energy for traction</t>
  </si>
  <si>
    <t>Maintenance &amp; cleaning of fleet (RESOP)</t>
  </si>
  <si>
    <t>Fleet (RESOP)</t>
  </si>
  <si>
    <t>Other Operating cost</t>
  </si>
  <si>
    <t>RESOP</t>
  </si>
  <si>
    <t>SGA</t>
  </si>
  <si>
    <t>GM</t>
  </si>
  <si>
    <t>ROA</t>
  </si>
  <si>
    <t>D</t>
  </si>
  <si>
    <t>M</t>
  </si>
  <si>
    <t>E</t>
  </si>
  <si>
    <t>F</t>
  </si>
  <si>
    <t>O</t>
  </si>
  <si>
    <t>R</t>
  </si>
  <si>
    <t>W</t>
  </si>
  <si>
    <t>L</t>
  </si>
  <si>
    <t>server</t>
  </si>
  <si>
    <t>xserver</t>
  </si>
  <si>
    <t>VAR</t>
  </si>
  <si>
    <t>Variation</t>
  </si>
  <si>
    <t xml:space="preserve">Réél </t>
  </si>
  <si>
    <t>TPL12_dest</t>
  </si>
  <si>
    <t>TPL14_dest</t>
  </si>
  <si>
    <t>TPL15_dest</t>
  </si>
  <si>
    <t>TPL16_dest</t>
  </si>
  <si>
    <t>Reject_Data</t>
  </si>
  <si>
    <t>pts</t>
  </si>
  <si>
    <t>%</t>
  </si>
  <si>
    <t>Locallanguage</t>
  </si>
  <si>
    <t>GA</t>
  </si>
  <si>
    <t>S</t>
  </si>
  <si>
    <t>PMM_D</t>
  </si>
  <si>
    <t>PMM_M</t>
  </si>
  <si>
    <t>PMM_E</t>
  </si>
  <si>
    <t>PMM_F</t>
  </si>
  <si>
    <t>PMM_O</t>
  </si>
  <si>
    <t>DEBUG_OFF</t>
  </si>
  <si>
    <t>tango_core_model:</t>
  </si>
  <si>
    <t>FR_55611</t>
  </si>
  <si>
    <t>FR_7593</t>
  </si>
  <si>
    <t>FR_7751</t>
  </si>
  <si>
    <t>FR_7757</t>
  </si>
  <si>
    <t>FR_554</t>
  </si>
  <si>
    <t>FR_55605</t>
  </si>
  <si>
    <t>FR_55604</t>
  </si>
  <si>
    <t>FR_55603</t>
  </si>
  <si>
    <t>FR_7214</t>
  </si>
  <si>
    <t>FR_7503</t>
  </si>
  <si>
    <t>FR_006</t>
  </si>
  <si>
    <t>FR_55614</t>
  </si>
  <si>
    <t>FR_599</t>
  </si>
  <si>
    <t>FR_641</t>
  </si>
  <si>
    <t>FR_654</t>
  </si>
  <si>
    <t>FR_659</t>
  </si>
  <si>
    <t>FR_7508</t>
  </si>
  <si>
    <t>FR_55602A</t>
  </si>
  <si>
    <t>FR_55613</t>
  </si>
  <si>
    <t>FR_002</t>
  </si>
  <si>
    <t>FR_003</t>
  </si>
  <si>
    <t>FR_55608</t>
  </si>
  <si>
    <t>FR_55606</t>
  </si>
  <si>
    <t>FR_55615</t>
  </si>
  <si>
    <t>FR_5560903</t>
  </si>
  <si>
    <t>FR_55607</t>
  </si>
  <si>
    <t>FR_59400</t>
  </si>
  <si>
    <t>FR_655</t>
  </si>
  <si>
    <t>FR_7512</t>
  </si>
  <si>
    <t>FR_7619</t>
  </si>
  <si>
    <t>FR_7621</t>
  </si>
  <si>
    <t>FR_I102</t>
  </si>
  <si>
    <t>FR_7519</t>
  </si>
  <si>
    <t>FR_4214</t>
  </si>
  <si>
    <t>FR_7511</t>
  </si>
  <si>
    <t>FR_7514</t>
  </si>
  <si>
    <t>FR_I108</t>
  </si>
  <si>
    <t>FR_7518</t>
  </si>
  <si>
    <t>FR_7520</t>
  </si>
  <si>
    <t>FR_7526</t>
  </si>
  <si>
    <t>FR_06301</t>
  </si>
  <si>
    <t>FR_06302</t>
  </si>
  <si>
    <t>FR_06304</t>
  </si>
  <si>
    <t>FR_06305</t>
  </si>
  <si>
    <t>FR_4213</t>
  </si>
  <si>
    <t>FR_443701</t>
  </si>
  <si>
    <t>FR_443702</t>
  </si>
  <si>
    <t>FR_443704</t>
  </si>
  <si>
    <t>FR_443705</t>
  </si>
  <si>
    <t>FR_085</t>
  </si>
  <si>
    <t>FR_01600</t>
  </si>
  <si>
    <t>FR_01601</t>
  </si>
  <si>
    <t>FR_01602</t>
  </si>
  <si>
    <t>FR_036</t>
  </si>
  <si>
    <t>FR_377</t>
  </si>
  <si>
    <t>FR_392</t>
  </si>
  <si>
    <t>FR_4211</t>
  </si>
  <si>
    <t>FR_50021</t>
  </si>
  <si>
    <t>FR_50027</t>
  </si>
  <si>
    <t>FR_031</t>
  </si>
  <si>
    <t>FR_035</t>
  </si>
  <si>
    <t>FR_075</t>
  </si>
  <si>
    <t>FR_7516</t>
  </si>
  <si>
    <t>FR_4436</t>
  </si>
  <si>
    <t>FR_4460</t>
  </si>
  <si>
    <t>FR_4488</t>
  </si>
  <si>
    <t>FR_50016</t>
  </si>
  <si>
    <t>FR_503</t>
  </si>
  <si>
    <t>FR_06901</t>
  </si>
  <si>
    <t>FR_I051</t>
  </si>
  <si>
    <t>FR_052</t>
  </si>
  <si>
    <t>FR_053</t>
  </si>
  <si>
    <t>FR_012</t>
  </si>
  <si>
    <t>FR_048</t>
  </si>
  <si>
    <t>FR_051</t>
  </si>
  <si>
    <t>FR_070</t>
  </si>
  <si>
    <t>FR_7672</t>
  </si>
  <si>
    <t>FR_7677</t>
  </si>
  <si>
    <t>FR_S7541</t>
  </si>
  <si>
    <t>FR_7726</t>
  </si>
  <si>
    <t>FR_010</t>
  </si>
  <si>
    <t>FR_015</t>
  </si>
  <si>
    <t>FR_017</t>
  </si>
  <si>
    <t>FR_50019</t>
  </si>
  <si>
    <t>FR_543</t>
  </si>
  <si>
    <t>FR_55004</t>
  </si>
  <si>
    <t>FR_7553</t>
  </si>
  <si>
    <t>FR_7654</t>
  </si>
  <si>
    <t>FR_I035</t>
  </si>
  <si>
    <t>FR_055</t>
  </si>
  <si>
    <t>FR_327</t>
  </si>
  <si>
    <t>FR_4212</t>
  </si>
  <si>
    <t>FR_049</t>
  </si>
  <si>
    <t>FR_023</t>
  </si>
  <si>
    <t>FR_4467</t>
  </si>
  <si>
    <t>FR_030</t>
  </si>
  <si>
    <t>FR_50014</t>
  </si>
  <si>
    <t>FR_7566</t>
  </si>
  <si>
    <t>FR_510</t>
  </si>
  <si>
    <t>FR_512</t>
  </si>
  <si>
    <t>FR_561</t>
  </si>
  <si>
    <t>FR_7534</t>
  </si>
  <si>
    <t>FR_I053</t>
  </si>
  <si>
    <t>FR_50020</t>
  </si>
  <si>
    <t>FR_55017</t>
  </si>
  <si>
    <t>FR_7567</t>
  </si>
  <si>
    <t>FR_4435</t>
  </si>
  <si>
    <t>FR_084</t>
  </si>
  <si>
    <t>FR_515</t>
  </si>
  <si>
    <t>FR_611</t>
  </si>
  <si>
    <t>FR_634</t>
  </si>
  <si>
    <t>FR_I104</t>
  </si>
  <si>
    <t>FR_638</t>
  </si>
  <si>
    <t>FR_646</t>
  </si>
  <si>
    <t>FR_652</t>
  </si>
  <si>
    <t>FR_7531</t>
  </si>
  <si>
    <t>FR_7580</t>
  </si>
  <si>
    <t>FR_I109</t>
  </si>
  <si>
    <t>FR_06802</t>
  </si>
  <si>
    <t>FR_4202</t>
  </si>
  <si>
    <t>FR_535</t>
  </si>
  <si>
    <t>FR_7244</t>
  </si>
  <si>
    <t>FR_7528</t>
  </si>
  <si>
    <t>FR_7565</t>
  </si>
  <si>
    <t>FR_7582</t>
  </si>
  <si>
    <t>FR_7594</t>
  </si>
  <si>
    <t>FR_7613</t>
  </si>
  <si>
    <t>FR_7739</t>
  </si>
  <si>
    <t>FR_523</t>
  </si>
  <si>
    <t>FR_7515</t>
  </si>
  <si>
    <t>FR_06801</t>
  </si>
  <si>
    <t>FR_086</t>
  </si>
  <si>
    <t>UK_002</t>
  </si>
  <si>
    <t>UK_003</t>
  </si>
  <si>
    <t>UK_004</t>
  </si>
  <si>
    <t>UK_005</t>
  </si>
  <si>
    <t>UK_006</t>
  </si>
  <si>
    <t>GER_2038</t>
  </si>
  <si>
    <t>GER_571A_6101</t>
  </si>
  <si>
    <t>GER_506</t>
  </si>
  <si>
    <t>GER_573</t>
  </si>
  <si>
    <t>GER_911</t>
  </si>
  <si>
    <t>GER_949</t>
  </si>
  <si>
    <t>GER_7960</t>
  </si>
  <si>
    <t>GER_7964</t>
  </si>
  <si>
    <t>GER_7958</t>
  </si>
  <si>
    <t>CXX_AML</t>
  </si>
  <si>
    <t>CXX_ZNS</t>
  </si>
  <si>
    <t>CXX_SRE</t>
  </si>
  <si>
    <t>CXX_PZL</t>
  </si>
  <si>
    <t>CXX_VPR</t>
  </si>
  <si>
    <t>CXX_PSH</t>
  </si>
  <si>
    <t>CXX_HIJ</t>
  </si>
  <si>
    <t>CXX_GVS</t>
  </si>
  <si>
    <t>CXX_NHN</t>
  </si>
  <si>
    <t>CXX_SAN</t>
  </si>
  <si>
    <t>CXX_IJS</t>
  </si>
  <si>
    <t>CXX_VLL</t>
  </si>
  <si>
    <t>US_107</t>
  </si>
  <si>
    <t>US_124</t>
  </si>
  <si>
    <t>US_125</t>
  </si>
  <si>
    <t>US_158</t>
  </si>
  <si>
    <t>US_168</t>
  </si>
  <si>
    <t>US_167</t>
  </si>
  <si>
    <t>US_163</t>
  </si>
  <si>
    <t>US_377</t>
  </si>
  <si>
    <t>US_435</t>
  </si>
  <si>
    <t>US_239</t>
  </si>
  <si>
    <t>US_609</t>
  </si>
  <si>
    <t>US_630</t>
  </si>
  <si>
    <t>US_741</t>
  </si>
  <si>
    <t>US_747</t>
  </si>
  <si>
    <t>US_626</t>
  </si>
  <si>
    <t>US_512</t>
  </si>
  <si>
    <t>US_372</t>
  </si>
  <si>
    <t>US_132_VTNA</t>
  </si>
  <si>
    <t>US_361</t>
  </si>
  <si>
    <t>US_364</t>
  </si>
  <si>
    <t>US_371</t>
  </si>
  <si>
    <t>US_375</t>
  </si>
  <si>
    <t>US_665</t>
  </si>
  <si>
    <t>US_735</t>
  </si>
  <si>
    <t>US_384</t>
  </si>
  <si>
    <t>US_326</t>
  </si>
  <si>
    <t>US_327_VTNA</t>
  </si>
  <si>
    <t>CAN_001</t>
  </si>
  <si>
    <t>CAN_005</t>
  </si>
  <si>
    <t>CAN_023</t>
  </si>
  <si>
    <t>CAN_025</t>
  </si>
  <si>
    <t>CAN_024</t>
  </si>
  <si>
    <t>CAN_007</t>
  </si>
  <si>
    <t>CAN_021</t>
  </si>
  <si>
    <t>CAN_022</t>
  </si>
  <si>
    <t>CAN_030</t>
  </si>
  <si>
    <t>CAN_033</t>
  </si>
  <si>
    <t>POR_001</t>
  </si>
  <si>
    <t>POR_002</t>
  </si>
  <si>
    <t>POR_003</t>
  </si>
  <si>
    <t>POR_004</t>
  </si>
  <si>
    <t>POR_005</t>
  </si>
  <si>
    <t>POR_006</t>
  </si>
  <si>
    <t>POR_007</t>
  </si>
  <si>
    <t>FR_446410</t>
  </si>
  <si>
    <t>FR_446420</t>
  </si>
  <si>
    <t>FR_446430</t>
  </si>
  <si>
    <t>US_787</t>
  </si>
  <si>
    <t>CAN_078</t>
  </si>
  <si>
    <t>AUS_011</t>
  </si>
  <si>
    <t>AUS_013</t>
  </si>
  <si>
    <t>AUS_003</t>
  </si>
  <si>
    <t>AUS_005</t>
  </si>
  <si>
    <t>AUS_008</t>
  </si>
  <si>
    <t>AUS_009</t>
  </si>
  <si>
    <t>AUS_010</t>
  </si>
  <si>
    <t>AUS_015</t>
  </si>
  <si>
    <t>Language default</t>
  </si>
  <si>
    <t>Manag_Org Default</t>
  </si>
  <si>
    <t>Month Default</t>
  </si>
  <si>
    <t>Legal_Org Default</t>
  </si>
  <si>
    <t>English</t>
  </si>
  <si>
    <t>PL0000_MF_PMM</t>
  </si>
  <si>
    <t>PL0000_ET_PMM</t>
  </si>
  <si>
    <t>PL0000_FL_PMM</t>
  </si>
  <si>
    <t>FR_506</t>
  </si>
  <si>
    <t>FR_I137</t>
  </si>
  <si>
    <t>GER_507</t>
  </si>
  <si>
    <t>GER_741</t>
  </si>
  <si>
    <t>GER_906</t>
  </si>
  <si>
    <t>GER_910</t>
  </si>
  <si>
    <t>GER_918</t>
  </si>
  <si>
    <t>GER_923</t>
  </si>
  <si>
    <t>GER_913</t>
  </si>
  <si>
    <t>GER_915</t>
  </si>
  <si>
    <t>GER_2004_01</t>
  </si>
  <si>
    <t>GER_2004_02</t>
  </si>
  <si>
    <t>GER_2004_03</t>
  </si>
  <si>
    <t>CXX_HWG</t>
  </si>
  <si>
    <t>SW_3414</t>
  </si>
  <si>
    <t>SW_3512</t>
  </si>
  <si>
    <t>SW_3514</t>
  </si>
  <si>
    <t>SW_3515</t>
  </si>
  <si>
    <t>SW_3516</t>
  </si>
  <si>
    <t>SW_3518</t>
  </si>
  <si>
    <t>SW_3410</t>
  </si>
  <si>
    <t>SW_3513</t>
  </si>
  <si>
    <t>SW_3555</t>
  </si>
  <si>
    <t>SW_3212</t>
  </si>
  <si>
    <t>SW_3220</t>
  </si>
  <si>
    <t>SW_3240</t>
  </si>
  <si>
    <t>SW_3310</t>
  </si>
  <si>
    <t>SW_3315</t>
  </si>
  <si>
    <t>US_745</t>
  </si>
  <si>
    <t>CA_610</t>
  </si>
  <si>
    <t>FR_I133</t>
  </si>
  <si>
    <t>CXX_HGL</t>
  </si>
  <si>
    <t>BUDG_VC_TOT</t>
  </si>
  <si>
    <t>FR_7718</t>
  </si>
  <si>
    <t>FR_505</t>
  </si>
  <si>
    <t>FR_501</t>
  </si>
  <si>
    <t>FR_008A</t>
  </si>
  <si>
    <t>FR_BE_MM</t>
  </si>
  <si>
    <t>FR_BE_MMV</t>
  </si>
  <si>
    <t>FR_I195</t>
  </si>
  <si>
    <t>FR_I138</t>
  </si>
  <si>
    <t>FR_50029</t>
  </si>
  <si>
    <t>FR_I186</t>
  </si>
  <si>
    <t>FR_I12302</t>
  </si>
  <si>
    <t>FR_I190</t>
  </si>
  <si>
    <t>FR_I192</t>
  </si>
  <si>
    <t>FR_I194</t>
  </si>
  <si>
    <t>FR_565</t>
  </si>
  <si>
    <t>FR_7532</t>
  </si>
  <si>
    <t>FR_502</t>
  </si>
  <si>
    <t>UK_007</t>
  </si>
  <si>
    <t>GER_726</t>
  </si>
  <si>
    <t>GER_118</t>
  </si>
  <si>
    <t>GER_513</t>
  </si>
  <si>
    <t>GER_512</t>
  </si>
  <si>
    <t>GER_571A_6103</t>
  </si>
  <si>
    <t>AUS_022</t>
  </si>
  <si>
    <t>SW_7100</t>
  </si>
  <si>
    <t>SW_7200</t>
  </si>
  <si>
    <t>SW_6100</t>
  </si>
  <si>
    <t>US_516</t>
  </si>
  <si>
    <t>US_11164</t>
  </si>
  <si>
    <t>US_165</t>
  </si>
  <si>
    <t>US_PA_317</t>
  </si>
  <si>
    <t>US_373</t>
  </si>
  <si>
    <t>US_383</t>
  </si>
  <si>
    <t>US_450</t>
  </si>
  <si>
    <t>US_480</t>
  </si>
  <si>
    <t>US_723</t>
  </si>
  <si>
    <t>US_430</t>
  </si>
  <si>
    <t>US_455</t>
  </si>
  <si>
    <t>US_722</t>
  </si>
  <si>
    <t>US_460</t>
  </si>
  <si>
    <t>US_510</t>
  </si>
  <si>
    <t>US_362</t>
  </si>
  <si>
    <t>US_396</t>
  </si>
  <si>
    <t>US_506</t>
  </si>
  <si>
    <t>US_970</t>
  </si>
  <si>
    <t>US_743</t>
  </si>
  <si>
    <t>US_549</t>
  </si>
  <si>
    <t>US_353</t>
  </si>
  <si>
    <t>SW_3250</t>
  </si>
  <si>
    <t>US_420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</si>
</sst>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#,##0.0"/>
    <numFmt numFmtId="165" formatCode="0.0"/>
    <numFmt numFmtId="166" formatCode="#,##0.0000"/>
    <numFmt numFmtId="167" formatCode="0.0000"/>
    <numFmt numFmtId="168" formatCode="0.00000"/>
    <numFmt numFmtId="169" formatCode="#,##0.0000000000"/>
    <numFmt numFmtId="170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9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20"/>
      <color indexed="9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0" fontId="10" fillId="0" borderId="0"/>
  </cellStyleXfs>
  <cellXfs count="134">
    <xf numFmtId="0" fontId="0" fillId="0" borderId="0" xfId="0"/>
    <xf numFmtId="0" fontId="2" fillId="0" borderId="0" xfId="0" applyFont="1"/>
    <xf numFmtId="49" fontId="0" fillId="0" borderId="0" xfId="0" applyNumberFormat="1" applyAlignment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7" xfId="0" applyFill="1" applyBorder="1"/>
    <xf numFmtId="0" fontId="0" fillId="2" borderId="8" xfId="0" applyFill="1" applyBorder="1" applyAlignment="1">
      <alignment horizontal="left" indent="2"/>
    </xf>
    <xf numFmtId="0" fontId="0" fillId="0" borderId="0" xfId="0" applyBorder="1"/>
    <xf numFmtId="0" fontId="0" fillId="0" borderId="12" xfId="0" applyBorder="1"/>
    <xf numFmtId="0" fontId="0" fillId="2" borderId="12" xfId="0" applyFill="1" applyBorder="1" applyAlignment="1">
      <alignment horizontal="left" indent="2"/>
    </xf>
    <xf numFmtId="0" fontId="0" fillId="0" borderId="5" xfId="0" applyBorder="1" applyAlignment="1">
      <alignment horizontal="center" vertical="center" textRotation="90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5" fillId="0" borderId="0" xfId="0" applyFont="1"/>
    <xf numFmtId="164" fontId="3" fillId="0" borderId="0" xfId="0" applyNumberFormat="1" applyFont="1"/>
    <xf numFmtId="165" fontId="5" fillId="0" borderId="0" xfId="0" applyNumberFormat="1" applyFont="1"/>
    <xf numFmtId="0" fontId="0" fillId="5" borderId="15" xfId="0" applyFill="1" applyBorder="1" applyAlignment="1" applyProtection="1">
      <alignment horizontal="left" indent="1"/>
      <protection locked="0"/>
    </xf>
    <xf numFmtId="0" fontId="4" fillId="6" borderId="0" xfId="0" applyFont="1" applyFill="1" applyBorder="1" applyAlignment="1">
      <alignment horizontal="left" indent="1"/>
    </xf>
    <xf numFmtId="0" fontId="0" fillId="5" borderId="16" xfId="0" applyFill="1" applyBorder="1" applyAlignment="1" applyProtection="1">
      <alignment horizontal="left" indent="1"/>
      <protection locked="0"/>
    </xf>
    <xf numFmtId="0" fontId="8" fillId="6" borderId="0" xfId="0" applyFont="1" applyFill="1" applyBorder="1" applyAlignment="1" applyProtection="1">
      <alignment horizontal="left" indent="1"/>
      <protection locked="0"/>
    </xf>
    <xf numFmtId="0" fontId="0" fillId="7" borderId="2" xfId="0" applyFill="1" applyBorder="1"/>
    <xf numFmtId="0" fontId="0" fillId="7" borderId="6" xfId="0" applyFill="1" applyBorder="1"/>
    <xf numFmtId="0" fontId="0" fillId="7" borderId="13" xfId="0" applyFill="1" applyBorder="1"/>
    <xf numFmtId="0" fontId="8" fillId="3" borderId="8" xfId="0" applyFont="1" applyFill="1" applyBorder="1" applyAlignment="1"/>
    <xf numFmtId="164" fontId="0" fillId="0" borderId="0" xfId="0" applyNumberFormat="1"/>
    <xf numFmtId="164" fontId="1" fillId="3" borderId="12" xfId="0" applyNumberFormat="1" applyFont="1" applyFill="1" applyBorder="1" applyAlignment="1"/>
    <xf numFmtId="164" fontId="0" fillId="7" borderId="13" xfId="0" applyNumberFormat="1" applyFill="1" applyBorder="1"/>
    <xf numFmtId="164" fontId="0" fillId="0" borderId="0" xfId="0" applyNumberFormat="1" applyBorder="1"/>
    <xf numFmtId="164" fontId="0" fillId="0" borderId="12" xfId="0" applyNumberFormat="1" applyBorder="1"/>
    <xf numFmtId="164" fontId="4" fillId="2" borderId="12" xfId="0" applyNumberFormat="1" applyFont="1" applyFill="1" applyBorder="1" applyAlignment="1">
      <alignment horizontal="right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4" fillId="4" borderId="2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164" fontId="3" fillId="0" borderId="20" xfId="0" applyNumberFormat="1" applyFont="1" applyBorder="1"/>
    <xf numFmtId="164" fontId="3" fillId="0" borderId="0" xfId="0" applyNumberFormat="1" applyFont="1" applyBorder="1"/>
    <xf numFmtId="164" fontId="6" fillId="0" borderId="20" xfId="0" applyNumberFormat="1" applyFont="1" applyBorder="1"/>
    <xf numFmtId="164" fontId="6" fillId="0" borderId="0" xfId="0" applyNumberFormat="1" applyFont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65" fontId="0" fillId="0" borderId="0" xfId="0" applyNumberFormat="1"/>
    <xf numFmtId="0" fontId="0" fillId="0" borderId="0" xfId="0" applyFill="1" applyBorder="1"/>
    <xf numFmtId="0" fontId="1" fillId="3" borderId="8" xfId="0" applyFont="1" applyFill="1" applyBorder="1" applyAlignment="1"/>
    <xf numFmtId="164" fontId="1" fillId="3" borderId="12" xfId="1" applyNumberFormat="1" applyFont="1" applyFill="1" applyBorder="1" applyAlignment="1"/>
    <xf numFmtId="0" fontId="2" fillId="4" borderId="0" xfId="0" applyFont="1" applyFill="1" applyBorder="1" applyAlignment="1">
      <alignment horizontal="left" indent="1"/>
    </xf>
    <xf numFmtId="166" fontId="0" fillId="0" borderId="22" xfId="0" applyNumberFormat="1" applyBorder="1"/>
    <xf numFmtId="0" fontId="0" fillId="0" borderId="0" xfId="0" applyAlignment="1">
      <alignment horizontal="left" indent="1"/>
    </xf>
    <xf numFmtId="164" fontId="0" fillId="7" borderId="13" xfId="0" applyNumberFormat="1" applyFill="1" applyBorder="1" applyAlignment="1">
      <alignment horizontal="right"/>
    </xf>
    <xf numFmtId="164" fontId="0" fillId="7" borderId="0" xfId="0" applyNumberFormat="1" applyFill="1" applyBorder="1" applyAlignment="1">
      <alignment horizontal="right"/>
    </xf>
    <xf numFmtId="0" fontId="10" fillId="0" borderId="0" xfId="2" applyFont="1" applyBorder="1" applyAlignment="1" applyProtection="1">
      <alignment horizontal="center"/>
    </xf>
    <xf numFmtId="0" fontId="0" fillId="0" borderId="0" xfId="0" applyBorder="1" applyAlignment="1">
      <alignment horizontal="left" indent="2"/>
    </xf>
    <xf numFmtId="0" fontId="8" fillId="0" borderId="14" xfId="0" applyFont="1" applyBorder="1" applyAlignment="1">
      <alignment horizontal="left" indent="2"/>
    </xf>
    <xf numFmtId="164" fontId="8" fillId="0" borderId="14" xfId="0" applyNumberFormat="1" applyFont="1" applyBorder="1"/>
    <xf numFmtId="0" fontId="0" fillId="0" borderId="13" xfId="0" applyBorder="1"/>
    <xf numFmtId="164" fontId="0" fillId="0" borderId="13" xfId="0" applyNumberFormat="1" applyBorder="1"/>
    <xf numFmtId="0" fontId="0" fillId="0" borderId="2" xfId="0" applyBorder="1"/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14" xfId="0" applyBorder="1"/>
    <xf numFmtId="164" fontId="0" fillId="0" borderId="14" xfId="0" applyNumberFormat="1" applyBorder="1"/>
    <xf numFmtId="0" fontId="0" fillId="0" borderId="1" xfId="0" applyBorder="1" applyAlignment="1">
      <alignment horizontal="left" indent="1"/>
    </xf>
    <xf numFmtId="4" fontId="1" fillId="3" borderId="12" xfId="0" applyNumberFormat="1" applyFont="1" applyFill="1" applyBorder="1" applyAlignment="1"/>
    <xf numFmtId="4" fontId="0" fillId="7" borderId="13" xfId="0" applyNumberFormat="1" applyFill="1" applyBorder="1"/>
    <xf numFmtId="4" fontId="0" fillId="0" borderId="0" xfId="0" applyNumberFormat="1" applyBorder="1"/>
    <xf numFmtId="4" fontId="8" fillId="0" borderId="14" xfId="0" applyNumberFormat="1" applyFont="1" applyBorder="1"/>
    <xf numFmtId="4" fontId="0" fillId="0" borderId="12" xfId="0" applyNumberFormat="1" applyBorder="1"/>
    <xf numFmtId="4" fontId="4" fillId="2" borderId="12" xfId="0" applyNumberFormat="1" applyFont="1" applyFill="1" applyBorder="1" applyAlignment="1">
      <alignment horizontal="right"/>
    </xf>
    <xf numFmtId="4" fontId="0" fillId="0" borderId="13" xfId="0" applyNumberFormat="1" applyBorder="1"/>
    <xf numFmtId="4" fontId="0" fillId="0" borderId="14" xfId="0" applyNumberFormat="1" applyBorder="1"/>
    <xf numFmtId="0" fontId="0" fillId="0" borderId="0" xfId="0" applyAlignment="1">
      <alignment horizontal="left"/>
    </xf>
    <xf numFmtId="164" fontId="3" fillId="0" borderId="0" xfId="0" applyNumberFormat="1" applyFont="1" applyAlignment="1">
      <alignment horizontal="left"/>
    </xf>
    <xf numFmtId="0" fontId="0" fillId="0" borderId="19" xfId="0" applyBorder="1" applyAlignment="1">
      <alignment horizontal="left"/>
    </xf>
    <xf numFmtId="0" fontId="0" fillId="0" borderId="0" xfId="0" applyBorder="1" applyAlignment="1">
      <alignment horizontal="left"/>
    </xf>
    <xf numFmtId="0" fontId="4" fillId="4" borderId="0" xfId="0" applyFont="1" applyFill="1" applyBorder="1" applyAlignment="1">
      <alignment horizontal="left"/>
    </xf>
    <xf numFmtId="0" fontId="0" fillId="0" borderId="22" xfId="0" applyBorder="1" applyAlignment="1">
      <alignment horizontal="left"/>
    </xf>
    <xf numFmtId="0" fontId="0" fillId="4" borderId="0" xfId="0" applyFill="1" applyAlignment="1">
      <alignment horizontal="left"/>
    </xf>
    <xf numFmtId="165" fontId="3" fillId="0" borderId="0" xfId="0" applyNumberFormat="1" applyFont="1" applyBorder="1" applyAlignment="1"/>
    <xf numFmtId="165" fontId="3" fillId="0" borderId="0" xfId="0" applyNumberFormat="1" applyFont="1" applyBorder="1" applyAlignment="1">
      <alignment horizontal="left"/>
    </xf>
    <xf numFmtId="165" fontId="6" fillId="0" borderId="0" xfId="0" applyNumberFormat="1" applyFont="1" applyBorder="1" applyAlignment="1">
      <alignment horizontal="left"/>
    </xf>
    <xf numFmtId="165" fontId="3" fillId="0" borderId="20" xfId="0" applyNumberFormat="1" applyFont="1" applyBorder="1" applyAlignment="1">
      <alignment horizontal="left"/>
    </xf>
    <xf numFmtId="165" fontId="6" fillId="0" borderId="20" xfId="0" applyNumberFormat="1" applyFont="1" applyBorder="1" applyAlignment="1">
      <alignment horizontal="left"/>
    </xf>
    <xf numFmtId="167" fontId="3" fillId="0" borderId="0" xfId="0" applyNumberFormat="1" applyFont="1" applyBorder="1" applyAlignment="1">
      <alignment horizontal="left"/>
    </xf>
    <xf numFmtId="168" fontId="3" fillId="0" borderId="0" xfId="0" applyNumberFormat="1" applyFont="1" applyBorder="1" applyAlignment="1">
      <alignment horizontal="left"/>
    </xf>
    <xf numFmtId="168" fontId="6" fillId="0" borderId="0" xfId="0" applyNumberFormat="1" applyFont="1" applyBorder="1" applyAlignment="1">
      <alignment horizontal="left"/>
    </xf>
    <xf numFmtId="0" fontId="4" fillId="4" borderId="0" xfId="0" applyFont="1" applyFill="1" applyBorder="1" applyAlignment="1">
      <alignment horizontal="left" textRotation="45"/>
    </xf>
    <xf numFmtId="0" fontId="2" fillId="0" borderId="0" xfId="0" applyFont="1" applyAlignment="1">
      <alignment horizontal="left" textRotation="45"/>
    </xf>
    <xf numFmtId="0" fontId="0" fillId="0" borderId="0" xfId="0" applyAlignment="1">
      <alignment horizontal="left" textRotation="45"/>
    </xf>
    <xf numFmtId="0" fontId="4" fillId="4" borderId="20" xfId="0" applyFont="1" applyFill="1" applyBorder="1" applyAlignment="1">
      <alignment horizontal="left" textRotation="45"/>
    </xf>
    <xf numFmtId="0" fontId="0" fillId="4" borderId="0" xfId="0" applyFill="1" applyBorder="1"/>
    <xf numFmtId="169" fontId="0" fillId="0" borderId="0" xfId="0" applyNumberFormat="1" applyBorder="1"/>
    <xf numFmtId="0" fontId="0" fillId="9" borderId="0" xfId="0" applyFill="1"/>
    <xf numFmtId="2" fontId="3" fillId="0" borderId="0" xfId="0" applyNumberFormat="1" applyFont="1" applyBorder="1" applyAlignment="1">
      <alignment horizontal="left"/>
    </xf>
    <xf numFmtId="170" fontId="3" fillId="0" borderId="0" xfId="0" applyNumberFormat="1" applyFont="1" applyBorder="1" applyAlignment="1">
      <alignment horizontal="left"/>
    </xf>
    <xf numFmtId="0" fontId="4" fillId="4" borderId="3" xfId="0" applyFont="1" applyFill="1" applyBorder="1" applyAlignment="1">
      <alignment horizontal="left" textRotation="45"/>
    </xf>
    <xf numFmtId="0" fontId="4" fillId="4" borderId="4" xfId="0" applyFont="1" applyFill="1" applyBorder="1" applyAlignment="1">
      <alignment horizontal="left" textRotation="45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2" fontId="3" fillId="0" borderId="0" xfId="0" applyNumberFormat="1" applyFont="1" applyBorder="1" applyAlignment="1">
      <alignment horizontal="right"/>
    </xf>
    <xf numFmtId="0" fontId="0" fillId="0" borderId="0" xfId="0" quotePrefix="1" applyBorder="1"/>
    <xf numFmtId="0" fontId="2" fillId="7" borderId="1" xfId="0" applyFont="1" applyFill="1" applyBorder="1" applyAlignment="1">
      <alignment horizontal="left" indent="1"/>
    </xf>
    <xf numFmtId="0" fontId="2" fillId="7" borderId="3" xfId="0" applyFont="1" applyFill="1" applyBorder="1" applyAlignment="1">
      <alignment horizontal="left" indent="1"/>
    </xf>
    <xf numFmtId="4" fontId="1" fillId="3" borderId="12" xfId="0" applyNumberFormat="1" applyFont="1" applyFill="1" applyBorder="1" applyAlignment="1">
      <alignment horizontal="right"/>
    </xf>
    <xf numFmtId="4" fontId="0" fillId="7" borderId="13" xfId="0" applyNumberFormat="1" applyFill="1" applyBorder="1" applyAlignment="1">
      <alignment horizontal="right"/>
    </xf>
    <xf numFmtId="4" fontId="0" fillId="7" borderId="0" xfId="0" applyNumberFormat="1" applyFill="1" applyBorder="1" applyAlignment="1">
      <alignment horizontal="right"/>
    </xf>
    <xf numFmtId="4" fontId="0" fillId="7" borderId="14" xfId="0" applyNumberFormat="1" applyFill="1" applyBorder="1"/>
    <xf numFmtId="164" fontId="0" fillId="7" borderId="2" xfId="0" applyNumberFormat="1" applyFill="1" applyBorder="1" applyAlignment="1">
      <alignment horizontal="left"/>
    </xf>
    <xf numFmtId="164" fontId="0" fillId="7" borderId="4" xfId="0" applyNumberFormat="1" applyFill="1" applyBorder="1" applyAlignment="1">
      <alignment horizontal="left"/>
    </xf>
    <xf numFmtId="0" fontId="2" fillId="7" borderId="13" xfId="0" applyFont="1" applyFill="1" applyBorder="1" applyAlignment="1">
      <alignment horizontal="left" indent="1"/>
    </xf>
    <xf numFmtId="0" fontId="2" fillId="7" borderId="0" xfId="0" applyFont="1" applyFill="1" applyBorder="1" applyAlignment="1">
      <alignment horizontal="left" indent="1"/>
    </xf>
    <xf numFmtId="0" fontId="0" fillId="7" borderId="3" xfId="0" applyFont="1" applyFill="1" applyBorder="1" applyAlignment="1">
      <alignment horizontal="left" indent="1"/>
    </xf>
    <xf numFmtId="0" fontId="0" fillId="7" borderId="0" xfId="0" applyFill="1" applyBorder="1" applyAlignment="1">
      <alignment horizontal="left" indent="1"/>
    </xf>
    <xf numFmtId="4" fontId="0" fillId="7" borderId="0" xfId="0" applyNumberFormat="1" applyFill="1" applyBorder="1"/>
    <xf numFmtId="3" fontId="0" fillId="7" borderId="0" xfId="0" applyNumberFormat="1" applyFill="1" applyBorder="1"/>
    <xf numFmtId="0" fontId="0" fillId="7" borderId="4" xfId="0" applyFill="1" applyBorder="1" applyAlignment="1">
      <alignment horizontal="left"/>
    </xf>
    <xf numFmtId="0" fontId="0" fillId="7" borderId="5" xfId="0" applyFill="1" applyBorder="1" applyAlignment="1">
      <alignment horizontal="left" vertical="center" indent="1"/>
    </xf>
    <xf numFmtId="164" fontId="0" fillId="7" borderId="14" xfId="0" applyNumberFormat="1" applyFill="1" applyBorder="1" applyAlignment="1">
      <alignment horizontal="right"/>
    </xf>
    <xf numFmtId="0" fontId="0" fillId="7" borderId="3" xfId="0" applyFill="1" applyBorder="1" applyAlignment="1">
      <alignment horizontal="left" indent="4"/>
    </xf>
    <xf numFmtId="0" fontId="0" fillId="7" borderId="5" xfId="0" applyFill="1" applyBorder="1" applyAlignment="1">
      <alignment horizontal="left" vertical="center" indent="4"/>
    </xf>
    <xf numFmtId="0" fontId="0" fillId="0" borderId="0" xfId="0" applyProtection="1">
      <protection locked="0"/>
    </xf>
    <xf numFmtId="0" fontId="11" fillId="8" borderId="0" xfId="2" applyFont="1" applyFill="1" applyBorder="1" applyAlignment="1">
      <alignment horizontal="left" vertical="center" indent="18"/>
    </xf>
    <xf numFmtId="0" fontId="1" fillId="3" borderId="7" xfId="0" applyFont="1" applyFill="1" applyBorder="1" applyAlignment="1">
      <alignment horizontal="left"/>
    </xf>
    <xf numFmtId="0" fontId="1" fillId="3" borderId="12" xfId="0" applyFont="1" applyFill="1" applyBorder="1" applyAlignment="1">
      <alignment horizontal="left"/>
    </xf>
    <xf numFmtId="0" fontId="9" fillId="0" borderId="1" xfId="0" applyFont="1" applyBorder="1" applyAlignment="1">
      <alignment horizontal="center" vertical="center" textRotation="90" wrapText="1"/>
    </xf>
    <xf numFmtId="0" fontId="9" fillId="0" borderId="3" xfId="0" applyFont="1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 wrapText="1"/>
    </xf>
    <xf numFmtId="0" fontId="0" fillId="0" borderId="10" xfId="0" applyBorder="1" applyAlignment="1">
      <alignment horizontal="center" vertical="center" textRotation="90"/>
    </xf>
    <xf numFmtId="0" fontId="0" fillId="0" borderId="11" xfId="0" applyBorder="1" applyAlignment="1">
      <alignment horizontal="center" vertical="center" textRotation="90"/>
    </xf>
    <xf numFmtId="0" fontId="0" fillId="7" borderId="9" xfId="0" applyFill="1" applyBorder="1" applyAlignment="1">
      <alignment horizontal="center" vertical="center" textRotation="90" wrapText="1"/>
    </xf>
    <xf numFmtId="0" fontId="0" fillId="7" borderId="10" xfId="0" applyFill="1" applyBorder="1" applyAlignment="1">
      <alignment horizontal="center" vertical="center" textRotation="90" wrapText="1"/>
    </xf>
    <xf numFmtId="0" fontId="0" fillId="7" borderId="11" xfId="0" applyFill="1" applyBorder="1" applyAlignment="1">
      <alignment horizontal="center" vertical="center" textRotation="90" wrapText="1"/>
    </xf>
  </cellXfs>
  <cellStyles count="3">
    <cellStyle name="Normal" xfId="0" builtinId="0"/>
    <cellStyle name="Normal 2" xfId="2"/>
    <cellStyle name="Pourcentage" xfId="1" builtinId="5"/>
  </cellStyles>
  <dxfs count="6"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38100</xdr:rowOff>
        </xdr:from>
        <xdr:to>
          <xdr:col>4</xdr:col>
          <xdr:colOff>819150</xdr:colOff>
          <xdr:row>14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28575</xdr:colOff>
      <xdr:row>0</xdr:row>
      <xdr:rowOff>66675</xdr:rowOff>
    </xdr:from>
    <xdr:ext cx="1095375" cy="374976"/>
    <xdr:pic>
      <xdr:nvPicPr>
        <xdr:cNvPr id="4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66675"/>
          <a:ext cx="1095375" cy="3749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/>
    <pageSetUpPr autoPageBreaks="0"/>
  </sheetPr>
  <dimension ref="A1:P60"/>
  <sheetViews>
    <sheetView showGridLines="0" showRowColHeaders="0" tabSelected="1" topLeftCell="C1" zoomScaleNormal="100" workbookViewId="0">
      <selection activeCell="F4" sqref="F4"/>
    </sheetView>
  </sheetViews>
  <sheetFormatPr baseColWidth="10" defaultRowHeight="15" outlineLevelRow="1" x14ac:dyDescent="0.25"/>
  <cols>
    <col min="1" max="1" width="16.28515625" hidden="1" customWidth="1"/>
    <col min="2" max="2" width="23.7109375" hidden="1" customWidth="1"/>
    <col min="3" max="3" width="5.85546875" customWidth="1"/>
    <col min="4" max="4" width="12.140625" customWidth="1"/>
    <col min="5" max="5" width="14.7109375" customWidth="1"/>
    <col min="6" max="6" width="32.140625" customWidth="1"/>
    <col min="7" max="7" width="11.42578125" customWidth="1"/>
    <col min="8" max="8" width="4.28515625" customWidth="1"/>
    <col min="9" max="9" width="6.42578125" customWidth="1"/>
    <col min="10" max="10" width="25.5703125" bestFit="1" customWidth="1"/>
    <col min="11" max="11" width="22.5703125" bestFit="1" customWidth="1"/>
    <col min="12" max="15" width="6.85546875" customWidth="1"/>
  </cols>
  <sheetData>
    <row r="1" spans="1:12" x14ac:dyDescent="0.25">
      <c r="A1" t="s">
        <v>51</v>
      </c>
      <c r="B1" s="122" t="s">
        <v>72</v>
      </c>
    </row>
    <row r="2" spans="1:12" ht="26.25" x14ac:dyDescent="0.25">
      <c r="A2" t="s">
        <v>52</v>
      </c>
      <c r="B2" t="str">
        <f ca="1">LEFT(Server,LEN(Server)-1)</f>
        <v>tango_core_model</v>
      </c>
      <c r="D2" s="123" t="str">
        <f ca="1">IF(POV_LANG="English","Gross Margin Bridge of cumulated effects DMEFO","Bridge Marge Brute des effets cumulés DMEFO")</f>
        <v>Gross Margin Bridge of cumulated effects DMEFO</v>
      </c>
      <c r="E2" s="123"/>
      <c r="F2" s="123"/>
      <c r="G2" s="123"/>
      <c r="H2" s="123"/>
      <c r="I2" s="123"/>
      <c r="J2" s="123"/>
      <c r="K2" s="123"/>
      <c r="L2" s="123"/>
    </row>
    <row r="3" spans="1:12" ht="6" customHeight="1" x14ac:dyDescent="0.25"/>
    <row r="4" spans="1:12" x14ac:dyDescent="0.25">
      <c r="A4" t="s">
        <v>63</v>
      </c>
      <c r="B4" s="53" t="str">
        <f ca="1">_xll.DBR(Server&amp;"z_Client_Properties","Language",_xll.TM1USER(xServer))</f>
        <v>French</v>
      </c>
      <c r="D4" s="48" t="str">
        <f ca="1">IF(POV_LANG="English","Period","Periode")</f>
        <v>Period</v>
      </c>
      <c r="E4" s="48"/>
      <c r="F4" s="18" t="str">
        <f ca="1">_xll.SUBNM(Server&amp;"Period","",ACTUAL_MONTH_YTD,"English")</f>
        <v>November 2018 YTD</v>
      </c>
    </row>
    <row r="5" spans="1:12" x14ac:dyDescent="0.25">
      <c r="A5" t="s">
        <v>290</v>
      </c>
      <c r="B5" t="str">
        <f ca="1">_xll.DBR(Server&amp;"z_admin_Param","MONTH_ACTUAL","STR_VAR1")&amp;"_YTD"</f>
        <v>2018.11_YTD</v>
      </c>
      <c r="D5" s="48" t="str">
        <f ca="1">IF(POV_LANG="English","Activity","Activité")</f>
        <v>Activity</v>
      </c>
      <c r="E5" s="48"/>
      <c r="F5" s="18" t="str">
        <f ca="1">_xll.SUBNM(Server&amp;"Activity","","PMM_TRANSIT",IF(POV_LANG="English",POV_LANG,"French"))</f>
        <v>PMM Transit activities</v>
      </c>
    </row>
    <row r="6" spans="1:12" x14ac:dyDescent="0.25">
      <c r="A6" s="94" t="s">
        <v>71</v>
      </c>
      <c r="D6" s="48" t="str">
        <f ca="1">IF(POV_LANG="English","Currency","Devise")</f>
        <v>Currency</v>
      </c>
      <c r="E6" s="48"/>
      <c r="F6" s="18" t="str">
        <f ca="1">_xll.SUBNM(Server&amp;"Currency","","MLCL",POV_LANG)</f>
        <v>M local currency</v>
      </c>
    </row>
    <row r="7" spans="1:12" x14ac:dyDescent="0.25">
      <c r="A7" t="s">
        <v>289</v>
      </c>
      <c r="B7" t="str">
        <f ca="1">_xll.DBR(Server&amp;"z_Client_Properties","Default_Management_Organization",_xll.TM1USER(xServer))</f>
        <v>VTD_corp</v>
      </c>
      <c r="D7" s="48" t="str">
        <f ca="1">IF(POV_LANG="English","Management Organization","Organisation Managériale")</f>
        <v>Management Organization</v>
      </c>
      <c r="E7" s="48"/>
      <c r="F7" s="20" t="str">
        <f ca="1">_xll.SUBNM(Server&amp;"Management_Organization","",DEFAULT_MANAG_ORG,POV_LANG)</f>
        <v>TRANSDEV All</v>
      </c>
    </row>
    <row r="8" spans="1:12" x14ac:dyDescent="0.25">
      <c r="A8" t="s">
        <v>288</v>
      </c>
      <c r="B8" t="str">
        <f ca="1">IF(Locallanguage="English",Locallanguage,"Français")</f>
        <v>Français</v>
      </c>
      <c r="D8" s="48" t="s">
        <v>3</v>
      </c>
      <c r="E8" s="48"/>
      <c r="F8" s="20" t="str">
        <f ca="1">_xll.SUBNM(Server&amp;"Gaap","","Local_Gaap_Mgmt_tool")</f>
        <v>Local_Gaap_Mgmt_tool</v>
      </c>
    </row>
    <row r="9" spans="1:12" x14ac:dyDescent="0.25">
      <c r="A9" t="s">
        <v>291</v>
      </c>
      <c r="B9" t="str">
        <f ca="1">_xll.DBR(Server&amp;"z_Client_Properties","Default_Legal_Organization",_xll.TM1USER(xServer))</f>
        <v>VTD_corp</v>
      </c>
      <c r="D9" s="48" t="s">
        <v>4</v>
      </c>
      <c r="E9" s="48"/>
      <c r="F9" s="20" t="str">
        <f ca="1">_xll.SUBNM(Server&amp;"Integration_Rate","","NO_APP")</f>
        <v>NO_APP</v>
      </c>
    </row>
    <row r="10" spans="1:12" hidden="1" x14ac:dyDescent="0.25">
      <c r="D10" s="19" t="s">
        <v>5</v>
      </c>
      <c r="E10" s="19"/>
      <c r="F10" s="21" t="str">
        <f ca="1">_xll.SUBNM(Server&amp;"Legal_Organization","",DEFAULT_LEGAL_ORGANIZATION,POV_LANG)</f>
        <v>TRANSDEV All</v>
      </c>
    </row>
    <row r="11" spans="1:12" ht="3.75" customHeight="1" x14ac:dyDescent="0.25"/>
    <row r="12" spans="1:12" x14ac:dyDescent="0.25">
      <c r="D12" s="48" t="str">
        <f ca="1">IF(POV_LANG="English","Language","Langue")</f>
        <v>Language</v>
      </c>
      <c r="E12" s="48"/>
      <c r="F12" s="20" t="s">
        <v>292</v>
      </c>
    </row>
    <row r="13" spans="1:12" ht="6.75" customHeight="1" x14ac:dyDescent="0.25"/>
    <row r="16" spans="1:12" ht="6.75" customHeight="1" x14ac:dyDescent="0.25"/>
    <row r="17" spans="2:11" x14ac:dyDescent="0.25">
      <c r="D17" s="124" t="str">
        <f ca="1">IF(POV_LANG="English","Operating Profit, Budget YTD, Full perimeter","Resop, Budget YTD, Périmètre complet")</f>
        <v>Operating Profit, Budget YTD, Full perimeter</v>
      </c>
      <c r="E17" s="125"/>
      <c r="F17" s="125"/>
      <c r="G17" s="65">
        <f ca="1">DATA!$BD$25</f>
        <v>-634.27413633149263</v>
      </c>
      <c r="H17" s="27"/>
      <c r="I17" s="25"/>
    </row>
    <row r="18" spans="2:11" x14ac:dyDescent="0.25">
      <c r="D18" s="128" t="str">
        <f ca="1">IF(POV_LANG="English","Variation on 
gross margin","Variation sur 
la marge brute")</f>
        <v>Variation on 
gross margin</v>
      </c>
      <c r="E18" s="126" t="str">
        <f ca="1">IF(POV_LANG="English","PMM
 Contracts","Contrats
 PMM")</f>
        <v>PMM
 Contracts</v>
      </c>
      <c r="F18" s="24" t="str">
        <f ca="1">IF(POV_LANG="English","Ongoing contracts","Contrats ongoing")</f>
        <v>Ongoing contracts</v>
      </c>
      <c r="G18" s="66">
        <f ca="1">DATA!DH19</f>
        <v>12.687698580064037</v>
      </c>
      <c r="H18" s="28"/>
      <c r="I18" s="22"/>
      <c r="K18" s="50"/>
    </row>
    <row r="19" spans="2:11" x14ac:dyDescent="0.25">
      <c r="D19" s="129"/>
      <c r="E19" s="127"/>
      <c r="F19" s="9" t="str">
        <f ca="1">IF(POV_LANG="English","Won contracts","Contrats gagnés")</f>
        <v>Won contracts</v>
      </c>
      <c r="G19" s="67">
        <f ca="1">DATA!DH20</f>
        <v>0.60483225999999846</v>
      </c>
      <c r="H19" s="29"/>
      <c r="I19" s="3"/>
    </row>
    <row r="20" spans="2:11" collapsed="1" x14ac:dyDescent="0.25">
      <c r="D20" s="129"/>
      <c r="E20" s="127"/>
      <c r="F20" s="9" t="str">
        <f ca="1">IF(POV_LANG="English","Lost contracts","Contrats perdus")</f>
        <v>Lost contracts</v>
      </c>
      <c r="G20" s="67">
        <f ca="1">SUM(G21:G22)</f>
        <v>1.2731389999999995E-2</v>
      </c>
      <c r="H20" s="29"/>
      <c r="I20" s="3"/>
    </row>
    <row r="21" spans="2:11" hidden="1" outlineLevel="1" x14ac:dyDescent="0.25">
      <c r="D21" s="129"/>
      <c r="E21" s="127"/>
      <c r="F21" s="54" t="str">
        <f ca="1">IF(POV_LANG="English","Lost contracts","Contrats perdus")</f>
        <v>Lost contracts</v>
      </c>
      <c r="G21" s="67">
        <f ca="1">DATA!DH21</f>
        <v>1.7506129999999995E-2</v>
      </c>
      <c r="H21" s="29"/>
      <c r="I21" s="3"/>
    </row>
    <row r="22" spans="2:11" hidden="1" outlineLevel="1" x14ac:dyDescent="0.25">
      <c r="D22" s="129"/>
      <c r="E22" s="12"/>
      <c r="F22" s="55" t="str">
        <f ca="1">IF(POV_LANG="English","Lost contracts probably","Contrats probablement perdus")</f>
        <v>Lost contracts probably</v>
      </c>
      <c r="G22" s="68">
        <f ca="1">DATA!$DH$22</f>
        <v>-4.7747400000000004E-3</v>
      </c>
      <c r="H22" s="56"/>
      <c r="I22" s="4"/>
    </row>
    <row r="23" spans="2:11" x14ac:dyDescent="0.25">
      <c r="D23" s="129"/>
      <c r="E23" s="5"/>
      <c r="F23" s="10" t="str">
        <f ca="1">IF(POV_LANG="English","Cost centers (non PMM)","Centres de coûts (non PMM)")</f>
        <v>Cost centers (non PMM)</v>
      </c>
      <c r="G23" s="69">
        <f ca="1">DATA!DH24</f>
        <v>383.23574708536017</v>
      </c>
      <c r="H23" s="30"/>
      <c r="I23" s="6"/>
    </row>
    <row r="24" spans="2:11" x14ac:dyDescent="0.25">
      <c r="D24" s="130"/>
      <c r="E24" s="7"/>
      <c r="F24" s="11" t="s">
        <v>21</v>
      </c>
      <c r="G24" s="70">
        <f ca="1">SUM(G18:G20,G23)</f>
        <v>396.54100931542422</v>
      </c>
      <c r="H24" s="31"/>
      <c r="I24" s="8"/>
    </row>
    <row r="25" spans="2:11" collapsed="1" x14ac:dyDescent="0.25">
      <c r="D25" s="64" t="str">
        <f ca="1">IF(POV_LANG="English","Variation on SG&amp;A","Variations sur SG&amp;A")</f>
        <v>Variation on SG&amp;A</v>
      </c>
      <c r="E25" s="57"/>
      <c r="F25" s="57"/>
      <c r="G25" s="71">
        <f ca="1">SUM(G26:G28)</f>
        <v>9.3377478161477647</v>
      </c>
      <c r="H25" s="58"/>
      <c r="I25" s="59"/>
    </row>
    <row r="26" spans="2:11" hidden="1" outlineLevel="1" x14ac:dyDescent="0.25">
      <c r="D26" s="60" t="str">
        <f ca="1">IF(POV_LANG="English","Variation on Sales","Variations sur Ventes")</f>
        <v>Variation on Sales</v>
      </c>
      <c r="E26" s="9"/>
      <c r="F26" s="9"/>
      <c r="G26" s="67">
        <f ca="1">DATA!$DD$25</f>
        <v>-10.076422261688252</v>
      </c>
      <c r="H26" s="29"/>
      <c r="I26" s="3"/>
    </row>
    <row r="27" spans="2:11" hidden="1" outlineLevel="1" x14ac:dyDescent="0.25">
      <c r="D27" s="60" t="str">
        <f ca="1">IF(POV_LANG="English","Variation on G&amp;A","Variations sur G&amp;A")</f>
        <v>Variation on G&amp;A</v>
      </c>
      <c r="E27" s="9"/>
      <c r="F27" s="9"/>
      <c r="G27" s="67">
        <f ca="1">DATA!$DB$25</f>
        <v>21.540690147836017</v>
      </c>
      <c r="H27" s="29"/>
      <c r="I27" s="3"/>
    </row>
    <row r="28" spans="2:11" hidden="1" outlineLevel="1" x14ac:dyDescent="0.25">
      <c r="D28" s="61" t="str">
        <f ca="1">IF(POV_LANG="English","Variation on other costs and expenses","Variations sur Autres Coûts et Charges")</f>
        <v>Variation on other costs and expenses</v>
      </c>
      <c r="E28" s="62"/>
      <c r="F28" s="62"/>
      <c r="G28" s="72">
        <f ca="1">SUM(DATA!DC25,DATA!DE25:DG25)</f>
        <v>-2.1265200699999993</v>
      </c>
      <c r="H28" s="63"/>
      <c r="I28" s="4"/>
    </row>
    <row r="29" spans="2:11" x14ac:dyDescent="0.25">
      <c r="D29" s="124" t="str">
        <f ca="1">IF(POV_LANG="English","Operating Profit, Actual YTD, Full perimeter","Resop, Réel YTD, Périmètre complet")</f>
        <v>Operating Profit, Actual YTD, Full perimeter</v>
      </c>
      <c r="E29" s="125"/>
      <c r="F29" s="125"/>
      <c r="G29" s="65">
        <f ca="1">DATA!$G$25</f>
        <v>-226.26885910992038</v>
      </c>
      <c r="H29" s="27"/>
      <c r="I29" s="25"/>
    </row>
    <row r="31" spans="2:11" x14ac:dyDescent="0.25">
      <c r="D31" s="124" t="str">
        <f ca="1">IF(POV_LANG="English","Gross Margin, Budget YTD, Ongoing contracts","Marge Brute, Budget YTD, Contrats ongoing")</f>
        <v>Gross Margin, Budget YTD, Ongoing contracts</v>
      </c>
      <c r="E31" s="125"/>
      <c r="F31" s="125"/>
      <c r="G31" s="105">
        <f ca="1">DATA!$BK$19</f>
        <v>75.613593719935935</v>
      </c>
      <c r="H31" s="47">
        <f ca="1">IF(DATA!$BL$19&lt;&gt;0,DATA!$BK$19/DATA!$BL$19,0)*100</f>
        <v>8.8185847022103356</v>
      </c>
      <c r="I31" s="46" t="s">
        <v>62</v>
      </c>
    </row>
    <row r="32" spans="2:11" ht="15" customHeight="1" x14ac:dyDescent="0.25">
      <c r="B32" t="s">
        <v>66</v>
      </c>
      <c r="D32" s="131" t="str">
        <f ca="1">IF(POV_LANG="English","Variation on 
gross margin","Variation sur 
la marge brute")</f>
        <v>Variation on 
gross margin</v>
      </c>
      <c r="E32" s="103" t="str">
        <f ca="1">_xll.DBRA(Server&amp;"Indicator",$B32,IF(POV_LANG="English",POV_LANG&amp;"_PMM","French_PMM"))</f>
        <v>D - Driving &amp; Operating</v>
      </c>
      <c r="F32" s="111"/>
      <c r="G32" s="106">
        <f ca="1">DATA!ES19</f>
        <v>5.8236559126309926</v>
      </c>
      <c r="H32" s="51">
        <f ca="1">DATA!$DK$19</f>
        <v>0.63267995408451405</v>
      </c>
      <c r="I32" s="109" t="s">
        <v>61</v>
      </c>
    </row>
    <row r="33" spans="2:16" x14ac:dyDescent="0.25">
      <c r="B33" t="s">
        <v>67</v>
      </c>
      <c r="D33" s="132"/>
      <c r="E33" s="104" t="str">
        <f ca="1">_xll.DBRA(Server&amp;"Indicator",$B33,IF(POV_LANG="English",POV_LANG&amp;"_PMM","French_PMM"))</f>
        <v>M - Maintenance, Cleaning and Fueling of fleet</v>
      </c>
      <c r="F33" s="112"/>
      <c r="G33" s="107">
        <f ca="1">DATA!EZ19</f>
        <v>-0.82234563898147717</v>
      </c>
      <c r="H33" s="52">
        <f ca="1">DATA!$DQ$19</f>
        <v>-8.9339344377122043E-2</v>
      </c>
      <c r="I33" s="110" t="s">
        <v>61</v>
      </c>
    </row>
    <row r="34" spans="2:16" x14ac:dyDescent="0.25">
      <c r="B34" t="s">
        <v>68</v>
      </c>
      <c r="D34" s="132"/>
      <c r="E34" s="104" t="str">
        <f ca="1">_xll.DBRA(Server&amp;"Indicator",$B34,IF(POV_LANG="English",POV_LANG&amp;"_PMM","French_PMM"))</f>
        <v>E - Energy for traction</v>
      </c>
      <c r="F34" s="112"/>
      <c r="G34" s="107">
        <f ca="1">DATA!FG19</f>
        <v>-2.7286532043085492</v>
      </c>
      <c r="H34" s="52">
        <f ca="1">DATA!$DW$19</f>
        <v>-0.2964399356545383</v>
      </c>
      <c r="I34" s="110" t="s">
        <v>61</v>
      </c>
      <c r="N34" s="44"/>
      <c r="P34" s="44"/>
    </row>
    <row r="35" spans="2:16" ht="15" customHeight="1" x14ac:dyDescent="0.25">
      <c r="B35" t="s">
        <v>69</v>
      </c>
      <c r="D35" s="132"/>
      <c r="E35" s="104" t="str">
        <f ca="1">_xll.DBRA(Server&amp;"Indicator",$B35,IF(POV_LANG="English",POV_LANG&amp;"_PMM","French_PMM"))</f>
        <v>F - Fleet</v>
      </c>
      <c r="F35" s="112"/>
      <c r="G35" s="107">
        <f ca="1">DATA!FN19</f>
        <v>4.0085977407725295</v>
      </c>
      <c r="H35" s="52">
        <f ca="1">DATA!$EC$19</f>
        <v>0.43549266519538332</v>
      </c>
      <c r="I35" s="110" t="s">
        <v>61</v>
      </c>
      <c r="N35" s="44"/>
      <c r="P35" s="44"/>
    </row>
    <row r="36" spans="2:16" x14ac:dyDescent="0.25">
      <c r="B36" t="s">
        <v>70</v>
      </c>
      <c r="D36" s="132"/>
      <c r="E36" s="104" t="str">
        <f ca="1">_xll.DBRA(Server&amp;"Indicator",$B36,IF(POV_LANG="English",POV_LANG&amp;"_PMM","French_PMM"))</f>
        <v>O - Other op. cost</v>
      </c>
      <c r="F36" s="112"/>
      <c r="G36" s="107">
        <f ca="1">DATA!FU19</f>
        <v>0.8410157739134958</v>
      </c>
      <c r="H36" s="52">
        <f ca="1">DATA!$EI$19</f>
        <v>9.1367661346522522E-2</v>
      </c>
      <c r="I36" s="110" t="s">
        <v>61</v>
      </c>
      <c r="N36" s="44"/>
      <c r="P36" s="44"/>
    </row>
    <row r="37" spans="2:16" collapsed="1" x14ac:dyDescent="0.25">
      <c r="D37" s="132"/>
      <c r="E37" s="113" t="str">
        <f ca="1">IF(POV_LANG="English","Revenue effect","Effet Revenu")</f>
        <v>Revenue effect</v>
      </c>
      <c r="F37" s="112"/>
      <c r="G37" s="115">
        <f ca="1">SUM(G38:G39)</f>
        <v>5.5309532626762632</v>
      </c>
      <c r="H37" s="52"/>
      <c r="I37" s="110"/>
      <c r="N37" s="44"/>
      <c r="P37" s="44"/>
    </row>
    <row r="38" spans="2:16" hidden="1" outlineLevel="1" x14ac:dyDescent="0.25">
      <c r="D38" s="132"/>
      <c r="E38" s="120" t="str">
        <f ca="1">IF(POV_LANG="English","Volume effect","Effet Volume")</f>
        <v>Volume effect</v>
      </c>
      <c r="F38" s="114"/>
      <c r="G38" s="115">
        <f ca="1">SUM(DATA!FV19,DATA!FO19,DATA!FH19,DATA!FA19,DATA!ET19)</f>
        <v>-57.508704238835747</v>
      </c>
      <c r="H38" s="116"/>
      <c r="I38" s="117"/>
      <c r="L38" s="44"/>
      <c r="N38" s="44"/>
      <c r="P38" s="44"/>
    </row>
    <row r="39" spans="2:16" hidden="1" outlineLevel="1" x14ac:dyDescent="0.25">
      <c r="D39" s="133"/>
      <c r="E39" s="121" t="str">
        <f ca="1">IF(POV_LANG="English","Variation on revenue","Variation sur le revenu")</f>
        <v>Variation on revenue</v>
      </c>
      <c r="F39" s="118"/>
      <c r="G39" s="108">
        <f ca="1">VAR_TPL10_dest_nosub</f>
        <v>63.039657501512011</v>
      </c>
      <c r="H39" s="119"/>
      <c r="I39" s="23"/>
      <c r="L39" s="44"/>
      <c r="N39" s="44"/>
      <c r="P39" s="44"/>
    </row>
    <row r="40" spans="2:16" x14ac:dyDescent="0.25">
      <c r="D40" s="124" t="str">
        <f ca="1">IF(POV_LANG="English","Gross Margin, Actual YTD, Ongoing contracts","Marge Brute, Réel YTD, Contrats ongoing")</f>
        <v>Gross Margin, Actual YTD, Ongoing contracts</v>
      </c>
      <c r="E40" s="125"/>
      <c r="F40" s="125"/>
      <c r="G40" s="105">
        <f ca="1">DATA!$N$19</f>
        <v>88.301292299999972</v>
      </c>
      <c r="H40" s="47">
        <f ca="1">IF(DATA!$O$19&lt;&gt;0,DATA!$N$19/DATA!$O$19,0)*100</f>
        <v>9.5930217025353599</v>
      </c>
      <c r="I40" s="46" t="s">
        <v>62</v>
      </c>
      <c r="N40" s="44"/>
      <c r="P40" s="44"/>
    </row>
    <row r="44" spans="2:16" x14ac:dyDescent="0.25">
      <c r="J44" s="44"/>
    </row>
    <row r="45" spans="2:16" x14ac:dyDescent="0.25">
      <c r="J45" s="44"/>
    </row>
    <row r="46" spans="2:16" x14ac:dyDescent="0.25">
      <c r="J46" s="44"/>
    </row>
    <row r="47" spans="2:16" x14ac:dyDescent="0.25">
      <c r="J47" s="44"/>
    </row>
    <row r="48" spans="2:16" x14ac:dyDescent="0.25">
      <c r="J48" s="44"/>
    </row>
    <row r="49" spans="10:10" x14ac:dyDescent="0.25">
      <c r="J49" s="44"/>
    </row>
    <row r="50" spans="10:10" x14ac:dyDescent="0.25">
      <c r="J50" s="44"/>
    </row>
    <row r="51" spans="10:10" x14ac:dyDescent="0.25">
      <c r="J51" s="44"/>
    </row>
    <row r="52" spans="10:10" x14ac:dyDescent="0.25">
      <c r="J52" s="44"/>
    </row>
    <row r="53" spans="10:10" x14ac:dyDescent="0.25">
      <c r="J53" s="44"/>
    </row>
    <row r="54" spans="10:10" x14ac:dyDescent="0.25">
      <c r="J54" s="44"/>
    </row>
    <row r="55" spans="10:10" x14ac:dyDescent="0.25">
      <c r="J55" s="44"/>
    </row>
    <row r="56" spans="10:10" x14ac:dyDescent="0.25">
      <c r="J56" s="44"/>
    </row>
    <row r="57" spans="10:10" x14ac:dyDescent="0.25">
      <c r="J57" s="44"/>
    </row>
    <row r="58" spans="10:10" x14ac:dyDescent="0.25">
      <c r="J58" s="44"/>
    </row>
    <row r="59" spans="10:10" x14ac:dyDescent="0.25">
      <c r="J59" s="44"/>
    </row>
    <row r="60" spans="10:10" x14ac:dyDescent="0.25">
      <c r="J60" s="44"/>
    </row>
  </sheetData>
  <sheetProtection formatColumns="0" formatRows="0" selectLockedCells="1"/>
  <customSheetViews>
    <customSheetView guid="{89D83D5E-00E2-481D-878C-45219CFAB555}" showGridLines="0" showRowCol="0" hiddenRows="1" hiddenColumns="1" topLeftCell="C1">
      <selection activeCell="K30" sqref="K30"/>
      <pageMargins left="0.7" right="0.7" top="0.75" bottom="0.75" header="0.3" footer="0.3"/>
    </customSheetView>
    <customSheetView guid="{0981FFDB-2279-4D52-B759-965B5769EA6B}">
      <selection activeCell="A9" sqref="A9:XFD11"/>
      <pageMargins left="0.7" right="0.7" top="0.75" bottom="0.75" header="0.3" footer="0.3"/>
    </customSheetView>
  </customSheetViews>
  <mergeCells count="8">
    <mergeCell ref="D2:L2"/>
    <mergeCell ref="D17:F17"/>
    <mergeCell ref="D29:F29"/>
    <mergeCell ref="D31:F31"/>
    <mergeCell ref="D40:F40"/>
    <mergeCell ref="E18:E21"/>
    <mergeCell ref="D18:D24"/>
    <mergeCell ref="D32:D39"/>
  </mergeCells>
  <conditionalFormatting sqref="H32:I37">
    <cfRule type="expression" dxfId="5" priority="5">
      <formula>$H32&gt;0</formula>
    </cfRule>
    <cfRule type="expression" dxfId="4" priority="6">
      <formula>$H32&lt;0</formula>
    </cfRule>
  </conditionalFormatting>
  <conditionalFormatting sqref="H33:H37 H39">
    <cfRule type="expression" dxfId="3" priority="3">
      <formula>H33&gt;0</formula>
    </cfRule>
    <cfRule type="expression" dxfId="2" priority="4">
      <formula>H33&lt;0</formula>
    </cfRule>
  </conditionalFormatting>
  <conditionalFormatting sqref="G32:G36">
    <cfRule type="expression" dxfId="1" priority="1">
      <formula>G32&gt;0</formula>
    </cfRule>
    <cfRule type="expression" dxfId="0" priority="2">
      <formula>G32&lt;0</formula>
    </cfRule>
  </conditionalFormatting>
  <dataValidations count="2">
    <dataValidation type="list" allowBlank="1" showInputMessage="1" showErrorMessage="1" sqref="F12">
      <formula1>"English,Français"</formula1>
    </dataValidation>
    <dataValidation type="list" allowBlank="1" showInputMessage="1" showErrorMessage="1" sqref="A6">
      <formula1>"DEBUG_ON,DEBUG_OFF"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euil1.Refresh">
                <anchor moveWithCells="1">
                  <from>
                    <xdr:col>3</xdr:col>
                    <xdr:colOff>9525</xdr:colOff>
                    <xdr:row>13</xdr:row>
                    <xdr:rowOff>38100</xdr:rowOff>
                  </from>
                  <to>
                    <xdr:col>4</xdr:col>
                    <xdr:colOff>819150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GA325"/>
  <sheetViews>
    <sheetView topLeftCell="EA1" zoomScale="70" zoomScaleNormal="70" workbookViewId="0">
      <selection activeCell="D325" sqref="D325"/>
    </sheetView>
  </sheetViews>
  <sheetFormatPr baseColWidth="10" defaultRowHeight="15" outlineLevelRow="1" outlineLevelCol="1" x14ac:dyDescent="0.25"/>
  <cols>
    <col min="1" max="1" width="2.7109375" customWidth="1"/>
    <col min="2" max="3" width="3.85546875" customWidth="1"/>
    <col min="4" max="4" width="18.5703125" customWidth="1"/>
    <col min="5" max="5" width="3.85546875" customWidth="1"/>
    <col min="6" max="6" width="15.28515625" customWidth="1"/>
    <col min="7" max="7" width="10" customWidth="1"/>
    <col min="8" max="8" width="12.7109375" customWidth="1" outlineLevel="1"/>
    <col min="9" max="13" width="10" customWidth="1" outlineLevel="1"/>
    <col min="14" max="15" width="12.42578125" customWidth="1" outlineLevel="1"/>
    <col min="16" max="16" width="13.5703125" style="73" customWidth="1" outlineLevel="1"/>
    <col min="17" max="55" width="10" customWidth="1" outlineLevel="1"/>
    <col min="56" max="56" width="10" customWidth="1"/>
    <col min="57" max="104" width="10" customWidth="1" outlineLevel="1"/>
    <col min="105" max="138" width="10" customWidth="1"/>
    <col min="139" max="143" width="10" style="9" customWidth="1"/>
    <col min="144" max="144" width="13.140625" style="9" customWidth="1"/>
    <col min="145" max="178" width="10" style="9" customWidth="1"/>
  </cols>
  <sheetData>
    <row r="1" spans="1:178" x14ac:dyDescent="0.25">
      <c r="A1" t="s">
        <v>11</v>
      </c>
    </row>
    <row r="2" spans="1:178" x14ac:dyDescent="0.25">
      <c r="A2" t="s">
        <v>10</v>
      </c>
      <c r="E2" s="26"/>
      <c r="F2" s="26"/>
      <c r="G2" s="16"/>
      <c r="H2" s="16"/>
      <c r="I2" s="16"/>
      <c r="J2" s="26"/>
      <c r="K2" s="26"/>
      <c r="L2" s="26"/>
      <c r="M2" s="26"/>
      <c r="N2" s="16"/>
      <c r="O2" s="16"/>
      <c r="P2" s="74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26"/>
      <c r="BH2" s="26"/>
      <c r="BI2" s="26"/>
      <c r="BJ2" s="2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6"/>
      <c r="DR2" s="26"/>
      <c r="DS2" s="26"/>
      <c r="DT2" s="26"/>
      <c r="DU2" s="26"/>
      <c r="DV2" s="26"/>
      <c r="DW2" s="26"/>
      <c r="DX2" s="26"/>
      <c r="DY2" s="26"/>
      <c r="DZ2" s="26"/>
      <c r="EA2" s="26"/>
      <c r="EB2" s="26"/>
      <c r="EC2" s="26"/>
      <c r="ED2" s="26"/>
      <c r="EE2" s="26"/>
      <c r="EF2" s="26"/>
      <c r="EG2" s="26"/>
      <c r="EH2" s="26"/>
      <c r="EI2" s="29"/>
      <c r="EJ2" s="29"/>
      <c r="EK2" s="29"/>
      <c r="EL2" s="29"/>
      <c r="EM2" s="29"/>
      <c r="EN2" s="29"/>
      <c r="EO2" s="29"/>
      <c r="EP2" s="29"/>
      <c r="EQ2" s="29"/>
      <c r="ER2" s="29"/>
      <c r="ES2" s="29"/>
      <c r="ET2" s="29"/>
      <c r="EU2" s="29"/>
      <c r="EV2" s="29"/>
      <c r="EW2" s="29"/>
      <c r="EX2" s="29"/>
      <c r="EY2" s="29"/>
      <c r="EZ2" s="29"/>
      <c r="FA2" s="29"/>
      <c r="FB2" s="29"/>
      <c r="FC2" s="29"/>
      <c r="FD2" s="29"/>
      <c r="FE2" s="29"/>
      <c r="FF2" s="29"/>
      <c r="FG2" s="29"/>
      <c r="FH2" s="29"/>
      <c r="FI2" s="29"/>
      <c r="FJ2" s="29"/>
      <c r="FK2" s="29"/>
      <c r="FL2" s="29"/>
      <c r="FM2" s="29"/>
      <c r="FN2" s="29"/>
      <c r="FO2" s="29"/>
      <c r="FP2" s="29"/>
      <c r="FQ2" s="29"/>
      <c r="FR2" s="29"/>
      <c r="FS2" s="29"/>
      <c r="FT2" s="29"/>
      <c r="FU2" s="29"/>
      <c r="FV2" s="29"/>
    </row>
    <row r="3" spans="1:178" x14ac:dyDescent="0.25">
      <c r="A3" t="s">
        <v>12</v>
      </c>
    </row>
    <row r="4" spans="1:178" hidden="1" x14ac:dyDescent="0.25">
      <c r="D4" t="str">
        <f ca="1">_xll.TM1RPTVIEW(Server&amp;"REPORT_PL:1", 1, _xll.TM1RPTTITLE(Server&amp;"Activity",$E$7), _xll.TM1RPTTITLE(Server&amp;"Currency",$E$8), _xll.TM1RPTTITLE(Server&amp;"Gaap",$E$9), _xll.TM1RPTTITLE(Server&amp;"Integration_Rate",$E$10), _xll.TM1RPTTITLE(Server&amp;"Legal_Organization",$E$12), _xll.TM1RPTTITLE(Server&amp;"Period",$E$6),TM1RPTFMTRNG,TM1RPTFMTIDCOL)</f>
        <v>tango_core_model:REPORT_PL:1</v>
      </c>
    </row>
    <row r="6" spans="1:178" x14ac:dyDescent="0.25">
      <c r="D6" s="1" t="s">
        <v>0</v>
      </c>
      <c r="E6" t="str">
        <f ca="1">POV_PERIOD</f>
        <v>November 2018 YTD</v>
      </c>
      <c r="F6" s="1"/>
      <c r="P6"/>
    </row>
    <row r="7" spans="1:178" x14ac:dyDescent="0.25">
      <c r="D7" s="1" t="s">
        <v>1</v>
      </c>
      <c r="E7" t="str">
        <f ca="1">POV_ACTIVITY</f>
        <v>PMM Transit activities</v>
      </c>
      <c r="F7" s="1"/>
    </row>
    <row r="8" spans="1:178" x14ac:dyDescent="0.25">
      <c r="D8" s="1" t="s">
        <v>2</v>
      </c>
      <c r="E8" t="str">
        <f ca="1">POV_CURRENCY</f>
        <v>M local currency</v>
      </c>
      <c r="F8" s="1"/>
    </row>
    <row r="9" spans="1:178" x14ac:dyDescent="0.25">
      <c r="D9" s="1" t="s">
        <v>3</v>
      </c>
      <c r="E9" t="str">
        <f ca="1">POV_GAAP</f>
        <v>Local_Gaap_Mgmt_tool</v>
      </c>
      <c r="F9" s="1"/>
    </row>
    <row r="10" spans="1:178" x14ac:dyDescent="0.25">
      <c r="D10" s="1" t="s">
        <v>4</v>
      </c>
      <c r="E10" t="str">
        <f ca="1">POV_INTEG_RATE</f>
        <v>NO_APP</v>
      </c>
      <c r="F10" s="1"/>
    </row>
    <row r="11" spans="1:178" x14ac:dyDescent="0.25">
      <c r="D11" s="1" t="s">
        <v>29</v>
      </c>
      <c r="E11" t="str">
        <f ca="1">POV_MANAG_ORGA</f>
        <v>TRANSDEV All</v>
      </c>
      <c r="F11" s="1"/>
      <c r="G11" s="26"/>
      <c r="EO11" s="102"/>
    </row>
    <row r="12" spans="1:178" x14ac:dyDescent="0.25">
      <c r="D12" s="1" t="s">
        <v>5</v>
      </c>
      <c r="E12" t="str">
        <f ca="1">POV_LEGAL_ORGA</f>
        <v>TRANSDEV All</v>
      </c>
      <c r="F12" s="1"/>
    </row>
    <row r="13" spans="1:178" ht="15.75" thickBot="1" x14ac:dyDescent="0.3">
      <c r="P13"/>
      <c r="EI13"/>
      <c r="EJ13"/>
      <c r="EK13"/>
      <c r="EL13"/>
      <c r="EM13"/>
    </row>
    <row r="14" spans="1:178" ht="15.75" thickBot="1" x14ac:dyDescent="0.3">
      <c r="A14" s="1" t="s">
        <v>14</v>
      </c>
      <c r="B14" t="str">
        <f ca="1">"{FILTER( {FILTER( {TM1FILTERBYLEVEL( {TM1DRILLDOWNMEMBER( {[Management_Organization].["&amp;$E$11&amp;"]}, ALL, RECURSIVE )}, 0)}, [Management_Organization].[Business_Model] &lt;&gt; '')}, [Management_Organization].[Run_Win_Loss] = 'R')}"</f>
        <v>{FILTER( {FILTER( {TM1FILTERBYLEVEL( {TM1DRILLDOWNMEMBER( {[Management_Organization].[TRANSDEV All]}, ALL, RECURSIVE )}, 0)}, [Management_Organization].[Business_Model] &lt;&gt; '')}, [Management_Organization].[Run_Win_Loss] = 'R')}</v>
      </c>
      <c r="D14" s="1" t="s">
        <v>17</v>
      </c>
      <c r="E14" s="1"/>
      <c r="F14" s="1"/>
      <c r="G14" s="43" t="s">
        <v>55</v>
      </c>
      <c r="BD14" s="43" t="s">
        <v>328</v>
      </c>
      <c r="DA14" s="43" t="s">
        <v>54</v>
      </c>
    </row>
    <row r="15" spans="1:178" outlineLevel="1" x14ac:dyDescent="0.25">
      <c r="A15" s="1" t="s">
        <v>15</v>
      </c>
      <c r="B15" t="str">
        <f ca="1">"{FILTER( {FILTER( {TM1FILTERBYLEVEL( {TM1DRILLDOWNMEMBER( {[Management_Organization].["&amp;$E$11&amp;"]}, ALL, RECURSIVE )}, 0)}, [Management_Organization].[Business_Model] &lt;&gt; '')}, [Management_Organization].[Run_Win_Loss] = 'W')}"</f>
        <v>{FILTER( {FILTER( {TM1FILTERBYLEVEL( {TM1DRILLDOWNMEMBER( {[Management_Organization].[TRANSDEV All]}, ALL, RECURSIVE )}, 0)}, [Management_Organization].[Business_Model] &lt;&gt; '')}, [Management_Organization].[Run_Win_Loss] = 'W')}</v>
      </c>
      <c r="D15" s="1" t="s">
        <v>17</v>
      </c>
      <c r="E15" s="1"/>
      <c r="F15" s="1"/>
      <c r="G15" s="32" t="s">
        <v>39</v>
      </c>
      <c r="H15" s="33" t="s">
        <v>40</v>
      </c>
      <c r="I15" s="33"/>
      <c r="J15" s="33"/>
      <c r="K15" s="33"/>
      <c r="L15" s="33"/>
      <c r="M15" s="33"/>
      <c r="N15" s="33" t="s">
        <v>41</v>
      </c>
      <c r="O15" s="33" t="s">
        <v>42</v>
      </c>
      <c r="P15" s="75" t="s">
        <v>43</v>
      </c>
      <c r="Q15" s="33" t="str">
        <f ca="1">P15&amp;"%"</f>
        <v>D%</v>
      </c>
      <c r="R15" s="33"/>
      <c r="S15" s="33"/>
      <c r="T15" s="33"/>
      <c r="U15" s="33"/>
      <c r="V15" s="33" t="s">
        <v>44</v>
      </c>
      <c r="W15" s="33" t="str">
        <f ca="1">V15&amp;"%"</f>
        <v>M%</v>
      </c>
      <c r="X15" s="33"/>
      <c r="Y15" s="33"/>
      <c r="Z15" s="33"/>
      <c r="AA15" s="33"/>
      <c r="AB15" s="33" t="s">
        <v>45</v>
      </c>
      <c r="AC15" s="33" t="str">
        <f ca="1">AB15&amp;"%"</f>
        <v>E%</v>
      </c>
      <c r="AD15" s="33"/>
      <c r="AE15" s="33"/>
      <c r="AF15" s="33"/>
      <c r="AG15" s="33"/>
      <c r="AH15" s="33" t="s">
        <v>46</v>
      </c>
      <c r="AI15" s="33" t="str">
        <f ca="1">AH15&amp;"%"</f>
        <v>F%</v>
      </c>
      <c r="AJ15" s="33"/>
      <c r="AK15" s="33"/>
      <c r="AL15" s="33"/>
      <c r="AM15" s="33"/>
      <c r="AN15" s="33" t="s">
        <v>47</v>
      </c>
      <c r="AO15" s="33" t="str">
        <f ca="1">AN15&amp;"%"</f>
        <v>O%</v>
      </c>
      <c r="AP15" s="33"/>
      <c r="AQ15" s="33"/>
      <c r="AR15" s="33"/>
      <c r="AS15" s="33"/>
      <c r="AT15" s="33" t="str">
        <f ca="1">"PMM_"&amp;P15&amp;"_CWU"</f>
        <v>PMM_D_CWU</v>
      </c>
      <c r="AU15" s="33" t="str">
        <f ca="1">"PMM_"&amp;P15&amp;"_PWU"</f>
        <v>PMM_D_PWU</v>
      </c>
      <c r="AV15" s="33" t="str">
        <f ca="1">"PMM_"&amp;V15&amp;"_CWU"</f>
        <v>PMM_M_CWU</v>
      </c>
      <c r="AW15" s="33" t="str">
        <f ca="1">"PMM_"&amp;V15&amp;"_PWU"</f>
        <v>PMM_M_PWU</v>
      </c>
      <c r="AX15" s="33" t="str">
        <f ca="1">"PMM_"&amp;AB15&amp;"_CWU"</f>
        <v>PMM_E_CWU</v>
      </c>
      <c r="AY15" s="33" t="str">
        <f ca="1">"PMM_"&amp;AB15&amp;"_PWU"</f>
        <v>PMM_E_PWU</v>
      </c>
      <c r="AZ15" s="33" t="str">
        <f ca="1">"PMM_"&amp;AH15&amp;"_CWU"</f>
        <v>PMM_F_CWU</v>
      </c>
      <c r="BA15" s="33" t="str">
        <f ca="1">"PMM_"&amp;AH15&amp;"_PWU"</f>
        <v>PMM_F_PWU</v>
      </c>
      <c r="BB15" s="33" t="str">
        <f ca="1">"PMM_"&amp;AN15&amp;"_CWU"</f>
        <v>PMM_O_CWU</v>
      </c>
      <c r="BC15" s="33" t="str">
        <f ca="1">"PMM_"&amp;AN15&amp;"_PWU"</f>
        <v>PMM_O_PWU</v>
      </c>
      <c r="BD15" s="32" t="s">
        <v>39</v>
      </c>
      <c r="BE15" s="33" t="s">
        <v>40</v>
      </c>
      <c r="BF15" s="33"/>
      <c r="BG15" s="33"/>
      <c r="BH15" s="33"/>
      <c r="BI15" s="33"/>
      <c r="BJ15" s="33"/>
      <c r="BK15" s="33" t="s">
        <v>41</v>
      </c>
      <c r="BL15" s="33" t="s">
        <v>42</v>
      </c>
      <c r="BM15" s="33" t="s">
        <v>43</v>
      </c>
      <c r="BN15" s="33" t="str">
        <f ca="1">BM15&amp;"%"</f>
        <v>D%</v>
      </c>
      <c r="BO15" s="33"/>
      <c r="BP15" s="33"/>
      <c r="BQ15" s="33"/>
      <c r="BR15" s="33"/>
      <c r="BS15" s="33" t="s">
        <v>44</v>
      </c>
      <c r="BT15" s="33" t="str">
        <f ca="1">BS15&amp;"%"</f>
        <v>M%</v>
      </c>
      <c r="BU15" s="33"/>
      <c r="BV15" s="33"/>
      <c r="BW15" s="33"/>
      <c r="BX15" s="33"/>
      <c r="BY15" s="33" t="s">
        <v>45</v>
      </c>
      <c r="BZ15" s="33" t="str">
        <f ca="1">BY15&amp;"%"</f>
        <v>E%</v>
      </c>
      <c r="CA15" s="33"/>
      <c r="CB15" s="33"/>
      <c r="CC15" s="33"/>
      <c r="CD15" s="33"/>
      <c r="CE15" s="33" t="s">
        <v>46</v>
      </c>
      <c r="CF15" s="33" t="str">
        <f ca="1">CE15&amp;"%"</f>
        <v>F%</v>
      </c>
      <c r="CG15" s="33"/>
      <c r="CH15" s="33"/>
      <c r="CI15" s="33"/>
      <c r="CJ15" s="33"/>
      <c r="CK15" s="33" t="s">
        <v>47</v>
      </c>
      <c r="CL15" s="33" t="str">
        <f ca="1">CK15&amp;"%"</f>
        <v>O%</v>
      </c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2" t="s">
        <v>39</v>
      </c>
      <c r="DB15" s="33" t="s">
        <v>64</v>
      </c>
      <c r="DC15" s="33"/>
      <c r="DD15" s="33" t="s">
        <v>65</v>
      </c>
      <c r="DE15" s="33"/>
      <c r="DF15" s="33"/>
      <c r="DG15" s="33"/>
      <c r="DH15" s="33" t="s">
        <v>41</v>
      </c>
      <c r="DI15" s="33" t="s">
        <v>42</v>
      </c>
      <c r="DJ15" s="33" t="s">
        <v>43</v>
      </c>
      <c r="DK15" s="33" t="str">
        <f ca="1">DJ15&amp;"%"</f>
        <v>D%</v>
      </c>
      <c r="DL15" s="33"/>
      <c r="DM15" s="33"/>
      <c r="DN15" s="33"/>
      <c r="DO15" s="33"/>
      <c r="DP15" s="33" t="s">
        <v>44</v>
      </c>
      <c r="DQ15" s="33" t="str">
        <f ca="1">DP15&amp;"%"</f>
        <v>M%</v>
      </c>
      <c r="DR15" s="33"/>
      <c r="DS15" s="33"/>
      <c r="DT15" s="33"/>
      <c r="DU15" s="33"/>
      <c r="DV15" s="33" t="s">
        <v>45</v>
      </c>
      <c r="DW15" s="33" t="str">
        <f ca="1">DV15&amp;"%"</f>
        <v>E%</v>
      </c>
      <c r="DX15" s="33"/>
      <c r="DY15" s="33"/>
      <c r="DZ15" s="33"/>
      <c r="EA15" s="33"/>
      <c r="EB15" s="33" t="s">
        <v>46</v>
      </c>
      <c r="EC15" s="33" t="str">
        <f ca="1">EB15&amp;"%"</f>
        <v>F%</v>
      </c>
      <c r="ED15" s="33"/>
      <c r="EE15" s="33"/>
      <c r="EF15" s="33"/>
      <c r="EG15" s="33"/>
      <c r="EH15" s="33" t="s">
        <v>47</v>
      </c>
      <c r="EI15" s="9" t="str">
        <f ca="1">EH15&amp;"%"</f>
        <v>O%</v>
      </c>
    </row>
    <row r="16" spans="1:178" outlineLevel="1" x14ac:dyDescent="0.25">
      <c r="A16" s="1" t="s">
        <v>16</v>
      </c>
      <c r="B16" t="str">
        <f ca="1">"{FILTER( {FILTER( {TM1FILTERBYLEVEL( {TM1DRILLDOWNMEMBER( {[Management_Organization].["&amp;$E$11&amp;"]}, ALL, RECURSIVE )}, 0)}, [Management_Organization].[Business_Model] &lt;&gt; '')}, [Management_Organization].[Run_Win_Loss] = 'L')}"</f>
        <v>{FILTER( {FILTER( {TM1FILTERBYLEVEL( {TM1DRILLDOWNMEMBER( {[Management_Organization].[TRANSDEV All]}, ALL, RECURSIVE )}, 0)}, [Management_Organization].[Business_Model] &lt;&gt; '')}, [Management_Organization].[Run_Win_Loss] = 'L')}</v>
      </c>
      <c r="D16" s="1" t="s">
        <v>17</v>
      </c>
      <c r="E16" s="1"/>
      <c r="F16" s="1"/>
      <c r="G16" s="34" t="s">
        <v>30</v>
      </c>
      <c r="H16" s="9" t="s">
        <v>31</v>
      </c>
      <c r="I16" s="9"/>
      <c r="J16" s="9"/>
      <c r="K16" s="9"/>
      <c r="L16" s="9"/>
      <c r="M16" s="9"/>
      <c r="N16" s="9" t="s">
        <v>32</v>
      </c>
      <c r="O16" s="9" t="s">
        <v>33</v>
      </c>
      <c r="P16" s="76" t="s">
        <v>34</v>
      </c>
      <c r="Q16" s="45" t="str">
        <f ca="1">"PMM_"&amp;P15</f>
        <v>PMM_D</v>
      </c>
      <c r="R16" s="45"/>
      <c r="S16" s="45"/>
      <c r="T16" s="45"/>
      <c r="U16" s="45"/>
      <c r="V16" s="9" t="s">
        <v>36</v>
      </c>
      <c r="W16" s="45" t="str">
        <f ca="1">"PMM_"&amp;V15</f>
        <v>PMM_M</v>
      </c>
      <c r="X16" s="45"/>
      <c r="Y16" s="45"/>
      <c r="Z16" s="45"/>
      <c r="AA16" s="45"/>
      <c r="AB16" s="9" t="s">
        <v>35</v>
      </c>
      <c r="AC16" s="45" t="str">
        <f ca="1">"PMM_"&amp;AB15</f>
        <v>PMM_E</v>
      </c>
      <c r="AD16" s="45"/>
      <c r="AE16" s="45"/>
      <c r="AF16" s="45"/>
      <c r="AG16" s="45"/>
      <c r="AH16" s="9" t="s">
        <v>37</v>
      </c>
      <c r="AI16" s="45" t="str">
        <f ca="1">"PMM_"&amp;AH15</f>
        <v>PMM_F</v>
      </c>
      <c r="AJ16" s="45"/>
      <c r="AK16" s="45"/>
      <c r="AL16" s="45"/>
      <c r="AM16" s="45"/>
      <c r="AN16" s="45" t="s">
        <v>38</v>
      </c>
      <c r="AO16" s="45" t="str">
        <f ca="1">"PMM_"&amp;AN15</f>
        <v>PMM_O</v>
      </c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45"/>
      <c r="BD16" s="34" t="s">
        <v>30</v>
      </c>
      <c r="BE16" s="9" t="s">
        <v>31</v>
      </c>
      <c r="BF16" s="9"/>
      <c r="BG16" s="9"/>
      <c r="BH16" s="9"/>
      <c r="BI16" s="9"/>
      <c r="BJ16" s="9"/>
      <c r="BK16" s="9" t="s">
        <v>32</v>
      </c>
      <c r="BL16" s="9" t="s">
        <v>33</v>
      </c>
      <c r="BM16" s="9" t="s">
        <v>34</v>
      </c>
      <c r="BN16" s="45" t="str">
        <f ca="1">"PMM_"&amp;BM15</f>
        <v>PMM_D</v>
      </c>
      <c r="BO16" s="45"/>
      <c r="BP16" s="45"/>
      <c r="BQ16" s="45"/>
      <c r="BR16" s="45"/>
      <c r="BS16" s="9" t="s">
        <v>36</v>
      </c>
      <c r="BT16" s="45" t="str">
        <f ca="1">"PMM_"&amp;BS15</f>
        <v>PMM_M</v>
      </c>
      <c r="BU16" s="45"/>
      <c r="BV16" s="45"/>
      <c r="BW16" s="45"/>
      <c r="BX16" s="45"/>
      <c r="BY16" s="9" t="s">
        <v>35</v>
      </c>
      <c r="BZ16" s="45" t="str">
        <f ca="1">"PMM_"&amp;BY15</f>
        <v>PMM_E</v>
      </c>
      <c r="CA16" s="45"/>
      <c r="CB16" s="45"/>
      <c r="CC16" s="45"/>
      <c r="CD16" s="45"/>
      <c r="CE16" s="9" t="s">
        <v>37</v>
      </c>
      <c r="CF16" s="45" t="str">
        <f ca="1">"PMM_"&amp;CE15</f>
        <v>PMM_F</v>
      </c>
      <c r="CG16" s="45"/>
      <c r="CH16" s="45"/>
      <c r="CI16" s="45"/>
      <c r="CJ16" s="45"/>
      <c r="CK16" s="45" t="s">
        <v>38</v>
      </c>
      <c r="CL16" s="45" t="str">
        <f ca="1">"PMM_"&amp;CK15</f>
        <v>PMM_O</v>
      </c>
      <c r="CM16" s="45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34" t="s">
        <v>17</v>
      </c>
      <c r="DB16" s="9"/>
      <c r="DC16" s="9"/>
      <c r="DD16" s="9"/>
      <c r="DE16" s="9"/>
      <c r="DF16" s="9"/>
      <c r="DG16" s="9"/>
      <c r="DH16" s="9"/>
      <c r="DI16" s="9"/>
      <c r="DJ16" s="9"/>
      <c r="DK16" s="9" t="str">
        <f ca="1">"PMM_"&amp;DJ15</f>
        <v>PMM_D</v>
      </c>
      <c r="DL16" s="9"/>
      <c r="DM16" s="9"/>
      <c r="DN16" s="9"/>
      <c r="DO16" s="9"/>
      <c r="DP16" s="9"/>
      <c r="DQ16" s="9" t="str">
        <f ca="1">"PMM_"&amp;DP15</f>
        <v>PMM_M</v>
      </c>
      <c r="DR16" s="9"/>
      <c r="DS16" s="9"/>
      <c r="DT16" s="9"/>
      <c r="DU16" s="9"/>
      <c r="DV16" s="9"/>
      <c r="DW16" s="9" t="str">
        <f ca="1">"PMM_"&amp;DV15</f>
        <v>PMM_E</v>
      </c>
      <c r="DX16" s="9"/>
      <c r="DY16" s="9"/>
      <c r="DZ16" s="9"/>
      <c r="EA16" s="9"/>
      <c r="EB16" s="9"/>
      <c r="EC16" s="9" t="str">
        <f ca="1">"PMM_"&amp;EB15</f>
        <v>PMM_F</v>
      </c>
      <c r="ED16" s="9"/>
      <c r="EE16" s="9"/>
      <c r="EF16" s="9"/>
      <c r="EG16" s="9"/>
      <c r="EH16" s="9"/>
      <c r="EI16" s="9" t="str">
        <f ca="1">"PMM_"&amp;EH15</f>
        <v>PMM_O</v>
      </c>
    </row>
    <row r="17" spans="1:183" s="90" customFormat="1" ht="96" customHeight="1" collapsed="1" x14ac:dyDescent="0.25">
      <c r="A17" s="89" t="s">
        <v>26</v>
      </c>
      <c r="B17" s="90" t="str">
        <f ca="1">"{FILTER( {FILTER( {TM1FILTERBYLEVEL( {TM1DRILLDOWNMEMBER( {[Management_Organization].["&amp;$E$11&amp;"]}, ALL, RECURSIVE )}, 0)}, [Management_Organization].[Business_Model] &lt;&gt; '')}, [Management_Organization].[Run_Win_Loss] = '')}"</f>
        <v>{FILTER( {FILTER( {TM1FILTERBYLEVEL( {TM1DRILLDOWNMEMBER( {[Management_Organization].[TRANSDEV All]}, ALL, RECURSIVE )}, 0)}, [Management_Organization].[Business_Model] &lt;&gt; '')}, [Management_Organization].[Run_Win_Loss] = '')}</v>
      </c>
      <c r="D17" s="89" t="s">
        <v>17</v>
      </c>
      <c r="E17" s="89"/>
      <c r="F17" s="89"/>
      <c r="G17" s="91" t="s">
        <v>22</v>
      </c>
      <c r="H17" s="88" t="s">
        <v>28</v>
      </c>
      <c r="I17" s="88" t="s">
        <v>60</v>
      </c>
      <c r="J17" s="88" t="s">
        <v>56</v>
      </c>
      <c r="K17" s="88" t="s">
        <v>57</v>
      </c>
      <c r="L17" s="88" t="s">
        <v>58</v>
      </c>
      <c r="M17" s="88" t="s">
        <v>59</v>
      </c>
      <c r="N17" s="88" t="s">
        <v>23</v>
      </c>
      <c r="O17" s="88" t="s">
        <v>7</v>
      </c>
      <c r="P17" s="88" t="s">
        <v>8</v>
      </c>
      <c r="Q17" s="88" t="str">
        <f ca="1">"PMM_"&amp;P15</f>
        <v>PMM_D</v>
      </c>
      <c r="R17" s="88" t="str">
        <f ca="1">"PMM_"&amp;P15&amp;" "&amp;"pts"</f>
        <v>PMM_D pts</v>
      </c>
      <c r="S17" s="88" t="str">
        <f ca="1">Q17&amp;"1"</f>
        <v>PMM_D1</v>
      </c>
      <c r="T17" s="88" t="str">
        <f ca="1">Q17&amp;"2"</f>
        <v>PMM_D2</v>
      </c>
      <c r="U17" s="88" t="str">
        <f ca="1">Q17&amp;"3"</f>
        <v>PMM_D3</v>
      </c>
      <c r="V17" s="88" t="s">
        <v>293</v>
      </c>
      <c r="W17" s="88" t="str">
        <f ca="1">"PMM_"&amp;V15</f>
        <v>PMM_M</v>
      </c>
      <c r="X17" s="88" t="str">
        <f ca="1">"PMM_"&amp;V15&amp;" "&amp;"pts"</f>
        <v>PMM_M pts</v>
      </c>
      <c r="Y17" s="88" t="str">
        <f ca="1">W17&amp;"1"</f>
        <v>PMM_M1</v>
      </c>
      <c r="Z17" s="88" t="str">
        <f ca="1">W17&amp;"2"</f>
        <v>PMM_M2</v>
      </c>
      <c r="AA17" s="88" t="str">
        <f ca="1">W17&amp;"3"</f>
        <v>PMM_M3</v>
      </c>
      <c r="AB17" s="88" t="s">
        <v>294</v>
      </c>
      <c r="AC17" s="88" t="str">
        <f ca="1">"PMM_"&amp;AB15</f>
        <v>PMM_E</v>
      </c>
      <c r="AD17" s="88" t="str">
        <f ca="1">"PMM_"&amp;AB15&amp;" "&amp;"pts"</f>
        <v>PMM_E pts</v>
      </c>
      <c r="AE17" s="88" t="str">
        <f ca="1">AC17&amp;"1"</f>
        <v>PMM_E1</v>
      </c>
      <c r="AF17" s="88" t="str">
        <f ca="1">AC17&amp;"2"</f>
        <v>PMM_E2</v>
      </c>
      <c r="AG17" s="88" t="str">
        <f ca="1">AC17&amp;"3"</f>
        <v>PMM_E3</v>
      </c>
      <c r="AH17" s="88" t="s">
        <v>295</v>
      </c>
      <c r="AI17" s="88" t="str">
        <f ca="1">"PMM_"&amp;AH15</f>
        <v>PMM_F</v>
      </c>
      <c r="AJ17" s="88" t="str">
        <f ca="1">"PMM_"&amp;AH15&amp;" "&amp;"pts"</f>
        <v>PMM_F pts</v>
      </c>
      <c r="AK17" s="88" t="str">
        <f ca="1">AI17&amp;"1"</f>
        <v>PMM_F1</v>
      </c>
      <c r="AL17" s="88" t="str">
        <f ca="1">AI17&amp;"2"</f>
        <v>PMM_F2</v>
      </c>
      <c r="AM17" s="88" t="str">
        <f ca="1">AI17&amp;"3"</f>
        <v>PMM_F3</v>
      </c>
      <c r="AN17" s="88" t="s">
        <v>9</v>
      </c>
      <c r="AO17" s="88" t="str">
        <f ca="1">"PMM_"&amp;AN15</f>
        <v>PMM_O</v>
      </c>
      <c r="AP17" s="88" t="str">
        <f ca="1">"PMM_"&amp;AN15&amp;" "&amp;"pts"</f>
        <v>PMM_O pts</v>
      </c>
      <c r="AQ17" s="88" t="str">
        <f ca="1">AO17&amp;"1"</f>
        <v>PMM_O1</v>
      </c>
      <c r="AR17" s="88" t="str">
        <f ca="1">AO17&amp;"2"</f>
        <v>PMM_O2</v>
      </c>
      <c r="AS17" s="88" t="str">
        <f ca="1">AO17&amp;"3"</f>
        <v>PMM_O3</v>
      </c>
      <c r="AT17" s="88" t="str">
        <f ca="1">"PMM_"&amp;P15&amp;"_CWU"</f>
        <v>PMM_D_CWU</v>
      </c>
      <c r="AU17" s="88" t="str">
        <f ca="1">"PMM_"&amp;P15&amp;"_PWU"</f>
        <v>PMM_D_PWU</v>
      </c>
      <c r="AV17" s="88" t="str">
        <f ca="1">"PMM_"&amp;V15&amp;"_CWU"</f>
        <v>PMM_M_CWU</v>
      </c>
      <c r="AW17" s="88" t="str">
        <f ca="1">"PMM_"&amp;V15&amp;"_PWU"</f>
        <v>PMM_M_PWU</v>
      </c>
      <c r="AX17" s="88" t="str">
        <f ca="1">"PMM_"&amp;AB15&amp;"_CWU"</f>
        <v>PMM_E_CWU</v>
      </c>
      <c r="AY17" s="88" t="str">
        <f ca="1">"PMM_"&amp;AB15&amp;"_PWU"</f>
        <v>PMM_E_PWU</v>
      </c>
      <c r="AZ17" s="88" t="str">
        <f ca="1">"PMM_"&amp;AH15&amp;"_CWU"</f>
        <v>PMM_F_CWU</v>
      </c>
      <c r="BA17" s="88" t="str">
        <f ca="1">"PMM_"&amp;AH15&amp;"_PWU"</f>
        <v>PMM_F_PWU</v>
      </c>
      <c r="BB17" s="88" t="str">
        <f ca="1">"PMM_"&amp;AN15&amp;"_CWU"</f>
        <v>PMM_O_CWU</v>
      </c>
      <c r="BC17" s="88" t="str">
        <f ca="1">"PMM_"&amp;AN15&amp;"_PWU"</f>
        <v>PMM_O_PWU</v>
      </c>
      <c r="BD17" s="91" t="s">
        <v>22</v>
      </c>
      <c r="BE17" s="88" t="s">
        <v>28</v>
      </c>
      <c r="BF17" s="88" t="s">
        <v>60</v>
      </c>
      <c r="BG17" s="88" t="s">
        <v>56</v>
      </c>
      <c r="BH17" s="88" t="s">
        <v>57</v>
      </c>
      <c r="BI17" s="88" t="s">
        <v>58</v>
      </c>
      <c r="BJ17" s="88" t="s">
        <v>59</v>
      </c>
      <c r="BK17" s="88" t="s">
        <v>23</v>
      </c>
      <c r="BL17" s="88" t="s">
        <v>7</v>
      </c>
      <c r="BM17" s="88" t="s">
        <v>8</v>
      </c>
      <c r="BN17" s="88" t="str">
        <f ca="1">"PMM_"&amp;BM15</f>
        <v>PMM_D</v>
      </c>
      <c r="BO17" s="88" t="str">
        <f ca="1">"PMM_"&amp;BM15&amp;" "&amp;"pts"</f>
        <v>PMM_D pts</v>
      </c>
      <c r="BP17" s="88" t="str">
        <f ca="1">BN17&amp;"1"</f>
        <v>PMM_D1</v>
      </c>
      <c r="BQ17" s="88" t="str">
        <f ca="1">BN17&amp;"2"</f>
        <v>PMM_D2</v>
      </c>
      <c r="BR17" s="88" t="str">
        <f ca="1">BN17&amp;"3"</f>
        <v>PMM_D3</v>
      </c>
      <c r="BS17" s="88" t="s">
        <v>293</v>
      </c>
      <c r="BT17" s="88" t="str">
        <f ca="1">"PMM_"&amp;BS15</f>
        <v>PMM_M</v>
      </c>
      <c r="BU17" s="88" t="str">
        <f ca="1">"PMM_"&amp;BS15&amp;" "&amp;"pts"</f>
        <v>PMM_M pts</v>
      </c>
      <c r="BV17" s="88" t="str">
        <f ca="1">BT17&amp;"1"</f>
        <v>PMM_M1</v>
      </c>
      <c r="BW17" s="88" t="str">
        <f ca="1">BT17&amp;"2"</f>
        <v>PMM_M2</v>
      </c>
      <c r="BX17" s="88" t="str">
        <f ca="1">BT17&amp;"3"</f>
        <v>PMM_M3</v>
      </c>
      <c r="BY17" s="88" t="s">
        <v>294</v>
      </c>
      <c r="BZ17" s="88" t="str">
        <f ca="1">"PMM_"&amp;BY15</f>
        <v>PMM_E</v>
      </c>
      <c r="CA17" s="88" t="str">
        <f ca="1">"PMM_"&amp;BY15&amp;" "&amp;"pts"</f>
        <v>PMM_E pts</v>
      </c>
      <c r="CB17" s="88" t="str">
        <f ca="1">BZ17&amp;"1"</f>
        <v>PMM_E1</v>
      </c>
      <c r="CC17" s="88" t="str">
        <f ca="1">BZ17&amp;"2"</f>
        <v>PMM_E2</v>
      </c>
      <c r="CD17" s="88" t="str">
        <f ca="1">BZ17&amp;"3"</f>
        <v>PMM_E3</v>
      </c>
      <c r="CE17" s="88" t="s">
        <v>295</v>
      </c>
      <c r="CF17" s="88" t="str">
        <f ca="1">"PMM_"&amp;CE15</f>
        <v>PMM_F</v>
      </c>
      <c r="CG17" s="88" t="str">
        <f ca="1">"PMM_"&amp;CE15&amp;" "&amp;"pts"</f>
        <v>PMM_F pts</v>
      </c>
      <c r="CH17" s="88" t="str">
        <f ca="1">CF17&amp;"1"</f>
        <v>PMM_F1</v>
      </c>
      <c r="CI17" s="88" t="str">
        <f ca="1">CF17&amp;"2"</f>
        <v>PMM_F2</v>
      </c>
      <c r="CJ17" s="88" t="str">
        <f ca="1">CF17&amp;"3"</f>
        <v>PMM_F3</v>
      </c>
      <c r="CK17" s="88" t="s">
        <v>9</v>
      </c>
      <c r="CL17" s="88" t="str">
        <f ca="1">"PMM_"&amp;CK15</f>
        <v>PMM_O</v>
      </c>
      <c r="CM17" s="88" t="str">
        <f ca="1">"PMM_"&amp;CK15&amp;" "&amp;"pts"</f>
        <v>PMM_O pts</v>
      </c>
      <c r="CN17" s="88" t="str">
        <f ca="1">CL17&amp;"1"</f>
        <v>PMM_O1</v>
      </c>
      <c r="CO17" s="88" t="str">
        <f ca="1">CL17&amp;"2"</f>
        <v>PMM_O2</v>
      </c>
      <c r="CP17" s="88" t="str">
        <f ca="1">CL17&amp;"3"</f>
        <v>PMM_O3</v>
      </c>
      <c r="CQ17" s="88" t="str">
        <f ca="1">"PMM_"&amp;BM15&amp;"_CWU"</f>
        <v>PMM_D_CWU</v>
      </c>
      <c r="CR17" s="88" t="str">
        <f ca="1">"PMM_"&amp;BM15&amp;"_PWU"</f>
        <v>PMM_D_PWU</v>
      </c>
      <c r="CS17" s="88" t="str">
        <f ca="1">"PMM_"&amp;BS15&amp;"_CWU"</f>
        <v>PMM_M_CWU</v>
      </c>
      <c r="CT17" s="88" t="str">
        <f ca="1">"PMM_"&amp;BS15&amp;"_PWU"</f>
        <v>PMM_M_PWU</v>
      </c>
      <c r="CU17" s="88" t="str">
        <f ca="1">"PMM_"&amp;BY15&amp;"_CWU"</f>
        <v>PMM_E_CWU</v>
      </c>
      <c r="CV17" s="88" t="str">
        <f ca="1">"PMM_"&amp;BY15&amp;"_PWU"</f>
        <v>PMM_E_PWU</v>
      </c>
      <c r="CW17" s="88" t="str">
        <f ca="1">"PMM_"&amp;CE15&amp;"_CWU"</f>
        <v>PMM_F_CWU</v>
      </c>
      <c r="CX17" s="88" t="str">
        <f ca="1">"PMM_"&amp;CE15&amp;"_PWU"</f>
        <v>PMM_F_PWU</v>
      </c>
      <c r="CY17" s="88" t="str">
        <f ca="1">"PMM_"&amp;CK15&amp;"_CWU"</f>
        <v>PMM_O_CWU</v>
      </c>
      <c r="CZ17" s="88" t="str">
        <f ca="1">"PMM_"&amp;CK15&amp;"_PWU"</f>
        <v>PMM_O_PWU</v>
      </c>
      <c r="DA17" s="91" t="s">
        <v>22</v>
      </c>
      <c r="DB17" s="88" t="s">
        <v>28</v>
      </c>
      <c r="DC17" s="88" t="s">
        <v>60</v>
      </c>
      <c r="DD17" s="88" t="s">
        <v>56</v>
      </c>
      <c r="DE17" s="88" t="s">
        <v>57</v>
      </c>
      <c r="DF17" s="88" t="s">
        <v>58</v>
      </c>
      <c r="DG17" s="88" t="s">
        <v>59</v>
      </c>
      <c r="DH17" s="88" t="s">
        <v>23</v>
      </c>
      <c r="DI17" s="88" t="s">
        <v>7</v>
      </c>
      <c r="DJ17" s="88" t="s">
        <v>8</v>
      </c>
      <c r="DK17" s="88" t="str">
        <f ca="1">"PMM_"&amp;DJ15</f>
        <v>PMM_D</v>
      </c>
      <c r="DL17" s="88" t="str">
        <f ca="1">"PMM_"&amp;DJ15&amp;" "&amp;"pts"</f>
        <v>PMM_D pts</v>
      </c>
      <c r="DM17" s="88" t="str">
        <f ca="1">"PMM_"&amp;DJ15&amp;"1"</f>
        <v>PMM_D1</v>
      </c>
      <c r="DN17" s="88" t="str">
        <f ca="1">"PMM_"&amp;DJ15&amp;"2"</f>
        <v>PMM_D2</v>
      </c>
      <c r="DO17" s="88" t="str">
        <f ca="1">"PMM_"&amp;DJ15&amp;"3"</f>
        <v>PMM_D3</v>
      </c>
      <c r="DP17" s="88" t="s">
        <v>293</v>
      </c>
      <c r="DQ17" s="88" t="str">
        <f ca="1">"PMM_"&amp;DP15</f>
        <v>PMM_M</v>
      </c>
      <c r="DR17" s="88" t="str">
        <f ca="1">"PMM_"&amp;DP15&amp;" "&amp;"pts"</f>
        <v>PMM_M pts</v>
      </c>
      <c r="DS17" s="88" t="str">
        <f ca="1">"PMM_"&amp;DP15&amp;"1"</f>
        <v>PMM_M1</v>
      </c>
      <c r="DT17" s="88" t="str">
        <f ca="1">"PMM_"&amp;DP15&amp;"2"</f>
        <v>PMM_M2</v>
      </c>
      <c r="DU17" s="88" t="str">
        <f ca="1">"PMM_"&amp;DP15&amp;"3"</f>
        <v>PMM_M3</v>
      </c>
      <c r="DV17" s="88" t="s">
        <v>294</v>
      </c>
      <c r="DW17" s="88" t="str">
        <f ca="1">"PMM_"&amp;DV15</f>
        <v>PMM_E</v>
      </c>
      <c r="DX17" s="88" t="str">
        <f ca="1">"PMM_"&amp;DV15&amp;" "&amp;"pts"</f>
        <v>PMM_E pts</v>
      </c>
      <c r="DY17" s="88" t="str">
        <f ca="1">"PMM_"&amp;DV15&amp;"1"</f>
        <v>PMM_E1</v>
      </c>
      <c r="DZ17" s="88" t="str">
        <f ca="1">"PMM_"&amp;DV15&amp;"2"</f>
        <v>PMM_E2</v>
      </c>
      <c r="EA17" s="88" t="str">
        <f ca="1">"PMM_"&amp;DV15&amp;"3"</f>
        <v>PMM_E3</v>
      </c>
      <c r="EB17" s="88" t="s">
        <v>295</v>
      </c>
      <c r="EC17" s="88" t="str">
        <f ca="1">"PMM_"&amp;EB15</f>
        <v>PMM_F</v>
      </c>
      <c r="ED17" s="88" t="str">
        <f ca="1">"PMM_"&amp;EB15&amp;" "&amp;"pts"</f>
        <v>PMM_F pts</v>
      </c>
      <c r="EE17" s="88" t="str">
        <f ca="1">"PMM_"&amp;EB15&amp;"1"</f>
        <v>PMM_F1</v>
      </c>
      <c r="EF17" s="88" t="str">
        <f ca="1">"PMM_"&amp;EB15&amp;"2"</f>
        <v>PMM_F2</v>
      </c>
      <c r="EG17" s="88" t="str">
        <f ca="1">"PMM_"&amp;EB15&amp;"3"</f>
        <v>PMM_F3</v>
      </c>
      <c r="EH17" s="88" t="s">
        <v>9</v>
      </c>
      <c r="EI17" s="88" t="str">
        <f ca="1">"PMM_"&amp;EH15</f>
        <v>PMM_O</v>
      </c>
      <c r="EJ17" s="88" t="str">
        <f ca="1">"PMM_"&amp;EH15&amp;" "&amp;"pts"</f>
        <v>PMM_O pts</v>
      </c>
      <c r="EK17" s="88" t="str">
        <f ca="1">"PMM_"&amp;EH15&amp;"1"</f>
        <v>PMM_O1</v>
      </c>
      <c r="EL17" s="88" t="str">
        <f ca="1">"PMM_"&amp;EH15&amp;"2"</f>
        <v>PMM_O2</v>
      </c>
      <c r="EM17" s="88" t="str">
        <f ca="1">"PMM_"&amp;EH15&amp;"3"</f>
        <v>PMM_O3</v>
      </c>
      <c r="EN17" s="97" t="str">
        <f ca="1">"PMM_GM_IMPACT_"&amp;$DJ15&amp;"1"</f>
        <v>PMM_GM_IMPACT_D1</v>
      </c>
      <c r="EO17" s="88" t="str">
        <f ca="1">"PMM_GM_IMPACT_"&amp;$DJ15&amp;"2"</f>
        <v>PMM_GM_IMPACT_D2</v>
      </c>
      <c r="EP17" s="88" t="str">
        <f ca="1">"PMM_GM_IMPACT_"&amp;$DJ15&amp;"3"</f>
        <v>PMM_GM_IMPACT_D3</v>
      </c>
      <c r="EQ17" s="88" t="str">
        <f ca="1">"PMM_GM_IMPACT_"&amp;$DJ15&amp;"COMP"</f>
        <v>PMM_GM_IMPACT_DCOMP</v>
      </c>
      <c r="ER17" s="88" t="str">
        <f ca="1">"PMM_GM_IMPACT_"&amp;$DJ15&amp;"MISS"</f>
        <v>PMM_GM_IMPACT_DMISS</v>
      </c>
      <c r="ES17" s="88" t="str">
        <f ca="1">"PMM_GM_IMPACT_"&amp;$DJ15</f>
        <v>PMM_GM_IMPACT_D</v>
      </c>
      <c r="ET17" s="98" t="str">
        <f ca="1">"PMM_GM_IMPACT_"&amp;$DJ15&amp;"VOL"</f>
        <v>PMM_GM_IMPACT_DVOL</v>
      </c>
      <c r="EU17" s="97" t="str">
        <f ca="1">"PMM_GM_IMPACT_"&amp;$DP15&amp;"1"</f>
        <v>PMM_GM_IMPACT_M1</v>
      </c>
      <c r="EV17" s="88" t="str">
        <f ca="1">"PMM_GM_IMPACT_"&amp;$DP15&amp;"2"</f>
        <v>PMM_GM_IMPACT_M2</v>
      </c>
      <c r="EW17" s="88" t="str">
        <f ca="1">"PMM_GM_IMPACT_"&amp;$DP15&amp;"3"</f>
        <v>PMM_GM_IMPACT_M3</v>
      </c>
      <c r="EX17" s="88" t="str">
        <f ca="1">"PMM_GM_IMPACT_"&amp;$DP15&amp;"COMP"</f>
        <v>PMM_GM_IMPACT_MCOMP</v>
      </c>
      <c r="EY17" s="88" t="str">
        <f ca="1">"PMM_GM_IMPACT_"&amp;$DP15&amp;"MISS"</f>
        <v>PMM_GM_IMPACT_MMISS</v>
      </c>
      <c r="EZ17" s="88" t="str">
        <f ca="1">"PMM_GM_IMPACT_"&amp;$DP15</f>
        <v>PMM_GM_IMPACT_M</v>
      </c>
      <c r="FA17" s="98" t="str">
        <f ca="1">"PMM_GM_IMPACT_"&amp;$DP15&amp;"VOL"</f>
        <v>PMM_GM_IMPACT_MVOL</v>
      </c>
      <c r="FB17" s="97" t="str">
        <f ca="1">"PMM_GM_IMPACT_"&amp;$DV15&amp;"1"</f>
        <v>PMM_GM_IMPACT_E1</v>
      </c>
      <c r="FC17" s="88" t="str">
        <f ca="1">"PMM_GM_IMPACT_"&amp;$DV15&amp;"2"</f>
        <v>PMM_GM_IMPACT_E2</v>
      </c>
      <c r="FD17" s="88" t="str">
        <f ca="1">"PMM_GM_IMPACT_"&amp;$DV15&amp;"3"</f>
        <v>PMM_GM_IMPACT_E3</v>
      </c>
      <c r="FE17" s="88" t="str">
        <f ca="1">"PMM_GM_IMPACT_"&amp;$DV15&amp;"COMP"</f>
        <v>PMM_GM_IMPACT_ECOMP</v>
      </c>
      <c r="FF17" s="88" t="str">
        <f ca="1">"PMM_GM_IMPACT_"&amp;$DV15&amp;"MISS"</f>
        <v>PMM_GM_IMPACT_EMISS</v>
      </c>
      <c r="FG17" s="88" t="str">
        <f ca="1">"PMM_GM_IMPACT_"&amp;$DV15</f>
        <v>PMM_GM_IMPACT_E</v>
      </c>
      <c r="FH17" s="98" t="str">
        <f ca="1">"PMM_GM_IMPACT_"&amp;$DV15&amp;"VOL"</f>
        <v>PMM_GM_IMPACT_EVOL</v>
      </c>
      <c r="FI17" s="97" t="str">
        <f ca="1">"PMM_GM_IMPACT_"&amp;$EB15&amp;"1"</f>
        <v>PMM_GM_IMPACT_F1</v>
      </c>
      <c r="FJ17" s="88" t="str">
        <f ca="1">"PMM_GM_IMPACT_"&amp;$EB15&amp;"2"</f>
        <v>PMM_GM_IMPACT_F2</v>
      </c>
      <c r="FK17" s="88" t="str">
        <f ca="1">"PMM_GM_IMPACT_"&amp;$EB15&amp;"3"</f>
        <v>PMM_GM_IMPACT_F3</v>
      </c>
      <c r="FL17" s="88" t="str">
        <f ca="1">"PMM_GM_IMPACT_"&amp;$EB15&amp;"COMP"</f>
        <v>PMM_GM_IMPACT_FCOMP</v>
      </c>
      <c r="FM17" s="88" t="str">
        <f ca="1">"PMM_GM_IMPACT_"&amp;$EB15&amp;"MISS"</f>
        <v>PMM_GM_IMPACT_FMISS</v>
      </c>
      <c r="FN17" s="88" t="str">
        <f ca="1">"PMM_GM_IMPACT_"&amp;$EB15</f>
        <v>PMM_GM_IMPACT_F</v>
      </c>
      <c r="FO17" s="98" t="str">
        <f ca="1">"PMM_GM_IMPACT_"&amp;$EB15&amp;"VOL"</f>
        <v>PMM_GM_IMPACT_FVOL</v>
      </c>
      <c r="FP17" s="97" t="str">
        <f ca="1">"PMM_GM_IMPACT_"&amp;$EH15&amp;"1"</f>
        <v>PMM_GM_IMPACT_O1</v>
      </c>
      <c r="FQ17" s="88" t="str">
        <f ca="1">"PMM_GM_IMPACT_"&amp;$EH15&amp;"2"</f>
        <v>PMM_GM_IMPACT_O2</v>
      </c>
      <c r="FR17" s="88" t="str">
        <f ca="1">"PMM_GM_IMPACT_"&amp;$EH15&amp;"3"</f>
        <v>PMM_GM_IMPACT_O3</v>
      </c>
      <c r="FS17" s="88" t="str">
        <f ca="1">"PMM_GM_IMPACT_"&amp;$EH15&amp;"COMP"</f>
        <v>PMM_GM_IMPACT_OCOMP</v>
      </c>
      <c r="FT17" s="88" t="str">
        <f ca="1">"PMM_GM_IMPACT_"&amp;$EH15&amp;"MISS"</f>
        <v>PMM_GM_IMPACT_OMISS</v>
      </c>
      <c r="FU17" s="88" t="str">
        <f ca="1">"PMM_GM_IMPACT_"&amp;$EH15</f>
        <v>PMM_GM_IMPACT_O</v>
      </c>
      <c r="FV17" s="98" t="str">
        <f ca="1">"PMM_GM_IMPACT_"&amp;$EH15&amp;"VOL"</f>
        <v>PMM_GM_IMPACT_OVOL</v>
      </c>
      <c r="FW17" s="88"/>
      <c r="FX17" s="88"/>
      <c r="FY17" s="88"/>
      <c r="FZ17" s="88"/>
      <c r="GA17" s="88"/>
    </row>
    <row r="18" spans="1:183" ht="18" customHeight="1" x14ac:dyDescent="0.25">
      <c r="A18" s="1"/>
      <c r="D18" s="1"/>
      <c r="E18" s="14" t="s">
        <v>6</v>
      </c>
      <c r="F18" s="14" t="s">
        <v>328</v>
      </c>
      <c r="G18" s="35" t="s">
        <v>6</v>
      </c>
      <c r="H18" s="36" t="s">
        <v>6</v>
      </c>
      <c r="I18" s="36" t="s">
        <v>6</v>
      </c>
      <c r="J18" s="36" t="s">
        <v>6</v>
      </c>
      <c r="K18" s="36" t="s">
        <v>6</v>
      </c>
      <c r="L18" s="36" t="s">
        <v>6</v>
      </c>
      <c r="M18" s="36" t="s">
        <v>6</v>
      </c>
      <c r="N18" s="36" t="s">
        <v>6</v>
      </c>
      <c r="O18" s="36" t="s">
        <v>6</v>
      </c>
      <c r="P18" s="77" t="s">
        <v>6</v>
      </c>
      <c r="Q18" s="36" t="str">
        <f ca="1">P18</f>
        <v>Actual</v>
      </c>
      <c r="R18" s="36" t="str">
        <f ca="1">Q18</f>
        <v>Actual</v>
      </c>
      <c r="S18" s="36" t="str">
        <f t="shared" ref="S18:U18" ca="1" si="0">R18</f>
        <v>Actual</v>
      </c>
      <c r="T18" s="36" t="str">
        <f t="shared" ca="1" si="0"/>
        <v>Actual</v>
      </c>
      <c r="U18" s="36" t="str">
        <f t="shared" ca="1" si="0"/>
        <v>Actual</v>
      </c>
      <c r="V18" s="36" t="s">
        <v>6</v>
      </c>
      <c r="W18" s="36" t="str">
        <f ca="1">V18</f>
        <v>Actual</v>
      </c>
      <c r="X18" s="36" t="str">
        <f t="shared" ref="X18:AS18" ca="1" si="1">W18</f>
        <v>Actual</v>
      </c>
      <c r="Y18" s="36" t="str">
        <f t="shared" ca="1" si="1"/>
        <v>Actual</v>
      </c>
      <c r="Z18" s="36" t="str">
        <f t="shared" ca="1" si="1"/>
        <v>Actual</v>
      </c>
      <c r="AA18" s="36" t="str">
        <f t="shared" ca="1" si="1"/>
        <v>Actual</v>
      </c>
      <c r="AB18" s="36" t="str">
        <f ca="1">X18</f>
        <v>Actual</v>
      </c>
      <c r="AC18" s="36" t="str">
        <f t="shared" ca="1" si="1"/>
        <v>Actual</v>
      </c>
      <c r="AD18" s="36" t="str">
        <f t="shared" ca="1" si="1"/>
        <v>Actual</v>
      </c>
      <c r="AE18" s="36" t="str">
        <f t="shared" ca="1" si="1"/>
        <v>Actual</v>
      </c>
      <c r="AF18" s="36" t="str">
        <f t="shared" ca="1" si="1"/>
        <v>Actual</v>
      </c>
      <c r="AG18" s="36" t="str">
        <f t="shared" ca="1" si="1"/>
        <v>Actual</v>
      </c>
      <c r="AH18" s="36" t="str">
        <f ca="1">AD18</f>
        <v>Actual</v>
      </c>
      <c r="AI18" s="36" t="str">
        <f t="shared" ca="1" si="1"/>
        <v>Actual</v>
      </c>
      <c r="AJ18" s="36" t="str">
        <f t="shared" ca="1" si="1"/>
        <v>Actual</v>
      </c>
      <c r="AK18" s="36" t="str">
        <f t="shared" ca="1" si="1"/>
        <v>Actual</v>
      </c>
      <c r="AL18" s="36" t="str">
        <f t="shared" ca="1" si="1"/>
        <v>Actual</v>
      </c>
      <c r="AM18" s="36" t="str">
        <f t="shared" ca="1" si="1"/>
        <v>Actual</v>
      </c>
      <c r="AN18" s="36" t="str">
        <f ca="1">AJ18</f>
        <v>Actual</v>
      </c>
      <c r="AO18" s="36" t="str">
        <f t="shared" ca="1" si="1"/>
        <v>Actual</v>
      </c>
      <c r="AP18" s="36" t="str">
        <f t="shared" ca="1" si="1"/>
        <v>Actual</v>
      </c>
      <c r="AQ18" s="36" t="str">
        <f t="shared" ca="1" si="1"/>
        <v>Actual</v>
      </c>
      <c r="AR18" s="36" t="str">
        <f t="shared" ca="1" si="1"/>
        <v>Actual</v>
      </c>
      <c r="AS18" s="36" t="str">
        <f t="shared" ca="1" si="1"/>
        <v>Actual</v>
      </c>
      <c r="AT18" s="36" t="str">
        <f ca="1">AO18</f>
        <v>Actual</v>
      </c>
      <c r="AU18" s="36" t="str">
        <f t="shared" ref="AU18:BC18" ca="1" si="2">AT18</f>
        <v>Actual</v>
      </c>
      <c r="AV18" s="36" t="str">
        <f t="shared" ca="1" si="2"/>
        <v>Actual</v>
      </c>
      <c r="AW18" s="36" t="str">
        <f t="shared" ca="1" si="2"/>
        <v>Actual</v>
      </c>
      <c r="AX18" s="36" t="str">
        <f t="shared" ca="1" si="2"/>
        <v>Actual</v>
      </c>
      <c r="AY18" s="36" t="str">
        <f t="shared" ca="1" si="2"/>
        <v>Actual</v>
      </c>
      <c r="AZ18" s="36" t="str">
        <f t="shared" ca="1" si="2"/>
        <v>Actual</v>
      </c>
      <c r="BA18" s="36" t="str">
        <f t="shared" ca="1" si="2"/>
        <v>Actual</v>
      </c>
      <c r="BB18" s="36" t="str">
        <f t="shared" ca="1" si="2"/>
        <v>Actual</v>
      </c>
      <c r="BC18" s="36" t="str">
        <f t="shared" ca="1" si="2"/>
        <v>Actual</v>
      </c>
      <c r="BD18" s="35" t="s">
        <v>328</v>
      </c>
      <c r="BE18" s="35" t="s">
        <v>328</v>
      </c>
      <c r="BF18" s="35" t="s">
        <v>328</v>
      </c>
      <c r="BG18" s="35" t="s">
        <v>328</v>
      </c>
      <c r="BH18" s="35" t="s">
        <v>328</v>
      </c>
      <c r="BI18" s="35" t="s">
        <v>328</v>
      </c>
      <c r="BJ18" s="35" t="s">
        <v>328</v>
      </c>
      <c r="BK18" s="35" t="s">
        <v>328</v>
      </c>
      <c r="BL18" s="35" t="s">
        <v>328</v>
      </c>
      <c r="BM18" s="35" t="s">
        <v>328</v>
      </c>
      <c r="BN18" s="35" t="s">
        <v>328</v>
      </c>
      <c r="BO18" s="35" t="s">
        <v>328</v>
      </c>
      <c r="BP18" s="35" t="s">
        <v>328</v>
      </c>
      <c r="BQ18" s="35" t="s">
        <v>328</v>
      </c>
      <c r="BR18" s="35" t="s">
        <v>328</v>
      </c>
      <c r="BS18" s="35" t="s">
        <v>328</v>
      </c>
      <c r="BT18" s="35" t="s">
        <v>328</v>
      </c>
      <c r="BU18" s="35" t="s">
        <v>328</v>
      </c>
      <c r="BV18" s="35" t="s">
        <v>328</v>
      </c>
      <c r="BW18" s="35" t="s">
        <v>328</v>
      </c>
      <c r="BX18" s="35" t="s">
        <v>328</v>
      </c>
      <c r="BY18" s="35" t="s">
        <v>328</v>
      </c>
      <c r="BZ18" s="35" t="s">
        <v>328</v>
      </c>
      <c r="CA18" s="35" t="s">
        <v>328</v>
      </c>
      <c r="CB18" s="35" t="s">
        <v>328</v>
      </c>
      <c r="CC18" s="35" t="s">
        <v>328</v>
      </c>
      <c r="CD18" s="35" t="s">
        <v>328</v>
      </c>
      <c r="CE18" s="35" t="s">
        <v>328</v>
      </c>
      <c r="CF18" s="35" t="s">
        <v>328</v>
      </c>
      <c r="CG18" s="35" t="s">
        <v>328</v>
      </c>
      <c r="CH18" s="35" t="s">
        <v>328</v>
      </c>
      <c r="CI18" s="35" t="s">
        <v>328</v>
      </c>
      <c r="CJ18" s="35" t="s">
        <v>328</v>
      </c>
      <c r="CK18" s="35" t="s">
        <v>328</v>
      </c>
      <c r="CL18" s="35" t="s">
        <v>328</v>
      </c>
      <c r="CM18" s="35" t="s">
        <v>328</v>
      </c>
      <c r="CN18" s="35" t="s">
        <v>328</v>
      </c>
      <c r="CO18" s="35" t="s">
        <v>328</v>
      </c>
      <c r="CP18" s="35" t="s">
        <v>328</v>
      </c>
      <c r="CQ18" s="35" t="s">
        <v>328</v>
      </c>
      <c r="CR18" s="35" t="s">
        <v>328</v>
      </c>
      <c r="CS18" s="35" t="s">
        <v>328</v>
      </c>
      <c r="CT18" s="35" t="s">
        <v>328</v>
      </c>
      <c r="CU18" s="35" t="s">
        <v>328</v>
      </c>
      <c r="CV18" s="35" t="s">
        <v>328</v>
      </c>
      <c r="CW18" s="35" t="s">
        <v>328</v>
      </c>
      <c r="CX18" s="35" t="s">
        <v>328</v>
      </c>
      <c r="CY18" s="35" t="s">
        <v>328</v>
      </c>
      <c r="CZ18" s="35" t="s">
        <v>328</v>
      </c>
      <c r="DA18" s="35" t="s">
        <v>53</v>
      </c>
      <c r="DB18" s="36" t="s">
        <v>53</v>
      </c>
      <c r="DC18" s="36" t="s">
        <v>53</v>
      </c>
      <c r="DD18" s="35" t="s">
        <v>328</v>
      </c>
      <c r="DE18" s="35" t="s">
        <v>328</v>
      </c>
      <c r="DF18" s="35" t="s">
        <v>328</v>
      </c>
      <c r="DG18" s="35" t="s">
        <v>328</v>
      </c>
      <c r="DH18" s="36" t="s">
        <v>53</v>
      </c>
      <c r="DI18" s="36" t="s">
        <v>53</v>
      </c>
      <c r="DJ18" s="36" t="s">
        <v>53</v>
      </c>
      <c r="DK18" s="36" t="str">
        <f ca="1">DJ18</f>
        <v>VAR</v>
      </c>
      <c r="DL18" s="36"/>
      <c r="DM18" s="36"/>
      <c r="DN18" s="36"/>
      <c r="DO18" s="36"/>
      <c r="DP18" s="36" t="s">
        <v>53</v>
      </c>
      <c r="DQ18" s="36" t="str">
        <f ca="1">DP18</f>
        <v>VAR</v>
      </c>
      <c r="DR18" s="36"/>
      <c r="DS18" s="36"/>
      <c r="DT18" s="36"/>
      <c r="DU18" s="36"/>
      <c r="DV18" s="36" t="s">
        <v>53</v>
      </c>
      <c r="DW18" s="36" t="str">
        <f ca="1">DV18</f>
        <v>VAR</v>
      </c>
      <c r="DX18" s="36"/>
      <c r="DY18" s="36"/>
      <c r="DZ18" s="36"/>
      <c r="EA18" s="36"/>
      <c r="EB18" s="36" t="s">
        <v>53</v>
      </c>
      <c r="EC18" s="36" t="str">
        <f ca="1">EB18</f>
        <v>VAR</v>
      </c>
      <c r="ED18" s="36"/>
      <c r="EE18" s="36"/>
      <c r="EF18" s="36"/>
      <c r="EG18" s="36"/>
      <c r="EH18" s="36" t="s">
        <v>53</v>
      </c>
      <c r="EI18" s="36" t="str">
        <f ca="1">EH18</f>
        <v>VAR</v>
      </c>
      <c r="EJ18" s="36"/>
      <c r="EK18" s="36"/>
      <c r="EL18" s="36"/>
      <c r="EM18" s="36"/>
      <c r="EN18" s="99" t="str">
        <f t="shared" ref="EN18" ca="1" si="3">EI18</f>
        <v>VAR</v>
      </c>
      <c r="EO18" s="36" t="str">
        <f t="shared" ref="EO18" ca="1" si="4">EN18</f>
        <v>VAR</v>
      </c>
      <c r="EP18" s="36" t="str">
        <f t="shared" ref="EP18" ca="1" si="5">EO18</f>
        <v>VAR</v>
      </c>
      <c r="EQ18" s="36" t="str">
        <f t="shared" ref="EQ18" ca="1" si="6">EP18</f>
        <v>VAR</v>
      </c>
      <c r="ER18" s="36" t="str">
        <f t="shared" ref="ER18" ca="1" si="7">EQ18</f>
        <v>VAR</v>
      </c>
      <c r="ES18" s="36" t="str">
        <f t="shared" ref="ES18" ca="1" si="8">ER18</f>
        <v>VAR</v>
      </c>
      <c r="ET18" s="100" t="str">
        <f t="shared" ref="ET18" ca="1" si="9">ES18</f>
        <v>VAR</v>
      </c>
      <c r="EU18" s="99" t="str">
        <f t="shared" ref="EU18" ca="1" si="10">ES18</f>
        <v>VAR</v>
      </c>
      <c r="EV18" s="36" t="str">
        <f t="shared" ref="EV18" ca="1" si="11">EU18</f>
        <v>VAR</v>
      </c>
      <c r="EW18" s="36" t="str">
        <f t="shared" ref="EW18" ca="1" si="12">EV18</f>
        <v>VAR</v>
      </c>
      <c r="EX18" s="36" t="str">
        <f t="shared" ref="EX18" ca="1" si="13">EW18</f>
        <v>VAR</v>
      </c>
      <c r="EY18" s="36" t="str">
        <f t="shared" ref="EY18" ca="1" si="14">EX18</f>
        <v>VAR</v>
      </c>
      <c r="EZ18" s="36" t="str">
        <f t="shared" ref="EZ18" ca="1" si="15">EY18</f>
        <v>VAR</v>
      </c>
      <c r="FA18" s="100" t="str">
        <f t="shared" ref="FA18" ca="1" si="16">EZ18</f>
        <v>VAR</v>
      </c>
      <c r="FB18" s="99" t="str">
        <f t="shared" ref="FB18" ca="1" si="17">EZ18</f>
        <v>VAR</v>
      </c>
      <c r="FC18" s="36" t="str">
        <f t="shared" ref="FC18" ca="1" si="18">FB18</f>
        <v>VAR</v>
      </c>
      <c r="FD18" s="36" t="str">
        <f t="shared" ref="FD18" ca="1" si="19">FC18</f>
        <v>VAR</v>
      </c>
      <c r="FE18" s="36" t="str">
        <f t="shared" ref="FE18" ca="1" si="20">FD18</f>
        <v>VAR</v>
      </c>
      <c r="FF18" s="36" t="str">
        <f t="shared" ref="FF18" ca="1" si="21">FE18</f>
        <v>VAR</v>
      </c>
      <c r="FG18" s="36" t="str">
        <f t="shared" ref="FG18" ca="1" si="22">FF18</f>
        <v>VAR</v>
      </c>
      <c r="FH18" s="100" t="str">
        <f t="shared" ref="FH18" ca="1" si="23">FG18</f>
        <v>VAR</v>
      </c>
      <c r="FI18" s="99" t="str">
        <f t="shared" ref="FI18" ca="1" si="24">FG18</f>
        <v>VAR</v>
      </c>
      <c r="FJ18" s="36" t="str">
        <f t="shared" ref="FJ18" ca="1" si="25">FI18</f>
        <v>VAR</v>
      </c>
      <c r="FK18" s="36" t="str">
        <f t="shared" ref="FK18" ca="1" si="26">FJ18</f>
        <v>VAR</v>
      </c>
      <c r="FL18" s="36" t="str">
        <f t="shared" ref="FL18" ca="1" si="27">FK18</f>
        <v>VAR</v>
      </c>
      <c r="FM18" s="36" t="str">
        <f t="shared" ref="FM18" ca="1" si="28">FL18</f>
        <v>VAR</v>
      </c>
      <c r="FN18" s="36" t="str">
        <f t="shared" ref="FN18" ca="1" si="29">FM18</f>
        <v>VAR</v>
      </c>
      <c r="FO18" s="100" t="str">
        <f t="shared" ref="FO18" ca="1" si="30">FN18</f>
        <v>VAR</v>
      </c>
      <c r="FP18" s="99" t="str">
        <f ca="1">FN18</f>
        <v>VAR</v>
      </c>
      <c r="FQ18" s="36" t="str">
        <f t="shared" ref="FQ18" ca="1" si="31">FP18</f>
        <v>VAR</v>
      </c>
      <c r="FR18" s="36" t="str">
        <f t="shared" ref="FR18" ca="1" si="32">FQ18</f>
        <v>VAR</v>
      </c>
      <c r="FS18" s="36" t="str">
        <f t="shared" ref="FS18" ca="1" si="33">FR18</f>
        <v>VAR</v>
      </c>
      <c r="FT18" s="36" t="str">
        <f t="shared" ref="FT18" ca="1" si="34">FS18</f>
        <v>VAR</v>
      </c>
      <c r="FU18" s="36" t="str">
        <f t="shared" ref="FU18" ca="1" si="35">FT18</f>
        <v>VAR</v>
      </c>
      <c r="FV18" s="100" t="str">
        <f t="shared" ref="FV18" ca="1" si="36">FU18</f>
        <v>VAR</v>
      </c>
      <c r="FW18" s="36"/>
      <c r="FX18" s="36"/>
      <c r="FY18" s="36"/>
      <c r="FZ18" s="36"/>
      <c r="GA18" s="36"/>
    </row>
    <row r="19" spans="1:183" x14ac:dyDescent="0.25">
      <c r="A19" s="1"/>
      <c r="B19" t="s">
        <v>48</v>
      </c>
      <c r="D19" s="1" t="s">
        <v>18</v>
      </c>
      <c r="E19" s="1"/>
      <c r="F19" s="1"/>
      <c r="G19" s="37">
        <f ca="1">SUMIF($B$28:$B326,$B19,G$28:G326)</f>
        <v>0</v>
      </c>
      <c r="H19" s="38">
        <f ca="1">SUMIF($B$28:$B326,$B19,H$28:H326)</f>
        <v>0</v>
      </c>
      <c r="I19" s="38">
        <f ca="1">SUMIF($B$28:$B326,$B19,I$28:I326)</f>
        <v>0</v>
      </c>
      <c r="J19" s="38">
        <f ca="1">SUMIF($B$28:$B326,$B19,J$28:J326)</f>
        <v>0</v>
      </c>
      <c r="K19" s="38">
        <f ca="1">SUMIF($B$28:$B326,$B19,K$28:K326)</f>
        <v>0</v>
      </c>
      <c r="L19" s="38">
        <f ca="1">SUMIF($B$28:$B326,$B19,L$28:L326)</f>
        <v>0</v>
      </c>
      <c r="M19" s="38">
        <f ca="1">SUMIF($B$28:$B326,$B19,M$28:M326)</f>
        <v>0</v>
      </c>
      <c r="N19" s="38">
        <f ca="1">SUMIF($B$28:$B326,$B19,N$28:N326)</f>
        <v>0</v>
      </c>
      <c r="O19" s="38">
        <f ca="1">SUMIF($B$28:$B326,$B19,O$28:O326)</f>
        <v>0</v>
      </c>
      <c r="P19" s="81">
        <f ca="1">SUMIF($B$28:$B326,$B19,P$28:P326)</f>
        <v>0</v>
      </c>
      <c r="Q19" s="96">
        <f ca="1">IF(O19&lt;&gt;0,-P19/O19,0)</f>
        <v>0</v>
      </c>
      <c r="R19" s="96"/>
      <c r="S19" s="81">
        <f ca="1">IF(AT19&lt;&gt;0,-P19/AT19,0)</f>
        <v>0</v>
      </c>
      <c r="T19" s="81">
        <f ca="1">IF(AU19&lt;&gt;0,AT19/AU19,0)</f>
        <v>0</v>
      </c>
      <c r="U19" s="81">
        <f ca="1">IF(AU19&lt;&gt;0,$O19/AU19,0)</f>
        <v>0</v>
      </c>
      <c r="V19" s="81">
        <f ca="1">SUMIF($B$28:$B326,$B19,V$28:V326)</f>
        <v>0</v>
      </c>
      <c r="W19" s="96">
        <f ca="1">IF($O19&lt;&gt;0,-V19/$O19,0)</f>
        <v>0</v>
      </c>
      <c r="X19" s="81"/>
      <c r="Y19" s="85">
        <f ca="1">IF(AV19&lt;&gt;0,-V19/AV19,0)</f>
        <v>0</v>
      </c>
      <c r="Z19" s="85">
        <f ca="1">IF(AW19&lt;&gt;0,AV19/AW19,0)</f>
        <v>0</v>
      </c>
      <c r="AA19" s="85">
        <f ca="1">IF(AW19&lt;&gt;0,$O19/AW19,0)</f>
        <v>0</v>
      </c>
      <c r="AB19" s="81">
        <f ca="1">SUMIF($B$28:$B326,$B19,AB$28:AB326)</f>
        <v>0</v>
      </c>
      <c r="AC19" s="81">
        <f ca="1">IF($O19&lt;&gt;0,-AB19/$O19,0)</f>
        <v>0</v>
      </c>
      <c r="AD19" s="81"/>
      <c r="AE19" s="80">
        <f ca="1">IF(AX19&lt;&gt;0,-AB19/AX19,0)</f>
        <v>0</v>
      </c>
      <c r="AF19" s="80">
        <f ca="1">IF(AY19&lt;&gt;0,AX19/AY19,0)</f>
        <v>0</v>
      </c>
      <c r="AG19" s="80">
        <f ca="1">IF(AY19&lt;&gt;0,$O19/AY19,0)</f>
        <v>0</v>
      </c>
      <c r="AH19" s="81">
        <f ca="1">SUMIF($B$28:$B326,$B19,AH$28:AH326)</f>
        <v>0</v>
      </c>
      <c r="AI19" s="81">
        <f ca="1">IF($O19&lt;&gt;0,-AH19/$O19,0)</f>
        <v>0</v>
      </c>
      <c r="AJ19" s="81"/>
      <c r="AK19" s="81">
        <f ca="1">IF(AZ19&lt;&gt;0,-AH19/AZ19,0)</f>
        <v>0</v>
      </c>
      <c r="AL19" s="81">
        <f ca="1">IF(BA19&lt;&gt;0,AZ19/BA19,0)</f>
        <v>0</v>
      </c>
      <c r="AM19" s="81">
        <f ca="1">IF(BA19&lt;&gt;0,$O19/BA19,0)</f>
        <v>0</v>
      </c>
      <c r="AN19" s="81">
        <f ca="1">SUMIF($B$28:$B326,$B19,AN$28:AN326)</f>
        <v>0</v>
      </c>
      <c r="AO19" s="81">
        <f ca="1">IF($O19&lt;&gt;0,-AN19/$O19,0)</f>
        <v>0</v>
      </c>
      <c r="AP19" s="81"/>
      <c r="AQ19" s="81">
        <f ca="1">IF(BB19&lt;&gt;0,-AN19/BB19,0)</f>
        <v>0</v>
      </c>
      <c r="AR19" s="81">
        <f ca="1">IF(BC19&lt;&gt;0,BB19/BC19,0)</f>
        <v>0</v>
      </c>
      <c r="AS19" s="81">
        <f ca="1">IF(BC19&lt;&gt;0,$O19/BC19,0)</f>
        <v>0</v>
      </c>
      <c r="AT19">
        <f ca="1">SUMIF($B$28:$B326,$B19,AT$28:AT326)</f>
        <v>0</v>
      </c>
      <c r="AU19" s="81">
        <f ca="1">SUMIF($B$28:$B326,$B19,AU$28:AU326)</f>
        <v>0</v>
      </c>
      <c r="AV19" s="81">
        <f ca="1">SUMIF($B$28:$B326,$B19,AV$28:AV326)</f>
        <v>0</v>
      </c>
      <c r="AW19" s="81">
        <f ca="1">SUMIF($B$28:$B326,$B19,AW$28:AW326)</f>
        <v>0</v>
      </c>
      <c r="AX19" s="81">
        <f ca="1">SUMIF($B$28:$B326,$B19,AX$28:AX326)</f>
        <v>0</v>
      </c>
      <c r="AY19" s="81">
        <f ca="1">SUMIF($B$28:$B326,$B19,AY$28:AY326)</f>
        <v>0</v>
      </c>
      <c r="AZ19" s="81">
        <f ca="1">SUMIF($B$28:$B326,$B19,AZ$28:AZ326)</f>
        <v>0</v>
      </c>
      <c r="BA19" s="81">
        <f ca="1">SUMIF($B$28:$B326,$B19,BA$28:BA326)</f>
        <v>0</v>
      </c>
      <c r="BB19" s="81">
        <f ca="1">SUMIF($B$28:$B326,$B19,BB$28:BB326)</f>
        <v>0</v>
      </c>
      <c r="BC19" s="81">
        <f ca="1">SUMIF($B$28:$B326,$B19,BC$28:BC326)</f>
        <v>0</v>
      </c>
      <c r="BD19" s="83">
        <f ca="1">SUMIF($B$28:$B326,$B19,BD$28:BD326)</f>
        <v>0</v>
      </c>
      <c r="BE19" s="81">
        <f ca="1">SUMIF($B$28:$B326,$B19,BE$28:BE326)</f>
        <v>0</v>
      </c>
      <c r="BF19" s="81">
        <f ca="1">SUMIF($B$28:$B326,$B19,BF$28:BF326)</f>
        <v>0</v>
      </c>
      <c r="BG19" s="81">
        <f ca="1">SUMIF($B$28:$B326,$B19,BG$28:BG326)</f>
        <v>0</v>
      </c>
      <c r="BH19" s="81">
        <f ca="1">SUMIF($B$28:$B326,$B19,BH$28:BH326)</f>
        <v>0</v>
      </c>
      <c r="BI19" s="81">
        <f ca="1">SUMIF($B$28:$B326,$B19,BI$28:BI326)</f>
        <v>0</v>
      </c>
      <c r="BJ19" s="81">
        <f ca="1">SUMIF($B$28:$B326,$B19,BJ$28:BJ326)</f>
        <v>0</v>
      </c>
      <c r="BK19" s="81">
        <f ca="1">SUMIF($B$28:$B326,$B19,BK$28:BK326)</f>
        <v>0</v>
      </c>
      <c r="BL19" s="81">
        <f ca="1">SUMIF($B$28:$B326,$B19,BL$28:BL326)</f>
        <v>0</v>
      </c>
      <c r="BM19" s="81">
        <f ca="1">SUMIF($B$28:$B326,$B19,BM$28:BM326)</f>
        <v>0</v>
      </c>
      <c r="BN19" s="96">
        <f ca="1">IF($BL19&lt;&gt;0,-BM19/$BL19,0)</f>
        <v>0</v>
      </c>
      <c r="BO19" s="96"/>
      <c r="BP19" s="81">
        <f ca="1">IF(CQ19&lt;&gt;0,-BM19/CQ19,0)</f>
        <v>0</v>
      </c>
      <c r="BQ19" s="81">
        <f ca="1">IF(CR19&lt;&gt;0,CQ19/CR19,0)</f>
        <v>0</v>
      </c>
      <c r="BR19" s="81">
        <f ca="1">IF(CR19&lt;&gt;0,$BL19/CR19,0)</f>
        <v>0</v>
      </c>
      <c r="BS19" s="81">
        <f ca="1">SUMIF($B$28:$B326,$B19,BS$28:BS326)</f>
        <v>0</v>
      </c>
      <c r="BT19" s="96">
        <f ca="1">IF($BL19&lt;&gt;0,-BS19/$BL19,0)</f>
        <v>0</v>
      </c>
      <c r="BU19" s="96"/>
      <c r="BV19" s="81">
        <f ca="1">IF(CS19&lt;&gt;0,-BS19/CS19,0)</f>
        <v>0</v>
      </c>
      <c r="BW19" s="81">
        <f ca="1">IF(CT19&lt;&gt;0,CS19/CT19,0)</f>
        <v>0</v>
      </c>
      <c r="BX19" s="81">
        <f ca="1">IF(CT19&lt;&gt;0,$BL19/CT19,0)</f>
        <v>0</v>
      </c>
      <c r="BY19" s="81">
        <f ca="1">SUMIF($B$28:$B326,$B19,BY$28:BY326)</f>
        <v>0</v>
      </c>
      <c r="BZ19" s="96">
        <f ca="1">IF($BL19&lt;&gt;0,-BY19/$BL19,0)</f>
        <v>0</v>
      </c>
      <c r="CA19" s="96"/>
      <c r="CB19" s="80">
        <f ca="1">IF(CU19&lt;&gt;0,-BY19/CU19,0)</f>
        <v>0</v>
      </c>
      <c r="CC19" s="80">
        <f ca="1">IF(CV19&lt;&gt;0,CU19/CV19,0)</f>
        <v>0</v>
      </c>
      <c r="CD19" s="80">
        <f ca="1">IF(CV19&lt;&gt;0,$BL19/CV19,0)</f>
        <v>0</v>
      </c>
      <c r="CE19" s="81">
        <f ca="1">SUMIF($B$28:$B326,$B19,CE$28:CE326)</f>
        <v>0</v>
      </c>
      <c r="CF19" s="96">
        <f ca="1">IF($BL19&lt;&gt;0,-CE19/$BL19,0)</f>
        <v>0</v>
      </c>
      <c r="CG19" s="96"/>
      <c r="CH19" s="81">
        <f ca="1">IF(CW19&lt;&gt;0,-CE19/CW19,0)</f>
        <v>0</v>
      </c>
      <c r="CI19" s="81">
        <f ca="1">IF(CX19&lt;&gt;0,CW19/CX19,0)</f>
        <v>0</v>
      </c>
      <c r="CJ19" s="81">
        <f ca="1">IF(CX19&lt;&gt;0,$BL19/CX19,0)</f>
        <v>0</v>
      </c>
      <c r="CK19" s="81">
        <f ca="1">SUMIF($B$28:$B326,$B19,CK$28:CK326)</f>
        <v>0</v>
      </c>
      <c r="CL19" s="96">
        <f ca="1">IF($BL19&lt;&gt;0,-CK19/$BL19,0)</f>
        <v>0</v>
      </c>
      <c r="CM19" s="96"/>
      <c r="CN19" s="81">
        <f ca="1">IF(CY19&lt;&gt;0,-CK19/CY19,0)</f>
        <v>0</v>
      </c>
      <c r="CO19" s="81">
        <f ca="1">IF(CZ19&lt;&gt;0,CY19/CZ19,0)</f>
        <v>0</v>
      </c>
      <c r="CP19" s="81">
        <f ca="1">IF(CZ19&lt;&gt;0,$BL19/CZ19,0)</f>
        <v>0</v>
      </c>
      <c r="CQ19" s="81">
        <f ca="1">SUMIF($B$28:$B326,$B19,CQ$28:CQ326)</f>
        <v>0</v>
      </c>
      <c r="CR19" s="81">
        <f ca="1">SUMIF($B$28:$B326,$B19,CR$28:CR326)</f>
        <v>0</v>
      </c>
      <c r="CS19" s="81">
        <f ca="1">SUMIF($B$28:$B326,$B19,CS$28:CS326)</f>
        <v>0</v>
      </c>
      <c r="CT19" s="81">
        <f ca="1">SUMIF($B$28:$B326,$B19,CT$28:CT326)</f>
        <v>0</v>
      </c>
      <c r="CU19" s="81">
        <f ca="1">SUMIF($B$28:$B326,$B19,CU$28:CU326)</f>
        <v>0</v>
      </c>
      <c r="CV19" s="81">
        <f ca="1">SUMIF($B$28:$B326,$B19,CV$28:CV326)</f>
        <v>0</v>
      </c>
      <c r="CW19" s="81">
        <f ca="1">SUMIF($B$28:$B326,$B19,CW$28:CW326)</f>
        <v>0</v>
      </c>
      <c r="CX19" s="81">
        <f ca="1">SUMIF($B$28:$B326,$B19,CX$28:CX326)</f>
        <v>0</v>
      </c>
      <c r="CY19" s="81">
        <f ca="1">SUMIF($B$28:$B326,$B19,CY$28:CY326)</f>
        <v>0</v>
      </c>
      <c r="CZ19" s="81">
        <f ca="1">SUMIF($B$28:$B326,$B19,CZ$28:CZ326)</f>
        <v>0</v>
      </c>
      <c r="DA19" s="83">
        <f t="shared" ref="DA19:DJ23" ca="1" si="37">G19-BD19</f>
        <v>0</v>
      </c>
      <c r="DB19" s="81">
        <f t="shared" ca="1" si="37"/>
        <v>0</v>
      </c>
      <c r="DC19" s="81">
        <f t="shared" ca="1" si="37"/>
        <v>0</v>
      </c>
      <c r="DD19" s="81">
        <f t="shared" ca="1" si="37"/>
        <v>0</v>
      </c>
      <c r="DE19" s="81">
        <f t="shared" ca="1" si="37"/>
        <v>0</v>
      </c>
      <c r="DF19" s="81">
        <f t="shared" ca="1" si="37"/>
        <v>0</v>
      </c>
      <c r="DG19" s="81">
        <f t="shared" ca="1" si="37"/>
        <v>0</v>
      </c>
      <c r="DH19" s="81">
        <f ca="1">N19-BK19</f>
        <v>0</v>
      </c>
      <c r="DI19" s="81">
        <f t="shared" ca="1" si="37"/>
        <v>0</v>
      </c>
      <c r="DJ19" s="81">
        <f t="shared" ca="1" si="37"/>
        <v>0</v>
      </c>
      <c r="DK19" s="81">
        <f ca="1">-(Q19-BN19)*100</f>
        <v>0</v>
      </c>
      <c r="DL19" s="81"/>
      <c r="DM19" s="81">
        <f ca="1">S19-BP19</f>
        <v>0</v>
      </c>
      <c r="DN19" s="81">
        <f t="shared" ref="DN19" ca="1" si="38">T19-BQ19</f>
        <v>0</v>
      </c>
      <c r="DO19" s="95">
        <f t="shared" ref="DO19" ca="1" si="39">U19-BR19</f>
        <v>0</v>
      </c>
      <c r="DP19" s="81">
        <f ca="1">V19-BS19</f>
        <v>0</v>
      </c>
      <c r="DQ19" s="81">
        <f ca="1">-(W19-BT19)*100</f>
        <v>0</v>
      </c>
      <c r="DR19" s="81"/>
      <c r="DS19" s="95">
        <f t="shared" ref="DS19" ca="1" si="40">Y19-BV19</f>
        <v>0</v>
      </c>
      <c r="DT19" s="95">
        <f t="shared" ref="DT19" ca="1" si="41">Z19-BW19</f>
        <v>0</v>
      </c>
      <c r="DU19" s="95">
        <f t="shared" ref="DU19" ca="1" si="42">AA19-BX19</f>
        <v>0</v>
      </c>
      <c r="DV19" s="81">
        <f ca="1">AB19-BY19</f>
        <v>0</v>
      </c>
      <c r="DW19" s="81">
        <f ca="1">-(AC19-BZ19)*100</f>
        <v>0</v>
      </c>
      <c r="DX19" s="81"/>
      <c r="DY19" s="95">
        <f t="shared" ref="DY19" ca="1" si="43">AE19-CB19</f>
        <v>0</v>
      </c>
      <c r="DZ19" s="95">
        <f t="shared" ref="DZ19" ca="1" si="44">AF19-CC19</f>
        <v>0</v>
      </c>
      <c r="EA19" s="95">
        <f t="shared" ref="EA19" ca="1" si="45">AG19-CD19</f>
        <v>0</v>
      </c>
      <c r="EB19" s="81">
        <f ca="1">AH19-CE19</f>
        <v>0</v>
      </c>
      <c r="EC19" s="81">
        <f ca="1">-(AI19-CF19)*100</f>
        <v>0</v>
      </c>
      <c r="ED19" s="81"/>
      <c r="EE19" s="95">
        <f t="shared" ref="EE19" ca="1" si="46">AK19-CH19</f>
        <v>0</v>
      </c>
      <c r="EF19" s="95">
        <f t="shared" ref="EF19" ca="1" si="47">AL19-CI19</f>
        <v>0</v>
      </c>
      <c r="EG19" s="95">
        <f t="shared" ref="EG19" ca="1" si="48">AM19-CJ19</f>
        <v>0</v>
      </c>
      <c r="EH19" s="81">
        <f ca="1">AN19-CK19</f>
        <v>0</v>
      </c>
      <c r="EI19" s="81">
        <f ca="1">-(AO19-CL19)*100</f>
        <v>0</v>
      </c>
      <c r="EJ19" s="81"/>
      <c r="EK19" s="95">
        <f t="shared" ref="EK19" ca="1" si="49">AQ19-CN19</f>
        <v>0</v>
      </c>
      <c r="EL19" s="95">
        <f t="shared" ref="EL19" ca="1" si="50">AR19-CO19</f>
        <v>0</v>
      </c>
      <c r="EM19" s="95">
        <f t="shared" ref="EM19" ca="1" si="51">AS19-CP19</f>
        <v>0</v>
      </c>
      <c r="EN19" s="101">
        <f ca="1">IF(AND(Run_Actual_PMM_D_CWU&lt;&gt;0,Run_Budget_PMM_D_CWU&lt;&gt;0),-VAR_PMM_D1*Run_Actual_PMM_D_CWU,0)</f>
        <v>0</v>
      </c>
      <c r="EO19" s="81">
        <f ca="1">IF(AND(Run_Actual_PMM_D_CWU&lt;&gt;0,Run_Budget_PMM_D_CWU&lt;&gt;0,Run_Actual_PMM_D_PWU&lt;&gt;0,Run_Budget_PMM_D_PWU&lt;&gt;0),VAR_PMM_D2/Run_Actual_PMM_D2*Run_Actual_PL0000_DO,0)</f>
        <v>0</v>
      </c>
      <c r="EP19" s="81">
        <f ca="1">IF(AND(Run_Actual_PMM_D_PWU&lt;&gt;0,Run_Budget_PMM_D_PWU&lt;&gt;0),Run_Actual_PMM_D*VAR_PMM_D3*Run_Actual_PMM_D_PWU,0)</f>
        <v>0</v>
      </c>
      <c r="EQ19" s="81">
        <f ca="1">IF(AND(Run_Actual_PMM_D_CWU&lt;&gt;0,Run_Budget_PMM_D_CWU&lt;&gt;0,Run_Actual_PMM_D_PWU&lt;&gt;0,Run_Budget_PMM_D_PWU&lt;&gt;0),VAR_PL0000_DO-EN19-EO19-EP19-ET19,0)</f>
        <v>0</v>
      </c>
      <c r="ER19" s="81">
        <f ca="1">IF(AND(Run_Actual_PMM_D_CWU=0,Run_Budget_PMM_D_CWU=0,Run_Actual_PMM_D_PWU=0,Run_Budget_PMM_D_PWU=0),DJ19-EN19-EO19-EP19-ET19,0)</f>
        <v>0</v>
      </c>
      <c r="ES19" s="81">
        <f ca="1">SUM(EN19:ER19)</f>
        <v>0</v>
      </c>
      <c r="ET19" s="81">
        <f ca="1">IF(Run_Budget_TPL10_dest_nosub&lt;&gt;0,VAR_TPL10_dest_nosub/ABS(Run_Budget_TPL10_dest_nosub)*Run_Budget_PL0000_DO,0)</f>
        <v>0</v>
      </c>
      <c r="EU19" s="101">
        <f ca="1">IF(AND(Run_Actual_PMM_M_CWU&lt;&gt;0,Run_Budget_PMM_M_CWU&lt;&gt;0),-VAR_PMM_M1*Run_Actual_PMM_M_CWU,0)</f>
        <v>0</v>
      </c>
      <c r="EV19" s="81">
        <f ca="1">IF(AND(Run_Actual_PMM_M_CWU&lt;&gt;0,Run_Budget_PMM_M_CWU&lt;&gt;0,Run_Actual_PMM_M_PWU&lt;&gt;0,Run_Budget_PMM_M_PWU&lt;&gt;0),VAR_PMM_M2/Run_Actual_PMM_M2*Run_Actual_PL0000_MF,0)</f>
        <v>0</v>
      </c>
      <c r="EW19" s="81">
        <f ca="1">IF(AND(Run_Actual_PMM_M_PWU&lt;&gt;0,Run_Budget_PMM_M_PWU&lt;&gt;0),Run_Actual_PMM_M*VAR_PMM_M3*Run_Actual_PMM_M_PWU,0)</f>
        <v>0</v>
      </c>
      <c r="EX19" s="81">
        <f ca="1">IF(AND(Run_Actual_PMM_M_CWU&lt;&gt;0,Run_Budget_PMM_M_CWU&lt;&gt;0,Run_Actual_PMM_M_PWU&lt;&gt;0,Run_Budget_PMM_M_PWU&lt;&gt;0),VAR_PL0000_MF-EU19-EV19-EW19-FA19,0)</f>
        <v>0</v>
      </c>
      <c r="EY19" s="81">
        <f ca="1">IF(AND(Run_Actual_PMM_M_CWU=0,Run_Budget_PMM_M_CWU=0,Run_Actual_PMM_M_PWU=0,Run_Budget_PMM_M_PWU=0),DP19-EU19-EV19-EW19-FA19,0)</f>
        <v>0</v>
      </c>
      <c r="EZ19" s="81">
        <f ca="1">SUM(EU19:EY19)</f>
        <v>0</v>
      </c>
      <c r="FA19" s="81">
        <f ca="1">IF(Run_Budget_TPL10_dest_nosub&lt;&gt;0,VAR_TPL10_dest_nosub/ABS(Run_Budget_TPL10_dest_nosub)*Run_Budget_PL0000_MF,0)</f>
        <v>0</v>
      </c>
      <c r="FB19" s="101">
        <f ca="1">IF(AND(Run_Actual_PMM_E_CWU&lt;&gt;0,Run_Budget_PMM_E_CWU&lt;&gt;0),-VAR_PMM_E1*Run_Actual_PMM_E_CWU,0)</f>
        <v>0</v>
      </c>
      <c r="FC19" s="81">
        <f ca="1">IF(AND(Run_Actual_PMM_E_CWU&lt;&gt;0,Run_Budget_PMM_E_CWU&lt;&gt;0,Run_Actual_PMM_E_PWU&lt;&gt;0,Run_Budget_PMM_E_PWU&lt;&gt;0),VAR_PMM_E2/Run_Actual_PMM_E2*Run_Actual_PL0000_ET,0)</f>
        <v>0</v>
      </c>
      <c r="FD19" s="81">
        <f ca="1">IF(AND(Run_Actual_PMM_E_PWU&lt;&gt;0,Run_Budget_PMM_E_PWU&lt;&gt;0),Run_Actual_PMM_E*VAR_PMM_E3*Run_Actual_PMM_E_PWU,0)</f>
        <v>0</v>
      </c>
      <c r="FE19" s="81">
        <f ca="1">IF(AND(Run_Actual_PMM_E_CWU&lt;&gt;0,Run_Budget_PMM_E_CWU&lt;&gt;0,Run_Actual_PMM_E_PWU&lt;&gt;0,Run_Budget_PMM_E_PWU&lt;&gt;0),VAR_PL0000_ET-FB19-FC19-FD19-FH19,0)</f>
        <v>0</v>
      </c>
      <c r="FF19" s="81">
        <f ca="1">IF(AND(Run_Actual_PMM_E_CWU=0,Run_Budget_PMM_E_CWU=0,Run_Actual_PMM_E_PWU=0,Run_Budget_PMM_E_PWU=0),DV19-FB19-FC19-FD19-FH19,0)</f>
        <v>0</v>
      </c>
      <c r="FG19" s="81">
        <f ca="1">SUM(FB19:FF19)</f>
        <v>0</v>
      </c>
      <c r="FH19" s="81">
        <f ca="1">IF(Run_Budget_TPL10_dest_nosub&lt;&gt;0,VAR_TPL10_dest_nosub/ABS(Run_Budget_TPL10_dest_nosub)*Run_Budget_PL0000_ET,0)</f>
        <v>0</v>
      </c>
      <c r="FI19" s="101">
        <f ca="1">IF(AND(Run_Actual_PMM_F_CWU&lt;&gt;0,Run_Budget_PMM_F_CWU&lt;&gt;0),-VAR_PMM_F1*Run_Actual_PMM_F_CWU,0)</f>
        <v>0</v>
      </c>
      <c r="FJ19" s="81">
        <f ca="1">IF(AND(Run_Actual_PMM_F_CWU&lt;&gt;0,Run_Budget_PMM_F_CWU&lt;&gt;0,Run_Actual_PMM_F_PWU&lt;&gt;0,Run_Budget_PMM_F_PWU&lt;&gt;0),VAR_PMM_F2/Run_Actual_PMM_F2*Run_Actual_PL0000_FL,0)</f>
        <v>0</v>
      </c>
      <c r="FK19" s="81">
        <f ca="1">IF(AND(Run_Actual_PMM_F_PWU&lt;&gt;0,Run_Budget_PMM_F_PWU&lt;&gt;0),Run_Actual_PMM_F*VAR_PMM_F3*Run_Actual_PMM_F_PWU,0)</f>
        <v>0</v>
      </c>
      <c r="FL19" s="81">
        <f ca="1">IF(AND(Run_Actual_PMM_F_CWU&lt;&gt;0,Run_Budget_PMM_F_CWU&lt;&gt;0,Run_Actual_PMM_F_PWU&lt;&gt;0,Run_Budget_PMM_F_PWU&lt;&gt;0),VAR_PL0000_FL-FI19-FJ19-FK19-FO19,0)</f>
        <v>0</v>
      </c>
      <c r="FM19" s="81">
        <f ca="1">IF(AND(Run_Actual_PMM_F_CWU=0,Run_Budget_PMM_F_CWU=0,Run_Actual_PMM_F_PWU=0,Run_Budget_PMM_F_PWU=0),EB19-FI19-FJ19-FK19-FO19,0)</f>
        <v>0</v>
      </c>
      <c r="FN19" s="81">
        <f ca="1">SUM(FI19:FM19)</f>
        <v>0</v>
      </c>
      <c r="FO19" s="81">
        <f ca="1">IF(Run_Budget_TPL10_dest_nosub&lt;&gt;0,VAR_TPL10_dest_nosub/ABS(Run_Budget_TPL10_dest_nosub)*Run_Budget_PL0000_FL,0)</f>
        <v>0</v>
      </c>
      <c r="FP19" s="101">
        <f ca="1">IF(AND(Run_Actual_PMM_O_CWU&lt;&gt;0,Run_Budget_PMM_O_CWU&lt;&gt;0),-VAR_PMM_O1*Run_Actual_PMM_O_CWU,0)</f>
        <v>0</v>
      </c>
      <c r="FQ19" s="81">
        <f ca="1">IF(AND(Run_Actual_PMM_O_CWU&lt;&gt;0,Run_Budget_PMM_O_CWU&lt;&gt;0,Run_Actual_PMM_O_PWU&lt;&gt;0,Run_Budget_PMM_O_PWU&lt;&gt;0),VAR_PMM_O2/Run_Actual_PMM_O2*Run_Actual_PL0000_OT,0)</f>
        <v>0</v>
      </c>
      <c r="FR19" s="81">
        <f ca="1">IF(AND(Run_Actual_PMM_O_PWU&lt;&gt;0,Run_Budget_PMM_O_PWU&lt;&gt;0),Run_Actual_PMM_O*VAR_PMM_O3*Run_Actual_PMM_O_PWU,0)</f>
        <v>0</v>
      </c>
      <c r="FS19" s="81">
        <f ca="1">IF(AND(Run_Actual_PMM_O_CWU&lt;&gt;0,Run_Budget_PMM_O_CWU&lt;&gt;0,Run_Actual_PMM_O_PWU&lt;&gt;0,Run_Budget_PMM_O_PWU&lt;&gt;0),VAR_PL0000_OT-FP19-FQ19-FR19-FV19,0)</f>
        <v>0</v>
      </c>
      <c r="FT19" s="81">
        <f ca="1">IF(AND(Run_Actual_PMM_O_CWU=0,Run_Budget_PMM_O_CWU=0,Run_Actual_PMM_O_PWU=0,Run_Budget_PMM_O_PWU=0),EH19-FP19-FQ19-FR19-FV19,0)</f>
        <v>0</v>
      </c>
      <c r="FU19" s="81">
        <f ca="1">SUM(FP19:FT19)</f>
        <v>0</v>
      </c>
      <c r="FV19" s="81">
        <f ca="1">IF(Run_Budget_TPL10_dest_nosub&lt;&gt;0,VAR_TPL10_dest_nosub/ABS(Run_Budget_TPL10_dest_nosub)*Run_Budget_PL0000_OT,0)</f>
        <v>0</v>
      </c>
    </row>
    <row r="20" spans="1:183" x14ac:dyDescent="0.25">
      <c r="A20" s="1"/>
      <c r="B20" t="s">
        <v>49</v>
      </c>
      <c r="D20" s="1" t="s">
        <v>19</v>
      </c>
      <c r="E20" s="1"/>
      <c r="F20" s="1"/>
      <c r="G20" s="37">
        <f ca="1">SUMIF($B$28:$B327,$B20,G$28:G327)</f>
        <v>0</v>
      </c>
      <c r="H20" s="38">
        <f ca="1">SUMIF($B$28:$B327,$B20,H$28:H327)</f>
        <v>0</v>
      </c>
      <c r="I20" s="38">
        <f ca="1">SUMIF($B$28:$B327,$B20,I$28:I327)</f>
        <v>0</v>
      </c>
      <c r="J20" s="38">
        <f ca="1">SUMIF($B$28:$B327,$B20,J$28:J327)</f>
        <v>0</v>
      </c>
      <c r="K20" s="38">
        <f ca="1">SUMIF($B$28:$B327,$B20,K$28:K327)</f>
        <v>0</v>
      </c>
      <c r="L20" s="38">
        <f ca="1">SUMIF($B$28:$B327,$B20,L$28:L327)</f>
        <v>0</v>
      </c>
      <c r="M20" s="38">
        <f ca="1">SUMIF($B$28:$B327,$B20,M$28:M327)</f>
        <v>0</v>
      </c>
      <c r="N20" s="38">
        <f ca="1">SUMIF($B$28:$B327,$B20,N$28:N327)</f>
        <v>0</v>
      </c>
      <c r="O20" s="38">
        <f ca="1">SUMIF($B$28:$B327,$B20,O$28:O327)</f>
        <v>0</v>
      </c>
      <c r="P20" s="81">
        <f ca="1">SUMIF($B$28:$B327,$B20,P$28:P327)</f>
        <v>0</v>
      </c>
      <c r="Q20" s="81"/>
      <c r="R20" s="81"/>
      <c r="S20" s="81"/>
      <c r="T20" s="81"/>
      <c r="U20" s="81"/>
      <c r="V20" s="81">
        <f ca="1">SUMIF($B$28:$B327,$B20,V$28:V327)</f>
        <v>0</v>
      </c>
      <c r="W20" s="81"/>
      <c r="X20" s="81"/>
      <c r="Y20" s="81"/>
      <c r="Z20" s="81"/>
      <c r="AA20" s="81"/>
      <c r="AB20" s="81">
        <f ca="1">SUMIF($B$28:$B327,$B20,AB$28:AB327)</f>
        <v>0</v>
      </c>
      <c r="AC20" s="81"/>
      <c r="AD20" s="81"/>
      <c r="AE20" s="81"/>
      <c r="AF20" s="81"/>
      <c r="AG20" s="81"/>
      <c r="AH20" s="81">
        <f ca="1">SUMIF($B$28:$B327,$B20,AH$28:AH327)</f>
        <v>0</v>
      </c>
      <c r="AI20" s="81"/>
      <c r="AJ20" s="81"/>
      <c r="AK20" s="81"/>
      <c r="AL20" s="81"/>
      <c r="AM20" s="81"/>
      <c r="AN20" s="81">
        <f ca="1">SUMIF($B$28:$B327,$B20,AN$28:AN327)</f>
        <v>0</v>
      </c>
      <c r="AO20" s="81"/>
      <c r="AP20" s="81"/>
      <c r="AQ20" s="81"/>
      <c r="AR20" s="81"/>
      <c r="AS20" s="81"/>
      <c r="AT20" s="86">
        <f ca="1">SUMIF($B$28:$B327,$B20,AT$28:AT327)</f>
        <v>0</v>
      </c>
      <c r="AU20" s="81">
        <f ca="1">SUMIF($B$28:$B327,$B20,AU$28:AU327)</f>
        <v>0</v>
      </c>
      <c r="AV20" s="81">
        <f ca="1">SUMIF($B$28:$B327,$B20,AV$28:AV327)</f>
        <v>0</v>
      </c>
      <c r="AW20" s="81">
        <f ca="1">SUMIF($B$28:$B327,$B20,AW$28:AW327)</f>
        <v>0</v>
      </c>
      <c r="AX20" s="81">
        <f ca="1">SUMIF($B$28:$B327,$B20,AX$28:AX327)</f>
        <v>0</v>
      </c>
      <c r="AY20" s="81">
        <f ca="1">SUMIF($B$28:$B327,$B20,AY$28:AY327)</f>
        <v>0</v>
      </c>
      <c r="AZ20" s="81">
        <f ca="1">SUMIF($B$28:$B327,$B20,AZ$28:AZ327)</f>
        <v>0</v>
      </c>
      <c r="BA20" s="81">
        <f ca="1">SUMIF($B$28:$B327,$B20,BA$28:BA327)</f>
        <v>0</v>
      </c>
      <c r="BB20" s="81">
        <f ca="1">SUMIF($B$28:$B327,$B20,BB$28:BB327)</f>
        <v>0</v>
      </c>
      <c r="BC20" s="81">
        <f ca="1">SUMIF($B$28:$B327,$B20,BC$28:BC327)</f>
        <v>0</v>
      </c>
      <c r="BD20" s="83">
        <f ca="1">SUMIF($B$28:$B327,$B20,BD$28:BD327)</f>
        <v>0</v>
      </c>
      <c r="BE20" s="81">
        <f ca="1">SUMIF($B$28:$B327,$B20,BE$28:BE327)</f>
        <v>0</v>
      </c>
      <c r="BF20" s="81">
        <f ca="1">SUMIF($B$28:$B327,$B20,BF$28:BF327)</f>
        <v>0</v>
      </c>
      <c r="BG20" s="81">
        <f ca="1">SUMIF($B$28:$B327,$B20,BG$28:BG327)</f>
        <v>0</v>
      </c>
      <c r="BH20" s="81">
        <f ca="1">SUMIF($B$28:$B327,$B20,BH$28:BH327)</f>
        <v>0</v>
      </c>
      <c r="BI20" s="81">
        <f ca="1">SUMIF($B$28:$B327,$B20,BI$28:BI327)</f>
        <v>0</v>
      </c>
      <c r="BJ20" s="81">
        <f ca="1">SUMIF($B$28:$B327,$B20,BJ$28:BJ327)</f>
        <v>0</v>
      </c>
      <c r="BK20" s="81">
        <f ca="1">SUMIF($B$28:$B327,$B20,BK$28:BK327)</f>
        <v>0</v>
      </c>
      <c r="BL20" s="81">
        <f ca="1">SUMIF($B$28:$B327,$B20,BL$28:BL327)</f>
        <v>0</v>
      </c>
      <c r="BM20" s="81">
        <f ca="1">SUMIF($B$28:$B327,$B20,BM$28:BM327)</f>
        <v>0</v>
      </c>
      <c r="BN20" s="81"/>
      <c r="BO20" s="81"/>
      <c r="BP20" s="81"/>
      <c r="BQ20" s="81"/>
      <c r="BR20" s="81"/>
      <c r="BS20" s="81">
        <f ca="1">SUMIF($B$28:$B327,$B20,BS$28:BS327)</f>
        <v>0</v>
      </c>
      <c r="BT20" s="81"/>
      <c r="BU20" s="81"/>
      <c r="BV20" s="81"/>
      <c r="BW20" s="81"/>
      <c r="BX20" s="81"/>
      <c r="BY20" s="81">
        <f ca="1">SUMIF($B$28:$B327,$B20,BY$28:BY327)</f>
        <v>0</v>
      </c>
      <c r="BZ20" s="81"/>
      <c r="CA20" s="81"/>
      <c r="CB20" s="81"/>
      <c r="CC20" s="81"/>
      <c r="CD20" s="81"/>
      <c r="CE20" s="81">
        <f ca="1">SUMIF($B$28:$B327,$B20,CE$28:CE327)</f>
        <v>0</v>
      </c>
      <c r="CF20" s="81"/>
      <c r="CG20" s="81"/>
      <c r="CH20" s="81"/>
      <c r="CI20" s="81"/>
      <c r="CJ20" s="81"/>
      <c r="CK20" s="81">
        <f ca="1">SUMIF($B$28:$B327,$B20,CK$28:CK327)</f>
        <v>0</v>
      </c>
      <c r="CL20" s="81"/>
      <c r="CM20" s="81"/>
      <c r="CN20" s="81"/>
      <c r="CO20" s="81"/>
      <c r="CP20" s="81"/>
      <c r="CQ20" s="81">
        <f ca="1">SUMIF($B$28:$B327,$B20,CQ$28:CQ327)</f>
        <v>0</v>
      </c>
      <c r="CR20" s="81">
        <f ca="1">SUMIF($B$28:$B327,$B20,CR$28:CR327)</f>
        <v>0</v>
      </c>
      <c r="CS20" s="81">
        <f ca="1">SUMIF($B$28:$B327,$B20,CS$28:CS327)</f>
        <v>0</v>
      </c>
      <c r="CT20" s="81">
        <f ca="1">SUMIF($B$28:$B327,$B20,CT$28:CT327)</f>
        <v>0</v>
      </c>
      <c r="CU20" s="81">
        <f ca="1">SUMIF($B$28:$B327,$B20,CU$28:CU327)</f>
        <v>0</v>
      </c>
      <c r="CV20" s="81">
        <f ca="1">SUMIF($B$28:$B327,$B20,CV$28:CV327)</f>
        <v>0</v>
      </c>
      <c r="CW20" s="81">
        <f ca="1">SUMIF($B$28:$B327,$B20,CW$28:CW327)</f>
        <v>0</v>
      </c>
      <c r="CX20" s="81">
        <f ca="1">SUMIF($B$28:$B327,$B20,CX$28:CX327)</f>
        <v>0</v>
      </c>
      <c r="CY20" s="81">
        <f ca="1">SUMIF($B$28:$B327,$B20,CY$28:CY327)</f>
        <v>0</v>
      </c>
      <c r="CZ20" s="81">
        <f ca="1">SUMIF($B$28:$B327,$B20,CZ$28:CZ327)</f>
        <v>0</v>
      </c>
      <c r="DA20" s="83">
        <f t="shared" ca="1" si="37"/>
        <v>0</v>
      </c>
      <c r="DB20" s="81">
        <f t="shared" ca="1" si="37"/>
        <v>0</v>
      </c>
      <c r="DC20" s="81">
        <f t="shared" ca="1" si="37"/>
        <v>0</v>
      </c>
      <c r="DD20" s="81">
        <f t="shared" ca="1" si="37"/>
        <v>0</v>
      </c>
      <c r="DE20" s="81">
        <f t="shared" ca="1" si="37"/>
        <v>0</v>
      </c>
      <c r="DF20" s="81">
        <f t="shared" ca="1" si="37"/>
        <v>0</v>
      </c>
      <c r="DG20" s="81">
        <f t="shared" ca="1" si="37"/>
        <v>0</v>
      </c>
      <c r="DH20" s="81">
        <f t="shared" ca="1" si="37"/>
        <v>0</v>
      </c>
      <c r="DI20" s="81">
        <f t="shared" ca="1" si="37"/>
        <v>0</v>
      </c>
      <c r="DJ20" s="81">
        <f t="shared" ca="1" si="37"/>
        <v>0</v>
      </c>
      <c r="DK20" s="81"/>
      <c r="DL20" s="81"/>
      <c r="DM20" s="81"/>
      <c r="DN20" s="81"/>
      <c r="DO20" s="81"/>
      <c r="DP20" s="81">
        <f ca="1">V20-BS20</f>
        <v>0</v>
      </c>
      <c r="DQ20" s="81"/>
      <c r="DR20" s="81"/>
      <c r="DS20" s="81"/>
      <c r="DT20" s="81"/>
      <c r="DU20" s="81"/>
      <c r="DV20" s="81">
        <f ca="1">AB20-BY20</f>
        <v>0</v>
      </c>
      <c r="DW20" s="81"/>
      <c r="DX20" s="81"/>
      <c r="DY20" s="81"/>
      <c r="DZ20" s="81"/>
      <c r="EA20" s="81"/>
      <c r="EB20" s="81">
        <f ca="1">AH20-CE20</f>
        <v>0</v>
      </c>
      <c r="EC20" s="81"/>
      <c r="ED20" s="81"/>
      <c r="EE20" s="81"/>
      <c r="EF20" s="81"/>
      <c r="EG20" s="81"/>
      <c r="EH20" s="81">
        <f ca="1">AN20-CK20</f>
        <v>0</v>
      </c>
      <c r="EI20" s="81"/>
      <c r="EJ20" s="81"/>
      <c r="EK20" s="81"/>
      <c r="EL20" s="81"/>
      <c r="EM20" s="81"/>
      <c r="EN20" s="81"/>
      <c r="EO20" s="81"/>
      <c r="EP20" s="81"/>
      <c r="EQ20" s="81"/>
      <c r="ER20" s="81"/>
      <c r="ES20" s="81"/>
      <c r="ET20" s="81"/>
      <c r="EU20" s="81"/>
      <c r="EV20" s="81"/>
      <c r="EW20" s="81"/>
      <c r="EX20" s="81"/>
      <c r="EY20" s="81"/>
      <c r="EZ20" s="81"/>
      <c r="FA20" s="81"/>
      <c r="FB20" s="81"/>
      <c r="FC20" s="81"/>
      <c r="FD20" s="81"/>
      <c r="FE20" s="81"/>
      <c r="FF20" s="81"/>
      <c r="FG20" s="81"/>
      <c r="FH20" s="81"/>
      <c r="FI20" s="81"/>
      <c r="FJ20" s="81"/>
      <c r="FK20" s="81"/>
      <c r="FL20" s="81"/>
      <c r="FM20" s="81"/>
      <c r="FN20" s="81"/>
      <c r="FO20" s="81"/>
      <c r="FP20" s="81"/>
      <c r="FQ20" s="81"/>
      <c r="FR20" s="81"/>
      <c r="FS20" s="81"/>
      <c r="FT20" s="81"/>
      <c r="FU20" s="81"/>
      <c r="FV20" s="81"/>
    </row>
    <row r="21" spans="1:183" x14ac:dyDescent="0.25">
      <c r="A21" s="1"/>
      <c r="B21" t="s">
        <v>50</v>
      </c>
      <c r="D21" s="1" t="s">
        <v>20</v>
      </c>
      <c r="E21" s="1"/>
      <c r="F21" s="1"/>
      <c r="G21" s="37">
        <f ca="1">SUMIF($B$28:$B328,$B21,G$28:G328)</f>
        <v>449.63781259005992</v>
      </c>
      <c r="H21" s="38">
        <f ca="1">SUMIF($B$28:$B328,$B21,H$28:H328)</f>
        <v>-282.82998345993991</v>
      </c>
      <c r="I21" s="38">
        <f ca="1">SUMIF($B$28:$B328,$B21,I$28:I328)</f>
        <v>-1.2868124534687331E-17</v>
      </c>
      <c r="J21" s="38">
        <f ca="1">SUMIF($B$28:$B328,$B21,J$28:J328)</f>
        <v>-9.3705099100000009</v>
      </c>
      <c r="K21" s="38">
        <f ca="1">SUMIF($B$28:$B328,$B21,K$28:K328)</f>
        <v>4.5583269999999995E-2</v>
      </c>
      <c r="L21" s="38">
        <f ca="1">SUMIF($B$28:$B328,$B21,L$28:L328)</f>
        <v>0</v>
      </c>
      <c r="M21" s="38">
        <f ca="1">SUMIF($B$28:$B328,$B21,M$28:M328)</f>
        <v>0</v>
      </c>
      <c r="N21" s="38">
        <f ca="1">SUMIF($B$28:$B328,$B21,N$28:N328)</f>
        <v>741.79272268999978</v>
      </c>
      <c r="O21" s="38">
        <f ca="1">SUMIF($B$28:$B328,$B21,O$28:O328)</f>
        <v>5903.601963629998</v>
      </c>
      <c r="P21" s="81">
        <f ca="1">SUMIF($B$28:$B328,$B21,P$28:P328)</f>
        <v>-2452.8777070900005</v>
      </c>
      <c r="Q21" s="81"/>
      <c r="R21" s="81"/>
      <c r="S21" s="81"/>
      <c r="T21" s="81"/>
      <c r="U21" s="81"/>
      <c r="V21" s="81">
        <f ca="1">SUMIF($B$28:$B328,$B21,V$28:V328)</f>
        <v>-699.90720539000017</v>
      </c>
      <c r="W21" s="81"/>
      <c r="X21" s="81"/>
      <c r="Y21" s="81"/>
      <c r="Z21" s="81"/>
      <c r="AA21" s="81"/>
      <c r="AB21" s="81">
        <f ca="1">SUMIF($B$28:$B328,$B21,AB$28:AB328)</f>
        <v>-566.21943702000021</v>
      </c>
      <c r="AC21" s="81"/>
      <c r="AD21" s="81"/>
      <c r="AE21" s="81"/>
      <c r="AF21" s="81"/>
      <c r="AG21" s="81"/>
      <c r="AH21" s="81">
        <f ca="1">SUMIF($B$28:$B328,$B21,AH$28:AH328)</f>
        <v>-436.83933471999995</v>
      </c>
      <c r="AI21" s="81"/>
      <c r="AJ21" s="81"/>
      <c r="AK21" s="81"/>
      <c r="AL21" s="81"/>
      <c r="AM21" s="81"/>
      <c r="AN21" s="81">
        <f ca="1">SUMIF($B$28:$B328,$B21,AN$28:AN328)</f>
        <v>-1008.6170789900001</v>
      </c>
      <c r="AO21" s="81"/>
      <c r="AP21" s="81"/>
      <c r="AQ21" s="81"/>
      <c r="AR21" s="81"/>
      <c r="AS21" s="81"/>
      <c r="AT21" s="86">
        <f ca="1">SUMIF($B$28:$B328,$B21,AT$28:AT328)</f>
        <v>53.59918018387188</v>
      </c>
      <c r="AU21" s="81">
        <f ca="1">SUMIF($B$28:$B328,$B21,AU$28:AU328)</f>
        <v>640.5966401913339</v>
      </c>
      <c r="AV21" s="81">
        <f ca="1">SUMIF($B$28:$B328,$B21,AV$28:AV328)</f>
        <v>940.80831551528308</v>
      </c>
      <c r="AW21" s="81">
        <f ca="1">SUMIF($B$28:$B328,$B21,AW$28:AW328)</f>
        <v>640.5966401913339</v>
      </c>
      <c r="AX21" s="81">
        <f ca="1">SUMIF($B$28:$B328,$B21,AX$28:AX328)</f>
        <v>304.7548798414611</v>
      </c>
      <c r="AY21" s="81">
        <f ca="1">SUMIF($B$28:$B328,$B21,AY$28:AY328)</f>
        <v>632.87937624133417</v>
      </c>
      <c r="AZ21" s="81">
        <f ca="1">SUMIF($B$28:$B328,$B21,AZ$28:AZ328)</f>
        <v>340.60244923133877</v>
      </c>
      <c r="BA21" s="81">
        <f ca="1">SUMIF($B$28:$B328,$B21,BA$28:BA328)</f>
        <v>632.87937624133417</v>
      </c>
      <c r="BB21" s="81">
        <f ca="1">SUMIF($B$28:$B328,$B21,BB$28:BB328)</f>
        <v>612.93032619133407</v>
      </c>
      <c r="BC21" s="81">
        <f ca="1">SUMIF($B$28:$B328,$B21,BC$28:BC328)</f>
        <v>640.5966401913339</v>
      </c>
      <c r="BD21" s="83">
        <f ca="1">SUMIF($B$28:$B328,$B21,BD$28:BD328)</f>
        <v>458.43352520536024</v>
      </c>
      <c r="BE21" s="81">
        <f ca="1">SUMIF($B$28:$B328,$B21,BE$28:BE328)</f>
        <v>-311.29210326114111</v>
      </c>
      <c r="BF21" s="81">
        <f ca="1">SUMIF($B$28:$B328,$B21,BF$28:BF328)</f>
        <v>-3.4795064499999993</v>
      </c>
      <c r="BG21" s="81">
        <f ca="1">SUMIF($B$28:$B328,$B21,BG$28:BG328)</f>
        <v>-12.67070332860154</v>
      </c>
      <c r="BH21" s="81">
        <f ca="1">SUMIF($B$28:$B328,$B21,BH$28:BH328)</f>
        <v>0</v>
      </c>
      <c r="BI21" s="81">
        <f ca="1">SUMIF($B$28:$B328,$B21,BI$28:BI328)</f>
        <v>0</v>
      </c>
      <c r="BJ21" s="81">
        <f ca="1">SUMIF($B$28:$B328,$B21,BJ$28:BJ328)</f>
        <v>0</v>
      </c>
      <c r="BK21" s="81">
        <f ca="1">SUMIF($B$28:$B328,$B21,BK$28:BK328)</f>
        <v>782.39633179510326</v>
      </c>
      <c r="BL21" s="81">
        <f ca="1">SUMIF($B$28:$B328,$B21,BL$28:BL328)</f>
        <v>6082.6880271490381</v>
      </c>
      <c r="BM21" s="81">
        <f ca="1">SUMIF($B$28:$B328,$B21,BM$28:BM328)</f>
        <v>-2508.1856502834157</v>
      </c>
      <c r="BN21" s="81"/>
      <c r="BO21" s="81"/>
      <c r="BP21" s="81"/>
      <c r="BQ21" s="81"/>
      <c r="BR21" s="81"/>
      <c r="BS21" s="81">
        <f ca="1">SUMIF($B$28:$B328,$B21,BS$28:BS328)</f>
        <v>-693.84828310472756</v>
      </c>
      <c r="BT21" s="81"/>
      <c r="BU21" s="81"/>
      <c r="BV21" s="81"/>
      <c r="BW21" s="81"/>
      <c r="BX21" s="81"/>
      <c r="BY21" s="81">
        <f ca="1">SUMIF($B$28:$B328,$B21,BY$28:BY328)</f>
        <v>-570.72033802736837</v>
      </c>
      <c r="BZ21" s="81"/>
      <c r="CA21" s="81"/>
      <c r="CB21" s="81"/>
      <c r="CC21" s="81"/>
      <c r="CD21" s="81"/>
      <c r="CE21" s="81">
        <f ca="1">SUMIF($B$28:$B328,$B21,CE$28:CE328)</f>
        <v>-494.82844400646172</v>
      </c>
      <c r="CF21" s="81"/>
      <c r="CG21" s="81"/>
      <c r="CH21" s="81"/>
      <c r="CI21" s="81"/>
      <c r="CJ21" s="81"/>
      <c r="CK21" s="81">
        <f ca="1">SUMIF($B$28:$B328,$B21,CK$28:CK328)</f>
        <v>-1035.2696689519605</v>
      </c>
      <c r="CL21" s="81"/>
      <c r="CM21" s="81"/>
      <c r="CN21" s="81"/>
      <c r="CO21" s="81"/>
      <c r="CP21" s="81"/>
      <c r="CQ21" s="81">
        <f ca="1">SUMIF($B$28:$B328,$B21,CQ$28:CQ328)</f>
        <v>56.6194894558298</v>
      </c>
      <c r="CR21" s="81">
        <f ca="1">SUMIF($B$28:$B328,$B21,CR$28:CR328)</f>
        <v>759.22788968161603</v>
      </c>
      <c r="CS21" s="81">
        <f ca="1">SUMIF($B$28:$B328,$B21,CS$28:CS328)</f>
        <v>1046.7070550972464</v>
      </c>
      <c r="CT21" s="81">
        <f ca="1">SUMIF($B$28:$B328,$B21,CT$28:CT328)</f>
        <v>759.22788968161603</v>
      </c>
      <c r="CU21" s="81">
        <f ca="1">SUMIF($B$28:$B328,$B21,CU$28:CU328)</f>
        <v>344.64820588552533</v>
      </c>
      <c r="CV21" s="81">
        <f ca="1">SUMIF($B$28:$B328,$B21,CV$28:CV328)</f>
        <v>753.39987406161629</v>
      </c>
      <c r="CW21" s="81">
        <f ca="1">SUMIF($B$28:$B328,$B21,CW$28:CW328)</f>
        <v>392.31713003691863</v>
      </c>
      <c r="CX21" s="81">
        <f ca="1">SUMIF($B$28:$B328,$B21,CX$28:CX328)</f>
        <v>753.39987406161629</v>
      </c>
      <c r="CY21" s="81">
        <f ca="1">SUMIF($B$28:$B328,$B21,CY$28:CY328)</f>
        <v>737.69852737231599</v>
      </c>
      <c r="CZ21" s="81">
        <f ca="1">SUMIF($B$28:$B328,$B21,CZ$28:CZ328)</f>
        <v>759.22788968161603</v>
      </c>
      <c r="DA21" s="83">
        <f t="shared" ca="1" si="37"/>
        <v>-8.7957126153003173</v>
      </c>
      <c r="DB21" s="81">
        <f t="shared" ca="1" si="37"/>
        <v>28.462119801201197</v>
      </c>
      <c r="DC21" s="81">
        <f t="shared" ca="1" si="37"/>
        <v>3.4795064499999993</v>
      </c>
      <c r="DD21" s="81">
        <f t="shared" ca="1" si="37"/>
        <v>3.3001934186015394</v>
      </c>
      <c r="DE21" s="81">
        <f t="shared" ca="1" si="37"/>
        <v>4.5583269999999995E-2</v>
      </c>
      <c r="DF21" s="81">
        <f t="shared" ca="1" si="37"/>
        <v>0</v>
      </c>
      <c r="DG21" s="81">
        <f t="shared" ca="1" si="37"/>
        <v>0</v>
      </c>
      <c r="DH21" s="81">
        <f t="shared" ca="1" si="37"/>
        <v>-40.603609105103487</v>
      </c>
      <c r="DI21" s="81">
        <f t="shared" ca="1" si="37"/>
        <v>-179.08606351904018</v>
      </c>
      <c r="DJ21" s="81">
        <f t="shared" ca="1" si="37"/>
        <v>55.307943193415213</v>
      </c>
      <c r="DK21" s="81"/>
      <c r="DL21" s="81"/>
      <c r="DM21" s="81"/>
      <c r="DN21" s="81"/>
      <c r="DO21" s="81"/>
      <c r="DP21" s="81">
        <f ca="1">V21-BS21</f>
        <v>-6.0589222852726152</v>
      </c>
      <c r="DQ21" s="81"/>
      <c r="DR21" s="81"/>
      <c r="DS21" s="81"/>
      <c r="DT21" s="81"/>
      <c r="DU21" s="81"/>
      <c r="DV21" s="81">
        <f ca="1">AB21-BY21</f>
        <v>4.5009010073681566</v>
      </c>
      <c r="DW21" s="81"/>
      <c r="DX21" s="81"/>
      <c r="DY21" s="81"/>
      <c r="DZ21" s="81"/>
      <c r="EA21" s="81"/>
      <c r="EB21" s="81">
        <f ca="1">AH21-CE21</f>
        <v>57.989109286461769</v>
      </c>
      <c r="EC21" s="81"/>
      <c r="ED21" s="81"/>
      <c r="EE21" s="81"/>
      <c r="EF21" s="81"/>
      <c r="EG21" s="81"/>
      <c r="EH21" s="81">
        <f ca="1">AN21-CK21</f>
        <v>26.652589961960416</v>
      </c>
      <c r="EI21" s="81"/>
      <c r="EJ21" s="81"/>
      <c r="EK21" s="81"/>
      <c r="EL21" s="81"/>
      <c r="EM21" s="81"/>
      <c r="EN21" s="81"/>
      <c r="EO21" s="81"/>
      <c r="EP21" s="81"/>
      <c r="EQ21" s="81"/>
      <c r="ER21" s="81"/>
      <c r="ES21" s="81"/>
      <c r="ET21" s="81"/>
      <c r="EU21" s="81"/>
      <c r="EV21" s="81"/>
      <c r="EW21" s="81"/>
      <c r="EX21" s="81"/>
      <c r="EY21" s="81"/>
      <c r="EZ21" s="81"/>
      <c r="FA21" s="81"/>
      <c r="FB21" s="81"/>
      <c r="FC21" s="81"/>
      <c r="FD21" s="81"/>
      <c r="FE21" s="81"/>
      <c r="FF21" s="81"/>
      <c r="FG21" s="81"/>
      <c r="FH21" s="81"/>
      <c r="FI21" s="81"/>
      <c r="FJ21" s="81"/>
      <c r="FK21" s="81"/>
      <c r="FL21" s="81"/>
      <c r="FM21" s="81"/>
      <c r="FN21" s="81"/>
      <c r="FO21" s="81"/>
      <c r="FP21" s="81"/>
      <c r="FQ21" s="81"/>
      <c r="FR21" s="81"/>
      <c r="FS21" s="81"/>
      <c r="FT21" s="81"/>
      <c r="FU21" s="81"/>
      <c r="FV21" s="81"/>
    </row>
    <row r="22" spans="1:183" x14ac:dyDescent="0.25">
      <c r="A22" s="1"/>
      <c r="B22" t="str">
        <f ca="1">""</f>
        <v/>
      </c>
      <c r="D22" s="15" t="s">
        <v>27</v>
      </c>
      <c r="E22" s="17">
        <f ca="1">SUMIF($G$18:$CK$18,E$18,$G$22:$CK$22)</f>
        <v>0.83810882999999969</v>
      </c>
      <c r="F22" s="17">
        <f ca="1">SUMIF($G$18:$CK$18,F$18,$G$22:$CK$22)</f>
        <v>-7.5243833333333343E-2</v>
      </c>
      <c r="G22" s="39">
        <f ca="1">SUMIF($B$28:$B329,$B22,G$28:G329)</f>
        <v>0.24253089999999988</v>
      </c>
      <c r="H22" s="40">
        <f ca="1">SUMIF($B$28:$B329,$B22,H$28:H329)</f>
        <v>-0.11051612999999999</v>
      </c>
      <c r="I22" s="40">
        <f ca="1">SUMIF($B$28:$B329,$B22,I$28:I329)</f>
        <v>0</v>
      </c>
      <c r="J22" s="40">
        <f ca="1">SUMIF($B$28:$B329,$B22,J$28:J329)</f>
        <v>0</v>
      </c>
      <c r="K22" s="40">
        <f ca="1">SUMIF($B$28:$B329,$B22,K$28:K329)</f>
        <v>0</v>
      </c>
      <c r="L22" s="40">
        <f ca="1">SUMIF($B$28:$B329,$B22,L$28:L329)</f>
        <v>0</v>
      </c>
      <c r="M22" s="40">
        <f ca="1">SUMIF($B$28:$B329,$B22,M$28:M329)</f>
        <v>0</v>
      </c>
      <c r="N22" s="40">
        <f ca="1">SUMIF($B$28:$B329,$B22,N$28:N329)</f>
        <v>0.35304702999999987</v>
      </c>
      <c r="O22" s="40">
        <f ca="1">SUMIF($B$28:$B329,$B22,O$28:O329)</f>
        <v>0</v>
      </c>
      <c r="P22" s="82">
        <f ca="1">SUMIF($B$28:$B329,$B22,P$28:P329)</f>
        <v>-2.4434699999999997E-3</v>
      </c>
      <c r="Q22" s="82"/>
      <c r="R22" s="82"/>
      <c r="S22" s="81"/>
      <c r="T22" s="82"/>
      <c r="U22" s="82"/>
      <c r="V22" s="82">
        <f ca="1">SUMIF($B$28:$B329,$B22,V$28:V329)</f>
        <v>-1.0919919999999998E-2</v>
      </c>
      <c r="W22" s="82"/>
      <c r="X22" s="82"/>
      <c r="Y22" s="82"/>
      <c r="Z22" s="82"/>
      <c r="AA22" s="82"/>
      <c r="AB22" s="82">
        <f ca="1">SUMIF($B$28:$B329,$B22,AB$28:AB329)</f>
        <v>0</v>
      </c>
      <c r="AC22" s="82"/>
      <c r="AD22" s="82"/>
      <c r="AE22" s="82"/>
      <c r="AF22" s="82"/>
      <c r="AG22" s="82"/>
      <c r="AH22" s="82">
        <f ca="1">SUMIF($B$28:$B329,$B22,AH$28:AH329)</f>
        <v>6.1808429999999998E-2</v>
      </c>
      <c r="AI22" s="82"/>
      <c r="AJ22" s="82"/>
      <c r="AK22" s="82"/>
      <c r="AL22" s="82"/>
      <c r="AM22" s="82"/>
      <c r="AN22" s="82">
        <f ca="1">SUMIF($B$28:$B329,$B22,AN$28:AN329)</f>
        <v>0.30460198999999988</v>
      </c>
      <c r="AO22" s="82"/>
      <c r="AP22" s="82"/>
      <c r="AQ22" s="82"/>
      <c r="AR22" s="82"/>
      <c r="AS22" s="82"/>
      <c r="AT22" s="87">
        <f ca="1">SUMIF($B$28:$B329,$B22,AT$28:AT329)</f>
        <v>0</v>
      </c>
      <c r="AU22" s="82">
        <f ca="1">SUMIF($B$28:$B329,$B22,AU$28:AU329)</f>
        <v>0</v>
      </c>
      <c r="AV22" s="82">
        <f ca="1">SUMIF($B$28:$B329,$B22,AV$28:AV329)</f>
        <v>0</v>
      </c>
      <c r="AW22" s="82">
        <f ca="1">SUMIF($B$28:$B329,$B22,AW$28:AW329)</f>
        <v>0</v>
      </c>
      <c r="AX22" s="82">
        <f ca="1">SUMIF($B$28:$B329,$B22,AX$28:AX329)</f>
        <v>0</v>
      </c>
      <c r="AY22" s="82">
        <f ca="1">SUMIF($B$28:$B329,$B22,AY$28:AY329)</f>
        <v>0</v>
      </c>
      <c r="AZ22" s="82">
        <f ca="1">SUMIF($B$28:$B329,$B22,AZ$28:AZ329)</f>
        <v>0</v>
      </c>
      <c r="BA22" s="82">
        <f ca="1">SUMIF($B$28:$B329,$B22,BA$28:BA329)</f>
        <v>0</v>
      </c>
      <c r="BB22" s="82">
        <f ca="1">SUMIF($B$28:$B329,$B22,BB$28:BB329)</f>
        <v>0</v>
      </c>
      <c r="BC22" s="82">
        <f ca="1">SUMIF($B$28:$B329,$B22,BC$28:BC329)</f>
        <v>0</v>
      </c>
      <c r="BD22" s="84">
        <f ca="1">SUMIF($B$28:$B329,$B22,BD$28:BD329)</f>
        <v>-3.624691666666667E-2</v>
      </c>
      <c r="BE22" s="82">
        <f ca="1">SUMIF($B$28:$B329,$B22,BE$28:BE329)</f>
        <v>-3.3496916666666675E-2</v>
      </c>
      <c r="BF22" s="82">
        <f ca="1">SUMIF($B$28:$B329,$B22,BF$28:BF329)</f>
        <v>0</v>
      </c>
      <c r="BG22" s="82">
        <f ca="1">SUMIF($B$28:$B329,$B22,BG$28:BG329)</f>
        <v>0</v>
      </c>
      <c r="BH22" s="82">
        <f ca="1">SUMIF($B$28:$B329,$B22,BH$28:BH329)</f>
        <v>0</v>
      </c>
      <c r="BI22" s="82">
        <f ca="1">SUMIF($B$28:$B329,$B22,BI$28:BI329)</f>
        <v>0</v>
      </c>
      <c r="BJ22" s="82">
        <f ca="1">SUMIF($B$28:$B329,$B22,BJ$28:BJ329)</f>
        <v>0</v>
      </c>
      <c r="BK22" s="82">
        <f ca="1">SUMIF($B$28:$B329,$B22,BK$28:BK329)</f>
        <v>-2.7500000000000007E-3</v>
      </c>
      <c r="BL22" s="82">
        <f ca="1">SUMIF($B$28:$B329,$B22,BL$28:BL329)</f>
        <v>0</v>
      </c>
      <c r="BM22" s="82">
        <f ca="1">SUMIF($B$28:$B329,$B22,BM$28:BM329)</f>
        <v>0</v>
      </c>
      <c r="BN22" s="82"/>
      <c r="BO22" s="82"/>
      <c r="BP22" s="81"/>
      <c r="BQ22" s="81"/>
      <c r="BR22" s="81"/>
      <c r="BS22" s="82">
        <f ca="1">SUMIF($B$28:$B329,$B22,BS$28:BS329)</f>
        <v>0</v>
      </c>
      <c r="BT22" s="82"/>
      <c r="BU22" s="82"/>
      <c r="BV22" s="81"/>
      <c r="BW22" s="81"/>
      <c r="BX22" s="81"/>
      <c r="BY22" s="82">
        <f ca="1">SUMIF($B$28:$B329,$B22,BY$28:BY329)</f>
        <v>0</v>
      </c>
      <c r="BZ22" s="82"/>
      <c r="CA22" s="82"/>
      <c r="CB22" s="81"/>
      <c r="CC22" s="81"/>
      <c r="CD22" s="81"/>
      <c r="CE22" s="82">
        <f ca="1">SUMIF($B$28:$B329,$B22,CE$28:CE329)</f>
        <v>0</v>
      </c>
      <c r="CF22" s="82"/>
      <c r="CG22" s="82"/>
      <c r="CH22" s="81"/>
      <c r="CI22" s="81"/>
      <c r="CJ22" s="81"/>
      <c r="CK22" s="82">
        <f ca="1">SUMIF($B$28:$B329,$B22,CK$28:CK329)</f>
        <v>-2.7500000000000007E-3</v>
      </c>
      <c r="CL22" s="82"/>
      <c r="CM22" s="82"/>
      <c r="CN22" s="81"/>
      <c r="CO22" s="81"/>
      <c r="CP22" s="81"/>
      <c r="CQ22" s="82">
        <f ca="1">SUMIF($B$28:$B329,$B22,CQ$28:CQ329)</f>
        <v>0</v>
      </c>
      <c r="CR22" s="82">
        <f ca="1">SUMIF($B$28:$B329,$B22,CR$28:CR329)</f>
        <v>0</v>
      </c>
      <c r="CS22" s="82">
        <f ca="1">SUMIF($B$28:$B329,$B22,CS$28:CS329)</f>
        <v>0</v>
      </c>
      <c r="CT22" s="82">
        <f ca="1">SUMIF($B$28:$B329,$B22,CT$28:CT329)</f>
        <v>0</v>
      </c>
      <c r="CU22" s="82">
        <f ca="1">SUMIF($B$28:$B329,$B22,CU$28:CU329)</f>
        <v>0</v>
      </c>
      <c r="CV22" s="82">
        <f ca="1">SUMIF($B$28:$B329,$B22,CV$28:CV329)</f>
        <v>0</v>
      </c>
      <c r="CW22" s="82">
        <f ca="1">SUMIF($B$28:$B329,$B22,CW$28:CW329)</f>
        <v>0</v>
      </c>
      <c r="CX22" s="82">
        <f ca="1">SUMIF($B$28:$B329,$B22,CX$28:CX329)</f>
        <v>0</v>
      </c>
      <c r="CY22" s="82">
        <f ca="1">SUMIF($B$28:$B329,$B22,CY$28:CY329)</f>
        <v>0</v>
      </c>
      <c r="CZ22" s="82">
        <f ca="1">SUMIF($B$28:$B329,$B22,CZ$28:CZ329)</f>
        <v>0</v>
      </c>
      <c r="DA22" s="84">
        <f t="shared" ca="1" si="37"/>
        <v>0.27877781666666657</v>
      </c>
      <c r="DB22" s="82">
        <f t="shared" ca="1" si="37"/>
        <v>-7.7019213333333308E-2</v>
      </c>
      <c r="DC22" s="82">
        <f t="shared" ca="1" si="37"/>
        <v>0</v>
      </c>
      <c r="DD22" s="82">
        <f t="shared" ca="1" si="37"/>
        <v>0</v>
      </c>
      <c r="DE22" s="82">
        <f t="shared" ca="1" si="37"/>
        <v>0</v>
      </c>
      <c r="DF22" s="82">
        <f t="shared" ca="1" si="37"/>
        <v>0</v>
      </c>
      <c r="DG22" s="82">
        <f t="shared" ca="1" si="37"/>
        <v>0</v>
      </c>
      <c r="DH22" s="82">
        <f t="shared" ca="1" si="37"/>
        <v>0.35579702999999985</v>
      </c>
      <c r="DI22" s="82">
        <f t="shared" ca="1" si="37"/>
        <v>0</v>
      </c>
      <c r="DJ22" s="82">
        <f t="shared" ca="1" si="37"/>
        <v>-2.4434699999999997E-3</v>
      </c>
      <c r="DK22" s="82"/>
      <c r="DL22" s="82"/>
      <c r="DM22" s="82"/>
      <c r="DN22" s="82"/>
      <c r="DO22" s="82"/>
      <c r="DP22" s="82">
        <f ca="1">V22-BS22</f>
        <v>-1.0919919999999998E-2</v>
      </c>
      <c r="DQ22" s="82"/>
      <c r="DR22" s="82"/>
      <c r="DS22" s="82"/>
      <c r="DT22" s="82"/>
      <c r="DU22" s="82"/>
      <c r="DV22" s="82">
        <f ca="1">AB22-BY22</f>
        <v>0</v>
      </c>
      <c r="DW22" s="82"/>
      <c r="DX22" s="82"/>
      <c r="DY22" s="82"/>
      <c r="DZ22" s="82"/>
      <c r="EA22" s="82"/>
      <c r="EB22" s="82">
        <f ca="1">AH22-CE22</f>
        <v>6.1808429999999998E-2</v>
      </c>
      <c r="EC22" s="82"/>
      <c r="ED22" s="82"/>
      <c r="EE22" s="82"/>
      <c r="EF22" s="82"/>
      <c r="EG22" s="82"/>
      <c r="EH22" s="82">
        <f ca="1">AN22-CK22</f>
        <v>0.30735198999999985</v>
      </c>
      <c r="EI22" s="82"/>
      <c r="EJ22" s="82"/>
      <c r="EK22" s="82"/>
      <c r="EL22" s="82"/>
      <c r="EM22" s="82"/>
      <c r="EN22" s="82"/>
      <c r="EO22" s="82"/>
      <c r="EP22" s="82"/>
      <c r="EQ22" s="82"/>
      <c r="ER22" s="82"/>
      <c r="ES22" s="82"/>
      <c r="ET22" s="82"/>
      <c r="EU22" s="82"/>
      <c r="EV22" s="82"/>
      <c r="EW22" s="82"/>
      <c r="EX22" s="82"/>
      <c r="EY22" s="82"/>
      <c r="EZ22" s="82"/>
      <c r="FA22" s="82"/>
      <c r="FB22" s="82"/>
      <c r="FC22" s="82"/>
      <c r="FD22" s="82"/>
      <c r="FE22" s="82"/>
      <c r="FF22" s="82"/>
      <c r="FG22" s="82"/>
      <c r="FH22" s="82"/>
      <c r="FI22" s="82"/>
      <c r="FJ22" s="82"/>
      <c r="FK22" s="82"/>
      <c r="FL22" s="82"/>
      <c r="FM22" s="82"/>
      <c r="FN22" s="82"/>
      <c r="FO22" s="82"/>
      <c r="FP22" s="82"/>
      <c r="FQ22" s="82"/>
      <c r="FR22" s="82"/>
      <c r="FS22" s="82"/>
      <c r="FT22" s="82"/>
      <c r="FU22" s="82"/>
      <c r="FV22" s="82"/>
    </row>
    <row r="23" spans="1:183" x14ac:dyDescent="0.25">
      <c r="A23" s="1"/>
      <c r="D23" s="1" t="s">
        <v>25</v>
      </c>
      <c r="E23" s="1"/>
      <c r="F23" s="1"/>
      <c r="G23" s="37">
        <f ca="1">_xll.DBRW(Server&amp;"REPORT_PL",$E$7,$E$8,$E$9,$E$10,$E$12,$D23,$E$6,G$18,G$17)</f>
        <v>449.88034349005989</v>
      </c>
      <c r="H23" s="38">
        <f ca="1">_xll.DBRW(Server&amp;"REPORT_PL",$E$7,$E$8,$E$9,$E$10,$E$12,$D23,$E$6,H$18,H$17)</f>
        <v>-282.94049958993992</v>
      </c>
      <c r="I23" s="38">
        <f ca="1">_xll.DBRW(Server&amp;"REPORT_PL",$E$7,$E$8,$E$9,$E$10,$E$12,$D23,$E$6,I$18,I$17)</f>
        <v>-1.4857448604743695E-17</v>
      </c>
      <c r="J23" s="38">
        <f ca="1">_xll.DBRW(Server&amp;"REPORT_PL",$E$7,$E$8,$E$9,$E$10,$E$12,$D23,$E$6,J$18,J$17)</f>
        <v>-9.3705099099999991</v>
      </c>
      <c r="K23" s="38">
        <f ca="1">_xll.DBRW(Server&amp;"REPORT_PL",$E$7,$E$8,$E$9,$E$10,$E$12,$D23,$E$6,K$18,K$17)</f>
        <v>4.5583269999999995E-2</v>
      </c>
      <c r="L23" s="38">
        <f ca="1">_xll.DBRW(Server&amp;"REPORT_PL",$E$7,$E$8,$E$9,$E$10,$E$12,$D23,$E$6,L$18,L$17)</f>
        <v>0</v>
      </c>
      <c r="M23" s="38">
        <f ca="1">_xll.DBRW(Server&amp;"REPORT_PL",$E$7,$E$8,$E$9,$E$10,$E$12,$D23,$E$6,M$18,M$17)</f>
        <v>0</v>
      </c>
      <c r="N23" s="38">
        <f ca="1">_xll.DBRW(Server&amp;"REPORT_PL",$E$7,$E$8,$E$9,$E$10,$E$12,$D23,$E$6,N$18,N$17)</f>
        <v>742.14576971999986</v>
      </c>
      <c r="O23" s="38">
        <f ca="1">_xll.DBRW(Server&amp;"REPORT_PL",$E$7,$E$8,$E$9,$E$10,$E$12,$D23,$E$6,O$18,O$17)</f>
        <v>5903.6019636299998</v>
      </c>
      <c r="P23" s="81">
        <f ca="1">_xll.DBRW(Server&amp;"REPORT_PL",$E$7,$E$8,$E$9,$E$10,$E$12,$D23,$E$6,P$18,P$17)</f>
        <v>-2452.8801505599995</v>
      </c>
      <c r="Q23" s="96">
        <f ca="1">_xll.DBRW(Server&amp;"REPORT_PL",$E$7,$E$8,$E$9,$E$10,$E$12,$D23,$E$6,Q$18,Q$17)</f>
        <v>0</v>
      </c>
      <c r="R23" s="81"/>
      <c r="S23" s="81"/>
      <c r="T23" s="81"/>
      <c r="U23" s="81"/>
      <c r="V23" s="81">
        <f ca="1">_xll.DBRW(Server&amp;"REPORT_PL",$E$7,$E$8,$E$9,$E$10,$E$12,$D23,$E$6,V$18,V$17)</f>
        <v>-699.91812531000005</v>
      </c>
      <c r="W23" s="81">
        <f ca="1">_xll.DBRW(Server&amp;"REPORT_PL",$E$7,$E$8,$E$9,$E$10,$E$12,$D23,$E$6,W$18,W$17)</f>
        <v>0</v>
      </c>
      <c r="X23" s="81"/>
      <c r="Y23" s="81"/>
      <c r="Z23" s="81"/>
      <c r="AA23" s="81"/>
      <c r="AB23" s="81">
        <f ca="1">_xll.DBRW(Server&amp;"REPORT_PL",$E$7,$E$8,$E$9,$E$10,$E$12,$D23,$E$6,AB$18,AB$17)</f>
        <v>-566.21943701999999</v>
      </c>
      <c r="AC23" s="81">
        <f ca="1">_xll.DBRW(Server&amp;"REPORT_PL",$E$7,$E$8,$E$9,$E$10,$E$12,$D23,$E$6,AC$18,AC$17)</f>
        <v>0</v>
      </c>
      <c r="AD23" s="81"/>
      <c r="AE23" s="81"/>
      <c r="AF23" s="81"/>
      <c r="AG23" s="81"/>
      <c r="AH23" s="81">
        <f ca="1">_xll.DBRW(Server&amp;"REPORT_PL",$E$7,$E$8,$E$9,$E$10,$E$12,$D23,$E$6,AH$18,AH$17)</f>
        <v>-436.77752629000003</v>
      </c>
      <c r="AI23" s="81">
        <f ca="1">_xll.DBRW(Server&amp;"REPORT_PL",$E$7,$E$8,$E$9,$E$10,$E$12,$D23,$E$6,AI$18,AI$17)</f>
        <v>0</v>
      </c>
      <c r="AJ23" s="81"/>
      <c r="AK23" s="81"/>
      <c r="AL23" s="81"/>
      <c r="AM23" s="81"/>
      <c r="AN23" s="81">
        <f ca="1">_xll.DBRW(Server&amp;"REPORT_PL",$E$7,$E$8,$E$9,$E$10,$E$12,$D23,$E$6,AN$18,AN$17)</f>
        <v>-1008.3124769999999</v>
      </c>
      <c r="AO23" s="81">
        <f ca="1">_xll.DBRW(Server&amp;"REPORT_PL",$E$7,$E$8,$E$9,$E$10,$E$12,$D23,$E$6,AO$18,AO$17)</f>
        <v>0</v>
      </c>
      <c r="AP23" s="81"/>
      <c r="AQ23" s="81"/>
      <c r="AR23" s="81"/>
      <c r="AS23" s="81"/>
      <c r="AT23" s="86">
        <f ca="1">_xll.DBRW(Server&amp;"REPORT_PL",$E$7,$E$8,$E$9,$E$10,$E$12,$D23,$E$6,AT$18,AT$17)</f>
        <v>0</v>
      </c>
      <c r="AU23" s="81">
        <f ca="1">_xll.DBRW(Server&amp;"REPORT_PL",$E$7,$E$8,$E$9,$E$10,$E$12,$D23,$E$6,AU$18,AU$17)</f>
        <v>0</v>
      </c>
      <c r="AV23" s="81">
        <f ca="1">_xll.DBRW(Server&amp;"REPORT_PL",$E$7,$E$8,$E$9,$E$10,$E$12,$D23,$E$6,AV$18,AV$17)</f>
        <v>0</v>
      </c>
      <c r="AW23" s="81">
        <f ca="1">_xll.DBRW(Server&amp;"REPORT_PL",$E$7,$E$8,$E$9,$E$10,$E$12,$D23,$E$6,AW$18,AW$17)</f>
        <v>0</v>
      </c>
      <c r="AX23" s="81">
        <f ca="1">_xll.DBRW(Server&amp;"REPORT_PL",$E$7,$E$8,$E$9,$E$10,$E$12,$D23,$E$6,AX$18,AX$17)</f>
        <v>0</v>
      </c>
      <c r="AY23" s="81">
        <f ca="1">_xll.DBRW(Server&amp;"REPORT_PL",$E$7,$E$8,$E$9,$E$10,$E$12,$D23,$E$6,AY$18,AY$17)</f>
        <v>0</v>
      </c>
      <c r="AZ23" s="81">
        <f ca="1">_xll.DBRW(Server&amp;"REPORT_PL",$E$7,$E$8,$E$9,$E$10,$E$12,$D23,$E$6,AZ$18,AZ$17)</f>
        <v>0</v>
      </c>
      <c r="BA23" s="81">
        <f ca="1">_xll.DBRW(Server&amp;"REPORT_PL",$E$7,$E$8,$E$9,$E$10,$E$12,$D23,$E$6,BA$18,BA$17)</f>
        <v>0</v>
      </c>
      <c r="BB23" s="81">
        <f ca="1">_xll.DBRW(Server&amp;"REPORT_PL",$E$7,$E$8,$E$9,$E$10,$E$12,$D23,$E$6,BB$18,BB$17)</f>
        <v>0</v>
      </c>
      <c r="BC23" s="81">
        <f ca="1">_xll.DBRW(Server&amp;"REPORT_PL",$E$7,$E$8,$E$9,$E$10,$E$12,$D23,$E$6,BC$18,BC$17)</f>
        <v>0</v>
      </c>
      <c r="BD23" s="83">
        <f ca="1">_xll.DBRW(Server&amp;"REPORT_PL",$E$7,$E$8,$E$9,$E$10,$E$12,$D23,$E$6,BD$18,BD$17)</f>
        <v>458.39727828869337</v>
      </c>
      <c r="BE23" s="81">
        <f ca="1">_xll.DBRW(Server&amp;"REPORT_PL",$E$7,$E$8,$E$9,$E$10,$E$12,$D23,$E$6,BE$18,BE$17)</f>
        <v>-311.32560017780793</v>
      </c>
      <c r="BF23" s="81">
        <f ca="1">_xll.DBRW(Server&amp;"REPORT_PL",$E$7,$E$8,$E$9,$E$10,$E$12,$D23,$E$6,BF$18,BF$17)</f>
        <v>-3.4795064500000006</v>
      </c>
      <c r="BG23" s="81">
        <f ca="1">_xll.DBRW(Server&amp;"REPORT_PL",$E$7,$E$8,$E$9,$E$10,$E$12,$D23,$E$6,BG$18,BG$17)</f>
        <v>-12.670703328601535</v>
      </c>
      <c r="BH23" s="81">
        <f ca="1">_xll.DBRW(Server&amp;"REPORT_PL",$E$7,$E$8,$E$9,$E$10,$E$12,$D23,$E$6,BH$18,BH$17)</f>
        <v>0</v>
      </c>
      <c r="BI23" s="81">
        <f ca="1">_xll.DBRW(Server&amp;"REPORT_PL",$E$7,$E$8,$E$9,$E$10,$E$12,$D23,$E$6,BI$18,BI$17)</f>
        <v>0</v>
      </c>
      <c r="BJ23" s="81">
        <f ca="1">_xll.DBRW(Server&amp;"REPORT_PL",$E$7,$E$8,$E$9,$E$10,$E$12,$D23,$E$6,BJ$18,BJ$17)</f>
        <v>0</v>
      </c>
      <c r="BK23" s="81">
        <f ca="1">_xll.DBRW(Server&amp;"REPORT_PL",$E$7,$E$8,$E$9,$E$10,$E$12,$D23,$E$6,BK$18,BK$17)</f>
        <v>782.39358179510293</v>
      </c>
      <c r="BL23" s="81">
        <f ca="1">_xll.DBRW(Server&amp;"REPORT_PL",$E$7,$E$8,$E$9,$E$10,$E$12,$D23,$E$6,BL$18,BL$17)</f>
        <v>6082.6880271490409</v>
      </c>
      <c r="BM23" s="81">
        <f ca="1">_xll.DBRW(Server&amp;"REPORT_PL",$E$7,$E$8,$E$9,$E$10,$E$12,$D23,$E$6,BM$18,BM$17)</f>
        <v>-2508.1856502834189</v>
      </c>
      <c r="BN23" s="96">
        <f ca="1">_xll.DBRW(Server&amp;"REPORT_PL",$E$7,$E$8,$E$9,$E$10,$E$12,$D23,$E$6,BN$18,BN$17)</f>
        <v>0</v>
      </c>
      <c r="BO23" s="81"/>
      <c r="BP23" s="81"/>
      <c r="BQ23" s="81"/>
      <c r="BR23" s="81"/>
      <c r="BS23" s="81">
        <f ca="1">_xll.DBRW(Server&amp;"REPORT_PL",$E$7,$E$8,$E$9,$E$10,$E$12,$D23,$E$6,BS$18,BS$17)</f>
        <v>-693.84828310472778</v>
      </c>
      <c r="BT23" s="96">
        <f ca="1">_xll.DBRW(Server&amp;"REPORT_PL",$E$7,$E$8,$E$9,$E$10,$E$12,$D23,$E$6,BT$18,BT$17)</f>
        <v>0</v>
      </c>
      <c r="BU23" s="81"/>
      <c r="BV23" s="81"/>
      <c r="BW23" s="81"/>
      <c r="BX23" s="81"/>
      <c r="BY23" s="81">
        <f ca="1">_xll.DBRW(Server&amp;"REPORT_PL",$E$7,$E$8,$E$9,$E$10,$E$12,$D23,$E$6,BY$18,BY$17)</f>
        <v>-570.72033802736837</v>
      </c>
      <c r="BZ23" s="96">
        <f ca="1">_xll.DBRW(Server&amp;"REPORT_PL",$E$7,$E$8,$E$9,$E$10,$E$12,$D23,$E$6,BZ$18,BZ$17)</f>
        <v>0</v>
      </c>
      <c r="CA23" s="81"/>
      <c r="CB23" s="81"/>
      <c r="CC23" s="81"/>
      <c r="CD23" s="81"/>
      <c r="CE23" s="81">
        <f ca="1">_xll.DBRW(Server&amp;"REPORT_PL",$E$7,$E$8,$E$9,$E$10,$E$12,$D23,$E$6,CE$18,CE$17)</f>
        <v>-494.82844400646172</v>
      </c>
      <c r="CF23" s="96">
        <f ca="1">_xll.DBRW(Server&amp;"REPORT_PL",$E$7,$E$8,$E$9,$E$10,$E$12,$D23,$E$6,CF$18,CF$17)</f>
        <v>0</v>
      </c>
      <c r="CG23" s="81"/>
      <c r="CH23" s="81"/>
      <c r="CI23" s="81"/>
      <c r="CJ23" s="81"/>
      <c r="CK23" s="81">
        <f ca="1">_xll.DBRW(Server&amp;"REPORT_PL",$E$7,$E$8,$E$9,$E$10,$E$12,$D23,$E$6,CK$18,CK$17)</f>
        <v>-1035.2724189519608</v>
      </c>
      <c r="CL23" s="96">
        <f ca="1">_xll.DBRW(Server&amp;"REPORT_PL",$E$7,$E$8,$E$9,$E$10,$E$12,$D23,$E$6,CL$18,CL$17)</f>
        <v>0</v>
      </c>
      <c r="CM23" s="81"/>
      <c r="CN23" s="81"/>
      <c r="CO23" s="81"/>
      <c r="CP23" s="81"/>
      <c r="CQ23" s="81">
        <f ca="1">_xll.DBRW(Server&amp;"REPORT_PL",$E$7,$E$8,$E$9,$E$10,$E$12,$D23,$E$6,CQ$18,CQ$17)</f>
        <v>0</v>
      </c>
      <c r="CR23" s="81">
        <f ca="1">_xll.DBRW(Server&amp;"REPORT_PL",$E$7,$E$8,$E$9,$E$10,$E$12,$D23,$E$6,CR$18,CR$17)</f>
        <v>0</v>
      </c>
      <c r="CS23" s="81">
        <f ca="1">_xll.DBRW(Server&amp;"REPORT_PL",$E$7,$E$8,$E$9,$E$10,$E$12,$D23,$E$6,CS$18,CS$17)</f>
        <v>0</v>
      </c>
      <c r="CT23" s="81">
        <f ca="1">_xll.DBRW(Server&amp;"REPORT_PL",$E$7,$E$8,$E$9,$E$10,$E$12,$D23,$E$6,CT$18,CT$17)</f>
        <v>0</v>
      </c>
      <c r="CU23" s="81">
        <f ca="1">_xll.DBRW(Server&amp;"REPORT_PL",$E$7,$E$8,$E$9,$E$10,$E$12,$D23,$E$6,CU$18,CU$17)</f>
        <v>0</v>
      </c>
      <c r="CV23" s="81">
        <f ca="1">_xll.DBRW(Server&amp;"REPORT_PL",$E$7,$E$8,$E$9,$E$10,$E$12,$D23,$E$6,CV$18,CV$17)</f>
        <v>0</v>
      </c>
      <c r="CW23" s="81">
        <f ca="1">_xll.DBRW(Server&amp;"REPORT_PL",$E$7,$E$8,$E$9,$E$10,$E$12,$D23,$E$6,CW$18,CW$17)</f>
        <v>0</v>
      </c>
      <c r="CX23" s="81">
        <f ca="1">_xll.DBRW(Server&amp;"REPORT_PL",$E$7,$E$8,$E$9,$E$10,$E$12,$D23,$E$6,CX$18,CX$17)</f>
        <v>0</v>
      </c>
      <c r="CY23" s="81">
        <f ca="1">_xll.DBRW(Server&amp;"REPORT_PL",$E$7,$E$8,$E$9,$E$10,$E$12,$D23,$E$6,CY$18,CY$17)</f>
        <v>0</v>
      </c>
      <c r="CZ23" s="81">
        <f ca="1">_xll.DBRW(Server&amp;"REPORT_PL",$E$7,$E$8,$E$9,$E$10,$E$12,$D23,$E$6,CZ$18,CZ$17)</f>
        <v>0</v>
      </c>
      <c r="DA23" s="83">
        <f t="shared" ca="1" si="37"/>
        <v>-8.5169347986334856</v>
      </c>
      <c r="DB23" s="81">
        <f t="shared" ca="1" si="37"/>
        <v>28.38510058786801</v>
      </c>
      <c r="DC23" s="81">
        <f t="shared" ca="1" si="37"/>
        <v>3.4795064500000006</v>
      </c>
      <c r="DD23" s="81">
        <f t="shared" ca="1" si="37"/>
        <v>3.3001934186015358</v>
      </c>
      <c r="DE23" s="81">
        <f t="shared" ca="1" si="37"/>
        <v>4.5583269999999995E-2</v>
      </c>
      <c r="DF23" s="81">
        <f t="shared" ca="1" si="37"/>
        <v>0</v>
      </c>
      <c r="DG23" s="81">
        <f t="shared" ca="1" si="37"/>
        <v>0</v>
      </c>
      <c r="DH23" s="81">
        <f t="shared" ca="1" si="37"/>
        <v>-40.24781207510307</v>
      </c>
      <c r="DI23" s="81">
        <f t="shared" ca="1" si="37"/>
        <v>-179.08606351904109</v>
      </c>
      <c r="DJ23" s="81">
        <f t="shared" ca="1" si="37"/>
        <v>55.305499723419416</v>
      </c>
      <c r="DK23" s="81">
        <f ca="1">Q23-BN23</f>
        <v>0</v>
      </c>
      <c r="DL23" s="81"/>
      <c r="DM23" s="81"/>
      <c r="DN23" s="81"/>
      <c r="DO23" s="81"/>
      <c r="DP23" s="81">
        <f ca="1">V23-BS23</f>
        <v>-6.0698422052722663</v>
      </c>
      <c r="DQ23" s="81">
        <f ca="1">T23-BQ23</f>
        <v>0</v>
      </c>
      <c r="DR23" s="81"/>
      <c r="DS23" s="81"/>
      <c r="DT23" s="81"/>
      <c r="DU23" s="81"/>
      <c r="DV23" s="81">
        <f ca="1">AB23-BY23</f>
        <v>4.5009010073683839</v>
      </c>
      <c r="DW23" s="81">
        <f ca="1">W23-BT23</f>
        <v>0</v>
      </c>
      <c r="DX23" s="81"/>
      <c r="DY23" s="81"/>
      <c r="DZ23" s="81"/>
      <c r="EA23" s="81"/>
      <c r="EB23" s="81">
        <f ca="1">AH23-CE23</f>
        <v>58.050917716461697</v>
      </c>
      <c r="EC23" s="81">
        <f ca="1">Z23-BW23</f>
        <v>0</v>
      </c>
      <c r="ED23" s="81"/>
      <c r="EE23" s="81"/>
      <c r="EF23" s="81"/>
      <c r="EG23" s="81"/>
      <c r="EH23" s="81">
        <f ca="1">AN23-CK23</f>
        <v>26.9599419519609</v>
      </c>
      <c r="EI23" s="81">
        <f ca="1">AC23-BZ23</f>
        <v>0</v>
      </c>
      <c r="EJ23" s="81"/>
      <c r="EK23" s="81"/>
      <c r="EL23" s="81"/>
      <c r="EM23" s="81"/>
      <c r="EN23" s="81"/>
      <c r="EO23" s="81"/>
      <c r="EP23" s="81"/>
      <c r="EQ23" s="81"/>
      <c r="ER23" s="81"/>
      <c r="ES23" s="81"/>
      <c r="ET23" s="81"/>
      <c r="EU23" s="81"/>
      <c r="EV23" s="81"/>
      <c r="EW23" s="81"/>
      <c r="EX23" s="81"/>
      <c r="EY23" s="81"/>
      <c r="EZ23" s="81"/>
      <c r="FA23" s="81"/>
      <c r="FB23" s="81"/>
      <c r="FC23" s="81"/>
      <c r="FD23" s="81"/>
      <c r="FE23" s="81"/>
      <c r="FF23" s="81"/>
      <c r="FG23" s="81"/>
      <c r="FH23" s="81"/>
      <c r="FI23" s="81"/>
      <c r="FJ23" s="81"/>
      <c r="FK23" s="81"/>
      <c r="FL23" s="81"/>
      <c r="FM23" s="81"/>
      <c r="FN23" s="81"/>
      <c r="FO23" s="81"/>
      <c r="FP23" s="81"/>
      <c r="FQ23" s="81"/>
      <c r="FR23" s="81"/>
      <c r="FS23" s="81"/>
      <c r="FT23" s="81"/>
      <c r="FU23" s="81"/>
      <c r="FV23" s="81"/>
    </row>
    <row r="24" spans="1:183" x14ac:dyDescent="0.25">
      <c r="A24" s="1"/>
      <c r="D24" s="1" t="str">
        <f ca="1">E11&amp;" no PMM"</f>
        <v>TRANSDEV All no PMM</v>
      </c>
      <c r="E24" s="1"/>
      <c r="F24" s="1"/>
      <c r="G24" s="37">
        <f t="shared" ref="G24:DA24" ca="1" si="52">G25-SUM(G19:G22)</f>
        <v>2988.4147811899998</v>
      </c>
      <c r="H24" s="38">
        <f t="shared" ca="1" si="52"/>
        <v>-3379.4741439199997</v>
      </c>
      <c r="I24" s="38">
        <f t="shared" ca="1" si="52"/>
        <v>1.1444679999999997E-2</v>
      </c>
      <c r="J24" s="38">
        <f t="shared" ref="J24" ca="1" si="53">J25-SUM(J19:J22)</f>
        <v>-2.0642795699999983</v>
      </c>
      <c r="K24" s="38">
        <f t="shared" ref="K24" ca="1" si="54">K25-SUM(K19:K22)</f>
        <v>-3.0649729499999996</v>
      </c>
      <c r="L24" s="38">
        <f t="shared" ref="L24" ca="1" si="55">L25-SUM(L19:L22)</f>
        <v>0</v>
      </c>
      <c r="M24" s="38">
        <f t="shared" ref="M24" ca="1" si="56">M25-SUM(M19:M22)</f>
        <v>0</v>
      </c>
      <c r="N24" s="38">
        <f t="shared" ca="1" si="52"/>
        <v>6373.0181776300005</v>
      </c>
      <c r="O24" s="38">
        <f t="shared" ca="1" si="52"/>
        <v>51524.937388309998</v>
      </c>
      <c r="P24" s="81">
        <f t="shared" ca="1" si="52"/>
        <v>-14441.773654159997</v>
      </c>
      <c r="Q24" s="96"/>
      <c r="R24" s="81"/>
      <c r="S24" s="81"/>
      <c r="T24" s="81"/>
      <c r="U24" s="81"/>
      <c r="V24" s="81">
        <f t="shared" ref="V24:AN24" ca="1" si="57">V25-SUM(V19:V22)</f>
        <v>-6287.2293008799988</v>
      </c>
      <c r="W24" s="81"/>
      <c r="X24" s="81"/>
      <c r="Y24" s="81"/>
      <c r="Z24" s="81"/>
      <c r="AA24" s="81"/>
      <c r="AB24" s="81">
        <f t="shared" ca="1" si="57"/>
        <v>-8312.3825726500017</v>
      </c>
      <c r="AC24" s="81">
        <f ca="1">IF($O19&lt;&gt;0,-AB19/$O19,0)</f>
        <v>0</v>
      </c>
      <c r="AD24" s="81"/>
      <c r="AE24" s="81"/>
      <c r="AF24" s="81"/>
      <c r="AG24" s="81"/>
      <c r="AH24" s="81">
        <f t="shared" ca="1" si="57"/>
        <v>-7330.5546262099997</v>
      </c>
      <c r="AI24" s="81"/>
      <c r="AJ24" s="81"/>
      <c r="AK24" s="81"/>
      <c r="AL24" s="81"/>
      <c r="AM24" s="81"/>
      <c r="AN24" s="81">
        <f t="shared" ca="1" si="57"/>
        <v>-8796.3569296900005</v>
      </c>
      <c r="AO24" s="81"/>
      <c r="AP24" s="81"/>
      <c r="AQ24" s="81"/>
      <c r="AR24" s="81"/>
      <c r="AS24" s="81"/>
      <c r="AT24" s="86">
        <f t="shared" ref="AT24:BC24" ca="1" si="58">AT25-SUM(AT19:AT22)</f>
        <v>-53.59918018387188</v>
      </c>
      <c r="AU24" s="81">
        <f t="shared" ca="1" si="58"/>
        <v>-640.5966401913339</v>
      </c>
      <c r="AV24" s="81">
        <f t="shared" ca="1" si="58"/>
        <v>-940.80831551528308</v>
      </c>
      <c r="AW24" s="81">
        <f t="shared" ca="1" si="58"/>
        <v>-640.5966401913339</v>
      </c>
      <c r="AX24" s="81">
        <f t="shared" ca="1" si="58"/>
        <v>-304.7548798414611</v>
      </c>
      <c r="AY24" s="81">
        <f t="shared" ca="1" si="58"/>
        <v>-632.87937624133417</v>
      </c>
      <c r="AZ24" s="81">
        <f t="shared" ca="1" si="58"/>
        <v>-340.60244923133877</v>
      </c>
      <c r="BA24" s="81">
        <f t="shared" ca="1" si="58"/>
        <v>-632.87937624133417</v>
      </c>
      <c r="BB24" s="81">
        <f t="shared" ca="1" si="58"/>
        <v>-612.93032619133407</v>
      </c>
      <c r="BC24" s="81">
        <f t="shared" ca="1" si="58"/>
        <v>-640.5966401913339</v>
      </c>
      <c r="BD24" s="83">
        <f t="shared" ca="1" si="52"/>
        <v>3644.7113872408422</v>
      </c>
      <c r="BE24" s="81">
        <f t="shared" ca="1" si="52"/>
        <v>-3395.7192273071032</v>
      </c>
      <c r="BF24" s="81">
        <f t="shared" ca="1" si="52"/>
        <v>-6.5123517500000023</v>
      </c>
      <c r="BG24" s="81">
        <f t="shared" ref="BG24" ca="1" si="59">BG25-SUM(BG19:BG22)</f>
        <v>-128.64083145999999</v>
      </c>
      <c r="BH24" s="81">
        <f t="shared" ref="BH24" ca="1" si="60">BH25-SUM(BH19:BH22)</f>
        <v>0</v>
      </c>
      <c r="BI24" s="81">
        <f t="shared" ref="BI24" ca="1" si="61">BI25-SUM(BI19:BI22)</f>
        <v>0</v>
      </c>
      <c r="BJ24" s="81">
        <f t="shared" ref="BJ24" ca="1" si="62">BJ25-SUM(BJ19:BJ22)</f>
        <v>0</v>
      </c>
      <c r="BK24" s="81">
        <f t="shared" ca="1" si="52"/>
        <v>7169.0714460079444</v>
      </c>
      <c r="BL24" s="81">
        <f t="shared" ca="1" si="52"/>
        <v>61182.963347276847</v>
      </c>
      <c r="BM24" s="81">
        <f t="shared" ca="1" si="52"/>
        <v>-17925.484817882105</v>
      </c>
      <c r="BN24" s="96"/>
      <c r="BO24" s="81"/>
      <c r="BP24" s="81"/>
      <c r="BQ24" s="81"/>
      <c r="BR24" s="81"/>
      <c r="BS24" s="81">
        <f t="shared" ref="BS24" ca="1" si="63">BS25-SUM(BS19:BS22)</f>
        <v>-7319.4571090405516</v>
      </c>
      <c r="BT24" s="96"/>
      <c r="BU24" s="81"/>
      <c r="BV24" s="81"/>
      <c r="BW24" s="81"/>
      <c r="BX24" s="81"/>
      <c r="BY24" s="81">
        <f t="shared" ref="BY24:CK24" ca="1" si="64">BY25-SUM(BY19:BY22)</f>
        <v>-9370.5313571171664</v>
      </c>
      <c r="BZ24" s="96"/>
      <c r="CA24" s="81"/>
      <c r="CB24" s="81"/>
      <c r="CC24" s="81"/>
      <c r="CD24" s="81"/>
      <c r="CE24" s="81">
        <f t="shared" ca="1" si="64"/>
        <v>-8031.6984095923035</v>
      </c>
      <c r="CF24" s="96"/>
      <c r="CG24" s="81"/>
      <c r="CH24" s="81"/>
      <c r="CI24" s="81"/>
      <c r="CJ24" s="81"/>
      <c r="CK24" s="81">
        <f t="shared" ca="1" si="64"/>
        <v>-11384.86789384676</v>
      </c>
      <c r="CL24" s="96"/>
      <c r="CM24" s="81"/>
      <c r="CN24" s="81"/>
      <c r="CO24" s="81"/>
      <c r="CP24" s="81"/>
      <c r="CQ24" s="81">
        <f t="shared" ref="CQ24:CZ24" ca="1" si="65">CQ25-SUM(CQ19:CQ22)</f>
        <v>-56.6194894558298</v>
      </c>
      <c r="CR24" s="81">
        <f t="shared" ca="1" si="65"/>
        <v>-759.22788968161603</v>
      </c>
      <c r="CS24" s="81">
        <f t="shared" ca="1" si="65"/>
        <v>-1046.7070550972464</v>
      </c>
      <c r="CT24" s="81">
        <f t="shared" ca="1" si="65"/>
        <v>-759.22788968161603</v>
      </c>
      <c r="CU24" s="81">
        <f t="shared" ca="1" si="65"/>
        <v>-344.64820588552533</v>
      </c>
      <c r="CV24" s="81">
        <f t="shared" ca="1" si="65"/>
        <v>-753.39987406161629</v>
      </c>
      <c r="CW24" s="81">
        <f t="shared" ca="1" si="65"/>
        <v>-392.31713003691863</v>
      </c>
      <c r="CX24" s="81">
        <f t="shared" ca="1" si="65"/>
        <v>-753.39987406161629</v>
      </c>
      <c r="CY24" s="81">
        <f t="shared" ca="1" si="65"/>
        <v>-737.69852737231599</v>
      </c>
      <c r="CZ24" s="81">
        <f t="shared" ca="1" si="65"/>
        <v>-759.22788968161603</v>
      </c>
      <c r="DA24" s="83">
        <f t="shared" ca="1" si="52"/>
        <v>-656.29660605084223</v>
      </c>
      <c r="DB24" s="81">
        <f ca="1">DB25-SUM(DB19:DB22)</f>
        <v>16.245083387103396</v>
      </c>
      <c r="DC24" s="81">
        <f ca="1">DC25-SUM(DC19:DC22)</f>
        <v>6.5237964300000026</v>
      </c>
      <c r="DD24" s="81">
        <f t="shared" ref="DD24:DG24" ca="1" si="66">DD25-SUM(DD19:DD22)</f>
        <v>126.57655188999999</v>
      </c>
      <c r="DE24" s="81">
        <f t="shared" ca="1" si="66"/>
        <v>-3.0649729499999996</v>
      </c>
      <c r="DF24" s="81">
        <f t="shared" ca="1" si="66"/>
        <v>0</v>
      </c>
      <c r="DG24" s="81">
        <f t="shared" ca="1" si="66"/>
        <v>0</v>
      </c>
      <c r="DH24" s="81">
        <f ca="1">DH25-SUM(DH19:DH22)</f>
        <v>-796.05326837794416</v>
      </c>
      <c r="DI24" s="81">
        <f t="shared" ref="DI24:DJ24" ca="1" si="67">DI25-SUM(DI19:DI22)</f>
        <v>-9658.0259589668494</v>
      </c>
      <c r="DJ24" s="81">
        <f t="shared" ca="1" si="67"/>
        <v>3483.7111637221083</v>
      </c>
      <c r="DK24" s="81"/>
      <c r="DL24" s="81"/>
      <c r="DM24" s="81"/>
      <c r="DN24" s="81"/>
      <c r="DO24" s="81"/>
      <c r="DP24" s="81">
        <f t="shared" ref="DP24:EH24" ca="1" si="68">DP25-SUM(DP19:DP22)</f>
        <v>1032.2278081605525</v>
      </c>
      <c r="DQ24" s="81"/>
      <c r="DR24" s="81"/>
      <c r="DS24" s="81"/>
      <c r="DT24" s="81"/>
      <c r="DU24" s="81"/>
      <c r="DV24" s="81">
        <f t="shared" ca="1" si="68"/>
        <v>1058.1487844671647</v>
      </c>
      <c r="DW24" s="81"/>
      <c r="DX24" s="81"/>
      <c r="DY24" s="81"/>
      <c r="DZ24" s="81"/>
      <c r="EA24" s="81"/>
      <c r="EB24" s="81">
        <f t="shared" ca="1" si="68"/>
        <v>701.14378338230426</v>
      </c>
      <c r="EC24" s="81"/>
      <c r="ED24" s="81"/>
      <c r="EE24" s="81"/>
      <c r="EF24" s="81"/>
      <c r="EG24" s="81"/>
      <c r="EH24" s="81">
        <f t="shared" ca="1" si="68"/>
        <v>2588.510964156761</v>
      </c>
      <c r="EI24" s="81"/>
      <c r="EJ24" s="81"/>
      <c r="EK24" s="81"/>
      <c r="EL24" s="81"/>
      <c r="EM24" s="81"/>
      <c r="EN24" s="81"/>
      <c r="EO24" s="81"/>
      <c r="EP24" s="81"/>
      <c r="EQ24" s="81"/>
      <c r="ER24" s="81"/>
      <c r="ES24" s="81"/>
      <c r="ET24" s="81"/>
      <c r="EU24" s="81"/>
      <c r="EV24" s="81"/>
      <c r="EW24" s="81"/>
      <c r="EX24" s="81"/>
      <c r="EY24" s="81"/>
      <c r="EZ24" s="81"/>
      <c r="FA24" s="81"/>
      <c r="FB24" s="81"/>
      <c r="FC24" s="81"/>
      <c r="FD24" s="81"/>
      <c r="FE24" s="81"/>
      <c r="FF24" s="81"/>
      <c r="FG24" s="81"/>
      <c r="FH24" s="81"/>
      <c r="FI24" s="81"/>
      <c r="FJ24" s="81"/>
      <c r="FK24" s="81"/>
      <c r="FL24" s="81"/>
      <c r="FM24" s="81"/>
      <c r="FN24" s="81"/>
      <c r="FO24" s="81"/>
      <c r="FP24" s="81"/>
      <c r="FQ24" s="81"/>
      <c r="FR24" s="81"/>
      <c r="FS24" s="81"/>
      <c r="FT24" s="81"/>
      <c r="FU24" s="81"/>
      <c r="FV24" s="81"/>
    </row>
    <row r="25" spans="1:183" x14ac:dyDescent="0.25">
      <c r="A25" s="1"/>
      <c r="D25" s="1" t="str">
        <f ca="1">POV_MANAG_ORGA</f>
        <v>TRANSDEV All</v>
      </c>
      <c r="E25" s="1"/>
      <c r="F25" s="1"/>
      <c r="G25" s="37">
        <f ca="1">_xll.DBRW(Server&amp;"REPORT_PL",$E$7,$E$8,$E$9,$E$10,$E$12,$D25,$E$6,G$18,G$17)</f>
        <v>3438.2951246800599</v>
      </c>
      <c r="H25" s="38">
        <f ca="1">_xll.DBRW(Server&amp;"REPORT_PL",$E$7,$E$8,$E$9,$E$10,$E$12,$D25,$E$6,H$18,H$17)</f>
        <v>-3662.4146435099397</v>
      </c>
      <c r="I25" s="38">
        <f ca="1">_xll.DBRW(Server&amp;"REPORT_PL",$E$7,$E$8,$E$9,$E$10,$E$12,$D25,$E$6,I$18,I$17)</f>
        <v>1.1444679999999985E-2</v>
      </c>
      <c r="J25" s="38">
        <f ca="1">_xll.DBRW(Server&amp;"REPORT_PL",$E$7,$E$8,$E$9,$E$10,$E$12,$D25,$E$6,J$18,J$17)</f>
        <v>-11.434789479999999</v>
      </c>
      <c r="K25" s="38">
        <f ca="1">_xll.DBRW(Server&amp;"REPORT_PL",$E$7,$E$8,$E$9,$E$10,$E$12,$D25,$E$6,K$18,K$17)</f>
        <v>-3.0193896799999997</v>
      </c>
      <c r="L25" s="38">
        <f ca="1">_xll.DBRW(Server&amp;"REPORT_PL",$E$7,$E$8,$E$9,$E$10,$E$12,$D25,$E$6,L$18,L$17)</f>
        <v>0</v>
      </c>
      <c r="M25" s="38">
        <f ca="1">_xll.DBRW(Server&amp;"REPORT_PL",$E$7,$E$8,$E$9,$E$10,$E$12,$D25,$E$6,M$18,M$17)</f>
        <v>0</v>
      </c>
      <c r="N25" s="38">
        <f ca="1">_xll.DBRW(Server&amp;"REPORT_PL",$E$7,$E$8,$E$9,$E$10,$E$12,$D25,$E$6,N$18,N$17)</f>
        <v>7115.1639473499999</v>
      </c>
      <c r="O25" s="38">
        <f ca="1">_xll.DBRW(Server&amp;"REPORT_PL",$E$7,$E$8,$E$9,$E$10,$E$12,$D25,$E$6,O$18,O$17)</f>
        <v>57428.539351939995</v>
      </c>
      <c r="P25" s="81">
        <f ca="1">_xll.DBRW(Server&amp;"REPORT_PL",$E$7,$E$8,$E$9,$E$10,$E$12,$D25,$E$6,P$18,P$17)</f>
        <v>-16894.653804719997</v>
      </c>
      <c r="Q25" s="96">
        <f ca="1">_xll.DBRW(Server&amp;"REPORT_PL",$E$7,$E$8,$E$9,$E$10,$E$12,$D25,$E$6,Q$18,Q$17)</f>
        <v>0</v>
      </c>
      <c r="R25" s="81"/>
      <c r="S25" s="81">
        <f ca="1">IF(AT25&lt;&gt;0,-P25/AT25,0)</f>
        <v>0</v>
      </c>
      <c r="T25" s="81"/>
      <c r="U25" s="81"/>
      <c r="V25" s="81">
        <f ca="1">_xll.DBRW(Server&amp;"REPORT_PL",$E$7,$E$8,$E$9,$E$10,$E$12,$D25,$E$6,V$18,V$17)</f>
        <v>-6987.1474261899994</v>
      </c>
      <c r="W25" s="81">
        <f ca="1">_xll.DBRW(Server&amp;"REPORT_PL",$E$7,$E$8,$E$9,$E$10,$E$12,$D25,$E$6,W$18,W$17)</f>
        <v>0</v>
      </c>
      <c r="X25" s="81"/>
      <c r="Y25" s="81"/>
      <c r="Z25" s="81"/>
      <c r="AA25" s="81"/>
      <c r="AB25" s="81">
        <f ca="1">_xll.DBRW(Server&amp;"REPORT_PL",$E$7,$E$8,$E$9,$E$10,$E$12,$D25,$E$6,AB$18,AB$17)</f>
        <v>-8878.6020096700013</v>
      </c>
      <c r="AC25" s="81">
        <f ca="1">_xll.DBRW(Server&amp;"REPORT_PL",$E$7,$E$8,$E$9,$E$10,$E$12,$D25,$E$6,AC$18,AC$17)</f>
        <v>0</v>
      </c>
      <c r="AD25" s="81"/>
      <c r="AE25" s="81"/>
      <c r="AF25" s="81"/>
      <c r="AG25" s="81"/>
      <c r="AH25" s="81">
        <f ca="1">_xll.DBRW(Server&amp;"REPORT_PL",$E$7,$E$8,$E$9,$E$10,$E$12,$D25,$E$6,AH$18,AH$17)</f>
        <v>-7767.3321524999992</v>
      </c>
      <c r="AI25" s="81">
        <f ca="1">_xll.DBRW(Server&amp;"REPORT_PL",$E$7,$E$8,$E$9,$E$10,$E$12,$D25,$E$6,AI$18,AI$17)</f>
        <v>0</v>
      </c>
      <c r="AJ25" s="81"/>
      <c r="AK25" s="81"/>
      <c r="AL25" s="81"/>
      <c r="AM25" s="81"/>
      <c r="AN25" s="81">
        <f ca="1">_xll.DBRW(Server&amp;"REPORT_PL",$E$7,$E$8,$E$9,$E$10,$E$12,$D25,$E$6,AN$18,AN$17)</f>
        <v>-9804.66940669</v>
      </c>
      <c r="AO25" s="81">
        <f ca="1">_xll.DBRW(Server&amp;"REPORT_PL",$E$7,$E$8,$E$9,$E$10,$E$12,$D25,$E$6,AO$18,AO$17)</f>
        <v>0</v>
      </c>
      <c r="AP25" s="81"/>
      <c r="AQ25" s="81"/>
      <c r="AR25" s="81"/>
      <c r="AS25" s="81"/>
      <c r="AT25" s="86">
        <f ca="1">_xll.DBRW(Server&amp;"REPORT_PL",$E$7,$E$8,$E$9,$E$10,$E$12,$D25,$E$6,AT$18,AT$17)</f>
        <v>0</v>
      </c>
      <c r="AU25" s="81">
        <f ca="1">_xll.DBRW(Server&amp;"REPORT_PL",$E$7,$E$8,$E$9,$E$10,$E$12,$D25,$E$6,AU$18,AU$17)</f>
        <v>0</v>
      </c>
      <c r="AV25" s="81">
        <f ca="1">_xll.DBRW(Server&amp;"REPORT_PL",$E$7,$E$8,$E$9,$E$10,$E$12,$D25,$E$6,AV$18,AV$17)</f>
        <v>0</v>
      </c>
      <c r="AW25" s="81">
        <f ca="1">_xll.DBRW(Server&amp;"REPORT_PL",$E$7,$E$8,$E$9,$E$10,$E$12,$D25,$E$6,AW$18,AW$17)</f>
        <v>0</v>
      </c>
      <c r="AX25" s="81">
        <f ca="1">_xll.DBRW(Server&amp;"REPORT_PL",$E$7,$E$8,$E$9,$E$10,$E$12,$D25,$E$6,AX$18,AX$17)</f>
        <v>0</v>
      </c>
      <c r="AY25" s="81">
        <f ca="1">_xll.DBRW(Server&amp;"REPORT_PL",$E$7,$E$8,$E$9,$E$10,$E$12,$D25,$E$6,AY$18,AY$17)</f>
        <v>0</v>
      </c>
      <c r="AZ25" s="81">
        <f ca="1">_xll.DBRW(Server&amp;"REPORT_PL",$E$7,$E$8,$E$9,$E$10,$E$12,$D25,$E$6,AZ$18,AZ$17)</f>
        <v>0</v>
      </c>
      <c r="BA25" s="81">
        <f ca="1">_xll.DBRW(Server&amp;"REPORT_PL",$E$7,$E$8,$E$9,$E$10,$E$12,$D25,$E$6,BA$18,BA$17)</f>
        <v>0</v>
      </c>
      <c r="BB25" s="81">
        <f ca="1">_xll.DBRW(Server&amp;"REPORT_PL",$E$7,$E$8,$E$9,$E$10,$E$12,$D25,$E$6,BB$18,BB$17)</f>
        <v>0</v>
      </c>
      <c r="BC25" s="81">
        <f ca="1">_xll.DBRW(Server&amp;"REPORT_PL",$E$7,$E$8,$E$9,$E$10,$E$12,$D25,$E$6,BC$18,BC$17)</f>
        <v>0</v>
      </c>
      <c r="BD25" s="83">
        <f ca="1">_xll.DBRW(Server&amp;"REPORT_PL",$E$7,$E$8,$E$9,$E$10,$E$12,$D25,$E$6,BD$18,BD$17)</f>
        <v>4103.1086655295358</v>
      </c>
      <c r="BE25" s="81">
        <f ca="1">_xll.DBRW(Server&amp;"REPORT_PL",$E$7,$E$8,$E$9,$E$10,$E$12,$D25,$E$6,BE$18,BE$17)</f>
        <v>-3707.0448274849109</v>
      </c>
      <c r="BF25" s="81">
        <f ca="1">_xll.DBRW(Server&amp;"REPORT_PL",$E$7,$E$8,$E$9,$E$10,$E$12,$D25,$E$6,BF$18,BF$17)</f>
        <v>-9.9918582000000011</v>
      </c>
      <c r="BG25" s="81">
        <f ca="1">_xll.DBRW(Server&amp;"REPORT_PL",$E$7,$E$8,$E$9,$E$10,$E$12,$D25,$E$6,BG$18,BG$17)</f>
        <v>-141.31153478860153</v>
      </c>
      <c r="BH25" s="81">
        <f ca="1">_xll.DBRW(Server&amp;"REPORT_PL",$E$7,$E$8,$E$9,$E$10,$E$12,$D25,$E$6,BH$18,BH$17)</f>
        <v>0</v>
      </c>
      <c r="BI25" s="81">
        <f ca="1">_xll.DBRW(Server&amp;"REPORT_PL",$E$7,$E$8,$E$9,$E$10,$E$12,$D25,$E$6,BI$18,BI$17)</f>
        <v>0</v>
      </c>
      <c r="BJ25" s="81">
        <f ca="1">_xll.DBRW(Server&amp;"REPORT_PL",$E$7,$E$8,$E$9,$E$10,$E$12,$D25,$E$6,BJ$18,BJ$17)</f>
        <v>0</v>
      </c>
      <c r="BK25" s="81">
        <f ca="1">_xll.DBRW(Server&amp;"REPORT_PL",$E$7,$E$8,$E$9,$E$10,$E$12,$D25,$E$6,BK$18,BK$17)</f>
        <v>7951.4650278030476</v>
      </c>
      <c r="BL25" s="81">
        <f ca="1">_xll.DBRW(Server&amp;"REPORT_PL",$E$7,$E$8,$E$9,$E$10,$E$12,$D25,$E$6,BL$18,BL$17)</f>
        <v>67265.651374425885</v>
      </c>
      <c r="BM25" s="81">
        <f ca="1">_xll.DBRW(Server&amp;"REPORT_PL",$E$7,$E$8,$E$9,$E$10,$E$12,$D25,$E$6,BM$18,BM$17)</f>
        <v>-20433.670468165521</v>
      </c>
      <c r="BN25" s="96">
        <f ca="1">_xll.DBRW(Server&amp;"REPORT_PL",$E$7,$E$8,$E$9,$E$10,$E$12,$D25,$E$6,BN$18,BN$17)</f>
        <v>0</v>
      </c>
      <c r="BO25" s="81"/>
      <c r="BP25" s="81"/>
      <c r="BQ25" s="81"/>
      <c r="BR25" s="81"/>
      <c r="BS25" s="81">
        <f ca="1">_xll.DBRW(Server&amp;"REPORT_PL",$E$7,$E$8,$E$9,$E$10,$E$12,$D25,$E$6,BS$18,BS$17)</f>
        <v>-8013.3053921452793</v>
      </c>
      <c r="BT25" s="96">
        <f ca="1">_xll.DBRW(Server&amp;"REPORT_PL",$E$7,$E$8,$E$9,$E$10,$E$12,$D25,$E$6,BT$18,BT$17)</f>
        <v>0</v>
      </c>
      <c r="BU25" s="81"/>
      <c r="BV25" s="81"/>
      <c r="BW25" s="81"/>
      <c r="BX25" s="81"/>
      <c r="BY25" s="81">
        <f ca="1">_xll.DBRW(Server&amp;"REPORT_PL",$E$7,$E$8,$E$9,$E$10,$E$12,$D25,$E$6,BY$18,BY$17)</f>
        <v>-9941.2516951445341</v>
      </c>
      <c r="BZ25" s="96">
        <f ca="1">_xll.DBRW(Server&amp;"REPORT_PL",$E$7,$E$8,$E$9,$E$10,$E$12,$D25,$E$6,BZ$18,BZ$17)</f>
        <v>0</v>
      </c>
      <c r="CA25" s="81"/>
      <c r="CB25" s="81"/>
      <c r="CC25" s="81"/>
      <c r="CD25" s="81"/>
      <c r="CE25" s="81">
        <f ca="1">_xll.DBRW(Server&amp;"REPORT_PL",$E$7,$E$8,$E$9,$E$10,$E$12,$D25,$E$6,CE$18,CE$17)</f>
        <v>-8526.5268535987652</v>
      </c>
      <c r="CF25" s="96">
        <f ca="1">_xll.DBRW(Server&amp;"REPORT_PL",$E$7,$E$8,$E$9,$E$10,$E$12,$D25,$E$6,CF$18,CF$17)</f>
        <v>0</v>
      </c>
      <c r="CG25" s="81"/>
      <c r="CH25" s="81"/>
      <c r="CI25" s="81"/>
      <c r="CJ25" s="81"/>
      <c r="CK25" s="81">
        <f ca="1">_xll.DBRW(Server&amp;"REPORT_PL",$E$7,$E$8,$E$9,$E$10,$E$12,$D25,$E$6,CK$18,CK$17)</f>
        <v>-12420.140312798721</v>
      </c>
      <c r="CL25" s="96">
        <f ca="1">_xll.DBRW(Server&amp;"REPORT_PL",$E$7,$E$8,$E$9,$E$10,$E$12,$D25,$E$6,CL$18,CL$17)</f>
        <v>0</v>
      </c>
      <c r="CM25" s="81"/>
      <c r="CN25" s="81"/>
      <c r="CO25" s="81"/>
      <c r="CP25" s="81"/>
      <c r="CQ25" s="81">
        <f ca="1">_xll.DBRW(Server&amp;"REPORT_PL",$E$7,$E$8,$E$9,$E$10,$E$12,$D25,$E$6,CQ$18,CQ$17)</f>
        <v>0</v>
      </c>
      <c r="CR25" s="81">
        <f ca="1">_xll.DBRW(Server&amp;"REPORT_PL",$E$7,$E$8,$E$9,$E$10,$E$12,$D25,$E$6,CR$18,CR$17)</f>
        <v>0</v>
      </c>
      <c r="CS25" s="81">
        <f ca="1">_xll.DBRW(Server&amp;"REPORT_PL",$E$7,$E$8,$E$9,$E$10,$E$12,$D25,$E$6,CS$18,CS$17)</f>
        <v>0</v>
      </c>
      <c r="CT25" s="81">
        <f ca="1">_xll.DBRW(Server&amp;"REPORT_PL",$E$7,$E$8,$E$9,$E$10,$E$12,$D25,$E$6,CT$18,CT$17)</f>
        <v>0</v>
      </c>
      <c r="CU25" s="81">
        <f ca="1">_xll.DBRW(Server&amp;"REPORT_PL",$E$7,$E$8,$E$9,$E$10,$E$12,$D25,$E$6,CU$18,CU$17)</f>
        <v>0</v>
      </c>
      <c r="CV25" s="81">
        <f ca="1">_xll.DBRW(Server&amp;"REPORT_PL",$E$7,$E$8,$E$9,$E$10,$E$12,$D25,$E$6,CV$18,CV$17)</f>
        <v>0</v>
      </c>
      <c r="CW25" s="81">
        <f ca="1">_xll.DBRW(Server&amp;"REPORT_PL",$E$7,$E$8,$E$9,$E$10,$E$12,$D25,$E$6,CW$18,CW$17)</f>
        <v>0</v>
      </c>
      <c r="CX25" s="81">
        <f ca="1">_xll.DBRW(Server&amp;"REPORT_PL",$E$7,$E$8,$E$9,$E$10,$E$12,$D25,$E$6,CX$18,CX$17)</f>
        <v>0</v>
      </c>
      <c r="CY25" s="81">
        <f ca="1">_xll.DBRW(Server&amp;"REPORT_PL",$E$7,$E$8,$E$9,$E$10,$E$12,$D25,$E$6,CY$18,CY$17)</f>
        <v>0</v>
      </c>
      <c r="CZ25" s="81">
        <f ca="1">_xll.DBRW(Server&amp;"REPORT_PL",$E$7,$E$8,$E$9,$E$10,$E$12,$D25,$E$6,CZ$18,CZ$17)</f>
        <v>0</v>
      </c>
      <c r="DA25" s="83">
        <f t="shared" ref="DA25:DJ25" ca="1" si="69">G25-BD25</f>
        <v>-664.81354084947588</v>
      </c>
      <c r="DB25" s="81">
        <f t="shared" ca="1" si="69"/>
        <v>44.63018397497126</v>
      </c>
      <c r="DC25" s="81">
        <f t="shared" ca="1" si="69"/>
        <v>10.003302880000001</v>
      </c>
      <c r="DD25" s="81">
        <f t="shared" ca="1" si="69"/>
        <v>129.87674530860153</v>
      </c>
      <c r="DE25" s="81">
        <f t="shared" ca="1" si="69"/>
        <v>-3.0193896799999997</v>
      </c>
      <c r="DF25" s="81">
        <f t="shared" ca="1" si="69"/>
        <v>0</v>
      </c>
      <c r="DG25" s="81">
        <f t="shared" ca="1" si="69"/>
        <v>0</v>
      </c>
      <c r="DH25" s="81">
        <f t="shared" ca="1" si="69"/>
        <v>-836.30108045304769</v>
      </c>
      <c r="DI25" s="81">
        <f t="shared" ca="1" si="69"/>
        <v>-9837.1120224858896</v>
      </c>
      <c r="DJ25" s="81">
        <f t="shared" ca="1" si="69"/>
        <v>3539.0166634455236</v>
      </c>
      <c r="DK25" s="81">
        <f ca="1">-(Q25-BN25)*100</f>
        <v>0</v>
      </c>
      <c r="DL25" s="81"/>
      <c r="DM25" s="81"/>
      <c r="DN25" s="81"/>
      <c r="DO25" s="81"/>
      <c r="DP25" s="81">
        <f ca="1">V25-BS25</f>
        <v>1026.1579659552799</v>
      </c>
      <c r="DQ25" s="81">
        <f ca="1">-(W25-BT25)*100</f>
        <v>0</v>
      </c>
      <c r="DR25" s="81"/>
      <c r="DS25" s="81"/>
      <c r="DT25" s="81"/>
      <c r="DU25" s="81"/>
      <c r="DV25" s="81">
        <f ca="1">AB25-BY25</f>
        <v>1062.6496854745328</v>
      </c>
      <c r="DW25" s="81">
        <f ca="1">-(AC25-BZ25)*100</f>
        <v>0</v>
      </c>
      <c r="DX25" s="81"/>
      <c r="DY25" s="81"/>
      <c r="DZ25" s="81"/>
      <c r="EA25" s="81"/>
      <c r="EB25" s="81">
        <f ca="1">AH25-CE25</f>
        <v>759.19470109876602</v>
      </c>
      <c r="EC25" s="81">
        <f ca="1">-(AI25-CF25)*100</f>
        <v>0</v>
      </c>
      <c r="ED25" s="81"/>
      <c r="EE25" s="81"/>
      <c r="EF25" s="81"/>
      <c r="EG25" s="81"/>
      <c r="EH25" s="81">
        <f ca="1">AN25-CK25</f>
        <v>2615.4709061087215</v>
      </c>
      <c r="EI25" s="81">
        <f ca="1">-(AO25-CL25)*100</f>
        <v>0</v>
      </c>
      <c r="EJ25" s="81"/>
      <c r="EK25" s="81"/>
      <c r="EL25" s="81"/>
      <c r="EM25" s="81"/>
      <c r="EN25" s="81"/>
      <c r="EO25" s="81"/>
      <c r="EP25" s="81"/>
      <c r="EQ25" s="81"/>
      <c r="ER25" s="81"/>
      <c r="ES25" s="81"/>
      <c r="ET25" s="81"/>
      <c r="EU25" s="81"/>
      <c r="EV25" s="81"/>
      <c r="EW25" s="81"/>
      <c r="EX25" s="81"/>
      <c r="EY25" s="81"/>
      <c r="EZ25" s="81"/>
      <c r="FA25" s="81"/>
      <c r="FB25" s="81"/>
      <c r="FC25" s="81"/>
      <c r="FD25" s="81"/>
      <c r="FE25" s="81"/>
      <c r="FF25" s="81"/>
      <c r="FG25" s="81"/>
      <c r="FH25" s="81"/>
      <c r="FI25" s="81"/>
      <c r="FJ25" s="81"/>
      <c r="FK25" s="81"/>
      <c r="FL25" s="81"/>
      <c r="FM25" s="81"/>
      <c r="FN25" s="81"/>
      <c r="FO25" s="81"/>
      <c r="FP25" s="81"/>
      <c r="FQ25" s="81"/>
      <c r="FR25" s="81"/>
      <c r="FS25" s="81"/>
      <c r="FT25" s="81"/>
      <c r="FU25" s="81"/>
      <c r="FV25" s="81"/>
    </row>
    <row r="26" spans="1:183" ht="15.75" thickBot="1" x14ac:dyDescent="0.3">
      <c r="G26" s="41"/>
      <c r="H26" s="42"/>
      <c r="I26" s="42"/>
      <c r="J26" s="42"/>
      <c r="K26" s="42"/>
      <c r="L26" s="42"/>
      <c r="M26" s="42"/>
      <c r="N26" s="42"/>
      <c r="O26" s="42"/>
      <c r="P26" s="78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1"/>
      <c r="BE26" s="42"/>
      <c r="BF26" s="42"/>
      <c r="BG26" s="42"/>
      <c r="BH26" s="42"/>
      <c r="BI26" s="42"/>
      <c r="BJ26" s="42"/>
      <c r="BK26" s="49"/>
      <c r="BL26" s="49"/>
      <c r="BM26" s="49"/>
      <c r="BN26" s="49"/>
      <c r="BO26" s="49"/>
      <c r="BP26" s="49"/>
      <c r="BQ26" s="49"/>
      <c r="BR26" s="49"/>
      <c r="BS26" s="49"/>
      <c r="BT26" s="49"/>
      <c r="BU26" s="49"/>
      <c r="BV26" s="49"/>
      <c r="BW26" s="49"/>
      <c r="BX26" s="49"/>
      <c r="BY26" s="49"/>
      <c r="BZ26" s="49"/>
      <c r="CA26" s="49"/>
      <c r="CB26" s="49"/>
      <c r="CC26" s="49"/>
      <c r="CD26" s="49"/>
      <c r="CE26" s="49"/>
      <c r="CF26" s="49"/>
      <c r="CG26" s="49"/>
      <c r="CH26" s="49"/>
      <c r="CI26" s="49"/>
      <c r="CJ26" s="49"/>
      <c r="CK26" s="49"/>
      <c r="CL26" s="49"/>
      <c r="CM26" s="49"/>
      <c r="CN26" s="49"/>
      <c r="CO26" s="49"/>
      <c r="CP26" s="49"/>
      <c r="CQ26" s="49"/>
      <c r="CR26" s="49"/>
      <c r="CS26" s="49"/>
      <c r="CT26" s="49"/>
      <c r="CU26" s="49"/>
      <c r="CV26" s="49"/>
      <c r="CW26" s="49"/>
      <c r="CX26" s="49"/>
      <c r="CY26" s="49"/>
      <c r="CZ26" s="49"/>
      <c r="DA26" s="41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</row>
    <row r="27" spans="1:183" x14ac:dyDescent="0.25">
      <c r="B27" t="s">
        <v>13</v>
      </c>
      <c r="D27" s="1" t="s">
        <v>24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79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92"/>
      <c r="EJ27" s="92"/>
      <c r="EK27" s="92"/>
      <c r="EL27" s="92"/>
      <c r="EM27" s="92"/>
      <c r="EN27" s="92"/>
      <c r="EO27" s="92"/>
      <c r="EP27" s="92"/>
      <c r="EQ27" s="92"/>
      <c r="ER27" s="92"/>
      <c r="ES27" s="92"/>
      <c r="ET27" s="92"/>
      <c r="EU27" s="92"/>
      <c r="EV27" s="92"/>
      <c r="EW27" s="92"/>
      <c r="EX27" s="92"/>
      <c r="EY27" s="92"/>
      <c r="EZ27" s="92"/>
      <c r="FA27" s="92"/>
      <c r="FB27" s="92"/>
      <c r="FC27" s="92"/>
      <c r="FD27" s="92"/>
      <c r="FE27" s="92"/>
      <c r="FF27" s="92"/>
      <c r="FG27" s="92"/>
      <c r="FH27" s="92"/>
      <c r="FI27" s="92"/>
      <c r="FJ27" s="92"/>
      <c r="FK27" s="92"/>
      <c r="FL27" s="92"/>
      <c r="FM27" s="92"/>
      <c r="FN27" s="92"/>
      <c r="FO27" s="92"/>
      <c r="FP27" s="92"/>
      <c r="FQ27" s="92"/>
      <c r="FR27" s="92"/>
      <c r="FS27" s="92"/>
      <c r="FT27" s="92"/>
      <c r="FU27" s="92"/>
      <c r="FV27" s="92"/>
    </row>
    <row r="28" spans="1:183" x14ac:dyDescent="0.25">
      <c r="A28" t="str">
        <f ca="1">IF(_xll.TM1RPTELISCONSOLIDATED($D$28,$D28),IF(_xll.TM1RPTELLEV($D$28,$D28)&lt;=3,_xll.TM1RPTELLEV($D$28,$D28),"D"),"N")</f>
        <v>N</v>
      </c>
      <c r="B28" t="str">
        <f ca="1">_xll.DBRA(Server&amp;"Management_organization",$D28,$B$27)</f>
        <v>L</v>
      </c>
      <c r="C28">
        <v>1</v>
      </c>
      <c r="D28" s="2" t="str">
        <f ca="1">_xll.TM1RPTROW($D$4,Server&amp;"Management_Organization","","","",0,"{"&amp;MDX_PART1&amp;","&amp;MDX_PART2&amp;","&amp;MDX_PART3&amp;","&amp;MDX_PART4&amp;" }")</f>
        <v>FR_55610</v>
      </c>
      <c r="E28" s="26"/>
      <c r="F28" s="26"/>
      <c r="G28" s="16">
        <f ca="1">_xll.DBRW($D$4,$E$7,$E$8,$E$9,$E$10,$E$12,$D28,$E$6,G$18,G$17)</f>
        <v>2.3563728900000012</v>
      </c>
      <c r="H28" s="16">
        <f ca="1">_xll.DBRW($D$4,$E$7,$E$8,$E$9,$E$10,$E$12,$D28,$E$6,H$18,H$17)</f>
        <v>-0.57946151999999995</v>
      </c>
      <c r="I28" s="16">
        <f ca="1">_xll.DBRW($D$4,$E$7,$E$8,$E$9,$E$10,$E$12,$D28,$E$6,I$18,I$17)</f>
        <v>0</v>
      </c>
      <c r="J28" s="26">
        <f ca="1">_xll.DBRW($D$4,$E$7,$E$8,$E$9,$E$10,$E$12,$D28,$E$6,J$18,J$17)</f>
        <v>-0.23735251000000002</v>
      </c>
      <c r="K28" s="26">
        <f ca="1">_xll.DBRW($D$4,$E$7,$E$8,$E$9,$E$10,$E$12,$D28,$E$6,K$18,K$17)</f>
        <v>0</v>
      </c>
      <c r="L28" s="26">
        <f ca="1">_xll.DBRW($D$4,$E$7,$E$8,$E$9,$E$10,$E$12,$D28,$E$6,L$18,L$17)</f>
        <v>0</v>
      </c>
      <c r="M28" s="26">
        <f ca="1">_xll.DBRW($D$4,$E$7,$E$8,$E$9,$E$10,$E$12,$D28,$E$6,M$18,M$17)</f>
        <v>0</v>
      </c>
      <c r="N28" s="16">
        <f ca="1">_xll.DBRW($D$4,$E$7,$E$8,$E$9,$E$10,$E$12,$D28,$E$6,N$18,N$17)</f>
        <v>3.1731869200000009</v>
      </c>
      <c r="O28" s="16">
        <f ca="1">_xll.DBRW($D$4,$E$7,$E$8,$E$9,$E$10,$E$12,$D28,$E$6,O$18,O$17)</f>
        <v>12.346533619999997</v>
      </c>
      <c r="P28" s="74">
        <f ca="1">_xll.DBRW($D$4,$E$7,$E$8,$E$9,$E$10,$E$12,$D28,$E$6,P$18,P$17)</f>
        <v>-4.9210254600000001</v>
      </c>
      <c r="Q28" s="16">
        <f ca="1">_xll.DBRW($D$4,$E$7,$E$8,$E$9,$E$10,$E$12,$D28,$E$6,Q$18,Q$17)</f>
        <v>0.39857547158244416</v>
      </c>
      <c r="R28" s="16"/>
      <c r="S28" s="16"/>
      <c r="T28" s="16"/>
      <c r="U28" s="16"/>
      <c r="V28" s="16">
        <f ca="1">_xll.DBRW($D$4,$E$7,$E$8,$E$9,$E$10,$E$12,$D28,$E$6,V$18,V$17)</f>
        <v>-0.85814691999999992</v>
      </c>
      <c r="W28" s="16">
        <f ca="1">_xll.DBRW($D$4,$E$7,$E$8,$E$9,$E$10,$E$12,$D28,$E$6,W$18,W$17)</f>
        <v>6.9505089153922395E-2</v>
      </c>
      <c r="X28" s="16"/>
      <c r="Y28" s="16"/>
      <c r="Z28" s="16"/>
      <c r="AA28" s="16"/>
      <c r="AB28" s="16">
        <f ca="1">_xll.DBRW($D$4,$E$7,$E$8,$E$9,$E$10,$E$12,$D28,$E$6,AB$18,AB$17)</f>
        <v>-1.1172920799999999</v>
      </c>
      <c r="AC28" s="16">
        <f ca="1">_xll.DBRW($D$4,$E$7,$E$8,$E$9,$E$10,$E$12,$D28,$E$6,AC$18,AC$17)</f>
        <v>9.0494394166643843E-2</v>
      </c>
      <c r="AD28" s="16"/>
      <c r="AE28" s="16"/>
      <c r="AF28" s="16"/>
      <c r="AG28" s="16"/>
      <c r="AH28" s="16">
        <f ca="1">_xll.DBRW($D$4,$E$7,$E$8,$E$9,$E$10,$E$12,$D28,$E$6,AH$18,AH$17)</f>
        <v>-0.67060735000000005</v>
      </c>
      <c r="AI28" s="16">
        <f ca="1">_xll.DBRW($D$4,$E$7,$E$8,$E$9,$E$10,$E$12,$D28,$E$6,AI$18,AI$17)</f>
        <v>5.4315435460661726E-2</v>
      </c>
      <c r="AJ28" s="16"/>
      <c r="AK28" s="16"/>
      <c r="AL28" s="16"/>
      <c r="AM28" s="16"/>
      <c r="AN28" s="16">
        <f ca="1">_xll.DBRW($D$4,$E$7,$E$8,$E$9,$E$10,$E$12,$D28,$E$6,AN$18,AN$17)</f>
        <v>-1.6062748899999999</v>
      </c>
      <c r="AO28" s="16">
        <f ca="1">_xll.DBRW($D$4,$E$7,$E$8,$E$9,$E$10,$E$12,$D28,$E$6,AO$18,AO$17)</f>
        <v>0.13009926020028934</v>
      </c>
      <c r="AP28" s="16"/>
      <c r="AQ28" s="16"/>
      <c r="AR28" s="16"/>
      <c r="AS28" s="16"/>
      <c r="AT28" s="16">
        <f ca="1">_xll.DBRW($D$4,$E$7,$E$8,$E$9,$E$10,$E$12,$D28,$E$6,AT$18,AT$17)</f>
        <v>0.16077769999999994</v>
      </c>
      <c r="AU28" s="16">
        <f ca="1">_xll.DBRW($D$4,$E$7,$E$8,$E$9,$E$10,$E$12,$D28,$E$6,AU$18,AU$17)</f>
        <v>3.5360499999999995</v>
      </c>
      <c r="AV28" s="16">
        <f ca="1">_xll.DBRW($D$4,$E$7,$E$8,$E$9,$E$10,$E$12,$D28,$E$6,AV$18,AV$17)</f>
        <v>3.5360499999999995</v>
      </c>
      <c r="AW28" s="16">
        <f ca="1">_xll.DBRW($D$4,$E$7,$E$8,$E$9,$E$10,$E$12,$D28,$E$6,AW$18,AW$17)</f>
        <v>3.5360499999999995</v>
      </c>
      <c r="AX28" s="16">
        <f ca="1">_xll.DBRW($D$4,$E$7,$E$8,$E$9,$E$10,$E$12,$D28,$E$6,AX$18,AX$17)</f>
        <v>1.14809911</v>
      </c>
      <c r="AY28" s="16">
        <f ca="1">_xll.DBRW($D$4,$E$7,$E$8,$E$9,$E$10,$E$12,$D28,$E$6,AY$18,AY$17)</f>
        <v>3.5360499999999995</v>
      </c>
      <c r="AZ28" s="16">
        <f ca="1">_xll.DBRW($D$4,$E$7,$E$8,$E$9,$E$10,$E$12,$D28,$E$6,AZ$18,AZ$17)</f>
        <v>2.4187240000000001</v>
      </c>
      <c r="BA28" s="16">
        <f ca="1">_xll.DBRW($D$4,$E$7,$E$8,$E$9,$E$10,$E$12,$D28,$E$6,BA$18,BA$17)</f>
        <v>3.5360499999999995</v>
      </c>
      <c r="BB28" s="16">
        <f ca="1">_xll.DBRW($D$4,$E$7,$E$8,$E$9,$E$10,$E$12,$D28,$E$6,BB$18,BB$17)</f>
        <v>3.5360499999999995</v>
      </c>
      <c r="BC28" s="16">
        <f ca="1">_xll.DBRW($D$4,$E$7,$E$8,$E$9,$E$10,$E$12,$D28,$E$6,BC$18,BC$17)</f>
        <v>3.5360499999999995</v>
      </c>
      <c r="BD28" s="16">
        <f ca="1">_xll.DBRW($D$4,$E$7,$E$8,$E$9,$E$10,$E$12,$D28,$E$6,BD$18,BD$17)</f>
        <v>-0.12868047081114251</v>
      </c>
      <c r="BE28" s="16">
        <f ca="1">_xll.DBRW($D$4,$E$7,$E$8,$E$9,$E$10,$E$12,$D28,$E$6,BE$18,BE$17)</f>
        <v>-0.9291629933333333</v>
      </c>
      <c r="BF28" s="16">
        <f ca="1">_xll.DBRW($D$4,$E$7,$E$8,$E$9,$E$10,$E$12,$D28,$E$6,BF$18,BF$17)</f>
        <v>0</v>
      </c>
      <c r="BG28" s="26">
        <f ca="1">_xll.DBRW($D$4,$E$7,$E$8,$E$9,$E$10,$E$12,$D28,$E$6,BG$18,BG$17)</f>
        <v>-0.22845905999999999</v>
      </c>
      <c r="BH28" s="26">
        <f ca="1">_xll.DBRW($D$4,$E$7,$E$8,$E$9,$E$10,$E$12,$D28,$E$6,BH$18,BH$17)</f>
        <v>0</v>
      </c>
      <c r="BI28" s="26">
        <f ca="1">_xll.DBRW($D$4,$E$7,$E$8,$E$9,$E$10,$E$12,$D28,$E$6,BI$18,BI$17)</f>
        <v>0</v>
      </c>
      <c r="BJ28" s="26">
        <f ca="1">_xll.DBRW($D$4,$E$7,$E$8,$E$9,$E$10,$E$12,$D28,$E$6,BJ$18,BJ$17)</f>
        <v>0</v>
      </c>
      <c r="BK28" s="16">
        <f ca="1">_xll.DBRW($D$4,$E$7,$E$8,$E$9,$E$10,$E$12,$D28,$E$6,BK$18,BK$17)</f>
        <v>1.0289415825221908</v>
      </c>
      <c r="BL28" s="16">
        <f ca="1">_xll.DBRW($D$4,$E$7,$E$8,$E$9,$E$10,$E$12,$D28,$E$6,BL$18,BL$17)</f>
        <v>11.52729909092923</v>
      </c>
      <c r="BM28" s="16">
        <f ca="1">_xll.DBRW($D$4,$E$7,$E$8,$E$9,$E$10,$E$12,$D28,$E$6,BM$18,BM$17)</f>
        <v>-5.697237760000001</v>
      </c>
      <c r="BN28" s="16">
        <f ca="1">_xll.DBRW($D$4,$E$7,$E$8,$E$9,$E$10,$E$12,$D28,$E$6,BN$18,BN$17)</f>
        <v>0.49423873841211657</v>
      </c>
      <c r="BO28" s="16"/>
      <c r="BP28" s="16"/>
      <c r="BQ28" s="16"/>
      <c r="BR28" s="16"/>
      <c r="BS28" s="16">
        <f ca="1">_xll.DBRW($D$4,$E$7,$E$8,$E$9,$E$10,$E$12,$D28,$E$6,BS$18,BS$17)</f>
        <v>-1.1508517599999999</v>
      </c>
      <c r="BT28" s="16">
        <f ca="1">_xll.DBRW($D$4,$E$7,$E$8,$E$9,$E$10,$E$12,$D28,$E$6,BT$18,BT$17)</f>
        <v>9.9837069457632016E-2</v>
      </c>
      <c r="BU28" s="16"/>
      <c r="BV28" s="16"/>
      <c r="BW28" s="16"/>
      <c r="BX28" s="16"/>
      <c r="BY28" s="16">
        <f ca="1">_xll.DBRW($D$4,$E$7,$E$8,$E$9,$E$10,$E$12,$D28,$E$6,BY$18,BY$17)</f>
        <v>-1.1394622484070398</v>
      </c>
      <c r="BZ28" s="16">
        <f ca="1">_xll.DBRW($D$4,$E$7,$E$8,$E$9,$E$10,$E$12,$D28,$E$6,BZ$18,BZ$17)</f>
        <v>9.8849022604408393E-2</v>
      </c>
      <c r="CA28" s="16"/>
      <c r="CB28" s="16"/>
      <c r="CC28" s="16"/>
      <c r="CD28" s="16"/>
      <c r="CE28" s="16">
        <f ca="1">_xll.DBRW($D$4,$E$7,$E$8,$E$9,$E$10,$E$12,$D28,$E$6,CE$18,CE$17)</f>
        <v>-0.77917339999999979</v>
      </c>
      <c r="CF28" s="16">
        <f ca="1">_xll.DBRW($D$4,$E$7,$E$8,$E$9,$E$10,$E$12,$D28,$E$6,CF$18,CF$17)</f>
        <v>6.7593752348555539E-2</v>
      </c>
      <c r="CG28" s="16"/>
      <c r="CH28" s="16"/>
      <c r="CI28" s="16"/>
      <c r="CJ28" s="16"/>
      <c r="CK28" s="16">
        <f ca="1">_xll.DBRW($D$4,$E$7,$E$8,$E$9,$E$10,$E$12,$D28,$E$6,CK$18,CK$17)</f>
        <v>-1.7316323400000004</v>
      </c>
      <c r="CL28" s="16">
        <f ca="1">_xll.DBRW($D$4,$E$7,$E$8,$E$9,$E$10,$E$12,$D28,$E$6,CL$18,CL$17)</f>
        <v>0.15022012757200104</v>
      </c>
      <c r="CM28" s="16"/>
      <c r="CN28" s="16"/>
      <c r="CO28" s="16"/>
      <c r="CP28" s="16"/>
      <c r="CQ28" s="16">
        <f ca="1">_xll.DBRW($D$4,$E$7,$E$8,$E$9,$E$10,$E$12,$D28,$E$6,CQ$18,CQ$17)</f>
        <v>0.17993800000000004</v>
      </c>
      <c r="CR28" s="16">
        <f ca="1">_xll.DBRW($D$4,$E$7,$E$8,$E$9,$E$10,$E$12,$D28,$E$6,CR$18,CR$17)</f>
        <v>4.1630779999999996</v>
      </c>
      <c r="CS28" s="16">
        <f ca="1">_xll.DBRW($D$4,$E$7,$E$8,$E$9,$E$10,$E$12,$D28,$E$6,CS$18,CS$17)</f>
        <v>4.1630779999999996</v>
      </c>
      <c r="CT28" s="16">
        <f ca="1">_xll.DBRW($D$4,$E$7,$E$8,$E$9,$E$10,$E$12,$D28,$E$6,CT$18,CT$17)</f>
        <v>4.1630779999999996</v>
      </c>
      <c r="CU28" s="16">
        <f ca="1">_xll.DBRW($D$4,$E$7,$E$8,$E$9,$E$10,$E$12,$D28,$E$6,CU$18,CU$17)</f>
        <v>1.3712693944000001</v>
      </c>
      <c r="CV28" s="16">
        <f ca="1">_xll.DBRW($D$4,$E$7,$E$8,$E$9,$E$10,$E$12,$D28,$E$6,CV$18,CV$17)</f>
        <v>4.1630779999999996</v>
      </c>
      <c r="CW28" s="16">
        <f ca="1">_xll.DBRW($D$4,$E$7,$E$8,$E$9,$E$10,$E$12,$D28,$E$6,CW$18,CW$17)</f>
        <v>2.7444160000000002</v>
      </c>
      <c r="CX28" s="16">
        <f ca="1">_xll.DBRW($D$4,$E$7,$E$8,$E$9,$E$10,$E$12,$D28,$E$6,CX$18,CX$17)</f>
        <v>4.1630779999999996</v>
      </c>
      <c r="CY28" s="16">
        <f ca="1">_xll.DBRW($D$4,$E$7,$E$8,$E$9,$E$10,$E$12,$D28,$E$6,CY$18,CY$17)</f>
        <v>4.1630779999999996</v>
      </c>
      <c r="CZ28" s="16">
        <f ca="1">_xll.DBRW($D$4,$E$7,$E$8,$E$9,$E$10,$E$12,$D28,$E$6,CZ$18,CZ$17)</f>
        <v>4.1630779999999996</v>
      </c>
      <c r="DA28" s="26">
        <f t="shared" ref="DA28" ca="1" si="70">G28-BD28</f>
        <v>2.4850533608111438</v>
      </c>
      <c r="DB28" s="26">
        <f t="shared" ref="DB28" ca="1" si="71">H28-BE28</f>
        <v>0.34970147333333335</v>
      </c>
      <c r="DC28" s="26">
        <f t="shared" ref="DC28" ca="1" si="72">I28-BF28</f>
        <v>0</v>
      </c>
      <c r="DD28" s="26">
        <f t="shared" ref="DD28" ca="1" si="73">J28-BG28</f>
        <v>-8.8934500000000249E-3</v>
      </c>
      <c r="DE28" s="26">
        <f t="shared" ref="DE28" ca="1" si="74">K28-BH28</f>
        <v>0</v>
      </c>
      <c r="DF28" s="26">
        <f t="shared" ref="DF28" ca="1" si="75">L28-BI28</f>
        <v>0</v>
      </c>
      <c r="DG28" s="26">
        <f t="shared" ref="DG28" ca="1" si="76">M28-BJ28</f>
        <v>0</v>
      </c>
      <c r="DH28" s="26">
        <f t="shared" ref="DH28" ca="1" si="77">N28-BK28</f>
        <v>2.1442453374778099</v>
      </c>
      <c r="DI28" s="26">
        <f t="shared" ref="DI28" ca="1" si="78">O28-BL28</f>
        <v>0.81923452907076744</v>
      </c>
      <c r="DJ28" s="26">
        <f t="shared" ref="DJ28" ca="1" si="79">P28-BM28</f>
        <v>0.77621230000000097</v>
      </c>
      <c r="DK28" s="26">
        <f t="shared" ref="DK28" ca="1" si="80">Q28-BN28</f>
        <v>-9.5663266829672411E-2</v>
      </c>
      <c r="DL28" s="26"/>
      <c r="DM28" s="26"/>
      <c r="DN28" s="26"/>
      <c r="DO28" s="26"/>
      <c r="DP28" s="26">
        <f t="shared" ref="DP28" ca="1" si="81">V28-BS28</f>
        <v>0.29270483999999997</v>
      </c>
      <c r="DQ28" s="26">
        <f t="shared" ref="DQ28" ca="1" si="82">W28-BT28</f>
        <v>-3.0331980303709621E-2</v>
      </c>
      <c r="DR28" s="26"/>
      <c r="DS28" s="26"/>
      <c r="DT28" s="26"/>
      <c r="DU28" s="26"/>
      <c r="DV28" s="26">
        <f t="shared" ref="DV28" ca="1" si="83">AB28-BY28</f>
        <v>2.2170168407039892E-2</v>
      </c>
      <c r="DW28" s="26">
        <f t="shared" ref="DW28" ca="1" si="84">AC28-BZ28</f>
        <v>-8.3546284377645497E-3</v>
      </c>
      <c r="DX28" s="26"/>
      <c r="DY28" s="26"/>
      <c r="DZ28" s="26"/>
      <c r="EA28" s="26"/>
      <c r="EB28" s="26">
        <f t="shared" ref="EB28" ca="1" si="85">AH28-CE28</f>
        <v>0.10856604999999975</v>
      </c>
      <c r="EC28" s="26">
        <f t="shared" ref="EC28" ca="1" si="86">AI28-CF28</f>
        <v>-1.3278316887893812E-2</v>
      </c>
      <c r="ED28" s="26"/>
      <c r="EE28" s="26"/>
      <c r="EF28" s="26"/>
      <c r="EG28" s="26"/>
      <c r="EH28" s="26">
        <f t="shared" ref="EH28" ca="1" si="87">AN28-CK28</f>
        <v>0.12535745000000054</v>
      </c>
      <c r="EI28" s="29">
        <f t="shared" ref="EI28" ca="1" si="88">AO28-CL28</f>
        <v>-2.0120867371711704E-2</v>
      </c>
      <c r="EJ28" s="29"/>
      <c r="EK28" s="29"/>
      <c r="EL28" s="29"/>
      <c r="EM28" s="29"/>
      <c r="EN28" s="93"/>
      <c r="EO28" s="29"/>
      <c r="EP28" s="29"/>
      <c r="EQ28" s="29"/>
      <c r="ER28" s="29"/>
      <c r="ES28" s="29"/>
      <c r="ET28" s="29"/>
      <c r="EU28" s="93"/>
      <c r="EV28" s="29"/>
      <c r="EW28" s="29"/>
      <c r="EX28" s="29"/>
      <c r="EY28" s="29"/>
      <c r="EZ28" s="29"/>
      <c r="FA28" s="29"/>
      <c r="FB28" s="93"/>
      <c r="FC28" s="29"/>
      <c r="FD28" s="29"/>
      <c r="FE28" s="29"/>
      <c r="FF28" s="29"/>
      <c r="FG28" s="29"/>
      <c r="FH28" s="29"/>
      <c r="FI28" s="93"/>
      <c r="FJ28" s="29"/>
      <c r="FK28" s="29"/>
      <c r="FL28" s="29"/>
      <c r="FM28" s="29"/>
      <c r="FN28" s="29"/>
      <c r="FO28" s="29"/>
      <c r="FP28" s="93"/>
      <c r="FQ28" s="29"/>
      <c r="FR28" s="29"/>
      <c r="FS28" s="29"/>
      <c r="FT28" s="29"/>
      <c r="FU28" s="29"/>
      <c r="FV28" s="29"/>
    </row>
    <row r="29" spans="1:183" x14ac:dyDescent="0.25">
      <c r="A29" t="str">
        <f ca="1">IF(_xll.TM1RPTELISCONSOLIDATED($D$28,$D29),IF(_xll.TM1RPTELLEV($D$28,$D29)&lt;=3,_xll.TM1RPTELLEV($D$28,$D29),"D"),"N")</f>
        <v>N</v>
      </c>
      <c r="B29" t="str">
        <f ca="1">_xll.DBRA(Server&amp;"Management_organization",$D29,$B$27)</f>
        <v>L</v>
      </c>
      <c r="C29">
        <v>1</v>
      </c>
      <c r="D29" s="2" t="s">
        <v>73</v>
      </c>
      <c r="E29" s="26"/>
      <c r="F29" s="26"/>
      <c r="G29" s="16">
        <f ca="1">_xll.DBRW($D$4,$E$7,$E$8,$E$9,$E$10,$E$12,$D29,$E$6,G$18,G$17)</f>
        <v>-3.6319349999999764E-2</v>
      </c>
      <c r="H29" s="16">
        <f ca="1">_xll.DBRW($D$4,$E$7,$E$8,$E$9,$E$10,$E$12,$D29,$E$6,H$18,H$17)</f>
        <v>-0.33835549000000009</v>
      </c>
      <c r="I29" s="16">
        <f ca="1">_xll.DBRW($D$4,$E$7,$E$8,$E$9,$E$10,$E$12,$D29,$E$6,I$18,I$17)</f>
        <v>0</v>
      </c>
      <c r="J29" s="26">
        <f ca="1">_xll.DBRW($D$4,$E$7,$E$8,$E$9,$E$10,$E$12,$D29,$E$6,J$18,J$17)</f>
        <v>-0.15456054</v>
      </c>
      <c r="K29" s="26">
        <f ca="1">_xll.DBRW($D$4,$E$7,$E$8,$E$9,$E$10,$E$12,$D29,$E$6,K$18,K$17)</f>
        <v>0</v>
      </c>
      <c r="L29" s="26">
        <f ca="1">_xll.DBRW($D$4,$E$7,$E$8,$E$9,$E$10,$E$12,$D29,$E$6,L$18,L$17)</f>
        <v>0</v>
      </c>
      <c r="M29" s="26">
        <f ca="1">_xll.DBRW($D$4,$E$7,$E$8,$E$9,$E$10,$E$12,$D29,$E$6,M$18,M$17)</f>
        <v>0</v>
      </c>
      <c r="N29" s="16">
        <f ca="1">_xll.DBRW($D$4,$E$7,$E$8,$E$9,$E$10,$E$12,$D29,$E$6,N$18,N$17)</f>
        <v>0.45659668000000031</v>
      </c>
      <c r="O29" s="16">
        <f ca="1">_xll.DBRW($D$4,$E$7,$E$8,$E$9,$E$10,$E$12,$D29,$E$6,O$18,O$17)</f>
        <v>7.9319997599999992</v>
      </c>
      <c r="P29" s="74">
        <f ca="1">_xll.DBRW($D$4,$E$7,$E$8,$E$9,$E$10,$E$12,$D29,$E$6,P$18,P$17)</f>
        <v>-4.184012000000001</v>
      </c>
      <c r="Q29" s="16">
        <f ca="1">_xll.DBRW($D$4,$E$7,$E$8,$E$9,$E$10,$E$12,$D29,$E$6,Q$18,Q$17)</f>
        <v>0.52748513951039266</v>
      </c>
      <c r="R29" s="16"/>
      <c r="S29" s="16"/>
      <c r="T29" s="16"/>
      <c r="U29" s="16"/>
      <c r="V29" s="16">
        <f ca="1">_xll.DBRW($D$4,$E$7,$E$8,$E$9,$E$10,$E$12,$D29,$E$6,V$18,V$17)</f>
        <v>-0.60362673999999994</v>
      </c>
      <c r="W29" s="16">
        <f ca="1">_xll.DBRW($D$4,$E$7,$E$8,$E$9,$E$10,$E$12,$D29,$E$6,W$18,W$17)</f>
        <v>7.6100196452855165E-2</v>
      </c>
      <c r="X29" s="16"/>
      <c r="Y29" s="16"/>
      <c r="Z29" s="16"/>
      <c r="AA29" s="16"/>
      <c r="AB29" s="16">
        <f ca="1">_xll.DBRW($D$4,$E$7,$E$8,$E$9,$E$10,$E$12,$D29,$E$6,AB$18,AB$17)</f>
        <v>-0.75296255999999984</v>
      </c>
      <c r="AC29" s="16">
        <f ca="1">_xll.DBRW($D$4,$E$7,$E$8,$E$9,$E$10,$E$12,$D29,$E$6,AC$18,AC$17)</f>
        <v>9.4927204082517508E-2</v>
      </c>
      <c r="AD29" s="16"/>
      <c r="AE29" s="16"/>
      <c r="AF29" s="16"/>
      <c r="AG29" s="16"/>
      <c r="AH29" s="16">
        <f ca="1">_xll.DBRW($D$4,$E$7,$E$8,$E$9,$E$10,$E$12,$D29,$E$6,AH$18,AH$17)</f>
        <v>-0.58537395999999997</v>
      </c>
      <c r="AI29" s="16">
        <f ca="1">_xll.DBRW($D$4,$E$7,$E$8,$E$9,$E$10,$E$12,$D29,$E$6,AI$18,AI$17)</f>
        <v>7.3799039045860992E-2</v>
      </c>
      <c r="AJ29" s="16"/>
      <c r="AK29" s="16"/>
      <c r="AL29" s="16"/>
      <c r="AM29" s="16"/>
      <c r="AN29" s="16">
        <f ca="1">_xll.DBRW($D$4,$E$7,$E$8,$E$9,$E$10,$E$12,$D29,$E$6,AN$18,AN$17)</f>
        <v>-1.3502008199999997</v>
      </c>
      <c r="AO29" s="16">
        <f ca="1">_xll.DBRW($D$4,$E$7,$E$8,$E$9,$E$10,$E$12,$D29,$E$6,AO$18,AO$17)</f>
        <v>0.17022199456042342</v>
      </c>
      <c r="AP29" s="16"/>
      <c r="AQ29" s="16"/>
      <c r="AR29" s="16"/>
      <c r="AS29" s="16"/>
      <c r="AT29" s="16">
        <f ca="1">_xll.DBRW($D$4,$E$7,$E$8,$E$9,$E$10,$E$12,$D29,$E$6,AT$18,AT$17)</f>
        <v>0.13808300000000001</v>
      </c>
      <c r="AU29" s="16">
        <f ca="1">_xll.DBRW($D$4,$E$7,$E$8,$E$9,$E$10,$E$12,$D29,$E$6,AU$18,AU$17)</f>
        <v>1.8871169999999997</v>
      </c>
      <c r="AV29" s="16">
        <f ca="1">_xll.DBRW($D$4,$E$7,$E$8,$E$9,$E$10,$E$12,$D29,$E$6,AV$18,AV$17)</f>
        <v>1.8871169999999997</v>
      </c>
      <c r="AW29" s="16">
        <f ca="1">_xll.DBRW($D$4,$E$7,$E$8,$E$9,$E$10,$E$12,$D29,$E$6,AW$18,AW$17)</f>
        <v>1.8871169999999997</v>
      </c>
      <c r="AX29" s="16">
        <f ca="1">_xll.DBRW($D$4,$E$7,$E$8,$E$9,$E$10,$E$12,$D29,$E$6,AX$18,AX$17)</f>
        <v>0.73917618999999979</v>
      </c>
      <c r="AY29" s="16">
        <f ca="1">_xll.DBRW($D$4,$E$7,$E$8,$E$9,$E$10,$E$12,$D29,$E$6,AY$18,AY$17)</f>
        <v>1.8871169999999997</v>
      </c>
      <c r="AZ29" s="16">
        <f ca="1">_xll.DBRW($D$4,$E$7,$E$8,$E$9,$E$10,$E$12,$D29,$E$6,AZ$18,AZ$17)</f>
        <v>1.3827239999999998</v>
      </c>
      <c r="BA29" s="16">
        <f ca="1">_xll.DBRW($D$4,$E$7,$E$8,$E$9,$E$10,$E$12,$D29,$E$6,BA$18,BA$17)</f>
        <v>1.8871169999999997</v>
      </c>
      <c r="BB29" s="16">
        <f ca="1">_xll.DBRW($D$4,$E$7,$E$8,$E$9,$E$10,$E$12,$D29,$E$6,BB$18,BB$17)</f>
        <v>1.8871169999999997</v>
      </c>
      <c r="BC29" s="16">
        <f ca="1">_xll.DBRW($D$4,$E$7,$E$8,$E$9,$E$10,$E$12,$D29,$E$6,BC$18,BC$17)</f>
        <v>1.8871169999999997</v>
      </c>
      <c r="BD29" s="16">
        <f ca="1">_xll.DBRW($D$4,$E$7,$E$8,$E$9,$E$10,$E$12,$D29,$E$6,BD$18,BD$17)</f>
        <v>-4.6233238049072062E-2</v>
      </c>
      <c r="BE29" s="16">
        <f ca="1">_xll.DBRW($D$4,$E$7,$E$8,$E$9,$E$10,$E$12,$D29,$E$6,BE$18,BE$17)</f>
        <v>-0.67766952000000003</v>
      </c>
      <c r="BF29" s="16">
        <f ca="1">_xll.DBRW($D$4,$E$7,$E$8,$E$9,$E$10,$E$12,$D29,$E$6,BF$18,BF$17)</f>
        <v>0</v>
      </c>
      <c r="BG29" s="26">
        <f ca="1">_xll.DBRW($D$4,$E$7,$E$8,$E$9,$E$10,$E$12,$D29,$E$6,BG$18,BG$17)</f>
        <v>-0.16591867999999999</v>
      </c>
      <c r="BH29" s="26">
        <f ca="1">_xll.DBRW($D$4,$E$7,$E$8,$E$9,$E$10,$E$12,$D29,$E$6,BH$18,BH$17)</f>
        <v>0</v>
      </c>
      <c r="BI29" s="26">
        <f ca="1">_xll.DBRW($D$4,$E$7,$E$8,$E$9,$E$10,$E$12,$D29,$E$6,BI$18,BI$17)</f>
        <v>0</v>
      </c>
      <c r="BJ29" s="26">
        <f ca="1">_xll.DBRW($D$4,$E$7,$E$8,$E$9,$E$10,$E$12,$D29,$E$6,BJ$18,BJ$17)</f>
        <v>0</v>
      </c>
      <c r="BK29" s="16">
        <f ca="1">_xll.DBRW($D$4,$E$7,$E$8,$E$9,$E$10,$E$12,$D29,$E$6,BK$18,BK$17)</f>
        <v>0.79735496195092792</v>
      </c>
      <c r="BL29" s="16">
        <f ca="1">_xll.DBRW($D$4,$E$7,$E$8,$E$9,$E$10,$E$12,$D29,$E$6,BL$18,BL$17)</f>
        <v>8.7835890300000017</v>
      </c>
      <c r="BM29" s="16">
        <f ca="1">_xll.DBRW($D$4,$E$7,$E$8,$E$9,$E$10,$E$12,$D29,$E$6,BM$18,BM$17)</f>
        <v>-4.5361966066666675</v>
      </c>
      <c r="BN29" s="16">
        <f ca="1">_xll.DBRW($D$4,$E$7,$E$8,$E$9,$E$10,$E$12,$D29,$E$6,BN$18,BN$17)</f>
        <v>0.51643998725048124</v>
      </c>
      <c r="BO29" s="16"/>
      <c r="BP29" s="16"/>
      <c r="BQ29" s="16"/>
      <c r="BR29" s="16"/>
      <c r="BS29" s="16">
        <f ca="1">_xll.DBRW($D$4,$E$7,$E$8,$E$9,$E$10,$E$12,$D29,$E$6,BS$18,BS$17)</f>
        <v>-0.58536324666666673</v>
      </c>
      <c r="BT29" s="16">
        <f ca="1">_xll.DBRW($D$4,$E$7,$E$8,$E$9,$E$10,$E$12,$D29,$E$6,BT$18,BT$17)</f>
        <v>6.6642831838714403E-2</v>
      </c>
      <c r="BU29" s="16"/>
      <c r="BV29" s="16"/>
      <c r="BW29" s="16"/>
      <c r="BX29" s="16"/>
      <c r="BY29" s="16">
        <f ca="1">_xll.DBRW($D$4,$E$7,$E$8,$E$9,$E$10,$E$12,$D29,$E$6,BY$18,BY$17)</f>
        <v>-0.66442516471573998</v>
      </c>
      <c r="BZ29" s="16">
        <f ca="1">_xll.DBRW($D$4,$E$7,$E$8,$E$9,$E$10,$E$12,$D29,$E$6,BZ$18,BZ$17)</f>
        <v>7.5643926696299435E-2</v>
      </c>
      <c r="CA29" s="16"/>
      <c r="CB29" s="16"/>
      <c r="CC29" s="16"/>
      <c r="CD29" s="16"/>
      <c r="CE29" s="16">
        <f ca="1">_xll.DBRW($D$4,$E$7,$E$8,$E$9,$E$10,$E$12,$D29,$E$6,CE$18,CE$17)</f>
        <v>-0.67128856000000003</v>
      </c>
      <c r="CF29" s="16">
        <f ca="1">_xll.DBRW($D$4,$E$7,$E$8,$E$9,$E$10,$E$12,$D29,$E$6,CF$18,CF$17)</f>
        <v>7.6425315176659611E-2</v>
      </c>
      <c r="CG29" s="16"/>
      <c r="CH29" s="16"/>
      <c r="CI29" s="16"/>
      <c r="CJ29" s="16"/>
      <c r="CK29" s="16">
        <f ca="1">_xll.DBRW($D$4,$E$7,$E$8,$E$9,$E$10,$E$12,$D29,$E$6,CK$18,CK$17)</f>
        <v>-1.5289604899999998</v>
      </c>
      <c r="CL29" s="16">
        <f ca="1">_xll.DBRW($D$4,$E$7,$E$8,$E$9,$E$10,$E$12,$D29,$E$6,CL$18,CL$17)</f>
        <v>0.1740701306468114</v>
      </c>
      <c r="CM29" s="16"/>
      <c r="CN29" s="16"/>
      <c r="CO29" s="16"/>
      <c r="CP29" s="16"/>
      <c r="CQ29" s="16">
        <f ca="1">_xll.DBRW($D$4,$E$7,$E$8,$E$9,$E$10,$E$12,$D29,$E$6,CQ$18,CQ$17)</f>
        <v>0.14780499999999994</v>
      </c>
      <c r="CR29" s="16">
        <f ca="1">_xll.DBRW($D$4,$E$7,$E$8,$E$9,$E$10,$E$12,$D29,$E$6,CR$18,CR$17)</f>
        <v>2.0335231399999998</v>
      </c>
      <c r="CS29" s="16">
        <f ca="1">_xll.DBRW($D$4,$E$7,$E$8,$E$9,$E$10,$E$12,$D29,$E$6,CS$18,CS$17)</f>
        <v>2.0335231399999998</v>
      </c>
      <c r="CT29" s="16">
        <f ca="1">_xll.DBRW($D$4,$E$7,$E$8,$E$9,$E$10,$E$12,$D29,$E$6,CT$18,CT$17)</f>
        <v>2.0335231399999998</v>
      </c>
      <c r="CU29" s="16">
        <f ca="1">_xll.DBRW($D$4,$E$7,$E$8,$E$9,$E$10,$E$12,$D29,$E$6,CU$18,CU$17)</f>
        <v>0.79974141154999989</v>
      </c>
      <c r="CV29" s="16">
        <f ca="1">_xll.DBRW($D$4,$E$7,$E$8,$E$9,$E$10,$E$12,$D29,$E$6,CV$18,CV$17)</f>
        <v>2.0335231399999998</v>
      </c>
      <c r="CW29" s="16">
        <f ca="1">_xll.DBRW($D$4,$E$7,$E$8,$E$9,$E$10,$E$12,$D29,$E$6,CW$18,CW$17)</f>
        <v>1.5068869999999999</v>
      </c>
      <c r="CX29" s="16">
        <f ca="1">_xll.DBRW($D$4,$E$7,$E$8,$E$9,$E$10,$E$12,$D29,$E$6,CX$18,CX$17)</f>
        <v>2.0335231399999998</v>
      </c>
      <c r="CY29" s="16">
        <f ca="1">_xll.DBRW($D$4,$E$7,$E$8,$E$9,$E$10,$E$12,$D29,$E$6,CY$18,CY$17)</f>
        <v>2.0335231399999998</v>
      </c>
      <c r="CZ29" s="16">
        <f ca="1">_xll.DBRW($D$4,$E$7,$E$8,$E$9,$E$10,$E$12,$D29,$E$6,CZ$18,CZ$17)</f>
        <v>2.0335231399999998</v>
      </c>
      <c r="DA29" s="26">
        <f t="shared" ref="DA29:DA92" ca="1" si="89">G29-BD29</f>
        <v>9.9138880490722975E-3</v>
      </c>
      <c r="DB29" s="26">
        <f t="shared" ref="DB29:DB92" ca="1" si="90">H29-BE29</f>
        <v>0.33931402999999993</v>
      </c>
      <c r="DC29" s="26">
        <f t="shared" ref="DC29:DC92" ca="1" si="91">I29-BF29</f>
        <v>0</v>
      </c>
      <c r="DD29" s="26">
        <f t="shared" ref="DD29:DD92" ca="1" si="92">J29-BG29</f>
        <v>1.1358139999999989E-2</v>
      </c>
      <c r="DE29" s="26">
        <f t="shared" ref="DE29:DE92" ca="1" si="93">K29-BH29</f>
        <v>0</v>
      </c>
      <c r="DF29" s="26">
        <f t="shared" ref="DF29:DF92" ca="1" si="94">L29-BI29</f>
        <v>0</v>
      </c>
      <c r="DG29" s="26">
        <f t="shared" ref="DG29:DG92" ca="1" si="95">M29-BJ29</f>
        <v>0</v>
      </c>
      <c r="DH29" s="26">
        <f t="shared" ref="DH29:DH92" ca="1" si="96">N29-BK29</f>
        <v>-0.34075828195092761</v>
      </c>
      <c r="DI29" s="26">
        <f t="shared" ref="DI29:DI92" ca="1" si="97">O29-BL29</f>
        <v>-0.85158927000000251</v>
      </c>
      <c r="DJ29" s="26">
        <f t="shared" ref="DJ29:DJ92" ca="1" si="98">P29-BM29</f>
        <v>0.35218460666666651</v>
      </c>
      <c r="DK29" s="26">
        <f t="shared" ref="DK29:DK92" ca="1" si="99">Q29-BN29</f>
        <v>1.1045152259911428E-2</v>
      </c>
      <c r="DL29" s="26"/>
      <c r="DM29" s="26"/>
      <c r="DN29" s="26"/>
      <c r="DO29" s="26"/>
      <c r="DP29" s="26">
        <f t="shared" ref="DP29:DP92" ca="1" si="100">V29-BS29</f>
        <v>-1.8263493333333214E-2</v>
      </c>
      <c r="DQ29" s="26">
        <f t="shared" ref="DQ29:DQ92" ca="1" si="101">W29-BT29</f>
        <v>9.4573646141407619E-3</v>
      </c>
      <c r="DR29" s="26"/>
      <c r="DS29" s="26"/>
      <c r="DT29" s="26"/>
      <c r="DU29" s="26"/>
      <c r="DV29" s="26">
        <f t="shared" ref="DV29:DV92" ca="1" si="102">AB29-BY29</f>
        <v>-8.8537395284259857E-2</v>
      </c>
      <c r="DW29" s="26">
        <f t="shared" ref="DW29:DW92" ca="1" si="103">AC29-BZ29</f>
        <v>1.9283277386218073E-2</v>
      </c>
      <c r="DX29" s="26"/>
      <c r="DY29" s="26"/>
      <c r="DZ29" s="26"/>
      <c r="EA29" s="26"/>
      <c r="EB29" s="26">
        <f t="shared" ref="EB29:EB92" ca="1" si="104">AH29-CE29</f>
        <v>8.5914600000000063E-2</v>
      </c>
      <c r="EC29" s="26">
        <f t="shared" ref="EC29:EC92" ca="1" si="105">AI29-CF29</f>
        <v>-2.6262761307986188E-3</v>
      </c>
      <c r="ED29" s="26"/>
      <c r="EE29" s="26"/>
      <c r="EF29" s="26"/>
      <c r="EG29" s="26"/>
      <c r="EH29" s="26">
        <f t="shared" ref="EH29:EH92" ca="1" si="106">AN29-CK29</f>
        <v>0.17875967000000004</v>
      </c>
      <c r="EI29" s="29">
        <f t="shared" ref="EI29:EI92" ca="1" si="107">AO29-CL29</f>
        <v>-3.8481360863879821E-3</v>
      </c>
      <c r="EJ29" s="29"/>
      <c r="EK29" s="29"/>
      <c r="EL29" s="29"/>
      <c r="EM29" s="29"/>
      <c r="EN29" s="93"/>
      <c r="EO29" s="29"/>
      <c r="EP29" s="29"/>
      <c r="EQ29" s="29"/>
      <c r="ER29" s="29"/>
      <c r="ES29" s="29"/>
      <c r="ET29" s="29"/>
      <c r="EU29" s="93"/>
      <c r="EV29" s="29"/>
      <c r="EW29" s="29"/>
      <c r="EX29" s="29"/>
      <c r="EY29" s="29"/>
      <c r="EZ29" s="29"/>
      <c r="FA29" s="29"/>
      <c r="FB29" s="93"/>
      <c r="FC29" s="29"/>
      <c r="FD29" s="29"/>
      <c r="FE29" s="29"/>
      <c r="FF29" s="29"/>
      <c r="FG29" s="29"/>
      <c r="FH29" s="29"/>
      <c r="FI29" s="93"/>
      <c r="FJ29" s="29"/>
      <c r="FK29" s="29"/>
      <c r="FL29" s="29"/>
      <c r="FM29" s="29"/>
      <c r="FN29" s="29"/>
      <c r="FO29" s="29"/>
      <c r="FP29" s="93"/>
      <c r="FQ29" s="29"/>
      <c r="FR29" s="29"/>
      <c r="FS29" s="29"/>
      <c r="FT29" s="29"/>
      <c r="FU29" s="29"/>
      <c r="FV29" s="29"/>
    </row>
    <row r="30" spans="1:183" x14ac:dyDescent="0.25">
      <c r="A30" t="str">
        <f ca="1">IF(_xll.TM1RPTELISCONSOLIDATED($D$28,$D30),IF(_xll.TM1RPTELLEV($D$28,$D30)&lt;=3,_xll.TM1RPTELLEV($D$28,$D30),"D"),"N")</f>
        <v>N</v>
      </c>
      <c r="B30" t="str">
        <f ca="1">_xll.DBRA(Server&amp;"Management_organization",$D30,$B$27)</f>
        <v>L</v>
      </c>
      <c r="C30">
        <v>1</v>
      </c>
      <c r="D30" s="2" t="s">
        <v>74</v>
      </c>
      <c r="E30" s="26"/>
      <c r="F30" s="26"/>
      <c r="G30" s="16">
        <f ca="1">_xll.DBRW($D$4,$E$7,$E$8,$E$9,$E$10,$E$12,$D30,$E$6,G$18,G$17)</f>
        <v>2.5971176799999989</v>
      </c>
      <c r="H30" s="16">
        <f ca="1">_xll.DBRW($D$4,$E$7,$E$8,$E$9,$E$10,$E$12,$D30,$E$6,H$18,H$17)</f>
        <v>-0.4840798</v>
      </c>
      <c r="I30" s="16">
        <f ca="1">_xll.DBRW($D$4,$E$7,$E$8,$E$9,$E$10,$E$12,$D30,$E$6,I$18,I$17)</f>
        <v>0</v>
      </c>
      <c r="J30" s="26">
        <f ca="1">_xll.DBRW($D$4,$E$7,$E$8,$E$9,$E$10,$E$12,$D30,$E$6,J$18,J$17)</f>
        <v>-0.15482976000000001</v>
      </c>
      <c r="K30" s="26">
        <f ca="1">_xll.DBRW($D$4,$E$7,$E$8,$E$9,$E$10,$E$12,$D30,$E$6,K$18,K$17)</f>
        <v>0</v>
      </c>
      <c r="L30" s="26">
        <f ca="1">_xll.DBRW($D$4,$E$7,$E$8,$E$9,$E$10,$E$12,$D30,$E$6,L$18,L$17)</f>
        <v>0</v>
      </c>
      <c r="M30" s="26">
        <f ca="1">_xll.DBRW($D$4,$E$7,$E$8,$E$9,$E$10,$E$12,$D30,$E$6,M$18,M$17)</f>
        <v>0</v>
      </c>
      <c r="N30" s="16">
        <f ca="1">_xll.DBRW($D$4,$E$7,$E$8,$E$9,$E$10,$E$12,$D30,$E$6,N$18,N$17)</f>
        <v>3.2360272399999985</v>
      </c>
      <c r="O30" s="16">
        <f ca="1">_xll.DBRW($D$4,$E$7,$E$8,$E$9,$E$10,$E$12,$D30,$E$6,O$18,O$17)</f>
        <v>8.8947692299999996</v>
      </c>
      <c r="P30" s="74">
        <f ca="1">_xll.DBRW($D$4,$E$7,$E$8,$E$9,$E$10,$E$12,$D30,$E$6,P$18,P$17)</f>
        <v>-3.0024721599999991</v>
      </c>
      <c r="Q30" s="16">
        <f ca="1">_xll.DBRW($D$4,$E$7,$E$8,$E$9,$E$10,$E$12,$D30,$E$6,Q$18,Q$17)</f>
        <v>0.3375548125378402</v>
      </c>
      <c r="R30" s="16"/>
      <c r="S30" s="16"/>
      <c r="T30" s="16"/>
      <c r="U30" s="16"/>
      <c r="V30" s="16">
        <f ca="1">_xll.DBRW($D$4,$E$7,$E$8,$E$9,$E$10,$E$12,$D30,$E$6,V$18,V$17)</f>
        <v>-0.60984149999999993</v>
      </c>
      <c r="W30" s="16">
        <f ca="1">_xll.DBRW($D$4,$E$7,$E$8,$E$9,$E$10,$E$12,$D30,$E$6,W$18,W$17)</f>
        <v>6.8561812479984927E-2</v>
      </c>
      <c r="X30" s="16"/>
      <c r="Y30" s="16"/>
      <c r="Z30" s="16"/>
      <c r="AA30" s="16"/>
      <c r="AB30" s="16">
        <f ca="1">_xll.DBRW($D$4,$E$7,$E$8,$E$9,$E$10,$E$12,$D30,$E$6,AB$18,AB$17)</f>
        <v>-0.68741039000000015</v>
      </c>
      <c r="AC30" s="16">
        <f ca="1">_xll.DBRW($D$4,$E$7,$E$8,$E$9,$E$10,$E$12,$D30,$E$6,AC$18,AC$17)</f>
        <v>7.7282543506752691E-2</v>
      </c>
      <c r="AD30" s="16"/>
      <c r="AE30" s="16"/>
      <c r="AF30" s="16"/>
      <c r="AG30" s="16"/>
      <c r="AH30" s="16">
        <f ca="1">_xll.DBRW($D$4,$E$7,$E$8,$E$9,$E$10,$E$12,$D30,$E$6,AH$18,AH$17)</f>
        <v>-0.61499939000000003</v>
      </c>
      <c r="AI30" s="16">
        <f ca="1">_xll.DBRW($D$4,$E$7,$E$8,$E$9,$E$10,$E$12,$D30,$E$6,AI$18,AI$17)</f>
        <v>6.9141691492765125E-2</v>
      </c>
      <c r="AJ30" s="16"/>
      <c r="AK30" s="16"/>
      <c r="AL30" s="16"/>
      <c r="AM30" s="16"/>
      <c r="AN30" s="16">
        <f ca="1">_xll.DBRW($D$4,$E$7,$E$8,$E$9,$E$10,$E$12,$D30,$E$6,AN$18,AN$17)</f>
        <v>-0.74401855000000006</v>
      </c>
      <c r="AO30" s="16">
        <f ca="1">_xll.DBRW($D$4,$E$7,$E$8,$E$9,$E$10,$E$12,$D30,$E$6,AO$18,AO$17)</f>
        <v>8.3646751339045144E-2</v>
      </c>
      <c r="AP30" s="16"/>
      <c r="AQ30" s="16"/>
      <c r="AR30" s="16"/>
      <c r="AS30" s="16"/>
      <c r="AT30" s="16">
        <f ca="1">_xll.DBRW($D$4,$E$7,$E$8,$E$9,$E$10,$E$12,$D30,$E$6,AT$18,AT$17)</f>
        <v>0.10689299999999999</v>
      </c>
      <c r="AU30" s="16">
        <f ca="1">_xll.DBRW($D$4,$E$7,$E$8,$E$9,$E$10,$E$12,$D30,$E$6,AU$18,AU$17)</f>
        <v>1.9128479999999997</v>
      </c>
      <c r="AV30" s="16">
        <f ca="1">_xll.DBRW($D$4,$E$7,$E$8,$E$9,$E$10,$E$12,$D30,$E$6,AV$18,AV$17)</f>
        <v>1.9128479999999997</v>
      </c>
      <c r="AW30" s="16">
        <f ca="1">_xll.DBRW($D$4,$E$7,$E$8,$E$9,$E$10,$E$12,$D30,$E$6,AW$18,AW$17)</f>
        <v>1.9128479999999997</v>
      </c>
      <c r="AX30" s="16">
        <f ca="1">_xll.DBRW($D$4,$E$7,$E$8,$E$9,$E$10,$E$12,$D30,$E$6,AX$18,AX$17)</f>
        <v>0.67124125999999995</v>
      </c>
      <c r="AY30" s="16">
        <f ca="1">_xll.DBRW($D$4,$E$7,$E$8,$E$9,$E$10,$E$12,$D30,$E$6,AY$18,AY$17)</f>
        <v>1.9128479999999997</v>
      </c>
      <c r="AZ30" s="16">
        <f ca="1">_xll.DBRW($D$4,$E$7,$E$8,$E$9,$E$10,$E$12,$D30,$E$6,AZ$18,AZ$17)</f>
        <v>1.258667</v>
      </c>
      <c r="BA30" s="16">
        <f ca="1">_xll.DBRW($D$4,$E$7,$E$8,$E$9,$E$10,$E$12,$D30,$E$6,BA$18,BA$17)</f>
        <v>1.9128479999999997</v>
      </c>
      <c r="BB30" s="16">
        <f ca="1">_xll.DBRW($D$4,$E$7,$E$8,$E$9,$E$10,$E$12,$D30,$E$6,BB$18,BB$17)</f>
        <v>1.9128479999999997</v>
      </c>
      <c r="BC30" s="16">
        <f ca="1">_xll.DBRW($D$4,$E$7,$E$8,$E$9,$E$10,$E$12,$D30,$E$6,BC$18,BC$17)</f>
        <v>1.9128479999999997</v>
      </c>
      <c r="BD30" s="16">
        <f ca="1">_xll.DBRW($D$4,$E$7,$E$8,$E$9,$E$10,$E$12,$D30,$E$6,BD$18,BD$17)</f>
        <v>0.45902298430333793</v>
      </c>
      <c r="BE30" s="16">
        <f ca="1">_xll.DBRW($D$4,$E$7,$E$8,$E$9,$E$10,$E$12,$D30,$E$6,BE$18,BE$17)</f>
        <v>-0.65266738999999996</v>
      </c>
      <c r="BF30" s="16">
        <f ca="1">_xll.DBRW($D$4,$E$7,$E$8,$E$9,$E$10,$E$12,$D30,$E$6,BF$18,BF$17)</f>
        <v>0</v>
      </c>
      <c r="BG30" s="26">
        <f ca="1">_xll.DBRW($D$4,$E$7,$E$8,$E$9,$E$10,$E$12,$D30,$E$6,BG$18,BG$17)</f>
        <v>-0.22519172000000001</v>
      </c>
      <c r="BH30" s="26">
        <f ca="1">_xll.DBRW($D$4,$E$7,$E$8,$E$9,$E$10,$E$12,$D30,$E$6,BH$18,BH$17)</f>
        <v>0</v>
      </c>
      <c r="BI30" s="26">
        <f ca="1">_xll.DBRW($D$4,$E$7,$E$8,$E$9,$E$10,$E$12,$D30,$E$6,BI$18,BI$17)</f>
        <v>0</v>
      </c>
      <c r="BJ30" s="26">
        <f ca="1">_xll.DBRW($D$4,$E$7,$E$8,$E$9,$E$10,$E$12,$D30,$E$6,BJ$18,BJ$17)</f>
        <v>0</v>
      </c>
      <c r="BK30" s="16">
        <f ca="1">_xll.DBRW($D$4,$E$7,$E$8,$E$9,$E$10,$E$12,$D30,$E$6,BK$18,BK$17)</f>
        <v>1.3368820943033379</v>
      </c>
      <c r="BL30" s="16">
        <f ca="1">_xll.DBRW($D$4,$E$7,$E$8,$E$9,$E$10,$E$12,$D30,$E$6,BL$18,BL$17)</f>
        <v>7.9471134891666662</v>
      </c>
      <c r="BM30" s="16">
        <f ca="1">_xll.DBRW($D$4,$E$7,$E$8,$E$9,$E$10,$E$12,$D30,$E$6,BM$18,BM$17)</f>
        <v>-3.4741872659999964</v>
      </c>
      <c r="BN30" s="16">
        <f ca="1">_xll.DBRW($D$4,$E$7,$E$8,$E$9,$E$10,$E$12,$D30,$E$6,BN$18,BN$17)</f>
        <v>0.43716341420516186</v>
      </c>
      <c r="BO30" s="16"/>
      <c r="BP30" s="16"/>
      <c r="BQ30" s="16"/>
      <c r="BR30" s="16"/>
      <c r="BS30" s="16">
        <f ca="1">_xll.DBRW($D$4,$E$7,$E$8,$E$9,$E$10,$E$12,$D30,$E$6,BS$18,BS$17)</f>
        <v>-0.6841622758</v>
      </c>
      <c r="BT30" s="16">
        <f ca="1">_xll.DBRW($D$4,$E$7,$E$8,$E$9,$E$10,$E$12,$D30,$E$6,BT$18,BT$17)</f>
        <v>8.6089405509640102E-2</v>
      </c>
      <c r="BU30" s="16"/>
      <c r="BV30" s="16"/>
      <c r="BW30" s="16"/>
      <c r="BX30" s="16"/>
      <c r="BY30" s="16">
        <f ca="1">_xll.DBRW($D$4,$E$7,$E$8,$E$9,$E$10,$E$12,$D30,$E$6,BY$18,BY$17)</f>
        <v>-0.64272035972999997</v>
      </c>
      <c r="BZ30" s="16">
        <f ca="1">_xll.DBRW($D$4,$E$7,$E$8,$E$9,$E$10,$E$12,$D30,$E$6,BZ$18,BZ$17)</f>
        <v>8.087469250390629E-2</v>
      </c>
      <c r="CA30" s="16"/>
      <c r="CB30" s="16"/>
      <c r="CC30" s="16"/>
      <c r="CD30" s="16"/>
      <c r="CE30" s="16">
        <f ca="1">_xll.DBRW($D$4,$E$7,$E$8,$E$9,$E$10,$E$12,$D30,$E$6,CE$18,CE$17)</f>
        <v>-0.54010009999999997</v>
      </c>
      <c r="CF30" s="16">
        <f ca="1">_xll.DBRW($D$4,$E$7,$E$8,$E$9,$E$10,$E$12,$D30,$E$6,CF$18,CF$17)</f>
        <v>6.7961795277776363E-2</v>
      </c>
      <c r="CG30" s="16"/>
      <c r="CH30" s="16"/>
      <c r="CI30" s="16"/>
      <c r="CJ30" s="16"/>
      <c r="CK30" s="16">
        <f ca="1">_xll.DBRW($D$4,$E$7,$E$8,$E$9,$E$10,$E$12,$D30,$E$6,CK$18,CK$17)</f>
        <v>-1.269061393333333</v>
      </c>
      <c r="CL30" s="16">
        <f ca="1">_xll.DBRW($D$4,$E$7,$E$8,$E$9,$E$10,$E$12,$D30,$E$6,CL$18,CL$17)</f>
        <v>0.15968834408408664</v>
      </c>
      <c r="CM30" s="16"/>
      <c r="CN30" s="16"/>
      <c r="CO30" s="16"/>
      <c r="CP30" s="16"/>
      <c r="CQ30" s="16">
        <f ca="1">_xll.DBRW($D$4,$E$7,$E$8,$E$9,$E$10,$E$12,$D30,$E$6,CQ$18,CQ$17)</f>
        <v>0.12140859999999999</v>
      </c>
      <c r="CR30" s="16">
        <f ca="1">_xll.DBRW($D$4,$E$7,$E$8,$E$9,$E$10,$E$12,$D30,$E$6,CR$18,CR$17)</f>
        <v>2.1055130000000002</v>
      </c>
      <c r="CS30" s="16">
        <f ca="1">_xll.DBRW($D$4,$E$7,$E$8,$E$9,$E$10,$E$12,$D30,$E$6,CS$18,CS$17)</f>
        <v>2.1055130000000002</v>
      </c>
      <c r="CT30" s="16">
        <f ca="1">_xll.DBRW($D$4,$E$7,$E$8,$E$9,$E$10,$E$12,$D30,$E$6,CT$18,CT$17)</f>
        <v>2.1055130000000002</v>
      </c>
      <c r="CU30" s="16">
        <f ca="1">_xll.DBRW($D$4,$E$7,$E$8,$E$9,$E$10,$E$12,$D30,$E$6,CU$18,CU$17)</f>
        <v>0.77361622499999994</v>
      </c>
      <c r="CV30" s="16">
        <f ca="1">_xll.DBRW($D$4,$E$7,$E$8,$E$9,$E$10,$E$12,$D30,$E$6,CV$18,CV$17)</f>
        <v>2.1055130000000002</v>
      </c>
      <c r="CW30" s="16">
        <f ca="1">_xll.DBRW($D$4,$E$7,$E$8,$E$9,$E$10,$E$12,$D30,$E$6,CW$18,CW$17)</f>
        <v>1.4123869999999998</v>
      </c>
      <c r="CX30" s="16">
        <f ca="1">_xll.DBRW($D$4,$E$7,$E$8,$E$9,$E$10,$E$12,$D30,$E$6,CX$18,CX$17)</f>
        <v>2.1055130000000002</v>
      </c>
      <c r="CY30" s="16">
        <f ca="1">_xll.DBRW($D$4,$E$7,$E$8,$E$9,$E$10,$E$12,$D30,$E$6,CY$18,CY$17)</f>
        <v>2.1055130000000002</v>
      </c>
      <c r="CZ30" s="16">
        <f ca="1">_xll.DBRW($D$4,$E$7,$E$8,$E$9,$E$10,$E$12,$D30,$E$6,CZ$18,CZ$17)</f>
        <v>2.1055130000000002</v>
      </c>
      <c r="DA30" s="26">
        <f t="shared" ca="1" si="89"/>
        <v>2.1380946956966609</v>
      </c>
      <c r="DB30" s="26">
        <f t="shared" ca="1" si="90"/>
        <v>0.16858758999999995</v>
      </c>
      <c r="DC30" s="26">
        <f t="shared" ca="1" si="91"/>
        <v>0</v>
      </c>
      <c r="DD30" s="26">
        <f t="shared" ca="1" si="92"/>
        <v>7.0361960000000001E-2</v>
      </c>
      <c r="DE30" s="26">
        <f t="shared" ca="1" si="93"/>
        <v>0</v>
      </c>
      <c r="DF30" s="26">
        <f t="shared" ca="1" si="94"/>
        <v>0</v>
      </c>
      <c r="DG30" s="26">
        <f t="shared" ca="1" si="95"/>
        <v>0</v>
      </c>
      <c r="DH30" s="26">
        <f t="shared" ca="1" si="96"/>
        <v>1.8991451456966606</v>
      </c>
      <c r="DI30" s="26">
        <f t="shared" ca="1" si="97"/>
        <v>0.94765574083333348</v>
      </c>
      <c r="DJ30" s="26">
        <f t="shared" ca="1" si="98"/>
        <v>0.47171510599999733</v>
      </c>
      <c r="DK30" s="26">
        <f t="shared" ca="1" si="99"/>
        <v>-9.9608601667321661E-2</v>
      </c>
      <c r="DL30" s="26"/>
      <c r="DM30" s="26"/>
      <c r="DN30" s="26"/>
      <c r="DO30" s="26"/>
      <c r="DP30" s="26">
        <f t="shared" ca="1" si="100"/>
        <v>7.4320775800000072E-2</v>
      </c>
      <c r="DQ30" s="26">
        <f t="shared" ca="1" si="101"/>
        <v>-1.7527593029655175E-2</v>
      </c>
      <c r="DR30" s="26"/>
      <c r="DS30" s="26"/>
      <c r="DT30" s="26"/>
      <c r="DU30" s="26"/>
      <c r="DV30" s="26">
        <f t="shared" ca="1" si="102"/>
        <v>-4.4690030270000181E-2</v>
      </c>
      <c r="DW30" s="26">
        <f t="shared" ca="1" si="103"/>
        <v>-3.5921489971535991E-3</v>
      </c>
      <c r="DX30" s="26"/>
      <c r="DY30" s="26"/>
      <c r="DZ30" s="26"/>
      <c r="EA30" s="26"/>
      <c r="EB30" s="26">
        <f t="shared" ca="1" si="104"/>
        <v>-7.4899290000000063E-2</v>
      </c>
      <c r="EC30" s="26">
        <f t="shared" ca="1" si="105"/>
        <v>1.1798962149887626E-3</v>
      </c>
      <c r="ED30" s="26"/>
      <c r="EE30" s="26"/>
      <c r="EF30" s="26"/>
      <c r="EG30" s="26"/>
      <c r="EH30" s="26">
        <f t="shared" ca="1" si="106"/>
        <v>0.52504284333333295</v>
      </c>
      <c r="EI30" s="29">
        <f t="shared" ca="1" si="107"/>
        <v>-7.6041592745041492E-2</v>
      </c>
      <c r="EJ30" s="29"/>
      <c r="EK30" s="29"/>
      <c r="EL30" s="29"/>
      <c r="EM30" s="29"/>
      <c r="EN30" s="93"/>
      <c r="EO30" s="29"/>
      <c r="EP30" s="29"/>
      <c r="EQ30" s="29"/>
      <c r="ER30" s="29"/>
      <c r="ES30" s="29"/>
      <c r="ET30" s="29"/>
      <c r="EU30" s="93"/>
      <c r="EV30" s="29"/>
      <c r="EW30" s="29"/>
      <c r="EX30" s="29"/>
      <c r="EY30" s="29"/>
      <c r="EZ30" s="29"/>
      <c r="FA30" s="29"/>
      <c r="FB30" s="93"/>
      <c r="FC30" s="29"/>
      <c r="FD30" s="29"/>
      <c r="FE30" s="29"/>
      <c r="FF30" s="29"/>
      <c r="FG30" s="29"/>
      <c r="FH30" s="29"/>
      <c r="FI30" s="93"/>
      <c r="FJ30" s="29"/>
      <c r="FK30" s="29"/>
      <c r="FL30" s="29"/>
      <c r="FM30" s="29"/>
      <c r="FN30" s="29"/>
      <c r="FO30" s="29"/>
      <c r="FP30" s="93"/>
      <c r="FQ30" s="29"/>
      <c r="FR30" s="29"/>
      <c r="FS30" s="29"/>
      <c r="FT30" s="29"/>
      <c r="FU30" s="29"/>
      <c r="FV30" s="29"/>
    </row>
    <row r="31" spans="1:183" x14ac:dyDescent="0.25">
      <c r="A31" t="str">
        <f ca="1">IF(_xll.TM1RPTELISCONSOLIDATED($D$28,$D31),IF(_xll.TM1RPTELLEV($D$28,$D31)&lt;=3,_xll.TM1RPTELLEV($D$28,$D31),"D"),"N")</f>
        <v>N</v>
      </c>
      <c r="B31" t="str">
        <f ca="1">_xll.DBRA(Server&amp;"Management_organization",$D31,$B$27)</f>
        <v>L</v>
      </c>
      <c r="C31">
        <v>1</v>
      </c>
      <c r="D31" s="2" t="s">
        <v>75</v>
      </c>
      <c r="E31" s="26"/>
      <c r="F31" s="26"/>
      <c r="G31" s="16">
        <f ca="1">_xll.DBRW($D$4,$E$7,$E$8,$E$9,$E$10,$E$12,$D31,$E$6,G$18,G$17)</f>
        <v>1.8950148199999983</v>
      </c>
      <c r="H31" s="16">
        <f ca="1">_xll.DBRW($D$4,$E$7,$E$8,$E$9,$E$10,$E$12,$D31,$E$6,H$18,H$17)</f>
        <v>-1.6714863500000001</v>
      </c>
      <c r="I31" s="16">
        <f ca="1">_xll.DBRW($D$4,$E$7,$E$8,$E$9,$E$10,$E$12,$D31,$E$6,I$18,I$17)</f>
        <v>0</v>
      </c>
      <c r="J31" s="26">
        <f ca="1">_xll.DBRW($D$4,$E$7,$E$8,$E$9,$E$10,$E$12,$D31,$E$6,J$18,J$17)</f>
        <v>-0.79869456000000005</v>
      </c>
      <c r="K31" s="26">
        <f ca="1">_xll.DBRW($D$4,$E$7,$E$8,$E$9,$E$10,$E$12,$D31,$E$6,K$18,K$17)</f>
        <v>0</v>
      </c>
      <c r="L31" s="26">
        <f ca="1">_xll.DBRW($D$4,$E$7,$E$8,$E$9,$E$10,$E$12,$D31,$E$6,L$18,L$17)</f>
        <v>0</v>
      </c>
      <c r="M31" s="26">
        <f ca="1">_xll.DBRW($D$4,$E$7,$E$8,$E$9,$E$10,$E$12,$D31,$E$6,M$18,M$17)</f>
        <v>0</v>
      </c>
      <c r="N31" s="16">
        <f ca="1">_xll.DBRW($D$4,$E$7,$E$8,$E$9,$E$10,$E$12,$D31,$E$6,N$18,N$17)</f>
        <v>4.3651957299999982</v>
      </c>
      <c r="O31" s="16">
        <f ca="1">_xll.DBRW($D$4,$E$7,$E$8,$E$9,$E$10,$E$12,$D31,$E$6,O$18,O$17)</f>
        <v>32.02617008</v>
      </c>
      <c r="P31" s="74">
        <f ca="1">_xll.DBRW($D$4,$E$7,$E$8,$E$9,$E$10,$E$12,$D31,$E$6,P$18,P$17)</f>
        <v>-13.449820239999999</v>
      </c>
      <c r="Q31" s="16">
        <f ca="1">_xll.DBRW($D$4,$E$7,$E$8,$E$9,$E$10,$E$12,$D31,$E$6,Q$18,Q$17)</f>
        <v>0.41996343010740667</v>
      </c>
      <c r="R31" s="16"/>
      <c r="S31" s="16"/>
      <c r="T31" s="16"/>
      <c r="U31" s="16"/>
      <c r="V31" s="16">
        <f ca="1">_xll.DBRW($D$4,$E$7,$E$8,$E$9,$E$10,$E$12,$D31,$E$6,V$18,V$17)</f>
        <v>-3.7604563600000005</v>
      </c>
      <c r="W31" s="16">
        <f ca="1">_xll.DBRW($D$4,$E$7,$E$8,$E$9,$E$10,$E$12,$D31,$E$6,W$18,W$17)</f>
        <v>0.11741823485626104</v>
      </c>
      <c r="X31" s="16"/>
      <c r="Y31" s="16"/>
      <c r="Z31" s="16"/>
      <c r="AA31" s="16"/>
      <c r="AB31" s="16">
        <f ca="1">_xll.DBRW($D$4,$E$7,$E$8,$E$9,$E$10,$E$12,$D31,$E$6,AB$18,AB$17)</f>
        <v>-3.1380724799999995</v>
      </c>
      <c r="AC31" s="16">
        <f ca="1">_xll.DBRW($D$4,$E$7,$E$8,$E$9,$E$10,$E$12,$D31,$E$6,AC$18,AC$17)</f>
        <v>9.7984631698427541E-2</v>
      </c>
      <c r="AD31" s="16"/>
      <c r="AE31" s="16"/>
      <c r="AF31" s="16"/>
      <c r="AG31" s="16"/>
      <c r="AH31" s="16">
        <f ca="1">_xll.DBRW($D$4,$E$7,$E$8,$E$9,$E$10,$E$12,$D31,$E$6,AH$18,AH$17)</f>
        <v>-2.2518747299999999</v>
      </c>
      <c r="AI31" s="16">
        <f ca="1">_xll.DBRW($D$4,$E$7,$E$8,$E$9,$E$10,$E$12,$D31,$E$6,AI$18,AI$17)</f>
        <v>7.0313581810591566E-2</v>
      </c>
      <c r="AJ31" s="16"/>
      <c r="AK31" s="16"/>
      <c r="AL31" s="16"/>
      <c r="AM31" s="16"/>
      <c r="AN31" s="16">
        <f ca="1">_xll.DBRW($D$4,$E$7,$E$8,$E$9,$E$10,$E$12,$D31,$E$6,AN$18,AN$17)</f>
        <v>-5.0607505399999972</v>
      </c>
      <c r="AO31" s="16">
        <f ca="1">_xll.DBRW($D$4,$E$7,$E$8,$E$9,$E$10,$E$12,$D31,$E$6,AO$18,AO$17)</f>
        <v>0.15801922388341968</v>
      </c>
      <c r="AP31" s="16"/>
      <c r="AQ31" s="16"/>
      <c r="AR31" s="16"/>
      <c r="AS31" s="16"/>
      <c r="AT31" s="16">
        <f ca="1">_xll.DBRW($D$4,$E$7,$E$8,$E$9,$E$10,$E$12,$D31,$E$6,AT$18,AT$17)</f>
        <v>0.47536499999999993</v>
      </c>
      <c r="AU31" s="16">
        <f ca="1">_xll.DBRW($D$4,$E$7,$E$8,$E$9,$E$10,$E$12,$D31,$E$6,AU$18,AU$17)</f>
        <v>9.9852849999999993</v>
      </c>
      <c r="AV31" s="16">
        <f ca="1">_xll.DBRW($D$4,$E$7,$E$8,$E$9,$E$10,$E$12,$D31,$E$6,AV$18,AV$17)</f>
        <v>9.9852849999999993</v>
      </c>
      <c r="AW31" s="16">
        <f ca="1">_xll.DBRW($D$4,$E$7,$E$8,$E$9,$E$10,$E$12,$D31,$E$6,AW$18,AW$17)</f>
        <v>9.9852849999999993</v>
      </c>
      <c r="AX31" s="16">
        <f ca="1">_xll.DBRW($D$4,$E$7,$E$8,$E$9,$E$10,$E$12,$D31,$E$6,AX$18,AX$17)</f>
        <v>3.7656752672559994</v>
      </c>
      <c r="AY31" s="16">
        <f ca="1">_xll.DBRW($D$4,$E$7,$E$8,$E$9,$E$10,$E$12,$D31,$E$6,AY$18,AY$17)</f>
        <v>9.9852849999999993</v>
      </c>
      <c r="AZ31" s="16">
        <f ca="1">_xll.DBRW($D$4,$E$7,$E$8,$E$9,$E$10,$E$12,$D31,$E$6,AZ$18,AZ$17)</f>
        <v>7.461055</v>
      </c>
      <c r="BA31" s="16">
        <f ca="1">_xll.DBRW($D$4,$E$7,$E$8,$E$9,$E$10,$E$12,$D31,$E$6,BA$18,BA$17)</f>
        <v>9.9852849999999993</v>
      </c>
      <c r="BB31" s="16">
        <f ca="1">_xll.DBRW($D$4,$E$7,$E$8,$E$9,$E$10,$E$12,$D31,$E$6,BB$18,BB$17)</f>
        <v>9.9852849999999993</v>
      </c>
      <c r="BC31" s="16">
        <f ca="1">_xll.DBRW($D$4,$E$7,$E$8,$E$9,$E$10,$E$12,$D31,$E$6,BC$18,BC$17)</f>
        <v>9.9852849999999993</v>
      </c>
      <c r="BD31" s="16">
        <f ca="1">_xll.DBRW($D$4,$E$7,$E$8,$E$9,$E$10,$E$12,$D31,$E$6,BD$18,BD$17)</f>
        <v>-9.3000147361961827E-2</v>
      </c>
      <c r="BE31" s="16">
        <f ca="1">_xll.DBRW($D$4,$E$7,$E$8,$E$9,$E$10,$E$12,$D31,$E$6,BE$18,BE$17)</f>
        <v>-2.3892898499999999</v>
      </c>
      <c r="BF31" s="16">
        <f ca="1">_xll.DBRW($D$4,$E$7,$E$8,$E$9,$E$10,$E$12,$D31,$E$6,BF$18,BF$17)</f>
        <v>0</v>
      </c>
      <c r="BG31" s="26">
        <f ca="1">_xll.DBRW($D$4,$E$7,$E$8,$E$9,$E$10,$E$12,$D31,$E$6,BG$18,BG$17)</f>
        <v>-0.92593897999999997</v>
      </c>
      <c r="BH31" s="26">
        <f ca="1">_xll.DBRW($D$4,$E$7,$E$8,$E$9,$E$10,$E$12,$D31,$E$6,BH$18,BH$17)</f>
        <v>0</v>
      </c>
      <c r="BI31" s="26">
        <f ca="1">_xll.DBRW($D$4,$E$7,$E$8,$E$9,$E$10,$E$12,$D31,$E$6,BI$18,BI$17)</f>
        <v>0</v>
      </c>
      <c r="BJ31" s="26">
        <f ca="1">_xll.DBRW($D$4,$E$7,$E$8,$E$9,$E$10,$E$12,$D31,$E$6,BJ$18,BJ$17)</f>
        <v>0</v>
      </c>
      <c r="BK31" s="16">
        <f ca="1">_xll.DBRW($D$4,$E$7,$E$8,$E$9,$E$10,$E$12,$D31,$E$6,BK$18,BK$17)</f>
        <v>3.2222286826380384</v>
      </c>
      <c r="BL31" s="16">
        <f ca="1">_xll.DBRW($D$4,$E$7,$E$8,$E$9,$E$10,$E$12,$D31,$E$6,BL$18,BL$17)</f>
        <v>33.489803822243601</v>
      </c>
      <c r="BM31" s="16">
        <f ca="1">_xll.DBRW($D$4,$E$7,$E$8,$E$9,$E$10,$E$12,$D31,$E$6,BM$18,BM$17)</f>
        <v>-14.746421140000001</v>
      </c>
      <c r="BN31" s="16">
        <f ca="1">_xll.DBRW($D$4,$E$7,$E$8,$E$9,$E$10,$E$12,$D31,$E$6,BN$18,BN$17)</f>
        <v>0.44032569489719053</v>
      </c>
      <c r="BO31" s="16"/>
      <c r="BP31" s="16"/>
      <c r="BQ31" s="16"/>
      <c r="BR31" s="16"/>
      <c r="BS31" s="16">
        <f ca="1">_xll.DBRW($D$4,$E$7,$E$8,$E$9,$E$10,$E$12,$D31,$E$6,BS$18,BS$17)</f>
        <v>-3.5904599910300004</v>
      </c>
      <c r="BT31" s="16">
        <f ca="1">_xll.DBRW($D$4,$E$7,$E$8,$E$9,$E$10,$E$12,$D31,$E$6,BT$18,BT$17)</f>
        <v>0.10721054115716414</v>
      </c>
      <c r="BU31" s="16"/>
      <c r="BV31" s="16"/>
      <c r="BW31" s="16"/>
      <c r="BX31" s="16"/>
      <c r="BY31" s="16">
        <f ca="1">_xll.DBRW($D$4,$E$7,$E$8,$E$9,$E$10,$E$12,$D31,$E$6,BY$18,BY$17)</f>
        <v>-3.5182717246755604</v>
      </c>
      <c r="BZ31" s="16">
        <f ca="1">_xll.DBRW($D$4,$E$7,$E$8,$E$9,$E$10,$E$12,$D31,$E$6,BZ$18,BZ$17)</f>
        <v>0.10505501147005103</v>
      </c>
      <c r="CA31" s="16"/>
      <c r="CB31" s="16"/>
      <c r="CC31" s="16"/>
      <c r="CD31" s="16"/>
      <c r="CE31" s="16">
        <f ca="1">_xll.DBRW($D$4,$E$7,$E$8,$E$9,$E$10,$E$12,$D31,$E$6,CE$18,CE$17)</f>
        <v>-2.6694940299999996</v>
      </c>
      <c r="CF31" s="16">
        <f ca="1">_xll.DBRW($D$4,$E$7,$E$8,$E$9,$E$10,$E$12,$D31,$E$6,CF$18,CF$17)</f>
        <v>7.9710649968840599E-2</v>
      </c>
      <c r="CG31" s="16"/>
      <c r="CH31" s="16"/>
      <c r="CI31" s="16"/>
      <c r="CJ31" s="16"/>
      <c r="CK31" s="16">
        <f ca="1">_xll.DBRW($D$4,$E$7,$E$8,$E$9,$E$10,$E$12,$D31,$E$6,CK$18,CK$17)</f>
        <v>-5.7429282539000006</v>
      </c>
      <c r="CL31" s="16">
        <f ca="1">_xll.DBRW($D$4,$E$7,$E$8,$E$9,$E$10,$E$12,$D31,$E$6,CL$18,CL$17)</f>
        <v>0.17148288728062372</v>
      </c>
      <c r="CM31" s="16"/>
      <c r="CN31" s="16"/>
      <c r="CO31" s="16"/>
      <c r="CP31" s="16"/>
      <c r="CQ31" s="16">
        <f ca="1">_xll.DBRW($D$4,$E$7,$E$8,$E$9,$E$10,$E$12,$D31,$E$6,CQ$18,CQ$17)</f>
        <v>0.53828399999999987</v>
      </c>
      <c r="CR31" s="16">
        <f ca="1">_xll.DBRW($D$4,$E$7,$E$8,$E$9,$E$10,$E$12,$D31,$E$6,CR$18,CR$17)</f>
        <v>11.081010999999998</v>
      </c>
      <c r="CS31" s="16">
        <f ca="1">_xll.DBRW($D$4,$E$7,$E$8,$E$9,$E$10,$E$12,$D31,$E$6,CS$18,CS$17)</f>
        <v>11.081010999999998</v>
      </c>
      <c r="CT31" s="16">
        <f ca="1">_xll.DBRW($D$4,$E$7,$E$8,$E$9,$E$10,$E$12,$D31,$E$6,CT$18,CT$17)</f>
        <v>11.081010999999998</v>
      </c>
      <c r="CU31" s="16">
        <f ca="1">_xll.DBRW($D$4,$E$7,$E$8,$E$9,$E$10,$E$12,$D31,$E$6,CU$18,CU$17)</f>
        <v>4.1367471684381592</v>
      </c>
      <c r="CV31" s="16">
        <f ca="1">_xll.DBRW($D$4,$E$7,$E$8,$E$9,$E$10,$E$12,$D31,$E$6,CV$18,CV$17)</f>
        <v>11.081010999999998</v>
      </c>
      <c r="CW31" s="16">
        <f ca="1">_xll.DBRW($D$4,$E$7,$E$8,$E$9,$E$10,$E$12,$D31,$E$6,CW$18,CW$17)</f>
        <v>8.5376429999999992</v>
      </c>
      <c r="CX31" s="16">
        <f ca="1">_xll.DBRW($D$4,$E$7,$E$8,$E$9,$E$10,$E$12,$D31,$E$6,CX$18,CX$17)</f>
        <v>11.081010999999998</v>
      </c>
      <c r="CY31" s="16">
        <f ca="1">_xll.DBRW($D$4,$E$7,$E$8,$E$9,$E$10,$E$12,$D31,$E$6,CY$18,CY$17)</f>
        <v>11.081010999999998</v>
      </c>
      <c r="CZ31" s="16">
        <f ca="1">_xll.DBRW($D$4,$E$7,$E$8,$E$9,$E$10,$E$12,$D31,$E$6,CZ$18,CZ$17)</f>
        <v>11.081010999999998</v>
      </c>
      <c r="DA31" s="26">
        <f t="shared" ca="1" si="89"/>
        <v>1.98801496736196</v>
      </c>
      <c r="DB31" s="26">
        <f t="shared" ca="1" si="90"/>
        <v>0.71780349999999982</v>
      </c>
      <c r="DC31" s="26">
        <f t="shared" ca="1" si="91"/>
        <v>0</v>
      </c>
      <c r="DD31" s="26">
        <f t="shared" ca="1" si="92"/>
        <v>0.12724441999999991</v>
      </c>
      <c r="DE31" s="26">
        <f t="shared" ca="1" si="93"/>
        <v>0</v>
      </c>
      <c r="DF31" s="26">
        <f t="shared" ca="1" si="94"/>
        <v>0</v>
      </c>
      <c r="DG31" s="26">
        <f t="shared" ca="1" si="95"/>
        <v>0</v>
      </c>
      <c r="DH31" s="26">
        <f t="shared" ca="1" si="96"/>
        <v>1.1429670473619598</v>
      </c>
      <c r="DI31" s="26">
        <f t="shared" ca="1" si="97"/>
        <v>-1.4636337422436014</v>
      </c>
      <c r="DJ31" s="26">
        <f t="shared" ca="1" si="98"/>
        <v>1.2966009000000014</v>
      </c>
      <c r="DK31" s="26">
        <f t="shared" ca="1" si="99"/>
        <v>-2.0362264789783868E-2</v>
      </c>
      <c r="DL31" s="26"/>
      <c r="DM31" s="26"/>
      <c r="DN31" s="26"/>
      <c r="DO31" s="26"/>
      <c r="DP31" s="26">
        <f t="shared" ca="1" si="100"/>
        <v>-0.16999636897000014</v>
      </c>
      <c r="DQ31" s="26">
        <f t="shared" ca="1" si="101"/>
        <v>1.0207693699096909E-2</v>
      </c>
      <c r="DR31" s="26"/>
      <c r="DS31" s="26"/>
      <c r="DT31" s="26"/>
      <c r="DU31" s="26"/>
      <c r="DV31" s="26">
        <f t="shared" ca="1" si="102"/>
        <v>0.38019924467556088</v>
      </c>
      <c r="DW31" s="26">
        <f t="shared" ca="1" si="103"/>
        <v>-7.070379771623489E-3</v>
      </c>
      <c r="DX31" s="26"/>
      <c r="DY31" s="26"/>
      <c r="DZ31" s="26"/>
      <c r="EA31" s="26"/>
      <c r="EB31" s="26">
        <f t="shared" ca="1" si="104"/>
        <v>0.41761929999999969</v>
      </c>
      <c r="EC31" s="26">
        <f t="shared" ca="1" si="105"/>
        <v>-9.3970681582490334E-3</v>
      </c>
      <c r="ED31" s="26"/>
      <c r="EE31" s="26"/>
      <c r="EF31" s="26"/>
      <c r="EG31" s="26"/>
      <c r="EH31" s="26">
        <f t="shared" ca="1" si="106"/>
        <v>0.68217771390000337</v>
      </c>
      <c r="EI31" s="29">
        <f t="shared" ca="1" si="107"/>
        <v>-1.3463663397204034E-2</v>
      </c>
      <c r="EJ31" s="29"/>
      <c r="EK31" s="29"/>
      <c r="EL31" s="29"/>
      <c r="EM31" s="29"/>
      <c r="EN31" s="93"/>
      <c r="EO31" s="29"/>
      <c r="EP31" s="29"/>
      <c r="EQ31" s="29"/>
      <c r="ER31" s="29"/>
      <c r="ES31" s="29"/>
      <c r="ET31" s="29"/>
      <c r="EU31" s="93"/>
      <c r="EV31" s="29"/>
      <c r="EW31" s="29"/>
      <c r="EX31" s="29"/>
      <c r="EY31" s="29"/>
      <c r="EZ31" s="29"/>
      <c r="FA31" s="29"/>
      <c r="FB31" s="93"/>
      <c r="FC31" s="29"/>
      <c r="FD31" s="29"/>
      <c r="FE31" s="29"/>
      <c r="FF31" s="29"/>
      <c r="FG31" s="29"/>
      <c r="FH31" s="29"/>
      <c r="FI31" s="93"/>
      <c r="FJ31" s="29"/>
      <c r="FK31" s="29"/>
      <c r="FL31" s="29"/>
      <c r="FM31" s="29"/>
      <c r="FN31" s="29"/>
      <c r="FO31" s="29"/>
      <c r="FP31" s="93"/>
      <c r="FQ31" s="29"/>
      <c r="FR31" s="29"/>
      <c r="FS31" s="29"/>
      <c r="FT31" s="29"/>
      <c r="FU31" s="29"/>
      <c r="FV31" s="29"/>
    </row>
    <row r="32" spans="1:183" x14ac:dyDescent="0.25">
      <c r="A32" t="str">
        <f ca="1">IF(_xll.TM1RPTELISCONSOLIDATED($D$28,$D32),IF(_xll.TM1RPTELLEV($D$28,$D32)&lt;=3,_xll.TM1RPTELLEV($D$28,$D32),"D"),"N")</f>
        <v>N</v>
      </c>
      <c r="B32" t="str">
        <f ca="1">_xll.DBRA(Server&amp;"Management_organization",$D32,$B$27)</f>
        <v>L</v>
      </c>
      <c r="C32">
        <v>1</v>
      </c>
      <c r="D32" s="2" t="s">
        <v>76</v>
      </c>
      <c r="E32" s="26"/>
      <c r="F32" s="26"/>
      <c r="G32" s="16">
        <f ca="1">_xll.DBRW($D$4,$E$7,$E$8,$E$9,$E$10,$E$12,$D32,$E$6,G$18,G$17)</f>
        <v>-0.97349928999999569</v>
      </c>
      <c r="H32" s="16">
        <f ca="1">_xll.DBRW($D$4,$E$7,$E$8,$E$9,$E$10,$E$12,$D32,$E$6,H$18,H$17)</f>
        <v>-1.53511924</v>
      </c>
      <c r="I32" s="16">
        <f ca="1">_xll.DBRW($D$4,$E$7,$E$8,$E$9,$E$10,$E$12,$D32,$E$6,I$18,I$17)</f>
        <v>0</v>
      </c>
      <c r="J32" s="26">
        <f ca="1">_xll.DBRW($D$4,$E$7,$E$8,$E$9,$E$10,$E$12,$D32,$E$6,J$18,J$17)</f>
        <v>-0.65547546000000001</v>
      </c>
      <c r="K32" s="26">
        <f ca="1">_xll.DBRW($D$4,$E$7,$E$8,$E$9,$E$10,$E$12,$D32,$E$6,K$18,K$17)</f>
        <v>0</v>
      </c>
      <c r="L32" s="26">
        <f ca="1">_xll.DBRW($D$4,$E$7,$E$8,$E$9,$E$10,$E$12,$D32,$E$6,L$18,L$17)</f>
        <v>0</v>
      </c>
      <c r="M32" s="26">
        <f ca="1">_xll.DBRW($D$4,$E$7,$E$8,$E$9,$E$10,$E$12,$D32,$E$6,M$18,M$17)</f>
        <v>0</v>
      </c>
      <c r="N32" s="16">
        <f ca="1">_xll.DBRW($D$4,$E$7,$E$8,$E$9,$E$10,$E$12,$D32,$E$6,N$18,N$17)</f>
        <v>1.2170954100000042</v>
      </c>
      <c r="O32" s="16">
        <f ca="1">_xll.DBRW($D$4,$E$7,$E$8,$E$9,$E$10,$E$12,$D32,$E$6,O$18,O$17)</f>
        <v>22.400479169999997</v>
      </c>
      <c r="P32" s="74">
        <f ca="1">_xll.DBRW($D$4,$E$7,$E$8,$E$9,$E$10,$E$12,$D32,$E$6,P$18,P$17)</f>
        <v>-10.434263290000001</v>
      </c>
      <c r="Q32" s="16">
        <f ca="1">_xll.DBRW($D$4,$E$7,$E$8,$E$9,$E$10,$E$12,$D32,$E$6,Q$18,Q$17)</f>
        <v>0.46580536116272742</v>
      </c>
      <c r="R32" s="16"/>
      <c r="S32" s="16"/>
      <c r="T32" s="16"/>
      <c r="U32" s="16"/>
      <c r="V32" s="16">
        <f ca="1">_xll.DBRW($D$4,$E$7,$E$8,$E$9,$E$10,$E$12,$D32,$E$6,V$18,V$17)</f>
        <v>-2.8360364699999998</v>
      </c>
      <c r="W32" s="16">
        <f ca="1">_xll.DBRW($D$4,$E$7,$E$8,$E$9,$E$10,$E$12,$D32,$E$6,W$18,W$17)</f>
        <v>0.1266060626862921</v>
      </c>
      <c r="X32" s="16"/>
      <c r="Y32" s="16"/>
      <c r="Z32" s="16"/>
      <c r="AA32" s="16"/>
      <c r="AB32" s="16">
        <f ca="1">_xll.DBRW($D$4,$E$7,$E$8,$E$9,$E$10,$E$12,$D32,$E$6,AB$18,AB$17)</f>
        <v>-2.5844415300000008</v>
      </c>
      <c r="AC32" s="16">
        <f ca="1">_xll.DBRW($D$4,$E$7,$E$8,$E$9,$E$10,$E$12,$D32,$E$6,AC$18,AC$17)</f>
        <v>0.11537438598461915</v>
      </c>
      <c r="AD32" s="16"/>
      <c r="AE32" s="16"/>
      <c r="AF32" s="16"/>
      <c r="AG32" s="16"/>
      <c r="AH32" s="16">
        <f ca="1">_xll.DBRW($D$4,$E$7,$E$8,$E$9,$E$10,$E$12,$D32,$E$6,AH$18,AH$17)</f>
        <v>-1.72987516</v>
      </c>
      <c r="AI32" s="16">
        <f ca="1">_xll.DBRW($D$4,$E$7,$E$8,$E$9,$E$10,$E$12,$D32,$E$6,AI$18,AI$17)</f>
        <v>7.7224917684651478E-2</v>
      </c>
      <c r="AJ32" s="16"/>
      <c r="AK32" s="16"/>
      <c r="AL32" s="16"/>
      <c r="AM32" s="16"/>
      <c r="AN32" s="16">
        <f ca="1">_xll.DBRW($D$4,$E$7,$E$8,$E$9,$E$10,$E$12,$D32,$E$6,AN$18,AN$17)</f>
        <v>-3.5992346999999993</v>
      </c>
      <c r="AO32" s="16">
        <f ca="1">_xll.DBRW($D$4,$E$7,$E$8,$E$9,$E$10,$E$12,$D32,$E$6,AO$18,AO$17)</f>
        <v>0.16067668341757171</v>
      </c>
      <c r="AP32" s="16"/>
      <c r="AQ32" s="16"/>
      <c r="AR32" s="16"/>
      <c r="AS32" s="16"/>
      <c r="AT32" s="16">
        <f ca="1">_xll.DBRW($D$4,$E$7,$E$8,$E$9,$E$10,$E$12,$D32,$E$6,AT$18,AT$17)</f>
        <v>0.36960327999999992</v>
      </c>
      <c r="AU32" s="16">
        <f ca="1">_xll.DBRW($D$4,$E$7,$E$8,$E$9,$E$10,$E$12,$D32,$E$6,AU$18,AU$17)</f>
        <v>8.9077389999999994</v>
      </c>
      <c r="AV32" s="16">
        <f ca="1">_xll.DBRW($D$4,$E$7,$E$8,$E$9,$E$10,$E$12,$D32,$E$6,AV$18,AV$17)</f>
        <v>8.9077389999999994</v>
      </c>
      <c r="AW32" s="16">
        <f ca="1">_xll.DBRW($D$4,$E$7,$E$8,$E$9,$E$10,$E$12,$D32,$E$6,AW$18,AW$17)</f>
        <v>8.9077389999999994</v>
      </c>
      <c r="AX32" s="16">
        <f ca="1">_xll.DBRW($D$4,$E$7,$E$8,$E$9,$E$10,$E$12,$D32,$E$6,AX$18,AX$17)</f>
        <v>2.9917755099999996</v>
      </c>
      <c r="AY32" s="16">
        <f ca="1">_xll.DBRW($D$4,$E$7,$E$8,$E$9,$E$10,$E$12,$D32,$E$6,AY$18,AY$17)</f>
        <v>8.9077389999999994</v>
      </c>
      <c r="AZ32" s="16">
        <f ca="1">_xll.DBRW($D$4,$E$7,$E$8,$E$9,$E$10,$E$12,$D32,$E$6,AZ$18,AZ$17)</f>
        <v>6.9702012399999997</v>
      </c>
      <c r="BA32" s="16">
        <f ca="1">_xll.DBRW($D$4,$E$7,$E$8,$E$9,$E$10,$E$12,$D32,$E$6,BA$18,BA$17)</f>
        <v>8.9077389999999994</v>
      </c>
      <c r="BB32" s="16">
        <f ca="1">_xll.DBRW($D$4,$E$7,$E$8,$E$9,$E$10,$E$12,$D32,$E$6,BB$18,BB$17)</f>
        <v>8.9077389999999994</v>
      </c>
      <c r="BC32" s="16">
        <f ca="1">_xll.DBRW($D$4,$E$7,$E$8,$E$9,$E$10,$E$12,$D32,$E$6,BC$18,BC$17)</f>
        <v>8.9077389999999994</v>
      </c>
      <c r="BD32" s="16">
        <f ca="1">_xll.DBRW($D$4,$E$7,$E$8,$E$9,$E$10,$E$12,$D32,$E$6,BD$18,BD$17)</f>
        <v>0.96410278830645346</v>
      </c>
      <c r="BE32" s="16">
        <f ca="1">_xll.DBRW($D$4,$E$7,$E$8,$E$9,$E$10,$E$12,$D32,$E$6,BE$18,BE$17)</f>
        <v>-2.2384191700000002</v>
      </c>
      <c r="BF32" s="16">
        <f ca="1">_xll.DBRW($D$4,$E$7,$E$8,$E$9,$E$10,$E$12,$D32,$E$6,BF$18,BF$17)</f>
        <v>0</v>
      </c>
      <c r="BG32" s="26">
        <f ca="1">_xll.DBRW($D$4,$E$7,$E$8,$E$9,$E$10,$E$12,$D32,$E$6,BG$18,BG$17)</f>
        <v>-0.71903481999999996</v>
      </c>
      <c r="BH32" s="26">
        <f ca="1">_xll.DBRW($D$4,$E$7,$E$8,$E$9,$E$10,$E$12,$D32,$E$6,BH$18,BH$17)</f>
        <v>0</v>
      </c>
      <c r="BI32" s="26">
        <f ca="1">_xll.DBRW($D$4,$E$7,$E$8,$E$9,$E$10,$E$12,$D32,$E$6,BI$18,BI$17)</f>
        <v>0</v>
      </c>
      <c r="BJ32" s="26">
        <f ca="1">_xll.DBRW($D$4,$E$7,$E$8,$E$9,$E$10,$E$12,$D32,$E$6,BJ$18,BJ$17)</f>
        <v>0</v>
      </c>
      <c r="BK32" s="16">
        <f ca="1">_xll.DBRW($D$4,$E$7,$E$8,$E$9,$E$10,$E$12,$D32,$E$6,BK$18,BK$17)</f>
        <v>3.9215567783064538</v>
      </c>
      <c r="BL32" s="16">
        <f ca="1">_xll.DBRW($D$4,$E$7,$E$8,$E$9,$E$10,$E$12,$D32,$E$6,BL$18,BL$17)</f>
        <v>29.022411850000005</v>
      </c>
      <c r="BM32" s="16">
        <f ca="1">_xll.DBRW($D$4,$E$7,$E$8,$E$9,$E$10,$E$12,$D32,$E$6,BM$18,BM$17)</f>
        <v>-12.072736109999997</v>
      </c>
      <c r="BN32" s="16">
        <f ca="1">_xll.DBRW($D$4,$E$7,$E$8,$E$9,$E$10,$E$12,$D32,$E$6,BN$18,BN$17)</f>
        <v>0.415979766685035</v>
      </c>
      <c r="BO32" s="16"/>
      <c r="BP32" s="16"/>
      <c r="BQ32" s="16"/>
      <c r="BR32" s="16"/>
      <c r="BS32" s="16">
        <f ca="1">_xll.DBRW($D$4,$E$7,$E$8,$E$9,$E$10,$E$12,$D32,$E$6,BS$18,BS$17)</f>
        <v>-3.1094366353799998</v>
      </c>
      <c r="BT32" s="16">
        <f ca="1">_xll.DBRW($D$4,$E$7,$E$8,$E$9,$E$10,$E$12,$D32,$E$6,BT$18,BT$17)</f>
        <v>0.10713915340499171</v>
      </c>
      <c r="BU32" s="16"/>
      <c r="BV32" s="16"/>
      <c r="BW32" s="16"/>
      <c r="BX32" s="16"/>
      <c r="BY32" s="16">
        <f ca="1">_xll.DBRW($D$4,$E$7,$E$8,$E$9,$E$10,$E$12,$D32,$E$6,BY$18,BY$17)</f>
        <v>-2.7531254863135528</v>
      </c>
      <c r="BZ32" s="16">
        <f ca="1">_xll.DBRW($D$4,$E$7,$E$8,$E$9,$E$10,$E$12,$D32,$E$6,BZ$18,BZ$17)</f>
        <v>9.4862050078500015E-2</v>
      </c>
      <c r="CA32" s="16"/>
      <c r="CB32" s="16"/>
      <c r="CC32" s="16"/>
      <c r="CD32" s="16"/>
      <c r="CE32" s="16">
        <f ca="1">_xll.DBRW($D$4,$E$7,$E$8,$E$9,$E$10,$E$12,$D32,$E$6,CE$18,CE$17)</f>
        <v>-2.3491087099999999</v>
      </c>
      <c r="CF32" s="16">
        <f ca="1">_xll.DBRW($D$4,$E$7,$E$8,$E$9,$E$10,$E$12,$D32,$E$6,CF$18,CF$17)</f>
        <v>8.0941195450646167E-2</v>
      </c>
      <c r="CG32" s="16"/>
      <c r="CH32" s="16"/>
      <c r="CI32" s="16"/>
      <c r="CJ32" s="16"/>
      <c r="CK32" s="16">
        <f ca="1">_xll.DBRW($D$4,$E$7,$E$8,$E$9,$E$10,$E$12,$D32,$E$6,CK$18,CK$17)</f>
        <v>-4.8164481299999995</v>
      </c>
      <c r="CL32" s="16">
        <f ca="1">_xll.DBRW($D$4,$E$7,$E$8,$E$9,$E$10,$E$12,$D32,$E$6,CL$18,CL$17)</f>
        <v>0.16595616363289942</v>
      </c>
      <c r="CM32" s="16"/>
      <c r="CN32" s="16"/>
      <c r="CO32" s="16"/>
      <c r="CP32" s="16"/>
      <c r="CQ32" s="16">
        <f ca="1">_xll.DBRW($D$4,$E$7,$E$8,$E$9,$E$10,$E$12,$D32,$E$6,CQ$18,CQ$17)</f>
        <v>0.39718700000000001</v>
      </c>
      <c r="CR32" s="16">
        <f ca="1">_xll.DBRW($D$4,$E$7,$E$8,$E$9,$E$10,$E$12,$D32,$E$6,CR$18,CR$17)</f>
        <v>9.8753694400000001</v>
      </c>
      <c r="CS32" s="16">
        <f ca="1">_xll.DBRW($D$4,$E$7,$E$8,$E$9,$E$10,$E$12,$D32,$E$6,CS$18,CS$17)</f>
        <v>9.8753694400000001</v>
      </c>
      <c r="CT32" s="16">
        <f ca="1">_xll.DBRW($D$4,$E$7,$E$8,$E$9,$E$10,$E$12,$D32,$E$6,CT$18,CT$17)</f>
        <v>9.8753694400000001</v>
      </c>
      <c r="CU32" s="16">
        <f ca="1">_xll.DBRW($D$4,$E$7,$E$8,$E$9,$E$10,$E$12,$D32,$E$6,CU$18,CU$17)</f>
        <v>3.3116673104399998</v>
      </c>
      <c r="CV32" s="16">
        <f ca="1">_xll.DBRW($D$4,$E$7,$E$8,$E$9,$E$10,$E$12,$D32,$E$6,CV$18,CV$17)</f>
        <v>9.8753694400000001</v>
      </c>
      <c r="CW32" s="16">
        <f ca="1">_xll.DBRW($D$4,$E$7,$E$8,$E$9,$E$10,$E$12,$D32,$E$6,CW$18,CW$17)</f>
        <v>7.764702999999999</v>
      </c>
      <c r="CX32" s="16">
        <f ca="1">_xll.DBRW($D$4,$E$7,$E$8,$E$9,$E$10,$E$12,$D32,$E$6,CX$18,CX$17)</f>
        <v>9.8753694400000001</v>
      </c>
      <c r="CY32" s="16">
        <f ca="1">_xll.DBRW($D$4,$E$7,$E$8,$E$9,$E$10,$E$12,$D32,$E$6,CY$18,CY$17)</f>
        <v>9.8753694400000001</v>
      </c>
      <c r="CZ32" s="16">
        <f ca="1">_xll.DBRW($D$4,$E$7,$E$8,$E$9,$E$10,$E$12,$D32,$E$6,CZ$18,CZ$17)</f>
        <v>9.8753694400000001</v>
      </c>
      <c r="DA32" s="26">
        <f t="shared" ca="1" si="89"/>
        <v>-1.9376020783064491</v>
      </c>
      <c r="DB32" s="26">
        <f t="shared" ca="1" si="90"/>
        <v>0.70329993000000024</v>
      </c>
      <c r="DC32" s="26">
        <f t="shared" ca="1" si="91"/>
        <v>0</v>
      </c>
      <c r="DD32" s="26">
        <f t="shared" ca="1" si="92"/>
        <v>6.3559359999999954E-2</v>
      </c>
      <c r="DE32" s="26">
        <f t="shared" ca="1" si="93"/>
        <v>0</v>
      </c>
      <c r="DF32" s="26">
        <f t="shared" ca="1" si="94"/>
        <v>0</v>
      </c>
      <c r="DG32" s="26">
        <f t="shared" ca="1" si="95"/>
        <v>0</v>
      </c>
      <c r="DH32" s="26">
        <f t="shared" ca="1" si="96"/>
        <v>-2.7044613683064496</v>
      </c>
      <c r="DI32" s="26">
        <f t="shared" ca="1" si="97"/>
        <v>-6.6219326800000076</v>
      </c>
      <c r="DJ32" s="26">
        <f t="shared" ca="1" si="98"/>
        <v>1.6384728199999969</v>
      </c>
      <c r="DK32" s="26">
        <f t="shared" ca="1" si="99"/>
        <v>4.9825594477692414E-2</v>
      </c>
      <c r="DL32" s="26"/>
      <c r="DM32" s="26"/>
      <c r="DN32" s="26"/>
      <c r="DO32" s="26"/>
      <c r="DP32" s="26">
        <f t="shared" ca="1" si="100"/>
        <v>0.27340016538</v>
      </c>
      <c r="DQ32" s="26">
        <f t="shared" ca="1" si="101"/>
        <v>1.946690928130039E-2</v>
      </c>
      <c r="DR32" s="26"/>
      <c r="DS32" s="26"/>
      <c r="DT32" s="26"/>
      <c r="DU32" s="26"/>
      <c r="DV32" s="26">
        <f t="shared" ca="1" si="102"/>
        <v>0.16868395631355204</v>
      </c>
      <c r="DW32" s="26">
        <f t="shared" ca="1" si="103"/>
        <v>2.0512335906119131E-2</v>
      </c>
      <c r="DX32" s="26"/>
      <c r="DY32" s="26"/>
      <c r="DZ32" s="26"/>
      <c r="EA32" s="26"/>
      <c r="EB32" s="26">
        <f t="shared" ca="1" si="104"/>
        <v>0.61923354999999991</v>
      </c>
      <c r="EC32" s="26">
        <f t="shared" ca="1" si="105"/>
        <v>-3.7162777659946883E-3</v>
      </c>
      <c r="ED32" s="26"/>
      <c r="EE32" s="26"/>
      <c r="EF32" s="26"/>
      <c r="EG32" s="26"/>
      <c r="EH32" s="26">
        <f t="shared" ca="1" si="106"/>
        <v>1.2172134300000002</v>
      </c>
      <c r="EI32" s="29">
        <f t="shared" ca="1" si="107"/>
        <v>-5.2794802153277032E-3</v>
      </c>
      <c r="EJ32" s="29"/>
      <c r="EK32" s="29"/>
      <c r="EL32" s="29"/>
      <c r="EM32" s="29"/>
      <c r="EN32" s="93"/>
      <c r="EO32" s="29"/>
      <c r="EP32" s="29"/>
      <c r="EQ32" s="29"/>
      <c r="ER32" s="29"/>
      <c r="ES32" s="29"/>
      <c r="ET32" s="29"/>
      <c r="EU32" s="93"/>
      <c r="EV32" s="29"/>
      <c r="EW32" s="29"/>
      <c r="EX32" s="29"/>
      <c r="EY32" s="29"/>
      <c r="EZ32" s="29"/>
      <c r="FA32" s="29"/>
      <c r="FB32" s="93"/>
      <c r="FC32" s="29"/>
      <c r="FD32" s="29"/>
      <c r="FE32" s="29"/>
      <c r="FF32" s="29"/>
      <c r="FG32" s="29"/>
      <c r="FH32" s="29"/>
      <c r="FI32" s="93"/>
      <c r="FJ32" s="29"/>
      <c r="FK32" s="29"/>
      <c r="FL32" s="29"/>
      <c r="FM32" s="29"/>
      <c r="FN32" s="29"/>
      <c r="FO32" s="29"/>
      <c r="FP32" s="93"/>
      <c r="FQ32" s="29"/>
      <c r="FR32" s="29"/>
      <c r="FS32" s="29"/>
      <c r="FT32" s="29"/>
      <c r="FU32" s="29"/>
      <c r="FV32" s="29"/>
    </row>
    <row r="33" spans="1:178" x14ac:dyDescent="0.25">
      <c r="A33" t="str">
        <f ca="1">IF(_xll.TM1RPTELISCONSOLIDATED($D$28,$D33),IF(_xll.TM1RPTELLEV($D$28,$D33)&lt;=3,_xll.TM1RPTELLEV($D$28,$D33),"D"),"N")</f>
        <v>N</v>
      </c>
      <c r="B33" t="str">
        <f ca="1">_xll.DBRA(Server&amp;"Management_organization",$D33,$B$27)</f>
        <v>L</v>
      </c>
      <c r="C33">
        <v>1</v>
      </c>
      <c r="D33" s="2" t="s">
        <v>77</v>
      </c>
      <c r="E33" s="26"/>
      <c r="F33" s="26"/>
      <c r="G33" s="16">
        <f ca="1">_xll.DBRW($D$4,$E$7,$E$8,$E$9,$E$10,$E$12,$D33,$E$6,G$18,G$17)</f>
        <v>0.23622962999999944</v>
      </c>
      <c r="H33" s="16">
        <f ca="1">_xll.DBRW($D$4,$E$7,$E$8,$E$9,$E$10,$E$12,$D33,$E$6,H$18,H$17)</f>
        <v>-7.550910000000001E-2</v>
      </c>
      <c r="I33" s="16">
        <f ca="1">_xll.DBRW($D$4,$E$7,$E$8,$E$9,$E$10,$E$12,$D33,$E$6,I$18,I$17)</f>
        <v>0</v>
      </c>
      <c r="J33" s="26">
        <f ca="1">_xll.DBRW($D$4,$E$7,$E$8,$E$9,$E$10,$E$12,$D33,$E$6,J$18,J$17)</f>
        <v>0</v>
      </c>
      <c r="K33" s="26">
        <f ca="1">_xll.DBRW($D$4,$E$7,$E$8,$E$9,$E$10,$E$12,$D33,$E$6,K$18,K$17)</f>
        <v>0</v>
      </c>
      <c r="L33" s="26">
        <f ca="1">_xll.DBRW($D$4,$E$7,$E$8,$E$9,$E$10,$E$12,$D33,$E$6,L$18,L$17)</f>
        <v>0</v>
      </c>
      <c r="M33" s="26">
        <f ca="1">_xll.DBRW($D$4,$E$7,$E$8,$E$9,$E$10,$E$12,$D33,$E$6,M$18,M$17)</f>
        <v>0</v>
      </c>
      <c r="N33" s="16">
        <f ca="1">_xll.DBRW($D$4,$E$7,$E$8,$E$9,$E$10,$E$12,$D33,$E$6,N$18,N$17)</f>
        <v>0.31173872999999946</v>
      </c>
      <c r="O33" s="16">
        <f ca="1">_xll.DBRW($D$4,$E$7,$E$8,$E$9,$E$10,$E$12,$D33,$E$6,O$18,O$17)</f>
        <v>3.3904799999999997</v>
      </c>
      <c r="P33" s="74">
        <f ca="1">_xll.DBRW($D$4,$E$7,$E$8,$E$9,$E$10,$E$12,$D33,$E$6,P$18,P$17)</f>
        <v>-1.8726489200000003</v>
      </c>
      <c r="Q33" s="16">
        <f ca="1">_xll.DBRW($D$4,$E$7,$E$8,$E$9,$E$10,$E$12,$D33,$E$6,Q$18,Q$17)</f>
        <v>0.5523256058139262</v>
      </c>
      <c r="R33" s="16"/>
      <c r="S33" s="16"/>
      <c r="T33" s="16"/>
      <c r="U33" s="16"/>
      <c r="V33" s="16">
        <f ca="1">_xll.DBRW($D$4,$E$7,$E$8,$E$9,$E$10,$E$12,$D33,$E$6,V$18,V$17)</f>
        <v>-0.25951685999999996</v>
      </c>
      <c r="W33" s="16">
        <f ca="1">_xll.DBRW($D$4,$E$7,$E$8,$E$9,$E$10,$E$12,$D33,$E$6,W$18,W$17)</f>
        <v>7.6542808097968429E-2</v>
      </c>
      <c r="X33" s="16"/>
      <c r="Y33" s="16"/>
      <c r="Z33" s="16"/>
      <c r="AA33" s="16"/>
      <c r="AB33" s="16">
        <f ca="1">_xll.DBRW($D$4,$E$7,$E$8,$E$9,$E$10,$E$12,$D33,$E$6,AB$18,AB$17)</f>
        <v>-0.33606522999999999</v>
      </c>
      <c r="AC33" s="16">
        <f ca="1">_xll.DBRW($D$4,$E$7,$E$8,$E$9,$E$10,$E$12,$D33,$E$6,AC$18,AC$17)</f>
        <v>9.9120251409829885E-2</v>
      </c>
      <c r="AD33" s="16"/>
      <c r="AE33" s="16"/>
      <c r="AF33" s="16"/>
      <c r="AG33" s="16"/>
      <c r="AH33" s="16">
        <f ca="1">_xll.DBRW($D$4,$E$7,$E$8,$E$9,$E$10,$E$12,$D33,$E$6,AH$18,AH$17)</f>
        <v>-0.12350331000000003</v>
      </c>
      <c r="AI33" s="16">
        <f ca="1">_xll.DBRW($D$4,$E$7,$E$8,$E$9,$E$10,$E$12,$D33,$E$6,AI$18,AI$17)</f>
        <v>3.6426497133149299E-2</v>
      </c>
      <c r="AJ33" s="16"/>
      <c r="AK33" s="16"/>
      <c r="AL33" s="16"/>
      <c r="AM33" s="16"/>
      <c r="AN33" s="16">
        <f ca="1">_xll.DBRW($D$4,$E$7,$E$8,$E$9,$E$10,$E$12,$D33,$E$6,AN$18,AN$17)</f>
        <v>-0.48700695000000005</v>
      </c>
      <c r="AO33" s="16">
        <f ca="1">_xll.DBRW($D$4,$E$7,$E$8,$E$9,$E$10,$E$12,$D33,$E$6,AO$18,AO$17)</f>
        <v>0.14363952891625967</v>
      </c>
      <c r="AP33" s="16"/>
      <c r="AQ33" s="16"/>
      <c r="AR33" s="16"/>
      <c r="AS33" s="16"/>
      <c r="AT33" s="16">
        <f ca="1">_xll.DBRW($D$4,$E$7,$E$8,$E$9,$E$10,$E$12,$D33,$E$6,AT$18,AT$17)</f>
        <v>6.0832999999999998E-2</v>
      </c>
      <c r="AU33" s="16">
        <f ca="1">_xll.DBRW($D$4,$E$7,$E$8,$E$9,$E$10,$E$12,$D33,$E$6,AU$18,AU$17)</f>
        <v>0.74190199999999995</v>
      </c>
      <c r="AV33" s="16">
        <f ca="1">_xll.DBRW($D$4,$E$7,$E$8,$E$9,$E$10,$E$12,$D33,$E$6,AV$18,AV$17)</f>
        <v>0.74190199999999995</v>
      </c>
      <c r="AW33" s="16">
        <f ca="1">_xll.DBRW($D$4,$E$7,$E$8,$E$9,$E$10,$E$12,$D33,$E$6,AW$18,AW$17)</f>
        <v>0.74190199999999995</v>
      </c>
      <c r="AX33" s="16">
        <f ca="1">_xll.DBRW($D$4,$E$7,$E$8,$E$9,$E$10,$E$12,$D33,$E$6,AX$18,AX$17)</f>
        <v>0.36919200000000002</v>
      </c>
      <c r="AY33" s="16">
        <f ca="1">_xll.DBRW($D$4,$E$7,$E$8,$E$9,$E$10,$E$12,$D33,$E$6,AY$18,AY$17)</f>
        <v>0.74190199999999995</v>
      </c>
      <c r="AZ33" s="16">
        <f ca="1">_xll.DBRW($D$4,$E$7,$E$8,$E$9,$E$10,$E$12,$D33,$E$6,AZ$18,AZ$17)</f>
        <v>0.53584900000000002</v>
      </c>
      <c r="BA33" s="16">
        <f ca="1">_xll.DBRW($D$4,$E$7,$E$8,$E$9,$E$10,$E$12,$D33,$E$6,BA$18,BA$17)</f>
        <v>0.74190199999999995</v>
      </c>
      <c r="BB33" s="16">
        <f ca="1">_xll.DBRW($D$4,$E$7,$E$8,$E$9,$E$10,$E$12,$D33,$E$6,BB$18,BB$17)</f>
        <v>0.74190199999999995</v>
      </c>
      <c r="BC33" s="16">
        <f ca="1">_xll.DBRW($D$4,$E$7,$E$8,$E$9,$E$10,$E$12,$D33,$E$6,BC$18,BC$17)</f>
        <v>0.74190199999999995</v>
      </c>
      <c r="BD33" s="16">
        <f ca="1">_xll.DBRW($D$4,$E$7,$E$8,$E$9,$E$10,$E$12,$D33,$E$6,BD$18,BD$17)</f>
        <v>0.23035246981847998</v>
      </c>
      <c r="BE33" s="16">
        <f ca="1">_xll.DBRW($D$4,$E$7,$E$8,$E$9,$E$10,$E$12,$D33,$E$6,BE$18,BE$17)</f>
        <v>-0.13511399999999998</v>
      </c>
      <c r="BF33" s="16">
        <f ca="1">_xll.DBRW($D$4,$E$7,$E$8,$E$9,$E$10,$E$12,$D33,$E$6,BF$18,BF$17)</f>
        <v>0</v>
      </c>
      <c r="BG33" s="26">
        <f ca="1">_xll.DBRW($D$4,$E$7,$E$8,$E$9,$E$10,$E$12,$D33,$E$6,BG$18,BG$17)</f>
        <v>0</v>
      </c>
      <c r="BH33" s="26">
        <f ca="1">_xll.DBRW($D$4,$E$7,$E$8,$E$9,$E$10,$E$12,$D33,$E$6,BH$18,BH$17)</f>
        <v>0</v>
      </c>
      <c r="BI33" s="26">
        <f ca="1">_xll.DBRW($D$4,$E$7,$E$8,$E$9,$E$10,$E$12,$D33,$E$6,BI$18,BI$17)</f>
        <v>0</v>
      </c>
      <c r="BJ33" s="26">
        <f ca="1">_xll.DBRW($D$4,$E$7,$E$8,$E$9,$E$10,$E$12,$D33,$E$6,BJ$18,BJ$17)</f>
        <v>0</v>
      </c>
      <c r="BK33" s="16">
        <f ca="1">_xll.DBRW($D$4,$E$7,$E$8,$E$9,$E$10,$E$12,$D33,$E$6,BK$18,BK$17)</f>
        <v>0.36546646981847997</v>
      </c>
      <c r="BL33" s="16">
        <f ca="1">_xll.DBRW($D$4,$E$7,$E$8,$E$9,$E$10,$E$12,$D33,$E$6,BL$18,BL$17)</f>
        <v>3.7295279999999997</v>
      </c>
      <c r="BM33" s="16">
        <f ca="1">_xll.DBRW($D$4,$E$7,$E$8,$E$9,$E$10,$E$12,$D33,$E$6,BM$18,BM$17)</f>
        <v>-1.9581871099999999</v>
      </c>
      <c r="BN33" s="16">
        <f ca="1">_xll.DBRW($D$4,$E$7,$E$8,$E$9,$E$10,$E$12,$D33,$E$6,BN$18,BN$17)</f>
        <v>0.52504958000047197</v>
      </c>
      <c r="BO33" s="16"/>
      <c r="BP33" s="16"/>
      <c r="BQ33" s="16"/>
      <c r="BR33" s="16"/>
      <c r="BS33" s="16">
        <f ca="1">_xll.DBRW($D$4,$E$7,$E$8,$E$9,$E$10,$E$12,$D33,$E$6,BS$18,BS$17)</f>
        <v>-0.30743199999999993</v>
      </c>
      <c r="BT33" s="16">
        <f ca="1">_xll.DBRW($D$4,$E$7,$E$8,$E$9,$E$10,$E$12,$D33,$E$6,BT$18,BT$17)</f>
        <v>8.2431878779298598E-2</v>
      </c>
      <c r="BU33" s="16"/>
      <c r="BV33" s="16"/>
      <c r="BW33" s="16"/>
      <c r="BX33" s="16"/>
      <c r="BY33" s="16">
        <f ca="1">_xll.DBRW($D$4,$E$7,$E$8,$E$9,$E$10,$E$12,$D33,$E$6,BY$18,BY$17)</f>
        <v>-0.33395842018152</v>
      </c>
      <c r="BZ33" s="16">
        <f ca="1">_xll.DBRW($D$4,$E$7,$E$8,$E$9,$E$10,$E$12,$D33,$E$6,BZ$18,BZ$17)</f>
        <v>8.9544419610610243E-2</v>
      </c>
      <c r="CA33" s="16"/>
      <c r="CB33" s="16"/>
      <c r="CC33" s="16"/>
      <c r="CD33" s="16"/>
      <c r="CE33" s="16">
        <f ca="1">_xll.DBRW($D$4,$E$7,$E$8,$E$9,$E$10,$E$12,$D33,$E$6,CE$18,CE$17)</f>
        <v>-0.12699800000000003</v>
      </c>
      <c r="CF33" s="16">
        <f ca="1">_xll.DBRW($D$4,$E$7,$E$8,$E$9,$E$10,$E$12,$D33,$E$6,CF$18,CF$17)</f>
        <v>3.4052030176472743E-2</v>
      </c>
      <c r="CG33" s="16"/>
      <c r="CH33" s="16"/>
      <c r="CI33" s="16"/>
      <c r="CJ33" s="16"/>
      <c r="CK33" s="16">
        <f ca="1">_xll.DBRW($D$4,$E$7,$E$8,$E$9,$E$10,$E$12,$D33,$E$6,CK$18,CK$17)</f>
        <v>-0.63748599999999989</v>
      </c>
      <c r="CL33" s="16">
        <f ca="1">_xll.DBRW($D$4,$E$7,$E$8,$E$9,$E$10,$E$12,$D33,$E$6,CL$18,CL$17)</f>
        <v>0.17092940447155777</v>
      </c>
      <c r="CM33" s="16"/>
      <c r="CN33" s="16"/>
      <c r="CO33" s="16"/>
      <c r="CP33" s="16"/>
      <c r="CQ33" s="16">
        <f ca="1">_xll.DBRW($D$4,$E$7,$E$8,$E$9,$E$10,$E$12,$D33,$E$6,CQ$18,CQ$17)</f>
        <v>6.4772999999999983E-2</v>
      </c>
      <c r="CR33" s="16">
        <f ca="1">_xll.DBRW($D$4,$E$7,$E$8,$E$9,$E$10,$E$12,$D33,$E$6,CR$18,CR$17)</f>
        <v>0.80841699999999983</v>
      </c>
      <c r="CS33" s="16">
        <f ca="1">_xll.DBRW($D$4,$E$7,$E$8,$E$9,$E$10,$E$12,$D33,$E$6,CS$18,CS$17)</f>
        <v>0.80841699999999983</v>
      </c>
      <c r="CT33" s="16">
        <f ca="1">_xll.DBRW($D$4,$E$7,$E$8,$E$9,$E$10,$E$12,$D33,$E$6,CT$18,CT$17)</f>
        <v>0.80841699999999983</v>
      </c>
      <c r="CU33" s="16">
        <f ca="1">_xll.DBRW($D$4,$E$7,$E$8,$E$9,$E$10,$E$12,$D33,$E$6,CU$18,CU$17)</f>
        <v>0.40197209940000006</v>
      </c>
      <c r="CV33" s="16">
        <f ca="1">_xll.DBRW($D$4,$E$7,$E$8,$E$9,$E$10,$E$12,$D33,$E$6,CV$18,CV$17)</f>
        <v>0.80841699999999983</v>
      </c>
      <c r="CW33" s="16">
        <f ca="1">_xll.DBRW($D$4,$E$7,$E$8,$E$9,$E$10,$E$12,$D33,$E$6,CW$18,CW$17)</f>
        <v>0.59639799999999998</v>
      </c>
      <c r="CX33" s="16">
        <f ca="1">_xll.DBRW($D$4,$E$7,$E$8,$E$9,$E$10,$E$12,$D33,$E$6,CX$18,CX$17)</f>
        <v>0.80841699999999983</v>
      </c>
      <c r="CY33" s="16">
        <f ca="1">_xll.DBRW($D$4,$E$7,$E$8,$E$9,$E$10,$E$12,$D33,$E$6,CY$18,CY$17)</f>
        <v>0.80841699999999983</v>
      </c>
      <c r="CZ33" s="16">
        <f ca="1">_xll.DBRW($D$4,$E$7,$E$8,$E$9,$E$10,$E$12,$D33,$E$6,CZ$18,CZ$17)</f>
        <v>0.80841699999999983</v>
      </c>
      <c r="DA33" s="26">
        <f t="shared" ca="1" si="89"/>
        <v>5.8771601815194585E-3</v>
      </c>
      <c r="DB33" s="26">
        <f t="shared" ca="1" si="90"/>
        <v>5.9604899999999975E-2</v>
      </c>
      <c r="DC33" s="26">
        <f t="shared" ca="1" si="91"/>
        <v>0</v>
      </c>
      <c r="DD33" s="26">
        <f t="shared" ca="1" si="92"/>
        <v>0</v>
      </c>
      <c r="DE33" s="26">
        <f t="shared" ca="1" si="93"/>
        <v>0</v>
      </c>
      <c r="DF33" s="26">
        <f t="shared" ca="1" si="94"/>
        <v>0</v>
      </c>
      <c r="DG33" s="26">
        <f t="shared" ca="1" si="95"/>
        <v>0</v>
      </c>
      <c r="DH33" s="26">
        <f t="shared" ca="1" si="96"/>
        <v>-5.3727739818480502E-2</v>
      </c>
      <c r="DI33" s="26">
        <f t="shared" ca="1" si="97"/>
        <v>-0.33904800000000002</v>
      </c>
      <c r="DJ33" s="26">
        <f t="shared" ca="1" si="98"/>
        <v>8.5538189999999625E-2</v>
      </c>
      <c r="DK33" s="26">
        <f t="shared" ca="1" si="99"/>
        <v>2.727602581345423E-2</v>
      </c>
      <c r="DL33" s="26"/>
      <c r="DM33" s="26"/>
      <c r="DN33" s="26"/>
      <c r="DO33" s="26"/>
      <c r="DP33" s="26">
        <f t="shared" ca="1" si="100"/>
        <v>4.7915139999999967E-2</v>
      </c>
      <c r="DQ33" s="26">
        <f t="shared" ca="1" si="101"/>
        <v>-5.8890706813301691E-3</v>
      </c>
      <c r="DR33" s="26"/>
      <c r="DS33" s="26"/>
      <c r="DT33" s="26"/>
      <c r="DU33" s="26"/>
      <c r="DV33" s="26">
        <f t="shared" ca="1" si="102"/>
        <v>-2.1068098184799933E-3</v>
      </c>
      <c r="DW33" s="26">
        <f t="shared" ca="1" si="103"/>
        <v>9.5758317992196418E-3</v>
      </c>
      <c r="DX33" s="26"/>
      <c r="DY33" s="26"/>
      <c r="DZ33" s="26"/>
      <c r="EA33" s="26"/>
      <c r="EB33" s="26">
        <f t="shared" ca="1" si="104"/>
        <v>3.4946899999999947E-3</v>
      </c>
      <c r="EC33" s="26">
        <f t="shared" ca="1" si="105"/>
        <v>2.3744669566765561E-3</v>
      </c>
      <c r="ED33" s="26"/>
      <c r="EE33" s="26"/>
      <c r="EF33" s="26"/>
      <c r="EG33" s="26"/>
      <c r="EH33" s="26">
        <f t="shared" ca="1" si="106"/>
        <v>0.15047904999999984</v>
      </c>
      <c r="EI33" s="29">
        <f t="shared" ca="1" si="107"/>
        <v>-2.7289875555298104E-2</v>
      </c>
      <c r="EJ33" s="29"/>
      <c r="EK33" s="29"/>
      <c r="EL33" s="29"/>
      <c r="EM33" s="29"/>
      <c r="EN33" s="93"/>
      <c r="EO33" s="29"/>
      <c r="EP33" s="29"/>
      <c r="EQ33" s="29"/>
      <c r="ER33" s="29"/>
      <c r="ES33" s="29"/>
      <c r="ET33" s="29"/>
      <c r="EU33" s="93"/>
      <c r="EV33" s="29"/>
      <c r="EW33" s="29"/>
      <c r="EX33" s="29"/>
      <c r="EY33" s="29"/>
      <c r="EZ33" s="29"/>
      <c r="FA33" s="29"/>
      <c r="FB33" s="93"/>
      <c r="FC33" s="29"/>
      <c r="FD33" s="29"/>
      <c r="FE33" s="29"/>
      <c r="FF33" s="29"/>
      <c r="FG33" s="29"/>
      <c r="FH33" s="29"/>
      <c r="FI33" s="93"/>
      <c r="FJ33" s="29"/>
      <c r="FK33" s="29"/>
      <c r="FL33" s="29"/>
      <c r="FM33" s="29"/>
      <c r="FN33" s="29"/>
      <c r="FO33" s="29"/>
      <c r="FP33" s="93"/>
      <c r="FQ33" s="29"/>
      <c r="FR33" s="29"/>
      <c r="FS33" s="29"/>
      <c r="FT33" s="29"/>
      <c r="FU33" s="29"/>
      <c r="FV33" s="29"/>
    </row>
    <row r="34" spans="1:178" x14ac:dyDescent="0.25">
      <c r="A34" t="str">
        <f ca="1">IF(_xll.TM1RPTELISCONSOLIDATED($D$28,$D34),IF(_xll.TM1RPTELLEV($D$28,$D34)&lt;=3,_xll.TM1RPTELLEV($D$28,$D34),"D"),"N")</f>
        <v>N</v>
      </c>
      <c r="B34" t="str">
        <f ca="1">_xll.DBRA(Server&amp;"Management_organization",$D34,$B$27)</f>
        <v>L</v>
      </c>
      <c r="C34">
        <v>1</v>
      </c>
      <c r="D34" s="2" t="s">
        <v>78</v>
      </c>
      <c r="E34" s="26"/>
      <c r="F34" s="26"/>
      <c r="G34" s="16">
        <f ca="1">_xll.DBRW($D$4,$E$7,$E$8,$E$9,$E$10,$E$12,$D34,$E$6,G$18,G$17)</f>
        <v>0.12554655000000031</v>
      </c>
      <c r="H34" s="16">
        <f ca="1">_xll.DBRW($D$4,$E$7,$E$8,$E$9,$E$10,$E$12,$D34,$E$6,H$18,H$17)</f>
        <v>-0.30073368999999994</v>
      </c>
      <c r="I34" s="16">
        <f ca="1">_xll.DBRW($D$4,$E$7,$E$8,$E$9,$E$10,$E$12,$D34,$E$6,I$18,I$17)</f>
        <v>0</v>
      </c>
      <c r="J34" s="26">
        <f ca="1">_xll.DBRW($D$4,$E$7,$E$8,$E$9,$E$10,$E$12,$D34,$E$6,J$18,J$17)</f>
        <v>-7.4275380000000016E-2</v>
      </c>
      <c r="K34" s="26">
        <f ca="1">_xll.DBRW($D$4,$E$7,$E$8,$E$9,$E$10,$E$12,$D34,$E$6,K$18,K$17)</f>
        <v>0</v>
      </c>
      <c r="L34" s="26">
        <f ca="1">_xll.DBRW($D$4,$E$7,$E$8,$E$9,$E$10,$E$12,$D34,$E$6,L$18,L$17)</f>
        <v>0</v>
      </c>
      <c r="M34" s="26">
        <f ca="1">_xll.DBRW($D$4,$E$7,$E$8,$E$9,$E$10,$E$12,$D34,$E$6,M$18,M$17)</f>
        <v>0</v>
      </c>
      <c r="N34" s="16">
        <f ca="1">_xll.DBRW($D$4,$E$7,$E$8,$E$9,$E$10,$E$12,$D34,$E$6,N$18,N$17)</f>
        <v>0.50055562000000031</v>
      </c>
      <c r="O34" s="16">
        <f ca="1">_xll.DBRW($D$4,$E$7,$E$8,$E$9,$E$10,$E$12,$D34,$E$6,O$18,O$17)</f>
        <v>5.0577209999999999</v>
      </c>
      <c r="P34" s="74">
        <f ca="1">_xll.DBRW($D$4,$E$7,$E$8,$E$9,$E$10,$E$12,$D34,$E$6,P$18,P$17)</f>
        <v>-2.3747902400000003</v>
      </c>
      <c r="Q34" s="16">
        <f ca="1">_xll.DBRW($D$4,$E$7,$E$8,$E$9,$E$10,$E$12,$D34,$E$6,Q$18,Q$17)</f>
        <v>0.46953761190069604</v>
      </c>
      <c r="R34" s="16"/>
      <c r="S34" s="16"/>
      <c r="T34" s="16"/>
      <c r="U34" s="16"/>
      <c r="V34" s="16">
        <f ca="1">_xll.DBRW($D$4,$E$7,$E$8,$E$9,$E$10,$E$12,$D34,$E$6,V$18,V$17)</f>
        <v>-0.52545078000000012</v>
      </c>
      <c r="W34" s="16">
        <f ca="1">_xll.DBRW($D$4,$E$7,$E$8,$E$9,$E$10,$E$12,$D34,$E$6,W$18,W$17)</f>
        <v>0.10389081960036944</v>
      </c>
      <c r="X34" s="16"/>
      <c r="Y34" s="16"/>
      <c r="Z34" s="16"/>
      <c r="AA34" s="16"/>
      <c r="AB34" s="16">
        <f ca="1">_xll.DBRW($D$4,$E$7,$E$8,$E$9,$E$10,$E$12,$D34,$E$6,AB$18,AB$17)</f>
        <v>-0.53992260999999986</v>
      </c>
      <c r="AC34" s="16">
        <f ca="1">_xll.DBRW($D$4,$E$7,$E$8,$E$9,$E$10,$E$12,$D34,$E$6,AC$18,AC$17)</f>
        <v>0.10675215378626063</v>
      </c>
      <c r="AD34" s="16"/>
      <c r="AE34" s="16"/>
      <c r="AF34" s="16"/>
      <c r="AG34" s="16"/>
      <c r="AH34" s="16">
        <f ca="1">_xll.DBRW($D$4,$E$7,$E$8,$E$9,$E$10,$E$12,$D34,$E$6,AH$18,AH$17)</f>
        <v>-0.42947272999999997</v>
      </c>
      <c r="AI34" s="16">
        <f ca="1">_xll.DBRW($D$4,$E$7,$E$8,$E$9,$E$10,$E$12,$D34,$E$6,AI$18,AI$17)</f>
        <v>8.4914278585157224E-2</v>
      </c>
      <c r="AJ34" s="16"/>
      <c r="AK34" s="16"/>
      <c r="AL34" s="16"/>
      <c r="AM34" s="16"/>
      <c r="AN34" s="16">
        <f ca="1">_xll.DBRW($D$4,$E$7,$E$8,$E$9,$E$10,$E$12,$D34,$E$6,AN$18,AN$17)</f>
        <v>-0.68752902000000016</v>
      </c>
      <c r="AO34" s="16">
        <f ca="1">_xll.DBRW($D$4,$E$7,$E$8,$E$9,$E$10,$E$12,$D34,$E$6,AO$18,AO$17)</f>
        <v>0.13593652556161168</v>
      </c>
      <c r="AP34" s="16"/>
      <c r="AQ34" s="16"/>
      <c r="AR34" s="16"/>
      <c r="AS34" s="16"/>
      <c r="AT34" s="16">
        <f ca="1">_xll.DBRW($D$4,$E$7,$E$8,$E$9,$E$10,$E$12,$D34,$E$6,AT$18,AT$17)</f>
        <v>8.1151999999999988E-2</v>
      </c>
      <c r="AU34" s="16">
        <f ca="1">_xll.DBRW($D$4,$E$7,$E$8,$E$9,$E$10,$E$12,$D34,$E$6,AU$18,AU$17)</f>
        <v>1.3500489999999998</v>
      </c>
      <c r="AV34" s="16">
        <f ca="1">_xll.DBRW($D$4,$E$7,$E$8,$E$9,$E$10,$E$12,$D34,$E$6,AV$18,AV$17)</f>
        <v>1.3500489999999998</v>
      </c>
      <c r="AW34" s="16">
        <f ca="1">_xll.DBRW($D$4,$E$7,$E$8,$E$9,$E$10,$E$12,$D34,$E$6,AW$18,AW$17)</f>
        <v>1.3500489999999998</v>
      </c>
      <c r="AX34" s="16">
        <f ca="1">_xll.DBRW($D$4,$E$7,$E$8,$E$9,$E$10,$E$12,$D34,$E$6,AX$18,AX$17)</f>
        <v>0.47674740999999993</v>
      </c>
      <c r="AY34" s="16">
        <f ca="1">_xll.DBRW($D$4,$E$7,$E$8,$E$9,$E$10,$E$12,$D34,$E$6,AY$18,AY$17)</f>
        <v>1.3500489999999998</v>
      </c>
      <c r="AZ34" s="16">
        <f ca="1">_xll.DBRW($D$4,$E$7,$E$8,$E$9,$E$10,$E$12,$D34,$E$6,AZ$18,AZ$17)</f>
        <v>0.794238</v>
      </c>
      <c r="BA34" s="16">
        <f ca="1">_xll.DBRW($D$4,$E$7,$E$8,$E$9,$E$10,$E$12,$D34,$E$6,BA$18,BA$17)</f>
        <v>1.3500489999999998</v>
      </c>
      <c r="BB34" s="16">
        <f ca="1">_xll.DBRW($D$4,$E$7,$E$8,$E$9,$E$10,$E$12,$D34,$E$6,BB$18,BB$17)</f>
        <v>1.3500489999999998</v>
      </c>
      <c r="BC34" s="16">
        <f ca="1">_xll.DBRW($D$4,$E$7,$E$8,$E$9,$E$10,$E$12,$D34,$E$6,BC$18,BC$17)</f>
        <v>1.3500489999999998</v>
      </c>
      <c r="BD34" s="16">
        <f ca="1">_xll.DBRW($D$4,$E$7,$E$8,$E$9,$E$10,$E$12,$D34,$E$6,BD$18,BD$17)</f>
        <v>-0.71962404054666695</v>
      </c>
      <c r="BE34" s="16">
        <f ca="1">_xll.DBRW($D$4,$E$7,$E$8,$E$9,$E$10,$E$12,$D34,$E$6,BE$18,BE$17)</f>
        <v>-0.46731419499999982</v>
      </c>
      <c r="BF34" s="16">
        <f ca="1">_xll.DBRW($D$4,$E$7,$E$8,$E$9,$E$10,$E$12,$D34,$E$6,BF$18,BF$17)</f>
        <v>0</v>
      </c>
      <c r="BG34" s="26">
        <f ca="1">_xll.DBRW($D$4,$E$7,$E$8,$E$9,$E$10,$E$12,$D34,$E$6,BG$18,BG$17)</f>
        <v>-9.0033079999999988E-2</v>
      </c>
      <c r="BH34" s="26">
        <f ca="1">_xll.DBRW($D$4,$E$7,$E$8,$E$9,$E$10,$E$12,$D34,$E$6,BH$18,BH$17)</f>
        <v>0</v>
      </c>
      <c r="BI34" s="26">
        <f ca="1">_xll.DBRW($D$4,$E$7,$E$8,$E$9,$E$10,$E$12,$D34,$E$6,BI$18,BI$17)</f>
        <v>0</v>
      </c>
      <c r="BJ34" s="26">
        <f ca="1">_xll.DBRW($D$4,$E$7,$E$8,$E$9,$E$10,$E$12,$D34,$E$6,BJ$18,BJ$17)</f>
        <v>0</v>
      </c>
      <c r="BK34" s="16">
        <f ca="1">_xll.DBRW($D$4,$E$7,$E$8,$E$9,$E$10,$E$12,$D34,$E$6,BK$18,BK$17)</f>
        <v>-0.16227676554666709</v>
      </c>
      <c r="BL34" s="16">
        <f ca="1">_xll.DBRW($D$4,$E$7,$E$8,$E$9,$E$10,$E$12,$D34,$E$6,BL$18,BL$17)</f>
        <v>4.9825016133333326</v>
      </c>
      <c r="BM34" s="16">
        <f ca="1">_xll.DBRW($D$4,$E$7,$E$8,$E$9,$E$10,$E$12,$D34,$E$6,BM$18,BM$17)</f>
        <v>-2.6652779800000004</v>
      </c>
      <c r="BN34" s="16">
        <f ca="1">_xll.DBRW($D$4,$E$7,$E$8,$E$9,$E$10,$E$12,$D34,$E$6,BN$18,BN$17)</f>
        <v>0.53492767024252075</v>
      </c>
      <c r="BO34" s="16"/>
      <c r="BP34" s="16"/>
      <c r="BQ34" s="16"/>
      <c r="BR34" s="16"/>
      <c r="BS34" s="16">
        <f ca="1">_xll.DBRW($D$4,$E$7,$E$8,$E$9,$E$10,$E$12,$D34,$E$6,BS$18,BS$17)</f>
        <v>-0.53892252466666668</v>
      </c>
      <c r="BT34" s="16">
        <f ca="1">_xll.DBRW($D$4,$E$7,$E$8,$E$9,$E$10,$E$12,$D34,$E$6,BT$18,BT$17)</f>
        <v>0.10816304067508838</v>
      </c>
      <c r="BU34" s="16"/>
      <c r="BV34" s="16"/>
      <c r="BW34" s="16"/>
      <c r="BX34" s="16"/>
      <c r="BY34" s="16">
        <f ca="1">_xll.DBRW($D$4,$E$7,$E$8,$E$9,$E$10,$E$12,$D34,$E$6,BY$18,BY$17)</f>
        <v>-0.47769222088000002</v>
      </c>
      <c r="BZ34" s="16">
        <f ca="1">_xll.DBRW($D$4,$E$7,$E$8,$E$9,$E$10,$E$12,$D34,$E$6,BZ$18,BZ$17)</f>
        <v>9.5873972143166092E-2</v>
      </c>
      <c r="CA34" s="16"/>
      <c r="CB34" s="16"/>
      <c r="CC34" s="16"/>
      <c r="CD34" s="16"/>
      <c r="CE34" s="16">
        <f ca="1">_xll.DBRW($D$4,$E$7,$E$8,$E$9,$E$10,$E$12,$D34,$E$6,CE$18,CE$17)</f>
        <v>-0.47571474999999996</v>
      </c>
      <c r="CF34" s="16">
        <f ca="1">_xll.DBRW($D$4,$E$7,$E$8,$E$9,$E$10,$E$12,$D34,$E$6,CF$18,CF$17)</f>
        <v>9.5477089004240803E-2</v>
      </c>
      <c r="CG34" s="16"/>
      <c r="CH34" s="16"/>
      <c r="CI34" s="16"/>
      <c r="CJ34" s="16"/>
      <c r="CK34" s="16">
        <f ca="1">_xll.DBRW($D$4,$E$7,$E$8,$E$9,$E$10,$E$12,$D34,$E$6,CK$18,CK$17)</f>
        <v>-0.98717090333333302</v>
      </c>
      <c r="CL34" s="16">
        <f ca="1">_xll.DBRW($D$4,$E$7,$E$8,$E$9,$E$10,$E$12,$D34,$E$6,CL$18,CL$17)</f>
        <v>0.19812756320873681</v>
      </c>
      <c r="CM34" s="16"/>
      <c r="CN34" s="16"/>
      <c r="CO34" s="16"/>
      <c r="CP34" s="16"/>
      <c r="CQ34" s="16">
        <f ca="1">_xll.DBRW($D$4,$E$7,$E$8,$E$9,$E$10,$E$12,$D34,$E$6,CQ$18,CQ$17)</f>
        <v>8.9019000000000001E-2</v>
      </c>
      <c r="CR34" s="16">
        <f ca="1">_xll.DBRW($D$4,$E$7,$E$8,$E$9,$E$10,$E$12,$D34,$E$6,CR$18,CR$17)</f>
        <v>1.53928</v>
      </c>
      <c r="CS34" s="16">
        <f ca="1">_xll.DBRW($D$4,$E$7,$E$8,$E$9,$E$10,$E$12,$D34,$E$6,CS$18,CS$17)</f>
        <v>1.53928</v>
      </c>
      <c r="CT34" s="16">
        <f ca="1">_xll.DBRW($D$4,$E$7,$E$8,$E$9,$E$10,$E$12,$D34,$E$6,CT$18,CT$17)</f>
        <v>1.53928</v>
      </c>
      <c r="CU34" s="16">
        <f ca="1">_xll.DBRW($D$4,$E$7,$E$8,$E$9,$E$10,$E$12,$D34,$E$6,CU$18,CU$17)</f>
        <v>0.5749785999999999</v>
      </c>
      <c r="CV34" s="16">
        <f ca="1">_xll.DBRW($D$4,$E$7,$E$8,$E$9,$E$10,$E$12,$D34,$E$6,CV$18,CV$17)</f>
        <v>1.53928</v>
      </c>
      <c r="CW34" s="16">
        <f ca="1">_xll.DBRW($D$4,$E$7,$E$8,$E$9,$E$10,$E$12,$D34,$E$6,CW$18,CW$17)</f>
        <v>0.95776399999999995</v>
      </c>
      <c r="CX34" s="16">
        <f ca="1">_xll.DBRW($D$4,$E$7,$E$8,$E$9,$E$10,$E$12,$D34,$E$6,CX$18,CX$17)</f>
        <v>1.53928</v>
      </c>
      <c r="CY34" s="16">
        <f ca="1">_xll.DBRW($D$4,$E$7,$E$8,$E$9,$E$10,$E$12,$D34,$E$6,CY$18,CY$17)</f>
        <v>1.53928</v>
      </c>
      <c r="CZ34" s="16">
        <f ca="1">_xll.DBRW($D$4,$E$7,$E$8,$E$9,$E$10,$E$12,$D34,$E$6,CZ$18,CZ$17)</f>
        <v>1.53928</v>
      </c>
      <c r="DA34" s="26">
        <f t="shared" ca="1" si="89"/>
        <v>0.84517059054666732</v>
      </c>
      <c r="DB34" s="26">
        <f t="shared" ca="1" si="90"/>
        <v>0.16658050499999988</v>
      </c>
      <c r="DC34" s="26">
        <f t="shared" ca="1" si="91"/>
        <v>0</v>
      </c>
      <c r="DD34" s="26">
        <f t="shared" ca="1" si="92"/>
        <v>1.5757699999999972E-2</v>
      </c>
      <c r="DE34" s="26">
        <f t="shared" ca="1" si="93"/>
        <v>0</v>
      </c>
      <c r="DF34" s="26">
        <f t="shared" ca="1" si="94"/>
        <v>0</v>
      </c>
      <c r="DG34" s="26">
        <f t="shared" ca="1" si="95"/>
        <v>0</v>
      </c>
      <c r="DH34" s="26">
        <f t="shared" ca="1" si="96"/>
        <v>0.66283238554666735</v>
      </c>
      <c r="DI34" s="26">
        <f t="shared" ca="1" si="97"/>
        <v>7.5219386666667276E-2</v>
      </c>
      <c r="DJ34" s="26">
        <f t="shared" ca="1" si="98"/>
        <v>0.29048774000000011</v>
      </c>
      <c r="DK34" s="26">
        <f t="shared" ca="1" si="99"/>
        <v>-6.5390058341824708E-2</v>
      </c>
      <c r="DL34" s="26"/>
      <c r="DM34" s="26"/>
      <c r="DN34" s="26"/>
      <c r="DO34" s="26"/>
      <c r="DP34" s="26">
        <f t="shared" ca="1" si="100"/>
        <v>1.3471744666666563E-2</v>
      </c>
      <c r="DQ34" s="26">
        <f t="shared" ca="1" si="101"/>
        <v>-4.2722210747189321E-3</v>
      </c>
      <c r="DR34" s="26"/>
      <c r="DS34" s="26"/>
      <c r="DT34" s="26"/>
      <c r="DU34" s="26"/>
      <c r="DV34" s="26">
        <f t="shared" ca="1" si="102"/>
        <v>-6.223038911999984E-2</v>
      </c>
      <c r="DW34" s="26">
        <f t="shared" ca="1" si="103"/>
        <v>1.0878181643094537E-2</v>
      </c>
      <c r="DX34" s="26"/>
      <c r="DY34" s="26"/>
      <c r="DZ34" s="26"/>
      <c r="EA34" s="26"/>
      <c r="EB34" s="26">
        <f t="shared" ca="1" si="104"/>
        <v>4.6242019999999995E-2</v>
      </c>
      <c r="EC34" s="26">
        <f t="shared" ca="1" si="105"/>
        <v>-1.0562810419083579E-2</v>
      </c>
      <c r="ED34" s="26"/>
      <c r="EE34" s="26"/>
      <c r="EF34" s="26"/>
      <c r="EG34" s="26"/>
      <c r="EH34" s="26">
        <f t="shared" ca="1" si="106"/>
        <v>0.29964188333333286</v>
      </c>
      <c r="EI34" s="29">
        <f t="shared" ca="1" si="107"/>
        <v>-6.2191037647125136E-2</v>
      </c>
      <c r="EJ34" s="29"/>
      <c r="EK34" s="29"/>
      <c r="EL34" s="29"/>
      <c r="EM34" s="29"/>
      <c r="EN34" s="93"/>
      <c r="EO34" s="29"/>
      <c r="EP34" s="29"/>
      <c r="EQ34" s="29"/>
      <c r="ER34" s="29"/>
      <c r="ES34" s="29"/>
      <c r="ET34" s="29"/>
      <c r="EU34" s="93"/>
      <c r="EV34" s="29"/>
      <c r="EW34" s="29"/>
      <c r="EX34" s="29"/>
      <c r="EY34" s="29"/>
      <c r="EZ34" s="29"/>
      <c r="FA34" s="29"/>
      <c r="FB34" s="93"/>
      <c r="FC34" s="29"/>
      <c r="FD34" s="29"/>
      <c r="FE34" s="29"/>
      <c r="FF34" s="29"/>
      <c r="FG34" s="29"/>
      <c r="FH34" s="29"/>
      <c r="FI34" s="93"/>
      <c r="FJ34" s="29"/>
      <c r="FK34" s="29"/>
      <c r="FL34" s="29"/>
      <c r="FM34" s="29"/>
      <c r="FN34" s="29"/>
      <c r="FO34" s="29"/>
      <c r="FP34" s="93"/>
      <c r="FQ34" s="29"/>
      <c r="FR34" s="29"/>
      <c r="FS34" s="29"/>
      <c r="FT34" s="29"/>
      <c r="FU34" s="29"/>
      <c r="FV34" s="29"/>
    </row>
    <row r="35" spans="1:178" x14ac:dyDescent="0.25">
      <c r="A35" t="str">
        <f ca="1">IF(_xll.TM1RPTELISCONSOLIDATED($D$28,$D35),IF(_xll.TM1RPTELLEV($D$28,$D35)&lt;=3,_xll.TM1RPTELLEV($D$28,$D35),"D"),"N")</f>
        <v>N</v>
      </c>
      <c r="B35" t="str">
        <f ca="1">_xll.DBRA(Server&amp;"Management_organization",$D35,$B$27)</f>
        <v>L</v>
      </c>
      <c r="C35">
        <v>1</v>
      </c>
      <c r="D35" s="2" t="s">
        <v>79</v>
      </c>
      <c r="E35" s="26"/>
      <c r="F35" s="26"/>
      <c r="G35" s="16">
        <f ca="1">_xll.DBRW($D$4,$E$7,$E$8,$E$9,$E$10,$E$12,$D35,$E$6,G$18,G$17)</f>
        <v>4.0673558399999976</v>
      </c>
      <c r="H35" s="16">
        <f ca="1">_xll.DBRW($D$4,$E$7,$E$8,$E$9,$E$10,$E$12,$D35,$E$6,H$18,H$17)</f>
        <v>-0.79064585999999992</v>
      </c>
      <c r="I35" s="16">
        <f ca="1">_xll.DBRW($D$4,$E$7,$E$8,$E$9,$E$10,$E$12,$D35,$E$6,I$18,I$17)</f>
        <v>0</v>
      </c>
      <c r="J35" s="26">
        <f ca="1">_xll.DBRW($D$4,$E$7,$E$8,$E$9,$E$10,$E$12,$D35,$E$6,J$18,J$17)</f>
        <v>-0.38418549000000002</v>
      </c>
      <c r="K35" s="26">
        <f ca="1">_xll.DBRW($D$4,$E$7,$E$8,$E$9,$E$10,$E$12,$D35,$E$6,K$18,K$17)</f>
        <v>0</v>
      </c>
      <c r="L35" s="26">
        <f ca="1">_xll.DBRW($D$4,$E$7,$E$8,$E$9,$E$10,$E$12,$D35,$E$6,L$18,L$17)</f>
        <v>0</v>
      </c>
      <c r="M35" s="26">
        <f ca="1">_xll.DBRW($D$4,$E$7,$E$8,$E$9,$E$10,$E$12,$D35,$E$6,M$18,M$17)</f>
        <v>0</v>
      </c>
      <c r="N35" s="16">
        <f ca="1">_xll.DBRW($D$4,$E$7,$E$8,$E$9,$E$10,$E$12,$D35,$E$6,N$18,N$17)</f>
        <v>5.2421871899999966</v>
      </c>
      <c r="O35" s="16">
        <f ca="1">_xll.DBRW($D$4,$E$7,$E$8,$E$9,$E$10,$E$12,$D35,$E$6,O$18,O$17)</f>
        <v>22.967551669999995</v>
      </c>
      <c r="P35" s="74">
        <f ca="1">_xll.DBRW($D$4,$E$7,$E$8,$E$9,$E$10,$E$12,$D35,$E$6,P$18,P$17)</f>
        <v>-9.707802580000001</v>
      </c>
      <c r="Q35" s="16">
        <f ca="1">_xll.DBRW($D$4,$E$7,$E$8,$E$9,$E$10,$E$12,$D35,$E$6,Q$18,Q$17)</f>
        <v>0.42267468119731033</v>
      </c>
      <c r="R35" s="16"/>
      <c r="S35" s="16"/>
      <c r="T35" s="16"/>
      <c r="U35" s="16"/>
      <c r="V35" s="16">
        <f ca="1">_xll.DBRW($D$4,$E$7,$E$8,$E$9,$E$10,$E$12,$D35,$E$6,V$18,V$17)</f>
        <v>-1.43221328</v>
      </c>
      <c r="W35" s="16">
        <f ca="1">_xll.DBRW($D$4,$E$7,$E$8,$E$9,$E$10,$E$12,$D35,$E$6,W$18,W$17)</f>
        <v>6.2358117250727416E-2</v>
      </c>
      <c r="X35" s="16"/>
      <c r="Y35" s="16"/>
      <c r="Z35" s="16"/>
      <c r="AA35" s="16"/>
      <c r="AB35" s="16">
        <f ca="1">_xll.DBRW($D$4,$E$7,$E$8,$E$9,$E$10,$E$12,$D35,$E$6,AB$18,AB$17)</f>
        <v>-1.2617345999999998</v>
      </c>
      <c r="AC35" s="16">
        <f ca="1">_xll.DBRW($D$4,$E$7,$E$8,$E$9,$E$10,$E$12,$D35,$E$6,AC$18,AC$17)</f>
        <v>5.4935528964023879E-2</v>
      </c>
      <c r="AD35" s="16"/>
      <c r="AE35" s="16"/>
      <c r="AF35" s="16"/>
      <c r="AG35" s="16"/>
      <c r="AH35" s="16">
        <f ca="1">_xll.DBRW($D$4,$E$7,$E$8,$E$9,$E$10,$E$12,$D35,$E$6,AH$18,AH$17)</f>
        <v>-0.92453779000000003</v>
      </c>
      <c r="AI35" s="16">
        <f ca="1">_xll.DBRW($D$4,$E$7,$E$8,$E$9,$E$10,$E$12,$D35,$E$6,AI$18,AI$17)</f>
        <v>4.0254085558785214E-2</v>
      </c>
      <c r="AJ35" s="16"/>
      <c r="AK35" s="16"/>
      <c r="AL35" s="16"/>
      <c r="AM35" s="16"/>
      <c r="AN35" s="16">
        <f ca="1">_xll.DBRW($D$4,$E$7,$E$8,$E$9,$E$10,$E$12,$D35,$E$6,AN$18,AN$17)</f>
        <v>-4.3990762299999995</v>
      </c>
      <c r="AO35" s="16">
        <f ca="1">_xll.DBRW($D$4,$E$7,$E$8,$E$9,$E$10,$E$12,$D35,$E$6,AO$18,AO$17)</f>
        <v>0.19153440006171979</v>
      </c>
      <c r="AP35" s="16"/>
      <c r="AQ35" s="16"/>
      <c r="AR35" s="16"/>
      <c r="AS35" s="16"/>
      <c r="AT35" s="16">
        <f ca="1">_xll.DBRW($D$4,$E$7,$E$8,$E$9,$E$10,$E$12,$D35,$E$6,AT$18,AT$17)</f>
        <v>0.30113799999999996</v>
      </c>
      <c r="AU35" s="16">
        <f ca="1">_xll.DBRW($D$4,$E$7,$E$8,$E$9,$E$10,$E$12,$D35,$E$6,AU$18,AU$17)</f>
        <v>3.793094</v>
      </c>
      <c r="AV35" s="16">
        <f ca="1">_xll.DBRW($D$4,$E$7,$E$8,$E$9,$E$10,$E$12,$D35,$E$6,AV$18,AV$17)</f>
        <v>3.793094</v>
      </c>
      <c r="AW35" s="16">
        <f ca="1">_xll.DBRW($D$4,$E$7,$E$8,$E$9,$E$10,$E$12,$D35,$E$6,AW$18,AW$17)</f>
        <v>3.793094</v>
      </c>
      <c r="AX35" s="16">
        <f ca="1">_xll.DBRW($D$4,$E$7,$E$8,$E$9,$E$10,$E$12,$D35,$E$6,AX$18,AX$17)</f>
        <v>1.6037349999999999</v>
      </c>
      <c r="AY35" s="16">
        <f ca="1">_xll.DBRW($D$4,$E$7,$E$8,$E$9,$E$10,$E$12,$D35,$E$6,AY$18,AY$17)</f>
        <v>3.793094</v>
      </c>
      <c r="AZ35" s="16">
        <f ca="1">_xll.DBRW($D$4,$E$7,$E$8,$E$9,$E$10,$E$12,$D35,$E$6,AZ$18,AZ$17)</f>
        <v>3.0712580000000003</v>
      </c>
      <c r="BA35" s="16">
        <f ca="1">_xll.DBRW($D$4,$E$7,$E$8,$E$9,$E$10,$E$12,$D35,$E$6,BA$18,BA$17)</f>
        <v>3.793094</v>
      </c>
      <c r="BB35" s="16">
        <f ca="1">_xll.DBRW($D$4,$E$7,$E$8,$E$9,$E$10,$E$12,$D35,$E$6,BB$18,BB$17)</f>
        <v>3.793094</v>
      </c>
      <c r="BC35" s="16">
        <f ca="1">_xll.DBRW($D$4,$E$7,$E$8,$E$9,$E$10,$E$12,$D35,$E$6,BC$18,BC$17)</f>
        <v>3.793094</v>
      </c>
      <c r="BD35" s="16">
        <f ca="1">_xll.DBRW($D$4,$E$7,$E$8,$E$9,$E$10,$E$12,$D35,$E$6,BD$18,BD$17)</f>
        <v>1.1314482469976026</v>
      </c>
      <c r="BE35" s="16">
        <f ca="1">_xll.DBRW($D$4,$E$7,$E$8,$E$9,$E$10,$E$12,$D35,$E$6,BE$18,BE$17)</f>
        <v>-1.60692404</v>
      </c>
      <c r="BF35" s="16">
        <f ca="1">_xll.DBRW($D$4,$E$7,$E$8,$E$9,$E$10,$E$12,$D35,$E$6,BF$18,BF$17)</f>
        <v>0</v>
      </c>
      <c r="BG35" s="26">
        <f ca="1">_xll.DBRW($D$4,$E$7,$E$8,$E$9,$E$10,$E$12,$D35,$E$6,BG$18,BG$17)</f>
        <v>-0.34426302000000009</v>
      </c>
      <c r="BH35" s="26">
        <f ca="1">_xll.DBRW($D$4,$E$7,$E$8,$E$9,$E$10,$E$12,$D35,$E$6,BH$18,BH$17)</f>
        <v>0</v>
      </c>
      <c r="BI35" s="26">
        <f ca="1">_xll.DBRW($D$4,$E$7,$E$8,$E$9,$E$10,$E$12,$D35,$E$6,BI$18,BI$17)</f>
        <v>0</v>
      </c>
      <c r="BJ35" s="26">
        <f ca="1">_xll.DBRW($D$4,$E$7,$E$8,$E$9,$E$10,$E$12,$D35,$E$6,BJ$18,BJ$17)</f>
        <v>0</v>
      </c>
      <c r="BK35" s="16">
        <f ca="1">_xll.DBRW($D$4,$E$7,$E$8,$E$9,$E$10,$E$12,$D35,$E$6,BK$18,BK$17)</f>
        <v>3.0826353069976022</v>
      </c>
      <c r="BL35" s="16">
        <f ca="1">_xll.DBRW($D$4,$E$7,$E$8,$E$9,$E$10,$E$12,$D35,$E$6,BL$18,BL$17)</f>
        <v>22.626965999999999</v>
      </c>
      <c r="BM35" s="16">
        <f ca="1">_xll.DBRW($D$4,$E$7,$E$8,$E$9,$E$10,$E$12,$D35,$E$6,BM$18,BM$17)</f>
        <v>-10.219041999999998</v>
      </c>
      <c r="BN35" s="16">
        <f ca="1">_xll.DBRW($D$4,$E$7,$E$8,$E$9,$E$10,$E$12,$D35,$E$6,BN$18,BN$17)</f>
        <v>0.45163112014222317</v>
      </c>
      <c r="BO35" s="16"/>
      <c r="BP35" s="16"/>
      <c r="BQ35" s="16"/>
      <c r="BR35" s="16"/>
      <c r="BS35" s="16">
        <f ca="1">_xll.DBRW($D$4,$E$7,$E$8,$E$9,$E$10,$E$12,$D35,$E$6,BS$18,BS$17)</f>
        <v>-1.6837795699999998</v>
      </c>
      <c r="BT35" s="16">
        <f ca="1">_xll.DBRW($D$4,$E$7,$E$8,$E$9,$E$10,$E$12,$D35,$E$6,BT$18,BT$17)</f>
        <v>7.4414730194052522E-2</v>
      </c>
      <c r="BU35" s="16"/>
      <c r="BV35" s="16"/>
      <c r="BW35" s="16"/>
      <c r="BX35" s="16"/>
      <c r="BY35" s="16">
        <f ca="1">_xll.DBRW($D$4,$E$7,$E$8,$E$9,$E$10,$E$12,$D35,$E$6,BY$18,BY$17)</f>
        <v>-1.4428433630024</v>
      </c>
      <c r="BZ35" s="16">
        <f ca="1">_xll.DBRW($D$4,$E$7,$E$8,$E$9,$E$10,$E$12,$D35,$E$6,BZ$18,BZ$17)</f>
        <v>6.3766541347275635E-2</v>
      </c>
      <c r="CA35" s="16"/>
      <c r="CB35" s="16"/>
      <c r="CC35" s="16"/>
      <c r="CD35" s="16"/>
      <c r="CE35" s="16">
        <f ca="1">_xll.DBRW($D$4,$E$7,$E$8,$E$9,$E$10,$E$12,$D35,$E$6,CE$18,CE$17)</f>
        <v>-1.2771754999999998</v>
      </c>
      <c r="CF35" s="16">
        <f ca="1">_xll.DBRW($D$4,$E$7,$E$8,$E$9,$E$10,$E$12,$D35,$E$6,CF$18,CF$17)</f>
        <v>5.6444841080328656E-2</v>
      </c>
      <c r="CG35" s="16"/>
      <c r="CH35" s="16"/>
      <c r="CI35" s="16"/>
      <c r="CJ35" s="16"/>
      <c r="CK35" s="16">
        <f ca="1">_xll.DBRW($D$4,$E$7,$E$8,$E$9,$E$10,$E$12,$D35,$E$6,CK$18,CK$17)</f>
        <v>-4.9214902599999988</v>
      </c>
      <c r="CL35" s="16">
        <f ca="1">_xll.DBRW($D$4,$E$7,$E$8,$E$9,$E$10,$E$12,$D35,$E$6,CL$18,CL$17)</f>
        <v>0.21750553123207056</v>
      </c>
      <c r="CM35" s="16"/>
      <c r="CN35" s="16"/>
      <c r="CO35" s="16"/>
      <c r="CP35" s="16"/>
      <c r="CQ35" s="16">
        <f ca="1">_xll.DBRW($D$4,$E$7,$E$8,$E$9,$E$10,$E$12,$D35,$E$6,CQ$18,CQ$17)</f>
        <v>0.31351499999999999</v>
      </c>
      <c r="CR35" s="16">
        <f ca="1">_xll.DBRW($D$4,$E$7,$E$8,$E$9,$E$10,$E$12,$D35,$E$6,CR$18,CR$17)</f>
        <v>4.0492910000000002</v>
      </c>
      <c r="CS35" s="16">
        <f ca="1">_xll.DBRW($D$4,$E$7,$E$8,$E$9,$E$10,$E$12,$D35,$E$6,CS$18,CS$17)</f>
        <v>4.0492910000000002</v>
      </c>
      <c r="CT35" s="16">
        <f ca="1">_xll.DBRW($D$4,$E$7,$E$8,$E$9,$E$10,$E$12,$D35,$E$6,CT$18,CT$17)</f>
        <v>4.0492910000000002</v>
      </c>
      <c r="CU35" s="16">
        <f ca="1">_xll.DBRW($D$4,$E$7,$E$8,$E$9,$E$10,$E$12,$D35,$E$6,CU$18,CU$17)</f>
        <v>1.7366915779999998</v>
      </c>
      <c r="CV35" s="16">
        <f ca="1">_xll.DBRW($D$4,$E$7,$E$8,$E$9,$E$10,$E$12,$D35,$E$6,CV$18,CV$17)</f>
        <v>4.0492910000000002</v>
      </c>
      <c r="CW35" s="16">
        <f ca="1">_xll.DBRW($D$4,$E$7,$E$8,$E$9,$E$10,$E$12,$D35,$E$6,CW$18,CW$17)</f>
        <v>3.3778979999999996</v>
      </c>
      <c r="CX35" s="16">
        <f ca="1">_xll.DBRW($D$4,$E$7,$E$8,$E$9,$E$10,$E$12,$D35,$E$6,CX$18,CX$17)</f>
        <v>4.0492910000000002</v>
      </c>
      <c r="CY35" s="16">
        <f ca="1">_xll.DBRW($D$4,$E$7,$E$8,$E$9,$E$10,$E$12,$D35,$E$6,CY$18,CY$17)</f>
        <v>4.0492910000000002</v>
      </c>
      <c r="CZ35" s="16">
        <f ca="1">_xll.DBRW($D$4,$E$7,$E$8,$E$9,$E$10,$E$12,$D35,$E$6,CZ$18,CZ$17)</f>
        <v>4.0492910000000002</v>
      </c>
      <c r="DA35" s="26">
        <f t="shared" ca="1" si="89"/>
        <v>2.935907593002395</v>
      </c>
      <c r="DB35" s="26">
        <f t="shared" ca="1" si="90"/>
        <v>0.81627818000000008</v>
      </c>
      <c r="DC35" s="26">
        <f t="shared" ca="1" si="91"/>
        <v>0</v>
      </c>
      <c r="DD35" s="26">
        <f t="shared" ca="1" si="92"/>
        <v>-3.9922469999999932E-2</v>
      </c>
      <c r="DE35" s="26">
        <f t="shared" ca="1" si="93"/>
        <v>0</v>
      </c>
      <c r="DF35" s="26">
        <f t="shared" ca="1" si="94"/>
        <v>0</v>
      </c>
      <c r="DG35" s="26">
        <f t="shared" ca="1" si="95"/>
        <v>0</v>
      </c>
      <c r="DH35" s="26">
        <f t="shared" ca="1" si="96"/>
        <v>2.1595518830023943</v>
      </c>
      <c r="DI35" s="26">
        <f t="shared" ca="1" si="97"/>
        <v>0.34058566999999584</v>
      </c>
      <c r="DJ35" s="26">
        <f t="shared" ca="1" si="98"/>
        <v>0.51123941999999722</v>
      </c>
      <c r="DK35" s="26">
        <f t="shared" ca="1" si="99"/>
        <v>-2.8956438944912843E-2</v>
      </c>
      <c r="DL35" s="26"/>
      <c r="DM35" s="26"/>
      <c r="DN35" s="26"/>
      <c r="DO35" s="26"/>
      <c r="DP35" s="26">
        <f t="shared" ca="1" si="100"/>
        <v>0.25156628999999975</v>
      </c>
      <c r="DQ35" s="26">
        <f t="shared" ca="1" si="101"/>
        <v>-1.2056612943325107E-2</v>
      </c>
      <c r="DR35" s="26"/>
      <c r="DS35" s="26"/>
      <c r="DT35" s="26"/>
      <c r="DU35" s="26"/>
      <c r="DV35" s="26">
        <f t="shared" ca="1" si="102"/>
        <v>0.1811087630024002</v>
      </c>
      <c r="DW35" s="26">
        <f t="shared" ca="1" si="103"/>
        <v>-8.8310123832517559E-3</v>
      </c>
      <c r="DX35" s="26"/>
      <c r="DY35" s="26"/>
      <c r="DZ35" s="26"/>
      <c r="EA35" s="26"/>
      <c r="EB35" s="26">
        <f t="shared" ca="1" si="104"/>
        <v>0.35263770999999977</v>
      </c>
      <c r="EC35" s="26">
        <f t="shared" ca="1" si="105"/>
        <v>-1.6190755521543441E-2</v>
      </c>
      <c r="ED35" s="26"/>
      <c r="EE35" s="26"/>
      <c r="EF35" s="26"/>
      <c r="EG35" s="26"/>
      <c r="EH35" s="26">
        <f t="shared" ca="1" si="106"/>
        <v>0.52241402999999931</v>
      </c>
      <c r="EI35" s="29">
        <f t="shared" ca="1" si="107"/>
        <v>-2.597113117035077E-2</v>
      </c>
      <c r="EJ35" s="29"/>
      <c r="EK35" s="29"/>
      <c r="EL35" s="29"/>
      <c r="EM35" s="29"/>
      <c r="EN35" s="93"/>
      <c r="EO35" s="29"/>
      <c r="EP35" s="29"/>
      <c r="EQ35" s="29"/>
      <c r="ER35" s="29"/>
      <c r="ES35" s="29"/>
      <c r="ET35" s="29"/>
      <c r="EU35" s="93"/>
      <c r="EV35" s="29"/>
      <c r="EW35" s="29"/>
      <c r="EX35" s="29"/>
      <c r="EY35" s="29"/>
      <c r="EZ35" s="29"/>
      <c r="FA35" s="29"/>
      <c r="FB35" s="93"/>
      <c r="FC35" s="29"/>
      <c r="FD35" s="29"/>
      <c r="FE35" s="29"/>
      <c r="FF35" s="29"/>
      <c r="FG35" s="29"/>
      <c r="FH35" s="29"/>
      <c r="FI35" s="93"/>
      <c r="FJ35" s="29"/>
      <c r="FK35" s="29"/>
      <c r="FL35" s="29"/>
      <c r="FM35" s="29"/>
      <c r="FN35" s="29"/>
      <c r="FO35" s="29"/>
      <c r="FP35" s="93"/>
      <c r="FQ35" s="29"/>
      <c r="FR35" s="29"/>
      <c r="FS35" s="29"/>
      <c r="FT35" s="29"/>
      <c r="FU35" s="29"/>
      <c r="FV35" s="29"/>
    </row>
    <row r="36" spans="1:178" x14ac:dyDescent="0.25">
      <c r="A36" t="str">
        <f ca="1">IF(_xll.TM1RPTELISCONSOLIDATED($D$28,$D36),IF(_xll.TM1RPTELLEV($D$28,$D36)&lt;=3,_xll.TM1RPTELLEV($D$28,$D36),"D"),"N")</f>
        <v>N</v>
      </c>
      <c r="B36" t="str">
        <f ca="1">_xll.DBRA(Server&amp;"Management_organization",$D36,$B$27)</f>
        <v>L</v>
      </c>
      <c r="C36">
        <v>1</v>
      </c>
      <c r="D36" s="2" t="s">
        <v>80</v>
      </c>
      <c r="E36" s="26"/>
      <c r="F36" s="26"/>
      <c r="G36" s="16">
        <f ca="1">_xll.DBRW($D$4,$E$7,$E$8,$E$9,$E$10,$E$12,$D36,$E$6,G$18,G$17)</f>
        <v>3.2305547799999985</v>
      </c>
      <c r="H36" s="16">
        <f ca="1">_xll.DBRW($D$4,$E$7,$E$8,$E$9,$E$10,$E$12,$D36,$E$6,H$18,H$17)</f>
        <v>-0.57922426000000016</v>
      </c>
      <c r="I36" s="16">
        <f ca="1">_xll.DBRW($D$4,$E$7,$E$8,$E$9,$E$10,$E$12,$D36,$E$6,I$18,I$17)</f>
        <v>0</v>
      </c>
      <c r="J36" s="26">
        <f ca="1">_xll.DBRW($D$4,$E$7,$E$8,$E$9,$E$10,$E$12,$D36,$E$6,J$18,J$17)</f>
        <v>-0.37030062999999996</v>
      </c>
      <c r="K36" s="26">
        <f ca="1">_xll.DBRW($D$4,$E$7,$E$8,$E$9,$E$10,$E$12,$D36,$E$6,K$18,K$17)</f>
        <v>0</v>
      </c>
      <c r="L36" s="26">
        <f ca="1">_xll.DBRW($D$4,$E$7,$E$8,$E$9,$E$10,$E$12,$D36,$E$6,L$18,L$17)</f>
        <v>0</v>
      </c>
      <c r="M36" s="26">
        <f ca="1">_xll.DBRW($D$4,$E$7,$E$8,$E$9,$E$10,$E$12,$D36,$E$6,M$18,M$17)</f>
        <v>0</v>
      </c>
      <c r="N36" s="16">
        <f ca="1">_xll.DBRW($D$4,$E$7,$E$8,$E$9,$E$10,$E$12,$D36,$E$6,N$18,N$17)</f>
        <v>4.1800796699999996</v>
      </c>
      <c r="O36" s="16">
        <f ca="1">_xll.DBRW($D$4,$E$7,$E$8,$E$9,$E$10,$E$12,$D36,$E$6,O$18,O$17)</f>
        <v>19.822042509999999</v>
      </c>
      <c r="P36" s="74">
        <f ca="1">_xll.DBRW($D$4,$E$7,$E$8,$E$9,$E$10,$E$12,$D36,$E$6,P$18,P$17)</f>
        <v>-8.9988604299999988</v>
      </c>
      <c r="Q36" s="16">
        <f ca="1">_xll.DBRW($D$4,$E$7,$E$8,$E$9,$E$10,$E$12,$D36,$E$6,Q$18,Q$17)</f>
        <v>0.45398250081746994</v>
      </c>
      <c r="R36" s="16"/>
      <c r="S36" s="16"/>
      <c r="T36" s="16"/>
      <c r="U36" s="16"/>
      <c r="V36" s="16">
        <f ca="1">_xll.DBRW($D$4,$E$7,$E$8,$E$9,$E$10,$E$12,$D36,$E$6,V$18,V$17)</f>
        <v>-1.0715094099999998</v>
      </c>
      <c r="W36" s="16">
        <f ca="1">_xll.DBRW($D$4,$E$7,$E$8,$E$9,$E$10,$E$12,$D36,$E$6,W$18,W$17)</f>
        <v>5.4056458079909539E-2</v>
      </c>
      <c r="X36" s="16"/>
      <c r="Y36" s="16"/>
      <c r="Z36" s="16"/>
      <c r="AA36" s="16"/>
      <c r="AB36" s="16">
        <f ca="1">_xll.DBRW($D$4,$E$7,$E$8,$E$9,$E$10,$E$12,$D36,$E$6,AB$18,AB$17)</f>
        <v>-1.0964936600000001</v>
      </c>
      <c r="AC36" s="16">
        <f ca="1">_xll.DBRW($D$4,$E$7,$E$8,$E$9,$E$10,$E$12,$D36,$E$6,AC$18,AC$17)</f>
        <v>5.5316885706749509E-2</v>
      </c>
      <c r="AD36" s="16"/>
      <c r="AE36" s="16"/>
      <c r="AF36" s="16"/>
      <c r="AG36" s="16"/>
      <c r="AH36" s="16">
        <f ca="1">_xll.DBRW($D$4,$E$7,$E$8,$E$9,$E$10,$E$12,$D36,$E$6,AH$18,AH$17)</f>
        <v>-1.0468717999999999</v>
      </c>
      <c r="AI36" s="16">
        <f ca="1">_xll.DBRW($D$4,$E$7,$E$8,$E$9,$E$10,$E$12,$D36,$E$6,AI$18,AI$17)</f>
        <v>5.2813518055561871E-2</v>
      </c>
      <c r="AJ36" s="16"/>
      <c r="AK36" s="16"/>
      <c r="AL36" s="16"/>
      <c r="AM36" s="16"/>
      <c r="AN36" s="16">
        <f ca="1">_xll.DBRW($D$4,$E$7,$E$8,$E$9,$E$10,$E$12,$D36,$E$6,AN$18,AN$17)</f>
        <v>-3.42822754</v>
      </c>
      <c r="AO36" s="16">
        <f ca="1">_xll.DBRW($D$4,$E$7,$E$8,$E$9,$E$10,$E$12,$D36,$E$6,AO$18,AO$17)</f>
        <v>0.17295026676844716</v>
      </c>
      <c r="AP36" s="16"/>
      <c r="AQ36" s="16"/>
      <c r="AR36" s="16"/>
      <c r="AS36" s="16"/>
      <c r="AT36" s="16">
        <f ca="1">_xll.DBRW($D$4,$E$7,$E$8,$E$9,$E$10,$E$12,$D36,$E$6,AT$18,AT$17)</f>
        <v>0.28972569999999997</v>
      </c>
      <c r="AU36" s="16">
        <f ca="1">_xll.DBRW($D$4,$E$7,$E$8,$E$9,$E$10,$E$12,$D36,$E$6,AU$18,AU$17)</f>
        <v>3.2177799999999999</v>
      </c>
      <c r="AV36" s="16">
        <f ca="1">_xll.DBRW($D$4,$E$7,$E$8,$E$9,$E$10,$E$12,$D36,$E$6,AV$18,AV$17)</f>
        <v>3.2177799999999999</v>
      </c>
      <c r="AW36" s="16">
        <f ca="1">_xll.DBRW($D$4,$E$7,$E$8,$E$9,$E$10,$E$12,$D36,$E$6,AW$18,AW$17)</f>
        <v>3.2177799999999999</v>
      </c>
      <c r="AX36" s="16">
        <f ca="1">_xll.DBRW($D$4,$E$7,$E$8,$E$9,$E$10,$E$12,$D36,$E$6,AX$18,AX$17)</f>
        <v>1.4458870000000001</v>
      </c>
      <c r="AY36" s="16">
        <f ca="1">_xll.DBRW($D$4,$E$7,$E$8,$E$9,$E$10,$E$12,$D36,$E$6,AY$18,AY$17)</f>
        <v>3.2177799999999999</v>
      </c>
      <c r="AZ36" s="16">
        <f ca="1">_xll.DBRW($D$4,$E$7,$E$8,$E$9,$E$10,$E$12,$D36,$E$6,AZ$18,AZ$17)</f>
        <v>2.6040700000000001</v>
      </c>
      <c r="BA36" s="16">
        <f ca="1">_xll.DBRW($D$4,$E$7,$E$8,$E$9,$E$10,$E$12,$D36,$E$6,BA$18,BA$17)</f>
        <v>3.2177799999999999</v>
      </c>
      <c r="BB36" s="16">
        <f ca="1">_xll.DBRW($D$4,$E$7,$E$8,$E$9,$E$10,$E$12,$D36,$E$6,BB$18,BB$17)</f>
        <v>3.2177799999999999</v>
      </c>
      <c r="BC36" s="16">
        <f ca="1">_xll.DBRW($D$4,$E$7,$E$8,$E$9,$E$10,$E$12,$D36,$E$6,BC$18,BC$17)</f>
        <v>3.2177799999999999</v>
      </c>
      <c r="BD36" s="16">
        <f ca="1">_xll.DBRW($D$4,$E$7,$E$8,$E$9,$E$10,$E$12,$D36,$E$6,BD$18,BD$17)</f>
        <v>0.71135251369329677</v>
      </c>
      <c r="BE36" s="16">
        <f ca="1">_xll.DBRW($D$4,$E$7,$E$8,$E$9,$E$10,$E$12,$D36,$E$6,BE$18,BE$17)</f>
        <v>-1.3374793999999997</v>
      </c>
      <c r="BF36" s="16">
        <f ca="1">_xll.DBRW($D$4,$E$7,$E$8,$E$9,$E$10,$E$12,$D36,$E$6,BF$18,BF$17)</f>
        <v>0</v>
      </c>
      <c r="BG36" s="26">
        <f ca="1">_xll.DBRW($D$4,$E$7,$E$8,$E$9,$E$10,$E$12,$D36,$E$6,BG$18,BG$17)</f>
        <v>-0.51980639000000006</v>
      </c>
      <c r="BH36" s="26">
        <f ca="1">_xll.DBRW($D$4,$E$7,$E$8,$E$9,$E$10,$E$12,$D36,$E$6,BH$18,BH$17)</f>
        <v>0</v>
      </c>
      <c r="BI36" s="26">
        <f ca="1">_xll.DBRW($D$4,$E$7,$E$8,$E$9,$E$10,$E$12,$D36,$E$6,BI$18,BI$17)</f>
        <v>0</v>
      </c>
      <c r="BJ36" s="26">
        <f ca="1">_xll.DBRW($D$4,$E$7,$E$8,$E$9,$E$10,$E$12,$D36,$E$6,BJ$18,BJ$17)</f>
        <v>0</v>
      </c>
      <c r="BK36" s="16">
        <f ca="1">_xll.DBRW($D$4,$E$7,$E$8,$E$9,$E$10,$E$12,$D36,$E$6,BK$18,BK$17)</f>
        <v>2.5686383036932967</v>
      </c>
      <c r="BL36" s="16">
        <f ca="1">_xll.DBRW($D$4,$E$7,$E$8,$E$9,$E$10,$E$12,$D36,$E$6,BL$18,BL$17)</f>
        <v>19.852677</v>
      </c>
      <c r="BM36" s="16">
        <f ca="1">_xll.DBRW($D$4,$E$7,$E$8,$E$9,$E$10,$E$12,$D36,$E$6,BM$18,BM$17)</f>
        <v>-9.877969000000002</v>
      </c>
      <c r="BN36" s="16">
        <f ca="1">_xll.DBRW($D$4,$E$7,$E$8,$E$9,$E$10,$E$12,$D36,$E$6,BN$18,BN$17)</f>
        <v>0.4975635779497144</v>
      </c>
      <c r="BO36" s="16"/>
      <c r="BP36" s="16"/>
      <c r="BQ36" s="16"/>
      <c r="BR36" s="16"/>
      <c r="BS36" s="16">
        <f ca="1">_xll.DBRW($D$4,$E$7,$E$8,$E$9,$E$10,$E$12,$D36,$E$6,BS$18,BS$17)</f>
        <v>-1.2317445200000001</v>
      </c>
      <c r="BT36" s="16">
        <f ca="1">_xll.DBRW($D$4,$E$7,$E$8,$E$9,$E$10,$E$12,$D36,$E$6,BT$18,BT$17)</f>
        <v>6.2044253276271007E-2</v>
      </c>
      <c r="BU36" s="16"/>
      <c r="BV36" s="16"/>
      <c r="BW36" s="16"/>
      <c r="BX36" s="16"/>
      <c r="BY36" s="16">
        <f ca="1">_xll.DBRW($D$4,$E$7,$E$8,$E$9,$E$10,$E$12,$D36,$E$6,BY$18,BY$17)</f>
        <v>-1.2658528207475994</v>
      </c>
      <c r="BZ36" s="16">
        <f ca="1">_xll.DBRW($D$4,$E$7,$E$8,$E$9,$E$10,$E$12,$D36,$E$6,BZ$18,BZ$17)</f>
        <v>6.376232387942439E-2</v>
      </c>
      <c r="CA36" s="16"/>
      <c r="CB36" s="16"/>
      <c r="CC36" s="16"/>
      <c r="CD36" s="16"/>
      <c r="CE36" s="16">
        <f ca="1">_xll.DBRW($D$4,$E$7,$E$8,$E$9,$E$10,$E$12,$D36,$E$6,CE$18,CE$17)</f>
        <v>-1.071153</v>
      </c>
      <c r="CF36" s="16">
        <f ca="1">_xll.DBRW($D$4,$E$7,$E$8,$E$9,$E$10,$E$12,$D36,$E$6,CF$18,CF$17)</f>
        <v>5.395509129574818E-2</v>
      </c>
      <c r="CG36" s="16"/>
      <c r="CH36" s="16"/>
      <c r="CI36" s="16"/>
      <c r="CJ36" s="16"/>
      <c r="CK36" s="16">
        <f ca="1">_xll.DBRW($D$4,$E$7,$E$8,$E$9,$E$10,$E$12,$D36,$E$6,CK$18,CK$17)</f>
        <v>-3.8373193555591003</v>
      </c>
      <c r="CL36" s="16">
        <f ca="1">_xll.DBRW($D$4,$E$7,$E$8,$E$9,$E$10,$E$12,$D36,$E$6,CL$18,CL$17)</f>
        <v>0.19328976921143182</v>
      </c>
      <c r="CM36" s="16"/>
      <c r="CN36" s="16"/>
      <c r="CO36" s="16"/>
      <c r="CP36" s="16"/>
      <c r="CQ36" s="16">
        <f ca="1">_xll.DBRW($D$4,$E$7,$E$8,$E$9,$E$10,$E$12,$D36,$E$6,CQ$18,CQ$17)</f>
        <v>0.28909899999999999</v>
      </c>
      <c r="CR36" s="16">
        <f ca="1">_xll.DBRW($D$4,$E$7,$E$8,$E$9,$E$10,$E$12,$D36,$E$6,CR$18,CR$17)</f>
        <v>3.2783919999999998</v>
      </c>
      <c r="CS36" s="16">
        <f ca="1">_xll.DBRW($D$4,$E$7,$E$8,$E$9,$E$10,$E$12,$D36,$E$6,CS$18,CS$17)</f>
        <v>3.2783919999999998</v>
      </c>
      <c r="CT36" s="16">
        <f ca="1">_xll.DBRW($D$4,$E$7,$E$8,$E$9,$E$10,$E$12,$D36,$E$6,CT$18,CT$17)</f>
        <v>3.2783919999999998</v>
      </c>
      <c r="CU36" s="16">
        <f ca="1">_xll.DBRW($D$4,$E$7,$E$8,$E$9,$E$10,$E$12,$D36,$E$6,CU$18,CU$17)</f>
        <v>1.5236552969999999</v>
      </c>
      <c r="CV36" s="16">
        <f ca="1">_xll.DBRW($D$4,$E$7,$E$8,$E$9,$E$10,$E$12,$D36,$E$6,CV$18,CV$17)</f>
        <v>3.2783919999999998</v>
      </c>
      <c r="CW36" s="16">
        <f ca="1">_xll.DBRW($D$4,$E$7,$E$8,$E$9,$E$10,$E$12,$D36,$E$6,CW$18,CW$17)</f>
        <v>2.7134139999999998</v>
      </c>
      <c r="CX36" s="16">
        <f ca="1">_xll.DBRW($D$4,$E$7,$E$8,$E$9,$E$10,$E$12,$D36,$E$6,CX$18,CX$17)</f>
        <v>3.2783919999999998</v>
      </c>
      <c r="CY36" s="16">
        <f ca="1">_xll.DBRW($D$4,$E$7,$E$8,$E$9,$E$10,$E$12,$D36,$E$6,CY$18,CY$17)</f>
        <v>3.2783919999999998</v>
      </c>
      <c r="CZ36" s="16">
        <f ca="1">_xll.DBRW($D$4,$E$7,$E$8,$E$9,$E$10,$E$12,$D36,$E$6,CZ$18,CZ$17)</f>
        <v>3.2783919999999998</v>
      </c>
      <c r="DA36" s="26">
        <f t="shared" ca="1" si="89"/>
        <v>2.519202266306702</v>
      </c>
      <c r="DB36" s="26">
        <f t="shared" ca="1" si="90"/>
        <v>0.75825513999999949</v>
      </c>
      <c r="DC36" s="26">
        <f t="shared" ca="1" si="91"/>
        <v>0</v>
      </c>
      <c r="DD36" s="26">
        <f t="shared" ca="1" si="92"/>
        <v>0.1495057600000001</v>
      </c>
      <c r="DE36" s="26">
        <f t="shared" ca="1" si="93"/>
        <v>0</v>
      </c>
      <c r="DF36" s="26">
        <f t="shared" ca="1" si="94"/>
        <v>0</v>
      </c>
      <c r="DG36" s="26">
        <f t="shared" ca="1" si="95"/>
        <v>0</v>
      </c>
      <c r="DH36" s="26">
        <f t="shared" ca="1" si="96"/>
        <v>1.6114413663067029</v>
      </c>
      <c r="DI36" s="26">
        <f t="shared" ca="1" si="97"/>
        <v>-3.0634490000000625E-2</v>
      </c>
      <c r="DJ36" s="26">
        <f t="shared" ca="1" si="98"/>
        <v>0.8791085700000032</v>
      </c>
      <c r="DK36" s="26">
        <f t="shared" ca="1" si="99"/>
        <v>-4.3581077132244461E-2</v>
      </c>
      <c r="DL36" s="26"/>
      <c r="DM36" s="26"/>
      <c r="DN36" s="26"/>
      <c r="DO36" s="26"/>
      <c r="DP36" s="26">
        <f t="shared" ca="1" si="100"/>
        <v>0.16023511000000035</v>
      </c>
      <c r="DQ36" s="26">
        <f t="shared" ca="1" si="101"/>
        <v>-7.9877951963614677E-3</v>
      </c>
      <c r="DR36" s="26"/>
      <c r="DS36" s="26"/>
      <c r="DT36" s="26"/>
      <c r="DU36" s="26"/>
      <c r="DV36" s="26">
        <f t="shared" ca="1" si="102"/>
        <v>0.16935916074759927</v>
      </c>
      <c r="DW36" s="26">
        <f t="shared" ca="1" si="103"/>
        <v>-8.4454381726748809E-3</v>
      </c>
      <c r="DX36" s="26"/>
      <c r="DY36" s="26"/>
      <c r="DZ36" s="26"/>
      <c r="EA36" s="26"/>
      <c r="EB36" s="26">
        <f t="shared" ca="1" si="104"/>
        <v>2.4281200000000114E-2</v>
      </c>
      <c r="EC36" s="26">
        <f t="shared" ca="1" si="105"/>
        <v>-1.1415732401863082E-3</v>
      </c>
      <c r="ED36" s="26"/>
      <c r="EE36" s="26"/>
      <c r="EF36" s="26"/>
      <c r="EG36" s="26"/>
      <c r="EH36" s="26">
        <f t="shared" ca="1" si="106"/>
        <v>0.40909181555910035</v>
      </c>
      <c r="EI36" s="29">
        <f t="shared" ca="1" si="107"/>
        <v>-2.0339502442984658E-2</v>
      </c>
      <c r="EJ36" s="29"/>
      <c r="EK36" s="29"/>
      <c r="EL36" s="29"/>
      <c r="EM36" s="29"/>
      <c r="EN36" s="93"/>
      <c r="EO36" s="29"/>
      <c r="EP36" s="29"/>
      <c r="EQ36" s="29"/>
      <c r="ER36" s="29"/>
      <c r="ES36" s="29"/>
      <c r="ET36" s="29"/>
      <c r="EU36" s="93"/>
      <c r="EV36" s="29"/>
      <c r="EW36" s="29"/>
      <c r="EX36" s="29"/>
      <c r="EY36" s="29"/>
      <c r="EZ36" s="29"/>
      <c r="FA36" s="29"/>
      <c r="FB36" s="93"/>
      <c r="FC36" s="29"/>
      <c r="FD36" s="29"/>
      <c r="FE36" s="29"/>
      <c r="FF36" s="29"/>
      <c r="FG36" s="29"/>
      <c r="FH36" s="29"/>
      <c r="FI36" s="93"/>
      <c r="FJ36" s="29"/>
      <c r="FK36" s="29"/>
      <c r="FL36" s="29"/>
      <c r="FM36" s="29"/>
      <c r="FN36" s="29"/>
      <c r="FO36" s="29"/>
      <c r="FP36" s="93"/>
      <c r="FQ36" s="29"/>
      <c r="FR36" s="29"/>
      <c r="FS36" s="29"/>
      <c r="FT36" s="29"/>
      <c r="FU36" s="29"/>
      <c r="FV36" s="29"/>
    </row>
    <row r="37" spans="1:178" x14ac:dyDescent="0.25">
      <c r="A37" t="str">
        <f ca="1">IF(_xll.TM1RPTELISCONSOLIDATED($D$28,$D37),IF(_xll.TM1RPTELLEV($D$28,$D37)&lt;=3,_xll.TM1RPTELLEV($D$28,$D37),"D"),"N")</f>
        <v>N</v>
      </c>
      <c r="B37" t="str">
        <f ca="1">_xll.DBRA(Server&amp;"Management_organization",$D37,$B$27)</f>
        <v>L</v>
      </c>
      <c r="C37">
        <v>1</v>
      </c>
      <c r="D37" s="2" t="s">
        <v>81</v>
      </c>
      <c r="E37" s="26"/>
      <c r="F37" s="26"/>
      <c r="G37" s="16">
        <f ca="1">_xll.DBRW($D$4,$E$7,$E$8,$E$9,$E$10,$E$12,$D37,$E$6,G$18,G$17)</f>
        <v>7.3096718900000006</v>
      </c>
      <c r="H37" s="16">
        <f ca="1">_xll.DBRW($D$4,$E$7,$E$8,$E$9,$E$10,$E$12,$D37,$E$6,H$18,H$17)</f>
        <v>-1.34837702</v>
      </c>
      <c r="I37" s="16">
        <f ca="1">_xll.DBRW($D$4,$E$7,$E$8,$E$9,$E$10,$E$12,$D37,$E$6,I$18,I$17)</f>
        <v>0</v>
      </c>
      <c r="J37" s="26">
        <f ca="1">_xll.DBRW($D$4,$E$7,$E$8,$E$9,$E$10,$E$12,$D37,$E$6,J$18,J$17)</f>
        <v>-0.39395975999999994</v>
      </c>
      <c r="K37" s="26">
        <f ca="1">_xll.DBRW($D$4,$E$7,$E$8,$E$9,$E$10,$E$12,$D37,$E$6,K$18,K$17)</f>
        <v>0</v>
      </c>
      <c r="L37" s="26">
        <f ca="1">_xll.DBRW($D$4,$E$7,$E$8,$E$9,$E$10,$E$12,$D37,$E$6,L$18,L$17)</f>
        <v>0</v>
      </c>
      <c r="M37" s="26">
        <f ca="1">_xll.DBRW($D$4,$E$7,$E$8,$E$9,$E$10,$E$12,$D37,$E$6,M$18,M$17)</f>
        <v>0</v>
      </c>
      <c r="N37" s="16">
        <f ca="1">_xll.DBRW($D$4,$E$7,$E$8,$E$9,$E$10,$E$12,$D37,$E$6,N$18,N$17)</f>
        <v>9.0520086699999993</v>
      </c>
      <c r="O37" s="16">
        <f ca="1">_xll.DBRW($D$4,$E$7,$E$8,$E$9,$E$10,$E$12,$D37,$E$6,O$18,O$17)</f>
        <v>27.292499039999996</v>
      </c>
      <c r="P37" s="74">
        <f ca="1">_xll.DBRW($D$4,$E$7,$E$8,$E$9,$E$10,$E$12,$D37,$E$6,P$18,P$17)</f>
        <v>-8.7396046500000004</v>
      </c>
      <c r="Q37" s="16">
        <f ca="1">_xll.DBRW($D$4,$E$7,$E$8,$E$9,$E$10,$E$12,$D37,$E$6,Q$18,Q$17)</f>
        <v>0.32022002225560953</v>
      </c>
      <c r="R37" s="16"/>
      <c r="S37" s="16"/>
      <c r="T37" s="16"/>
      <c r="U37" s="16"/>
      <c r="V37" s="16">
        <f ca="1">_xll.DBRW($D$4,$E$7,$E$8,$E$9,$E$10,$E$12,$D37,$E$6,V$18,V$17)</f>
        <v>-1.8079171699999994</v>
      </c>
      <c r="W37" s="16">
        <f ca="1">_xll.DBRW($D$4,$E$7,$E$8,$E$9,$E$10,$E$12,$D37,$E$6,W$18,W$17)</f>
        <v>6.6242272917196365E-2</v>
      </c>
      <c r="X37" s="16"/>
      <c r="Y37" s="16"/>
      <c r="Z37" s="16"/>
      <c r="AA37" s="16"/>
      <c r="AB37" s="16">
        <f ca="1">_xll.DBRW($D$4,$E$7,$E$8,$E$9,$E$10,$E$12,$D37,$E$6,AB$18,AB$17)</f>
        <v>-1.55410074</v>
      </c>
      <c r="AC37" s="16">
        <f ca="1">_xll.DBRW($D$4,$E$7,$E$8,$E$9,$E$10,$E$12,$D37,$E$6,AC$18,AC$17)</f>
        <v>5.6942412555270362E-2</v>
      </c>
      <c r="AD37" s="16"/>
      <c r="AE37" s="16"/>
      <c r="AF37" s="16"/>
      <c r="AG37" s="16"/>
      <c r="AH37" s="16">
        <f ca="1">_xll.DBRW($D$4,$E$7,$E$8,$E$9,$E$10,$E$12,$D37,$E$6,AH$18,AH$17)</f>
        <v>-1.4544203599999999</v>
      </c>
      <c r="AI37" s="16">
        <f ca="1">_xll.DBRW($D$4,$E$7,$E$8,$E$9,$E$10,$E$12,$D37,$E$6,AI$18,AI$17)</f>
        <v>5.3290113077164372E-2</v>
      </c>
      <c r="AJ37" s="16"/>
      <c r="AK37" s="16"/>
      <c r="AL37" s="16"/>
      <c r="AM37" s="16"/>
      <c r="AN37" s="16">
        <f ca="1">_xll.DBRW($D$4,$E$7,$E$8,$E$9,$E$10,$E$12,$D37,$E$6,AN$18,AN$17)</f>
        <v>-4.6844474500000004</v>
      </c>
      <c r="AO37" s="16">
        <f ca="1">_xll.DBRW($D$4,$E$7,$E$8,$E$9,$E$10,$E$12,$D37,$E$6,AO$18,AO$17)</f>
        <v>0.1716386411934816</v>
      </c>
      <c r="AP37" s="16"/>
      <c r="AQ37" s="16"/>
      <c r="AR37" s="16"/>
      <c r="AS37" s="16"/>
      <c r="AT37" s="16">
        <f ca="1">_xll.DBRW($D$4,$E$7,$E$8,$E$9,$E$10,$E$12,$D37,$E$6,AT$18,AT$17)</f>
        <v>0.29230590999999995</v>
      </c>
      <c r="AU37" s="16">
        <f ca="1">_xll.DBRW($D$4,$E$7,$E$8,$E$9,$E$10,$E$12,$D37,$E$6,AU$18,AU$17)</f>
        <v>4.7387953999999999</v>
      </c>
      <c r="AV37" s="16">
        <f ca="1">_xll.DBRW($D$4,$E$7,$E$8,$E$9,$E$10,$E$12,$D37,$E$6,AV$18,AV$17)</f>
        <v>4.7387953999999999</v>
      </c>
      <c r="AW37" s="16">
        <f ca="1">_xll.DBRW($D$4,$E$7,$E$8,$E$9,$E$10,$E$12,$D37,$E$6,AW$18,AW$17)</f>
        <v>4.7387953999999999</v>
      </c>
      <c r="AX37" s="16">
        <f ca="1">_xll.DBRW($D$4,$E$7,$E$8,$E$9,$E$10,$E$12,$D37,$E$6,AX$18,AX$17)</f>
        <v>2.0104070260999998</v>
      </c>
      <c r="AY37" s="16">
        <f ca="1">_xll.DBRW($D$4,$E$7,$E$8,$E$9,$E$10,$E$12,$D37,$E$6,AY$18,AY$17)</f>
        <v>4.7387953999999999</v>
      </c>
      <c r="AZ37" s="16">
        <f ca="1">_xll.DBRW($D$4,$E$7,$E$8,$E$9,$E$10,$E$12,$D37,$E$6,AZ$18,AZ$17)</f>
        <v>3.8795780000000004</v>
      </c>
      <c r="BA37" s="16">
        <f ca="1">_xll.DBRW($D$4,$E$7,$E$8,$E$9,$E$10,$E$12,$D37,$E$6,BA$18,BA$17)</f>
        <v>4.7387953999999999</v>
      </c>
      <c r="BB37" s="16">
        <f ca="1">_xll.DBRW($D$4,$E$7,$E$8,$E$9,$E$10,$E$12,$D37,$E$6,BB$18,BB$17)</f>
        <v>4.7387953999999999</v>
      </c>
      <c r="BC37" s="16">
        <f ca="1">_xll.DBRW($D$4,$E$7,$E$8,$E$9,$E$10,$E$12,$D37,$E$6,BC$18,BC$17)</f>
        <v>4.7387953999999999</v>
      </c>
      <c r="BD37" s="16">
        <f ca="1">_xll.DBRW($D$4,$E$7,$E$8,$E$9,$E$10,$E$12,$D37,$E$6,BD$18,BD$17)</f>
        <v>2.5155424973011677</v>
      </c>
      <c r="BE37" s="16">
        <f ca="1">_xll.DBRW($D$4,$E$7,$E$8,$E$9,$E$10,$E$12,$D37,$E$6,BE$18,BE$17)</f>
        <v>-1.932274391104245</v>
      </c>
      <c r="BF37" s="16">
        <f ca="1">_xll.DBRW($D$4,$E$7,$E$8,$E$9,$E$10,$E$12,$D37,$E$6,BF$18,BF$17)</f>
        <v>0</v>
      </c>
      <c r="BG37" s="26">
        <f ca="1">_xll.DBRW($D$4,$E$7,$E$8,$E$9,$E$10,$E$12,$D37,$E$6,BG$18,BG$17)</f>
        <v>-0.49587033054389368</v>
      </c>
      <c r="BH37" s="26">
        <f ca="1">_xll.DBRW($D$4,$E$7,$E$8,$E$9,$E$10,$E$12,$D37,$E$6,BH$18,BH$17)</f>
        <v>0</v>
      </c>
      <c r="BI37" s="26">
        <f ca="1">_xll.DBRW($D$4,$E$7,$E$8,$E$9,$E$10,$E$12,$D37,$E$6,BI$18,BI$17)</f>
        <v>0</v>
      </c>
      <c r="BJ37" s="26">
        <f ca="1">_xll.DBRW($D$4,$E$7,$E$8,$E$9,$E$10,$E$12,$D37,$E$6,BJ$18,BJ$17)</f>
        <v>0</v>
      </c>
      <c r="BK37" s="16">
        <f ca="1">_xll.DBRW($D$4,$E$7,$E$8,$E$9,$E$10,$E$12,$D37,$E$6,BK$18,BK$17)</f>
        <v>4.9436872189493064</v>
      </c>
      <c r="BL37" s="16">
        <f ca="1">_xll.DBRW($D$4,$E$7,$E$8,$E$9,$E$10,$E$12,$D37,$E$6,BL$18,BL$17)</f>
        <v>26.517750213333333</v>
      </c>
      <c r="BM37" s="16">
        <f ca="1">_xll.DBRW($D$4,$E$7,$E$8,$E$9,$E$10,$E$12,$D37,$E$6,BM$18,BM$17)</f>
        <v>-10.392073749946567</v>
      </c>
      <c r="BN37" s="16">
        <f ca="1">_xll.DBRW($D$4,$E$7,$E$8,$E$9,$E$10,$E$12,$D37,$E$6,BN$18,BN$17)</f>
        <v>0.39189123007582111</v>
      </c>
      <c r="BO37" s="16"/>
      <c r="BP37" s="16"/>
      <c r="BQ37" s="16"/>
      <c r="BR37" s="16"/>
      <c r="BS37" s="16">
        <f ca="1">_xll.DBRW($D$4,$E$7,$E$8,$E$9,$E$10,$E$12,$D37,$E$6,BS$18,BS$17)</f>
        <v>-1.9210566626495156</v>
      </c>
      <c r="BT37" s="16">
        <f ca="1">_xll.DBRW($D$4,$E$7,$E$8,$E$9,$E$10,$E$12,$D37,$E$6,BT$18,BT$17)</f>
        <v>7.2444179736016717E-2</v>
      </c>
      <c r="BU37" s="16"/>
      <c r="BV37" s="16"/>
      <c r="BW37" s="16"/>
      <c r="BX37" s="16"/>
      <c r="BY37" s="16">
        <f ca="1">_xll.DBRW($D$4,$E$7,$E$8,$E$9,$E$10,$E$12,$D37,$E$6,BY$18,BY$17)</f>
        <v>-1.8350355545735206</v>
      </c>
      <c r="BZ37" s="16">
        <f ca="1">_xll.DBRW($D$4,$E$7,$E$8,$E$9,$E$10,$E$12,$D37,$E$6,BZ$18,BZ$17)</f>
        <v>6.9200273017537145E-2</v>
      </c>
      <c r="CA37" s="16"/>
      <c r="CB37" s="16"/>
      <c r="CC37" s="16"/>
      <c r="CD37" s="16"/>
      <c r="CE37" s="16">
        <f ca="1">_xll.DBRW($D$4,$E$7,$E$8,$E$9,$E$10,$E$12,$D37,$E$6,CE$18,CE$17)</f>
        <v>-1.7515759499999997</v>
      </c>
      <c r="CF37" s="16">
        <f ca="1">_xll.DBRW($D$4,$E$7,$E$8,$E$9,$E$10,$E$12,$D37,$E$6,CF$18,CF$17)</f>
        <v>6.6052962106841681E-2</v>
      </c>
      <c r="CG37" s="16"/>
      <c r="CH37" s="16"/>
      <c r="CI37" s="16"/>
      <c r="CJ37" s="16"/>
      <c r="CK37" s="16">
        <f ca="1">_xll.DBRW($D$4,$E$7,$E$8,$E$9,$E$10,$E$12,$D37,$E$6,CK$18,CK$17)</f>
        <v>-5.6743210772144197</v>
      </c>
      <c r="CL37" s="16">
        <f ca="1">_xll.DBRW($D$4,$E$7,$E$8,$E$9,$E$10,$E$12,$D37,$E$6,CL$18,CL$17)</f>
        <v>0.21398199438357055</v>
      </c>
      <c r="CM37" s="16"/>
      <c r="CN37" s="16"/>
      <c r="CO37" s="16"/>
      <c r="CP37" s="16"/>
      <c r="CQ37" s="16">
        <f ca="1">_xll.DBRW($D$4,$E$7,$E$8,$E$9,$E$10,$E$12,$D37,$E$6,CQ$18,CQ$17)</f>
        <v>0.32683003000000005</v>
      </c>
      <c r="CR37" s="16">
        <f ca="1">_xll.DBRW($D$4,$E$7,$E$8,$E$9,$E$10,$E$12,$D37,$E$6,CR$18,CR$17)</f>
        <v>5.1409759999999993</v>
      </c>
      <c r="CS37" s="16">
        <f ca="1">_xll.DBRW($D$4,$E$7,$E$8,$E$9,$E$10,$E$12,$D37,$E$6,CS$18,CS$17)</f>
        <v>5.1409759999999993</v>
      </c>
      <c r="CT37" s="16">
        <f ca="1">_xll.DBRW($D$4,$E$7,$E$8,$E$9,$E$10,$E$12,$D37,$E$6,CT$18,CT$17)</f>
        <v>5.1409759999999993</v>
      </c>
      <c r="CU37" s="16">
        <f ca="1">_xll.DBRW($D$4,$E$7,$E$8,$E$9,$E$10,$E$12,$D37,$E$6,CU$18,CU$17)</f>
        <v>2.2341707143999998</v>
      </c>
      <c r="CV37" s="16">
        <f ca="1">_xll.DBRW($D$4,$E$7,$E$8,$E$9,$E$10,$E$12,$D37,$E$6,CV$18,CV$17)</f>
        <v>5.1409759999999993</v>
      </c>
      <c r="CW37" s="16">
        <f ca="1">_xll.DBRW($D$4,$E$7,$E$8,$E$9,$E$10,$E$12,$D37,$E$6,CW$18,CW$17)</f>
        <v>4.2053189999999994</v>
      </c>
      <c r="CX37" s="16">
        <f ca="1">_xll.DBRW($D$4,$E$7,$E$8,$E$9,$E$10,$E$12,$D37,$E$6,CX$18,CX$17)</f>
        <v>5.1409759999999993</v>
      </c>
      <c r="CY37" s="16">
        <f ca="1">_xll.DBRW($D$4,$E$7,$E$8,$E$9,$E$10,$E$12,$D37,$E$6,CY$18,CY$17)</f>
        <v>5.1409759999999993</v>
      </c>
      <c r="CZ37" s="16">
        <f ca="1">_xll.DBRW($D$4,$E$7,$E$8,$E$9,$E$10,$E$12,$D37,$E$6,CZ$18,CZ$17)</f>
        <v>5.1409759999999993</v>
      </c>
      <c r="DA37" s="26">
        <f t="shared" ca="1" si="89"/>
        <v>4.7941293926988333</v>
      </c>
      <c r="DB37" s="26">
        <f t="shared" ca="1" si="90"/>
        <v>0.583897371104245</v>
      </c>
      <c r="DC37" s="26">
        <f t="shared" ca="1" si="91"/>
        <v>0</v>
      </c>
      <c r="DD37" s="26">
        <f t="shared" ca="1" si="92"/>
        <v>0.10191057054389374</v>
      </c>
      <c r="DE37" s="26">
        <f t="shared" ca="1" si="93"/>
        <v>0</v>
      </c>
      <c r="DF37" s="26">
        <f t="shared" ca="1" si="94"/>
        <v>0</v>
      </c>
      <c r="DG37" s="26">
        <f t="shared" ca="1" si="95"/>
        <v>0</v>
      </c>
      <c r="DH37" s="26">
        <f t="shared" ca="1" si="96"/>
        <v>4.1083214510506929</v>
      </c>
      <c r="DI37" s="26">
        <f t="shared" ca="1" si="97"/>
        <v>0.77474882666666289</v>
      </c>
      <c r="DJ37" s="26">
        <f t="shared" ca="1" si="98"/>
        <v>1.6524690999465665</v>
      </c>
      <c r="DK37" s="26">
        <f t="shared" ca="1" si="99"/>
        <v>-7.167120782021158E-2</v>
      </c>
      <c r="DL37" s="26"/>
      <c r="DM37" s="26"/>
      <c r="DN37" s="26"/>
      <c r="DO37" s="26"/>
      <c r="DP37" s="26">
        <f t="shared" ca="1" si="100"/>
        <v>0.11313949264951617</v>
      </c>
      <c r="DQ37" s="26">
        <f t="shared" ca="1" si="101"/>
        <v>-6.2019068188203519E-3</v>
      </c>
      <c r="DR37" s="26"/>
      <c r="DS37" s="26"/>
      <c r="DT37" s="26"/>
      <c r="DU37" s="26"/>
      <c r="DV37" s="26">
        <f t="shared" ca="1" si="102"/>
        <v>0.28093481457352065</v>
      </c>
      <c r="DW37" s="26">
        <f t="shared" ca="1" si="103"/>
        <v>-1.2257860462266783E-2</v>
      </c>
      <c r="DX37" s="26"/>
      <c r="DY37" s="26"/>
      <c r="DZ37" s="26"/>
      <c r="EA37" s="26"/>
      <c r="EB37" s="26">
        <f t="shared" ca="1" si="104"/>
        <v>0.2971555899999998</v>
      </c>
      <c r="EC37" s="26">
        <f t="shared" ca="1" si="105"/>
        <v>-1.2762849029677309E-2</v>
      </c>
      <c r="ED37" s="26"/>
      <c r="EE37" s="26"/>
      <c r="EF37" s="26"/>
      <c r="EG37" s="26"/>
      <c r="EH37" s="26">
        <f t="shared" ca="1" si="106"/>
        <v>0.98987362721441929</v>
      </c>
      <c r="EI37" s="29">
        <f t="shared" ca="1" si="107"/>
        <v>-4.2343353190088945E-2</v>
      </c>
      <c r="EJ37" s="29"/>
      <c r="EK37" s="29"/>
      <c r="EL37" s="29"/>
      <c r="EM37" s="29"/>
      <c r="EN37" s="93"/>
      <c r="EO37" s="29"/>
      <c r="EP37" s="29"/>
      <c r="EQ37" s="29"/>
      <c r="ER37" s="29"/>
      <c r="ES37" s="29"/>
      <c r="ET37" s="29"/>
      <c r="EU37" s="93"/>
      <c r="EV37" s="29"/>
      <c r="EW37" s="29"/>
      <c r="EX37" s="29"/>
      <c r="EY37" s="29"/>
      <c r="EZ37" s="29"/>
      <c r="FA37" s="29"/>
      <c r="FB37" s="93"/>
      <c r="FC37" s="29"/>
      <c r="FD37" s="29"/>
      <c r="FE37" s="29"/>
      <c r="FF37" s="29"/>
      <c r="FG37" s="29"/>
      <c r="FH37" s="29"/>
      <c r="FI37" s="93"/>
      <c r="FJ37" s="29"/>
      <c r="FK37" s="29"/>
      <c r="FL37" s="29"/>
      <c r="FM37" s="29"/>
      <c r="FN37" s="29"/>
      <c r="FO37" s="29"/>
      <c r="FP37" s="93"/>
      <c r="FQ37" s="29"/>
      <c r="FR37" s="29"/>
      <c r="FS37" s="29"/>
      <c r="FT37" s="29"/>
      <c r="FU37" s="29"/>
      <c r="FV37" s="29"/>
    </row>
    <row r="38" spans="1:178" x14ac:dyDescent="0.25">
      <c r="A38" t="str">
        <f ca="1">IF(_xll.TM1RPTELISCONSOLIDATED($D$28,$D38),IF(_xll.TM1RPTELLEV($D$28,$D38)&lt;=3,_xll.TM1RPTELLEV($D$28,$D38),"D"),"N")</f>
        <v>N</v>
      </c>
      <c r="B38" t="str">
        <f ca="1">_xll.DBRA(Server&amp;"Management_organization",$D38,$B$27)</f>
        <v>L</v>
      </c>
      <c r="C38">
        <v>1</v>
      </c>
      <c r="D38" s="2" t="s">
        <v>82</v>
      </c>
      <c r="E38" s="26"/>
      <c r="F38" s="26"/>
      <c r="G38" s="16">
        <f ca="1">_xll.DBRW($D$4,$E$7,$E$8,$E$9,$E$10,$E$12,$D38,$E$6,G$18,G$17)</f>
        <v>0.78974803999999832</v>
      </c>
      <c r="H38" s="16">
        <f ca="1">_xll.DBRW($D$4,$E$7,$E$8,$E$9,$E$10,$E$12,$D38,$E$6,H$18,H$17)</f>
        <v>-0.61584103999999995</v>
      </c>
      <c r="I38" s="16">
        <f ca="1">_xll.DBRW($D$4,$E$7,$E$8,$E$9,$E$10,$E$12,$D38,$E$6,I$18,I$17)</f>
        <v>0</v>
      </c>
      <c r="J38" s="26">
        <f ca="1">_xll.DBRW($D$4,$E$7,$E$8,$E$9,$E$10,$E$12,$D38,$E$6,J$18,J$17)</f>
        <v>-0.33379470999999999</v>
      </c>
      <c r="K38" s="26">
        <f ca="1">_xll.DBRW($D$4,$E$7,$E$8,$E$9,$E$10,$E$12,$D38,$E$6,K$18,K$17)</f>
        <v>0</v>
      </c>
      <c r="L38" s="26">
        <f ca="1">_xll.DBRW($D$4,$E$7,$E$8,$E$9,$E$10,$E$12,$D38,$E$6,L$18,L$17)</f>
        <v>0</v>
      </c>
      <c r="M38" s="26">
        <f ca="1">_xll.DBRW($D$4,$E$7,$E$8,$E$9,$E$10,$E$12,$D38,$E$6,M$18,M$17)</f>
        <v>0</v>
      </c>
      <c r="N38" s="16">
        <f ca="1">_xll.DBRW($D$4,$E$7,$E$8,$E$9,$E$10,$E$12,$D38,$E$6,N$18,N$17)</f>
        <v>1.7393837899999982</v>
      </c>
      <c r="O38" s="16">
        <f ca="1">_xll.DBRW($D$4,$E$7,$E$8,$E$9,$E$10,$E$12,$D38,$E$6,O$18,O$17)</f>
        <v>11.85716163</v>
      </c>
      <c r="P38" s="74">
        <f ca="1">_xll.DBRW($D$4,$E$7,$E$8,$E$9,$E$10,$E$12,$D38,$E$6,P$18,P$17)</f>
        <v>-5.3480616000000003</v>
      </c>
      <c r="Q38" s="16">
        <f ca="1">_xll.DBRW($D$4,$E$7,$E$8,$E$9,$E$10,$E$12,$D38,$E$6,Q$18,Q$17)</f>
        <v>0.45104062564760705</v>
      </c>
      <c r="R38" s="16"/>
      <c r="S38" s="16"/>
      <c r="T38" s="16"/>
      <c r="U38" s="16"/>
      <c r="V38" s="16">
        <f ca="1">_xll.DBRW($D$4,$E$7,$E$8,$E$9,$E$10,$E$12,$D38,$E$6,V$18,V$17)</f>
        <v>-1.2865561000000001</v>
      </c>
      <c r="W38" s="16">
        <f ca="1">_xll.DBRW($D$4,$E$7,$E$8,$E$9,$E$10,$E$12,$D38,$E$6,W$18,W$17)</f>
        <v>0.10850455953513051</v>
      </c>
      <c r="X38" s="16"/>
      <c r="Y38" s="16"/>
      <c r="Z38" s="16"/>
      <c r="AA38" s="16"/>
      <c r="AB38" s="16">
        <f ca="1">_xll.DBRW($D$4,$E$7,$E$8,$E$9,$E$10,$E$12,$D38,$E$6,AB$18,AB$17)</f>
        <v>-1.0689564799999998</v>
      </c>
      <c r="AC38" s="16">
        <f ca="1">_xll.DBRW($D$4,$E$7,$E$8,$E$9,$E$10,$E$12,$D38,$E$6,AC$18,AC$17)</f>
        <v>9.0152813409864918E-2</v>
      </c>
      <c r="AD38" s="16"/>
      <c r="AE38" s="16"/>
      <c r="AF38" s="16"/>
      <c r="AG38" s="16"/>
      <c r="AH38" s="16">
        <f ca="1">_xll.DBRW($D$4,$E$7,$E$8,$E$9,$E$10,$E$12,$D38,$E$6,AH$18,AH$17)</f>
        <v>-0.86127156000000005</v>
      </c>
      <c r="AI38" s="16">
        <f ca="1">_xll.DBRW($D$4,$E$7,$E$8,$E$9,$E$10,$E$12,$D38,$E$6,AI$18,AI$17)</f>
        <v>7.2637245478790025E-2</v>
      </c>
      <c r="AJ38" s="16"/>
      <c r="AK38" s="16"/>
      <c r="AL38" s="16"/>
      <c r="AM38" s="16"/>
      <c r="AN38" s="16">
        <f ca="1">_xll.DBRW($D$4,$E$7,$E$8,$E$9,$E$10,$E$12,$D38,$E$6,AN$18,AN$17)</f>
        <v>-1.5529320999999998</v>
      </c>
      <c r="AO38" s="16">
        <f ca="1">_xll.DBRW($D$4,$E$7,$E$8,$E$9,$E$10,$E$12,$D38,$E$6,AO$18,AO$17)</f>
        <v>0.13096996974983463</v>
      </c>
      <c r="AP38" s="16"/>
      <c r="AQ38" s="16"/>
      <c r="AR38" s="16"/>
      <c r="AS38" s="16"/>
      <c r="AT38" s="16">
        <f ca="1">_xll.DBRW($D$4,$E$7,$E$8,$E$9,$E$10,$E$12,$D38,$E$6,AT$18,AT$17)</f>
        <v>0.18036534999999998</v>
      </c>
      <c r="AU38" s="16">
        <f ca="1">_xll.DBRW($D$4,$E$7,$E$8,$E$9,$E$10,$E$12,$D38,$E$6,AU$18,AU$17)</f>
        <v>3.1028363999999997</v>
      </c>
      <c r="AV38" s="16">
        <f ca="1">_xll.DBRW($D$4,$E$7,$E$8,$E$9,$E$10,$E$12,$D38,$E$6,AV$18,AV$17)</f>
        <v>3.1028363999999997</v>
      </c>
      <c r="AW38" s="16">
        <f ca="1">_xll.DBRW($D$4,$E$7,$E$8,$E$9,$E$10,$E$12,$D38,$E$6,AW$18,AW$17)</f>
        <v>3.1028363999999997</v>
      </c>
      <c r="AX38" s="16">
        <f ca="1">_xll.DBRW($D$4,$E$7,$E$8,$E$9,$E$10,$E$12,$D38,$E$6,AX$18,AX$17)</f>
        <v>1.1798313999999999</v>
      </c>
      <c r="AY38" s="16">
        <f ca="1">_xll.DBRW($D$4,$E$7,$E$8,$E$9,$E$10,$E$12,$D38,$E$6,AY$18,AY$17)</f>
        <v>3.1028363999999997</v>
      </c>
      <c r="AZ38" s="16">
        <f ca="1">_xll.DBRW($D$4,$E$7,$E$8,$E$9,$E$10,$E$12,$D38,$E$6,AZ$18,AZ$17)</f>
        <v>2.1491359999999999</v>
      </c>
      <c r="BA38" s="16">
        <f ca="1">_xll.DBRW($D$4,$E$7,$E$8,$E$9,$E$10,$E$12,$D38,$E$6,BA$18,BA$17)</f>
        <v>3.1028363999999997</v>
      </c>
      <c r="BB38" s="16">
        <f ca="1">_xll.DBRW($D$4,$E$7,$E$8,$E$9,$E$10,$E$12,$D38,$E$6,BB$18,BB$17)</f>
        <v>3.1028363999999997</v>
      </c>
      <c r="BC38" s="16">
        <f ca="1">_xll.DBRW($D$4,$E$7,$E$8,$E$9,$E$10,$E$12,$D38,$E$6,BC$18,BC$17)</f>
        <v>3.1028363999999997</v>
      </c>
      <c r="BD38" s="16">
        <f ca="1">_xll.DBRW($D$4,$E$7,$E$8,$E$9,$E$10,$E$12,$D38,$E$6,BD$18,BD$17)</f>
        <v>-0.2266005210494797</v>
      </c>
      <c r="BE38" s="16">
        <f ca="1">_xll.DBRW($D$4,$E$7,$E$8,$E$9,$E$10,$E$12,$D38,$E$6,BE$18,BE$17)</f>
        <v>-0.99276823117119317</v>
      </c>
      <c r="BF38" s="16">
        <f ca="1">_xll.DBRW($D$4,$E$7,$E$8,$E$9,$E$10,$E$12,$D38,$E$6,BF$18,BF$17)</f>
        <v>0</v>
      </c>
      <c r="BG38" s="26">
        <f ca="1">_xll.DBRW($D$4,$E$7,$E$8,$E$9,$E$10,$E$12,$D38,$E$6,BG$18,BG$17)</f>
        <v>-0.36899612140980698</v>
      </c>
      <c r="BH38" s="26">
        <f ca="1">_xll.DBRW($D$4,$E$7,$E$8,$E$9,$E$10,$E$12,$D38,$E$6,BH$18,BH$17)</f>
        <v>0</v>
      </c>
      <c r="BI38" s="26">
        <f ca="1">_xll.DBRW($D$4,$E$7,$E$8,$E$9,$E$10,$E$12,$D38,$E$6,BI$18,BI$17)</f>
        <v>0</v>
      </c>
      <c r="BJ38" s="26">
        <f ca="1">_xll.DBRW($D$4,$E$7,$E$8,$E$9,$E$10,$E$12,$D38,$E$6,BJ$18,BJ$17)</f>
        <v>0</v>
      </c>
      <c r="BK38" s="16">
        <f ca="1">_xll.DBRW($D$4,$E$7,$E$8,$E$9,$E$10,$E$12,$D38,$E$6,BK$18,BK$17)</f>
        <v>1.1351638315315205</v>
      </c>
      <c r="BL38" s="16">
        <f ca="1">_xll.DBRW($D$4,$E$7,$E$8,$E$9,$E$10,$E$12,$D38,$E$6,BL$18,BL$17)</f>
        <v>12.69130068187525</v>
      </c>
      <c r="BM38" s="16">
        <f ca="1">_xll.DBRW($D$4,$E$7,$E$8,$E$9,$E$10,$E$12,$D38,$E$6,BM$18,BM$17)</f>
        <v>-6.1003683211812332</v>
      </c>
      <c r="BN38" s="16">
        <f ca="1">_xll.DBRW($D$4,$E$7,$E$8,$E$9,$E$10,$E$12,$D38,$E$6,BN$18,BN$17)</f>
        <v>0.48067321656741735</v>
      </c>
      <c r="BO38" s="16"/>
      <c r="BP38" s="16"/>
      <c r="BQ38" s="16"/>
      <c r="BR38" s="16"/>
      <c r="BS38" s="16">
        <f ca="1">_xll.DBRW($D$4,$E$7,$E$8,$E$9,$E$10,$E$12,$D38,$E$6,BS$18,BS$17)</f>
        <v>-1.2654502088641517</v>
      </c>
      <c r="BT38" s="16">
        <f ca="1">_xll.DBRW($D$4,$E$7,$E$8,$E$9,$E$10,$E$12,$D38,$E$6,BT$18,BT$17)</f>
        <v>9.9710048684873681E-2</v>
      </c>
      <c r="BU38" s="16"/>
      <c r="BV38" s="16"/>
      <c r="BW38" s="16"/>
      <c r="BX38" s="16"/>
      <c r="BY38" s="16">
        <f ca="1">_xll.DBRW($D$4,$E$7,$E$8,$E$9,$E$10,$E$12,$D38,$E$6,BY$18,BY$17)</f>
        <v>-1.1084716748604</v>
      </c>
      <c r="BZ38" s="16">
        <f ca="1">_xll.DBRW($D$4,$E$7,$E$8,$E$9,$E$10,$E$12,$D38,$E$6,BZ$18,BZ$17)</f>
        <v>8.734106161738292E-2</v>
      </c>
      <c r="CA38" s="16"/>
      <c r="CB38" s="16"/>
      <c r="CC38" s="16"/>
      <c r="CD38" s="16"/>
      <c r="CE38" s="16">
        <f ca="1">_xll.DBRW($D$4,$E$7,$E$8,$E$9,$E$10,$E$12,$D38,$E$6,CE$18,CE$17)</f>
        <v>-1.10781456</v>
      </c>
      <c r="CF38" s="16">
        <f ca="1">_xll.DBRW($D$4,$E$7,$E$8,$E$9,$E$10,$E$12,$D38,$E$6,CF$18,CF$17)</f>
        <v>8.728928482343E-2</v>
      </c>
      <c r="CG38" s="16"/>
      <c r="CH38" s="16"/>
      <c r="CI38" s="16"/>
      <c r="CJ38" s="16"/>
      <c r="CK38" s="16">
        <f ca="1">_xll.DBRW($D$4,$E$7,$E$8,$E$9,$E$10,$E$12,$D38,$E$6,CK$18,CK$17)</f>
        <v>-1.9740320854379441</v>
      </c>
      <c r="CL38" s="16">
        <f ca="1">_xll.DBRW($D$4,$E$7,$E$8,$E$9,$E$10,$E$12,$D38,$E$6,CL$18,CL$17)</f>
        <v>0.15554214141794831</v>
      </c>
      <c r="CM38" s="16"/>
      <c r="CN38" s="16"/>
      <c r="CO38" s="16"/>
      <c r="CP38" s="16"/>
      <c r="CQ38" s="16">
        <f ca="1">_xll.DBRW($D$4,$E$7,$E$8,$E$9,$E$10,$E$12,$D38,$E$6,CQ$18,CQ$17)</f>
        <v>0.19788580000000003</v>
      </c>
      <c r="CR38" s="16">
        <f ca="1">_xll.DBRW($D$4,$E$7,$E$8,$E$9,$E$10,$E$12,$D38,$E$6,CR$18,CR$17)</f>
        <v>3.496947</v>
      </c>
      <c r="CS38" s="16">
        <f ca="1">_xll.DBRW($D$4,$E$7,$E$8,$E$9,$E$10,$E$12,$D38,$E$6,CS$18,CS$17)</f>
        <v>3.496947</v>
      </c>
      <c r="CT38" s="16">
        <f ca="1">_xll.DBRW($D$4,$E$7,$E$8,$E$9,$E$10,$E$12,$D38,$E$6,CT$18,CT$17)</f>
        <v>3.496947</v>
      </c>
      <c r="CU38" s="16">
        <f ca="1">_xll.DBRW($D$4,$E$7,$E$8,$E$9,$E$10,$E$12,$D38,$E$6,CU$18,CU$17)</f>
        <v>1.3320999629999999</v>
      </c>
      <c r="CV38" s="16">
        <f ca="1">_xll.DBRW($D$4,$E$7,$E$8,$E$9,$E$10,$E$12,$D38,$E$6,CV$18,CV$17)</f>
        <v>3.496947</v>
      </c>
      <c r="CW38" s="16">
        <f ca="1">_xll.DBRW($D$4,$E$7,$E$8,$E$9,$E$10,$E$12,$D38,$E$6,CW$18,CW$17)</f>
        <v>2.4369499999999999</v>
      </c>
      <c r="CX38" s="16">
        <f ca="1">_xll.DBRW($D$4,$E$7,$E$8,$E$9,$E$10,$E$12,$D38,$E$6,CX$18,CX$17)</f>
        <v>3.496947</v>
      </c>
      <c r="CY38" s="16">
        <f ca="1">_xll.DBRW($D$4,$E$7,$E$8,$E$9,$E$10,$E$12,$D38,$E$6,CY$18,CY$17)</f>
        <v>3.496947</v>
      </c>
      <c r="CZ38" s="16">
        <f ca="1">_xll.DBRW($D$4,$E$7,$E$8,$E$9,$E$10,$E$12,$D38,$E$6,CZ$18,CZ$17)</f>
        <v>3.496947</v>
      </c>
      <c r="DA38" s="26">
        <f t="shared" ca="1" si="89"/>
        <v>1.016348561049478</v>
      </c>
      <c r="DB38" s="26">
        <f t="shared" ca="1" si="90"/>
        <v>0.37692719117119322</v>
      </c>
      <c r="DC38" s="26">
        <f t="shared" ca="1" si="91"/>
        <v>0</v>
      </c>
      <c r="DD38" s="26">
        <f t="shared" ca="1" si="92"/>
        <v>3.5201411409806982E-2</v>
      </c>
      <c r="DE38" s="26">
        <f t="shared" ca="1" si="93"/>
        <v>0</v>
      </c>
      <c r="DF38" s="26">
        <f t="shared" ca="1" si="94"/>
        <v>0</v>
      </c>
      <c r="DG38" s="26">
        <f t="shared" ca="1" si="95"/>
        <v>0</v>
      </c>
      <c r="DH38" s="26">
        <f t="shared" ca="1" si="96"/>
        <v>0.60421995846847776</v>
      </c>
      <c r="DI38" s="26">
        <f t="shared" ca="1" si="97"/>
        <v>-0.83413905187524939</v>
      </c>
      <c r="DJ38" s="26">
        <f t="shared" ca="1" si="98"/>
        <v>0.75230672118123287</v>
      </c>
      <c r="DK38" s="26">
        <f t="shared" ca="1" si="99"/>
        <v>-2.9632590919810298E-2</v>
      </c>
      <c r="DL38" s="26"/>
      <c r="DM38" s="26"/>
      <c r="DN38" s="26"/>
      <c r="DO38" s="26"/>
      <c r="DP38" s="26">
        <f t="shared" ca="1" si="100"/>
        <v>-2.1105891135848376E-2</v>
      </c>
      <c r="DQ38" s="26">
        <f t="shared" ca="1" si="101"/>
        <v>8.7945108502568287E-3</v>
      </c>
      <c r="DR38" s="26"/>
      <c r="DS38" s="26"/>
      <c r="DT38" s="26"/>
      <c r="DU38" s="26"/>
      <c r="DV38" s="26">
        <f t="shared" ca="1" si="102"/>
        <v>3.9515194860400227E-2</v>
      </c>
      <c r="DW38" s="26">
        <f t="shared" ca="1" si="103"/>
        <v>2.8117517924819979E-3</v>
      </c>
      <c r="DX38" s="26"/>
      <c r="DY38" s="26"/>
      <c r="DZ38" s="26"/>
      <c r="EA38" s="26"/>
      <c r="EB38" s="26">
        <f t="shared" ca="1" si="104"/>
        <v>0.24654299999999996</v>
      </c>
      <c r="EC38" s="26">
        <f t="shared" ca="1" si="105"/>
        <v>-1.4652039344639975E-2</v>
      </c>
      <c r="ED38" s="26"/>
      <c r="EE38" s="26"/>
      <c r="EF38" s="26"/>
      <c r="EG38" s="26"/>
      <c r="EH38" s="26">
        <f t="shared" ca="1" si="106"/>
        <v>0.42109998543794425</v>
      </c>
      <c r="EI38" s="29">
        <f t="shared" ca="1" si="107"/>
        <v>-2.4572171668113679E-2</v>
      </c>
      <c r="EJ38" s="29"/>
      <c r="EK38" s="29"/>
      <c r="EL38" s="29"/>
      <c r="EM38" s="29"/>
      <c r="EN38" s="93"/>
      <c r="EO38" s="29"/>
      <c r="EP38" s="29"/>
      <c r="EQ38" s="29"/>
      <c r="ER38" s="29"/>
      <c r="ES38" s="29"/>
      <c r="ET38" s="29"/>
      <c r="EU38" s="93"/>
      <c r="EV38" s="29"/>
      <c r="EW38" s="29"/>
      <c r="EX38" s="29"/>
      <c r="EY38" s="29"/>
      <c r="EZ38" s="29"/>
      <c r="FA38" s="29"/>
      <c r="FB38" s="93"/>
      <c r="FC38" s="29"/>
      <c r="FD38" s="29"/>
      <c r="FE38" s="29"/>
      <c r="FF38" s="29"/>
      <c r="FG38" s="29"/>
      <c r="FH38" s="29"/>
      <c r="FI38" s="93"/>
      <c r="FJ38" s="29"/>
      <c r="FK38" s="29"/>
      <c r="FL38" s="29"/>
      <c r="FM38" s="29"/>
      <c r="FN38" s="29"/>
      <c r="FO38" s="29"/>
      <c r="FP38" s="93"/>
      <c r="FQ38" s="29"/>
      <c r="FR38" s="29"/>
      <c r="FS38" s="29"/>
      <c r="FT38" s="29"/>
      <c r="FU38" s="29"/>
      <c r="FV38" s="29"/>
    </row>
    <row r="39" spans="1:178" x14ac:dyDescent="0.25">
      <c r="A39" t="str">
        <f ca="1">IF(_xll.TM1RPTELISCONSOLIDATED($D$28,$D39),IF(_xll.TM1RPTELLEV($D$28,$D39)&lt;=3,_xll.TM1RPTELLEV($D$28,$D39),"D"),"N")</f>
        <v>N</v>
      </c>
      <c r="B39" t="str">
        <f ca="1">_xll.DBRA(Server&amp;"Management_organization",$D39,$B$27)</f>
        <v>L</v>
      </c>
      <c r="C39">
        <v>1</v>
      </c>
      <c r="D39" s="2" t="s">
        <v>83</v>
      </c>
      <c r="E39" s="26"/>
      <c r="F39" s="26"/>
      <c r="G39" s="16">
        <f ca="1">_xll.DBRW($D$4,$E$7,$E$8,$E$9,$E$10,$E$12,$D39,$E$6,G$18,G$17)</f>
        <v>14.659101160000004</v>
      </c>
      <c r="H39" s="16">
        <f ca="1">_xll.DBRW($D$4,$E$7,$E$8,$E$9,$E$10,$E$12,$D39,$E$6,H$18,H$17)</f>
        <v>-2.25742346</v>
      </c>
      <c r="I39" s="16">
        <f ca="1">_xll.DBRW($D$4,$E$7,$E$8,$E$9,$E$10,$E$12,$D39,$E$6,I$18,I$17)</f>
        <v>0</v>
      </c>
      <c r="J39" s="26">
        <f ca="1">_xll.DBRW($D$4,$E$7,$E$8,$E$9,$E$10,$E$12,$D39,$E$6,J$18,J$17)</f>
        <v>-0.45642968000000006</v>
      </c>
      <c r="K39" s="26">
        <f ca="1">_xll.DBRW($D$4,$E$7,$E$8,$E$9,$E$10,$E$12,$D39,$E$6,K$18,K$17)</f>
        <v>0</v>
      </c>
      <c r="L39" s="26">
        <f ca="1">_xll.DBRW($D$4,$E$7,$E$8,$E$9,$E$10,$E$12,$D39,$E$6,L$18,L$17)</f>
        <v>0</v>
      </c>
      <c r="M39" s="26">
        <f ca="1">_xll.DBRW($D$4,$E$7,$E$8,$E$9,$E$10,$E$12,$D39,$E$6,M$18,M$17)</f>
        <v>0</v>
      </c>
      <c r="N39" s="16">
        <f ca="1">_xll.DBRW($D$4,$E$7,$E$8,$E$9,$E$10,$E$12,$D39,$E$6,N$18,N$17)</f>
        <v>17.3729543</v>
      </c>
      <c r="O39" s="16">
        <f ca="1">_xll.DBRW($D$4,$E$7,$E$8,$E$9,$E$10,$E$12,$D39,$E$6,O$18,O$17)</f>
        <v>46.773397360000004</v>
      </c>
      <c r="P39" s="74">
        <f ca="1">_xll.DBRW($D$4,$E$7,$E$8,$E$9,$E$10,$E$12,$D39,$E$6,P$18,P$17)</f>
        <v>-15.950851159999999</v>
      </c>
      <c r="Q39" s="16">
        <f ca="1">_xll.DBRW($D$4,$E$7,$E$8,$E$9,$E$10,$E$12,$D39,$E$6,Q$18,Q$17)</f>
        <v>0.34102400211024564</v>
      </c>
      <c r="R39" s="16"/>
      <c r="S39" s="16"/>
      <c r="T39" s="16"/>
      <c r="U39" s="16"/>
      <c r="V39" s="16">
        <f ca="1">_xll.DBRW($D$4,$E$7,$E$8,$E$9,$E$10,$E$12,$D39,$E$6,V$18,V$17)</f>
        <v>-2.2291165199999998</v>
      </c>
      <c r="W39" s="16">
        <f ca="1">_xll.DBRW($D$4,$E$7,$E$8,$E$9,$E$10,$E$12,$D39,$E$6,W$18,W$17)</f>
        <v>4.765778510470807E-2</v>
      </c>
      <c r="X39" s="16"/>
      <c r="Y39" s="16"/>
      <c r="Z39" s="16"/>
      <c r="AA39" s="16"/>
      <c r="AB39" s="16">
        <f ca="1">_xll.DBRW($D$4,$E$7,$E$8,$E$9,$E$10,$E$12,$D39,$E$6,AB$18,AB$17)</f>
        <v>-2.7970232400000006</v>
      </c>
      <c r="AC39" s="16">
        <f ca="1">_xll.DBRW($D$4,$E$7,$E$8,$E$9,$E$10,$E$12,$D39,$E$6,AC$18,AC$17)</f>
        <v>5.9799445793347013E-2</v>
      </c>
      <c r="AD39" s="16"/>
      <c r="AE39" s="16"/>
      <c r="AF39" s="16"/>
      <c r="AG39" s="16"/>
      <c r="AH39" s="16">
        <f ca="1">_xll.DBRW($D$4,$E$7,$E$8,$E$9,$E$10,$E$12,$D39,$E$6,AH$18,AH$17)</f>
        <v>-1.34453742</v>
      </c>
      <c r="AI39" s="16">
        <f ca="1">_xll.DBRW($D$4,$E$7,$E$8,$E$9,$E$10,$E$12,$D39,$E$6,AI$18,AI$17)</f>
        <v>2.8745772081756684E-2</v>
      </c>
      <c r="AJ39" s="16"/>
      <c r="AK39" s="16"/>
      <c r="AL39" s="16"/>
      <c r="AM39" s="16"/>
      <c r="AN39" s="16">
        <f ca="1">_xll.DBRW($D$4,$E$7,$E$8,$E$9,$E$10,$E$12,$D39,$E$6,AN$18,AN$17)</f>
        <v>-7.0789147199999984</v>
      </c>
      <c r="AO39" s="16">
        <f ca="1">_xll.DBRW($D$4,$E$7,$E$8,$E$9,$E$10,$E$12,$D39,$E$6,AO$18,AO$17)</f>
        <v>0.1513448908899184</v>
      </c>
      <c r="AP39" s="16"/>
      <c r="AQ39" s="16"/>
      <c r="AR39" s="16"/>
      <c r="AS39" s="16"/>
      <c r="AT39" s="16">
        <f ca="1">_xll.DBRW($D$4,$E$7,$E$8,$E$9,$E$10,$E$12,$D39,$E$6,AT$18,AT$17)</f>
        <v>0.61831152999999983</v>
      </c>
      <c r="AU39" s="16">
        <f ca="1">_xll.DBRW($D$4,$E$7,$E$8,$E$9,$E$10,$E$12,$D39,$E$6,AU$18,AU$17)</f>
        <v>6.2062330000000001</v>
      </c>
      <c r="AV39" s="16">
        <f ca="1">_xll.DBRW($D$4,$E$7,$E$8,$E$9,$E$10,$E$12,$D39,$E$6,AV$18,AV$17)</f>
        <v>6.2062330000000001</v>
      </c>
      <c r="AW39" s="16">
        <f ca="1">_xll.DBRW($D$4,$E$7,$E$8,$E$9,$E$10,$E$12,$D39,$E$6,AW$18,AW$17)</f>
        <v>6.2062330000000001</v>
      </c>
      <c r="AX39" s="16">
        <f ca="1">_xll.DBRW($D$4,$E$7,$E$8,$E$9,$E$10,$E$12,$D39,$E$6,AX$18,AX$17)</f>
        <v>3.00869805</v>
      </c>
      <c r="AY39" s="16">
        <f ca="1">_xll.DBRW($D$4,$E$7,$E$8,$E$9,$E$10,$E$12,$D39,$E$6,AY$18,AY$17)</f>
        <v>6.2062330000000001</v>
      </c>
      <c r="AZ39" s="16">
        <f ca="1">_xll.DBRW($D$4,$E$7,$E$8,$E$9,$E$10,$E$12,$D39,$E$6,AZ$18,AZ$17)</f>
        <v>5.06319622</v>
      </c>
      <c r="BA39" s="16">
        <f ca="1">_xll.DBRW($D$4,$E$7,$E$8,$E$9,$E$10,$E$12,$D39,$E$6,BA$18,BA$17)</f>
        <v>6.2062330000000001</v>
      </c>
      <c r="BB39" s="16">
        <f ca="1">_xll.DBRW($D$4,$E$7,$E$8,$E$9,$E$10,$E$12,$D39,$E$6,BB$18,BB$17)</f>
        <v>6.2062330000000001</v>
      </c>
      <c r="BC39" s="16">
        <f ca="1">_xll.DBRW($D$4,$E$7,$E$8,$E$9,$E$10,$E$12,$D39,$E$6,BC$18,BC$17)</f>
        <v>6.2062330000000001</v>
      </c>
      <c r="BD39" s="16">
        <f ca="1">_xll.DBRW($D$4,$E$7,$E$8,$E$9,$E$10,$E$12,$D39,$E$6,BD$18,BD$17)</f>
        <v>6.7542145797623796</v>
      </c>
      <c r="BE39" s="16">
        <f ca="1">_xll.DBRW($D$4,$E$7,$E$8,$E$9,$E$10,$E$12,$D39,$E$6,BE$18,BE$17)</f>
        <v>-2.9830135669999995</v>
      </c>
      <c r="BF39" s="16">
        <f ca="1">_xll.DBRW($D$4,$E$7,$E$8,$E$9,$E$10,$E$12,$D39,$E$6,BF$18,BF$17)</f>
        <v>0</v>
      </c>
      <c r="BG39" s="26">
        <f ca="1">_xll.DBRW($D$4,$E$7,$E$8,$E$9,$E$10,$E$12,$D39,$E$6,BG$18,BG$17)</f>
        <v>-0.71602690787926582</v>
      </c>
      <c r="BH39" s="26">
        <f ca="1">_xll.DBRW($D$4,$E$7,$E$8,$E$9,$E$10,$E$12,$D39,$E$6,BH$18,BH$17)</f>
        <v>0</v>
      </c>
      <c r="BI39" s="26">
        <f ca="1">_xll.DBRW($D$4,$E$7,$E$8,$E$9,$E$10,$E$12,$D39,$E$6,BI$18,BI$17)</f>
        <v>0</v>
      </c>
      <c r="BJ39" s="26">
        <f ca="1">_xll.DBRW($D$4,$E$7,$E$8,$E$9,$E$10,$E$12,$D39,$E$6,BJ$18,BJ$17)</f>
        <v>0</v>
      </c>
      <c r="BK39" s="16">
        <f ca="1">_xll.DBRW($D$4,$E$7,$E$8,$E$9,$E$10,$E$12,$D39,$E$6,BK$18,BK$17)</f>
        <v>10.453255054641645</v>
      </c>
      <c r="BL39" s="16">
        <f ca="1">_xll.DBRW($D$4,$E$7,$E$8,$E$9,$E$10,$E$12,$D39,$E$6,BL$18,BL$17)</f>
        <v>46.49607862412438</v>
      </c>
      <c r="BM39" s="16">
        <f ca="1">_xll.DBRW($D$4,$E$7,$E$8,$E$9,$E$10,$E$12,$D39,$E$6,BM$18,BM$17)</f>
        <v>-19.630222122495002</v>
      </c>
      <c r="BN39" s="16">
        <f ca="1">_xll.DBRW($D$4,$E$7,$E$8,$E$9,$E$10,$E$12,$D39,$E$6,BN$18,BN$17)</f>
        <v>0.42219091810271303</v>
      </c>
      <c r="BO39" s="16"/>
      <c r="BP39" s="16"/>
      <c r="BQ39" s="16"/>
      <c r="BR39" s="16"/>
      <c r="BS39" s="16">
        <f ca="1">_xll.DBRW($D$4,$E$7,$E$8,$E$9,$E$10,$E$12,$D39,$E$6,BS$18,BS$17)</f>
        <v>-2.8247389558839582</v>
      </c>
      <c r="BT39" s="16">
        <f ca="1">_xll.DBRW($D$4,$E$7,$E$8,$E$9,$E$10,$E$12,$D39,$E$6,BT$18,BT$17)</f>
        <v>6.0752197593247126E-2</v>
      </c>
      <c r="BU39" s="16"/>
      <c r="BV39" s="16"/>
      <c r="BW39" s="16"/>
      <c r="BX39" s="16"/>
      <c r="BY39" s="16">
        <f ca="1">_xll.DBRW($D$4,$E$7,$E$8,$E$9,$E$10,$E$12,$D39,$E$6,BY$18,BY$17)</f>
        <v>-2.7065322682311508</v>
      </c>
      <c r="BZ39" s="16">
        <f ca="1">_xll.DBRW($D$4,$E$7,$E$8,$E$9,$E$10,$E$12,$D39,$E$6,BZ$18,BZ$17)</f>
        <v>5.8209903895570091E-2</v>
      </c>
      <c r="CA39" s="16"/>
      <c r="CB39" s="16"/>
      <c r="CC39" s="16"/>
      <c r="CD39" s="16"/>
      <c r="CE39" s="16">
        <f ca="1">_xll.DBRW($D$4,$E$7,$E$8,$E$9,$E$10,$E$12,$D39,$E$6,CE$18,CE$17)</f>
        <v>-1.8889295599999996</v>
      </c>
      <c r="CF39" s="16">
        <f ca="1">_xll.DBRW($D$4,$E$7,$E$8,$E$9,$E$10,$E$12,$D39,$E$6,CF$18,CF$17)</f>
        <v>4.0625567056313712E-2</v>
      </c>
      <c r="CG39" s="16"/>
      <c r="CH39" s="16"/>
      <c r="CI39" s="16"/>
      <c r="CJ39" s="16"/>
      <c r="CK39" s="16">
        <f ca="1">_xll.DBRW($D$4,$E$7,$E$8,$E$9,$E$10,$E$12,$D39,$E$6,CK$18,CK$17)</f>
        <v>-8.9924006628726278</v>
      </c>
      <c r="CL39" s="16">
        <f ca="1">_xll.DBRW($D$4,$E$7,$E$8,$E$9,$E$10,$E$12,$D39,$E$6,CL$18,CL$17)</f>
        <v>0.19340127014941302</v>
      </c>
      <c r="CM39" s="16"/>
      <c r="CN39" s="16"/>
      <c r="CO39" s="16"/>
      <c r="CP39" s="16"/>
      <c r="CQ39" s="16">
        <f ca="1">_xll.DBRW($D$4,$E$7,$E$8,$E$9,$E$10,$E$12,$D39,$E$6,CQ$18,CQ$17)</f>
        <v>0.66804579873742498</v>
      </c>
      <c r="CR39" s="16">
        <f ca="1">_xll.DBRW($D$4,$E$7,$E$8,$E$9,$E$10,$E$12,$D39,$E$6,CR$18,CR$17)</f>
        <v>6.9121061435</v>
      </c>
      <c r="CS39" s="16">
        <f ca="1">_xll.DBRW($D$4,$E$7,$E$8,$E$9,$E$10,$E$12,$D39,$E$6,CS$18,CS$17)</f>
        <v>6.9121061435</v>
      </c>
      <c r="CT39" s="16">
        <f ca="1">_xll.DBRW($D$4,$E$7,$E$8,$E$9,$E$10,$E$12,$D39,$E$6,CT$18,CT$17)</f>
        <v>6.9121061435</v>
      </c>
      <c r="CU39" s="16">
        <f ca="1">_xll.DBRW($D$4,$E$7,$E$8,$E$9,$E$10,$E$12,$D39,$E$6,CU$18,CU$17)</f>
        <v>3.2524503845722301</v>
      </c>
      <c r="CV39" s="16">
        <f ca="1">_xll.DBRW($D$4,$E$7,$E$8,$E$9,$E$10,$E$12,$D39,$E$6,CV$18,CV$17)</f>
        <v>6.9121061435</v>
      </c>
      <c r="CW39" s="16">
        <f ca="1">_xll.DBRW($D$4,$E$7,$E$8,$E$9,$E$10,$E$12,$D39,$E$6,CW$18,CW$17)</f>
        <v>5.5708083049999981</v>
      </c>
      <c r="CX39" s="16">
        <f ca="1">_xll.DBRW($D$4,$E$7,$E$8,$E$9,$E$10,$E$12,$D39,$E$6,CX$18,CX$17)</f>
        <v>6.9121061435</v>
      </c>
      <c r="CY39" s="16">
        <f ca="1">_xll.DBRW($D$4,$E$7,$E$8,$E$9,$E$10,$E$12,$D39,$E$6,CY$18,CY$17)</f>
        <v>6.9121061435</v>
      </c>
      <c r="CZ39" s="16">
        <f ca="1">_xll.DBRW($D$4,$E$7,$E$8,$E$9,$E$10,$E$12,$D39,$E$6,CZ$18,CZ$17)</f>
        <v>6.9121061435</v>
      </c>
      <c r="DA39" s="26">
        <f t="shared" ca="1" si="89"/>
        <v>7.9048865802376245</v>
      </c>
      <c r="DB39" s="26">
        <f t="shared" ca="1" si="90"/>
        <v>0.72559010699999948</v>
      </c>
      <c r="DC39" s="26">
        <f t="shared" ca="1" si="91"/>
        <v>0</v>
      </c>
      <c r="DD39" s="26">
        <f t="shared" ca="1" si="92"/>
        <v>0.25959722787926576</v>
      </c>
      <c r="DE39" s="26">
        <f t="shared" ca="1" si="93"/>
        <v>0</v>
      </c>
      <c r="DF39" s="26">
        <f t="shared" ca="1" si="94"/>
        <v>0</v>
      </c>
      <c r="DG39" s="26">
        <f t="shared" ca="1" si="95"/>
        <v>0</v>
      </c>
      <c r="DH39" s="26">
        <f t="shared" ca="1" si="96"/>
        <v>6.9196992453583555</v>
      </c>
      <c r="DI39" s="26">
        <f t="shared" ca="1" si="97"/>
        <v>0.27731873587562461</v>
      </c>
      <c r="DJ39" s="26">
        <f t="shared" ca="1" si="98"/>
        <v>3.6793709624950033</v>
      </c>
      <c r="DK39" s="26">
        <f t="shared" ca="1" si="99"/>
        <v>-8.1166915992467392E-2</v>
      </c>
      <c r="DL39" s="26"/>
      <c r="DM39" s="26"/>
      <c r="DN39" s="26"/>
      <c r="DO39" s="26"/>
      <c r="DP39" s="26">
        <f t="shared" ca="1" si="100"/>
        <v>0.59562243588395836</v>
      </c>
      <c r="DQ39" s="26">
        <f t="shared" ca="1" si="101"/>
        <v>-1.3094412488539056E-2</v>
      </c>
      <c r="DR39" s="26"/>
      <c r="DS39" s="26"/>
      <c r="DT39" s="26"/>
      <c r="DU39" s="26"/>
      <c r="DV39" s="26">
        <f t="shared" ca="1" si="102"/>
        <v>-9.0490971768849793E-2</v>
      </c>
      <c r="DW39" s="26">
        <f t="shared" ca="1" si="103"/>
        <v>1.5895418977769221E-3</v>
      </c>
      <c r="DX39" s="26"/>
      <c r="DY39" s="26"/>
      <c r="DZ39" s="26"/>
      <c r="EA39" s="26"/>
      <c r="EB39" s="26">
        <f t="shared" ca="1" si="104"/>
        <v>0.54439213999999958</v>
      </c>
      <c r="EC39" s="26">
        <f t="shared" ca="1" si="105"/>
        <v>-1.1879794974557028E-2</v>
      </c>
      <c r="ED39" s="26"/>
      <c r="EE39" s="26"/>
      <c r="EF39" s="26"/>
      <c r="EG39" s="26"/>
      <c r="EH39" s="26">
        <f t="shared" ca="1" si="106"/>
        <v>1.9134859428726294</v>
      </c>
      <c r="EI39" s="29">
        <f t="shared" ca="1" si="107"/>
        <v>-4.2056379259494625E-2</v>
      </c>
      <c r="EJ39" s="29"/>
      <c r="EK39" s="29"/>
      <c r="EL39" s="29"/>
      <c r="EM39" s="29"/>
      <c r="EN39" s="93"/>
      <c r="EO39" s="29"/>
      <c r="EP39" s="29"/>
      <c r="EQ39" s="29"/>
      <c r="ER39" s="29"/>
      <c r="ES39" s="29"/>
      <c r="ET39" s="29"/>
      <c r="EU39" s="93"/>
      <c r="EV39" s="29"/>
      <c r="EW39" s="29"/>
      <c r="EX39" s="29"/>
      <c r="EY39" s="29"/>
      <c r="EZ39" s="29"/>
      <c r="FA39" s="29"/>
      <c r="FB39" s="93"/>
      <c r="FC39" s="29"/>
      <c r="FD39" s="29"/>
      <c r="FE39" s="29"/>
      <c r="FF39" s="29"/>
      <c r="FG39" s="29"/>
      <c r="FH39" s="29"/>
      <c r="FI39" s="93"/>
      <c r="FJ39" s="29"/>
      <c r="FK39" s="29"/>
      <c r="FL39" s="29"/>
      <c r="FM39" s="29"/>
      <c r="FN39" s="29"/>
      <c r="FO39" s="29"/>
      <c r="FP39" s="93"/>
      <c r="FQ39" s="29"/>
      <c r="FR39" s="29"/>
      <c r="FS39" s="29"/>
      <c r="FT39" s="29"/>
      <c r="FU39" s="29"/>
      <c r="FV39" s="29"/>
    </row>
    <row r="40" spans="1:178" x14ac:dyDescent="0.25">
      <c r="A40" t="str">
        <f ca="1">IF(_xll.TM1RPTELISCONSOLIDATED($D$28,$D40),IF(_xll.TM1RPTELLEV($D$28,$D40)&lt;=3,_xll.TM1RPTELLEV($D$28,$D40),"D"),"N")</f>
        <v>N</v>
      </c>
      <c r="B40" t="str">
        <f ca="1">_xll.DBRA(Server&amp;"Management_organization",$D40,$B$27)</f>
        <v>L</v>
      </c>
      <c r="C40">
        <v>1</v>
      </c>
      <c r="D40" s="2" t="s">
        <v>84</v>
      </c>
      <c r="E40" s="26"/>
      <c r="F40" s="26"/>
      <c r="G40" s="16">
        <f ca="1">_xll.DBRW($D$4,$E$7,$E$8,$E$9,$E$10,$E$12,$D40,$E$6,G$18,G$17)</f>
        <v>1.5464830800000002</v>
      </c>
      <c r="H40" s="16">
        <f ca="1">_xll.DBRW($D$4,$E$7,$E$8,$E$9,$E$10,$E$12,$D40,$E$6,H$18,H$17)</f>
        <v>-0.61366315999999999</v>
      </c>
      <c r="I40" s="16">
        <f ca="1">_xll.DBRW($D$4,$E$7,$E$8,$E$9,$E$10,$E$12,$D40,$E$6,I$18,I$17)</f>
        <v>0</v>
      </c>
      <c r="J40" s="26">
        <f ca="1">_xll.DBRW($D$4,$E$7,$E$8,$E$9,$E$10,$E$12,$D40,$E$6,J$18,J$17)</f>
        <v>-0.14820610999999997</v>
      </c>
      <c r="K40" s="26">
        <f ca="1">_xll.DBRW($D$4,$E$7,$E$8,$E$9,$E$10,$E$12,$D40,$E$6,K$18,K$17)</f>
        <v>0</v>
      </c>
      <c r="L40" s="26">
        <f ca="1">_xll.DBRW($D$4,$E$7,$E$8,$E$9,$E$10,$E$12,$D40,$E$6,L$18,L$17)</f>
        <v>0</v>
      </c>
      <c r="M40" s="26">
        <f ca="1">_xll.DBRW($D$4,$E$7,$E$8,$E$9,$E$10,$E$12,$D40,$E$6,M$18,M$17)</f>
        <v>0</v>
      </c>
      <c r="N40" s="16">
        <f ca="1">_xll.DBRW($D$4,$E$7,$E$8,$E$9,$E$10,$E$12,$D40,$E$6,N$18,N$17)</f>
        <v>2.3083523500000007</v>
      </c>
      <c r="O40" s="16">
        <f ca="1">_xll.DBRW($D$4,$E$7,$E$8,$E$9,$E$10,$E$12,$D40,$E$6,O$18,O$17)</f>
        <v>12.365540080000001</v>
      </c>
      <c r="P40" s="74">
        <f ca="1">_xll.DBRW($D$4,$E$7,$E$8,$E$9,$E$10,$E$12,$D40,$E$6,P$18,P$17)</f>
        <v>-6.1510351899999991</v>
      </c>
      <c r="Q40" s="16">
        <f ca="1">_xll.DBRW($D$4,$E$7,$E$8,$E$9,$E$10,$E$12,$D40,$E$6,Q$18,Q$17)</f>
        <v>0.49743360582759105</v>
      </c>
      <c r="R40" s="16"/>
      <c r="S40" s="16"/>
      <c r="T40" s="16"/>
      <c r="U40" s="16"/>
      <c r="V40" s="16">
        <f ca="1">_xll.DBRW($D$4,$E$7,$E$8,$E$9,$E$10,$E$12,$D40,$E$6,V$18,V$17)</f>
        <v>-0.99171392000000003</v>
      </c>
      <c r="W40" s="16">
        <f ca="1">_xll.DBRW($D$4,$E$7,$E$8,$E$9,$E$10,$E$12,$D40,$E$6,W$18,W$17)</f>
        <v>8.0199806363815532E-2</v>
      </c>
      <c r="X40" s="16"/>
      <c r="Y40" s="16"/>
      <c r="Z40" s="16"/>
      <c r="AA40" s="16"/>
      <c r="AB40" s="16">
        <f ca="1">_xll.DBRW($D$4,$E$7,$E$8,$E$9,$E$10,$E$12,$D40,$E$6,AB$18,AB$17)</f>
        <v>-1.0230837800000001</v>
      </c>
      <c r="AC40" s="16">
        <f ca="1">_xll.DBRW($D$4,$E$7,$E$8,$E$9,$E$10,$E$12,$D40,$E$6,AC$18,AC$17)</f>
        <v>8.2736683831119817E-2</v>
      </c>
      <c r="AD40" s="16"/>
      <c r="AE40" s="16"/>
      <c r="AF40" s="16"/>
      <c r="AG40" s="16"/>
      <c r="AH40" s="16">
        <f ca="1">_xll.DBRW($D$4,$E$7,$E$8,$E$9,$E$10,$E$12,$D40,$E$6,AH$18,AH$17)</f>
        <v>-0.86251951999999987</v>
      </c>
      <c r="AI40" s="16">
        <f ca="1">_xll.DBRW($D$4,$E$7,$E$8,$E$9,$E$10,$E$12,$D40,$E$6,AI$18,AI$17)</f>
        <v>6.9751868047804658E-2</v>
      </c>
      <c r="AJ40" s="16"/>
      <c r="AK40" s="16"/>
      <c r="AL40" s="16"/>
      <c r="AM40" s="16"/>
      <c r="AN40" s="16">
        <f ca="1">_xll.DBRW($D$4,$E$7,$E$8,$E$9,$E$10,$E$12,$D40,$E$6,AN$18,AN$17)</f>
        <v>-1.0288353200000002</v>
      </c>
      <c r="AO40" s="16">
        <f ca="1">_xll.DBRW($D$4,$E$7,$E$8,$E$9,$E$10,$E$12,$D40,$E$6,AO$18,AO$17)</f>
        <v>8.3201810300549378E-2</v>
      </c>
      <c r="AP40" s="16"/>
      <c r="AQ40" s="16"/>
      <c r="AR40" s="16"/>
      <c r="AS40" s="16"/>
      <c r="AT40" s="16">
        <f ca="1">_xll.DBRW($D$4,$E$7,$E$8,$E$9,$E$10,$E$12,$D40,$E$6,AT$18,AT$17)</f>
        <v>0.19994924000000003</v>
      </c>
      <c r="AU40" s="16">
        <f ca="1">_xll.DBRW($D$4,$E$7,$E$8,$E$9,$E$10,$E$12,$D40,$E$6,AU$18,AU$17)</f>
        <v>2.072883</v>
      </c>
      <c r="AV40" s="16">
        <f ca="1">_xll.DBRW($D$4,$E$7,$E$8,$E$9,$E$10,$E$12,$D40,$E$6,AV$18,AV$17)</f>
        <v>2.072883</v>
      </c>
      <c r="AW40" s="16">
        <f ca="1">_xll.DBRW($D$4,$E$7,$E$8,$E$9,$E$10,$E$12,$D40,$E$6,AW$18,AW$17)</f>
        <v>2.072883</v>
      </c>
      <c r="AX40" s="16">
        <f ca="1">_xll.DBRW($D$4,$E$7,$E$8,$E$9,$E$10,$E$12,$D40,$E$6,AX$18,AX$17)</f>
        <v>0.95671878999999993</v>
      </c>
      <c r="AY40" s="16">
        <f ca="1">_xll.DBRW($D$4,$E$7,$E$8,$E$9,$E$10,$E$12,$D40,$E$6,AY$18,AY$17)</f>
        <v>2.072883</v>
      </c>
      <c r="AZ40" s="16">
        <f ca="1">_xll.DBRW($D$4,$E$7,$E$8,$E$9,$E$10,$E$12,$D40,$E$6,AZ$18,AZ$17)</f>
        <v>1.8111679999999999</v>
      </c>
      <c r="BA40" s="16">
        <f ca="1">_xll.DBRW($D$4,$E$7,$E$8,$E$9,$E$10,$E$12,$D40,$E$6,BA$18,BA$17)</f>
        <v>2.072883</v>
      </c>
      <c r="BB40" s="16">
        <f ca="1">_xll.DBRW($D$4,$E$7,$E$8,$E$9,$E$10,$E$12,$D40,$E$6,BB$18,BB$17)</f>
        <v>2.072883</v>
      </c>
      <c r="BC40" s="16">
        <f ca="1">_xll.DBRW($D$4,$E$7,$E$8,$E$9,$E$10,$E$12,$D40,$E$6,BC$18,BC$17)</f>
        <v>2.072883</v>
      </c>
      <c r="BD40" s="16">
        <f ca="1">_xll.DBRW($D$4,$E$7,$E$8,$E$9,$E$10,$E$12,$D40,$E$6,BD$18,BD$17)</f>
        <v>1.4813650367384086</v>
      </c>
      <c r="BE40" s="16">
        <f ca="1">_xll.DBRW($D$4,$E$7,$E$8,$E$9,$E$10,$E$12,$D40,$E$6,BE$18,BE$17)</f>
        <v>-0.99138983255435487</v>
      </c>
      <c r="BF40" s="16">
        <f ca="1">_xll.DBRW($D$4,$E$7,$E$8,$E$9,$E$10,$E$12,$D40,$E$6,BF$18,BF$17)</f>
        <v>0</v>
      </c>
      <c r="BG40" s="26">
        <f ca="1">_xll.DBRW($D$4,$E$7,$E$8,$E$9,$E$10,$E$12,$D40,$E$6,BG$18,BG$17)</f>
        <v>-0.17441256302872601</v>
      </c>
      <c r="BH40" s="26">
        <f ca="1">_xll.DBRW($D$4,$E$7,$E$8,$E$9,$E$10,$E$12,$D40,$E$6,BH$18,BH$17)</f>
        <v>0</v>
      </c>
      <c r="BI40" s="26">
        <f ca="1">_xll.DBRW($D$4,$E$7,$E$8,$E$9,$E$10,$E$12,$D40,$E$6,BI$18,BI$17)</f>
        <v>0</v>
      </c>
      <c r="BJ40" s="26">
        <f ca="1">_xll.DBRW($D$4,$E$7,$E$8,$E$9,$E$10,$E$12,$D40,$E$6,BJ$18,BJ$17)</f>
        <v>0</v>
      </c>
      <c r="BK40" s="16">
        <f ca="1">_xll.DBRW($D$4,$E$7,$E$8,$E$9,$E$10,$E$12,$D40,$E$6,BK$18,BK$17)</f>
        <v>2.6471674323214893</v>
      </c>
      <c r="BL40" s="16">
        <f ca="1">_xll.DBRW($D$4,$E$7,$E$8,$E$9,$E$10,$E$12,$D40,$E$6,BL$18,BL$17)</f>
        <v>14.600907182768744</v>
      </c>
      <c r="BM40" s="16">
        <f ca="1">_xll.DBRW($D$4,$E$7,$E$8,$E$9,$E$10,$E$12,$D40,$E$6,BM$18,BM$17)</f>
        <v>-6.8950822462306105</v>
      </c>
      <c r="BN40" s="16">
        <f ca="1">_xll.DBRW($D$4,$E$7,$E$8,$E$9,$E$10,$E$12,$D40,$E$6,BN$18,BN$17)</f>
        <v>0.47223656447647583</v>
      </c>
      <c r="BO40" s="16"/>
      <c r="BP40" s="16"/>
      <c r="BQ40" s="16"/>
      <c r="BR40" s="16"/>
      <c r="BS40" s="16">
        <f ca="1">_xll.DBRW($D$4,$E$7,$E$8,$E$9,$E$10,$E$12,$D40,$E$6,BS$18,BS$17)</f>
        <v>-1.1986779937270624</v>
      </c>
      <c r="BT40" s="16">
        <f ca="1">_xll.DBRW($D$4,$E$7,$E$8,$E$9,$E$10,$E$12,$D40,$E$6,BT$18,BT$17)</f>
        <v>8.2096131337762487E-2</v>
      </c>
      <c r="BU40" s="16"/>
      <c r="BV40" s="16"/>
      <c r="BW40" s="16"/>
      <c r="BX40" s="16"/>
      <c r="BY40" s="16">
        <f ca="1">_xll.DBRW($D$4,$E$7,$E$8,$E$9,$E$10,$E$12,$D40,$E$6,BY$18,BY$17)</f>
        <v>-0.95007150628808001</v>
      </c>
      <c r="BZ40" s="16">
        <f ca="1">_xll.DBRW($D$4,$E$7,$E$8,$E$9,$E$10,$E$12,$D40,$E$6,BZ$18,BZ$17)</f>
        <v>6.5069347705278655E-2</v>
      </c>
      <c r="CA40" s="16"/>
      <c r="CB40" s="16"/>
      <c r="CC40" s="16"/>
      <c r="CD40" s="16"/>
      <c r="CE40" s="16">
        <f ca="1">_xll.DBRW($D$4,$E$7,$E$8,$E$9,$E$10,$E$12,$D40,$E$6,CE$18,CE$17)</f>
        <v>-1.1468348399999999</v>
      </c>
      <c r="CF40" s="16">
        <f ca="1">_xll.DBRW($D$4,$E$7,$E$8,$E$9,$E$10,$E$12,$D40,$E$6,CF$18,CF$17)</f>
        <v>7.8545451021936274E-2</v>
      </c>
      <c r="CG40" s="16"/>
      <c r="CH40" s="16"/>
      <c r="CI40" s="16"/>
      <c r="CJ40" s="16"/>
      <c r="CK40" s="16">
        <f ca="1">_xll.DBRW($D$4,$E$7,$E$8,$E$9,$E$10,$E$12,$D40,$E$6,CK$18,CK$17)</f>
        <v>-1.7630731642014987</v>
      </c>
      <c r="CL40" s="16">
        <f ca="1">_xll.DBRW($D$4,$E$7,$E$8,$E$9,$E$10,$E$12,$D40,$E$6,CL$18,CL$17)</f>
        <v>0.12075093294765883</v>
      </c>
      <c r="CM40" s="16"/>
      <c r="CN40" s="16"/>
      <c r="CO40" s="16"/>
      <c r="CP40" s="16"/>
      <c r="CQ40" s="16">
        <f ca="1">_xll.DBRW($D$4,$E$7,$E$8,$E$9,$E$10,$E$12,$D40,$E$6,CQ$18,CQ$17)</f>
        <v>0.22814799999999996</v>
      </c>
      <c r="CR40" s="16">
        <f ca="1">_xll.DBRW($D$4,$E$7,$E$8,$E$9,$E$10,$E$12,$D40,$E$6,CR$18,CR$17)</f>
        <v>2.391416</v>
      </c>
      <c r="CS40" s="16">
        <f ca="1">_xll.DBRW($D$4,$E$7,$E$8,$E$9,$E$10,$E$12,$D40,$E$6,CS$18,CS$17)</f>
        <v>2.391416</v>
      </c>
      <c r="CT40" s="16">
        <f ca="1">_xll.DBRW($D$4,$E$7,$E$8,$E$9,$E$10,$E$12,$D40,$E$6,CT$18,CT$17)</f>
        <v>2.391416</v>
      </c>
      <c r="CU40" s="16">
        <f ca="1">_xll.DBRW($D$4,$E$7,$E$8,$E$9,$E$10,$E$12,$D40,$E$6,CU$18,CU$17)</f>
        <v>1.1409331626000001</v>
      </c>
      <c r="CV40" s="16">
        <f ca="1">_xll.DBRW($D$4,$E$7,$E$8,$E$9,$E$10,$E$12,$D40,$E$6,CV$18,CV$17)</f>
        <v>2.391416</v>
      </c>
      <c r="CW40" s="16">
        <f ca="1">_xll.DBRW($D$4,$E$7,$E$8,$E$9,$E$10,$E$12,$D40,$E$6,CW$18,CW$17)</f>
        <v>2.0520559999999999</v>
      </c>
      <c r="CX40" s="16">
        <f ca="1">_xll.DBRW($D$4,$E$7,$E$8,$E$9,$E$10,$E$12,$D40,$E$6,CX$18,CX$17)</f>
        <v>2.391416</v>
      </c>
      <c r="CY40" s="16">
        <f ca="1">_xll.DBRW($D$4,$E$7,$E$8,$E$9,$E$10,$E$12,$D40,$E$6,CY$18,CY$17)</f>
        <v>2.391416</v>
      </c>
      <c r="CZ40" s="16">
        <f ca="1">_xll.DBRW($D$4,$E$7,$E$8,$E$9,$E$10,$E$12,$D40,$E$6,CZ$18,CZ$17)</f>
        <v>2.391416</v>
      </c>
      <c r="DA40" s="26">
        <f t="shared" ca="1" si="89"/>
        <v>6.5118043261591652E-2</v>
      </c>
      <c r="DB40" s="26">
        <f t="shared" ca="1" si="90"/>
        <v>0.37772667255435488</v>
      </c>
      <c r="DC40" s="26">
        <f t="shared" ca="1" si="91"/>
        <v>0</v>
      </c>
      <c r="DD40" s="26">
        <f t="shared" ca="1" si="92"/>
        <v>2.620645302872604E-2</v>
      </c>
      <c r="DE40" s="26">
        <f t="shared" ca="1" si="93"/>
        <v>0</v>
      </c>
      <c r="DF40" s="26">
        <f t="shared" ca="1" si="94"/>
        <v>0</v>
      </c>
      <c r="DG40" s="26">
        <f t="shared" ca="1" si="95"/>
        <v>0</v>
      </c>
      <c r="DH40" s="26">
        <f t="shared" ca="1" si="96"/>
        <v>-0.3388150823214886</v>
      </c>
      <c r="DI40" s="26">
        <f t="shared" ca="1" si="97"/>
        <v>-2.235367102768743</v>
      </c>
      <c r="DJ40" s="26">
        <f t="shared" ca="1" si="98"/>
        <v>0.7440470562306114</v>
      </c>
      <c r="DK40" s="26">
        <f t="shared" ca="1" si="99"/>
        <v>2.5197041351115224E-2</v>
      </c>
      <c r="DL40" s="26"/>
      <c r="DM40" s="26"/>
      <c r="DN40" s="26"/>
      <c r="DO40" s="26"/>
      <c r="DP40" s="26">
        <f t="shared" ca="1" si="100"/>
        <v>0.20696407372706238</v>
      </c>
      <c r="DQ40" s="26">
        <f t="shared" ca="1" si="101"/>
        <v>-1.8963249739469556E-3</v>
      </c>
      <c r="DR40" s="26"/>
      <c r="DS40" s="26"/>
      <c r="DT40" s="26"/>
      <c r="DU40" s="26"/>
      <c r="DV40" s="26">
        <f t="shared" ca="1" si="102"/>
        <v>-7.3012273711920095E-2</v>
      </c>
      <c r="DW40" s="26">
        <f t="shared" ca="1" si="103"/>
        <v>1.7667336125841163E-2</v>
      </c>
      <c r="DX40" s="26"/>
      <c r="DY40" s="26"/>
      <c r="DZ40" s="26"/>
      <c r="EA40" s="26"/>
      <c r="EB40" s="26">
        <f t="shared" ca="1" si="104"/>
        <v>0.28431532000000004</v>
      </c>
      <c r="EC40" s="26">
        <f t="shared" ca="1" si="105"/>
        <v>-8.7935829741316168E-3</v>
      </c>
      <c r="ED40" s="26"/>
      <c r="EE40" s="26"/>
      <c r="EF40" s="26"/>
      <c r="EG40" s="26"/>
      <c r="EH40" s="26">
        <f t="shared" ca="1" si="106"/>
        <v>0.73423784420149851</v>
      </c>
      <c r="EI40" s="29">
        <f t="shared" ca="1" si="107"/>
        <v>-3.7549122647109454E-2</v>
      </c>
      <c r="EJ40" s="29"/>
      <c r="EK40" s="29"/>
      <c r="EL40" s="29"/>
      <c r="EM40" s="29"/>
      <c r="EN40" s="93"/>
      <c r="EO40" s="29"/>
      <c r="EP40" s="29"/>
      <c r="EQ40" s="29"/>
      <c r="ER40" s="29"/>
      <c r="ES40" s="29"/>
      <c r="ET40" s="29"/>
      <c r="EU40" s="93"/>
      <c r="EV40" s="29"/>
      <c r="EW40" s="29"/>
      <c r="EX40" s="29"/>
      <c r="EY40" s="29"/>
      <c r="EZ40" s="29"/>
      <c r="FA40" s="29"/>
      <c r="FB40" s="93"/>
      <c r="FC40" s="29"/>
      <c r="FD40" s="29"/>
      <c r="FE40" s="29"/>
      <c r="FF40" s="29"/>
      <c r="FG40" s="29"/>
      <c r="FH40" s="29"/>
      <c r="FI40" s="93"/>
      <c r="FJ40" s="29"/>
      <c r="FK40" s="29"/>
      <c r="FL40" s="29"/>
      <c r="FM40" s="29"/>
      <c r="FN40" s="29"/>
      <c r="FO40" s="29"/>
      <c r="FP40" s="93"/>
      <c r="FQ40" s="29"/>
      <c r="FR40" s="29"/>
      <c r="FS40" s="29"/>
      <c r="FT40" s="29"/>
      <c r="FU40" s="29"/>
      <c r="FV40" s="29"/>
    </row>
    <row r="41" spans="1:178" x14ac:dyDescent="0.25">
      <c r="A41" t="str">
        <f ca="1">IF(_xll.TM1RPTELISCONSOLIDATED($D$28,$D41),IF(_xll.TM1RPTELLEV($D$28,$D41)&lt;=3,_xll.TM1RPTELLEV($D$28,$D41),"D"),"N")</f>
        <v>N</v>
      </c>
      <c r="B41" t="str">
        <f ca="1">_xll.DBRA(Server&amp;"Management_organization",$D41,$B$27)</f>
        <v>L</v>
      </c>
      <c r="C41">
        <v>1</v>
      </c>
      <c r="D41" s="2" t="s">
        <v>85</v>
      </c>
      <c r="E41" s="26"/>
      <c r="F41" s="26"/>
      <c r="G41" s="16">
        <f ca="1">_xll.DBRW($D$4,$E$7,$E$8,$E$9,$E$10,$E$12,$D41,$E$6,G$18,G$17)</f>
        <v>0.46866830999999987</v>
      </c>
      <c r="H41" s="16">
        <f ca="1">_xll.DBRW($D$4,$E$7,$E$8,$E$9,$E$10,$E$12,$D41,$E$6,H$18,H$17)</f>
        <v>-0.24676930999999996</v>
      </c>
      <c r="I41" s="16">
        <f ca="1">_xll.DBRW($D$4,$E$7,$E$8,$E$9,$E$10,$E$12,$D41,$E$6,I$18,I$17)</f>
        <v>0</v>
      </c>
      <c r="J41" s="26">
        <f ca="1">_xll.DBRW($D$4,$E$7,$E$8,$E$9,$E$10,$E$12,$D41,$E$6,J$18,J$17)</f>
        <v>-9.5209490000000008E-2</v>
      </c>
      <c r="K41" s="26">
        <f ca="1">_xll.DBRW($D$4,$E$7,$E$8,$E$9,$E$10,$E$12,$D41,$E$6,K$18,K$17)</f>
        <v>0</v>
      </c>
      <c r="L41" s="26">
        <f ca="1">_xll.DBRW($D$4,$E$7,$E$8,$E$9,$E$10,$E$12,$D41,$E$6,L$18,L$17)</f>
        <v>0</v>
      </c>
      <c r="M41" s="26">
        <f ca="1">_xll.DBRW($D$4,$E$7,$E$8,$E$9,$E$10,$E$12,$D41,$E$6,M$18,M$17)</f>
        <v>0</v>
      </c>
      <c r="N41" s="16">
        <f ca="1">_xll.DBRW($D$4,$E$7,$E$8,$E$9,$E$10,$E$12,$D41,$E$6,N$18,N$17)</f>
        <v>0.81064710999999978</v>
      </c>
      <c r="O41" s="16">
        <f ca="1">_xll.DBRW($D$4,$E$7,$E$8,$E$9,$E$10,$E$12,$D41,$E$6,O$18,O$17)</f>
        <v>3.70870845</v>
      </c>
      <c r="P41" s="74">
        <f ca="1">_xll.DBRW($D$4,$E$7,$E$8,$E$9,$E$10,$E$12,$D41,$E$6,P$18,P$17)</f>
        <v>-1.54945943</v>
      </c>
      <c r="Q41" s="16">
        <f ca="1">_xll.DBRW($D$4,$E$7,$E$8,$E$9,$E$10,$E$12,$D41,$E$6,Q$18,Q$17)</f>
        <v>0.41778949488466799</v>
      </c>
      <c r="R41" s="16"/>
      <c r="S41" s="16"/>
      <c r="T41" s="16"/>
      <c r="U41" s="16"/>
      <c r="V41" s="16">
        <f ca="1">_xll.DBRW($D$4,$E$7,$E$8,$E$9,$E$10,$E$12,$D41,$E$6,V$18,V$17)</f>
        <v>-0.24601063000000001</v>
      </c>
      <c r="W41" s="16">
        <f ca="1">_xll.DBRW($D$4,$E$7,$E$8,$E$9,$E$10,$E$12,$D41,$E$6,W$18,W$17)</f>
        <v>6.6333235226403414E-2</v>
      </c>
      <c r="X41" s="16"/>
      <c r="Y41" s="16"/>
      <c r="Z41" s="16"/>
      <c r="AA41" s="16"/>
      <c r="AB41" s="16">
        <f ca="1">_xll.DBRW($D$4,$E$7,$E$8,$E$9,$E$10,$E$12,$D41,$E$6,AB$18,AB$17)</f>
        <v>-0.33696071999999999</v>
      </c>
      <c r="AC41" s="16">
        <f ca="1">_xll.DBRW($D$4,$E$7,$E$8,$E$9,$E$10,$E$12,$D41,$E$6,AC$18,AC$17)</f>
        <v>9.0856621528176473E-2</v>
      </c>
      <c r="AD41" s="16"/>
      <c r="AE41" s="16"/>
      <c r="AF41" s="16"/>
      <c r="AG41" s="16"/>
      <c r="AH41" s="16">
        <f ca="1">_xll.DBRW($D$4,$E$7,$E$8,$E$9,$E$10,$E$12,$D41,$E$6,AH$18,AH$17)</f>
        <v>-0.27866060999999998</v>
      </c>
      <c r="AI41" s="16">
        <f ca="1">_xll.DBRW($D$4,$E$7,$E$8,$E$9,$E$10,$E$12,$D41,$E$6,AI$18,AI$17)</f>
        <v>7.5136833686670623E-2</v>
      </c>
      <c r="AJ41" s="16"/>
      <c r="AK41" s="16"/>
      <c r="AL41" s="16"/>
      <c r="AM41" s="16"/>
      <c r="AN41" s="16">
        <f ca="1">_xll.DBRW($D$4,$E$7,$E$8,$E$9,$E$10,$E$12,$D41,$E$6,AN$18,AN$17)</f>
        <v>-0.48696994999999998</v>
      </c>
      <c r="AO41" s="16">
        <f ca="1">_xll.DBRW($D$4,$E$7,$E$8,$E$9,$E$10,$E$12,$D41,$E$6,AO$18,AO$17)</f>
        <v>0.13130445721609635</v>
      </c>
      <c r="AP41" s="16"/>
      <c r="AQ41" s="16"/>
      <c r="AR41" s="16"/>
      <c r="AS41" s="16"/>
      <c r="AT41" s="16">
        <f ca="1">_xll.DBRW($D$4,$E$7,$E$8,$E$9,$E$10,$E$12,$D41,$E$6,AT$18,AT$17)</f>
        <v>5.6489559999999994E-2</v>
      </c>
      <c r="AU41" s="16">
        <f ca="1">_xll.DBRW($D$4,$E$7,$E$8,$E$9,$E$10,$E$12,$D41,$E$6,AU$18,AU$17)</f>
        <v>0.75383</v>
      </c>
      <c r="AV41" s="16">
        <f ca="1">_xll.DBRW($D$4,$E$7,$E$8,$E$9,$E$10,$E$12,$D41,$E$6,AV$18,AV$17)</f>
        <v>0.75383</v>
      </c>
      <c r="AW41" s="16">
        <f ca="1">_xll.DBRW($D$4,$E$7,$E$8,$E$9,$E$10,$E$12,$D41,$E$6,AW$18,AW$17)</f>
        <v>0.75383</v>
      </c>
      <c r="AX41" s="16">
        <f ca="1">_xll.DBRW($D$4,$E$7,$E$8,$E$9,$E$10,$E$12,$D41,$E$6,AX$18,AX$17)</f>
        <v>0.33136695999999999</v>
      </c>
      <c r="AY41" s="16">
        <f ca="1">_xll.DBRW($D$4,$E$7,$E$8,$E$9,$E$10,$E$12,$D41,$E$6,AY$18,AY$17)</f>
        <v>0.75383</v>
      </c>
      <c r="AZ41" s="16">
        <f ca="1">_xll.DBRW($D$4,$E$7,$E$8,$E$9,$E$10,$E$12,$D41,$E$6,AZ$18,AZ$17)</f>
        <v>0.63008399999999987</v>
      </c>
      <c r="BA41" s="16">
        <f ca="1">_xll.DBRW($D$4,$E$7,$E$8,$E$9,$E$10,$E$12,$D41,$E$6,BA$18,BA$17)</f>
        <v>0.75383</v>
      </c>
      <c r="BB41" s="16">
        <f ca="1">_xll.DBRW($D$4,$E$7,$E$8,$E$9,$E$10,$E$12,$D41,$E$6,BB$18,BB$17)</f>
        <v>0.75383</v>
      </c>
      <c r="BC41" s="16">
        <f ca="1">_xll.DBRW($D$4,$E$7,$E$8,$E$9,$E$10,$E$12,$D41,$E$6,BC$18,BC$17)</f>
        <v>0.75383</v>
      </c>
      <c r="BD41" s="16">
        <f ca="1">_xll.DBRW($D$4,$E$7,$E$8,$E$9,$E$10,$E$12,$D41,$E$6,BD$18,BD$17)</f>
        <v>0.34817252729890852</v>
      </c>
      <c r="BE41" s="16">
        <f ca="1">_xll.DBRW($D$4,$E$7,$E$8,$E$9,$E$10,$E$12,$D41,$E$6,BE$18,BE$17)</f>
        <v>-0.38454979750000001</v>
      </c>
      <c r="BF41" s="16">
        <f ca="1">_xll.DBRW($D$4,$E$7,$E$8,$E$9,$E$10,$E$12,$D41,$E$6,BF$18,BF$17)</f>
        <v>0</v>
      </c>
      <c r="BG41" s="26">
        <f ca="1">_xll.DBRW($D$4,$E$7,$E$8,$E$9,$E$10,$E$12,$D41,$E$6,BG$18,BG$17)</f>
        <v>-0.114586248953333</v>
      </c>
      <c r="BH41" s="26">
        <f ca="1">_xll.DBRW($D$4,$E$7,$E$8,$E$9,$E$10,$E$12,$D41,$E$6,BH$18,BH$17)</f>
        <v>0</v>
      </c>
      <c r="BI41" s="26">
        <f ca="1">_xll.DBRW($D$4,$E$7,$E$8,$E$9,$E$10,$E$12,$D41,$E$6,BI$18,BI$17)</f>
        <v>0</v>
      </c>
      <c r="BJ41" s="26">
        <f ca="1">_xll.DBRW($D$4,$E$7,$E$8,$E$9,$E$10,$E$12,$D41,$E$6,BJ$18,BJ$17)</f>
        <v>0</v>
      </c>
      <c r="BK41" s="16">
        <f ca="1">_xll.DBRW($D$4,$E$7,$E$8,$E$9,$E$10,$E$12,$D41,$E$6,BK$18,BK$17)</f>
        <v>0.84730857375224156</v>
      </c>
      <c r="BL41" s="16">
        <f ca="1">_xll.DBRW($D$4,$E$7,$E$8,$E$9,$E$10,$E$12,$D41,$E$6,BL$18,BL$17)</f>
        <v>3.8316799173068716</v>
      </c>
      <c r="BM41" s="16">
        <f ca="1">_xll.DBRW($D$4,$E$7,$E$8,$E$9,$E$10,$E$12,$D41,$E$6,BM$18,BM$17)</f>
        <v>-1.6194967978333366</v>
      </c>
      <c r="BN41" s="16">
        <f ca="1">_xll.DBRW($D$4,$E$7,$E$8,$E$9,$E$10,$E$12,$D41,$E$6,BN$18,BN$17)</f>
        <v>0.422659729618442</v>
      </c>
      <c r="BO41" s="16"/>
      <c r="BP41" s="16"/>
      <c r="BQ41" s="16"/>
      <c r="BR41" s="16"/>
      <c r="BS41" s="16">
        <f ca="1">_xll.DBRW($D$4,$E$7,$E$8,$E$9,$E$10,$E$12,$D41,$E$6,BS$18,BS$17)</f>
        <v>-0.24409235416666636</v>
      </c>
      <c r="BT41" s="16">
        <f ca="1">_xll.DBRW($D$4,$E$7,$E$8,$E$9,$E$10,$E$12,$D41,$E$6,BT$18,BT$17)</f>
        <v>6.3703743380065195E-2</v>
      </c>
      <c r="BU41" s="16"/>
      <c r="BV41" s="16"/>
      <c r="BW41" s="16"/>
      <c r="BX41" s="16"/>
      <c r="BY41" s="16">
        <f ca="1">_xll.DBRW($D$4,$E$7,$E$8,$E$9,$E$10,$E$12,$D41,$E$6,BY$18,BY$17)</f>
        <v>-0.2711879230079608</v>
      </c>
      <c r="BZ41" s="16">
        <f ca="1">_xll.DBRW($D$4,$E$7,$E$8,$E$9,$E$10,$E$12,$D41,$E$6,BZ$18,BZ$17)</f>
        <v>7.0775202746728258E-2</v>
      </c>
      <c r="CA41" s="16"/>
      <c r="CB41" s="16"/>
      <c r="CC41" s="16"/>
      <c r="CD41" s="16"/>
      <c r="CE41" s="16">
        <f ca="1">_xll.DBRW($D$4,$E$7,$E$8,$E$9,$E$10,$E$12,$D41,$E$6,CE$18,CE$17)</f>
        <v>-0.28795474999999993</v>
      </c>
      <c r="CF41" s="16">
        <f ca="1">_xll.DBRW($D$4,$E$7,$E$8,$E$9,$E$10,$E$12,$D41,$E$6,CF$18,CF$17)</f>
        <v>7.5151045028414409E-2</v>
      </c>
      <c r="CG41" s="16"/>
      <c r="CH41" s="16"/>
      <c r="CI41" s="16"/>
      <c r="CJ41" s="16"/>
      <c r="CK41" s="16">
        <f ca="1">_xll.DBRW($D$4,$E$7,$E$8,$E$9,$E$10,$E$12,$D41,$E$6,CK$18,CK$17)</f>
        <v>-0.56163951854666627</v>
      </c>
      <c r="CL41" s="16">
        <f ca="1">_xll.DBRW($D$4,$E$7,$E$8,$E$9,$E$10,$E$12,$D41,$E$6,CL$18,CL$17)</f>
        <v>0.14657787985104437</v>
      </c>
      <c r="CM41" s="16"/>
      <c r="CN41" s="16"/>
      <c r="CO41" s="16"/>
      <c r="CP41" s="16"/>
      <c r="CQ41" s="16">
        <f ca="1">_xll.DBRW($D$4,$E$7,$E$8,$E$9,$E$10,$E$12,$D41,$E$6,CQ$18,CQ$17)</f>
        <v>5.5866489999999998E-2</v>
      </c>
      <c r="CR41" s="16">
        <f ca="1">_xll.DBRW($D$4,$E$7,$E$8,$E$9,$E$10,$E$12,$D41,$E$6,CR$18,CR$17)</f>
        <v>0.73389799999999994</v>
      </c>
      <c r="CS41" s="16">
        <f ca="1">_xll.DBRW($D$4,$E$7,$E$8,$E$9,$E$10,$E$12,$D41,$E$6,CS$18,CS$17)</f>
        <v>0.73389799999999994</v>
      </c>
      <c r="CT41" s="16">
        <f ca="1">_xll.DBRW($D$4,$E$7,$E$8,$E$9,$E$10,$E$12,$D41,$E$6,CT$18,CT$17)</f>
        <v>0.73389799999999994</v>
      </c>
      <c r="CU41" s="16">
        <f ca="1">_xll.DBRW($D$4,$E$7,$E$8,$E$9,$E$10,$E$12,$D41,$E$6,CU$18,CU$17)</f>
        <v>0.31582190314599995</v>
      </c>
      <c r="CV41" s="16">
        <f ca="1">_xll.DBRW($D$4,$E$7,$E$8,$E$9,$E$10,$E$12,$D41,$E$6,CV$18,CV$17)</f>
        <v>0.73389799999999994</v>
      </c>
      <c r="CW41" s="16">
        <f ca="1">_xll.DBRW($D$4,$E$7,$E$8,$E$9,$E$10,$E$12,$D41,$E$6,CW$18,CW$17)</f>
        <v>0.59136699999999998</v>
      </c>
      <c r="CX41" s="16">
        <f ca="1">_xll.DBRW($D$4,$E$7,$E$8,$E$9,$E$10,$E$12,$D41,$E$6,CX$18,CX$17)</f>
        <v>0.73389799999999994</v>
      </c>
      <c r="CY41" s="16">
        <f ca="1">_xll.DBRW($D$4,$E$7,$E$8,$E$9,$E$10,$E$12,$D41,$E$6,CY$18,CY$17)</f>
        <v>0.73389799999999994</v>
      </c>
      <c r="CZ41" s="16">
        <f ca="1">_xll.DBRW($D$4,$E$7,$E$8,$E$9,$E$10,$E$12,$D41,$E$6,CZ$18,CZ$17)</f>
        <v>0.73389799999999994</v>
      </c>
      <c r="DA41" s="26">
        <f t="shared" ca="1" si="89"/>
        <v>0.12049578270109135</v>
      </c>
      <c r="DB41" s="26">
        <f t="shared" ca="1" si="90"/>
        <v>0.13778048750000005</v>
      </c>
      <c r="DC41" s="26">
        <f t="shared" ca="1" si="91"/>
        <v>0</v>
      </c>
      <c r="DD41" s="26">
        <f t="shared" ca="1" si="92"/>
        <v>1.937675895333299E-2</v>
      </c>
      <c r="DE41" s="26">
        <f t="shared" ca="1" si="93"/>
        <v>0</v>
      </c>
      <c r="DF41" s="26">
        <f t="shared" ca="1" si="94"/>
        <v>0</v>
      </c>
      <c r="DG41" s="26">
        <f t="shared" ca="1" si="95"/>
        <v>0</v>
      </c>
      <c r="DH41" s="26">
        <f t="shared" ca="1" si="96"/>
        <v>-3.6661463752241774E-2</v>
      </c>
      <c r="DI41" s="26">
        <f t="shared" ca="1" si="97"/>
        <v>-0.12297146730687158</v>
      </c>
      <c r="DJ41" s="26">
        <f t="shared" ca="1" si="98"/>
        <v>7.0037367833336583E-2</v>
      </c>
      <c r="DK41" s="26">
        <f t="shared" ca="1" si="99"/>
        <v>-4.8702347337740148E-3</v>
      </c>
      <c r="DL41" s="26"/>
      <c r="DM41" s="26"/>
      <c r="DN41" s="26"/>
      <c r="DO41" s="26"/>
      <c r="DP41" s="26">
        <f t="shared" ca="1" si="100"/>
        <v>-1.9182758333336491E-3</v>
      </c>
      <c r="DQ41" s="26">
        <f t="shared" ca="1" si="101"/>
        <v>2.6294918463382194E-3</v>
      </c>
      <c r="DR41" s="26"/>
      <c r="DS41" s="26"/>
      <c r="DT41" s="26"/>
      <c r="DU41" s="26"/>
      <c r="DV41" s="26">
        <f t="shared" ca="1" si="102"/>
        <v>-6.5772796992039195E-2</v>
      </c>
      <c r="DW41" s="26">
        <f t="shared" ca="1" si="103"/>
        <v>2.0081418781448215E-2</v>
      </c>
      <c r="DX41" s="26"/>
      <c r="DY41" s="26"/>
      <c r="DZ41" s="26"/>
      <c r="EA41" s="26"/>
      <c r="EB41" s="26">
        <f t="shared" ca="1" si="104"/>
        <v>9.2941399999999508E-3</v>
      </c>
      <c r="EC41" s="26">
        <f t="shared" ca="1" si="105"/>
        <v>-1.4211341743786132E-5</v>
      </c>
      <c r="ED41" s="26"/>
      <c r="EE41" s="26"/>
      <c r="EF41" s="26"/>
      <c r="EG41" s="26"/>
      <c r="EH41" s="26">
        <f t="shared" ca="1" si="106"/>
        <v>7.4669568546666287E-2</v>
      </c>
      <c r="EI41" s="29">
        <f t="shared" ca="1" si="107"/>
        <v>-1.527342263494802E-2</v>
      </c>
      <c r="EJ41" s="29"/>
      <c r="EK41" s="29"/>
      <c r="EL41" s="29"/>
      <c r="EM41" s="29"/>
      <c r="EN41" s="93"/>
      <c r="EO41" s="29"/>
      <c r="EP41" s="29"/>
      <c r="EQ41" s="29"/>
      <c r="ER41" s="29"/>
      <c r="ES41" s="29"/>
      <c r="ET41" s="29"/>
      <c r="EU41" s="93"/>
      <c r="EV41" s="29"/>
      <c r="EW41" s="29"/>
      <c r="EX41" s="29"/>
      <c r="EY41" s="29"/>
      <c r="EZ41" s="29"/>
      <c r="FA41" s="29"/>
      <c r="FB41" s="93"/>
      <c r="FC41" s="29"/>
      <c r="FD41" s="29"/>
      <c r="FE41" s="29"/>
      <c r="FF41" s="29"/>
      <c r="FG41" s="29"/>
      <c r="FH41" s="29"/>
      <c r="FI41" s="93"/>
      <c r="FJ41" s="29"/>
      <c r="FK41" s="29"/>
      <c r="FL41" s="29"/>
      <c r="FM41" s="29"/>
      <c r="FN41" s="29"/>
      <c r="FO41" s="29"/>
      <c r="FP41" s="93"/>
      <c r="FQ41" s="29"/>
      <c r="FR41" s="29"/>
      <c r="FS41" s="29"/>
      <c r="FT41" s="29"/>
      <c r="FU41" s="29"/>
      <c r="FV41" s="29"/>
    </row>
    <row r="42" spans="1:178" x14ac:dyDescent="0.25">
      <c r="A42" t="str">
        <f ca="1">IF(_xll.TM1RPTELISCONSOLIDATED($D$28,$D42),IF(_xll.TM1RPTELLEV($D$28,$D42)&lt;=3,_xll.TM1RPTELLEV($D$28,$D42),"D"),"N")</f>
        <v>N</v>
      </c>
      <c r="B42" t="str">
        <f ca="1">_xll.DBRA(Server&amp;"Management_organization",$D42,$B$27)</f>
        <v>L</v>
      </c>
      <c r="C42">
        <v>1</v>
      </c>
      <c r="D42" s="2" t="s">
        <v>86</v>
      </c>
      <c r="E42" s="26"/>
      <c r="F42" s="26"/>
      <c r="G42" s="16">
        <f ca="1">_xll.DBRW($D$4,$E$7,$E$8,$E$9,$E$10,$E$12,$D42,$E$6,G$18,G$17)</f>
        <v>6.8204170000000841E-2</v>
      </c>
      <c r="H42" s="16">
        <f ca="1">_xll.DBRW($D$4,$E$7,$E$8,$E$9,$E$10,$E$12,$D42,$E$6,H$18,H$17)</f>
        <v>-0.34285775000000002</v>
      </c>
      <c r="I42" s="16">
        <f ca="1">_xll.DBRW($D$4,$E$7,$E$8,$E$9,$E$10,$E$12,$D42,$E$6,I$18,I$17)</f>
        <v>0</v>
      </c>
      <c r="J42" s="26">
        <f ca="1">_xll.DBRW($D$4,$E$7,$E$8,$E$9,$E$10,$E$12,$D42,$E$6,J$18,J$17)</f>
        <v>-6.6806399999999988E-2</v>
      </c>
      <c r="K42" s="26">
        <f ca="1">_xll.DBRW($D$4,$E$7,$E$8,$E$9,$E$10,$E$12,$D42,$E$6,K$18,K$17)</f>
        <v>0</v>
      </c>
      <c r="L42" s="26">
        <f ca="1">_xll.DBRW($D$4,$E$7,$E$8,$E$9,$E$10,$E$12,$D42,$E$6,L$18,L$17)</f>
        <v>0</v>
      </c>
      <c r="M42" s="26">
        <f ca="1">_xll.DBRW($D$4,$E$7,$E$8,$E$9,$E$10,$E$12,$D42,$E$6,M$18,M$17)</f>
        <v>0</v>
      </c>
      <c r="N42" s="16">
        <f ca="1">_xll.DBRW($D$4,$E$7,$E$8,$E$9,$E$10,$E$12,$D42,$E$6,N$18,N$17)</f>
        <v>0.47786832000000085</v>
      </c>
      <c r="O42" s="16">
        <f ca="1">_xll.DBRW($D$4,$E$7,$E$8,$E$9,$E$10,$E$12,$D42,$E$6,O$18,O$17)</f>
        <v>6.2549861700000005</v>
      </c>
      <c r="P42" s="74">
        <f ca="1">_xll.DBRW($D$4,$E$7,$E$8,$E$9,$E$10,$E$12,$D42,$E$6,P$18,P$17)</f>
        <v>-2.7478655899999995</v>
      </c>
      <c r="Q42" s="16">
        <f ca="1">_xll.DBRW($D$4,$E$7,$E$8,$E$9,$E$10,$E$12,$D42,$E$6,Q$18,Q$17)</f>
        <v>0.43930802008471898</v>
      </c>
      <c r="R42" s="16"/>
      <c r="S42" s="16"/>
      <c r="T42" s="16"/>
      <c r="U42" s="16"/>
      <c r="V42" s="16">
        <f ca="1">_xll.DBRW($D$4,$E$7,$E$8,$E$9,$E$10,$E$12,$D42,$E$6,V$18,V$17)</f>
        <v>-0.88229495999999996</v>
      </c>
      <c r="W42" s="16">
        <f ca="1">_xll.DBRW($D$4,$E$7,$E$8,$E$9,$E$10,$E$12,$D42,$E$6,W$18,W$17)</f>
        <v>0.14105466199615913</v>
      </c>
      <c r="X42" s="16"/>
      <c r="Y42" s="16"/>
      <c r="Z42" s="16"/>
      <c r="AA42" s="16"/>
      <c r="AB42" s="16">
        <f ca="1">_xll.DBRW($D$4,$E$7,$E$8,$E$9,$E$10,$E$12,$D42,$E$6,AB$18,AB$17)</f>
        <v>-0.8179374399999999</v>
      </c>
      <c r="AC42" s="16">
        <f ca="1">_xll.DBRW($D$4,$E$7,$E$8,$E$9,$E$10,$E$12,$D42,$E$6,AC$18,AC$17)</f>
        <v>0.13076566722448882</v>
      </c>
      <c r="AD42" s="16"/>
      <c r="AE42" s="16"/>
      <c r="AF42" s="16"/>
      <c r="AG42" s="16"/>
      <c r="AH42" s="16">
        <f ca="1">_xll.DBRW($D$4,$E$7,$E$8,$E$9,$E$10,$E$12,$D42,$E$6,AH$18,AH$17)</f>
        <v>-0.47748306000000018</v>
      </c>
      <c r="AI42" s="16">
        <f ca="1">_xll.DBRW($D$4,$E$7,$E$8,$E$9,$E$10,$E$12,$D42,$E$6,AI$18,AI$17)</f>
        <v>7.6336389405637986E-2</v>
      </c>
      <c r="AJ42" s="16"/>
      <c r="AK42" s="16"/>
      <c r="AL42" s="16"/>
      <c r="AM42" s="16"/>
      <c r="AN42" s="16">
        <f ca="1">_xll.DBRW($D$4,$E$7,$E$8,$E$9,$E$10,$E$12,$D42,$E$6,AN$18,AN$17)</f>
        <v>-0.85153679999999998</v>
      </c>
      <c r="AO42" s="16">
        <f ca="1">_xll.DBRW($D$4,$E$7,$E$8,$E$9,$E$10,$E$12,$D42,$E$6,AO$18,AO$17)</f>
        <v>0.13613727942103507</v>
      </c>
      <c r="AP42" s="16"/>
      <c r="AQ42" s="16"/>
      <c r="AR42" s="16"/>
      <c r="AS42" s="16"/>
      <c r="AT42" s="16">
        <f ca="1">_xll.DBRW($D$4,$E$7,$E$8,$E$9,$E$10,$E$12,$D42,$E$6,AT$18,AT$17)</f>
        <v>0.114759</v>
      </c>
      <c r="AU42" s="16">
        <f ca="1">_xll.DBRW($D$4,$E$7,$E$8,$E$9,$E$10,$E$12,$D42,$E$6,AU$18,AU$17)</f>
        <v>2.5237379999999998</v>
      </c>
      <c r="AV42" s="16">
        <f ca="1">_xll.DBRW($D$4,$E$7,$E$8,$E$9,$E$10,$E$12,$D42,$E$6,AV$18,AV$17)</f>
        <v>2.5237379999999998</v>
      </c>
      <c r="AW42" s="16">
        <f ca="1">_xll.DBRW($D$4,$E$7,$E$8,$E$9,$E$10,$E$12,$D42,$E$6,AW$18,AW$17)</f>
        <v>2.5237379999999998</v>
      </c>
      <c r="AX42" s="16">
        <f ca="1">_xll.DBRW($D$4,$E$7,$E$8,$E$9,$E$10,$E$12,$D42,$E$6,AX$18,AX$17)</f>
        <v>0.87919590000000003</v>
      </c>
      <c r="AY42" s="16">
        <f ca="1">_xll.DBRW($D$4,$E$7,$E$8,$E$9,$E$10,$E$12,$D42,$E$6,AY$18,AY$17)</f>
        <v>2.5237379999999998</v>
      </c>
      <c r="AZ42" s="16">
        <f ca="1">_xll.DBRW($D$4,$E$7,$E$8,$E$9,$E$10,$E$12,$D42,$E$6,AZ$18,AZ$17)</f>
        <v>1.9589280000000002</v>
      </c>
      <c r="BA42" s="16">
        <f ca="1">_xll.DBRW($D$4,$E$7,$E$8,$E$9,$E$10,$E$12,$D42,$E$6,BA$18,BA$17)</f>
        <v>2.5237379999999998</v>
      </c>
      <c r="BB42" s="16">
        <f ca="1">_xll.DBRW($D$4,$E$7,$E$8,$E$9,$E$10,$E$12,$D42,$E$6,BB$18,BB$17)</f>
        <v>2.5237379999999998</v>
      </c>
      <c r="BC42" s="16">
        <f ca="1">_xll.DBRW($D$4,$E$7,$E$8,$E$9,$E$10,$E$12,$D42,$E$6,BC$18,BC$17)</f>
        <v>2.5237379999999998</v>
      </c>
      <c r="BD42" s="16">
        <f ca="1">_xll.DBRW($D$4,$E$7,$E$8,$E$9,$E$10,$E$12,$D42,$E$6,BD$18,BD$17)</f>
        <v>0.28891246850859376</v>
      </c>
      <c r="BE42" s="16">
        <f ca="1">_xll.DBRW($D$4,$E$7,$E$8,$E$9,$E$10,$E$12,$D42,$E$6,BE$18,BE$17)</f>
        <v>-0.57254731393427216</v>
      </c>
      <c r="BF42" s="16">
        <f ca="1">_xll.DBRW($D$4,$E$7,$E$8,$E$9,$E$10,$E$12,$D42,$E$6,BF$18,BF$17)</f>
        <v>0</v>
      </c>
      <c r="BG42" s="26">
        <f ca="1">_xll.DBRW($D$4,$E$7,$E$8,$E$9,$E$10,$E$12,$D42,$E$6,BG$18,BG$17)</f>
        <v>-7.2276909489939908E-2</v>
      </c>
      <c r="BH42" s="26">
        <f ca="1">_xll.DBRW($D$4,$E$7,$E$8,$E$9,$E$10,$E$12,$D42,$E$6,BH$18,BH$17)</f>
        <v>0</v>
      </c>
      <c r="BI42" s="26">
        <f ca="1">_xll.DBRW($D$4,$E$7,$E$8,$E$9,$E$10,$E$12,$D42,$E$6,BI$18,BI$17)</f>
        <v>0</v>
      </c>
      <c r="BJ42" s="26">
        <f ca="1">_xll.DBRW($D$4,$E$7,$E$8,$E$9,$E$10,$E$12,$D42,$E$6,BJ$18,BJ$17)</f>
        <v>0</v>
      </c>
      <c r="BK42" s="16">
        <f ca="1">_xll.DBRW($D$4,$E$7,$E$8,$E$9,$E$10,$E$12,$D42,$E$6,BK$18,BK$17)</f>
        <v>0.93373669193280584</v>
      </c>
      <c r="BL42" s="16">
        <f ca="1">_xll.DBRW($D$4,$E$7,$E$8,$E$9,$E$10,$E$12,$D42,$E$6,BL$18,BL$17)</f>
        <v>7.3682391469890591</v>
      </c>
      <c r="BM42" s="16">
        <f ca="1">_xll.DBRW($D$4,$E$7,$E$8,$E$9,$E$10,$E$12,$D42,$E$6,BM$18,BM$17)</f>
        <v>-3.1828821398099998</v>
      </c>
      <c r="BN42" s="16">
        <f ca="1">_xll.DBRW($D$4,$E$7,$E$8,$E$9,$E$10,$E$12,$D42,$E$6,BN$18,BN$17)</f>
        <v>0.43197324032440582</v>
      </c>
      <c r="BO42" s="16"/>
      <c r="BP42" s="16"/>
      <c r="BQ42" s="16"/>
      <c r="BR42" s="16"/>
      <c r="BS42" s="16">
        <f ca="1">_xll.DBRW($D$4,$E$7,$E$8,$E$9,$E$10,$E$12,$D42,$E$6,BS$18,BS$17)</f>
        <v>-0.86388381628886657</v>
      </c>
      <c r="BT42" s="16">
        <f ca="1">_xll.DBRW($D$4,$E$7,$E$8,$E$9,$E$10,$E$12,$D42,$E$6,BT$18,BT$17)</f>
        <v>0.11724426949984137</v>
      </c>
      <c r="BU42" s="16"/>
      <c r="BV42" s="16"/>
      <c r="BW42" s="16"/>
      <c r="BX42" s="16"/>
      <c r="BY42" s="16">
        <f ca="1">_xll.DBRW($D$4,$E$7,$E$8,$E$9,$E$10,$E$12,$D42,$E$6,BY$18,BY$17)</f>
        <v>-0.7730536182966401</v>
      </c>
      <c r="BZ42" s="16">
        <f ca="1">_xll.DBRW($D$4,$E$7,$E$8,$E$9,$E$10,$E$12,$D42,$E$6,BZ$18,BZ$17)</f>
        <v>0.10491700973258163</v>
      </c>
      <c r="CA42" s="16"/>
      <c r="CB42" s="16"/>
      <c r="CC42" s="16"/>
      <c r="CD42" s="16"/>
      <c r="CE42" s="16">
        <f ca="1">_xll.DBRW($D$4,$E$7,$E$8,$E$9,$E$10,$E$12,$D42,$E$6,CE$18,CE$17)</f>
        <v>-0.47500877999999996</v>
      </c>
      <c r="CF42" s="16">
        <f ca="1">_xll.DBRW($D$4,$E$7,$E$8,$E$9,$E$10,$E$12,$D42,$E$6,CF$18,CF$17)</f>
        <v>6.4467068796770319E-2</v>
      </c>
      <c r="CG42" s="16"/>
      <c r="CH42" s="16"/>
      <c r="CI42" s="16"/>
      <c r="CJ42" s="16"/>
      <c r="CK42" s="16">
        <f ca="1">_xll.DBRW($D$4,$E$7,$E$8,$E$9,$E$10,$E$12,$D42,$E$6,CK$18,CK$17)</f>
        <v>-1.1396741006607465</v>
      </c>
      <c r="CL42" s="16">
        <f ca="1">_xll.DBRW($D$4,$E$7,$E$8,$E$9,$E$10,$E$12,$D42,$E$6,CL$18,CL$17)</f>
        <v>0.15467387498225549</v>
      </c>
      <c r="CM42" s="16"/>
      <c r="CN42" s="16"/>
      <c r="CO42" s="16"/>
      <c r="CP42" s="16"/>
      <c r="CQ42" s="16">
        <f ca="1">_xll.DBRW($D$4,$E$7,$E$8,$E$9,$E$10,$E$12,$D42,$E$6,CQ$18,CQ$17)</f>
        <v>0.14489499999999997</v>
      </c>
      <c r="CR42" s="16">
        <f ca="1">_xll.DBRW($D$4,$E$7,$E$8,$E$9,$E$10,$E$12,$D42,$E$6,CR$18,CR$17)</f>
        <v>2.6593730000000004</v>
      </c>
      <c r="CS42" s="16">
        <f ca="1">_xll.DBRW($D$4,$E$7,$E$8,$E$9,$E$10,$E$12,$D42,$E$6,CS$18,CS$17)</f>
        <v>2.6593730000000004</v>
      </c>
      <c r="CT42" s="16">
        <f ca="1">_xll.DBRW($D$4,$E$7,$E$8,$E$9,$E$10,$E$12,$D42,$E$6,CT$18,CT$17)</f>
        <v>2.6593730000000004</v>
      </c>
      <c r="CU42" s="16">
        <f ca="1">_xll.DBRW($D$4,$E$7,$E$8,$E$9,$E$10,$E$12,$D42,$E$6,CU$18,CU$17)</f>
        <v>0.93049304079999984</v>
      </c>
      <c r="CV42" s="16">
        <f ca="1">_xll.DBRW($D$4,$E$7,$E$8,$E$9,$E$10,$E$12,$D42,$E$6,CV$18,CV$17)</f>
        <v>2.6593730000000004</v>
      </c>
      <c r="CW42" s="16">
        <f ca="1">_xll.DBRW($D$4,$E$7,$E$8,$E$9,$E$10,$E$12,$D42,$E$6,CW$18,CW$17)</f>
        <v>2.0614810000000001</v>
      </c>
      <c r="CX42" s="16">
        <f ca="1">_xll.DBRW($D$4,$E$7,$E$8,$E$9,$E$10,$E$12,$D42,$E$6,CX$18,CX$17)</f>
        <v>2.6593730000000004</v>
      </c>
      <c r="CY42" s="16">
        <f ca="1">_xll.DBRW($D$4,$E$7,$E$8,$E$9,$E$10,$E$12,$D42,$E$6,CY$18,CY$17)</f>
        <v>2.6593730000000004</v>
      </c>
      <c r="CZ42" s="16">
        <f ca="1">_xll.DBRW($D$4,$E$7,$E$8,$E$9,$E$10,$E$12,$D42,$E$6,CZ$18,CZ$17)</f>
        <v>2.6593730000000004</v>
      </c>
      <c r="DA42" s="26">
        <f t="shared" ca="1" si="89"/>
        <v>-0.22070829850859291</v>
      </c>
      <c r="DB42" s="26">
        <f t="shared" ca="1" si="90"/>
        <v>0.22968956393427215</v>
      </c>
      <c r="DC42" s="26">
        <f t="shared" ca="1" si="91"/>
        <v>0</v>
      </c>
      <c r="DD42" s="26">
        <f t="shared" ca="1" si="92"/>
        <v>5.4705094899399204E-3</v>
      </c>
      <c r="DE42" s="26">
        <f t="shared" ca="1" si="93"/>
        <v>0</v>
      </c>
      <c r="DF42" s="26">
        <f t="shared" ca="1" si="94"/>
        <v>0</v>
      </c>
      <c r="DG42" s="26">
        <f t="shared" ca="1" si="95"/>
        <v>0</v>
      </c>
      <c r="DH42" s="26">
        <f t="shared" ca="1" si="96"/>
        <v>-0.45586837193280499</v>
      </c>
      <c r="DI42" s="26">
        <f t="shared" ca="1" si="97"/>
        <v>-1.1132529769890587</v>
      </c>
      <c r="DJ42" s="26">
        <f t="shared" ca="1" si="98"/>
        <v>0.43501654981000026</v>
      </c>
      <c r="DK42" s="26">
        <f t="shared" ca="1" si="99"/>
        <v>7.3347797603131593E-3</v>
      </c>
      <c r="DL42" s="26"/>
      <c r="DM42" s="26"/>
      <c r="DN42" s="26"/>
      <c r="DO42" s="26"/>
      <c r="DP42" s="26">
        <f t="shared" ca="1" si="100"/>
        <v>-1.8411143711133393E-2</v>
      </c>
      <c r="DQ42" s="26">
        <f t="shared" ca="1" si="101"/>
        <v>2.381039249631775E-2</v>
      </c>
      <c r="DR42" s="26"/>
      <c r="DS42" s="26"/>
      <c r="DT42" s="26"/>
      <c r="DU42" s="26"/>
      <c r="DV42" s="26">
        <f t="shared" ca="1" si="102"/>
        <v>-4.4883821703359805E-2</v>
      </c>
      <c r="DW42" s="26">
        <f t="shared" ca="1" si="103"/>
        <v>2.5848657491907193E-2</v>
      </c>
      <c r="DX42" s="26"/>
      <c r="DY42" s="26"/>
      <c r="DZ42" s="26"/>
      <c r="EA42" s="26"/>
      <c r="EB42" s="26">
        <f t="shared" ca="1" si="104"/>
        <v>-2.4742800000002174E-3</v>
      </c>
      <c r="EC42" s="26">
        <f t="shared" ca="1" si="105"/>
        <v>1.1869320608867667E-2</v>
      </c>
      <c r="ED42" s="26"/>
      <c r="EE42" s="26"/>
      <c r="EF42" s="26"/>
      <c r="EG42" s="26"/>
      <c r="EH42" s="26">
        <f t="shared" ca="1" si="106"/>
        <v>0.2881373006607465</v>
      </c>
      <c r="EI42" s="29">
        <f t="shared" ca="1" si="107"/>
        <v>-1.853659556122042E-2</v>
      </c>
      <c r="EJ42" s="29"/>
      <c r="EK42" s="29"/>
      <c r="EL42" s="29"/>
      <c r="EM42" s="29"/>
      <c r="EN42" s="93"/>
      <c r="EO42" s="29"/>
      <c r="EP42" s="29"/>
      <c r="EQ42" s="29"/>
      <c r="ER42" s="29"/>
      <c r="ES42" s="29"/>
      <c r="ET42" s="29"/>
      <c r="EU42" s="93"/>
      <c r="EV42" s="29"/>
      <c r="EW42" s="29"/>
      <c r="EX42" s="29"/>
      <c r="EY42" s="29"/>
      <c r="EZ42" s="29"/>
      <c r="FA42" s="29"/>
      <c r="FB42" s="93"/>
      <c r="FC42" s="29"/>
      <c r="FD42" s="29"/>
      <c r="FE42" s="29"/>
      <c r="FF42" s="29"/>
      <c r="FG42" s="29"/>
      <c r="FH42" s="29"/>
      <c r="FI42" s="93"/>
      <c r="FJ42" s="29"/>
      <c r="FK42" s="29"/>
      <c r="FL42" s="29"/>
      <c r="FM42" s="29"/>
      <c r="FN42" s="29"/>
      <c r="FO42" s="29"/>
      <c r="FP42" s="93"/>
      <c r="FQ42" s="29"/>
      <c r="FR42" s="29"/>
      <c r="FS42" s="29"/>
      <c r="FT42" s="29"/>
      <c r="FU42" s="29"/>
      <c r="FV42" s="29"/>
    </row>
    <row r="43" spans="1:178" x14ac:dyDescent="0.25">
      <c r="A43" t="str">
        <f ca="1">IF(_xll.TM1RPTELISCONSOLIDATED($D$28,$D43),IF(_xll.TM1RPTELLEV($D$28,$D43)&lt;=3,_xll.TM1RPTELLEV($D$28,$D43),"D"),"N")</f>
        <v>N</v>
      </c>
      <c r="B43" t="str">
        <f ca="1">_xll.DBRA(Server&amp;"Management_organization",$D43,$B$27)</f>
        <v>L</v>
      </c>
      <c r="C43">
        <v>1</v>
      </c>
      <c r="D43" s="2" t="s">
        <v>87</v>
      </c>
      <c r="E43" s="26"/>
      <c r="F43" s="26"/>
      <c r="G43" s="16">
        <f ca="1">_xll.DBRW($D$4,$E$7,$E$8,$E$9,$E$10,$E$12,$D43,$E$6,G$18,G$17)</f>
        <v>11.937049979999985</v>
      </c>
      <c r="H43" s="16">
        <f ca="1">_xll.DBRW($D$4,$E$7,$E$8,$E$9,$E$10,$E$12,$D43,$E$6,H$18,H$17)</f>
        <v>-2.32086975</v>
      </c>
      <c r="I43" s="16">
        <f ca="1">_xll.DBRW($D$4,$E$7,$E$8,$E$9,$E$10,$E$12,$D43,$E$6,I$18,I$17)</f>
        <v>0</v>
      </c>
      <c r="J43" s="26">
        <f ca="1">_xll.DBRW($D$4,$E$7,$E$8,$E$9,$E$10,$E$12,$D43,$E$6,J$18,J$17)</f>
        <v>-9.2847109999999997E-2</v>
      </c>
      <c r="K43" s="26">
        <f ca="1">_xll.DBRW($D$4,$E$7,$E$8,$E$9,$E$10,$E$12,$D43,$E$6,K$18,K$17)</f>
        <v>0</v>
      </c>
      <c r="L43" s="26">
        <f ca="1">_xll.DBRW($D$4,$E$7,$E$8,$E$9,$E$10,$E$12,$D43,$E$6,L$18,L$17)</f>
        <v>0</v>
      </c>
      <c r="M43" s="26">
        <f ca="1">_xll.DBRW($D$4,$E$7,$E$8,$E$9,$E$10,$E$12,$D43,$E$6,M$18,M$17)</f>
        <v>0</v>
      </c>
      <c r="N43" s="16">
        <f ca="1">_xll.DBRW($D$4,$E$7,$E$8,$E$9,$E$10,$E$12,$D43,$E$6,N$18,N$17)</f>
        <v>14.350766839999984</v>
      </c>
      <c r="O43" s="16">
        <f ca="1">_xll.DBRW($D$4,$E$7,$E$8,$E$9,$E$10,$E$12,$D43,$E$6,O$18,O$17)</f>
        <v>63.372392510000005</v>
      </c>
      <c r="P43" s="74">
        <f ca="1">_xll.DBRW($D$4,$E$7,$E$8,$E$9,$E$10,$E$12,$D43,$E$6,P$18,P$17)</f>
        <v>-24.908082329999999</v>
      </c>
      <c r="Q43" s="16">
        <f ca="1">_xll.DBRW($D$4,$E$7,$E$8,$E$9,$E$10,$E$12,$D43,$E$6,Q$18,Q$17)</f>
        <v>0.39304311141589876</v>
      </c>
      <c r="R43" s="16"/>
      <c r="S43" s="16"/>
      <c r="T43" s="16"/>
      <c r="U43" s="16"/>
      <c r="V43" s="16">
        <f ca="1">_xll.DBRW($D$4,$E$7,$E$8,$E$9,$E$10,$E$12,$D43,$E$6,V$18,V$17)</f>
        <v>-5.6676475900000014</v>
      </c>
      <c r="W43" s="16">
        <f ca="1">_xll.DBRW($D$4,$E$7,$E$8,$E$9,$E$10,$E$12,$D43,$E$6,W$18,W$17)</f>
        <v>8.9434016383485304E-2</v>
      </c>
      <c r="X43" s="16"/>
      <c r="Y43" s="16"/>
      <c r="Z43" s="16"/>
      <c r="AA43" s="16"/>
      <c r="AB43" s="16">
        <f ca="1">_xll.DBRW($D$4,$E$7,$E$8,$E$9,$E$10,$E$12,$D43,$E$6,AB$18,AB$17)</f>
        <v>-4.9937742799999985</v>
      </c>
      <c r="AC43" s="16">
        <f ca="1">_xll.DBRW($D$4,$E$7,$E$8,$E$9,$E$10,$E$12,$D43,$E$6,AC$18,AC$17)</f>
        <v>7.8800469450668029E-2</v>
      </c>
      <c r="AD43" s="16"/>
      <c r="AE43" s="16"/>
      <c r="AF43" s="16"/>
      <c r="AG43" s="16"/>
      <c r="AH43" s="16">
        <f ca="1">_xll.DBRW($D$4,$E$7,$E$8,$E$9,$E$10,$E$12,$D43,$E$6,AH$18,AH$17)</f>
        <v>-2.50494415</v>
      </c>
      <c r="AI43" s="16">
        <f ca="1">_xll.DBRW($D$4,$E$7,$E$8,$E$9,$E$10,$E$12,$D43,$E$6,AI$18,AI$17)</f>
        <v>3.9527372263951151E-2</v>
      </c>
      <c r="AJ43" s="16"/>
      <c r="AK43" s="16"/>
      <c r="AL43" s="16"/>
      <c r="AM43" s="16"/>
      <c r="AN43" s="16">
        <f ca="1">_xll.DBRW($D$4,$E$7,$E$8,$E$9,$E$10,$E$12,$D43,$E$6,AN$18,AN$17)</f>
        <v>-10.94717732</v>
      </c>
      <c r="AO43" s="16">
        <f ca="1">_xll.DBRW($D$4,$E$7,$E$8,$E$9,$E$10,$E$12,$D43,$E$6,AO$18,AO$17)</f>
        <v>0.17274363309342569</v>
      </c>
      <c r="AP43" s="16"/>
      <c r="AQ43" s="16"/>
      <c r="AR43" s="16"/>
      <c r="AS43" s="16"/>
      <c r="AT43" s="16">
        <f ca="1">_xll.DBRW($D$4,$E$7,$E$8,$E$9,$E$10,$E$12,$D43,$E$6,AT$18,AT$17)</f>
        <v>0.93072300000000019</v>
      </c>
      <c r="AU43" s="16">
        <f ca="1">_xll.DBRW($D$4,$E$7,$E$8,$E$9,$E$10,$E$12,$D43,$E$6,AU$18,AU$17)</f>
        <v>9.5970750000000002</v>
      </c>
      <c r="AV43" s="16">
        <f ca="1">_xll.DBRW($D$4,$E$7,$E$8,$E$9,$E$10,$E$12,$D43,$E$6,AV$18,AV$17)</f>
        <v>9.5970750000000002</v>
      </c>
      <c r="AW43" s="16">
        <f ca="1">_xll.DBRW($D$4,$E$7,$E$8,$E$9,$E$10,$E$12,$D43,$E$6,AW$18,AW$17)</f>
        <v>9.5970750000000002</v>
      </c>
      <c r="AX43" s="16">
        <f ca="1">_xll.DBRW($D$4,$E$7,$E$8,$E$9,$E$10,$E$12,$D43,$E$6,AX$18,AX$17)</f>
        <v>4.2649799999999995</v>
      </c>
      <c r="AY43" s="16">
        <f ca="1">_xll.DBRW($D$4,$E$7,$E$8,$E$9,$E$10,$E$12,$D43,$E$6,AY$18,AY$17)</f>
        <v>9.5970750000000002</v>
      </c>
      <c r="AZ43" s="16">
        <f ca="1">_xll.DBRW($D$4,$E$7,$E$8,$E$9,$E$10,$E$12,$D43,$E$6,AZ$18,AZ$17)</f>
        <v>7.9863809999999997</v>
      </c>
      <c r="BA43" s="16">
        <f ca="1">_xll.DBRW($D$4,$E$7,$E$8,$E$9,$E$10,$E$12,$D43,$E$6,BA$18,BA$17)</f>
        <v>9.5970750000000002</v>
      </c>
      <c r="BB43" s="16">
        <f ca="1">_xll.DBRW($D$4,$E$7,$E$8,$E$9,$E$10,$E$12,$D43,$E$6,BB$18,BB$17)</f>
        <v>9.5970750000000002</v>
      </c>
      <c r="BC43" s="16">
        <f ca="1">_xll.DBRW($D$4,$E$7,$E$8,$E$9,$E$10,$E$12,$D43,$E$6,BC$18,BC$17)</f>
        <v>9.5970750000000002</v>
      </c>
      <c r="BD43" s="16">
        <f ca="1">_xll.DBRW($D$4,$E$7,$E$8,$E$9,$E$10,$E$12,$D43,$E$6,BD$18,BD$17)</f>
        <v>-0.20544865774721077</v>
      </c>
      <c r="BE43" s="16">
        <f ca="1">_xll.DBRW($D$4,$E$7,$E$8,$E$9,$E$10,$E$12,$D43,$E$6,BE$18,BE$17)</f>
        <v>-3.4266495037500042</v>
      </c>
      <c r="BF43" s="16">
        <f ca="1">_xll.DBRW($D$4,$E$7,$E$8,$E$9,$E$10,$E$12,$D43,$E$6,BF$18,BF$17)</f>
        <v>0</v>
      </c>
      <c r="BG43" s="26">
        <f ca="1">_xll.DBRW($D$4,$E$7,$E$8,$E$9,$E$10,$E$12,$D43,$E$6,BG$18,BG$17)</f>
        <v>-8.4540799990347193E-3</v>
      </c>
      <c r="BH43" s="26">
        <f ca="1">_xll.DBRW($D$4,$E$7,$E$8,$E$9,$E$10,$E$12,$D43,$E$6,BH$18,BH$17)</f>
        <v>0</v>
      </c>
      <c r="BI43" s="26">
        <f ca="1">_xll.DBRW($D$4,$E$7,$E$8,$E$9,$E$10,$E$12,$D43,$E$6,BI$18,BI$17)</f>
        <v>0</v>
      </c>
      <c r="BJ43" s="26">
        <f ca="1">_xll.DBRW($D$4,$E$7,$E$8,$E$9,$E$10,$E$12,$D43,$E$6,BJ$18,BJ$17)</f>
        <v>0</v>
      </c>
      <c r="BK43" s="16">
        <f ca="1">_xll.DBRW($D$4,$E$7,$E$8,$E$9,$E$10,$E$12,$D43,$E$6,BK$18,BK$17)</f>
        <v>3.2296549260018286</v>
      </c>
      <c r="BL43" s="16">
        <f ca="1">_xll.DBRW($D$4,$E$7,$E$8,$E$9,$E$10,$E$12,$D43,$E$6,BL$18,BL$17)</f>
        <v>61.942657994190128</v>
      </c>
      <c r="BM43" s="16">
        <f ca="1">_xll.DBRW($D$4,$E$7,$E$8,$E$9,$E$10,$E$12,$D43,$E$6,BM$18,BM$17)</f>
        <v>-30.257997308088413</v>
      </c>
      <c r="BN43" s="16">
        <f ca="1">_xll.DBRW($D$4,$E$7,$E$8,$E$9,$E$10,$E$12,$D43,$E$6,BN$18,BN$17)</f>
        <v>0.48848399936157799</v>
      </c>
      <c r="BO43" s="16"/>
      <c r="BP43" s="16"/>
      <c r="BQ43" s="16"/>
      <c r="BR43" s="16"/>
      <c r="BS43" s="16">
        <f ca="1">_xll.DBRW($D$4,$E$7,$E$8,$E$9,$E$10,$E$12,$D43,$E$6,BS$18,BS$17)</f>
        <v>-6.6471172886451129</v>
      </c>
      <c r="BT43" s="16">
        <f ca="1">_xll.DBRW($D$4,$E$7,$E$8,$E$9,$E$10,$E$12,$D43,$E$6,BT$18,BT$17)</f>
        <v>0.10731081784169764</v>
      </c>
      <c r="BU43" s="16"/>
      <c r="BV43" s="16"/>
      <c r="BW43" s="16"/>
      <c r="BX43" s="16"/>
      <c r="BY43" s="16">
        <f ca="1">_xll.DBRW($D$4,$E$7,$E$8,$E$9,$E$10,$E$12,$D43,$E$6,BY$18,BY$17)</f>
        <v>-3.8253697492514407</v>
      </c>
      <c r="BZ43" s="16">
        <f ca="1">_xll.DBRW($D$4,$E$7,$E$8,$E$9,$E$10,$E$12,$D43,$E$6,BZ$18,BZ$17)</f>
        <v>6.1756629003718873E-2</v>
      </c>
      <c r="CA43" s="16"/>
      <c r="CB43" s="16"/>
      <c r="CC43" s="16"/>
      <c r="CD43" s="16"/>
      <c r="CE43" s="16">
        <f ca="1">_xll.DBRW($D$4,$E$7,$E$8,$E$9,$E$10,$E$12,$D43,$E$6,CE$18,CE$17)</f>
        <v>-3.1837986200000001</v>
      </c>
      <c r="CF43" s="16">
        <f ca="1">_xll.DBRW($D$4,$E$7,$E$8,$E$9,$E$10,$E$12,$D43,$E$6,CF$18,CF$17)</f>
        <v>5.139912821142778E-2</v>
      </c>
      <c r="CG43" s="16"/>
      <c r="CH43" s="16"/>
      <c r="CI43" s="16"/>
      <c r="CJ43" s="16"/>
      <c r="CK43" s="16">
        <f ca="1">_xll.DBRW($D$4,$E$7,$E$8,$E$9,$E$10,$E$12,$D43,$E$6,CK$18,CK$17)</f>
        <v>-14.79872010220333</v>
      </c>
      <c r="CL43" s="16">
        <f ca="1">_xll.DBRW($D$4,$E$7,$E$8,$E$9,$E$10,$E$12,$D43,$E$6,CL$18,CL$17)</f>
        <v>0.2389099948470304</v>
      </c>
      <c r="CM43" s="16"/>
      <c r="CN43" s="16"/>
      <c r="CO43" s="16"/>
      <c r="CP43" s="16"/>
      <c r="CQ43" s="16">
        <f ca="1">_xll.DBRW($D$4,$E$7,$E$8,$E$9,$E$10,$E$12,$D43,$E$6,CQ$18,CQ$17)</f>
        <v>1.0470536904144949</v>
      </c>
      <c r="CR43" s="16">
        <f ca="1">_xll.DBRW($D$4,$E$7,$E$8,$E$9,$E$10,$E$12,$D43,$E$6,CR$18,CR$17)</f>
        <v>10.504576585054998</v>
      </c>
      <c r="CS43" s="16">
        <f ca="1">_xll.DBRW($D$4,$E$7,$E$8,$E$9,$E$10,$E$12,$D43,$E$6,CS$18,CS$17)</f>
        <v>10.504576585054998</v>
      </c>
      <c r="CT43" s="16">
        <f ca="1">_xll.DBRW($D$4,$E$7,$E$8,$E$9,$E$10,$E$12,$D43,$E$6,CT$18,CT$17)</f>
        <v>10.504576585054998</v>
      </c>
      <c r="CU43" s="16">
        <f ca="1">_xll.DBRW($D$4,$E$7,$E$8,$E$9,$E$10,$E$12,$D43,$E$6,CU$18,CU$17)</f>
        <v>4.6044412003507889</v>
      </c>
      <c r="CV43" s="16">
        <f ca="1">_xll.DBRW($D$4,$E$7,$E$8,$E$9,$E$10,$E$12,$D43,$E$6,CV$18,CV$17)</f>
        <v>10.504576585054998</v>
      </c>
      <c r="CW43" s="16">
        <f ca="1">_xll.DBRW($D$4,$E$7,$E$8,$E$9,$E$10,$E$12,$D43,$E$6,CW$18,CW$17)</f>
        <v>8.9289811409999995</v>
      </c>
      <c r="CX43" s="16">
        <f ca="1">_xll.DBRW($D$4,$E$7,$E$8,$E$9,$E$10,$E$12,$D43,$E$6,CX$18,CX$17)</f>
        <v>10.504576585054998</v>
      </c>
      <c r="CY43" s="16">
        <f ca="1">_xll.DBRW($D$4,$E$7,$E$8,$E$9,$E$10,$E$12,$D43,$E$6,CY$18,CY$17)</f>
        <v>10.504576585054998</v>
      </c>
      <c r="CZ43" s="16">
        <f ca="1">_xll.DBRW($D$4,$E$7,$E$8,$E$9,$E$10,$E$12,$D43,$E$6,CZ$18,CZ$17)</f>
        <v>10.504576585054998</v>
      </c>
      <c r="DA43" s="26">
        <f t="shared" ca="1" si="89"/>
        <v>12.142498637747195</v>
      </c>
      <c r="DB43" s="26">
        <f t="shared" ca="1" si="90"/>
        <v>1.1057797537500043</v>
      </c>
      <c r="DC43" s="26">
        <f t="shared" ca="1" si="91"/>
        <v>0</v>
      </c>
      <c r="DD43" s="26">
        <f t="shared" ca="1" si="92"/>
        <v>-8.4393030000965277E-2</v>
      </c>
      <c r="DE43" s="26">
        <f t="shared" ca="1" si="93"/>
        <v>0</v>
      </c>
      <c r="DF43" s="26">
        <f t="shared" ca="1" si="94"/>
        <v>0</v>
      </c>
      <c r="DG43" s="26">
        <f t="shared" ca="1" si="95"/>
        <v>0</v>
      </c>
      <c r="DH43" s="26">
        <f t="shared" ca="1" si="96"/>
        <v>11.121111913998156</v>
      </c>
      <c r="DI43" s="26">
        <f t="shared" ca="1" si="97"/>
        <v>1.4297345158098764</v>
      </c>
      <c r="DJ43" s="26">
        <f t="shared" ca="1" si="98"/>
        <v>5.3499149780884139</v>
      </c>
      <c r="DK43" s="26">
        <f t="shared" ca="1" si="99"/>
        <v>-9.5440887945679231E-2</v>
      </c>
      <c r="DL43" s="26"/>
      <c r="DM43" s="26"/>
      <c r="DN43" s="26"/>
      <c r="DO43" s="26"/>
      <c r="DP43" s="26">
        <f t="shared" ca="1" si="100"/>
        <v>0.97946969864511146</v>
      </c>
      <c r="DQ43" s="26">
        <f t="shared" ca="1" si="101"/>
        <v>-1.7876801458212341E-2</v>
      </c>
      <c r="DR43" s="26"/>
      <c r="DS43" s="26"/>
      <c r="DT43" s="26"/>
      <c r="DU43" s="26"/>
      <c r="DV43" s="26">
        <f t="shared" ca="1" si="102"/>
        <v>-1.1684045307485578</v>
      </c>
      <c r="DW43" s="26">
        <f t="shared" ca="1" si="103"/>
        <v>1.7043840446949156E-2</v>
      </c>
      <c r="DX43" s="26"/>
      <c r="DY43" s="26"/>
      <c r="DZ43" s="26"/>
      <c r="EA43" s="26"/>
      <c r="EB43" s="26">
        <f t="shared" ca="1" si="104"/>
        <v>0.6788544700000001</v>
      </c>
      <c r="EC43" s="26">
        <f t="shared" ca="1" si="105"/>
        <v>-1.187175594747663E-2</v>
      </c>
      <c r="ED43" s="26"/>
      <c r="EE43" s="26"/>
      <c r="EF43" s="26"/>
      <c r="EG43" s="26"/>
      <c r="EH43" s="26">
        <f t="shared" ca="1" si="106"/>
        <v>3.8515427822033299</v>
      </c>
      <c r="EI43" s="29">
        <f t="shared" ca="1" si="107"/>
        <v>-6.6166361753604713E-2</v>
      </c>
      <c r="EJ43" s="29"/>
      <c r="EK43" s="29"/>
      <c r="EL43" s="29"/>
      <c r="EM43" s="29"/>
      <c r="EN43" s="93"/>
      <c r="EO43" s="29"/>
      <c r="EP43" s="29"/>
      <c r="EQ43" s="29"/>
      <c r="ER43" s="29"/>
      <c r="ES43" s="29"/>
      <c r="ET43" s="29"/>
      <c r="EU43" s="93"/>
      <c r="EV43" s="29"/>
      <c r="EW43" s="29"/>
      <c r="EX43" s="29"/>
      <c r="EY43" s="29"/>
      <c r="EZ43" s="29"/>
      <c r="FA43" s="29"/>
      <c r="FB43" s="93"/>
      <c r="FC43" s="29"/>
      <c r="FD43" s="29"/>
      <c r="FE43" s="29"/>
      <c r="FF43" s="29"/>
      <c r="FG43" s="29"/>
      <c r="FH43" s="29"/>
      <c r="FI43" s="93"/>
      <c r="FJ43" s="29"/>
      <c r="FK43" s="29"/>
      <c r="FL43" s="29"/>
      <c r="FM43" s="29"/>
      <c r="FN43" s="29"/>
      <c r="FO43" s="29"/>
      <c r="FP43" s="93"/>
      <c r="FQ43" s="29"/>
      <c r="FR43" s="29"/>
      <c r="FS43" s="29"/>
      <c r="FT43" s="29"/>
      <c r="FU43" s="29"/>
      <c r="FV43" s="29"/>
    </row>
    <row r="44" spans="1:178" x14ac:dyDescent="0.25">
      <c r="A44" t="str">
        <f ca="1">IF(_xll.TM1RPTELISCONSOLIDATED($D$28,$D44),IF(_xll.TM1RPTELLEV($D$28,$D44)&lt;=3,_xll.TM1RPTELLEV($D$28,$D44),"D"),"N")</f>
        <v>N</v>
      </c>
      <c r="B44" t="str">
        <f ca="1">_xll.DBRA(Server&amp;"Management_organization",$D44,$B$27)</f>
        <v>L</v>
      </c>
      <c r="C44">
        <v>1</v>
      </c>
      <c r="D44" s="2" t="s">
        <v>88</v>
      </c>
      <c r="E44" s="26"/>
      <c r="F44" s="26"/>
      <c r="G44" s="16">
        <f ca="1">_xll.DBRW($D$4,$E$7,$E$8,$E$9,$E$10,$E$12,$D44,$E$6,G$18,G$17)</f>
        <v>3.0546036300000039</v>
      </c>
      <c r="H44" s="16">
        <f ca="1">_xll.DBRW($D$4,$E$7,$E$8,$E$9,$E$10,$E$12,$D44,$E$6,H$18,H$17)</f>
        <v>-0.45239647999999999</v>
      </c>
      <c r="I44" s="16">
        <f ca="1">_xll.DBRW($D$4,$E$7,$E$8,$E$9,$E$10,$E$12,$D44,$E$6,I$18,I$17)</f>
        <v>0</v>
      </c>
      <c r="J44" s="26">
        <f ca="1">_xll.DBRW($D$4,$E$7,$E$8,$E$9,$E$10,$E$12,$D44,$E$6,J$18,J$17)</f>
        <v>-2.4554510000000002E-2</v>
      </c>
      <c r="K44" s="26">
        <f ca="1">_xll.DBRW($D$4,$E$7,$E$8,$E$9,$E$10,$E$12,$D44,$E$6,K$18,K$17)</f>
        <v>0</v>
      </c>
      <c r="L44" s="26">
        <f ca="1">_xll.DBRW($D$4,$E$7,$E$8,$E$9,$E$10,$E$12,$D44,$E$6,L$18,L$17)</f>
        <v>0</v>
      </c>
      <c r="M44" s="26">
        <f ca="1">_xll.DBRW($D$4,$E$7,$E$8,$E$9,$E$10,$E$12,$D44,$E$6,M$18,M$17)</f>
        <v>0</v>
      </c>
      <c r="N44" s="16">
        <f ca="1">_xll.DBRW($D$4,$E$7,$E$8,$E$9,$E$10,$E$12,$D44,$E$6,N$18,N$17)</f>
        <v>3.5315546200000041</v>
      </c>
      <c r="O44" s="16">
        <f ca="1">_xll.DBRW($D$4,$E$7,$E$8,$E$9,$E$10,$E$12,$D44,$E$6,O$18,O$17)</f>
        <v>10.0724348</v>
      </c>
      <c r="P44" s="74">
        <f ca="1">_xll.DBRW($D$4,$E$7,$E$8,$E$9,$E$10,$E$12,$D44,$E$6,P$18,P$17)</f>
        <v>-3.2125617299999991</v>
      </c>
      <c r="Q44" s="16">
        <f ca="1">_xll.DBRW($D$4,$E$7,$E$8,$E$9,$E$10,$E$12,$D44,$E$6,Q$18,Q$17)</f>
        <v>0.3189458947900064</v>
      </c>
      <c r="R44" s="16"/>
      <c r="S44" s="16"/>
      <c r="T44" s="16"/>
      <c r="U44" s="16"/>
      <c r="V44" s="16">
        <f ca="1">_xll.DBRW($D$4,$E$7,$E$8,$E$9,$E$10,$E$12,$D44,$E$6,V$18,V$17)</f>
        <v>-0.72859620999999997</v>
      </c>
      <c r="W44" s="16">
        <f ca="1">_xll.DBRW($D$4,$E$7,$E$8,$E$9,$E$10,$E$12,$D44,$E$6,W$18,W$17)</f>
        <v>7.2335659100022168E-2</v>
      </c>
      <c r="X44" s="16"/>
      <c r="Y44" s="16"/>
      <c r="Z44" s="16"/>
      <c r="AA44" s="16"/>
      <c r="AB44" s="16">
        <f ca="1">_xll.DBRW($D$4,$E$7,$E$8,$E$9,$E$10,$E$12,$D44,$E$6,AB$18,AB$17)</f>
        <v>-0.61741093999999985</v>
      </c>
      <c r="AC44" s="16">
        <f ca="1">_xll.DBRW($D$4,$E$7,$E$8,$E$9,$E$10,$E$12,$D44,$E$6,AC$18,AC$17)</f>
        <v>6.1297089756292077E-2</v>
      </c>
      <c r="AD44" s="16"/>
      <c r="AE44" s="16"/>
      <c r="AF44" s="16"/>
      <c r="AG44" s="16"/>
      <c r="AH44" s="16">
        <f ca="1">_xll.DBRW($D$4,$E$7,$E$8,$E$9,$E$10,$E$12,$D44,$E$6,AH$18,AH$17)</f>
        <v>-0.81923155999999997</v>
      </c>
      <c r="AI44" s="16">
        <f ca="1">_xll.DBRW($D$4,$E$7,$E$8,$E$9,$E$10,$E$12,$D44,$E$6,AI$18,AI$17)</f>
        <v>8.1334014691264125E-2</v>
      </c>
      <c r="AJ44" s="16"/>
      <c r="AK44" s="16"/>
      <c r="AL44" s="16"/>
      <c r="AM44" s="16"/>
      <c r="AN44" s="16">
        <f ca="1">_xll.DBRW($D$4,$E$7,$E$8,$E$9,$E$10,$E$12,$D44,$E$6,AN$18,AN$17)</f>
        <v>-1.1630797399999999</v>
      </c>
      <c r="AO44" s="16">
        <f ca="1">_xll.DBRW($D$4,$E$7,$E$8,$E$9,$E$10,$E$12,$D44,$E$6,AO$18,AO$17)</f>
        <v>0.11547155807848962</v>
      </c>
      <c r="AP44" s="16"/>
      <c r="AQ44" s="16"/>
      <c r="AR44" s="16"/>
      <c r="AS44" s="16"/>
      <c r="AT44" s="16">
        <f ca="1">_xll.DBRW($D$4,$E$7,$E$8,$E$9,$E$10,$E$12,$D44,$E$6,AT$18,AT$17)</f>
        <v>0.11859599999999998</v>
      </c>
      <c r="AU44" s="16">
        <f ca="1">_xll.DBRW($D$4,$E$7,$E$8,$E$9,$E$10,$E$12,$D44,$E$6,AU$18,AU$17)</f>
        <v>1.5343579999999999</v>
      </c>
      <c r="AV44" s="16">
        <f ca="1">_xll.DBRW($D$4,$E$7,$E$8,$E$9,$E$10,$E$12,$D44,$E$6,AV$18,AV$17)</f>
        <v>1.5343579999999999</v>
      </c>
      <c r="AW44" s="16">
        <f ca="1">_xll.DBRW($D$4,$E$7,$E$8,$E$9,$E$10,$E$12,$D44,$E$6,AW$18,AW$17)</f>
        <v>1.5343579999999999</v>
      </c>
      <c r="AX44" s="16">
        <f ca="1">_xll.DBRW($D$4,$E$7,$E$8,$E$9,$E$10,$E$12,$D44,$E$6,AX$18,AX$17)</f>
        <v>0.63731322999999995</v>
      </c>
      <c r="AY44" s="16">
        <f ca="1">_xll.DBRW($D$4,$E$7,$E$8,$E$9,$E$10,$E$12,$D44,$E$6,AY$18,AY$17)</f>
        <v>1.5343579999999999</v>
      </c>
      <c r="AZ44" s="16">
        <f ca="1">_xll.DBRW($D$4,$E$7,$E$8,$E$9,$E$10,$E$12,$D44,$E$6,AZ$18,AZ$17)</f>
        <v>1.2909839999999999</v>
      </c>
      <c r="BA44" s="16">
        <f ca="1">_xll.DBRW($D$4,$E$7,$E$8,$E$9,$E$10,$E$12,$D44,$E$6,BA$18,BA$17)</f>
        <v>1.5343579999999999</v>
      </c>
      <c r="BB44" s="16">
        <f ca="1">_xll.DBRW($D$4,$E$7,$E$8,$E$9,$E$10,$E$12,$D44,$E$6,BB$18,BB$17)</f>
        <v>1.5343579999999999</v>
      </c>
      <c r="BC44" s="16">
        <f ca="1">_xll.DBRW($D$4,$E$7,$E$8,$E$9,$E$10,$E$12,$D44,$E$6,BC$18,BC$17)</f>
        <v>1.5343579999999999</v>
      </c>
      <c r="BD44" s="16">
        <f ca="1">_xll.DBRW($D$4,$E$7,$E$8,$E$9,$E$10,$E$12,$D44,$E$6,BD$18,BD$17)</f>
        <v>0.94526365178862637</v>
      </c>
      <c r="BE44" s="16">
        <f ca="1">_xll.DBRW($D$4,$E$7,$E$8,$E$9,$E$10,$E$12,$D44,$E$6,BE$18,BE$17)</f>
        <v>-0.59624308333333365</v>
      </c>
      <c r="BF44" s="16">
        <f ca="1">_xll.DBRW($D$4,$E$7,$E$8,$E$9,$E$10,$E$12,$D44,$E$6,BF$18,BF$17)</f>
        <v>0</v>
      </c>
      <c r="BG44" s="26">
        <f ca="1">_xll.DBRW($D$4,$E$7,$E$8,$E$9,$E$10,$E$12,$D44,$E$6,BG$18,BG$17)</f>
        <v>-7.3333333333333306E-2</v>
      </c>
      <c r="BH44" s="26">
        <f ca="1">_xll.DBRW($D$4,$E$7,$E$8,$E$9,$E$10,$E$12,$D44,$E$6,BH$18,BH$17)</f>
        <v>0</v>
      </c>
      <c r="BI44" s="26">
        <f ca="1">_xll.DBRW($D$4,$E$7,$E$8,$E$9,$E$10,$E$12,$D44,$E$6,BI$18,BI$17)</f>
        <v>0</v>
      </c>
      <c r="BJ44" s="26">
        <f ca="1">_xll.DBRW($D$4,$E$7,$E$8,$E$9,$E$10,$E$12,$D44,$E$6,BJ$18,BJ$17)</f>
        <v>0</v>
      </c>
      <c r="BK44" s="16">
        <f ca="1">_xll.DBRW($D$4,$E$7,$E$8,$E$9,$E$10,$E$12,$D44,$E$6,BK$18,BK$17)</f>
        <v>1.614840068455293</v>
      </c>
      <c r="BL44" s="16">
        <f ca="1">_xll.DBRW($D$4,$E$7,$E$8,$E$9,$E$10,$E$12,$D44,$E$6,BL$18,BL$17)</f>
        <v>9.8366637776000037</v>
      </c>
      <c r="BM44" s="16">
        <f ca="1">_xll.DBRW($D$4,$E$7,$E$8,$E$9,$E$10,$E$12,$D44,$E$6,BM$18,BM$17)</f>
        <v>-3.8711238810213566</v>
      </c>
      <c r="BN44" s="16">
        <f ca="1">_xll.DBRW($D$4,$E$7,$E$8,$E$9,$E$10,$E$12,$D44,$E$6,BN$18,BN$17)</f>
        <v>0.39354032714187698</v>
      </c>
      <c r="BO44" s="16"/>
      <c r="BP44" s="16"/>
      <c r="BQ44" s="16"/>
      <c r="BR44" s="16"/>
      <c r="BS44" s="16">
        <f ca="1">_xll.DBRW($D$4,$E$7,$E$8,$E$9,$E$10,$E$12,$D44,$E$6,BS$18,BS$17)</f>
        <v>-0.82040822588427986</v>
      </c>
      <c r="BT44" s="16">
        <f ca="1">_xll.DBRW($D$4,$E$7,$E$8,$E$9,$E$10,$E$12,$D44,$E$6,BT$18,BT$17)</f>
        <v>8.3403097272929966E-2</v>
      </c>
      <c r="BU44" s="16"/>
      <c r="BV44" s="16"/>
      <c r="BW44" s="16"/>
      <c r="BX44" s="16"/>
      <c r="BY44" s="16">
        <f ca="1">_xll.DBRW($D$4,$E$7,$E$8,$E$9,$E$10,$E$12,$D44,$E$6,BY$18,BY$17)</f>
        <v>-0.58523047087740798</v>
      </c>
      <c r="BZ44" s="16">
        <f ca="1">_xll.DBRW($D$4,$E$7,$E$8,$E$9,$E$10,$E$12,$D44,$E$6,BZ$18,BZ$17)</f>
        <v>5.9494812886671147E-2</v>
      </c>
      <c r="CA44" s="16"/>
      <c r="CB44" s="16"/>
      <c r="CC44" s="16"/>
      <c r="CD44" s="16"/>
      <c r="CE44" s="16">
        <f ca="1">_xll.DBRW($D$4,$E$7,$E$8,$E$9,$E$10,$E$12,$D44,$E$6,CE$18,CE$17)</f>
        <v>-1.0103726800000001</v>
      </c>
      <c r="CF44" s="16">
        <f ca="1">_xll.DBRW($D$4,$E$7,$E$8,$E$9,$E$10,$E$12,$D44,$E$6,CF$18,CF$17)</f>
        <v>0.1027149756100046</v>
      </c>
      <c r="CG44" s="16"/>
      <c r="CH44" s="16"/>
      <c r="CI44" s="16"/>
      <c r="CJ44" s="16"/>
      <c r="CK44" s="16">
        <f ca="1">_xll.DBRW($D$4,$E$7,$E$8,$E$9,$E$10,$E$12,$D44,$E$6,CK$18,CK$17)</f>
        <v>-1.9346884513616678</v>
      </c>
      <c r="CL44" s="16">
        <f ca="1">_xll.DBRW($D$4,$E$7,$E$8,$E$9,$E$10,$E$12,$D44,$E$6,CL$18,CL$17)</f>
        <v>0.19668136424133248</v>
      </c>
      <c r="CM44" s="16"/>
      <c r="CN44" s="16"/>
      <c r="CO44" s="16"/>
      <c r="CP44" s="16"/>
      <c r="CQ44" s="16">
        <f ca="1">_xll.DBRW($D$4,$E$7,$E$8,$E$9,$E$10,$E$12,$D44,$E$6,CQ$18,CQ$17)</f>
        <v>0</v>
      </c>
      <c r="CR44" s="16">
        <f ca="1">_xll.DBRW($D$4,$E$7,$E$8,$E$9,$E$10,$E$12,$D44,$E$6,CR$18,CR$17)</f>
        <v>1.70117824</v>
      </c>
      <c r="CS44" s="16">
        <f ca="1">_xll.DBRW($D$4,$E$7,$E$8,$E$9,$E$10,$E$12,$D44,$E$6,CS$18,CS$17)</f>
        <v>1.70117824</v>
      </c>
      <c r="CT44" s="16">
        <f ca="1">_xll.DBRW($D$4,$E$7,$E$8,$E$9,$E$10,$E$12,$D44,$E$6,CT$18,CT$17)</f>
        <v>1.70117824</v>
      </c>
      <c r="CU44" s="16">
        <f ca="1">_xll.DBRW($D$4,$E$7,$E$8,$E$9,$E$10,$E$12,$D44,$E$6,CU$18,CU$17)</f>
        <v>0.70441799575999997</v>
      </c>
      <c r="CV44" s="16">
        <f ca="1">_xll.DBRW($D$4,$E$7,$E$8,$E$9,$E$10,$E$12,$D44,$E$6,CV$18,CV$17)</f>
        <v>1.70117824</v>
      </c>
      <c r="CW44" s="16">
        <f ca="1">_xll.DBRW($D$4,$E$7,$E$8,$E$9,$E$10,$E$12,$D44,$E$6,CW$18,CW$17)</f>
        <v>0</v>
      </c>
      <c r="CX44" s="16">
        <f ca="1">_xll.DBRW($D$4,$E$7,$E$8,$E$9,$E$10,$E$12,$D44,$E$6,CX$18,CX$17)</f>
        <v>1.70117824</v>
      </c>
      <c r="CY44" s="16">
        <f ca="1">_xll.DBRW($D$4,$E$7,$E$8,$E$9,$E$10,$E$12,$D44,$E$6,CY$18,CY$17)</f>
        <v>1.70117824</v>
      </c>
      <c r="CZ44" s="16">
        <f ca="1">_xll.DBRW($D$4,$E$7,$E$8,$E$9,$E$10,$E$12,$D44,$E$6,CZ$18,CZ$17)</f>
        <v>1.70117824</v>
      </c>
      <c r="DA44" s="26">
        <f t="shared" ca="1" si="89"/>
        <v>2.1093399782113775</v>
      </c>
      <c r="DB44" s="26">
        <f t="shared" ca="1" si="90"/>
        <v>0.14384660333333366</v>
      </c>
      <c r="DC44" s="26">
        <f t="shared" ca="1" si="91"/>
        <v>0</v>
      </c>
      <c r="DD44" s="26">
        <f t="shared" ca="1" si="92"/>
        <v>4.8778823333333304E-2</v>
      </c>
      <c r="DE44" s="26">
        <f t="shared" ca="1" si="93"/>
        <v>0</v>
      </c>
      <c r="DF44" s="26">
        <f t="shared" ca="1" si="94"/>
        <v>0</v>
      </c>
      <c r="DG44" s="26">
        <f t="shared" ca="1" si="95"/>
        <v>0</v>
      </c>
      <c r="DH44" s="26">
        <f t="shared" ca="1" si="96"/>
        <v>1.916714551544711</v>
      </c>
      <c r="DI44" s="26">
        <f t="shared" ca="1" si="97"/>
        <v>0.23577102239999626</v>
      </c>
      <c r="DJ44" s="26">
        <f t="shared" ca="1" si="98"/>
        <v>0.65856215102135751</v>
      </c>
      <c r="DK44" s="26">
        <f t="shared" ca="1" si="99"/>
        <v>-7.4594432351870577E-2</v>
      </c>
      <c r="DL44" s="26"/>
      <c r="DM44" s="26"/>
      <c r="DN44" s="26"/>
      <c r="DO44" s="26"/>
      <c r="DP44" s="26">
        <f t="shared" ca="1" si="100"/>
        <v>9.1812015884279896E-2</v>
      </c>
      <c r="DQ44" s="26">
        <f t="shared" ca="1" si="101"/>
        <v>-1.1067438172907798E-2</v>
      </c>
      <c r="DR44" s="26"/>
      <c r="DS44" s="26"/>
      <c r="DT44" s="26"/>
      <c r="DU44" s="26"/>
      <c r="DV44" s="26">
        <f t="shared" ca="1" si="102"/>
        <v>-3.218046912259187E-2</v>
      </c>
      <c r="DW44" s="26">
        <f t="shared" ca="1" si="103"/>
        <v>1.8022768696209293E-3</v>
      </c>
      <c r="DX44" s="26"/>
      <c r="DY44" s="26"/>
      <c r="DZ44" s="26"/>
      <c r="EA44" s="26"/>
      <c r="EB44" s="26">
        <f t="shared" ca="1" si="104"/>
        <v>0.19114112000000016</v>
      </c>
      <c r="EC44" s="26">
        <f t="shared" ca="1" si="105"/>
        <v>-2.1380960918740477E-2</v>
      </c>
      <c r="ED44" s="26"/>
      <c r="EE44" s="26"/>
      <c r="EF44" s="26"/>
      <c r="EG44" s="26"/>
      <c r="EH44" s="26">
        <f t="shared" ca="1" si="106"/>
        <v>0.77160871136166786</v>
      </c>
      <c r="EI44" s="29">
        <f t="shared" ca="1" si="107"/>
        <v>-8.120980616284286E-2</v>
      </c>
      <c r="EJ44" s="29"/>
      <c r="EK44" s="29"/>
      <c r="EL44" s="29"/>
      <c r="EM44" s="29"/>
      <c r="EN44" s="93"/>
      <c r="EO44" s="29"/>
      <c r="EP44" s="29"/>
      <c r="EQ44" s="29"/>
      <c r="ER44" s="29"/>
      <c r="ES44" s="29"/>
      <c r="ET44" s="29"/>
      <c r="EU44" s="93"/>
      <c r="EV44" s="29"/>
      <c r="EW44" s="29"/>
      <c r="EX44" s="29"/>
      <c r="EY44" s="29"/>
      <c r="EZ44" s="29"/>
      <c r="FA44" s="29"/>
      <c r="FB44" s="93"/>
      <c r="FC44" s="29"/>
      <c r="FD44" s="29"/>
      <c r="FE44" s="29"/>
      <c r="FF44" s="29"/>
      <c r="FG44" s="29"/>
      <c r="FH44" s="29"/>
      <c r="FI44" s="93"/>
      <c r="FJ44" s="29"/>
      <c r="FK44" s="29"/>
      <c r="FL44" s="29"/>
      <c r="FM44" s="29"/>
      <c r="FN44" s="29"/>
      <c r="FO44" s="29"/>
      <c r="FP44" s="93"/>
      <c r="FQ44" s="29"/>
      <c r="FR44" s="29"/>
      <c r="FS44" s="29"/>
      <c r="FT44" s="29"/>
      <c r="FU44" s="29"/>
      <c r="FV44" s="29"/>
    </row>
    <row r="45" spans="1:178" x14ac:dyDescent="0.25">
      <c r="A45" t="str">
        <f ca="1">IF(_xll.TM1RPTELISCONSOLIDATED($D$28,$D45),IF(_xll.TM1RPTELLEV($D$28,$D45)&lt;=3,_xll.TM1RPTELLEV($D$28,$D45),"D"),"N")</f>
        <v>N</v>
      </c>
      <c r="B45" t="str">
        <f ca="1">_xll.DBRA(Server&amp;"Management_organization",$D45,$B$27)</f>
        <v>L</v>
      </c>
      <c r="C45">
        <v>1</v>
      </c>
      <c r="D45" s="2" t="s">
        <v>89</v>
      </c>
      <c r="E45" s="26"/>
      <c r="F45" s="26"/>
      <c r="G45" s="16">
        <f ca="1">_xll.DBRW($D$4,$E$7,$E$8,$E$9,$E$10,$E$12,$D45,$E$6,G$18,G$17)</f>
        <v>1.067034500000001</v>
      </c>
      <c r="H45" s="16">
        <f ca="1">_xll.DBRW($D$4,$E$7,$E$8,$E$9,$E$10,$E$12,$D45,$E$6,H$18,H$17)</f>
        <v>-0.46836058999999997</v>
      </c>
      <c r="I45" s="16">
        <f ca="1">_xll.DBRW($D$4,$E$7,$E$8,$E$9,$E$10,$E$12,$D45,$E$6,I$18,I$17)</f>
        <v>0</v>
      </c>
      <c r="J45" s="26">
        <f ca="1">_xll.DBRW($D$4,$E$7,$E$8,$E$9,$E$10,$E$12,$D45,$E$6,J$18,J$17)</f>
        <v>-0.13879370999999999</v>
      </c>
      <c r="K45" s="26">
        <f ca="1">_xll.DBRW($D$4,$E$7,$E$8,$E$9,$E$10,$E$12,$D45,$E$6,K$18,K$17)</f>
        <v>0</v>
      </c>
      <c r="L45" s="26">
        <f ca="1">_xll.DBRW($D$4,$E$7,$E$8,$E$9,$E$10,$E$12,$D45,$E$6,L$18,L$17)</f>
        <v>0</v>
      </c>
      <c r="M45" s="26">
        <f ca="1">_xll.DBRW($D$4,$E$7,$E$8,$E$9,$E$10,$E$12,$D45,$E$6,M$18,M$17)</f>
        <v>0</v>
      </c>
      <c r="N45" s="16">
        <f ca="1">_xll.DBRW($D$4,$E$7,$E$8,$E$9,$E$10,$E$12,$D45,$E$6,N$18,N$17)</f>
        <v>1.6741888000000009</v>
      </c>
      <c r="O45" s="16">
        <f ca="1">_xll.DBRW($D$4,$E$7,$E$8,$E$9,$E$10,$E$12,$D45,$E$6,O$18,O$17)</f>
        <v>9.0014932600000002</v>
      </c>
      <c r="P45" s="74">
        <f ca="1">_xll.DBRW($D$4,$E$7,$E$8,$E$9,$E$10,$E$12,$D45,$E$6,P$18,P$17)</f>
        <v>-3.9453244400000003</v>
      </c>
      <c r="Q45" s="16">
        <f ca="1">_xll.DBRW($D$4,$E$7,$E$8,$E$9,$E$10,$E$12,$D45,$E$6,Q$18,Q$17)</f>
        <v>0.43829666101421932</v>
      </c>
      <c r="R45" s="16"/>
      <c r="S45" s="16"/>
      <c r="T45" s="16"/>
      <c r="U45" s="16"/>
      <c r="V45" s="16">
        <f ca="1">_xll.DBRW($D$4,$E$7,$E$8,$E$9,$E$10,$E$12,$D45,$E$6,V$18,V$17)</f>
        <v>-0.62169394999999983</v>
      </c>
      <c r="W45" s="16">
        <f ca="1">_xll.DBRW($D$4,$E$7,$E$8,$E$9,$E$10,$E$12,$D45,$E$6,W$18,W$17)</f>
        <v>6.906564633699451E-2</v>
      </c>
      <c r="X45" s="16"/>
      <c r="Y45" s="16"/>
      <c r="Z45" s="16"/>
      <c r="AA45" s="16"/>
      <c r="AB45" s="16">
        <f ca="1">_xll.DBRW($D$4,$E$7,$E$8,$E$9,$E$10,$E$12,$D45,$E$6,AB$18,AB$17)</f>
        <v>-0.61791479999999988</v>
      </c>
      <c r="AC45" s="16">
        <f ca="1">_xll.DBRW($D$4,$E$7,$E$8,$E$9,$E$10,$E$12,$D45,$E$6,AC$18,AC$17)</f>
        <v>6.8645810439678073E-2</v>
      </c>
      <c r="AD45" s="16"/>
      <c r="AE45" s="16"/>
      <c r="AF45" s="16"/>
      <c r="AG45" s="16"/>
      <c r="AH45" s="16">
        <f ca="1">_xll.DBRW($D$4,$E$7,$E$8,$E$9,$E$10,$E$12,$D45,$E$6,AH$18,AH$17)</f>
        <v>-0.38721355000000002</v>
      </c>
      <c r="AI45" s="16">
        <f ca="1">_xll.DBRW($D$4,$E$7,$E$8,$E$9,$E$10,$E$12,$D45,$E$6,AI$18,AI$17)</f>
        <v>4.3016590560664376E-2</v>
      </c>
      <c r="AJ45" s="16"/>
      <c r="AK45" s="16"/>
      <c r="AL45" s="16"/>
      <c r="AM45" s="16"/>
      <c r="AN45" s="16">
        <f ca="1">_xll.DBRW($D$4,$E$7,$E$8,$E$9,$E$10,$E$12,$D45,$E$6,AN$18,AN$17)</f>
        <v>-1.7551577199999999</v>
      </c>
      <c r="AO45" s="16">
        <f ca="1">_xll.DBRW($D$4,$E$7,$E$8,$E$9,$E$10,$E$12,$D45,$E$6,AO$18,AO$17)</f>
        <v>0.19498517293785098</v>
      </c>
      <c r="AP45" s="16"/>
      <c r="AQ45" s="16"/>
      <c r="AR45" s="16"/>
      <c r="AS45" s="16"/>
      <c r="AT45" s="16">
        <f ca="1">_xll.DBRW($D$4,$E$7,$E$8,$E$9,$E$10,$E$12,$D45,$E$6,AT$18,AT$17)</f>
        <v>0.12320099999999999</v>
      </c>
      <c r="AU45" s="16">
        <f ca="1">_xll.DBRW($D$4,$E$7,$E$8,$E$9,$E$10,$E$12,$D45,$E$6,AU$18,AU$17)</f>
        <v>1.3830089999999999</v>
      </c>
      <c r="AV45" s="16">
        <f ca="1">_xll.DBRW($D$4,$E$7,$E$8,$E$9,$E$10,$E$12,$D45,$E$6,AV$18,AV$17)</f>
        <v>1.3830089999999999</v>
      </c>
      <c r="AW45" s="16">
        <f ca="1">_xll.DBRW($D$4,$E$7,$E$8,$E$9,$E$10,$E$12,$D45,$E$6,AW$18,AW$17)</f>
        <v>1.3830089999999999</v>
      </c>
      <c r="AX45" s="16">
        <f ca="1">_xll.DBRW($D$4,$E$7,$E$8,$E$9,$E$10,$E$12,$D45,$E$6,AX$18,AX$17)</f>
        <v>0.1639196</v>
      </c>
      <c r="AY45" s="16">
        <f ca="1">_xll.DBRW($D$4,$E$7,$E$8,$E$9,$E$10,$E$12,$D45,$E$6,AY$18,AY$17)</f>
        <v>1.3830089999999999</v>
      </c>
      <c r="AZ45" s="16">
        <f ca="1">_xll.DBRW($D$4,$E$7,$E$8,$E$9,$E$10,$E$12,$D45,$E$6,AZ$18,AZ$17)</f>
        <v>1.1981749999999998</v>
      </c>
      <c r="BA45" s="16">
        <f ca="1">_xll.DBRW($D$4,$E$7,$E$8,$E$9,$E$10,$E$12,$D45,$E$6,BA$18,BA$17)</f>
        <v>1.3830089999999999</v>
      </c>
      <c r="BB45" s="16">
        <f ca="1">_xll.DBRW($D$4,$E$7,$E$8,$E$9,$E$10,$E$12,$D45,$E$6,BB$18,BB$17)</f>
        <v>1.3830089999999999</v>
      </c>
      <c r="BC45" s="16">
        <f ca="1">_xll.DBRW($D$4,$E$7,$E$8,$E$9,$E$10,$E$12,$D45,$E$6,BC$18,BC$17)</f>
        <v>1.3830089999999999</v>
      </c>
      <c r="BD45" s="16">
        <f ca="1">_xll.DBRW($D$4,$E$7,$E$8,$E$9,$E$10,$E$12,$D45,$E$6,BD$18,BD$17)</f>
        <v>0.32988105072922314</v>
      </c>
      <c r="BE45" s="16">
        <f ca="1">_xll.DBRW($D$4,$E$7,$E$8,$E$9,$E$10,$E$12,$D45,$E$6,BE$18,BE$17)</f>
        <v>-0.63363981060606001</v>
      </c>
      <c r="BF45" s="16">
        <f ca="1">_xll.DBRW($D$4,$E$7,$E$8,$E$9,$E$10,$E$12,$D45,$E$6,BF$18,BF$17)</f>
        <v>0</v>
      </c>
      <c r="BG45" s="26">
        <f ca="1">_xll.DBRW($D$4,$E$7,$E$8,$E$9,$E$10,$E$12,$D45,$E$6,BG$18,BG$17)</f>
        <v>-0.16345399999999999</v>
      </c>
      <c r="BH45" s="26">
        <f ca="1">_xll.DBRW($D$4,$E$7,$E$8,$E$9,$E$10,$E$12,$D45,$E$6,BH$18,BH$17)</f>
        <v>0</v>
      </c>
      <c r="BI45" s="26">
        <f ca="1">_xll.DBRW($D$4,$E$7,$E$8,$E$9,$E$10,$E$12,$D45,$E$6,BI$18,BI$17)</f>
        <v>0</v>
      </c>
      <c r="BJ45" s="26">
        <f ca="1">_xll.DBRW($D$4,$E$7,$E$8,$E$9,$E$10,$E$12,$D45,$E$6,BJ$18,BJ$17)</f>
        <v>0</v>
      </c>
      <c r="BK45" s="16">
        <f ca="1">_xll.DBRW($D$4,$E$7,$E$8,$E$9,$E$10,$E$12,$D45,$E$6,BK$18,BK$17)</f>
        <v>1.1269748613352832</v>
      </c>
      <c r="BL45" s="16">
        <f ca="1">_xll.DBRW($D$4,$E$7,$E$8,$E$9,$E$10,$E$12,$D45,$E$6,BL$18,BL$17)</f>
        <v>9.4122630763888857</v>
      </c>
      <c r="BM45" s="16">
        <f ca="1">_xll.DBRW($D$4,$E$7,$E$8,$E$9,$E$10,$E$12,$D45,$E$6,BM$18,BM$17)</f>
        <v>-4.3607148333333363</v>
      </c>
      <c r="BN45" s="16">
        <f ca="1">_xll.DBRW($D$4,$E$7,$E$8,$E$9,$E$10,$E$12,$D45,$E$6,BN$18,BN$17)</f>
        <v>0.46330141836689614</v>
      </c>
      <c r="BO45" s="16"/>
      <c r="BP45" s="16"/>
      <c r="BQ45" s="16"/>
      <c r="BR45" s="16"/>
      <c r="BS45" s="16">
        <f ca="1">_xll.DBRW($D$4,$E$7,$E$8,$E$9,$E$10,$E$12,$D45,$E$6,BS$18,BS$17)</f>
        <v>-0.69694164466666675</v>
      </c>
      <c r="BT45" s="16">
        <f ca="1">_xll.DBRW($D$4,$E$7,$E$8,$E$9,$E$10,$E$12,$D45,$E$6,BT$18,BT$17)</f>
        <v>7.4046128865116231E-2</v>
      </c>
      <c r="BU45" s="16"/>
      <c r="BV45" s="16"/>
      <c r="BW45" s="16"/>
      <c r="BX45" s="16"/>
      <c r="BY45" s="16">
        <f ca="1">_xll.DBRW($D$4,$E$7,$E$8,$E$9,$E$10,$E$12,$D45,$E$6,BY$18,BY$17)</f>
        <v>-0.59358187705359988</v>
      </c>
      <c r="BZ45" s="16">
        <f ca="1">_xll.DBRW($D$4,$E$7,$E$8,$E$9,$E$10,$E$12,$D45,$E$6,BZ$18,BZ$17)</f>
        <v>6.3064735041525613E-2</v>
      </c>
      <c r="CA45" s="16"/>
      <c r="CB45" s="16"/>
      <c r="CC45" s="16"/>
      <c r="CD45" s="16"/>
      <c r="CE45" s="16">
        <f ca="1">_xll.DBRW($D$4,$E$7,$E$8,$E$9,$E$10,$E$12,$D45,$E$6,CE$18,CE$17)</f>
        <v>-0.63945059999999998</v>
      </c>
      <c r="CF45" s="16">
        <f ca="1">_xll.DBRW($D$4,$E$7,$E$8,$E$9,$E$10,$E$12,$D45,$E$6,CF$18,CF$17)</f>
        <v>6.7938028804580761E-2</v>
      </c>
      <c r="CG45" s="16"/>
      <c r="CH45" s="16"/>
      <c r="CI45" s="16"/>
      <c r="CJ45" s="16"/>
      <c r="CK45" s="16">
        <f ca="1">_xll.DBRW($D$4,$E$7,$E$8,$E$9,$E$10,$E$12,$D45,$E$6,CK$18,CK$17)</f>
        <v>-1.99459926</v>
      </c>
      <c r="CL45" s="16">
        <f ca="1">_xll.DBRW($D$4,$E$7,$E$8,$E$9,$E$10,$E$12,$D45,$E$6,CL$18,CL$17)</f>
        <v>0.21191495008289218</v>
      </c>
      <c r="CM45" s="16"/>
      <c r="CN45" s="16"/>
      <c r="CO45" s="16"/>
      <c r="CP45" s="16"/>
      <c r="CQ45" s="16">
        <f ca="1">_xll.DBRW($D$4,$E$7,$E$8,$E$9,$E$10,$E$12,$D45,$E$6,CQ$18,CQ$17)</f>
        <v>0.15037492999999991</v>
      </c>
      <c r="CR45" s="16">
        <f ca="1">_xll.DBRW($D$4,$E$7,$E$8,$E$9,$E$10,$E$12,$D45,$E$6,CR$18,CR$17)</f>
        <v>1.573723</v>
      </c>
      <c r="CS45" s="16">
        <f ca="1">_xll.DBRW($D$4,$E$7,$E$8,$E$9,$E$10,$E$12,$D45,$E$6,CS$18,CS$17)</f>
        <v>1.573723</v>
      </c>
      <c r="CT45" s="16">
        <f ca="1">_xll.DBRW($D$4,$E$7,$E$8,$E$9,$E$10,$E$12,$D45,$E$6,CT$18,CT$17)</f>
        <v>1.573723</v>
      </c>
      <c r="CU45" s="16">
        <f ca="1">_xll.DBRW($D$4,$E$7,$E$8,$E$9,$E$10,$E$12,$D45,$E$6,CU$18,CU$17)</f>
        <v>0.71447024200000009</v>
      </c>
      <c r="CV45" s="16">
        <f ca="1">_xll.DBRW($D$4,$E$7,$E$8,$E$9,$E$10,$E$12,$D45,$E$6,CV$18,CV$17)</f>
        <v>1.573723</v>
      </c>
      <c r="CW45" s="16">
        <f ca="1">_xll.DBRW($D$4,$E$7,$E$8,$E$9,$E$10,$E$12,$D45,$E$6,CW$18,CW$17)</f>
        <v>1.3617569999999999</v>
      </c>
      <c r="CX45" s="16">
        <f ca="1">_xll.DBRW($D$4,$E$7,$E$8,$E$9,$E$10,$E$12,$D45,$E$6,CX$18,CX$17)</f>
        <v>1.573723</v>
      </c>
      <c r="CY45" s="16">
        <f ca="1">_xll.DBRW($D$4,$E$7,$E$8,$E$9,$E$10,$E$12,$D45,$E$6,CY$18,CY$17)</f>
        <v>1.573723</v>
      </c>
      <c r="CZ45" s="16">
        <f ca="1">_xll.DBRW($D$4,$E$7,$E$8,$E$9,$E$10,$E$12,$D45,$E$6,CZ$18,CZ$17)</f>
        <v>1.573723</v>
      </c>
      <c r="DA45" s="26">
        <f t="shared" ca="1" si="89"/>
        <v>0.73715344927077786</v>
      </c>
      <c r="DB45" s="26">
        <f t="shared" ca="1" si="90"/>
        <v>0.16527922060606004</v>
      </c>
      <c r="DC45" s="26">
        <f t="shared" ca="1" si="91"/>
        <v>0</v>
      </c>
      <c r="DD45" s="26">
        <f t="shared" ca="1" si="92"/>
        <v>2.4660290000000001E-2</v>
      </c>
      <c r="DE45" s="26">
        <f t="shared" ca="1" si="93"/>
        <v>0</v>
      </c>
      <c r="DF45" s="26">
        <f t="shared" ca="1" si="94"/>
        <v>0</v>
      </c>
      <c r="DG45" s="26">
        <f t="shared" ca="1" si="95"/>
        <v>0</v>
      </c>
      <c r="DH45" s="26">
        <f t="shared" ca="1" si="96"/>
        <v>0.54721393866471768</v>
      </c>
      <c r="DI45" s="26">
        <f t="shared" ca="1" si="97"/>
        <v>-0.41076981638888554</v>
      </c>
      <c r="DJ45" s="26">
        <f t="shared" ca="1" si="98"/>
        <v>0.41539039333333605</v>
      </c>
      <c r="DK45" s="26">
        <f t="shared" ca="1" si="99"/>
        <v>-2.5004757352676821E-2</v>
      </c>
      <c r="DL45" s="26"/>
      <c r="DM45" s="26"/>
      <c r="DN45" s="26"/>
      <c r="DO45" s="26"/>
      <c r="DP45" s="26">
        <f t="shared" ca="1" si="100"/>
        <v>7.524769466666692E-2</v>
      </c>
      <c r="DQ45" s="26">
        <f t="shared" ca="1" si="101"/>
        <v>-4.9804825281217213E-3</v>
      </c>
      <c r="DR45" s="26"/>
      <c r="DS45" s="26"/>
      <c r="DT45" s="26"/>
      <c r="DU45" s="26"/>
      <c r="DV45" s="26">
        <f t="shared" ca="1" si="102"/>
        <v>-2.4332922946399993E-2</v>
      </c>
      <c r="DW45" s="26">
        <f t="shared" ca="1" si="103"/>
        <v>5.5810753981524602E-3</v>
      </c>
      <c r="DX45" s="26"/>
      <c r="DY45" s="26"/>
      <c r="DZ45" s="26"/>
      <c r="EA45" s="26"/>
      <c r="EB45" s="26">
        <f t="shared" ca="1" si="104"/>
        <v>0.25223704999999996</v>
      </c>
      <c r="EC45" s="26">
        <f t="shared" ca="1" si="105"/>
        <v>-2.4921438243916384E-2</v>
      </c>
      <c r="ED45" s="26"/>
      <c r="EE45" s="26"/>
      <c r="EF45" s="26"/>
      <c r="EG45" s="26"/>
      <c r="EH45" s="26">
        <f t="shared" ca="1" si="106"/>
        <v>0.23944154000000006</v>
      </c>
      <c r="EI45" s="29">
        <f t="shared" ca="1" si="107"/>
        <v>-1.6929777145041208E-2</v>
      </c>
      <c r="EJ45" s="29"/>
      <c r="EK45" s="29"/>
      <c r="EL45" s="29"/>
      <c r="EM45" s="29"/>
      <c r="EN45" s="93"/>
      <c r="EO45" s="29"/>
      <c r="EP45" s="29"/>
      <c r="EQ45" s="29"/>
      <c r="ER45" s="29"/>
      <c r="ES45" s="29"/>
      <c r="ET45" s="29"/>
      <c r="EU45" s="93"/>
      <c r="EV45" s="29"/>
      <c r="EW45" s="29"/>
      <c r="EX45" s="29"/>
      <c r="EY45" s="29"/>
      <c r="EZ45" s="29"/>
      <c r="FA45" s="29"/>
      <c r="FB45" s="93"/>
      <c r="FC45" s="29"/>
      <c r="FD45" s="29"/>
      <c r="FE45" s="29"/>
      <c r="FF45" s="29"/>
      <c r="FG45" s="29"/>
      <c r="FH45" s="29"/>
      <c r="FI45" s="93"/>
      <c r="FJ45" s="29"/>
      <c r="FK45" s="29"/>
      <c r="FL45" s="29"/>
      <c r="FM45" s="29"/>
      <c r="FN45" s="29"/>
      <c r="FO45" s="29"/>
      <c r="FP45" s="93"/>
      <c r="FQ45" s="29"/>
      <c r="FR45" s="29"/>
      <c r="FS45" s="29"/>
      <c r="FT45" s="29"/>
      <c r="FU45" s="29"/>
      <c r="FV45" s="29"/>
    </row>
    <row r="46" spans="1:178" x14ac:dyDescent="0.25">
      <c r="A46" t="str">
        <f ca="1">IF(_xll.TM1RPTELISCONSOLIDATED($D$28,$D46),IF(_xll.TM1RPTELLEV($D$28,$D46)&lt;=3,_xll.TM1RPTELLEV($D$28,$D46),"D"),"N")</f>
        <v>N</v>
      </c>
      <c r="B46" t="str">
        <f ca="1">_xll.DBRA(Server&amp;"Management_organization",$D46,$B$27)</f>
        <v>L</v>
      </c>
      <c r="C46">
        <v>1</v>
      </c>
      <c r="D46" s="2" t="s">
        <v>90</v>
      </c>
      <c r="E46" s="26"/>
      <c r="F46" s="26"/>
      <c r="G46" s="16">
        <f ca="1">_xll.DBRW($D$4,$E$7,$E$8,$E$9,$E$10,$E$12,$D46,$E$6,G$18,G$17)</f>
        <v>1.5353140400000005</v>
      </c>
      <c r="H46" s="16">
        <f ca="1">_xll.DBRW($D$4,$E$7,$E$8,$E$9,$E$10,$E$12,$D46,$E$6,H$18,H$17)</f>
        <v>-0.80912669999999998</v>
      </c>
      <c r="I46" s="16">
        <f ca="1">_xll.DBRW($D$4,$E$7,$E$8,$E$9,$E$10,$E$12,$D46,$E$6,I$18,I$17)</f>
        <v>0</v>
      </c>
      <c r="J46" s="26">
        <f ca="1">_xll.DBRW($D$4,$E$7,$E$8,$E$9,$E$10,$E$12,$D46,$E$6,J$18,J$17)</f>
        <v>-0.15727569</v>
      </c>
      <c r="K46" s="26">
        <f ca="1">_xll.DBRW($D$4,$E$7,$E$8,$E$9,$E$10,$E$12,$D46,$E$6,K$18,K$17)</f>
        <v>0</v>
      </c>
      <c r="L46" s="26">
        <f ca="1">_xll.DBRW($D$4,$E$7,$E$8,$E$9,$E$10,$E$12,$D46,$E$6,L$18,L$17)</f>
        <v>0</v>
      </c>
      <c r="M46" s="26">
        <f ca="1">_xll.DBRW($D$4,$E$7,$E$8,$E$9,$E$10,$E$12,$D46,$E$6,M$18,M$17)</f>
        <v>0</v>
      </c>
      <c r="N46" s="16">
        <f ca="1">_xll.DBRW($D$4,$E$7,$E$8,$E$9,$E$10,$E$12,$D46,$E$6,N$18,N$17)</f>
        <v>2.5017164300000005</v>
      </c>
      <c r="O46" s="16">
        <f ca="1">_xll.DBRW($D$4,$E$7,$E$8,$E$9,$E$10,$E$12,$D46,$E$6,O$18,O$17)</f>
        <v>14.609029060000001</v>
      </c>
      <c r="P46" s="74">
        <f ca="1">_xll.DBRW($D$4,$E$7,$E$8,$E$9,$E$10,$E$12,$D46,$E$6,P$18,P$17)</f>
        <v>-6.2824830499999997</v>
      </c>
      <c r="Q46" s="16">
        <f ca="1">_xll.DBRW($D$4,$E$7,$E$8,$E$9,$E$10,$E$12,$D46,$E$6,Q$18,Q$17)</f>
        <v>0.43004110842668136</v>
      </c>
      <c r="R46" s="16"/>
      <c r="S46" s="16"/>
      <c r="T46" s="16"/>
      <c r="U46" s="16"/>
      <c r="V46" s="16">
        <f ca="1">_xll.DBRW($D$4,$E$7,$E$8,$E$9,$E$10,$E$12,$D46,$E$6,V$18,V$17)</f>
        <v>-1.35149192</v>
      </c>
      <c r="W46" s="16">
        <f ca="1">_xll.DBRW($D$4,$E$7,$E$8,$E$9,$E$10,$E$12,$D46,$E$6,W$18,W$17)</f>
        <v>9.2510728430298561E-2</v>
      </c>
      <c r="X46" s="16"/>
      <c r="Y46" s="16"/>
      <c r="Z46" s="16"/>
      <c r="AA46" s="16"/>
      <c r="AB46" s="16">
        <f ca="1">_xll.DBRW($D$4,$E$7,$E$8,$E$9,$E$10,$E$12,$D46,$E$6,AB$18,AB$17)</f>
        <v>-1.2033894199999999</v>
      </c>
      <c r="AC46" s="16">
        <f ca="1">_xll.DBRW($D$4,$E$7,$E$8,$E$9,$E$10,$E$12,$D46,$E$6,AC$18,AC$17)</f>
        <v>8.2372991049413369E-2</v>
      </c>
      <c r="AD46" s="16"/>
      <c r="AE46" s="16"/>
      <c r="AF46" s="16"/>
      <c r="AG46" s="16"/>
      <c r="AH46" s="16">
        <f ca="1">_xll.DBRW($D$4,$E$7,$E$8,$E$9,$E$10,$E$12,$D46,$E$6,AH$18,AH$17)</f>
        <v>-0.83124721999999995</v>
      </c>
      <c r="AI46" s="16">
        <f ca="1">_xll.DBRW($D$4,$E$7,$E$8,$E$9,$E$10,$E$12,$D46,$E$6,AI$18,AI$17)</f>
        <v>5.6899552775617514E-2</v>
      </c>
      <c r="AJ46" s="16"/>
      <c r="AK46" s="16"/>
      <c r="AL46" s="16"/>
      <c r="AM46" s="16"/>
      <c r="AN46" s="16">
        <f ca="1">_xll.DBRW($D$4,$E$7,$E$8,$E$9,$E$10,$E$12,$D46,$E$6,AN$18,AN$17)</f>
        <v>-2.4387010199999999</v>
      </c>
      <c r="AO46" s="16">
        <f ca="1">_xll.DBRW($D$4,$E$7,$E$8,$E$9,$E$10,$E$12,$D46,$E$6,AO$18,AO$17)</f>
        <v>0.1669310814554571</v>
      </c>
      <c r="AP46" s="16"/>
      <c r="AQ46" s="16"/>
      <c r="AR46" s="16"/>
      <c r="AS46" s="16"/>
      <c r="AT46" s="16">
        <f ca="1">_xll.DBRW($D$4,$E$7,$E$8,$E$9,$E$10,$E$12,$D46,$E$6,AT$18,AT$17)</f>
        <v>0.20254300999999997</v>
      </c>
      <c r="AU46" s="16">
        <f ca="1">_xll.DBRW($D$4,$E$7,$E$8,$E$9,$E$10,$E$12,$D46,$E$6,AU$18,AU$17)</f>
        <v>3.5156919999999996</v>
      </c>
      <c r="AV46" s="16">
        <f ca="1">_xll.DBRW($D$4,$E$7,$E$8,$E$9,$E$10,$E$12,$D46,$E$6,AV$18,AV$17)</f>
        <v>3.5156919999999996</v>
      </c>
      <c r="AW46" s="16">
        <f ca="1">_xll.DBRW($D$4,$E$7,$E$8,$E$9,$E$10,$E$12,$D46,$E$6,AW$18,AW$17)</f>
        <v>3.5156919999999996</v>
      </c>
      <c r="AX46" s="16">
        <f ca="1">_xll.DBRW($D$4,$E$7,$E$8,$E$9,$E$10,$E$12,$D46,$E$6,AX$18,AX$17)</f>
        <v>1.33468553</v>
      </c>
      <c r="AY46" s="16">
        <f ca="1">_xll.DBRW($D$4,$E$7,$E$8,$E$9,$E$10,$E$12,$D46,$E$6,AY$18,AY$17)</f>
        <v>3.5156919999999996</v>
      </c>
      <c r="AZ46" s="16">
        <f ca="1">_xll.DBRW($D$4,$E$7,$E$8,$E$9,$E$10,$E$12,$D46,$E$6,AZ$18,AZ$17)</f>
        <v>3.0439411899999995</v>
      </c>
      <c r="BA46" s="16">
        <f ca="1">_xll.DBRW($D$4,$E$7,$E$8,$E$9,$E$10,$E$12,$D46,$E$6,BA$18,BA$17)</f>
        <v>3.5156919999999996</v>
      </c>
      <c r="BB46" s="16">
        <f ca="1">_xll.DBRW($D$4,$E$7,$E$8,$E$9,$E$10,$E$12,$D46,$E$6,BB$18,BB$17)</f>
        <v>3.5156919999999996</v>
      </c>
      <c r="BC46" s="16">
        <f ca="1">_xll.DBRW($D$4,$E$7,$E$8,$E$9,$E$10,$E$12,$D46,$E$6,BC$18,BC$17)</f>
        <v>3.5156919999999996</v>
      </c>
      <c r="BD46" s="16">
        <f ca="1">_xll.DBRW($D$4,$E$7,$E$8,$E$9,$E$10,$E$12,$D46,$E$6,BD$18,BD$17)</f>
        <v>1.3289431125707347</v>
      </c>
      <c r="BE46" s="16">
        <f ca="1">_xll.DBRW($D$4,$E$7,$E$8,$E$9,$E$10,$E$12,$D46,$E$6,BE$18,BE$17)</f>
        <v>-1.2075915166666675</v>
      </c>
      <c r="BF46" s="16">
        <f ca="1">_xll.DBRW($D$4,$E$7,$E$8,$E$9,$E$10,$E$12,$D46,$E$6,BF$18,BF$17)</f>
        <v>0</v>
      </c>
      <c r="BG46" s="26">
        <f ca="1">_xll.DBRW($D$4,$E$7,$E$8,$E$9,$E$10,$E$12,$D46,$E$6,BG$18,BG$17)</f>
        <v>-0.23374888166666702</v>
      </c>
      <c r="BH46" s="26">
        <f ca="1">_xll.DBRW($D$4,$E$7,$E$8,$E$9,$E$10,$E$12,$D46,$E$6,BH$18,BH$17)</f>
        <v>0</v>
      </c>
      <c r="BI46" s="26">
        <f ca="1">_xll.DBRW($D$4,$E$7,$E$8,$E$9,$E$10,$E$12,$D46,$E$6,BI$18,BI$17)</f>
        <v>0</v>
      </c>
      <c r="BJ46" s="26">
        <f ca="1">_xll.DBRW($D$4,$E$7,$E$8,$E$9,$E$10,$E$12,$D46,$E$6,BJ$18,BJ$17)</f>
        <v>0</v>
      </c>
      <c r="BK46" s="16">
        <f ca="1">_xll.DBRW($D$4,$E$7,$E$8,$E$9,$E$10,$E$12,$D46,$E$6,BK$18,BK$17)</f>
        <v>2.7702835109040693</v>
      </c>
      <c r="BL46" s="16">
        <f ca="1">_xll.DBRW($D$4,$E$7,$E$8,$E$9,$E$10,$E$12,$D46,$E$6,BL$18,BL$17)</f>
        <v>16.327630139999997</v>
      </c>
      <c r="BM46" s="16">
        <f ca="1">_xll.DBRW($D$4,$E$7,$E$8,$E$9,$E$10,$E$12,$D46,$E$6,BM$18,BM$17)</f>
        <v>-6.9353786050000004</v>
      </c>
      <c r="BN46" s="16">
        <f ca="1">_xll.DBRW($D$4,$E$7,$E$8,$E$9,$E$10,$E$12,$D46,$E$6,BN$18,BN$17)</f>
        <v>0.42476333341294081</v>
      </c>
      <c r="BO46" s="16"/>
      <c r="BP46" s="16"/>
      <c r="BQ46" s="16"/>
      <c r="BR46" s="16"/>
      <c r="BS46" s="16">
        <f ca="1">_xll.DBRW($D$4,$E$7,$E$8,$E$9,$E$10,$E$12,$D46,$E$6,BS$18,BS$17)</f>
        <v>-1.4539198819364003</v>
      </c>
      <c r="BT46" s="16">
        <f ca="1">_xll.DBRW($D$4,$E$7,$E$8,$E$9,$E$10,$E$12,$D46,$E$6,BT$18,BT$17)</f>
        <v>8.9046595829883279E-2</v>
      </c>
      <c r="BU46" s="16"/>
      <c r="BV46" s="16"/>
      <c r="BW46" s="16"/>
      <c r="BX46" s="16"/>
      <c r="BY46" s="16">
        <f ca="1">_xll.DBRW($D$4,$E$7,$E$8,$E$9,$E$10,$E$12,$D46,$E$6,BY$18,BY$17)</f>
        <v>-1.229843867256136</v>
      </c>
      <c r="BZ46" s="16">
        <f ca="1">_xll.DBRW($D$4,$E$7,$E$8,$E$9,$E$10,$E$12,$D46,$E$6,BZ$18,BZ$17)</f>
        <v>7.5322864170178722E-2</v>
      </c>
      <c r="CA46" s="16"/>
      <c r="CB46" s="16"/>
      <c r="CC46" s="16"/>
      <c r="CD46" s="16"/>
      <c r="CE46" s="16">
        <f ca="1">_xll.DBRW($D$4,$E$7,$E$8,$E$9,$E$10,$E$12,$D46,$E$6,CE$18,CE$17)</f>
        <v>-0.99090628000000014</v>
      </c>
      <c r="CF46" s="16">
        <f ca="1">_xll.DBRW($D$4,$E$7,$E$8,$E$9,$E$10,$E$12,$D46,$E$6,CF$18,CF$17)</f>
        <v>6.0688922489274391E-2</v>
      </c>
      <c r="CG46" s="16"/>
      <c r="CH46" s="16"/>
      <c r="CI46" s="16"/>
      <c r="CJ46" s="16"/>
      <c r="CK46" s="16">
        <f ca="1">_xll.DBRW($D$4,$E$7,$E$8,$E$9,$E$10,$E$12,$D46,$E$6,CK$18,CK$17)</f>
        <v>-2.9472979949033897</v>
      </c>
      <c r="CL46" s="16">
        <f ca="1">_xll.DBRW($D$4,$E$7,$E$8,$E$9,$E$10,$E$12,$D46,$E$6,CL$18,CL$17)</f>
        <v>0.18050984555823546</v>
      </c>
      <c r="CM46" s="16"/>
      <c r="CN46" s="16"/>
      <c r="CO46" s="16"/>
      <c r="CP46" s="16"/>
      <c r="CQ46" s="16">
        <f ca="1">_xll.DBRW($D$4,$E$7,$E$8,$E$9,$E$10,$E$12,$D46,$E$6,CQ$18,CQ$17)</f>
        <v>0.21706099999999998</v>
      </c>
      <c r="CR46" s="16">
        <f ca="1">_xll.DBRW($D$4,$E$7,$E$8,$E$9,$E$10,$E$12,$D46,$E$6,CR$18,CR$17)</f>
        <v>3.9507279999999998</v>
      </c>
      <c r="CS46" s="16">
        <f ca="1">_xll.DBRW($D$4,$E$7,$E$8,$E$9,$E$10,$E$12,$D46,$E$6,CS$18,CS$17)</f>
        <v>3.9507279999999998</v>
      </c>
      <c r="CT46" s="16">
        <f ca="1">_xll.DBRW($D$4,$E$7,$E$8,$E$9,$E$10,$E$12,$D46,$E$6,CT$18,CT$17)</f>
        <v>3.9507279999999998</v>
      </c>
      <c r="CU46" s="16">
        <f ca="1">_xll.DBRW($D$4,$E$7,$E$8,$E$9,$E$10,$E$12,$D46,$E$6,CU$18,CU$17)</f>
        <v>1.4803127915938104</v>
      </c>
      <c r="CV46" s="16">
        <f ca="1">_xll.DBRW($D$4,$E$7,$E$8,$E$9,$E$10,$E$12,$D46,$E$6,CV$18,CV$17)</f>
        <v>3.9507279999999998</v>
      </c>
      <c r="CW46" s="16">
        <f ca="1">_xll.DBRW($D$4,$E$7,$E$8,$E$9,$E$10,$E$12,$D46,$E$6,CW$18,CW$17)</f>
        <v>3.3355000000000006</v>
      </c>
      <c r="CX46" s="16">
        <f ca="1">_xll.DBRW($D$4,$E$7,$E$8,$E$9,$E$10,$E$12,$D46,$E$6,CX$18,CX$17)</f>
        <v>3.9507279999999998</v>
      </c>
      <c r="CY46" s="16">
        <f ca="1">_xll.DBRW($D$4,$E$7,$E$8,$E$9,$E$10,$E$12,$D46,$E$6,CY$18,CY$17)</f>
        <v>3.9507279999999998</v>
      </c>
      <c r="CZ46" s="16">
        <f ca="1">_xll.DBRW($D$4,$E$7,$E$8,$E$9,$E$10,$E$12,$D46,$E$6,CZ$18,CZ$17)</f>
        <v>3.9507279999999998</v>
      </c>
      <c r="DA46" s="26">
        <f t="shared" ca="1" si="89"/>
        <v>0.20637092742926577</v>
      </c>
      <c r="DB46" s="26">
        <f t="shared" ca="1" si="90"/>
        <v>0.39846481666666755</v>
      </c>
      <c r="DC46" s="26">
        <f t="shared" ca="1" si="91"/>
        <v>0</v>
      </c>
      <c r="DD46" s="26">
        <f t="shared" ca="1" si="92"/>
        <v>7.6473191666667023E-2</v>
      </c>
      <c r="DE46" s="26">
        <f t="shared" ca="1" si="93"/>
        <v>0</v>
      </c>
      <c r="DF46" s="26">
        <f t="shared" ca="1" si="94"/>
        <v>0</v>
      </c>
      <c r="DG46" s="26">
        <f t="shared" ca="1" si="95"/>
        <v>0</v>
      </c>
      <c r="DH46" s="26">
        <f t="shared" ca="1" si="96"/>
        <v>-0.26856708090406878</v>
      </c>
      <c r="DI46" s="26">
        <f t="shared" ca="1" si="97"/>
        <v>-1.7186010799999956</v>
      </c>
      <c r="DJ46" s="26">
        <f t="shared" ca="1" si="98"/>
        <v>0.65289555500000063</v>
      </c>
      <c r="DK46" s="26">
        <f t="shared" ca="1" si="99"/>
        <v>5.2777750137405488E-3</v>
      </c>
      <c r="DL46" s="26"/>
      <c r="DM46" s="26"/>
      <c r="DN46" s="26"/>
      <c r="DO46" s="26"/>
      <c r="DP46" s="26">
        <f t="shared" ca="1" si="100"/>
        <v>0.10242796193640036</v>
      </c>
      <c r="DQ46" s="26">
        <f t="shared" ca="1" si="101"/>
        <v>3.4641326004152817E-3</v>
      </c>
      <c r="DR46" s="26"/>
      <c r="DS46" s="26"/>
      <c r="DT46" s="26"/>
      <c r="DU46" s="26"/>
      <c r="DV46" s="26">
        <f t="shared" ca="1" si="102"/>
        <v>2.6454447256136104E-2</v>
      </c>
      <c r="DW46" s="26">
        <f t="shared" ca="1" si="103"/>
        <v>7.0501268792346472E-3</v>
      </c>
      <c r="DX46" s="26"/>
      <c r="DY46" s="26"/>
      <c r="DZ46" s="26"/>
      <c r="EA46" s="26"/>
      <c r="EB46" s="26">
        <f t="shared" ca="1" si="104"/>
        <v>0.15965906000000019</v>
      </c>
      <c r="EC46" s="26">
        <f t="shared" ca="1" si="105"/>
        <v>-3.7893697136568774E-3</v>
      </c>
      <c r="ED46" s="26"/>
      <c r="EE46" s="26"/>
      <c r="EF46" s="26"/>
      <c r="EG46" s="26"/>
      <c r="EH46" s="26">
        <f t="shared" ca="1" si="106"/>
        <v>0.50859697490338984</v>
      </c>
      <c r="EI46" s="29">
        <f t="shared" ca="1" si="107"/>
        <v>-1.3578764102778362E-2</v>
      </c>
      <c r="EJ46" s="29"/>
      <c r="EK46" s="29"/>
      <c r="EL46" s="29"/>
      <c r="EM46" s="29"/>
      <c r="EN46" s="93"/>
      <c r="EO46" s="29"/>
      <c r="EP46" s="29"/>
      <c r="EQ46" s="29"/>
      <c r="ER46" s="29"/>
      <c r="ES46" s="29"/>
      <c r="ET46" s="29"/>
      <c r="EU46" s="93"/>
      <c r="EV46" s="29"/>
      <c r="EW46" s="29"/>
      <c r="EX46" s="29"/>
      <c r="EY46" s="29"/>
      <c r="EZ46" s="29"/>
      <c r="FA46" s="29"/>
      <c r="FB46" s="93"/>
      <c r="FC46" s="29"/>
      <c r="FD46" s="29"/>
      <c r="FE46" s="29"/>
      <c r="FF46" s="29"/>
      <c r="FG46" s="29"/>
      <c r="FH46" s="29"/>
      <c r="FI46" s="93"/>
      <c r="FJ46" s="29"/>
      <c r="FK46" s="29"/>
      <c r="FL46" s="29"/>
      <c r="FM46" s="29"/>
      <c r="FN46" s="29"/>
      <c r="FO46" s="29"/>
      <c r="FP46" s="93"/>
      <c r="FQ46" s="29"/>
      <c r="FR46" s="29"/>
      <c r="FS46" s="29"/>
      <c r="FT46" s="29"/>
      <c r="FU46" s="29"/>
      <c r="FV46" s="29"/>
    </row>
    <row r="47" spans="1:178" x14ac:dyDescent="0.25">
      <c r="A47" t="str">
        <f ca="1">IF(_xll.TM1RPTELISCONSOLIDATED($D$28,$D47),IF(_xll.TM1RPTELLEV($D$28,$D47)&lt;=3,_xll.TM1RPTELLEV($D$28,$D47),"D"),"N")</f>
        <v>N</v>
      </c>
      <c r="B47" t="str">
        <f ca="1">_xll.DBRA(Server&amp;"Management_organization",$D47,$B$27)</f>
        <v>L</v>
      </c>
      <c r="C47">
        <v>1</v>
      </c>
      <c r="D47" s="2" t="s">
        <v>91</v>
      </c>
      <c r="E47" s="26"/>
      <c r="F47" s="26"/>
      <c r="G47" s="16">
        <f ca="1">_xll.DBRW($D$4,$E$7,$E$8,$E$9,$E$10,$E$12,$D47,$E$6,G$18,G$17)</f>
        <v>-0.33377253000000051</v>
      </c>
      <c r="H47" s="16">
        <f ca="1">_xll.DBRW($D$4,$E$7,$E$8,$E$9,$E$10,$E$12,$D47,$E$6,H$18,H$17)</f>
        <v>-1.4268663400000001</v>
      </c>
      <c r="I47" s="16">
        <f ca="1">_xll.DBRW($D$4,$E$7,$E$8,$E$9,$E$10,$E$12,$D47,$E$6,I$18,I$17)</f>
        <v>0</v>
      </c>
      <c r="J47" s="26">
        <f ca="1">_xll.DBRW($D$4,$E$7,$E$8,$E$9,$E$10,$E$12,$D47,$E$6,J$18,J$17)</f>
        <v>-0.13825377999999997</v>
      </c>
      <c r="K47" s="26">
        <f ca="1">_xll.DBRW($D$4,$E$7,$E$8,$E$9,$E$10,$E$12,$D47,$E$6,K$18,K$17)</f>
        <v>0</v>
      </c>
      <c r="L47" s="26">
        <f ca="1">_xll.DBRW($D$4,$E$7,$E$8,$E$9,$E$10,$E$12,$D47,$E$6,L$18,L$17)</f>
        <v>0</v>
      </c>
      <c r="M47" s="26">
        <f ca="1">_xll.DBRW($D$4,$E$7,$E$8,$E$9,$E$10,$E$12,$D47,$E$6,M$18,M$17)</f>
        <v>0</v>
      </c>
      <c r="N47" s="16">
        <f ca="1">_xll.DBRW($D$4,$E$7,$E$8,$E$9,$E$10,$E$12,$D47,$E$6,N$18,N$17)</f>
        <v>1.2313475899999993</v>
      </c>
      <c r="O47" s="16">
        <f ca="1">_xll.DBRW($D$4,$E$7,$E$8,$E$9,$E$10,$E$12,$D47,$E$6,O$18,O$17)</f>
        <v>12.476165099999998</v>
      </c>
      <c r="P47" s="74">
        <f ca="1">_xll.DBRW($D$4,$E$7,$E$8,$E$9,$E$10,$E$12,$D47,$E$6,P$18,P$17)</f>
        <v>-5.858951310000001</v>
      </c>
      <c r="Q47" s="16">
        <f ca="1">_xll.DBRW($D$4,$E$7,$E$8,$E$9,$E$10,$E$12,$D47,$E$6,Q$18,Q$17)</f>
        <v>0.46961155635877261</v>
      </c>
      <c r="R47" s="16"/>
      <c r="S47" s="16"/>
      <c r="T47" s="16"/>
      <c r="U47" s="16"/>
      <c r="V47" s="16">
        <f ca="1">_xll.DBRW($D$4,$E$7,$E$8,$E$9,$E$10,$E$12,$D47,$E$6,V$18,V$17)</f>
        <v>-0.91743719000000001</v>
      </c>
      <c r="W47" s="16">
        <f ca="1">_xll.DBRW($D$4,$E$7,$E$8,$E$9,$E$10,$E$12,$D47,$E$6,W$18,W$17)</f>
        <v>7.3535191514899095E-2</v>
      </c>
      <c r="X47" s="16"/>
      <c r="Y47" s="16"/>
      <c r="Z47" s="16"/>
      <c r="AA47" s="16"/>
      <c r="AB47" s="16">
        <f ca="1">_xll.DBRW($D$4,$E$7,$E$8,$E$9,$E$10,$E$12,$D47,$E$6,AB$18,AB$17)</f>
        <v>-1.03929166</v>
      </c>
      <c r="AC47" s="16">
        <f ca="1">_xll.DBRW($D$4,$E$7,$E$8,$E$9,$E$10,$E$12,$D47,$E$6,AC$18,AC$17)</f>
        <v>8.3302172716518491E-2</v>
      </c>
      <c r="AD47" s="16"/>
      <c r="AE47" s="16"/>
      <c r="AF47" s="16"/>
      <c r="AG47" s="16"/>
      <c r="AH47" s="16">
        <f ca="1">_xll.DBRW($D$4,$E$7,$E$8,$E$9,$E$10,$E$12,$D47,$E$6,AH$18,AH$17)</f>
        <v>-1.2640046300000001</v>
      </c>
      <c r="AI47" s="16">
        <f ca="1">_xll.DBRW($D$4,$E$7,$E$8,$E$9,$E$10,$E$12,$D47,$E$6,AI$18,AI$17)</f>
        <v>0.10131355427478275</v>
      </c>
      <c r="AJ47" s="16"/>
      <c r="AK47" s="16"/>
      <c r="AL47" s="16"/>
      <c r="AM47" s="16"/>
      <c r="AN47" s="16">
        <f ca="1">_xll.DBRW($D$4,$E$7,$E$8,$E$9,$E$10,$E$12,$D47,$E$6,AN$18,AN$17)</f>
        <v>-2.1651327199999999</v>
      </c>
      <c r="AO47" s="16">
        <f ca="1">_xll.DBRW($D$4,$E$7,$E$8,$E$9,$E$10,$E$12,$D47,$E$6,AO$18,AO$17)</f>
        <v>0.17354152519190374</v>
      </c>
      <c r="AP47" s="16"/>
      <c r="AQ47" s="16"/>
      <c r="AR47" s="16"/>
      <c r="AS47" s="16"/>
      <c r="AT47" s="16">
        <f ca="1">_xll.DBRW($D$4,$E$7,$E$8,$E$9,$E$10,$E$12,$D47,$E$6,AT$18,AT$17)</f>
        <v>0.20311876999999995</v>
      </c>
      <c r="AU47" s="16">
        <f ca="1">_xll.DBRW($D$4,$E$7,$E$8,$E$9,$E$10,$E$12,$D47,$E$6,AU$18,AU$17)</f>
        <v>2.4517429999999996</v>
      </c>
      <c r="AV47" s="16">
        <f ca="1">_xll.DBRW($D$4,$E$7,$E$8,$E$9,$E$10,$E$12,$D47,$E$6,AV$18,AV$17)</f>
        <v>2.4517429999999996</v>
      </c>
      <c r="AW47" s="16">
        <f ca="1">_xll.DBRW($D$4,$E$7,$E$8,$E$9,$E$10,$E$12,$D47,$E$6,AW$18,AW$17)</f>
        <v>2.4517429999999996</v>
      </c>
      <c r="AX47" s="16">
        <f ca="1">_xll.DBRW($D$4,$E$7,$E$8,$E$9,$E$10,$E$12,$D47,$E$6,AX$18,AX$17)</f>
        <v>1.0232397799999999</v>
      </c>
      <c r="AY47" s="16">
        <f ca="1">_xll.DBRW($D$4,$E$7,$E$8,$E$9,$E$10,$E$12,$D47,$E$6,AY$18,AY$17)</f>
        <v>2.4517429999999996</v>
      </c>
      <c r="AZ47" s="16">
        <f ca="1">_xll.DBRW($D$4,$E$7,$E$8,$E$9,$E$10,$E$12,$D47,$E$6,AZ$18,AZ$17)</f>
        <v>1.9752388499999998</v>
      </c>
      <c r="BA47" s="16">
        <f ca="1">_xll.DBRW($D$4,$E$7,$E$8,$E$9,$E$10,$E$12,$D47,$E$6,BA$18,BA$17)</f>
        <v>2.4517429999999996</v>
      </c>
      <c r="BB47" s="16">
        <f ca="1">_xll.DBRW($D$4,$E$7,$E$8,$E$9,$E$10,$E$12,$D47,$E$6,BB$18,BB$17)</f>
        <v>2.4517429999999996</v>
      </c>
      <c r="BC47" s="16">
        <f ca="1">_xll.DBRW($D$4,$E$7,$E$8,$E$9,$E$10,$E$12,$D47,$E$6,BC$18,BC$17)</f>
        <v>2.4517429999999996</v>
      </c>
      <c r="BD47" s="16">
        <f ca="1">_xll.DBRW($D$4,$E$7,$E$8,$E$9,$E$10,$E$12,$D47,$E$6,BD$18,BD$17)</f>
        <v>0.3099979019397201</v>
      </c>
      <c r="BE47" s="16">
        <f ca="1">_xll.DBRW($D$4,$E$7,$E$8,$E$9,$E$10,$E$12,$D47,$E$6,BE$18,BE$17)</f>
        <v>-1.1021598143560647</v>
      </c>
      <c r="BF47" s="16">
        <f ca="1">_xll.DBRW($D$4,$E$7,$E$8,$E$9,$E$10,$E$12,$D47,$E$6,BF$18,BF$17)</f>
        <v>0</v>
      </c>
      <c r="BG47" s="26">
        <f ca="1">_xll.DBRW($D$4,$E$7,$E$8,$E$9,$E$10,$E$12,$D47,$E$6,BG$18,BG$17)</f>
        <v>-0.17565460315220399</v>
      </c>
      <c r="BH47" s="26">
        <f ca="1">_xll.DBRW($D$4,$E$7,$E$8,$E$9,$E$10,$E$12,$D47,$E$6,BH$18,BH$17)</f>
        <v>0</v>
      </c>
      <c r="BI47" s="26">
        <f ca="1">_xll.DBRW($D$4,$E$7,$E$8,$E$9,$E$10,$E$12,$D47,$E$6,BI$18,BI$17)</f>
        <v>0</v>
      </c>
      <c r="BJ47" s="26">
        <f ca="1">_xll.DBRW($D$4,$E$7,$E$8,$E$9,$E$10,$E$12,$D47,$E$6,BJ$18,BJ$17)</f>
        <v>0</v>
      </c>
      <c r="BK47" s="16">
        <f ca="1">_xll.DBRW($D$4,$E$7,$E$8,$E$9,$E$10,$E$12,$D47,$E$6,BK$18,BK$17)</f>
        <v>1.5878123194479887</v>
      </c>
      <c r="BL47" s="16">
        <f ca="1">_xll.DBRW($D$4,$E$7,$E$8,$E$9,$E$10,$E$12,$D47,$E$6,BL$18,BL$17)</f>
        <v>15.043561905696482</v>
      </c>
      <c r="BM47" s="16">
        <f ca="1">_xll.DBRW($D$4,$E$7,$E$8,$E$9,$E$10,$E$12,$D47,$E$6,BM$18,BM$17)</f>
        <v>-6.9404584519111596</v>
      </c>
      <c r="BN47" s="16">
        <f ca="1">_xll.DBRW($D$4,$E$7,$E$8,$E$9,$E$10,$E$12,$D47,$E$6,BN$18,BN$17)</f>
        <v>0.46135738965404499</v>
      </c>
      <c r="BO47" s="16"/>
      <c r="BP47" s="16"/>
      <c r="BQ47" s="16"/>
      <c r="BR47" s="16"/>
      <c r="BS47" s="16">
        <f ca="1">_xll.DBRW($D$4,$E$7,$E$8,$E$9,$E$10,$E$12,$D47,$E$6,BS$18,BS$17)</f>
        <v>-1.1243665405475309</v>
      </c>
      <c r="BT47" s="16">
        <f ca="1">_xll.DBRW($D$4,$E$7,$E$8,$E$9,$E$10,$E$12,$D47,$E$6,BT$18,BT$17)</f>
        <v>7.4740712844194951E-2</v>
      </c>
      <c r="BU47" s="16"/>
      <c r="BV47" s="16"/>
      <c r="BW47" s="16"/>
      <c r="BX47" s="16"/>
      <c r="BY47" s="16">
        <f ca="1">_xll.DBRW($D$4,$E$7,$E$8,$E$9,$E$10,$E$12,$D47,$E$6,BY$18,BY$17)</f>
        <v>-0.98151726574667597</v>
      </c>
      <c r="BZ47" s="16">
        <f ca="1">_xll.DBRW($D$4,$E$7,$E$8,$E$9,$E$10,$E$12,$D47,$E$6,BZ$18,BZ$17)</f>
        <v>6.5245004600606518E-2</v>
      </c>
      <c r="CA47" s="16"/>
      <c r="CB47" s="16"/>
      <c r="CC47" s="16"/>
      <c r="CD47" s="16"/>
      <c r="CE47" s="16">
        <f ca="1">_xll.DBRW($D$4,$E$7,$E$8,$E$9,$E$10,$E$12,$D47,$E$6,CE$18,CE$17)</f>
        <v>-2.00023185</v>
      </c>
      <c r="CF47" s="16">
        <f ca="1">_xll.DBRW($D$4,$E$7,$E$8,$E$9,$E$10,$E$12,$D47,$E$6,CF$18,CF$17)</f>
        <v>0.13296264957320916</v>
      </c>
      <c r="CG47" s="16"/>
      <c r="CH47" s="16"/>
      <c r="CI47" s="16"/>
      <c r="CJ47" s="16"/>
      <c r="CK47" s="16">
        <f ca="1">_xll.DBRW($D$4,$E$7,$E$8,$E$9,$E$10,$E$12,$D47,$E$6,CK$18,CK$17)</f>
        <v>-2.4091754780431276</v>
      </c>
      <c r="CL47" s="16">
        <f ca="1">_xll.DBRW($D$4,$E$7,$E$8,$E$9,$E$10,$E$12,$D47,$E$6,CL$18,CL$17)</f>
        <v>0.16014661242766284</v>
      </c>
      <c r="CM47" s="16"/>
      <c r="CN47" s="16"/>
      <c r="CO47" s="16"/>
      <c r="CP47" s="16"/>
      <c r="CQ47" s="16">
        <f ca="1">_xll.DBRW($D$4,$E$7,$E$8,$E$9,$E$10,$E$12,$D47,$E$6,CQ$18,CQ$17)</f>
        <v>0.21956267085111003</v>
      </c>
      <c r="CR47" s="16">
        <f ca="1">_xll.DBRW($D$4,$E$7,$E$8,$E$9,$E$10,$E$12,$D47,$E$6,CR$18,CR$17)</f>
        <v>2.8231909903333294</v>
      </c>
      <c r="CS47" s="16">
        <f ca="1">_xll.DBRW($D$4,$E$7,$E$8,$E$9,$E$10,$E$12,$D47,$E$6,CS$18,CS$17)</f>
        <v>2.8231909903333294</v>
      </c>
      <c r="CT47" s="16">
        <f ca="1">_xll.DBRW($D$4,$E$7,$E$8,$E$9,$E$10,$E$12,$D47,$E$6,CT$18,CT$17)</f>
        <v>2.8231909903333294</v>
      </c>
      <c r="CU47" s="16">
        <f ca="1">_xll.DBRW($D$4,$E$7,$E$8,$E$9,$E$10,$E$12,$D47,$E$6,CU$18,CU$17)</f>
        <v>1.1795585769700003</v>
      </c>
      <c r="CV47" s="16">
        <f ca="1">_xll.DBRW($D$4,$E$7,$E$8,$E$9,$E$10,$E$12,$D47,$E$6,CV$18,CV$17)</f>
        <v>2.8231909903333294</v>
      </c>
      <c r="CW47" s="16">
        <f ca="1">_xll.DBRW($D$4,$E$7,$E$8,$E$9,$E$10,$E$12,$D47,$E$6,CW$18,CW$17)</f>
        <v>2.2660929810000008</v>
      </c>
      <c r="CX47" s="16">
        <f ca="1">_xll.DBRW($D$4,$E$7,$E$8,$E$9,$E$10,$E$12,$D47,$E$6,CX$18,CX$17)</f>
        <v>2.8231909903333294</v>
      </c>
      <c r="CY47" s="16">
        <f ca="1">_xll.DBRW($D$4,$E$7,$E$8,$E$9,$E$10,$E$12,$D47,$E$6,CY$18,CY$17)</f>
        <v>2.8231909903333294</v>
      </c>
      <c r="CZ47" s="16">
        <f ca="1">_xll.DBRW($D$4,$E$7,$E$8,$E$9,$E$10,$E$12,$D47,$E$6,CZ$18,CZ$17)</f>
        <v>2.8231909903333294</v>
      </c>
      <c r="DA47" s="26">
        <f t="shared" ca="1" si="89"/>
        <v>-0.64377043193972061</v>
      </c>
      <c r="DB47" s="26">
        <f t="shared" ca="1" si="90"/>
        <v>-0.32470652564393543</v>
      </c>
      <c r="DC47" s="26">
        <f t="shared" ca="1" si="91"/>
        <v>0</v>
      </c>
      <c r="DD47" s="26">
        <f t="shared" ca="1" si="92"/>
        <v>3.7400823152204027E-2</v>
      </c>
      <c r="DE47" s="26">
        <f t="shared" ca="1" si="93"/>
        <v>0</v>
      </c>
      <c r="DF47" s="26">
        <f t="shared" ca="1" si="94"/>
        <v>0</v>
      </c>
      <c r="DG47" s="26">
        <f t="shared" ca="1" si="95"/>
        <v>0</v>
      </c>
      <c r="DH47" s="26">
        <f t="shared" ca="1" si="96"/>
        <v>-0.35646472944798946</v>
      </c>
      <c r="DI47" s="26">
        <f t="shared" ca="1" si="97"/>
        <v>-2.5673968056964842</v>
      </c>
      <c r="DJ47" s="26">
        <f t="shared" ca="1" si="98"/>
        <v>1.0815071419111586</v>
      </c>
      <c r="DK47" s="26">
        <f t="shared" ca="1" si="99"/>
        <v>8.2541667047276168E-3</v>
      </c>
      <c r="DL47" s="26"/>
      <c r="DM47" s="26"/>
      <c r="DN47" s="26"/>
      <c r="DO47" s="26"/>
      <c r="DP47" s="26">
        <f t="shared" ca="1" si="100"/>
        <v>0.20692935054753092</v>
      </c>
      <c r="DQ47" s="26">
        <f t="shared" ca="1" si="101"/>
        <v>-1.2055213292958555E-3</v>
      </c>
      <c r="DR47" s="26"/>
      <c r="DS47" s="26"/>
      <c r="DT47" s="26"/>
      <c r="DU47" s="26"/>
      <c r="DV47" s="26">
        <f t="shared" ca="1" si="102"/>
        <v>-5.777439425332398E-2</v>
      </c>
      <c r="DW47" s="26">
        <f t="shared" ca="1" si="103"/>
        <v>1.8057168115911973E-2</v>
      </c>
      <c r="DX47" s="26"/>
      <c r="DY47" s="26"/>
      <c r="DZ47" s="26"/>
      <c r="EA47" s="26"/>
      <c r="EB47" s="26">
        <f t="shared" ca="1" si="104"/>
        <v>0.73622721999999996</v>
      </c>
      <c r="EC47" s="26">
        <f t="shared" ca="1" si="105"/>
        <v>-3.1649095298426411E-2</v>
      </c>
      <c r="ED47" s="26"/>
      <c r="EE47" s="26"/>
      <c r="EF47" s="26"/>
      <c r="EG47" s="26"/>
      <c r="EH47" s="26">
        <f t="shared" ca="1" si="106"/>
        <v>0.24404275804312769</v>
      </c>
      <c r="EI47" s="29">
        <f t="shared" ca="1" si="107"/>
        <v>1.3394912764240902E-2</v>
      </c>
      <c r="EJ47" s="29"/>
      <c r="EK47" s="29"/>
      <c r="EL47" s="29"/>
      <c r="EM47" s="29"/>
      <c r="EN47" s="93"/>
      <c r="EO47" s="29"/>
      <c r="EP47" s="29"/>
      <c r="EQ47" s="29"/>
      <c r="ER47" s="29"/>
      <c r="ES47" s="29"/>
      <c r="ET47" s="29"/>
      <c r="EU47" s="93"/>
      <c r="EV47" s="29"/>
      <c r="EW47" s="29"/>
      <c r="EX47" s="29"/>
      <c r="EY47" s="29"/>
      <c r="EZ47" s="29"/>
      <c r="FA47" s="29"/>
      <c r="FB47" s="93"/>
      <c r="FC47" s="29"/>
      <c r="FD47" s="29"/>
      <c r="FE47" s="29"/>
      <c r="FF47" s="29"/>
      <c r="FG47" s="29"/>
      <c r="FH47" s="29"/>
      <c r="FI47" s="93"/>
      <c r="FJ47" s="29"/>
      <c r="FK47" s="29"/>
      <c r="FL47" s="29"/>
      <c r="FM47" s="29"/>
      <c r="FN47" s="29"/>
      <c r="FO47" s="29"/>
      <c r="FP47" s="93"/>
      <c r="FQ47" s="29"/>
      <c r="FR47" s="29"/>
      <c r="FS47" s="29"/>
      <c r="FT47" s="29"/>
      <c r="FU47" s="29"/>
      <c r="FV47" s="29"/>
    </row>
    <row r="48" spans="1:178" x14ac:dyDescent="0.25">
      <c r="A48" t="str">
        <f ca="1">IF(_xll.TM1RPTELISCONSOLIDATED($D$28,$D48),IF(_xll.TM1RPTELLEV($D$28,$D48)&lt;=3,_xll.TM1RPTELLEV($D$28,$D48),"D"),"N")</f>
        <v>N</v>
      </c>
      <c r="B48" t="str">
        <f ca="1">_xll.DBRA(Server&amp;"Management_organization",$D48,$B$27)</f>
        <v>L</v>
      </c>
      <c r="C48">
        <v>1</v>
      </c>
      <c r="D48" s="2" t="s">
        <v>92</v>
      </c>
      <c r="E48" s="26"/>
      <c r="F48" s="26"/>
      <c r="G48" s="16">
        <f ca="1">_xll.DBRW($D$4,$E$7,$E$8,$E$9,$E$10,$E$12,$D48,$E$6,G$18,G$17)</f>
        <v>0.18096050000000047</v>
      </c>
      <c r="H48" s="16">
        <f ca="1">_xll.DBRW($D$4,$E$7,$E$8,$E$9,$E$10,$E$12,$D48,$E$6,H$18,H$17)</f>
        <v>-0.73869167999999985</v>
      </c>
      <c r="I48" s="16">
        <f ca="1">_xll.DBRW($D$4,$E$7,$E$8,$E$9,$E$10,$E$12,$D48,$E$6,I$18,I$17)</f>
        <v>0</v>
      </c>
      <c r="J48" s="26">
        <f ca="1">_xll.DBRW($D$4,$E$7,$E$8,$E$9,$E$10,$E$12,$D48,$E$6,J$18,J$17)</f>
        <v>-9.5362309999999978E-2</v>
      </c>
      <c r="K48" s="26">
        <f ca="1">_xll.DBRW($D$4,$E$7,$E$8,$E$9,$E$10,$E$12,$D48,$E$6,K$18,K$17)</f>
        <v>0</v>
      </c>
      <c r="L48" s="26">
        <f ca="1">_xll.DBRW($D$4,$E$7,$E$8,$E$9,$E$10,$E$12,$D48,$E$6,L$18,L$17)</f>
        <v>0</v>
      </c>
      <c r="M48" s="26">
        <f ca="1">_xll.DBRW($D$4,$E$7,$E$8,$E$9,$E$10,$E$12,$D48,$E$6,M$18,M$17)</f>
        <v>0</v>
      </c>
      <c r="N48" s="16">
        <f ca="1">_xll.DBRW($D$4,$E$7,$E$8,$E$9,$E$10,$E$12,$D48,$E$6,N$18,N$17)</f>
        <v>1.0150144900000002</v>
      </c>
      <c r="O48" s="16">
        <f ca="1">_xll.DBRW($D$4,$E$7,$E$8,$E$9,$E$10,$E$12,$D48,$E$6,O$18,O$17)</f>
        <v>9.3209602700000005</v>
      </c>
      <c r="P48" s="74">
        <f ca="1">_xll.DBRW($D$4,$E$7,$E$8,$E$9,$E$10,$E$12,$D48,$E$6,P$18,P$17)</f>
        <v>-4.2617897899999999</v>
      </c>
      <c r="Q48" s="16">
        <f ca="1">_xll.DBRW($D$4,$E$7,$E$8,$E$9,$E$10,$E$12,$D48,$E$6,Q$18,Q$17)</f>
        <v>0.45722647308312148</v>
      </c>
      <c r="R48" s="16"/>
      <c r="S48" s="16"/>
      <c r="T48" s="16"/>
      <c r="U48" s="16"/>
      <c r="V48" s="16">
        <f ca="1">_xll.DBRW($D$4,$E$7,$E$8,$E$9,$E$10,$E$12,$D48,$E$6,V$18,V$17)</f>
        <v>-0.82092464999999992</v>
      </c>
      <c r="W48" s="16">
        <f ca="1">_xll.DBRW($D$4,$E$7,$E$8,$E$9,$E$10,$E$12,$D48,$E$6,W$18,W$17)</f>
        <v>8.8072969546087329E-2</v>
      </c>
      <c r="X48" s="16"/>
      <c r="Y48" s="16"/>
      <c r="Z48" s="16"/>
      <c r="AA48" s="16"/>
      <c r="AB48" s="16">
        <f ca="1">_xll.DBRW($D$4,$E$7,$E$8,$E$9,$E$10,$E$12,$D48,$E$6,AB$18,AB$17)</f>
        <v>-0.91483016000000017</v>
      </c>
      <c r="AC48" s="16">
        <f ca="1">_xll.DBRW($D$4,$E$7,$E$8,$E$9,$E$10,$E$12,$D48,$E$6,AC$18,AC$17)</f>
        <v>9.8147630018811369E-2</v>
      </c>
      <c r="AD48" s="16"/>
      <c r="AE48" s="16"/>
      <c r="AF48" s="16"/>
      <c r="AG48" s="16"/>
      <c r="AH48" s="16">
        <f ca="1">_xll.DBRW($D$4,$E$7,$E$8,$E$9,$E$10,$E$12,$D48,$E$6,AH$18,AH$17)</f>
        <v>-0.78882281999999992</v>
      </c>
      <c r="AI48" s="16">
        <f ca="1">_xll.DBRW($D$4,$E$7,$E$8,$E$9,$E$10,$E$12,$D48,$E$6,AI$18,AI$17)</f>
        <v>8.4628922037020965E-2</v>
      </c>
      <c r="AJ48" s="16"/>
      <c r="AK48" s="16"/>
      <c r="AL48" s="16"/>
      <c r="AM48" s="16"/>
      <c r="AN48" s="16">
        <f ca="1">_xll.DBRW($D$4,$E$7,$E$8,$E$9,$E$10,$E$12,$D48,$E$6,AN$18,AN$17)</f>
        <v>-1.5195783599999999</v>
      </c>
      <c r="AO48" s="16">
        <f ca="1">_xll.DBRW($D$4,$E$7,$E$8,$E$9,$E$10,$E$12,$D48,$E$6,AO$18,AO$17)</f>
        <v>0.16302809109602609</v>
      </c>
      <c r="AP48" s="16"/>
      <c r="AQ48" s="16"/>
      <c r="AR48" s="16"/>
      <c r="AS48" s="16"/>
      <c r="AT48" s="16">
        <f ca="1">_xll.DBRW($D$4,$E$7,$E$8,$E$9,$E$10,$E$12,$D48,$E$6,AT$18,AT$17)</f>
        <v>0.14969682999999998</v>
      </c>
      <c r="AU48" s="16">
        <f ca="1">_xll.DBRW($D$4,$E$7,$E$8,$E$9,$E$10,$E$12,$D48,$E$6,AU$18,AU$17)</f>
        <v>2.9976659999999997</v>
      </c>
      <c r="AV48" s="16">
        <f ca="1">_xll.DBRW($D$4,$E$7,$E$8,$E$9,$E$10,$E$12,$D48,$E$6,AV$18,AV$17)</f>
        <v>2.9976659999999997</v>
      </c>
      <c r="AW48" s="16">
        <f ca="1">_xll.DBRW($D$4,$E$7,$E$8,$E$9,$E$10,$E$12,$D48,$E$6,AW$18,AW$17)</f>
        <v>2.9976659999999997</v>
      </c>
      <c r="AX48" s="16">
        <f ca="1">_xll.DBRW($D$4,$E$7,$E$8,$E$9,$E$10,$E$12,$D48,$E$6,AX$18,AX$17)</f>
        <v>1.13694418</v>
      </c>
      <c r="AY48" s="16">
        <f ca="1">_xll.DBRW($D$4,$E$7,$E$8,$E$9,$E$10,$E$12,$D48,$E$6,AY$18,AY$17)</f>
        <v>2.9976659999999997</v>
      </c>
      <c r="AZ48" s="16">
        <f ca="1">_xll.DBRW($D$4,$E$7,$E$8,$E$9,$E$10,$E$12,$D48,$E$6,AZ$18,AZ$17)</f>
        <v>2.135996</v>
      </c>
      <c r="BA48" s="16">
        <f ca="1">_xll.DBRW($D$4,$E$7,$E$8,$E$9,$E$10,$E$12,$D48,$E$6,BA$18,BA$17)</f>
        <v>2.9976659999999997</v>
      </c>
      <c r="BB48" s="16">
        <f ca="1">_xll.DBRW($D$4,$E$7,$E$8,$E$9,$E$10,$E$12,$D48,$E$6,BB$18,BB$17)</f>
        <v>2.9976659999999997</v>
      </c>
      <c r="BC48" s="16">
        <f ca="1">_xll.DBRW($D$4,$E$7,$E$8,$E$9,$E$10,$E$12,$D48,$E$6,BC$18,BC$17)</f>
        <v>2.9976659999999997</v>
      </c>
      <c r="BD48" s="16">
        <f ca="1">_xll.DBRW($D$4,$E$7,$E$8,$E$9,$E$10,$E$12,$D48,$E$6,BD$18,BD$17)</f>
        <v>0.39282904079963932</v>
      </c>
      <c r="BE48" s="16">
        <f ca="1">_xll.DBRW($D$4,$E$7,$E$8,$E$9,$E$10,$E$12,$D48,$E$6,BE$18,BE$17)</f>
        <v>-0.83270232</v>
      </c>
      <c r="BF48" s="16">
        <f ca="1">_xll.DBRW($D$4,$E$7,$E$8,$E$9,$E$10,$E$12,$D48,$E$6,BF$18,BF$17)</f>
        <v>0</v>
      </c>
      <c r="BG48" s="26">
        <f ca="1">_xll.DBRW($D$4,$E$7,$E$8,$E$9,$E$10,$E$12,$D48,$E$6,BG$18,BG$17)</f>
        <v>-9.5608499999999985E-2</v>
      </c>
      <c r="BH48" s="26">
        <f ca="1">_xll.DBRW($D$4,$E$7,$E$8,$E$9,$E$10,$E$12,$D48,$E$6,BH$18,BH$17)</f>
        <v>0</v>
      </c>
      <c r="BI48" s="26">
        <f ca="1">_xll.DBRW($D$4,$E$7,$E$8,$E$9,$E$10,$E$12,$D48,$E$6,BI$18,BI$17)</f>
        <v>0</v>
      </c>
      <c r="BJ48" s="26">
        <f ca="1">_xll.DBRW($D$4,$E$7,$E$8,$E$9,$E$10,$E$12,$D48,$E$6,BJ$18,BJ$17)</f>
        <v>0</v>
      </c>
      <c r="BK48" s="16">
        <f ca="1">_xll.DBRW($D$4,$E$7,$E$8,$E$9,$E$10,$E$12,$D48,$E$6,BK$18,BK$17)</f>
        <v>1.3211398607996392</v>
      </c>
      <c r="BL48" s="16">
        <f ca="1">_xll.DBRW($D$4,$E$7,$E$8,$E$9,$E$10,$E$12,$D48,$E$6,BL$18,BL$17)</f>
        <v>10.23353996</v>
      </c>
      <c r="BM48" s="16">
        <f ca="1">_xll.DBRW($D$4,$E$7,$E$8,$E$9,$E$10,$E$12,$D48,$E$6,BM$18,BM$17)</f>
        <v>-4.6879217400000002</v>
      </c>
      <c r="BN48" s="16">
        <f ca="1">_xll.DBRW($D$4,$E$7,$E$8,$E$9,$E$10,$E$12,$D48,$E$6,BN$18,BN$17)</f>
        <v>0.45809385201247604</v>
      </c>
      <c r="BO48" s="16"/>
      <c r="BP48" s="16"/>
      <c r="BQ48" s="16"/>
      <c r="BR48" s="16"/>
      <c r="BS48" s="16">
        <f ca="1">_xll.DBRW($D$4,$E$7,$E$8,$E$9,$E$10,$E$12,$D48,$E$6,BS$18,BS$17)</f>
        <v>-0.92981564000000005</v>
      </c>
      <c r="BT48" s="16">
        <f ca="1">_xll.DBRW($D$4,$E$7,$E$8,$E$9,$E$10,$E$12,$D48,$E$6,BT$18,BT$17)</f>
        <v>9.0859628597179984E-2</v>
      </c>
      <c r="BU48" s="16"/>
      <c r="BV48" s="16"/>
      <c r="BW48" s="16"/>
      <c r="BX48" s="16"/>
      <c r="BY48" s="16">
        <f ca="1">_xll.DBRW($D$4,$E$7,$E$8,$E$9,$E$10,$E$12,$D48,$E$6,BY$18,BY$17)</f>
        <v>-1.02064453920036</v>
      </c>
      <c r="BZ48" s="16">
        <f ca="1">_xll.DBRW($D$4,$E$7,$E$8,$E$9,$E$10,$E$12,$D48,$E$6,BZ$18,BZ$17)</f>
        <v>9.9735237580521455E-2</v>
      </c>
      <c r="CA48" s="16"/>
      <c r="CB48" s="16"/>
      <c r="CC48" s="16"/>
      <c r="CD48" s="16"/>
      <c r="CE48" s="16">
        <f ca="1">_xll.DBRW($D$4,$E$7,$E$8,$E$9,$E$10,$E$12,$D48,$E$6,CE$18,CE$17)</f>
        <v>-0.61270350000000018</v>
      </c>
      <c r="CF48" s="16">
        <f ca="1">_xll.DBRW($D$4,$E$7,$E$8,$E$9,$E$10,$E$12,$D48,$E$6,CF$18,CF$17)</f>
        <v>5.9872097279620159E-2</v>
      </c>
      <c r="CG48" s="16"/>
      <c r="CH48" s="16"/>
      <c r="CI48" s="16"/>
      <c r="CJ48" s="16"/>
      <c r="CK48" s="16">
        <f ca="1">_xll.DBRW($D$4,$E$7,$E$8,$E$9,$E$10,$E$12,$D48,$E$6,CK$18,CK$17)</f>
        <v>-1.6613146800000003</v>
      </c>
      <c r="CL48" s="16">
        <f ca="1">_xll.DBRW($D$4,$E$7,$E$8,$E$9,$E$10,$E$12,$D48,$E$6,CL$18,CL$17)</f>
        <v>0.16234017617497049</v>
      </c>
      <c r="CM48" s="16"/>
      <c r="CN48" s="16"/>
      <c r="CO48" s="16"/>
      <c r="CP48" s="16"/>
      <c r="CQ48" s="16">
        <f ca="1">_xll.DBRW($D$4,$E$7,$E$8,$E$9,$E$10,$E$12,$D48,$E$6,CQ$18,CQ$17)</f>
        <v>0.16232489999999997</v>
      </c>
      <c r="CR48" s="16">
        <f ca="1">_xll.DBRW($D$4,$E$7,$E$8,$E$9,$E$10,$E$12,$D48,$E$6,CR$18,CR$17)</f>
        <v>3.2520340000000005</v>
      </c>
      <c r="CS48" s="16">
        <f ca="1">_xll.DBRW($D$4,$E$7,$E$8,$E$9,$E$10,$E$12,$D48,$E$6,CS$18,CS$17)</f>
        <v>3.2520340000000005</v>
      </c>
      <c r="CT48" s="16">
        <f ca="1">_xll.DBRW($D$4,$E$7,$E$8,$E$9,$E$10,$E$12,$D48,$E$6,CT$18,CT$17)</f>
        <v>3.2520340000000005</v>
      </c>
      <c r="CU48" s="16">
        <f ca="1">_xll.DBRW($D$4,$E$7,$E$8,$E$9,$E$10,$E$12,$D48,$E$6,CU$18,CU$17)</f>
        <v>1.2285081117000001</v>
      </c>
      <c r="CV48" s="16">
        <f ca="1">_xll.DBRW($D$4,$E$7,$E$8,$E$9,$E$10,$E$12,$D48,$E$6,CV$18,CV$17)</f>
        <v>3.2520340000000005</v>
      </c>
      <c r="CW48" s="16">
        <f ca="1">_xll.DBRW($D$4,$E$7,$E$8,$E$9,$E$10,$E$12,$D48,$E$6,CW$18,CW$17)</f>
        <v>2.3409999999999997</v>
      </c>
      <c r="CX48" s="16">
        <f ca="1">_xll.DBRW($D$4,$E$7,$E$8,$E$9,$E$10,$E$12,$D48,$E$6,CX$18,CX$17)</f>
        <v>3.2520340000000005</v>
      </c>
      <c r="CY48" s="16">
        <f ca="1">_xll.DBRW($D$4,$E$7,$E$8,$E$9,$E$10,$E$12,$D48,$E$6,CY$18,CY$17)</f>
        <v>3.2520340000000005</v>
      </c>
      <c r="CZ48" s="16">
        <f ca="1">_xll.DBRW($D$4,$E$7,$E$8,$E$9,$E$10,$E$12,$D48,$E$6,CZ$18,CZ$17)</f>
        <v>3.2520340000000005</v>
      </c>
      <c r="DA48" s="26">
        <f t="shared" ca="1" si="89"/>
        <v>-0.21186854079963885</v>
      </c>
      <c r="DB48" s="26">
        <f t="shared" ca="1" si="90"/>
        <v>9.4010640000000145E-2</v>
      </c>
      <c r="DC48" s="26">
        <f t="shared" ca="1" si="91"/>
        <v>0</v>
      </c>
      <c r="DD48" s="26">
        <f t="shared" ca="1" si="92"/>
        <v>2.4619000000000724E-4</v>
      </c>
      <c r="DE48" s="26">
        <f t="shared" ca="1" si="93"/>
        <v>0</v>
      </c>
      <c r="DF48" s="26">
        <f t="shared" ca="1" si="94"/>
        <v>0</v>
      </c>
      <c r="DG48" s="26">
        <f t="shared" ca="1" si="95"/>
        <v>0</v>
      </c>
      <c r="DH48" s="26">
        <f t="shared" ca="1" si="96"/>
        <v>-0.30612537079963897</v>
      </c>
      <c r="DI48" s="26">
        <f t="shared" ca="1" si="97"/>
        <v>-0.91257968999999939</v>
      </c>
      <c r="DJ48" s="26">
        <f t="shared" ca="1" si="98"/>
        <v>0.42613195000000026</v>
      </c>
      <c r="DK48" s="26">
        <f t="shared" ca="1" si="99"/>
        <v>-8.6737892935456751E-4</v>
      </c>
      <c r="DL48" s="26"/>
      <c r="DM48" s="26"/>
      <c r="DN48" s="26"/>
      <c r="DO48" s="26"/>
      <c r="DP48" s="26">
        <f t="shared" ca="1" si="100"/>
        <v>0.10889099000000013</v>
      </c>
      <c r="DQ48" s="26">
        <f t="shared" ca="1" si="101"/>
        <v>-2.7866590510926548E-3</v>
      </c>
      <c r="DR48" s="26"/>
      <c r="DS48" s="26"/>
      <c r="DT48" s="26"/>
      <c r="DU48" s="26"/>
      <c r="DV48" s="26">
        <f t="shared" ca="1" si="102"/>
        <v>0.10581437920035985</v>
      </c>
      <c r="DW48" s="26">
        <f t="shared" ca="1" si="103"/>
        <v>-1.587607561710086E-3</v>
      </c>
      <c r="DX48" s="26"/>
      <c r="DY48" s="26"/>
      <c r="DZ48" s="26"/>
      <c r="EA48" s="26"/>
      <c r="EB48" s="26">
        <f t="shared" ca="1" si="104"/>
        <v>-0.17611931999999975</v>
      </c>
      <c r="EC48" s="26">
        <f t="shared" ca="1" si="105"/>
        <v>2.4756824757400805E-2</v>
      </c>
      <c r="ED48" s="26"/>
      <c r="EE48" s="26"/>
      <c r="EF48" s="26"/>
      <c r="EG48" s="26"/>
      <c r="EH48" s="26">
        <f t="shared" ca="1" si="106"/>
        <v>0.14173632000000036</v>
      </c>
      <c r="EI48" s="29">
        <f t="shared" ca="1" si="107"/>
        <v>6.8791492105560459E-4</v>
      </c>
      <c r="EJ48" s="29"/>
      <c r="EK48" s="29"/>
      <c r="EL48" s="29"/>
      <c r="EM48" s="29"/>
      <c r="EN48" s="93"/>
      <c r="EO48" s="29"/>
      <c r="EP48" s="29"/>
      <c r="EQ48" s="29"/>
      <c r="ER48" s="29"/>
      <c r="ES48" s="29"/>
      <c r="ET48" s="29"/>
      <c r="EU48" s="93"/>
      <c r="EV48" s="29"/>
      <c r="EW48" s="29"/>
      <c r="EX48" s="29"/>
      <c r="EY48" s="29"/>
      <c r="EZ48" s="29"/>
      <c r="FA48" s="29"/>
      <c r="FB48" s="93"/>
      <c r="FC48" s="29"/>
      <c r="FD48" s="29"/>
      <c r="FE48" s="29"/>
      <c r="FF48" s="29"/>
      <c r="FG48" s="29"/>
      <c r="FH48" s="29"/>
      <c r="FI48" s="93"/>
      <c r="FJ48" s="29"/>
      <c r="FK48" s="29"/>
      <c r="FL48" s="29"/>
      <c r="FM48" s="29"/>
      <c r="FN48" s="29"/>
      <c r="FO48" s="29"/>
      <c r="FP48" s="93"/>
      <c r="FQ48" s="29"/>
      <c r="FR48" s="29"/>
      <c r="FS48" s="29"/>
      <c r="FT48" s="29"/>
      <c r="FU48" s="29"/>
      <c r="FV48" s="29"/>
    </row>
    <row r="49" spans="1:178" x14ac:dyDescent="0.25">
      <c r="A49" t="str">
        <f ca="1">IF(_xll.TM1RPTELISCONSOLIDATED($D$28,$D49),IF(_xll.TM1RPTELLEV($D$28,$D49)&lt;=3,_xll.TM1RPTELLEV($D$28,$D49),"D"),"N")</f>
        <v>N</v>
      </c>
      <c r="B49" t="str">
        <f ca="1">_xll.DBRA(Server&amp;"Management_organization",$D49,$B$27)</f>
        <v>L</v>
      </c>
      <c r="C49">
        <v>1</v>
      </c>
      <c r="D49" s="2" t="s">
        <v>93</v>
      </c>
      <c r="E49" s="26"/>
      <c r="F49" s="26"/>
      <c r="G49" s="16">
        <f ca="1">_xll.DBRW($D$4,$E$7,$E$8,$E$9,$E$10,$E$12,$D49,$E$6,G$18,G$17)</f>
        <v>-0.13975548000000382</v>
      </c>
      <c r="H49" s="16">
        <f ca="1">_xll.DBRW($D$4,$E$7,$E$8,$E$9,$E$10,$E$12,$D49,$E$6,H$18,H$17)</f>
        <v>-1.0795727899999998</v>
      </c>
      <c r="I49" s="16">
        <f ca="1">_xll.DBRW($D$4,$E$7,$E$8,$E$9,$E$10,$E$12,$D49,$E$6,I$18,I$17)</f>
        <v>0</v>
      </c>
      <c r="J49" s="26">
        <f ca="1">_xll.DBRW($D$4,$E$7,$E$8,$E$9,$E$10,$E$12,$D49,$E$6,J$18,J$17)</f>
        <v>-0.45935018</v>
      </c>
      <c r="K49" s="26">
        <f ca="1">_xll.DBRW($D$4,$E$7,$E$8,$E$9,$E$10,$E$12,$D49,$E$6,K$18,K$17)</f>
        <v>0</v>
      </c>
      <c r="L49" s="26">
        <f ca="1">_xll.DBRW($D$4,$E$7,$E$8,$E$9,$E$10,$E$12,$D49,$E$6,L$18,L$17)</f>
        <v>0</v>
      </c>
      <c r="M49" s="26">
        <f ca="1">_xll.DBRW($D$4,$E$7,$E$8,$E$9,$E$10,$E$12,$D49,$E$6,M$18,M$17)</f>
        <v>0</v>
      </c>
      <c r="N49" s="16">
        <f ca="1">_xll.DBRW($D$4,$E$7,$E$8,$E$9,$E$10,$E$12,$D49,$E$6,N$18,N$17)</f>
        <v>1.399167489999996</v>
      </c>
      <c r="O49" s="16">
        <f ca="1">_xll.DBRW($D$4,$E$7,$E$8,$E$9,$E$10,$E$12,$D49,$E$6,O$18,O$17)</f>
        <v>22.036228020000003</v>
      </c>
      <c r="P49" s="74">
        <f ca="1">_xll.DBRW($D$4,$E$7,$E$8,$E$9,$E$10,$E$12,$D49,$E$6,P$18,P$17)</f>
        <v>-9.7827855300000017</v>
      </c>
      <c r="Q49" s="16">
        <f ca="1">_xll.DBRW($D$4,$E$7,$E$8,$E$9,$E$10,$E$12,$D49,$E$6,Q$18,Q$17)</f>
        <v>0.44394101935781294</v>
      </c>
      <c r="R49" s="16"/>
      <c r="S49" s="16"/>
      <c r="T49" s="16"/>
      <c r="U49" s="16"/>
      <c r="V49" s="16">
        <f ca="1">_xll.DBRW($D$4,$E$7,$E$8,$E$9,$E$10,$E$12,$D49,$E$6,V$18,V$17)</f>
        <v>-2.1922529099999997</v>
      </c>
      <c r="W49" s="16">
        <f ca="1">_xll.DBRW($D$4,$E$7,$E$8,$E$9,$E$10,$E$12,$D49,$E$6,W$18,W$17)</f>
        <v>9.9484036379108021E-2</v>
      </c>
      <c r="X49" s="16"/>
      <c r="Y49" s="16"/>
      <c r="Z49" s="16"/>
      <c r="AA49" s="16"/>
      <c r="AB49" s="16">
        <f ca="1">_xll.DBRW($D$4,$E$7,$E$8,$E$9,$E$10,$E$12,$D49,$E$6,AB$18,AB$17)</f>
        <v>-1.9627753199999998</v>
      </c>
      <c r="AC49" s="16">
        <f ca="1">_xll.DBRW($D$4,$E$7,$E$8,$E$9,$E$10,$E$12,$D49,$E$6,AC$18,AC$17)</f>
        <v>8.9070385286383488E-2</v>
      </c>
      <c r="AD49" s="16"/>
      <c r="AE49" s="16"/>
      <c r="AF49" s="16"/>
      <c r="AG49" s="16"/>
      <c r="AH49" s="16">
        <f ca="1">_xll.DBRW($D$4,$E$7,$E$8,$E$9,$E$10,$E$12,$D49,$E$6,AH$18,AH$17)</f>
        <v>-1.6227167200000003</v>
      </c>
      <c r="AI49" s="16">
        <f ca="1">_xll.DBRW($D$4,$E$7,$E$8,$E$9,$E$10,$E$12,$D49,$E$6,AI$18,AI$17)</f>
        <v>7.3638588170680946E-2</v>
      </c>
      <c r="AJ49" s="16"/>
      <c r="AK49" s="16"/>
      <c r="AL49" s="16"/>
      <c r="AM49" s="16"/>
      <c r="AN49" s="16">
        <f ca="1">_xll.DBRW($D$4,$E$7,$E$8,$E$9,$E$10,$E$12,$D49,$E$6,AN$18,AN$17)</f>
        <v>-5.0765300499999979</v>
      </c>
      <c r="AO49" s="16">
        <f ca="1">_xll.DBRW($D$4,$E$7,$E$8,$E$9,$E$10,$E$12,$D49,$E$6,AO$18,AO$17)</f>
        <v>0.23037200583478068</v>
      </c>
      <c r="AP49" s="16"/>
      <c r="AQ49" s="16"/>
      <c r="AR49" s="16"/>
      <c r="AS49" s="16"/>
      <c r="AT49" s="16">
        <f ca="1">_xll.DBRW($D$4,$E$7,$E$8,$E$9,$E$10,$E$12,$D49,$E$6,AT$18,AT$17)</f>
        <v>0.37028047999999986</v>
      </c>
      <c r="AU49" s="16">
        <f ca="1">_xll.DBRW($D$4,$E$7,$E$8,$E$9,$E$10,$E$12,$D49,$E$6,AU$18,AU$17)</f>
        <v>5.3989569999999993</v>
      </c>
      <c r="AV49" s="16">
        <f ca="1">_xll.DBRW($D$4,$E$7,$E$8,$E$9,$E$10,$E$12,$D49,$E$6,AV$18,AV$17)</f>
        <v>5.3989569999999993</v>
      </c>
      <c r="AW49" s="16">
        <f ca="1">_xll.DBRW($D$4,$E$7,$E$8,$E$9,$E$10,$E$12,$D49,$E$6,AW$18,AW$17)</f>
        <v>5.3989569999999993</v>
      </c>
      <c r="AX49" s="16">
        <f ca="1">_xll.DBRW($D$4,$E$7,$E$8,$E$9,$E$10,$E$12,$D49,$E$6,AX$18,AX$17)</f>
        <v>2.1547700499999998</v>
      </c>
      <c r="AY49" s="16">
        <f ca="1">_xll.DBRW($D$4,$E$7,$E$8,$E$9,$E$10,$E$12,$D49,$E$6,AY$18,AY$17)</f>
        <v>5.3989569999999993</v>
      </c>
      <c r="AZ49" s="16">
        <f ca="1">_xll.DBRW($D$4,$E$7,$E$8,$E$9,$E$10,$E$12,$D49,$E$6,AZ$18,AZ$17)</f>
        <v>4.194037999999999</v>
      </c>
      <c r="BA49" s="16">
        <f ca="1">_xll.DBRW($D$4,$E$7,$E$8,$E$9,$E$10,$E$12,$D49,$E$6,BA$18,BA$17)</f>
        <v>5.3989569999999993</v>
      </c>
      <c r="BB49" s="16">
        <f ca="1">_xll.DBRW($D$4,$E$7,$E$8,$E$9,$E$10,$E$12,$D49,$E$6,BB$18,BB$17)</f>
        <v>5.3989569999999993</v>
      </c>
      <c r="BC49" s="16">
        <f ca="1">_xll.DBRW($D$4,$E$7,$E$8,$E$9,$E$10,$E$12,$D49,$E$6,BC$18,BC$17)</f>
        <v>5.3989569999999993</v>
      </c>
      <c r="BD49" s="16">
        <f ca="1">_xll.DBRW($D$4,$E$7,$E$8,$E$9,$E$10,$E$12,$D49,$E$6,BD$18,BD$17)</f>
        <v>0.75207906353198251</v>
      </c>
      <c r="BE49" s="16">
        <f ca="1">_xll.DBRW($D$4,$E$7,$E$8,$E$9,$E$10,$E$12,$D49,$E$6,BE$18,BE$17)</f>
        <v>-1.6665107600000004</v>
      </c>
      <c r="BF49" s="16">
        <f ca="1">_xll.DBRW($D$4,$E$7,$E$8,$E$9,$E$10,$E$12,$D49,$E$6,BF$18,BF$17)</f>
        <v>0</v>
      </c>
      <c r="BG49" s="26">
        <f ca="1">_xll.DBRW($D$4,$E$7,$E$8,$E$9,$E$10,$E$12,$D49,$E$6,BG$18,BG$17)</f>
        <v>-0.47190667749999998</v>
      </c>
      <c r="BH49" s="26">
        <f ca="1">_xll.DBRW($D$4,$E$7,$E$8,$E$9,$E$10,$E$12,$D49,$E$6,BH$18,BH$17)</f>
        <v>0</v>
      </c>
      <c r="BI49" s="26">
        <f ca="1">_xll.DBRW($D$4,$E$7,$E$8,$E$9,$E$10,$E$12,$D49,$E$6,BI$18,BI$17)</f>
        <v>0</v>
      </c>
      <c r="BJ49" s="26">
        <f ca="1">_xll.DBRW($D$4,$E$7,$E$8,$E$9,$E$10,$E$12,$D49,$E$6,BJ$18,BJ$17)</f>
        <v>0</v>
      </c>
      <c r="BK49" s="16">
        <f ca="1">_xll.DBRW($D$4,$E$7,$E$8,$E$9,$E$10,$E$12,$D49,$E$6,BK$18,BK$17)</f>
        <v>2.8904965010319827</v>
      </c>
      <c r="BL49" s="16">
        <f ca="1">_xll.DBRW($D$4,$E$7,$E$8,$E$9,$E$10,$E$12,$D49,$E$6,BL$18,BL$17)</f>
        <v>25.976209166666671</v>
      </c>
      <c r="BM49" s="16">
        <f ca="1">_xll.DBRW($D$4,$E$7,$E$8,$E$9,$E$10,$E$12,$D49,$E$6,BM$18,BM$17)</f>
        <v>-11.303650664505099</v>
      </c>
      <c r="BN49" s="16">
        <f ca="1">_xll.DBRW($D$4,$E$7,$E$8,$E$9,$E$10,$E$12,$D49,$E$6,BN$18,BN$17)</f>
        <v>0.43515397462268013</v>
      </c>
      <c r="BO49" s="16"/>
      <c r="BP49" s="16"/>
      <c r="BQ49" s="16"/>
      <c r="BR49" s="16"/>
      <c r="BS49" s="16">
        <f ca="1">_xll.DBRW($D$4,$E$7,$E$8,$E$9,$E$10,$E$12,$D49,$E$6,BS$18,BS$17)</f>
        <v>-2.3807406237266657</v>
      </c>
      <c r="BT49" s="16">
        <f ca="1">_xll.DBRW($D$4,$E$7,$E$8,$E$9,$E$10,$E$12,$D49,$E$6,BT$18,BT$17)</f>
        <v>9.1650810495539609E-2</v>
      </c>
      <c r="BU49" s="16"/>
      <c r="BV49" s="16"/>
      <c r="BW49" s="16"/>
      <c r="BX49" s="16"/>
      <c r="BY49" s="16">
        <f ca="1">_xll.DBRW($D$4,$E$7,$E$8,$E$9,$E$10,$E$12,$D49,$E$6,BY$18,BY$17)</f>
        <v>-2.3416987055696001</v>
      </c>
      <c r="BZ49" s="16">
        <f ca="1">_xll.DBRW($D$4,$E$7,$E$8,$E$9,$E$10,$E$12,$D49,$E$6,BZ$18,BZ$17)</f>
        <v>9.0147822976977224E-2</v>
      </c>
      <c r="CA49" s="16"/>
      <c r="CB49" s="16"/>
      <c r="CC49" s="16"/>
      <c r="CD49" s="16"/>
      <c r="CE49" s="16">
        <f ca="1">_xll.DBRW($D$4,$E$7,$E$8,$E$9,$E$10,$E$12,$D49,$E$6,CE$18,CE$17)</f>
        <v>-1.9280703726666661</v>
      </c>
      <c r="CF49" s="16">
        <f ca="1">_xll.DBRW($D$4,$E$7,$E$8,$E$9,$E$10,$E$12,$D49,$E$6,CF$18,CF$17)</f>
        <v>7.4224470564427658E-2</v>
      </c>
      <c r="CG49" s="16"/>
      <c r="CH49" s="16"/>
      <c r="CI49" s="16"/>
      <c r="CJ49" s="16"/>
      <c r="CK49" s="16">
        <f ca="1">_xll.DBRW($D$4,$E$7,$E$8,$E$9,$E$10,$E$12,$D49,$E$6,CK$18,CK$17)</f>
        <v>-5.1315522991666604</v>
      </c>
      <c r="CL49" s="16">
        <f ca="1">_xll.DBRW($D$4,$E$7,$E$8,$E$9,$E$10,$E$12,$D49,$E$6,CL$18,CL$17)</f>
        <v>0.19754815901896872</v>
      </c>
      <c r="CM49" s="16"/>
      <c r="CN49" s="16"/>
      <c r="CO49" s="16"/>
      <c r="CP49" s="16"/>
      <c r="CQ49" s="16">
        <f ca="1">_xll.DBRW($D$4,$E$7,$E$8,$E$9,$E$10,$E$12,$D49,$E$6,CQ$18,CQ$17)</f>
        <v>0.39441946999999988</v>
      </c>
      <c r="CR49" s="16">
        <f ca="1">_xll.DBRW($D$4,$E$7,$E$8,$E$9,$E$10,$E$12,$D49,$E$6,CR$18,CR$17)</f>
        <v>6.6253459999999995</v>
      </c>
      <c r="CS49" s="16">
        <f ca="1">_xll.DBRW($D$4,$E$7,$E$8,$E$9,$E$10,$E$12,$D49,$E$6,CS$18,CS$17)</f>
        <v>6.6253459999999995</v>
      </c>
      <c r="CT49" s="16">
        <f ca="1">_xll.DBRW($D$4,$E$7,$E$8,$E$9,$E$10,$E$12,$D49,$E$6,CT$18,CT$17)</f>
        <v>6.6253459999999995</v>
      </c>
      <c r="CU49" s="16">
        <f ca="1">_xll.DBRW($D$4,$E$7,$E$8,$E$9,$E$10,$E$12,$D49,$E$6,CU$18,CU$17)</f>
        <v>2.8186070120000006</v>
      </c>
      <c r="CV49" s="16">
        <f ca="1">_xll.DBRW($D$4,$E$7,$E$8,$E$9,$E$10,$E$12,$D49,$E$6,CV$18,CV$17)</f>
        <v>6.6253459999999995</v>
      </c>
      <c r="CW49" s="16">
        <f ca="1">_xll.DBRW($D$4,$E$7,$E$8,$E$9,$E$10,$E$12,$D49,$E$6,CW$18,CW$17)</f>
        <v>5.0947713749999988</v>
      </c>
      <c r="CX49" s="16">
        <f ca="1">_xll.DBRW($D$4,$E$7,$E$8,$E$9,$E$10,$E$12,$D49,$E$6,CX$18,CX$17)</f>
        <v>6.6253459999999995</v>
      </c>
      <c r="CY49" s="16">
        <f ca="1">_xll.DBRW($D$4,$E$7,$E$8,$E$9,$E$10,$E$12,$D49,$E$6,CY$18,CY$17)</f>
        <v>6.6253459999999995</v>
      </c>
      <c r="CZ49" s="16">
        <f ca="1">_xll.DBRW($D$4,$E$7,$E$8,$E$9,$E$10,$E$12,$D49,$E$6,CZ$18,CZ$17)</f>
        <v>6.6253459999999995</v>
      </c>
      <c r="DA49" s="26">
        <f t="shared" ca="1" si="89"/>
        <v>-0.89183454353198632</v>
      </c>
      <c r="DB49" s="26">
        <f t="shared" ca="1" si="90"/>
        <v>0.58693797000000059</v>
      </c>
      <c r="DC49" s="26">
        <f t="shared" ca="1" si="91"/>
        <v>0</v>
      </c>
      <c r="DD49" s="26">
        <f t="shared" ca="1" si="92"/>
        <v>1.2556497499999986E-2</v>
      </c>
      <c r="DE49" s="26">
        <f t="shared" ca="1" si="93"/>
        <v>0</v>
      </c>
      <c r="DF49" s="26">
        <f t="shared" ca="1" si="94"/>
        <v>0</v>
      </c>
      <c r="DG49" s="26">
        <f t="shared" ca="1" si="95"/>
        <v>0</v>
      </c>
      <c r="DH49" s="26">
        <f t="shared" ca="1" si="96"/>
        <v>-1.4913290110319868</v>
      </c>
      <c r="DI49" s="26">
        <f t="shared" ca="1" si="97"/>
        <v>-3.9399811466666677</v>
      </c>
      <c r="DJ49" s="26">
        <f t="shared" ca="1" si="98"/>
        <v>1.5208651345050974</v>
      </c>
      <c r="DK49" s="26">
        <f t="shared" ca="1" si="99"/>
        <v>8.7870447351328096E-3</v>
      </c>
      <c r="DL49" s="26"/>
      <c r="DM49" s="26"/>
      <c r="DN49" s="26"/>
      <c r="DO49" s="26"/>
      <c r="DP49" s="26">
        <f t="shared" ca="1" si="100"/>
        <v>0.18848771372666606</v>
      </c>
      <c r="DQ49" s="26">
        <f t="shared" ca="1" si="101"/>
        <v>7.8332258835684121E-3</v>
      </c>
      <c r="DR49" s="26"/>
      <c r="DS49" s="26"/>
      <c r="DT49" s="26"/>
      <c r="DU49" s="26"/>
      <c r="DV49" s="26">
        <f t="shared" ca="1" si="102"/>
        <v>0.37892338556960037</v>
      </c>
      <c r="DW49" s="26">
        <f t="shared" ca="1" si="103"/>
        <v>-1.0774376905937355E-3</v>
      </c>
      <c r="DX49" s="26"/>
      <c r="DY49" s="26"/>
      <c r="DZ49" s="26"/>
      <c r="EA49" s="26"/>
      <c r="EB49" s="26">
        <f t="shared" ca="1" si="104"/>
        <v>0.30535365266666581</v>
      </c>
      <c r="EC49" s="26">
        <f t="shared" ca="1" si="105"/>
        <v>-5.8588239374671169E-4</v>
      </c>
      <c r="ED49" s="26"/>
      <c r="EE49" s="26"/>
      <c r="EF49" s="26"/>
      <c r="EG49" s="26"/>
      <c r="EH49" s="26">
        <f t="shared" ca="1" si="106"/>
        <v>5.502224916666254E-2</v>
      </c>
      <c r="EI49" s="29">
        <f t="shared" ca="1" si="107"/>
        <v>3.2823846815811963E-2</v>
      </c>
      <c r="EJ49" s="29"/>
      <c r="EK49" s="29"/>
      <c r="EL49" s="29"/>
      <c r="EM49" s="29"/>
      <c r="EN49" s="93"/>
      <c r="EO49" s="29"/>
      <c r="EP49" s="29"/>
      <c r="EQ49" s="29"/>
      <c r="ER49" s="29"/>
      <c r="ES49" s="29"/>
      <c r="ET49" s="29"/>
      <c r="EU49" s="93"/>
      <c r="EV49" s="29"/>
      <c r="EW49" s="29"/>
      <c r="EX49" s="29"/>
      <c r="EY49" s="29"/>
      <c r="EZ49" s="29"/>
      <c r="FA49" s="29"/>
      <c r="FB49" s="93"/>
      <c r="FC49" s="29"/>
      <c r="FD49" s="29"/>
      <c r="FE49" s="29"/>
      <c r="FF49" s="29"/>
      <c r="FG49" s="29"/>
      <c r="FH49" s="29"/>
      <c r="FI49" s="93"/>
      <c r="FJ49" s="29"/>
      <c r="FK49" s="29"/>
      <c r="FL49" s="29"/>
      <c r="FM49" s="29"/>
      <c r="FN49" s="29"/>
      <c r="FO49" s="29"/>
      <c r="FP49" s="93"/>
      <c r="FQ49" s="29"/>
      <c r="FR49" s="29"/>
      <c r="FS49" s="29"/>
      <c r="FT49" s="29"/>
      <c r="FU49" s="29"/>
      <c r="FV49" s="29"/>
    </row>
    <row r="50" spans="1:178" x14ac:dyDescent="0.25">
      <c r="A50" t="str">
        <f ca="1">IF(_xll.TM1RPTELISCONSOLIDATED($D$28,$D50),IF(_xll.TM1RPTELLEV($D$28,$D50)&lt;=3,_xll.TM1RPTELLEV($D$28,$D50),"D"),"N")</f>
        <v>N</v>
      </c>
      <c r="B50" t="str">
        <f ca="1">_xll.DBRA(Server&amp;"Management_organization",$D50,$B$27)</f>
        <v>L</v>
      </c>
      <c r="C50">
        <v>1</v>
      </c>
      <c r="D50" s="2" t="s">
        <v>94</v>
      </c>
      <c r="E50" s="26"/>
      <c r="F50" s="26"/>
      <c r="G50" s="16">
        <f ca="1">_xll.DBRW($D$4,$E$7,$E$8,$E$9,$E$10,$E$12,$D50,$E$6,G$18,G$17)</f>
        <v>0.47099007000000043</v>
      </c>
      <c r="H50" s="16">
        <f ca="1">_xll.DBRW($D$4,$E$7,$E$8,$E$9,$E$10,$E$12,$D50,$E$6,H$18,H$17)</f>
        <v>-0.6890812300000001</v>
      </c>
      <c r="I50" s="16">
        <f ca="1">_xll.DBRW($D$4,$E$7,$E$8,$E$9,$E$10,$E$12,$D50,$E$6,I$18,I$17)</f>
        <v>0</v>
      </c>
      <c r="J50" s="26">
        <f ca="1">_xll.DBRW($D$4,$E$7,$E$8,$E$9,$E$10,$E$12,$D50,$E$6,J$18,J$17)</f>
        <v>-0.27640057000000001</v>
      </c>
      <c r="K50" s="26">
        <f ca="1">_xll.DBRW($D$4,$E$7,$E$8,$E$9,$E$10,$E$12,$D50,$E$6,K$18,K$17)</f>
        <v>0</v>
      </c>
      <c r="L50" s="26">
        <f ca="1">_xll.DBRW($D$4,$E$7,$E$8,$E$9,$E$10,$E$12,$D50,$E$6,L$18,L$17)</f>
        <v>0</v>
      </c>
      <c r="M50" s="26">
        <f ca="1">_xll.DBRW($D$4,$E$7,$E$8,$E$9,$E$10,$E$12,$D50,$E$6,M$18,M$17)</f>
        <v>0</v>
      </c>
      <c r="N50" s="16">
        <f ca="1">_xll.DBRW($D$4,$E$7,$E$8,$E$9,$E$10,$E$12,$D50,$E$6,N$18,N$17)</f>
        <v>1.4364718700000003</v>
      </c>
      <c r="O50" s="16">
        <f ca="1">_xll.DBRW($D$4,$E$7,$E$8,$E$9,$E$10,$E$12,$D50,$E$6,O$18,O$17)</f>
        <v>11.75420716</v>
      </c>
      <c r="P50" s="74">
        <f ca="1">_xll.DBRW($D$4,$E$7,$E$8,$E$9,$E$10,$E$12,$D50,$E$6,P$18,P$17)</f>
        <v>-5.9535256900000002</v>
      </c>
      <c r="Q50" s="16">
        <f ca="1">_xll.DBRW($D$4,$E$7,$E$8,$E$9,$E$10,$E$12,$D50,$E$6,Q$18,Q$17)</f>
        <v>0.50650168139456209</v>
      </c>
      <c r="R50" s="16"/>
      <c r="S50" s="16"/>
      <c r="T50" s="16"/>
      <c r="U50" s="16"/>
      <c r="V50" s="16">
        <f ca="1">_xll.DBRW($D$4,$E$7,$E$8,$E$9,$E$10,$E$12,$D50,$E$6,V$18,V$17)</f>
        <v>-0.78230898000000004</v>
      </c>
      <c r="W50" s="16">
        <f ca="1">_xll.DBRW($D$4,$E$7,$E$8,$E$9,$E$10,$E$12,$D50,$E$6,W$18,W$17)</f>
        <v>6.6555656995924514E-2</v>
      </c>
      <c r="X50" s="16"/>
      <c r="Y50" s="16"/>
      <c r="Z50" s="16"/>
      <c r="AA50" s="16"/>
      <c r="AB50" s="16">
        <f ca="1">_xll.DBRW($D$4,$E$7,$E$8,$E$9,$E$10,$E$12,$D50,$E$6,AB$18,AB$17)</f>
        <v>-1.0355952100000001</v>
      </c>
      <c r="AC50" s="16">
        <f ca="1">_xll.DBRW($D$4,$E$7,$E$8,$E$9,$E$10,$E$12,$D50,$E$6,AC$18,AC$17)</f>
        <v>8.8104216294925333E-2</v>
      </c>
      <c r="AD50" s="16"/>
      <c r="AE50" s="16"/>
      <c r="AF50" s="16"/>
      <c r="AG50" s="16"/>
      <c r="AH50" s="16">
        <f ca="1">_xll.DBRW($D$4,$E$7,$E$8,$E$9,$E$10,$E$12,$D50,$E$6,AH$18,AH$17)</f>
        <v>-0.74396384999999976</v>
      </c>
      <c r="AI50" s="16">
        <f ca="1">_xll.DBRW($D$4,$E$7,$E$8,$E$9,$E$10,$E$12,$D50,$E$6,AI$18,AI$17)</f>
        <v>6.329340974453268E-2</v>
      </c>
      <c r="AJ50" s="16"/>
      <c r="AK50" s="16"/>
      <c r="AL50" s="16"/>
      <c r="AM50" s="16"/>
      <c r="AN50" s="16">
        <f ca="1">_xll.DBRW($D$4,$E$7,$E$8,$E$9,$E$10,$E$12,$D50,$E$6,AN$18,AN$17)</f>
        <v>-1.8023415599999999</v>
      </c>
      <c r="AO50" s="16">
        <f ca="1">_xll.DBRW($D$4,$E$7,$E$8,$E$9,$E$10,$E$12,$D50,$E$6,AO$18,AO$17)</f>
        <v>0.15333586821010223</v>
      </c>
      <c r="AP50" s="16"/>
      <c r="AQ50" s="16"/>
      <c r="AR50" s="16"/>
      <c r="AS50" s="16"/>
      <c r="AT50" s="16">
        <f ca="1">_xll.DBRW($D$4,$E$7,$E$8,$E$9,$E$10,$E$12,$D50,$E$6,AT$18,AT$17)</f>
        <v>0.18961074</v>
      </c>
      <c r="AU50" s="16">
        <f ca="1">_xll.DBRW($D$4,$E$7,$E$8,$E$9,$E$10,$E$12,$D50,$E$6,AU$18,AU$17)</f>
        <v>2.5143829999999996</v>
      </c>
      <c r="AV50" s="16">
        <f ca="1">_xll.DBRW($D$4,$E$7,$E$8,$E$9,$E$10,$E$12,$D50,$E$6,AV$18,AV$17)</f>
        <v>2.5143829999999996</v>
      </c>
      <c r="AW50" s="16">
        <f ca="1">_xll.DBRW($D$4,$E$7,$E$8,$E$9,$E$10,$E$12,$D50,$E$6,AW$18,AW$17)</f>
        <v>2.5143829999999996</v>
      </c>
      <c r="AX50" s="16">
        <f ca="1">_xll.DBRW($D$4,$E$7,$E$8,$E$9,$E$10,$E$12,$D50,$E$6,AX$18,AX$17)</f>
        <v>1.05904183</v>
      </c>
      <c r="AY50" s="16">
        <f ca="1">_xll.DBRW($D$4,$E$7,$E$8,$E$9,$E$10,$E$12,$D50,$E$6,AY$18,AY$17)</f>
        <v>2.5143829999999996</v>
      </c>
      <c r="AZ50" s="16">
        <f ca="1">_xll.DBRW($D$4,$E$7,$E$8,$E$9,$E$10,$E$12,$D50,$E$6,AZ$18,AZ$17)</f>
        <v>2.0316683400000004</v>
      </c>
      <c r="BA50" s="16">
        <f ca="1">_xll.DBRW($D$4,$E$7,$E$8,$E$9,$E$10,$E$12,$D50,$E$6,BA$18,BA$17)</f>
        <v>2.5143829999999996</v>
      </c>
      <c r="BB50" s="16">
        <f ca="1">_xll.DBRW($D$4,$E$7,$E$8,$E$9,$E$10,$E$12,$D50,$E$6,BB$18,BB$17)</f>
        <v>2.5143829999999996</v>
      </c>
      <c r="BC50" s="16">
        <f ca="1">_xll.DBRW($D$4,$E$7,$E$8,$E$9,$E$10,$E$12,$D50,$E$6,BC$18,BC$17)</f>
        <v>2.5143829999999996</v>
      </c>
      <c r="BD50" s="16">
        <f ca="1">_xll.DBRW($D$4,$E$7,$E$8,$E$9,$E$10,$E$12,$D50,$E$6,BD$18,BD$17)</f>
        <v>2.3352519280471939E-2</v>
      </c>
      <c r="BE50" s="16">
        <f ca="1">_xll.DBRW($D$4,$E$7,$E$8,$E$9,$E$10,$E$12,$D50,$E$6,BE$18,BE$17)</f>
        <v>-0.99503563631309833</v>
      </c>
      <c r="BF50" s="16">
        <f ca="1">_xll.DBRW($D$4,$E$7,$E$8,$E$9,$E$10,$E$12,$D50,$E$6,BF$18,BF$17)</f>
        <v>0</v>
      </c>
      <c r="BG50" s="26">
        <f ca="1">_xll.DBRW($D$4,$E$7,$E$8,$E$9,$E$10,$E$12,$D50,$E$6,BG$18,BG$17)</f>
        <v>-0.379600933958333</v>
      </c>
      <c r="BH50" s="26">
        <f ca="1">_xll.DBRW($D$4,$E$7,$E$8,$E$9,$E$10,$E$12,$D50,$E$6,BH$18,BH$17)</f>
        <v>0</v>
      </c>
      <c r="BI50" s="26">
        <f ca="1">_xll.DBRW($D$4,$E$7,$E$8,$E$9,$E$10,$E$12,$D50,$E$6,BI$18,BI$17)</f>
        <v>0</v>
      </c>
      <c r="BJ50" s="26">
        <f ca="1">_xll.DBRW($D$4,$E$7,$E$8,$E$9,$E$10,$E$12,$D50,$E$6,BJ$18,BJ$17)</f>
        <v>0</v>
      </c>
      <c r="BK50" s="16">
        <f ca="1">_xll.DBRW($D$4,$E$7,$E$8,$E$9,$E$10,$E$12,$D50,$E$6,BK$18,BK$17)</f>
        <v>1.3979890895519032</v>
      </c>
      <c r="BL50" s="16">
        <f ca="1">_xll.DBRW($D$4,$E$7,$E$8,$E$9,$E$10,$E$12,$D50,$E$6,BL$18,BL$17)</f>
        <v>13.618161710000001</v>
      </c>
      <c r="BM50" s="16">
        <f ca="1">_xll.DBRW($D$4,$E$7,$E$8,$E$9,$E$10,$E$12,$D50,$E$6,BM$18,BM$17)</f>
        <v>-6.9315471759773644</v>
      </c>
      <c r="BN50" s="16">
        <f ca="1">_xll.DBRW($D$4,$E$7,$E$8,$E$9,$E$10,$E$12,$D50,$E$6,BN$18,BN$17)</f>
        <v>0.50899286728894066</v>
      </c>
      <c r="BO50" s="16"/>
      <c r="BP50" s="16"/>
      <c r="BQ50" s="16"/>
      <c r="BR50" s="16"/>
      <c r="BS50" s="16">
        <f ca="1">_xll.DBRW($D$4,$E$7,$E$8,$E$9,$E$10,$E$12,$D50,$E$6,BS$18,BS$17)</f>
        <v>-0.97914089257408377</v>
      </c>
      <c r="BT50" s="16">
        <f ca="1">_xll.DBRW($D$4,$E$7,$E$8,$E$9,$E$10,$E$12,$D50,$E$6,BT$18,BT$17)</f>
        <v>7.1899637662188084E-2</v>
      </c>
      <c r="BU50" s="16"/>
      <c r="BV50" s="16"/>
      <c r="BW50" s="16"/>
      <c r="BX50" s="16"/>
      <c r="BY50" s="16">
        <f ca="1">_xll.DBRW($D$4,$E$7,$E$8,$E$9,$E$10,$E$12,$D50,$E$6,BY$18,BY$17)</f>
        <v>-0.9792455467756811</v>
      </c>
      <c r="BZ50" s="16">
        <f ca="1">_xll.DBRW($D$4,$E$7,$E$8,$E$9,$E$10,$E$12,$D50,$E$6,BZ$18,BZ$17)</f>
        <v>7.1907322561503131E-2</v>
      </c>
      <c r="CA50" s="16"/>
      <c r="CB50" s="16"/>
      <c r="CC50" s="16"/>
      <c r="CD50" s="16"/>
      <c r="CE50" s="16">
        <f ca="1">_xll.DBRW($D$4,$E$7,$E$8,$E$9,$E$10,$E$12,$D50,$E$6,CE$18,CE$17)</f>
        <v>-0.99520348999999975</v>
      </c>
      <c r="CF50" s="16">
        <f ca="1">_xll.DBRW($D$4,$E$7,$E$8,$E$9,$E$10,$E$12,$D50,$E$6,CF$18,CF$17)</f>
        <v>7.3079135876996409E-2</v>
      </c>
      <c r="CG50" s="16"/>
      <c r="CH50" s="16"/>
      <c r="CI50" s="16"/>
      <c r="CJ50" s="16"/>
      <c r="CK50" s="16">
        <f ca="1">_xll.DBRW($D$4,$E$7,$E$8,$E$9,$E$10,$E$12,$D50,$E$6,CK$18,CK$17)</f>
        <v>-2.335035515120969</v>
      </c>
      <c r="CL50" s="16">
        <f ca="1">_xll.DBRW($D$4,$E$7,$E$8,$E$9,$E$10,$E$12,$D50,$E$6,CL$18,CL$17)</f>
        <v>0.17146481036470002</v>
      </c>
      <c r="CM50" s="16"/>
      <c r="CN50" s="16"/>
      <c r="CO50" s="16"/>
      <c r="CP50" s="16"/>
      <c r="CQ50" s="16">
        <f ca="1">_xll.DBRW($D$4,$E$7,$E$8,$E$9,$E$10,$E$12,$D50,$E$6,CQ$18,CQ$17)</f>
        <v>0.20992740999999998</v>
      </c>
      <c r="CR50" s="16">
        <f ca="1">_xll.DBRW($D$4,$E$7,$E$8,$E$9,$E$10,$E$12,$D50,$E$6,CR$18,CR$17)</f>
        <v>2.8117701537899999</v>
      </c>
      <c r="CS50" s="16">
        <f ca="1">_xll.DBRW($D$4,$E$7,$E$8,$E$9,$E$10,$E$12,$D50,$E$6,CS$18,CS$17)</f>
        <v>2.8117701537899999</v>
      </c>
      <c r="CT50" s="16">
        <f ca="1">_xll.DBRW($D$4,$E$7,$E$8,$E$9,$E$10,$E$12,$D50,$E$6,CT$18,CT$17)</f>
        <v>2.8117701537899999</v>
      </c>
      <c r="CU50" s="16">
        <f ca="1">_xll.DBRW($D$4,$E$7,$E$8,$E$9,$E$10,$E$12,$D50,$E$6,CU$18,CU$17)</f>
        <v>1.1786778367545598</v>
      </c>
      <c r="CV50" s="16">
        <f ca="1">_xll.DBRW($D$4,$E$7,$E$8,$E$9,$E$10,$E$12,$D50,$E$6,CV$18,CV$17)</f>
        <v>2.8117701537899999</v>
      </c>
      <c r="CW50" s="16">
        <f ca="1">_xll.DBRW($D$4,$E$7,$E$8,$E$9,$E$10,$E$12,$D50,$E$6,CW$18,CW$17)</f>
        <v>2.2497752160000002</v>
      </c>
      <c r="CX50" s="16">
        <f ca="1">_xll.DBRW($D$4,$E$7,$E$8,$E$9,$E$10,$E$12,$D50,$E$6,CX$18,CX$17)</f>
        <v>2.8117701537899999</v>
      </c>
      <c r="CY50" s="16">
        <f ca="1">_xll.DBRW($D$4,$E$7,$E$8,$E$9,$E$10,$E$12,$D50,$E$6,CY$18,CY$17)</f>
        <v>2.8117701537899999</v>
      </c>
      <c r="CZ50" s="16">
        <f ca="1">_xll.DBRW($D$4,$E$7,$E$8,$E$9,$E$10,$E$12,$D50,$E$6,CZ$18,CZ$17)</f>
        <v>2.8117701537899999</v>
      </c>
      <c r="DA50" s="26">
        <f t="shared" ca="1" si="89"/>
        <v>0.44763755071952849</v>
      </c>
      <c r="DB50" s="26">
        <f t="shared" ca="1" si="90"/>
        <v>0.30595440631309823</v>
      </c>
      <c r="DC50" s="26">
        <f t="shared" ca="1" si="91"/>
        <v>0</v>
      </c>
      <c r="DD50" s="26">
        <f t="shared" ca="1" si="92"/>
        <v>0.10320036395833299</v>
      </c>
      <c r="DE50" s="26">
        <f t="shared" ca="1" si="93"/>
        <v>0</v>
      </c>
      <c r="DF50" s="26">
        <f t="shared" ca="1" si="94"/>
        <v>0</v>
      </c>
      <c r="DG50" s="26">
        <f t="shared" ca="1" si="95"/>
        <v>0</v>
      </c>
      <c r="DH50" s="26">
        <f t="shared" ca="1" si="96"/>
        <v>3.8482780448097165E-2</v>
      </c>
      <c r="DI50" s="26">
        <f t="shared" ca="1" si="97"/>
        <v>-1.8639545500000008</v>
      </c>
      <c r="DJ50" s="26">
        <f t="shared" ca="1" si="98"/>
        <v>0.97802148597736416</v>
      </c>
      <c r="DK50" s="26">
        <f t="shared" ca="1" si="99"/>
        <v>-2.4911858943785781E-3</v>
      </c>
      <c r="DL50" s="26"/>
      <c r="DM50" s="26"/>
      <c r="DN50" s="26"/>
      <c r="DO50" s="26"/>
      <c r="DP50" s="26">
        <f t="shared" ca="1" si="100"/>
        <v>0.19683191257408372</v>
      </c>
      <c r="DQ50" s="26">
        <f t="shared" ca="1" si="101"/>
        <v>-5.3439806662635703E-3</v>
      </c>
      <c r="DR50" s="26"/>
      <c r="DS50" s="26"/>
      <c r="DT50" s="26"/>
      <c r="DU50" s="26"/>
      <c r="DV50" s="26">
        <f t="shared" ca="1" si="102"/>
        <v>-5.6349663224319002E-2</v>
      </c>
      <c r="DW50" s="26">
        <f t="shared" ca="1" si="103"/>
        <v>1.6196893733422202E-2</v>
      </c>
      <c r="DX50" s="26"/>
      <c r="DY50" s="26"/>
      <c r="DZ50" s="26"/>
      <c r="EA50" s="26"/>
      <c r="EB50" s="26">
        <f t="shared" ca="1" si="104"/>
        <v>0.25123963999999999</v>
      </c>
      <c r="EC50" s="26">
        <f t="shared" ca="1" si="105"/>
        <v>-9.785726132463729E-3</v>
      </c>
      <c r="ED50" s="26"/>
      <c r="EE50" s="26"/>
      <c r="EF50" s="26"/>
      <c r="EG50" s="26"/>
      <c r="EH50" s="26">
        <f t="shared" ca="1" si="106"/>
        <v>0.53269395512096906</v>
      </c>
      <c r="EI50" s="29">
        <f t="shared" ca="1" si="107"/>
        <v>-1.8128942154597788E-2</v>
      </c>
      <c r="EJ50" s="29"/>
      <c r="EK50" s="29"/>
      <c r="EL50" s="29"/>
      <c r="EM50" s="29"/>
      <c r="EN50" s="93"/>
      <c r="EO50" s="29"/>
      <c r="EP50" s="29"/>
      <c r="EQ50" s="29"/>
      <c r="ER50" s="29"/>
      <c r="ES50" s="29"/>
      <c r="ET50" s="29"/>
      <c r="EU50" s="93"/>
      <c r="EV50" s="29"/>
      <c r="EW50" s="29"/>
      <c r="EX50" s="29"/>
      <c r="EY50" s="29"/>
      <c r="EZ50" s="29"/>
      <c r="FA50" s="29"/>
      <c r="FB50" s="93"/>
      <c r="FC50" s="29"/>
      <c r="FD50" s="29"/>
      <c r="FE50" s="29"/>
      <c r="FF50" s="29"/>
      <c r="FG50" s="29"/>
      <c r="FH50" s="29"/>
      <c r="FI50" s="93"/>
      <c r="FJ50" s="29"/>
      <c r="FK50" s="29"/>
      <c r="FL50" s="29"/>
      <c r="FM50" s="29"/>
      <c r="FN50" s="29"/>
      <c r="FO50" s="29"/>
      <c r="FP50" s="93"/>
      <c r="FQ50" s="29"/>
      <c r="FR50" s="29"/>
      <c r="FS50" s="29"/>
      <c r="FT50" s="29"/>
      <c r="FU50" s="29"/>
      <c r="FV50" s="29"/>
    </row>
    <row r="51" spans="1:178" x14ac:dyDescent="0.25">
      <c r="A51" t="str">
        <f ca="1">IF(_xll.TM1RPTELISCONSOLIDATED($D$28,$D51),IF(_xll.TM1RPTELLEV($D$28,$D51)&lt;=3,_xll.TM1RPTELLEV($D$28,$D51),"D"),"N")</f>
        <v>N</v>
      </c>
      <c r="B51" t="str">
        <f ca="1">_xll.DBRA(Server&amp;"Management_organization",$D51,$B$27)</f>
        <v>L</v>
      </c>
      <c r="C51">
        <v>1</v>
      </c>
      <c r="D51" s="2" t="s">
        <v>95</v>
      </c>
      <c r="E51" s="26"/>
      <c r="F51" s="26"/>
      <c r="G51" s="16">
        <f ca="1">_xll.DBRW($D$4,$E$7,$E$8,$E$9,$E$10,$E$12,$D51,$E$6,G$18,G$17)</f>
        <v>0.70683372</v>
      </c>
      <c r="H51" s="16">
        <f ca="1">_xll.DBRW($D$4,$E$7,$E$8,$E$9,$E$10,$E$12,$D51,$E$6,H$18,H$17)</f>
        <v>-0.68796394000000005</v>
      </c>
      <c r="I51" s="16">
        <f ca="1">_xll.DBRW($D$4,$E$7,$E$8,$E$9,$E$10,$E$12,$D51,$E$6,I$18,I$17)</f>
        <v>0</v>
      </c>
      <c r="J51" s="26">
        <f ca="1">_xll.DBRW($D$4,$E$7,$E$8,$E$9,$E$10,$E$12,$D51,$E$6,J$18,J$17)</f>
        <v>-6.5292759999999991E-2</v>
      </c>
      <c r="K51" s="26">
        <f ca="1">_xll.DBRW($D$4,$E$7,$E$8,$E$9,$E$10,$E$12,$D51,$E$6,K$18,K$17)</f>
        <v>0</v>
      </c>
      <c r="L51" s="26">
        <f ca="1">_xll.DBRW($D$4,$E$7,$E$8,$E$9,$E$10,$E$12,$D51,$E$6,L$18,L$17)</f>
        <v>0</v>
      </c>
      <c r="M51" s="26">
        <f ca="1">_xll.DBRW($D$4,$E$7,$E$8,$E$9,$E$10,$E$12,$D51,$E$6,M$18,M$17)</f>
        <v>0</v>
      </c>
      <c r="N51" s="16">
        <f ca="1">_xll.DBRW($D$4,$E$7,$E$8,$E$9,$E$10,$E$12,$D51,$E$6,N$18,N$17)</f>
        <v>1.4600904200000002</v>
      </c>
      <c r="O51" s="16">
        <f ca="1">_xll.DBRW($D$4,$E$7,$E$8,$E$9,$E$10,$E$12,$D51,$E$6,O$18,O$17)</f>
        <v>8.4054129500000005</v>
      </c>
      <c r="P51" s="74">
        <f ca="1">_xll.DBRW($D$4,$E$7,$E$8,$E$9,$E$10,$E$12,$D51,$E$6,P$18,P$17)</f>
        <v>-3.2154269599999994</v>
      </c>
      <c r="Q51" s="16">
        <f ca="1">_xll.DBRW($D$4,$E$7,$E$8,$E$9,$E$10,$E$12,$D51,$E$6,Q$18,Q$17)</f>
        <v>0.38254241393339267</v>
      </c>
      <c r="R51" s="16"/>
      <c r="S51" s="16"/>
      <c r="T51" s="16"/>
      <c r="U51" s="16"/>
      <c r="V51" s="16">
        <f ca="1">_xll.DBRW($D$4,$E$7,$E$8,$E$9,$E$10,$E$12,$D51,$E$6,V$18,V$17)</f>
        <v>-0.78454822000000002</v>
      </c>
      <c r="W51" s="16">
        <f ca="1">_xll.DBRW($D$4,$E$7,$E$8,$E$9,$E$10,$E$12,$D51,$E$6,W$18,W$17)</f>
        <v>9.3338450432705986E-2</v>
      </c>
      <c r="X51" s="16"/>
      <c r="Y51" s="16"/>
      <c r="Z51" s="16"/>
      <c r="AA51" s="16"/>
      <c r="AB51" s="16">
        <f ca="1">_xll.DBRW($D$4,$E$7,$E$8,$E$9,$E$10,$E$12,$D51,$E$6,AB$18,AB$17)</f>
        <v>-0.8171816799999998</v>
      </c>
      <c r="AC51" s="16">
        <f ca="1">_xll.DBRW($D$4,$E$7,$E$8,$E$9,$E$10,$E$12,$D51,$E$6,AC$18,AC$17)</f>
        <v>9.7220884311222305E-2</v>
      </c>
      <c r="AD51" s="16"/>
      <c r="AE51" s="16"/>
      <c r="AF51" s="16"/>
      <c r="AG51" s="16"/>
      <c r="AH51" s="16">
        <f ca="1">_xll.DBRW($D$4,$E$7,$E$8,$E$9,$E$10,$E$12,$D51,$E$6,AH$18,AH$17)</f>
        <v>-0.61259540999999995</v>
      </c>
      <c r="AI51" s="16">
        <f ca="1">_xll.DBRW($D$4,$E$7,$E$8,$E$9,$E$10,$E$12,$D51,$E$6,AI$18,AI$17)</f>
        <v>7.2881060531356748E-2</v>
      </c>
      <c r="AJ51" s="16"/>
      <c r="AK51" s="16"/>
      <c r="AL51" s="16"/>
      <c r="AM51" s="16"/>
      <c r="AN51" s="16">
        <f ca="1">_xll.DBRW($D$4,$E$7,$E$8,$E$9,$E$10,$E$12,$D51,$E$6,AN$18,AN$17)</f>
        <v>-1.5155702599999998</v>
      </c>
      <c r="AO51" s="16">
        <f ca="1">_xll.DBRW($D$4,$E$7,$E$8,$E$9,$E$10,$E$12,$D51,$E$6,AO$18,AO$17)</f>
        <v>0.18030884015044135</v>
      </c>
      <c r="AP51" s="16"/>
      <c r="AQ51" s="16"/>
      <c r="AR51" s="16"/>
      <c r="AS51" s="16"/>
      <c r="AT51" s="16">
        <f ca="1">_xll.DBRW($D$4,$E$7,$E$8,$E$9,$E$10,$E$12,$D51,$E$6,AT$18,AT$17)</f>
        <v>9.7686599999999998E-2</v>
      </c>
      <c r="AU51" s="16">
        <f ca="1">_xll.DBRW($D$4,$E$7,$E$8,$E$9,$E$10,$E$12,$D51,$E$6,AU$18,AU$17)</f>
        <v>2.6910309999999997</v>
      </c>
      <c r="AV51" s="16">
        <f ca="1">_xll.DBRW($D$4,$E$7,$E$8,$E$9,$E$10,$E$12,$D51,$E$6,AV$18,AV$17)</f>
        <v>2.6910309999999997</v>
      </c>
      <c r="AW51" s="16">
        <f ca="1">_xll.DBRW($D$4,$E$7,$E$8,$E$9,$E$10,$E$12,$D51,$E$6,AW$18,AW$17)</f>
        <v>2.6910309999999997</v>
      </c>
      <c r="AX51" s="16">
        <f ca="1">_xll.DBRW($D$4,$E$7,$E$8,$E$9,$E$10,$E$12,$D51,$E$6,AX$18,AX$17)</f>
        <v>0.89803812999999999</v>
      </c>
      <c r="AY51" s="16">
        <f ca="1">_xll.DBRW($D$4,$E$7,$E$8,$E$9,$E$10,$E$12,$D51,$E$6,AY$18,AY$17)</f>
        <v>2.6910309999999997</v>
      </c>
      <c r="AZ51" s="16">
        <f ca="1">_xll.DBRW($D$4,$E$7,$E$8,$E$9,$E$10,$E$12,$D51,$E$6,AZ$18,AZ$17)</f>
        <v>1.75662137</v>
      </c>
      <c r="BA51" s="16">
        <f ca="1">_xll.DBRW($D$4,$E$7,$E$8,$E$9,$E$10,$E$12,$D51,$E$6,BA$18,BA$17)</f>
        <v>2.6910309999999997</v>
      </c>
      <c r="BB51" s="16">
        <f ca="1">_xll.DBRW($D$4,$E$7,$E$8,$E$9,$E$10,$E$12,$D51,$E$6,BB$18,BB$17)</f>
        <v>2.6910309999999997</v>
      </c>
      <c r="BC51" s="16">
        <f ca="1">_xll.DBRW($D$4,$E$7,$E$8,$E$9,$E$10,$E$12,$D51,$E$6,BC$18,BC$17)</f>
        <v>2.6910309999999997</v>
      </c>
      <c r="BD51" s="16">
        <f ca="1">_xll.DBRW($D$4,$E$7,$E$8,$E$9,$E$10,$E$12,$D51,$E$6,BD$18,BD$17)</f>
        <v>0.31794707389135962</v>
      </c>
      <c r="BE51" s="16">
        <f ca="1">_xll.DBRW($D$4,$E$7,$E$8,$E$9,$E$10,$E$12,$D51,$E$6,BE$18,BE$17)</f>
        <v>-0.93838073999999994</v>
      </c>
      <c r="BF51" s="16">
        <f ca="1">_xll.DBRW($D$4,$E$7,$E$8,$E$9,$E$10,$E$12,$D51,$E$6,BF$18,BF$17)</f>
        <v>0</v>
      </c>
      <c r="BG51" s="26">
        <f ca="1">_xll.DBRW($D$4,$E$7,$E$8,$E$9,$E$10,$E$12,$D51,$E$6,BG$18,BG$17)</f>
        <v>-5.9925669999999986E-2</v>
      </c>
      <c r="BH51" s="26">
        <f ca="1">_xll.DBRW($D$4,$E$7,$E$8,$E$9,$E$10,$E$12,$D51,$E$6,BH$18,BH$17)</f>
        <v>0</v>
      </c>
      <c r="BI51" s="26">
        <f ca="1">_xll.DBRW($D$4,$E$7,$E$8,$E$9,$E$10,$E$12,$D51,$E$6,BI$18,BI$17)</f>
        <v>0</v>
      </c>
      <c r="BJ51" s="26">
        <f ca="1">_xll.DBRW($D$4,$E$7,$E$8,$E$9,$E$10,$E$12,$D51,$E$6,BJ$18,BJ$17)</f>
        <v>0</v>
      </c>
      <c r="BK51" s="16">
        <f ca="1">_xll.DBRW($D$4,$E$7,$E$8,$E$9,$E$10,$E$12,$D51,$E$6,BK$18,BK$17)</f>
        <v>1.3162534838913598</v>
      </c>
      <c r="BL51" s="16">
        <f ca="1">_xll.DBRW($D$4,$E$7,$E$8,$E$9,$E$10,$E$12,$D51,$E$6,BL$18,BL$17)</f>
        <v>9.6948191116666624</v>
      </c>
      <c r="BM51" s="16">
        <f ca="1">_xll.DBRW($D$4,$E$7,$E$8,$E$9,$E$10,$E$12,$D51,$E$6,BM$18,BM$17)</f>
        <v>-3.6626094733333301</v>
      </c>
      <c r="BN51" s="16">
        <f ca="1">_xll.DBRW($D$4,$E$7,$E$8,$E$9,$E$10,$E$12,$D51,$E$6,BN$18,BN$17)</f>
        <v>0.37779038795327052</v>
      </c>
      <c r="BO51" s="16"/>
      <c r="BP51" s="16"/>
      <c r="BQ51" s="16"/>
      <c r="BR51" s="16"/>
      <c r="BS51" s="16">
        <f ca="1">_xll.DBRW($D$4,$E$7,$E$8,$E$9,$E$10,$E$12,$D51,$E$6,BS$18,BS$17)</f>
        <v>-0.85390948300000002</v>
      </c>
      <c r="BT51" s="16">
        <f ca="1">_xll.DBRW($D$4,$E$7,$E$8,$E$9,$E$10,$E$12,$D51,$E$6,BT$18,BT$17)</f>
        <v>8.8078949505351029E-2</v>
      </c>
      <c r="BU51" s="16"/>
      <c r="BV51" s="16"/>
      <c r="BW51" s="16"/>
      <c r="BX51" s="16"/>
      <c r="BY51" s="16">
        <f ca="1">_xll.DBRW($D$4,$E$7,$E$8,$E$9,$E$10,$E$12,$D51,$E$6,BY$18,BY$17)</f>
        <v>-0.92668628977530432</v>
      </c>
      <c r="BZ51" s="16">
        <f ca="1">_xll.DBRW($D$4,$E$7,$E$8,$E$9,$E$10,$E$12,$D51,$E$6,BZ$18,BZ$17)</f>
        <v>9.5585722549494295E-2</v>
      </c>
      <c r="CA51" s="16"/>
      <c r="CB51" s="16"/>
      <c r="CC51" s="16"/>
      <c r="CD51" s="16"/>
      <c r="CE51" s="16">
        <f ca="1">_xll.DBRW($D$4,$E$7,$E$8,$E$9,$E$10,$E$12,$D51,$E$6,CE$18,CE$17)</f>
        <v>-1.0956215300000001</v>
      </c>
      <c r="CF51" s="16">
        <f ca="1">_xll.DBRW($D$4,$E$7,$E$8,$E$9,$E$10,$E$12,$D51,$E$6,CF$18,CF$17)</f>
        <v>0.11301103376766859</v>
      </c>
      <c r="CG51" s="16"/>
      <c r="CH51" s="16"/>
      <c r="CI51" s="16"/>
      <c r="CJ51" s="16"/>
      <c r="CK51" s="16">
        <f ca="1">_xll.DBRW($D$4,$E$7,$E$8,$E$9,$E$10,$E$12,$D51,$E$6,CK$18,CK$17)</f>
        <v>-1.839738851666666</v>
      </c>
      <c r="CL51" s="16">
        <f ca="1">_xll.DBRW($D$4,$E$7,$E$8,$E$9,$E$10,$E$12,$D51,$E$6,CL$18,CL$17)</f>
        <v>0.18976515502519692</v>
      </c>
      <c r="CM51" s="16"/>
      <c r="CN51" s="16"/>
      <c r="CO51" s="16"/>
      <c r="CP51" s="16"/>
      <c r="CQ51" s="16">
        <f ca="1">_xll.DBRW($D$4,$E$7,$E$8,$E$9,$E$10,$E$12,$D51,$E$6,CQ$18,CQ$17)</f>
        <v>0.116592</v>
      </c>
      <c r="CR51" s="16">
        <f ca="1">_xll.DBRW($D$4,$E$7,$E$8,$E$9,$E$10,$E$12,$D51,$E$6,CR$18,CR$17)</f>
        <v>3.1587481500000001</v>
      </c>
      <c r="CS51" s="16">
        <f ca="1">_xll.DBRW($D$4,$E$7,$E$8,$E$9,$E$10,$E$12,$D51,$E$6,CS$18,CS$17)</f>
        <v>3.1587481500000001</v>
      </c>
      <c r="CT51" s="16">
        <f ca="1">_xll.DBRW($D$4,$E$7,$E$8,$E$9,$E$10,$E$12,$D51,$E$6,CT$18,CT$17)</f>
        <v>3.1587481500000001</v>
      </c>
      <c r="CU51" s="16">
        <f ca="1">_xll.DBRW($D$4,$E$7,$E$8,$E$9,$E$10,$E$12,$D51,$E$6,CU$18,CU$17)</f>
        <v>1.038602508776</v>
      </c>
      <c r="CV51" s="16">
        <f ca="1">_xll.DBRW($D$4,$E$7,$E$8,$E$9,$E$10,$E$12,$D51,$E$6,CV$18,CV$17)</f>
        <v>3.1587481500000001</v>
      </c>
      <c r="CW51" s="16">
        <f ca="1">_xll.DBRW($D$4,$E$7,$E$8,$E$9,$E$10,$E$12,$D51,$E$6,CW$18,CW$17)</f>
        <v>2.0131945300000003</v>
      </c>
      <c r="CX51" s="16">
        <f ca="1">_xll.DBRW($D$4,$E$7,$E$8,$E$9,$E$10,$E$12,$D51,$E$6,CX$18,CX$17)</f>
        <v>3.1587481500000001</v>
      </c>
      <c r="CY51" s="16">
        <f ca="1">_xll.DBRW($D$4,$E$7,$E$8,$E$9,$E$10,$E$12,$D51,$E$6,CY$18,CY$17)</f>
        <v>3.1587481500000001</v>
      </c>
      <c r="CZ51" s="16">
        <f ca="1">_xll.DBRW($D$4,$E$7,$E$8,$E$9,$E$10,$E$12,$D51,$E$6,CZ$18,CZ$17)</f>
        <v>3.1587481500000001</v>
      </c>
      <c r="DA51" s="26">
        <f t="shared" ca="1" si="89"/>
        <v>0.38888664610864038</v>
      </c>
      <c r="DB51" s="26">
        <f t="shared" ca="1" si="90"/>
        <v>0.25041679999999988</v>
      </c>
      <c r="DC51" s="26">
        <f t="shared" ca="1" si="91"/>
        <v>0</v>
      </c>
      <c r="DD51" s="26">
        <f t="shared" ca="1" si="92"/>
        <v>-5.3670900000000049E-3</v>
      </c>
      <c r="DE51" s="26">
        <f t="shared" ca="1" si="93"/>
        <v>0</v>
      </c>
      <c r="DF51" s="26">
        <f t="shared" ca="1" si="94"/>
        <v>0</v>
      </c>
      <c r="DG51" s="26">
        <f t="shared" ca="1" si="95"/>
        <v>0</v>
      </c>
      <c r="DH51" s="26">
        <f t="shared" ca="1" si="96"/>
        <v>0.14383693610864046</v>
      </c>
      <c r="DI51" s="26">
        <f t="shared" ca="1" si="97"/>
        <v>-1.2894061616666619</v>
      </c>
      <c r="DJ51" s="26">
        <f t="shared" ca="1" si="98"/>
        <v>0.4471825133333307</v>
      </c>
      <c r="DK51" s="26">
        <f t="shared" ca="1" si="99"/>
        <v>4.7520259801221432E-3</v>
      </c>
      <c r="DL51" s="26"/>
      <c r="DM51" s="26"/>
      <c r="DN51" s="26"/>
      <c r="DO51" s="26"/>
      <c r="DP51" s="26">
        <f t="shared" ca="1" si="100"/>
        <v>6.9361263000000006E-2</v>
      </c>
      <c r="DQ51" s="26">
        <f t="shared" ca="1" si="101"/>
        <v>5.259500927354957E-3</v>
      </c>
      <c r="DR51" s="26"/>
      <c r="DS51" s="26"/>
      <c r="DT51" s="26"/>
      <c r="DU51" s="26"/>
      <c r="DV51" s="26">
        <f t="shared" ca="1" si="102"/>
        <v>0.10950460977530452</v>
      </c>
      <c r="DW51" s="26">
        <f t="shared" ca="1" si="103"/>
        <v>1.6351617617280101E-3</v>
      </c>
      <c r="DX51" s="26"/>
      <c r="DY51" s="26"/>
      <c r="DZ51" s="26"/>
      <c r="EA51" s="26"/>
      <c r="EB51" s="26">
        <f t="shared" ca="1" si="104"/>
        <v>0.48302612000000011</v>
      </c>
      <c r="EC51" s="26">
        <f t="shared" ca="1" si="105"/>
        <v>-4.0129973236311844E-2</v>
      </c>
      <c r="ED51" s="26"/>
      <c r="EE51" s="26"/>
      <c r="EF51" s="26"/>
      <c r="EG51" s="26"/>
      <c r="EH51" s="26">
        <f t="shared" ca="1" si="106"/>
        <v>0.32416859166666612</v>
      </c>
      <c r="EI51" s="29">
        <f t="shared" ca="1" si="107"/>
        <v>-9.456314874755567E-3</v>
      </c>
      <c r="EJ51" s="29"/>
      <c r="EK51" s="29"/>
      <c r="EL51" s="29"/>
      <c r="EM51" s="29"/>
      <c r="EN51" s="93"/>
      <c r="EO51" s="29"/>
      <c r="EP51" s="29"/>
      <c r="EQ51" s="29"/>
      <c r="ER51" s="29"/>
      <c r="ES51" s="29"/>
      <c r="ET51" s="29"/>
      <c r="EU51" s="93"/>
      <c r="EV51" s="29"/>
      <c r="EW51" s="29"/>
      <c r="EX51" s="29"/>
      <c r="EY51" s="29"/>
      <c r="EZ51" s="29"/>
      <c r="FA51" s="29"/>
      <c r="FB51" s="93"/>
      <c r="FC51" s="29"/>
      <c r="FD51" s="29"/>
      <c r="FE51" s="29"/>
      <c r="FF51" s="29"/>
      <c r="FG51" s="29"/>
      <c r="FH51" s="29"/>
      <c r="FI51" s="93"/>
      <c r="FJ51" s="29"/>
      <c r="FK51" s="29"/>
      <c r="FL51" s="29"/>
      <c r="FM51" s="29"/>
      <c r="FN51" s="29"/>
      <c r="FO51" s="29"/>
      <c r="FP51" s="93"/>
      <c r="FQ51" s="29"/>
      <c r="FR51" s="29"/>
      <c r="FS51" s="29"/>
      <c r="FT51" s="29"/>
      <c r="FU51" s="29"/>
      <c r="FV51" s="29"/>
    </row>
    <row r="52" spans="1:178" x14ac:dyDescent="0.25">
      <c r="A52" t="str">
        <f ca="1">IF(_xll.TM1RPTELISCONSOLIDATED($D$28,$D52),IF(_xll.TM1RPTELLEV($D$28,$D52)&lt;=3,_xll.TM1RPTELLEV($D$28,$D52),"D"),"N")</f>
        <v>N</v>
      </c>
      <c r="B52" t="str">
        <f ca="1">_xll.DBRA(Server&amp;"Management_organization",$D52,$B$27)</f>
        <v>L</v>
      </c>
      <c r="C52">
        <v>1</v>
      </c>
      <c r="D52" s="2" t="s">
        <v>96</v>
      </c>
      <c r="E52" s="26"/>
      <c r="F52" s="26"/>
      <c r="G52" s="16">
        <f ca="1">_xll.DBRW($D$4,$E$7,$E$8,$E$9,$E$10,$E$12,$D52,$E$6,G$18,G$17)</f>
        <v>1.4466602900000014</v>
      </c>
      <c r="H52" s="16">
        <f ca="1">_xll.DBRW($D$4,$E$7,$E$8,$E$9,$E$10,$E$12,$D52,$E$6,H$18,H$17)</f>
        <v>-0.70137736999999989</v>
      </c>
      <c r="I52" s="16">
        <f ca="1">_xll.DBRW($D$4,$E$7,$E$8,$E$9,$E$10,$E$12,$D52,$E$6,I$18,I$17)</f>
        <v>0</v>
      </c>
      <c r="J52" s="26">
        <f ca="1">_xll.DBRW($D$4,$E$7,$E$8,$E$9,$E$10,$E$12,$D52,$E$6,J$18,J$17)</f>
        <v>-0.16884647999999999</v>
      </c>
      <c r="K52" s="26">
        <f ca="1">_xll.DBRW($D$4,$E$7,$E$8,$E$9,$E$10,$E$12,$D52,$E$6,K$18,K$17)</f>
        <v>0</v>
      </c>
      <c r="L52" s="26">
        <f ca="1">_xll.DBRW($D$4,$E$7,$E$8,$E$9,$E$10,$E$12,$D52,$E$6,L$18,L$17)</f>
        <v>0</v>
      </c>
      <c r="M52" s="26">
        <f ca="1">_xll.DBRW($D$4,$E$7,$E$8,$E$9,$E$10,$E$12,$D52,$E$6,M$18,M$17)</f>
        <v>0</v>
      </c>
      <c r="N52" s="16">
        <f ca="1">_xll.DBRW($D$4,$E$7,$E$8,$E$9,$E$10,$E$12,$D52,$E$6,N$18,N$17)</f>
        <v>2.3168841400000013</v>
      </c>
      <c r="O52" s="16">
        <f ca="1">_xll.DBRW($D$4,$E$7,$E$8,$E$9,$E$10,$E$12,$D52,$E$6,O$18,O$17)</f>
        <v>13.7226605</v>
      </c>
      <c r="P52" s="74">
        <f ca="1">_xll.DBRW($D$4,$E$7,$E$8,$E$9,$E$10,$E$12,$D52,$E$6,P$18,P$17)</f>
        <v>-6.0913201699999995</v>
      </c>
      <c r="Q52" s="16">
        <f ca="1">_xll.DBRW($D$4,$E$7,$E$8,$E$9,$E$10,$E$12,$D52,$E$6,Q$18,Q$17)</f>
        <v>0.44388769728727162</v>
      </c>
      <c r="R52" s="16"/>
      <c r="S52" s="16"/>
      <c r="T52" s="16"/>
      <c r="U52" s="16"/>
      <c r="V52" s="16">
        <f ca="1">_xll.DBRW($D$4,$E$7,$E$8,$E$9,$E$10,$E$12,$D52,$E$6,V$18,V$17)</f>
        <v>-1.5292184099999999</v>
      </c>
      <c r="W52" s="16">
        <f ca="1">_xll.DBRW($D$4,$E$7,$E$8,$E$9,$E$10,$E$12,$D52,$E$6,W$18,W$17)</f>
        <v>0.11143745850157846</v>
      </c>
      <c r="X52" s="16"/>
      <c r="Y52" s="16"/>
      <c r="Z52" s="16"/>
      <c r="AA52" s="16"/>
      <c r="AB52" s="16">
        <f ca="1">_xll.DBRW($D$4,$E$7,$E$8,$E$9,$E$10,$E$12,$D52,$E$6,AB$18,AB$17)</f>
        <v>-1.1478788900000001</v>
      </c>
      <c r="AC52" s="16">
        <f ca="1">_xll.DBRW($D$4,$E$7,$E$8,$E$9,$E$10,$E$12,$D52,$E$6,AC$18,AC$17)</f>
        <v>8.3648421528755304E-2</v>
      </c>
      <c r="AD52" s="16"/>
      <c r="AE52" s="16"/>
      <c r="AF52" s="16"/>
      <c r="AG52" s="16"/>
      <c r="AH52" s="16">
        <f ca="1">_xll.DBRW($D$4,$E$7,$E$8,$E$9,$E$10,$E$12,$D52,$E$6,AH$18,AH$17)</f>
        <v>-0.93385414</v>
      </c>
      <c r="AI52" s="16">
        <f ca="1">_xll.DBRW($D$4,$E$7,$E$8,$E$9,$E$10,$E$12,$D52,$E$6,AI$18,AI$17)</f>
        <v>6.805197432378364E-2</v>
      </c>
      <c r="AJ52" s="16"/>
      <c r="AK52" s="16"/>
      <c r="AL52" s="16"/>
      <c r="AM52" s="16"/>
      <c r="AN52" s="16">
        <f ca="1">_xll.DBRW($D$4,$E$7,$E$8,$E$9,$E$10,$E$12,$D52,$E$6,AN$18,AN$17)</f>
        <v>-1.7035047499999998</v>
      </c>
      <c r="AO52" s="16">
        <f ca="1">_xll.DBRW($D$4,$E$7,$E$8,$E$9,$E$10,$E$12,$D52,$E$6,AO$18,AO$17)</f>
        <v>0.12413808167884062</v>
      </c>
      <c r="AP52" s="16"/>
      <c r="AQ52" s="16"/>
      <c r="AR52" s="16"/>
      <c r="AS52" s="16"/>
      <c r="AT52" s="16">
        <f ca="1">_xll.DBRW($D$4,$E$7,$E$8,$E$9,$E$10,$E$12,$D52,$E$6,AT$18,AT$17)</f>
        <v>0.18286284999999999</v>
      </c>
      <c r="AU52" s="16">
        <f ca="1">_xll.DBRW($D$4,$E$7,$E$8,$E$9,$E$10,$E$12,$D52,$E$6,AU$18,AU$17)</f>
        <v>3.9217969999999998</v>
      </c>
      <c r="AV52" s="16">
        <f ca="1">_xll.DBRW($D$4,$E$7,$E$8,$E$9,$E$10,$E$12,$D52,$E$6,AV$18,AV$17)</f>
        <v>3.9217969999999998</v>
      </c>
      <c r="AW52" s="16">
        <f ca="1">_xll.DBRW($D$4,$E$7,$E$8,$E$9,$E$10,$E$12,$D52,$E$6,AW$18,AW$17)</f>
        <v>3.9217969999999998</v>
      </c>
      <c r="AX52" s="16">
        <f ca="1">_xll.DBRW($D$4,$E$7,$E$8,$E$9,$E$10,$E$12,$D52,$E$6,AX$18,AX$17)</f>
        <v>1.35417042</v>
      </c>
      <c r="AY52" s="16">
        <f ca="1">_xll.DBRW($D$4,$E$7,$E$8,$E$9,$E$10,$E$12,$D52,$E$6,AY$18,AY$17)</f>
        <v>3.9217969999999998</v>
      </c>
      <c r="AZ52" s="16">
        <f ca="1">_xll.DBRW($D$4,$E$7,$E$8,$E$9,$E$10,$E$12,$D52,$E$6,AZ$18,AZ$17)</f>
        <v>2.7873730000000001</v>
      </c>
      <c r="BA52" s="16">
        <f ca="1">_xll.DBRW($D$4,$E$7,$E$8,$E$9,$E$10,$E$12,$D52,$E$6,BA$18,BA$17)</f>
        <v>3.9217969999999998</v>
      </c>
      <c r="BB52" s="16">
        <f ca="1">_xll.DBRW($D$4,$E$7,$E$8,$E$9,$E$10,$E$12,$D52,$E$6,BB$18,BB$17)</f>
        <v>3.9217969999999998</v>
      </c>
      <c r="BC52" s="16">
        <f ca="1">_xll.DBRW($D$4,$E$7,$E$8,$E$9,$E$10,$E$12,$D52,$E$6,BC$18,BC$17)</f>
        <v>3.9217969999999998</v>
      </c>
      <c r="BD52" s="16">
        <f ca="1">_xll.DBRW($D$4,$E$7,$E$8,$E$9,$E$10,$E$12,$D52,$E$6,BD$18,BD$17)</f>
        <v>0.16158508128066768</v>
      </c>
      <c r="BE52" s="16">
        <f ca="1">_xll.DBRW($D$4,$E$7,$E$8,$E$9,$E$10,$E$12,$D52,$E$6,BE$18,BE$17)</f>
        <v>-1.1409619999999989</v>
      </c>
      <c r="BF52" s="16">
        <f ca="1">_xll.DBRW($D$4,$E$7,$E$8,$E$9,$E$10,$E$12,$D52,$E$6,BF$18,BF$17)</f>
        <v>0</v>
      </c>
      <c r="BG52" s="26">
        <f ca="1">_xll.DBRW($D$4,$E$7,$E$8,$E$9,$E$10,$E$12,$D52,$E$6,BG$18,BG$17)</f>
        <v>-0.18888011999999998</v>
      </c>
      <c r="BH52" s="26">
        <f ca="1">_xll.DBRW($D$4,$E$7,$E$8,$E$9,$E$10,$E$12,$D52,$E$6,BH$18,BH$17)</f>
        <v>0</v>
      </c>
      <c r="BI52" s="26">
        <f ca="1">_xll.DBRW($D$4,$E$7,$E$8,$E$9,$E$10,$E$12,$D52,$E$6,BI$18,BI$17)</f>
        <v>0</v>
      </c>
      <c r="BJ52" s="26">
        <f ca="1">_xll.DBRW($D$4,$E$7,$E$8,$E$9,$E$10,$E$12,$D52,$E$6,BJ$18,BJ$17)</f>
        <v>0</v>
      </c>
      <c r="BK52" s="16">
        <f ca="1">_xll.DBRW($D$4,$E$7,$E$8,$E$9,$E$10,$E$12,$D52,$E$6,BK$18,BK$17)</f>
        <v>1.4914272012806666</v>
      </c>
      <c r="BL52" s="16">
        <f ca="1">_xll.DBRW($D$4,$E$7,$E$8,$E$9,$E$10,$E$12,$D52,$E$6,BL$18,BL$17)</f>
        <v>15.513684353333332</v>
      </c>
      <c r="BM52" s="16">
        <f ca="1">_xll.DBRW($D$4,$E$7,$E$8,$E$9,$E$10,$E$12,$D52,$E$6,BM$18,BM$17)</f>
        <v>-7.436892415</v>
      </c>
      <c r="BN52" s="16">
        <f ca="1">_xll.DBRW($D$4,$E$7,$E$8,$E$9,$E$10,$E$12,$D52,$E$6,BN$18,BN$17)</f>
        <v>0.47937628777409536</v>
      </c>
      <c r="BO52" s="16"/>
      <c r="BP52" s="16"/>
      <c r="BQ52" s="16"/>
      <c r="BR52" s="16"/>
      <c r="BS52" s="16">
        <f ca="1">_xll.DBRW($D$4,$E$7,$E$8,$E$9,$E$10,$E$12,$D52,$E$6,BS$18,BS$17)</f>
        <v>-1.7248245775000002</v>
      </c>
      <c r="BT52" s="16">
        <f ca="1">_xll.DBRW($D$4,$E$7,$E$8,$E$9,$E$10,$E$12,$D52,$E$6,BT$18,BT$17)</f>
        <v>0.11118084770942226</v>
      </c>
      <c r="BU52" s="16"/>
      <c r="BV52" s="16"/>
      <c r="BW52" s="16"/>
      <c r="BX52" s="16"/>
      <c r="BY52" s="16">
        <f ca="1">_xll.DBRW($D$4,$E$7,$E$8,$E$9,$E$10,$E$12,$D52,$E$6,BY$18,BY$17)</f>
        <v>-1.4610580628860002</v>
      </c>
      <c r="BZ52" s="16">
        <f ca="1">_xll.DBRW($D$4,$E$7,$E$8,$E$9,$E$10,$E$12,$D52,$E$6,BZ$18,BZ$17)</f>
        <v>9.4178663791884581E-2</v>
      </c>
      <c r="CA52" s="16"/>
      <c r="CB52" s="16"/>
      <c r="CC52" s="16"/>
      <c r="CD52" s="16"/>
      <c r="CE52" s="16">
        <f ca="1">_xll.DBRW($D$4,$E$7,$E$8,$E$9,$E$10,$E$12,$D52,$E$6,CE$18,CE$17)</f>
        <v>-1.24059137</v>
      </c>
      <c r="CF52" s="16">
        <f ca="1">_xll.DBRW($D$4,$E$7,$E$8,$E$9,$E$10,$E$12,$D52,$E$6,CF$18,CF$17)</f>
        <v>7.9967552629330224E-2</v>
      </c>
      <c r="CG52" s="16"/>
      <c r="CH52" s="16"/>
      <c r="CI52" s="16"/>
      <c r="CJ52" s="16"/>
      <c r="CK52" s="16">
        <f ca="1">_xll.DBRW($D$4,$E$7,$E$8,$E$9,$E$10,$E$12,$D52,$E$6,CK$18,CK$17)</f>
        <v>-2.1588907266666664</v>
      </c>
      <c r="CL52" s="16">
        <f ca="1">_xll.DBRW($D$4,$E$7,$E$8,$E$9,$E$10,$E$12,$D52,$E$6,CL$18,CL$17)</f>
        <v>0.13916041331618292</v>
      </c>
      <c r="CM52" s="16"/>
      <c r="CN52" s="16"/>
      <c r="CO52" s="16"/>
      <c r="CP52" s="16"/>
      <c r="CQ52" s="16">
        <f ca="1">_xll.DBRW($D$4,$E$7,$E$8,$E$9,$E$10,$E$12,$D52,$E$6,CQ$18,CQ$17)</f>
        <v>0.22295400000000001</v>
      </c>
      <c r="CR52" s="16">
        <f ca="1">_xll.DBRW($D$4,$E$7,$E$8,$E$9,$E$10,$E$12,$D52,$E$6,CR$18,CR$17)</f>
        <v>4.9422449999999989</v>
      </c>
      <c r="CS52" s="16">
        <f ca="1">_xll.DBRW($D$4,$E$7,$E$8,$E$9,$E$10,$E$12,$D52,$E$6,CS$18,CS$17)</f>
        <v>4.9422449999999989</v>
      </c>
      <c r="CT52" s="16">
        <f ca="1">_xll.DBRW($D$4,$E$7,$E$8,$E$9,$E$10,$E$12,$D52,$E$6,CT$18,CT$17)</f>
        <v>4.9422449999999989</v>
      </c>
      <c r="CU52" s="16">
        <f ca="1">_xll.DBRW($D$4,$E$7,$E$8,$E$9,$E$10,$E$12,$D52,$E$6,CU$18,CU$17)</f>
        <v>1.7624343339999999</v>
      </c>
      <c r="CV52" s="16">
        <f ca="1">_xll.DBRW($D$4,$E$7,$E$8,$E$9,$E$10,$E$12,$D52,$E$6,CV$18,CV$17)</f>
        <v>4.9422449999999989</v>
      </c>
      <c r="CW52" s="16">
        <f ca="1">_xll.DBRW($D$4,$E$7,$E$8,$E$9,$E$10,$E$12,$D52,$E$6,CW$18,CW$17)</f>
        <v>3.4829999999999997</v>
      </c>
      <c r="CX52" s="16">
        <f ca="1">_xll.DBRW($D$4,$E$7,$E$8,$E$9,$E$10,$E$12,$D52,$E$6,CX$18,CX$17)</f>
        <v>4.9422449999999989</v>
      </c>
      <c r="CY52" s="16">
        <f ca="1">_xll.DBRW($D$4,$E$7,$E$8,$E$9,$E$10,$E$12,$D52,$E$6,CY$18,CY$17)</f>
        <v>4.9422449999999989</v>
      </c>
      <c r="CZ52" s="16">
        <f ca="1">_xll.DBRW($D$4,$E$7,$E$8,$E$9,$E$10,$E$12,$D52,$E$6,CZ$18,CZ$17)</f>
        <v>4.9422449999999989</v>
      </c>
      <c r="DA52" s="26">
        <f t="shared" ca="1" si="89"/>
        <v>1.2850752087193338</v>
      </c>
      <c r="DB52" s="26">
        <f t="shared" ca="1" si="90"/>
        <v>0.43958462999999903</v>
      </c>
      <c r="DC52" s="26">
        <f t="shared" ca="1" si="91"/>
        <v>0</v>
      </c>
      <c r="DD52" s="26">
        <f t="shared" ca="1" si="92"/>
        <v>2.0033639999999991E-2</v>
      </c>
      <c r="DE52" s="26">
        <f t="shared" ca="1" si="93"/>
        <v>0</v>
      </c>
      <c r="DF52" s="26">
        <f t="shared" ca="1" si="94"/>
        <v>0</v>
      </c>
      <c r="DG52" s="26">
        <f t="shared" ca="1" si="95"/>
        <v>0</v>
      </c>
      <c r="DH52" s="26">
        <f t="shared" ca="1" si="96"/>
        <v>0.82545693871933468</v>
      </c>
      <c r="DI52" s="26">
        <f t="shared" ca="1" si="97"/>
        <v>-1.791023853333332</v>
      </c>
      <c r="DJ52" s="26">
        <f t="shared" ca="1" si="98"/>
        <v>1.3455722450000005</v>
      </c>
      <c r="DK52" s="26">
        <f t="shared" ca="1" si="99"/>
        <v>-3.5488590486823735E-2</v>
      </c>
      <c r="DL52" s="26"/>
      <c r="DM52" s="26"/>
      <c r="DN52" s="26"/>
      <c r="DO52" s="26"/>
      <c r="DP52" s="26">
        <f t="shared" ca="1" si="100"/>
        <v>0.19560616750000026</v>
      </c>
      <c r="DQ52" s="26">
        <f t="shared" ca="1" si="101"/>
        <v>2.5661079215620608E-4</v>
      </c>
      <c r="DR52" s="26"/>
      <c r="DS52" s="26"/>
      <c r="DT52" s="26"/>
      <c r="DU52" s="26"/>
      <c r="DV52" s="26">
        <f t="shared" ca="1" si="102"/>
        <v>0.31317917288600006</v>
      </c>
      <c r="DW52" s="26">
        <f t="shared" ca="1" si="103"/>
        <v>-1.0530242263129277E-2</v>
      </c>
      <c r="DX52" s="26"/>
      <c r="DY52" s="26"/>
      <c r="DZ52" s="26"/>
      <c r="EA52" s="26"/>
      <c r="EB52" s="26">
        <f t="shared" ca="1" si="104"/>
        <v>0.30673722999999997</v>
      </c>
      <c r="EC52" s="26">
        <f t="shared" ca="1" si="105"/>
        <v>-1.1915578305546584E-2</v>
      </c>
      <c r="ED52" s="26"/>
      <c r="EE52" s="26"/>
      <c r="EF52" s="26"/>
      <c r="EG52" s="26"/>
      <c r="EH52" s="26">
        <f t="shared" ca="1" si="106"/>
        <v>0.45538597666666658</v>
      </c>
      <c r="EI52" s="29">
        <f t="shared" ca="1" si="107"/>
        <v>-1.5022331637342304E-2</v>
      </c>
      <c r="EJ52" s="29"/>
      <c r="EK52" s="29"/>
      <c r="EL52" s="29"/>
      <c r="EM52" s="29"/>
      <c r="EN52" s="93"/>
      <c r="EO52" s="29"/>
      <c r="EP52" s="29"/>
      <c r="EQ52" s="29"/>
      <c r="ER52" s="29"/>
      <c r="ES52" s="29"/>
      <c r="ET52" s="29"/>
      <c r="EU52" s="93"/>
      <c r="EV52" s="29"/>
      <c r="EW52" s="29"/>
      <c r="EX52" s="29"/>
      <c r="EY52" s="29"/>
      <c r="EZ52" s="29"/>
      <c r="FA52" s="29"/>
      <c r="FB52" s="93"/>
      <c r="FC52" s="29"/>
      <c r="FD52" s="29"/>
      <c r="FE52" s="29"/>
      <c r="FF52" s="29"/>
      <c r="FG52" s="29"/>
      <c r="FH52" s="29"/>
      <c r="FI52" s="93"/>
      <c r="FJ52" s="29"/>
      <c r="FK52" s="29"/>
      <c r="FL52" s="29"/>
      <c r="FM52" s="29"/>
      <c r="FN52" s="29"/>
      <c r="FO52" s="29"/>
      <c r="FP52" s="93"/>
      <c r="FQ52" s="29"/>
      <c r="FR52" s="29"/>
      <c r="FS52" s="29"/>
      <c r="FT52" s="29"/>
      <c r="FU52" s="29"/>
      <c r="FV52" s="29"/>
    </row>
    <row r="53" spans="1:178" x14ac:dyDescent="0.25">
      <c r="A53" t="str">
        <f ca="1">IF(_xll.TM1RPTELISCONSOLIDATED($D$28,$D53),IF(_xll.TM1RPTELLEV($D$28,$D53)&lt;=3,_xll.TM1RPTELLEV($D$28,$D53),"D"),"N")</f>
        <v>N</v>
      </c>
      <c r="B53" t="str">
        <f ca="1">_xll.DBRA(Server&amp;"Management_organization",$D53,$B$27)</f>
        <v>L</v>
      </c>
      <c r="C53">
        <v>1</v>
      </c>
      <c r="D53" s="2" t="s">
        <v>97</v>
      </c>
      <c r="E53" s="26"/>
      <c r="F53" s="26"/>
      <c r="G53" s="16">
        <f ca="1">_xll.DBRW($D$4,$E$7,$E$8,$E$9,$E$10,$E$12,$D53,$E$6,G$18,G$17)</f>
        <v>1.6653191900000026</v>
      </c>
      <c r="H53" s="16">
        <f ca="1">_xll.DBRW($D$4,$E$7,$E$8,$E$9,$E$10,$E$12,$D53,$E$6,H$18,H$17)</f>
        <v>-0.76953111000000018</v>
      </c>
      <c r="I53" s="16">
        <f ca="1">_xll.DBRW($D$4,$E$7,$E$8,$E$9,$E$10,$E$12,$D53,$E$6,I$18,I$17)</f>
        <v>0</v>
      </c>
      <c r="J53" s="26">
        <f ca="1">_xll.DBRW($D$4,$E$7,$E$8,$E$9,$E$10,$E$12,$D53,$E$6,J$18,J$17)</f>
        <v>-0.20502439</v>
      </c>
      <c r="K53" s="26">
        <f ca="1">_xll.DBRW($D$4,$E$7,$E$8,$E$9,$E$10,$E$12,$D53,$E$6,K$18,K$17)</f>
        <v>0</v>
      </c>
      <c r="L53" s="26">
        <f ca="1">_xll.DBRW($D$4,$E$7,$E$8,$E$9,$E$10,$E$12,$D53,$E$6,L$18,L$17)</f>
        <v>0</v>
      </c>
      <c r="M53" s="26">
        <f ca="1">_xll.DBRW($D$4,$E$7,$E$8,$E$9,$E$10,$E$12,$D53,$E$6,M$18,M$17)</f>
        <v>0</v>
      </c>
      <c r="N53" s="16">
        <f ca="1">_xll.DBRW($D$4,$E$7,$E$8,$E$9,$E$10,$E$12,$D53,$E$6,N$18,N$17)</f>
        <v>2.6398746900000027</v>
      </c>
      <c r="O53" s="16">
        <f ca="1">_xll.DBRW($D$4,$E$7,$E$8,$E$9,$E$10,$E$12,$D53,$E$6,O$18,O$17)</f>
        <v>13.39527855</v>
      </c>
      <c r="P53" s="74">
        <f ca="1">_xll.DBRW($D$4,$E$7,$E$8,$E$9,$E$10,$E$12,$D53,$E$6,P$18,P$17)</f>
        <v>-5.9600976899999987</v>
      </c>
      <c r="Q53" s="16">
        <f ca="1">_xll.DBRW($D$4,$E$7,$E$8,$E$9,$E$10,$E$12,$D53,$E$6,Q$18,Q$17)</f>
        <v>0.44494018304680932</v>
      </c>
      <c r="R53" s="16"/>
      <c r="S53" s="16"/>
      <c r="T53" s="16"/>
      <c r="U53" s="16"/>
      <c r="V53" s="16">
        <f ca="1">_xll.DBRW($D$4,$E$7,$E$8,$E$9,$E$10,$E$12,$D53,$E$6,V$18,V$17)</f>
        <v>-1.2421218000000001</v>
      </c>
      <c r="W53" s="16">
        <f ca="1">_xll.DBRW($D$4,$E$7,$E$8,$E$9,$E$10,$E$12,$D53,$E$6,W$18,W$17)</f>
        <v>9.2728329266433956E-2</v>
      </c>
      <c r="X53" s="16"/>
      <c r="Y53" s="16"/>
      <c r="Z53" s="16"/>
      <c r="AA53" s="16"/>
      <c r="AB53" s="16">
        <f ca="1">_xll.DBRW($D$4,$E$7,$E$8,$E$9,$E$10,$E$12,$D53,$E$6,AB$18,AB$17)</f>
        <v>-0.98901928999999988</v>
      </c>
      <c r="AC53" s="16">
        <f ca="1">_xll.DBRW($D$4,$E$7,$E$8,$E$9,$E$10,$E$12,$D53,$E$6,AC$18,AC$17)</f>
        <v>7.3833424688283161E-2</v>
      </c>
      <c r="AD53" s="16"/>
      <c r="AE53" s="16"/>
      <c r="AF53" s="16"/>
      <c r="AG53" s="16"/>
      <c r="AH53" s="16">
        <f ca="1">_xll.DBRW($D$4,$E$7,$E$8,$E$9,$E$10,$E$12,$D53,$E$6,AH$18,AH$17)</f>
        <v>-0.92007101000000002</v>
      </c>
      <c r="AI53" s="16">
        <f ca="1">_xll.DBRW($D$4,$E$7,$E$8,$E$9,$E$10,$E$12,$D53,$E$6,AI$18,AI$17)</f>
        <v>6.8686217055187695E-2</v>
      </c>
      <c r="AJ53" s="16"/>
      <c r="AK53" s="16"/>
      <c r="AL53" s="16"/>
      <c r="AM53" s="16"/>
      <c r="AN53" s="16">
        <f ca="1">_xll.DBRW($D$4,$E$7,$E$8,$E$9,$E$10,$E$12,$D53,$E$6,AN$18,AN$17)</f>
        <v>-1.6440940699999997</v>
      </c>
      <c r="AO53" s="16">
        <f ca="1">_xll.DBRW($D$4,$E$7,$E$8,$E$9,$E$10,$E$12,$D53,$E$6,AO$18,AO$17)</f>
        <v>0.12273683327025699</v>
      </c>
      <c r="AP53" s="16"/>
      <c r="AQ53" s="16"/>
      <c r="AR53" s="16"/>
      <c r="AS53" s="16"/>
      <c r="AT53" s="16">
        <f ca="1">_xll.DBRW($D$4,$E$7,$E$8,$E$9,$E$10,$E$12,$D53,$E$6,AT$18,AT$17)</f>
        <v>0.21712892999999994</v>
      </c>
      <c r="AU53" s="16">
        <f ca="1">_xll.DBRW($D$4,$E$7,$E$8,$E$9,$E$10,$E$12,$D53,$E$6,AU$18,AU$17)</f>
        <v>3.0332510000000004</v>
      </c>
      <c r="AV53" s="16">
        <f ca="1">_xll.DBRW($D$4,$E$7,$E$8,$E$9,$E$10,$E$12,$D53,$E$6,AV$18,AV$17)</f>
        <v>3.0332510000000004</v>
      </c>
      <c r="AW53" s="16">
        <f ca="1">_xll.DBRW($D$4,$E$7,$E$8,$E$9,$E$10,$E$12,$D53,$E$6,AW$18,AW$17)</f>
        <v>3.0332510000000004</v>
      </c>
      <c r="AX53" s="16">
        <f ca="1">_xll.DBRW($D$4,$E$7,$E$8,$E$9,$E$10,$E$12,$D53,$E$6,AX$18,AX$17)</f>
        <v>1.24081321</v>
      </c>
      <c r="AY53" s="16">
        <f ca="1">_xll.DBRW($D$4,$E$7,$E$8,$E$9,$E$10,$E$12,$D53,$E$6,AY$18,AY$17)</f>
        <v>3.0332510000000004</v>
      </c>
      <c r="AZ53" s="16">
        <f ca="1">_xll.DBRW($D$4,$E$7,$E$8,$E$9,$E$10,$E$12,$D53,$E$6,AZ$18,AZ$17)</f>
        <v>2.2964409999999997</v>
      </c>
      <c r="BA53" s="16">
        <f ca="1">_xll.DBRW($D$4,$E$7,$E$8,$E$9,$E$10,$E$12,$D53,$E$6,BA$18,BA$17)</f>
        <v>3.0332510000000004</v>
      </c>
      <c r="BB53" s="16">
        <f ca="1">_xll.DBRW($D$4,$E$7,$E$8,$E$9,$E$10,$E$12,$D53,$E$6,BB$18,BB$17)</f>
        <v>3.0332510000000004</v>
      </c>
      <c r="BC53" s="16">
        <f ca="1">_xll.DBRW($D$4,$E$7,$E$8,$E$9,$E$10,$E$12,$D53,$E$6,BC$18,BC$17)</f>
        <v>3.0332510000000004</v>
      </c>
      <c r="BD53" s="16">
        <f ca="1">_xll.DBRW($D$4,$E$7,$E$8,$E$9,$E$10,$E$12,$D53,$E$6,BD$18,BD$17)</f>
        <v>-6.12300361987696E-2</v>
      </c>
      <c r="BE53" s="16">
        <f ca="1">_xll.DBRW($D$4,$E$7,$E$8,$E$9,$E$10,$E$12,$D53,$E$6,BE$18,BE$17)</f>
        <v>-1.0961605699999999</v>
      </c>
      <c r="BF53" s="16">
        <f ca="1">_xll.DBRW($D$4,$E$7,$E$8,$E$9,$E$10,$E$12,$D53,$E$6,BF$18,BF$17)</f>
        <v>0</v>
      </c>
      <c r="BG53" s="26">
        <f ca="1">_xll.DBRW($D$4,$E$7,$E$8,$E$9,$E$10,$E$12,$D53,$E$6,BG$18,BG$17)</f>
        <v>-0.25475580000000003</v>
      </c>
      <c r="BH53" s="26">
        <f ca="1">_xll.DBRW($D$4,$E$7,$E$8,$E$9,$E$10,$E$12,$D53,$E$6,BH$18,BH$17)</f>
        <v>0</v>
      </c>
      <c r="BI53" s="26">
        <f ca="1">_xll.DBRW($D$4,$E$7,$E$8,$E$9,$E$10,$E$12,$D53,$E$6,BI$18,BI$17)</f>
        <v>0</v>
      </c>
      <c r="BJ53" s="26">
        <f ca="1">_xll.DBRW($D$4,$E$7,$E$8,$E$9,$E$10,$E$12,$D53,$E$6,BJ$18,BJ$17)</f>
        <v>0</v>
      </c>
      <c r="BK53" s="16">
        <f ca="1">_xll.DBRW($D$4,$E$7,$E$8,$E$9,$E$10,$E$12,$D53,$E$6,BK$18,BK$17)</f>
        <v>1.2896863338012303</v>
      </c>
      <c r="BL53" s="16">
        <f ca="1">_xll.DBRW($D$4,$E$7,$E$8,$E$9,$E$10,$E$12,$D53,$E$6,BL$18,BL$17)</f>
        <v>14.455199659999996</v>
      </c>
      <c r="BM53" s="16">
        <f ca="1">_xll.DBRW($D$4,$E$7,$E$8,$E$9,$E$10,$E$12,$D53,$E$6,BM$18,BM$17)</f>
        <v>-6.7956467499999995</v>
      </c>
      <c r="BN53" s="16">
        <f ca="1">_xll.DBRW($D$4,$E$7,$E$8,$E$9,$E$10,$E$12,$D53,$E$6,BN$18,BN$17)</f>
        <v>0.47011780603796938</v>
      </c>
      <c r="BO53" s="16"/>
      <c r="BP53" s="16"/>
      <c r="BQ53" s="16"/>
      <c r="BR53" s="16"/>
      <c r="BS53" s="16">
        <f ca="1">_xll.DBRW($D$4,$E$7,$E$8,$E$9,$E$10,$E$12,$D53,$E$6,BS$18,BS$17)</f>
        <v>-1.4764089119999999</v>
      </c>
      <c r="BT53" s="16">
        <f ca="1">_xll.DBRW($D$4,$E$7,$E$8,$E$9,$E$10,$E$12,$D53,$E$6,BT$18,BT$17)</f>
        <v>0.10213687439305838</v>
      </c>
      <c r="BU53" s="16"/>
      <c r="BV53" s="16"/>
      <c r="BW53" s="16"/>
      <c r="BX53" s="16"/>
      <c r="BY53" s="16">
        <f ca="1">_xll.DBRW($D$4,$E$7,$E$8,$E$9,$E$10,$E$12,$D53,$E$6,BY$18,BY$17)</f>
        <v>-1.1757023441987697</v>
      </c>
      <c r="BZ53" s="16">
        <f ca="1">_xll.DBRW($D$4,$E$7,$E$8,$E$9,$E$10,$E$12,$D53,$E$6,BZ$18,BZ$17)</f>
        <v>8.133421688059686E-2</v>
      </c>
      <c r="CA53" s="16"/>
      <c r="CB53" s="16"/>
      <c r="CC53" s="16"/>
      <c r="CD53" s="16"/>
      <c r="CE53" s="16">
        <f ca="1">_xll.DBRW($D$4,$E$7,$E$8,$E$9,$E$10,$E$12,$D53,$E$6,CE$18,CE$17)</f>
        <v>-1.0251165199999999</v>
      </c>
      <c r="CF53" s="16">
        <f ca="1">_xll.DBRW($D$4,$E$7,$E$8,$E$9,$E$10,$E$12,$D53,$E$6,CF$18,CF$17)</f>
        <v>7.0916801158871029E-2</v>
      </c>
      <c r="CG53" s="16"/>
      <c r="CH53" s="16"/>
      <c r="CI53" s="16"/>
      <c r="CJ53" s="16"/>
      <c r="CK53" s="16">
        <f ca="1">_xll.DBRW($D$4,$E$7,$E$8,$E$9,$E$10,$E$12,$D53,$E$6,CK$18,CK$17)</f>
        <v>-2.6926388000000006</v>
      </c>
      <c r="CL53" s="16">
        <f ca="1">_xll.DBRW($D$4,$E$7,$E$8,$E$9,$E$10,$E$12,$D53,$E$6,CL$18,CL$17)</f>
        <v>0.18627475671961774</v>
      </c>
      <c r="CM53" s="16"/>
      <c r="CN53" s="16"/>
      <c r="CO53" s="16"/>
      <c r="CP53" s="16"/>
      <c r="CQ53" s="16">
        <f ca="1">_xll.DBRW($D$4,$E$7,$E$8,$E$9,$E$10,$E$12,$D53,$E$6,CQ$18,CQ$17)</f>
        <v>0.22217789999999998</v>
      </c>
      <c r="CR53" s="16">
        <f ca="1">_xll.DBRW($D$4,$E$7,$E$8,$E$9,$E$10,$E$12,$D53,$E$6,CR$18,CR$17)</f>
        <v>3.4861159101600006</v>
      </c>
      <c r="CS53" s="16">
        <f ca="1">_xll.DBRW($D$4,$E$7,$E$8,$E$9,$E$10,$E$12,$D53,$E$6,CS$18,CS$17)</f>
        <v>3.4861159101600006</v>
      </c>
      <c r="CT53" s="16">
        <f ca="1">_xll.DBRW($D$4,$E$7,$E$8,$E$9,$E$10,$E$12,$D53,$E$6,CT$18,CT$17)</f>
        <v>3.4861159101600006</v>
      </c>
      <c r="CU53" s="16">
        <f ca="1">_xll.DBRW($D$4,$E$7,$E$8,$E$9,$E$10,$E$12,$D53,$E$6,CU$18,CU$17)</f>
        <v>1.4151448533928399</v>
      </c>
      <c r="CV53" s="16">
        <f ca="1">_xll.DBRW($D$4,$E$7,$E$8,$E$9,$E$10,$E$12,$D53,$E$6,CV$18,CV$17)</f>
        <v>3.4861159101600006</v>
      </c>
      <c r="CW53" s="16">
        <f ca="1">_xll.DBRW($D$4,$E$7,$E$8,$E$9,$E$10,$E$12,$D53,$E$6,CW$18,CW$17)</f>
        <v>2.5335730000000001</v>
      </c>
      <c r="CX53" s="16">
        <f ca="1">_xll.DBRW($D$4,$E$7,$E$8,$E$9,$E$10,$E$12,$D53,$E$6,CX$18,CX$17)</f>
        <v>3.4861159101600006</v>
      </c>
      <c r="CY53" s="16">
        <f ca="1">_xll.DBRW($D$4,$E$7,$E$8,$E$9,$E$10,$E$12,$D53,$E$6,CY$18,CY$17)</f>
        <v>3.4861159101600006</v>
      </c>
      <c r="CZ53" s="16">
        <f ca="1">_xll.DBRW($D$4,$E$7,$E$8,$E$9,$E$10,$E$12,$D53,$E$6,CZ$18,CZ$17)</f>
        <v>3.4861159101600006</v>
      </c>
      <c r="DA53" s="26">
        <f t="shared" ca="1" si="89"/>
        <v>1.7265492261987723</v>
      </c>
      <c r="DB53" s="26">
        <f t="shared" ca="1" si="90"/>
        <v>0.32662945999999971</v>
      </c>
      <c r="DC53" s="26">
        <f t="shared" ca="1" si="91"/>
        <v>0</v>
      </c>
      <c r="DD53" s="26">
        <f t="shared" ca="1" si="92"/>
        <v>4.9731410000000031E-2</v>
      </c>
      <c r="DE53" s="26">
        <f t="shared" ca="1" si="93"/>
        <v>0</v>
      </c>
      <c r="DF53" s="26">
        <f t="shared" ca="1" si="94"/>
        <v>0</v>
      </c>
      <c r="DG53" s="26">
        <f t="shared" ca="1" si="95"/>
        <v>0</v>
      </c>
      <c r="DH53" s="26">
        <f t="shared" ca="1" si="96"/>
        <v>1.3501883561987724</v>
      </c>
      <c r="DI53" s="26">
        <f t="shared" ca="1" si="97"/>
        <v>-1.0599211099999959</v>
      </c>
      <c r="DJ53" s="26">
        <f t="shared" ca="1" si="98"/>
        <v>0.83554906000000084</v>
      </c>
      <c r="DK53" s="26">
        <f t="shared" ca="1" si="99"/>
        <v>-2.5177622991160054E-2</v>
      </c>
      <c r="DL53" s="26"/>
      <c r="DM53" s="26"/>
      <c r="DN53" s="26"/>
      <c r="DO53" s="26"/>
      <c r="DP53" s="26">
        <f t="shared" ca="1" si="100"/>
        <v>0.23428711199999985</v>
      </c>
      <c r="DQ53" s="26">
        <f t="shared" ca="1" si="101"/>
        <v>-9.4085451266244235E-3</v>
      </c>
      <c r="DR53" s="26"/>
      <c r="DS53" s="26"/>
      <c r="DT53" s="26"/>
      <c r="DU53" s="26"/>
      <c r="DV53" s="26">
        <f t="shared" ca="1" si="102"/>
        <v>0.18668305419876985</v>
      </c>
      <c r="DW53" s="26">
        <f t="shared" ca="1" si="103"/>
        <v>-7.5007921923136989E-3</v>
      </c>
      <c r="DX53" s="26"/>
      <c r="DY53" s="26"/>
      <c r="DZ53" s="26"/>
      <c r="EA53" s="26"/>
      <c r="EB53" s="26">
        <f t="shared" ca="1" si="104"/>
        <v>0.10504550999999984</v>
      </c>
      <c r="EC53" s="26">
        <f t="shared" ca="1" si="105"/>
        <v>-2.2305841036833335E-3</v>
      </c>
      <c r="ED53" s="26"/>
      <c r="EE53" s="26"/>
      <c r="EF53" s="26"/>
      <c r="EG53" s="26"/>
      <c r="EH53" s="26">
        <f t="shared" ca="1" si="106"/>
        <v>1.0485447300000008</v>
      </c>
      <c r="EI53" s="29">
        <f t="shared" ca="1" si="107"/>
        <v>-6.3537923449360753E-2</v>
      </c>
      <c r="EJ53" s="29"/>
      <c r="EK53" s="29"/>
      <c r="EL53" s="29"/>
      <c r="EM53" s="29"/>
      <c r="EN53" s="93"/>
      <c r="EO53" s="29"/>
      <c r="EP53" s="29"/>
      <c r="EQ53" s="29"/>
      <c r="ER53" s="29"/>
      <c r="ES53" s="29"/>
      <c r="ET53" s="29"/>
      <c r="EU53" s="93"/>
      <c r="EV53" s="29"/>
      <c r="EW53" s="29"/>
      <c r="EX53" s="29"/>
      <c r="EY53" s="29"/>
      <c r="EZ53" s="29"/>
      <c r="FA53" s="29"/>
      <c r="FB53" s="93"/>
      <c r="FC53" s="29"/>
      <c r="FD53" s="29"/>
      <c r="FE53" s="29"/>
      <c r="FF53" s="29"/>
      <c r="FG53" s="29"/>
      <c r="FH53" s="29"/>
      <c r="FI53" s="93"/>
      <c r="FJ53" s="29"/>
      <c r="FK53" s="29"/>
      <c r="FL53" s="29"/>
      <c r="FM53" s="29"/>
      <c r="FN53" s="29"/>
      <c r="FO53" s="29"/>
      <c r="FP53" s="93"/>
      <c r="FQ53" s="29"/>
      <c r="FR53" s="29"/>
      <c r="FS53" s="29"/>
      <c r="FT53" s="29"/>
      <c r="FU53" s="29"/>
      <c r="FV53" s="29"/>
    </row>
    <row r="54" spans="1:178" x14ac:dyDescent="0.25">
      <c r="A54" t="str">
        <f ca="1">IF(_xll.TM1RPTELISCONSOLIDATED($D$28,$D54),IF(_xll.TM1RPTELLEV($D$28,$D54)&lt;=3,_xll.TM1RPTELLEV($D$28,$D54),"D"),"N")</f>
        <v>N</v>
      </c>
      <c r="B54" t="str">
        <f ca="1">_xll.DBRA(Server&amp;"Management_organization",$D54,$B$27)</f>
        <v>L</v>
      </c>
      <c r="C54">
        <v>1</v>
      </c>
      <c r="D54" s="2" t="s">
        <v>98</v>
      </c>
      <c r="E54" s="26"/>
      <c r="F54" s="26"/>
      <c r="G54" s="16">
        <f ca="1">_xll.DBRW($D$4,$E$7,$E$8,$E$9,$E$10,$E$12,$D54,$E$6,G$18,G$17)</f>
        <v>-5.3293969999999982E-2</v>
      </c>
      <c r="H54" s="16">
        <f ca="1">_xll.DBRW($D$4,$E$7,$E$8,$E$9,$E$10,$E$12,$D54,$E$6,H$18,H$17)</f>
        <v>-0.24757308000000003</v>
      </c>
      <c r="I54" s="16">
        <f ca="1">_xll.DBRW($D$4,$E$7,$E$8,$E$9,$E$10,$E$12,$D54,$E$6,I$18,I$17)</f>
        <v>0</v>
      </c>
      <c r="J54" s="26">
        <f ca="1">_xll.DBRW($D$4,$E$7,$E$8,$E$9,$E$10,$E$12,$D54,$E$6,J$18,J$17)</f>
        <v>-6.3967999999999989E-4</v>
      </c>
      <c r="K54" s="26">
        <f ca="1">_xll.DBRW($D$4,$E$7,$E$8,$E$9,$E$10,$E$12,$D54,$E$6,K$18,K$17)</f>
        <v>0</v>
      </c>
      <c r="L54" s="26">
        <f ca="1">_xll.DBRW($D$4,$E$7,$E$8,$E$9,$E$10,$E$12,$D54,$E$6,L$18,L$17)</f>
        <v>0</v>
      </c>
      <c r="M54" s="26">
        <f ca="1">_xll.DBRW($D$4,$E$7,$E$8,$E$9,$E$10,$E$12,$D54,$E$6,M$18,M$17)</f>
        <v>0</v>
      </c>
      <c r="N54" s="16">
        <f ca="1">_xll.DBRW($D$4,$E$7,$E$8,$E$9,$E$10,$E$12,$D54,$E$6,N$18,N$17)</f>
        <v>0.19491879000000004</v>
      </c>
      <c r="O54" s="16">
        <f ca="1">_xll.DBRW($D$4,$E$7,$E$8,$E$9,$E$10,$E$12,$D54,$E$6,O$18,O$17)</f>
        <v>4.3609008599999992</v>
      </c>
      <c r="P54" s="74">
        <f ca="1">_xll.DBRW($D$4,$E$7,$E$8,$E$9,$E$10,$E$12,$D54,$E$6,P$18,P$17)</f>
        <v>-2.1036920499999994</v>
      </c>
      <c r="Q54" s="16">
        <f ca="1">_xll.DBRW($D$4,$E$7,$E$8,$E$9,$E$10,$E$12,$D54,$E$6,Q$18,Q$17)</f>
        <v>0.48239850378070731</v>
      </c>
      <c r="R54" s="16"/>
      <c r="S54" s="16"/>
      <c r="T54" s="16"/>
      <c r="U54" s="16"/>
      <c r="V54" s="16">
        <f ca="1">_xll.DBRW($D$4,$E$7,$E$8,$E$9,$E$10,$E$12,$D54,$E$6,V$18,V$17)</f>
        <v>-0.52815317000000006</v>
      </c>
      <c r="W54" s="16">
        <f ca="1">_xll.DBRW($D$4,$E$7,$E$8,$E$9,$E$10,$E$12,$D54,$E$6,W$18,W$17)</f>
        <v>0.12111102429418681</v>
      </c>
      <c r="X54" s="16"/>
      <c r="Y54" s="16"/>
      <c r="Z54" s="16"/>
      <c r="AA54" s="16"/>
      <c r="AB54" s="16">
        <f ca="1">_xll.DBRW($D$4,$E$7,$E$8,$E$9,$E$10,$E$12,$D54,$E$6,AB$18,AB$17)</f>
        <v>-0.57776945999999985</v>
      </c>
      <c r="AC54" s="16">
        <f ca="1">_xll.DBRW($D$4,$E$7,$E$8,$E$9,$E$10,$E$12,$D54,$E$6,AC$18,AC$17)</f>
        <v>0.13248855650435493</v>
      </c>
      <c r="AD54" s="16"/>
      <c r="AE54" s="16"/>
      <c r="AF54" s="16"/>
      <c r="AG54" s="16"/>
      <c r="AH54" s="16">
        <f ca="1">_xll.DBRW($D$4,$E$7,$E$8,$E$9,$E$10,$E$12,$D54,$E$6,AH$18,AH$17)</f>
        <v>-0.25545134999999997</v>
      </c>
      <c r="AI54" s="16">
        <f ca="1">_xll.DBRW($D$4,$E$7,$E$8,$E$9,$E$10,$E$12,$D54,$E$6,AI$18,AI$17)</f>
        <v>5.8577655902042225E-2</v>
      </c>
      <c r="AJ54" s="16"/>
      <c r="AK54" s="16"/>
      <c r="AL54" s="16"/>
      <c r="AM54" s="16"/>
      <c r="AN54" s="16">
        <f ca="1">_xll.DBRW($D$4,$E$7,$E$8,$E$9,$E$10,$E$12,$D54,$E$6,AN$18,AN$17)</f>
        <v>-0.70091603999999985</v>
      </c>
      <c r="AO54" s="16">
        <f ca="1">_xll.DBRW($D$4,$E$7,$E$8,$E$9,$E$10,$E$12,$D54,$E$6,AO$18,AO$17)</f>
        <v>0.16072735026588061</v>
      </c>
      <c r="AP54" s="16"/>
      <c r="AQ54" s="16"/>
      <c r="AR54" s="16"/>
      <c r="AS54" s="16"/>
      <c r="AT54" s="16">
        <f ca="1">_xll.DBRW($D$4,$E$7,$E$8,$E$9,$E$10,$E$12,$D54,$E$6,AT$18,AT$17)</f>
        <v>8.0071130000000018E-2</v>
      </c>
      <c r="AU54" s="16">
        <f ca="1">_xll.DBRW($D$4,$E$7,$E$8,$E$9,$E$10,$E$12,$D54,$E$6,AU$18,AU$17)</f>
        <v>1.1801969999999999</v>
      </c>
      <c r="AV54" s="16">
        <f ca="1">_xll.DBRW($D$4,$E$7,$E$8,$E$9,$E$10,$E$12,$D54,$E$6,AV$18,AV$17)</f>
        <v>1.1801969999999999</v>
      </c>
      <c r="AW54" s="16">
        <f ca="1">_xll.DBRW($D$4,$E$7,$E$8,$E$9,$E$10,$E$12,$D54,$E$6,AW$18,AW$17)</f>
        <v>1.1801969999999999</v>
      </c>
      <c r="AX54" s="16">
        <f ca="1">_xll.DBRW($D$4,$E$7,$E$8,$E$9,$E$10,$E$12,$D54,$E$6,AX$18,AX$17)</f>
        <v>0.48352046999999992</v>
      </c>
      <c r="AY54" s="16">
        <f ca="1">_xll.DBRW($D$4,$E$7,$E$8,$E$9,$E$10,$E$12,$D54,$E$6,AY$18,AY$17)</f>
        <v>1.1801969999999999</v>
      </c>
      <c r="AZ54" s="16">
        <f ca="1">_xll.DBRW($D$4,$E$7,$E$8,$E$9,$E$10,$E$12,$D54,$E$6,AZ$18,AZ$17)</f>
        <v>0.90592440699999999</v>
      </c>
      <c r="BA54" s="16">
        <f ca="1">_xll.DBRW($D$4,$E$7,$E$8,$E$9,$E$10,$E$12,$D54,$E$6,BA$18,BA$17)</f>
        <v>1.1801969999999999</v>
      </c>
      <c r="BB54" s="16">
        <f ca="1">_xll.DBRW($D$4,$E$7,$E$8,$E$9,$E$10,$E$12,$D54,$E$6,BB$18,BB$17)</f>
        <v>1.1801969999999999</v>
      </c>
      <c r="BC54" s="16">
        <f ca="1">_xll.DBRW($D$4,$E$7,$E$8,$E$9,$E$10,$E$12,$D54,$E$6,BC$18,BC$17)</f>
        <v>1.1801969999999999</v>
      </c>
      <c r="BD54" s="16">
        <f ca="1">_xll.DBRW($D$4,$E$7,$E$8,$E$9,$E$10,$E$12,$D54,$E$6,BD$18,BD$17)</f>
        <v>0.22136093437740448</v>
      </c>
      <c r="BE54" s="16">
        <f ca="1">_xll.DBRW($D$4,$E$7,$E$8,$E$9,$E$10,$E$12,$D54,$E$6,BE$18,BE$17)</f>
        <v>-0.43265213831777238</v>
      </c>
      <c r="BF54" s="16">
        <f ca="1">_xll.DBRW($D$4,$E$7,$E$8,$E$9,$E$10,$E$12,$D54,$E$6,BF$18,BF$17)</f>
        <v>0</v>
      </c>
      <c r="BG54" s="26">
        <f ca="1">_xll.DBRW($D$4,$E$7,$E$8,$E$9,$E$10,$E$12,$D54,$E$6,BG$18,BG$17)</f>
        <v>0</v>
      </c>
      <c r="BH54" s="26">
        <f ca="1">_xll.DBRW($D$4,$E$7,$E$8,$E$9,$E$10,$E$12,$D54,$E$6,BH$18,BH$17)</f>
        <v>0</v>
      </c>
      <c r="BI54" s="26">
        <f ca="1">_xll.DBRW($D$4,$E$7,$E$8,$E$9,$E$10,$E$12,$D54,$E$6,BI$18,BI$17)</f>
        <v>0</v>
      </c>
      <c r="BJ54" s="26">
        <f ca="1">_xll.DBRW($D$4,$E$7,$E$8,$E$9,$E$10,$E$12,$D54,$E$6,BJ$18,BJ$17)</f>
        <v>0</v>
      </c>
      <c r="BK54" s="16">
        <f ca="1">_xll.DBRW($D$4,$E$7,$E$8,$E$9,$E$10,$E$12,$D54,$E$6,BK$18,BK$17)</f>
        <v>0.65401307269517683</v>
      </c>
      <c r="BL54" s="16">
        <f ca="1">_xll.DBRW($D$4,$E$7,$E$8,$E$9,$E$10,$E$12,$D54,$E$6,BL$18,BL$17)</f>
        <v>5.284696977800647</v>
      </c>
      <c r="BM54" s="16">
        <f ca="1">_xll.DBRW($D$4,$E$7,$E$8,$E$9,$E$10,$E$12,$D54,$E$6,BM$18,BM$17)</f>
        <v>-2.4511758577307399</v>
      </c>
      <c r="BN54" s="16">
        <f ca="1">_xll.DBRW($D$4,$E$7,$E$8,$E$9,$E$10,$E$12,$D54,$E$6,BN$18,BN$17)</f>
        <v>0.46382524258767538</v>
      </c>
      <c r="BO54" s="16"/>
      <c r="BP54" s="16"/>
      <c r="BQ54" s="16"/>
      <c r="BR54" s="16"/>
      <c r="BS54" s="16">
        <f ca="1">_xll.DBRW($D$4,$E$7,$E$8,$E$9,$E$10,$E$12,$D54,$E$6,BS$18,BS$17)</f>
        <v>-0.58939921543385188</v>
      </c>
      <c r="BT54" s="16">
        <f ca="1">_xll.DBRW($D$4,$E$7,$E$8,$E$9,$E$10,$E$12,$D54,$E$6,BT$18,BT$17)</f>
        <v>0.11152942503794123</v>
      </c>
      <c r="BU54" s="16"/>
      <c r="BV54" s="16"/>
      <c r="BW54" s="16"/>
      <c r="BX54" s="16"/>
      <c r="BY54" s="16">
        <f ca="1">_xll.DBRW($D$4,$E$7,$E$8,$E$9,$E$10,$E$12,$D54,$E$6,BY$18,BY$17)</f>
        <v>-0.43115208085682588</v>
      </c>
      <c r="BZ54" s="16">
        <f ca="1">_xll.DBRW($D$4,$E$7,$E$8,$E$9,$E$10,$E$12,$D54,$E$6,BZ$18,BZ$17)</f>
        <v>8.1585014745019516E-2</v>
      </c>
      <c r="CA54" s="16"/>
      <c r="CB54" s="16"/>
      <c r="CC54" s="16"/>
      <c r="CD54" s="16"/>
      <c r="CE54" s="16">
        <f ca="1">_xll.DBRW($D$4,$E$7,$E$8,$E$9,$E$10,$E$12,$D54,$E$6,CE$18,CE$17)</f>
        <v>-0.36109446666666711</v>
      </c>
      <c r="CF54" s="16">
        <f ca="1">_xll.DBRW($D$4,$E$7,$E$8,$E$9,$E$10,$E$12,$D54,$E$6,CF$18,CF$17)</f>
        <v>6.8328320087889929E-2</v>
      </c>
      <c r="CG54" s="16"/>
      <c r="CH54" s="16"/>
      <c r="CI54" s="16"/>
      <c r="CJ54" s="16"/>
      <c r="CK54" s="16">
        <f ca="1">_xll.DBRW($D$4,$E$7,$E$8,$E$9,$E$10,$E$12,$D54,$E$6,CK$18,CK$17)</f>
        <v>-0.79786228441738505</v>
      </c>
      <c r="CL54" s="16">
        <f ca="1">_xll.DBRW($D$4,$E$7,$E$8,$E$9,$E$10,$E$12,$D54,$E$6,CL$18,CL$17)</f>
        <v>0.15097597606238428</v>
      </c>
      <c r="CM54" s="16"/>
      <c r="CN54" s="16"/>
      <c r="CO54" s="16"/>
      <c r="CP54" s="16"/>
      <c r="CQ54" s="16">
        <f ca="1">_xll.DBRW($D$4,$E$7,$E$8,$E$9,$E$10,$E$12,$D54,$E$6,CQ$18,CQ$17)</f>
        <v>9.2589486000000012E-2</v>
      </c>
      <c r="CR54" s="16">
        <f ca="1">_xll.DBRW($D$4,$E$7,$E$8,$E$9,$E$10,$E$12,$D54,$E$6,CR$18,CR$17)</f>
        <v>1.3738129999999997</v>
      </c>
      <c r="CS54" s="16">
        <f ca="1">_xll.DBRW($D$4,$E$7,$E$8,$E$9,$E$10,$E$12,$D54,$E$6,CS$18,CS$17)</f>
        <v>1.3738129999999997</v>
      </c>
      <c r="CT54" s="16">
        <f ca="1">_xll.DBRW($D$4,$E$7,$E$8,$E$9,$E$10,$E$12,$D54,$E$6,CT$18,CT$17)</f>
        <v>1.3738129999999997</v>
      </c>
      <c r="CU54" s="16">
        <f ca="1">_xll.DBRW($D$4,$E$7,$E$8,$E$9,$E$10,$E$12,$D54,$E$6,CU$18,CU$17)</f>
        <v>0.53309450030913097</v>
      </c>
      <c r="CV54" s="16">
        <f ca="1">_xll.DBRW($D$4,$E$7,$E$8,$E$9,$E$10,$E$12,$D54,$E$6,CV$18,CV$17)</f>
        <v>1.3738129999999997</v>
      </c>
      <c r="CW54" s="16">
        <f ca="1">_xll.DBRW($D$4,$E$7,$E$8,$E$9,$E$10,$E$12,$D54,$E$6,CW$18,CW$17)</f>
        <v>1.127745</v>
      </c>
      <c r="CX54" s="16">
        <f ca="1">_xll.DBRW($D$4,$E$7,$E$8,$E$9,$E$10,$E$12,$D54,$E$6,CX$18,CX$17)</f>
        <v>1.3738129999999997</v>
      </c>
      <c r="CY54" s="16">
        <f ca="1">_xll.DBRW($D$4,$E$7,$E$8,$E$9,$E$10,$E$12,$D54,$E$6,CY$18,CY$17)</f>
        <v>1.3738129999999997</v>
      </c>
      <c r="CZ54" s="16">
        <f ca="1">_xll.DBRW($D$4,$E$7,$E$8,$E$9,$E$10,$E$12,$D54,$E$6,CZ$18,CZ$17)</f>
        <v>1.3738129999999997</v>
      </c>
      <c r="DA54" s="26">
        <f t="shared" ca="1" si="89"/>
        <v>-0.27465490437740447</v>
      </c>
      <c r="DB54" s="26">
        <f t="shared" ca="1" si="90"/>
        <v>0.18507905831777235</v>
      </c>
      <c r="DC54" s="26">
        <f t="shared" ca="1" si="91"/>
        <v>0</v>
      </c>
      <c r="DD54" s="26">
        <f t="shared" ca="1" si="92"/>
        <v>-6.3967999999999989E-4</v>
      </c>
      <c r="DE54" s="26">
        <f t="shared" ca="1" si="93"/>
        <v>0</v>
      </c>
      <c r="DF54" s="26">
        <f t="shared" ca="1" si="94"/>
        <v>0</v>
      </c>
      <c r="DG54" s="26">
        <f t="shared" ca="1" si="95"/>
        <v>0</v>
      </c>
      <c r="DH54" s="26">
        <f t="shared" ca="1" si="96"/>
        <v>-0.45909428269517683</v>
      </c>
      <c r="DI54" s="26">
        <f t="shared" ca="1" si="97"/>
        <v>-0.92379611780064774</v>
      </c>
      <c r="DJ54" s="26">
        <f t="shared" ca="1" si="98"/>
        <v>0.3474838077307405</v>
      </c>
      <c r="DK54" s="26">
        <f t="shared" ca="1" si="99"/>
        <v>1.8573261193031931E-2</v>
      </c>
      <c r="DL54" s="26"/>
      <c r="DM54" s="26"/>
      <c r="DN54" s="26"/>
      <c r="DO54" s="26"/>
      <c r="DP54" s="26">
        <f t="shared" ca="1" si="100"/>
        <v>6.1246045433851815E-2</v>
      </c>
      <c r="DQ54" s="26">
        <f t="shared" ca="1" si="101"/>
        <v>9.5815992562455765E-3</v>
      </c>
      <c r="DR54" s="26"/>
      <c r="DS54" s="26"/>
      <c r="DT54" s="26"/>
      <c r="DU54" s="26"/>
      <c r="DV54" s="26">
        <f t="shared" ca="1" si="102"/>
        <v>-0.14661737914317396</v>
      </c>
      <c r="DW54" s="26">
        <f t="shared" ca="1" si="103"/>
        <v>5.0903541759335411E-2</v>
      </c>
      <c r="DX54" s="26"/>
      <c r="DY54" s="26"/>
      <c r="DZ54" s="26"/>
      <c r="EA54" s="26"/>
      <c r="EB54" s="26">
        <f t="shared" ca="1" si="104"/>
        <v>0.10564311666666715</v>
      </c>
      <c r="EC54" s="26">
        <f t="shared" ca="1" si="105"/>
        <v>-9.7506641858477044E-3</v>
      </c>
      <c r="ED54" s="26"/>
      <c r="EE54" s="26"/>
      <c r="EF54" s="26"/>
      <c r="EG54" s="26"/>
      <c r="EH54" s="26">
        <f t="shared" ca="1" si="106"/>
        <v>9.6946244417385197E-2</v>
      </c>
      <c r="EI54" s="29">
        <f t="shared" ca="1" si="107"/>
        <v>9.751374203496338E-3</v>
      </c>
      <c r="EJ54" s="29"/>
      <c r="EK54" s="29"/>
      <c r="EL54" s="29"/>
      <c r="EM54" s="29"/>
      <c r="EN54" s="93"/>
      <c r="EO54" s="29"/>
      <c r="EP54" s="29"/>
      <c r="EQ54" s="29"/>
      <c r="ER54" s="29"/>
      <c r="ES54" s="29"/>
      <c r="ET54" s="29"/>
      <c r="EU54" s="93"/>
      <c r="EV54" s="29"/>
      <c r="EW54" s="29"/>
      <c r="EX54" s="29"/>
      <c r="EY54" s="29"/>
      <c r="EZ54" s="29"/>
      <c r="FA54" s="29"/>
      <c r="FB54" s="93"/>
      <c r="FC54" s="29"/>
      <c r="FD54" s="29"/>
      <c r="FE54" s="29"/>
      <c r="FF54" s="29"/>
      <c r="FG54" s="29"/>
      <c r="FH54" s="29"/>
      <c r="FI54" s="93"/>
      <c r="FJ54" s="29"/>
      <c r="FK54" s="29"/>
      <c r="FL54" s="29"/>
      <c r="FM54" s="29"/>
      <c r="FN54" s="29"/>
      <c r="FO54" s="29"/>
      <c r="FP54" s="93"/>
      <c r="FQ54" s="29"/>
      <c r="FR54" s="29"/>
      <c r="FS54" s="29"/>
      <c r="FT54" s="29"/>
      <c r="FU54" s="29"/>
      <c r="FV54" s="29"/>
    </row>
    <row r="55" spans="1:178" x14ac:dyDescent="0.25">
      <c r="A55" t="str">
        <f ca="1">IF(_xll.TM1RPTELISCONSOLIDATED($D$28,$D55),IF(_xll.TM1RPTELLEV($D$28,$D55)&lt;=3,_xll.TM1RPTELLEV($D$28,$D55),"D"),"N")</f>
        <v>N</v>
      </c>
      <c r="B55" t="str">
        <f ca="1">_xll.DBRA(Server&amp;"Management_organization",$D55,$B$27)</f>
        <v>L</v>
      </c>
      <c r="C55">
        <v>1</v>
      </c>
      <c r="D55" s="2" t="s">
        <v>99</v>
      </c>
      <c r="E55" s="26"/>
      <c r="F55" s="26"/>
      <c r="G55" s="16">
        <f ca="1">_xll.DBRW($D$4,$E$7,$E$8,$E$9,$E$10,$E$12,$D55,$E$6,G$18,G$17)</f>
        <v>5.0372355199999994</v>
      </c>
      <c r="H55" s="16">
        <f ca="1">_xll.DBRW($D$4,$E$7,$E$8,$E$9,$E$10,$E$12,$D55,$E$6,H$18,H$17)</f>
        <v>-1.9181545799999997</v>
      </c>
      <c r="I55" s="16">
        <f ca="1">_xll.DBRW($D$4,$E$7,$E$8,$E$9,$E$10,$E$12,$D55,$E$6,I$18,I$17)</f>
        <v>0</v>
      </c>
      <c r="J55" s="26">
        <f ca="1">_xll.DBRW($D$4,$E$7,$E$8,$E$9,$E$10,$E$12,$D55,$E$6,J$18,J$17)</f>
        <v>0</v>
      </c>
      <c r="K55" s="26">
        <f ca="1">_xll.DBRW($D$4,$E$7,$E$8,$E$9,$E$10,$E$12,$D55,$E$6,K$18,K$17)</f>
        <v>0</v>
      </c>
      <c r="L55" s="26">
        <f ca="1">_xll.DBRW($D$4,$E$7,$E$8,$E$9,$E$10,$E$12,$D55,$E$6,L$18,L$17)</f>
        <v>0</v>
      </c>
      <c r="M55" s="26">
        <f ca="1">_xll.DBRW($D$4,$E$7,$E$8,$E$9,$E$10,$E$12,$D55,$E$6,M$18,M$17)</f>
        <v>0</v>
      </c>
      <c r="N55" s="16">
        <f ca="1">_xll.DBRW($D$4,$E$7,$E$8,$E$9,$E$10,$E$12,$D55,$E$6,N$18,N$17)</f>
        <v>6.9553900999999998</v>
      </c>
      <c r="O55" s="16">
        <f ca="1">_xll.DBRW($D$4,$E$7,$E$8,$E$9,$E$10,$E$12,$D55,$E$6,O$18,O$17)</f>
        <v>31.97825619999999</v>
      </c>
      <c r="P55" s="74">
        <f ca="1">_xll.DBRW($D$4,$E$7,$E$8,$E$9,$E$10,$E$12,$D55,$E$6,P$18,P$17)</f>
        <v>-12.68872148</v>
      </c>
      <c r="Q55" s="16">
        <f ca="1">_xll.DBRW($D$4,$E$7,$E$8,$E$9,$E$10,$E$12,$D55,$E$6,Q$18,Q$17)</f>
        <v>0.39679216404551804</v>
      </c>
      <c r="R55" s="16"/>
      <c r="S55" s="16"/>
      <c r="T55" s="16"/>
      <c r="U55" s="16"/>
      <c r="V55" s="16">
        <f ca="1">_xll.DBRW($D$4,$E$7,$E$8,$E$9,$E$10,$E$12,$D55,$E$6,V$18,V$17)</f>
        <v>-2.9345683900000004</v>
      </c>
      <c r="W55" s="16">
        <f ca="1">_xll.DBRW($D$4,$E$7,$E$8,$E$9,$E$10,$E$12,$D55,$E$6,W$18,W$17)</f>
        <v>9.1767617710186503E-2</v>
      </c>
      <c r="X55" s="16"/>
      <c r="Y55" s="16"/>
      <c r="Z55" s="16"/>
      <c r="AA55" s="16"/>
      <c r="AB55" s="16">
        <f ca="1">_xll.DBRW($D$4,$E$7,$E$8,$E$9,$E$10,$E$12,$D55,$E$6,AB$18,AB$17)</f>
        <v>-2.0578493600000001</v>
      </c>
      <c r="AC55" s="16">
        <f ca="1">_xll.DBRW($D$4,$E$7,$E$8,$E$9,$E$10,$E$12,$D55,$E$6,AC$18,AC$17)</f>
        <v>6.4351518954932907E-2</v>
      </c>
      <c r="AD55" s="16"/>
      <c r="AE55" s="16"/>
      <c r="AF55" s="16"/>
      <c r="AG55" s="16"/>
      <c r="AH55" s="16">
        <f ca="1">_xll.DBRW($D$4,$E$7,$E$8,$E$9,$E$10,$E$12,$D55,$E$6,AH$18,AH$17)</f>
        <v>-1.66566082</v>
      </c>
      <c r="AI55" s="16">
        <f ca="1">_xll.DBRW($D$4,$E$7,$E$8,$E$9,$E$10,$E$12,$D55,$E$6,AI$18,AI$17)</f>
        <v>5.2087293615466143E-2</v>
      </c>
      <c r="AJ55" s="16"/>
      <c r="AK55" s="16"/>
      <c r="AL55" s="16"/>
      <c r="AM55" s="16"/>
      <c r="AN55" s="16">
        <f ca="1">_xll.DBRW($D$4,$E$7,$E$8,$E$9,$E$10,$E$12,$D55,$E$6,AN$18,AN$17)</f>
        <v>-5.6760660499999984</v>
      </c>
      <c r="AO55" s="16">
        <f ca="1">_xll.DBRW($D$4,$E$7,$E$8,$E$9,$E$10,$E$12,$D55,$E$6,AO$18,AO$17)</f>
        <v>0.17749767262168598</v>
      </c>
      <c r="AP55" s="16"/>
      <c r="AQ55" s="16"/>
      <c r="AR55" s="16"/>
      <c r="AS55" s="16"/>
      <c r="AT55" s="16">
        <f ca="1">_xll.DBRW($D$4,$E$7,$E$8,$E$9,$E$10,$E$12,$D55,$E$6,AT$18,AT$17)</f>
        <v>0.45883832000000008</v>
      </c>
      <c r="AU55" s="16">
        <f ca="1">_xll.DBRW($D$4,$E$7,$E$8,$E$9,$E$10,$E$12,$D55,$E$6,AU$18,AU$17)</f>
        <v>5.2254969999999998</v>
      </c>
      <c r="AV55" s="16">
        <f ca="1">_xll.DBRW($D$4,$E$7,$E$8,$E$9,$E$10,$E$12,$D55,$E$6,AV$18,AV$17)</f>
        <v>5.2254969999999998</v>
      </c>
      <c r="AW55" s="16">
        <f ca="1">_xll.DBRW($D$4,$E$7,$E$8,$E$9,$E$10,$E$12,$D55,$E$6,AW$18,AW$17)</f>
        <v>5.2254969999999998</v>
      </c>
      <c r="AX55" s="16">
        <f ca="1">_xll.DBRW($D$4,$E$7,$E$8,$E$9,$E$10,$E$12,$D55,$E$6,AX$18,AX$17)</f>
        <v>2.531857</v>
      </c>
      <c r="AY55" s="16">
        <f ca="1">_xll.DBRW($D$4,$E$7,$E$8,$E$9,$E$10,$E$12,$D55,$E$6,AY$18,AY$17)</f>
        <v>5.2254969999999998</v>
      </c>
      <c r="AZ55" s="16">
        <f ca="1">_xll.DBRW($D$4,$E$7,$E$8,$E$9,$E$10,$E$12,$D55,$E$6,AZ$18,AZ$17)</f>
        <v>4.4571839999999998</v>
      </c>
      <c r="BA55" s="16">
        <f ca="1">_xll.DBRW($D$4,$E$7,$E$8,$E$9,$E$10,$E$12,$D55,$E$6,BA$18,BA$17)</f>
        <v>5.2254969999999998</v>
      </c>
      <c r="BB55" s="16">
        <f ca="1">_xll.DBRW($D$4,$E$7,$E$8,$E$9,$E$10,$E$12,$D55,$E$6,BB$18,BB$17)</f>
        <v>5.2254969999999998</v>
      </c>
      <c r="BC55" s="16">
        <f ca="1">_xll.DBRW($D$4,$E$7,$E$8,$E$9,$E$10,$E$12,$D55,$E$6,BC$18,BC$17)</f>
        <v>5.2254969999999998</v>
      </c>
      <c r="BD55" s="16">
        <f ca="1">_xll.DBRW($D$4,$E$7,$E$8,$E$9,$E$10,$E$12,$D55,$E$6,BD$18,BD$17)</f>
        <v>1.3317388098120797</v>
      </c>
      <c r="BE55" s="16">
        <f ca="1">_xll.DBRW($D$4,$E$7,$E$8,$E$9,$E$10,$E$12,$D55,$E$6,BE$18,BE$17)</f>
        <v>-2.2982308235921378</v>
      </c>
      <c r="BF55" s="16">
        <f ca="1">_xll.DBRW($D$4,$E$7,$E$8,$E$9,$E$10,$E$12,$D55,$E$6,BF$18,BF$17)</f>
        <v>0</v>
      </c>
      <c r="BG55" s="26">
        <f ca="1">_xll.DBRW($D$4,$E$7,$E$8,$E$9,$E$10,$E$12,$D55,$E$6,BG$18,BG$17)</f>
        <v>0</v>
      </c>
      <c r="BH55" s="26">
        <f ca="1">_xll.DBRW($D$4,$E$7,$E$8,$E$9,$E$10,$E$12,$D55,$E$6,BH$18,BH$17)</f>
        <v>0</v>
      </c>
      <c r="BI55" s="26">
        <f ca="1">_xll.DBRW($D$4,$E$7,$E$8,$E$9,$E$10,$E$12,$D55,$E$6,BI$18,BI$17)</f>
        <v>0</v>
      </c>
      <c r="BJ55" s="26">
        <f ca="1">_xll.DBRW($D$4,$E$7,$E$8,$E$9,$E$10,$E$12,$D55,$E$6,BJ$18,BJ$17)</f>
        <v>0</v>
      </c>
      <c r="BK55" s="16">
        <f ca="1">_xll.DBRW($D$4,$E$7,$E$8,$E$9,$E$10,$E$12,$D55,$E$6,BK$18,BK$17)</f>
        <v>3.6299696334042175</v>
      </c>
      <c r="BL55" s="16">
        <f ca="1">_xll.DBRW($D$4,$E$7,$E$8,$E$9,$E$10,$E$12,$D55,$E$6,BL$18,BL$17)</f>
        <v>30.628238398146582</v>
      </c>
      <c r="BM55" s="16">
        <f ca="1">_xll.DBRW($D$4,$E$7,$E$8,$E$9,$E$10,$E$12,$D55,$E$6,BM$18,BM$17)</f>
        <v>-13.138654051814498</v>
      </c>
      <c r="BN55" s="16">
        <f ca="1">_xll.DBRW($D$4,$E$7,$E$8,$E$9,$E$10,$E$12,$D55,$E$6,BN$18,BN$17)</f>
        <v>0.42897191412123664</v>
      </c>
      <c r="BO55" s="16"/>
      <c r="BP55" s="16"/>
      <c r="BQ55" s="16"/>
      <c r="BR55" s="16"/>
      <c r="BS55" s="16">
        <f ca="1">_xll.DBRW($D$4,$E$7,$E$8,$E$9,$E$10,$E$12,$D55,$E$6,BS$18,BS$17)</f>
        <v>-3.160921941895722</v>
      </c>
      <c r="BT55" s="16">
        <f ca="1">_xll.DBRW($D$4,$E$7,$E$8,$E$9,$E$10,$E$12,$D55,$E$6,BT$18,BT$17)</f>
        <v>0.10320286465077927</v>
      </c>
      <c r="BU55" s="16"/>
      <c r="BV55" s="16"/>
      <c r="BW55" s="16"/>
      <c r="BX55" s="16"/>
      <c r="BY55" s="16">
        <f ca="1">_xll.DBRW($D$4,$E$7,$E$8,$E$9,$E$10,$E$12,$D55,$E$6,BY$18,BY$17)</f>
        <v>-2.3634939107281583</v>
      </c>
      <c r="BZ55" s="16">
        <f ca="1">_xll.DBRW($D$4,$E$7,$E$8,$E$9,$E$10,$E$12,$D55,$E$6,BZ$18,BZ$17)</f>
        <v>7.7167151437321363E-2</v>
      </c>
      <c r="CA55" s="16"/>
      <c r="CB55" s="16"/>
      <c r="CC55" s="16"/>
      <c r="CD55" s="16"/>
      <c r="CE55" s="16">
        <f ca="1">_xll.DBRW($D$4,$E$7,$E$8,$E$9,$E$10,$E$12,$D55,$E$6,CE$18,CE$17)</f>
        <v>-1.8723649191900003</v>
      </c>
      <c r="CF55" s="16">
        <f ca="1">_xll.DBRW($D$4,$E$7,$E$8,$E$9,$E$10,$E$12,$D55,$E$6,CF$18,CF$17)</f>
        <v>6.1131982024251949E-2</v>
      </c>
      <c r="CG55" s="16"/>
      <c r="CH55" s="16"/>
      <c r="CI55" s="16"/>
      <c r="CJ55" s="16"/>
      <c r="CK55" s="16">
        <f ca="1">_xll.DBRW($D$4,$E$7,$E$8,$E$9,$E$10,$E$12,$D55,$E$6,CK$18,CK$17)</f>
        <v>-6.4628339411139875</v>
      </c>
      <c r="CL55" s="16">
        <f ca="1">_xll.DBRW($D$4,$E$7,$E$8,$E$9,$E$10,$E$12,$D55,$E$6,CL$18,CL$17)</f>
        <v>0.21100899950893276</v>
      </c>
      <c r="CM55" s="16"/>
      <c r="CN55" s="16"/>
      <c r="CO55" s="16"/>
      <c r="CP55" s="16"/>
      <c r="CQ55" s="16">
        <f ca="1">_xll.DBRW($D$4,$E$7,$E$8,$E$9,$E$10,$E$12,$D55,$E$6,CQ$18,CQ$17)</f>
        <v>0.46816700000000006</v>
      </c>
      <c r="CR55" s="16">
        <f ca="1">_xll.DBRW($D$4,$E$7,$E$8,$E$9,$E$10,$E$12,$D55,$E$6,CR$18,CR$17)</f>
        <v>5.6685793739999992</v>
      </c>
      <c r="CS55" s="16">
        <f ca="1">_xll.DBRW($D$4,$E$7,$E$8,$E$9,$E$10,$E$12,$D55,$E$6,CS$18,CS$17)</f>
        <v>5.6685793739999992</v>
      </c>
      <c r="CT55" s="16">
        <f ca="1">_xll.DBRW($D$4,$E$7,$E$8,$E$9,$E$10,$E$12,$D55,$E$6,CT$18,CT$17)</f>
        <v>5.6685793739999992</v>
      </c>
      <c r="CU55" s="16">
        <f ca="1">_xll.DBRW($D$4,$E$7,$E$8,$E$9,$E$10,$E$12,$D55,$E$6,CU$18,CU$17)</f>
        <v>2.8448410095427996</v>
      </c>
      <c r="CV55" s="16">
        <f ca="1">_xll.DBRW($D$4,$E$7,$E$8,$E$9,$E$10,$E$12,$D55,$E$6,CV$18,CV$17)</f>
        <v>5.6685793739999992</v>
      </c>
      <c r="CW55" s="16">
        <f ca="1">_xll.DBRW($D$4,$E$7,$E$8,$E$9,$E$10,$E$12,$D55,$E$6,CW$18,CW$17)</f>
        <v>4.734</v>
      </c>
      <c r="CX55" s="16">
        <f ca="1">_xll.DBRW($D$4,$E$7,$E$8,$E$9,$E$10,$E$12,$D55,$E$6,CX$18,CX$17)</f>
        <v>5.6685793739999992</v>
      </c>
      <c r="CY55" s="16">
        <f ca="1">_xll.DBRW($D$4,$E$7,$E$8,$E$9,$E$10,$E$12,$D55,$E$6,CY$18,CY$17)</f>
        <v>5.6685793739999992</v>
      </c>
      <c r="CZ55" s="16">
        <f ca="1">_xll.DBRW($D$4,$E$7,$E$8,$E$9,$E$10,$E$12,$D55,$E$6,CZ$18,CZ$17)</f>
        <v>5.6685793739999992</v>
      </c>
      <c r="DA55" s="26">
        <f t="shared" ca="1" si="89"/>
        <v>3.7054967101879197</v>
      </c>
      <c r="DB55" s="26">
        <f t="shared" ca="1" si="90"/>
        <v>0.3800762435921381</v>
      </c>
      <c r="DC55" s="26">
        <f t="shared" ca="1" si="91"/>
        <v>0</v>
      </c>
      <c r="DD55" s="26">
        <f t="shared" ca="1" si="92"/>
        <v>0</v>
      </c>
      <c r="DE55" s="26">
        <f t="shared" ca="1" si="93"/>
        <v>0</v>
      </c>
      <c r="DF55" s="26">
        <f t="shared" ca="1" si="94"/>
        <v>0</v>
      </c>
      <c r="DG55" s="26">
        <f t="shared" ca="1" si="95"/>
        <v>0</v>
      </c>
      <c r="DH55" s="26">
        <f t="shared" ca="1" si="96"/>
        <v>3.3254204665957823</v>
      </c>
      <c r="DI55" s="26">
        <f t="shared" ca="1" si="97"/>
        <v>1.3500178018534079</v>
      </c>
      <c r="DJ55" s="26">
        <f t="shared" ca="1" si="98"/>
        <v>0.44993257181449842</v>
      </c>
      <c r="DK55" s="26">
        <f t="shared" ca="1" si="99"/>
        <v>-3.2179750075718605E-2</v>
      </c>
      <c r="DL55" s="26"/>
      <c r="DM55" s="26"/>
      <c r="DN55" s="26"/>
      <c r="DO55" s="26"/>
      <c r="DP55" s="26">
        <f t="shared" ca="1" si="100"/>
        <v>0.22635355189572159</v>
      </c>
      <c r="DQ55" s="26">
        <f t="shared" ca="1" si="101"/>
        <v>-1.1435246940592766E-2</v>
      </c>
      <c r="DR55" s="26"/>
      <c r="DS55" s="26"/>
      <c r="DT55" s="26"/>
      <c r="DU55" s="26"/>
      <c r="DV55" s="26">
        <f t="shared" ca="1" si="102"/>
        <v>0.30564455072815822</v>
      </c>
      <c r="DW55" s="26">
        <f t="shared" ca="1" si="103"/>
        <v>-1.2815632482388456E-2</v>
      </c>
      <c r="DX55" s="26"/>
      <c r="DY55" s="26"/>
      <c r="DZ55" s="26"/>
      <c r="EA55" s="26"/>
      <c r="EB55" s="26">
        <f t="shared" ca="1" si="104"/>
        <v>0.20670409919000021</v>
      </c>
      <c r="EC55" s="26">
        <f t="shared" ca="1" si="105"/>
        <v>-9.0446884087858059E-3</v>
      </c>
      <c r="ED55" s="26"/>
      <c r="EE55" s="26"/>
      <c r="EF55" s="26"/>
      <c r="EG55" s="26"/>
      <c r="EH55" s="26">
        <f t="shared" ca="1" si="106"/>
        <v>0.78676789111398904</v>
      </c>
      <c r="EI55" s="29">
        <f t="shared" ca="1" si="107"/>
        <v>-3.3511326887246784E-2</v>
      </c>
      <c r="EJ55" s="29"/>
      <c r="EK55" s="29"/>
      <c r="EL55" s="29"/>
      <c r="EM55" s="29"/>
      <c r="EN55" s="93"/>
      <c r="EO55" s="29"/>
      <c r="EP55" s="29"/>
      <c r="EQ55" s="29"/>
      <c r="ER55" s="29"/>
      <c r="ES55" s="29"/>
      <c r="ET55" s="29"/>
      <c r="EU55" s="93"/>
      <c r="EV55" s="29"/>
      <c r="EW55" s="29"/>
      <c r="EX55" s="29"/>
      <c r="EY55" s="29"/>
      <c r="EZ55" s="29"/>
      <c r="FA55" s="29"/>
      <c r="FB55" s="93"/>
      <c r="FC55" s="29"/>
      <c r="FD55" s="29"/>
      <c r="FE55" s="29"/>
      <c r="FF55" s="29"/>
      <c r="FG55" s="29"/>
      <c r="FH55" s="29"/>
      <c r="FI55" s="93"/>
      <c r="FJ55" s="29"/>
      <c r="FK55" s="29"/>
      <c r="FL55" s="29"/>
      <c r="FM55" s="29"/>
      <c r="FN55" s="29"/>
      <c r="FO55" s="29"/>
      <c r="FP55" s="93"/>
      <c r="FQ55" s="29"/>
      <c r="FR55" s="29"/>
      <c r="FS55" s="29"/>
      <c r="FT55" s="29"/>
      <c r="FU55" s="29"/>
      <c r="FV55" s="29"/>
    </row>
    <row r="56" spans="1:178" x14ac:dyDescent="0.25">
      <c r="A56" t="str">
        <f ca="1">IF(_xll.TM1RPTELISCONSOLIDATED($D$28,$D56),IF(_xll.TM1RPTELLEV($D$28,$D56)&lt;=3,_xll.TM1RPTELLEV($D$28,$D56),"D"),"N")</f>
        <v>N</v>
      </c>
      <c r="B56" t="str">
        <f ca="1">_xll.DBRA(Server&amp;"Management_organization",$D56,$B$27)</f>
        <v>L</v>
      </c>
      <c r="C56">
        <v>1</v>
      </c>
      <c r="D56" s="2" t="s">
        <v>100</v>
      </c>
      <c r="E56" s="26"/>
      <c r="F56" s="26"/>
      <c r="G56" s="16">
        <f ca="1">_xll.DBRW($D$4,$E$7,$E$8,$E$9,$E$10,$E$12,$D56,$E$6,G$18,G$17)</f>
        <v>3.5716813399999969</v>
      </c>
      <c r="H56" s="16">
        <f ca="1">_xll.DBRW($D$4,$E$7,$E$8,$E$9,$E$10,$E$12,$D56,$E$6,H$18,H$17)</f>
        <v>-0.98641371999999983</v>
      </c>
      <c r="I56" s="16">
        <f ca="1">_xll.DBRW($D$4,$E$7,$E$8,$E$9,$E$10,$E$12,$D56,$E$6,I$18,I$17)</f>
        <v>0</v>
      </c>
      <c r="J56" s="26">
        <f ca="1">_xll.DBRW($D$4,$E$7,$E$8,$E$9,$E$10,$E$12,$D56,$E$6,J$18,J$17)</f>
        <v>0</v>
      </c>
      <c r="K56" s="26">
        <f ca="1">_xll.DBRW($D$4,$E$7,$E$8,$E$9,$E$10,$E$12,$D56,$E$6,K$18,K$17)</f>
        <v>0</v>
      </c>
      <c r="L56" s="26">
        <f ca="1">_xll.DBRW($D$4,$E$7,$E$8,$E$9,$E$10,$E$12,$D56,$E$6,L$18,L$17)</f>
        <v>0</v>
      </c>
      <c r="M56" s="26">
        <f ca="1">_xll.DBRW($D$4,$E$7,$E$8,$E$9,$E$10,$E$12,$D56,$E$6,M$18,M$17)</f>
        <v>0</v>
      </c>
      <c r="N56" s="16">
        <f ca="1">_xll.DBRW($D$4,$E$7,$E$8,$E$9,$E$10,$E$12,$D56,$E$6,N$18,N$17)</f>
        <v>4.5580950599999976</v>
      </c>
      <c r="O56" s="16">
        <f ca="1">_xll.DBRW($D$4,$E$7,$E$8,$E$9,$E$10,$E$12,$D56,$E$6,O$18,O$17)</f>
        <v>16.688615349999999</v>
      </c>
      <c r="P56" s="74">
        <f ca="1">_xll.DBRW($D$4,$E$7,$E$8,$E$9,$E$10,$E$12,$D56,$E$6,P$18,P$17)</f>
        <v>-6.5715184400000002</v>
      </c>
      <c r="Q56" s="16">
        <f ca="1">_xll.DBRW($D$4,$E$7,$E$8,$E$9,$E$10,$E$12,$D56,$E$6,Q$18,Q$17)</f>
        <v>0.39377253907407006</v>
      </c>
      <c r="R56" s="16"/>
      <c r="S56" s="16"/>
      <c r="T56" s="16"/>
      <c r="U56" s="16"/>
      <c r="V56" s="16">
        <f ca="1">_xll.DBRW($D$4,$E$7,$E$8,$E$9,$E$10,$E$12,$D56,$E$6,V$18,V$17)</f>
        <v>-1.46377852</v>
      </c>
      <c r="W56" s="16">
        <f ca="1">_xll.DBRW($D$4,$E$7,$E$8,$E$9,$E$10,$E$12,$D56,$E$6,W$18,W$17)</f>
        <v>8.7711202475524733E-2</v>
      </c>
      <c r="X56" s="16"/>
      <c r="Y56" s="16"/>
      <c r="Z56" s="16"/>
      <c r="AA56" s="16"/>
      <c r="AB56" s="16">
        <f ca="1">_xll.DBRW($D$4,$E$7,$E$8,$E$9,$E$10,$E$12,$D56,$E$6,AB$18,AB$17)</f>
        <v>-1.3236430700000001</v>
      </c>
      <c r="AC56" s="16">
        <f ca="1">_xll.DBRW($D$4,$E$7,$E$8,$E$9,$E$10,$E$12,$D56,$E$6,AC$18,AC$17)</f>
        <v>7.9314133751665641E-2</v>
      </c>
      <c r="AD56" s="16"/>
      <c r="AE56" s="16"/>
      <c r="AF56" s="16"/>
      <c r="AG56" s="16"/>
      <c r="AH56" s="16">
        <f ca="1">_xll.DBRW($D$4,$E$7,$E$8,$E$9,$E$10,$E$12,$D56,$E$6,AH$18,AH$17)</f>
        <v>-0.74033957999999989</v>
      </c>
      <c r="AI56" s="16">
        <f ca="1">_xll.DBRW($D$4,$E$7,$E$8,$E$9,$E$10,$E$12,$D56,$E$6,AI$18,AI$17)</f>
        <v>4.4361953611687738E-2</v>
      </c>
      <c r="AJ56" s="16"/>
      <c r="AK56" s="16"/>
      <c r="AL56" s="16"/>
      <c r="AM56" s="16"/>
      <c r="AN56" s="16">
        <f ca="1">_xll.DBRW($D$4,$E$7,$E$8,$E$9,$E$10,$E$12,$D56,$E$6,AN$18,AN$17)</f>
        <v>-2.0312406799999994</v>
      </c>
      <c r="AO56" s="16">
        <f ca="1">_xll.DBRW($D$4,$E$7,$E$8,$E$9,$E$10,$E$12,$D56,$E$6,AO$18,AO$17)</f>
        <v>0.12171415287608024</v>
      </c>
      <c r="AP56" s="16"/>
      <c r="AQ56" s="16"/>
      <c r="AR56" s="16"/>
      <c r="AS56" s="16"/>
      <c r="AT56" s="16">
        <f ca="1">_xll.DBRW($D$4,$E$7,$E$8,$E$9,$E$10,$E$12,$D56,$E$6,AT$18,AT$17)</f>
        <v>0.25386999999999998</v>
      </c>
      <c r="AU56" s="16">
        <f ca="1">_xll.DBRW($D$4,$E$7,$E$8,$E$9,$E$10,$E$12,$D56,$E$6,AU$18,AU$17)</f>
        <v>3.2547100000000002</v>
      </c>
      <c r="AV56" s="16">
        <f ca="1">_xll.DBRW($D$4,$E$7,$E$8,$E$9,$E$10,$E$12,$D56,$E$6,AV$18,AV$17)</f>
        <v>3.2547100000000002</v>
      </c>
      <c r="AW56" s="16">
        <f ca="1">_xll.DBRW($D$4,$E$7,$E$8,$E$9,$E$10,$E$12,$D56,$E$6,AW$18,AW$17)</f>
        <v>3.2547100000000002</v>
      </c>
      <c r="AX56" s="16">
        <f ca="1">_xll.DBRW($D$4,$E$7,$E$8,$E$9,$E$10,$E$12,$D56,$E$6,AX$18,AX$17)</f>
        <v>1.3693446900000001</v>
      </c>
      <c r="AY56" s="16">
        <f ca="1">_xll.DBRW($D$4,$E$7,$E$8,$E$9,$E$10,$E$12,$D56,$E$6,AY$18,AY$17)</f>
        <v>3.2547100000000002</v>
      </c>
      <c r="AZ56" s="16">
        <f ca="1">_xll.DBRW($D$4,$E$7,$E$8,$E$9,$E$10,$E$12,$D56,$E$6,AZ$18,AZ$17)</f>
        <v>2.7844030000000002</v>
      </c>
      <c r="BA56" s="16">
        <f ca="1">_xll.DBRW($D$4,$E$7,$E$8,$E$9,$E$10,$E$12,$D56,$E$6,BA$18,BA$17)</f>
        <v>3.2547100000000002</v>
      </c>
      <c r="BB56" s="16">
        <f ca="1">_xll.DBRW($D$4,$E$7,$E$8,$E$9,$E$10,$E$12,$D56,$E$6,BB$18,BB$17)</f>
        <v>3.2547100000000002</v>
      </c>
      <c r="BC56" s="16">
        <f ca="1">_xll.DBRW($D$4,$E$7,$E$8,$E$9,$E$10,$E$12,$D56,$E$6,BC$18,BC$17)</f>
        <v>3.2547100000000002</v>
      </c>
      <c r="BD56" s="16">
        <f ca="1">_xll.DBRW($D$4,$E$7,$E$8,$E$9,$E$10,$E$12,$D56,$E$6,BD$18,BD$17)</f>
        <v>1.5043584789674518</v>
      </c>
      <c r="BE56" s="16">
        <f ca="1">_xll.DBRW($D$4,$E$7,$E$8,$E$9,$E$10,$E$12,$D56,$E$6,BE$18,BE$17)</f>
        <v>-1.2885550063404394</v>
      </c>
      <c r="BF56" s="16">
        <f ca="1">_xll.DBRW($D$4,$E$7,$E$8,$E$9,$E$10,$E$12,$D56,$E$6,BF$18,BF$17)</f>
        <v>0</v>
      </c>
      <c r="BG56" s="26">
        <f ca="1">_xll.DBRW($D$4,$E$7,$E$8,$E$9,$E$10,$E$12,$D56,$E$6,BG$18,BG$17)</f>
        <v>0</v>
      </c>
      <c r="BH56" s="26">
        <f ca="1">_xll.DBRW($D$4,$E$7,$E$8,$E$9,$E$10,$E$12,$D56,$E$6,BH$18,BH$17)</f>
        <v>0</v>
      </c>
      <c r="BI56" s="26">
        <f ca="1">_xll.DBRW($D$4,$E$7,$E$8,$E$9,$E$10,$E$12,$D56,$E$6,BI$18,BI$17)</f>
        <v>0</v>
      </c>
      <c r="BJ56" s="26">
        <f ca="1">_xll.DBRW($D$4,$E$7,$E$8,$E$9,$E$10,$E$12,$D56,$E$6,BJ$18,BJ$17)</f>
        <v>0</v>
      </c>
      <c r="BK56" s="16">
        <f ca="1">_xll.DBRW($D$4,$E$7,$E$8,$E$9,$E$10,$E$12,$D56,$E$6,BK$18,BK$17)</f>
        <v>2.7929134853078916</v>
      </c>
      <c r="BL56" s="16">
        <f ca="1">_xll.DBRW($D$4,$E$7,$E$8,$E$9,$E$10,$E$12,$D56,$E$6,BL$18,BL$17)</f>
        <v>16.677522185670458</v>
      </c>
      <c r="BM56" s="16">
        <f ca="1">_xll.DBRW($D$4,$E$7,$E$8,$E$9,$E$10,$E$12,$D56,$E$6,BM$18,BM$17)</f>
        <v>-7.5769560077376399</v>
      </c>
      <c r="BN56" s="16">
        <f ca="1">_xll.DBRW($D$4,$E$7,$E$8,$E$9,$E$10,$E$12,$D56,$E$6,BN$18,BN$17)</f>
        <v>0.45432144675831149</v>
      </c>
      <c r="BO56" s="16"/>
      <c r="BP56" s="16"/>
      <c r="BQ56" s="16"/>
      <c r="BR56" s="16"/>
      <c r="BS56" s="16">
        <f ca="1">_xll.DBRW($D$4,$E$7,$E$8,$E$9,$E$10,$E$12,$D56,$E$6,BS$18,BS$17)</f>
        <v>-1.6407204886087847</v>
      </c>
      <c r="BT56" s="16">
        <f ca="1">_xll.DBRW($D$4,$E$7,$E$8,$E$9,$E$10,$E$12,$D56,$E$6,BT$18,BT$17)</f>
        <v>9.8379151911338059E-2</v>
      </c>
      <c r="BU56" s="16"/>
      <c r="BV56" s="16"/>
      <c r="BW56" s="16"/>
      <c r="BX56" s="16"/>
      <c r="BY56" s="16">
        <f ca="1">_xll.DBRW($D$4,$E$7,$E$8,$E$9,$E$10,$E$12,$D56,$E$6,BY$18,BY$17)</f>
        <v>-1.2325118756805427</v>
      </c>
      <c r="BZ56" s="16">
        <f ca="1">_xll.DBRW($D$4,$E$7,$E$8,$E$9,$E$10,$E$12,$D56,$E$6,BZ$18,BZ$17)</f>
        <v>7.3902577490769741E-2</v>
      </c>
      <c r="CA56" s="16"/>
      <c r="CB56" s="16"/>
      <c r="CC56" s="16"/>
      <c r="CD56" s="16"/>
      <c r="CE56" s="16">
        <f ca="1">_xll.DBRW($D$4,$E$7,$E$8,$E$9,$E$10,$E$12,$D56,$E$6,CE$18,CE$17)</f>
        <v>-0.86149230252499986</v>
      </c>
      <c r="CF56" s="16">
        <f ca="1">_xll.DBRW($D$4,$E$7,$E$8,$E$9,$E$10,$E$12,$D56,$E$6,CF$18,CF$17)</f>
        <v>5.1655893059773902E-2</v>
      </c>
      <c r="CG56" s="16"/>
      <c r="CH56" s="16"/>
      <c r="CI56" s="16"/>
      <c r="CJ56" s="16"/>
      <c r="CK56" s="16">
        <f ca="1">_xll.DBRW($D$4,$E$7,$E$8,$E$9,$E$10,$E$12,$D56,$E$6,CK$18,CK$17)</f>
        <v>-2.5729280258105973</v>
      </c>
      <c r="CL56" s="16">
        <f ca="1">_xll.DBRW($D$4,$E$7,$E$8,$E$9,$E$10,$E$12,$D56,$E$6,CL$18,CL$17)</f>
        <v>0.15427519730846409</v>
      </c>
      <c r="CM56" s="16"/>
      <c r="CN56" s="16"/>
      <c r="CO56" s="16"/>
      <c r="CP56" s="16"/>
      <c r="CQ56" s="16">
        <f ca="1">_xll.DBRW($D$4,$E$7,$E$8,$E$9,$E$10,$E$12,$D56,$E$6,CQ$18,CQ$17)</f>
        <v>0.27038331999999993</v>
      </c>
      <c r="CR56" s="16">
        <f ca="1">_xll.DBRW($D$4,$E$7,$E$8,$E$9,$E$10,$E$12,$D56,$E$6,CR$18,CR$17)</f>
        <v>3.5573798190448001</v>
      </c>
      <c r="CS56" s="16">
        <f ca="1">_xll.DBRW($D$4,$E$7,$E$8,$E$9,$E$10,$E$12,$D56,$E$6,CS$18,CS$17)</f>
        <v>3.5573798190448001</v>
      </c>
      <c r="CT56" s="16">
        <f ca="1">_xll.DBRW($D$4,$E$7,$E$8,$E$9,$E$10,$E$12,$D56,$E$6,CT$18,CT$17)</f>
        <v>3.5573798190448001</v>
      </c>
      <c r="CU56" s="16">
        <f ca="1">_xll.DBRW($D$4,$E$7,$E$8,$E$9,$E$10,$E$12,$D56,$E$6,CU$18,CU$17)</f>
        <v>1.4681935431879403</v>
      </c>
      <c r="CV56" s="16">
        <f ca="1">_xll.DBRW($D$4,$E$7,$E$8,$E$9,$E$10,$E$12,$D56,$E$6,CV$18,CV$17)</f>
        <v>3.5573798190448001</v>
      </c>
      <c r="CW56" s="16">
        <f ca="1">_xll.DBRW($D$4,$E$7,$E$8,$E$9,$E$10,$E$12,$D56,$E$6,CW$18,CW$17)</f>
        <v>3.0352603286666695</v>
      </c>
      <c r="CX56" s="16">
        <f ca="1">_xll.DBRW($D$4,$E$7,$E$8,$E$9,$E$10,$E$12,$D56,$E$6,CX$18,CX$17)</f>
        <v>3.5573798190448001</v>
      </c>
      <c r="CY56" s="16">
        <f ca="1">_xll.DBRW($D$4,$E$7,$E$8,$E$9,$E$10,$E$12,$D56,$E$6,CY$18,CY$17)</f>
        <v>3.5573798190448001</v>
      </c>
      <c r="CZ56" s="16">
        <f ca="1">_xll.DBRW($D$4,$E$7,$E$8,$E$9,$E$10,$E$12,$D56,$E$6,CZ$18,CZ$17)</f>
        <v>3.5573798190448001</v>
      </c>
      <c r="DA56" s="26">
        <f t="shared" ca="1" si="89"/>
        <v>2.0673228610325451</v>
      </c>
      <c r="DB56" s="26">
        <f t="shared" ca="1" si="90"/>
        <v>0.30214128634043957</v>
      </c>
      <c r="DC56" s="26">
        <f t="shared" ca="1" si="91"/>
        <v>0</v>
      </c>
      <c r="DD56" s="26">
        <f t="shared" ca="1" si="92"/>
        <v>0</v>
      </c>
      <c r="DE56" s="26">
        <f t="shared" ca="1" si="93"/>
        <v>0</v>
      </c>
      <c r="DF56" s="26">
        <f t="shared" ca="1" si="94"/>
        <v>0</v>
      </c>
      <c r="DG56" s="26">
        <f t="shared" ca="1" si="95"/>
        <v>0</v>
      </c>
      <c r="DH56" s="26">
        <f t="shared" ca="1" si="96"/>
        <v>1.765181574692106</v>
      </c>
      <c r="DI56" s="26">
        <f t="shared" ca="1" si="97"/>
        <v>1.1093164329540883E-2</v>
      </c>
      <c r="DJ56" s="26">
        <f t="shared" ca="1" si="98"/>
        <v>1.0054375677376397</v>
      </c>
      <c r="DK56" s="26">
        <f t="shared" ca="1" si="99"/>
        <v>-6.0548907684241426E-2</v>
      </c>
      <c r="DL56" s="26"/>
      <c r="DM56" s="26"/>
      <c r="DN56" s="26"/>
      <c r="DO56" s="26"/>
      <c r="DP56" s="26">
        <f t="shared" ca="1" si="100"/>
        <v>0.17694196860878475</v>
      </c>
      <c r="DQ56" s="26">
        <f t="shared" ca="1" si="101"/>
        <v>-1.0667949435813326E-2</v>
      </c>
      <c r="DR56" s="26"/>
      <c r="DS56" s="26"/>
      <c r="DT56" s="26"/>
      <c r="DU56" s="26"/>
      <c r="DV56" s="26">
        <f t="shared" ca="1" si="102"/>
        <v>-9.1131194319457487E-2</v>
      </c>
      <c r="DW56" s="26">
        <f t="shared" ca="1" si="103"/>
        <v>5.4115562608959E-3</v>
      </c>
      <c r="DX56" s="26"/>
      <c r="DY56" s="26"/>
      <c r="DZ56" s="26"/>
      <c r="EA56" s="26"/>
      <c r="EB56" s="26">
        <f t="shared" ca="1" si="104"/>
        <v>0.12115272252499998</v>
      </c>
      <c r="EC56" s="26">
        <f t="shared" ca="1" si="105"/>
        <v>-7.2939394480861647E-3</v>
      </c>
      <c r="ED56" s="26"/>
      <c r="EE56" s="26"/>
      <c r="EF56" s="26"/>
      <c r="EG56" s="26"/>
      <c r="EH56" s="26">
        <f t="shared" ca="1" si="106"/>
        <v>0.54168734581059796</v>
      </c>
      <c r="EI56" s="29">
        <f t="shared" ca="1" si="107"/>
        <v>-3.2561044432383848E-2</v>
      </c>
      <c r="EJ56" s="29"/>
      <c r="EK56" s="29"/>
      <c r="EL56" s="29"/>
      <c r="EM56" s="29"/>
      <c r="EN56" s="93"/>
      <c r="EO56" s="29"/>
      <c r="EP56" s="29"/>
      <c r="EQ56" s="29"/>
      <c r="ER56" s="29"/>
      <c r="ES56" s="29"/>
      <c r="ET56" s="29"/>
      <c r="EU56" s="93"/>
      <c r="EV56" s="29"/>
      <c r="EW56" s="29"/>
      <c r="EX56" s="29"/>
      <c r="EY56" s="29"/>
      <c r="EZ56" s="29"/>
      <c r="FA56" s="29"/>
      <c r="FB56" s="93"/>
      <c r="FC56" s="29"/>
      <c r="FD56" s="29"/>
      <c r="FE56" s="29"/>
      <c r="FF56" s="29"/>
      <c r="FG56" s="29"/>
      <c r="FH56" s="29"/>
      <c r="FI56" s="93"/>
      <c r="FJ56" s="29"/>
      <c r="FK56" s="29"/>
      <c r="FL56" s="29"/>
      <c r="FM56" s="29"/>
      <c r="FN56" s="29"/>
      <c r="FO56" s="29"/>
      <c r="FP56" s="93"/>
      <c r="FQ56" s="29"/>
      <c r="FR56" s="29"/>
      <c r="FS56" s="29"/>
      <c r="FT56" s="29"/>
      <c r="FU56" s="29"/>
      <c r="FV56" s="29"/>
    </row>
    <row r="57" spans="1:178" x14ac:dyDescent="0.25">
      <c r="A57" t="str">
        <f ca="1">IF(_xll.TM1RPTELISCONSOLIDATED($D$28,$D57),IF(_xll.TM1RPTELLEV($D$28,$D57)&lt;=3,_xll.TM1RPTELLEV($D$28,$D57),"D"),"N")</f>
        <v>N</v>
      </c>
      <c r="B57" t="str">
        <f ca="1">_xll.DBRA(Server&amp;"Management_organization",$D57,$B$27)</f>
        <v>L</v>
      </c>
      <c r="C57">
        <v>1</v>
      </c>
      <c r="D57" s="2" t="s">
        <v>101</v>
      </c>
      <c r="E57" s="26"/>
      <c r="F57" s="26"/>
      <c r="G57" s="16">
        <f ca="1">_xll.DBRW($D$4,$E$7,$E$8,$E$9,$E$10,$E$12,$D57,$E$6,G$18,G$17)</f>
        <v>6.1426348699999931</v>
      </c>
      <c r="H57" s="16">
        <f ca="1">_xll.DBRW($D$4,$E$7,$E$8,$E$9,$E$10,$E$12,$D57,$E$6,H$18,H$17)</f>
        <v>-0.98192668999999988</v>
      </c>
      <c r="I57" s="16">
        <f ca="1">_xll.DBRW($D$4,$E$7,$E$8,$E$9,$E$10,$E$12,$D57,$E$6,I$18,I$17)</f>
        <v>0</v>
      </c>
      <c r="J57" s="26">
        <f ca="1">_xll.DBRW($D$4,$E$7,$E$8,$E$9,$E$10,$E$12,$D57,$E$6,J$18,J$17)</f>
        <v>0</v>
      </c>
      <c r="K57" s="26">
        <f ca="1">_xll.DBRW($D$4,$E$7,$E$8,$E$9,$E$10,$E$12,$D57,$E$6,K$18,K$17)</f>
        <v>5.7776839999999996E-2</v>
      </c>
      <c r="L57" s="26">
        <f ca="1">_xll.DBRW($D$4,$E$7,$E$8,$E$9,$E$10,$E$12,$D57,$E$6,L$18,L$17)</f>
        <v>0</v>
      </c>
      <c r="M57" s="26">
        <f ca="1">_xll.DBRW($D$4,$E$7,$E$8,$E$9,$E$10,$E$12,$D57,$E$6,M$18,M$17)</f>
        <v>0</v>
      </c>
      <c r="N57" s="16">
        <f ca="1">_xll.DBRW($D$4,$E$7,$E$8,$E$9,$E$10,$E$12,$D57,$E$6,N$18,N$17)</f>
        <v>7.0667847199999931</v>
      </c>
      <c r="O57" s="16">
        <f ca="1">_xll.DBRW($D$4,$E$7,$E$8,$E$9,$E$10,$E$12,$D57,$E$6,O$18,O$17)</f>
        <v>29.714111599999995</v>
      </c>
      <c r="P57" s="74">
        <f ca="1">_xll.DBRW($D$4,$E$7,$E$8,$E$9,$E$10,$E$12,$D57,$E$6,P$18,P$17)</f>
        <v>-12.850870509999998</v>
      </c>
      <c r="Q57" s="16">
        <f ca="1">_xll.DBRW($D$4,$E$7,$E$8,$E$9,$E$10,$E$12,$D57,$E$6,Q$18,Q$17)</f>
        <v>0.43248375327499278</v>
      </c>
      <c r="R57" s="16"/>
      <c r="S57" s="16"/>
      <c r="T57" s="16"/>
      <c r="U57" s="16"/>
      <c r="V57" s="16">
        <f ca="1">_xll.DBRW($D$4,$E$7,$E$8,$E$9,$E$10,$E$12,$D57,$E$6,V$18,V$17)</f>
        <v>-1.9814035299999999</v>
      </c>
      <c r="W57" s="16">
        <f ca="1">_xll.DBRW($D$4,$E$7,$E$8,$E$9,$E$10,$E$12,$D57,$E$6,W$18,W$17)</f>
        <v>6.6682240299588844E-2</v>
      </c>
      <c r="X57" s="16"/>
      <c r="Y57" s="16"/>
      <c r="Z57" s="16"/>
      <c r="AA57" s="16"/>
      <c r="AB57" s="16">
        <f ca="1">_xll.DBRW($D$4,$E$7,$E$8,$E$9,$E$10,$E$12,$D57,$E$6,AB$18,AB$17)</f>
        <v>-2.0980508299999996</v>
      </c>
      <c r="AC57" s="16">
        <f ca="1">_xll.DBRW($D$4,$E$7,$E$8,$E$9,$E$10,$E$12,$D57,$E$6,AC$18,AC$17)</f>
        <v>7.0607893590868789E-2</v>
      </c>
      <c r="AD57" s="16"/>
      <c r="AE57" s="16"/>
      <c r="AF57" s="16"/>
      <c r="AG57" s="16"/>
      <c r="AH57" s="16">
        <f ca="1">_xll.DBRW($D$4,$E$7,$E$8,$E$9,$E$10,$E$12,$D57,$E$6,AH$18,AH$17)</f>
        <v>-1.65778103</v>
      </c>
      <c r="AI57" s="16">
        <f ca="1">_xll.DBRW($D$4,$E$7,$E$8,$E$9,$E$10,$E$12,$D57,$E$6,AI$18,AI$17)</f>
        <v>5.5791034654389608E-2</v>
      </c>
      <c r="AJ57" s="16"/>
      <c r="AK57" s="16"/>
      <c r="AL57" s="16"/>
      <c r="AM57" s="16"/>
      <c r="AN57" s="16">
        <f ca="1">_xll.DBRW($D$4,$E$7,$E$8,$E$9,$E$10,$E$12,$D57,$E$6,AN$18,AN$17)</f>
        <v>-4.0592209800000001</v>
      </c>
      <c r="AO57" s="16">
        <f ca="1">_xll.DBRW($D$4,$E$7,$E$8,$E$9,$E$10,$E$12,$D57,$E$6,AO$18,AO$17)</f>
        <v>0.13660919884274786</v>
      </c>
      <c r="AP57" s="16"/>
      <c r="AQ57" s="16"/>
      <c r="AR57" s="16"/>
      <c r="AS57" s="16"/>
      <c r="AT57" s="16">
        <f ca="1">_xll.DBRW($D$4,$E$7,$E$8,$E$9,$E$10,$E$12,$D57,$E$6,AT$18,AT$17)</f>
        <v>0.43154146999999998</v>
      </c>
      <c r="AU57" s="16">
        <f ca="1">_xll.DBRW($D$4,$E$7,$E$8,$E$9,$E$10,$E$12,$D57,$E$6,AU$18,AU$17)</f>
        <v>5.7584850000000003</v>
      </c>
      <c r="AV57" s="16">
        <f ca="1">_xll.DBRW($D$4,$E$7,$E$8,$E$9,$E$10,$E$12,$D57,$E$6,AV$18,AV$17)</f>
        <v>5.7584850000000003</v>
      </c>
      <c r="AW57" s="16">
        <f ca="1">_xll.DBRW($D$4,$E$7,$E$8,$E$9,$E$10,$E$12,$D57,$E$6,AW$18,AW$17)</f>
        <v>5.7584850000000003</v>
      </c>
      <c r="AX57" s="16">
        <f ca="1">_xll.DBRW($D$4,$E$7,$E$8,$E$9,$E$10,$E$12,$D57,$E$6,AX$18,AX$17)</f>
        <v>2.2458268000000001</v>
      </c>
      <c r="AY57" s="16">
        <f ca="1">_xll.DBRW($D$4,$E$7,$E$8,$E$9,$E$10,$E$12,$D57,$E$6,AY$18,AY$17)</f>
        <v>5.7584850000000003</v>
      </c>
      <c r="AZ57" s="16">
        <f ca="1">_xll.DBRW($D$4,$E$7,$E$8,$E$9,$E$10,$E$12,$D57,$E$6,AZ$18,AZ$17)</f>
        <v>4.234756</v>
      </c>
      <c r="BA57" s="16">
        <f ca="1">_xll.DBRW($D$4,$E$7,$E$8,$E$9,$E$10,$E$12,$D57,$E$6,BA$18,BA$17)</f>
        <v>5.7584850000000003</v>
      </c>
      <c r="BB57" s="16">
        <f ca="1">_xll.DBRW($D$4,$E$7,$E$8,$E$9,$E$10,$E$12,$D57,$E$6,BB$18,BB$17)</f>
        <v>5.7584850000000003</v>
      </c>
      <c r="BC57" s="16">
        <f ca="1">_xll.DBRW($D$4,$E$7,$E$8,$E$9,$E$10,$E$12,$D57,$E$6,BC$18,BC$17)</f>
        <v>5.7584850000000003</v>
      </c>
      <c r="BD57" s="16">
        <f ca="1">_xll.DBRW($D$4,$E$7,$E$8,$E$9,$E$10,$E$12,$D57,$E$6,BD$18,BD$17)</f>
        <v>-0.51789152280508666</v>
      </c>
      <c r="BE57" s="16">
        <f ca="1">_xll.DBRW($D$4,$E$7,$E$8,$E$9,$E$10,$E$12,$D57,$E$6,BE$18,BE$17)</f>
        <v>-1.6576100549999997</v>
      </c>
      <c r="BF57" s="16">
        <f ca="1">_xll.DBRW($D$4,$E$7,$E$8,$E$9,$E$10,$E$12,$D57,$E$6,BF$18,BF$17)</f>
        <v>0</v>
      </c>
      <c r="BG57" s="26">
        <f ca="1">_xll.DBRW($D$4,$E$7,$E$8,$E$9,$E$10,$E$12,$D57,$E$6,BG$18,BG$17)</f>
        <v>0</v>
      </c>
      <c r="BH57" s="26">
        <f ca="1">_xll.DBRW($D$4,$E$7,$E$8,$E$9,$E$10,$E$12,$D57,$E$6,BH$18,BH$17)</f>
        <v>0</v>
      </c>
      <c r="BI57" s="26">
        <f ca="1">_xll.DBRW($D$4,$E$7,$E$8,$E$9,$E$10,$E$12,$D57,$E$6,BI$18,BI$17)</f>
        <v>0</v>
      </c>
      <c r="BJ57" s="26">
        <f ca="1">_xll.DBRW($D$4,$E$7,$E$8,$E$9,$E$10,$E$12,$D57,$E$6,BJ$18,BJ$17)</f>
        <v>0</v>
      </c>
      <c r="BK57" s="16">
        <f ca="1">_xll.DBRW($D$4,$E$7,$E$8,$E$9,$E$10,$E$12,$D57,$E$6,BK$18,BK$17)</f>
        <v>1.1397185321949128</v>
      </c>
      <c r="BL57" s="16">
        <f ca="1">_xll.DBRW($D$4,$E$7,$E$8,$E$9,$E$10,$E$12,$D57,$E$6,BL$18,BL$17)</f>
        <v>24.828014615783331</v>
      </c>
      <c r="BM57" s="16">
        <f ca="1">_xll.DBRW($D$4,$E$7,$E$8,$E$9,$E$10,$E$12,$D57,$E$6,BM$18,BM$17)</f>
        <v>-12.8363568169825</v>
      </c>
      <c r="BN57" s="16">
        <f ca="1">_xll.DBRW($D$4,$E$7,$E$8,$E$9,$E$10,$E$12,$D57,$E$6,BN$18,BN$17)</f>
        <v>0.51701100614071427</v>
      </c>
      <c r="BO57" s="16"/>
      <c r="BP57" s="16"/>
      <c r="BQ57" s="16"/>
      <c r="BR57" s="16"/>
      <c r="BS57" s="16">
        <f ca="1">_xll.DBRW($D$4,$E$7,$E$8,$E$9,$E$10,$E$12,$D57,$E$6,BS$18,BS$17)</f>
        <v>-2.3425824788215706</v>
      </c>
      <c r="BT57" s="16">
        <f ca="1">_xll.DBRW($D$4,$E$7,$E$8,$E$9,$E$10,$E$12,$D57,$E$6,BT$18,BT$17)</f>
        <v>9.4352388423856307E-2</v>
      </c>
      <c r="BU57" s="16"/>
      <c r="BV57" s="16"/>
      <c r="BW57" s="16"/>
      <c r="BX57" s="16"/>
      <c r="BY57" s="16">
        <f ca="1">_xll.DBRW($D$4,$E$7,$E$8,$E$9,$E$10,$E$12,$D57,$E$6,BY$18,BY$17)</f>
        <v>-2.1270986569295918</v>
      </c>
      <c r="BZ57" s="16">
        <f ca="1">_xll.DBRW($D$4,$E$7,$E$8,$E$9,$E$10,$E$12,$D57,$E$6,BZ$18,BZ$17)</f>
        <v>8.5673328691267217E-2</v>
      </c>
      <c r="CA57" s="16"/>
      <c r="CB57" s="16"/>
      <c r="CC57" s="16"/>
      <c r="CD57" s="16"/>
      <c r="CE57" s="16">
        <f ca="1">_xll.DBRW($D$4,$E$7,$E$8,$E$9,$E$10,$E$12,$D57,$E$6,CE$18,CE$17)</f>
        <v>-1.8933204866666671</v>
      </c>
      <c r="CF57" s="16">
        <f ca="1">_xll.DBRW($D$4,$E$7,$E$8,$E$9,$E$10,$E$12,$D57,$E$6,CF$18,CF$17)</f>
        <v>7.6257425974893336E-2</v>
      </c>
      <c r="CG57" s="16"/>
      <c r="CH57" s="16"/>
      <c r="CI57" s="16"/>
      <c r="CJ57" s="16"/>
      <c r="CK57" s="16">
        <f ca="1">_xll.DBRW($D$4,$E$7,$E$8,$E$9,$E$10,$E$12,$D57,$E$6,CK$18,CK$17)</f>
        <v>-4.488937644188093</v>
      </c>
      <c r="CL57" s="16">
        <f ca="1">_xll.DBRW($D$4,$E$7,$E$8,$E$9,$E$10,$E$12,$D57,$E$6,CL$18,CL$17)</f>
        <v>0.18080131309953579</v>
      </c>
      <c r="CM57" s="16"/>
      <c r="CN57" s="16"/>
      <c r="CO57" s="16"/>
      <c r="CP57" s="16"/>
      <c r="CQ57" s="16">
        <f ca="1">_xll.DBRW($D$4,$E$7,$E$8,$E$9,$E$10,$E$12,$D57,$E$6,CQ$18,CQ$17)</f>
        <v>0.44853596850493993</v>
      </c>
      <c r="CR57" s="16">
        <f ca="1">_xll.DBRW($D$4,$E$7,$E$8,$E$9,$E$10,$E$12,$D57,$E$6,CR$18,CR$17)</f>
        <v>5.7808937085000007</v>
      </c>
      <c r="CS57" s="16">
        <f ca="1">_xll.DBRW($D$4,$E$7,$E$8,$E$9,$E$10,$E$12,$D57,$E$6,CS$18,CS$17)</f>
        <v>5.7808937085000007</v>
      </c>
      <c r="CT57" s="16">
        <f ca="1">_xll.DBRW($D$4,$E$7,$E$8,$E$9,$E$10,$E$12,$D57,$E$6,CT$18,CT$17)</f>
        <v>5.7808937085000007</v>
      </c>
      <c r="CU57" s="16">
        <f ca="1">_xll.DBRW($D$4,$E$7,$E$8,$E$9,$E$10,$E$12,$D57,$E$6,CU$18,CU$17)</f>
        <v>2.5435932317400001</v>
      </c>
      <c r="CV57" s="16">
        <f ca="1">_xll.DBRW($D$4,$E$7,$E$8,$E$9,$E$10,$E$12,$D57,$E$6,CV$18,CV$17)</f>
        <v>5.7808937085000007</v>
      </c>
      <c r="CW57" s="16">
        <f ca="1">_xll.DBRW($D$4,$E$7,$E$8,$E$9,$E$10,$E$12,$D57,$E$6,CW$18,CW$17)</f>
        <v>4.5033161989214987</v>
      </c>
      <c r="CX57" s="16">
        <f ca="1">_xll.DBRW($D$4,$E$7,$E$8,$E$9,$E$10,$E$12,$D57,$E$6,CX$18,CX$17)</f>
        <v>5.7808937085000007</v>
      </c>
      <c r="CY57" s="16">
        <f ca="1">_xll.DBRW($D$4,$E$7,$E$8,$E$9,$E$10,$E$12,$D57,$E$6,CY$18,CY$17)</f>
        <v>5.7808937085000007</v>
      </c>
      <c r="CZ57" s="16">
        <f ca="1">_xll.DBRW($D$4,$E$7,$E$8,$E$9,$E$10,$E$12,$D57,$E$6,CZ$18,CZ$17)</f>
        <v>5.7808937085000007</v>
      </c>
      <c r="DA57" s="26">
        <f t="shared" ca="1" si="89"/>
        <v>6.66052639280508</v>
      </c>
      <c r="DB57" s="26">
        <f t="shared" ca="1" si="90"/>
        <v>0.67568336499999981</v>
      </c>
      <c r="DC57" s="26">
        <f t="shared" ca="1" si="91"/>
        <v>0</v>
      </c>
      <c r="DD57" s="26">
        <f t="shared" ca="1" si="92"/>
        <v>0</v>
      </c>
      <c r="DE57" s="26">
        <f t="shared" ca="1" si="93"/>
        <v>5.7776839999999996E-2</v>
      </c>
      <c r="DF57" s="26">
        <f t="shared" ca="1" si="94"/>
        <v>0</v>
      </c>
      <c r="DG57" s="26">
        <f t="shared" ca="1" si="95"/>
        <v>0</v>
      </c>
      <c r="DH57" s="26">
        <f t="shared" ca="1" si="96"/>
        <v>5.9270661878050799</v>
      </c>
      <c r="DI57" s="26">
        <f t="shared" ca="1" si="97"/>
        <v>4.8860969842166639</v>
      </c>
      <c r="DJ57" s="26">
        <f t="shared" ca="1" si="98"/>
        <v>-1.4513693017498497E-2</v>
      </c>
      <c r="DK57" s="26">
        <f t="shared" ca="1" si="99"/>
        <v>-8.4527252865721492E-2</v>
      </c>
      <c r="DL57" s="26"/>
      <c r="DM57" s="26"/>
      <c r="DN57" s="26"/>
      <c r="DO57" s="26"/>
      <c r="DP57" s="26">
        <f t="shared" ca="1" si="100"/>
        <v>0.36117894882157064</v>
      </c>
      <c r="DQ57" s="26">
        <f t="shared" ca="1" si="101"/>
        <v>-2.7670148124267463E-2</v>
      </c>
      <c r="DR57" s="26"/>
      <c r="DS57" s="26"/>
      <c r="DT57" s="26"/>
      <c r="DU57" s="26"/>
      <c r="DV57" s="26">
        <f t="shared" ca="1" si="102"/>
        <v>2.904782692959218E-2</v>
      </c>
      <c r="DW57" s="26">
        <f t="shared" ca="1" si="103"/>
        <v>-1.5065435100398428E-2</v>
      </c>
      <c r="DX57" s="26"/>
      <c r="DY57" s="26"/>
      <c r="DZ57" s="26"/>
      <c r="EA57" s="26"/>
      <c r="EB57" s="26">
        <f t="shared" ca="1" si="104"/>
        <v>0.23553945666666709</v>
      </c>
      <c r="EC57" s="26">
        <f t="shared" ca="1" si="105"/>
        <v>-2.0466391320503728E-2</v>
      </c>
      <c r="ED57" s="26"/>
      <c r="EE57" s="26"/>
      <c r="EF57" s="26"/>
      <c r="EG57" s="26"/>
      <c r="EH57" s="26">
        <f t="shared" ca="1" si="106"/>
        <v>0.42971666418809296</v>
      </c>
      <c r="EI57" s="29">
        <f t="shared" ca="1" si="107"/>
        <v>-4.4192114256787929E-2</v>
      </c>
      <c r="EJ57" s="29"/>
      <c r="EK57" s="29"/>
      <c r="EL57" s="29"/>
      <c r="EM57" s="29"/>
      <c r="EN57" s="93"/>
      <c r="EO57" s="29"/>
      <c r="EP57" s="29"/>
      <c r="EQ57" s="29"/>
      <c r="ER57" s="29"/>
      <c r="ES57" s="29"/>
      <c r="ET57" s="29"/>
      <c r="EU57" s="93"/>
      <c r="EV57" s="29"/>
      <c r="EW57" s="29"/>
      <c r="EX57" s="29"/>
      <c r="EY57" s="29"/>
      <c r="EZ57" s="29"/>
      <c r="FA57" s="29"/>
      <c r="FB57" s="93"/>
      <c r="FC57" s="29"/>
      <c r="FD57" s="29"/>
      <c r="FE57" s="29"/>
      <c r="FF57" s="29"/>
      <c r="FG57" s="29"/>
      <c r="FH57" s="29"/>
      <c r="FI57" s="93"/>
      <c r="FJ57" s="29"/>
      <c r="FK57" s="29"/>
      <c r="FL57" s="29"/>
      <c r="FM57" s="29"/>
      <c r="FN57" s="29"/>
      <c r="FO57" s="29"/>
      <c r="FP57" s="93"/>
      <c r="FQ57" s="29"/>
      <c r="FR57" s="29"/>
      <c r="FS57" s="29"/>
      <c r="FT57" s="29"/>
      <c r="FU57" s="29"/>
      <c r="FV57" s="29"/>
    </row>
    <row r="58" spans="1:178" x14ac:dyDescent="0.25">
      <c r="A58" t="str">
        <f ca="1">IF(_xll.TM1RPTELISCONSOLIDATED($D$28,$D58),IF(_xll.TM1RPTELLEV($D$28,$D58)&lt;=3,_xll.TM1RPTELLEV($D$28,$D58),"D"),"N")</f>
        <v>N</v>
      </c>
      <c r="B58" t="str">
        <f ca="1">_xll.DBRA(Server&amp;"Management_organization",$D58,$B$27)</f>
        <v>L</v>
      </c>
      <c r="C58">
        <v>1</v>
      </c>
      <c r="D58" s="2" t="s">
        <v>102</v>
      </c>
      <c r="E58" s="26"/>
      <c r="F58" s="26"/>
      <c r="G58" s="16">
        <f ca="1">_xll.DBRW($D$4,$E$7,$E$8,$E$9,$E$10,$E$12,$D58,$E$6,G$18,G$17)</f>
        <v>3.3243036999999949</v>
      </c>
      <c r="H58" s="16">
        <f ca="1">_xll.DBRW($D$4,$E$7,$E$8,$E$9,$E$10,$E$12,$D58,$E$6,H$18,H$17)</f>
        <v>-1.3273809399999998</v>
      </c>
      <c r="I58" s="16">
        <f ca="1">_xll.DBRW($D$4,$E$7,$E$8,$E$9,$E$10,$E$12,$D58,$E$6,I$18,I$17)</f>
        <v>0</v>
      </c>
      <c r="J58" s="26">
        <f ca="1">_xll.DBRW($D$4,$E$7,$E$8,$E$9,$E$10,$E$12,$D58,$E$6,J$18,J$17)</f>
        <v>1.8500000000000001E-6</v>
      </c>
      <c r="K58" s="26">
        <f ca="1">_xll.DBRW($D$4,$E$7,$E$8,$E$9,$E$10,$E$12,$D58,$E$6,K$18,K$17)</f>
        <v>0</v>
      </c>
      <c r="L58" s="26">
        <f ca="1">_xll.DBRW($D$4,$E$7,$E$8,$E$9,$E$10,$E$12,$D58,$E$6,L$18,L$17)</f>
        <v>0</v>
      </c>
      <c r="M58" s="26">
        <f ca="1">_xll.DBRW($D$4,$E$7,$E$8,$E$9,$E$10,$E$12,$D58,$E$6,M$18,M$17)</f>
        <v>0</v>
      </c>
      <c r="N58" s="16">
        <f ca="1">_xll.DBRW($D$4,$E$7,$E$8,$E$9,$E$10,$E$12,$D58,$E$6,N$18,N$17)</f>
        <v>4.6516827899999944</v>
      </c>
      <c r="O58" s="16">
        <f ca="1">_xll.DBRW($D$4,$E$7,$E$8,$E$9,$E$10,$E$12,$D58,$E$6,O$18,O$17)</f>
        <v>28.513895869999999</v>
      </c>
      <c r="P58" s="74">
        <f ca="1">_xll.DBRW($D$4,$E$7,$E$8,$E$9,$E$10,$E$12,$D58,$E$6,P$18,P$17)</f>
        <v>-12.820991280000001</v>
      </c>
      <c r="Q58" s="16">
        <f ca="1">_xll.DBRW($D$4,$E$7,$E$8,$E$9,$E$10,$E$12,$D58,$E$6,Q$18,Q$17)</f>
        <v>0.44964011015727967</v>
      </c>
      <c r="R58" s="16"/>
      <c r="S58" s="16"/>
      <c r="T58" s="16"/>
      <c r="U58" s="16"/>
      <c r="V58" s="16">
        <f ca="1">_xll.DBRW($D$4,$E$7,$E$8,$E$9,$E$10,$E$12,$D58,$E$6,V$18,V$17)</f>
        <v>-1.9921656199999997</v>
      </c>
      <c r="W58" s="16">
        <f ca="1">_xll.DBRW($D$4,$E$7,$E$8,$E$9,$E$10,$E$12,$D58,$E$6,W$18,W$17)</f>
        <v>6.9866482962645388E-2</v>
      </c>
      <c r="X58" s="16"/>
      <c r="Y58" s="16"/>
      <c r="Z58" s="16"/>
      <c r="AA58" s="16"/>
      <c r="AB58" s="16">
        <f ca="1">_xll.DBRW($D$4,$E$7,$E$8,$E$9,$E$10,$E$12,$D58,$E$6,AB$18,AB$17)</f>
        <v>-2.1553775499999999</v>
      </c>
      <c r="AC58" s="16">
        <f ca="1">_xll.DBRW($D$4,$E$7,$E$8,$E$9,$E$10,$E$12,$D58,$E$6,AC$18,AC$17)</f>
        <v>7.5590426500354607E-2</v>
      </c>
      <c r="AD58" s="16"/>
      <c r="AE58" s="16"/>
      <c r="AF58" s="16"/>
      <c r="AG58" s="16"/>
      <c r="AH58" s="16">
        <f ca="1">_xll.DBRW($D$4,$E$7,$E$8,$E$9,$E$10,$E$12,$D58,$E$6,AH$18,AH$17)</f>
        <v>-2.1558542199999997</v>
      </c>
      <c r="AI58" s="16">
        <f ca="1">_xll.DBRW($D$4,$E$7,$E$8,$E$9,$E$10,$E$12,$D58,$E$6,AI$18,AI$17)</f>
        <v>7.560714361267673E-2</v>
      </c>
      <c r="AJ58" s="16"/>
      <c r="AK58" s="16"/>
      <c r="AL58" s="16"/>
      <c r="AM58" s="16"/>
      <c r="AN58" s="16">
        <f ca="1">_xll.DBRW($D$4,$E$7,$E$8,$E$9,$E$10,$E$12,$D58,$E$6,AN$18,AN$17)</f>
        <v>-4.73782441</v>
      </c>
      <c r="AO58" s="16">
        <f ca="1">_xll.DBRW($D$4,$E$7,$E$8,$E$9,$E$10,$E$12,$D58,$E$6,AO$18,AO$17)</f>
        <v>0.16615843838388825</v>
      </c>
      <c r="AP58" s="16"/>
      <c r="AQ58" s="16"/>
      <c r="AR58" s="16"/>
      <c r="AS58" s="16"/>
      <c r="AT58" s="16">
        <f ca="1">_xll.DBRW($D$4,$E$7,$E$8,$E$9,$E$10,$E$12,$D58,$E$6,AT$18,AT$17)</f>
        <v>0.45218570000000002</v>
      </c>
      <c r="AU58" s="16">
        <f ca="1">_xll.DBRW($D$4,$E$7,$E$8,$E$9,$E$10,$E$12,$D58,$E$6,AU$18,AU$17)</f>
        <v>6.2408449999999993</v>
      </c>
      <c r="AV58" s="16">
        <f ca="1">_xll.DBRW($D$4,$E$7,$E$8,$E$9,$E$10,$E$12,$D58,$E$6,AV$18,AV$17)</f>
        <v>6.2408449999999993</v>
      </c>
      <c r="AW58" s="16">
        <f ca="1">_xll.DBRW($D$4,$E$7,$E$8,$E$9,$E$10,$E$12,$D58,$E$6,AW$18,AW$17)</f>
        <v>6.2408449999999993</v>
      </c>
      <c r="AX58" s="16">
        <f ca="1">_xll.DBRW($D$4,$E$7,$E$8,$E$9,$E$10,$E$12,$D58,$E$6,AX$18,AX$17)</f>
        <v>2.3411222523999999</v>
      </c>
      <c r="AY58" s="16">
        <f ca="1">_xll.DBRW($D$4,$E$7,$E$8,$E$9,$E$10,$E$12,$D58,$E$6,AY$18,AY$17)</f>
        <v>6.2408449999999993</v>
      </c>
      <c r="AZ58" s="16">
        <f ca="1">_xll.DBRW($D$4,$E$7,$E$8,$E$9,$E$10,$E$12,$D58,$E$6,AZ$18,AZ$17)</f>
        <v>4.9110899999999997</v>
      </c>
      <c r="BA58" s="16">
        <f ca="1">_xll.DBRW($D$4,$E$7,$E$8,$E$9,$E$10,$E$12,$D58,$E$6,BA$18,BA$17)</f>
        <v>6.2408449999999993</v>
      </c>
      <c r="BB58" s="16">
        <f ca="1">_xll.DBRW($D$4,$E$7,$E$8,$E$9,$E$10,$E$12,$D58,$E$6,BB$18,BB$17)</f>
        <v>6.2408449999999993</v>
      </c>
      <c r="BC58" s="16">
        <f ca="1">_xll.DBRW($D$4,$E$7,$E$8,$E$9,$E$10,$E$12,$D58,$E$6,BC$18,BC$17)</f>
        <v>6.2408449999999993</v>
      </c>
      <c r="BD58" s="16">
        <f ca="1">_xll.DBRW($D$4,$E$7,$E$8,$E$9,$E$10,$E$12,$D58,$E$6,BD$18,BD$17)</f>
        <v>1.4793903612991861</v>
      </c>
      <c r="BE58" s="16">
        <f ca="1">_xll.DBRW($D$4,$E$7,$E$8,$E$9,$E$10,$E$12,$D58,$E$6,BE$18,BE$17)</f>
        <v>-1.7633515904299997</v>
      </c>
      <c r="BF58" s="16">
        <f ca="1">_xll.DBRW($D$4,$E$7,$E$8,$E$9,$E$10,$E$12,$D58,$E$6,BF$18,BF$17)</f>
        <v>0</v>
      </c>
      <c r="BG58" s="26">
        <f ca="1">_xll.DBRW($D$4,$E$7,$E$8,$E$9,$E$10,$E$12,$D58,$E$6,BG$18,BG$17)</f>
        <v>0</v>
      </c>
      <c r="BH58" s="26">
        <f ca="1">_xll.DBRW($D$4,$E$7,$E$8,$E$9,$E$10,$E$12,$D58,$E$6,BH$18,BH$17)</f>
        <v>0</v>
      </c>
      <c r="BI58" s="26">
        <f ca="1">_xll.DBRW($D$4,$E$7,$E$8,$E$9,$E$10,$E$12,$D58,$E$6,BI$18,BI$17)</f>
        <v>0</v>
      </c>
      <c r="BJ58" s="26">
        <f ca="1">_xll.DBRW($D$4,$E$7,$E$8,$E$9,$E$10,$E$12,$D58,$E$6,BJ$18,BJ$17)</f>
        <v>0</v>
      </c>
      <c r="BK58" s="16">
        <f ca="1">_xll.DBRW($D$4,$E$7,$E$8,$E$9,$E$10,$E$12,$D58,$E$6,BK$18,BK$17)</f>
        <v>3.2427419517291858</v>
      </c>
      <c r="BL58" s="16">
        <f ca="1">_xll.DBRW($D$4,$E$7,$E$8,$E$9,$E$10,$E$12,$D58,$E$6,BL$18,BL$17)</f>
        <v>30.154778127941622</v>
      </c>
      <c r="BM58" s="16">
        <f ca="1">_xll.DBRW($D$4,$E$7,$E$8,$E$9,$E$10,$E$12,$D58,$E$6,BM$18,BM$17)</f>
        <v>-14.168730587166726</v>
      </c>
      <c r="BN58" s="16">
        <f ca="1">_xll.DBRW($D$4,$E$7,$E$8,$E$9,$E$10,$E$12,$D58,$E$6,BN$18,BN$17)</f>
        <v>0.469866849195547</v>
      </c>
      <c r="BO58" s="16"/>
      <c r="BP58" s="16"/>
      <c r="BQ58" s="16"/>
      <c r="BR58" s="16"/>
      <c r="BS58" s="16">
        <f ca="1">_xll.DBRW($D$4,$E$7,$E$8,$E$9,$E$10,$E$12,$D58,$E$6,BS$18,BS$17)</f>
        <v>-2.6277029413485344</v>
      </c>
      <c r="BT58" s="16">
        <f ca="1">_xll.DBRW($D$4,$E$7,$E$8,$E$9,$E$10,$E$12,$D58,$E$6,BT$18,BT$17)</f>
        <v>8.7140516511168983E-2</v>
      </c>
      <c r="BU58" s="16"/>
      <c r="BV58" s="16"/>
      <c r="BW58" s="16"/>
      <c r="BX58" s="16"/>
      <c r="BY58" s="16">
        <f ca="1">_xll.DBRW($D$4,$E$7,$E$8,$E$9,$E$10,$E$12,$D58,$E$6,BY$18,BY$17)</f>
        <v>-2.5329111859036342</v>
      </c>
      <c r="BZ58" s="16">
        <f ca="1">_xll.DBRW($D$4,$E$7,$E$8,$E$9,$E$10,$E$12,$D58,$E$6,BZ$18,BZ$17)</f>
        <v>8.3997009533843051E-2</v>
      </c>
      <c r="CA58" s="16"/>
      <c r="CB58" s="16"/>
      <c r="CC58" s="16"/>
      <c r="CD58" s="16"/>
      <c r="CE58" s="16">
        <f ca="1">_xll.DBRW($D$4,$E$7,$E$8,$E$9,$E$10,$E$12,$D58,$E$6,CE$18,CE$17)</f>
        <v>-2.790496799294262</v>
      </c>
      <c r="CF58" s="16">
        <f ca="1">_xll.DBRW($D$4,$E$7,$E$8,$E$9,$E$10,$E$12,$D58,$E$6,CF$18,CF$17)</f>
        <v>9.253912555597843E-2</v>
      </c>
      <c r="CG58" s="16"/>
      <c r="CH58" s="16"/>
      <c r="CI58" s="16"/>
      <c r="CJ58" s="16"/>
      <c r="CK58" s="16">
        <f ca="1">_xll.DBRW($D$4,$E$7,$E$8,$E$9,$E$10,$E$12,$D58,$E$6,CK$18,CK$17)</f>
        <v>-4.7921946624992824</v>
      </c>
      <c r="CL58" s="16">
        <f ca="1">_xll.DBRW($D$4,$E$7,$E$8,$E$9,$E$10,$E$12,$D58,$E$6,CL$18,CL$17)</f>
        <v>0.15891991120501073</v>
      </c>
      <c r="CM58" s="16"/>
      <c r="CN58" s="16"/>
      <c r="CO58" s="16"/>
      <c r="CP58" s="16"/>
      <c r="CQ58" s="16">
        <f ca="1">_xll.DBRW($D$4,$E$7,$E$8,$E$9,$E$10,$E$12,$D58,$E$6,CQ$18,CQ$17)</f>
        <v>0.48542589222155003</v>
      </c>
      <c r="CR58" s="16">
        <f ca="1">_xll.DBRW($D$4,$E$7,$E$8,$E$9,$E$10,$E$12,$D58,$E$6,CR$18,CR$17)</f>
        <v>7.387994773</v>
      </c>
      <c r="CS58" s="16">
        <f ca="1">_xll.DBRW($D$4,$E$7,$E$8,$E$9,$E$10,$E$12,$D58,$E$6,CS$18,CS$17)</f>
        <v>7.387994773</v>
      </c>
      <c r="CT58" s="16">
        <f ca="1">_xll.DBRW($D$4,$E$7,$E$8,$E$9,$E$10,$E$12,$D58,$E$6,CT$18,CT$17)</f>
        <v>7.387994773</v>
      </c>
      <c r="CU58" s="16">
        <f ca="1">_xll.DBRW($D$4,$E$7,$E$8,$E$9,$E$10,$E$12,$D58,$E$6,CU$18,CU$17)</f>
        <v>3.0362502469377795</v>
      </c>
      <c r="CV58" s="16">
        <f ca="1">_xll.DBRW($D$4,$E$7,$E$8,$E$9,$E$10,$E$12,$D58,$E$6,CV$18,CV$17)</f>
        <v>7.387994773</v>
      </c>
      <c r="CW58" s="16">
        <f ca="1">_xll.DBRW($D$4,$E$7,$E$8,$E$9,$E$10,$E$12,$D58,$E$6,CW$18,CW$17)</f>
        <v>5.69789956008273</v>
      </c>
      <c r="CX58" s="16">
        <f ca="1">_xll.DBRW($D$4,$E$7,$E$8,$E$9,$E$10,$E$12,$D58,$E$6,CX$18,CX$17)</f>
        <v>7.387994773</v>
      </c>
      <c r="CY58" s="16">
        <f ca="1">_xll.DBRW($D$4,$E$7,$E$8,$E$9,$E$10,$E$12,$D58,$E$6,CY$18,CY$17)</f>
        <v>7.387994773</v>
      </c>
      <c r="CZ58" s="16">
        <f ca="1">_xll.DBRW($D$4,$E$7,$E$8,$E$9,$E$10,$E$12,$D58,$E$6,CZ$18,CZ$17)</f>
        <v>7.387994773</v>
      </c>
      <c r="DA58" s="26">
        <f t="shared" ca="1" si="89"/>
        <v>1.8449133387008088</v>
      </c>
      <c r="DB58" s="26">
        <f t="shared" ca="1" si="90"/>
        <v>0.43597065042999983</v>
      </c>
      <c r="DC58" s="26">
        <f t="shared" ca="1" si="91"/>
        <v>0</v>
      </c>
      <c r="DD58" s="26">
        <f t="shared" ca="1" si="92"/>
        <v>1.8500000000000001E-6</v>
      </c>
      <c r="DE58" s="26">
        <f t="shared" ca="1" si="93"/>
        <v>0</v>
      </c>
      <c r="DF58" s="26">
        <f t="shared" ca="1" si="94"/>
        <v>0</v>
      </c>
      <c r="DG58" s="26">
        <f t="shared" ca="1" si="95"/>
        <v>0</v>
      </c>
      <c r="DH58" s="26">
        <f t="shared" ca="1" si="96"/>
        <v>1.4089408382708086</v>
      </c>
      <c r="DI58" s="26">
        <f t="shared" ca="1" si="97"/>
        <v>-1.6408822579416231</v>
      </c>
      <c r="DJ58" s="26">
        <f t="shared" ca="1" si="98"/>
        <v>1.3477393071667247</v>
      </c>
      <c r="DK58" s="26">
        <f t="shared" ca="1" si="99"/>
        <v>-2.0226739038267327E-2</v>
      </c>
      <c r="DL58" s="26"/>
      <c r="DM58" s="26"/>
      <c r="DN58" s="26"/>
      <c r="DO58" s="26"/>
      <c r="DP58" s="26">
        <f t="shared" ca="1" si="100"/>
        <v>0.63553732134853469</v>
      </c>
      <c r="DQ58" s="26">
        <f t="shared" ca="1" si="101"/>
        <v>-1.7274033548523596E-2</v>
      </c>
      <c r="DR58" s="26"/>
      <c r="DS58" s="26"/>
      <c r="DT58" s="26"/>
      <c r="DU58" s="26"/>
      <c r="DV58" s="26">
        <f t="shared" ca="1" si="102"/>
        <v>0.37753363590363431</v>
      </c>
      <c r="DW58" s="26">
        <f t="shared" ca="1" si="103"/>
        <v>-8.4065830334884434E-3</v>
      </c>
      <c r="DX58" s="26"/>
      <c r="DY58" s="26"/>
      <c r="DZ58" s="26"/>
      <c r="EA58" s="26"/>
      <c r="EB58" s="26">
        <f t="shared" ca="1" si="104"/>
        <v>0.63464257929426227</v>
      </c>
      <c r="EC58" s="26">
        <f t="shared" ca="1" si="105"/>
        <v>-1.6931981943301699E-2</v>
      </c>
      <c r="ED58" s="26"/>
      <c r="EE58" s="26"/>
      <c r="EF58" s="26"/>
      <c r="EG58" s="26"/>
      <c r="EH58" s="26">
        <f t="shared" ca="1" si="106"/>
        <v>5.4370252499282401E-2</v>
      </c>
      <c r="EI58" s="29">
        <f t="shared" ca="1" si="107"/>
        <v>7.2385271788775185E-3</v>
      </c>
      <c r="EJ58" s="29"/>
      <c r="EK58" s="29"/>
      <c r="EL58" s="29"/>
      <c r="EM58" s="29"/>
      <c r="EN58" s="93"/>
      <c r="EO58" s="29"/>
      <c r="EP58" s="29"/>
      <c r="EQ58" s="29"/>
      <c r="ER58" s="29"/>
      <c r="ES58" s="29"/>
      <c r="ET58" s="29"/>
      <c r="EU58" s="93"/>
      <c r="EV58" s="29"/>
      <c r="EW58" s="29"/>
      <c r="EX58" s="29"/>
      <c r="EY58" s="29"/>
      <c r="EZ58" s="29"/>
      <c r="FA58" s="29"/>
      <c r="FB58" s="93"/>
      <c r="FC58" s="29"/>
      <c r="FD58" s="29"/>
      <c r="FE58" s="29"/>
      <c r="FF58" s="29"/>
      <c r="FG58" s="29"/>
      <c r="FH58" s="29"/>
      <c r="FI58" s="93"/>
      <c r="FJ58" s="29"/>
      <c r="FK58" s="29"/>
      <c r="FL58" s="29"/>
      <c r="FM58" s="29"/>
      <c r="FN58" s="29"/>
      <c r="FO58" s="29"/>
      <c r="FP58" s="93"/>
      <c r="FQ58" s="29"/>
      <c r="FR58" s="29"/>
      <c r="FS58" s="29"/>
      <c r="FT58" s="29"/>
      <c r="FU58" s="29"/>
      <c r="FV58" s="29"/>
    </row>
    <row r="59" spans="1:178" x14ac:dyDescent="0.25">
      <c r="A59" t="str">
        <f ca="1">IF(_xll.TM1RPTELISCONSOLIDATED($D$28,$D59),IF(_xll.TM1RPTELLEV($D$28,$D59)&lt;=3,_xll.TM1RPTELLEV($D$28,$D59),"D"),"N")</f>
        <v>N</v>
      </c>
      <c r="B59" t="str">
        <f ca="1">_xll.DBRA(Server&amp;"Management_organization",$D59,$B$27)</f>
        <v>L</v>
      </c>
      <c r="C59">
        <v>1</v>
      </c>
      <c r="D59" s="2" t="s">
        <v>103</v>
      </c>
      <c r="E59" s="26"/>
      <c r="F59" s="26"/>
      <c r="G59" s="16">
        <f ca="1">_xll.DBRW($D$4,$E$7,$E$8,$E$9,$E$10,$E$12,$D59,$E$6,G$18,G$17)</f>
        <v>-1.0460749299999994</v>
      </c>
      <c r="H59" s="16">
        <f ca="1">_xll.DBRW($D$4,$E$7,$E$8,$E$9,$E$10,$E$12,$D59,$E$6,H$18,H$17)</f>
        <v>-0.26568111999999999</v>
      </c>
      <c r="I59" s="16">
        <f ca="1">_xll.DBRW($D$4,$E$7,$E$8,$E$9,$E$10,$E$12,$D59,$E$6,I$18,I$17)</f>
        <v>0</v>
      </c>
      <c r="J59" s="26">
        <f ca="1">_xll.DBRW($D$4,$E$7,$E$8,$E$9,$E$10,$E$12,$D59,$E$6,J$18,J$17)</f>
        <v>0</v>
      </c>
      <c r="K59" s="26">
        <f ca="1">_xll.DBRW($D$4,$E$7,$E$8,$E$9,$E$10,$E$12,$D59,$E$6,K$18,K$17)</f>
        <v>0</v>
      </c>
      <c r="L59" s="26">
        <f ca="1">_xll.DBRW($D$4,$E$7,$E$8,$E$9,$E$10,$E$12,$D59,$E$6,L$18,L$17)</f>
        <v>0</v>
      </c>
      <c r="M59" s="26">
        <f ca="1">_xll.DBRW($D$4,$E$7,$E$8,$E$9,$E$10,$E$12,$D59,$E$6,M$18,M$17)</f>
        <v>0</v>
      </c>
      <c r="N59" s="16">
        <f ca="1">_xll.DBRW($D$4,$E$7,$E$8,$E$9,$E$10,$E$12,$D59,$E$6,N$18,N$17)</f>
        <v>-0.78039380999999952</v>
      </c>
      <c r="O59" s="16">
        <f ca="1">_xll.DBRW($D$4,$E$7,$E$8,$E$9,$E$10,$E$12,$D59,$E$6,O$18,O$17)</f>
        <v>4.4888737900000004</v>
      </c>
      <c r="P59" s="74">
        <f ca="1">_xll.DBRW($D$4,$E$7,$E$8,$E$9,$E$10,$E$12,$D59,$E$6,P$18,P$17)</f>
        <v>-2.7784139400000001</v>
      </c>
      <c r="Q59" s="16">
        <f ca="1">_xll.DBRW($D$4,$E$7,$E$8,$E$9,$E$10,$E$12,$D59,$E$6,Q$18,Q$17)</f>
        <v>0.61895568242296239</v>
      </c>
      <c r="R59" s="16"/>
      <c r="S59" s="16"/>
      <c r="T59" s="16"/>
      <c r="U59" s="16"/>
      <c r="V59" s="16">
        <f ca="1">_xll.DBRW($D$4,$E$7,$E$8,$E$9,$E$10,$E$12,$D59,$E$6,V$18,V$17)</f>
        <v>-0.52463161999999985</v>
      </c>
      <c r="W59" s="16">
        <f ca="1">_xll.DBRW($D$4,$E$7,$E$8,$E$9,$E$10,$E$12,$D59,$E$6,W$18,W$17)</f>
        <v>0.11687377381131489</v>
      </c>
      <c r="X59" s="16"/>
      <c r="Y59" s="16"/>
      <c r="Z59" s="16"/>
      <c r="AA59" s="16"/>
      <c r="AB59" s="16">
        <f ca="1">_xll.DBRW($D$4,$E$7,$E$8,$E$9,$E$10,$E$12,$D59,$E$6,AB$18,AB$17)</f>
        <v>-0.30470346000000004</v>
      </c>
      <c r="AC59" s="16">
        <f ca="1">_xll.DBRW($D$4,$E$7,$E$8,$E$9,$E$10,$E$12,$D59,$E$6,AC$18,AC$17)</f>
        <v>6.7879711984506472E-2</v>
      </c>
      <c r="AD59" s="16"/>
      <c r="AE59" s="16"/>
      <c r="AF59" s="16"/>
      <c r="AG59" s="16"/>
      <c r="AH59" s="16">
        <f ca="1">_xll.DBRW($D$4,$E$7,$E$8,$E$9,$E$10,$E$12,$D59,$E$6,AH$18,AH$17)</f>
        <v>-0.17478339000000001</v>
      </c>
      <c r="AI59" s="16">
        <f ca="1">_xll.DBRW($D$4,$E$7,$E$8,$E$9,$E$10,$E$12,$D59,$E$6,AI$18,AI$17)</f>
        <v>3.8937024780997462E-2</v>
      </c>
      <c r="AJ59" s="16"/>
      <c r="AK59" s="16"/>
      <c r="AL59" s="16"/>
      <c r="AM59" s="16"/>
      <c r="AN59" s="16">
        <f ca="1">_xll.DBRW($D$4,$E$7,$E$8,$E$9,$E$10,$E$12,$D59,$E$6,AN$18,AN$17)</f>
        <v>-1.4867351899999999</v>
      </c>
      <c r="AO59" s="16">
        <f ca="1">_xll.DBRW($D$4,$E$7,$E$8,$E$9,$E$10,$E$12,$D59,$E$6,AO$18,AO$17)</f>
        <v>0.33120449795493129</v>
      </c>
      <c r="AP59" s="16"/>
      <c r="AQ59" s="16"/>
      <c r="AR59" s="16"/>
      <c r="AS59" s="16"/>
      <c r="AT59" s="16">
        <f ca="1">_xll.DBRW($D$4,$E$7,$E$8,$E$9,$E$10,$E$12,$D59,$E$6,AT$18,AT$17)</f>
        <v>0.11596695</v>
      </c>
      <c r="AU59" s="16">
        <f ca="1">_xll.DBRW($D$4,$E$7,$E$8,$E$9,$E$10,$E$12,$D59,$E$6,AU$18,AU$17)</f>
        <v>1.0575973000000001</v>
      </c>
      <c r="AV59" s="16">
        <f ca="1">_xll.DBRW($D$4,$E$7,$E$8,$E$9,$E$10,$E$12,$D59,$E$6,AV$18,AV$17)</f>
        <v>1.0575973000000001</v>
      </c>
      <c r="AW59" s="16">
        <f ca="1">_xll.DBRW($D$4,$E$7,$E$8,$E$9,$E$10,$E$12,$D59,$E$6,AW$18,AW$17)</f>
        <v>1.0575973000000001</v>
      </c>
      <c r="AX59" s="16">
        <f ca="1">_xll.DBRW($D$4,$E$7,$E$8,$E$9,$E$10,$E$12,$D59,$E$6,AX$18,AX$17)</f>
        <v>0.37989293967999999</v>
      </c>
      <c r="AY59" s="16">
        <f ca="1">_xll.DBRW($D$4,$E$7,$E$8,$E$9,$E$10,$E$12,$D59,$E$6,AY$18,AY$17)</f>
        <v>1.0575973000000001</v>
      </c>
      <c r="AZ59" s="16">
        <f ca="1">_xll.DBRW($D$4,$E$7,$E$8,$E$9,$E$10,$E$12,$D59,$E$6,AZ$18,AZ$17)</f>
        <v>0.82709599999999983</v>
      </c>
      <c r="BA59" s="16">
        <f ca="1">_xll.DBRW($D$4,$E$7,$E$8,$E$9,$E$10,$E$12,$D59,$E$6,BA$18,BA$17)</f>
        <v>1.0575973000000001</v>
      </c>
      <c r="BB59" s="16">
        <f ca="1">_xll.DBRW($D$4,$E$7,$E$8,$E$9,$E$10,$E$12,$D59,$E$6,BB$18,BB$17)</f>
        <v>1.0575973000000001</v>
      </c>
      <c r="BC59" s="16">
        <f ca="1">_xll.DBRW($D$4,$E$7,$E$8,$E$9,$E$10,$E$12,$D59,$E$6,BC$18,BC$17)</f>
        <v>1.0575973000000001</v>
      </c>
      <c r="BD59" s="16">
        <f ca="1">_xll.DBRW($D$4,$E$7,$E$8,$E$9,$E$10,$E$12,$D59,$E$6,BD$18,BD$17)</f>
        <v>-2.2216443063284796E-2</v>
      </c>
      <c r="BE59" s="16">
        <f ca="1">_xll.DBRW($D$4,$E$7,$E$8,$E$9,$E$10,$E$12,$D59,$E$6,BE$18,BE$17)</f>
        <v>-0.48842271999999992</v>
      </c>
      <c r="BF59" s="16">
        <f ca="1">_xll.DBRW($D$4,$E$7,$E$8,$E$9,$E$10,$E$12,$D59,$E$6,BF$18,BF$17)</f>
        <v>0</v>
      </c>
      <c r="BG59" s="26">
        <f ca="1">_xll.DBRW($D$4,$E$7,$E$8,$E$9,$E$10,$E$12,$D59,$E$6,BG$18,BG$17)</f>
        <v>0</v>
      </c>
      <c r="BH59" s="26">
        <f ca="1">_xll.DBRW($D$4,$E$7,$E$8,$E$9,$E$10,$E$12,$D59,$E$6,BH$18,BH$17)</f>
        <v>0</v>
      </c>
      <c r="BI59" s="26">
        <f ca="1">_xll.DBRW($D$4,$E$7,$E$8,$E$9,$E$10,$E$12,$D59,$E$6,BI$18,BI$17)</f>
        <v>0</v>
      </c>
      <c r="BJ59" s="26">
        <f ca="1">_xll.DBRW($D$4,$E$7,$E$8,$E$9,$E$10,$E$12,$D59,$E$6,BJ$18,BJ$17)</f>
        <v>0</v>
      </c>
      <c r="BK59" s="16">
        <f ca="1">_xll.DBRW($D$4,$E$7,$E$8,$E$9,$E$10,$E$12,$D59,$E$6,BK$18,BK$17)</f>
        <v>0.46620627693671512</v>
      </c>
      <c r="BL59" s="16">
        <f ca="1">_xll.DBRW($D$4,$E$7,$E$8,$E$9,$E$10,$E$12,$D59,$E$6,BL$18,BL$17)</f>
        <v>6.6638576986242706</v>
      </c>
      <c r="BM59" s="16">
        <f ca="1">_xll.DBRW($D$4,$E$7,$E$8,$E$9,$E$10,$E$12,$D59,$E$6,BM$18,BM$17)</f>
        <v>-3.2329301679717504</v>
      </c>
      <c r="BN59" s="16">
        <f ca="1">_xll.DBRW($D$4,$E$7,$E$8,$E$9,$E$10,$E$12,$D59,$E$6,BN$18,BN$17)</f>
        <v>0.48514393826854635</v>
      </c>
      <c r="BO59" s="16"/>
      <c r="BP59" s="16"/>
      <c r="BQ59" s="16"/>
      <c r="BR59" s="16"/>
      <c r="BS59" s="16">
        <f ca="1">_xll.DBRW($D$4,$E$7,$E$8,$E$9,$E$10,$E$12,$D59,$E$6,BS$18,BS$17)</f>
        <v>-0.74502175498380319</v>
      </c>
      <c r="BT59" s="16">
        <f ca="1">_xll.DBRW($D$4,$E$7,$E$8,$E$9,$E$10,$E$12,$D59,$E$6,BT$18,BT$17)</f>
        <v>0.11180036979745385</v>
      </c>
      <c r="BU59" s="16"/>
      <c r="BV59" s="16"/>
      <c r="BW59" s="16"/>
      <c r="BX59" s="16"/>
      <c r="BY59" s="16">
        <f ca="1">_xll.DBRW($D$4,$E$7,$E$8,$E$9,$E$10,$E$12,$D59,$E$6,BY$18,BY$17)</f>
        <v>-0.3668840582125999</v>
      </c>
      <c r="BZ59" s="16">
        <f ca="1">_xll.DBRW($D$4,$E$7,$E$8,$E$9,$E$10,$E$12,$D59,$E$6,BZ$18,BZ$17)</f>
        <v>5.5055806231928059E-2</v>
      </c>
      <c r="CA59" s="16"/>
      <c r="CB59" s="16"/>
      <c r="CC59" s="16"/>
      <c r="CD59" s="16"/>
      <c r="CE59" s="16">
        <f ca="1">_xll.DBRW($D$4,$E$7,$E$8,$E$9,$E$10,$E$12,$D59,$E$6,CE$18,CE$17)</f>
        <v>-0.29717802999999998</v>
      </c>
      <c r="CF59" s="16">
        <f ca="1">_xll.DBRW($D$4,$E$7,$E$8,$E$9,$E$10,$E$12,$D59,$E$6,CF$18,CF$17)</f>
        <v>4.4595494597874041E-2</v>
      </c>
      <c r="CG59" s="16"/>
      <c r="CH59" s="16"/>
      <c r="CI59" s="16"/>
      <c r="CJ59" s="16"/>
      <c r="CK59" s="16">
        <f ca="1">_xll.DBRW($D$4,$E$7,$E$8,$E$9,$E$10,$E$12,$D59,$E$6,CK$18,CK$17)</f>
        <v>-1.555637410519402</v>
      </c>
      <c r="CL59" s="16">
        <f ca="1">_xll.DBRW($D$4,$E$7,$E$8,$E$9,$E$10,$E$12,$D59,$E$6,CL$18,CL$17)</f>
        <v>0.23344397207649822</v>
      </c>
      <c r="CM59" s="16"/>
      <c r="CN59" s="16"/>
      <c r="CO59" s="16"/>
      <c r="CP59" s="16"/>
      <c r="CQ59" s="16">
        <f ca="1">_xll.DBRW($D$4,$E$7,$E$8,$E$9,$E$10,$E$12,$D59,$E$6,CQ$18,CQ$17)</f>
        <v>0.13527099999999997</v>
      </c>
      <c r="CR59" s="16">
        <f ca="1">_xll.DBRW($D$4,$E$7,$E$8,$E$9,$E$10,$E$12,$D59,$E$6,CR$18,CR$17)</f>
        <v>1.19845</v>
      </c>
      <c r="CS59" s="16">
        <f ca="1">_xll.DBRW($D$4,$E$7,$E$8,$E$9,$E$10,$E$12,$D59,$E$6,CS$18,CS$17)</f>
        <v>1.19845</v>
      </c>
      <c r="CT59" s="16">
        <f ca="1">_xll.DBRW($D$4,$E$7,$E$8,$E$9,$E$10,$E$12,$D59,$E$6,CT$18,CT$17)</f>
        <v>1.19845</v>
      </c>
      <c r="CU59" s="16">
        <f ca="1">_xll.DBRW($D$4,$E$7,$E$8,$E$9,$E$10,$E$12,$D59,$E$6,CU$18,CU$17)</f>
        <v>0.43625804713999999</v>
      </c>
      <c r="CV59" s="16">
        <f ca="1">_xll.DBRW($D$4,$E$7,$E$8,$E$9,$E$10,$E$12,$D59,$E$6,CV$18,CV$17)</f>
        <v>1.19845</v>
      </c>
      <c r="CW59" s="16">
        <f ca="1">_xll.DBRW($D$4,$E$7,$E$8,$E$9,$E$10,$E$12,$D59,$E$6,CW$18,CW$17)</f>
        <v>0.96297099999999991</v>
      </c>
      <c r="CX59" s="16">
        <f ca="1">_xll.DBRW($D$4,$E$7,$E$8,$E$9,$E$10,$E$12,$D59,$E$6,CX$18,CX$17)</f>
        <v>1.19845</v>
      </c>
      <c r="CY59" s="16">
        <f ca="1">_xll.DBRW($D$4,$E$7,$E$8,$E$9,$E$10,$E$12,$D59,$E$6,CY$18,CY$17)</f>
        <v>1.19845</v>
      </c>
      <c r="CZ59" s="16">
        <f ca="1">_xll.DBRW($D$4,$E$7,$E$8,$E$9,$E$10,$E$12,$D59,$E$6,CZ$18,CZ$17)</f>
        <v>1.19845</v>
      </c>
      <c r="DA59" s="26">
        <f t="shared" ca="1" si="89"/>
        <v>-1.0238584869367147</v>
      </c>
      <c r="DB59" s="26">
        <f t="shared" ca="1" si="90"/>
        <v>0.22274159999999993</v>
      </c>
      <c r="DC59" s="26">
        <f t="shared" ca="1" si="91"/>
        <v>0</v>
      </c>
      <c r="DD59" s="26">
        <f t="shared" ca="1" si="92"/>
        <v>0</v>
      </c>
      <c r="DE59" s="26">
        <f t="shared" ca="1" si="93"/>
        <v>0</v>
      </c>
      <c r="DF59" s="26">
        <f t="shared" ca="1" si="94"/>
        <v>0</v>
      </c>
      <c r="DG59" s="26">
        <f t="shared" ca="1" si="95"/>
        <v>0</v>
      </c>
      <c r="DH59" s="26">
        <f t="shared" ca="1" si="96"/>
        <v>-1.2466000869367146</v>
      </c>
      <c r="DI59" s="26">
        <f t="shared" ca="1" si="97"/>
        <v>-2.1749839086242702</v>
      </c>
      <c r="DJ59" s="26">
        <f t="shared" ca="1" si="98"/>
        <v>0.45451622797175029</v>
      </c>
      <c r="DK59" s="26">
        <f t="shared" ca="1" si="99"/>
        <v>0.13381174415441605</v>
      </c>
      <c r="DL59" s="26"/>
      <c r="DM59" s="26"/>
      <c r="DN59" s="26"/>
      <c r="DO59" s="26"/>
      <c r="DP59" s="26">
        <f t="shared" ca="1" si="100"/>
        <v>0.22039013498380333</v>
      </c>
      <c r="DQ59" s="26">
        <f t="shared" ca="1" si="101"/>
        <v>5.0734040138610409E-3</v>
      </c>
      <c r="DR59" s="26"/>
      <c r="DS59" s="26"/>
      <c r="DT59" s="26"/>
      <c r="DU59" s="26"/>
      <c r="DV59" s="26">
        <f t="shared" ca="1" si="102"/>
        <v>6.2180598212599858E-2</v>
      </c>
      <c r="DW59" s="26">
        <f t="shared" ca="1" si="103"/>
        <v>1.2823905752578413E-2</v>
      </c>
      <c r="DX59" s="26"/>
      <c r="DY59" s="26"/>
      <c r="DZ59" s="26"/>
      <c r="EA59" s="26"/>
      <c r="EB59" s="26">
        <f t="shared" ca="1" si="104"/>
        <v>0.12239463999999997</v>
      </c>
      <c r="EC59" s="26">
        <f t="shared" ca="1" si="105"/>
        <v>-5.6584698168765796E-3</v>
      </c>
      <c r="ED59" s="26"/>
      <c r="EE59" s="26"/>
      <c r="EF59" s="26"/>
      <c r="EG59" s="26"/>
      <c r="EH59" s="26">
        <f t="shared" ca="1" si="106"/>
        <v>6.8902220519402091E-2</v>
      </c>
      <c r="EI59" s="29">
        <f t="shared" ca="1" si="107"/>
        <v>9.7760525878433063E-2</v>
      </c>
      <c r="EJ59" s="29"/>
      <c r="EK59" s="29"/>
      <c r="EL59" s="29"/>
      <c r="EM59" s="29"/>
      <c r="EN59" s="93"/>
      <c r="EO59" s="29"/>
      <c r="EP59" s="29"/>
      <c r="EQ59" s="29"/>
      <c r="ER59" s="29"/>
      <c r="ES59" s="29"/>
      <c r="ET59" s="29"/>
      <c r="EU59" s="93"/>
      <c r="EV59" s="29"/>
      <c r="EW59" s="29"/>
      <c r="EX59" s="29"/>
      <c r="EY59" s="29"/>
      <c r="EZ59" s="29"/>
      <c r="FA59" s="29"/>
      <c r="FB59" s="93"/>
      <c r="FC59" s="29"/>
      <c r="FD59" s="29"/>
      <c r="FE59" s="29"/>
      <c r="FF59" s="29"/>
      <c r="FG59" s="29"/>
      <c r="FH59" s="29"/>
      <c r="FI59" s="93"/>
      <c r="FJ59" s="29"/>
      <c r="FK59" s="29"/>
      <c r="FL59" s="29"/>
      <c r="FM59" s="29"/>
      <c r="FN59" s="29"/>
      <c r="FO59" s="29"/>
      <c r="FP59" s="93"/>
      <c r="FQ59" s="29"/>
      <c r="FR59" s="29"/>
      <c r="FS59" s="29"/>
      <c r="FT59" s="29"/>
      <c r="FU59" s="29"/>
      <c r="FV59" s="29"/>
    </row>
    <row r="60" spans="1:178" x14ac:dyDescent="0.25">
      <c r="A60" t="str">
        <f ca="1">IF(_xll.TM1RPTELISCONSOLIDATED($D$28,$D60),IF(_xll.TM1RPTELLEV($D$28,$D60)&lt;=3,_xll.TM1RPTELLEV($D$28,$D60),"D"),"N")</f>
        <v>N</v>
      </c>
      <c r="B60" t="str">
        <f ca="1">_xll.DBRA(Server&amp;"Management_organization",$D60,$B$27)</f>
        <v>L</v>
      </c>
      <c r="C60">
        <v>1</v>
      </c>
      <c r="D60" s="2" t="s">
        <v>326</v>
      </c>
      <c r="E60" s="26"/>
      <c r="F60" s="26"/>
      <c r="G60" s="16">
        <f ca="1">_xll.DBRW($D$4,$E$7,$E$8,$E$9,$E$10,$E$12,$D60,$E$6,G$18,G$17)</f>
        <v>0.43444734999999968</v>
      </c>
      <c r="H60" s="16">
        <f ca="1">_xll.DBRW($D$4,$E$7,$E$8,$E$9,$E$10,$E$12,$D60,$E$6,H$18,H$17)</f>
        <v>-3.1498400000000003E-2</v>
      </c>
      <c r="I60" s="16">
        <f ca="1">_xll.DBRW($D$4,$E$7,$E$8,$E$9,$E$10,$E$12,$D60,$E$6,I$18,I$17)</f>
        <v>0</v>
      </c>
      <c r="J60" s="26">
        <f ca="1">_xll.DBRW($D$4,$E$7,$E$8,$E$9,$E$10,$E$12,$D60,$E$6,J$18,J$17)</f>
        <v>0</v>
      </c>
      <c r="K60" s="26">
        <f ca="1">_xll.DBRW($D$4,$E$7,$E$8,$E$9,$E$10,$E$12,$D60,$E$6,K$18,K$17)</f>
        <v>0</v>
      </c>
      <c r="L60" s="26">
        <f ca="1">_xll.DBRW($D$4,$E$7,$E$8,$E$9,$E$10,$E$12,$D60,$E$6,L$18,L$17)</f>
        <v>0</v>
      </c>
      <c r="M60" s="26">
        <f ca="1">_xll.DBRW($D$4,$E$7,$E$8,$E$9,$E$10,$E$12,$D60,$E$6,M$18,M$17)</f>
        <v>0</v>
      </c>
      <c r="N60" s="16">
        <f ca="1">_xll.DBRW($D$4,$E$7,$E$8,$E$9,$E$10,$E$12,$D60,$E$6,N$18,N$17)</f>
        <v>0.46594574999999966</v>
      </c>
      <c r="O60" s="16">
        <f ca="1">_xll.DBRW($D$4,$E$7,$E$8,$E$9,$E$10,$E$12,$D60,$E$6,O$18,O$17)</f>
        <v>1.1693108699999999</v>
      </c>
      <c r="P60" s="74">
        <f ca="1">_xll.DBRW($D$4,$E$7,$E$8,$E$9,$E$10,$E$12,$D60,$E$6,P$18,P$17)</f>
        <v>-0.29439304999999993</v>
      </c>
      <c r="Q60" s="16">
        <f ca="1">_xll.DBRW($D$4,$E$7,$E$8,$E$9,$E$10,$E$12,$D60,$E$6,Q$18,Q$17)</f>
        <v>0.25176628179296745</v>
      </c>
      <c r="R60" s="16"/>
      <c r="S60" s="16"/>
      <c r="T60" s="16"/>
      <c r="U60" s="16"/>
      <c r="V60" s="16">
        <f ca="1">_xll.DBRW($D$4,$E$7,$E$8,$E$9,$E$10,$E$12,$D60,$E$6,V$18,V$17)</f>
        <v>-5.8823E-2</v>
      </c>
      <c r="W60" s="16">
        <f ca="1">_xll.DBRW($D$4,$E$7,$E$8,$E$9,$E$10,$E$12,$D60,$E$6,W$18,W$17)</f>
        <v>5.030569843244509E-2</v>
      </c>
      <c r="X60" s="16"/>
      <c r="Y60" s="16"/>
      <c r="Z60" s="16"/>
      <c r="AA60" s="16"/>
      <c r="AB60" s="16">
        <f ca="1">_xll.DBRW($D$4,$E$7,$E$8,$E$9,$E$10,$E$12,$D60,$E$6,AB$18,AB$17)</f>
        <v>-0.10501882</v>
      </c>
      <c r="AC60" s="16">
        <f ca="1">_xll.DBRW($D$4,$E$7,$E$8,$E$9,$E$10,$E$12,$D60,$E$6,AC$18,AC$17)</f>
        <v>8.9812574820244351E-2</v>
      </c>
      <c r="AD60" s="16"/>
      <c r="AE60" s="16"/>
      <c r="AF60" s="16"/>
      <c r="AG60" s="16"/>
      <c r="AH60" s="16">
        <f ca="1">_xll.DBRW($D$4,$E$7,$E$8,$E$9,$E$10,$E$12,$D60,$E$6,AH$18,AH$17)</f>
        <v>-9.2628809999999992E-2</v>
      </c>
      <c r="AI60" s="16">
        <f ca="1">_xll.DBRW($D$4,$E$7,$E$8,$E$9,$E$10,$E$12,$D60,$E$6,AI$18,AI$17)</f>
        <v>7.92165816435111E-2</v>
      </c>
      <c r="AJ60" s="16"/>
      <c r="AK60" s="16"/>
      <c r="AL60" s="16"/>
      <c r="AM60" s="16"/>
      <c r="AN60" s="16">
        <f ca="1">_xll.DBRW($D$4,$E$7,$E$8,$E$9,$E$10,$E$12,$D60,$E$6,AN$18,AN$17)</f>
        <v>-0.15250144000000002</v>
      </c>
      <c r="AO60" s="16">
        <f ca="1">_xll.DBRW($D$4,$E$7,$E$8,$E$9,$E$10,$E$12,$D60,$E$6,AO$18,AO$17)</f>
        <v>0.13041992844896758</v>
      </c>
      <c r="AP60" s="16"/>
      <c r="AQ60" s="16"/>
      <c r="AR60" s="16"/>
      <c r="AS60" s="16"/>
      <c r="AT60" s="16">
        <f ca="1">_xll.DBRW($D$4,$E$7,$E$8,$E$9,$E$10,$E$12,$D60,$E$6,AT$18,AT$17)</f>
        <v>1.822387E-2</v>
      </c>
      <c r="AU60" s="16">
        <f ca="1">_xll.DBRW($D$4,$E$7,$E$8,$E$9,$E$10,$E$12,$D60,$E$6,AU$18,AU$17)</f>
        <v>0.41602700000000004</v>
      </c>
      <c r="AV60" s="16">
        <f ca="1">_xll.DBRW($D$4,$E$7,$E$8,$E$9,$E$10,$E$12,$D60,$E$6,AV$18,AV$17)</f>
        <v>0.41602700000000004</v>
      </c>
      <c r="AW60" s="16">
        <f ca="1">_xll.DBRW($D$4,$E$7,$E$8,$E$9,$E$10,$E$12,$D60,$E$6,AW$18,AW$17)</f>
        <v>0.41602700000000004</v>
      </c>
      <c r="AX60" s="16">
        <f ca="1">_xll.DBRW($D$4,$E$7,$E$8,$E$9,$E$10,$E$12,$D60,$E$6,AX$18,AX$17)</f>
        <v>0.13698399999999999</v>
      </c>
      <c r="AY60" s="16">
        <f ca="1">_xll.DBRW($D$4,$E$7,$E$8,$E$9,$E$10,$E$12,$D60,$E$6,AY$18,AY$17)</f>
        <v>0.41602700000000004</v>
      </c>
      <c r="AZ60" s="16">
        <f ca="1">_xll.DBRW($D$4,$E$7,$E$8,$E$9,$E$10,$E$12,$D60,$E$6,AZ$18,AZ$17)</f>
        <v>0.32303199999999999</v>
      </c>
      <c r="BA60" s="16">
        <f ca="1">_xll.DBRW($D$4,$E$7,$E$8,$E$9,$E$10,$E$12,$D60,$E$6,BA$18,BA$17)</f>
        <v>0.41602700000000004</v>
      </c>
      <c r="BB60" s="16">
        <f ca="1">_xll.DBRW($D$4,$E$7,$E$8,$E$9,$E$10,$E$12,$D60,$E$6,BB$18,BB$17)</f>
        <v>0.41602700000000004</v>
      </c>
      <c r="BC60" s="16">
        <f ca="1">_xll.DBRW($D$4,$E$7,$E$8,$E$9,$E$10,$E$12,$D60,$E$6,BC$18,BC$17)</f>
        <v>0.41602700000000004</v>
      </c>
      <c r="BD60" s="16">
        <f ca="1">_xll.DBRW($D$4,$E$7,$E$8,$E$9,$E$10,$E$12,$D60,$E$6,BD$18,BD$17)</f>
        <v>0.12777447410090725</v>
      </c>
      <c r="BE60" s="16">
        <f ca="1">_xll.DBRW($D$4,$E$7,$E$8,$E$9,$E$10,$E$12,$D60,$E$6,BE$18,BE$17)</f>
        <v>-8.6245042124937887E-2</v>
      </c>
      <c r="BF60" s="16">
        <f ca="1">_xll.DBRW($D$4,$E$7,$E$8,$E$9,$E$10,$E$12,$D60,$E$6,BF$18,BF$17)</f>
        <v>0</v>
      </c>
      <c r="BG60" s="26">
        <f ca="1">_xll.DBRW($D$4,$E$7,$E$8,$E$9,$E$10,$E$12,$D60,$E$6,BG$18,BG$17)</f>
        <v>0</v>
      </c>
      <c r="BH60" s="26">
        <f ca="1">_xll.DBRW($D$4,$E$7,$E$8,$E$9,$E$10,$E$12,$D60,$E$6,BH$18,BH$17)</f>
        <v>0</v>
      </c>
      <c r="BI60" s="26">
        <f ca="1">_xll.DBRW($D$4,$E$7,$E$8,$E$9,$E$10,$E$12,$D60,$E$6,BI$18,BI$17)</f>
        <v>0</v>
      </c>
      <c r="BJ60" s="26">
        <f ca="1">_xll.DBRW($D$4,$E$7,$E$8,$E$9,$E$10,$E$12,$D60,$E$6,BJ$18,BJ$17)</f>
        <v>0</v>
      </c>
      <c r="BK60" s="16">
        <f ca="1">_xll.DBRW($D$4,$E$7,$E$8,$E$9,$E$10,$E$12,$D60,$E$6,BK$18,BK$17)</f>
        <v>0.21401951622584514</v>
      </c>
      <c r="BL60" s="16">
        <f ca="1">_xll.DBRW($D$4,$E$7,$E$8,$E$9,$E$10,$E$12,$D60,$E$6,BL$18,BL$17)</f>
        <v>1.177063</v>
      </c>
      <c r="BM60" s="16">
        <f ca="1">_xll.DBRW($D$4,$E$7,$E$8,$E$9,$E$10,$E$12,$D60,$E$6,BM$18,BM$17)</f>
        <v>-0.39151072082484695</v>
      </c>
      <c r="BN60" s="16">
        <f ca="1">_xll.DBRW($D$4,$E$7,$E$8,$E$9,$E$10,$E$12,$D60,$E$6,BN$18,BN$17)</f>
        <v>0.33261662360030597</v>
      </c>
      <c r="BO60" s="16"/>
      <c r="BP60" s="16"/>
      <c r="BQ60" s="16"/>
      <c r="BR60" s="16"/>
      <c r="BS60" s="16">
        <f ca="1">_xll.DBRW($D$4,$E$7,$E$8,$E$9,$E$10,$E$12,$D60,$E$6,BS$18,BS$17)</f>
        <v>-0.11812314258046211</v>
      </c>
      <c r="BT60" s="16">
        <f ca="1">_xll.DBRW($D$4,$E$7,$E$8,$E$9,$E$10,$E$12,$D60,$E$6,BT$18,BT$17)</f>
        <v>0.10035413786726974</v>
      </c>
      <c r="BU60" s="16"/>
      <c r="BV60" s="16"/>
      <c r="BW60" s="16"/>
      <c r="BX60" s="16"/>
      <c r="BY60" s="16">
        <f ca="1">_xll.DBRW($D$4,$E$7,$E$8,$E$9,$E$10,$E$12,$D60,$E$6,BY$18,BY$17)</f>
        <v>-0.13494227954009202</v>
      </c>
      <c r="BZ60" s="16">
        <f ca="1">_xll.DBRW($D$4,$E$7,$E$8,$E$9,$E$10,$E$12,$D60,$E$6,BZ$18,BZ$17)</f>
        <v>0.11464320902117561</v>
      </c>
      <c r="CA60" s="16"/>
      <c r="CB60" s="16"/>
      <c r="CC60" s="16"/>
      <c r="CD60" s="16"/>
      <c r="CE60" s="16">
        <f ca="1">_xll.DBRW($D$4,$E$7,$E$8,$E$9,$E$10,$E$12,$D60,$E$6,CE$18,CE$17)</f>
        <v>-9.7551949999999985E-2</v>
      </c>
      <c r="CF60" s="16">
        <f ca="1">_xll.DBRW($D$4,$E$7,$E$8,$E$9,$E$10,$E$12,$D60,$E$6,CF$18,CF$17)</f>
        <v>8.2877424572856323E-2</v>
      </c>
      <c r="CG60" s="16"/>
      <c r="CH60" s="16"/>
      <c r="CI60" s="16"/>
      <c r="CJ60" s="16"/>
      <c r="CK60" s="16">
        <f ca="1">_xll.DBRW($D$4,$E$7,$E$8,$E$9,$E$10,$E$12,$D60,$E$6,CK$18,CK$17)</f>
        <v>-0.22091539082875378</v>
      </c>
      <c r="CL60" s="16">
        <f ca="1">_xll.DBRW($D$4,$E$7,$E$8,$E$9,$E$10,$E$12,$D60,$E$6,CL$18,CL$17)</f>
        <v>0.18768357414068218</v>
      </c>
      <c r="CM60" s="16"/>
      <c r="CN60" s="16"/>
      <c r="CO60" s="16"/>
      <c r="CP60" s="16"/>
      <c r="CQ60" s="16">
        <f ca="1">_xll.DBRW($D$4,$E$7,$E$8,$E$9,$E$10,$E$12,$D60,$E$6,CQ$18,CQ$17)</f>
        <v>1.9382429999999999E-2</v>
      </c>
      <c r="CR60" s="16">
        <f ca="1">_xll.DBRW($D$4,$E$7,$E$8,$E$9,$E$10,$E$12,$D60,$E$6,CR$18,CR$17)</f>
        <v>0.46165308999999999</v>
      </c>
      <c r="CS60" s="16">
        <f ca="1">_xll.DBRW($D$4,$E$7,$E$8,$E$9,$E$10,$E$12,$D60,$E$6,CS$18,CS$17)</f>
        <v>0.46165308999999999</v>
      </c>
      <c r="CT60" s="16">
        <f ca="1">_xll.DBRW($D$4,$E$7,$E$8,$E$9,$E$10,$E$12,$D60,$E$6,CT$18,CT$17)</f>
        <v>0.46165308999999999</v>
      </c>
      <c r="CU60" s="16">
        <f ca="1">_xll.DBRW($D$4,$E$7,$E$8,$E$9,$E$10,$E$12,$D60,$E$6,CU$18,CU$17)</f>
        <v>0.15320422291109501</v>
      </c>
      <c r="CV60" s="16">
        <f ca="1">_xll.DBRW($D$4,$E$7,$E$8,$E$9,$E$10,$E$12,$D60,$E$6,CV$18,CV$17)</f>
        <v>0.46165308999999999</v>
      </c>
      <c r="CW60" s="16">
        <f ca="1">_xll.DBRW($D$4,$E$7,$E$8,$E$9,$E$10,$E$12,$D60,$E$6,CW$18,CW$17)</f>
        <v>0.36010837000000001</v>
      </c>
      <c r="CX60" s="16">
        <f ca="1">_xll.DBRW($D$4,$E$7,$E$8,$E$9,$E$10,$E$12,$D60,$E$6,CX$18,CX$17)</f>
        <v>0.46165308999999999</v>
      </c>
      <c r="CY60" s="16">
        <f ca="1">_xll.DBRW($D$4,$E$7,$E$8,$E$9,$E$10,$E$12,$D60,$E$6,CY$18,CY$17)</f>
        <v>0.46165308999999999</v>
      </c>
      <c r="CZ60" s="16">
        <f ca="1">_xll.DBRW($D$4,$E$7,$E$8,$E$9,$E$10,$E$12,$D60,$E$6,CZ$18,CZ$17)</f>
        <v>0.46165308999999999</v>
      </c>
      <c r="DA60" s="26">
        <f t="shared" ca="1" si="89"/>
        <v>0.30667287589909242</v>
      </c>
      <c r="DB60" s="26">
        <f t="shared" ca="1" si="90"/>
        <v>5.4746642124937885E-2</v>
      </c>
      <c r="DC60" s="26">
        <f t="shared" ca="1" si="91"/>
        <v>0</v>
      </c>
      <c r="DD60" s="26">
        <f t="shared" ca="1" si="92"/>
        <v>0</v>
      </c>
      <c r="DE60" s="26">
        <f t="shared" ca="1" si="93"/>
        <v>0</v>
      </c>
      <c r="DF60" s="26">
        <f t="shared" ca="1" si="94"/>
        <v>0</v>
      </c>
      <c r="DG60" s="26">
        <f t="shared" ca="1" si="95"/>
        <v>0</v>
      </c>
      <c r="DH60" s="26">
        <f t="shared" ca="1" si="96"/>
        <v>0.25192623377415452</v>
      </c>
      <c r="DI60" s="26">
        <f t="shared" ca="1" si="97"/>
        <v>-7.7521300000000792E-3</v>
      </c>
      <c r="DJ60" s="26">
        <f t="shared" ca="1" si="98"/>
        <v>9.7117670824847013E-2</v>
      </c>
      <c r="DK60" s="26">
        <f t="shared" ca="1" si="99"/>
        <v>-8.0850341807338522E-2</v>
      </c>
      <c r="DL60" s="26"/>
      <c r="DM60" s="26"/>
      <c r="DN60" s="26"/>
      <c r="DO60" s="26"/>
      <c r="DP60" s="26">
        <f t="shared" ca="1" si="100"/>
        <v>5.9300142580462109E-2</v>
      </c>
      <c r="DQ60" s="26">
        <f t="shared" ca="1" si="101"/>
        <v>-5.0048439434824649E-2</v>
      </c>
      <c r="DR60" s="26"/>
      <c r="DS60" s="26"/>
      <c r="DT60" s="26"/>
      <c r="DU60" s="26"/>
      <c r="DV60" s="26">
        <f t="shared" ca="1" si="102"/>
        <v>2.9923459540092026E-2</v>
      </c>
      <c r="DW60" s="26">
        <f t="shared" ca="1" si="103"/>
        <v>-2.4830634200931262E-2</v>
      </c>
      <c r="DX60" s="26"/>
      <c r="DY60" s="26"/>
      <c r="DZ60" s="26"/>
      <c r="EA60" s="26"/>
      <c r="EB60" s="26">
        <f t="shared" ca="1" si="104"/>
        <v>4.9231399999999925E-3</v>
      </c>
      <c r="EC60" s="26">
        <f t="shared" ca="1" si="105"/>
        <v>-3.6608429293452233E-3</v>
      </c>
      <c r="ED60" s="26"/>
      <c r="EE60" s="26"/>
      <c r="EF60" s="26"/>
      <c r="EG60" s="26"/>
      <c r="EH60" s="26">
        <f t="shared" ca="1" si="106"/>
        <v>6.8413950828753761E-2</v>
      </c>
      <c r="EI60" s="29">
        <f t="shared" ca="1" si="107"/>
        <v>-5.7263645691714604E-2</v>
      </c>
      <c r="EJ60" s="29"/>
      <c r="EK60" s="29"/>
      <c r="EL60" s="29"/>
      <c r="EM60" s="29"/>
      <c r="EN60" s="93"/>
      <c r="EO60" s="29"/>
      <c r="EP60" s="29"/>
      <c r="EQ60" s="29"/>
      <c r="ER60" s="29"/>
      <c r="ES60" s="29"/>
      <c r="ET60" s="29"/>
      <c r="EU60" s="93"/>
      <c r="EV60" s="29"/>
      <c r="EW60" s="29"/>
      <c r="EX60" s="29"/>
      <c r="EY60" s="29"/>
      <c r="EZ60" s="29"/>
      <c r="FA60" s="29"/>
      <c r="FB60" s="93"/>
      <c r="FC60" s="29"/>
      <c r="FD60" s="29"/>
      <c r="FE60" s="29"/>
      <c r="FF60" s="29"/>
      <c r="FG60" s="29"/>
      <c r="FH60" s="29"/>
      <c r="FI60" s="93"/>
      <c r="FJ60" s="29"/>
      <c r="FK60" s="29"/>
      <c r="FL60" s="29"/>
      <c r="FM60" s="29"/>
      <c r="FN60" s="29"/>
      <c r="FO60" s="29"/>
      <c r="FP60" s="93"/>
      <c r="FQ60" s="29"/>
      <c r="FR60" s="29"/>
      <c r="FS60" s="29"/>
      <c r="FT60" s="29"/>
      <c r="FU60" s="29"/>
      <c r="FV60" s="29"/>
    </row>
    <row r="61" spans="1:178" x14ac:dyDescent="0.25">
      <c r="A61" t="str">
        <f ca="1">IF(_xll.TM1RPTELISCONSOLIDATED($D$28,$D61),IF(_xll.TM1RPTELLEV($D$28,$D61)&lt;=3,_xll.TM1RPTELLEV($D$28,$D61),"D"),"N")</f>
        <v>N</v>
      </c>
      <c r="B61" t="str">
        <f ca="1">_xll.DBRA(Server&amp;"Management_organization",$D61,$B$27)</f>
        <v>L</v>
      </c>
      <c r="C61">
        <v>1</v>
      </c>
      <c r="D61" s="2" t="s">
        <v>106</v>
      </c>
      <c r="E61" s="26"/>
      <c r="F61" s="26"/>
      <c r="G61" s="16">
        <f ca="1">_xll.DBRW($D$4,$E$7,$E$8,$E$9,$E$10,$E$12,$D61,$E$6,G$18,G$17)</f>
        <v>9.2443900000000509E-2</v>
      </c>
      <c r="H61" s="16">
        <f ca="1">_xll.DBRW($D$4,$E$7,$E$8,$E$9,$E$10,$E$12,$D61,$E$6,H$18,H$17)</f>
        <v>-0.25696998999999998</v>
      </c>
      <c r="I61" s="16">
        <f ca="1">_xll.DBRW($D$4,$E$7,$E$8,$E$9,$E$10,$E$12,$D61,$E$6,I$18,I$17)</f>
        <v>0</v>
      </c>
      <c r="J61" s="26">
        <f ca="1">_xll.DBRW($D$4,$E$7,$E$8,$E$9,$E$10,$E$12,$D61,$E$6,J$18,J$17)</f>
        <v>0</v>
      </c>
      <c r="K61" s="26">
        <f ca="1">_xll.DBRW($D$4,$E$7,$E$8,$E$9,$E$10,$E$12,$D61,$E$6,K$18,K$17)</f>
        <v>0</v>
      </c>
      <c r="L61" s="26">
        <f ca="1">_xll.DBRW($D$4,$E$7,$E$8,$E$9,$E$10,$E$12,$D61,$E$6,L$18,L$17)</f>
        <v>0</v>
      </c>
      <c r="M61" s="26">
        <f ca="1">_xll.DBRW($D$4,$E$7,$E$8,$E$9,$E$10,$E$12,$D61,$E$6,M$18,M$17)</f>
        <v>0</v>
      </c>
      <c r="N61" s="16">
        <f ca="1">_xll.DBRW($D$4,$E$7,$E$8,$E$9,$E$10,$E$12,$D61,$E$6,N$18,N$17)</f>
        <v>0.34941389000000045</v>
      </c>
      <c r="O61" s="16">
        <f ca="1">_xll.DBRW($D$4,$E$7,$E$8,$E$9,$E$10,$E$12,$D61,$E$6,O$18,O$17)</f>
        <v>2.2393811100000001</v>
      </c>
      <c r="P61" s="74">
        <f ca="1">_xll.DBRW($D$4,$E$7,$E$8,$E$9,$E$10,$E$12,$D61,$E$6,P$18,P$17)</f>
        <v>-0.97600188999999993</v>
      </c>
      <c r="Q61" s="16">
        <f ca="1">_xll.DBRW($D$4,$E$7,$E$8,$E$9,$E$10,$E$12,$D61,$E$6,Q$18,Q$17)</f>
        <v>0.43583554654526846</v>
      </c>
      <c r="R61" s="16"/>
      <c r="S61" s="16"/>
      <c r="T61" s="16"/>
      <c r="U61" s="16"/>
      <c r="V61" s="16">
        <f ca="1">_xll.DBRW($D$4,$E$7,$E$8,$E$9,$E$10,$E$12,$D61,$E$6,V$18,V$17)</f>
        <v>-0.14894441999999999</v>
      </c>
      <c r="W61" s="16">
        <f ca="1">_xll.DBRW($D$4,$E$7,$E$8,$E$9,$E$10,$E$12,$D61,$E$6,W$18,W$17)</f>
        <v>6.6511421095268586E-2</v>
      </c>
      <c r="X61" s="16"/>
      <c r="Y61" s="16"/>
      <c r="Z61" s="16"/>
      <c r="AA61" s="16"/>
      <c r="AB61" s="16">
        <f ca="1">_xll.DBRW($D$4,$E$7,$E$8,$E$9,$E$10,$E$12,$D61,$E$6,AB$18,AB$17)</f>
        <v>-0.17543581000000003</v>
      </c>
      <c r="AC61" s="16">
        <f ca="1">_xll.DBRW($D$4,$E$7,$E$8,$E$9,$E$10,$E$12,$D61,$E$6,AC$18,AC$17)</f>
        <v>7.8341202940664267E-2</v>
      </c>
      <c r="AD61" s="16"/>
      <c r="AE61" s="16"/>
      <c r="AF61" s="16"/>
      <c r="AG61" s="16"/>
      <c r="AH61" s="16">
        <f ca="1">_xll.DBRW($D$4,$E$7,$E$8,$E$9,$E$10,$E$12,$D61,$E$6,AH$18,AH$17)</f>
        <v>0</v>
      </c>
      <c r="AI61" s="16">
        <f ca="1">_xll.DBRW($D$4,$E$7,$E$8,$E$9,$E$10,$E$12,$D61,$E$6,AI$18,AI$17)</f>
        <v>0</v>
      </c>
      <c r="AJ61" s="16"/>
      <c r="AK61" s="16"/>
      <c r="AL61" s="16"/>
      <c r="AM61" s="16"/>
      <c r="AN61" s="16">
        <f ca="1">_xll.DBRW($D$4,$E$7,$E$8,$E$9,$E$10,$E$12,$D61,$E$6,AN$18,AN$17)</f>
        <v>-0.58958510000000008</v>
      </c>
      <c r="AO61" s="16">
        <f ca="1">_xll.DBRW($D$4,$E$7,$E$8,$E$9,$E$10,$E$12,$D61,$E$6,AO$18,AO$17)</f>
        <v>0.26328037571059087</v>
      </c>
      <c r="AP61" s="16"/>
      <c r="AQ61" s="16"/>
      <c r="AR61" s="16"/>
      <c r="AS61" s="16"/>
      <c r="AT61" s="16">
        <f ca="1">_xll.DBRW($D$4,$E$7,$E$8,$E$9,$E$10,$E$12,$D61,$E$6,AT$18,AT$17)</f>
        <v>4.389192179999999E-2</v>
      </c>
      <c r="AU61" s="16">
        <f ca="1">_xll.DBRW($D$4,$E$7,$E$8,$E$9,$E$10,$E$12,$D61,$E$6,AU$18,AU$17)</f>
        <v>0.55966199999999999</v>
      </c>
      <c r="AV61" s="16">
        <f ca="1">_xll.DBRW($D$4,$E$7,$E$8,$E$9,$E$10,$E$12,$D61,$E$6,AV$18,AV$17)</f>
        <v>0.55966199999999999</v>
      </c>
      <c r="AW61" s="16">
        <f ca="1">_xll.DBRW($D$4,$E$7,$E$8,$E$9,$E$10,$E$12,$D61,$E$6,AW$18,AW$17)</f>
        <v>0.55966199999999999</v>
      </c>
      <c r="AX61" s="16">
        <f ca="1">_xll.DBRW($D$4,$E$7,$E$8,$E$9,$E$10,$E$12,$D61,$E$6,AX$18,AX$17)</f>
        <v>0.18941917</v>
      </c>
      <c r="AY61" s="16">
        <f ca="1">_xll.DBRW($D$4,$E$7,$E$8,$E$9,$E$10,$E$12,$D61,$E$6,AY$18,AY$17)</f>
        <v>0.55966199999999999</v>
      </c>
      <c r="AZ61" s="16">
        <f ca="1">_xll.DBRW($D$4,$E$7,$E$8,$E$9,$E$10,$E$12,$D61,$E$6,AZ$18,AZ$17)</f>
        <v>0.48823699999999998</v>
      </c>
      <c r="BA61" s="16">
        <f ca="1">_xll.DBRW($D$4,$E$7,$E$8,$E$9,$E$10,$E$12,$D61,$E$6,BA$18,BA$17)</f>
        <v>0.55966199999999999</v>
      </c>
      <c r="BB61" s="16">
        <f ca="1">_xll.DBRW($D$4,$E$7,$E$8,$E$9,$E$10,$E$12,$D61,$E$6,BB$18,BB$17)</f>
        <v>0.55966199999999999</v>
      </c>
      <c r="BC61" s="16">
        <f ca="1">_xll.DBRW($D$4,$E$7,$E$8,$E$9,$E$10,$E$12,$D61,$E$6,BC$18,BC$17)</f>
        <v>0.55966199999999999</v>
      </c>
      <c r="BD61" s="16">
        <f ca="1">_xll.DBRW($D$4,$E$7,$E$8,$E$9,$E$10,$E$12,$D61,$E$6,BD$18,BD$17)</f>
        <v>6.1972199461319599E-2</v>
      </c>
      <c r="BE61" s="16">
        <f ca="1">_xll.DBRW($D$4,$E$7,$E$8,$E$9,$E$10,$E$12,$D61,$E$6,BE$18,BE$17)</f>
        <v>-0.27331172206632126</v>
      </c>
      <c r="BF61" s="16">
        <f ca="1">_xll.DBRW($D$4,$E$7,$E$8,$E$9,$E$10,$E$12,$D61,$E$6,BF$18,BF$17)</f>
        <v>0</v>
      </c>
      <c r="BG61" s="26">
        <f ca="1">_xll.DBRW($D$4,$E$7,$E$8,$E$9,$E$10,$E$12,$D61,$E$6,BG$18,BG$17)</f>
        <v>0</v>
      </c>
      <c r="BH61" s="26">
        <f ca="1">_xll.DBRW($D$4,$E$7,$E$8,$E$9,$E$10,$E$12,$D61,$E$6,BH$18,BH$17)</f>
        <v>0</v>
      </c>
      <c r="BI61" s="26">
        <f ca="1">_xll.DBRW($D$4,$E$7,$E$8,$E$9,$E$10,$E$12,$D61,$E$6,BI$18,BI$17)</f>
        <v>0</v>
      </c>
      <c r="BJ61" s="26">
        <f ca="1">_xll.DBRW($D$4,$E$7,$E$8,$E$9,$E$10,$E$12,$D61,$E$6,BJ$18,BJ$17)</f>
        <v>0</v>
      </c>
      <c r="BK61" s="16">
        <f ca="1">_xll.DBRW($D$4,$E$7,$E$8,$E$9,$E$10,$E$12,$D61,$E$6,BK$18,BK$17)</f>
        <v>0.33528392152764086</v>
      </c>
      <c r="BL61" s="16">
        <f ca="1">_xll.DBRW($D$4,$E$7,$E$8,$E$9,$E$10,$E$12,$D61,$E$6,BL$18,BL$17)</f>
        <v>2.3816549013822366</v>
      </c>
      <c r="BM61" s="16">
        <f ca="1">_xll.DBRW($D$4,$E$7,$E$8,$E$9,$E$10,$E$12,$D61,$E$6,BM$18,BM$17)</f>
        <v>-1.090172792962345</v>
      </c>
      <c r="BN61" s="16">
        <f ca="1">_xll.DBRW($D$4,$E$7,$E$8,$E$9,$E$10,$E$12,$D61,$E$6,BN$18,BN$17)</f>
        <v>0.45773751366314386</v>
      </c>
      <c r="BO61" s="16"/>
      <c r="BP61" s="16"/>
      <c r="BQ61" s="16"/>
      <c r="BR61" s="16"/>
      <c r="BS61" s="16">
        <f ca="1">_xll.DBRW($D$4,$E$7,$E$8,$E$9,$E$10,$E$12,$D61,$E$6,BS$18,BS$17)</f>
        <v>-0.17686098195982916</v>
      </c>
      <c r="BT61" s="16">
        <f ca="1">_xll.DBRW($D$4,$E$7,$E$8,$E$9,$E$10,$E$12,$D61,$E$6,BT$18,BT$17)</f>
        <v>7.4259701461023883E-2</v>
      </c>
      <c r="BU61" s="16"/>
      <c r="BV61" s="16"/>
      <c r="BW61" s="16"/>
      <c r="BX61" s="16"/>
      <c r="BY61" s="16">
        <f ca="1">_xll.DBRW($D$4,$E$7,$E$8,$E$9,$E$10,$E$12,$D61,$E$6,BY$18,BY$17)</f>
        <v>-0.16058408970461857</v>
      </c>
      <c r="BZ61" s="16">
        <f ca="1">_xll.DBRW($D$4,$E$7,$E$8,$E$9,$E$10,$E$12,$D61,$E$6,BZ$18,BZ$17)</f>
        <v>6.742542322627039E-2</v>
      </c>
      <c r="CA61" s="16"/>
      <c r="CB61" s="16"/>
      <c r="CC61" s="16"/>
      <c r="CD61" s="16"/>
      <c r="CE61" s="16">
        <f ca="1">_xll.DBRW($D$4,$E$7,$E$8,$E$9,$E$10,$E$12,$D61,$E$6,CE$18,CE$17)</f>
        <v>0</v>
      </c>
      <c r="CF61" s="16">
        <f ca="1">_xll.DBRW($D$4,$E$7,$E$8,$E$9,$E$10,$E$12,$D61,$E$6,CF$18,CF$17)</f>
        <v>0</v>
      </c>
      <c r="CG61" s="16"/>
      <c r="CH61" s="16"/>
      <c r="CI61" s="16"/>
      <c r="CJ61" s="16"/>
      <c r="CK61" s="16">
        <f ca="1">_xll.DBRW($D$4,$E$7,$E$8,$E$9,$E$10,$E$12,$D61,$E$6,CK$18,CK$17)</f>
        <v>-0.61875311522780285</v>
      </c>
      <c r="CL61" s="16">
        <f ca="1">_xll.DBRW($D$4,$E$7,$E$8,$E$9,$E$10,$E$12,$D61,$E$6,CL$18,CL$17)</f>
        <v>0.25979965227905111</v>
      </c>
      <c r="CM61" s="16"/>
      <c r="CN61" s="16"/>
      <c r="CO61" s="16"/>
      <c r="CP61" s="16"/>
      <c r="CQ61" s="16">
        <f ca="1">_xll.DBRW($D$4,$E$7,$E$8,$E$9,$E$10,$E$12,$D61,$E$6,CQ$18,CQ$17)</f>
        <v>4.2415399801957292E-2</v>
      </c>
      <c r="CR61" s="16">
        <f ca="1">_xll.DBRW($D$4,$E$7,$E$8,$E$9,$E$10,$E$12,$D61,$E$6,CR$18,CR$17)</f>
        <v>0.57460926322799999</v>
      </c>
      <c r="CS61" s="16">
        <f ca="1">_xll.DBRW($D$4,$E$7,$E$8,$E$9,$E$10,$E$12,$D61,$E$6,CS$18,CS$17)</f>
        <v>0.57460926322799999</v>
      </c>
      <c r="CT61" s="16">
        <f ca="1">_xll.DBRW($D$4,$E$7,$E$8,$E$9,$E$10,$E$12,$D61,$E$6,CT$18,CT$17)</f>
        <v>0.57460926322799999</v>
      </c>
      <c r="CU61" s="16">
        <f ca="1">_xll.DBRW($D$4,$E$7,$E$8,$E$9,$E$10,$E$12,$D61,$E$6,CU$18,CU$17)</f>
        <v>0.19354476281140001</v>
      </c>
      <c r="CV61" s="16">
        <f ca="1">_xll.DBRW($D$4,$E$7,$E$8,$E$9,$E$10,$E$12,$D61,$E$6,CV$18,CV$17)</f>
        <v>0.57460926322799999</v>
      </c>
      <c r="CW61" s="16">
        <f ca="1">_xll.DBRW($D$4,$E$7,$E$8,$E$9,$E$10,$E$12,$D61,$E$6,CW$18,CW$17)</f>
        <v>0.51413675399999992</v>
      </c>
      <c r="CX61" s="16">
        <f ca="1">_xll.DBRW($D$4,$E$7,$E$8,$E$9,$E$10,$E$12,$D61,$E$6,CX$18,CX$17)</f>
        <v>0.57460926322799999</v>
      </c>
      <c r="CY61" s="16">
        <f ca="1">_xll.DBRW($D$4,$E$7,$E$8,$E$9,$E$10,$E$12,$D61,$E$6,CY$18,CY$17)</f>
        <v>0.57460926322799999</v>
      </c>
      <c r="CZ61" s="16">
        <f ca="1">_xll.DBRW($D$4,$E$7,$E$8,$E$9,$E$10,$E$12,$D61,$E$6,CZ$18,CZ$17)</f>
        <v>0.57460926322799999</v>
      </c>
      <c r="DA61" s="26">
        <f t="shared" ca="1" si="89"/>
        <v>3.047170053868091E-2</v>
      </c>
      <c r="DB61" s="26">
        <f t="shared" ca="1" si="90"/>
        <v>1.634173206632128E-2</v>
      </c>
      <c r="DC61" s="26">
        <f t="shared" ca="1" si="91"/>
        <v>0</v>
      </c>
      <c r="DD61" s="26">
        <f t="shared" ca="1" si="92"/>
        <v>0</v>
      </c>
      <c r="DE61" s="26">
        <f t="shared" ca="1" si="93"/>
        <v>0</v>
      </c>
      <c r="DF61" s="26">
        <f t="shared" ca="1" si="94"/>
        <v>0</v>
      </c>
      <c r="DG61" s="26">
        <f t="shared" ca="1" si="95"/>
        <v>0</v>
      </c>
      <c r="DH61" s="26">
        <f t="shared" ca="1" si="96"/>
        <v>1.4129968472359589E-2</v>
      </c>
      <c r="DI61" s="26">
        <f t="shared" ca="1" si="97"/>
        <v>-0.1422737913822365</v>
      </c>
      <c r="DJ61" s="26">
        <f t="shared" ca="1" si="98"/>
        <v>0.11417090296234511</v>
      </c>
      <c r="DK61" s="26">
        <f t="shared" ca="1" si="99"/>
        <v>-2.1901967117875398E-2</v>
      </c>
      <c r="DL61" s="26"/>
      <c r="DM61" s="26"/>
      <c r="DN61" s="26"/>
      <c r="DO61" s="26"/>
      <c r="DP61" s="26">
        <f t="shared" ca="1" si="100"/>
        <v>2.7916561959829167E-2</v>
      </c>
      <c r="DQ61" s="26">
        <f t="shared" ca="1" si="101"/>
        <v>-7.7482803657552973E-3</v>
      </c>
      <c r="DR61" s="26"/>
      <c r="DS61" s="26"/>
      <c r="DT61" s="26"/>
      <c r="DU61" s="26"/>
      <c r="DV61" s="26">
        <f t="shared" ca="1" si="102"/>
        <v>-1.4851720295381454E-2</v>
      </c>
      <c r="DW61" s="26">
        <f t="shared" ca="1" si="103"/>
        <v>1.0915779714393878E-2</v>
      </c>
      <c r="DX61" s="26"/>
      <c r="DY61" s="26"/>
      <c r="DZ61" s="26"/>
      <c r="EA61" s="26"/>
      <c r="EB61" s="26">
        <f t="shared" ca="1" si="104"/>
        <v>0</v>
      </c>
      <c r="EC61" s="26">
        <f t="shared" ca="1" si="105"/>
        <v>0</v>
      </c>
      <c r="ED61" s="26"/>
      <c r="EE61" s="26"/>
      <c r="EF61" s="26"/>
      <c r="EG61" s="26"/>
      <c r="EH61" s="26">
        <f t="shared" ca="1" si="106"/>
        <v>2.9168015227802768E-2</v>
      </c>
      <c r="EI61" s="29">
        <f t="shared" ca="1" si="107"/>
        <v>3.4807234315397673E-3</v>
      </c>
      <c r="EJ61" s="29"/>
      <c r="EK61" s="29"/>
      <c r="EL61" s="29"/>
      <c r="EM61" s="29"/>
      <c r="EN61" s="93"/>
      <c r="EO61" s="29"/>
      <c r="EP61" s="29"/>
      <c r="EQ61" s="29"/>
      <c r="ER61" s="29"/>
      <c r="ES61" s="29"/>
      <c r="ET61" s="29"/>
      <c r="EU61" s="93"/>
      <c r="EV61" s="29"/>
      <c r="EW61" s="29"/>
      <c r="EX61" s="29"/>
      <c r="EY61" s="29"/>
      <c r="EZ61" s="29"/>
      <c r="FA61" s="29"/>
      <c r="FB61" s="93"/>
      <c r="FC61" s="29"/>
      <c r="FD61" s="29"/>
      <c r="FE61" s="29"/>
      <c r="FF61" s="29"/>
      <c r="FG61" s="29"/>
      <c r="FH61" s="29"/>
      <c r="FI61" s="93"/>
      <c r="FJ61" s="29"/>
      <c r="FK61" s="29"/>
      <c r="FL61" s="29"/>
      <c r="FM61" s="29"/>
      <c r="FN61" s="29"/>
      <c r="FO61" s="29"/>
      <c r="FP61" s="93"/>
      <c r="FQ61" s="29"/>
      <c r="FR61" s="29"/>
      <c r="FS61" s="29"/>
      <c r="FT61" s="29"/>
      <c r="FU61" s="29"/>
      <c r="FV61" s="29"/>
    </row>
    <row r="62" spans="1:178" x14ac:dyDescent="0.25">
      <c r="A62" t="str">
        <f ca="1">IF(_xll.TM1RPTELISCONSOLIDATED($D$28,$D62),IF(_xll.TM1RPTELLEV($D$28,$D62)&lt;=3,_xll.TM1RPTELLEV($D$28,$D62),"D"),"N")</f>
        <v>N</v>
      </c>
      <c r="B62" t="str">
        <f ca="1">_xll.DBRA(Server&amp;"Management_organization",$D62,$B$27)</f>
        <v>L</v>
      </c>
      <c r="C62">
        <v>1</v>
      </c>
      <c r="D62" s="2" t="s">
        <v>107</v>
      </c>
      <c r="E62" s="26"/>
      <c r="F62" s="26"/>
      <c r="G62" s="16">
        <f ca="1">_xll.DBRW($D$4,$E$7,$E$8,$E$9,$E$10,$E$12,$D62,$E$6,G$18,G$17)</f>
        <v>0.34884212000000214</v>
      </c>
      <c r="H62" s="16">
        <f ca="1">_xll.DBRW($D$4,$E$7,$E$8,$E$9,$E$10,$E$12,$D62,$E$6,H$18,H$17)</f>
        <v>-0.77285004999999996</v>
      </c>
      <c r="I62" s="16">
        <f ca="1">_xll.DBRW($D$4,$E$7,$E$8,$E$9,$E$10,$E$12,$D62,$E$6,I$18,I$17)</f>
        <v>0</v>
      </c>
      <c r="J62" s="26">
        <f ca="1">_xll.DBRW($D$4,$E$7,$E$8,$E$9,$E$10,$E$12,$D62,$E$6,J$18,J$17)</f>
        <v>0</v>
      </c>
      <c r="K62" s="26">
        <f ca="1">_xll.DBRW($D$4,$E$7,$E$8,$E$9,$E$10,$E$12,$D62,$E$6,K$18,K$17)</f>
        <v>0</v>
      </c>
      <c r="L62" s="26">
        <f ca="1">_xll.DBRW($D$4,$E$7,$E$8,$E$9,$E$10,$E$12,$D62,$E$6,L$18,L$17)</f>
        <v>0</v>
      </c>
      <c r="M62" s="26">
        <f ca="1">_xll.DBRW($D$4,$E$7,$E$8,$E$9,$E$10,$E$12,$D62,$E$6,M$18,M$17)</f>
        <v>0</v>
      </c>
      <c r="N62" s="16">
        <f ca="1">_xll.DBRW($D$4,$E$7,$E$8,$E$9,$E$10,$E$12,$D62,$E$6,N$18,N$17)</f>
        <v>1.121692170000002</v>
      </c>
      <c r="O62" s="16">
        <f ca="1">_xll.DBRW($D$4,$E$7,$E$8,$E$9,$E$10,$E$12,$D62,$E$6,O$18,O$17)</f>
        <v>10.62160825</v>
      </c>
      <c r="P62" s="74">
        <f ca="1">_xll.DBRW($D$4,$E$7,$E$8,$E$9,$E$10,$E$12,$D62,$E$6,P$18,P$17)</f>
        <v>-3.8408657299999995</v>
      </c>
      <c r="Q62" s="16">
        <f ca="1">_xll.DBRW($D$4,$E$7,$E$8,$E$9,$E$10,$E$12,$D62,$E$6,Q$18,Q$17)</f>
        <v>0.36160867917530282</v>
      </c>
      <c r="R62" s="16"/>
      <c r="S62" s="16"/>
      <c r="T62" s="16"/>
      <c r="U62" s="16"/>
      <c r="V62" s="16">
        <f ca="1">_xll.DBRW($D$4,$E$7,$E$8,$E$9,$E$10,$E$12,$D62,$E$6,V$18,V$17)</f>
        <v>-1.4848503399999997</v>
      </c>
      <c r="W62" s="16">
        <f ca="1">_xll.DBRW($D$4,$E$7,$E$8,$E$9,$E$10,$E$12,$D62,$E$6,W$18,W$17)</f>
        <v>0.13979524616717057</v>
      </c>
      <c r="X62" s="16"/>
      <c r="Y62" s="16"/>
      <c r="Z62" s="16"/>
      <c r="AA62" s="16"/>
      <c r="AB62" s="16">
        <f ca="1">_xll.DBRW($D$4,$E$7,$E$8,$E$9,$E$10,$E$12,$D62,$E$6,AB$18,AB$17)</f>
        <v>-1.2215270699999998</v>
      </c>
      <c r="AC62" s="16">
        <f ca="1">_xll.DBRW($D$4,$E$7,$E$8,$E$9,$E$10,$E$12,$D62,$E$6,AC$18,AC$17)</f>
        <v>0.11500396561886002</v>
      </c>
      <c r="AD62" s="16"/>
      <c r="AE62" s="16"/>
      <c r="AF62" s="16"/>
      <c r="AG62" s="16"/>
      <c r="AH62" s="16">
        <f ca="1">_xll.DBRW($D$4,$E$7,$E$8,$E$9,$E$10,$E$12,$D62,$E$6,AH$18,AH$17)</f>
        <v>-1.2138306800000001</v>
      </c>
      <c r="AI62" s="16">
        <f ca="1">_xll.DBRW($D$4,$E$7,$E$8,$E$9,$E$10,$E$12,$D62,$E$6,AI$18,AI$17)</f>
        <v>0.11427936819266518</v>
      </c>
      <c r="AJ62" s="16"/>
      <c r="AK62" s="16"/>
      <c r="AL62" s="16"/>
      <c r="AM62" s="16"/>
      <c r="AN62" s="16">
        <f ca="1">_xll.DBRW($D$4,$E$7,$E$8,$E$9,$E$10,$E$12,$D62,$E$6,AN$18,AN$17)</f>
        <v>-1.73884226</v>
      </c>
      <c r="AO62" s="16">
        <f ca="1">_xll.DBRW($D$4,$E$7,$E$8,$E$9,$E$10,$E$12,$D62,$E$6,AO$18,AO$17)</f>
        <v>0.16370800156369916</v>
      </c>
      <c r="AP62" s="16"/>
      <c r="AQ62" s="16"/>
      <c r="AR62" s="16"/>
      <c r="AS62" s="16"/>
      <c r="AT62" s="16">
        <f ca="1">_xll.DBRW($D$4,$E$7,$E$8,$E$9,$E$10,$E$12,$D62,$E$6,AT$18,AT$17)</f>
        <v>0.18923297050000001</v>
      </c>
      <c r="AU62" s="16">
        <f ca="1">_xll.DBRW($D$4,$E$7,$E$8,$E$9,$E$10,$E$12,$D62,$E$6,AU$18,AU$17)</f>
        <v>4.2601689999999994</v>
      </c>
      <c r="AV62" s="16">
        <f ca="1">_xll.DBRW($D$4,$E$7,$E$8,$E$9,$E$10,$E$12,$D62,$E$6,AV$18,AV$17)</f>
        <v>4.2601689999999994</v>
      </c>
      <c r="AW62" s="16">
        <f ca="1">_xll.DBRW($D$4,$E$7,$E$8,$E$9,$E$10,$E$12,$D62,$E$6,AW$18,AW$17)</f>
        <v>4.2601689999999994</v>
      </c>
      <c r="AX62" s="16">
        <f ca="1">_xll.DBRW($D$4,$E$7,$E$8,$E$9,$E$10,$E$12,$D62,$E$6,AX$18,AX$17)</f>
        <v>1.2723300800000004</v>
      </c>
      <c r="AY62" s="16">
        <f ca="1">_xll.DBRW($D$4,$E$7,$E$8,$E$9,$E$10,$E$12,$D62,$E$6,AY$18,AY$17)</f>
        <v>4.2601689999999994</v>
      </c>
      <c r="AZ62" s="16">
        <f ca="1">_xll.DBRW($D$4,$E$7,$E$8,$E$9,$E$10,$E$12,$D62,$E$6,AZ$18,AZ$17)</f>
        <v>2.8926229999999999</v>
      </c>
      <c r="BA62" s="16">
        <f ca="1">_xll.DBRW($D$4,$E$7,$E$8,$E$9,$E$10,$E$12,$D62,$E$6,BA$18,BA$17)</f>
        <v>4.2601689999999994</v>
      </c>
      <c r="BB62" s="16">
        <f ca="1">_xll.DBRW($D$4,$E$7,$E$8,$E$9,$E$10,$E$12,$D62,$E$6,BB$18,BB$17)</f>
        <v>4.2601689999999994</v>
      </c>
      <c r="BC62" s="16">
        <f ca="1">_xll.DBRW($D$4,$E$7,$E$8,$E$9,$E$10,$E$12,$D62,$E$6,BC$18,BC$17)</f>
        <v>4.2601689999999994</v>
      </c>
      <c r="BD62" s="16">
        <f ca="1">_xll.DBRW($D$4,$E$7,$E$8,$E$9,$E$10,$E$12,$D62,$E$6,BD$18,BD$17)</f>
        <v>0.53520549604587986</v>
      </c>
      <c r="BE62" s="16">
        <f ca="1">_xll.DBRW($D$4,$E$7,$E$8,$E$9,$E$10,$E$12,$D62,$E$6,BE$18,BE$17)</f>
        <v>-0.85830031752495339</v>
      </c>
      <c r="BF62" s="16">
        <f ca="1">_xll.DBRW($D$4,$E$7,$E$8,$E$9,$E$10,$E$12,$D62,$E$6,BF$18,BF$17)</f>
        <v>0</v>
      </c>
      <c r="BG62" s="26">
        <f ca="1">_xll.DBRW($D$4,$E$7,$E$8,$E$9,$E$10,$E$12,$D62,$E$6,BG$18,BG$17)</f>
        <v>0</v>
      </c>
      <c r="BH62" s="26">
        <f ca="1">_xll.DBRW($D$4,$E$7,$E$8,$E$9,$E$10,$E$12,$D62,$E$6,BH$18,BH$17)</f>
        <v>0</v>
      </c>
      <c r="BI62" s="26">
        <f ca="1">_xll.DBRW($D$4,$E$7,$E$8,$E$9,$E$10,$E$12,$D62,$E$6,BI$18,BI$17)</f>
        <v>0</v>
      </c>
      <c r="BJ62" s="26">
        <f ca="1">_xll.DBRW($D$4,$E$7,$E$8,$E$9,$E$10,$E$12,$D62,$E$6,BJ$18,BJ$17)</f>
        <v>0</v>
      </c>
      <c r="BK62" s="16">
        <f ca="1">_xll.DBRW($D$4,$E$7,$E$8,$E$9,$E$10,$E$12,$D62,$E$6,BK$18,BK$17)</f>
        <v>1.3935058135708331</v>
      </c>
      <c r="BL62" s="16">
        <f ca="1">_xll.DBRW($D$4,$E$7,$E$8,$E$9,$E$10,$E$12,$D62,$E$6,BL$18,BL$17)</f>
        <v>12.189408450121142</v>
      </c>
      <c r="BM62" s="16">
        <f ca="1">_xll.DBRW($D$4,$E$7,$E$8,$E$9,$E$10,$E$12,$D62,$E$6,BM$18,BM$17)</f>
        <v>-4.3842722495759219</v>
      </c>
      <c r="BN62" s="16">
        <f ca="1">_xll.DBRW($D$4,$E$7,$E$8,$E$9,$E$10,$E$12,$D62,$E$6,BN$18,BN$17)</f>
        <v>0.3596788365502962</v>
      </c>
      <c r="BO62" s="16"/>
      <c r="BP62" s="16"/>
      <c r="BQ62" s="16"/>
      <c r="BR62" s="16"/>
      <c r="BS62" s="16">
        <f ca="1">_xll.DBRW($D$4,$E$7,$E$8,$E$9,$E$10,$E$12,$D62,$E$6,BS$18,BS$17)</f>
        <v>-1.6225882525955904</v>
      </c>
      <c r="BT62" s="16">
        <f ca="1">_xll.DBRW($D$4,$E$7,$E$8,$E$9,$E$10,$E$12,$D62,$E$6,BT$18,BT$17)</f>
        <v>0.13311460184759535</v>
      </c>
      <c r="BU62" s="16"/>
      <c r="BV62" s="16"/>
      <c r="BW62" s="16"/>
      <c r="BX62" s="16"/>
      <c r="BY62" s="16">
        <f ca="1">_xll.DBRW($D$4,$E$7,$E$8,$E$9,$E$10,$E$12,$D62,$E$6,BY$18,BY$17)</f>
        <v>-1.2876017534554394</v>
      </c>
      <c r="BZ62" s="16">
        <f ca="1">_xll.DBRW($D$4,$E$7,$E$8,$E$9,$E$10,$E$12,$D62,$E$6,BZ$18,BZ$17)</f>
        <v>0.10563283351479151</v>
      </c>
      <c r="CA62" s="16"/>
      <c r="CB62" s="16"/>
      <c r="CC62" s="16"/>
      <c r="CD62" s="16"/>
      <c r="CE62" s="16">
        <f ca="1">_xll.DBRW($D$4,$E$7,$E$8,$E$9,$E$10,$E$12,$D62,$E$6,CE$18,CE$17)</f>
        <v>-1.4497981246042828</v>
      </c>
      <c r="CF62" s="16">
        <f ca="1">_xll.DBRW($D$4,$E$7,$E$8,$E$9,$E$10,$E$12,$D62,$E$6,CF$18,CF$17)</f>
        <v>0.11893917006201185</v>
      </c>
      <c r="CG62" s="16"/>
      <c r="CH62" s="16"/>
      <c r="CI62" s="16"/>
      <c r="CJ62" s="16"/>
      <c r="CK62" s="16">
        <f ca="1">_xll.DBRW($D$4,$E$7,$E$8,$E$9,$E$10,$E$12,$D62,$E$6,CK$18,CK$17)</f>
        <v>-2.0516422563190773</v>
      </c>
      <c r="CL62" s="16">
        <f ca="1">_xll.DBRW($D$4,$E$7,$E$8,$E$9,$E$10,$E$12,$D62,$E$6,CL$18,CL$17)</f>
        <v>0.16831352109615191</v>
      </c>
      <c r="CM62" s="16"/>
      <c r="CN62" s="16"/>
      <c r="CO62" s="16"/>
      <c r="CP62" s="16"/>
      <c r="CQ62" s="16">
        <f ca="1">_xll.DBRW($D$4,$E$7,$E$8,$E$9,$E$10,$E$12,$D62,$E$6,CQ$18,CQ$17)</f>
        <v>0.21432870483720382</v>
      </c>
      <c r="CR62" s="16">
        <f ca="1">_xll.DBRW($D$4,$E$7,$E$8,$E$9,$E$10,$E$12,$D62,$E$6,CR$18,CR$17)</f>
        <v>5.0532020659250003</v>
      </c>
      <c r="CS62" s="16">
        <f ca="1">_xll.DBRW($D$4,$E$7,$E$8,$E$9,$E$10,$E$12,$D62,$E$6,CS$18,CS$17)</f>
        <v>5.0532020659250003</v>
      </c>
      <c r="CT62" s="16">
        <f ca="1">_xll.DBRW($D$4,$E$7,$E$8,$E$9,$E$10,$E$12,$D62,$E$6,CT$18,CT$17)</f>
        <v>5.0532020659250003</v>
      </c>
      <c r="CU62" s="16">
        <f ca="1">_xll.DBRW($D$4,$E$7,$E$8,$E$9,$E$10,$E$12,$D62,$E$6,CU$18,CU$17)</f>
        <v>1.5449967055960596</v>
      </c>
      <c r="CV62" s="16">
        <f ca="1">_xll.DBRW($D$4,$E$7,$E$8,$E$9,$E$10,$E$12,$D62,$E$6,CV$18,CV$17)</f>
        <v>5.0532020659250003</v>
      </c>
      <c r="CW62" s="16">
        <f ca="1">_xll.DBRW($D$4,$E$7,$E$8,$E$9,$E$10,$E$12,$D62,$E$6,CW$18,CW$17)</f>
        <v>3.4747608759999999</v>
      </c>
      <c r="CX62" s="16">
        <f ca="1">_xll.DBRW($D$4,$E$7,$E$8,$E$9,$E$10,$E$12,$D62,$E$6,CX$18,CX$17)</f>
        <v>5.0532020659250003</v>
      </c>
      <c r="CY62" s="16">
        <f ca="1">_xll.DBRW($D$4,$E$7,$E$8,$E$9,$E$10,$E$12,$D62,$E$6,CY$18,CY$17)</f>
        <v>5.0532020659250003</v>
      </c>
      <c r="CZ62" s="16">
        <f ca="1">_xll.DBRW($D$4,$E$7,$E$8,$E$9,$E$10,$E$12,$D62,$E$6,CZ$18,CZ$17)</f>
        <v>5.0532020659250003</v>
      </c>
      <c r="DA62" s="26">
        <f t="shared" ca="1" si="89"/>
        <v>-0.18636337604587772</v>
      </c>
      <c r="DB62" s="26">
        <f t="shared" ca="1" si="90"/>
        <v>8.5450267524953438E-2</v>
      </c>
      <c r="DC62" s="26">
        <f t="shared" ca="1" si="91"/>
        <v>0</v>
      </c>
      <c r="DD62" s="26">
        <f t="shared" ca="1" si="92"/>
        <v>0</v>
      </c>
      <c r="DE62" s="26">
        <f t="shared" ca="1" si="93"/>
        <v>0</v>
      </c>
      <c r="DF62" s="26">
        <f t="shared" ca="1" si="94"/>
        <v>0</v>
      </c>
      <c r="DG62" s="26">
        <f t="shared" ca="1" si="95"/>
        <v>0</v>
      </c>
      <c r="DH62" s="26">
        <f t="shared" ca="1" si="96"/>
        <v>-0.27181364357083115</v>
      </c>
      <c r="DI62" s="26">
        <f t="shared" ca="1" si="97"/>
        <v>-1.5678002001211429</v>
      </c>
      <c r="DJ62" s="26">
        <f t="shared" ca="1" si="98"/>
        <v>0.54340651957592234</v>
      </c>
      <c r="DK62" s="26">
        <f t="shared" ca="1" si="99"/>
        <v>1.929842625006617E-3</v>
      </c>
      <c r="DL62" s="26"/>
      <c r="DM62" s="26"/>
      <c r="DN62" s="26"/>
      <c r="DO62" s="26"/>
      <c r="DP62" s="26">
        <f t="shared" ca="1" si="100"/>
        <v>0.13773791259559065</v>
      </c>
      <c r="DQ62" s="26">
        <f t="shared" ca="1" si="101"/>
        <v>6.680644319575213E-3</v>
      </c>
      <c r="DR62" s="26"/>
      <c r="DS62" s="26"/>
      <c r="DT62" s="26"/>
      <c r="DU62" s="26"/>
      <c r="DV62" s="26">
        <f t="shared" ca="1" si="102"/>
        <v>6.6074683455439542E-2</v>
      </c>
      <c r="DW62" s="26">
        <f t="shared" ca="1" si="103"/>
        <v>9.3711321040685081E-3</v>
      </c>
      <c r="DX62" s="26"/>
      <c r="DY62" s="26"/>
      <c r="DZ62" s="26"/>
      <c r="EA62" s="26"/>
      <c r="EB62" s="26">
        <f t="shared" ca="1" si="104"/>
        <v>0.23596744460428276</v>
      </c>
      <c r="EC62" s="26">
        <f t="shared" ca="1" si="105"/>
        <v>-4.6598018693466692E-3</v>
      </c>
      <c r="ED62" s="26"/>
      <c r="EE62" s="26"/>
      <c r="EF62" s="26"/>
      <c r="EG62" s="26"/>
      <c r="EH62" s="26">
        <f t="shared" ca="1" si="106"/>
        <v>0.31279999631907729</v>
      </c>
      <c r="EI62" s="29">
        <f t="shared" ca="1" si="107"/>
        <v>-4.6055195324527509E-3</v>
      </c>
      <c r="EJ62" s="29"/>
      <c r="EK62" s="29"/>
      <c r="EL62" s="29"/>
      <c r="EM62" s="29"/>
      <c r="EN62" s="93"/>
      <c r="EO62" s="29"/>
      <c r="EP62" s="29"/>
      <c r="EQ62" s="29"/>
      <c r="ER62" s="29"/>
      <c r="ES62" s="29"/>
      <c r="ET62" s="29"/>
      <c r="EU62" s="93"/>
      <c r="EV62" s="29"/>
      <c r="EW62" s="29"/>
      <c r="EX62" s="29"/>
      <c r="EY62" s="29"/>
      <c r="EZ62" s="29"/>
      <c r="FA62" s="29"/>
      <c r="FB62" s="93"/>
      <c r="FC62" s="29"/>
      <c r="FD62" s="29"/>
      <c r="FE62" s="29"/>
      <c r="FF62" s="29"/>
      <c r="FG62" s="29"/>
      <c r="FH62" s="29"/>
      <c r="FI62" s="93"/>
      <c r="FJ62" s="29"/>
      <c r="FK62" s="29"/>
      <c r="FL62" s="29"/>
      <c r="FM62" s="29"/>
      <c r="FN62" s="29"/>
      <c r="FO62" s="29"/>
      <c r="FP62" s="93"/>
      <c r="FQ62" s="29"/>
      <c r="FR62" s="29"/>
      <c r="FS62" s="29"/>
      <c r="FT62" s="29"/>
      <c r="FU62" s="29"/>
      <c r="FV62" s="29"/>
    </row>
    <row r="63" spans="1:178" x14ac:dyDescent="0.25">
      <c r="A63" t="str">
        <f ca="1">IF(_xll.TM1RPTELISCONSOLIDATED($D$28,$D63),IF(_xll.TM1RPTELLEV($D$28,$D63)&lt;=3,_xll.TM1RPTELLEV($D$28,$D63),"D"),"N")</f>
        <v>N</v>
      </c>
      <c r="B63" t="str">
        <f ca="1">_xll.DBRA(Server&amp;"Management_organization",$D63,$B$27)</f>
        <v>L</v>
      </c>
      <c r="C63">
        <v>1</v>
      </c>
      <c r="D63" s="2" t="s">
        <v>108</v>
      </c>
      <c r="E63" s="26"/>
      <c r="F63" s="26"/>
      <c r="G63" s="16">
        <f ca="1">_xll.DBRW($D$4,$E$7,$E$8,$E$9,$E$10,$E$12,$D63,$E$6,G$18,G$17)</f>
        <v>-0.14381426000000208</v>
      </c>
      <c r="H63" s="16">
        <f ca="1">_xll.DBRW($D$4,$E$7,$E$8,$E$9,$E$10,$E$12,$D63,$E$6,H$18,H$17)</f>
        <v>-0.69828732999999998</v>
      </c>
      <c r="I63" s="16">
        <f ca="1">_xll.DBRW($D$4,$E$7,$E$8,$E$9,$E$10,$E$12,$D63,$E$6,I$18,I$17)</f>
        <v>0</v>
      </c>
      <c r="J63" s="26">
        <f ca="1">_xll.DBRW($D$4,$E$7,$E$8,$E$9,$E$10,$E$12,$D63,$E$6,J$18,J$17)</f>
        <v>0</v>
      </c>
      <c r="K63" s="26">
        <f ca="1">_xll.DBRW($D$4,$E$7,$E$8,$E$9,$E$10,$E$12,$D63,$E$6,K$18,K$17)</f>
        <v>0</v>
      </c>
      <c r="L63" s="26">
        <f ca="1">_xll.DBRW($D$4,$E$7,$E$8,$E$9,$E$10,$E$12,$D63,$E$6,L$18,L$17)</f>
        <v>0</v>
      </c>
      <c r="M63" s="26">
        <f ca="1">_xll.DBRW($D$4,$E$7,$E$8,$E$9,$E$10,$E$12,$D63,$E$6,M$18,M$17)</f>
        <v>0</v>
      </c>
      <c r="N63" s="16">
        <f ca="1">_xll.DBRW($D$4,$E$7,$E$8,$E$9,$E$10,$E$12,$D63,$E$6,N$18,N$17)</f>
        <v>0.5544730699999979</v>
      </c>
      <c r="O63" s="16">
        <f ca="1">_xll.DBRW($D$4,$E$7,$E$8,$E$9,$E$10,$E$12,$D63,$E$6,O$18,O$17)</f>
        <v>6.0709379999999982</v>
      </c>
      <c r="P63" s="74">
        <f ca="1">_xll.DBRW($D$4,$E$7,$E$8,$E$9,$E$10,$E$12,$D63,$E$6,P$18,P$17)</f>
        <v>-2.7609064500000002</v>
      </c>
      <c r="Q63" s="16">
        <f ca="1">_xll.DBRW($D$4,$E$7,$E$8,$E$9,$E$10,$E$12,$D63,$E$6,Q$18,Q$17)</f>
        <v>0.45477427870289583</v>
      </c>
      <c r="R63" s="16"/>
      <c r="S63" s="16"/>
      <c r="T63" s="16"/>
      <c r="U63" s="16"/>
      <c r="V63" s="16">
        <f ca="1">_xll.DBRW($D$4,$E$7,$E$8,$E$9,$E$10,$E$12,$D63,$E$6,V$18,V$17)</f>
        <v>-0.54493321000000006</v>
      </c>
      <c r="W63" s="16">
        <f ca="1">_xll.DBRW($D$4,$E$7,$E$8,$E$9,$E$10,$E$12,$D63,$E$6,W$18,W$17)</f>
        <v>8.9760957861865859E-2</v>
      </c>
      <c r="X63" s="16"/>
      <c r="Y63" s="16"/>
      <c r="Z63" s="16"/>
      <c r="AA63" s="16"/>
      <c r="AB63" s="16">
        <f ca="1">_xll.DBRW($D$4,$E$7,$E$8,$E$9,$E$10,$E$12,$D63,$E$6,AB$18,AB$17)</f>
        <v>-0.45155466000000005</v>
      </c>
      <c r="AC63" s="16">
        <f ca="1">_xll.DBRW($D$4,$E$7,$E$8,$E$9,$E$10,$E$12,$D63,$E$6,AC$18,AC$17)</f>
        <v>7.437971858714422E-2</v>
      </c>
      <c r="AD63" s="16"/>
      <c r="AE63" s="16"/>
      <c r="AF63" s="16"/>
      <c r="AG63" s="16"/>
      <c r="AH63" s="16">
        <f ca="1">_xll.DBRW($D$4,$E$7,$E$8,$E$9,$E$10,$E$12,$D63,$E$6,AH$18,AH$17)</f>
        <v>-0.22522052000000001</v>
      </c>
      <c r="AI63" s="16">
        <f ca="1">_xll.DBRW($D$4,$E$7,$E$8,$E$9,$E$10,$E$12,$D63,$E$6,AI$18,AI$17)</f>
        <v>3.7098142000461888E-2</v>
      </c>
      <c r="AJ63" s="16"/>
      <c r="AK63" s="16"/>
      <c r="AL63" s="16"/>
      <c r="AM63" s="16"/>
      <c r="AN63" s="16">
        <f ca="1">_xll.DBRW($D$4,$E$7,$E$8,$E$9,$E$10,$E$12,$D63,$E$6,AN$18,AN$17)</f>
        <v>-1.5338500899999998</v>
      </c>
      <c r="AO63" s="16">
        <f ca="1">_xll.DBRW($D$4,$E$7,$E$8,$E$9,$E$10,$E$12,$D63,$E$6,AO$18,AO$17)</f>
        <v>0.25265454695798251</v>
      </c>
      <c r="AP63" s="16"/>
      <c r="AQ63" s="16"/>
      <c r="AR63" s="16"/>
      <c r="AS63" s="16"/>
      <c r="AT63" s="16">
        <f ca="1">_xll.DBRW($D$4,$E$7,$E$8,$E$9,$E$10,$E$12,$D63,$E$6,AT$18,AT$17)</f>
        <v>0.11691291599999998</v>
      </c>
      <c r="AU63" s="16">
        <f ca="1">_xll.DBRW($D$4,$E$7,$E$8,$E$9,$E$10,$E$12,$D63,$E$6,AU$18,AU$17)</f>
        <v>1.351213</v>
      </c>
      <c r="AV63" s="16">
        <f ca="1">_xll.DBRW($D$4,$E$7,$E$8,$E$9,$E$10,$E$12,$D63,$E$6,AV$18,AV$17)</f>
        <v>1.351213</v>
      </c>
      <c r="AW63" s="16">
        <f ca="1">_xll.DBRW($D$4,$E$7,$E$8,$E$9,$E$10,$E$12,$D63,$E$6,AW$18,AW$17)</f>
        <v>1.351213</v>
      </c>
      <c r="AX63" s="16">
        <f ca="1">_xll.DBRW($D$4,$E$7,$E$8,$E$9,$E$10,$E$12,$D63,$E$6,AX$18,AX$17)</f>
        <v>0.49584759999999994</v>
      </c>
      <c r="AY63" s="16">
        <f ca="1">_xll.DBRW($D$4,$E$7,$E$8,$E$9,$E$10,$E$12,$D63,$E$6,AY$18,AY$17)</f>
        <v>1.351213</v>
      </c>
      <c r="AZ63" s="16">
        <f ca="1">_xll.DBRW($D$4,$E$7,$E$8,$E$9,$E$10,$E$12,$D63,$E$6,AZ$18,AZ$17)</f>
        <v>1.2517590000000001</v>
      </c>
      <c r="BA63" s="16">
        <f ca="1">_xll.DBRW($D$4,$E$7,$E$8,$E$9,$E$10,$E$12,$D63,$E$6,BA$18,BA$17)</f>
        <v>1.351213</v>
      </c>
      <c r="BB63" s="16">
        <f ca="1">_xll.DBRW($D$4,$E$7,$E$8,$E$9,$E$10,$E$12,$D63,$E$6,BB$18,BB$17)</f>
        <v>1.351213</v>
      </c>
      <c r="BC63" s="16">
        <f ca="1">_xll.DBRW($D$4,$E$7,$E$8,$E$9,$E$10,$E$12,$D63,$E$6,BC$18,BC$17)</f>
        <v>1.351213</v>
      </c>
      <c r="BD63" s="16">
        <f ca="1">_xll.DBRW($D$4,$E$7,$E$8,$E$9,$E$10,$E$12,$D63,$E$6,BD$18,BD$17)</f>
        <v>-0.28464055718529652</v>
      </c>
      <c r="BE63" s="16">
        <f ca="1">_xll.DBRW($D$4,$E$7,$E$8,$E$9,$E$10,$E$12,$D63,$E$6,BE$18,BE$17)</f>
        <v>-0.74030513398072229</v>
      </c>
      <c r="BF63" s="16">
        <f ca="1">_xll.DBRW($D$4,$E$7,$E$8,$E$9,$E$10,$E$12,$D63,$E$6,BF$18,BF$17)</f>
        <v>0</v>
      </c>
      <c r="BG63" s="26">
        <f ca="1">_xll.DBRW($D$4,$E$7,$E$8,$E$9,$E$10,$E$12,$D63,$E$6,BG$18,BG$17)</f>
        <v>0</v>
      </c>
      <c r="BH63" s="26">
        <f ca="1">_xll.DBRW($D$4,$E$7,$E$8,$E$9,$E$10,$E$12,$D63,$E$6,BH$18,BH$17)</f>
        <v>0</v>
      </c>
      <c r="BI63" s="26">
        <f ca="1">_xll.DBRW($D$4,$E$7,$E$8,$E$9,$E$10,$E$12,$D63,$E$6,BI$18,BI$17)</f>
        <v>0</v>
      </c>
      <c r="BJ63" s="26">
        <f ca="1">_xll.DBRW($D$4,$E$7,$E$8,$E$9,$E$10,$E$12,$D63,$E$6,BJ$18,BJ$17)</f>
        <v>0</v>
      </c>
      <c r="BK63" s="16">
        <f ca="1">_xll.DBRW($D$4,$E$7,$E$8,$E$9,$E$10,$E$12,$D63,$E$6,BK$18,BK$17)</f>
        <v>0.45566457679542566</v>
      </c>
      <c r="BL63" s="16">
        <f ca="1">_xll.DBRW($D$4,$E$7,$E$8,$E$9,$E$10,$E$12,$D63,$E$6,BL$18,BL$17)</f>
        <v>6.6790414378943428</v>
      </c>
      <c r="BM63" s="16">
        <f ca="1">_xll.DBRW($D$4,$E$7,$E$8,$E$9,$E$10,$E$12,$D63,$E$6,BM$18,BM$17)</f>
        <v>-3.1601724747948148</v>
      </c>
      <c r="BN63" s="16">
        <f ca="1">_xll.DBRW($D$4,$E$7,$E$8,$E$9,$E$10,$E$12,$D63,$E$6,BN$18,BN$17)</f>
        <v>0.47314760720980065</v>
      </c>
      <c r="BO63" s="16"/>
      <c r="BP63" s="16"/>
      <c r="BQ63" s="16"/>
      <c r="BR63" s="16"/>
      <c r="BS63" s="16">
        <f ca="1">_xll.DBRW($D$4,$E$7,$E$8,$E$9,$E$10,$E$12,$D63,$E$6,BS$18,BS$17)</f>
        <v>-0.56706276611805928</v>
      </c>
      <c r="BT63" s="16">
        <f ca="1">_xll.DBRW($D$4,$E$7,$E$8,$E$9,$E$10,$E$12,$D63,$E$6,BT$18,BT$17)</f>
        <v>8.4901818829983697E-2</v>
      </c>
      <c r="BU63" s="16"/>
      <c r="BV63" s="16"/>
      <c r="BW63" s="16"/>
      <c r="BX63" s="16"/>
      <c r="BY63" s="16">
        <f ca="1">_xll.DBRW($D$4,$E$7,$E$8,$E$9,$E$10,$E$12,$D63,$E$6,BY$18,BY$17)</f>
        <v>-0.43803078249068589</v>
      </c>
      <c r="BZ63" s="16">
        <f ca="1">_xll.DBRW($D$4,$E$7,$E$8,$E$9,$E$10,$E$12,$D63,$E$6,BZ$18,BZ$17)</f>
        <v>6.5582881400535364E-2</v>
      </c>
      <c r="CA63" s="16"/>
      <c r="CB63" s="16"/>
      <c r="CC63" s="16"/>
      <c r="CD63" s="16"/>
      <c r="CE63" s="16">
        <f ca="1">_xll.DBRW($D$4,$E$7,$E$8,$E$9,$E$10,$E$12,$D63,$E$6,CE$18,CE$17)</f>
        <v>-0.26351450095238094</v>
      </c>
      <c r="CF63" s="16">
        <f ca="1">_xll.DBRW($D$4,$E$7,$E$8,$E$9,$E$10,$E$12,$D63,$E$6,CF$18,CF$17)</f>
        <v>3.9453940120404075E-2</v>
      </c>
      <c r="CG63" s="16"/>
      <c r="CH63" s="16"/>
      <c r="CI63" s="16"/>
      <c r="CJ63" s="16"/>
      <c r="CK63" s="16">
        <f ca="1">_xll.DBRW($D$4,$E$7,$E$8,$E$9,$E$10,$E$12,$D63,$E$6,CK$18,CK$17)</f>
        <v>-1.7945963367429767</v>
      </c>
      <c r="CL63" s="16">
        <f ca="1">_xll.DBRW($D$4,$E$7,$E$8,$E$9,$E$10,$E$12,$D63,$E$6,CL$18,CL$17)</f>
        <v>0.26869070261506678</v>
      </c>
      <c r="CM63" s="16"/>
      <c r="CN63" s="16"/>
      <c r="CO63" s="16"/>
      <c r="CP63" s="16"/>
      <c r="CQ63" s="16">
        <f ca="1">_xll.DBRW($D$4,$E$7,$E$8,$E$9,$E$10,$E$12,$D63,$E$6,CQ$18,CQ$17)</f>
        <v>0.13218072609610801</v>
      </c>
      <c r="CR63" s="16">
        <f ca="1">_xll.DBRW($D$4,$E$7,$E$8,$E$9,$E$10,$E$12,$D63,$E$6,CR$18,CR$17)</f>
        <v>1.5567730531420003</v>
      </c>
      <c r="CS63" s="16">
        <f ca="1">_xll.DBRW($D$4,$E$7,$E$8,$E$9,$E$10,$E$12,$D63,$E$6,CS$18,CS$17)</f>
        <v>1.5567730531420003</v>
      </c>
      <c r="CT63" s="16">
        <f ca="1">_xll.DBRW($D$4,$E$7,$E$8,$E$9,$E$10,$E$12,$D63,$E$6,CT$18,CT$17)</f>
        <v>1.5567730531420003</v>
      </c>
      <c r="CU63" s="16">
        <f ca="1">_xll.DBRW($D$4,$E$7,$E$8,$E$9,$E$10,$E$12,$D63,$E$6,CU$18,CU$17)</f>
        <v>0.54747198053596002</v>
      </c>
      <c r="CV63" s="16">
        <f ca="1">_xll.DBRW($D$4,$E$7,$E$8,$E$9,$E$10,$E$12,$D63,$E$6,CV$18,CV$17)</f>
        <v>1.5567730531420003</v>
      </c>
      <c r="CW63" s="16">
        <f ca="1">_xll.DBRW($D$4,$E$7,$E$8,$E$9,$E$10,$E$12,$D63,$E$6,CW$18,CW$17)</f>
        <v>1.4387597590000001</v>
      </c>
      <c r="CX63" s="16">
        <f ca="1">_xll.DBRW($D$4,$E$7,$E$8,$E$9,$E$10,$E$12,$D63,$E$6,CX$18,CX$17)</f>
        <v>1.5567730531420003</v>
      </c>
      <c r="CY63" s="16">
        <f ca="1">_xll.DBRW($D$4,$E$7,$E$8,$E$9,$E$10,$E$12,$D63,$E$6,CY$18,CY$17)</f>
        <v>1.5567730531420003</v>
      </c>
      <c r="CZ63" s="16">
        <f ca="1">_xll.DBRW($D$4,$E$7,$E$8,$E$9,$E$10,$E$12,$D63,$E$6,CZ$18,CZ$17)</f>
        <v>1.5567730531420003</v>
      </c>
      <c r="DA63" s="26">
        <f t="shared" ca="1" si="89"/>
        <v>0.14082629718529444</v>
      </c>
      <c r="DB63" s="26">
        <f t="shared" ca="1" si="90"/>
        <v>4.2017803980722301E-2</v>
      </c>
      <c r="DC63" s="26">
        <f t="shared" ca="1" si="91"/>
        <v>0</v>
      </c>
      <c r="DD63" s="26">
        <f t="shared" ca="1" si="92"/>
        <v>0</v>
      </c>
      <c r="DE63" s="26">
        <f t="shared" ca="1" si="93"/>
        <v>0</v>
      </c>
      <c r="DF63" s="26">
        <f t="shared" ca="1" si="94"/>
        <v>0</v>
      </c>
      <c r="DG63" s="26">
        <f t="shared" ca="1" si="95"/>
        <v>0</v>
      </c>
      <c r="DH63" s="26">
        <f t="shared" ca="1" si="96"/>
        <v>9.8808493204572245E-2</v>
      </c>
      <c r="DI63" s="26">
        <f t="shared" ca="1" si="97"/>
        <v>-0.60810343789434462</v>
      </c>
      <c r="DJ63" s="26">
        <f t="shared" ca="1" si="98"/>
        <v>0.39926602479481454</v>
      </c>
      <c r="DK63" s="26">
        <f t="shared" ca="1" si="99"/>
        <v>-1.8373328506904818E-2</v>
      </c>
      <c r="DL63" s="26"/>
      <c r="DM63" s="26"/>
      <c r="DN63" s="26"/>
      <c r="DO63" s="26"/>
      <c r="DP63" s="26">
        <f t="shared" ca="1" si="100"/>
        <v>2.2129556118059224E-2</v>
      </c>
      <c r="DQ63" s="26">
        <f t="shared" ca="1" si="101"/>
        <v>4.859139031882162E-3</v>
      </c>
      <c r="DR63" s="26"/>
      <c r="DS63" s="26"/>
      <c r="DT63" s="26"/>
      <c r="DU63" s="26"/>
      <c r="DV63" s="26">
        <f t="shared" ca="1" si="102"/>
        <v>-1.3523877509314164E-2</v>
      </c>
      <c r="DW63" s="26">
        <f t="shared" ca="1" si="103"/>
        <v>8.7968371866088552E-3</v>
      </c>
      <c r="DX63" s="26"/>
      <c r="DY63" s="26"/>
      <c r="DZ63" s="26"/>
      <c r="EA63" s="26"/>
      <c r="EB63" s="26">
        <f t="shared" ca="1" si="104"/>
        <v>3.8293980952380929E-2</v>
      </c>
      <c r="EC63" s="26">
        <f t="shared" ca="1" si="105"/>
        <v>-2.3557981199421874E-3</v>
      </c>
      <c r="ED63" s="26"/>
      <c r="EE63" s="26"/>
      <c r="EF63" s="26"/>
      <c r="EG63" s="26"/>
      <c r="EH63" s="26">
        <f t="shared" ca="1" si="106"/>
        <v>0.26074624674297686</v>
      </c>
      <c r="EI63" s="29">
        <f t="shared" ca="1" si="107"/>
        <v>-1.6036155657084272E-2</v>
      </c>
      <c r="EJ63" s="29"/>
      <c r="EK63" s="29"/>
      <c r="EL63" s="29"/>
      <c r="EM63" s="29"/>
      <c r="EN63" s="93"/>
      <c r="EO63" s="29"/>
      <c r="EP63" s="29"/>
      <c r="EQ63" s="29"/>
      <c r="ER63" s="29"/>
      <c r="ES63" s="29"/>
      <c r="ET63" s="29"/>
      <c r="EU63" s="93"/>
      <c r="EV63" s="29"/>
      <c r="EW63" s="29"/>
      <c r="EX63" s="29"/>
      <c r="EY63" s="29"/>
      <c r="EZ63" s="29"/>
      <c r="FA63" s="29"/>
      <c r="FB63" s="93"/>
      <c r="FC63" s="29"/>
      <c r="FD63" s="29"/>
      <c r="FE63" s="29"/>
      <c r="FF63" s="29"/>
      <c r="FG63" s="29"/>
      <c r="FH63" s="29"/>
      <c r="FI63" s="93"/>
      <c r="FJ63" s="29"/>
      <c r="FK63" s="29"/>
      <c r="FL63" s="29"/>
      <c r="FM63" s="29"/>
      <c r="FN63" s="29"/>
      <c r="FO63" s="29"/>
      <c r="FP63" s="93"/>
      <c r="FQ63" s="29"/>
      <c r="FR63" s="29"/>
      <c r="FS63" s="29"/>
      <c r="FT63" s="29"/>
      <c r="FU63" s="29"/>
      <c r="FV63" s="29"/>
    </row>
    <row r="64" spans="1:178" x14ac:dyDescent="0.25">
      <c r="A64" t="str">
        <f ca="1">IF(_xll.TM1RPTELISCONSOLIDATED($D$28,$D64),IF(_xll.TM1RPTELLEV($D$28,$D64)&lt;=3,_xll.TM1RPTELLEV($D$28,$D64),"D"),"N")</f>
        <v>N</v>
      </c>
      <c r="B64" t="str">
        <f ca="1">_xll.DBRA(Server&amp;"Management_organization",$D64,$B$27)</f>
        <v>L</v>
      </c>
      <c r="C64">
        <v>1</v>
      </c>
      <c r="D64" s="2" t="s">
        <v>109</v>
      </c>
      <c r="E64" s="26"/>
      <c r="F64" s="26"/>
      <c r="G64" s="16">
        <f ca="1">_xll.DBRW($D$4,$E$7,$E$8,$E$9,$E$10,$E$12,$D64,$E$6,G$18,G$17)</f>
        <v>0.24838172999999908</v>
      </c>
      <c r="H64" s="16">
        <f ca="1">_xll.DBRW($D$4,$E$7,$E$8,$E$9,$E$10,$E$12,$D64,$E$6,H$18,H$17)</f>
        <v>-0.29764987999999998</v>
      </c>
      <c r="I64" s="16">
        <f ca="1">_xll.DBRW($D$4,$E$7,$E$8,$E$9,$E$10,$E$12,$D64,$E$6,I$18,I$17)</f>
        <v>0</v>
      </c>
      <c r="J64" s="26">
        <f ca="1">_xll.DBRW($D$4,$E$7,$E$8,$E$9,$E$10,$E$12,$D64,$E$6,J$18,J$17)</f>
        <v>0</v>
      </c>
      <c r="K64" s="26">
        <f ca="1">_xll.DBRW($D$4,$E$7,$E$8,$E$9,$E$10,$E$12,$D64,$E$6,K$18,K$17)</f>
        <v>0</v>
      </c>
      <c r="L64" s="26">
        <f ca="1">_xll.DBRW($D$4,$E$7,$E$8,$E$9,$E$10,$E$12,$D64,$E$6,L$18,L$17)</f>
        <v>0</v>
      </c>
      <c r="M64" s="26">
        <f ca="1">_xll.DBRW($D$4,$E$7,$E$8,$E$9,$E$10,$E$12,$D64,$E$6,M$18,M$17)</f>
        <v>0</v>
      </c>
      <c r="N64" s="16">
        <f ca="1">_xll.DBRW($D$4,$E$7,$E$8,$E$9,$E$10,$E$12,$D64,$E$6,N$18,N$17)</f>
        <v>0.546031609999999</v>
      </c>
      <c r="O64" s="16">
        <f ca="1">_xll.DBRW($D$4,$E$7,$E$8,$E$9,$E$10,$E$12,$D64,$E$6,O$18,O$17)</f>
        <v>3.3091584799999998</v>
      </c>
      <c r="P64" s="74">
        <f ca="1">_xll.DBRW($D$4,$E$7,$E$8,$E$9,$E$10,$E$12,$D64,$E$6,P$18,P$17)</f>
        <v>-1.32162936</v>
      </c>
      <c r="Q64" s="16">
        <f ca="1">_xll.DBRW($D$4,$E$7,$E$8,$E$9,$E$10,$E$12,$D64,$E$6,Q$18,Q$17)</f>
        <v>0.39938533255137421</v>
      </c>
      <c r="R64" s="16"/>
      <c r="S64" s="16"/>
      <c r="T64" s="16"/>
      <c r="U64" s="16"/>
      <c r="V64" s="16">
        <f ca="1">_xll.DBRW($D$4,$E$7,$E$8,$E$9,$E$10,$E$12,$D64,$E$6,V$18,V$17)</f>
        <v>-0.28815246999999994</v>
      </c>
      <c r="W64" s="16">
        <f ca="1">_xll.DBRW($D$4,$E$7,$E$8,$E$9,$E$10,$E$12,$D64,$E$6,W$18,W$17)</f>
        <v>8.7077265033253998E-2</v>
      </c>
      <c r="X64" s="16"/>
      <c r="Y64" s="16"/>
      <c r="Z64" s="16"/>
      <c r="AA64" s="16"/>
      <c r="AB64" s="16">
        <f ca="1">_xll.DBRW($D$4,$E$7,$E$8,$E$9,$E$10,$E$12,$D64,$E$6,AB$18,AB$17)</f>
        <v>-0.23773555999999996</v>
      </c>
      <c r="AC64" s="16">
        <f ca="1">_xll.DBRW($D$4,$E$7,$E$8,$E$9,$E$10,$E$12,$D64,$E$6,AC$18,AC$17)</f>
        <v>7.1841696744605582E-2</v>
      </c>
      <c r="AD64" s="16"/>
      <c r="AE64" s="16"/>
      <c r="AF64" s="16"/>
      <c r="AG64" s="16"/>
      <c r="AH64" s="16">
        <f ca="1">_xll.DBRW($D$4,$E$7,$E$8,$E$9,$E$10,$E$12,$D64,$E$6,AH$18,AH$17)</f>
        <v>-0.29519327000000006</v>
      </c>
      <c r="AI64" s="16">
        <f ca="1">_xll.DBRW($D$4,$E$7,$E$8,$E$9,$E$10,$E$12,$D64,$E$6,AI$18,AI$17)</f>
        <v>8.9204935872397403E-2</v>
      </c>
      <c r="AJ64" s="16"/>
      <c r="AK64" s="16"/>
      <c r="AL64" s="16"/>
      <c r="AM64" s="16"/>
      <c r="AN64" s="16">
        <f ca="1">_xll.DBRW($D$4,$E$7,$E$8,$E$9,$E$10,$E$12,$D64,$E$6,AN$18,AN$17)</f>
        <v>-0.62041621000000013</v>
      </c>
      <c r="AO64" s="16">
        <f ca="1">_xll.DBRW($D$4,$E$7,$E$8,$E$9,$E$10,$E$12,$D64,$E$6,AO$18,AO$17)</f>
        <v>0.18748458671583482</v>
      </c>
      <c r="AP64" s="16"/>
      <c r="AQ64" s="16"/>
      <c r="AR64" s="16"/>
      <c r="AS64" s="16"/>
      <c r="AT64" s="16">
        <f ca="1">_xll.DBRW($D$4,$E$7,$E$8,$E$9,$E$10,$E$12,$D64,$E$6,AT$18,AT$17)</f>
        <v>5.4956050000000006E-2</v>
      </c>
      <c r="AU64" s="16">
        <f ca="1">_xll.DBRW($D$4,$E$7,$E$8,$E$9,$E$10,$E$12,$D64,$E$6,AU$18,AU$17)</f>
        <v>0.69960699999999987</v>
      </c>
      <c r="AV64" s="16">
        <f ca="1">_xll.DBRW($D$4,$E$7,$E$8,$E$9,$E$10,$E$12,$D64,$E$6,AV$18,AV$17)</f>
        <v>0.69960699999999987</v>
      </c>
      <c r="AW64" s="16">
        <f ca="1">_xll.DBRW($D$4,$E$7,$E$8,$E$9,$E$10,$E$12,$D64,$E$6,AW$18,AW$17)</f>
        <v>0.69960699999999987</v>
      </c>
      <c r="AX64" s="16">
        <f ca="1">_xll.DBRW($D$4,$E$7,$E$8,$E$9,$E$10,$E$12,$D64,$E$6,AX$18,AX$17)</f>
        <v>0.24543492999999997</v>
      </c>
      <c r="AY64" s="16">
        <f ca="1">_xll.DBRW($D$4,$E$7,$E$8,$E$9,$E$10,$E$12,$D64,$E$6,AY$18,AY$17)</f>
        <v>0.69960699999999987</v>
      </c>
      <c r="AZ64" s="16">
        <f ca="1">_xll.DBRW($D$4,$E$7,$E$8,$E$9,$E$10,$E$12,$D64,$E$6,AZ$18,AZ$17)</f>
        <v>0.52748244</v>
      </c>
      <c r="BA64" s="16">
        <f ca="1">_xll.DBRW($D$4,$E$7,$E$8,$E$9,$E$10,$E$12,$D64,$E$6,BA$18,BA$17)</f>
        <v>0.69960699999999987</v>
      </c>
      <c r="BB64" s="16">
        <f ca="1">_xll.DBRW($D$4,$E$7,$E$8,$E$9,$E$10,$E$12,$D64,$E$6,BB$18,BB$17)</f>
        <v>0.69960699999999987</v>
      </c>
      <c r="BC64" s="16">
        <f ca="1">_xll.DBRW($D$4,$E$7,$E$8,$E$9,$E$10,$E$12,$D64,$E$6,BC$18,BC$17)</f>
        <v>0.69960699999999987</v>
      </c>
      <c r="BD64" s="16">
        <f ca="1">_xll.DBRW($D$4,$E$7,$E$8,$E$9,$E$10,$E$12,$D64,$E$6,BD$18,BD$17)</f>
        <v>0.21343670312123161</v>
      </c>
      <c r="BE64" s="16">
        <f ca="1">_xll.DBRW($D$4,$E$7,$E$8,$E$9,$E$10,$E$12,$D64,$E$6,BE$18,BE$17)</f>
        <v>-0.320687048161447</v>
      </c>
      <c r="BF64" s="16">
        <f ca="1">_xll.DBRW($D$4,$E$7,$E$8,$E$9,$E$10,$E$12,$D64,$E$6,BF$18,BF$17)</f>
        <v>0</v>
      </c>
      <c r="BG64" s="26">
        <f ca="1">_xll.DBRW($D$4,$E$7,$E$8,$E$9,$E$10,$E$12,$D64,$E$6,BG$18,BG$17)</f>
        <v>0</v>
      </c>
      <c r="BH64" s="26">
        <f ca="1">_xll.DBRW($D$4,$E$7,$E$8,$E$9,$E$10,$E$12,$D64,$E$6,BH$18,BH$17)</f>
        <v>0</v>
      </c>
      <c r="BI64" s="26">
        <f ca="1">_xll.DBRW($D$4,$E$7,$E$8,$E$9,$E$10,$E$12,$D64,$E$6,BI$18,BI$17)</f>
        <v>0</v>
      </c>
      <c r="BJ64" s="26">
        <f ca="1">_xll.DBRW($D$4,$E$7,$E$8,$E$9,$E$10,$E$12,$D64,$E$6,BJ$18,BJ$17)</f>
        <v>0</v>
      </c>
      <c r="BK64" s="16">
        <f ca="1">_xll.DBRW($D$4,$E$7,$E$8,$E$9,$E$10,$E$12,$D64,$E$6,BK$18,BK$17)</f>
        <v>0.53412375128267864</v>
      </c>
      <c r="BL64" s="16">
        <f ca="1">_xll.DBRW($D$4,$E$7,$E$8,$E$9,$E$10,$E$12,$D64,$E$6,BL$18,BL$17)</f>
        <v>3.595806037534818</v>
      </c>
      <c r="BM64" s="16">
        <f ca="1">_xll.DBRW($D$4,$E$7,$E$8,$E$9,$E$10,$E$12,$D64,$E$6,BM$18,BM$17)</f>
        <v>-1.389410845087963</v>
      </c>
      <c r="BN64" s="16">
        <f ca="1">_xll.DBRW($D$4,$E$7,$E$8,$E$9,$E$10,$E$12,$D64,$E$6,BN$18,BN$17)</f>
        <v>0.38639760615133273</v>
      </c>
      <c r="BO64" s="16"/>
      <c r="BP64" s="16"/>
      <c r="BQ64" s="16"/>
      <c r="BR64" s="16"/>
      <c r="BS64" s="16">
        <f ca="1">_xll.DBRW($D$4,$E$7,$E$8,$E$9,$E$10,$E$12,$D64,$E$6,BS$18,BS$17)</f>
        <v>-0.29296685295738389</v>
      </c>
      <c r="BT64" s="16">
        <f ca="1">_xll.DBRW($D$4,$E$7,$E$8,$E$9,$E$10,$E$12,$D64,$E$6,BT$18,BT$17)</f>
        <v>8.1474598434745832E-2</v>
      </c>
      <c r="BU64" s="16"/>
      <c r="BV64" s="16"/>
      <c r="BW64" s="16"/>
      <c r="BX64" s="16"/>
      <c r="BY64" s="16">
        <f ca="1">_xll.DBRW($D$4,$E$7,$E$8,$E$9,$E$10,$E$12,$D64,$E$6,BY$18,BY$17)</f>
        <v>-0.22842814813070306</v>
      </c>
      <c r="BZ64" s="16">
        <f ca="1">_xll.DBRW($D$4,$E$7,$E$8,$E$9,$E$10,$E$12,$D64,$E$6,BZ$18,BZ$17)</f>
        <v>6.3526270812790248E-2</v>
      </c>
      <c r="CA64" s="16"/>
      <c r="CB64" s="16"/>
      <c r="CC64" s="16"/>
      <c r="CD64" s="16"/>
      <c r="CE64" s="16">
        <f ca="1">_xll.DBRW($D$4,$E$7,$E$8,$E$9,$E$10,$E$12,$D64,$E$6,CE$18,CE$17)</f>
        <v>-0.47359625999999999</v>
      </c>
      <c r="CF64" s="16">
        <f ca="1">_xll.DBRW($D$4,$E$7,$E$8,$E$9,$E$10,$E$12,$D64,$E$6,CF$18,CF$17)</f>
        <v>0.13170795506108113</v>
      </c>
      <c r="CG64" s="16"/>
      <c r="CH64" s="16"/>
      <c r="CI64" s="16"/>
      <c r="CJ64" s="16"/>
      <c r="CK64" s="16">
        <f ca="1">_xll.DBRW($D$4,$E$7,$E$8,$E$9,$E$10,$E$12,$D64,$E$6,CK$18,CK$17)</f>
        <v>-0.67728018007608926</v>
      </c>
      <c r="CL64" s="16">
        <f ca="1">_xll.DBRW($D$4,$E$7,$E$8,$E$9,$E$10,$E$12,$D64,$E$6,CL$18,CL$17)</f>
        <v>0.18835281241710503</v>
      </c>
      <c r="CM64" s="16"/>
      <c r="CN64" s="16"/>
      <c r="CO64" s="16"/>
      <c r="CP64" s="16"/>
      <c r="CQ64" s="16">
        <f ca="1">_xll.DBRW($D$4,$E$7,$E$8,$E$9,$E$10,$E$12,$D64,$E$6,CQ$18,CQ$17)</f>
        <v>5.9092954793121794E-2</v>
      </c>
      <c r="CR64" s="16">
        <f ca="1">_xll.DBRW($D$4,$E$7,$E$8,$E$9,$E$10,$E$12,$D64,$E$6,CR$18,CR$17)</f>
        <v>0.72854159920755501</v>
      </c>
      <c r="CS64" s="16">
        <f ca="1">_xll.DBRW($D$4,$E$7,$E$8,$E$9,$E$10,$E$12,$D64,$E$6,CS$18,CS$17)</f>
        <v>0.72854159920755501</v>
      </c>
      <c r="CT64" s="16">
        <f ca="1">_xll.DBRW($D$4,$E$7,$E$8,$E$9,$E$10,$E$12,$D64,$E$6,CT$18,CT$17)</f>
        <v>0.72854159920755501</v>
      </c>
      <c r="CU64" s="16">
        <f ca="1">_xll.DBRW($D$4,$E$7,$E$8,$E$9,$E$10,$E$12,$D64,$E$6,CU$18,CU$17)</f>
        <v>0.26205634341412903</v>
      </c>
      <c r="CV64" s="16">
        <f ca="1">_xll.DBRW($D$4,$E$7,$E$8,$E$9,$E$10,$E$12,$D64,$E$6,CV$18,CV$17)</f>
        <v>0.72854159920755501</v>
      </c>
      <c r="CW64" s="16">
        <f ca="1">_xll.DBRW($D$4,$E$7,$E$8,$E$9,$E$10,$E$12,$D64,$E$6,CW$18,CW$17)</f>
        <v>0.58255083533333296</v>
      </c>
      <c r="CX64" s="16">
        <f ca="1">_xll.DBRW($D$4,$E$7,$E$8,$E$9,$E$10,$E$12,$D64,$E$6,CX$18,CX$17)</f>
        <v>0.72854159920755501</v>
      </c>
      <c r="CY64" s="16">
        <f ca="1">_xll.DBRW($D$4,$E$7,$E$8,$E$9,$E$10,$E$12,$D64,$E$6,CY$18,CY$17)</f>
        <v>0.72854159920755501</v>
      </c>
      <c r="CZ64" s="16">
        <f ca="1">_xll.DBRW($D$4,$E$7,$E$8,$E$9,$E$10,$E$12,$D64,$E$6,CZ$18,CZ$17)</f>
        <v>0.72854159920755501</v>
      </c>
      <c r="DA64" s="26">
        <f t="shared" ca="1" si="89"/>
        <v>3.4945026878767466E-2</v>
      </c>
      <c r="DB64" s="26">
        <f t="shared" ca="1" si="90"/>
        <v>2.3037168161447019E-2</v>
      </c>
      <c r="DC64" s="26">
        <f t="shared" ca="1" si="91"/>
        <v>0</v>
      </c>
      <c r="DD64" s="26">
        <f t="shared" ca="1" si="92"/>
        <v>0</v>
      </c>
      <c r="DE64" s="26">
        <f t="shared" ca="1" si="93"/>
        <v>0</v>
      </c>
      <c r="DF64" s="26">
        <f t="shared" ca="1" si="94"/>
        <v>0</v>
      </c>
      <c r="DG64" s="26">
        <f t="shared" ca="1" si="95"/>
        <v>0</v>
      </c>
      <c r="DH64" s="26">
        <f t="shared" ca="1" si="96"/>
        <v>1.1907858717320363E-2</v>
      </c>
      <c r="DI64" s="26">
        <f t="shared" ca="1" si="97"/>
        <v>-0.28664755753481819</v>
      </c>
      <c r="DJ64" s="26">
        <f t="shared" ca="1" si="98"/>
        <v>6.7781485087963E-2</v>
      </c>
      <c r="DK64" s="26">
        <f t="shared" ca="1" si="99"/>
        <v>1.2987726400041477E-2</v>
      </c>
      <c r="DL64" s="26"/>
      <c r="DM64" s="26"/>
      <c r="DN64" s="26"/>
      <c r="DO64" s="26"/>
      <c r="DP64" s="26">
        <f t="shared" ca="1" si="100"/>
        <v>4.8143829573839558E-3</v>
      </c>
      <c r="DQ64" s="26">
        <f t="shared" ca="1" si="101"/>
        <v>5.6026665985081658E-3</v>
      </c>
      <c r="DR64" s="26"/>
      <c r="DS64" s="26"/>
      <c r="DT64" s="26"/>
      <c r="DU64" s="26"/>
      <c r="DV64" s="26">
        <f t="shared" ca="1" si="102"/>
        <v>-9.3074118692968999E-3</v>
      </c>
      <c r="DW64" s="26">
        <f t="shared" ca="1" si="103"/>
        <v>8.3154259318153345E-3</v>
      </c>
      <c r="DX64" s="26"/>
      <c r="DY64" s="26"/>
      <c r="DZ64" s="26"/>
      <c r="EA64" s="26"/>
      <c r="EB64" s="26">
        <f t="shared" ca="1" si="104"/>
        <v>0.17840298999999993</v>
      </c>
      <c r="EC64" s="26">
        <f t="shared" ca="1" si="105"/>
        <v>-4.2503019188683724E-2</v>
      </c>
      <c r="ED64" s="26"/>
      <c r="EE64" s="26"/>
      <c r="EF64" s="26"/>
      <c r="EG64" s="26"/>
      <c r="EH64" s="26">
        <f t="shared" ca="1" si="106"/>
        <v>5.6863970076089121E-2</v>
      </c>
      <c r="EI64" s="29">
        <f t="shared" ca="1" si="107"/>
        <v>-8.6822570127020882E-4</v>
      </c>
      <c r="EJ64" s="29"/>
      <c r="EK64" s="29"/>
      <c r="EL64" s="29"/>
      <c r="EM64" s="29"/>
      <c r="EN64" s="93"/>
      <c r="EO64" s="29"/>
      <c r="EP64" s="29"/>
      <c r="EQ64" s="29"/>
      <c r="ER64" s="29"/>
      <c r="ES64" s="29"/>
      <c r="ET64" s="29"/>
      <c r="EU64" s="93"/>
      <c r="EV64" s="29"/>
      <c r="EW64" s="29"/>
      <c r="EX64" s="29"/>
      <c r="EY64" s="29"/>
      <c r="EZ64" s="29"/>
      <c r="FA64" s="29"/>
      <c r="FB64" s="93"/>
      <c r="FC64" s="29"/>
      <c r="FD64" s="29"/>
      <c r="FE64" s="29"/>
      <c r="FF64" s="29"/>
      <c r="FG64" s="29"/>
      <c r="FH64" s="29"/>
      <c r="FI64" s="93"/>
      <c r="FJ64" s="29"/>
      <c r="FK64" s="29"/>
      <c r="FL64" s="29"/>
      <c r="FM64" s="29"/>
      <c r="FN64" s="29"/>
      <c r="FO64" s="29"/>
      <c r="FP64" s="93"/>
      <c r="FQ64" s="29"/>
      <c r="FR64" s="29"/>
      <c r="FS64" s="29"/>
      <c r="FT64" s="29"/>
      <c r="FU64" s="29"/>
      <c r="FV64" s="29"/>
    </row>
    <row r="65" spans="1:178" x14ac:dyDescent="0.25">
      <c r="A65" t="str">
        <f ca="1">IF(_xll.TM1RPTELISCONSOLIDATED($D$28,$D65),IF(_xll.TM1RPTELLEV($D$28,$D65)&lt;=3,_xll.TM1RPTELLEV($D$28,$D65),"D"),"N")</f>
        <v>N</v>
      </c>
      <c r="B65" t="str">
        <f ca="1">_xll.DBRA(Server&amp;"Management_organization",$D65,$B$27)</f>
        <v>L</v>
      </c>
      <c r="C65">
        <v>1</v>
      </c>
      <c r="D65" s="2" t="s">
        <v>110</v>
      </c>
      <c r="E65" s="26"/>
      <c r="F65" s="26"/>
      <c r="G65" s="16">
        <f ca="1">_xll.DBRW($D$4,$E$7,$E$8,$E$9,$E$10,$E$12,$D65,$E$6,G$18,G$17)</f>
        <v>0.34966600999999992</v>
      </c>
      <c r="H65" s="16">
        <f ca="1">_xll.DBRW($D$4,$E$7,$E$8,$E$9,$E$10,$E$12,$D65,$E$6,H$18,H$17)</f>
        <v>-0.48631733999999999</v>
      </c>
      <c r="I65" s="16">
        <f ca="1">_xll.DBRW($D$4,$E$7,$E$8,$E$9,$E$10,$E$12,$D65,$E$6,I$18,I$17)</f>
        <v>0</v>
      </c>
      <c r="J65" s="26">
        <f ca="1">_xll.DBRW($D$4,$E$7,$E$8,$E$9,$E$10,$E$12,$D65,$E$6,J$18,J$17)</f>
        <v>0</v>
      </c>
      <c r="K65" s="26">
        <f ca="1">_xll.DBRW($D$4,$E$7,$E$8,$E$9,$E$10,$E$12,$D65,$E$6,K$18,K$17)</f>
        <v>0</v>
      </c>
      <c r="L65" s="26">
        <f ca="1">_xll.DBRW($D$4,$E$7,$E$8,$E$9,$E$10,$E$12,$D65,$E$6,L$18,L$17)</f>
        <v>0</v>
      </c>
      <c r="M65" s="26">
        <f ca="1">_xll.DBRW($D$4,$E$7,$E$8,$E$9,$E$10,$E$12,$D65,$E$6,M$18,M$17)</f>
        <v>0</v>
      </c>
      <c r="N65" s="16">
        <f ca="1">_xll.DBRW($D$4,$E$7,$E$8,$E$9,$E$10,$E$12,$D65,$E$6,N$18,N$17)</f>
        <v>0.8359833499999999</v>
      </c>
      <c r="O65" s="16">
        <f ca="1">_xll.DBRW($D$4,$E$7,$E$8,$E$9,$E$10,$E$12,$D65,$E$6,O$18,O$17)</f>
        <v>6.1179290599999998</v>
      </c>
      <c r="P65" s="74">
        <f ca="1">_xll.DBRW($D$4,$E$7,$E$8,$E$9,$E$10,$E$12,$D65,$E$6,P$18,P$17)</f>
        <v>-1.7360880400000001</v>
      </c>
      <c r="Q65" s="16">
        <f ca="1">_xll.DBRW($D$4,$E$7,$E$8,$E$9,$E$10,$E$12,$D65,$E$6,Q$18,Q$17)</f>
        <v>0.28377054113798439</v>
      </c>
      <c r="R65" s="16"/>
      <c r="S65" s="16"/>
      <c r="T65" s="16"/>
      <c r="U65" s="16"/>
      <c r="V65" s="16">
        <f ca="1">_xll.DBRW($D$4,$E$7,$E$8,$E$9,$E$10,$E$12,$D65,$E$6,V$18,V$17)</f>
        <v>-0.61669163000000005</v>
      </c>
      <c r="W65" s="16">
        <f ca="1">_xll.DBRW($D$4,$E$7,$E$8,$E$9,$E$10,$E$12,$D65,$E$6,W$18,W$17)</f>
        <v>0.10080071605145419</v>
      </c>
      <c r="X65" s="16"/>
      <c r="Y65" s="16"/>
      <c r="Z65" s="16"/>
      <c r="AA65" s="16"/>
      <c r="AB65" s="16">
        <f ca="1">_xll.DBRW($D$4,$E$7,$E$8,$E$9,$E$10,$E$12,$D65,$E$6,AB$18,AB$17)</f>
        <v>-0.65792054000000011</v>
      </c>
      <c r="AC65" s="16">
        <f ca="1">_xll.DBRW($D$4,$E$7,$E$8,$E$9,$E$10,$E$12,$D65,$E$6,AC$18,AC$17)</f>
        <v>0.10753974646446786</v>
      </c>
      <c r="AD65" s="16"/>
      <c r="AE65" s="16"/>
      <c r="AF65" s="16"/>
      <c r="AG65" s="16"/>
      <c r="AH65" s="16">
        <f ca="1">_xll.DBRW($D$4,$E$7,$E$8,$E$9,$E$10,$E$12,$D65,$E$6,AH$18,AH$17)</f>
        <v>-0.94223893999999997</v>
      </c>
      <c r="AI65" s="16">
        <f ca="1">_xll.DBRW($D$4,$E$7,$E$8,$E$9,$E$10,$E$12,$D65,$E$6,AI$18,AI$17)</f>
        <v>0.1540127273067792</v>
      </c>
      <c r="AJ65" s="16"/>
      <c r="AK65" s="16"/>
      <c r="AL65" s="16"/>
      <c r="AM65" s="16"/>
      <c r="AN65" s="16">
        <f ca="1">_xll.DBRW($D$4,$E$7,$E$8,$E$9,$E$10,$E$12,$D65,$E$6,AN$18,AN$17)</f>
        <v>-1.3290065600000003</v>
      </c>
      <c r="AO65" s="16">
        <f ca="1">_xll.DBRW($D$4,$E$7,$E$8,$E$9,$E$10,$E$12,$D65,$E$6,AO$18,AO$17)</f>
        <v>0.21723144334726893</v>
      </c>
      <c r="AP65" s="16"/>
      <c r="AQ65" s="16"/>
      <c r="AR65" s="16"/>
      <c r="AS65" s="16"/>
      <c r="AT65" s="16">
        <f ca="1">_xll.DBRW($D$4,$E$7,$E$8,$E$9,$E$10,$E$12,$D65,$E$6,AT$18,AT$17)</f>
        <v>0.10386465</v>
      </c>
      <c r="AU65" s="16">
        <f ca="1">_xll.DBRW($D$4,$E$7,$E$8,$E$9,$E$10,$E$12,$D65,$E$6,AU$18,AU$17)</f>
        <v>2.4442790000000003</v>
      </c>
      <c r="AV65" s="16">
        <f ca="1">_xll.DBRW($D$4,$E$7,$E$8,$E$9,$E$10,$E$12,$D65,$E$6,AV$18,AV$17)</f>
        <v>2.4442790000000003</v>
      </c>
      <c r="AW65" s="16">
        <f ca="1">_xll.DBRW($D$4,$E$7,$E$8,$E$9,$E$10,$E$12,$D65,$E$6,AW$18,AW$17)</f>
        <v>2.4442790000000003</v>
      </c>
      <c r="AX65" s="16">
        <f ca="1">_xll.DBRW($D$4,$E$7,$E$8,$E$9,$E$10,$E$12,$D65,$E$6,AX$18,AX$17)</f>
        <v>0.71472946063504295</v>
      </c>
      <c r="AY65" s="16">
        <f ca="1">_xll.DBRW($D$4,$E$7,$E$8,$E$9,$E$10,$E$12,$D65,$E$6,AY$18,AY$17)</f>
        <v>2.4442790000000003</v>
      </c>
      <c r="AZ65" s="16">
        <f ca="1">_xll.DBRW($D$4,$E$7,$E$8,$E$9,$E$10,$E$12,$D65,$E$6,AZ$18,AZ$17)</f>
        <v>1.5360579999999999</v>
      </c>
      <c r="BA65" s="16">
        <f ca="1">_xll.DBRW($D$4,$E$7,$E$8,$E$9,$E$10,$E$12,$D65,$E$6,BA$18,BA$17)</f>
        <v>2.4442790000000003</v>
      </c>
      <c r="BB65" s="16">
        <f ca="1">_xll.DBRW($D$4,$E$7,$E$8,$E$9,$E$10,$E$12,$D65,$E$6,BB$18,BB$17)</f>
        <v>2.4442790000000003</v>
      </c>
      <c r="BC65" s="16">
        <f ca="1">_xll.DBRW($D$4,$E$7,$E$8,$E$9,$E$10,$E$12,$D65,$E$6,BC$18,BC$17)</f>
        <v>2.4442790000000003</v>
      </c>
      <c r="BD65" s="16">
        <f ca="1">_xll.DBRW($D$4,$E$7,$E$8,$E$9,$E$10,$E$12,$D65,$E$6,BD$18,BD$17)</f>
        <v>9.0564568701306608E-2</v>
      </c>
      <c r="BE65" s="16">
        <f ca="1">_xll.DBRW($D$4,$E$7,$E$8,$E$9,$E$10,$E$12,$D65,$E$6,BE$18,BE$17)</f>
        <v>-0.55457806715628322</v>
      </c>
      <c r="BF65" s="16">
        <f ca="1">_xll.DBRW($D$4,$E$7,$E$8,$E$9,$E$10,$E$12,$D65,$E$6,BF$18,BF$17)</f>
        <v>0</v>
      </c>
      <c r="BG65" s="26">
        <f ca="1">_xll.DBRW($D$4,$E$7,$E$8,$E$9,$E$10,$E$12,$D65,$E$6,BG$18,BG$17)</f>
        <v>0</v>
      </c>
      <c r="BH65" s="26">
        <f ca="1">_xll.DBRW($D$4,$E$7,$E$8,$E$9,$E$10,$E$12,$D65,$E$6,BH$18,BH$17)</f>
        <v>0</v>
      </c>
      <c r="BI65" s="26">
        <f ca="1">_xll.DBRW($D$4,$E$7,$E$8,$E$9,$E$10,$E$12,$D65,$E$6,BI$18,BI$17)</f>
        <v>0</v>
      </c>
      <c r="BJ65" s="26">
        <f ca="1">_xll.DBRW($D$4,$E$7,$E$8,$E$9,$E$10,$E$12,$D65,$E$6,BJ$18,BJ$17)</f>
        <v>0</v>
      </c>
      <c r="BK65" s="16">
        <f ca="1">_xll.DBRW($D$4,$E$7,$E$8,$E$9,$E$10,$E$12,$D65,$E$6,BK$18,BK$17)</f>
        <v>0.6451426358575898</v>
      </c>
      <c r="BL65" s="16">
        <f ca="1">_xll.DBRW($D$4,$E$7,$E$8,$E$9,$E$10,$E$12,$D65,$E$6,BL$18,BL$17)</f>
        <v>6.9347747480842719</v>
      </c>
      <c r="BM65" s="16">
        <f ca="1">_xll.DBRW($D$4,$E$7,$E$8,$E$9,$E$10,$E$12,$D65,$E$6,BM$18,BM$17)</f>
        <v>-2.0160014627897316</v>
      </c>
      <c r="BN65" s="16">
        <f ca="1">_xll.DBRW($D$4,$E$7,$E$8,$E$9,$E$10,$E$12,$D65,$E$6,BN$18,BN$17)</f>
        <v>0.29070900440517566</v>
      </c>
      <c r="BO65" s="16"/>
      <c r="BP65" s="16"/>
      <c r="BQ65" s="16"/>
      <c r="BR65" s="16"/>
      <c r="BS65" s="16">
        <f ca="1">_xll.DBRW($D$4,$E$7,$E$8,$E$9,$E$10,$E$12,$D65,$E$6,BS$18,BS$17)</f>
        <v>-0.76809909346563898</v>
      </c>
      <c r="BT65" s="16">
        <f ca="1">_xll.DBRW($D$4,$E$7,$E$8,$E$9,$E$10,$E$12,$D65,$E$6,BT$18,BT$17)</f>
        <v>0.11076049639216126</v>
      </c>
      <c r="BU65" s="16"/>
      <c r="BV65" s="16"/>
      <c r="BW65" s="16"/>
      <c r="BX65" s="16"/>
      <c r="BY65" s="16">
        <f ca="1">_xll.DBRW($D$4,$E$7,$E$8,$E$9,$E$10,$E$12,$D65,$E$6,BY$18,BY$17)</f>
        <v>-0.69446265656719786</v>
      </c>
      <c r="BZ65" s="16">
        <f ca="1">_xll.DBRW($D$4,$E$7,$E$8,$E$9,$E$10,$E$12,$D65,$E$6,BZ$18,BZ$17)</f>
        <v>0.1001420639883138</v>
      </c>
      <c r="CA65" s="16"/>
      <c r="CB65" s="16"/>
      <c r="CC65" s="16"/>
      <c r="CD65" s="16"/>
      <c r="CE65" s="16">
        <f ca="1">_xll.DBRW($D$4,$E$7,$E$8,$E$9,$E$10,$E$12,$D65,$E$6,CE$18,CE$17)</f>
        <v>-1.3601806653517898</v>
      </c>
      <c r="CF65" s="16">
        <f ca="1">_xll.DBRW($D$4,$E$7,$E$8,$E$9,$E$10,$E$12,$D65,$E$6,CF$18,CF$17)</f>
        <v>0.19613912704627343</v>
      </c>
      <c r="CG65" s="16"/>
      <c r="CH65" s="16"/>
      <c r="CI65" s="16"/>
      <c r="CJ65" s="16"/>
      <c r="CK65" s="16">
        <f ca="1">_xll.DBRW($D$4,$E$7,$E$8,$E$9,$E$10,$E$12,$D65,$E$6,CK$18,CK$17)</f>
        <v>-1.4508882340523237</v>
      </c>
      <c r="CL65" s="16">
        <f ca="1">_xll.DBRW($D$4,$E$7,$E$8,$E$9,$E$10,$E$12,$D65,$E$6,CL$18,CL$17)</f>
        <v>0.20921923014920288</v>
      </c>
      <c r="CM65" s="16"/>
      <c r="CN65" s="16"/>
      <c r="CO65" s="16"/>
      <c r="CP65" s="16"/>
      <c r="CQ65" s="16">
        <f ca="1">_xll.DBRW($D$4,$E$7,$E$8,$E$9,$E$10,$E$12,$D65,$E$6,CQ$18,CQ$17)</f>
        <v>0.11241294770551007</v>
      </c>
      <c r="CR65" s="16">
        <f ca="1">_xll.DBRW($D$4,$E$7,$E$8,$E$9,$E$10,$E$12,$D65,$E$6,CR$18,CR$17)</f>
        <v>2.6906773778388007</v>
      </c>
      <c r="CS65" s="16">
        <f ca="1">_xll.DBRW($D$4,$E$7,$E$8,$E$9,$E$10,$E$12,$D65,$E$6,CS$18,CS$17)</f>
        <v>2.6906773778388007</v>
      </c>
      <c r="CT65" s="16">
        <f ca="1">_xll.DBRW($D$4,$E$7,$E$8,$E$9,$E$10,$E$12,$D65,$E$6,CT$18,CT$17)</f>
        <v>2.6906773778388007</v>
      </c>
      <c r="CU65" s="16">
        <f ca="1">_xll.DBRW($D$4,$E$7,$E$8,$E$9,$E$10,$E$12,$D65,$E$6,CU$18,CU$17)</f>
        <v>0.84518421206464389</v>
      </c>
      <c r="CV65" s="16">
        <f ca="1">_xll.DBRW($D$4,$E$7,$E$8,$E$9,$E$10,$E$12,$D65,$E$6,CV$18,CV$17)</f>
        <v>2.6906773778388007</v>
      </c>
      <c r="CW65" s="16">
        <f ca="1">_xll.DBRW($D$4,$E$7,$E$8,$E$9,$E$10,$E$12,$D65,$E$6,CW$18,CW$17)</f>
        <v>1.7294489763872201</v>
      </c>
      <c r="CX65" s="16">
        <f ca="1">_xll.DBRW($D$4,$E$7,$E$8,$E$9,$E$10,$E$12,$D65,$E$6,CX$18,CX$17)</f>
        <v>2.6906773778388007</v>
      </c>
      <c r="CY65" s="16">
        <f ca="1">_xll.DBRW($D$4,$E$7,$E$8,$E$9,$E$10,$E$12,$D65,$E$6,CY$18,CY$17)</f>
        <v>2.6906773778388007</v>
      </c>
      <c r="CZ65" s="16">
        <f ca="1">_xll.DBRW($D$4,$E$7,$E$8,$E$9,$E$10,$E$12,$D65,$E$6,CZ$18,CZ$17)</f>
        <v>2.6906773778388007</v>
      </c>
      <c r="DA65" s="26">
        <f t="shared" ca="1" si="89"/>
        <v>0.25910144129869328</v>
      </c>
      <c r="DB65" s="26">
        <f t="shared" ca="1" si="90"/>
        <v>6.826072715628323E-2</v>
      </c>
      <c r="DC65" s="26">
        <f t="shared" ca="1" si="91"/>
        <v>0</v>
      </c>
      <c r="DD65" s="26">
        <f t="shared" ca="1" si="92"/>
        <v>0</v>
      </c>
      <c r="DE65" s="26">
        <f t="shared" ca="1" si="93"/>
        <v>0</v>
      </c>
      <c r="DF65" s="26">
        <f t="shared" ca="1" si="94"/>
        <v>0</v>
      </c>
      <c r="DG65" s="26">
        <f t="shared" ca="1" si="95"/>
        <v>0</v>
      </c>
      <c r="DH65" s="26">
        <f t="shared" ca="1" si="96"/>
        <v>0.19084071414241011</v>
      </c>
      <c r="DI65" s="26">
        <f t="shared" ca="1" si="97"/>
        <v>-0.81684568808427205</v>
      </c>
      <c r="DJ65" s="26">
        <f t="shared" ca="1" si="98"/>
        <v>0.27991342278973153</v>
      </c>
      <c r="DK65" s="26">
        <f t="shared" ca="1" si="99"/>
        <v>-6.9384632671912749E-3</v>
      </c>
      <c r="DL65" s="26"/>
      <c r="DM65" s="26"/>
      <c r="DN65" s="26"/>
      <c r="DO65" s="26"/>
      <c r="DP65" s="26">
        <f t="shared" ca="1" si="100"/>
        <v>0.15140746346563894</v>
      </c>
      <c r="DQ65" s="26">
        <f t="shared" ca="1" si="101"/>
        <v>-9.9597803407070751E-3</v>
      </c>
      <c r="DR65" s="26"/>
      <c r="DS65" s="26"/>
      <c r="DT65" s="26"/>
      <c r="DU65" s="26"/>
      <c r="DV65" s="26">
        <f t="shared" ca="1" si="102"/>
        <v>3.6542116567197747E-2</v>
      </c>
      <c r="DW65" s="26">
        <f t="shared" ca="1" si="103"/>
        <v>7.3976824761540633E-3</v>
      </c>
      <c r="DX65" s="26"/>
      <c r="DY65" s="26"/>
      <c r="DZ65" s="26"/>
      <c r="EA65" s="26"/>
      <c r="EB65" s="26">
        <f t="shared" ca="1" si="104"/>
        <v>0.41794172535178986</v>
      </c>
      <c r="EC65" s="26">
        <f t="shared" ca="1" si="105"/>
        <v>-4.2126399739494225E-2</v>
      </c>
      <c r="ED65" s="26"/>
      <c r="EE65" s="26"/>
      <c r="EF65" s="26"/>
      <c r="EG65" s="26"/>
      <c r="EH65" s="26">
        <f t="shared" ca="1" si="106"/>
        <v>0.12188167405232342</v>
      </c>
      <c r="EI65" s="29">
        <f t="shared" ca="1" si="107"/>
        <v>8.0122131980660538E-3</v>
      </c>
      <c r="EJ65" s="29"/>
      <c r="EK65" s="29"/>
      <c r="EL65" s="29"/>
      <c r="EM65" s="29"/>
      <c r="EN65" s="93"/>
      <c r="EO65" s="29"/>
      <c r="EP65" s="29"/>
      <c r="EQ65" s="29"/>
      <c r="ER65" s="29"/>
      <c r="ES65" s="29"/>
      <c r="ET65" s="29"/>
      <c r="EU65" s="93"/>
      <c r="EV65" s="29"/>
      <c r="EW65" s="29"/>
      <c r="EX65" s="29"/>
      <c r="EY65" s="29"/>
      <c r="EZ65" s="29"/>
      <c r="FA65" s="29"/>
      <c r="FB65" s="93"/>
      <c r="FC65" s="29"/>
      <c r="FD65" s="29"/>
      <c r="FE65" s="29"/>
      <c r="FF65" s="29"/>
      <c r="FG65" s="29"/>
      <c r="FH65" s="29"/>
      <c r="FI65" s="93"/>
      <c r="FJ65" s="29"/>
      <c r="FK65" s="29"/>
      <c r="FL65" s="29"/>
      <c r="FM65" s="29"/>
      <c r="FN65" s="29"/>
      <c r="FO65" s="29"/>
      <c r="FP65" s="93"/>
      <c r="FQ65" s="29"/>
      <c r="FR65" s="29"/>
      <c r="FS65" s="29"/>
      <c r="FT65" s="29"/>
      <c r="FU65" s="29"/>
      <c r="FV65" s="29"/>
    </row>
    <row r="66" spans="1:178" x14ac:dyDescent="0.25">
      <c r="A66" t="str">
        <f ca="1">IF(_xll.TM1RPTELISCONSOLIDATED($D$28,$D66),IF(_xll.TM1RPTELLEV($D$28,$D66)&lt;=3,_xll.TM1RPTELLEV($D$28,$D66),"D"),"N")</f>
        <v>N</v>
      </c>
      <c r="B66" t="str">
        <f ca="1">_xll.DBRA(Server&amp;"Management_organization",$D66,$B$27)</f>
        <v>L</v>
      </c>
      <c r="C66">
        <v>1</v>
      </c>
      <c r="D66" s="2" t="s">
        <v>111</v>
      </c>
      <c r="E66" s="26"/>
      <c r="F66" s="26"/>
      <c r="G66" s="16">
        <f ca="1">_xll.DBRW($D$4,$E$7,$E$8,$E$9,$E$10,$E$12,$D66,$E$6,G$18,G$17)</f>
        <v>0.24004320000000051</v>
      </c>
      <c r="H66" s="16">
        <f ca="1">_xll.DBRW($D$4,$E$7,$E$8,$E$9,$E$10,$E$12,$D66,$E$6,H$18,H$17)</f>
        <v>-0.34847905000000001</v>
      </c>
      <c r="I66" s="16">
        <f ca="1">_xll.DBRW($D$4,$E$7,$E$8,$E$9,$E$10,$E$12,$D66,$E$6,I$18,I$17)</f>
        <v>0</v>
      </c>
      <c r="J66" s="26">
        <f ca="1">_xll.DBRW($D$4,$E$7,$E$8,$E$9,$E$10,$E$12,$D66,$E$6,J$18,J$17)</f>
        <v>0</v>
      </c>
      <c r="K66" s="26">
        <f ca="1">_xll.DBRW($D$4,$E$7,$E$8,$E$9,$E$10,$E$12,$D66,$E$6,K$18,K$17)</f>
        <v>0</v>
      </c>
      <c r="L66" s="26">
        <f ca="1">_xll.DBRW($D$4,$E$7,$E$8,$E$9,$E$10,$E$12,$D66,$E$6,L$18,L$17)</f>
        <v>0</v>
      </c>
      <c r="M66" s="26">
        <f ca="1">_xll.DBRW($D$4,$E$7,$E$8,$E$9,$E$10,$E$12,$D66,$E$6,M$18,M$17)</f>
        <v>0</v>
      </c>
      <c r="N66" s="16">
        <f ca="1">_xll.DBRW($D$4,$E$7,$E$8,$E$9,$E$10,$E$12,$D66,$E$6,N$18,N$17)</f>
        <v>0.58852225000000047</v>
      </c>
      <c r="O66" s="16">
        <f ca="1">_xll.DBRW($D$4,$E$7,$E$8,$E$9,$E$10,$E$12,$D66,$E$6,O$18,O$17)</f>
        <v>4.58499664</v>
      </c>
      <c r="P66" s="74">
        <f ca="1">_xll.DBRW($D$4,$E$7,$E$8,$E$9,$E$10,$E$12,$D66,$E$6,P$18,P$17)</f>
        <v>-1.9744036200000001</v>
      </c>
      <c r="Q66" s="16">
        <f ca="1">_xll.DBRW($D$4,$E$7,$E$8,$E$9,$E$10,$E$12,$D66,$E$6,Q$18,Q$17)</f>
        <v>0.4306226972502209</v>
      </c>
      <c r="R66" s="16"/>
      <c r="S66" s="16"/>
      <c r="T66" s="16"/>
      <c r="U66" s="16"/>
      <c r="V66" s="16">
        <f ca="1">_xll.DBRW($D$4,$E$7,$E$8,$E$9,$E$10,$E$12,$D66,$E$6,V$18,V$17)</f>
        <v>-0.33957476999999997</v>
      </c>
      <c r="W66" s="16">
        <f ca="1">_xll.DBRW($D$4,$E$7,$E$8,$E$9,$E$10,$E$12,$D66,$E$6,W$18,W$17)</f>
        <v>7.4062163325816527E-2</v>
      </c>
      <c r="X66" s="16"/>
      <c r="Y66" s="16"/>
      <c r="Z66" s="16"/>
      <c r="AA66" s="16"/>
      <c r="AB66" s="16">
        <f ca="1">_xll.DBRW($D$4,$E$7,$E$8,$E$9,$E$10,$E$12,$D66,$E$6,AB$18,AB$17)</f>
        <v>-0.35318127000000005</v>
      </c>
      <c r="AC66" s="16">
        <f ca="1">_xll.DBRW($D$4,$E$7,$E$8,$E$9,$E$10,$E$12,$D66,$E$6,AC$18,AC$17)</f>
        <v>7.7029777278091974E-2</v>
      </c>
      <c r="AD66" s="16"/>
      <c r="AE66" s="16"/>
      <c r="AF66" s="16"/>
      <c r="AG66" s="16"/>
      <c r="AH66" s="16">
        <f ca="1">_xll.DBRW($D$4,$E$7,$E$8,$E$9,$E$10,$E$12,$D66,$E$6,AH$18,AH$17)</f>
        <v>-0.47872325999999998</v>
      </c>
      <c r="AI66" s="16">
        <f ca="1">_xll.DBRW($D$4,$E$7,$E$8,$E$9,$E$10,$E$12,$D66,$E$6,AI$18,AI$17)</f>
        <v>0.10441082024435246</v>
      </c>
      <c r="AJ66" s="16"/>
      <c r="AK66" s="16"/>
      <c r="AL66" s="16"/>
      <c r="AM66" s="16"/>
      <c r="AN66" s="16">
        <f ca="1">_xll.DBRW($D$4,$E$7,$E$8,$E$9,$E$10,$E$12,$D66,$E$6,AN$18,AN$17)</f>
        <v>-0.85059147000000013</v>
      </c>
      <c r="AO66" s="16">
        <f ca="1">_xll.DBRW($D$4,$E$7,$E$8,$E$9,$E$10,$E$12,$D66,$E$6,AO$18,AO$17)</f>
        <v>0.18551626899338364</v>
      </c>
      <c r="AP66" s="16"/>
      <c r="AQ66" s="16"/>
      <c r="AR66" s="16"/>
      <c r="AS66" s="16"/>
      <c r="AT66" s="16">
        <f ca="1">_xll.DBRW($D$4,$E$7,$E$8,$E$9,$E$10,$E$12,$D66,$E$6,AT$18,AT$17)</f>
        <v>8.0983160000000012E-2</v>
      </c>
      <c r="AU66" s="16">
        <f ca="1">_xll.DBRW($D$4,$E$7,$E$8,$E$9,$E$10,$E$12,$D66,$E$6,AU$18,AU$17)</f>
        <v>1.0642069999999999</v>
      </c>
      <c r="AV66" s="16">
        <f ca="1">_xll.DBRW($D$4,$E$7,$E$8,$E$9,$E$10,$E$12,$D66,$E$6,AV$18,AV$17)</f>
        <v>1.0642069999999999</v>
      </c>
      <c r="AW66" s="16">
        <f ca="1">_xll.DBRW($D$4,$E$7,$E$8,$E$9,$E$10,$E$12,$D66,$E$6,AW$18,AW$17)</f>
        <v>1.0642069999999999</v>
      </c>
      <c r="AX66" s="16">
        <f ca="1">_xll.DBRW($D$4,$E$7,$E$8,$E$9,$E$10,$E$12,$D66,$E$6,AX$18,AX$17)</f>
        <v>0.37885859785999998</v>
      </c>
      <c r="AY66" s="16">
        <f ca="1">_xll.DBRW($D$4,$E$7,$E$8,$E$9,$E$10,$E$12,$D66,$E$6,AY$18,AY$17)</f>
        <v>1.0642069999999999</v>
      </c>
      <c r="AZ66" s="16">
        <f ca="1">_xll.DBRW($D$4,$E$7,$E$8,$E$9,$E$10,$E$12,$D66,$E$6,AZ$18,AZ$17)</f>
        <v>0.93773330799999988</v>
      </c>
      <c r="BA66" s="16">
        <f ca="1">_xll.DBRW($D$4,$E$7,$E$8,$E$9,$E$10,$E$12,$D66,$E$6,BA$18,BA$17)</f>
        <v>1.0642069999999999</v>
      </c>
      <c r="BB66" s="16">
        <f ca="1">_xll.DBRW($D$4,$E$7,$E$8,$E$9,$E$10,$E$12,$D66,$E$6,BB$18,BB$17)</f>
        <v>1.0642069999999999</v>
      </c>
      <c r="BC66" s="16">
        <f ca="1">_xll.DBRW($D$4,$E$7,$E$8,$E$9,$E$10,$E$12,$D66,$E$6,BC$18,BC$17)</f>
        <v>1.0642069999999999</v>
      </c>
      <c r="BD66" s="16">
        <f ca="1">_xll.DBRW($D$4,$E$7,$E$8,$E$9,$E$10,$E$12,$D66,$E$6,BD$18,BD$17)</f>
        <v>0.28937878940037082</v>
      </c>
      <c r="BE66" s="16">
        <f ca="1">_xll.DBRW($D$4,$E$7,$E$8,$E$9,$E$10,$E$12,$D66,$E$6,BE$18,BE$17)</f>
        <v>-0.3816847371560077</v>
      </c>
      <c r="BF66" s="16">
        <f ca="1">_xll.DBRW($D$4,$E$7,$E$8,$E$9,$E$10,$E$12,$D66,$E$6,BF$18,BF$17)</f>
        <v>0</v>
      </c>
      <c r="BG66" s="26">
        <f ca="1">_xll.DBRW($D$4,$E$7,$E$8,$E$9,$E$10,$E$12,$D66,$E$6,BG$18,BG$17)</f>
        <v>0</v>
      </c>
      <c r="BH66" s="26">
        <f ca="1">_xll.DBRW($D$4,$E$7,$E$8,$E$9,$E$10,$E$12,$D66,$E$6,BH$18,BH$17)</f>
        <v>0</v>
      </c>
      <c r="BI66" s="26">
        <f ca="1">_xll.DBRW($D$4,$E$7,$E$8,$E$9,$E$10,$E$12,$D66,$E$6,BI$18,BI$17)</f>
        <v>0</v>
      </c>
      <c r="BJ66" s="26">
        <f ca="1">_xll.DBRW($D$4,$E$7,$E$8,$E$9,$E$10,$E$12,$D66,$E$6,BJ$18,BJ$17)</f>
        <v>0</v>
      </c>
      <c r="BK66" s="16">
        <f ca="1">_xll.DBRW($D$4,$E$7,$E$8,$E$9,$E$10,$E$12,$D66,$E$6,BK$18,BK$17)</f>
        <v>0.67106352655637846</v>
      </c>
      <c r="BL66" s="16">
        <f ca="1">_xll.DBRW($D$4,$E$7,$E$8,$E$9,$E$10,$E$12,$D66,$E$6,BL$18,BL$17)</f>
        <v>4.8956466691488192</v>
      </c>
      <c r="BM66" s="16">
        <f ca="1">_xll.DBRW($D$4,$E$7,$E$8,$E$9,$E$10,$E$12,$D66,$E$6,BM$18,BM$17)</f>
        <v>-2.0777614302150198</v>
      </c>
      <c r="BN66" s="16">
        <f ca="1">_xll.DBRW($D$4,$E$7,$E$8,$E$9,$E$10,$E$12,$D66,$E$6,BN$18,BN$17)</f>
        <v>0.42441000558895919</v>
      </c>
      <c r="BO66" s="16"/>
      <c r="BP66" s="16"/>
      <c r="BQ66" s="16"/>
      <c r="BR66" s="16"/>
      <c r="BS66" s="16">
        <f ca="1">_xll.DBRW($D$4,$E$7,$E$8,$E$9,$E$10,$E$12,$D66,$E$6,BS$18,BS$17)</f>
        <v>-0.33973184450031924</v>
      </c>
      <c r="BT66" s="16">
        <f ca="1">_xll.DBRW($D$4,$E$7,$E$8,$E$9,$E$10,$E$12,$D66,$E$6,BT$18,BT$17)</f>
        <v>6.9394682145103956E-2</v>
      </c>
      <c r="BU66" s="16"/>
      <c r="BV66" s="16"/>
      <c r="BW66" s="16"/>
      <c r="BX66" s="16"/>
      <c r="BY66" s="16">
        <f ca="1">_xll.DBRW($D$4,$E$7,$E$8,$E$9,$E$10,$E$12,$D66,$E$6,BY$18,BY$17)</f>
        <v>-0.33610752451755666</v>
      </c>
      <c r="BZ66" s="16">
        <f ca="1">_xll.DBRW($D$4,$E$7,$E$8,$E$9,$E$10,$E$12,$D66,$E$6,BZ$18,BZ$17)</f>
        <v>6.8654367284229259E-2</v>
      </c>
      <c r="CA66" s="16"/>
      <c r="CB66" s="16"/>
      <c r="CC66" s="16"/>
      <c r="CD66" s="16"/>
      <c r="CE66" s="16">
        <f ca="1">_xll.DBRW($D$4,$E$7,$E$8,$E$9,$E$10,$E$12,$D66,$E$6,CE$18,CE$17)</f>
        <v>-0.6315321116</v>
      </c>
      <c r="CF66" s="16">
        <f ca="1">_xll.DBRW($D$4,$E$7,$E$8,$E$9,$E$10,$E$12,$D66,$E$6,CF$18,CF$17)</f>
        <v>0.12899871136121047</v>
      </c>
      <c r="CG66" s="16"/>
      <c r="CH66" s="16"/>
      <c r="CI66" s="16"/>
      <c r="CJ66" s="16"/>
      <c r="CK66" s="16">
        <f ca="1">_xll.DBRW($D$4,$E$7,$E$8,$E$9,$E$10,$E$12,$D66,$E$6,CK$18,CK$17)</f>
        <v>-0.83945023175954481</v>
      </c>
      <c r="CL66" s="16">
        <f ca="1">_xll.DBRW($D$4,$E$7,$E$8,$E$9,$E$10,$E$12,$D66,$E$6,CL$18,CL$17)</f>
        <v>0.17146871261146296</v>
      </c>
      <c r="CM66" s="16"/>
      <c r="CN66" s="16"/>
      <c r="CO66" s="16"/>
      <c r="CP66" s="16"/>
      <c r="CQ66" s="16">
        <f ca="1">_xll.DBRW($D$4,$E$7,$E$8,$E$9,$E$10,$E$12,$D66,$E$6,CQ$18,CQ$17)</f>
        <v>8.5419266505807015E-2</v>
      </c>
      <c r="CR66" s="16">
        <f ca="1">_xll.DBRW($D$4,$E$7,$E$8,$E$9,$E$10,$E$12,$D66,$E$6,CR$18,CR$17)</f>
        <v>1.1181620235349998</v>
      </c>
      <c r="CS66" s="16">
        <f ca="1">_xll.DBRW($D$4,$E$7,$E$8,$E$9,$E$10,$E$12,$D66,$E$6,CS$18,CS$17)</f>
        <v>1.1181620235349998</v>
      </c>
      <c r="CT66" s="16">
        <f ca="1">_xll.DBRW($D$4,$E$7,$E$8,$E$9,$E$10,$E$12,$D66,$E$6,CT$18,CT$17)</f>
        <v>1.1181620235349998</v>
      </c>
      <c r="CU66" s="16">
        <f ca="1">_xll.DBRW($D$4,$E$7,$E$8,$E$9,$E$10,$E$12,$D66,$E$6,CU$18,CU$17)</f>
        <v>0.40684237906097503</v>
      </c>
      <c r="CV66" s="16">
        <f ca="1">_xll.DBRW($D$4,$E$7,$E$8,$E$9,$E$10,$E$12,$D66,$E$6,CV$18,CV$17)</f>
        <v>1.1181620235349998</v>
      </c>
      <c r="CW66" s="16">
        <f ca="1">_xll.DBRW($D$4,$E$7,$E$8,$E$9,$E$10,$E$12,$D66,$E$6,CW$18,CW$17)</f>
        <v>0.99426668100000004</v>
      </c>
      <c r="CX66" s="16">
        <f ca="1">_xll.DBRW($D$4,$E$7,$E$8,$E$9,$E$10,$E$12,$D66,$E$6,CX$18,CX$17)</f>
        <v>1.1181620235349998</v>
      </c>
      <c r="CY66" s="16">
        <f ca="1">_xll.DBRW($D$4,$E$7,$E$8,$E$9,$E$10,$E$12,$D66,$E$6,CY$18,CY$17)</f>
        <v>1.1181620235349998</v>
      </c>
      <c r="CZ66" s="16">
        <f ca="1">_xll.DBRW($D$4,$E$7,$E$8,$E$9,$E$10,$E$12,$D66,$E$6,CZ$18,CZ$17)</f>
        <v>1.1181620235349998</v>
      </c>
      <c r="DA66" s="26">
        <f t="shared" ca="1" si="89"/>
        <v>-4.9335589400370305E-2</v>
      </c>
      <c r="DB66" s="26">
        <f t="shared" ca="1" si="90"/>
        <v>3.320568715600769E-2</v>
      </c>
      <c r="DC66" s="26">
        <f t="shared" ca="1" si="91"/>
        <v>0</v>
      </c>
      <c r="DD66" s="26">
        <f t="shared" ca="1" si="92"/>
        <v>0</v>
      </c>
      <c r="DE66" s="26">
        <f t="shared" ca="1" si="93"/>
        <v>0</v>
      </c>
      <c r="DF66" s="26">
        <f t="shared" ca="1" si="94"/>
        <v>0</v>
      </c>
      <c r="DG66" s="26">
        <f t="shared" ca="1" si="95"/>
        <v>0</v>
      </c>
      <c r="DH66" s="26">
        <f t="shared" ca="1" si="96"/>
        <v>-8.2541276556377996E-2</v>
      </c>
      <c r="DI66" s="26">
        <f t="shared" ca="1" si="97"/>
        <v>-0.31065002914881923</v>
      </c>
      <c r="DJ66" s="26">
        <f t="shared" ca="1" si="98"/>
        <v>0.10335781021501966</v>
      </c>
      <c r="DK66" s="26">
        <f t="shared" ca="1" si="99"/>
        <v>6.2126916612617045E-3</v>
      </c>
      <c r="DL66" s="26"/>
      <c r="DM66" s="26"/>
      <c r="DN66" s="26"/>
      <c r="DO66" s="26"/>
      <c r="DP66" s="26">
        <f t="shared" ca="1" si="100"/>
        <v>1.5707450031926529E-4</v>
      </c>
      <c r="DQ66" s="26">
        <f t="shared" ca="1" si="101"/>
        <v>4.667481180712571E-3</v>
      </c>
      <c r="DR66" s="26"/>
      <c r="DS66" s="26"/>
      <c r="DT66" s="26"/>
      <c r="DU66" s="26"/>
      <c r="DV66" s="26">
        <f t="shared" ca="1" si="102"/>
        <v>-1.7073745482443392E-2</v>
      </c>
      <c r="DW66" s="26">
        <f t="shared" ca="1" si="103"/>
        <v>8.3754099938627147E-3</v>
      </c>
      <c r="DX66" s="26"/>
      <c r="DY66" s="26"/>
      <c r="DZ66" s="26"/>
      <c r="EA66" s="26"/>
      <c r="EB66" s="26">
        <f t="shared" ca="1" si="104"/>
        <v>0.15280885160000002</v>
      </c>
      <c r="EC66" s="26">
        <f t="shared" ca="1" si="105"/>
        <v>-2.458789111685801E-2</v>
      </c>
      <c r="ED66" s="26"/>
      <c r="EE66" s="26"/>
      <c r="EF66" s="26"/>
      <c r="EG66" s="26"/>
      <c r="EH66" s="26">
        <f t="shared" ca="1" si="106"/>
        <v>-1.114123824045532E-2</v>
      </c>
      <c r="EI66" s="29">
        <f t="shared" ca="1" si="107"/>
        <v>1.4047556381920678E-2</v>
      </c>
      <c r="EJ66" s="29"/>
      <c r="EK66" s="29"/>
      <c r="EL66" s="29"/>
      <c r="EM66" s="29"/>
      <c r="EN66" s="93"/>
      <c r="EO66" s="29"/>
      <c r="EP66" s="29"/>
      <c r="EQ66" s="29"/>
      <c r="ER66" s="29"/>
      <c r="ES66" s="29"/>
      <c r="ET66" s="29"/>
      <c r="EU66" s="93"/>
      <c r="EV66" s="29"/>
      <c r="EW66" s="29"/>
      <c r="EX66" s="29"/>
      <c r="EY66" s="29"/>
      <c r="EZ66" s="29"/>
      <c r="FA66" s="29"/>
      <c r="FB66" s="93"/>
      <c r="FC66" s="29"/>
      <c r="FD66" s="29"/>
      <c r="FE66" s="29"/>
      <c r="FF66" s="29"/>
      <c r="FG66" s="29"/>
      <c r="FH66" s="29"/>
      <c r="FI66" s="93"/>
      <c r="FJ66" s="29"/>
      <c r="FK66" s="29"/>
      <c r="FL66" s="29"/>
      <c r="FM66" s="29"/>
      <c r="FN66" s="29"/>
      <c r="FO66" s="29"/>
      <c r="FP66" s="93"/>
      <c r="FQ66" s="29"/>
      <c r="FR66" s="29"/>
      <c r="FS66" s="29"/>
      <c r="FT66" s="29"/>
      <c r="FU66" s="29"/>
      <c r="FV66" s="29"/>
    </row>
    <row r="67" spans="1:178" x14ac:dyDescent="0.25">
      <c r="A67" t="str">
        <f ca="1">IF(_xll.TM1RPTELISCONSOLIDATED($D$28,$D67),IF(_xll.TM1RPTELLEV($D$28,$D67)&lt;=3,_xll.TM1RPTELLEV($D$28,$D67),"D"),"N")</f>
        <v>N</v>
      </c>
      <c r="B67" t="str">
        <f ca="1">_xll.DBRA(Server&amp;"Management_organization",$D67,$B$27)</f>
        <v>L</v>
      </c>
      <c r="C67">
        <v>1</v>
      </c>
      <c r="D67" s="2" t="s">
        <v>112</v>
      </c>
      <c r="E67" s="26"/>
      <c r="F67" s="26"/>
      <c r="G67" s="16">
        <f ca="1">_xll.DBRW($D$4,$E$7,$E$8,$E$9,$E$10,$E$12,$D67,$E$6,G$18,G$17)</f>
        <v>-1.3363569999999325E-2</v>
      </c>
      <c r="H67" s="16">
        <f ca="1">_xll.DBRW($D$4,$E$7,$E$8,$E$9,$E$10,$E$12,$D67,$E$6,H$18,H$17)</f>
        <v>-0.92757519999999993</v>
      </c>
      <c r="I67" s="16">
        <f ca="1">_xll.DBRW($D$4,$E$7,$E$8,$E$9,$E$10,$E$12,$D67,$E$6,I$18,I$17)</f>
        <v>0</v>
      </c>
      <c r="J67" s="26">
        <f ca="1">_xll.DBRW($D$4,$E$7,$E$8,$E$9,$E$10,$E$12,$D67,$E$6,J$18,J$17)</f>
        <v>0</v>
      </c>
      <c r="K67" s="26">
        <f ca="1">_xll.DBRW($D$4,$E$7,$E$8,$E$9,$E$10,$E$12,$D67,$E$6,K$18,K$17)</f>
        <v>0</v>
      </c>
      <c r="L67" s="26">
        <f ca="1">_xll.DBRW($D$4,$E$7,$E$8,$E$9,$E$10,$E$12,$D67,$E$6,L$18,L$17)</f>
        <v>0</v>
      </c>
      <c r="M67" s="26">
        <f ca="1">_xll.DBRW($D$4,$E$7,$E$8,$E$9,$E$10,$E$12,$D67,$E$6,M$18,M$17)</f>
        <v>0</v>
      </c>
      <c r="N67" s="16">
        <f ca="1">_xll.DBRW($D$4,$E$7,$E$8,$E$9,$E$10,$E$12,$D67,$E$6,N$18,N$17)</f>
        <v>0.91421163000000061</v>
      </c>
      <c r="O67" s="16">
        <f ca="1">_xll.DBRW($D$4,$E$7,$E$8,$E$9,$E$10,$E$12,$D67,$E$6,O$18,O$17)</f>
        <v>13.0490519</v>
      </c>
      <c r="P67" s="74">
        <f ca="1">_xll.DBRW($D$4,$E$7,$E$8,$E$9,$E$10,$E$12,$D67,$E$6,P$18,P$17)</f>
        <v>-5.1518133600000011</v>
      </c>
      <c r="Q67" s="16">
        <f ca="1">_xll.DBRW($D$4,$E$7,$E$8,$E$9,$E$10,$E$12,$D67,$E$6,Q$18,Q$17)</f>
        <v>0.39480365312977267</v>
      </c>
      <c r="R67" s="16"/>
      <c r="S67" s="16"/>
      <c r="T67" s="16"/>
      <c r="U67" s="16"/>
      <c r="V67" s="16">
        <f ca="1">_xll.DBRW($D$4,$E$7,$E$8,$E$9,$E$10,$E$12,$D67,$E$6,V$18,V$17)</f>
        <v>-1.1634902599999999</v>
      </c>
      <c r="W67" s="16">
        <f ca="1">_xll.DBRW($D$4,$E$7,$E$8,$E$9,$E$10,$E$12,$D67,$E$6,W$18,W$17)</f>
        <v>8.9162819560860196E-2</v>
      </c>
      <c r="X67" s="16"/>
      <c r="Y67" s="16"/>
      <c r="Z67" s="16"/>
      <c r="AA67" s="16"/>
      <c r="AB67" s="16">
        <f ca="1">_xll.DBRW($D$4,$E$7,$E$8,$E$9,$E$10,$E$12,$D67,$E$6,AB$18,AB$17)</f>
        <v>-1.55823756</v>
      </c>
      <c r="AC67" s="16">
        <f ca="1">_xll.DBRW($D$4,$E$7,$E$8,$E$9,$E$10,$E$12,$D67,$E$6,AC$18,AC$17)</f>
        <v>0.11941385258801829</v>
      </c>
      <c r="AD67" s="16"/>
      <c r="AE67" s="16"/>
      <c r="AF67" s="16"/>
      <c r="AG67" s="16"/>
      <c r="AH67" s="16">
        <f ca="1">_xll.DBRW($D$4,$E$7,$E$8,$E$9,$E$10,$E$12,$D67,$E$6,AH$18,AH$17)</f>
        <v>-1.9563503099999997</v>
      </c>
      <c r="AI67" s="16">
        <f ca="1">_xll.DBRW($D$4,$E$7,$E$8,$E$9,$E$10,$E$12,$D67,$E$6,AI$18,AI$17)</f>
        <v>0.14992279324140015</v>
      </c>
      <c r="AJ67" s="16"/>
      <c r="AK67" s="16"/>
      <c r="AL67" s="16"/>
      <c r="AM67" s="16"/>
      <c r="AN67" s="16">
        <f ca="1">_xll.DBRW($D$4,$E$7,$E$8,$E$9,$E$10,$E$12,$D67,$E$6,AN$18,AN$17)</f>
        <v>-2.3049487800000001</v>
      </c>
      <c r="AO67" s="16">
        <f ca="1">_xll.DBRW($D$4,$E$7,$E$8,$E$9,$E$10,$E$12,$D67,$E$6,AO$18,AO$17)</f>
        <v>0.17663726052005357</v>
      </c>
      <c r="AP67" s="16"/>
      <c r="AQ67" s="16"/>
      <c r="AR67" s="16"/>
      <c r="AS67" s="16"/>
      <c r="AT67" s="16">
        <f ca="1">_xll.DBRW($D$4,$E$7,$E$8,$E$9,$E$10,$E$12,$D67,$E$6,AT$18,AT$17)</f>
        <v>0.24235053999999998</v>
      </c>
      <c r="AU67" s="16">
        <f ca="1">_xll.DBRW($D$4,$E$7,$E$8,$E$9,$E$10,$E$12,$D67,$E$6,AU$18,AU$17)</f>
        <v>5.5372820000000003</v>
      </c>
      <c r="AV67" s="16">
        <f ca="1">_xll.DBRW($D$4,$E$7,$E$8,$E$9,$E$10,$E$12,$D67,$E$6,AV$18,AV$17)</f>
        <v>5.5372820000000003</v>
      </c>
      <c r="AW67" s="16">
        <f ca="1">_xll.DBRW($D$4,$E$7,$E$8,$E$9,$E$10,$E$12,$D67,$E$6,AW$18,AW$17)</f>
        <v>5.5372820000000003</v>
      </c>
      <c r="AX67" s="16">
        <f ca="1">_xll.DBRW($D$4,$E$7,$E$8,$E$9,$E$10,$E$12,$D67,$E$6,AX$18,AX$17)</f>
        <v>1.6659126899999999</v>
      </c>
      <c r="AY67" s="16">
        <f ca="1">_xll.DBRW($D$4,$E$7,$E$8,$E$9,$E$10,$E$12,$D67,$E$6,AY$18,AY$17)</f>
        <v>5.5372820000000003</v>
      </c>
      <c r="AZ67" s="16">
        <f ca="1">_xll.DBRW($D$4,$E$7,$E$8,$E$9,$E$10,$E$12,$D67,$E$6,AZ$18,AZ$17)</f>
        <v>3.388306</v>
      </c>
      <c r="BA67" s="16">
        <f ca="1">_xll.DBRW($D$4,$E$7,$E$8,$E$9,$E$10,$E$12,$D67,$E$6,BA$18,BA$17)</f>
        <v>5.5372820000000003</v>
      </c>
      <c r="BB67" s="16">
        <f ca="1">_xll.DBRW($D$4,$E$7,$E$8,$E$9,$E$10,$E$12,$D67,$E$6,BB$18,BB$17)</f>
        <v>5.5372820000000003</v>
      </c>
      <c r="BC67" s="16">
        <f ca="1">_xll.DBRW($D$4,$E$7,$E$8,$E$9,$E$10,$E$12,$D67,$E$6,BC$18,BC$17)</f>
        <v>5.5372820000000003</v>
      </c>
      <c r="BD67" s="16">
        <f ca="1">_xll.DBRW($D$4,$E$7,$E$8,$E$9,$E$10,$E$12,$D67,$E$6,BD$18,BD$17)</f>
        <v>-0.48628447563259702</v>
      </c>
      <c r="BE67" s="16">
        <f ca="1">_xll.DBRW($D$4,$E$7,$E$8,$E$9,$E$10,$E$12,$D67,$E$6,BE$18,BE$17)</f>
        <v>-1.0740386543107729</v>
      </c>
      <c r="BF67" s="16">
        <f ca="1">_xll.DBRW($D$4,$E$7,$E$8,$E$9,$E$10,$E$12,$D67,$E$6,BF$18,BF$17)</f>
        <v>0</v>
      </c>
      <c r="BG67" s="26">
        <f ca="1">_xll.DBRW($D$4,$E$7,$E$8,$E$9,$E$10,$E$12,$D67,$E$6,BG$18,BG$17)</f>
        <v>0</v>
      </c>
      <c r="BH67" s="26">
        <f ca="1">_xll.DBRW($D$4,$E$7,$E$8,$E$9,$E$10,$E$12,$D67,$E$6,BH$18,BH$17)</f>
        <v>0</v>
      </c>
      <c r="BI67" s="26">
        <f ca="1">_xll.DBRW($D$4,$E$7,$E$8,$E$9,$E$10,$E$12,$D67,$E$6,BI$18,BI$17)</f>
        <v>0</v>
      </c>
      <c r="BJ67" s="26">
        <f ca="1">_xll.DBRW($D$4,$E$7,$E$8,$E$9,$E$10,$E$12,$D67,$E$6,BJ$18,BJ$17)</f>
        <v>0</v>
      </c>
      <c r="BK67" s="16">
        <f ca="1">_xll.DBRW($D$4,$E$7,$E$8,$E$9,$E$10,$E$12,$D67,$E$6,BK$18,BK$17)</f>
        <v>0.58775417867817592</v>
      </c>
      <c r="BL67" s="16">
        <f ca="1">_xll.DBRW($D$4,$E$7,$E$8,$E$9,$E$10,$E$12,$D67,$E$6,BL$18,BL$17)</f>
        <v>13.54235694248662</v>
      </c>
      <c r="BM67" s="16">
        <f ca="1">_xll.DBRW($D$4,$E$7,$E$8,$E$9,$E$10,$E$12,$D67,$E$6,BM$18,BM$17)</f>
        <v>-5.3077805475919604</v>
      </c>
      <c r="BN67" s="16">
        <f ca="1">_xll.DBRW($D$4,$E$7,$E$8,$E$9,$E$10,$E$12,$D67,$E$6,BN$18,BN$17)</f>
        <v>0.39193920010628197</v>
      </c>
      <c r="BO67" s="16"/>
      <c r="BP67" s="16"/>
      <c r="BQ67" s="16"/>
      <c r="BR67" s="16"/>
      <c r="BS67" s="16">
        <f ca="1">_xll.DBRW($D$4,$E$7,$E$8,$E$9,$E$10,$E$12,$D67,$E$6,BS$18,BS$17)</f>
        <v>-1.1541045856481666</v>
      </c>
      <c r="BT67" s="16">
        <f ca="1">_xll.DBRW($D$4,$E$7,$E$8,$E$9,$E$10,$E$12,$D67,$E$6,BT$18,BT$17)</f>
        <v>8.5221840669948576E-2</v>
      </c>
      <c r="BU67" s="16"/>
      <c r="BV67" s="16"/>
      <c r="BW67" s="16"/>
      <c r="BX67" s="16"/>
      <c r="BY67" s="16">
        <f ca="1">_xll.DBRW($D$4,$E$7,$E$8,$E$9,$E$10,$E$12,$D67,$E$6,BY$18,BY$17)</f>
        <v>-1.4850376465447785</v>
      </c>
      <c r="BZ67" s="16">
        <f ca="1">_xll.DBRW($D$4,$E$7,$E$8,$E$9,$E$10,$E$12,$D67,$E$6,BZ$18,BZ$17)</f>
        <v>0.10965872874652638</v>
      </c>
      <c r="CA67" s="16"/>
      <c r="CB67" s="16"/>
      <c r="CC67" s="16"/>
      <c r="CD67" s="16"/>
      <c r="CE67" s="16">
        <f ca="1">_xll.DBRW($D$4,$E$7,$E$8,$E$9,$E$10,$E$12,$D67,$E$6,CE$18,CE$17)</f>
        <v>-2.4945606849882482</v>
      </c>
      <c r="CF67" s="16">
        <f ca="1">_xll.DBRW($D$4,$E$7,$E$8,$E$9,$E$10,$E$12,$D67,$E$6,CF$18,CF$17)</f>
        <v>0.18420432245158369</v>
      </c>
      <c r="CG67" s="16"/>
      <c r="CH67" s="16"/>
      <c r="CI67" s="16"/>
      <c r="CJ67" s="16"/>
      <c r="CK67" s="16">
        <f ca="1">_xll.DBRW($D$4,$E$7,$E$8,$E$9,$E$10,$E$12,$D67,$E$6,CK$18,CK$17)</f>
        <v>-2.5131192990352909</v>
      </c>
      <c r="CL67" s="16">
        <f ca="1">_xll.DBRW($D$4,$E$7,$E$8,$E$9,$E$10,$E$12,$D67,$E$6,CL$18,CL$17)</f>
        <v>0.18557473486397685</v>
      </c>
      <c r="CM67" s="16"/>
      <c r="CN67" s="16"/>
      <c r="CO67" s="16"/>
      <c r="CP67" s="16"/>
      <c r="CQ67" s="16">
        <f ca="1">_xll.DBRW($D$4,$E$7,$E$8,$E$9,$E$10,$E$12,$D67,$E$6,CQ$18,CQ$17)</f>
        <v>0.25162445058088478</v>
      </c>
      <c r="CR67" s="16">
        <f ca="1">_xll.DBRW($D$4,$E$7,$E$8,$E$9,$E$10,$E$12,$D67,$E$6,CR$18,CR$17)</f>
        <v>5.8868738335810313</v>
      </c>
      <c r="CS67" s="16">
        <f ca="1">_xll.DBRW($D$4,$E$7,$E$8,$E$9,$E$10,$E$12,$D67,$E$6,CS$18,CS$17)</f>
        <v>5.8868738335810313</v>
      </c>
      <c r="CT67" s="16">
        <f ca="1">_xll.DBRW($D$4,$E$7,$E$8,$E$9,$E$10,$E$12,$D67,$E$6,CT$18,CT$17)</f>
        <v>5.8868738335810313</v>
      </c>
      <c r="CU67" s="16">
        <f ca="1">_xll.DBRW($D$4,$E$7,$E$8,$E$9,$E$10,$E$12,$D67,$E$6,CU$18,CU$17)</f>
        <v>1.7710645754857297</v>
      </c>
      <c r="CV67" s="16">
        <f ca="1">_xll.DBRW($D$4,$E$7,$E$8,$E$9,$E$10,$E$12,$D67,$E$6,CV$18,CV$17)</f>
        <v>5.8868738335810313</v>
      </c>
      <c r="CW67" s="16">
        <f ca="1">_xll.DBRW($D$4,$E$7,$E$8,$E$9,$E$10,$E$12,$D67,$E$6,CW$18,CW$17)</f>
        <v>3.5806288726410198</v>
      </c>
      <c r="CX67" s="16">
        <f ca="1">_xll.DBRW($D$4,$E$7,$E$8,$E$9,$E$10,$E$12,$D67,$E$6,CX$18,CX$17)</f>
        <v>5.8868738335810313</v>
      </c>
      <c r="CY67" s="16">
        <f ca="1">_xll.DBRW($D$4,$E$7,$E$8,$E$9,$E$10,$E$12,$D67,$E$6,CY$18,CY$17)</f>
        <v>5.8868738335810313</v>
      </c>
      <c r="CZ67" s="16">
        <f ca="1">_xll.DBRW($D$4,$E$7,$E$8,$E$9,$E$10,$E$12,$D67,$E$6,CZ$18,CZ$17)</f>
        <v>5.8868738335810313</v>
      </c>
      <c r="DA67" s="26">
        <f t="shared" ca="1" si="89"/>
        <v>0.4729209056325977</v>
      </c>
      <c r="DB67" s="26">
        <f t="shared" ca="1" si="90"/>
        <v>0.14646345431077301</v>
      </c>
      <c r="DC67" s="26">
        <f t="shared" ca="1" si="91"/>
        <v>0</v>
      </c>
      <c r="DD67" s="26">
        <f t="shared" ca="1" si="92"/>
        <v>0</v>
      </c>
      <c r="DE67" s="26">
        <f t="shared" ca="1" si="93"/>
        <v>0</v>
      </c>
      <c r="DF67" s="26">
        <f t="shared" ca="1" si="94"/>
        <v>0</v>
      </c>
      <c r="DG67" s="26">
        <f t="shared" ca="1" si="95"/>
        <v>0</v>
      </c>
      <c r="DH67" s="26">
        <f t="shared" ca="1" si="96"/>
        <v>0.32645745132182469</v>
      </c>
      <c r="DI67" s="26">
        <f t="shared" ca="1" si="97"/>
        <v>-0.49330504248661988</v>
      </c>
      <c r="DJ67" s="26">
        <f t="shared" ca="1" si="98"/>
        <v>0.15596718759195927</v>
      </c>
      <c r="DK67" s="26">
        <f t="shared" ca="1" si="99"/>
        <v>2.8644530234906984E-3</v>
      </c>
      <c r="DL67" s="26"/>
      <c r="DM67" s="26"/>
      <c r="DN67" s="26"/>
      <c r="DO67" s="26"/>
      <c r="DP67" s="26">
        <f t="shared" ca="1" si="100"/>
        <v>-9.3856743518332397E-3</v>
      </c>
      <c r="DQ67" s="26">
        <f t="shared" ca="1" si="101"/>
        <v>3.94097889091162E-3</v>
      </c>
      <c r="DR67" s="26"/>
      <c r="DS67" s="26"/>
      <c r="DT67" s="26"/>
      <c r="DU67" s="26"/>
      <c r="DV67" s="26">
        <f t="shared" ca="1" si="102"/>
        <v>-7.3199913455221477E-2</v>
      </c>
      <c r="DW67" s="26">
        <f t="shared" ca="1" si="103"/>
        <v>9.7551238414919084E-3</v>
      </c>
      <c r="DX67" s="26"/>
      <c r="DY67" s="26"/>
      <c r="DZ67" s="26"/>
      <c r="EA67" s="26"/>
      <c r="EB67" s="26">
        <f t="shared" ca="1" si="104"/>
        <v>0.53821037498824853</v>
      </c>
      <c r="EC67" s="26">
        <f t="shared" ca="1" si="105"/>
        <v>-3.4281529210183542E-2</v>
      </c>
      <c r="ED67" s="26"/>
      <c r="EE67" s="26"/>
      <c r="EF67" s="26"/>
      <c r="EG67" s="26"/>
      <c r="EH67" s="26">
        <f t="shared" ca="1" si="106"/>
        <v>0.20817051903529071</v>
      </c>
      <c r="EI67" s="29">
        <f t="shared" ca="1" si="107"/>
        <v>-8.9374743439232796E-3</v>
      </c>
      <c r="EJ67" s="29"/>
      <c r="EK67" s="29"/>
      <c r="EL67" s="29"/>
      <c r="EM67" s="29"/>
      <c r="EN67" s="93"/>
      <c r="EO67" s="29"/>
      <c r="EP67" s="29"/>
      <c r="EQ67" s="29"/>
      <c r="ER67" s="29"/>
      <c r="ES67" s="29"/>
      <c r="ET67" s="29"/>
      <c r="EU67" s="93"/>
      <c r="EV67" s="29"/>
      <c r="EW67" s="29"/>
      <c r="EX67" s="29"/>
      <c r="EY67" s="29"/>
      <c r="EZ67" s="29"/>
      <c r="FA67" s="29"/>
      <c r="FB67" s="93"/>
      <c r="FC67" s="29"/>
      <c r="FD67" s="29"/>
      <c r="FE67" s="29"/>
      <c r="FF67" s="29"/>
      <c r="FG67" s="29"/>
      <c r="FH67" s="29"/>
      <c r="FI67" s="93"/>
      <c r="FJ67" s="29"/>
      <c r="FK67" s="29"/>
      <c r="FL67" s="29"/>
      <c r="FM67" s="29"/>
      <c r="FN67" s="29"/>
      <c r="FO67" s="29"/>
      <c r="FP67" s="93"/>
      <c r="FQ67" s="29"/>
      <c r="FR67" s="29"/>
      <c r="FS67" s="29"/>
      <c r="FT67" s="29"/>
      <c r="FU67" s="29"/>
      <c r="FV67" s="29"/>
    </row>
    <row r="68" spans="1:178" x14ac:dyDescent="0.25">
      <c r="A68" t="str">
        <f ca="1">IF(_xll.TM1RPTELISCONSOLIDATED($D$28,$D68),IF(_xll.TM1RPTELLEV($D$28,$D68)&lt;=3,_xll.TM1RPTELLEV($D$28,$D68),"D"),"N")</f>
        <v>N</v>
      </c>
      <c r="B68" t="str">
        <f ca="1">_xll.DBRA(Server&amp;"Management_organization",$D68,$B$27)</f>
        <v>L</v>
      </c>
      <c r="C68">
        <v>1</v>
      </c>
      <c r="D68" s="2" t="s">
        <v>113</v>
      </c>
      <c r="E68" s="26"/>
      <c r="F68" s="26"/>
      <c r="G68" s="16">
        <f ca="1">_xll.DBRW($D$4,$E$7,$E$8,$E$9,$E$10,$E$12,$D68,$E$6,G$18,G$17)</f>
        <v>-0.38971490999999947</v>
      </c>
      <c r="H68" s="16">
        <f ca="1">_xll.DBRW($D$4,$E$7,$E$8,$E$9,$E$10,$E$12,$D68,$E$6,H$18,H$17)</f>
        <v>-2.3031149699999998</v>
      </c>
      <c r="I68" s="16">
        <f ca="1">_xll.DBRW($D$4,$E$7,$E$8,$E$9,$E$10,$E$12,$D68,$E$6,I$18,I$17)</f>
        <v>0</v>
      </c>
      <c r="J68" s="26">
        <f ca="1">_xll.DBRW($D$4,$E$7,$E$8,$E$9,$E$10,$E$12,$D68,$E$6,J$18,J$17)</f>
        <v>0</v>
      </c>
      <c r="K68" s="26">
        <f ca="1">_xll.DBRW($D$4,$E$7,$E$8,$E$9,$E$10,$E$12,$D68,$E$6,K$18,K$17)</f>
        <v>0</v>
      </c>
      <c r="L68" s="26">
        <f ca="1">_xll.DBRW($D$4,$E$7,$E$8,$E$9,$E$10,$E$12,$D68,$E$6,L$18,L$17)</f>
        <v>0</v>
      </c>
      <c r="M68" s="26">
        <f ca="1">_xll.DBRW($D$4,$E$7,$E$8,$E$9,$E$10,$E$12,$D68,$E$6,M$18,M$17)</f>
        <v>0</v>
      </c>
      <c r="N68" s="16">
        <f ca="1">_xll.DBRW($D$4,$E$7,$E$8,$E$9,$E$10,$E$12,$D68,$E$6,N$18,N$17)</f>
        <v>1.9134000600000003</v>
      </c>
      <c r="O68" s="16">
        <f ca="1">_xll.DBRW($D$4,$E$7,$E$8,$E$9,$E$10,$E$12,$D68,$E$6,O$18,O$17)</f>
        <v>13.716562120000001</v>
      </c>
      <c r="P68" s="74">
        <f ca="1">_xll.DBRW($D$4,$E$7,$E$8,$E$9,$E$10,$E$12,$D68,$E$6,P$18,P$17)</f>
        <v>-5.0563704300000012</v>
      </c>
      <c r="Q68" s="16">
        <f ca="1">_xll.DBRW($D$4,$E$7,$E$8,$E$9,$E$10,$E$12,$D68,$E$6,Q$18,Q$17)</f>
        <v>0.36863248864869363</v>
      </c>
      <c r="R68" s="16"/>
      <c r="S68" s="16"/>
      <c r="T68" s="16"/>
      <c r="U68" s="16"/>
      <c r="V68" s="16">
        <f ca="1">_xll.DBRW($D$4,$E$7,$E$8,$E$9,$E$10,$E$12,$D68,$E$6,V$18,V$17)</f>
        <v>-1.02361784</v>
      </c>
      <c r="W68" s="16">
        <f ca="1">_xll.DBRW($D$4,$E$7,$E$8,$E$9,$E$10,$E$12,$D68,$E$6,W$18,W$17)</f>
        <v>7.4626413750386603E-2</v>
      </c>
      <c r="X68" s="16"/>
      <c r="Y68" s="16"/>
      <c r="Z68" s="16"/>
      <c r="AA68" s="16"/>
      <c r="AB68" s="16">
        <f ca="1">_xll.DBRW($D$4,$E$7,$E$8,$E$9,$E$10,$E$12,$D68,$E$6,AB$18,AB$17)</f>
        <v>-1.5814054399999997</v>
      </c>
      <c r="AC68" s="16">
        <f ca="1">_xll.DBRW($D$4,$E$7,$E$8,$E$9,$E$10,$E$12,$D68,$E$6,AC$18,AC$17)</f>
        <v>0.1152916763081739</v>
      </c>
      <c r="AD68" s="16"/>
      <c r="AE68" s="16"/>
      <c r="AF68" s="16"/>
      <c r="AG68" s="16"/>
      <c r="AH68" s="16">
        <f ca="1">_xll.DBRW($D$4,$E$7,$E$8,$E$9,$E$10,$E$12,$D68,$E$6,AH$18,AH$17)</f>
        <v>-1.6192264300000003</v>
      </c>
      <c r="AI68" s="16">
        <f ca="1">_xll.DBRW($D$4,$E$7,$E$8,$E$9,$E$10,$E$12,$D68,$E$6,AI$18,AI$17)</f>
        <v>0.11804899914673374</v>
      </c>
      <c r="AJ68" s="16"/>
      <c r="AK68" s="16"/>
      <c r="AL68" s="16"/>
      <c r="AM68" s="16"/>
      <c r="AN68" s="16">
        <f ca="1">_xll.DBRW($D$4,$E$7,$E$8,$E$9,$E$10,$E$12,$D68,$E$6,AN$18,AN$17)</f>
        <v>-2.5225419200000001</v>
      </c>
      <c r="AO68" s="16">
        <f ca="1">_xll.DBRW($D$4,$E$7,$E$8,$E$9,$E$10,$E$12,$D68,$E$6,AO$18,AO$17)</f>
        <v>0.18390482235500566</v>
      </c>
      <c r="AP68" s="16"/>
      <c r="AQ68" s="16"/>
      <c r="AR68" s="16"/>
      <c r="AS68" s="16"/>
      <c r="AT68" s="16">
        <f ca="1">_xll.DBRW($D$4,$E$7,$E$8,$E$9,$E$10,$E$12,$D68,$E$6,AT$18,AT$17)</f>
        <v>0.22434869999999998</v>
      </c>
      <c r="AU68" s="16">
        <f ca="1">_xll.DBRW($D$4,$E$7,$E$8,$E$9,$E$10,$E$12,$D68,$E$6,AU$18,AU$17)</f>
        <v>5.822972</v>
      </c>
      <c r="AV68" s="16">
        <f ca="1">_xll.DBRW($D$4,$E$7,$E$8,$E$9,$E$10,$E$12,$D68,$E$6,AV$18,AV$17)</f>
        <v>5.822972</v>
      </c>
      <c r="AW68" s="16">
        <f ca="1">_xll.DBRW($D$4,$E$7,$E$8,$E$9,$E$10,$E$12,$D68,$E$6,AW$18,AW$17)</f>
        <v>5.822972</v>
      </c>
      <c r="AX68" s="16">
        <f ca="1">_xll.DBRW($D$4,$E$7,$E$8,$E$9,$E$10,$E$12,$D68,$E$6,AX$18,AX$17)</f>
        <v>1.7492019999999999</v>
      </c>
      <c r="AY68" s="16">
        <f ca="1">_xll.DBRW($D$4,$E$7,$E$8,$E$9,$E$10,$E$12,$D68,$E$6,AY$18,AY$17)</f>
        <v>5.822972</v>
      </c>
      <c r="AZ68" s="16">
        <f ca="1">_xll.DBRW($D$4,$E$7,$E$8,$E$9,$E$10,$E$12,$D68,$E$6,AZ$18,AZ$17)</f>
        <v>3.9649110000000003</v>
      </c>
      <c r="BA68" s="16">
        <f ca="1">_xll.DBRW($D$4,$E$7,$E$8,$E$9,$E$10,$E$12,$D68,$E$6,BA$18,BA$17)</f>
        <v>5.822972</v>
      </c>
      <c r="BB68" s="16">
        <f ca="1">_xll.DBRW($D$4,$E$7,$E$8,$E$9,$E$10,$E$12,$D68,$E$6,BB$18,BB$17)</f>
        <v>5.822972</v>
      </c>
      <c r="BC68" s="16">
        <f ca="1">_xll.DBRW($D$4,$E$7,$E$8,$E$9,$E$10,$E$12,$D68,$E$6,BC$18,BC$17)</f>
        <v>5.822972</v>
      </c>
      <c r="BD68" s="16">
        <f ca="1">_xll.DBRW($D$4,$E$7,$E$8,$E$9,$E$10,$E$12,$D68,$E$6,BD$18,BD$17)</f>
        <v>0.64156112046479807</v>
      </c>
      <c r="BE68" s="16">
        <f ca="1">_xll.DBRW($D$4,$E$7,$E$8,$E$9,$E$10,$E$12,$D68,$E$6,BE$18,BE$17)</f>
        <v>-1.230526</v>
      </c>
      <c r="BF68" s="16">
        <f ca="1">_xll.DBRW($D$4,$E$7,$E$8,$E$9,$E$10,$E$12,$D68,$E$6,BF$18,BF$17)</f>
        <v>0</v>
      </c>
      <c r="BG68" s="26">
        <f ca="1">_xll.DBRW($D$4,$E$7,$E$8,$E$9,$E$10,$E$12,$D68,$E$6,BG$18,BG$17)</f>
        <v>0</v>
      </c>
      <c r="BH68" s="26">
        <f ca="1">_xll.DBRW($D$4,$E$7,$E$8,$E$9,$E$10,$E$12,$D68,$E$6,BH$18,BH$17)</f>
        <v>0</v>
      </c>
      <c r="BI68" s="26">
        <f ca="1">_xll.DBRW($D$4,$E$7,$E$8,$E$9,$E$10,$E$12,$D68,$E$6,BI$18,BI$17)</f>
        <v>0</v>
      </c>
      <c r="BJ68" s="26">
        <f ca="1">_xll.DBRW($D$4,$E$7,$E$8,$E$9,$E$10,$E$12,$D68,$E$6,BJ$18,BJ$17)</f>
        <v>0</v>
      </c>
      <c r="BK68" s="16">
        <f ca="1">_xll.DBRW($D$4,$E$7,$E$8,$E$9,$E$10,$E$12,$D68,$E$6,BK$18,BK$17)</f>
        <v>1.8720871204647984</v>
      </c>
      <c r="BL68" s="16">
        <f ca="1">_xll.DBRW($D$4,$E$7,$E$8,$E$9,$E$10,$E$12,$D68,$E$6,BL$18,BL$17)</f>
        <v>14.967234999999995</v>
      </c>
      <c r="BM68" s="16">
        <f ca="1">_xll.DBRW($D$4,$E$7,$E$8,$E$9,$E$10,$E$12,$D68,$E$6,BM$18,BM$17)</f>
        <v>-5.6098330000000001</v>
      </c>
      <c r="BN68" s="16">
        <f ca="1">_xll.DBRW($D$4,$E$7,$E$8,$E$9,$E$10,$E$12,$D68,$E$6,BN$18,BN$17)</f>
        <v>0.37480757133832682</v>
      </c>
      <c r="BO68" s="16"/>
      <c r="BP68" s="16"/>
      <c r="BQ68" s="16"/>
      <c r="BR68" s="16"/>
      <c r="BS68" s="16">
        <f ca="1">_xll.DBRW($D$4,$E$7,$E$8,$E$9,$E$10,$E$12,$D68,$E$6,BS$18,BS$17)</f>
        <v>-1.1465837124</v>
      </c>
      <c r="BT68" s="16">
        <f ca="1">_xll.DBRW($D$4,$E$7,$E$8,$E$9,$E$10,$E$12,$D68,$E$6,BT$18,BT$17)</f>
        <v>7.6606247740481151E-2</v>
      </c>
      <c r="BU68" s="16"/>
      <c r="BV68" s="16"/>
      <c r="BW68" s="16"/>
      <c r="BX68" s="16"/>
      <c r="BY68" s="16">
        <f ca="1">_xll.DBRW($D$4,$E$7,$E$8,$E$9,$E$10,$E$12,$D68,$E$6,BY$18,BY$17)</f>
        <v>-1.5842001671352</v>
      </c>
      <c r="BZ68" s="16">
        <f ca="1">_xll.DBRW($D$4,$E$7,$E$8,$E$9,$E$10,$E$12,$D68,$E$6,BZ$18,BZ$17)</f>
        <v>0.10584454424181891</v>
      </c>
      <c r="CA68" s="16"/>
      <c r="CB68" s="16"/>
      <c r="CC68" s="16"/>
      <c r="CD68" s="16"/>
      <c r="CE68" s="16">
        <f ca="1">_xll.DBRW($D$4,$E$7,$E$8,$E$9,$E$10,$E$12,$D68,$E$6,CE$18,CE$17)</f>
        <v>-1.7325599999999999</v>
      </c>
      <c r="CF68" s="16">
        <f ca="1">_xll.DBRW($D$4,$E$7,$E$8,$E$9,$E$10,$E$12,$D68,$E$6,CF$18,CF$17)</f>
        <v>0.1157568515494011</v>
      </c>
      <c r="CG68" s="16"/>
      <c r="CH68" s="16"/>
      <c r="CI68" s="16"/>
      <c r="CJ68" s="16"/>
      <c r="CK68" s="16">
        <f ca="1">_xll.DBRW($D$4,$E$7,$E$8,$E$9,$E$10,$E$12,$D68,$E$6,CK$18,CK$17)</f>
        <v>-3.0219709999999997</v>
      </c>
      <c r="CL68" s="16">
        <f ca="1">_xll.DBRW($D$4,$E$7,$E$8,$E$9,$E$10,$E$12,$D68,$E$6,CL$18,CL$17)</f>
        <v>0.20190576282125594</v>
      </c>
      <c r="CM68" s="16"/>
      <c r="CN68" s="16"/>
      <c r="CO68" s="16"/>
      <c r="CP68" s="16"/>
      <c r="CQ68" s="16">
        <f ca="1">_xll.DBRW($D$4,$E$7,$E$8,$E$9,$E$10,$E$12,$D68,$E$6,CQ$18,CQ$17)</f>
        <v>0.23815699999999998</v>
      </c>
      <c r="CR68" s="16">
        <f ca="1">_xll.DBRW($D$4,$E$7,$E$8,$E$9,$E$10,$E$12,$D68,$E$6,CR$18,CR$17)</f>
        <v>6.1949559999999977</v>
      </c>
      <c r="CS68" s="16">
        <f ca="1">_xll.DBRW($D$4,$E$7,$E$8,$E$9,$E$10,$E$12,$D68,$E$6,CS$18,CS$17)</f>
        <v>6.1949559999999977</v>
      </c>
      <c r="CT68" s="16">
        <f ca="1">_xll.DBRW($D$4,$E$7,$E$8,$E$9,$E$10,$E$12,$D68,$E$6,CT$18,CT$17)</f>
        <v>6.1949559999999977</v>
      </c>
      <c r="CU68" s="16">
        <f ca="1">_xll.DBRW($D$4,$E$7,$E$8,$E$9,$E$10,$E$12,$D68,$E$6,CU$18,CU$17)</f>
        <v>1.8956565359999997</v>
      </c>
      <c r="CV68" s="16">
        <f ca="1">_xll.DBRW($D$4,$E$7,$E$8,$E$9,$E$10,$E$12,$D68,$E$6,CV$18,CV$17)</f>
        <v>6.1949559999999977</v>
      </c>
      <c r="CW68" s="16">
        <f ca="1">_xll.DBRW($D$4,$E$7,$E$8,$E$9,$E$10,$E$12,$D68,$E$6,CW$18,CW$17)</f>
        <v>4.3219070000000004</v>
      </c>
      <c r="CX68" s="16">
        <f ca="1">_xll.DBRW($D$4,$E$7,$E$8,$E$9,$E$10,$E$12,$D68,$E$6,CX$18,CX$17)</f>
        <v>6.1949559999999977</v>
      </c>
      <c r="CY68" s="16">
        <f ca="1">_xll.DBRW($D$4,$E$7,$E$8,$E$9,$E$10,$E$12,$D68,$E$6,CY$18,CY$17)</f>
        <v>6.1949559999999977</v>
      </c>
      <c r="CZ68" s="16">
        <f ca="1">_xll.DBRW($D$4,$E$7,$E$8,$E$9,$E$10,$E$12,$D68,$E$6,CZ$18,CZ$17)</f>
        <v>6.1949559999999977</v>
      </c>
      <c r="DA68" s="26">
        <f t="shared" ca="1" si="89"/>
        <v>-1.0312760304647974</v>
      </c>
      <c r="DB68" s="26">
        <f t="shared" ca="1" si="90"/>
        <v>-1.0725889699999998</v>
      </c>
      <c r="DC68" s="26">
        <f t="shared" ca="1" si="91"/>
        <v>0</v>
      </c>
      <c r="DD68" s="26">
        <f t="shared" ca="1" si="92"/>
        <v>0</v>
      </c>
      <c r="DE68" s="26">
        <f t="shared" ca="1" si="93"/>
        <v>0</v>
      </c>
      <c r="DF68" s="26">
        <f t="shared" ca="1" si="94"/>
        <v>0</v>
      </c>
      <c r="DG68" s="26">
        <f t="shared" ca="1" si="95"/>
        <v>0</v>
      </c>
      <c r="DH68" s="26">
        <f t="shared" ca="1" si="96"/>
        <v>4.1312939535201876E-2</v>
      </c>
      <c r="DI68" s="26">
        <f t="shared" ca="1" si="97"/>
        <v>-1.2506728799999944</v>
      </c>
      <c r="DJ68" s="26">
        <f t="shared" ca="1" si="98"/>
        <v>0.55346256999999888</v>
      </c>
      <c r="DK68" s="26">
        <f t="shared" ca="1" si="99"/>
        <v>-6.1750826896331823E-3</v>
      </c>
      <c r="DL68" s="26"/>
      <c r="DM68" s="26"/>
      <c r="DN68" s="26"/>
      <c r="DO68" s="26"/>
      <c r="DP68" s="26">
        <f t="shared" ca="1" si="100"/>
        <v>0.12296587240000001</v>
      </c>
      <c r="DQ68" s="26">
        <f t="shared" ca="1" si="101"/>
        <v>-1.9798339900945483E-3</v>
      </c>
      <c r="DR68" s="26"/>
      <c r="DS68" s="26"/>
      <c r="DT68" s="26"/>
      <c r="DU68" s="26"/>
      <c r="DV68" s="26">
        <f t="shared" ca="1" si="102"/>
        <v>2.7947271352002367E-3</v>
      </c>
      <c r="DW68" s="26">
        <f t="shared" ca="1" si="103"/>
        <v>9.4471320663549879E-3</v>
      </c>
      <c r="DX68" s="26"/>
      <c r="DY68" s="26"/>
      <c r="DZ68" s="26"/>
      <c r="EA68" s="26"/>
      <c r="EB68" s="26">
        <f t="shared" ca="1" si="104"/>
        <v>0.11333356999999955</v>
      </c>
      <c r="EC68" s="26">
        <f t="shared" ca="1" si="105"/>
        <v>2.2921475973326361E-3</v>
      </c>
      <c r="ED68" s="26"/>
      <c r="EE68" s="26"/>
      <c r="EF68" s="26"/>
      <c r="EG68" s="26"/>
      <c r="EH68" s="26">
        <f t="shared" ca="1" si="106"/>
        <v>0.49942907999999964</v>
      </c>
      <c r="EI68" s="29">
        <f t="shared" ca="1" si="107"/>
        <v>-1.8000940466250281E-2</v>
      </c>
      <c r="EJ68" s="29"/>
      <c r="EK68" s="29"/>
      <c r="EL68" s="29"/>
      <c r="EM68" s="29"/>
      <c r="EN68" s="93"/>
      <c r="EO68" s="29"/>
      <c r="EP68" s="29"/>
      <c r="EQ68" s="29"/>
      <c r="ER68" s="29"/>
      <c r="ES68" s="29"/>
      <c r="ET68" s="29"/>
      <c r="EU68" s="93"/>
      <c r="EV68" s="29"/>
      <c r="EW68" s="29"/>
      <c r="EX68" s="29"/>
      <c r="EY68" s="29"/>
      <c r="EZ68" s="29"/>
      <c r="FA68" s="29"/>
      <c r="FB68" s="93"/>
      <c r="FC68" s="29"/>
      <c r="FD68" s="29"/>
      <c r="FE68" s="29"/>
      <c r="FF68" s="29"/>
      <c r="FG68" s="29"/>
      <c r="FH68" s="29"/>
      <c r="FI68" s="93"/>
      <c r="FJ68" s="29"/>
      <c r="FK68" s="29"/>
      <c r="FL68" s="29"/>
      <c r="FM68" s="29"/>
      <c r="FN68" s="29"/>
      <c r="FO68" s="29"/>
      <c r="FP68" s="93"/>
      <c r="FQ68" s="29"/>
      <c r="FR68" s="29"/>
      <c r="FS68" s="29"/>
      <c r="FT68" s="29"/>
      <c r="FU68" s="29"/>
      <c r="FV68" s="29"/>
    </row>
    <row r="69" spans="1:178" x14ac:dyDescent="0.25">
      <c r="A69" t="str">
        <f ca="1">IF(_xll.TM1RPTELISCONSOLIDATED($D$28,$D69),IF(_xll.TM1RPTELLEV($D$28,$D69)&lt;=3,_xll.TM1RPTELLEV($D$28,$D69),"D"),"N")</f>
        <v>N</v>
      </c>
      <c r="B69" t="str">
        <f ca="1">_xll.DBRA(Server&amp;"Management_organization",$D69,$B$27)</f>
        <v>L</v>
      </c>
      <c r="C69">
        <v>1</v>
      </c>
      <c r="D69" s="2" t="s">
        <v>114</v>
      </c>
      <c r="E69" s="26"/>
      <c r="F69" s="26"/>
      <c r="G69" s="16">
        <f ca="1">_xll.DBRW($D$4,$E$7,$E$8,$E$9,$E$10,$E$12,$D69,$E$6,G$18,G$17)</f>
        <v>0.52701736999999627</v>
      </c>
      <c r="H69" s="16">
        <f ca="1">_xll.DBRW($D$4,$E$7,$E$8,$E$9,$E$10,$E$12,$D69,$E$6,H$18,H$17)</f>
        <v>-0.81223987999999991</v>
      </c>
      <c r="I69" s="16">
        <f ca="1">_xll.DBRW($D$4,$E$7,$E$8,$E$9,$E$10,$E$12,$D69,$E$6,I$18,I$17)</f>
        <v>0</v>
      </c>
      <c r="J69" s="26">
        <f ca="1">_xll.DBRW($D$4,$E$7,$E$8,$E$9,$E$10,$E$12,$D69,$E$6,J$18,J$17)</f>
        <v>0</v>
      </c>
      <c r="K69" s="26">
        <f ca="1">_xll.DBRW($D$4,$E$7,$E$8,$E$9,$E$10,$E$12,$D69,$E$6,K$18,K$17)</f>
        <v>0</v>
      </c>
      <c r="L69" s="26">
        <f ca="1">_xll.DBRW($D$4,$E$7,$E$8,$E$9,$E$10,$E$12,$D69,$E$6,L$18,L$17)</f>
        <v>0</v>
      </c>
      <c r="M69" s="26">
        <f ca="1">_xll.DBRW($D$4,$E$7,$E$8,$E$9,$E$10,$E$12,$D69,$E$6,M$18,M$17)</f>
        <v>0</v>
      </c>
      <c r="N69" s="16">
        <f ca="1">_xll.DBRW($D$4,$E$7,$E$8,$E$9,$E$10,$E$12,$D69,$E$6,N$18,N$17)</f>
        <v>1.3392572499999964</v>
      </c>
      <c r="O69" s="16">
        <f ca="1">_xll.DBRW($D$4,$E$7,$E$8,$E$9,$E$10,$E$12,$D69,$E$6,O$18,O$17)</f>
        <v>15.674388279999999</v>
      </c>
      <c r="P69" s="74">
        <f ca="1">_xll.DBRW($D$4,$E$7,$E$8,$E$9,$E$10,$E$12,$D69,$E$6,P$18,P$17)</f>
        <v>-6.1878554399999999</v>
      </c>
      <c r="Q69" s="16">
        <f ca="1">_xll.DBRW($D$4,$E$7,$E$8,$E$9,$E$10,$E$12,$D69,$E$6,Q$18,Q$17)</f>
        <v>0.39477492387345658</v>
      </c>
      <c r="R69" s="16"/>
      <c r="S69" s="16"/>
      <c r="T69" s="16"/>
      <c r="U69" s="16"/>
      <c r="V69" s="16">
        <f ca="1">_xll.DBRW($D$4,$E$7,$E$8,$E$9,$E$10,$E$12,$D69,$E$6,V$18,V$17)</f>
        <v>-2.06408039</v>
      </c>
      <c r="W69" s="16">
        <f ca="1">_xll.DBRW($D$4,$E$7,$E$8,$E$9,$E$10,$E$12,$D69,$E$6,W$18,W$17)</f>
        <v>0.13168490872678573</v>
      </c>
      <c r="X69" s="16"/>
      <c r="Y69" s="16"/>
      <c r="Z69" s="16"/>
      <c r="AA69" s="16"/>
      <c r="AB69" s="16">
        <f ca="1">_xll.DBRW($D$4,$E$7,$E$8,$E$9,$E$10,$E$12,$D69,$E$6,AB$18,AB$17)</f>
        <v>-1.9920308599999996</v>
      </c>
      <c r="AC69" s="16">
        <f ca="1">_xll.DBRW($D$4,$E$7,$E$8,$E$9,$E$10,$E$12,$D69,$E$6,AC$18,AC$17)</f>
        <v>0.12708826809794965</v>
      </c>
      <c r="AD69" s="16"/>
      <c r="AE69" s="16"/>
      <c r="AF69" s="16"/>
      <c r="AG69" s="16"/>
      <c r="AH69" s="16">
        <f ca="1">_xll.DBRW($D$4,$E$7,$E$8,$E$9,$E$10,$E$12,$D69,$E$6,AH$18,AH$17)</f>
        <v>-1.7494960799999997</v>
      </c>
      <c r="AI69" s="16">
        <f ca="1">_xll.DBRW($D$4,$E$7,$E$8,$E$9,$E$10,$E$12,$D69,$E$6,AI$18,AI$17)</f>
        <v>0.11161495101102599</v>
      </c>
      <c r="AJ69" s="16"/>
      <c r="AK69" s="16"/>
      <c r="AL69" s="16"/>
      <c r="AM69" s="16"/>
      <c r="AN69" s="16">
        <f ca="1">_xll.DBRW($D$4,$E$7,$E$8,$E$9,$E$10,$E$12,$D69,$E$6,AN$18,AN$17)</f>
        <v>-2.3570426799999997</v>
      </c>
      <c r="AO69" s="16">
        <f ca="1">_xll.DBRW($D$4,$E$7,$E$8,$E$9,$E$10,$E$12,$D69,$E$6,AO$18,AO$17)</f>
        <v>0.15037541739396032</v>
      </c>
      <c r="AP69" s="16"/>
      <c r="AQ69" s="16"/>
      <c r="AR69" s="16"/>
      <c r="AS69" s="16"/>
      <c r="AT69" s="16">
        <f ca="1">_xll.DBRW($D$4,$E$7,$E$8,$E$9,$E$10,$E$12,$D69,$E$6,AT$18,AT$17)</f>
        <v>0.27403812</v>
      </c>
      <c r="AU69" s="16">
        <f ca="1">_xll.DBRW($D$4,$E$7,$E$8,$E$9,$E$10,$E$12,$D69,$E$6,AU$18,AU$17)</f>
        <v>6.8667139999999991</v>
      </c>
      <c r="AV69" s="16">
        <f ca="1">_xll.DBRW($D$4,$E$7,$E$8,$E$9,$E$10,$E$12,$D69,$E$6,AV$18,AV$17)</f>
        <v>6.8667139999999991</v>
      </c>
      <c r="AW69" s="16">
        <f ca="1">_xll.DBRW($D$4,$E$7,$E$8,$E$9,$E$10,$E$12,$D69,$E$6,AW$18,AW$17)</f>
        <v>6.8667139999999991</v>
      </c>
      <c r="AX69" s="16">
        <f ca="1">_xll.DBRW($D$4,$E$7,$E$8,$E$9,$E$10,$E$12,$D69,$E$6,AX$18,AX$17)</f>
        <v>2.071952</v>
      </c>
      <c r="AY69" s="16">
        <f ca="1">_xll.DBRW($D$4,$E$7,$E$8,$E$9,$E$10,$E$12,$D69,$E$6,AY$18,AY$17)</f>
        <v>6.8667139999999991</v>
      </c>
      <c r="AZ69" s="16">
        <f ca="1">_xll.DBRW($D$4,$E$7,$E$8,$E$9,$E$10,$E$12,$D69,$E$6,AZ$18,AZ$17)</f>
        <v>4.8213049999999997</v>
      </c>
      <c r="BA69" s="16">
        <f ca="1">_xll.DBRW($D$4,$E$7,$E$8,$E$9,$E$10,$E$12,$D69,$E$6,BA$18,BA$17)</f>
        <v>6.8667139999999991</v>
      </c>
      <c r="BB69" s="16">
        <f ca="1">_xll.DBRW($D$4,$E$7,$E$8,$E$9,$E$10,$E$12,$D69,$E$6,BB$18,BB$17)</f>
        <v>6.8667139999999991</v>
      </c>
      <c r="BC69" s="16">
        <f ca="1">_xll.DBRW($D$4,$E$7,$E$8,$E$9,$E$10,$E$12,$D69,$E$6,BC$18,BC$17)</f>
        <v>6.8667139999999991</v>
      </c>
      <c r="BD69" s="16">
        <f ca="1">_xll.DBRW($D$4,$E$7,$E$8,$E$9,$E$10,$E$12,$D69,$E$6,BD$18,BD$17)</f>
        <v>0.95159484117991266</v>
      </c>
      <c r="BE69" s="16">
        <f ca="1">_xll.DBRW($D$4,$E$7,$E$8,$E$9,$E$10,$E$12,$D69,$E$6,BE$18,BE$17)</f>
        <v>-1.3460261</v>
      </c>
      <c r="BF69" s="16">
        <f ca="1">_xll.DBRW($D$4,$E$7,$E$8,$E$9,$E$10,$E$12,$D69,$E$6,BF$18,BF$17)</f>
        <v>0</v>
      </c>
      <c r="BG69" s="26">
        <f ca="1">_xll.DBRW($D$4,$E$7,$E$8,$E$9,$E$10,$E$12,$D69,$E$6,BG$18,BG$17)</f>
        <v>0</v>
      </c>
      <c r="BH69" s="26">
        <f ca="1">_xll.DBRW($D$4,$E$7,$E$8,$E$9,$E$10,$E$12,$D69,$E$6,BH$18,BH$17)</f>
        <v>0</v>
      </c>
      <c r="BI69" s="26">
        <f ca="1">_xll.DBRW($D$4,$E$7,$E$8,$E$9,$E$10,$E$12,$D69,$E$6,BI$18,BI$17)</f>
        <v>0</v>
      </c>
      <c r="BJ69" s="26">
        <f ca="1">_xll.DBRW($D$4,$E$7,$E$8,$E$9,$E$10,$E$12,$D69,$E$6,BJ$18,BJ$17)</f>
        <v>0</v>
      </c>
      <c r="BK69" s="16">
        <f ca="1">_xll.DBRW($D$4,$E$7,$E$8,$E$9,$E$10,$E$12,$D69,$E$6,BK$18,BK$17)</f>
        <v>2.2976209411799124</v>
      </c>
      <c r="BL69" s="16">
        <f ca="1">_xll.DBRW($D$4,$E$7,$E$8,$E$9,$E$10,$E$12,$D69,$E$6,BL$18,BL$17)</f>
        <v>17.551573600000001</v>
      </c>
      <c r="BM69" s="16">
        <f ca="1">_xll.DBRW($D$4,$E$7,$E$8,$E$9,$E$10,$E$12,$D69,$E$6,BM$18,BM$17)</f>
        <v>-6.8909969999999996</v>
      </c>
      <c r="BN69" s="16">
        <f ca="1">_xll.DBRW($D$4,$E$7,$E$8,$E$9,$E$10,$E$12,$D69,$E$6,BN$18,BN$17)</f>
        <v>0.39261419842150219</v>
      </c>
      <c r="BO69" s="16"/>
      <c r="BP69" s="16"/>
      <c r="BQ69" s="16"/>
      <c r="BR69" s="16"/>
      <c r="BS69" s="16">
        <f ca="1">_xll.DBRW($D$4,$E$7,$E$8,$E$9,$E$10,$E$12,$D69,$E$6,BS$18,BS$17)</f>
        <v>-1.84146806</v>
      </c>
      <c r="BT69" s="16">
        <f ca="1">_xll.DBRW($D$4,$E$7,$E$8,$E$9,$E$10,$E$12,$D69,$E$6,BT$18,BT$17)</f>
        <v>0.10491754767789026</v>
      </c>
      <c r="BU69" s="16"/>
      <c r="BV69" s="16"/>
      <c r="BW69" s="16"/>
      <c r="BX69" s="16"/>
      <c r="BY69" s="16">
        <f ca="1">_xll.DBRW($D$4,$E$7,$E$8,$E$9,$E$10,$E$12,$D69,$E$6,BY$18,BY$17)</f>
        <v>-1.9291185533304167</v>
      </c>
      <c r="BZ69" s="16">
        <f ca="1">_xll.DBRW($D$4,$E$7,$E$8,$E$9,$E$10,$E$12,$D69,$E$6,BZ$18,BZ$17)</f>
        <v>0.10991143001163249</v>
      </c>
      <c r="CA69" s="16"/>
      <c r="CB69" s="16"/>
      <c r="CC69" s="16"/>
      <c r="CD69" s="16"/>
      <c r="CE69" s="16">
        <f ca="1">_xll.DBRW($D$4,$E$7,$E$8,$E$9,$E$10,$E$12,$D69,$E$6,CE$18,CE$17)</f>
        <v>-1.97204409</v>
      </c>
      <c r="CF69" s="16">
        <f ca="1">_xll.DBRW($D$4,$E$7,$E$8,$E$9,$E$10,$E$12,$D69,$E$6,CF$18,CF$17)</f>
        <v>0.11235711024793811</v>
      </c>
      <c r="CG69" s="16"/>
      <c r="CH69" s="16"/>
      <c r="CI69" s="16"/>
      <c r="CJ69" s="16"/>
      <c r="CK69" s="16">
        <f ca="1">_xll.DBRW($D$4,$E$7,$E$8,$E$9,$E$10,$E$12,$D69,$E$6,CK$18,CK$17)</f>
        <v>-2.620324955489667</v>
      </c>
      <c r="CL69" s="16">
        <f ca="1">_xll.DBRW($D$4,$E$7,$E$8,$E$9,$E$10,$E$12,$D69,$E$6,CL$18,CL$17)</f>
        <v>0.14929287910057631</v>
      </c>
      <c r="CM69" s="16"/>
      <c r="CN69" s="16"/>
      <c r="CO69" s="16"/>
      <c r="CP69" s="16"/>
      <c r="CQ69" s="16">
        <f ca="1">_xll.DBRW($D$4,$E$7,$E$8,$E$9,$E$10,$E$12,$D69,$E$6,CQ$18,CQ$17)</f>
        <v>0.30017199999999994</v>
      </c>
      <c r="CR69" s="16">
        <f ca="1">_xll.DBRW($D$4,$E$7,$E$8,$E$9,$E$10,$E$12,$D69,$E$6,CR$18,CR$17)</f>
        <v>7.3823499999999989</v>
      </c>
      <c r="CS69" s="16">
        <f ca="1">_xll.DBRW($D$4,$E$7,$E$8,$E$9,$E$10,$E$12,$D69,$E$6,CS$18,CS$17)</f>
        <v>7.3823499999999989</v>
      </c>
      <c r="CT69" s="16">
        <f ca="1">_xll.DBRW($D$4,$E$7,$E$8,$E$9,$E$10,$E$12,$D69,$E$6,CT$18,CT$17)</f>
        <v>7.3823499999999989</v>
      </c>
      <c r="CU69" s="16">
        <f ca="1">_xll.DBRW($D$4,$E$7,$E$8,$E$9,$E$10,$E$12,$D69,$E$6,CU$18,CU$17)</f>
        <v>2.2973902028467506</v>
      </c>
      <c r="CV69" s="16">
        <f ca="1">_xll.DBRW($D$4,$E$7,$E$8,$E$9,$E$10,$E$12,$D69,$E$6,CV$18,CV$17)</f>
        <v>7.3823499999999989</v>
      </c>
      <c r="CW69" s="16">
        <f ca="1">_xll.DBRW($D$4,$E$7,$E$8,$E$9,$E$10,$E$12,$D69,$E$6,CW$18,CW$17)</f>
        <v>5.3072059999999999</v>
      </c>
      <c r="CX69" s="16">
        <f ca="1">_xll.DBRW($D$4,$E$7,$E$8,$E$9,$E$10,$E$12,$D69,$E$6,CX$18,CX$17)</f>
        <v>7.3823499999999989</v>
      </c>
      <c r="CY69" s="16">
        <f ca="1">_xll.DBRW($D$4,$E$7,$E$8,$E$9,$E$10,$E$12,$D69,$E$6,CY$18,CY$17)</f>
        <v>7.3823499999999989</v>
      </c>
      <c r="CZ69" s="16">
        <f ca="1">_xll.DBRW($D$4,$E$7,$E$8,$E$9,$E$10,$E$12,$D69,$E$6,CZ$18,CZ$17)</f>
        <v>7.3823499999999989</v>
      </c>
      <c r="DA69" s="26">
        <f t="shared" ca="1" si="89"/>
        <v>-0.4245774711799164</v>
      </c>
      <c r="DB69" s="26">
        <f t="shared" ca="1" si="90"/>
        <v>0.53378622000000009</v>
      </c>
      <c r="DC69" s="26">
        <f t="shared" ca="1" si="91"/>
        <v>0</v>
      </c>
      <c r="DD69" s="26">
        <f t="shared" ca="1" si="92"/>
        <v>0</v>
      </c>
      <c r="DE69" s="26">
        <f t="shared" ca="1" si="93"/>
        <v>0</v>
      </c>
      <c r="DF69" s="26">
        <f t="shared" ca="1" si="94"/>
        <v>0</v>
      </c>
      <c r="DG69" s="26">
        <f t="shared" ca="1" si="95"/>
        <v>0</v>
      </c>
      <c r="DH69" s="26">
        <f t="shared" ca="1" si="96"/>
        <v>-0.95836369117991604</v>
      </c>
      <c r="DI69" s="26">
        <f t="shared" ca="1" si="97"/>
        <v>-1.8771853200000024</v>
      </c>
      <c r="DJ69" s="26">
        <f t="shared" ca="1" si="98"/>
        <v>0.70314155999999972</v>
      </c>
      <c r="DK69" s="26">
        <f t="shared" ca="1" si="99"/>
        <v>2.1607254519543928E-3</v>
      </c>
      <c r="DL69" s="26"/>
      <c r="DM69" s="26"/>
      <c r="DN69" s="26"/>
      <c r="DO69" s="26"/>
      <c r="DP69" s="26">
        <f t="shared" ca="1" si="100"/>
        <v>-0.22261233000000002</v>
      </c>
      <c r="DQ69" s="26">
        <f t="shared" ca="1" si="101"/>
        <v>2.6767361048895474E-2</v>
      </c>
      <c r="DR69" s="26"/>
      <c r="DS69" s="26"/>
      <c r="DT69" s="26"/>
      <c r="DU69" s="26"/>
      <c r="DV69" s="26">
        <f t="shared" ca="1" si="102"/>
        <v>-6.2912306669582918E-2</v>
      </c>
      <c r="DW69" s="26">
        <f t="shared" ca="1" si="103"/>
        <v>1.7176838086317162E-2</v>
      </c>
      <c r="DX69" s="26"/>
      <c r="DY69" s="26"/>
      <c r="DZ69" s="26"/>
      <c r="EA69" s="26"/>
      <c r="EB69" s="26">
        <f t="shared" ca="1" si="104"/>
        <v>0.22254801000000035</v>
      </c>
      <c r="EC69" s="26">
        <f t="shared" ca="1" si="105"/>
        <v>-7.4215923691212105E-4</v>
      </c>
      <c r="ED69" s="26"/>
      <c r="EE69" s="26"/>
      <c r="EF69" s="26"/>
      <c r="EG69" s="26"/>
      <c r="EH69" s="26">
        <f t="shared" ca="1" si="106"/>
        <v>0.26328227548966732</v>
      </c>
      <c r="EI69" s="29">
        <f t="shared" ca="1" si="107"/>
        <v>1.0825382933840055E-3</v>
      </c>
      <c r="EJ69" s="29"/>
      <c r="EK69" s="29"/>
      <c r="EL69" s="29"/>
      <c r="EM69" s="29"/>
      <c r="EN69" s="93"/>
      <c r="EO69" s="29"/>
      <c r="EP69" s="29"/>
      <c r="EQ69" s="29"/>
      <c r="ER69" s="29"/>
      <c r="ES69" s="29"/>
      <c r="ET69" s="29"/>
      <c r="EU69" s="93"/>
      <c r="EV69" s="29"/>
      <c r="EW69" s="29"/>
      <c r="EX69" s="29"/>
      <c r="EY69" s="29"/>
      <c r="EZ69" s="29"/>
      <c r="FA69" s="29"/>
      <c r="FB69" s="93"/>
      <c r="FC69" s="29"/>
      <c r="FD69" s="29"/>
      <c r="FE69" s="29"/>
      <c r="FF69" s="29"/>
      <c r="FG69" s="29"/>
      <c r="FH69" s="29"/>
      <c r="FI69" s="93"/>
      <c r="FJ69" s="29"/>
      <c r="FK69" s="29"/>
      <c r="FL69" s="29"/>
      <c r="FM69" s="29"/>
      <c r="FN69" s="29"/>
      <c r="FO69" s="29"/>
      <c r="FP69" s="93"/>
      <c r="FQ69" s="29"/>
      <c r="FR69" s="29"/>
      <c r="FS69" s="29"/>
      <c r="FT69" s="29"/>
      <c r="FU69" s="29"/>
      <c r="FV69" s="29"/>
    </row>
    <row r="70" spans="1:178" x14ac:dyDescent="0.25">
      <c r="A70" t="str">
        <f ca="1">IF(_xll.TM1RPTELISCONSOLIDATED($D$28,$D70),IF(_xll.TM1RPTELLEV($D$28,$D70)&lt;=3,_xll.TM1RPTELLEV($D$28,$D70),"D"),"N")</f>
        <v>N</v>
      </c>
      <c r="B70" t="str">
        <f ca="1">_xll.DBRA(Server&amp;"Management_organization",$D70,$B$27)</f>
        <v>L</v>
      </c>
      <c r="C70">
        <v>1</v>
      </c>
      <c r="D70" s="2" t="s">
        <v>115</v>
      </c>
      <c r="E70" s="26"/>
      <c r="F70" s="26"/>
      <c r="G70" s="16">
        <f ca="1">_xll.DBRW($D$4,$E$7,$E$8,$E$9,$E$10,$E$12,$D70,$E$6,G$18,G$17)</f>
        <v>2.2483111199999999</v>
      </c>
      <c r="H70" s="16">
        <f ca="1">_xll.DBRW($D$4,$E$7,$E$8,$E$9,$E$10,$E$12,$D70,$E$6,H$18,H$17)</f>
        <v>-0.77780135999999989</v>
      </c>
      <c r="I70" s="16">
        <f ca="1">_xll.DBRW($D$4,$E$7,$E$8,$E$9,$E$10,$E$12,$D70,$E$6,I$18,I$17)</f>
        <v>0</v>
      </c>
      <c r="J70" s="26">
        <f ca="1">_xll.DBRW($D$4,$E$7,$E$8,$E$9,$E$10,$E$12,$D70,$E$6,J$18,J$17)</f>
        <v>0</v>
      </c>
      <c r="K70" s="26">
        <f ca="1">_xll.DBRW($D$4,$E$7,$E$8,$E$9,$E$10,$E$12,$D70,$E$6,K$18,K$17)</f>
        <v>0</v>
      </c>
      <c r="L70" s="26">
        <f ca="1">_xll.DBRW($D$4,$E$7,$E$8,$E$9,$E$10,$E$12,$D70,$E$6,L$18,L$17)</f>
        <v>0</v>
      </c>
      <c r="M70" s="26">
        <f ca="1">_xll.DBRW($D$4,$E$7,$E$8,$E$9,$E$10,$E$12,$D70,$E$6,M$18,M$17)</f>
        <v>0</v>
      </c>
      <c r="N70" s="16">
        <f ca="1">_xll.DBRW($D$4,$E$7,$E$8,$E$9,$E$10,$E$12,$D70,$E$6,N$18,N$17)</f>
        <v>3.0261124800000001</v>
      </c>
      <c r="O70" s="16">
        <f ca="1">_xll.DBRW($D$4,$E$7,$E$8,$E$9,$E$10,$E$12,$D70,$E$6,O$18,O$17)</f>
        <v>16.7922963</v>
      </c>
      <c r="P70" s="74">
        <f ca="1">_xll.DBRW($D$4,$E$7,$E$8,$E$9,$E$10,$E$12,$D70,$E$6,P$18,P$17)</f>
        <v>-5.8198552599999989</v>
      </c>
      <c r="Q70" s="16">
        <f ca="1">_xll.DBRW($D$4,$E$7,$E$8,$E$9,$E$10,$E$12,$D70,$E$6,Q$18,Q$17)</f>
        <v>0.3465788809360158</v>
      </c>
      <c r="R70" s="16"/>
      <c r="S70" s="16"/>
      <c r="T70" s="16"/>
      <c r="U70" s="16"/>
      <c r="V70" s="16">
        <f ca="1">_xll.DBRW($D$4,$E$7,$E$8,$E$9,$E$10,$E$12,$D70,$E$6,V$18,V$17)</f>
        <v>-1.5781587199999998</v>
      </c>
      <c r="W70" s="16">
        <f ca="1">_xll.DBRW($D$4,$E$7,$E$8,$E$9,$E$10,$E$12,$D70,$E$6,W$18,W$17)</f>
        <v>9.3981114423284662E-2</v>
      </c>
      <c r="X70" s="16"/>
      <c r="Y70" s="16"/>
      <c r="Z70" s="16"/>
      <c r="AA70" s="16"/>
      <c r="AB70" s="16">
        <f ca="1">_xll.DBRW($D$4,$E$7,$E$8,$E$9,$E$10,$E$12,$D70,$E$6,AB$18,AB$17)</f>
        <v>-1.7962566900000003</v>
      </c>
      <c r="AC70" s="16">
        <f ca="1">_xll.DBRW($D$4,$E$7,$E$8,$E$9,$E$10,$E$12,$D70,$E$6,AC$18,AC$17)</f>
        <v>0.10696909213065757</v>
      </c>
      <c r="AD70" s="16"/>
      <c r="AE70" s="16"/>
      <c r="AF70" s="16"/>
      <c r="AG70" s="16"/>
      <c r="AH70" s="16">
        <f ca="1">_xll.DBRW($D$4,$E$7,$E$8,$E$9,$E$10,$E$12,$D70,$E$6,AH$18,AH$17)</f>
        <v>-2.3458916399999992</v>
      </c>
      <c r="AI70" s="16">
        <f ca="1">_xll.DBRW($D$4,$E$7,$E$8,$E$9,$E$10,$E$12,$D70,$E$6,AI$18,AI$17)</f>
        <v>0.13970046729106364</v>
      </c>
      <c r="AJ70" s="16"/>
      <c r="AK70" s="16"/>
      <c r="AL70" s="16"/>
      <c r="AM70" s="16"/>
      <c r="AN70" s="16">
        <f ca="1">_xll.DBRW($D$4,$E$7,$E$8,$E$9,$E$10,$E$12,$D70,$E$6,AN$18,AN$17)</f>
        <v>-2.2490511000000004</v>
      </c>
      <c r="AO70" s="16">
        <f ca="1">_xll.DBRW($D$4,$E$7,$E$8,$E$9,$E$10,$E$12,$D70,$E$6,AO$18,AO$17)</f>
        <v>0.1339335049727535</v>
      </c>
      <c r="AP70" s="16"/>
      <c r="AQ70" s="16"/>
      <c r="AR70" s="16"/>
      <c r="AS70" s="16"/>
      <c r="AT70" s="16">
        <f ca="1">_xll.DBRW($D$4,$E$7,$E$8,$E$9,$E$10,$E$12,$D70,$E$6,AT$18,AT$17)</f>
        <v>0.27805816999999999</v>
      </c>
      <c r="AU70" s="16">
        <f ca="1">_xll.DBRW($D$4,$E$7,$E$8,$E$9,$E$10,$E$12,$D70,$E$6,AU$18,AU$17)</f>
        <v>6.375102</v>
      </c>
      <c r="AV70" s="16">
        <f ca="1">_xll.DBRW($D$4,$E$7,$E$8,$E$9,$E$10,$E$12,$D70,$E$6,AV$18,AV$17)</f>
        <v>6.375102</v>
      </c>
      <c r="AW70" s="16">
        <f ca="1">_xll.DBRW($D$4,$E$7,$E$8,$E$9,$E$10,$E$12,$D70,$E$6,AW$18,AW$17)</f>
        <v>6.375102</v>
      </c>
      <c r="AX70" s="16">
        <f ca="1">_xll.DBRW($D$4,$E$7,$E$8,$E$9,$E$10,$E$12,$D70,$E$6,AX$18,AX$17)</f>
        <v>1.9765763999999997</v>
      </c>
      <c r="AY70" s="16">
        <f ca="1">_xll.DBRW($D$4,$E$7,$E$8,$E$9,$E$10,$E$12,$D70,$E$6,AY$18,AY$17)</f>
        <v>6.375102</v>
      </c>
      <c r="AZ70" s="16">
        <f ca="1">_xll.DBRW($D$4,$E$7,$E$8,$E$9,$E$10,$E$12,$D70,$E$6,AZ$18,AZ$17)</f>
        <v>4.8220079999999985</v>
      </c>
      <c r="BA70" s="16">
        <f ca="1">_xll.DBRW($D$4,$E$7,$E$8,$E$9,$E$10,$E$12,$D70,$E$6,BA$18,BA$17)</f>
        <v>6.375102</v>
      </c>
      <c r="BB70" s="16">
        <f ca="1">_xll.DBRW($D$4,$E$7,$E$8,$E$9,$E$10,$E$12,$D70,$E$6,BB$18,BB$17)</f>
        <v>6.375102</v>
      </c>
      <c r="BC70" s="16">
        <f ca="1">_xll.DBRW($D$4,$E$7,$E$8,$E$9,$E$10,$E$12,$D70,$E$6,BC$18,BC$17)</f>
        <v>6.375102</v>
      </c>
      <c r="BD70" s="16">
        <f ca="1">_xll.DBRW($D$4,$E$7,$E$8,$E$9,$E$10,$E$12,$D70,$E$6,BD$18,BD$17)</f>
        <v>1.485989598893283</v>
      </c>
      <c r="BE70" s="16">
        <f ca="1">_xll.DBRW($D$4,$E$7,$E$8,$E$9,$E$10,$E$12,$D70,$E$6,BE$18,BE$17)</f>
        <v>-1.3171344989000002</v>
      </c>
      <c r="BF70" s="16">
        <f ca="1">_xll.DBRW($D$4,$E$7,$E$8,$E$9,$E$10,$E$12,$D70,$E$6,BF$18,BF$17)</f>
        <v>0</v>
      </c>
      <c r="BG70" s="26">
        <f ca="1">_xll.DBRW($D$4,$E$7,$E$8,$E$9,$E$10,$E$12,$D70,$E$6,BG$18,BG$17)</f>
        <v>0</v>
      </c>
      <c r="BH70" s="26">
        <f ca="1">_xll.DBRW($D$4,$E$7,$E$8,$E$9,$E$10,$E$12,$D70,$E$6,BH$18,BH$17)</f>
        <v>0</v>
      </c>
      <c r="BI70" s="26">
        <f ca="1">_xll.DBRW($D$4,$E$7,$E$8,$E$9,$E$10,$E$12,$D70,$E$6,BI$18,BI$17)</f>
        <v>0</v>
      </c>
      <c r="BJ70" s="26">
        <f ca="1">_xll.DBRW($D$4,$E$7,$E$8,$E$9,$E$10,$E$12,$D70,$E$6,BJ$18,BJ$17)</f>
        <v>0</v>
      </c>
      <c r="BK70" s="16">
        <f ca="1">_xll.DBRW($D$4,$E$7,$E$8,$E$9,$E$10,$E$12,$D70,$E$6,BK$18,BK$17)</f>
        <v>2.8031240977932828</v>
      </c>
      <c r="BL70" s="16">
        <f ca="1">_xll.DBRW($D$4,$E$7,$E$8,$E$9,$E$10,$E$12,$D70,$E$6,BL$18,BL$17)</f>
        <v>17.434868000000002</v>
      </c>
      <c r="BM70" s="16">
        <f ca="1">_xll.DBRW($D$4,$E$7,$E$8,$E$9,$E$10,$E$12,$D70,$E$6,BM$18,BM$17)</f>
        <v>-6.2398628433259997</v>
      </c>
      <c r="BN70" s="16">
        <f ca="1">_xll.DBRW($D$4,$E$7,$E$8,$E$9,$E$10,$E$12,$D70,$E$6,BN$18,BN$17)</f>
        <v>0.35789561718081259</v>
      </c>
      <c r="BO70" s="16"/>
      <c r="BP70" s="16"/>
      <c r="BQ70" s="16"/>
      <c r="BR70" s="16"/>
      <c r="BS70" s="16">
        <f ca="1">_xll.DBRW($D$4,$E$7,$E$8,$E$9,$E$10,$E$12,$D70,$E$6,BS$18,BS$17)</f>
        <v>-1.5952400629000001</v>
      </c>
      <c r="BT70" s="16">
        <f ca="1">_xll.DBRW($D$4,$E$7,$E$8,$E$9,$E$10,$E$12,$D70,$E$6,BT$18,BT$17)</f>
        <v>9.1497111586964691E-2</v>
      </c>
      <c r="BU70" s="16"/>
      <c r="BV70" s="16"/>
      <c r="BW70" s="16"/>
      <c r="BX70" s="16"/>
      <c r="BY70" s="16">
        <f ca="1">_xll.DBRW($D$4,$E$7,$E$8,$E$9,$E$10,$E$12,$D70,$E$6,BY$18,BY$17)</f>
        <v>-1.8521016867207201</v>
      </c>
      <c r="BZ70" s="16">
        <f ca="1">_xll.DBRW($D$4,$E$7,$E$8,$E$9,$E$10,$E$12,$D70,$E$6,BZ$18,BZ$17)</f>
        <v>0.10622975102081185</v>
      </c>
      <c r="CA70" s="16"/>
      <c r="CB70" s="16"/>
      <c r="CC70" s="16"/>
      <c r="CD70" s="16"/>
      <c r="CE70" s="16">
        <f ca="1">_xll.DBRW($D$4,$E$7,$E$8,$E$9,$E$10,$E$12,$D70,$E$6,CE$18,CE$17)</f>
        <v>-2.5811140400000001</v>
      </c>
      <c r="CF70" s="16">
        <f ca="1">_xll.DBRW($D$4,$E$7,$E$8,$E$9,$E$10,$E$12,$D70,$E$6,CF$18,CF$17)</f>
        <v>0.14804322235189851</v>
      </c>
      <c r="CG70" s="16"/>
      <c r="CH70" s="16"/>
      <c r="CI70" s="16"/>
      <c r="CJ70" s="16"/>
      <c r="CK70" s="16">
        <f ca="1">_xll.DBRW($D$4,$E$7,$E$8,$E$9,$E$10,$E$12,$D70,$E$6,CK$18,CK$17)</f>
        <v>-2.3634252692599991</v>
      </c>
      <c r="CL70" s="16">
        <f ca="1">_xll.DBRW($D$4,$E$7,$E$8,$E$9,$E$10,$E$12,$D70,$E$6,CL$18,CL$17)</f>
        <v>0.13555739391086866</v>
      </c>
      <c r="CM70" s="16"/>
      <c r="CN70" s="16"/>
      <c r="CO70" s="16"/>
      <c r="CP70" s="16"/>
      <c r="CQ70" s="16">
        <f ca="1">_xll.DBRW($D$4,$E$7,$E$8,$E$9,$E$10,$E$12,$D70,$E$6,CQ$18,CQ$17)</f>
        <v>0.30616717999999998</v>
      </c>
      <c r="CR70" s="16">
        <f ca="1">_xll.DBRW($D$4,$E$7,$E$8,$E$9,$E$10,$E$12,$D70,$E$6,CR$18,CR$17)</f>
        <v>7.1042109999999994</v>
      </c>
      <c r="CS70" s="16">
        <f ca="1">_xll.DBRW($D$4,$E$7,$E$8,$E$9,$E$10,$E$12,$D70,$E$6,CS$18,CS$17)</f>
        <v>7.1042109999999994</v>
      </c>
      <c r="CT70" s="16">
        <f ca="1">_xll.DBRW($D$4,$E$7,$E$8,$E$9,$E$10,$E$12,$D70,$E$6,CT$18,CT$17)</f>
        <v>7.1042109999999994</v>
      </c>
      <c r="CU70" s="16">
        <f ca="1">_xll.DBRW($D$4,$E$7,$E$8,$E$9,$E$10,$E$12,$D70,$E$6,CU$18,CU$17)</f>
        <v>2.2236783367999999</v>
      </c>
      <c r="CV70" s="16">
        <f ca="1">_xll.DBRW($D$4,$E$7,$E$8,$E$9,$E$10,$E$12,$D70,$E$6,CV$18,CV$17)</f>
        <v>7.1042109999999994</v>
      </c>
      <c r="CW70" s="16">
        <f ca="1">_xll.DBRW($D$4,$E$7,$E$8,$E$9,$E$10,$E$12,$D70,$E$6,CW$18,CW$17)</f>
        <v>5.3656649999999999</v>
      </c>
      <c r="CX70" s="16">
        <f ca="1">_xll.DBRW($D$4,$E$7,$E$8,$E$9,$E$10,$E$12,$D70,$E$6,CX$18,CX$17)</f>
        <v>7.1042109999999994</v>
      </c>
      <c r="CY70" s="16">
        <f ca="1">_xll.DBRW($D$4,$E$7,$E$8,$E$9,$E$10,$E$12,$D70,$E$6,CY$18,CY$17)</f>
        <v>7.1042109999999994</v>
      </c>
      <c r="CZ70" s="16">
        <f ca="1">_xll.DBRW($D$4,$E$7,$E$8,$E$9,$E$10,$E$12,$D70,$E$6,CZ$18,CZ$17)</f>
        <v>7.1042109999999994</v>
      </c>
      <c r="DA70" s="26">
        <f t="shared" ca="1" si="89"/>
        <v>0.76232152110671692</v>
      </c>
      <c r="DB70" s="26">
        <f t="shared" ca="1" si="90"/>
        <v>0.53933313890000034</v>
      </c>
      <c r="DC70" s="26">
        <f t="shared" ca="1" si="91"/>
        <v>0</v>
      </c>
      <c r="DD70" s="26">
        <f t="shared" ca="1" si="92"/>
        <v>0</v>
      </c>
      <c r="DE70" s="26">
        <f t="shared" ca="1" si="93"/>
        <v>0</v>
      </c>
      <c r="DF70" s="26">
        <f t="shared" ca="1" si="94"/>
        <v>0</v>
      </c>
      <c r="DG70" s="26">
        <f t="shared" ca="1" si="95"/>
        <v>0</v>
      </c>
      <c r="DH70" s="26">
        <f t="shared" ca="1" si="96"/>
        <v>0.22298838220671735</v>
      </c>
      <c r="DI70" s="26">
        <f t="shared" ca="1" si="97"/>
        <v>-0.6425717000000013</v>
      </c>
      <c r="DJ70" s="26">
        <f t="shared" ca="1" si="98"/>
        <v>0.42000758332600086</v>
      </c>
      <c r="DK70" s="26">
        <f t="shared" ca="1" si="99"/>
        <v>-1.1316736244796788E-2</v>
      </c>
      <c r="DL70" s="26"/>
      <c r="DM70" s="26"/>
      <c r="DN70" s="26"/>
      <c r="DO70" s="26"/>
      <c r="DP70" s="26">
        <f t="shared" ca="1" si="100"/>
        <v>1.7081342900000296E-2</v>
      </c>
      <c r="DQ70" s="26">
        <f t="shared" ca="1" si="101"/>
        <v>2.4840028363199707E-3</v>
      </c>
      <c r="DR70" s="26"/>
      <c r="DS70" s="26"/>
      <c r="DT70" s="26"/>
      <c r="DU70" s="26"/>
      <c r="DV70" s="26">
        <f t="shared" ca="1" si="102"/>
        <v>5.5844996720719742E-2</v>
      </c>
      <c r="DW70" s="26">
        <f t="shared" ca="1" si="103"/>
        <v>7.3934110984572032E-4</v>
      </c>
      <c r="DX70" s="26"/>
      <c r="DY70" s="26"/>
      <c r="DZ70" s="26"/>
      <c r="EA70" s="26"/>
      <c r="EB70" s="26">
        <f t="shared" ca="1" si="104"/>
        <v>0.23522240000000094</v>
      </c>
      <c r="EC70" s="26">
        <f t="shared" ca="1" si="105"/>
        <v>-8.3427550608348722E-3</v>
      </c>
      <c r="ED70" s="26"/>
      <c r="EE70" s="26"/>
      <c r="EF70" s="26"/>
      <c r="EG70" s="26"/>
      <c r="EH70" s="26">
        <f t="shared" ca="1" si="106"/>
        <v>0.11437416925999866</v>
      </c>
      <c r="EI70" s="29">
        <f t="shared" ca="1" si="107"/>
        <v>-1.6238889381151589E-3</v>
      </c>
      <c r="EJ70" s="29"/>
      <c r="EK70" s="29"/>
      <c r="EL70" s="29"/>
      <c r="EM70" s="29"/>
      <c r="EN70" s="93"/>
      <c r="EO70" s="29"/>
      <c r="EP70" s="29"/>
      <c r="EQ70" s="29"/>
      <c r="ER70" s="29"/>
      <c r="ES70" s="29"/>
      <c r="ET70" s="29"/>
      <c r="EU70" s="93"/>
      <c r="EV70" s="29"/>
      <c r="EW70" s="29"/>
      <c r="EX70" s="29"/>
      <c r="EY70" s="29"/>
      <c r="EZ70" s="29"/>
      <c r="FA70" s="29"/>
      <c r="FB70" s="93"/>
      <c r="FC70" s="29"/>
      <c r="FD70" s="29"/>
      <c r="FE70" s="29"/>
      <c r="FF70" s="29"/>
      <c r="FG70" s="29"/>
      <c r="FH70" s="29"/>
      <c r="FI70" s="93"/>
      <c r="FJ70" s="29"/>
      <c r="FK70" s="29"/>
      <c r="FL70" s="29"/>
      <c r="FM70" s="29"/>
      <c r="FN70" s="29"/>
      <c r="FO70" s="29"/>
      <c r="FP70" s="93"/>
      <c r="FQ70" s="29"/>
      <c r="FR70" s="29"/>
      <c r="FS70" s="29"/>
      <c r="FT70" s="29"/>
      <c r="FU70" s="29"/>
      <c r="FV70" s="29"/>
    </row>
    <row r="71" spans="1:178" x14ac:dyDescent="0.25">
      <c r="A71" t="str">
        <f ca="1">IF(_xll.TM1RPTELISCONSOLIDATED($D$28,$D71),IF(_xll.TM1RPTELLEV($D$28,$D71)&lt;=3,_xll.TM1RPTELLEV($D$28,$D71),"D"),"N")</f>
        <v>N</v>
      </c>
      <c r="B71" t="str">
        <f ca="1">_xll.DBRA(Server&amp;"Management_organization",$D71,$B$27)</f>
        <v>L</v>
      </c>
      <c r="C71">
        <v>1</v>
      </c>
      <c r="D71" s="2" t="s">
        <v>116</v>
      </c>
      <c r="E71" s="26"/>
      <c r="F71" s="26"/>
      <c r="G71" s="16">
        <f ca="1">_xll.DBRW($D$4,$E$7,$E$8,$E$9,$E$10,$E$12,$D71,$E$6,G$18,G$17)</f>
        <v>-0.36191091999999919</v>
      </c>
      <c r="H71" s="16">
        <f ca="1">_xll.DBRW($D$4,$E$7,$E$8,$E$9,$E$10,$E$12,$D71,$E$6,H$18,H$17)</f>
        <v>-0.70688034999999982</v>
      </c>
      <c r="I71" s="16">
        <f ca="1">_xll.DBRW($D$4,$E$7,$E$8,$E$9,$E$10,$E$12,$D71,$E$6,I$18,I$17)</f>
        <v>0</v>
      </c>
      <c r="J71" s="26">
        <f ca="1">_xll.DBRW($D$4,$E$7,$E$8,$E$9,$E$10,$E$12,$D71,$E$6,J$18,J$17)</f>
        <v>-3.1131999999999997E-4</v>
      </c>
      <c r="K71" s="26">
        <f ca="1">_xll.DBRW($D$4,$E$7,$E$8,$E$9,$E$10,$E$12,$D71,$E$6,K$18,K$17)</f>
        <v>0</v>
      </c>
      <c r="L71" s="26">
        <f ca="1">_xll.DBRW($D$4,$E$7,$E$8,$E$9,$E$10,$E$12,$D71,$E$6,L$18,L$17)</f>
        <v>0</v>
      </c>
      <c r="M71" s="26">
        <f ca="1">_xll.DBRW($D$4,$E$7,$E$8,$E$9,$E$10,$E$12,$D71,$E$6,M$18,M$17)</f>
        <v>0</v>
      </c>
      <c r="N71" s="16">
        <f ca="1">_xll.DBRW($D$4,$E$7,$E$8,$E$9,$E$10,$E$12,$D71,$E$6,N$18,N$17)</f>
        <v>0.34528075000000069</v>
      </c>
      <c r="O71" s="16">
        <f ca="1">_xll.DBRW($D$4,$E$7,$E$8,$E$9,$E$10,$E$12,$D71,$E$6,O$18,O$17)</f>
        <v>9.9734617300000004</v>
      </c>
      <c r="P71" s="74">
        <f ca="1">_xll.DBRW($D$4,$E$7,$E$8,$E$9,$E$10,$E$12,$D71,$E$6,P$18,P$17)</f>
        <v>-4.33201459</v>
      </c>
      <c r="Q71" s="16">
        <f ca="1">_xll.DBRW($D$4,$E$7,$E$8,$E$9,$E$10,$E$12,$D71,$E$6,Q$18,Q$17)</f>
        <v>0.43435415979683112</v>
      </c>
      <c r="R71" s="16"/>
      <c r="S71" s="16"/>
      <c r="T71" s="16"/>
      <c r="U71" s="16"/>
      <c r="V71" s="16">
        <f ca="1">_xll.DBRW($D$4,$E$7,$E$8,$E$9,$E$10,$E$12,$D71,$E$6,V$18,V$17)</f>
        <v>-1.4170022999999998</v>
      </c>
      <c r="W71" s="16">
        <f ca="1">_xll.DBRW($D$4,$E$7,$E$8,$E$9,$E$10,$E$12,$D71,$E$6,W$18,W$17)</f>
        <v>0.14207727851781707</v>
      </c>
      <c r="X71" s="16"/>
      <c r="Y71" s="16"/>
      <c r="Z71" s="16"/>
      <c r="AA71" s="16"/>
      <c r="AB71" s="16">
        <f ca="1">_xll.DBRW($D$4,$E$7,$E$8,$E$9,$E$10,$E$12,$D71,$E$6,AB$18,AB$17)</f>
        <v>-1.27852886</v>
      </c>
      <c r="AC71" s="16">
        <f ca="1">_xll.DBRW($D$4,$E$7,$E$8,$E$9,$E$10,$E$12,$D71,$E$6,AC$18,AC$17)</f>
        <v>0.1281930882788879</v>
      </c>
      <c r="AD71" s="16"/>
      <c r="AE71" s="16"/>
      <c r="AF71" s="16"/>
      <c r="AG71" s="16"/>
      <c r="AH71" s="16">
        <f ca="1">_xll.DBRW($D$4,$E$7,$E$8,$E$9,$E$10,$E$12,$D71,$E$6,AH$18,AH$17)</f>
        <v>-1.0280614299999999</v>
      </c>
      <c r="AI71" s="16">
        <f ca="1">_xll.DBRW($D$4,$E$7,$E$8,$E$9,$E$10,$E$12,$D71,$E$6,AI$18,AI$17)</f>
        <v>0.10307969868752882</v>
      </c>
      <c r="AJ71" s="16"/>
      <c r="AK71" s="16"/>
      <c r="AL71" s="16"/>
      <c r="AM71" s="16"/>
      <c r="AN71" s="16">
        <f ca="1">_xll.DBRW($D$4,$E$7,$E$8,$E$9,$E$10,$E$12,$D71,$E$6,AN$18,AN$17)</f>
        <v>-1.5725738000000002</v>
      </c>
      <c r="AO71" s="16">
        <f ca="1">_xll.DBRW($D$4,$E$7,$E$8,$E$9,$E$10,$E$12,$D71,$E$6,AO$18,AO$17)</f>
        <v>0.15767582435993366</v>
      </c>
      <c r="AP71" s="16"/>
      <c r="AQ71" s="16"/>
      <c r="AR71" s="16"/>
      <c r="AS71" s="16"/>
      <c r="AT71" s="16">
        <f ca="1">_xll.DBRW($D$4,$E$7,$E$8,$E$9,$E$10,$E$12,$D71,$E$6,AT$18,AT$17)</f>
        <v>0.19435972400000001</v>
      </c>
      <c r="AU71" s="16">
        <f ca="1">_xll.DBRW($D$4,$E$7,$E$8,$E$9,$E$10,$E$12,$D71,$E$6,AU$18,AU$17)</f>
        <v>4.2743769999999994</v>
      </c>
      <c r="AV71" s="16">
        <f ca="1">_xll.DBRW($D$4,$E$7,$E$8,$E$9,$E$10,$E$12,$D71,$E$6,AV$18,AV$17)</f>
        <v>4.2743769999999994</v>
      </c>
      <c r="AW71" s="16">
        <f ca="1">_xll.DBRW($D$4,$E$7,$E$8,$E$9,$E$10,$E$12,$D71,$E$6,AW$18,AW$17)</f>
        <v>4.2743769999999994</v>
      </c>
      <c r="AX71" s="16">
        <f ca="1">_xll.DBRW($D$4,$E$7,$E$8,$E$9,$E$10,$E$12,$D71,$E$6,AX$18,AX$17)</f>
        <v>1.3624990000000001</v>
      </c>
      <c r="AY71" s="16">
        <f ca="1">_xll.DBRW($D$4,$E$7,$E$8,$E$9,$E$10,$E$12,$D71,$E$6,AY$18,AY$17)</f>
        <v>4.2743769999999994</v>
      </c>
      <c r="AZ71" s="16">
        <f ca="1">_xll.DBRW($D$4,$E$7,$E$8,$E$9,$E$10,$E$12,$D71,$E$6,AZ$18,AZ$17)</f>
        <v>2.8768940000000005</v>
      </c>
      <c r="BA71" s="16">
        <f ca="1">_xll.DBRW($D$4,$E$7,$E$8,$E$9,$E$10,$E$12,$D71,$E$6,BA$18,BA$17)</f>
        <v>4.2743769999999994</v>
      </c>
      <c r="BB71" s="16">
        <f ca="1">_xll.DBRW($D$4,$E$7,$E$8,$E$9,$E$10,$E$12,$D71,$E$6,BB$18,BB$17)</f>
        <v>4.2743769999999994</v>
      </c>
      <c r="BC71" s="16">
        <f ca="1">_xll.DBRW($D$4,$E$7,$E$8,$E$9,$E$10,$E$12,$D71,$E$6,BC$18,BC$17)</f>
        <v>4.2743769999999994</v>
      </c>
      <c r="BD71" s="16">
        <f ca="1">_xll.DBRW($D$4,$E$7,$E$8,$E$9,$E$10,$E$12,$D71,$E$6,BD$18,BD$17)</f>
        <v>-3.5522655335141706E-2</v>
      </c>
      <c r="BE71" s="16">
        <f ca="1">_xll.DBRW($D$4,$E$7,$E$8,$E$9,$E$10,$E$12,$D71,$E$6,BE$18,BE$17)</f>
        <v>-0.94774100000000006</v>
      </c>
      <c r="BF71" s="16">
        <f ca="1">_xll.DBRW($D$4,$E$7,$E$8,$E$9,$E$10,$E$12,$D71,$E$6,BF$18,BF$17)</f>
        <v>0</v>
      </c>
      <c r="BG71" s="26">
        <f ca="1">_xll.DBRW($D$4,$E$7,$E$8,$E$9,$E$10,$E$12,$D71,$E$6,BG$18,BG$17)</f>
        <v>0</v>
      </c>
      <c r="BH71" s="26">
        <f ca="1">_xll.DBRW($D$4,$E$7,$E$8,$E$9,$E$10,$E$12,$D71,$E$6,BH$18,BH$17)</f>
        <v>0</v>
      </c>
      <c r="BI71" s="26">
        <f ca="1">_xll.DBRW($D$4,$E$7,$E$8,$E$9,$E$10,$E$12,$D71,$E$6,BI$18,BI$17)</f>
        <v>0</v>
      </c>
      <c r="BJ71" s="26">
        <f ca="1">_xll.DBRW($D$4,$E$7,$E$8,$E$9,$E$10,$E$12,$D71,$E$6,BJ$18,BJ$17)</f>
        <v>0</v>
      </c>
      <c r="BK71" s="16">
        <f ca="1">_xll.DBRW($D$4,$E$7,$E$8,$E$9,$E$10,$E$12,$D71,$E$6,BK$18,BK$17)</f>
        <v>0.91221834466485829</v>
      </c>
      <c r="BL71" s="16">
        <f ca="1">_xll.DBRW($D$4,$E$7,$E$8,$E$9,$E$10,$E$12,$D71,$E$6,BL$18,BL$17)</f>
        <v>11.163078999999998</v>
      </c>
      <c r="BM71" s="16">
        <f ca="1">_xll.DBRW($D$4,$E$7,$E$8,$E$9,$E$10,$E$12,$D71,$E$6,BM$18,BM$17)</f>
        <v>-4.724126</v>
      </c>
      <c r="BN71" s="16">
        <f ca="1">_xll.DBRW($D$4,$E$7,$E$8,$E$9,$E$10,$E$12,$D71,$E$6,BN$18,BN$17)</f>
        <v>0.42319202435098785</v>
      </c>
      <c r="BO71" s="16"/>
      <c r="BP71" s="16"/>
      <c r="BQ71" s="16"/>
      <c r="BR71" s="16"/>
      <c r="BS71" s="16">
        <f ca="1">_xll.DBRW($D$4,$E$7,$E$8,$E$9,$E$10,$E$12,$D71,$E$6,BS$18,BS$17)</f>
        <v>-1.3422568739999998</v>
      </c>
      <c r="BT71" s="16">
        <f ca="1">_xll.DBRW($D$4,$E$7,$E$8,$E$9,$E$10,$E$12,$D71,$E$6,BT$18,BT$17)</f>
        <v>0.12024073949490101</v>
      </c>
      <c r="BU71" s="16"/>
      <c r="BV71" s="16"/>
      <c r="BW71" s="16"/>
      <c r="BX71" s="16"/>
      <c r="BY71" s="16">
        <f ca="1">_xll.DBRW($D$4,$E$7,$E$8,$E$9,$E$10,$E$12,$D71,$E$6,BY$18,BY$17)</f>
        <v>-1.2653487813351398</v>
      </c>
      <c r="BZ71" s="16">
        <f ca="1">_xll.DBRW($D$4,$E$7,$E$8,$E$9,$E$10,$E$12,$D71,$E$6,BZ$18,BZ$17)</f>
        <v>0.11335123412950317</v>
      </c>
      <c r="CA71" s="16"/>
      <c r="CB71" s="16"/>
      <c r="CC71" s="16"/>
      <c r="CD71" s="16"/>
      <c r="CE71" s="16">
        <f ca="1">_xll.DBRW($D$4,$E$7,$E$8,$E$9,$E$10,$E$12,$D71,$E$6,CE$18,CE$17)</f>
        <v>-1.1956910000000001</v>
      </c>
      <c r="CF71" s="16">
        <f ca="1">_xll.DBRW($D$4,$E$7,$E$8,$E$9,$E$10,$E$12,$D71,$E$6,CF$18,CF$17)</f>
        <v>0.10711121904628645</v>
      </c>
      <c r="CG71" s="16"/>
      <c r="CH71" s="16"/>
      <c r="CI71" s="16"/>
      <c r="CJ71" s="16"/>
      <c r="CK71" s="16">
        <f ca="1">_xll.DBRW($D$4,$E$7,$E$8,$E$9,$E$10,$E$12,$D71,$E$6,CK$18,CK$17)</f>
        <v>-1.7234379999999998</v>
      </c>
      <c r="CL71" s="16">
        <f ca="1">_xll.DBRW($D$4,$E$7,$E$8,$E$9,$E$10,$E$12,$D71,$E$6,CL$18,CL$17)</f>
        <v>0.15438733345880648</v>
      </c>
      <c r="CM71" s="16"/>
      <c r="CN71" s="16"/>
      <c r="CO71" s="16"/>
      <c r="CP71" s="16"/>
      <c r="CQ71" s="16">
        <f ca="1">_xll.DBRW($D$4,$E$7,$E$8,$E$9,$E$10,$E$12,$D71,$E$6,CQ$18,CQ$17)</f>
        <v>0.21865699999999999</v>
      </c>
      <c r="CR71" s="16">
        <f ca="1">_xll.DBRW($D$4,$E$7,$E$8,$E$9,$E$10,$E$12,$D71,$E$6,CR$18,CR$17)</f>
        <v>4.6788040000000004</v>
      </c>
      <c r="CS71" s="16">
        <f ca="1">_xll.DBRW($D$4,$E$7,$E$8,$E$9,$E$10,$E$12,$D71,$E$6,CS$18,CS$17)</f>
        <v>4.6788040000000004</v>
      </c>
      <c r="CT71" s="16">
        <f ca="1">_xll.DBRW($D$4,$E$7,$E$8,$E$9,$E$10,$E$12,$D71,$E$6,CT$18,CT$17)</f>
        <v>4.6788040000000004</v>
      </c>
      <c r="CU71" s="16">
        <f ca="1">_xll.DBRW($D$4,$E$7,$E$8,$E$9,$E$10,$E$12,$D71,$E$6,CU$18,CU$17)</f>
        <v>1.5045577321999999</v>
      </c>
      <c r="CV71" s="16">
        <f ca="1">_xll.DBRW($D$4,$E$7,$E$8,$E$9,$E$10,$E$12,$D71,$E$6,CV$18,CV$17)</f>
        <v>4.6788040000000004</v>
      </c>
      <c r="CW71" s="16">
        <f ca="1">_xll.DBRW($D$4,$E$7,$E$8,$E$9,$E$10,$E$12,$D71,$E$6,CW$18,CW$17)</f>
        <v>3.2140900000000001</v>
      </c>
      <c r="CX71" s="16">
        <f ca="1">_xll.DBRW($D$4,$E$7,$E$8,$E$9,$E$10,$E$12,$D71,$E$6,CX$18,CX$17)</f>
        <v>4.6788040000000004</v>
      </c>
      <c r="CY71" s="16">
        <f ca="1">_xll.DBRW($D$4,$E$7,$E$8,$E$9,$E$10,$E$12,$D71,$E$6,CY$18,CY$17)</f>
        <v>4.6788040000000004</v>
      </c>
      <c r="CZ71" s="16">
        <f ca="1">_xll.DBRW($D$4,$E$7,$E$8,$E$9,$E$10,$E$12,$D71,$E$6,CZ$18,CZ$17)</f>
        <v>4.6788040000000004</v>
      </c>
      <c r="DA71" s="26">
        <f t="shared" ca="1" si="89"/>
        <v>-0.32638826466485749</v>
      </c>
      <c r="DB71" s="26">
        <f t="shared" ca="1" si="90"/>
        <v>0.24086065000000023</v>
      </c>
      <c r="DC71" s="26">
        <f t="shared" ca="1" si="91"/>
        <v>0</v>
      </c>
      <c r="DD71" s="26">
        <f t="shared" ca="1" si="92"/>
        <v>-3.1131999999999997E-4</v>
      </c>
      <c r="DE71" s="26">
        <f t="shared" ca="1" si="93"/>
        <v>0</v>
      </c>
      <c r="DF71" s="26">
        <f t="shared" ca="1" si="94"/>
        <v>0</v>
      </c>
      <c r="DG71" s="26">
        <f t="shared" ca="1" si="95"/>
        <v>0</v>
      </c>
      <c r="DH71" s="26">
        <f t="shared" ca="1" si="96"/>
        <v>-0.5669375946648576</v>
      </c>
      <c r="DI71" s="26">
        <f t="shared" ca="1" si="97"/>
        <v>-1.1896172699999976</v>
      </c>
      <c r="DJ71" s="26">
        <f t="shared" ca="1" si="98"/>
        <v>0.39211141000000005</v>
      </c>
      <c r="DK71" s="26">
        <f t="shared" ca="1" si="99"/>
        <v>1.1162135445843269E-2</v>
      </c>
      <c r="DL71" s="26"/>
      <c r="DM71" s="26"/>
      <c r="DN71" s="26"/>
      <c r="DO71" s="26"/>
      <c r="DP71" s="26">
        <f t="shared" ca="1" si="100"/>
        <v>-7.4745426000000004E-2</v>
      </c>
      <c r="DQ71" s="26">
        <f t="shared" ca="1" si="101"/>
        <v>2.183653902291606E-2</v>
      </c>
      <c r="DR71" s="26"/>
      <c r="DS71" s="26"/>
      <c r="DT71" s="26"/>
      <c r="DU71" s="26"/>
      <c r="DV71" s="26">
        <f t="shared" ca="1" si="102"/>
        <v>-1.3180078664860151E-2</v>
      </c>
      <c r="DW71" s="26">
        <f t="shared" ca="1" si="103"/>
        <v>1.4841854149384728E-2</v>
      </c>
      <c r="DX71" s="26"/>
      <c r="DY71" s="26"/>
      <c r="DZ71" s="26"/>
      <c r="EA71" s="26"/>
      <c r="EB71" s="26">
        <f t="shared" ca="1" si="104"/>
        <v>0.16762957000000012</v>
      </c>
      <c r="EC71" s="26">
        <f t="shared" ca="1" si="105"/>
        <v>-4.0315203587576315E-3</v>
      </c>
      <c r="ED71" s="26"/>
      <c r="EE71" s="26"/>
      <c r="EF71" s="26"/>
      <c r="EG71" s="26"/>
      <c r="EH71" s="26">
        <f t="shared" ca="1" si="106"/>
        <v>0.15086419999999956</v>
      </c>
      <c r="EI71" s="29">
        <f t="shared" ca="1" si="107"/>
        <v>3.2884909011271779E-3</v>
      </c>
      <c r="EJ71" s="29"/>
      <c r="EK71" s="29"/>
      <c r="EL71" s="29"/>
      <c r="EM71" s="29"/>
      <c r="EN71" s="93"/>
      <c r="EO71" s="29"/>
      <c r="EP71" s="29"/>
      <c r="EQ71" s="29"/>
      <c r="ER71" s="29"/>
      <c r="ES71" s="29"/>
      <c r="ET71" s="29"/>
      <c r="EU71" s="93"/>
      <c r="EV71" s="29"/>
      <c r="EW71" s="29"/>
      <c r="EX71" s="29"/>
      <c r="EY71" s="29"/>
      <c r="EZ71" s="29"/>
      <c r="FA71" s="29"/>
      <c r="FB71" s="93"/>
      <c r="FC71" s="29"/>
      <c r="FD71" s="29"/>
      <c r="FE71" s="29"/>
      <c r="FF71" s="29"/>
      <c r="FG71" s="29"/>
      <c r="FH71" s="29"/>
      <c r="FI71" s="93"/>
      <c r="FJ71" s="29"/>
      <c r="FK71" s="29"/>
      <c r="FL71" s="29"/>
      <c r="FM71" s="29"/>
      <c r="FN71" s="29"/>
      <c r="FO71" s="29"/>
      <c r="FP71" s="93"/>
      <c r="FQ71" s="29"/>
      <c r="FR71" s="29"/>
      <c r="FS71" s="29"/>
      <c r="FT71" s="29"/>
      <c r="FU71" s="29"/>
      <c r="FV71" s="29"/>
    </row>
    <row r="72" spans="1:178" x14ac:dyDescent="0.25">
      <c r="A72" t="str">
        <f ca="1">IF(_xll.TM1RPTELISCONSOLIDATED($D$28,$D72),IF(_xll.TM1RPTELLEV($D$28,$D72)&lt;=3,_xll.TM1RPTELLEV($D$28,$D72),"D"),"N")</f>
        <v>N</v>
      </c>
      <c r="B72" t="str">
        <f ca="1">_xll.DBRA(Server&amp;"Management_organization",$D72,$B$27)</f>
        <v>L</v>
      </c>
      <c r="C72">
        <v>1</v>
      </c>
      <c r="D72" s="2" t="s">
        <v>117</v>
      </c>
      <c r="E72" s="26"/>
      <c r="F72" s="26"/>
      <c r="G72" s="16">
        <f ca="1">_xll.DBRW($D$4,$E$7,$E$8,$E$9,$E$10,$E$12,$D72,$E$6,G$18,G$17)</f>
        <v>2.6139999999999705E-3</v>
      </c>
      <c r="H72" s="16">
        <f ca="1">_xll.DBRW($D$4,$E$7,$E$8,$E$9,$E$10,$E$12,$D72,$E$6,H$18,H$17)</f>
        <v>-0.10692672</v>
      </c>
      <c r="I72" s="16">
        <f ca="1">_xll.DBRW($D$4,$E$7,$E$8,$E$9,$E$10,$E$12,$D72,$E$6,I$18,I$17)</f>
        <v>0</v>
      </c>
      <c r="J72" s="26">
        <f ca="1">_xll.DBRW($D$4,$E$7,$E$8,$E$9,$E$10,$E$12,$D72,$E$6,J$18,J$17)</f>
        <v>0</v>
      </c>
      <c r="K72" s="26">
        <f ca="1">_xll.DBRW($D$4,$E$7,$E$8,$E$9,$E$10,$E$12,$D72,$E$6,K$18,K$17)</f>
        <v>0</v>
      </c>
      <c r="L72" s="26">
        <f ca="1">_xll.DBRW($D$4,$E$7,$E$8,$E$9,$E$10,$E$12,$D72,$E$6,L$18,L$17)</f>
        <v>0</v>
      </c>
      <c r="M72" s="26">
        <f ca="1">_xll.DBRW($D$4,$E$7,$E$8,$E$9,$E$10,$E$12,$D72,$E$6,M$18,M$17)</f>
        <v>0</v>
      </c>
      <c r="N72" s="16">
        <f ca="1">_xll.DBRW($D$4,$E$7,$E$8,$E$9,$E$10,$E$12,$D72,$E$6,N$18,N$17)</f>
        <v>0.10954071999999998</v>
      </c>
      <c r="O72" s="16">
        <f ca="1">_xll.DBRW($D$4,$E$7,$E$8,$E$9,$E$10,$E$12,$D72,$E$6,O$18,O$17)</f>
        <v>1.14928692</v>
      </c>
      <c r="P72" s="74">
        <f ca="1">_xll.DBRW($D$4,$E$7,$E$8,$E$9,$E$10,$E$12,$D72,$E$6,P$18,P$17)</f>
        <v>-0.58461790999999985</v>
      </c>
      <c r="Q72" s="16">
        <f ca="1">_xll.DBRW($D$4,$E$7,$E$8,$E$9,$E$10,$E$12,$D72,$E$6,Q$18,Q$17)</f>
        <v>0.50867881625242883</v>
      </c>
      <c r="R72" s="16"/>
      <c r="S72" s="16"/>
      <c r="T72" s="16"/>
      <c r="U72" s="16"/>
      <c r="V72" s="16">
        <f ca="1">_xll.DBRW($D$4,$E$7,$E$8,$E$9,$E$10,$E$12,$D72,$E$6,V$18,V$17)</f>
        <v>-6.8253269999999991E-2</v>
      </c>
      <c r="W72" s="16">
        <f ca="1">_xll.DBRW($D$4,$E$7,$E$8,$E$9,$E$10,$E$12,$D72,$E$6,W$18,W$17)</f>
        <v>5.9387493942765823E-2</v>
      </c>
      <c r="X72" s="16"/>
      <c r="Y72" s="16"/>
      <c r="Z72" s="16"/>
      <c r="AA72" s="16"/>
      <c r="AB72" s="16">
        <f ca="1">_xll.DBRW($D$4,$E$7,$E$8,$E$9,$E$10,$E$12,$D72,$E$6,AB$18,AB$17)</f>
        <v>-0.12588506000000002</v>
      </c>
      <c r="AC72" s="16">
        <f ca="1">_xll.DBRW($D$4,$E$7,$E$8,$E$9,$E$10,$E$12,$D72,$E$6,AC$18,AC$17)</f>
        <v>0.10953318776132945</v>
      </c>
      <c r="AD72" s="16"/>
      <c r="AE72" s="16"/>
      <c r="AF72" s="16"/>
      <c r="AG72" s="16"/>
      <c r="AH72" s="16">
        <f ca="1">_xll.DBRW($D$4,$E$7,$E$8,$E$9,$E$10,$E$12,$D72,$E$6,AH$18,AH$17)</f>
        <v>0</v>
      </c>
      <c r="AI72" s="16">
        <f ca="1">_xll.DBRW($D$4,$E$7,$E$8,$E$9,$E$10,$E$12,$D72,$E$6,AI$18,AI$17)</f>
        <v>0</v>
      </c>
      <c r="AJ72" s="16"/>
      <c r="AK72" s="16"/>
      <c r="AL72" s="16"/>
      <c r="AM72" s="16"/>
      <c r="AN72" s="16">
        <f ca="1">_xll.DBRW($D$4,$E$7,$E$8,$E$9,$E$10,$E$12,$D72,$E$6,AN$18,AN$17)</f>
        <v>-0.26098996000000002</v>
      </c>
      <c r="AO72" s="16">
        <f ca="1">_xll.DBRW($D$4,$E$7,$E$8,$E$9,$E$10,$E$12,$D72,$E$6,AO$18,AO$17)</f>
        <v>0.22708860203507755</v>
      </c>
      <c r="AP72" s="16"/>
      <c r="AQ72" s="16"/>
      <c r="AR72" s="16"/>
      <c r="AS72" s="16"/>
      <c r="AT72" s="16">
        <f ca="1">_xll.DBRW($D$4,$E$7,$E$8,$E$9,$E$10,$E$12,$D72,$E$6,AT$18,AT$17)</f>
        <v>2.8566999999999995E-2</v>
      </c>
      <c r="AU72" s="16">
        <f ca="1">_xll.DBRW($D$4,$E$7,$E$8,$E$9,$E$10,$E$12,$D72,$E$6,AU$18,AU$17)</f>
        <v>0.35354200000000002</v>
      </c>
      <c r="AV72" s="16">
        <f ca="1">_xll.DBRW($D$4,$E$7,$E$8,$E$9,$E$10,$E$12,$D72,$E$6,AV$18,AV$17)</f>
        <v>0.35354200000000002</v>
      </c>
      <c r="AW72" s="16">
        <f ca="1">_xll.DBRW($D$4,$E$7,$E$8,$E$9,$E$10,$E$12,$D72,$E$6,AW$18,AW$17)</f>
        <v>0.35354200000000002</v>
      </c>
      <c r="AX72" s="16">
        <f ca="1">_xll.DBRW($D$4,$E$7,$E$8,$E$9,$E$10,$E$12,$D72,$E$6,AX$18,AX$17)</f>
        <v>0.1425323</v>
      </c>
      <c r="AY72" s="16">
        <f ca="1">_xll.DBRW($D$4,$E$7,$E$8,$E$9,$E$10,$E$12,$D72,$E$6,AY$18,AY$17)</f>
        <v>0.35354200000000002</v>
      </c>
      <c r="AZ72" s="16">
        <f ca="1">_xll.DBRW($D$4,$E$7,$E$8,$E$9,$E$10,$E$12,$D72,$E$6,AZ$18,AZ$17)</f>
        <v>0.29554899999999995</v>
      </c>
      <c r="BA72" s="16">
        <f ca="1">_xll.DBRW($D$4,$E$7,$E$8,$E$9,$E$10,$E$12,$D72,$E$6,BA$18,BA$17)</f>
        <v>0.35354200000000002</v>
      </c>
      <c r="BB72" s="16">
        <f ca="1">_xll.DBRW($D$4,$E$7,$E$8,$E$9,$E$10,$E$12,$D72,$E$6,BB$18,BB$17)</f>
        <v>0.35354200000000002</v>
      </c>
      <c r="BC72" s="16">
        <f ca="1">_xll.DBRW($D$4,$E$7,$E$8,$E$9,$E$10,$E$12,$D72,$E$6,BC$18,BC$17)</f>
        <v>0.35354200000000002</v>
      </c>
      <c r="BD72" s="16">
        <f ca="1">_xll.DBRW($D$4,$E$7,$E$8,$E$9,$E$10,$E$12,$D72,$E$6,BD$18,BD$17)</f>
        <v>-1.9597903317199957E-2</v>
      </c>
      <c r="BE72" s="16">
        <f ca="1">_xll.DBRW($D$4,$E$7,$E$8,$E$9,$E$10,$E$12,$D72,$E$6,BE$18,BE$17)</f>
        <v>-0.117997</v>
      </c>
      <c r="BF72" s="16">
        <f ca="1">_xll.DBRW($D$4,$E$7,$E$8,$E$9,$E$10,$E$12,$D72,$E$6,BF$18,BF$17)</f>
        <v>0</v>
      </c>
      <c r="BG72" s="26">
        <f ca="1">_xll.DBRW($D$4,$E$7,$E$8,$E$9,$E$10,$E$12,$D72,$E$6,BG$18,BG$17)</f>
        <v>0</v>
      </c>
      <c r="BH72" s="26">
        <f ca="1">_xll.DBRW($D$4,$E$7,$E$8,$E$9,$E$10,$E$12,$D72,$E$6,BH$18,BH$17)</f>
        <v>0</v>
      </c>
      <c r="BI72" s="26">
        <f ca="1">_xll.DBRW($D$4,$E$7,$E$8,$E$9,$E$10,$E$12,$D72,$E$6,BI$18,BI$17)</f>
        <v>0</v>
      </c>
      <c r="BJ72" s="26">
        <f ca="1">_xll.DBRW($D$4,$E$7,$E$8,$E$9,$E$10,$E$12,$D72,$E$6,BJ$18,BJ$17)</f>
        <v>0</v>
      </c>
      <c r="BK72" s="16">
        <f ca="1">_xll.DBRW($D$4,$E$7,$E$8,$E$9,$E$10,$E$12,$D72,$E$6,BK$18,BK$17)</f>
        <v>9.8399096682800044E-2</v>
      </c>
      <c r="BL72" s="16">
        <f ca="1">_xll.DBRW($D$4,$E$7,$E$8,$E$9,$E$10,$E$12,$D72,$E$6,BL$18,BL$17)</f>
        <v>1.2548460000000001</v>
      </c>
      <c r="BM72" s="16">
        <f ca="1">_xll.DBRW($D$4,$E$7,$E$8,$E$9,$E$10,$E$12,$D72,$E$6,BM$18,BM$17)</f>
        <v>-0.6500189999999999</v>
      </c>
      <c r="BN72" s="16">
        <f ca="1">_xll.DBRW($D$4,$E$7,$E$8,$E$9,$E$10,$E$12,$D72,$E$6,BN$18,BN$17)</f>
        <v>0.51800699049923249</v>
      </c>
      <c r="BO72" s="16"/>
      <c r="BP72" s="16"/>
      <c r="BQ72" s="16"/>
      <c r="BR72" s="16"/>
      <c r="BS72" s="16">
        <f ca="1">_xll.DBRW($D$4,$E$7,$E$8,$E$9,$E$10,$E$12,$D72,$E$6,BS$18,BS$17)</f>
        <v>-7.7208454900000001E-2</v>
      </c>
      <c r="BT72" s="16">
        <f ca="1">_xll.DBRW($D$4,$E$7,$E$8,$E$9,$E$10,$E$12,$D72,$E$6,BT$18,BT$17)</f>
        <v>6.1528231273000826E-2</v>
      </c>
      <c r="BU72" s="16"/>
      <c r="BV72" s="16"/>
      <c r="BW72" s="16"/>
      <c r="BX72" s="16"/>
      <c r="BY72" s="16">
        <f ca="1">_xll.DBRW($D$4,$E$7,$E$8,$E$9,$E$10,$E$12,$D72,$E$6,BY$18,BY$17)</f>
        <v>-0.13418644841720001</v>
      </c>
      <c r="BZ72" s="16">
        <f ca="1">_xll.DBRW($D$4,$E$7,$E$8,$E$9,$E$10,$E$12,$D72,$E$6,BZ$18,BZ$17)</f>
        <v>0.10693459469703852</v>
      </c>
      <c r="CA72" s="16"/>
      <c r="CB72" s="16"/>
      <c r="CC72" s="16"/>
      <c r="CD72" s="16"/>
      <c r="CE72" s="16">
        <f ca="1">_xll.DBRW($D$4,$E$7,$E$8,$E$9,$E$10,$E$12,$D72,$E$6,CE$18,CE$17)</f>
        <v>-2.7917999999999995E-2</v>
      </c>
      <c r="CF72" s="16">
        <f ca="1">_xll.DBRW($D$4,$E$7,$E$8,$E$9,$E$10,$E$12,$D72,$E$6,CF$18,CF$17)</f>
        <v>2.2248148378366743E-2</v>
      </c>
      <c r="CG72" s="16"/>
      <c r="CH72" s="16"/>
      <c r="CI72" s="16"/>
      <c r="CJ72" s="16"/>
      <c r="CK72" s="16">
        <f ca="1">_xll.DBRW($D$4,$E$7,$E$8,$E$9,$E$10,$E$12,$D72,$E$6,CK$18,CK$17)</f>
        <v>-0.26711499999999999</v>
      </c>
      <c r="CL72" s="16">
        <f ca="1">_xll.DBRW($D$4,$E$7,$E$8,$E$9,$E$10,$E$12,$D72,$E$6,CL$18,CL$17)</f>
        <v>0.21286675815199632</v>
      </c>
      <c r="CM72" s="16"/>
      <c r="CN72" s="16"/>
      <c r="CO72" s="16"/>
      <c r="CP72" s="16"/>
      <c r="CQ72" s="16">
        <f ca="1">_xll.DBRW($D$4,$E$7,$E$8,$E$9,$E$10,$E$12,$D72,$E$6,CQ$18,CQ$17)</f>
        <v>2.8711000000000007E-2</v>
      </c>
      <c r="CR72" s="16">
        <f ca="1">_xll.DBRW($D$4,$E$7,$E$8,$E$9,$E$10,$E$12,$D72,$E$6,CR$18,CR$17)</f>
        <v>0.40031899999999998</v>
      </c>
      <c r="CS72" s="16">
        <f ca="1">_xll.DBRW($D$4,$E$7,$E$8,$E$9,$E$10,$E$12,$D72,$E$6,CS$18,CS$17)</f>
        <v>0.40031899999999998</v>
      </c>
      <c r="CT72" s="16">
        <f ca="1">_xll.DBRW($D$4,$E$7,$E$8,$E$9,$E$10,$E$12,$D72,$E$6,CT$18,CT$17)</f>
        <v>0.40031899999999998</v>
      </c>
      <c r="CU72" s="16">
        <f ca="1">_xll.DBRW($D$4,$E$7,$E$8,$E$9,$E$10,$E$12,$D72,$E$6,CU$18,CU$17)</f>
        <v>0.16172887599999999</v>
      </c>
      <c r="CV72" s="16">
        <f ca="1">_xll.DBRW($D$4,$E$7,$E$8,$E$9,$E$10,$E$12,$D72,$E$6,CV$18,CV$17)</f>
        <v>0.40031899999999998</v>
      </c>
      <c r="CW72" s="16">
        <f ca="1">_xll.DBRW($D$4,$E$7,$E$8,$E$9,$E$10,$E$12,$D72,$E$6,CW$18,CW$17)</f>
        <v>0.33196199999999998</v>
      </c>
      <c r="CX72" s="16">
        <f ca="1">_xll.DBRW($D$4,$E$7,$E$8,$E$9,$E$10,$E$12,$D72,$E$6,CX$18,CX$17)</f>
        <v>0.40031899999999998</v>
      </c>
      <c r="CY72" s="16">
        <f ca="1">_xll.DBRW($D$4,$E$7,$E$8,$E$9,$E$10,$E$12,$D72,$E$6,CY$18,CY$17)</f>
        <v>0.40031899999999998</v>
      </c>
      <c r="CZ72" s="16">
        <f ca="1">_xll.DBRW($D$4,$E$7,$E$8,$E$9,$E$10,$E$12,$D72,$E$6,CZ$18,CZ$17)</f>
        <v>0.40031899999999998</v>
      </c>
      <c r="DA72" s="26">
        <f t="shared" ca="1" si="89"/>
        <v>2.2211903317199928E-2</v>
      </c>
      <c r="DB72" s="26">
        <f t="shared" ca="1" si="90"/>
        <v>1.1070280000000002E-2</v>
      </c>
      <c r="DC72" s="26">
        <f t="shared" ca="1" si="91"/>
        <v>0</v>
      </c>
      <c r="DD72" s="26">
        <f t="shared" ca="1" si="92"/>
        <v>0</v>
      </c>
      <c r="DE72" s="26">
        <f t="shared" ca="1" si="93"/>
        <v>0</v>
      </c>
      <c r="DF72" s="26">
        <f t="shared" ca="1" si="94"/>
        <v>0</v>
      </c>
      <c r="DG72" s="26">
        <f t="shared" ca="1" si="95"/>
        <v>0</v>
      </c>
      <c r="DH72" s="26">
        <f t="shared" ca="1" si="96"/>
        <v>1.1141623317199936E-2</v>
      </c>
      <c r="DI72" s="26">
        <f t="shared" ca="1" si="97"/>
        <v>-0.10555908000000014</v>
      </c>
      <c r="DJ72" s="26">
        <f t="shared" ca="1" si="98"/>
        <v>6.5401090000000051E-2</v>
      </c>
      <c r="DK72" s="26">
        <f t="shared" ca="1" si="99"/>
        <v>-9.3281742468036555E-3</v>
      </c>
      <c r="DL72" s="26"/>
      <c r="DM72" s="26"/>
      <c r="DN72" s="26"/>
      <c r="DO72" s="26"/>
      <c r="DP72" s="26">
        <f t="shared" ca="1" si="100"/>
        <v>8.95518490000001E-3</v>
      </c>
      <c r="DQ72" s="26">
        <f t="shared" ca="1" si="101"/>
        <v>-2.1407373302350027E-3</v>
      </c>
      <c r="DR72" s="26"/>
      <c r="DS72" s="26"/>
      <c r="DT72" s="26"/>
      <c r="DU72" s="26"/>
      <c r="DV72" s="26">
        <f t="shared" ca="1" si="102"/>
        <v>8.3013884171999897E-3</v>
      </c>
      <c r="DW72" s="26">
        <f t="shared" ca="1" si="103"/>
        <v>2.59859306429093E-3</v>
      </c>
      <c r="DX72" s="26"/>
      <c r="DY72" s="26"/>
      <c r="DZ72" s="26"/>
      <c r="EA72" s="26"/>
      <c r="EB72" s="26">
        <f t="shared" ca="1" si="104"/>
        <v>2.7917999999999995E-2</v>
      </c>
      <c r="EC72" s="26">
        <f t="shared" ca="1" si="105"/>
        <v>-2.2248148378366743E-2</v>
      </c>
      <c r="ED72" s="26"/>
      <c r="EE72" s="26"/>
      <c r="EF72" s="26"/>
      <c r="EG72" s="26"/>
      <c r="EH72" s="26">
        <f t="shared" ca="1" si="106"/>
        <v>6.1250399999999705E-3</v>
      </c>
      <c r="EI72" s="29">
        <f t="shared" ca="1" si="107"/>
        <v>1.4221843883081231E-2</v>
      </c>
      <c r="EJ72" s="29"/>
      <c r="EK72" s="29"/>
      <c r="EL72" s="29"/>
      <c r="EM72" s="29"/>
      <c r="EN72" s="93"/>
      <c r="EO72" s="29"/>
      <c r="EP72" s="29"/>
      <c r="EQ72" s="29"/>
      <c r="ER72" s="29"/>
      <c r="ES72" s="29"/>
      <c r="ET72" s="29"/>
      <c r="EU72" s="93"/>
      <c r="EV72" s="29"/>
      <c r="EW72" s="29"/>
      <c r="EX72" s="29"/>
      <c r="EY72" s="29"/>
      <c r="EZ72" s="29"/>
      <c r="FA72" s="29"/>
      <c r="FB72" s="93"/>
      <c r="FC72" s="29"/>
      <c r="FD72" s="29"/>
      <c r="FE72" s="29"/>
      <c r="FF72" s="29"/>
      <c r="FG72" s="29"/>
      <c r="FH72" s="29"/>
      <c r="FI72" s="93"/>
      <c r="FJ72" s="29"/>
      <c r="FK72" s="29"/>
      <c r="FL72" s="29"/>
      <c r="FM72" s="29"/>
      <c r="FN72" s="29"/>
      <c r="FO72" s="29"/>
      <c r="FP72" s="93"/>
      <c r="FQ72" s="29"/>
      <c r="FR72" s="29"/>
      <c r="FS72" s="29"/>
      <c r="FT72" s="29"/>
      <c r="FU72" s="29"/>
      <c r="FV72" s="29"/>
    </row>
    <row r="73" spans="1:178" x14ac:dyDescent="0.25">
      <c r="A73" t="str">
        <f ca="1">IF(_xll.TM1RPTELISCONSOLIDATED($D$28,$D73),IF(_xll.TM1RPTELLEV($D$28,$D73)&lt;=3,_xll.TM1RPTELLEV($D$28,$D73),"D"),"N")</f>
        <v>N</v>
      </c>
      <c r="B73" t="str">
        <f ca="1">_xll.DBRA(Server&amp;"Management_organization",$D73,$B$27)</f>
        <v>L</v>
      </c>
      <c r="C73">
        <v>1</v>
      </c>
      <c r="D73" s="2" t="s">
        <v>118</v>
      </c>
      <c r="E73" s="26"/>
      <c r="F73" s="26"/>
      <c r="G73" s="16">
        <f ca="1">_xll.DBRW($D$4,$E$7,$E$8,$E$9,$E$10,$E$12,$D73,$E$6,G$18,G$17)</f>
        <v>2.2621052399999999</v>
      </c>
      <c r="H73" s="16">
        <f ca="1">_xll.DBRW($D$4,$E$7,$E$8,$E$9,$E$10,$E$12,$D73,$E$6,H$18,H$17)</f>
        <v>-0.44783558000000001</v>
      </c>
      <c r="I73" s="16">
        <f ca="1">_xll.DBRW($D$4,$E$7,$E$8,$E$9,$E$10,$E$12,$D73,$E$6,I$18,I$17)</f>
        <v>0</v>
      </c>
      <c r="J73" s="26">
        <f ca="1">_xll.DBRW($D$4,$E$7,$E$8,$E$9,$E$10,$E$12,$D73,$E$6,J$18,J$17)</f>
        <v>0</v>
      </c>
      <c r="K73" s="26">
        <f ca="1">_xll.DBRW($D$4,$E$7,$E$8,$E$9,$E$10,$E$12,$D73,$E$6,K$18,K$17)</f>
        <v>0</v>
      </c>
      <c r="L73" s="26">
        <f ca="1">_xll.DBRW($D$4,$E$7,$E$8,$E$9,$E$10,$E$12,$D73,$E$6,L$18,L$17)</f>
        <v>0</v>
      </c>
      <c r="M73" s="26">
        <f ca="1">_xll.DBRW($D$4,$E$7,$E$8,$E$9,$E$10,$E$12,$D73,$E$6,M$18,M$17)</f>
        <v>0</v>
      </c>
      <c r="N73" s="16">
        <f ca="1">_xll.DBRW($D$4,$E$7,$E$8,$E$9,$E$10,$E$12,$D73,$E$6,N$18,N$17)</f>
        <v>2.7099408200000004</v>
      </c>
      <c r="O73" s="16">
        <f ca="1">_xll.DBRW($D$4,$E$7,$E$8,$E$9,$E$10,$E$12,$D73,$E$6,O$18,O$17)</f>
        <v>18.805744280000003</v>
      </c>
      <c r="P73" s="74">
        <f ca="1">_xll.DBRW($D$4,$E$7,$E$8,$E$9,$E$10,$E$12,$D73,$E$6,P$18,P$17)</f>
        <v>-6.4382772600000013</v>
      </c>
      <c r="Q73" s="16">
        <f ca="1">_xll.DBRW($D$4,$E$7,$E$8,$E$9,$E$10,$E$12,$D73,$E$6,Q$18,Q$17)</f>
        <v>0.34235695030944024</v>
      </c>
      <c r="R73" s="16"/>
      <c r="S73" s="16"/>
      <c r="T73" s="16"/>
      <c r="U73" s="16"/>
      <c r="V73" s="16">
        <f ca="1">_xll.DBRW($D$4,$E$7,$E$8,$E$9,$E$10,$E$12,$D73,$E$6,V$18,V$17)</f>
        <v>-1.60979768</v>
      </c>
      <c r="W73" s="16">
        <f ca="1">_xll.DBRW($D$4,$E$7,$E$8,$E$9,$E$10,$E$12,$D73,$E$6,W$18,W$17)</f>
        <v>8.5601380941461983E-2</v>
      </c>
      <c r="X73" s="16"/>
      <c r="Y73" s="16"/>
      <c r="Z73" s="16"/>
      <c r="AA73" s="16"/>
      <c r="AB73" s="16">
        <f ca="1">_xll.DBRW($D$4,$E$7,$E$8,$E$9,$E$10,$E$12,$D73,$E$6,AB$18,AB$17)</f>
        <v>-1.7584475499999999</v>
      </c>
      <c r="AC73" s="16">
        <f ca="1">_xll.DBRW($D$4,$E$7,$E$8,$E$9,$E$10,$E$12,$D73,$E$6,AC$18,AC$17)</f>
        <v>9.3505873727641672E-2</v>
      </c>
      <c r="AD73" s="16"/>
      <c r="AE73" s="16"/>
      <c r="AF73" s="16"/>
      <c r="AG73" s="16"/>
      <c r="AH73" s="16">
        <f ca="1">_xll.DBRW($D$4,$E$7,$E$8,$E$9,$E$10,$E$12,$D73,$E$6,AH$18,AH$17)</f>
        <v>-2.8465864500000002</v>
      </c>
      <c r="AI73" s="16">
        <f ca="1">_xll.DBRW($D$4,$E$7,$E$8,$E$9,$E$10,$E$12,$D73,$E$6,AI$18,AI$17)</f>
        <v>0.15136792288659154</v>
      </c>
      <c r="AJ73" s="16"/>
      <c r="AK73" s="16"/>
      <c r="AL73" s="16"/>
      <c r="AM73" s="16"/>
      <c r="AN73" s="16">
        <f ca="1">_xll.DBRW($D$4,$E$7,$E$8,$E$9,$E$10,$E$12,$D73,$E$6,AN$18,AN$17)</f>
        <v>-3.4426945199999999</v>
      </c>
      <c r="AO73" s="16">
        <f ca="1">_xll.DBRW($D$4,$E$7,$E$8,$E$9,$E$10,$E$12,$D73,$E$6,AO$18,AO$17)</f>
        <v>0.18306611366939204</v>
      </c>
      <c r="AP73" s="16"/>
      <c r="AQ73" s="16"/>
      <c r="AR73" s="16"/>
      <c r="AS73" s="16"/>
      <c r="AT73" s="16">
        <f ca="1">_xll.DBRW($D$4,$E$7,$E$8,$E$9,$E$10,$E$12,$D73,$E$6,AT$18,AT$17)</f>
        <v>0.30546900000000005</v>
      </c>
      <c r="AU73" s="16">
        <f ca="1">_xll.DBRW($D$4,$E$7,$E$8,$E$9,$E$10,$E$12,$D73,$E$6,AU$18,AU$17)</f>
        <v>6.3692029999999997</v>
      </c>
      <c r="AV73" s="16">
        <f ca="1">_xll.DBRW($D$4,$E$7,$E$8,$E$9,$E$10,$E$12,$D73,$E$6,AV$18,AV$17)</f>
        <v>6.3692029999999997</v>
      </c>
      <c r="AW73" s="16">
        <f ca="1">_xll.DBRW($D$4,$E$7,$E$8,$E$9,$E$10,$E$12,$D73,$E$6,AW$18,AW$17)</f>
        <v>6.3692029999999997</v>
      </c>
      <c r="AX73" s="16">
        <f ca="1">_xll.DBRW($D$4,$E$7,$E$8,$E$9,$E$10,$E$12,$D73,$E$6,AX$18,AX$17)</f>
        <v>1.8298399999999999</v>
      </c>
      <c r="AY73" s="16">
        <f ca="1">_xll.DBRW($D$4,$E$7,$E$8,$E$9,$E$10,$E$12,$D73,$E$6,AY$18,AY$17)</f>
        <v>6.3692029999999997</v>
      </c>
      <c r="AZ73" s="16">
        <f ca="1">_xll.DBRW($D$4,$E$7,$E$8,$E$9,$E$10,$E$12,$D73,$E$6,AZ$18,AZ$17)</f>
        <v>4.6434069999999998</v>
      </c>
      <c r="BA73" s="16">
        <f ca="1">_xll.DBRW($D$4,$E$7,$E$8,$E$9,$E$10,$E$12,$D73,$E$6,BA$18,BA$17)</f>
        <v>6.3692029999999997</v>
      </c>
      <c r="BB73" s="16">
        <f ca="1">_xll.DBRW($D$4,$E$7,$E$8,$E$9,$E$10,$E$12,$D73,$E$6,BB$18,BB$17)</f>
        <v>6.3692029999999997</v>
      </c>
      <c r="BC73" s="16">
        <f ca="1">_xll.DBRW($D$4,$E$7,$E$8,$E$9,$E$10,$E$12,$D73,$E$6,BC$18,BC$17)</f>
        <v>6.3692029999999997</v>
      </c>
      <c r="BD73" s="16">
        <f ca="1">_xll.DBRW($D$4,$E$7,$E$8,$E$9,$E$10,$E$12,$D73,$E$6,BD$18,BD$17)</f>
        <v>1.9351267114860495</v>
      </c>
      <c r="BE73" s="16">
        <f ca="1">_xll.DBRW($D$4,$E$7,$E$8,$E$9,$E$10,$E$12,$D73,$E$6,BE$18,BE$17)</f>
        <v>-1.18296</v>
      </c>
      <c r="BF73" s="16">
        <f ca="1">_xll.DBRW($D$4,$E$7,$E$8,$E$9,$E$10,$E$12,$D73,$E$6,BF$18,BF$17)</f>
        <v>0</v>
      </c>
      <c r="BG73" s="26">
        <f ca="1">_xll.DBRW($D$4,$E$7,$E$8,$E$9,$E$10,$E$12,$D73,$E$6,BG$18,BG$17)</f>
        <v>0</v>
      </c>
      <c r="BH73" s="26">
        <f ca="1">_xll.DBRW($D$4,$E$7,$E$8,$E$9,$E$10,$E$12,$D73,$E$6,BH$18,BH$17)</f>
        <v>0</v>
      </c>
      <c r="BI73" s="26">
        <f ca="1">_xll.DBRW($D$4,$E$7,$E$8,$E$9,$E$10,$E$12,$D73,$E$6,BI$18,BI$17)</f>
        <v>0</v>
      </c>
      <c r="BJ73" s="26">
        <f ca="1">_xll.DBRW($D$4,$E$7,$E$8,$E$9,$E$10,$E$12,$D73,$E$6,BJ$18,BJ$17)</f>
        <v>0</v>
      </c>
      <c r="BK73" s="16">
        <f ca="1">_xll.DBRW($D$4,$E$7,$E$8,$E$9,$E$10,$E$12,$D73,$E$6,BK$18,BK$17)</f>
        <v>3.1180867114860495</v>
      </c>
      <c r="BL73" s="16">
        <f ca="1">_xll.DBRW($D$4,$E$7,$E$8,$E$9,$E$10,$E$12,$D73,$E$6,BL$18,BL$17)</f>
        <v>20.62772985107145</v>
      </c>
      <c r="BM73" s="16">
        <f ca="1">_xll.DBRW($D$4,$E$7,$E$8,$E$9,$E$10,$E$12,$D73,$E$6,BM$18,BM$17)</f>
        <v>-7.2324139999999995</v>
      </c>
      <c r="BN73" s="16">
        <f ca="1">_xll.DBRW($D$4,$E$7,$E$8,$E$9,$E$10,$E$12,$D73,$E$6,BN$18,BN$17)</f>
        <v>0.35061609068068789</v>
      </c>
      <c r="BO73" s="16"/>
      <c r="BP73" s="16"/>
      <c r="BQ73" s="16"/>
      <c r="BR73" s="16"/>
      <c r="BS73" s="16">
        <f ca="1">_xll.DBRW($D$4,$E$7,$E$8,$E$9,$E$10,$E$12,$D73,$E$6,BS$18,BS$17)</f>
        <v>-1.7121201064999998</v>
      </c>
      <c r="BT73" s="16">
        <f ca="1">_xll.DBRW($D$4,$E$7,$E$8,$E$9,$E$10,$E$12,$D73,$E$6,BT$18,BT$17)</f>
        <v>8.3000898250132377E-2</v>
      </c>
      <c r="BU73" s="16"/>
      <c r="BV73" s="16"/>
      <c r="BW73" s="16"/>
      <c r="BX73" s="16"/>
      <c r="BY73" s="16">
        <f ca="1">_xll.DBRW($D$4,$E$7,$E$8,$E$9,$E$10,$E$12,$D73,$E$6,BY$18,BY$17)</f>
        <v>-1.7662840330853997</v>
      </c>
      <c r="BZ73" s="16">
        <f ca="1">_xll.DBRW($D$4,$E$7,$E$8,$E$9,$E$10,$E$12,$D73,$E$6,BZ$18,BZ$17)</f>
        <v>8.5626680484845258E-2</v>
      </c>
      <c r="CA73" s="16"/>
      <c r="CB73" s="16"/>
      <c r="CC73" s="16"/>
      <c r="CD73" s="16"/>
      <c r="CE73" s="16">
        <f ca="1">_xll.DBRW($D$4,$E$7,$E$8,$E$9,$E$10,$E$12,$D73,$E$6,CE$18,CE$17)</f>
        <v>-3.1308289999999994</v>
      </c>
      <c r="CF73" s="16">
        <f ca="1">_xll.DBRW($D$4,$E$7,$E$8,$E$9,$E$10,$E$12,$D73,$E$6,CF$18,CF$17)</f>
        <v>0.15177768094715363</v>
      </c>
      <c r="CG73" s="16"/>
      <c r="CH73" s="16"/>
      <c r="CI73" s="16"/>
      <c r="CJ73" s="16"/>
      <c r="CK73" s="16">
        <f ca="1">_xll.DBRW($D$4,$E$7,$E$8,$E$9,$E$10,$E$12,$D73,$E$6,CK$18,CK$17)</f>
        <v>-3.6679959999999991</v>
      </c>
      <c r="CL73" s="16">
        <f ca="1">_xll.DBRW($D$4,$E$7,$E$8,$E$9,$E$10,$E$12,$D73,$E$6,CL$18,CL$17)</f>
        <v>0.17781869485795479</v>
      </c>
      <c r="CM73" s="16"/>
      <c r="CN73" s="16"/>
      <c r="CO73" s="16"/>
      <c r="CP73" s="16"/>
      <c r="CQ73" s="16">
        <f ca="1">_xll.DBRW($D$4,$E$7,$E$8,$E$9,$E$10,$E$12,$D73,$E$6,CQ$18,CQ$17)</f>
        <v>0.33742899999999992</v>
      </c>
      <c r="CR73" s="16">
        <f ca="1">_xll.DBRW($D$4,$E$7,$E$8,$E$9,$E$10,$E$12,$D73,$E$6,CR$18,CR$17)</f>
        <v>7.1370950000000004</v>
      </c>
      <c r="CS73" s="16">
        <f ca="1">_xll.DBRW($D$4,$E$7,$E$8,$E$9,$E$10,$E$12,$D73,$E$6,CS$18,CS$17)</f>
        <v>7.1370950000000004</v>
      </c>
      <c r="CT73" s="16">
        <f ca="1">_xll.DBRW($D$4,$E$7,$E$8,$E$9,$E$10,$E$12,$D73,$E$6,CT$18,CT$17)</f>
        <v>7.1370950000000004</v>
      </c>
      <c r="CU73" s="16">
        <f ca="1">_xll.DBRW($D$4,$E$7,$E$8,$E$9,$E$10,$E$12,$D73,$E$6,CU$18,CU$17)</f>
        <v>2.0631748940000003</v>
      </c>
      <c r="CV73" s="16">
        <f ca="1">_xll.DBRW($D$4,$E$7,$E$8,$E$9,$E$10,$E$12,$D73,$E$6,CV$18,CV$17)</f>
        <v>7.1370950000000004</v>
      </c>
      <c r="CW73" s="16">
        <f ca="1">_xll.DBRW($D$4,$E$7,$E$8,$E$9,$E$10,$E$12,$D73,$E$6,CW$18,CW$17)</f>
        <v>5.2048809999999985</v>
      </c>
      <c r="CX73" s="16">
        <f ca="1">_xll.DBRW($D$4,$E$7,$E$8,$E$9,$E$10,$E$12,$D73,$E$6,CX$18,CX$17)</f>
        <v>7.1370950000000004</v>
      </c>
      <c r="CY73" s="16">
        <f ca="1">_xll.DBRW($D$4,$E$7,$E$8,$E$9,$E$10,$E$12,$D73,$E$6,CY$18,CY$17)</f>
        <v>7.1370950000000004</v>
      </c>
      <c r="CZ73" s="16">
        <f ca="1">_xll.DBRW($D$4,$E$7,$E$8,$E$9,$E$10,$E$12,$D73,$E$6,CZ$18,CZ$17)</f>
        <v>7.1370950000000004</v>
      </c>
      <c r="DA73" s="26">
        <f t="shared" ca="1" si="89"/>
        <v>0.32697852851395037</v>
      </c>
      <c r="DB73" s="26">
        <f t="shared" ca="1" si="90"/>
        <v>0.73512442</v>
      </c>
      <c r="DC73" s="26">
        <f t="shared" ca="1" si="91"/>
        <v>0</v>
      </c>
      <c r="DD73" s="26">
        <f t="shared" ca="1" si="92"/>
        <v>0</v>
      </c>
      <c r="DE73" s="26">
        <f t="shared" ca="1" si="93"/>
        <v>0</v>
      </c>
      <c r="DF73" s="26">
        <f t="shared" ca="1" si="94"/>
        <v>0</v>
      </c>
      <c r="DG73" s="26">
        <f t="shared" ca="1" si="95"/>
        <v>0</v>
      </c>
      <c r="DH73" s="26">
        <f t="shared" ca="1" si="96"/>
        <v>-0.40814589148604918</v>
      </c>
      <c r="DI73" s="26">
        <f t="shared" ca="1" si="97"/>
        <v>-1.8219855710714477</v>
      </c>
      <c r="DJ73" s="26">
        <f t="shared" ca="1" si="98"/>
        <v>0.79413673999999812</v>
      </c>
      <c r="DK73" s="26">
        <f t="shared" ca="1" si="99"/>
        <v>-8.2591403712476419E-3</v>
      </c>
      <c r="DL73" s="26"/>
      <c r="DM73" s="26"/>
      <c r="DN73" s="26"/>
      <c r="DO73" s="26"/>
      <c r="DP73" s="26">
        <f t="shared" ca="1" si="100"/>
        <v>0.10232242649999979</v>
      </c>
      <c r="DQ73" s="26">
        <f t="shared" ca="1" si="101"/>
        <v>2.6004826913296059E-3</v>
      </c>
      <c r="DR73" s="26"/>
      <c r="DS73" s="26"/>
      <c r="DT73" s="26"/>
      <c r="DU73" s="26"/>
      <c r="DV73" s="26">
        <f t="shared" ca="1" si="102"/>
        <v>7.836483085399859E-3</v>
      </c>
      <c r="DW73" s="26">
        <f t="shared" ca="1" si="103"/>
        <v>7.8791932427964145E-3</v>
      </c>
      <c r="DX73" s="26"/>
      <c r="DY73" s="26"/>
      <c r="DZ73" s="26"/>
      <c r="EA73" s="26"/>
      <c r="EB73" s="26">
        <f t="shared" ca="1" si="104"/>
        <v>0.28424254999999921</v>
      </c>
      <c r="EC73" s="26">
        <f t="shared" ca="1" si="105"/>
        <v>-4.0975806056209318E-4</v>
      </c>
      <c r="ED73" s="26"/>
      <c r="EE73" s="26"/>
      <c r="EF73" s="26"/>
      <c r="EG73" s="26"/>
      <c r="EH73" s="26">
        <f t="shared" ca="1" si="106"/>
        <v>0.22530147999999928</v>
      </c>
      <c r="EI73" s="29">
        <f t="shared" ca="1" si="107"/>
        <v>5.2474188114372544E-3</v>
      </c>
      <c r="EJ73" s="29"/>
      <c r="EK73" s="29"/>
      <c r="EL73" s="29"/>
      <c r="EM73" s="29"/>
      <c r="EN73" s="93"/>
      <c r="EO73" s="29"/>
      <c r="EP73" s="29"/>
      <c r="EQ73" s="29"/>
      <c r="ER73" s="29"/>
      <c r="ES73" s="29"/>
      <c r="ET73" s="29"/>
      <c r="EU73" s="93"/>
      <c r="EV73" s="29"/>
      <c r="EW73" s="29"/>
      <c r="EX73" s="29"/>
      <c r="EY73" s="29"/>
      <c r="EZ73" s="29"/>
      <c r="FA73" s="29"/>
      <c r="FB73" s="93"/>
      <c r="FC73" s="29"/>
      <c r="FD73" s="29"/>
      <c r="FE73" s="29"/>
      <c r="FF73" s="29"/>
      <c r="FG73" s="29"/>
      <c r="FH73" s="29"/>
      <c r="FI73" s="93"/>
      <c r="FJ73" s="29"/>
      <c r="FK73" s="29"/>
      <c r="FL73" s="29"/>
      <c r="FM73" s="29"/>
      <c r="FN73" s="29"/>
      <c r="FO73" s="29"/>
      <c r="FP73" s="93"/>
      <c r="FQ73" s="29"/>
      <c r="FR73" s="29"/>
      <c r="FS73" s="29"/>
      <c r="FT73" s="29"/>
      <c r="FU73" s="29"/>
      <c r="FV73" s="29"/>
    </row>
    <row r="74" spans="1:178" x14ac:dyDescent="0.25">
      <c r="A74" t="str">
        <f ca="1">IF(_xll.TM1RPTELISCONSOLIDATED($D$28,$D74),IF(_xll.TM1RPTELLEV($D$28,$D74)&lt;=3,_xll.TM1RPTELLEV($D$28,$D74),"D"),"N")</f>
        <v>N</v>
      </c>
      <c r="B74" t="str">
        <f ca="1">_xll.DBRA(Server&amp;"Management_organization",$D74,$B$27)</f>
        <v>L</v>
      </c>
      <c r="C74">
        <v>1</v>
      </c>
      <c r="D74" s="2" t="s">
        <v>119</v>
      </c>
      <c r="E74" s="26"/>
      <c r="F74" s="26"/>
      <c r="G74" s="16">
        <f ca="1">_xll.DBRW($D$4,$E$7,$E$8,$E$9,$E$10,$E$12,$D74,$E$6,G$18,G$17)</f>
        <v>9.2456970000000249E-2</v>
      </c>
      <c r="H74" s="16">
        <f ca="1">_xll.DBRW($D$4,$E$7,$E$8,$E$9,$E$10,$E$12,$D74,$E$6,H$18,H$17)</f>
        <v>-0.21844445999999998</v>
      </c>
      <c r="I74" s="16">
        <f ca="1">_xll.DBRW($D$4,$E$7,$E$8,$E$9,$E$10,$E$12,$D74,$E$6,I$18,I$17)</f>
        <v>0</v>
      </c>
      <c r="J74" s="26">
        <f ca="1">_xll.DBRW($D$4,$E$7,$E$8,$E$9,$E$10,$E$12,$D74,$E$6,J$18,J$17)</f>
        <v>0</v>
      </c>
      <c r="K74" s="26">
        <f ca="1">_xll.DBRW($D$4,$E$7,$E$8,$E$9,$E$10,$E$12,$D74,$E$6,K$18,K$17)</f>
        <v>0</v>
      </c>
      <c r="L74" s="26">
        <f ca="1">_xll.DBRW($D$4,$E$7,$E$8,$E$9,$E$10,$E$12,$D74,$E$6,L$18,L$17)</f>
        <v>0</v>
      </c>
      <c r="M74" s="26">
        <f ca="1">_xll.DBRW($D$4,$E$7,$E$8,$E$9,$E$10,$E$12,$D74,$E$6,M$18,M$17)</f>
        <v>0</v>
      </c>
      <c r="N74" s="16">
        <f ca="1">_xll.DBRW($D$4,$E$7,$E$8,$E$9,$E$10,$E$12,$D74,$E$6,N$18,N$17)</f>
        <v>0.3109014300000002</v>
      </c>
      <c r="O74" s="16">
        <f ca="1">_xll.DBRW($D$4,$E$7,$E$8,$E$9,$E$10,$E$12,$D74,$E$6,O$18,O$17)</f>
        <v>5.5580718099999986</v>
      </c>
      <c r="P74" s="74">
        <f ca="1">_xll.DBRW($D$4,$E$7,$E$8,$E$9,$E$10,$E$12,$D74,$E$6,P$18,P$17)</f>
        <v>-2.4492425399999989</v>
      </c>
      <c r="Q74" s="16">
        <f ca="1">_xll.DBRW($D$4,$E$7,$E$8,$E$9,$E$10,$E$12,$D74,$E$6,Q$18,Q$17)</f>
        <v>0.44066406907398331</v>
      </c>
      <c r="R74" s="16"/>
      <c r="S74" s="16"/>
      <c r="T74" s="16"/>
      <c r="U74" s="16"/>
      <c r="V74" s="16">
        <f ca="1">_xll.DBRW($D$4,$E$7,$E$8,$E$9,$E$10,$E$12,$D74,$E$6,V$18,V$17)</f>
        <v>-0.58878078999999994</v>
      </c>
      <c r="W74" s="16">
        <f ca="1">_xll.DBRW($D$4,$E$7,$E$8,$E$9,$E$10,$E$12,$D74,$E$6,W$18,W$17)</f>
        <v>0.10593256260933413</v>
      </c>
      <c r="X74" s="16"/>
      <c r="Y74" s="16"/>
      <c r="Z74" s="16"/>
      <c r="AA74" s="16"/>
      <c r="AB74" s="16">
        <f ca="1">_xll.DBRW($D$4,$E$7,$E$8,$E$9,$E$10,$E$12,$D74,$E$6,AB$18,AB$17)</f>
        <v>-0.59639291999999988</v>
      </c>
      <c r="AC74" s="16">
        <f ca="1">_xll.DBRW($D$4,$E$7,$E$8,$E$9,$E$10,$E$12,$D74,$E$6,AC$18,AC$17)</f>
        <v>0.10730212569887614</v>
      </c>
      <c r="AD74" s="16"/>
      <c r="AE74" s="16"/>
      <c r="AF74" s="16"/>
      <c r="AG74" s="16"/>
      <c r="AH74" s="16">
        <f ca="1">_xll.DBRW($D$4,$E$7,$E$8,$E$9,$E$10,$E$12,$D74,$E$6,AH$18,AH$17)</f>
        <v>-0.73637769000000008</v>
      </c>
      <c r="AI74" s="16">
        <f ca="1">_xll.DBRW($D$4,$E$7,$E$8,$E$9,$E$10,$E$12,$D74,$E$6,AI$18,AI$17)</f>
        <v>0.13248797697703735</v>
      </c>
      <c r="AJ74" s="16"/>
      <c r="AK74" s="16"/>
      <c r="AL74" s="16"/>
      <c r="AM74" s="16"/>
      <c r="AN74" s="16">
        <f ca="1">_xll.DBRW($D$4,$E$7,$E$8,$E$9,$E$10,$E$12,$D74,$E$6,AN$18,AN$17)</f>
        <v>-0.87637644000000003</v>
      </c>
      <c r="AO74" s="16">
        <f ca="1">_xll.DBRW($D$4,$E$7,$E$8,$E$9,$E$10,$E$12,$D74,$E$6,AO$18,AO$17)</f>
        <v>0.15767634351597201</v>
      </c>
      <c r="AP74" s="16"/>
      <c r="AQ74" s="16"/>
      <c r="AR74" s="16"/>
      <c r="AS74" s="16"/>
      <c r="AT74" s="16">
        <f ca="1">_xll.DBRW($D$4,$E$7,$E$8,$E$9,$E$10,$E$12,$D74,$E$6,AT$18,AT$17)</f>
        <v>0.103129</v>
      </c>
      <c r="AU74" s="16">
        <f ca="1">_xll.DBRW($D$4,$E$7,$E$8,$E$9,$E$10,$E$12,$D74,$E$6,AU$18,AU$17)</f>
        <v>2.1234760000000001</v>
      </c>
      <c r="AV74" s="16">
        <f ca="1">_xll.DBRW($D$4,$E$7,$E$8,$E$9,$E$10,$E$12,$D74,$E$6,AV$18,AV$17)</f>
        <v>2.1234760000000001</v>
      </c>
      <c r="AW74" s="16">
        <f ca="1">_xll.DBRW($D$4,$E$7,$E$8,$E$9,$E$10,$E$12,$D74,$E$6,AW$18,AW$17)</f>
        <v>2.1234760000000001</v>
      </c>
      <c r="AX74" s="16">
        <f ca="1">_xll.DBRW($D$4,$E$7,$E$8,$E$9,$E$10,$E$12,$D74,$E$6,AX$18,AX$17)</f>
        <v>0.60870500000000005</v>
      </c>
      <c r="AY74" s="16">
        <f ca="1">_xll.DBRW($D$4,$E$7,$E$8,$E$9,$E$10,$E$12,$D74,$E$6,AY$18,AY$17)</f>
        <v>2.1234760000000001</v>
      </c>
      <c r="AZ74" s="16">
        <f ca="1">_xll.DBRW($D$4,$E$7,$E$8,$E$9,$E$10,$E$12,$D74,$E$6,AZ$18,AZ$17)</f>
        <v>1.5250349999999999</v>
      </c>
      <c r="BA74" s="16">
        <f ca="1">_xll.DBRW($D$4,$E$7,$E$8,$E$9,$E$10,$E$12,$D74,$E$6,BA$18,BA$17)</f>
        <v>2.1234760000000001</v>
      </c>
      <c r="BB74" s="16">
        <f ca="1">_xll.DBRW($D$4,$E$7,$E$8,$E$9,$E$10,$E$12,$D74,$E$6,BB$18,BB$17)</f>
        <v>2.1234760000000001</v>
      </c>
      <c r="BC74" s="16">
        <f ca="1">_xll.DBRW($D$4,$E$7,$E$8,$E$9,$E$10,$E$12,$D74,$E$6,BC$18,BC$17)</f>
        <v>2.1234760000000001</v>
      </c>
      <c r="BD74" s="16">
        <f ca="1">_xll.DBRW($D$4,$E$7,$E$8,$E$9,$E$10,$E$12,$D74,$E$6,BD$18,BD$17)</f>
        <v>-1.5691481159090248E-2</v>
      </c>
      <c r="BE74" s="16">
        <f ca="1">_xll.DBRW($D$4,$E$7,$E$8,$E$9,$E$10,$E$12,$D74,$E$6,BE$18,BE$17)</f>
        <v>-0.55127700000000002</v>
      </c>
      <c r="BF74" s="16">
        <f ca="1">_xll.DBRW($D$4,$E$7,$E$8,$E$9,$E$10,$E$12,$D74,$E$6,BF$18,BF$17)</f>
        <v>0</v>
      </c>
      <c r="BG74" s="26">
        <f ca="1">_xll.DBRW($D$4,$E$7,$E$8,$E$9,$E$10,$E$12,$D74,$E$6,BG$18,BG$17)</f>
        <v>0</v>
      </c>
      <c r="BH74" s="26">
        <f ca="1">_xll.DBRW($D$4,$E$7,$E$8,$E$9,$E$10,$E$12,$D74,$E$6,BH$18,BH$17)</f>
        <v>0</v>
      </c>
      <c r="BI74" s="26">
        <f ca="1">_xll.DBRW($D$4,$E$7,$E$8,$E$9,$E$10,$E$12,$D74,$E$6,BI$18,BI$17)</f>
        <v>0</v>
      </c>
      <c r="BJ74" s="26">
        <f ca="1">_xll.DBRW($D$4,$E$7,$E$8,$E$9,$E$10,$E$12,$D74,$E$6,BJ$18,BJ$17)</f>
        <v>0</v>
      </c>
      <c r="BK74" s="16">
        <f ca="1">_xll.DBRW($D$4,$E$7,$E$8,$E$9,$E$10,$E$12,$D74,$E$6,BK$18,BK$17)</f>
        <v>0.53558551884090977</v>
      </c>
      <c r="BL74" s="16">
        <f ca="1">_xll.DBRW($D$4,$E$7,$E$8,$E$9,$E$10,$E$12,$D74,$E$6,BL$18,BL$17)</f>
        <v>6.2922514972049095</v>
      </c>
      <c r="BM74" s="16">
        <f ca="1">_xll.DBRW($D$4,$E$7,$E$8,$E$9,$E$10,$E$12,$D74,$E$6,BM$18,BM$17)</f>
        <v>-2.757139</v>
      </c>
      <c r="BN74" s="16">
        <f ca="1">_xll.DBRW($D$4,$E$7,$E$8,$E$9,$E$10,$E$12,$D74,$E$6,BN$18,BN$17)</f>
        <v>0.43818003797603333</v>
      </c>
      <c r="BO74" s="16"/>
      <c r="BP74" s="16"/>
      <c r="BQ74" s="16"/>
      <c r="BR74" s="16"/>
      <c r="BS74" s="16">
        <f ca="1">_xll.DBRW($D$4,$E$7,$E$8,$E$9,$E$10,$E$12,$D74,$E$6,BS$18,BS$17)</f>
        <v>-0.60646487949999994</v>
      </c>
      <c r="BT74" s="16">
        <f ca="1">_xll.DBRW($D$4,$E$7,$E$8,$E$9,$E$10,$E$12,$D74,$E$6,BT$18,BT$17)</f>
        <v>9.6382809836733099E-2</v>
      </c>
      <c r="BU74" s="16"/>
      <c r="BV74" s="16"/>
      <c r="BW74" s="16"/>
      <c r="BX74" s="16"/>
      <c r="BY74" s="16">
        <f ca="1">_xll.DBRW($D$4,$E$7,$E$8,$E$9,$E$10,$E$12,$D74,$E$6,BY$18,BY$17)</f>
        <v>-0.58642209886399987</v>
      </c>
      <c r="BZ74" s="16">
        <f ca="1">_xll.DBRW($D$4,$E$7,$E$8,$E$9,$E$10,$E$12,$D74,$E$6,BZ$18,BZ$17)</f>
        <v>9.3197498403313234E-2</v>
      </c>
      <c r="CA74" s="16"/>
      <c r="CB74" s="16"/>
      <c r="CC74" s="16"/>
      <c r="CD74" s="16"/>
      <c r="CE74" s="16">
        <f ca="1">_xll.DBRW($D$4,$E$7,$E$8,$E$9,$E$10,$E$12,$D74,$E$6,CE$18,CE$17)</f>
        <v>-0.78568499999999997</v>
      </c>
      <c r="CF74" s="16">
        <f ca="1">_xll.DBRW($D$4,$E$7,$E$8,$E$9,$E$10,$E$12,$D74,$E$6,CF$18,CF$17)</f>
        <v>0.12486547944706443</v>
      </c>
      <c r="CG74" s="16"/>
      <c r="CH74" s="16"/>
      <c r="CI74" s="16"/>
      <c r="CJ74" s="16"/>
      <c r="CK74" s="16">
        <f ca="1">_xll.DBRW($D$4,$E$7,$E$8,$E$9,$E$10,$E$12,$D74,$E$6,CK$18,CK$17)</f>
        <v>-1.0209549999999996</v>
      </c>
      <c r="CL74" s="16">
        <f ca="1">_xll.DBRW($D$4,$E$7,$E$8,$E$9,$E$10,$E$12,$D74,$E$6,CL$18,CL$17)</f>
        <v>0.16225591117162427</v>
      </c>
      <c r="CM74" s="16"/>
      <c r="CN74" s="16"/>
      <c r="CO74" s="16"/>
      <c r="CP74" s="16"/>
      <c r="CQ74" s="16">
        <f ca="1">_xll.DBRW($D$4,$E$7,$E$8,$E$9,$E$10,$E$12,$D74,$E$6,CQ$18,CQ$17)</f>
        <v>0.120243</v>
      </c>
      <c r="CR74" s="16">
        <f ca="1">_xll.DBRW($D$4,$E$7,$E$8,$E$9,$E$10,$E$12,$D74,$E$6,CR$18,CR$17)</f>
        <v>2.4105509999999999</v>
      </c>
      <c r="CS74" s="16">
        <f ca="1">_xll.DBRW($D$4,$E$7,$E$8,$E$9,$E$10,$E$12,$D74,$E$6,CS$18,CS$17)</f>
        <v>2.4105509999999999</v>
      </c>
      <c r="CT74" s="16">
        <f ca="1">_xll.DBRW($D$4,$E$7,$E$8,$E$9,$E$10,$E$12,$D74,$E$6,CT$18,CT$17)</f>
        <v>2.4105509999999999</v>
      </c>
      <c r="CU74" s="16">
        <f ca="1">_xll.DBRW($D$4,$E$7,$E$8,$E$9,$E$10,$E$12,$D74,$E$6,CU$18,CU$17)</f>
        <v>0.68917872000000002</v>
      </c>
      <c r="CV74" s="16">
        <f ca="1">_xll.DBRW($D$4,$E$7,$E$8,$E$9,$E$10,$E$12,$D74,$E$6,CV$18,CV$17)</f>
        <v>2.4105509999999999</v>
      </c>
      <c r="CW74" s="16">
        <f ca="1">_xll.DBRW($D$4,$E$7,$E$8,$E$9,$E$10,$E$12,$D74,$E$6,CW$18,CW$17)</f>
        <v>1.7129159999999999</v>
      </c>
      <c r="CX74" s="16">
        <f ca="1">_xll.DBRW($D$4,$E$7,$E$8,$E$9,$E$10,$E$12,$D74,$E$6,CX$18,CX$17)</f>
        <v>2.4105509999999999</v>
      </c>
      <c r="CY74" s="16">
        <f ca="1">_xll.DBRW($D$4,$E$7,$E$8,$E$9,$E$10,$E$12,$D74,$E$6,CY$18,CY$17)</f>
        <v>2.4105509999999999</v>
      </c>
      <c r="CZ74" s="16">
        <f ca="1">_xll.DBRW($D$4,$E$7,$E$8,$E$9,$E$10,$E$12,$D74,$E$6,CZ$18,CZ$17)</f>
        <v>2.4105509999999999</v>
      </c>
      <c r="DA74" s="26">
        <f t="shared" ca="1" si="89"/>
        <v>0.1081484511590905</v>
      </c>
      <c r="DB74" s="26">
        <f t="shared" ca="1" si="90"/>
        <v>0.33283254000000007</v>
      </c>
      <c r="DC74" s="26">
        <f t="shared" ca="1" si="91"/>
        <v>0</v>
      </c>
      <c r="DD74" s="26">
        <f t="shared" ca="1" si="92"/>
        <v>0</v>
      </c>
      <c r="DE74" s="26">
        <f t="shared" ca="1" si="93"/>
        <v>0</v>
      </c>
      <c r="DF74" s="26">
        <f t="shared" ca="1" si="94"/>
        <v>0</v>
      </c>
      <c r="DG74" s="26">
        <f t="shared" ca="1" si="95"/>
        <v>0</v>
      </c>
      <c r="DH74" s="26">
        <f t="shared" ca="1" si="96"/>
        <v>-0.22468408884090957</v>
      </c>
      <c r="DI74" s="26">
        <f t="shared" ca="1" si="97"/>
        <v>-0.73417968720491089</v>
      </c>
      <c r="DJ74" s="26">
        <f t="shared" ca="1" si="98"/>
        <v>0.30789646000000115</v>
      </c>
      <c r="DK74" s="26">
        <f t="shared" ca="1" si="99"/>
        <v>2.4840310979499791E-3</v>
      </c>
      <c r="DL74" s="26"/>
      <c r="DM74" s="26"/>
      <c r="DN74" s="26"/>
      <c r="DO74" s="26"/>
      <c r="DP74" s="26">
        <f t="shared" ca="1" si="100"/>
        <v>1.76840895E-2</v>
      </c>
      <c r="DQ74" s="26">
        <f t="shared" ca="1" si="101"/>
        <v>9.5497527726010334E-3</v>
      </c>
      <c r="DR74" s="26"/>
      <c r="DS74" s="26"/>
      <c r="DT74" s="26"/>
      <c r="DU74" s="26"/>
      <c r="DV74" s="26">
        <f t="shared" ca="1" si="102"/>
        <v>-9.9708211360000076E-3</v>
      </c>
      <c r="DW74" s="26">
        <f t="shared" ca="1" si="103"/>
        <v>1.4104627295562902E-2</v>
      </c>
      <c r="DX74" s="26"/>
      <c r="DY74" s="26"/>
      <c r="DZ74" s="26"/>
      <c r="EA74" s="26"/>
      <c r="EB74" s="26">
        <f t="shared" ca="1" si="104"/>
        <v>4.9307309999999882E-2</v>
      </c>
      <c r="EC74" s="26">
        <f t="shared" ca="1" si="105"/>
        <v>7.6224975299729186E-3</v>
      </c>
      <c r="ED74" s="26"/>
      <c r="EE74" s="26"/>
      <c r="EF74" s="26"/>
      <c r="EG74" s="26"/>
      <c r="EH74" s="26">
        <f t="shared" ca="1" si="106"/>
        <v>0.14457855999999958</v>
      </c>
      <c r="EI74" s="29">
        <f t="shared" ca="1" si="107"/>
        <v>-4.5795676556522613E-3</v>
      </c>
      <c r="EJ74" s="29"/>
      <c r="EK74" s="29"/>
      <c r="EL74" s="29"/>
      <c r="EM74" s="29"/>
      <c r="EN74" s="93"/>
      <c r="EO74" s="29"/>
      <c r="EP74" s="29"/>
      <c r="EQ74" s="29"/>
      <c r="ER74" s="29"/>
      <c r="ES74" s="29"/>
      <c r="ET74" s="29"/>
      <c r="EU74" s="93"/>
      <c r="EV74" s="29"/>
      <c r="EW74" s="29"/>
      <c r="EX74" s="29"/>
      <c r="EY74" s="29"/>
      <c r="EZ74" s="29"/>
      <c r="FA74" s="29"/>
      <c r="FB74" s="93"/>
      <c r="FC74" s="29"/>
      <c r="FD74" s="29"/>
      <c r="FE74" s="29"/>
      <c r="FF74" s="29"/>
      <c r="FG74" s="29"/>
      <c r="FH74" s="29"/>
      <c r="FI74" s="93"/>
      <c r="FJ74" s="29"/>
      <c r="FK74" s="29"/>
      <c r="FL74" s="29"/>
      <c r="FM74" s="29"/>
      <c r="FN74" s="29"/>
      <c r="FO74" s="29"/>
      <c r="FP74" s="93"/>
      <c r="FQ74" s="29"/>
      <c r="FR74" s="29"/>
      <c r="FS74" s="29"/>
      <c r="FT74" s="29"/>
      <c r="FU74" s="29"/>
      <c r="FV74" s="29"/>
    </row>
    <row r="75" spans="1:178" x14ac:dyDescent="0.25">
      <c r="A75" t="str">
        <f ca="1">IF(_xll.TM1RPTELISCONSOLIDATED($D$28,$D75),IF(_xll.TM1RPTELLEV($D$28,$D75)&lt;=3,_xll.TM1RPTELLEV($D$28,$D75),"D"),"N")</f>
        <v>N</v>
      </c>
      <c r="B75" t="str">
        <f ca="1">_xll.DBRA(Server&amp;"Management_organization",$D75,$B$27)</f>
        <v>L</v>
      </c>
      <c r="C75">
        <v>1</v>
      </c>
      <c r="D75" s="2" t="s">
        <v>120</v>
      </c>
      <c r="E75" s="26"/>
      <c r="F75" s="26"/>
      <c r="G75" s="16">
        <f ca="1">_xll.DBRW($D$4,$E$7,$E$8,$E$9,$E$10,$E$12,$D75,$E$6,G$18,G$17)</f>
        <v>0.99441321000000216</v>
      </c>
      <c r="H75" s="16">
        <f ca="1">_xll.DBRW($D$4,$E$7,$E$8,$E$9,$E$10,$E$12,$D75,$E$6,H$18,H$17)</f>
        <v>-0.45027681999999997</v>
      </c>
      <c r="I75" s="16">
        <f ca="1">_xll.DBRW($D$4,$E$7,$E$8,$E$9,$E$10,$E$12,$D75,$E$6,I$18,I$17)</f>
        <v>0</v>
      </c>
      <c r="J75" s="26">
        <f ca="1">_xll.DBRW($D$4,$E$7,$E$8,$E$9,$E$10,$E$12,$D75,$E$6,J$18,J$17)</f>
        <v>0</v>
      </c>
      <c r="K75" s="26">
        <f ca="1">_xll.DBRW($D$4,$E$7,$E$8,$E$9,$E$10,$E$12,$D75,$E$6,K$18,K$17)</f>
        <v>0</v>
      </c>
      <c r="L75" s="26">
        <f ca="1">_xll.DBRW($D$4,$E$7,$E$8,$E$9,$E$10,$E$12,$D75,$E$6,L$18,L$17)</f>
        <v>0</v>
      </c>
      <c r="M75" s="26">
        <f ca="1">_xll.DBRW($D$4,$E$7,$E$8,$E$9,$E$10,$E$12,$D75,$E$6,M$18,M$17)</f>
        <v>0</v>
      </c>
      <c r="N75" s="16">
        <f ca="1">_xll.DBRW($D$4,$E$7,$E$8,$E$9,$E$10,$E$12,$D75,$E$6,N$18,N$17)</f>
        <v>1.4446900300000023</v>
      </c>
      <c r="O75" s="16">
        <f ca="1">_xll.DBRW($D$4,$E$7,$E$8,$E$9,$E$10,$E$12,$D75,$E$6,O$18,O$17)</f>
        <v>15.993638890000001</v>
      </c>
      <c r="P75" s="74">
        <f ca="1">_xll.DBRW($D$4,$E$7,$E$8,$E$9,$E$10,$E$12,$D75,$E$6,P$18,P$17)</f>
        <v>-6.1511669800000019</v>
      </c>
      <c r="Q75" s="16">
        <f ca="1">_xll.DBRW($D$4,$E$7,$E$8,$E$9,$E$10,$E$12,$D75,$E$6,Q$18,Q$17)</f>
        <v>0.38460084176628556</v>
      </c>
      <c r="R75" s="16"/>
      <c r="S75" s="16"/>
      <c r="T75" s="16"/>
      <c r="U75" s="16"/>
      <c r="V75" s="16">
        <f ca="1">_xll.DBRW($D$4,$E$7,$E$8,$E$9,$E$10,$E$12,$D75,$E$6,V$18,V$17)</f>
        <v>-1.7256081299999997</v>
      </c>
      <c r="W75" s="16">
        <f ca="1">_xll.DBRW($D$4,$E$7,$E$8,$E$9,$E$10,$E$12,$D75,$E$6,W$18,W$17)</f>
        <v>0.10789340323789189</v>
      </c>
      <c r="X75" s="16"/>
      <c r="Y75" s="16"/>
      <c r="Z75" s="16"/>
      <c r="AA75" s="16"/>
      <c r="AB75" s="16">
        <f ca="1">_xll.DBRW($D$4,$E$7,$E$8,$E$9,$E$10,$E$12,$D75,$E$6,AB$18,AB$17)</f>
        <v>-2.0916595300000003</v>
      </c>
      <c r="AC75" s="16">
        <f ca="1">_xll.DBRW($D$4,$E$7,$E$8,$E$9,$E$10,$E$12,$D75,$E$6,AC$18,AC$17)</f>
        <v>0.1307807150321374</v>
      </c>
      <c r="AD75" s="16"/>
      <c r="AE75" s="16"/>
      <c r="AF75" s="16"/>
      <c r="AG75" s="16"/>
      <c r="AH75" s="16">
        <f ca="1">_xll.DBRW($D$4,$E$7,$E$8,$E$9,$E$10,$E$12,$D75,$E$6,AH$18,AH$17)</f>
        <v>-2.0791018999999995</v>
      </c>
      <c r="AI75" s="16">
        <f ca="1">_xll.DBRW($D$4,$E$7,$E$8,$E$9,$E$10,$E$12,$D75,$E$6,AI$18,AI$17)</f>
        <v>0.12999555099996379</v>
      </c>
      <c r="AJ75" s="16"/>
      <c r="AK75" s="16"/>
      <c r="AL75" s="16"/>
      <c r="AM75" s="16"/>
      <c r="AN75" s="16">
        <f ca="1">_xll.DBRW($D$4,$E$7,$E$8,$E$9,$E$10,$E$12,$D75,$E$6,AN$18,AN$17)</f>
        <v>-2.50141232</v>
      </c>
      <c r="AO75" s="16">
        <f ca="1">_xll.DBRW($D$4,$E$7,$E$8,$E$9,$E$10,$E$12,$D75,$E$6,AO$18,AO$17)</f>
        <v>0.1564004500291678</v>
      </c>
      <c r="AP75" s="16"/>
      <c r="AQ75" s="16"/>
      <c r="AR75" s="16"/>
      <c r="AS75" s="16"/>
      <c r="AT75" s="16">
        <f ca="1">_xll.DBRW($D$4,$E$7,$E$8,$E$9,$E$10,$E$12,$D75,$E$6,AT$18,AT$17)</f>
        <v>0.30135033649943749</v>
      </c>
      <c r="AU75" s="16">
        <f ca="1">_xll.DBRW($D$4,$E$7,$E$8,$E$9,$E$10,$E$12,$D75,$E$6,AU$18,AU$17)</f>
        <v>6.4197791003641695</v>
      </c>
      <c r="AV75" s="16">
        <f ca="1">_xll.DBRW($D$4,$E$7,$E$8,$E$9,$E$10,$E$12,$D75,$E$6,AV$18,AV$17)</f>
        <v>6.4197791003641695</v>
      </c>
      <c r="AW75" s="16">
        <f ca="1">_xll.DBRW($D$4,$E$7,$E$8,$E$9,$E$10,$E$12,$D75,$E$6,AW$18,AW$17)</f>
        <v>6.4197791003641695</v>
      </c>
      <c r="AX75" s="16">
        <f ca="1">_xll.DBRW($D$4,$E$7,$E$8,$E$9,$E$10,$E$12,$D75,$E$6,AX$18,AX$17)</f>
        <v>2.1609424731201798</v>
      </c>
      <c r="AY75" s="16">
        <f ca="1">_xll.DBRW($D$4,$E$7,$E$8,$E$9,$E$10,$E$12,$D75,$E$6,AY$18,AY$17)</f>
        <v>6.4197791003641695</v>
      </c>
      <c r="AZ75" s="16">
        <f ca="1">_xll.DBRW($D$4,$E$7,$E$8,$E$9,$E$10,$E$12,$D75,$E$6,AZ$18,AZ$17)</f>
        <v>5.0770415683353312</v>
      </c>
      <c r="BA75" s="16">
        <f ca="1">_xll.DBRW($D$4,$E$7,$E$8,$E$9,$E$10,$E$12,$D75,$E$6,BA$18,BA$17)</f>
        <v>6.4197791003641695</v>
      </c>
      <c r="BB75" s="16">
        <f ca="1">_xll.DBRW($D$4,$E$7,$E$8,$E$9,$E$10,$E$12,$D75,$E$6,BB$18,BB$17)</f>
        <v>6.4197791003641695</v>
      </c>
      <c r="BC75" s="16">
        <f ca="1">_xll.DBRW($D$4,$E$7,$E$8,$E$9,$E$10,$E$12,$D75,$E$6,BC$18,BC$17)</f>
        <v>6.4197791003641695</v>
      </c>
      <c r="BD75" s="16">
        <f ca="1">_xll.DBRW($D$4,$E$7,$E$8,$E$9,$E$10,$E$12,$D75,$E$6,BD$18,BD$17)</f>
        <v>0.64551772591097745</v>
      </c>
      <c r="BE75" s="16">
        <f ca="1">_xll.DBRW($D$4,$E$7,$E$8,$E$9,$E$10,$E$12,$D75,$E$6,BE$18,BE$17)</f>
        <v>-1.088130306488404</v>
      </c>
      <c r="BF75" s="16">
        <f ca="1">_xll.DBRW($D$4,$E$7,$E$8,$E$9,$E$10,$E$12,$D75,$E$6,BF$18,BF$17)</f>
        <v>0</v>
      </c>
      <c r="BG75" s="26">
        <f ca="1">_xll.DBRW($D$4,$E$7,$E$8,$E$9,$E$10,$E$12,$D75,$E$6,BG$18,BG$17)</f>
        <v>0</v>
      </c>
      <c r="BH75" s="26">
        <f ca="1">_xll.DBRW($D$4,$E$7,$E$8,$E$9,$E$10,$E$12,$D75,$E$6,BH$18,BH$17)</f>
        <v>0</v>
      </c>
      <c r="BI75" s="26">
        <f ca="1">_xll.DBRW($D$4,$E$7,$E$8,$E$9,$E$10,$E$12,$D75,$E$6,BI$18,BI$17)</f>
        <v>0</v>
      </c>
      <c r="BJ75" s="26">
        <f ca="1">_xll.DBRW($D$4,$E$7,$E$8,$E$9,$E$10,$E$12,$D75,$E$6,BJ$18,BJ$17)</f>
        <v>0</v>
      </c>
      <c r="BK75" s="16">
        <f ca="1">_xll.DBRW($D$4,$E$7,$E$8,$E$9,$E$10,$E$12,$D75,$E$6,BK$18,BK$17)</f>
        <v>1.7336480323993817</v>
      </c>
      <c r="BL75" s="16">
        <f ca="1">_xll.DBRW($D$4,$E$7,$E$8,$E$9,$E$10,$E$12,$D75,$E$6,BL$18,BL$17)</f>
        <v>17.337738837350191</v>
      </c>
      <c r="BM75" s="16">
        <f ca="1">_xll.DBRW($D$4,$E$7,$E$8,$E$9,$E$10,$E$12,$D75,$E$6,BM$18,BM$17)</f>
        <v>-6.9006153733935003</v>
      </c>
      <c r="BN75" s="16">
        <f ca="1">_xll.DBRW($D$4,$E$7,$E$8,$E$9,$E$10,$E$12,$D75,$E$6,BN$18,BN$17)</f>
        <v>0.39801126537491172</v>
      </c>
      <c r="BO75" s="16"/>
      <c r="BP75" s="16"/>
      <c r="BQ75" s="16"/>
      <c r="BR75" s="16"/>
      <c r="BS75" s="16">
        <f ca="1">_xll.DBRW($D$4,$E$7,$E$8,$E$9,$E$10,$E$12,$D75,$E$6,BS$18,BS$17)</f>
        <v>-1.8682206595368993</v>
      </c>
      <c r="BT75" s="16">
        <f ca="1">_xll.DBRW($D$4,$E$7,$E$8,$E$9,$E$10,$E$12,$D75,$E$6,BT$18,BT$17)</f>
        <v>0.10775457382667718</v>
      </c>
      <c r="BU75" s="16"/>
      <c r="BV75" s="16"/>
      <c r="BW75" s="16"/>
      <c r="BX75" s="16"/>
      <c r="BY75" s="16">
        <f ca="1">_xll.DBRW($D$4,$E$7,$E$8,$E$9,$E$10,$E$12,$D75,$E$6,BY$18,BY$17)</f>
        <v>-1.9845000301073377</v>
      </c>
      <c r="BZ75" s="16">
        <f ca="1">_xll.DBRW($D$4,$E$7,$E$8,$E$9,$E$10,$E$12,$D75,$E$6,BZ$18,BZ$17)</f>
        <v>0.11446129444701211</v>
      </c>
      <c r="CA75" s="16"/>
      <c r="CB75" s="16"/>
      <c r="CC75" s="16"/>
      <c r="CD75" s="16"/>
      <c r="CE75" s="16">
        <f ca="1">_xll.DBRW($D$4,$E$7,$E$8,$E$9,$E$10,$E$12,$D75,$E$6,CE$18,CE$17)</f>
        <v>-2.2148470895106644</v>
      </c>
      <c r="CF75" s="16">
        <f ca="1">_xll.DBRW($D$4,$E$7,$E$8,$E$9,$E$10,$E$12,$D75,$E$6,CF$18,CF$17)</f>
        <v>0.12774717108665193</v>
      </c>
      <c r="CG75" s="16"/>
      <c r="CH75" s="16"/>
      <c r="CI75" s="16"/>
      <c r="CJ75" s="16"/>
      <c r="CK75" s="16">
        <f ca="1">_xll.DBRW($D$4,$E$7,$E$8,$E$9,$E$10,$E$12,$D75,$E$6,CK$18,CK$17)</f>
        <v>-2.6359076524024068</v>
      </c>
      <c r="CL75" s="16">
        <f ca="1">_xll.DBRW($D$4,$E$7,$E$8,$E$9,$E$10,$E$12,$D75,$E$6,CL$18,CL$17)</f>
        <v>0.15203295407380038</v>
      </c>
      <c r="CM75" s="16"/>
      <c r="CN75" s="16"/>
      <c r="CO75" s="16"/>
      <c r="CP75" s="16"/>
      <c r="CQ75" s="16">
        <f ca="1">_xll.DBRW($D$4,$E$7,$E$8,$E$9,$E$10,$E$12,$D75,$E$6,CQ$18,CQ$17)</f>
        <v>0.31333270705218508</v>
      </c>
      <c r="CR75" s="16">
        <f ca="1">_xll.DBRW($D$4,$E$7,$E$8,$E$9,$E$10,$E$12,$D75,$E$6,CR$18,CR$17)</f>
        <v>7.1616487493994292</v>
      </c>
      <c r="CS75" s="16">
        <f ca="1">_xll.DBRW($D$4,$E$7,$E$8,$E$9,$E$10,$E$12,$D75,$E$6,CS$18,CS$17)</f>
        <v>7.1616487493994292</v>
      </c>
      <c r="CT75" s="16">
        <f ca="1">_xll.DBRW($D$4,$E$7,$E$8,$E$9,$E$10,$E$12,$D75,$E$6,CT$18,CT$17)</f>
        <v>7.1616487493994292</v>
      </c>
      <c r="CU75" s="16">
        <f ca="1">_xll.DBRW($D$4,$E$7,$E$8,$E$9,$E$10,$E$12,$D75,$E$6,CU$18,CU$17)</f>
        <v>2.3633440873018094</v>
      </c>
      <c r="CV75" s="16">
        <f ca="1">_xll.DBRW($D$4,$E$7,$E$8,$E$9,$E$10,$E$12,$D75,$E$6,CV$18,CV$17)</f>
        <v>7.1616487493994292</v>
      </c>
      <c r="CW75" s="16">
        <f ca="1">_xll.DBRW($D$4,$E$7,$E$8,$E$9,$E$10,$E$12,$D75,$E$6,CW$18,CW$17)</f>
        <v>5.7891159624195891</v>
      </c>
      <c r="CX75" s="16">
        <f ca="1">_xll.DBRW($D$4,$E$7,$E$8,$E$9,$E$10,$E$12,$D75,$E$6,CX$18,CX$17)</f>
        <v>7.1616487493994292</v>
      </c>
      <c r="CY75" s="16">
        <f ca="1">_xll.DBRW($D$4,$E$7,$E$8,$E$9,$E$10,$E$12,$D75,$E$6,CY$18,CY$17)</f>
        <v>7.1616487493994292</v>
      </c>
      <c r="CZ75" s="16">
        <f ca="1">_xll.DBRW($D$4,$E$7,$E$8,$E$9,$E$10,$E$12,$D75,$E$6,CZ$18,CZ$17)</f>
        <v>7.1616487493994292</v>
      </c>
      <c r="DA75" s="26">
        <f t="shared" ca="1" si="89"/>
        <v>0.34889548408902471</v>
      </c>
      <c r="DB75" s="26">
        <f t="shared" ca="1" si="90"/>
        <v>0.63785348648840401</v>
      </c>
      <c r="DC75" s="26">
        <f t="shared" ca="1" si="91"/>
        <v>0</v>
      </c>
      <c r="DD75" s="26">
        <f t="shared" ca="1" si="92"/>
        <v>0</v>
      </c>
      <c r="DE75" s="26">
        <f t="shared" ca="1" si="93"/>
        <v>0</v>
      </c>
      <c r="DF75" s="26">
        <f t="shared" ca="1" si="94"/>
        <v>0</v>
      </c>
      <c r="DG75" s="26">
        <f t="shared" ca="1" si="95"/>
        <v>0</v>
      </c>
      <c r="DH75" s="26">
        <f t="shared" ca="1" si="96"/>
        <v>-0.28895800239937941</v>
      </c>
      <c r="DI75" s="26">
        <f t="shared" ca="1" si="97"/>
        <v>-1.3440999473501893</v>
      </c>
      <c r="DJ75" s="26">
        <f t="shared" ca="1" si="98"/>
        <v>0.74944839339349834</v>
      </c>
      <c r="DK75" s="26">
        <f t="shared" ca="1" si="99"/>
        <v>-1.3410423608626154E-2</v>
      </c>
      <c r="DL75" s="26"/>
      <c r="DM75" s="26"/>
      <c r="DN75" s="26"/>
      <c r="DO75" s="26"/>
      <c r="DP75" s="26">
        <f t="shared" ca="1" si="100"/>
        <v>0.14261252953689962</v>
      </c>
      <c r="DQ75" s="26">
        <f t="shared" ca="1" si="101"/>
        <v>1.3882941121470815E-4</v>
      </c>
      <c r="DR75" s="26"/>
      <c r="DS75" s="26"/>
      <c r="DT75" s="26"/>
      <c r="DU75" s="26"/>
      <c r="DV75" s="26">
        <f t="shared" ca="1" si="102"/>
        <v>-0.1071594998926626</v>
      </c>
      <c r="DW75" s="26">
        <f t="shared" ca="1" si="103"/>
        <v>1.6319420585125283E-2</v>
      </c>
      <c r="DX75" s="26"/>
      <c r="DY75" s="26"/>
      <c r="DZ75" s="26"/>
      <c r="EA75" s="26"/>
      <c r="EB75" s="26">
        <f t="shared" ca="1" si="104"/>
        <v>0.13574518951066494</v>
      </c>
      <c r="EC75" s="26">
        <f t="shared" ca="1" si="105"/>
        <v>2.2483799133118654E-3</v>
      </c>
      <c r="ED75" s="26"/>
      <c r="EE75" s="26"/>
      <c r="EF75" s="26"/>
      <c r="EG75" s="26"/>
      <c r="EH75" s="26">
        <f t="shared" ca="1" si="106"/>
        <v>0.13449533240240674</v>
      </c>
      <c r="EI75" s="29">
        <f t="shared" ca="1" si="107"/>
        <v>4.3674959553674231E-3</v>
      </c>
      <c r="EJ75" s="29"/>
      <c r="EK75" s="29"/>
      <c r="EL75" s="29"/>
      <c r="EM75" s="29"/>
      <c r="EN75" s="93"/>
      <c r="EO75" s="29"/>
      <c r="EP75" s="29"/>
      <c r="EQ75" s="29"/>
      <c r="ER75" s="29"/>
      <c r="ES75" s="29"/>
      <c r="ET75" s="29"/>
      <c r="EU75" s="93"/>
      <c r="EV75" s="29"/>
      <c r="EW75" s="29"/>
      <c r="EX75" s="29"/>
      <c r="EY75" s="29"/>
      <c r="EZ75" s="29"/>
      <c r="FA75" s="29"/>
      <c r="FB75" s="93"/>
      <c r="FC75" s="29"/>
      <c r="FD75" s="29"/>
      <c r="FE75" s="29"/>
      <c r="FF75" s="29"/>
      <c r="FG75" s="29"/>
      <c r="FH75" s="29"/>
      <c r="FI75" s="93"/>
      <c r="FJ75" s="29"/>
      <c r="FK75" s="29"/>
      <c r="FL75" s="29"/>
      <c r="FM75" s="29"/>
      <c r="FN75" s="29"/>
      <c r="FO75" s="29"/>
      <c r="FP75" s="93"/>
      <c r="FQ75" s="29"/>
      <c r="FR75" s="29"/>
      <c r="FS75" s="29"/>
      <c r="FT75" s="29"/>
      <c r="FU75" s="29"/>
      <c r="FV75" s="29"/>
    </row>
    <row r="76" spans="1:178" x14ac:dyDescent="0.25">
      <c r="A76" t="str">
        <f ca="1">IF(_xll.TM1RPTELISCONSOLIDATED($D$28,$D76),IF(_xll.TM1RPTELLEV($D$28,$D76)&lt;=3,_xll.TM1RPTELLEV($D$28,$D76),"D"),"N")</f>
        <v>N</v>
      </c>
      <c r="B76" t="str">
        <f ca="1">_xll.DBRA(Server&amp;"Management_organization",$D76,$B$27)</f>
        <v>L</v>
      </c>
      <c r="C76">
        <v>1</v>
      </c>
      <c r="D76" s="2" t="s">
        <v>121</v>
      </c>
      <c r="E76" s="26"/>
      <c r="F76" s="26"/>
      <c r="G76" s="16">
        <f ca="1">_xll.DBRW($D$4,$E$7,$E$8,$E$9,$E$10,$E$12,$D76,$E$6,G$18,G$17)</f>
        <v>-0.27391437999999746</v>
      </c>
      <c r="H76" s="16">
        <f ca="1">_xll.DBRW($D$4,$E$7,$E$8,$E$9,$E$10,$E$12,$D76,$E$6,H$18,H$17)</f>
        <v>-0.30171082999999999</v>
      </c>
      <c r="I76" s="16">
        <f ca="1">_xll.DBRW($D$4,$E$7,$E$8,$E$9,$E$10,$E$12,$D76,$E$6,I$18,I$17)</f>
        <v>0</v>
      </c>
      <c r="J76" s="26">
        <f ca="1">_xll.DBRW($D$4,$E$7,$E$8,$E$9,$E$10,$E$12,$D76,$E$6,J$18,J$17)</f>
        <v>0</v>
      </c>
      <c r="K76" s="26">
        <f ca="1">_xll.DBRW($D$4,$E$7,$E$8,$E$9,$E$10,$E$12,$D76,$E$6,K$18,K$17)</f>
        <v>0</v>
      </c>
      <c r="L76" s="26">
        <f ca="1">_xll.DBRW($D$4,$E$7,$E$8,$E$9,$E$10,$E$12,$D76,$E$6,L$18,L$17)</f>
        <v>0</v>
      </c>
      <c r="M76" s="26">
        <f ca="1">_xll.DBRW($D$4,$E$7,$E$8,$E$9,$E$10,$E$12,$D76,$E$6,M$18,M$17)</f>
        <v>0</v>
      </c>
      <c r="N76" s="16">
        <f ca="1">_xll.DBRW($D$4,$E$7,$E$8,$E$9,$E$10,$E$12,$D76,$E$6,N$18,N$17)</f>
        <v>2.7796450000002519E-2</v>
      </c>
      <c r="O76" s="16">
        <f ca="1">_xll.DBRW($D$4,$E$7,$E$8,$E$9,$E$10,$E$12,$D76,$E$6,O$18,O$17)</f>
        <v>9.2023985700000015</v>
      </c>
      <c r="P76" s="74">
        <f ca="1">_xll.DBRW($D$4,$E$7,$E$8,$E$9,$E$10,$E$12,$D76,$E$6,P$18,P$17)</f>
        <v>-4.0172272999999983</v>
      </c>
      <c r="Q76" s="16">
        <f ca="1">_xll.DBRW($D$4,$E$7,$E$8,$E$9,$E$10,$E$12,$D76,$E$6,Q$18,Q$17)</f>
        <v>0.43654132881140767</v>
      </c>
      <c r="R76" s="16"/>
      <c r="S76" s="16"/>
      <c r="T76" s="16"/>
      <c r="U76" s="16"/>
      <c r="V76" s="16">
        <f ca="1">_xll.DBRW($D$4,$E$7,$E$8,$E$9,$E$10,$E$12,$D76,$E$6,V$18,V$17)</f>
        <v>-1.10391146</v>
      </c>
      <c r="W76" s="16">
        <f ca="1">_xll.DBRW($D$4,$E$7,$E$8,$E$9,$E$10,$E$12,$D76,$E$6,W$18,W$17)</f>
        <v>0.1199591010542374</v>
      </c>
      <c r="X76" s="16"/>
      <c r="Y76" s="16"/>
      <c r="Z76" s="16"/>
      <c r="AA76" s="16"/>
      <c r="AB76" s="16">
        <f ca="1">_xll.DBRW($D$4,$E$7,$E$8,$E$9,$E$10,$E$12,$D76,$E$6,AB$18,AB$17)</f>
        <v>-1.3538072699999999</v>
      </c>
      <c r="AC76" s="16">
        <f ca="1">_xll.DBRW($D$4,$E$7,$E$8,$E$9,$E$10,$E$12,$D76,$E$6,AC$18,AC$17)</f>
        <v>0.14711460927300388</v>
      </c>
      <c r="AD76" s="16"/>
      <c r="AE76" s="16"/>
      <c r="AF76" s="16"/>
      <c r="AG76" s="16"/>
      <c r="AH76" s="16">
        <f ca="1">_xll.DBRW($D$4,$E$7,$E$8,$E$9,$E$10,$E$12,$D76,$E$6,AH$18,AH$17)</f>
        <v>-1.1387795999999999</v>
      </c>
      <c r="AI76" s="16">
        <f ca="1">_xll.DBRW($D$4,$E$7,$E$8,$E$9,$E$10,$E$12,$D76,$E$6,AI$18,AI$17)</f>
        <v>0.12374812841865419</v>
      </c>
      <c r="AJ76" s="16"/>
      <c r="AK76" s="16"/>
      <c r="AL76" s="16"/>
      <c r="AM76" s="16"/>
      <c r="AN76" s="16">
        <f ca="1">_xll.DBRW($D$4,$E$7,$E$8,$E$9,$E$10,$E$12,$D76,$E$6,AN$18,AN$17)</f>
        <v>-1.5633117900000002</v>
      </c>
      <c r="AO76" s="16">
        <f ca="1">_xll.DBRW($D$4,$E$7,$E$8,$E$9,$E$10,$E$12,$D76,$E$6,AO$18,AO$17)</f>
        <v>0.16988090421299801</v>
      </c>
      <c r="AP76" s="16"/>
      <c r="AQ76" s="16"/>
      <c r="AR76" s="16"/>
      <c r="AS76" s="16"/>
      <c r="AT76" s="16">
        <f ca="1">_xll.DBRW($D$4,$E$7,$E$8,$E$9,$E$10,$E$12,$D76,$E$6,AT$18,AT$17)</f>
        <v>0.1900517855680405</v>
      </c>
      <c r="AU76" s="16">
        <f ca="1">_xll.DBRW($D$4,$E$7,$E$8,$E$9,$E$10,$E$12,$D76,$E$6,AU$18,AU$17)</f>
        <v>4.6216561399999998</v>
      </c>
      <c r="AV76" s="16">
        <f ca="1">_xll.DBRW($D$4,$E$7,$E$8,$E$9,$E$10,$E$12,$D76,$E$6,AV$18,AV$17)</f>
        <v>4.6216561399999998</v>
      </c>
      <c r="AW76" s="16">
        <f ca="1">_xll.DBRW($D$4,$E$7,$E$8,$E$9,$E$10,$E$12,$D76,$E$6,AW$18,AW$17)</f>
        <v>4.6216561399999998</v>
      </c>
      <c r="AX76" s="16">
        <f ca="1">_xll.DBRW($D$4,$E$7,$E$8,$E$9,$E$10,$E$12,$D76,$E$6,AX$18,AX$17)</f>
        <v>1.4236487199999999</v>
      </c>
      <c r="AY76" s="16">
        <f ca="1">_xll.DBRW($D$4,$E$7,$E$8,$E$9,$E$10,$E$12,$D76,$E$6,AY$18,AY$17)</f>
        <v>4.6216561399999998</v>
      </c>
      <c r="AZ76" s="16">
        <f ca="1">_xll.DBRW($D$4,$E$7,$E$8,$E$9,$E$10,$E$12,$D76,$E$6,AZ$18,AZ$17)</f>
        <v>3.1215213266528701</v>
      </c>
      <c r="BA76" s="16">
        <f ca="1">_xll.DBRW($D$4,$E$7,$E$8,$E$9,$E$10,$E$12,$D76,$E$6,BA$18,BA$17)</f>
        <v>4.6216561399999998</v>
      </c>
      <c r="BB76" s="16">
        <f ca="1">_xll.DBRW($D$4,$E$7,$E$8,$E$9,$E$10,$E$12,$D76,$E$6,BB$18,BB$17)</f>
        <v>4.6216561399999998</v>
      </c>
      <c r="BC76" s="16">
        <f ca="1">_xll.DBRW($D$4,$E$7,$E$8,$E$9,$E$10,$E$12,$D76,$E$6,BC$18,BC$17)</f>
        <v>4.6216561399999998</v>
      </c>
      <c r="BD76" s="16">
        <f ca="1">_xll.DBRW($D$4,$E$7,$E$8,$E$9,$E$10,$E$12,$D76,$E$6,BD$18,BD$17)</f>
        <v>-0.13395580856555894</v>
      </c>
      <c r="BE76" s="16">
        <f ca="1">_xll.DBRW($D$4,$E$7,$E$8,$E$9,$E$10,$E$12,$D76,$E$6,BE$18,BE$17)</f>
        <v>-0.48087380017658377</v>
      </c>
      <c r="BF76" s="16">
        <f ca="1">_xll.DBRW($D$4,$E$7,$E$8,$E$9,$E$10,$E$12,$D76,$E$6,BF$18,BF$17)</f>
        <v>0</v>
      </c>
      <c r="BG76" s="26">
        <f ca="1">_xll.DBRW($D$4,$E$7,$E$8,$E$9,$E$10,$E$12,$D76,$E$6,BG$18,BG$17)</f>
        <v>0</v>
      </c>
      <c r="BH76" s="26">
        <f ca="1">_xll.DBRW($D$4,$E$7,$E$8,$E$9,$E$10,$E$12,$D76,$E$6,BH$18,BH$17)</f>
        <v>0</v>
      </c>
      <c r="BI76" s="26">
        <f ca="1">_xll.DBRW($D$4,$E$7,$E$8,$E$9,$E$10,$E$12,$D76,$E$6,BI$18,BI$17)</f>
        <v>0</v>
      </c>
      <c r="BJ76" s="26">
        <f ca="1">_xll.DBRW($D$4,$E$7,$E$8,$E$9,$E$10,$E$12,$D76,$E$6,BJ$18,BJ$17)</f>
        <v>0</v>
      </c>
      <c r="BK76" s="16">
        <f ca="1">_xll.DBRW($D$4,$E$7,$E$8,$E$9,$E$10,$E$12,$D76,$E$6,BK$18,BK$17)</f>
        <v>0.34691799161102482</v>
      </c>
      <c r="BL76" s="16">
        <f ca="1">_xll.DBRW($D$4,$E$7,$E$8,$E$9,$E$10,$E$12,$D76,$E$6,BL$18,BL$17)</f>
        <v>10.134485510201966</v>
      </c>
      <c r="BM76" s="16">
        <f ca="1">_xll.DBRW($D$4,$E$7,$E$8,$E$9,$E$10,$E$12,$D76,$E$6,BM$18,BM$17)</f>
        <v>-4.4331050277269091</v>
      </c>
      <c r="BN76" s="16">
        <f ca="1">_xll.DBRW($D$4,$E$7,$E$8,$E$9,$E$10,$E$12,$D76,$E$6,BN$18,BN$17)</f>
        <v>0.43742773357999143</v>
      </c>
      <c r="BO76" s="16"/>
      <c r="BP76" s="16"/>
      <c r="BQ76" s="16"/>
      <c r="BR76" s="16"/>
      <c r="BS76" s="16">
        <f ca="1">_xll.DBRW($D$4,$E$7,$E$8,$E$9,$E$10,$E$12,$D76,$E$6,BS$18,BS$17)</f>
        <v>-1.0716338837726711</v>
      </c>
      <c r="BT76" s="16">
        <f ca="1">_xll.DBRW($D$4,$E$7,$E$8,$E$9,$E$10,$E$12,$D76,$E$6,BT$18,BT$17)</f>
        <v>0.10574132082915327</v>
      </c>
      <c r="BU76" s="16"/>
      <c r="BV76" s="16"/>
      <c r="BW76" s="16"/>
      <c r="BX76" s="16"/>
      <c r="BY76" s="16">
        <f ca="1">_xll.DBRW($D$4,$E$7,$E$8,$E$9,$E$10,$E$12,$D76,$E$6,BY$18,BY$17)</f>
        <v>-1.3646188157341088</v>
      </c>
      <c r="BZ76" s="16">
        <f ca="1">_xll.DBRW($D$4,$E$7,$E$8,$E$9,$E$10,$E$12,$D76,$E$6,BZ$18,BZ$17)</f>
        <v>0.1346510204549016</v>
      </c>
      <c r="CA76" s="16"/>
      <c r="CB76" s="16"/>
      <c r="CC76" s="16"/>
      <c r="CD76" s="16"/>
      <c r="CE76" s="16">
        <f ca="1">_xll.DBRW($D$4,$E$7,$E$8,$E$9,$E$10,$E$12,$D76,$E$6,CE$18,CE$17)</f>
        <v>-1.2221387974487783</v>
      </c>
      <c r="CF76" s="16">
        <f ca="1">_xll.DBRW($D$4,$E$7,$E$8,$E$9,$E$10,$E$12,$D76,$E$6,CF$18,CF$17)</f>
        <v>0.1205920908583373</v>
      </c>
      <c r="CG76" s="16"/>
      <c r="CH76" s="16"/>
      <c r="CI76" s="16"/>
      <c r="CJ76" s="16"/>
      <c r="CK76" s="16">
        <f ca="1">_xll.DBRW($D$4,$E$7,$E$8,$E$9,$E$10,$E$12,$D76,$E$6,CK$18,CK$17)</f>
        <v>-1.6960709939084717</v>
      </c>
      <c r="CL76" s="16">
        <f ca="1">_xll.DBRW($D$4,$E$7,$E$8,$E$9,$E$10,$E$12,$D76,$E$6,CL$18,CL$17)</f>
        <v>0.16735639832935845</v>
      </c>
      <c r="CM76" s="16"/>
      <c r="CN76" s="16"/>
      <c r="CO76" s="16"/>
      <c r="CP76" s="16"/>
      <c r="CQ76" s="16">
        <f ca="1">_xll.DBRW($D$4,$E$7,$E$8,$E$9,$E$10,$E$12,$D76,$E$6,CQ$18,CQ$17)</f>
        <v>0.21025074298636501</v>
      </c>
      <c r="CR76" s="16">
        <f ca="1">_xll.DBRW($D$4,$E$7,$E$8,$E$9,$E$10,$E$12,$D76,$E$6,CR$18,CR$17)</f>
        <v>5.2242892550560196</v>
      </c>
      <c r="CS76" s="16">
        <f ca="1">_xll.DBRW($D$4,$E$7,$E$8,$E$9,$E$10,$E$12,$D76,$E$6,CS$18,CS$17)</f>
        <v>5.2242892550560196</v>
      </c>
      <c r="CT76" s="16">
        <f ca="1">_xll.DBRW($D$4,$E$7,$E$8,$E$9,$E$10,$E$12,$D76,$E$6,CT$18,CT$17)</f>
        <v>5.2242892550560196</v>
      </c>
      <c r="CU76" s="16">
        <f ca="1">_xll.DBRW($D$4,$E$7,$E$8,$E$9,$E$10,$E$12,$D76,$E$6,CU$18,CU$17)</f>
        <v>1.6212650775027997</v>
      </c>
      <c r="CV76" s="16">
        <f ca="1">_xll.DBRW($D$4,$E$7,$E$8,$E$9,$E$10,$E$12,$D76,$E$6,CV$18,CV$17)</f>
        <v>5.2242892550560196</v>
      </c>
      <c r="CW76" s="16">
        <f ca="1">_xll.DBRW($D$4,$E$7,$E$8,$E$9,$E$10,$E$12,$D76,$E$6,CW$18,CW$17)</f>
        <v>3.47784757949686</v>
      </c>
      <c r="CX76" s="16">
        <f ca="1">_xll.DBRW($D$4,$E$7,$E$8,$E$9,$E$10,$E$12,$D76,$E$6,CX$18,CX$17)</f>
        <v>5.2242892550560196</v>
      </c>
      <c r="CY76" s="16">
        <f ca="1">_xll.DBRW($D$4,$E$7,$E$8,$E$9,$E$10,$E$12,$D76,$E$6,CY$18,CY$17)</f>
        <v>5.2242892550560196</v>
      </c>
      <c r="CZ76" s="16">
        <f ca="1">_xll.DBRW($D$4,$E$7,$E$8,$E$9,$E$10,$E$12,$D76,$E$6,CZ$18,CZ$17)</f>
        <v>5.2242892550560196</v>
      </c>
      <c r="DA76" s="26">
        <f t="shared" ca="1" si="89"/>
        <v>-0.13995857143443852</v>
      </c>
      <c r="DB76" s="26">
        <f t="shared" ca="1" si="90"/>
        <v>0.17916297017658378</v>
      </c>
      <c r="DC76" s="26">
        <f t="shared" ca="1" si="91"/>
        <v>0</v>
      </c>
      <c r="DD76" s="26">
        <f t="shared" ca="1" si="92"/>
        <v>0</v>
      </c>
      <c r="DE76" s="26">
        <f t="shared" ca="1" si="93"/>
        <v>0</v>
      </c>
      <c r="DF76" s="26">
        <f t="shared" ca="1" si="94"/>
        <v>0</v>
      </c>
      <c r="DG76" s="26">
        <f t="shared" ca="1" si="95"/>
        <v>0</v>
      </c>
      <c r="DH76" s="26">
        <f t="shared" ca="1" si="96"/>
        <v>-0.3191215416110223</v>
      </c>
      <c r="DI76" s="26">
        <f t="shared" ca="1" si="97"/>
        <v>-0.93208694020196425</v>
      </c>
      <c r="DJ76" s="26">
        <f t="shared" ca="1" si="98"/>
        <v>0.41587772772691078</v>
      </c>
      <c r="DK76" s="26">
        <f t="shared" ca="1" si="99"/>
        <v>-8.8640476858375949E-4</v>
      </c>
      <c r="DL76" s="26"/>
      <c r="DM76" s="26"/>
      <c r="DN76" s="26"/>
      <c r="DO76" s="26"/>
      <c r="DP76" s="26">
        <f t="shared" ca="1" si="100"/>
        <v>-3.2277576227328852E-2</v>
      </c>
      <c r="DQ76" s="26">
        <f t="shared" ca="1" si="101"/>
        <v>1.4217780225084131E-2</v>
      </c>
      <c r="DR76" s="26"/>
      <c r="DS76" s="26"/>
      <c r="DT76" s="26"/>
      <c r="DU76" s="26"/>
      <c r="DV76" s="26">
        <f t="shared" ca="1" si="102"/>
        <v>1.0811545734108918E-2</v>
      </c>
      <c r="DW76" s="26">
        <f t="shared" ca="1" si="103"/>
        <v>1.2463588818102278E-2</v>
      </c>
      <c r="DX76" s="26"/>
      <c r="DY76" s="26"/>
      <c r="DZ76" s="26"/>
      <c r="EA76" s="26"/>
      <c r="EB76" s="26">
        <f t="shared" ca="1" si="104"/>
        <v>8.3359197448778399E-2</v>
      </c>
      <c r="EC76" s="26">
        <f t="shared" ca="1" si="105"/>
        <v>3.1560375603168905E-3</v>
      </c>
      <c r="ED76" s="26"/>
      <c r="EE76" s="26"/>
      <c r="EF76" s="26"/>
      <c r="EG76" s="26"/>
      <c r="EH76" s="26">
        <f t="shared" ca="1" si="106"/>
        <v>0.13275920390847151</v>
      </c>
      <c r="EI76" s="29">
        <f t="shared" ca="1" si="107"/>
        <v>2.5245058836395606E-3</v>
      </c>
      <c r="EJ76" s="29"/>
      <c r="EK76" s="29"/>
      <c r="EL76" s="29"/>
      <c r="EM76" s="29"/>
      <c r="EN76" s="93"/>
      <c r="EO76" s="29"/>
      <c r="EP76" s="29"/>
      <c r="EQ76" s="29"/>
      <c r="ER76" s="29"/>
      <c r="ES76" s="29"/>
      <c r="ET76" s="29"/>
      <c r="EU76" s="93"/>
      <c r="EV76" s="29"/>
      <c r="EW76" s="29"/>
      <c r="EX76" s="29"/>
      <c r="EY76" s="29"/>
      <c r="EZ76" s="29"/>
      <c r="FA76" s="29"/>
      <c r="FB76" s="93"/>
      <c r="FC76" s="29"/>
      <c r="FD76" s="29"/>
      <c r="FE76" s="29"/>
      <c r="FF76" s="29"/>
      <c r="FG76" s="29"/>
      <c r="FH76" s="29"/>
      <c r="FI76" s="93"/>
      <c r="FJ76" s="29"/>
      <c r="FK76" s="29"/>
      <c r="FL76" s="29"/>
      <c r="FM76" s="29"/>
      <c r="FN76" s="29"/>
      <c r="FO76" s="29"/>
      <c r="FP76" s="93"/>
      <c r="FQ76" s="29"/>
      <c r="FR76" s="29"/>
      <c r="FS76" s="29"/>
      <c r="FT76" s="29"/>
      <c r="FU76" s="29"/>
      <c r="FV76" s="29"/>
    </row>
    <row r="77" spans="1:178" x14ac:dyDescent="0.25">
      <c r="A77" t="str">
        <f ca="1">IF(_xll.TM1RPTELISCONSOLIDATED($D$28,$D77),IF(_xll.TM1RPTELLEV($D$28,$D77)&lt;=3,_xll.TM1RPTELLEV($D$28,$D77),"D"),"N")</f>
        <v>N</v>
      </c>
      <c r="B77" t="str">
        <f ca="1">_xll.DBRA(Server&amp;"Management_organization",$D77,$B$27)</f>
        <v>L</v>
      </c>
      <c r="C77">
        <v>1</v>
      </c>
      <c r="D77" s="2" t="s">
        <v>132</v>
      </c>
      <c r="E77" s="26"/>
      <c r="F77" s="26"/>
      <c r="G77" s="16">
        <f ca="1">_xll.DBRW($D$4,$E$7,$E$8,$E$9,$E$10,$E$12,$D77,$E$6,G$18,G$17)</f>
        <v>0.64713739000000126</v>
      </c>
      <c r="H77" s="16">
        <f ca="1">_xll.DBRW($D$4,$E$7,$E$8,$E$9,$E$10,$E$12,$D77,$E$6,H$18,H$17)</f>
        <v>-0.96313177000000005</v>
      </c>
      <c r="I77" s="16">
        <f ca="1">_xll.DBRW($D$4,$E$7,$E$8,$E$9,$E$10,$E$12,$D77,$E$6,I$18,I$17)</f>
        <v>0</v>
      </c>
      <c r="J77" s="26">
        <f ca="1">_xll.DBRW($D$4,$E$7,$E$8,$E$9,$E$10,$E$12,$D77,$E$6,J$18,J$17)</f>
        <v>0</v>
      </c>
      <c r="K77" s="26">
        <f ca="1">_xll.DBRW($D$4,$E$7,$E$8,$E$9,$E$10,$E$12,$D77,$E$6,K$18,K$17)</f>
        <v>0</v>
      </c>
      <c r="L77" s="26">
        <f ca="1">_xll.DBRW($D$4,$E$7,$E$8,$E$9,$E$10,$E$12,$D77,$E$6,L$18,L$17)</f>
        <v>0</v>
      </c>
      <c r="M77" s="26">
        <f ca="1">_xll.DBRW($D$4,$E$7,$E$8,$E$9,$E$10,$E$12,$D77,$E$6,M$18,M$17)</f>
        <v>0</v>
      </c>
      <c r="N77" s="16">
        <f ca="1">_xll.DBRW($D$4,$E$7,$E$8,$E$9,$E$10,$E$12,$D77,$E$6,N$18,N$17)</f>
        <v>1.6102691600000012</v>
      </c>
      <c r="O77" s="16">
        <f ca="1">_xll.DBRW($D$4,$E$7,$E$8,$E$9,$E$10,$E$12,$D77,$E$6,O$18,O$17)</f>
        <v>11.37755679</v>
      </c>
      <c r="P77" s="74">
        <f ca="1">_xll.DBRW($D$4,$E$7,$E$8,$E$9,$E$10,$E$12,$D77,$E$6,P$18,P$17)</f>
        <v>-4.1858992199999996</v>
      </c>
      <c r="Q77" s="16">
        <f ca="1">_xll.DBRW($D$4,$E$7,$E$8,$E$9,$E$10,$E$12,$D77,$E$6,Q$18,Q$17)</f>
        <v>0.36790844442798865</v>
      </c>
      <c r="R77" s="16"/>
      <c r="S77" s="16"/>
      <c r="T77" s="16"/>
      <c r="U77" s="16"/>
      <c r="V77" s="16">
        <f ca="1">_xll.DBRW($D$4,$E$7,$E$8,$E$9,$E$10,$E$12,$D77,$E$6,V$18,V$17)</f>
        <v>-0.96931912999999992</v>
      </c>
      <c r="W77" s="16">
        <f ca="1">_xll.DBRW($D$4,$E$7,$E$8,$E$9,$E$10,$E$12,$D77,$E$6,W$18,W$17)</f>
        <v>8.519571889563822E-2</v>
      </c>
      <c r="X77" s="16"/>
      <c r="Y77" s="16"/>
      <c r="Z77" s="16"/>
      <c r="AA77" s="16"/>
      <c r="AB77" s="16">
        <f ca="1">_xll.DBRW($D$4,$E$7,$E$8,$E$9,$E$10,$E$12,$D77,$E$6,AB$18,AB$17)</f>
        <v>-1.1201691300000001</v>
      </c>
      <c r="AC77" s="16">
        <f ca="1">_xll.DBRW($D$4,$E$7,$E$8,$E$9,$E$10,$E$12,$D77,$E$6,AC$18,AC$17)</f>
        <v>9.8454277194603229E-2</v>
      </c>
      <c r="AD77" s="16"/>
      <c r="AE77" s="16"/>
      <c r="AF77" s="16"/>
      <c r="AG77" s="16"/>
      <c r="AH77" s="16">
        <f ca="1">_xll.DBRW($D$4,$E$7,$E$8,$E$9,$E$10,$E$12,$D77,$E$6,AH$18,AH$17)</f>
        <v>-1.58610462</v>
      </c>
      <c r="AI77" s="16">
        <f ca="1">_xll.DBRW($D$4,$E$7,$E$8,$E$9,$E$10,$E$12,$D77,$E$6,AI$18,AI$17)</f>
        <v>0.13940643402404851</v>
      </c>
      <c r="AJ77" s="16"/>
      <c r="AK77" s="16"/>
      <c r="AL77" s="16"/>
      <c r="AM77" s="16"/>
      <c r="AN77" s="16">
        <f ca="1">_xll.DBRW($D$4,$E$7,$E$8,$E$9,$E$10,$E$12,$D77,$E$6,AN$18,AN$17)</f>
        <v>-1.9057955299999998</v>
      </c>
      <c r="AO77" s="16">
        <f ca="1">_xll.DBRW($D$4,$E$7,$E$8,$E$9,$E$10,$E$12,$D77,$E$6,AO$18,AO$17)</f>
        <v>0.16750481365868003</v>
      </c>
      <c r="AP77" s="16"/>
      <c r="AQ77" s="16"/>
      <c r="AR77" s="16"/>
      <c r="AS77" s="16"/>
      <c r="AT77" s="16">
        <f ca="1">_xll.DBRW($D$4,$E$7,$E$8,$E$9,$E$10,$E$12,$D77,$E$6,AT$18,AT$17)</f>
        <v>0.18721014000000002</v>
      </c>
      <c r="AU77" s="16">
        <f ca="1">_xll.DBRW($D$4,$E$7,$E$8,$E$9,$E$10,$E$12,$D77,$E$6,AU$18,AU$17)</f>
        <v>4.1581529999999995</v>
      </c>
      <c r="AV77" s="16">
        <f ca="1">_xll.DBRW($D$4,$E$7,$E$8,$E$9,$E$10,$E$12,$D77,$E$6,AV$18,AV$17)</f>
        <v>4.1581529999999995</v>
      </c>
      <c r="AW77" s="16">
        <f ca="1">_xll.DBRW($D$4,$E$7,$E$8,$E$9,$E$10,$E$12,$D77,$E$6,AW$18,AW$17)</f>
        <v>4.1581529999999995</v>
      </c>
      <c r="AX77" s="16">
        <f ca="1">_xll.DBRW($D$4,$E$7,$E$8,$E$9,$E$10,$E$12,$D77,$E$6,AX$18,AX$17)</f>
        <v>1.1826257899999999</v>
      </c>
      <c r="AY77" s="16">
        <f ca="1">_xll.DBRW($D$4,$E$7,$E$8,$E$9,$E$10,$E$12,$D77,$E$6,AY$18,AY$17)</f>
        <v>4.1581529999999995</v>
      </c>
      <c r="AZ77" s="16">
        <f ca="1">_xll.DBRW($D$4,$E$7,$E$8,$E$9,$E$10,$E$12,$D77,$E$6,AZ$18,AZ$17)</f>
        <v>2.8219653399999993</v>
      </c>
      <c r="BA77" s="16">
        <f ca="1">_xll.DBRW($D$4,$E$7,$E$8,$E$9,$E$10,$E$12,$D77,$E$6,BA$18,BA$17)</f>
        <v>4.1581529999999995</v>
      </c>
      <c r="BB77" s="16">
        <f ca="1">_xll.DBRW($D$4,$E$7,$E$8,$E$9,$E$10,$E$12,$D77,$E$6,BB$18,BB$17)</f>
        <v>4.1581529999999995</v>
      </c>
      <c r="BC77" s="16">
        <f ca="1">_xll.DBRW($D$4,$E$7,$E$8,$E$9,$E$10,$E$12,$D77,$E$6,BC$18,BC$17)</f>
        <v>4.1581529999999995</v>
      </c>
      <c r="BD77" s="16">
        <f ca="1">_xll.DBRW($D$4,$E$7,$E$8,$E$9,$E$10,$E$12,$D77,$E$6,BD$18,BD$17)</f>
        <v>0.30718709882166539</v>
      </c>
      <c r="BE77" s="16">
        <f ca="1">_xll.DBRW($D$4,$E$7,$E$8,$E$9,$E$10,$E$12,$D77,$E$6,BE$18,BE$17)</f>
        <v>-1.0599054178333329</v>
      </c>
      <c r="BF77" s="16">
        <f ca="1">_xll.DBRW($D$4,$E$7,$E$8,$E$9,$E$10,$E$12,$D77,$E$6,BF$18,BF$17)</f>
        <v>0</v>
      </c>
      <c r="BG77" s="26">
        <f ca="1">_xll.DBRW($D$4,$E$7,$E$8,$E$9,$E$10,$E$12,$D77,$E$6,BG$18,BG$17)</f>
        <v>0</v>
      </c>
      <c r="BH77" s="26">
        <f ca="1">_xll.DBRW($D$4,$E$7,$E$8,$E$9,$E$10,$E$12,$D77,$E$6,BH$18,BH$17)</f>
        <v>0</v>
      </c>
      <c r="BI77" s="26">
        <f ca="1">_xll.DBRW($D$4,$E$7,$E$8,$E$9,$E$10,$E$12,$D77,$E$6,BI$18,BI$17)</f>
        <v>0</v>
      </c>
      <c r="BJ77" s="26">
        <f ca="1">_xll.DBRW($D$4,$E$7,$E$8,$E$9,$E$10,$E$12,$D77,$E$6,BJ$18,BJ$17)</f>
        <v>0</v>
      </c>
      <c r="BK77" s="16">
        <f ca="1">_xll.DBRW($D$4,$E$7,$E$8,$E$9,$E$10,$E$12,$D77,$E$6,BK$18,BK$17)</f>
        <v>1.3670925166549983</v>
      </c>
      <c r="BL77" s="16">
        <f ca="1">_xll.DBRW($D$4,$E$7,$E$8,$E$9,$E$10,$E$12,$D77,$E$6,BL$18,BL$17)</f>
        <v>12.129478939999998</v>
      </c>
      <c r="BM77" s="16">
        <f ca="1">_xll.DBRW($D$4,$E$7,$E$8,$E$9,$E$10,$E$12,$D77,$E$6,BM$18,BM$17)</f>
        <v>-4.6477138699999987</v>
      </c>
      <c r="BN77" s="16">
        <f ca="1">_xll.DBRW($D$4,$E$7,$E$8,$E$9,$E$10,$E$12,$D77,$E$6,BN$18,BN$17)</f>
        <v>0.3831750640724555</v>
      </c>
      <c r="BO77" s="16"/>
      <c r="BP77" s="16"/>
      <c r="BQ77" s="16"/>
      <c r="BR77" s="16"/>
      <c r="BS77" s="16">
        <f ca="1">_xll.DBRW($D$4,$E$7,$E$8,$E$9,$E$10,$E$12,$D77,$E$6,BS$18,BS$17)</f>
        <v>-1.0832026677</v>
      </c>
      <c r="BT77" s="16">
        <f ca="1">_xll.DBRW($D$4,$E$7,$E$8,$E$9,$E$10,$E$12,$D77,$E$6,BT$18,BT$17)</f>
        <v>8.9303314104274306E-2</v>
      </c>
      <c r="BU77" s="16"/>
      <c r="BV77" s="16"/>
      <c r="BW77" s="16"/>
      <c r="BX77" s="16"/>
      <c r="BY77" s="16">
        <f ca="1">_xll.DBRW($D$4,$E$7,$E$8,$E$9,$E$10,$E$12,$D77,$E$6,BY$18,BY$17)</f>
        <v>-1.1517780444449999</v>
      </c>
      <c r="BZ77" s="16">
        <f ca="1">_xll.DBRW($D$4,$E$7,$E$8,$E$9,$E$10,$E$12,$D77,$E$6,BZ$18,BZ$17)</f>
        <v>9.4956926850890758E-2</v>
      </c>
      <c r="CA77" s="16"/>
      <c r="CB77" s="16"/>
      <c r="CC77" s="16"/>
      <c r="CD77" s="16"/>
      <c r="CE77" s="16">
        <f ca="1">_xll.DBRW($D$4,$E$7,$E$8,$E$9,$E$10,$E$12,$D77,$E$6,CE$18,CE$17)</f>
        <v>-1.7672802699999999</v>
      </c>
      <c r="CF77" s="16">
        <f ca="1">_xll.DBRW($D$4,$E$7,$E$8,$E$9,$E$10,$E$12,$D77,$E$6,CF$18,CF$17)</f>
        <v>0.14570125219245403</v>
      </c>
      <c r="CG77" s="16"/>
      <c r="CH77" s="16"/>
      <c r="CI77" s="16"/>
      <c r="CJ77" s="16"/>
      <c r="CK77" s="16">
        <f ca="1">_xll.DBRW($D$4,$E$7,$E$8,$E$9,$E$10,$E$12,$D77,$E$6,CK$18,CK$17)</f>
        <v>-2.1124115712</v>
      </c>
      <c r="CL77" s="16">
        <f ca="1">_xll.DBRW($D$4,$E$7,$E$8,$E$9,$E$10,$E$12,$D77,$E$6,CL$18,CL$17)</f>
        <v>0.17415517860654287</v>
      </c>
      <c r="CM77" s="16"/>
      <c r="CN77" s="16"/>
      <c r="CO77" s="16"/>
      <c r="CP77" s="16"/>
      <c r="CQ77" s="16">
        <f ca="1">_xll.DBRW($D$4,$E$7,$E$8,$E$9,$E$10,$E$12,$D77,$E$6,CQ$18,CQ$17)</f>
        <v>0.21141399999999999</v>
      </c>
      <c r="CR77" s="16">
        <f ca="1">_xll.DBRW($D$4,$E$7,$E$8,$E$9,$E$10,$E$12,$D77,$E$6,CR$18,CR$17)</f>
        <v>4.7328799999999998</v>
      </c>
      <c r="CS77" s="16">
        <f ca="1">_xll.DBRW($D$4,$E$7,$E$8,$E$9,$E$10,$E$12,$D77,$E$6,CS$18,CS$17)</f>
        <v>4.7328799999999998</v>
      </c>
      <c r="CT77" s="16">
        <f ca="1">_xll.DBRW($D$4,$E$7,$E$8,$E$9,$E$10,$E$12,$D77,$E$6,CT$18,CT$17)</f>
        <v>4.7328799999999998</v>
      </c>
      <c r="CU77" s="16">
        <f ca="1">_xll.DBRW($D$4,$E$7,$E$8,$E$9,$E$10,$E$12,$D77,$E$6,CU$18,CU$17)</f>
        <v>1.3542209000000003</v>
      </c>
      <c r="CV77" s="16">
        <f ca="1">_xll.DBRW($D$4,$E$7,$E$8,$E$9,$E$10,$E$12,$D77,$E$6,CV$18,CV$17)</f>
        <v>4.7328799999999998</v>
      </c>
      <c r="CW77" s="16">
        <f ca="1">_xll.DBRW($D$4,$E$7,$E$8,$E$9,$E$10,$E$12,$D77,$E$6,CW$18,CW$17)</f>
        <v>3.15204</v>
      </c>
      <c r="CX77" s="16">
        <f ca="1">_xll.DBRW($D$4,$E$7,$E$8,$E$9,$E$10,$E$12,$D77,$E$6,CX$18,CX$17)</f>
        <v>4.7328799999999998</v>
      </c>
      <c r="CY77" s="16">
        <f ca="1">_xll.DBRW($D$4,$E$7,$E$8,$E$9,$E$10,$E$12,$D77,$E$6,CY$18,CY$17)</f>
        <v>4.7328799999999998</v>
      </c>
      <c r="CZ77" s="16">
        <f ca="1">_xll.DBRW($D$4,$E$7,$E$8,$E$9,$E$10,$E$12,$D77,$E$6,CZ$18,CZ$17)</f>
        <v>4.7328799999999998</v>
      </c>
      <c r="DA77" s="26">
        <f t="shared" ca="1" si="89"/>
        <v>0.33995029117833586</v>
      </c>
      <c r="DB77" s="26">
        <f t="shared" ca="1" si="90"/>
        <v>9.6773647833332865E-2</v>
      </c>
      <c r="DC77" s="26">
        <f t="shared" ca="1" si="91"/>
        <v>0</v>
      </c>
      <c r="DD77" s="26">
        <f t="shared" ca="1" si="92"/>
        <v>0</v>
      </c>
      <c r="DE77" s="26">
        <f t="shared" ca="1" si="93"/>
        <v>0</v>
      </c>
      <c r="DF77" s="26">
        <f t="shared" ca="1" si="94"/>
        <v>0</v>
      </c>
      <c r="DG77" s="26">
        <f t="shared" ca="1" si="95"/>
        <v>0</v>
      </c>
      <c r="DH77" s="26">
        <f t="shared" ca="1" si="96"/>
        <v>0.24317664334500289</v>
      </c>
      <c r="DI77" s="26">
        <f t="shared" ca="1" si="97"/>
        <v>-0.75192214999999862</v>
      </c>
      <c r="DJ77" s="26">
        <f t="shared" ca="1" si="98"/>
        <v>0.46181464999999911</v>
      </c>
      <c r="DK77" s="26">
        <f t="shared" ca="1" si="99"/>
        <v>-1.526661964446685E-2</v>
      </c>
      <c r="DL77" s="26"/>
      <c r="DM77" s="26"/>
      <c r="DN77" s="26"/>
      <c r="DO77" s="26"/>
      <c r="DP77" s="26">
        <f t="shared" ca="1" si="100"/>
        <v>0.11388353770000004</v>
      </c>
      <c r="DQ77" s="26">
        <f t="shared" ca="1" si="101"/>
        <v>-4.1075952086360862E-3</v>
      </c>
      <c r="DR77" s="26"/>
      <c r="DS77" s="26"/>
      <c r="DT77" s="26"/>
      <c r="DU77" s="26"/>
      <c r="DV77" s="26">
        <f t="shared" ca="1" si="102"/>
        <v>3.1608914444999803E-2</v>
      </c>
      <c r="DW77" s="26">
        <f t="shared" ca="1" si="103"/>
        <v>3.4973503437124714E-3</v>
      </c>
      <c r="DX77" s="26"/>
      <c r="DY77" s="26"/>
      <c r="DZ77" s="26"/>
      <c r="EA77" s="26"/>
      <c r="EB77" s="26">
        <f t="shared" ca="1" si="104"/>
        <v>0.18117564999999991</v>
      </c>
      <c r="EC77" s="26">
        <f t="shared" ca="1" si="105"/>
        <v>-6.2948181684055193E-3</v>
      </c>
      <c r="ED77" s="26"/>
      <c r="EE77" s="26"/>
      <c r="EF77" s="26"/>
      <c r="EG77" s="26"/>
      <c r="EH77" s="26">
        <f t="shared" ca="1" si="106"/>
        <v>0.20661604120000021</v>
      </c>
      <c r="EI77" s="29">
        <f t="shared" ca="1" si="107"/>
        <v>-6.6503649478628357E-3</v>
      </c>
      <c r="EJ77" s="29"/>
      <c r="EK77" s="29"/>
      <c r="EL77" s="29"/>
      <c r="EM77" s="29"/>
      <c r="EN77" s="93"/>
      <c r="EO77" s="29"/>
      <c r="EP77" s="29"/>
      <c r="EQ77" s="29"/>
      <c r="ER77" s="29"/>
      <c r="ES77" s="29"/>
      <c r="ET77" s="29"/>
      <c r="EU77" s="93"/>
      <c r="EV77" s="29"/>
      <c r="EW77" s="29"/>
      <c r="EX77" s="29"/>
      <c r="EY77" s="29"/>
      <c r="EZ77" s="29"/>
      <c r="FA77" s="29"/>
      <c r="FB77" s="93"/>
      <c r="FC77" s="29"/>
      <c r="FD77" s="29"/>
      <c r="FE77" s="29"/>
      <c r="FF77" s="29"/>
      <c r="FG77" s="29"/>
      <c r="FH77" s="29"/>
      <c r="FI77" s="93"/>
      <c r="FJ77" s="29"/>
      <c r="FK77" s="29"/>
      <c r="FL77" s="29"/>
      <c r="FM77" s="29"/>
      <c r="FN77" s="29"/>
      <c r="FO77" s="29"/>
      <c r="FP77" s="93"/>
      <c r="FQ77" s="29"/>
      <c r="FR77" s="29"/>
      <c r="FS77" s="29"/>
      <c r="FT77" s="29"/>
      <c r="FU77" s="29"/>
      <c r="FV77" s="29"/>
    </row>
    <row r="78" spans="1:178" x14ac:dyDescent="0.25">
      <c r="A78" t="str">
        <f ca="1">IF(_xll.TM1RPTELISCONSOLIDATED($D$28,$D78),IF(_xll.TM1RPTELLEV($D$28,$D78)&lt;=3,_xll.TM1RPTELLEV($D$28,$D78),"D"),"N")</f>
        <v>N</v>
      </c>
      <c r="B78" t="str">
        <f ca="1">_xll.DBRA(Server&amp;"Management_organization",$D78,$B$27)</f>
        <v>L</v>
      </c>
      <c r="C78">
        <v>1</v>
      </c>
      <c r="D78" s="2" t="s">
        <v>133</v>
      </c>
      <c r="E78" s="26"/>
      <c r="F78" s="26"/>
      <c r="G78" s="16">
        <f ca="1">_xll.DBRW($D$4,$E$7,$E$8,$E$9,$E$10,$E$12,$D78,$E$6,G$18,G$17)</f>
        <v>0.58906107999999824</v>
      </c>
      <c r="H78" s="16">
        <f ca="1">_xll.DBRW($D$4,$E$7,$E$8,$E$9,$E$10,$E$12,$D78,$E$6,H$18,H$17)</f>
        <v>-0.44686687999999997</v>
      </c>
      <c r="I78" s="16">
        <f ca="1">_xll.DBRW($D$4,$E$7,$E$8,$E$9,$E$10,$E$12,$D78,$E$6,I$18,I$17)</f>
        <v>0</v>
      </c>
      <c r="J78" s="26">
        <f ca="1">_xll.DBRW($D$4,$E$7,$E$8,$E$9,$E$10,$E$12,$D78,$E$6,J$18,J$17)</f>
        <v>-8.210000000000001E-6</v>
      </c>
      <c r="K78" s="26">
        <f ca="1">_xll.DBRW($D$4,$E$7,$E$8,$E$9,$E$10,$E$12,$D78,$E$6,K$18,K$17)</f>
        <v>0</v>
      </c>
      <c r="L78" s="26">
        <f ca="1">_xll.DBRW($D$4,$E$7,$E$8,$E$9,$E$10,$E$12,$D78,$E$6,L$18,L$17)</f>
        <v>0</v>
      </c>
      <c r="M78" s="26">
        <f ca="1">_xll.DBRW($D$4,$E$7,$E$8,$E$9,$E$10,$E$12,$D78,$E$6,M$18,M$17)</f>
        <v>0</v>
      </c>
      <c r="N78" s="16">
        <f ca="1">_xll.DBRW($D$4,$E$7,$E$8,$E$9,$E$10,$E$12,$D78,$E$6,N$18,N$17)</f>
        <v>1.0359361699999983</v>
      </c>
      <c r="O78" s="16">
        <f ca="1">_xll.DBRW($D$4,$E$7,$E$8,$E$9,$E$10,$E$12,$D78,$E$6,O$18,O$17)</f>
        <v>11.965734929999996</v>
      </c>
      <c r="P78" s="74">
        <f ca="1">_xll.DBRW($D$4,$E$7,$E$8,$E$9,$E$10,$E$12,$D78,$E$6,P$18,P$17)</f>
        <v>-4.9108518199999995</v>
      </c>
      <c r="Q78" s="16">
        <f ca="1">_xll.DBRW($D$4,$E$7,$E$8,$E$9,$E$10,$E$12,$D78,$E$6,Q$18,Q$17)</f>
        <v>0.4104095443137149</v>
      </c>
      <c r="R78" s="16"/>
      <c r="S78" s="16"/>
      <c r="T78" s="16"/>
      <c r="U78" s="16"/>
      <c r="V78" s="16">
        <f ca="1">_xll.DBRW($D$4,$E$7,$E$8,$E$9,$E$10,$E$12,$D78,$E$6,V$18,V$17)</f>
        <v>-0.81738915999999995</v>
      </c>
      <c r="W78" s="16">
        <f ca="1">_xll.DBRW($D$4,$E$7,$E$8,$E$9,$E$10,$E$12,$D78,$E$6,W$18,W$17)</f>
        <v>6.8310819584568569E-2</v>
      </c>
      <c r="X78" s="16"/>
      <c r="Y78" s="16"/>
      <c r="Z78" s="16"/>
      <c r="AA78" s="16"/>
      <c r="AB78" s="16">
        <f ca="1">_xll.DBRW($D$4,$E$7,$E$8,$E$9,$E$10,$E$12,$D78,$E$6,AB$18,AB$17)</f>
        <v>-1.2849055400000002</v>
      </c>
      <c r="AC78" s="16">
        <f ca="1">_xll.DBRW($D$4,$E$7,$E$8,$E$9,$E$10,$E$12,$D78,$E$6,AC$18,AC$17)</f>
        <v>0.10738208288222549</v>
      </c>
      <c r="AD78" s="16"/>
      <c r="AE78" s="16"/>
      <c r="AF78" s="16"/>
      <c r="AG78" s="16"/>
      <c r="AH78" s="16">
        <f ca="1">_xll.DBRW($D$4,$E$7,$E$8,$E$9,$E$10,$E$12,$D78,$E$6,AH$18,AH$17)</f>
        <v>-1.2401946399999999</v>
      </c>
      <c r="AI78" s="16">
        <f ca="1">_xll.DBRW($D$4,$E$7,$E$8,$E$9,$E$10,$E$12,$D78,$E$6,AI$18,AI$17)</f>
        <v>0.10364550504044973</v>
      </c>
      <c r="AJ78" s="16"/>
      <c r="AK78" s="16"/>
      <c r="AL78" s="16"/>
      <c r="AM78" s="16"/>
      <c r="AN78" s="16">
        <f ca="1">_xll.DBRW($D$4,$E$7,$E$8,$E$9,$E$10,$E$12,$D78,$E$6,AN$18,AN$17)</f>
        <v>-2.6764575999999995</v>
      </c>
      <c r="AO78" s="16">
        <f ca="1">_xll.DBRW($D$4,$E$7,$E$8,$E$9,$E$10,$E$12,$D78,$E$6,AO$18,AO$17)</f>
        <v>0.22367682517265994</v>
      </c>
      <c r="AP78" s="16"/>
      <c r="AQ78" s="16"/>
      <c r="AR78" s="16"/>
      <c r="AS78" s="16"/>
      <c r="AT78" s="16">
        <f ca="1">_xll.DBRW($D$4,$E$7,$E$8,$E$9,$E$10,$E$12,$D78,$E$6,AT$18,AT$17)</f>
        <v>0.19207269999999999</v>
      </c>
      <c r="AU78" s="16">
        <f ca="1">_xll.DBRW($D$4,$E$7,$E$8,$E$9,$E$10,$E$12,$D78,$E$6,AU$18,AU$17)</f>
        <v>3.9744829999999993</v>
      </c>
      <c r="AV78" s="16">
        <f ca="1">_xll.DBRW($D$4,$E$7,$E$8,$E$9,$E$10,$E$12,$D78,$E$6,AV$18,AV$17)</f>
        <v>3.9744829999999993</v>
      </c>
      <c r="AW78" s="16">
        <f ca="1">_xll.DBRW($D$4,$E$7,$E$8,$E$9,$E$10,$E$12,$D78,$E$6,AW$18,AW$17)</f>
        <v>3.9744829999999993</v>
      </c>
      <c r="AX78" s="16">
        <f ca="1">_xll.DBRW($D$4,$E$7,$E$8,$E$9,$E$10,$E$12,$D78,$E$6,AX$18,AX$17)</f>
        <v>1.31048097</v>
      </c>
      <c r="AY78" s="16">
        <f ca="1">_xll.DBRW($D$4,$E$7,$E$8,$E$9,$E$10,$E$12,$D78,$E$6,AY$18,AY$17)</f>
        <v>3.9744829999999993</v>
      </c>
      <c r="AZ78" s="16">
        <f ca="1">_xll.DBRW($D$4,$E$7,$E$8,$E$9,$E$10,$E$12,$D78,$E$6,AZ$18,AZ$17)</f>
        <v>2.4393013100000003</v>
      </c>
      <c r="BA78" s="16">
        <f ca="1">_xll.DBRW($D$4,$E$7,$E$8,$E$9,$E$10,$E$12,$D78,$E$6,BA$18,BA$17)</f>
        <v>3.9744829999999993</v>
      </c>
      <c r="BB78" s="16">
        <f ca="1">_xll.DBRW($D$4,$E$7,$E$8,$E$9,$E$10,$E$12,$D78,$E$6,BB$18,BB$17)</f>
        <v>3.9744829999999993</v>
      </c>
      <c r="BC78" s="16">
        <f ca="1">_xll.DBRW($D$4,$E$7,$E$8,$E$9,$E$10,$E$12,$D78,$E$6,BC$18,BC$17)</f>
        <v>3.9744829999999993</v>
      </c>
      <c r="BD78" s="16">
        <f ca="1">_xll.DBRW($D$4,$E$7,$E$8,$E$9,$E$10,$E$12,$D78,$E$6,BD$18,BD$17)</f>
        <v>1.088183120183783</v>
      </c>
      <c r="BE78" s="16">
        <f ca="1">_xll.DBRW($D$4,$E$7,$E$8,$E$9,$E$10,$E$12,$D78,$E$6,BE$18,BE$17)</f>
        <v>-0.49317870000000014</v>
      </c>
      <c r="BF78" s="16">
        <f ca="1">_xll.DBRW($D$4,$E$7,$E$8,$E$9,$E$10,$E$12,$D78,$E$6,BF$18,BF$17)</f>
        <v>0</v>
      </c>
      <c r="BG78" s="26">
        <f ca="1">_xll.DBRW($D$4,$E$7,$E$8,$E$9,$E$10,$E$12,$D78,$E$6,BG$18,BG$17)</f>
        <v>0</v>
      </c>
      <c r="BH78" s="26">
        <f ca="1">_xll.DBRW($D$4,$E$7,$E$8,$E$9,$E$10,$E$12,$D78,$E$6,BH$18,BH$17)</f>
        <v>0</v>
      </c>
      <c r="BI78" s="26">
        <f ca="1">_xll.DBRW($D$4,$E$7,$E$8,$E$9,$E$10,$E$12,$D78,$E$6,BI$18,BI$17)</f>
        <v>0</v>
      </c>
      <c r="BJ78" s="26">
        <f ca="1">_xll.DBRW($D$4,$E$7,$E$8,$E$9,$E$10,$E$12,$D78,$E$6,BJ$18,BJ$17)</f>
        <v>0</v>
      </c>
      <c r="BK78" s="16">
        <f ca="1">_xll.DBRW($D$4,$E$7,$E$8,$E$9,$E$10,$E$12,$D78,$E$6,BK$18,BK$17)</f>
        <v>1.5813618201837831</v>
      </c>
      <c r="BL78" s="16">
        <f ca="1">_xll.DBRW($D$4,$E$7,$E$8,$E$9,$E$10,$E$12,$D78,$E$6,BL$18,BL$17)</f>
        <v>13.427920990000002</v>
      </c>
      <c r="BM78" s="16">
        <f ca="1">_xll.DBRW($D$4,$E$7,$E$8,$E$9,$E$10,$E$12,$D78,$E$6,BM$18,BM$17)</f>
        <v>-5.4216948143999995</v>
      </c>
      <c r="BN78" s="16">
        <f ca="1">_xll.DBRW($D$4,$E$7,$E$8,$E$9,$E$10,$E$12,$D78,$E$6,BN$18,BN$17)</f>
        <v>0.40376278788336828</v>
      </c>
      <c r="BO78" s="16"/>
      <c r="BP78" s="16"/>
      <c r="BQ78" s="16"/>
      <c r="BR78" s="16"/>
      <c r="BS78" s="16">
        <f ca="1">_xll.DBRW($D$4,$E$7,$E$8,$E$9,$E$10,$E$12,$D78,$E$6,BS$18,BS$17)</f>
        <v>-0.99613579133333308</v>
      </c>
      <c r="BT78" s="16">
        <f ca="1">_xll.DBRW($D$4,$E$7,$E$8,$E$9,$E$10,$E$12,$D78,$E$6,BT$18,BT$17)</f>
        <v>7.4183918126653564E-2</v>
      </c>
      <c r="BU78" s="16"/>
      <c r="BV78" s="16"/>
      <c r="BW78" s="16"/>
      <c r="BX78" s="16"/>
      <c r="BY78" s="16">
        <f ca="1">_xll.DBRW($D$4,$E$7,$E$8,$E$9,$E$10,$E$12,$D78,$E$6,BY$18,BY$17)</f>
        <v>-1.2457564486262198</v>
      </c>
      <c r="BZ78" s="16">
        <f ca="1">_xll.DBRW($D$4,$E$7,$E$8,$E$9,$E$10,$E$12,$D78,$E$6,BZ$18,BZ$17)</f>
        <v>9.2773590904649761E-2</v>
      </c>
      <c r="CA78" s="16"/>
      <c r="CB78" s="16"/>
      <c r="CC78" s="16"/>
      <c r="CD78" s="16"/>
      <c r="CE78" s="16">
        <f ca="1">_xll.DBRW($D$4,$E$7,$E$8,$E$9,$E$10,$E$12,$D78,$E$6,CE$18,CE$17)</f>
        <v>-1.3982783900000006</v>
      </c>
      <c r="CF78" s="16">
        <f ca="1">_xll.DBRW($D$4,$E$7,$E$8,$E$9,$E$10,$E$12,$D78,$E$6,CF$18,CF$17)</f>
        <v>0.10413215798941042</v>
      </c>
      <c r="CG78" s="16"/>
      <c r="CH78" s="16"/>
      <c r="CI78" s="16"/>
      <c r="CJ78" s="16"/>
      <c r="CK78" s="16">
        <f ca="1">_xll.DBRW($D$4,$E$7,$E$8,$E$9,$E$10,$E$12,$D78,$E$6,CK$18,CK$17)</f>
        <v>-2.7846937254566666</v>
      </c>
      <c r="CL78" s="16">
        <f ca="1">_xll.DBRW($D$4,$E$7,$E$8,$E$9,$E$10,$E$12,$D78,$E$6,CL$18,CL$17)</f>
        <v>0.20738085423130465</v>
      </c>
      <c r="CM78" s="16"/>
      <c r="CN78" s="16"/>
      <c r="CO78" s="16"/>
      <c r="CP78" s="16"/>
      <c r="CQ78" s="16">
        <f ca="1">_xll.DBRW($D$4,$E$7,$E$8,$E$9,$E$10,$E$12,$D78,$E$6,CQ$18,CQ$17)</f>
        <v>0.21415597000000003</v>
      </c>
      <c r="CR78" s="16">
        <f ca="1">_xll.DBRW($D$4,$E$7,$E$8,$E$9,$E$10,$E$12,$D78,$E$6,CR$18,CR$17)</f>
        <v>4.6105</v>
      </c>
      <c r="CS78" s="16">
        <f ca="1">_xll.DBRW($D$4,$E$7,$E$8,$E$9,$E$10,$E$12,$D78,$E$6,CS$18,CS$17)</f>
        <v>4.6105</v>
      </c>
      <c r="CT78" s="16">
        <f ca="1">_xll.DBRW($D$4,$E$7,$E$8,$E$9,$E$10,$E$12,$D78,$E$6,CT$18,CT$17)</f>
        <v>4.6105</v>
      </c>
      <c r="CU78" s="16">
        <f ca="1">_xll.DBRW($D$4,$E$7,$E$8,$E$9,$E$10,$E$12,$D78,$E$6,CU$18,CU$17)</f>
        <v>1.4637676500000001</v>
      </c>
      <c r="CV78" s="16">
        <f ca="1">_xll.DBRW($D$4,$E$7,$E$8,$E$9,$E$10,$E$12,$D78,$E$6,CV$18,CV$17)</f>
        <v>4.6105</v>
      </c>
      <c r="CW78" s="16">
        <f ca="1">_xll.DBRW($D$4,$E$7,$E$8,$E$9,$E$10,$E$12,$D78,$E$6,CW$18,CW$17)</f>
        <v>2.9692500000000002</v>
      </c>
      <c r="CX78" s="16">
        <f ca="1">_xll.DBRW($D$4,$E$7,$E$8,$E$9,$E$10,$E$12,$D78,$E$6,CX$18,CX$17)</f>
        <v>4.6105</v>
      </c>
      <c r="CY78" s="16">
        <f ca="1">_xll.DBRW($D$4,$E$7,$E$8,$E$9,$E$10,$E$12,$D78,$E$6,CY$18,CY$17)</f>
        <v>4.6105</v>
      </c>
      <c r="CZ78" s="16">
        <f ca="1">_xll.DBRW($D$4,$E$7,$E$8,$E$9,$E$10,$E$12,$D78,$E$6,CZ$18,CZ$17)</f>
        <v>4.6105</v>
      </c>
      <c r="DA78" s="26">
        <f t="shared" ca="1" si="89"/>
        <v>-0.49912204018378481</v>
      </c>
      <c r="DB78" s="26">
        <f t="shared" ca="1" si="90"/>
        <v>4.631182000000017E-2</v>
      </c>
      <c r="DC78" s="26">
        <f t="shared" ca="1" si="91"/>
        <v>0</v>
      </c>
      <c r="DD78" s="26">
        <f t="shared" ca="1" si="92"/>
        <v>-8.210000000000001E-6</v>
      </c>
      <c r="DE78" s="26">
        <f t="shared" ca="1" si="93"/>
        <v>0</v>
      </c>
      <c r="DF78" s="26">
        <f t="shared" ca="1" si="94"/>
        <v>0</v>
      </c>
      <c r="DG78" s="26">
        <f t="shared" ca="1" si="95"/>
        <v>0</v>
      </c>
      <c r="DH78" s="26">
        <f t="shared" ca="1" si="96"/>
        <v>-0.54542565018378486</v>
      </c>
      <c r="DI78" s="26">
        <f t="shared" ca="1" si="97"/>
        <v>-1.4621860600000058</v>
      </c>
      <c r="DJ78" s="26">
        <f t="shared" ca="1" si="98"/>
        <v>0.51084299439999992</v>
      </c>
      <c r="DK78" s="26">
        <f t="shared" ca="1" si="99"/>
        <v>6.6467564303466231E-3</v>
      </c>
      <c r="DL78" s="26"/>
      <c r="DM78" s="26"/>
      <c r="DN78" s="26"/>
      <c r="DO78" s="26"/>
      <c r="DP78" s="26">
        <f t="shared" ca="1" si="100"/>
        <v>0.17874663133333313</v>
      </c>
      <c r="DQ78" s="26">
        <f t="shared" ca="1" si="101"/>
        <v>-5.8730985420849952E-3</v>
      </c>
      <c r="DR78" s="26"/>
      <c r="DS78" s="26"/>
      <c r="DT78" s="26"/>
      <c r="DU78" s="26"/>
      <c r="DV78" s="26">
        <f t="shared" ca="1" si="102"/>
        <v>-3.914909137378042E-2</v>
      </c>
      <c r="DW78" s="26">
        <f t="shared" ca="1" si="103"/>
        <v>1.460849197757573E-2</v>
      </c>
      <c r="DX78" s="26"/>
      <c r="DY78" s="26"/>
      <c r="DZ78" s="26"/>
      <c r="EA78" s="26"/>
      <c r="EB78" s="26">
        <f t="shared" ca="1" si="104"/>
        <v>0.15808375000000074</v>
      </c>
      <c r="EC78" s="26">
        <f t="shared" ca="1" si="105"/>
        <v>-4.8665294896069189E-4</v>
      </c>
      <c r="ED78" s="26"/>
      <c r="EE78" s="26"/>
      <c r="EF78" s="26"/>
      <c r="EG78" s="26"/>
      <c r="EH78" s="26">
        <f t="shared" ca="1" si="106"/>
        <v>0.10823612545666705</v>
      </c>
      <c r="EI78" s="29">
        <f t="shared" ca="1" si="107"/>
        <v>1.6295970941355292E-2</v>
      </c>
      <c r="EJ78" s="29"/>
      <c r="EK78" s="29"/>
      <c r="EL78" s="29"/>
      <c r="EM78" s="29"/>
      <c r="EN78" s="93"/>
      <c r="EO78" s="29"/>
      <c r="EP78" s="29"/>
      <c r="EQ78" s="29"/>
      <c r="ER78" s="29"/>
      <c r="ES78" s="29"/>
      <c r="ET78" s="29"/>
      <c r="EU78" s="93"/>
      <c r="EV78" s="29"/>
      <c r="EW78" s="29"/>
      <c r="EX78" s="29"/>
      <c r="EY78" s="29"/>
      <c r="EZ78" s="29"/>
      <c r="FA78" s="29"/>
      <c r="FB78" s="93"/>
      <c r="FC78" s="29"/>
      <c r="FD78" s="29"/>
      <c r="FE78" s="29"/>
      <c r="FF78" s="29"/>
      <c r="FG78" s="29"/>
      <c r="FH78" s="29"/>
      <c r="FI78" s="93"/>
      <c r="FJ78" s="29"/>
      <c r="FK78" s="29"/>
      <c r="FL78" s="29"/>
      <c r="FM78" s="29"/>
      <c r="FN78" s="29"/>
      <c r="FO78" s="29"/>
      <c r="FP78" s="93"/>
      <c r="FQ78" s="29"/>
      <c r="FR78" s="29"/>
      <c r="FS78" s="29"/>
      <c r="FT78" s="29"/>
      <c r="FU78" s="29"/>
      <c r="FV78" s="29"/>
    </row>
    <row r="79" spans="1:178" x14ac:dyDescent="0.25">
      <c r="A79" t="str">
        <f ca="1">IF(_xll.TM1RPTELISCONSOLIDATED($D$28,$D79),IF(_xll.TM1RPTELLEV($D$28,$D79)&lt;=3,_xll.TM1RPTELLEV($D$28,$D79),"D"),"N")</f>
        <v>N</v>
      </c>
      <c r="B79" t="str">
        <f ca="1">_xll.DBRA(Server&amp;"Management_organization",$D79,$B$27)</f>
        <v>L</v>
      </c>
      <c r="C79">
        <v>1</v>
      </c>
      <c r="D79" s="2" t="s">
        <v>134</v>
      </c>
      <c r="E79" s="26"/>
      <c r="F79" s="26"/>
      <c r="G79" s="16">
        <f ca="1">_xll.DBRW($D$4,$E$7,$E$8,$E$9,$E$10,$E$12,$D79,$E$6,G$18,G$17)</f>
        <v>-0.21429240999999977</v>
      </c>
      <c r="H79" s="16">
        <f ca="1">_xll.DBRW($D$4,$E$7,$E$8,$E$9,$E$10,$E$12,$D79,$E$6,H$18,H$17)</f>
        <v>-1.3498841000000001</v>
      </c>
      <c r="I79" s="16">
        <f ca="1">_xll.DBRW($D$4,$E$7,$E$8,$E$9,$E$10,$E$12,$D79,$E$6,I$18,I$17)</f>
        <v>0</v>
      </c>
      <c r="J79" s="26">
        <f ca="1">_xll.DBRW($D$4,$E$7,$E$8,$E$9,$E$10,$E$12,$D79,$E$6,J$18,J$17)</f>
        <v>0</v>
      </c>
      <c r="K79" s="26">
        <f ca="1">_xll.DBRW($D$4,$E$7,$E$8,$E$9,$E$10,$E$12,$D79,$E$6,K$18,K$17)</f>
        <v>0</v>
      </c>
      <c r="L79" s="26">
        <f ca="1">_xll.DBRW($D$4,$E$7,$E$8,$E$9,$E$10,$E$12,$D79,$E$6,L$18,L$17)</f>
        <v>0</v>
      </c>
      <c r="M79" s="26">
        <f ca="1">_xll.DBRW($D$4,$E$7,$E$8,$E$9,$E$10,$E$12,$D79,$E$6,M$18,M$17)</f>
        <v>0</v>
      </c>
      <c r="N79" s="16">
        <f ca="1">_xll.DBRW($D$4,$E$7,$E$8,$E$9,$E$10,$E$12,$D79,$E$6,N$18,N$17)</f>
        <v>1.1355916900000003</v>
      </c>
      <c r="O79" s="16">
        <f ca="1">_xll.DBRW($D$4,$E$7,$E$8,$E$9,$E$10,$E$12,$D79,$E$6,O$18,O$17)</f>
        <v>14.89894563</v>
      </c>
      <c r="P79" s="74">
        <f ca="1">_xll.DBRW($D$4,$E$7,$E$8,$E$9,$E$10,$E$12,$D79,$E$6,P$18,P$17)</f>
        <v>-5.9935153799999989</v>
      </c>
      <c r="Q79" s="16">
        <f ca="1">_xll.DBRW($D$4,$E$7,$E$8,$E$9,$E$10,$E$12,$D79,$E$6,Q$18,Q$17)</f>
        <v>0.40227782078294616</v>
      </c>
      <c r="R79" s="16"/>
      <c r="S79" s="16"/>
      <c r="T79" s="16"/>
      <c r="U79" s="16"/>
      <c r="V79" s="16">
        <f ca="1">_xll.DBRW($D$4,$E$7,$E$8,$E$9,$E$10,$E$12,$D79,$E$6,V$18,V$17)</f>
        <v>-1.4724316499999996</v>
      </c>
      <c r="W79" s="16">
        <f ca="1">_xll.DBRW($D$4,$E$7,$E$8,$E$9,$E$10,$E$12,$D79,$E$6,W$18,W$17)</f>
        <v>9.8827909475363296E-2</v>
      </c>
      <c r="X79" s="16"/>
      <c r="Y79" s="16"/>
      <c r="Z79" s="16"/>
      <c r="AA79" s="16"/>
      <c r="AB79" s="16">
        <f ca="1">_xll.DBRW($D$4,$E$7,$E$8,$E$9,$E$10,$E$12,$D79,$E$6,AB$18,AB$17)</f>
        <v>-1.8578380000000005</v>
      </c>
      <c r="AC79" s="16">
        <f ca="1">_xll.DBRW($D$4,$E$7,$E$8,$E$9,$E$10,$E$12,$D79,$E$6,AC$18,AC$17)</f>
        <v>0.12469593796349739</v>
      </c>
      <c r="AD79" s="16"/>
      <c r="AE79" s="16"/>
      <c r="AF79" s="16"/>
      <c r="AG79" s="16"/>
      <c r="AH79" s="16">
        <f ca="1">_xll.DBRW($D$4,$E$7,$E$8,$E$9,$E$10,$E$12,$D79,$E$6,AH$18,AH$17)</f>
        <v>-1.8071541399999997</v>
      </c>
      <c r="AI79" s="16">
        <f ca="1">_xll.DBRW($D$4,$E$7,$E$8,$E$9,$E$10,$E$12,$D79,$E$6,AI$18,AI$17)</f>
        <v>0.12129409589636846</v>
      </c>
      <c r="AJ79" s="16"/>
      <c r="AK79" s="16"/>
      <c r="AL79" s="16"/>
      <c r="AM79" s="16"/>
      <c r="AN79" s="16">
        <f ca="1">_xll.DBRW($D$4,$E$7,$E$8,$E$9,$E$10,$E$12,$D79,$E$6,AN$18,AN$17)</f>
        <v>-2.6324147699999996</v>
      </c>
      <c r="AO79" s="16">
        <f ca="1">_xll.DBRW($D$4,$E$7,$E$8,$E$9,$E$10,$E$12,$D79,$E$6,AO$18,AO$17)</f>
        <v>0.17668463496500453</v>
      </c>
      <c r="AP79" s="16"/>
      <c r="AQ79" s="16"/>
      <c r="AR79" s="16"/>
      <c r="AS79" s="16"/>
      <c r="AT79" s="16">
        <f ca="1">_xll.DBRW($D$4,$E$7,$E$8,$E$9,$E$10,$E$12,$D79,$E$6,AT$18,AT$17)</f>
        <v>0.29358150999999999</v>
      </c>
      <c r="AU79" s="16">
        <f ca="1">_xll.DBRW($D$4,$E$7,$E$8,$E$9,$E$10,$E$12,$D79,$E$6,AU$18,AU$17)</f>
        <v>7.3230269416999985</v>
      </c>
      <c r="AV79" s="16">
        <f ca="1">_xll.DBRW($D$4,$E$7,$E$8,$E$9,$E$10,$E$12,$D79,$E$6,AV$18,AV$17)</f>
        <v>7.3230269416999985</v>
      </c>
      <c r="AW79" s="16">
        <f ca="1">_xll.DBRW($D$4,$E$7,$E$8,$E$9,$E$10,$E$12,$D79,$E$6,AW$18,AW$17)</f>
        <v>7.3230269416999985</v>
      </c>
      <c r="AX79" s="16">
        <f ca="1">_xll.DBRW($D$4,$E$7,$E$8,$E$9,$E$10,$E$12,$D79,$E$6,AX$18,AX$17)</f>
        <v>1.7885100331683557</v>
      </c>
      <c r="AY79" s="16">
        <f ca="1">_xll.DBRW($D$4,$E$7,$E$8,$E$9,$E$10,$E$12,$D79,$E$6,AY$18,AY$17)</f>
        <v>7.3230269416999985</v>
      </c>
      <c r="AZ79" s="16">
        <f ca="1">_xll.DBRW($D$4,$E$7,$E$8,$E$9,$E$10,$E$12,$D79,$E$6,AZ$18,AZ$17)</f>
        <v>4.7479403285900004</v>
      </c>
      <c r="BA79" s="16">
        <f ca="1">_xll.DBRW($D$4,$E$7,$E$8,$E$9,$E$10,$E$12,$D79,$E$6,BA$18,BA$17)</f>
        <v>7.3230269416999985</v>
      </c>
      <c r="BB79" s="16">
        <f ca="1">_xll.DBRW($D$4,$E$7,$E$8,$E$9,$E$10,$E$12,$D79,$E$6,BB$18,BB$17)</f>
        <v>7.3230269416999985</v>
      </c>
      <c r="BC79" s="16">
        <f ca="1">_xll.DBRW($D$4,$E$7,$E$8,$E$9,$E$10,$E$12,$D79,$E$6,BC$18,BC$17)</f>
        <v>7.3230269416999985</v>
      </c>
      <c r="BD79" s="16">
        <f ca="1">_xll.DBRW($D$4,$E$7,$E$8,$E$9,$E$10,$E$12,$D79,$E$6,BD$18,BD$17)</f>
        <v>8.9625064225292705E-3</v>
      </c>
      <c r="BE79" s="16">
        <f ca="1">_xll.DBRW($D$4,$E$7,$E$8,$E$9,$E$10,$E$12,$D79,$E$6,BE$18,BE$17)</f>
        <v>-1.4867081507666668</v>
      </c>
      <c r="BF79" s="16">
        <f ca="1">_xll.DBRW($D$4,$E$7,$E$8,$E$9,$E$10,$E$12,$D79,$E$6,BF$18,BF$17)</f>
        <v>0</v>
      </c>
      <c r="BG79" s="26">
        <f ca="1">_xll.DBRW($D$4,$E$7,$E$8,$E$9,$E$10,$E$12,$D79,$E$6,BG$18,BG$17)</f>
        <v>0</v>
      </c>
      <c r="BH79" s="26">
        <f ca="1">_xll.DBRW($D$4,$E$7,$E$8,$E$9,$E$10,$E$12,$D79,$E$6,BH$18,BH$17)</f>
        <v>0</v>
      </c>
      <c r="BI79" s="26">
        <f ca="1">_xll.DBRW($D$4,$E$7,$E$8,$E$9,$E$10,$E$12,$D79,$E$6,BI$18,BI$17)</f>
        <v>0</v>
      </c>
      <c r="BJ79" s="26">
        <f ca="1">_xll.DBRW($D$4,$E$7,$E$8,$E$9,$E$10,$E$12,$D79,$E$6,BJ$18,BJ$17)</f>
        <v>0</v>
      </c>
      <c r="BK79" s="16">
        <f ca="1">_xll.DBRW($D$4,$E$7,$E$8,$E$9,$E$10,$E$12,$D79,$E$6,BK$18,BK$17)</f>
        <v>1.4956706571891965</v>
      </c>
      <c r="BL79" s="16">
        <f ca="1">_xll.DBRW($D$4,$E$7,$E$8,$E$9,$E$10,$E$12,$D79,$E$6,BL$18,BL$17)</f>
        <v>16.820645310000003</v>
      </c>
      <c r="BM79" s="16">
        <f ca="1">_xll.DBRW($D$4,$E$7,$E$8,$E$9,$E$10,$E$12,$D79,$E$6,BM$18,BM$17)</f>
        <v>-6.9334249029999988</v>
      </c>
      <c r="BN79" s="16">
        <f ca="1">_xll.DBRW($D$4,$E$7,$E$8,$E$9,$E$10,$E$12,$D79,$E$6,BN$18,BN$17)</f>
        <v>0.41219731914078372</v>
      </c>
      <c r="BO79" s="16"/>
      <c r="BP79" s="16"/>
      <c r="BQ79" s="16"/>
      <c r="BR79" s="16"/>
      <c r="BS79" s="16">
        <f ca="1">_xll.DBRW($D$4,$E$7,$E$8,$E$9,$E$10,$E$12,$D79,$E$6,BS$18,BS$17)</f>
        <v>-1.5687871854</v>
      </c>
      <c r="BT79" s="16">
        <f ca="1">_xll.DBRW($D$4,$E$7,$E$8,$E$9,$E$10,$E$12,$D79,$E$6,BT$18,BT$17)</f>
        <v>9.3265576705748851E-2</v>
      </c>
      <c r="BU79" s="16"/>
      <c r="BV79" s="16"/>
      <c r="BW79" s="16"/>
      <c r="BX79" s="16"/>
      <c r="BY79" s="16">
        <f ca="1">_xll.DBRW($D$4,$E$7,$E$8,$E$9,$E$10,$E$12,$D79,$E$6,BY$18,BY$17)</f>
        <v>-1.8713370019108055</v>
      </c>
      <c r="BZ79" s="16">
        <f ca="1">_xll.DBRW($D$4,$E$7,$E$8,$E$9,$E$10,$E$12,$D79,$E$6,BZ$18,BZ$17)</f>
        <v>0.11125239058446118</v>
      </c>
      <c r="CA79" s="16"/>
      <c r="CB79" s="16"/>
      <c r="CC79" s="16"/>
      <c r="CD79" s="16"/>
      <c r="CE79" s="16">
        <f ca="1">_xll.DBRW($D$4,$E$7,$E$8,$E$9,$E$10,$E$12,$D79,$E$6,CE$18,CE$17)</f>
        <v>-2.1515565400000001</v>
      </c>
      <c r="CF79" s="16">
        <f ca="1">_xll.DBRW($D$4,$E$7,$E$8,$E$9,$E$10,$E$12,$D79,$E$6,CF$18,CF$17)</f>
        <v>0.12791165263563836</v>
      </c>
      <c r="CG79" s="16"/>
      <c r="CH79" s="16"/>
      <c r="CI79" s="16"/>
      <c r="CJ79" s="16"/>
      <c r="CK79" s="16">
        <f ca="1">_xll.DBRW($D$4,$E$7,$E$8,$E$9,$E$10,$E$12,$D79,$E$6,CK$18,CK$17)</f>
        <v>-2.7998690225000002</v>
      </c>
      <c r="CL79" s="16">
        <f ca="1">_xll.DBRW($D$4,$E$7,$E$8,$E$9,$E$10,$E$12,$D79,$E$6,CL$18,CL$17)</f>
        <v>0.16645431675772013</v>
      </c>
      <c r="CM79" s="16"/>
      <c r="CN79" s="16"/>
      <c r="CO79" s="16"/>
      <c r="CP79" s="16"/>
      <c r="CQ79" s="16">
        <f ca="1">_xll.DBRW($D$4,$E$7,$E$8,$E$9,$E$10,$E$12,$D79,$E$6,CQ$18,CQ$17)</f>
        <v>0.33857494499999996</v>
      </c>
      <c r="CR79" s="16">
        <f ca="1">_xll.DBRW($D$4,$E$7,$E$8,$E$9,$E$10,$E$12,$D79,$E$6,CR$18,CR$17)</f>
        <v>8.2338135000000001</v>
      </c>
      <c r="CS79" s="16">
        <f ca="1">_xll.DBRW($D$4,$E$7,$E$8,$E$9,$E$10,$E$12,$D79,$E$6,CS$18,CS$17)</f>
        <v>8.2338135000000001</v>
      </c>
      <c r="CT79" s="16">
        <f ca="1">_xll.DBRW($D$4,$E$7,$E$8,$E$9,$E$10,$E$12,$D79,$E$6,CT$18,CT$17)</f>
        <v>8.2338135000000001</v>
      </c>
      <c r="CU79" s="16">
        <f ca="1">_xll.DBRW($D$4,$E$7,$E$8,$E$9,$E$10,$E$12,$D79,$E$6,CU$18,CU$17)</f>
        <v>2.0646095349499998</v>
      </c>
      <c r="CV79" s="16">
        <f ca="1">_xll.DBRW($D$4,$E$7,$E$8,$E$9,$E$10,$E$12,$D79,$E$6,CV$18,CV$17)</f>
        <v>8.2338135000000001</v>
      </c>
      <c r="CW79" s="16">
        <f ca="1">_xll.DBRW($D$4,$E$7,$E$8,$E$9,$E$10,$E$12,$D79,$E$6,CW$18,CW$17)</f>
        <v>5.2784509499999999</v>
      </c>
      <c r="CX79" s="16">
        <f ca="1">_xll.DBRW($D$4,$E$7,$E$8,$E$9,$E$10,$E$12,$D79,$E$6,CX$18,CX$17)</f>
        <v>8.2338135000000001</v>
      </c>
      <c r="CY79" s="16">
        <f ca="1">_xll.DBRW($D$4,$E$7,$E$8,$E$9,$E$10,$E$12,$D79,$E$6,CY$18,CY$17)</f>
        <v>8.2338135000000001</v>
      </c>
      <c r="CZ79" s="16">
        <f ca="1">_xll.DBRW($D$4,$E$7,$E$8,$E$9,$E$10,$E$12,$D79,$E$6,CZ$18,CZ$17)</f>
        <v>8.2338135000000001</v>
      </c>
      <c r="DA79" s="26">
        <f t="shared" ca="1" si="89"/>
        <v>-0.22325491642252904</v>
      </c>
      <c r="DB79" s="26">
        <f t="shared" ca="1" si="90"/>
        <v>0.1368240507666667</v>
      </c>
      <c r="DC79" s="26">
        <f t="shared" ca="1" si="91"/>
        <v>0</v>
      </c>
      <c r="DD79" s="26">
        <f t="shared" ca="1" si="92"/>
        <v>0</v>
      </c>
      <c r="DE79" s="26">
        <f t="shared" ca="1" si="93"/>
        <v>0</v>
      </c>
      <c r="DF79" s="26">
        <f t="shared" ca="1" si="94"/>
        <v>0</v>
      </c>
      <c r="DG79" s="26">
        <f t="shared" ca="1" si="95"/>
        <v>0</v>
      </c>
      <c r="DH79" s="26">
        <f t="shared" ca="1" si="96"/>
        <v>-0.36007896718919619</v>
      </c>
      <c r="DI79" s="26">
        <f t="shared" ca="1" si="97"/>
        <v>-1.9216996800000032</v>
      </c>
      <c r="DJ79" s="26">
        <f t="shared" ca="1" si="98"/>
        <v>0.93990952299999986</v>
      </c>
      <c r="DK79" s="26">
        <f t="shared" ca="1" si="99"/>
        <v>-9.919498357837564E-3</v>
      </c>
      <c r="DL79" s="26"/>
      <c r="DM79" s="26"/>
      <c r="DN79" s="26"/>
      <c r="DO79" s="26"/>
      <c r="DP79" s="26">
        <f t="shared" ca="1" si="100"/>
        <v>9.6355535400000303E-2</v>
      </c>
      <c r="DQ79" s="26">
        <f t="shared" ca="1" si="101"/>
        <v>5.5623327696144448E-3</v>
      </c>
      <c r="DR79" s="26"/>
      <c r="DS79" s="26"/>
      <c r="DT79" s="26"/>
      <c r="DU79" s="26"/>
      <c r="DV79" s="26">
        <f t="shared" ca="1" si="102"/>
        <v>1.3499001910804997E-2</v>
      </c>
      <c r="DW79" s="26">
        <f t="shared" ca="1" si="103"/>
        <v>1.3443547379036205E-2</v>
      </c>
      <c r="DX79" s="26"/>
      <c r="DY79" s="26"/>
      <c r="DZ79" s="26"/>
      <c r="EA79" s="26"/>
      <c r="EB79" s="26">
        <f t="shared" ca="1" si="104"/>
        <v>0.34440240000000033</v>
      </c>
      <c r="EC79" s="26">
        <f t="shared" ca="1" si="105"/>
        <v>-6.6175567392699058E-3</v>
      </c>
      <c r="ED79" s="26"/>
      <c r="EE79" s="26"/>
      <c r="EF79" s="26"/>
      <c r="EG79" s="26"/>
      <c r="EH79" s="26">
        <f t="shared" ca="1" si="106"/>
        <v>0.16745425250000068</v>
      </c>
      <c r="EI79" s="29">
        <f t="shared" ca="1" si="107"/>
        <v>1.02303182072844E-2</v>
      </c>
      <c r="EJ79" s="29"/>
      <c r="EK79" s="29"/>
      <c r="EL79" s="29"/>
      <c r="EM79" s="29"/>
      <c r="EN79" s="93"/>
      <c r="EO79" s="29"/>
      <c r="EP79" s="29"/>
      <c r="EQ79" s="29"/>
      <c r="ER79" s="29"/>
      <c r="ES79" s="29"/>
      <c r="ET79" s="29"/>
      <c r="EU79" s="93"/>
      <c r="EV79" s="29"/>
      <c r="EW79" s="29"/>
      <c r="EX79" s="29"/>
      <c r="EY79" s="29"/>
      <c r="EZ79" s="29"/>
      <c r="FA79" s="29"/>
      <c r="FB79" s="93"/>
      <c r="FC79" s="29"/>
      <c r="FD79" s="29"/>
      <c r="FE79" s="29"/>
      <c r="FF79" s="29"/>
      <c r="FG79" s="29"/>
      <c r="FH79" s="29"/>
      <c r="FI79" s="93"/>
      <c r="FJ79" s="29"/>
      <c r="FK79" s="29"/>
      <c r="FL79" s="29"/>
      <c r="FM79" s="29"/>
      <c r="FN79" s="29"/>
      <c r="FO79" s="29"/>
      <c r="FP79" s="93"/>
      <c r="FQ79" s="29"/>
      <c r="FR79" s="29"/>
      <c r="FS79" s="29"/>
      <c r="FT79" s="29"/>
      <c r="FU79" s="29"/>
      <c r="FV79" s="29"/>
    </row>
    <row r="80" spans="1:178" x14ac:dyDescent="0.25">
      <c r="A80" t="str">
        <f ca="1">IF(_xll.TM1RPTELISCONSOLIDATED($D$28,$D80),IF(_xll.TM1RPTELLEV($D$28,$D80)&lt;=3,_xll.TM1RPTELLEV($D$28,$D80),"D"),"N")</f>
        <v>N</v>
      </c>
      <c r="B80" t="str">
        <f ca="1">_xll.DBRA(Server&amp;"Management_organization",$D80,$B$27)</f>
        <v>L</v>
      </c>
      <c r="C80">
        <v>1</v>
      </c>
      <c r="D80" s="2" t="s">
        <v>135</v>
      </c>
      <c r="E80" s="26"/>
      <c r="F80" s="26"/>
      <c r="G80" s="16">
        <f ca="1">_xll.DBRW($D$4,$E$7,$E$8,$E$9,$E$10,$E$12,$D80,$E$6,G$18,G$17)</f>
        <v>0.9380027400000025</v>
      </c>
      <c r="H80" s="16">
        <f ca="1">_xll.DBRW($D$4,$E$7,$E$8,$E$9,$E$10,$E$12,$D80,$E$6,H$18,H$17)</f>
        <v>-0.81073818000000009</v>
      </c>
      <c r="I80" s="16">
        <f ca="1">_xll.DBRW($D$4,$E$7,$E$8,$E$9,$E$10,$E$12,$D80,$E$6,I$18,I$17)</f>
        <v>0</v>
      </c>
      <c r="J80" s="26">
        <f ca="1">_xll.DBRW($D$4,$E$7,$E$8,$E$9,$E$10,$E$12,$D80,$E$6,J$18,J$17)</f>
        <v>-1.1599999999999999E-2</v>
      </c>
      <c r="K80" s="26">
        <f ca="1">_xll.DBRW($D$4,$E$7,$E$8,$E$9,$E$10,$E$12,$D80,$E$6,K$18,K$17)</f>
        <v>0</v>
      </c>
      <c r="L80" s="26">
        <f ca="1">_xll.DBRW($D$4,$E$7,$E$8,$E$9,$E$10,$E$12,$D80,$E$6,L$18,L$17)</f>
        <v>0</v>
      </c>
      <c r="M80" s="26">
        <f ca="1">_xll.DBRW($D$4,$E$7,$E$8,$E$9,$E$10,$E$12,$D80,$E$6,M$18,M$17)</f>
        <v>0</v>
      </c>
      <c r="N80" s="16">
        <f ca="1">_xll.DBRW($D$4,$E$7,$E$8,$E$9,$E$10,$E$12,$D80,$E$6,N$18,N$17)</f>
        <v>1.7603409200000026</v>
      </c>
      <c r="O80" s="16">
        <f ca="1">_xll.DBRW($D$4,$E$7,$E$8,$E$9,$E$10,$E$12,$D80,$E$6,O$18,O$17)</f>
        <v>11.511681370000003</v>
      </c>
      <c r="P80" s="74">
        <f ca="1">_xll.DBRW($D$4,$E$7,$E$8,$E$9,$E$10,$E$12,$D80,$E$6,P$18,P$17)</f>
        <v>-4.4309870800000004</v>
      </c>
      <c r="Q80" s="16">
        <f ca="1">_xll.DBRW($D$4,$E$7,$E$8,$E$9,$E$10,$E$12,$D80,$E$6,Q$18,Q$17)</f>
        <v>0.38491224153817932</v>
      </c>
      <c r="R80" s="16"/>
      <c r="S80" s="16"/>
      <c r="T80" s="16"/>
      <c r="U80" s="16"/>
      <c r="V80" s="16">
        <f ca="1">_xll.DBRW($D$4,$E$7,$E$8,$E$9,$E$10,$E$12,$D80,$E$6,V$18,V$17)</f>
        <v>-0.83878995999999995</v>
      </c>
      <c r="W80" s="16">
        <f ca="1">_xll.DBRW($D$4,$E$7,$E$8,$E$9,$E$10,$E$12,$D80,$E$6,W$18,W$17)</f>
        <v>7.2864243983153235E-2</v>
      </c>
      <c r="X80" s="16"/>
      <c r="Y80" s="16"/>
      <c r="Z80" s="16"/>
      <c r="AA80" s="16"/>
      <c r="AB80" s="16">
        <f ca="1">_xll.DBRW($D$4,$E$7,$E$8,$E$9,$E$10,$E$12,$D80,$E$6,AB$18,AB$17)</f>
        <v>-1.2527232400000001</v>
      </c>
      <c r="AC80" s="16">
        <f ca="1">_xll.DBRW($D$4,$E$7,$E$8,$E$9,$E$10,$E$12,$D80,$E$6,AC$18,AC$17)</f>
        <v>0.10882191747112262</v>
      </c>
      <c r="AD80" s="16"/>
      <c r="AE80" s="16"/>
      <c r="AF80" s="16"/>
      <c r="AG80" s="16"/>
      <c r="AH80" s="16">
        <f ca="1">_xll.DBRW($D$4,$E$7,$E$8,$E$9,$E$10,$E$12,$D80,$E$6,AH$18,AH$17)</f>
        <v>-1.4279697199999994</v>
      </c>
      <c r="AI80" s="16">
        <f ca="1">_xll.DBRW($D$4,$E$7,$E$8,$E$9,$E$10,$E$12,$D80,$E$6,AI$18,AI$17)</f>
        <v>0.1240452783657961</v>
      </c>
      <c r="AJ80" s="16"/>
      <c r="AK80" s="16"/>
      <c r="AL80" s="16"/>
      <c r="AM80" s="16"/>
      <c r="AN80" s="16">
        <f ca="1">_xll.DBRW($D$4,$E$7,$E$8,$E$9,$E$10,$E$12,$D80,$E$6,AN$18,AN$17)</f>
        <v>-1.8008704499999999</v>
      </c>
      <c r="AO80" s="16">
        <f ca="1">_xll.DBRW($D$4,$E$7,$E$8,$E$9,$E$10,$E$12,$D80,$E$6,AO$18,AO$17)</f>
        <v>0.15643852467052771</v>
      </c>
      <c r="AP80" s="16"/>
      <c r="AQ80" s="16"/>
      <c r="AR80" s="16"/>
      <c r="AS80" s="16"/>
      <c r="AT80" s="16">
        <f ca="1">_xll.DBRW($D$4,$E$7,$E$8,$E$9,$E$10,$E$12,$D80,$E$6,AT$18,AT$17)</f>
        <v>0.19022562000000001</v>
      </c>
      <c r="AU80" s="16">
        <f ca="1">_xll.DBRW($D$4,$E$7,$E$8,$E$9,$E$10,$E$12,$D80,$E$6,AU$18,AU$17)</f>
        <v>4.8510870000000006</v>
      </c>
      <c r="AV80" s="16">
        <f ca="1">_xll.DBRW($D$4,$E$7,$E$8,$E$9,$E$10,$E$12,$D80,$E$6,AV$18,AV$17)</f>
        <v>4.8510870000000006</v>
      </c>
      <c r="AW80" s="16">
        <f ca="1">_xll.DBRW($D$4,$E$7,$E$8,$E$9,$E$10,$E$12,$D80,$E$6,AW$18,AW$17)</f>
        <v>4.8510870000000006</v>
      </c>
      <c r="AX80" s="16">
        <f ca="1">_xll.DBRW($D$4,$E$7,$E$8,$E$9,$E$10,$E$12,$D80,$E$6,AX$18,AX$17)</f>
        <v>1.32882046</v>
      </c>
      <c r="AY80" s="16">
        <f ca="1">_xll.DBRW($D$4,$E$7,$E$8,$E$9,$E$10,$E$12,$D80,$E$6,AY$18,AY$17)</f>
        <v>4.8510870000000006</v>
      </c>
      <c r="AZ80" s="16">
        <f ca="1">_xll.DBRW($D$4,$E$7,$E$8,$E$9,$E$10,$E$12,$D80,$E$6,AZ$18,AZ$17)</f>
        <v>3.1996767300000002</v>
      </c>
      <c r="BA80" s="16">
        <f ca="1">_xll.DBRW($D$4,$E$7,$E$8,$E$9,$E$10,$E$12,$D80,$E$6,BA$18,BA$17)</f>
        <v>4.8510870000000006</v>
      </c>
      <c r="BB80" s="16">
        <f ca="1">_xll.DBRW($D$4,$E$7,$E$8,$E$9,$E$10,$E$12,$D80,$E$6,BB$18,BB$17)</f>
        <v>4.8510870000000006</v>
      </c>
      <c r="BC80" s="16">
        <f ca="1">_xll.DBRW($D$4,$E$7,$E$8,$E$9,$E$10,$E$12,$D80,$E$6,BC$18,BC$17)</f>
        <v>4.8510870000000006</v>
      </c>
      <c r="BD80" s="16">
        <f ca="1">_xll.DBRW($D$4,$E$7,$E$8,$E$9,$E$10,$E$12,$D80,$E$6,BD$18,BD$17)</f>
        <v>0.42423993164432194</v>
      </c>
      <c r="BE80" s="16">
        <f ca="1">_xll.DBRW($D$4,$E$7,$E$8,$E$9,$E$10,$E$12,$D80,$E$6,BE$18,BE$17)</f>
        <v>-0.85354309816140317</v>
      </c>
      <c r="BF80" s="16">
        <f ca="1">_xll.DBRW($D$4,$E$7,$E$8,$E$9,$E$10,$E$12,$D80,$E$6,BF$18,BF$17)</f>
        <v>0</v>
      </c>
      <c r="BG80" s="26">
        <f ca="1">_xll.DBRW($D$4,$E$7,$E$8,$E$9,$E$10,$E$12,$D80,$E$6,BG$18,BG$17)</f>
        <v>-4.1800000000000004E-2</v>
      </c>
      <c r="BH80" s="26">
        <f ca="1">_xll.DBRW($D$4,$E$7,$E$8,$E$9,$E$10,$E$12,$D80,$E$6,BH$18,BH$17)</f>
        <v>0</v>
      </c>
      <c r="BI80" s="26">
        <f ca="1">_xll.DBRW($D$4,$E$7,$E$8,$E$9,$E$10,$E$12,$D80,$E$6,BI$18,BI$17)</f>
        <v>0</v>
      </c>
      <c r="BJ80" s="26">
        <f ca="1">_xll.DBRW($D$4,$E$7,$E$8,$E$9,$E$10,$E$12,$D80,$E$6,BJ$18,BJ$17)</f>
        <v>0</v>
      </c>
      <c r="BK80" s="16">
        <f ca="1">_xll.DBRW($D$4,$E$7,$E$8,$E$9,$E$10,$E$12,$D80,$E$6,BK$18,BK$17)</f>
        <v>1.3195830298057252</v>
      </c>
      <c r="BL80" s="16">
        <f ca="1">_xll.DBRW($D$4,$E$7,$E$8,$E$9,$E$10,$E$12,$D80,$E$6,BL$18,BL$17)</f>
        <v>12.744190999999999</v>
      </c>
      <c r="BM80" s="16">
        <f ca="1">_xll.DBRW($D$4,$E$7,$E$8,$E$9,$E$10,$E$12,$D80,$E$6,BM$18,BM$17)</f>
        <v>-4.7446620599999996</v>
      </c>
      <c r="BN80" s="16">
        <f ca="1">_xll.DBRW($D$4,$E$7,$E$8,$E$9,$E$10,$E$12,$D80,$E$6,BN$18,BN$17)</f>
        <v>0.37229998043814627</v>
      </c>
      <c r="BO80" s="16"/>
      <c r="BP80" s="16"/>
      <c r="BQ80" s="16"/>
      <c r="BR80" s="16"/>
      <c r="BS80" s="16">
        <f ca="1">_xll.DBRW($D$4,$E$7,$E$8,$E$9,$E$10,$E$12,$D80,$E$6,BS$18,BS$17)</f>
        <v>-0.85396387375552196</v>
      </c>
      <c r="BT80" s="16">
        <f ca="1">_xll.DBRW($D$4,$E$7,$E$8,$E$9,$E$10,$E$12,$D80,$E$6,BT$18,BT$17)</f>
        <v>6.7008088136431887E-2</v>
      </c>
      <c r="BU80" s="16"/>
      <c r="BV80" s="16"/>
      <c r="BW80" s="16"/>
      <c r="BX80" s="16"/>
      <c r="BY80" s="16">
        <f ca="1">_xll.DBRW($D$4,$E$7,$E$8,$E$9,$E$10,$E$12,$D80,$E$6,BY$18,BY$17)</f>
        <v>-1.2714396361294191</v>
      </c>
      <c r="BZ80" s="16">
        <f ca="1">_xll.DBRW($D$4,$E$7,$E$8,$E$9,$E$10,$E$12,$D80,$E$6,BZ$18,BZ$17)</f>
        <v>9.9766210042631906E-2</v>
      </c>
      <c r="CA80" s="16"/>
      <c r="CB80" s="16"/>
      <c r="CC80" s="16"/>
      <c r="CD80" s="16"/>
      <c r="CE80" s="16">
        <f ca="1">_xll.DBRW($D$4,$E$7,$E$8,$E$9,$E$10,$E$12,$D80,$E$6,CE$18,CE$17)</f>
        <v>-2.6913293599999997</v>
      </c>
      <c r="CF80" s="16">
        <f ca="1">_xll.DBRW($D$4,$E$7,$E$8,$E$9,$E$10,$E$12,$D80,$E$6,CF$18,CF$17)</f>
        <v>0.21118087134758101</v>
      </c>
      <c r="CG80" s="16"/>
      <c r="CH80" s="16"/>
      <c r="CI80" s="16"/>
      <c r="CJ80" s="16"/>
      <c r="CK80" s="16">
        <f ca="1">_xll.DBRW($D$4,$E$7,$E$8,$E$9,$E$10,$E$12,$D80,$E$6,CK$18,CK$17)</f>
        <v>-1.863213040309333</v>
      </c>
      <c r="CL80" s="16">
        <f ca="1">_xll.DBRW($D$4,$E$7,$E$8,$E$9,$E$10,$E$12,$D80,$E$6,CL$18,CL$17)</f>
        <v>0.14620096640966329</v>
      </c>
      <c r="CM80" s="16"/>
      <c r="CN80" s="16"/>
      <c r="CO80" s="16"/>
      <c r="CP80" s="16"/>
      <c r="CQ80" s="16">
        <f ca="1">_xll.DBRW($D$4,$E$7,$E$8,$E$9,$E$10,$E$12,$D80,$E$6,CQ$18,CQ$17)</f>
        <v>0.21846160999999997</v>
      </c>
      <c r="CR80" s="16">
        <f ca="1">_xll.DBRW($D$4,$E$7,$E$8,$E$9,$E$10,$E$12,$D80,$E$6,CR$18,CR$17)</f>
        <v>5.5177740201160006</v>
      </c>
      <c r="CS80" s="16">
        <f ca="1">_xll.DBRW($D$4,$E$7,$E$8,$E$9,$E$10,$E$12,$D80,$E$6,CS$18,CS$17)</f>
        <v>5.5177740201160006</v>
      </c>
      <c r="CT80" s="16">
        <f ca="1">_xll.DBRW($D$4,$E$7,$E$8,$E$9,$E$10,$E$12,$D80,$E$6,CT$18,CT$17)</f>
        <v>5.5177740201160006</v>
      </c>
      <c r="CU80" s="16">
        <f ca="1">_xll.DBRW($D$4,$E$7,$E$8,$E$9,$E$10,$E$12,$D80,$E$6,CU$18,CU$17)</f>
        <v>1.51948806122625</v>
      </c>
      <c r="CV80" s="16">
        <f ca="1">_xll.DBRW($D$4,$E$7,$E$8,$E$9,$E$10,$E$12,$D80,$E$6,CV$18,CV$17)</f>
        <v>5.5177740201160006</v>
      </c>
      <c r="CW80" s="16">
        <f ca="1">_xll.DBRW($D$4,$E$7,$E$8,$E$9,$E$10,$E$12,$D80,$E$6,CW$18,CW$17)</f>
        <v>3.6404199999999998</v>
      </c>
      <c r="CX80" s="16">
        <f ca="1">_xll.DBRW($D$4,$E$7,$E$8,$E$9,$E$10,$E$12,$D80,$E$6,CX$18,CX$17)</f>
        <v>5.5177740201160006</v>
      </c>
      <c r="CY80" s="16">
        <f ca="1">_xll.DBRW($D$4,$E$7,$E$8,$E$9,$E$10,$E$12,$D80,$E$6,CY$18,CY$17)</f>
        <v>5.5177740201160006</v>
      </c>
      <c r="CZ80" s="16">
        <f ca="1">_xll.DBRW($D$4,$E$7,$E$8,$E$9,$E$10,$E$12,$D80,$E$6,CZ$18,CZ$17)</f>
        <v>5.5177740201160006</v>
      </c>
      <c r="DA80" s="26">
        <f t="shared" ca="1" si="89"/>
        <v>0.51376280835568056</v>
      </c>
      <c r="DB80" s="26">
        <f t="shared" ca="1" si="90"/>
        <v>4.2804918161403083E-2</v>
      </c>
      <c r="DC80" s="26">
        <f t="shared" ca="1" si="91"/>
        <v>0</v>
      </c>
      <c r="DD80" s="26">
        <f t="shared" ca="1" si="92"/>
        <v>3.0200000000000005E-2</v>
      </c>
      <c r="DE80" s="26">
        <f t="shared" ca="1" si="93"/>
        <v>0</v>
      </c>
      <c r="DF80" s="26">
        <f t="shared" ca="1" si="94"/>
        <v>0</v>
      </c>
      <c r="DG80" s="26">
        <f t="shared" ca="1" si="95"/>
        <v>0</v>
      </c>
      <c r="DH80" s="26">
        <f t="shared" ca="1" si="96"/>
        <v>0.44075789019427747</v>
      </c>
      <c r="DI80" s="26">
        <f t="shared" ca="1" si="97"/>
        <v>-1.2325096299999956</v>
      </c>
      <c r="DJ80" s="26">
        <f t="shared" ca="1" si="98"/>
        <v>0.31367497999999916</v>
      </c>
      <c r="DK80" s="26">
        <f t="shared" ca="1" si="99"/>
        <v>1.2612261100033051E-2</v>
      </c>
      <c r="DL80" s="26"/>
      <c r="DM80" s="26"/>
      <c r="DN80" s="26"/>
      <c r="DO80" s="26"/>
      <c r="DP80" s="26">
        <f t="shared" ca="1" si="100"/>
        <v>1.5173913755522017E-2</v>
      </c>
      <c r="DQ80" s="26">
        <f t="shared" ca="1" si="101"/>
        <v>5.8561558467213476E-3</v>
      </c>
      <c r="DR80" s="26"/>
      <c r="DS80" s="26"/>
      <c r="DT80" s="26"/>
      <c r="DU80" s="26"/>
      <c r="DV80" s="26">
        <f t="shared" ca="1" si="102"/>
        <v>1.8716396129419E-2</v>
      </c>
      <c r="DW80" s="26">
        <f t="shared" ca="1" si="103"/>
        <v>9.0557074284907113E-3</v>
      </c>
      <c r="DX80" s="26"/>
      <c r="DY80" s="26"/>
      <c r="DZ80" s="26"/>
      <c r="EA80" s="26"/>
      <c r="EB80" s="26">
        <f t="shared" ca="1" si="104"/>
        <v>1.2633596400000002</v>
      </c>
      <c r="EC80" s="26">
        <f t="shared" ca="1" si="105"/>
        <v>-8.7135592981784915E-2</v>
      </c>
      <c r="ED80" s="26"/>
      <c r="EE80" s="26"/>
      <c r="EF80" s="26"/>
      <c r="EG80" s="26"/>
      <c r="EH80" s="26">
        <f t="shared" ca="1" si="106"/>
        <v>6.234259030933309E-2</v>
      </c>
      <c r="EI80" s="29">
        <f t="shared" ca="1" si="107"/>
        <v>1.0237558260864421E-2</v>
      </c>
      <c r="EJ80" s="29"/>
      <c r="EK80" s="29"/>
      <c r="EL80" s="29"/>
      <c r="EM80" s="29"/>
      <c r="EN80" s="93"/>
      <c r="EO80" s="29"/>
      <c r="EP80" s="29"/>
      <c r="EQ80" s="29"/>
      <c r="ER80" s="29"/>
      <c r="ES80" s="29"/>
      <c r="ET80" s="29"/>
      <c r="EU80" s="93"/>
      <c r="EV80" s="29"/>
      <c r="EW80" s="29"/>
      <c r="EX80" s="29"/>
      <c r="EY80" s="29"/>
      <c r="EZ80" s="29"/>
      <c r="FA80" s="29"/>
      <c r="FB80" s="93"/>
      <c r="FC80" s="29"/>
      <c r="FD80" s="29"/>
      <c r="FE80" s="29"/>
      <c r="FF80" s="29"/>
      <c r="FG80" s="29"/>
      <c r="FH80" s="29"/>
      <c r="FI80" s="93"/>
      <c r="FJ80" s="29"/>
      <c r="FK80" s="29"/>
      <c r="FL80" s="29"/>
      <c r="FM80" s="29"/>
      <c r="FN80" s="29"/>
      <c r="FO80" s="29"/>
      <c r="FP80" s="93"/>
      <c r="FQ80" s="29"/>
      <c r="FR80" s="29"/>
      <c r="FS80" s="29"/>
      <c r="FT80" s="29"/>
      <c r="FU80" s="29"/>
      <c r="FV80" s="29"/>
    </row>
    <row r="81" spans="1:178" x14ac:dyDescent="0.25">
      <c r="A81" t="str">
        <f ca="1">IF(_xll.TM1RPTELISCONSOLIDATED($D$28,$D81),IF(_xll.TM1RPTELLEV($D$28,$D81)&lt;=3,_xll.TM1RPTELLEV($D$28,$D81),"D"),"N")</f>
        <v>N</v>
      </c>
      <c r="B81" t="str">
        <f ca="1">_xll.DBRA(Server&amp;"Management_organization",$D81,$B$27)</f>
        <v>L</v>
      </c>
      <c r="C81">
        <v>1</v>
      </c>
      <c r="D81" s="2" t="s">
        <v>136</v>
      </c>
      <c r="E81" s="26"/>
      <c r="F81" s="26"/>
      <c r="G81" s="16">
        <f ca="1">_xll.DBRW($D$4,$E$7,$E$8,$E$9,$E$10,$E$12,$D81,$E$6,G$18,G$17)</f>
        <v>1.9899216299999891</v>
      </c>
      <c r="H81" s="16">
        <f ca="1">_xll.DBRW($D$4,$E$7,$E$8,$E$9,$E$10,$E$12,$D81,$E$6,H$18,H$17)</f>
        <v>-4.8251379199999995</v>
      </c>
      <c r="I81" s="16">
        <f ca="1">_xll.DBRW($D$4,$E$7,$E$8,$E$9,$E$10,$E$12,$D81,$E$6,I$18,I$17)</f>
        <v>0</v>
      </c>
      <c r="J81" s="26">
        <f ca="1">_xll.DBRW($D$4,$E$7,$E$8,$E$9,$E$10,$E$12,$D81,$E$6,J$18,J$17)</f>
        <v>0</v>
      </c>
      <c r="K81" s="26">
        <f ca="1">_xll.DBRW($D$4,$E$7,$E$8,$E$9,$E$10,$E$12,$D81,$E$6,K$18,K$17)</f>
        <v>0</v>
      </c>
      <c r="L81" s="26">
        <f ca="1">_xll.DBRW($D$4,$E$7,$E$8,$E$9,$E$10,$E$12,$D81,$E$6,L$18,L$17)</f>
        <v>0</v>
      </c>
      <c r="M81" s="26">
        <f ca="1">_xll.DBRW($D$4,$E$7,$E$8,$E$9,$E$10,$E$12,$D81,$E$6,M$18,M$17)</f>
        <v>0</v>
      </c>
      <c r="N81" s="16">
        <f ca="1">_xll.DBRW($D$4,$E$7,$E$8,$E$9,$E$10,$E$12,$D81,$E$6,N$18,N$17)</f>
        <v>6.8150595499999884</v>
      </c>
      <c r="O81" s="16">
        <f ca="1">_xll.DBRW($D$4,$E$7,$E$8,$E$9,$E$10,$E$12,$D81,$E$6,O$18,O$17)</f>
        <v>58.041162270000001</v>
      </c>
      <c r="P81" s="74">
        <f ca="1">_xll.DBRW($D$4,$E$7,$E$8,$E$9,$E$10,$E$12,$D81,$E$6,P$18,P$17)</f>
        <v>-23.137983579999997</v>
      </c>
      <c r="Q81" s="16">
        <f ca="1">_xll.DBRW($D$4,$E$7,$E$8,$E$9,$E$10,$E$12,$D81,$E$6,Q$18,Q$17)</f>
        <v>0.39864783328020004</v>
      </c>
      <c r="R81" s="16"/>
      <c r="S81" s="16"/>
      <c r="T81" s="16"/>
      <c r="U81" s="16"/>
      <c r="V81" s="16">
        <f ca="1">_xll.DBRW($D$4,$E$7,$E$8,$E$9,$E$10,$E$12,$D81,$E$6,V$18,V$17)</f>
        <v>-5.3294064300000006</v>
      </c>
      <c r="W81" s="16">
        <f ca="1">_xll.DBRW($D$4,$E$7,$E$8,$E$9,$E$10,$E$12,$D81,$E$6,W$18,W$17)</f>
        <v>9.182115280890292E-2</v>
      </c>
      <c r="X81" s="16"/>
      <c r="Y81" s="16"/>
      <c r="Z81" s="16"/>
      <c r="AA81" s="16"/>
      <c r="AB81" s="16">
        <f ca="1">_xll.DBRW($D$4,$E$7,$E$8,$E$9,$E$10,$E$12,$D81,$E$6,AB$18,AB$17)</f>
        <v>-6.2391181299999987</v>
      </c>
      <c r="AC81" s="16">
        <f ca="1">_xll.DBRW($D$4,$E$7,$E$8,$E$9,$E$10,$E$12,$D81,$E$6,AC$18,AC$17)</f>
        <v>0.10749471385456455</v>
      </c>
      <c r="AD81" s="16"/>
      <c r="AE81" s="16"/>
      <c r="AF81" s="16"/>
      <c r="AG81" s="16"/>
      <c r="AH81" s="16">
        <f ca="1">_xll.DBRW($D$4,$E$7,$E$8,$E$9,$E$10,$E$12,$D81,$E$6,AH$18,AH$17)</f>
        <v>-8.3003710600000034</v>
      </c>
      <c r="AI81" s="16">
        <f ca="1">_xll.DBRW($D$4,$E$7,$E$8,$E$9,$E$10,$E$12,$D81,$E$6,AI$18,AI$17)</f>
        <v>0.14300835364715386</v>
      </c>
      <c r="AJ81" s="16"/>
      <c r="AK81" s="16"/>
      <c r="AL81" s="16"/>
      <c r="AM81" s="16"/>
      <c r="AN81" s="16">
        <f ca="1">_xll.DBRW($D$4,$E$7,$E$8,$E$9,$E$10,$E$12,$D81,$E$6,AN$18,AN$17)</f>
        <v>-8.2192235200000017</v>
      </c>
      <c r="AO81" s="16">
        <f ca="1">_xll.DBRW($D$4,$E$7,$E$8,$E$9,$E$10,$E$12,$D81,$E$6,AO$18,AO$17)</f>
        <v>0.14161025035586355</v>
      </c>
      <c r="AP81" s="16"/>
      <c r="AQ81" s="16"/>
      <c r="AR81" s="16"/>
      <c r="AS81" s="16"/>
      <c r="AT81" s="16">
        <f ca="1">_xll.DBRW($D$4,$E$7,$E$8,$E$9,$E$10,$E$12,$D81,$E$6,AT$18,AT$17)</f>
        <v>0.96570608000000013</v>
      </c>
      <c r="AU81" s="16">
        <f ca="1">_xll.DBRW($D$4,$E$7,$E$8,$E$9,$E$10,$E$12,$D81,$E$6,AU$18,AU$17)</f>
        <v>21.628936709999998</v>
      </c>
      <c r="AV81" s="16">
        <f ca="1">_xll.DBRW($D$4,$E$7,$E$8,$E$9,$E$10,$E$12,$D81,$E$6,AV$18,AV$17)</f>
        <v>21.628936709999998</v>
      </c>
      <c r="AW81" s="16">
        <f ca="1">_xll.DBRW($D$4,$E$7,$E$8,$E$9,$E$10,$E$12,$D81,$E$6,AW$18,AW$17)</f>
        <v>21.628936709999998</v>
      </c>
      <c r="AX81" s="16">
        <f ca="1">_xll.DBRW($D$4,$E$7,$E$8,$E$9,$E$10,$E$12,$D81,$E$6,AX$18,AX$17)</f>
        <v>6.7853753433749988</v>
      </c>
      <c r="AY81" s="16">
        <f ca="1">_xll.DBRW($D$4,$E$7,$E$8,$E$9,$E$10,$E$12,$D81,$E$6,AY$18,AY$17)</f>
        <v>21.628936709999998</v>
      </c>
      <c r="AZ81" s="16">
        <f ca="1">_xll.DBRW($D$4,$E$7,$E$8,$E$9,$E$10,$E$12,$D81,$E$6,AZ$18,AZ$17)</f>
        <v>14.117672552536771</v>
      </c>
      <c r="BA81" s="16">
        <f ca="1">_xll.DBRW($D$4,$E$7,$E$8,$E$9,$E$10,$E$12,$D81,$E$6,BA$18,BA$17)</f>
        <v>21.628936709999998</v>
      </c>
      <c r="BB81" s="16">
        <f ca="1">_xll.DBRW($D$4,$E$7,$E$8,$E$9,$E$10,$E$12,$D81,$E$6,BB$18,BB$17)</f>
        <v>21.628936709999998</v>
      </c>
      <c r="BC81" s="16">
        <f ca="1">_xll.DBRW($D$4,$E$7,$E$8,$E$9,$E$10,$E$12,$D81,$E$6,BC$18,BC$17)</f>
        <v>21.628936709999998</v>
      </c>
      <c r="BD81" s="16">
        <f ca="1">_xll.DBRW($D$4,$E$7,$E$8,$E$9,$E$10,$E$12,$D81,$E$6,BD$18,BD$17)</f>
        <v>2.7013149472395357</v>
      </c>
      <c r="BE81" s="16">
        <f ca="1">_xll.DBRW($D$4,$E$7,$E$8,$E$9,$E$10,$E$12,$D81,$E$6,BE$18,BE$17)</f>
        <v>-5.080804358305544</v>
      </c>
      <c r="BF81" s="16">
        <f ca="1">_xll.DBRW($D$4,$E$7,$E$8,$E$9,$E$10,$E$12,$D81,$E$6,BF$18,BF$17)</f>
        <v>0</v>
      </c>
      <c r="BG81" s="26">
        <f ca="1">_xll.DBRW($D$4,$E$7,$E$8,$E$9,$E$10,$E$12,$D81,$E$6,BG$18,BG$17)</f>
        <v>0</v>
      </c>
      <c r="BH81" s="26">
        <f ca="1">_xll.DBRW($D$4,$E$7,$E$8,$E$9,$E$10,$E$12,$D81,$E$6,BH$18,BH$17)</f>
        <v>0</v>
      </c>
      <c r="BI81" s="26">
        <f ca="1">_xll.DBRW($D$4,$E$7,$E$8,$E$9,$E$10,$E$12,$D81,$E$6,BI$18,BI$17)</f>
        <v>0</v>
      </c>
      <c r="BJ81" s="26">
        <f ca="1">_xll.DBRW($D$4,$E$7,$E$8,$E$9,$E$10,$E$12,$D81,$E$6,BJ$18,BJ$17)</f>
        <v>0</v>
      </c>
      <c r="BK81" s="16">
        <f ca="1">_xll.DBRW($D$4,$E$7,$E$8,$E$9,$E$10,$E$12,$D81,$E$6,BK$18,BK$17)</f>
        <v>7.7821193055450797</v>
      </c>
      <c r="BL81" s="16">
        <f ca="1">_xll.DBRW($D$4,$E$7,$E$8,$E$9,$E$10,$E$12,$D81,$E$6,BL$18,BL$17)</f>
        <v>63.063601102683592</v>
      </c>
      <c r="BM81" s="16">
        <f ca="1">_xll.DBRW($D$4,$E$7,$E$8,$E$9,$E$10,$E$12,$D81,$E$6,BM$18,BM$17)</f>
        <v>-24.651354282715076</v>
      </c>
      <c r="BN81" s="16">
        <f ca="1">_xll.DBRW($D$4,$E$7,$E$8,$E$9,$E$10,$E$12,$D81,$E$6,BN$18,BN$17)</f>
        <v>0.39089671144177762</v>
      </c>
      <c r="BO81" s="16"/>
      <c r="BP81" s="16"/>
      <c r="BQ81" s="16"/>
      <c r="BR81" s="16"/>
      <c r="BS81" s="16">
        <f ca="1">_xll.DBRW($D$4,$E$7,$E$8,$E$9,$E$10,$E$12,$D81,$E$6,BS$18,BS$17)</f>
        <v>-5.6750514775982364</v>
      </c>
      <c r="BT81" s="16">
        <f ca="1">_xll.DBRW($D$4,$E$7,$E$8,$E$9,$E$10,$E$12,$D81,$E$6,BT$18,BT$17)</f>
        <v>8.9989334233511478E-2</v>
      </c>
      <c r="BU81" s="16"/>
      <c r="BV81" s="16"/>
      <c r="BW81" s="16"/>
      <c r="BX81" s="16"/>
      <c r="BY81" s="16">
        <f ca="1">_xll.DBRW($D$4,$E$7,$E$8,$E$9,$E$10,$E$12,$D81,$E$6,BY$18,BY$17)</f>
        <v>-6.5082449887906266</v>
      </c>
      <c r="BZ81" s="16">
        <f ca="1">_xll.DBRW($D$4,$E$7,$E$8,$E$9,$E$10,$E$12,$D81,$E$6,BZ$18,BZ$17)</f>
        <v>0.10320129004675054</v>
      </c>
      <c r="CA81" s="16"/>
      <c r="CB81" s="16"/>
      <c r="CC81" s="16"/>
      <c r="CD81" s="16"/>
      <c r="CE81" s="16">
        <f ca="1">_xll.DBRW($D$4,$E$7,$E$8,$E$9,$E$10,$E$12,$D81,$E$6,CE$18,CE$17)</f>
        <v>-9.1711817854580815</v>
      </c>
      <c r="CF81" s="16">
        <f ca="1">_xll.DBRW($D$4,$E$7,$E$8,$E$9,$E$10,$E$12,$D81,$E$6,CF$18,CF$17)</f>
        <v>0.14542749898669857</v>
      </c>
      <c r="CG81" s="16"/>
      <c r="CH81" s="16"/>
      <c r="CI81" s="16"/>
      <c r="CJ81" s="16"/>
      <c r="CK81" s="16">
        <f ca="1">_xll.DBRW($D$4,$E$7,$E$8,$E$9,$E$10,$E$12,$D81,$E$6,CK$18,CK$17)</f>
        <v>-9.2756492625764828</v>
      </c>
      <c r="CL81" s="16">
        <f ca="1">_xll.DBRW($D$4,$E$7,$E$8,$E$9,$E$10,$E$12,$D81,$E$6,CL$18,CL$17)</f>
        <v>0.14708404056205679</v>
      </c>
      <c r="CM81" s="16"/>
      <c r="CN81" s="16"/>
      <c r="CO81" s="16"/>
      <c r="CP81" s="16"/>
      <c r="CQ81" s="16">
        <f ca="1">_xll.DBRW($D$4,$E$7,$E$8,$E$9,$E$10,$E$12,$D81,$E$6,CQ$18,CQ$17)</f>
        <v>1.0344203650118828</v>
      </c>
      <c r="CR81" s="16">
        <f ca="1">_xll.DBRW($D$4,$E$7,$E$8,$E$9,$E$10,$E$12,$D81,$E$6,CR$18,CR$17)</f>
        <v>24.462356691603578</v>
      </c>
      <c r="CS81" s="16">
        <f ca="1">_xll.DBRW($D$4,$E$7,$E$8,$E$9,$E$10,$E$12,$D81,$E$6,CS$18,CS$17)</f>
        <v>24.462356691603578</v>
      </c>
      <c r="CT81" s="16">
        <f ca="1">_xll.DBRW($D$4,$E$7,$E$8,$E$9,$E$10,$E$12,$D81,$E$6,CT$18,CT$17)</f>
        <v>24.462356691603578</v>
      </c>
      <c r="CU81" s="16">
        <f ca="1">_xll.DBRW($D$4,$E$7,$E$8,$E$9,$E$10,$E$12,$D81,$E$6,CU$18,CU$17)</f>
        <v>7.7672337866620413</v>
      </c>
      <c r="CV81" s="16">
        <f ca="1">_xll.DBRW($D$4,$E$7,$E$8,$E$9,$E$10,$E$12,$D81,$E$6,CV$18,CV$17)</f>
        <v>24.462356691603578</v>
      </c>
      <c r="CW81" s="16">
        <f ca="1">_xll.DBRW($D$4,$E$7,$E$8,$E$9,$E$10,$E$12,$D81,$E$6,CW$18,CW$17)</f>
        <v>16.331384777068429</v>
      </c>
      <c r="CX81" s="16">
        <f ca="1">_xll.DBRW($D$4,$E$7,$E$8,$E$9,$E$10,$E$12,$D81,$E$6,CX$18,CX$17)</f>
        <v>24.462356691603578</v>
      </c>
      <c r="CY81" s="16">
        <f ca="1">_xll.DBRW($D$4,$E$7,$E$8,$E$9,$E$10,$E$12,$D81,$E$6,CY$18,CY$17)</f>
        <v>24.462356691603578</v>
      </c>
      <c r="CZ81" s="16">
        <f ca="1">_xll.DBRW($D$4,$E$7,$E$8,$E$9,$E$10,$E$12,$D81,$E$6,CZ$18,CZ$17)</f>
        <v>24.462356691603578</v>
      </c>
      <c r="DA81" s="26">
        <f t="shared" ca="1" si="89"/>
        <v>-0.71139331723954657</v>
      </c>
      <c r="DB81" s="26">
        <f t="shared" ca="1" si="90"/>
        <v>0.25566643830554447</v>
      </c>
      <c r="DC81" s="26">
        <f t="shared" ca="1" si="91"/>
        <v>0</v>
      </c>
      <c r="DD81" s="26">
        <f t="shared" ca="1" si="92"/>
        <v>0</v>
      </c>
      <c r="DE81" s="26">
        <f t="shared" ca="1" si="93"/>
        <v>0</v>
      </c>
      <c r="DF81" s="26">
        <f t="shared" ca="1" si="94"/>
        <v>0</v>
      </c>
      <c r="DG81" s="26">
        <f t="shared" ca="1" si="95"/>
        <v>0</v>
      </c>
      <c r="DH81" s="26">
        <f t="shared" ca="1" si="96"/>
        <v>-0.96705975554509127</v>
      </c>
      <c r="DI81" s="26">
        <f t="shared" ca="1" si="97"/>
        <v>-5.0224388326835907</v>
      </c>
      <c r="DJ81" s="26">
        <f t="shared" ca="1" si="98"/>
        <v>1.5133707027150791</v>
      </c>
      <c r="DK81" s="26">
        <f t="shared" ca="1" si="99"/>
        <v>7.7511218384224145E-3</v>
      </c>
      <c r="DL81" s="26"/>
      <c r="DM81" s="26"/>
      <c r="DN81" s="26"/>
      <c r="DO81" s="26"/>
      <c r="DP81" s="26">
        <f t="shared" ca="1" si="100"/>
        <v>0.34564504759823578</v>
      </c>
      <c r="DQ81" s="26">
        <f t="shared" ca="1" si="101"/>
        <v>1.8318185753914418E-3</v>
      </c>
      <c r="DR81" s="26"/>
      <c r="DS81" s="26"/>
      <c r="DT81" s="26"/>
      <c r="DU81" s="26"/>
      <c r="DV81" s="26">
        <f t="shared" ca="1" si="102"/>
        <v>0.26912685879062792</v>
      </c>
      <c r="DW81" s="26">
        <f t="shared" ca="1" si="103"/>
        <v>4.2934238078140147E-3</v>
      </c>
      <c r="DX81" s="26"/>
      <c r="DY81" s="26"/>
      <c r="DZ81" s="26"/>
      <c r="EA81" s="26"/>
      <c r="EB81" s="26">
        <f t="shared" ca="1" si="104"/>
        <v>0.87081072545807814</v>
      </c>
      <c r="EC81" s="26">
        <f t="shared" ca="1" si="105"/>
        <v>-2.4191453395447093E-3</v>
      </c>
      <c r="ED81" s="26"/>
      <c r="EE81" s="26"/>
      <c r="EF81" s="26"/>
      <c r="EG81" s="26"/>
      <c r="EH81" s="26">
        <f t="shared" ca="1" si="106"/>
        <v>1.0564257425764811</v>
      </c>
      <c r="EI81" s="29">
        <f t="shared" ca="1" si="107"/>
        <v>-5.4737902061932353E-3</v>
      </c>
      <c r="EJ81" s="29"/>
      <c r="EK81" s="29"/>
      <c r="EL81" s="29"/>
      <c r="EM81" s="29"/>
      <c r="EN81" s="93"/>
      <c r="EO81" s="29"/>
      <c r="EP81" s="29"/>
      <c r="EQ81" s="29"/>
      <c r="ER81" s="29"/>
      <c r="ES81" s="29"/>
      <c r="ET81" s="29"/>
      <c r="EU81" s="93"/>
      <c r="EV81" s="29"/>
      <c r="EW81" s="29"/>
      <c r="EX81" s="29"/>
      <c r="EY81" s="29"/>
      <c r="EZ81" s="29"/>
      <c r="FA81" s="29"/>
      <c r="FB81" s="93"/>
      <c r="FC81" s="29"/>
      <c r="FD81" s="29"/>
      <c r="FE81" s="29"/>
      <c r="FF81" s="29"/>
      <c r="FG81" s="29"/>
      <c r="FH81" s="29"/>
      <c r="FI81" s="93"/>
      <c r="FJ81" s="29"/>
      <c r="FK81" s="29"/>
      <c r="FL81" s="29"/>
      <c r="FM81" s="29"/>
      <c r="FN81" s="29"/>
      <c r="FO81" s="29"/>
      <c r="FP81" s="93"/>
      <c r="FQ81" s="29"/>
      <c r="FR81" s="29"/>
      <c r="FS81" s="29"/>
      <c r="FT81" s="29"/>
      <c r="FU81" s="29"/>
      <c r="FV81" s="29"/>
    </row>
    <row r="82" spans="1:178" x14ac:dyDescent="0.25">
      <c r="A82" t="str">
        <f ca="1">IF(_xll.TM1RPTELISCONSOLIDATED($D$28,$D82),IF(_xll.TM1RPTELLEV($D$28,$D82)&lt;=3,_xll.TM1RPTELLEV($D$28,$D82),"D"),"N")</f>
        <v>N</v>
      </c>
      <c r="B82" t="str">
        <f ca="1">_xll.DBRA(Server&amp;"Management_organization",$D82,$B$27)</f>
        <v>L</v>
      </c>
      <c r="C82">
        <v>1</v>
      </c>
      <c r="D82" s="2" t="s">
        <v>137</v>
      </c>
      <c r="E82" s="26"/>
      <c r="F82" s="26"/>
      <c r="G82" s="16">
        <f ca="1">_xll.DBRW($D$4,$E$7,$E$8,$E$9,$E$10,$E$12,$D82,$E$6,G$18,G$17)</f>
        <v>0.22549736000000214</v>
      </c>
      <c r="H82" s="16">
        <f ca="1">_xll.DBRW($D$4,$E$7,$E$8,$E$9,$E$10,$E$12,$D82,$E$6,H$18,H$17)</f>
        <v>-0.97893567999999997</v>
      </c>
      <c r="I82" s="16">
        <f ca="1">_xll.DBRW($D$4,$E$7,$E$8,$E$9,$E$10,$E$12,$D82,$E$6,I$18,I$17)</f>
        <v>0</v>
      </c>
      <c r="J82" s="26">
        <f ca="1">_xll.DBRW($D$4,$E$7,$E$8,$E$9,$E$10,$E$12,$D82,$E$6,J$18,J$17)</f>
        <v>0</v>
      </c>
      <c r="K82" s="26">
        <f ca="1">_xll.DBRW($D$4,$E$7,$E$8,$E$9,$E$10,$E$12,$D82,$E$6,K$18,K$17)</f>
        <v>0</v>
      </c>
      <c r="L82" s="26">
        <f ca="1">_xll.DBRW($D$4,$E$7,$E$8,$E$9,$E$10,$E$12,$D82,$E$6,L$18,L$17)</f>
        <v>0</v>
      </c>
      <c r="M82" s="26">
        <f ca="1">_xll.DBRW($D$4,$E$7,$E$8,$E$9,$E$10,$E$12,$D82,$E$6,M$18,M$17)</f>
        <v>0</v>
      </c>
      <c r="N82" s="16">
        <f ca="1">_xll.DBRW($D$4,$E$7,$E$8,$E$9,$E$10,$E$12,$D82,$E$6,N$18,N$17)</f>
        <v>1.2044330400000021</v>
      </c>
      <c r="O82" s="16">
        <f ca="1">_xll.DBRW($D$4,$E$7,$E$8,$E$9,$E$10,$E$12,$D82,$E$6,O$18,O$17)</f>
        <v>11.087828820000002</v>
      </c>
      <c r="P82" s="74">
        <f ca="1">_xll.DBRW($D$4,$E$7,$E$8,$E$9,$E$10,$E$12,$D82,$E$6,P$18,P$17)</f>
        <v>-3.8343695499999995</v>
      </c>
      <c r="Q82" s="16">
        <f ca="1">_xll.DBRW($D$4,$E$7,$E$8,$E$9,$E$10,$E$12,$D82,$E$6,Q$18,Q$17)</f>
        <v>0.34581788844752376</v>
      </c>
      <c r="R82" s="16"/>
      <c r="S82" s="16"/>
      <c r="T82" s="16"/>
      <c r="U82" s="16"/>
      <c r="V82" s="16">
        <f ca="1">_xll.DBRW($D$4,$E$7,$E$8,$E$9,$E$10,$E$12,$D82,$E$6,V$18,V$17)</f>
        <v>-1.13732795</v>
      </c>
      <c r="W82" s="16">
        <f ca="1">_xll.DBRW($D$4,$E$7,$E$8,$E$9,$E$10,$E$12,$D82,$E$6,W$18,W$17)</f>
        <v>0.10257445063983228</v>
      </c>
      <c r="X82" s="16"/>
      <c r="Y82" s="16"/>
      <c r="Z82" s="16"/>
      <c r="AA82" s="16"/>
      <c r="AB82" s="16">
        <f ca="1">_xll.DBRW($D$4,$E$7,$E$8,$E$9,$E$10,$E$12,$D82,$E$6,AB$18,AB$17)</f>
        <v>-1.4520704299999998</v>
      </c>
      <c r="AC82" s="16">
        <f ca="1">_xll.DBRW($D$4,$E$7,$E$8,$E$9,$E$10,$E$12,$D82,$E$6,AC$18,AC$17)</f>
        <v>0.13096075467730747</v>
      </c>
      <c r="AD82" s="16"/>
      <c r="AE82" s="16"/>
      <c r="AF82" s="16"/>
      <c r="AG82" s="16"/>
      <c r="AH82" s="16">
        <f ca="1">_xll.DBRW($D$4,$E$7,$E$8,$E$9,$E$10,$E$12,$D82,$E$6,AH$18,AH$17)</f>
        <v>-1.9446684699999996</v>
      </c>
      <c r="AI82" s="16">
        <f ca="1">_xll.DBRW($D$4,$E$7,$E$8,$E$9,$E$10,$E$12,$D82,$E$6,AI$18,AI$17)</f>
        <v>0.17538767071261471</v>
      </c>
      <c r="AJ82" s="16"/>
      <c r="AK82" s="16"/>
      <c r="AL82" s="16"/>
      <c r="AM82" s="16"/>
      <c r="AN82" s="16">
        <f ca="1">_xll.DBRW($D$4,$E$7,$E$8,$E$9,$E$10,$E$12,$D82,$E$6,AN$18,AN$17)</f>
        <v>-1.5149593800000001</v>
      </c>
      <c r="AO82" s="16">
        <f ca="1">_xll.DBRW($D$4,$E$7,$E$8,$E$9,$E$10,$E$12,$D82,$E$6,AO$18,AO$17)</f>
        <v>0.13663264509164741</v>
      </c>
      <c r="AP82" s="16"/>
      <c r="AQ82" s="16"/>
      <c r="AR82" s="16"/>
      <c r="AS82" s="16"/>
      <c r="AT82" s="16">
        <f ca="1">_xll.DBRW($D$4,$E$7,$E$8,$E$9,$E$10,$E$12,$D82,$E$6,AT$18,AT$17)</f>
        <v>0.16708599999999998</v>
      </c>
      <c r="AU82" s="16">
        <f ca="1">_xll.DBRW($D$4,$E$7,$E$8,$E$9,$E$10,$E$12,$D82,$E$6,AU$18,AU$17)</f>
        <v>5.0802360000000002</v>
      </c>
      <c r="AV82" s="16">
        <f ca="1">_xll.DBRW($D$4,$E$7,$E$8,$E$9,$E$10,$E$12,$D82,$E$6,AV$18,AV$17)</f>
        <v>5.0802360000000002</v>
      </c>
      <c r="AW82" s="16">
        <f ca="1">_xll.DBRW($D$4,$E$7,$E$8,$E$9,$E$10,$E$12,$D82,$E$6,AW$18,AW$17)</f>
        <v>5.0802360000000002</v>
      </c>
      <c r="AX82" s="16">
        <f ca="1">_xll.DBRW($D$4,$E$7,$E$8,$E$9,$E$10,$E$12,$D82,$E$6,AX$18,AX$17)</f>
        <v>1.5342312999999996</v>
      </c>
      <c r="AY82" s="16">
        <f ca="1">_xll.DBRW($D$4,$E$7,$E$8,$E$9,$E$10,$E$12,$D82,$E$6,AY$18,AY$17)</f>
        <v>5.0802360000000002</v>
      </c>
      <c r="AZ82" s="16">
        <f ca="1">_xll.DBRW($D$4,$E$7,$E$8,$E$9,$E$10,$E$12,$D82,$E$6,AZ$18,AZ$17)</f>
        <v>3.3192470000000003</v>
      </c>
      <c r="BA82" s="16">
        <f ca="1">_xll.DBRW($D$4,$E$7,$E$8,$E$9,$E$10,$E$12,$D82,$E$6,BA$18,BA$17)</f>
        <v>5.0802360000000002</v>
      </c>
      <c r="BB82" s="16">
        <f ca="1">_xll.DBRW($D$4,$E$7,$E$8,$E$9,$E$10,$E$12,$D82,$E$6,BB$18,BB$17)</f>
        <v>5.0802360000000002</v>
      </c>
      <c r="BC82" s="16">
        <f ca="1">_xll.DBRW($D$4,$E$7,$E$8,$E$9,$E$10,$E$12,$D82,$E$6,BC$18,BC$17)</f>
        <v>5.0802360000000002</v>
      </c>
      <c r="BD82" s="16">
        <f ca="1">_xll.DBRW($D$4,$E$7,$E$8,$E$9,$E$10,$E$12,$D82,$E$6,BD$18,BD$17)</f>
        <v>0.12363471409407584</v>
      </c>
      <c r="BE82" s="16">
        <f ca="1">_xll.DBRW($D$4,$E$7,$E$8,$E$9,$E$10,$E$12,$D82,$E$6,BE$18,BE$17)</f>
        <v>-1.0509390833333339</v>
      </c>
      <c r="BF82" s="16">
        <f ca="1">_xll.DBRW($D$4,$E$7,$E$8,$E$9,$E$10,$E$12,$D82,$E$6,BF$18,BF$17)</f>
        <v>0</v>
      </c>
      <c r="BG82" s="26">
        <f ca="1">_xll.DBRW($D$4,$E$7,$E$8,$E$9,$E$10,$E$12,$D82,$E$6,BG$18,BG$17)</f>
        <v>0</v>
      </c>
      <c r="BH82" s="26">
        <f ca="1">_xll.DBRW($D$4,$E$7,$E$8,$E$9,$E$10,$E$12,$D82,$E$6,BH$18,BH$17)</f>
        <v>0</v>
      </c>
      <c r="BI82" s="26">
        <f ca="1">_xll.DBRW($D$4,$E$7,$E$8,$E$9,$E$10,$E$12,$D82,$E$6,BI$18,BI$17)</f>
        <v>0</v>
      </c>
      <c r="BJ82" s="26">
        <f ca="1">_xll.DBRW($D$4,$E$7,$E$8,$E$9,$E$10,$E$12,$D82,$E$6,BJ$18,BJ$17)</f>
        <v>0</v>
      </c>
      <c r="BK82" s="16">
        <f ca="1">_xll.DBRW($D$4,$E$7,$E$8,$E$9,$E$10,$E$12,$D82,$E$6,BK$18,BK$17)</f>
        <v>1.1745737974274097</v>
      </c>
      <c r="BL82" s="16">
        <f ca="1">_xll.DBRW($D$4,$E$7,$E$8,$E$9,$E$10,$E$12,$D82,$E$6,BL$18,BL$17)</f>
        <v>12.156390036089281</v>
      </c>
      <c r="BM82" s="16">
        <f ca="1">_xll.DBRW($D$4,$E$7,$E$8,$E$9,$E$10,$E$12,$D82,$E$6,BM$18,BM$17)</f>
        <v>-4.3693856844596253</v>
      </c>
      <c r="BN82" s="16">
        <f ca="1">_xll.DBRW($D$4,$E$7,$E$8,$E$9,$E$10,$E$12,$D82,$E$6,BN$18,BN$17)</f>
        <v>0.35943118569641253</v>
      </c>
      <c r="BO82" s="16"/>
      <c r="BP82" s="16"/>
      <c r="BQ82" s="16"/>
      <c r="BR82" s="16"/>
      <c r="BS82" s="16">
        <f ca="1">_xll.DBRW($D$4,$E$7,$E$8,$E$9,$E$10,$E$12,$D82,$E$6,BS$18,BS$17)</f>
        <v>-1.2500639005353478</v>
      </c>
      <c r="BT82" s="16">
        <f ca="1">_xll.DBRW($D$4,$E$7,$E$8,$E$9,$E$10,$E$12,$D82,$E$6,BT$18,BT$17)</f>
        <v>0.1028318355057892</v>
      </c>
      <c r="BU82" s="16"/>
      <c r="BV82" s="16"/>
      <c r="BW82" s="16"/>
      <c r="BX82" s="16"/>
      <c r="BY82" s="16">
        <f ca="1">_xll.DBRW($D$4,$E$7,$E$8,$E$9,$E$10,$E$12,$D82,$E$6,BY$18,BY$17)</f>
        <v>-1.4436741712094485</v>
      </c>
      <c r="BZ82" s="16">
        <f ca="1">_xll.DBRW($D$4,$E$7,$E$8,$E$9,$E$10,$E$12,$D82,$E$6,BZ$18,BZ$17)</f>
        <v>0.1187584609348286</v>
      </c>
      <c r="CA82" s="16"/>
      <c r="CB82" s="16"/>
      <c r="CC82" s="16"/>
      <c r="CD82" s="16"/>
      <c r="CE82" s="16">
        <f ca="1">_xll.DBRW($D$4,$E$7,$E$8,$E$9,$E$10,$E$12,$D82,$E$6,CE$18,CE$17)</f>
        <v>-2.1511161799999998</v>
      </c>
      <c r="CF82" s="16">
        <f ca="1">_xll.DBRW($D$4,$E$7,$E$8,$E$9,$E$10,$E$12,$D82,$E$6,CF$18,CF$17)</f>
        <v>0.17695353420002763</v>
      </c>
      <c r="CG82" s="16"/>
      <c r="CH82" s="16"/>
      <c r="CI82" s="16"/>
      <c r="CJ82" s="16"/>
      <c r="CK82" s="16">
        <f ca="1">_xll.DBRW($D$4,$E$7,$E$8,$E$9,$E$10,$E$12,$D82,$E$6,CK$18,CK$17)</f>
        <v>-1.7675763024574522</v>
      </c>
      <c r="CL82" s="16">
        <f ca="1">_xll.DBRW($D$4,$E$7,$E$8,$E$9,$E$10,$E$12,$D82,$E$6,CL$18,CL$17)</f>
        <v>0.14540305939591938</v>
      </c>
      <c r="CM82" s="16"/>
      <c r="CN82" s="16"/>
      <c r="CO82" s="16"/>
      <c r="CP82" s="16"/>
      <c r="CQ82" s="16">
        <f ca="1">_xll.DBRW($D$4,$E$7,$E$8,$E$9,$E$10,$E$12,$D82,$E$6,CQ$18,CQ$17)</f>
        <v>0.19681999999999999</v>
      </c>
      <c r="CR82" s="16">
        <f ca="1">_xll.DBRW($D$4,$E$7,$E$8,$E$9,$E$10,$E$12,$D82,$E$6,CR$18,CR$17)</f>
        <v>5.6085634349999989</v>
      </c>
      <c r="CS82" s="16">
        <f ca="1">_xll.DBRW($D$4,$E$7,$E$8,$E$9,$E$10,$E$12,$D82,$E$6,CS$18,CS$17)</f>
        <v>5.6085634349999989</v>
      </c>
      <c r="CT82" s="16">
        <f ca="1">_xll.DBRW($D$4,$E$7,$E$8,$E$9,$E$10,$E$12,$D82,$E$6,CT$18,CT$17)</f>
        <v>5.6085634349999989</v>
      </c>
      <c r="CU82" s="16">
        <f ca="1">_xll.DBRW($D$4,$E$7,$E$8,$E$9,$E$10,$E$12,$D82,$E$6,CU$18,CU$17)</f>
        <v>1.7192737539709999</v>
      </c>
      <c r="CV82" s="16">
        <f ca="1">_xll.DBRW($D$4,$E$7,$E$8,$E$9,$E$10,$E$12,$D82,$E$6,CV$18,CV$17)</f>
        <v>5.6085634349999989</v>
      </c>
      <c r="CW82" s="16">
        <f ca="1">_xll.DBRW($D$4,$E$7,$E$8,$E$9,$E$10,$E$12,$D82,$E$6,CW$18,CW$17)</f>
        <v>3.9194429999999993</v>
      </c>
      <c r="CX82" s="16">
        <f ca="1">_xll.DBRW($D$4,$E$7,$E$8,$E$9,$E$10,$E$12,$D82,$E$6,CX$18,CX$17)</f>
        <v>5.6085634349999989</v>
      </c>
      <c r="CY82" s="16">
        <f ca="1">_xll.DBRW($D$4,$E$7,$E$8,$E$9,$E$10,$E$12,$D82,$E$6,CY$18,CY$17)</f>
        <v>5.6085634349999989</v>
      </c>
      <c r="CZ82" s="16">
        <f ca="1">_xll.DBRW($D$4,$E$7,$E$8,$E$9,$E$10,$E$12,$D82,$E$6,CZ$18,CZ$17)</f>
        <v>5.6085634349999989</v>
      </c>
      <c r="DA82" s="26">
        <f t="shared" ca="1" si="89"/>
        <v>0.10186264590592631</v>
      </c>
      <c r="DB82" s="26">
        <f t="shared" ca="1" si="90"/>
        <v>7.2003403333333882E-2</v>
      </c>
      <c r="DC82" s="26">
        <f t="shared" ca="1" si="91"/>
        <v>0</v>
      </c>
      <c r="DD82" s="26">
        <f t="shared" ca="1" si="92"/>
        <v>0</v>
      </c>
      <c r="DE82" s="26">
        <f t="shared" ca="1" si="93"/>
        <v>0</v>
      </c>
      <c r="DF82" s="26">
        <f t="shared" ca="1" si="94"/>
        <v>0</v>
      </c>
      <c r="DG82" s="26">
        <f t="shared" ca="1" si="95"/>
        <v>0</v>
      </c>
      <c r="DH82" s="26">
        <f t="shared" ca="1" si="96"/>
        <v>2.9859242572592315E-2</v>
      </c>
      <c r="DI82" s="26">
        <f t="shared" ca="1" si="97"/>
        <v>-1.0685612160892788</v>
      </c>
      <c r="DJ82" s="26">
        <f t="shared" ca="1" si="98"/>
        <v>0.53501613445962581</v>
      </c>
      <c r="DK82" s="26">
        <f t="shared" ca="1" si="99"/>
        <v>-1.3613297248888767E-2</v>
      </c>
      <c r="DL82" s="26"/>
      <c r="DM82" s="26"/>
      <c r="DN82" s="26"/>
      <c r="DO82" s="26"/>
      <c r="DP82" s="26">
        <f t="shared" ca="1" si="100"/>
        <v>0.1127359505353478</v>
      </c>
      <c r="DQ82" s="26">
        <f t="shared" ca="1" si="101"/>
        <v>-2.5738486595691668E-4</v>
      </c>
      <c r="DR82" s="26"/>
      <c r="DS82" s="26"/>
      <c r="DT82" s="26"/>
      <c r="DU82" s="26"/>
      <c r="DV82" s="26">
        <f t="shared" ca="1" si="102"/>
        <v>-8.3962587905512809E-3</v>
      </c>
      <c r="DW82" s="26">
        <f t="shared" ca="1" si="103"/>
        <v>1.2202293742478873E-2</v>
      </c>
      <c r="DX82" s="26"/>
      <c r="DY82" s="26"/>
      <c r="DZ82" s="26"/>
      <c r="EA82" s="26"/>
      <c r="EB82" s="26">
        <f t="shared" ca="1" si="104"/>
        <v>0.20644771000000017</v>
      </c>
      <c r="EC82" s="26">
        <f t="shared" ca="1" si="105"/>
        <v>-1.5658634874129163E-3</v>
      </c>
      <c r="ED82" s="26"/>
      <c r="EE82" s="26"/>
      <c r="EF82" s="26"/>
      <c r="EG82" s="26"/>
      <c r="EH82" s="26">
        <f t="shared" ca="1" si="106"/>
        <v>0.25261692245745215</v>
      </c>
      <c r="EI82" s="29">
        <f t="shared" ca="1" si="107"/>
        <v>-8.7704143042719729E-3</v>
      </c>
      <c r="EJ82" s="29"/>
      <c r="EK82" s="29"/>
      <c r="EL82" s="29"/>
      <c r="EM82" s="29"/>
      <c r="EN82" s="93"/>
      <c r="EO82" s="29"/>
      <c r="EP82" s="29"/>
      <c r="EQ82" s="29"/>
      <c r="ER82" s="29"/>
      <c r="ES82" s="29"/>
      <c r="ET82" s="29"/>
      <c r="EU82" s="93"/>
      <c r="EV82" s="29"/>
      <c r="EW82" s="29"/>
      <c r="EX82" s="29"/>
      <c r="EY82" s="29"/>
      <c r="EZ82" s="29"/>
      <c r="FA82" s="29"/>
      <c r="FB82" s="93"/>
      <c r="FC82" s="29"/>
      <c r="FD82" s="29"/>
      <c r="FE82" s="29"/>
      <c r="FF82" s="29"/>
      <c r="FG82" s="29"/>
      <c r="FH82" s="29"/>
      <c r="FI82" s="93"/>
      <c r="FJ82" s="29"/>
      <c r="FK82" s="29"/>
      <c r="FL82" s="29"/>
      <c r="FM82" s="29"/>
      <c r="FN82" s="29"/>
      <c r="FO82" s="29"/>
      <c r="FP82" s="93"/>
      <c r="FQ82" s="29"/>
      <c r="FR82" s="29"/>
      <c r="FS82" s="29"/>
      <c r="FT82" s="29"/>
      <c r="FU82" s="29"/>
      <c r="FV82" s="29"/>
    </row>
    <row r="83" spans="1:178" x14ac:dyDescent="0.25">
      <c r="A83" t="str">
        <f ca="1">IF(_xll.TM1RPTELISCONSOLIDATED($D$28,$D83),IF(_xll.TM1RPTELLEV($D$28,$D83)&lt;=3,_xll.TM1RPTELLEV($D$28,$D83),"D"),"N")</f>
        <v>N</v>
      </c>
      <c r="B83" t="str">
        <f ca="1">_xll.DBRA(Server&amp;"Management_organization",$D83,$B$27)</f>
        <v>L</v>
      </c>
      <c r="C83">
        <v>1</v>
      </c>
      <c r="D83" s="2" t="s">
        <v>138</v>
      </c>
      <c r="E83" s="26"/>
      <c r="F83" s="26"/>
      <c r="G83" s="16">
        <f ca="1">_xll.DBRW($D$4,$E$7,$E$8,$E$9,$E$10,$E$12,$D83,$E$6,G$18,G$17)</f>
        <v>0.14024471000000016</v>
      </c>
      <c r="H83" s="16">
        <f ca="1">_xll.DBRW($D$4,$E$7,$E$8,$E$9,$E$10,$E$12,$D83,$E$6,H$18,H$17)</f>
        <v>-0.15208426999999999</v>
      </c>
      <c r="I83" s="16">
        <f ca="1">_xll.DBRW($D$4,$E$7,$E$8,$E$9,$E$10,$E$12,$D83,$E$6,I$18,I$17)</f>
        <v>0</v>
      </c>
      <c r="J83" s="26">
        <f ca="1">_xll.DBRW($D$4,$E$7,$E$8,$E$9,$E$10,$E$12,$D83,$E$6,J$18,J$17)</f>
        <v>0</v>
      </c>
      <c r="K83" s="26">
        <f ca="1">_xll.DBRW($D$4,$E$7,$E$8,$E$9,$E$10,$E$12,$D83,$E$6,K$18,K$17)</f>
        <v>0</v>
      </c>
      <c r="L83" s="26">
        <f ca="1">_xll.DBRW($D$4,$E$7,$E$8,$E$9,$E$10,$E$12,$D83,$E$6,L$18,L$17)</f>
        <v>0</v>
      </c>
      <c r="M83" s="26">
        <f ca="1">_xll.DBRW($D$4,$E$7,$E$8,$E$9,$E$10,$E$12,$D83,$E$6,M$18,M$17)</f>
        <v>0</v>
      </c>
      <c r="N83" s="16">
        <f ca="1">_xll.DBRW($D$4,$E$7,$E$8,$E$9,$E$10,$E$12,$D83,$E$6,N$18,N$17)</f>
        <v>0.29232898000000018</v>
      </c>
      <c r="O83" s="16">
        <f ca="1">_xll.DBRW($D$4,$E$7,$E$8,$E$9,$E$10,$E$12,$D83,$E$6,O$18,O$17)</f>
        <v>1.7624954799999999</v>
      </c>
      <c r="P83" s="74">
        <f ca="1">_xll.DBRW($D$4,$E$7,$E$8,$E$9,$E$10,$E$12,$D83,$E$6,P$18,P$17)</f>
        <v>-0.60107867000000015</v>
      </c>
      <c r="Q83" s="16">
        <f ca="1">_xll.DBRW($D$4,$E$7,$E$8,$E$9,$E$10,$E$12,$D83,$E$6,Q$18,Q$17)</f>
        <v>0.34103841786873701</v>
      </c>
      <c r="R83" s="16"/>
      <c r="S83" s="16"/>
      <c r="T83" s="16"/>
      <c r="U83" s="16"/>
      <c r="V83" s="16">
        <f ca="1">_xll.DBRW($D$4,$E$7,$E$8,$E$9,$E$10,$E$12,$D83,$E$6,V$18,V$17)</f>
        <v>-0.15150102999999998</v>
      </c>
      <c r="W83" s="16">
        <f ca="1">_xll.DBRW($D$4,$E$7,$E$8,$E$9,$E$10,$E$12,$D83,$E$6,W$18,W$17)</f>
        <v>8.5958251648963091E-2</v>
      </c>
      <c r="X83" s="16"/>
      <c r="Y83" s="16"/>
      <c r="Z83" s="16"/>
      <c r="AA83" s="16"/>
      <c r="AB83" s="16">
        <f ca="1">_xll.DBRW($D$4,$E$7,$E$8,$E$9,$E$10,$E$12,$D83,$E$6,AB$18,AB$17)</f>
        <v>-0.20888347999999995</v>
      </c>
      <c r="AC83" s="16">
        <f ca="1">_xll.DBRW($D$4,$E$7,$E$8,$E$9,$E$10,$E$12,$D83,$E$6,AC$18,AC$17)</f>
        <v>0.11851575358366308</v>
      </c>
      <c r="AD83" s="16"/>
      <c r="AE83" s="16"/>
      <c r="AF83" s="16"/>
      <c r="AG83" s="16"/>
      <c r="AH83" s="16">
        <f ca="1">_xll.DBRW($D$4,$E$7,$E$8,$E$9,$E$10,$E$12,$D83,$E$6,AH$18,AH$17)</f>
        <v>-0.33149993</v>
      </c>
      <c r="AI83" s="16">
        <f ca="1">_xll.DBRW($D$4,$E$7,$E$8,$E$9,$E$10,$E$12,$D83,$E$6,AI$18,AI$17)</f>
        <v>0.18808554901939381</v>
      </c>
      <c r="AJ83" s="16"/>
      <c r="AK83" s="16"/>
      <c r="AL83" s="16"/>
      <c r="AM83" s="16"/>
      <c r="AN83" s="16">
        <f ca="1">_xll.DBRW($D$4,$E$7,$E$8,$E$9,$E$10,$E$12,$D83,$E$6,AN$18,AN$17)</f>
        <v>-0.17720338999999999</v>
      </c>
      <c r="AO83" s="16">
        <f ca="1">_xll.DBRW($D$4,$E$7,$E$8,$E$9,$E$10,$E$12,$D83,$E$6,AO$18,AO$17)</f>
        <v>0.10054118833825321</v>
      </c>
      <c r="AP83" s="16"/>
      <c r="AQ83" s="16"/>
      <c r="AR83" s="16"/>
      <c r="AS83" s="16"/>
      <c r="AT83" s="16">
        <f ca="1">_xll.DBRW($D$4,$E$7,$E$8,$E$9,$E$10,$E$12,$D83,$E$6,AT$18,AT$17)</f>
        <v>2.8142249999999997E-2</v>
      </c>
      <c r="AU83" s="16">
        <f ca="1">_xll.DBRW($D$4,$E$7,$E$8,$E$9,$E$10,$E$12,$D83,$E$6,AU$18,AU$17)</f>
        <v>0.69863597</v>
      </c>
      <c r="AV83" s="16">
        <f ca="1">_xll.DBRW($D$4,$E$7,$E$8,$E$9,$E$10,$E$12,$D83,$E$6,AV$18,AV$17)</f>
        <v>0.69863597</v>
      </c>
      <c r="AW83" s="16">
        <f ca="1">_xll.DBRW($D$4,$E$7,$E$8,$E$9,$E$10,$E$12,$D83,$E$6,AW$18,AW$17)</f>
        <v>0.69863597</v>
      </c>
      <c r="AX83" s="16">
        <f ca="1">_xll.DBRW($D$4,$E$7,$E$8,$E$9,$E$10,$E$12,$D83,$E$6,AX$18,AX$17)</f>
        <v>0.22629795906250003</v>
      </c>
      <c r="AY83" s="16">
        <f ca="1">_xll.DBRW($D$4,$E$7,$E$8,$E$9,$E$10,$E$12,$D83,$E$6,AY$18,AY$17)</f>
        <v>0.69863597</v>
      </c>
      <c r="AZ83" s="16">
        <f ca="1">_xll.DBRW($D$4,$E$7,$E$8,$E$9,$E$10,$E$12,$D83,$E$6,AZ$18,AZ$17)</f>
        <v>0.50831345534057604</v>
      </c>
      <c r="BA83" s="16">
        <f ca="1">_xll.DBRW($D$4,$E$7,$E$8,$E$9,$E$10,$E$12,$D83,$E$6,BA$18,BA$17)</f>
        <v>0.69863597</v>
      </c>
      <c r="BB83" s="16">
        <f ca="1">_xll.DBRW($D$4,$E$7,$E$8,$E$9,$E$10,$E$12,$D83,$E$6,BB$18,BB$17)</f>
        <v>0.69863597</v>
      </c>
      <c r="BC83" s="16">
        <f ca="1">_xll.DBRW($D$4,$E$7,$E$8,$E$9,$E$10,$E$12,$D83,$E$6,BC$18,BC$17)</f>
        <v>0.69863597</v>
      </c>
      <c r="BD83" s="16">
        <f ca="1">_xll.DBRW($D$4,$E$7,$E$8,$E$9,$E$10,$E$12,$D83,$E$6,BD$18,BD$17)</f>
        <v>0.18345037524065866</v>
      </c>
      <c r="BE83" s="16">
        <f ca="1">_xll.DBRW($D$4,$E$7,$E$8,$E$9,$E$10,$E$12,$D83,$E$6,BE$18,BE$17)</f>
        <v>-0.1666263433333334</v>
      </c>
      <c r="BF83" s="16">
        <f ca="1">_xll.DBRW($D$4,$E$7,$E$8,$E$9,$E$10,$E$12,$D83,$E$6,BF$18,BF$17)</f>
        <v>0</v>
      </c>
      <c r="BG83" s="26">
        <f ca="1">_xll.DBRW($D$4,$E$7,$E$8,$E$9,$E$10,$E$12,$D83,$E$6,BG$18,BG$17)</f>
        <v>0</v>
      </c>
      <c r="BH83" s="26">
        <f ca="1">_xll.DBRW($D$4,$E$7,$E$8,$E$9,$E$10,$E$12,$D83,$E$6,BH$18,BH$17)</f>
        <v>0</v>
      </c>
      <c r="BI83" s="26">
        <f ca="1">_xll.DBRW($D$4,$E$7,$E$8,$E$9,$E$10,$E$12,$D83,$E$6,BI$18,BI$17)</f>
        <v>0</v>
      </c>
      <c r="BJ83" s="26">
        <f ca="1">_xll.DBRW($D$4,$E$7,$E$8,$E$9,$E$10,$E$12,$D83,$E$6,BJ$18,BJ$17)</f>
        <v>0</v>
      </c>
      <c r="BK83" s="16">
        <f ca="1">_xll.DBRW($D$4,$E$7,$E$8,$E$9,$E$10,$E$12,$D83,$E$6,BK$18,BK$17)</f>
        <v>0.35007671857399203</v>
      </c>
      <c r="BL83" s="16">
        <f ca="1">_xll.DBRW($D$4,$E$7,$E$8,$E$9,$E$10,$E$12,$D83,$E$6,BL$18,BL$17)</f>
        <v>2.012189856</v>
      </c>
      <c r="BM83" s="16">
        <f ca="1">_xll.DBRW($D$4,$E$7,$E$8,$E$9,$E$10,$E$12,$D83,$E$6,BM$18,BM$17)</f>
        <v>-0.67702332476367</v>
      </c>
      <c r="BN83" s="16">
        <f ca="1">_xll.DBRW($D$4,$E$7,$E$8,$E$9,$E$10,$E$12,$D83,$E$6,BN$18,BN$17)</f>
        <v>0.33646095707365997</v>
      </c>
      <c r="BO83" s="16"/>
      <c r="BP83" s="16"/>
      <c r="BQ83" s="16"/>
      <c r="BR83" s="16"/>
      <c r="BS83" s="16">
        <f ca="1">_xll.DBRW($D$4,$E$7,$E$8,$E$9,$E$10,$E$12,$D83,$E$6,BS$18,BS$17)</f>
        <v>-0.17056334497999998</v>
      </c>
      <c r="BT83" s="16">
        <f ca="1">_xll.DBRW($D$4,$E$7,$E$8,$E$9,$E$10,$E$12,$D83,$E$6,BT$18,BT$17)</f>
        <v>8.4765035700488087E-2</v>
      </c>
      <c r="BU83" s="16"/>
      <c r="BV83" s="16"/>
      <c r="BW83" s="16"/>
      <c r="BX83" s="16"/>
      <c r="BY83" s="16">
        <f ca="1">_xll.DBRW($D$4,$E$7,$E$8,$E$9,$E$10,$E$12,$D83,$E$6,BY$18,BY$17)</f>
        <v>-0.22730692249976411</v>
      </c>
      <c r="BZ83" s="16">
        <f ca="1">_xll.DBRW($D$4,$E$7,$E$8,$E$9,$E$10,$E$12,$D83,$E$6,BZ$18,BZ$17)</f>
        <v>0.11296494802514506</v>
      </c>
      <c r="CA83" s="16"/>
      <c r="CB83" s="16"/>
      <c r="CC83" s="16"/>
      <c r="CD83" s="16"/>
      <c r="CE83" s="16">
        <f ca="1">_xll.DBRW($D$4,$E$7,$E$8,$E$9,$E$10,$E$12,$D83,$E$6,CE$18,CE$17)</f>
        <v>-0.34563080404616392</v>
      </c>
      <c r="CF83" s="16">
        <f ca="1">_xll.DBRW($D$4,$E$7,$E$8,$E$9,$E$10,$E$12,$D83,$E$6,CF$18,CF$17)</f>
        <v>0.17176848547146434</v>
      </c>
      <c r="CG83" s="16"/>
      <c r="CH83" s="16"/>
      <c r="CI83" s="16"/>
      <c r="CJ83" s="16"/>
      <c r="CK83" s="16">
        <f ca="1">_xll.DBRW($D$4,$E$7,$E$8,$E$9,$E$10,$E$12,$D83,$E$6,CK$18,CK$17)</f>
        <v>-0.24158874113641027</v>
      </c>
      <c r="CL83" s="16">
        <f ca="1">_xll.DBRW($D$4,$E$7,$E$8,$E$9,$E$10,$E$12,$D83,$E$6,CL$18,CL$17)</f>
        <v>0.12006259767985346</v>
      </c>
      <c r="CM83" s="16"/>
      <c r="CN83" s="16"/>
      <c r="CO83" s="16"/>
      <c r="CP83" s="16"/>
      <c r="CQ83" s="16">
        <f ca="1">_xll.DBRW($D$4,$E$7,$E$8,$E$9,$E$10,$E$12,$D83,$E$6,CQ$18,CQ$17)</f>
        <v>3.2210000000000003E-2</v>
      </c>
      <c r="CR83" s="16">
        <f ca="1">_xll.DBRW($D$4,$E$7,$E$8,$E$9,$E$10,$E$12,$D83,$E$6,CR$18,CR$17)</f>
        <v>0.86941457999999994</v>
      </c>
      <c r="CS83" s="16">
        <f ca="1">_xll.DBRW($D$4,$E$7,$E$8,$E$9,$E$10,$E$12,$D83,$E$6,CS$18,CS$17)</f>
        <v>0.86941457999999994</v>
      </c>
      <c r="CT83" s="16">
        <f ca="1">_xll.DBRW($D$4,$E$7,$E$8,$E$9,$E$10,$E$12,$D83,$E$6,CT$18,CT$17)</f>
        <v>0.86941457999999994</v>
      </c>
      <c r="CU83" s="16">
        <f ca="1">_xll.DBRW($D$4,$E$7,$E$8,$E$9,$E$10,$E$12,$D83,$E$6,CU$18,CU$17)</f>
        <v>0.27134643041299994</v>
      </c>
      <c r="CV83" s="16">
        <f ca="1">_xll.DBRW($D$4,$E$7,$E$8,$E$9,$E$10,$E$12,$D83,$E$6,CV$18,CV$17)</f>
        <v>0.86941457999999994</v>
      </c>
      <c r="CW83" s="16">
        <f ca="1">_xll.DBRW($D$4,$E$7,$E$8,$E$9,$E$10,$E$12,$D83,$E$6,CW$18,CW$17)</f>
        <v>0.60999999999999988</v>
      </c>
      <c r="CX83" s="16">
        <f ca="1">_xll.DBRW($D$4,$E$7,$E$8,$E$9,$E$10,$E$12,$D83,$E$6,CX$18,CX$17)</f>
        <v>0.86941457999999994</v>
      </c>
      <c r="CY83" s="16">
        <f ca="1">_xll.DBRW($D$4,$E$7,$E$8,$E$9,$E$10,$E$12,$D83,$E$6,CY$18,CY$17)</f>
        <v>0.86941457999999994</v>
      </c>
      <c r="CZ83" s="16">
        <f ca="1">_xll.DBRW($D$4,$E$7,$E$8,$E$9,$E$10,$E$12,$D83,$E$6,CZ$18,CZ$17)</f>
        <v>0.86941457999999994</v>
      </c>
      <c r="DA83" s="26">
        <f t="shared" ca="1" si="89"/>
        <v>-4.3205665240658497E-2</v>
      </c>
      <c r="DB83" s="26">
        <f t="shared" ca="1" si="90"/>
        <v>1.4542073333333405E-2</v>
      </c>
      <c r="DC83" s="26">
        <f t="shared" ca="1" si="91"/>
        <v>0</v>
      </c>
      <c r="DD83" s="26">
        <f t="shared" ca="1" si="92"/>
        <v>0</v>
      </c>
      <c r="DE83" s="26">
        <f t="shared" ca="1" si="93"/>
        <v>0</v>
      </c>
      <c r="DF83" s="26">
        <f t="shared" ca="1" si="94"/>
        <v>0</v>
      </c>
      <c r="DG83" s="26">
        <f t="shared" ca="1" si="95"/>
        <v>0</v>
      </c>
      <c r="DH83" s="26">
        <f t="shared" ca="1" si="96"/>
        <v>-5.7747738573991847E-2</v>
      </c>
      <c r="DI83" s="26">
        <f t="shared" ca="1" si="97"/>
        <v>-0.24969437600000011</v>
      </c>
      <c r="DJ83" s="26">
        <f t="shared" ca="1" si="98"/>
        <v>7.594465476366985E-2</v>
      </c>
      <c r="DK83" s="26">
        <f t="shared" ca="1" si="99"/>
        <v>4.5774607950770374E-3</v>
      </c>
      <c r="DL83" s="26"/>
      <c r="DM83" s="26"/>
      <c r="DN83" s="26"/>
      <c r="DO83" s="26"/>
      <c r="DP83" s="26">
        <f t="shared" ca="1" si="100"/>
        <v>1.9062314979999995E-2</v>
      </c>
      <c r="DQ83" s="26">
        <f t="shared" ca="1" si="101"/>
        <v>1.1932159484750043E-3</v>
      </c>
      <c r="DR83" s="26"/>
      <c r="DS83" s="26"/>
      <c r="DT83" s="26"/>
      <c r="DU83" s="26"/>
      <c r="DV83" s="26">
        <f t="shared" ca="1" si="102"/>
        <v>1.8423442499764159E-2</v>
      </c>
      <c r="DW83" s="26">
        <f t="shared" ca="1" si="103"/>
        <v>5.5508055585180155E-3</v>
      </c>
      <c r="DX83" s="26"/>
      <c r="DY83" s="26"/>
      <c r="DZ83" s="26"/>
      <c r="EA83" s="26"/>
      <c r="EB83" s="26">
        <f t="shared" ca="1" si="104"/>
        <v>1.4130874046163922E-2</v>
      </c>
      <c r="EC83" s="26">
        <f t="shared" ca="1" si="105"/>
        <v>1.6317063547929472E-2</v>
      </c>
      <c r="ED83" s="26"/>
      <c r="EE83" s="26"/>
      <c r="EF83" s="26"/>
      <c r="EG83" s="26"/>
      <c r="EH83" s="26">
        <f t="shared" ca="1" si="106"/>
        <v>6.4385351136410279E-2</v>
      </c>
      <c r="EI83" s="29">
        <f t="shared" ca="1" si="107"/>
        <v>-1.9521409341600252E-2</v>
      </c>
      <c r="EJ83" s="29"/>
      <c r="EK83" s="29"/>
      <c r="EL83" s="29"/>
      <c r="EM83" s="29"/>
      <c r="EN83" s="93"/>
      <c r="EO83" s="29"/>
      <c r="EP83" s="29"/>
      <c r="EQ83" s="29"/>
      <c r="ER83" s="29"/>
      <c r="ES83" s="29"/>
      <c r="ET83" s="29"/>
      <c r="EU83" s="93"/>
      <c r="EV83" s="29"/>
      <c r="EW83" s="29"/>
      <c r="EX83" s="29"/>
      <c r="EY83" s="29"/>
      <c r="EZ83" s="29"/>
      <c r="FA83" s="29"/>
      <c r="FB83" s="93"/>
      <c r="FC83" s="29"/>
      <c r="FD83" s="29"/>
      <c r="FE83" s="29"/>
      <c r="FF83" s="29"/>
      <c r="FG83" s="29"/>
      <c r="FH83" s="29"/>
      <c r="FI83" s="93"/>
      <c r="FJ83" s="29"/>
      <c r="FK83" s="29"/>
      <c r="FL83" s="29"/>
      <c r="FM83" s="29"/>
      <c r="FN83" s="29"/>
      <c r="FO83" s="29"/>
      <c r="FP83" s="93"/>
      <c r="FQ83" s="29"/>
      <c r="FR83" s="29"/>
      <c r="FS83" s="29"/>
      <c r="FT83" s="29"/>
      <c r="FU83" s="29"/>
      <c r="FV83" s="29"/>
    </row>
    <row r="84" spans="1:178" x14ac:dyDescent="0.25">
      <c r="A84" t="str">
        <f ca="1">IF(_xll.TM1RPTELISCONSOLIDATED($D$28,$D84),IF(_xll.TM1RPTELLEV($D$28,$D84)&lt;=3,_xll.TM1RPTELLEV($D$28,$D84),"D"),"N")</f>
        <v>N</v>
      </c>
      <c r="B84" t="str">
        <f ca="1">_xll.DBRA(Server&amp;"Management_organization",$D84,$B$27)</f>
        <v>L</v>
      </c>
      <c r="C84">
        <v>1</v>
      </c>
      <c r="D84" s="2" t="s">
        <v>139</v>
      </c>
      <c r="E84" s="26"/>
      <c r="F84" s="26"/>
      <c r="G84" s="16">
        <f ca="1">_xll.DBRW($D$4,$E$7,$E$8,$E$9,$E$10,$E$12,$D84,$E$6,G$18,G$17)</f>
        <v>5.2455050000000066E-2</v>
      </c>
      <c r="H84" s="16">
        <f ca="1">_xll.DBRW($D$4,$E$7,$E$8,$E$9,$E$10,$E$12,$D84,$E$6,H$18,H$17)</f>
        <v>-0.15972213000000002</v>
      </c>
      <c r="I84" s="16">
        <f ca="1">_xll.DBRW($D$4,$E$7,$E$8,$E$9,$E$10,$E$12,$D84,$E$6,I$18,I$17)</f>
        <v>0</v>
      </c>
      <c r="J84" s="26">
        <f ca="1">_xll.DBRW($D$4,$E$7,$E$8,$E$9,$E$10,$E$12,$D84,$E$6,J$18,J$17)</f>
        <v>0</v>
      </c>
      <c r="K84" s="26">
        <f ca="1">_xll.DBRW($D$4,$E$7,$E$8,$E$9,$E$10,$E$12,$D84,$E$6,K$18,K$17)</f>
        <v>0</v>
      </c>
      <c r="L84" s="26">
        <f ca="1">_xll.DBRW($D$4,$E$7,$E$8,$E$9,$E$10,$E$12,$D84,$E$6,L$18,L$17)</f>
        <v>0</v>
      </c>
      <c r="M84" s="26">
        <f ca="1">_xll.DBRW($D$4,$E$7,$E$8,$E$9,$E$10,$E$12,$D84,$E$6,M$18,M$17)</f>
        <v>0</v>
      </c>
      <c r="N84" s="16">
        <f ca="1">_xll.DBRW($D$4,$E$7,$E$8,$E$9,$E$10,$E$12,$D84,$E$6,N$18,N$17)</f>
        <v>0.2121771800000001</v>
      </c>
      <c r="O84" s="16">
        <f ca="1">_xll.DBRW($D$4,$E$7,$E$8,$E$9,$E$10,$E$12,$D84,$E$6,O$18,O$17)</f>
        <v>1.46246692</v>
      </c>
      <c r="P84" s="74">
        <f ca="1">_xll.DBRW($D$4,$E$7,$E$8,$E$9,$E$10,$E$12,$D84,$E$6,P$18,P$17)</f>
        <v>-0.74731291999999994</v>
      </c>
      <c r="Q84" s="16">
        <f ca="1">_xll.DBRW($D$4,$E$7,$E$8,$E$9,$E$10,$E$12,$D84,$E$6,Q$18,Q$17)</f>
        <v>0.51099475125221971</v>
      </c>
      <c r="R84" s="16"/>
      <c r="S84" s="16"/>
      <c r="T84" s="16"/>
      <c r="U84" s="16"/>
      <c r="V84" s="16">
        <f ca="1">_xll.DBRW($D$4,$E$7,$E$8,$E$9,$E$10,$E$12,$D84,$E$6,V$18,V$17)</f>
        <v>-0.18055866999999998</v>
      </c>
      <c r="W84" s="16">
        <f ca="1">_xll.DBRW($D$4,$E$7,$E$8,$E$9,$E$10,$E$12,$D84,$E$6,W$18,W$17)</f>
        <v>0.12346171221431797</v>
      </c>
      <c r="X84" s="16"/>
      <c r="Y84" s="16"/>
      <c r="Z84" s="16"/>
      <c r="AA84" s="16"/>
      <c r="AB84" s="16">
        <f ca="1">_xll.DBRW($D$4,$E$7,$E$8,$E$9,$E$10,$E$12,$D84,$E$6,AB$18,AB$17)</f>
        <v>-0.11830083000000002</v>
      </c>
      <c r="AC84" s="16">
        <f ca="1">_xll.DBRW($D$4,$E$7,$E$8,$E$9,$E$10,$E$12,$D84,$E$6,AC$18,AC$17)</f>
        <v>8.0891286074354432E-2</v>
      </c>
      <c r="AD84" s="16"/>
      <c r="AE84" s="16"/>
      <c r="AF84" s="16"/>
      <c r="AG84" s="16"/>
      <c r="AH84" s="16">
        <f ca="1">_xll.DBRW($D$4,$E$7,$E$8,$E$9,$E$10,$E$12,$D84,$E$6,AH$18,AH$17)</f>
        <v>0</v>
      </c>
      <c r="AI84" s="16">
        <f ca="1">_xll.DBRW($D$4,$E$7,$E$8,$E$9,$E$10,$E$12,$D84,$E$6,AI$18,AI$17)</f>
        <v>0</v>
      </c>
      <c r="AJ84" s="16"/>
      <c r="AK84" s="16"/>
      <c r="AL84" s="16"/>
      <c r="AM84" s="16"/>
      <c r="AN84" s="16">
        <f ca="1">_xll.DBRW($D$4,$E$7,$E$8,$E$9,$E$10,$E$12,$D84,$E$6,AN$18,AN$17)</f>
        <v>-0.20411731999999999</v>
      </c>
      <c r="AO84" s="16">
        <f ca="1">_xll.DBRW($D$4,$E$7,$E$8,$E$9,$E$10,$E$12,$D84,$E$6,AO$18,AO$17)</f>
        <v>0.13957055520954961</v>
      </c>
      <c r="AP84" s="16"/>
      <c r="AQ84" s="16"/>
      <c r="AR84" s="16"/>
      <c r="AS84" s="16"/>
      <c r="AT84" s="16">
        <f ca="1">_xll.DBRW($D$4,$E$7,$E$8,$E$9,$E$10,$E$12,$D84,$E$6,AT$18,AT$17)</f>
        <v>2.8218919999999995E-2</v>
      </c>
      <c r="AU84" s="16">
        <f ca="1">_xll.DBRW($D$4,$E$7,$E$8,$E$9,$E$10,$E$12,$D84,$E$6,AU$18,AU$17)</f>
        <v>0.379249</v>
      </c>
      <c r="AV84" s="16">
        <f ca="1">_xll.DBRW($D$4,$E$7,$E$8,$E$9,$E$10,$E$12,$D84,$E$6,AV$18,AV$17)</f>
        <v>0.379249</v>
      </c>
      <c r="AW84" s="16">
        <f ca="1">_xll.DBRW($D$4,$E$7,$E$8,$E$9,$E$10,$E$12,$D84,$E$6,AW$18,AW$17)</f>
        <v>0.379249</v>
      </c>
      <c r="AX84" s="16">
        <f ca="1">_xll.DBRW($D$4,$E$7,$E$8,$E$9,$E$10,$E$12,$D84,$E$6,AX$18,AX$17)</f>
        <v>0.12628989999999995</v>
      </c>
      <c r="AY84" s="16">
        <f ca="1">_xll.DBRW($D$4,$E$7,$E$8,$E$9,$E$10,$E$12,$D84,$E$6,AY$18,AY$17)</f>
        <v>0.379249</v>
      </c>
      <c r="AZ84" s="16">
        <f ca="1">_xll.DBRW($D$4,$E$7,$E$8,$E$9,$E$10,$E$12,$D84,$E$6,AZ$18,AZ$17)</f>
        <v>0.32518799999999992</v>
      </c>
      <c r="BA84" s="16">
        <f ca="1">_xll.DBRW($D$4,$E$7,$E$8,$E$9,$E$10,$E$12,$D84,$E$6,BA$18,BA$17)</f>
        <v>0.379249</v>
      </c>
      <c r="BB84" s="16">
        <f ca="1">_xll.DBRW($D$4,$E$7,$E$8,$E$9,$E$10,$E$12,$D84,$E$6,BB$18,BB$17)</f>
        <v>0.379249</v>
      </c>
      <c r="BC84" s="16">
        <f ca="1">_xll.DBRW($D$4,$E$7,$E$8,$E$9,$E$10,$E$12,$D84,$E$6,BC$18,BC$17)</f>
        <v>0.379249</v>
      </c>
      <c r="BD84" s="16">
        <f ca="1">_xll.DBRW($D$4,$E$7,$E$8,$E$9,$E$10,$E$12,$D84,$E$6,BD$18,BD$17)</f>
        <v>-1.5825195527502466E-2</v>
      </c>
      <c r="BE84" s="16">
        <f ca="1">_xll.DBRW($D$4,$E$7,$E$8,$E$9,$E$10,$E$12,$D84,$E$6,BE$18,BE$17)</f>
        <v>-0.17166233333333328</v>
      </c>
      <c r="BF84" s="16">
        <f ca="1">_xll.DBRW($D$4,$E$7,$E$8,$E$9,$E$10,$E$12,$D84,$E$6,BF$18,BF$17)</f>
        <v>0</v>
      </c>
      <c r="BG84" s="26">
        <f ca="1">_xll.DBRW($D$4,$E$7,$E$8,$E$9,$E$10,$E$12,$D84,$E$6,BG$18,BG$17)</f>
        <v>0</v>
      </c>
      <c r="BH84" s="26">
        <f ca="1">_xll.DBRW($D$4,$E$7,$E$8,$E$9,$E$10,$E$12,$D84,$E$6,BH$18,BH$17)</f>
        <v>0</v>
      </c>
      <c r="BI84" s="26">
        <f ca="1">_xll.DBRW($D$4,$E$7,$E$8,$E$9,$E$10,$E$12,$D84,$E$6,BI$18,BI$17)</f>
        <v>0</v>
      </c>
      <c r="BJ84" s="26">
        <f ca="1">_xll.DBRW($D$4,$E$7,$E$8,$E$9,$E$10,$E$12,$D84,$E$6,BJ$18,BJ$17)</f>
        <v>0</v>
      </c>
      <c r="BK84" s="16">
        <f ca="1">_xll.DBRW($D$4,$E$7,$E$8,$E$9,$E$10,$E$12,$D84,$E$6,BK$18,BK$17)</f>
        <v>0.15583713780583081</v>
      </c>
      <c r="BL84" s="16">
        <f ca="1">_xll.DBRW($D$4,$E$7,$E$8,$E$9,$E$10,$E$12,$D84,$E$6,BL$18,BL$17)</f>
        <v>1.5203686007375063</v>
      </c>
      <c r="BM84" s="16">
        <f ca="1">_xll.DBRW($D$4,$E$7,$E$8,$E$9,$E$10,$E$12,$D84,$E$6,BM$18,BM$17)</f>
        <v>-0.81930291183536319</v>
      </c>
      <c r="BN84" s="16">
        <f ca="1">_xll.DBRW($D$4,$E$7,$E$8,$E$9,$E$10,$E$12,$D84,$E$6,BN$18,BN$17)</f>
        <v>0.53888439384892095</v>
      </c>
      <c r="BO84" s="16"/>
      <c r="BP84" s="16"/>
      <c r="BQ84" s="16"/>
      <c r="BR84" s="16"/>
      <c r="BS84" s="16">
        <f ca="1">_xll.DBRW($D$4,$E$7,$E$8,$E$9,$E$10,$E$12,$D84,$E$6,BS$18,BS$17)</f>
        <v>-0.19943706956933338</v>
      </c>
      <c r="BT84" s="16">
        <f ca="1">_xll.DBRW($D$4,$E$7,$E$8,$E$9,$E$10,$E$12,$D84,$E$6,BT$18,BT$17)</f>
        <v>0.13117678796614826</v>
      </c>
      <c r="BU84" s="16"/>
      <c r="BV84" s="16"/>
      <c r="BW84" s="16"/>
      <c r="BX84" s="16"/>
      <c r="BY84" s="16">
        <f ca="1">_xll.DBRW($D$4,$E$7,$E$8,$E$9,$E$10,$E$12,$D84,$E$6,BY$18,BY$17)</f>
        <v>-0.11830894008698878</v>
      </c>
      <c r="BZ84" s="16">
        <f ca="1">_xll.DBRW($D$4,$E$7,$E$8,$E$9,$E$10,$E$12,$D84,$E$6,BZ$18,BZ$17)</f>
        <v>7.7815958596881715E-2</v>
      </c>
      <c r="CA84" s="16"/>
      <c r="CB84" s="16"/>
      <c r="CC84" s="16"/>
      <c r="CD84" s="16"/>
      <c r="CE84" s="16">
        <f ca="1">_xll.DBRW($D$4,$E$7,$E$8,$E$9,$E$10,$E$12,$D84,$E$6,CE$18,CE$17)</f>
        <v>0</v>
      </c>
      <c r="CF84" s="16">
        <f ca="1">_xll.DBRW($D$4,$E$7,$E$8,$E$9,$E$10,$E$12,$D84,$E$6,CF$18,CF$17)</f>
        <v>0</v>
      </c>
      <c r="CG84" s="16"/>
      <c r="CH84" s="16"/>
      <c r="CI84" s="16"/>
      <c r="CJ84" s="16"/>
      <c r="CK84" s="16">
        <f ca="1">_xll.DBRW($D$4,$E$7,$E$8,$E$9,$E$10,$E$12,$D84,$E$6,CK$18,CK$17)</f>
        <v>-0.22748254143999011</v>
      </c>
      <c r="CL84" s="16">
        <f ca="1">_xll.DBRW($D$4,$E$7,$E$8,$E$9,$E$10,$E$12,$D84,$E$6,CL$18,CL$17)</f>
        <v>0.14962328301810626</v>
      </c>
      <c r="CM84" s="16"/>
      <c r="CN84" s="16"/>
      <c r="CO84" s="16"/>
      <c r="CP84" s="16"/>
      <c r="CQ84" s="16">
        <f ca="1">_xll.DBRW($D$4,$E$7,$E$8,$E$9,$E$10,$E$12,$D84,$E$6,CQ$18,CQ$17)</f>
        <v>3.0821320708954603E-2</v>
      </c>
      <c r="CR84" s="16">
        <f ca="1">_xll.DBRW($D$4,$E$7,$E$8,$E$9,$E$10,$E$12,$D84,$E$6,CR$18,CR$17)</f>
        <v>0.43317791600000011</v>
      </c>
      <c r="CS84" s="16">
        <f ca="1">_xll.DBRW($D$4,$E$7,$E$8,$E$9,$E$10,$E$12,$D84,$E$6,CS$18,CS$17)</f>
        <v>0.43317791600000011</v>
      </c>
      <c r="CT84" s="16">
        <f ca="1">_xll.DBRW($D$4,$E$7,$E$8,$E$9,$E$10,$E$12,$D84,$E$6,CT$18,CT$17)</f>
        <v>0.43317791600000011</v>
      </c>
      <c r="CU84" s="16">
        <f ca="1">_xll.DBRW($D$4,$E$7,$E$8,$E$9,$E$10,$E$12,$D84,$E$6,CU$18,CU$17)</f>
        <v>0.14259243110400002</v>
      </c>
      <c r="CV84" s="16">
        <f ca="1">_xll.DBRW($D$4,$E$7,$E$8,$E$9,$E$10,$E$12,$D84,$E$6,CV$18,CV$17)</f>
        <v>0.43317791600000011</v>
      </c>
      <c r="CW84" s="16">
        <f ca="1">_xll.DBRW($D$4,$E$7,$E$8,$E$9,$E$10,$E$12,$D84,$E$6,CW$18,CW$17)</f>
        <v>0.37161312899999993</v>
      </c>
      <c r="CX84" s="16">
        <f ca="1">_xll.DBRW($D$4,$E$7,$E$8,$E$9,$E$10,$E$12,$D84,$E$6,CX$18,CX$17)</f>
        <v>0.43317791600000011</v>
      </c>
      <c r="CY84" s="16">
        <f ca="1">_xll.DBRW($D$4,$E$7,$E$8,$E$9,$E$10,$E$12,$D84,$E$6,CY$18,CY$17)</f>
        <v>0.43317791600000011</v>
      </c>
      <c r="CZ84" s="16">
        <f ca="1">_xll.DBRW($D$4,$E$7,$E$8,$E$9,$E$10,$E$12,$D84,$E$6,CZ$18,CZ$17)</f>
        <v>0.43317791600000011</v>
      </c>
      <c r="DA84" s="26">
        <f t="shared" ca="1" si="89"/>
        <v>6.8280245527502531E-2</v>
      </c>
      <c r="DB84" s="26">
        <f t="shared" ca="1" si="90"/>
        <v>1.194020333333326E-2</v>
      </c>
      <c r="DC84" s="26">
        <f t="shared" ca="1" si="91"/>
        <v>0</v>
      </c>
      <c r="DD84" s="26">
        <f t="shared" ca="1" si="92"/>
        <v>0</v>
      </c>
      <c r="DE84" s="26">
        <f t="shared" ca="1" si="93"/>
        <v>0</v>
      </c>
      <c r="DF84" s="26">
        <f t="shared" ca="1" si="94"/>
        <v>0</v>
      </c>
      <c r="DG84" s="26">
        <f t="shared" ca="1" si="95"/>
        <v>0</v>
      </c>
      <c r="DH84" s="26">
        <f t="shared" ca="1" si="96"/>
        <v>5.6340042194169299E-2</v>
      </c>
      <c r="DI84" s="26">
        <f t="shared" ca="1" si="97"/>
        <v>-5.7901680737506345E-2</v>
      </c>
      <c r="DJ84" s="26">
        <f t="shared" ca="1" si="98"/>
        <v>7.1989991835363254E-2</v>
      </c>
      <c r="DK84" s="26">
        <f t="shared" ca="1" si="99"/>
        <v>-2.7889642596701236E-2</v>
      </c>
      <c r="DL84" s="26"/>
      <c r="DM84" s="26"/>
      <c r="DN84" s="26"/>
      <c r="DO84" s="26"/>
      <c r="DP84" s="26">
        <f t="shared" ca="1" si="100"/>
        <v>1.8878399569333404E-2</v>
      </c>
      <c r="DQ84" s="26">
        <f t="shared" ca="1" si="101"/>
        <v>-7.7150757518302943E-3</v>
      </c>
      <c r="DR84" s="26"/>
      <c r="DS84" s="26"/>
      <c r="DT84" s="26"/>
      <c r="DU84" s="26"/>
      <c r="DV84" s="26">
        <f t="shared" ca="1" si="102"/>
        <v>8.1100869887551497E-6</v>
      </c>
      <c r="DW84" s="26">
        <f t="shared" ca="1" si="103"/>
        <v>3.0753274774727168E-3</v>
      </c>
      <c r="DX84" s="26"/>
      <c r="DY84" s="26"/>
      <c r="DZ84" s="26"/>
      <c r="EA84" s="26"/>
      <c r="EB84" s="26">
        <f t="shared" ca="1" si="104"/>
        <v>0</v>
      </c>
      <c r="EC84" s="26">
        <f t="shared" ca="1" si="105"/>
        <v>0</v>
      </c>
      <c r="ED84" s="26"/>
      <c r="EE84" s="26"/>
      <c r="EF84" s="26"/>
      <c r="EG84" s="26"/>
      <c r="EH84" s="26">
        <f t="shared" ca="1" si="106"/>
        <v>2.3365221439990119E-2</v>
      </c>
      <c r="EI84" s="29">
        <f t="shared" ca="1" si="107"/>
        <v>-1.005272780855665E-2</v>
      </c>
      <c r="EJ84" s="29"/>
      <c r="EK84" s="29"/>
      <c r="EL84" s="29"/>
      <c r="EM84" s="29"/>
      <c r="EN84" s="93"/>
      <c r="EO84" s="29"/>
      <c r="EP84" s="29"/>
      <c r="EQ84" s="29"/>
      <c r="ER84" s="29"/>
      <c r="ES84" s="29"/>
      <c r="ET84" s="29"/>
      <c r="EU84" s="93"/>
      <c r="EV84" s="29"/>
      <c r="EW84" s="29"/>
      <c r="EX84" s="29"/>
      <c r="EY84" s="29"/>
      <c r="EZ84" s="29"/>
      <c r="FA84" s="29"/>
      <c r="FB84" s="93"/>
      <c r="FC84" s="29"/>
      <c r="FD84" s="29"/>
      <c r="FE84" s="29"/>
      <c r="FF84" s="29"/>
      <c r="FG84" s="29"/>
      <c r="FH84" s="29"/>
      <c r="FI84" s="93"/>
      <c r="FJ84" s="29"/>
      <c r="FK84" s="29"/>
      <c r="FL84" s="29"/>
      <c r="FM84" s="29"/>
      <c r="FN84" s="29"/>
      <c r="FO84" s="29"/>
      <c r="FP84" s="93"/>
      <c r="FQ84" s="29"/>
      <c r="FR84" s="29"/>
      <c r="FS84" s="29"/>
      <c r="FT84" s="29"/>
      <c r="FU84" s="29"/>
      <c r="FV84" s="29"/>
    </row>
    <row r="85" spans="1:178" x14ac:dyDescent="0.25">
      <c r="A85" t="str">
        <f ca="1">IF(_xll.TM1RPTELISCONSOLIDATED($D$28,$D85),IF(_xll.TM1RPTELLEV($D$28,$D85)&lt;=3,_xll.TM1RPTELLEV($D$28,$D85),"D"),"N")</f>
        <v>N</v>
      </c>
      <c r="B85" t="str">
        <f ca="1">_xll.DBRA(Server&amp;"Management_organization",$D85,$B$27)</f>
        <v>L</v>
      </c>
      <c r="C85">
        <v>1</v>
      </c>
      <c r="D85" s="2" t="s">
        <v>140</v>
      </c>
      <c r="E85" s="26"/>
      <c r="F85" s="26"/>
      <c r="G85" s="16">
        <f ca="1">_xll.DBRW($D$4,$E$7,$E$8,$E$9,$E$10,$E$12,$D85,$E$6,G$18,G$17)</f>
        <v>0.10579669000000005</v>
      </c>
      <c r="H85" s="16">
        <f ca="1">_xll.DBRW($D$4,$E$7,$E$8,$E$9,$E$10,$E$12,$D85,$E$6,H$18,H$17)</f>
        <v>-0.26642708000000004</v>
      </c>
      <c r="I85" s="16">
        <f ca="1">_xll.DBRW($D$4,$E$7,$E$8,$E$9,$E$10,$E$12,$D85,$E$6,I$18,I$17)</f>
        <v>0</v>
      </c>
      <c r="J85" s="26">
        <f ca="1">_xll.DBRW($D$4,$E$7,$E$8,$E$9,$E$10,$E$12,$D85,$E$6,J$18,J$17)</f>
        <v>0</v>
      </c>
      <c r="K85" s="26">
        <f ca="1">_xll.DBRW($D$4,$E$7,$E$8,$E$9,$E$10,$E$12,$D85,$E$6,K$18,K$17)</f>
        <v>0</v>
      </c>
      <c r="L85" s="26">
        <f ca="1">_xll.DBRW($D$4,$E$7,$E$8,$E$9,$E$10,$E$12,$D85,$E$6,L$18,L$17)</f>
        <v>0</v>
      </c>
      <c r="M85" s="26">
        <f ca="1">_xll.DBRW($D$4,$E$7,$E$8,$E$9,$E$10,$E$12,$D85,$E$6,M$18,M$17)</f>
        <v>0</v>
      </c>
      <c r="N85" s="16">
        <f ca="1">_xll.DBRW($D$4,$E$7,$E$8,$E$9,$E$10,$E$12,$D85,$E$6,N$18,N$17)</f>
        <v>0.37222377000000006</v>
      </c>
      <c r="O85" s="16">
        <f ca="1">_xll.DBRW($D$4,$E$7,$E$8,$E$9,$E$10,$E$12,$D85,$E$6,O$18,O$17)</f>
        <v>2.7982404400000003</v>
      </c>
      <c r="P85" s="74">
        <f ca="1">_xll.DBRW($D$4,$E$7,$E$8,$E$9,$E$10,$E$12,$D85,$E$6,P$18,P$17)</f>
        <v>-1.2614510099999998</v>
      </c>
      <c r="Q85" s="16">
        <f ca="1">_xll.DBRW($D$4,$E$7,$E$8,$E$9,$E$10,$E$12,$D85,$E$6,Q$18,Q$17)</f>
        <v>0.45080150796476937</v>
      </c>
      <c r="R85" s="16"/>
      <c r="S85" s="16"/>
      <c r="T85" s="16"/>
      <c r="U85" s="16"/>
      <c r="V85" s="16">
        <f ca="1">_xll.DBRW($D$4,$E$7,$E$8,$E$9,$E$10,$E$12,$D85,$E$6,V$18,V$17)</f>
        <v>-0.24196087000000005</v>
      </c>
      <c r="W85" s="16">
        <f ca="1">_xll.DBRW($D$4,$E$7,$E$8,$E$9,$E$10,$E$12,$D85,$E$6,W$18,W$17)</f>
        <v>8.6468934742434084E-2</v>
      </c>
      <c r="X85" s="16"/>
      <c r="Y85" s="16"/>
      <c r="Z85" s="16"/>
      <c r="AA85" s="16"/>
      <c r="AB85" s="16">
        <f ca="1">_xll.DBRW($D$4,$E$7,$E$8,$E$9,$E$10,$E$12,$D85,$E$6,AB$18,AB$17)</f>
        <v>-0.20993703</v>
      </c>
      <c r="AC85" s="16">
        <f ca="1">_xll.DBRW($D$4,$E$7,$E$8,$E$9,$E$10,$E$12,$D85,$E$6,AC$18,AC$17)</f>
        <v>7.502465728070172E-2</v>
      </c>
      <c r="AD85" s="16"/>
      <c r="AE85" s="16"/>
      <c r="AF85" s="16"/>
      <c r="AG85" s="16"/>
      <c r="AH85" s="16">
        <f ca="1">_xll.DBRW($D$4,$E$7,$E$8,$E$9,$E$10,$E$12,$D85,$E$6,AH$18,AH$17)</f>
        <v>-0.26621287000000005</v>
      </c>
      <c r="AI85" s="16">
        <f ca="1">_xll.DBRW($D$4,$E$7,$E$8,$E$9,$E$10,$E$12,$D85,$E$6,AI$18,AI$17)</f>
        <v>9.5135809701899679E-2</v>
      </c>
      <c r="AJ85" s="16"/>
      <c r="AK85" s="16"/>
      <c r="AL85" s="16"/>
      <c r="AM85" s="16"/>
      <c r="AN85" s="16">
        <f ca="1">_xll.DBRW($D$4,$E$7,$E$8,$E$9,$E$10,$E$12,$D85,$E$6,AN$18,AN$17)</f>
        <v>-0.44645488999999999</v>
      </c>
      <c r="AO85" s="16">
        <f ca="1">_xll.DBRW($D$4,$E$7,$E$8,$E$9,$E$10,$E$12,$D85,$E$6,AO$18,AO$17)</f>
        <v>0.15954843751739931</v>
      </c>
      <c r="AP85" s="16"/>
      <c r="AQ85" s="16"/>
      <c r="AR85" s="16"/>
      <c r="AS85" s="16"/>
      <c r="AT85" s="16">
        <f ca="1">_xll.DBRW($D$4,$E$7,$E$8,$E$9,$E$10,$E$12,$D85,$E$6,AT$18,AT$17)</f>
        <v>4.3857159999999999E-2</v>
      </c>
      <c r="AU85" s="16">
        <f ca="1">_xll.DBRW($D$4,$E$7,$E$8,$E$9,$E$10,$E$12,$D85,$E$6,AU$18,AU$17)</f>
        <v>0.52312842999999998</v>
      </c>
      <c r="AV85" s="16">
        <f ca="1">_xll.DBRW($D$4,$E$7,$E$8,$E$9,$E$10,$E$12,$D85,$E$6,AV$18,AV$17)</f>
        <v>0.52312842999999998</v>
      </c>
      <c r="AW85" s="16">
        <f ca="1">_xll.DBRW($D$4,$E$7,$E$8,$E$9,$E$10,$E$12,$D85,$E$6,AW$18,AW$17)</f>
        <v>0.52312842999999998</v>
      </c>
      <c r="AX85" s="16">
        <f ca="1">_xll.DBRW($D$4,$E$7,$E$8,$E$9,$E$10,$E$12,$D85,$E$6,AX$18,AX$17)</f>
        <v>0.22607605999999997</v>
      </c>
      <c r="AY85" s="16">
        <f ca="1">_xll.DBRW($D$4,$E$7,$E$8,$E$9,$E$10,$E$12,$D85,$E$6,AY$18,AY$17)</f>
        <v>0.52312842999999998</v>
      </c>
      <c r="AZ85" s="16">
        <f ca="1">_xll.DBRW($D$4,$E$7,$E$8,$E$9,$E$10,$E$12,$D85,$E$6,AZ$18,AZ$17)</f>
        <v>0.45632454</v>
      </c>
      <c r="BA85" s="16">
        <f ca="1">_xll.DBRW($D$4,$E$7,$E$8,$E$9,$E$10,$E$12,$D85,$E$6,BA$18,BA$17)</f>
        <v>0.52312842999999998</v>
      </c>
      <c r="BB85" s="16">
        <f ca="1">_xll.DBRW($D$4,$E$7,$E$8,$E$9,$E$10,$E$12,$D85,$E$6,BB$18,BB$17)</f>
        <v>0.52312842999999998</v>
      </c>
      <c r="BC85" s="16">
        <f ca="1">_xll.DBRW($D$4,$E$7,$E$8,$E$9,$E$10,$E$12,$D85,$E$6,BC$18,BC$17)</f>
        <v>0.52312842999999998</v>
      </c>
      <c r="BD85" s="16">
        <f ca="1">_xll.DBRW($D$4,$E$7,$E$8,$E$9,$E$10,$E$12,$D85,$E$6,BD$18,BD$17)</f>
        <v>7.2346645657843767E-2</v>
      </c>
      <c r="BE85" s="16">
        <f ca="1">_xll.DBRW($D$4,$E$7,$E$8,$E$9,$E$10,$E$12,$D85,$E$6,BE$18,BE$17)</f>
        <v>-0.28069476333333337</v>
      </c>
      <c r="BF85" s="16">
        <f ca="1">_xll.DBRW($D$4,$E$7,$E$8,$E$9,$E$10,$E$12,$D85,$E$6,BF$18,BF$17)</f>
        <v>0</v>
      </c>
      <c r="BG85" s="26">
        <f ca="1">_xll.DBRW($D$4,$E$7,$E$8,$E$9,$E$10,$E$12,$D85,$E$6,BG$18,BG$17)</f>
        <v>0</v>
      </c>
      <c r="BH85" s="26">
        <f ca="1">_xll.DBRW($D$4,$E$7,$E$8,$E$9,$E$10,$E$12,$D85,$E$6,BH$18,BH$17)</f>
        <v>0</v>
      </c>
      <c r="BI85" s="26">
        <f ca="1">_xll.DBRW($D$4,$E$7,$E$8,$E$9,$E$10,$E$12,$D85,$E$6,BI$18,BI$17)</f>
        <v>0</v>
      </c>
      <c r="BJ85" s="26">
        <f ca="1">_xll.DBRW($D$4,$E$7,$E$8,$E$9,$E$10,$E$12,$D85,$E$6,BJ$18,BJ$17)</f>
        <v>0</v>
      </c>
      <c r="BK85" s="16">
        <f ca="1">_xll.DBRW($D$4,$E$7,$E$8,$E$9,$E$10,$E$12,$D85,$E$6,BK$18,BK$17)</f>
        <v>0.35304140899117714</v>
      </c>
      <c r="BL85" s="16">
        <f ca="1">_xll.DBRW($D$4,$E$7,$E$8,$E$9,$E$10,$E$12,$D85,$E$6,BL$18,BL$17)</f>
        <v>3.0137791725871024</v>
      </c>
      <c r="BM85" s="16">
        <f ca="1">_xll.DBRW($D$4,$E$7,$E$8,$E$9,$E$10,$E$12,$D85,$E$6,BM$18,BM$17)</f>
        <v>-1.3934204212182</v>
      </c>
      <c r="BN85" s="16">
        <f ca="1">_xll.DBRW($D$4,$E$7,$E$8,$E$9,$E$10,$E$12,$D85,$E$6,BN$18,BN$17)</f>
        <v>0.46234987416880102</v>
      </c>
      <c r="BO85" s="16"/>
      <c r="BP85" s="16"/>
      <c r="BQ85" s="16"/>
      <c r="BR85" s="16"/>
      <c r="BS85" s="16">
        <f ca="1">_xll.DBRW($D$4,$E$7,$E$8,$E$9,$E$10,$E$12,$D85,$E$6,BS$18,BS$17)</f>
        <v>-0.27226880818449933</v>
      </c>
      <c r="BT85" s="16">
        <f ca="1">_xll.DBRW($D$4,$E$7,$E$8,$E$9,$E$10,$E$12,$D85,$E$6,BT$18,BT$17)</f>
        <v>9.0341326485038079E-2</v>
      </c>
      <c r="BU85" s="16"/>
      <c r="BV85" s="16"/>
      <c r="BW85" s="16"/>
      <c r="BX85" s="16"/>
      <c r="BY85" s="16">
        <f ca="1">_xll.DBRW($D$4,$E$7,$E$8,$E$9,$E$10,$E$12,$D85,$E$6,BY$18,BY$17)</f>
        <v>-0.19974836710484997</v>
      </c>
      <c r="BZ85" s="16">
        <f ca="1">_xll.DBRW($D$4,$E$7,$E$8,$E$9,$E$10,$E$12,$D85,$E$6,BZ$18,BZ$17)</f>
        <v>6.6278368674696581E-2</v>
      </c>
      <c r="CA85" s="16"/>
      <c r="CB85" s="16"/>
      <c r="CC85" s="16"/>
      <c r="CD85" s="16"/>
      <c r="CE85" s="16">
        <f ca="1">_xll.DBRW($D$4,$E$7,$E$8,$E$9,$E$10,$E$12,$D85,$E$6,CE$18,CE$17)</f>
        <v>-0.23097244000000008</v>
      </c>
      <c r="CF85" s="16">
        <f ca="1">_xll.DBRW($D$4,$E$7,$E$8,$E$9,$E$10,$E$12,$D85,$E$6,CF$18,CF$17)</f>
        <v>7.663880688435698E-2</v>
      </c>
      <c r="CG85" s="16"/>
      <c r="CH85" s="16"/>
      <c r="CI85" s="16"/>
      <c r="CJ85" s="16"/>
      <c r="CK85" s="16">
        <f ca="1">_xll.DBRW($D$4,$E$7,$E$8,$E$9,$E$10,$E$12,$D85,$E$6,CK$18,CK$17)</f>
        <v>-0.56432772708837597</v>
      </c>
      <c r="CL85" s="16">
        <f ca="1">_xll.DBRW($D$4,$E$7,$E$8,$E$9,$E$10,$E$12,$D85,$E$6,CL$18,CL$17)</f>
        <v>0.18724919603314635</v>
      </c>
      <c r="CM85" s="16"/>
      <c r="CN85" s="16"/>
      <c r="CO85" s="16"/>
      <c r="CP85" s="16"/>
      <c r="CQ85" s="16">
        <f ca="1">_xll.DBRW($D$4,$E$7,$E$8,$E$9,$E$10,$E$12,$D85,$E$6,CQ$18,CQ$17)</f>
        <v>4.7131999999999993E-2</v>
      </c>
      <c r="CR85" s="16">
        <f ca="1">_xll.DBRW($D$4,$E$7,$E$8,$E$9,$E$10,$E$12,$D85,$E$6,CR$18,CR$17)</f>
        <v>0.56914349999999991</v>
      </c>
      <c r="CS85" s="16">
        <f ca="1">_xll.DBRW($D$4,$E$7,$E$8,$E$9,$E$10,$E$12,$D85,$E$6,CS$18,CS$17)</f>
        <v>0.56914349999999991</v>
      </c>
      <c r="CT85" s="16">
        <f ca="1">_xll.DBRW($D$4,$E$7,$E$8,$E$9,$E$10,$E$12,$D85,$E$6,CT$18,CT$17)</f>
        <v>0.56914349999999991</v>
      </c>
      <c r="CU85" s="16">
        <f ca="1">_xll.DBRW($D$4,$E$7,$E$8,$E$9,$E$10,$E$12,$D85,$E$6,CU$18,CU$17)</f>
        <v>0.24074770050000002</v>
      </c>
      <c r="CV85" s="16">
        <f ca="1">_xll.DBRW($D$4,$E$7,$E$8,$E$9,$E$10,$E$12,$D85,$E$6,CV$18,CV$17)</f>
        <v>0.56914349999999991</v>
      </c>
      <c r="CW85" s="16">
        <f ca="1">_xll.DBRW($D$4,$E$7,$E$8,$E$9,$E$10,$E$12,$D85,$E$6,CW$18,CW$17)</f>
        <v>0.48699999999999988</v>
      </c>
      <c r="CX85" s="16">
        <f ca="1">_xll.DBRW($D$4,$E$7,$E$8,$E$9,$E$10,$E$12,$D85,$E$6,CX$18,CX$17)</f>
        <v>0.56914349999999991</v>
      </c>
      <c r="CY85" s="16">
        <f ca="1">_xll.DBRW($D$4,$E$7,$E$8,$E$9,$E$10,$E$12,$D85,$E$6,CY$18,CY$17)</f>
        <v>0.56914349999999991</v>
      </c>
      <c r="CZ85" s="16">
        <f ca="1">_xll.DBRW($D$4,$E$7,$E$8,$E$9,$E$10,$E$12,$D85,$E$6,CZ$18,CZ$17)</f>
        <v>0.56914349999999991</v>
      </c>
      <c r="DA85" s="26">
        <f t="shared" ca="1" si="89"/>
        <v>3.3450044342156288E-2</v>
      </c>
      <c r="DB85" s="26">
        <f t="shared" ca="1" si="90"/>
        <v>1.4267683333333336E-2</v>
      </c>
      <c r="DC85" s="26">
        <f t="shared" ca="1" si="91"/>
        <v>0</v>
      </c>
      <c r="DD85" s="26">
        <f t="shared" ca="1" si="92"/>
        <v>0</v>
      </c>
      <c r="DE85" s="26">
        <f t="shared" ca="1" si="93"/>
        <v>0</v>
      </c>
      <c r="DF85" s="26">
        <f t="shared" ca="1" si="94"/>
        <v>0</v>
      </c>
      <c r="DG85" s="26">
        <f t="shared" ca="1" si="95"/>
        <v>0</v>
      </c>
      <c r="DH85" s="26">
        <f t="shared" ca="1" si="96"/>
        <v>1.9182361008822923E-2</v>
      </c>
      <c r="DI85" s="26">
        <f t="shared" ca="1" si="97"/>
        <v>-0.2155387325871021</v>
      </c>
      <c r="DJ85" s="26">
        <f t="shared" ca="1" si="98"/>
        <v>0.13196941121820016</v>
      </c>
      <c r="DK85" s="26">
        <f t="shared" ca="1" si="99"/>
        <v>-1.1548366204031657E-2</v>
      </c>
      <c r="DL85" s="26"/>
      <c r="DM85" s="26"/>
      <c r="DN85" s="26"/>
      <c r="DO85" s="26"/>
      <c r="DP85" s="26">
        <f t="shared" ca="1" si="100"/>
        <v>3.0307938184499283E-2</v>
      </c>
      <c r="DQ85" s="26">
        <f t="shared" ca="1" si="101"/>
        <v>-3.872391742603995E-3</v>
      </c>
      <c r="DR85" s="26"/>
      <c r="DS85" s="26"/>
      <c r="DT85" s="26"/>
      <c r="DU85" s="26"/>
      <c r="DV85" s="26">
        <f t="shared" ca="1" si="102"/>
        <v>-1.0188662895150025E-2</v>
      </c>
      <c r="DW85" s="26">
        <f t="shared" ca="1" si="103"/>
        <v>8.7462886060051398E-3</v>
      </c>
      <c r="DX85" s="26"/>
      <c r="DY85" s="26"/>
      <c r="DZ85" s="26"/>
      <c r="EA85" s="26"/>
      <c r="EB85" s="26">
        <f t="shared" ca="1" si="104"/>
        <v>-3.5240429999999962E-2</v>
      </c>
      <c r="EC85" s="26">
        <f t="shared" ca="1" si="105"/>
        <v>1.8497002817542699E-2</v>
      </c>
      <c r="ED85" s="26"/>
      <c r="EE85" s="26"/>
      <c r="EF85" s="26"/>
      <c r="EG85" s="26"/>
      <c r="EH85" s="26">
        <f t="shared" ca="1" si="106"/>
        <v>0.11787283708837598</v>
      </c>
      <c r="EI85" s="29">
        <f t="shared" ca="1" si="107"/>
        <v>-2.7700758515747048E-2</v>
      </c>
      <c r="EJ85" s="29"/>
      <c r="EK85" s="29"/>
      <c r="EL85" s="29"/>
      <c r="EM85" s="29"/>
      <c r="EN85" s="93"/>
      <c r="EO85" s="29"/>
      <c r="EP85" s="29"/>
      <c r="EQ85" s="29"/>
      <c r="ER85" s="29"/>
      <c r="ES85" s="29"/>
      <c r="ET85" s="29"/>
      <c r="EU85" s="93"/>
      <c r="EV85" s="29"/>
      <c r="EW85" s="29"/>
      <c r="EX85" s="29"/>
      <c r="EY85" s="29"/>
      <c r="EZ85" s="29"/>
      <c r="FA85" s="29"/>
      <c r="FB85" s="93"/>
      <c r="FC85" s="29"/>
      <c r="FD85" s="29"/>
      <c r="FE85" s="29"/>
      <c r="FF85" s="29"/>
      <c r="FG85" s="29"/>
      <c r="FH85" s="29"/>
      <c r="FI85" s="93"/>
      <c r="FJ85" s="29"/>
      <c r="FK85" s="29"/>
      <c r="FL85" s="29"/>
      <c r="FM85" s="29"/>
      <c r="FN85" s="29"/>
      <c r="FO85" s="29"/>
      <c r="FP85" s="93"/>
      <c r="FQ85" s="29"/>
      <c r="FR85" s="29"/>
      <c r="FS85" s="29"/>
      <c r="FT85" s="29"/>
      <c r="FU85" s="29"/>
      <c r="FV85" s="29"/>
    </row>
    <row r="86" spans="1:178" x14ac:dyDescent="0.25">
      <c r="A86" t="str">
        <f ca="1">IF(_xll.TM1RPTELISCONSOLIDATED($D$28,$D86),IF(_xll.TM1RPTELLEV($D$28,$D86)&lt;=3,_xll.TM1RPTELLEV($D$28,$D86),"D"),"N")</f>
        <v>N</v>
      </c>
      <c r="B86" t="str">
        <f ca="1">_xll.DBRA(Server&amp;"Management_organization",$D86,$B$27)</f>
        <v>L</v>
      </c>
      <c r="C86">
        <v>1</v>
      </c>
      <c r="D86" s="2" t="s">
        <v>141</v>
      </c>
      <c r="E86" s="26"/>
      <c r="F86" s="26"/>
      <c r="G86" s="16">
        <f ca="1">_xll.DBRW($D$4,$E$7,$E$8,$E$9,$E$10,$E$12,$D86,$E$6,G$18,G$17)</f>
        <v>0.29268131999999669</v>
      </c>
      <c r="H86" s="16">
        <f ca="1">_xll.DBRW($D$4,$E$7,$E$8,$E$9,$E$10,$E$12,$D86,$E$6,H$18,H$17)</f>
        <v>-0.6684589299999999</v>
      </c>
      <c r="I86" s="16">
        <f ca="1">_xll.DBRW($D$4,$E$7,$E$8,$E$9,$E$10,$E$12,$D86,$E$6,I$18,I$17)</f>
        <v>0</v>
      </c>
      <c r="J86" s="26">
        <f ca="1">_xll.DBRW($D$4,$E$7,$E$8,$E$9,$E$10,$E$12,$D86,$E$6,J$18,J$17)</f>
        <v>0</v>
      </c>
      <c r="K86" s="26">
        <f ca="1">_xll.DBRW($D$4,$E$7,$E$8,$E$9,$E$10,$E$12,$D86,$E$6,K$18,K$17)</f>
        <v>0</v>
      </c>
      <c r="L86" s="26">
        <f ca="1">_xll.DBRW($D$4,$E$7,$E$8,$E$9,$E$10,$E$12,$D86,$E$6,L$18,L$17)</f>
        <v>0</v>
      </c>
      <c r="M86" s="26">
        <f ca="1">_xll.DBRW($D$4,$E$7,$E$8,$E$9,$E$10,$E$12,$D86,$E$6,M$18,M$17)</f>
        <v>0</v>
      </c>
      <c r="N86" s="16">
        <f ca="1">_xll.DBRW($D$4,$E$7,$E$8,$E$9,$E$10,$E$12,$D86,$E$6,N$18,N$17)</f>
        <v>0.9611402499999967</v>
      </c>
      <c r="O86" s="16">
        <f ca="1">_xll.DBRW($D$4,$E$7,$E$8,$E$9,$E$10,$E$12,$D86,$E$6,O$18,O$17)</f>
        <v>7.8552198399999984</v>
      </c>
      <c r="P86" s="74">
        <f ca="1">_xll.DBRW($D$4,$E$7,$E$8,$E$9,$E$10,$E$12,$D86,$E$6,P$18,P$17)</f>
        <v>-2.8225982900000002</v>
      </c>
      <c r="Q86" s="16">
        <f ca="1">_xll.DBRW($D$4,$E$7,$E$8,$E$9,$E$10,$E$12,$D86,$E$6,Q$18,Q$17)</f>
        <v>0.35932772697549364</v>
      </c>
      <c r="R86" s="16"/>
      <c r="S86" s="16"/>
      <c r="T86" s="16"/>
      <c r="U86" s="16"/>
      <c r="V86" s="16">
        <f ca="1">_xll.DBRW($D$4,$E$7,$E$8,$E$9,$E$10,$E$12,$D86,$E$6,V$18,V$17)</f>
        <v>-0.6900928300000001</v>
      </c>
      <c r="W86" s="16">
        <f ca="1">_xll.DBRW($D$4,$E$7,$E$8,$E$9,$E$10,$E$12,$D86,$E$6,W$18,W$17)</f>
        <v>8.7851497991939115E-2</v>
      </c>
      <c r="X86" s="16"/>
      <c r="Y86" s="16"/>
      <c r="Z86" s="16"/>
      <c r="AA86" s="16"/>
      <c r="AB86" s="16">
        <f ca="1">_xll.DBRW($D$4,$E$7,$E$8,$E$9,$E$10,$E$12,$D86,$E$6,AB$18,AB$17)</f>
        <v>-0.92609849999999994</v>
      </c>
      <c r="AC86" s="16">
        <f ca="1">_xll.DBRW($D$4,$E$7,$E$8,$E$9,$E$10,$E$12,$D86,$E$6,AC$18,AC$17)</f>
        <v>0.11789593656999421</v>
      </c>
      <c r="AD86" s="16"/>
      <c r="AE86" s="16"/>
      <c r="AF86" s="16"/>
      <c r="AG86" s="16"/>
      <c r="AH86" s="16">
        <f ca="1">_xll.DBRW($D$4,$E$7,$E$8,$E$9,$E$10,$E$12,$D86,$E$6,AH$18,AH$17)</f>
        <v>-0.93694077999999992</v>
      </c>
      <c r="AI86" s="16">
        <f ca="1">_xll.DBRW($D$4,$E$7,$E$8,$E$9,$E$10,$E$12,$D86,$E$6,AI$18,AI$17)</f>
        <v>0.1192762009318889</v>
      </c>
      <c r="AJ86" s="16"/>
      <c r="AK86" s="16"/>
      <c r="AL86" s="16"/>
      <c r="AM86" s="16"/>
      <c r="AN86" s="16">
        <f ca="1">_xll.DBRW($D$4,$E$7,$E$8,$E$9,$E$10,$E$12,$D86,$E$6,AN$18,AN$17)</f>
        <v>-1.5183491899999999</v>
      </c>
      <c r="AO86" s="16">
        <f ca="1">_xll.DBRW($D$4,$E$7,$E$8,$E$9,$E$10,$E$12,$D86,$E$6,AO$18,AO$17)</f>
        <v>0.1932917500625928</v>
      </c>
      <c r="AP86" s="16"/>
      <c r="AQ86" s="16"/>
      <c r="AR86" s="16"/>
      <c r="AS86" s="16"/>
      <c r="AT86" s="16">
        <f ca="1">_xll.DBRW($D$4,$E$7,$E$8,$E$9,$E$10,$E$12,$D86,$E$6,AT$18,AT$17)</f>
        <v>0.12492088999999999</v>
      </c>
      <c r="AU86" s="16">
        <f ca="1">_xll.DBRW($D$4,$E$7,$E$8,$E$9,$E$10,$E$12,$D86,$E$6,AU$18,AU$17)</f>
        <v>2.8721759999999996</v>
      </c>
      <c r="AV86" s="16">
        <f ca="1">_xll.DBRW($D$4,$E$7,$E$8,$E$9,$E$10,$E$12,$D86,$E$6,AV$18,AV$17)</f>
        <v>2.8721759999999996</v>
      </c>
      <c r="AW86" s="16">
        <f ca="1">_xll.DBRW($D$4,$E$7,$E$8,$E$9,$E$10,$E$12,$D86,$E$6,AW$18,AW$17)</f>
        <v>2.8721759999999996</v>
      </c>
      <c r="AX86" s="16">
        <f ca="1">_xll.DBRW($D$4,$E$7,$E$8,$E$9,$E$10,$E$12,$D86,$E$6,AX$18,AX$17)</f>
        <v>0.99341562999999988</v>
      </c>
      <c r="AY86" s="16">
        <f ca="1">_xll.DBRW($D$4,$E$7,$E$8,$E$9,$E$10,$E$12,$D86,$E$6,AY$18,AY$17)</f>
        <v>2.8721759999999996</v>
      </c>
      <c r="AZ86" s="16">
        <f ca="1">_xll.DBRW($D$4,$E$7,$E$8,$E$9,$E$10,$E$12,$D86,$E$6,AZ$18,AZ$17)</f>
        <v>1.7008923</v>
      </c>
      <c r="BA86" s="16">
        <f ca="1">_xll.DBRW($D$4,$E$7,$E$8,$E$9,$E$10,$E$12,$D86,$E$6,BA$18,BA$17)</f>
        <v>2.8721759999999996</v>
      </c>
      <c r="BB86" s="16">
        <f ca="1">_xll.DBRW($D$4,$E$7,$E$8,$E$9,$E$10,$E$12,$D86,$E$6,BB$18,BB$17)</f>
        <v>2.8721759999999996</v>
      </c>
      <c r="BC86" s="16">
        <f ca="1">_xll.DBRW($D$4,$E$7,$E$8,$E$9,$E$10,$E$12,$D86,$E$6,BC$18,BC$17)</f>
        <v>2.8721759999999996</v>
      </c>
      <c r="BD86" s="16">
        <f ca="1">_xll.DBRW($D$4,$E$7,$E$8,$E$9,$E$10,$E$12,$D86,$E$6,BD$18,BD$17)</f>
        <v>0.534343678981123</v>
      </c>
      <c r="BE86" s="16">
        <f ca="1">_xll.DBRW($D$4,$E$7,$E$8,$E$9,$E$10,$E$12,$D86,$E$6,BE$18,BE$17)</f>
        <v>-0.70389164423759487</v>
      </c>
      <c r="BF86" s="16">
        <f ca="1">_xll.DBRW($D$4,$E$7,$E$8,$E$9,$E$10,$E$12,$D86,$E$6,BF$18,BF$17)</f>
        <v>0</v>
      </c>
      <c r="BG86" s="26">
        <f ca="1">_xll.DBRW($D$4,$E$7,$E$8,$E$9,$E$10,$E$12,$D86,$E$6,BG$18,BG$17)</f>
        <v>0</v>
      </c>
      <c r="BH86" s="26">
        <f ca="1">_xll.DBRW($D$4,$E$7,$E$8,$E$9,$E$10,$E$12,$D86,$E$6,BH$18,BH$17)</f>
        <v>0</v>
      </c>
      <c r="BI86" s="26">
        <f ca="1">_xll.DBRW($D$4,$E$7,$E$8,$E$9,$E$10,$E$12,$D86,$E$6,BI$18,BI$17)</f>
        <v>0</v>
      </c>
      <c r="BJ86" s="26">
        <f ca="1">_xll.DBRW($D$4,$E$7,$E$8,$E$9,$E$10,$E$12,$D86,$E$6,BJ$18,BJ$17)</f>
        <v>0</v>
      </c>
      <c r="BK86" s="16">
        <f ca="1">_xll.DBRW($D$4,$E$7,$E$8,$E$9,$E$10,$E$12,$D86,$E$6,BK$18,BK$17)</f>
        <v>1.2382353232187178</v>
      </c>
      <c r="BL86" s="16">
        <f ca="1">_xll.DBRW($D$4,$E$7,$E$8,$E$9,$E$10,$E$12,$D86,$E$6,BL$18,BL$17)</f>
        <v>8.9832576677983305</v>
      </c>
      <c r="BM86" s="16">
        <f ca="1">_xll.DBRW($D$4,$E$7,$E$8,$E$9,$E$10,$E$12,$D86,$E$6,BM$18,BM$17)</f>
        <v>-3.3950165367907337</v>
      </c>
      <c r="BN86" s="16">
        <f ca="1">_xll.DBRW($D$4,$E$7,$E$8,$E$9,$E$10,$E$12,$D86,$E$6,BN$18,BN$17)</f>
        <v>0.37792710198668988</v>
      </c>
      <c r="BO86" s="16"/>
      <c r="BP86" s="16"/>
      <c r="BQ86" s="16"/>
      <c r="BR86" s="16"/>
      <c r="BS86" s="16">
        <f ca="1">_xll.DBRW($D$4,$E$7,$E$8,$E$9,$E$10,$E$12,$D86,$E$6,BS$18,BS$17)</f>
        <v>-0.71999713008114141</v>
      </c>
      <c r="BT86" s="16">
        <f ca="1">_xll.DBRW($D$4,$E$7,$E$8,$E$9,$E$10,$E$12,$D86,$E$6,BT$18,BT$17)</f>
        <v>8.014877861759058E-2</v>
      </c>
      <c r="BU86" s="16"/>
      <c r="BV86" s="16"/>
      <c r="BW86" s="16"/>
      <c r="BX86" s="16"/>
      <c r="BY86" s="16">
        <f ca="1">_xll.DBRW($D$4,$E$7,$E$8,$E$9,$E$10,$E$12,$D86,$E$6,BY$18,BY$17)</f>
        <v>-0.92422803894620409</v>
      </c>
      <c r="BZ86" s="16">
        <f ca="1">_xll.DBRW($D$4,$E$7,$E$8,$E$9,$E$10,$E$12,$D86,$E$6,BZ$18,BZ$17)</f>
        <v>0.10288339410091966</v>
      </c>
      <c r="CA86" s="16"/>
      <c r="CB86" s="16"/>
      <c r="CC86" s="16"/>
      <c r="CD86" s="16"/>
      <c r="CE86" s="16">
        <f ca="1">_xll.DBRW($D$4,$E$7,$E$8,$E$9,$E$10,$E$12,$D86,$E$6,CE$18,CE$17)</f>
        <v>-0.9895076881164685</v>
      </c>
      <c r="CF86" s="16">
        <f ca="1">_xll.DBRW($D$4,$E$7,$E$8,$E$9,$E$10,$E$12,$D86,$E$6,CF$18,CF$17)</f>
        <v>0.11015020660750821</v>
      </c>
      <c r="CG86" s="16"/>
      <c r="CH86" s="16"/>
      <c r="CI86" s="16"/>
      <c r="CJ86" s="16"/>
      <c r="CK86" s="16">
        <f ca="1">_xll.DBRW($D$4,$E$7,$E$8,$E$9,$E$10,$E$12,$D86,$E$6,CK$18,CK$17)</f>
        <v>-1.7162729506450649</v>
      </c>
      <c r="CL86" s="16">
        <f ca="1">_xll.DBRW($D$4,$E$7,$E$8,$E$9,$E$10,$E$12,$D86,$E$6,CL$18,CL$17)</f>
        <v>0.19105240149097261</v>
      </c>
      <c r="CM86" s="16"/>
      <c r="CN86" s="16"/>
      <c r="CO86" s="16"/>
      <c r="CP86" s="16"/>
      <c r="CQ86" s="16">
        <f ca="1">_xll.DBRW($D$4,$E$7,$E$8,$E$9,$E$10,$E$12,$D86,$E$6,CQ$18,CQ$17)</f>
        <v>0.153123019947386</v>
      </c>
      <c r="CR86" s="16">
        <f ca="1">_xll.DBRW($D$4,$E$7,$E$8,$E$9,$E$10,$E$12,$D86,$E$6,CR$18,CR$17)</f>
        <v>3.3033409140000001</v>
      </c>
      <c r="CS86" s="16">
        <f ca="1">_xll.DBRW($D$4,$E$7,$E$8,$E$9,$E$10,$E$12,$D86,$E$6,CS$18,CS$17)</f>
        <v>3.3033409140000001</v>
      </c>
      <c r="CT86" s="16">
        <f ca="1">_xll.DBRW($D$4,$E$7,$E$8,$E$9,$E$10,$E$12,$D86,$E$6,CT$18,CT$17)</f>
        <v>3.3033409140000001</v>
      </c>
      <c r="CU86" s="16">
        <f ca="1">_xll.DBRW($D$4,$E$7,$E$8,$E$9,$E$10,$E$12,$D86,$E$6,CU$18,CU$17)</f>
        <v>1.0952486767876</v>
      </c>
      <c r="CV86" s="16">
        <f ca="1">_xll.DBRW($D$4,$E$7,$E$8,$E$9,$E$10,$E$12,$D86,$E$6,CV$18,CV$17)</f>
        <v>3.3033409140000001</v>
      </c>
      <c r="CW86" s="16">
        <f ca="1">_xll.DBRW($D$4,$E$7,$E$8,$E$9,$E$10,$E$12,$D86,$E$6,CW$18,CW$17)</f>
        <v>1.9283792340000001</v>
      </c>
      <c r="CX86" s="16">
        <f ca="1">_xll.DBRW($D$4,$E$7,$E$8,$E$9,$E$10,$E$12,$D86,$E$6,CX$18,CX$17)</f>
        <v>3.3033409140000001</v>
      </c>
      <c r="CY86" s="16">
        <f ca="1">_xll.DBRW($D$4,$E$7,$E$8,$E$9,$E$10,$E$12,$D86,$E$6,CY$18,CY$17)</f>
        <v>3.3033409140000001</v>
      </c>
      <c r="CZ86" s="16">
        <f ca="1">_xll.DBRW($D$4,$E$7,$E$8,$E$9,$E$10,$E$12,$D86,$E$6,CZ$18,CZ$17)</f>
        <v>3.3033409140000001</v>
      </c>
      <c r="DA86" s="26">
        <f t="shared" ca="1" si="89"/>
        <v>-0.24166235898112631</v>
      </c>
      <c r="DB86" s="26">
        <f t="shared" ca="1" si="90"/>
        <v>3.5432714237594976E-2</v>
      </c>
      <c r="DC86" s="26">
        <f t="shared" ca="1" si="91"/>
        <v>0</v>
      </c>
      <c r="DD86" s="26">
        <f t="shared" ca="1" si="92"/>
        <v>0</v>
      </c>
      <c r="DE86" s="26">
        <f t="shared" ca="1" si="93"/>
        <v>0</v>
      </c>
      <c r="DF86" s="26">
        <f t="shared" ca="1" si="94"/>
        <v>0</v>
      </c>
      <c r="DG86" s="26">
        <f t="shared" ca="1" si="95"/>
        <v>0</v>
      </c>
      <c r="DH86" s="26">
        <f t="shared" ca="1" si="96"/>
        <v>-0.27709507321872107</v>
      </c>
      <c r="DI86" s="26">
        <f t="shared" ca="1" si="97"/>
        <v>-1.1280378277983321</v>
      </c>
      <c r="DJ86" s="26">
        <f t="shared" ca="1" si="98"/>
        <v>0.5724182467907335</v>
      </c>
      <c r="DK86" s="26">
        <f t="shared" ca="1" si="99"/>
        <v>-1.859937501119624E-2</v>
      </c>
      <c r="DL86" s="26"/>
      <c r="DM86" s="26"/>
      <c r="DN86" s="26"/>
      <c r="DO86" s="26"/>
      <c r="DP86" s="26">
        <f t="shared" ca="1" si="100"/>
        <v>2.9904300081141311E-2</v>
      </c>
      <c r="DQ86" s="26">
        <f t="shared" ca="1" si="101"/>
        <v>7.702719374348535E-3</v>
      </c>
      <c r="DR86" s="26"/>
      <c r="DS86" s="26"/>
      <c r="DT86" s="26"/>
      <c r="DU86" s="26"/>
      <c r="DV86" s="26">
        <f t="shared" ca="1" si="102"/>
        <v>-1.8704610537958466E-3</v>
      </c>
      <c r="DW86" s="26">
        <f t="shared" ca="1" si="103"/>
        <v>1.5012542469074547E-2</v>
      </c>
      <c r="DX86" s="26"/>
      <c r="DY86" s="26"/>
      <c r="DZ86" s="26"/>
      <c r="EA86" s="26"/>
      <c r="EB86" s="26">
        <f t="shared" ca="1" si="104"/>
        <v>5.256690811646858E-2</v>
      </c>
      <c r="EC86" s="26">
        <f t="shared" ca="1" si="105"/>
        <v>9.1259943243806874E-3</v>
      </c>
      <c r="ED86" s="26"/>
      <c r="EE86" s="26"/>
      <c r="EF86" s="26"/>
      <c r="EG86" s="26"/>
      <c r="EH86" s="26">
        <f t="shared" ca="1" si="106"/>
        <v>0.19792376064506501</v>
      </c>
      <c r="EI86" s="29">
        <f t="shared" ca="1" si="107"/>
        <v>2.2393485716201977E-3</v>
      </c>
      <c r="EJ86" s="29"/>
      <c r="EK86" s="29"/>
      <c r="EL86" s="29"/>
      <c r="EM86" s="29"/>
      <c r="EN86" s="93"/>
      <c r="EO86" s="29"/>
      <c r="EP86" s="29"/>
      <c r="EQ86" s="29"/>
      <c r="ER86" s="29"/>
      <c r="ES86" s="29"/>
      <c r="ET86" s="29"/>
      <c r="EU86" s="93"/>
      <c r="EV86" s="29"/>
      <c r="EW86" s="29"/>
      <c r="EX86" s="29"/>
      <c r="EY86" s="29"/>
      <c r="EZ86" s="29"/>
      <c r="FA86" s="29"/>
      <c r="FB86" s="93"/>
      <c r="FC86" s="29"/>
      <c r="FD86" s="29"/>
      <c r="FE86" s="29"/>
      <c r="FF86" s="29"/>
      <c r="FG86" s="29"/>
      <c r="FH86" s="29"/>
      <c r="FI86" s="93"/>
      <c r="FJ86" s="29"/>
      <c r="FK86" s="29"/>
      <c r="FL86" s="29"/>
      <c r="FM86" s="29"/>
      <c r="FN86" s="29"/>
      <c r="FO86" s="29"/>
      <c r="FP86" s="93"/>
      <c r="FQ86" s="29"/>
      <c r="FR86" s="29"/>
      <c r="FS86" s="29"/>
      <c r="FT86" s="29"/>
      <c r="FU86" s="29"/>
      <c r="FV86" s="29"/>
    </row>
    <row r="87" spans="1:178" x14ac:dyDescent="0.25">
      <c r="A87" t="str">
        <f ca="1">IF(_xll.TM1RPTELISCONSOLIDATED($D$28,$D87),IF(_xll.TM1RPTELLEV($D$28,$D87)&lt;=3,_xll.TM1RPTELLEV($D$28,$D87),"D"),"N")</f>
        <v>N</v>
      </c>
      <c r="B87" t="str">
        <f ca="1">_xll.DBRA(Server&amp;"Management_organization",$D87,$B$27)</f>
        <v>L</v>
      </c>
      <c r="C87">
        <v>1</v>
      </c>
      <c r="D87" s="2" t="s">
        <v>142</v>
      </c>
      <c r="E87" s="26"/>
      <c r="F87" s="26"/>
      <c r="G87" s="16">
        <f ca="1">_xll.DBRW($D$4,$E$7,$E$8,$E$9,$E$10,$E$12,$D87,$E$6,G$18,G$17)</f>
        <v>0.73228011000000115</v>
      </c>
      <c r="H87" s="16">
        <f ca="1">_xll.DBRW($D$4,$E$7,$E$8,$E$9,$E$10,$E$12,$D87,$E$6,H$18,H$17)</f>
        <v>-0.38296260999999998</v>
      </c>
      <c r="I87" s="16">
        <f ca="1">_xll.DBRW($D$4,$E$7,$E$8,$E$9,$E$10,$E$12,$D87,$E$6,I$18,I$17)</f>
        <v>0</v>
      </c>
      <c r="J87" s="26">
        <f ca="1">_xll.DBRW($D$4,$E$7,$E$8,$E$9,$E$10,$E$12,$D87,$E$6,J$18,J$17)</f>
        <v>0</v>
      </c>
      <c r="K87" s="26">
        <f ca="1">_xll.DBRW($D$4,$E$7,$E$8,$E$9,$E$10,$E$12,$D87,$E$6,K$18,K$17)</f>
        <v>0</v>
      </c>
      <c r="L87" s="26">
        <f ca="1">_xll.DBRW($D$4,$E$7,$E$8,$E$9,$E$10,$E$12,$D87,$E$6,L$18,L$17)</f>
        <v>0</v>
      </c>
      <c r="M87" s="26">
        <f ca="1">_xll.DBRW($D$4,$E$7,$E$8,$E$9,$E$10,$E$12,$D87,$E$6,M$18,M$17)</f>
        <v>0</v>
      </c>
      <c r="N87" s="16">
        <f ca="1">_xll.DBRW($D$4,$E$7,$E$8,$E$9,$E$10,$E$12,$D87,$E$6,N$18,N$17)</f>
        <v>1.1152427200000012</v>
      </c>
      <c r="O87" s="16">
        <f ca="1">_xll.DBRW($D$4,$E$7,$E$8,$E$9,$E$10,$E$12,$D87,$E$6,O$18,O$17)</f>
        <v>7.2780987700000006</v>
      </c>
      <c r="P87" s="74">
        <f ca="1">_xll.DBRW($D$4,$E$7,$E$8,$E$9,$E$10,$E$12,$D87,$E$6,P$18,P$17)</f>
        <v>-2.7862384099999997</v>
      </c>
      <c r="Q87" s="16">
        <f ca="1">_xll.DBRW($D$4,$E$7,$E$8,$E$9,$E$10,$E$12,$D87,$E$6,Q$18,Q$17)</f>
        <v>0.38282503412632302</v>
      </c>
      <c r="R87" s="16"/>
      <c r="S87" s="16"/>
      <c r="T87" s="16"/>
      <c r="U87" s="16"/>
      <c r="V87" s="16">
        <f ca="1">_xll.DBRW($D$4,$E$7,$E$8,$E$9,$E$10,$E$12,$D87,$E$6,V$18,V$17)</f>
        <v>-0.57744200000000001</v>
      </c>
      <c r="W87" s="16">
        <f ca="1">_xll.DBRW($D$4,$E$7,$E$8,$E$9,$E$10,$E$12,$D87,$E$6,W$18,W$17)</f>
        <v>7.9339676232505971E-2</v>
      </c>
      <c r="X87" s="16"/>
      <c r="Y87" s="16"/>
      <c r="Z87" s="16"/>
      <c r="AA87" s="16"/>
      <c r="AB87" s="16">
        <f ca="1">_xll.DBRW($D$4,$E$7,$E$8,$E$9,$E$10,$E$12,$D87,$E$6,AB$18,AB$17)</f>
        <v>-0.79512105999999994</v>
      </c>
      <c r="AC87" s="16">
        <f ca="1">_xll.DBRW($D$4,$E$7,$E$8,$E$9,$E$10,$E$12,$D87,$E$6,AC$18,AC$17)</f>
        <v>0.1092484569290889</v>
      </c>
      <c r="AD87" s="16"/>
      <c r="AE87" s="16"/>
      <c r="AF87" s="16"/>
      <c r="AG87" s="16"/>
      <c r="AH87" s="16">
        <f ca="1">_xll.DBRW($D$4,$E$7,$E$8,$E$9,$E$10,$E$12,$D87,$E$6,AH$18,AH$17)</f>
        <v>-0.9419839499999999</v>
      </c>
      <c r="AI87" s="16">
        <f ca="1">_xll.DBRW($D$4,$E$7,$E$8,$E$9,$E$10,$E$12,$D87,$E$6,AI$18,AI$17)</f>
        <v>0.12942720066988042</v>
      </c>
      <c r="AJ87" s="16"/>
      <c r="AK87" s="16"/>
      <c r="AL87" s="16"/>
      <c r="AM87" s="16"/>
      <c r="AN87" s="16">
        <f ca="1">_xll.DBRW($D$4,$E$7,$E$8,$E$9,$E$10,$E$12,$D87,$E$6,AN$18,AN$17)</f>
        <v>-1.06207063</v>
      </c>
      <c r="AO87" s="16">
        <f ca="1">_xll.DBRW($D$4,$E$7,$E$8,$E$9,$E$10,$E$12,$D87,$E$6,AO$18,AO$17)</f>
        <v>0.14592693278329882</v>
      </c>
      <c r="AP87" s="16"/>
      <c r="AQ87" s="16"/>
      <c r="AR87" s="16"/>
      <c r="AS87" s="16"/>
      <c r="AT87" s="16">
        <f ca="1">_xll.DBRW($D$4,$E$7,$E$8,$E$9,$E$10,$E$12,$D87,$E$6,AT$18,AT$17)</f>
        <v>0.10827417</v>
      </c>
      <c r="AU87" s="16">
        <f ca="1">_xll.DBRW($D$4,$E$7,$E$8,$E$9,$E$10,$E$12,$D87,$E$6,AU$18,AU$17)</f>
        <v>2.672075</v>
      </c>
      <c r="AV87" s="16">
        <f ca="1">_xll.DBRW($D$4,$E$7,$E$8,$E$9,$E$10,$E$12,$D87,$E$6,AV$18,AV$17)</f>
        <v>2.672075</v>
      </c>
      <c r="AW87" s="16">
        <f ca="1">_xll.DBRW($D$4,$E$7,$E$8,$E$9,$E$10,$E$12,$D87,$E$6,AW$18,AW$17)</f>
        <v>2.672075</v>
      </c>
      <c r="AX87" s="16">
        <f ca="1">_xll.DBRW($D$4,$E$7,$E$8,$E$9,$E$10,$E$12,$D87,$E$6,AX$18,AX$17)</f>
        <v>0.81876246999999991</v>
      </c>
      <c r="AY87" s="16">
        <f ca="1">_xll.DBRW($D$4,$E$7,$E$8,$E$9,$E$10,$E$12,$D87,$E$6,AY$18,AY$17)</f>
        <v>2.672075</v>
      </c>
      <c r="AZ87" s="16">
        <f ca="1">_xll.DBRW($D$4,$E$7,$E$8,$E$9,$E$10,$E$12,$D87,$E$6,AZ$18,AZ$17)</f>
        <v>1.6537299999999997</v>
      </c>
      <c r="BA87" s="16">
        <f ca="1">_xll.DBRW($D$4,$E$7,$E$8,$E$9,$E$10,$E$12,$D87,$E$6,BA$18,BA$17)</f>
        <v>2.672075</v>
      </c>
      <c r="BB87" s="16">
        <f ca="1">_xll.DBRW($D$4,$E$7,$E$8,$E$9,$E$10,$E$12,$D87,$E$6,BB$18,BB$17)</f>
        <v>2.672075</v>
      </c>
      <c r="BC87" s="16">
        <f ca="1">_xll.DBRW($D$4,$E$7,$E$8,$E$9,$E$10,$E$12,$D87,$E$6,BC$18,BC$17)</f>
        <v>2.672075</v>
      </c>
      <c r="BD87" s="16">
        <f ca="1">_xll.DBRW($D$4,$E$7,$E$8,$E$9,$E$10,$E$12,$D87,$E$6,BD$18,BD$17)</f>
        <v>9.5640848817697854E-2</v>
      </c>
      <c r="BE87" s="16">
        <f ca="1">_xll.DBRW($D$4,$E$7,$E$8,$E$9,$E$10,$E$12,$D87,$E$6,BE$18,BE$17)</f>
        <v>-0.57897604036570072</v>
      </c>
      <c r="BF87" s="16">
        <f ca="1">_xll.DBRW($D$4,$E$7,$E$8,$E$9,$E$10,$E$12,$D87,$E$6,BF$18,BF$17)</f>
        <v>0</v>
      </c>
      <c r="BG87" s="26">
        <f ca="1">_xll.DBRW($D$4,$E$7,$E$8,$E$9,$E$10,$E$12,$D87,$E$6,BG$18,BG$17)</f>
        <v>0</v>
      </c>
      <c r="BH87" s="26">
        <f ca="1">_xll.DBRW($D$4,$E$7,$E$8,$E$9,$E$10,$E$12,$D87,$E$6,BH$18,BH$17)</f>
        <v>0</v>
      </c>
      <c r="BI87" s="26">
        <f ca="1">_xll.DBRW($D$4,$E$7,$E$8,$E$9,$E$10,$E$12,$D87,$E$6,BI$18,BI$17)</f>
        <v>0</v>
      </c>
      <c r="BJ87" s="26">
        <f ca="1">_xll.DBRW($D$4,$E$7,$E$8,$E$9,$E$10,$E$12,$D87,$E$6,BJ$18,BJ$17)</f>
        <v>0</v>
      </c>
      <c r="BK87" s="16">
        <f ca="1">_xll.DBRW($D$4,$E$7,$E$8,$E$9,$E$10,$E$12,$D87,$E$6,BK$18,BK$17)</f>
        <v>0.67461688918339857</v>
      </c>
      <c r="BL87" s="16">
        <f ca="1">_xll.DBRW($D$4,$E$7,$E$8,$E$9,$E$10,$E$12,$D87,$E$6,BL$18,BL$17)</f>
        <v>8.0628335491582703</v>
      </c>
      <c r="BM87" s="16">
        <f ca="1">_xll.DBRW($D$4,$E$7,$E$8,$E$9,$E$10,$E$12,$D87,$E$6,BM$18,BM$17)</f>
        <v>-3.2737744761709133</v>
      </c>
      <c r="BN87" s="16">
        <f ca="1">_xll.DBRW($D$4,$E$7,$E$8,$E$9,$E$10,$E$12,$D87,$E$6,BN$18,BN$17)</f>
        <v>0.40603274967925923</v>
      </c>
      <c r="BO87" s="16"/>
      <c r="BP87" s="16"/>
      <c r="BQ87" s="16"/>
      <c r="BR87" s="16"/>
      <c r="BS87" s="16">
        <f ca="1">_xll.DBRW($D$4,$E$7,$E$8,$E$9,$E$10,$E$12,$D87,$E$6,BS$18,BS$17)</f>
        <v>-0.74005308117450297</v>
      </c>
      <c r="BT87" s="16">
        <f ca="1">_xll.DBRW($D$4,$E$7,$E$8,$E$9,$E$10,$E$12,$D87,$E$6,BT$18,BT$17)</f>
        <v>9.1785732232034206E-2</v>
      </c>
      <c r="BU87" s="16"/>
      <c r="BV87" s="16"/>
      <c r="BW87" s="16"/>
      <c r="BX87" s="16"/>
      <c r="BY87" s="16">
        <f ca="1">_xll.DBRW($D$4,$E$7,$E$8,$E$9,$E$10,$E$12,$D87,$E$6,BY$18,BY$17)</f>
        <v>-0.80052793648523002</v>
      </c>
      <c r="BZ87" s="16">
        <f ca="1">_xll.DBRW($D$4,$E$7,$E$8,$E$9,$E$10,$E$12,$D87,$E$6,BZ$18,BZ$17)</f>
        <v>9.9286179183098996E-2</v>
      </c>
      <c r="CA87" s="16"/>
      <c r="CB87" s="16"/>
      <c r="CC87" s="16"/>
      <c r="CD87" s="16"/>
      <c r="CE87" s="16">
        <f ca="1">_xll.DBRW($D$4,$E$7,$E$8,$E$9,$E$10,$E$12,$D87,$E$6,CE$18,CE$17)</f>
        <v>-1.1951000133540002</v>
      </c>
      <c r="CF87" s="16">
        <f ca="1">_xll.DBRW($D$4,$E$7,$E$8,$E$9,$E$10,$E$12,$D87,$E$6,CF$18,CF$17)</f>
        <v>0.14822332695665832</v>
      </c>
      <c r="CG87" s="16"/>
      <c r="CH87" s="16"/>
      <c r="CI87" s="16"/>
      <c r="CJ87" s="16"/>
      <c r="CK87" s="16">
        <f ca="1">_xll.DBRW($D$4,$E$7,$E$8,$E$9,$E$10,$E$12,$D87,$E$6,CK$18,CK$17)</f>
        <v>-1.378761152790225</v>
      </c>
      <c r="CL87" s="16">
        <f ca="1">_xll.DBRW($D$4,$E$7,$E$8,$E$9,$E$10,$E$12,$D87,$E$6,CL$18,CL$17)</f>
        <v>0.17100206079960098</v>
      </c>
      <c r="CM87" s="16"/>
      <c r="CN87" s="16"/>
      <c r="CO87" s="16"/>
      <c r="CP87" s="16"/>
      <c r="CQ87" s="16">
        <f ca="1">_xll.DBRW($D$4,$E$7,$E$8,$E$9,$E$10,$E$12,$D87,$E$6,CQ$18,CQ$17)</f>
        <v>0.126671576297158</v>
      </c>
      <c r="CR87" s="16">
        <f ca="1">_xll.DBRW($D$4,$E$7,$E$8,$E$9,$E$10,$E$12,$D87,$E$6,CR$18,CR$17)</f>
        <v>2.9818452246706793</v>
      </c>
      <c r="CS87" s="16">
        <f ca="1">_xll.DBRW($D$4,$E$7,$E$8,$E$9,$E$10,$E$12,$D87,$E$6,CS$18,CS$17)</f>
        <v>2.9818452246706793</v>
      </c>
      <c r="CT87" s="16">
        <f ca="1">_xll.DBRW($D$4,$E$7,$E$8,$E$9,$E$10,$E$12,$D87,$E$6,CT$18,CT$17)</f>
        <v>2.9818452246706793</v>
      </c>
      <c r="CU87" s="16">
        <f ca="1">_xll.DBRW($D$4,$E$7,$E$8,$E$9,$E$10,$E$12,$D87,$E$6,CU$18,CU$17)</f>
        <v>0.94524493622060501</v>
      </c>
      <c r="CV87" s="16">
        <f ca="1">_xll.DBRW($D$4,$E$7,$E$8,$E$9,$E$10,$E$12,$D87,$E$6,CV$18,CV$17)</f>
        <v>2.9818452246706793</v>
      </c>
      <c r="CW87" s="16">
        <f ca="1">_xll.DBRW($D$4,$E$7,$E$8,$E$9,$E$10,$E$12,$D87,$E$6,CW$18,CW$17)</f>
        <v>1.8682332328070699</v>
      </c>
      <c r="CX87" s="16">
        <f ca="1">_xll.DBRW($D$4,$E$7,$E$8,$E$9,$E$10,$E$12,$D87,$E$6,CX$18,CX$17)</f>
        <v>2.9818452246706793</v>
      </c>
      <c r="CY87" s="16">
        <f ca="1">_xll.DBRW($D$4,$E$7,$E$8,$E$9,$E$10,$E$12,$D87,$E$6,CY$18,CY$17)</f>
        <v>2.9818452246706793</v>
      </c>
      <c r="CZ87" s="16">
        <f ca="1">_xll.DBRW($D$4,$E$7,$E$8,$E$9,$E$10,$E$12,$D87,$E$6,CZ$18,CZ$17)</f>
        <v>2.9818452246706793</v>
      </c>
      <c r="DA87" s="26">
        <f t="shared" ca="1" si="89"/>
        <v>0.6366392611823033</v>
      </c>
      <c r="DB87" s="26">
        <f t="shared" ca="1" si="90"/>
        <v>0.19601343036570074</v>
      </c>
      <c r="DC87" s="26">
        <f t="shared" ca="1" si="91"/>
        <v>0</v>
      </c>
      <c r="DD87" s="26">
        <f t="shared" ca="1" si="92"/>
        <v>0</v>
      </c>
      <c r="DE87" s="26">
        <f t="shared" ca="1" si="93"/>
        <v>0</v>
      </c>
      <c r="DF87" s="26">
        <f t="shared" ca="1" si="94"/>
        <v>0</v>
      </c>
      <c r="DG87" s="26">
        <f t="shared" ca="1" si="95"/>
        <v>0</v>
      </c>
      <c r="DH87" s="26">
        <f t="shared" ca="1" si="96"/>
        <v>0.44062583081660267</v>
      </c>
      <c r="DI87" s="26">
        <f t="shared" ca="1" si="97"/>
        <v>-0.78473477915826972</v>
      </c>
      <c r="DJ87" s="26">
        <f t="shared" ca="1" si="98"/>
        <v>0.48753606617091361</v>
      </c>
      <c r="DK87" s="26">
        <f t="shared" ca="1" si="99"/>
        <v>-2.3207715552936214E-2</v>
      </c>
      <c r="DL87" s="26"/>
      <c r="DM87" s="26"/>
      <c r="DN87" s="26"/>
      <c r="DO87" s="26"/>
      <c r="DP87" s="26">
        <f t="shared" ca="1" si="100"/>
        <v>0.16261108117450296</v>
      </c>
      <c r="DQ87" s="26">
        <f t="shared" ca="1" si="101"/>
        <v>-1.2446055999528235E-2</v>
      </c>
      <c r="DR87" s="26"/>
      <c r="DS87" s="26"/>
      <c r="DT87" s="26"/>
      <c r="DU87" s="26"/>
      <c r="DV87" s="26">
        <f t="shared" ca="1" si="102"/>
        <v>5.4068764852300832E-3</v>
      </c>
      <c r="DW87" s="26">
        <f t="shared" ca="1" si="103"/>
        <v>9.9622777459899003E-3</v>
      </c>
      <c r="DX87" s="26"/>
      <c r="DY87" s="26"/>
      <c r="DZ87" s="26"/>
      <c r="EA87" s="26"/>
      <c r="EB87" s="26">
        <f t="shared" ca="1" si="104"/>
        <v>0.25311606335400028</v>
      </c>
      <c r="EC87" s="26">
        <f t="shared" ca="1" si="105"/>
        <v>-1.8796126286777903E-2</v>
      </c>
      <c r="ED87" s="26"/>
      <c r="EE87" s="26"/>
      <c r="EF87" s="26"/>
      <c r="EG87" s="26"/>
      <c r="EH87" s="26">
        <f t="shared" ca="1" si="106"/>
        <v>0.31669052279022503</v>
      </c>
      <c r="EI87" s="29">
        <f t="shared" ca="1" si="107"/>
        <v>-2.5075128016302156E-2</v>
      </c>
      <c r="EJ87" s="29"/>
      <c r="EK87" s="29"/>
      <c r="EL87" s="29"/>
      <c r="EM87" s="29"/>
      <c r="EN87" s="93"/>
      <c r="EO87" s="29"/>
      <c r="EP87" s="29"/>
      <c r="EQ87" s="29"/>
      <c r="ER87" s="29"/>
      <c r="ES87" s="29"/>
      <c r="ET87" s="29"/>
      <c r="EU87" s="93"/>
      <c r="EV87" s="29"/>
      <c r="EW87" s="29"/>
      <c r="EX87" s="29"/>
      <c r="EY87" s="29"/>
      <c r="EZ87" s="29"/>
      <c r="FA87" s="29"/>
      <c r="FB87" s="93"/>
      <c r="FC87" s="29"/>
      <c r="FD87" s="29"/>
      <c r="FE87" s="29"/>
      <c r="FF87" s="29"/>
      <c r="FG87" s="29"/>
      <c r="FH87" s="29"/>
      <c r="FI87" s="93"/>
      <c r="FJ87" s="29"/>
      <c r="FK87" s="29"/>
      <c r="FL87" s="29"/>
      <c r="FM87" s="29"/>
      <c r="FN87" s="29"/>
      <c r="FO87" s="29"/>
      <c r="FP87" s="93"/>
      <c r="FQ87" s="29"/>
      <c r="FR87" s="29"/>
      <c r="FS87" s="29"/>
      <c r="FT87" s="29"/>
      <c r="FU87" s="29"/>
      <c r="FV87" s="29"/>
    </row>
    <row r="88" spans="1:178" x14ac:dyDescent="0.25">
      <c r="A88" t="str">
        <f ca="1">IF(_xll.TM1RPTELISCONSOLIDATED($D$28,$D88),IF(_xll.TM1RPTELLEV($D$28,$D88)&lt;=3,_xll.TM1RPTELLEV($D$28,$D88),"D"),"N")</f>
        <v>N</v>
      </c>
      <c r="B88" t="str">
        <f ca="1">_xll.DBRA(Server&amp;"Management_organization",$D88,$B$27)</f>
        <v>L</v>
      </c>
      <c r="C88">
        <v>1</v>
      </c>
      <c r="D88" s="2" t="s">
        <v>143</v>
      </c>
      <c r="E88" s="26"/>
      <c r="F88" s="26"/>
      <c r="G88" s="16">
        <f ca="1">_xll.DBRW($D$4,$E$7,$E$8,$E$9,$E$10,$E$12,$D88,$E$6,G$18,G$17)</f>
        <v>0.36688418000000028</v>
      </c>
      <c r="H88" s="16">
        <f ca="1">_xll.DBRW($D$4,$E$7,$E$8,$E$9,$E$10,$E$12,$D88,$E$6,H$18,H$17)</f>
        <v>-0.50927673999999989</v>
      </c>
      <c r="I88" s="16">
        <f ca="1">_xll.DBRW($D$4,$E$7,$E$8,$E$9,$E$10,$E$12,$D88,$E$6,I$18,I$17)</f>
        <v>0</v>
      </c>
      <c r="J88" s="26">
        <f ca="1">_xll.DBRW($D$4,$E$7,$E$8,$E$9,$E$10,$E$12,$D88,$E$6,J$18,J$17)</f>
        <v>0</v>
      </c>
      <c r="K88" s="26">
        <f ca="1">_xll.DBRW($D$4,$E$7,$E$8,$E$9,$E$10,$E$12,$D88,$E$6,K$18,K$17)</f>
        <v>0</v>
      </c>
      <c r="L88" s="26">
        <f ca="1">_xll.DBRW($D$4,$E$7,$E$8,$E$9,$E$10,$E$12,$D88,$E$6,L$18,L$17)</f>
        <v>0</v>
      </c>
      <c r="M88" s="26">
        <f ca="1">_xll.DBRW($D$4,$E$7,$E$8,$E$9,$E$10,$E$12,$D88,$E$6,M$18,M$17)</f>
        <v>0</v>
      </c>
      <c r="N88" s="16">
        <f ca="1">_xll.DBRW($D$4,$E$7,$E$8,$E$9,$E$10,$E$12,$D88,$E$6,N$18,N$17)</f>
        <v>0.87616092000000012</v>
      </c>
      <c r="O88" s="16">
        <f ca="1">_xll.DBRW($D$4,$E$7,$E$8,$E$9,$E$10,$E$12,$D88,$E$6,O$18,O$17)</f>
        <v>9.6165369599999995</v>
      </c>
      <c r="P88" s="74">
        <f ca="1">_xll.DBRW($D$4,$E$7,$E$8,$E$9,$E$10,$E$12,$D88,$E$6,P$18,P$17)</f>
        <v>-4.2224398399999998</v>
      </c>
      <c r="Q88" s="16">
        <f ca="1">_xll.DBRW($D$4,$E$7,$E$8,$E$9,$E$10,$E$12,$D88,$E$6,Q$18,Q$17)</f>
        <v>0.43908112219224499</v>
      </c>
      <c r="R88" s="16"/>
      <c r="S88" s="16"/>
      <c r="T88" s="16"/>
      <c r="U88" s="16"/>
      <c r="V88" s="16">
        <f ca="1">_xll.DBRW($D$4,$E$7,$E$8,$E$9,$E$10,$E$12,$D88,$E$6,V$18,V$17)</f>
        <v>-0.90456413000000002</v>
      </c>
      <c r="W88" s="16">
        <f ca="1">_xll.DBRW($D$4,$E$7,$E$8,$E$9,$E$10,$E$12,$D88,$E$6,W$18,W$17)</f>
        <v>9.4063396601347854E-2</v>
      </c>
      <c r="X88" s="16"/>
      <c r="Y88" s="16"/>
      <c r="Z88" s="16"/>
      <c r="AA88" s="16"/>
      <c r="AB88" s="16">
        <f ca="1">_xll.DBRW($D$4,$E$7,$E$8,$E$9,$E$10,$E$12,$D88,$E$6,AB$18,AB$17)</f>
        <v>-1.0865489699999999</v>
      </c>
      <c r="AC88" s="16">
        <f ca="1">_xll.DBRW($D$4,$E$7,$E$8,$E$9,$E$10,$E$12,$D88,$E$6,AC$18,AC$17)</f>
        <v>0.11298755201789398</v>
      </c>
      <c r="AD88" s="16"/>
      <c r="AE88" s="16"/>
      <c r="AF88" s="16"/>
      <c r="AG88" s="16"/>
      <c r="AH88" s="16">
        <f ca="1">_xll.DBRW($D$4,$E$7,$E$8,$E$9,$E$10,$E$12,$D88,$E$6,AH$18,AH$17)</f>
        <v>-1.2051195799999996</v>
      </c>
      <c r="AI88" s="16">
        <f ca="1">_xll.DBRW($D$4,$E$7,$E$8,$E$9,$E$10,$E$12,$D88,$E$6,AI$18,AI$17)</f>
        <v>0.12531741779943201</v>
      </c>
      <c r="AJ88" s="16"/>
      <c r="AK88" s="16"/>
      <c r="AL88" s="16"/>
      <c r="AM88" s="16"/>
      <c r="AN88" s="16">
        <f ca="1">_xll.DBRW($D$4,$E$7,$E$8,$E$9,$E$10,$E$12,$D88,$E$6,AN$18,AN$17)</f>
        <v>-1.3217035199999998</v>
      </c>
      <c r="AO88" s="16">
        <f ca="1">_xll.DBRW($D$4,$E$7,$E$8,$E$9,$E$10,$E$12,$D88,$E$6,AO$18,AO$17)</f>
        <v>0.13744069465937975</v>
      </c>
      <c r="AP88" s="16"/>
      <c r="AQ88" s="16"/>
      <c r="AR88" s="16"/>
      <c r="AS88" s="16"/>
      <c r="AT88" s="16">
        <f ca="1">_xll.DBRW($D$4,$E$7,$E$8,$E$9,$E$10,$E$12,$D88,$E$6,AT$18,AT$17)</f>
        <v>0.19121102000000001</v>
      </c>
      <c r="AU88" s="16">
        <f ca="1">_xll.DBRW($D$4,$E$7,$E$8,$E$9,$E$10,$E$12,$D88,$E$6,AU$18,AU$17)</f>
        <v>4.0087826399999997</v>
      </c>
      <c r="AV88" s="16">
        <f ca="1">_xll.DBRW($D$4,$E$7,$E$8,$E$9,$E$10,$E$12,$D88,$E$6,AV$18,AV$17)</f>
        <v>4.0087826399999997</v>
      </c>
      <c r="AW88" s="16">
        <f ca="1">_xll.DBRW($D$4,$E$7,$E$8,$E$9,$E$10,$E$12,$D88,$E$6,AW$18,AW$17)</f>
        <v>4.0087826399999997</v>
      </c>
      <c r="AX88" s="16">
        <f ca="1">_xll.DBRW($D$4,$E$7,$E$8,$E$9,$E$10,$E$12,$D88,$E$6,AX$18,AX$17)</f>
        <v>1.2524965299999999</v>
      </c>
      <c r="AY88" s="16">
        <f ca="1">_xll.DBRW($D$4,$E$7,$E$8,$E$9,$E$10,$E$12,$D88,$E$6,AY$18,AY$17)</f>
        <v>4.0087826399999997</v>
      </c>
      <c r="AZ88" s="16">
        <f ca="1">_xll.DBRW($D$4,$E$7,$E$8,$E$9,$E$10,$E$12,$D88,$E$6,AZ$18,AZ$17)</f>
        <v>2.8148994700000003</v>
      </c>
      <c r="BA88" s="16">
        <f ca="1">_xll.DBRW($D$4,$E$7,$E$8,$E$9,$E$10,$E$12,$D88,$E$6,BA$18,BA$17)</f>
        <v>4.0087826399999997</v>
      </c>
      <c r="BB88" s="16">
        <f ca="1">_xll.DBRW($D$4,$E$7,$E$8,$E$9,$E$10,$E$12,$D88,$E$6,BB$18,BB$17)</f>
        <v>4.0087826399999997</v>
      </c>
      <c r="BC88" s="16">
        <f ca="1">_xll.DBRW($D$4,$E$7,$E$8,$E$9,$E$10,$E$12,$D88,$E$6,BC$18,BC$17)</f>
        <v>4.0087826399999997</v>
      </c>
      <c r="BD88" s="16">
        <f ca="1">_xll.DBRW($D$4,$E$7,$E$8,$E$9,$E$10,$E$12,$D88,$E$6,BD$18,BD$17)</f>
        <v>-0.2519137789324547</v>
      </c>
      <c r="BE88" s="16">
        <f ca="1">_xll.DBRW($D$4,$E$7,$E$8,$E$9,$E$10,$E$12,$D88,$E$6,BE$18,BE$17)</f>
        <v>-0.81262161205550798</v>
      </c>
      <c r="BF88" s="16">
        <f ca="1">_xll.DBRW($D$4,$E$7,$E$8,$E$9,$E$10,$E$12,$D88,$E$6,BF$18,BF$17)</f>
        <v>0</v>
      </c>
      <c r="BG88" s="26">
        <f ca="1">_xll.DBRW($D$4,$E$7,$E$8,$E$9,$E$10,$E$12,$D88,$E$6,BG$18,BG$17)</f>
        <v>0</v>
      </c>
      <c r="BH88" s="26">
        <f ca="1">_xll.DBRW($D$4,$E$7,$E$8,$E$9,$E$10,$E$12,$D88,$E$6,BH$18,BH$17)</f>
        <v>0</v>
      </c>
      <c r="BI88" s="26">
        <f ca="1">_xll.DBRW($D$4,$E$7,$E$8,$E$9,$E$10,$E$12,$D88,$E$6,BI$18,BI$17)</f>
        <v>0</v>
      </c>
      <c r="BJ88" s="26">
        <f ca="1">_xll.DBRW($D$4,$E$7,$E$8,$E$9,$E$10,$E$12,$D88,$E$6,BJ$18,BJ$17)</f>
        <v>0</v>
      </c>
      <c r="BK88" s="16">
        <f ca="1">_xll.DBRW($D$4,$E$7,$E$8,$E$9,$E$10,$E$12,$D88,$E$6,BK$18,BK$17)</f>
        <v>0.56070783312305328</v>
      </c>
      <c r="BL88" s="16">
        <f ca="1">_xll.DBRW($D$4,$E$7,$E$8,$E$9,$E$10,$E$12,$D88,$E$6,BL$18,BL$17)</f>
        <v>10.339704985628339</v>
      </c>
      <c r="BM88" s="16">
        <f ca="1">_xll.DBRW($D$4,$E$7,$E$8,$E$9,$E$10,$E$12,$D88,$E$6,BM$18,BM$17)</f>
        <v>-4.5657692600671442</v>
      </c>
      <c r="BN88" s="16">
        <f ca="1">_xll.DBRW($D$4,$E$7,$E$8,$E$9,$E$10,$E$12,$D88,$E$6,BN$18,BN$17)</f>
        <v>0.44157635700567183</v>
      </c>
      <c r="BO88" s="16"/>
      <c r="BP88" s="16"/>
      <c r="BQ88" s="16"/>
      <c r="BR88" s="16"/>
      <c r="BS88" s="16">
        <f ca="1">_xll.DBRW($D$4,$E$7,$E$8,$E$9,$E$10,$E$12,$D88,$E$6,BS$18,BS$17)</f>
        <v>-0.90644185965958413</v>
      </c>
      <c r="BT88" s="16">
        <f ca="1">_xll.DBRW($D$4,$E$7,$E$8,$E$9,$E$10,$E$12,$D88,$E$6,BT$18,BT$17)</f>
        <v>8.7666124025733025E-2</v>
      </c>
      <c r="BU88" s="16"/>
      <c r="BV88" s="16"/>
      <c r="BW88" s="16"/>
      <c r="BX88" s="16"/>
      <c r="BY88" s="16">
        <f ca="1">_xll.DBRW($D$4,$E$7,$E$8,$E$9,$E$10,$E$12,$D88,$E$6,BY$18,BY$17)</f>
        <v>-1.1488687075731046</v>
      </c>
      <c r="BZ88" s="16">
        <f ca="1">_xll.DBRW($D$4,$E$7,$E$8,$E$9,$E$10,$E$12,$D88,$E$6,BZ$18,BZ$17)</f>
        <v>0.11111232952680693</v>
      </c>
      <c r="CA88" s="16"/>
      <c r="CB88" s="16"/>
      <c r="CC88" s="16"/>
      <c r="CD88" s="16"/>
      <c r="CE88" s="16">
        <f ca="1">_xll.DBRW($D$4,$E$7,$E$8,$E$9,$E$10,$E$12,$D88,$E$6,CE$18,CE$17)</f>
        <v>-1.437342825477262</v>
      </c>
      <c r="CF88" s="16">
        <f ca="1">_xll.DBRW($D$4,$E$7,$E$8,$E$9,$E$10,$E$12,$D88,$E$6,CF$18,CF$17)</f>
        <v>0.13901197640310772</v>
      </c>
      <c r="CG88" s="16"/>
      <c r="CH88" s="16"/>
      <c r="CI88" s="16"/>
      <c r="CJ88" s="16"/>
      <c r="CK88" s="16">
        <f ca="1">_xll.DBRW($D$4,$E$7,$E$8,$E$9,$E$10,$E$12,$D88,$E$6,CK$18,CK$17)</f>
        <v>-1.7205744997281924</v>
      </c>
      <c r="CL88" s="16">
        <f ca="1">_xll.DBRW($D$4,$E$7,$E$8,$E$9,$E$10,$E$12,$D88,$E$6,CL$18,CL$17)</f>
        <v>0.16640460265739718</v>
      </c>
      <c r="CM88" s="16"/>
      <c r="CN88" s="16"/>
      <c r="CO88" s="16"/>
      <c r="CP88" s="16"/>
      <c r="CQ88" s="16">
        <f ca="1">_xll.DBRW($D$4,$E$7,$E$8,$E$9,$E$10,$E$12,$D88,$E$6,CQ$18,CQ$17)</f>
        <v>0.22035613166666668</v>
      </c>
      <c r="CR88" s="16">
        <f ca="1">_xll.DBRW($D$4,$E$7,$E$8,$E$9,$E$10,$E$12,$D88,$E$6,CR$18,CR$17)</f>
        <v>4.2525846017216899</v>
      </c>
      <c r="CS88" s="16">
        <f ca="1">_xll.DBRW($D$4,$E$7,$E$8,$E$9,$E$10,$E$12,$D88,$E$6,CS$18,CS$17)</f>
        <v>4.2525846017216899</v>
      </c>
      <c r="CT88" s="16">
        <f ca="1">_xll.DBRW($D$4,$E$7,$E$8,$E$9,$E$10,$E$12,$D88,$E$6,CT$18,CT$17)</f>
        <v>4.2525846017216899</v>
      </c>
      <c r="CU88" s="16">
        <f ca="1">_xll.DBRW($D$4,$E$7,$E$8,$E$9,$E$10,$E$12,$D88,$E$6,CU$18,CU$17)</f>
        <v>1.3626126251923183</v>
      </c>
      <c r="CV88" s="16">
        <f ca="1">_xll.DBRW($D$4,$E$7,$E$8,$E$9,$E$10,$E$12,$D88,$E$6,CV$18,CV$17)</f>
        <v>4.2525846017216899</v>
      </c>
      <c r="CW88" s="16">
        <f ca="1">_xll.DBRW($D$4,$E$7,$E$8,$E$9,$E$10,$E$12,$D88,$E$6,CW$18,CW$17)</f>
        <v>3.03931684263216</v>
      </c>
      <c r="CX88" s="16">
        <f ca="1">_xll.DBRW($D$4,$E$7,$E$8,$E$9,$E$10,$E$12,$D88,$E$6,CX$18,CX$17)</f>
        <v>4.2525846017216899</v>
      </c>
      <c r="CY88" s="16">
        <f ca="1">_xll.DBRW($D$4,$E$7,$E$8,$E$9,$E$10,$E$12,$D88,$E$6,CY$18,CY$17)</f>
        <v>4.2525846017216899</v>
      </c>
      <c r="CZ88" s="16">
        <f ca="1">_xll.DBRW($D$4,$E$7,$E$8,$E$9,$E$10,$E$12,$D88,$E$6,CZ$18,CZ$17)</f>
        <v>4.2525846017216899</v>
      </c>
      <c r="DA88" s="26">
        <f t="shared" ca="1" si="89"/>
        <v>0.61879795893245504</v>
      </c>
      <c r="DB88" s="26">
        <f t="shared" ca="1" si="90"/>
        <v>0.30334487205550809</v>
      </c>
      <c r="DC88" s="26">
        <f t="shared" ca="1" si="91"/>
        <v>0</v>
      </c>
      <c r="DD88" s="26">
        <f t="shared" ca="1" si="92"/>
        <v>0</v>
      </c>
      <c r="DE88" s="26">
        <f t="shared" ca="1" si="93"/>
        <v>0</v>
      </c>
      <c r="DF88" s="26">
        <f t="shared" ca="1" si="94"/>
        <v>0</v>
      </c>
      <c r="DG88" s="26">
        <f t="shared" ca="1" si="95"/>
        <v>0</v>
      </c>
      <c r="DH88" s="26">
        <f t="shared" ca="1" si="96"/>
        <v>0.31545308687694684</v>
      </c>
      <c r="DI88" s="26">
        <f t="shared" ca="1" si="97"/>
        <v>-0.72316802562833971</v>
      </c>
      <c r="DJ88" s="26">
        <f t="shared" ca="1" si="98"/>
        <v>0.3433294200671444</v>
      </c>
      <c r="DK88" s="26">
        <f t="shared" ca="1" si="99"/>
        <v>-2.4952348134268387E-3</v>
      </c>
      <c r="DL88" s="26"/>
      <c r="DM88" s="26"/>
      <c r="DN88" s="26"/>
      <c r="DO88" s="26"/>
      <c r="DP88" s="26">
        <f t="shared" ca="1" si="100"/>
        <v>1.8777296595841042E-3</v>
      </c>
      <c r="DQ88" s="26">
        <f t="shared" ca="1" si="101"/>
        <v>6.3972725756148291E-3</v>
      </c>
      <c r="DR88" s="26"/>
      <c r="DS88" s="26"/>
      <c r="DT88" s="26"/>
      <c r="DU88" s="26"/>
      <c r="DV88" s="26">
        <f t="shared" ca="1" si="102"/>
        <v>6.2319737573104605E-2</v>
      </c>
      <c r="DW88" s="26">
        <f t="shared" ca="1" si="103"/>
        <v>1.8752224910870557E-3</v>
      </c>
      <c r="DX88" s="26"/>
      <c r="DY88" s="26"/>
      <c r="DZ88" s="26"/>
      <c r="EA88" s="26"/>
      <c r="EB88" s="26">
        <f t="shared" ca="1" si="104"/>
        <v>0.23222324547726236</v>
      </c>
      <c r="EC88" s="26">
        <f t="shared" ca="1" si="105"/>
        <v>-1.3694558603675716E-2</v>
      </c>
      <c r="ED88" s="26"/>
      <c r="EE88" s="26"/>
      <c r="EF88" s="26"/>
      <c r="EG88" s="26"/>
      <c r="EH88" s="26">
        <f t="shared" ca="1" si="106"/>
        <v>0.39887097972819263</v>
      </c>
      <c r="EI88" s="29">
        <f t="shared" ca="1" si="107"/>
        <v>-2.896390799801743E-2</v>
      </c>
      <c r="EJ88" s="29"/>
      <c r="EK88" s="29"/>
      <c r="EL88" s="29"/>
      <c r="EM88" s="29"/>
      <c r="EN88" s="93"/>
      <c r="EO88" s="29"/>
      <c r="EP88" s="29"/>
      <c r="EQ88" s="29"/>
      <c r="ER88" s="29"/>
      <c r="ES88" s="29"/>
      <c r="ET88" s="29"/>
      <c r="EU88" s="93"/>
      <c r="EV88" s="29"/>
      <c r="EW88" s="29"/>
      <c r="EX88" s="29"/>
      <c r="EY88" s="29"/>
      <c r="EZ88" s="29"/>
      <c r="FA88" s="29"/>
      <c r="FB88" s="93"/>
      <c r="FC88" s="29"/>
      <c r="FD88" s="29"/>
      <c r="FE88" s="29"/>
      <c r="FF88" s="29"/>
      <c r="FG88" s="29"/>
      <c r="FH88" s="29"/>
      <c r="FI88" s="93"/>
      <c r="FJ88" s="29"/>
      <c r="FK88" s="29"/>
      <c r="FL88" s="29"/>
      <c r="FM88" s="29"/>
      <c r="FN88" s="29"/>
      <c r="FO88" s="29"/>
      <c r="FP88" s="93"/>
      <c r="FQ88" s="29"/>
      <c r="FR88" s="29"/>
      <c r="FS88" s="29"/>
      <c r="FT88" s="29"/>
      <c r="FU88" s="29"/>
      <c r="FV88" s="29"/>
    </row>
    <row r="89" spans="1:178" x14ac:dyDescent="0.25">
      <c r="A89" t="str">
        <f ca="1">IF(_xll.TM1RPTELISCONSOLIDATED($D$28,$D89),IF(_xll.TM1RPTELLEV($D$28,$D89)&lt;=3,_xll.TM1RPTELLEV($D$28,$D89),"D"),"N")</f>
        <v>N</v>
      </c>
      <c r="B89" t="str">
        <f ca="1">_xll.DBRA(Server&amp;"Management_organization",$D89,$B$27)</f>
        <v>L</v>
      </c>
      <c r="C89">
        <v>1</v>
      </c>
      <c r="D89" s="2" t="s">
        <v>144</v>
      </c>
      <c r="E89" s="26"/>
      <c r="F89" s="26"/>
      <c r="G89" s="16">
        <f ca="1">_xll.DBRW($D$4,$E$7,$E$8,$E$9,$E$10,$E$12,$D89,$E$6,G$18,G$17)</f>
        <v>0.28493394999999466</v>
      </c>
      <c r="H89" s="16">
        <f ca="1">_xll.DBRW($D$4,$E$7,$E$8,$E$9,$E$10,$E$12,$D89,$E$6,H$18,H$17)</f>
        <v>-0.84521082000000003</v>
      </c>
      <c r="I89" s="16">
        <f ca="1">_xll.DBRW($D$4,$E$7,$E$8,$E$9,$E$10,$E$12,$D89,$E$6,I$18,I$17)</f>
        <v>0</v>
      </c>
      <c r="J89" s="26">
        <f ca="1">_xll.DBRW($D$4,$E$7,$E$8,$E$9,$E$10,$E$12,$D89,$E$6,J$18,J$17)</f>
        <v>0</v>
      </c>
      <c r="K89" s="26">
        <f ca="1">_xll.DBRW($D$4,$E$7,$E$8,$E$9,$E$10,$E$12,$D89,$E$6,K$18,K$17)</f>
        <v>0</v>
      </c>
      <c r="L89" s="26">
        <f ca="1">_xll.DBRW($D$4,$E$7,$E$8,$E$9,$E$10,$E$12,$D89,$E$6,L$18,L$17)</f>
        <v>0</v>
      </c>
      <c r="M89" s="26">
        <f ca="1">_xll.DBRW($D$4,$E$7,$E$8,$E$9,$E$10,$E$12,$D89,$E$6,M$18,M$17)</f>
        <v>0</v>
      </c>
      <c r="N89" s="16">
        <f ca="1">_xll.DBRW($D$4,$E$7,$E$8,$E$9,$E$10,$E$12,$D89,$E$6,N$18,N$17)</f>
        <v>1.1301447699999945</v>
      </c>
      <c r="O89" s="16">
        <f ca="1">_xll.DBRW($D$4,$E$7,$E$8,$E$9,$E$10,$E$12,$D89,$E$6,O$18,O$17)</f>
        <v>13.81720556</v>
      </c>
      <c r="P89" s="74">
        <f ca="1">_xll.DBRW($D$4,$E$7,$E$8,$E$9,$E$10,$E$12,$D89,$E$6,P$18,P$17)</f>
        <v>-5.4988874900000004</v>
      </c>
      <c r="Q89" s="16">
        <f ca="1">_xll.DBRW($D$4,$E$7,$E$8,$E$9,$E$10,$E$12,$D89,$E$6,Q$18,Q$17)</f>
        <v>0.39797392215969901</v>
      </c>
      <c r="R89" s="16"/>
      <c r="S89" s="16"/>
      <c r="T89" s="16"/>
      <c r="U89" s="16"/>
      <c r="V89" s="16">
        <f ca="1">_xll.DBRW($D$4,$E$7,$E$8,$E$9,$E$10,$E$12,$D89,$E$6,V$18,V$17)</f>
        <v>-1.8974982999999999</v>
      </c>
      <c r="W89" s="16">
        <f ca="1">_xll.DBRW($D$4,$E$7,$E$8,$E$9,$E$10,$E$12,$D89,$E$6,W$18,W$17)</f>
        <v>0.13732865822689547</v>
      </c>
      <c r="X89" s="16"/>
      <c r="Y89" s="16"/>
      <c r="Z89" s="16"/>
      <c r="AA89" s="16"/>
      <c r="AB89" s="16">
        <f ca="1">_xll.DBRW($D$4,$E$7,$E$8,$E$9,$E$10,$E$12,$D89,$E$6,AB$18,AB$17)</f>
        <v>-1.5933948899999999</v>
      </c>
      <c r="AC89" s="16">
        <f ca="1">_xll.DBRW($D$4,$E$7,$E$8,$E$9,$E$10,$E$12,$D89,$E$6,AC$18,AC$17)</f>
        <v>0.11531961966410811</v>
      </c>
      <c r="AD89" s="16"/>
      <c r="AE89" s="16"/>
      <c r="AF89" s="16"/>
      <c r="AG89" s="16"/>
      <c r="AH89" s="16">
        <f ca="1">_xll.DBRW($D$4,$E$7,$E$8,$E$9,$E$10,$E$12,$D89,$E$6,AH$18,AH$17)</f>
        <v>-1.7592830700000004</v>
      </c>
      <c r="AI89" s="16">
        <f ca="1">_xll.DBRW($D$4,$E$7,$E$8,$E$9,$E$10,$E$12,$D89,$E$6,AI$18,AI$17)</f>
        <v>0.12732553354297788</v>
      </c>
      <c r="AJ89" s="16"/>
      <c r="AK89" s="16"/>
      <c r="AL89" s="16"/>
      <c r="AM89" s="16"/>
      <c r="AN89" s="16">
        <f ca="1">_xll.DBRW($D$4,$E$7,$E$8,$E$9,$E$10,$E$12,$D89,$E$6,AN$18,AN$17)</f>
        <v>-1.9379970400000004</v>
      </c>
      <c r="AO89" s="16">
        <f ca="1">_xll.DBRW($D$4,$E$7,$E$8,$E$9,$E$10,$E$12,$D89,$E$6,AO$18,AO$17)</f>
        <v>0.1402596951738482</v>
      </c>
      <c r="AP89" s="16"/>
      <c r="AQ89" s="16"/>
      <c r="AR89" s="16"/>
      <c r="AS89" s="16"/>
      <c r="AT89" s="16">
        <f ca="1">_xll.DBRW($D$4,$E$7,$E$8,$E$9,$E$10,$E$12,$D89,$E$6,AT$18,AT$17)</f>
        <v>0.23011693599999999</v>
      </c>
      <c r="AU89" s="16">
        <f ca="1">_xll.DBRW($D$4,$E$7,$E$8,$E$9,$E$10,$E$12,$D89,$E$6,AU$18,AU$17)</f>
        <v>4.3609173109999997</v>
      </c>
      <c r="AV89" s="16">
        <f ca="1">_xll.DBRW($D$4,$E$7,$E$8,$E$9,$E$10,$E$12,$D89,$E$6,AV$18,AV$17)</f>
        <v>4.3609173109999997</v>
      </c>
      <c r="AW89" s="16">
        <f ca="1">_xll.DBRW($D$4,$E$7,$E$8,$E$9,$E$10,$E$12,$D89,$E$6,AW$18,AW$17)</f>
        <v>4.3609173109999997</v>
      </c>
      <c r="AX89" s="16">
        <f ca="1">_xll.DBRW($D$4,$E$7,$E$8,$E$9,$E$10,$E$12,$D89,$E$6,AX$18,AX$17)</f>
        <v>1.5824931200000001</v>
      </c>
      <c r="AY89" s="16">
        <f ca="1">_xll.DBRW($D$4,$E$7,$E$8,$E$9,$E$10,$E$12,$D89,$E$6,AY$18,AY$17)</f>
        <v>4.3609173109999997</v>
      </c>
      <c r="AZ89" s="16">
        <f ca="1">_xll.DBRW($D$4,$E$7,$E$8,$E$9,$E$10,$E$12,$D89,$E$6,AZ$18,AZ$17)</f>
        <v>2.9624517299999997</v>
      </c>
      <c r="BA89" s="16">
        <f ca="1">_xll.DBRW($D$4,$E$7,$E$8,$E$9,$E$10,$E$12,$D89,$E$6,BA$18,BA$17)</f>
        <v>4.3609173109999997</v>
      </c>
      <c r="BB89" s="16">
        <f ca="1">_xll.DBRW($D$4,$E$7,$E$8,$E$9,$E$10,$E$12,$D89,$E$6,BB$18,BB$17)</f>
        <v>4.3609173109999997</v>
      </c>
      <c r="BC89" s="16">
        <f ca="1">_xll.DBRW($D$4,$E$7,$E$8,$E$9,$E$10,$E$12,$D89,$E$6,BC$18,BC$17)</f>
        <v>4.3609173109999997</v>
      </c>
      <c r="BD89" s="16">
        <f ca="1">_xll.DBRW($D$4,$E$7,$E$8,$E$9,$E$10,$E$12,$D89,$E$6,BD$18,BD$17)</f>
        <v>0.5680395738401085</v>
      </c>
      <c r="BE89" s="16">
        <f ca="1">_xll.DBRW($D$4,$E$7,$E$8,$E$9,$E$10,$E$12,$D89,$E$6,BE$18,BE$17)</f>
        <v>-0.87133614000000015</v>
      </c>
      <c r="BF89" s="16">
        <f ca="1">_xll.DBRW($D$4,$E$7,$E$8,$E$9,$E$10,$E$12,$D89,$E$6,BF$18,BF$17)</f>
        <v>0</v>
      </c>
      <c r="BG89" s="26">
        <f ca="1">_xll.DBRW($D$4,$E$7,$E$8,$E$9,$E$10,$E$12,$D89,$E$6,BG$18,BG$17)</f>
        <v>0</v>
      </c>
      <c r="BH89" s="26">
        <f ca="1">_xll.DBRW($D$4,$E$7,$E$8,$E$9,$E$10,$E$12,$D89,$E$6,BH$18,BH$17)</f>
        <v>0</v>
      </c>
      <c r="BI89" s="26">
        <f ca="1">_xll.DBRW($D$4,$E$7,$E$8,$E$9,$E$10,$E$12,$D89,$E$6,BI$18,BI$17)</f>
        <v>0</v>
      </c>
      <c r="BJ89" s="26">
        <f ca="1">_xll.DBRW($D$4,$E$7,$E$8,$E$9,$E$10,$E$12,$D89,$E$6,BJ$18,BJ$17)</f>
        <v>0</v>
      </c>
      <c r="BK89" s="16">
        <f ca="1">_xll.DBRW($D$4,$E$7,$E$8,$E$9,$E$10,$E$12,$D89,$E$6,BK$18,BK$17)</f>
        <v>1.4393757138401087</v>
      </c>
      <c r="BL89" s="16">
        <f ca="1">_xll.DBRW($D$4,$E$7,$E$8,$E$9,$E$10,$E$12,$D89,$E$6,BL$18,BL$17)</f>
        <v>15.277199</v>
      </c>
      <c r="BM89" s="16">
        <f ca="1">_xll.DBRW($D$4,$E$7,$E$8,$E$9,$E$10,$E$12,$D89,$E$6,BM$18,BM$17)</f>
        <v>-5.9788530000000009</v>
      </c>
      <c r="BN89" s="16">
        <f ca="1">_xll.DBRW($D$4,$E$7,$E$8,$E$9,$E$10,$E$12,$D89,$E$6,BN$18,BN$17)</f>
        <v>0.39135793151611109</v>
      </c>
      <c r="BO89" s="16"/>
      <c r="BP89" s="16"/>
      <c r="BQ89" s="16"/>
      <c r="BR89" s="16"/>
      <c r="BS89" s="16">
        <f ca="1">_xll.DBRW($D$4,$E$7,$E$8,$E$9,$E$10,$E$12,$D89,$E$6,BS$18,BS$17)</f>
        <v>-1.8843536000000001</v>
      </c>
      <c r="BT89" s="16">
        <f ca="1">_xll.DBRW($D$4,$E$7,$E$8,$E$9,$E$10,$E$12,$D89,$E$6,BT$18,BT$17)</f>
        <v>0.12334418108974035</v>
      </c>
      <c r="BU89" s="16"/>
      <c r="BV89" s="16"/>
      <c r="BW89" s="16"/>
      <c r="BX89" s="16"/>
      <c r="BY89" s="16">
        <f ca="1">_xll.DBRW($D$4,$E$7,$E$8,$E$9,$E$10,$E$12,$D89,$E$6,BY$18,BY$17)</f>
        <v>-1.5641447320298907</v>
      </c>
      <c r="BZ89" s="16">
        <f ca="1">_xll.DBRW($D$4,$E$7,$E$8,$E$9,$E$10,$E$12,$D89,$E$6,BZ$18,BZ$17)</f>
        <v>0.10238426114825701</v>
      </c>
      <c r="CA89" s="16"/>
      <c r="CB89" s="16"/>
      <c r="CC89" s="16"/>
      <c r="CD89" s="16"/>
      <c r="CE89" s="16">
        <f ca="1">_xll.DBRW($D$4,$E$7,$E$8,$E$9,$E$10,$E$12,$D89,$E$6,CE$18,CE$17)</f>
        <v>-2.0501439541300002</v>
      </c>
      <c r="CF89" s="16">
        <f ca="1">_xll.DBRW($D$4,$E$7,$E$8,$E$9,$E$10,$E$12,$D89,$E$6,CF$18,CF$17)</f>
        <v>0.13419632447872154</v>
      </c>
      <c r="CG89" s="16"/>
      <c r="CH89" s="16"/>
      <c r="CI89" s="16"/>
      <c r="CJ89" s="16"/>
      <c r="CK89" s="16">
        <f ca="1">_xll.DBRW($D$4,$E$7,$E$8,$E$9,$E$10,$E$12,$D89,$E$6,CK$18,CK$17)</f>
        <v>-2.360328</v>
      </c>
      <c r="CL89" s="16">
        <f ca="1">_xll.DBRW($D$4,$E$7,$E$8,$E$9,$E$10,$E$12,$D89,$E$6,CL$18,CL$17)</f>
        <v>0.15450004938732553</v>
      </c>
      <c r="CM89" s="16"/>
      <c r="CN89" s="16"/>
      <c r="CO89" s="16"/>
      <c r="CP89" s="16"/>
      <c r="CQ89" s="16">
        <f ca="1">_xll.DBRW($D$4,$E$7,$E$8,$E$9,$E$10,$E$12,$D89,$E$6,CQ$18,CQ$17)</f>
        <v>0.26583563999999998</v>
      </c>
      <c r="CR89" s="16">
        <f ca="1">_xll.DBRW($D$4,$E$7,$E$8,$E$9,$E$10,$E$12,$D89,$E$6,CR$18,CR$17)</f>
        <v>5.6306487999999995</v>
      </c>
      <c r="CS89" s="16">
        <f ca="1">_xll.DBRW($D$4,$E$7,$E$8,$E$9,$E$10,$E$12,$D89,$E$6,CS$18,CS$17)</f>
        <v>5.6306487999999995</v>
      </c>
      <c r="CT89" s="16">
        <f ca="1">_xll.DBRW($D$4,$E$7,$E$8,$E$9,$E$10,$E$12,$D89,$E$6,CT$18,CT$17)</f>
        <v>5.6306487999999995</v>
      </c>
      <c r="CU89" s="16">
        <f ca="1">_xll.DBRW($D$4,$E$7,$E$8,$E$9,$E$10,$E$12,$D89,$E$6,CU$18,CU$17)</f>
        <v>1.8752484498620003</v>
      </c>
      <c r="CV89" s="16">
        <f ca="1">_xll.DBRW($D$4,$E$7,$E$8,$E$9,$E$10,$E$12,$D89,$E$6,CV$18,CV$17)</f>
        <v>5.6306487999999995</v>
      </c>
      <c r="CW89" s="16">
        <f ca="1">_xll.DBRW($D$4,$E$7,$E$8,$E$9,$E$10,$E$12,$D89,$E$6,CW$18,CW$17)</f>
        <v>3.8029999999999999</v>
      </c>
      <c r="CX89" s="16">
        <f ca="1">_xll.DBRW($D$4,$E$7,$E$8,$E$9,$E$10,$E$12,$D89,$E$6,CX$18,CX$17)</f>
        <v>5.6306487999999995</v>
      </c>
      <c r="CY89" s="16">
        <f ca="1">_xll.DBRW($D$4,$E$7,$E$8,$E$9,$E$10,$E$12,$D89,$E$6,CY$18,CY$17)</f>
        <v>5.6306487999999995</v>
      </c>
      <c r="CZ89" s="16">
        <f ca="1">_xll.DBRW($D$4,$E$7,$E$8,$E$9,$E$10,$E$12,$D89,$E$6,CZ$18,CZ$17)</f>
        <v>5.6306487999999995</v>
      </c>
      <c r="DA89" s="26">
        <f t="shared" ca="1" si="89"/>
        <v>-0.28310562384011384</v>
      </c>
      <c r="DB89" s="26">
        <f t="shared" ca="1" si="90"/>
        <v>2.6125320000000118E-2</v>
      </c>
      <c r="DC89" s="26">
        <f t="shared" ca="1" si="91"/>
        <v>0</v>
      </c>
      <c r="DD89" s="26">
        <f t="shared" ca="1" si="92"/>
        <v>0</v>
      </c>
      <c r="DE89" s="26">
        <f t="shared" ca="1" si="93"/>
        <v>0</v>
      </c>
      <c r="DF89" s="26">
        <f t="shared" ca="1" si="94"/>
        <v>0</v>
      </c>
      <c r="DG89" s="26">
        <f t="shared" ca="1" si="95"/>
        <v>0</v>
      </c>
      <c r="DH89" s="26">
        <f t="shared" ca="1" si="96"/>
        <v>-0.30923094384011418</v>
      </c>
      <c r="DI89" s="26">
        <f t="shared" ca="1" si="97"/>
        <v>-1.4599934399999999</v>
      </c>
      <c r="DJ89" s="26">
        <f t="shared" ca="1" si="98"/>
        <v>0.47996551000000043</v>
      </c>
      <c r="DK89" s="26">
        <f t="shared" ca="1" si="99"/>
        <v>6.6159906435879212E-3</v>
      </c>
      <c r="DL89" s="26"/>
      <c r="DM89" s="26"/>
      <c r="DN89" s="26"/>
      <c r="DO89" s="26"/>
      <c r="DP89" s="26">
        <f t="shared" ca="1" si="100"/>
        <v>-1.3144699999999787E-2</v>
      </c>
      <c r="DQ89" s="26">
        <f t="shared" ca="1" si="101"/>
        <v>1.3984477137155116E-2</v>
      </c>
      <c r="DR89" s="26"/>
      <c r="DS89" s="26"/>
      <c r="DT89" s="26"/>
      <c r="DU89" s="26"/>
      <c r="DV89" s="26">
        <f t="shared" ca="1" si="102"/>
        <v>-2.9250157970109214E-2</v>
      </c>
      <c r="DW89" s="26">
        <f t="shared" ca="1" si="103"/>
        <v>1.2935358515851106E-2</v>
      </c>
      <c r="DX89" s="26"/>
      <c r="DY89" s="26"/>
      <c r="DZ89" s="26"/>
      <c r="EA89" s="26"/>
      <c r="EB89" s="26">
        <f t="shared" ca="1" si="104"/>
        <v>0.29086088412999977</v>
      </c>
      <c r="EC89" s="26">
        <f t="shared" ca="1" si="105"/>
        <v>-6.8707909357436647E-3</v>
      </c>
      <c r="ED89" s="26"/>
      <c r="EE89" s="26"/>
      <c r="EF89" s="26"/>
      <c r="EG89" s="26"/>
      <c r="EH89" s="26">
        <f t="shared" ca="1" si="106"/>
        <v>0.42233095999999959</v>
      </c>
      <c r="EI89" s="29">
        <f t="shared" ca="1" si="107"/>
        <v>-1.424035421347733E-2</v>
      </c>
      <c r="EJ89" s="29"/>
      <c r="EK89" s="29"/>
      <c r="EL89" s="29"/>
      <c r="EM89" s="29"/>
      <c r="EN89" s="93"/>
      <c r="EO89" s="29"/>
      <c r="EP89" s="29"/>
      <c r="EQ89" s="29"/>
      <c r="ER89" s="29"/>
      <c r="ES89" s="29"/>
      <c r="ET89" s="29"/>
      <c r="EU89" s="93"/>
      <c r="EV89" s="29"/>
      <c r="EW89" s="29"/>
      <c r="EX89" s="29"/>
      <c r="EY89" s="29"/>
      <c r="EZ89" s="29"/>
      <c r="FA89" s="29"/>
      <c r="FB89" s="93"/>
      <c r="FC89" s="29"/>
      <c r="FD89" s="29"/>
      <c r="FE89" s="29"/>
      <c r="FF89" s="29"/>
      <c r="FG89" s="29"/>
      <c r="FH89" s="29"/>
      <c r="FI89" s="93"/>
      <c r="FJ89" s="29"/>
      <c r="FK89" s="29"/>
      <c r="FL89" s="29"/>
      <c r="FM89" s="29"/>
      <c r="FN89" s="29"/>
      <c r="FO89" s="29"/>
      <c r="FP89" s="93"/>
      <c r="FQ89" s="29"/>
      <c r="FR89" s="29"/>
      <c r="FS89" s="29"/>
      <c r="FT89" s="29"/>
      <c r="FU89" s="29"/>
      <c r="FV89" s="29"/>
    </row>
    <row r="90" spans="1:178" x14ac:dyDescent="0.25">
      <c r="A90" t="str">
        <f ca="1">IF(_xll.TM1RPTELISCONSOLIDATED($D$28,$D90),IF(_xll.TM1RPTELLEV($D$28,$D90)&lt;=3,_xll.TM1RPTELLEV($D$28,$D90),"D"),"N")</f>
        <v>N</v>
      </c>
      <c r="B90" t="str">
        <f ca="1">_xll.DBRA(Server&amp;"Management_organization",$D90,$B$27)</f>
        <v>L</v>
      </c>
      <c r="C90">
        <v>1</v>
      </c>
      <c r="D90" s="2" t="s">
        <v>145</v>
      </c>
      <c r="E90" s="26"/>
      <c r="F90" s="26"/>
      <c r="G90" s="16">
        <f ca="1">_xll.DBRW($D$4,$E$7,$E$8,$E$9,$E$10,$E$12,$D90,$E$6,G$18,G$17)</f>
        <v>-1.4160671400000011</v>
      </c>
      <c r="H90" s="16">
        <f ca="1">_xll.DBRW($D$4,$E$7,$E$8,$E$9,$E$10,$E$12,$D90,$E$6,H$18,H$17)</f>
        <v>-0.93391140000000017</v>
      </c>
      <c r="I90" s="16">
        <f ca="1">_xll.DBRW($D$4,$E$7,$E$8,$E$9,$E$10,$E$12,$D90,$E$6,I$18,I$17)</f>
        <v>0</v>
      </c>
      <c r="J90" s="26">
        <f ca="1">_xll.DBRW($D$4,$E$7,$E$8,$E$9,$E$10,$E$12,$D90,$E$6,J$18,J$17)</f>
        <v>0</v>
      </c>
      <c r="K90" s="26">
        <f ca="1">_xll.DBRW($D$4,$E$7,$E$8,$E$9,$E$10,$E$12,$D90,$E$6,K$18,K$17)</f>
        <v>0</v>
      </c>
      <c r="L90" s="26">
        <f ca="1">_xll.DBRW($D$4,$E$7,$E$8,$E$9,$E$10,$E$12,$D90,$E$6,L$18,L$17)</f>
        <v>0</v>
      </c>
      <c r="M90" s="26">
        <f ca="1">_xll.DBRW($D$4,$E$7,$E$8,$E$9,$E$10,$E$12,$D90,$E$6,M$18,M$17)</f>
        <v>0</v>
      </c>
      <c r="N90" s="16">
        <f ca="1">_xll.DBRW($D$4,$E$7,$E$8,$E$9,$E$10,$E$12,$D90,$E$6,N$18,N$17)</f>
        <v>-0.48215574000000128</v>
      </c>
      <c r="O90" s="16">
        <f ca="1">_xll.DBRW($D$4,$E$7,$E$8,$E$9,$E$10,$E$12,$D90,$E$6,O$18,O$17)</f>
        <v>9.7753095499999993</v>
      </c>
      <c r="P90" s="74">
        <f ca="1">_xll.DBRW($D$4,$E$7,$E$8,$E$9,$E$10,$E$12,$D90,$E$6,P$18,P$17)</f>
        <v>-5.0548855299999991</v>
      </c>
      <c r="Q90" s="16">
        <f ca="1">_xll.DBRW($D$4,$E$7,$E$8,$E$9,$E$10,$E$12,$D90,$E$6,Q$18,Q$17)</f>
        <v>0.51710746387565798</v>
      </c>
      <c r="R90" s="16"/>
      <c r="S90" s="16"/>
      <c r="T90" s="16"/>
      <c r="U90" s="16"/>
      <c r="V90" s="16">
        <f ca="1">_xll.DBRW($D$4,$E$7,$E$8,$E$9,$E$10,$E$12,$D90,$E$6,V$18,V$17)</f>
        <v>-1.3452515600000001</v>
      </c>
      <c r="W90" s="16">
        <f ca="1">_xll.DBRW($D$4,$E$7,$E$8,$E$9,$E$10,$E$12,$D90,$E$6,W$18,W$17)</f>
        <v>0.13761728496874048</v>
      </c>
      <c r="X90" s="16"/>
      <c r="Y90" s="16"/>
      <c r="Z90" s="16"/>
      <c r="AA90" s="16"/>
      <c r="AB90" s="16">
        <f ca="1">_xll.DBRW($D$4,$E$7,$E$8,$E$9,$E$10,$E$12,$D90,$E$6,AB$18,AB$17)</f>
        <v>-1.1521922199999999</v>
      </c>
      <c r="AC90" s="16">
        <f ca="1">_xll.DBRW($D$4,$E$7,$E$8,$E$9,$E$10,$E$12,$D90,$E$6,AC$18,AC$17)</f>
        <v>0.11786759427991719</v>
      </c>
      <c r="AD90" s="16"/>
      <c r="AE90" s="16"/>
      <c r="AF90" s="16"/>
      <c r="AG90" s="16"/>
      <c r="AH90" s="16">
        <f ca="1">_xll.DBRW($D$4,$E$7,$E$8,$E$9,$E$10,$E$12,$D90,$E$6,AH$18,AH$17)</f>
        <v>-1.1400201000000001</v>
      </c>
      <c r="AI90" s="16">
        <f ca="1">_xll.DBRW($D$4,$E$7,$E$8,$E$9,$E$10,$E$12,$D90,$E$6,AI$18,AI$17)</f>
        <v>0.11662240404448371</v>
      </c>
      <c r="AJ90" s="16"/>
      <c r="AK90" s="16"/>
      <c r="AL90" s="16"/>
      <c r="AM90" s="16"/>
      <c r="AN90" s="16">
        <f ca="1">_xll.DBRW($D$4,$E$7,$E$8,$E$9,$E$10,$E$12,$D90,$E$6,AN$18,AN$17)</f>
        <v>-1.56511588</v>
      </c>
      <c r="AO90" s="16">
        <f ca="1">_xll.DBRW($D$4,$E$7,$E$8,$E$9,$E$10,$E$12,$D90,$E$6,AO$18,AO$17)</f>
        <v>0.16010908626417872</v>
      </c>
      <c r="AP90" s="16"/>
      <c r="AQ90" s="16"/>
      <c r="AR90" s="16"/>
      <c r="AS90" s="16"/>
      <c r="AT90" s="16">
        <f ca="1">_xll.DBRW($D$4,$E$7,$E$8,$E$9,$E$10,$E$12,$D90,$E$6,AT$18,AT$17)</f>
        <v>0.21094668</v>
      </c>
      <c r="AU90" s="16">
        <f ca="1">_xll.DBRW($D$4,$E$7,$E$8,$E$9,$E$10,$E$12,$D90,$E$6,AU$18,AU$17)</f>
        <v>4.6426170000000004</v>
      </c>
      <c r="AV90" s="16">
        <f ca="1">_xll.DBRW($D$4,$E$7,$E$8,$E$9,$E$10,$E$12,$D90,$E$6,AV$18,AV$17)</f>
        <v>4.6426170000000004</v>
      </c>
      <c r="AW90" s="16">
        <f ca="1">_xll.DBRW($D$4,$E$7,$E$8,$E$9,$E$10,$E$12,$D90,$E$6,AW$18,AW$17)</f>
        <v>4.6426170000000004</v>
      </c>
      <c r="AX90" s="16">
        <f ca="1">_xll.DBRW($D$4,$E$7,$E$8,$E$9,$E$10,$E$12,$D90,$E$6,AX$18,AX$17)</f>
        <v>1.4011097499999998</v>
      </c>
      <c r="AY90" s="16">
        <f ca="1">_xll.DBRW($D$4,$E$7,$E$8,$E$9,$E$10,$E$12,$D90,$E$6,AY$18,AY$17)</f>
        <v>4.6426170000000004</v>
      </c>
      <c r="AZ90" s="16">
        <f ca="1">_xll.DBRW($D$4,$E$7,$E$8,$E$9,$E$10,$E$12,$D90,$E$6,AZ$18,AZ$17)</f>
        <v>3.2414439999999995</v>
      </c>
      <c r="BA90" s="16">
        <f ca="1">_xll.DBRW($D$4,$E$7,$E$8,$E$9,$E$10,$E$12,$D90,$E$6,BA$18,BA$17)</f>
        <v>4.6426170000000004</v>
      </c>
      <c r="BB90" s="16">
        <f ca="1">_xll.DBRW($D$4,$E$7,$E$8,$E$9,$E$10,$E$12,$D90,$E$6,BB$18,BB$17)</f>
        <v>4.6426170000000004</v>
      </c>
      <c r="BC90" s="16">
        <f ca="1">_xll.DBRW($D$4,$E$7,$E$8,$E$9,$E$10,$E$12,$D90,$E$6,BC$18,BC$17)</f>
        <v>4.6426170000000004</v>
      </c>
      <c r="BD90" s="16">
        <f ca="1">_xll.DBRW($D$4,$E$7,$E$8,$E$9,$E$10,$E$12,$D90,$E$6,BD$18,BD$17)</f>
        <v>1.2123154191040024</v>
      </c>
      <c r="BE90" s="16">
        <f ca="1">_xll.DBRW($D$4,$E$7,$E$8,$E$9,$E$10,$E$12,$D90,$E$6,BE$18,BE$17)</f>
        <v>-1.2996208999999999</v>
      </c>
      <c r="BF90" s="16">
        <f ca="1">_xll.DBRW($D$4,$E$7,$E$8,$E$9,$E$10,$E$12,$D90,$E$6,BF$18,BF$17)</f>
        <v>0</v>
      </c>
      <c r="BG90" s="26">
        <f ca="1">_xll.DBRW($D$4,$E$7,$E$8,$E$9,$E$10,$E$12,$D90,$E$6,BG$18,BG$17)</f>
        <v>0</v>
      </c>
      <c r="BH90" s="26">
        <f ca="1">_xll.DBRW($D$4,$E$7,$E$8,$E$9,$E$10,$E$12,$D90,$E$6,BH$18,BH$17)</f>
        <v>0</v>
      </c>
      <c r="BI90" s="26">
        <f ca="1">_xll.DBRW($D$4,$E$7,$E$8,$E$9,$E$10,$E$12,$D90,$E$6,BI$18,BI$17)</f>
        <v>0</v>
      </c>
      <c r="BJ90" s="26">
        <f ca="1">_xll.DBRW($D$4,$E$7,$E$8,$E$9,$E$10,$E$12,$D90,$E$6,BJ$18,BJ$17)</f>
        <v>0</v>
      </c>
      <c r="BK90" s="16">
        <f ca="1">_xll.DBRW($D$4,$E$7,$E$8,$E$9,$E$10,$E$12,$D90,$E$6,BK$18,BK$17)</f>
        <v>2.5119363191040023</v>
      </c>
      <c r="BL90" s="16">
        <f ca="1">_xll.DBRW($D$4,$E$7,$E$8,$E$9,$E$10,$E$12,$D90,$E$6,BL$18,BL$17)</f>
        <v>14.5056736</v>
      </c>
      <c r="BM90" s="16">
        <f ca="1">_xll.DBRW($D$4,$E$7,$E$8,$E$9,$E$10,$E$12,$D90,$E$6,BM$18,BM$17)</f>
        <v>-5.8226907999999984</v>
      </c>
      <c r="BN90" s="16">
        <f ca="1">_xll.DBRW($D$4,$E$7,$E$8,$E$9,$E$10,$E$12,$D90,$E$6,BN$18,BN$17)</f>
        <v>0.40140781879994863</v>
      </c>
      <c r="BO90" s="16"/>
      <c r="BP90" s="16"/>
      <c r="BQ90" s="16"/>
      <c r="BR90" s="16"/>
      <c r="BS90" s="16">
        <f ca="1">_xll.DBRW($D$4,$E$7,$E$8,$E$9,$E$10,$E$12,$D90,$E$6,BS$18,BS$17)</f>
        <v>-1.4314636999999999</v>
      </c>
      <c r="BT90" s="16">
        <f ca="1">_xll.DBRW($D$4,$E$7,$E$8,$E$9,$E$10,$E$12,$D90,$E$6,BT$18,BT$17)</f>
        <v>9.8683021517870076E-2</v>
      </c>
      <c r="BU90" s="16"/>
      <c r="BV90" s="16"/>
      <c r="BW90" s="16"/>
      <c r="BX90" s="16"/>
      <c r="BY90" s="16">
        <f ca="1">_xll.DBRW($D$4,$E$7,$E$8,$E$9,$E$10,$E$12,$D90,$E$6,BY$18,BY$17)</f>
        <v>-1.3426286808959997</v>
      </c>
      <c r="BZ90" s="16">
        <f ca="1">_xll.DBRW($D$4,$E$7,$E$8,$E$9,$E$10,$E$12,$D90,$E$6,BZ$18,BZ$17)</f>
        <v>9.2558864753168019E-2</v>
      </c>
      <c r="CA90" s="16"/>
      <c r="CB90" s="16"/>
      <c r="CC90" s="16"/>
      <c r="CD90" s="16"/>
      <c r="CE90" s="16">
        <f ca="1">_xll.DBRW($D$4,$E$7,$E$8,$E$9,$E$10,$E$12,$D90,$E$6,CE$18,CE$17)</f>
        <v>-1.3526805</v>
      </c>
      <c r="CF90" s="16">
        <f ca="1">_xll.DBRW($D$4,$E$7,$E$8,$E$9,$E$10,$E$12,$D90,$E$6,CF$18,CF$17)</f>
        <v>9.3251822514467717E-2</v>
      </c>
      <c r="CG90" s="16"/>
      <c r="CH90" s="16"/>
      <c r="CI90" s="16"/>
      <c r="CJ90" s="16"/>
      <c r="CK90" s="16">
        <f ca="1">_xll.DBRW($D$4,$E$7,$E$8,$E$9,$E$10,$E$12,$D90,$E$6,CK$18,CK$17)</f>
        <v>-2.0442735999999999</v>
      </c>
      <c r="CL90" s="16">
        <f ca="1">_xll.DBRW($D$4,$E$7,$E$8,$E$9,$E$10,$E$12,$D90,$E$6,CL$18,CL$17)</f>
        <v>0.14092924302391582</v>
      </c>
      <c r="CM90" s="16"/>
      <c r="CN90" s="16"/>
      <c r="CO90" s="16"/>
      <c r="CP90" s="16"/>
      <c r="CQ90" s="16">
        <f ca="1">_xll.DBRW($D$4,$E$7,$E$8,$E$9,$E$10,$E$12,$D90,$E$6,CQ$18,CQ$17)</f>
        <v>0.22183399999999998</v>
      </c>
      <c r="CR90" s="16">
        <f ca="1">_xll.DBRW($D$4,$E$7,$E$8,$E$9,$E$10,$E$12,$D90,$E$6,CR$18,CR$17)</f>
        <v>5.3198399999999992</v>
      </c>
      <c r="CS90" s="16">
        <f ca="1">_xll.DBRW($D$4,$E$7,$E$8,$E$9,$E$10,$E$12,$D90,$E$6,CS$18,CS$17)</f>
        <v>5.3198399999999992</v>
      </c>
      <c r="CT90" s="16">
        <f ca="1">_xll.DBRW($D$4,$E$7,$E$8,$E$9,$E$10,$E$12,$D90,$E$6,CT$18,CT$17)</f>
        <v>5.3198399999999992</v>
      </c>
      <c r="CU90" s="16">
        <f ca="1">_xll.DBRW($D$4,$E$7,$E$8,$E$9,$E$10,$E$12,$D90,$E$6,CU$18,CU$17)</f>
        <v>1.6065916799999997</v>
      </c>
      <c r="CV90" s="16">
        <f ca="1">_xll.DBRW($D$4,$E$7,$E$8,$E$9,$E$10,$E$12,$D90,$E$6,CV$18,CV$17)</f>
        <v>5.3198399999999992</v>
      </c>
      <c r="CW90" s="16">
        <f ca="1">_xll.DBRW($D$4,$E$7,$E$8,$E$9,$E$10,$E$12,$D90,$E$6,CW$18,CW$17)</f>
        <v>3.8485624709000006</v>
      </c>
      <c r="CX90" s="16">
        <f ca="1">_xll.DBRW($D$4,$E$7,$E$8,$E$9,$E$10,$E$12,$D90,$E$6,CX$18,CX$17)</f>
        <v>5.3198399999999992</v>
      </c>
      <c r="CY90" s="16">
        <f ca="1">_xll.DBRW($D$4,$E$7,$E$8,$E$9,$E$10,$E$12,$D90,$E$6,CY$18,CY$17)</f>
        <v>5.3198399999999992</v>
      </c>
      <c r="CZ90" s="16">
        <f ca="1">_xll.DBRW($D$4,$E$7,$E$8,$E$9,$E$10,$E$12,$D90,$E$6,CZ$18,CZ$17)</f>
        <v>5.3198399999999992</v>
      </c>
      <c r="DA90" s="26">
        <f t="shared" ca="1" si="89"/>
        <v>-2.6283825591040033</v>
      </c>
      <c r="DB90" s="26">
        <f t="shared" ca="1" si="90"/>
        <v>0.36570949999999969</v>
      </c>
      <c r="DC90" s="26">
        <f t="shared" ca="1" si="91"/>
        <v>0</v>
      </c>
      <c r="DD90" s="26">
        <f t="shared" ca="1" si="92"/>
        <v>0</v>
      </c>
      <c r="DE90" s="26">
        <f t="shared" ca="1" si="93"/>
        <v>0</v>
      </c>
      <c r="DF90" s="26">
        <f t="shared" ca="1" si="94"/>
        <v>0</v>
      </c>
      <c r="DG90" s="26">
        <f t="shared" ca="1" si="95"/>
        <v>0</v>
      </c>
      <c r="DH90" s="26">
        <f t="shared" ca="1" si="96"/>
        <v>-2.9940920591040037</v>
      </c>
      <c r="DI90" s="26">
        <f t="shared" ca="1" si="97"/>
        <v>-4.7303640500000004</v>
      </c>
      <c r="DJ90" s="26">
        <f t="shared" ca="1" si="98"/>
        <v>0.76780526999999932</v>
      </c>
      <c r="DK90" s="26">
        <f t="shared" ca="1" si="99"/>
        <v>0.11569964507570935</v>
      </c>
      <c r="DL90" s="26"/>
      <c r="DM90" s="26"/>
      <c r="DN90" s="26"/>
      <c r="DO90" s="26"/>
      <c r="DP90" s="26">
        <f t="shared" ca="1" si="100"/>
        <v>8.6212139999999771E-2</v>
      </c>
      <c r="DQ90" s="26">
        <f t="shared" ca="1" si="101"/>
        <v>3.8934263450870407E-2</v>
      </c>
      <c r="DR90" s="26"/>
      <c r="DS90" s="26"/>
      <c r="DT90" s="26"/>
      <c r="DU90" s="26"/>
      <c r="DV90" s="26">
        <f t="shared" ca="1" si="102"/>
        <v>0.19043646089599986</v>
      </c>
      <c r="DW90" s="26">
        <f t="shared" ca="1" si="103"/>
        <v>2.5308729526749174E-2</v>
      </c>
      <c r="DX90" s="26"/>
      <c r="DY90" s="26"/>
      <c r="DZ90" s="26"/>
      <c r="EA90" s="26"/>
      <c r="EB90" s="26">
        <f t="shared" ca="1" si="104"/>
        <v>0.21266039999999986</v>
      </c>
      <c r="EC90" s="26">
        <f t="shared" ca="1" si="105"/>
        <v>2.3370581530015991E-2</v>
      </c>
      <c r="ED90" s="26"/>
      <c r="EE90" s="26"/>
      <c r="EF90" s="26"/>
      <c r="EG90" s="26"/>
      <c r="EH90" s="26">
        <f t="shared" ca="1" si="106"/>
        <v>0.4791577199999999</v>
      </c>
      <c r="EI90" s="29">
        <f t="shared" ca="1" si="107"/>
        <v>1.9179843240262895E-2</v>
      </c>
      <c r="EJ90" s="29"/>
      <c r="EK90" s="29"/>
      <c r="EL90" s="29"/>
      <c r="EM90" s="29"/>
      <c r="EN90" s="93"/>
      <c r="EO90" s="29"/>
      <c r="EP90" s="29"/>
      <c r="EQ90" s="29"/>
      <c r="ER90" s="29"/>
      <c r="ES90" s="29"/>
      <c r="ET90" s="29"/>
      <c r="EU90" s="93"/>
      <c r="EV90" s="29"/>
      <c r="EW90" s="29"/>
      <c r="EX90" s="29"/>
      <c r="EY90" s="29"/>
      <c r="EZ90" s="29"/>
      <c r="FA90" s="29"/>
      <c r="FB90" s="93"/>
      <c r="FC90" s="29"/>
      <c r="FD90" s="29"/>
      <c r="FE90" s="29"/>
      <c r="FF90" s="29"/>
      <c r="FG90" s="29"/>
      <c r="FH90" s="29"/>
      <c r="FI90" s="93"/>
      <c r="FJ90" s="29"/>
      <c r="FK90" s="29"/>
      <c r="FL90" s="29"/>
      <c r="FM90" s="29"/>
      <c r="FN90" s="29"/>
      <c r="FO90" s="29"/>
      <c r="FP90" s="93"/>
      <c r="FQ90" s="29"/>
      <c r="FR90" s="29"/>
      <c r="FS90" s="29"/>
      <c r="FT90" s="29"/>
      <c r="FU90" s="29"/>
      <c r="FV90" s="29"/>
    </row>
    <row r="91" spans="1:178" x14ac:dyDescent="0.25">
      <c r="A91" t="str">
        <f ca="1">IF(_xll.TM1RPTELISCONSOLIDATED($D$28,$D91),IF(_xll.TM1RPTELLEV($D$28,$D91)&lt;=3,_xll.TM1RPTELLEV($D$28,$D91),"D"),"N")</f>
        <v>N</v>
      </c>
      <c r="B91" t="str">
        <f ca="1">_xll.DBRA(Server&amp;"Management_organization",$D91,$B$27)</f>
        <v>L</v>
      </c>
      <c r="C91">
        <v>1</v>
      </c>
      <c r="D91" s="2" t="s">
        <v>146</v>
      </c>
      <c r="E91" s="26"/>
      <c r="F91" s="26"/>
      <c r="G91" s="16">
        <f ca="1">_xll.DBRW($D$4,$E$7,$E$8,$E$9,$E$10,$E$12,$D91,$E$6,G$18,G$17)</f>
        <v>-5.6927879999999459E-2</v>
      </c>
      <c r="H91" s="16">
        <f ca="1">_xll.DBRW($D$4,$E$7,$E$8,$E$9,$E$10,$E$12,$D91,$E$6,H$18,H$17)</f>
        <v>-0.23466323999999994</v>
      </c>
      <c r="I91" s="16">
        <f ca="1">_xll.DBRW($D$4,$E$7,$E$8,$E$9,$E$10,$E$12,$D91,$E$6,I$18,I$17)</f>
        <v>0</v>
      </c>
      <c r="J91" s="26">
        <f ca="1">_xll.DBRW($D$4,$E$7,$E$8,$E$9,$E$10,$E$12,$D91,$E$6,J$18,J$17)</f>
        <v>-5.4973999999999995E-4</v>
      </c>
      <c r="K91" s="26">
        <f ca="1">_xll.DBRW($D$4,$E$7,$E$8,$E$9,$E$10,$E$12,$D91,$E$6,K$18,K$17)</f>
        <v>0</v>
      </c>
      <c r="L91" s="26">
        <f ca="1">_xll.DBRW($D$4,$E$7,$E$8,$E$9,$E$10,$E$12,$D91,$E$6,L$18,L$17)</f>
        <v>0</v>
      </c>
      <c r="M91" s="26">
        <f ca="1">_xll.DBRW($D$4,$E$7,$E$8,$E$9,$E$10,$E$12,$D91,$E$6,M$18,M$17)</f>
        <v>0</v>
      </c>
      <c r="N91" s="16">
        <f ca="1">_xll.DBRW($D$4,$E$7,$E$8,$E$9,$E$10,$E$12,$D91,$E$6,N$18,N$17)</f>
        <v>0.17828510000000053</v>
      </c>
      <c r="O91" s="16">
        <f ca="1">_xll.DBRW($D$4,$E$7,$E$8,$E$9,$E$10,$E$12,$D91,$E$6,O$18,O$17)</f>
        <v>4.4822675600000004</v>
      </c>
      <c r="P91" s="74">
        <f ca="1">_xll.DBRW($D$4,$E$7,$E$8,$E$9,$E$10,$E$12,$D91,$E$6,P$18,P$17)</f>
        <v>-1.7031671499999999</v>
      </c>
      <c r="Q91" s="16">
        <f ca="1">_xll.DBRW($D$4,$E$7,$E$8,$E$9,$E$10,$E$12,$D91,$E$6,Q$18,Q$17)</f>
        <v>0.37997891183452681</v>
      </c>
      <c r="R91" s="16"/>
      <c r="S91" s="16"/>
      <c r="T91" s="16"/>
      <c r="U91" s="16"/>
      <c r="V91" s="16">
        <f ca="1">_xll.DBRW($D$4,$E$7,$E$8,$E$9,$E$10,$E$12,$D91,$E$6,V$18,V$17)</f>
        <v>-0.48728836000000003</v>
      </c>
      <c r="W91" s="16">
        <f ca="1">_xll.DBRW($D$4,$E$7,$E$8,$E$9,$E$10,$E$12,$D91,$E$6,W$18,W$17)</f>
        <v>0.10871469707622719</v>
      </c>
      <c r="X91" s="16"/>
      <c r="Y91" s="16"/>
      <c r="Z91" s="16"/>
      <c r="AA91" s="16"/>
      <c r="AB91" s="16">
        <f ca="1">_xll.DBRW($D$4,$E$7,$E$8,$E$9,$E$10,$E$12,$D91,$E$6,AB$18,AB$17)</f>
        <v>-0.47016148000000002</v>
      </c>
      <c r="AC91" s="16">
        <f ca="1">_xll.DBRW($D$4,$E$7,$E$8,$E$9,$E$10,$E$12,$D91,$E$6,AC$18,AC$17)</f>
        <v>0.10489366681180451</v>
      </c>
      <c r="AD91" s="16"/>
      <c r="AE91" s="16"/>
      <c r="AF91" s="16"/>
      <c r="AG91" s="16"/>
      <c r="AH91" s="16">
        <f ca="1">_xll.DBRW($D$4,$E$7,$E$8,$E$9,$E$10,$E$12,$D91,$E$6,AH$18,AH$17)</f>
        <v>-0.78191250000000001</v>
      </c>
      <c r="AI91" s="16">
        <f ca="1">_xll.DBRW($D$4,$E$7,$E$8,$E$9,$E$10,$E$12,$D91,$E$6,AI$18,AI$17)</f>
        <v>0.17444574415365779</v>
      </c>
      <c r="AJ91" s="16"/>
      <c r="AK91" s="16"/>
      <c r="AL91" s="16"/>
      <c r="AM91" s="16"/>
      <c r="AN91" s="16">
        <f ca="1">_xll.DBRW($D$4,$E$7,$E$8,$E$9,$E$10,$E$12,$D91,$E$6,AN$18,AN$17)</f>
        <v>-0.86145296999999976</v>
      </c>
      <c r="AO91" s="16">
        <f ca="1">_xll.DBRW($D$4,$E$7,$E$8,$E$9,$E$10,$E$12,$D91,$E$6,AO$18,AO$17)</f>
        <v>0.19219133138941838</v>
      </c>
      <c r="AP91" s="16"/>
      <c r="AQ91" s="16"/>
      <c r="AR91" s="16"/>
      <c r="AS91" s="16"/>
      <c r="AT91" s="16">
        <f ca="1">_xll.DBRW($D$4,$E$7,$E$8,$E$9,$E$10,$E$12,$D91,$E$6,AT$18,AT$17)</f>
        <v>7.8390180000000004E-2</v>
      </c>
      <c r="AU91" s="16">
        <f ca="1">_xll.DBRW($D$4,$E$7,$E$8,$E$9,$E$10,$E$12,$D91,$E$6,AU$18,AU$17)</f>
        <v>1.7923889</v>
      </c>
      <c r="AV91" s="16">
        <f ca="1">_xll.DBRW($D$4,$E$7,$E$8,$E$9,$E$10,$E$12,$D91,$E$6,AV$18,AV$17)</f>
        <v>1.7923889</v>
      </c>
      <c r="AW91" s="16">
        <f ca="1">_xll.DBRW($D$4,$E$7,$E$8,$E$9,$E$10,$E$12,$D91,$E$6,AW$18,AW$17)</f>
        <v>1.7923889</v>
      </c>
      <c r="AX91" s="16">
        <f ca="1">_xll.DBRW($D$4,$E$7,$E$8,$E$9,$E$10,$E$12,$D91,$E$6,AX$18,AX$17)</f>
        <v>0.48698999999999998</v>
      </c>
      <c r="AY91" s="16">
        <f ca="1">_xll.DBRW($D$4,$E$7,$E$8,$E$9,$E$10,$E$12,$D91,$E$6,AY$18,AY$17)</f>
        <v>1.7923889</v>
      </c>
      <c r="AZ91" s="16">
        <f ca="1">_xll.DBRW($D$4,$E$7,$E$8,$E$9,$E$10,$E$12,$D91,$E$6,AZ$18,AZ$17)</f>
        <v>1.1464029999999998</v>
      </c>
      <c r="BA91" s="16">
        <f ca="1">_xll.DBRW($D$4,$E$7,$E$8,$E$9,$E$10,$E$12,$D91,$E$6,BA$18,BA$17)</f>
        <v>1.7923889</v>
      </c>
      <c r="BB91" s="16">
        <f ca="1">_xll.DBRW($D$4,$E$7,$E$8,$E$9,$E$10,$E$12,$D91,$E$6,BB$18,BB$17)</f>
        <v>1.7923889</v>
      </c>
      <c r="BC91" s="16">
        <f ca="1">_xll.DBRW($D$4,$E$7,$E$8,$E$9,$E$10,$E$12,$D91,$E$6,BC$18,BC$17)</f>
        <v>1.7923889</v>
      </c>
      <c r="BD91" s="16">
        <f ca="1">_xll.DBRW($D$4,$E$7,$E$8,$E$9,$E$10,$E$12,$D91,$E$6,BD$18,BD$17)</f>
        <v>-0.10434579573192368</v>
      </c>
      <c r="BE91" s="16">
        <f ca="1">_xll.DBRW($D$4,$E$7,$E$8,$E$9,$E$10,$E$12,$D91,$E$6,BE$18,BE$17)</f>
        <v>-0.35997774999999999</v>
      </c>
      <c r="BF91" s="16">
        <f ca="1">_xll.DBRW($D$4,$E$7,$E$8,$E$9,$E$10,$E$12,$D91,$E$6,BF$18,BF$17)</f>
        <v>0</v>
      </c>
      <c r="BG91" s="26">
        <f ca="1">_xll.DBRW($D$4,$E$7,$E$8,$E$9,$E$10,$E$12,$D91,$E$6,BG$18,BG$17)</f>
        <v>0</v>
      </c>
      <c r="BH91" s="26">
        <f ca="1">_xll.DBRW($D$4,$E$7,$E$8,$E$9,$E$10,$E$12,$D91,$E$6,BH$18,BH$17)</f>
        <v>0</v>
      </c>
      <c r="BI91" s="26">
        <f ca="1">_xll.DBRW($D$4,$E$7,$E$8,$E$9,$E$10,$E$12,$D91,$E$6,BI$18,BI$17)</f>
        <v>0</v>
      </c>
      <c r="BJ91" s="26">
        <f ca="1">_xll.DBRW($D$4,$E$7,$E$8,$E$9,$E$10,$E$12,$D91,$E$6,BJ$18,BJ$17)</f>
        <v>0</v>
      </c>
      <c r="BK91" s="16">
        <f ca="1">_xll.DBRW($D$4,$E$7,$E$8,$E$9,$E$10,$E$12,$D91,$E$6,BK$18,BK$17)</f>
        <v>0.25563195426807628</v>
      </c>
      <c r="BL91" s="16">
        <f ca="1">_xll.DBRW($D$4,$E$7,$E$8,$E$9,$E$10,$E$12,$D91,$E$6,BL$18,BL$17)</f>
        <v>4.6949281899999997</v>
      </c>
      <c r="BM91" s="16">
        <f ca="1">_xll.DBRW($D$4,$E$7,$E$8,$E$9,$E$10,$E$12,$D91,$E$6,BM$18,BM$17)</f>
        <v>-1.7110359099999999</v>
      </c>
      <c r="BN91" s="16">
        <f ca="1">_xll.DBRW($D$4,$E$7,$E$8,$E$9,$E$10,$E$12,$D91,$E$6,BN$18,BN$17)</f>
        <v>0.36444346766462471</v>
      </c>
      <c r="BO91" s="16"/>
      <c r="BP91" s="16"/>
      <c r="BQ91" s="16"/>
      <c r="BR91" s="16"/>
      <c r="BS91" s="16">
        <f ca="1">_xll.DBRW($D$4,$E$7,$E$8,$E$9,$E$10,$E$12,$D91,$E$6,BS$18,BS$17)</f>
        <v>-0.51575229</v>
      </c>
      <c r="BT91" s="16">
        <f ca="1">_xll.DBRW($D$4,$E$7,$E$8,$E$9,$E$10,$E$12,$D91,$E$6,BT$18,BT$17)</f>
        <v>0.10985307317341525</v>
      </c>
      <c r="BU91" s="16"/>
      <c r="BV91" s="16"/>
      <c r="BW91" s="16"/>
      <c r="BX91" s="16"/>
      <c r="BY91" s="16">
        <f ca="1">_xll.DBRW($D$4,$E$7,$E$8,$E$9,$E$10,$E$12,$D91,$E$6,BY$18,BY$17)</f>
        <v>-0.45668866573192352</v>
      </c>
      <c r="BZ91" s="16">
        <f ca="1">_xll.DBRW($D$4,$E$7,$E$8,$E$9,$E$10,$E$12,$D91,$E$6,BZ$18,BZ$17)</f>
        <v>9.7272769092539318E-2</v>
      </c>
      <c r="CA91" s="16"/>
      <c r="CB91" s="16"/>
      <c r="CC91" s="16"/>
      <c r="CD91" s="16"/>
      <c r="CE91" s="16">
        <f ca="1">_xll.DBRW($D$4,$E$7,$E$8,$E$9,$E$10,$E$12,$D91,$E$6,CE$18,CE$17)</f>
        <v>-0.85821658999999983</v>
      </c>
      <c r="CF91" s="16">
        <f ca="1">_xll.DBRW($D$4,$E$7,$E$8,$E$9,$E$10,$E$12,$D91,$E$6,CF$18,CF$17)</f>
        <v>0.18279653176122379</v>
      </c>
      <c r="CG91" s="16"/>
      <c r="CH91" s="16"/>
      <c r="CI91" s="16"/>
      <c r="CJ91" s="16"/>
      <c r="CK91" s="16">
        <f ca="1">_xll.DBRW($D$4,$E$7,$E$8,$E$9,$E$10,$E$12,$D91,$E$6,CK$18,CK$17)</f>
        <v>-0.89760278000000004</v>
      </c>
      <c r="CL91" s="16">
        <f ca="1">_xll.DBRW($D$4,$E$7,$E$8,$E$9,$E$10,$E$12,$D91,$E$6,CL$18,CL$17)</f>
        <v>0.19118562492858918</v>
      </c>
      <c r="CM91" s="16"/>
      <c r="CN91" s="16"/>
      <c r="CO91" s="16"/>
      <c r="CP91" s="16"/>
      <c r="CQ91" s="16">
        <f ca="1">_xll.DBRW($D$4,$E$7,$E$8,$E$9,$E$10,$E$12,$D91,$E$6,CQ$18,CQ$17)</f>
        <v>7.4796939999999992E-2</v>
      </c>
      <c r="CR91" s="16">
        <f ca="1">_xll.DBRW($D$4,$E$7,$E$8,$E$9,$E$10,$E$12,$D91,$E$6,CR$18,CR$17)</f>
        <v>1.8646053538699994</v>
      </c>
      <c r="CS91" s="16">
        <f ca="1">_xll.DBRW($D$4,$E$7,$E$8,$E$9,$E$10,$E$12,$D91,$E$6,CS$18,CS$17)</f>
        <v>1.8646053538699994</v>
      </c>
      <c r="CT91" s="16">
        <f ca="1">_xll.DBRW($D$4,$E$7,$E$8,$E$9,$E$10,$E$12,$D91,$E$6,CT$18,CT$17)</f>
        <v>1.8646053538699994</v>
      </c>
      <c r="CU91" s="16">
        <f ca="1">_xll.DBRW($D$4,$E$7,$E$8,$E$9,$E$10,$E$12,$D91,$E$6,CU$18,CU$17)</f>
        <v>0.54641471930447605</v>
      </c>
      <c r="CV91" s="16">
        <f ca="1">_xll.DBRW($D$4,$E$7,$E$8,$E$9,$E$10,$E$12,$D91,$E$6,CV$18,CV$17)</f>
        <v>1.8646053538699994</v>
      </c>
      <c r="CW91" s="16">
        <f ca="1">_xll.DBRW($D$4,$E$7,$E$8,$E$9,$E$10,$E$12,$D91,$E$6,CW$18,CW$17)</f>
        <v>1.40944</v>
      </c>
      <c r="CX91" s="16">
        <f ca="1">_xll.DBRW($D$4,$E$7,$E$8,$E$9,$E$10,$E$12,$D91,$E$6,CX$18,CX$17)</f>
        <v>1.8646053538699994</v>
      </c>
      <c r="CY91" s="16">
        <f ca="1">_xll.DBRW($D$4,$E$7,$E$8,$E$9,$E$10,$E$12,$D91,$E$6,CY$18,CY$17)</f>
        <v>1.8646053538699994</v>
      </c>
      <c r="CZ91" s="16">
        <f ca="1">_xll.DBRW($D$4,$E$7,$E$8,$E$9,$E$10,$E$12,$D91,$E$6,CZ$18,CZ$17)</f>
        <v>1.8646053538699994</v>
      </c>
      <c r="DA91" s="26">
        <f t="shared" ca="1" si="89"/>
        <v>4.7417915731924221E-2</v>
      </c>
      <c r="DB91" s="26">
        <f t="shared" ca="1" si="90"/>
        <v>0.12531451000000005</v>
      </c>
      <c r="DC91" s="26">
        <f t="shared" ca="1" si="91"/>
        <v>0</v>
      </c>
      <c r="DD91" s="26">
        <f t="shared" ca="1" si="92"/>
        <v>-5.4973999999999995E-4</v>
      </c>
      <c r="DE91" s="26">
        <f t="shared" ca="1" si="93"/>
        <v>0</v>
      </c>
      <c r="DF91" s="26">
        <f t="shared" ca="1" si="94"/>
        <v>0</v>
      </c>
      <c r="DG91" s="26">
        <f t="shared" ca="1" si="95"/>
        <v>0</v>
      </c>
      <c r="DH91" s="26">
        <f t="shared" ca="1" si="96"/>
        <v>-7.7346854268075749E-2</v>
      </c>
      <c r="DI91" s="26">
        <f t="shared" ca="1" si="97"/>
        <v>-0.21266062999999935</v>
      </c>
      <c r="DJ91" s="26">
        <f t="shared" ca="1" si="98"/>
        <v>7.8687600000000302E-3</v>
      </c>
      <c r="DK91" s="26">
        <f t="shared" ca="1" si="99"/>
        <v>1.5535444169902102E-2</v>
      </c>
      <c r="DL91" s="26"/>
      <c r="DM91" s="26"/>
      <c r="DN91" s="26"/>
      <c r="DO91" s="26"/>
      <c r="DP91" s="26">
        <f t="shared" ca="1" si="100"/>
        <v>2.8463929999999971E-2</v>
      </c>
      <c r="DQ91" s="26">
        <f t="shared" ca="1" si="101"/>
        <v>-1.1383760971880597E-3</v>
      </c>
      <c r="DR91" s="26"/>
      <c r="DS91" s="26"/>
      <c r="DT91" s="26"/>
      <c r="DU91" s="26"/>
      <c r="DV91" s="26">
        <f t="shared" ca="1" si="102"/>
        <v>-1.3472814268076505E-2</v>
      </c>
      <c r="DW91" s="26">
        <f t="shared" ca="1" si="103"/>
        <v>7.6208977192651906E-3</v>
      </c>
      <c r="DX91" s="26"/>
      <c r="DY91" s="26"/>
      <c r="DZ91" s="26"/>
      <c r="EA91" s="26"/>
      <c r="EB91" s="26">
        <f t="shared" ca="1" si="104"/>
        <v>7.6304089999999825E-2</v>
      </c>
      <c r="EC91" s="26">
        <f t="shared" ca="1" si="105"/>
        <v>-8.3507876075659959E-3</v>
      </c>
      <c r="ED91" s="26"/>
      <c r="EE91" s="26"/>
      <c r="EF91" s="26"/>
      <c r="EG91" s="26"/>
      <c r="EH91" s="26">
        <f t="shared" ca="1" si="106"/>
        <v>3.6149810000000282E-2</v>
      </c>
      <c r="EI91" s="29">
        <f t="shared" ca="1" si="107"/>
        <v>1.0057064608292032E-3</v>
      </c>
      <c r="EJ91" s="29"/>
      <c r="EK91" s="29"/>
      <c r="EL91" s="29"/>
      <c r="EM91" s="29"/>
      <c r="EN91" s="93"/>
      <c r="EO91" s="29"/>
      <c r="EP91" s="29"/>
      <c r="EQ91" s="29"/>
      <c r="ER91" s="29"/>
      <c r="ES91" s="29"/>
      <c r="ET91" s="29"/>
      <c r="EU91" s="93"/>
      <c r="EV91" s="29"/>
      <c r="EW91" s="29"/>
      <c r="EX91" s="29"/>
      <c r="EY91" s="29"/>
      <c r="EZ91" s="29"/>
      <c r="FA91" s="29"/>
      <c r="FB91" s="93"/>
      <c r="FC91" s="29"/>
      <c r="FD91" s="29"/>
      <c r="FE91" s="29"/>
      <c r="FF91" s="29"/>
      <c r="FG91" s="29"/>
      <c r="FH91" s="29"/>
      <c r="FI91" s="93"/>
      <c r="FJ91" s="29"/>
      <c r="FK91" s="29"/>
      <c r="FL91" s="29"/>
      <c r="FM91" s="29"/>
      <c r="FN91" s="29"/>
      <c r="FO91" s="29"/>
      <c r="FP91" s="93"/>
      <c r="FQ91" s="29"/>
      <c r="FR91" s="29"/>
      <c r="FS91" s="29"/>
      <c r="FT91" s="29"/>
      <c r="FU91" s="29"/>
      <c r="FV91" s="29"/>
    </row>
    <row r="92" spans="1:178" x14ac:dyDescent="0.25">
      <c r="A92" t="str">
        <f ca="1">IF(_xll.TM1RPTELISCONSOLIDATED($D$28,$D92),IF(_xll.TM1RPTELLEV($D$28,$D92)&lt;=3,_xll.TM1RPTELLEV($D$28,$D92),"D"),"N")</f>
        <v>N</v>
      </c>
      <c r="B92" t="str">
        <f ca="1">_xll.DBRA(Server&amp;"Management_organization",$D92,$B$27)</f>
        <v>L</v>
      </c>
      <c r="C92">
        <v>1</v>
      </c>
      <c r="D92" s="2" t="s">
        <v>147</v>
      </c>
      <c r="E92" s="26"/>
      <c r="F92" s="26"/>
      <c r="G92" s="16">
        <f ca="1">_xll.DBRW($D$4,$E$7,$E$8,$E$9,$E$10,$E$12,$D92,$E$6,G$18,G$17)</f>
        <v>-0.47640034000000464</v>
      </c>
      <c r="H92" s="16">
        <f ca="1">_xll.DBRW($D$4,$E$7,$E$8,$E$9,$E$10,$E$12,$D92,$E$6,H$18,H$17)</f>
        <v>-1.6383638200000001</v>
      </c>
      <c r="I92" s="16">
        <f ca="1">_xll.DBRW($D$4,$E$7,$E$8,$E$9,$E$10,$E$12,$D92,$E$6,I$18,I$17)</f>
        <v>0</v>
      </c>
      <c r="J92" s="26">
        <f ca="1">_xll.DBRW($D$4,$E$7,$E$8,$E$9,$E$10,$E$12,$D92,$E$6,J$18,J$17)</f>
        <v>0</v>
      </c>
      <c r="K92" s="26">
        <f ca="1">_xll.DBRW($D$4,$E$7,$E$8,$E$9,$E$10,$E$12,$D92,$E$6,K$18,K$17)</f>
        <v>0</v>
      </c>
      <c r="L92" s="26">
        <f ca="1">_xll.DBRW($D$4,$E$7,$E$8,$E$9,$E$10,$E$12,$D92,$E$6,L$18,L$17)</f>
        <v>0</v>
      </c>
      <c r="M92" s="26">
        <f ca="1">_xll.DBRW($D$4,$E$7,$E$8,$E$9,$E$10,$E$12,$D92,$E$6,M$18,M$17)</f>
        <v>0</v>
      </c>
      <c r="N92" s="16">
        <f ca="1">_xll.DBRW($D$4,$E$7,$E$8,$E$9,$E$10,$E$12,$D92,$E$6,N$18,N$17)</f>
        <v>1.1619634799999954</v>
      </c>
      <c r="O92" s="16">
        <f ca="1">_xll.DBRW($D$4,$E$7,$E$8,$E$9,$E$10,$E$12,$D92,$E$6,O$18,O$17)</f>
        <v>21.082470029999996</v>
      </c>
      <c r="P92" s="74">
        <f ca="1">_xll.DBRW($D$4,$E$7,$E$8,$E$9,$E$10,$E$12,$D92,$E$6,P$18,P$17)</f>
        <v>-8.9004101300000009</v>
      </c>
      <c r="Q92" s="16">
        <f ca="1">_xll.DBRW($D$4,$E$7,$E$8,$E$9,$E$10,$E$12,$D92,$E$6,Q$18,Q$17)</f>
        <v>0.42217112688099967</v>
      </c>
      <c r="R92" s="16"/>
      <c r="S92" s="16"/>
      <c r="T92" s="16"/>
      <c r="U92" s="16"/>
      <c r="V92" s="16">
        <f ca="1">_xll.DBRW($D$4,$E$7,$E$8,$E$9,$E$10,$E$12,$D92,$E$6,V$18,V$17)</f>
        <v>-2.2113103299999999</v>
      </c>
      <c r="W92" s="16">
        <f ca="1">_xll.DBRW($D$4,$E$7,$E$8,$E$9,$E$10,$E$12,$D92,$E$6,W$18,W$17)</f>
        <v>0.10488857931984928</v>
      </c>
      <c r="X92" s="16"/>
      <c r="Y92" s="16"/>
      <c r="Z92" s="16"/>
      <c r="AA92" s="16"/>
      <c r="AB92" s="16">
        <f ca="1">_xll.DBRW($D$4,$E$7,$E$8,$E$9,$E$10,$E$12,$D92,$E$6,AB$18,AB$17)</f>
        <v>-2.6144722700000003</v>
      </c>
      <c r="AC92" s="16">
        <f ca="1">_xll.DBRW($D$4,$E$7,$E$8,$E$9,$E$10,$E$12,$D92,$E$6,AC$18,AC$17)</f>
        <v>0.1240116678112029</v>
      </c>
      <c r="AD92" s="16"/>
      <c r="AE92" s="16"/>
      <c r="AF92" s="16"/>
      <c r="AG92" s="16"/>
      <c r="AH92" s="16">
        <f ca="1">_xll.DBRW($D$4,$E$7,$E$8,$E$9,$E$10,$E$12,$D92,$E$6,AH$18,AH$17)</f>
        <v>-3.0634042799999999</v>
      </c>
      <c r="AI92" s="16">
        <f ca="1">_xll.DBRW($D$4,$E$7,$E$8,$E$9,$E$10,$E$12,$D92,$E$6,AI$18,AI$17)</f>
        <v>0.14530575761003467</v>
      </c>
      <c r="AJ92" s="16"/>
      <c r="AK92" s="16"/>
      <c r="AL92" s="16"/>
      <c r="AM92" s="16"/>
      <c r="AN92" s="16">
        <f ca="1">_xll.DBRW($D$4,$E$7,$E$8,$E$9,$E$10,$E$12,$D92,$E$6,AN$18,AN$17)</f>
        <v>-3.1309095400000002</v>
      </c>
      <c r="AO92" s="16">
        <f ca="1">_xll.DBRW($D$4,$E$7,$E$8,$E$9,$E$10,$E$12,$D92,$E$6,AO$18,AO$17)</f>
        <v>0.1485077192352115</v>
      </c>
      <c r="AP92" s="16"/>
      <c r="AQ92" s="16"/>
      <c r="AR92" s="16"/>
      <c r="AS92" s="16"/>
      <c r="AT92" s="16">
        <f ca="1">_xll.DBRW($D$4,$E$7,$E$8,$E$9,$E$10,$E$12,$D92,$E$6,AT$18,AT$17)</f>
        <v>0.32934150000000001</v>
      </c>
      <c r="AU92" s="16">
        <f ca="1">_xll.DBRW($D$4,$E$7,$E$8,$E$9,$E$10,$E$12,$D92,$E$6,AU$18,AU$17)</f>
        <v>9.2200930000000003</v>
      </c>
      <c r="AV92" s="16">
        <f ca="1">_xll.DBRW($D$4,$E$7,$E$8,$E$9,$E$10,$E$12,$D92,$E$6,AV$18,AV$17)</f>
        <v>9.2200930000000003</v>
      </c>
      <c r="AW92" s="16">
        <f ca="1">_xll.DBRW($D$4,$E$7,$E$8,$E$9,$E$10,$E$12,$D92,$E$6,AW$18,AW$17)</f>
        <v>9.2200930000000003</v>
      </c>
      <c r="AX92" s="16">
        <f ca="1">_xll.DBRW($D$4,$E$7,$E$8,$E$9,$E$10,$E$12,$D92,$E$6,AX$18,AX$17)</f>
        <v>2.88110475</v>
      </c>
      <c r="AY92" s="16">
        <f ca="1">_xll.DBRW($D$4,$E$7,$E$8,$E$9,$E$10,$E$12,$D92,$E$6,AY$18,AY$17)</f>
        <v>9.2200930000000003</v>
      </c>
      <c r="AZ92" s="16">
        <f ca="1">_xll.DBRW($D$4,$E$7,$E$8,$E$9,$E$10,$E$12,$D92,$E$6,AZ$18,AZ$17)</f>
        <v>6.3490760999999996</v>
      </c>
      <c r="BA92" s="16">
        <f ca="1">_xll.DBRW($D$4,$E$7,$E$8,$E$9,$E$10,$E$12,$D92,$E$6,BA$18,BA$17)</f>
        <v>9.2200930000000003</v>
      </c>
      <c r="BB92" s="16">
        <f ca="1">_xll.DBRW($D$4,$E$7,$E$8,$E$9,$E$10,$E$12,$D92,$E$6,BB$18,BB$17)</f>
        <v>9.2200930000000003</v>
      </c>
      <c r="BC92" s="16">
        <f ca="1">_xll.DBRW($D$4,$E$7,$E$8,$E$9,$E$10,$E$12,$D92,$E$6,BC$18,BC$17)</f>
        <v>9.2200930000000003</v>
      </c>
      <c r="BD92" s="16">
        <f ca="1">_xll.DBRW($D$4,$E$7,$E$8,$E$9,$E$10,$E$12,$D92,$E$6,BD$18,BD$17)</f>
        <v>1.5722592094865755</v>
      </c>
      <c r="BE92" s="16">
        <f ca="1">_xll.DBRW($D$4,$E$7,$E$8,$E$9,$E$10,$E$12,$D92,$E$6,BE$18,BE$17)</f>
        <v>-2.2135952045654776</v>
      </c>
      <c r="BF92" s="16">
        <f ca="1">_xll.DBRW($D$4,$E$7,$E$8,$E$9,$E$10,$E$12,$D92,$E$6,BF$18,BF$17)</f>
        <v>0</v>
      </c>
      <c r="BG92" s="26">
        <f ca="1">_xll.DBRW($D$4,$E$7,$E$8,$E$9,$E$10,$E$12,$D92,$E$6,BG$18,BG$17)</f>
        <v>0</v>
      </c>
      <c r="BH92" s="26">
        <f ca="1">_xll.DBRW($D$4,$E$7,$E$8,$E$9,$E$10,$E$12,$D92,$E$6,BH$18,BH$17)</f>
        <v>0</v>
      </c>
      <c r="BI92" s="26">
        <f ca="1">_xll.DBRW($D$4,$E$7,$E$8,$E$9,$E$10,$E$12,$D92,$E$6,BI$18,BI$17)</f>
        <v>0</v>
      </c>
      <c r="BJ92" s="26">
        <f ca="1">_xll.DBRW($D$4,$E$7,$E$8,$E$9,$E$10,$E$12,$D92,$E$6,BJ$18,BJ$17)</f>
        <v>0</v>
      </c>
      <c r="BK92" s="16">
        <f ca="1">_xll.DBRW($D$4,$E$7,$E$8,$E$9,$E$10,$E$12,$D92,$E$6,BK$18,BK$17)</f>
        <v>3.7858544140520536</v>
      </c>
      <c r="BL92" s="16">
        <f ca="1">_xll.DBRW($D$4,$E$7,$E$8,$E$9,$E$10,$E$12,$D92,$E$6,BL$18,BL$17)</f>
        <v>28.220329123943678</v>
      </c>
      <c r="BM92" s="16">
        <f ca="1">_xll.DBRW($D$4,$E$7,$E$8,$E$9,$E$10,$E$12,$D92,$E$6,BM$18,BM$17)</f>
        <v>-10.975193900025126</v>
      </c>
      <c r="BN92" s="16">
        <f ca="1">_xll.DBRW($D$4,$E$7,$E$8,$E$9,$E$10,$E$12,$D92,$E$6,BN$18,BN$17)</f>
        <v>0.38891091070632366</v>
      </c>
      <c r="BO92" s="16"/>
      <c r="BP92" s="16"/>
      <c r="BQ92" s="16"/>
      <c r="BR92" s="16"/>
      <c r="BS92" s="16">
        <f ca="1">_xll.DBRW($D$4,$E$7,$E$8,$E$9,$E$10,$E$12,$D92,$E$6,BS$18,BS$17)</f>
        <v>-2.7869474370373277</v>
      </c>
      <c r="BT92" s="16">
        <f ca="1">_xll.DBRW($D$4,$E$7,$E$8,$E$9,$E$10,$E$12,$D92,$E$6,BT$18,BT$17)</f>
        <v>9.8756730468913215E-2</v>
      </c>
      <c r="BU92" s="16"/>
      <c r="BV92" s="16"/>
      <c r="BW92" s="16"/>
      <c r="BX92" s="16"/>
      <c r="BY92" s="16">
        <f ca="1">_xll.DBRW($D$4,$E$7,$E$8,$E$9,$E$10,$E$12,$D92,$E$6,BY$18,BY$17)</f>
        <v>-3.0060993335699862</v>
      </c>
      <c r="BZ92" s="16">
        <f ca="1">_xll.DBRW($D$4,$E$7,$E$8,$E$9,$E$10,$E$12,$D92,$E$6,BZ$18,BZ$17)</f>
        <v>0.10652247606210398</v>
      </c>
      <c r="CA92" s="16"/>
      <c r="CB92" s="16"/>
      <c r="CC92" s="16"/>
      <c r="CD92" s="16"/>
      <c r="CE92" s="16">
        <f ca="1">_xll.DBRW($D$4,$E$7,$E$8,$E$9,$E$10,$E$12,$D92,$E$6,CE$18,CE$17)</f>
        <v>-3.5640988932179307</v>
      </c>
      <c r="CF92" s="16">
        <f ca="1">_xll.DBRW($D$4,$E$7,$E$8,$E$9,$E$10,$E$12,$D92,$E$6,CF$18,CF$17)</f>
        <v>0.12629544033892764</v>
      </c>
      <c r="CG92" s="16"/>
      <c r="CH92" s="16"/>
      <c r="CI92" s="16"/>
      <c r="CJ92" s="16"/>
      <c r="CK92" s="16">
        <f ca="1">_xll.DBRW($D$4,$E$7,$E$8,$E$9,$E$10,$E$12,$D92,$E$6,CK$18,CK$17)</f>
        <v>-4.1021351460412472</v>
      </c>
      <c r="CL92" s="16">
        <f ca="1">_xll.DBRW($D$4,$E$7,$E$8,$E$9,$E$10,$E$12,$D92,$E$6,CL$18,CL$17)</f>
        <v>0.14536099589854784</v>
      </c>
      <c r="CM92" s="16"/>
      <c r="CN92" s="16"/>
      <c r="CO92" s="16"/>
      <c r="CP92" s="16"/>
      <c r="CQ92" s="16">
        <f ca="1">_xll.DBRW($D$4,$E$7,$E$8,$E$9,$E$10,$E$12,$D92,$E$6,CQ$18,CQ$17)</f>
        <v>0.39858926658598998</v>
      </c>
      <c r="CR92" s="16">
        <f ca="1">_xll.DBRW($D$4,$E$7,$E$8,$E$9,$E$10,$E$12,$D92,$E$6,CR$18,CR$17)</f>
        <v>11.629889394795399</v>
      </c>
      <c r="CS92" s="16">
        <f ca="1">_xll.DBRW($D$4,$E$7,$E$8,$E$9,$E$10,$E$12,$D92,$E$6,CS$18,CS$17)</f>
        <v>11.629889394795399</v>
      </c>
      <c r="CT92" s="16">
        <f ca="1">_xll.DBRW($D$4,$E$7,$E$8,$E$9,$E$10,$E$12,$D92,$E$6,CT$18,CT$17)</f>
        <v>11.629889394795399</v>
      </c>
      <c r="CU92" s="16">
        <f ca="1">_xll.DBRW($D$4,$E$7,$E$8,$E$9,$E$10,$E$12,$D92,$E$6,CU$18,CU$17)</f>
        <v>3.5678226152319397</v>
      </c>
      <c r="CV92" s="16">
        <f ca="1">_xll.DBRW($D$4,$E$7,$E$8,$E$9,$E$10,$E$12,$D92,$E$6,CV$18,CV$17)</f>
        <v>11.629889394795399</v>
      </c>
      <c r="CW92" s="16">
        <f ca="1">_xll.DBRW($D$4,$E$7,$E$8,$E$9,$E$10,$E$12,$D92,$E$6,CW$18,CW$17)</f>
        <v>7.8897383729999992</v>
      </c>
      <c r="CX92" s="16">
        <f ca="1">_xll.DBRW($D$4,$E$7,$E$8,$E$9,$E$10,$E$12,$D92,$E$6,CX$18,CX$17)</f>
        <v>11.629889394795399</v>
      </c>
      <c r="CY92" s="16">
        <f ca="1">_xll.DBRW($D$4,$E$7,$E$8,$E$9,$E$10,$E$12,$D92,$E$6,CY$18,CY$17)</f>
        <v>11.629889394795399</v>
      </c>
      <c r="CZ92" s="16">
        <f ca="1">_xll.DBRW($D$4,$E$7,$E$8,$E$9,$E$10,$E$12,$D92,$E$6,CZ$18,CZ$17)</f>
        <v>11.629889394795399</v>
      </c>
      <c r="DA92" s="26">
        <f t="shared" ca="1" si="89"/>
        <v>-2.04865954948658</v>
      </c>
      <c r="DB92" s="26">
        <f t="shared" ca="1" si="90"/>
        <v>0.57523138456547751</v>
      </c>
      <c r="DC92" s="26">
        <f t="shared" ca="1" si="91"/>
        <v>0</v>
      </c>
      <c r="DD92" s="26">
        <f t="shared" ca="1" si="92"/>
        <v>0</v>
      </c>
      <c r="DE92" s="26">
        <f t="shared" ca="1" si="93"/>
        <v>0</v>
      </c>
      <c r="DF92" s="26">
        <f t="shared" ca="1" si="94"/>
        <v>0</v>
      </c>
      <c r="DG92" s="26">
        <f t="shared" ca="1" si="95"/>
        <v>0</v>
      </c>
      <c r="DH92" s="26">
        <f t="shared" ca="1" si="96"/>
        <v>-2.6238909340520582</v>
      </c>
      <c r="DI92" s="26">
        <f t="shared" ca="1" si="97"/>
        <v>-7.1378590939436819</v>
      </c>
      <c r="DJ92" s="26">
        <f t="shared" ca="1" si="98"/>
        <v>2.0747837700251246</v>
      </c>
      <c r="DK92" s="26">
        <f t="shared" ca="1" si="99"/>
        <v>3.3260216174676005E-2</v>
      </c>
      <c r="DL92" s="26"/>
      <c r="DM92" s="26"/>
      <c r="DN92" s="26"/>
      <c r="DO92" s="26"/>
      <c r="DP92" s="26">
        <f t="shared" ca="1" si="100"/>
        <v>0.57563710703732784</v>
      </c>
      <c r="DQ92" s="26">
        <f t="shared" ca="1" si="101"/>
        <v>6.1318488509360669E-3</v>
      </c>
      <c r="DR92" s="26"/>
      <c r="DS92" s="26"/>
      <c r="DT92" s="26"/>
      <c r="DU92" s="26"/>
      <c r="DV92" s="26">
        <f t="shared" ca="1" si="102"/>
        <v>0.39162706356998589</v>
      </c>
      <c r="DW92" s="26">
        <f t="shared" ca="1" si="103"/>
        <v>1.7489191749098923E-2</v>
      </c>
      <c r="DX92" s="26"/>
      <c r="DY92" s="26"/>
      <c r="DZ92" s="26"/>
      <c r="EA92" s="26"/>
      <c r="EB92" s="26">
        <f t="shared" ca="1" si="104"/>
        <v>0.50069461321793085</v>
      </c>
      <c r="EC92" s="26">
        <f t="shared" ca="1" si="105"/>
        <v>1.9010317271107025E-2</v>
      </c>
      <c r="ED92" s="26"/>
      <c r="EE92" s="26"/>
      <c r="EF92" s="26"/>
      <c r="EG92" s="26"/>
      <c r="EH92" s="26">
        <f t="shared" ca="1" si="106"/>
        <v>0.97122560604124697</v>
      </c>
      <c r="EI92" s="29">
        <f t="shared" ca="1" si="107"/>
        <v>3.1467233366636593E-3</v>
      </c>
      <c r="EJ92" s="29"/>
      <c r="EK92" s="29"/>
      <c r="EL92" s="29"/>
      <c r="EM92" s="29"/>
      <c r="EN92" s="93"/>
      <c r="EO92" s="29"/>
      <c r="EP92" s="29"/>
      <c r="EQ92" s="29"/>
      <c r="ER92" s="29"/>
      <c r="ES92" s="29"/>
      <c r="ET92" s="29"/>
      <c r="EU92" s="93"/>
      <c r="EV92" s="29"/>
      <c r="EW92" s="29"/>
      <c r="EX92" s="29"/>
      <c r="EY92" s="29"/>
      <c r="EZ92" s="29"/>
      <c r="FA92" s="29"/>
      <c r="FB92" s="93"/>
      <c r="FC92" s="29"/>
      <c r="FD92" s="29"/>
      <c r="FE92" s="29"/>
      <c r="FF92" s="29"/>
      <c r="FG92" s="29"/>
      <c r="FH92" s="29"/>
      <c r="FI92" s="93"/>
      <c r="FJ92" s="29"/>
      <c r="FK92" s="29"/>
      <c r="FL92" s="29"/>
      <c r="FM92" s="29"/>
      <c r="FN92" s="29"/>
      <c r="FO92" s="29"/>
      <c r="FP92" s="93"/>
      <c r="FQ92" s="29"/>
      <c r="FR92" s="29"/>
      <c r="FS92" s="29"/>
      <c r="FT92" s="29"/>
      <c r="FU92" s="29"/>
      <c r="FV92" s="29"/>
    </row>
    <row r="93" spans="1:178" x14ac:dyDescent="0.25">
      <c r="A93" t="str">
        <f ca="1">IF(_xll.TM1RPTELISCONSOLIDATED($D$28,$D93),IF(_xll.TM1RPTELLEV($D$28,$D93)&lt;=3,_xll.TM1RPTELLEV($D$28,$D93),"D"),"N")</f>
        <v>N</v>
      </c>
      <c r="B93" t="str">
        <f ca="1">_xll.DBRA(Server&amp;"Management_organization",$D93,$B$27)</f>
        <v>L</v>
      </c>
      <c r="C93">
        <v>1</v>
      </c>
      <c r="D93" s="2" t="s">
        <v>148</v>
      </c>
      <c r="E93" s="26"/>
      <c r="F93" s="26"/>
      <c r="G93" s="16">
        <f ca="1">_xll.DBRW($D$4,$E$7,$E$8,$E$9,$E$10,$E$12,$D93,$E$6,G$18,G$17)</f>
        <v>-0.43901539000000034</v>
      </c>
      <c r="H93" s="16">
        <f ca="1">_xll.DBRW($D$4,$E$7,$E$8,$E$9,$E$10,$E$12,$D93,$E$6,H$18,H$17)</f>
        <v>-0.58284919999999996</v>
      </c>
      <c r="I93" s="16">
        <f ca="1">_xll.DBRW($D$4,$E$7,$E$8,$E$9,$E$10,$E$12,$D93,$E$6,I$18,I$17)</f>
        <v>0</v>
      </c>
      <c r="J93" s="26">
        <f ca="1">_xll.DBRW($D$4,$E$7,$E$8,$E$9,$E$10,$E$12,$D93,$E$6,J$18,J$17)</f>
        <v>0</v>
      </c>
      <c r="K93" s="26">
        <f ca="1">_xll.DBRW($D$4,$E$7,$E$8,$E$9,$E$10,$E$12,$D93,$E$6,K$18,K$17)</f>
        <v>0</v>
      </c>
      <c r="L93" s="26">
        <f ca="1">_xll.DBRW($D$4,$E$7,$E$8,$E$9,$E$10,$E$12,$D93,$E$6,L$18,L$17)</f>
        <v>0</v>
      </c>
      <c r="M93" s="26">
        <f ca="1">_xll.DBRW($D$4,$E$7,$E$8,$E$9,$E$10,$E$12,$D93,$E$6,M$18,M$17)</f>
        <v>0</v>
      </c>
      <c r="N93" s="16">
        <f ca="1">_xll.DBRW($D$4,$E$7,$E$8,$E$9,$E$10,$E$12,$D93,$E$6,N$18,N$17)</f>
        <v>0.1438338099999997</v>
      </c>
      <c r="O93" s="16">
        <f ca="1">_xll.DBRW($D$4,$E$7,$E$8,$E$9,$E$10,$E$12,$D93,$E$6,O$18,O$17)</f>
        <v>9.3575424199999979</v>
      </c>
      <c r="P93" s="74">
        <f ca="1">_xll.DBRW($D$4,$E$7,$E$8,$E$9,$E$10,$E$12,$D93,$E$6,P$18,P$17)</f>
        <v>-4.7562512300000002</v>
      </c>
      <c r="Q93" s="16">
        <f ca="1">_xll.DBRW($D$4,$E$7,$E$8,$E$9,$E$10,$E$12,$D93,$E$6,Q$18,Q$17)</f>
        <v>0.50827995391550695</v>
      </c>
      <c r="R93" s="16"/>
      <c r="S93" s="16"/>
      <c r="T93" s="16"/>
      <c r="U93" s="16"/>
      <c r="V93" s="16">
        <f ca="1">_xll.DBRW($D$4,$E$7,$E$8,$E$9,$E$10,$E$12,$D93,$E$6,V$18,V$17)</f>
        <v>-1.2684582599999998</v>
      </c>
      <c r="W93" s="16">
        <f ca="1">_xll.DBRW($D$4,$E$7,$E$8,$E$9,$E$10,$E$12,$D93,$E$6,W$18,W$17)</f>
        <v>0.13555463636359344</v>
      </c>
      <c r="X93" s="16"/>
      <c r="Y93" s="16"/>
      <c r="Z93" s="16"/>
      <c r="AA93" s="16"/>
      <c r="AB93" s="16">
        <f ca="1">_xll.DBRW($D$4,$E$7,$E$8,$E$9,$E$10,$E$12,$D93,$E$6,AB$18,AB$17)</f>
        <v>-1.0826728799999998</v>
      </c>
      <c r="AC93" s="16">
        <f ca="1">_xll.DBRW($D$4,$E$7,$E$8,$E$9,$E$10,$E$12,$D93,$E$6,AC$18,AC$17)</f>
        <v>0.11570055805314747</v>
      </c>
      <c r="AD93" s="16"/>
      <c r="AE93" s="16"/>
      <c r="AF93" s="16"/>
      <c r="AG93" s="16"/>
      <c r="AH93" s="16">
        <f ca="1">_xll.DBRW($D$4,$E$7,$E$8,$E$9,$E$10,$E$12,$D93,$E$6,AH$18,AH$17)</f>
        <v>-0.88885842999999998</v>
      </c>
      <c r="AI93" s="16">
        <f ca="1">_xll.DBRW($D$4,$E$7,$E$8,$E$9,$E$10,$E$12,$D93,$E$6,AI$18,AI$17)</f>
        <v>9.4988447832224751E-2</v>
      </c>
      <c r="AJ93" s="16"/>
      <c r="AK93" s="16"/>
      <c r="AL93" s="16"/>
      <c r="AM93" s="16"/>
      <c r="AN93" s="16">
        <f ca="1">_xll.DBRW($D$4,$E$7,$E$8,$E$9,$E$10,$E$12,$D93,$E$6,AN$18,AN$17)</f>
        <v>-1.2174678099999998</v>
      </c>
      <c r="AO93" s="16">
        <f ca="1">_xll.DBRW($D$4,$E$7,$E$8,$E$9,$E$10,$E$12,$D93,$E$6,AO$18,AO$17)</f>
        <v>0.13010550798016046</v>
      </c>
      <c r="AP93" s="16"/>
      <c r="AQ93" s="16"/>
      <c r="AR93" s="16"/>
      <c r="AS93" s="16"/>
      <c r="AT93" s="16">
        <f ca="1">_xll.DBRW($D$4,$E$7,$E$8,$E$9,$E$10,$E$12,$D93,$E$6,AT$18,AT$17)</f>
        <v>0.18623713</v>
      </c>
      <c r="AU93" s="16">
        <f ca="1">_xll.DBRW($D$4,$E$7,$E$8,$E$9,$E$10,$E$12,$D93,$E$6,AU$18,AU$17)</f>
        <v>3.3485359999999997</v>
      </c>
      <c r="AV93" s="16">
        <f ca="1">_xll.DBRW($D$4,$E$7,$E$8,$E$9,$E$10,$E$12,$D93,$E$6,AV$18,AV$17)</f>
        <v>3.3485359999999997</v>
      </c>
      <c r="AW93" s="16">
        <f ca="1">_xll.DBRW($D$4,$E$7,$E$8,$E$9,$E$10,$E$12,$D93,$E$6,AW$18,AW$17)</f>
        <v>3.3485359999999997</v>
      </c>
      <c r="AX93" s="16">
        <f ca="1">_xll.DBRW($D$4,$E$7,$E$8,$E$9,$E$10,$E$12,$D93,$E$6,AX$18,AX$17)</f>
        <v>1.102042414</v>
      </c>
      <c r="AY93" s="16">
        <f ca="1">_xll.DBRW($D$4,$E$7,$E$8,$E$9,$E$10,$E$12,$D93,$E$6,AY$18,AY$17)</f>
        <v>3.3485359999999997</v>
      </c>
      <c r="AZ93" s="16">
        <f ca="1">_xll.DBRW($D$4,$E$7,$E$8,$E$9,$E$10,$E$12,$D93,$E$6,AZ$18,AZ$17)</f>
        <v>2.3741009999999996</v>
      </c>
      <c r="BA93" s="16">
        <f ca="1">_xll.DBRW($D$4,$E$7,$E$8,$E$9,$E$10,$E$12,$D93,$E$6,BA$18,BA$17)</f>
        <v>3.3485359999999997</v>
      </c>
      <c r="BB93" s="16">
        <f ca="1">_xll.DBRW($D$4,$E$7,$E$8,$E$9,$E$10,$E$12,$D93,$E$6,BB$18,BB$17)</f>
        <v>3.3485359999999997</v>
      </c>
      <c r="BC93" s="16">
        <f ca="1">_xll.DBRW($D$4,$E$7,$E$8,$E$9,$E$10,$E$12,$D93,$E$6,BC$18,BC$17)</f>
        <v>3.3485359999999997</v>
      </c>
      <c r="BD93" s="16">
        <f ca="1">_xll.DBRW($D$4,$E$7,$E$8,$E$9,$E$10,$E$12,$D93,$E$6,BD$18,BD$17)</f>
        <v>0.61662048113860823</v>
      </c>
      <c r="BE93" s="16">
        <f ca="1">_xll.DBRW($D$4,$E$7,$E$8,$E$9,$E$10,$E$12,$D93,$E$6,BE$18,BE$17)</f>
        <v>-0.80909034228863885</v>
      </c>
      <c r="BF93" s="16">
        <f ca="1">_xll.DBRW($D$4,$E$7,$E$8,$E$9,$E$10,$E$12,$D93,$E$6,BF$18,BF$17)</f>
        <v>0</v>
      </c>
      <c r="BG93" s="26">
        <f ca="1">_xll.DBRW($D$4,$E$7,$E$8,$E$9,$E$10,$E$12,$D93,$E$6,BG$18,BG$17)</f>
        <v>0</v>
      </c>
      <c r="BH93" s="26">
        <f ca="1">_xll.DBRW($D$4,$E$7,$E$8,$E$9,$E$10,$E$12,$D93,$E$6,BH$18,BH$17)</f>
        <v>0</v>
      </c>
      <c r="BI93" s="26">
        <f ca="1">_xll.DBRW($D$4,$E$7,$E$8,$E$9,$E$10,$E$12,$D93,$E$6,BI$18,BI$17)</f>
        <v>0</v>
      </c>
      <c r="BJ93" s="26">
        <f ca="1">_xll.DBRW($D$4,$E$7,$E$8,$E$9,$E$10,$E$12,$D93,$E$6,BJ$18,BJ$17)</f>
        <v>0</v>
      </c>
      <c r="BK93" s="16">
        <f ca="1">_xll.DBRW($D$4,$E$7,$E$8,$E$9,$E$10,$E$12,$D93,$E$6,BK$18,BK$17)</f>
        <v>1.4257108234272471</v>
      </c>
      <c r="BL93" s="16">
        <f ca="1">_xll.DBRW($D$4,$E$7,$E$8,$E$9,$E$10,$E$12,$D93,$E$6,BL$18,BL$17)</f>
        <v>11.886667779958222</v>
      </c>
      <c r="BM93" s="16">
        <f ca="1">_xll.DBRW($D$4,$E$7,$E$8,$E$9,$E$10,$E$12,$D93,$E$6,BM$18,BM$17)</f>
        <v>-5.4105640308319574</v>
      </c>
      <c r="BN93" s="16">
        <f ca="1">_xll.DBRW($D$4,$E$7,$E$8,$E$9,$E$10,$E$12,$D93,$E$6,BN$18,BN$17)</f>
        <v>0.45517920841992054</v>
      </c>
      <c r="BO93" s="16"/>
      <c r="BP93" s="16"/>
      <c r="BQ93" s="16"/>
      <c r="BR93" s="16"/>
      <c r="BS93" s="16">
        <f ca="1">_xll.DBRW($D$4,$E$7,$E$8,$E$9,$E$10,$E$12,$D93,$E$6,BS$18,BS$17)</f>
        <v>-1.1851165835756179</v>
      </c>
      <c r="BT93" s="16">
        <f ca="1">_xll.DBRW($D$4,$E$7,$E$8,$E$9,$E$10,$E$12,$D93,$E$6,BT$18,BT$17)</f>
        <v>9.9701329717804502E-2</v>
      </c>
      <c r="BU93" s="16"/>
      <c r="BV93" s="16"/>
      <c r="BW93" s="16"/>
      <c r="BX93" s="16"/>
      <c r="BY93" s="16">
        <f ca="1">_xll.DBRW($D$4,$E$7,$E$8,$E$9,$E$10,$E$12,$D93,$E$6,BY$18,BY$17)</f>
        <v>-1.219771358388694</v>
      </c>
      <c r="BZ93" s="16">
        <f ca="1">_xll.DBRW($D$4,$E$7,$E$8,$E$9,$E$10,$E$12,$D93,$E$6,BZ$18,BZ$17)</f>
        <v>0.10261676198651033</v>
      </c>
      <c r="CA93" s="16"/>
      <c r="CB93" s="16"/>
      <c r="CC93" s="16"/>
      <c r="CD93" s="16"/>
      <c r="CE93" s="16">
        <f ca="1">_xll.DBRW($D$4,$E$7,$E$8,$E$9,$E$10,$E$12,$D93,$E$6,CE$18,CE$17)</f>
        <v>-1.181078312073419</v>
      </c>
      <c r="CF93" s="16">
        <f ca="1">_xll.DBRW($D$4,$E$7,$E$8,$E$9,$E$10,$E$12,$D93,$E$6,CF$18,CF$17)</f>
        <v>9.936159855201826E-2</v>
      </c>
      <c r="CG93" s="16"/>
      <c r="CH93" s="16"/>
      <c r="CI93" s="16"/>
      <c r="CJ93" s="16"/>
      <c r="CK93" s="16">
        <f ca="1">_xll.DBRW($D$4,$E$7,$E$8,$E$9,$E$10,$E$12,$D93,$E$6,CK$18,CK$17)</f>
        <v>-1.4644266716612873</v>
      </c>
      <c r="CL93" s="16">
        <f ca="1">_xll.DBRW($D$4,$E$7,$E$8,$E$9,$E$10,$E$12,$D93,$E$6,CL$18,CL$17)</f>
        <v>0.12319909151750806</v>
      </c>
      <c r="CM93" s="16"/>
      <c r="CN93" s="16"/>
      <c r="CO93" s="16"/>
      <c r="CP93" s="16"/>
      <c r="CQ93" s="16">
        <f ca="1">_xll.DBRW($D$4,$E$7,$E$8,$E$9,$E$10,$E$12,$D93,$E$6,CQ$18,CQ$17)</f>
        <v>0.22135371999999995</v>
      </c>
      <c r="CR93" s="16">
        <f ca="1">_xll.DBRW($D$4,$E$7,$E$8,$E$9,$E$10,$E$12,$D93,$E$6,CR$18,CR$17)</f>
        <v>4.3904100540800002</v>
      </c>
      <c r="CS93" s="16">
        <f ca="1">_xll.DBRW($D$4,$E$7,$E$8,$E$9,$E$10,$E$12,$D93,$E$6,CS$18,CS$17)</f>
        <v>4.3904100540800002</v>
      </c>
      <c r="CT93" s="16">
        <f ca="1">_xll.DBRW($D$4,$E$7,$E$8,$E$9,$E$10,$E$12,$D93,$E$6,CT$18,CT$17)</f>
        <v>4.3904100540800002</v>
      </c>
      <c r="CU93" s="16">
        <f ca="1">_xll.DBRW($D$4,$E$7,$E$8,$E$9,$E$10,$E$12,$D93,$E$6,CU$18,CU$17)</f>
        <v>1.401091112662</v>
      </c>
      <c r="CV93" s="16">
        <f ca="1">_xll.DBRW($D$4,$E$7,$E$8,$E$9,$E$10,$E$12,$D93,$E$6,CV$18,CV$17)</f>
        <v>4.3904100540800002</v>
      </c>
      <c r="CW93" s="16">
        <f ca="1">_xll.DBRW($D$4,$E$7,$E$8,$E$9,$E$10,$E$12,$D93,$E$6,CW$18,CW$17)</f>
        <v>3.0809446824799998</v>
      </c>
      <c r="CX93" s="16">
        <f ca="1">_xll.DBRW($D$4,$E$7,$E$8,$E$9,$E$10,$E$12,$D93,$E$6,CX$18,CX$17)</f>
        <v>4.3904100540800002</v>
      </c>
      <c r="CY93" s="16">
        <f ca="1">_xll.DBRW($D$4,$E$7,$E$8,$E$9,$E$10,$E$12,$D93,$E$6,CY$18,CY$17)</f>
        <v>4.3904100540800002</v>
      </c>
      <c r="CZ93" s="16">
        <f ca="1">_xll.DBRW($D$4,$E$7,$E$8,$E$9,$E$10,$E$12,$D93,$E$6,CZ$18,CZ$17)</f>
        <v>4.3904100540800002</v>
      </c>
      <c r="DA93" s="26">
        <f t="shared" ref="DA93:DA156" ca="1" si="108">G93-BD93</f>
        <v>-1.0556358711386085</v>
      </c>
      <c r="DB93" s="26">
        <f t="shared" ref="DB93:DB156" ca="1" si="109">H93-BE93</f>
        <v>0.2262411422886389</v>
      </c>
      <c r="DC93" s="26">
        <f t="shared" ref="DC93:DC156" ca="1" si="110">I93-BF93</f>
        <v>0</v>
      </c>
      <c r="DD93" s="26">
        <f t="shared" ref="DD93:DD156" ca="1" si="111">J93-BG93</f>
        <v>0</v>
      </c>
      <c r="DE93" s="26">
        <f t="shared" ref="DE93:DE156" ca="1" si="112">K93-BH93</f>
        <v>0</v>
      </c>
      <c r="DF93" s="26">
        <f t="shared" ref="DF93:DF156" ca="1" si="113">L93-BI93</f>
        <v>0</v>
      </c>
      <c r="DG93" s="26">
        <f t="shared" ref="DG93:DG156" ca="1" si="114">M93-BJ93</f>
        <v>0</v>
      </c>
      <c r="DH93" s="26">
        <f t="shared" ref="DH93:DH156" ca="1" si="115">N93-BK93</f>
        <v>-1.2818770134272475</v>
      </c>
      <c r="DI93" s="26">
        <f t="shared" ref="DI93:DI156" ca="1" si="116">O93-BL93</f>
        <v>-2.5291253599582237</v>
      </c>
      <c r="DJ93" s="26">
        <f t="shared" ref="DJ93:DJ156" ca="1" si="117">P93-BM93</f>
        <v>0.6543128008319572</v>
      </c>
      <c r="DK93" s="26">
        <f t="shared" ref="DK93:DK156" ca="1" si="118">Q93-BN93</f>
        <v>5.310074549558641E-2</v>
      </c>
      <c r="DL93" s="26"/>
      <c r="DM93" s="26"/>
      <c r="DN93" s="26"/>
      <c r="DO93" s="26"/>
      <c r="DP93" s="26">
        <f t="shared" ref="DP93:DP156" ca="1" si="119">V93-BS93</f>
        <v>-8.334167642438195E-2</v>
      </c>
      <c r="DQ93" s="26">
        <f t="shared" ref="DQ93:DQ156" ca="1" si="120">W93-BT93</f>
        <v>3.5853306645788938E-2</v>
      </c>
      <c r="DR93" s="26"/>
      <c r="DS93" s="26"/>
      <c r="DT93" s="26"/>
      <c r="DU93" s="26"/>
      <c r="DV93" s="26">
        <f t="shared" ref="DV93:DV156" ca="1" si="121">AB93-BY93</f>
        <v>0.13709847838869416</v>
      </c>
      <c r="DW93" s="26">
        <f t="shared" ref="DW93:DW156" ca="1" si="122">AC93-BZ93</f>
        <v>1.3083796066637135E-2</v>
      </c>
      <c r="DX93" s="26"/>
      <c r="DY93" s="26"/>
      <c r="DZ93" s="26"/>
      <c r="EA93" s="26"/>
      <c r="EB93" s="26">
        <f t="shared" ref="EB93:EB156" ca="1" si="123">AH93-CE93</f>
        <v>0.29221988207341898</v>
      </c>
      <c r="EC93" s="26">
        <f t="shared" ref="EC93:EC156" ca="1" si="124">AI93-CF93</f>
        <v>-4.3731507197935088E-3</v>
      </c>
      <c r="ED93" s="26"/>
      <c r="EE93" s="26"/>
      <c r="EF93" s="26"/>
      <c r="EG93" s="26"/>
      <c r="EH93" s="26">
        <f t="shared" ref="EH93:EH156" ca="1" si="125">AN93-CK93</f>
        <v>0.24695886166128744</v>
      </c>
      <c r="EI93" s="29">
        <f t="shared" ref="EI93:EI156" ca="1" si="126">AO93-CL93</f>
        <v>6.9064164626524011E-3</v>
      </c>
      <c r="EJ93" s="29"/>
      <c r="EK93" s="29"/>
      <c r="EL93" s="29"/>
      <c r="EM93" s="29"/>
      <c r="EN93" s="93"/>
      <c r="EO93" s="29"/>
      <c r="EP93" s="29"/>
      <c r="EQ93" s="29"/>
      <c r="ER93" s="29"/>
      <c r="ES93" s="29"/>
      <c r="ET93" s="29"/>
      <c r="EU93" s="93"/>
      <c r="EV93" s="29"/>
      <c r="EW93" s="29"/>
      <c r="EX93" s="29"/>
      <c r="EY93" s="29"/>
      <c r="EZ93" s="29"/>
      <c r="FA93" s="29"/>
      <c r="FB93" s="93"/>
      <c r="FC93" s="29"/>
      <c r="FD93" s="29"/>
      <c r="FE93" s="29"/>
      <c r="FF93" s="29"/>
      <c r="FG93" s="29"/>
      <c r="FH93" s="29"/>
      <c r="FI93" s="93"/>
      <c r="FJ93" s="29"/>
      <c r="FK93" s="29"/>
      <c r="FL93" s="29"/>
      <c r="FM93" s="29"/>
      <c r="FN93" s="29"/>
      <c r="FO93" s="29"/>
      <c r="FP93" s="93"/>
      <c r="FQ93" s="29"/>
      <c r="FR93" s="29"/>
      <c r="FS93" s="29"/>
      <c r="FT93" s="29"/>
      <c r="FU93" s="29"/>
      <c r="FV93" s="29"/>
    </row>
    <row r="94" spans="1:178" x14ac:dyDescent="0.25">
      <c r="A94" t="str">
        <f ca="1">IF(_xll.TM1RPTELISCONSOLIDATED($D$28,$D94),IF(_xll.TM1RPTELLEV($D$28,$D94)&lt;=3,_xll.TM1RPTELLEV($D$28,$D94),"D"),"N")</f>
        <v>N</v>
      </c>
      <c r="B94" t="str">
        <f ca="1">_xll.DBRA(Server&amp;"Management_organization",$D94,$B$27)</f>
        <v>L</v>
      </c>
      <c r="C94">
        <v>1</v>
      </c>
      <c r="D94" s="2" t="s">
        <v>149</v>
      </c>
      <c r="E94" s="26"/>
      <c r="F94" s="26"/>
      <c r="G94" s="16">
        <f ca="1">_xll.DBRW($D$4,$E$7,$E$8,$E$9,$E$10,$E$12,$D94,$E$6,G$18,G$17)</f>
        <v>-0.3824640700000006</v>
      </c>
      <c r="H94" s="16">
        <f ca="1">_xll.DBRW($D$4,$E$7,$E$8,$E$9,$E$10,$E$12,$D94,$E$6,H$18,H$17)</f>
        <v>-0.36111270000000001</v>
      </c>
      <c r="I94" s="16">
        <f ca="1">_xll.DBRW($D$4,$E$7,$E$8,$E$9,$E$10,$E$12,$D94,$E$6,I$18,I$17)</f>
        <v>0</v>
      </c>
      <c r="J94" s="26">
        <f ca="1">_xll.DBRW($D$4,$E$7,$E$8,$E$9,$E$10,$E$12,$D94,$E$6,J$18,J$17)</f>
        <v>0</v>
      </c>
      <c r="K94" s="26">
        <f ca="1">_xll.DBRW($D$4,$E$7,$E$8,$E$9,$E$10,$E$12,$D94,$E$6,K$18,K$17)</f>
        <v>0</v>
      </c>
      <c r="L94" s="26">
        <f ca="1">_xll.DBRW($D$4,$E$7,$E$8,$E$9,$E$10,$E$12,$D94,$E$6,L$18,L$17)</f>
        <v>0</v>
      </c>
      <c r="M94" s="26">
        <f ca="1">_xll.DBRW($D$4,$E$7,$E$8,$E$9,$E$10,$E$12,$D94,$E$6,M$18,M$17)</f>
        <v>0</v>
      </c>
      <c r="N94" s="16">
        <f ca="1">_xll.DBRW($D$4,$E$7,$E$8,$E$9,$E$10,$E$12,$D94,$E$6,N$18,N$17)</f>
        <v>-2.1351370000000584E-2</v>
      </c>
      <c r="O94" s="16">
        <f ca="1">_xll.DBRW($D$4,$E$7,$E$8,$E$9,$E$10,$E$12,$D94,$E$6,O$18,O$17)</f>
        <v>6.2973566000000005</v>
      </c>
      <c r="P94" s="74">
        <f ca="1">_xll.DBRW($D$4,$E$7,$E$8,$E$9,$E$10,$E$12,$D94,$E$6,P$18,P$17)</f>
        <v>-3.3421272800000001</v>
      </c>
      <c r="Q94" s="16">
        <f ca="1">_xll.DBRW($D$4,$E$7,$E$8,$E$9,$E$10,$E$12,$D94,$E$6,Q$18,Q$17)</f>
        <v>0.53071907663606022</v>
      </c>
      <c r="R94" s="16"/>
      <c r="S94" s="16"/>
      <c r="T94" s="16"/>
      <c r="U94" s="16"/>
      <c r="V94" s="16">
        <f ca="1">_xll.DBRW($D$4,$E$7,$E$8,$E$9,$E$10,$E$12,$D94,$E$6,V$18,V$17)</f>
        <v>-0.62101250999999991</v>
      </c>
      <c r="W94" s="16">
        <f ca="1">_xll.DBRW($D$4,$E$7,$E$8,$E$9,$E$10,$E$12,$D94,$E$6,W$18,W$17)</f>
        <v>9.8614791800102256E-2</v>
      </c>
      <c r="X94" s="16"/>
      <c r="Y94" s="16"/>
      <c r="Z94" s="16"/>
      <c r="AA94" s="16"/>
      <c r="AB94" s="16">
        <f ca="1">_xll.DBRW($D$4,$E$7,$E$8,$E$9,$E$10,$E$12,$D94,$E$6,AB$18,AB$17)</f>
        <v>-0.64946382000000002</v>
      </c>
      <c r="AC94" s="16">
        <f ca="1">_xll.DBRW($D$4,$E$7,$E$8,$E$9,$E$10,$E$12,$D94,$E$6,AC$18,AC$17)</f>
        <v>0.10313276843810941</v>
      </c>
      <c r="AD94" s="16"/>
      <c r="AE94" s="16"/>
      <c r="AF94" s="16"/>
      <c r="AG94" s="16"/>
      <c r="AH94" s="16">
        <f ca="1">_xll.DBRW($D$4,$E$7,$E$8,$E$9,$E$10,$E$12,$D94,$E$6,AH$18,AH$17)</f>
        <v>-0.29032204</v>
      </c>
      <c r="AI94" s="16">
        <f ca="1">_xll.DBRW($D$4,$E$7,$E$8,$E$9,$E$10,$E$12,$D94,$E$6,AI$18,AI$17)</f>
        <v>4.6102207392860681E-2</v>
      </c>
      <c r="AJ94" s="16"/>
      <c r="AK94" s="16"/>
      <c r="AL94" s="16"/>
      <c r="AM94" s="16"/>
      <c r="AN94" s="16">
        <f ca="1">_xll.DBRW($D$4,$E$7,$E$8,$E$9,$E$10,$E$12,$D94,$E$6,AN$18,AN$17)</f>
        <v>-1.4157823199999995</v>
      </c>
      <c r="AO94" s="16">
        <f ca="1">_xll.DBRW($D$4,$E$7,$E$8,$E$9,$E$10,$E$12,$D94,$E$6,AO$18,AO$17)</f>
        <v>0.22482168470497596</v>
      </c>
      <c r="AP94" s="16"/>
      <c r="AQ94" s="16"/>
      <c r="AR94" s="16"/>
      <c r="AS94" s="16"/>
      <c r="AT94" s="16">
        <f ca="1">_xll.DBRW($D$4,$E$7,$E$8,$E$9,$E$10,$E$12,$D94,$E$6,AT$18,AT$17)</f>
        <v>0.10322285999999999</v>
      </c>
      <c r="AU94" s="16">
        <f ca="1">_xll.DBRW($D$4,$E$7,$E$8,$E$9,$E$10,$E$12,$D94,$E$6,AU$18,AU$17)</f>
        <v>1.22872647</v>
      </c>
      <c r="AV94" s="16">
        <f ca="1">_xll.DBRW($D$4,$E$7,$E$8,$E$9,$E$10,$E$12,$D94,$E$6,AV$18,AV$17)</f>
        <v>1.22872647</v>
      </c>
      <c r="AW94" s="16">
        <f ca="1">_xll.DBRW($D$4,$E$7,$E$8,$E$9,$E$10,$E$12,$D94,$E$6,AW$18,AW$17)</f>
        <v>1.22872647</v>
      </c>
      <c r="AX94" s="16">
        <f ca="1">_xll.DBRW($D$4,$E$7,$E$8,$E$9,$E$10,$E$12,$D94,$E$6,AX$18,AX$17)</f>
        <v>0.53585456999999992</v>
      </c>
      <c r="AY94" s="16">
        <f ca="1">_xll.DBRW($D$4,$E$7,$E$8,$E$9,$E$10,$E$12,$D94,$E$6,AY$18,AY$17)</f>
        <v>1.22872647</v>
      </c>
      <c r="AZ94" s="16">
        <f ca="1">_xll.DBRW($D$4,$E$7,$E$8,$E$9,$E$10,$E$12,$D94,$E$6,AZ$18,AZ$17)</f>
        <v>1.1569605675999999</v>
      </c>
      <c r="BA94" s="16">
        <f ca="1">_xll.DBRW($D$4,$E$7,$E$8,$E$9,$E$10,$E$12,$D94,$E$6,BA$18,BA$17)</f>
        <v>1.22872647</v>
      </c>
      <c r="BB94" s="16">
        <f ca="1">_xll.DBRW($D$4,$E$7,$E$8,$E$9,$E$10,$E$12,$D94,$E$6,BB$18,BB$17)</f>
        <v>1.22872647</v>
      </c>
      <c r="BC94" s="16">
        <f ca="1">_xll.DBRW($D$4,$E$7,$E$8,$E$9,$E$10,$E$12,$D94,$E$6,BC$18,BC$17)</f>
        <v>1.22872647</v>
      </c>
      <c r="BD94" s="16">
        <f ca="1">_xll.DBRW($D$4,$E$7,$E$8,$E$9,$E$10,$E$12,$D94,$E$6,BD$18,BD$17)</f>
        <v>9.7053571361999491E-2</v>
      </c>
      <c r="BE94" s="16">
        <f ca="1">_xll.DBRW($D$4,$E$7,$E$8,$E$9,$E$10,$E$12,$D94,$E$6,BE$18,BE$17)</f>
        <v>-0.52086407999999995</v>
      </c>
      <c r="BF94" s="16">
        <f ca="1">_xll.DBRW($D$4,$E$7,$E$8,$E$9,$E$10,$E$12,$D94,$E$6,BF$18,BF$17)</f>
        <v>0</v>
      </c>
      <c r="BG94" s="26">
        <f ca="1">_xll.DBRW($D$4,$E$7,$E$8,$E$9,$E$10,$E$12,$D94,$E$6,BG$18,BG$17)</f>
        <v>0</v>
      </c>
      <c r="BH94" s="26">
        <f ca="1">_xll.DBRW($D$4,$E$7,$E$8,$E$9,$E$10,$E$12,$D94,$E$6,BH$18,BH$17)</f>
        <v>0</v>
      </c>
      <c r="BI94" s="26">
        <f ca="1">_xll.DBRW($D$4,$E$7,$E$8,$E$9,$E$10,$E$12,$D94,$E$6,BI$18,BI$17)</f>
        <v>0</v>
      </c>
      <c r="BJ94" s="26">
        <f ca="1">_xll.DBRW($D$4,$E$7,$E$8,$E$9,$E$10,$E$12,$D94,$E$6,BJ$18,BJ$17)</f>
        <v>0</v>
      </c>
      <c r="BK94" s="16">
        <f ca="1">_xll.DBRW($D$4,$E$7,$E$8,$E$9,$E$10,$E$12,$D94,$E$6,BK$18,BK$17)</f>
        <v>0.61791765136199939</v>
      </c>
      <c r="BL94" s="16">
        <f ca="1">_xll.DBRW($D$4,$E$7,$E$8,$E$9,$E$10,$E$12,$D94,$E$6,BL$18,BL$17)</f>
        <v>7.3882890999999988</v>
      </c>
      <c r="BM94" s="16">
        <f ca="1">_xll.DBRW($D$4,$E$7,$E$8,$E$9,$E$10,$E$12,$D94,$E$6,BM$18,BM$17)</f>
        <v>-3.6775780999999998</v>
      </c>
      <c r="BN94" s="16">
        <f ca="1">_xll.DBRW($D$4,$E$7,$E$8,$E$9,$E$10,$E$12,$D94,$E$6,BN$18,BN$17)</f>
        <v>0.49775774204612544</v>
      </c>
      <c r="BO94" s="16"/>
      <c r="BP94" s="16"/>
      <c r="BQ94" s="16"/>
      <c r="BR94" s="16"/>
      <c r="BS94" s="16">
        <f ca="1">_xll.DBRW($D$4,$E$7,$E$8,$E$9,$E$10,$E$12,$D94,$E$6,BS$18,BS$17)</f>
        <v>-0.50919446000000002</v>
      </c>
      <c r="BT94" s="16">
        <f ca="1">_xll.DBRW($D$4,$E$7,$E$8,$E$9,$E$10,$E$12,$D94,$E$6,BT$18,BT$17)</f>
        <v>6.8919130411396606E-2</v>
      </c>
      <c r="BU94" s="16"/>
      <c r="BV94" s="16"/>
      <c r="BW94" s="16"/>
      <c r="BX94" s="16"/>
      <c r="BY94" s="16">
        <f ca="1">_xll.DBRW($D$4,$E$7,$E$8,$E$9,$E$10,$E$12,$D94,$E$6,BY$18,BY$17)</f>
        <v>-0.52673425863799983</v>
      </c>
      <c r="BZ94" s="16">
        <f ca="1">_xll.DBRW($D$4,$E$7,$E$8,$E$9,$E$10,$E$12,$D94,$E$6,BZ$18,BZ$17)</f>
        <v>7.1293130453977491E-2</v>
      </c>
      <c r="CA94" s="16"/>
      <c r="CB94" s="16"/>
      <c r="CC94" s="16"/>
      <c r="CD94" s="16"/>
      <c r="CE94" s="16">
        <f ca="1">_xll.DBRW($D$4,$E$7,$E$8,$E$9,$E$10,$E$12,$D94,$E$6,CE$18,CE$17)</f>
        <v>-0.42325408999999992</v>
      </c>
      <c r="CF94" s="16">
        <f ca="1">_xll.DBRW($D$4,$E$7,$E$8,$E$9,$E$10,$E$12,$D94,$E$6,CF$18,CF$17)</f>
        <v>5.7287158673853193E-2</v>
      </c>
      <c r="CG94" s="16"/>
      <c r="CH94" s="16"/>
      <c r="CI94" s="16"/>
      <c r="CJ94" s="16"/>
      <c r="CK94" s="16">
        <f ca="1">_xll.DBRW($D$4,$E$7,$E$8,$E$9,$E$10,$E$12,$D94,$E$6,CK$18,CK$17)</f>
        <v>-1.6336105400000001</v>
      </c>
      <c r="CL94" s="16">
        <f ca="1">_xll.DBRW($D$4,$E$7,$E$8,$E$9,$E$10,$E$12,$D94,$E$6,CL$18,CL$17)</f>
        <v>0.22110809659573288</v>
      </c>
      <c r="CM94" s="16"/>
      <c r="CN94" s="16"/>
      <c r="CO94" s="16"/>
      <c r="CP94" s="16"/>
      <c r="CQ94" s="16">
        <f ca="1">_xll.DBRW($D$4,$E$7,$E$8,$E$9,$E$10,$E$12,$D94,$E$6,CQ$18,CQ$17)</f>
        <v>0.11966826000000001</v>
      </c>
      <c r="CR94" s="16">
        <f ca="1">_xll.DBRW($D$4,$E$7,$E$8,$E$9,$E$10,$E$12,$D94,$E$6,CR$18,CR$17)</f>
        <v>1.54257</v>
      </c>
      <c r="CS94" s="16">
        <f ca="1">_xll.DBRW($D$4,$E$7,$E$8,$E$9,$E$10,$E$12,$D94,$E$6,CS$18,CS$17)</f>
        <v>1.54257</v>
      </c>
      <c r="CT94" s="16">
        <f ca="1">_xll.DBRW($D$4,$E$7,$E$8,$E$9,$E$10,$E$12,$D94,$E$6,CT$18,CT$17)</f>
        <v>1.54257</v>
      </c>
      <c r="CU94" s="16">
        <f ca="1">_xll.DBRW($D$4,$E$7,$E$8,$E$9,$E$10,$E$12,$D94,$E$6,CU$18,CU$17)</f>
        <v>0.63363354000000005</v>
      </c>
      <c r="CV94" s="16">
        <f ca="1">_xll.DBRW($D$4,$E$7,$E$8,$E$9,$E$10,$E$12,$D94,$E$6,CV$18,CV$17)</f>
        <v>1.54257</v>
      </c>
      <c r="CW94" s="16">
        <f ca="1">_xll.DBRW($D$4,$E$7,$E$8,$E$9,$E$10,$E$12,$D94,$E$6,CW$18,CW$17)</f>
        <v>1.407</v>
      </c>
      <c r="CX94" s="16">
        <f ca="1">_xll.DBRW($D$4,$E$7,$E$8,$E$9,$E$10,$E$12,$D94,$E$6,CX$18,CX$17)</f>
        <v>1.54257</v>
      </c>
      <c r="CY94" s="16">
        <f ca="1">_xll.DBRW($D$4,$E$7,$E$8,$E$9,$E$10,$E$12,$D94,$E$6,CY$18,CY$17)</f>
        <v>1.54257</v>
      </c>
      <c r="CZ94" s="16">
        <f ca="1">_xll.DBRW($D$4,$E$7,$E$8,$E$9,$E$10,$E$12,$D94,$E$6,CZ$18,CZ$17)</f>
        <v>1.54257</v>
      </c>
      <c r="DA94" s="26">
        <f t="shared" ca="1" si="108"/>
        <v>-0.47951764136200009</v>
      </c>
      <c r="DB94" s="26">
        <f t="shared" ca="1" si="109"/>
        <v>0.15975137999999994</v>
      </c>
      <c r="DC94" s="26">
        <f t="shared" ca="1" si="110"/>
        <v>0</v>
      </c>
      <c r="DD94" s="26">
        <f t="shared" ca="1" si="111"/>
        <v>0</v>
      </c>
      <c r="DE94" s="26">
        <f t="shared" ca="1" si="112"/>
        <v>0</v>
      </c>
      <c r="DF94" s="26">
        <f t="shared" ca="1" si="113"/>
        <v>0</v>
      </c>
      <c r="DG94" s="26">
        <f t="shared" ca="1" si="114"/>
        <v>0</v>
      </c>
      <c r="DH94" s="26">
        <f t="shared" ca="1" si="115"/>
        <v>-0.63926902136199992</v>
      </c>
      <c r="DI94" s="26">
        <f t="shared" ca="1" si="116"/>
        <v>-1.0909324999999983</v>
      </c>
      <c r="DJ94" s="26">
        <f t="shared" ca="1" si="117"/>
        <v>0.33545081999999971</v>
      </c>
      <c r="DK94" s="26">
        <f t="shared" ca="1" si="118"/>
        <v>3.2961334589934776E-2</v>
      </c>
      <c r="DL94" s="26"/>
      <c r="DM94" s="26"/>
      <c r="DN94" s="26"/>
      <c r="DO94" s="26"/>
      <c r="DP94" s="26">
        <f t="shared" ca="1" si="119"/>
        <v>-0.11181804999999989</v>
      </c>
      <c r="DQ94" s="26">
        <f t="shared" ca="1" si="120"/>
        <v>2.9695661388705649E-2</v>
      </c>
      <c r="DR94" s="26"/>
      <c r="DS94" s="26"/>
      <c r="DT94" s="26"/>
      <c r="DU94" s="26"/>
      <c r="DV94" s="26">
        <f t="shared" ca="1" si="121"/>
        <v>-0.12272956136200019</v>
      </c>
      <c r="DW94" s="26">
        <f t="shared" ca="1" si="122"/>
        <v>3.1839637984131919E-2</v>
      </c>
      <c r="DX94" s="26"/>
      <c r="DY94" s="26"/>
      <c r="DZ94" s="26"/>
      <c r="EA94" s="26"/>
      <c r="EB94" s="26">
        <f t="shared" ca="1" si="123"/>
        <v>0.13293204999999991</v>
      </c>
      <c r="EC94" s="26">
        <f t="shared" ca="1" si="124"/>
        <v>-1.1184951280992513E-2</v>
      </c>
      <c r="ED94" s="26"/>
      <c r="EE94" s="26"/>
      <c r="EF94" s="26"/>
      <c r="EG94" s="26"/>
      <c r="EH94" s="26">
        <f t="shared" ca="1" si="125"/>
        <v>0.21782822000000057</v>
      </c>
      <c r="EI94" s="29">
        <f t="shared" ca="1" si="126"/>
        <v>3.7135881092430767E-3</v>
      </c>
      <c r="EJ94" s="29"/>
      <c r="EK94" s="29"/>
      <c r="EL94" s="29"/>
      <c r="EM94" s="29"/>
      <c r="EN94" s="93"/>
      <c r="EO94" s="29"/>
      <c r="EP94" s="29"/>
      <c r="EQ94" s="29"/>
      <c r="ER94" s="29"/>
      <c r="ES94" s="29"/>
      <c r="ET94" s="29"/>
      <c r="EU94" s="93"/>
      <c r="EV94" s="29"/>
      <c r="EW94" s="29"/>
      <c r="EX94" s="29"/>
      <c r="EY94" s="29"/>
      <c r="EZ94" s="29"/>
      <c r="FA94" s="29"/>
      <c r="FB94" s="93"/>
      <c r="FC94" s="29"/>
      <c r="FD94" s="29"/>
      <c r="FE94" s="29"/>
      <c r="FF94" s="29"/>
      <c r="FG94" s="29"/>
      <c r="FH94" s="29"/>
      <c r="FI94" s="93"/>
      <c r="FJ94" s="29"/>
      <c r="FK94" s="29"/>
      <c r="FL94" s="29"/>
      <c r="FM94" s="29"/>
      <c r="FN94" s="29"/>
      <c r="FO94" s="29"/>
      <c r="FP94" s="93"/>
      <c r="FQ94" s="29"/>
      <c r="FR94" s="29"/>
      <c r="FS94" s="29"/>
      <c r="FT94" s="29"/>
      <c r="FU94" s="29"/>
      <c r="FV94" s="29"/>
    </row>
    <row r="95" spans="1:178" x14ac:dyDescent="0.25">
      <c r="A95" t="str">
        <f ca="1">IF(_xll.TM1RPTELISCONSOLIDATED($D$28,$D95),IF(_xll.TM1RPTELLEV($D$28,$D95)&lt;=3,_xll.TM1RPTELLEV($D$28,$D95),"D"),"N")</f>
        <v>N</v>
      </c>
      <c r="B95" t="str">
        <f ca="1">_xll.DBRA(Server&amp;"Management_organization",$D95,$B$27)</f>
        <v>L</v>
      </c>
      <c r="C95">
        <v>1</v>
      </c>
      <c r="D95" s="2" t="s">
        <v>329</v>
      </c>
      <c r="E95" s="26"/>
      <c r="F95" s="26"/>
      <c r="G95" s="16">
        <f ca="1">_xll.DBRW($D$4,$E$7,$E$8,$E$9,$E$10,$E$12,$D95,$E$6,G$18,G$17)</f>
        <v>0.56071782000000936</v>
      </c>
      <c r="H95" s="16">
        <f ca="1">_xll.DBRW($D$4,$E$7,$E$8,$E$9,$E$10,$E$12,$D95,$E$6,H$18,H$17)</f>
        <v>-4.4003722900000009</v>
      </c>
      <c r="I95" s="16">
        <f ca="1">_xll.DBRW($D$4,$E$7,$E$8,$E$9,$E$10,$E$12,$D95,$E$6,I$18,I$17)</f>
        <v>0</v>
      </c>
      <c r="J95" s="26">
        <f ca="1">_xll.DBRW($D$4,$E$7,$E$8,$E$9,$E$10,$E$12,$D95,$E$6,J$18,J$17)</f>
        <v>0</v>
      </c>
      <c r="K95" s="26">
        <f ca="1">_xll.DBRW($D$4,$E$7,$E$8,$E$9,$E$10,$E$12,$D95,$E$6,K$18,K$17)</f>
        <v>0</v>
      </c>
      <c r="L95" s="26">
        <f ca="1">_xll.DBRW($D$4,$E$7,$E$8,$E$9,$E$10,$E$12,$D95,$E$6,L$18,L$17)</f>
        <v>0</v>
      </c>
      <c r="M95" s="26">
        <f ca="1">_xll.DBRW($D$4,$E$7,$E$8,$E$9,$E$10,$E$12,$D95,$E$6,M$18,M$17)</f>
        <v>0</v>
      </c>
      <c r="N95" s="16">
        <f ca="1">_xll.DBRW($D$4,$E$7,$E$8,$E$9,$E$10,$E$12,$D95,$E$6,N$18,N$17)</f>
        <v>4.9610901100000104</v>
      </c>
      <c r="O95" s="16">
        <f ca="1">_xll.DBRW($D$4,$E$7,$E$8,$E$9,$E$10,$E$12,$D95,$E$6,O$18,O$17)</f>
        <v>40.914349720000004</v>
      </c>
      <c r="P95" s="74">
        <f ca="1">_xll.DBRW($D$4,$E$7,$E$8,$E$9,$E$10,$E$12,$D95,$E$6,P$18,P$17)</f>
        <v>-16.949329859999999</v>
      </c>
      <c r="Q95" s="16">
        <f ca="1">_xll.DBRW($D$4,$E$7,$E$8,$E$9,$E$10,$E$12,$D95,$E$6,Q$18,Q$17)</f>
        <v>0.41426369906875787</v>
      </c>
      <c r="R95" s="16"/>
      <c r="S95" s="16"/>
      <c r="T95" s="16"/>
      <c r="U95" s="16"/>
      <c r="V95" s="16">
        <f ca="1">_xll.DBRW($D$4,$E$7,$E$8,$E$9,$E$10,$E$12,$D95,$E$6,V$18,V$17)</f>
        <v>-4.3374917999999996</v>
      </c>
      <c r="W95" s="16">
        <f ca="1">_xll.DBRW($D$4,$E$7,$E$8,$E$9,$E$10,$E$12,$D95,$E$6,W$18,W$17)</f>
        <v>0.10601394937678113</v>
      </c>
      <c r="X95" s="16"/>
      <c r="Y95" s="16"/>
      <c r="Z95" s="16"/>
      <c r="AA95" s="16"/>
      <c r="AB95" s="16">
        <f ca="1">_xll.DBRW($D$4,$E$7,$E$8,$E$9,$E$10,$E$12,$D95,$E$6,AB$18,AB$17)</f>
        <v>-2.1483030200000002</v>
      </c>
      <c r="AC95" s="16">
        <f ca="1">_xll.DBRW($D$4,$E$7,$E$8,$E$9,$E$10,$E$12,$D95,$E$6,AC$18,AC$17)</f>
        <v>5.2507324073388692E-2</v>
      </c>
      <c r="AD95" s="16"/>
      <c r="AE95" s="16"/>
      <c r="AF95" s="16"/>
      <c r="AG95" s="16"/>
      <c r="AH95" s="16">
        <f ca="1">_xll.DBRW($D$4,$E$7,$E$8,$E$9,$E$10,$E$12,$D95,$E$6,AH$18,AH$17)</f>
        <v>-6.1651900000000009E-2</v>
      </c>
      <c r="AI95" s="16">
        <f ca="1">_xll.DBRW($D$4,$E$7,$E$8,$E$9,$E$10,$E$12,$D95,$E$6,AI$18,AI$17)</f>
        <v>1.5068527404668232E-3</v>
      </c>
      <c r="AJ95" s="16"/>
      <c r="AK95" s="16"/>
      <c r="AL95" s="16"/>
      <c r="AM95" s="16"/>
      <c r="AN95" s="16">
        <f ca="1">_xll.DBRW($D$4,$E$7,$E$8,$E$9,$E$10,$E$12,$D95,$E$6,AN$18,AN$17)</f>
        <v>-12.456483030000001</v>
      </c>
      <c r="AO95" s="16">
        <f ca="1">_xll.DBRW($D$4,$E$7,$E$8,$E$9,$E$10,$E$12,$D95,$E$6,AO$18,AO$17)</f>
        <v>0.30445267040162555</v>
      </c>
      <c r="AP95" s="16"/>
      <c r="AQ95" s="16"/>
      <c r="AR95" s="16"/>
      <c r="AS95" s="16"/>
      <c r="AT95" s="16">
        <f ca="1">_xll.DBRW($D$4,$E$7,$E$8,$E$9,$E$10,$E$12,$D95,$E$6,AT$18,AT$17)</f>
        <v>0.49878995999999998</v>
      </c>
      <c r="AU95" s="16">
        <f ca="1">_xll.DBRW($D$4,$E$7,$E$8,$E$9,$E$10,$E$12,$D95,$E$6,AU$18,AU$17)</f>
        <v>5.3392060000000008</v>
      </c>
      <c r="AV95" s="16">
        <f ca="1">_xll.DBRW($D$4,$E$7,$E$8,$E$9,$E$10,$E$12,$D95,$E$6,AV$18,AV$17)</f>
        <v>5.3392060000000008</v>
      </c>
      <c r="AW95" s="16">
        <f ca="1">_xll.DBRW($D$4,$E$7,$E$8,$E$9,$E$10,$E$12,$D95,$E$6,AW$18,AW$17)</f>
        <v>5.3392060000000008</v>
      </c>
      <c r="AX95" s="16">
        <f ca="1">_xll.DBRW($D$4,$E$7,$E$8,$E$9,$E$10,$E$12,$D95,$E$6,AX$18,AX$17)</f>
        <v>2.4017222984000002</v>
      </c>
      <c r="AY95" s="16">
        <f ca="1">_xll.DBRW($D$4,$E$7,$E$8,$E$9,$E$10,$E$12,$D95,$E$6,AY$18,AY$17)</f>
        <v>5.3392060000000008</v>
      </c>
      <c r="AZ95" s="16">
        <f ca="1">_xll.DBRW($D$4,$E$7,$E$8,$E$9,$E$10,$E$12,$D95,$E$6,AZ$18,AZ$17)</f>
        <v>4.7984460000000002</v>
      </c>
      <c r="BA95" s="16">
        <f ca="1">_xll.DBRW($D$4,$E$7,$E$8,$E$9,$E$10,$E$12,$D95,$E$6,BA$18,BA$17)</f>
        <v>5.3392060000000008</v>
      </c>
      <c r="BB95" s="16">
        <f ca="1">_xll.DBRW($D$4,$E$7,$E$8,$E$9,$E$10,$E$12,$D95,$E$6,BB$18,BB$17)</f>
        <v>5.3392060000000008</v>
      </c>
      <c r="BC95" s="16">
        <f ca="1">_xll.DBRW($D$4,$E$7,$E$8,$E$9,$E$10,$E$12,$D95,$E$6,BC$18,BC$17)</f>
        <v>5.3392060000000008</v>
      </c>
      <c r="BD95" s="16">
        <f ca="1">_xll.DBRW($D$4,$E$7,$E$8,$E$9,$E$10,$E$12,$D95,$E$6,BD$18,BD$17)</f>
        <v>0.59626738423754588</v>
      </c>
      <c r="BE95" s="16">
        <f ca="1">_xll.DBRW($D$4,$E$7,$E$8,$E$9,$E$10,$E$12,$D95,$E$6,BE$18,BE$17)</f>
        <v>-4.999912141335253</v>
      </c>
      <c r="BF95" s="16">
        <f ca="1">_xll.DBRW($D$4,$E$7,$E$8,$E$9,$E$10,$E$12,$D95,$E$6,BF$18,BF$17)</f>
        <v>0</v>
      </c>
      <c r="BG95" s="26">
        <f ca="1">_xll.DBRW($D$4,$E$7,$E$8,$E$9,$E$10,$E$12,$D95,$E$6,BG$18,BG$17)</f>
        <v>0</v>
      </c>
      <c r="BH95" s="26">
        <f ca="1">_xll.DBRW($D$4,$E$7,$E$8,$E$9,$E$10,$E$12,$D95,$E$6,BH$18,BH$17)</f>
        <v>0</v>
      </c>
      <c r="BI95" s="26">
        <f ca="1">_xll.DBRW($D$4,$E$7,$E$8,$E$9,$E$10,$E$12,$D95,$E$6,BI$18,BI$17)</f>
        <v>0</v>
      </c>
      <c r="BJ95" s="26">
        <f ca="1">_xll.DBRW($D$4,$E$7,$E$8,$E$9,$E$10,$E$12,$D95,$E$6,BJ$18,BJ$17)</f>
        <v>0</v>
      </c>
      <c r="BK95" s="16">
        <f ca="1">_xll.DBRW($D$4,$E$7,$E$8,$E$9,$E$10,$E$12,$D95,$E$6,BK$18,BK$17)</f>
        <v>5.5961795255727989</v>
      </c>
      <c r="BL95" s="16">
        <f ca="1">_xll.DBRW($D$4,$E$7,$E$8,$E$9,$E$10,$E$12,$D95,$E$6,BL$18,BL$17)</f>
        <v>44.857281531720403</v>
      </c>
      <c r="BM95" s="16">
        <f ca="1">_xll.DBRW($D$4,$E$7,$E$8,$E$9,$E$10,$E$12,$D95,$E$6,BM$18,BM$17)</f>
        <v>-18.844383196708897</v>
      </c>
      <c r="BN95" s="16">
        <f ca="1">_xll.DBRW($D$4,$E$7,$E$8,$E$9,$E$10,$E$12,$D95,$E$6,BN$18,BN$17)</f>
        <v>0.42009641586022706</v>
      </c>
      <c r="BO95" s="16"/>
      <c r="BP95" s="16"/>
      <c r="BQ95" s="16"/>
      <c r="BR95" s="16"/>
      <c r="BS95" s="16">
        <f ca="1">_xll.DBRW($D$4,$E$7,$E$8,$E$9,$E$10,$E$12,$D95,$E$6,BS$18,BS$17)</f>
        <v>-4.7226680962681495</v>
      </c>
      <c r="BT95" s="16">
        <f ca="1">_xll.DBRW($D$4,$E$7,$E$8,$E$9,$E$10,$E$12,$D95,$E$6,BT$18,BT$17)</f>
        <v>0.10528208431285697</v>
      </c>
      <c r="BU95" s="16"/>
      <c r="BV95" s="16"/>
      <c r="BW95" s="16"/>
      <c r="BX95" s="16"/>
      <c r="BY95" s="16">
        <f ca="1">_xll.DBRW($D$4,$E$7,$E$8,$E$9,$E$10,$E$12,$D95,$E$6,BY$18,BY$17)</f>
        <v>-2.239468528250907</v>
      </c>
      <c r="BZ95" s="16">
        <f ca="1">_xll.DBRW($D$4,$E$7,$E$8,$E$9,$E$10,$E$12,$D95,$E$6,BZ$18,BZ$17)</f>
        <v>4.9924303296607221E-2</v>
      </c>
      <c r="CA95" s="16"/>
      <c r="CB95" s="16"/>
      <c r="CC95" s="16"/>
      <c r="CD95" s="16"/>
      <c r="CE95" s="16">
        <f ca="1">_xll.DBRW($D$4,$E$7,$E$8,$E$9,$E$10,$E$12,$D95,$E$6,CE$18,CE$17)</f>
        <v>-2.9675999999999991E-2</v>
      </c>
      <c r="CF95" s="16">
        <f ca="1">_xll.DBRW($D$4,$E$7,$E$8,$E$9,$E$10,$E$12,$D95,$E$6,CF$18,CF$17)</f>
        <v>6.6156483377207971E-4</v>
      </c>
      <c r="CG95" s="16"/>
      <c r="CH95" s="16"/>
      <c r="CI95" s="16"/>
      <c r="CJ95" s="16"/>
      <c r="CK95" s="16">
        <f ca="1">_xll.DBRW($D$4,$E$7,$E$8,$E$9,$E$10,$E$12,$D95,$E$6,CK$18,CK$17)</f>
        <v>-13.424906184919651</v>
      </c>
      <c r="CL95" s="16">
        <f ca="1">_xll.DBRW($D$4,$E$7,$E$8,$E$9,$E$10,$E$12,$D95,$E$6,CL$18,CL$17)</f>
        <v>0.29928042285456724</v>
      </c>
      <c r="CM95" s="16"/>
      <c r="CN95" s="16"/>
      <c r="CO95" s="16"/>
      <c r="CP95" s="16"/>
      <c r="CQ95" s="16">
        <f ca="1">_xll.DBRW($D$4,$E$7,$E$8,$E$9,$E$10,$E$12,$D95,$E$6,CQ$18,CQ$17)</f>
        <v>0.55977955000000001</v>
      </c>
      <c r="CR95" s="16">
        <f ca="1">_xll.DBRW($D$4,$E$7,$E$8,$E$9,$E$10,$E$12,$D95,$E$6,CR$18,CR$17)</f>
        <v>6.0278419999999997</v>
      </c>
      <c r="CS95" s="16">
        <f ca="1">_xll.DBRW($D$4,$E$7,$E$8,$E$9,$E$10,$E$12,$D95,$E$6,CS$18,CS$17)</f>
        <v>6.0278419999999997</v>
      </c>
      <c r="CT95" s="16">
        <f ca="1">_xll.DBRW($D$4,$E$7,$E$8,$E$9,$E$10,$E$12,$D95,$E$6,CT$18,CT$17)</f>
        <v>6.0278419999999997</v>
      </c>
      <c r="CU95" s="16">
        <f ca="1">_xll.DBRW($D$4,$E$7,$E$8,$E$9,$E$10,$E$12,$D95,$E$6,CU$18,CU$17)</f>
        <v>2.73156927709939</v>
      </c>
      <c r="CV95" s="16">
        <f ca="1">_xll.DBRW($D$4,$E$7,$E$8,$E$9,$E$10,$E$12,$D95,$E$6,CV$18,CV$17)</f>
        <v>6.0278419999999997</v>
      </c>
      <c r="CW95" s="16">
        <f ca="1">_xll.DBRW($D$4,$E$7,$E$8,$E$9,$E$10,$E$12,$D95,$E$6,CW$18,CW$17)</f>
        <v>5.3789999999999996</v>
      </c>
      <c r="CX95" s="16">
        <f ca="1">_xll.DBRW($D$4,$E$7,$E$8,$E$9,$E$10,$E$12,$D95,$E$6,CX$18,CX$17)</f>
        <v>6.0278419999999997</v>
      </c>
      <c r="CY95" s="16">
        <f ca="1">_xll.DBRW($D$4,$E$7,$E$8,$E$9,$E$10,$E$12,$D95,$E$6,CY$18,CY$17)</f>
        <v>6.0278419999999997</v>
      </c>
      <c r="CZ95" s="16">
        <f ca="1">_xll.DBRW($D$4,$E$7,$E$8,$E$9,$E$10,$E$12,$D95,$E$6,CZ$18,CZ$17)</f>
        <v>6.0278419999999997</v>
      </c>
      <c r="DA95" s="26">
        <f t="shared" ca="1" si="108"/>
        <v>-3.5549564237536524E-2</v>
      </c>
      <c r="DB95" s="26">
        <f t="shared" ca="1" si="109"/>
        <v>0.59953985133525212</v>
      </c>
      <c r="DC95" s="26">
        <f t="shared" ca="1" si="110"/>
        <v>0</v>
      </c>
      <c r="DD95" s="26">
        <f t="shared" ca="1" si="111"/>
        <v>0</v>
      </c>
      <c r="DE95" s="26">
        <f t="shared" ca="1" si="112"/>
        <v>0</v>
      </c>
      <c r="DF95" s="26">
        <f t="shared" ca="1" si="113"/>
        <v>0</v>
      </c>
      <c r="DG95" s="26">
        <f t="shared" ca="1" si="114"/>
        <v>0</v>
      </c>
      <c r="DH95" s="26">
        <f t="shared" ca="1" si="115"/>
        <v>-0.63508941557278842</v>
      </c>
      <c r="DI95" s="26">
        <f t="shared" ca="1" si="116"/>
        <v>-3.9429318117203991</v>
      </c>
      <c r="DJ95" s="26">
        <f t="shared" ca="1" si="117"/>
        <v>1.895053336708898</v>
      </c>
      <c r="DK95" s="26">
        <f t="shared" ca="1" si="118"/>
        <v>-5.8327167914691835E-3</v>
      </c>
      <c r="DL95" s="26"/>
      <c r="DM95" s="26"/>
      <c r="DN95" s="26"/>
      <c r="DO95" s="26"/>
      <c r="DP95" s="26">
        <f t="shared" ca="1" si="119"/>
        <v>0.38517629626814998</v>
      </c>
      <c r="DQ95" s="26">
        <f t="shared" ca="1" si="120"/>
        <v>7.3186506392415585E-4</v>
      </c>
      <c r="DR95" s="26"/>
      <c r="DS95" s="26"/>
      <c r="DT95" s="26"/>
      <c r="DU95" s="26"/>
      <c r="DV95" s="26">
        <f t="shared" ca="1" si="121"/>
        <v>9.1165508250906857E-2</v>
      </c>
      <c r="DW95" s="26">
        <f t="shared" ca="1" si="122"/>
        <v>2.5830207767814709E-3</v>
      </c>
      <c r="DX95" s="26"/>
      <c r="DY95" s="26"/>
      <c r="DZ95" s="26"/>
      <c r="EA95" s="26"/>
      <c r="EB95" s="26">
        <f t="shared" ca="1" si="123"/>
        <v>-3.1975900000000015E-2</v>
      </c>
      <c r="EC95" s="26">
        <f t="shared" ca="1" si="124"/>
        <v>8.452879066947435E-4</v>
      </c>
      <c r="ED95" s="26"/>
      <c r="EE95" s="26"/>
      <c r="EF95" s="26"/>
      <c r="EG95" s="26"/>
      <c r="EH95" s="26">
        <f t="shared" ca="1" si="125"/>
        <v>0.96842315491965003</v>
      </c>
      <c r="EI95" s="29">
        <f t="shared" ca="1" si="126"/>
        <v>5.1722475470583062E-3</v>
      </c>
      <c r="EJ95" s="29"/>
      <c r="EK95" s="29"/>
      <c r="EL95" s="29"/>
      <c r="EM95" s="29"/>
      <c r="EN95" s="93"/>
      <c r="EO95" s="29"/>
      <c r="EP95" s="29"/>
      <c r="EQ95" s="29"/>
      <c r="ER95" s="29"/>
      <c r="ES95" s="29"/>
      <c r="ET95" s="29"/>
      <c r="EU95" s="93"/>
      <c r="EV95" s="29"/>
      <c r="EW95" s="29"/>
      <c r="EX95" s="29"/>
      <c r="EY95" s="29"/>
      <c r="EZ95" s="29"/>
      <c r="FA95" s="29"/>
      <c r="FB95" s="93"/>
      <c r="FC95" s="29"/>
      <c r="FD95" s="29"/>
      <c r="FE95" s="29"/>
      <c r="FF95" s="29"/>
      <c r="FG95" s="29"/>
      <c r="FH95" s="29"/>
      <c r="FI95" s="93"/>
      <c r="FJ95" s="29"/>
      <c r="FK95" s="29"/>
      <c r="FL95" s="29"/>
      <c r="FM95" s="29"/>
      <c r="FN95" s="29"/>
      <c r="FO95" s="29"/>
      <c r="FP95" s="93"/>
      <c r="FQ95" s="29"/>
      <c r="FR95" s="29"/>
      <c r="FS95" s="29"/>
      <c r="FT95" s="29"/>
      <c r="FU95" s="29"/>
      <c r="FV95" s="29"/>
    </row>
    <row r="96" spans="1:178" x14ac:dyDescent="0.25">
      <c r="A96" t="str">
        <f ca="1">IF(_xll.TM1RPTELISCONSOLIDATED($D$28,$D96),IF(_xll.TM1RPTELLEV($D$28,$D96)&lt;=3,_xll.TM1RPTELLEV($D$28,$D96),"D"),"N")</f>
        <v>N</v>
      </c>
      <c r="B96" t="str">
        <f ca="1">_xll.DBRA(Server&amp;"Management_organization",$D96,$B$27)</f>
        <v>L</v>
      </c>
      <c r="C96">
        <v>1</v>
      </c>
      <c r="D96" s="2" t="s">
        <v>151</v>
      </c>
      <c r="E96" s="26"/>
      <c r="F96" s="26"/>
      <c r="G96" s="16">
        <f ca="1">_xll.DBRW($D$4,$E$7,$E$8,$E$9,$E$10,$E$12,$D96,$E$6,G$18,G$17)</f>
        <v>2.9495410899999999</v>
      </c>
      <c r="H96" s="16">
        <f ca="1">_xll.DBRW($D$4,$E$7,$E$8,$E$9,$E$10,$E$12,$D96,$E$6,H$18,H$17)</f>
        <v>-3.9001329999999973E-2</v>
      </c>
      <c r="I96" s="16">
        <f ca="1">_xll.DBRW($D$4,$E$7,$E$8,$E$9,$E$10,$E$12,$D96,$E$6,I$18,I$17)</f>
        <v>0</v>
      </c>
      <c r="J96" s="26">
        <f ca="1">_xll.DBRW($D$4,$E$7,$E$8,$E$9,$E$10,$E$12,$D96,$E$6,J$18,J$17)</f>
        <v>0</v>
      </c>
      <c r="K96" s="26">
        <f ca="1">_xll.DBRW($D$4,$E$7,$E$8,$E$9,$E$10,$E$12,$D96,$E$6,K$18,K$17)</f>
        <v>0</v>
      </c>
      <c r="L96" s="26">
        <f ca="1">_xll.DBRW($D$4,$E$7,$E$8,$E$9,$E$10,$E$12,$D96,$E$6,L$18,L$17)</f>
        <v>0</v>
      </c>
      <c r="M96" s="26">
        <f ca="1">_xll.DBRW($D$4,$E$7,$E$8,$E$9,$E$10,$E$12,$D96,$E$6,M$18,M$17)</f>
        <v>0</v>
      </c>
      <c r="N96" s="16">
        <f ca="1">_xll.DBRW($D$4,$E$7,$E$8,$E$9,$E$10,$E$12,$D96,$E$6,N$18,N$17)</f>
        <v>2.9885424199999995</v>
      </c>
      <c r="O96" s="16">
        <f ca="1">_xll.DBRW($D$4,$E$7,$E$8,$E$9,$E$10,$E$12,$D96,$E$6,O$18,O$17)</f>
        <v>-8.1656630000000008E-2</v>
      </c>
      <c r="P96" s="74">
        <f ca="1">_xll.DBRW($D$4,$E$7,$E$8,$E$9,$E$10,$E$12,$D96,$E$6,P$18,P$17)</f>
        <v>0.10743248999999999</v>
      </c>
      <c r="Q96" s="16">
        <f ca="1">_xll.DBRW($D$4,$E$7,$E$8,$E$9,$E$10,$E$12,$D96,$E$6,Q$18,Q$17)</f>
        <v>1.3156615696729093</v>
      </c>
      <c r="R96" s="16"/>
      <c r="S96" s="16"/>
      <c r="T96" s="16"/>
      <c r="U96" s="16"/>
      <c r="V96" s="16">
        <f ca="1">_xll.DBRW($D$4,$E$7,$E$8,$E$9,$E$10,$E$12,$D96,$E$6,V$18,V$17)</f>
        <v>3.2035030000000006E-2</v>
      </c>
      <c r="W96" s="16">
        <f ca="1">_xll.DBRW($D$4,$E$7,$E$8,$E$9,$E$10,$E$12,$D96,$E$6,W$18,W$17)</f>
        <v>0.39231388804558803</v>
      </c>
      <c r="X96" s="16"/>
      <c r="Y96" s="16"/>
      <c r="Z96" s="16"/>
      <c r="AA96" s="16"/>
      <c r="AB96" s="16">
        <f ca="1">_xll.DBRW($D$4,$E$7,$E$8,$E$9,$E$10,$E$12,$D96,$E$6,AB$18,AB$17)</f>
        <v>1.2460999999999989E-2</v>
      </c>
      <c r="AC96" s="16">
        <f ca="1">_xll.DBRW($D$4,$E$7,$E$8,$E$9,$E$10,$E$12,$D96,$E$6,AC$18,AC$17)</f>
        <v>0.15260242799635484</v>
      </c>
      <c r="AD96" s="16"/>
      <c r="AE96" s="16"/>
      <c r="AF96" s="16"/>
      <c r="AG96" s="16"/>
      <c r="AH96" s="16">
        <f ca="1">_xll.DBRW($D$4,$E$7,$E$8,$E$9,$E$10,$E$12,$D96,$E$6,AH$18,AH$17)</f>
        <v>0</v>
      </c>
      <c r="AI96" s="16">
        <f ca="1">_xll.DBRW($D$4,$E$7,$E$8,$E$9,$E$10,$E$12,$D96,$E$6,AI$18,AI$17)</f>
        <v>0</v>
      </c>
      <c r="AJ96" s="16"/>
      <c r="AK96" s="16"/>
      <c r="AL96" s="16"/>
      <c r="AM96" s="16"/>
      <c r="AN96" s="16">
        <f ca="1">_xll.DBRW($D$4,$E$7,$E$8,$E$9,$E$10,$E$12,$D96,$E$6,AN$18,AN$17)</f>
        <v>2.9286135299999994</v>
      </c>
      <c r="AO96" s="16">
        <f ca="1">_xll.DBRW($D$4,$E$7,$E$8,$E$9,$E$10,$E$12,$D96,$E$6,AO$18,AO$17)</f>
        <v>35.864981569775765</v>
      </c>
      <c r="AP96" s="16"/>
      <c r="AQ96" s="16"/>
      <c r="AR96" s="16"/>
      <c r="AS96" s="16"/>
      <c r="AT96" s="16">
        <f ca="1">_xll.DBRW($D$4,$E$7,$E$8,$E$9,$E$10,$E$12,$D96,$E$6,AT$18,AT$17)</f>
        <v>0</v>
      </c>
      <c r="AU96" s="16">
        <f ca="1">_xll.DBRW($D$4,$E$7,$E$8,$E$9,$E$10,$E$12,$D96,$E$6,AU$18,AU$17)</f>
        <v>0</v>
      </c>
      <c r="AV96" s="16">
        <f ca="1">_xll.DBRW($D$4,$E$7,$E$8,$E$9,$E$10,$E$12,$D96,$E$6,AV$18,AV$17)</f>
        <v>0</v>
      </c>
      <c r="AW96" s="16">
        <f ca="1">_xll.DBRW($D$4,$E$7,$E$8,$E$9,$E$10,$E$12,$D96,$E$6,AW$18,AW$17)</f>
        <v>0</v>
      </c>
      <c r="AX96" s="16">
        <f ca="1">_xll.DBRW($D$4,$E$7,$E$8,$E$9,$E$10,$E$12,$D96,$E$6,AX$18,AX$17)</f>
        <v>0</v>
      </c>
      <c r="AY96" s="16">
        <f ca="1">_xll.DBRW($D$4,$E$7,$E$8,$E$9,$E$10,$E$12,$D96,$E$6,AY$18,AY$17)</f>
        <v>0</v>
      </c>
      <c r="AZ96" s="16">
        <f ca="1">_xll.DBRW($D$4,$E$7,$E$8,$E$9,$E$10,$E$12,$D96,$E$6,AZ$18,AZ$17)</f>
        <v>0</v>
      </c>
      <c r="BA96" s="16">
        <f ca="1">_xll.DBRW($D$4,$E$7,$E$8,$E$9,$E$10,$E$12,$D96,$E$6,BA$18,BA$17)</f>
        <v>0</v>
      </c>
      <c r="BB96" s="16">
        <f ca="1">_xll.DBRW($D$4,$E$7,$E$8,$E$9,$E$10,$E$12,$D96,$E$6,BB$18,BB$17)</f>
        <v>0</v>
      </c>
      <c r="BC96" s="16">
        <f ca="1">_xll.DBRW($D$4,$E$7,$E$8,$E$9,$E$10,$E$12,$D96,$E$6,BC$18,BC$17)</f>
        <v>0</v>
      </c>
      <c r="BD96" s="16">
        <f ca="1">_xll.DBRW($D$4,$E$7,$E$8,$E$9,$E$10,$E$12,$D96,$E$6,BD$18,BD$17)</f>
        <v>2.1000000000000019E-2</v>
      </c>
      <c r="BE96" s="16">
        <f ca="1">_xll.DBRW($D$4,$E$7,$E$8,$E$9,$E$10,$E$12,$D96,$E$6,BE$18,BE$17)</f>
        <v>-5.2999999999999992E-2</v>
      </c>
      <c r="BF96" s="16">
        <f ca="1">_xll.DBRW($D$4,$E$7,$E$8,$E$9,$E$10,$E$12,$D96,$E$6,BF$18,BF$17)</f>
        <v>0</v>
      </c>
      <c r="BG96" s="26">
        <f ca="1">_xll.DBRW($D$4,$E$7,$E$8,$E$9,$E$10,$E$12,$D96,$E$6,BG$18,BG$17)</f>
        <v>8.6999999999999994E-3</v>
      </c>
      <c r="BH96" s="26">
        <f ca="1">_xll.DBRW($D$4,$E$7,$E$8,$E$9,$E$10,$E$12,$D96,$E$6,BH$18,BH$17)</f>
        <v>0</v>
      </c>
      <c r="BI96" s="26">
        <f ca="1">_xll.DBRW($D$4,$E$7,$E$8,$E$9,$E$10,$E$12,$D96,$E$6,BI$18,BI$17)</f>
        <v>0</v>
      </c>
      <c r="BJ96" s="26">
        <f ca="1">_xll.DBRW($D$4,$E$7,$E$8,$E$9,$E$10,$E$12,$D96,$E$6,BJ$18,BJ$17)</f>
        <v>0</v>
      </c>
      <c r="BK96" s="16">
        <f ca="1">_xll.DBRW($D$4,$E$7,$E$8,$E$9,$E$10,$E$12,$D96,$E$6,BK$18,BK$17)</f>
        <v>6.5300000000000025E-2</v>
      </c>
      <c r="BL96" s="16">
        <f ca="1">_xll.DBRW($D$4,$E$7,$E$8,$E$9,$E$10,$E$12,$D96,$E$6,BL$18,BL$17)</f>
        <v>0</v>
      </c>
      <c r="BM96" s="16">
        <f ca="1">_xll.DBRW($D$4,$E$7,$E$8,$E$9,$E$10,$E$12,$D96,$E$6,BM$18,BM$17)</f>
        <v>0</v>
      </c>
      <c r="BN96" s="16">
        <f ca="1">_xll.DBRW($D$4,$E$7,$E$8,$E$9,$E$10,$E$12,$D96,$E$6,BN$18,BN$17)</f>
        <v>0</v>
      </c>
      <c r="BO96" s="16"/>
      <c r="BP96" s="16"/>
      <c r="BQ96" s="16"/>
      <c r="BR96" s="16"/>
      <c r="BS96" s="16">
        <f ca="1">_xll.DBRW($D$4,$E$7,$E$8,$E$9,$E$10,$E$12,$D96,$E$6,BS$18,BS$17)</f>
        <v>0</v>
      </c>
      <c r="BT96" s="16">
        <f ca="1">_xll.DBRW($D$4,$E$7,$E$8,$E$9,$E$10,$E$12,$D96,$E$6,BT$18,BT$17)</f>
        <v>0</v>
      </c>
      <c r="BU96" s="16"/>
      <c r="BV96" s="16"/>
      <c r="BW96" s="16"/>
      <c r="BX96" s="16"/>
      <c r="BY96" s="16">
        <f ca="1">_xll.DBRW($D$4,$E$7,$E$8,$E$9,$E$10,$E$12,$D96,$E$6,BY$18,BY$17)</f>
        <v>0</v>
      </c>
      <c r="BZ96" s="16">
        <f ca="1">_xll.DBRW($D$4,$E$7,$E$8,$E$9,$E$10,$E$12,$D96,$E$6,BZ$18,BZ$17)</f>
        <v>0</v>
      </c>
      <c r="CA96" s="16"/>
      <c r="CB96" s="16"/>
      <c r="CC96" s="16"/>
      <c r="CD96" s="16"/>
      <c r="CE96" s="16">
        <f ca="1">_xll.DBRW($D$4,$E$7,$E$8,$E$9,$E$10,$E$12,$D96,$E$6,CE$18,CE$17)</f>
        <v>0</v>
      </c>
      <c r="CF96" s="16">
        <f ca="1">_xll.DBRW($D$4,$E$7,$E$8,$E$9,$E$10,$E$12,$D96,$E$6,CF$18,CF$17)</f>
        <v>0</v>
      </c>
      <c r="CG96" s="16"/>
      <c r="CH96" s="16"/>
      <c r="CI96" s="16"/>
      <c r="CJ96" s="16"/>
      <c r="CK96" s="16">
        <f ca="1">_xll.DBRW($D$4,$E$7,$E$8,$E$9,$E$10,$E$12,$D96,$E$6,CK$18,CK$17)</f>
        <v>6.5300000000000025E-2</v>
      </c>
      <c r="CL96" s="16">
        <f ca="1">_xll.DBRW($D$4,$E$7,$E$8,$E$9,$E$10,$E$12,$D96,$E$6,CL$18,CL$17)</f>
        <v>0</v>
      </c>
      <c r="CM96" s="16"/>
      <c r="CN96" s="16"/>
      <c r="CO96" s="16"/>
      <c r="CP96" s="16"/>
      <c r="CQ96" s="16">
        <f ca="1">_xll.DBRW($D$4,$E$7,$E$8,$E$9,$E$10,$E$12,$D96,$E$6,CQ$18,CQ$17)</f>
        <v>0</v>
      </c>
      <c r="CR96" s="16">
        <f ca="1">_xll.DBRW($D$4,$E$7,$E$8,$E$9,$E$10,$E$12,$D96,$E$6,CR$18,CR$17)</f>
        <v>0</v>
      </c>
      <c r="CS96" s="16">
        <f ca="1">_xll.DBRW($D$4,$E$7,$E$8,$E$9,$E$10,$E$12,$D96,$E$6,CS$18,CS$17)</f>
        <v>0</v>
      </c>
      <c r="CT96" s="16">
        <f ca="1">_xll.DBRW($D$4,$E$7,$E$8,$E$9,$E$10,$E$12,$D96,$E$6,CT$18,CT$17)</f>
        <v>0</v>
      </c>
      <c r="CU96" s="16">
        <f ca="1">_xll.DBRW($D$4,$E$7,$E$8,$E$9,$E$10,$E$12,$D96,$E$6,CU$18,CU$17)</f>
        <v>0</v>
      </c>
      <c r="CV96" s="16">
        <f ca="1">_xll.DBRW($D$4,$E$7,$E$8,$E$9,$E$10,$E$12,$D96,$E$6,CV$18,CV$17)</f>
        <v>0</v>
      </c>
      <c r="CW96" s="16">
        <f ca="1">_xll.DBRW($D$4,$E$7,$E$8,$E$9,$E$10,$E$12,$D96,$E$6,CW$18,CW$17)</f>
        <v>0</v>
      </c>
      <c r="CX96" s="16">
        <f ca="1">_xll.DBRW($D$4,$E$7,$E$8,$E$9,$E$10,$E$12,$D96,$E$6,CX$18,CX$17)</f>
        <v>0</v>
      </c>
      <c r="CY96" s="16">
        <f ca="1">_xll.DBRW($D$4,$E$7,$E$8,$E$9,$E$10,$E$12,$D96,$E$6,CY$18,CY$17)</f>
        <v>0</v>
      </c>
      <c r="CZ96" s="16">
        <f ca="1">_xll.DBRW($D$4,$E$7,$E$8,$E$9,$E$10,$E$12,$D96,$E$6,CZ$18,CZ$17)</f>
        <v>0</v>
      </c>
      <c r="DA96" s="26">
        <f t="shared" ca="1" si="108"/>
        <v>2.92854109</v>
      </c>
      <c r="DB96" s="26">
        <f t="shared" ca="1" si="109"/>
        <v>1.3998670000000019E-2</v>
      </c>
      <c r="DC96" s="26">
        <f t="shared" ca="1" si="110"/>
        <v>0</v>
      </c>
      <c r="DD96" s="26">
        <f t="shared" ca="1" si="111"/>
        <v>-8.6999999999999994E-3</v>
      </c>
      <c r="DE96" s="26">
        <f t="shared" ca="1" si="112"/>
        <v>0</v>
      </c>
      <c r="DF96" s="26">
        <f t="shared" ca="1" si="113"/>
        <v>0</v>
      </c>
      <c r="DG96" s="26">
        <f t="shared" ca="1" si="114"/>
        <v>0</v>
      </c>
      <c r="DH96" s="26">
        <f t="shared" ca="1" si="115"/>
        <v>2.9232424199999993</v>
      </c>
      <c r="DI96" s="26">
        <f t="shared" ca="1" si="116"/>
        <v>-8.1656630000000008E-2</v>
      </c>
      <c r="DJ96" s="26">
        <f t="shared" ca="1" si="117"/>
        <v>0.10743248999999999</v>
      </c>
      <c r="DK96" s="26">
        <f t="shared" ca="1" si="118"/>
        <v>1.3156615696729093</v>
      </c>
      <c r="DL96" s="26"/>
      <c r="DM96" s="26"/>
      <c r="DN96" s="26"/>
      <c r="DO96" s="26"/>
      <c r="DP96" s="26">
        <f t="shared" ca="1" si="119"/>
        <v>3.2035030000000006E-2</v>
      </c>
      <c r="DQ96" s="26">
        <f t="shared" ca="1" si="120"/>
        <v>0.39231388804558803</v>
      </c>
      <c r="DR96" s="26"/>
      <c r="DS96" s="26"/>
      <c r="DT96" s="26"/>
      <c r="DU96" s="26"/>
      <c r="DV96" s="26">
        <f t="shared" ca="1" si="121"/>
        <v>1.2460999999999989E-2</v>
      </c>
      <c r="DW96" s="26">
        <f t="shared" ca="1" si="122"/>
        <v>0.15260242799635484</v>
      </c>
      <c r="DX96" s="26"/>
      <c r="DY96" s="26"/>
      <c r="DZ96" s="26"/>
      <c r="EA96" s="26"/>
      <c r="EB96" s="26">
        <f t="shared" ca="1" si="123"/>
        <v>0</v>
      </c>
      <c r="EC96" s="26">
        <f t="shared" ca="1" si="124"/>
        <v>0</v>
      </c>
      <c r="ED96" s="26"/>
      <c r="EE96" s="26"/>
      <c r="EF96" s="26"/>
      <c r="EG96" s="26"/>
      <c r="EH96" s="26">
        <f t="shared" ca="1" si="125"/>
        <v>2.8633135299999992</v>
      </c>
      <c r="EI96" s="29">
        <f t="shared" ca="1" si="126"/>
        <v>35.864981569775765</v>
      </c>
      <c r="EJ96" s="29"/>
      <c r="EK96" s="29"/>
      <c r="EL96" s="29"/>
      <c r="EM96" s="29"/>
      <c r="EN96" s="93"/>
      <c r="EO96" s="29"/>
      <c r="EP96" s="29"/>
      <c r="EQ96" s="29"/>
      <c r="ER96" s="29"/>
      <c r="ES96" s="29"/>
      <c r="ET96" s="29"/>
      <c r="EU96" s="93"/>
      <c r="EV96" s="29"/>
      <c r="EW96" s="29"/>
      <c r="EX96" s="29"/>
      <c r="EY96" s="29"/>
      <c r="EZ96" s="29"/>
      <c r="FA96" s="29"/>
      <c r="FB96" s="93"/>
      <c r="FC96" s="29"/>
      <c r="FD96" s="29"/>
      <c r="FE96" s="29"/>
      <c r="FF96" s="29"/>
      <c r="FG96" s="29"/>
      <c r="FH96" s="29"/>
      <c r="FI96" s="93"/>
      <c r="FJ96" s="29"/>
      <c r="FK96" s="29"/>
      <c r="FL96" s="29"/>
      <c r="FM96" s="29"/>
      <c r="FN96" s="29"/>
      <c r="FO96" s="29"/>
      <c r="FP96" s="93"/>
      <c r="FQ96" s="29"/>
      <c r="FR96" s="29"/>
      <c r="FS96" s="29"/>
      <c r="FT96" s="29"/>
      <c r="FU96" s="29"/>
      <c r="FV96" s="29"/>
    </row>
    <row r="97" spans="1:178" x14ac:dyDescent="0.25">
      <c r="A97" t="str">
        <f ca="1">IF(_xll.TM1RPTELISCONSOLIDATED($D$28,$D97),IF(_xll.TM1RPTELLEV($D$28,$D97)&lt;=3,_xll.TM1RPTELLEV($D$28,$D97),"D"),"N")</f>
        <v>N</v>
      </c>
      <c r="B97" t="str">
        <f ca="1">_xll.DBRA(Server&amp;"Management_organization",$D97,$B$27)</f>
        <v>L</v>
      </c>
      <c r="C97">
        <v>1</v>
      </c>
      <c r="D97" s="2" t="s">
        <v>330</v>
      </c>
      <c r="E97" s="26"/>
      <c r="F97" s="26"/>
      <c r="G97" s="16">
        <f ca="1">_xll.DBRW($D$4,$E$7,$E$8,$E$9,$E$10,$E$12,$D97,$E$6,G$18,G$17)</f>
        <v>-0.89321784999999454</v>
      </c>
      <c r="H97" s="16">
        <f ca="1">_xll.DBRW($D$4,$E$7,$E$8,$E$9,$E$10,$E$12,$D97,$E$6,H$18,H$17)</f>
        <v>-4.5240521999999999</v>
      </c>
      <c r="I97" s="16">
        <f ca="1">_xll.DBRW($D$4,$E$7,$E$8,$E$9,$E$10,$E$12,$D97,$E$6,I$18,I$17)</f>
        <v>0</v>
      </c>
      <c r="J97" s="26">
        <f ca="1">_xll.DBRW($D$4,$E$7,$E$8,$E$9,$E$10,$E$12,$D97,$E$6,J$18,J$17)</f>
        <v>0</v>
      </c>
      <c r="K97" s="26">
        <f ca="1">_xll.DBRW($D$4,$E$7,$E$8,$E$9,$E$10,$E$12,$D97,$E$6,K$18,K$17)</f>
        <v>0</v>
      </c>
      <c r="L97" s="26">
        <f ca="1">_xll.DBRW($D$4,$E$7,$E$8,$E$9,$E$10,$E$12,$D97,$E$6,L$18,L$17)</f>
        <v>0</v>
      </c>
      <c r="M97" s="26">
        <f ca="1">_xll.DBRW($D$4,$E$7,$E$8,$E$9,$E$10,$E$12,$D97,$E$6,M$18,M$17)</f>
        <v>0</v>
      </c>
      <c r="N97" s="16">
        <f ca="1">_xll.DBRW($D$4,$E$7,$E$8,$E$9,$E$10,$E$12,$D97,$E$6,N$18,N$17)</f>
        <v>3.6308343500000051</v>
      </c>
      <c r="O97" s="16">
        <f ca="1">_xll.DBRW($D$4,$E$7,$E$8,$E$9,$E$10,$E$12,$D97,$E$6,O$18,O$17)</f>
        <v>49.043928229999999</v>
      </c>
      <c r="P97" s="74">
        <f ca="1">_xll.DBRW($D$4,$E$7,$E$8,$E$9,$E$10,$E$12,$D97,$E$6,P$18,P$17)</f>
        <v>-23.006216549999998</v>
      </c>
      <c r="Q97" s="16">
        <f ca="1">_xll.DBRW($D$4,$E$7,$E$8,$E$9,$E$10,$E$12,$D97,$E$6,Q$18,Q$17)</f>
        <v>0.46909408320859536</v>
      </c>
      <c r="R97" s="16"/>
      <c r="S97" s="16"/>
      <c r="T97" s="16"/>
      <c r="U97" s="16"/>
      <c r="V97" s="16">
        <f ca="1">_xll.DBRW($D$4,$E$7,$E$8,$E$9,$E$10,$E$12,$D97,$E$6,V$18,V$17)</f>
        <v>-10.616694949999998</v>
      </c>
      <c r="W97" s="16">
        <f ca="1">_xll.DBRW($D$4,$E$7,$E$8,$E$9,$E$10,$E$12,$D97,$E$6,W$18,W$17)</f>
        <v>0.21647317686730083</v>
      </c>
      <c r="X97" s="16"/>
      <c r="Y97" s="16"/>
      <c r="Z97" s="16"/>
      <c r="AA97" s="16"/>
      <c r="AB97" s="16">
        <f ca="1">_xll.DBRW($D$4,$E$7,$E$8,$E$9,$E$10,$E$12,$D97,$E$6,AB$18,AB$17)</f>
        <v>-1.93953742</v>
      </c>
      <c r="AC97" s="16">
        <f ca="1">_xll.DBRW($D$4,$E$7,$E$8,$E$9,$E$10,$E$12,$D97,$E$6,AC$18,AC$17)</f>
        <v>3.9546942710302554E-2</v>
      </c>
      <c r="AD97" s="16"/>
      <c r="AE97" s="16"/>
      <c r="AF97" s="16"/>
      <c r="AG97" s="16"/>
      <c r="AH97" s="16">
        <f ca="1">_xll.DBRW($D$4,$E$7,$E$8,$E$9,$E$10,$E$12,$D97,$E$6,AH$18,AH$17)</f>
        <v>-2.79189E-2</v>
      </c>
      <c r="AI97" s="16">
        <f ca="1">_xll.DBRW($D$4,$E$7,$E$8,$E$9,$E$10,$E$12,$D97,$E$6,AI$18,AI$17)</f>
        <v>5.6926312813014243E-4</v>
      </c>
      <c r="AJ97" s="16"/>
      <c r="AK97" s="16"/>
      <c r="AL97" s="16"/>
      <c r="AM97" s="16"/>
      <c r="AN97" s="16">
        <f ca="1">_xll.DBRW($D$4,$E$7,$E$8,$E$9,$E$10,$E$12,$D97,$E$6,AN$18,AN$17)</f>
        <v>-9.8227260600000008</v>
      </c>
      <c r="AO97" s="16">
        <f ca="1">_xll.DBRW($D$4,$E$7,$E$8,$E$9,$E$10,$E$12,$D97,$E$6,AO$18,AO$17)</f>
        <v>0.20028424342223619</v>
      </c>
      <c r="AP97" s="16"/>
      <c r="AQ97" s="16"/>
      <c r="AR97" s="16"/>
      <c r="AS97" s="16"/>
      <c r="AT97" s="16">
        <f ca="1">_xll.DBRW($D$4,$E$7,$E$8,$E$9,$E$10,$E$12,$D97,$E$6,AT$18,AT$17)</f>
        <v>0.74340557000000007</v>
      </c>
      <c r="AU97" s="16">
        <f ca="1">_xll.DBRW($D$4,$E$7,$E$8,$E$9,$E$10,$E$12,$D97,$E$6,AU$18,AU$17)</f>
        <v>7.6571609999999994</v>
      </c>
      <c r="AV97" s="16">
        <f ca="1">_xll.DBRW($D$4,$E$7,$E$8,$E$9,$E$10,$E$12,$D97,$E$6,AV$18,AV$17)</f>
        <v>7.6571609999999994</v>
      </c>
      <c r="AW97" s="16">
        <f ca="1">_xll.DBRW($D$4,$E$7,$E$8,$E$9,$E$10,$E$12,$D97,$E$6,AW$18,AW$17)</f>
        <v>7.6571609999999994</v>
      </c>
      <c r="AX97" s="16">
        <f ca="1">_xll.DBRW($D$4,$E$7,$E$8,$E$9,$E$10,$E$12,$D97,$E$6,AX$18,AX$17)</f>
        <v>4.9351607123999992</v>
      </c>
      <c r="AY97" s="16">
        <f ca="1">_xll.DBRW($D$4,$E$7,$E$8,$E$9,$E$10,$E$12,$D97,$E$6,AY$18,AY$17)</f>
        <v>7.6571609999999994</v>
      </c>
      <c r="AZ97" s="16">
        <f ca="1">_xll.DBRW($D$4,$E$7,$E$8,$E$9,$E$10,$E$12,$D97,$E$6,AZ$18,AZ$17)</f>
        <v>6.1769399999999983</v>
      </c>
      <c r="BA97" s="16">
        <f ca="1">_xll.DBRW($D$4,$E$7,$E$8,$E$9,$E$10,$E$12,$D97,$E$6,BA$18,BA$17)</f>
        <v>7.6571609999999994</v>
      </c>
      <c r="BB97" s="16">
        <f ca="1">_xll.DBRW($D$4,$E$7,$E$8,$E$9,$E$10,$E$12,$D97,$E$6,BB$18,BB$17)</f>
        <v>7.6571609999999994</v>
      </c>
      <c r="BC97" s="16">
        <f ca="1">_xll.DBRW($D$4,$E$7,$E$8,$E$9,$E$10,$E$12,$D97,$E$6,BC$18,BC$17)</f>
        <v>7.6571609999999994</v>
      </c>
      <c r="BD97" s="16">
        <f ca="1">_xll.DBRW($D$4,$E$7,$E$8,$E$9,$E$10,$E$12,$D97,$E$6,BD$18,BD$17)</f>
        <v>-2.350445669705179</v>
      </c>
      <c r="BE97" s="16">
        <f ca="1">_xll.DBRW($D$4,$E$7,$E$8,$E$9,$E$10,$E$12,$D97,$E$6,BE$18,BE$17)</f>
        <v>-4.8796866770090839</v>
      </c>
      <c r="BF97" s="16">
        <f ca="1">_xll.DBRW($D$4,$E$7,$E$8,$E$9,$E$10,$E$12,$D97,$E$6,BF$18,BF$17)</f>
        <v>0</v>
      </c>
      <c r="BG97" s="26">
        <f ca="1">_xll.DBRW($D$4,$E$7,$E$8,$E$9,$E$10,$E$12,$D97,$E$6,BG$18,BG$17)</f>
        <v>0</v>
      </c>
      <c r="BH97" s="26">
        <f ca="1">_xll.DBRW($D$4,$E$7,$E$8,$E$9,$E$10,$E$12,$D97,$E$6,BH$18,BH$17)</f>
        <v>0</v>
      </c>
      <c r="BI97" s="26">
        <f ca="1">_xll.DBRW($D$4,$E$7,$E$8,$E$9,$E$10,$E$12,$D97,$E$6,BI$18,BI$17)</f>
        <v>0</v>
      </c>
      <c r="BJ97" s="26">
        <f ca="1">_xll.DBRW($D$4,$E$7,$E$8,$E$9,$E$10,$E$12,$D97,$E$6,BJ$18,BJ$17)</f>
        <v>0</v>
      </c>
      <c r="BK97" s="16">
        <f ca="1">_xll.DBRW($D$4,$E$7,$E$8,$E$9,$E$10,$E$12,$D97,$E$6,BK$18,BK$17)</f>
        <v>2.5292410073039044</v>
      </c>
      <c r="BL97" s="16">
        <f ca="1">_xll.DBRW($D$4,$E$7,$E$8,$E$9,$E$10,$E$12,$D97,$E$6,BL$18,BL$17)</f>
        <v>53.612562973268531</v>
      </c>
      <c r="BM97" s="16">
        <f ca="1">_xll.DBRW($D$4,$E$7,$E$8,$E$9,$E$10,$E$12,$D97,$E$6,BM$18,BM$17)</f>
        <v>-26.042304844024098</v>
      </c>
      <c r="BN97" s="16">
        <f ca="1">_xll.DBRW($D$4,$E$7,$E$8,$E$9,$E$10,$E$12,$D97,$E$6,BN$18,BN$17)</f>
        <v>0.48575004438808328</v>
      </c>
      <c r="BO97" s="16"/>
      <c r="BP97" s="16"/>
      <c r="BQ97" s="16"/>
      <c r="BR97" s="16"/>
      <c r="BS97" s="16">
        <f ca="1">_xll.DBRW($D$4,$E$7,$E$8,$E$9,$E$10,$E$12,$D97,$E$6,BS$18,BS$17)</f>
        <v>-11.311342666773566</v>
      </c>
      <c r="BT97" s="16">
        <f ca="1">_xll.DBRW($D$4,$E$7,$E$8,$E$9,$E$10,$E$12,$D97,$E$6,BT$18,BT$17)</f>
        <v>0.21098306142188078</v>
      </c>
      <c r="BU97" s="16"/>
      <c r="BV97" s="16"/>
      <c r="BW97" s="16"/>
      <c r="BX97" s="16"/>
      <c r="BY97" s="16">
        <f ca="1">_xll.DBRW($D$4,$E$7,$E$8,$E$9,$E$10,$E$12,$D97,$E$6,BY$18,BY$17)</f>
        <v>-2.0217453910364842</v>
      </c>
      <c r="BZ97" s="16">
        <f ca="1">_xll.DBRW($D$4,$E$7,$E$8,$E$9,$E$10,$E$12,$D97,$E$6,BZ$18,BZ$17)</f>
        <v>3.7710291747188728E-2</v>
      </c>
      <c r="CA97" s="16"/>
      <c r="CB97" s="16"/>
      <c r="CC97" s="16"/>
      <c r="CD97" s="16"/>
      <c r="CE97" s="16">
        <f ca="1">_xll.DBRW($D$4,$E$7,$E$8,$E$9,$E$10,$E$12,$D97,$E$6,CE$18,CE$17)</f>
        <v>-2.9873000000000004E-2</v>
      </c>
      <c r="CF97" s="16">
        <f ca="1">_xll.DBRW($D$4,$E$7,$E$8,$E$9,$E$10,$E$12,$D97,$E$6,CF$18,CF$17)</f>
        <v>5.5720149053300843E-4</v>
      </c>
      <c r="CG97" s="16"/>
      <c r="CH97" s="16"/>
      <c r="CI97" s="16"/>
      <c r="CJ97" s="16"/>
      <c r="CK97" s="16">
        <f ca="1">_xll.DBRW($D$4,$E$7,$E$8,$E$9,$E$10,$E$12,$D97,$E$6,CK$18,CK$17)</f>
        <v>-11.678056064130477</v>
      </c>
      <c r="CL97" s="16">
        <f ca="1">_xll.DBRW($D$4,$E$7,$E$8,$E$9,$E$10,$E$12,$D97,$E$6,CL$18,CL$17)</f>
        <v>0.21782312608246707</v>
      </c>
      <c r="CM97" s="16"/>
      <c r="CN97" s="16"/>
      <c r="CO97" s="16"/>
      <c r="CP97" s="16"/>
      <c r="CQ97" s="16">
        <f ca="1">_xll.DBRW($D$4,$E$7,$E$8,$E$9,$E$10,$E$12,$D97,$E$6,CQ$18,CQ$17)</f>
        <v>0.78980008880344399</v>
      </c>
      <c r="CR97" s="16">
        <f ca="1">_xll.DBRW($D$4,$E$7,$E$8,$E$9,$E$10,$E$12,$D97,$E$6,CR$18,CR$17)</f>
        <v>8.7357609999999983</v>
      </c>
      <c r="CS97" s="16">
        <f ca="1">_xll.DBRW($D$4,$E$7,$E$8,$E$9,$E$10,$E$12,$D97,$E$6,CS$18,CS$17)</f>
        <v>8.7357609999999983</v>
      </c>
      <c r="CT97" s="16">
        <f ca="1">_xll.DBRW($D$4,$E$7,$E$8,$E$9,$E$10,$E$12,$D97,$E$6,CT$18,CT$17)</f>
        <v>8.7357609999999983</v>
      </c>
      <c r="CU97" s="16">
        <f ca="1">_xll.DBRW($D$4,$E$7,$E$8,$E$9,$E$10,$E$12,$D97,$E$6,CU$18,CU$17)</f>
        <v>5.3734426389559404</v>
      </c>
      <c r="CV97" s="16">
        <f ca="1">_xll.DBRW($D$4,$E$7,$E$8,$E$9,$E$10,$E$12,$D97,$E$6,CV$18,CV$17)</f>
        <v>8.7357609999999983</v>
      </c>
      <c r="CW97" s="16">
        <f ca="1">_xll.DBRW($D$4,$E$7,$E$8,$E$9,$E$10,$E$12,$D97,$E$6,CW$18,CW$17)</f>
        <v>6.8984940000000003</v>
      </c>
      <c r="CX97" s="16">
        <f ca="1">_xll.DBRW($D$4,$E$7,$E$8,$E$9,$E$10,$E$12,$D97,$E$6,CX$18,CX$17)</f>
        <v>8.7357609999999983</v>
      </c>
      <c r="CY97" s="16">
        <f ca="1">_xll.DBRW($D$4,$E$7,$E$8,$E$9,$E$10,$E$12,$D97,$E$6,CY$18,CY$17)</f>
        <v>8.7357609999999983</v>
      </c>
      <c r="CZ97" s="16">
        <f ca="1">_xll.DBRW($D$4,$E$7,$E$8,$E$9,$E$10,$E$12,$D97,$E$6,CZ$18,CZ$17)</f>
        <v>8.7357609999999983</v>
      </c>
      <c r="DA97" s="26">
        <f t="shared" ca="1" si="108"/>
        <v>1.4572278197051844</v>
      </c>
      <c r="DB97" s="26">
        <f t="shared" ca="1" si="109"/>
        <v>0.35563447700908402</v>
      </c>
      <c r="DC97" s="26">
        <f t="shared" ca="1" si="110"/>
        <v>0</v>
      </c>
      <c r="DD97" s="26">
        <f t="shared" ca="1" si="111"/>
        <v>0</v>
      </c>
      <c r="DE97" s="26">
        <f t="shared" ca="1" si="112"/>
        <v>0</v>
      </c>
      <c r="DF97" s="26">
        <f t="shared" ca="1" si="113"/>
        <v>0</v>
      </c>
      <c r="DG97" s="26">
        <f t="shared" ca="1" si="114"/>
        <v>0</v>
      </c>
      <c r="DH97" s="26">
        <f t="shared" ca="1" si="115"/>
        <v>1.1015933426961007</v>
      </c>
      <c r="DI97" s="26">
        <f t="shared" ca="1" si="116"/>
        <v>-4.5686347432685324</v>
      </c>
      <c r="DJ97" s="26">
        <f t="shared" ca="1" si="117"/>
        <v>3.0360882940241005</v>
      </c>
      <c r="DK97" s="26">
        <f t="shared" ca="1" si="118"/>
        <v>-1.6655961179487921E-2</v>
      </c>
      <c r="DL97" s="26"/>
      <c r="DM97" s="26"/>
      <c r="DN97" s="26"/>
      <c r="DO97" s="26"/>
      <c r="DP97" s="26">
        <f t="shared" ca="1" si="119"/>
        <v>0.69464771677356829</v>
      </c>
      <c r="DQ97" s="26">
        <f t="shared" ca="1" si="120"/>
        <v>5.4901154454200518E-3</v>
      </c>
      <c r="DR97" s="26"/>
      <c r="DS97" s="26"/>
      <c r="DT97" s="26"/>
      <c r="DU97" s="26"/>
      <c r="DV97" s="26">
        <f t="shared" ca="1" si="121"/>
        <v>8.2207971036484251E-2</v>
      </c>
      <c r="DW97" s="26">
        <f t="shared" ca="1" si="122"/>
        <v>1.836650963113827E-3</v>
      </c>
      <c r="DX97" s="26"/>
      <c r="DY97" s="26"/>
      <c r="DZ97" s="26"/>
      <c r="EA97" s="26"/>
      <c r="EB97" s="26">
        <f t="shared" ca="1" si="123"/>
        <v>1.9541000000000038E-3</v>
      </c>
      <c r="EC97" s="26">
        <f t="shared" ca="1" si="124"/>
        <v>1.2061637597134004E-5</v>
      </c>
      <c r="ED97" s="26"/>
      <c r="EE97" s="26"/>
      <c r="EF97" s="26"/>
      <c r="EG97" s="26"/>
      <c r="EH97" s="26">
        <f t="shared" ca="1" si="125"/>
        <v>1.8553300041304759</v>
      </c>
      <c r="EI97" s="29">
        <f t="shared" ca="1" si="126"/>
        <v>-1.7538882660230876E-2</v>
      </c>
      <c r="EJ97" s="29"/>
      <c r="EK97" s="29"/>
      <c r="EL97" s="29"/>
      <c r="EM97" s="29"/>
      <c r="EN97" s="93"/>
      <c r="EO97" s="29"/>
      <c r="EP97" s="29"/>
      <c r="EQ97" s="29"/>
      <c r="ER97" s="29"/>
      <c r="ES97" s="29"/>
      <c r="ET97" s="29"/>
      <c r="EU97" s="93"/>
      <c r="EV97" s="29"/>
      <c r="EW97" s="29"/>
      <c r="EX97" s="29"/>
      <c r="EY97" s="29"/>
      <c r="EZ97" s="29"/>
      <c r="FA97" s="29"/>
      <c r="FB97" s="93"/>
      <c r="FC97" s="29"/>
      <c r="FD97" s="29"/>
      <c r="FE97" s="29"/>
      <c r="FF97" s="29"/>
      <c r="FG97" s="29"/>
      <c r="FH97" s="29"/>
      <c r="FI97" s="93"/>
      <c r="FJ97" s="29"/>
      <c r="FK97" s="29"/>
      <c r="FL97" s="29"/>
      <c r="FM97" s="29"/>
      <c r="FN97" s="29"/>
      <c r="FO97" s="29"/>
      <c r="FP97" s="93"/>
      <c r="FQ97" s="29"/>
      <c r="FR97" s="29"/>
      <c r="FS97" s="29"/>
      <c r="FT97" s="29"/>
      <c r="FU97" s="29"/>
      <c r="FV97" s="29"/>
    </row>
    <row r="98" spans="1:178" x14ac:dyDescent="0.25">
      <c r="A98" t="str">
        <f ca="1">IF(_xll.TM1RPTELISCONSOLIDATED($D$28,$D98),IF(_xll.TM1RPTELLEV($D$28,$D98)&lt;=3,_xll.TM1RPTELLEV($D$28,$D98),"D"),"N")</f>
        <v>N</v>
      </c>
      <c r="B98" t="str">
        <f ca="1">_xll.DBRA(Server&amp;"Management_organization",$D98,$B$27)</f>
        <v>L</v>
      </c>
      <c r="C98">
        <v>1</v>
      </c>
      <c r="D98" s="2" t="s">
        <v>331</v>
      </c>
      <c r="E98" s="26"/>
      <c r="F98" s="26"/>
      <c r="G98" s="16">
        <f ca="1">_xll.DBRW($D$4,$E$7,$E$8,$E$9,$E$10,$E$12,$D98,$E$6,G$18,G$17)</f>
        <v>-0.13119299999998901</v>
      </c>
      <c r="H98" s="16">
        <f ca="1">_xll.DBRW($D$4,$E$7,$E$8,$E$9,$E$10,$E$12,$D98,$E$6,H$18,H$17)</f>
        <v>-4.1560943199999993</v>
      </c>
      <c r="I98" s="16">
        <f ca="1">_xll.DBRW($D$4,$E$7,$E$8,$E$9,$E$10,$E$12,$D98,$E$6,I$18,I$17)</f>
        <v>0</v>
      </c>
      <c r="J98" s="26">
        <f ca="1">_xll.DBRW($D$4,$E$7,$E$8,$E$9,$E$10,$E$12,$D98,$E$6,J$18,J$17)</f>
        <v>0</v>
      </c>
      <c r="K98" s="26">
        <f ca="1">_xll.DBRW($D$4,$E$7,$E$8,$E$9,$E$10,$E$12,$D98,$E$6,K$18,K$17)</f>
        <v>0</v>
      </c>
      <c r="L98" s="26">
        <f ca="1">_xll.DBRW($D$4,$E$7,$E$8,$E$9,$E$10,$E$12,$D98,$E$6,L$18,L$17)</f>
        <v>0</v>
      </c>
      <c r="M98" s="26">
        <f ca="1">_xll.DBRW($D$4,$E$7,$E$8,$E$9,$E$10,$E$12,$D98,$E$6,M$18,M$17)</f>
        <v>0</v>
      </c>
      <c r="N98" s="16">
        <f ca="1">_xll.DBRW($D$4,$E$7,$E$8,$E$9,$E$10,$E$12,$D98,$E$6,N$18,N$17)</f>
        <v>4.0249013200000103</v>
      </c>
      <c r="O98" s="16">
        <f ca="1">_xll.DBRW($D$4,$E$7,$E$8,$E$9,$E$10,$E$12,$D98,$E$6,O$18,O$17)</f>
        <v>69.938752690000001</v>
      </c>
      <c r="P98" s="74">
        <f ca="1">_xll.DBRW($D$4,$E$7,$E$8,$E$9,$E$10,$E$12,$D98,$E$6,P$18,P$17)</f>
        <v>-28.609796879999998</v>
      </c>
      <c r="Q98" s="16">
        <f ca="1">_xll.DBRW($D$4,$E$7,$E$8,$E$9,$E$10,$E$12,$D98,$E$6,Q$18,Q$17)</f>
        <v>0.40906930392098184</v>
      </c>
      <c r="R98" s="16"/>
      <c r="S98" s="16"/>
      <c r="T98" s="16"/>
      <c r="U98" s="16"/>
      <c r="V98" s="16">
        <f ca="1">_xll.DBRW($D$4,$E$7,$E$8,$E$9,$E$10,$E$12,$D98,$E$6,V$18,V$17)</f>
        <v>-10.54929083</v>
      </c>
      <c r="W98" s="16">
        <f ca="1">_xll.DBRW($D$4,$E$7,$E$8,$E$9,$E$10,$E$12,$D98,$E$6,W$18,W$17)</f>
        <v>0.15083613053208428</v>
      </c>
      <c r="X98" s="16"/>
      <c r="Y98" s="16"/>
      <c r="Z98" s="16"/>
      <c r="AA98" s="16"/>
      <c r="AB98" s="16">
        <f ca="1">_xll.DBRW($D$4,$E$7,$E$8,$E$9,$E$10,$E$12,$D98,$E$6,AB$18,AB$17)</f>
        <v>-5.0971506099999999</v>
      </c>
      <c r="AC98" s="16">
        <f ca="1">_xll.DBRW($D$4,$E$7,$E$8,$E$9,$E$10,$E$12,$D98,$E$6,AC$18,AC$17)</f>
        <v>7.2880204664113227E-2</v>
      </c>
      <c r="AD98" s="16"/>
      <c r="AE98" s="16"/>
      <c r="AF98" s="16"/>
      <c r="AG98" s="16"/>
      <c r="AH98" s="16">
        <f ca="1">_xll.DBRW($D$4,$E$7,$E$8,$E$9,$E$10,$E$12,$D98,$E$6,AH$18,AH$17)</f>
        <v>-2.8258639999999998E-2</v>
      </c>
      <c r="AI98" s="16">
        <f ca="1">_xll.DBRW($D$4,$E$7,$E$8,$E$9,$E$10,$E$12,$D98,$E$6,AI$18,AI$17)</f>
        <v>4.0404838395181279E-4</v>
      </c>
      <c r="AJ98" s="16"/>
      <c r="AK98" s="16"/>
      <c r="AL98" s="16"/>
      <c r="AM98" s="16"/>
      <c r="AN98" s="16">
        <f ca="1">_xll.DBRW($D$4,$E$7,$E$8,$E$9,$E$10,$E$12,$D98,$E$6,AN$18,AN$17)</f>
        <v>-21.629354410000001</v>
      </c>
      <c r="AO98" s="16">
        <f ca="1">_xll.DBRW($D$4,$E$7,$E$8,$E$9,$E$10,$E$12,$D98,$E$6,AO$18,AO$17)</f>
        <v>0.30926136909920349</v>
      </c>
      <c r="AP98" s="16"/>
      <c r="AQ98" s="16"/>
      <c r="AR98" s="16"/>
      <c r="AS98" s="16"/>
      <c r="AT98" s="16">
        <f ca="1">_xll.DBRW($D$4,$E$7,$E$8,$E$9,$E$10,$E$12,$D98,$E$6,AT$18,AT$17)</f>
        <v>0.77262699999999984</v>
      </c>
      <c r="AU98" s="16">
        <f ca="1">_xll.DBRW($D$4,$E$7,$E$8,$E$9,$E$10,$E$12,$D98,$E$6,AU$18,AU$17)</f>
        <v>8.611307</v>
      </c>
      <c r="AV98" s="16">
        <f ca="1">_xll.DBRW($D$4,$E$7,$E$8,$E$9,$E$10,$E$12,$D98,$E$6,AV$18,AV$17)</f>
        <v>8.611307</v>
      </c>
      <c r="AW98" s="16">
        <f ca="1">_xll.DBRW($D$4,$E$7,$E$8,$E$9,$E$10,$E$12,$D98,$E$6,AW$18,AW$17)</f>
        <v>8.611307</v>
      </c>
      <c r="AX98" s="16">
        <f ca="1">_xll.DBRW($D$4,$E$7,$E$8,$E$9,$E$10,$E$12,$D98,$E$6,AX$18,AX$17)</f>
        <v>4.4585312000000004</v>
      </c>
      <c r="AY98" s="16">
        <f ca="1">_xll.DBRW($D$4,$E$7,$E$8,$E$9,$E$10,$E$12,$D98,$E$6,AY$18,AY$17)</f>
        <v>8.611307</v>
      </c>
      <c r="AZ98" s="16">
        <f ca="1">_xll.DBRW($D$4,$E$7,$E$8,$E$9,$E$10,$E$12,$D98,$E$6,AZ$18,AZ$17)</f>
        <v>7.9135949999999999</v>
      </c>
      <c r="BA98" s="16">
        <f ca="1">_xll.DBRW($D$4,$E$7,$E$8,$E$9,$E$10,$E$12,$D98,$E$6,BA$18,BA$17)</f>
        <v>8.611307</v>
      </c>
      <c r="BB98" s="16">
        <f ca="1">_xll.DBRW($D$4,$E$7,$E$8,$E$9,$E$10,$E$12,$D98,$E$6,BB$18,BB$17)</f>
        <v>8.611307</v>
      </c>
      <c r="BC98" s="16">
        <f ca="1">_xll.DBRW($D$4,$E$7,$E$8,$E$9,$E$10,$E$12,$D98,$E$6,BC$18,BC$17)</f>
        <v>8.611307</v>
      </c>
      <c r="BD98" s="16">
        <f ca="1">_xll.DBRW($D$4,$E$7,$E$8,$E$9,$E$10,$E$12,$D98,$E$6,BD$18,BD$17)</f>
        <v>-1.4662474491887767</v>
      </c>
      <c r="BE98" s="16">
        <f ca="1">_xll.DBRW($D$4,$E$7,$E$8,$E$9,$E$10,$E$12,$D98,$E$6,BE$18,BE$17)</f>
        <v>-4.4137105795035669</v>
      </c>
      <c r="BF98" s="16">
        <f ca="1">_xll.DBRW($D$4,$E$7,$E$8,$E$9,$E$10,$E$12,$D98,$E$6,BF$18,BF$17)</f>
        <v>0</v>
      </c>
      <c r="BG98" s="26">
        <f ca="1">_xll.DBRW($D$4,$E$7,$E$8,$E$9,$E$10,$E$12,$D98,$E$6,BG$18,BG$17)</f>
        <v>-3.3825000000000008E-2</v>
      </c>
      <c r="BH98" s="26">
        <f ca="1">_xll.DBRW($D$4,$E$7,$E$8,$E$9,$E$10,$E$12,$D98,$E$6,BH$18,BH$17)</f>
        <v>0</v>
      </c>
      <c r="BI98" s="26">
        <f ca="1">_xll.DBRW($D$4,$E$7,$E$8,$E$9,$E$10,$E$12,$D98,$E$6,BI$18,BI$17)</f>
        <v>0</v>
      </c>
      <c r="BJ98" s="26">
        <f ca="1">_xll.DBRW($D$4,$E$7,$E$8,$E$9,$E$10,$E$12,$D98,$E$6,BJ$18,BJ$17)</f>
        <v>0</v>
      </c>
      <c r="BK98" s="16">
        <f ca="1">_xll.DBRW($D$4,$E$7,$E$8,$E$9,$E$10,$E$12,$D98,$E$6,BK$18,BK$17)</f>
        <v>2.9812881303147898</v>
      </c>
      <c r="BL98" s="16">
        <f ca="1">_xll.DBRW($D$4,$E$7,$E$8,$E$9,$E$10,$E$12,$D98,$E$6,BL$18,BL$17)</f>
        <v>75.708404194773522</v>
      </c>
      <c r="BM98" s="16">
        <f ca="1">_xll.DBRW($D$4,$E$7,$E$8,$E$9,$E$10,$E$12,$D98,$E$6,BM$18,BM$17)</f>
        <v>-31.182308122911998</v>
      </c>
      <c r="BN98" s="16">
        <f ca="1">_xll.DBRW($D$4,$E$7,$E$8,$E$9,$E$10,$E$12,$D98,$E$6,BN$18,BN$17)</f>
        <v>0.41187379993758538</v>
      </c>
      <c r="BO98" s="16"/>
      <c r="BP98" s="16"/>
      <c r="BQ98" s="16"/>
      <c r="BR98" s="16"/>
      <c r="BS98" s="16">
        <f ca="1">_xll.DBRW($D$4,$E$7,$E$8,$E$9,$E$10,$E$12,$D98,$E$6,BS$18,BS$17)</f>
        <v>-11.894871757032849</v>
      </c>
      <c r="BT98" s="16">
        <f ca="1">_xll.DBRW($D$4,$E$7,$E$8,$E$9,$E$10,$E$12,$D98,$E$6,BT$18,BT$17)</f>
        <v>0.15711428451762299</v>
      </c>
      <c r="BU98" s="16"/>
      <c r="BV98" s="16"/>
      <c r="BW98" s="16"/>
      <c r="BX98" s="16"/>
      <c r="BY98" s="16">
        <f ca="1">_xll.DBRW($D$4,$E$7,$E$8,$E$9,$E$10,$E$12,$D98,$E$6,BY$18,BY$17)</f>
        <v>-5.7318393192906303</v>
      </c>
      <c r="BZ98" s="16">
        <f ca="1">_xll.DBRW($D$4,$E$7,$E$8,$E$9,$E$10,$E$12,$D98,$E$6,BZ$18,BZ$17)</f>
        <v>7.570941932079879E-2</v>
      </c>
      <c r="CA98" s="16"/>
      <c r="CB98" s="16"/>
      <c r="CC98" s="16"/>
      <c r="CD98" s="16"/>
      <c r="CE98" s="16">
        <f ca="1">_xll.DBRW($D$4,$E$7,$E$8,$E$9,$E$10,$E$12,$D98,$E$6,CE$18,CE$17)</f>
        <v>-4.1921E-2</v>
      </c>
      <c r="CF98" s="16">
        <f ca="1">_xll.DBRW($D$4,$E$7,$E$8,$E$9,$E$10,$E$12,$D98,$E$6,CF$18,CF$17)</f>
        <v>5.5371659785815415E-4</v>
      </c>
      <c r="CG98" s="16"/>
      <c r="CH98" s="16"/>
      <c r="CI98" s="16"/>
      <c r="CJ98" s="16"/>
      <c r="CK98" s="16">
        <f ca="1">_xll.DBRW($D$4,$E$7,$E$8,$E$9,$E$10,$E$12,$D98,$E$6,CK$18,CK$17)</f>
        <v>-23.876175865223253</v>
      </c>
      <c r="CL98" s="16">
        <f ca="1">_xll.DBRW($D$4,$E$7,$E$8,$E$9,$E$10,$E$12,$D98,$E$6,CL$18,CL$17)</f>
        <v>0.31537021707388635</v>
      </c>
      <c r="CM98" s="16"/>
      <c r="CN98" s="16"/>
      <c r="CO98" s="16"/>
      <c r="CP98" s="16"/>
      <c r="CQ98" s="16">
        <f ca="1">_xll.DBRW($D$4,$E$7,$E$8,$E$9,$E$10,$E$12,$D98,$E$6,CQ$18,CQ$17)</f>
        <v>0.96405799999999986</v>
      </c>
      <c r="CR98" s="16">
        <f ca="1">_xll.DBRW($D$4,$E$7,$E$8,$E$9,$E$10,$E$12,$D98,$E$6,CR$18,CR$17)</f>
        <v>10.635558483000002</v>
      </c>
      <c r="CS98" s="16">
        <f ca="1">_xll.DBRW($D$4,$E$7,$E$8,$E$9,$E$10,$E$12,$D98,$E$6,CS$18,CS$17)</f>
        <v>10.635558483000002</v>
      </c>
      <c r="CT98" s="16">
        <f ca="1">_xll.DBRW($D$4,$E$7,$E$8,$E$9,$E$10,$E$12,$D98,$E$6,CT$18,CT$17)</f>
        <v>10.635558483000002</v>
      </c>
      <c r="CU98" s="16">
        <f ca="1">_xll.DBRW($D$4,$E$7,$E$8,$E$9,$E$10,$E$12,$D98,$E$6,CU$18,CU$17)</f>
        <v>5.3298491849107981</v>
      </c>
      <c r="CV98" s="16">
        <f ca="1">_xll.DBRW($D$4,$E$7,$E$8,$E$9,$E$10,$E$12,$D98,$E$6,CV$18,CV$17)</f>
        <v>10.635558483000002</v>
      </c>
      <c r="CW98" s="16">
        <f ca="1">_xll.DBRW($D$4,$E$7,$E$8,$E$9,$E$10,$E$12,$D98,$E$6,CW$18,CW$17)</f>
        <v>9.7591996017449993</v>
      </c>
      <c r="CX98" s="16">
        <f ca="1">_xll.DBRW($D$4,$E$7,$E$8,$E$9,$E$10,$E$12,$D98,$E$6,CX$18,CX$17)</f>
        <v>10.635558483000002</v>
      </c>
      <c r="CY98" s="16">
        <f ca="1">_xll.DBRW($D$4,$E$7,$E$8,$E$9,$E$10,$E$12,$D98,$E$6,CY$18,CY$17)</f>
        <v>10.635558483000002</v>
      </c>
      <c r="CZ98" s="16">
        <f ca="1">_xll.DBRW($D$4,$E$7,$E$8,$E$9,$E$10,$E$12,$D98,$E$6,CZ$18,CZ$17)</f>
        <v>10.635558483000002</v>
      </c>
      <c r="DA98" s="26">
        <f t="shared" ca="1" si="108"/>
        <v>1.3350544491887877</v>
      </c>
      <c r="DB98" s="26">
        <f t="shared" ca="1" si="109"/>
        <v>0.25761625950356759</v>
      </c>
      <c r="DC98" s="26">
        <f t="shared" ca="1" si="110"/>
        <v>0</v>
      </c>
      <c r="DD98" s="26">
        <f t="shared" ca="1" si="111"/>
        <v>3.3825000000000008E-2</v>
      </c>
      <c r="DE98" s="26">
        <f t="shared" ca="1" si="112"/>
        <v>0</v>
      </c>
      <c r="DF98" s="26">
        <f t="shared" ca="1" si="113"/>
        <v>0</v>
      </c>
      <c r="DG98" s="26">
        <f t="shared" ca="1" si="114"/>
        <v>0</v>
      </c>
      <c r="DH98" s="26">
        <f t="shared" ca="1" si="115"/>
        <v>1.0436131896852205</v>
      </c>
      <c r="DI98" s="26">
        <f t="shared" ca="1" si="116"/>
        <v>-5.7696515047735204</v>
      </c>
      <c r="DJ98" s="26">
        <f t="shared" ca="1" si="117"/>
        <v>2.5725112429120003</v>
      </c>
      <c r="DK98" s="26">
        <f t="shared" ca="1" si="118"/>
        <v>-2.8044960166035415E-3</v>
      </c>
      <c r="DL98" s="26"/>
      <c r="DM98" s="26"/>
      <c r="DN98" s="26"/>
      <c r="DO98" s="26"/>
      <c r="DP98" s="26">
        <f t="shared" ca="1" si="119"/>
        <v>1.3455809270328487</v>
      </c>
      <c r="DQ98" s="26">
        <f t="shared" ca="1" si="120"/>
        <v>-6.2781539855387147E-3</v>
      </c>
      <c r="DR98" s="26"/>
      <c r="DS98" s="26"/>
      <c r="DT98" s="26"/>
      <c r="DU98" s="26"/>
      <c r="DV98" s="26">
        <f t="shared" ca="1" si="121"/>
        <v>0.63468870929063037</v>
      </c>
      <c r="DW98" s="26">
        <f t="shared" ca="1" si="122"/>
        <v>-2.8292146566855636E-3</v>
      </c>
      <c r="DX98" s="26"/>
      <c r="DY98" s="26"/>
      <c r="DZ98" s="26"/>
      <c r="EA98" s="26"/>
      <c r="EB98" s="26">
        <f t="shared" ca="1" si="123"/>
        <v>1.3662360000000002E-2</v>
      </c>
      <c r="EC98" s="26">
        <f t="shared" ca="1" si="124"/>
        <v>-1.4966821390634136E-4</v>
      </c>
      <c r="ED98" s="26"/>
      <c r="EE98" s="26"/>
      <c r="EF98" s="26"/>
      <c r="EG98" s="26"/>
      <c r="EH98" s="26">
        <f t="shared" ca="1" si="125"/>
        <v>2.2468214552232517</v>
      </c>
      <c r="EI98" s="29">
        <f t="shared" ca="1" si="126"/>
        <v>-6.1088479746828628E-3</v>
      </c>
      <c r="EJ98" s="29"/>
      <c r="EK98" s="29"/>
      <c r="EL98" s="29"/>
      <c r="EM98" s="29"/>
      <c r="EN98" s="93"/>
      <c r="EO98" s="29"/>
      <c r="EP98" s="29"/>
      <c r="EQ98" s="29"/>
      <c r="ER98" s="29"/>
      <c r="ES98" s="29"/>
      <c r="ET98" s="29"/>
      <c r="EU98" s="93"/>
      <c r="EV98" s="29"/>
      <c r="EW98" s="29"/>
      <c r="EX98" s="29"/>
      <c r="EY98" s="29"/>
      <c r="EZ98" s="29"/>
      <c r="FA98" s="29"/>
      <c r="FB98" s="93"/>
      <c r="FC98" s="29"/>
      <c r="FD98" s="29"/>
      <c r="FE98" s="29"/>
      <c r="FF98" s="29"/>
      <c r="FG98" s="29"/>
      <c r="FH98" s="29"/>
      <c r="FI98" s="93"/>
      <c r="FJ98" s="29"/>
      <c r="FK98" s="29"/>
      <c r="FL98" s="29"/>
      <c r="FM98" s="29"/>
      <c r="FN98" s="29"/>
      <c r="FO98" s="29"/>
      <c r="FP98" s="93"/>
      <c r="FQ98" s="29"/>
      <c r="FR98" s="29"/>
      <c r="FS98" s="29"/>
      <c r="FT98" s="29"/>
      <c r="FU98" s="29"/>
      <c r="FV98" s="29"/>
    </row>
    <row r="99" spans="1:178" x14ac:dyDescent="0.25">
      <c r="A99" t="str">
        <f ca="1">IF(_xll.TM1RPTELISCONSOLIDATED($D$28,$D99),IF(_xll.TM1RPTELLEV($D$28,$D99)&lt;=3,_xll.TM1RPTELLEV($D$28,$D99),"D"),"N")</f>
        <v>N</v>
      </c>
      <c r="B99" t="str">
        <f ca="1">_xll.DBRA(Server&amp;"Management_organization",$D99,$B$27)</f>
        <v>L</v>
      </c>
      <c r="C99">
        <v>1</v>
      </c>
      <c r="D99" s="2" t="s">
        <v>296</v>
      </c>
      <c r="E99" s="26"/>
      <c r="F99" s="26"/>
      <c r="G99" s="16">
        <f ca="1">_xll.DBRW($D$4,$E$7,$E$8,$E$9,$E$10,$E$12,$D99,$E$6,G$18,G$17)</f>
        <v>2.0515547800000089</v>
      </c>
      <c r="H99" s="16">
        <f ca="1">_xll.DBRW($D$4,$E$7,$E$8,$E$9,$E$10,$E$12,$D99,$E$6,H$18,H$17)</f>
        <v>-2.3759283199999999</v>
      </c>
      <c r="I99" s="16">
        <f ca="1">_xll.DBRW($D$4,$E$7,$E$8,$E$9,$E$10,$E$12,$D99,$E$6,I$18,I$17)</f>
        <v>0</v>
      </c>
      <c r="J99" s="26">
        <f ca="1">_xll.DBRW($D$4,$E$7,$E$8,$E$9,$E$10,$E$12,$D99,$E$6,J$18,J$17)</f>
        <v>0</v>
      </c>
      <c r="K99" s="26">
        <f ca="1">_xll.DBRW($D$4,$E$7,$E$8,$E$9,$E$10,$E$12,$D99,$E$6,K$18,K$17)</f>
        <v>0</v>
      </c>
      <c r="L99" s="26">
        <f ca="1">_xll.DBRW($D$4,$E$7,$E$8,$E$9,$E$10,$E$12,$D99,$E$6,L$18,L$17)</f>
        <v>0</v>
      </c>
      <c r="M99" s="26">
        <f ca="1">_xll.DBRW($D$4,$E$7,$E$8,$E$9,$E$10,$E$12,$D99,$E$6,M$18,M$17)</f>
        <v>0</v>
      </c>
      <c r="N99" s="16">
        <f ca="1">_xll.DBRW($D$4,$E$7,$E$8,$E$9,$E$10,$E$12,$D99,$E$6,N$18,N$17)</f>
        <v>4.4274831000000088</v>
      </c>
      <c r="O99" s="16">
        <f ca="1">_xll.DBRW($D$4,$E$7,$E$8,$E$9,$E$10,$E$12,$D99,$E$6,O$18,O$17)</f>
        <v>44.594990720000006</v>
      </c>
      <c r="P99" s="74">
        <f ca="1">_xll.DBRW($D$4,$E$7,$E$8,$E$9,$E$10,$E$12,$D99,$E$6,P$18,P$17)</f>
        <v>-18.270788729999996</v>
      </c>
      <c r="Q99" s="16">
        <f ca="1">_xll.DBRW($D$4,$E$7,$E$8,$E$9,$E$10,$E$12,$D99,$E$6,Q$18,Q$17)</f>
        <v>0.40970495643148314</v>
      </c>
      <c r="R99" s="16"/>
      <c r="S99" s="16"/>
      <c r="T99" s="16"/>
      <c r="U99" s="16"/>
      <c r="V99" s="16">
        <f ca="1">_xll.DBRW($D$4,$E$7,$E$8,$E$9,$E$10,$E$12,$D99,$E$6,V$18,V$17)</f>
        <v>-5.4496996399999995</v>
      </c>
      <c r="W99" s="16">
        <f ca="1">_xll.DBRW($D$4,$E$7,$E$8,$E$9,$E$10,$E$12,$D99,$E$6,W$18,W$17)</f>
        <v>0.12220430034882623</v>
      </c>
      <c r="X99" s="16"/>
      <c r="Y99" s="16"/>
      <c r="Z99" s="16"/>
      <c r="AA99" s="16"/>
      <c r="AB99" s="16">
        <f ca="1">_xll.DBRW($D$4,$E$7,$E$8,$E$9,$E$10,$E$12,$D99,$E$6,AB$18,AB$17)</f>
        <v>-2.5510426799999997</v>
      </c>
      <c r="AC99" s="16">
        <f ca="1">_xll.DBRW($D$4,$E$7,$E$8,$E$9,$E$10,$E$12,$D99,$E$6,AC$18,AC$17)</f>
        <v>5.720469135238334E-2</v>
      </c>
      <c r="AD99" s="16"/>
      <c r="AE99" s="16"/>
      <c r="AF99" s="16"/>
      <c r="AG99" s="16"/>
      <c r="AH99" s="16">
        <f ca="1">_xll.DBRW($D$4,$E$7,$E$8,$E$9,$E$10,$E$12,$D99,$E$6,AH$18,AH$17)</f>
        <v>-1.7129889999999995E-2</v>
      </c>
      <c r="AI99" s="16">
        <f ca="1">_xll.DBRW($D$4,$E$7,$E$8,$E$9,$E$10,$E$12,$D99,$E$6,AI$18,AI$17)</f>
        <v>3.8412139398243139E-4</v>
      </c>
      <c r="AJ99" s="16"/>
      <c r="AK99" s="16"/>
      <c r="AL99" s="16"/>
      <c r="AM99" s="16"/>
      <c r="AN99" s="16">
        <f ca="1">_xll.DBRW($D$4,$E$7,$E$8,$E$9,$E$10,$E$12,$D99,$E$6,AN$18,AN$17)</f>
        <v>-13.878846679999997</v>
      </c>
      <c r="AO99" s="16">
        <f ca="1">_xll.DBRW($D$4,$E$7,$E$8,$E$9,$E$10,$E$12,$D99,$E$6,AO$18,AO$17)</f>
        <v>0.3112198580136849</v>
      </c>
      <c r="AP99" s="16"/>
      <c r="AQ99" s="16"/>
      <c r="AR99" s="16"/>
      <c r="AS99" s="16"/>
      <c r="AT99" s="16">
        <f ca="1">_xll.DBRW($D$4,$E$7,$E$8,$E$9,$E$10,$E$12,$D99,$E$6,AT$18,AT$17)</f>
        <v>0.58606199999999986</v>
      </c>
      <c r="AU99" s="16">
        <f ca="1">_xll.DBRW($D$4,$E$7,$E$8,$E$9,$E$10,$E$12,$D99,$E$6,AU$18,AU$17)</f>
        <v>6.8172719999999991</v>
      </c>
      <c r="AV99" s="16">
        <f ca="1">_xll.DBRW($D$4,$E$7,$E$8,$E$9,$E$10,$E$12,$D99,$E$6,AV$18,AV$17)</f>
        <v>6.8172719999999991</v>
      </c>
      <c r="AW99" s="16">
        <f ca="1">_xll.DBRW($D$4,$E$7,$E$8,$E$9,$E$10,$E$12,$D99,$E$6,AW$18,AW$17)</f>
        <v>6.8172719999999991</v>
      </c>
      <c r="AX99" s="16">
        <f ca="1">_xll.DBRW($D$4,$E$7,$E$8,$E$9,$E$10,$E$12,$D99,$E$6,AX$18,AX$17)</f>
        <v>2.8251545507999998</v>
      </c>
      <c r="AY99" s="16">
        <f ca="1">_xll.DBRW($D$4,$E$7,$E$8,$E$9,$E$10,$E$12,$D99,$E$6,AY$18,AY$17)</f>
        <v>6.8172719999999991</v>
      </c>
      <c r="AZ99" s="16">
        <f ca="1">_xll.DBRW($D$4,$E$7,$E$8,$E$9,$E$10,$E$12,$D99,$E$6,AZ$18,AZ$17)</f>
        <v>6.2394440000000007</v>
      </c>
      <c r="BA99" s="16">
        <f ca="1">_xll.DBRW($D$4,$E$7,$E$8,$E$9,$E$10,$E$12,$D99,$E$6,BA$18,BA$17)</f>
        <v>6.8172719999999991</v>
      </c>
      <c r="BB99" s="16">
        <f ca="1">_xll.DBRW($D$4,$E$7,$E$8,$E$9,$E$10,$E$12,$D99,$E$6,BB$18,BB$17)</f>
        <v>6.8172719999999991</v>
      </c>
      <c r="BC99" s="16">
        <f ca="1">_xll.DBRW($D$4,$E$7,$E$8,$E$9,$E$10,$E$12,$D99,$E$6,BC$18,BC$17)</f>
        <v>6.8172719999999991</v>
      </c>
      <c r="BD99" s="16">
        <f ca="1">_xll.DBRW($D$4,$E$7,$E$8,$E$9,$E$10,$E$12,$D99,$E$6,BD$18,BD$17)</f>
        <v>0.31065483983623476</v>
      </c>
      <c r="BE99" s="16">
        <f ca="1">_xll.DBRW($D$4,$E$7,$E$8,$E$9,$E$10,$E$12,$D99,$E$6,BE$18,BE$17)</f>
        <v>-2.3557669915892987</v>
      </c>
      <c r="BF99" s="16">
        <f ca="1">_xll.DBRW($D$4,$E$7,$E$8,$E$9,$E$10,$E$12,$D99,$E$6,BF$18,BF$17)</f>
        <v>0</v>
      </c>
      <c r="BG99" s="26">
        <f ca="1">_xll.DBRW($D$4,$E$7,$E$8,$E$9,$E$10,$E$12,$D99,$E$6,BG$18,BG$17)</f>
        <v>0</v>
      </c>
      <c r="BH99" s="26">
        <f ca="1">_xll.DBRW($D$4,$E$7,$E$8,$E$9,$E$10,$E$12,$D99,$E$6,BH$18,BH$17)</f>
        <v>0</v>
      </c>
      <c r="BI99" s="26">
        <f ca="1">_xll.DBRW($D$4,$E$7,$E$8,$E$9,$E$10,$E$12,$D99,$E$6,BI$18,BI$17)</f>
        <v>0</v>
      </c>
      <c r="BJ99" s="26">
        <f ca="1">_xll.DBRW($D$4,$E$7,$E$8,$E$9,$E$10,$E$12,$D99,$E$6,BJ$18,BJ$17)</f>
        <v>0</v>
      </c>
      <c r="BK99" s="16">
        <f ca="1">_xll.DBRW($D$4,$E$7,$E$8,$E$9,$E$10,$E$12,$D99,$E$6,BK$18,BK$17)</f>
        <v>2.6664218314255335</v>
      </c>
      <c r="BL99" s="16">
        <f ca="1">_xll.DBRW($D$4,$E$7,$E$8,$E$9,$E$10,$E$12,$D99,$E$6,BL$18,BL$17)</f>
        <v>47.748821252215954</v>
      </c>
      <c r="BM99" s="16">
        <f ca="1">_xll.DBRW($D$4,$E$7,$E$8,$E$9,$E$10,$E$12,$D99,$E$6,BM$18,BM$17)</f>
        <v>-20.429803026283427</v>
      </c>
      <c r="BN99" s="16">
        <f ca="1">_xll.DBRW($D$4,$E$7,$E$8,$E$9,$E$10,$E$12,$D99,$E$6,BN$18,BN$17)</f>
        <v>0.42785984010726358</v>
      </c>
      <c r="BO99" s="16"/>
      <c r="BP99" s="16"/>
      <c r="BQ99" s="16"/>
      <c r="BR99" s="16"/>
      <c r="BS99" s="16">
        <f ca="1">_xll.DBRW($D$4,$E$7,$E$8,$E$9,$E$10,$E$12,$D99,$E$6,BS$18,BS$17)</f>
        <v>-6.5154220200777324</v>
      </c>
      <c r="BT99" s="16">
        <f ca="1">_xll.DBRW($D$4,$E$7,$E$8,$E$9,$E$10,$E$12,$D99,$E$6,BT$18,BT$17)</f>
        <v>0.13645199712182132</v>
      </c>
      <c r="BU99" s="16"/>
      <c r="BV99" s="16"/>
      <c r="BW99" s="16"/>
      <c r="BX99" s="16"/>
      <c r="BY99" s="16">
        <f ca="1">_xll.DBRW($D$4,$E$7,$E$8,$E$9,$E$10,$E$12,$D99,$E$6,BY$18,BY$17)</f>
        <v>-2.5753490409471791</v>
      </c>
      <c r="BZ99" s="16">
        <f ca="1">_xll.DBRW($D$4,$E$7,$E$8,$E$9,$E$10,$E$12,$D99,$E$6,BZ$18,BZ$17)</f>
        <v>5.3935342766763289E-2</v>
      </c>
      <c r="CA99" s="16"/>
      <c r="CB99" s="16"/>
      <c r="CC99" s="16"/>
      <c r="CD99" s="16"/>
      <c r="CE99" s="16">
        <f ca="1">_xll.DBRW($D$4,$E$7,$E$8,$E$9,$E$10,$E$12,$D99,$E$6,CE$18,CE$17)</f>
        <v>-2.7128853333333328E-2</v>
      </c>
      <c r="CF99" s="16">
        <f ca="1">_xll.DBRW($D$4,$E$7,$E$8,$E$9,$E$10,$E$12,$D99,$E$6,CF$18,CF$17)</f>
        <v>5.6815755073899999E-4</v>
      </c>
      <c r="CG99" s="16"/>
      <c r="CH99" s="16"/>
      <c r="CI99" s="16"/>
      <c r="CJ99" s="16"/>
      <c r="CK99" s="16">
        <f ca="1">_xll.DBRW($D$4,$E$7,$E$8,$E$9,$E$10,$E$12,$D99,$E$6,CK$18,CK$17)</f>
        <v>-15.534696480148744</v>
      </c>
      <c r="CL99" s="16">
        <f ca="1">_xll.DBRW($D$4,$E$7,$E$8,$E$9,$E$10,$E$12,$D99,$E$6,CL$18,CL$17)</f>
        <v>0.32534198903240574</v>
      </c>
      <c r="CM99" s="16"/>
      <c r="CN99" s="16"/>
      <c r="CO99" s="16"/>
      <c r="CP99" s="16"/>
      <c r="CQ99" s="16">
        <f ca="1">_xll.DBRW($D$4,$E$7,$E$8,$E$9,$E$10,$E$12,$D99,$E$6,CQ$18,CQ$17)</f>
        <v>0.655914</v>
      </c>
      <c r="CR99" s="16">
        <f ca="1">_xll.DBRW($D$4,$E$7,$E$8,$E$9,$E$10,$E$12,$D99,$E$6,CR$18,CR$17)</f>
        <v>7.5098119999999993</v>
      </c>
      <c r="CS99" s="16">
        <f ca="1">_xll.DBRW($D$4,$E$7,$E$8,$E$9,$E$10,$E$12,$D99,$E$6,CS$18,CS$17)</f>
        <v>7.5098119999999993</v>
      </c>
      <c r="CT99" s="16">
        <f ca="1">_xll.DBRW($D$4,$E$7,$E$8,$E$9,$E$10,$E$12,$D99,$E$6,CT$18,CT$17)</f>
        <v>7.5098119999999993</v>
      </c>
      <c r="CU99" s="16">
        <f ca="1">_xll.DBRW($D$4,$E$7,$E$8,$E$9,$E$10,$E$12,$D99,$E$6,CU$18,CU$17)</f>
        <v>3.0993661061100402</v>
      </c>
      <c r="CV99" s="16">
        <f ca="1">_xll.DBRW($D$4,$E$7,$E$8,$E$9,$E$10,$E$12,$D99,$E$6,CV$18,CV$17)</f>
        <v>7.5098119999999993</v>
      </c>
      <c r="CW99" s="16">
        <f ca="1">_xll.DBRW($D$4,$E$7,$E$8,$E$9,$E$10,$E$12,$D99,$E$6,CW$18,CW$17)</f>
        <v>6.9533740000000002</v>
      </c>
      <c r="CX99" s="16">
        <f ca="1">_xll.DBRW($D$4,$E$7,$E$8,$E$9,$E$10,$E$12,$D99,$E$6,CX$18,CX$17)</f>
        <v>7.5098119999999993</v>
      </c>
      <c r="CY99" s="16">
        <f ca="1">_xll.DBRW($D$4,$E$7,$E$8,$E$9,$E$10,$E$12,$D99,$E$6,CY$18,CY$17)</f>
        <v>7.5098119999999993</v>
      </c>
      <c r="CZ99" s="16">
        <f ca="1">_xll.DBRW($D$4,$E$7,$E$8,$E$9,$E$10,$E$12,$D99,$E$6,CZ$18,CZ$17)</f>
        <v>7.5098119999999993</v>
      </c>
      <c r="DA99" s="26">
        <f t="shared" ca="1" si="108"/>
        <v>1.7408999401637741</v>
      </c>
      <c r="DB99" s="26">
        <f t="shared" ca="1" si="109"/>
        <v>-2.0161328410701174E-2</v>
      </c>
      <c r="DC99" s="26">
        <f t="shared" ca="1" si="110"/>
        <v>0</v>
      </c>
      <c r="DD99" s="26">
        <f t="shared" ca="1" si="111"/>
        <v>0</v>
      </c>
      <c r="DE99" s="26">
        <f t="shared" ca="1" si="112"/>
        <v>0</v>
      </c>
      <c r="DF99" s="26">
        <f t="shared" ca="1" si="113"/>
        <v>0</v>
      </c>
      <c r="DG99" s="26">
        <f t="shared" ca="1" si="114"/>
        <v>0</v>
      </c>
      <c r="DH99" s="26">
        <f t="shared" ca="1" si="115"/>
        <v>1.7610612685744753</v>
      </c>
      <c r="DI99" s="26">
        <f t="shared" ca="1" si="116"/>
        <v>-3.1538305322159488</v>
      </c>
      <c r="DJ99" s="26">
        <f t="shared" ca="1" si="117"/>
        <v>2.1590142962834307</v>
      </c>
      <c r="DK99" s="26">
        <f t="shared" ca="1" si="118"/>
        <v>-1.8154883675780442E-2</v>
      </c>
      <c r="DL99" s="26"/>
      <c r="DM99" s="26"/>
      <c r="DN99" s="26"/>
      <c r="DO99" s="26"/>
      <c r="DP99" s="26">
        <f t="shared" ca="1" si="119"/>
        <v>1.0657223800777329</v>
      </c>
      <c r="DQ99" s="26">
        <f t="shared" ca="1" si="120"/>
        <v>-1.4247696772995089E-2</v>
      </c>
      <c r="DR99" s="26"/>
      <c r="DS99" s="26"/>
      <c r="DT99" s="26"/>
      <c r="DU99" s="26"/>
      <c r="DV99" s="26">
        <f t="shared" ca="1" si="121"/>
        <v>2.4306360947179417E-2</v>
      </c>
      <c r="DW99" s="26">
        <f t="shared" ca="1" si="122"/>
        <v>3.2693485856200508E-3</v>
      </c>
      <c r="DX99" s="26"/>
      <c r="DY99" s="26"/>
      <c r="DZ99" s="26"/>
      <c r="EA99" s="26"/>
      <c r="EB99" s="26">
        <f t="shared" ca="1" si="123"/>
        <v>9.9989633333333328E-3</v>
      </c>
      <c r="EC99" s="26">
        <f t="shared" ca="1" si="124"/>
        <v>-1.8403615675656861E-4</v>
      </c>
      <c r="ED99" s="26"/>
      <c r="EE99" s="26"/>
      <c r="EF99" s="26"/>
      <c r="EG99" s="26"/>
      <c r="EH99" s="26">
        <f t="shared" ca="1" si="125"/>
        <v>1.6558498001487472</v>
      </c>
      <c r="EI99" s="29">
        <f t="shared" ca="1" si="126"/>
        <v>-1.412213101872084E-2</v>
      </c>
      <c r="EJ99" s="29"/>
      <c r="EK99" s="29"/>
      <c r="EL99" s="29"/>
      <c r="EM99" s="29"/>
      <c r="EN99" s="93"/>
      <c r="EO99" s="29"/>
      <c r="EP99" s="29"/>
      <c r="EQ99" s="29"/>
      <c r="ER99" s="29"/>
      <c r="ES99" s="29"/>
      <c r="ET99" s="29"/>
      <c r="EU99" s="93"/>
      <c r="EV99" s="29"/>
      <c r="EW99" s="29"/>
      <c r="EX99" s="29"/>
      <c r="EY99" s="29"/>
      <c r="EZ99" s="29"/>
      <c r="FA99" s="29"/>
      <c r="FB99" s="93"/>
      <c r="FC99" s="29"/>
      <c r="FD99" s="29"/>
      <c r="FE99" s="29"/>
      <c r="FF99" s="29"/>
      <c r="FG99" s="29"/>
      <c r="FH99" s="29"/>
      <c r="FI99" s="93"/>
      <c r="FJ99" s="29"/>
      <c r="FK99" s="29"/>
      <c r="FL99" s="29"/>
      <c r="FM99" s="29"/>
      <c r="FN99" s="29"/>
      <c r="FO99" s="29"/>
      <c r="FP99" s="93"/>
      <c r="FQ99" s="29"/>
      <c r="FR99" s="29"/>
      <c r="FS99" s="29"/>
      <c r="FT99" s="29"/>
      <c r="FU99" s="29"/>
      <c r="FV99" s="29"/>
    </row>
    <row r="100" spans="1:178" x14ac:dyDescent="0.25">
      <c r="A100" t="str">
        <f ca="1">IF(_xll.TM1RPTELISCONSOLIDATED($D$28,$D100),IF(_xll.TM1RPTELLEV($D$28,$D100)&lt;=3,_xll.TM1RPTELLEV($D$28,$D100),"D"),"N")</f>
        <v>N</v>
      </c>
      <c r="B100" t="str">
        <f ca="1">_xll.DBRA(Server&amp;"Management_organization",$D100,$B$27)</f>
        <v>L</v>
      </c>
      <c r="C100">
        <v>1</v>
      </c>
      <c r="D100" s="2" t="s">
        <v>297</v>
      </c>
      <c r="E100" s="26"/>
      <c r="F100" s="26"/>
      <c r="G100" s="16">
        <f ca="1">_xll.DBRW($D$4,$E$7,$E$8,$E$9,$E$10,$E$12,$D100,$E$6,G$18,G$17)</f>
        <v>2.0964986499999974</v>
      </c>
      <c r="H100" s="16">
        <f ca="1">_xll.DBRW($D$4,$E$7,$E$8,$E$9,$E$10,$E$12,$D100,$E$6,H$18,H$17)</f>
        <v>-2.83908059</v>
      </c>
      <c r="I100" s="16">
        <f ca="1">_xll.DBRW($D$4,$E$7,$E$8,$E$9,$E$10,$E$12,$D100,$E$6,I$18,I$17)</f>
        <v>0</v>
      </c>
      <c r="J100" s="26">
        <f ca="1">_xll.DBRW($D$4,$E$7,$E$8,$E$9,$E$10,$E$12,$D100,$E$6,J$18,J$17)</f>
        <v>-1.596E-3</v>
      </c>
      <c r="K100" s="26">
        <f ca="1">_xll.DBRW($D$4,$E$7,$E$8,$E$9,$E$10,$E$12,$D100,$E$6,K$18,K$17)</f>
        <v>0</v>
      </c>
      <c r="L100" s="26">
        <f ca="1">_xll.DBRW($D$4,$E$7,$E$8,$E$9,$E$10,$E$12,$D100,$E$6,L$18,L$17)</f>
        <v>0</v>
      </c>
      <c r="M100" s="26">
        <f ca="1">_xll.DBRW($D$4,$E$7,$E$8,$E$9,$E$10,$E$12,$D100,$E$6,M$18,M$17)</f>
        <v>0</v>
      </c>
      <c r="N100" s="16">
        <f ca="1">_xll.DBRW($D$4,$E$7,$E$8,$E$9,$E$10,$E$12,$D100,$E$6,N$18,N$17)</f>
        <v>4.9371752399999975</v>
      </c>
      <c r="O100" s="16">
        <f ca="1">_xll.DBRW($D$4,$E$7,$E$8,$E$9,$E$10,$E$12,$D100,$E$6,O$18,O$17)</f>
        <v>31.103572569999997</v>
      </c>
      <c r="P100" s="74">
        <f ca="1">_xll.DBRW($D$4,$E$7,$E$8,$E$9,$E$10,$E$12,$D100,$E$6,P$18,P$17)</f>
        <v>-12.663048489999998</v>
      </c>
      <c r="Q100" s="16">
        <f ca="1">_xll.DBRW($D$4,$E$7,$E$8,$E$9,$E$10,$E$12,$D100,$E$6,Q$18,Q$17)</f>
        <v>0.40712520921836981</v>
      </c>
      <c r="R100" s="16"/>
      <c r="S100" s="16"/>
      <c r="T100" s="16"/>
      <c r="U100" s="16"/>
      <c r="V100" s="16">
        <f ca="1">_xll.DBRW($D$4,$E$7,$E$8,$E$9,$E$10,$E$12,$D100,$E$6,V$18,V$17)</f>
        <v>-3.5889723099999999</v>
      </c>
      <c r="W100" s="16">
        <f ca="1">_xll.DBRW($D$4,$E$7,$E$8,$E$9,$E$10,$E$12,$D100,$E$6,W$18,W$17)</f>
        <v>0.11538778389276201</v>
      </c>
      <c r="X100" s="16"/>
      <c r="Y100" s="16"/>
      <c r="Z100" s="16"/>
      <c r="AA100" s="16"/>
      <c r="AB100" s="16">
        <f ca="1">_xll.DBRW($D$4,$E$7,$E$8,$E$9,$E$10,$E$12,$D100,$E$6,AB$18,AB$17)</f>
        <v>-1.9870641399999995</v>
      </c>
      <c r="AC100" s="16">
        <f ca="1">_xll.DBRW($D$4,$E$7,$E$8,$E$9,$E$10,$E$12,$D100,$E$6,AC$18,AC$17)</f>
        <v>6.3885398872686461E-2</v>
      </c>
      <c r="AD100" s="16"/>
      <c r="AE100" s="16"/>
      <c r="AF100" s="16"/>
      <c r="AG100" s="16"/>
      <c r="AH100" s="16">
        <f ca="1">_xll.DBRW($D$4,$E$7,$E$8,$E$9,$E$10,$E$12,$D100,$E$6,AH$18,AH$17)</f>
        <v>3.1173999999999785E-4</v>
      </c>
      <c r="AI100" s="16">
        <f ca="1">_xll.DBRW($D$4,$E$7,$E$8,$E$9,$E$10,$E$12,$D100,$E$6,AI$18,AI$17)</f>
        <v>-1.0022642874814875E-5</v>
      </c>
      <c r="AJ100" s="16"/>
      <c r="AK100" s="16"/>
      <c r="AL100" s="16"/>
      <c r="AM100" s="16"/>
      <c r="AN100" s="16">
        <f ca="1">_xll.DBRW($D$4,$E$7,$E$8,$E$9,$E$10,$E$12,$D100,$E$6,AN$18,AN$17)</f>
        <v>-7.9276241299999999</v>
      </c>
      <c r="AO100" s="16">
        <f ca="1">_xll.DBRW($D$4,$E$7,$E$8,$E$9,$E$10,$E$12,$D100,$E$6,AO$18,AO$17)</f>
        <v>0.25487824950521432</v>
      </c>
      <c r="AP100" s="16"/>
      <c r="AQ100" s="16"/>
      <c r="AR100" s="16"/>
      <c r="AS100" s="16"/>
      <c r="AT100" s="16">
        <f ca="1">_xll.DBRW($D$4,$E$7,$E$8,$E$9,$E$10,$E$12,$D100,$E$6,AT$18,AT$17)</f>
        <v>0.43723419000000002</v>
      </c>
      <c r="AU100" s="16">
        <f ca="1">_xll.DBRW($D$4,$E$7,$E$8,$E$9,$E$10,$E$12,$D100,$E$6,AU$18,AU$17)</f>
        <v>5.159103</v>
      </c>
      <c r="AV100" s="16">
        <f ca="1">_xll.DBRW($D$4,$E$7,$E$8,$E$9,$E$10,$E$12,$D100,$E$6,AV$18,AV$17)</f>
        <v>5.159103</v>
      </c>
      <c r="AW100" s="16">
        <f ca="1">_xll.DBRW($D$4,$E$7,$E$8,$E$9,$E$10,$E$12,$D100,$E$6,AW$18,AW$17)</f>
        <v>5.159103</v>
      </c>
      <c r="AX100" s="16">
        <f ca="1">_xll.DBRW($D$4,$E$7,$E$8,$E$9,$E$10,$E$12,$D100,$E$6,AX$18,AX$17)</f>
        <v>1.8282459999999998</v>
      </c>
      <c r="AY100" s="16">
        <f ca="1">_xll.DBRW($D$4,$E$7,$E$8,$E$9,$E$10,$E$12,$D100,$E$6,AY$18,AY$17)</f>
        <v>5.159103</v>
      </c>
      <c r="AZ100" s="16">
        <f ca="1">_xll.DBRW($D$4,$E$7,$E$8,$E$9,$E$10,$E$12,$D100,$E$6,AZ$18,AZ$17)</f>
        <v>4.1251639999999998</v>
      </c>
      <c r="BA100" s="16">
        <f ca="1">_xll.DBRW($D$4,$E$7,$E$8,$E$9,$E$10,$E$12,$D100,$E$6,BA$18,BA$17)</f>
        <v>5.159103</v>
      </c>
      <c r="BB100" s="16">
        <f ca="1">_xll.DBRW($D$4,$E$7,$E$8,$E$9,$E$10,$E$12,$D100,$E$6,BB$18,BB$17)</f>
        <v>5.159103</v>
      </c>
      <c r="BC100" s="16">
        <f ca="1">_xll.DBRW($D$4,$E$7,$E$8,$E$9,$E$10,$E$12,$D100,$E$6,BC$18,BC$17)</f>
        <v>5.159103</v>
      </c>
      <c r="BD100" s="16">
        <f ca="1">_xll.DBRW($D$4,$E$7,$E$8,$E$9,$E$10,$E$12,$D100,$E$6,BD$18,BD$17)</f>
        <v>0.77188638802309195</v>
      </c>
      <c r="BE100" s="16">
        <f ca="1">_xll.DBRW($D$4,$E$7,$E$8,$E$9,$E$10,$E$12,$D100,$E$6,BE$18,BE$17)</f>
        <v>-3.1755906785714325</v>
      </c>
      <c r="BF100" s="16">
        <f ca="1">_xll.DBRW($D$4,$E$7,$E$8,$E$9,$E$10,$E$12,$D100,$E$6,BF$18,BF$17)</f>
        <v>0</v>
      </c>
      <c r="BG100" s="26">
        <f ca="1">_xll.DBRW($D$4,$E$7,$E$8,$E$9,$E$10,$E$12,$D100,$E$6,BG$18,BG$17)</f>
        <v>0</v>
      </c>
      <c r="BH100" s="26">
        <f ca="1">_xll.DBRW($D$4,$E$7,$E$8,$E$9,$E$10,$E$12,$D100,$E$6,BH$18,BH$17)</f>
        <v>0</v>
      </c>
      <c r="BI100" s="26">
        <f ca="1">_xll.DBRW($D$4,$E$7,$E$8,$E$9,$E$10,$E$12,$D100,$E$6,BI$18,BI$17)</f>
        <v>0</v>
      </c>
      <c r="BJ100" s="26">
        <f ca="1">_xll.DBRW($D$4,$E$7,$E$8,$E$9,$E$10,$E$12,$D100,$E$6,BJ$18,BJ$17)</f>
        <v>0</v>
      </c>
      <c r="BK100" s="16">
        <f ca="1">_xll.DBRW($D$4,$E$7,$E$8,$E$9,$E$10,$E$12,$D100,$E$6,BK$18,BK$17)</f>
        <v>3.9474770665945238</v>
      </c>
      <c r="BL100" s="16">
        <f ca="1">_xll.DBRW($D$4,$E$7,$E$8,$E$9,$E$10,$E$12,$D100,$E$6,BL$18,BL$17)</f>
        <v>33.874503441333289</v>
      </c>
      <c r="BM100" s="16">
        <f ca="1">_xll.DBRW($D$4,$E$7,$E$8,$E$9,$E$10,$E$12,$D100,$E$6,BM$18,BM$17)</f>
        <v>-15.204149605</v>
      </c>
      <c r="BN100" s="16">
        <f ca="1">_xll.DBRW($D$4,$E$7,$E$8,$E$9,$E$10,$E$12,$D100,$E$6,BN$18,BN$17)</f>
        <v>0.44883756396110197</v>
      </c>
      <c r="BO100" s="16"/>
      <c r="BP100" s="16"/>
      <c r="BQ100" s="16"/>
      <c r="BR100" s="16"/>
      <c r="BS100" s="16">
        <f ca="1">_xll.DBRW($D$4,$E$7,$E$8,$E$9,$E$10,$E$12,$D100,$E$6,BS$18,BS$17)</f>
        <v>-3.5876072813383302</v>
      </c>
      <c r="BT100" s="16">
        <f ca="1">_xll.DBRW($D$4,$E$7,$E$8,$E$9,$E$10,$E$12,$D100,$E$6,BT$18,BT$17)</f>
        <v>0.10590877848738506</v>
      </c>
      <c r="BU100" s="16"/>
      <c r="BV100" s="16"/>
      <c r="BW100" s="16"/>
      <c r="BX100" s="16"/>
      <c r="BY100" s="16">
        <f ca="1">_xll.DBRW($D$4,$E$7,$E$8,$E$9,$E$10,$E$12,$D100,$E$6,BY$18,BY$17)</f>
        <v>-1.9389673772099472</v>
      </c>
      <c r="BZ100" s="16">
        <f ca="1">_xll.DBRW($D$4,$E$7,$E$8,$E$9,$E$10,$E$12,$D100,$E$6,BZ$18,BZ$17)</f>
        <v>5.7239728416034606E-2</v>
      </c>
      <c r="CA100" s="16"/>
      <c r="CB100" s="16"/>
      <c r="CC100" s="16"/>
      <c r="CD100" s="16"/>
      <c r="CE100" s="16">
        <f ca="1">_xll.DBRW($D$4,$E$7,$E$8,$E$9,$E$10,$E$12,$D100,$E$6,CE$18,CE$17)</f>
        <v>-0.11976799999999997</v>
      </c>
      <c r="CF100" s="16">
        <f ca="1">_xll.DBRW($D$4,$E$7,$E$8,$E$9,$E$10,$E$12,$D100,$E$6,CF$18,CF$17)</f>
        <v>3.53563854323132E-3</v>
      </c>
      <c r="CG100" s="16"/>
      <c r="CH100" s="16"/>
      <c r="CI100" s="16"/>
      <c r="CJ100" s="16"/>
      <c r="CK100" s="16">
        <f ca="1">_xll.DBRW($D$4,$E$7,$E$8,$E$9,$E$10,$E$12,$D100,$E$6,CK$18,CK$17)</f>
        <v>-9.0765341111904796</v>
      </c>
      <c r="CL100" s="16">
        <f ca="1">_xll.DBRW($D$4,$E$7,$E$8,$E$9,$E$10,$E$12,$D100,$E$6,CL$18,CL$17)</f>
        <v>0.26794589408255043</v>
      </c>
      <c r="CM100" s="16"/>
      <c r="CN100" s="16"/>
      <c r="CO100" s="16"/>
      <c r="CP100" s="16"/>
      <c r="CQ100" s="16">
        <f ca="1">_xll.DBRW($D$4,$E$7,$E$8,$E$9,$E$10,$E$12,$D100,$E$6,CQ$18,CQ$17)</f>
        <v>0.47225119999999987</v>
      </c>
      <c r="CR100" s="16">
        <f ca="1">_xll.DBRW($D$4,$E$7,$E$8,$E$9,$E$10,$E$12,$D100,$E$6,CR$18,CR$17)</f>
        <v>6.3946669999999992</v>
      </c>
      <c r="CS100" s="16">
        <f ca="1">_xll.DBRW($D$4,$E$7,$E$8,$E$9,$E$10,$E$12,$D100,$E$6,CS$18,CS$17)</f>
        <v>6.3946669999999992</v>
      </c>
      <c r="CT100" s="16">
        <f ca="1">_xll.DBRW($D$4,$E$7,$E$8,$E$9,$E$10,$E$12,$D100,$E$6,CT$18,CT$17)</f>
        <v>6.3946669999999992</v>
      </c>
      <c r="CU100" s="16">
        <f ca="1">_xll.DBRW($D$4,$E$7,$E$8,$E$9,$E$10,$E$12,$D100,$E$6,CU$18,CU$17)</f>
        <v>2.2489298749099995</v>
      </c>
      <c r="CV100" s="16">
        <f ca="1">_xll.DBRW($D$4,$E$7,$E$8,$E$9,$E$10,$E$12,$D100,$E$6,CV$18,CV$17)</f>
        <v>6.3946669999999992</v>
      </c>
      <c r="CW100" s="16">
        <f ca="1">_xll.DBRW($D$4,$E$7,$E$8,$E$9,$E$10,$E$12,$D100,$E$6,CW$18,CW$17)</f>
        <v>5.1504920000000007</v>
      </c>
      <c r="CX100" s="16">
        <f ca="1">_xll.DBRW($D$4,$E$7,$E$8,$E$9,$E$10,$E$12,$D100,$E$6,CX$18,CX$17)</f>
        <v>6.3946669999999992</v>
      </c>
      <c r="CY100" s="16">
        <f ca="1">_xll.DBRW($D$4,$E$7,$E$8,$E$9,$E$10,$E$12,$D100,$E$6,CY$18,CY$17)</f>
        <v>6.3946669999999992</v>
      </c>
      <c r="CZ100" s="16">
        <f ca="1">_xll.DBRW($D$4,$E$7,$E$8,$E$9,$E$10,$E$12,$D100,$E$6,CZ$18,CZ$17)</f>
        <v>6.3946669999999992</v>
      </c>
      <c r="DA100" s="26">
        <f t="shared" ca="1" si="108"/>
        <v>1.3246122619769054</v>
      </c>
      <c r="DB100" s="26">
        <f t="shared" ca="1" si="109"/>
        <v>0.3365100885714325</v>
      </c>
      <c r="DC100" s="26">
        <f t="shared" ca="1" si="110"/>
        <v>0</v>
      </c>
      <c r="DD100" s="26">
        <f t="shared" ca="1" si="111"/>
        <v>-1.596E-3</v>
      </c>
      <c r="DE100" s="26">
        <f t="shared" ca="1" si="112"/>
        <v>0</v>
      </c>
      <c r="DF100" s="26">
        <f t="shared" ca="1" si="113"/>
        <v>0</v>
      </c>
      <c r="DG100" s="26">
        <f t="shared" ca="1" si="114"/>
        <v>0</v>
      </c>
      <c r="DH100" s="26">
        <f t="shared" ca="1" si="115"/>
        <v>0.98969817340547372</v>
      </c>
      <c r="DI100" s="26">
        <f t="shared" ca="1" si="116"/>
        <v>-2.7709308713332916</v>
      </c>
      <c r="DJ100" s="26">
        <f t="shared" ca="1" si="117"/>
        <v>2.5411011150000018</v>
      </c>
      <c r="DK100" s="26">
        <f t="shared" ca="1" si="118"/>
        <v>-4.1712354742732161E-2</v>
      </c>
      <c r="DL100" s="26"/>
      <c r="DM100" s="26"/>
      <c r="DN100" s="26"/>
      <c r="DO100" s="26"/>
      <c r="DP100" s="26">
        <f t="shared" ca="1" si="119"/>
        <v>-1.3650286616697649E-3</v>
      </c>
      <c r="DQ100" s="26">
        <f t="shared" ca="1" si="120"/>
        <v>9.4790054053769529E-3</v>
      </c>
      <c r="DR100" s="26"/>
      <c r="DS100" s="26"/>
      <c r="DT100" s="26"/>
      <c r="DU100" s="26"/>
      <c r="DV100" s="26">
        <f t="shared" ca="1" si="121"/>
        <v>-4.8096762790052372E-2</v>
      </c>
      <c r="DW100" s="26">
        <f t="shared" ca="1" si="122"/>
        <v>6.6456704566518546E-3</v>
      </c>
      <c r="DX100" s="26"/>
      <c r="DY100" s="26"/>
      <c r="DZ100" s="26"/>
      <c r="EA100" s="26"/>
      <c r="EB100" s="26">
        <f t="shared" ca="1" si="123"/>
        <v>0.12007973999999996</v>
      </c>
      <c r="EC100" s="26">
        <f t="shared" ca="1" si="124"/>
        <v>-3.5456611861061347E-3</v>
      </c>
      <c r="ED100" s="26"/>
      <c r="EE100" s="26"/>
      <c r="EF100" s="26"/>
      <c r="EG100" s="26"/>
      <c r="EH100" s="26">
        <f t="shared" ca="1" si="125"/>
        <v>1.1489099811904797</v>
      </c>
      <c r="EI100" s="29">
        <f t="shared" ca="1" si="126"/>
        <v>-1.3067644577336113E-2</v>
      </c>
      <c r="EJ100" s="29"/>
      <c r="EK100" s="29"/>
      <c r="EL100" s="29"/>
      <c r="EM100" s="29"/>
      <c r="EN100" s="93"/>
      <c r="EO100" s="29"/>
      <c r="EP100" s="29"/>
      <c r="EQ100" s="29"/>
      <c r="ER100" s="29"/>
      <c r="ES100" s="29"/>
      <c r="ET100" s="29"/>
      <c r="EU100" s="93"/>
      <c r="EV100" s="29"/>
      <c r="EW100" s="29"/>
      <c r="EX100" s="29"/>
      <c r="EY100" s="29"/>
      <c r="EZ100" s="29"/>
      <c r="FA100" s="29"/>
      <c r="FB100" s="93"/>
      <c r="FC100" s="29"/>
      <c r="FD100" s="29"/>
      <c r="FE100" s="29"/>
      <c r="FF100" s="29"/>
      <c r="FG100" s="29"/>
      <c r="FH100" s="29"/>
      <c r="FI100" s="93"/>
      <c r="FJ100" s="29"/>
      <c r="FK100" s="29"/>
      <c r="FL100" s="29"/>
      <c r="FM100" s="29"/>
      <c r="FN100" s="29"/>
      <c r="FO100" s="29"/>
      <c r="FP100" s="93"/>
      <c r="FQ100" s="29"/>
      <c r="FR100" s="29"/>
      <c r="FS100" s="29"/>
      <c r="FT100" s="29"/>
      <c r="FU100" s="29"/>
      <c r="FV100" s="29"/>
    </row>
    <row r="101" spans="1:178" x14ac:dyDescent="0.25">
      <c r="A101" t="str">
        <f ca="1">IF(_xll.TM1RPTELISCONSOLIDATED($D$28,$D101),IF(_xll.TM1RPTELLEV($D$28,$D101)&lt;=3,_xll.TM1RPTELLEV($D$28,$D101),"D"),"N")</f>
        <v>N</v>
      </c>
      <c r="B101" t="str">
        <f ca="1">_xll.DBRA(Server&amp;"Management_organization",$D101,$B$27)</f>
        <v>L</v>
      </c>
      <c r="C101">
        <v>1</v>
      </c>
      <c r="D101" s="2" t="s">
        <v>152</v>
      </c>
      <c r="E101" s="26"/>
      <c r="F101" s="26"/>
      <c r="G101" s="16">
        <f ca="1">_xll.DBRW($D$4,$E$7,$E$8,$E$9,$E$10,$E$12,$D101,$E$6,G$18,G$17)</f>
        <v>-0.38302025999999983</v>
      </c>
      <c r="H101" s="16">
        <f ca="1">_xll.DBRW($D$4,$E$7,$E$8,$E$9,$E$10,$E$12,$D101,$E$6,H$18,H$17)</f>
        <v>-4.7601677699999998</v>
      </c>
      <c r="I101" s="16">
        <f ca="1">_xll.DBRW($D$4,$E$7,$E$8,$E$9,$E$10,$E$12,$D101,$E$6,I$18,I$17)</f>
        <v>0</v>
      </c>
      <c r="J101" s="26">
        <f ca="1">_xll.DBRW($D$4,$E$7,$E$8,$E$9,$E$10,$E$12,$D101,$E$6,J$18,J$17)</f>
        <v>0</v>
      </c>
      <c r="K101" s="26">
        <f ca="1">_xll.DBRW($D$4,$E$7,$E$8,$E$9,$E$10,$E$12,$D101,$E$6,K$18,K$17)</f>
        <v>0</v>
      </c>
      <c r="L101" s="26">
        <f ca="1">_xll.DBRW($D$4,$E$7,$E$8,$E$9,$E$10,$E$12,$D101,$E$6,L$18,L$17)</f>
        <v>0</v>
      </c>
      <c r="M101" s="26">
        <f ca="1">_xll.DBRW($D$4,$E$7,$E$8,$E$9,$E$10,$E$12,$D101,$E$6,M$18,M$17)</f>
        <v>0</v>
      </c>
      <c r="N101" s="16">
        <f ca="1">_xll.DBRW($D$4,$E$7,$E$8,$E$9,$E$10,$E$12,$D101,$E$6,N$18,N$17)</f>
        <v>4.3771475099999995</v>
      </c>
      <c r="O101" s="16">
        <f ca="1">_xll.DBRW($D$4,$E$7,$E$8,$E$9,$E$10,$E$12,$D101,$E$6,O$18,O$17)</f>
        <v>36.33667372</v>
      </c>
      <c r="P101" s="74">
        <f ca="1">_xll.DBRW($D$4,$E$7,$E$8,$E$9,$E$10,$E$12,$D101,$E$6,P$18,P$17)</f>
        <v>-13.872572429999998</v>
      </c>
      <c r="Q101" s="16">
        <f ca="1">_xll.DBRW($D$4,$E$7,$E$8,$E$9,$E$10,$E$12,$D101,$E$6,Q$18,Q$17)</f>
        <v>0.38177882039776312</v>
      </c>
      <c r="R101" s="16"/>
      <c r="S101" s="16"/>
      <c r="T101" s="16"/>
      <c r="U101" s="16"/>
      <c r="V101" s="16">
        <f ca="1">_xll.DBRW($D$4,$E$7,$E$8,$E$9,$E$10,$E$12,$D101,$E$6,V$18,V$17)</f>
        <v>-7.0091045199999975</v>
      </c>
      <c r="W101" s="16">
        <f ca="1">_xll.DBRW($D$4,$E$7,$E$8,$E$9,$E$10,$E$12,$D101,$E$6,W$18,W$17)</f>
        <v>0.19289339948973175</v>
      </c>
      <c r="X101" s="16"/>
      <c r="Y101" s="16"/>
      <c r="Z101" s="16"/>
      <c r="AA101" s="16"/>
      <c r="AB101" s="16">
        <f ca="1">_xll.DBRW($D$4,$E$7,$E$8,$E$9,$E$10,$E$12,$D101,$E$6,AB$18,AB$17)</f>
        <v>-2.0747770000000001</v>
      </c>
      <c r="AC101" s="16">
        <f ca="1">_xll.DBRW($D$4,$E$7,$E$8,$E$9,$E$10,$E$12,$D101,$E$6,AC$18,AC$17)</f>
        <v>5.7098704630689022E-2</v>
      </c>
      <c r="AD101" s="16"/>
      <c r="AE101" s="16"/>
      <c r="AF101" s="16"/>
      <c r="AG101" s="16"/>
      <c r="AH101" s="16">
        <f ca="1">_xll.DBRW($D$4,$E$7,$E$8,$E$9,$E$10,$E$12,$D101,$E$6,AH$18,AH$17)</f>
        <v>-2.6550960000000012E-2</v>
      </c>
      <c r="AI101" s="16">
        <f ca="1">_xll.DBRW($D$4,$E$7,$E$8,$E$9,$E$10,$E$12,$D101,$E$6,AI$18,AI$17)</f>
        <v>7.3069318905175811E-4</v>
      </c>
      <c r="AJ101" s="16"/>
      <c r="AK101" s="16"/>
      <c r="AL101" s="16"/>
      <c r="AM101" s="16"/>
      <c r="AN101" s="16">
        <f ca="1">_xll.DBRW($D$4,$E$7,$E$8,$E$9,$E$10,$E$12,$D101,$E$6,AN$18,AN$17)</f>
        <v>-8.9814611400000004</v>
      </c>
      <c r="AO101" s="16">
        <f ca="1">_xll.DBRW($D$4,$E$7,$E$8,$E$9,$E$10,$E$12,$D101,$E$6,AO$18,AO$17)</f>
        <v>0.24717345371809668</v>
      </c>
      <c r="AP101" s="16"/>
      <c r="AQ101" s="16"/>
      <c r="AR101" s="16"/>
      <c r="AS101" s="16"/>
      <c r="AT101" s="16">
        <f ca="1">_xll.DBRW($D$4,$E$7,$E$8,$E$9,$E$10,$E$12,$D101,$E$6,AT$18,AT$17)</f>
        <v>0.26779999999999998</v>
      </c>
      <c r="AU101" s="16">
        <f ca="1">_xll.DBRW($D$4,$E$7,$E$8,$E$9,$E$10,$E$12,$D101,$E$6,AU$18,AU$17)</f>
        <v>3.0181316299999996</v>
      </c>
      <c r="AV101" s="16">
        <f ca="1">_xll.DBRW($D$4,$E$7,$E$8,$E$9,$E$10,$E$12,$D101,$E$6,AV$18,AV$17)</f>
        <v>3.0181316299999996</v>
      </c>
      <c r="AW101" s="16">
        <f ca="1">_xll.DBRW($D$4,$E$7,$E$8,$E$9,$E$10,$E$12,$D101,$E$6,AW$18,AW$17)</f>
        <v>3.0181316299999996</v>
      </c>
      <c r="AX101" s="16">
        <f ca="1">_xll.DBRW($D$4,$E$7,$E$8,$E$9,$E$10,$E$12,$D101,$E$6,AX$18,AX$17)</f>
        <v>1.4152073817839999</v>
      </c>
      <c r="AY101" s="16">
        <f ca="1">_xll.DBRW($D$4,$E$7,$E$8,$E$9,$E$10,$E$12,$D101,$E$6,AY$18,AY$17)</f>
        <v>3.0181316299999996</v>
      </c>
      <c r="AZ101" s="16">
        <f ca="1">_xll.DBRW($D$4,$E$7,$E$8,$E$9,$E$10,$E$12,$D101,$E$6,AZ$18,AZ$17)</f>
        <v>2.6731829999999999</v>
      </c>
      <c r="BA101" s="16">
        <f ca="1">_xll.DBRW($D$4,$E$7,$E$8,$E$9,$E$10,$E$12,$D101,$E$6,BA$18,BA$17)</f>
        <v>3.0181316299999996</v>
      </c>
      <c r="BB101" s="16">
        <f ca="1">_xll.DBRW($D$4,$E$7,$E$8,$E$9,$E$10,$E$12,$D101,$E$6,BB$18,BB$17)</f>
        <v>3.0181316299999996</v>
      </c>
      <c r="BC101" s="16">
        <f ca="1">_xll.DBRW($D$4,$E$7,$E$8,$E$9,$E$10,$E$12,$D101,$E$6,BC$18,BC$17)</f>
        <v>3.0181316299999996</v>
      </c>
      <c r="BD101" s="16">
        <f ca="1">_xll.DBRW($D$4,$E$7,$E$8,$E$9,$E$10,$E$12,$D101,$E$6,BD$18,BD$17)</f>
        <v>-0.61583699346283649</v>
      </c>
      <c r="BE101" s="16">
        <f ca="1">_xll.DBRW($D$4,$E$7,$E$8,$E$9,$E$10,$E$12,$D101,$E$6,BE$18,BE$17)</f>
        <v>-5.2773450000000013</v>
      </c>
      <c r="BF101" s="16">
        <f ca="1">_xll.DBRW($D$4,$E$7,$E$8,$E$9,$E$10,$E$12,$D101,$E$6,BF$18,BF$17)</f>
        <v>0</v>
      </c>
      <c r="BG101" s="26">
        <f ca="1">_xll.DBRW($D$4,$E$7,$E$8,$E$9,$E$10,$E$12,$D101,$E$6,BG$18,BG$17)</f>
        <v>0</v>
      </c>
      <c r="BH101" s="26">
        <f ca="1">_xll.DBRW($D$4,$E$7,$E$8,$E$9,$E$10,$E$12,$D101,$E$6,BH$18,BH$17)</f>
        <v>0</v>
      </c>
      <c r="BI101" s="26">
        <f ca="1">_xll.DBRW($D$4,$E$7,$E$8,$E$9,$E$10,$E$12,$D101,$E$6,BI$18,BI$17)</f>
        <v>0</v>
      </c>
      <c r="BJ101" s="26">
        <f ca="1">_xll.DBRW($D$4,$E$7,$E$8,$E$9,$E$10,$E$12,$D101,$E$6,BJ$18,BJ$17)</f>
        <v>0</v>
      </c>
      <c r="BK101" s="16">
        <f ca="1">_xll.DBRW($D$4,$E$7,$E$8,$E$9,$E$10,$E$12,$D101,$E$6,BK$18,BK$17)</f>
        <v>4.6615080065371632</v>
      </c>
      <c r="BL101" s="16">
        <f ca="1">_xll.DBRW($D$4,$E$7,$E$8,$E$9,$E$10,$E$12,$D101,$E$6,BL$18,BL$17)</f>
        <v>40.462257999999991</v>
      </c>
      <c r="BM101" s="16">
        <f ca="1">_xll.DBRW($D$4,$E$7,$E$8,$E$9,$E$10,$E$12,$D101,$E$6,BM$18,BM$17)</f>
        <v>-16.483571999999999</v>
      </c>
      <c r="BN101" s="16">
        <f ca="1">_xll.DBRW($D$4,$E$7,$E$8,$E$9,$E$10,$E$12,$D101,$E$6,BN$18,BN$17)</f>
        <v>0.40738141702324182</v>
      </c>
      <c r="BO101" s="16"/>
      <c r="BP101" s="16"/>
      <c r="BQ101" s="16"/>
      <c r="BR101" s="16"/>
      <c r="BS101" s="16">
        <f ca="1">_xll.DBRW($D$4,$E$7,$E$8,$E$9,$E$10,$E$12,$D101,$E$6,BS$18,BS$17)</f>
        <v>-7.4625445800000003</v>
      </c>
      <c r="BT101" s="16">
        <f ca="1">_xll.DBRW($D$4,$E$7,$E$8,$E$9,$E$10,$E$12,$D101,$E$6,BT$18,BT$17)</f>
        <v>0.18443223262527766</v>
      </c>
      <c r="BU101" s="16"/>
      <c r="BV101" s="16"/>
      <c r="BW101" s="16"/>
      <c r="BX101" s="16"/>
      <c r="BY101" s="16">
        <f ca="1">_xll.DBRW($D$4,$E$7,$E$8,$E$9,$E$10,$E$12,$D101,$E$6,BY$18,BY$17)</f>
        <v>-2.1991054634628298</v>
      </c>
      <c r="BZ101" s="16">
        <f ca="1">_xll.DBRW($D$4,$E$7,$E$8,$E$9,$E$10,$E$12,$D101,$E$6,BZ$18,BZ$17)</f>
        <v>5.4349548743988292E-2</v>
      </c>
      <c r="CA101" s="16"/>
      <c r="CB101" s="16"/>
      <c r="CC101" s="16"/>
      <c r="CD101" s="16"/>
      <c r="CE101" s="16">
        <f ca="1">_xll.DBRW($D$4,$E$7,$E$8,$E$9,$E$10,$E$12,$D101,$E$6,CE$18,CE$17)</f>
        <v>-0.13807800000000001</v>
      </c>
      <c r="CF101" s="16">
        <f ca="1">_xll.DBRW($D$4,$E$7,$E$8,$E$9,$E$10,$E$12,$D101,$E$6,CF$18,CF$17)</f>
        <v>3.4125134588386054E-3</v>
      </c>
      <c r="CG101" s="16"/>
      <c r="CH101" s="16"/>
      <c r="CI101" s="16"/>
      <c r="CJ101" s="16"/>
      <c r="CK101" s="16">
        <f ca="1">_xll.DBRW($D$4,$E$7,$E$8,$E$9,$E$10,$E$12,$D101,$E$6,CK$18,CK$17)</f>
        <v>-9.5255499500000038</v>
      </c>
      <c r="CL101" s="16">
        <f ca="1">_xll.DBRW($D$4,$E$7,$E$8,$E$9,$E$10,$E$12,$D101,$E$6,CL$18,CL$17)</f>
        <v>0.23541815066277333</v>
      </c>
      <c r="CM101" s="16"/>
      <c r="CN101" s="16"/>
      <c r="CO101" s="16"/>
      <c r="CP101" s="16"/>
      <c r="CQ101" s="16">
        <f ca="1">_xll.DBRW($D$4,$E$7,$E$8,$E$9,$E$10,$E$12,$D101,$E$6,CQ$18,CQ$17)</f>
        <v>0.47536359999999994</v>
      </c>
      <c r="CR101" s="16">
        <f ca="1">_xll.DBRW($D$4,$E$7,$E$8,$E$9,$E$10,$E$12,$D101,$E$6,CR$18,CR$17)</f>
        <v>5.4592710699999998</v>
      </c>
      <c r="CS101" s="16">
        <f ca="1">_xll.DBRW($D$4,$E$7,$E$8,$E$9,$E$10,$E$12,$D101,$E$6,CS$18,CS$17)</f>
        <v>5.4592710699999998</v>
      </c>
      <c r="CT101" s="16">
        <f ca="1">_xll.DBRW($D$4,$E$7,$E$8,$E$9,$E$10,$E$12,$D101,$E$6,CT$18,CT$17)</f>
        <v>5.4592710699999998</v>
      </c>
      <c r="CU101" s="16">
        <f ca="1">_xll.DBRW($D$4,$E$7,$E$8,$E$9,$E$10,$E$12,$D101,$E$6,CU$18,CU$17)</f>
        <v>2.5554290992123998</v>
      </c>
      <c r="CV101" s="16">
        <f ca="1">_xll.DBRW($D$4,$E$7,$E$8,$E$9,$E$10,$E$12,$D101,$E$6,CV$18,CV$17)</f>
        <v>5.4592710699999998</v>
      </c>
      <c r="CW101" s="16">
        <f ca="1">_xll.DBRW($D$4,$E$7,$E$8,$E$9,$E$10,$E$12,$D101,$E$6,CW$18,CW$17)</f>
        <v>5.8855226309999997</v>
      </c>
      <c r="CX101" s="16">
        <f ca="1">_xll.DBRW($D$4,$E$7,$E$8,$E$9,$E$10,$E$12,$D101,$E$6,CX$18,CX$17)</f>
        <v>5.4592710699999998</v>
      </c>
      <c r="CY101" s="16">
        <f ca="1">_xll.DBRW($D$4,$E$7,$E$8,$E$9,$E$10,$E$12,$D101,$E$6,CY$18,CY$17)</f>
        <v>5.4592710699999998</v>
      </c>
      <c r="CZ101" s="16">
        <f ca="1">_xll.DBRW($D$4,$E$7,$E$8,$E$9,$E$10,$E$12,$D101,$E$6,CZ$18,CZ$17)</f>
        <v>5.4592710699999998</v>
      </c>
      <c r="DA101" s="26">
        <f t="shared" ca="1" si="108"/>
        <v>0.23281673346283666</v>
      </c>
      <c r="DB101" s="26">
        <f t="shared" ca="1" si="109"/>
        <v>0.51717723000000149</v>
      </c>
      <c r="DC101" s="26">
        <f t="shared" ca="1" si="110"/>
        <v>0</v>
      </c>
      <c r="DD101" s="26">
        <f t="shared" ca="1" si="111"/>
        <v>0</v>
      </c>
      <c r="DE101" s="26">
        <f t="shared" ca="1" si="112"/>
        <v>0</v>
      </c>
      <c r="DF101" s="26">
        <f t="shared" ca="1" si="113"/>
        <v>0</v>
      </c>
      <c r="DG101" s="26">
        <f t="shared" ca="1" si="114"/>
        <v>0</v>
      </c>
      <c r="DH101" s="26">
        <f t="shared" ca="1" si="115"/>
        <v>-0.28436049653716378</v>
      </c>
      <c r="DI101" s="26">
        <f t="shared" ca="1" si="116"/>
        <v>-4.1255842799999911</v>
      </c>
      <c r="DJ101" s="26">
        <f t="shared" ca="1" si="117"/>
        <v>2.6109995700000006</v>
      </c>
      <c r="DK101" s="26">
        <f t="shared" ca="1" si="118"/>
        <v>-2.5602596625478702E-2</v>
      </c>
      <c r="DL101" s="26"/>
      <c r="DM101" s="26"/>
      <c r="DN101" s="26"/>
      <c r="DO101" s="26"/>
      <c r="DP101" s="26">
        <f t="shared" ca="1" si="119"/>
        <v>0.45344006000000281</v>
      </c>
      <c r="DQ101" s="26">
        <f t="shared" ca="1" si="120"/>
        <v>8.4611668644540838E-3</v>
      </c>
      <c r="DR101" s="26"/>
      <c r="DS101" s="26"/>
      <c r="DT101" s="26"/>
      <c r="DU101" s="26"/>
      <c r="DV101" s="26">
        <f t="shared" ca="1" si="121"/>
        <v>0.12432846346282966</v>
      </c>
      <c r="DW101" s="26">
        <f t="shared" ca="1" si="122"/>
        <v>2.7491558867007299E-3</v>
      </c>
      <c r="DX101" s="26"/>
      <c r="DY101" s="26"/>
      <c r="DZ101" s="26"/>
      <c r="EA101" s="26"/>
      <c r="EB101" s="26">
        <f t="shared" ca="1" si="123"/>
        <v>0.11152703999999999</v>
      </c>
      <c r="EC101" s="26">
        <f t="shared" ca="1" si="124"/>
        <v>-2.6818202697868471E-3</v>
      </c>
      <c r="ED101" s="26"/>
      <c r="EE101" s="26"/>
      <c r="EF101" s="26"/>
      <c r="EG101" s="26"/>
      <c r="EH101" s="26">
        <f t="shared" ca="1" si="125"/>
        <v>0.54408881000000342</v>
      </c>
      <c r="EI101" s="29">
        <f t="shared" ca="1" si="126"/>
        <v>1.1755303055323352E-2</v>
      </c>
      <c r="EJ101" s="29"/>
      <c r="EK101" s="29"/>
      <c r="EL101" s="29"/>
      <c r="EM101" s="29"/>
      <c r="EN101" s="93"/>
      <c r="EO101" s="29"/>
      <c r="EP101" s="29"/>
      <c r="EQ101" s="29"/>
      <c r="ER101" s="29"/>
      <c r="ES101" s="29"/>
      <c r="ET101" s="29"/>
      <c r="EU101" s="93"/>
      <c r="EV101" s="29"/>
      <c r="EW101" s="29"/>
      <c r="EX101" s="29"/>
      <c r="EY101" s="29"/>
      <c r="EZ101" s="29"/>
      <c r="FA101" s="29"/>
      <c r="FB101" s="93"/>
      <c r="FC101" s="29"/>
      <c r="FD101" s="29"/>
      <c r="FE101" s="29"/>
      <c r="FF101" s="29"/>
      <c r="FG101" s="29"/>
      <c r="FH101" s="29"/>
      <c r="FI101" s="93"/>
      <c r="FJ101" s="29"/>
      <c r="FK101" s="29"/>
      <c r="FL101" s="29"/>
      <c r="FM101" s="29"/>
      <c r="FN101" s="29"/>
      <c r="FO101" s="29"/>
      <c r="FP101" s="93"/>
      <c r="FQ101" s="29"/>
      <c r="FR101" s="29"/>
      <c r="FS101" s="29"/>
      <c r="FT101" s="29"/>
      <c r="FU101" s="29"/>
      <c r="FV101" s="29"/>
    </row>
    <row r="102" spans="1:178" x14ac:dyDescent="0.25">
      <c r="A102" t="str">
        <f ca="1">IF(_xll.TM1RPTELISCONSOLIDATED($D$28,$D102),IF(_xll.TM1RPTELLEV($D$28,$D102)&lt;=3,_xll.TM1RPTELLEV($D$28,$D102),"D"),"N")</f>
        <v>N</v>
      </c>
      <c r="B102" t="str">
        <f ca="1">_xll.DBRA(Server&amp;"Management_organization",$D102,$B$27)</f>
        <v>L</v>
      </c>
      <c r="C102">
        <v>1</v>
      </c>
      <c r="D102" s="2" t="s">
        <v>104</v>
      </c>
      <c r="E102" s="26"/>
      <c r="F102" s="26"/>
      <c r="G102" s="16">
        <f ca="1">_xll.DBRW($D$4,$E$7,$E$8,$E$9,$E$10,$E$12,$D102,$E$6,G$18,G$17)</f>
        <v>0.21005750000000054</v>
      </c>
      <c r="H102" s="16">
        <f ca="1">_xll.DBRW($D$4,$E$7,$E$8,$E$9,$E$10,$E$12,$D102,$E$6,H$18,H$17)</f>
        <v>-0.14075291000000001</v>
      </c>
      <c r="I102" s="16">
        <f ca="1">_xll.DBRW($D$4,$E$7,$E$8,$E$9,$E$10,$E$12,$D102,$E$6,I$18,I$17)</f>
        <v>0</v>
      </c>
      <c r="J102" s="26">
        <f ca="1">_xll.DBRW($D$4,$E$7,$E$8,$E$9,$E$10,$E$12,$D102,$E$6,J$18,J$17)</f>
        <v>0</v>
      </c>
      <c r="K102" s="26">
        <f ca="1">_xll.DBRW($D$4,$E$7,$E$8,$E$9,$E$10,$E$12,$D102,$E$6,K$18,K$17)</f>
        <v>0</v>
      </c>
      <c r="L102" s="26">
        <f ca="1">_xll.DBRW($D$4,$E$7,$E$8,$E$9,$E$10,$E$12,$D102,$E$6,L$18,L$17)</f>
        <v>0</v>
      </c>
      <c r="M102" s="26">
        <f ca="1">_xll.DBRW($D$4,$E$7,$E$8,$E$9,$E$10,$E$12,$D102,$E$6,M$18,M$17)</f>
        <v>0</v>
      </c>
      <c r="N102" s="16">
        <f ca="1">_xll.DBRW($D$4,$E$7,$E$8,$E$9,$E$10,$E$12,$D102,$E$6,N$18,N$17)</f>
        <v>0.35081041000000052</v>
      </c>
      <c r="O102" s="16">
        <f ca="1">_xll.DBRW($D$4,$E$7,$E$8,$E$9,$E$10,$E$12,$D102,$E$6,O$18,O$17)</f>
        <v>1.7900776100000004</v>
      </c>
      <c r="P102" s="74">
        <f ca="1">_xll.DBRW($D$4,$E$7,$E$8,$E$9,$E$10,$E$12,$D102,$E$6,P$18,P$17)</f>
        <v>-0.63780071000000005</v>
      </c>
      <c r="Q102" s="16">
        <f ca="1">_xll.DBRW($D$4,$E$7,$E$8,$E$9,$E$10,$E$12,$D102,$E$6,Q$18,Q$17)</f>
        <v>0.35629779761336711</v>
      </c>
      <c r="R102" s="16"/>
      <c r="S102" s="16"/>
      <c r="T102" s="16"/>
      <c r="U102" s="16"/>
      <c r="V102" s="16">
        <f ca="1">_xll.DBRW($D$4,$E$7,$E$8,$E$9,$E$10,$E$12,$D102,$E$6,V$18,V$17)</f>
        <v>-8.7078169999999983E-2</v>
      </c>
      <c r="W102" s="16">
        <f ca="1">_xll.DBRW($D$4,$E$7,$E$8,$E$9,$E$10,$E$12,$D102,$E$6,W$18,W$17)</f>
        <v>4.8644913222505456E-2</v>
      </c>
      <c r="X102" s="16"/>
      <c r="Y102" s="16"/>
      <c r="Z102" s="16"/>
      <c r="AA102" s="16"/>
      <c r="AB102" s="16">
        <f ca="1">_xll.DBRW($D$4,$E$7,$E$8,$E$9,$E$10,$E$12,$D102,$E$6,AB$18,AB$17)</f>
        <v>-0.11170440999999999</v>
      </c>
      <c r="AC102" s="16">
        <f ca="1">_xll.DBRW($D$4,$E$7,$E$8,$E$9,$E$10,$E$12,$D102,$E$6,AC$18,AC$17)</f>
        <v>6.2401992727008054E-2</v>
      </c>
      <c r="AD102" s="16"/>
      <c r="AE102" s="16"/>
      <c r="AF102" s="16"/>
      <c r="AG102" s="16"/>
      <c r="AH102" s="16">
        <f ca="1">_xll.DBRW($D$4,$E$7,$E$8,$E$9,$E$10,$E$12,$D102,$E$6,AH$18,AH$17)</f>
        <v>-0.15770351999999999</v>
      </c>
      <c r="AI102" s="16">
        <f ca="1">_xll.DBRW($D$4,$E$7,$E$8,$E$9,$E$10,$E$12,$D102,$E$6,AI$18,AI$17)</f>
        <v>8.8098705396354268E-2</v>
      </c>
      <c r="AJ102" s="16"/>
      <c r="AK102" s="16"/>
      <c r="AL102" s="16"/>
      <c r="AM102" s="16"/>
      <c r="AN102" s="16">
        <f ca="1">_xll.DBRW($D$4,$E$7,$E$8,$E$9,$E$10,$E$12,$D102,$E$6,AN$18,AN$17)</f>
        <v>-0.44498038999999995</v>
      </c>
      <c r="AO102" s="16">
        <f ca="1">_xll.DBRW($D$4,$E$7,$E$8,$E$9,$E$10,$E$12,$D102,$E$6,AO$18,AO$17)</f>
        <v>0.24858161876009377</v>
      </c>
      <c r="AP102" s="16"/>
      <c r="AQ102" s="16"/>
      <c r="AR102" s="16"/>
      <c r="AS102" s="16"/>
      <c r="AT102" s="16">
        <f ca="1">_xll.DBRW($D$4,$E$7,$E$8,$E$9,$E$10,$E$12,$D102,$E$6,AT$18,AT$17)</f>
        <v>2.5739740000000004E-2</v>
      </c>
      <c r="AU102" s="16">
        <f ca="1">_xll.DBRW($D$4,$E$7,$E$8,$E$9,$E$10,$E$12,$D102,$E$6,AU$18,AU$17)</f>
        <v>0.35109599999999996</v>
      </c>
      <c r="AV102" s="16">
        <f ca="1">_xll.DBRW($D$4,$E$7,$E$8,$E$9,$E$10,$E$12,$D102,$E$6,AV$18,AV$17)</f>
        <v>0.35109599999999996</v>
      </c>
      <c r="AW102" s="16">
        <f ca="1">_xll.DBRW($D$4,$E$7,$E$8,$E$9,$E$10,$E$12,$D102,$E$6,AW$18,AW$17)</f>
        <v>0.35109599999999996</v>
      </c>
      <c r="AX102" s="16">
        <f ca="1">_xll.DBRW($D$4,$E$7,$E$8,$E$9,$E$10,$E$12,$D102,$E$6,AX$18,AX$17)</f>
        <v>0.11451871999999998</v>
      </c>
      <c r="AY102" s="16">
        <f ca="1">_xll.DBRW($D$4,$E$7,$E$8,$E$9,$E$10,$E$12,$D102,$E$6,AY$18,AY$17)</f>
        <v>0.35109599999999996</v>
      </c>
      <c r="AZ102" s="16">
        <f ca="1">_xll.DBRW($D$4,$E$7,$E$8,$E$9,$E$10,$E$12,$D102,$E$6,AZ$18,AZ$17)</f>
        <v>0.28714060999999996</v>
      </c>
      <c r="BA102" s="16">
        <f ca="1">_xll.DBRW($D$4,$E$7,$E$8,$E$9,$E$10,$E$12,$D102,$E$6,BA$18,BA$17)</f>
        <v>0.35109599999999996</v>
      </c>
      <c r="BB102" s="16">
        <f ca="1">_xll.DBRW($D$4,$E$7,$E$8,$E$9,$E$10,$E$12,$D102,$E$6,BB$18,BB$17)</f>
        <v>0.35109599999999996</v>
      </c>
      <c r="BC102" s="16">
        <f ca="1">_xll.DBRW($D$4,$E$7,$E$8,$E$9,$E$10,$E$12,$D102,$E$6,BC$18,BC$17)</f>
        <v>0.35109599999999996</v>
      </c>
      <c r="BD102" s="16">
        <f ca="1">_xll.DBRW($D$4,$E$7,$E$8,$E$9,$E$10,$E$12,$D102,$E$6,BD$18,BD$17)</f>
        <v>0.16653254994432687</v>
      </c>
      <c r="BE102" s="16">
        <f ca="1">_xll.DBRW($D$4,$E$7,$E$8,$E$9,$E$10,$E$12,$D102,$E$6,BE$18,BE$17)</f>
        <v>-0.19750774999999998</v>
      </c>
      <c r="BF102" s="16">
        <f ca="1">_xll.DBRW($D$4,$E$7,$E$8,$E$9,$E$10,$E$12,$D102,$E$6,BF$18,BF$17)</f>
        <v>0</v>
      </c>
      <c r="BG102" s="26">
        <f ca="1">_xll.DBRW($D$4,$E$7,$E$8,$E$9,$E$10,$E$12,$D102,$E$6,BG$18,BG$17)</f>
        <v>0</v>
      </c>
      <c r="BH102" s="26">
        <f ca="1">_xll.DBRW($D$4,$E$7,$E$8,$E$9,$E$10,$E$12,$D102,$E$6,BH$18,BH$17)</f>
        <v>0</v>
      </c>
      <c r="BI102" s="26">
        <f ca="1">_xll.DBRW($D$4,$E$7,$E$8,$E$9,$E$10,$E$12,$D102,$E$6,BI$18,BI$17)</f>
        <v>0</v>
      </c>
      <c r="BJ102" s="26">
        <f ca="1">_xll.DBRW($D$4,$E$7,$E$8,$E$9,$E$10,$E$12,$D102,$E$6,BJ$18,BJ$17)</f>
        <v>0</v>
      </c>
      <c r="BK102" s="16">
        <f ca="1">_xll.DBRW($D$4,$E$7,$E$8,$E$9,$E$10,$E$12,$D102,$E$6,BK$18,BK$17)</f>
        <v>0.36404029994432685</v>
      </c>
      <c r="BL102" s="16">
        <f ca="1">_xll.DBRW($D$4,$E$7,$E$8,$E$9,$E$10,$E$12,$D102,$E$6,BL$18,BL$17)</f>
        <v>1.7994814799999999</v>
      </c>
      <c r="BM102" s="16">
        <f ca="1">_xll.DBRW($D$4,$E$7,$E$8,$E$9,$E$10,$E$12,$D102,$E$6,BM$18,BM$17)</f>
        <v>-0.68500966750000003</v>
      </c>
      <c r="BN102" s="16">
        <f ca="1">_xll.DBRW($D$4,$E$7,$E$8,$E$9,$E$10,$E$12,$D102,$E$6,BN$18,BN$17)</f>
        <v>0.38067058489537781</v>
      </c>
      <c r="BO102" s="16"/>
      <c r="BP102" s="16"/>
      <c r="BQ102" s="16"/>
      <c r="BR102" s="16"/>
      <c r="BS102" s="16">
        <f ca="1">_xll.DBRW($D$4,$E$7,$E$8,$E$9,$E$10,$E$12,$D102,$E$6,BS$18,BS$17)</f>
        <v>-7.7932275120684208E-2</v>
      </c>
      <c r="BT102" s="16">
        <f ca="1">_xll.DBRW($D$4,$E$7,$E$8,$E$9,$E$10,$E$12,$D102,$E$6,BT$18,BT$17)</f>
        <v>4.3308184044597235E-2</v>
      </c>
      <c r="BU102" s="16"/>
      <c r="BV102" s="16"/>
      <c r="BW102" s="16"/>
      <c r="BX102" s="16"/>
      <c r="BY102" s="16">
        <f ca="1">_xll.DBRW($D$4,$E$7,$E$8,$E$9,$E$10,$E$12,$D102,$E$6,BY$18,BY$17)</f>
        <v>-0.11358730493498878</v>
      </c>
      <c r="BZ102" s="16">
        <f ca="1">_xll.DBRW($D$4,$E$7,$E$8,$E$9,$E$10,$E$12,$D102,$E$6,BZ$18,BZ$17)</f>
        <v>6.3122241710978202E-2</v>
      </c>
      <c r="CA102" s="16"/>
      <c r="CB102" s="16"/>
      <c r="CC102" s="16"/>
      <c r="CD102" s="16"/>
      <c r="CE102" s="16">
        <f ca="1">_xll.DBRW($D$4,$E$7,$E$8,$E$9,$E$10,$E$12,$D102,$E$6,CE$18,CE$17)</f>
        <v>-0.18203348666666663</v>
      </c>
      <c r="CF102" s="16">
        <f ca="1">_xll.DBRW($D$4,$E$7,$E$8,$E$9,$E$10,$E$12,$D102,$E$6,CF$18,CF$17)</f>
        <v>0.1011588553090675</v>
      </c>
      <c r="CG102" s="16"/>
      <c r="CH102" s="16"/>
      <c r="CI102" s="16"/>
      <c r="CJ102" s="16"/>
      <c r="CK102" s="16">
        <f ca="1">_xll.DBRW($D$4,$E$7,$E$8,$E$9,$E$10,$E$12,$D102,$E$6,CK$18,CK$17)</f>
        <v>-0.37687844583333341</v>
      </c>
      <c r="CL102" s="16">
        <f ca="1">_xll.DBRW($D$4,$E$7,$E$8,$E$9,$E$10,$E$12,$D102,$E$6,CL$18,CL$17)</f>
        <v>0.20943724624125248</v>
      </c>
      <c r="CM102" s="16"/>
      <c r="CN102" s="16"/>
      <c r="CO102" s="16"/>
      <c r="CP102" s="16"/>
      <c r="CQ102" s="16">
        <f ca="1">_xll.DBRW($D$4,$E$7,$E$8,$E$9,$E$10,$E$12,$D102,$E$6,CQ$18,CQ$17)</f>
        <v>2.5369280000000001E-2</v>
      </c>
      <c r="CR102" s="16">
        <f ca="1">_xll.DBRW($D$4,$E$7,$E$8,$E$9,$E$10,$E$12,$D102,$E$6,CR$18,CR$17)</f>
        <v>0.37204921491300003</v>
      </c>
      <c r="CS102" s="16">
        <f ca="1">_xll.DBRW($D$4,$E$7,$E$8,$E$9,$E$10,$E$12,$D102,$E$6,CS$18,CS$17)</f>
        <v>0.37204921491300003</v>
      </c>
      <c r="CT102" s="16">
        <f ca="1">_xll.DBRW($D$4,$E$7,$E$8,$E$9,$E$10,$E$12,$D102,$E$6,CT$18,CT$17)</f>
        <v>0.37204921491300003</v>
      </c>
      <c r="CU102" s="16">
        <f ca="1">_xll.DBRW($D$4,$E$7,$E$8,$E$9,$E$10,$E$12,$D102,$E$6,CU$18,CU$17)</f>
        <v>0.12565962233656103</v>
      </c>
      <c r="CV102" s="16">
        <f ca="1">_xll.DBRW($D$4,$E$7,$E$8,$E$9,$E$10,$E$12,$D102,$E$6,CV$18,CV$17)</f>
        <v>0.37204921491300003</v>
      </c>
      <c r="CW102" s="16">
        <f ca="1">_xll.DBRW($D$4,$E$7,$E$8,$E$9,$E$10,$E$12,$D102,$E$6,CW$18,CW$17)</f>
        <v>0.31400857935999993</v>
      </c>
      <c r="CX102" s="16">
        <f ca="1">_xll.DBRW($D$4,$E$7,$E$8,$E$9,$E$10,$E$12,$D102,$E$6,CX$18,CX$17)</f>
        <v>0.37204921491300003</v>
      </c>
      <c r="CY102" s="16">
        <f ca="1">_xll.DBRW($D$4,$E$7,$E$8,$E$9,$E$10,$E$12,$D102,$E$6,CY$18,CY$17)</f>
        <v>0.37204921491300003</v>
      </c>
      <c r="CZ102" s="16">
        <f ca="1">_xll.DBRW($D$4,$E$7,$E$8,$E$9,$E$10,$E$12,$D102,$E$6,CZ$18,CZ$17)</f>
        <v>0.37204921491300003</v>
      </c>
      <c r="DA102" s="26">
        <f t="shared" ca="1" si="108"/>
        <v>4.3524950055673667E-2</v>
      </c>
      <c r="DB102" s="26">
        <f t="shared" ca="1" si="109"/>
        <v>5.6754839999999973E-2</v>
      </c>
      <c r="DC102" s="26">
        <f t="shared" ca="1" si="110"/>
        <v>0</v>
      </c>
      <c r="DD102" s="26">
        <f t="shared" ca="1" si="111"/>
        <v>0</v>
      </c>
      <c r="DE102" s="26">
        <f t="shared" ca="1" si="112"/>
        <v>0</v>
      </c>
      <c r="DF102" s="26">
        <f t="shared" ca="1" si="113"/>
        <v>0</v>
      </c>
      <c r="DG102" s="26">
        <f t="shared" ca="1" si="114"/>
        <v>0</v>
      </c>
      <c r="DH102" s="26">
        <f t="shared" ca="1" si="115"/>
        <v>-1.3229889944326334E-2</v>
      </c>
      <c r="DI102" s="26">
        <f t="shared" ca="1" si="116"/>
        <v>-9.4038699999994257E-3</v>
      </c>
      <c r="DJ102" s="26">
        <f t="shared" ca="1" si="117"/>
        <v>4.7208957499999982E-2</v>
      </c>
      <c r="DK102" s="26">
        <f t="shared" ca="1" si="118"/>
        <v>-2.4372787282010699E-2</v>
      </c>
      <c r="DL102" s="26"/>
      <c r="DM102" s="26"/>
      <c r="DN102" s="26"/>
      <c r="DO102" s="26"/>
      <c r="DP102" s="26">
        <f t="shared" ca="1" si="119"/>
        <v>-9.1458948793157746E-3</v>
      </c>
      <c r="DQ102" s="26">
        <f t="shared" ca="1" si="120"/>
        <v>5.3367291779082213E-3</v>
      </c>
      <c r="DR102" s="26"/>
      <c r="DS102" s="26"/>
      <c r="DT102" s="26"/>
      <c r="DU102" s="26"/>
      <c r="DV102" s="26">
        <f t="shared" ca="1" si="121"/>
        <v>1.8828949349887908E-3</v>
      </c>
      <c r="DW102" s="26">
        <f t="shared" ca="1" si="122"/>
        <v>-7.2024898397014814E-4</v>
      </c>
      <c r="DX102" s="26"/>
      <c r="DY102" s="26"/>
      <c r="DZ102" s="26"/>
      <c r="EA102" s="26"/>
      <c r="EB102" s="26">
        <f t="shared" ca="1" si="123"/>
        <v>2.4329966666666647E-2</v>
      </c>
      <c r="EC102" s="26">
        <f t="shared" ca="1" si="124"/>
        <v>-1.3060149912713231E-2</v>
      </c>
      <c r="ED102" s="26"/>
      <c r="EE102" s="26"/>
      <c r="EF102" s="26"/>
      <c r="EG102" s="26"/>
      <c r="EH102" s="26">
        <f t="shared" ca="1" si="125"/>
        <v>-6.8101944166666539E-2</v>
      </c>
      <c r="EI102" s="29">
        <f t="shared" ca="1" si="126"/>
        <v>3.9144372518841286E-2</v>
      </c>
      <c r="EJ102" s="29"/>
      <c r="EK102" s="29"/>
      <c r="EL102" s="29"/>
      <c r="EM102" s="29"/>
      <c r="EN102" s="93"/>
      <c r="EO102" s="29"/>
      <c r="EP102" s="29"/>
      <c r="EQ102" s="29"/>
      <c r="ER102" s="29"/>
      <c r="ES102" s="29"/>
      <c r="ET102" s="29"/>
      <c r="EU102" s="93"/>
      <c r="EV102" s="29"/>
      <c r="EW102" s="29"/>
      <c r="EX102" s="29"/>
      <c r="EY102" s="29"/>
      <c r="EZ102" s="29"/>
      <c r="FA102" s="29"/>
      <c r="FB102" s="93"/>
      <c r="FC102" s="29"/>
      <c r="FD102" s="29"/>
      <c r="FE102" s="29"/>
      <c r="FF102" s="29"/>
      <c r="FG102" s="29"/>
      <c r="FH102" s="29"/>
      <c r="FI102" s="93"/>
      <c r="FJ102" s="29"/>
      <c r="FK102" s="29"/>
      <c r="FL102" s="29"/>
      <c r="FM102" s="29"/>
      <c r="FN102" s="29"/>
      <c r="FO102" s="29"/>
      <c r="FP102" s="93"/>
      <c r="FQ102" s="29"/>
      <c r="FR102" s="29"/>
      <c r="FS102" s="29"/>
      <c r="FT102" s="29"/>
      <c r="FU102" s="29"/>
      <c r="FV102" s="29"/>
    </row>
    <row r="103" spans="1:178" x14ac:dyDescent="0.25">
      <c r="A103" t="str">
        <f ca="1">IF(_xll.TM1RPTELISCONSOLIDATED($D$28,$D103),IF(_xll.TM1RPTELLEV($D$28,$D103)&lt;=3,_xll.TM1RPTELLEV($D$28,$D103),"D"),"N")</f>
        <v>N</v>
      </c>
      <c r="B103" t="str">
        <f ca="1">_xll.DBRA(Server&amp;"Management_organization",$D103,$B$27)</f>
        <v>L</v>
      </c>
      <c r="C103">
        <v>1</v>
      </c>
      <c r="D103" s="2" t="s">
        <v>275</v>
      </c>
      <c r="E103" s="26"/>
      <c r="F103" s="26"/>
      <c r="G103" s="16">
        <f ca="1">_xll.DBRW($D$4,$E$7,$E$8,$E$9,$E$10,$E$12,$D103,$E$6,G$18,G$17)</f>
        <v>0.83844377999999076</v>
      </c>
      <c r="H103" s="16">
        <f ca="1">_xll.DBRW($D$4,$E$7,$E$8,$E$9,$E$10,$E$12,$D103,$E$6,H$18,H$17)</f>
        <v>-0.52035469000000001</v>
      </c>
      <c r="I103" s="16">
        <f ca="1">_xll.DBRW($D$4,$E$7,$E$8,$E$9,$E$10,$E$12,$D103,$E$6,I$18,I$17)</f>
        <v>0</v>
      </c>
      <c r="J103" s="26">
        <f ca="1">_xll.DBRW($D$4,$E$7,$E$8,$E$9,$E$10,$E$12,$D103,$E$6,J$18,J$17)</f>
        <v>-1.0264499999999999E-2</v>
      </c>
      <c r="K103" s="26">
        <f ca="1">_xll.DBRW($D$4,$E$7,$E$8,$E$9,$E$10,$E$12,$D103,$E$6,K$18,K$17)</f>
        <v>0</v>
      </c>
      <c r="L103" s="26">
        <f ca="1">_xll.DBRW($D$4,$E$7,$E$8,$E$9,$E$10,$E$12,$D103,$E$6,L$18,L$17)</f>
        <v>0</v>
      </c>
      <c r="M103" s="26">
        <f ca="1">_xll.DBRW($D$4,$E$7,$E$8,$E$9,$E$10,$E$12,$D103,$E$6,M$18,M$17)</f>
        <v>0</v>
      </c>
      <c r="N103" s="16">
        <f ca="1">_xll.DBRW($D$4,$E$7,$E$8,$E$9,$E$10,$E$12,$D103,$E$6,N$18,N$17)</f>
        <v>1.3690629699999906</v>
      </c>
      <c r="O103" s="16">
        <f ca="1">_xll.DBRW($D$4,$E$7,$E$8,$E$9,$E$10,$E$12,$D103,$E$6,O$18,O$17)</f>
        <v>17.688702699999997</v>
      </c>
      <c r="P103" s="74">
        <f ca="1">_xll.DBRW($D$4,$E$7,$E$8,$E$9,$E$10,$E$12,$D103,$E$6,P$18,P$17)</f>
        <v>-7.60663921</v>
      </c>
      <c r="Q103" s="16">
        <f ca="1">_xll.DBRW($D$4,$E$7,$E$8,$E$9,$E$10,$E$12,$D103,$E$6,Q$18,Q$17)</f>
        <v>0.43002809979954049</v>
      </c>
      <c r="R103" s="16"/>
      <c r="S103" s="16"/>
      <c r="T103" s="16"/>
      <c r="U103" s="16"/>
      <c r="V103" s="16">
        <f ca="1">_xll.DBRW($D$4,$E$7,$E$8,$E$9,$E$10,$E$12,$D103,$E$6,V$18,V$17)</f>
        <v>-2.0934520499999998</v>
      </c>
      <c r="W103" s="16">
        <f ca="1">_xll.DBRW($D$4,$E$7,$E$8,$E$9,$E$10,$E$12,$D103,$E$6,W$18,W$17)</f>
        <v>0.11834966563149937</v>
      </c>
      <c r="X103" s="16"/>
      <c r="Y103" s="16"/>
      <c r="Z103" s="16"/>
      <c r="AA103" s="16"/>
      <c r="AB103" s="16">
        <f ca="1">_xll.DBRW($D$4,$E$7,$E$8,$E$9,$E$10,$E$12,$D103,$E$6,AB$18,AB$17)</f>
        <v>-2.4321868200000001</v>
      </c>
      <c r="AC103" s="16">
        <f ca="1">_xll.DBRW($D$4,$E$7,$E$8,$E$9,$E$10,$E$12,$D103,$E$6,AC$18,AC$17)</f>
        <v>0.13749944590340141</v>
      </c>
      <c r="AD103" s="16"/>
      <c r="AE103" s="16"/>
      <c r="AF103" s="16"/>
      <c r="AG103" s="16"/>
      <c r="AH103" s="16">
        <f ca="1">_xll.DBRW($D$4,$E$7,$E$8,$E$9,$E$10,$E$12,$D103,$E$6,AH$18,AH$17)</f>
        <v>-0.26510078999999998</v>
      </c>
      <c r="AI103" s="16">
        <f ca="1">_xll.DBRW($D$4,$E$7,$E$8,$E$9,$E$10,$E$12,$D103,$E$6,AI$18,AI$17)</f>
        <v>1.4987011455622465E-2</v>
      </c>
      <c r="AJ103" s="16"/>
      <c r="AK103" s="16"/>
      <c r="AL103" s="16"/>
      <c r="AM103" s="16"/>
      <c r="AN103" s="16">
        <f ca="1">_xll.DBRW($D$4,$E$7,$E$8,$E$9,$E$10,$E$12,$D103,$E$6,AN$18,AN$17)</f>
        <v>-3.9222608599999997</v>
      </c>
      <c r="AO103" s="16">
        <f ca="1">_xll.DBRW($D$4,$E$7,$E$8,$E$9,$E$10,$E$12,$D103,$E$6,AO$18,AO$17)</f>
        <v>0.22173818659974429</v>
      </c>
      <c r="AP103" s="16"/>
      <c r="AQ103" s="16"/>
      <c r="AR103" s="16"/>
      <c r="AS103" s="16"/>
      <c r="AT103" s="16">
        <f ca="1">_xll.DBRW($D$4,$E$7,$E$8,$E$9,$E$10,$E$12,$D103,$E$6,AT$18,AT$17)</f>
        <v>0.34396748999999993</v>
      </c>
      <c r="AU103" s="16">
        <f ca="1">_xll.DBRW($D$4,$E$7,$E$8,$E$9,$E$10,$E$12,$D103,$E$6,AU$18,AU$17)</f>
        <v>8.7026817699999999</v>
      </c>
      <c r="AV103" s="16">
        <f ca="1">_xll.DBRW($D$4,$E$7,$E$8,$E$9,$E$10,$E$12,$D103,$E$6,AV$18,AV$17)</f>
        <v>8.7026817699999999</v>
      </c>
      <c r="AW103" s="16">
        <f ca="1">_xll.DBRW($D$4,$E$7,$E$8,$E$9,$E$10,$E$12,$D103,$E$6,AW$18,AW$17)</f>
        <v>8.7026817699999999</v>
      </c>
      <c r="AX103" s="16">
        <f ca="1">_xll.DBRW($D$4,$E$7,$E$8,$E$9,$E$10,$E$12,$D103,$E$6,AX$18,AX$17)</f>
        <v>2.5320804000000003</v>
      </c>
      <c r="AY103" s="16">
        <f ca="1">_xll.DBRW($D$4,$E$7,$E$8,$E$9,$E$10,$E$12,$D103,$E$6,AY$18,AY$17)</f>
        <v>8.7026817699999999</v>
      </c>
      <c r="AZ103" s="16">
        <f ca="1">_xll.DBRW($D$4,$E$7,$E$8,$E$9,$E$10,$E$12,$D103,$E$6,AZ$18,AZ$17)</f>
        <v>5.6876687869999989</v>
      </c>
      <c r="BA103" s="16">
        <f ca="1">_xll.DBRW($D$4,$E$7,$E$8,$E$9,$E$10,$E$12,$D103,$E$6,BA$18,BA$17)</f>
        <v>8.7026817699999999</v>
      </c>
      <c r="BB103" s="16">
        <f ca="1">_xll.DBRW($D$4,$E$7,$E$8,$E$9,$E$10,$E$12,$D103,$E$6,BB$18,BB$17)</f>
        <v>8.7026817699999999</v>
      </c>
      <c r="BC103" s="16">
        <f ca="1">_xll.DBRW($D$4,$E$7,$E$8,$E$9,$E$10,$E$12,$D103,$E$6,BC$18,BC$17)</f>
        <v>8.7026817699999999</v>
      </c>
      <c r="BD103" s="16">
        <f ca="1">_xll.DBRW($D$4,$E$7,$E$8,$E$9,$E$10,$E$12,$D103,$E$6,BD$18,BD$17)</f>
        <v>0.58534159241699446</v>
      </c>
      <c r="BE103" s="16">
        <f ca="1">_xll.DBRW($D$4,$E$7,$E$8,$E$9,$E$10,$E$12,$D103,$E$6,BE$18,BE$17)</f>
        <v>-1.1748990733333335</v>
      </c>
      <c r="BF103" s="16">
        <f ca="1">_xll.DBRW($D$4,$E$7,$E$8,$E$9,$E$10,$E$12,$D103,$E$6,BF$18,BF$17)</f>
        <v>0</v>
      </c>
      <c r="BG103" s="26">
        <f ca="1">_xll.DBRW($D$4,$E$7,$E$8,$E$9,$E$10,$E$12,$D103,$E$6,BG$18,BG$17)</f>
        <v>0</v>
      </c>
      <c r="BH103" s="26">
        <f ca="1">_xll.DBRW($D$4,$E$7,$E$8,$E$9,$E$10,$E$12,$D103,$E$6,BH$18,BH$17)</f>
        <v>0</v>
      </c>
      <c r="BI103" s="26">
        <f ca="1">_xll.DBRW($D$4,$E$7,$E$8,$E$9,$E$10,$E$12,$D103,$E$6,BI$18,BI$17)</f>
        <v>0</v>
      </c>
      <c r="BJ103" s="26">
        <f ca="1">_xll.DBRW($D$4,$E$7,$E$8,$E$9,$E$10,$E$12,$D103,$E$6,BJ$18,BJ$17)</f>
        <v>0</v>
      </c>
      <c r="BK103" s="16">
        <f ca="1">_xll.DBRW($D$4,$E$7,$E$8,$E$9,$E$10,$E$12,$D103,$E$6,BK$18,BK$17)</f>
        <v>1.7602406657503278</v>
      </c>
      <c r="BL103" s="16">
        <f ca="1">_xll.DBRW($D$4,$E$7,$E$8,$E$9,$E$10,$E$12,$D103,$E$6,BL$18,BL$17)</f>
        <v>19.9636979236037</v>
      </c>
      <c r="BM103" s="16">
        <f ca="1">_xll.DBRW($D$4,$E$7,$E$8,$E$9,$E$10,$E$12,$D103,$E$6,BM$18,BM$17)</f>
        <v>-8.9704386204586779</v>
      </c>
      <c r="BN103" s="16">
        <f ca="1">_xll.DBRW($D$4,$E$7,$E$8,$E$9,$E$10,$E$12,$D103,$E$6,BN$18,BN$17)</f>
        <v>0.44933752528145848</v>
      </c>
      <c r="BO103" s="16"/>
      <c r="BP103" s="16"/>
      <c r="BQ103" s="16"/>
      <c r="BR103" s="16"/>
      <c r="BS103" s="16">
        <f ca="1">_xll.DBRW($D$4,$E$7,$E$8,$E$9,$E$10,$E$12,$D103,$E$6,BS$18,BS$17)</f>
        <v>-2.3242486608965534</v>
      </c>
      <c r="BT103" s="16">
        <f ca="1">_xll.DBRW($D$4,$E$7,$E$8,$E$9,$E$10,$E$12,$D103,$E$6,BT$18,BT$17)</f>
        <v>0.11642375424587656</v>
      </c>
      <c r="BU103" s="16"/>
      <c r="BV103" s="16"/>
      <c r="BW103" s="16"/>
      <c r="BX103" s="16"/>
      <c r="BY103" s="16">
        <f ca="1">_xll.DBRW($D$4,$E$7,$E$8,$E$9,$E$10,$E$12,$D103,$E$6,BY$18,BY$17)</f>
        <v>-2.3497312215846398</v>
      </c>
      <c r="BZ103" s="16">
        <f ca="1">_xll.DBRW($D$4,$E$7,$E$8,$E$9,$E$10,$E$12,$D103,$E$6,BZ$18,BZ$17)</f>
        <v>0.11770019916032087</v>
      </c>
      <c r="CA103" s="16"/>
      <c r="CB103" s="16"/>
      <c r="CC103" s="16"/>
      <c r="CD103" s="16"/>
      <c r="CE103" s="16">
        <f ca="1">_xll.DBRW($D$4,$E$7,$E$8,$E$9,$E$10,$E$12,$D103,$E$6,CE$18,CE$17)</f>
        <v>-0.30952954999999999</v>
      </c>
      <c r="CF103" s="16">
        <f ca="1">_xll.DBRW($D$4,$E$7,$E$8,$E$9,$E$10,$E$12,$D103,$E$6,CF$18,CF$17)</f>
        <v>1.5504619994977663E-2</v>
      </c>
      <c r="CG103" s="16"/>
      <c r="CH103" s="16"/>
      <c r="CI103" s="16"/>
      <c r="CJ103" s="16"/>
      <c r="CK103" s="16">
        <f ca="1">_xll.DBRW($D$4,$E$7,$E$8,$E$9,$E$10,$E$12,$D103,$E$6,CK$18,CK$17)</f>
        <v>-4.2495092049135001</v>
      </c>
      <c r="CL103" s="16">
        <f ca="1">_xll.DBRW($D$4,$E$7,$E$8,$E$9,$E$10,$E$12,$D103,$E$6,CL$18,CL$17)</f>
        <v>0.21286182656015715</v>
      </c>
      <c r="CM103" s="16"/>
      <c r="CN103" s="16"/>
      <c r="CO103" s="16"/>
      <c r="CP103" s="16"/>
      <c r="CQ103" s="16">
        <f ca="1">_xll.DBRW($D$4,$E$7,$E$8,$E$9,$E$10,$E$12,$D103,$E$6,CQ$18,CQ$17)</f>
        <v>0.38151706313092998</v>
      </c>
      <c r="CR103" s="16">
        <f ca="1">_xll.DBRW($D$4,$E$7,$E$8,$E$9,$E$10,$E$12,$D103,$E$6,CR$18,CR$17)</f>
        <v>9.6542925967799995</v>
      </c>
      <c r="CS103" s="16">
        <f ca="1">_xll.DBRW($D$4,$E$7,$E$8,$E$9,$E$10,$E$12,$D103,$E$6,CS$18,CS$17)</f>
        <v>9.6542925967799995</v>
      </c>
      <c r="CT103" s="16">
        <f ca="1">_xll.DBRW($D$4,$E$7,$E$8,$E$9,$E$10,$E$12,$D103,$E$6,CT$18,CT$17)</f>
        <v>9.6542925967799995</v>
      </c>
      <c r="CU103" s="16">
        <f ca="1">_xll.DBRW($D$4,$E$7,$E$8,$E$9,$E$10,$E$12,$D103,$E$6,CU$18,CU$17)</f>
        <v>2.7896150702939</v>
      </c>
      <c r="CV103" s="16">
        <f ca="1">_xll.DBRW($D$4,$E$7,$E$8,$E$9,$E$10,$E$12,$D103,$E$6,CV$18,CV$17)</f>
        <v>9.6542925967799995</v>
      </c>
      <c r="CW103" s="16">
        <f ca="1">_xll.DBRW($D$4,$E$7,$E$8,$E$9,$E$10,$E$12,$D103,$E$6,CW$18,CW$17)</f>
        <v>6.4918600553100001</v>
      </c>
      <c r="CX103" s="16">
        <f ca="1">_xll.DBRW($D$4,$E$7,$E$8,$E$9,$E$10,$E$12,$D103,$E$6,CX$18,CX$17)</f>
        <v>9.6542925967799995</v>
      </c>
      <c r="CY103" s="16">
        <f ca="1">_xll.DBRW($D$4,$E$7,$E$8,$E$9,$E$10,$E$12,$D103,$E$6,CY$18,CY$17)</f>
        <v>9.6542925967799995</v>
      </c>
      <c r="CZ103" s="16">
        <f ca="1">_xll.DBRW($D$4,$E$7,$E$8,$E$9,$E$10,$E$12,$D103,$E$6,CZ$18,CZ$17)</f>
        <v>9.6542925967799995</v>
      </c>
      <c r="DA103" s="26">
        <f t="shared" ca="1" si="108"/>
        <v>0.2531021875829963</v>
      </c>
      <c r="DB103" s="26">
        <f t="shared" ca="1" si="109"/>
        <v>0.65454438333333353</v>
      </c>
      <c r="DC103" s="26">
        <f t="shared" ca="1" si="110"/>
        <v>0</v>
      </c>
      <c r="DD103" s="26">
        <f t="shared" ca="1" si="111"/>
        <v>-1.0264499999999999E-2</v>
      </c>
      <c r="DE103" s="26">
        <f t="shared" ca="1" si="112"/>
        <v>0</v>
      </c>
      <c r="DF103" s="26">
        <f t="shared" ca="1" si="113"/>
        <v>0</v>
      </c>
      <c r="DG103" s="26">
        <f t="shared" ca="1" si="114"/>
        <v>0</v>
      </c>
      <c r="DH103" s="26">
        <f t="shared" ca="1" si="115"/>
        <v>-0.39117769575033723</v>
      </c>
      <c r="DI103" s="26">
        <f t="shared" ca="1" si="116"/>
        <v>-2.2749952236037032</v>
      </c>
      <c r="DJ103" s="26">
        <f t="shared" ca="1" si="117"/>
        <v>1.3637994104586779</v>
      </c>
      <c r="DK103" s="26">
        <f t="shared" ca="1" si="118"/>
        <v>-1.9309425481917997E-2</v>
      </c>
      <c r="DL103" s="26"/>
      <c r="DM103" s="26"/>
      <c r="DN103" s="26"/>
      <c r="DO103" s="26"/>
      <c r="DP103" s="26">
        <f t="shared" ca="1" si="119"/>
        <v>0.23079661089655357</v>
      </c>
      <c r="DQ103" s="26">
        <f t="shared" ca="1" si="120"/>
        <v>1.9259113856228138E-3</v>
      </c>
      <c r="DR103" s="26"/>
      <c r="DS103" s="26"/>
      <c r="DT103" s="26"/>
      <c r="DU103" s="26"/>
      <c r="DV103" s="26">
        <f t="shared" ca="1" si="121"/>
        <v>-8.2455598415360321E-2</v>
      </c>
      <c r="DW103" s="26">
        <f t="shared" ca="1" si="122"/>
        <v>1.9799246743080534E-2</v>
      </c>
      <c r="DX103" s="26"/>
      <c r="DY103" s="26"/>
      <c r="DZ103" s="26"/>
      <c r="EA103" s="26"/>
      <c r="EB103" s="26">
        <f t="shared" ca="1" si="123"/>
        <v>4.4428760000000012E-2</v>
      </c>
      <c r="EC103" s="26">
        <f t="shared" ca="1" si="124"/>
        <v>-5.1760853935519865E-4</v>
      </c>
      <c r="ED103" s="26"/>
      <c r="EE103" s="26"/>
      <c r="EF103" s="26"/>
      <c r="EG103" s="26"/>
      <c r="EH103" s="26">
        <f t="shared" ca="1" si="125"/>
        <v>0.32724834491350041</v>
      </c>
      <c r="EI103" s="29">
        <f t="shared" ca="1" si="126"/>
        <v>8.8763600395871389E-3</v>
      </c>
      <c r="EJ103" s="29"/>
      <c r="EK103" s="29"/>
      <c r="EL103" s="29"/>
      <c r="EM103" s="29"/>
      <c r="EN103" s="93"/>
      <c r="EO103" s="29"/>
      <c r="EP103" s="29"/>
      <c r="EQ103" s="29"/>
      <c r="ER103" s="29"/>
      <c r="ES103" s="29"/>
      <c r="ET103" s="29"/>
      <c r="EU103" s="93"/>
      <c r="EV103" s="29"/>
      <c r="EW103" s="29"/>
      <c r="EX103" s="29"/>
      <c r="EY103" s="29"/>
      <c r="EZ103" s="29"/>
      <c r="FA103" s="29"/>
      <c r="FB103" s="93"/>
      <c r="FC103" s="29"/>
      <c r="FD103" s="29"/>
      <c r="FE103" s="29"/>
      <c r="FF103" s="29"/>
      <c r="FG103" s="29"/>
      <c r="FH103" s="29"/>
      <c r="FI103" s="93"/>
      <c r="FJ103" s="29"/>
      <c r="FK103" s="29"/>
      <c r="FL103" s="29"/>
      <c r="FM103" s="29"/>
      <c r="FN103" s="29"/>
      <c r="FO103" s="29"/>
      <c r="FP103" s="93"/>
      <c r="FQ103" s="29"/>
      <c r="FR103" s="29"/>
      <c r="FS103" s="29"/>
      <c r="FT103" s="29"/>
      <c r="FU103" s="29"/>
      <c r="FV103" s="29"/>
    </row>
    <row r="104" spans="1:178" x14ac:dyDescent="0.25">
      <c r="A104" t="str">
        <f ca="1">IF(_xll.TM1RPTELISCONSOLIDATED($D$28,$D104),IF(_xll.TM1RPTELLEV($D$28,$D104)&lt;=3,_xll.TM1RPTELLEV($D$28,$D104),"D"),"N")</f>
        <v>N</v>
      </c>
      <c r="B104" t="str">
        <f ca="1">_xll.DBRA(Server&amp;"Management_organization",$D104,$B$27)</f>
        <v>L</v>
      </c>
      <c r="C104">
        <v>1</v>
      </c>
      <c r="D104" s="2" t="s">
        <v>276</v>
      </c>
      <c r="E104" s="26"/>
      <c r="F104" s="26"/>
      <c r="G104" s="16">
        <f ca="1">_xll.DBRW($D$4,$E$7,$E$8,$E$9,$E$10,$E$12,$D104,$E$6,G$18,G$17)</f>
        <v>5.1441457300000142</v>
      </c>
      <c r="H104" s="16">
        <f ca="1">_xll.DBRW($D$4,$E$7,$E$8,$E$9,$E$10,$E$12,$D104,$E$6,H$18,H$17)</f>
        <v>-0.67837975000000017</v>
      </c>
      <c r="I104" s="16">
        <f ca="1">_xll.DBRW($D$4,$E$7,$E$8,$E$9,$E$10,$E$12,$D104,$E$6,I$18,I$17)</f>
        <v>0</v>
      </c>
      <c r="J104" s="26">
        <f ca="1">_xll.DBRW($D$4,$E$7,$E$8,$E$9,$E$10,$E$12,$D104,$E$6,J$18,J$17)</f>
        <v>-6.7040000000000144E-5</v>
      </c>
      <c r="K104" s="26">
        <f ca="1">_xll.DBRW($D$4,$E$7,$E$8,$E$9,$E$10,$E$12,$D104,$E$6,K$18,K$17)</f>
        <v>0</v>
      </c>
      <c r="L104" s="26">
        <f ca="1">_xll.DBRW($D$4,$E$7,$E$8,$E$9,$E$10,$E$12,$D104,$E$6,L$18,L$17)</f>
        <v>0</v>
      </c>
      <c r="M104" s="26">
        <f ca="1">_xll.DBRW($D$4,$E$7,$E$8,$E$9,$E$10,$E$12,$D104,$E$6,M$18,M$17)</f>
        <v>0</v>
      </c>
      <c r="N104" s="16">
        <f ca="1">_xll.DBRW($D$4,$E$7,$E$8,$E$9,$E$10,$E$12,$D104,$E$6,N$18,N$17)</f>
        <v>5.8225925200000148</v>
      </c>
      <c r="O104" s="16">
        <f ca="1">_xll.DBRW($D$4,$E$7,$E$8,$E$9,$E$10,$E$12,$D104,$E$6,O$18,O$17)</f>
        <v>29.593086999999997</v>
      </c>
      <c r="P104" s="74">
        <f ca="1">_xll.DBRW($D$4,$E$7,$E$8,$E$9,$E$10,$E$12,$D104,$E$6,P$18,P$17)</f>
        <v>-11.233581749999992</v>
      </c>
      <c r="Q104" s="16">
        <f ca="1">_xll.DBRW($D$4,$E$7,$E$8,$E$9,$E$10,$E$12,$D104,$E$6,Q$18,Q$17)</f>
        <v>0.37960155187594974</v>
      </c>
      <c r="R104" s="16"/>
      <c r="S104" s="16"/>
      <c r="T104" s="16"/>
      <c r="U104" s="16"/>
      <c r="V104" s="16">
        <f ca="1">_xll.DBRW($D$4,$E$7,$E$8,$E$9,$E$10,$E$12,$D104,$E$6,V$18,V$17)</f>
        <v>-4.14934387</v>
      </c>
      <c r="W104" s="16">
        <f ca="1">_xll.DBRW($D$4,$E$7,$E$8,$E$9,$E$10,$E$12,$D104,$E$6,W$18,W$17)</f>
        <v>0.14021328258184085</v>
      </c>
      <c r="X104" s="16"/>
      <c r="Y104" s="16"/>
      <c r="Z104" s="16"/>
      <c r="AA104" s="16"/>
      <c r="AB104" s="16">
        <f ca="1">_xll.DBRW($D$4,$E$7,$E$8,$E$9,$E$10,$E$12,$D104,$E$6,AB$18,AB$17)</f>
        <v>-3.4307168499999992</v>
      </c>
      <c r="AC104" s="16">
        <f ca="1">_xll.DBRW($D$4,$E$7,$E$8,$E$9,$E$10,$E$12,$D104,$E$6,AC$18,AC$17)</f>
        <v>0.115929671345203</v>
      </c>
      <c r="AD104" s="16"/>
      <c r="AE104" s="16"/>
      <c r="AF104" s="16"/>
      <c r="AG104" s="16"/>
      <c r="AH104" s="16">
        <f ca="1">_xll.DBRW($D$4,$E$7,$E$8,$E$9,$E$10,$E$12,$D104,$E$6,AH$18,AH$17)</f>
        <v>-1.5621880000000074E-2</v>
      </c>
      <c r="AI104" s="16">
        <f ca="1">_xll.DBRW($D$4,$E$7,$E$8,$E$9,$E$10,$E$12,$D104,$E$6,AI$18,AI$17)</f>
        <v>5.2788950338300545E-4</v>
      </c>
      <c r="AJ104" s="16"/>
      <c r="AK104" s="16"/>
      <c r="AL104" s="16"/>
      <c r="AM104" s="16"/>
      <c r="AN104" s="16">
        <f ca="1">_xll.DBRW($D$4,$E$7,$E$8,$E$9,$E$10,$E$12,$D104,$E$6,AN$18,AN$17)</f>
        <v>-4.9412301299999974</v>
      </c>
      <c r="AO104" s="16">
        <f ca="1">_xll.DBRW($D$4,$E$7,$E$8,$E$9,$E$10,$E$12,$D104,$E$6,AO$18,AO$17)</f>
        <v>0.16697244630139457</v>
      </c>
      <c r="AP104" s="16"/>
      <c r="AQ104" s="16"/>
      <c r="AR104" s="16"/>
      <c r="AS104" s="16"/>
      <c r="AT104" s="16">
        <f ca="1">_xll.DBRW($D$4,$E$7,$E$8,$E$9,$E$10,$E$12,$D104,$E$6,AT$18,AT$17)</f>
        <v>0.51680396431873477</v>
      </c>
      <c r="AU104" s="16">
        <f ca="1">_xll.DBRW($D$4,$E$7,$E$8,$E$9,$E$10,$E$12,$D104,$E$6,AU$18,AU$17)</f>
        <v>11.497095</v>
      </c>
      <c r="AV104" s="16">
        <f ca="1">_xll.DBRW($D$4,$E$7,$E$8,$E$9,$E$10,$E$12,$D104,$E$6,AV$18,AV$17)</f>
        <v>11.497095</v>
      </c>
      <c r="AW104" s="16">
        <f ca="1">_xll.DBRW($D$4,$E$7,$E$8,$E$9,$E$10,$E$12,$D104,$E$6,AW$18,AW$17)</f>
        <v>11.497095</v>
      </c>
      <c r="AX104" s="16">
        <f ca="1">_xll.DBRW($D$4,$E$7,$E$8,$E$9,$E$10,$E$12,$D104,$E$6,AX$18,AX$17)</f>
        <v>3.6010354218835139</v>
      </c>
      <c r="AY104" s="16">
        <f ca="1">_xll.DBRW($D$4,$E$7,$E$8,$E$9,$E$10,$E$12,$D104,$E$6,AY$18,AY$17)</f>
        <v>11.497095</v>
      </c>
      <c r="AZ104" s="16">
        <f ca="1">_xll.DBRW($D$4,$E$7,$E$8,$E$9,$E$10,$E$12,$D104,$E$6,AZ$18,AZ$17)</f>
        <v>7.4418289999999994</v>
      </c>
      <c r="BA104" s="16">
        <f ca="1">_xll.DBRW($D$4,$E$7,$E$8,$E$9,$E$10,$E$12,$D104,$E$6,BA$18,BA$17)</f>
        <v>11.497095</v>
      </c>
      <c r="BB104" s="16">
        <f ca="1">_xll.DBRW($D$4,$E$7,$E$8,$E$9,$E$10,$E$12,$D104,$E$6,BB$18,BB$17)</f>
        <v>11.497095</v>
      </c>
      <c r="BC104" s="16">
        <f ca="1">_xll.DBRW($D$4,$E$7,$E$8,$E$9,$E$10,$E$12,$D104,$E$6,BC$18,BC$17)</f>
        <v>11.497095</v>
      </c>
      <c r="BD104" s="16">
        <f ca="1">_xll.DBRW($D$4,$E$7,$E$8,$E$9,$E$10,$E$12,$D104,$E$6,BD$18,BD$17)</f>
        <v>1.4290440483023383</v>
      </c>
      <c r="BE104" s="16">
        <f ca="1">_xll.DBRW($D$4,$E$7,$E$8,$E$9,$E$10,$E$12,$D104,$E$6,BE$18,BE$17)</f>
        <v>-1.6538191101725961</v>
      </c>
      <c r="BF104" s="16">
        <f ca="1">_xll.DBRW($D$4,$E$7,$E$8,$E$9,$E$10,$E$12,$D104,$E$6,BF$18,BF$17)</f>
        <v>0</v>
      </c>
      <c r="BG104" s="26">
        <f ca="1">_xll.DBRW($D$4,$E$7,$E$8,$E$9,$E$10,$E$12,$D104,$E$6,BG$18,BG$17)</f>
        <v>0</v>
      </c>
      <c r="BH104" s="26">
        <f ca="1">_xll.DBRW($D$4,$E$7,$E$8,$E$9,$E$10,$E$12,$D104,$E$6,BH$18,BH$17)</f>
        <v>0</v>
      </c>
      <c r="BI104" s="26">
        <f ca="1">_xll.DBRW($D$4,$E$7,$E$8,$E$9,$E$10,$E$12,$D104,$E$6,BI$18,BI$17)</f>
        <v>0</v>
      </c>
      <c r="BJ104" s="26">
        <f ca="1">_xll.DBRW($D$4,$E$7,$E$8,$E$9,$E$10,$E$12,$D104,$E$6,BJ$18,BJ$17)</f>
        <v>0</v>
      </c>
      <c r="BK104" s="16">
        <f ca="1">_xll.DBRW($D$4,$E$7,$E$8,$E$9,$E$10,$E$12,$D104,$E$6,BK$18,BK$17)</f>
        <v>3.0828631584749342</v>
      </c>
      <c r="BL104" s="16">
        <f ca="1">_xll.DBRW($D$4,$E$7,$E$8,$E$9,$E$10,$E$12,$D104,$E$6,BL$18,BL$17)</f>
        <v>32.996006981066515</v>
      </c>
      <c r="BM104" s="16">
        <f ca="1">_xll.DBRW($D$4,$E$7,$E$8,$E$9,$E$10,$E$12,$D104,$E$6,BM$18,BM$17)</f>
        <v>-12.623607035517754</v>
      </c>
      <c r="BN104" s="16">
        <f ca="1">_xll.DBRW($D$4,$E$7,$E$8,$E$9,$E$10,$E$12,$D104,$E$6,BN$18,BN$17)</f>
        <v>0.38257983891085134</v>
      </c>
      <c r="BO104" s="16"/>
      <c r="BP104" s="16"/>
      <c r="BQ104" s="16"/>
      <c r="BR104" s="16"/>
      <c r="BS104" s="16">
        <f ca="1">_xll.DBRW($D$4,$E$7,$E$8,$E$9,$E$10,$E$12,$D104,$E$6,BS$18,BS$17)</f>
        <v>-3.5882021843814265</v>
      </c>
      <c r="BT104" s="16">
        <f ca="1">_xll.DBRW($D$4,$E$7,$E$8,$E$9,$E$10,$E$12,$D104,$E$6,BT$18,BT$17)</f>
        <v>0.108746557922611</v>
      </c>
      <c r="BU104" s="16"/>
      <c r="BV104" s="16"/>
      <c r="BW104" s="16"/>
      <c r="BX104" s="16"/>
      <c r="BY104" s="16">
        <f ca="1">_xll.DBRW($D$4,$E$7,$E$8,$E$9,$E$10,$E$12,$D104,$E$6,BY$18,BY$17)</f>
        <v>-3.5416590408925726</v>
      </c>
      <c r="BZ104" s="16">
        <f ca="1">_xll.DBRW($D$4,$E$7,$E$8,$E$9,$E$10,$E$12,$D104,$E$6,BZ$18,BZ$17)</f>
        <v>0.10733598895541563</v>
      </c>
      <c r="CA104" s="16"/>
      <c r="CB104" s="16"/>
      <c r="CC104" s="16"/>
      <c r="CD104" s="16"/>
      <c r="CE104" s="16">
        <f ca="1">_xll.DBRW($D$4,$E$7,$E$8,$E$9,$E$10,$E$12,$D104,$E$6,CE$18,CE$17)</f>
        <v>-4.4615780766333328</v>
      </c>
      <c r="CF104" s="16">
        <f ca="1">_xll.DBRW($D$4,$E$7,$E$8,$E$9,$E$10,$E$12,$D104,$E$6,CF$18,CF$17)</f>
        <v>0.13521569683245119</v>
      </c>
      <c r="CG104" s="16"/>
      <c r="CH104" s="16"/>
      <c r="CI104" s="16"/>
      <c r="CJ104" s="16"/>
      <c r="CK104" s="16">
        <f ca="1">_xll.DBRW($D$4,$E$7,$E$8,$E$9,$E$10,$E$12,$D104,$E$6,CK$18,CK$17)</f>
        <v>-5.6980974851664943</v>
      </c>
      <c r="CL104" s="16">
        <f ca="1">_xll.DBRW($D$4,$E$7,$E$8,$E$9,$E$10,$E$12,$D104,$E$6,CL$18,CL$17)</f>
        <v>0.17269051641418695</v>
      </c>
      <c r="CM104" s="16"/>
      <c r="CN104" s="16"/>
      <c r="CO104" s="16"/>
      <c r="CP104" s="16"/>
      <c r="CQ104" s="16">
        <f ca="1">_xll.DBRW($D$4,$E$7,$E$8,$E$9,$E$10,$E$12,$D104,$E$6,CQ$18,CQ$17)</f>
        <v>0.60205741178876104</v>
      </c>
      <c r="CR104" s="16">
        <f ca="1">_xll.DBRW($D$4,$E$7,$E$8,$E$9,$E$10,$E$12,$D104,$E$6,CR$18,CR$17)</f>
        <v>13.145132499999999</v>
      </c>
      <c r="CS104" s="16">
        <f ca="1">_xll.DBRW($D$4,$E$7,$E$8,$E$9,$E$10,$E$12,$D104,$E$6,CS$18,CS$17)</f>
        <v>13.145132499999999</v>
      </c>
      <c r="CT104" s="16">
        <f ca="1">_xll.DBRW($D$4,$E$7,$E$8,$E$9,$E$10,$E$12,$D104,$E$6,CT$18,CT$17)</f>
        <v>13.145132499999999</v>
      </c>
      <c r="CU104" s="16">
        <f ca="1">_xll.DBRW($D$4,$E$7,$E$8,$E$9,$E$10,$E$12,$D104,$E$6,CU$18,CU$17)</f>
        <v>4.2872620106247536</v>
      </c>
      <c r="CV104" s="16">
        <f ca="1">_xll.DBRW($D$4,$E$7,$E$8,$E$9,$E$10,$E$12,$D104,$E$6,CV$18,CV$17)</f>
        <v>13.145132499999999</v>
      </c>
      <c r="CW104" s="16">
        <f ca="1">_xll.DBRW($D$4,$E$7,$E$8,$E$9,$E$10,$E$12,$D104,$E$6,CW$18,CW$17)</f>
        <v>8.7962498049445212</v>
      </c>
      <c r="CX104" s="16">
        <f ca="1">_xll.DBRW($D$4,$E$7,$E$8,$E$9,$E$10,$E$12,$D104,$E$6,CX$18,CX$17)</f>
        <v>13.145132499999999</v>
      </c>
      <c r="CY104" s="16">
        <f ca="1">_xll.DBRW($D$4,$E$7,$E$8,$E$9,$E$10,$E$12,$D104,$E$6,CY$18,CY$17)</f>
        <v>13.145132499999999</v>
      </c>
      <c r="CZ104" s="16">
        <f ca="1">_xll.DBRW($D$4,$E$7,$E$8,$E$9,$E$10,$E$12,$D104,$E$6,CZ$18,CZ$17)</f>
        <v>13.145132499999999</v>
      </c>
      <c r="DA104" s="26">
        <f t="shared" ca="1" si="108"/>
        <v>3.7151016816976759</v>
      </c>
      <c r="DB104" s="26">
        <f t="shared" ca="1" si="109"/>
        <v>0.97543936017259592</v>
      </c>
      <c r="DC104" s="26">
        <f t="shared" ca="1" si="110"/>
        <v>0</v>
      </c>
      <c r="DD104" s="26">
        <f t="shared" ca="1" si="111"/>
        <v>-6.7040000000000144E-5</v>
      </c>
      <c r="DE104" s="26">
        <f t="shared" ca="1" si="112"/>
        <v>0</v>
      </c>
      <c r="DF104" s="26">
        <f t="shared" ca="1" si="113"/>
        <v>0</v>
      </c>
      <c r="DG104" s="26">
        <f t="shared" ca="1" si="114"/>
        <v>0</v>
      </c>
      <c r="DH104" s="26">
        <f t="shared" ca="1" si="115"/>
        <v>2.7397293615250806</v>
      </c>
      <c r="DI104" s="26">
        <f t="shared" ca="1" si="116"/>
        <v>-3.4029199810665176</v>
      </c>
      <c r="DJ104" s="26">
        <f t="shared" ca="1" si="117"/>
        <v>1.3900252855177619</v>
      </c>
      <c r="DK104" s="26">
        <f t="shared" ca="1" si="118"/>
        <v>-2.9782870349016055E-3</v>
      </c>
      <c r="DL104" s="26"/>
      <c r="DM104" s="26"/>
      <c r="DN104" s="26"/>
      <c r="DO104" s="26"/>
      <c r="DP104" s="26">
        <f t="shared" ca="1" si="119"/>
        <v>-0.56114168561857358</v>
      </c>
      <c r="DQ104" s="26">
        <f t="shared" ca="1" si="120"/>
        <v>3.1466724659229853E-2</v>
      </c>
      <c r="DR104" s="26"/>
      <c r="DS104" s="26"/>
      <c r="DT104" s="26"/>
      <c r="DU104" s="26"/>
      <c r="DV104" s="26">
        <f t="shared" ca="1" si="121"/>
        <v>0.1109421908925734</v>
      </c>
      <c r="DW104" s="26">
        <f t="shared" ca="1" si="122"/>
        <v>8.5936823897873743E-3</v>
      </c>
      <c r="DX104" s="26"/>
      <c r="DY104" s="26"/>
      <c r="DZ104" s="26"/>
      <c r="EA104" s="26"/>
      <c r="EB104" s="26">
        <f t="shared" ca="1" si="123"/>
        <v>4.4459561966333325</v>
      </c>
      <c r="EC104" s="26">
        <f t="shared" ca="1" si="124"/>
        <v>-0.13468780732906818</v>
      </c>
      <c r="ED104" s="26"/>
      <c r="EE104" s="26"/>
      <c r="EF104" s="26"/>
      <c r="EG104" s="26"/>
      <c r="EH104" s="26">
        <f t="shared" ca="1" si="125"/>
        <v>0.75686735516649684</v>
      </c>
      <c r="EI104" s="29">
        <f t="shared" ca="1" si="126"/>
        <v>-5.7180701127923783E-3</v>
      </c>
      <c r="EJ104" s="29"/>
      <c r="EK104" s="29"/>
      <c r="EL104" s="29"/>
      <c r="EM104" s="29"/>
      <c r="EN104" s="93"/>
      <c r="EO104" s="29"/>
      <c r="EP104" s="29"/>
      <c r="EQ104" s="29"/>
      <c r="ER104" s="29"/>
      <c r="ES104" s="29"/>
      <c r="ET104" s="29"/>
      <c r="EU104" s="93"/>
      <c r="EV104" s="29"/>
      <c r="EW104" s="29"/>
      <c r="EX104" s="29"/>
      <c r="EY104" s="29"/>
      <c r="EZ104" s="29"/>
      <c r="FA104" s="29"/>
      <c r="FB104" s="93"/>
      <c r="FC104" s="29"/>
      <c r="FD104" s="29"/>
      <c r="FE104" s="29"/>
      <c r="FF104" s="29"/>
      <c r="FG104" s="29"/>
      <c r="FH104" s="29"/>
      <c r="FI104" s="93"/>
      <c r="FJ104" s="29"/>
      <c r="FK104" s="29"/>
      <c r="FL104" s="29"/>
      <c r="FM104" s="29"/>
      <c r="FN104" s="29"/>
      <c r="FO104" s="29"/>
      <c r="FP104" s="93"/>
      <c r="FQ104" s="29"/>
      <c r="FR104" s="29"/>
      <c r="FS104" s="29"/>
      <c r="FT104" s="29"/>
      <c r="FU104" s="29"/>
      <c r="FV104" s="29"/>
    </row>
    <row r="105" spans="1:178" x14ac:dyDescent="0.25">
      <c r="A105" t="str">
        <f ca="1">IF(_xll.TM1RPTELISCONSOLIDATED($D$28,$D105),IF(_xll.TM1RPTELLEV($D$28,$D105)&lt;=3,_xll.TM1RPTELLEV($D$28,$D105),"D"),"N")</f>
        <v>N</v>
      </c>
      <c r="B105" t="str">
        <f ca="1">_xll.DBRA(Server&amp;"Management_organization",$D105,$B$27)</f>
        <v>L</v>
      </c>
      <c r="C105">
        <v>1</v>
      </c>
      <c r="D105" s="2" t="s">
        <v>277</v>
      </c>
      <c r="E105" s="26"/>
      <c r="F105" s="26"/>
      <c r="G105" s="16">
        <f ca="1">_xll.DBRW($D$4,$E$7,$E$8,$E$9,$E$10,$E$12,$D105,$E$6,G$18,G$17)</f>
        <v>0.55098962999999934</v>
      </c>
      <c r="H105" s="16">
        <f ca="1">_xll.DBRW($D$4,$E$7,$E$8,$E$9,$E$10,$E$12,$D105,$E$6,H$18,H$17)</f>
        <v>-0.34912297999999997</v>
      </c>
      <c r="I105" s="16">
        <f ca="1">_xll.DBRW($D$4,$E$7,$E$8,$E$9,$E$10,$E$12,$D105,$E$6,I$18,I$17)</f>
        <v>0</v>
      </c>
      <c r="J105" s="26">
        <f ca="1">_xll.DBRW($D$4,$E$7,$E$8,$E$9,$E$10,$E$12,$D105,$E$6,J$18,J$17)</f>
        <v>0</v>
      </c>
      <c r="K105" s="26">
        <f ca="1">_xll.DBRW($D$4,$E$7,$E$8,$E$9,$E$10,$E$12,$D105,$E$6,K$18,K$17)</f>
        <v>-1.119357E-2</v>
      </c>
      <c r="L105" s="26">
        <f ca="1">_xll.DBRW($D$4,$E$7,$E$8,$E$9,$E$10,$E$12,$D105,$E$6,L$18,L$17)</f>
        <v>0</v>
      </c>
      <c r="M105" s="26">
        <f ca="1">_xll.DBRW($D$4,$E$7,$E$8,$E$9,$E$10,$E$12,$D105,$E$6,M$18,M$17)</f>
        <v>0</v>
      </c>
      <c r="N105" s="16">
        <f ca="1">_xll.DBRW($D$4,$E$7,$E$8,$E$9,$E$10,$E$12,$D105,$E$6,N$18,N$17)</f>
        <v>0.91130617999999941</v>
      </c>
      <c r="O105" s="16">
        <f ca="1">_xll.DBRW($D$4,$E$7,$E$8,$E$9,$E$10,$E$12,$D105,$E$6,O$18,O$17)</f>
        <v>10.478555759999999</v>
      </c>
      <c r="P105" s="74">
        <f ca="1">_xll.DBRW($D$4,$E$7,$E$8,$E$9,$E$10,$E$12,$D105,$E$6,P$18,P$17)</f>
        <v>-4.0281498200000003</v>
      </c>
      <c r="Q105" s="16">
        <f ca="1">_xll.DBRW($D$4,$E$7,$E$8,$E$9,$E$10,$E$12,$D105,$E$6,Q$18,Q$17)</f>
        <v>0.38441841721897757</v>
      </c>
      <c r="R105" s="16"/>
      <c r="S105" s="16"/>
      <c r="T105" s="16"/>
      <c r="U105" s="16"/>
      <c r="V105" s="16">
        <f ca="1">_xll.DBRW($D$4,$E$7,$E$8,$E$9,$E$10,$E$12,$D105,$E$6,V$18,V$17)</f>
        <v>-1.5065611599999997</v>
      </c>
      <c r="W105" s="16">
        <f ca="1">_xll.DBRW($D$4,$E$7,$E$8,$E$9,$E$10,$E$12,$D105,$E$6,W$18,W$17)</f>
        <v>0.1437756494793897</v>
      </c>
      <c r="X105" s="16"/>
      <c r="Y105" s="16"/>
      <c r="Z105" s="16"/>
      <c r="AA105" s="16"/>
      <c r="AB105" s="16">
        <f ca="1">_xll.DBRW($D$4,$E$7,$E$8,$E$9,$E$10,$E$12,$D105,$E$6,AB$18,AB$17)</f>
        <v>-1.2681037199999998</v>
      </c>
      <c r="AC105" s="16">
        <f ca="1">_xll.DBRW($D$4,$E$7,$E$8,$E$9,$E$10,$E$12,$D105,$E$6,AC$18,AC$17)</f>
        <v>0.12101894087740198</v>
      </c>
      <c r="AD105" s="16"/>
      <c r="AE105" s="16"/>
      <c r="AF105" s="16"/>
      <c r="AG105" s="16"/>
      <c r="AH105" s="16">
        <f ca="1">_xll.DBRW($D$4,$E$7,$E$8,$E$9,$E$10,$E$12,$D105,$E$6,AH$18,AH$17)</f>
        <v>-4.5415589999999964E-2</v>
      </c>
      <c r="AI105" s="16">
        <f ca="1">_xll.DBRW($D$4,$E$7,$E$8,$E$9,$E$10,$E$12,$D105,$E$6,AI$18,AI$17)</f>
        <v>4.334145949136026E-3</v>
      </c>
      <c r="AJ105" s="16"/>
      <c r="AK105" s="16"/>
      <c r="AL105" s="16"/>
      <c r="AM105" s="16"/>
      <c r="AN105" s="16">
        <f ca="1">_xll.DBRW($D$4,$E$7,$E$8,$E$9,$E$10,$E$12,$D105,$E$6,AN$18,AN$17)</f>
        <v>-2.719019289999999</v>
      </c>
      <c r="AO105" s="16">
        <f ca="1">_xll.DBRW($D$4,$E$7,$E$8,$E$9,$E$10,$E$12,$D105,$E$6,AO$18,AO$17)</f>
        <v>0.25948416482921871</v>
      </c>
      <c r="AP105" s="16"/>
      <c r="AQ105" s="16"/>
      <c r="AR105" s="16"/>
      <c r="AS105" s="16"/>
      <c r="AT105" s="16">
        <f ca="1">_xll.DBRW($D$4,$E$7,$E$8,$E$9,$E$10,$E$12,$D105,$E$6,AT$18,AT$17)</f>
        <v>0.19871680000000003</v>
      </c>
      <c r="AU105" s="16">
        <f ca="1">_xll.DBRW($D$4,$E$7,$E$8,$E$9,$E$10,$E$12,$D105,$E$6,AU$18,AU$17)</f>
        <v>4.3022369999999999</v>
      </c>
      <c r="AV105" s="16">
        <f ca="1">_xll.DBRW($D$4,$E$7,$E$8,$E$9,$E$10,$E$12,$D105,$E$6,AV$18,AV$17)</f>
        <v>4.3022369999999999</v>
      </c>
      <c r="AW105" s="16">
        <f ca="1">_xll.DBRW($D$4,$E$7,$E$8,$E$9,$E$10,$E$12,$D105,$E$6,AW$18,AW$17)</f>
        <v>4.3022369999999999</v>
      </c>
      <c r="AX105" s="16">
        <f ca="1">_xll.DBRW($D$4,$E$7,$E$8,$E$9,$E$10,$E$12,$D105,$E$6,AX$18,AX$17)</f>
        <v>1.353621</v>
      </c>
      <c r="AY105" s="16">
        <f ca="1">_xll.DBRW($D$4,$E$7,$E$8,$E$9,$E$10,$E$12,$D105,$E$6,AY$18,AY$17)</f>
        <v>4.3022369999999999</v>
      </c>
      <c r="AZ105" s="16">
        <f ca="1">_xll.DBRW($D$4,$E$7,$E$8,$E$9,$E$10,$E$12,$D105,$E$6,AZ$18,AZ$17)</f>
        <v>2.3052163199999995</v>
      </c>
      <c r="BA105" s="16">
        <f ca="1">_xll.DBRW($D$4,$E$7,$E$8,$E$9,$E$10,$E$12,$D105,$E$6,BA$18,BA$17)</f>
        <v>4.3022369999999999</v>
      </c>
      <c r="BB105" s="16">
        <f ca="1">_xll.DBRW($D$4,$E$7,$E$8,$E$9,$E$10,$E$12,$D105,$E$6,BB$18,BB$17)</f>
        <v>4.3022369999999999</v>
      </c>
      <c r="BC105" s="16">
        <f ca="1">_xll.DBRW($D$4,$E$7,$E$8,$E$9,$E$10,$E$12,$D105,$E$6,BC$18,BC$17)</f>
        <v>4.3022369999999999</v>
      </c>
      <c r="BD105" s="16">
        <f ca="1">_xll.DBRW($D$4,$E$7,$E$8,$E$9,$E$10,$E$12,$D105,$E$6,BD$18,BD$17)</f>
        <v>0.8965791787390418</v>
      </c>
      <c r="BE105" s="16">
        <f ca="1">_xll.DBRW($D$4,$E$7,$E$8,$E$9,$E$10,$E$12,$D105,$E$6,BE$18,BE$17)</f>
        <v>-0.6756000515135181</v>
      </c>
      <c r="BF105" s="16">
        <f ca="1">_xll.DBRW($D$4,$E$7,$E$8,$E$9,$E$10,$E$12,$D105,$E$6,BF$18,BF$17)</f>
        <v>0</v>
      </c>
      <c r="BG105" s="26">
        <f ca="1">_xll.DBRW($D$4,$E$7,$E$8,$E$9,$E$10,$E$12,$D105,$E$6,BG$18,BG$17)</f>
        <v>0</v>
      </c>
      <c r="BH105" s="26">
        <f ca="1">_xll.DBRW($D$4,$E$7,$E$8,$E$9,$E$10,$E$12,$D105,$E$6,BH$18,BH$17)</f>
        <v>0</v>
      </c>
      <c r="BI105" s="26">
        <f ca="1">_xll.DBRW($D$4,$E$7,$E$8,$E$9,$E$10,$E$12,$D105,$E$6,BI$18,BI$17)</f>
        <v>0</v>
      </c>
      <c r="BJ105" s="26">
        <f ca="1">_xll.DBRW($D$4,$E$7,$E$8,$E$9,$E$10,$E$12,$D105,$E$6,BJ$18,BJ$17)</f>
        <v>0</v>
      </c>
      <c r="BK105" s="16">
        <f ca="1">_xll.DBRW($D$4,$E$7,$E$8,$E$9,$E$10,$E$12,$D105,$E$6,BK$18,BK$17)</f>
        <v>1.5721792302525599</v>
      </c>
      <c r="BL105" s="16">
        <f ca="1">_xll.DBRW($D$4,$E$7,$E$8,$E$9,$E$10,$E$12,$D105,$E$6,BL$18,BL$17)</f>
        <v>12.202692530964415</v>
      </c>
      <c r="BM105" s="16">
        <f ca="1">_xll.DBRW($D$4,$E$7,$E$8,$E$9,$E$10,$E$12,$D105,$E$6,BM$18,BM$17)</f>
        <v>-4.6922299515155812</v>
      </c>
      <c r="BN105" s="16">
        <f ca="1">_xll.DBRW($D$4,$E$7,$E$8,$E$9,$E$10,$E$12,$D105,$E$6,BN$18,BN$17)</f>
        <v>0.3845241482245837</v>
      </c>
      <c r="BO105" s="16"/>
      <c r="BP105" s="16"/>
      <c r="BQ105" s="16"/>
      <c r="BR105" s="16"/>
      <c r="BS105" s="16">
        <f ca="1">_xll.DBRW($D$4,$E$7,$E$8,$E$9,$E$10,$E$12,$D105,$E$6,BS$18,BS$17)</f>
        <v>-1.4432779176124206</v>
      </c>
      <c r="BT105" s="16">
        <f ca="1">_xll.DBRW($D$4,$E$7,$E$8,$E$9,$E$10,$E$12,$D105,$E$6,BT$18,BT$17)</f>
        <v>0.11827536537121568</v>
      </c>
      <c r="BU105" s="16"/>
      <c r="BV105" s="16"/>
      <c r="BW105" s="16"/>
      <c r="BX105" s="16"/>
      <c r="BY105" s="16">
        <f ca="1">_xll.DBRW($D$4,$E$7,$E$8,$E$9,$E$10,$E$12,$D105,$E$6,BY$18,BY$17)</f>
        <v>-1.2403113277771909</v>
      </c>
      <c r="BZ105" s="16">
        <f ca="1">_xll.DBRW($D$4,$E$7,$E$8,$E$9,$E$10,$E$12,$D105,$E$6,BZ$18,BZ$17)</f>
        <v>0.1016424305234187</v>
      </c>
      <c r="CA105" s="16"/>
      <c r="CB105" s="16"/>
      <c r="CC105" s="16"/>
      <c r="CD105" s="16"/>
      <c r="CE105" s="16">
        <f ca="1">_xll.DBRW($D$4,$E$7,$E$8,$E$9,$E$10,$E$12,$D105,$E$6,CE$18,CE$17)</f>
        <v>-0.6854615433333332</v>
      </c>
      <c r="CF105" s="16">
        <f ca="1">_xll.DBRW($D$4,$E$7,$E$8,$E$9,$E$10,$E$12,$D105,$E$6,CF$18,CF$17)</f>
        <v>5.6172975070376469E-2</v>
      </c>
      <c r="CG105" s="16"/>
      <c r="CH105" s="16"/>
      <c r="CI105" s="16"/>
      <c r="CJ105" s="16"/>
      <c r="CK105" s="16">
        <f ca="1">_xll.DBRW($D$4,$E$7,$E$8,$E$9,$E$10,$E$12,$D105,$E$6,CK$18,CK$17)</f>
        <v>-2.5692325604733295</v>
      </c>
      <c r="CL105" s="16">
        <f ca="1">_xll.DBRW($D$4,$E$7,$E$8,$E$9,$E$10,$E$12,$D105,$E$6,CL$18,CL$17)</f>
        <v>0.21054636539877444</v>
      </c>
      <c r="CM105" s="16"/>
      <c r="CN105" s="16"/>
      <c r="CO105" s="16"/>
      <c r="CP105" s="16"/>
      <c r="CQ105" s="16">
        <f ca="1">_xll.DBRW($D$4,$E$7,$E$8,$E$9,$E$10,$E$12,$D105,$E$6,CQ$18,CQ$17)</f>
        <v>0.21197579662644911</v>
      </c>
      <c r="CR105" s="16">
        <f ca="1">_xll.DBRW($D$4,$E$7,$E$8,$E$9,$E$10,$E$12,$D105,$E$6,CR$18,CR$17)</f>
        <v>4.866068980844199</v>
      </c>
      <c r="CS105" s="16">
        <f ca="1">_xll.DBRW($D$4,$E$7,$E$8,$E$9,$E$10,$E$12,$D105,$E$6,CS$18,CS$17)</f>
        <v>4.866068980844199</v>
      </c>
      <c r="CT105" s="16">
        <f ca="1">_xll.DBRW($D$4,$E$7,$E$8,$E$9,$E$10,$E$12,$D105,$E$6,CT$18,CT$17)</f>
        <v>4.866068980844199</v>
      </c>
      <c r="CU105" s="16">
        <f ca="1">_xll.DBRW($D$4,$E$7,$E$8,$E$9,$E$10,$E$12,$D105,$E$6,CU$18,CU$17)</f>
        <v>1.4904587029862277</v>
      </c>
      <c r="CV105" s="16">
        <f ca="1">_xll.DBRW($D$4,$E$7,$E$8,$E$9,$E$10,$E$12,$D105,$E$6,CV$18,CV$17)</f>
        <v>4.866068980844199</v>
      </c>
      <c r="CW105" s="16">
        <f ca="1">_xll.DBRW($D$4,$E$7,$E$8,$E$9,$E$10,$E$12,$D105,$E$6,CW$18,CW$17)</f>
        <v>2.8370577191655695</v>
      </c>
      <c r="CX105" s="16">
        <f ca="1">_xll.DBRW($D$4,$E$7,$E$8,$E$9,$E$10,$E$12,$D105,$E$6,CX$18,CX$17)</f>
        <v>4.866068980844199</v>
      </c>
      <c r="CY105" s="16">
        <f ca="1">_xll.DBRW($D$4,$E$7,$E$8,$E$9,$E$10,$E$12,$D105,$E$6,CY$18,CY$17)</f>
        <v>4.866068980844199</v>
      </c>
      <c r="CZ105" s="16">
        <f ca="1">_xll.DBRW($D$4,$E$7,$E$8,$E$9,$E$10,$E$12,$D105,$E$6,CZ$18,CZ$17)</f>
        <v>4.866068980844199</v>
      </c>
      <c r="DA105" s="26">
        <f t="shared" ca="1" si="108"/>
        <v>-0.34558954873904246</v>
      </c>
      <c r="DB105" s="26">
        <f t="shared" ca="1" si="109"/>
        <v>0.32647707151351812</v>
      </c>
      <c r="DC105" s="26">
        <f t="shared" ca="1" si="110"/>
        <v>0</v>
      </c>
      <c r="DD105" s="26">
        <f t="shared" ca="1" si="111"/>
        <v>0</v>
      </c>
      <c r="DE105" s="26">
        <f t="shared" ca="1" si="112"/>
        <v>-1.119357E-2</v>
      </c>
      <c r="DF105" s="26">
        <f t="shared" ca="1" si="113"/>
        <v>0</v>
      </c>
      <c r="DG105" s="26">
        <f t="shared" ca="1" si="114"/>
        <v>0</v>
      </c>
      <c r="DH105" s="26">
        <f t="shared" ca="1" si="115"/>
        <v>-0.66087305025256049</v>
      </c>
      <c r="DI105" s="26">
        <f t="shared" ca="1" si="116"/>
        <v>-1.7241367709644155</v>
      </c>
      <c r="DJ105" s="26">
        <f t="shared" ca="1" si="117"/>
        <v>0.66408013151558087</v>
      </c>
      <c r="DK105" s="26">
        <f t="shared" ca="1" si="118"/>
        <v>-1.0573100560612447E-4</v>
      </c>
      <c r="DL105" s="26"/>
      <c r="DM105" s="26"/>
      <c r="DN105" s="26"/>
      <c r="DO105" s="26"/>
      <c r="DP105" s="26">
        <f t="shared" ca="1" si="119"/>
        <v>-6.3283242387579097E-2</v>
      </c>
      <c r="DQ105" s="26">
        <f t="shared" ca="1" si="120"/>
        <v>2.5500284108174023E-2</v>
      </c>
      <c r="DR105" s="26"/>
      <c r="DS105" s="26"/>
      <c r="DT105" s="26"/>
      <c r="DU105" s="26"/>
      <c r="DV105" s="26">
        <f t="shared" ca="1" si="121"/>
        <v>-2.7792392222808937E-2</v>
      </c>
      <c r="DW105" s="26">
        <f t="shared" ca="1" si="122"/>
        <v>1.9376510353983273E-2</v>
      </c>
      <c r="DX105" s="26"/>
      <c r="DY105" s="26"/>
      <c r="DZ105" s="26"/>
      <c r="EA105" s="26"/>
      <c r="EB105" s="26">
        <f t="shared" ca="1" si="123"/>
        <v>0.64004595333333325</v>
      </c>
      <c r="EC105" s="26">
        <f t="shared" ca="1" si="124"/>
        <v>-5.1838829121240444E-2</v>
      </c>
      <c r="ED105" s="26"/>
      <c r="EE105" s="26"/>
      <c r="EF105" s="26"/>
      <c r="EG105" s="26"/>
      <c r="EH105" s="26">
        <f t="shared" ca="1" si="125"/>
        <v>-0.14978672952666949</v>
      </c>
      <c r="EI105" s="29">
        <f t="shared" ca="1" si="126"/>
        <v>4.8937799430444268E-2</v>
      </c>
      <c r="EJ105" s="29"/>
      <c r="EK105" s="29"/>
      <c r="EL105" s="29"/>
      <c r="EM105" s="29"/>
      <c r="EN105" s="93"/>
      <c r="EO105" s="29"/>
      <c r="EP105" s="29"/>
      <c r="EQ105" s="29"/>
      <c r="ER105" s="29"/>
      <c r="ES105" s="29"/>
      <c r="ET105" s="29"/>
      <c r="EU105" s="93"/>
      <c r="EV105" s="29"/>
      <c r="EW105" s="29"/>
      <c r="EX105" s="29"/>
      <c r="EY105" s="29"/>
      <c r="EZ105" s="29"/>
      <c r="FA105" s="29"/>
      <c r="FB105" s="93"/>
      <c r="FC105" s="29"/>
      <c r="FD105" s="29"/>
      <c r="FE105" s="29"/>
      <c r="FF105" s="29"/>
      <c r="FG105" s="29"/>
      <c r="FH105" s="29"/>
      <c r="FI105" s="93"/>
      <c r="FJ105" s="29"/>
      <c r="FK105" s="29"/>
      <c r="FL105" s="29"/>
      <c r="FM105" s="29"/>
      <c r="FN105" s="29"/>
      <c r="FO105" s="29"/>
      <c r="FP105" s="93"/>
      <c r="FQ105" s="29"/>
      <c r="FR105" s="29"/>
      <c r="FS105" s="29"/>
      <c r="FT105" s="29"/>
      <c r="FU105" s="29"/>
      <c r="FV105" s="29"/>
    </row>
    <row r="106" spans="1:178" x14ac:dyDescent="0.25">
      <c r="A106" t="str">
        <f ca="1">IF(_xll.TM1RPTELISCONSOLIDATED($D$28,$D106),IF(_xll.TM1RPTELLEV($D$28,$D106)&lt;=3,_xll.TM1RPTELLEV($D$28,$D106),"D"),"N")</f>
        <v>N</v>
      </c>
      <c r="B106" t="str">
        <f ca="1">_xll.DBRA(Server&amp;"Management_organization",$D106,$B$27)</f>
        <v>L</v>
      </c>
      <c r="C106">
        <v>1</v>
      </c>
      <c r="D106" s="2" t="s">
        <v>105</v>
      </c>
      <c r="E106" s="26"/>
      <c r="F106" s="26"/>
      <c r="G106" s="16">
        <f ca="1">_xll.DBRW($D$4,$E$7,$E$8,$E$9,$E$10,$E$12,$D106,$E$6,G$18,G$17)</f>
        <v>-0.43044077000000008</v>
      </c>
      <c r="H106" s="16">
        <f ca="1">_xll.DBRW($D$4,$E$7,$E$8,$E$9,$E$10,$E$12,$D106,$E$6,H$18,H$17)</f>
        <v>-0.93681112</v>
      </c>
      <c r="I106" s="16">
        <f ca="1">_xll.DBRW($D$4,$E$7,$E$8,$E$9,$E$10,$E$12,$D106,$E$6,I$18,I$17)</f>
        <v>0</v>
      </c>
      <c r="J106" s="26">
        <f ca="1">_xll.DBRW($D$4,$E$7,$E$8,$E$9,$E$10,$E$12,$D106,$E$6,J$18,J$17)</f>
        <v>0</v>
      </c>
      <c r="K106" s="26">
        <f ca="1">_xll.DBRW($D$4,$E$7,$E$8,$E$9,$E$10,$E$12,$D106,$E$6,K$18,K$17)</f>
        <v>0</v>
      </c>
      <c r="L106" s="26">
        <f ca="1">_xll.DBRW($D$4,$E$7,$E$8,$E$9,$E$10,$E$12,$D106,$E$6,L$18,L$17)</f>
        <v>0</v>
      </c>
      <c r="M106" s="26">
        <f ca="1">_xll.DBRW($D$4,$E$7,$E$8,$E$9,$E$10,$E$12,$D106,$E$6,M$18,M$17)</f>
        <v>0</v>
      </c>
      <c r="N106" s="16">
        <f ca="1">_xll.DBRW($D$4,$E$7,$E$8,$E$9,$E$10,$E$12,$D106,$E$6,N$18,N$17)</f>
        <v>0.50637034999999986</v>
      </c>
      <c r="O106" s="16">
        <f ca="1">_xll.DBRW($D$4,$E$7,$E$8,$E$9,$E$10,$E$12,$D106,$E$6,O$18,O$17)</f>
        <v>10.195816149999999</v>
      </c>
      <c r="P106" s="74">
        <f ca="1">_xll.DBRW($D$4,$E$7,$E$8,$E$9,$E$10,$E$12,$D106,$E$6,P$18,P$17)</f>
        <v>-4.1294419299999996</v>
      </c>
      <c r="Q106" s="16">
        <f ca="1">_xll.DBRW($D$4,$E$7,$E$8,$E$9,$E$10,$E$12,$D106,$E$6,Q$18,Q$17)</f>
        <v>0.40501337698208689</v>
      </c>
      <c r="R106" s="16"/>
      <c r="S106" s="16"/>
      <c r="T106" s="16"/>
      <c r="U106" s="16"/>
      <c r="V106" s="16">
        <f ca="1">_xll.DBRW($D$4,$E$7,$E$8,$E$9,$E$10,$E$12,$D106,$E$6,V$18,V$17)</f>
        <v>-1.1153375100000003</v>
      </c>
      <c r="W106" s="16">
        <f ca="1">_xll.DBRW($D$4,$E$7,$E$8,$E$9,$E$10,$E$12,$D106,$E$6,W$18,W$17)</f>
        <v>0.10939168513743751</v>
      </c>
      <c r="X106" s="16"/>
      <c r="Y106" s="16"/>
      <c r="Z106" s="16"/>
      <c r="AA106" s="16"/>
      <c r="AB106" s="16">
        <f ca="1">_xll.DBRW($D$4,$E$7,$E$8,$E$9,$E$10,$E$12,$D106,$E$6,AB$18,AB$17)</f>
        <v>-1.2355176600000002</v>
      </c>
      <c r="AC106" s="16">
        <f ca="1">_xll.DBRW($D$4,$E$7,$E$8,$E$9,$E$10,$E$12,$D106,$E$6,AC$18,AC$17)</f>
        <v>0.12117888767541188</v>
      </c>
      <c r="AD106" s="16"/>
      <c r="AE106" s="16"/>
      <c r="AF106" s="16"/>
      <c r="AG106" s="16"/>
      <c r="AH106" s="16">
        <f ca="1">_xll.DBRW($D$4,$E$7,$E$8,$E$9,$E$10,$E$12,$D106,$E$6,AH$18,AH$17)</f>
        <v>-1.4481359199999999</v>
      </c>
      <c r="AI106" s="16">
        <f ca="1">_xll.DBRW($D$4,$E$7,$E$8,$E$9,$E$10,$E$12,$D106,$E$6,AI$18,AI$17)</f>
        <v>0.14203236883591708</v>
      </c>
      <c r="AJ106" s="16"/>
      <c r="AK106" s="16"/>
      <c r="AL106" s="16"/>
      <c r="AM106" s="16"/>
      <c r="AN106" s="16">
        <f ca="1">_xll.DBRW($D$4,$E$7,$E$8,$E$9,$E$10,$E$12,$D106,$E$6,AN$18,AN$17)</f>
        <v>-1.7610127800000002</v>
      </c>
      <c r="AO106" s="16">
        <f ca="1">_xll.DBRW($D$4,$E$7,$E$8,$E$9,$E$10,$E$12,$D106,$E$6,AO$18,AO$17)</f>
        <v>0.1727191579459777</v>
      </c>
      <c r="AP106" s="16"/>
      <c r="AQ106" s="16"/>
      <c r="AR106" s="16"/>
      <c r="AS106" s="16"/>
      <c r="AT106" s="16">
        <f ca="1">_xll.DBRW($D$4,$E$7,$E$8,$E$9,$E$10,$E$12,$D106,$E$6,AT$18,AT$17)</f>
        <v>0.16663368999999997</v>
      </c>
      <c r="AU106" s="16">
        <f ca="1">_xll.DBRW($D$4,$E$7,$E$8,$E$9,$E$10,$E$12,$D106,$E$6,AU$18,AU$17)</f>
        <v>4.204612</v>
      </c>
      <c r="AV106" s="16">
        <f ca="1">_xll.DBRW($D$4,$E$7,$E$8,$E$9,$E$10,$E$12,$D106,$E$6,AV$18,AV$17)</f>
        <v>4.204612</v>
      </c>
      <c r="AW106" s="16">
        <f ca="1">_xll.DBRW($D$4,$E$7,$E$8,$E$9,$E$10,$E$12,$D106,$E$6,AW$18,AW$17)</f>
        <v>4.204612</v>
      </c>
      <c r="AX106" s="16">
        <f ca="1">_xll.DBRW($D$4,$E$7,$E$8,$E$9,$E$10,$E$12,$D106,$E$6,AX$18,AX$17)</f>
        <v>1.3020775899999999</v>
      </c>
      <c r="AY106" s="16">
        <f ca="1">_xll.DBRW($D$4,$E$7,$E$8,$E$9,$E$10,$E$12,$D106,$E$6,AY$18,AY$17)</f>
        <v>4.204612</v>
      </c>
      <c r="AZ106" s="16">
        <f ca="1">_xll.DBRW($D$4,$E$7,$E$8,$E$9,$E$10,$E$12,$D106,$E$6,AZ$18,AZ$17)</f>
        <v>2.8138042699999999</v>
      </c>
      <c r="BA106" s="16">
        <f ca="1">_xll.DBRW($D$4,$E$7,$E$8,$E$9,$E$10,$E$12,$D106,$E$6,BA$18,BA$17)</f>
        <v>4.204612</v>
      </c>
      <c r="BB106" s="16">
        <f ca="1">_xll.DBRW($D$4,$E$7,$E$8,$E$9,$E$10,$E$12,$D106,$E$6,BB$18,BB$17)</f>
        <v>4.204612</v>
      </c>
      <c r="BC106" s="16">
        <f ca="1">_xll.DBRW($D$4,$E$7,$E$8,$E$9,$E$10,$E$12,$D106,$E$6,BC$18,BC$17)</f>
        <v>4.204612</v>
      </c>
      <c r="BD106" s="16">
        <f ca="1">_xll.DBRW($D$4,$E$7,$E$8,$E$9,$E$10,$E$12,$D106,$E$6,BD$18,BD$17)</f>
        <v>-0.25708466717505218</v>
      </c>
      <c r="BE106" s="16">
        <f ca="1">_xll.DBRW($D$4,$E$7,$E$8,$E$9,$E$10,$E$12,$D106,$E$6,BE$18,BE$17)</f>
        <v>-0.98828958249999987</v>
      </c>
      <c r="BF106" s="16">
        <f ca="1">_xll.DBRW($D$4,$E$7,$E$8,$E$9,$E$10,$E$12,$D106,$E$6,BF$18,BF$17)</f>
        <v>0</v>
      </c>
      <c r="BG106" s="26">
        <f ca="1">_xll.DBRW($D$4,$E$7,$E$8,$E$9,$E$10,$E$12,$D106,$E$6,BG$18,BG$17)</f>
        <v>0</v>
      </c>
      <c r="BH106" s="26">
        <f ca="1">_xll.DBRW($D$4,$E$7,$E$8,$E$9,$E$10,$E$12,$D106,$E$6,BH$18,BH$17)</f>
        <v>0</v>
      </c>
      <c r="BI106" s="26">
        <f ca="1">_xll.DBRW($D$4,$E$7,$E$8,$E$9,$E$10,$E$12,$D106,$E$6,BI$18,BI$17)</f>
        <v>0</v>
      </c>
      <c r="BJ106" s="26">
        <f ca="1">_xll.DBRW($D$4,$E$7,$E$8,$E$9,$E$10,$E$12,$D106,$E$6,BJ$18,BJ$17)</f>
        <v>0</v>
      </c>
      <c r="BK106" s="16">
        <f ca="1">_xll.DBRW($D$4,$E$7,$E$8,$E$9,$E$10,$E$12,$D106,$E$6,BK$18,BK$17)</f>
        <v>0.73120491532494769</v>
      </c>
      <c r="BL106" s="16">
        <f ca="1">_xll.DBRW($D$4,$E$7,$E$8,$E$9,$E$10,$E$12,$D106,$E$6,BL$18,BL$17)</f>
        <v>11.152482489166667</v>
      </c>
      <c r="BM106" s="16">
        <f ca="1">_xll.DBRW($D$4,$E$7,$E$8,$E$9,$E$10,$E$12,$D106,$E$6,BM$18,BM$17)</f>
        <v>-4.235425716666664</v>
      </c>
      <c r="BN106" s="16">
        <f ca="1">_xll.DBRW($D$4,$E$7,$E$8,$E$9,$E$10,$E$12,$D106,$E$6,BN$18,BN$17)</f>
        <v>0.37977425391888175</v>
      </c>
      <c r="BO106" s="16"/>
      <c r="BP106" s="16"/>
      <c r="BQ106" s="16"/>
      <c r="BR106" s="16"/>
      <c r="BS106" s="16">
        <f ca="1">_xll.DBRW($D$4,$E$7,$E$8,$E$9,$E$10,$E$12,$D106,$E$6,BS$18,BS$17)</f>
        <v>-0.99510832467641208</v>
      </c>
      <c r="BT106" s="16">
        <f ca="1">_xll.DBRW($D$4,$E$7,$E$8,$E$9,$E$10,$E$12,$D106,$E$6,BT$18,BT$17)</f>
        <v>8.9227517339125484E-2</v>
      </c>
      <c r="BU106" s="16"/>
      <c r="BV106" s="16"/>
      <c r="BW106" s="16"/>
      <c r="BX106" s="16"/>
      <c r="BY106" s="16">
        <f ca="1">_xll.DBRW($D$4,$E$7,$E$8,$E$9,$E$10,$E$12,$D106,$E$6,BY$18,BY$17)</f>
        <v>-1.1978913387403085</v>
      </c>
      <c r="BZ106" s="16">
        <f ca="1">_xll.DBRW($D$4,$E$7,$E$8,$E$9,$E$10,$E$12,$D106,$E$6,BZ$18,BZ$17)</f>
        <v>0.10741028644554429</v>
      </c>
      <c r="CA106" s="16"/>
      <c r="CB106" s="16"/>
      <c r="CC106" s="16"/>
      <c r="CD106" s="16"/>
      <c r="CE106" s="16">
        <f ca="1">_xll.DBRW($D$4,$E$7,$E$8,$E$9,$E$10,$E$12,$D106,$E$6,CE$18,CE$17)</f>
        <v>-1.8246955300000001</v>
      </c>
      <c r="CF106" s="16">
        <f ca="1">_xll.DBRW($D$4,$E$7,$E$8,$E$9,$E$10,$E$12,$D106,$E$6,CF$18,CF$17)</f>
        <v>0.16361339565181818</v>
      </c>
      <c r="CG106" s="16"/>
      <c r="CH106" s="16"/>
      <c r="CI106" s="16"/>
      <c r="CJ106" s="16"/>
      <c r="CK106" s="16">
        <f ca="1">_xll.DBRW($D$4,$E$7,$E$8,$E$9,$E$10,$E$12,$D106,$E$6,CK$18,CK$17)</f>
        <v>-2.1681566637583347</v>
      </c>
      <c r="CL106" s="16">
        <f ca="1">_xll.DBRW($D$4,$E$7,$E$8,$E$9,$E$10,$E$12,$D106,$E$6,CL$18,CL$17)</f>
        <v>0.19441022802451791</v>
      </c>
      <c r="CM106" s="16"/>
      <c r="CN106" s="16"/>
      <c r="CO106" s="16"/>
      <c r="CP106" s="16"/>
      <c r="CQ106" s="16">
        <f ca="1">_xll.DBRW($D$4,$E$7,$E$8,$E$9,$E$10,$E$12,$D106,$E$6,CQ$18,CQ$17)</f>
        <v>0.20440366333199991</v>
      </c>
      <c r="CR106" s="16">
        <f ca="1">_xll.DBRW($D$4,$E$7,$E$8,$E$9,$E$10,$E$12,$D106,$E$6,CR$18,CR$17)</f>
        <v>4.6169849325800003</v>
      </c>
      <c r="CS106" s="16">
        <f ca="1">_xll.DBRW($D$4,$E$7,$E$8,$E$9,$E$10,$E$12,$D106,$E$6,CS$18,CS$17)</f>
        <v>4.6169849325800003</v>
      </c>
      <c r="CT106" s="16">
        <f ca="1">_xll.DBRW($D$4,$E$7,$E$8,$E$9,$E$10,$E$12,$D106,$E$6,CT$18,CT$17)</f>
        <v>4.6169849325800003</v>
      </c>
      <c r="CU106" s="16">
        <f ca="1">_xll.DBRW($D$4,$E$7,$E$8,$E$9,$E$10,$E$12,$D106,$E$6,CU$18,CU$17)</f>
        <v>1.415475894877877</v>
      </c>
      <c r="CV106" s="16">
        <f ca="1">_xll.DBRW($D$4,$E$7,$E$8,$E$9,$E$10,$E$12,$D106,$E$6,CV$18,CV$17)</f>
        <v>4.6169849325800003</v>
      </c>
      <c r="CW106" s="16">
        <f ca="1">_xll.DBRW($D$4,$E$7,$E$8,$E$9,$E$10,$E$12,$D106,$E$6,CW$18,CW$17)</f>
        <v>3.2348450728099998</v>
      </c>
      <c r="CX106" s="16">
        <f ca="1">_xll.DBRW($D$4,$E$7,$E$8,$E$9,$E$10,$E$12,$D106,$E$6,CX$18,CX$17)</f>
        <v>4.6169849325800003</v>
      </c>
      <c r="CY106" s="16">
        <f ca="1">_xll.DBRW($D$4,$E$7,$E$8,$E$9,$E$10,$E$12,$D106,$E$6,CY$18,CY$17)</f>
        <v>4.6169849325800003</v>
      </c>
      <c r="CZ106" s="16">
        <f ca="1">_xll.DBRW($D$4,$E$7,$E$8,$E$9,$E$10,$E$12,$D106,$E$6,CZ$18,CZ$17)</f>
        <v>4.6169849325800003</v>
      </c>
      <c r="DA106" s="26">
        <f t="shared" ca="1" si="108"/>
        <v>-0.1733561028249479</v>
      </c>
      <c r="DB106" s="26">
        <f t="shared" ca="1" si="109"/>
        <v>5.1478462499999877E-2</v>
      </c>
      <c r="DC106" s="26">
        <f t="shared" ca="1" si="110"/>
        <v>0</v>
      </c>
      <c r="DD106" s="26">
        <f t="shared" ca="1" si="111"/>
        <v>0</v>
      </c>
      <c r="DE106" s="26">
        <f t="shared" ca="1" si="112"/>
        <v>0</v>
      </c>
      <c r="DF106" s="26">
        <f t="shared" ca="1" si="113"/>
        <v>0</v>
      </c>
      <c r="DG106" s="26">
        <f t="shared" ca="1" si="114"/>
        <v>0</v>
      </c>
      <c r="DH106" s="26">
        <f t="shared" ca="1" si="115"/>
        <v>-0.22483456532494783</v>
      </c>
      <c r="DI106" s="26">
        <f t="shared" ca="1" si="116"/>
        <v>-0.95666633916666832</v>
      </c>
      <c r="DJ106" s="26">
        <f t="shared" ca="1" si="117"/>
        <v>0.10598378666666441</v>
      </c>
      <c r="DK106" s="26">
        <f t="shared" ca="1" si="118"/>
        <v>2.5239123063205138E-2</v>
      </c>
      <c r="DL106" s="26"/>
      <c r="DM106" s="26"/>
      <c r="DN106" s="26"/>
      <c r="DO106" s="26"/>
      <c r="DP106" s="26">
        <f t="shared" ca="1" si="119"/>
        <v>-0.12022918532358817</v>
      </c>
      <c r="DQ106" s="26">
        <f t="shared" ca="1" si="120"/>
        <v>2.0164167798312024E-2</v>
      </c>
      <c r="DR106" s="26"/>
      <c r="DS106" s="26"/>
      <c r="DT106" s="26"/>
      <c r="DU106" s="26"/>
      <c r="DV106" s="26">
        <f t="shared" ca="1" si="121"/>
        <v>-3.7626321259691675E-2</v>
      </c>
      <c r="DW106" s="26">
        <f t="shared" ca="1" si="122"/>
        <v>1.3768601229867589E-2</v>
      </c>
      <c r="DX106" s="26"/>
      <c r="DY106" s="26"/>
      <c r="DZ106" s="26"/>
      <c r="EA106" s="26"/>
      <c r="EB106" s="26">
        <f t="shared" ca="1" si="123"/>
        <v>0.37655961000000016</v>
      </c>
      <c r="EC106" s="26">
        <f t="shared" ca="1" si="124"/>
        <v>-2.15810268159011E-2</v>
      </c>
      <c r="ED106" s="26"/>
      <c r="EE106" s="26"/>
      <c r="EF106" s="26"/>
      <c r="EG106" s="26"/>
      <c r="EH106" s="26">
        <f t="shared" ca="1" si="125"/>
        <v>0.40714388375833455</v>
      </c>
      <c r="EI106" s="29">
        <f t="shared" ca="1" si="126"/>
        <v>-2.1691070078540209E-2</v>
      </c>
      <c r="EJ106" s="29"/>
      <c r="EK106" s="29"/>
      <c r="EL106" s="29"/>
      <c r="EM106" s="29"/>
      <c r="EN106" s="93"/>
      <c r="EO106" s="29"/>
      <c r="EP106" s="29"/>
      <c r="EQ106" s="29"/>
      <c r="ER106" s="29"/>
      <c r="ES106" s="29"/>
      <c r="ET106" s="29"/>
      <c r="EU106" s="93"/>
      <c r="EV106" s="29"/>
      <c r="EW106" s="29"/>
      <c r="EX106" s="29"/>
      <c r="EY106" s="29"/>
      <c r="EZ106" s="29"/>
      <c r="FA106" s="29"/>
      <c r="FB106" s="93"/>
      <c r="FC106" s="29"/>
      <c r="FD106" s="29"/>
      <c r="FE106" s="29"/>
      <c r="FF106" s="29"/>
      <c r="FG106" s="29"/>
      <c r="FH106" s="29"/>
      <c r="FI106" s="93"/>
      <c r="FJ106" s="29"/>
      <c r="FK106" s="29"/>
      <c r="FL106" s="29"/>
      <c r="FM106" s="29"/>
      <c r="FN106" s="29"/>
      <c r="FO106" s="29"/>
      <c r="FP106" s="93"/>
      <c r="FQ106" s="29"/>
      <c r="FR106" s="29"/>
      <c r="FS106" s="29"/>
      <c r="FT106" s="29"/>
      <c r="FU106" s="29"/>
      <c r="FV106" s="29"/>
    </row>
    <row r="107" spans="1:178" x14ac:dyDescent="0.25">
      <c r="A107" t="str">
        <f ca="1">IF(_xll.TM1RPTELISCONSOLIDATED($D$28,$D107),IF(_xll.TM1RPTELLEV($D$28,$D107)&lt;=3,_xll.TM1RPTELLEV($D$28,$D107),"D"),"N")</f>
        <v>N</v>
      </c>
      <c r="B107" t="str">
        <f ca="1">_xll.DBRA(Server&amp;"Management_organization",$D107,$B$27)</f>
        <v>L</v>
      </c>
      <c r="C107">
        <v>1</v>
      </c>
      <c r="D107" s="2" t="s">
        <v>332</v>
      </c>
      <c r="E107" s="26"/>
      <c r="F107" s="26"/>
      <c r="G107" s="16">
        <f ca="1">_xll.DBRW($D$4,$E$7,$E$8,$E$9,$E$10,$E$12,$D107,$E$6,G$18,G$17)</f>
        <v>0.37232835000000059</v>
      </c>
      <c r="H107" s="16">
        <f ca="1">_xll.DBRW($D$4,$E$7,$E$8,$E$9,$E$10,$E$12,$D107,$E$6,H$18,H$17)</f>
        <v>-5.2337089999999996E-2</v>
      </c>
      <c r="I107" s="16">
        <f ca="1">_xll.DBRW($D$4,$E$7,$E$8,$E$9,$E$10,$E$12,$D107,$E$6,I$18,I$17)</f>
        <v>0</v>
      </c>
      <c r="J107" s="26">
        <f ca="1">_xll.DBRW($D$4,$E$7,$E$8,$E$9,$E$10,$E$12,$D107,$E$6,J$18,J$17)</f>
        <v>0</v>
      </c>
      <c r="K107" s="26">
        <f ca="1">_xll.DBRW($D$4,$E$7,$E$8,$E$9,$E$10,$E$12,$D107,$E$6,K$18,K$17)</f>
        <v>0</v>
      </c>
      <c r="L107" s="26">
        <f ca="1">_xll.DBRW($D$4,$E$7,$E$8,$E$9,$E$10,$E$12,$D107,$E$6,L$18,L$17)</f>
        <v>0</v>
      </c>
      <c r="M107" s="26">
        <f ca="1">_xll.DBRW($D$4,$E$7,$E$8,$E$9,$E$10,$E$12,$D107,$E$6,M$18,M$17)</f>
        <v>0</v>
      </c>
      <c r="N107" s="16">
        <f ca="1">_xll.DBRW($D$4,$E$7,$E$8,$E$9,$E$10,$E$12,$D107,$E$6,N$18,N$17)</f>
        <v>0.42466544000000056</v>
      </c>
      <c r="O107" s="16">
        <f ca="1">_xll.DBRW($D$4,$E$7,$E$8,$E$9,$E$10,$E$12,$D107,$E$6,O$18,O$17)</f>
        <v>0.79770493000000053</v>
      </c>
      <c r="P107" s="74">
        <f ca="1">_xll.DBRW($D$4,$E$7,$E$8,$E$9,$E$10,$E$12,$D107,$E$6,P$18,P$17)</f>
        <v>-2.6010839999999997E-2</v>
      </c>
      <c r="Q107" s="16">
        <f ca="1">_xll.DBRW($D$4,$E$7,$E$8,$E$9,$E$10,$E$12,$D107,$E$6,Q$18,Q$17)</f>
        <v>3.2607094455339491E-2</v>
      </c>
      <c r="R107" s="16"/>
      <c r="S107" s="16"/>
      <c r="T107" s="16"/>
      <c r="U107" s="16"/>
      <c r="V107" s="16">
        <f ca="1">_xll.DBRW($D$4,$E$7,$E$8,$E$9,$E$10,$E$12,$D107,$E$6,V$18,V$17)</f>
        <v>-3.26269E-2</v>
      </c>
      <c r="W107" s="16">
        <f ca="1">_xll.DBRW($D$4,$E$7,$E$8,$E$9,$E$10,$E$12,$D107,$E$6,W$18,W$17)</f>
        <v>4.0900963217063206E-2</v>
      </c>
      <c r="X107" s="16"/>
      <c r="Y107" s="16"/>
      <c r="Z107" s="16"/>
      <c r="AA107" s="16"/>
      <c r="AB107" s="16">
        <f ca="1">_xll.DBRW($D$4,$E$7,$E$8,$E$9,$E$10,$E$12,$D107,$E$6,AB$18,AB$17)</f>
        <v>0</v>
      </c>
      <c r="AC107" s="16">
        <f ca="1">_xll.DBRW($D$4,$E$7,$E$8,$E$9,$E$10,$E$12,$D107,$E$6,AC$18,AC$17)</f>
        <v>0</v>
      </c>
      <c r="AD107" s="16"/>
      <c r="AE107" s="16"/>
      <c r="AF107" s="16"/>
      <c r="AG107" s="16"/>
      <c r="AH107" s="16">
        <f ca="1">_xll.DBRW($D$4,$E$7,$E$8,$E$9,$E$10,$E$12,$D107,$E$6,AH$18,AH$17)</f>
        <v>-8.6252989999999974E-2</v>
      </c>
      <c r="AI107" s="16">
        <f ca="1">_xll.DBRW($D$4,$E$7,$E$8,$E$9,$E$10,$E$12,$D107,$E$6,AI$18,AI$17)</f>
        <v>0.10812643467052399</v>
      </c>
      <c r="AJ107" s="16"/>
      <c r="AK107" s="16"/>
      <c r="AL107" s="16"/>
      <c r="AM107" s="16"/>
      <c r="AN107" s="16">
        <f ca="1">_xll.DBRW($D$4,$E$7,$E$8,$E$9,$E$10,$E$12,$D107,$E$6,AN$18,AN$17)</f>
        <v>-0.22814876000000003</v>
      </c>
      <c r="AO107" s="16">
        <f ca="1">_xll.DBRW($D$4,$E$7,$E$8,$E$9,$E$10,$E$12,$D107,$E$6,AO$18,AO$17)</f>
        <v>0.28600645604634772</v>
      </c>
      <c r="AP107" s="16"/>
      <c r="AQ107" s="16"/>
      <c r="AR107" s="16"/>
      <c r="AS107" s="16"/>
      <c r="AT107" s="16">
        <f ca="1">_xll.DBRW($D$4,$E$7,$E$8,$E$9,$E$10,$E$12,$D107,$E$6,AT$18,AT$17)</f>
        <v>0</v>
      </c>
      <c r="AU107" s="16">
        <f ca="1">_xll.DBRW($D$4,$E$7,$E$8,$E$9,$E$10,$E$12,$D107,$E$6,AU$18,AU$17)</f>
        <v>0</v>
      </c>
      <c r="AV107" s="16">
        <f ca="1">_xll.DBRW($D$4,$E$7,$E$8,$E$9,$E$10,$E$12,$D107,$E$6,AV$18,AV$17)</f>
        <v>0</v>
      </c>
      <c r="AW107" s="16">
        <f ca="1">_xll.DBRW($D$4,$E$7,$E$8,$E$9,$E$10,$E$12,$D107,$E$6,AW$18,AW$17)</f>
        <v>0</v>
      </c>
      <c r="AX107" s="16">
        <f ca="1">_xll.DBRW($D$4,$E$7,$E$8,$E$9,$E$10,$E$12,$D107,$E$6,AX$18,AX$17)</f>
        <v>0</v>
      </c>
      <c r="AY107" s="16">
        <f ca="1">_xll.DBRW($D$4,$E$7,$E$8,$E$9,$E$10,$E$12,$D107,$E$6,AY$18,AY$17)</f>
        <v>0</v>
      </c>
      <c r="AZ107" s="16">
        <f ca="1">_xll.DBRW($D$4,$E$7,$E$8,$E$9,$E$10,$E$12,$D107,$E$6,AZ$18,AZ$17)</f>
        <v>0</v>
      </c>
      <c r="BA107" s="16">
        <f ca="1">_xll.DBRW($D$4,$E$7,$E$8,$E$9,$E$10,$E$12,$D107,$E$6,BA$18,BA$17)</f>
        <v>0</v>
      </c>
      <c r="BB107" s="16">
        <f ca="1">_xll.DBRW($D$4,$E$7,$E$8,$E$9,$E$10,$E$12,$D107,$E$6,BB$18,BB$17)</f>
        <v>0</v>
      </c>
      <c r="BC107" s="16">
        <f ca="1">_xll.DBRW($D$4,$E$7,$E$8,$E$9,$E$10,$E$12,$D107,$E$6,BC$18,BC$17)</f>
        <v>0</v>
      </c>
      <c r="BD107" s="16">
        <f ca="1">_xll.DBRW($D$4,$E$7,$E$8,$E$9,$E$10,$E$12,$D107,$E$6,BD$18,BD$17)</f>
        <v>9.7755460115543605E-2</v>
      </c>
      <c r="BE107" s="16">
        <f ca="1">_xll.DBRW($D$4,$E$7,$E$8,$E$9,$E$10,$E$12,$D107,$E$6,BE$18,BE$17)</f>
        <v>-5.2317640833333373E-2</v>
      </c>
      <c r="BF107" s="16">
        <f ca="1">_xll.DBRW($D$4,$E$7,$E$8,$E$9,$E$10,$E$12,$D107,$E$6,BF$18,BF$17)</f>
        <v>0</v>
      </c>
      <c r="BG107" s="26">
        <f ca="1">_xll.DBRW($D$4,$E$7,$E$8,$E$9,$E$10,$E$12,$D107,$E$6,BG$18,BG$17)</f>
        <v>0</v>
      </c>
      <c r="BH107" s="26">
        <f ca="1">_xll.DBRW($D$4,$E$7,$E$8,$E$9,$E$10,$E$12,$D107,$E$6,BH$18,BH$17)</f>
        <v>0</v>
      </c>
      <c r="BI107" s="26">
        <f ca="1">_xll.DBRW($D$4,$E$7,$E$8,$E$9,$E$10,$E$12,$D107,$E$6,BI$18,BI$17)</f>
        <v>0</v>
      </c>
      <c r="BJ107" s="26">
        <f ca="1">_xll.DBRW($D$4,$E$7,$E$8,$E$9,$E$10,$E$12,$D107,$E$6,BJ$18,BJ$17)</f>
        <v>0</v>
      </c>
      <c r="BK107" s="16">
        <f ca="1">_xll.DBRW($D$4,$E$7,$E$8,$E$9,$E$10,$E$12,$D107,$E$6,BK$18,BK$17)</f>
        <v>0.15007310094887696</v>
      </c>
      <c r="BL107" s="16">
        <f ca="1">_xll.DBRW($D$4,$E$7,$E$8,$E$9,$E$10,$E$12,$D107,$E$6,BL$18,BL$17)</f>
        <v>0.72455471872665567</v>
      </c>
      <c r="BM107" s="16">
        <f ca="1">_xll.DBRW($D$4,$E$7,$E$8,$E$9,$E$10,$E$12,$D107,$E$6,BM$18,BM$17)</f>
        <v>-1.7467061944444397E-2</v>
      </c>
      <c r="BN107" s="16">
        <f ca="1">_xll.DBRW($D$4,$E$7,$E$8,$E$9,$E$10,$E$12,$D107,$E$6,BN$18,BN$17)</f>
        <v>2.4107305484313588E-2</v>
      </c>
      <c r="BO107" s="16"/>
      <c r="BP107" s="16"/>
      <c r="BQ107" s="16"/>
      <c r="BR107" s="16"/>
      <c r="BS107" s="16">
        <f ca="1">_xll.DBRW($D$4,$E$7,$E$8,$E$9,$E$10,$E$12,$D107,$E$6,BS$18,BS$17)</f>
        <v>0</v>
      </c>
      <c r="BT107" s="16">
        <f ca="1">_xll.DBRW($D$4,$E$7,$E$8,$E$9,$E$10,$E$12,$D107,$E$6,BT$18,BT$17)</f>
        <v>0</v>
      </c>
      <c r="BU107" s="16"/>
      <c r="BV107" s="16"/>
      <c r="BW107" s="16"/>
      <c r="BX107" s="16"/>
      <c r="BY107" s="16">
        <f ca="1">_xll.DBRW($D$4,$E$7,$E$8,$E$9,$E$10,$E$12,$D107,$E$6,BY$18,BY$17)</f>
        <v>0</v>
      </c>
      <c r="BZ107" s="16">
        <f ca="1">_xll.DBRW($D$4,$E$7,$E$8,$E$9,$E$10,$E$12,$D107,$E$6,BZ$18,BZ$17)</f>
        <v>0</v>
      </c>
      <c r="CA107" s="16"/>
      <c r="CB107" s="16"/>
      <c r="CC107" s="16"/>
      <c r="CD107" s="16"/>
      <c r="CE107" s="16">
        <f ca="1">_xll.DBRW($D$4,$E$7,$E$8,$E$9,$E$10,$E$12,$D107,$E$6,CE$18,CE$17)</f>
        <v>-2.9665166666666694E-2</v>
      </c>
      <c r="CF107" s="16">
        <f ca="1">_xll.DBRW($D$4,$E$7,$E$8,$E$9,$E$10,$E$12,$D107,$E$6,CF$18,CF$17)</f>
        <v>4.094261744482286E-2</v>
      </c>
      <c r="CG107" s="16"/>
      <c r="CH107" s="16"/>
      <c r="CI107" s="16"/>
      <c r="CJ107" s="16"/>
      <c r="CK107" s="16">
        <f ca="1">_xll.DBRW($D$4,$E$7,$E$8,$E$9,$E$10,$E$12,$D107,$E$6,CK$18,CK$17)</f>
        <v>-0.52734938916666707</v>
      </c>
      <c r="CL107" s="16">
        <f ca="1">_xll.DBRW($D$4,$E$7,$E$8,$E$9,$E$10,$E$12,$D107,$E$6,CL$18,CL$17)</f>
        <v>0.72782548444848927</v>
      </c>
      <c r="CM107" s="16"/>
      <c r="CN107" s="16"/>
      <c r="CO107" s="16"/>
      <c r="CP107" s="16"/>
      <c r="CQ107" s="16">
        <f ca="1">_xll.DBRW($D$4,$E$7,$E$8,$E$9,$E$10,$E$12,$D107,$E$6,CQ$18,CQ$17)</f>
        <v>0</v>
      </c>
      <c r="CR107" s="16">
        <f ca="1">_xll.DBRW($D$4,$E$7,$E$8,$E$9,$E$10,$E$12,$D107,$E$6,CR$18,CR$17)</f>
        <v>0</v>
      </c>
      <c r="CS107" s="16">
        <f ca="1">_xll.DBRW($D$4,$E$7,$E$8,$E$9,$E$10,$E$12,$D107,$E$6,CS$18,CS$17)</f>
        <v>0</v>
      </c>
      <c r="CT107" s="16">
        <f ca="1">_xll.DBRW($D$4,$E$7,$E$8,$E$9,$E$10,$E$12,$D107,$E$6,CT$18,CT$17)</f>
        <v>0</v>
      </c>
      <c r="CU107" s="16">
        <f ca="1">_xll.DBRW($D$4,$E$7,$E$8,$E$9,$E$10,$E$12,$D107,$E$6,CU$18,CU$17)</f>
        <v>0</v>
      </c>
      <c r="CV107" s="16">
        <f ca="1">_xll.DBRW($D$4,$E$7,$E$8,$E$9,$E$10,$E$12,$D107,$E$6,CV$18,CV$17)</f>
        <v>0</v>
      </c>
      <c r="CW107" s="16">
        <f ca="1">_xll.DBRW($D$4,$E$7,$E$8,$E$9,$E$10,$E$12,$D107,$E$6,CW$18,CW$17)</f>
        <v>0</v>
      </c>
      <c r="CX107" s="16">
        <f ca="1">_xll.DBRW($D$4,$E$7,$E$8,$E$9,$E$10,$E$12,$D107,$E$6,CX$18,CX$17)</f>
        <v>0</v>
      </c>
      <c r="CY107" s="16">
        <f ca="1">_xll.DBRW($D$4,$E$7,$E$8,$E$9,$E$10,$E$12,$D107,$E$6,CY$18,CY$17)</f>
        <v>0</v>
      </c>
      <c r="CZ107" s="16">
        <f ca="1">_xll.DBRW($D$4,$E$7,$E$8,$E$9,$E$10,$E$12,$D107,$E$6,CZ$18,CZ$17)</f>
        <v>0</v>
      </c>
      <c r="DA107" s="26">
        <f t="shared" ca="1" si="108"/>
        <v>0.27457288988445699</v>
      </c>
      <c r="DB107" s="26">
        <f t="shared" ca="1" si="109"/>
        <v>-1.9449166666622719E-5</v>
      </c>
      <c r="DC107" s="26">
        <f t="shared" ca="1" si="110"/>
        <v>0</v>
      </c>
      <c r="DD107" s="26">
        <f t="shared" ca="1" si="111"/>
        <v>0</v>
      </c>
      <c r="DE107" s="26">
        <f t="shared" ca="1" si="112"/>
        <v>0</v>
      </c>
      <c r="DF107" s="26">
        <f t="shared" ca="1" si="113"/>
        <v>0</v>
      </c>
      <c r="DG107" s="26">
        <f t="shared" ca="1" si="114"/>
        <v>0</v>
      </c>
      <c r="DH107" s="26">
        <f t="shared" ca="1" si="115"/>
        <v>0.27459233905112357</v>
      </c>
      <c r="DI107" s="26">
        <f t="shared" ca="1" si="116"/>
        <v>7.3150211273344867E-2</v>
      </c>
      <c r="DJ107" s="26">
        <f t="shared" ca="1" si="117"/>
        <v>-8.5437780555556002E-3</v>
      </c>
      <c r="DK107" s="26">
        <f t="shared" ca="1" si="118"/>
        <v>8.4997889710259032E-3</v>
      </c>
      <c r="DL107" s="26"/>
      <c r="DM107" s="26"/>
      <c r="DN107" s="26"/>
      <c r="DO107" s="26"/>
      <c r="DP107" s="26">
        <f t="shared" ca="1" si="119"/>
        <v>-3.26269E-2</v>
      </c>
      <c r="DQ107" s="26">
        <f t="shared" ca="1" si="120"/>
        <v>4.0900963217063206E-2</v>
      </c>
      <c r="DR107" s="26"/>
      <c r="DS107" s="26"/>
      <c r="DT107" s="26"/>
      <c r="DU107" s="26"/>
      <c r="DV107" s="26">
        <f t="shared" ca="1" si="121"/>
        <v>0</v>
      </c>
      <c r="DW107" s="26">
        <f t="shared" ca="1" si="122"/>
        <v>0</v>
      </c>
      <c r="DX107" s="26"/>
      <c r="DY107" s="26"/>
      <c r="DZ107" s="26"/>
      <c r="EA107" s="26"/>
      <c r="EB107" s="26">
        <f t="shared" ca="1" si="123"/>
        <v>-5.658782333333328E-2</v>
      </c>
      <c r="EC107" s="26">
        <f t="shared" ca="1" si="124"/>
        <v>6.7183817225701131E-2</v>
      </c>
      <c r="ED107" s="26"/>
      <c r="EE107" s="26"/>
      <c r="EF107" s="26"/>
      <c r="EG107" s="26"/>
      <c r="EH107" s="26">
        <f t="shared" ca="1" si="125"/>
        <v>0.29920062916666701</v>
      </c>
      <c r="EI107" s="29">
        <f t="shared" ca="1" si="126"/>
        <v>-0.44181902840214154</v>
      </c>
      <c r="EJ107" s="29"/>
      <c r="EK107" s="29"/>
      <c r="EL107" s="29"/>
      <c r="EM107" s="29"/>
      <c r="EN107" s="93"/>
      <c r="EO107" s="29"/>
      <c r="EP107" s="29"/>
      <c r="EQ107" s="29"/>
      <c r="ER107" s="29"/>
      <c r="ES107" s="29"/>
      <c r="ET107" s="29"/>
      <c r="EU107" s="93"/>
      <c r="EV107" s="29"/>
      <c r="EW107" s="29"/>
      <c r="EX107" s="29"/>
      <c r="EY107" s="29"/>
      <c r="EZ107" s="29"/>
      <c r="FA107" s="29"/>
      <c r="FB107" s="93"/>
      <c r="FC107" s="29"/>
      <c r="FD107" s="29"/>
      <c r="FE107" s="29"/>
      <c r="FF107" s="29"/>
      <c r="FG107" s="29"/>
      <c r="FH107" s="29"/>
      <c r="FI107" s="93"/>
      <c r="FJ107" s="29"/>
      <c r="FK107" s="29"/>
      <c r="FL107" s="29"/>
      <c r="FM107" s="29"/>
      <c r="FN107" s="29"/>
      <c r="FO107" s="29"/>
      <c r="FP107" s="93"/>
      <c r="FQ107" s="29"/>
      <c r="FR107" s="29"/>
      <c r="FS107" s="29"/>
      <c r="FT107" s="29"/>
      <c r="FU107" s="29"/>
      <c r="FV107" s="29"/>
    </row>
    <row r="108" spans="1:178" x14ac:dyDescent="0.25">
      <c r="A108" t="str">
        <f ca="1">IF(_xll.TM1RPTELISCONSOLIDATED($D$28,$D108),IF(_xll.TM1RPTELLEV($D$28,$D108)&lt;=3,_xll.TM1RPTELLEV($D$28,$D108),"D"),"N")</f>
        <v>N</v>
      </c>
      <c r="B108" t="str">
        <f ca="1">_xll.DBRA(Server&amp;"Management_organization",$D108,$B$27)</f>
        <v>L</v>
      </c>
      <c r="C108">
        <v>1</v>
      </c>
      <c r="D108" s="2" t="s">
        <v>333</v>
      </c>
      <c r="E108" s="26"/>
      <c r="F108" s="26"/>
      <c r="G108" s="16">
        <f ca="1">_xll.DBRW($D$4,$E$7,$E$8,$E$9,$E$10,$E$12,$D108,$E$6,G$18,G$17)</f>
        <v>3.9168330000000195E-2</v>
      </c>
      <c r="H108" s="16">
        <f ca="1">_xll.DBRW($D$4,$E$7,$E$8,$E$9,$E$10,$E$12,$D108,$E$6,H$18,H$17)</f>
        <v>-0.28593643999999996</v>
      </c>
      <c r="I108" s="16">
        <f ca="1">_xll.DBRW($D$4,$E$7,$E$8,$E$9,$E$10,$E$12,$D108,$E$6,I$18,I$17)</f>
        <v>0</v>
      </c>
      <c r="J108" s="26">
        <f ca="1">_xll.DBRW($D$4,$E$7,$E$8,$E$9,$E$10,$E$12,$D108,$E$6,J$18,J$17)</f>
        <v>0</v>
      </c>
      <c r="K108" s="26">
        <f ca="1">_xll.DBRW($D$4,$E$7,$E$8,$E$9,$E$10,$E$12,$D108,$E$6,K$18,K$17)</f>
        <v>0</v>
      </c>
      <c r="L108" s="26">
        <f ca="1">_xll.DBRW($D$4,$E$7,$E$8,$E$9,$E$10,$E$12,$D108,$E$6,L$18,L$17)</f>
        <v>0</v>
      </c>
      <c r="M108" s="26">
        <f ca="1">_xll.DBRW($D$4,$E$7,$E$8,$E$9,$E$10,$E$12,$D108,$E$6,M$18,M$17)</f>
        <v>0</v>
      </c>
      <c r="N108" s="16">
        <f ca="1">_xll.DBRW($D$4,$E$7,$E$8,$E$9,$E$10,$E$12,$D108,$E$6,N$18,N$17)</f>
        <v>0.32510477000000021</v>
      </c>
      <c r="O108" s="16">
        <f ca="1">_xll.DBRW($D$4,$E$7,$E$8,$E$9,$E$10,$E$12,$D108,$E$6,O$18,O$17)</f>
        <v>3.0947580499999985</v>
      </c>
      <c r="P108" s="74">
        <f ca="1">_xll.DBRW($D$4,$E$7,$E$8,$E$9,$E$10,$E$12,$D108,$E$6,P$18,P$17)</f>
        <v>-1.15894382</v>
      </c>
      <c r="Q108" s="16">
        <f ca="1">_xll.DBRW($D$4,$E$7,$E$8,$E$9,$E$10,$E$12,$D108,$E$6,Q$18,Q$17)</f>
        <v>0.37448608300736158</v>
      </c>
      <c r="R108" s="16"/>
      <c r="S108" s="16"/>
      <c r="T108" s="16"/>
      <c r="U108" s="16"/>
      <c r="V108" s="16">
        <f ca="1">_xll.DBRW($D$4,$E$7,$E$8,$E$9,$E$10,$E$12,$D108,$E$6,V$18,V$17)</f>
        <v>-0.26793792</v>
      </c>
      <c r="W108" s="16">
        <f ca="1">_xll.DBRW($D$4,$E$7,$E$8,$E$9,$E$10,$E$12,$D108,$E$6,W$18,W$17)</f>
        <v>8.6577986282320232E-2</v>
      </c>
      <c r="X108" s="16"/>
      <c r="Y108" s="16"/>
      <c r="Z108" s="16"/>
      <c r="AA108" s="16"/>
      <c r="AB108" s="16">
        <f ca="1">_xll.DBRW($D$4,$E$7,$E$8,$E$9,$E$10,$E$12,$D108,$E$6,AB$18,AB$17)</f>
        <v>-0.23795312000000002</v>
      </c>
      <c r="AC108" s="16">
        <f ca="1">_xll.DBRW($D$4,$E$7,$E$8,$E$9,$E$10,$E$12,$D108,$E$6,AC$18,AC$17)</f>
        <v>7.6889086692899997E-2</v>
      </c>
      <c r="AD108" s="16"/>
      <c r="AE108" s="16"/>
      <c r="AF108" s="16"/>
      <c r="AG108" s="16"/>
      <c r="AH108" s="16">
        <f ca="1">_xll.DBRW($D$4,$E$7,$E$8,$E$9,$E$10,$E$12,$D108,$E$6,AH$18,AH$17)</f>
        <v>-0.28032444999999995</v>
      </c>
      <c r="AI108" s="16">
        <f ca="1">_xll.DBRW($D$4,$E$7,$E$8,$E$9,$E$10,$E$12,$D108,$E$6,AI$18,AI$17)</f>
        <v>9.0580409024220834E-2</v>
      </c>
      <c r="AJ108" s="16"/>
      <c r="AK108" s="16"/>
      <c r="AL108" s="16"/>
      <c r="AM108" s="16"/>
      <c r="AN108" s="16">
        <f ca="1">_xll.DBRW($D$4,$E$7,$E$8,$E$9,$E$10,$E$12,$D108,$E$6,AN$18,AN$17)</f>
        <v>-0.82449396999999991</v>
      </c>
      <c r="AO108" s="16">
        <f ca="1">_xll.DBRW($D$4,$E$7,$E$8,$E$9,$E$10,$E$12,$D108,$E$6,AO$18,AO$17)</f>
        <v>0.26641629383595927</v>
      </c>
      <c r="AP108" s="16"/>
      <c r="AQ108" s="16"/>
      <c r="AR108" s="16"/>
      <c r="AS108" s="16"/>
      <c r="AT108" s="16">
        <f ca="1">_xll.DBRW($D$4,$E$7,$E$8,$E$9,$E$10,$E$12,$D108,$E$6,AT$18,AT$17)</f>
        <v>4.2393759999999989E-2</v>
      </c>
      <c r="AU108" s="16">
        <f ca="1">_xll.DBRW($D$4,$E$7,$E$8,$E$9,$E$10,$E$12,$D108,$E$6,AU$18,AU$17)</f>
        <v>0.77471299999999987</v>
      </c>
      <c r="AV108" s="16">
        <f ca="1">_xll.DBRW($D$4,$E$7,$E$8,$E$9,$E$10,$E$12,$D108,$E$6,AV$18,AV$17)</f>
        <v>0.77471299999999987</v>
      </c>
      <c r="AW108" s="16">
        <f ca="1">_xll.DBRW($D$4,$E$7,$E$8,$E$9,$E$10,$E$12,$D108,$E$6,AW$18,AW$17)</f>
        <v>0.77471299999999987</v>
      </c>
      <c r="AX108" s="16">
        <f ca="1">_xll.DBRW($D$4,$E$7,$E$8,$E$9,$E$10,$E$12,$D108,$E$6,AX$18,AX$17)</f>
        <v>0.24343997763299924</v>
      </c>
      <c r="AY108" s="16">
        <f ca="1">_xll.DBRW($D$4,$E$7,$E$8,$E$9,$E$10,$E$12,$D108,$E$6,AY$18,AY$17)</f>
        <v>0.77471299999999987</v>
      </c>
      <c r="AZ108" s="16">
        <f ca="1">_xll.DBRW($D$4,$E$7,$E$8,$E$9,$E$10,$E$12,$D108,$E$6,AZ$18,AZ$17)</f>
        <v>0.63063926319999997</v>
      </c>
      <c r="BA108" s="16">
        <f ca="1">_xll.DBRW($D$4,$E$7,$E$8,$E$9,$E$10,$E$12,$D108,$E$6,BA$18,BA$17)</f>
        <v>0.77471299999999987</v>
      </c>
      <c r="BB108" s="16">
        <f ca="1">_xll.DBRW($D$4,$E$7,$E$8,$E$9,$E$10,$E$12,$D108,$E$6,BB$18,BB$17)</f>
        <v>0.77471299999999987</v>
      </c>
      <c r="BC108" s="16">
        <f ca="1">_xll.DBRW($D$4,$E$7,$E$8,$E$9,$E$10,$E$12,$D108,$E$6,BC$18,BC$17)</f>
        <v>0.77471299999999987</v>
      </c>
      <c r="BD108" s="16">
        <f ca="1">_xll.DBRW($D$4,$E$7,$E$8,$E$9,$E$10,$E$12,$D108,$E$6,BD$18,BD$17)</f>
        <v>0.14311732643189254</v>
      </c>
      <c r="BE108" s="16">
        <f ca="1">_xll.DBRW($D$4,$E$7,$E$8,$E$9,$E$10,$E$12,$D108,$E$6,BE$18,BE$17)</f>
        <v>-0.29738540459999996</v>
      </c>
      <c r="BF108" s="16">
        <f ca="1">_xll.DBRW($D$4,$E$7,$E$8,$E$9,$E$10,$E$12,$D108,$E$6,BF$18,BF$17)</f>
        <v>0</v>
      </c>
      <c r="BG108" s="26">
        <f ca="1">_xll.DBRW($D$4,$E$7,$E$8,$E$9,$E$10,$E$12,$D108,$E$6,BG$18,BG$17)</f>
        <v>0</v>
      </c>
      <c r="BH108" s="26">
        <f ca="1">_xll.DBRW($D$4,$E$7,$E$8,$E$9,$E$10,$E$12,$D108,$E$6,BH$18,BH$17)</f>
        <v>0</v>
      </c>
      <c r="BI108" s="26">
        <f ca="1">_xll.DBRW($D$4,$E$7,$E$8,$E$9,$E$10,$E$12,$D108,$E$6,BI$18,BI$17)</f>
        <v>0</v>
      </c>
      <c r="BJ108" s="26">
        <f ca="1">_xll.DBRW($D$4,$E$7,$E$8,$E$9,$E$10,$E$12,$D108,$E$6,BJ$18,BJ$17)</f>
        <v>0</v>
      </c>
      <c r="BK108" s="16">
        <f ca="1">_xll.DBRW($D$4,$E$7,$E$8,$E$9,$E$10,$E$12,$D108,$E$6,BK$18,BK$17)</f>
        <v>0.44050273103189252</v>
      </c>
      <c r="BL108" s="16">
        <f ca="1">_xll.DBRW($D$4,$E$7,$E$8,$E$9,$E$10,$E$12,$D108,$E$6,BL$18,BL$17)</f>
        <v>3.3931323464166661</v>
      </c>
      <c r="BM108" s="16">
        <f ca="1">_xll.DBRW($D$4,$E$7,$E$8,$E$9,$E$10,$E$12,$D108,$E$6,BM$18,BM$17)</f>
        <v>-1.2206024769475372</v>
      </c>
      <c r="BN108" s="16">
        <f ca="1">_xll.DBRW($D$4,$E$7,$E$8,$E$9,$E$10,$E$12,$D108,$E$6,BN$18,BN$17)</f>
        <v>0.35972734109135485</v>
      </c>
      <c r="BO108" s="16"/>
      <c r="BP108" s="16"/>
      <c r="BQ108" s="16"/>
      <c r="BR108" s="16"/>
      <c r="BS108" s="16">
        <f ca="1">_xll.DBRW($D$4,$E$7,$E$8,$E$9,$E$10,$E$12,$D108,$E$6,BS$18,BS$17)</f>
        <v>-0.23193136604541786</v>
      </c>
      <c r="BT108" s="16">
        <f ca="1">_xll.DBRW($D$4,$E$7,$E$8,$E$9,$E$10,$E$12,$D108,$E$6,BT$18,BT$17)</f>
        <v>6.835317410779751E-2</v>
      </c>
      <c r="BU108" s="16"/>
      <c r="BV108" s="16"/>
      <c r="BW108" s="16"/>
      <c r="BX108" s="16"/>
      <c r="BY108" s="16">
        <f ca="1">_xll.DBRW($D$4,$E$7,$E$8,$E$9,$E$10,$E$12,$D108,$E$6,BY$18,BY$17)</f>
        <v>-0.24173661554249998</v>
      </c>
      <c r="BZ108" s="16">
        <f ca="1">_xll.DBRW($D$4,$E$7,$E$8,$E$9,$E$10,$E$12,$D108,$E$6,BZ$18,BZ$17)</f>
        <v>7.1242907986712373E-2</v>
      </c>
      <c r="CA108" s="16"/>
      <c r="CB108" s="16"/>
      <c r="CC108" s="16"/>
      <c r="CD108" s="16"/>
      <c r="CE108" s="16">
        <f ca="1">_xll.DBRW($D$4,$E$7,$E$8,$E$9,$E$10,$E$12,$D108,$E$6,CE$18,CE$17)</f>
        <v>-0.41045325370111102</v>
      </c>
      <c r="CF108" s="16">
        <f ca="1">_xll.DBRW($D$4,$E$7,$E$8,$E$9,$E$10,$E$12,$D108,$E$6,CF$18,CF$17)</f>
        <v>0.12096588396694051</v>
      </c>
      <c r="CG108" s="16"/>
      <c r="CH108" s="16"/>
      <c r="CI108" s="16"/>
      <c r="CJ108" s="16"/>
      <c r="CK108" s="16">
        <f ca="1">_xll.DBRW($D$4,$E$7,$E$8,$E$9,$E$10,$E$12,$D108,$E$6,CK$18,CK$17)</f>
        <v>-0.84790590314820702</v>
      </c>
      <c r="CL108" s="16">
        <f ca="1">_xll.DBRW($D$4,$E$7,$E$8,$E$9,$E$10,$E$12,$D108,$E$6,CL$18,CL$17)</f>
        <v>0.24988883915584437</v>
      </c>
      <c r="CM108" s="16"/>
      <c r="CN108" s="16"/>
      <c r="CO108" s="16"/>
      <c r="CP108" s="16"/>
      <c r="CQ108" s="16">
        <f ca="1">_xll.DBRW($D$4,$E$7,$E$8,$E$9,$E$10,$E$12,$D108,$E$6,CQ$18,CQ$17)</f>
        <v>5.4599027911360287E-2</v>
      </c>
      <c r="CR108" s="16">
        <f ca="1">_xll.DBRW($D$4,$E$7,$E$8,$E$9,$E$10,$E$12,$D108,$E$6,CR$18,CR$17)</f>
        <v>0.86743011999999997</v>
      </c>
      <c r="CS108" s="16">
        <f ca="1">_xll.DBRW($D$4,$E$7,$E$8,$E$9,$E$10,$E$12,$D108,$E$6,CS$18,CS$17)</f>
        <v>0.86743011999999997</v>
      </c>
      <c r="CT108" s="16">
        <f ca="1">_xll.DBRW($D$4,$E$7,$E$8,$E$9,$E$10,$E$12,$D108,$E$6,CT$18,CT$17)</f>
        <v>0.86743011999999997</v>
      </c>
      <c r="CU108" s="16">
        <f ca="1">_xll.DBRW($D$4,$E$7,$E$8,$E$9,$E$10,$E$12,$D108,$E$6,CU$18,CU$17)</f>
        <v>0.27795402499999999</v>
      </c>
      <c r="CV108" s="16">
        <f ca="1">_xll.DBRW($D$4,$E$7,$E$8,$E$9,$E$10,$E$12,$D108,$E$6,CV$18,CV$17)</f>
        <v>0.86743011999999997</v>
      </c>
      <c r="CW108" s="16">
        <f ca="1">_xll.DBRW($D$4,$E$7,$E$8,$E$9,$E$10,$E$12,$D108,$E$6,CW$18,CW$17)</f>
        <v>0.67589401315944597</v>
      </c>
      <c r="CX108" s="16">
        <f ca="1">_xll.DBRW($D$4,$E$7,$E$8,$E$9,$E$10,$E$12,$D108,$E$6,CX$18,CX$17)</f>
        <v>0.86743011999999997</v>
      </c>
      <c r="CY108" s="16">
        <f ca="1">_xll.DBRW($D$4,$E$7,$E$8,$E$9,$E$10,$E$12,$D108,$E$6,CY$18,CY$17)</f>
        <v>0.86743011999999997</v>
      </c>
      <c r="CZ108" s="16">
        <f ca="1">_xll.DBRW($D$4,$E$7,$E$8,$E$9,$E$10,$E$12,$D108,$E$6,CZ$18,CZ$17)</f>
        <v>0.86743011999999997</v>
      </c>
      <c r="DA108" s="26">
        <f t="shared" ca="1" si="108"/>
        <v>-0.10394899643189234</v>
      </c>
      <c r="DB108" s="26">
        <f t="shared" ca="1" si="109"/>
        <v>1.14489646E-2</v>
      </c>
      <c r="DC108" s="26">
        <f t="shared" ca="1" si="110"/>
        <v>0</v>
      </c>
      <c r="DD108" s="26">
        <f t="shared" ca="1" si="111"/>
        <v>0</v>
      </c>
      <c r="DE108" s="26">
        <f t="shared" ca="1" si="112"/>
        <v>0</v>
      </c>
      <c r="DF108" s="26">
        <f t="shared" ca="1" si="113"/>
        <v>0</v>
      </c>
      <c r="DG108" s="26">
        <f t="shared" ca="1" si="114"/>
        <v>0</v>
      </c>
      <c r="DH108" s="26">
        <f t="shared" ca="1" si="115"/>
        <v>-0.11539796103189232</v>
      </c>
      <c r="DI108" s="26">
        <f t="shared" ca="1" si="116"/>
        <v>-0.29837429641666757</v>
      </c>
      <c r="DJ108" s="26">
        <f t="shared" ca="1" si="117"/>
        <v>6.1658656947537249E-2</v>
      </c>
      <c r="DK108" s="26">
        <f t="shared" ca="1" si="118"/>
        <v>1.4758741916006735E-2</v>
      </c>
      <c r="DL108" s="26"/>
      <c r="DM108" s="26"/>
      <c r="DN108" s="26"/>
      <c r="DO108" s="26"/>
      <c r="DP108" s="26">
        <f t="shared" ca="1" si="119"/>
        <v>-3.6006553954582132E-2</v>
      </c>
      <c r="DQ108" s="26">
        <f t="shared" ca="1" si="120"/>
        <v>1.8224812174522723E-2</v>
      </c>
      <c r="DR108" s="26"/>
      <c r="DS108" s="26"/>
      <c r="DT108" s="26"/>
      <c r="DU108" s="26"/>
      <c r="DV108" s="26">
        <f t="shared" ca="1" si="121"/>
        <v>3.7834955424999595E-3</v>
      </c>
      <c r="DW108" s="26">
        <f t="shared" ca="1" si="122"/>
        <v>5.646178706187624E-3</v>
      </c>
      <c r="DX108" s="26"/>
      <c r="DY108" s="26"/>
      <c r="DZ108" s="26"/>
      <c r="EA108" s="26"/>
      <c r="EB108" s="26">
        <f t="shared" ca="1" si="123"/>
        <v>0.13012880370111107</v>
      </c>
      <c r="EC108" s="26">
        <f t="shared" ca="1" si="124"/>
        <v>-3.0385474942719676E-2</v>
      </c>
      <c r="ED108" s="26"/>
      <c r="EE108" s="26"/>
      <c r="EF108" s="26"/>
      <c r="EG108" s="26"/>
      <c r="EH108" s="26">
        <f t="shared" ca="1" si="125"/>
        <v>2.3411933148207109E-2</v>
      </c>
      <c r="EI108" s="29">
        <f t="shared" ca="1" si="126"/>
        <v>1.6527454680114906E-2</v>
      </c>
      <c r="EJ108" s="29"/>
      <c r="EK108" s="29"/>
      <c r="EL108" s="29"/>
      <c r="EM108" s="29"/>
      <c r="EN108" s="93"/>
      <c r="EO108" s="29"/>
      <c r="EP108" s="29"/>
      <c r="EQ108" s="29"/>
      <c r="ER108" s="29"/>
      <c r="ES108" s="29"/>
      <c r="ET108" s="29"/>
      <c r="EU108" s="93"/>
      <c r="EV108" s="29"/>
      <c r="EW108" s="29"/>
      <c r="EX108" s="29"/>
      <c r="EY108" s="29"/>
      <c r="EZ108" s="29"/>
      <c r="FA108" s="29"/>
      <c r="FB108" s="93"/>
      <c r="FC108" s="29"/>
      <c r="FD108" s="29"/>
      <c r="FE108" s="29"/>
      <c r="FF108" s="29"/>
      <c r="FG108" s="29"/>
      <c r="FH108" s="29"/>
      <c r="FI108" s="93"/>
      <c r="FJ108" s="29"/>
      <c r="FK108" s="29"/>
      <c r="FL108" s="29"/>
      <c r="FM108" s="29"/>
      <c r="FN108" s="29"/>
      <c r="FO108" s="29"/>
      <c r="FP108" s="93"/>
      <c r="FQ108" s="29"/>
      <c r="FR108" s="29"/>
      <c r="FS108" s="29"/>
      <c r="FT108" s="29"/>
      <c r="FU108" s="29"/>
      <c r="FV108" s="29"/>
    </row>
    <row r="109" spans="1:178" x14ac:dyDescent="0.25">
      <c r="A109" t="str">
        <f ca="1">IF(_xll.TM1RPTELISCONSOLIDATED($D$28,$D109),IF(_xll.TM1RPTELLEV($D$28,$D109)&lt;=3,_xll.TM1RPTELLEV($D$28,$D109),"D"),"N")</f>
        <v>N</v>
      </c>
      <c r="B109" t="str">
        <f ca="1">_xll.DBRA(Server&amp;"Management_organization",$D109,$B$27)</f>
        <v>L</v>
      </c>
      <c r="C109">
        <v>1</v>
      </c>
      <c r="D109" s="2" t="s">
        <v>334</v>
      </c>
      <c r="E109" s="26"/>
      <c r="F109" s="26"/>
      <c r="G109" s="16">
        <f ca="1">_xll.DBRW($D$4,$E$7,$E$8,$E$9,$E$10,$E$12,$D109,$E$6,G$18,G$17)</f>
        <v>-2.8808800000002174E-3</v>
      </c>
      <c r="H109" s="16">
        <f ca="1">_xll.DBRW($D$4,$E$7,$E$8,$E$9,$E$10,$E$12,$D109,$E$6,H$18,H$17)</f>
        <v>-5.3340989999999998E-2</v>
      </c>
      <c r="I109" s="16">
        <f ca="1">_xll.DBRW($D$4,$E$7,$E$8,$E$9,$E$10,$E$12,$D109,$E$6,I$18,I$17)</f>
        <v>0</v>
      </c>
      <c r="J109" s="26">
        <f ca="1">_xll.DBRW($D$4,$E$7,$E$8,$E$9,$E$10,$E$12,$D109,$E$6,J$18,J$17)</f>
        <v>0</v>
      </c>
      <c r="K109" s="26">
        <f ca="1">_xll.DBRW($D$4,$E$7,$E$8,$E$9,$E$10,$E$12,$D109,$E$6,K$18,K$17)</f>
        <v>0</v>
      </c>
      <c r="L109" s="26">
        <f ca="1">_xll.DBRW($D$4,$E$7,$E$8,$E$9,$E$10,$E$12,$D109,$E$6,L$18,L$17)</f>
        <v>0</v>
      </c>
      <c r="M109" s="26">
        <f ca="1">_xll.DBRW($D$4,$E$7,$E$8,$E$9,$E$10,$E$12,$D109,$E$6,M$18,M$17)</f>
        <v>0</v>
      </c>
      <c r="N109" s="16">
        <f ca="1">_xll.DBRW($D$4,$E$7,$E$8,$E$9,$E$10,$E$12,$D109,$E$6,N$18,N$17)</f>
        <v>5.046010999999978E-2</v>
      </c>
      <c r="O109" s="16">
        <f ca="1">_xll.DBRW($D$4,$E$7,$E$8,$E$9,$E$10,$E$12,$D109,$E$6,O$18,O$17)</f>
        <v>0.28713982999999976</v>
      </c>
      <c r="P109" s="74">
        <f ca="1">_xll.DBRW($D$4,$E$7,$E$8,$E$9,$E$10,$E$12,$D109,$E$6,P$18,P$17)</f>
        <v>-1.3630099999999978E-3</v>
      </c>
      <c r="Q109" s="16">
        <f ca="1">_xll.DBRW($D$4,$E$7,$E$8,$E$9,$E$10,$E$12,$D109,$E$6,Q$18,Q$17)</f>
        <v>4.7468510376982498E-3</v>
      </c>
      <c r="R109" s="16"/>
      <c r="S109" s="16"/>
      <c r="T109" s="16"/>
      <c r="U109" s="16"/>
      <c r="V109" s="16">
        <f ca="1">_xll.DBRW($D$4,$E$7,$E$8,$E$9,$E$10,$E$12,$D109,$E$6,V$18,V$17)</f>
        <v>-7.5114799999999992E-3</v>
      </c>
      <c r="W109" s="16">
        <f ca="1">_xll.DBRW($D$4,$E$7,$E$8,$E$9,$E$10,$E$12,$D109,$E$6,W$18,W$17)</f>
        <v>2.6159658867249469E-2</v>
      </c>
      <c r="X109" s="16"/>
      <c r="Y109" s="16"/>
      <c r="Z109" s="16"/>
      <c r="AA109" s="16"/>
      <c r="AB109" s="16">
        <f ca="1">_xll.DBRW($D$4,$E$7,$E$8,$E$9,$E$10,$E$12,$D109,$E$6,AB$18,AB$17)</f>
        <v>-1.3627800000000001E-3</v>
      </c>
      <c r="AC109" s="16">
        <f ca="1">_xll.DBRW($D$4,$E$7,$E$8,$E$9,$E$10,$E$12,$D109,$E$6,AC$18,AC$17)</f>
        <v>4.746050034228972E-3</v>
      </c>
      <c r="AD109" s="16"/>
      <c r="AE109" s="16"/>
      <c r="AF109" s="16"/>
      <c r="AG109" s="16"/>
      <c r="AH109" s="16">
        <f ca="1">_xll.DBRW($D$4,$E$7,$E$8,$E$9,$E$10,$E$12,$D109,$E$6,AH$18,AH$17)</f>
        <v>-4.032640000000004E-3</v>
      </c>
      <c r="AI109" s="16">
        <f ca="1">_xll.DBRW($D$4,$E$7,$E$8,$E$9,$E$10,$E$12,$D109,$E$6,AI$18,AI$17)</f>
        <v>1.4044167958168699E-2</v>
      </c>
      <c r="AJ109" s="16"/>
      <c r="AK109" s="16"/>
      <c r="AL109" s="16"/>
      <c r="AM109" s="16"/>
      <c r="AN109" s="16">
        <f ca="1">_xll.DBRW($D$4,$E$7,$E$8,$E$9,$E$10,$E$12,$D109,$E$6,AN$18,AN$17)</f>
        <v>-0.22240981000000001</v>
      </c>
      <c r="AO109" s="16">
        <f ca="1">_xll.DBRW($D$4,$E$7,$E$8,$E$9,$E$10,$E$12,$D109,$E$6,AO$18,AO$17)</f>
        <v>0.77456969310039714</v>
      </c>
      <c r="AP109" s="16"/>
      <c r="AQ109" s="16"/>
      <c r="AR109" s="16"/>
      <c r="AS109" s="16"/>
      <c r="AT109" s="16">
        <f ca="1">_xll.DBRW($D$4,$E$7,$E$8,$E$9,$E$10,$E$12,$D109,$E$6,AT$18,AT$17)</f>
        <v>0</v>
      </c>
      <c r="AU109" s="16">
        <f ca="1">_xll.DBRW($D$4,$E$7,$E$8,$E$9,$E$10,$E$12,$D109,$E$6,AU$18,AU$17)</f>
        <v>0</v>
      </c>
      <c r="AV109" s="16">
        <f ca="1">_xll.DBRW($D$4,$E$7,$E$8,$E$9,$E$10,$E$12,$D109,$E$6,AV$18,AV$17)</f>
        <v>0</v>
      </c>
      <c r="AW109" s="16">
        <f ca="1">_xll.DBRW($D$4,$E$7,$E$8,$E$9,$E$10,$E$12,$D109,$E$6,AW$18,AW$17)</f>
        <v>0</v>
      </c>
      <c r="AX109" s="16">
        <f ca="1">_xll.DBRW($D$4,$E$7,$E$8,$E$9,$E$10,$E$12,$D109,$E$6,AX$18,AX$17)</f>
        <v>0</v>
      </c>
      <c r="AY109" s="16">
        <f ca="1">_xll.DBRW($D$4,$E$7,$E$8,$E$9,$E$10,$E$12,$D109,$E$6,AY$18,AY$17)</f>
        <v>0</v>
      </c>
      <c r="AZ109" s="16">
        <f ca="1">_xll.DBRW($D$4,$E$7,$E$8,$E$9,$E$10,$E$12,$D109,$E$6,AZ$18,AZ$17)</f>
        <v>0</v>
      </c>
      <c r="BA109" s="16">
        <f ca="1">_xll.DBRW($D$4,$E$7,$E$8,$E$9,$E$10,$E$12,$D109,$E$6,BA$18,BA$17)</f>
        <v>0</v>
      </c>
      <c r="BB109" s="16">
        <f ca="1">_xll.DBRW($D$4,$E$7,$E$8,$E$9,$E$10,$E$12,$D109,$E$6,BB$18,BB$17)</f>
        <v>0</v>
      </c>
      <c r="BC109" s="16">
        <f ca="1">_xll.DBRW($D$4,$E$7,$E$8,$E$9,$E$10,$E$12,$D109,$E$6,BC$18,BC$17)</f>
        <v>0</v>
      </c>
      <c r="BD109" s="16">
        <f ca="1">_xll.DBRW($D$4,$E$7,$E$8,$E$9,$E$10,$E$12,$D109,$E$6,BD$18,BD$17)</f>
        <v>8.5025888458603482E-2</v>
      </c>
      <c r="BE109" s="16">
        <f ca="1">_xll.DBRW($D$4,$E$7,$E$8,$E$9,$E$10,$E$12,$D109,$E$6,BE$18,BE$17)</f>
        <v>-0.16624869507034479</v>
      </c>
      <c r="BF109" s="16">
        <f ca="1">_xll.DBRW($D$4,$E$7,$E$8,$E$9,$E$10,$E$12,$D109,$E$6,BF$18,BF$17)</f>
        <v>0</v>
      </c>
      <c r="BG109" s="26">
        <f ca="1">_xll.DBRW($D$4,$E$7,$E$8,$E$9,$E$10,$E$12,$D109,$E$6,BG$18,BG$17)</f>
        <v>0</v>
      </c>
      <c r="BH109" s="26">
        <f ca="1">_xll.DBRW($D$4,$E$7,$E$8,$E$9,$E$10,$E$12,$D109,$E$6,BH$18,BH$17)</f>
        <v>0</v>
      </c>
      <c r="BI109" s="26">
        <f ca="1">_xll.DBRW($D$4,$E$7,$E$8,$E$9,$E$10,$E$12,$D109,$E$6,BI$18,BI$17)</f>
        <v>0</v>
      </c>
      <c r="BJ109" s="26">
        <f ca="1">_xll.DBRW($D$4,$E$7,$E$8,$E$9,$E$10,$E$12,$D109,$E$6,BJ$18,BJ$17)</f>
        <v>0</v>
      </c>
      <c r="BK109" s="16">
        <f ca="1">_xll.DBRW($D$4,$E$7,$E$8,$E$9,$E$10,$E$12,$D109,$E$6,BK$18,BK$17)</f>
        <v>0.25127458352894827</v>
      </c>
      <c r="BL109" s="16">
        <f ca="1">_xll.DBRW($D$4,$E$7,$E$8,$E$9,$E$10,$E$12,$D109,$E$6,BL$18,BL$17)</f>
        <v>1.4494341547179184</v>
      </c>
      <c r="BM109" s="16">
        <f ca="1">_xll.DBRW($D$4,$E$7,$E$8,$E$9,$E$10,$E$12,$D109,$E$6,BM$18,BM$17)</f>
        <v>-0.50741614548684211</v>
      </c>
      <c r="BN109" s="16">
        <f ca="1">_xll.DBRW($D$4,$E$7,$E$8,$E$9,$E$10,$E$12,$D109,$E$6,BN$18,BN$17)</f>
        <v>0.35007878338950338</v>
      </c>
      <c r="BO109" s="16"/>
      <c r="BP109" s="16"/>
      <c r="BQ109" s="16"/>
      <c r="BR109" s="16"/>
      <c r="BS109" s="16">
        <f ca="1">_xll.DBRW($D$4,$E$7,$E$8,$E$9,$E$10,$E$12,$D109,$E$6,BS$18,BS$17)</f>
        <v>-0.15393975943307808</v>
      </c>
      <c r="BT109" s="16">
        <f ca="1">_xll.DBRW($D$4,$E$7,$E$8,$E$9,$E$10,$E$12,$D109,$E$6,BT$18,BT$17)</f>
        <v>0.10620679727464892</v>
      </c>
      <c r="BU109" s="16"/>
      <c r="BV109" s="16"/>
      <c r="BW109" s="16"/>
      <c r="BX109" s="16"/>
      <c r="BY109" s="16">
        <f ca="1">_xll.DBRW($D$4,$E$7,$E$8,$E$9,$E$10,$E$12,$D109,$E$6,BY$18,BY$17)</f>
        <v>-9.2384175917239408E-2</v>
      </c>
      <c r="BZ109" s="16">
        <f ca="1">_xll.DBRW($D$4,$E$7,$E$8,$E$9,$E$10,$E$12,$D109,$E$6,BZ$18,BZ$17)</f>
        <v>6.37380978063255E-2</v>
      </c>
      <c r="CA109" s="16"/>
      <c r="CB109" s="16"/>
      <c r="CC109" s="16"/>
      <c r="CD109" s="16"/>
      <c r="CE109" s="16">
        <f ca="1">_xll.DBRW($D$4,$E$7,$E$8,$E$9,$E$10,$E$12,$D109,$E$6,CE$18,CE$17)</f>
        <v>-0.12317603747499999</v>
      </c>
      <c r="CF109" s="16">
        <f ca="1">_xll.DBRW($D$4,$E$7,$E$8,$E$9,$E$10,$E$12,$D109,$E$6,CF$18,CF$17)</f>
        <v>8.4982154638802404E-2</v>
      </c>
      <c r="CG109" s="16"/>
      <c r="CH109" s="16"/>
      <c r="CI109" s="16"/>
      <c r="CJ109" s="16"/>
      <c r="CK109" s="16">
        <f ca="1">_xll.DBRW($D$4,$E$7,$E$8,$E$9,$E$10,$E$12,$D109,$E$6,CK$18,CK$17)</f>
        <v>-0.32124345287681011</v>
      </c>
      <c r="CL109" s="16">
        <f ca="1">_xll.DBRW($D$4,$E$7,$E$8,$E$9,$E$10,$E$12,$D109,$E$6,CL$18,CL$17)</f>
        <v>0.22163369879974223</v>
      </c>
      <c r="CM109" s="16"/>
      <c r="CN109" s="16"/>
      <c r="CO109" s="16"/>
      <c r="CP109" s="16"/>
      <c r="CQ109" s="16">
        <f ca="1">_xll.DBRW($D$4,$E$7,$E$8,$E$9,$E$10,$E$12,$D109,$E$6,CQ$18,CQ$17)</f>
        <v>2.2004668099999996E-2</v>
      </c>
      <c r="CR109" s="16">
        <f ca="1">_xll.DBRW($D$4,$E$7,$E$8,$E$9,$E$10,$E$12,$D109,$E$6,CR$18,CR$17)</f>
        <v>0.32527149999999999</v>
      </c>
      <c r="CS109" s="16">
        <f ca="1">_xll.DBRW($D$4,$E$7,$E$8,$E$9,$E$10,$E$12,$D109,$E$6,CS$18,CS$17)</f>
        <v>0.32527149999999999</v>
      </c>
      <c r="CT109" s="16">
        <f ca="1">_xll.DBRW($D$4,$E$7,$E$8,$E$9,$E$10,$E$12,$D109,$E$6,CT$18,CT$17)</f>
        <v>0.32527149999999999</v>
      </c>
      <c r="CU109" s="16">
        <f ca="1">_xll.DBRW($D$4,$E$7,$E$8,$E$9,$E$10,$E$12,$D109,$E$6,CU$18,CU$17)</f>
        <v>0.107348566020497</v>
      </c>
      <c r="CV109" s="16">
        <f ca="1">_xll.DBRW($D$4,$E$7,$E$8,$E$9,$E$10,$E$12,$D109,$E$6,CV$18,CV$17)</f>
        <v>0.32527149999999999</v>
      </c>
      <c r="CW109" s="16">
        <f ca="1">_xll.DBRW($D$4,$E$7,$E$8,$E$9,$E$10,$E$12,$D109,$E$6,CW$18,CW$17)</f>
        <v>0.27190500000000001</v>
      </c>
      <c r="CX109" s="16">
        <f ca="1">_xll.DBRW($D$4,$E$7,$E$8,$E$9,$E$10,$E$12,$D109,$E$6,CX$18,CX$17)</f>
        <v>0.32527149999999999</v>
      </c>
      <c r="CY109" s="16">
        <f ca="1">_xll.DBRW($D$4,$E$7,$E$8,$E$9,$E$10,$E$12,$D109,$E$6,CY$18,CY$17)</f>
        <v>0.32527149999999999</v>
      </c>
      <c r="CZ109" s="16">
        <f ca="1">_xll.DBRW($D$4,$E$7,$E$8,$E$9,$E$10,$E$12,$D109,$E$6,CZ$18,CZ$17)</f>
        <v>0.32527149999999999</v>
      </c>
      <c r="DA109" s="26">
        <f t="shared" ca="1" si="108"/>
        <v>-8.7906768458603707E-2</v>
      </c>
      <c r="DB109" s="26">
        <f t="shared" ca="1" si="109"/>
        <v>0.11290770507034478</v>
      </c>
      <c r="DC109" s="26">
        <f t="shared" ca="1" si="110"/>
        <v>0</v>
      </c>
      <c r="DD109" s="26">
        <f t="shared" ca="1" si="111"/>
        <v>0</v>
      </c>
      <c r="DE109" s="26">
        <f t="shared" ca="1" si="112"/>
        <v>0</v>
      </c>
      <c r="DF109" s="26">
        <f t="shared" ca="1" si="113"/>
        <v>0</v>
      </c>
      <c r="DG109" s="26">
        <f t="shared" ca="1" si="114"/>
        <v>0</v>
      </c>
      <c r="DH109" s="26">
        <f t="shared" ca="1" si="115"/>
        <v>-0.20081447352894849</v>
      </c>
      <c r="DI109" s="26">
        <f t="shared" ca="1" si="116"/>
        <v>-1.1622943247179185</v>
      </c>
      <c r="DJ109" s="26">
        <f t="shared" ca="1" si="117"/>
        <v>0.50605313548684205</v>
      </c>
      <c r="DK109" s="26">
        <f t="shared" ca="1" si="118"/>
        <v>-0.34533193235180515</v>
      </c>
      <c r="DL109" s="26"/>
      <c r="DM109" s="26"/>
      <c r="DN109" s="26"/>
      <c r="DO109" s="26"/>
      <c r="DP109" s="26">
        <f t="shared" ca="1" si="119"/>
        <v>0.1464282794330781</v>
      </c>
      <c r="DQ109" s="26">
        <f t="shared" ca="1" si="120"/>
        <v>-8.0047138407399451E-2</v>
      </c>
      <c r="DR109" s="26"/>
      <c r="DS109" s="26"/>
      <c r="DT109" s="26"/>
      <c r="DU109" s="26"/>
      <c r="DV109" s="26">
        <f t="shared" ca="1" si="121"/>
        <v>9.1021395917239414E-2</v>
      </c>
      <c r="DW109" s="26">
        <f t="shared" ca="1" si="122"/>
        <v>-5.8992047772096531E-2</v>
      </c>
      <c r="DX109" s="26"/>
      <c r="DY109" s="26"/>
      <c r="DZ109" s="26"/>
      <c r="EA109" s="26"/>
      <c r="EB109" s="26">
        <f t="shared" ca="1" si="123"/>
        <v>0.11914339747499998</v>
      </c>
      <c r="EC109" s="26">
        <f t="shared" ca="1" si="124"/>
        <v>-7.0937986680633711E-2</v>
      </c>
      <c r="ED109" s="26"/>
      <c r="EE109" s="26"/>
      <c r="EF109" s="26"/>
      <c r="EG109" s="26"/>
      <c r="EH109" s="26">
        <f t="shared" ca="1" si="125"/>
        <v>9.8833642876810096E-2</v>
      </c>
      <c r="EI109" s="29">
        <f t="shared" ca="1" si="126"/>
        <v>0.55293599430065488</v>
      </c>
      <c r="EJ109" s="29"/>
      <c r="EK109" s="29"/>
      <c r="EL109" s="29"/>
      <c r="EM109" s="29"/>
      <c r="EN109" s="93"/>
      <c r="EO109" s="29"/>
      <c r="EP109" s="29"/>
      <c r="EQ109" s="29"/>
      <c r="ER109" s="29"/>
      <c r="ES109" s="29"/>
      <c r="ET109" s="29"/>
      <c r="EU109" s="93"/>
      <c r="EV109" s="29"/>
      <c r="EW109" s="29"/>
      <c r="EX109" s="29"/>
      <c r="EY109" s="29"/>
      <c r="EZ109" s="29"/>
      <c r="FA109" s="29"/>
      <c r="FB109" s="93"/>
      <c r="FC109" s="29"/>
      <c r="FD109" s="29"/>
      <c r="FE109" s="29"/>
      <c r="FF109" s="29"/>
      <c r="FG109" s="29"/>
      <c r="FH109" s="29"/>
      <c r="FI109" s="93"/>
      <c r="FJ109" s="29"/>
      <c r="FK109" s="29"/>
      <c r="FL109" s="29"/>
      <c r="FM109" s="29"/>
      <c r="FN109" s="29"/>
      <c r="FO109" s="29"/>
      <c r="FP109" s="93"/>
      <c r="FQ109" s="29"/>
      <c r="FR109" s="29"/>
      <c r="FS109" s="29"/>
      <c r="FT109" s="29"/>
      <c r="FU109" s="29"/>
      <c r="FV109" s="29"/>
    </row>
    <row r="110" spans="1:178" x14ac:dyDescent="0.25">
      <c r="A110" t="str">
        <f ca="1">IF(_xll.TM1RPTELISCONSOLIDATED($D$28,$D110),IF(_xll.TM1RPTELLEV($D$28,$D110)&lt;=3,_xll.TM1RPTELLEV($D$28,$D110),"D"),"N")</f>
        <v>N</v>
      </c>
      <c r="B110" t="str">
        <f ca="1">_xll.DBRA(Server&amp;"Management_organization",$D110,$B$27)</f>
        <v>L</v>
      </c>
      <c r="C110">
        <v>1</v>
      </c>
      <c r="D110" s="2" t="s">
        <v>335</v>
      </c>
      <c r="E110" s="26"/>
      <c r="F110" s="26"/>
      <c r="G110" s="16">
        <f ca="1">_xll.DBRW($D$4,$E$7,$E$8,$E$9,$E$10,$E$12,$D110,$E$6,G$18,G$17)</f>
        <v>5.9859490000000015E-2</v>
      </c>
      <c r="H110" s="16">
        <f ca="1">_xll.DBRW($D$4,$E$7,$E$8,$E$9,$E$10,$E$12,$D110,$E$6,H$18,H$17)</f>
        <v>-9.7818130000000003E-2</v>
      </c>
      <c r="I110" s="16">
        <f ca="1">_xll.DBRW($D$4,$E$7,$E$8,$E$9,$E$10,$E$12,$D110,$E$6,I$18,I$17)</f>
        <v>0</v>
      </c>
      <c r="J110" s="26">
        <f ca="1">_xll.DBRW($D$4,$E$7,$E$8,$E$9,$E$10,$E$12,$D110,$E$6,J$18,J$17)</f>
        <v>0</v>
      </c>
      <c r="K110" s="26">
        <f ca="1">_xll.DBRW($D$4,$E$7,$E$8,$E$9,$E$10,$E$12,$D110,$E$6,K$18,K$17)</f>
        <v>0</v>
      </c>
      <c r="L110" s="26">
        <f ca="1">_xll.DBRW($D$4,$E$7,$E$8,$E$9,$E$10,$E$12,$D110,$E$6,L$18,L$17)</f>
        <v>0</v>
      </c>
      <c r="M110" s="26">
        <f ca="1">_xll.DBRW($D$4,$E$7,$E$8,$E$9,$E$10,$E$12,$D110,$E$6,M$18,M$17)</f>
        <v>0</v>
      </c>
      <c r="N110" s="16">
        <f ca="1">_xll.DBRW($D$4,$E$7,$E$8,$E$9,$E$10,$E$12,$D110,$E$6,N$18,N$17)</f>
        <v>0.15767762000000002</v>
      </c>
      <c r="O110" s="16">
        <f ca="1">_xll.DBRW($D$4,$E$7,$E$8,$E$9,$E$10,$E$12,$D110,$E$6,O$18,O$17)</f>
        <v>1.1535413999999999</v>
      </c>
      <c r="P110" s="74">
        <f ca="1">_xll.DBRW($D$4,$E$7,$E$8,$E$9,$E$10,$E$12,$D110,$E$6,P$18,P$17)</f>
        <v>-0.49189269999999996</v>
      </c>
      <c r="Q110" s="16">
        <f ca="1">_xll.DBRW($D$4,$E$7,$E$8,$E$9,$E$10,$E$12,$D110,$E$6,Q$18,Q$17)</f>
        <v>0.42641963262003424</v>
      </c>
      <c r="R110" s="16"/>
      <c r="S110" s="16"/>
      <c r="T110" s="16"/>
      <c r="U110" s="16"/>
      <c r="V110" s="16">
        <f ca="1">_xll.DBRW($D$4,$E$7,$E$8,$E$9,$E$10,$E$12,$D110,$E$6,V$18,V$17)</f>
        <v>-0.12340486000000001</v>
      </c>
      <c r="W110" s="16">
        <f ca="1">_xll.DBRW($D$4,$E$7,$E$8,$E$9,$E$10,$E$12,$D110,$E$6,W$18,W$17)</f>
        <v>0.10697913399553757</v>
      </c>
      <c r="X110" s="16"/>
      <c r="Y110" s="16"/>
      <c r="Z110" s="16"/>
      <c r="AA110" s="16"/>
      <c r="AB110" s="16">
        <f ca="1">_xll.DBRW($D$4,$E$7,$E$8,$E$9,$E$10,$E$12,$D110,$E$6,AB$18,AB$17)</f>
        <v>-0.10329283999999998</v>
      </c>
      <c r="AC110" s="16">
        <f ca="1">_xll.DBRW($D$4,$E$7,$E$8,$E$9,$E$10,$E$12,$D110,$E$6,AC$18,AC$17)</f>
        <v>8.9544111724121897E-2</v>
      </c>
      <c r="AD110" s="16"/>
      <c r="AE110" s="16"/>
      <c r="AF110" s="16"/>
      <c r="AG110" s="16"/>
      <c r="AH110" s="16">
        <f ca="1">_xll.DBRW($D$4,$E$7,$E$8,$E$9,$E$10,$E$12,$D110,$E$6,AH$18,AH$17)</f>
        <v>-0.10972354000000001</v>
      </c>
      <c r="AI110" s="16">
        <f ca="1">_xll.DBRW($D$4,$E$7,$E$8,$E$9,$E$10,$E$12,$D110,$E$6,AI$18,AI$17)</f>
        <v>9.5118857459298822E-2</v>
      </c>
      <c r="AJ110" s="16"/>
      <c r="AK110" s="16"/>
      <c r="AL110" s="16"/>
      <c r="AM110" s="16"/>
      <c r="AN110" s="16">
        <f ca="1">_xll.DBRW($D$4,$E$7,$E$8,$E$9,$E$10,$E$12,$D110,$E$6,AN$18,AN$17)</f>
        <v>-0.16754984000000001</v>
      </c>
      <c r="AO110" s="16">
        <f ca="1">_xll.DBRW($D$4,$E$7,$E$8,$E$9,$E$10,$E$12,$D110,$E$6,AO$18,AO$17)</f>
        <v>0.14524822429433396</v>
      </c>
      <c r="AP110" s="16"/>
      <c r="AQ110" s="16"/>
      <c r="AR110" s="16"/>
      <c r="AS110" s="16"/>
      <c r="AT110" s="16">
        <f ca="1">_xll.DBRW($D$4,$E$7,$E$8,$E$9,$E$10,$E$12,$D110,$E$6,AT$18,AT$17)</f>
        <v>2.039705E-2</v>
      </c>
      <c r="AU110" s="16">
        <f ca="1">_xll.DBRW($D$4,$E$7,$E$8,$E$9,$E$10,$E$12,$D110,$E$6,AU$18,AU$17)</f>
        <v>0.283331</v>
      </c>
      <c r="AV110" s="16">
        <f ca="1">_xll.DBRW($D$4,$E$7,$E$8,$E$9,$E$10,$E$12,$D110,$E$6,AV$18,AV$17)</f>
        <v>0.283331</v>
      </c>
      <c r="AW110" s="16">
        <f ca="1">_xll.DBRW($D$4,$E$7,$E$8,$E$9,$E$10,$E$12,$D110,$E$6,AW$18,AW$17)</f>
        <v>0.283331</v>
      </c>
      <c r="AX110" s="16">
        <f ca="1">_xll.DBRW($D$4,$E$7,$E$8,$E$9,$E$10,$E$12,$D110,$E$6,AX$18,AX$17)</f>
        <v>0.10713768000000001</v>
      </c>
      <c r="AY110" s="16">
        <f ca="1">_xll.DBRW($D$4,$E$7,$E$8,$E$9,$E$10,$E$12,$D110,$E$6,AY$18,AY$17)</f>
        <v>0.283331</v>
      </c>
      <c r="AZ110" s="16">
        <f ca="1">_xll.DBRW($D$4,$E$7,$E$8,$E$9,$E$10,$E$12,$D110,$E$6,AZ$18,AZ$17)</f>
        <v>0.25039360999999999</v>
      </c>
      <c r="BA110" s="16">
        <f ca="1">_xll.DBRW($D$4,$E$7,$E$8,$E$9,$E$10,$E$12,$D110,$E$6,BA$18,BA$17)</f>
        <v>0.283331</v>
      </c>
      <c r="BB110" s="16">
        <f ca="1">_xll.DBRW($D$4,$E$7,$E$8,$E$9,$E$10,$E$12,$D110,$E$6,BB$18,BB$17)</f>
        <v>0.283331</v>
      </c>
      <c r="BC110" s="16">
        <f ca="1">_xll.DBRW($D$4,$E$7,$E$8,$E$9,$E$10,$E$12,$D110,$E$6,BC$18,BC$17)</f>
        <v>0.283331</v>
      </c>
      <c r="BD110" s="16">
        <f ca="1">_xll.DBRW($D$4,$E$7,$E$8,$E$9,$E$10,$E$12,$D110,$E$6,BD$18,BD$17)</f>
        <v>0</v>
      </c>
      <c r="BE110" s="16">
        <f ca="1">_xll.DBRW($D$4,$E$7,$E$8,$E$9,$E$10,$E$12,$D110,$E$6,BE$18,BE$17)</f>
        <v>0</v>
      </c>
      <c r="BF110" s="16">
        <f ca="1">_xll.DBRW($D$4,$E$7,$E$8,$E$9,$E$10,$E$12,$D110,$E$6,BF$18,BF$17)</f>
        <v>0</v>
      </c>
      <c r="BG110" s="26">
        <f ca="1">_xll.DBRW($D$4,$E$7,$E$8,$E$9,$E$10,$E$12,$D110,$E$6,BG$18,BG$17)</f>
        <v>0</v>
      </c>
      <c r="BH110" s="26">
        <f ca="1">_xll.DBRW($D$4,$E$7,$E$8,$E$9,$E$10,$E$12,$D110,$E$6,BH$18,BH$17)</f>
        <v>0</v>
      </c>
      <c r="BI110" s="26">
        <f ca="1">_xll.DBRW($D$4,$E$7,$E$8,$E$9,$E$10,$E$12,$D110,$E$6,BI$18,BI$17)</f>
        <v>0</v>
      </c>
      <c r="BJ110" s="26">
        <f ca="1">_xll.DBRW($D$4,$E$7,$E$8,$E$9,$E$10,$E$12,$D110,$E$6,BJ$18,BJ$17)</f>
        <v>0</v>
      </c>
      <c r="BK110" s="16">
        <f ca="1">_xll.DBRW($D$4,$E$7,$E$8,$E$9,$E$10,$E$12,$D110,$E$6,BK$18,BK$17)</f>
        <v>0</v>
      </c>
      <c r="BL110" s="16">
        <f ca="1">_xll.DBRW($D$4,$E$7,$E$8,$E$9,$E$10,$E$12,$D110,$E$6,BL$18,BL$17)</f>
        <v>0</v>
      </c>
      <c r="BM110" s="16">
        <f ca="1">_xll.DBRW($D$4,$E$7,$E$8,$E$9,$E$10,$E$12,$D110,$E$6,BM$18,BM$17)</f>
        <v>0</v>
      </c>
      <c r="BN110" s="16">
        <f ca="1">_xll.DBRW($D$4,$E$7,$E$8,$E$9,$E$10,$E$12,$D110,$E$6,BN$18,BN$17)</f>
        <v>0</v>
      </c>
      <c r="BO110" s="16"/>
      <c r="BP110" s="16"/>
      <c r="BQ110" s="16"/>
      <c r="BR110" s="16"/>
      <c r="BS110" s="16">
        <f ca="1">_xll.DBRW($D$4,$E$7,$E$8,$E$9,$E$10,$E$12,$D110,$E$6,BS$18,BS$17)</f>
        <v>0</v>
      </c>
      <c r="BT110" s="16">
        <f ca="1">_xll.DBRW($D$4,$E$7,$E$8,$E$9,$E$10,$E$12,$D110,$E$6,BT$18,BT$17)</f>
        <v>0</v>
      </c>
      <c r="BU110" s="16"/>
      <c r="BV110" s="16"/>
      <c r="BW110" s="16"/>
      <c r="BX110" s="16"/>
      <c r="BY110" s="16">
        <f ca="1">_xll.DBRW($D$4,$E$7,$E$8,$E$9,$E$10,$E$12,$D110,$E$6,BY$18,BY$17)</f>
        <v>0</v>
      </c>
      <c r="BZ110" s="16">
        <f ca="1">_xll.DBRW($D$4,$E$7,$E$8,$E$9,$E$10,$E$12,$D110,$E$6,BZ$18,BZ$17)</f>
        <v>0</v>
      </c>
      <c r="CA110" s="16"/>
      <c r="CB110" s="16"/>
      <c r="CC110" s="16"/>
      <c r="CD110" s="16"/>
      <c r="CE110" s="16">
        <f ca="1">_xll.DBRW($D$4,$E$7,$E$8,$E$9,$E$10,$E$12,$D110,$E$6,CE$18,CE$17)</f>
        <v>0</v>
      </c>
      <c r="CF110" s="16">
        <f ca="1">_xll.DBRW($D$4,$E$7,$E$8,$E$9,$E$10,$E$12,$D110,$E$6,CF$18,CF$17)</f>
        <v>0</v>
      </c>
      <c r="CG110" s="16"/>
      <c r="CH110" s="16"/>
      <c r="CI110" s="16"/>
      <c r="CJ110" s="16"/>
      <c r="CK110" s="16">
        <f ca="1">_xll.DBRW($D$4,$E$7,$E$8,$E$9,$E$10,$E$12,$D110,$E$6,CK$18,CK$17)</f>
        <v>0</v>
      </c>
      <c r="CL110" s="16">
        <f ca="1">_xll.DBRW($D$4,$E$7,$E$8,$E$9,$E$10,$E$12,$D110,$E$6,CL$18,CL$17)</f>
        <v>0</v>
      </c>
      <c r="CM110" s="16"/>
      <c r="CN110" s="16"/>
      <c r="CO110" s="16"/>
      <c r="CP110" s="16"/>
      <c r="CQ110" s="16">
        <f ca="1">_xll.DBRW($D$4,$E$7,$E$8,$E$9,$E$10,$E$12,$D110,$E$6,CQ$18,CQ$17)</f>
        <v>0</v>
      </c>
      <c r="CR110" s="16">
        <f ca="1">_xll.DBRW($D$4,$E$7,$E$8,$E$9,$E$10,$E$12,$D110,$E$6,CR$18,CR$17)</f>
        <v>0</v>
      </c>
      <c r="CS110" s="16">
        <f ca="1">_xll.DBRW($D$4,$E$7,$E$8,$E$9,$E$10,$E$12,$D110,$E$6,CS$18,CS$17)</f>
        <v>0</v>
      </c>
      <c r="CT110" s="16">
        <f ca="1">_xll.DBRW($D$4,$E$7,$E$8,$E$9,$E$10,$E$12,$D110,$E$6,CT$18,CT$17)</f>
        <v>0</v>
      </c>
      <c r="CU110" s="16">
        <f ca="1">_xll.DBRW($D$4,$E$7,$E$8,$E$9,$E$10,$E$12,$D110,$E$6,CU$18,CU$17)</f>
        <v>0</v>
      </c>
      <c r="CV110" s="16">
        <f ca="1">_xll.DBRW($D$4,$E$7,$E$8,$E$9,$E$10,$E$12,$D110,$E$6,CV$18,CV$17)</f>
        <v>0</v>
      </c>
      <c r="CW110" s="16">
        <f ca="1">_xll.DBRW($D$4,$E$7,$E$8,$E$9,$E$10,$E$12,$D110,$E$6,CW$18,CW$17)</f>
        <v>0</v>
      </c>
      <c r="CX110" s="16">
        <f ca="1">_xll.DBRW($D$4,$E$7,$E$8,$E$9,$E$10,$E$12,$D110,$E$6,CX$18,CX$17)</f>
        <v>0</v>
      </c>
      <c r="CY110" s="16">
        <f ca="1">_xll.DBRW($D$4,$E$7,$E$8,$E$9,$E$10,$E$12,$D110,$E$6,CY$18,CY$17)</f>
        <v>0</v>
      </c>
      <c r="CZ110" s="16">
        <f ca="1">_xll.DBRW($D$4,$E$7,$E$8,$E$9,$E$10,$E$12,$D110,$E$6,CZ$18,CZ$17)</f>
        <v>0</v>
      </c>
      <c r="DA110" s="26">
        <f t="shared" ca="1" si="108"/>
        <v>5.9859490000000015E-2</v>
      </c>
      <c r="DB110" s="26">
        <f t="shared" ca="1" si="109"/>
        <v>-9.7818130000000003E-2</v>
      </c>
      <c r="DC110" s="26">
        <f t="shared" ca="1" si="110"/>
        <v>0</v>
      </c>
      <c r="DD110" s="26">
        <f t="shared" ca="1" si="111"/>
        <v>0</v>
      </c>
      <c r="DE110" s="26">
        <f t="shared" ca="1" si="112"/>
        <v>0</v>
      </c>
      <c r="DF110" s="26">
        <f t="shared" ca="1" si="113"/>
        <v>0</v>
      </c>
      <c r="DG110" s="26">
        <f t="shared" ca="1" si="114"/>
        <v>0</v>
      </c>
      <c r="DH110" s="26">
        <f t="shared" ca="1" si="115"/>
        <v>0.15767762000000002</v>
      </c>
      <c r="DI110" s="26">
        <f t="shared" ca="1" si="116"/>
        <v>1.1535413999999999</v>
      </c>
      <c r="DJ110" s="26">
        <f t="shared" ca="1" si="117"/>
        <v>-0.49189269999999996</v>
      </c>
      <c r="DK110" s="26">
        <f t="shared" ca="1" si="118"/>
        <v>0.42641963262003424</v>
      </c>
      <c r="DL110" s="26"/>
      <c r="DM110" s="26"/>
      <c r="DN110" s="26"/>
      <c r="DO110" s="26"/>
      <c r="DP110" s="26">
        <f t="shared" ca="1" si="119"/>
        <v>-0.12340486000000001</v>
      </c>
      <c r="DQ110" s="26">
        <f t="shared" ca="1" si="120"/>
        <v>0.10697913399553757</v>
      </c>
      <c r="DR110" s="26"/>
      <c r="DS110" s="26"/>
      <c r="DT110" s="26"/>
      <c r="DU110" s="26"/>
      <c r="DV110" s="26">
        <f t="shared" ca="1" si="121"/>
        <v>-0.10329283999999998</v>
      </c>
      <c r="DW110" s="26">
        <f t="shared" ca="1" si="122"/>
        <v>8.9544111724121897E-2</v>
      </c>
      <c r="DX110" s="26"/>
      <c r="DY110" s="26"/>
      <c r="DZ110" s="26"/>
      <c r="EA110" s="26"/>
      <c r="EB110" s="26">
        <f t="shared" ca="1" si="123"/>
        <v>-0.10972354000000001</v>
      </c>
      <c r="EC110" s="26">
        <f t="shared" ca="1" si="124"/>
        <v>9.5118857459298822E-2</v>
      </c>
      <c r="ED110" s="26"/>
      <c r="EE110" s="26"/>
      <c r="EF110" s="26"/>
      <c r="EG110" s="26"/>
      <c r="EH110" s="26">
        <f t="shared" ca="1" si="125"/>
        <v>-0.16754984000000001</v>
      </c>
      <c r="EI110" s="29">
        <f t="shared" ca="1" si="126"/>
        <v>0.14524822429433396</v>
      </c>
      <c r="EJ110" s="29"/>
      <c r="EK110" s="29"/>
      <c r="EL110" s="29"/>
      <c r="EM110" s="29"/>
      <c r="EN110" s="93"/>
      <c r="EO110" s="29"/>
      <c r="EP110" s="29"/>
      <c r="EQ110" s="29"/>
      <c r="ER110" s="29"/>
      <c r="ES110" s="29"/>
      <c r="ET110" s="29"/>
      <c r="EU110" s="93"/>
      <c r="EV110" s="29"/>
      <c r="EW110" s="29"/>
      <c r="EX110" s="29"/>
      <c r="EY110" s="29"/>
      <c r="EZ110" s="29"/>
      <c r="FA110" s="29"/>
      <c r="FB110" s="93"/>
      <c r="FC110" s="29"/>
      <c r="FD110" s="29"/>
      <c r="FE110" s="29"/>
      <c r="FF110" s="29"/>
      <c r="FG110" s="29"/>
      <c r="FH110" s="29"/>
      <c r="FI110" s="93"/>
      <c r="FJ110" s="29"/>
      <c r="FK110" s="29"/>
      <c r="FL110" s="29"/>
      <c r="FM110" s="29"/>
      <c r="FN110" s="29"/>
      <c r="FO110" s="29"/>
      <c r="FP110" s="93"/>
      <c r="FQ110" s="29"/>
      <c r="FR110" s="29"/>
      <c r="FS110" s="29"/>
      <c r="FT110" s="29"/>
      <c r="FU110" s="29"/>
      <c r="FV110" s="29"/>
    </row>
    <row r="111" spans="1:178" x14ac:dyDescent="0.25">
      <c r="A111" t="str">
        <f ca="1">IF(_xll.TM1RPTELISCONSOLIDATED($D$28,$D111),IF(_xll.TM1RPTELLEV($D$28,$D111)&lt;=3,_xll.TM1RPTELLEV($D$28,$D111),"D"),"N")</f>
        <v>N</v>
      </c>
      <c r="B111" t="str">
        <f ca="1">_xll.DBRA(Server&amp;"Management_organization",$D111,$B$27)</f>
        <v>L</v>
      </c>
      <c r="C111">
        <v>1</v>
      </c>
      <c r="D111" s="2" t="s">
        <v>153</v>
      </c>
      <c r="E111" s="26"/>
      <c r="F111" s="26"/>
      <c r="G111" s="16">
        <f ca="1">_xll.DBRW($D$4,$E$7,$E$8,$E$9,$E$10,$E$12,$D111,$E$6,G$18,G$17)</f>
        <v>8.0321489999999579E-2</v>
      </c>
      <c r="H111" s="16">
        <f ca="1">_xll.DBRW($D$4,$E$7,$E$8,$E$9,$E$10,$E$12,$D111,$E$6,H$18,H$17)</f>
        <v>-0.13087955999999998</v>
      </c>
      <c r="I111" s="16">
        <f ca="1">_xll.DBRW($D$4,$E$7,$E$8,$E$9,$E$10,$E$12,$D111,$E$6,I$18,I$17)</f>
        <v>0</v>
      </c>
      <c r="J111" s="26">
        <f ca="1">_xll.DBRW($D$4,$E$7,$E$8,$E$9,$E$10,$E$12,$D111,$E$6,J$18,J$17)</f>
        <v>0</v>
      </c>
      <c r="K111" s="26">
        <f ca="1">_xll.DBRW($D$4,$E$7,$E$8,$E$9,$E$10,$E$12,$D111,$E$6,K$18,K$17)</f>
        <v>0</v>
      </c>
      <c r="L111" s="26">
        <f ca="1">_xll.DBRW($D$4,$E$7,$E$8,$E$9,$E$10,$E$12,$D111,$E$6,L$18,L$17)</f>
        <v>0</v>
      </c>
      <c r="M111" s="26">
        <f ca="1">_xll.DBRW($D$4,$E$7,$E$8,$E$9,$E$10,$E$12,$D111,$E$6,M$18,M$17)</f>
        <v>0</v>
      </c>
      <c r="N111" s="16">
        <f ca="1">_xll.DBRW($D$4,$E$7,$E$8,$E$9,$E$10,$E$12,$D111,$E$6,N$18,N$17)</f>
        <v>0.21120104999999956</v>
      </c>
      <c r="O111" s="16">
        <f ca="1">_xll.DBRW($D$4,$E$7,$E$8,$E$9,$E$10,$E$12,$D111,$E$6,O$18,O$17)</f>
        <v>1.2583742099999997</v>
      </c>
      <c r="P111" s="74">
        <f ca="1">_xll.DBRW($D$4,$E$7,$E$8,$E$9,$E$10,$E$12,$D111,$E$6,P$18,P$17)</f>
        <v>-0.50165402000000003</v>
      </c>
      <c r="Q111" s="16">
        <f ca="1">_xll.DBRW($D$4,$E$7,$E$8,$E$9,$E$10,$E$12,$D111,$E$6,Q$18,Q$17)</f>
        <v>0.3986524962236791</v>
      </c>
      <c r="R111" s="16"/>
      <c r="S111" s="16"/>
      <c r="T111" s="16"/>
      <c r="U111" s="16"/>
      <c r="V111" s="16">
        <f ca="1">_xll.DBRW($D$4,$E$7,$E$8,$E$9,$E$10,$E$12,$D111,$E$6,V$18,V$17)</f>
        <v>-0.12339079</v>
      </c>
      <c r="W111" s="16">
        <f ca="1">_xll.DBRW($D$4,$E$7,$E$8,$E$9,$E$10,$E$12,$D111,$E$6,W$18,W$17)</f>
        <v>9.805572064290799E-2</v>
      </c>
      <c r="X111" s="16"/>
      <c r="Y111" s="16"/>
      <c r="Z111" s="16"/>
      <c r="AA111" s="16"/>
      <c r="AB111" s="16">
        <f ca="1">_xll.DBRW($D$4,$E$7,$E$8,$E$9,$E$10,$E$12,$D111,$E$6,AB$18,AB$17)</f>
        <v>-0.10310967000000001</v>
      </c>
      <c r="AC111" s="16">
        <f ca="1">_xll.DBRW($D$4,$E$7,$E$8,$E$9,$E$10,$E$12,$D111,$E$6,AC$18,AC$17)</f>
        <v>8.1938797839793645E-2</v>
      </c>
      <c r="AD111" s="16"/>
      <c r="AE111" s="16"/>
      <c r="AF111" s="16"/>
      <c r="AG111" s="16"/>
      <c r="AH111" s="16">
        <f ca="1">_xll.DBRW($D$4,$E$7,$E$8,$E$9,$E$10,$E$12,$D111,$E$6,AH$18,AH$17)</f>
        <v>-0.10109445</v>
      </c>
      <c r="AI111" s="16">
        <f ca="1">_xll.DBRW($D$4,$E$7,$E$8,$E$9,$E$10,$E$12,$D111,$E$6,AI$18,AI$17)</f>
        <v>8.0337350524690126E-2</v>
      </c>
      <c r="AJ111" s="16"/>
      <c r="AK111" s="16"/>
      <c r="AL111" s="16"/>
      <c r="AM111" s="16"/>
      <c r="AN111" s="16">
        <f ca="1">_xll.DBRW($D$4,$E$7,$E$8,$E$9,$E$10,$E$12,$D111,$E$6,AN$18,AN$17)</f>
        <v>-0.21792423</v>
      </c>
      <c r="AO111" s="16">
        <f ca="1">_xll.DBRW($D$4,$E$7,$E$8,$E$9,$E$10,$E$12,$D111,$E$6,AO$18,AO$17)</f>
        <v>0.17317919285710731</v>
      </c>
      <c r="AP111" s="16"/>
      <c r="AQ111" s="16"/>
      <c r="AR111" s="16"/>
      <c r="AS111" s="16"/>
      <c r="AT111" s="16">
        <f ca="1">_xll.DBRW($D$4,$E$7,$E$8,$E$9,$E$10,$E$12,$D111,$E$6,AT$18,AT$17)</f>
        <v>1.9565529999999998E-2</v>
      </c>
      <c r="AU111" s="16">
        <f ca="1">_xll.DBRW($D$4,$E$7,$E$8,$E$9,$E$10,$E$12,$D111,$E$6,AU$18,AU$17)</f>
        <v>0.22811899999999999</v>
      </c>
      <c r="AV111" s="16">
        <f ca="1">_xll.DBRW($D$4,$E$7,$E$8,$E$9,$E$10,$E$12,$D111,$E$6,AV$18,AV$17)</f>
        <v>0.22811899999999999</v>
      </c>
      <c r="AW111" s="16">
        <f ca="1">_xll.DBRW($D$4,$E$7,$E$8,$E$9,$E$10,$E$12,$D111,$E$6,AW$18,AW$17)</f>
        <v>0.22811899999999999</v>
      </c>
      <c r="AX111" s="16">
        <f ca="1">_xll.DBRW($D$4,$E$7,$E$8,$E$9,$E$10,$E$12,$D111,$E$6,AX$18,AX$17)</f>
        <v>9.1168699999999991E-2</v>
      </c>
      <c r="AY111" s="16">
        <f ca="1">_xll.DBRW($D$4,$E$7,$E$8,$E$9,$E$10,$E$12,$D111,$E$6,AY$18,AY$17)</f>
        <v>0.22811899999999999</v>
      </c>
      <c r="AZ111" s="16">
        <f ca="1">_xll.DBRW($D$4,$E$7,$E$8,$E$9,$E$10,$E$12,$D111,$E$6,AZ$18,AZ$17)</f>
        <v>0.21174199999999999</v>
      </c>
      <c r="BA111" s="16">
        <f ca="1">_xll.DBRW($D$4,$E$7,$E$8,$E$9,$E$10,$E$12,$D111,$E$6,BA$18,BA$17)</f>
        <v>0.22811899999999999</v>
      </c>
      <c r="BB111" s="16">
        <f ca="1">_xll.DBRW($D$4,$E$7,$E$8,$E$9,$E$10,$E$12,$D111,$E$6,BB$18,BB$17)</f>
        <v>0.22811899999999999</v>
      </c>
      <c r="BC111" s="16">
        <f ca="1">_xll.DBRW($D$4,$E$7,$E$8,$E$9,$E$10,$E$12,$D111,$E$6,BC$18,BC$17)</f>
        <v>0.22811899999999999</v>
      </c>
      <c r="BD111" s="16">
        <f ca="1">_xll.DBRW($D$4,$E$7,$E$8,$E$9,$E$10,$E$12,$D111,$E$6,BD$18,BD$17)</f>
        <v>9.5169563906547669E-2</v>
      </c>
      <c r="BE111" s="16">
        <f ca="1">_xll.DBRW($D$4,$E$7,$E$8,$E$9,$E$10,$E$12,$D111,$E$6,BE$18,BE$17)</f>
        <v>-0.13972081666666669</v>
      </c>
      <c r="BF111" s="16">
        <f ca="1">_xll.DBRW($D$4,$E$7,$E$8,$E$9,$E$10,$E$12,$D111,$E$6,BF$18,BF$17)</f>
        <v>0</v>
      </c>
      <c r="BG111" s="26">
        <f ca="1">_xll.DBRW($D$4,$E$7,$E$8,$E$9,$E$10,$E$12,$D111,$E$6,BG$18,BG$17)</f>
        <v>0</v>
      </c>
      <c r="BH111" s="26">
        <f ca="1">_xll.DBRW($D$4,$E$7,$E$8,$E$9,$E$10,$E$12,$D111,$E$6,BH$18,BH$17)</f>
        <v>0</v>
      </c>
      <c r="BI111" s="26">
        <f ca="1">_xll.DBRW($D$4,$E$7,$E$8,$E$9,$E$10,$E$12,$D111,$E$6,BI$18,BI$17)</f>
        <v>0</v>
      </c>
      <c r="BJ111" s="26">
        <f ca="1">_xll.DBRW($D$4,$E$7,$E$8,$E$9,$E$10,$E$12,$D111,$E$6,BJ$18,BJ$17)</f>
        <v>0</v>
      </c>
      <c r="BK111" s="16">
        <f ca="1">_xll.DBRW($D$4,$E$7,$E$8,$E$9,$E$10,$E$12,$D111,$E$6,BK$18,BK$17)</f>
        <v>0.23489038057321437</v>
      </c>
      <c r="BL111" s="16">
        <f ca="1">_xll.DBRW($D$4,$E$7,$E$8,$E$9,$E$10,$E$12,$D111,$E$6,BL$18,BL$17)</f>
        <v>1.3895871000000002</v>
      </c>
      <c r="BM111" s="16">
        <f ca="1">_xll.DBRW($D$4,$E$7,$E$8,$E$9,$E$10,$E$12,$D111,$E$6,BM$18,BM$17)</f>
        <v>-0.57872499999999993</v>
      </c>
      <c r="BN111" s="16">
        <f ca="1">_xll.DBRW($D$4,$E$7,$E$8,$E$9,$E$10,$E$12,$D111,$E$6,BN$18,BN$17)</f>
        <v>0.41647263420911135</v>
      </c>
      <c r="BO111" s="16"/>
      <c r="BP111" s="16"/>
      <c r="BQ111" s="16"/>
      <c r="BR111" s="16"/>
      <c r="BS111" s="16">
        <f ca="1">_xll.DBRW($D$4,$E$7,$E$8,$E$9,$E$10,$E$12,$D111,$E$6,BS$18,BS$17)</f>
        <v>-0.13513338095178598</v>
      </c>
      <c r="BT111" s="16">
        <f ca="1">_xll.DBRW($D$4,$E$7,$E$8,$E$9,$E$10,$E$12,$D111,$E$6,BT$18,BT$17)</f>
        <v>9.7247146977534518E-2</v>
      </c>
      <c r="BU111" s="16"/>
      <c r="BV111" s="16"/>
      <c r="BW111" s="16"/>
      <c r="BX111" s="16"/>
      <c r="BY111" s="16">
        <f ca="1">_xll.DBRW($D$4,$E$7,$E$8,$E$9,$E$10,$E$12,$D111,$E$6,BY$18,BY$17)</f>
        <v>-9.2550338474999966E-2</v>
      </c>
      <c r="BZ111" s="16">
        <f ca="1">_xll.DBRW($D$4,$E$7,$E$8,$E$9,$E$10,$E$12,$D111,$E$6,BZ$18,BZ$17)</f>
        <v>6.6602761694463025E-2</v>
      </c>
      <c r="CA111" s="16"/>
      <c r="CB111" s="16"/>
      <c r="CC111" s="16"/>
      <c r="CD111" s="16"/>
      <c r="CE111" s="16">
        <f ca="1">_xll.DBRW($D$4,$E$7,$E$8,$E$9,$E$10,$E$12,$D111,$E$6,CE$18,CE$17)</f>
        <v>-0.11959386</v>
      </c>
      <c r="CF111" s="16">
        <f ca="1">_xll.DBRW($D$4,$E$7,$E$8,$E$9,$E$10,$E$12,$D111,$E$6,CF$18,CF$17)</f>
        <v>8.6064313636763021E-2</v>
      </c>
      <c r="CG111" s="16"/>
      <c r="CH111" s="16"/>
      <c r="CI111" s="16"/>
      <c r="CJ111" s="16"/>
      <c r="CK111" s="16">
        <f ca="1">_xll.DBRW($D$4,$E$7,$E$8,$E$9,$E$10,$E$12,$D111,$E$6,CK$18,CK$17)</f>
        <v>-0.22869414000000002</v>
      </c>
      <c r="CL111" s="16">
        <f ca="1">_xll.DBRW($D$4,$E$7,$E$8,$E$9,$E$10,$E$12,$D111,$E$6,CL$18,CL$17)</f>
        <v>0.16457704594407935</v>
      </c>
      <c r="CM111" s="16"/>
      <c r="CN111" s="16"/>
      <c r="CO111" s="16"/>
      <c r="CP111" s="16"/>
      <c r="CQ111" s="16">
        <f ca="1">_xll.DBRW($D$4,$E$7,$E$8,$E$9,$E$10,$E$12,$D111,$E$6,CQ$18,CQ$17)</f>
        <v>2.6693919999999993E-2</v>
      </c>
      <c r="CR111" s="16">
        <f ca="1">_xll.DBRW($D$4,$E$7,$E$8,$E$9,$E$10,$E$12,$D111,$E$6,CR$18,CR$17)</f>
        <v>0.31870500000000002</v>
      </c>
      <c r="CS111" s="16">
        <f ca="1">_xll.DBRW($D$4,$E$7,$E$8,$E$9,$E$10,$E$12,$D111,$E$6,CS$18,CS$17)</f>
        <v>0.31870500000000002</v>
      </c>
      <c r="CT111" s="16">
        <f ca="1">_xll.DBRW($D$4,$E$7,$E$8,$E$9,$E$10,$E$12,$D111,$E$6,CT$18,CT$17)</f>
        <v>0.31870500000000002</v>
      </c>
      <c r="CU111" s="16">
        <f ca="1">_xll.DBRW($D$4,$E$7,$E$8,$E$9,$E$10,$E$12,$D111,$E$6,CU$18,CU$17)</f>
        <v>0.11154674999999997</v>
      </c>
      <c r="CV111" s="16">
        <f ca="1">_xll.DBRW($D$4,$E$7,$E$8,$E$9,$E$10,$E$12,$D111,$E$6,CV$18,CV$17)</f>
        <v>0.31870500000000002</v>
      </c>
      <c r="CW111" s="16">
        <f ca="1">_xll.DBRW($D$4,$E$7,$E$8,$E$9,$E$10,$E$12,$D111,$E$6,CW$18,CW$17)</f>
        <v>0.288547</v>
      </c>
      <c r="CX111" s="16">
        <f ca="1">_xll.DBRW($D$4,$E$7,$E$8,$E$9,$E$10,$E$12,$D111,$E$6,CX$18,CX$17)</f>
        <v>0.31870500000000002</v>
      </c>
      <c r="CY111" s="16">
        <f ca="1">_xll.DBRW($D$4,$E$7,$E$8,$E$9,$E$10,$E$12,$D111,$E$6,CY$18,CY$17)</f>
        <v>0.31870500000000002</v>
      </c>
      <c r="CZ111" s="16">
        <f ca="1">_xll.DBRW($D$4,$E$7,$E$8,$E$9,$E$10,$E$12,$D111,$E$6,CZ$18,CZ$17)</f>
        <v>0.31870500000000002</v>
      </c>
      <c r="DA111" s="26">
        <f t="shared" ca="1" si="108"/>
        <v>-1.484807390654809E-2</v>
      </c>
      <c r="DB111" s="26">
        <f t="shared" ca="1" si="109"/>
        <v>8.8412566666667136E-3</v>
      </c>
      <c r="DC111" s="26">
        <f t="shared" ca="1" si="110"/>
        <v>0</v>
      </c>
      <c r="DD111" s="26">
        <f t="shared" ca="1" si="111"/>
        <v>0</v>
      </c>
      <c r="DE111" s="26">
        <f t="shared" ca="1" si="112"/>
        <v>0</v>
      </c>
      <c r="DF111" s="26">
        <f t="shared" ca="1" si="113"/>
        <v>0</v>
      </c>
      <c r="DG111" s="26">
        <f t="shared" ca="1" si="114"/>
        <v>0</v>
      </c>
      <c r="DH111" s="26">
        <f t="shared" ca="1" si="115"/>
        <v>-2.3689330573214817E-2</v>
      </c>
      <c r="DI111" s="26">
        <f t="shared" ca="1" si="116"/>
        <v>-0.13121289000000047</v>
      </c>
      <c r="DJ111" s="26">
        <f t="shared" ca="1" si="117"/>
        <v>7.70709799999999E-2</v>
      </c>
      <c r="DK111" s="26">
        <f t="shared" ca="1" si="118"/>
        <v>-1.7820137985432249E-2</v>
      </c>
      <c r="DL111" s="26"/>
      <c r="DM111" s="26"/>
      <c r="DN111" s="26"/>
      <c r="DO111" s="26"/>
      <c r="DP111" s="26">
        <f t="shared" ca="1" si="119"/>
        <v>1.1742590951785981E-2</v>
      </c>
      <c r="DQ111" s="26">
        <f t="shared" ca="1" si="120"/>
        <v>8.0857366537347153E-4</v>
      </c>
      <c r="DR111" s="26"/>
      <c r="DS111" s="26"/>
      <c r="DT111" s="26"/>
      <c r="DU111" s="26"/>
      <c r="DV111" s="26">
        <f t="shared" ca="1" si="121"/>
        <v>-1.0559331525000049E-2</v>
      </c>
      <c r="DW111" s="26">
        <f t="shared" ca="1" si="122"/>
        <v>1.533603614533062E-2</v>
      </c>
      <c r="DX111" s="26"/>
      <c r="DY111" s="26"/>
      <c r="DZ111" s="26"/>
      <c r="EA111" s="26"/>
      <c r="EB111" s="26">
        <f t="shared" ca="1" si="123"/>
        <v>1.8499409999999994E-2</v>
      </c>
      <c r="EC111" s="26">
        <f t="shared" ca="1" si="124"/>
        <v>-5.7269631120728942E-3</v>
      </c>
      <c r="ED111" s="26"/>
      <c r="EE111" s="26"/>
      <c r="EF111" s="26"/>
      <c r="EG111" s="26"/>
      <c r="EH111" s="26">
        <f t="shared" ca="1" si="125"/>
        <v>1.0769910000000021E-2</v>
      </c>
      <c r="EI111" s="29">
        <f t="shared" ca="1" si="126"/>
        <v>8.6021469130279637E-3</v>
      </c>
      <c r="EJ111" s="29"/>
      <c r="EK111" s="29"/>
      <c r="EL111" s="29"/>
      <c r="EM111" s="29"/>
      <c r="EN111" s="93"/>
      <c r="EO111" s="29"/>
      <c r="EP111" s="29"/>
      <c r="EQ111" s="29"/>
      <c r="ER111" s="29"/>
      <c r="ES111" s="29"/>
      <c r="ET111" s="29"/>
      <c r="EU111" s="93"/>
      <c r="EV111" s="29"/>
      <c r="EW111" s="29"/>
      <c r="EX111" s="29"/>
      <c r="EY111" s="29"/>
      <c r="EZ111" s="29"/>
      <c r="FA111" s="29"/>
      <c r="FB111" s="93"/>
      <c r="FC111" s="29"/>
      <c r="FD111" s="29"/>
      <c r="FE111" s="29"/>
      <c r="FF111" s="29"/>
      <c r="FG111" s="29"/>
      <c r="FH111" s="29"/>
      <c r="FI111" s="93"/>
      <c r="FJ111" s="29"/>
      <c r="FK111" s="29"/>
      <c r="FL111" s="29"/>
      <c r="FM111" s="29"/>
      <c r="FN111" s="29"/>
      <c r="FO111" s="29"/>
      <c r="FP111" s="93"/>
      <c r="FQ111" s="29"/>
      <c r="FR111" s="29"/>
      <c r="FS111" s="29"/>
      <c r="FT111" s="29"/>
      <c r="FU111" s="29"/>
      <c r="FV111" s="29"/>
    </row>
    <row r="112" spans="1:178" x14ac:dyDescent="0.25">
      <c r="A112" t="str">
        <f ca="1">IF(_xll.TM1RPTELISCONSOLIDATED($D$28,$D112),IF(_xll.TM1RPTELLEV($D$28,$D112)&lt;=3,_xll.TM1RPTELLEV($D$28,$D112),"D"),"N")</f>
        <v>N</v>
      </c>
      <c r="B112" t="str">
        <f ca="1">_xll.DBRA(Server&amp;"Management_organization",$D112,$B$27)</f>
        <v>L</v>
      </c>
      <c r="C112">
        <v>1</v>
      </c>
      <c r="D112" s="2" t="s">
        <v>154</v>
      </c>
      <c r="E112" s="26"/>
      <c r="F112" s="26"/>
      <c r="G112" s="16">
        <f ca="1">_xll.DBRW($D$4,$E$7,$E$8,$E$9,$E$10,$E$12,$D112,$E$6,G$18,G$17)</f>
        <v>3.3600163200000104</v>
      </c>
      <c r="H112" s="16">
        <f ca="1">_xll.DBRW($D$4,$E$7,$E$8,$E$9,$E$10,$E$12,$D112,$E$6,H$18,H$17)</f>
        <v>-2.4434698399999997</v>
      </c>
      <c r="I112" s="16">
        <f ca="1">_xll.DBRW($D$4,$E$7,$E$8,$E$9,$E$10,$E$12,$D112,$E$6,I$18,I$17)</f>
        <v>0</v>
      </c>
      <c r="J112" s="26">
        <f ca="1">_xll.DBRW($D$4,$E$7,$E$8,$E$9,$E$10,$E$12,$D112,$E$6,J$18,J$17)</f>
        <v>0</v>
      </c>
      <c r="K112" s="26">
        <f ca="1">_xll.DBRW($D$4,$E$7,$E$8,$E$9,$E$10,$E$12,$D112,$E$6,K$18,K$17)</f>
        <v>0</v>
      </c>
      <c r="L112" s="26">
        <f ca="1">_xll.DBRW($D$4,$E$7,$E$8,$E$9,$E$10,$E$12,$D112,$E$6,L$18,L$17)</f>
        <v>0</v>
      </c>
      <c r="M112" s="26">
        <f ca="1">_xll.DBRW($D$4,$E$7,$E$8,$E$9,$E$10,$E$12,$D112,$E$6,M$18,M$17)</f>
        <v>0</v>
      </c>
      <c r="N112" s="16">
        <f ca="1">_xll.DBRW($D$4,$E$7,$E$8,$E$9,$E$10,$E$12,$D112,$E$6,N$18,N$17)</f>
        <v>5.8034861600000101</v>
      </c>
      <c r="O112" s="16">
        <f ca="1">_xll.DBRW($D$4,$E$7,$E$8,$E$9,$E$10,$E$12,$D112,$E$6,O$18,O$17)</f>
        <v>38.405817470000002</v>
      </c>
      <c r="P112" s="74">
        <f ca="1">_xll.DBRW($D$4,$E$7,$E$8,$E$9,$E$10,$E$12,$D112,$E$6,P$18,P$17)</f>
        <v>-15.747081439999999</v>
      </c>
      <c r="Q112" s="16">
        <f ca="1">_xll.DBRW($D$4,$E$7,$E$8,$E$9,$E$10,$E$12,$D112,$E$6,Q$18,Q$17)</f>
        <v>0.41001812947480004</v>
      </c>
      <c r="R112" s="16"/>
      <c r="S112" s="16"/>
      <c r="T112" s="16"/>
      <c r="U112" s="16"/>
      <c r="V112" s="16">
        <f ca="1">_xll.DBRW($D$4,$E$7,$E$8,$E$9,$E$10,$E$12,$D112,$E$6,V$18,V$17)</f>
        <v>-3.6516206699999998</v>
      </c>
      <c r="W112" s="16">
        <f ca="1">_xll.DBRW($D$4,$E$7,$E$8,$E$9,$E$10,$E$12,$D112,$E$6,W$18,W$17)</f>
        <v>9.5079884000708909E-2</v>
      </c>
      <c r="X112" s="16"/>
      <c r="Y112" s="16"/>
      <c r="Z112" s="16"/>
      <c r="AA112" s="16"/>
      <c r="AB112" s="16">
        <f ca="1">_xll.DBRW($D$4,$E$7,$E$8,$E$9,$E$10,$E$12,$D112,$E$6,AB$18,AB$17)</f>
        <v>-3.9925226199999999</v>
      </c>
      <c r="AC112" s="16">
        <f ca="1">_xll.DBRW($D$4,$E$7,$E$8,$E$9,$E$10,$E$12,$D112,$E$6,AC$18,AC$17)</f>
        <v>0.10395619421767771</v>
      </c>
      <c r="AD112" s="16"/>
      <c r="AE112" s="16"/>
      <c r="AF112" s="16"/>
      <c r="AG112" s="16"/>
      <c r="AH112" s="16">
        <f ca="1">_xll.DBRW($D$4,$E$7,$E$8,$E$9,$E$10,$E$12,$D112,$E$6,AH$18,AH$17)</f>
        <v>-4.8856819999999992</v>
      </c>
      <c r="AI112" s="16">
        <f ca="1">_xll.DBRW($D$4,$E$7,$E$8,$E$9,$E$10,$E$12,$D112,$E$6,AI$18,AI$17)</f>
        <v>0.12721202989147049</v>
      </c>
      <c r="AJ112" s="16"/>
      <c r="AK112" s="16"/>
      <c r="AL112" s="16"/>
      <c r="AM112" s="16"/>
      <c r="AN112" s="16">
        <f ca="1">_xll.DBRW($D$4,$E$7,$E$8,$E$9,$E$10,$E$12,$D112,$E$6,AN$18,AN$17)</f>
        <v>-4.32542458</v>
      </c>
      <c r="AO112" s="16">
        <f ca="1">_xll.DBRW($D$4,$E$7,$E$8,$E$9,$E$10,$E$12,$D112,$E$6,AO$18,AO$17)</f>
        <v>0.11262420291870433</v>
      </c>
      <c r="AP112" s="16"/>
      <c r="AQ112" s="16"/>
      <c r="AR112" s="16"/>
      <c r="AS112" s="16"/>
      <c r="AT112" s="16">
        <f ca="1">_xll.DBRW($D$4,$E$7,$E$8,$E$9,$E$10,$E$12,$D112,$E$6,AT$18,AT$17)</f>
        <v>0.65031500000000009</v>
      </c>
      <c r="AU112" s="16">
        <f ca="1">_xll.DBRW($D$4,$E$7,$E$8,$E$9,$E$10,$E$12,$D112,$E$6,AU$18,AU$17)</f>
        <v>13.245867999999998</v>
      </c>
      <c r="AV112" s="16">
        <f ca="1">_xll.DBRW($D$4,$E$7,$E$8,$E$9,$E$10,$E$12,$D112,$E$6,AV$18,AV$17)</f>
        <v>13.245867999999998</v>
      </c>
      <c r="AW112" s="16">
        <f ca="1">_xll.DBRW($D$4,$E$7,$E$8,$E$9,$E$10,$E$12,$D112,$E$6,AW$18,AW$17)</f>
        <v>13.245867999999998</v>
      </c>
      <c r="AX112" s="16">
        <f ca="1">_xll.DBRW($D$4,$E$7,$E$8,$E$9,$E$10,$E$12,$D112,$E$6,AX$18,AX$17)</f>
        <v>4.1572939999999994</v>
      </c>
      <c r="AY112" s="16">
        <f ca="1">_xll.DBRW($D$4,$E$7,$E$8,$E$9,$E$10,$E$12,$D112,$E$6,AY$18,AY$17)</f>
        <v>13.245867999999998</v>
      </c>
      <c r="AZ112" s="16">
        <f ca="1">_xll.DBRW($D$4,$E$7,$E$8,$E$9,$E$10,$E$12,$D112,$E$6,AZ$18,AZ$17)</f>
        <v>9.1295479999999998</v>
      </c>
      <c r="BA112" s="16">
        <f ca="1">_xll.DBRW($D$4,$E$7,$E$8,$E$9,$E$10,$E$12,$D112,$E$6,BA$18,BA$17)</f>
        <v>13.245867999999998</v>
      </c>
      <c r="BB112" s="16">
        <f ca="1">_xll.DBRW($D$4,$E$7,$E$8,$E$9,$E$10,$E$12,$D112,$E$6,BB$18,BB$17)</f>
        <v>13.245867999999998</v>
      </c>
      <c r="BC112" s="16">
        <f ca="1">_xll.DBRW($D$4,$E$7,$E$8,$E$9,$E$10,$E$12,$D112,$E$6,BC$18,BC$17)</f>
        <v>13.245867999999998</v>
      </c>
      <c r="BD112" s="16">
        <f ca="1">_xll.DBRW($D$4,$E$7,$E$8,$E$9,$E$10,$E$12,$D112,$E$6,BD$18,BD$17)</f>
        <v>4.3996918906536928</v>
      </c>
      <c r="BE112" s="16">
        <f ca="1">_xll.DBRW($D$4,$E$7,$E$8,$E$9,$E$10,$E$12,$D112,$E$6,BE$18,BE$17)</f>
        <v>-2.7198105678553963</v>
      </c>
      <c r="BF112" s="16">
        <f ca="1">_xll.DBRW($D$4,$E$7,$E$8,$E$9,$E$10,$E$12,$D112,$E$6,BF$18,BF$17)</f>
        <v>0</v>
      </c>
      <c r="BG112" s="26">
        <f ca="1">_xll.DBRW($D$4,$E$7,$E$8,$E$9,$E$10,$E$12,$D112,$E$6,BG$18,BG$17)</f>
        <v>0</v>
      </c>
      <c r="BH112" s="26">
        <f ca="1">_xll.DBRW($D$4,$E$7,$E$8,$E$9,$E$10,$E$12,$D112,$E$6,BH$18,BH$17)</f>
        <v>0</v>
      </c>
      <c r="BI112" s="26">
        <f ca="1">_xll.DBRW($D$4,$E$7,$E$8,$E$9,$E$10,$E$12,$D112,$E$6,BI$18,BI$17)</f>
        <v>0</v>
      </c>
      <c r="BJ112" s="26">
        <f ca="1">_xll.DBRW($D$4,$E$7,$E$8,$E$9,$E$10,$E$12,$D112,$E$6,BJ$18,BJ$17)</f>
        <v>0</v>
      </c>
      <c r="BK112" s="16">
        <f ca="1">_xll.DBRW($D$4,$E$7,$E$8,$E$9,$E$10,$E$12,$D112,$E$6,BK$18,BK$17)</f>
        <v>7.1195024585090891</v>
      </c>
      <c r="BL112" s="16">
        <f ca="1">_xll.DBRW($D$4,$E$7,$E$8,$E$9,$E$10,$E$12,$D112,$E$6,BL$18,BL$17)</f>
        <v>42.375344925917375</v>
      </c>
      <c r="BM112" s="16">
        <f ca="1">_xll.DBRW($D$4,$E$7,$E$8,$E$9,$E$10,$E$12,$D112,$E$6,BM$18,BM$17)</f>
        <v>-17.233090812909133</v>
      </c>
      <c r="BN112" s="16">
        <f ca="1">_xll.DBRW($D$4,$E$7,$E$8,$E$9,$E$10,$E$12,$D112,$E$6,BN$18,BN$17)</f>
        <v>0.40667729886415921</v>
      </c>
      <c r="BO112" s="16"/>
      <c r="BP112" s="16"/>
      <c r="BQ112" s="16"/>
      <c r="BR112" s="16"/>
      <c r="BS112" s="16">
        <f ca="1">_xll.DBRW($D$4,$E$7,$E$8,$E$9,$E$10,$E$12,$D112,$E$6,BS$18,BS$17)</f>
        <v>-3.5208907685101005</v>
      </c>
      <c r="BT112" s="16">
        <f ca="1">_xll.DBRW($D$4,$E$7,$E$8,$E$9,$E$10,$E$12,$D112,$E$6,BT$18,BT$17)</f>
        <v>8.3088191368483055E-2</v>
      </c>
      <c r="BU112" s="16"/>
      <c r="BV112" s="16"/>
      <c r="BW112" s="16"/>
      <c r="BX112" s="16"/>
      <c r="BY112" s="16">
        <f ca="1">_xll.DBRW($D$4,$E$7,$E$8,$E$9,$E$10,$E$12,$D112,$E$6,BY$18,BY$17)</f>
        <v>-3.9452920367035502</v>
      </c>
      <c r="BZ112" s="16">
        <f ca="1">_xll.DBRW($D$4,$E$7,$E$8,$E$9,$E$10,$E$12,$D112,$E$6,BZ$18,BZ$17)</f>
        <v>9.3103479006504855E-2</v>
      </c>
      <c r="CA112" s="16"/>
      <c r="CB112" s="16"/>
      <c r="CC112" s="16"/>
      <c r="CD112" s="16"/>
      <c r="CE112" s="16">
        <f ca="1">_xll.DBRW($D$4,$E$7,$E$8,$E$9,$E$10,$E$12,$D112,$E$6,CE$18,CE$17)</f>
        <v>-5.5747473999999997</v>
      </c>
      <c r="CF112" s="16">
        <f ca="1">_xll.DBRW($D$4,$E$7,$E$8,$E$9,$E$10,$E$12,$D112,$E$6,CF$18,CF$17)</f>
        <v>0.13155638991838398</v>
      </c>
      <c r="CG112" s="16"/>
      <c r="CH112" s="16"/>
      <c r="CI112" s="16"/>
      <c r="CJ112" s="16"/>
      <c r="CK112" s="16">
        <f ca="1">_xll.DBRW($D$4,$E$7,$E$8,$E$9,$E$10,$E$12,$D112,$E$6,CK$18,CK$17)</f>
        <v>-4.9818214492855013</v>
      </c>
      <c r="CL112" s="16">
        <f ca="1">_xll.DBRW($D$4,$E$7,$E$8,$E$9,$E$10,$E$12,$D112,$E$6,CL$18,CL$17)</f>
        <v>0.11756415099381402</v>
      </c>
      <c r="CM112" s="16"/>
      <c r="CN112" s="16"/>
      <c r="CO112" s="16"/>
      <c r="CP112" s="16"/>
      <c r="CQ112" s="16">
        <f ca="1">_xll.DBRW($D$4,$E$7,$E$8,$E$9,$E$10,$E$12,$D112,$E$6,CQ$18,CQ$17)</f>
        <v>0.73382000000000003</v>
      </c>
      <c r="CR112" s="16">
        <f ca="1">_xll.DBRW($D$4,$E$7,$E$8,$E$9,$E$10,$E$12,$D112,$E$6,CR$18,CR$17)</f>
        <v>15.058761999999998</v>
      </c>
      <c r="CS112" s="16">
        <f ca="1">_xll.DBRW($D$4,$E$7,$E$8,$E$9,$E$10,$E$12,$D112,$E$6,CS$18,CS$17)</f>
        <v>15.058761999999998</v>
      </c>
      <c r="CT112" s="16">
        <f ca="1">_xll.DBRW($D$4,$E$7,$E$8,$E$9,$E$10,$E$12,$D112,$E$6,CT$18,CT$17)</f>
        <v>15.058761999999998</v>
      </c>
      <c r="CU112" s="16">
        <f ca="1">_xll.DBRW($D$4,$E$7,$E$8,$E$9,$E$10,$E$12,$D112,$E$6,CU$18,CU$17)</f>
        <v>4.6523714715000004</v>
      </c>
      <c r="CV112" s="16">
        <f ca="1">_xll.DBRW($D$4,$E$7,$E$8,$E$9,$E$10,$E$12,$D112,$E$6,CV$18,CV$17)</f>
        <v>15.058761999999998</v>
      </c>
      <c r="CW112" s="16">
        <f ca="1">_xll.DBRW($D$4,$E$7,$E$8,$E$9,$E$10,$E$12,$D112,$E$6,CW$18,CW$17)</f>
        <v>10.423833</v>
      </c>
      <c r="CX112" s="16">
        <f ca="1">_xll.DBRW($D$4,$E$7,$E$8,$E$9,$E$10,$E$12,$D112,$E$6,CX$18,CX$17)</f>
        <v>15.058761999999998</v>
      </c>
      <c r="CY112" s="16">
        <f ca="1">_xll.DBRW($D$4,$E$7,$E$8,$E$9,$E$10,$E$12,$D112,$E$6,CY$18,CY$17)</f>
        <v>15.058761999999998</v>
      </c>
      <c r="CZ112" s="16">
        <f ca="1">_xll.DBRW($D$4,$E$7,$E$8,$E$9,$E$10,$E$12,$D112,$E$6,CZ$18,CZ$17)</f>
        <v>15.058761999999998</v>
      </c>
      <c r="DA112" s="26">
        <f t="shared" ca="1" si="108"/>
        <v>-1.0396755706536824</v>
      </c>
      <c r="DB112" s="26">
        <f t="shared" ca="1" si="109"/>
        <v>0.27634072785539665</v>
      </c>
      <c r="DC112" s="26">
        <f t="shared" ca="1" si="110"/>
        <v>0</v>
      </c>
      <c r="DD112" s="26">
        <f t="shared" ca="1" si="111"/>
        <v>0</v>
      </c>
      <c r="DE112" s="26">
        <f t="shared" ca="1" si="112"/>
        <v>0</v>
      </c>
      <c r="DF112" s="26">
        <f t="shared" ca="1" si="113"/>
        <v>0</v>
      </c>
      <c r="DG112" s="26">
        <f t="shared" ca="1" si="114"/>
        <v>0</v>
      </c>
      <c r="DH112" s="26">
        <f t="shared" ca="1" si="115"/>
        <v>-1.3160162985090791</v>
      </c>
      <c r="DI112" s="26">
        <f t="shared" ca="1" si="116"/>
        <v>-3.9695274559173725</v>
      </c>
      <c r="DJ112" s="26">
        <f t="shared" ca="1" si="117"/>
        <v>1.4860093729091339</v>
      </c>
      <c r="DK112" s="26">
        <f t="shared" ca="1" si="118"/>
        <v>3.3408306106408325E-3</v>
      </c>
      <c r="DL112" s="26"/>
      <c r="DM112" s="26"/>
      <c r="DN112" s="26"/>
      <c r="DO112" s="26"/>
      <c r="DP112" s="26">
        <f t="shared" ca="1" si="119"/>
        <v>-0.13072990148989927</v>
      </c>
      <c r="DQ112" s="26">
        <f t="shared" ca="1" si="120"/>
        <v>1.1991692632225853E-2</v>
      </c>
      <c r="DR112" s="26"/>
      <c r="DS112" s="26"/>
      <c r="DT112" s="26"/>
      <c r="DU112" s="26"/>
      <c r="DV112" s="26">
        <f t="shared" ca="1" si="121"/>
        <v>-4.7230583296449691E-2</v>
      </c>
      <c r="DW112" s="26">
        <f t="shared" ca="1" si="122"/>
        <v>1.0852715211172856E-2</v>
      </c>
      <c r="DX112" s="26"/>
      <c r="DY112" s="26"/>
      <c r="DZ112" s="26"/>
      <c r="EA112" s="26"/>
      <c r="EB112" s="26">
        <f t="shared" ca="1" si="123"/>
        <v>0.68906540000000049</v>
      </c>
      <c r="EC112" s="26">
        <f t="shared" ca="1" si="124"/>
        <v>-4.3443600269134908E-3</v>
      </c>
      <c r="ED112" s="26"/>
      <c r="EE112" s="26"/>
      <c r="EF112" s="26"/>
      <c r="EG112" s="26"/>
      <c r="EH112" s="26">
        <f t="shared" ca="1" si="125"/>
        <v>0.65639686928550134</v>
      </c>
      <c r="EI112" s="29">
        <f t="shared" ca="1" si="126"/>
        <v>-4.9399480751096958E-3</v>
      </c>
      <c r="EJ112" s="29"/>
      <c r="EK112" s="29"/>
      <c r="EL112" s="29"/>
      <c r="EM112" s="29"/>
      <c r="EN112" s="93"/>
      <c r="EO112" s="29"/>
      <c r="EP112" s="29"/>
      <c r="EQ112" s="29"/>
      <c r="ER112" s="29"/>
      <c r="ES112" s="29"/>
      <c r="ET112" s="29"/>
      <c r="EU112" s="93"/>
      <c r="EV112" s="29"/>
      <c r="EW112" s="29"/>
      <c r="EX112" s="29"/>
      <c r="EY112" s="29"/>
      <c r="EZ112" s="29"/>
      <c r="FA112" s="29"/>
      <c r="FB112" s="93"/>
      <c r="FC112" s="29"/>
      <c r="FD112" s="29"/>
      <c r="FE112" s="29"/>
      <c r="FF112" s="29"/>
      <c r="FG112" s="29"/>
      <c r="FH112" s="29"/>
      <c r="FI112" s="93"/>
      <c r="FJ112" s="29"/>
      <c r="FK112" s="29"/>
      <c r="FL112" s="29"/>
      <c r="FM112" s="29"/>
      <c r="FN112" s="29"/>
      <c r="FO112" s="29"/>
      <c r="FP112" s="93"/>
      <c r="FQ112" s="29"/>
      <c r="FR112" s="29"/>
      <c r="FS112" s="29"/>
      <c r="FT112" s="29"/>
      <c r="FU112" s="29"/>
      <c r="FV112" s="29"/>
    </row>
    <row r="113" spans="1:178" x14ac:dyDescent="0.25">
      <c r="A113" t="str">
        <f ca="1">IF(_xll.TM1RPTELISCONSOLIDATED($D$28,$D113),IF(_xll.TM1RPTELLEV($D$28,$D113)&lt;=3,_xll.TM1RPTELLEV($D$28,$D113),"D"),"N")</f>
        <v>N</v>
      </c>
      <c r="B113" t="str">
        <f ca="1">_xll.DBRA(Server&amp;"Management_organization",$D113,$B$27)</f>
        <v>L</v>
      </c>
      <c r="C113">
        <v>1</v>
      </c>
      <c r="D113" s="2" t="s">
        <v>155</v>
      </c>
      <c r="E113" s="26"/>
      <c r="F113" s="26"/>
      <c r="G113" s="16">
        <f ca="1">_xll.DBRW($D$4,$E$7,$E$8,$E$9,$E$10,$E$12,$D113,$E$6,G$18,G$17)</f>
        <v>1.4363679999999823E-2</v>
      </c>
      <c r="H113" s="16">
        <f ca="1">_xll.DBRW($D$4,$E$7,$E$8,$E$9,$E$10,$E$12,$D113,$E$6,H$18,H$17)</f>
        <v>-0.30322631</v>
      </c>
      <c r="I113" s="16">
        <f ca="1">_xll.DBRW($D$4,$E$7,$E$8,$E$9,$E$10,$E$12,$D113,$E$6,I$18,I$17)</f>
        <v>0</v>
      </c>
      <c r="J113" s="26">
        <f ca="1">_xll.DBRW($D$4,$E$7,$E$8,$E$9,$E$10,$E$12,$D113,$E$6,J$18,J$17)</f>
        <v>0</v>
      </c>
      <c r="K113" s="26">
        <f ca="1">_xll.DBRW($D$4,$E$7,$E$8,$E$9,$E$10,$E$12,$D113,$E$6,K$18,K$17)</f>
        <v>0</v>
      </c>
      <c r="L113" s="26">
        <f ca="1">_xll.DBRW($D$4,$E$7,$E$8,$E$9,$E$10,$E$12,$D113,$E$6,L$18,L$17)</f>
        <v>0</v>
      </c>
      <c r="M113" s="26">
        <f ca="1">_xll.DBRW($D$4,$E$7,$E$8,$E$9,$E$10,$E$12,$D113,$E$6,M$18,M$17)</f>
        <v>0</v>
      </c>
      <c r="N113" s="16">
        <f ca="1">_xll.DBRW($D$4,$E$7,$E$8,$E$9,$E$10,$E$12,$D113,$E$6,N$18,N$17)</f>
        <v>0.31758998999999982</v>
      </c>
      <c r="O113" s="16">
        <f ca="1">_xll.DBRW($D$4,$E$7,$E$8,$E$9,$E$10,$E$12,$D113,$E$6,O$18,O$17)</f>
        <v>3.29383224</v>
      </c>
      <c r="P113" s="74">
        <f ca="1">_xll.DBRW($D$4,$E$7,$E$8,$E$9,$E$10,$E$12,$D113,$E$6,P$18,P$17)</f>
        <v>-1.3986594299999999</v>
      </c>
      <c r="Q113" s="16">
        <f ca="1">_xll.DBRW($D$4,$E$7,$E$8,$E$9,$E$10,$E$12,$D113,$E$6,Q$18,Q$17)</f>
        <v>0.42462983178523989</v>
      </c>
      <c r="R113" s="16"/>
      <c r="S113" s="16"/>
      <c r="T113" s="16"/>
      <c r="U113" s="16"/>
      <c r="V113" s="16">
        <f ca="1">_xll.DBRW($D$4,$E$7,$E$8,$E$9,$E$10,$E$12,$D113,$E$6,V$18,V$17)</f>
        <v>-0.31202722999999993</v>
      </c>
      <c r="W113" s="16">
        <f ca="1">_xll.DBRW($D$4,$E$7,$E$8,$E$9,$E$10,$E$12,$D113,$E$6,W$18,W$17)</f>
        <v>9.4730759572624723E-2</v>
      </c>
      <c r="X113" s="16"/>
      <c r="Y113" s="16"/>
      <c r="Z113" s="16"/>
      <c r="AA113" s="16"/>
      <c r="AB113" s="16">
        <f ca="1">_xll.DBRW($D$4,$E$7,$E$8,$E$9,$E$10,$E$12,$D113,$E$6,AB$18,AB$17)</f>
        <v>-0.41871373000000006</v>
      </c>
      <c r="AC113" s="16">
        <f ca="1">_xll.DBRW($D$4,$E$7,$E$8,$E$9,$E$10,$E$12,$D113,$E$6,AC$18,AC$17)</f>
        <v>0.12712053908367843</v>
      </c>
      <c r="AD113" s="16"/>
      <c r="AE113" s="16"/>
      <c r="AF113" s="16"/>
      <c r="AG113" s="16"/>
      <c r="AH113" s="16">
        <f ca="1">_xll.DBRW($D$4,$E$7,$E$8,$E$9,$E$10,$E$12,$D113,$E$6,AH$18,AH$17)</f>
        <v>-0.47718211999999999</v>
      </c>
      <c r="AI113" s="16">
        <f ca="1">_xll.DBRW($D$4,$E$7,$E$8,$E$9,$E$10,$E$12,$D113,$E$6,AI$18,AI$17)</f>
        <v>0.14487140972304041</v>
      </c>
      <c r="AJ113" s="16"/>
      <c r="AK113" s="16"/>
      <c r="AL113" s="16"/>
      <c r="AM113" s="16"/>
      <c r="AN113" s="16">
        <f ca="1">_xll.DBRW($D$4,$E$7,$E$8,$E$9,$E$10,$E$12,$D113,$E$6,AN$18,AN$17)</f>
        <v>-0.3696597399999999</v>
      </c>
      <c r="AO113" s="16">
        <f ca="1">_xll.DBRW($D$4,$E$7,$E$8,$E$9,$E$10,$E$12,$D113,$E$6,AO$18,AO$17)</f>
        <v>0.11222785893916683</v>
      </c>
      <c r="AP113" s="16"/>
      <c r="AQ113" s="16"/>
      <c r="AR113" s="16"/>
      <c r="AS113" s="16"/>
      <c r="AT113" s="16">
        <f ca="1">_xll.DBRW($D$4,$E$7,$E$8,$E$9,$E$10,$E$12,$D113,$E$6,AT$18,AT$17)</f>
        <v>5.6040849999999989E-2</v>
      </c>
      <c r="AU113" s="16">
        <f ca="1">_xll.DBRW($D$4,$E$7,$E$8,$E$9,$E$10,$E$12,$D113,$E$6,AU$18,AU$17)</f>
        <v>1.40862775</v>
      </c>
      <c r="AV113" s="16">
        <f ca="1">_xll.DBRW($D$4,$E$7,$E$8,$E$9,$E$10,$E$12,$D113,$E$6,AV$18,AV$17)</f>
        <v>1.40862775</v>
      </c>
      <c r="AW113" s="16">
        <f ca="1">_xll.DBRW($D$4,$E$7,$E$8,$E$9,$E$10,$E$12,$D113,$E$6,AW$18,AW$17)</f>
        <v>1.40862775</v>
      </c>
      <c r="AX113" s="16">
        <f ca="1">_xll.DBRW($D$4,$E$7,$E$8,$E$9,$E$10,$E$12,$D113,$E$6,AX$18,AX$17)</f>
        <v>0.40505167999999991</v>
      </c>
      <c r="AY113" s="16">
        <f ca="1">_xll.DBRW($D$4,$E$7,$E$8,$E$9,$E$10,$E$12,$D113,$E$6,AY$18,AY$17)</f>
        <v>1.40862775</v>
      </c>
      <c r="AZ113" s="16">
        <f ca="1">_xll.DBRW($D$4,$E$7,$E$8,$E$9,$E$10,$E$12,$D113,$E$6,AZ$18,AZ$17)</f>
        <v>0.98668924999999996</v>
      </c>
      <c r="BA113" s="16">
        <f ca="1">_xll.DBRW($D$4,$E$7,$E$8,$E$9,$E$10,$E$12,$D113,$E$6,BA$18,BA$17)</f>
        <v>1.40862775</v>
      </c>
      <c r="BB113" s="16">
        <f ca="1">_xll.DBRW($D$4,$E$7,$E$8,$E$9,$E$10,$E$12,$D113,$E$6,BB$18,BB$17)</f>
        <v>1.40862775</v>
      </c>
      <c r="BC113" s="16">
        <f ca="1">_xll.DBRW($D$4,$E$7,$E$8,$E$9,$E$10,$E$12,$D113,$E$6,BC$18,BC$17)</f>
        <v>1.40862775</v>
      </c>
      <c r="BD113" s="16">
        <f ca="1">_xll.DBRW($D$4,$E$7,$E$8,$E$9,$E$10,$E$12,$D113,$E$6,BD$18,BD$17)</f>
        <v>-2.2428700722001385E-2</v>
      </c>
      <c r="BE113" s="16">
        <f ca="1">_xll.DBRW($D$4,$E$7,$E$8,$E$9,$E$10,$E$12,$D113,$E$6,BE$18,BE$17)</f>
        <v>-0.32895399999999997</v>
      </c>
      <c r="BF113" s="16">
        <f ca="1">_xll.DBRW($D$4,$E$7,$E$8,$E$9,$E$10,$E$12,$D113,$E$6,BF$18,BF$17)</f>
        <v>0</v>
      </c>
      <c r="BG113" s="26">
        <f ca="1">_xll.DBRW($D$4,$E$7,$E$8,$E$9,$E$10,$E$12,$D113,$E$6,BG$18,BG$17)</f>
        <v>0</v>
      </c>
      <c r="BH113" s="26">
        <f ca="1">_xll.DBRW($D$4,$E$7,$E$8,$E$9,$E$10,$E$12,$D113,$E$6,BH$18,BH$17)</f>
        <v>0</v>
      </c>
      <c r="BI113" s="26">
        <f ca="1">_xll.DBRW($D$4,$E$7,$E$8,$E$9,$E$10,$E$12,$D113,$E$6,BI$18,BI$17)</f>
        <v>0</v>
      </c>
      <c r="BJ113" s="26">
        <f ca="1">_xll.DBRW($D$4,$E$7,$E$8,$E$9,$E$10,$E$12,$D113,$E$6,BJ$18,BJ$17)</f>
        <v>0</v>
      </c>
      <c r="BK113" s="16">
        <f ca="1">_xll.DBRW($D$4,$E$7,$E$8,$E$9,$E$10,$E$12,$D113,$E$6,BK$18,BK$17)</f>
        <v>0.3065252992779986</v>
      </c>
      <c r="BL113" s="16">
        <f ca="1">_xll.DBRW($D$4,$E$7,$E$8,$E$9,$E$10,$E$12,$D113,$E$6,BL$18,BL$17)</f>
        <v>3.592028</v>
      </c>
      <c r="BM113" s="16">
        <f ca="1">_xll.DBRW($D$4,$E$7,$E$8,$E$9,$E$10,$E$12,$D113,$E$6,BM$18,BM$17)</f>
        <v>-1.4911750000000001</v>
      </c>
      <c r="BN113" s="16">
        <f ca="1">_xll.DBRW($D$4,$E$7,$E$8,$E$9,$E$10,$E$12,$D113,$E$6,BN$18,BN$17)</f>
        <v>0.41513457022049943</v>
      </c>
      <c r="BO113" s="16"/>
      <c r="BP113" s="16"/>
      <c r="BQ113" s="16"/>
      <c r="BR113" s="16"/>
      <c r="BS113" s="16">
        <f ca="1">_xll.DBRW($D$4,$E$7,$E$8,$E$9,$E$10,$E$12,$D113,$E$6,BS$18,BS$17)</f>
        <v>-0.33369099999999996</v>
      </c>
      <c r="BT113" s="16">
        <f ca="1">_xll.DBRW($D$4,$E$7,$E$8,$E$9,$E$10,$E$12,$D113,$E$6,BT$18,BT$17)</f>
        <v>9.2897661154088984E-2</v>
      </c>
      <c r="BU113" s="16"/>
      <c r="BV113" s="16"/>
      <c r="BW113" s="16"/>
      <c r="BX113" s="16"/>
      <c r="BY113" s="16">
        <f ca="1">_xll.DBRW($D$4,$E$7,$E$8,$E$9,$E$10,$E$12,$D113,$E$6,BY$18,BY$17)</f>
        <v>-0.409150370722</v>
      </c>
      <c r="BZ113" s="16">
        <f ca="1">_xll.DBRW($D$4,$E$7,$E$8,$E$9,$E$10,$E$12,$D113,$E$6,BZ$18,BZ$17)</f>
        <v>0.11390511731033277</v>
      </c>
      <c r="CA113" s="16"/>
      <c r="CB113" s="16"/>
      <c r="CC113" s="16"/>
      <c r="CD113" s="16"/>
      <c r="CE113" s="16">
        <f ca="1">_xll.DBRW($D$4,$E$7,$E$8,$E$9,$E$10,$E$12,$D113,$E$6,CE$18,CE$17)</f>
        <v>-0.5989318400000001</v>
      </c>
      <c r="CF113" s="16">
        <f ca="1">_xll.DBRW($D$4,$E$7,$E$8,$E$9,$E$10,$E$12,$D113,$E$6,CF$18,CF$17)</f>
        <v>0.16673919022902942</v>
      </c>
      <c r="CG113" s="16"/>
      <c r="CH113" s="16"/>
      <c r="CI113" s="16"/>
      <c r="CJ113" s="16"/>
      <c r="CK113" s="16">
        <f ca="1">_xll.DBRW($D$4,$E$7,$E$8,$E$9,$E$10,$E$12,$D113,$E$6,CK$18,CK$17)</f>
        <v>-0.45255448999999992</v>
      </c>
      <c r="CL113" s="16">
        <f ca="1">_xll.DBRW($D$4,$E$7,$E$8,$E$9,$E$10,$E$12,$D113,$E$6,CL$18,CL$17)</f>
        <v>0.12598857525609486</v>
      </c>
      <c r="CM113" s="16"/>
      <c r="CN113" s="16"/>
      <c r="CO113" s="16"/>
      <c r="CP113" s="16"/>
      <c r="CQ113" s="16">
        <f ca="1">_xll.DBRW($D$4,$E$7,$E$8,$E$9,$E$10,$E$12,$D113,$E$6,CQ$18,CQ$17)</f>
        <v>6.7206116667000007E-2</v>
      </c>
      <c r="CR113" s="16">
        <f ca="1">_xll.DBRW($D$4,$E$7,$E$8,$E$9,$E$10,$E$12,$D113,$E$6,CR$18,CR$17)</f>
        <v>1.6687939999999999</v>
      </c>
      <c r="CS113" s="16">
        <f ca="1">_xll.DBRW($D$4,$E$7,$E$8,$E$9,$E$10,$E$12,$D113,$E$6,CS$18,CS$17)</f>
        <v>1.6687939999999999</v>
      </c>
      <c r="CT113" s="16">
        <f ca="1">_xll.DBRW($D$4,$E$7,$E$8,$E$9,$E$10,$E$12,$D113,$E$6,CT$18,CT$17)</f>
        <v>1.6687939999999999</v>
      </c>
      <c r="CU113" s="16">
        <f ca="1">_xll.DBRW($D$4,$E$7,$E$8,$E$9,$E$10,$E$12,$D113,$E$6,CU$18,CU$17)</f>
        <v>0.48395025999999997</v>
      </c>
      <c r="CV113" s="16">
        <f ca="1">_xll.DBRW($D$4,$E$7,$E$8,$E$9,$E$10,$E$12,$D113,$E$6,CV$18,CV$17)</f>
        <v>1.6687939999999999</v>
      </c>
      <c r="CW113" s="16">
        <f ca="1">_xll.DBRW($D$4,$E$7,$E$8,$E$9,$E$10,$E$12,$D113,$E$6,CW$18,CW$17)</f>
        <v>1.1923591710000001</v>
      </c>
      <c r="CX113" s="16">
        <f ca="1">_xll.DBRW($D$4,$E$7,$E$8,$E$9,$E$10,$E$12,$D113,$E$6,CX$18,CX$17)</f>
        <v>1.6687939999999999</v>
      </c>
      <c r="CY113" s="16">
        <f ca="1">_xll.DBRW($D$4,$E$7,$E$8,$E$9,$E$10,$E$12,$D113,$E$6,CY$18,CY$17)</f>
        <v>1.6687939999999999</v>
      </c>
      <c r="CZ113" s="16">
        <f ca="1">_xll.DBRW($D$4,$E$7,$E$8,$E$9,$E$10,$E$12,$D113,$E$6,CZ$18,CZ$17)</f>
        <v>1.6687939999999999</v>
      </c>
      <c r="DA113" s="26">
        <f t="shared" ca="1" si="108"/>
        <v>3.6792380722001208E-2</v>
      </c>
      <c r="DB113" s="26">
        <f t="shared" ca="1" si="109"/>
        <v>2.572768999999997E-2</v>
      </c>
      <c r="DC113" s="26">
        <f t="shared" ca="1" si="110"/>
        <v>0</v>
      </c>
      <c r="DD113" s="26">
        <f t="shared" ca="1" si="111"/>
        <v>0</v>
      </c>
      <c r="DE113" s="26">
        <f t="shared" ca="1" si="112"/>
        <v>0</v>
      </c>
      <c r="DF113" s="26">
        <f t="shared" ca="1" si="113"/>
        <v>0</v>
      </c>
      <c r="DG113" s="26">
        <f t="shared" ca="1" si="114"/>
        <v>0</v>
      </c>
      <c r="DH113" s="26">
        <f t="shared" ca="1" si="115"/>
        <v>1.1064690722001225E-2</v>
      </c>
      <c r="DI113" s="26">
        <f t="shared" ca="1" si="116"/>
        <v>-0.29819576000000003</v>
      </c>
      <c r="DJ113" s="26">
        <f t="shared" ca="1" si="117"/>
        <v>9.2515570000000213E-2</v>
      </c>
      <c r="DK113" s="26">
        <f t="shared" ca="1" si="118"/>
        <v>9.4952615647404537E-3</v>
      </c>
      <c r="DL113" s="26"/>
      <c r="DM113" s="26"/>
      <c r="DN113" s="26"/>
      <c r="DO113" s="26"/>
      <c r="DP113" s="26">
        <f t="shared" ca="1" si="119"/>
        <v>2.1663770000000027E-2</v>
      </c>
      <c r="DQ113" s="26">
        <f t="shared" ca="1" si="120"/>
        <v>1.8330984185357391E-3</v>
      </c>
      <c r="DR113" s="26"/>
      <c r="DS113" s="26"/>
      <c r="DT113" s="26"/>
      <c r="DU113" s="26"/>
      <c r="DV113" s="26">
        <f t="shared" ca="1" si="121"/>
        <v>-9.5633592780000609E-3</v>
      </c>
      <c r="DW113" s="26">
        <f t="shared" ca="1" si="122"/>
        <v>1.3215421773345656E-2</v>
      </c>
      <c r="DX113" s="26"/>
      <c r="DY113" s="26"/>
      <c r="DZ113" s="26"/>
      <c r="EA113" s="26"/>
      <c r="EB113" s="26">
        <f t="shared" ca="1" si="123"/>
        <v>0.12174972000000012</v>
      </c>
      <c r="EC113" s="26">
        <f t="shared" ca="1" si="124"/>
        <v>-2.1867780505989004E-2</v>
      </c>
      <c r="ED113" s="26"/>
      <c r="EE113" s="26"/>
      <c r="EF113" s="26"/>
      <c r="EG113" s="26"/>
      <c r="EH113" s="26">
        <f t="shared" ca="1" si="125"/>
        <v>8.2894750000000017E-2</v>
      </c>
      <c r="EI113" s="29">
        <f t="shared" ca="1" si="126"/>
        <v>-1.3760716316928032E-2</v>
      </c>
      <c r="EJ113" s="29"/>
      <c r="EK113" s="29"/>
      <c r="EL113" s="29"/>
      <c r="EM113" s="29"/>
      <c r="EN113" s="93"/>
      <c r="EO113" s="29"/>
      <c r="EP113" s="29"/>
      <c r="EQ113" s="29"/>
      <c r="ER113" s="29"/>
      <c r="ES113" s="29"/>
      <c r="ET113" s="29"/>
      <c r="EU113" s="93"/>
      <c r="EV113" s="29"/>
      <c r="EW113" s="29"/>
      <c r="EX113" s="29"/>
      <c r="EY113" s="29"/>
      <c r="EZ113" s="29"/>
      <c r="FA113" s="29"/>
      <c r="FB113" s="93"/>
      <c r="FC113" s="29"/>
      <c r="FD113" s="29"/>
      <c r="FE113" s="29"/>
      <c r="FF113" s="29"/>
      <c r="FG113" s="29"/>
      <c r="FH113" s="29"/>
      <c r="FI113" s="93"/>
      <c r="FJ113" s="29"/>
      <c r="FK113" s="29"/>
      <c r="FL113" s="29"/>
      <c r="FM113" s="29"/>
      <c r="FN113" s="29"/>
      <c r="FO113" s="29"/>
      <c r="FP113" s="93"/>
      <c r="FQ113" s="29"/>
      <c r="FR113" s="29"/>
      <c r="FS113" s="29"/>
      <c r="FT113" s="29"/>
      <c r="FU113" s="29"/>
      <c r="FV113" s="29"/>
    </row>
    <row r="114" spans="1:178" x14ac:dyDescent="0.25">
      <c r="A114" t="str">
        <f ca="1">IF(_xll.TM1RPTELISCONSOLIDATED($D$28,$D114),IF(_xll.TM1RPTELLEV($D$28,$D114)&lt;=3,_xll.TM1RPTELLEV($D$28,$D114),"D"),"N")</f>
        <v>N</v>
      </c>
      <c r="B114" t="str">
        <f ca="1">_xll.DBRA(Server&amp;"Management_organization",$D114,$B$27)</f>
        <v>L</v>
      </c>
      <c r="C114">
        <v>1</v>
      </c>
      <c r="D114" s="2" t="s">
        <v>157</v>
      </c>
      <c r="E114" s="26"/>
      <c r="F114" s="26"/>
      <c r="G114" s="16">
        <f ca="1">_xll.DBRW($D$4,$E$7,$E$8,$E$9,$E$10,$E$12,$D114,$E$6,G$18,G$17)</f>
        <v>0.23131175999999998</v>
      </c>
      <c r="H114" s="16">
        <f ca="1">_xll.DBRW($D$4,$E$7,$E$8,$E$9,$E$10,$E$12,$D114,$E$6,H$18,H$17)</f>
        <v>-0.20291249</v>
      </c>
      <c r="I114" s="16">
        <f ca="1">_xll.DBRW($D$4,$E$7,$E$8,$E$9,$E$10,$E$12,$D114,$E$6,I$18,I$17)</f>
        <v>0</v>
      </c>
      <c r="J114" s="26">
        <f ca="1">_xll.DBRW($D$4,$E$7,$E$8,$E$9,$E$10,$E$12,$D114,$E$6,J$18,J$17)</f>
        <v>1.2843799999999947E-3</v>
      </c>
      <c r="K114" s="26">
        <f ca="1">_xll.DBRW($D$4,$E$7,$E$8,$E$9,$E$10,$E$12,$D114,$E$6,K$18,K$17)</f>
        <v>0</v>
      </c>
      <c r="L114" s="26">
        <f ca="1">_xll.DBRW($D$4,$E$7,$E$8,$E$9,$E$10,$E$12,$D114,$E$6,L$18,L$17)</f>
        <v>0</v>
      </c>
      <c r="M114" s="26">
        <f ca="1">_xll.DBRW($D$4,$E$7,$E$8,$E$9,$E$10,$E$12,$D114,$E$6,M$18,M$17)</f>
        <v>0</v>
      </c>
      <c r="N114" s="16">
        <f ca="1">_xll.DBRW($D$4,$E$7,$E$8,$E$9,$E$10,$E$12,$D114,$E$6,N$18,N$17)</f>
        <v>0.43293987</v>
      </c>
      <c r="O114" s="16">
        <f ca="1">_xll.DBRW($D$4,$E$7,$E$8,$E$9,$E$10,$E$12,$D114,$E$6,O$18,O$17)</f>
        <v>2.5659631999999997</v>
      </c>
      <c r="P114" s="74">
        <f ca="1">_xll.DBRW($D$4,$E$7,$E$8,$E$9,$E$10,$E$12,$D114,$E$6,P$18,P$17)</f>
        <v>-0.76510602999999988</v>
      </c>
      <c r="Q114" s="16">
        <f ca="1">_xll.DBRW($D$4,$E$7,$E$8,$E$9,$E$10,$E$12,$D114,$E$6,Q$18,Q$17)</f>
        <v>0.2981749816209367</v>
      </c>
      <c r="R114" s="16"/>
      <c r="S114" s="16"/>
      <c r="T114" s="16"/>
      <c r="U114" s="16"/>
      <c r="V114" s="16">
        <f ca="1">_xll.DBRW($D$4,$E$7,$E$8,$E$9,$E$10,$E$12,$D114,$E$6,V$18,V$17)</f>
        <v>-0.22212813000000003</v>
      </c>
      <c r="W114" s="16">
        <f ca="1">_xll.DBRW($D$4,$E$7,$E$8,$E$9,$E$10,$E$12,$D114,$E$6,W$18,W$17)</f>
        <v>8.6567153418256368E-2</v>
      </c>
      <c r="X114" s="16"/>
      <c r="Y114" s="16"/>
      <c r="Z114" s="16"/>
      <c r="AA114" s="16"/>
      <c r="AB114" s="16">
        <f ca="1">_xll.DBRW($D$4,$E$7,$E$8,$E$9,$E$10,$E$12,$D114,$E$6,AB$18,AB$17)</f>
        <v>-0.22135565000000001</v>
      </c>
      <c r="AC114" s="16">
        <f ca="1">_xll.DBRW($D$4,$E$7,$E$8,$E$9,$E$10,$E$12,$D114,$E$6,AC$18,AC$17)</f>
        <v>8.6266104673675778E-2</v>
      </c>
      <c r="AD114" s="16"/>
      <c r="AE114" s="16"/>
      <c r="AF114" s="16"/>
      <c r="AG114" s="16"/>
      <c r="AH114" s="16">
        <f ca="1">_xll.DBRW($D$4,$E$7,$E$8,$E$9,$E$10,$E$12,$D114,$E$6,AH$18,AH$17)</f>
        <v>-0.52727991000000007</v>
      </c>
      <c r="AI114" s="16">
        <f ca="1">_xll.DBRW($D$4,$E$7,$E$8,$E$9,$E$10,$E$12,$D114,$E$6,AI$18,AI$17)</f>
        <v>0.20549005145514174</v>
      </c>
      <c r="AJ114" s="16"/>
      <c r="AK114" s="16"/>
      <c r="AL114" s="16"/>
      <c r="AM114" s="16"/>
      <c r="AN114" s="16">
        <f ca="1">_xll.DBRW($D$4,$E$7,$E$8,$E$9,$E$10,$E$12,$D114,$E$6,AN$18,AN$17)</f>
        <v>-0.39715361000000005</v>
      </c>
      <c r="AO114" s="16">
        <f ca="1">_xll.DBRW($D$4,$E$7,$E$8,$E$9,$E$10,$E$12,$D114,$E$6,AO$18,AO$17)</f>
        <v>0.154777593848579</v>
      </c>
      <c r="AP114" s="16"/>
      <c r="AQ114" s="16"/>
      <c r="AR114" s="16"/>
      <c r="AS114" s="16"/>
      <c r="AT114" s="16">
        <f ca="1">_xll.DBRW($D$4,$E$7,$E$8,$E$9,$E$10,$E$12,$D114,$E$6,AT$18,AT$17)</f>
        <v>3.7348840000000001E-2</v>
      </c>
      <c r="AU114" s="16">
        <f ca="1">_xll.DBRW($D$4,$E$7,$E$8,$E$9,$E$10,$E$12,$D114,$E$6,AU$18,AU$17)</f>
        <v>0.89827364999999992</v>
      </c>
      <c r="AV114" s="16">
        <f ca="1">_xll.DBRW($D$4,$E$7,$E$8,$E$9,$E$10,$E$12,$D114,$E$6,AV$18,AV$17)</f>
        <v>0.89827364999999992</v>
      </c>
      <c r="AW114" s="16">
        <f ca="1">_xll.DBRW($D$4,$E$7,$E$8,$E$9,$E$10,$E$12,$D114,$E$6,AW$18,AW$17)</f>
        <v>0.89827364999999992</v>
      </c>
      <c r="AX114" s="16">
        <f ca="1">_xll.DBRW($D$4,$E$7,$E$8,$E$9,$E$10,$E$12,$D114,$E$6,AX$18,AX$17)</f>
        <v>0.24992555</v>
      </c>
      <c r="AY114" s="16">
        <f ca="1">_xll.DBRW($D$4,$E$7,$E$8,$E$9,$E$10,$E$12,$D114,$E$6,AY$18,AY$17)</f>
        <v>0.89827364999999992</v>
      </c>
      <c r="AZ114" s="16">
        <f ca="1">_xll.DBRW($D$4,$E$7,$E$8,$E$9,$E$10,$E$12,$D114,$E$6,AZ$18,AZ$17)</f>
        <v>0.50825988</v>
      </c>
      <c r="BA114" s="16">
        <f ca="1">_xll.DBRW($D$4,$E$7,$E$8,$E$9,$E$10,$E$12,$D114,$E$6,BA$18,BA$17)</f>
        <v>0.89827364999999992</v>
      </c>
      <c r="BB114" s="16">
        <f ca="1">_xll.DBRW($D$4,$E$7,$E$8,$E$9,$E$10,$E$12,$D114,$E$6,BB$18,BB$17)</f>
        <v>0.89827364999999992</v>
      </c>
      <c r="BC114" s="16">
        <f ca="1">_xll.DBRW($D$4,$E$7,$E$8,$E$9,$E$10,$E$12,$D114,$E$6,BC$18,BC$17)</f>
        <v>0.89827364999999992</v>
      </c>
      <c r="BD114" s="16">
        <f ca="1">_xll.DBRW($D$4,$E$7,$E$8,$E$9,$E$10,$E$12,$D114,$E$6,BD$18,BD$17)</f>
        <v>0.18754149727050079</v>
      </c>
      <c r="BE114" s="16">
        <f ca="1">_xll.DBRW($D$4,$E$7,$E$8,$E$9,$E$10,$E$12,$D114,$E$6,BE$18,BE$17)</f>
        <v>-0.28378451999999998</v>
      </c>
      <c r="BF114" s="16">
        <f ca="1">_xll.DBRW($D$4,$E$7,$E$8,$E$9,$E$10,$E$12,$D114,$E$6,BF$18,BF$17)</f>
        <v>0</v>
      </c>
      <c r="BG114" s="26">
        <f ca="1">_xll.DBRW($D$4,$E$7,$E$8,$E$9,$E$10,$E$12,$D114,$E$6,BG$18,BG$17)</f>
        <v>0</v>
      </c>
      <c r="BH114" s="26">
        <f ca="1">_xll.DBRW($D$4,$E$7,$E$8,$E$9,$E$10,$E$12,$D114,$E$6,BH$18,BH$17)</f>
        <v>0</v>
      </c>
      <c r="BI114" s="26">
        <f ca="1">_xll.DBRW($D$4,$E$7,$E$8,$E$9,$E$10,$E$12,$D114,$E$6,BI$18,BI$17)</f>
        <v>0</v>
      </c>
      <c r="BJ114" s="26">
        <f ca="1">_xll.DBRW($D$4,$E$7,$E$8,$E$9,$E$10,$E$12,$D114,$E$6,BJ$18,BJ$17)</f>
        <v>0</v>
      </c>
      <c r="BK114" s="16">
        <f ca="1">_xll.DBRW($D$4,$E$7,$E$8,$E$9,$E$10,$E$12,$D114,$E$6,BK$18,BK$17)</f>
        <v>0.47132601727050077</v>
      </c>
      <c r="BL114" s="16">
        <f ca="1">_xll.DBRW($D$4,$E$7,$E$8,$E$9,$E$10,$E$12,$D114,$E$6,BL$18,BL$17)</f>
        <v>2.7971550000000001</v>
      </c>
      <c r="BM114" s="16">
        <f ca="1">_xll.DBRW($D$4,$E$7,$E$8,$E$9,$E$10,$E$12,$D114,$E$6,BM$18,BM$17)</f>
        <v>-0.90209450000000002</v>
      </c>
      <c r="BN114" s="16">
        <f ca="1">_xll.DBRW($D$4,$E$7,$E$8,$E$9,$E$10,$E$12,$D114,$E$6,BN$18,BN$17)</f>
        <v>0.32250429454213297</v>
      </c>
      <c r="BO114" s="16"/>
      <c r="BP114" s="16"/>
      <c r="BQ114" s="16"/>
      <c r="BR114" s="16"/>
      <c r="BS114" s="16">
        <f ca="1">_xll.DBRW($D$4,$E$7,$E$8,$E$9,$E$10,$E$12,$D114,$E$6,BS$18,BS$17)</f>
        <v>-0.19639600000000002</v>
      </c>
      <c r="BT114" s="16">
        <f ca="1">_xll.DBRW($D$4,$E$7,$E$8,$E$9,$E$10,$E$12,$D114,$E$6,BT$18,BT$17)</f>
        <v>7.0212769760703286E-2</v>
      </c>
      <c r="BU114" s="16"/>
      <c r="BV114" s="16"/>
      <c r="BW114" s="16"/>
      <c r="BX114" s="16"/>
      <c r="BY114" s="16">
        <f ca="1">_xll.DBRW($D$4,$E$7,$E$8,$E$9,$E$10,$E$12,$D114,$E$6,BY$18,BY$17)</f>
        <v>-0.23825477272949994</v>
      </c>
      <c r="BZ114" s="16">
        <f ca="1">_xll.DBRW($D$4,$E$7,$E$8,$E$9,$E$10,$E$12,$D114,$E$6,BZ$18,BZ$17)</f>
        <v>8.5177536721954966E-2</v>
      </c>
      <c r="CA114" s="16"/>
      <c r="CB114" s="16"/>
      <c r="CC114" s="16"/>
      <c r="CD114" s="16"/>
      <c r="CE114" s="16">
        <f ca="1">_xll.DBRW($D$4,$E$7,$E$8,$E$9,$E$10,$E$12,$D114,$E$6,CE$18,CE$17)</f>
        <v>-0.6397713599999999</v>
      </c>
      <c r="CF114" s="16">
        <f ca="1">_xll.DBRW($D$4,$E$7,$E$8,$E$9,$E$10,$E$12,$D114,$E$6,CF$18,CF$17)</f>
        <v>0.22872216949007113</v>
      </c>
      <c r="CG114" s="16"/>
      <c r="CH114" s="16"/>
      <c r="CI114" s="16"/>
      <c r="CJ114" s="16"/>
      <c r="CK114" s="16">
        <f ca="1">_xll.DBRW($D$4,$E$7,$E$8,$E$9,$E$10,$E$12,$D114,$E$6,CK$18,CK$17)</f>
        <v>-0.34931234999999999</v>
      </c>
      <c r="CL114" s="16">
        <f ca="1">_xll.DBRW($D$4,$E$7,$E$8,$E$9,$E$10,$E$12,$D114,$E$6,CL$18,CL$17)</f>
        <v>0.12488129903419724</v>
      </c>
      <c r="CM114" s="16"/>
      <c r="CN114" s="16"/>
      <c r="CO114" s="16"/>
      <c r="CP114" s="16"/>
      <c r="CQ114" s="16">
        <f ca="1">_xll.DBRW($D$4,$E$7,$E$8,$E$9,$E$10,$E$12,$D114,$E$6,CQ$18,CQ$17)</f>
        <v>4.3145999999999997E-2</v>
      </c>
      <c r="CR114" s="16">
        <f ca="1">_xll.DBRW($D$4,$E$7,$E$8,$E$9,$E$10,$E$12,$D114,$E$6,CR$18,CR$17)</f>
        <v>1.007571</v>
      </c>
      <c r="CS114" s="16">
        <f ca="1">_xll.DBRW($D$4,$E$7,$E$8,$E$9,$E$10,$E$12,$D114,$E$6,CS$18,CS$17)</f>
        <v>1.007571</v>
      </c>
      <c r="CT114" s="16">
        <f ca="1">_xll.DBRW($D$4,$E$7,$E$8,$E$9,$E$10,$E$12,$D114,$E$6,CT$18,CT$17)</f>
        <v>1.007571</v>
      </c>
      <c r="CU114" s="16">
        <f ca="1">_xll.DBRW($D$4,$E$7,$E$8,$E$9,$E$10,$E$12,$D114,$E$6,CU$18,CU$17)</f>
        <v>0.28715773499999991</v>
      </c>
      <c r="CV114" s="16">
        <f ca="1">_xll.DBRW($D$4,$E$7,$E$8,$E$9,$E$10,$E$12,$D114,$E$6,CV$18,CV$17)</f>
        <v>1.007571</v>
      </c>
      <c r="CW114" s="16">
        <f ca="1">_xll.DBRW($D$4,$E$7,$E$8,$E$9,$E$10,$E$12,$D114,$E$6,CW$18,CW$17)</f>
        <v>0.58226999999999995</v>
      </c>
      <c r="CX114" s="16">
        <f ca="1">_xll.DBRW($D$4,$E$7,$E$8,$E$9,$E$10,$E$12,$D114,$E$6,CX$18,CX$17)</f>
        <v>1.007571</v>
      </c>
      <c r="CY114" s="16">
        <f ca="1">_xll.DBRW($D$4,$E$7,$E$8,$E$9,$E$10,$E$12,$D114,$E$6,CY$18,CY$17)</f>
        <v>1.007571</v>
      </c>
      <c r="CZ114" s="16">
        <f ca="1">_xll.DBRW($D$4,$E$7,$E$8,$E$9,$E$10,$E$12,$D114,$E$6,CZ$18,CZ$17)</f>
        <v>1.007571</v>
      </c>
      <c r="DA114" s="26">
        <f t="shared" ca="1" si="108"/>
        <v>4.3770262729499188E-2</v>
      </c>
      <c r="DB114" s="26">
        <f t="shared" ca="1" si="109"/>
        <v>8.0872029999999984E-2</v>
      </c>
      <c r="DC114" s="26">
        <f t="shared" ca="1" si="110"/>
        <v>0</v>
      </c>
      <c r="DD114" s="26">
        <f t="shared" ca="1" si="111"/>
        <v>1.2843799999999947E-3</v>
      </c>
      <c r="DE114" s="26">
        <f t="shared" ca="1" si="112"/>
        <v>0</v>
      </c>
      <c r="DF114" s="26">
        <f t="shared" ca="1" si="113"/>
        <v>0</v>
      </c>
      <c r="DG114" s="26">
        <f t="shared" ca="1" si="114"/>
        <v>0</v>
      </c>
      <c r="DH114" s="26">
        <f t="shared" ca="1" si="115"/>
        <v>-3.838614727050077E-2</v>
      </c>
      <c r="DI114" s="26">
        <f t="shared" ca="1" si="116"/>
        <v>-0.23119180000000039</v>
      </c>
      <c r="DJ114" s="26">
        <f t="shared" ca="1" si="117"/>
        <v>0.13698847000000014</v>
      </c>
      <c r="DK114" s="26">
        <f t="shared" ca="1" si="118"/>
        <v>-2.4329312921196278E-2</v>
      </c>
      <c r="DL114" s="26"/>
      <c r="DM114" s="26"/>
      <c r="DN114" s="26"/>
      <c r="DO114" s="26"/>
      <c r="DP114" s="26">
        <f t="shared" ca="1" si="119"/>
        <v>-2.573213000000002E-2</v>
      </c>
      <c r="DQ114" s="26">
        <f t="shared" ca="1" si="120"/>
        <v>1.6354383657553082E-2</v>
      </c>
      <c r="DR114" s="26"/>
      <c r="DS114" s="26"/>
      <c r="DT114" s="26"/>
      <c r="DU114" s="26"/>
      <c r="DV114" s="26">
        <f t="shared" ca="1" si="121"/>
        <v>1.6899122729499921E-2</v>
      </c>
      <c r="DW114" s="26">
        <f t="shared" ca="1" si="122"/>
        <v>1.0885679517208119E-3</v>
      </c>
      <c r="DX114" s="26"/>
      <c r="DY114" s="26"/>
      <c r="DZ114" s="26"/>
      <c r="EA114" s="26"/>
      <c r="EB114" s="26">
        <f t="shared" ca="1" si="123"/>
        <v>0.11249144999999983</v>
      </c>
      <c r="EC114" s="26">
        <f t="shared" ca="1" si="124"/>
        <v>-2.3232118034929389E-2</v>
      </c>
      <c r="ED114" s="26"/>
      <c r="EE114" s="26"/>
      <c r="EF114" s="26"/>
      <c r="EG114" s="26"/>
      <c r="EH114" s="26">
        <f t="shared" ca="1" si="125"/>
        <v>-4.7841260000000052E-2</v>
      </c>
      <c r="EI114" s="29">
        <f t="shared" ca="1" si="126"/>
        <v>2.989629481438176E-2</v>
      </c>
      <c r="EJ114" s="29"/>
      <c r="EK114" s="29"/>
      <c r="EL114" s="29"/>
      <c r="EM114" s="29"/>
      <c r="EN114" s="93"/>
      <c r="EO114" s="29"/>
      <c r="EP114" s="29"/>
      <c r="EQ114" s="29"/>
      <c r="ER114" s="29"/>
      <c r="ES114" s="29"/>
      <c r="ET114" s="29"/>
      <c r="EU114" s="93"/>
      <c r="EV114" s="29"/>
      <c r="EW114" s="29"/>
      <c r="EX114" s="29"/>
      <c r="EY114" s="29"/>
      <c r="EZ114" s="29"/>
      <c r="FA114" s="29"/>
      <c r="FB114" s="93"/>
      <c r="FC114" s="29"/>
      <c r="FD114" s="29"/>
      <c r="FE114" s="29"/>
      <c r="FF114" s="29"/>
      <c r="FG114" s="29"/>
      <c r="FH114" s="29"/>
      <c r="FI114" s="93"/>
      <c r="FJ114" s="29"/>
      <c r="FK114" s="29"/>
      <c r="FL114" s="29"/>
      <c r="FM114" s="29"/>
      <c r="FN114" s="29"/>
      <c r="FO114" s="29"/>
      <c r="FP114" s="93"/>
      <c r="FQ114" s="29"/>
      <c r="FR114" s="29"/>
      <c r="FS114" s="29"/>
      <c r="FT114" s="29"/>
      <c r="FU114" s="29"/>
      <c r="FV114" s="29"/>
    </row>
    <row r="115" spans="1:178" x14ac:dyDescent="0.25">
      <c r="A115" t="str">
        <f ca="1">IF(_xll.TM1RPTELISCONSOLIDATED($D$28,$D115),IF(_xll.TM1RPTELLEV($D$28,$D115)&lt;=3,_xll.TM1RPTELLEV($D$28,$D115),"D"),"N")</f>
        <v>N</v>
      </c>
      <c r="B115" t="str">
        <f ca="1">_xll.DBRA(Server&amp;"Management_organization",$D115,$B$27)</f>
        <v>L</v>
      </c>
      <c r="C115">
        <v>1</v>
      </c>
      <c r="D115" s="2" t="s">
        <v>158</v>
      </c>
      <c r="E115" s="26"/>
      <c r="F115" s="26"/>
      <c r="G115" s="16">
        <f ca="1">_xll.DBRW($D$4,$E$7,$E$8,$E$9,$E$10,$E$12,$D115,$E$6,G$18,G$17)</f>
        <v>0.30881639</v>
      </c>
      <c r="H115" s="16">
        <f ca="1">_xll.DBRW($D$4,$E$7,$E$8,$E$9,$E$10,$E$12,$D115,$E$6,H$18,H$17)</f>
        <v>-0.16364211000000001</v>
      </c>
      <c r="I115" s="16">
        <f ca="1">_xll.DBRW($D$4,$E$7,$E$8,$E$9,$E$10,$E$12,$D115,$E$6,I$18,I$17)</f>
        <v>0</v>
      </c>
      <c r="J115" s="26">
        <f ca="1">_xll.DBRW($D$4,$E$7,$E$8,$E$9,$E$10,$E$12,$D115,$E$6,J$18,J$17)</f>
        <v>0</v>
      </c>
      <c r="K115" s="26">
        <f ca="1">_xll.DBRW($D$4,$E$7,$E$8,$E$9,$E$10,$E$12,$D115,$E$6,K$18,K$17)</f>
        <v>0</v>
      </c>
      <c r="L115" s="26">
        <f ca="1">_xll.DBRW($D$4,$E$7,$E$8,$E$9,$E$10,$E$12,$D115,$E$6,L$18,L$17)</f>
        <v>0</v>
      </c>
      <c r="M115" s="26">
        <f ca="1">_xll.DBRW($D$4,$E$7,$E$8,$E$9,$E$10,$E$12,$D115,$E$6,M$18,M$17)</f>
        <v>0</v>
      </c>
      <c r="N115" s="16">
        <f ca="1">_xll.DBRW($D$4,$E$7,$E$8,$E$9,$E$10,$E$12,$D115,$E$6,N$18,N$17)</f>
        <v>0.4724585</v>
      </c>
      <c r="O115" s="16">
        <f ca="1">_xll.DBRW($D$4,$E$7,$E$8,$E$9,$E$10,$E$12,$D115,$E$6,O$18,O$17)</f>
        <v>2.2646580999999997</v>
      </c>
      <c r="P115" s="74">
        <f ca="1">_xll.DBRW($D$4,$E$7,$E$8,$E$9,$E$10,$E$12,$D115,$E$6,P$18,P$17)</f>
        <v>-0.70930603999999986</v>
      </c>
      <c r="Q115" s="16">
        <f ca="1">_xll.DBRW($D$4,$E$7,$E$8,$E$9,$E$10,$E$12,$D115,$E$6,Q$18,Q$17)</f>
        <v>0.3132066778645306</v>
      </c>
      <c r="R115" s="16"/>
      <c r="S115" s="16"/>
      <c r="T115" s="16"/>
      <c r="U115" s="16"/>
      <c r="V115" s="16">
        <f ca="1">_xll.DBRW($D$4,$E$7,$E$8,$E$9,$E$10,$E$12,$D115,$E$6,V$18,V$17)</f>
        <v>-0.20103220999999999</v>
      </c>
      <c r="W115" s="16">
        <f ca="1">_xll.DBRW($D$4,$E$7,$E$8,$E$9,$E$10,$E$12,$D115,$E$6,W$18,W$17)</f>
        <v>8.8769342268486359E-2</v>
      </c>
      <c r="X115" s="16"/>
      <c r="Y115" s="16"/>
      <c r="Z115" s="16"/>
      <c r="AA115" s="16"/>
      <c r="AB115" s="16">
        <f ca="1">_xll.DBRW($D$4,$E$7,$E$8,$E$9,$E$10,$E$12,$D115,$E$6,AB$18,AB$17)</f>
        <v>-0.24178289</v>
      </c>
      <c r="AC115" s="16">
        <f ca="1">_xll.DBRW($D$4,$E$7,$E$8,$E$9,$E$10,$E$12,$D115,$E$6,AC$18,AC$17)</f>
        <v>0.10676352867569724</v>
      </c>
      <c r="AD115" s="16"/>
      <c r="AE115" s="16"/>
      <c r="AF115" s="16"/>
      <c r="AG115" s="16"/>
      <c r="AH115" s="16">
        <f ca="1">_xll.DBRW($D$4,$E$7,$E$8,$E$9,$E$10,$E$12,$D115,$E$6,AH$18,AH$17)</f>
        <v>-0.45620676999999998</v>
      </c>
      <c r="AI115" s="16">
        <f ca="1">_xll.DBRW($D$4,$E$7,$E$8,$E$9,$E$10,$E$12,$D115,$E$6,AI$18,AI$17)</f>
        <v>0.20144620064282553</v>
      </c>
      <c r="AJ115" s="16"/>
      <c r="AK115" s="16"/>
      <c r="AL115" s="16"/>
      <c r="AM115" s="16"/>
      <c r="AN115" s="16">
        <f ca="1">_xll.DBRW($D$4,$E$7,$E$8,$E$9,$E$10,$E$12,$D115,$E$6,AN$18,AN$17)</f>
        <v>-0.18387169</v>
      </c>
      <c r="AO115" s="16">
        <f ca="1">_xll.DBRW($D$4,$E$7,$E$8,$E$9,$E$10,$E$12,$D115,$E$6,AO$18,AO$17)</f>
        <v>8.1191809924862399E-2</v>
      </c>
      <c r="AP115" s="16"/>
      <c r="AQ115" s="16"/>
      <c r="AR115" s="16"/>
      <c r="AS115" s="16"/>
      <c r="AT115" s="16">
        <f ca="1">_xll.DBRW($D$4,$E$7,$E$8,$E$9,$E$10,$E$12,$D115,$E$6,AT$18,AT$17)</f>
        <v>3.8798060000000002E-2</v>
      </c>
      <c r="AU115" s="16">
        <f ca="1">_xll.DBRW($D$4,$E$7,$E$8,$E$9,$E$10,$E$12,$D115,$E$6,AU$18,AU$17)</f>
        <v>0.80949999999999978</v>
      </c>
      <c r="AV115" s="16">
        <f ca="1">_xll.DBRW($D$4,$E$7,$E$8,$E$9,$E$10,$E$12,$D115,$E$6,AV$18,AV$17)</f>
        <v>0.80949999999999978</v>
      </c>
      <c r="AW115" s="16">
        <f ca="1">_xll.DBRW($D$4,$E$7,$E$8,$E$9,$E$10,$E$12,$D115,$E$6,AW$18,AW$17)</f>
        <v>0.80949999999999978</v>
      </c>
      <c r="AX115" s="16">
        <f ca="1">_xll.DBRW($D$4,$E$7,$E$8,$E$9,$E$10,$E$12,$D115,$E$6,AX$18,AX$17)</f>
        <v>0.24088757999999999</v>
      </c>
      <c r="AY115" s="16">
        <f ca="1">_xll.DBRW($D$4,$E$7,$E$8,$E$9,$E$10,$E$12,$D115,$E$6,AY$18,AY$17)</f>
        <v>0.80949999999999978</v>
      </c>
      <c r="AZ115" s="16">
        <f ca="1">_xll.DBRW($D$4,$E$7,$E$8,$E$9,$E$10,$E$12,$D115,$E$6,AZ$18,AZ$17)</f>
        <v>0.42924499999999999</v>
      </c>
      <c r="BA115" s="16">
        <f ca="1">_xll.DBRW($D$4,$E$7,$E$8,$E$9,$E$10,$E$12,$D115,$E$6,BA$18,BA$17)</f>
        <v>0.80949999999999978</v>
      </c>
      <c r="BB115" s="16">
        <f ca="1">_xll.DBRW($D$4,$E$7,$E$8,$E$9,$E$10,$E$12,$D115,$E$6,BB$18,BB$17)</f>
        <v>0.80949999999999978</v>
      </c>
      <c r="BC115" s="16">
        <f ca="1">_xll.DBRW($D$4,$E$7,$E$8,$E$9,$E$10,$E$12,$D115,$E$6,BC$18,BC$17)</f>
        <v>0.80949999999999978</v>
      </c>
      <c r="BD115" s="16">
        <f ca="1">_xll.DBRW($D$4,$E$7,$E$8,$E$9,$E$10,$E$12,$D115,$E$6,BD$18,BD$17)</f>
        <v>0.30978511500000022</v>
      </c>
      <c r="BE115" s="16">
        <f ca="1">_xll.DBRW($D$4,$E$7,$E$8,$E$9,$E$10,$E$12,$D115,$E$6,BE$18,BE$17)</f>
        <v>-0.17398008000000001</v>
      </c>
      <c r="BF115" s="16">
        <f ca="1">_xll.DBRW($D$4,$E$7,$E$8,$E$9,$E$10,$E$12,$D115,$E$6,BF$18,BF$17)</f>
        <v>0</v>
      </c>
      <c r="BG115" s="26">
        <f ca="1">_xll.DBRW($D$4,$E$7,$E$8,$E$9,$E$10,$E$12,$D115,$E$6,BG$18,BG$17)</f>
        <v>-1.1000000000000003E-3</v>
      </c>
      <c r="BH115" s="26">
        <f ca="1">_xll.DBRW($D$4,$E$7,$E$8,$E$9,$E$10,$E$12,$D115,$E$6,BH$18,BH$17)</f>
        <v>0</v>
      </c>
      <c r="BI115" s="26">
        <f ca="1">_xll.DBRW($D$4,$E$7,$E$8,$E$9,$E$10,$E$12,$D115,$E$6,BI$18,BI$17)</f>
        <v>0</v>
      </c>
      <c r="BJ115" s="26">
        <f ca="1">_xll.DBRW($D$4,$E$7,$E$8,$E$9,$E$10,$E$12,$D115,$E$6,BJ$18,BJ$17)</f>
        <v>0</v>
      </c>
      <c r="BK115" s="16">
        <f ca="1">_xll.DBRW($D$4,$E$7,$E$8,$E$9,$E$10,$E$12,$D115,$E$6,BK$18,BK$17)</f>
        <v>0.48486519500000019</v>
      </c>
      <c r="BL115" s="16">
        <f ca="1">_xll.DBRW($D$4,$E$7,$E$8,$E$9,$E$10,$E$12,$D115,$E$6,BL$18,BL$17)</f>
        <v>2.5484733299999998</v>
      </c>
      <c r="BM115" s="16">
        <f ca="1">_xll.DBRW($D$4,$E$7,$E$8,$E$9,$E$10,$E$12,$D115,$E$6,BM$18,BM$17)</f>
        <v>-0.77543234999999999</v>
      </c>
      <c r="BN115" s="16">
        <f ca="1">_xll.DBRW($D$4,$E$7,$E$8,$E$9,$E$10,$E$12,$D115,$E$6,BN$18,BN$17)</f>
        <v>0.30427328427250994</v>
      </c>
      <c r="BO115" s="16"/>
      <c r="BP115" s="16"/>
      <c r="BQ115" s="16"/>
      <c r="BR115" s="16"/>
      <c r="BS115" s="16">
        <f ca="1">_xll.DBRW($D$4,$E$7,$E$8,$E$9,$E$10,$E$12,$D115,$E$6,BS$18,BS$17)</f>
        <v>-0.23175829000000003</v>
      </c>
      <c r="BT115" s="16">
        <f ca="1">_xll.DBRW($D$4,$E$7,$E$8,$E$9,$E$10,$E$12,$D115,$E$6,BT$18,BT$17)</f>
        <v>9.0940049194079678E-2</v>
      </c>
      <c r="BU115" s="16"/>
      <c r="BV115" s="16"/>
      <c r="BW115" s="16"/>
      <c r="BX115" s="16"/>
      <c r="BY115" s="16">
        <f ca="1">_xll.DBRW($D$4,$E$7,$E$8,$E$9,$E$10,$E$12,$D115,$E$6,BY$18,BY$17)</f>
        <v>-0.24042856499999998</v>
      </c>
      <c r="BZ115" s="16">
        <f ca="1">_xll.DBRW($D$4,$E$7,$E$8,$E$9,$E$10,$E$12,$D115,$E$6,BZ$18,BZ$17)</f>
        <v>9.4342193881228498E-2</v>
      </c>
      <c r="CA115" s="16"/>
      <c r="CB115" s="16"/>
      <c r="CC115" s="16"/>
      <c r="CD115" s="16"/>
      <c r="CE115" s="16">
        <f ca="1">_xll.DBRW($D$4,$E$7,$E$8,$E$9,$E$10,$E$12,$D115,$E$6,CE$18,CE$17)</f>
        <v>-0.52853892999999985</v>
      </c>
      <c r="CF115" s="16">
        <f ca="1">_xll.DBRW($D$4,$E$7,$E$8,$E$9,$E$10,$E$12,$D115,$E$6,CF$18,CF$17)</f>
        <v>0.20739433439548685</v>
      </c>
      <c r="CG115" s="16"/>
      <c r="CH115" s="16"/>
      <c r="CI115" s="16"/>
      <c r="CJ115" s="16"/>
      <c r="CK115" s="16">
        <f ca="1">_xll.DBRW($D$4,$E$7,$E$8,$E$9,$E$10,$E$12,$D115,$E$6,CK$18,CK$17)</f>
        <v>-0.28745000000000004</v>
      </c>
      <c r="CL115" s="16">
        <f ca="1">_xll.DBRW($D$4,$E$7,$E$8,$E$9,$E$10,$E$12,$D115,$E$6,CL$18,CL$17)</f>
        <v>0.11279301871289352</v>
      </c>
      <c r="CM115" s="16"/>
      <c r="CN115" s="16"/>
      <c r="CO115" s="16"/>
      <c r="CP115" s="16"/>
      <c r="CQ115" s="16">
        <f ca="1">_xll.DBRW($D$4,$E$7,$E$8,$E$9,$E$10,$E$12,$D115,$E$6,CQ$18,CQ$17)</f>
        <v>4.1243949999999988E-2</v>
      </c>
      <c r="CR115" s="16">
        <f ca="1">_xll.DBRW($D$4,$E$7,$E$8,$E$9,$E$10,$E$12,$D115,$E$6,CR$18,CR$17)</f>
        <v>0.92149999999999987</v>
      </c>
      <c r="CS115" s="16">
        <f ca="1">_xll.DBRW($D$4,$E$7,$E$8,$E$9,$E$10,$E$12,$D115,$E$6,CS$18,CS$17)</f>
        <v>0.92149999999999987</v>
      </c>
      <c r="CT115" s="16">
        <f ca="1">_xll.DBRW($D$4,$E$7,$E$8,$E$9,$E$10,$E$12,$D115,$E$6,CT$18,CT$17)</f>
        <v>0.92149999999999987</v>
      </c>
      <c r="CU115" s="16">
        <f ca="1">_xll.DBRW($D$4,$E$7,$E$8,$E$9,$E$10,$E$12,$D115,$E$6,CU$18,CU$17)</f>
        <v>0.27644999999999997</v>
      </c>
      <c r="CV115" s="16">
        <f ca="1">_xll.DBRW($D$4,$E$7,$E$8,$E$9,$E$10,$E$12,$D115,$E$6,CV$18,CV$17)</f>
        <v>0.92149999999999987</v>
      </c>
      <c r="CW115" s="16">
        <f ca="1">_xll.DBRW($D$4,$E$7,$E$8,$E$9,$E$10,$E$12,$D115,$E$6,CW$18,CW$17)</f>
        <v>0.49146198000000002</v>
      </c>
      <c r="CX115" s="16">
        <f ca="1">_xll.DBRW($D$4,$E$7,$E$8,$E$9,$E$10,$E$12,$D115,$E$6,CX$18,CX$17)</f>
        <v>0.92149999999999987</v>
      </c>
      <c r="CY115" s="16">
        <f ca="1">_xll.DBRW($D$4,$E$7,$E$8,$E$9,$E$10,$E$12,$D115,$E$6,CY$18,CY$17)</f>
        <v>0.92149999999999987</v>
      </c>
      <c r="CZ115" s="16">
        <f ca="1">_xll.DBRW($D$4,$E$7,$E$8,$E$9,$E$10,$E$12,$D115,$E$6,CZ$18,CZ$17)</f>
        <v>0.92149999999999987</v>
      </c>
      <c r="DA115" s="26">
        <f t="shared" ca="1" si="108"/>
        <v>-9.6872500000022566E-4</v>
      </c>
      <c r="DB115" s="26">
        <f t="shared" ca="1" si="109"/>
        <v>1.0337970000000002E-2</v>
      </c>
      <c r="DC115" s="26">
        <f t="shared" ca="1" si="110"/>
        <v>0</v>
      </c>
      <c r="DD115" s="26">
        <f t="shared" ca="1" si="111"/>
        <v>1.1000000000000003E-3</v>
      </c>
      <c r="DE115" s="26">
        <f t="shared" ca="1" si="112"/>
        <v>0</v>
      </c>
      <c r="DF115" s="26">
        <f t="shared" ca="1" si="113"/>
        <v>0</v>
      </c>
      <c r="DG115" s="26">
        <f t="shared" ca="1" si="114"/>
        <v>0</v>
      </c>
      <c r="DH115" s="26">
        <f t="shared" ca="1" si="115"/>
        <v>-1.240669500000019E-2</v>
      </c>
      <c r="DI115" s="26">
        <f t="shared" ca="1" si="116"/>
        <v>-0.28381523000000008</v>
      </c>
      <c r="DJ115" s="26">
        <f t="shared" ca="1" si="117"/>
        <v>6.6126310000000132E-2</v>
      </c>
      <c r="DK115" s="26">
        <f t="shared" ca="1" si="118"/>
        <v>8.9333935920206664E-3</v>
      </c>
      <c r="DL115" s="26"/>
      <c r="DM115" s="26"/>
      <c r="DN115" s="26"/>
      <c r="DO115" s="26"/>
      <c r="DP115" s="26">
        <f t="shared" ca="1" si="119"/>
        <v>3.0726080000000044E-2</v>
      </c>
      <c r="DQ115" s="26">
        <f t="shared" ca="1" si="120"/>
        <v>-2.1707069255933187E-3</v>
      </c>
      <c r="DR115" s="26"/>
      <c r="DS115" s="26"/>
      <c r="DT115" s="26"/>
      <c r="DU115" s="26"/>
      <c r="DV115" s="26">
        <f t="shared" ca="1" si="121"/>
        <v>-1.3543250000000173E-3</v>
      </c>
      <c r="DW115" s="26">
        <f t="shared" ca="1" si="122"/>
        <v>1.2421334794468747E-2</v>
      </c>
      <c r="DX115" s="26"/>
      <c r="DY115" s="26"/>
      <c r="DZ115" s="26"/>
      <c r="EA115" s="26"/>
      <c r="EB115" s="26">
        <f t="shared" ca="1" si="123"/>
        <v>7.2332159999999868E-2</v>
      </c>
      <c r="EC115" s="26">
        <f t="shared" ca="1" si="124"/>
        <v>-5.9481337526613165E-3</v>
      </c>
      <c r="ED115" s="26"/>
      <c r="EE115" s="26"/>
      <c r="EF115" s="26"/>
      <c r="EG115" s="26"/>
      <c r="EH115" s="26">
        <f t="shared" ca="1" si="125"/>
        <v>0.10357831000000003</v>
      </c>
      <c r="EI115" s="29">
        <f t="shared" ca="1" si="126"/>
        <v>-3.1601208788031118E-2</v>
      </c>
      <c r="EJ115" s="29"/>
      <c r="EK115" s="29"/>
      <c r="EL115" s="29"/>
      <c r="EM115" s="29"/>
      <c r="EN115" s="93"/>
      <c r="EO115" s="29"/>
      <c r="EP115" s="29"/>
      <c r="EQ115" s="29"/>
      <c r="ER115" s="29"/>
      <c r="ES115" s="29"/>
      <c r="ET115" s="29"/>
      <c r="EU115" s="93"/>
      <c r="EV115" s="29"/>
      <c r="EW115" s="29"/>
      <c r="EX115" s="29"/>
      <c r="EY115" s="29"/>
      <c r="EZ115" s="29"/>
      <c r="FA115" s="29"/>
      <c r="FB115" s="93"/>
      <c r="FC115" s="29"/>
      <c r="FD115" s="29"/>
      <c r="FE115" s="29"/>
      <c r="FF115" s="29"/>
      <c r="FG115" s="29"/>
      <c r="FH115" s="29"/>
      <c r="FI115" s="93"/>
      <c r="FJ115" s="29"/>
      <c r="FK115" s="29"/>
      <c r="FL115" s="29"/>
      <c r="FM115" s="29"/>
      <c r="FN115" s="29"/>
      <c r="FO115" s="29"/>
      <c r="FP115" s="93"/>
      <c r="FQ115" s="29"/>
      <c r="FR115" s="29"/>
      <c r="FS115" s="29"/>
      <c r="FT115" s="29"/>
      <c r="FU115" s="29"/>
      <c r="FV115" s="29"/>
    </row>
    <row r="116" spans="1:178" x14ac:dyDescent="0.25">
      <c r="A116" t="str">
        <f ca="1">IF(_xll.TM1RPTELISCONSOLIDATED($D$28,$D116),IF(_xll.TM1RPTELLEV($D$28,$D116)&lt;=3,_xll.TM1RPTELLEV($D$28,$D116),"D"),"N")</f>
        <v>N</v>
      </c>
      <c r="B116" t="str">
        <f ca="1">_xll.DBRA(Server&amp;"Management_organization",$D116,$B$27)</f>
        <v>L</v>
      </c>
      <c r="C116">
        <v>1</v>
      </c>
      <c r="D116" s="2" t="s">
        <v>159</v>
      </c>
      <c r="E116" s="26"/>
      <c r="F116" s="26"/>
      <c r="G116" s="16">
        <f ca="1">_xll.DBRW($D$4,$E$7,$E$8,$E$9,$E$10,$E$12,$D116,$E$6,G$18,G$17)</f>
        <v>9.0682479999999968E-2</v>
      </c>
      <c r="H116" s="16">
        <f ca="1">_xll.DBRW($D$4,$E$7,$E$8,$E$9,$E$10,$E$12,$D116,$E$6,H$18,H$17)</f>
        <v>-0.14404474</v>
      </c>
      <c r="I116" s="16">
        <f ca="1">_xll.DBRW($D$4,$E$7,$E$8,$E$9,$E$10,$E$12,$D116,$E$6,I$18,I$17)</f>
        <v>0</v>
      </c>
      <c r="J116" s="26">
        <f ca="1">_xll.DBRW($D$4,$E$7,$E$8,$E$9,$E$10,$E$12,$D116,$E$6,J$18,J$17)</f>
        <v>0</v>
      </c>
      <c r="K116" s="26">
        <f ca="1">_xll.DBRW($D$4,$E$7,$E$8,$E$9,$E$10,$E$12,$D116,$E$6,K$18,K$17)</f>
        <v>0</v>
      </c>
      <c r="L116" s="26">
        <f ca="1">_xll.DBRW($D$4,$E$7,$E$8,$E$9,$E$10,$E$12,$D116,$E$6,L$18,L$17)</f>
        <v>0</v>
      </c>
      <c r="M116" s="26">
        <f ca="1">_xll.DBRW($D$4,$E$7,$E$8,$E$9,$E$10,$E$12,$D116,$E$6,M$18,M$17)</f>
        <v>0</v>
      </c>
      <c r="N116" s="16">
        <f ca="1">_xll.DBRW($D$4,$E$7,$E$8,$E$9,$E$10,$E$12,$D116,$E$6,N$18,N$17)</f>
        <v>0.23472721999999996</v>
      </c>
      <c r="O116" s="16">
        <f ca="1">_xll.DBRW($D$4,$E$7,$E$8,$E$9,$E$10,$E$12,$D116,$E$6,O$18,O$17)</f>
        <v>1.1752361800000002</v>
      </c>
      <c r="P116" s="74">
        <f ca="1">_xll.DBRW($D$4,$E$7,$E$8,$E$9,$E$10,$E$12,$D116,$E$6,P$18,P$17)</f>
        <v>-0.43642634000000002</v>
      </c>
      <c r="Q116" s="16">
        <f ca="1">_xll.DBRW($D$4,$E$7,$E$8,$E$9,$E$10,$E$12,$D116,$E$6,Q$18,Q$17)</f>
        <v>0.37135202900237463</v>
      </c>
      <c r="R116" s="16"/>
      <c r="S116" s="16"/>
      <c r="T116" s="16"/>
      <c r="U116" s="16"/>
      <c r="V116" s="16">
        <f ca="1">_xll.DBRW($D$4,$E$7,$E$8,$E$9,$E$10,$E$12,$D116,$E$6,V$18,V$17)</f>
        <v>-0.19063020999999999</v>
      </c>
      <c r="W116" s="16">
        <f ca="1">_xll.DBRW($D$4,$E$7,$E$8,$E$9,$E$10,$E$12,$D116,$E$6,W$18,W$17)</f>
        <v>0.16220587252512936</v>
      </c>
      <c r="X116" s="16"/>
      <c r="Y116" s="16"/>
      <c r="Z116" s="16"/>
      <c r="AA116" s="16"/>
      <c r="AB116" s="16">
        <f ca="1">_xll.DBRW($D$4,$E$7,$E$8,$E$9,$E$10,$E$12,$D116,$E$6,AB$18,AB$17)</f>
        <v>-6.8970710000000005E-2</v>
      </c>
      <c r="AC116" s="16">
        <f ca="1">_xll.DBRW($D$4,$E$7,$E$8,$E$9,$E$10,$E$12,$D116,$E$6,AC$18,AC$17)</f>
        <v>5.8686680323269146E-2</v>
      </c>
      <c r="AD116" s="16"/>
      <c r="AE116" s="16"/>
      <c r="AF116" s="16"/>
      <c r="AG116" s="16"/>
      <c r="AH116" s="16">
        <f ca="1">_xll.DBRW($D$4,$E$7,$E$8,$E$9,$E$10,$E$12,$D116,$E$6,AH$18,AH$17)</f>
        <v>3.0908999999999997E-3</v>
      </c>
      <c r="AI116" s="16">
        <f ca="1">_xll.DBRW($D$4,$E$7,$E$8,$E$9,$E$10,$E$12,$D116,$E$6,AI$18,AI$17)</f>
        <v>-2.6300245453641491E-3</v>
      </c>
      <c r="AJ116" s="16"/>
      <c r="AK116" s="16"/>
      <c r="AL116" s="16"/>
      <c r="AM116" s="16"/>
      <c r="AN116" s="16">
        <f ca="1">_xll.DBRW($D$4,$E$7,$E$8,$E$9,$E$10,$E$12,$D116,$E$6,AN$18,AN$17)</f>
        <v>-0.2475726</v>
      </c>
      <c r="AO116" s="16">
        <f ca="1">_xll.DBRW($D$4,$E$7,$E$8,$E$9,$E$10,$E$12,$D116,$E$6,AO$18,AO$17)</f>
        <v>0.21065774200382426</v>
      </c>
      <c r="AP116" s="16"/>
      <c r="AQ116" s="16"/>
      <c r="AR116" s="16"/>
      <c r="AS116" s="16"/>
      <c r="AT116" s="16">
        <f ca="1">_xll.DBRW($D$4,$E$7,$E$8,$E$9,$E$10,$E$12,$D116,$E$6,AT$18,AT$17)</f>
        <v>1.5024469999999998E-2</v>
      </c>
      <c r="AU116" s="16">
        <f ca="1">_xll.DBRW($D$4,$E$7,$E$8,$E$9,$E$10,$E$12,$D116,$E$6,AU$18,AU$17)</f>
        <v>0.17755799999999999</v>
      </c>
      <c r="AV116" s="16">
        <f ca="1">_xll.DBRW($D$4,$E$7,$E$8,$E$9,$E$10,$E$12,$D116,$E$6,AV$18,AV$17)</f>
        <v>0.17755799999999999</v>
      </c>
      <c r="AW116" s="16">
        <f ca="1">_xll.DBRW($D$4,$E$7,$E$8,$E$9,$E$10,$E$12,$D116,$E$6,AW$18,AW$17)</f>
        <v>0.17755799999999999</v>
      </c>
      <c r="AX116" s="16">
        <f ca="1">_xll.DBRW($D$4,$E$7,$E$8,$E$9,$E$10,$E$12,$D116,$E$6,AX$18,AX$17)</f>
        <v>5.1777589999999998E-2</v>
      </c>
      <c r="AY116" s="16">
        <f ca="1">_xll.DBRW($D$4,$E$7,$E$8,$E$9,$E$10,$E$12,$D116,$E$6,AY$18,AY$17)</f>
        <v>0.17755799999999999</v>
      </c>
      <c r="AZ116" s="16">
        <f ca="1">_xll.DBRW($D$4,$E$7,$E$8,$E$9,$E$10,$E$12,$D116,$E$6,AZ$18,AZ$17)</f>
        <v>0.15931600000000001</v>
      </c>
      <c r="BA116" s="16">
        <f ca="1">_xll.DBRW($D$4,$E$7,$E$8,$E$9,$E$10,$E$12,$D116,$E$6,BA$18,BA$17)</f>
        <v>0.17755799999999999</v>
      </c>
      <c r="BB116" s="16">
        <f ca="1">_xll.DBRW($D$4,$E$7,$E$8,$E$9,$E$10,$E$12,$D116,$E$6,BB$18,BB$17)</f>
        <v>0.17755799999999999</v>
      </c>
      <c r="BC116" s="16">
        <f ca="1">_xll.DBRW($D$4,$E$7,$E$8,$E$9,$E$10,$E$12,$D116,$E$6,BC$18,BC$17)</f>
        <v>0.17755799999999999</v>
      </c>
      <c r="BD116" s="16">
        <f ca="1">_xll.DBRW($D$4,$E$7,$E$8,$E$9,$E$10,$E$12,$D116,$E$6,BD$18,BD$17)</f>
        <v>6.9990872868885057E-2</v>
      </c>
      <c r="BE116" s="16">
        <f ca="1">_xll.DBRW($D$4,$E$7,$E$8,$E$9,$E$10,$E$12,$D116,$E$6,BE$18,BE$17)</f>
        <v>-0.15492400000000001</v>
      </c>
      <c r="BF116" s="16">
        <f ca="1">_xll.DBRW($D$4,$E$7,$E$8,$E$9,$E$10,$E$12,$D116,$E$6,BF$18,BF$17)</f>
        <v>0</v>
      </c>
      <c r="BG116" s="26">
        <f ca="1">_xll.DBRW($D$4,$E$7,$E$8,$E$9,$E$10,$E$12,$D116,$E$6,BG$18,BG$17)</f>
        <v>0</v>
      </c>
      <c r="BH116" s="26">
        <f ca="1">_xll.DBRW($D$4,$E$7,$E$8,$E$9,$E$10,$E$12,$D116,$E$6,BH$18,BH$17)</f>
        <v>0</v>
      </c>
      <c r="BI116" s="26">
        <f ca="1">_xll.DBRW($D$4,$E$7,$E$8,$E$9,$E$10,$E$12,$D116,$E$6,BI$18,BI$17)</f>
        <v>0</v>
      </c>
      <c r="BJ116" s="26">
        <f ca="1">_xll.DBRW($D$4,$E$7,$E$8,$E$9,$E$10,$E$12,$D116,$E$6,BJ$18,BJ$17)</f>
        <v>0</v>
      </c>
      <c r="BK116" s="16">
        <f ca="1">_xll.DBRW($D$4,$E$7,$E$8,$E$9,$E$10,$E$12,$D116,$E$6,BK$18,BK$17)</f>
        <v>0.22491487286888504</v>
      </c>
      <c r="BL116" s="16">
        <f ca="1">_xll.DBRW($D$4,$E$7,$E$8,$E$9,$E$10,$E$12,$D116,$E$6,BL$18,BL$17)</f>
        <v>1.1808259999999997</v>
      </c>
      <c r="BM116" s="16">
        <f ca="1">_xll.DBRW($D$4,$E$7,$E$8,$E$9,$E$10,$E$12,$D116,$E$6,BM$18,BM$17)</f>
        <v>-0.50268499999999994</v>
      </c>
      <c r="BN116" s="16">
        <f ca="1">_xll.DBRW($D$4,$E$7,$E$8,$E$9,$E$10,$E$12,$D116,$E$6,BN$18,BN$17)</f>
        <v>0.425706242918093</v>
      </c>
      <c r="BO116" s="16"/>
      <c r="BP116" s="16"/>
      <c r="BQ116" s="16"/>
      <c r="BR116" s="16"/>
      <c r="BS116" s="16">
        <f ca="1">_xll.DBRW($D$4,$E$7,$E$8,$E$9,$E$10,$E$12,$D116,$E$6,BS$18,BS$17)</f>
        <v>-0.12784774925808501</v>
      </c>
      <c r="BT116" s="16">
        <f ca="1">_xll.DBRW($D$4,$E$7,$E$8,$E$9,$E$10,$E$12,$D116,$E$6,BT$18,BT$17)</f>
        <v>0.10826976138574611</v>
      </c>
      <c r="BU116" s="16"/>
      <c r="BV116" s="16"/>
      <c r="BW116" s="16"/>
      <c r="BX116" s="16"/>
      <c r="BY116" s="16">
        <f ca="1">_xll.DBRW($D$4,$E$7,$E$8,$E$9,$E$10,$E$12,$D116,$E$6,BY$18,BY$17)</f>
        <v>-8.2556377873029996E-2</v>
      </c>
      <c r="BZ116" s="16">
        <f ca="1">_xll.DBRW($D$4,$E$7,$E$8,$E$9,$E$10,$E$12,$D116,$E$6,BZ$18,BZ$17)</f>
        <v>6.9914092231226285E-2</v>
      </c>
      <c r="CA116" s="16"/>
      <c r="CB116" s="16"/>
      <c r="CC116" s="16"/>
      <c r="CD116" s="16"/>
      <c r="CE116" s="16">
        <f ca="1">_xll.DBRW($D$4,$E$7,$E$8,$E$9,$E$10,$E$12,$D116,$E$6,CE$18,CE$17)</f>
        <v>-3.9769999999999996E-3</v>
      </c>
      <c r="CF116" s="16">
        <f ca="1">_xll.DBRW($D$4,$E$7,$E$8,$E$9,$E$10,$E$12,$D116,$E$6,CF$18,CF$17)</f>
        <v>3.3679813960735966E-3</v>
      </c>
      <c r="CG116" s="16"/>
      <c r="CH116" s="16"/>
      <c r="CI116" s="16"/>
      <c r="CJ116" s="16"/>
      <c r="CK116" s="16">
        <f ca="1">_xll.DBRW($D$4,$E$7,$E$8,$E$9,$E$10,$E$12,$D116,$E$6,CK$18,CK$17)</f>
        <v>-0.23884499999999997</v>
      </c>
      <c r="CL116" s="16">
        <f ca="1">_xll.DBRW($D$4,$E$7,$E$8,$E$9,$E$10,$E$12,$D116,$E$6,CL$18,CL$17)</f>
        <v>0.20226942834930806</v>
      </c>
      <c r="CM116" s="16"/>
      <c r="CN116" s="16"/>
      <c r="CO116" s="16"/>
      <c r="CP116" s="16"/>
      <c r="CQ116" s="16">
        <f ca="1">_xll.DBRW($D$4,$E$7,$E$8,$E$9,$E$10,$E$12,$D116,$E$6,CQ$18,CQ$17)</f>
        <v>2.3352999999999999E-2</v>
      </c>
      <c r="CR116" s="16">
        <f ca="1">_xll.DBRW($D$4,$E$7,$E$8,$E$9,$E$10,$E$12,$D116,$E$6,CR$18,CR$17)</f>
        <v>0.32282999999999995</v>
      </c>
      <c r="CS116" s="16">
        <f ca="1">_xll.DBRW($D$4,$E$7,$E$8,$E$9,$E$10,$E$12,$D116,$E$6,CS$18,CS$17)</f>
        <v>0.32282999999999995</v>
      </c>
      <c r="CT116" s="16">
        <f ca="1">_xll.DBRW($D$4,$E$7,$E$8,$E$9,$E$10,$E$12,$D116,$E$6,CT$18,CT$17)</f>
        <v>0.32282999999999995</v>
      </c>
      <c r="CU116" s="16">
        <f ca="1">_xll.DBRW($D$4,$E$7,$E$8,$E$9,$E$10,$E$12,$D116,$E$6,CU$18,CU$17)</f>
        <v>9.9501479900000009E-2</v>
      </c>
      <c r="CV116" s="16">
        <f ca="1">_xll.DBRW($D$4,$E$7,$E$8,$E$9,$E$10,$E$12,$D116,$E$6,CV$18,CV$17)</f>
        <v>0.32282999999999995</v>
      </c>
      <c r="CW116" s="16">
        <f ca="1">_xll.DBRW($D$4,$E$7,$E$8,$E$9,$E$10,$E$12,$D116,$E$6,CW$18,CW$17)</f>
        <v>0.29894599999999999</v>
      </c>
      <c r="CX116" s="16">
        <f ca="1">_xll.DBRW($D$4,$E$7,$E$8,$E$9,$E$10,$E$12,$D116,$E$6,CX$18,CX$17)</f>
        <v>0.32282999999999995</v>
      </c>
      <c r="CY116" s="16">
        <f ca="1">_xll.DBRW($D$4,$E$7,$E$8,$E$9,$E$10,$E$12,$D116,$E$6,CY$18,CY$17)</f>
        <v>0.32282999999999995</v>
      </c>
      <c r="CZ116" s="16">
        <f ca="1">_xll.DBRW($D$4,$E$7,$E$8,$E$9,$E$10,$E$12,$D116,$E$6,CZ$18,CZ$17)</f>
        <v>0.32282999999999995</v>
      </c>
      <c r="DA116" s="26">
        <f t="shared" ca="1" si="108"/>
        <v>2.0691607131114911E-2</v>
      </c>
      <c r="DB116" s="26">
        <f t="shared" ca="1" si="109"/>
        <v>1.0879260000000002E-2</v>
      </c>
      <c r="DC116" s="26">
        <f t="shared" ca="1" si="110"/>
        <v>0</v>
      </c>
      <c r="DD116" s="26">
        <f t="shared" ca="1" si="111"/>
        <v>0</v>
      </c>
      <c r="DE116" s="26">
        <f t="shared" ca="1" si="112"/>
        <v>0</v>
      </c>
      <c r="DF116" s="26">
        <f t="shared" ca="1" si="113"/>
        <v>0</v>
      </c>
      <c r="DG116" s="26">
        <f t="shared" ca="1" si="114"/>
        <v>0</v>
      </c>
      <c r="DH116" s="26">
        <f t="shared" ca="1" si="115"/>
        <v>9.8123471311149235E-3</v>
      </c>
      <c r="DI116" s="26">
        <f t="shared" ca="1" si="116"/>
        <v>-5.5898199999995235E-3</v>
      </c>
      <c r="DJ116" s="26">
        <f t="shared" ca="1" si="117"/>
        <v>6.6258659999999914E-2</v>
      </c>
      <c r="DK116" s="26">
        <f t="shared" ca="1" si="118"/>
        <v>-5.4354213915718375E-2</v>
      </c>
      <c r="DL116" s="26"/>
      <c r="DM116" s="26"/>
      <c r="DN116" s="26"/>
      <c r="DO116" s="26"/>
      <c r="DP116" s="26">
        <f t="shared" ca="1" si="119"/>
        <v>-6.2782460741914986E-2</v>
      </c>
      <c r="DQ116" s="26">
        <f t="shared" ca="1" si="120"/>
        <v>5.393611113938325E-2</v>
      </c>
      <c r="DR116" s="26"/>
      <c r="DS116" s="26"/>
      <c r="DT116" s="26"/>
      <c r="DU116" s="26"/>
      <c r="DV116" s="26">
        <f t="shared" ca="1" si="121"/>
        <v>1.3585667873029991E-2</v>
      </c>
      <c r="DW116" s="26">
        <f t="shared" ca="1" si="122"/>
        <v>-1.122741190795714E-2</v>
      </c>
      <c r="DX116" s="26"/>
      <c r="DY116" s="26"/>
      <c r="DZ116" s="26"/>
      <c r="EA116" s="26"/>
      <c r="EB116" s="26">
        <f t="shared" ca="1" si="123"/>
        <v>7.0678999999999994E-3</v>
      </c>
      <c r="EC116" s="26">
        <f t="shared" ca="1" si="124"/>
        <v>-5.9980059414377462E-3</v>
      </c>
      <c r="ED116" s="26"/>
      <c r="EE116" s="26"/>
      <c r="EF116" s="26"/>
      <c r="EG116" s="26"/>
      <c r="EH116" s="26">
        <f t="shared" ca="1" si="125"/>
        <v>-8.7276000000000298E-3</v>
      </c>
      <c r="EI116" s="29">
        <f t="shared" ca="1" si="126"/>
        <v>8.3883136545161996E-3</v>
      </c>
      <c r="EJ116" s="29"/>
      <c r="EK116" s="29"/>
      <c r="EL116" s="29"/>
      <c r="EM116" s="29"/>
      <c r="EN116" s="93"/>
      <c r="EO116" s="29"/>
      <c r="EP116" s="29"/>
      <c r="EQ116" s="29"/>
      <c r="ER116" s="29"/>
      <c r="ES116" s="29"/>
      <c r="ET116" s="29"/>
      <c r="EU116" s="93"/>
      <c r="EV116" s="29"/>
      <c r="EW116" s="29"/>
      <c r="EX116" s="29"/>
      <c r="EY116" s="29"/>
      <c r="EZ116" s="29"/>
      <c r="FA116" s="29"/>
      <c r="FB116" s="93"/>
      <c r="FC116" s="29"/>
      <c r="FD116" s="29"/>
      <c r="FE116" s="29"/>
      <c r="FF116" s="29"/>
      <c r="FG116" s="29"/>
      <c r="FH116" s="29"/>
      <c r="FI116" s="93"/>
      <c r="FJ116" s="29"/>
      <c r="FK116" s="29"/>
      <c r="FL116" s="29"/>
      <c r="FM116" s="29"/>
      <c r="FN116" s="29"/>
      <c r="FO116" s="29"/>
      <c r="FP116" s="93"/>
      <c r="FQ116" s="29"/>
      <c r="FR116" s="29"/>
      <c r="FS116" s="29"/>
      <c r="FT116" s="29"/>
      <c r="FU116" s="29"/>
      <c r="FV116" s="29"/>
    </row>
    <row r="117" spans="1:178" x14ac:dyDescent="0.25">
      <c r="A117" t="str">
        <f ca="1">IF(_xll.TM1RPTELISCONSOLIDATED($D$28,$D117),IF(_xll.TM1RPTELLEV($D$28,$D117)&lt;=3,_xll.TM1RPTELLEV($D$28,$D117),"D"),"N")</f>
        <v>N</v>
      </c>
      <c r="B117" t="str">
        <f ca="1">_xll.DBRA(Server&amp;"Management_organization",$D117,$B$27)</f>
        <v>L</v>
      </c>
      <c r="C117">
        <v>1</v>
      </c>
      <c r="D117" s="2" t="s">
        <v>160</v>
      </c>
      <c r="E117" s="26"/>
      <c r="F117" s="26"/>
      <c r="G117" s="16">
        <f ca="1">_xll.DBRW($D$4,$E$7,$E$8,$E$9,$E$10,$E$12,$D117,$E$6,G$18,G$17)</f>
        <v>-3.1982310000000007E-2</v>
      </c>
      <c r="H117" s="16">
        <f ca="1">_xll.DBRW($D$4,$E$7,$E$8,$E$9,$E$10,$E$12,$D117,$E$6,H$18,H$17)</f>
        <v>-0.32386156999999993</v>
      </c>
      <c r="I117" s="16">
        <f ca="1">_xll.DBRW($D$4,$E$7,$E$8,$E$9,$E$10,$E$12,$D117,$E$6,I$18,I$17)</f>
        <v>0</v>
      </c>
      <c r="J117" s="26">
        <f ca="1">_xll.DBRW($D$4,$E$7,$E$8,$E$9,$E$10,$E$12,$D117,$E$6,J$18,J$17)</f>
        <v>0</v>
      </c>
      <c r="K117" s="26">
        <f ca="1">_xll.DBRW($D$4,$E$7,$E$8,$E$9,$E$10,$E$12,$D117,$E$6,K$18,K$17)</f>
        <v>0</v>
      </c>
      <c r="L117" s="26">
        <f ca="1">_xll.DBRW($D$4,$E$7,$E$8,$E$9,$E$10,$E$12,$D117,$E$6,L$18,L$17)</f>
        <v>0</v>
      </c>
      <c r="M117" s="26">
        <f ca="1">_xll.DBRW($D$4,$E$7,$E$8,$E$9,$E$10,$E$12,$D117,$E$6,M$18,M$17)</f>
        <v>0</v>
      </c>
      <c r="N117" s="16">
        <f ca="1">_xll.DBRW($D$4,$E$7,$E$8,$E$9,$E$10,$E$12,$D117,$E$6,N$18,N$17)</f>
        <v>0.29187925999999992</v>
      </c>
      <c r="O117" s="16">
        <f ca="1">_xll.DBRW($D$4,$E$7,$E$8,$E$9,$E$10,$E$12,$D117,$E$6,O$18,O$17)</f>
        <v>2.8284383699999998</v>
      </c>
      <c r="P117" s="74">
        <f ca="1">_xll.DBRW($D$4,$E$7,$E$8,$E$9,$E$10,$E$12,$D117,$E$6,P$18,P$17)</f>
        <v>-1.3176529200000002</v>
      </c>
      <c r="Q117" s="16">
        <f ca="1">_xll.DBRW($D$4,$E$7,$E$8,$E$9,$E$10,$E$12,$D117,$E$6,Q$18,Q$17)</f>
        <v>0.46585880533080182</v>
      </c>
      <c r="R117" s="16"/>
      <c r="S117" s="16"/>
      <c r="T117" s="16"/>
      <c r="U117" s="16"/>
      <c r="V117" s="16">
        <f ca="1">_xll.DBRW($D$4,$E$7,$E$8,$E$9,$E$10,$E$12,$D117,$E$6,V$18,V$17)</f>
        <v>-0.30553032000000008</v>
      </c>
      <c r="W117" s="16">
        <f ca="1">_xll.DBRW($D$4,$E$7,$E$8,$E$9,$E$10,$E$12,$D117,$E$6,W$18,W$17)</f>
        <v>0.10802085109600607</v>
      </c>
      <c r="X117" s="16"/>
      <c r="Y117" s="16"/>
      <c r="Z117" s="16"/>
      <c r="AA117" s="16"/>
      <c r="AB117" s="16">
        <f ca="1">_xll.DBRW($D$4,$E$7,$E$8,$E$9,$E$10,$E$12,$D117,$E$6,AB$18,AB$17)</f>
        <v>-0.27871243000000001</v>
      </c>
      <c r="AC117" s="16">
        <f ca="1">_xll.DBRW($D$4,$E$7,$E$8,$E$9,$E$10,$E$12,$D117,$E$6,AC$18,AC$17)</f>
        <v>9.8539332854546177E-2</v>
      </c>
      <c r="AD117" s="16"/>
      <c r="AE117" s="16"/>
      <c r="AF117" s="16"/>
      <c r="AG117" s="16"/>
      <c r="AH117" s="16">
        <f ca="1">_xll.DBRW($D$4,$E$7,$E$8,$E$9,$E$10,$E$12,$D117,$E$6,AH$18,AH$17)</f>
        <v>-0.42216248999999995</v>
      </c>
      <c r="AI117" s="16">
        <f ca="1">_xll.DBRW($D$4,$E$7,$E$8,$E$9,$E$10,$E$12,$D117,$E$6,AI$18,AI$17)</f>
        <v>0.14925638630761467</v>
      </c>
      <c r="AJ117" s="16"/>
      <c r="AK117" s="16"/>
      <c r="AL117" s="16"/>
      <c r="AM117" s="16"/>
      <c r="AN117" s="16">
        <f ca="1">_xll.DBRW($D$4,$E$7,$E$8,$E$9,$E$10,$E$12,$D117,$E$6,AN$18,AN$17)</f>
        <v>-0.21250095000000013</v>
      </c>
      <c r="AO117" s="16">
        <f ca="1">_xll.DBRW($D$4,$E$7,$E$8,$E$9,$E$10,$E$12,$D117,$E$6,AO$18,AO$17)</f>
        <v>7.5130132674589678E-2</v>
      </c>
      <c r="AP117" s="16"/>
      <c r="AQ117" s="16"/>
      <c r="AR117" s="16"/>
      <c r="AS117" s="16"/>
      <c r="AT117" s="16">
        <f ca="1">_xll.DBRW($D$4,$E$7,$E$8,$E$9,$E$10,$E$12,$D117,$E$6,AT$18,AT$17)</f>
        <v>2.7205809999999997E-2</v>
      </c>
      <c r="AU117" s="16">
        <f ca="1">_xll.DBRW($D$4,$E$7,$E$8,$E$9,$E$10,$E$12,$D117,$E$6,AU$18,AU$17)</f>
        <v>0.9339360000000001</v>
      </c>
      <c r="AV117" s="16">
        <f ca="1">_xll.DBRW($D$4,$E$7,$E$8,$E$9,$E$10,$E$12,$D117,$E$6,AV$18,AV$17)</f>
        <v>0.9339360000000001</v>
      </c>
      <c r="AW117" s="16">
        <f ca="1">_xll.DBRW($D$4,$E$7,$E$8,$E$9,$E$10,$E$12,$D117,$E$6,AW$18,AW$17)</f>
        <v>0.9339360000000001</v>
      </c>
      <c r="AX117" s="16">
        <f ca="1">_xll.DBRW($D$4,$E$7,$E$8,$E$9,$E$10,$E$12,$D117,$E$6,AX$18,AX$17)</f>
        <v>0.19730149999999996</v>
      </c>
      <c r="AY117" s="16">
        <f ca="1">_xll.DBRW($D$4,$E$7,$E$8,$E$9,$E$10,$E$12,$D117,$E$6,AY$18,AY$17)</f>
        <v>0.9339360000000001</v>
      </c>
      <c r="AZ117" s="16">
        <f ca="1">_xll.DBRW($D$4,$E$7,$E$8,$E$9,$E$10,$E$12,$D117,$E$6,AZ$18,AZ$17)</f>
        <v>0.42451146999999995</v>
      </c>
      <c r="BA117" s="16">
        <f ca="1">_xll.DBRW($D$4,$E$7,$E$8,$E$9,$E$10,$E$12,$D117,$E$6,BA$18,BA$17)</f>
        <v>0.9339360000000001</v>
      </c>
      <c r="BB117" s="16">
        <f ca="1">_xll.DBRW($D$4,$E$7,$E$8,$E$9,$E$10,$E$12,$D117,$E$6,BB$18,BB$17)</f>
        <v>0.9339360000000001</v>
      </c>
      <c r="BC117" s="16">
        <f ca="1">_xll.DBRW($D$4,$E$7,$E$8,$E$9,$E$10,$E$12,$D117,$E$6,BC$18,BC$17)</f>
        <v>0.9339360000000001</v>
      </c>
      <c r="BD117" s="16">
        <f ca="1">_xll.DBRW($D$4,$E$7,$E$8,$E$9,$E$10,$E$12,$D117,$E$6,BD$18,BD$17)</f>
        <v>-0.25966253745246359</v>
      </c>
      <c r="BE117" s="16">
        <f ca="1">_xll.DBRW($D$4,$E$7,$E$8,$E$9,$E$10,$E$12,$D117,$E$6,BE$18,BE$17)</f>
        <v>-0.30204294999999998</v>
      </c>
      <c r="BF117" s="16">
        <f ca="1">_xll.DBRW($D$4,$E$7,$E$8,$E$9,$E$10,$E$12,$D117,$E$6,BF$18,BF$17)</f>
        <v>0</v>
      </c>
      <c r="BG117" s="26">
        <f ca="1">_xll.DBRW($D$4,$E$7,$E$8,$E$9,$E$10,$E$12,$D117,$E$6,BG$18,BG$17)</f>
        <v>0</v>
      </c>
      <c r="BH117" s="26">
        <f ca="1">_xll.DBRW($D$4,$E$7,$E$8,$E$9,$E$10,$E$12,$D117,$E$6,BH$18,BH$17)</f>
        <v>0</v>
      </c>
      <c r="BI117" s="26">
        <f ca="1">_xll.DBRW($D$4,$E$7,$E$8,$E$9,$E$10,$E$12,$D117,$E$6,BI$18,BI$17)</f>
        <v>0</v>
      </c>
      <c r="BJ117" s="26">
        <f ca="1">_xll.DBRW($D$4,$E$7,$E$8,$E$9,$E$10,$E$12,$D117,$E$6,BJ$18,BJ$17)</f>
        <v>0</v>
      </c>
      <c r="BK117" s="16">
        <f ca="1">_xll.DBRW($D$4,$E$7,$E$8,$E$9,$E$10,$E$12,$D117,$E$6,BK$18,BK$17)</f>
        <v>4.238041254753639E-2</v>
      </c>
      <c r="BL117" s="16">
        <f ca="1">_xll.DBRW($D$4,$E$7,$E$8,$E$9,$E$10,$E$12,$D117,$E$6,BL$18,BL$17)</f>
        <v>2.9315847699999997</v>
      </c>
      <c r="BM117" s="16">
        <f ca="1">_xll.DBRW($D$4,$E$7,$E$8,$E$9,$E$10,$E$12,$D117,$E$6,BM$18,BM$17)</f>
        <v>-1.0838669833333334</v>
      </c>
      <c r="BN117" s="16">
        <f ca="1">_xll.DBRW($D$4,$E$7,$E$8,$E$9,$E$10,$E$12,$D117,$E$6,BN$18,BN$17)</f>
        <v>0.36972049876399565</v>
      </c>
      <c r="BO117" s="16"/>
      <c r="BP117" s="16"/>
      <c r="BQ117" s="16"/>
      <c r="BR117" s="16"/>
      <c r="BS117" s="16">
        <f ca="1">_xll.DBRW($D$4,$E$7,$E$8,$E$9,$E$10,$E$12,$D117,$E$6,BS$18,BS$17)</f>
        <v>-0.30447363158113006</v>
      </c>
      <c r="BT117" s="16">
        <f ca="1">_xll.DBRW($D$4,$E$7,$E$8,$E$9,$E$10,$E$12,$D117,$E$6,BT$18,BT$17)</f>
        <v>0.10385973985706376</v>
      </c>
      <c r="BU117" s="16"/>
      <c r="BV117" s="16"/>
      <c r="BW117" s="16"/>
      <c r="BX117" s="16"/>
      <c r="BY117" s="16">
        <f ca="1">_xll.DBRW($D$4,$E$7,$E$8,$E$9,$E$10,$E$12,$D117,$E$6,BY$18,BY$17)</f>
        <v>-0.258814152538</v>
      </c>
      <c r="BZ117" s="16">
        <f ca="1">_xll.DBRW($D$4,$E$7,$E$8,$E$9,$E$10,$E$12,$D117,$E$6,BZ$18,BZ$17)</f>
        <v>8.8284724080484295E-2</v>
      </c>
      <c r="CA117" s="16"/>
      <c r="CB117" s="16"/>
      <c r="CC117" s="16"/>
      <c r="CD117" s="16"/>
      <c r="CE117" s="16">
        <f ca="1">_xll.DBRW($D$4,$E$7,$E$8,$E$9,$E$10,$E$12,$D117,$E$6,CE$18,CE$17)</f>
        <v>-0.57942822000000005</v>
      </c>
      <c r="CF117" s="16">
        <f ca="1">_xll.DBRW($D$4,$E$7,$E$8,$E$9,$E$10,$E$12,$D117,$E$6,CF$18,CF$17)</f>
        <v>0.19765016721655301</v>
      </c>
      <c r="CG117" s="16"/>
      <c r="CH117" s="16"/>
      <c r="CI117" s="16"/>
      <c r="CJ117" s="16"/>
      <c r="CK117" s="16">
        <f ca="1">_xll.DBRW($D$4,$E$7,$E$8,$E$9,$E$10,$E$12,$D117,$E$6,CK$18,CK$17)</f>
        <v>-0.66262136999999988</v>
      </c>
      <c r="CL117" s="16">
        <f ca="1">_xll.DBRW($D$4,$E$7,$E$8,$E$9,$E$10,$E$12,$D117,$E$6,CL$18,CL$17)</f>
        <v>0.22602838464057101</v>
      </c>
      <c r="CM117" s="16"/>
      <c r="CN117" s="16"/>
      <c r="CO117" s="16"/>
      <c r="CP117" s="16"/>
      <c r="CQ117" s="16">
        <f ca="1">_xll.DBRW($D$4,$E$7,$E$8,$E$9,$E$10,$E$12,$D117,$E$6,CQ$18,CQ$17)</f>
        <v>4.8945349999999999E-2</v>
      </c>
      <c r="CR117" s="16">
        <f ca="1">_xll.DBRW($D$4,$E$7,$E$8,$E$9,$E$10,$E$12,$D117,$E$6,CR$18,CR$17)</f>
        <v>0.97701999999999989</v>
      </c>
      <c r="CS117" s="16">
        <f ca="1">_xll.DBRW($D$4,$E$7,$E$8,$E$9,$E$10,$E$12,$D117,$E$6,CS$18,CS$17)</f>
        <v>0.97701999999999989</v>
      </c>
      <c r="CT117" s="16">
        <f ca="1">_xll.DBRW($D$4,$E$7,$E$8,$E$9,$E$10,$E$12,$D117,$E$6,CT$18,CT$17)</f>
        <v>0.97701999999999989</v>
      </c>
      <c r="CU117" s="16">
        <f ca="1">_xll.DBRW($D$4,$E$7,$E$8,$E$9,$E$10,$E$12,$D117,$E$6,CU$18,CU$17)</f>
        <v>0.31948553999999996</v>
      </c>
      <c r="CV117" s="16">
        <f ca="1">_xll.DBRW($D$4,$E$7,$E$8,$E$9,$E$10,$E$12,$D117,$E$6,CV$18,CV$17)</f>
        <v>0.97701999999999989</v>
      </c>
      <c r="CW117" s="16">
        <f ca="1">_xll.DBRW($D$4,$E$7,$E$8,$E$9,$E$10,$E$12,$D117,$E$6,CW$18,CW$17)</f>
        <v>0.62744999999999995</v>
      </c>
      <c r="CX117" s="16">
        <f ca="1">_xll.DBRW($D$4,$E$7,$E$8,$E$9,$E$10,$E$12,$D117,$E$6,CX$18,CX$17)</f>
        <v>0.97701999999999989</v>
      </c>
      <c r="CY117" s="16">
        <f ca="1">_xll.DBRW($D$4,$E$7,$E$8,$E$9,$E$10,$E$12,$D117,$E$6,CY$18,CY$17)</f>
        <v>0.97701999999999989</v>
      </c>
      <c r="CZ117" s="16">
        <f ca="1">_xll.DBRW($D$4,$E$7,$E$8,$E$9,$E$10,$E$12,$D117,$E$6,CZ$18,CZ$17)</f>
        <v>0.97701999999999989</v>
      </c>
      <c r="DA117" s="26">
        <f t="shared" ca="1" si="108"/>
        <v>0.22768022745246358</v>
      </c>
      <c r="DB117" s="26">
        <f t="shared" ca="1" si="109"/>
        <v>-2.1818619999999955E-2</v>
      </c>
      <c r="DC117" s="26">
        <f t="shared" ca="1" si="110"/>
        <v>0</v>
      </c>
      <c r="DD117" s="26">
        <f t="shared" ca="1" si="111"/>
        <v>0</v>
      </c>
      <c r="DE117" s="26">
        <f t="shared" ca="1" si="112"/>
        <v>0</v>
      </c>
      <c r="DF117" s="26">
        <f t="shared" ca="1" si="113"/>
        <v>0</v>
      </c>
      <c r="DG117" s="26">
        <f t="shared" ca="1" si="114"/>
        <v>0</v>
      </c>
      <c r="DH117" s="26">
        <f t="shared" ca="1" si="115"/>
        <v>0.24949884745246353</v>
      </c>
      <c r="DI117" s="26">
        <f t="shared" ca="1" si="116"/>
        <v>-0.10314639999999997</v>
      </c>
      <c r="DJ117" s="26">
        <f t="shared" ca="1" si="117"/>
        <v>-0.2337859366666668</v>
      </c>
      <c r="DK117" s="26">
        <f t="shared" ca="1" si="118"/>
        <v>9.6138306566806164E-2</v>
      </c>
      <c r="DL117" s="26"/>
      <c r="DM117" s="26"/>
      <c r="DN117" s="26"/>
      <c r="DO117" s="26"/>
      <c r="DP117" s="26">
        <f t="shared" ca="1" si="119"/>
        <v>-1.0566884188700221E-3</v>
      </c>
      <c r="DQ117" s="26">
        <f t="shared" ca="1" si="120"/>
        <v>4.1611112389423055E-3</v>
      </c>
      <c r="DR117" s="26"/>
      <c r="DS117" s="26"/>
      <c r="DT117" s="26"/>
      <c r="DU117" s="26"/>
      <c r="DV117" s="26">
        <f t="shared" ca="1" si="121"/>
        <v>-1.9898277462000014E-2</v>
      </c>
      <c r="DW117" s="26">
        <f t="shared" ca="1" si="122"/>
        <v>1.0254608774061882E-2</v>
      </c>
      <c r="DX117" s="26"/>
      <c r="DY117" s="26"/>
      <c r="DZ117" s="26"/>
      <c r="EA117" s="26"/>
      <c r="EB117" s="26">
        <f t="shared" ca="1" si="123"/>
        <v>0.1572657300000001</v>
      </c>
      <c r="EC117" s="26">
        <f t="shared" ca="1" si="124"/>
        <v>-4.8393780908938339E-2</v>
      </c>
      <c r="ED117" s="26"/>
      <c r="EE117" s="26"/>
      <c r="EF117" s="26"/>
      <c r="EG117" s="26"/>
      <c r="EH117" s="26">
        <f t="shared" ca="1" si="125"/>
        <v>0.45012041999999974</v>
      </c>
      <c r="EI117" s="29">
        <f t="shared" ca="1" si="126"/>
        <v>-0.15089825196598133</v>
      </c>
      <c r="EJ117" s="29"/>
      <c r="EK117" s="29"/>
      <c r="EL117" s="29"/>
      <c r="EM117" s="29"/>
      <c r="EN117" s="93"/>
      <c r="EO117" s="29"/>
      <c r="EP117" s="29"/>
      <c r="EQ117" s="29"/>
      <c r="ER117" s="29"/>
      <c r="ES117" s="29"/>
      <c r="ET117" s="29"/>
      <c r="EU117" s="93"/>
      <c r="EV117" s="29"/>
      <c r="EW117" s="29"/>
      <c r="EX117" s="29"/>
      <c r="EY117" s="29"/>
      <c r="EZ117" s="29"/>
      <c r="FA117" s="29"/>
      <c r="FB117" s="93"/>
      <c r="FC117" s="29"/>
      <c r="FD117" s="29"/>
      <c r="FE117" s="29"/>
      <c r="FF117" s="29"/>
      <c r="FG117" s="29"/>
      <c r="FH117" s="29"/>
      <c r="FI117" s="93"/>
      <c r="FJ117" s="29"/>
      <c r="FK117" s="29"/>
      <c r="FL117" s="29"/>
      <c r="FM117" s="29"/>
      <c r="FN117" s="29"/>
      <c r="FO117" s="29"/>
      <c r="FP117" s="93"/>
      <c r="FQ117" s="29"/>
      <c r="FR117" s="29"/>
      <c r="FS117" s="29"/>
      <c r="FT117" s="29"/>
      <c r="FU117" s="29"/>
      <c r="FV117" s="29"/>
    </row>
    <row r="118" spans="1:178" x14ac:dyDescent="0.25">
      <c r="A118" t="str">
        <f ca="1">IF(_xll.TM1RPTELISCONSOLIDATED($D$28,$D118),IF(_xll.TM1RPTELLEV($D$28,$D118)&lt;=3,_xll.TM1RPTELLEV($D$28,$D118),"D"),"N")</f>
        <v>N</v>
      </c>
      <c r="B118" t="str">
        <f ca="1">_xll.DBRA(Server&amp;"Management_organization",$D118,$B$27)</f>
        <v>L</v>
      </c>
      <c r="C118">
        <v>1</v>
      </c>
      <c r="D118" s="2" t="s">
        <v>161</v>
      </c>
      <c r="E118" s="26"/>
      <c r="F118" s="26"/>
      <c r="G118" s="16">
        <f ca="1">_xll.DBRW($D$4,$E$7,$E$8,$E$9,$E$10,$E$12,$D118,$E$6,G$18,G$17)</f>
        <v>-0.10725837999999926</v>
      </c>
      <c r="H118" s="16">
        <f ca="1">_xll.DBRW($D$4,$E$7,$E$8,$E$9,$E$10,$E$12,$D118,$E$6,H$18,H$17)</f>
        <v>-0.23853937999999997</v>
      </c>
      <c r="I118" s="16">
        <f ca="1">_xll.DBRW($D$4,$E$7,$E$8,$E$9,$E$10,$E$12,$D118,$E$6,I$18,I$17)</f>
        <v>0</v>
      </c>
      <c r="J118" s="26">
        <f ca="1">_xll.DBRW($D$4,$E$7,$E$8,$E$9,$E$10,$E$12,$D118,$E$6,J$18,J$17)</f>
        <v>0</v>
      </c>
      <c r="K118" s="26">
        <f ca="1">_xll.DBRW($D$4,$E$7,$E$8,$E$9,$E$10,$E$12,$D118,$E$6,K$18,K$17)</f>
        <v>0</v>
      </c>
      <c r="L118" s="26">
        <f ca="1">_xll.DBRW($D$4,$E$7,$E$8,$E$9,$E$10,$E$12,$D118,$E$6,L$18,L$17)</f>
        <v>0</v>
      </c>
      <c r="M118" s="26">
        <f ca="1">_xll.DBRW($D$4,$E$7,$E$8,$E$9,$E$10,$E$12,$D118,$E$6,M$18,M$17)</f>
        <v>0</v>
      </c>
      <c r="N118" s="16">
        <f ca="1">_xll.DBRW($D$4,$E$7,$E$8,$E$9,$E$10,$E$12,$D118,$E$6,N$18,N$17)</f>
        <v>0.13128100000000073</v>
      </c>
      <c r="O118" s="16">
        <f ca="1">_xll.DBRW($D$4,$E$7,$E$8,$E$9,$E$10,$E$12,$D118,$E$6,O$18,O$17)</f>
        <v>2.5035306600000005</v>
      </c>
      <c r="P118" s="74">
        <f ca="1">_xll.DBRW($D$4,$E$7,$E$8,$E$9,$E$10,$E$12,$D118,$E$6,P$18,P$17)</f>
        <v>-1.2323703199999998</v>
      </c>
      <c r="Q118" s="16">
        <f ca="1">_xll.DBRW($D$4,$E$7,$E$8,$E$9,$E$10,$E$12,$D118,$E$6,Q$18,Q$17)</f>
        <v>0.49225293689832406</v>
      </c>
      <c r="R118" s="16"/>
      <c r="S118" s="16"/>
      <c r="T118" s="16"/>
      <c r="U118" s="16"/>
      <c r="V118" s="16">
        <f ca="1">_xll.DBRW($D$4,$E$7,$E$8,$E$9,$E$10,$E$12,$D118,$E$6,V$18,V$17)</f>
        <v>-0.31796582000000001</v>
      </c>
      <c r="W118" s="16">
        <f ca="1">_xll.DBRW($D$4,$E$7,$E$8,$E$9,$E$10,$E$12,$D118,$E$6,W$18,W$17)</f>
        <v>0.12700696064173625</v>
      </c>
      <c r="X118" s="16"/>
      <c r="Y118" s="16"/>
      <c r="Z118" s="16"/>
      <c r="AA118" s="16"/>
      <c r="AB118" s="16">
        <f ca="1">_xll.DBRW($D$4,$E$7,$E$8,$E$9,$E$10,$E$12,$D118,$E$6,AB$18,AB$17)</f>
        <v>-0.17791728000000001</v>
      </c>
      <c r="AC118" s="16">
        <f ca="1">_xll.DBRW($D$4,$E$7,$E$8,$E$9,$E$10,$E$12,$D118,$E$6,AC$18,AC$17)</f>
        <v>7.1066547273681072E-2</v>
      </c>
      <c r="AD118" s="16"/>
      <c r="AE118" s="16"/>
      <c r="AF118" s="16"/>
      <c r="AG118" s="16"/>
      <c r="AH118" s="16">
        <f ca="1">_xll.DBRW($D$4,$E$7,$E$8,$E$9,$E$10,$E$12,$D118,$E$6,AH$18,AH$17)</f>
        <v>-0.19941508999999996</v>
      </c>
      <c r="AI118" s="16">
        <f ca="1">_xll.DBRW($D$4,$E$7,$E$8,$E$9,$E$10,$E$12,$D118,$E$6,AI$18,AI$17)</f>
        <v>7.9653544167100368E-2</v>
      </c>
      <c r="AJ118" s="16"/>
      <c r="AK118" s="16"/>
      <c r="AL118" s="16"/>
      <c r="AM118" s="16"/>
      <c r="AN118" s="16">
        <f ca="1">_xll.DBRW($D$4,$E$7,$E$8,$E$9,$E$10,$E$12,$D118,$E$6,AN$18,AN$17)</f>
        <v>-0.44458115000000004</v>
      </c>
      <c r="AO118" s="16">
        <f ca="1">_xll.DBRW($D$4,$E$7,$E$8,$E$9,$E$10,$E$12,$D118,$E$6,AO$18,AO$17)</f>
        <v>0.17758166780350113</v>
      </c>
      <c r="AP118" s="16"/>
      <c r="AQ118" s="16"/>
      <c r="AR118" s="16"/>
      <c r="AS118" s="16"/>
      <c r="AT118" s="16">
        <f ca="1">_xll.DBRW($D$4,$E$7,$E$8,$E$9,$E$10,$E$12,$D118,$E$6,AT$18,AT$17)</f>
        <v>4.3004000000000007E-2</v>
      </c>
      <c r="AU118" s="16">
        <f ca="1">_xll.DBRW($D$4,$E$7,$E$8,$E$9,$E$10,$E$12,$D118,$E$6,AU$18,AU$17)</f>
        <v>0.58630499999999997</v>
      </c>
      <c r="AV118" s="16">
        <f ca="1">_xll.DBRW($D$4,$E$7,$E$8,$E$9,$E$10,$E$12,$D118,$E$6,AV$18,AV$17)</f>
        <v>0.58630499999999997</v>
      </c>
      <c r="AW118" s="16">
        <f ca="1">_xll.DBRW($D$4,$E$7,$E$8,$E$9,$E$10,$E$12,$D118,$E$6,AW$18,AW$17)</f>
        <v>0.58630499999999997</v>
      </c>
      <c r="AX118" s="16">
        <f ca="1">_xll.DBRW($D$4,$E$7,$E$8,$E$9,$E$10,$E$12,$D118,$E$6,AX$18,AX$17)</f>
        <v>0.154198</v>
      </c>
      <c r="AY118" s="16">
        <f ca="1">_xll.DBRW($D$4,$E$7,$E$8,$E$9,$E$10,$E$12,$D118,$E$6,AY$18,AY$17)</f>
        <v>0.58630499999999997</v>
      </c>
      <c r="AZ118" s="16">
        <f ca="1">_xll.DBRW($D$4,$E$7,$E$8,$E$9,$E$10,$E$12,$D118,$E$6,AZ$18,AZ$17)</f>
        <v>0.46930000000000005</v>
      </c>
      <c r="BA118" s="16">
        <f ca="1">_xll.DBRW($D$4,$E$7,$E$8,$E$9,$E$10,$E$12,$D118,$E$6,BA$18,BA$17)</f>
        <v>0.58630499999999997</v>
      </c>
      <c r="BB118" s="16">
        <f ca="1">_xll.DBRW($D$4,$E$7,$E$8,$E$9,$E$10,$E$12,$D118,$E$6,BB$18,BB$17)</f>
        <v>0.58630499999999997</v>
      </c>
      <c r="BC118" s="16">
        <f ca="1">_xll.DBRW($D$4,$E$7,$E$8,$E$9,$E$10,$E$12,$D118,$E$6,BC$18,BC$17)</f>
        <v>0.58630499999999997</v>
      </c>
      <c r="BD118" s="16">
        <f ca="1">_xll.DBRW($D$4,$E$7,$E$8,$E$9,$E$10,$E$12,$D118,$E$6,BD$18,BD$17)</f>
        <v>-6.088873122812314E-2</v>
      </c>
      <c r="BE118" s="16">
        <f ca="1">_xll.DBRW($D$4,$E$7,$E$8,$E$9,$E$10,$E$12,$D118,$E$6,BE$18,BE$17)</f>
        <v>-0.25209799999999999</v>
      </c>
      <c r="BF118" s="16">
        <f ca="1">_xll.DBRW($D$4,$E$7,$E$8,$E$9,$E$10,$E$12,$D118,$E$6,BF$18,BF$17)</f>
        <v>0</v>
      </c>
      <c r="BG118" s="26">
        <f ca="1">_xll.DBRW($D$4,$E$7,$E$8,$E$9,$E$10,$E$12,$D118,$E$6,BG$18,BG$17)</f>
        <v>0</v>
      </c>
      <c r="BH118" s="26">
        <f ca="1">_xll.DBRW($D$4,$E$7,$E$8,$E$9,$E$10,$E$12,$D118,$E$6,BH$18,BH$17)</f>
        <v>0</v>
      </c>
      <c r="BI118" s="26">
        <f ca="1">_xll.DBRW($D$4,$E$7,$E$8,$E$9,$E$10,$E$12,$D118,$E$6,BI$18,BI$17)</f>
        <v>0</v>
      </c>
      <c r="BJ118" s="26">
        <f ca="1">_xll.DBRW($D$4,$E$7,$E$8,$E$9,$E$10,$E$12,$D118,$E$6,BJ$18,BJ$17)</f>
        <v>0</v>
      </c>
      <c r="BK118" s="16">
        <f ca="1">_xll.DBRW($D$4,$E$7,$E$8,$E$9,$E$10,$E$12,$D118,$E$6,BK$18,BK$17)</f>
        <v>0.19120926877187686</v>
      </c>
      <c r="BL118" s="16">
        <f ca="1">_xll.DBRW($D$4,$E$7,$E$8,$E$9,$E$10,$E$12,$D118,$E$6,BL$18,BL$17)</f>
        <v>2.7354472099999998</v>
      </c>
      <c r="BM118" s="16">
        <f ca="1">_xll.DBRW($D$4,$E$7,$E$8,$E$9,$E$10,$E$12,$D118,$E$6,BM$18,BM$17)</f>
        <v>-1.3540569999999998</v>
      </c>
      <c r="BN118" s="16">
        <f ca="1">_xll.DBRW($D$4,$E$7,$E$8,$E$9,$E$10,$E$12,$D118,$E$6,BN$18,BN$17)</f>
        <v>0.49500388640291104</v>
      </c>
      <c r="BO118" s="16"/>
      <c r="BP118" s="16"/>
      <c r="BQ118" s="16"/>
      <c r="BR118" s="16"/>
      <c r="BS118" s="16">
        <f ca="1">_xll.DBRW($D$4,$E$7,$E$8,$E$9,$E$10,$E$12,$D118,$E$6,BS$18,BS$17)</f>
        <v>-0.31485600000000002</v>
      </c>
      <c r="BT118" s="16">
        <f ca="1">_xll.DBRW($D$4,$E$7,$E$8,$E$9,$E$10,$E$12,$D118,$E$6,BT$18,BT$17)</f>
        <v>0.11510220297762574</v>
      </c>
      <c r="BU118" s="16"/>
      <c r="BV118" s="16"/>
      <c r="BW118" s="16"/>
      <c r="BX118" s="16"/>
      <c r="BY118" s="16">
        <f ca="1">_xll.DBRW($D$4,$E$7,$E$8,$E$9,$E$10,$E$12,$D118,$E$6,BY$18,BY$17)</f>
        <v>-0.17711892270955001</v>
      </c>
      <c r="BZ118" s="16">
        <f ca="1">_xll.DBRW($D$4,$E$7,$E$8,$E$9,$E$10,$E$12,$D118,$E$6,BZ$18,BZ$17)</f>
        <v>6.4749530556486232E-2</v>
      </c>
      <c r="CA118" s="16"/>
      <c r="CB118" s="16"/>
      <c r="CC118" s="16"/>
      <c r="CD118" s="16"/>
      <c r="CE118" s="16">
        <f ca="1">_xll.DBRW($D$4,$E$7,$E$8,$E$9,$E$10,$E$12,$D118,$E$6,CE$18,CE$17)</f>
        <v>-0.23471237000000003</v>
      </c>
      <c r="CF118" s="16">
        <f ca="1">_xll.DBRW($D$4,$E$7,$E$8,$E$9,$E$10,$E$12,$D118,$E$6,CF$18,CF$17)</f>
        <v>8.580402105438549E-2</v>
      </c>
      <c r="CG118" s="16"/>
      <c r="CH118" s="16"/>
      <c r="CI118" s="16"/>
      <c r="CJ118" s="16"/>
      <c r="CK118" s="16">
        <f ca="1">_xll.DBRW($D$4,$E$7,$E$8,$E$9,$E$10,$E$12,$D118,$E$6,CK$18,CK$17)</f>
        <v>-0.46349364851857328</v>
      </c>
      <c r="CL118" s="16">
        <f ca="1">_xll.DBRW($D$4,$E$7,$E$8,$E$9,$E$10,$E$12,$D118,$E$6,CL$18,CL$17)</f>
        <v>0.16943980743776565</v>
      </c>
      <c r="CM118" s="16"/>
      <c r="CN118" s="16"/>
      <c r="CO118" s="16"/>
      <c r="CP118" s="16"/>
      <c r="CQ118" s="16">
        <f ca="1">_xll.DBRW($D$4,$E$7,$E$8,$E$9,$E$10,$E$12,$D118,$E$6,CQ$18,CQ$17)</f>
        <v>5.6018819999999997E-2</v>
      </c>
      <c r="CR118" s="16">
        <f ca="1">_xll.DBRW($D$4,$E$7,$E$8,$E$9,$E$10,$E$12,$D118,$E$6,CR$18,CR$17)</f>
        <v>0.806917</v>
      </c>
      <c r="CS118" s="16">
        <f ca="1">_xll.DBRW($D$4,$E$7,$E$8,$E$9,$E$10,$E$12,$D118,$E$6,CS$18,CS$17)</f>
        <v>0.806917</v>
      </c>
      <c r="CT118" s="16">
        <f ca="1">_xll.DBRW($D$4,$E$7,$E$8,$E$9,$E$10,$E$12,$D118,$E$6,CT$18,CT$17)</f>
        <v>0.806917</v>
      </c>
      <c r="CU118" s="16">
        <f ca="1">_xll.DBRW($D$4,$E$7,$E$8,$E$9,$E$10,$E$12,$D118,$E$6,CU$18,CU$17)</f>
        <v>0.21347345149999999</v>
      </c>
      <c r="CV118" s="16">
        <f ca="1">_xll.DBRW($D$4,$E$7,$E$8,$E$9,$E$10,$E$12,$D118,$E$6,CV$18,CV$17)</f>
        <v>0.806917</v>
      </c>
      <c r="CW118" s="16">
        <f ca="1">_xll.DBRW($D$4,$E$7,$E$8,$E$9,$E$10,$E$12,$D118,$E$6,CW$18,CW$17)</f>
        <v>0.64556999999999998</v>
      </c>
      <c r="CX118" s="16">
        <f ca="1">_xll.DBRW($D$4,$E$7,$E$8,$E$9,$E$10,$E$12,$D118,$E$6,CX$18,CX$17)</f>
        <v>0.806917</v>
      </c>
      <c r="CY118" s="16">
        <f ca="1">_xll.DBRW($D$4,$E$7,$E$8,$E$9,$E$10,$E$12,$D118,$E$6,CY$18,CY$17)</f>
        <v>0.806917</v>
      </c>
      <c r="CZ118" s="16">
        <f ca="1">_xll.DBRW($D$4,$E$7,$E$8,$E$9,$E$10,$E$12,$D118,$E$6,CZ$18,CZ$17)</f>
        <v>0.806917</v>
      </c>
      <c r="DA118" s="26">
        <f t="shared" ca="1" si="108"/>
        <v>-4.6369648771876125E-2</v>
      </c>
      <c r="DB118" s="26">
        <f t="shared" ca="1" si="109"/>
        <v>1.3558620000000021E-2</v>
      </c>
      <c r="DC118" s="26">
        <f t="shared" ca="1" si="110"/>
        <v>0</v>
      </c>
      <c r="DD118" s="26">
        <f t="shared" ca="1" si="111"/>
        <v>0</v>
      </c>
      <c r="DE118" s="26">
        <f t="shared" ca="1" si="112"/>
        <v>0</v>
      </c>
      <c r="DF118" s="26">
        <f t="shared" ca="1" si="113"/>
        <v>0</v>
      </c>
      <c r="DG118" s="26">
        <f t="shared" ca="1" si="114"/>
        <v>0</v>
      </c>
      <c r="DH118" s="26">
        <f t="shared" ca="1" si="115"/>
        <v>-5.9928268771876125E-2</v>
      </c>
      <c r="DI118" s="26">
        <f t="shared" ca="1" si="116"/>
        <v>-0.23191654999999933</v>
      </c>
      <c r="DJ118" s="26">
        <f t="shared" ca="1" si="117"/>
        <v>0.12168668000000005</v>
      </c>
      <c r="DK118" s="26">
        <f t="shared" ca="1" si="118"/>
        <v>-2.7509495045869858E-3</v>
      </c>
      <c r="DL118" s="26"/>
      <c r="DM118" s="26"/>
      <c r="DN118" s="26"/>
      <c r="DO118" s="26"/>
      <c r="DP118" s="26">
        <f t="shared" ca="1" si="119"/>
        <v>-3.1098199999999854E-3</v>
      </c>
      <c r="DQ118" s="26">
        <f t="shared" ca="1" si="120"/>
        <v>1.1904757664110505E-2</v>
      </c>
      <c r="DR118" s="26"/>
      <c r="DS118" s="26"/>
      <c r="DT118" s="26"/>
      <c r="DU118" s="26"/>
      <c r="DV118" s="26">
        <f t="shared" ca="1" si="121"/>
        <v>-7.9835729044999693E-4</v>
      </c>
      <c r="DW118" s="26">
        <f t="shared" ca="1" si="122"/>
        <v>6.3170167171948399E-3</v>
      </c>
      <c r="DX118" s="26"/>
      <c r="DY118" s="26"/>
      <c r="DZ118" s="26"/>
      <c r="EA118" s="26"/>
      <c r="EB118" s="26">
        <f t="shared" ca="1" si="123"/>
        <v>3.529728000000007E-2</v>
      </c>
      <c r="EC118" s="26">
        <f t="shared" ca="1" si="124"/>
        <v>-6.1504768872851223E-3</v>
      </c>
      <c r="ED118" s="26"/>
      <c r="EE118" s="26"/>
      <c r="EF118" s="26"/>
      <c r="EG118" s="26"/>
      <c r="EH118" s="26">
        <f t="shared" ca="1" si="125"/>
        <v>1.891249851857324E-2</v>
      </c>
      <c r="EI118" s="29">
        <f t="shared" ca="1" si="126"/>
        <v>8.1418603657354705E-3</v>
      </c>
      <c r="EJ118" s="29"/>
      <c r="EK118" s="29"/>
      <c r="EL118" s="29"/>
      <c r="EM118" s="29"/>
      <c r="EN118" s="93"/>
      <c r="EO118" s="29"/>
      <c r="EP118" s="29"/>
      <c r="EQ118" s="29"/>
      <c r="ER118" s="29"/>
      <c r="ES118" s="29"/>
      <c r="ET118" s="29"/>
      <c r="EU118" s="93"/>
      <c r="EV118" s="29"/>
      <c r="EW118" s="29"/>
      <c r="EX118" s="29"/>
      <c r="EY118" s="29"/>
      <c r="EZ118" s="29"/>
      <c r="FA118" s="29"/>
      <c r="FB118" s="93"/>
      <c r="FC118" s="29"/>
      <c r="FD118" s="29"/>
      <c r="FE118" s="29"/>
      <c r="FF118" s="29"/>
      <c r="FG118" s="29"/>
      <c r="FH118" s="29"/>
      <c r="FI118" s="93"/>
      <c r="FJ118" s="29"/>
      <c r="FK118" s="29"/>
      <c r="FL118" s="29"/>
      <c r="FM118" s="29"/>
      <c r="FN118" s="29"/>
      <c r="FO118" s="29"/>
      <c r="FP118" s="93"/>
      <c r="FQ118" s="29"/>
      <c r="FR118" s="29"/>
      <c r="FS118" s="29"/>
      <c r="FT118" s="29"/>
      <c r="FU118" s="29"/>
      <c r="FV118" s="29"/>
    </row>
    <row r="119" spans="1:178" x14ac:dyDescent="0.25">
      <c r="A119" t="str">
        <f ca="1">IF(_xll.TM1RPTELISCONSOLIDATED($D$28,$D119),IF(_xll.TM1RPTELLEV($D$28,$D119)&lt;=3,_xll.TM1RPTELLEV($D$28,$D119),"D"),"N")</f>
        <v>N</v>
      </c>
      <c r="B119" t="str">
        <f ca="1">_xll.DBRA(Server&amp;"Management_organization",$D119,$B$27)</f>
        <v>L</v>
      </c>
      <c r="C119">
        <v>1</v>
      </c>
      <c r="D119" s="2" t="s">
        <v>162</v>
      </c>
      <c r="E119" s="26"/>
      <c r="F119" s="26"/>
      <c r="G119" s="16">
        <f ca="1">_xll.DBRW($D$4,$E$7,$E$8,$E$9,$E$10,$E$12,$D119,$E$6,G$18,G$17)</f>
        <v>-5.6718199999999386E-3</v>
      </c>
      <c r="H119" s="16">
        <f ca="1">_xll.DBRW($D$4,$E$7,$E$8,$E$9,$E$10,$E$12,$D119,$E$6,H$18,H$17)</f>
        <v>-6.8533150000000001E-2</v>
      </c>
      <c r="I119" s="16">
        <f ca="1">_xll.DBRW($D$4,$E$7,$E$8,$E$9,$E$10,$E$12,$D119,$E$6,I$18,I$17)</f>
        <v>0</v>
      </c>
      <c r="J119" s="26">
        <f ca="1">_xll.DBRW($D$4,$E$7,$E$8,$E$9,$E$10,$E$12,$D119,$E$6,J$18,J$17)</f>
        <v>0</v>
      </c>
      <c r="K119" s="26">
        <f ca="1">_xll.DBRW($D$4,$E$7,$E$8,$E$9,$E$10,$E$12,$D119,$E$6,K$18,K$17)</f>
        <v>0</v>
      </c>
      <c r="L119" s="26">
        <f ca="1">_xll.DBRW($D$4,$E$7,$E$8,$E$9,$E$10,$E$12,$D119,$E$6,L$18,L$17)</f>
        <v>0</v>
      </c>
      <c r="M119" s="26">
        <f ca="1">_xll.DBRW($D$4,$E$7,$E$8,$E$9,$E$10,$E$12,$D119,$E$6,M$18,M$17)</f>
        <v>0</v>
      </c>
      <c r="N119" s="16">
        <f ca="1">_xll.DBRW($D$4,$E$7,$E$8,$E$9,$E$10,$E$12,$D119,$E$6,N$18,N$17)</f>
        <v>6.2861330000000062E-2</v>
      </c>
      <c r="O119" s="16">
        <f ca="1">_xll.DBRW($D$4,$E$7,$E$8,$E$9,$E$10,$E$12,$D119,$E$6,O$18,O$17)</f>
        <v>0.87304420999999999</v>
      </c>
      <c r="P119" s="74">
        <f ca="1">_xll.DBRW($D$4,$E$7,$E$8,$E$9,$E$10,$E$12,$D119,$E$6,P$18,P$17)</f>
        <v>-0.33264695999999999</v>
      </c>
      <c r="Q119" s="16">
        <f ca="1">_xll.DBRW($D$4,$E$7,$E$8,$E$9,$E$10,$E$12,$D119,$E$6,Q$18,Q$17)</f>
        <v>0.38101960495219367</v>
      </c>
      <c r="R119" s="16"/>
      <c r="S119" s="16"/>
      <c r="T119" s="16"/>
      <c r="U119" s="16"/>
      <c r="V119" s="16">
        <f ca="1">_xll.DBRW($D$4,$E$7,$E$8,$E$9,$E$10,$E$12,$D119,$E$6,V$18,V$17)</f>
        <v>-0.12847334999999999</v>
      </c>
      <c r="W119" s="16">
        <f ca="1">_xll.DBRW($D$4,$E$7,$E$8,$E$9,$E$10,$E$12,$D119,$E$6,W$18,W$17)</f>
        <v>0.14715560624358301</v>
      </c>
      <c r="X119" s="16"/>
      <c r="Y119" s="16"/>
      <c r="Z119" s="16"/>
      <c r="AA119" s="16"/>
      <c r="AB119" s="16">
        <f ca="1">_xll.DBRW($D$4,$E$7,$E$8,$E$9,$E$10,$E$12,$D119,$E$6,AB$18,AB$17)</f>
        <v>-9.5369119999999974E-2</v>
      </c>
      <c r="AC119" s="16">
        <f ca="1">_xll.DBRW($D$4,$E$7,$E$8,$E$9,$E$10,$E$12,$D119,$E$6,AC$18,AC$17)</f>
        <v>0.10923744629152282</v>
      </c>
      <c r="AD119" s="16"/>
      <c r="AE119" s="16"/>
      <c r="AF119" s="16"/>
      <c r="AG119" s="16"/>
      <c r="AH119" s="16">
        <f ca="1">_xll.DBRW($D$4,$E$7,$E$8,$E$9,$E$10,$E$12,$D119,$E$6,AH$18,AH$17)</f>
        <v>-9.4048539999999986E-2</v>
      </c>
      <c r="AI119" s="16">
        <f ca="1">_xll.DBRW($D$4,$E$7,$E$8,$E$9,$E$10,$E$12,$D119,$E$6,AI$18,AI$17)</f>
        <v>0.10772483102545287</v>
      </c>
      <c r="AJ119" s="16"/>
      <c r="AK119" s="16"/>
      <c r="AL119" s="16"/>
      <c r="AM119" s="16"/>
      <c r="AN119" s="16">
        <f ca="1">_xll.DBRW($D$4,$E$7,$E$8,$E$9,$E$10,$E$12,$D119,$E$6,AN$18,AN$17)</f>
        <v>-0.15964490999999997</v>
      </c>
      <c r="AO119" s="16">
        <f ca="1">_xll.DBRW($D$4,$E$7,$E$8,$E$9,$E$10,$E$12,$D119,$E$6,AO$18,AO$17)</f>
        <v>0.18286005241361142</v>
      </c>
      <c r="AP119" s="16"/>
      <c r="AQ119" s="16"/>
      <c r="AR119" s="16"/>
      <c r="AS119" s="16"/>
      <c r="AT119" s="16">
        <f ca="1">_xll.DBRW($D$4,$E$7,$E$8,$E$9,$E$10,$E$12,$D119,$E$6,AT$18,AT$17)</f>
        <v>1.7025029999999997E-2</v>
      </c>
      <c r="AU119" s="16">
        <f ca="1">_xll.DBRW($D$4,$E$7,$E$8,$E$9,$E$10,$E$12,$D119,$E$6,AU$18,AU$17)</f>
        <v>0.41748999999999992</v>
      </c>
      <c r="AV119" s="16">
        <f ca="1">_xll.DBRW($D$4,$E$7,$E$8,$E$9,$E$10,$E$12,$D119,$E$6,AV$18,AV$17)</f>
        <v>0.41748999999999992</v>
      </c>
      <c r="AW119" s="16">
        <f ca="1">_xll.DBRW($D$4,$E$7,$E$8,$E$9,$E$10,$E$12,$D119,$E$6,AW$18,AW$17)</f>
        <v>0.41748999999999992</v>
      </c>
      <c r="AX119" s="16">
        <f ca="1">_xll.DBRW($D$4,$E$7,$E$8,$E$9,$E$10,$E$12,$D119,$E$6,AX$18,AX$17)</f>
        <v>9.5190559999999994E-2</v>
      </c>
      <c r="AY119" s="16">
        <f ca="1">_xll.DBRW($D$4,$E$7,$E$8,$E$9,$E$10,$E$12,$D119,$E$6,AY$18,AY$17)</f>
        <v>0.41748999999999992</v>
      </c>
      <c r="AZ119" s="16">
        <f ca="1">_xll.DBRW($D$4,$E$7,$E$8,$E$9,$E$10,$E$12,$D119,$E$6,AZ$18,AZ$17)</f>
        <v>0.26416499999999998</v>
      </c>
      <c r="BA119" s="16">
        <f ca="1">_xll.DBRW($D$4,$E$7,$E$8,$E$9,$E$10,$E$12,$D119,$E$6,BA$18,BA$17)</f>
        <v>0.41748999999999992</v>
      </c>
      <c r="BB119" s="16">
        <f ca="1">_xll.DBRW($D$4,$E$7,$E$8,$E$9,$E$10,$E$12,$D119,$E$6,BB$18,BB$17)</f>
        <v>0.41748999999999992</v>
      </c>
      <c r="BC119" s="16">
        <f ca="1">_xll.DBRW($D$4,$E$7,$E$8,$E$9,$E$10,$E$12,$D119,$E$6,BC$18,BC$17)</f>
        <v>0.41748999999999992</v>
      </c>
      <c r="BD119" s="16">
        <f ca="1">_xll.DBRW($D$4,$E$7,$E$8,$E$9,$E$10,$E$12,$D119,$E$6,BD$18,BD$17)</f>
        <v>3.2903819498139732E-2</v>
      </c>
      <c r="BE119" s="16">
        <f ca="1">_xll.DBRW($D$4,$E$7,$E$8,$E$9,$E$10,$E$12,$D119,$E$6,BE$18,BE$17)</f>
        <v>-7.3979729999999994E-2</v>
      </c>
      <c r="BF119" s="16">
        <f ca="1">_xll.DBRW($D$4,$E$7,$E$8,$E$9,$E$10,$E$12,$D119,$E$6,BF$18,BF$17)</f>
        <v>0</v>
      </c>
      <c r="BG119" s="26">
        <f ca="1">_xll.DBRW($D$4,$E$7,$E$8,$E$9,$E$10,$E$12,$D119,$E$6,BG$18,BG$17)</f>
        <v>0</v>
      </c>
      <c r="BH119" s="26">
        <f ca="1">_xll.DBRW($D$4,$E$7,$E$8,$E$9,$E$10,$E$12,$D119,$E$6,BH$18,BH$17)</f>
        <v>0</v>
      </c>
      <c r="BI119" s="26">
        <f ca="1">_xll.DBRW($D$4,$E$7,$E$8,$E$9,$E$10,$E$12,$D119,$E$6,BI$18,BI$17)</f>
        <v>0</v>
      </c>
      <c r="BJ119" s="26">
        <f ca="1">_xll.DBRW($D$4,$E$7,$E$8,$E$9,$E$10,$E$12,$D119,$E$6,BJ$18,BJ$17)</f>
        <v>0</v>
      </c>
      <c r="BK119" s="16">
        <f ca="1">_xll.DBRW($D$4,$E$7,$E$8,$E$9,$E$10,$E$12,$D119,$E$6,BK$18,BK$17)</f>
        <v>0.10688354949813972</v>
      </c>
      <c r="BL119" s="16">
        <f ca="1">_xll.DBRW($D$4,$E$7,$E$8,$E$9,$E$10,$E$12,$D119,$E$6,BL$18,BL$17)</f>
        <v>0.98334200000000005</v>
      </c>
      <c r="BM119" s="16">
        <f ca="1">_xll.DBRW($D$4,$E$7,$E$8,$E$9,$E$10,$E$12,$D119,$E$6,BM$18,BM$17)</f>
        <v>-0.36783099999999996</v>
      </c>
      <c r="BN119" s="16">
        <f ca="1">_xll.DBRW($D$4,$E$7,$E$8,$E$9,$E$10,$E$12,$D119,$E$6,BN$18,BN$17)</f>
        <v>0.37406212691006785</v>
      </c>
      <c r="BO119" s="16"/>
      <c r="BP119" s="16"/>
      <c r="BQ119" s="16"/>
      <c r="BR119" s="16"/>
      <c r="BS119" s="16">
        <f ca="1">_xll.DBRW($D$4,$E$7,$E$8,$E$9,$E$10,$E$12,$D119,$E$6,BS$18,BS$17)</f>
        <v>-0.11341691620000001</v>
      </c>
      <c r="BT119" s="16">
        <f ca="1">_xll.DBRW($D$4,$E$7,$E$8,$E$9,$E$10,$E$12,$D119,$E$6,BT$18,BT$17)</f>
        <v>0.11533822027331285</v>
      </c>
      <c r="BU119" s="16"/>
      <c r="BV119" s="16"/>
      <c r="BW119" s="16"/>
      <c r="BX119" s="16"/>
      <c r="BY119" s="16">
        <f ca="1">_xll.DBRW($D$4,$E$7,$E$8,$E$9,$E$10,$E$12,$D119,$E$6,BY$18,BY$17)</f>
        <v>-9.5429094301860015E-2</v>
      </c>
      <c r="BZ119" s="16">
        <f ca="1">_xll.DBRW($D$4,$E$7,$E$8,$E$9,$E$10,$E$12,$D119,$E$6,BZ$18,BZ$17)</f>
        <v>9.7045681260293989E-2</v>
      </c>
      <c r="CA119" s="16"/>
      <c r="CB119" s="16"/>
      <c r="CC119" s="16"/>
      <c r="CD119" s="16"/>
      <c r="CE119" s="16">
        <f ca="1">_xll.DBRW($D$4,$E$7,$E$8,$E$9,$E$10,$E$12,$D119,$E$6,CE$18,CE$17)</f>
        <v>-0.12531885000000001</v>
      </c>
      <c r="CF119" s="16">
        <f ca="1">_xll.DBRW($D$4,$E$7,$E$8,$E$9,$E$10,$E$12,$D119,$E$6,CF$18,CF$17)</f>
        <v>0.12744177508943988</v>
      </c>
      <c r="CG119" s="16"/>
      <c r="CH119" s="16"/>
      <c r="CI119" s="16"/>
      <c r="CJ119" s="16"/>
      <c r="CK119" s="16">
        <f ca="1">_xll.DBRW($D$4,$E$7,$E$8,$E$9,$E$10,$E$12,$D119,$E$6,CK$18,CK$17)</f>
        <v>-0.17446259</v>
      </c>
      <c r="CL119" s="16">
        <f ca="1">_xll.DBRW($D$4,$E$7,$E$8,$E$9,$E$10,$E$12,$D119,$E$6,CL$18,CL$17)</f>
        <v>0.17741801936660898</v>
      </c>
      <c r="CM119" s="16"/>
      <c r="CN119" s="16"/>
      <c r="CO119" s="16"/>
      <c r="CP119" s="16"/>
      <c r="CQ119" s="16">
        <f ca="1">_xll.DBRW($D$4,$E$7,$E$8,$E$9,$E$10,$E$12,$D119,$E$6,CQ$18,CQ$17)</f>
        <v>1.7879320000000001E-2</v>
      </c>
      <c r="CR119" s="16">
        <f ca="1">_xll.DBRW($D$4,$E$7,$E$8,$E$9,$E$10,$E$12,$D119,$E$6,CR$18,CR$17)</f>
        <v>0.46765400000000001</v>
      </c>
      <c r="CS119" s="16">
        <f ca="1">_xll.DBRW($D$4,$E$7,$E$8,$E$9,$E$10,$E$12,$D119,$E$6,CS$18,CS$17)</f>
        <v>0.46765400000000001</v>
      </c>
      <c r="CT119" s="16">
        <f ca="1">_xll.DBRW($D$4,$E$7,$E$8,$E$9,$E$10,$E$12,$D119,$E$6,CT$18,CT$17)</f>
        <v>0.46765400000000001</v>
      </c>
      <c r="CU119" s="16">
        <f ca="1">_xll.DBRW($D$4,$E$7,$E$8,$E$9,$E$10,$E$12,$D119,$E$6,CU$18,CU$17)</f>
        <v>0.10908110729999998</v>
      </c>
      <c r="CV119" s="16">
        <f ca="1">_xll.DBRW($D$4,$E$7,$E$8,$E$9,$E$10,$E$12,$D119,$E$6,CV$18,CV$17)</f>
        <v>0.46765400000000001</v>
      </c>
      <c r="CW119" s="16">
        <f ca="1">_xll.DBRW($D$4,$E$7,$E$8,$E$9,$E$10,$E$12,$D119,$E$6,CW$18,CW$17)</f>
        <v>0.29164300000000004</v>
      </c>
      <c r="CX119" s="16">
        <f ca="1">_xll.DBRW($D$4,$E$7,$E$8,$E$9,$E$10,$E$12,$D119,$E$6,CX$18,CX$17)</f>
        <v>0.46765400000000001</v>
      </c>
      <c r="CY119" s="16">
        <f ca="1">_xll.DBRW($D$4,$E$7,$E$8,$E$9,$E$10,$E$12,$D119,$E$6,CY$18,CY$17)</f>
        <v>0.46765400000000001</v>
      </c>
      <c r="CZ119" s="16">
        <f ca="1">_xll.DBRW($D$4,$E$7,$E$8,$E$9,$E$10,$E$12,$D119,$E$6,CZ$18,CZ$17)</f>
        <v>0.46765400000000001</v>
      </c>
      <c r="DA119" s="26">
        <f t="shared" ca="1" si="108"/>
        <v>-3.857563949813967E-2</v>
      </c>
      <c r="DB119" s="26">
        <f t="shared" ca="1" si="109"/>
        <v>5.4465799999999925E-3</v>
      </c>
      <c r="DC119" s="26">
        <f t="shared" ca="1" si="110"/>
        <v>0</v>
      </c>
      <c r="DD119" s="26">
        <f t="shared" ca="1" si="111"/>
        <v>0</v>
      </c>
      <c r="DE119" s="26">
        <f t="shared" ca="1" si="112"/>
        <v>0</v>
      </c>
      <c r="DF119" s="26">
        <f t="shared" ca="1" si="113"/>
        <v>0</v>
      </c>
      <c r="DG119" s="26">
        <f t="shared" ca="1" si="114"/>
        <v>0</v>
      </c>
      <c r="DH119" s="26">
        <f t="shared" ca="1" si="115"/>
        <v>-4.4022219498139656E-2</v>
      </c>
      <c r="DI119" s="26">
        <f t="shared" ca="1" si="116"/>
        <v>-0.11029779000000006</v>
      </c>
      <c r="DJ119" s="26">
        <f t="shared" ca="1" si="117"/>
        <v>3.5184039999999972E-2</v>
      </c>
      <c r="DK119" s="26">
        <f t="shared" ca="1" si="118"/>
        <v>6.9574780421258198E-3</v>
      </c>
      <c r="DL119" s="26"/>
      <c r="DM119" s="26"/>
      <c r="DN119" s="26"/>
      <c r="DO119" s="26"/>
      <c r="DP119" s="26">
        <f t="shared" ca="1" si="119"/>
        <v>-1.5056433799999977E-2</v>
      </c>
      <c r="DQ119" s="26">
        <f t="shared" ca="1" si="120"/>
        <v>3.1817385970270159E-2</v>
      </c>
      <c r="DR119" s="26"/>
      <c r="DS119" s="26"/>
      <c r="DT119" s="26"/>
      <c r="DU119" s="26"/>
      <c r="DV119" s="26">
        <f t="shared" ca="1" si="121"/>
        <v>5.9974301860041268E-5</v>
      </c>
      <c r="DW119" s="26">
        <f t="shared" ca="1" si="122"/>
        <v>1.2191765031228832E-2</v>
      </c>
      <c r="DX119" s="26"/>
      <c r="DY119" s="26"/>
      <c r="DZ119" s="26"/>
      <c r="EA119" s="26"/>
      <c r="EB119" s="26">
        <f t="shared" ca="1" si="123"/>
        <v>3.1270310000000023E-2</v>
      </c>
      <c r="EC119" s="26">
        <f t="shared" ca="1" si="124"/>
        <v>-1.971694406398701E-2</v>
      </c>
      <c r="ED119" s="26"/>
      <c r="EE119" s="26"/>
      <c r="EF119" s="26"/>
      <c r="EG119" s="26"/>
      <c r="EH119" s="26">
        <f t="shared" ca="1" si="125"/>
        <v>1.4817680000000027E-2</v>
      </c>
      <c r="EI119" s="29">
        <f t="shared" ca="1" si="126"/>
        <v>5.4420330470024425E-3</v>
      </c>
      <c r="EJ119" s="29"/>
      <c r="EK119" s="29"/>
      <c r="EL119" s="29"/>
      <c r="EM119" s="29"/>
      <c r="EN119" s="93"/>
      <c r="EO119" s="29"/>
      <c r="EP119" s="29"/>
      <c r="EQ119" s="29"/>
      <c r="ER119" s="29"/>
      <c r="ES119" s="29"/>
      <c r="ET119" s="29"/>
      <c r="EU119" s="93"/>
      <c r="EV119" s="29"/>
      <c r="EW119" s="29"/>
      <c r="EX119" s="29"/>
      <c r="EY119" s="29"/>
      <c r="EZ119" s="29"/>
      <c r="FA119" s="29"/>
      <c r="FB119" s="93"/>
      <c r="FC119" s="29"/>
      <c r="FD119" s="29"/>
      <c r="FE119" s="29"/>
      <c r="FF119" s="29"/>
      <c r="FG119" s="29"/>
      <c r="FH119" s="29"/>
      <c r="FI119" s="93"/>
      <c r="FJ119" s="29"/>
      <c r="FK119" s="29"/>
      <c r="FL119" s="29"/>
      <c r="FM119" s="29"/>
      <c r="FN119" s="29"/>
      <c r="FO119" s="29"/>
      <c r="FP119" s="93"/>
      <c r="FQ119" s="29"/>
      <c r="FR119" s="29"/>
      <c r="FS119" s="29"/>
      <c r="FT119" s="29"/>
      <c r="FU119" s="29"/>
      <c r="FV119" s="29"/>
    </row>
    <row r="120" spans="1:178" x14ac:dyDescent="0.25">
      <c r="A120" t="str">
        <f ca="1">IF(_xll.TM1RPTELISCONSOLIDATED($D$28,$D120),IF(_xll.TM1RPTELLEV($D$28,$D120)&lt;=3,_xll.TM1RPTELLEV($D$28,$D120),"D"),"N")</f>
        <v>N</v>
      </c>
      <c r="B120" t="str">
        <f ca="1">_xll.DBRA(Server&amp;"Management_organization",$D120,$B$27)</f>
        <v>L</v>
      </c>
      <c r="C120">
        <v>1</v>
      </c>
      <c r="D120" s="2" t="s">
        <v>163</v>
      </c>
      <c r="E120" s="26"/>
      <c r="F120" s="26"/>
      <c r="G120" s="16">
        <f ca="1">_xll.DBRW($D$4,$E$7,$E$8,$E$9,$E$10,$E$12,$D120,$E$6,G$18,G$17)</f>
        <v>-5.0965160000002618E-2</v>
      </c>
      <c r="H120" s="16">
        <f ca="1">_xll.DBRW($D$4,$E$7,$E$8,$E$9,$E$10,$E$12,$D120,$E$6,H$18,H$17)</f>
        <v>-1.0088306700000003</v>
      </c>
      <c r="I120" s="16">
        <f ca="1">_xll.DBRW($D$4,$E$7,$E$8,$E$9,$E$10,$E$12,$D120,$E$6,I$18,I$17)</f>
        <v>0</v>
      </c>
      <c r="J120" s="26">
        <f ca="1">_xll.DBRW($D$4,$E$7,$E$8,$E$9,$E$10,$E$12,$D120,$E$6,J$18,J$17)</f>
        <v>0</v>
      </c>
      <c r="K120" s="26">
        <f ca="1">_xll.DBRW($D$4,$E$7,$E$8,$E$9,$E$10,$E$12,$D120,$E$6,K$18,K$17)</f>
        <v>0</v>
      </c>
      <c r="L120" s="26">
        <f ca="1">_xll.DBRW($D$4,$E$7,$E$8,$E$9,$E$10,$E$12,$D120,$E$6,L$18,L$17)</f>
        <v>0</v>
      </c>
      <c r="M120" s="26">
        <f ca="1">_xll.DBRW($D$4,$E$7,$E$8,$E$9,$E$10,$E$12,$D120,$E$6,M$18,M$17)</f>
        <v>0</v>
      </c>
      <c r="N120" s="16">
        <f ca="1">_xll.DBRW($D$4,$E$7,$E$8,$E$9,$E$10,$E$12,$D120,$E$6,N$18,N$17)</f>
        <v>0.95786550999999742</v>
      </c>
      <c r="O120" s="16">
        <f ca="1">_xll.DBRW($D$4,$E$7,$E$8,$E$9,$E$10,$E$12,$D120,$E$6,O$18,O$17)</f>
        <v>10.67847834</v>
      </c>
      <c r="P120" s="74">
        <f ca="1">_xll.DBRW($D$4,$E$7,$E$8,$E$9,$E$10,$E$12,$D120,$E$6,P$18,P$17)</f>
        <v>-3.9605096699999995</v>
      </c>
      <c r="Q120" s="16">
        <f ca="1">_xll.DBRW($D$4,$E$7,$E$8,$E$9,$E$10,$E$12,$D120,$E$6,Q$18,Q$17)</f>
        <v>0.37088708183866576</v>
      </c>
      <c r="R120" s="16"/>
      <c r="S120" s="16"/>
      <c r="T120" s="16"/>
      <c r="U120" s="16"/>
      <c r="V120" s="16">
        <f ca="1">_xll.DBRW($D$4,$E$7,$E$8,$E$9,$E$10,$E$12,$D120,$E$6,V$18,V$17)</f>
        <v>-1.0298728500000001</v>
      </c>
      <c r="W120" s="16">
        <f ca="1">_xll.DBRW($D$4,$E$7,$E$8,$E$9,$E$10,$E$12,$D120,$E$6,W$18,W$17)</f>
        <v>9.6443783206662387E-2</v>
      </c>
      <c r="X120" s="16"/>
      <c r="Y120" s="16"/>
      <c r="Z120" s="16"/>
      <c r="AA120" s="16"/>
      <c r="AB120" s="16">
        <f ca="1">_xll.DBRW($D$4,$E$7,$E$8,$E$9,$E$10,$E$12,$D120,$E$6,AB$18,AB$17)</f>
        <v>-0.90269805999999975</v>
      </c>
      <c r="AC120" s="16">
        <f ca="1">_xll.DBRW($D$4,$E$7,$E$8,$E$9,$E$10,$E$12,$D120,$E$6,AC$18,AC$17)</f>
        <v>8.453433450519128E-2</v>
      </c>
      <c r="AD120" s="16"/>
      <c r="AE120" s="16"/>
      <c r="AF120" s="16"/>
      <c r="AG120" s="16"/>
      <c r="AH120" s="16">
        <f ca="1">_xll.DBRW($D$4,$E$7,$E$8,$E$9,$E$10,$E$12,$D120,$E$6,AH$18,AH$17)</f>
        <v>-1.6621120599999997</v>
      </c>
      <c r="AI120" s="16">
        <f ca="1">_xll.DBRW($D$4,$E$7,$E$8,$E$9,$E$10,$E$12,$D120,$E$6,AI$18,AI$17)</f>
        <v>0.15565064675684867</v>
      </c>
      <c r="AJ120" s="16"/>
      <c r="AK120" s="16"/>
      <c r="AL120" s="16"/>
      <c r="AM120" s="16"/>
      <c r="AN120" s="16">
        <f ca="1">_xll.DBRW($D$4,$E$7,$E$8,$E$9,$E$10,$E$12,$D120,$E$6,AN$18,AN$17)</f>
        <v>-2.1654201900000003</v>
      </c>
      <c r="AO120" s="16">
        <f ca="1">_xll.DBRW($D$4,$E$7,$E$8,$E$9,$E$10,$E$12,$D120,$E$6,AO$18,AO$17)</f>
        <v>0.20278359154306252</v>
      </c>
      <c r="AP120" s="16"/>
      <c r="AQ120" s="16"/>
      <c r="AR120" s="16"/>
      <c r="AS120" s="16"/>
      <c r="AT120" s="16">
        <f ca="1">_xll.DBRW($D$4,$E$7,$E$8,$E$9,$E$10,$E$12,$D120,$E$6,AT$18,AT$17)</f>
        <v>0.18723599999999999</v>
      </c>
      <c r="AU120" s="16">
        <f ca="1">_xll.DBRW($D$4,$E$7,$E$8,$E$9,$E$10,$E$12,$D120,$E$6,AU$18,AU$17)</f>
        <v>4.1744719999999997</v>
      </c>
      <c r="AV120" s="16">
        <f ca="1">_xll.DBRW($D$4,$E$7,$E$8,$E$9,$E$10,$E$12,$D120,$E$6,AV$18,AV$17)</f>
        <v>4.1744719999999997</v>
      </c>
      <c r="AW120" s="16">
        <f ca="1">_xll.DBRW($D$4,$E$7,$E$8,$E$9,$E$10,$E$12,$D120,$E$6,AW$18,AW$17)</f>
        <v>4.1744719999999997</v>
      </c>
      <c r="AX120" s="16">
        <f ca="1">_xll.DBRW($D$4,$E$7,$E$8,$E$9,$E$10,$E$12,$D120,$E$6,AX$18,AX$17)</f>
        <v>0.98604999999999987</v>
      </c>
      <c r="AY120" s="16">
        <f ca="1">_xll.DBRW($D$4,$E$7,$E$8,$E$9,$E$10,$E$12,$D120,$E$6,AY$18,AY$17)</f>
        <v>4.1744719999999997</v>
      </c>
      <c r="AZ120" s="16">
        <f ca="1">_xll.DBRW($D$4,$E$7,$E$8,$E$9,$E$10,$E$12,$D120,$E$6,AZ$18,AZ$17)</f>
        <v>2.0191850000000002</v>
      </c>
      <c r="BA120" s="16">
        <f ca="1">_xll.DBRW($D$4,$E$7,$E$8,$E$9,$E$10,$E$12,$D120,$E$6,BA$18,BA$17)</f>
        <v>4.1744719999999997</v>
      </c>
      <c r="BB120" s="16">
        <f ca="1">_xll.DBRW($D$4,$E$7,$E$8,$E$9,$E$10,$E$12,$D120,$E$6,BB$18,BB$17)</f>
        <v>4.1744719999999997</v>
      </c>
      <c r="BC120" s="16">
        <f ca="1">_xll.DBRW($D$4,$E$7,$E$8,$E$9,$E$10,$E$12,$D120,$E$6,BC$18,BC$17)</f>
        <v>4.1744719999999997</v>
      </c>
      <c r="BD120" s="16">
        <f ca="1">_xll.DBRW($D$4,$E$7,$E$8,$E$9,$E$10,$E$12,$D120,$E$6,BD$18,BD$17)</f>
        <v>0.40367327072522213</v>
      </c>
      <c r="BE120" s="16">
        <f ca="1">_xll.DBRW($D$4,$E$7,$E$8,$E$9,$E$10,$E$12,$D120,$E$6,BE$18,BE$17)</f>
        <v>-1.0754952299999998</v>
      </c>
      <c r="BF120" s="16">
        <f ca="1">_xll.DBRW($D$4,$E$7,$E$8,$E$9,$E$10,$E$12,$D120,$E$6,BF$18,BF$17)</f>
        <v>0</v>
      </c>
      <c r="BG120" s="26">
        <f ca="1">_xll.DBRW($D$4,$E$7,$E$8,$E$9,$E$10,$E$12,$D120,$E$6,BG$18,BG$17)</f>
        <v>0</v>
      </c>
      <c r="BH120" s="26">
        <f ca="1">_xll.DBRW($D$4,$E$7,$E$8,$E$9,$E$10,$E$12,$D120,$E$6,BH$18,BH$17)</f>
        <v>0</v>
      </c>
      <c r="BI120" s="26">
        <f ca="1">_xll.DBRW($D$4,$E$7,$E$8,$E$9,$E$10,$E$12,$D120,$E$6,BI$18,BI$17)</f>
        <v>0</v>
      </c>
      <c r="BJ120" s="26">
        <f ca="1">_xll.DBRW($D$4,$E$7,$E$8,$E$9,$E$10,$E$12,$D120,$E$6,BJ$18,BJ$17)</f>
        <v>0</v>
      </c>
      <c r="BK120" s="16">
        <f ca="1">_xll.DBRW($D$4,$E$7,$E$8,$E$9,$E$10,$E$12,$D120,$E$6,BK$18,BK$17)</f>
        <v>1.479168500725222</v>
      </c>
      <c r="BL120" s="16">
        <f ca="1">_xll.DBRW($D$4,$E$7,$E$8,$E$9,$E$10,$E$12,$D120,$E$6,BL$18,BL$17)</f>
        <v>12.255715649999996</v>
      </c>
      <c r="BM120" s="16">
        <f ca="1">_xll.DBRW($D$4,$E$7,$E$8,$E$9,$E$10,$E$12,$D120,$E$6,BM$18,BM$17)</f>
        <v>-4.3783728192089981</v>
      </c>
      <c r="BN120" s="16">
        <f ca="1">_xll.DBRW($D$4,$E$7,$E$8,$E$9,$E$10,$E$12,$D120,$E$6,BN$18,BN$17)</f>
        <v>0.35725150160521224</v>
      </c>
      <c r="BO120" s="16"/>
      <c r="BP120" s="16"/>
      <c r="BQ120" s="16"/>
      <c r="BR120" s="16"/>
      <c r="BS120" s="16">
        <f ca="1">_xll.DBRW($D$4,$E$7,$E$8,$E$9,$E$10,$E$12,$D120,$E$6,BS$18,BS$17)</f>
        <v>-1.1566931453325049</v>
      </c>
      <c r="BT120" s="16">
        <f ca="1">_xll.DBRW($D$4,$E$7,$E$8,$E$9,$E$10,$E$12,$D120,$E$6,BT$18,BT$17)</f>
        <v>9.4379894113527776E-2</v>
      </c>
      <c r="BU120" s="16"/>
      <c r="BV120" s="16"/>
      <c r="BW120" s="16"/>
      <c r="BX120" s="16"/>
      <c r="BY120" s="16">
        <f ca="1">_xll.DBRW($D$4,$E$7,$E$8,$E$9,$E$10,$E$12,$D120,$E$6,BY$18,BY$17)</f>
        <v>-0.94321280759029258</v>
      </c>
      <c r="BZ120" s="16">
        <f ca="1">_xll.DBRW($D$4,$E$7,$E$8,$E$9,$E$10,$E$12,$D120,$E$6,BZ$18,BZ$17)</f>
        <v>7.6961055113113117E-2</v>
      </c>
      <c r="CA120" s="16"/>
      <c r="CB120" s="16"/>
      <c r="CC120" s="16"/>
      <c r="CD120" s="16"/>
      <c r="CE120" s="16">
        <f ca="1">_xll.DBRW($D$4,$E$7,$E$8,$E$9,$E$10,$E$12,$D120,$E$6,CE$18,CE$17)</f>
        <v>-1.8252146400000002</v>
      </c>
      <c r="CF120" s="16">
        <f ca="1">_xll.DBRW($D$4,$E$7,$E$8,$E$9,$E$10,$E$12,$D120,$E$6,CF$18,CF$17)</f>
        <v>0.14892762627044148</v>
      </c>
      <c r="CG120" s="16"/>
      <c r="CH120" s="16"/>
      <c r="CI120" s="16"/>
      <c r="CJ120" s="16"/>
      <c r="CK120" s="16">
        <f ca="1">_xll.DBRW($D$4,$E$7,$E$8,$E$9,$E$10,$E$12,$D120,$E$6,CK$18,CK$17)</f>
        <v>-2.4730537371429806</v>
      </c>
      <c r="CL120" s="16">
        <f ca="1">_xll.DBRW($D$4,$E$7,$E$8,$E$9,$E$10,$E$12,$D120,$E$6,CL$18,CL$17)</f>
        <v>0.20178778683911303</v>
      </c>
      <c r="CM120" s="16"/>
      <c r="CN120" s="16"/>
      <c r="CO120" s="16"/>
      <c r="CP120" s="16"/>
      <c r="CQ120" s="16">
        <f ca="1">_xll.DBRW($D$4,$E$7,$E$8,$E$9,$E$10,$E$12,$D120,$E$6,CQ$18,CQ$17)</f>
        <v>0.21124799999999999</v>
      </c>
      <c r="CR120" s="16">
        <f ca="1">_xll.DBRW($D$4,$E$7,$E$8,$E$9,$E$10,$E$12,$D120,$E$6,CR$18,CR$17)</f>
        <v>4.6775837888299989</v>
      </c>
      <c r="CS120" s="16">
        <f ca="1">_xll.DBRW($D$4,$E$7,$E$8,$E$9,$E$10,$E$12,$D120,$E$6,CS$18,CS$17)</f>
        <v>4.6775837888299989</v>
      </c>
      <c r="CT120" s="16">
        <f ca="1">_xll.DBRW($D$4,$E$7,$E$8,$E$9,$E$10,$E$12,$D120,$E$6,CT$18,CT$17)</f>
        <v>4.6775837888299989</v>
      </c>
      <c r="CU120" s="16">
        <f ca="1">_xll.DBRW($D$4,$E$7,$E$8,$E$9,$E$10,$E$12,$D120,$E$6,CU$18,CU$17)</f>
        <v>1.133100995669885</v>
      </c>
      <c r="CV120" s="16">
        <f ca="1">_xll.DBRW($D$4,$E$7,$E$8,$E$9,$E$10,$E$12,$D120,$E$6,CV$18,CV$17)</f>
        <v>4.6775837888299989</v>
      </c>
      <c r="CW120" s="16">
        <f ca="1">_xll.DBRW($D$4,$E$7,$E$8,$E$9,$E$10,$E$12,$D120,$E$6,CW$18,CW$17)</f>
        <v>3.1456427943600005</v>
      </c>
      <c r="CX120" s="16">
        <f ca="1">_xll.DBRW($D$4,$E$7,$E$8,$E$9,$E$10,$E$12,$D120,$E$6,CX$18,CX$17)</f>
        <v>4.6775837888299989</v>
      </c>
      <c r="CY120" s="16">
        <f ca="1">_xll.DBRW($D$4,$E$7,$E$8,$E$9,$E$10,$E$12,$D120,$E$6,CY$18,CY$17)</f>
        <v>4.6775837888299989</v>
      </c>
      <c r="CZ120" s="16">
        <f ca="1">_xll.DBRW($D$4,$E$7,$E$8,$E$9,$E$10,$E$12,$D120,$E$6,CZ$18,CZ$17)</f>
        <v>4.6775837888299989</v>
      </c>
      <c r="DA120" s="26">
        <f t="shared" ca="1" si="108"/>
        <v>-0.45463843072522475</v>
      </c>
      <c r="DB120" s="26">
        <f t="shared" ca="1" si="109"/>
        <v>6.666455999999954E-2</v>
      </c>
      <c r="DC120" s="26">
        <f t="shared" ca="1" si="110"/>
        <v>0</v>
      </c>
      <c r="DD120" s="26">
        <f t="shared" ca="1" si="111"/>
        <v>0</v>
      </c>
      <c r="DE120" s="26">
        <f t="shared" ca="1" si="112"/>
        <v>0</v>
      </c>
      <c r="DF120" s="26">
        <f t="shared" ca="1" si="113"/>
        <v>0</v>
      </c>
      <c r="DG120" s="26">
        <f t="shared" ca="1" si="114"/>
        <v>0</v>
      </c>
      <c r="DH120" s="26">
        <f t="shared" ca="1" si="115"/>
        <v>-0.52130299072522457</v>
      </c>
      <c r="DI120" s="26">
        <f t="shared" ca="1" si="116"/>
        <v>-1.5772373099999957</v>
      </c>
      <c r="DJ120" s="26">
        <f t="shared" ca="1" si="117"/>
        <v>0.41786314920899859</v>
      </c>
      <c r="DK120" s="26">
        <f t="shared" ca="1" si="118"/>
        <v>1.3635580233453515E-2</v>
      </c>
      <c r="DL120" s="26"/>
      <c r="DM120" s="26"/>
      <c r="DN120" s="26"/>
      <c r="DO120" s="26"/>
      <c r="DP120" s="26">
        <f t="shared" ca="1" si="119"/>
        <v>0.12682029533250483</v>
      </c>
      <c r="DQ120" s="26">
        <f t="shared" ca="1" si="120"/>
        <v>2.0638890931346104E-3</v>
      </c>
      <c r="DR120" s="26"/>
      <c r="DS120" s="26"/>
      <c r="DT120" s="26"/>
      <c r="DU120" s="26"/>
      <c r="DV120" s="26">
        <f t="shared" ca="1" si="121"/>
        <v>4.0514747590292832E-2</v>
      </c>
      <c r="DW120" s="26">
        <f t="shared" ca="1" si="122"/>
        <v>7.5732793920781638E-3</v>
      </c>
      <c r="DX120" s="26"/>
      <c r="DY120" s="26"/>
      <c r="DZ120" s="26"/>
      <c r="EA120" s="26"/>
      <c r="EB120" s="26">
        <f t="shared" ca="1" si="123"/>
        <v>0.16310258000000055</v>
      </c>
      <c r="EC120" s="26">
        <f t="shared" ca="1" si="124"/>
        <v>6.7230204864071885E-3</v>
      </c>
      <c r="ED120" s="26"/>
      <c r="EE120" s="26"/>
      <c r="EF120" s="26"/>
      <c r="EG120" s="26"/>
      <c r="EH120" s="26">
        <f t="shared" ca="1" si="125"/>
        <v>0.3076335471429803</v>
      </c>
      <c r="EI120" s="29">
        <f t="shared" ca="1" si="126"/>
        <v>9.9580470394949883E-4</v>
      </c>
      <c r="EJ120" s="29"/>
      <c r="EK120" s="29"/>
      <c r="EL120" s="29"/>
      <c r="EM120" s="29"/>
      <c r="EN120" s="93"/>
      <c r="EO120" s="29"/>
      <c r="EP120" s="29"/>
      <c r="EQ120" s="29"/>
      <c r="ER120" s="29"/>
      <c r="ES120" s="29"/>
      <c r="ET120" s="29"/>
      <c r="EU120" s="93"/>
      <c r="EV120" s="29"/>
      <c r="EW120" s="29"/>
      <c r="EX120" s="29"/>
      <c r="EY120" s="29"/>
      <c r="EZ120" s="29"/>
      <c r="FA120" s="29"/>
      <c r="FB120" s="93"/>
      <c r="FC120" s="29"/>
      <c r="FD120" s="29"/>
      <c r="FE120" s="29"/>
      <c r="FF120" s="29"/>
      <c r="FG120" s="29"/>
      <c r="FH120" s="29"/>
      <c r="FI120" s="93"/>
      <c r="FJ120" s="29"/>
      <c r="FK120" s="29"/>
      <c r="FL120" s="29"/>
      <c r="FM120" s="29"/>
      <c r="FN120" s="29"/>
      <c r="FO120" s="29"/>
      <c r="FP120" s="93"/>
      <c r="FQ120" s="29"/>
      <c r="FR120" s="29"/>
      <c r="FS120" s="29"/>
      <c r="FT120" s="29"/>
      <c r="FU120" s="29"/>
      <c r="FV120" s="29"/>
    </row>
    <row r="121" spans="1:178" x14ac:dyDescent="0.25">
      <c r="A121" t="str">
        <f ca="1">IF(_xll.TM1RPTELISCONSOLIDATED($D$28,$D121),IF(_xll.TM1RPTELLEV($D$28,$D121)&lt;=3,_xll.TM1RPTELLEV($D$28,$D121),"D"),"N")</f>
        <v>N</v>
      </c>
      <c r="B121" t="str">
        <f ca="1">_xll.DBRA(Server&amp;"Management_organization",$D121,$B$27)</f>
        <v>L</v>
      </c>
      <c r="C121">
        <v>1</v>
      </c>
      <c r="D121" s="2" t="s">
        <v>164</v>
      </c>
      <c r="E121" s="26"/>
      <c r="F121" s="26"/>
      <c r="G121" s="16">
        <f ca="1">_xll.DBRW($D$4,$E$7,$E$8,$E$9,$E$10,$E$12,$D121,$E$6,G$18,G$17)</f>
        <v>-7.7501770000000636E-2</v>
      </c>
      <c r="H121" s="16">
        <f ca="1">_xll.DBRW($D$4,$E$7,$E$8,$E$9,$E$10,$E$12,$D121,$E$6,H$18,H$17)</f>
        <v>-0.20265138999999999</v>
      </c>
      <c r="I121" s="16">
        <f ca="1">_xll.DBRW($D$4,$E$7,$E$8,$E$9,$E$10,$E$12,$D121,$E$6,I$18,I$17)</f>
        <v>0</v>
      </c>
      <c r="J121" s="26">
        <f ca="1">_xll.DBRW($D$4,$E$7,$E$8,$E$9,$E$10,$E$12,$D121,$E$6,J$18,J$17)</f>
        <v>0</v>
      </c>
      <c r="K121" s="26">
        <f ca="1">_xll.DBRW($D$4,$E$7,$E$8,$E$9,$E$10,$E$12,$D121,$E$6,K$18,K$17)</f>
        <v>0</v>
      </c>
      <c r="L121" s="26">
        <f ca="1">_xll.DBRW($D$4,$E$7,$E$8,$E$9,$E$10,$E$12,$D121,$E$6,L$18,L$17)</f>
        <v>0</v>
      </c>
      <c r="M121" s="26">
        <f ca="1">_xll.DBRW($D$4,$E$7,$E$8,$E$9,$E$10,$E$12,$D121,$E$6,M$18,M$17)</f>
        <v>0</v>
      </c>
      <c r="N121" s="16">
        <f ca="1">_xll.DBRW($D$4,$E$7,$E$8,$E$9,$E$10,$E$12,$D121,$E$6,N$18,N$17)</f>
        <v>0.12514961999999935</v>
      </c>
      <c r="O121" s="16">
        <f ca="1">_xll.DBRW($D$4,$E$7,$E$8,$E$9,$E$10,$E$12,$D121,$E$6,O$18,O$17)</f>
        <v>3.4546297899999998</v>
      </c>
      <c r="P121" s="74">
        <f ca="1">_xll.DBRW($D$4,$E$7,$E$8,$E$9,$E$10,$E$12,$D121,$E$6,P$18,P$17)</f>
        <v>-1.31540433</v>
      </c>
      <c r="Q121" s="16">
        <f ca="1">_xll.DBRW($D$4,$E$7,$E$8,$E$9,$E$10,$E$12,$D121,$E$6,Q$18,Q$17)</f>
        <v>0.38076564204004043</v>
      </c>
      <c r="R121" s="16"/>
      <c r="S121" s="16"/>
      <c r="T121" s="16"/>
      <c r="U121" s="16"/>
      <c r="V121" s="16">
        <f ca="1">_xll.DBRW($D$4,$E$7,$E$8,$E$9,$E$10,$E$12,$D121,$E$6,V$18,V$17)</f>
        <v>-0.32501752</v>
      </c>
      <c r="W121" s="16">
        <f ca="1">_xll.DBRW($D$4,$E$7,$E$8,$E$9,$E$10,$E$12,$D121,$E$6,W$18,W$17)</f>
        <v>9.4081722140189158E-2</v>
      </c>
      <c r="X121" s="16"/>
      <c r="Y121" s="16"/>
      <c r="Z121" s="16"/>
      <c r="AA121" s="16"/>
      <c r="AB121" s="16">
        <f ca="1">_xll.DBRW($D$4,$E$7,$E$8,$E$9,$E$10,$E$12,$D121,$E$6,AB$18,AB$17)</f>
        <v>-0.26812065000000007</v>
      </c>
      <c r="AC121" s="16">
        <f ca="1">_xll.DBRW($D$4,$E$7,$E$8,$E$9,$E$10,$E$12,$D121,$E$6,AC$18,AC$17)</f>
        <v>7.7611977635380747E-2</v>
      </c>
      <c r="AD121" s="16"/>
      <c r="AE121" s="16"/>
      <c r="AF121" s="16"/>
      <c r="AG121" s="16"/>
      <c r="AH121" s="16">
        <f ca="1">_xll.DBRW($D$4,$E$7,$E$8,$E$9,$E$10,$E$12,$D121,$E$6,AH$18,AH$17)</f>
        <v>0</v>
      </c>
      <c r="AI121" s="16">
        <f ca="1">_xll.DBRW($D$4,$E$7,$E$8,$E$9,$E$10,$E$12,$D121,$E$6,AI$18,AI$17)</f>
        <v>0</v>
      </c>
      <c r="AJ121" s="16"/>
      <c r="AK121" s="16"/>
      <c r="AL121" s="16"/>
      <c r="AM121" s="16"/>
      <c r="AN121" s="16">
        <f ca="1">_xll.DBRW($D$4,$E$7,$E$8,$E$9,$E$10,$E$12,$D121,$E$6,AN$18,AN$17)</f>
        <v>-1.42093767</v>
      </c>
      <c r="AO121" s="16">
        <f ca="1">_xll.DBRW($D$4,$E$7,$E$8,$E$9,$E$10,$E$12,$D121,$E$6,AO$18,AO$17)</f>
        <v>0.41131402100252257</v>
      </c>
      <c r="AP121" s="16"/>
      <c r="AQ121" s="16"/>
      <c r="AR121" s="16"/>
      <c r="AS121" s="16"/>
      <c r="AT121" s="16">
        <f ca="1">_xll.DBRW($D$4,$E$7,$E$8,$E$9,$E$10,$E$12,$D121,$E$6,AT$18,AT$17)</f>
        <v>5.6087999999999992E-2</v>
      </c>
      <c r="AU121" s="16">
        <f ca="1">_xll.DBRW($D$4,$E$7,$E$8,$E$9,$E$10,$E$12,$D121,$E$6,AU$18,AU$17)</f>
        <v>0.91959099999999983</v>
      </c>
      <c r="AV121" s="16">
        <f ca="1">_xll.DBRW($D$4,$E$7,$E$8,$E$9,$E$10,$E$12,$D121,$E$6,AV$18,AV$17)</f>
        <v>0.91959099999999983</v>
      </c>
      <c r="AW121" s="16">
        <f ca="1">_xll.DBRW($D$4,$E$7,$E$8,$E$9,$E$10,$E$12,$D121,$E$6,AW$18,AW$17)</f>
        <v>0.91959099999999983</v>
      </c>
      <c r="AX121" s="16">
        <f ca="1">_xll.DBRW($D$4,$E$7,$E$8,$E$9,$E$10,$E$12,$D121,$E$6,AX$18,AX$17)</f>
        <v>0.28456158679999999</v>
      </c>
      <c r="AY121" s="16">
        <f ca="1">_xll.DBRW($D$4,$E$7,$E$8,$E$9,$E$10,$E$12,$D121,$E$6,AY$18,AY$17)</f>
        <v>0.91959099999999983</v>
      </c>
      <c r="AZ121" s="16">
        <f ca="1">_xll.DBRW($D$4,$E$7,$E$8,$E$9,$E$10,$E$12,$D121,$E$6,AZ$18,AZ$17)</f>
        <v>0.63896700000000006</v>
      </c>
      <c r="BA121" s="16">
        <f ca="1">_xll.DBRW($D$4,$E$7,$E$8,$E$9,$E$10,$E$12,$D121,$E$6,BA$18,BA$17)</f>
        <v>0.91959099999999983</v>
      </c>
      <c r="BB121" s="16">
        <f ca="1">_xll.DBRW($D$4,$E$7,$E$8,$E$9,$E$10,$E$12,$D121,$E$6,BB$18,BB$17)</f>
        <v>0.91959099999999983</v>
      </c>
      <c r="BC121" s="16">
        <f ca="1">_xll.DBRW($D$4,$E$7,$E$8,$E$9,$E$10,$E$12,$D121,$E$6,BC$18,BC$17)</f>
        <v>0.91959099999999983</v>
      </c>
      <c r="BD121" s="16">
        <f ca="1">_xll.DBRW($D$4,$E$7,$E$8,$E$9,$E$10,$E$12,$D121,$E$6,BD$18,BD$17)</f>
        <v>-4.3707341910000308E-2</v>
      </c>
      <c r="BE121" s="16">
        <f ca="1">_xll.DBRW($D$4,$E$7,$E$8,$E$9,$E$10,$E$12,$D121,$E$6,BE$18,BE$17)</f>
        <v>-0.21252923999999995</v>
      </c>
      <c r="BF121" s="16">
        <f ca="1">_xll.DBRW($D$4,$E$7,$E$8,$E$9,$E$10,$E$12,$D121,$E$6,BF$18,BF$17)</f>
        <v>0</v>
      </c>
      <c r="BG121" s="26">
        <f ca="1">_xll.DBRW($D$4,$E$7,$E$8,$E$9,$E$10,$E$12,$D121,$E$6,BG$18,BG$17)</f>
        <v>0</v>
      </c>
      <c r="BH121" s="26">
        <f ca="1">_xll.DBRW($D$4,$E$7,$E$8,$E$9,$E$10,$E$12,$D121,$E$6,BH$18,BH$17)</f>
        <v>0</v>
      </c>
      <c r="BI121" s="26">
        <f ca="1">_xll.DBRW($D$4,$E$7,$E$8,$E$9,$E$10,$E$12,$D121,$E$6,BI$18,BI$17)</f>
        <v>0</v>
      </c>
      <c r="BJ121" s="26">
        <f ca="1">_xll.DBRW($D$4,$E$7,$E$8,$E$9,$E$10,$E$12,$D121,$E$6,BJ$18,BJ$17)</f>
        <v>0</v>
      </c>
      <c r="BK121" s="16">
        <f ca="1">_xll.DBRW($D$4,$E$7,$E$8,$E$9,$E$10,$E$12,$D121,$E$6,BK$18,BK$17)</f>
        <v>0.16882189808999967</v>
      </c>
      <c r="BL121" s="16">
        <f ca="1">_xll.DBRW($D$4,$E$7,$E$8,$E$9,$E$10,$E$12,$D121,$E$6,BL$18,BL$17)</f>
        <v>3.7132371317499997</v>
      </c>
      <c r="BM121" s="16">
        <f ca="1">_xll.DBRW($D$4,$E$7,$E$8,$E$9,$E$10,$E$12,$D121,$E$6,BM$18,BM$17)</f>
        <v>-1.502848</v>
      </c>
      <c r="BN121" s="16">
        <f ca="1">_xll.DBRW($D$4,$E$7,$E$8,$E$9,$E$10,$E$12,$D121,$E$6,BN$18,BN$17)</f>
        <v>0.40472718188394491</v>
      </c>
      <c r="BO121" s="16"/>
      <c r="BP121" s="16"/>
      <c r="BQ121" s="16"/>
      <c r="BR121" s="16"/>
      <c r="BS121" s="16">
        <f ca="1">_xll.DBRW($D$4,$E$7,$E$8,$E$9,$E$10,$E$12,$D121,$E$6,BS$18,BS$17)</f>
        <v>-0.31532680999999996</v>
      </c>
      <c r="BT121" s="16">
        <f ca="1">_xll.DBRW($D$4,$E$7,$E$8,$E$9,$E$10,$E$12,$D121,$E$6,BT$18,BT$17)</f>
        <v>8.4919653340693221E-2</v>
      </c>
      <c r="BU121" s="16"/>
      <c r="BV121" s="16"/>
      <c r="BW121" s="16"/>
      <c r="BX121" s="16"/>
      <c r="BY121" s="16">
        <f ca="1">_xll.DBRW($D$4,$E$7,$E$8,$E$9,$E$10,$E$12,$D121,$E$6,BY$18,BY$17)</f>
        <v>-0.21495576366000002</v>
      </c>
      <c r="BZ121" s="16">
        <f ca="1">_xll.DBRW($D$4,$E$7,$E$8,$E$9,$E$10,$E$12,$D121,$E$6,BZ$18,BZ$17)</f>
        <v>5.7889048297514518E-2</v>
      </c>
      <c r="CA121" s="16"/>
      <c r="CB121" s="16"/>
      <c r="CC121" s="16"/>
      <c r="CD121" s="16"/>
      <c r="CE121" s="16">
        <f ca="1">_xll.DBRW($D$4,$E$7,$E$8,$E$9,$E$10,$E$12,$D121,$E$6,CE$18,CE$17)</f>
        <v>0</v>
      </c>
      <c r="CF121" s="16">
        <f ca="1">_xll.DBRW($D$4,$E$7,$E$8,$E$9,$E$10,$E$12,$D121,$E$6,CF$18,CF$17)</f>
        <v>0</v>
      </c>
      <c r="CG121" s="16"/>
      <c r="CH121" s="16"/>
      <c r="CI121" s="16"/>
      <c r="CJ121" s="16"/>
      <c r="CK121" s="16">
        <f ca="1">_xll.DBRW($D$4,$E$7,$E$8,$E$9,$E$10,$E$12,$D121,$E$6,CK$18,CK$17)</f>
        <v>-1.5112846599999998</v>
      </c>
      <c r="CL121" s="16">
        <f ca="1">_xll.DBRW($D$4,$E$7,$E$8,$E$9,$E$10,$E$12,$D121,$E$6,CL$18,CL$17)</f>
        <v>0.40699923176943759</v>
      </c>
      <c r="CM121" s="16"/>
      <c r="CN121" s="16"/>
      <c r="CO121" s="16"/>
      <c r="CP121" s="16"/>
      <c r="CQ121" s="16">
        <f ca="1">_xll.DBRW($D$4,$E$7,$E$8,$E$9,$E$10,$E$12,$D121,$E$6,CQ$18,CQ$17)</f>
        <v>6.4490000000000006E-2</v>
      </c>
      <c r="CR121" s="16">
        <f ca="1">_xll.DBRW($D$4,$E$7,$E$8,$E$9,$E$10,$E$12,$D121,$E$6,CR$18,CR$17)</f>
        <v>0.95337000000000016</v>
      </c>
      <c r="CS121" s="16">
        <f ca="1">_xll.DBRW($D$4,$E$7,$E$8,$E$9,$E$10,$E$12,$D121,$E$6,CS$18,CS$17)</f>
        <v>0.95337000000000016</v>
      </c>
      <c r="CT121" s="16">
        <f ca="1">_xll.DBRW($D$4,$E$7,$E$8,$E$9,$E$10,$E$12,$D121,$E$6,CT$18,CT$17)</f>
        <v>0.95337000000000016</v>
      </c>
      <c r="CU121" s="16">
        <f ca="1">_xll.DBRW($D$4,$E$7,$E$8,$E$9,$E$10,$E$12,$D121,$E$6,CU$18,CU$17)</f>
        <v>0.25913558879999993</v>
      </c>
      <c r="CV121" s="16">
        <f ca="1">_xll.DBRW($D$4,$E$7,$E$8,$E$9,$E$10,$E$12,$D121,$E$6,CV$18,CV$17)</f>
        <v>0.95337000000000016</v>
      </c>
      <c r="CW121" s="16">
        <f ca="1">_xll.DBRW($D$4,$E$7,$E$8,$E$9,$E$10,$E$12,$D121,$E$6,CW$18,CW$17)</f>
        <v>0.8708699999999997</v>
      </c>
      <c r="CX121" s="16">
        <f ca="1">_xll.DBRW($D$4,$E$7,$E$8,$E$9,$E$10,$E$12,$D121,$E$6,CX$18,CX$17)</f>
        <v>0.95337000000000016</v>
      </c>
      <c r="CY121" s="16">
        <f ca="1">_xll.DBRW($D$4,$E$7,$E$8,$E$9,$E$10,$E$12,$D121,$E$6,CY$18,CY$17)</f>
        <v>0.95337000000000016</v>
      </c>
      <c r="CZ121" s="16">
        <f ca="1">_xll.DBRW($D$4,$E$7,$E$8,$E$9,$E$10,$E$12,$D121,$E$6,CZ$18,CZ$17)</f>
        <v>0.95337000000000016</v>
      </c>
      <c r="DA121" s="26">
        <f t="shared" ca="1" si="108"/>
        <v>-3.3794428090000328E-2</v>
      </c>
      <c r="DB121" s="26">
        <f t="shared" ca="1" si="109"/>
        <v>9.8778499999999658E-3</v>
      </c>
      <c r="DC121" s="26">
        <f t="shared" ca="1" si="110"/>
        <v>0</v>
      </c>
      <c r="DD121" s="26">
        <f t="shared" ca="1" si="111"/>
        <v>0</v>
      </c>
      <c r="DE121" s="26">
        <f t="shared" ca="1" si="112"/>
        <v>0</v>
      </c>
      <c r="DF121" s="26">
        <f t="shared" ca="1" si="113"/>
        <v>0</v>
      </c>
      <c r="DG121" s="26">
        <f t="shared" ca="1" si="114"/>
        <v>0</v>
      </c>
      <c r="DH121" s="26">
        <f t="shared" ca="1" si="115"/>
        <v>-4.3672278090000322E-2</v>
      </c>
      <c r="DI121" s="26">
        <f t="shared" ca="1" si="116"/>
        <v>-0.25860734174999989</v>
      </c>
      <c r="DJ121" s="26">
        <f t="shared" ca="1" si="117"/>
        <v>0.18744366999999995</v>
      </c>
      <c r="DK121" s="26">
        <f t="shared" ca="1" si="118"/>
        <v>-2.3961539843904478E-2</v>
      </c>
      <c r="DL121" s="26"/>
      <c r="DM121" s="26"/>
      <c r="DN121" s="26"/>
      <c r="DO121" s="26"/>
      <c r="DP121" s="26">
        <f t="shared" ca="1" si="119"/>
        <v>-9.6907100000000468E-3</v>
      </c>
      <c r="DQ121" s="26">
        <f t="shared" ca="1" si="120"/>
        <v>9.1620687994959371E-3</v>
      </c>
      <c r="DR121" s="26"/>
      <c r="DS121" s="26"/>
      <c r="DT121" s="26"/>
      <c r="DU121" s="26"/>
      <c r="DV121" s="26">
        <f t="shared" ca="1" si="121"/>
        <v>-5.316488634000005E-2</v>
      </c>
      <c r="DW121" s="26">
        <f t="shared" ca="1" si="122"/>
        <v>1.9722929337866228E-2</v>
      </c>
      <c r="DX121" s="26"/>
      <c r="DY121" s="26"/>
      <c r="DZ121" s="26"/>
      <c r="EA121" s="26"/>
      <c r="EB121" s="26">
        <f t="shared" ca="1" si="123"/>
        <v>0</v>
      </c>
      <c r="EC121" s="26">
        <f t="shared" ca="1" si="124"/>
        <v>0</v>
      </c>
      <c r="ED121" s="26"/>
      <c r="EE121" s="26"/>
      <c r="EF121" s="26"/>
      <c r="EG121" s="26"/>
      <c r="EH121" s="26">
        <f t="shared" ca="1" si="125"/>
        <v>9.0346989999999794E-2</v>
      </c>
      <c r="EI121" s="29">
        <f t="shared" ca="1" si="126"/>
        <v>4.3147892330849813E-3</v>
      </c>
      <c r="EJ121" s="29"/>
      <c r="EK121" s="29"/>
      <c r="EL121" s="29"/>
      <c r="EM121" s="29"/>
      <c r="EN121" s="93"/>
      <c r="EO121" s="29"/>
      <c r="EP121" s="29"/>
      <c r="EQ121" s="29"/>
      <c r="ER121" s="29"/>
      <c r="ES121" s="29"/>
      <c r="ET121" s="29"/>
      <c r="EU121" s="93"/>
      <c r="EV121" s="29"/>
      <c r="EW121" s="29"/>
      <c r="EX121" s="29"/>
      <c r="EY121" s="29"/>
      <c r="EZ121" s="29"/>
      <c r="FA121" s="29"/>
      <c r="FB121" s="93"/>
      <c r="FC121" s="29"/>
      <c r="FD121" s="29"/>
      <c r="FE121" s="29"/>
      <c r="FF121" s="29"/>
      <c r="FG121" s="29"/>
      <c r="FH121" s="29"/>
      <c r="FI121" s="93"/>
      <c r="FJ121" s="29"/>
      <c r="FK121" s="29"/>
      <c r="FL121" s="29"/>
      <c r="FM121" s="29"/>
      <c r="FN121" s="29"/>
      <c r="FO121" s="29"/>
      <c r="FP121" s="93"/>
      <c r="FQ121" s="29"/>
      <c r="FR121" s="29"/>
      <c r="FS121" s="29"/>
      <c r="FT121" s="29"/>
      <c r="FU121" s="29"/>
      <c r="FV121" s="29"/>
    </row>
    <row r="122" spans="1:178" x14ac:dyDescent="0.25">
      <c r="A122" t="str">
        <f ca="1">IF(_xll.TM1RPTELISCONSOLIDATED($D$28,$D122),IF(_xll.TM1RPTELLEV($D$28,$D122)&lt;=3,_xll.TM1RPTELLEV($D$28,$D122),"D"),"N")</f>
        <v>N</v>
      </c>
      <c r="B122" t="str">
        <f ca="1">_xll.DBRA(Server&amp;"Management_organization",$D122,$B$27)</f>
        <v>L</v>
      </c>
      <c r="C122">
        <v>1</v>
      </c>
      <c r="D122" s="2" t="s">
        <v>165</v>
      </c>
      <c r="E122" s="26"/>
      <c r="F122" s="26"/>
      <c r="G122" s="16">
        <f ca="1">_xll.DBRW($D$4,$E$7,$E$8,$E$9,$E$10,$E$12,$D122,$E$6,G$18,G$17)</f>
        <v>-2.9709889999999982E-2</v>
      </c>
      <c r="H122" s="16">
        <f ca="1">_xll.DBRW($D$4,$E$7,$E$8,$E$9,$E$10,$E$12,$D122,$E$6,H$18,H$17)</f>
        <v>-1.1083040000000001E-2</v>
      </c>
      <c r="I122" s="16">
        <f ca="1">_xll.DBRW($D$4,$E$7,$E$8,$E$9,$E$10,$E$12,$D122,$E$6,I$18,I$17)</f>
        <v>0</v>
      </c>
      <c r="J122" s="26">
        <f ca="1">_xll.DBRW($D$4,$E$7,$E$8,$E$9,$E$10,$E$12,$D122,$E$6,J$18,J$17)</f>
        <v>0</v>
      </c>
      <c r="K122" s="26">
        <f ca="1">_xll.DBRW($D$4,$E$7,$E$8,$E$9,$E$10,$E$12,$D122,$E$6,K$18,K$17)</f>
        <v>0</v>
      </c>
      <c r="L122" s="26">
        <f ca="1">_xll.DBRW($D$4,$E$7,$E$8,$E$9,$E$10,$E$12,$D122,$E$6,L$18,L$17)</f>
        <v>0</v>
      </c>
      <c r="M122" s="26">
        <f ca="1">_xll.DBRW($D$4,$E$7,$E$8,$E$9,$E$10,$E$12,$D122,$E$6,M$18,M$17)</f>
        <v>0</v>
      </c>
      <c r="N122" s="16">
        <f ca="1">_xll.DBRW($D$4,$E$7,$E$8,$E$9,$E$10,$E$12,$D122,$E$6,N$18,N$17)</f>
        <v>-1.862684999999998E-2</v>
      </c>
      <c r="O122" s="16">
        <f ca="1">_xll.DBRW($D$4,$E$7,$E$8,$E$9,$E$10,$E$12,$D122,$E$6,O$18,O$17)</f>
        <v>6.0572990000000007E-2</v>
      </c>
      <c r="P122" s="74">
        <f ca="1">_xll.DBRW($D$4,$E$7,$E$8,$E$9,$E$10,$E$12,$D122,$E$6,P$18,P$17)</f>
        <v>-3.5800890000000002E-2</v>
      </c>
      <c r="Q122" s="16">
        <f ca="1">_xll.DBRW($D$4,$E$7,$E$8,$E$9,$E$10,$E$12,$D122,$E$6,Q$18,Q$17)</f>
        <v>0.59103719331008753</v>
      </c>
      <c r="R122" s="16"/>
      <c r="S122" s="16"/>
      <c r="T122" s="16"/>
      <c r="U122" s="16"/>
      <c r="V122" s="16">
        <f ca="1">_xll.DBRW($D$4,$E$7,$E$8,$E$9,$E$10,$E$12,$D122,$E$6,V$18,V$17)</f>
        <v>8.086402999999999E-2</v>
      </c>
      <c r="W122" s="16">
        <f ca="1">_xll.DBRW($D$4,$E$7,$E$8,$E$9,$E$10,$E$12,$D122,$E$6,W$18,W$17)</f>
        <v>-1.3349849495625028</v>
      </c>
      <c r="X122" s="16"/>
      <c r="Y122" s="16"/>
      <c r="Z122" s="16"/>
      <c r="AA122" s="16"/>
      <c r="AB122" s="16">
        <f ca="1">_xll.DBRW($D$4,$E$7,$E$8,$E$9,$E$10,$E$12,$D122,$E$6,AB$18,AB$17)</f>
        <v>0</v>
      </c>
      <c r="AC122" s="16">
        <f ca="1">_xll.DBRW($D$4,$E$7,$E$8,$E$9,$E$10,$E$12,$D122,$E$6,AC$18,AC$17)</f>
        <v>0</v>
      </c>
      <c r="AD122" s="16"/>
      <c r="AE122" s="16"/>
      <c r="AF122" s="16"/>
      <c r="AG122" s="16"/>
      <c r="AH122" s="16">
        <f ca="1">_xll.DBRW($D$4,$E$7,$E$8,$E$9,$E$10,$E$12,$D122,$E$6,AH$18,AH$17)</f>
        <v>-4.9977899999999994E-3</v>
      </c>
      <c r="AI122" s="16">
        <f ca="1">_xll.DBRW($D$4,$E$7,$E$8,$E$9,$E$10,$E$12,$D122,$E$6,AI$18,AI$17)</f>
        <v>8.250855703177272E-2</v>
      </c>
      <c r="AJ122" s="16"/>
      <c r="AK122" s="16"/>
      <c r="AL122" s="16"/>
      <c r="AM122" s="16"/>
      <c r="AN122" s="16">
        <f ca="1">_xll.DBRW($D$4,$E$7,$E$8,$E$9,$E$10,$E$12,$D122,$E$6,AN$18,AN$17)</f>
        <v>-0.11926518999999999</v>
      </c>
      <c r="AO122" s="16">
        <f ca="1">_xll.DBRW($D$4,$E$7,$E$8,$E$9,$E$10,$E$12,$D122,$E$6,AO$18,AO$17)</f>
        <v>1.9689500221138163</v>
      </c>
      <c r="AP122" s="16"/>
      <c r="AQ122" s="16"/>
      <c r="AR122" s="16"/>
      <c r="AS122" s="16"/>
      <c r="AT122" s="16">
        <f ca="1">_xll.DBRW($D$4,$E$7,$E$8,$E$9,$E$10,$E$12,$D122,$E$6,AT$18,AT$17)</f>
        <v>0</v>
      </c>
      <c r="AU122" s="16">
        <f ca="1">_xll.DBRW($D$4,$E$7,$E$8,$E$9,$E$10,$E$12,$D122,$E$6,AU$18,AU$17)</f>
        <v>0</v>
      </c>
      <c r="AV122" s="16">
        <f ca="1">_xll.DBRW($D$4,$E$7,$E$8,$E$9,$E$10,$E$12,$D122,$E$6,AV$18,AV$17)</f>
        <v>0</v>
      </c>
      <c r="AW122" s="16">
        <f ca="1">_xll.DBRW($D$4,$E$7,$E$8,$E$9,$E$10,$E$12,$D122,$E$6,AW$18,AW$17)</f>
        <v>0</v>
      </c>
      <c r="AX122" s="16">
        <f ca="1">_xll.DBRW($D$4,$E$7,$E$8,$E$9,$E$10,$E$12,$D122,$E$6,AX$18,AX$17)</f>
        <v>0</v>
      </c>
      <c r="AY122" s="16">
        <f ca="1">_xll.DBRW($D$4,$E$7,$E$8,$E$9,$E$10,$E$12,$D122,$E$6,AY$18,AY$17)</f>
        <v>0</v>
      </c>
      <c r="AZ122" s="16">
        <f ca="1">_xll.DBRW($D$4,$E$7,$E$8,$E$9,$E$10,$E$12,$D122,$E$6,AZ$18,AZ$17)</f>
        <v>0</v>
      </c>
      <c r="BA122" s="16">
        <f ca="1">_xll.DBRW($D$4,$E$7,$E$8,$E$9,$E$10,$E$12,$D122,$E$6,BA$18,BA$17)</f>
        <v>0</v>
      </c>
      <c r="BB122" s="16">
        <f ca="1">_xll.DBRW($D$4,$E$7,$E$8,$E$9,$E$10,$E$12,$D122,$E$6,BB$18,BB$17)</f>
        <v>0</v>
      </c>
      <c r="BC122" s="16">
        <f ca="1">_xll.DBRW($D$4,$E$7,$E$8,$E$9,$E$10,$E$12,$D122,$E$6,BC$18,BC$17)</f>
        <v>0</v>
      </c>
      <c r="BD122" s="16">
        <f ca="1">_xll.DBRW($D$4,$E$7,$E$8,$E$9,$E$10,$E$12,$D122,$E$6,BD$18,BD$17)</f>
        <v>-1.2657999999999999E-2</v>
      </c>
      <c r="BE122" s="16">
        <f ca="1">_xll.DBRW($D$4,$E$7,$E$8,$E$9,$E$10,$E$12,$D122,$E$6,BE$18,BE$17)</f>
        <v>-4.1470000000000005E-3</v>
      </c>
      <c r="BF122" s="16">
        <f ca="1">_xll.DBRW($D$4,$E$7,$E$8,$E$9,$E$10,$E$12,$D122,$E$6,BF$18,BF$17)</f>
        <v>0</v>
      </c>
      <c r="BG122" s="26">
        <f ca="1">_xll.DBRW($D$4,$E$7,$E$8,$E$9,$E$10,$E$12,$D122,$E$6,BG$18,BG$17)</f>
        <v>0</v>
      </c>
      <c r="BH122" s="26">
        <f ca="1">_xll.DBRW($D$4,$E$7,$E$8,$E$9,$E$10,$E$12,$D122,$E$6,BH$18,BH$17)</f>
        <v>0</v>
      </c>
      <c r="BI122" s="26">
        <f ca="1">_xll.DBRW($D$4,$E$7,$E$8,$E$9,$E$10,$E$12,$D122,$E$6,BI$18,BI$17)</f>
        <v>0</v>
      </c>
      <c r="BJ122" s="26">
        <f ca="1">_xll.DBRW($D$4,$E$7,$E$8,$E$9,$E$10,$E$12,$D122,$E$6,BJ$18,BJ$17)</f>
        <v>0</v>
      </c>
      <c r="BK122" s="16">
        <f ca="1">_xll.DBRW($D$4,$E$7,$E$8,$E$9,$E$10,$E$12,$D122,$E$6,BK$18,BK$17)</f>
        <v>-8.5109999999999995E-3</v>
      </c>
      <c r="BL122" s="16">
        <f ca="1">_xll.DBRW($D$4,$E$7,$E$8,$E$9,$E$10,$E$12,$D122,$E$6,BL$18,BL$17)</f>
        <v>0</v>
      </c>
      <c r="BM122" s="16">
        <f ca="1">_xll.DBRW($D$4,$E$7,$E$8,$E$9,$E$10,$E$12,$D122,$E$6,BM$18,BM$17)</f>
        <v>0</v>
      </c>
      <c r="BN122" s="16">
        <f ca="1">_xll.DBRW($D$4,$E$7,$E$8,$E$9,$E$10,$E$12,$D122,$E$6,BN$18,BN$17)</f>
        <v>0</v>
      </c>
      <c r="BO122" s="16"/>
      <c r="BP122" s="16"/>
      <c r="BQ122" s="16"/>
      <c r="BR122" s="16"/>
      <c r="BS122" s="16">
        <f ca="1">_xll.DBRW($D$4,$E$7,$E$8,$E$9,$E$10,$E$12,$D122,$E$6,BS$18,BS$17)</f>
        <v>0</v>
      </c>
      <c r="BT122" s="16">
        <f ca="1">_xll.DBRW($D$4,$E$7,$E$8,$E$9,$E$10,$E$12,$D122,$E$6,BT$18,BT$17)</f>
        <v>0</v>
      </c>
      <c r="BU122" s="16"/>
      <c r="BV122" s="16"/>
      <c r="BW122" s="16"/>
      <c r="BX122" s="16"/>
      <c r="BY122" s="16">
        <f ca="1">_xll.DBRW($D$4,$E$7,$E$8,$E$9,$E$10,$E$12,$D122,$E$6,BY$18,BY$17)</f>
        <v>0</v>
      </c>
      <c r="BZ122" s="16">
        <f ca="1">_xll.DBRW($D$4,$E$7,$E$8,$E$9,$E$10,$E$12,$D122,$E$6,BZ$18,BZ$17)</f>
        <v>0</v>
      </c>
      <c r="CA122" s="16"/>
      <c r="CB122" s="16"/>
      <c r="CC122" s="16"/>
      <c r="CD122" s="16"/>
      <c r="CE122" s="16">
        <f ca="1">_xll.DBRW($D$4,$E$7,$E$8,$E$9,$E$10,$E$12,$D122,$E$6,CE$18,CE$17)</f>
        <v>0</v>
      </c>
      <c r="CF122" s="16">
        <f ca="1">_xll.DBRW($D$4,$E$7,$E$8,$E$9,$E$10,$E$12,$D122,$E$6,CF$18,CF$17)</f>
        <v>0</v>
      </c>
      <c r="CG122" s="16"/>
      <c r="CH122" s="16"/>
      <c r="CI122" s="16"/>
      <c r="CJ122" s="16"/>
      <c r="CK122" s="16">
        <f ca="1">_xll.DBRW($D$4,$E$7,$E$8,$E$9,$E$10,$E$12,$D122,$E$6,CK$18,CK$17)</f>
        <v>-8.5109999999999995E-3</v>
      </c>
      <c r="CL122" s="16">
        <f ca="1">_xll.DBRW($D$4,$E$7,$E$8,$E$9,$E$10,$E$12,$D122,$E$6,CL$18,CL$17)</f>
        <v>0</v>
      </c>
      <c r="CM122" s="16"/>
      <c r="CN122" s="16"/>
      <c r="CO122" s="16"/>
      <c r="CP122" s="16"/>
      <c r="CQ122" s="16">
        <f ca="1">_xll.DBRW($D$4,$E$7,$E$8,$E$9,$E$10,$E$12,$D122,$E$6,CQ$18,CQ$17)</f>
        <v>0</v>
      </c>
      <c r="CR122" s="16">
        <f ca="1">_xll.DBRW($D$4,$E$7,$E$8,$E$9,$E$10,$E$12,$D122,$E$6,CR$18,CR$17)</f>
        <v>0</v>
      </c>
      <c r="CS122" s="16">
        <f ca="1">_xll.DBRW($D$4,$E$7,$E$8,$E$9,$E$10,$E$12,$D122,$E$6,CS$18,CS$17)</f>
        <v>0</v>
      </c>
      <c r="CT122" s="16">
        <f ca="1">_xll.DBRW($D$4,$E$7,$E$8,$E$9,$E$10,$E$12,$D122,$E$6,CT$18,CT$17)</f>
        <v>0</v>
      </c>
      <c r="CU122" s="16">
        <f ca="1">_xll.DBRW($D$4,$E$7,$E$8,$E$9,$E$10,$E$12,$D122,$E$6,CU$18,CU$17)</f>
        <v>0</v>
      </c>
      <c r="CV122" s="16">
        <f ca="1">_xll.DBRW($D$4,$E$7,$E$8,$E$9,$E$10,$E$12,$D122,$E$6,CV$18,CV$17)</f>
        <v>0</v>
      </c>
      <c r="CW122" s="16">
        <f ca="1">_xll.DBRW($D$4,$E$7,$E$8,$E$9,$E$10,$E$12,$D122,$E$6,CW$18,CW$17)</f>
        <v>0</v>
      </c>
      <c r="CX122" s="16">
        <f ca="1">_xll.DBRW($D$4,$E$7,$E$8,$E$9,$E$10,$E$12,$D122,$E$6,CX$18,CX$17)</f>
        <v>0</v>
      </c>
      <c r="CY122" s="16">
        <f ca="1">_xll.DBRW($D$4,$E$7,$E$8,$E$9,$E$10,$E$12,$D122,$E$6,CY$18,CY$17)</f>
        <v>0</v>
      </c>
      <c r="CZ122" s="16">
        <f ca="1">_xll.DBRW($D$4,$E$7,$E$8,$E$9,$E$10,$E$12,$D122,$E$6,CZ$18,CZ$17)</f>
        <v>0</v>
      </c>
      <c r="DA122" s="26">
        <f t="shared" ca="1" si="108"/>
        <v>-1.7051889999999983E-2</v>
      </c>
      <c r="DB122" s="26">
        <f t="shared" ca="1" si="109"/>
        <v>-6.9360400000000001E-3</v>
      </c>
      <c r="DC122" s="26">
        <f t="shared" ca="1" si="110"/>
        <v>0</v>
      </c>
      <c r="DD122" s="26">
        <f t="shared" ca="1" si="111"/>
        <v>0</v>
      </c>
      <c r="DE122" s="26">
        <f t="shared" ca="1" si="112"/>
        <v>0</v>
      </c>
      <c r="DF122" s="26">
        <f t="shared" ca="1" si="113"/>
        <v>0</v>
      </c>
      <c r="DG122" s="26">
        <f t="shared" ca="1" si="114"/>
        <v>0</v>
      </c>
      <c r="DH122" s="26">
        <f t="shared" ca="1" si="115"/>
        <v>-1.011584999999998E-2</v>
      </c>
      <c r="DI122" s="26">
        <f t="shared" ca="1" si="116"/>
        <v>6.0572990000000007E-2</v>
      </c>
      <c r="DJ122" s="26">
        <f t="shared" ca="1" si="117"/>
        <v>-3.5800890000000002E-2</v>
      </c>
      <c r="DK122" s="26">
        <f t="shared" ca="1" si="118"/>
        <v>0.59103719331008753</v>
      </c>
      <c r="DL122" s="26"/>
      <c r="DM122" s="26"/>
      <c r="DN122" s="26"/>
      <c r="DO122" s="26"/>
      <c r="DP122" s="26">
        <f t="shared" ca="1" si="119"/>
        <v>8.086402999999999E-2</v>
      </c>
      <c r="DQ122" s="26">
        <f t="shared" ca="1" si="120"/>
        <v>-1.3349849495625028</v>
      </c>
      <c r="DR122" s="26"/>
      <c r="DS122" s="26"/>
      <c r="DT122" s="26"/>
      <c r="DU122" s="26"/>
      <c r="DV122" s="26">
        <f t="shared" ca="1" si="121"/>
        <v>0</v>
      </c>
      <c r="DW122" s="26">
        <f t="shared" ca="1" si="122"/>
        <v>0</v>
      </c>
      <c r="DX122" s="26"/>
      <c r="DY122" s="26"/>
      <c r="DZ122" s="26"/>
      <c r="EA122" s="26"/>
      <c r="EB122" s="26">
        <f t="shared" ca="1" si="123"/>
        <v>-4.9977899999999994E-3</v>
      </c>
      <c r="EC122" s="26">
        <f t="shared" ca="1" si="124"/>
        <v>8.250855703177272E-2</v>
      </c>
      <c r="ED122" s="26"/>
      <c r="EE122" s="26"/>
      <c r="EF122" s="26"/>
      <c r="EG122" s="26"/>
      <c r="EH122" s="26">
        <f t="shared" ca="1" si="125"/>
        <v>-0.11075418999999999</v>
      </c>
      <c r="EI122" s="29">
        <f t="shared" ca="1" si="126"/>
        <v>1.9689500221138163</v>
      </c>
      <c r="EJ122" s="29"/>
      <c r="EK122" s="29"/>
      <c r="EL122" s="29"/>
      <c r="EM122" s="29"/>
      <c r="EN122" s="93"/>
      <c r="EO122" s="29"/>
      <c r="EP122" s="29"/>
      <c r="EQ122" s="29"/>
      <c r="ER122" s="29"/>
      <c r="ES122" s="29"/>
      <c r="ET122" s="29"/>
      <c r="EU122" s="93"/>
      <c r="EV122" s="29"/>
      <c r="EW122" s="29"/>
      <c r="EX122" s="29"/>
      <c r="EY122" s="29"/>
      <c r="EZ122" s="29"/>
      <c r="FA122" s="29"/>
      <c r="FB122" s="93"/>
      <c r="FC122" s="29"/>
      <c r="FD122" s="29"/>
      <c r="FE122" s="29"/>
      <c r="FF122" s="29"/>
      <c r="FG122" s="29"/>
      <c r="FH122" s="29"/>
      <c r="FI122" s="93"/>
      <c r="FJ122" s="29"/>
      <c r="FK122" s="29"/>
      <c r="FL122" s="29"/>
      <c r="FM122" s="29"/>
      <c r="FN122" s="29"/>
      <c r="FO122" s="29"/>
      <c r="FP122" s="93"/>
      <c r="FQ122" s="29"/>
      <c r="FR122" s="29"/>
      <c r="FS122" s="29"/>
      <c r="FT122" s="29"/>
      <c r="FU122" s="29"/>
      <c r="FV122" s="29"/>
    </row>
    <row r="123" spans="1:178" x14ac:dyDescent="0.25">
      <c r="A123" t="str">
        <f ca="1">IF(_xll.TM1RPTELISCONSOLIDATED($D$28,$D123),IF(_xll.TM1RPTELLEV($D$28,$D123)&lt;=3,_xll.TM1RPTELLEV($D$28,$D123),"D"),"N")</f>
        <v>N</v>
      </c>
      <c r="B123" t="str">
        <f ca="1">_xll.DBRA(Server&amp;"Management_organization",$D123,$B$27)</f>
        <v>L</v>
      </c>
      <c r="C123">
        <v>1</v>
      </c>
      <c r="D123" s="2" t="s">
        <v>123</v>
      </c>
      <c r="E123" s="26"/>
      <c r="F123" s="26"/>
      <c r="G123" s="16">
        <f ca="1">_xll.DBRW($D$4,$E$7,$E$8,$E$9,$E$10,$E$12,$D123,$E$6,G$18,G$17)</f>
        <v>-6.8321529999999631E-2</v>
      </c>
      <c r="H123" s="16">
        <f ca="1">_xll.DBRW($D$4,$E$7,$E$8,$E$9,$E$10,$E$12,$D123,$E$6,H$18,H$17)</f>
        <v>-0.82512876000000013</v>
      </c>
      <c r="I123" s="16">
        <f ca="1">_xll.DBRW($D$4,$E$7,$E$8,$E$9,$E$10,$E$12,$D123,$E$6,I$18,I$17)</f>
        <v>0</v>
      </c>
      <c r="J123" s="26">
        <f ca="1">_xll.DBRW($D$4,$E$7,$E$8,$E$9,$E$10,$E$12,$D123,$E$6,J$18,J$17)</f>
        <v>0</v>
      </c>
      <c r="K123" s="26">
        <f ca="1">_xll.DBRW($D$4,$E$7,$E$8,$E$9,$E$10,$E$12,$D123,$E$6,K$18,K$17)</f>
        <v>0</v>
      </c>
      <c r="L123" s="26">
        <f ca="1">_xll.DBRW($D$4,$E$7,$E$8,$E$9,$E$10,$E$12,$D123,$E$6,L$18,L$17)</f>
        <v>0</v>
      </c>
      <c r="M123" s="26">
        <f ca="1">_xll.DBRW($D$4,$E$7,$E$8,$E$9,$E$10,$E$12,$D123,$E$6,M$18,M$17)</f>
        <v>0</v>
      </c>
      <c r="N123" s="16">
        <f ca="1">_xll.DBRW($D$4,$E$7,$E$8,$E$9,$E$10,$E$12,$D123,$E$6,N$18,N$17)</f>
        <v>0.75680723000000039</v>
      </c>
      <c r="O123" s="16">
        <f ca="1">_xll.DBRW($D$4,$E$7,$E$8,$E$9,$E$10,$E$12,$D123,$E$6,O$18,O$17)</f>
        <v>8.2195110000000007</v>
      </c>
      <c r="P123" s="74">
        <f ca="1">_xll.DBRW($D$4,$E$7,$E$8,$E$9,$E$10,$E$12,$D123,$E$6,P$18,P$17)</f>
        <v>-3.3888524699999998</v>
      </c>
      <c r="Q123" s="16">
        <f ca="1">_xll.DBRW($D$4,$E$7,$E$8,$E$9,$E$10,$E$12,$D123,$E$6,Q$18,Q$17)</f>
        <v>0.4122936838943338</v>
      </c>
      <c r="R123" s="16"/>
      <c r="S123" s="16"/>
      <c r="T123" s="16"/>
      <c r="U123" s="16"/>
      <c r="V123" s="16">
        <f ca="1">_xll.DBRW($D$4,$E$7,$E$8,$E$9,$E$10,$E$12,$D123,$E$6,V$18,V$17)</f>
        <v>-0.78640488999999991</v>
      </c>
      <c r="W123" s="16">
        <f ca="1">_xll.DBRW($D$4,$E$7,$E$8,$E$9,$E$10,$E$12,$D123,$E$6,W$18,W$17)</f>
        <v>9.5675386285145173E-2</v>
      </c>
      <c r="X123" s="16"/>
      <c r="Y123" s="16"/>
      <c r="Z123" s="16"/>
      <c r="AA123" s="16"/>
      <c r="AB123" s="16">
        <f ca="1">_xll.DBRW($D$4,$E$7,$E$8,$E$9,$E$10,$E$12,$D123,$E$6,AB$18,AB$17)</f>
        <v>-0.97833659999999978</v>
      </c>
      <c r="AC123" s="16">
        <f ca="1">_xll.DBRW($D$4,$E$7,$E$8,$E$9,$E$10,$E$12,$D123,$E$6,AC$18,AC$17)</f>
        <v>0.11902613184652952</v>
      </c>
      <c r="AD123" s="16"/>
      <c r="AE123" s="16"/>
      <c r="AF123" s="16"/>
      <c r="AG123" s="16"/>
      <c r="AH123" s="16">
        <f ca="1">_xll.DBRW($D$4,$E$7,$E$8,$E$9,$E$10,$E$12,$D123,$E$6,AH$18,AH$17)</f>
        <v>-0.89942392000000004</v>
      </c>
      <c r="AI123" s="16">
        <f ca="1">_xll.DBRW($D$4,$E$7,$E$8,$E$9,$E$10,$E$12,$D123,$E$6,AI$18,AI$17)</f>
        <v>0.10942547798768078</v>
      </c>
      <c r="AJ123" s="16"/>
      <c r="AK123" s="16"/>
      <c r="AL123" s="16"/>
      <c r="AM123" s="16"/>
      <c r="AN123" s="16">
        <f ca="1">_xll.DBRW($D$4,$E$7,$E$8,$E$9,$E$10,$E$12,$D123,$E$6,AN$18,AN$17)</f>
        <v>-1.40968589</v>
      </c>
      <c r="AO123" s="16">
        <f ca="1">_xll.DBRW($D$4,$E$7,$E$8,$E$9,$E$10,$E$12,$D123,$E$6,AO$18,AO$17)</f>
        <v>0.1715048364799317</v>
      </c>
      <c r="AP123" s="16"/>
      <c r="AQ123" s="16"/>
      <c r="AR123" s="16"/>
      <c r="AS123" s="16"/>
      <c r="AT123" s="16">
        <f ca="1">_xll.DBRW($D$4,$E$7,$E$8,$E$9,$E$10,$E$12,$D123,$E$6,AT$18,AT$17)</f>
        <v>0.15489273000000003</v>
      </c>
      <c r="AU123" s="16">
        <f ca="1">_xll.DBRW($D$4,$E$7,$E$8,$E$9,$E$10,$E$12,$D123,$E$6,AU$18,AU$17)</f>
        <v>3.5428509999999993</v>
      </c>
      <c r="AV123" s="16">
        <f ca="1">_xll.DBRW($D$4,$E$7,$E$8,$E$9,$E$10,$E$12,$D123,$E$6,AV$18,AV$17)</f>
        <v>3.5428509999999993</v>
      </c>
      <c r="AW123" s="16">
        <f ca="1">_xll.DBRW($D$4,$E$7,$E$8,$E$9,$E$10,$E$12,$D123,$E$6,AW$18,AW$17)</f>
        <v>3.5428509999999993</v>
      </c>
      <c r="AX123" s="16">
        <f ca="1">_xll.DBRW($D$4,$E$7,$E$8,$E$9,$E$10,$E$12,$D123,$E$6,AX$18,AX$17)</f>
        <v>1.0301202999999999</v>
      </c>
      <c r="AY123" s="16">
        <f ca="1">_xll.DBRW($D$4,$E$7,$E$8,$E$9,$E$10,$E$12,$D123,$E$6,AY$18,AY$17)</f>
        <v>3.5428509999999993</v>
      </c>
      <c r="AZ123" s="16">
        <f ca="1">_xll.DBRW($D$4,$E$7,$E$8,$E$9,$E$10,$E$12,$D123,$E$6,AZ$18,AZ$17)</f>
        <v>2.617629</v>
      </c>
      <c r="BA123" s="16">
        <f ca="1">_xll.DBRW($D$4,$E$7,$E$8,$E$9,$E$10,$E$12,$D123,$E$6,BA$18,BA$17)</f>
        <v>3.5428509999999993</v>
      </c>
      <c r="BB123" s="16">
        <f ca="1">_xll.DBRW($D$4,$E$7,$E$8,$E$9,$E$10,$E$12,$D123,$E$6,BB$18,BB$17)</f>
        <v>3.5428509999999993</v>
      </c>
      <c r="BC123" s="16">
        <f ca="1">_xll.DBRW($D$4,$E$7,$E$8,$E$9,$E$10,$E$12,$D123,$E$6,BC$18,BC$17)</f>
        <v>3.5428509999999993</v>
      </c>
      <c r="BD123" s="16">
        <f ca="1">_xll.DBRW($D$4,$E$7,$E$8,$E$9,$E$10,$E$12,$D123,$E$6,BD$18,BD$17)</f>
        <v>0.31454103878333273</v>
      </c>
      <c r="BE123" s="16">
        <f ca="1">_xll.DBRW($D$4,$E$7,$E$8,$E$9,$E$10,$E$12,$D123,$E$6,BE$18,BE$17)</f>
        <v>-0.8270648666666669</v>
      </c>
      <c r="BF123" s="16">
        <f ca="1">_xll.DBRW($D$4,$E$7,$E$8,$E$9,$E$10,$E$12,$D123,$E$6,BF$18,BF$17)</f>
        <v>0</v>
      </c>
      <c r="BG123" s="26">
        <f ca="1">_xll.DBRW($D$4,$E$7,$E$8,$E$9,$E$10,$E$12,$D123,$E$6,BG$18,BG$17)</f>
        <v>0</v>
      </c>
      <c r="BH123" s="26">
        <f ca="1">_xll.DBRW($D$4,$E$7,$E$8,$E$9,$E$10,$E$12,$D123,$E$6,BH$18,BH$17)</f>
        <v>0</v>
      </c>
      <c r="BI123" s="26">
        <f ca="1">_xll.DBRW($D$4,$E$7,$E$8,$E$9,$E$10,$E$12,$D123,$E$6,BI$18,BI$17)</f>
        <v>0</v>
      </c>
      <c r="BJ123" s="26">
        <f ca="1">_xll.DBRW($D$4,$E$7,$E$8,$E$9,$E$10,$E$12,$D123,$E$6,BJ$18,BJ$17)</f>
        <v>0</v>
      </c>
      <c r="BK123" s="16">
        <f ca="1">_xll.DBRW($D$4,$E$7,$E$8,$E$9,$E$10,$E$12,$D123,$E$6,BK$18,BK$17)</f>
        <v>1.1416059054499996</v>
      </c>
      <c r="BL123" s="16">
        <f ca="1">_xll.DBRW($D$4,$E$7,$E$8,$E$9,$E$10,$E$12,$D123,$E$6,BL$18,BL$17)</f>
        <v>9.1443469099999994</v>
      </c>
      <c r="BM123" s="16">
        <f ca="1">_xll.DBRW($D$4,$E$7,$E$8,$E$9,$E$10,$E$12,$D123,$E$6,BM$18,BM$17)</f>
        <v>-3.7066089999999998</v>
      </c>
      <c r="BN123" s="16">
        <f ca="1">_xll.DBRW($D$4,$E$7,$E$8,$E$9,$E$10,$E$12,$D123,$E$6,BN$18,BN$17)</f>
        <v>0.40534431124289005</v>
      </c>
      <c r="BO123" s="16"/>
      <c r="BP123" s="16"/>
      <c r="BQ123" s="16"/>
      <c r="BR123" s="16"/>
      <c r="BS123" s="16">
        <f ca="1">_xll.DBRW($D$4,$E$7,$E$8,$E$9,$E$10,$E$12,$D123,$E$6,BS$18,BS$17)</f>
        <v>-0.82375603479999993</v>
      </c>
      <c r="BT123" s="16">
        <f ca="1">_xll.DBRW($D$4,$E$7,$E$8,$E$9,$E$10,$E$12,$D123,$E$6,BT$18,BT$17)</f>
        <v>9.0083637782722742E-2</v>
      </c>
      <c r="BU123" s="16"/>
      <c r="BV123" s="16"/>
      <c r="BW123" s="16"/>
      <c r="BX123" s="16"/>
      <c r="BY123" s="16">
        <f ca="1">_xll.DBRW($D$4,$E$7,$E$8,$E$9,$E$10,$E$12,$D123,$E$6,BY$18,BY$17)</f>
        <v>-0.9528443097499999</v>
      </c>
      <c r="BZ123" s="16">
        <f ca="1">_xll.DBRW($D$4,$E$7,$E$8,$E$9,$E$10,$E$12,$D123,$E$6,BZ$18,BZ$17)</f>
        <v>0.1042003676290973</v>
      </c>
      <c r="CA123" s="16"/>
      <c r="CB123" s="16"/>
      <c r="CC123" s="16"/>
      <c r="CD123" s="16"/>
      <c r="CE123" s="16">
        <f ca="1">_xll.DBRW($D$4,$E$7,$E$8,$E$9,$E$10,$E$12,$D123,$E$6,CE$18,CE$17)</f>
        <v>-0.98341616000000009</v>
      </c>
      <c r="CF123" s="16">
        <f ca="1">_xll.DBRW($D$4,$E$7,$E$8,$E$9,$E$10,$E$12,$D123,$E$6,CF$18,CF$17)</f>
        <v>0.10754361898984431</v>
      </c>
      <c r="CG123" s="16"/>
      <c r="CH123" s="16"/>
      <c r="CI123" s="16"/>
      <c r="CJ123" s="16"/>
      <c r="CK123" s="16">
        <f ca="1">_xll.DBRW($D$4,$E$7,$E$8,$E$9,$E$10,$E$12,$D123,$E$6,CK$18,CK$17)</f>
        <v>-1.5361155</v>
      </c>
      <c r="CL123" s="16">
        <f ca="1">_xll.DBRW($D$4,$E$7,$E$8,$E$9,$E$10,$E$12,$D123,$E$6,CL$18,CL$17)</f>
        <v>0.16798526074291292</v>
      </c>
      <c r="CM123" s="16"/>
      <c r="CN123" s="16"/>
      <c r="CO123" s="16"/>
      <c r="CP123" s="16"/>
      <c r="CQ123" s="16">
        <f ca="1">_xll.DBRW($D$4,$E$7,$E$8,$E$9,$E$10,$E$12,$D123,$E$6,CQ$18,CQ$17)</f>
        <v>0.16828899999999999</v>
      </c>
      <c r="CR123" s="16">
        <f ca="1">_xll.DBRW($D$4,$E$7,$E$8,$E$9,$E$10,$E$12,$D123,$E$6,CR$18,CR$17)</f>
        <v>3.9434179999999999</v>
      </c>
      <c r="CS123" s="16">
        <f ca="1">_xll.DBRW($D$4,$E$7,$E$8,$E$9,$E$10,$E$12,$D123,$E$6,CS$18,CS$17)</f>
        <v>3.9434179999999999</v>
      </c>
      <c r="CT123" s="16">
        <f ca="1">_xll.DBRW($D$4,$E$7,$E$8,$E$9,$E$10,$E$12,$D123,$E$6,CT$18,CT$17)</f>
        <v>3.9434179999999999</v>
      </c>
      <c r="CU123" s="16">
        <f ca="1">_xll.DBRW($D$4,$E$7,$E$8,$E$9,$E$10,$E$12,$D123,$E$6,CU$18,CU$17)</f>
        <v>1.1434374999999997</v>
      </c>
      <c r="CV123" s="16">
        <f ca="1">_xll.DBRW($D$4,$E$7,$E$8,$E$9,$E$10,$E$12,$D123,$E$6,CV$18,CV$17)</f>
        <v>3.9434179999999999</v>
      </c>
      <c r="CW123" s="16">
        <f ca="1">_xll.DBRW($D$4,$E$7,$E$8,$E$9,$E$10,$E$12,$D123,$E$6,CW$18,CW$17)</f>
        <v>2.9702029999999997</v>
      </c>
      <c r="CX123" s="16">
        <f ca="1">_xll.DBRW($D$4,$E$7,$E$8,$E$9,$E$10,$E$12,$D123,$E$6,CX$18,CX$17)</f>
        <v>3.9434179999999999</v>
      </c>
      <c r="CY123" s="16">
        <f ca="1">_xll.DBRW($D$4,$E$7,$E$8,$E$9,$E$10,$E$12,$D123,$E$6,CY$18,CY$17)</f>
        <v>3.9434179999999999</v>
      </c>
      <c r="CZ123" s="16">
        <f ca="1">_xll.DBRW($D$4,$E$7,$E$8,$E$9,$E$10,$E$12,$D123,$E$6,CZ$18,CZ$17)</f>
        <v>3.9434179999999999</v>
      </c>
      <c r="DA123" s="26">
        <f t="shared" ca="1" si="108"/>
        <v>-0.38286256878333236</v>
      </c>
      <c r="DB123" s="26">
        <f t="shared" ca="1" si="109"/>
        <v>1.9361066666667703E-3</v>
      </c>
      <c r="DC123" s="26">
        <f t="shared" ca="1" si="110"/>
        <v>0</v>
      </c>
      <c r="DD123" s="26">
        <f t="shared" ca="1" si="111"/>
        <v>0</v>
      </c>
      <c r="DE123" s="26">
        <f t="shared" ca="1" si="112"/>
        <v>0</v>
      </c>
      <c r="DF123" s="26">
        <f t="shared" ca="1" si="113"/>
        <v>0</v>
      </c>
      <c r="DG123" s="26">
        <f t="shared" ca="1" si="114"/>
        <v>0</v>
      </c>
      <c r="DH123" s="26">
        <f t="shared" ca="1" si="115"/>
        <v>-0.38479867544999924</v>
      </c>
      <c r="DI123" s="26">
        <f t="shared" ca="1" si="116"/>
        <v>-0.92483590999999876</v>
      </c>
      <c r="DJ123" s="26">
        <f t="shared" ca="1" si="117"/>
        <v>0.31775653000000004</v>
      </c>
      <c r="DK123" s="26">
        <f t="shared" ca="1" si="118"/>
        <v>6.9493726514437415E-3</v>
      </c>
      <c r="DL123" s="26"/>
      <c r="DM123" s="26"/>
      <c r="DN123" s="26"/>
      <c r="DO123" s="26"/>
      <c r="DP123" s="26">
        <f t="shared" ca="1" si="119"/>
        <v>3.7351144800000013E-2</v>
      </c>
      <c r="DQ123" s="26">
        <f t="shared" ca="1" si="120"/>
        <v>5.5917485024224306E-3</v>
      </c>
      <c r="DR123" s="26"/>
      <c r="DS123" s="26"/>
      <c r="DT123" s="26"/>
      <c r="DU123" s="26"/>
      <c r="DV123" s="26">
        <f t="shared" ca="1" si="121"/>
        <v>-2.5492290249999883E-2</v>
      </c>
      <c r="DW123" s="26">
        <f t="shared" ca="1" si="122"/>
        <v>1.4825764217432216E-2</v>
      </c>
      <c r="DX123" s="26"/>
      <c r="DY123" s="26"/>
      <c r="DZ123" s="26"/>
      <c r="EA123" s="26"/>
      <c r="EB123" s="26">
        <f t="shared" ca="1" si="123"/>
        <v>8.3992240000000051E-2</v>
      </c>
      <c r="EC123" s="26">
        <f t="shared" ca="1" si="124"/>
        <v>1.8818589978364664E-3</v>
      </c>
      <c r="ED123" s="26"/>
      <c r="EE123" s="26"/>
      <c r="EF123" s="26"/>
      <c r="EG123" s="26"/>
      <c r="EH123" s="26">
        <f t="shared" ca="1" si="125"/>
        <v>0.12642960999999997</v>
      </c>
      <c r="EI123" s="29">
        <f t="shared" ca="1" si="126"/>
        <v>3.5195757370187764E-3</v>
      </c>
      <c r="EJ123" s="29"/>
      <c r="EK123" s="29"/>
      <c r="EL123" s="29"/>
      <c r="EM123" s="29"/>
      <c r="EN123" s="93"/>
      <c r="EO123" s="29"/>
      <c r="EP123" s="29"/>
      <c r="EQ123" s="29"/>
      <c r="ER123" s="29"/>
      <c r="ES123" s="29"/>
      <c r="ET123" s="29"/>
      <c r="EU123" s="93"/>
      <c r="EV123" s="29"/>
      <c r="EW123" s="29"/>
      <c r="EX123" s="29"/>
      <c r="EY123" s="29"/>
      <c r="EZ123" s="29"/>
      <c r="FA123" s="29"/>
      <c r="FB123" s="93"/>
      <c r="FC123" s="29"/>
      <c r="FD123" s="29"/>
      <c r="FE123" s="29"/>
      <c r="FF123" s="29"/>
      <c r="FG123" s="29"/>
      <c r="FH123" s="29"/>
      <c r="FI123" s="93"/>
      <c r="FJ123" s="29"/>
      <c r="FK123" s="29"/>
      <c r="FL123" s="29"/>
      <c r="FM123" s="29"/>
      <c r="FN123" s="29"/>
      <c r="FO123" s="29"/>
      <c r="FP123" s="93"/>
      <c r="FQ123" s="29"/>
      <c r="FR123" s="29"/>
      <c r="FS123" s="29"/>
      <c r="FT123" s="29"/>
      <c r="FU123" s="29"/>
      <c r="FV123" s="29"/>
    </row>
    <row r="124" spans="1:178" x14ac:dyDescent="0.25">
      <c r="A124" t="str">
        <f ca="1">IF(_xll.TM1RPTELISCONSOLIDATED($D$28,$D124),IF(_xll.TM1RPTELLEV($D$28,$D124)&lt;=3,_xll.TM1RPTELLEV($D$28,$D124),"D"),"N")</f>
        <v>N</v>
      </c>
      <c r="B124" t="str">
        <f ca="1">_xll.DBRA(Server&amp;"Management_organization",$D124,$B$27)</f>
        <v>L</v>
      </c>
      <c r="C124">
        <v>1</v>
      </c>
      <c r="D124" s="2" t="s">
        <v>124</v>
      </c>
      <c r="E124" s="26"/>
      <c r="F124" s="26"/>
      <c r="G124" s="16">
        <f ca="1">_xll.DBRW($D$4,$E$7,$E$8,$E$9,$E$10,$E$12,$D124,$E$6,G$18,G$17)</f>
        <v>-1.1251570000000551E-2</v>
      </c>
      <c r="H124" s="16">
        <f ca="1">_xll.DBRW($D$4,$E$7,$E$8,$E$9,$E$10,$E$12,$D124,$E$6,H$18,H$17)</f>
        <v>-0.35876151000000001</v>
      </c>
      <c r="I124" s="16">
        <f ca="1">_xll.DBRW($D$4,$E$7,$E$8,$E$9,$E$10,$E$12,$D124,$E$6,I$18,I$17)</f>
        <v>0</v>
      </c>
      <c r="J124" s="26">
        <f ca="1">_xll.DBRW($D$4,$E$7,$E$8,$E$9,$E$10,$E$12,$D124,$E$6,J$18,J$17)</f>
        <v>0</v>
      </c>
      <c r="K124" s="26">
        <f ca="1">_xll.DBRW($D$4,$E$7,$E$8,$E$9,$E$10,$E$12,$D124,$E$6,K$18,K$17)</f>
        <v>0</v>
      </c>
      <c r="L124" s="26">
        <f ca="1">_xll.DBRW($D$4,$E$7,$E$8,$E$9,$E$10,$E$12,$D124,$E$6,L$18,L$17)</f>
        <v>0</v>
      </c>
      <c r="M124" s="26">
        <f ca="1">_xll.DBRW($D$4,$E$7,$E$8,$E$9,$E$10,$E$12,$D124,$E$6,M$18,M$17)</f>
        <v>0</v>
      </c>
      <c r="N124" s="16">
        <f ca="1">_xll.DBRW($D$4,$E$7,$E$8,$E$9,$E$10,$E$12,$D124,$E$6,N$18,N$17)</f>
        <v>0.34750993999999946</v>
      </c>
      <c r="O124" s="16">
        <f ca="1">_xll.DBRW($D$4,$E$7,$E$8,$E$9,$E$10,$E$12,$D124,$E$6,O$18,O$17)</f>
        <v>6.6684815499999992</v>
      </c>
      <c r="P124" s="74">
        <f ca="1">_xll.DBRW($D$4,$E$7,$E$8,$E$9,$E$10,$E$12,$D124,$E$6,P$18,P$17)</f>
        <v>-2.7673576300000002</v>
      </c>
      <c r="Q124" s="16">
        <f ca="1">_xll.DBRW($D$4,$E$7,$E$8,$E$9,$E$10,$E$12,$D124,$E$6,Q$18,Q$17)</f>
        <v>0.41499067055227895</v>
      </c>
      <c r="R124" s="16"/>
      <c r="S124" s="16"/>
      <c r="T124" s="16"/>
      <c r="U124" s="16"/>
      <c r="V124" s="16">
        <f ca="1">_xll.DBRW($D$4,$E$7,$E$8,$E$9,$E$10,$E$12,$D124,$E$6,V$18,V$17)</f>
        <v>-0.57352801000000009</v>
      </c>
      <c r="W124" s="16">
        <f ca="1">_xll.DBRW($D$4,$E$7,$E$8,$E$9,$E$10,$E$12,$D124,$E$6,W$18,W$17)</f>
        <v>8.6005787929337552E-2</v>
      </c>
      <c r="X124" s="16"/>
      <c r="Y124" s="16"/>
      <c r="Z124" s="16"/>
      <c r="AA124" s="16"/>
      <c r="AB124" s="16">
        <f ca="1">_xll.DBRW($D$4,$E$7,$E$8,$E$9,$E$10,$E$12,$D124,$E$6,AB$18,AB$17)</f>
        <v>-0.73938015000000012</v>
      </c>
      <c r="AC124" s="16">
        <f ca="1">_xll.DBRW($D$4,$E$7,$E$8,$E$9,$E$10,$E$12,$D124,$E$6,AC$18,AC$17)</f>
        <v>0.110876838221139</v>
      </c>
      <c r="AD124" s="16"/>
      <c r="AE124" s="16"/>
      <c r="AF124" s="16"/>
      <c r="AG124" s="16"/>
      <c r="AH124" s="16">
        <f ca="1">_xll.DBRW($D$4,$E$7,$E$8,$E$9,$E$10,$E$12,$D124,$E$6,AH$18,AH$17)</f>
        <v>-1.1873590799999998</v>
      </c>
      <c r="AI124" s="16">
        <f ca="1">_xll.DBRW($D$4,$E$7,$E$8,$E$9,$E$10,$E$12,$D124,$E$6,AI$18,AI$17)</f>
        <v>0.17805538953616809</v>
      </c>
      <c r="AJ124" s="16"/>
      <c r="AK124" s="16"/>
      <c r="AL124" s="16"/>
      <c r="AM124" s="16"/>
      <c r="AN124" s="16">
        <f ca="1">_xll.DBRW($D$4,$E$7,$E$8,$E$9,$E$10,$E$12,$D124,$E$6,AN$18,AN$17)</f>
        <v>-1.0533467400000003</v>
      </c>
      <c r="AO124" s="16">
        <f ca="1">_xll.DBRW($D$4,$E$7,$E$8,$E$9,$E$10,$E$12,$D124,$E$6,AO$18,AO$17)</f>
        <v>0.15795900942396704</v>
      </c>
      <c r="AP124" s="16"/>
      <c r="AQ124" s="16"/>
      <c r="AR124" s="16"/>
      <c r="AS124" s="16"/>
      <c r="AT124" s="16">
        <f ca="1">_xll.DBRW($D$4,$E$7,$E$8,$E$9,$E$10,$E$12,$D124,$E$6,AT$18,AT$17)</f>
        <v>0.11320796999999999</v>
      </c>
      <c r="AU124" s="16">
        <f ca="1">_xll.DBRW($D$4,$E$7,$E$8,$E$9,$E$10,$E$12,$D124,$E$6,AU$18,AU$17)</f>
        <v>2.7313959999999997</v>
      </c>
      <c r="AV124" s="16">
        <f ca="1">_xll.DBRW($D$4,$E$7,$E$8,$E$9,$E$10,$E$12,$D124,$E$6,AV$18,AV$17)</f>
        <v>2.7313959999999997</v>
      </c>
      <c r="AW124" s="16">
        <f ca="1">_xll.DBRW($D$4,$E$7,$E$8,$E$9,$E$10,$E$12,$D124,$E$6,AW$18,AW$17)</f>
        <v>2.7313959999999997</v>
      </c>
      <c r="AX124" s="16">
        <f ca="1">_xll.DBRW($D$4,$E$7,$E$8,$E$9,$E$10,$E$12,$D124,$E$6,AX$18,AX$17)</f>
        <v>0.81326401999999987</v>
      </c>
      <c r="AY124" s="16">
        <f ca="1">_xll.DBRW($D$4,$E$7,$E$8,$E$9,$E$10,$E$12,$D124,$E$6,AY$18,AY$17)</f>
        <v>2.7313959999999997</v>
      </c>
      <c r="AZ124" s="16">
        <f ca="1">_xll.DBRW($D$4,$E$7,$E$8,$E$9,$E$10,$E$12,$D124,$E$6,AZ$18,AZ$17)</f>
        <v>1.5525429999999998</v>
      </c>
      <c r="BA124" s="16">
        <f ca="1">_xll.DBRW($D$4,$E$7,$E$8,$E$9,$E$10,$E$12,$D124,$E$6,BA$18,BA$17)</f>
        <v>2.7313959999999997</v>
      </c>
      <c r="BB124" s="16">
        <f ca="1">_xll.DBRW($D$4,$E$7,$E$8,$E$9,$E$10,$E$12,$D124,$E$6,BB$18,BB$17)</f>
        <v>2.7313959999999997</v>
      </c>
      <c r="BC124" s="16">
        <f ca="1">_xll.DBRW($D$4,$E$7,$E$8,$E$9,$E$10,$E$12,$D124,$E$6,BC$18,BC$17)</f>
        <v>2.7313959999999997</v>
      </c>
      <c r="BD124" s="16">
        <f ca="1">_xll.DBRW($D$4,$E$7,$E$8,$E$9,$E$10,$E$12,$D124,$E$6,BD$18,BD$17)</f>
        <v>-0.53099521377324466</v>
      </c>
      <c r="BE124" s="16">
        <f ca="1">_xll.DBRW($D$4,$E$7,$E$8,$E$9,$E$10,$E$12,$D124,$E$6,BE$18,BE$17)</f>
        <v>-0.74585433333333317</v>
      </c>
      <c r="BF124" s="16">
        <f ca="1">_xll.DBRW($D$4,$E$7,$E$8,$E$9,$E$10,$E$12,$D124,$E$6,BF$18,BF$17)</f>
        <v>0</v>
      </c>
      <c r="BG124" s="26">
        <f ca="1">_xll.DBRW($D$4,$E$7,$E$8,$E$9,$E$10,$E$12,$D124,$E$6,BG$18,BG$17)</f>
        <v>0</v>
      </c>
      <c r="BH124" s="26">
        <f ca="1">_xll.DBRW($D$4,$E$7,$E$8,$E$9,$E$10,$E$12,$D124,$E$6,BH$18,BH$17)</f>
        <v>0</v>
      </c>
      <c r="BI124" s="26">
        <f ca="1">_xll.DBRW($D$4,$E$7,$E$8,$E$9,$E$10,$E$12,$D124,$E$6,BI$18,BI$17)</f>
        <v>0</v>
      </c>
      <c r="BJ124" s="26">
        <f ca="1">_xll.DBRW($D$4,$E$7,$E$8,$E$9,$E$10,$E$12,$D124,$E$6,BJ$18,BJ$17)</f>
        <v>0</v>
      </c>
      <c r="BK124" s="16">
        <f ca="1">_xll.DBRW($D$4,$E$7,$E$8,$E$9,$E$10,$E$12,$D124,$E$6,BK$18,BK$17)</f>
        <v>0.21485911956008863</v>
      </c>
      <c r="BL124" s="16">
        <f ca="1">_xll.DBRW($D$4,$E$7,$E$8,$E$9,$E$10,$E$12,$D124,$E$6,BL$18,BL$17)</f>
        <v>7.7501489999999995</v>
      </c>
      <c r="BM124" s="16">
        <f ca="1">_xll.DBRW($D$4,$E$7,$E$8,$E$9,$E$10,$E$12,$D124,$E$6,BM$18,BM$17)</f>
        <v>-3.1584506400000003</v>
      </c>
      <c r="BN124" s="16">
        <f ca="1">_xll.DBRW($D$4,$E$7,$E$8,$E$9,$E$10,$E$12,$D124,$E$6,BN$18,BN$17)</f>
        <v>0.40753418289119353</v>
      </c>
      <c r="BO124" s="16"/>
      <c r="BP124" s="16"/>
      <c r="BQ124" s="16"/>
      <c r="BR124" s="16"/>
      <c r="BS124" s="16">
        <f ca="1">_xll.DBRW($D$4,$E$7,$E$8,$E$9,$E$10,$E$12,$D124,$E$6,BS$18,BS$17)</f>
        <v>-0.73453865529999995</v>
      </c>
      <c r="BT124" s="16">
        <f ca="1">_xll.DBRW($D$4,$E$7,$E$8,$E$9,$E$10,$E$12,$D124,$E$6,BT$18,BT$17)</f>
        <v>9.4777359157869098E-2</v>
      </c>
      <c r="BU124" s="16"/>
      <c r="BV124" s="16"/>
      <c r="BW124" s="16"/>
      <c r="BX124" s="16"/>
      <c r="BY124" s="16">
        <f ca="1">_xll.DBRW($D$4,$E$7,$E$8,$E$9,$E$10,$E$12,$D124,$E$6,BY$18,BY$17)</f>
        <v>-0.75265367013991014</v>
      </c>
      <c r="BZ124" s="16">
        <f ca="1">_xll.DBRW($D$4,$E$7,$E$8,$E$9,$E$10,$E$12,$D124,$E$6,BZ$18,BZ$17)</f>
        <v>9.7114735489589959E-2</v>
      </c>
      <c r="CA124" s="16"/>
      <c r="CB124" s="16"/>
      <c r="CC124" s="16"/>
      <c r="CD124" s="16"/>
      <c r="CE124" s="16">
        <f ca="1">_xll.DBRW($D$4,$E$7,$E$8,$E$9,$E$10,$E$12,$D124,$E$6,CE$18,CE$17)</f>
        <v>-1.4880482799999999</v>
      </c>
      <c r="CF124" s="16">
        <f ca="1">_xll.DBRW($D$4,$E$7,$E$8,$E$9,$E$10,$E$12,$D124,$E$6,CF$18,CF$17)</f>
        <v>0.19200253827378028</v>
      </c>
      <c r="CG124" s="16"/>
      <c r="CH124" s="16"/>
      <c r="CI124" s="16"/>
      <c r="CJ124" s="16"/>
      <c r="CK124" s="16">
        <f ca="1">_xll.DBRW($D$4,$E$7,$E$8,$E$9,$E$10,$E$12,$D124,$E$6,CK$18,CK$17)</f>
        <v>-1.401598635</v>
      </c>
      <c r="CL124" s="16">
        <f ca="1">_xll.DBRW($D$4,$E$7,$E$8,$E$9,$E$10,$E$12,$D124,$E$6,CL$18,CL$17)</f>
        <v>0.18084795982632076</v>
      </c>
      <c r="CM124" s="16"/>
      <c r="CN124" s="16"/>
      <c r="CO124" s="16"/>
      <c r="CP124" s="16"/>
      <c r="CQ124" s="16">
        <f ca="1">_xll.DBRW($D$4,$E$7,$E$8,$E$9,$E$10,$E$12,$D124,$E$6,CQ$18,CQ$17)</f>
        <v>0.12368288427919999</v>
      </c>
      <c r="CR124" s="16">
        <f ca="1">_xll.DBRW($D$4,$E$7,$E$8,$E$9,$E$10,$E$12,$D124,$E$6,CR$18,CR$17)</f>
        <v>3.1896470000000003</v>
      </c>
      <c r="CS124" s="16">
        <f ca="1">_xll.DBRW($D$4,$E$7,$E$8,$E$9,$E$10,$E$12,$D124,$E$6,CS$18,CS$17)</f>
        <v>3.1896470000000003</v>
      </c>
      <c r="CT124" s="16">
        <f ca="1">_xll.DBRW($D$4,$E$7,$E$8,$E$9,$E$10,$E$12,$D124,$E$6,CT$18,CT$17)</f>
        <v>3.1896470000000003</v>
      </c>
      <c r="CU124" s="16">
        <f ca="1">_xll.DBRW($D$4,$E$7,$E$8,$E$9,$E$10,$E$12,$D124,$E$6,CU$18,CU$17)</f>
        <v>0.89546045079999992</v>
      </c>
      <c r="CV124" s="16">
        <f ca="1">_xll.DBRW($D$4,$E$7,$E$8,$E$9,$E$10,$E$12,$D124,$E$6,CV$18,CV$17)</f>
        <v>3.1896470000000003</v>
      </c>
      <c r="CW124" s="16">
        <f ca="1">_xll.DBRW($D$4,$E$7,$E$8,$E$9,$E$10,$E$12,$D124,$E$6,CW$18,CW$17)</f>
        <v>2.013433</v>
      </c>
      <c r="CX124" s="16">
        <f ca="1">_xll.DBRW($D$4,$E$7,$E$8,$E$9,$E$10,$E$12,$D124,$E$6,CX$18,CX$17)</f>
        <v>3.1896470000000003</v>
      </c>
      <c r="CY124" s="16">
        <f ca="1">_xll.DBRW($D$4,$E$7,$E$8,$E$9,$E$10,$E$12,$D124,$E$6,CY$18,CY$17)</f>
        <v>3.1896470000000003</v>
      </c>
      <c r="CZ124" s="16">
        <f ca="1">_xll.DBRW($D$4,$E$7,$E$8,$E$9,$E$10,$E$12,$D124,$E$6,CZ$18,CZ$17)</f>
        <v>3.1896470000000003</v>
      </c>
      <c r="DA124" s="26">
        <f t="shared" ca="1" si="108"/>
        <v>0.51974364377324411</v>
      </c>
      <c r="DB124" s="26">
        <f t="shared" ca="1" si="109"/>
        <v>0.38709282333333317</v>
      </c>
      <c r="DC124" s="26">
        <f t="shared" ca="1" si="110"/>
        <v>0</v>
      </c>
      <c r="DD124" s="26">
        <f t="shared" ca="1" si="111"/>
        <v>0</v>
      </c>
      <c r="DE124" s="26">
        <f t="shared" ca="1" si="112"/>
        <v>0</v>
      </c>
      <c r="DF124" s="26">
        <f t="shared" ca="1" si="113"/>
        <v>0</v>
      </c>
      <c r="DG124" s="26">
        <f t="shared" ca="1" si="114"/>
        <v>0</v>
      </c>
      <c r="DH124" s="26">
        <f t="shared" ca="1" si="115"/>
        <v>0.13265082043991083</v>
      </c>
      <c r="DI124" s="26">
        <f t="shared" ca="1" si="116"/>
        <v>-1.0816674500000003</v>
      </c>
      <c r="DJ124" s="26">
        <f t="shared" ca="1" si="117"/>
        <v>0.39109301000000007</v>
      </c>
      <c r="DK124" s="26">
        <f t="shared" ca="1" si="118"/>
        <v>7.4564876610854203E-3</v>
      </c>
      <c r="DL124" s="26"/>
      <c r="DM124" s="26"/>
      <c r="DN124" s="26"/>
      <c r="DO124" s="26"/>
      <c r="DP124" s="26">
        <f t="shared" ca="1" si="119"/>
        <v>0.16101064529999987</v>
      </c>
      <c r="DQ124" s="26">
        <f t="shared" ca="1" si="120"/>
        <v>-8.7715712285315467E-3</v>
      </c>
      <c r="DR124" s="26"/>
      <c r="DS124" s="26"/>
      <c r="DT124" s="26"/>
      <c r="DU124" s="26"/>
      <c r="DV124" s="26">
        <f t="shared" ca="1" si="121"/>
        <v>1.3273520139910011E-2</v>
      </c>
      <c r="DW124" s="26">
        <f t="shared" ca="1" si="122"/>
        <v>1.3762102731549042E-2</v>
      </c>
      <c r="DX124" s="26"/>
      <c r="DY124" s="26"/>
      <c r="DZ124" s="26"/>
      <c r="EA124" s="26"/>
      <c r="EB124" s="26">
        <f t="shared" ca="1" si="123"/>
        <v>0.3006892000000001</v>
      </c>
      <c r="EC124" s="26">
        <f t="shared" ca="1" si="124"/>
        <v>-1.3947148737612186E-2</v>
      </c>
      <c r="ED124" s="26"/>
      <c r="EE124" s="26"/>
      <c r="EF124" s="26"/>
      <c r="EG124" s="26"/>
      <c r="EH124" s="26">
        <f t="shared" ca="1" si="125"/>
        <v>0.34825189499999976</v>
      </c>
      <c r="EI124" s="29">
        <f t="shared" ca="1" si="126"/>
        <v>-2.2888950402353725E-2</v>
      </c>
      <c r="EJ124" s="29"/>
      <c r="EK124" s="29"/>
      <c r="EL124" s="29"/>
      <c r="EM124" s="29"/>
      <c r="EN124" s="93"/>
      <c r="EO124" s="29"/>
      <c r="EP124" s="29"/>
      <c r="EQ124" s="29"/>
      <c r="ER124" s="29"/>
      <c r="ES124" s="29"/>
      <c r="ET124" s="29"/>
      <c r="EU124" s="93"/>
      <c r="EV124" s="29"/>
      <c r="EW124" s="29"/>
      <c r="EX124" s="29"/>
      <c r="EY124" s="29"/>
      <c r="EZ124" s="29"/>
      <c r="FA124" s="29"/>
      <c r="FB124" s="93"/>
      <c r="FC124" s="29"/>
      <c r="FD124" s="29"/>
      <c r="FE124" s="29"/>
      <c r="FF124" s="29"/>
      <c r="FG124" s="29"/>
      <c r="FH124" s="29"/>
      <c r="FI124" s="93"/>
      <c r="FJ124" s="29"/>
      <c r="FK124" s="29"/>
      <c r="FL124" s="29"/>
      <c r="FM124" s="29"/>
      <c r="FN124" s="29"/>
      <c r="FO124" s="29"/>
      <c r="FP124" s="93"/>
      <c r="FQ124" s="29"/>
      <c r="FR124" s="29"/>
      <c r="FS124" s="29"/>
      <c r="FT124" s="29"/>
      <c r="FU124" s="29"/>
      <c r="FV124" s="29"/>
    </row>
    <row r="125" spans="1:178" x14ac:dyDescent="0.25">
      <c r="A125" t="str">
        <f ca="1">IF(_xll.TM1RPTELISCONSOLIDATED($D$28,$D125),IF(_xll.TM1RPTELLEV($D$28,$D125)&lt;=3,_xll.TM1RPTELLEV($D$28,$D125),"D"),"N")</f>
        <v>N</v>
      </c>
      <c r="B125" t="str">
        <f ca="1">_xll.DBRA(Server&amp;"Management_organization",$D125,$B$27)</f>
        <v>L</v>
      </c>
      <c r="C125">
        <v>1</v>
      </c>
      <c r="D125" s="2" t="s">
        <v>125</v>
      </c>
      <c r="E125" s="26"/>
      <c r="F125" s="26"/>
      <c r="G125" s="16">
        <f ca="1">_xll.DBRW($D$4,$E$7,$E$8,$E$9,$E$10,$E$12,$D125,$E$6,G$18,G$17)</f>
        <v>0.15636110999999925</v>
      </c>
      <c r="H125" s="16">
        <f ca="1">_xll.DBRW($D$4,$E$7,$E$8,$E$9,$E$10,$E$12,$D125,$E$6,H$18,H$17)</f>
        <v>-0.14278297000000004</v>
      </c>
      <c r="I125" s="16">
        <f ca="1">_xll.DBRW($D$4,$E$7,$E$8,$E$9,$E$10,$E$12,$D125,$E$6,I$18,I$17)</f>
        <v>0</v>
      </c>
      <c r="J125" s="26">
        <f ca="1">_xll.DBRW($D$4,$E$7,$E$8,$E$9,$E$10,$E$12,$D125,$E$6,J$18,J$17)</f>
        <v>0</v>
      </c>
      <c r="K125" s="26">
        <f ca="1">_xll.DBRW($D$4,$E$7,$E$8,$E$9,$E$10,$E$12,$D125,$E$6,K$18,K$17)</f>
        <v>0</v>
      </c>
      <c r="L125" s="26">
        <f ca="1">_xll.DBRW($D$4,$E$7,$E$8,$E$9,$E$10,$E$12,$D125,$E$6,L$18,L$17)</f>
        <v>0</v>
      </c>
      <c r="M125" s="26">
        <f ca="1">_xll.DBRW($D$4,$E$7,$E$8,$E$9,$E$10,$E$12,$D125,$E$6,M$18,M$17)</f>
        <v>0</v>
      </c>
      <c r="N125" s="16">
        <f ca="1">_xll.DBRW($D$4,$E$7,$E$8,$E$9,$E$10,$E$12,$D125,$E$6,N$18,N$17)</f>
        <v>0.29914407999999926</v>
      </c>
      <c r="O125" s="16">
        <f ca="1">_xll.DBRW($D$4,$E$7,$E$8,$E$9,$E$10,$E$12,$D125,$E$6,O$18,O$17)</f>
        <v>2.2474512899999994</v>
      </c>
      <c r="P125" s="74">
        <f ca="1">_xll.DBRW($D$4,$E$7,$E$8,$E$9,$E$10,$E$12,$D125,$E$6,P$18,P$17)</f>
        <v>-0.99253984999999989</v>
      </c>
      <c r="Q125" s="16">
        <f ca="1">_xll.DBRW($D$4,$E$7,$E$8,$E$9,$E$10,$E$12,$D125,$E$6,Q$18,Q$17)</f>
        <v>0.44162908198112721</v>
      </c>
      <c r="R125" s="16"/>
      <c r="S125" s="16"/>
      <c r="T125" s="16"/>
      <c r="U125" s="16"/>
      <c r="V125" s="16">
        <f ca="1">_xll.DBRW($D$4,$E$7,$E$8,$E$9,$E$10,$E$12,$D125,$E$6,V$18,V$17)</f>
        <v>-0.21710102999999997</v>
      </c>
      <c r="W125" s="16">
        <f ca="1">_xll.DBRW($D$4,$E$7,$E$8,$E$9,$E$10,$E$12,$D125,$E$6,W$18,W$17)</f>
        <v>9.6598769889246427E-2</v>
      </c>
      <c r="X125" s="16"/>
      <c r="Y125" s="16"/>
      <c r="Z125" s="16"/>
      <c r="AA125" s="16"/>
      <c r="AB125" s="16">
        <f ca="1">_xll.DBRW($D$4,$E$7,$E$8,$E$9,$E$10,$E$12,$D125,$E$6,AB$18,AB$17)</f>
        <v>-0.22633549999999997</v>
      </c>
      <c r="AC125" s="16">
        <f ca="1">_xll.DBRW($D$4,$E$7,$E$8,$E$9,$E$10,$E$12,$D125,$E$6,AC$18,AC$17)</f>
        <v>0.10070763313406451</v>
      </c>
      <c r="AD125" s="16"/>
      <c r="AE125" s="16"/>
      <c r="AF125" s="16"/>
      <c r="AG125" s="16"/>
      <c r="AH125" s="16">
        <f ca="1">_xll.DBRW($D$4,$E$7,$E$8,$E$9,$E$10,$E$12,$D125,$E$6,AH$18,AH$17)</f>
        <v>-0.22187459000000001</v>
      </c>
      <c r="AI125" s="16">
        <f ca="1">_xll.DBRW($D$4,$E$7,$E$8,$E$9,$E$10,$E$12,$D125,$E$6,AI$18,AI$17)</f>
        <v>9.8722758080331999E-2</v>
      </c>
      <c r="AJ125" s="16"/>
      <c r="AK125" s="16"/>
      <c r="AL125" s="16"/>
      <c r="AM125" s="16"/>
      <c r="AN125" s="16">
        <f ca="1">_xll.DBRW($D$4,$E$7,$E$8,$E$9,$E$10,$E$12,$D125,$E$6,AN$18,AN$17)</f>
        <v>-0.29045623999999998</v>
      </c>
      <c r="AO125" s="16">
        <f ca="1">_xll.DBRW($D$4,$E$7,$E$8,$E$9,$E$10,$E$12,$D125,$E$6,AO$18,AO$17)</f>
        <v>0.12923805792471704</v>
      </c>
      <c r="AP125" s="16"/>
      <c r="AQ125" s="16"/>
      <c r="AR125" s="16"/>
      <c r="AS125" s="16"/>
      <c r="AT125" s="16">
        <f ca="1">_xll.DBRW($D$4,$E$7,$E$8,$E$9,$E$10,$E$12,$D125,$E$6,AT$18,AT$17)</f>
        <v>5.019303E-2</v>
      </c>
      <c r="AU125" s="16">
        <f ca="1">_xll.DBRW($D$4,$E$7,$E$8,$E$9,$E$10,$E$12,$D125,$E$6,AU$18,AU$17)</f>
        <v>0.9866189999999998</v>
      </c>
      <c r="AV125" s="16">
        <f ca="1">_xll.DBRW($D$4,$E$7,$E$8,$E$9,$E$10,$E$12,$D125,$E$6,AV$18,AV$17)</f>
        <v>0.9866189999999998</v>
      </c>
      <c r="AW125" s="16">
        <f ca="1">_xll.DBRW($D$4,$E$7,$E$8,$E$9,$E$10,$E$12,$D125,$E$6,AW$18,AW$17)</f>
        <v>0.9866189999999998</v>
      </c>
      <c r="AX125" s="16">
        <f ca="1">_xll.DBRW($D$4,$E$7,$E$8,$E$9,$E$10,$E$12,$D125,$E$6,AX$18,AX$17)</f>
        <v>0.21468417999999997</v>
      </c>
      <c r="AY125" s="16">
        <f ca="1">_xll.DBRW($D$4,$E$7,$E$8,$E$9,$E$10,$E$12,$D125,$E$6,AY$18,AY$17)</f>
        <v>0.9866189999999998</v>
      </c>
      <c r="AZ125" s="16">
        <f ca="1">_xll.DBRW($D$4,$E$7,$E$8,$E$9,$E$10,$E$12,$D125,$E$6,AZ$18,AZ$17)</f>
        <v>0.60163599999999995</v>
      </c>
      <c r="BA125" s="16">
        <f ca="1">_xll.DBRW($D$4,$E$7,$E$8,$E$9,$E$10,$E$12,$D125,$E$6,BA$18,BA$17)</f>
        <v>0.9866189999999998</v>
      </c>
      <c r="BB125" s="16">
        <f ca="1">_xll.DBRW($D$4,$E$7,$E$8,$E$9,$E$10,$E$12,$D125,$E$6,BB$18,BB$17)</f>
        <v>0.9866189999999998</v>
      </c>
      <c r="BC125" s="16">
        <f ca="1">_xll.DBRW($D$4,$E$7,$E$8,$E$9,$E$10,$E$12,$D125,$E$6,BC$18,BC$17)</f>
        <v>0.9866189999999998</v>
      </c>
      <c r="BD125" s="16">
        <f ca="1">_xll.DBRW($D$4,$E$7,$E$8,$E$9,$E$10,$E$12,$D125,$E$6,BD$18,BD$17)</f>
        <v>0.12229001610606292</v>
      </c>
      <c r="BE125" s="16">
        <f ca="1">_xll.DBRW($D$4,$E$7,$E$8,$E$9,$E$10,$E$12,$D125,$E$6,BE$18,BE$17)</f>
        <v>-0.21302566666666667</v>
      </c>
      <c r="BF125" s="16">
        <f ca="1">_xll.DBRW($D$4,$E$7,$E$8,$E$9,$E$10,$E$12,$D125,$E$6,BF$18,BF$17)</f>
        <v>0</v>
      </c>
      <c r="BG125" s="26">
        <f ca="1">_xll.DBRW($D$4,$E$7,$E$8,$E$9,$E$10,$E$12,$D125,$E$6,BG$18,BG$17)</f>
        <v>0</v>
      </c>
      <c r="BH125" s="26">
        <f ca="1">_xll.DBRW($D$4,$E$7,$E$8,$E$9,$E$10,$E$12,$D125,$E$6,BH$18,BH$17)</f>
        <v>0</v>
      </c>
      <c r="BI125" s="26">
        <f ca="1">_xll.DBRW($D$4,$E$7,$E$8,$E$9,$E$10,$E$12,$D125,$E$6,BI$18,BI$17)</f>
        <v>0</v>
      </c>
      <c r="BJ125" s="26">
        <f ca="1">_xll.DBRW($D$4,$E$7,$E$8,$E$9,$E$10,$E$12,$D125,$E$6,BJ$18,BJ$17)</f>
        <v>0</v>
      </c>
      <c r="BK125" s="16">
        <f ca="1">_xll.DBRW($D$4,$E$7,$E$8,$E$9,$E$10,$E$12,$D125,$E$6,BK$18,BK$17)</f>
        <v>0.33531568277272961</v>
      </c>
      <c r="BL125" s="16">
        <f ca="1">_xll.DBRW($D$4,$E$7,$E$8,$E$9,$E$10,$E$12,$D125,$E$6,BL$18,BL$17)</f>
        <v>2.3423366999999993</v>
      </c>
      <c r="BM125" s="16">
        <f ca="1">_xll.DBRW($D$4,$E$7,$E$8,$E$9,$E$10,$E$12,$D125,$E$6,BM$18,BM$17)</f>
        <v>-1.100587</v>
      </c>
      <c r="BN125" s="16">
        <f ca="1">_xll.DBRW($D$4,$E$7,$E$8,$E$9,$E$10,$E$12,$D125,$E$6,BN$18,BN$17)</f>
        <v>0.46986712029914413</v>
      </c>
      <c r="BO125" s="16"/>
      <c r="BP125" s="16"/>
      <c r="BQ125" s="16"/>
      <c r="BR125" s="16"/>
      <c r="BS125" s="16">
        <f ca="1">_xll.DBRW($D$4,$E$7,$E$8,$E$9,$E$10,$E$12,$D125,$E$6,BS$18,BS$17)</f>
        <v>-0.14248867022488798</v>
      </c>
      <c r="BT125" s="16">
        <f ca="1">_xll.DBRW($D$4,$E$7,$E$8,$E$9,$E$10,$E$12,$D125,$E$6,BT$18,BT$17)</f>
        <v>6.0831848053650023E-2</v>
      </c>
      <c r="BU125" s="16"/>
      <c r="BV125" s="16"/>
      <c r="BW125" s="16"/>
      <c r="BX125" s="16"/>
      <c r="BY125" s="16">
        <f ca="1">_xll.DBRW($D$4,$E$7,$E$8,$E$9,$E$10,$E$12,$D125,$E$6,BY$18,BY$17)</f>
        <v>-0.15740587033571479</v>
      </c>
      <c r="BZ125" s="16">
        <f ca="1">_xll.DBRW($D$4,$E$7,$E$8,$E$9,$E$10,$E$12,$D125,$E$6,BZ$18,BZ$17)</f>
        <v>6.7200360364807865E-2</v>
      </c>
      <c r="CA125" s="16"/>
      <c r="CB125" s="16"/>
      <c r="CC125" s="16"/>
      <c r="CD125" s="16"/>
      <c r="CE125" s="16">
        <f ca="1">_xll.DBRW($D$4,$E$7,$E$8,$E$9,$E$10,$E$12,$D125,$E$6,CE$18,CE$17)</f>
        <v>-0.26079388000000003</v>
      </c>
      <c r="CF125" s="16">
        <f ca="1">_xll.DBRW($D$4,$E$7,$E$8,$E$9,$E$10,$E$12,$D125,$E$6,CF$18,CF$17)</f>
        <v>0.11133919389129672</v>
      </c>
      <c r="CG125" s="16"/>
      <c r="CH125" s="16"/>
      <c r="CI125" s="16"/>
      <c r="CJ125" s="16"/>
      <c r="CK125" s="16">
        <f ca="1">_xll.DBRW($D$4,$E$7,$E$8,$E$9,$E$10,$E$12,$D125,$E$6,CK$18,CK$17)</f>
        <v>-0.34574559666666665</v>
      </c>
      <c r="CL125" s="16">
        <f ca="1">_xll.DBRW($D$4,$E$7,$E$8,$E$9,$E$10,$E$12,$D125,$E$6,CL$18,CL$17)</f>
        <v>0.14760712952440475</v>
      </c>
      <c r="CM125" s="16"/>
      <c r="CN125" s="16"/>
      <c r="CO125" s="16"/>
      <c r="CP125" s="16"/>
      <c r="CQ125" s="16">
        <f ca="1">_xll.DBRW($D$4,$E$7,$E$8,$E$9,$E$10,$E$12,$D125,$E$6,CQ$18,CQ$17)</f>
        <v>5.3763709999999985E-2</v>
      </c>
      <c r="CR125" s="16">
        <f ca="1">_xll.DBRW($D$4,$E$7,$E$8,$E$9,$E$10,$E$12,$D125,$E$6,CR$18,CR$17)</f>
        <v>0.84123194356000008</v>
      </c>
      <c r="CS125" s="16">
        <f ca="1">_xll.DBRW($D$4,$E$7,$E$8,$E$9,$E$10,$E$12,$D125,$E$6,CS$18,CS$17)</f>
        <v>0.84123194356000008</v>
      </c>
      <c r="CT125" s="16">
        <f ca="1">_xll.DBRW($D$4,$E$7,$E$8,$E$9,$E$10,$E$12,$D125,$E$6,CT$18,CT$17)</f>
        <v>0.84123194356000008</v>
      </c>
      <c r="CU125" s="16">
        <f ca="1">_xll.DBRW($D$4,$E$7,$E$8,$E$9,$E$10,$E$12,$D125,$E$6,CU$18,CU$17)</f>
        <v>0.181730054153524</v>
      </c>
      <c r="CV125" s="16">
        <f ca="1">_xll.DBRW($D$4,$E$7,$E$8,$E$9,$E$10,$E$12,$D125,$E$6,CV$18,CV$17)</f>
        <v>0.84123194356000008</v>
      </c>
      <c r="CW125" s="16">
        <f ca="1">_xll.DBRW($D$4,$E$7,$E$8,$E$9,$E$10,$E$12,$D125,$E$6,CW$18,CW$17)</f>
        <v>0.63606399999999996</v>
      </c>
      <c r="CX125" s="16">
        <f ca="1">_xll.DBRW($D$4,$E$7,$E$8,$E$9,$E$10,$E$12,$D125,$E$6,CX$18,CX$17)</f>
        <v>0.84123194356000008</v>
      </c>
      <c r="CY125" s="16">
        <f ca="1">_xll.DBRW($D$4,$E$7,$E$8,$E$9,$E$10,$E$12,$D125,$E$6,CY$18,CY$17)</f>
        <v>0.84123194356000008</v>
      </c>
      <c r="CZ125" s="16">
        <f ca="1">_xll.DBRW($D$4,$E$7,$E$8,$E$9,$E$10,$E$12,$D125,$E$6,CZ$18,CZ$17)</f>
        <v>0.84123194356000008</v>
      </c>
      <c r="DA125" s="26">
        <f t="shared" ca="1" si="108"/>
        <v>3.4071093893936324E-2</v>
      </c>
      <c r="DB125" s="26">
        <f t="shared" ca="1" si="109"/>
        <v>7.0242696666666632E-2</v>
      </c>
      <c r="DC125" s="26">
        <f t="shared" ca="1" si="110"/>
        <v>0</v>
      </c>
      <c r="DD125" s="26">
        <f t="shared" ca="1" si="111"/>
        <v>0</v>
      </c>
      <c r="DE125" s="26">
        <f t="shared" ca="1" si="112"/>
        <v>0</v>
      </c>
      <c r="DF125" s="26">
        <f t="shared" ca="1" si="113"/>
        <v>0</v>
      </c>
      <c r="DG125" s="26">
        <f t="shared" ca="1" si="114"/>
        <v>0</v>
      </c>
      <c r="DH125" s="26">
        <f t="shared" ca="1" si="115"/>
        <v>-3.6171602772730349E-2</v>
      </c>
      <c r="DI125" s="26">
        <f t="shared" ca="1" si="116"/>
        <v>-9.4885409999999837E-2</v>
      </c>
      <c r="DJ125" s="26">
        <f t="shared" ca="1" si="117"/>
        <v>0.10804715000000009</v>
      </c>
      <c r="DK125" s="26">
        <f t="shared" ca="1" si="118"/>
        <v>-2.8238038318016911E-2</v>
      </c>
      <c r="DL125" s="26"/>
      <c r="DM125" s="26"/>
      <c r="DN125" s="26"/>
      <c r="DO125" s="26"/>
      <c r="DP125" s="26">
        <f t="shared" ca="1" si="119"/>
        <v>-7.4612359775111992E-2</v>
      </c>
      <c r="DQ125" s="26">
        <f t="shared" ca="1" si="120"/>
        <v>3.5766921835596405E-2</v>
      </c>
      <c r="DR125" s="26"/>
      <c r="DS125" s="26"/>
      <c r="DT125" s="26"/>
      <c r="DU125" s="26"/>
      <c r="DV125" s="26">
        <f t="shared" ca="1" si="121"/>
        <v>-6.8929629664285175E-2</v>
      </c>
      <c r="DW125" s="26">
        <f t="shared" ca="1" si="122"/>
        <v>3.3507272769256649E-2</v>
      </c>
      <c r="DX125" s="26"/>
      <c r="DY125" s="26"/>
      <c r="DZ125" s="26"/>
      <c r="EA125" s="26"/>
      <c r="EB125" s="26">
        <f t="shared" ca="1" si="123"/>
        <v>3.8919290000000023E-2</v>
      </c>
      <c r="EC125" s="26">
        <f t="shared" ca="1" si="124"/>
        <v>-1.2616435810964721E-2</v>
      </c>
      <c r="ED125" s="26"/>
      <c r="EE125" s="26"/>
      <c r="EF125" s="26"/>
      <c r="EG125" s="26"/>
      <c r="EH125" s="26">
        <f t="shared" ca="1" si="125"/>
        <v>5.5289356666666678E-2</v>
      </c>
      <c r="EI125" s="29">
        <f t="shared" ca="1" si="126"/>
        <v>-1.8369071599687703E-2</v>
      </c>
      <c r="EJ125" s="29"/>
      <c r="EK125" s="29"/>
      <c r="EL125" s="29"/>
      <c r="EM125" s="29"/>
      <c r="EN125" s="93"/>
      <c r="EO125" s="29"/>
      <c r="EP125" s="29"/>
      <c r="EQ125" s="29"/>
      <c r="ER125" s="29"/>
      <c r="ES125" s="29"/>
      <c r="ET125" s="29"/>
      <c r="EU125" s="93"/>
      <c r="EV125" s="29"/>
      <c r="EW125" s="29"/>
      <c r="EX125" s="29"/>
      <c r="EY125" s="29"/>
      <c r="EZ125" s="29"/>
      <c r="FA125" s="29"/>
      <c r="FB125" s="93"/>
      <c r="FC125" s="29"/>
      <c r="FD125" s="29"/>
      <c r="FE125" s="29"/>
      <c r="FF125" s="29"/>
      <c r="FG125" s="29"/>
      <c r="FH125" s="29"/>
      <c r="FI125" s="93"/>
      <c r="FJ125" s="29"/>
      <c r="FK125" s="29"/>
      <c r="FL125" s="29"/>
      <c r="FM125" s="29"/>
      <c r="FN125" s="29"/>
      <c r="FO125" s="29"/>
      <c r="FP125" s="93"/>
      <c r="FQ125" s="29"/>
      <c r="FR125" s="29"/>
      <c r="FS125" s="29"/>
      <c r="FT125" s="29"/>
      <c r="FU125" s="29"/>
      <c r="FV125" s="29"/>
    </row>
    <row r="126" spans="1:178" x14ac:dyDescent="0.25">
      <c r="A126" t="str">
        <f ca="1">IF(_xll.TM1RPTELISCONSOLIDATED($D$28,$D126),IF(_xll.TM1RPTELLEV($D$28,$D126)&lt;=3,_xll.TM1RPTELLEV($D$28,$D126),"D"),"N")</f>
        <v>N</v>
      </c>
      <c r="B126" t="str">
        <f ca="1">_xll.DBRA(Server&amp;"Management_organization",$D126,$B$27)</f>
        <v>L</v>
      </c>
      <c r="C126">
        <v>1</v>
      </c>
      <c r="D126" s="2" t="s">
        <v>126</v>
      </c>
      <c r="E126" s="26"/>
      <c r="F126" s="26"/>
      <c r="G126" s="16">
        <f ca="1">_xll.DBRW($D$4,$E$7,$E$8,$E$9,$E$10,$E$12,$D126,$E$6,G$18,G$17)</f>
        <v>0.13458804000000096</v>
      </c>
      <c r="H126" s="16">
        <f ca="1">_xll.DBRW($D$4,$E$7,$E$8,$E$9,$E$10,$E$12,$D126,$E$6,H$18,H$17)</f>
        <v>-0.32477572999999998</v>
      </c>
      <c r="I126" s="16">
        <f ca="1">_xll.DBRW($D$4,$E$7,$E$8,$E$9,$E$10,$E$12,$D126,$E$6,I$18,I$17)</f>
        <v>0</v>
      </c>
      <c r="J126" s="26">
        <f ca="1">_xll.DBRW($D$4,$E$7,$E$8,$E$9,$E$10,$E$12,$D126,$E$6,J$18,J$17)</f>
        <v>0</v>
      </c>
      <c r="K126" s="26">
        <f ca="1">_xll.DBRW($D$4,$E$7,$E$8,$E$9,$E$10,$E$12,$D126,$E$6,K$18,K$17)</f>
        <v>0</v>
      </c>
      <c r="L126" s="26">
        <f ca="1">_xll.DBRW($D$4,$E$7,$E$8,$E$9,$E$10,$E$12,$D126,$E$6,L$18,L$17)</f>
        <v>0</v>
      </c>
      <c r="M126" s="26">
        <f ca="1">_xll.DBRW($D$4,$E$7,$E$8,$E$9,$E$10,$E$12,$D126,$E$6,M$18,M$17)</f>
        <v>0</v>
      </c>
      <c r="N126" s="16">
        <f ca="1">_xll.DBRW($D$4,$E$7,$E$8,$E$9,$E$10,$E$12,$D126,$E$6,N$18,N$17)</f>
        <v>0.45936377000000089</v>
      </c>
      <c r="O126" s="16">
        <f ca="1">_xll.DBRW($D$4,$E$7,$E$8,$E$9,$E$10,$E$12,$D126,$E$6,O$18,O$17)</f>
        <v>4.16182797</v>
      </c>
      <c r="P126" s="74">
        <f ca="1">_xll.DBRW($D$4,$E$7,$E$8,$E$9,$E$10,$E$12,$D126,$E$6,P$18,P$17)</f>
        <v>-1.6340046200000002</v>
      </c>
      <c r="Q126" s="16">
        <f ca="1">_xll.DBRW($D$4,$E$7,$E$8,$E$9,$E$10,$E$12,$D126,$E$6,Q$18,Q$17)</f>
        <v>0.39261704995461411</v>
      </c>
      <c r="R126" s="16"/>
      <c r="S126" s="16"/>
      <c r="T126" s="16"/>
      <c r="U126" s="16"/>
      <c r="V126" s="16">
        <f ca="1">_xll.DBRW($D$4,$E$7,$E$8,$E$9,$E$10,$E$12,$D126,$E$6,V$18,V$17)</f>
        <v>-0.34294518999999996</v>
      </c>
      <c r="W126" s="16">
        <f ca="1">_xll.DBRW($D$4,$E$7,$E$8,$E$9,$E$10,$E$12,$D126,$E$6,W$18,W$17)</f>
        <v>8.2402538613339169E-2</v>
      </c>
      <c r="X126" s="16"/>
      <c r="Y126" s="16"/>
      <c r="Z126" s="16"/>
      <c r="AA126" s="16"/>
      <c r="AB126" s="16">
        <f ca="1">_xll.DBRW($D$4,$E$7,$E$8,$E$9,$E$10,$E$12,$D126,$E$6,AB$18,AB$17)</f>
        <v>-0.37193839000000006</v>
      </c>
      <c r="AC126" s="16">
        <f ca="1">_xll.DBRW($D$4,$E$7,$E$8,$E$9,$E$10,$E$12,$D126,$E$6,AC$18,AC$17)</f>
        <v>8.9368996671911949E-2</v>
      </c>
      <c r="AD126" s="16"/>
      <c r="AE126" s="16"/>
      <c r="AF126" s="16"/>
      <c r="AG126" s="16"/>
      <c r="AH126" s="16">
        <f ca="1">_xll.DBRW($D$4,$E$7,$E$8,$E$9,$E$10,$E$12,$D126,$E$6,AH$18,AH$17)</f>
        <v>-0.55012881999999996</v>
      </c>
      <c r="AI126" s="16">
        <f ca="1">_xll.DBRW($D$4,$E$7,$E$8,$E$9,$E$10,$E$12,$D126,$E$6,AI$18,AI$17)</f>
        <v>0.13218442087600271</v>
      </c>
      <c r="AJ126" s="16"/>
      <c r="AK126" s="16"/>
      <c r="AL126" s="16"/>
      <c r="AM126" s="16"/>
      <c r="AN126" s="16">
        <f ca="1">_xll.DBRW($D$4,$E$7,$E$8,$E$9,$E$10,$E$12,$D126,$E$6,AN$18,AN$17)</f>
        <v>-0.80422718000000004</v>
      </c>
      <c r="AO126" s="16">
        <f ca="1">_xll.DBRW($D$4,$E$7,$E$8,$E$9,$E$10,$E$12,$D126,$E$6,AO$18,AO$17)</f>
        <v>0.19323892909489962</v>
      </c>
      <c r="AP126" s="16"/>
      <c r="AQ126" s="16"/>
      <c r="AR126" s="16"/>
      <c r="AS126" s="16"/>
      <c r="AT126" s="16">
        <f ca="1">_xll.DBRW($D$4,$E$7,$E$8,$E$9,$E$10,$E$12,$D126,$E$6,AT$18,AT$17)</f>
        <v>6.7677579999999987E-2</v>
      </c>
      <c r="AU126" s="16">
        <f ca="1">_xll.DBRW($D$4,$E$7,$E$8,$E$9,$E$10,$E$12,$D126,$E$6,AU$18,AU$17)</f>
        <v>1.31267047</v>
      </c>
      <c r="AV126" s="16">
        <f ca="1">_xll.DBRW($D$4,$E$7,$E$8,$E$9,$E$10,$E$12,$D126,$E$6,AV$18,AV$17)</f>
        <v>1.31267047</v>
      </c>
      <c r="AW126" s="16">
        <f ca="1">_xll.DBRW($D$4,$E$7,$E$8,$E$9,$E$10,$E$12,$D126,$E$6,AW$18,AW$17)</f>
        <v>1.31267047</v>
      </c>
      <c r="AX126" s="16">
        <f ca="1">_xll.DBRW($D$4,$E$7,$E$8,$E$9,$E$10,$E$12,$D126,$E$6,AX$18,AX$17)</f>
        <v>0.41247292000000002</v>
      </c>
      <c r="AY126" s="16">
        <f ca="1">_xll.DBRW($D$4,$E$7,$E$8,$E$9,$E$10,$E$12,$D126,$E$6,AY$18,AY$17)</f>
        <v>1.31267047</v>
      </c>
      <c r="AZ126" s="16">
        <f ca="1">_xll.DBRW($D$4,$E$7,$E$8,$E$9,$E$10,$E$12,$D126,$E$6,AZ$18,AZ$17)</f>
        <v>1.03107891</v>
      </c>
      <c r="BA126" s="16">
        <f ca="1">_xll.DBRW($D$4,$E$7,$E$8,$E$9,$E$10,$E$12,$D126,$E$6,BA$18,BA$17)</f>
        <v>1.31267047</v>
      </c>
      <c r="BB126" s="16">
        <f ca="1">_xll.DBRW($D$4,$E$7,$E$8,$E$9,$E$10,$E$12,$D126,$E$6,BB$18,BB$17)</f>
        <v>1.31267047</v>
      </c>
      <c r="BC126" s="16">
        <f ca="1">_xll.DBRW($D$4,$E$7,$E$8,$E$9,$E$10,$E$12,$D126,$E$6,BC$18,BC$17)</f>
        <v>1.31267047</v>
      </c>
      <c r="BD126" s="16">
        <f ca="1">_xll.DBRW($D$4,$E$7,$E$8,$E$9,$E$10,$E$12,$D126,$E$6,BD$18,BD$17)</f>
        <v>2.2072127333664121E-2</v>
      </c>
      <c r="BE126" s="16">
        <f ca="1">_xll.DBRW($D$4,$E$7,$E$8,$E$9,$E$10,$E$12,$D126,$E$6,BE$18,BE$17)</f>
        <v>-0.35840108333333331</v>
      </c>
      <c r="BF126" s="16">
        <f ca="1">_xll.DBRW($D$4,$E$7,$E$8,$E$9,$E$10,$E$12,$D126,$E$6,BF$18,BF$17)</f>
        <v>0</v>
      </c>
      <c r="BG126" s="26">
        <f ca="1">_xll.DBRW($D$4,$E$7,$E$8,$E$9,$E$10,$E$12,$D126,$E$6,BG$18,BG$17)</f>
        <v>0</v>
      </c>
      <c r="BH126" s="26">
        <f ca="1">_xll.DBRW($D$4,$E$7,$E$8,$E$9,$E$10,$E$12,$D126,$E$6,BH$18,BH$17)</f>
        <v>0</v>
      </c>
      <c r="BI126" s="26">
        <f ca="1">_xll.DBRW($D$4,$E$7,$E$8,$E$9,$E$10,$E$12,$D126,$E$6,BI$18,BI$17)</f>
        <v>0</v>
      </c>
      <c r="BJ126" s="26">
        <f ca="1">_xll.DBRW($D$4,$E$7,$E$8,$E$9,$E$10,$E$12,$D126,$E$6,BJ$18,BJ$17)</f>
        <v>0</v>
      </c>
      <c r="BK126" s="16">
        <f ca="1">_xll.DBRW($D$4,$E$7,$E$8,$E$9,$E$10,$E$12,$D126,$E$6,BK$18,BK$17)</f>
        <v>0.38047321066699735</v>
      </c>
      <c r="BL126" s="16">
        <f ca="1">_xll.DBRW($D$4,$E$7,$E$8,$E$9,$E$10,$E$12,$D126,$E$6,BL$18,BL$17)</f>
        <v>4.3466217599999997</v>
      </c>
      <c r="BM126" s="16">
        <f ca="1">_xll.DBRW($D$4,$E$7,$E$8,$E$9,$E$10,$E$12,$D126,$E$6,BM$18,BM$17)</f>
        <v>-1.6786246666666695</v>
      </c>
      <c r="BN126" s="16">
        <f ca="1">_xll.DBRW($D$4,$E$7,$E$8,$E$9,$E$10,$E$12,$D126,$E$6,BN$18,BN$17)</f>
        <v>0.38619064628864086</v>
      </c>
      <c r="BO126" s="16"/>
      <c r="BP126" s="16"/>
      <c r="BQ126" s="16"/>
      <c r="BR126" s="16"/>
      <c r="BS126" s="16">
        <f ca="1">_xll.DBRW($D$4,$E$7,$E$8,$E$9,$E$10,$E$12,$D126,$E$6,BS$18,BS$17)</f>
        <v>-0.38858948361666645</v>
      </c>
      <c r="BT126" s="16">
        <f ca="1">_xll.DBRW($D$4,$E$7,$E$8,$E$9,$E$10,$E$12,$D126,$E$6,BT$18,BT$17)</f>
        <v>8.9400344698193038E-2</v>
      </c>
      <c r="BU126" s="16"/>
      <c r="BV126" s="16"/>
      <c r="BW126" s="16"/>
      <c r="BX126" s="16"/>
      <c r="BY126" s="16">
        <f ca="1">_xll.DBRW($D$4,$E$7,$E$8,$E$9,$E$10,$E$12,$D126,$E$6,BY$18,BY$17)</f>
        <v>-0.35735543238299994</v>
      </c>
      <c r="BZ126" s="16">
        <f ca="1">_xll.DBRW($D$4,$E$7,$E$8,$E$9,$E$10,$E$12,$D126,$E$6,BZ$18,BZ$17)</f>
        <v>8.2214522476186186E-2</v>
      </c>
      <c r="CA126" s="16"/>
      <c r="CB126" s="16"/>
      <c r="CC126" s="16"/>
      <c r="CD126" s="16"/>
      <c r="CE126" s="16">
        <f ca="1">_xll.DBRW($D$4,$E$7,$E$8,$E$9,$E$10,$E$12,$D126,$E$6,CE$18,CE$17)</f>
        <v>-0.6149065766666667</v>
      </c>
      <c r="CF126" s="16">
        <f ca="1">_xll.DBRW($D$4,$E$7,$E$8,$E$9,$E$10,$E$12,$D126,$E$6,CF$18,CF$17)</f>
        <v>0.14146769850677476</v>
      </c>
      <c r="CG126" s="16"/>
      <c r="CH126" s="16"/>
      <c r="CI126" s="16"/>
      <c r="CJ126" s="16"/>
      <c r="CK126" s="16">
        <f ca="1">_xll.DBRW($D$4,$E$7,$E$8,$E$9,$E$10,$E$12,$D126,$E$6,CK$18,CK$17)</f>
        <v>-0.92667239000000046</v>
      </c>
      <c r="CL126" s="16">
        <f ca="1">_xll.DBRW($D$4,$E$7,$E$8,$E$9,$E$10,$E$12,$D126,$E$6,CL$18,CL$17)</f>
        <v>0.21319370333249343</v>
      </c>
      <c r="CM126" s="16"/>
      <c r="CN126" s="16"/>
      <c r="CO126" s="16"/>
      <c r="CP126" s="16"/>
      <c r="CQ126" s="16">
        <f ca="1">_xll.DBRW($D$4,$E$7,$E$8,$E$9,$E$10,$E$12,$D126,$E$6,CQ$18,CQ$17)</f>
        <v>7.1794000000000011E-2</v>
      </c>
      <c r="CR126" s="16">
        <f ca="1">_xll.DBRW($D$4,$E$7,$E$8,$E$9,$E$10,$E$12,$D126,$E$6,CR$18,CR$17)</f>
        <v>1.3893690000000001</v>
      </c>
      <c r="CS126" s="16">
        <f ca="1">_xll.DBRW($D$4,$E$7,$E$8,$E$9,$E$10,$E$12,$D126,$E$6,CS$18,CS$17)</f>
        <v>1.3893690000000001</v>
      </c>
      <c r="CT126" s="16">
        <f ca="1">_xll.DBRW($D$4,$E$7,$E$8,$E$9,$E$10,$E$12,$D126,$E$6,CT$18,CT$17)</f>
        <v>1.3893690000000001</v>
      </c>
      <c r="CU126" s="16">
        <f ca="1">_xll.DBRW($D$4,$E$7,$E$8,$E$9,$E$10,$E$12,$D126,$E$6,CU$18,CU$17)</f>
        <v>0.4307043900000001</v>
      </c>
      <c r="CV126" s="16">
        <f ca="1">_xll.DBRW($D$4,$E$7,$E$8,$E$9,$E$10,$E$12,$D126,$E$6,CV$18,CV$17)</f>
        <v>1.3893690000000001</v>
      </c>
      <c r="CW126" s="16">
        <f ca="1">_xll.DBRW($D$4,$E$7,$E$8,$E$9,$E$10,$E$12,$D126,$E$6,CW$18,CW$17)</f>
        <v>1.0891569999999999</v>
      </c>
      <c r="CX126" s="16">
        <f ca="1">_xll.DBRW($D$4,$E$7,$E$8,$E$9,$E$10,$E$12,$D126,$E$6,CX$18,CX$17)</f>
        <v>1.3893690000000001</v>
      </c>
      <c r="CY126" s="16">
        <f ca="1">_xll.DBRW($D$4,$E$7,$E$8,$E$9,$E$10,$E$12,$D126,$E$6,CY$18,CY$17)</f>
        <v>1.3893690000000001</v>
      </c>
      <c r="CZ126" s="16">
        <f ca="1">_xll.DBRW($D$4,$E$7,$E$8,$E$9,$E$10,$E$12,$D126,$E$6,CZ$18,CZ$17)</f>
        <v>1.3893690000000001</v>
      </c>
      <c r="DA126" s="26">
        <f t="shared" ca="1" si="108"/>
        <v>0.11251591266633684</v>
      </c>
      <c r="DB126" s="26">
        <f t="shared" ca="1" si="109"/>
        <v>3.362535333333333E-2</v>
      </c>
      <c r="DC126" s="26">
        <f t="shared" ca="1" si="110"/>
        <v>0</v>
      </c>
      <c r="DD126" s="26">
        <f t="shared" ca="1" si="111"/>
        <v>0</v>
      </c>
      <c r="DE126" s="26">
        <f t="shared" ca="1" si="112"/>
        <v>0</v>
      </c>
      <c r="DF126" s="26">
        <f t="shared" ca="1" si="113"/>
        <v>0</v>
      </c>
      <c r="DG126" s="26">
        <f t="shared" ca="1" si="114"/>
        <v>0</v>
      </c>
      <c r="DH126" s="26">
        <f t="shared" ca="1" si="115"/>
        <v>7.889055933300354E-2</v>
      </c>
      <c r="DI126" s="26">
        <f t="shared" ca="1" si="116"/>
        <v>-0.18479378999999962</v>
      </c>
      <c r="DJ126" s="26">
        <f t="shared" ca="1" si="117"/>
        <v>4.46200466666693E-2</v>
      </c>
      <c r="DK126" s="26">
        <f t="shared" ca="1" si="118"/>
        <v>6.426403665973246E-3</v>
      </c>
      <c r="DL126" s="26"/>
      <c r="DM126" s="26"/>
      <c r="DN126" s="26"/>
      <c r="DO126" s="26"/>
      <c r="DP126" s="26">
        <f t="shared" ca="1" si="119"/>
        <v>4.5644293616666498E-2</v>
      </c>
      <c r="DQ126" s="26">
        <f t="shared" ca="1" si="120"/>
        <v>-6.9978060848538692E-3</v>
      </c>
      <c r="DR126" s="26"/>
      <c r="DS126" s="26"/>
      <c r="DT126" s="26"/>
      <c r="DU126" s="26"/>
      <c r="DV126" s="26">
        <f t="shared" ca="1" si="121"/>
        <v>-1.4582957617000125E-2</v>
      </c>
      <c r="DW126" s="26">
        <f t="shared" ca="1" si="122"/>
        <v>7.1544741957257629E-3</v>
      </c>
      <c r="DX126" s="26"/>
      <c r="DY126" s="26"/>
      <c r="DZ126" s="26"/>
      <c r="EA126" s="26"/>
      <c r="EB126" s="26">
        <f t="shared" ca="1" si="123"/>
        <v>6.4777756666666741E-2</v>
      </c>
      <c r="EC126" s="26">
        <f t="shared" ca="1" si="124"/>
        <v>-9.2832776307720521E-3</v>
      </c>
      <c r="ED126" s="26"/>
      <c r="EE126" s="26"/>
      <c r="EF126" s="26"/>
      <c r="EG126" s="26"/>
      <c r="EH126" s="26">
        <f t="shared" ca="1" si="125"/>
        <v>0.12244521000000042</v>
      </c>
      <c r="EI126" s="29">
        <f t="shared" ca="1" si="126"/>
        <v>-1.9954774237593814E-2</v>
      </c>
      <c r="EJ126" s="29"/>
      <c r="EK126" s="29"/>
      <c r="EL126" s="29"/>
      <c r="EM126" s="29"/>
      <c r="EN126" s="93"/>
      <c r="EO126" s="29"/>
      <c r="EP126" s="29"/>
      <c r="EQ126" s="29"/>
      <c r="ER126" s="29"/>
      <c r="ES126" s="29"/>
      <c r="ET126" s="29"/>
      <c r="EU126" s="93"/>
      <c r="EV126" s="29"/>
      <c r="EW126" s="29"/>
      <c r="EX126" s="29"/>
      <c r="EY126" s="29"/>
      <c r="EZ126" s="29"/>
      <c r="FA126" s="29"/>
      <c r="FB126" s="93"/>
      <c r="FC126" s="29"/>
      <c r="FD126" s="29"/>
      <c r="FE126" s="29"/>
      <c r="FF126" s="29"/>
      <c r="FG126" s="29"/>
      <c r="FH126" s="29"/>
      <c r="FI126" s="93"/>
      <c r="FJ126" s="29"/>
      <c r="FK126" s="29"/>
      <c r="FL126" s="29"/>
      <c r="FM126" s="29"/>
      <c r="FN126" s="29"/>
      <c r="FO126" s="29"/>
      <c r="FP126" s="93"/>
      <c r="FQ126" s="29"/>
      <c r="FR126" s="29"/>
      <c r="FS126" s="29"/>
      <c r="FT126" s="29"/>
      <c r="FU126" s="29"/>
      <c r="FV126" s="29"/>
    </row>
    <row r="127" spans="1:178" x14ac:dyDescent="0.25">
      <c r="A127" t="str">
        <f ca="1">IF(_xll.TM1RPTELISCONSOLIDATED($D$28,$D127),IF(_xll.TM1RPTELLEV($D$28,$D127)&lt;=3,_xll.TM1RPTELLEV($D$28,$D127),"D"),"N")</f>
        <v>N</v>
      </c>
      <c r="B127" t="str">
        <f ca="1">_xll.DBRA(Server&amp;"Management_organization",$D127,$B$27)</f>
        <v>L</v>
      </c>
      <c r="C127">
        <v>1</v>
      </c>
      <c r="D127" s="2" t="s">
        <v>127</v>
      </c>
      <c r="E127" s="26"/>
      <c r="F127" s="26"/>
      <c r="G127" s="16">
        <f ca="1">_xll.DBRW($D$4,$E$7,$E$8,$E$9,$E$10,$E$12,$D127,$E$6,G$18,G$17)</f>
        <v>-4.8981900000003575E-3</v>
      </c>
      <c r="H127" s="16">
        <f ca="1">_xll.DBRW($D$4,$E$7,$E$8,$E$9,$E$10,$E$12,$D127,$E$6,H$18,H$17)</f>
        <v>-0.27296660999999989</v>
      </c>
      <c r="I127" s="16">
        <f ca="1">_xll.DBRW($D$4,$E$7,$E$8,$E$9,$E$10,$E$12,$D127,$E$6,I$18,I$17)</f>
        <v>0</v>
      </c>
      <c r="J127" s="26">
        <f ca="1">_xll.DBRW($D$4,$E$7,$E$8,$E$9,$E$10,$E$12,$D127,$E$6,J$18,J$17)</f>
        <v>-2.2900500000000001E-3</v>
      </c>
      <c r="K127" s="26">
        <f ca="1">_xll.DBRW($D$4,$E$7,$E$8,$E$9,$E$10,$E$12,$D127,$E$6,K$18,K$17)</f>
        <v>0</v>
      </c>
      <c r="L127" s="26">
        <f ca="1">_xll.DBRW($D$4,$E$7,$E$8,$E$9,$E$10,$E$12,$D127,$E$6,L$18,L$17)</f>
        <v>0</v>
      </c>
      <c r="M127" s="26">
        <f ca="1">_xll.DBRW($D$4,$E$7,$E$8,$E$9,$E$10,$E$12,$D127,$E$6,M$18,M$17)</f>
        <v>0</v>
      </c>
      <c r="N127" s="16">
        <f ca="1">_xll.DBRW($D$4,$E$7,$E$8,$E$9,$E$10,$E$12,$D127,$E$6,N$18,N$17)</f>
        <v>0.27035846999999957</v>
      </c>
      <c r="O127" s="16">
        <f ca="1">_xll.DBRW($D$4,$E$7,$E$8,$E$9,$E$10,$E$12,$D127,$E$6,O$18,O$17)</f>
        <v>3.1478399099999992</v>
      </c>
      <c r="P127" s="74">
        <f ca="1">_xll.DBRW($D$4,$E$7,$E$8,$E$9,$E$10,$E$12,$D127,$E$6,P$18,P$17)</f>
        <v>-1.2379737900000003</v>
      </c>
      <c r="Q127" s="16">
        <f ca="1">_xll.DBRW($D$4,$E$7,$E$8,$E$9,$E$10,$E$12,$D127,$E$6,Q$18,Q$17)</f>
        <v>0.39327723943877457</v>
      </c>
      <c r="R127" s="16"/>
      <c r="S127" s="16"/>
      <c r="T127" s="16"/>
      <c r="U127" s="16"/>
      <c r="V127" s="16">
        <f ca="1">_xll.DBRW($D$4,$E$7,$E$8,$E$9,$E$10,$E$12,$D127,$E$6,V$18,V$17)</f>
        <v>-0.25270338000000009</v>
      </c>
      <c r="W127" s="16">
        <f ca="1">_xll.DBRW($D$4,$E$7,$E$8,$E$9,$E$10,$E$12,$D127,$E$6,W$18,W$17)</f>
        <v>8.0278345540132676E-2</v>
      </c>
      <c r="X127" s="16"/>
      <c r="Y127" s="16"/>
      <c r="Z127" s="16"/>
      <c r="AA127" s="16"/>
      <c r="AB127" s="16">
        <f ca="1">_xll.DBRW($D$4,$E$7,$E$8,$E$9,$E$10,$E$12,$D127,$E$6,AB$18,AB$17)</f>
        <v>-0.32674429999999982</v>
      </c>
      <c r="AC127" s="16">
        <f ca="1">_xll.DBRW($D$4,$E$7,$E$8,$E$9,$E$10,$E$12,$D127,$E$6,AC$18,AC$17)</f>
        <v>0.10379952899193018</v>
      </c>
      <c r="AD127" s="16"/>
      <c r="AE127" s="16"/>
      <c r="AF127" s="16"/>
      <c r="AG127" s="16"/>
      <c r="AH127" s="16">
        <f ca="1">_xll.DBRW($D$4,$E$7,$E$8,$E$9,$E$10,$E$12,$D127,$E$6,AH$18,AH$17)</f>
        <v>-0.57884528999999985</v>
      </c>
      <c r="AI127" s="16">
        <f ca="1">_xll.DBRW($D$4,$E$7,$E$8,$E$9,$E$10,$E$12,$D127,$E$6,AI$18,AI$17)</f>
        <v>0.18388650838345841</v>
      </c>
      <c r="AJ127" s="16"/>
      <c r="AK127" s="16"/>
      <c r="AL127" s="16"/>
      <c r="AM127" s="16"/>
      <c r="AN127" s="16">
        <f ca="1">_xll.DBRW($D$4,$E$7,$E$8,$E$9,$E$10,$E$12,$D127,$E$6,AN$18,AN$17)</f>
        <v>-0.48121467999999984</v>
      </c>
      <c r="AO127" s="16">
        <f ca="1">_xll.DBRW($D$4,$E$7,$E$8,$E$9,$E$10,$E$12,$D127,$E$6,AO$18,AO$17)</f>
        <v>0.15287139554692283</v>
      </c>
      <c r="AP127" s="16"/>
      <c r="AQ127" s="16"/>
      <c r="AR127" s="16"/>
      <c r="AS127" s="16"/>
      <c r="AT127" s="16">
        <f ca="1">_xll.DBRW($D$4,$E$7,$E$8,$E$9,$E$10,$E$12,$D127,$E$6,AT$18,AT$17)</f>
        <v>4.8645020000000004E-2</v>
      </c>
      <c r="AU127" s="16">
        <f ca="1">_xll.DBRW($D$4,$E$7,$E$8,$E$9,$E$10,$E$12,$D127,$E$6,AU$18,AU$17)</f>
        <v>1.0887099999999998</v>
      </c>
      <c r="AV127" s="16">
        <f ca="1">_xll.DBRW($D$4,$E$7,$E$8,$E$9,$E$10,$E$12,$D127,$E$6,AV$18,AV$17)</f>
        <v>1.0887099999999998</v>
      </c>
      <c r="AW127" s="16">
        <f ca="1">_xll.DBRW($D$4,$E$7,$E$8,$E$9,$E$10,$E$12,$D127,$E$6,AW$18,AW$17)</f>
        <v>1.0887099999999998</v>
      </c>
      <c r="AX127" s="16">
        <f ca="1">_xll.DBRW($D$4,$E$7,$E$8,$E$9,$E$10,$E$12,$D127,$E$6,AX$18,AX$17)</f>
        <v>0.31536399999999998</v>
      </c>
      <c r="AY127" s="16">
        <f ca="1">_xll.DBRW($D$4,$E$7,$E$8,$E$9,$E$10,$E$12,$D127,$E$6,AY$18,AY$17)</f>
        <v>1.0887099999999998</v>
      </c>
      <c r="AZ127" s="16">
        <f ca="1">_xll.DBRW($D$4,$E$7,$E$8,$E$9,$E$10,$E$12,$D127,$E$6,AZ$18,AZ$17)</f>
        <v>0.66249634000000013</v>
      </c>
      <c r="BA127" s="16">
        <f ca="1">_xll.DBRW($D$4,$E$7,$E$8,$E$9,$E$10,$E$12,$D127,$E$6,BA$18,BA$17)</f>
        <v>1.0887099999999998</v>
      </c>
      <c r="BB127" s="16">
        <f ca="1">_xll.DBRW($D$4,$E$7,$E$8,$E$9,$E$10,$E$12,$D127,$E$6,BB$18,BB$17)</f>
        <v>1.0887099999999998</v>
      </c>
      <c r="BC127" s="16">
        <f ca="1">_xll.DBRW($D$4,$E$7,$E$8,$E$9,$E$10,$E$12,$D127,$E$6,BC$18,BC$17)</f>
        <v>1.0887099999999998</v>
      </c>
      <c r="BD127" s="16">
        <f ca="1">_xll.DBRW($D$4,$E$7,$E$8,$E$9,$E$10,$E$12,$D127,$E$6,BD$18,BD$17)</f>
        <v>-2.2745719081020327E-2</v>
      </c>
      <c r="BE127" s="16">
        <f ca="1">_xll.DBRW($D$4,$E$7,$E$8,$E$9,$E$10,$E$12,$D127,$E$6,BE$18,BE$17)</f>
        <v>-0.35447954999999998</v>
      </c>
      <c r="BF127" s="16">
        <f ca="1">_xll.DBRW($D$4,$E$7,$E$8,$E$9,$E$10,$E$12,$D127,$E$6,BF$18,BF$17)</f>
        <v>0</v>
      </c>
      <c r="BG127" s="26">
        <f ca="1">_xll.DBRW($D$4,$E$7,$E$8,$E$9,$E$10,$E$12,$D127,$E$6,BG$18,BG$17)</f>
        <v>0</v>
      </c>
      <c r="BH127" s="26">
        <f ca="1">_xll.DBRW($D$4,$E$7,$E$8,$E$9,$E$10,$E$12,$D127,$E$6,BH$18,BH$17)</f>
        <v>0</v>
      </c>
      <c r="BI127" s="26">
        <f ca="1">_xll.DBRW($D$4,$E$7,$E$8,$E$9,$E$10,$E$12,$D127,$E$6,BI$18,BI$17)</f>
        <v>0</v>
      </c>
      <c r="BJ127" s="26">
        <f ca="1">_xll.DBRW($D$4,$E$7,$E$8,$E$9,$E$10,$E$12,$D127,$E$6,BJ$18,BJ$17)</f>
        <v>0</v>
      </c>
      <c r="BK127" s="16">
        <f ca="1">_xll.DBRW($D$4,$E$7,$E$8,$E$9,$E$10,$E$12,$D127,$E$6,BK$18,BK$17)</f>
        <v>0.33173383091897968</v>
      </c>
      <c r="BL127" s="16">
        <f ca="1">_xll.DBRW($D$4,$E$7,$E$8,$E$9,$E$10,$E$12,$D127,$E$6,BL$18,BL$17)</f>
        <v>4.0720358766666696</v>
      </c>
      <c r="BM127" s="16">
        <f ca="1">_xll.DBRW($D$4,$E$7,$E$8,$E$9,$E$10,$E$12,$D127,$E$6,BM$18,BM$17)</f>
        <v>-1.50866806</v>
      </c>
      <c r="BN127" s="16">
        <f ca="1">_xll.DBRW($D$4,$E$7,$E$8,$E$9,$E$10,$E$12,$D127,$E$6,BN$18,BN$17)</f>
        <v>0.37049478582565476</v>
      </c>
      <c r="BO127" s="16"/>
      <c r="BP127" s="16"/>
      <c r="BQ127" s="16"/>
      <c r="BR127" s="16"/>
      <c r="BS127" s="16">
        <f ca="1">_xll.DBRW($D$4,$E$7,$E$8,$E$9,$E$10,$E$12,$D127,$E$6,BS$18,BS$17)</f>
        <v>-0.24874672361546796</v>
      </c>
      <c r="BT127" s="16">
        <f ca="1">_xll.DBRW($D$4,$E$7,$E$8,$E$9,$E$10,$E$12,$D127,$E$6,BT$18,BT$17)</f>
        <v>6.108657466424134E-2</v>
      </c>
      <c r="BU127" s="16"/>
      <c r="BV127" s="16"/>
      <c r="BW127" s="16"/>
      <c r="BX127" s="16"/>
      <c r="BY127" s="16">
        <f ca="1">_xll.DBRW($D$4,$E$7,$E$8,$E$9,$E$10,$E$12,$D127,$E$6,BY$18,BY$17)</f>
        <v>-0.35542052213222242</v>
      </c>
      <c r="BZ127" s="16">
        <f ca="1">_xll.DBRW($D$4,$E$7,$E$8,$E$9,$E$10,$E$12,$D127,$E$6,BZ$18,BZ$17)</f>
        <v>8.7283249189632955E-2</v>
      </c>
      <c r="CA127" s="16"/>
      <c r="CB127" s="16"/>
      <c r="CC127" s="16"/>
      <c r="CD127" s="16"/>
      <c r="CE127" s="16">
        <f ca="1">_xll.DBRW($D$4,$E$7,$E$8,$E$9,$E$10,$E$12,$D127,$E$6,CE$18,CE$17)</f>
        <v>-0.78932254999999985</v>
      </c>
      <c r="CF127" s="16">
        <f ca="1">_xll.DBRW($D$4,$E$7,$E$8,$E$9,$E$10,$E$12,$D127,$E$6,CF$18,CF$17)</f>
        <v>0.19383978282778094</v>
      </c>
      <c r="CG127" s="16"/>
      <c r="CH127" s="16"/>
      <c r="CI127" s="16"/>
      <c r="CJ127" s="16"/>
      <c r="CK127" s="16">
        <f ca="1">_xll.DBRW($D$4,$E$7,$E$8,$E$9,$E$10,$E$12,$D127,$E$6,CK$18,CK$17)</f>
        <v>-0.83814419000000007</v>
      </c>
      <c r="CL127" s="16">
        <f ca="1">_xll.DBRW($D$4,$E$7,$E$8,$E$9,$E$10,$E$12,$D127,$E$6,CL$18,CL$17)</f>
        <v>0.20582927444295923</v>
      </c>
      <c r="CM127" s="16"/>
      <c r="CN127" s="16"/>
      <c r="CO127" s="16"/>
      <c r="CP127" s="16"/>
      <c r="CQ127" s="16">
        <f ca="1">_xll.DBRW($D$4,$E$7,$E$8,$E$9,$E$10,$E$12,$D127,$E$6,CQ$18,CQ$17)</f>
        <v>6.2263999999999993E-2</v>
      </c>
      <c r="CR127" s="16">
        <f ca="1">_xll.DBRW($D$4,$E$7,$E$8,$E$9,$E$10,$E$12,$D127,$E$6,CR$18,CR$17)</f>
        <v>1.4575727178</v>
      </c>
      <c r="CS127" s="16">
        <f ca="1">_xll.DBRW($D$4,$E$7,$E$8,$E$9,$E$10,$E$12,$D127,$E$6,CS$18,CS$17)</f>
        <v>1.4575727178</v>
      </c>
      <c r="CT127" s="16">
        <f ca="1">_xll.DBRW($D$4,$E$7,$E$8,$E$9,$E$10,$E$12,$D127,$E$6,CT$18,CT$17)</f>
        <v>1.4575727178</v>
      </c>
      <c r="CU127" s="16">
        <f ca="1">_xll.DBRW($D$4,$E$7,$E$8,$E$9,$E$10,$E$12,$D127,$E$6,CU$18,CU$17)</f>
        <v>0.41438792367054</v>
      </c>
      <c r="CV127" s="16">
        <f ca="1">_xll.DBRW($D$4,$E$7,$E$8,$E$9,$E$10,$E$12,$D127,$E$6,CV$18,CV$17)</f>
        <v>1.4575727178</v>
      </c>
      <c r="CW127" s="16">
        <f ca="1">_xll.DBRW($D$4,$E$7,$E$8,$E$9,$E$10,$E$12,$D127,$E$6,CW$18,CW$17)</f>
        <v>0.97968382363999984</v>
      </c>
      <c r="CX127" s="16">
        <f ca="1">_xll.DBRW($D$4,$E$7,$E$8,$E$9,$E$10,$E$12,$D127,$E$6,CX$18,CX$17)</f>
        <v>1.4575727178</v>
      </c>
      <c r="CY127" s="16">
        <f ca="1">_xll.DBRW($D$4,$E$7,$E$8,$E$9,$E$10,$E$12,$D127,$E$6,CY$18,CY$17)</f>
        <v>1.4575727178</v>
      </c>
      <c r="CZ127" s="16">
        <f ca="1">_xll.DBRW($D$4,$E$7,$E$8,$E$9,$E$10,$E$12,$D127,$E$6,CZ$18,CZ$17)</f>
        <v>1.4575727178</v>
      </c>
      <c r="DA127" s="26">
        <f t="shared" ca="1" si="108"/>
        <v>1.7847529081019969E-2</v>
      </c>
      <c r="DB127" s="26">
        <f t="shared" ca="1" si="109"/>
        <v>8.1512940000000089E-2</v>
      </c>
      <c r="DC127" s="26">
        <f t="shared" ca="1" si="110"/>
        <v>0</v>
      </c>
      <c r="DD127" s="26">
        <f t="shared" ca="1" si="111"/>
        <v>-2.2900500000000001E-3</v>
      </c>
      <c r="DE127" s="26">
        <f t="shared" ca="1" si="112"/>
        <v>0</v>
      </c>
      <c r="DF127" s="26">
        <f t="shared" ca="1" si="113"/>
        <v>0</v>
      </c>
      <c r="DG127" s="26">
        <f t="shared" ca="1" si="114"/>
        <v>0</v>
      </c>
      <c r="DH127" s="26">
        <f t="shared" ca="1" si="115"/>
        <v>-6.1375360918980104E-2</v>
      </c>
      <c r="DI127" s="26">
        <f t="shared" ca="1" si="116"/>
        <v>-0.92419596666667037</v>
      </c>
      <c r="DJ127" s="26">
        <f t="shared" ca="1" si="117"/>
        <v>0.27069426999999968</v>
      </c>
      <c r="DK127" s="26">
        <f t="shared" ca="1" si="118"/>
        <v>2.2782453613119813E-2</v>
      </c>
      <c r="DL127" s="26"/>
      <c r="DM127" s="26"/>
      <c r="DN127" s="26"/>
      <c r="DO127" s="26"/>
      <c r="DP127" s="26">
        <f t="shared" ca="1" si="119"/>
        <v>-3.9566563845321312E-3</v>
      </c>
      <c r="DQ127" s="26">
        <f t="shared" ca="1" si="120"/>
        <v>1.9191770875891336E-2</v>
      </c>
      <c r="DR127" s="26"/>
      <c r="DS127" s="26"/>
      <c r="DT127" s="26"/>
      <c r="DU127" s="26"/>
      <c r="DV127" s="26">
        <f t="shared" ca="1" si="121"/>
        <v>2.8676222132222595E-2</v>
      </c>
      <c r="DW127" s="26">
        <f t="shared" ca="1" si="122"/>
        <v>1.6516279802297223E-2</v>
      </c>
      <c r="DX127" s="26"/>
      <c r="DY127" s="26"/>
      <c r="DZ127" s="26"/>
      <c r="EA127" s="26"/>
      <c r="EB127" s="26">
        <f t="shared" ca="1" si="123"/>
        <v>0.21047726</v>
      </c>
      <c r="EC127" s="26">
        <f t="shared" ca="1" si="124"/>
        <v>-9.9532744443225352E-3</v>
      </c>
      <c r="ED127" s="26"/>
      <c r="EE127" s="26"/>
      <c r="EF127" s="26"/>
      <c r="EG127" s="26"/>
      <c r="EH127" s="26">
        <f t="shared" ca="1" si="125"/>
        <v>0.35692951000000023</v>
      </c>
      <c r="EI127" s="29">
        <f t="shared" ca="1" si="126"/>
        <v>-5.2957878896036398E-2</v>
      </c>
      <c r="EJ127" s="29"/>
      <c r="EK127" s="29"/>
      <c r="EL127" s="29"/>
      <c r="EM127" s="29"/>
      <c r="EN127" s="93"/>
      <c r="EO127" s="29"/>
      <c r="EP127" s="29"/>
      <c r="EQ127" s="29"/>
      <c r="ER127" s="29"/>
      <c r="ES127" s="29"/>
      <c r="ET127" s="29"/>
      <c r="EU127" s="93"/>
      <c r="EV127" s="29"/>
      <c r="EW127" s="29"/>
      <c r="EX127" s="29"/>
      <c r="EY127" s="29"/>
      <c r="EZ127" s="29"/>
      <c r="FA127" s="29"/>
      <c r="FB127" s="93"/>
      <c r="FC127" s="29"/>
      <c r="FD127" s="29"/>
      <c r="FE127" s="29"/>
      <c r="FF127" s="29"/>
      <c r="FG127" s="29"/>
      <c r="FH127" s="29"/>
      <c r="FI127" s="93"/>
      <c r="FJ127" s="29"/>
      <c r="FK127" s="29"/>
      <c r="FL127" s="29"/>
      <c r="FM127" s="29"/>
      <c r="FN127" s="29"/>
      <c r="FO127" s="29"/>
      <c r="FP127" s="93"/>
      <c r="FQ127" s="29"/>
      <c r="FR127" s="29"/>
      <c r="FS127" s="29"/>
      <c r="FT127" s="29"/>
      <c r="FU127" s="29"/>
      <c r="FV127" s="29"/>
    </row>
    <row r="128" spans="1:178" x14ac:dyDescent="0.25">
      <c r="A128" t="str">
        <f ca="1">IF(_xll.TM1RPTELISCONSOLIDATED($D$28,$D128),IF(_xll.TM1RPTELLEV($D$28,$D128)&lt;=3,_xll.TM1RPTELLEV($D$28,$D128),"D"),"N")</f>
        <v>N</v>
      </c>
      <c r="B128" t="str">
        <f ca="1">_xll.DBRA(Server&amp;"Management_organization",$D128,$B$27)</f>
        <v>L</v>
      </c>
      <c r="C128">
        <v>1</v>
      </c>
      <c r="D128" s="2" t="s">
        <v>128</v>
      </c>
      <c r="E128" s="26"/>
      <c r="F128" s="26"/>
      <c r="G128" s="16">
        <f ca="1">_xll.DBRW($D$4,$E$7,$E$8,$E$9,$E$10,$E$12,$D128,$E$6,G$18,G$17)</f>
        <v>8.6165590000001083E-2</v>
      </c>
      <c r="H128" s="16">
        <f ca="1">_xll.DBRW($D$4,$E$7,$E$8,$E$9,$E$10,$E$12,$D128,$E$6,H$18,H$17)</f>
        <v>-0.43560057999999996</v>
      </c>
      <c r="I128" s="16">
        <f ca="1">_xll.DBRW($D$4,$E$7,$E$8,$E$9,$E$10,$E$12,$D128,$E$6,I$18,I$17)</f>
        <v>0</v>
      </c>
      <c r="J128" s="26">
        <f ca="1">_xll.DBRW($D$4,$E$7,$E$8,$E$9,$E$10,$E$12,$D128,$E$6,J$18,J$17)</f>
        <v>0</v>
      </c>
      <c r="K128" s="26">
        <f ca="1">_xll.DBRW($D$4,$E$7,$E$8,$E$9,$E$10,$E$12,$D128,$E$6,K$18,K$17)</f>
        <v>0</v>
      </c>
      <c r="L128" s="26">
        <f ca="1">_xll.DBRW($D$4,$E$7,$E$8,$E$9,$E$10,$E$12,$D128,$E$6,L$18,L$17)</f>
        <v>0</v>
      </c>
      <c r="M128" s="26">
        <f ca="1">_xll.DBRW($D$4,$E$7,$E$8,$E$9,$E$10,$E$12,$D128,$E$6,M$18,M$17)</f>
        <v>0</v>
      </c>
      <c r="N128" s="16">
        <f ca="1">_xll.DBRW($D$4,$E$7,$E$8,$E$9,$E$10,$E$12,$D128,$E$6,N$18,N$17)</f>
        <v>0.52176617000000103</v>
      </c>
      <c r="O128" s="16">
        <f ca="1">_xll.DBRW($D$4,$E$7,$E$8,$E$9,$E$10,$E$12,$D128,$E$6,O$18,O$17)</f>
        <v>7.1388180199999995</v>
      </c>
      <c r="P128" s="74">
        <f ca="1">_xll.DBRW($D$4,$E$7,$E$8,$E$9,$E$10,$E$12,$D128,$E$6,P$18,P$17)</f>
        <v>-3.0068375799999996</v>
      </c>
      <c r="Q128" s="16">
        <f ca="1">_xll.DBRW($D$4,$E$7,$E$8,$E$9,$E$10,$E$12,$D128,$E$6,Q$18,Q$17)</f>
        <v>0.42119543761671624</v>
      </c>
      <c r="R128" s="16"/>
      <c r="S128" s="16"/>
      <c r="T128" s="16"/>
      <c r="U128" s="16"/>
      <c r="V128" s="16">
        <f ca="1">_xll.DBRW($D$4,$E$7,$E$8,$E$9,$E$10,$E$12,$D128,$E$6,V$18,V$17)</f>
        <v>-0.71656223999999991</v>
      </c>
      <c r="W128" s="16">
        <f ca="1">_xll.DBRW($D$4,$E$7,$E$8,$E$9,$E$10,$E$12,$D128,$E$6,W$18,W$17)</f>
        <v>0.10037547364178362</v>
      </c>
      <c r="X128" s="16"/>
      <c r="Y128" s="16"/>
      <c r="Z128" s="16"/>
      <c r="AA128" s="16"/>
      <c r="AB128" s="16">
        <f ca="1">_xll.DBRW($D$4,$E$7,$E$8,$E$9,$E$10,$E$12,$D128,$E$6,AB$18,AB$17)</f>
        <v>-0.79853545999999997</v>
      </c>
      <c r="AC128" s="16">
        <f ca="1">_xll.DBRW($D$4,$E$7,$E$8,$E$9,$E$10,$E$12,$D128,$E$6,AC$18,AC$17)</f>
        <v>0.111858217671726</v>
      </c>
      <c r="AD128" s="16"/>
      <c r="AE128" s="16"/>
      <c r="AF128" s="16"/>
      <c r="AG128" s="16"/>
      <c r="AH128" s="16">
        <f ca="1">_xll.DBRW($D$4,$E$7,$E$8,$E$9,$E$10,$E$12,$D128,$E$6,AH$18,AH$17)</f>
        <v>-1.15254988</v>
      </c>
      <c r="AI128" s="16">
        <f ca="1">_xll.DBRW($D$4,$E$7,$E$8,$E$9,$E$10,$E$12,$D128,$E$6,AI$18,AI$17)</f>
        <v>0.1614482785204826</v>
      </c>
      <c r="AJ128" s="16"/>
      <c r="AK128" s="16"/>
      <c r="AL128" s="16"/>
      <c r="AM128" s="16"/>
      <c r="AN128" s="16">
        <f ca="1">_xll.DBRW($D$4,$E$7,$E$8,$E$9,$E$10,$E$12,$D128,$E$6,AN$18,AN$17)</f>
        <v>-0.94256668999999982</v>
      </c>
      <c r="AO128" s="16">
        <f ca="1">_xll.DBRW($D$4,$E$7,$E$8,$E$9,$E$10,$E$12,$D128,$E$6,AO$18,AO$17)</f>
        <v>0.13203399881595523</v>
      </c>
      <c r="AP128" s="16"/>
      <c r="AQ128" s="16"/>
      <c r="AR128" s="16"/>
      <c r="AS128" s="16"/>
      <c r="AT128" s="16">
        <f ca="1">_xll.DBRW($D$4,$E$7,$E$8,$E$9,$E$10,$E$12,$D128,$E$6,AT$18,AT$17)</f>
        <v>0.12204514000000002</v>
      </c>
      <c r="AU128" s="16">
        <f ca="1">_xll.DBRW($D$4,$E$7,$E$8,$E$9,$E$10,$E$12,$D128,$E$6,AU$18,AU$17)</f>
        <v>2.9590239999999999</v>
      </c>
      <c r="AV128" s="16">
        <f ca="1">_xll.DBRW($D$4,$E$7,$E$8,$E$9,$E$10,$E$12,$D128,$E$6,AV$18,AV$17)</f>
        <v>2.9590239999999999</v>
      </c>
      <c r="AW128" s="16">
        <f ca="1">_xll.DBRW($D$4,$E$7,$E$8,$E$9,$E$10,$E$12,$D128,$E$6,AW$18,AW$17)</f>
        <v>2.9590239999999999</v>
      </c>
      <c r="AX128" s="16">
        <f ca="1">_xll.DBRW($D$4,$E$7,$E$8,$E$9,$E$10,$E$12,$D128,$E$6,AX$18,AX$17)</f>
        <v>0.82655597190000007</v>
      </c>
      <c r="AY128" s="16">
        <f ca="1">_xll.DBRW($D$4,$E$7,$E$8,$E$9,$E$10,$E$12,$D128,$E$6,AY$18,AY$17)</f>
        <v>2.9590239999999999</v>
      </c>
      <c r="AZ128" s="16">
        <f ca="1">_xll.DBRW($D$4,$E$7,$E$8,$E$9,$E$10,$E$12,$D128,$E$6,AZ$18,AZ$17)</f>
        <v>1.9243049999999999</v>
      </c>
      <c r="BA128" s="16">
        <f ca="1">_xll.DBRW($D$4,$E$7,$E$8,$E$9,$E$10,$E$12,$D128,$E$6,BA$18,BA$17)</f>
        <v>2.9590239999999999</v>
      </c>
      <c r="BB128" s="16">
        <f ca="1">_xll.DBRW($D$4,$E$7,$E$8,$E$9,$E$10,$E$12,$D128,$E$6,BB$18,BB$17)</f>
        <v>2.9590239999999999</v>
      </c>
      <c r="BC128" s="16">
        <f ca="1">_xll.DBRW($D$4,$E$7,$E$8,$E$9,$E$10,$E$12,$D128,$E$6,BC$18,BC$17)</f>
        <v>2.9590239999999999</v>
      </c>
      <c r="BD128" s="16">
        <f ca="1">_xll.DBRW($D$4,$E$7,$E$8,$E$9,$E$10,$E$12,$D128,$E$6,BD$18,BD$17)</f>
        <v>0.11431245542269677</v>
      </c>
      <c r="BE128" s="16">
        <f ca="1">_xll.DBRW($D$4,$E$7,$E$8,$E$9,$E$10,$E$12,$D128,$E$6,BE$18,BE$17)</f>
        <v>-0.48584842010635398</v>
      </c>
      <c r="BF128" s="16">
        <f ca="1">_xll.DBRW($D$4,$E$7,$E$8,$E$9,$E$10,$E$12,$D128,$E$6,BF$18,BF$17)</f>
        <v>0</v>
      </c>
      <c r="BG128" s="26">
        <f ca="1">_xll.DBRW($D$4,$E$7,$E$8,$E$9,$E$10,$E$12,$D128,$E$6,BG$18,BG$17)</f>
        <v>0</v>
      </c>
      <c r="BH128" s="26">
        <f ca="1">_xll.DBRW($D$4,$E$7,$E$8,$E$9,$E$10,$E$12,$D128,$E$6,BH$18,BH$17)</f>
        <v>0</v>
      </c>
      <c r="BI128" s="26">
        <f ca="1">_xll.DBRW($D$4,$E$7,$E$8,$E$9,$E$10,$E$12,$D128,$E$6,BI$18,BI$17)</f>
        <v>0</v>
      </c>
      <c r="BJ128" s="26">
        <f ca="1">_xll.DBRW($D$4,$E$7,$E$8,$E$9,$E$10,$E$12,$D128,$E$6,BJ$18,BJ$17)</f>
        <v>0</v>
      </c>
      <c r="BK128" s="16">
        <f ca="1">_xll.DBRW($D$4,$E$7,$E$8,$E$9,$E$10,$E$12,$D128,$E$6,BK$18,BK$17)</f>
        <v>0.60016087552905073</v>
      </c>
      <c r="BL128" s="16">
        <f ca="1">_xll.DBRW($D$4,$E$7,$E$8,$E$9,$E$10,$E$12,$D128,$E$6,BL$18,BL$17)</f>
        <v>7.9405594035396012</v>
      </c>
      <c r="BM128" s="16">
        <f ca="1">_xll.DBRW($D$4,$E$7,$E$8,$E$9,$E$10,$E$12,$D128,$E$6,BM$18,BM$17)</f>
        <v>-3.3006871267088829</v>
      </c>
      <c r="BN128" s="16">
        <f ca="1">_xll.DBRW($D$4,$E$7,$E$8,$E$9,$E$10,$E$12,$D128,$E$6,BN$18,BN$17)</f>
        <v>0.41567438249219085</v>
      </c>
      <c r="BO128" s="16"/>
      <c r="BP128" s="16"/>
      <c r="BQ128" s="16"/>
      <c r="BR128" s="16"/>
      <c r="BS128" s="16">
        <f ca="1">_xll.DBRW($D$4,$E$7,$E$8,$E$9,$E$10,$E$12,$D128,$E$6,BS$18,BS$17)</f>
        <v>-0.77877862218380411</v>
      </c>
      <c r="BT128" s="16">
        <f ca="1">_xll.DBRW($D$4,$E$7,$E$8,$E$9,$E$10,$E$12,$D128,$E$6,BT$18,BT$17)</f>
        <v>9.8076040062952494E-2</v>
      </c>
      <c r="BU128" s="16"/>
      <c r="BV128" s="16"/>
      <c r="BW128" s="16"/>
      <c r="BX128" s="16"/>
      <c r="BY128" s="16">
        <f ca="1">_xll.DBRW($D$4,$E$7,$E$8,$E$9,$E$10,$E$12,$D128,$E$6,BY$18,BY$17)</f>
        <v>-0.79750991357073486</v>
      </c>
      <c r="BZ128" s="16">
        <f ca="1">_xll.DBRW($D$4,$E$7,$E$8,$E$9,$E$10,$E$12,$D128,$E$6,BZ$18,BZ$17)</f>
        <v>0.10043497857534257</v>
      </c>
      <c r="CA128" s="16"/>
      <c r="CB128" s="16"/>
      <c r="CC128" s="16"/>
      <c r="CD128" s="16"/>
      <c r="CE128" s="16">
        <f ca="1">_xll.DBRW($D$4,$E$7,$E$8,$E$9,$E$10,$E$12,$D128,$E$6,CE$18,CE$17)</f>
        <v>-1.3869634547474954</v>
      </c>
      <c r="CF128" s="16">
        <f ca="1">_xll.DBRW($D$4,$E$7,$E$8,$E$9,$E$10,$E$12,$D128,$E$6,CF$18,CF$17)</f>
        <v>0.17466822981378863</v>
      </c>
      <c r="CG128" s="16"/>
      <c r="CH128" s="16"/>
      <c r="CI128" s="16"/>
      <c r="CJ128" s="16"/>
      <c r="CK128" s="16">
        <f ca="1">_xll.DBRW($D$4,$E$7,$E$8,$E$9,$E$10,$E$12,$D128,$E$6,CK$18,CK$17)</f>
        <v>-1.0764594107996319</v>
      </c>
      <c r="CL128" s="16">
        <f ca="1">_xll.DBRW($D$4,$E$7,$E$8,$E$9,$E$10,$E$12,$D128,$E$6,CL$18,CL$17)</f>
        <v>0.13556468204491828</v>
      </c>
      <c r="CM128" s="16"/>
      <c r="CN128" s="16"/>
      <c r="CO128" s="16"/>
      <c r="CP128" s="16"/>
      <c r="CQ128" s="16">
        <f ca="1">_xll.DBRW($D$4,$E$7,$E$8,$E$9,$E$10,$E$12,$D128,$E$6,CQ$18,CQ$17)</f>
        <v>0.12925368001406573</v>
      </c>
      <c r="CR128" s="16">
        <f ca="1">_xll.DBRW($D$4,$E$7,$E$8,$E$9,$E$10,$E$12,$D128,$E$6,CR$18,CR$17)</f>
        <v>3.2764610159999998</v>
      </c>
      <c r="CS128" s="16">
        <f ca="1">_xll.DBRW($D$4,$E$7,$E$8,$E$9,$E$10,$E$12,$D128,$E$6,CS$18,CS$17)</f>
        <v>3.2764610159999998</v>
      </c>
      <c r="CT128" s="16">
        <f ca="1">_xll.DBRW($D$4,$E$7,$E$8,$E$9,$E$10,$E$12,$D128,$E$6,CT$18,CT$17)</f>
        <v>3.2764610159999998</v>
      </c>
      <c r="CU128" s="16">
        <f ca="1">_xll.DBRW($D$4,$E$7,$E$8,$E$9,$E$10,$E$12,$D128,$E$6,CU$18,CU$17)</f>
        <v>0.95251030055000008</v>
      </c>
      <c r="CV128" s="16">
        <f ca="1">_xll.DBRW($D$4,$E$7,$E$8,$E$9,$E$10,$E$12,$D128,$E$6,CV$18,CV$17)</f>
        <v>3.2764610159999998</v>
      </c>
      <c r="CW128" s="16">
        <f ca="1">_xll.DBRW($D$4,$E$7,$E$8,$E$9,$E$10,$E$12,$D128,$E$6,CW$18,CW$17)</f>
        <v>2.1899302633218141</v>
      </c>
      <c r="CX128" s="16">
        <f ca="1">_xll.DBRW($D$4,$E$7,$E$8,$E$9,$E$10,$E$12,$D128,$E$6,CX$18,CX$17)</f>
        <v>3.2764610159999998</v>
      </c>
      <c r="CY128" s="16">
        <f ca="1">_xll.DBRW($D$4,$E$7,$E$8,$E$9,$E$10,$E$12,$D128,$E$6,CY$18,CY$17)</f>
        <v>3.2764610159999998</v>
      </c>
      <c r="CZ128" s="16">
        <f ca="1">_xll.DBRW($D$4,$E$7,$E$8,$E$9,$E$10,$E$12,$D128,$E$6,CZ$18,CZ$17)</f>
        <v>3.2764610159999998</v>
      </c>
      <c r="DA128" s="26">
        <f t="shared" ca="1" si="108"/>
        <v>-2.8146865422695691E-2</v>
      </c>
      <c r="DB128" s="26">
        <f t="shared" ca="1" si="109"/>
        <v>5.0247840106354025E-2</v>
      </c>
      <c r="DC128" s="26">
        <f t="shared" ca="1" si="110"/>
        <v>0</v>
      </c>
      <c r="DD128" s="26">
        <f t="shared" ca="1" si="111"/>
        <v>0</v>
      </c>
      <c r="DE128" s="26">
        <f t="shared" ca="1" si="112"/>
        <v>0</v>
      </c>
      <c r="DF128" s="26">
        <f t="shared" ca="1" si="113"/>
        <v>0</v>
      </c>
      <c r="DG128" s="26">
        <f t="shared" ca="1" si="114"/>
        <v>0</v>
      </c>
      <c r="DH128" s="26">
        <f t="shared" ca="1" si="115"/>
        <v>-7.8394705529049702E-2</v>
      </c>
      <c r="DI128" s="26">
        <f t="shared" ca="1" si="116"/>
        <v>-0.80174138353960167</v>
      </c>
      <c r="DJ128" s="26">
        <f t="shared" ca="1" si="117"/>
        <v>0.2938495467088833</v>
      </c>
      <c r="DK128" s="26">
        <f t="shared" ca="1" si="118"/>
        <v>5.5210551245253869E-3</v>
      </c>
      <c r="DL128" s="26"/>
      <c r="DM128" s="26"/>
      <c r="DN128" s="26"/>
      <c r="DO128" s="26"/>
      <c r="DP128" s="26">
        <f t="shared" ca="1" si="119"/>
        <v>6.2216382183804209E-2</v>
      </c>
      <c r="DQ128" s="26">
        <f t="shared" ca="1" si="120"/>
        <v>2.2994335788311254E-3</v>
      </c>
      <c r="DR128" s="26"/>
      <c r="DS128" s="26"/>
      <c r="DT128" s="26"/>
      <c r="DU128" s="26"/>
      <c r="DV128" s="26">
        <f t="shared" ca="1" si="121"/>
        <v>-1.0255464292651117E-3</v>
      </c>
      <c r="DW128" s="26">
        <f t="shared" ca="1" si="122"/>
        <v>1.1423239096383431E-2</v>
      </c>
      <c r="DX128" s="26"/>
      <c r="DY128" s="26"/>
      <c r="DZ128" s="26"/>
      <c r="EA128" s="26"/>
      <c r="EB128" s="26">
        <f t="shared" ca="1" si="123"/>
        <v>0.23441357474749536</v>
      </c>
      <c r="EC128" s="26">
        <f t="shared" ca="1" si="124"/>
        <v>-1.3219951293306026E-2</v>
      </c>
      <c r="ED128" s="26"/>
      <c r="EE128" s="26"/>
      <c r="EF128" s="26"/>
      <c r="EG128" s="26"/>
      <c r="EH128" s="26">
        <f t="shared" ca="1" si="125"/>
        <v>0.1338927207996321</v>
      </c>
      <c r="EI128" s="29">
        <f t="shared" ca="1" si="126"/>
        <v>-3.5306832289630496E-3</v>
      </c>
      <c r="EJ128" s="29"/>
      <c r="EK128" s="29"/>
      <c r="EL128" s="29"/>
      <c r="EM128" s="29"/>
      <c r="EN128" s="93"/>
      <c r="EO128" s="29"/>
      <c r="EP128" s="29"/>
      <c r="EQ128" s="29"/>
      <c r="ER128" s="29"/>
      <c r="ES128" s="29"/>
      <c r="ET128" s="29"/>
      <c r="EU128" s="93"/>
      <c r="EV128" s="29"/>
      <c r="EW128" s="29"/>
      <c r="EX128" s="29"/>
      <c r="EY128" s="29"/>
      <c r="EZ128" s="29"/>
      <c r="FA128" s="29"/>
      <c r="FB128" s="93"/>
      <c r="FC128" s="29"/>
      <c r="FD128" s="29"/>
      <c r="FE128" s="29"/>
      <c r="FF128" s="29"/>
      <c r="FG128" s="29"/>
      <c r="FH128" s="29"/>
      <c r="FI128" s="93"/>
      <c r="FJ128" s="29"/>
      <c r="FK128" s="29"/>
      <c r="FL128" s="29"/>
      <c r="FM128" s="29"/>
      <c r="FN128" s="29"/>
      <c r="FO128" s="29"/>
      <c r="FP128" s="93"/>
      <c r="FQ128" s="29"/>
      <c r="FR128" s="29"/>
      <c r="FS128" s="29"/>
      <c r="FT128" s="29"/>
      <c r="FU128" s="29"/>
      <c r="FV128" s="29"/>
    </row>
    <row r="129" spans="1:178" x14ac:dyDescent="0.25">
      <c r="A129" t="str">
        <f ca="1">IF(_xll.TM1RPTELISCONSOLIDATED($D$28,$D129),IF(_xll.TM1RPTELLEV($D$28,$D129)&lt;=3,_xll.TM1RPTELLEV($D$28,$D129),"D"),"N")</f>
        <v>N</v>
      </c>
      <c r="B129" t="str">
        <f ca="1">_xll.DBRA(Server&amp;"Management_organization",$D129,$B$27)</f>
        <v>L</v>
      </c>
      <c r="C129">
        <v>1</v>
      </c>
      <c r="D129" s="2" t="s">
        <v>129</v>
      </c>
      <c r="E129" s="26"/>
      <c r="F129" s="26"/>
      <c r="G129" s="16">
        <f ca="1">_xll.DBRW($D$4,$E$7,$E$8,$E$9,$E$10,$E$12,$D129,$E$6,G$18,G$17)</f>
        <v>9.0487330000000407E-2</v>
      </c>
      <c r="H129" s="16">
        <f ca="1">_xll.DBRW($D$4,$E$7,$E$8,$E$9,$E$10,$E$12,$D129,$E$6,H$18,H$17)</f>
        <v>-0.28381759000000001</v>
      </c>
      <c r="I129" s="16">
        <f ca="1">_xll.DBRW($D$4,$E$7,$E$8,$E$9,$E$10,$E$12,$D129,$E$6,I$18,I$17)</f>
        <v>0</v>
      </c>
      <c r="J129" s="26">
        <f ca="1">_xll.DBRW($D$4,$E$7,$E$8,$E$9,$E$10,$E$12,$D129,$E$6,J$18,J$17)</f>
        <v>0</v>
      </c>
      <c r="K129" s="26">
        <f ca="1">_xll.DBRW($D$4,$E$7,$E$8,$E$9,$E$10,$E$12,$D129,$E$6,K$18,K$17)</f>
        <v>0</v>
      </c>
      <c r="L129" s="26">
        <f ca="1">_xll.DBRW($D$4,$E$7,$E$8,$E$9,$E$10,$E$12,$D129,$E$6,L$18,L$17)</f>
        <v>0</v>
      </c>
      <c r="M129" s="26">
        <f ca="1">_xll.DBRW($D$4,$E$7,$E$8,$E$9,$E$10,$E$12,$D129,$E$6,M$18,M$17)</f>
        <v>0</v>
      </c>
      <c r="N129" s="16">
        <f ca="1">_xll.DBRW($D$4,$E$7,$E$8,$E$9,$E$10,$E$12,$D129,$E$6,N$18,N$17)</f>
        <v>0.37430492000000043</v>
      </c>
      <c r="O129" s="16">
        <f ca="1">_xll.DBRW($D$4,$E$7,$E$8,$E$9,$E$10,$E$12,$D129,$E$6,O$18,O$17)</f>
        <v>2.3410655100000004</v>
      </c>
      <c r="P129" s="74">
        <f ca="1">_xll.DBRW($D$4,$E$7,$E$8,$E$9,$E$10,$E$12,$D129,$E$6,P$18,P$17)</f>
        <v>-0.78888742999999983</v>
      </c>
      <c r="Q129" s="16">
        <f ca="1">_xll.DBRW($D$4,$E$7,$E$8,$E$9,$E$10,$E$12,$D129,$E$6,Q$18,Q$17)</f>
        <v>0.33697793873354687</v>
      </c>
      <c r="R129" s="16"/>
      <c r="S129" s="16"/>
      <c r="T129" s="16"/>
      <c r="U129" s="16"/>
      <c r="V129" s="16">
        <f ca="1">_xll.DBRW($D$4,$E$7,$E$8,$E$9,$E$10,$E$12,$D129,$E$6,V$18,V$17)</f>
        <v>-0.16462887000000001</v>
      </c>
      <c r="W129" s="16">
        <f ca="1">_xll.DBRW($D$4,$E$7,$E$8,$E$9,$E$10,$E$12,$D129,$E$6,W$18,W$17)</f>
        <v>7.0322197006780898E-2</v>
      </c>
      <c r="X129" s="16"/>
      <c r="Y129" s="16"/>
      <c r="Z129" s="16"/>
      <c r="AA129" s="16"/>
      <c r="AB129" s="16">
        <f ca="1">_xll.DBRW($D$4,$E$7,$E$8,$E$9,$E$10,$E$12,$D129,$E$6,AB$18,AB$17)</f>
        <v>-0.11027906999999998</v>
      </c>
      <c r="AC129" s="16">
        <f ca="1">_xll.DBRW($D$4,$E$7,$E$8,$E$9,$E$10,$E$12,$D129,$E$6,AC$18,AC$17)</f>
        <v>4.710635799337369E-2</v>
      </c>
      <c r="AD129" s="16"/>
      <c r="AE129" s="16"/>
      <c r="AF129" s="16"/>
      <c r="AG129" s="16"/>
      <c r="AH129" s="16">
        <f ca="1">_xll.DBRW($D$4,$E$7,$E$8,$E$9,$E$10,$E$12,$D129,$E$6,AH$18,AH$17)</f>
        <v>-0.13347531999999998</v>
      </c>
      <c r="AI129" s="16">
        <f ca="1">_xll.DBRW($D$4,$E$7,$E$8,$E$9,$E$10,$E$12,$D129,$E$6,AI$18,AI$17)</f>
        <v>5.7014773584870747E-2</v>
      </c>
      <c r="AJ129" s="16"/>
      <c r="AK129" s="16"/>
      <c r="AL129" s="16"/>
      <c r="AM129" s="16"/>
      <c r="AN129" s="16">
        <f ca="1">_xll.DBRW($D$4,$E$7,$E$8,$E$9,$E$10,$E$12,$D129,$E$6,AN$18,AN$17)</f>
        <v>-0.76948989999999984</v>
      </c>
      <c r="AO129" s="16">
        <f ca="1">_xll.DBRW($D$4,$E$7,$E$8,$E$9,$E$10,$E$12,$D129,$E$6,AO$18,AO$17)</f>
        <v>0.3286921688919332</v>
      </c>
      <c r="AP129" s="16"/>
      <c r="AQ129" s="16"/>
      <c r="AR129" s="16"/>
      <c r="AS129" s="16"/>
      <c r="AT129" s="16">
        <f ca="1">_xll.DBRW($D$4,$E$7,$E$8,$E$9,$E$10,$E$12,$D129,$E$6,AT$18,AT$17)</f>
        <v>2.4922619999999996E-2</v>
      </c>
      <c r="AU129" s="16">
        <f ca="1">_xll.DBRW($D$4,$E$7,$E$8,$E$9,$E$10,$E$12,$D129,$E$6,AU$18,AU$17)</f>
        <v>0.37509599999999998</v>
      </c>
      <c r="AV129" s="16">
        <f ca="1">_xll.DBRW($D$4,$E$7,$E$8,$E$9,$E$10,$E$12,$D129,$E$6,AV$18,AV$17)</f>
        <v>0.37509599999999998</v>
      </c>
      <c r="AW129" s="16">
        <f ca="1">_xll.DBRW($D$4,$E$7,$E$8,$E$9,$E$10,$E$12,$D129,$E$6,AW$18,AW$17)</f>
        <v>0.37509599999999998</v>
      </c>
      <c r="AX129" s="16">
        <f ca="1">_xll.DBRW($D$4,$E$7,$E$8,$E$9,$E$10,$E$12,$D129,$E$6,AX$18,AX$17)</f>
        <v>8.5074999999999984E-2</v>
      </c>
      <c r="AY129" s="16">
        <f ca="1">_xll.DBRW($D$4,$E$7,$E$8,$E$9,$E$10,$E$12,$D129,$E$6,AY$18,AY$17)</f>
        <v>0.37509599999999998</v>
      </c>
      <c r="AZ129" s="16">
        <f ca="1">_xll.DBRW($D$4,$E$7,$E$8,$E$9,$E$10,$E$12,$D129,$E$6,AZ$18,AZ$17)</f>
        <v>0.33155499999999993</v>
      </c>
      <c r="BA129" s="16">
        <f ca="1">_xll.DBRW($D$4,$E$7,$E$8,$E$9,$E$10,$E$12,$D129,$E$6,BA$18,BA$17)</f>
        <v>0.37509599999999998</v>
      </c>
      <c r="BB129" s="16">
        <f ca="1">_xll.DBRW($D$4,$E$7,$E$8,$E$9,$E$10,$E$12,$D129,$E$6,BB$18,BB$17)</f>
        <v>0.37509599999999998</v>
      </c>
      <c r="BC129" s="16">
        <f ca="1">_xll.DBRW($D$4,$E$7,$E$8,$E$9,$E$10,$E$12,$D129,$E$6,BC$18,BC$17)</f>
        <v>0.37509599999999998</v>
      </c>
      <c r="BD129" s="16">
        <f ca="1">_xll.DBRW($D$4,$E$7,$E$8,$E$9,$E$10,$E$12,$D129,$E$6,BD$18,BD$17)</f>
        <v>7.5342684010359068E-2</v>
      </c>
      <c r="BE129" s="16">
        <f ca="1">_xll.DBRW($D$4,$E$7,$E$8,$E$9,$E$10,$E$12,$D129,$E$6,BE$18,BE$17)</f>
        <v>-0.32163666000000002</v>
      </c>
      <c r="BF129" s="16">
        <f ca="1">_xll.DBRW($D$4,$E$7,$E$8,$E$9,$E$10,$E$12,$D129,$E$6,BF$18,BF$17)</f>
        <v>0</v>
      </c>
      <c r="BG129" s="26">
        <f ca="1">_xll.DBRW($D$4,$E$7,$E$8,$E$9,$E$10,$E$12,$D129,$E$6,BG$18,BG$17)</f>
        <v>0</v>
      </c>
      <c r="BH129" s="26">
        <f ca="1">_xll.DBRW($D$4,$E$7,$E$8,$E$9,$E$10,$E$12,$D129,$E$6,BH$18,BH$17)</f>
        <v>0</v>
      </c>
      <c r="BI129" s="26">
        <f ca="1">_xll.DBRW($D$4,$E$7,$E$8,$E$9,$E$10,$E$12,$D129,$E$6,BI$18,BI$17)</f>
        <v>0</v>
      </c>
      <c r="BJ129" s="26">
        <f ca="1">_xll.DBRW($D$4,$E$7,$E$8,$E$9,$E$10,$E$12,$D129,$E$6,BJ$18,BJ$17)</f>
        <v>0</v>
      </c>
      <c r="BK129" s="16">
        <f ca="1">_xll.DBRW($D$4,$E$7,$E$8,$E$9,$E$10,$E$12,$D129,$E$6,BK$18,BK$17)</f>
        <v>0.396979344010359</v>
      </c>
      <c r="BL129" s="16">
        <f ca="1">_xll.DBRW($D$4,$E$7,$E$8,$E$9,$E$10,$E$12,$D129,$E$6,BL$18,BL$17)</f>
        <v>2.6093180299999998</v>
      </c>
      <c r="BM129" s="16">
        <f ca="1">_xll.DBRW($D$4,$E$7,$E$8,$E$9,$E$10,$E$12,$D129,$E$6,BM$18,BM$17)</f>
        <v>-0.86896930000000006</v>
      </c>
      <c r="BN129" s="16">
        <f ca="1">_xll.DBRW($D$4,$E$7,$E$8,$E$9,$E$10,$E$12,$D129,$E$6,BN$18,BN$17)</f>
        <v>0.33302544573303705</v>
      </c>
      <c r="BO129" s="16"/>
      <c r="BP129" s="16"/>
      <c r="BQ129" s="16"/>
      <c r="BR129" s="16"/>
      <c r="BS129" s="16">
        <f ca="1">_xll.DBRW($D$4,$E$7,$E$8,$E$9,$E$10,$E$12,$D129,$E$6,BS$18,BS$17)</f>
        <v>-0.13977576</v>
      </c>
      <c r="BT129" s="16">
        <f ca="1">_xll.DBRW($D$4,$E$7,$E$8,$E$9,$E$10,$E$12,$D129,$E$6,BT$18,BT$17)</f>
        <v>5.3567927861978559E-2</v>
      </c>
      <c r="BU129" s="16"/>
      <c r="BV129" s="16"/>
      <c r="BW129" s="16"/>
      <c r="BX129" s="16"/>
      <c r="BY129" s="16">
        <f ca="1">_xll.DBRW($D$4,$E$7,$E$8,$E$9,$E$10,$E$12,$D129,$E$6,BY$18,BY$17)</f>
        <v>-0.11533737598964</v>
      </c>
      <c r="BZ129" s="16">
        <f ca="1">_xll.DBRW($D$4,$E$7,$E$8,$E$9,$E$10,$E$12,$D129,$E$6,BZ$18,BZ$17)</f>
        <v>4.4202115136436633E-2</v>
      </c>
      <c r="CA129" s="16"/>
      <c r="CB129" s="16"/>
      <c r="CC129" s="16"/>
      <c r="CD129" s="16"/>
      <c r="CE129" s="16">
        <f ca="1">_xll.DBRW($D$4,$E$7,$E$8,$E$9,$E$10,$E$12,$D129,$E$6,CE$18,CE$17)</f>
        <v>-0.14980176999999997</v>
      </c>
      <c r="CF129" s="16">
        <f ca="1">_xll.DBRW($D$4,$E$7,$E$8,$E$9,$E$10,$E$12,$D129,$E$6,CF$18,CF$17)</f>
        <v>5.7410314985636299E-2</v>
      </c>
      <c r="CG129" s="16"/>
      <c r="CH129" s="16"/>
      <c r="CI129" s="16"/>
      <c r="CJ129" s="16"/>
      <c r="CK129" s="16">
        <f ca="1">_xll.DBRW($D$4,$E$7,$E$8,$E$9,$E$10,$E$12,$D129,$E$6,CK$18,CK$17)</f>
        <v>-0.93845448000000009</v>
      </c>
      <c r="CL129" s="16">
        <f ca="1">_xll.DBRW($D$4,$E$7,$E$8,$E$9,$E$10,$E$12,$D129,$E$6,CL$18,CL$17)</f>
        <v>0.35965507815082248</v>
      </c>
      <c r="CM129" s="16"/>
      <c r="CN129" s="16"/>
      <c r="CO129" s="16"/>
      <c r="CP129" s="16"/>
      <c r="CQ129" s="16">
        <f ca="1">_xll.DBRW($D$4,$E$7,$E$8,$E$9,$E$10,$E$12,$D129,$E$6,CQ$18,CQ$17)</f>
        <v>3.7223769999999989E-2</v>
      </c>
      <c r="CR129" s="16">
        <f ca="1">_xll.DBRW($D$4,$E$7,$E$8,$E$9,$E$10,$E$12,$D129,$E$6,CR$18,CR$17)</f>
        <v>0.52293919</v>
      </c>
      <c r="CS129" s="16">
        <f ca="1">_xll.DBRW($D$4,$E$7,$E$8,$E$9,$E$10,$E$12,$D129,$E$6,CS$18,CS$17)</f>
        <v>0.52293919</v>
      </c>
      <c r="CT129" s="16">
        <f ca="1">_xll.DBRW($D$4,$E$7,$E$8,$E$9,$E$10,$E$12,$D129,$E$6,CT$18,CT$17)</f>
        <v>0.52293919</v>
      </c>
      <c r="CU129" s="16">
        <f ca="1">_xll.DBRW($D$4,$E$7,$E$8,$E$9,$E$10,$E$12,$D129,$E$6,CU$18,CU$17)</f>
        <v>0.1464229732</v>
      </c>
      <c r="CV129" s="16">
        <f ca="1">_xll.DBRW($D$4,$E$7,$E$8,$E$9,$E$10,$E$12,$D129,$E$6,CV$18,CV$17)</f>
        <v>0.52293919</v>
      </c>
      <c r="CW129" s="16">
        <f ca="1">_xll.DBRW($D$4,$E$7,$E$8,$E$9,$E$10,$E$12,$D129,$E$6,CW$18,CW$17)</f>
        <v>0.44153820000000005</v>
      </c>
      <c r="CX129" s="16">
        <f ca="1">_xll.DBRW($D$4,$E$7,$E$8,$E$9,$E$10,$E$12,$D129,$E$6,CX$18,CX$17)</f>
        <v>0.52293919</v>
      </c>
      <c r="CY129" s="16">
        <f ca="1">_xll.DBRW($D$4,$E$7,$E$8,$E$9,$E$10,$E$12,$D129,$E$6,CY$18,CY$17)</f>
        <v>0.52293919</v>
      </c>
      <c r="CZ129" s="16">
        <f ca="1">_xll.DBRW($D$4,$E$7,$E$8,$E$9,$E$10,$E$12,$D129,$E$6,CZ$18,CZ$17)</f>
        <v>0.52293919</v>
      </c>
      <c r="DA129" s="26">
        <f t="shared" ca="1" si="108"/>
        <v>1.5144645989641339E-2</v>
      </c>
      <c r="DB129" s="26">
        <f t="shared" ca="1" si="109"/>
        <v>3.781907000000001E-2</v>
      </c>
      <c r="DC129" s="26">
        <f t="shared" ca="1" si="110"/>
        <v>0</v>
      </c>
      <c r="DD129" s="26">
        <f t="shared" ca="1" si="111"/>
        <v>0</v>
      </c>
      <c r="DE129" s="26">
        <f t="shared" ca="1" si="112"/>
        <v>0</v>
      </c>
      <c r="DF129" s="26">
        <f t="shared" ca="1" si="113"/>
        <v>0</v>
      </c>
      <c r="DG129" s="26">
        <f t="shared" ca="1" si="114"/>
        <v>0</v>
      </c>
      <c r="DH129" s="26">
        <f t="shared" ca="1" si="115"/>
        <v>-2.2674424010358574E-2</v>
      </c>
      <c r="DI129" s="26">
        <f t="shared" ca="1" si="116"/>
        <v>-0.26825251999999944</v>
      </c>
      <c r="DJ129" s="26">
        <f t="shared" ca="1" si="117"/>
        <v>8.0081870000000221E-2</v>
      </c>
      <c r="DK129" s="26">
        <f t="shared" ca="1" si="118"/>
        <v>3.9524930005098158E-3</v>
      </c>
      <c r="DL129" s="26"/>
      <c r="DM129" s="26"/>
      <c r="DN129" s="26"/>
      <c r="DO129" s="26"/>
      <c r="DP129" s="26">
        <f t="shared" ca="1" si="119"/>
        <v>-2.4853110000000012E-2</v>
      </c>
      <c r="DQ129" s="26">
        <f t="shared" ca="1" si="120"/>
        <v>1.6754269144802339E-2</v>
      </c>
      <c r="DR129" s="26"/>
      <c r="DS129" s="26"/>
      <c r="DT129" s="26"/>
      <c r="DU129" s="26"/>
      <c r="DV129" s="26">
        <f t="shared" ca="1" si="121"/>
        <v>5.0583059896400218E-3</v>
      </c>
      <c r="DW129" s="26">
        <f t="shared" ca="1" si="122"/>
        <v>2.9042428569370574E-3</v>
      </c>
      <c r="DX129" s="26"/>
      <c r="DY129" s="26"/>
      <c r="DZ129" s="26"/>
      <c r="EA129" s="26"/>
      <c r="EB129" s="26">
        <f t="shared" ca="1" si="123"/>
        <v>1.6326449999999992E-2</v>
      </c>
      <c r="EC129" s="26">
        <f t="shared" ca="1" si="124"/>
        <v>-3.9554140076555194E-4</v>
      </c>
      <c r="ED129" s="26"/>
      <c r="EE129" s="26"/>
      <c r="EF129" s="26"/>
      <c r="EG129" s="26"/>
      <c r="EH129" s="26">
        <f t="shared" ca="1" si="125"/>
        <v>0.16896458000000025</v>
      </c>
      <c r="EI129" s="29">
        <f t="shared" ca="1" si="126"/>
        <v>-3.0962909258889282E-2</v>
      </c>
      <c r="EJ129" s="29"/>
      <c r="EK129" s="29"/>
      <c r="EL129" s="29"/>
      <c r="EM129" s="29"/>
      <c r="EN129" s="93"/>
      <c r="EO129" s="29"/>
      <c r="EP129" s="29"/>
      <c r="EQ129" s="29"/>
      <c r="ER129" s="29"/>
      <c r="ES129" s="29"/>
      <c r="ET129" s="29"/>
      <c r="EU129" s="93"/>
      <c r="EV129" s="29"/>
      <c r="EW129" s="29"/>
      <c r="EX129" s="29"/>
      <c r="EY129" s="29"/>
      <c r="EZ129" s="29"/>
      <c r="FA129" s="29"/>
      <c r="FB129" s="93"/>
      <c r="FC129" s="29"/>
      <c r="FD129" s="29"/>
      <c r="FE129" s="29"/>
      <c r="FF129" s="29"/>
      <c r="FG129" s="29"/>
      <c r="FH129" s="29"/>
      <c r="FI129" s="93"/>
      <c r="FJ129" s="29"/>
      <c r="FK129" s="29"/>
      <c r="FL129" s="29"/>
      <c r="FM129" s="29"/>
      <c r="FN129" s="29"/>
      <c r="FO129" s="29"/>
      <c r="FP129" s="93"/>
      <c r="FQ129" s="29"/>
      <c r="FR129" s="29"/>
      <c r="FS129" s="29"/>
      <c r="FT129" s="29"/>
      <c r="FU129" s="29"/>
      <c r="FV129" s="29"/>
    </row>
    <row r="130" spans="1:178" x14ac:dyDescent="0.25">
      <c r="A130" t="str">
        <f ca="1">IF(_xll.TM1RPTELISCONSOLIDATED($D$28,$D130),IF(_xll.TM1RPTELLEV($D$28,$D130)&lt;=3,_xll.TM1RPTELLEV($D$28,$D130),"D"),"N")</f>
        <v>N</v>
      </c>
      <c r="B130" t="str">
        <f ca="1">_xll.DBRA(Server&amp;"Management_organization",$D130,$B$27)</f>
        <v>L</v>
      </c>
      <c r="C130">
        <v>1</v>
      </c>
      <c r="D130" s="2" t="s">
        <v>130</v>
      </c>
      <c r="E130" s="26"/>
      <c r="F130" s="26"/>
      <c r="G130" s="16">
        <f ca="1">_xll.DBRW($D$4,$E$7,$E$8,$E$9,$E$10,$E$12,$D130,$E$6,G$18,G$17)</f>
        <v>0.35335960999999999</v>
      </c>
      <c r="H130" s="16">
        <f ca="1">_xll.DBRW($D$4,$E$7,$E$8,$E$9,$E$10,$E$12,$D130,$E$6,H$18,H$17)</f>
        <v>-2.0958509999999996E-2</v>
      </c>
      <c r="I130" s="16">
        <f ca="1">_xll.DBRW($D$4,$E$7,$E$8,$E$9,$E$10,$E$12,$D130,$E$6,I$18,I$17)</f>
        <v>0</v>
      </c>
      <c r="J130" s="26">
        <f ca="1">_xll.DBRW($D$4,$E$7,$E$8,$E$9,$E$10,$E$12,$D130,$E$6,J$18,J$17)</f>
        <v>0</v>
      </c>
      <c r="K130" s="26">
        <f ca="1">_xll.DBRW($D$4,$E$7,$E$8,$E$9,$E$10,$E$12,$D130,$E$6,K$18,K$17)</f>
        <v>0</v>
      </c>
      <c r="L130" s="26">
        <f ca="1">_xll.DBRW($D$4,$E$7,$E$8,$E$9,$E$10,$E$12,$D130,$E$6,L$18,L$17)</f>
        <v>0</v>
      </c>
      <c r="M130" s="26">
        <f ca="1">_xll.DBRW($D$4,$E$7,$E$8,$E$9,$E$10,$E$12,$D130,$E$6,M$18,M$17)</f>
        <v>0</v>
      </c>
      <c r="N130" s="16">
        <f ca="1">_xll.DBRW($D$4,$E$7,$E$8,$E$9,$E$10,$E$12,$D130,$E$6,N$18,N$17)</f>
        <v>0.37431812000000003</v>
      </c>
      <c r="O130" s="16">
        <f ca="1">_xll.DBRW($D$4,$E$7,$E$8,$E$9,$E$10,$E$12,$D130,$E$6,O$18,O$17)</f>
        <v>4.1371260000000014E-2</v>
      </c>
      <c r="P130" s="74">
        <f ca="1">_xll.DBRW($D$4,$E$7,$E$8,$E$9,$E$10,$E$12,$D130,$E$6,P$18,P$17)</f>
        <v>-5.2059500000000009E-3</v>
      </c>
      <c r="Q130" s="16">
        <f ca="1">_xll.DBRW($D$4,$E$7,$E$8,$E$9,$E$10,$E$12,$D130,$E$6,Q$18,Q$17)</f>
        <v>0.12583493952081709</v>
      </c>
      <c r="R130" s="16"/>
      <c r="S130" s="16"/>
      <c r="T130" s="16"/>
      <c r="U130" s="16"/>
      <c r="V130" s="16">
        <f ca="1">_xll.DBRW($D$4,$E$7,$E$8,$E$9,$E$10,$E$12,$D130,$E$6,V$18,V$17)</f>
        <v>-5.0344600000000002E-3</v>
      </c>
      <c r="W130" s="16">
        <f ca="1">_xll.DBRW($D$4,$E$7,$E$8,$E$9,$E$10,$E$12,$D130,$E$6,W$18,W$17)</f>
        <v>0.12168979141558653</v>
      </c>
      <c r="X130" s="16"/>
      <c r="Y130" s="16"/>
      <c r="Z130" s="16"/>
      <c r="AA130" s="16"/>
      <c r="AB130" s="16">
        <f ca="1">_xll.DBRW($D$4,$E$7,$E$8,$E$9,$E$10,$E$12,$D130,$E$6,AB$18,AB$17)</f>
        <v>-3.35936E-3</v>
      </c>
      <c r="AC130" s="16">
        <f ca="1">_xll.DBRW($D$4,$E$7,$E$8,$E$9,$E$10,$E$12,$D130,$E$6,AC$18,AC$17)</f>
        <v>8.1200330857701675E-2</v>
      </c>
      <c r="AD130" s="16"/>
      <c r="AE130" s="16"/>
      <c r="AF130" s="16"/>
      <c r="AG130" s="16"/>
      <c r="AH130" s="16">
        <f ca="1">_xll.DBRW($D$4,$E$7,$E$8,$E$9,$E$10,$E$12,$D130,$E$6,AH$18,AH$17)</f>
        <v>7.9999999999999996E-6</v>
      </c>
      <c r="AI130" s="16">
        <f ca="1">_xll.DBRW($D$4,$E$7,$E$8,$E$9,$E$10,$E$12,$D130,$E$6,AI$18,AI$17)</f>
        <v>-1.9337095365236633E-4</v>
      </c>
      <c r="AJ130" s="16"/>
      <c r="AK130" s="16"/>
      <c r="AL130" s="16"/>
      <c r="AM130" s="16"/>
      <c r="AN130" s="16">
        <f ca="1">_xll.DBRW($D$4,$E$7,$E$8,$E$9,$E$10,$E$12,$D130,$E$6,AN$18,AN$17)</f>
        <v>0.34653863000000001</v>
      </c>
      <c r="AO130" s="16">
        <f ca="1">_xll.DBRW($D$4,$E$7,$E$8,$E$9,$E$10,$E$12,$D130,$E$6,AO$18,AO$17)</f>
        <v>-8.3763131700605662</v>
      </c>
      <c r="AP130" s="16"/>
      <c r="AQ130" s="16"/>
      <c r="AR130" s="16"/>
      <c r="AS130" s="16"/>
      <c r="AT130" s="16">
        <f ca="1">_xll.DBRW($D$4,$E$7,$E$8,$E$9,$E$10,$E$12,$D130,$E$6,AT$18,AT$17)</f>
        <v>0</v>
      </c>
      <c r="AU130" s="16">
        <f ca="1">_xll.DBRW($D$4,$E$7,$E$8,$E$9,$E$10,$E$12,$D130,$E$6,AU$18,AU$17)</f>
        <v>0</v>
      </c>
      <c r="AV130" s="16">
        <f ca="1">_xll.DBRW($D$4,$E$7,$E$8,$E$9,$E$10,$E$12,$D130,$E$6,AV$18,AV$17)</f>
        <v>0</v>
      </c>
      <c r="AW130" s="16">
        <f ca="1">_xll.DBRW($D$4,$E$7,$E$8,$E$9,$E$10,$E$12,$D130,$E$6,AW$18,AW$17)</f>
        <v>0</v>
      </c>
      <c r="AX130" s="16">
        <f ca="1">_xll.DBRW($D$4,$E$7,$E$8,$E$9,$E$10,$E$12,$D130,$E$6,AX$18,AX$17)</f>
        <v>0</v>
      </c>
      <c r="AY130" s="16">
        <f ca="1">_xll.DBRW($D$4,$E$7,$E$8,$E$9,$E$10,$E$12,$D130,$E$6,AY$18,AY$17)</f>
        <v>0</v>
      </c>
      <c r="AZ130" s="16">
        <f ca="1">_xll.DBRW($D$4,$E$7,$E$8,$E$9,$E$10,$E$12,$D130,$E$6,AZ$18,AZ$17)</f>
        <v>0</v>
      </c>
      <c r="BA130" s="16">
        <f ca="1">_xll.DBRW($D$4,$E$7,$E$8,$E$9,$E$10,$E$12,$D130,$E$6,BA$18,BA$17)</f>
        <v>0</v>
      </c>
      <c r="BB130" s="16">
        <f ca="1">_xll.DBRW($D$4,$E$7,$E$8,$E$9,$E$10,$E$12,$D130,$E$6,BB$18,BB$17)</f>
        <v>0</v>
      </c>
      <c r="BC130" s="16">
        <f ca="1">_xll.DBRW($D$4,$E$7,$E$8,$E$9,$E$10,$E$12,$D130,$E$6,BC$18,BC$17)</f>
        <v>0</v>
      </c>
      <c r="BD130" s="16">
        <f ca="1">_xll.DBRW($D$4,$E$7,$E$8,$E$9,$E$10,$E$12,$D130,$E$6,BD$18,BD$17)</f>
        <v>0</v>
      </c>
      <c r="BE130" s="16">
        <f ca="1">_xll.DBRW($D$4,$E$7,$E$8,$E$9,$E$10,$E$12,$D130,$E$6,BE$18,BE$17)</f>
        <v>0</v>
      </c>
      <c r="BF130" s="16">
        <f ca="1">_xll.DBRW($D$4,$E$7,$E$8,$E$9,$E$10,$E$12,$D130,$E$6,BF$18,BF$17)</f>
        <v>0</v>
      </c>
      <c r="BG130" s="26">
        <f ca="1">_xll.DBRW($D$4,$E$7,$E$8,$E$9,$E$10,$E$12,$D130,$E$6,BG$18,BG$17)</f>
        <v>0</v>
      </c>
      <c r="BH130" s="26">
        <f ca="1">_xll.DBRW($D$4,$E$7,$E$8,$E$9,$E$10,$E$12,$D130,$E$6,BH$18,BH$17)</f>
        <v>0</v>
      </c>
      <c r="BI130" s="26">
        <f ca="1">_xll.DBRW($D$4,$E$7,$E$8,$E$9,$E$10,$E$12,$D130,$E$6,BI$18,BI$17)</f>
        <v>0</v>
      </c>
      <c r="BJ130" s="26">
        <f ca="1">_xll.DBRW($D$4,$E$7,$E$8,$E$9,$E$10,$E$12,$D130,$E$6,BJ$18,BJ$17)</f>
        <v>0</v>
      </c>
      <c r="BK130" s="16">
        <f ca="1">_xll.DBRW($D$4,$E$7,$E$8,$E$9,$E$10,$E$12,$D130,$E$6,BK$18,BK$17)</f>
        <v>0</v>
      </c>
      <c r="BL130" s="16">
        <f ca="1">_xll.DBRW($D$4,$E$7,$E$8,$E$9,$E$10,$E$12,$D130,$E$6,BL$18,BL$17)</f>
        <v>0</v>
      </c>
      <c r="BM130" s="16">
        <f ca="1">_xll.DBRW($D$4,$E$7,$E$8,$E$9,$E$10,$E$12,$D130,$E$6,BM$18,BM$17)</f>
        <v>0</v>
      </c>
      <c r="BN130" s="16">
        <f ca="1">_xll.DBRW($D$4,$E$7,$E$8,$E$9,$E$10,$E$12,$D130,$E$6,BN$18,BN$17)</f>
        <v>0</v>
      </c>
      <c r="BO130" s="16"/>
      <c r="BP130" s="16"/>
      <c r="BQ130" s="16"/>
      <c r="BR130" s="16"/>
      <c r="BS130" s="16">
        <f ca="1">_xll.DBRW($D$4,$E$7,$E$8,$E$9,$E$10,$E$12,$D130,$E$6,BS$18,BS$17)</f>
        <v>0</v>
      </c>
      <c r="BT130" s="16">
        <f ca="1">_xll.DBRW($D$4,$E$7,$E$8,$E$9,$E$10,$E$12,$D130,$E$6,BT$18,BT$17)</f>
        <v>0</v>
      </c>
      <c r="BU130" s="16"/>
      <c r="BV130" s="16"/>
      <c r="BW130" s="16"/>
      <c r="BX130" s="16"/>
      <c r="BY130" s="16">
        <f ca="1">_xll.DBRW($D$4,$E$7,$E$8,$E$9,$E$10,$E$12,$D130,$E$6,BY$18,BY$17)</f>
        <v>0</v>
      </c>
      <c r="BZ130" s="16">
        <f ca="1">_xll.DBRW($D$4,$E$7,$E$8,$E$9,$E$10,$E$12,$D130,$E$6,BZ$18,BZ$17)</f>
        <v>0</v>
      </c>
      <c r="CA130" s="16"/>
      <c r="CB130" s="16"/>
      <c r="CC130" s="16"/>
      <c r="CD130" s="16"/>
      <c r="CE130" s="16">
        <f ca="1">_xll.DBRW($D$4,$E$7,$E$8,$E$9,$E$10,$E$12,$D130,$E$6,CE$18,CE$17)</f>
        <v>0</v>
      </c>
      <c r="CF130" s="16">
        <f ca="1">_xll.DBRW($D$4,$E$7,$E$8,$E$9,$E$10,$E$12,$D130,$E$6,CF$18,CF$17)</f>
        <v>0</v>
      </c>
      <c r="CG130" s="16"/>
      <c r="CH130" s="16"/>
      <c r="CI130" s="16"/>
      <c r="CJ130" s="16"/>
      <c r="CK130" s="16">
        <f ca="1">_xll.DBRW($D$4,$E$7,$E$8,$E$9,$E$10,$E$12,$D130,$E$6,CK$18,CK$17)</f>
        <v>0</v>
      </c>
      <c r="CL130" s="16">
        <f ca="1">_xll.DBRW($D$4,$E$7,$E$8,$E$9,$E$10,$E$12,$D130,$E$6,CL$18,CL$17)</f>
        <v>0</v>
      </c>
      <c r="CM130" s="16"/>
      <c r="CN130" s="16"/>
      <c r="CO130" s="16"/>
      <c r="CP130" s="16"/>
      <c r="CQ130" s="16">
        <f ca="1">_xll.DBRW($D$4,$E$7,$E$8,$E$9,$E$10,$E$12,$D130,$E$6,CQ$18,CQ$17)</f>
        <v>0</v>
      </c>
      <c r="CR130" s="16">
        <f ca="1">_xll.DBRW($D$4,$E$7,$E$8,$E$9,$E$10,$E$12,$D130,$E$6,CR$18,CR$17)</f>
        <v>0</v>
      </c>
      <c r="CS130" s="16">
        <f ca="1">_xll.DBRW($D$4,$E$7,$E$8,$E$9,$E$10,$E$12,$D130,$E$6,CS$18,CS$17)</f>
        <v>0</v>
      </c>
      <c r="CT130" s="16">
        <f ca="1">_xll.DBRW($D$4,$E$7,$E$8,$E$9,$E$10,$E$12,$D130,$E$6,CT$18,CT$17)</f>
        <v>0</v>
      </c>
      <c r="CU130" s="16">
        <f ca="1">_xll.DBRW($D$4,$E$7,$E$8,$E$9,$E$10,$E$12,$D130,$E$6,CU$18,CU$17)</f>
        <v>0</v>
      </c>
      <c r="CV130" s="16">
        <f ca="1">_xll.DBRW($D$4,$E$7,$E$8,$E$9,$E$10,$E$12,$D130,$E$6,CV$18,CV$17)</f>
        <v>0</v>
      </c>
      <c r="CW130" s="16">
        <f ca="1">_xll.DBRW($D$4,$E$7,$E$8,$E$9,$E$10,$E$12,$D130,$E$6,CW$18,CW$17)</f>
        <v>0</v>
      </c>
      <c r="CX130" s="16">
        <f ca="1">_xll.DBRW($D$4,$E$7,$E$8,$E$9,$E$10,$E$12,$D130,$E$6,CX$18,CX$17)</f>
        <v>0</v>
      </c>
      <c r="CY130" s="16">
        <f ca="1">_xll.DBRW($D$4,$E$7,$E$8,$E$9,$E$10,$E$12,$D130,$E$6,CY$18,CY$17)</f>
        <v>0</v>
      </c>
      <c r="CZ130" s="16">
        <f ca="1">_xll.DBRW($D$4,$E$7,$E$8,$E$9,$E$10,$E$12,$D130,$E$6,CZ$18,CZ$17)</f>
        <v>0</v>
      </c>
      <c r="DA130" s="26">
        <f t="shared" ca="1" si="108"/>
        <v>0.35335960999999999</v>
      </c>
      <c r="DB130" s="26">
        <f t="shared" ca="1" si="109"/>
        <v>-2.0958509999999996E-2</v>
      </c>
      <c r="DC130" s="26">
        <f t="shared" ca="1" si="110"/>
        <v>0</v>
      </c>
      <c r="DD130" s="26">
        <f t="shared" ca="1" si="111"/>
        <v>0</v>
      </c>
      <c r="DE130" s="26">
        <f t="shared" ca="1" si="112"/>
        <v>0</v>
      </c>
      <c r="DF130" s="26">
        <f t="shared" ca="1" si="113"/>
        <v>0</v>
      </c>
      <c r="DG130" s="26">
        <f t="shared" ca="1" si="114"/>
        <v>0</v>
      </c>
      <c r="DH130" s="26">
        <f t="shared" ca="1" si="115"/>
        <v>0.37431812000000003</v>
      </c>
      <c r="DI130" s="26">
        <f t="shared" ca="1" si="116"/>
        <v>4.1371260000000014E-2</v>
      </c>
      <c r="DJ130" s="26">
        <f t="shared" ca="1" si="117"/>
        <v>-5.2059500000000009E-3</v>
      </c>
      <c r="DK130" s="26">
        <f t="shared" ca="1" si="118"/>
        <v>0.12583493952081709</v>
      </c>
      <c r="DL130" s="26"/>
      <c r="DM130" s="26"/>
      <c r="DN130" s="26"/>
      <c r="DO130" s="26"/>
      <c r="DP130" s="26">
        <f t="shared" ca="1" si="119"/>
        <v>-5.0344600000000002E-3</v>
      </c>
      <c r="DQ130" s="26">
        <f t="shared" ca="1" si="120"/>
        <v>0.12168979141558653</v>
      </c>
      <c r="DR130" s="26"/>
      <c r="DS130" s="26"/>
      <c r="DT130" s="26"/>
      <c r="DU130" s="26"/>
      <c r="DV130" s="26">
        <f t="shared" ca="1" si="121"/>
        <v>-3.35936E-3</v>
      </c>
      <c r="DW130" s="26">
        <f t="shared" ca="1" si="122"/>
        <v>8.1200330857701675E-2</v>
      </c>
      <c r="DX130" s="26"/>
      <c r="DY130" s="26"/>
      <c r="DZ130" s="26"/>
      <c r="EA130" s="26"/>
      <c r="EB130" s="26">
        <f t="shared" ca="1" si="123"/>
        <v>7.9999999999999996E-6</v>
      </c>
      <c r="EC130" s="26">
        <f t="shared" ca="1" si="124"/>
        <v>-1.9337095365236633E-4</v>
      </c>
      <c r="ED130" s="26"/>
      <c r="EE130" s="26"/>
      <c r="EF130" s="26"/>
      <c r="EG130" s="26"/>
      <c r="EH130" s="26">
        <f t="shared" ca="1" si="125"/>
        <v>0.34653863000000001</v>
      </c>
      <c r="EI130" s="29">
        <f t="shared" ca="1" si="126"/>
        <v>-8.3763131700605662</v>
      </c>
      <c r="EJ130" s="29"/>
      <c r="EK130" s="29"/>
      <c r="EL130" s="29"/>
      <c r="EM130" s="29"/>
      <c r="EN130" s="93"/>
      <c r="EO130" s="29"/>
      <c r="EP130" s="29"/>
      <c r="EQ130" s="29"/>
      <c r="ER130" s="29"/>
      <c r="ES130" s="29"/>
      <c r="ET130" s="29"/>
      <c r="EU130" s="93"/>
      <c r="EV130" s="29"/>
      <c r="EW130" s="29"/>
      <c r="EX130" s="29"/>
      <c r="EY130" s="29"/>
      <c r="EZ130" s="29"/>
      <c r="FA130" s="29"/>
      <c r="FB130" s="93"/>
      <c r="FC130" s="29"/>
      <c r="FD130" s="29"/>
      <c r="FE130" s="29"/>
      <c r="FF130" s="29"/>
      <c r="FG130" s="29"/>
      <c r="FH130" s="29"/>
      <c r="FI130" s="93"/>
      <c r="FJ130" s="29"/>
      <c r="FK130" s="29"/>
      <c r="FL130" s="29"/>
      <c r="FM130" s="29"/>
      <c r="FN130" s="29"/>
      <c r="FO130" s="29"/>
      <c r="FP130" s="93"/>
      <c r="FQ130" s="29"/>
      <c r="FR130" s="29"/>
      <c r="FS130" s="29"/>
      <c r="FT130" s="29"/>
      <c r="FU130" s="29"/>
      <c r="FV130" s="29"/>
    </row>
    <row r="131" spans="1:178" x14ac:dyDescent="0.25">
      <c r="A131" t="str">
        <f ca="1">IF(_xll.TM1RPTELISCONSOLIDATED($D$28,$D131),IF(_xll.TM1RPTELLEV($D$28,$D131)&lt;=3,_xll.TM1RPTELLEV($D$28,$D131),"D"),"N")</f>
        <v>N</v>
      </c>
      <c r="B131" t="str">
        <f ca="1">_xll.DBRA(Server&amp;"Management_organization",$D131,$B$27)</f>
        <v>L</v>
      </c>
      <c r="C131">
        <v>1</v>
      </c>
      <c r="D131" s="2" t="s">
        <v>131</v>
      </c>
      <c r="E131" s="26"/>
      <c r="F131" s="26"/>
      <c r="G131" s="16">
        <f ca="1">_xll.DBRW($D$4,$E$7,$E$8,$E$9,$E$10,$E$12,$D131,$E$6,G$18,G$17)</f>
        <v>-7.5192229999999999E-2</v>
      </c>
      <c r="H131" s="16">
        <f ca="1">_xll.DBRW($D$4,$E$7,$E$8,$E$9,$E$10,$E$12,$D131,$E$6,H$18,H$17)</f>
        <v>-7.9791390000000004E-2</v>
      </c>
      <c r="I131" s="16">
        <f ca="1">_xll.DBRW($D$4,$E$7,$E$8,$E$9,$E$10,$E$12,$D131,$E$6,I$18,I$17)</f>
        <v>0</v>
      </c>
      <c r="J131" s="26">
        <f ca="1">_xll.DBRW($D$4,$E$7,$E$8,$E$9,$E$10,$E$12,$D131,$E$6,J$18,J$17)</f>
        <v>0</v>
      </c>
      <c r="K131" s="26">
        <f ca="1">_xll.DBRW($D$4,$E$7,$E$8,$E$9,$E$10,$E$12,$D131,$E$6,K$18,K$17)</f>
        <v>0</v>
      </c>
      <c r="L131" s="26">
        <f ca="1">_xll.DBRW($D$4,$E$7,$E$8,$E$9,$E$10,$E$12,$D131,$E$6,L$18,L$17)</f>
        <v>0</v>
      </c>
      <c r="M131" s="26">
        <f ca="1">_xll.DBRW($D$4,$E$7,$E$8,$E$9,$E$10,$E$12,$D131,$E$6,M$18,M$17)</f>
        <v>0</v>
      </c>
      <c r="N131" s="16">
        <f ca="1">_xll.DBRW($D$4,$E$7,$E$8,$E$9,$E$10,$E$12,$D131,$E$6,N$18,N$17)</f>
        <v>4.5991600000000049E-3</v>
      </c>
      <c r="O131" s="16">
        <f ca="1">_xll.DBRW($D$4,$E$7,$E$8,$E$9,$E$10,$E$12,$D131,$E$6,O$18,O$17)</f>
        <v>1.0011299999999998E-3</v>
      </c>
      <c r="P131" s="74">
        <f ca="1">_xll.DBRW($D$4,$E$7,$E$8,$E$9,$E$10,$E$12,$D131,$E$6,P$18,P$17)</f>
        <v>2.5670300000000001E-3</v>
      </c>
      <c r="Q131" s="16">
        <f ca="1">_xll.DBRW($D$4,$E$7,$E$8,$E$9,$E$10,$E$12,$D131,$E$6,Q$18,Q$17)</f>
        <v>-2.5641325302408284</v>
      </c>
      <c r="R131" s="16"/>
      <c r="S131" s="16"/>
      <c r="T131" s="16"/>
      <c r="U131" s="16"/>
      <c r="V131" s="16">
        <f ca="1">_xll.DBRW($D$4,$E$7,$E$8,$E$9,$E$10,$E$12,$D131,$E$6,V$18,V$17)</f>
        <v>-9.409799999999999E-4</v>
      </c>
      <c r="W131" s="16">
        <f ca="1">_xll.DBRW($D$4,$E$7,$E$8,$E$9,$E$10,$E$12,$D131,$E$6,W$18,W$17)</f>
        <v>0.93991789278115734</v>
      </c>
      <c r="X131" s="16"/>
      <c r="Y131" s="16"/>
      <c r="Z131" s="16"/>
      <c r="AA131" s="16"/>
      <c r="AB131" s="16">
        <f ca="1">_xll.DBRW($D$4,$E$7,$E$8,$E$9,$E$10,$E$12,$D131,$E$6,AB$18,AB$17)</f>
        <v>2.8332499999999998E-3</v>
      </c>
      <c r="AC131" s="16">
        <f ca="1">_xll.DBRW($D$4,$E$7,$E$8,$E$9,$E$10,$E$12,$D131,$E$6,AC$18,AC$17)</f>
        <v>-2.8300520411934516</v>
      </c>
      <c r="AD131" s="16"/>
      <c r="AE131" s="16"/>
      <c r="AF131" s="16"/>
      <c r="AG131" s="16"/>
      <c r="AH131" s="16">
        <f ca="1">_xll.DBRW($D$4,$E$7,$E$8,$E$9,$E$10,$E$12,$D131,$E$6,AH$18,AH$17)</f>
        <v>-0.11582584999999999</v>
      </c>
      <c r="AI131" s="16">
        <f ca="1">_xll.DBRW($D$4,$E$7,$E$8,$E$9,$E$10,$E$12,$D131,$E$6,AI$18,AI$17)</f>
        <v>115.69511452059174</v>
      </c>
      <c r="AJ131" s="16"/>
      <c r="AK131" s="16"/>
      <c r="AL131" s="16"/>
      <c r="AM131" s="16"/>
      <c r="AN131" s="16">
        <f ca="1">_xll.DBRW($D$4,$E$7,$E$8,$E$9,$E$10,$E$12,$D131,$E$6,AN$18,AN$17)</f>
        <v>0.11496458</v>
      </c>
      <c r="AO131" s="16">
        <f ca="1">_xll.DBRW($D$4,$E$7,$E$8,$E$9,$E$10,$E$12,$D131,$E$6,AO$18,AO$17)</f>
        <v>-114.83481665717741</v>
      </c>
      <c r="AP131" s="16"/>
      <c r="AQ131" s="16"/>
      <c r="AR131" s="16"/>
      <c r="AS131" s="16"/>
      <c r="AT131" s="16">
        <f ca="1">_xll.DBRW($D$4,$E$7,$E$8,$E$9,$E$10,$E$12,$D131,$E$6,AT$18,AT$17)</f>
        <v>0</v>
      </c>
      <c r="AU131" s="16">
        <f ca="1">_xll.DBRW($D$4,$E$7,$E$8,$E$9,$E$10,$E$12,$D131,$E$6,AU$18,AU$17)</f>
        <v>0</v>
      </c>
      <c r="AV131" s="16">
        <f ca="1">_xll.DBRW($D$4,$E$7,$E$8,$E$9,$E$10,$E$12,$D131,$E$6,AV$18,AV$17)</f>
        <v>0</v>
      </c>
      <c r="AW131" s="16">
        <f ca="1">_xll.DBRW($D$4,$E$7,$E$8,$E$9,$E$10,$E$12,$D131,$E$6,AW$18,AW$17)</f>
        <v>0</v>
      </c>
      <c r="AX131" s="16">
        <f ca="1">_xll.DBRW($D$4,$E$7,$E$8,$E$9,$E$10,$E$12,$D131,$E$6,AX$18,AX$17)</f>
        <v>0</v>
      </c>
      <c r="AY131" s="16">
        <f ca="1">_xll.DBRW($D$4,$E$7,$E$8,$E$9,$E$10,$E$12,$D131,$E$6,AY$18,AY$17)</f>
        <v>0</v>
      </c>
      <c r="AZ131" s="16">
        <f ca="1">_xll.DBRW($D$4,$E$7,$E$8,$E$9,$E$10,$E$12,$D131,$E$6,AZ$18,AZ$17)</f>
        <v>0</v>
      </c>
      <c r="BA131" s="16">
        <f ca="1">_xll.DBRW($D$4,$E$7,$E$8,$E$9,$E$10,$E$12,$D131,$E$6,BA$18,BA$17)</f>
        <v>0</v>
      </c>
      <c r="BB131" s="16">
        <f ca="1">_xll.DBRW($D$4,$E$7,$E$8,$E$9,$E$10,$E$12,$D131,$E$6,BB$18,BB$17)</f>
        <v>0</v>
      </c>
      <c r="BC131" s="16">
        <f ca="1">_xll.DBRW($D$4,$E$7,$E$8,$E$9,$E$10,$E$12,$D131,$E$6,BC$18,BC$17)</f>
        <v>0</v>
      </c>
      <c r="BD131" s="16">
        <f ca="1">_xll.DBRW($D$4,$E$7,$E$8,$E$9,$E$10,$E$12,$D131,$E$6,BD$18,BD$17)</f>
        <v>-8.2785833333333392E-2</v>
      </c>
      <c r="BE131" s="16">
        <f ca="1">_xll.DBRW($D$4,$E$7,$E$8,$E$9,$E$10,$E$12,$D131,$E$6,BE$18,BE$17)</f>
        <v>-8.2785833333333392E-2</v>
      </c>
      <c r="BF131" s="16">
        <f ca="1">_xll.DBRW($D$4,$E$7,$E$8,$E$9,$E$10,$E$12,$D131,$E$6,BF$18,BF$17)</f>
        <v>0</v>
      </c>
      <c r="BG131" s="26">
        <f ca="1">_xll.DBRW($D$4,$E$7,$E$8,$E$9,$E$10,$E$12,$D131,$E$6,BG$18,BG$17)</f>
        <v>0</v>
      </c>
      <c r="BH131" s="26">
        <f ca="1">_xll.DBRW($D$4,$E$7,$E$8,$E$9,$E$10,$E$12,$D131,$E$6,BH$18,BH$17)</f>
        <v>0</v>
      </c>
      <c r="BI131" s="26">
        <f ca="1">_xll.DBRW($D$4,$E$7,$E$8,$E$9,$E$10,$E$12,$D131,$E$6,BI$18,BI$17)</f>
        <v>0</v>
      </c>
      <c r="BJ131" s="26">
        <f ca="1">_xll.DBRW($D$4,$E$7,$E$8,$E$9,$E$10,$E$12,$D131,$E$6,BJ$18,BJ$17)</f>
        <v>0</v>
      </c>
      <c r="BK131" s="16">
        <f ca="1">_xll.DBRW($D$4,$E$7,$E$8,$E$9,$E$10,$E$12,$D131,$E$6,BK$18,BK$17)</f>
        <v>0</v>
      </c>
      <c r="BL131" s="16">
        <f ca="1">_xll.DBRW($D$4,$E$7,$E$8,$E$9,$E$10,$E$12,$D131,$E$6,BL$18,BL$17)</f>
        <v>0</v>
      </c>
      <c r="BM131" s="16">
        <f ca="1">_xll.DBRW($D$4,$E$7,$E$8,$E$9,$E$10,$E$12,$D131,$E$6,BM$18,BM$17)</f>
        <v>0</v>
      </c>
      <c r="BN131" s="16">
        <f ca="1">_xll.DBRW($D$4,$E$7,$E$8,$E$9,$E$10,$E$12,$D131,$E$6,BN$18,BN$17)</f>
        <v>0</v>
      </c>
      <c r="BO131" s="16"/>
      <c r="BP131" s="16"/>
      <c r="BQ131" s="16"/>
      <c r="BR131" s="16"/>
      <c r="BS131" s="16">
        <f ca="1">_xll.DBRW($D$4,$E$7,$E$8,$E$9,$E$10,$E$12,$D131,$E$6,BS$18,BS$17)</f>
        <v>0</v>
      </c>
      <c r="BT131" s="16">
        <f ca="1">_xll.DBRW($D$4,$E$7,$E$8,$E$9,$E$10,$E$12,$D131,$E$6,BT$18,BT$17)</f>
        <v>0</v>
      </c>
      <c r="BU131" s="16"/>
      <c r="BV131" s="16"/>
      <c r="BW131" s="16"/>
      <c r="BX131" s="16"/>
      <c r="BY131" s="16">
        <f ca="1">_xll.DBRW($D$4,$E$7,$E$8,$E$9,$E$10,$E$12,$D131,$E$6,BY$18,BY$17)</f>
        <v>0</v>
      </c>
      <c r="BZ131" s="16">
        <f ca="1">_xll.DBRW($D$4,$E$7,$E$8,$E$9,$E$10,$E$12,$D131,$E$6,BZ$18,BZ$17)</f>
        <v>0</v>
      </c>
      <c r="CA131" s="16"/>
      <c r="CB131" s="16"/>
      <c r="CC131" s="16"/>
      <c r="CD131" s="16"/>
      <c r="CE131" s="16">
        <f ca="1">_xll.DBRW($D$4,$E$7,$E$8,$E$9,$E$10,$E$12,$D131,$E$6,CE$18,CE$17)</f>
        <v>0</v>
      </c>
      <c r="CF131" s="16">
        <f ca="1">_xll.DBRW($D$4,$E$7,$E$8,$E$9,$E$10,$E$12,$D131,$E$6,CF$18,CF$17)</f>
        <v>0</v>
      </c>
      <c r="CG131" s="16"/>
      <c r="CH131" s="16"/>
      <c r="CI131" s="16"/>
      <c r="CJ131" s="16"/>
      <c r="CK131" s="16">
        <f ca="1">_xll.DBRW($D$4,$E$7,$E$8,$E$9,$E$10,$E$12,$D131,$E$6,CK$18,CK$17)</f>
        <v>0</v>
      </c>
      <c r="CL131" s="16">
        <f ca="1">_xll.DBRW($D$4,$E$7,$E$8,$E$9,$E$10,$E$12,$D131,$E$6,CL$18,CL$17)</f>
        <v>0</v>
      </c>
      <c r="CM131" s="16"/>
      <c r="CN131" s="16"/>
      <c r="CO131" s="16"/>
      <c r="CP131" s="16"/>
      <c r="CQ131" s="16">
        <f ca="1">_xll.DBRW($D$4,$E$7,$E$8,$E$9,$E$10,$E$12,$D131,$E$6,CQ$18,CQ$17)</f>
        <v>0</v>
      </c>
      <c r="CR131" s="16">
        <f ca="1">_xll.DBRW($D$4,$E$7,$E$8,$E$9,$E$10,$E$12,$D131,$E$6,CR$18,CR$17)</f>
        <v>0</v>
      </c>
      <c r="CS131" s="16">
        <f ca="1">_xll.DBRW($D$4,$E$7,$E$8,$E$9,$E$10,$E$12,$D131,$E$6,CS$18,CS$17)</f>
        <v>0</v>
      </c>
      <c r="CT131" s="16">
        <f ca="1">_xll.DBRW($D$4,$E$7,$E$8,$E$9,$E$10,$E$12,$D131,$E$6,CT$18,CT$17)</f>
        <v>0</v>
      </c>
      <c r="CU131" s="16">
        <f ca="1">_xll.DBRW($D$4,$E$7,$E$8,$E$9,$E$10,$E$12,$D131,$E$6,CU$18,CU$17)</f>
        <v>0</v>
      </c>
      <c r="CV131" s="16">
        <f ca="1">_xll.DBRW($D$4,$E$7,$E$8,$E$9,$E$10,$E$12,$D131,$E$6,CV$18,CV$17)</f>
        <v>0</v>
      </c>
      <c r="CW131" s="16">
        <f ca="1">_xll.DBRW($D$4,$E$7,$E$8,$E$9,$E$10,$E$12,$D131,$E$6,CW$18,CW$17)</f>
        <v>0</v>
      </c>
      <c r="CX131" s="16">
        <f ca="1">_xll.DBRW($D$4,$E$7,$E$8,$E$9,$E$10,$E$12,$D131,$E$6,CX$18,CX$17)</f>
        <v>0</v>
      </c>
      <c r="CY131" s="16">
        <f ca="1">_xll.DBRW($D$4,$E$7,$E$8,$E$9,$E$10,$E$12,$D131,$E$6,CY$18,CY$17)</f>
        <v>0</v>
      </c>
      <c r="CZ131" s="16">
        <f ca="1">_xll.DBRW($D$4,$E$7,$E$8,$E$9,$E$10,$E$12,$D131,$E$6,CZ$18,CZ$17)</f>
        <v>0</v>
      </c>
      <c r="DA131" s="26">
        <f t="shared" ca="1" si="108"/>
        <v>7.593603333333393E-3</v>
      </c>
      <c r="DB131" s="26">
        <f t="shared" ca="1" si="109"/>
        <v>2.9944433333333881E-3</v>
      </c>
      <c r="DC131" s="26">
        <f t="shared" ca="1" si="110"/>
        <v>0</v>
      </c>
      <c r="DD131" s="26">
        <f t="shared" ca="1" si="111"/>
        <v>0</v>
      </c>
      <c r="DE131" s="26">
        <f t="shared" ca="1" si="112"/>
        <v>0</v>
      </c>
      <c r="DF131" s="26">
        <f t="shared" ca="1" si="113"/>
        <v>0</v>
      </c>
      <c r="DG131" s="26">
        <f t="shared" ca="1" si="114"/>
        <v>0</v>
      </c>
      <c r="DH131" s="26">
        <f t="shared" ca="1" si="115"/>
        <v>4.5991600000000049E-3</v>
      </c>
      <c r="DI131" s="26">
        <f t="shared" ca="1" si="116"/>
        <v>1.0011299999999998E-3</v>
      </c>
      <c r="DJ131" s="26">
        <f t="shared" ca="1" si="117"/>
        <v>2.5670300000000001E-3</v>
      </c>
      <c r="DK131" s="26">
        <f t="shared" ca="1" si="118"/>
        <v>-2.5641325302408284</v>
      </c>
      <c r="DL131" s="26"/>
      <c r="DM131" s="26"/>
      <c r="DN131" s="26"/>
      <c r="DO131" s="26"/>
      <c r="DP131" s="26">
        <f t="shared" ca="1" si="119"/>
        <v>-9.409799999999999E-4</v>
      </c>
      <c r="DQ131" s="26">
        <f t="shared" ca="1" si="120"/>
        <v>0.93991789278115734</v>
      </c>
      <c r="DR131" s="26"/>
      <c r="DS131" s="26"/>
      <c r="DT131" s="26"/>
      <c r="DU131" s="26"/>
      <c r="DV131" s="26">
        <f t="shared" ca="1" si="121"/>
        <v>2.8332499999999998E-3</v>
      </c>
      <c r="DW131" s="26">
        <f t="shared" ca="1" si="122"/>
        <v>-2.8300520411934516</v>
      </c>
      <c r="DX131" s="26"/>
      <c r="DY131" s="26"/>
      <c r="DZ131" s="26"/>
      <c r="EA131" s="26"/>
      <c r="EB131" s="26">
        <f t="shared" ca="1" si="123"/>
        <v>-0.11582584999999999</v>
      </c>
      <c r="EC131" s="26">
        <f t="shared" ca="1" si="124"/>
        <v>115.69511452059174</v>
      </c>
      <c r="ED131" s="26"/>
      <c r="EE131" s="26"/>
      <c r="EF131" s="26"/>
      <c r="EG131" s="26"/>
      <c r="EH131" s="26">
        <f t="shared" ca="1" si="125"/>
        <v>0.11496458</v>
      </c>
      <c r="EI131" s="29">
        <f t="shared" ca="1" si="126"/>
        <v>-114.83481665717741</v>
      </c>
      <c r="EJ131" s="29"/>
      <c r="EK131" s="29"/>
      <c r="EL131" s="29"/>
      <c r="EM131" s="29"/>
      <c r="EN131" s="93"/>
      <c r="EO131" s="29"/>
      <c r="EP131" s="29"/>
      <c r="EQ131" s="29"/>
      <c r="ER131" s="29"/>
      <c r="ES131" s="29"/>
      <c r="ET131" s="29"/>
      <c r="EU131" s="93"/>
      <c r="EV131" s="29"/>
      <c r="EW131" s="29"/>
      <c r="EX131" s="29"/>
      <c r="EY131" s="29"/>
      <c r="EZ131" s="29"/>
      <c r="FA131" s="29"/>
      <c r="FB131" s="93"/>
      <c r="FC131" s="29"/>
      <c r="FD131" s="29"/>
      <c r="FE131" s="29"/>
      <c r="FF131" s="29"/>
      <c r="FG131" s="29"/>
      <c r="FH131" s="29"/>
      <c r="FI131" s="93"/>
      <c r="FJ131" s="29"/>
      <c r="FK131" s="29"/>
      <c r="FL131" s="29"/>
      <c r="FM131" s="29"/>
      <c r="FN131" s="29"/>
      <c r="FO131" s="29"/>
      <c r="FP131" s="93"/>
      <c r="FQ131" s="29"/>
      <c r="FR131" s="29"/>
      <c r="FS131" s="29"/>
      <c r="FT131" s="29"/>
      <c r="FU131" s="29"/>
      <c r="FV131" s="29"/>
    </row>
    <row r="132" spans="1:178" x14ac:dyDescent="0.25">
      <c r="A132" t="str">
        <f ca="1">IF(_xll.TM1RPTELISCONSOLIDATED($D$28,$D132),IF(_xll.TM1RPTELLEV($D$28,$D132)&lt;=3,_xll.TM1RPTELLEV($D$28,$D132),"D"),"N")</f>
        <v>N</v>
      </c>
      <c r="B132" t="str">
        <f ca="1">_xll.DBRA(Server&amp;"Management_organization",$D132,$B$27)</f>
        <v>L</v>
      </c>
      <c r="C132">
        <v>1</v>
      </c>
      <c r="D132" s="2" t="s">
        <v>336</v>
      </c>
      <c r="E132" s="26"/>
      <c r="F132" s="26"/>
      <c r="G132" s="16">
        <f ca="1">_xll.DBRW($D$4,$E$7,$E$8,$E$9,$E$10,$E$12,$D132,$E$6,G$18,G$17)</f>
        <v>-0.18345887000000147</v>
      </c>
      <c r="H132" s="16">
        <f ca="1">_xll.DBRW($D$4,$E$7,$E$8,$E$9,$E$10,$E$12,$D132,$E$6,H$18,H$17)</f>
        <v>-0.79446487999999993</v>
      </c>
      <c r="I132" s="16">
        <f ca="1">_xll.DBRW($D$4,$E$7,$E$8,$E$9,$E$10,$E$12,$D132,$E$6,I$18,I$17)</f>
        <v>0</v>
      </c>
      <c r="J132" s="26">
        <f ca="1">_xll.DBRW($D$4,$E$7,$E$8,$E$9,$E$10,$E$12,$D132,$E$6,J$18,J$17)</f>
        <v>-1.1249999999999999E-3</v>
      </c>
      <c r="K132" s="26">
        <f ca="1">_xll.DBRW($D$4,$E$7,$E$8,$E$9,$E$10,$E$12,$D132,$E$6,K$18,K$17)</f>
        <v>0</v>
      </c>
      <c r="L132" s="26">
        <f ca="1">_xll.DBRW($D$4,$E$7,$E$8,$E$9,$E$10,$E$12,$D132,$E$6,L$18,L$17)</f>
        <v>0</v>
      </c>
      <c r="M132" s="26">
        <f ca="1">_xll.DBRW($D$4,$E$7,$E$8,$E$9,$E$10,$E$12,$D132,$E$6,M$18,M$17)</f>
        <v>0</v>
      </c>
      <c r="N132" s="16">
        <f ca="1">_xll.DBRW($D$4,$E$7,$E$8,$E$9,$E$10,$E$12,$D132,$E$6,N$18,N$17)</f>
        <v>0.61213100999999859</v>
      </c>
      <c r="O132" s="16">
        <f ca="1">_xll.DBRW($D$4,$E$7,$E$8,$E$9,$E$10,$E$12,$D132,$E$6,O$18,O$17)</f>
        <v>7.3560890899999993</v>
      </c>
      <c r="P132" s="74">
        <f ca="1">_xll.DBRW($D$4,$E$7,$E$8,$E$9,$E$10,$E$12,$D132,$E$6,P$18,P$17)</f>
        <v>-4.0256205400000002</v>
      </c>
      <c r="Q132" s="16">
        <f ca="1">_xll.DBRW($D$4,$E$7,$E$8,$E$9,$E$10,$E$12,$D132,$E$6,Q$18,Q$17)</f>
        <v>0.54725010678194497</v>
      </c>
      <c r="R132" s="16"/>
      <c r="S132" s="16"/>
      <c r="T132" s="16"/>
      <c r="U132" s="16"/>
      <c r="V132" s="16">
        <f ca="1">_xll.DBRW($D$4,$E$7,$E$8,$E$9,$E$10,$E$12,$D132,$E$6,V$18,V$17)</f>
        <v>-0.54482224000000001</v>
      </c>
      <c r="W132" s="16">
        <f ca="1">_xll.DBRW($D$4,$E$7,$E$8,$E$9,$E$10,$E$12,$D132,$E$6,W$18,W$17)</f>
        <v>7.406411658888705E-2</v>
      </c>
      <c r="X132" s="16"/>
      <c r="Y132" s="16"/>
      <c r="Z132" s="16"/>
      <c r="AA132" s="16"/>
      <c r="AB132" s="16">
        <f ca="1">_xll.DBRW($D$4,$E$7,$E$8,$E$9,$E$10,$E$12,$D132,$E$6,AB$18,AB$17)</f>
        <v>-0.58513581000000003</v>
      </c>
      <c r="AC132" s="16">
        <f ca="1">_xll.DBRW($D$4,$E$7,$E$8,$E$9,$E$10,$E$12,$D132,$E$6,AC$18,AC$17)</f>
        <v>7.9544415903750304E-2</v>
      </c>
      <c r="AD132" s="16"/>
      <c r="AE132" s="16"/>
      <c r="AF132" s="16"/>
      <c r="AG132" s="16"/>
      <c r="AH132" s="16">
        <f ca="1">_xll.DBRW($D$4,$E$7,$E$8,$E$9,$E$10,$E$12,$D132,$E$6,AH$18,AH$17)</f>
        <v>-5.8118300000000005E-3</v>
      </c>
      <c r="AI132" s="16">
        <f ca="1">_xll.DBRW($D$4,$E$7,$E$8,$E$9,$E$10,$E$12,$D132,$E$6,AI$18,AI$17)</f>
        <v>7.9007063792915549E-4</v>
      </c>
      <c r="AJ132" s="16"/>
      <c r="AK132" s="16"/>
      <c r="AL132" s="16"/>
      <c r="AM132" s="16"/>
      <c r="AN132" s="16">
        <f ca="1">_xll.DBRW($D$4,$E$7,$E$8,$E$9,$E$10,$E$12,$D132,$E$6,AN$18,AN$17)</f>
        <v>-1.5825676599999998</v>
      </c>
      <c r="AO132" s="16">
        <f ca="1">_xll.DBRW($D$4,$E$7,$E$8,$E$9,$E$10,$E$12,$D132,$E$6,AO$18,AO$17)</f>
        <v>0.21513709807448783</v>
      </c>
      <c r="AP132" s="16"/>
      <c r="AQ132" s="16"/>
      <c r="AR132" s="16"/>
      <c r="AS132" s="16"/>
      <c r="AT132" s="16">
        <f ca="1">_xll.DBRW($D$4,$E$7,$E$8,$E$9,$E$10,$E$12,$D132,$E$6,AT$18,AT$17)</f>
        <v>9.6603560000000005E-2</v>
      </c>
      <c r="AU132" s="16">
        <f ca="1">_xll.DBRW($D$4,$E$7,$E$8,$E$9,$E$10,$E$12,$D132,$E$6,AU$18,AU$17)</f>
        <v>1.31445783</v>
      </c>
      <c r="AV132" s="16">
        <f ca="1">_xll.DBRW($D$4,$E$7,$E$8,$E$9,$E$10,$E$12,$D132,$E$6,AV$18,AV$17)</f>
        <v>1.31445783</v>
      </c>
      <c r="AW132" s="16">
        <f ca="1">_xll.DBRW($D$4,$E$7,$E$8,$E$9,$E$10,$E$12,$D132,$E$6,AW$18,AW$17)</f>
        <v>1.31445783</v>
      </c>
      <c r="AX132" s="16">
        <f ca="1">_xll.DBRW($D$4,$E$7,$E$8,$E$9,$E$10,$E$12,$D132,$E$6,AX$18,AX$17)</f>
        <v>0.43210869999999996</v>
      </c>
      <c r="AY132" s="16">
        <f ca="1">_xll.DBRW($D$4,$E$7,$E$8,$E$9,$E$10,$E$12,$D132,$E$6,AY$18,AY$17)</f>
        <v>1.31445783</v>
      </c>
      <c r="AZ132" s="16">
        <f ca="1">_xll.DBRW($D$4,$E$7,$E$8,$E$9,$E$10,$E$12,$D132,$E$6,AZ$18,AZ$17)</f>
        <v>1.1869639999999999</v>
      </c>
      <c r="BA132" s="16">
        <f ca="1">_xll.DBRW($D$4,$E$7,$E$8,$E$9,$E$10,$E$12,$D132,$E$6,BA$18,BA$17)</f>
        <v>1.31445783</v>
      </c>
      <c r="BB132" s="16">
        <f ca="1">_xll.DBRW($D$4,$E$7,$E$8,$E$9,$E$10,$E$12,$D132,$E$6,BB$18,BB$17)</f>
        <v>1.31445783</v>
      </c>
      <c r="BC132" s="16">
        <f ca="1">_xll.DBRW($D$4,$E$7,$E$8,$E$9,$E$10,$E$12,$D132,$E$6,BC$18,BC$17)</f>
        <v>1.31445783</v>
      </c>
      <c r="BD132" s="16">
        <f ca="1">_xll.DBRW($D$4,$E$7,$E$8,$E$9,$E$10,$E$12,$D132,$E$6,BD$18,BD$17)</f>
        <v>-9.5883333802790349E-2</v>
      </c>
      <c r="BE132" s="16">
        <f ca="1">_xll.DBRW($D$4,$E$7,$E$8,$E$9,$E$10,$E$12,$D132,$E$6,BE$18,BE$17)</f>
        <v>-0.85214972999999983</v>
      </c>
      <c r="BF132" s="16">
        <f ca="1">_xll.DBRW($D$4,$E$7,$E$8,$E$9,$E$10,$E$12,$D132,$E$6,BF$18,BF$17)</f>
        <v>0</v>
      </c>
      <c r="BG132" s="26">
        <f ca="1">_xll.DBRW($D$4,$E$7,$E$8,$E$9,$E$10,$E$12,$D132,$E$6,BG$18,BG$17)</f>
        <v>0</v>
      </c>
      <c r="BH132" s="26">
        <f ca="1">_xll.DBRW($D$4,$E$7,$E$8,$E$9,$E$10,$E$12,$D132,$E$6,BH$18,BH$17)</f>
        <v>0</v>
      </c>
      <c r="BI132" s="26">
        <f ca="1">_xll.DBRW($D$4,$E$7,$E$8,$E$9,$E$10,$E$12,$D132,$E$6,BI$18,BI$17)</f>
        <v>0</v>
      </c>
      <c r="BJ132" s="26">
        <f ca="1">_xll.DBRW($D$4,$E$7,$E$8,$E$9,$E$10,$E$12,$D132,$E$6,BJ$18,BJ$17)</f>
        <v>0</v>
      </c>
      <c r="BK132" s="16">
        <f ca="1">_xll.DBRW($D$4,$E$7,$E$8,$E$9,$E$10,$E$12,$D132,$E$6,BK$18,BK$17)</f>
        <v>0.75626639619720948</v>
      </c>
      <c r="BL132" s="16">
        <f ca="1">_xll.DBRW($D$4,$E$7,$E$8,$E$9,$E$10,$E$12,$D132,$E$6,BL$18,BL$17)</f>
        <v>8.0650235100000014</v>
      </c>
      <c r="BM132" s="16">
        <f ca="1">_xll.DBRW($D$4,$E$7,$E$8,$E$9,$E$10,$E$12,$D132,$E$6,BM$18,BM$17)</f>
        <v>-4.4289979999999991</v>
      </c>
      <c r="BN132" s="16">
        <f ca="1">_xll.DBRW($D$4,$E$7,$E$8,$E$9,$E$10,$E$12,$D132,$E$6,BN$18,BN$17)</f>
        <v>0.5491612013912156</v>
      </c>
      <c r="BO132" s="16"/>
      <c r="BP132" s="16"/>
      <c r="BQ132" s="16"/>
      <c r="BR132" s="16"/>
      <c r="BS132" s="16">
        <f ca="1">_xll.DBRW($D$4,$E$7,$E$8,$E$9,$E$10,$E$12,$D132,$E$6,BS$18,BS$17)</f>
        <v>-0.70947413110000013</v>
      </c>
      <c r="BT132" s="16">
        <f ca="1">_xll.DBRW($D$4,$E$7,$E$8,$E$9,$E$10,$E$12,$D132,$E$6,BT$18,BT$17)</f>
        <v>8.796925764944237E-2</v>
      </c>
      <c r="BU132" s="16"/>
      <c r="BV132" s="16"/>
      <c r="BW132" s="16"/>
      <c r="BX132" s="16"/>
      <c r="BY132" s="16">
        <f ca="1">_xll.DBRW($D$4,$E$7,$E$8,$E$9,$E$10,$E$12,$D132,$E$6,BY$18,BY$17)</f>
        <v>-0.53395355270279299</v>
      </c>
      <c r="BZ132" s="16">
        <f ca="1">_xll.DBRW($D$4,$E$7,$E$8,$E$9,$E$10,$E$12,$D132,$E$6,BZ$18,BZ$17)</f>
        <v>6.6206075164037911E-2</v>
      </c>
      <c r="CA132" s="16"/>
      <c r="CB132" s="16"/>
      <c r="CC132" s="16"/>
      <c r="CD132" s="16"/>
      <c r="CE132" s="16">
        <f ca="1">_xll.DBRW($D$4,$E$7,$E$8,$E$9,$E$10,$E$12,$D132,$E$6,CE$18,CE$17)</f>
        <v>-3.8500000000000001E-3</v>
      </c>
      <c r="CF132" s="16">
        <f ca="1">_xll.DBRW($D$4,$E$7,$E$8,$E$9,$E$10,$E$12,$D132,$E$6,CF$18,CF$17)</f>
        <v>4.7736996615401059E-4</v>
      </c>
      <c r="CG132" s="16"/>
      <c r="CH132" s="16"/>
      <c r="CI132" s="16"/>
      <c r="CJ132" s="16"/>
      <c r="CK132" s="16">
        <f ca="1">_xll.DBRW($D$4,$E$7,$E$8,$E$9,$E$10,$E$12,$D132,$E$6,CK$18,CK$17)</f>
        <v>-1.6324814300000001</v>
      </c>
      <c r="CL132" s="16">
        <f ca="1">_xll.DBRW($D$4,$E$7,$E$8,$E$9,$E$10,$E$12,$D132,$E$6,CL$18,CL$17)</f>
        <v>0.20241496233406514</v>
      </c>
      <c r="CM132" s="16"/>
      <c r="CN132" s="16"/>
      <c r="CO132" s="16"/>
      <c r="CP132" s="16"/>
      <c r="CQ132" s="16">
        <f ca="1">_xll.DBRW($D$4,$E$7,$E$8,$E$9,$E$10,$E$12,$D132,$E$6,CQ$18,CQ$17)</f>
        <v>0.16483043999999997</v>
      </c>
      <c r="CR132" s="16">
        <f ca="1">_xll.DBRW($D$4,$E$7,$E$8,$E$9,$E$10,$E$12,$D132,$E$6,CR$18,CR$17)</f>
        <v>1.8324369999999999</v>
      </c>
      <c r="CS132" s="16">
        <f ca="1">_xll.DBRW($D$4,$E$7,$E$8,$E$9,$E$10,$E$12,$D132,$E$6,CS$18,CS$17)</f>
        <v>1.8324369999999999</v>
      </c>
      <c r="CT132" s="16">
        <f ca="1">_xll.DBRW($D$4,$E$7,$E$8,$E$9,$E$10,$E$12,$D132,$E$6,CT$18,CT$17)</f>
        <v>1.8324369999999999</v>
      </c>
      <c r="CU132" s="16">
        <f ca="1">_xll.DBRW($D$4,$E$7,$E$8,$E$9,$E$10,$E$12,$D132,$E$6,CU$18,CU$17)</f>
        <v>0.64347291250185989</v>
      </c>
      <c r="CV132" s="16">
        <f ca="1">_xll.DBRW($D$4,$E$7,$E$8,$E$9,$E$10,$E$12,$D132,$E$6,CV$18,CV$17)</f>
        <v>1.8324369999999999</v>
      </c>
      <c r="CW132" s="16">
        <f ca="1">_xll.DBRW($D$4,$E$7,$E$8,$E$9,$E$10,$E$12,$D132,$E$6,CW$18,CW$17)</f>
        <v>1.5764180000000001</v>
      </c>
      <c r="CX132" s="16">
        <f ca="1">_xll.DBRW($D$4,$E$7,$E$8,$E$9,$E$10,$E$12,$D132,$E$6,CX$18,CX$17)</f>
        <v>1.8324369999999999</v>
      </c>
      <c r="CY132" s="16">
        <f ca="1">_xll.DBRW($D$4,$E$7,$E$8,$E$9,$E$10,$E$12,$D132,$E$6,CY$18,CY$17)</f>
        <v>1.8324369999999999</v>
      </c>
      <c r="CZ132" s="16">
        <f ca="1">_xll.DBRW($D$4,$E$7,$E$8,$E$9,$E$10,$E$12,$D132,$E$6,CZ$18,CZ$17)</f>
        <v>1.8324369999999999</v>
      </c>
      <c r="DA132" s="26">
        <f t="shared" ca="1" si="108"/>
        <v>-8.7575536197211118E-2</v>
      </c>
      <c r="DB132" s="26">
        <f t="shared" ca="1" si="109"/>
        <v>5.7684849999999899E-2</v>
      </c>
      <c r="DC132" s="26">
        <f t="shared" ca="1" si="110"/>
        <v>0</v>
      </c>
      <c r="DD132" s="26">
        <f t="shared" ca="1" si="111"/>
        <v>-1.1249999999999999E-3</v>
      </c>
      <c r="DE132" s="26">
        <f t="shared" ca="1" si="112"/>
        <v>0</v>
      </c>
      <c r="DF132" s="26">
        <f t="shared" ca="1" si="113"/>
        <v>0</v>
      </c>
      <c r="DG132" s="26">
        <f t="shared" ca="1" si="114"/>
        <v>0</v>
      </c>
      <c r="DH132" s="26">
        <f t="shared" ca="1" si="115"/>
        <v>-0.14413538619721089</v>
      </c>
      <c r="DI132" s="26">
        <f t="shared" ca="1" si="116"/>
        <v>-0.70893442000000206</v>
      </c>
      <c r="DJ132" s="26">
        <f t="shared" ca="1" si="117"/>
        <v>0.40337745999999886</v>
      </c>
      <c r="DK132" s="26">
        <f t="shared" ca="1" si="118"/>
        <v>-1.911094609270636E-3</v>
      </c>
      <c r="DL132" s="26"/>
      <c r="DM132" s="26"/>
      <c r="DN132" s="26"/>
      <c r="DO132" s="26"/>
      <c r="DP132" s="26">
        <f t="shared" ca="1" si="119"/>
        <v>0.16465189110000011</v>
      </c>
      <c r="DQ132" s="26">
        <f t="shared" ca="1" si="120"/>
        <v>-1.3905141060555321E-2</v>
      </c>
      <c r="DR132" s="26"/>
      <c r="DS132" s="26"/>
      <c r="DT132" s="26"/>
      <c r="DU132" s="26"/>
      <c r="DV132" s="26">
        <f t="shared" ca="1" si="121"/>
        <v>-5.1182257297207046E-2</v>
      </c>
      <c r="DW132" s="26">
        <f t="shared" ca="1" si="122"/>
        <v>1.3338340739712393E-2</v>
      </c>
      <c r="DX132" s="26"/>
      <c r="DY132" s="26"/>
      <c r="DZ132" s="26"/>
      <c r="EA132" s="26"/>
      <c r="EB132" s="26">
        <f t="shared" ca="1" si="123"/>
        <v>-1.9618300000000003E-3</v>
      </c>
      <c r="EC132" s="26">
        <f t="shared" ca="1" si="124"/>
        <v>3.1270067177514491E-4</v>
      </c>
      <c r="ED132" s="26"/>
      <c r="EE132" s="26"/>
      <c r="EF132" s="26"/>
      <c r="EG132" s="26"/>
      <c r="EH132" s="26">
        <f t="shared" ca="1" si="125"/>
        <v>4.9913770000000302E-2</v>
      </c>
      <c r="EI132" s="29">
        <f t="shared" ca="1" si="126"/>
        <v>1.2722135740422691E-2</v>
      </c>
      <c r="EJ132" s="29"/>
      <c r="EK132" s="29"/>
      <c r="EL132" s="29"/>
      <c r="EM132" s="29"/>
      <c r="EN132" s="93"/>
      <c r="EO132" s="29"/>
      <c r="EP132" s="29"/>
      <c r="EQ132" s="29"/>
      <c r="ER132" s="29"/>
      <c r="ES132" s="29"/>
      <c r="ET132" s="29"/>
      <c r="EU132" s="93"/>
      <c r="EV132" s="29"/>
      <c r="EW132" s="29"/>
      <c r="EX132" s="29"/>
      <c r="EY132" s="29"/>
      <c r="EZ132" s="29"/>
      <c r="FA132" s="29"/>
      <c r="FB132" s="93"/>
      <c r="FC132" s="29"/>
      <c r="FD132" s="29"/>
      <c r="FE132" s="29"/>
      <c r="FF132" s="29"/>
      <c r="FG132" s="29"/>
      <c r="FH132" s="29"/>
      <c r="FI132" s="93"/>
      <c r="FJ132" s="29"/>
      <c r="FK132" s="29"/>
      <c r="FL132" s="29"/>
      <c r="FM132" s="29"/>
      <c r="FN132" s="29"/>
      <c r="FO132" s="29"/>
      <c r="FP132" s="93"/>
      <c r="FQ132" s="29"/>
      <c r="FR132" s="29"/>
      <c r="FS132" s="29"/>
      <c r="FT132" s="29"/>
      <c r="FU132" s="29"/>
      <c r="FV132" s="29"/>
    </row>
    <row r="133" spans="1:178" x14ac:dyDescent="0.25">
      <c r="A133" t="str">
        <f ca="1">IF(_xll.TM1RPTELISCONSOLIDATED($D$28,$D133),IF(_xll.TM1RPTELLEV($D$28,$D133)&lt;=3,_xll.TM1RPTELLEV($D$28,$D133),"D"),"N")</f>
        <v>N</v>
      </c>
      <c r="B133" t="str">
        <f ca="1">_xll.DBRA(Server&amp;"Management_organization",$D133,$B$27)</f>
        <v>L</v>
      </c>
      <c r="C133">
        <v>1</v>
      </c>
      <c r="D133" s="2" t="s">
        <v>337</v>
      </c>
      <c r="E133" s="26"/>
      <c r="F133" s="26"/>
      <c r="G133" s="16">
        <f ca="1">_xll.DBRW($D$4,$E$7,$E$8,$E$9,$E$10,$E$12,$D133,$E$6,G$18,G$17)</f>
        <v>-5.1771699999999948E-3</v>
      </c>
      <c r="H133" s="16">
        <f ca="1">_xll.DBRW($D$4,$E$7,$E$8,$E$9,$E$10,$E$12,$D133,$E$6,H$18,H$17)</f>
        <v>-1.5679039999999998E-2</v>
      </c>
      <c r="I133" s="16">
        <f ca="1">_xll.DBRW($D$4,$E$7,$E$8,$E$9,$E$10,$E$12,$D133,$E$6,I$18,I$17)</f>
        <v>0</v>
      </c>
      <c r="J133" s="26">
        <f ca="1">_xll.DBRW($D$4,$E$7,$E$8,$E$9,$E$10,$E$12,$D133,$E$6,J$18,J$17)</f>
        <v>0</v>
      </c>
      <c r="K133" s="26">
        <f ca="1">_xll.DBRW($D$4,$E$7,$E$8,$E$9,$E$10,$E$12,$D133,$E$6,K$18,K$17)</f>
        <v>0</v>
      </c>
      <c r="L133" s="26">
        <f ca="1">_xll.DBRW($D$4,$E$7,$E$8,$E$9,$E$10,$E$12,$D133,$E$6,L$18,L$17)</f>
        <v>0</v>
      </c>
      <c r="M133" s="26">
        <f ca="1">_xll.DBRW($D$4,$E$7,$E$8,$E$9,$E$10,$E$12,$D133,$E$6,M$18,M$17)</f>
        <v>0</v>
      </c>
      <c r="N133" s="16">
        <f ca="1">_xll.DBRW($D$4,$E$7,$E$8,$E$9,$E$10,$E$12,$D133,$E$6,N$18,N$17)</f>
        <v>1.0501870000000005E-2</v>
      </c>
      <c r="O133" s="16">
        <f ca="1">_xll.DBRW($D$4,$E$7,$E$8,$E$9,$E$10,$E$12,$D133,$E$6,O$18,O$17)</f>
        <v>9.9056300000000003E-3</v>
      </c>
      <c r="P133" s="74">
        <f ca="1">_xll.DBRW($D$4,$E$7,$E$8,$E$9,$E$10,$E$12,$D133,$E$6,P$18,P$17)</f>
        <v>4.2502300000000007E-3</v>
      </c>
      <c r="Q133" s="16">
        <f ca="1">_xll.DBRW($D$4,$E$7,$E$8,$E$9,$E$10,$E$12,$D133,$E$6,Q$18,Q$17)</f>
        <v>-0.42907215391651016</v>
      </c>
      <c r="R133" s="16"/>
      <c r="S133" s="16"/>
      <c r="T133" s="16"/>
      <c r="U133" s="16"/>
      <c r="V133" s="16">
        <f ca="1">_xll.DBRW($D$4,$E$7,$E$8,$E$9,$E$10,$E$12,$D133,$E$6,V$18,V$17)</f>
        <v>-1.9223999999999999E-4</v>
      </c>
      <c r="W133" s="16">
        <f ca="1">_xll.DBRW($D$4,$E$7,$E$8,$E$9,$E$10,$E$12,$D133,$E$6,W$18,W$17)</f>
        <v>1.9407145229531082E-2</v>
      </c>
      <c r="X133" s="16"/>
      <c r="Y133" s="16"/>
      <c r="Z133" s="16"/>
      <c r="AA133" s="16"/>
      <c r="AB133" s="16">
        <f ca="1">_xll.DBRW($D$4,$E$7,$E$8,$E$9,$E$10,$E$12,$D133,$E$6,AB$18,AB$17)</f>
        <v>8.8931999999999998E-4</v>
      </c>
      <c r="AC133" s="16">
        <f ca="1">_xll.DBRW($D$4,$E$7,$E$8,$E$9,$E$10,$E$12,$D133,$E$6,AC$18,AC$17)</f>
        <v>-8.9779246751594793E-2</v>
      </c>
      <c r="AD133" s="16"/>
      <c r="AE133" s="16"/>
      <c r="AF133" s="16"/>
      <c r="AG133" s="16"/>
      <c r="AH133" s="16">
        <f ca="1">_xll.DBRW($D$4,$E$7,$E$8,$E$9,$E$10,$E$12,$D133,$E$6,AH$18,AH$17)</f>
        <v>0</v>
      </c>
      <c r="AI133" s="16">
        <f ca="1">_xll.DBRW($D$4,$E$7,$E$8,$E$9,$E$10,$E$12,$D133,$E$6,AI$18,AI$17)</f>
        <v>0</v>
      </c>
      <c r="AJ133" s="16"/>
      <c r="AK133" s="16"/>
      <c r="AL133" s="16"/>
      <c r="AM133" s="16"/>
      <c r="AN133" s="16">
        <f ca="1">_xll.DBRW($D$4,$E$7,$E$8,$E$9,$E$10,$E$12,$D133,$E$6,AN$18,AN$17)</f>
        <v>-4.3510699999999977E-3</v>
      </c>
      <c r="AO133" s="16">
        <f ca="1">_xll.DBRW($D$4,$E$7,$E$8,$E$9,$E$10,$E$12,$D133,$E$6,AO$18,AO$17)</f>
        <v>0.43925222323062718</v>
      </c>
      <c r="AP133" s="16"/>
      <c r="AQ133" s="16"/>
      <c r="AR133" s="16"/>
      <c r="AS133" s="16"/>
      <c r="AT133" s="16">
        <f ca="1">_xll.DBRW($D$4,$E$7,$E$8,$E$9,$E$10,$E$12,$D133,$E$6,AT$18,AT$17)</f>
        <v>0</v>
      </c>
      <c r="AU133" s="16">
        <f ca="1">_xll.DBRW($D$4,$E$7,$E$8,$E$9,$E$10,$E$12,$D133,$E$6,AU$18,AU$17)</f>
        <v>0</v>
      </c>
      <c r="AV133" s="16">
        <f ca="1">_xll.DBRW($D$4,$E$7,$E$8,$E$9,$E$10,$E$12,$D133,$E$6,AV$18,AV$17)</f>
        <v>0</v>
      </c>
      <c r="AW133" s="16">
        <f ca="1">_xll.DBRW($D$4,$E$7,$E$8,$E$9,$E$10,$E$12,$D133,$E$6,AW$18,AW$17)</f>
        <v>0</v>
      </c>
      <c r="AX133" s="16">
        <f ca="1">_xll.DBRW($D$4,$E$7,$E$8,$E$9,$E$10,$E$12,$D133,$E$6,AX$18,AX$17)</f>
        <v>0</v>
      </c>
      <c r="AY133" s="16">
        <f ca="1">_xll.DBRW($D$4,$E$7,$E$8,$E$9,$E$10,$E$12,$D133,$E$6,AY$18,AY$17)</f>
        <v>0</v>
      </c>
      <c r="AZ133" s="16">
        <f ca="1">_xll.DBRW($D$4,$E$7,$E$8,$E$9,$E$10,$E$12,$D133,$E$6,AZ$18,AZ$17)</f>
        <v>0</v>
      </c>
      <c r="BA133" s="16">
        <f ca="1">_xll.DBRW($D$4,$E$7,$E$8,$E$9,$E$10,$E$12,$D133,$E$6,BA$18,BA$17)</f>
        <v>0</v>
      </c>
      <c r="BB133" s="16">
        <f ca="1">_xll.DBRW($D$4,$E$7,$E$8,$E$9,$E$10,$E$12,$D133,$E$6,BB$18,BB$17)</f>
        <v>0</v>
      </c>
      <c r="BC133" s="16">
        <f ca="1">_xll.DBRW($D$4,$E$7,$E$8,$E$9,$E$10,$E$12,$D133,$E$6,BC$18,BC$17)</f>
        <v>0</v>
      </c>
      <c r="BD133" s="16">
        <f ca="1">_xll.DBRW($D$4,$E$7,$E$8,$E$9,$E$10,$E$12,$D133,$E$6,BD$18,BD$17)</f>
        <v>-5.5000000000000014E-3</v>
      </c>
      <c r="BE133" s="16">
        <f ca="1">_xll.DBRW($D$4,$E$7,$E$8,$E$9,$E$10,$E$12,$D133,$E$6,BE$18,BE$17)</f>
        <v>-5.5000000000000014E-3</v>
      </c>
      <c r="BF133" s="16">
        <f ca="1">_xll.DBRW($D$4,$E$7,$E$8,$E$9,$E$10,$E$12,$D133,$E$6,BF$18,BF$17)</f>
        <v>0</v>
      </c>
      <c r="BG133" s="26">
        <f ca="1">_xll.DBRW($D$4,$E$7,$E$8,$E$9,$E$10,$E$12,$D133,$E$6,BG$18,BG$17)</f>
        <v>0</v>
      </c>
      <c r="BH133" s="26">
        <f ca="1">_xll.DBRW($D$4,$E$7,$E$8,$E$9,$E$10,$E$12,$D133,$E$6,BH$18,BH$17)</f>
        <v>0</v>
      </c>
      <c r="BI133" s="26">
        <f ca="1">_xll.DBRW($D$4,$E$7,$E$8,$E$9,$E$10,$E$12,$D133,$E$6,BI$18,BI$17)</f>
        <v>0</v>
      </c>
      <c r="BJ133" s="26">
        <f ca="1">_xll.DBRW($D$4,$E$7,$E$8,$E$9,$E$10,$E$12,$D133,$E$6,BJ$18,BJ$17)</f>
        <v>0</v>
      </c>
      <c r="BK133" s="16">
        <f ca="1">_xll.DBRW($D$4,$E$7,$E$8,$E$9,$E$10,$E$12,$D133,$E$6,BK$18,BK$17)</f>
        <v>0</v>
      </c>
      <c r="BL133" s="16">
        <f ca="1">_xll.DBRW($D$4,$E$7,$E$8,$E$9,$E$10,$E$12,$D133,$E$6,BL$18,BL$17)</f>
        <v>0</v>
      </c>
      <c r="BM133" s="16">
        <f ca="1">_xll.DBRW($D$4,$E$7,$E$8,$E$9,$E$10,$E$12,$D133,$E$6,BM$18,BM$17)</f>
        <v>0</v>
      </c>
      <c r="BN133" s="16">
        <f ca="1">_xll.DBRW($D$4,$E$7,$E$8,$E$9,$E$10,$E$12,$D133,$E$6,BN$18,BN$17)</f>
        <v>0</v>
      </c>
      <c r="BO133" s="16"/>
      <c r="BP133" s="16"/>
      <c r="BQ133" s="16"/>
      <c r="BR133" s="16"/>
      <c r="BS133" s="16">
        <f ca="1">_xll.DBRW($D$4,$E$7,$E$8,$E$9,$E$10,$E$12,$D133,$E$6,BS$18,BS$17)</f>
        <v>0</v>
      </c>
      <c r="BT133" s="16">
        <f ca="1">_xll.DBRW($D$4,$E$7,$E$8,$E$9,$E$10,$E$12,$D133,$E$6,BT$18,BT$17)</f>
        <v>0</v>
      </c>
      <c r="BU133" s="16"/>
      <c r="BV133" s="16"/>
      <c r="BW133" s="16"/>
      <c r="BX133" s="16"/>
      <c r="BY133" s="16">
        <f ca="1">_xll.DBRW($D$4,$E$7,$E$8,$E$9,$E$10,$E$12,$D133,$E$6,BY$18,BY$17)</f>
        <v>0</v>
      </c>
      <c r="BZ133" s="16">
        <f ca="1">_xll.DBRW($D$4,$E$7,$E$8,$E$9,$E$10,$E$12,$D133,$E$6,BZ$18,BZ$17)</f>
        <v>0</v>
      </c>
      <c r="CA133" s="16"/>
      <c r="CB133" s="16"/>
      <c r="CC133" s="16"/>
      <c r="CD133" s="16"/>
      <c r="CE133" s="16">
        <f ca="1">_xll.DBRW($D$4,$E$7,$E$8,$E$9,$E$10,$E$12,$D133,$E$6,CE$18,CE$17)</f>
        <v>0</v>
      </c>
      <c r="CF133" s="16">
        <f ca="1">_xll.DBRW($D$4,$E$7,$E$8,$E$9,$E$10,$E$12,$D133,$E$6,CF$18,CF$17)</f>
        <v>0</v>
      </c>
      <c r="CG133" s="16"/>
      <c r="CH133" s="16"/>
      <c r="CI133" s="16"/>
      <c r="CJ133" s="16"/>
      <c r="CK133" s="16">
        <f ca="1">_xll.DBRW($D$4,$E$7,$E$8,$E$9,$E$10,$E$12,$D133,$E$6,CK$18,CK$17)</f>
        <v>0</v>
      </c>
      <c r="CL133" s="16">
        <f ca="1">_xll.DBRW($D$4,$E$7,$E$8,$E$9,$E$10,$E$12,$D133,$E$6,CL$18,CL$17)</f>
        <v>0</v>
      </c>
      <c r="CM133" s="16"/>
      <c r="CN133" s="16"/>
      <c r="CO133" s="16"/>
      <c r="CP133" s="16"/>
      <c r="CQ133" s="16">
        <f ca="1">_xll.DBRW($D$4,$E$7,$E$8,$E$9,$E$10,$E$12,$D133,$E$6,CQ$18,CQ$17)</f>
        <v>0</v>
      </c>
      <c r="CR133" s="16">
        <f ca="1">_xll.DBRW($D$4,$E$7,$E$8,$E$9,$E$10,$E$12,$D133,$E$6,CR$18,CR$17)</f>
        <v>0</v>
      </c>
      <c r="CS133" s="16">
        <f ca="1">_xll.DBRW($D$4,$E$7,$E$8,$E$9,$E$10,$E$12,$D133,$E$6,CS$18,CS$17)</f>
        <v>0</v>
      </c>
      <c r="CT133" s="16">
        <f ca="1">_xll.DBRW($D$4,$E$7,$E$8,$E$9,$E$10,$E$12,$D133,$E$6,CT$18,CT$17)</f>
        <v>0</v>
      </c>
      <c r="CU133" s="16">
        <f ca="1">_xll.DBRW($D$4,$E$7,$E$8,$E$9,$E$10,$E$12,$D133,$E$6,CU$18,CU$17)</f>
        <v>0</v>
      </c>
      <c r="CV133" s="16">
        <f ca="1">_xll.DBRW($D$4,$E$7,$E$8,$E$9,$E$10,$E$12,$D133,$E$6,CV$18,CV$17)</f>
        <v>0</v>
      </c>
      <c r="CW133" s="16">
        <f ca="1">_xll.DBRW($D$4,$E$7,$E$8,$E$9,$E$10,$E$12,$D133,$E$6,CW$18,CW$17)</f>
        <v>0</v>
      </c>
      <c r="CX133" s="16">
        <f ca="1">_xll.DBRW($D$4,$E$7,$E$8,$E$9,$E$10,$E$12,$D133,$E$6,CX$18,CX$17)</f>
        <v>0</v>
      </c>
      <c r="CY133" s="16">
        <f ca="1">_xll.DBRW($D$4,$E$7,$E$8,$E$9,$E$10,$E$12,$D133,$E$6,CY$18,CY$17)</f>
        <v>0</v>
      </c>
      <c r="CZ133" s="16">
        <f ca="1">_xll.DBRW($D$4,$E$7,$E$8,$E$9,$E$10,$E$12,$D133,$E$6,CZ$18,CZ$17)</f>
        <v>0</v>
      </c>
      <c r="DA133" s="26">
        <f t="shared" ca="1" si="108"/>
        <v>3.2283000000000658E-4</v>
      </c>
      <c r="DB133" s="26">
        <f t="shared" ca="1" si="109"/>
        <v>-1.0179039999999997E-2</v>
      </c>
      <c r="DC133" s="26">
        <f t="shared" ca="1" si="110"/>
        <v>0</v>
      </c>
      <c r="DD133" s="26">
        <f t="shared" ca="1" si="111"/>
        <v>0</v>
      </c>
      <c r="DE133" s="26">
        <f t="shared" ca="1" si="112"/>
        <v>0</v>
      </c>
      <c r="DF133" s="26">
        <f t="shared" ca="1" si="113"/>
        <v>0</v>
      </c>
      <c r="DG133" s="26">
        <f t="shared" ca="1" si="114"/>
        <v>0</v>
      </c>
      <c r="DH133" s="26">
        <f t="shared" ca="1" si="115"/>
        <v>1.0501870000000005E-2</v>
      </c>
      <c r="DI133" s="26">
        <f t="shared" ca="1" si="116"/>
        <v>9.9056300000000003E-3</v>
      </c>
      <c r="DJ133" s="26">
        <f t="shared" ca="1" si="117"/>
        <v>4.2502300000000007E-3</v>
      </c>
      <c r="DK133" s="26">
        <f t="shared" ca="1" si="118"/>
        <v>-0.42907215391651016</v>
      </c>
      <c r="DL133" s="26"/>
      <c r="DM133" s="26"/>
      <c r="DN133" s="26"/>
      <c r="DO133" s="26"/>
      <c r="DP133" s="26">
        <f t="shared" ca="1" si="119"/>
        <v>-1.9223999999999999E-4</v>
      </c>
      <c r="DQ133" s="26">
        <f t="shared" ca="1" si="120"/>
        <v>1.9407145229531082E-2</v>
      </c>
      <c r="DR133" s="26"/>
      <c r="DS133" s="26"/>
      <c r="DT133" s="26"/>
      <c r="DU133" s="26"/>
      <c r="DV133" s="26">
        <f t="shared" ca="1" si="121"/>
        <v>8.8931999999999998E-4</v>
      </c>
      <c r="DW133" s="26">
        <f t="shared" ca="1" si="122"/>
        <v>-8.9779246751594793E-2</v>
      </c>
      <c r="DX133" s="26"/>
      <c r="DY133" s="26"/>
      <c r="DZ133" s="26"/>
      <c r="EA133" s="26"/>
      <c r="EB133" s="26">
        <f t="shared" ca="1" si="123"/>
        <v>0</v>
      </c>
      <c r="EC133" s="26">
        <f t="shared" ca="1" si="124"/>
        <v>0</v>
      </c>
      <c r="ED133" s="26"/>
      <c r="EE133" s="26"/>
      <c r="EF133" s="26"/>
      <c r="EG133" s="26"/>
      <c r="EH133" s="26">
        <f t="shared" ca="1" si="125"/>
        <v>-4.3510699999999977E-3</v>
      </c>
      <c r="EI133" s="29">
        <f t="shared" ca="1" si="126"/>
        <v>0.43925222323062718</v>
      </c>
      <c r="EJ133" s="29"/>
      <c r="EK133" s="29"/>
      <c r="EL133" s="29"/>
      <c r="EM133" s="29"/>
      <c r="EN133" s="93"/>
      <c r="EO133" s="29"/>
      <c r="EP133" s="29"/>
      <c r="EQ133" s="29"/>
      <c r="ER133" s="29"/>
      <c r="ES133" s="29"/>
      <c r="ET133" s="29"/>
      <c r="EU133" s="93"/>
      <c r="EV133" s="29"/>
      <c r="EW133" s="29"/>
      <c r="EX133" s="29"/>
      <c r="EY133" s="29"/>
      <c r="EZ133" s="29"/>
      <c r="FA133" s="29"/>
      <c r="FB133" s="93"/>
      <c r="FC133" s="29"/>
      <c r="FD133" s="29"/>
      <c r="FE133" s="29"/>
      <c r="FF133" s="29"/>
      <c r="FG133" s="29"/>
      <c r="FH133" s="29"/>
      <c r="FI133" s="93"/>
      <c r="FJ133" s="29"/>
      <c r="FK133" s="29"/>
      <c r="FL133" s="29"/>
      <c r="FM133" s="29"/>
      <c r="FN133" s="29"/>
      <c r="FO133" s="29"/>
      <c r="FP133" s="93"/>
      <c r="FQ133" s="29"/>
      <c r="FR133" s="29"/>
      <c r="FS133" s="29"/>
      <c r="FT133" s="29"/>
      <c r="FU133" s="29"/>
      <c r="FV133" s="29"/>
    </row>
    <row r="134" spans="1:178" x14ac:dyDescent="0.25">
      <c r="A134" t="str">
        <f ca="1">IF(_xll.TM1RPTELISCONSOLIDATED($D$28,$D134),IF(_xll.TM1RPTELLEV($D$28,$D134)&lt;=3,_xll.TM1RPTELLEV($D$28,$D134),"D"),"N")</f>
        <v>N</v>
      </c>
      <c r="B134" t="str">
        <f ca="1">_xll.DBRA(Server&amp;"Management_organization",$D134,$B$27)</f>
        <v>L</v>
      </c>
      <c r="C134">
        <v>1</v>
      </c>
      <c r="D134" s="2" t="s">
        <v>338</v>
      </c>
      <c r="E134" s="26"/>
      <c r="F134" s="26"/>
      <c r="G134" s="16">
        <f ca="1">_xll.DBRW($D$4,$E$7,$E$8,$E$9,$E$10,$E$12,$D134,$E$6,G$18,G$17)</f>
        <v>-0.1787200099999996</v>
      </c>
      <c r="H134" s="16">
        <f ca="1">_xll.DBRW($D$4,$E$7,$E$8,$E$9,$E$10,$E$12,$D134,$E$6,H$18,H$17)</f>
        <v>-0.41761704999999993</v>
      </c>
      <c r="I134" s="16">
        <f ca="1">_xll.DBRW($D$4,$E$7,$E$8,$E$9,$E$10,$E$12,$D134,$E$6,I$18,I$17)</f>
        <v>0</v>
      </c>
      <c r="J134" s="26">
        <f ca="1">_xll.DBRW($D$4,$E$7,$E$8,$E$9,$E$10,$E$12,$D134,$E$6,J$18,J$17)</f>
        <v>0</v>
      </c>
      <c r="K134" s="26">
        <f ca="1">_xll.DBRW($D$4,$E$7,$E$8,$E$9,$E$10,$E$12,$D134,$E$6,K$18,K$17)</f>
        <v>0</v>
      </c>
      <c r="L134" s="26">
        <f ca="1">_xll.DBRW($D$4,$E$7,$E$8,$E$9,$E$10,$E$12,$D134,$E$6,L$18,L$17)</f>
        <v>0</v>
      </c>
      <c r="M134" s="26">
        <f ca="1">_xll.DBRW($D$4,$E$7,$E$8,$E$9,$E$10,$E$12,$D134,$E$6,M$18,M$17)</f>
        <v>0</v>
      </c>
      <c r="N134" s="16">
        <f ca="1">_xll.DBRW($D$4,$E$7,$E$8,$E$9,$E$10,$E$12,$D134,$E$6,N$18,N$17)</f>
        <v>0.23889704000000034</v>
      </c>
      <c r="O134" s="16">
        <f ca="1">_xll.DBRW($D$4,$E$7,$E$8,$E$9,$E$10,$E$12,$D134,$E$6,O$18,O$17)</f>
        <v>4.0509026700000001</v>
      </c>
      <c r="P134" s="74">
        <f ca="1">_xll.DBRW($D$4,$E$7,$E$8,$E$9,$E$10,$E$12,$D134,$E$6,P$18,P$17)</f>
        <v>-1.8682926300000002</v>
      </c>
      <c r="Q134" s="16">
        <f ca="1">_xll.DBRW($D$4,$E$7,$E$8,$E$9,$E$10,$E$12,$D134,$E$6,Q$18,Q$17)</f>
        <v>0.46120402838511054</v>
      </c>
      <c r="R134" s="16"/>
      <c r="S134" s="16"/>
      <c r="T134" s="16"/>
      <c r="U134" s="16"/>
      <c r="V134" s="16">
        <f ca="1">_xll.DBRW($D$4,$E$7,$E$8,$E$9,$E$10,$E$12,$D134,$E$6,V$18,V$17)</f>
        <v>-0.48627755999999989</v>
      </c>
      <c r="W134" s="16">
        <f ca="1">_xll.DBRW($D$4,$E$7,$E$8,$E$9,$E$10,$E$12,$D134,$E$6,W$18,W$17)</f>
        <v>0.12004177824395862</v>
      </c>
      <c r="X134" s="16"/>
      <c r="Y134" s="16"/>
      <c r="Z134" s="16"/>
      <c r="AA134" s="16"/>
      <c r="AB134" s="16">
        <f ca="1">_xll.DBRW($D$4,$E$7,$E$8,$E$9,$E$10,$E$12,$D134,$E$6,AB$18,AB$17)</f>
        <v>-0.36308079999999987</v>
      </c>
      <c r="AC134" s="16">
        <f ca="1">_xll.DBRW($D$4,$E$7,$E$8,$E$9,$E$10,$E$12,$D134,$E$6,AC$18,AC$17)</f>
        <v>8.9629603468107971E-2</v>
      </c>
      <c r="AD134" s="16"/>
      <c r="AE134" s="16"/>
      <c r="AF134" s="16"/>
      <c r="AG134" s="16"/>
      <c r="AH134" s="16">
        <f ca="1">_xll.DBRW($D$4,$E$7,$E$8,$E$9,$E$10,$E$12,$D134,$E$6,AH$18,AH$17)</f>
        <v>-0.35555244999999991</v>
      </c>
      <c r="AI134" s="16">
        <f ca="1">_xll.DBRW($D$4,$E$7,$E$8,$E$9,$E$10,$E$12,$D134,$E$6,AI$18,AI$17)</f>
        <v>8.7771165827590689E-2</v>
      </c>
      <c r="AJ134" s="16"/>
      <c r="AK134" s="16"/>
      <c r="AL134" s="16"/>
      <c r="AM134" s="16"/>
      <c r="AN134" s="16">
        <f ca="1">_xll.DBRW($D$4,$E$7,$E$8,$E$9,$E$10,$E$12,$D134,$E$6,AN$18,AN$17)</f>
        <v>-0.73880219000000014</v>
      </c>
      <c r="AO134" s="16">
        <f ca="1">_xll.DBRW($D$4,$E$7,$E$8,$E$9,$E$10,$E$12,$D134,$E$6,AO$18,AO$17)</f>
        <v>0.18237964478173951</v>
      </c>
      <c r="AP134" s="16"/>
      <c r="AQ134" s="16"/>
      <c r="AR134" s="16"/>
      <c r="AS134" s="16"/>
      <c r="AT134" s="16">
        <f ca="1">_xll.DBRW($D$4,$E$7,$E$8,$E$9,$E$10,$E$12,$D134,$E$6,AT$18,AT$17)</f>
        <v>7.5726950000000001E-2</v>
      </c>
      <c r="AU134" s="16">
        <f ca="1">_xll.DBRW($D$4,$E$7,$E$8,$E$9,$E$10,$E$12,$D134,$E$6,AU$18,AU$17)</f>
        <v>1.240165</v>
      </c>
      <c r="AV134" s="16">
        <f ca="1">_xll.DBRW($D$4,$E$7,$E$8,$E$9,$E$10,$E$12,$D134,$E$6,AV$18,AV$17)</f>
        <v>1.240165</v>
      </c>
      <c r="AW134" s="16">
        <f ca="1">_xll.DBRW($D$4,$E$7,$E$8,$E$9,$E$10,$E$12,$D134,$E$6,AW$18,AW$17)</f>
        <v>1.240165</v>
      </c>
      <c r="AX134" s="16">
        <f ca="1">_xll.DBRW($D$4,$E$7,$E$8,$E$9,$E$10,$E$12,$D134,$E$6,AX$18,AX$17)</f>
        <v>0.39903000799999994</v>
      </c>
      <c r="AY134" s="16">
        <f ca="1">_xll.DBRW($D$4,$E$7,$E$8,$E$9,$E$10,$E$12,$D134,$E$6,AY$18,AY$17)</f>
        <v>1.240165</v>
      </c>
      <c r="AZ134" s="16">
        <f ca="1">_xll.DBRW($D$4,$E$7,$E$8,$E$9,$E$10,$E$12,$D134,$E$6,AZ$18,AZ$17)</f>
        <v>0.90217399999999992</v>
      </c>
      <c r="BA134" s="16">
        <f ca="1">_xll.DBRW($D$4,$E$7,$E$8,$E$9,$E$10,$E$12,$D134,$E$6,BA$18,BA$17)</f>
        <v>1.240165</v>
      </c>
      <c r="BB134" s="16">
        <f ca="1">_xll.DBRW($D$4,$E$7,$E$8,$E$9,$E$10,$E$12,$D134,$E$6,BB$18,BB$17)</f>
        <v>1.240165</v>
      </c>
      <c r="BC134" s="16">
        <f ca="1">_xll.DBRW($D$4,$E$7,$E$8,$E$9,$E$10,$E$12,$D134,$E$6,BC$18,BC$17)</f>
        <v>1.240165</v>
      </c>
      <c r="BD134" s="16">
        <f ca="1">_xll.DBRW($D$4,$E$7,$E$8,$E$9,$E$10,$E$12,$D134,$E$6,BD$18,BD$17)</f>
        <v>2.0187120955335702E-2</v>
      </c>
      <c r="BE134" s="16">
        <f ca="1">_xll.DBRW($D$4,$E$7,$E$8,$E$9,$E$10,$E$12,$D134,$E$6,BE$18,BE$17)</f>
        <v>-0.47529720333333325</v>
      </c>
      <c r="BF134" s="16">
        <f ca="1">_xll.DBRW($D$4,$E$7,$E$8,$E$9,$E$10,$E$12,$D134,$E$6,BF$18,BF$17)</f>
        <v>0</v>
      </c>
      <c r="BG134" s="26">
        <f ca="1">_xll.DBRW($D$4,$E$7,$E$8,$E$9,$E$10,$E$12,$D134,$E$6,BG$18,BG$17)</f>
        <v>0</v>
      </c>
      <c r="BH134" s="26">
        <f ca="1">_xll.DBRW($D$4,$E$7,$E$8,$E$9,$E$10,$E$12,$D134,$E$6,BH$18,BH$17)</f>
        <v>0</v>
      </c>
      <c r="BI134" s="26">
        <f ca="1">_xll.DBRW($D$4,$E$7,$E$8,$E$9,$E$10,$E$12,$D134,$E$6,BI$18,BI$17)</f>
        <v>0</v>
      </c>
      <c r="BJ134" s="26">
        <f ca="1">_xll.DBRW($D$4,$E$7,$E$8,$E$9,$E$10,$E$12,$D134,$E$6,BJ$18,BJ$17)</f>
        <v>0</v>
      </c>
      <c r="BK134" s="16">
        <f ca="1">_xll.DBRW($D$4,$E$7,$E$8,$E$9,$E$10,$E$12,$D134,$E$6,BK$18,BK$17)</f>
        <v>0.49548432428866895</v>
      </c>
      <c r="BL134" s="16">
        <f ca="1">_xll.DBRW($D$4,$E$7,$E$8,$E$9,$E$10,$E$12,$D134,$E$6,BL$18,BL$17)</f>
        <v>4.6840272400000007</v>
      </c>
      <c r="BM134" s="16">
        <f ca="1">_xll.DBRW($D$4,$E$7,$E$8,$E$9,$E$10,$E$12,$D134,$E$6,BM$18,BM$17)</f>
        <v>-2.0229428199999995</v>
      </c>
      <c r="BN134" s="16">
        <f ca="1">_xll.DBRW($D$4,$E$7,$E$8,$E$9,$E$10,$E$12,$D134,$E$6,BN$18,BN$17)</f>
        <v>0.43188109640455447</v>
      </c>
      <c r="BO134" s="16"/>
      <c r="BP134" s="16"/>
      <c r="BQ134" s="16"/>
      <c r="BR134" s="16"/>
      <c r="BS134" s="16">
        <f ca="1">_xll.DBRW($D$4,$E$7,$E$8,$E$9,$E$10,$E$12,$D134,$E$6,BS$18,BS$17)</f>
        <v>-0.51127411659999999</v>
      </c>
      <c r="BT134" s="16">
        <f ca="1">_xll.DBRW($D$4,$E$7,$E$8,$E$9,$E$10,$E$12,$D134,$E$6,BT$18,BT$17)</f>
        <v>0.10915267789945643</v>
      </c>
      <c r="BU134" s="16"/>
      <c r="BV134" s="16"/>
      <c r="BW134" s="16"/>
      <c r="BX134" s="16"/>
      <c r="BY134" s="16">
        <f ca="1">_xll.DBRW($D$4,$E$7,$E$8,$E$9,$E$10,$E$12,$D134,$E$6,BY$18,BY$17)</f>
        <v>-0.37679001577799992</v>
      </c>
      <c r="BZ134" s="16">
        <f ca="1">_xll.DBRW($D$4,$E$7,$E$8,$E$9,$E$10,$E$12,$D134,$E$6,BZ$18,BZ$17)</f>
        <v>8.0441465532126125E-2</v>
      </c>
      <c r="CA134" s="16"/>
      <c r="CB134" s="16"/>
      <c r="CC134" s="16"/>
      <c r="CD134" s="16"/>
      <c r="CE134" s="16">
        <f ca="1">_xll.DBRW($D$4,$E$7,$E$8,$E$9,$E$10,$E$12,$D134,$E$6,CE$18,CE$17)</f>
        <v>-0.51643136000000001</v>
      </c>
      <c r="CF134" s="16">
        <f ca="1">_xll.DBRW($D$4,$E$7,$E$8,$E$9,$E$10,$E$12,$D134,$E$6,CF$18,CF$17)</f>
        <v>0.11025370552712668</v>
      </c>
      <c r="CG134" s="16"/>
      <c r="CH134" s="16"/>
      <c r="CI134" s="16"/>
      <c r="CJ134" s="16"/>
      <c r="CK134" s="16">
        <f ca="1">_xll.DBRW($D$4,$E$7,$E$8,$E$9,$E$10,$E$12,$D134,$E$6,CK$18,CK$17)</f>
        <v>-0.76110460333333319</v>
      </c>
      <c r="CL134" s="16">
        <f ca="1">_xll.DBRW($D$4,$E$7,$E$8,$E$9,$E$10,$E$12,$D134,$E$6,CL$18,CL$17)</f>
        <v>0.16248936317742957</v>
      </c>
      <c r="CM134" s="16"/>
      <c r="CN134" s="16"/>
      <c r="CO134" s="16"/>
      <c r="CP134" s="16"/>
      <c r="CQ134" s="16">
        <f ca="1">_xll.DBRW($D$4,$E$7,$E$8,$E$9,$E$10,$E$12,$D134,$E$6,CQ$18,CQ$17)</f>
        <v>8.6947060000000007E-2</v>
      </c>
      <c r="CR134" s="16">
        <f ca="1">_xll.DBRW($D$4,$E$7,$E$8,$E$9,$E$10,$E$12,$D134,$E$6,CR$18,CR$17)</f>
        <v>1.4732159999999999</v>
      </c>
      <c r="CS134" s="16">
        <f ca="1">_xll.DBRW($D$4,$E$7,$E$8,$E$9,$E$10,$E$12,$D134,$E$6,CS$18,CS$17)</f>
        <v>1.4732159999999999</v>
      </c>
      <c r="CT134" s="16">
        <f ca="1">_xll.DBRW($D$4,$E$7,$E$8,$E$9,$E$10,$E$12,$D134,$E$6,CT$18,CT$17)</f>
        <v>1.4732159999999999</v>
      </c>
      <c r="CU134" s="16">
        <f ca="1">_xll.DBRW($D$4,$E$7,$E$8,$E$9,$E$10,$E$12,$D134,$E$6,CU$18,CU$17)</f>
        <v>0.44918474568</v>
      </c>
      <c r="CV134" s="16">
        <f ca="1">_xll.DBRW($D$4,$E$7,$E$8,$E$9,$E$10,$E$12,$D134,$E$6,CV$18,CV$17)</f>
        <v>1.4732159999999999</v>
      </c>
      <c r="CW134" s="16">
        <f ca="1">_xll.DBRW($D$4,$E$7,$E$8,$E$9,$E$10,$E$12,$D134,$E$6,CW$18,CW$17)</f>
        <v>1.2242251240000002</v>
      </c>
      <c r="CX134" s="16">
        <f ca="1">_xll.DBRW($D$4,$E$7,$E$8,$E$9,$E$10,$E$12,$D134,$E$6,CX$18,CX$17)</f>
        <v>1.4732159999999999</v>
      </c>
      <c r="CY134" s="16">
        <f ca="1">_xll.DBRW($D$4,$E$7,$E$8,$E$9,$E$10,$E$12,$D134,$E$6,CY$18,CY$17)</f>
        <v>1.4732159999999999</v>
      </c>
      <c r="CZ134" s="16">
        <f ca="1">_xll.DBRW($D$4,$E$7,$E$8,$E$9,$E$10,$E$12,$D134,$E$6,CZ$18,CZ$17)</f>
        <v>1.4732159999999999</v>
      </c>
      <c r="DA134" s="26">
        <f t="shared" ca="1" si="108"/>
        <v>-0.1989071309553353</v>
      </c>
      <c r="DB134" s="26">
        <f t="shared" ca="1" si="109"/>
        <v>5.7680153333333317E-2</v>
      </c>
      <c r="DC134" s="26">
        <f t="shared" ca="1" si="110"/>
        <v>0</v>
      </c>
      <c r="DD134" s="26">
        <f t="shared" ca="1" si="111"/>
        <v>0</v>
      </c>
      <c r="DE134" s="26">
        <f t="shared" ca="1" si="112"/>
        <v>0</v>
      </c>
      <c r="DF134" s="26">
        <f t="shared" ca="1" si="113"/>
        <v>0</v>
      </c>
      <c r="DG134" s="26">
        <f t="shared" ca="1" si="114"/>
        <v>0</v>
      </c>
      <c r="DH134" s="26">
        <f t="shared" ca="1" si="115"/>
        <v>-0.25658728428866862</v>
      </c>
      <c r="DI134" s="26">
        <f t="shared" ca="1" si="116"/>
        <v>-0.63312457000000055</v>
      </c>
      <c r="DJ134" s="26">
        <f t="shared" ca="1" si="117"/>
        <v>0.15465018999999924</v>
      </c>
      <c r="DK134" s="26">
        <f t="shared" ca="1" si="118"/>
        <v>2.9322931980556077E-2</v>
      </c>
      <c r="DL134" s="26"/>
      <c r="DM134" s="26"/>
      <c r="DN134" s="26"/>
      <c r="DO134" s="26"/>
      <c r="DP134" s="26">
        <f t="shared" ca="1" si="119"/>
        <v>2.4996556600000108E-2</v>
      </c>
      <c r="DQ134" s="26">
        <f t="shared" ca="1" si="120"/>
        <v>1.0889100344502189E-2</v>
      </c>
      <c r="DR134" s="26"/>
      <c r="DS134" s="26"/>
      <c r="DT134" s="26"/>
      <c r="DU134" s="26"/>
      <c r="DV134" s="26">
        <f t="shared" ca="1" si="121"/>
        <v>1.370921577800005E-2</v>
      </c>
      <c r="DW134" s="26">
        <f t="shared" ca="1" si="122"/>
        <v>9.1881379359818466E-3</v>
      </c>
      <c r="DX134" s="26"/>
      <c r="DY134" s="26"/>
      <c r="DZ134" s="26"/>
      <c r="EA134" s="26"/>
      <c r="EB134" s="26">
        <f t="shared" ca="1" si="123"/>
        <v>0.1608789100000001</v>
      </c>
      <c r="EC134" s="26">
        <f t="shared" ca="1" si="124"/>
        <v>-2.2482539699535994E-2</v>
      </c>
      <c r="ED134" s="26"/>
      <c r="EE134" s="26"/>
      <c r="EF134" s="26"/>
      <c r="EG134" s="26"/>
      <c r="EH134" s="26">
        <f t="shared" ca="1" si="125"/>
        <v>2.2302413333333049E-2</v>
      </c>
      <c r="EI134" s="29">
        <f t="shared" ca="1" si="126"/>
        <v>1.9890281604309945E-2</v>
      </c>
      <c r="EJ134" s="29"/>
      <c r="EK134" s="29"/>
      <c r="EL134" s="29"/>
      <c r="EM134" s="29"/>
      <c r="EN134" s="93"/>
      <c r="EO134" s="29"/>
      <c r="EP134" s="29"/>
      <c r="EQ134" s="29"/>
      <c r="ER134" s="29"/>
      <c r="ES134" s="29"/>
      <c r="ET134" s="29"/>
      <c r="EU134" s="93"/>
      <c r="EV134" s="29"/>
      <c r="EW134" s="29"/>
      <c r="EX134" s="29"/>
      <c r="EY134" s="29"/>
      <c r="EZ134" s="29"/>
      <c r="FA134" s="29"/>
      <c r="FB134" s="93"/>
      <c r="FC134" s="29"/>
      <c r="FD134" s="29"/>
      <c r="FE134" s="29"/>
      <c r="FF134" s="29"/>
      <c r="FG134" s="29"/>
      <c r="FH134" s="29"/>
      <c r="FI134" s="93"/>
      <c r="FJ134" s="29"/>
      <c r="FK134" s="29"/>
      <c r="FL134" s="29"/>
      <c r="FM134" s="29"/>
      <c r="FN134" s="29"/>
      <c r="FO134" s="29"/>
      <c r="FP134" s="93"/>
      <c r="FQ134" s="29"/>
      <c r="FR134" s="29"/>
      <c r="FS134" s="29"/>
      <c r="FT134" s="29"/>
      <c r="FU134" s="29"/>
      <c r="FV134" s="29"/>
    </row>
    <row r="135" spans="1:178" x14ac:dyDescent="0.25">
      <c r="A135" t="str">
        <f ca="1">IF(_xll.TM1RPTELISCONSOLIDATED($D$28,$D135),IF(_xll.TM1RPTELLEV($D$28,$D135)&lt;=3,_xll.TM1RPTELLEV($D$28,$D135),"D"),"N")</f>
        <v>N</v>
      </c>
      <c r="B135" t="str">
        <f ca="1">_xll.DBRA(Server&amp;"Management_organization",$D135,$B$27)</f>
        <v>L</v>
      </c>
      <c r="C135">
        <v>1</v>
      </c>
      <c r="D135" s="2" t="s">
        <v>339</v>
      </c>
      <c r="E135" s="26"/>
      <c r="F135" s="26"/>
      <c r="G135" s="16">
        <f ca="1">_xll.DBRW($D$4,$E$7,$E$8,$E$9,$E$10,$E$12,$D135,$E$6,G$18,G$17)</f>
        <v>5.5674989999999952E-2</v>
      </c>
      <c r="H135" s="16">
        <f ca="1">_xll.DBRW($D$4,$E$7,$E$8,$E$9,$E$10,$E$12,$D135,$E$6,H$18,H$17)</f>
        <v>-7.3329149999999996E-2</v>
      </c>
      <c r="I135" s="16">
        <f ca="1">_xll.DBRW($D$4,$E$7,$E$8,$E$9,$E$10,$E$12,$D135,$E$6,I$18,I$17)</f>
        <v>0</v>
      </c>
      <c r="J135" s="26">
        <f ca="1">_xll.DBRW($D$4,$E$7,$E$8,$E$9,$E$10,$E$12,$D135,$E$6,J$18,J$17)</f>
        <v>-4.4679999999999997E-3</v>
      </c>
      <c r="K135" s="26">
        <f ca="1">_xll.DBRW($D$4,$E$7,$E$8,$E$9,$E$10,$E$12,$D135,$E$6,K$18,K$17)</f>
        <v>0</v>
      </c>
      <c r="L135" s="26">
        <f ca="1">_xll.DBRW($D$4,$E$7,$E$8,$E$9,$E$10,$E$12,$D135,$E$6,L$18,L$17)</f>
        <v>0</v>
      </c>
      <c r="M135" s="26">
        <f ca="1">_xll.DBRW($D$4,$E$7,$E$8,$E$9,$E$10,$E$12,$D135,$E$6,M$18,M$17)</f>
        <v>0</v>
      </c>
      <c r="N135" s="16">
        <f ca="1">_xll.DBRW($D$4,$E$7,$E$8,$E$9,$E$10,$E$12,$D135,$E$6,N$18,N$17)</f>
        <v>0.13347213999999996</v>
      </c>
      <c r="O135" s="16">
        <f ca="1">_xll.DBRW($D$4,$E$7,$E$8,$E$9,$E$10,$E$12,$D135,$E$6,O$18,O$17)</f>
        <v>0.4767267</v>
      </c>
      <c r="P135" s="74">
        <f ca="1">_xll.DBRW($D$4,$E$7,$E$8,$E$9,$E$10,$E$12,$D135,$E$6,P$18,P$17)</f>
        <v>-0.11309088</v>
      </c>
      <c r="Q135" s="16">
        <f ca="1">_xll.DBRW($D$4,$E$7,$E$8,$E$9,$E$10,$E$12,$D135,$E$6,Q$18,Q$17)</f>
        <v>0.23722371748844778</v>
      </c>
      <c r="R135" s="16"/>
      <c r="S135" s="16"/>
      <c r="T135" s="16"/>
      <c r="U135" s="16"/>
      <c r="V135" s="16">
        <f ca="1">_xll.DBRW($D$4,$E$7,$E$8,$E$9,$E$10,$E$12,$D135,$E$6,V$18,V$17)</f>
        <v>-4.4621359999999999E-2</v>
      </c>
      <c r="W135" s="16">
        <f ca="1">_xll.DBRW($D$4,$E$7,$E$8,$E$9,$E$10,$E$12,$D135,$E$6,W$18,W$17)</f>
        <v>9.3599456460064012E-2</v>
      </c>
      <c r="X135" s="16"/>
      <c r="Y135" s="16"/>
      <c r="Z135" s="16"/>
      <c r="AA135" s="16"/>
      <c r="AB135" s="16">
        <f ca="1">_xll.DBRW($D$4,$E$7,$E$8,$E$9,$E$10,$E$12,$D135,$E$6,AB$18,AB$17)</f>
        <v>-3.3319809999999998E-2</v>
      </c>
      <c r="AC135" s="16">
        <f ca="1">_xll.DBRW($D$4,$E$7,$E$8,$E$9,$E$10,$E$12,$D135,$E$6,AC$18,AC$17)</f>
        <v>6.9892896705806493E-2</v>
      </c>
      <c r="AD135" s="16"/>
      <c r="AE135" s="16"/>
      <c r="AF135" s="16"/>
      <c r="AG135" s="16"/>
      <c r="AH135" s="16">
        <f ca="1">_xll.DBRW($D$4,$E$7,$E$8,$E$9,$E$10,$E$12,$D135,$E$6,AH$18,AH$17)</f>
        <v>-8.3609479999999986E-2</v>
      </c>
      <c r="AI135" s="16">
        <f ca="1">_xll.DBRW($D$4,$E$7,$E$8,$E$9,$E$10,$E$12,$D135,$E$6,AI$18,AI$17)</f>
        <v>0.17538241512380151</v>
      </c>
      <c r="AJ135" s="16"/>
      <c r="AK135" s="16"/>
      <c r="AL135" s="16"/>
      <c r="AM135" s="16"/>
      <c r="AN135" s="16">
        <f ca="1">_xll.DBRW($D$4,$E$7,$E$8,$E$9,$E$10,$E$12,$D135,$E$6,AN$18,AN$17)</f>
        <v>-6.8613030000000005E-2</v>
      </c>
      <c r="AO135" s="16">
        <f ca="1">_xll.DBRW($D$4,$E$7,$E$8,$E$9,$E$10,$E$12,$D135,$E$6,AO$18,AO$17)</f>
        <v>0.14392529304526053</v>
      </c>
      <c r="AP135" s="16"/>
      <c r="AQ135" s="16"/>
      <c r="AR135" s="16"/>
      <c r="AS135" s="16"/>
      <c r="AT135" s="16">
        <f ca="1">_xll.DBRW($D$4,$E$7,$E$8,$E$9,$E$10,$E$12,$D135,$E$6,AT$18,AT$17)</f>
        <v>3.9084300000000001E-3</v>
      </c>
      <c r="AU135" s="16">
        <f ca="1">_xll.DBRW($D$4,$E$7,$E$8,$E$9,$E$10,$E$12,$D135,$E$6,AU$18,AU$17)</f>
        <v>0.10531869999999999</v>
      </c>
      <c r="AV135" s="16">
        <f ca="1">_xll.DBRW($D$4,$E$7,$E$8,$E$9,$E$10,$E$12,$D135,$E$6,AV$18,AV$17)</f>
        <v>0.10531869999999999</v>
      </c>
      <c r="AW135" s="16">
        <f ca="1">_xll.DBRW($D$4,$E$7,$E$8,$E$9,$E$10,$E$12,$D135,$E$6,AW$18,AW$17)</f>
        <v>0.10531869999999999</v>
      </c>
      <c r="AX135" s="16">
        <f ca="1">_xll.DBRW($D$4,$E$7,$E$8,$E$9,$E$10,$E$12,$D135,$E$6,AX$18,AX$17)</f>
        <v>3.7755039999999997E-2</v>
      </c>
      <c r="AY135" s="16">
        <f ca="1">_xll.DBRW($D$4,$E$7,$E$8,$E$9,$E$10,$E$12,$D135,$E$6,AY$18,AY$17)</f>
        <v>0.10531869999999999</v>
      </c>
      <c r="AZ135" s="16">
        <f ca="1">_xll.DBRW($D$4,$E$7,$E$8,$E$9,$E$10,$E$12,$D135,$E$6,AZ$18,AZ$17)</f>
        <v>7.3007800000000012E-2</v>
      </c>
      <c r="BA135" s="16">
        <f ca="1">_xll.DBRW($D$4,$E$7,$E$8,$E$9,$E$10,$E$12,$D135,$E$6,BA$18,BA$17)</f>
        <v>0.10531869999999999</v>
      </c>
      <c r="BB135" s="16">
        <f ca="1">_xll.DBRW($D$4,$E$7,$E$8,$E$9,$E$10,$E$12,$D135,$E$6,BB$18,BB$17)</f>
        <v>0.10531869999999999</v>
      </c>
      <c r="BC135" s="16">
        <f ca="1">_xll.DBRW($D$4,$E$7,$E$8,$E$9,$E$10,$E$12,$D135,$E$6,BC$18,BC$17)</f>
        <v>0.10531869999999999</v>
      </c>
      <c r="BD135" s="16">
        <f ca="1">_xll.DBRW($D$4,$E$7,$E$8,$E$9,$E$10,$E$12,$D135,$E$6,BD$18,BD$17)</f>
        <v>0</v>
      </c>
      <c r="BE135" s="16">
        <f ca="1">_xll.DBRW($D$4,$E$7,$E$8,$E$9,$E$10,$E$12,$D135,$E$6,BE$18,BE$17)</f>
        <v>0</v>
      </c>
      <c r="BF135" s="16">
        <f ca="1">_xll.DBRW($D$4,$E$7,$E$8,$E$9,$E$10,$E$12,$D135,$E$6,BF$18,BF$17)</f>
        <v>0</v>
      </c>
      <c r="BG135" s="26">
        <f ca="1">_xll.DBRW($D$4,$E$7,$E$8,$E$9,$E$10,$E$12,$D135,$E$6,BG$18,BG$17)</f>
        <v>0</v>
      </c>
      <c r="BH135" s="26">
        <f ca="1">_xll.DBRW($D$4,$E$7,$E$8,$E$9,$E$10,$E$12,$D135,$E$6,BH$18,BH$17)</f>
        <v>0</v>
      </c>
      <c r="BI135" s="26">
        <f ca="1">_xll.DBRW($D$4,$E$7,$E$8,$E$9,$E$10,$E$12,$D135,$E$6,BI$18,BI$17)</f>
        <v>0</v>
      </c>
      <c r="BJ135" s="26">
        <f ca="1">_xll.DBRW($D$4,$E$7,$E$8,$E$9,$E$10,$E$12,$D135,$E$6,BJ$18,BJ$17)</f>
        <v>0</v>
      </c>
      <c r="BK135" s="16">
        <f ca="1">_xll.DBRW($D$4,$E$7,$E$8,$E$9,$E$10,$E$12,$D135,$E$6,BK$18,BK$17)</f>
        <v>0</v>
      </c>
      <c r="BL135" s="16">
        <f ca="1">_xll.DBRW($D$4,$E$7,$E$8,$E$9,$E$10,$E$12,$D135,$E$6,BL$18,BL$17)</f>
        <v>0</v>
      </c>
      <c r="BM135" s="16">
        <f ca="1">_xll.DBRW($D$4,$E$7,$E$8,$E$9,$E$10,$E$12,$D135,$E$6,BM$18,BM$17)</f>
        <v>0</v>
      </c>
      <c r="BN135" s="16">
        <f ca="1">_xll.DBRW($D$4,$E$7,$E$8,$E$9,$E$10,$E$12,$D135,$E$6,BN$18,BN$17)</f>
        <v>0</v>
      </c>
      <c r="BO135" s="16"/>
      <c r="BP135" s="16"/>
      <c r="BQ135" s="16"/>
      <c r="BR135" s="16"/>
      <c r="BS135" s="16">
        <f ca="1">_xll.DBRW($D$4,$E$7,$E$8,$E$9,$E$10,$E$12,$D135,$E$6,BS$18,BS$17)</f>
        <v>0</v>
      </c>
      <c r="BT135" s="16">
        <f ca="1">_xll.DBRW($D$4,$E$7,$E$8,$E$9,$E$10,$E$12,$D135,$E$6,BT$18,BT$17)</f>
        <v>0</v>
      </c>
      <c r="BU135" s="16"/>
      <c r="BV135" s="16"/>
      <c r="BW135" s="16"/>
      <c r="BX135" s="16"/>
      <c r="BY135" s="16">
        <f ca="1">_xll.DBRW($D$4,$E$7,$E$8,$E$9,$E$10,$E$12,$D135,$E$6,BY$18,BY$17)</f>
        <v>0</v>
      </c>
      <c r="BZ135" s="16">
        <f ca="1">_xll.DBRW($D$4,$E$7,$E$8,$E$9,$E$10,$E$12,$D135,$E$6,BZ$18,BZ$17)</f>
        <v>0</v>
      </c>
      <c r="CA135" s="16"/>
      <c r="CB135" s="16"/>
      <c r="CC135" s="16"/>
      <c r="CD135" s="16"/>
      <c r="CE135" s="16">
        <f ca="1">_xll.DBRW($D$4,$E$7,$E$8,$E$9,$E$10,$E$12,$D135,$E$6,CE$18,CE$17)</f>
        <v>0</v>
      </c>
      <c r="CF135" s="16">
        <f ca="1">_xll.DBRW($D$4,$E$7,$E$8,$E$9,$E$10,$E$12,$D135,$E$6,CF$18,CF$17)</f>
        <v>0</v>
      </c>
      <c r="CG135" s="16"/>
      <c r="CH135" s="16"/>
      <c r="CI135" s="16"/>
      <c r="CJ135" s="16"/>
      <c r="CK135" s="16">
        <f ca="1">_xll.DBRW($D$4,$E$7,$E$8,$E$9,$E$10,$E$12,$D135,$E$6,CK$18,CK$17)</f>
        <v>0</v>
      </c>
      <c r="CL135" s="16">
        <f ca="1">_xll.DBRW($D$4,$E$7,$E$8,$E$9,$E$10,$E$12,$D135,$E$6,CL$18,CL$17)</f>
        <v>0</v>
      </c>
      <c r="CM135" s="16"/>
      <c r="CN135" s="16"/>
      <c r="CO135" s="16"/>
      <c r="CP135" s="16"/>
      <c r="CQ135" s="16">
        <f ca="1">_xll.DBRW($D$4,$E$7,$E$8,$E$9,$E$10,$E$12,$D135,$E$6,CQ$18,CQ$17)</f>
        <v>0</v>
      </c>
      <c r="CR135" s="16">
        <f ca="1">_xll.DBRW($D$4,$E$7,$E$8,$E$9,$E$10,$E$12,$D135,$E$6,CR$18,CR$17)</f>
        <v>0</v>
      </c>
      <c r="CS135" s="16">
        <f ca="1">_xll.DBRW($D$4,$E$7,$E$8,$E$9,$E$10,$E$12,$D135,$E$6,CS$18,CS$17)</f>
        <v>0</v>
      </c>
      <c r="CT135" s="16">
        <f ca="1">_xll.DBRW($D$4,$E$7,$E$8,$E$9,$E$10,$E$12,$D135,$E$6,CT$18,CT$17)</f>
        <v>0</v>
      </c>
      <c r="CU135" s="16">
        <f ca="1">_xll.DBRW($D$4,$E$7,$E$8,$E$9,$E$10,$E$12,$D135,$E$6,CU$18,CU$17)</f>
        <v>0</v>
      </c>
      <c r="CV135" s="16">
        <f ca="1">_xll.DBRW($D$4,$E$7,$E$8,$E$9,$E$10,$E$12,$D135,$E$6,CV$18,CV$17)</f>
        <v>0</v>
      </c>
      <c r="CW135" s="16">
        <f ca="1">_xll.DBRW($D$4,$E$7,$E$8,$E$9,$E$10,$E$12,$D135,$E$6,CW$18,CW$17)</f>
        <v>0</v>
      </c>
      <c r="CX135" s="16">
        <f ca="1">_xll.DBRW($D$4,$E$7,$E$8,$E$9,$E$10,$E$12,$D135,$E$6,CX$18,CX$17)</f>
        <v>0</v>
      </c>
      <c r="CY135" s="16">
        <f ca="1">_xll.DBRW($D$4,$E$7,$E$8,$E$9,$E$10,$E$12,$D135,$E$6,CY$18,CY$17)</f>
        <v>0</v>
      </c>
      <c r="CZ135" s="16">
        <f ca="1">_xll.DBRW($D$4,$E$7,$E$8,$E$9,$E$10,$E$12,$D135,$E$6,CZ$18,CZ$17)</f>
        <v>0</v>
      </c>
      <c r="DA135" s="26">
        <f t="shared" ca="1" si="108"/>
        <v>5.5674989999999952E-2</v>
      </c>
      <c r="DB135" s="26">
        <f t="shared" ca="1" si="109"/>
        <v>-7.3329149999999996E-2</v>
      </c>
      <c r="DC135" s="26">
        <f t="shared" ca="1" si="110"/>
        <v>0</v>
      </c>
      <c r="DD135" s="26">
        <f t="shared" ca="1" si="111"/>
        <v>-4.4679999999999997E-3</v>
      </c>
      <c r="DE135" s="26">
        <f t="shared" ca="1" si="112"/>
        <v>0</v>
      </c>
      <c r="DF135" s="26">
        <f t="shared" ca="1" si="113"/>
        <v>0</v>
      </c>
      <c r="DG135" s="26">
        <f t="shared" ca="1" si="114"/>
        <v>0</v>
      </c>
      <c r="DH135" s="26">
        <f t="shared" ca="1" si="115"/>
        <v>0.13347213999999996</v>
      </c>
      <c r="DI135" s="26">
        <f t="shared" ca="1" si="116"/>
        <v>0.4767267</v>
      </c>
      <c r="DJ135" s="26">
        <f t="shared" ca="1" si="117"/>
        <v>-0.11309088</v>
      </c>
      <c r="DK135" s="26">
        <f t="shared" ca="1" si="118"/>
        <v>0.23722371748844778</v>
      </c>
      <c r="DL135" s="26"/>
      <c r="DM135" s="26"/>
      <c r="DN135" s="26"/>
      <c r="DO135" s="26"/>
      <c r="DP135" s="26">
        <f t="shared" ca="1" si="119"/>
        <v>-4.4621359999999999E-2</v>
      </c>
      <c r="DQ135" s="26">
        <f t="shared" ca="1" si="120"/>
        <v>9.3599456460064012E-2</v>
      </c>
      <c r="DR135" s="26"/>
      <c r="DS135" s="26"/>
      <c r="DT135" s="26"/>
      <c r="DU135" s="26"/>
      <c r="DV135" s="26">
        <f t="shared" ca="1" si="121"/>
        <v>-3.3319809999999998E-2</v>
      </c>
      <c r="DW135" s="26">
        <f t="shared" ca="1" si="122"/>
        <v>6.9892896705806493E-2</v>
      </c>
      <c r="DX135" s="26"/>
      <c r="DY135" s="26"/>
      <c r="DZ135" s="26"/>
      <c r="EA135" s="26"/>
      <c r="EB135" s="26">
        <f t="shared" ca="1" si="123"/>
        <v>-8.3609479999999986E-2</v>
      </c>
      <c r="EC135" s="26">
        <f t="shared" ca="1" si="124"/>
        <v>0.17538241512380151</v>
      </c>
      <c r="ED135" s="26"/>
      <c r="EE135" s="26"/>
      <c r="EF135" s="26"/>
      <c r="EG135" s="26"/>
      <c r="EH135" s="26">
        <f t="shared" ca="1" si="125"/>
        <v>-6.8613030000000005E-2</v>
      </c>
      <c r="EI135" s="29">
        <f t="shared" ca="1" si="126"/>
        <v>0.14392529304526053</v>
      </c>
      <c r="EJ135" s="29"/>
      <c r="EK135" s="29"/>
      <c r="EL135" s="29"/>
      <c r="EM135" s="29"/>
      <c r="EN135" s="93"/>
      <c r="EO135" s="29"/>
      <c r="EP135" s="29"/>
      <c r="EQ135" s="29"/>
      <c r="ER135" s="29"/>
      <c r="ES135" s="29"/>
      <c r="ET135" s="29"/>
      <c r="EU135" s="93"/>
      <c r="EV135" s="29"/>
      <c r="EW135" s="29"/>
      <c r="EX135" s="29"/>
      <c r="EY135" s="29"/>
      <c r="EZ135" s="29"/>
      <c r="FA135" s="29"/>
      <c r="FB135" s="93"/>
      <c r="FC135" s="29"/>
      <c r="FD135" s="29"/>
      <c r="FE135" s="29"/>
      <c r="FF135" s="29"/>
      <c r="FG135" s="29"/>
      <c r="FH135" s="29"/>
      <c r="FI135" s="93"/>
      <c r="FJ135" s="29"/>
      <c r="FK135" s="29"/>
      <c r="FL135" s="29"/>
      <c r="FM135" s="29"/>
      <c r="FN135" s="29"/>
      <c r="FO135" s="29"/>
      <c r="FP135" s="93"/>
      <c r="FQ135" s="29"/>
      <c r="FR135" s="29"/>
      <c r="FS135" s="29"/>
      <c r="FT135" s="29"/>
      <c r="FU135" s="29"/>
      <c r="FV135" s="29"/>
    </row>
    <row r="136" spans="1:178" x14ac:dyDescent="0.25">
      <c r="A136" t="str">
        <f ca="1">IF(_xll.TM1RPTELISCONSOLIDATED($D$28,$D136),IF(_xll.TM1RPTELLEV($D$28,$D136)&lt;=3,_xll.TM1RPTELLEV($D$28,$D136),"D"),"N")</f>
        <v>N</v>
      </c>
      <c r="B136" t="str">
        <f ca="1">_xll.DBRA(Server&amp;"Management_organization",$D136,$B$27)</f>
        <v>L</v>
      </c>
      <c r="C136">
        <v>1</v>
      </c>
      <c r="D136" s="2" t="s">
        <v>166</v>
      </c>
      <c r="E136" s="26"/>
      <c r="F136" s="26"/>
      <c r="G136" s="16">
        <f ca="1">_xll.DBRW($D$4,$E$7,$E$8,$E$9,$E$10,$E$12,$D136,$E$6,G$18,G$17)</f>
        <v>-0.28822365999999983</v>
      </c>
      <c r="H136" s="16">
        <f ca="1">_xll.DBRW($D$4,$E$7,$E$8,$E$9,$E$10,$E$12,$D136,$E$6,H$18,H$17)</f>
        <v>-0.80877477999999992</v>
      </c>
      <c r="I136" s="16">
        <f ca="1">_xll.DBRW($D$4,$E$7,$E$8,$E$9,$E$10,$E$12,$D136,$E$6,I$18,I$17)</f>
        <v>0</v>
      </c>
      <c r="J136" s="26">
        <f ca="1">_xll.DBRW($D$4,$E$7,$E$8,$E$9,$E$10,$E$12,$D136,$E$6,J$18,J$17)</f>
        <v>0</v>
      </c>
      <c r="K136" s="26">
        <f ca="1">_xll.DBRW($D$4,$E$7,$E$8,$E$9,$E$10,$E$12,$D136,$E$6,K$18,K$17)</f>
        <v>0</v>
      </c>
      <c r="L136" s="26">
        <f ca="1">_xll.DBRW($D$4,$E$7,$E$8,$E$9,$E$10,$E$12,$D136,$E$6,L$18,L$17)</f>
        <v>0</v>
      </c>
      <c r="M136" s="26">
        <f ca="1">_xll.DBRW($D$4,$E$7,$E$8,$E$9,$E$10,$E$12,$D136,$E$6,M$18,M$17)</f>
        <v>0</v>
      </c>
      <c r="N136" s="16">
        <f ca="1">_xll.DBRW($D$4,$E$7,$E$8,$E$9,$E$10,$E$12,$D136,$E$6,N$18,N$17)</f>
        <v>0.52055112000000014</v>
      </c>
      <c r="O136" s="16">
        <f ca="1">_xll.DBRW($D$4,$E$7,$E$8,$E$9,$E$10,$E$12,$D136,$E$6,O$18,O$17)</f>
        <v>8.3170808800000007</v>
      </c>
      <c r="P136" s="74">
        <f ca="1">_xll.DBRW($D$4,$E$7,$E$8,$E$9,$E$10,$E$12,$D136,$E$6,P$18,P$17)</f>
        <v>-3.8150506699999993</v>
      </c>
      <c r="Q136" s="16">
        <f ca="1">_xll.DBRW($D$4,$E$7,$E$8,$E$9,$E$10,$E$12,$D136,$E$6,Q$18,Q$17)</f>
        <v>0.45870068177093393</v>
      </c>
      <c r="R136" s="16"/>
      <c r="S136" s="16"/>
      <c r="T136" s="16"/>
      <c r="U136" s="16"/>
      <c r="V136" s="16">
        <f ca="1">_xll.DBRW($D$4,$E$7,$E$8,$E$9,$E$10,$E$12,$D136,$E$6,V$18,V$17)</f>
        <v>-0.64595930999999984</v>
      </c>
      <c r="W136" s="16">
        <f ca="1">_xll.DBRW($D$4,$E$7,$E$8,$E$9,$E$10,$E$12,$D136,$E$6,W$18,W$17)</f>
        <v>7.7666589915379031E-2</v>
      </c>
      <c r="X136" s="16"/>
      <c r="Y136" s="16"/>
      <c r="Z136" s="16"/>
      <c r="AA136" s="16"/>
      <c r="AB136" s="16">
        <f ca="1">_xll.DBRW($D$4,$E$7,$E$8,$E$9,$E$10,$E$12,$D136,$E$6,AB$18,AB$17)</f>
        <v>-0.64145657</v>
      </c>
      <c r="AC136" s="16">
        <f ca="1">_xll.DBRW($D$4,$E$7,$E$8,$E$9,$E$10,$E$12,$D136,$E$6,AC$18,AC$17)</f>
        <v>7.7125205255909449E-2</v>
      </c>
      <c r="AD136" s="16"/>
      <c r="AE136" s="16"/>
      <c r="AF136" s="16"/>
      <c r="AG136" s="16"/>
      <c r="AH136" s="16">
        <f ca="1">_xll.DBRW($D$4,$E$7,$E$8,$E$9,$E$10,$E$12,$D136,$E$6,AH$18,AH$17)</f>
        <v>-1.0962485700000002</v>
      </c>
      <c r="AI136" s="16">
        <f ca="1">_xll.DBRW($D$4,$E$7,$E$8,$E$9,$E$10,$E$12,$D136,$E$6,AI$18,AI$17)</f>
        <v>0.13180689064069798</v>
      </c>
      <c r="AJ136" s="16"/>
      <c r="AK136" s="16"/>
      <c r="AL136" s="16"/>
      <c r="AM136" s="16"/>
      <c r="AN136" s="16">
        <f ca="1">_xll.DBRW($D$4,$E$7,$E$8,$E$9,$E$10,$E$12,$D136,$E$6,AN$18,AN$17)</f>
        <v>-1.59781464</v>
      </c>
      <c r="AO136" s="16">
        <f ca="1">_xll.DBRW($D$4,$E$7,$E$8,$E$9,$E$10,$E$12,$D136,$E$6,AO$18,AO$17)</f>
        <v>0.19211243260147301</v>
      </c>
      <c r="AP136" s="16"/>
      <c r="AQ136" s="16"/>
      <c r="AR136" s="16"/>
      <c r="AS136" s="16"/>
      <c r="AT136" s="16">
        <f ca="1">_xll.DBRW($D$4,$E$7,$E$8,$E$9,$E$10,$E$12,$D136,$E$6,AT$18,AT$17)</f>
        <v>0.16799765999999999</v>
      </c>
      <c r="AU136" s="16">
        <f ca="1">_xll.DBRW($D$4,$E$7,$E$8,$E$9,$E$10,$E$12,$D136,$E$6,AU$18,AU$17)</f>
        <v>2.4562139999999997</v>
      </c>
      <c r="AV136" s="16">
        <f ca="1">_xll.DBRW($D$4,$E$7,$E$8,$E$9,$E$10,$E$12,$D136,$E$6,AV$18,AV$17)</f>
        <v>2.4562139999999997</v>
      </c>
      <c r="AW136" s="16">
        <f ca="1">_xll.DBRW($D$4,$E$7,$E$8,$E$9,$E$10,$E$12,$D136,$E$6,AW$18,AW$17)</f>
        <v>2.4562139999999997</v>
      </c>
      <c r="AX136" s="16">
        <f ca="1">_xll.DBRW($D$4,$E$7,$E$8,$E$9,$E$10,$E$12,$D136,$E$6,AX$18,AX$17)</f>
        <v>0.69670100000000001</v>
      </c>
      <c r="AY136" s="16">
        <f ca="1">_xll.DBRW($D$4,$E$7,$E$8,$E$9,$E$10,$E$12,$D136,$E$6,AY$18,AY$17)</f>
        <v>2.4562139999999997</v>
      </c>
      <c r="AZ136" s="16">
        <f ca="1">_xll.DBRW($D$4,$E$7,$E$8,$E$9,$E$10,$E$12,$D136,$E$6,AZ$18,AZ$17)</f>
        <v>1.4763309999999998</v>
      </c>
      <c r="BA136" s="16">
        <f ca="1">_xll.DBRW($D$4,$E$7,$E$8,$E$9,$E$10,$E$12,$D136,$E$6,BA$18,BA$17)</f>
        <v>2.4562139999999997</v>
      </c>
      <c r="BB136" s="16">
        <f ca="1">_xll.DBRW($D$4,$E$7,$E$8,$E$9,$E$10,$E$12,$D136,$E$6,BB$18,BB$17)</f>
        <v>2.4562139999999997</v>
      </c>
      <c r="BC136" s="16">
        <f ca="1">_xll.DBRW($D$4,$E$7,$E$8,$E$9,$E$10,$E$12,$D136,$E$6,BC$18,BC$17)</f>
        <v>2.4562139999999997</v>
      </c>
      <c r="BD136" s="16">
        <f ca="1">_xll.DBRW($D$4,$E$7,$E$8,$E$9,$E$10,$E$12,$D136,$E$6,BD$18,BD$17)</f>
        <v>-0.48919716213684461</v>
      </c>
      <c r="BE136" s="16">
        <f ca="1">_xll.DBRW($D$4,$E$7,$E$8,$E$9,$E$10,$E$12,$D136,$E$6,BE$18,BE$17)</f>
        <v>-1.505779</v>
      </c>
      <c r="BF136" s="16">
        <f ca="1">_xll.DBRW($D$4,$E$7,$E$8,$E$9,$E$10,$E$12,$D136,$E$6,BF$18,BF$17)</f>
        <v>0</v>
      </c>
      <c r="BG136" s="26">
        <f ca="1">_xll.DBRW($D$4,$E$7,$E$8,$E$9,$E$10,$E$12,$D136,$E$6,BG$18,BG$17)</f>
        <v>0</v>
      </c>
      <c r="BH136" s="26">
        <f ca="1">_xll.DBRW($D$4,$E$7,$E$8,$E$9,$E$10,$E$12,$D136,$E$6,BH$18,BH$17)</f>
        <v>0</v>
      </c>
      <c r="BI136" s="26">
        <f ca="1">_xll.DBRW($D$4,$E$7,$E$8,$E$9,$E$10,$E$12,$D136,$E$6,BI$18,BI$17)</f>
        <v>0</v>
      </c>
      <c r="BJ136" s="26">
        <f ca="1">_xll.DBRW($D$4,$E$7,$E$8,$E$9,$E$10,$E$12,$D136,$E$6,BJ$18,BJ$17)</f>
        <v>0</v>
      </c>
      <c r="BK136" s="16">
        <f ca="1">_xll.DBRW($D$4,$E$7,$E$8,$E$9,$E$10,$E$12,$D136,$E$6,BK$18,BK$17)</f>
        <v>1.0165818378631555</v>
      </c>
      <c r="BL136" s="16">
        <f ca="1">_xll.DBRW($D$4,$E$7,$E$8,$E$9,$E$10,$E$12,$D136,$E$6,BL$18,BL$17)</f>
        <v>14.603287999999997</v>
      </c>
      <c r="BM136" s="16">
        <f ca="1">_xll.DBRW($D$4,$E$7,$E$8,$E$9,$E$10,$E$12,$D136,$E$6,BM$18,BM$17)</f>
        <v>-6.3672242699999995</v>
      </c>
      <c r="BN136" s="16">
        <f ca="1">_xll.DBRW($D$4,$E$7,$E$8,$E$9,$E$10,$E$12,$D136,$E$6,BN$18,BN$17)</f>
        <v>0.43601305883989966</v>
      </c>
      <c r="BO136" s="16"/>
      <c r="BP136" s="16"/>
      <c r="BQ136" s="16"/>
      <c r="BR136" s="16"/>
      <c r="BS136" s="16">
        <f ca="1">_xll.DBRW($D$4,$E$7,$E$8,$E$9,$E$10,$E$12,$D136,$E$6,BS$18,BS$17)</f>
        <v>-1.2647624678</v>
      </c>
      <c r="BT136" s="16">
        <f ca="1">_xll.DBRW($D$4,$E$7,$E$8,$E$9,$E$10,$E$12,$D136,$E$6,BT$18,BT$17)</f>
        <v>8.6608061677616727E-2</v>
      </c>
      <c r="BU136" s="16"/>
      <c r="BV136" s="16"/>
      <c r="BW136" s="16"/>
      <c r="BX136" s="16"/>
      <c r="BY136" s="16">
        <f ca="1">_xll.DBRW($D$4,$E$7,$E$8,$E$9,$E$10,$E$12,$D136,$E$6,BY$18,BY$17)</f>
        <v>-0.88470985433684701</v>
      </c>
      <c r="BZ136" s="16">
        <f ca="1">_xll.DBRW($D$4,$E$7,$E$8,$E$9,$E$10,$E$12,$D136,$E$6,BZ$18,BZ$17)</f>
        <v>6.0582921759596002E-2</v>
      </c>
      <c r="CA136" s="16"/>
      <c r="CB136" s="16"/>
      <c r="CC136" s="16"/>
      <c r="CD136" s="16"/>
      <c r="CE136" s="16">
        <f ca="1">_xll.DBRW($D$4,$E$7,$E$8,$E$9,$E$10,$E$12,$D136,$E$6,CE$18,CE$17)</f>
        <v>-2.2931189999999999</v>
      </c>
      <c r="CF136" s="16">
        <f ca="1">_xll.DBRW($D$4,$E$7,$E$8,$E$9,$E$10,$E$12,$D136,$E$6,CF$18,CF$17)</f>
        <v>0.15702758173364795</v>
      </c>
      <c r="CG136" s="16"/>
      <c r="CH136" s="16"/>
      <c r="CI136" s="16"/>
      <c r="CJ136" s="16"/>
      <c r="CK136" s="16">
        <f ca="1">_xll.DBRW($D$4,$E$7,$E$8,$E$9,$E$10,$E$12,$D136,$E$6,CK$18,CK$17)</f>
        <v>-2.7768905699999991</v>
      </c>
      <c r="CL136" s="16">
        <f ca="1">_xll.DBRW($D$4,$E$7,$E$8,$E$9,$E$10,$E$12,$D136,$E$6,CL$18,CL$17)</f>
        <v>0.19015516026253809</v>
      </c>
      <c r="CM136" s="16"/>
      <c r="CN136" s="16"/>
      <c r="CO136" s="16"/>
      <c r="CP136" s="16"/>
      <c r="CQ136" s="16">
        <f ca="1">_xll.DBRW($D$4,$E$7,$E$8,$E$9,$E$10,$E$12,$D136,$E$6,CQ$18,CQ$17)</f>
        <v>0.30457100000000004</v>
      </c>
      <c r="CR136" s="16">
        <f ca="1">_xll.DBRW($D$4,$E$7,$E$8,$E$9,$E$10,$E$12,$D136,$E$6,CR$18,CR$17)</f>
        <v>3.8401490000000003</v>
      </c>
      <c r="CS136" s="16">
        <f ca="1">_xll.DBRW($D$4,$E$7,$E$8,$E$9,$E$10,$E$12,$D136,$E$6,CS$18,CS$17)</f>
        <v>3.8401490000000003</v>
      </c>
      <c r="CT136" s="16">
        <f ca="1">_xll.DBRW($D$4,$E$7,$E$8,$E$9,$E$10,$E$12,$D136,$E$6,CT$18,CT$17)</f>
        <v>3.8401490000000003</v>
      </c>
      <c r="CU136" s="16">
        <f ca="1">_xll.DBRW($D$4,$E$7,$E$8,$E$9,$E$10,$E$12,$D136,$E$6,CU$18,CU$17)</f>
        <v>1.0337166709000001</v>
      </c>
      <c r="CV136" s="16">
        <f ca="1">_xll.DBRW($D$4,$E$7,$E$8,$E$9,$E$10,$E$12,$D136,$E$6,CV$18,CV$17)</f>
        <v>3.8401490000000003</v>
      </c>
      <c r="CW136" s="16">
        <f ca="1">_xll.DBRW($D$4,$E$7,$E$8,$E$9,$E$10,$E$12,$D136,$E$6,CW$18,CW$17)</f>
        <v>2.7867730000000002</v>
      </c>
      <c r="CX136" s="16">
        <f ca="1">_xll.DBRW($D$4,$E$7,$E$8,$E$9,$E$10,$E$12,$D136,$E$6,CX$18,CX$17)</f>
        <v>3.8401490000000003</v>
      </c>
      <c r="CY136" s="16">
        <f ca="1">_xll.DBRW($D$4,$E$7,$E$8,$E$9,$E$10,$E$12,$D136,$E$6,CY$18,CY$17)</f>
        <v>3.8401490000000003</v>
      </c>
      <c r="CZ136" s="16">
        <f ca="1">_xll.DBRW($D$4,$E$7,$E$8,$E$9,$E$10,$E$12,$D136,$E$6,CZ$18,CZ$17)</f>
        <v>3.8401490000000003</v>
      </c>
      <c r="DA136" s="26">
        <f t="shared" ca="1" si="108"/>
        <v>0.20097350213684478</v>
      </c>
      <c r="DB136" s="26">
        <f t="shared" ca="1" si="109"/>
        <v>0.69700422000000006</v>
      </c>
      <c r="DC136" s="26">
        <f t="shared" ca="1" si="110"/>
        <v>0</v>
      </c>
      <c r="DD136" s="26">
        <f t="shared" ca="1" si="111"/>
        <v>0</v>
      </c>
      <c r="DE136" s="26">
        <f t="shared" ca="1" si="112"/>
        <v>0</v>
      </c>
      <c r="DF136" s="26">
        <f t="shared" ca="1" si="113"/>
        <v>0</v>
      </c>
      <c r="DG136" s="26">
        <f t="shared" ca="1" si="114"/>
        <v>0</v>
      </c>
      <c r="DH136" s="26">
        <f t="shared" ca="1" si="115"/>
        <v>-0.49603071786315533</v>
      </c>
      <c r="DI136" s="26">
        <f t="shared" ca="1" si="116"/>
        <v>-6.2862071199999967</v>
      </c>
      <c r="DJ136" s="26">
        <f t="shared" ca="1" si="117"/>
        <v>2.5521736000000002</v>
      </c>
      <c r="DK136" s="26">
        <f t="shared" ca="1" si="118"/>
        <v>2.2687622931034268E-2</v>
      </c>
      <c r="DL136" s="26"/>
      <c r="DM136" s="26"/>
      <c r="DN136" s="26"/>
      <c r="DO136" s="26"/>
      <c r="DP136" s="26">
        <f t="shared" ca="1" si="119"/>
        <v>0.61880315780000017</v>
      </c>
      <c r="DQ136" s="26">
        <f t="shared" ca="1" si="120"/>
        <v>-8.941471762237696E-3</v>
      </c>
      <c r="DR136" s="26"/>
      <c r="DS136" s="26"/>
      <c r="DT136" s="26"/>
      <c r="DU136" s="26"/>
      <c r="DV136" s="26">
        <f t="shared" ca="1" si="121"/>
        <v>0.24325328433684701</v>
      </c>
      <c r="DW136" s="26">
        <f t="shared" ca="1" si="122"/>
        <v>1.6542283496313447E-2</v>
      </c>
      <c r="DX136" s="26"/>
      <c r="DY136" s="26"/>
      <c r="DZ136" s="26"/>
      <c r="EA136" s="26"/>
      <c r="EB136" s="26">
        <f t="shared" ca="1" si="123"/>
        <v>1.1968704299999997</v>
      </c>
      <c r="EC136" s="26">
        <f t="shared" ca="1" si="124"/>
        <v>-2.5220691092949971E-2</v>
      </c>
      <c r="ED136" s="26"/>
      <c r="EE136" s="26"/>
      <c r="EF136" s="26"/>
      <c r="EG136" s="26"/>
      <c r="EH136" s="26">
        <f t="shared" ca="1" si="125"/>
        <v>1.1790759299999991</v>
      </c>
      <c r="EI136" s="29">
        <f t="shared" ca="1" si="126"/>
        <v>1.9572723389349178E-3</v>
      </c>
      <c r="EJ136" s="29"/>
      <c r="EK136" s="29"/>
      <c r="EL136" s="29"/>
      <c r="EM136" s="29"/>
      <c r="EN136" s="93"/>
      <c r="EO136" s="29"/>
      <c r="EP136" s="29"/>
      <c r="EQ136" s="29"/>
      <c r="ER136" s="29"/>
      <c r="ES136" s="29"/>
      <c r="ET136" s="29"/>
      <c r="EU136" s="93"/>
      <c r="EV136" s="29"/>
      <c r="EW136" s="29"/>
      <c r="EX136" s="29"/>
      <c r="EY136" s="29"/>
      <c r="EZ136" s="29"/>
      <c r="FA136" s="29"/>
      <c r="FB136" s="93"/>
      <c r="FC136" s="29"/>
      <c r="FD136" s="29"/>
      <c r="FE136" s="29"/>
      <c r="FF136" s="29"/>
      <c r="FG136" s="29"/>
      <c r="FH136" s="29"/>
      <c r="FI136" s="93"/>
      <c r="FJ136" s="29"/>
      <c r="FK136" s="29"/>
      <c r="FL136" s="29"/>
      <c r="FM136" s="29"/>
      <c r="FN136" s="29"/>
      <c r="FO136" s="29"/>
      <c r="FP136" s="93"/>
      <c r="FQ136" s="29"/>
      <c r="FR136" s="29"/>
      <c r="FS136" s="29"/>
      <c r="FT136" s="29"/>
      <c r="FU136" s="29"/>
      <c r="FV136" s="29"/>
    </row>
    <row r="137" spans="1:178" x14ac:dyDescent="0.25">
      <c r="A137" t="str">
        <f ca="1">IF(_xll.TM1RPTELISCONSOLIDATED($D$28,$D137),IF(_xll.TM1RPTELLEV($D$28,$D137)&lt;=3,_xll.TM1RPTELLEV($D$28,$D137),"D"),"N")</f>
        <v>N</v>
      </c>
      <c r="B137" t="str">
        <f ca="1">_xll.DBRA(Server&amp;"Management_organization",$D137,$B$27)</f>
        <v>L</v>
      </c>
      <c r="C137">
        <v>1</v>
      </c>
      <c r="D137" s="2" t="s">
        <v>167</v>
      </c>
      <c r="E137" s="26"/>
      <c r="F137" s="26"/>
      <c r="G137" s="16">
        <f ca="1">_xll.DBRW($D$4,$E$7,$E$8,$E$9,$E$10,$E$12,$D137,$E$6,G$18,G$17)</f>
        <v>-0.43619010000000441</v>
      </c>
      <c r="H137" s="16">
        <f ca="1">_xll.DBRW($D$4,$E$7,$E$8,$E$9,$E$10,$E$12,$D137,$E$6,H$18,H$17)</f>
        <v>-1.7163807200000001</v>
      </c>
      <c r="I137" s="16">
        <f ca="1">_xll.DBRW($D$4,$E$7,$E$8,$E$9,$E$10,$E$12,$D137,$E$6,I$18,I$17)</f>
        <v>0</v>
      </c>
      <c r="J137" s="26">
        <f ca="1">_xll.DBRW($D$4,$E$7,$E$8,$E$9,$E$10,$E$12,$D137,$E$6,J$18,J$17)</f>
        <v>0</v>
      </c>
      <c r="K137" s="26">
        <f ca="1">_xll.DBRW($D$4,$E$7,$E$8,$E$9,$E$10,$E$12,$D137,$E$6,K$18,K$17)</f>
        <v>0</v>
      </c>
      <c r="L137" s="26">
        <f ca="1">_xll.DBRW($D$4,$E$7,$E$8,$E$9,$E$10,$E$12,$D137,$E$6,L$18,L$17)</f>
        <v>0</v>
      </c>
      <c r="M137" s="26">
        <f ca="1">_xll.DBRW($D$4,$E$7,$E$8,$E$9,$E$10,$E$12,$D137,$E$6,M$18,M$17)</f>
        <v>0</v>
      </c>
      <c r="N137" s="16">
        <f ca="1">_xll.DBRW($D$4,$E$7,$E$8,$E$9,$E$10,$E$12,$D137,$E$6,N$18,N$17)</f>
        <v>1.2801906199999955</v>
      </c>
      <c r="O137" s="16">
        <f ca="1">_xll.DBRW($D$4,$E$7,$E$8,$E$9,$E$10,$E$12,$D137,$E$6,O$18,O$17)</f>
        <v>21.327097639999998</v>
      </c>
      <c r="P137" s="74">
        <f ca="1">_xll.DBRW($D$4,$E$7,$E$8,$E$9,$E$10,$E$12,$D137,$E$6,P$18,P$17)</f>
        <v>-9.9947669099999992</v>
      </c>
      <c r="Q137" s="16">
        <f ca="1">_xll.DBRW($D$4,$E$7,$E$8,$E$9,$E$10,$E$12,$D137,$E$6,Q$18,Q$17)</f>
        <v>0.46864168199119288</v>
      </c>
      <c r="R137" s="16"/>
      <c r="S137" s="16"/>
      <c r="T137" s="16"/>
      <c r="U137" s="16"/>
      <c r="V137" s="16">
        <f ca="1">_xll.DBRW($D$4,$E$7,$E$8,$E$9,$E$10,$E$12,$D137,$E$6,V$18,V$17)</f>
        <v>-1.6080215299999998</v>
      </c>
      <c r="W137" s="16">
        <f ca="1">_xll.DBRW($D$4,$E$7,$E$8,$E$9,$E$10,$E$12,$D137,$E$6,W$18,W$17)</f>
        <v>7.5398047926787656E-2</v>
      </c>
      <c r="X137" s="16"/>
      <c r="Y137" s="16"/>
      <c r="Z137" s="16"/>
      <c r="AA137" s="16"/>
      <c r="AB137" s="16">
        <f ca="1">_xll.DBRW($D$4,$E$7,$E$8,$E$9,$E$10,$E$12,$D137,$E$6,AB$18,AB$17)</f>
        <v>-1.7096984399999997</v>
      </c>
      <c r="AC137" s="16">
        <f ca="1">_xll.DBRW($D$4,$E$7,$E$8,$E$9,$E$10,$E$12,$D137,$E$6,AC$18,AC$17)</f>
        <v>8.0165546613964855E-2</v>
      </c>
      <c r="AD137" s="16"/>
      <c r="AE137" s="16"/>
      <c r="AF137" s="16"/>
      <c r="AG137" s="16"/>
      <c r="AH137" s="16">
        <f ca="1">_xll.DBRW($D$4,$E$7,$E$8,$E$9,$E$10,$E$12,$D137,$E$6,AH$18,AH$17)</f>
        <v>-3.0281553800000007</v>
      </c>
      <c r="AI137" s="16">
        <f ca="1">_xll.DBRW($D$4,$E$7,$E$8,$E$9,$E$10,$E$12,$D137,$E$6,AI$18,AI$17)</f>
        <v>0.14198628576260416</v>
      </c>
      <c r="AJ137" s="16"/>
      <c r="AK137" s="16"/>
      <c r="AL137" s="16"/>
      <c r="AM137" s="16"/>
      <c r="AN137" s="16">
        <f ca="1">_xll.DBRW($D$4,$E$7,$E$8,$E$9,$E$10,$E$12,$D137,$E$6,AN$18,AN$17)</f>
        <v>-3.7062647600000007</v>
      </c>
      <c r="AO137" s="16">
        <f ca="1">_xll.DBRW($D$4,$E$7,$E$8,$E$9,$E$10,$E$12,$D137,$E$6,AO$18,AO$17)</f>
        <v>0.17378195676512131</v>
      </c>
      <c r="AP137" s="16"/>
      <c r="AQ137" s="16"/>
      <c r="AR137" s="16"/>
      <c r="AS137" s="16"/>
      <c r="AT137" s="16">
        <f ca="1">_xll.DBRW($D$4,$E$7,$E$8,$E$9,$E$10,$E$12,$D137,$E$6,AT$18,AT$17)</f>
        <v>0.47877834000000008</v>
      </c>
      <c r="AU137" s="16">
        <f ca="1">_xll.DBRW($D$4,$E$7,$E$8,$E$9,$E$10,$E$12,$D137,$E$6,AU$18,AU$17)</f>
        <v>7.9816649999999996</v>
      </c>
      <c r="AV137" s="16">
        <f ca="1">_xll.DBRW($D$4,$E$7,$E$8,$E$9,$E$10,$E$12,$D137,$E$6,AV$18,AV$17)</f>
        <v>7.9816649999999996</v>
      </c>
      <c r="AW137" s="16">
        <f ca="1">_xll.DBRW($D$4,$E$7,$E$8,$E$9,$E$10,$E$12,$D137,$E$6,AW$18,AW$17)</f>
        <v>7.9816649999999996</v>
      </c>
      <c r="AX137" s="16">
        <f ca="1">_xll.DBRW($D$4,$E$7,$E$8,$E$9,$E$10,$E$12,$D137,$E$6,AX$18,AX$17)</f>
        <v>2.1876129999999998</v>
      </c>
      <c r="AY137" s="16">
        <f ca="1">_xll.DBRW($D$4,$E$7,$E$8,$E$9,$E$10,$E$12,$D137,$E$6,AY$18,AY$17)</f>
        <v>7.9816649999999996</v>
      </c>
      <c r="AZ137" s="16">
        <f ca="1">_xll.DBRW($D$4,$E$7,$E$8,$E$9,$E$10,$E$12,$D137,$E$6,AZ$18,AZ$17)</f>
        <v>5.704909999999999</v>
      </c>
      <c r="BA137" s="16">
        <f ca="1">_xll.DBRW($D$4,$E$7,$E$8,$E$9,$E$10,$E$12,$D137,$E$6,BA$18,BA$17)</f>
        <v>7.9816649999999996</v>
      </c>
      <c r="BB137" s="16">
        <f ca="1">_xll.DBRW($D$4,$E$7,$E$8,$E$9,$E$10,$E$12,$D137,$E$6,BB$18,BB$17)</f>
        <v>7.9816649999999996</v>
      </c>
      <c r="BC137" s="16">
        <f ca="1">_xll.DBRW($D$4,$E$7,$E$8,$E$9,$E$10,$E$12,$D137,$E$6,BC$18,BC$17)</f>
        <v>7.9816649999999996</v>
      </c>
      <c r="BD137" s="16">
        <f ca="1">_xll.DBRW($D$4,$E$7,$E$8,$E$9,$E$10,$E$12,$D137,$E$6,BD$18,BD$17)</f>
        <v>-0.34760805579853327</v>
      </c>
      <c r="BE137" s="16">
        <f ca="1">_xll.DBRW($D$4,$E$7,$E$8,$E$9,$E$10,$E$12,$D137,$E$6,BE$18,BE$17)</f>
        <v>-0.59012084999999992</v>
      </c>
      <c r="BF137" s="16">
        <f ca="1">_xll.DBRW($D$4,$E$7,$E$8,$E$9,$E$10,$E$12,$D137,$E$6,BF$18,BF$17)</f>
        <v>0</v>
      </c>
      <c r="BG137" s="26">
        <f ca="1">_xll.DBRW($D$4,$E$7,$E$8,$E$9,$E$10,$E$12,$D137,$E$6,BG$18,BG$17)</f>
        <v>0</v>
      </c>
      <c r="BH137" s="26">
        <f ca="1">_xll.DBRW($D$4,$E$7,$E$8,$E$9,$E$10,$E$12,$D137,$E$6,BH$18,BH$17)</f>
        <v>0</v>
      </c>
      <c r="BI137" s="26">
        <f ca="1">_xll.DBRW($D$4,$E$7,$E$8,$E$9,$E$10,$E$12,$D137,$E$6,BI$18,BI$17)</f>
        <v>0</v>
      </c>
      <c r="BJ137" s="26">
        <f ca="1">_xll.DBRW($D$4,$E$7,$E$8,$E$9,$E$10,$E$12,$D137,$E$6,BJ$18,BJ$17)</f>
        <v>0</v>
      </c>
      <c r="BK137" s="16">
        <f ca="1">_xll.DBRW($D$4,$E$7,$E$8,$E$9,$E$10,$E$12,$D137,$E$6,BK$18,BK$17)</f>
        <v>0.24251279420146665</v>
      </c>
      <c r="BL137" s="16">
        <f ca="1">_xll.DBRW($D$4,$E$7,$E$8,$E$9,$E$10,$E$12,$D137,$E$6,BL$18,BL$17)</f>
        <v>9.538238999999999</v>
      </c>
      <c r="BM137" s="16">
        <f ca="1">_xll.DBRW($D$4,$E$7,$E$8,$E$9,$E$10,$E$12,$D137,$E$6,BM$18,BM$17)</f>
        <v>-3.9336276880000001</v>
      </c>
      <c r="BN137" s="16">
        <f ca="1">_xll.DBRW($D$4,$E$7,$E$8,$E$9,$E$10,$E$12,$D137,$E$6,BN$18,BN$17)</f>
        <v>0.41240607286103864</v>
      </c>
      <c r="BO137" s="16"/>
      <c r="BP137" s="16"/>
      <c r="BQ137" s="16"/>
      <c r="BR137" s="16"/>
      <c r="BS137" s="16">
        <f ca="1">_xll.DBRW($D$4,$E$7,$E$8,$E$9,$E$10,$E$12,$D137,$E$6,BS$18,BS$17)</f>
        <v>-0.98946968653099132</v>
      </c>
      <c r="BT137" s="16">
        <f ca="1">_xll.DBRW($D$4,$E$7,$E$8,$E$9,$E$10,$E$12,$D137,$E$6,BT$18,BT$17)</f>
        <v>0.1037371454553604</v>
      </c>
      <c r="BU137" s="16"/>
      <c r="BV137" s="16"/>
      <c r="BW137" s="16"/>
      <c r="BX137" s="16"/>
      <c r="BY137" s="16">
        <f ca="1">_xll.DBRW($D$4,$E$7,$E$8,$E$9,$E$10,$E$12,$D137,$E$6,BY$18,BY$17)</f>
        <v>-1.130560886961983</v>
      </c>
      <c r="BZ137" s="16">
        <f ca="1">_xll.DBRW($D$4,$E$7,$E$8,$E$9,$E$10,$E$12,$D137,$E$6,BZ$18,BZ$17)</f>
        <v>0.1185293099661251</v>
      </c>
      <c r="CA137" s="16"/>
      <c r="CB137" s="16"/>
      <c r="CC137" s="16"/>
      <c r="CD137" s="16"/>
      <c r="CE137" s="16">
        <f ca="1">_xll.DBRW($D$4,$E$7,$E$8,$E$9,$E$10,$E$12,$D137,$E$6,CE$18,CE$17)</f>
        <v>-1.7642448566666664</v>
      </c>
      <c r="CF137" s="16">
        <f ca="1">_xll.DBRW($D$4,$E$7,$E$8,$E$9,$E$10,$E$12,$D137,$E$6,CF$18,CF$17)</f>
        <v>0.18496546969169744</v>
      </c>
      <c r="CG137" s="16"/>
      <c r="CH137" s="16"/>
      <c r="CI137" s="16"/>
      <c r="CJ137" s="16"/>
      <c r="CK137" s="16">
        <f ca="1">_xll.DBRW($D$4,$E$7,$E$8,$E$9,$E$10,$E$12,$D137,$E$6,CK$18,CK$17)</f>
        <v>-1.4778230876388887</v>
      </c>
      <c r="CL137" s="16">
        <f ca="1">_xll.DBRW($D$4,$E$7,$E$8,$E$9,$E$10,$E$12,$D137,$E$6,CL$18,CL$17)</f>
        <v>0.1549366804122741</v>
      </c>
      <c r="CM137" s="16"/>
      <c r="CN137" s="16"/>
      <c r="CO137" s="16"/>
      <c r="CP137" s="16"/>
      <c r="CQ137" s="16">
        <f ca="1">_xll.DBRW($D$4,$E$7,$E$8,$E$9,$E$10,$E$12,$D137,$E$6,CQ$18,CQ$17)</f>
        <v>0.20285800000000001</v>
      </c>
      <c r="CR137" s="16">
        <f ca="1">_xll.DBRW($D$4,$E$7,$E$8,$E$9,$E$10,$E$12,$D137,$E$6,CR$18,CR$17)</f>
        <v>4.8938219999999992</v>
      </c>
      <c r="CS137" s="16">
        <f ca="1">_xll.DBRW($D$4,$E$7,$E$8,$E$9,$E$10,$E$12,$D137,$E$6,CS$18,CS$17)</f>
        <v>4.8938219999999992</v>
      </c>
      <c r="CT137" s="16">
        <f ca="1">_xll.DBRW($D$4,$E$7,$E$8,$E$9,$E$10,$E$12,$D137,$E$6,CT$18,CT$17)</f>
        <v>4.8938219999999992</v>
      </c>
      <c r="CU137" s="16">
        <f ca="1">_xll.DBRW($D$4,$E$7,$E$8,$E$9,$E$10,$E$12,$D137,$E$6,CU$18,CU$17)</f>
        <v>1.3089057882999997</v>
      </c>
      <c r="CV137" s="16">
        <f ca="1">_xll.DBRW($D$4,$E$7,$E$8,$E$9,$E$10,$E$12,$D137,$E$6,CV$18,CV$17)</f>
        <v>4.8938219999999992</v>
      </c>
      <c r="CW137" s="16">
        <f ca="1">_xll.DBRW($D$4,$E$7,$E$8,$E$9,$E$10,$E$12,$D137,$E$6,CW$18,CW$17)</f>
        <v>3.5616439999999994</v>
      </c>
      <c r="CX137" s="16">
        <f ca="1">_xll.DBRW($D$4,$E$7,$E$8,$E$9,$E$10,$E$12,$D137,$E$6,CX$18,CX$17)</f>
        <v>4.8938219999999992</v>
      </c>
      <c r="CY137" s="16">
        <f ca="1">_xll.DBRW($D$4,$E$7,$E$8,$E$9,$E$10,$E$12,$D137,$E$6,CY$18,CY$17)</f>
        <v>4.8938219999999992</v>
      </c>
      <c r="CZ137" s="16">
        <f ca="1">_xll.DBRW($D$4,$E$7,$E$8,$E$9,$E$10,$E$12,$D137,$E$6,CZ$18,CZ$17)</f>
        <v>4.8938219999999992</v>
      </c>
      <c r="DA137" s="26">
        <f t="shared" ca="1" si="108"/>
        <v>-8.8582044201471144E-2</v>
      </c>
      <c r="DB137" s="26">
        <f t="shared" ca="1" si="109"/>
        <v>-1.1262598700000002</v>
      </c>
      <c r="DC137" s="26">
        <f t="shared" ca="1" si="110"/>
        <v>0</v>
      </c>
      <c r="DD137" s="26">
        <f t="shared" ca="1" si="111"/>
        <v>0</v>
      </c>
      <c r="DE137" s="26">
        <f t="shared" ca="1" si="112"/>
        <v>0</v>
      </c>
      <c r="DF137" s="26">
        <f t="shared" ca="1" si="113"/>
        <v>0</v>
      </c>
      <c r="DG137" s="26">
        <f t="shared" ca="1" si="114"/>
        <v>0</v>
      </c>
      <c r="DH137" s="26">
        <f t="shared" ca="1" si="115"/>
        <v>1.0376778257985289</v>
      </c>
      <c r="DI137" s="26">
        <f t="shared" ca="1" si="116"/>
        <v>11.788858639999999</v>
      </c>
      <c r="DJ137" s="26">
        <f t="shared" ca="1" si="117"/>
        <v>-6.0611392219999995</v>
      </c>
      <c r="DK137" s="26">
        <f t="shared" ca="1" si="118"/>
        <v>5.623560913015424E-2</v>
      </c>
      <c r="DL137" s="26"/>
      <c r="DM137" s="26"/>
      <c r="DN137" s="26"/>
      <c r="DO137" s="26"/>
      <c r="DP137" s="26">
        <f t="shared" ca="1" si="119"/>
        <v>-0.61855184346900849</v>
      </c>
      <c r="DQ137" s="26">
        <f t="shared" ca="1" si="120"/>
        <v>-2.8339097528572749E-2</v>
      </c>
      <c r="DR137" s="26"/>
      <c r="DS137" s="26"/>
      <c r="DT137" s="26"/>
      <c r="DU137" s="26"/>
      <c r="DV137" s="26">
        <f t="shared" ca="1" si="121"/>
        <v>-0.57913755303801673</v>
      </c>
      <c r="DW137" s="26">
        <f t="shared" ca="1" si="122"/>
        <v>-3.8363763352160241E-2</v>
      </c>
      <c r="DX137" s="26"/>
      <c r="DY137" s="26"/>
      <c r="DZ137" s="26"/>
      <c r="EA137" s="26"/>
      <c r="EB137" s="26">
        <f t="shared" ca="1" si="123"/>
        <v>-1.2639105233333343</v>
      </c>
      <c r="EC137" s="26">
        <f t="shared" ca="1" si="124"/>
        <v>-4.2979183929093279E-2</v>
      </c>
      <c r="ED137" s="26"/>
      <c r="EE137" s="26"/>
      <c r="EF137" s="26"/>
      <c r="EG137" s="26"/>
      <c r="EH137" s="26">
        <f t="shared" ca="1" si="125"/>
        <v>-2.2284416723611118</v>
      </c>
      <c r="EI137" s="29">
        <f t="shared" ca="1" si="126"/>
        <v>1.8845276352847218E-2</v>
      </c>
      <c r="EJ137" s="29"/>
      <c r="EK137" s="29"/>
      <c r="EL137" s="29"/>
      <c r="EM137" s="29"/>
      <c r="EN137" s="93"/>
      <c r="EO137" s="29"/>
      <c r="EP137" s="29"/>
      <c r="EQ137" s="29"/>
      <c r="ER137" s="29"/>
      <c r="ES137" s="29"/>
      <c r="ET137" s="29"/>
      <c r="EU137" s="93"/>
      <c r="EV137" s="29"/>
      <c r="EW137" s="29"/>
      <c r="EX137" s="29"/>
      <c r="EY137" s="29"/>
      <c r="EZ137" s="29"/>
      <c r="FA137" s="29"/>
      <c r="FB137" s="93"/>
      <c r="FC137" s="29"/>
      <c r="FD137" s="29"/>
      <c r="FE137" s="29"/>
      <c r="FF137" s="29"/>
      <c r="FG137" s="29"/>
      <c r="FH137" s="29"/>
      <c r="FI137" s="93"/>
      <c r="FJ137" s="29"/>
      <c r="FK137" s="29"/>
      <c r="FL137" s="29"/>
      <c r="FM137" s="29"/>
      <c r="FN137" s="29"/>
      <c r="FO137" s="29"/>
      <c r="FP137" s="93"/>
      <c r="FQ137" s="29"/>
      <c r="FR137" s="29"/>
      <c r="FS137" s="29"/>
      <c r="FT137" s="29"/>
      <c r="FU137" s="29"/>
      <c r="FV137" s="29"/>
    </row>
    <row r="138" spans="1:178" x14ac:dyDescent="0.25">
      <c r="A138" t="str">
        <f ca="1">IF(_xll.TM1RPTELISCONSOLIDATED($D$28,$D138),IF(_xll.TM1RPTELLEV($D$28,$D138)&lt;=3,_xll.TM1RPTELLEV($D$28,$D138),"D"),"N")</f>
        <v>N</v>
      </c>
      <c r="B138" t="str">
        <f ca="1">_xll.DBRA(Server&amp;"Management_organization",$D138,$B$27)</f>
        <v>L</v>
      </c>
      <c r="C138">
        <v>1</v>
      </c>
      <c r="D138" s="2" t="s">
        <v>168</v>
      </c>
      <c r="E138" s="26"/>
      <c r="F138" s="26"/>
      <c r="G138" s="16">
        <f ca="1">_xll.DBRW($D$4,$E$7,$E$8,$E$9,$E$10,$E$12,$D138,$E$6,G$18,G$17)</f>
        <v>-0.84439980999999997</v>
      </c>
      <c r="H138" s="16">
        <f ca="1">_xll.DBRW($D$4,$E$7,$E$8,$E$9,$E$10,$E$12,$D138,$E$6,H$18,H$17)</f>
        <v>-1.49773405</v>
      </c>
      <c r="I138" s="16">
        <f ca="1">_xll.DBRW($D$4,$E$7,$E$8,$E$9,$E$10,$E$12,$D138,$E$6,I$18,I$17)</f>
        <v>0</v>
      </c>
      <c r="J138" s="26">
        <f ca="1">_xll.DBRW($D$4,$E$7,$E$8,$E$9,$E$10,$E$12,$D138,$E$6,J$18,J$17)</f>
        <v>0</v>
      </c>
      <c r="K138" s="26">
        <f ca="1">_xll.DBRW($D$4,$E$7,$E$8,$E$9,$E$10,$E$12,$D138,$E$6,K$18,K$17)</f>
        <v>0</v>
      </c>
      <c r="L138" s="26">
        <f ca="1">_xll.DBRW($D$4,$E$7,$E$8,$E$9,$E$10,$E$12,$D138,$E$6,L$18,L$17)</f>
        <v>0</v>
      </c>
      <c r="M138" s="26">
        <f ca="1">_xll.DBRW($D$4,$E$7,$E$8,$E$9,$E$10,$E$12,$D138,$E$6,M$18,M$17)</f>
        <v>0</v>
      </c>
      <c r="N138" s="16">
        <f ca="1">_xll.DBRW($D$4,$E$7,$E$8,$E$9,$E$10,$E$12,$D138,$E$6,N$18,N$17)</f>
        <v>0.65333424000000018</v>
      </c>
      <c r="O138" s="16">
        <f ca="1">_xll.DBRW($D$4,$E$7,$E$8,$E$9,$E$10,$E$12,$D138,$E$6,O$18,O$17)</f>
        <v>15.804441999999995</v>
      </c>
      <c r="P138" s="74">
        <f ca="1">_xll.DBRW($D$4,$E$7,$E$8,$E$9,$E$10,$E$12,$D138,$E$6,P$18,P$17)</f>
        <v>-6.9367878500000018</v>
      </c>
      <c r="Q138" s="16">
        <f ca="1">_xll.DBRW($D$4,$E$7,$E$8,$E$9,$E$10,$E$12,$D138,$E$6,Q$18,Q$17)</f>
        <v>0.43891380980106759</v>
      </c>
      <c r="R138" s="16"/>
      <c r="S138" s="16"/>
      <c r="T138" s="16"/>
      <c r="U138" s="16"/>
      <c r="V138" s="16">
        <f ca="1">_xll.DBRW($D$4,$E$7,$E$8,$E$9,$E$10,$E$12,$D138,$E$6,V$18,V$17)</f>
        <v>-1.5801320299999997</v>
      </c>
      <c r="W138" s="16">
        <f ca="1">_xll.DBRW($D$4,$E$7,$E$8,$E$9,$E$10,$E$12,$D138,$E$6,W$18,W$17)</f>
        <v>9.9980247958137355E-2</v>
      </c>
      <c r="X138" s="16"/>
      <c r="Y138" s="16"/>
      <c r="Z138" s="16"/>
      <c r="AA138" s="16"/>
      <c r="AB138" s="16">
        <f ca="1">_xll.DBRW($D$4,$E$7,$E$8,$E$9,$E$10,$E$12,$D138,$E$6,AB$18,AB$17)</f>
        <v>-1.5380575900000002</v>
      </c>
      <c r="AC138" s="16">
        <f ca="1">_xll.DBRW($D$4,$E$7,$E$8,$E$9,$E$10,$E$12,$D138,$E$6,AC$18,AC$17)</f>
        <v>9.7318057163929023E-2</v>
      </c>
      <c r="AD138" s="16"/>
      <c r="AE138" s="16"/>
      <c r="AF138" s="16"/>
      <c r="AG138" s="16"/>
      <c r="AH138" s="16">
        <f ca="1">_xll.DBRW($D$4,$E$7,$E$8,$E$9,$E$10,$E$12,$D138,$E$6,AH$18,AH$17)</f>
        <v>-1.9202658799999996</v>
      </c>
      <c r="AI138" s="16">
        <f ca="1">_xll.DBRW($D$4,$E$7,$E$8,$E$9,$E$10,$E$12,$D138,$E$6,AI$18,AI$17)</f>
        <v>0.12150165630649917</v>
      </c>
      <c r="AJ138" s="16"/>
      <c r="AK138" s="16"/>
      <c r="AL138" s="16"/>
      <c r="AM138" s="16"/>
      <c r="AN138" s="16">
        <f ca="1">_xll.DBRW($D$4,$E$7,$E$8,$E$9,$E$10,$E$12,$D138,$E$6,AN$18,AN$17)</f>
        <v>-3.17586441</v>
      </c>
      <c r="AO138" s="16">
        <f ca="1">_xll.DBRW($D$4,$E$7,$E$8,$E$9,$E$10,$E$12,$D138,$E$6,AO$18,AO$17)</f>
        <v>0.20094758233160026</v>
      </c>
      <c r="AP138" s="16"/>
      <c r="AQ138" s="16"/>
      <c r="AR138" s="16"/>
      <c r="AS138" s="16"/>
      <c r="AT138" s="16">
        <f ca="1">_xll.DBRW($D$4,$E$7,$E$8,$E$9,$E$10,$E$12,$D138,$E$6,AT$18,AT$17)</f>
        <v>0.20566792</v>
      </c>
      <c r="AU138" s="16">
        <f ca="1">_xll.DBRW($D$4,$E$7,$E$8,$E$9,$E$10,$E$12,$D138,$E$6,AU$18,AU$17)</f>
        <v>4.6995656999999991</v>
      </c>
      <c r="AV138" s="16">
        <f ca="1">_xll.DBRW($D$4,$E$7,$E$8,$E$9,$E$10,$E$12,$D138,$E$6,AV$18,AV$17)</f>
        <v>4.6995656999999991</v>
      </c>
      <c r="AW138" s="16">
        <f ca="1">_xll.DBRW($D$4,$E$7,$E$8,$E$9,$E$10,$E$12,$D138,$E$6,AW$18,AW$17)</f>
        <v>4.6995656999999991</v>
      </c>
      <c r="AX138" s="16">
        <f ca="1">_xll.DBRW($D$4,$E$7,$E$8,$E$9,$E$10,$E$12,$D138,$E$6,AX$18,AX$17)</f>
        <v>1.6478015599999996</v>
      </c>
      <c r="AY138" s="16">
        <f ca="1">_xll.DBRW($D$4,$E$7,$E$8,$E$9,$E$10,$E$12,$D138,$E$6,AY$18,AY$17)</f>
        <v>4.6995656999999991</v>
      </c>
      <c r="AZ138" s="16">
        <f ca="1">_xll.DBRW($D$4,$E$7,$E$8,$E$9,$E$10,$E$12,$D138,$E$6,AZ$18,AZ$17)</f>
        <v>3.4600380999999993</v>
      </c>
      <c r="BA138" s="16">
        <f ca="1">_xll.DBRW($D$4,$E$7,$E$8,$E$9,$E$10,$E$12,$D138,$E$6,BA$18,BA$17)</f>
        <v>4.6995656999999991</v>
      </c>
      <c r="BB138" s="16">
        <f ca="1">_xll.DBRW($D$4,$E$7,$E$8,$E$9,$E$10,$E$12,$D138,$E$6,BB$18,BB$17)</f>
        <v>4.6995656999999991</v>
      </c>
      <c r="BC138" s="16">
        <f ca="1">_xll.DBRW($D$4,$E$7,$E$8,$E$9,$E$10,$E$12,$D138,$E$6,BC$18,BC$17)</f>
        <v>4.6995656999999991</v>
      </c>
      <c r="BD138" s="16">
        <f ca="1">_xll.DBRW($D$4,$E$7,$E$8,$E$9,$E$10,$E$12,$D138,$E$6,BD$18,BD$17)</f>
        <v>2.0834612538439474</v>
      </c>
      <c r="BE138" s="16">
        <f ca="1">_xll.DBRW($D$4,$E$7,$E$8,$E$9,$E$10,$E$12,$D138,$E$6,BE$18,BE$17)</f>
        <v>-1.58815237</v>
      </c>
      <c r="BF138" s="16">
        <f ca="1">_xll.DBRW($D$4,$E$7,$E$8,$E$9,$E$10,$E$12,$D138,$E$6,BF$18,BF$17)</f>
        <v>0</v>
      </c>
      <c r="BG138" s="26">
        <f ca="1">_xll.DBRW($D$4,$E$7,$E$8,$E$9,$E$10,$E$12,$D138,$E$6,BG$18,BG$17)</f>
        <v>0</v>
      </c>
      <c r="BH138" s="26">
        <f ca="1">_xll.DBRW($D$4,$E$7,$E$8,$E$9,$E$10,$E$12,$D138,$E$6,BH$18,BH$17)</f>
        <v>0</v>
      </c>
      <c r="BI138" s="26">
        <f ca="1">_xll.DBRW($D$4,$E$7,$E$8,$E$9,$E$10,$E$12,$D138,$E$6,BI$18,BI$17)</f>
        <v>0</v>
      </c>
      <c r="BJ138" s="26">
        <f ca="1">_xll.DBRW($D$4,$E$7,$E$8,$E$9,$E$10,$E$12,$D138,$E$6,BJ$18,BJ$17)</f>
        <v>0</v>
      </c>
      <c r="BK138" s="16">
        <f ca="1">_xll.DBRW($D$4,$E$7,$E$8,$E$9,$E$10,$E$12,$D138,$E$6,BK$18,BK$17)</f>
        <v>3.6716136238439474</v>
      </c>
      <c r="BL138" s="16">
        <f ca="1">_xll.DBRW($D$4,$E$7,$E$8,$E$9,$E$10,$E$12,$D138,$E$6,BL$18,BL$17)</f>
        <v>17.594456440000002</v>
      </c>
      <c r="BM138" s="16">
        <f ca="1">_xll.DBRW($D$4,$E$7,$E$8,$E$9,$E$10,$E$12,$D138,$E$6,BM$18,BM$17)</f>
        <v>-7.8480709999999982</v>
      </c>
      <c r="BN138" s="16">
        <f ca="1">_xll.DBRW($D$4,$E$7,$E$8,$E$9,$E$10,$E$12,$D138,$E$6,BN$18,BN$17)</f>
        <v>0.44605362073919219</v>
      </c>
      <c r="BO138" s="16"/>
      <c r="BP138" s="16"/>
      <c r="BQ138" s="16"/>
      <c r="BR138" s="16"/>
      <c r="BS138" s="16">
        <f ca="1">_xll.DBRW($D$4,$E$7,$E$8,$E$9,$E$10,$E$12,$D138,$E$6,BS$18,BS$17)</f>
        <v>-1.360427622</v>
      </c>
      <c r="BT138" s="16">
        <f ca="1">_xll.DBRW($D$4,$E$7,$E$8,$E$9,$E$10,$E$12,$D138,$E$6,BT$18,BT$17)</f>
        <v>7.7321378278395955E-2</v>
      </c>
      <c r="BU138" s="16"/>
      <c r="BV138" s="16"/>
      <c r="BW138" s="16"/>
      <c r="BX138" s="16"/>
      <c r="BY138" s="16">
        <f ca="1">_xll.DBRW($D$4,$E$7,$E$8,$E$9,$E$10,$E$12,$D138,$E$6,BY$18,BY$17)</f>
        <v>-1.57140859415606</v>
      </c>
      <c r="BZ138" s="16">
        <f ca="1">_xll.DBRW($D$4,$E$7,$E$8,$E$9,$E$10,$E$12,$D138,$E$6,BZ$18,BZ$17)</f>
        <v>8.9312710484397317E-2</v>
      </c>
      <c r="CA138" s="16"/>
      <c r="CB138" s="16"/>
      <c r="CC138" s="16"/>
      <c r="CD138" s="16"/>
      <c r="CE138" s="16">
        <f ca="1">_xll.DBRW($D$4,$E$7,$E$8,$E$9,$E$10,$E$12,$D138,$E$6,CE$18,CE$17)</f>
        <v>-7.3333699999999988E-3</v>
      </c>
      <c r="CF138" s="16">
        <f ca="1">_xll.DBRW($D$4,$E$7,$E$8,$E$9,$E$10,$E$12,$D138,$E$6,CF$18,CF$17)</f>
        <v>4.1680003158994994E-4</v>
      </c>
      <c r="CG138" s="16"/>
      <c r="CH138" s="16"/>
      <c r="CI138" s="16"/>
      <c r="CJ138" s="16"/>
      <c r="CK138" s="16">
        <f ca="1">_xll.DBRW($D$4,$E$7,$E$8,$E$9,$E$10,$E$12,$D138,$E$6,CK$18,CK$17)</f>
        <v>-3.1356022299999995</v>
      </c>
      <c r="CL138" s="16">
        <f ca="1">_xll.DBRW($D$4,$E$7,$E$8,$E$9,$E$10,$E$12,$D138,$E$6,CL$18,CL$17)</f>
        <v>0.17821535099381558</v>
      </c>
      <c r="CM138" s="16"/>
      <c r="CN138" s="16"/>
      <c r="CO138" s="16"/>
      <c r="CP138" s="16"/>
      <c r="CQ138" s="16">
        <f ca="1">_xll.DBRW($D$4,$E$7,$E$8,$E$9,$E$10,$E$12,$D138,$E$6,CQ$18,CQ$17)</f>
        <v>0.22609515999999996</v>
      </c>
      <c r="CR138" s="16">
        <f ca="1">_xll.DBRW($D$4,$E$7,$E$8,$E$9,$E$10,$E$12,$D138,$E$6,CR$18,CR$17)</f>
        <v>5.4769499999999987</v>
      </c>
      <c r="CS138" s="16">
        <f ca="1">_xll.DBRW($D$4,$E$7,$E$8,$E$9,$E$10,$E$12,$D138,$E$6,CS$18,CS$17)</f>
        <v>5.4769499999999987</v>
      </c>
      <c r="CT138" s="16">
        <f ca="1">_xll.DBRW($D$4,$E$7,$E$8,$E$9,$E$10,$E$12,$D138,$E$6,CT$18,CT$17)</f>
        <v>5.4769499999999987</v>
      </c>
      <c r="CU138" s="16">
        <f ca="1">_xll.DBRW($D$4,$E$7,$E$8,$E$9,$E$10,$E$12,$D138,$E$6,CU$18,CU$17)</f>
        <v>1.8769782154000003</v>
      </c>
      <c r="CV138" s="16">
        <f ca="1">_xll.DBRW($D$4,$E$7,$E$8,$E$9,$E$10,$E$12,$D138,$E$6,CV$18,CV$17)</f>
        <v>5.4769499999999987</v>
      </c>
      <c r="CW138" s="16">
        <f ca="1">_xll.DBRW($D$4,$E$7,$E$8,$E$9,$E$10,$E$12,$D138,$E$6,CW$18,CW$17)</f>
        <v>3.9523819999999996</v>
      </c>
      <c r="CX138" s="16">
        <f ca="1">_xll.DBRW($D$4,$E$7,$E$8,$E$9,$E$10,$E$12,$D138,$E$6,CX$18,CX$17)</f>
        <v>5.4769499999999987</v>
      </c>
      <c r="CY138" s="16">
        <f ca="1">_xll.DBRW($D$4,$E$7,$E$8,$E$9,$E$10,$E$12,$D138,$E$6,CY$18,CY$17)</f>
        <v>5.4769499999999987</v>
      </c>
      <c r="CZ138" s="16">
        <f ca="1">_xll.DBRW($D$4,$E$7,$E$8,$E$9,$E$10,$E$12,$D138,$E$6,CZ$18,CZ$17)</f>
        <v>5.4769499999999987</v>
      </c>
      <c r="DA138" s="26">
        <f t="shared" ca="1" si="108"/>
        <v>-2.9278610638439475</v>
      </c>
      <c r="DB138" s="26">
        <f t="shared" ca="1" si="109"/>
        <v>9.0418319999999941E-2</v>
      </c>
      <c r="DC138" s="26">
        <f t="shared" ca="1" si="110"/>
        <v>0</v>
      </c>
      <c r="DD138" s="26">
        <f t="shared" ca="1" si="111"/>
        <v>0</v>
      </c>
      <c r="DE138" s="26">
        <f t="shared" ca="1" si="112"/>
        <v>0</v>
      </c>
      <c r="DF138" s="26">
        <f t="shared" ca="1" si="113"/>
        <v>0</v>
      </c>
      <c r="DG138" s="26">
        <f t="shared" ca="1" si="114"/>
        <v>0</v>
      </c>
      <c r="DH138" s="26">
        <f t="shared" ca="1" si="115"/>
        <v>-3.0182793838439474</v>
      </c>
      <c r="DI138" s="26">
        <f t="shared" ca="1" si="116"/>
        <v>-1.7900144400000073</v>
      </c>
      <c r="DJ138" s="26">
        <f t="shared" ca="1" si="117"/>
        <v>0.91128314999999649</v>
      </c>
      <c r="DK138" s="26">
        <f t="shared" ca="1" si="118"/>
        <v>-7.1398109381246022E-3</v>
      </c>
      <c r="DL138" s="26"/>
      <c r="DM138" s="26"/>
      <c r="DN138" s="26"/>
      <c r="DO138" s="26"/>
      <c r="DP138" s="26">
        <f t="shared" ca="1" si="119"/>
        <v>-0.21970440799999968</v>
      </c>
      <c r="DQ138" s="26">
        <f t="shared" ca="1" si="120"/>
        <v>2.26588696797414E-2</v>
      </c>
      <c r="DR138" s="26"/>
      <c r="DS138" s="26"/>
      <c r="DT138" s="26"/>
      <c r="DU138" s="26"/>
      <c r="DV138" s="26">
        <f t="shared" ca="1" si="121"/>
        <v>3.3351004156059849E-2</v>
      </c>
      <c r="DW138" s="26">
        <f t="shared" ca="1" si="122"/>
        <v>8.0053466795317052E-3</v>
      </c>
      <c r="DX138" s="26"/>
      <c r="DY138" s="26"/>
      <c r="DZ138" s="26"/>
      <c r="EA138" s="26"/>
      <c r="EB138" s="26">
        <f t="shared" ca="1" si="123"/>
        <v>-1.9129325099999996</v>
      </c>
      <c r="EC138" s="26">
        <f t="shared" ca="1" si="124"/>
        <v>0.12108485627490922</v>
      </c>
      <c r="ED138" s="26"/>
      <c r="EE138" s="26"/>
      <c r="EF138" s="26"/>
      <c r="EG138" s="26"/>
      <c r="EH138" s="26">
        <f t="shared" ca="1" si="125"/>
        <v>-4.026218000000048E-2</v>
      </c>
      <c r="EI138" s="29">
        <f t="shared" ca="1" si="126"/>
        <v>2.2732231337784681E-2</v>
      </c>
      <c r="EJ138" s="29"/>
      <c r="EK138" s="29"/>
      <c r="EL138" s="29"/>
      <c r="EM138" s="29"/>
      <c r="EN138" s="93"/>
      <c r="EO138" s="29"/>
      <c r="EP138" s="29"/>
      <c r="EQ138" s="29"/>
      <c r="ER138" s="29"/>
      <c r="ES138" s="29"/>
      <c r="ET138" s="29"/>
      <c r="EU138" s="93"/>
      <c r="EV138" s="29"/>
      <c r="EW138" s="29"/>
      <c r="EX138" s="29"/>
      <c r="EY138" s="29"/>
      <c r="EZ138" s="29"/>
      <c r="FA138" s="29"/>
      <c r="FB138" s="93"/>
      <c r="FC138" s="29"/>
      <c r="FD138" s="29"/>
      <c r="FE138" s="29"/>
      <c r="FF138" s="29"/>
      <c r="FG138" s="29"/>
      <c r="FH138" s="29"/>
      <c r="FI138" s="93"/>
      <c r="FJ138" s="29"/>
      <c r="FK138" s="29"/>
      <c r="FL138" s="29"/>
      <c r="FM138" s="29"/>
      <c r="FN138" s="29"/>
      <c r="FO138" s="29"/>
      <c r="FP138" s="93"/>
      <c r="FQ138" s="29"/>
      <c r="FR138" s="29"/>
      <c r="FS138" s="29"/>
      <c r="FT138" s="29"/>
      <c r="FU138" s="29"/>
      <c r="FV138" s="29"/>
    </row>
    <row r="139" spans="1:178" x14ac:dyDescent="0.25">
      <c r="A139" t="str">
        <f ca="1">IF(_xll.TM1RPTELISCONSOLIDATED($D$28,$D139),IF(_xll.TM1RPTELLEV($D$28,$D139)&lt;=3,_xll.TM1RPTELLEV($D$28,$D139),"D"),"N")</f>
        <v>N</v>
      </c>
      <c r="B139" t="str">
        <f ca="1">_xll.DBRA(Server&amp;"Management_organization",$D139,$B$27)</f>
        <v>L</v>
      </c>
      <c r="C139">
        <v>1</v>
      </c>
      <c r="D139" s="2" t="s">
        <v>169</v>
      </c>
      <c r="E139" s="26"/>
      <c r="F139" s="26"/>
      <c r="G139" s="16">
        <f ca="1">_xll.DBRW($D$4,$E$7,$E$8,$E$9,$E$10,$E$12,$D139,$E$6,G$18,G$17)</f>
        <v>-0.50333001000000066</v>
      </c>
      <c r="H139" s="16">
        <f ca="1">_xll.DBRW($D$4,$E$7,$E$8,$E$9,$E$10,$E$12,$D139,$E$6,H$18,H$17)</f>
        <v>-1.0038154399999999</v>
      </c>
      <c r="I139" s="16">
        <f ca="1">_xll.DBRW($D$4,$E$7,$E$8,$E$9,$E$10,$E$12,$D139,$E$6,I$18,I$17)</f>
        <v>0</v>
      </c>
      <c r="J139" s="26">
        <f ca="1">_xll.DBRW($D$4,$E$7,$E$8,$E$9,$E$10,$E$12,$D139,$E$6,J$18,J$17)</f>
        <v>0</v>
      </c>
      <c r="K139" s="26">
        <f ca="1">_xll.DBRW($D$4,$E$7,$E$8,$E$9,$E$10,$E$12,$D139,$E$6,K$18,K$17)</f>
        <v>0</v>
      </c>
      <c r="L139" s="26">
        <f ca="1">_xll.DBRW($D$4,$E$7,$E$8,$E$9,$E$10,$E$12,$D139,$E$6,L$18,L$17)</f>
        <v>0</v>
      </c>
      <c r="M139" s="26">
        <f ca="1">_xll.DBRW($D$4,$E$7,$E$8,$E$9,$E$10,$E$12,$D139,$E$6,M$18,M$17)</f>
        <v>0</v>
      </c>
      <c r="N139" s="16">
        <f ca="1">_xll.DBRW($D$4,$E$7,$E$8,$E$9,$E$10,$E$12,$D139,$E$6,N$18,N$17)</f>
        <v>0.50048542999999923</v>
      </c>
      <c r="O139" s="16">
        <f ca="1">_xll.DBRW($D$4,$E$7,$E$8,$E$9,$E$10,$E$12,$D139,$E$6,O$18,O$17)</f>
        <v>11.111169949999999</v>
      </c>
      <c r="P139" s="74">
        <f ca="1">_xll.DBRW($D$4,$E$7,$E$8,$E$9,$E$10,$E$12,$D139,$E$6,P$18,P$17)</f>
        <v>-5.881059389999999</v>
      </c>
      <c r="Q139" s="16">
        <f ca="1">_xll.DBRW($D$4,$E$7,$E$8,$E$9,$E$10,$E$12,$D139,$E$6,Q$18,Q$17)</f>
        <v>0.52929254223134259</v>
      </c>
      <c r="R139" s="16"/>
      <c r="S139" s="16"/>
      <c r="T139" s="16"/>
      <c r="U139" s="16"/>
      <c r="V139" s="16">
        <f ca="1">_xll.DBRW($D$4,$E$7,$E$8,$E$9,$E$10,$E$12,$D139,$E$6,V$18,V$17)</f>
        <v>-1.01728459</v>
      </c>
      <c r="W139" s="16">
        <f ca="1">_xll.DBRW($D$4,$E$7,$E$8,$E$9,$E$10,$E$12,$D139,$E$6,W$18,W$17)</f>
        <v>9.1555128269818264E-2</v>
      </c>
      <c r="X139" s="16"/>
      <c r="Y139" s="16"/>
      <c r="Z139" s="16"/>
      <c r="AA139" s="16"/>
      <c r="AB139" s="16">
        <f ca="1">_xll.DBRW($D$4,$E$7,$E$8,$E$9,$E$10,$E$12,$D139,$E$6,AB$18,AB$17)</f>
        <v>-0.79380251999999984</v>
      </c>
      <c r="AC139" s="16">
        <f ca="1">_xll.DBRW($D$4,$E$7,$E$8,$E$9,$E$10,$E$12,$D139,$E$6,AC$18,AC$17)</f>
        <v>7.1441848479691372E-2</v>
      </c>
      <c r="AD139" s="16"/>
      <c r="AE139" s="16"/>
      <c r="AF139" s="16"/>
      <c r="AG139" s="16"/>
      <c r="AH139" s="16">
        <f ca="1">_xll.DBRW($D$4,$E$7,$E$8,$E$9,$E$10,$E$12,$D139,$E$6,AH$18,AH$17)</f>
        <v>-0.94062884000000013</v>
      </c>
      <c r="AI139" s="16">
        <f ca="1">_xll.DBRW($D$4,$E$7,$E$8,$E$9,$E$10,$E$12,$D139,$E$6,AI$18,AI$17)</f>
        <v>8.4656147303371981E-2</v>
      </c>
      <c r="AJ139" s="16"/>
      <c r="AK139" s="16"/>
      <c r="AL139" s="16"/>
      <c r="AM139" s="16"/>
      <c r="AN139" s="16">
        <f ca="1">_xll.DBRW($D$4,$E$7,$E$8,$E$9,$E$10,$E$12,$D139,$E$6,AN$18,AN$17)</f>
        <v>-1.9779091799999997</v>
      </c>
      <c r="AO139" s="16">
        <f ca="1">_xll.DBRW($D$4,$E$7,$E$8,$E$9,$E$10,$E$12,$D139,$E$6,AO$18,AO$17)</f>
        <v>0.17801088354336619</v>
      </c>
      <c r="AP139" s="16"/>
      <c r="AQ139" s="16"/>
      <c r="AR139" s="16"/>
      <c r="AS139" s="16"/>
      <c r="AT139" s="16">
        <f ca="1">_xll.DBRW($D$4,$E$7,$E$8,$E$9,$E$10,$E$12,$D139,$E$6,AT$18,AT$17)</f>
        <v>0.19401155999999997</v>
      </c>
      <c r="AU139" s="16">
        <f ca="1">_xll.DBRW($D$4,$E$7,$E$8,$E$9,$E$10,$E$12,$D139,$E$6,AU$18,AU$17)</f>
        <v>2.2449569999999999</v>
      </c>
      <c r="AV139" s="16">
        <f ca="1">_xll.DBRW($D$4,$E$7,$E$8,$E$9,$E$10,$E$12,$D139,$E$6,AV$18,AV$17)</f>
        <v>2.2449569999999999</v>
      </c>
      <c r="AW139" s="16">
        <f ca="1">_xll.DBRW($D$4,$E$7,$E$8,$E$9,$E$10,$E$12,$D139,$E$6,AW$18,AW$17)</f>
        <v>2.2449569999999999</v>
      </c>
      <c r="AX139" s="16">
        <f ca="1">_xll.DBRW($D$4,$E$7,$E$8,$E$9,$E$10,$E$12,$D139,$E$6,AX$18,AX$17)</f>
        <v>0.8471979999999999</v>
      </c>
      <c r="AY139" s="16">
        <f ca="1">_xll.DBRW($D$4,$E$7,$E$8,$E$9,$E$10,$E$12,$D139,$E$6,AY$18,AY$17)</f>
        <v>2.2449569999999999</v>
      </c>
      <c r="AZ139" s="16">
        <f ca="1">_xll.DBRW($D$4,$E$7,$E$8,$E$9,$E$10,$E$12,$D139,$E$6,AZ$18,AZ$17)</f>
        <v>2.0178369999999997</v>
      </c>
      <c r="BA139" s="16">
        <f ca="1">_xll.DBRW($D$4,$E$7,$E$8,$E$9,$E$10,$E$12,$D139,$E$6,BA$18,BA$17)</f>
        <v>2.2449569999999999</v>
      </c>
      <c r="BB139" s="16">
        <f ca="1">_xll.DBRW($D$4,$E$7,$E$8,$E$9,$E$10,$E$12,$D139,$E$6,BB$18,BB$17)</f>
        <v>2.2449569999999999</v>
      </c>
      <c r="BC139" s="16">
        <f ca="1">_xll.DBRW($D$4,$E$7,$E$8,$E$9,$E$10,$E$12,$D139,$E$6,BC$18,BC$17)</f>
        <v>2.2449569999999999</v>
      </c>
      <c r="BD139" s="16">
        <f ca="1">_xll.DBRW($D$4,$E$7,$E$8,$E$9,$E$10,$E$12,$D139,$E$6,BD$18,BD$17)</f>
        <v>-0.43498766405014844</v>
      </c>
      <c r="BE139" s="16">
        <f ca="1">_xll.DBRW($D$4,$E$7,$E$8,$E$9,$E$10,$E$12,$D139,$E$6,BE$18,BE$17)</f>
        <v>-1.09304227322</v>
      </c>
      <c r="BF139" s="16">
        <f ca="1">_xll.DBRW($D$4,$E$7,$E$8,$E$9,$E$10,$E$12,$D139,$E$6,BF$18,BF$17)</f>
        <v>0</v>
      </c>
      <c r="BG139" s="26">
        <f ca="1">_xll.DBRW($D$4,$E$7,$E$8,$E$9,$E$10,$E$12,$D139,$E$6,BG$18,BG$17)</f>
        <v>0</v>
      </c>
      <c r="BH139" s="26">
        <f ca="1">_xll.DBRW($D$4,$E$7,$E$8,$E$9,$E$10,$E$12,$D139,$E$6,BH$18,BH$17)</f>
        <v>0</v>
      </c>
      <c r="BI139" s="26">
        <f ca="1">_xll.DBRW($D$4,$E$7,$E$8,$E$9,$E$10,$E$12,$D139,$E$6,BI$18,BI$17)</f>
        <v>0</v>
      </c>
      <c r="BJ139" s="26">
        <f ca="1">_xll.DBRW($D$4,$E$7,$E$8,$E$9,$E$10,$E$12,$D139,$E$6,BJ$18,BJ$17)</f>
        <v>0</v>
      </c>
      <c r="BK139" s="16">
        <f ca="1">_xll.DBRW($D$4,$E$7,$E$8,$E$9,$E$10,$E$12,$D139,$E$6,BK$18,BK$17)</f>
        <v>0.65805460916985159</v>
      </c>
      <c r="BL139" s="16">
        <f ca="1">_xll.DBRW($D$4,$E$7,$E$8,$E$9,$E$10,$E$12,$D139,$E$6,BL$18,BL$17)</f>
        <v>12.196936000000001</v>
      </c>
      <c r="BM139" s="16">
        <f ca="1">_xll.DBRW($D$4,$E$7,$E$8,$E$9,$E$10,$E$12,$D139,$E$6,BM$18,BM$17)</f>
        <v>-6.3594428195682795</v>
      </c>
      <c r="BN139" s="16">
        <f ca="1">_xll.DBRW($D$4,$E$7,$E$8,$E$9,$E$10,$E$12,$D139,$E$6,BN$18,BN$17)</f>
        <v>0.52139675239488659</v>
      </c>
      <c r="BO139" s="16"/>
      <c r="BP139" s="16"/>
      <c r="BQ139" s="16"/>
      <c r="BR139" s="16"/>
      <c r="BS139" s="16">
        <f ca="1">_xll.DBRW($D$4,$E$7,$E$8,$E$9,$E$10,$E$12,$D139,$E$6,BS$18,BS$17)</f>
        <v>-1.0002120442160001</v>
      </c>
      <c r="BT139" s="16">
        <f ca="1">_xll.DBRW($D$4,$E$7,$E$8,$E$9,$E$10,$E$12,$D139,$E$6,BT$18,BT$17)</f>
        <v>8.2005189189809632E-2</v>
      </c>
      <c r="BU139" s="16"/>
      <c r="BV139" s="16"/>
      <c r="BW139" s="16"/>
      <c r="BX139" s="16"/>
      <c r="BY139" s="16">
        <f ca="1">_xll.DBRW($D$4,$E$7,$E$8,$E$9,$E$10,$E$12,$D139,$E$6,BY$18,BY$17)</f>
        <v>-0.81747252956187</v>
      </c>
      <c r="BZ139" s="16">
        <f ca="1">_xll.DBRW($D$4,$E$7,$E$8,$E$9,$E$10,$E$12,$D139,$E$6,BZ$18,BZ$17)</f>
        <v>6.7022777651852064E-2</v>
      </c>
      <c r="CA139" s="16"/>
      <c r="CB139" s="16"/>
      <c r="CC139" s="16"/>
      <c r="CD139" s="16"/>
      <c r="CE139" s="16">
        <f ca="1">_xll.DBRW($D$4,$E$7,$E$8,$E$9,$E$10,$E$12,$D139,$E$6,CE$18,CE$17)</f>
        <v>-0.98882627366999976</v>
      </c>
      <c r="CF139" s="16">
        <f ca="1">_xll.DBRW($D$4,$E$7,$E$8,$E$9,$E$10,$E$12,$D139,$E$6,CF$18,CF$17)</f>
        <v>8.1071694864185542E-2</v>
      </c>
      <c r="CG139" s="16"/>
      <c r="CH139" s="16"/>
      <c r="CI139" s="16"/>
      <c r="CJ139" s="16"/>
      <c r="CK139" s="16">
        <f ca="1">_xll.DBRW($D$4,$E$7,$E$8,$E$9,$E$10,$E$12,$D139,$E$6,CK$18,CK$17)</f>
        <v>-2.3729277238139996</v>
      </c>
      <c r="CL139" s="16">
        <f ca="1">_xll.DBRW($D$4,$E$7,$E$8,$E$9,$E$10,$E$12,$D139,$E$6,CL$18,CL$17)</f>
        <v>0.19455113348254016</v>
      </c>
      <c r="CM139" s="16"/>
      <c r="CN139" s="16"/>
      <c r="CO139" s="16"/>
      <c r="CP139" s="16"/>
      <c r="CQ139" s="16">
        <f ca="1">_xll.DBRW($D$4,$E$7,$E$8,$E$9,$E$10,$E$12,$D139,$E$6,CQ$18,CQ$17)</f>
        <v>0.20568694000000004</v>
      </c>
      <c r="CR139" s="16">
        <f ca="1">_xll.DBRW($D$4,$E$7,$E$8,$E$9,$E$10,$E$12,$D139,$E$6,CR$18,CR$17)</f>
        <v>2.4750320000000001</v>
      </c>
      <c r="CS139" s="16">
        <f ca="1">_xll.DBRW($D$4,$E$7,$E$8,$E$9,$E$10,$E$12,$D139,$E$6,CS$18,CS$17)</f>
        <v>2.4750320000000001</v>
      </c>
      <c r="CT139" s="16">
        <f ca="1">_xll.DBRW($D$4,$E$7,$E$8,$E$9,$E$10,$E$12,$D139,$E$6,CT$18,CT$17)</f>
        <v>2.4750320000000001</v>
      </c>
      <c r="CU139" s="16">
        <f ca="1">_xll.DBRW($D$4,$E$7,$E$8,$E$9,$E$10,$E$12,$D139,$E$6,CU$18,CU$17)</f>
        <v>0.93994771710000002</v>
      </c>
      <c r="CV139" s="16">
        <f ca="1">_xll.DBRW($D$4,$E$7,$E$8,$E$9,$E$10,$E$12,$D139,$E$6,CV$18,CV$17)</f>
        <v>2.4750320000000001</v>
      </c>
      <c r="CW139" s="16">
        <f ca="1">_xll.DBRW($D$4,$E$7,$E$8,$E$9,$E$10,$E$12,$D139,$E$6,CW$18,CW$17)</f>
        <v>2.238667</v>
      </c>
      <c r="CX139" s="16">
        <f ca="1">_xll.DBRW($D$4,$E$7,$E$8,$E$9,$E$10,$E$12,$D139,$E$6,CX$18,CX$17)</f>
        <v>2.4750320000000001</v>
      </c>
      <c r="CY139" s="16">
        <f ca="1">_xll.DBRW($D$4,$E$7,$E$8,$E$9,$E$10,$E$12,$D139,$E$6,CY$18,CY$17)</f>
        <v>2.4750320000000001</v>
      </c>
      <c r="CZ139" s="16">
        <f ca="1">_xll.DBRW($D$4,$E$7,$E$8,$E$9,$E$10,$E$12,$D139,$E$6,CZ$18,CZ$17)</f>
        <v>2.4750320000000001</v>
      </c>
      <c r="DA139" s="26">
        <f t="shared" ca="1" si="108"/>
        <v>-6.8342345949852223E-2</v>
      </c>
      <c r="DB139" s="26">
        <f t="shared" ca="1" si="109"/>
        <v>8.9226833220000135E-2</v>
      </c>
      <c r="DC139" s="26">
        <f t="shared" ca="1" si="110"/>
        <v>0</v>
      </c>
      <c r="DD139" s="26">
        <f t="shared" ca="1" si="111"/>
        <v>0</v>
      </c>
      <c r="DE139" s="26">
        <f t="shared" ca="1" si="112"/>
        <v>0</v>
      </c>
      <c r="DF139" s="26">
        <f t="shared" ca="1" si="113"/>
        <v>0</v>
      </c>
      <c r="DG139" s="26">
        <f t="shared" ca="1" si="114"/>
        <v>0</v>
      </c>
      <c r="DH139" s="26">
        <f t="shared" ca="1" si="115"/>
        <v>-0.15756917916985236</v>
      </c>
      <c r="DI139" s="26">
        <f t="shared" ca="1" si="116"/>
        <v>-1.0857660500000019</v>
      </c>
      <c r="DJ139" s="26">
        <f t="shared" ca="1" si="117"/>
        <v>0.4783834295682805</v>
      </c>
      <c r="DK139" s="26">
        <f t="shared" ca="1" si="118"/>
        <v>7.895789836456002E-3</v>
      </c>
      <c r="DL139" s="26"/>
      <c r="DM139" s="26"/>
      <c r="DN139" s="26"/>
      <c r="DO139" s="26"/>
      <c r="DP139" s="26">
        <f t="shared" ca="1" si="119"/>
        <v>-1.7072545783999971E-2</v>
      </c>
      <c r="DQ139" s="26">
        <f t="shared" ca="1" si="120"/>
        <v>9.549939080008632E-3</v>
      </c>
      <c r="DR139" s="26"/>
      <c r="DS139" s="26"/>
      <c r="DT139" s="26"/>
      <c r="DU139" s="26"/>
      <c r="DV139" s="26">
        <f t="shared" ca="1" si="121"/>
        <v>2.3670009561870153E-2</v>
      </c>
      <c r="DW139" s="26">
        <f t="shared" ca="1" si="122"/>
        <v>4.4190708278393082E-3</v>
      </c>
      <c r="DX139" s="26"/>
      <c r="DY139" s="26"/>
      <c r="DZ139" s="26"/>
      <c r="EA139" s="26"/>
      <c r="EB139" s="26">
        <f t="shared" ca="1" si="123"/>
        <v>4.8197433669999623E-2</v>
      </c>
      <c r="EC139" s="26">
        <f t="shared" ca="1" si="124"/>
        <v>3.5844524391864391E-3</v>
      </c>
      <c r="ED139" s="26"/>
      <c r="EE139" s="26"/>
      <c r="EF139" s="26"/>
      <c r="EG139" s="26"/>
      <c r="EH139" s="26">
        <f t="shared" ca="1" si="125"/>
        <v>0.39501854381399992</v>
      </c>
      <c r="EI139" s="29">
        <f t="shared" ca="1" si="126"/>
        <v>-1.6540249939173968E-2</v>
      </c>
      <c r="EJ139" s="29"/>
      <c r="EK139" s="29"/>
      <c r="EL139" s="29"/>
      <c r="EM139" s="29"/>
      <c r="EN139" s="93"/>
      <c r="EO139" s="29"/>
      <c r="EP139" s="29"/>
      <c r="EQ139" s="29"/>
      <c r="ER139" s="29"/>
      <c r="ES139" s="29"/>
      <c r="ET139" s="29"/>
      <c r="EU139" s="93"/>
      <c r="EV139" s="29"/>
      <c r="EW139" s="29"/>
      <c r="EX139" s="29"/>
      <c r="EY139" s="29"/>
      <c r="EZ139" s="29"/>
      <c r="FA139" s="29"/>
      <c r="FB139" s="93"/>
      <c r="FC139" s="29"/>
      <c r="FD139" s="29"/>
      <c r="FE139" s="29"/>
      <c r="FF139" s="29"/>
      <c r="FG139" s="29"/>
      <c r="FH139" s="29"/>
      <c r="FI139" s="93"/>
      <c r="FJ139" s="29"/>
      <c r="FK139" s="29"/>
      <c r="FL139" s="29"/>
      <c r="FM139" s="29"/>
      <c r="FN139" s="29"/>
      <c r="FO139" s="29"/>
      <c r="FP139" s="93"/>
      <c r="FQ139" s="29"/>
      <c r="FR139" s="29"/>
      <c r="FS139" s="29"/>
      <c r="FT139" s="29"/>
      <c r="FU139" s="29"/>
      <c r="FV139" s="29"/>
    </row>
    <row r="140" spans="1:178" x14ac:dyDescent="0.25">
      <c r="A140" t="str">
        <f ca="1">IF(_xll.TM1RPTELISCONSOLIDATED($D$28,$D140),IF(_xll.TM1RPTELLEV($D$28,$D140)&lt;=3,_xll.TM1RPTELLEV($D$28,$D140),"D"),"N")</f>
        <v>N</v>
      </c>
      <c r="B140" t="str">
        <f ca="1">_xll.DBRA(Server&amp;"Management_organization",$D140,$B$27)</f>
        <v>L</v>
      </c>
      <c r="C140">
        <v>1</v>
      </c>
      <c r="D140" s="2" t="s">
        <v>170</v>
      </c>
      <c r="E140" s="26"/>
      <c r="F140" s="26"/>
      <c r="G140" s="16">
        <f ca="1">_xll.DBRW($D$4,$E$7,$E$8,$E$9,$E$10,$E$12,$D140,$E$6,G$18,G$17)</f>
        <v>7.9299999998297399E-5</v>
      </c>
      <c r="H140" s="16">
        <f ca="1">_xll.DBRW($D$4,$E$7,$E$8,$E$9,$E$10,$E$12,$D140,$E$6,H$18,H$17)</f>
        <v>-0.65728382000000019</v>
      </c>
      <c r="I140" s="16">
        <f ca="1">_xll.DBRW($D$4,$E$7,$E$8,$E$9,$E$10,$E$12,$D140,$E$6,I$18,I$17)</f>
        <v>0</v>
      </c>
      <c r="J140" s="26">
        <f ca="1">_xll.DBRW($D$4,$E$7,$E$8,$E$9,$E$10,$E$12,$D140,$E$6,J$18,J$17)</f>
        <v>0</v>
      </c>
      <c r="K140" s="26">
        <f ca="1">_xll.DBRW($D$4,$E$7,$E$8,$E$9,$E$10,$E$12,$D140,$E$6,K$18,K$17)</f>
        <v>0</v>
      </c>
      <c r="L140" s="26">
        <f ca="1">_xll.DBRW($D$4,$E$7,$E$8,$E$9,$E$10,$E$12,$D140,$E$6,L$18,L$17)</f>
        <v>0</v>
      </c>
      <c r="M140" s="26">
        <f ca="1">_xll.DBRW($D$4,$E$7,$E$8,$E$9,$E$10,$E$12,$D140,$E$6,M$18,M$17)</f>
        <v>0</v>
      </c>
      <c r="N140" s="16">
        <f ca="1">_xll.DBRW($D$4,$E$7,$E$8,$E$9,$E$10,$E$12,$D140,$E$6,N$18,N$17)</f>
        <v>0.6573631199999983</v>
      </c>
      <c r="O140" s="16">
        <f ca="1">_xll.DBRW($D$4,$E$7,$E$8,$E$9,$E$10,$E$12,$D140,$E$6,O$18,O$17)</f>
        <v>10.172192819999998</v>
      </c>
      <c r="P140" s="74">
        <f ca="1">_xll.DBRW($D$4,$E$7,$E$8,$E$9,$E$10,$E$12,$D140,$E$6,P$18,P$17)</f>
        <v>-4.9881793999999999</v>
      </c>
      <c r="Q140" s="16">
        <f ca="1">_xll.DBRW($D$4,$E$7,$E$8,$E$9,$E$10,$E$12,$D140,$E$6,Q$18,Q$17)</f>
        <v>0.49037405093152775</v>
      </c>
      <c r="R140" s="16"/>
      <c r="S140" s="16"/>
      <c r="T140" s="16"/>
      <c r="U140" s="16"/>
      <c r="V140" s="16">
        <f ca="1">_xll.DBRW($D$4,$E$7,$E$8,$E$9,$E$10,$E$12,$D140,$E$6,V$18,V$17)</f>
        <v>-0.92841723999999992</v>
      </c>
      <c r="W140" s="16">
        <f ca="1">_xll.DBRW($D$4,$E$7,$E$8,$E$9,$E$10,$E$12,$D140,$E$6,W$18,W$17)</f>
        <v>9.1270118098292219E-2</v>
      </c>
      <c r="X140" s="16"/>
      <c r="Y140" s="16"/>
      <c r="Z140" s="16"/>
      <c r="AA140" s="16"/>
      <c r="AB140" s="16">
        <f ca="1">_xll.DBRW($D$4,$E$7,$E$8,$E$9,$E$10,$E$12,$D140,$E$6,AB$18,AB$17)</f>
        <v>-0.91602455000000005</v>
      </c>
      <c r="AC140" s="16">
        <f ca="1">_xll.DBRW($D$4,$E$7,$E$8,$E$9,$E$10,$E$12,$D140,$E$6,AC$18,AC$17)</f>
        <v>9.0051827192949366E-2</v>
      </c>
      <c r="AD140" s="16"/>
      <c r="AE140" s="16"/>
      <c r="AF140" s="16"/>
      <c r="AG140" s="16"/>
      <c r="AH140" s="16">
        <f ca="1">_xll.DBRW($D$4,$E$7,$E$8,$E$9,$E$10,$E$12,$D140,$E$6,AH$18,AH$17)</f>
        <v>-1.23189835</v>
      </c>
      <c r="AI140" s="16">
        <f ca="1">_xll.DBRW($D$4,$E$7,$E$8,$E$9,$E$10,$E$12,$D140,$E$6,AI$18,AI$17)</f>
        <v>0.12110450242133734</v>
      </c>
      <c r="AJ140" s="16"/>
      <c r="AK140" s="16"/>
      <c r="AL140" s="16"/>
      <c r="AM140" s="16"/>
      <c r="AN140" s="16">
        <f ca="1">_xll.DBRW($D$4,$E$7,$E$8,$E$9,$E$10,$E$12,$D140,$E$6,AN$18,AN$17)</f>
        <v>-1.4503101599999999</v>
      </c>
      <c r="AO140" s="16">
        <f ca="1">_xll.DBRW($D$4,$E$7,$E$8,$E$9,$E$10,$E$12,$D140,$E$6,AO$18,AO$17)</f>
        <v>0.14257596033261197</v>
      </c>
      <c r="AP140" s="16"/>
      <c r="AQ140" s="16"/>
      <c r="AR140" s="16"/>
      <c r="AS140" s="16"/>
      <c r="AT140" s="16">
        <f ca="1">_xll.DBRW($D$4,$E$7,$E$8,$E$9,$E$10,$E$12,$D140,$E$6,AT$18,AT$17)</f>
        <v>0.19118499999999997</v>
      </c>
      <c r="AU140" s="16">
        <f ca="1">_xll.DBRW($D$4,$E$7,$E$8,$E$9,$E$10,$E$12,$D140,$E$6,AU$18,AU$17)</f>
        <v>2.8882060000000003</v>
      </c>
      <c r="AV140" s="16">
        <f ca="1">_xll.DBRW($D$4,$E$7,$E$8,$E$9,$E$10,$E$12,$D140,$E$6,AV$18,AV$17)</f>
        <v>2.8882060000000003</v>
      </c>
      <c r="AW140" s="16">
        <f ca="1">_xll.DBRW($D$4,$E$7,$E$8,$E$9,$E$10,$E$12,$D140,$E$6,AW$18,AW$17)</f>
        <v>2.8882060000000003</v>
      </c>
      <c r="AX140" s="16">
        <f ca="1">_xll.DBRW($D$4,$E$7,$E$8,$E$9,$E$10,$E$12,$D140,$E$6,AX$18,AX$17)</f>
        <v>0.96317172999999978</v>
      </c>
      <c r="AY140" s="16">
        <f ca="1">_xll.DBRW($D$4,$E$7,$E$8,$E$9,$E$10,$E$12,$D140,$E$6,AY$18,AY$17)</f>
        <v>2.8882060000000003</v>
      </c>
      <c r="AZ140" s="16">
        <f ca="1">_xll.DBRW($D$4,$E$7,$E$8,$E$9,$E$10,$E$12,$D140,$E$6,AZ$18,AZ$17)</f>
        <v>2.2358779999999996</v>
      </c>
      <c r="BA140" s="16">
        <f ca="1">_xll.DBRW($D$4,$E$7,$E$8,$E$9,$E$10,$E$12,$D140,$E$6,BA$18,BA$17)</f>
        <v>2.8882060000000003</v>
      </c>
      <c r="BB140" s="16">
        <f ca="1">_xll.DBRW($D$4,$E$7,$E$8,$E$9,$E$10,$E$12,$D140,$E$6,BB$18,BB$17)</f>
        <v>2.8882060000000003</v>
      </c>
      <c r="BC140" s="16">
        <f ca="1">_xll.DBRW($D$4,$E$7,$E$8,$E$9,$E$10,$E$12,$D140,$E$6,BC$18,BC$17)</f>
        <v>2.8882060000000003</v>
      </c>
      <c r="BD140" s="16">
        <f ca="1">_xll.DBRW($D$4,$E$7,$E$8,$E$9,$E$10,$E$12,$D140,$E$6,BD$18,BD$17)</f>
        <v>3.8638417345000578E-2</v>
      </c>
      <c r="BE140" s="16">
        <f ca="1">_xll.DBRW($D$4,$E$7,$E$8,$E$9,$E$10,$E$12,$D140,$E$6,BE$18,BE$17)</f>
        <v>-0.75584856999999994</v>
      </c>
      <c r="BF140" s="16">
        <f ca="1">_xll.DBRW($D$4,$E$7,$E$8,$E$9,$E$10,$E$12,$D140,$E$6,BF$18,BF$17)</f>
        <v>0</v>
      </c>
      <c r="BG140" s="26">
        <f ca="1">_xll.DBRW($D$4,$E$7,$E$8,$E$9,$E$10,$E$12,$D140,$E$6,BG$18,BG$17)</f>
        <v>0</v>
      </c>
      <c r="BH140" s="26">
        <f ca="1">_xll.DBRW($D$4,$E$7,$E$8,$E$9,$E$10,$E$12,$D140,$E$6,BH$18,BH$17)</f>
        <v>0</v>
      </c>
      <c r="BI140" s="26">
        <f ca="1">_xll.DBRW($D$4,$E$7,$E$8,$E$9,$E$10,$E$12,$D140,$E$6,BI$18,BI$17)</f>
        <v>0</v>
      </c>
      <c r="BJ140" s="26">
        <f ca="1">_xll.DBRW($D$4,$E$7,$E$8,$E$9,$E$10,$E$12,$D140,$E$6,BJ$18,BJ$17)</f>
        <v>0</v>
      </c>
      <c r="BK140" s="16">
        <f ca="1">_xll.DBRW($D$4,$E$7,$E$8,$E$9,$E$10,$E$12,$D140,$E$6,BK$18,BK$17)</f>
        <v>0.79448698734500045</v>
      </c>
      <c r="BL140" s="16">
        <f ca="1">_xll.DBRW($D$4,$E$7,$E$8,$E$9,$E$10,$E$12,$D140,$E$6,BL$18,BL$17)</f>
        <v>11.16940241</v>
      </c>
      <c r="BM140" s="16">
        <f ca="1">_xll.DBRW($D$4,$E$7,$E$8,$E$9,$E$10,$E$12,$D140,$E$6,BM$18,BM$17)</f>
        <v>-5.1831831500000005</v>
      </c>
      <c r="BN140" s="16">
        <f ca="1">_xll.DBRW($D$4,$E$7,$E$8,$E$9,$E$10,$E$12,$D140,$E$6,BN$18,BN$17)</f>
        <v>0.46405196623227407</v>
      </c>
      <c r="BO140" s="16"/>
      <c r="BP140" s="16"/>
      <c r="BQ140" s="16"/>
      <c r="BR140" s="16"/>
      <c r="BS140" s="16">
        <f ca="1">_xll.DBRW($D$4,$E$7,$E$8,$E$9,$E$10,$E$12,$D140,$E$6,BS$18,BS$17)</f>
        <v>-1.023189374</v>
      </c>
      <c r="BT140" s="16">
        <f ca="1">_xll.DBRW($D$4,$E$7,$E$8,$E$9,$E$10,$E$12,$D140,$E$6,BT$18,BT$17)</f>
        <v>9.1606456320701218E-2</v>
      </c>
      <c r="BU140" s="16"/>
      <c r="BV140" s="16"/>
      <c r="BW140" s="16"/>
      <c r="BX140" s="16"/>
      <c r="BY140" s="16">
        <f ca="1">_xll.DBRW($D$4,$E$7,$E$8,$E$9,$E$10,$E$12,$D140,$E$6,BY$18,BY$17)</f>
        <v>-0.90089842865499981</v>
      </c>
      <c r="BZ140" s="16">
        <f ca="1">_xll.DBRW($D$4,$E$7,$E$8,$E$9,$E$10,$E$12,$D140,$E$6,BZ$18,BZ$17)</f>
        <v>8.0657710733783097E-2</v>
      </c>
      <c r="CA140" s="16"/>
      <c r="CB140" s="16"/>
      <c r="CC140" s="16"/>
      <c r="CD140" s="16"/>
      <c r="CE140" s="16">
        <f ca="1">_xll.DBRW($D$4,$E$7,$E$8,$E$9,$E$10,$E$12,$D140,$E$6,CE$18,CE$17)</f>
        <v>-1.6363517499999995</v>
      </c>
      <c r="CF140" s="16">
        <f ca="1">_xll.DBRW($D$4,$E$7,$E$8,$E$9,$E$10,$E$12,$D140,$E$6,CF$18,CF$17)</f>
        <v>0.14650307061503745</v>
      </c>
      <c r="CG140" s="16"/>
      <c r="CH140" s="16"/>
      <c r="CI140" s="16"/>
      <c r="CJ140" s="16"/>
      <c r="CK140" s="16">
        <f ca="1">_xll.DBRW($D$4,$E$7,$E$8,$E$9,$E$10,$E$12,$D140,$E$6,CK$18,CK$17)</f>
        <v>-1.6312927199999994</v>
      </c>
      <c r="CL140" s="16">
        <f ca="1">_xll.DBRW($D$4,$E$7,$E$8,$E$9,$E$10,$E$12,$D140,$E$6,CL$18,CL$17)</f>
        <v>0.14605013411814208</v>
      </c>
      <c r="CM140" s="16"/>
      <c r="CN140" s="16"/>
      <c r="CO140" s="16"/>
      <c r="CP140" s="16"/>
      <c r="CQ140" s="16">
        <f ca="1">_xll.DBRW($D$4,$E$7,$E$8,$E$9,$E$10,$E$12,$D140,$E$6,CQ$18,CQ$17)</f>
        <v>0.20030200000000001</v>
      </c>
      <c r="CR140" s="16">
        <f ca="1">_xll.DBRW($D$4,$E$7,$E$8,$E$9,$E$10,$E$12,$D140,$E$6,CR$18,CR$17)</f>
        <v>3.2041389999999996</v>
      </c>
      <c r="CS140" s="16">
        <f ca="1">_xll.DBRW($D$4,$E$7,$E$8,$E$9,$E$10,$E$12,$D140,$E$6,CS$18,CS$17)</f>
        <v>3.2041389999999996</v>
      </c>
      <c r="CT140" s="16">
        <f ca="1">_xll.DBRW($D$4,$E$7,$E$8,$E$9,$E$10,$E$12,$D140,$E$6,CT$18,CT$17)</f>
        <v>3.2041389999999996</v>
      </c>
      <c r="CU140" s="16">
        <f ca="1">_xll.DBRW($D$4,$E$7,$E$8,$E$9,$E$10,$E$12,$D140,$E$6,CU$18,CU$17)</f>
        <v>1.0638822050000001</v>
      </c>
      <c r="CV140" s="16">
        <f ca="1">_xll.DBRW($D$4,$E$7,$E$8,$E$9,$E$10,$E$12,$D140,$E$6,CV$18,CV$17)</f>
        <v>3.2041389999999996</v>
      </c>
      <c r="CW140" s="16">
        <f ca="1">_xll.DBRW($D$4,$E$7,$E$8,$E$9,$E$10,$E$12,$D140,$E$6,CW$18,CW$17)</f>
        <v>2.4711999999999996</v>
      </c>
      <c r="CX140" s="16">
        <f ca="1">_xll.DBRW($D$4,$E$7,$E$8,$E$9,$E$10,$E$12,$D140,$E$6,CX$18,CX$17)</f>
        <v>3.2041389999999996</v>
      </c>
      <c r="CY140" s="16">
        <f ca="1">_xll.DBRW($D$4,$E$7,$E$8,$E$9,$E$10,$E$12,$D140,$E$6,CY$18,CY$17)</f>
        <v>3.2041389999999996</v>
      </c>
      <c r="CZ140" s="16">
        <f ca="1">_xll.DBRW($D$4,$E$7,$E$8,$E$9,$E$10,$E$12,$D140,$E$6,CZ$18,CZ$17)</f>
        <v>3.2041389999999996</v>
      </c>
      <c r="DA140" s="26">
        <f t="shared" ca="1" si="108"/>
        <v>-3.8559117345002281E-2</v>
      </c>
      <c r="DB140" s="26">
        <f t="shared" ca="1" si="109"/>
        <v>9.8564749999999757E-2</v>
      </c>
      <c r="DC140" s="26">
        <f t="shared" ca="1" si="110"/>
        <v>0</v>
      </c>
      <c r="DD140" s="26">
        <f t="shared" ca="1" si="111"/>
        <v>0</v>
      </c>
      <c r="DE140" s="26">
        <f t="shared" ca="1" si="112"/>
        <v>0</v>
      </c>
      <c r="DF140" s="26">
        <f t="shared" ca="1" si="113"/>
        <v>0</v>
      </c>
      <c r="DG140" s="26">
        <f t="shared" ca="1" si="114"/>
        <v>0</v>
      </c>
      <c r="DH140" s="26">
        <f t="shared" ca="1" si="115"/>
        <v>-0.13712386734500215</v>
      </c>
      <c r="DI140" s="26">
        <f t="shared" ca="1" si="116"/>
        <v>-0.99720959000000242</v>
      </c>
      <c r="DJ140" s="26">
        <f t="shared" ca="1" si="117"/>
        <v>0.19500375000000059</v>
      </c>
      <c r="DK140" s="26">
        <f t="shared" ca="1" si="118"/>
        <v>2.6322084699253678E-2</v>
      </c>
      <c r="DL140" s="26"/>
      <c r="DM140" s="26"/>
      <c r="DN140" s="26"/>
      <c r="DO140" s="26"/>
      <c r="DP140" s="26">
        <f t="shared" ca="1" si="119"/>
        <v>9.4772134000000063E-2</v>
      </c>
      <c r="DQ140" s="26">
        <f t="shared" ca="1" si="120"/>
        <v>-3.3633822240899947E-4</v>
      </c>
      <c r="DR140" s="26"/>
      <c r="DS140" s="26"/>
      <c r="DT140" s="26"/>
      <c r="DU140" s="26"/>
      <c r="DV140" s="26">
        <f t="shared" ca="1" si="121"/>
        <v>-1.5126121345000243E-2</v>
      </c>
      <c r="DW140" s="26">
        <f t="shared" ca="1" si="122"/>
        <v>9.3941164591662685E-3</v>
      </c>
      <c r="DX140" s="26"/>
      <c r="DY140" s="26"/>
      <c r="DZ140" s="26"/>
      <c r="EA140" s="26"/>
      <c r="EB140" s="26">
        <f t="shared" ca="1" si="123"/>
        <v>0.40445339999999952</v>
      </c>
      <c r="EC140" s="26">
        <f t="shared" ca="1" si="124"/>
        <v>-2.5398568193700108E-2</v>
      </c>
      <c r="ED140" s="26"/>
      <c r="EE140" s="26"/>
      <c r="EF140" s="26"/>
      <c r="EG140" s="26"/>
      <c r="EH140" s="26">
        <f t="shared" ca="1" si="125"/>
        <v>0.18098255999999946</v>
      </c>
      <c r="EI140" s="29">
        <f t="shared" ca="1" si="126"/>
        <v>-3.4741737855301102E-3</v>
      </c>
      <c r="EJ140" s="29"/>
      <c r="EK140" s="29"/>
      <c r="EL140" s="29"/>
      <c r="EM140" s="29"/>
      <c r="EN140" s="93"/>
      <c r="EO140" s="29"/>
      <c r="EP140" s="29"/>
      <c r="EQ140" s="29"/>
      <c r="ER140" s="29"/>
      <c r="ES140" s="29"/>
      <c r="ET140" s="29"/>
      <c r="EU140" s="93"/>
      <c r="EV140" s="29"/>
      <c r="EW140" s="29"/>
      <c r="EX140" s="29"/>
      <c r="EY140" s="29"/>
      <c r="EZ140" s="29"/>
      <c r="FA140" s="29"/>
      <c r="FB140" s="93"/>
      <c r="FC140" s="29"/>
      <c r="FD140" s="29"/>
      <c r="FE140" s="29"/>
      <c r="FF140" s="29"/>
      <c r="FG140" s="29"/>
      <c r="FH140" s="29"/>
      <c r="FI140" s="93"/>
      <c r="FJ140" s="29"/>
      <c r="FK140" s="29"/>
      <c r="FL140" s="29"/>
      <c r="FM140" s="29"/>
      <c r="FN140" s="29"/>
      <c r="FO140" s="29"/>
      <c r="FP140" s="93"/>
      <c r="FQ140" s="29"/>
      <c r="FR140" s="29"/>
      <c r="FS140" s="29"/>
      <c r="FT140" s="29"/>
      <c r="FU140" s="29"/>
      <c r="FV140" s="29"/>
    </row>
    <row r="141" spans="1:178" x14ac:dyDescent="0.25">
      <c r="A141" t="str">
        <f ca="1">IF(_xll.TM1RPTELISCONSOLIDATED($D$28,$D141),IF(_xll.TM1RPTELLEV($D$28,$D141)&lt;=3,_xll.TM1RPTELLEV($D$28,$D141),"D"),"N")</f>
        <v>N</v>
      </c>
      <c r="B141" t="str">
        <f ca="1">_xll.DBRA(Server&amp;"Management_organization",$D141,$B$27)</f>
        <v>L</v>
      </c>
      <c r="C141">
        <v>1</v>
      </c>
      <c r="D141" s="2" t="s">
        <v>191</v>
      </c>
      <c r="E141" s="26"/>
      <c r="F141" s="26"/>
      <c r="G141" s="16">
        <f ca="1">_xll.DBRW($D$4,$E$7,$E$8,$E$9,$E$10,$E$12,$D141,$E$6,G$18,G$17)</f>
        <v>1.2698501599999967</v>
      </c>
      <c r="H141" s="16">
        <f ca="1">_xll.DBRW($D$4,$E$7,$E$8,$E$9,$E$10,$E$12,$D141,$E$6,H$18,H$17)</f>
        <v>-7.0115299999999964E-2</v>
      </c>
      <c r="I141" s="16">
        <f ca="1">_xll.DBRW($D$4,$E$7,$E$8,$E$9,$E$10,$E$12,$D141,$E$6,I$18,I$17)</f>
        <v>0</v>
      </c>
      <c r="J141" s="26">
        <f ca="1">_xll.DBRW($D$4,$E$7,$E$8,$E$9,$E$10,$E$12,$D141,$E$6,J$18,J$17)</f>
        <v>0</v>
      </c>
      <c r="K141" s="26">
        <f ca="1">_xll.DBRW($D$4,$E$7,$E$8,$E$9,$E$10,$E$12,$D141,$E$6,K$18,K$17)</f>
        <v>0</v>
      </c>
      <c r="L141" s="26">
        <f ca="1">_xll.DBRW($D$4,$E$7,$E$8,$E$9,$E$10,$E$12,$D141,$E$6,L$18,L$17)</f>
        <v>0</v>
      </c>
      <c r="M141" s="26">
        <f ca="1">_xll.DBRW($D$4,$E$7,$E$8,$E$9,$E$10,$E$12,$D141,$E$6,M$18,M$17)</f>
        <v>0</v>
      </c>
      <c r="N141" s="16">
        <f ca="1">_xll.DBRW($D$4,$E$7,$E$8,$E$9,$E$10,$E$12,$D141,$E$6,N$18,N$17)</f>
        <v>1.3399654599999968</v>
      </c>
      <c r="O141" s="16">
        <f ca="1">_xll.DBRW($D$4,$E$7,$E$8,$E$9,$E$10,$E$12,$D141,$E$6,O$18,O$17)</f>
        <v>8.165670829999998</v>
      </c>
      <c r="P141" s="74">
        <f ca="1">_xll.DBRW($D$4,$E$7,$E$8,$E$9,$E$10,$E$12,$D141,$E$6,P$18,P$17)</f>
        <v>-2.6323903099999995</v>
      </c>
      <c r="Q141" s="16">
        <f ca="1">_xll.DBRW($D$4,$E$7,$E$8,$E$9,$E$10,$E$12,$D141,$E$6,Q$18,Q$17)</f>
        <v>0.32237281722510974</v>
      </c>
      <c r="R141" s="16"/>
      <c r="S141" s="16"/>
      <c r="T141" s="16"/>
      <c r="U141" s="16"/>
      <c r="V141" s="16">
        <f ca="1">_xll.DBRW($D$4,$E$7,$E$8,$E$9,$E$10,$E$12,$D141,$E$6,V$18,V$17)</f>
        <v>-0.95619679000000002</v>
      </c>
      <c r="W141" s="16">
        <f ca="1">_xll.DBRW($D$4,$E$7,$E$8,$E$9,$E$10,$E$12,$D141,$E$6,W$18,W$17)</f>
        <v>0.11709960025415331</v>
      </c>
      <c r="X141" s="16"/>
      <c r="Y141" s="16"/>
      <c r="Z141" s="16"/>
      <c r="AA141" s="16"/>
      <c r="AB141" s="16">
        <f ca="1">_xll.DBRW($D$4,$E$7,$E$8,$E$9,$E$10,$E$12,$D141,$E$6,AB$18,AB$17)</f>
        <v>-0.99098851999999993</v>
      </c>
      <c r="AC141" s="16">
        <f ca="1">_xll.DBRW($D$4,$E$7,$E$8,$E$9,$E$10,$E$12,$D141,$E$6,AC$18,AC$17)</f>
        <v>0.12136033164099515</v>
      </c>
      <c r="AD141" s="16"/>
      <c r="AE141" s="16"/>
      <c r="AF141" s="16"/>
      <c r="AG141" s="16"/>
      <c r="AH141" s="16">
        <f ca="1">_xll.DBRW($D$4,$E$7,$E$8,$E$9,$E$10,$E$12,$D141,$E$6,AH$18,AH$17)</f>
        <v>-1.0903410500000001</v>
      </c>
      <c r="AI141" s="16">
        <f ca="1">_xll.DBRW($D$4,$E$7,$E$8,$E$9,$E$10,$E$12,$D141,$E$6,AI$18,AI$17)</f>
        <v>0.13352743120555111</v>
      </c>
      <c r="AJ141" s="16"/>
      <c r="AK141" s="16"/>
      <c r="AL141" s="16"/>
      <c r="AM141" s="16"/>
      <c r="AN141" s="16">
        <f ca="1">_xll.DBRW($D$4,$E$7,$E$8,$E$9,$E$10,$E$12,$D141,$E$6,AN$18,AN$17)</f>
        <v>-1.1557887000000002</v>
      </c>
      <c r="AO141" s="16">
        <f ca="1">_xll.DBRW($D$4,$E$7,$E$8,$E$9,$E$10,$E$12,$D141,$E$6,AO$18,AO$17)</f>
        <v>0.14154240650427988</v>
      </c>
      <c r="AP141" s="16"/>
      <c r="AQ141" s="16"/>
      <c r="AR141" s="16"/>
      <c r="AS141" s="16"/>
      <c r="AT141" s="16">
        <f ca="1">_xll.DBRW($D$4,$E$7,$E$8,$E$9,$E$10,$E$12,$D141,$E$6,AT$18,AT$17)</f>
        <v>0.13125671999999997</v>
      </c>
      <c r="AU141" s="16">
        <f ca="1">_xll.DBRW($D$4,$E$7,$E$8,$E$9,$E$10,$E$12,$D141,$E$6,AU$18,AU$17)</f>
        <v>3.325123069</v>
      </c>
      <c r="AV141" s="16">
        <f ca="1">_xll.DBRW($D$4,$E$7,$E$8,$E$9,$E$10,$E$12,$D141,$E$6,AV$18,AV$17)</f>
        <v>3.325123069</v>
      </c>
      <c r="AW141" s="16">
        <f ca="1">_xll.DBRW($D$4,$E$7,$E$8,$E$9,$E$10,$E$12,$D141,$E$6,AW$18,AW$17)</f>
        <v>3.325123069</v>
      </c>
      <c r="AX141" s="16">
        <f ca="1">_xll.DBRW($D$4,$E$7,$E$8,$E$9,$E$10,$E$12,$D141,$E$6,AX$18,AX$17)</f>
        <v>0.86756112000000007</v>
      </c>
      <c r="AY141" s="16">
        <f ca="1">_xll.DBRW($D$4,$E$7,$E$8,$E$9,$E$10,$E$12,$D141,$E$6,AY$18,AY$17)</f>
        <v>3.325123069</v>
      </c>
      <c r="AZ141" s="16">
        <f ca="1">_xll.DBRW($D$4,$E$7,$E$8,$E$9,$E$10,$E$12,$D141,$E$6,AZ$18,AZ$17)</f>
        <v>1.6151500000000001</v>
      </c>
      <c r="BA141" s="16">
        <f ca="1">_xll.DBRW($D$4,$E$7,$E$8,$E$9,$E$10,$E$12,$D141,$E$6,BA$18,BA$17)</f>
        <v>3.325123069</v>
      </c>
      <c r="BB141" s="16">
        <f ca="1">_xll.DBRW($D$4,$E$7,$E$8,$E$9,$E$10,$E$12,$D141,$E$6,BB$18,BB$17)</f>
        <v>3.325123069</v>
      </c>
      <c r="BC141" s="16">
        <f ca="1">_xll.DBRW($D$4,$E$7,$E$8,$E$9,$E$10,$E$12,$D141,$E$6,BC$18,BC$17)</f>
        <v>3.325123069</v>
      </c>
      <c r="BD141" s="16">
        <f ca="1">_xll.DBRW($D$4,$E$7,$E$8,$E$9,$E$10,$E$12,$D141,$E$6,BD$18,BD$17)</f>
        <v>0.12431120362756765</v>
      </c>
      <c r="BE141" s="16">
        <f ca="1">_xll.DBRW($D$4,$E$7,$E$8,$E$9,$E$10,$E$12,$D141,$E$6,BE$18,BE$17)</f>
        <v>-0.44472122000000003</v>
      </c>
      <c r="BF141" s="16">
        <f ca="1">_xll.DBRW($D$4,$E$7,$E$8,$E$9,$E$10,$E$12,$D141,$E$6,BF$18,BF$17)</f>
        <v>0</v>
      </c>
      <c r="BG141" s="26">
        <f ca="1">_xll.DBRW($D$4,$E$7,$E$8,$E$9,$E$10,$E$12,$D141,$E$6,BG$18,BG$17)</f>
        <v>0</v>
      </c>
      <c r="BH141" s="26">
        <f ca="1">_xll.DBRW($D$4,$E$7,$E$8,$E$9,$E$10,$E$12,$D141,$E$6,BH$18,BH$17)</f>
        <v>0</v>
      </c>
      <c r="BI141" s="26">
        <f ca="1">_xll.DBRW($D$4,$E$7,$E$8,$E$9,$E$10,$E$12,$D141,$E$6,BI$18,BI$17)</f>
        <v>0</v>
      </c>
      <c r="BJ141" s="26">
        <f ca="1">_xll.DBRW($D$4,$E$7,$E$8,$E$9,$E$10,$E$12,$D141,$E$6,BJ$18,BJ$17)</f>
        <v>0</v>
      </c>
      <c r="BK141" s="16">
        <f ca="1">_xll.DBRW($D$4,$E$7,$E$8,$E$9,$E$10,$E$12,$D141,$E$6,BK$18,BK$17)</f>
        <v>0.56903242362756767</v>
      </c>
      <c r="BL141" s="16">
        <f ca="1">_xll.DBRW($D$4,$E$7,$E$8,$E$9,$E$10,$E$12,$D141,$E$6,BL$18,BL$17)</f>
        <v>10.096940839999997</v>
      </c>
      <c r="BM141" s="16">
        <f ca="1">_xll.DBRW($D$4,$E$7,$E$8,$E$9,$E$10,$E$12,$D141,$E$6,BM$18,BM$17)</f>
        <v>-3.6905671290000002</v>
      </c>
      <c r="BN141" s="16">
        <f ca="1">_xll.DBRW($D$4,$E$7,$E$8,$E$9,$E$10,$E$12,$D141,$E$6,BN$18,BN$17)</f>
        <v>0.36551339534242544</v>
      </c>
      <c r="BO141" s="16"/>
      <c r="BP141" s="16"/>
      <c r="BQ141" s="16"/>
      <c r="BR141" s="16"/>
      <c r="BS141" s="16">
        <f ca="1">_xll.DBRW($D$4,$E$7,$E$8,$E$9,$E$10,$E$12,$D141,$E$6,BS$18,BS$17)</f>
        <v>-1.0046035739000001</v>
      </c>
      <c r="BT141" s="16">
        <f ca="1">_xll.DBRW($D$4,$E$7,$E$8,$E$9,$E$10,$E$12,$D141,$E$6,BT$18,BT$17)</f>
        <v>9.9495836394343021E-2</v>
      </c>
      <c r="BU141" s="16"/>
      <c r="BV141" s="16"/>
      <c r="BW141" s="16"/>
      <c r="BX141" s="16"/>
      <c r="BY141" s="16">
        <f ca="1">_xll.DBRW($D$4,$E$7,$E$8,$E$9,$E$10,$E$12,$D141,$E$6,BY$18,BY$17)</f>
        <v>-0.97307419980576482</v>
      </c>
      <c r="BZ141" s="16">
        <f ca="1">_xll.DBRW($D$4,$E$7,$E$8,$E$9,$E$10,$E$12,$D141,$E$6,BZ$18,BZ$17)</f>
        <v>9.6373170371647457E-2</v>
      </c>
      <c r="CA141" s="16"/>
      <c r="CB141" s="16"/>
      <c r="CC141" s="16"/>
      <c r="CD141" s="16"/>
      <c r="CE141" s="16">
        <f ca="1">_xll.DBRW($D$4,$E$7,$E$8,$E$9,$E$10,$E$12,$D141,$E$6,CE$18,CE$17)</f>
        <v>-1.73580823</v>
      </c>
      <c r="CF141" s="16">
        <f ca="1">_xll.DBRW($D$4,$E$7,$E$8,$E$9,$E$10,$E$12,$D141,$E$6,CF$18,CF$17)</f>
        <v>0.17191427161021183</v>
      </c>
      <c r="CG141" s="16"/>
      <c r="CH141" s="16"/>
      <c r="CI141" s="16"/>
      <c r="CJ141" s="16"/>
      <c r="CK141" s="16">
        <f ca="1">_xll.DBRW($D$4,$E$7,$E$8,$E$9,$E$10,$E$12,$D141,$E$6,CK$18,CK$17)</f>
        <v>-2.1238552836666655</v>
      </c>
      <c r="CL141" s="16">
        <f ca="1">_xll.DBRW($D$4,$E$7,$E$8,$E$9,$E$10,$E$12,$D141,$E$6,CL$18,CL$17)</f>
        <v>0.21034641257407488</v>
      </c>
      <c r="CM141" s="16"/>
      <c r="CN141" s="16"/>
      <c r="CO141" s="16"/>
      <c r="CP141" s="16"/>
      <c r="CQ141" s="16">
        <f ca="1">_xll.DBRW($D$4,$E$7,$E$8,$E$9,$E$10,$E$12,$D141,$E$6,CQ$18,CQ$17)</f>
        <v>0.18482089999999998</v>
      </c>
      <c r="CR141" s="16">
        <f ca="1">_xll.DBRW($D$4,$E$7,$E$8,$E$9,$E$10,$E$12,$D141,$E$6,CR$18,CR$17)</f>
        <v>3.4337479999999996</v>
      </c>
      <c r="CS141" s="16">
        <f ca="1">_xll.DBRW($D$4,$E$7,$E$8,$E$9,$E$10,$E$12,$D141,$E$6,CS$18,CS$17)</f>
        <v>3.4337479999999996</v>
      </c>
      <c r="CT141" s="16">
        <f ca="1">_xll.DBRW($D$4,$E$7,$E$8,$E$9,$E$10,$E$12,$D141,$E$6,CT$18,CT$17)</f>
        <v>3.4337479999999996</v>
      </c>
      <c r="CU141" s="16">
        <f ca="1">_xll.DBRW($D$4,$E$7,$E$8,$E$9,$E$10,$E$12,$D141,$E$6,CU$18,CU$17)</f>
        <v>1.1725581324499998</v>
      </c>
      <c r="CV141" s="16">
        <f ca="1">_xll.DBRW($D$4,$E$7,$E$8,$E$9,$E$10,$E$12,$D141,$E$6,CV$18,CV$17)</f>
        <v>3.4337479999999996</v>
      </c>
      <c r="CW141" s="16">
        <f ca="1">_xll.DBRW($D$4,$E$7,$E$8,$E$9,$E$10,$E$12,$D141,$E$6,CW$18,CW$17)</f>
        <v>2.3324577149999999</v>
      </c>
      <c r="CX141" s="16">
        <f ca="1">_xll.DBRW($D$4,$E$7,$E$8,$E$9,$E$10,$E$12,$D141,$E$6,CX$18,CX$17)</f>
        <v>3.4337479999999996</v>
      </c>
      <c r="CY141" s="16">
        <f ca="1">_xll.DBRW($D$4,$E$7,$E$8,$E$9,$E$10,$E$12,$D141,$E$6,CY$18,CY$17)</f>
        <v>3.4337479999999996</v>
      </c>
      <c r="CZ141" s="16">
        <f ca="1">_xll.DBRW($D$4,$E$7,$E$8,$E$9,$E$10,$E$12,$D141,$E$6,CZ$18,CZ$17)</f>
        <v>3.4337479999999996</v>
      </c>
      <c r="DA141" s="26">
        <f t="shared" ca="1" si="108"/>
        <v>1.145538956372429</v>
      </c>
      <c r="DB141" s="26">
        <f t="shared" ca="1" si="109"/>
        <v>0.37460592000000004</v>
      </c>
      <c r="DC141" s="26">
        <f t="shared" ca="1" si="110"/>
        <v>0</v>
      </c>
      <c r="DD141" s="26">
        <f t="shared" ca="1" si="111"/>
        <v>0</v>
      </c>
      <c r="DE141" s="26">
        <f t="shared" ca="1" si="112"/>
        <v>0</v>
      </c>
      <c r="DF141" s="26">
        <f t="shared" ca="1" si="113"/>
        <v>0</v>
      </c>
      <c r="DG141" s="26">
        <f t="shared" ca="1" si="114"/>
        <v>0</v>
      </c>
      <c r="DH141" s="26">
        <f t="shared" ca="1" si="115"/>
        <v>0.77093303637242916</v>
      </c>
      <c r="DI141" s="26">
        <f t="shared" ca="1" si="116"/>
        <v>-1.9312700099999986</v>
      </c>
      <c r="DJ141" s="26">
        <f t="shared" ca="1" si="117"/>
        <v>1.0581768190000007</v>
      </c>
      <c r="DK141" s="26">
        <f t="shared" ca="1" si="118"/>
        <v>-4.3140578117315698E-2</v>
      </c>
      <c r="DL141" s="26"/>
      <c r="DM141" s="26"/>
      <c r="DN141" s="26"/>
      <c r="DO141" s="26"/>
      <c r="DP141" s="26">
        <f t="shared" ca="1" si="119"/>
        <v>4.8406783900000083E-2</v>
      </c>
      <c r="DQ141" s="26">
        <f t="shared" ca="1" si="120"/>
        <v>1.7603763859810287E-2</v>
      </c>
      <c r="DR141" s="26"/>
      <c r="DS141" s="26"/>
      <c r="DT141" s="26"/>
      <c r="DU141" s="26"/>
      <c r="DV141" s="26">
        <f t="shared" ca="1" si="121"/>
        <v>-1.7914320194235112E-2</v>
      </c>
      <c r="DW141" s="26">
        <f t="shared" ca="1" si="122"/>
        <v>2.4987161269347691E-2</v>
      </c>
      <c r="DX141" s="26"/>
      <c r="DY141" s="26"/>
      <c r="DZ141" s="26"/>
      <c r="EA141" s="26"/>
      <c r="EB141" s="26">
        <f t="shared" ca="1" si="123"/>
        <v>0.64546717999999981</v>
      </c>
      <c r="EC141" s="26">
        <f t="shared" ca="1" si="124"/>
        <v>-3.8386840404660727E-2</v>
      </c>
      <c r="ED141" s="26"/>
      <c r="EE141" s="26"/>
      <c r="EF141" s="26"/>
      <c r="EG141" s="26"/>
      <c r="EH141" s="26">
        <f t="shared" ca="1" si="125"/>
        <v>0.96806658366666531</v>
      </c>
      <c r="EI141" s="29">
        <f t="shared" ca="1" si="126"/>
        <v>-6.8804006069795004E-2</v>
      </c>
      <c r="EJ141" s="29"/>
      <c r="EK141" s="29"/>
      <c r="EL141" s="29"/>
      <c r="EM141" s="29"/>
      <c r="EN141" s="93"/>
      <c r="EO141" s="29"/>
      <c r="EP141" s="29"/>
      <c r="EQ141" s="29"/>
      <c r="ER141" s="29"/>
      <c r="ES141" s="29"/>
      <c r="ET141" s="29"/>
      <c r="EU141" s="93"/>
      <c r="EV141" s="29"/>
      <c r="EW141" s="29"/>
      <c r="EX141" s="29"/>
      <c r="EY141" s="29"/>
      <c r="EZ141" s="29"/>
      <c r="FA141" s="29"/>
      <c r="FB141" s="93"/>
      <c r="FC141" s="29"/>
      <c r="FD141" s="29"/>
      <c r="FE141" s="29"/>
      <c r="FF141" s="29"/>
      <c r="FG141" s="29"/>
      <c r="FH141" s="29"/>
      <c r="FI141" s="93"/>
      <c r="FJ141" s="29"/>
      <c r="FK141" s="29"/>
      <c r="FL141" s="29"/>
      <c r="FM141" s="29"/>
      <c r="FN141" s="29"/>
      <c r="FO141" s="29"/>
      <c r="FP141" s="93"/>
      <c r="FQ141" s="29"/>
      <c r="FR141" s="29"/>
      <c r="FS141" s="29"/>
      <c r="FT141" s="29"/>
      <c r="FU141" s="29"/>
      <c r="FV141" s="29"/>
    </row>
    <row r="142" spans="1:178" x14ac:dyDescent="0.25">
      <c r="A142" t="str">
        <f ca="1">IF(_xll.TM1RPTELISCONSOLIDATED($D$28,$D142),IF(_xll.TM1RPTELLEV($D$28,$D142)&lt;=3,_xll.TM1RPTELLEV($D$28,$D142),"D"),"N")</f>
        <v>N</v>
      </c>
      <c r="B142" t="str">
        <f ca="1">_xll.DBRA(Server&amp;"Management_organization",$D142,$B$27)</f>
        <v>L</v>
      </c>
      <c r="C142">
        <v>1</v>
      </c>
      <c r="D142" s="2" t="s">
        <v>192</v>
      </c>
      <c r="E142" s="26"/>
      <c r="F142" s="26"/>
      <c r="G142" s="16">
        <f ca="1">_xll.DBRW($D$4,$E$7,$E$8,$E$9,$E$10,$E$12,$D142,$E$6,G$18,G$17)</f>
        <v>-0.14653296999999962</v>
      </c>
      <c r="H142" s="16">
        <f ca="1">_xll.DBRW($D$4,$E$7,$E$8,$E$9,$E$10,$E$12,$D142,$E$6,H$18,H$17)</f>
        <v>-0.49344466000000003</v>
      </c>
      <c r="I142" s="16">
        <f ca="1">_xll.DBRW($D$4,$E$7,$E$8,$E$9,$E$10,$E$12,$D142,$E$6,I$18,I$17)</f>
        <v>0</v>
      </c>
      <c r="J142" s="26">
        <f ca="1">_xll.DBRW($D$4,$E$7,$E$8,$E$9,$E$10,$E$12,$D142,$E$6,J$18,J$17)</f>
        <v>0</v>
      </c>
      <c r="K142" s="26">
        <f ca="1">_xll.DBRW($D$4,$E$7,$E$8,$E$9,$E$10,$E$12,$D142,$E$6,K$18,K$17)</f>
        <v>0</v>
      </c>
      <c r="L142" s="26">
        <f ca="1">_xll.DBRW($D$4,$E$7,$E$8,$E$9,$E$10,$E$12,$D142,$E$6,L$18,L$17)</f>
        <v>0</v>
      </c>
      <c r="M142" s="26">
        <f ca="1">_xll.DBRW($D$4,$E$7,$E$8,$E$9,$E$10,$E$12,$D142,$E$6,M$18,M$17)</f>
        <v>0</v>
      </c>
      <c r="N142" s="16">
        <f ca="1">_xll.DBRW($D$4,$E$7,$E$8,$E$9,$E$10,$E$12,$D142,$E$6,N$18,N$17)</f>
        <v>0.34691169000000038</v>
      </c>
      <c r="O142" s="16">
        <f ca="1">_xll.DBRW($D$4,$E$7,$E$8,$E$9,$E$10,$E$12,$D142,$E$6,O$18,O$17)</f>
        <v>7.7312553699999995</v>
      </c>
      <c r="P142" s="74">
        <f ca="1">_xll.DBRW($D$4,$E$7,$E$8,$E$9,$E$10,$E$12,$D142,$E$6,P$18,P$17)</f>
        <v>-4.24987973</v>
      </c>
      <c r="Q142" s="16">
        <f ca="1">_xll.DBRW($D$4,$E$7,$E$8,$E$9,$E$10,$E$12,$D142,$E$6,Q$18,Q$17)</f>
        <v>0.54970111923750875</v>
      </c>
      <c r="R142" s="16"/>
      <c r="S142" s="16"/>
      <c r="T142" s="16"/>
      <c r="U142" s="16"/>
      <c r="V142" s="16">
        <f ca="1">_xll.DBRW($D$4,$E$7,$E$8,$E$9,$E$10,$E$12,$D142,$E$6,V$18,V$17)</f>
        <v>-0.86851341000000015</v>
      </c>
      <c r="W142" s="16">
        <f ca="1">_xll.DBRW($D$4,$E$7,$E$8,$E$9,$E$10,$E$12,$D142,$E$6,W$18,W$17)</f>
        <v>0.11233795398482617</v>
      </c>
      <c r="X142" s="16"/>
      <c r="Y142" s="16"/>
      <c r="Z142" s="16"/>
      <c r="AA142" s="16"/>
      <c r="AB142" s="16">
        <f ca="1">_xll.DBRW($D$4,$E$7,$E$8,$E$9,$E$10,$E$12,$D142,$E$6,AB$18,AB$17)</f>
        <v>-0.65219428999999995</v>
      </c>
      <c r="AC142" s="16">
        <f ca="1">_xll.DBRW($D$4,$E$7,$E$8,$E$9,$E$10,$E$12,$D142,$E$6,AC$18,AC$17)</f>
        <v>8.4358135747364407E-2</v>
      </c>
      <c r="AD142" s="16"/>
      <c r="AE142" s="16"/>
      <c r="AF142" s="16"/>
      <c r="AG142" s="16"/>
      <c r="AH142" s="16">
        <f ca="1">_xll.DBRW($D$4,$E$7,$E$8,$E$9,$E$10,$E$12,$D142,$E$6,AH$18,AH$17)</f>
        <v>-1.0765350000000002E-2</v>
      </c>
      <c r="AI142" s="16">
        <f ca="1">_xll.DBRW($D$4,$E$7,$E$8,$E$9,$E$10,$E$12,$D142,$E$6,AI$18,AI$17)</f>
        <v>1.3924452737356678E-3</v>
      </c>
      <c r="AJ142" s="16"/>
      <c r="AK142" s="16"/>
      <c r="AL142" s="16"/>
      <c r="AM142" s="16"/>
      <c r="AN142" s="16">
        <f ca="1">_xll.DBRW($D$4,$E$7,$E$8,$E$9,$E$10,$E$12,$D142,$E$6,AN$18,AN$17)</f>
        <v>-1.6058869799999997</v>
      </c>
      <c r="AO142" s="16">
        <f ca="1">_xll.DBRW($D$4,$E$7,$E$8,$E$9,$E$10,$E$12,$D142,$E$6,AO$18,AO$17)</f>
        <v>0.20771361223319673</v>
      </c>
      <c r="AP142" s="16"/>
      <c r="AQ142" s="16"/>
      <c r="AR142" s="16"/>
      <c r="AS142" s="16"/>
      <c r="AT142" s="16">
        <f ca="1">_xll.DBRW($D$4,$E$7,$E$8,$E$9,$E$10,$E$12,$D142,$E$6,AT$18,AT$17)</f>
        <v>0.13961299999999999</v>
      </c>
      <c r="AU142" s="16">
        <f ca="1">_xll.DBRW($D$4,$E$7,$E$8,$E$9,$E$10,$E$12,$D142,$E$6,AU$18,AU$17)</f>
        <v>2.07091</v>
      </c>
      <c r="AV142" s="16">
        <f ca="1">_xll.DBRW($D$4,$E$7,$E$8,$E$9,$E$10,$E$12,$D142,$E$6,AV$18,AV$17)</f>
        <v>2.07091</v>
      </c>
      <c r="AW142" s="16">
        <f ca="1">_xll.DBRW($D$4,$E$7,$E$8,$E$9,$E$10,$E$12,$D142,$E$6,AW$18,AW$17)</f>
        <v>2.07091</v>
      </c>
      <c r="AX142" s="16">
        <f ca="1">_xll.DBRW($D$4,$E$7,$E$8,$E$9,$E$10,$E$12,$D142,$E$6,AX$18,AX$17)</f>
        <v>0.87295639579999995</v>
      </c>
      <c r="AY142" s="16">
        <f ca="1">_xll.DBRW($D$4,$E$7,$E$8,$E$9,$E$10,$E$12,$D142,$E$6,AY$18,AY$17)</f>
        <v>2.07091</v>
      </c>
      <c r="AZ142" s="16">
        <f ca="1">_xll.DBRW($D$4,$E$7,$E$8,$E$9,$E$10,$E$12,$D142,$E$6,AZ$18,AZ$17)</f>
        <v>1.68049</v>
      </c>
      <c r="BA142" s="16">
        <f ca="1">_xll.DBRW($D$4,$E$7,$E$8,$E$9,$E$10,$E$12,$D142,$E$6,BA$18,BA$17)</f>
        <v>2.07091</v>
      </c>
      <c r="BB142" s="16">
        <f ca="1">_xll.DBRW($D$4,$E$7,$E$8,$E$9,$E$10,$E$12,$D142,$E$6,BB$18,BB$17)</f>
        <v>2.07091</v>
      </c>
      <c r="BC142" s="16">
        <f ca="1">_xll.DBRW($D$4,$E$7,$E$8,$E$9,$E$10,$E$12,$D142,$E$6,BC$18,BC$17)</f>
        <v>2.07091</v>
      </c>
      <c r="BD142" s="16">
        <f ca="1">_xll.DBRW($D$4,$E$7,$E$8,$E$9,$E$10,$E$12,$D142,$E$6,BD$18,BD$17)</f>
        <v>0.17561446150000795</v>
      </c>
      <c r="BE142" s="16">
        <f ca="1">_xll.DBRW($D$4,$E$7,$E$8,$E$9,$E$10,$E$12,$D142,$E$6,BE$18,BE$17)</f>
        <v>-0.56902200000000003</v>
      </c>
      <c r="BF142" s="16">
        <f ca="1">_xll.DBRW($D$4,$E$7,$E$8,$E$9,$E$10,$E$12,$D142,$E$6,BF$18,BF$17)</f>
        <v>0</v>
      </c>
      <c r="BG142" s="26">
        <f ca="1">_xll.DBRW($D$4,$E$7,$E$8,$E$9,$E$10,$E$12,$D142,$E$6,BG$18,BG$17)</f>
        <v>0</v>
      </c>
      <c r="BH142" s="26">
        <f ca="1">_xll.DBRW($D$4,$E$7,$E$8,$E$9,$E$10,$E$12,$D142,$E$6,BH$18,BH$17)</f>
        <v>0</v>
      </c>
      <c r="BI142" s="26">
        <f ca="1">_xll.DBRW($D$4,$E$7,$E$8,$E$9,$E$10,$E$12,$D142,$E$6,BI$18,BI$17)</f>
        <v>0</v>
      </c>
      <c r="BJ142" s="26">
        <f ca="1">_xll.DBRW($D$4,$E$7,$E$8,$E$9,$E$10,$E$12,$D142,$E$6,BJ$18,BJ$17)</f>
        <v>0</v>
      </c>
      <c r="BK142" s="16">
        <f ca="1">_xll.DBRW($D$4,$E$7,$E$8,$E$9,$E$10,$E$12,$D142,$E$6,BK$18,BK$17)</f>
        <v>0.74463646150000795</v>
      </c>
      <c r="BL142" s="16">
        <f ca="1">_xll.DBRW($D$4,$E$7,$E$8,$E$9,$E$10,$E$12,$D142,$E$6,BL$18,BL$17)</f>
        <v>8.9237766666666705</v>
      </c>
      <c r="BM142" s="16">
        <f ca="1">_xll.DBRW($D$4,$E$7,$E$8,$E$9,$E$10,$E$12,$D142,$E$6,BM$18,BM$17)</f>
        <v>-4.6429420833333301</v>
      </c>
      <c r="BN142" s="16">
        <f ca="1">_xll.DBRW($D$4,$E$7,$E$8,$E$9,$E$10,$E$12,$D142,$E$6,BN$18,BN$17)</f>
        <v>0.52028891541809785</v>
      </c>
      <c r="BO142" s="16"/>
      <c r="BP142" s="16"/>
      <c r="BQ142" s="16"/>
      <c r="BR142" s="16"/>
      <c r="BS142" s="16">
        <f ca="1">_xll.DBRW($D$4,$E$7,$E$8,$E$9,$E$10,$E$12,$D142,$E$6,BS$18,BS$17)</f>
        <v>-0.96254459796666691</v>
      </c>
      <c r="BT142" s="16">
        <f ca="1">_xll.DBRW($D$4,$E$7,$E$8,$E$9,$E$10,$E$12,$D142,$E$6,BT$18,BT$17)</f>
        <v>0.10786291879783333</v>
      </c>
      <c r="BU142" s="16"/>
      <c r="BV142" s="16"/>
      <c r="BW142" s="16"/>
      <c r="BX142" s="16"/>
      <c r="BY142" s="16">
        <f ca="1">_xll.DBRW($D$4,$E$7,$E$8,$E$9,$E$10,$E$12,$D142,$E$6,BY$18,BY$17)</f>
        <v>-0.70723514399999987</v>
      </c>
      <c r="BZ142" s="16">
        <f ca="1">_xll.DBRW($D$4,$E$7,$E$8,$E$9,$E$10,$E$12,$D142,$E$6,BZ$18,BZ$17)</f>
        <v>7.9252895989851788E-2</v>
      </c>
      <c r="CA142" s="16"/>
      <c r="CB142" s="16"/>
      <c r="CC142" s="16"/>
      <c r="CD142" s="16"/>
      <c r="CE142" s="16">
        <f ca="1">_xll.DBRW($D$4,$E$7,$E$8,$E$9,$E$10,$E$12,$D142,$E$6,CE$18,CE$17)</f>
        <v>-0.190282333333333</v>
      </c>
      <c r="CF142" s="16">
        <f ca="1">_xll.DBRW($D$4,$E$7,$E$8,$E$9,$E$10,$E$12,$D142,$E$6,CF$18,CF$17)</f>
        <v>2.1323072107362569E-2</v>
      </c>
      <c r="CG142" s="16"/>
      <c r="CH142" s="16"/>
      <c r="CI142" s="16"/>
      <c r="CJ142" s="16"/>
      <c r="CK142" s="16">
        <f ca="1">_xll.DBRW($D$4,$E$7,$E$8,$E$9,$E$10,$E$12,$D142,$E$6,CK$18,CK$17)</f>
        <v>-1.676136046533333</v>
      </c>
      <c r="CL142" s="16">
        <f ca="1">_xll.DBRW($D$4,$E$7,$E$8,$E$9,$E$10,$E$12,$D142,$E$6,CL$18,CL$17)</f>
        <v>0.18782810340763784</v>
      </c>
      <c r="CM142" s="16"/>
      <c r="CN142" s="16"/>
      <c r="CO142" s="16"/>
      <c r="CP142" s="16"/>
      <c r="CQ142" s="16">
        <f ca="1">_xll.DBRW($D$4,$E$7,$E$8,$E$9,$E$10,$E$12,$D142,$E$6,CQ$18,CQ$17)</f>
        <v>0.15240483333333302</v>
      </c>
      <c r="CR142" s="16">
        <f ca="1">_xll.DBRW($D$4,$E$7,$E$8,$E$9,$E$10,$E$12,$D142,$E$6,CR$18,CR$17)</f>
        <v>2.4814999999999987</v>
      </c>
      <c r="CS142" s="16">
        <f ca="1">_xll.DBRW($D$4,$E$7,$E$8,$E$9,$E$10,$E$12,$D142,$E$6,CS$18,CS$17)</f>
        <v>2.4814999999999987</v>
      </c>
      <c r="CT142" s="16">
        <f ca="1">_xll.DBRW($D$4,$E$7,$E$8,$E$9,$E$10,$E$12,$D142,$E$6,CT$18,CT$17)</f>
        <v>2.4814999999999987</v>
      </c>
      <c r="CU142" s="16">
        <f ca="1">_xll.DBRW($D$4,$E$7,$E$8,$E$9,$E$10,$E$12,$D142,$E$6,CU$18,CU$17)</f>
        <v>1.0431444171999997</v>
      </c>
      <c r="CV142" s="16">
        <f ca="1">_xll.DBRW($D$4,$E$7,$E$8,$E$9,$E$10,$E$12,$D142,$E$6,CV$18,CV$17)</f>
        <v>2.4814999999999987</v>
      </c>
      <c r="CW142" s="16">
        <f ca="1">_xll.DBRW($D$4,$E$7,$E$8,$E$9,$E$10,$E$12,$D142,$E$6,CW$18,CW$17)</f>
        <v>1.6639999999999999</v>
      </c>
      <c r="CX142" s="16">
        <f ca="1">_xll.DBRW($D$4,$E$7,$E$8,$E$9,$E$10,$E$12,$D142,$E$6,CX$18,CX$17)</f>
        <v>2.4814999999999987</v>
      </c>
      <c r="CY142" s="16">
        <f ca="1">_xll.DBRW($D$4,$E$7,$E$8,$E$9,$E$10,$E$12,$D142,$E$6,CY$18,CY$17)</f>
        <v>2.4814999999999987</v>
      </c>
      <c r="CZ142" s="16">
        <f ca="1">_xll.DBRW($D$4,$E$7,$E$8,$E$9,$E$10,$E$12,$D142,$E$6,CZ$18,CZ$17)</f>
        <v>2.4814999999999987</v>
      </c>
      <c r="DA142" s="26">
        <f t="shared" ca="1" si="108"/>
        <v>-0.32214743150000757</v>
      </c>
      <c r="DB142" s="26">
        <f t="shared" ca="1" si="109"/>
        <v>7.5577339999999993E-2</v>
      </c>
      <c r="DC142" s="26">
        <f t="shared" ca="1" si="110"/>
        <v>0</v>
      </c>
      <c r="DD142" s="26">
        <f t="shared" ca="1" si="111"/>
        <v>0</v>
      </c>
      <c r="DE142" s="26">
        <f t="shared" ca="1" si="112"/>
        <v>0</v>
      </c>
      <c r="DF142" s="26">
        <f t="shared" ca="1" si="113"/>
        <v>0</v>
      </c>
      <c r="DG142" s="26">
        <f t="shared" ca="1" si="114"/>
        <v>0</v>
      </c>
      <c r="DH142" s="26">
        <f t="shared" ca="1" si="115"/>
        <v>-0.39772477150000757</v>
      </c>
      <c r="DI142" s="26">
        <f t="shared" ca="1" si="116"/>
        <v>-1.1925212966666709</v>
      </c>
      <c r="DJ142" s="26">
        <f t="shared" ca="1" si="117"/>
        <v>0.39306235333333017</v>
      </c>
      <c r="DK142" s="26">
        <f t="shared" ca="1" si="118"/>
        <v>2.9412203819410898E-2</v>
      </c>
      <c r="DL142" s="26"/>
      <c r="DM142" s="26"/>
      <c r="DN142" s="26"/>
      <c r="DO142" s="26"/>
      <c r="DP142" s="26">
        <f t="shared" ca="1" si="119"/>
        <v>9.4031187966666763E-2</v>
      </c>
      <c r="DQ142" s="26">
        <f t="shared" ca="1" si="120"/>
        <v>4.4750351869928401E-3</v>
      </c>
      <c r="DR142" s="26"/>
      <c r="DS142" s="26"/>
      <c r="DT142" s="26"/>
      <c r="DU142" s="26"/>
      <c r="DV142" s="26">
        <f t="shared" ca="1" si="121"/>
        <v>5.5040853999999917E-2</v>
      </c>
      <c r="DW142" s="26">
        <f t="shared" ca="1" si="122"/>
        <v>5.1052397575126196E-3</v>
      </c>
      <c r="DX142" s="26"/>
      <c r="DY142" s="26"/>
      <c r="DZ142" s="26"/>
      <c r="EA142" s="26"/>
      <c r="EB142" s="26">
        <f t="shared" ca="1" si="123"/>
        <v>0.17951698333333299</v>
      </c>
      <c r="EC142" s="26">
        <f t="shared" ca="1" si="124"/>
        <v>-1.99306268336269E-2</v>
      </c>
      <c r="ED142" s="26"/>
      <c r="EE142" s="26"/>
      <c r="EF142" s="26"/>
      <c r="EG142" s="26"/>
      <c r="EH142" s="26">
        <f t="shared" ca="1" si="125"/>
        <v>7.0249066533333293E-2</v>
      </c>
      <c r="EI142" s="29">
        <f t="shared" ca="1" si="126"/>
        <v>1.9885508825558895E-2</v>
      </c>
      <c r="EJ142" s="29"/>
      <c r="EK142" s="29"/>
      <c r="EL142" s="29"/>
      <c r="EM142" s="29"/>
      <c r="EN142" s="93"/>
      <c r="EO142" s="29"/>
      <c r="EP142" s="29"/>
      <c r="EQ142" s="29"/>
      <c r="ER142" s="29"/>
      <c r="ES142" s="29"/>
      <c r="ET142" s="29"/>
      <c r="EU142" s="93"/>
      <c r="EV142" s="29"/>
      <c r="EW142" s="29"/>
      <c r="EX142" s="29"/>
      <c r="EY142" s="29"/>
      <c r="EZ142" s="29"/>
      <c r="FA142" s="29"/>
      <c r="FB142" s="93"/>
      <c r="FC142" s="29"/>
      <c r="FD142" s="29"/>
      <c r="FE142" s="29"/>
      <c r="FF142" s="29"/>
      <c r="FG142" s="29"/>
      <c r="FH142" s="29"/>
      <c r="FI142" s="93"/>
      <c r="FJ142" s="29"/>
      <c r="FK142" s="29"/>
      <c r="FL142" s="29"/>
      <c r="FM142" s="29"/>
      <c r="FN142" s="29"/>
      <c r="FO142" s="29"/>
      <c r="FP142" s="93"/>
      <c r="FQ142" s="29"/>
      <c r="FR142" s="29"/>
      <c r="FS142" s="29"/>
      <c r="FT142" s="29"/>
      <c r="FU142" s="29"/>
      <c r="FV142" s="29"/>
    </row>
    <row r="143" spans="1:178" x14ac:dyDescent="0.25">
      <c r="A143" t="str">
        <f ca="1">IF(_xll.TM1RPTELISCONSOLIDATED($D$28,$D143),IF(_xll.TM1RPTELLEV($D$28,$D143)&lt;=3,_xll.TM1RPTELLEV($D$28,$D143),"D"),"N")</f>
        <v>N</v>
      </c>
      <c r="B143" t="str">
        <f ca="1">_xll.DBRA(Server&amp;"Management_organization",$D143,$B$27)</f>
        <v>L</v>
      </c>
      <c r="C143">
        <v>1</v>
      </c>
      <c r="D143" s="2" t="s">
        <v>193</v>
      </c>
      <c r="E143" s="26"/>
      <c r="F143" s="26"/>
      <c r="G143" s="16">
        <f ca="1">_xll.DBRW($D$4,$E$7,$E$8,$E$9,$E$10,$E$12,$D143,$E$6,G$18,G$17)</f>
        <v>0.80211527999999976</v>
      </c>
      <c r="H143" s="16">
        <f ca="1">_xll.DBRW($D$4,$E$7,$E$8,$E$9,$E$10,$E$12,$D143,$E$6,H$18,H$17)</f>
        <v>-0.16082977000000001</v>
      </c>
      <c r="I143" s="16">
        <f ca="1">_xll.DBRW($D$4,$E$7,$E$8,$E$9,$E$10,$E$12,$D143,$E$6,I$18,I$17)</f>
        <v>0</v>
      </c>
      <c r="J143" s="26">
        <f ca="1">_xll.DBRW($D$4,$E$7,$E$8,$E$9,$E$10,$E$12,$D143,$E$6,J$18,J$17)</f>
        <v>0</v>
      </c>
      <c r="K143" s="26">
        <f ca="1">_xll.DBRW($D$4,$E$7,$E$8,$E$9,$E$10,$E$12,$D143,$E$6,K$18,K$17)</f>
        <v>0</v>
      </c>
      <c r="L143" s="26">
        <f ca="1">_xll.DBRW($D$4,$E$7,$E$8,$E$9,$E$10,$E$12,$D143,$E$6,L$18,L$17)</f>
        <v>0</v>
      </c>
      <c r="M143" s="26">
        <f ca="1">_xll.DBRW($D$4,$E$7,$E$8,$E$9,$E$10,$E$12,$D143,$E$6,M$18,M$17)</f>
        <v>0</v>
      </c>
      <c r="N143" s="16">
        <f ca="1">_xll.DBRW($D$4,$E$7,$E$8,$E$9,$E$10,$E$12,$D143,$E$6,N$18,N$17)</f>
        <v>0.96294504999999975</v>
      </c>
      <c r="O143" s="16">
        <f ca="1">_xll.DBRW($D$4,$E$7,$E$8,$E$9,$E$10,$E$12,$D143,$E$6,O$18,O$17)</f>
        <v>3.51870613</v>
      </c>
      <c r="P143" s="74">
        <f ca="1">_xll.DBRW($D$4,$E$7,$E$8,$E$9,$E$10,$E$12,$D143,$E$6,P$18,P$17)</f>
        <v>-1.3510128799999999</v>
      </c>
      <c r="Q143" s="16">
        <f ca="1">_xll.DBRW($D$4,$E$7,$E$8,$E$9,$E$10,$E$12,$D143,$E$6,Q$18,Q$17)</f>
        <v>0.38395160893984626</v>
      </c>
      <c r="R143" s="16"/>
      <c r="S143" s="16"/>
      <c r="T143" s="16"/>
      <c r="U143" s="16"/>
      <c r="V143" s="16">
        <f ca="1">_xll.DBRW($D$4,$E$7,$E$8,$E$9,$E$10,$E$12,$D143,$E$6,V$18,V$17)</f>
        <v>-0.33101164</v>
      </c>
      <c r="W143" s="16">
        <f ca="1">_xll.DBRW($D$4,$E$7,$E$8,$E$9,$E$10,$E$12,$D143,$E$6,W$18,W$17)</f>
        <v>9.4071976394345835E-2</v>
      </c>
      <c r="X143" s="16"/>
      <c r="Y143" s="16"/>
      <c r="Z143" s="16"/>
      <c r="AA143" s="16"/>
      <c r="AB143" s="16">
        <f ca="1">_xll.DBRW($D$4,$E$7,$E$8,$E$9,$E$10,$E$12,$D143,$E$6,AB$18,AB$17)</f>
        <v>-9.2654279999999964E-2</v>
      </c>
      <c r="AC143" s="16">
        <f ca="1">_xll.DBRW($D$4,$E$7,$E$8,$E$9,$E$10,$E$12,$D143,$E$6,AC$18,AC$17)</f>
        <v>2.6331917635872584E-2</v>
      </c>
      <c r="AD143" s="16"/>
      <c r="AE143" s="16"/>
      <c r="AF143" s="16"/>
      <c r="AG143" s="16"/>
      <c r="AH143" s="16">
        <f ca="1">_xll.DBRW($D$4,$E$7,$E$8,$E$9,$E$10,$E$12,$D143,$E$6,AH$18,AH$17)</f>
        <v>-6.6943429999999998E-2</v>
      </c>
      <c r="AI143" s="16">
        <f ca="1">_xll.DBRW($D$4,$E$7,$E$8,$E$9,$E$10,$E$12,$D143,$E$6,AI$18,AI$17)</f>
        <v>1.9025013037960063E-2</v>
      </c>
      <c r="AJ143" s="16"/>
      <c r="AK143" s="16"/>
      <c r="AL143" s="16"/>
      <c r="AM143" s="16"/>
      <c r="AN143" s="16">
        <f ca="1">_xll.DBRW($D$4,$E$7,$E$8,$E$9,$E$10,$E$12,$D143,$E$6,AN$18,AN$17)</f>
        <v>-0.7141388500000001</v>
      </c>
      <c r="AO143" s="16">
        <f ca="1">_xll.DBRW($D$4,$E$7,$E$8,$E$9,$E$10,$E$12,$D143,$E$6,AO$18,AO$17)</f>
        <v>0.2029549566277648</v>
      </c>
      <c r="AP143" s="16"/>
      <c r="AQ143" s="16"/>
      <c r="AR143" s="16"/>
      <c r="AS143" s="16"/>
      <c r="AT143" s="16">
        <f ca="1">_xll.DBRW($D$4,$E$7,$E$8,$E$9,$E$10,$E$12,$D143,$E$6,AT$18,AT$17)</f>
        <v>3.5494009999999993E-2</v>
      </c>
      <c r="AU143" s="16">
        <f ca="1">_xll.DBRW($D$4,$E$7,$E$8,$E$9,$E$10,$E$12,$D143,$E$6,AU$18,AU$17)</f>
        <v>0.60343000000000013</v>
      </c>
      <c r="AV143" s="16">
        <f ca="1">_xll.DBRW($D$4,$E$7,$E$8,$E$9,$E$10,$E$12,$D143,$E$6,AV$18,AV$17)</f>
        <v>0.60343000000000013</v>
      </c>
      <c r="AW143" s="16">
        <f ca="1">_xll.DBRW($D$4,$E$7,$E$8,$E$9,$E$10,$E$12,$D143,$E$6,AW$18,AW$17)</f>
        <v>0.60343000000000013</v>
      </c>
      <c r="AX143" s="16">
        <f ca="1">_xll.DBRW($D$4,$E$7,$E$8,$E$9,$E$10,$E$12,$D143,$E$6,AX$18,AX$17)</f>
        <v>0.220611</v>
      </c>
      <c r="AY143" s="16">
        <f ca="1">_xll.DBRW($D$4,$E$7,$E$8,$E$9,$E$10,$E$12,$D143,$E$6,AY$18,AY$17)</f>
        <v>0.60343000000000013</v>
      </c>
      <c r="AZ143" s="16">
        <f ca="1">_xll.DBRW($D$4,$E$7,$E$8,$E$9,$E$10,$E$12,$D143,$E$6,AZ$18,AZ$17)</f>
        <v>0.54044200000000009</v>
      </c>
      <c r="BA143" s="16">
        <f ca="1">_xll.DBRW($D$4,$E$7,$E$8,$E$9,$E$10,$E$12,$D143,$E$6,BA$18,BA$17)</f>
        <v>0.60343000000000013</v>
      </c>
      <c r="BB143" s="16">
        <f ca="1">_xll.DBRW($D$4,$E$7,$E$8,$E$9,$E$10,$E$12,$D143,$E$6,BB$18,BB$17)</f>
        <v>0.60343000000000013</v>
      </c>
      <c r="BC143" s="16">
        <f ca="1">_xll.DBRW($D$4,$E$7,$E$8,$E$9,$E$10,$E$12,$D143,$E$6,BC$18,BC$17)</f>
        <v>0.60343000000000013</v>
      </c>
      <c r="BD143" s="16">
        <f ca="1">_xll.DBRW($D$4,$E$7,$E$8,$E$9,$E$10,$E$12,$D143,$E$6,BD$18,BD$17)</f>
        <v>0.10234763113399123</v>
      </c>
      <c r="BE143" s="16">
        <f ca="1">_xll.DBRW($D$4,$E$7,$E$8,$E$9,$E$10,$E$12,$D143,$E$6,BE$18,BE$17)</f>
        <v>-0.26301000000000002</v>
      </c>
      <c r="BF143" s="16">
        <f ca="1">_xll.DBRW($D$4,$E$7,$E$8,$E$9,$E$10,$E$12,$D143,$E$6,BF$18,BF$17)</f>
        <v>0</v>
      </c>
      <c r="BG143" s="26">
        <f ca="1">_xll.DBRW($D$4,$E$7,$E$8,$E$9,$E$10,$E$12,$D143,$E$6,BG$18,BG$17)</f>
        <v>0</v>
      </c>
      <c r="BH143" s="26">
        <f ca="1">_xll.DBRW($D$4,$E$7,$E$8,$E$9,$E$10,$E$12,$D143,$E$6,BH$18,BH$17)</f>
        <v>0</v>
      </c>
      <c r="BI143" s="26">
        <f ca="1">_xll.DBRW($D$4,$E$7,$E$8,$E$9,$E$10,$E$12,$D143,$E$6,BI$18,BI$17)</f>
        <v>0</v>
      </c>
      <c r="BJ143" s="26">
        <f ca="1">_xll.DBRW($D$4,$E$7,$E$8,$E$9,$E$10,$E$12,$D143,$E$6,BJ$18,BJ$17)</f>
        <v>0</v>
      </c>
      <c r="BK143" s="16">
        <f ca="1">_xll.DBRW($D$4,$E$7,$E$8,$E$9,$E$10,$E$12,$D143,$E$6,BK$18,BK$17)</f>
        <v>0.36535763113399122</v>
      </c>
      <c r="BL143" s="16">
        <f ca="1">_xll.DBRW($D$4,$E$7,$E$8,$E$9,$E$10,$E$12,$D143,$E$6,BL$18,BL$17)</f>
        <v>3.2107220000000005</v>
      </c>
      <c r="BM143" s="16">
        <f ca="1">_xll.DBRW($D$4,$E$7,$E$8,$E$9,$E$10,$E$12,$D143,$E$6,BM$18,BM$17)</f>
        <v>-1.4042849999999998</v>
      </c>
      <c r="BN143" s="16">
        <f ca="1">_xll.DBRW($D$4,$E$7,$E$8,$E$9,$E$10,$E$12,$D143,$E$6,BN$18,BN$17)</f>
        <v>0.43737358762297063</v>
      </c>
      <c r="BO143" s="16"/>
      <c r="BP143" s="16"/>
      <c r="BQ143" s="16"/>
      <c r="BR143" s="16"/>
      <c r="BS143" s="16">
        <f ca="1">_xll.DBRW($D$4,$E$7,$E$8,$E$9,$E$10,$E$12,$D143,$E$6,BS$18,BS$17)</f>
        <v>-0.27278972360425185</v>
      </c>
      <c r="BT143" s="16">
        <f ca="1">_xll.DBRW($D$4,$E$7,$E$8,$E$9,$E$10,$E$12,$D143,$E$6,BT$18,BT$17)</f>
        <v>8.4962112448306579E-2</v>
      </c>
      <c r="BU143" s="16"/>
      <c r="BV143" s="16"/>
      <c r="BW143" s="16"/>
      <c r="BX143" s="16"/>
      <c r="BY143" s="16">
        <f ca="1">_xll.DBRW($D$4,$E$7,$E$8,$E$9,$E$10,$E$12,$D143,$E$6,BY$18,BY$17)</f>
        <v>-0.23984864526175786</v>
      </c>
      <c r="BZ143" s="16">
        <f ca="1">_xll.DBRW($D$4,$E$7,$E$8,$E$9,$E$10,$E$12,$D143,$E$6,BZ$18,BZ$17)</f>
        <v>7.4702401908903301E-2</v>
      </c>
      <c r="CA143" s="16"/>
      <c r="CB143" s="16"/>
      <c r="CC143" s="16"/>
      <c r="CD143" s="16"/>
      <c r="CE143" s="16">
        <f ca="1">_xll.DBRW($D$4,$E$7,$E$8,$E$9,$E$10,$E$12,$D143,$E$6,CE$18,CE$17)</f>
        <v>-6.1773000000000008E-2</v>
      </c>
      <c r="CF143" s="16">
        <f ca="1">_xll.DBRW($D$4,$E$7,$E$8,$E$9,$E$10,$E$12,$D143,$E$6,CF$18,CF$17)</f>
        <v>1.9239597822545831E-2</v>
      </c>
      <c r="CG143" s="16"/>
      <c r="CH143" s="16"/>
      <c r="CI143" s="16"/>
      <c r="CJ143" s="16"/>
      <c r="CK143" s="16">
        <f ca="1">_xll.DBRW($D$4,$E$7,$E$8,$E$9,$E$10,$E$12,$D143,$E$6,CK$18,CK$17)</f>
        <v>-0.86666799999999988</v>
      </c>
      <c r="CL143" s="16">
        <f ca="1">_xll.DBRW($D$4,$E$7,$E$8,$E$9,$E$10,$E$12,$D143,$E$6,CL$18,CL$17)</f>
        <v>0.26992931807861276</v>
      </c>
      <c r="CM143" s="16"/>
      <c r="CN143" s="16"/>
      <c r="CO143" s="16"/>
      <c r="CP143" s="16"/>
      <c r="CQ143" s="16">
        <f ca="1">_xll.DBRW($D$4,$E$7,$E$8,$E$9,$E$10,$E$12,$D143,$E$6,CQ$18,CQ$17)</f>
        <v>4.4572899999999999E-2</v>
      </c>
      <c r="CR143" s="16">
        <f ca="1">_xll.DBRW($D$4,$E$7,$E$8,$E$9,$E$10,$E$12,$D143,$E$6,CR$18,CR$17)</f>
        <v>0.73188550082000003</v>
      </c>
      <c r="CS143" s="16">
        <f ca="1">_xll.DBRW($D$4,$E$7,$E$8,$E$9,$E$10,$E$12,$D143,$E$6,CS$18,CS$17)</f>
        <v>0.73188550082000003</v>
      </c>
      <c r="CT143" s="16">
        <f ca="1">_xll.DBRW($D$4,$E$7,$E$8,$E$9,$E$10,$E$12,$D143,$E$6,CT$18,CT$17)</f>
        <v>0.73188550082000003</v>
      </c>
      <c r="CU143" s="16">
        <f ca="1">_xll.DBRW($D$4,$E$7,$E$8,$E$9,$E$10,$E$12,$D143,$E$6,CU$18,CU$17)</f>
        <v>0.26613984973708998</v>
      </c>
      <c r="CV143" s="16">
        <f ca="1">_xll.DBRW($D$4,$E$7,$E$8,$E$9,$E$10,$E$12,$D143,$E$6,CV$18,CV$17)</f>
        <v>0.73188550082000003</v>
      </c>
      <c r="CW143" s="16">
        <f ca="1">_xll.DBRW($D$4,$E$7,$E$8,$E$9,$E$10,$E$12,$D143,$E$6,CW$18,CW$17)</f>
        <v>0.62823790689999981</v>
      </c>
      <c r="CX143" s="16">
        <f ca="1">_xll.DBRW($D$4,$E$7,$E$8,$E$9,$E$10,$E$12,$D143,$E$6,CX$18,CX$17)</f>
        <v>0.73188550082000003</v>
      </c>
      <c r="CY143" s="16">
        <f ca="1">_xll.DBRW($D$4,$E$7,$E$8,$E$9,$E$10,$E$12,$D143,$E$6,CY$18,CY$17)</f>
        <v>0.73188550082000003</v>
      </c>
      <c r="CZ143" s="16">
        <f ca="1">_xll.DBRW($D$4,$E$7,$E$8,$E$9,$E$10,$E$12,$D143,$E$6,CZ$18,CZ$17)</f>
        <v>0.73188550082000003</v>
      </c>
      <c r="DA143" s="26">
        <f t="shared" ca="1" si="108"/>
        <v>0.69976764886600851</v>
      </c>
      <c r="DB143" s="26">
        <f t="shared" ca="1" si="109"/>
        <v>0.10218023000000001</v>
      </c>
      <c r="DC143" s="26">
        <f t="shared" ca="1" si="110"/>
        <v>0</v>
      </c>
      <c r="DD143" s="26">
        <f t="shared" ca="1" si="111"/>
        <v>0</v>
      </c>
      <c r="DE143" s="26">
        <f t="shared" ca="1" si="112"/>
        <v>0</v>
      </c>
      <c r="DF143" s="26">
        <f t="shared" ca="1" si="113"/>
        <v>0</v>
      </c>
      <c r="DG143" s="26">
        <f t="shared" ca="1" si="114"/>
        <v>0</v>
      </c>
      <c r="DH143" s="26">
        <f t="shared" ca="1" si="115"/>
        <v>0.59758741886600852</v>
      </c>
      <c r="DI143" s="26">
        <f t="shared" ca="1" si="116"/>
        <v>0.30798412999999947</v>
      </c>
      <c r="DJ143" s="26">
        <f t="shared" ca="1" si="117"/>
        <v>5.3272119999999923E-2</v>
      </c>
      <c r="DK143" s="26">
        <f t="shared" ca="1" si="118"/>
        <v>-5.3421978683124371E-2</v>
      </c>
      <c r="DL143" s="26"/>
      <c r="DM143" s="26"/>
      <c r="DN143" s="26"/>
      <c r="DO143" s="26"/>
      <c r="DP143" s="26">
        <f t="shared" ca="1" si="119"/>
        <v>-5.8221916395748141E-2</v>
      </c>
      <c r="DQ143" s="26">
        <f t="shared" ca="1" si="120"/>
        <v>9.1098639460392566E-3</v>
      </c>
      <c r="DR143" s="26"/>
      <c r="DS143" s="26"/>
      <c r="DT143" s="26"/>
      <c r="DU143" s="26"/>
      <c r="DV143" s="26">
        <f t="shared" ca="1" si="121"/>
        <v>0.14719436526175789</v>
      </c>
      <c r="DW143" s="26">
        <f t="shared" ca="1" si="122"/>
        <v>-4.8370484273030714E-2</v>
      </c>
      <c r="DX143" s="26"/>
      <c r="DY143" s="26"/>
      <c r="DZ143" s="26"/>
      <c r="EA143" s="26"/>
      <c r="EB143" s="26">
        <f t="shared" ca="1" si="123"/>
        <v>-5.1704299999999898E-3</v>
      </c>
      <c r="EC143" s="26">
        <f t="shared" ca="1" si="124"/>
        <v>-2.1458478458576818E-4</v>
      </c>
      <c r="ED143" s="26"/>
      <c r="EE143" s="26"/>
      <c r="EF143" s="26"/>
      <c r="EG143" s="26"/>
      <c r="EH143" s="26">
        <f t="shared" ca="1" si="125"/>
        <v>0.15252914999999978</v>
      </c>
      <c r="EI143" s="29">
        <f t="shared" ca="1" si="126"/>
        <v>-6.6974361450847952E-2</v>
      </c>
      <c r="EJ143" s="29"/>
      <c r="EK143" s="29"/>
      <c r="EL143" s="29"/>
      <c r="EM143" s="29"/>
      <c r="EN143" s="93"/>
      <c r="EO143" s="29"/>
      <c r="EP143" s="29"/>
      <c r="EQ143" s="29"/>
      <c r="ER143" s="29"/>
      <c r="ES143" s="29"/>
      <c r="ET143" s="29"/>
      <c r="EU143" s="93"/>
      <c r="EV143" s="29"/>
      <c r="EW143" s="29"/>
      <c r="EX143" s="29"/>
      <c r="EY143" s="29"/>
      <c r="EZ143" s="29"/>
      <c r="FA143" s="29"/>
      <c r="FB143" s="93"/>
      <c r="FC143" s="29"/>
      <c r="FD143" s="29"/>
      <c r="FE143" s="29"/>
      <c r="FF143" s="29"/>
      <c r="FG143" s="29"/>
      <c r="FH143" s="29"/>
      <c r="FI143" s="93"/>
      <c r="FJ143" s="29"/>
      <c r="FK143" s="29"/>
      <c r="FL143" s="29"/>
      <c r="FM143" s="29"/>
      <c r="FN143" s="29"/>
      <c r="FO143" s="29"/>
      <c r="FP143" s="93"/>
      <c r="FQ143" s="29"/>
      <c r="FR143" s="29"/>
      <c r="FS143" s="29"/>
      <c r="FT143" s="29"/>
      <c r="FU143" s="29"/>
      <c r="FV143" s="29"/>
    </row>
    <row r="144" spans="1:178" x14ac:dyDescent="0.25">
      <c r="A144" t="str">
        <f ca="1">IF(_xll.TM1RPTELISCONSOLIDATED($D$28,$D144),IF(_xll.TM1RPTELLEV($D$28,$D144)&lt;=3,_xll.TM1RPTELLEV($D$28,$D144),"D"),"N")</f>
        <v>N</v>
      </c>
      <c r="B144" t="str">
        <f ca="1">_xll.DBRA(Server&amp;"Management_organization",$D144,$B$27)</f>
        <v>L</v>
      </c>
      <c r="C144">
        <v>1</v>
      </c>
      <c r="D144" s="2" t="s">
        <v>194</v>
      </c>
      <c r="E144" s="26"/>
      <c r="F144" s="26"/>
      <c r="G144" s="16">
        <f ca="1">_xll.DBRW($D$4,$E$7,$E$8,$E$9,$E$10,$E$12,$D144,$E$6,G$18,G$17)</f>
        <v>5.3634560000000442E-2</v>
      </c>
      <c r="H144" s="16">
        <f ca="1">_xll.DBRW($D$4,$E$7,$E$8,$E$9,$E$10,$E$12,$D144,$E$6,H$18,H$17)</f>
        <v>-0.12087402</v>
      </c>
      <c r="I144" s="16">
        <f ca="1">_xll.DBRW($D$4,$E$7,$E$8,$E$9,$E$10,$E$12,$D144,$E$6,I$18,I$17)</f>
        <v>0</v>
      </c>
      <c r="J144" s="26">
        <f ca="1">_xll.DBRW($D$4,$E$7,$E$8,$E$9,$E$10,$E$12,$D144,$E$6,J$18,J$17)</f>
        <v>6.3670000000000005E-5</v>
      </c>
      <c r="K144" s="26">
        <f ca="1">_xll.DBRW($D$4,$E$7,$E$8,$E$9,$E$10,$E$12,$D144,$E$6,K$18,K$17)</f>
        <v>0</v>
      </c>
      <c r="L144" s="26">
        <f ca="1">_xll.DBRW($D$4,$E$7,$E$8,$E$9,$E$10,$E$12,$D144,$E$6,L$18,L$17)</f>
        <v>0</v>
      </c>
      <c r="M144" s="26">
        <f ca="1">_xll.DBRW($D$4,$E$7,$E$8,$E$9,$E$10,$E$12,$D144,$E$6,M$18,M$17)</f>
        <v>0</v>
      </c>
      <c r="N144" s="16">
        <f ca="1">_xll.DBRW($D$4,$E$7,$E$8,$E$9,$E$10,$E$12,$D144,$E$6,N$18,N$17)</f>
        <v>0.17444491000000045</v>
      </c>
      <c r="O144" s="16">
        <f ca="1">_xll.DBRW($D$4,$E$7,$E$8,$E$9,$E$10,$E$12,$D144,$E$6,O$18,O$17)</f>
        <v>3.05270836</v>
      </c>
      <c r="P144" s="74">
        <f ca="1">_xll.DBRW($D$4,$E$7,$E$8,$E$9,$E$10,$E$12,$D144,$E$6,P$18,P$17)</f>
        <v>-1.5351505000000001</v>
      </c>
      <c r="Q144" s="16">
        <f ca="1">_xll.DBRW($D$4,$E$7,$E$8,$E$9,$E$10,$E$12,$D144,$E$6,Q$18,Q$17)</f>
        <v>0.50288148062725524</v>
      </c>
      <c r="R144" s="16"/>
      <c r="S144" s="16"/>
      <c r="T144" s="16"/>
      <c r="U144" s="16"/>
      <c r="V144" s="16">
        <f ca="1">_xll.DBRW($D$4,$E$7,$E$8,$E$9,$E$10,$E$12,$D144,$E$6,V$18,V$17)</f>
        <v>-0.31815592000000004</v>
      </c>
      <c r="W144" s="16">
        <f ca="1">_xll.DBRW($D$4,$E$7,$E$8,$E$9,$E$10,$E$12,$D144,$E$6,W$18,W$17)</f>
        <v>0.10422086962804401</v>
      </c>
      <c r="X144" s="16"/>
      <c r="Y144" s="16"/>
      <c r="Z144" s="16"/>
      <c r="AA144" s="16"/>
      <c r="AB144" s="16">
        <f ca="1">_xll.DBRW($D$4,$E$7,$E$8,$E$9,$E$10,$E$12,$D144,$E$6,AB$18,AB$17)</f>
        <v>-0.45554810999999995</v>
      </c>
      <c r="AC144" s="16">
        <f ca="1">_xll.DBRW($D$4,$E$7,$E$8,$E$9,$E$10,$E$12,$D144,$E$6,AC$18,AC$17)</f>
        <v>0.14922752398136058</v>
      </c>
      <c r="AD144" s="16"/>
      <c r="AE144" s="16"/>
      <c r="AF144" s="16"/>
      <c r="AG144" s="16"/>
      <c r="AH144" s="16">
        <f ca="1">_xll.DBRW($D$4,$E$7,$E$8,$E$9,$E$10,$E$12,$D144,$E$6,AH$18,AH$17)</f>
        <v>-7.370941999999997E-2</v>
      </c>
      <c r="AI144" s="16">
        <f ca="1">_xll.DBRW($D$4,$E$7,$E$8,$E$9,$E$10,$E$12,$D144,$E$6,AI$18,AI$17)</f>
        <v>2.4145581990675312E-2</v>
      </c>
      <c r="AJ144" s="16"/>
      <c r="AK144" s="16"/>
      <c r="AL144" s="16"/>
      <c r="AM144" s="16"/>
      <c r="AN144" s="16">
        <f ca="1">_xll.DBRW($D$4,$E$7,$E$8,$E$9,$E$10,$E$12,$D144,$E$6,AN$18,AN$17)</f>
        <v>-0.49569950000000002</v>
      </c>
      <c r="AO144" s="16">
        <f ca="1">_xll.DBRW($D$4,$E$7,$E$8,$E$9,$E$10,$E$12,$D144,$E$6,AO$18,AO$17)</f>
        <v>0.16238023471066199</v>
      </c>
      <c r="AP144" s="16"/>
      <c r="AQ144" s="16"/>
      <c r="AR144" s="16"/>
      <c r="AS144" s="16"/>
      <c r="AT144" s="16">
        <f ca="1">_xll.DBRW($D$4,$E$7,$E$8,$E$9,$E$10,$E$12,$D144,$E$6,AT$18,AT$17)</f>
        <v>7.4158999999999989E-2</v>
      </c>
      <c r="AU144" s="16">
        <f ca="1">_xll.DBRW($D$4,$E$7,$E$8,$E$9,$E$10,$E$12,$D144,$E$6,AU$18,AU$17)</f>
        <v>1.1119999999999999</v>
      </c>
      <c r="AV144" s="16">
        <f ca="1">_xll.DBRW($D$4,$E$7,$E$8,$E$9,$E$10,$E$12,$D144,$E$6,AV$18,AV$17)</f>
        <v>1.1119999999999999</v>
      </c>
      <c r="AW144" s="16">
        <f ca="1">_xll.DBRW($D$4,$E$7,$E$8,$E$9,$E$10,$E$12,$D144,$E$6,AW$18,AW$17)</f>
        <v>1.1119999999999999</v>
      </c>
      <c r="AX144" s="16">
        <f ca="1">_xll.DBRW($D$4,$E$7,$E$8,$E$9,$E$10,$E$12,$D144,$E$6,AX$18,AX$17)</f>
        <v>0.43509699999999996</v>
      </c>
      <c r="AY144" s="16">
        <f ca="1">_xll.DBRW($D$4,$E$7,$E$8,$E$9,$E$10,$E$12,$D144,$E$6,AY$18,AY$17)</f>
        <v>1.1119999999999999</v>
      </c>
      <c r="AZ144" s="16">
        <f ca="1">_xll.DBRW($D$4,$E$7,$E$8,$E$9,$E$10,$E$12,$D144,$E$6,AZ$18,AZ$17)</f>
        <v>0.91999999999999993</v>
      </c>
      <c r="BA144" s="16">
        <f ca="1">_xll.DBRW($D$4,$E$7,$E$8,$E$9,$E$10,$E$12,$D144,$E$6,BA$18,BA$17)</f>
        <v>1.1119999999999999</v>
      </c>
      <c r="BB144" s="16">
        <f ca="1">_xll.DBRW($D$4,$E$7,$E$8,$E$9,$E$10,$E$12,$D144,$E$6,BB$18,BB$17)</f>
        <v>1.1119999999999999</v>
      </c>
      <c r="BC144" s="16">
        <f ca="1">_xll.DBRW($D$4,$E$7,$E$8,$E$9,$E$10,$E$12,$D144,$E$6,BC$18,BC$17)</f>
        <v>1.1119999999999999</v>
      </c>
      <c r="BD144" s="16">
        <f ca="1">_xll.DBRW($D$4,$E$7,$E$8,$E$9,$E$10,$E$12,$D144,$E$6,BD$18,BD$17)</f>
        <v>-0.17252777361744154</v>
      </c>
      <c r="BE144" s="16">
        <f ca="1">_xll.DBRW($D$4,$E$7,$E$8,$E$9,$E$10,$E$12,$D144,$E$6,BE$18,BE$17)</f>
        <v>-0.23800524000000001</v>
      </c>
      <c r="BF144" s="16">
        <f ca="1">_xll.DBRW($D$4,$E$7,$E$8,$E$9,$E$10,$E$12,$D144,$E$6,BF$18,BF$17)</f>
        <v>0</v>
      </c>
      <c r="BG144" s="26">
        <f ca="1">_xll.DBRW($D$4,$E$7,$E$8,$E$9,$E$10,$E$12,$D144,$E$6,BG$18,BG$17)</f>
        <v>0</v>
      </c>
      <c r="BH144" s="26">
        <f ca="1">_xll.DBRW($D$4,$E$7,$E$8,$E$9,$E$10,$E$12,$D144,$E$6,BH$18,BH$17)</f>
        <v>0</v>
      </c>
      <c r="BI144" s="26">
        <f ca="1">_xll.DBRW($D$4,$E$7,$E$8,$E$9,$E$10,$E$12,$D144,$E$6,BI$18,BI$17)</f>
        <v>0</v>
      </c>
      <c r="BJ144" s="26">
        <f ca="1">_xll.DBRW($D$4,$E$7,$E$8,$E$9,$E$10,$E$12,$D144,$E$6,BJ$18,BJ$17)</f>
        <v>0</v>
      </c>
      <c r="BK144" s="16">
        <f ca="1">_xll.DBRW($D$4,$E$7,$E$8,$E$9,$E$10,$E$12,$D144,$E$6,BK$18,BK$17)</f>
        <v>6.5477466382558469E-2</v>
      </c>
      <c r="BL144" s="16">
        <f ca="1">_xll.DBRW($D$4,$E$7,$E$8,$E$9,$E$10,$E$12,$D144,$E$6,BL$18,BL$17)</f>
        <v>3.4411932324300003</v>
      </c>
      <c r="BM144" s="16">
        <f ca="1">_xll.DBRW($D$4,$E$7,$E$8,$E$9,$E$10,$E$12,$D144,$E$6,BM$18,BM$17)</f>
        <v>-1.7834309999999998</v>
      </c>
      <c r="BN144" s="16">
        <f ca="1">_xll.DBRW($D$4,$E$7,$E$8,$E$9,$E$10,$E$12,$D144,$E$6,BN$18,BN$17)</f>
        <v>0.51825947557749585</v>
      </c>
      <c r="BO144" s="16"/>
      <c r="BP144" s="16"/>
      <c r="BQ144" s="16"/>
      <c r="BR144" s="16"/>
      <c r="BS144" s="16">
        <f ca="1">_xll.DBRW($D$4,$E$7,$E$8,$E$9,$E$10,$E$12,$D144,$E$6,BS$18,BS$17)</f>
        <v>-0.38230011119247059</v>
      </c>
      <c r="BT144" s="16">
        <f ca="1">_xll.DBRW($D$4,$E$7,$E$8,$E$9,$E$10,$E$12,$D144,$E$6,BT$18,BT$17)</f>
        <v>0.11109521766742206</v>
      </c>
      <c r="BU144" s="16"/>
      <c r="BV144" s="16"/>
      <c r="BW144" s="16"/>
      <c r="BX144" s="16"/>
      <c r="BY144" s="16">
        <f ca="1">_xll.DBRW($D$4,$E$7,$E$8,$E$9,$E$10,$E$12,$D144,$E$6,BY$18,BY$17)</f>
        <v>-0.39605028485497079</v>
      </c>
      <c r="BZ144" s="16">
        <f ca="1">_xll.DBRW($D$4,$E$7,$E$8,$E$9,$E$10,$E$12,$D144,$E$6,BZ$18,BZ$17)</f>
        <v>0.11509097516598907</v>
      </c>
      <c r="CA144" s="16"/>
      <c r="CB144" s="16"/>
      <c r="CC144" s="16"/>
      <c r="CD144" s="16"/>
      <c r="CE144" s="16">
        <f ca="1">_xll.DBRW($D$4,$E$7,$E$8,$E$9,$E$10,$E$12,$D144,$E$6,CE$18,CE$17)</f>
        <v>-0.120889</v>
      </c>
      <c r="CF144" s="16">
        <f ca="1">_xll.DBRW($D$4,$E$7,$E$8,$E$9,$E$10,$E$12,$D144,$E$6,CF$18,CF$17)</f>
        <v>3.5129965635389261E-2</v>
      </c>
      <c r="CG144" s="16"/>
      <c r="CH144" s="16"/>
      <c r="CI144" s="16"/>
      <c r="CJ144" s="16"/>
      <c r="CK144" s="16">
        <f ca="1">_xll.DBRW($D$4,$E$7,$E$8,$E$9,$E$10,$E$12,$D144,$E$6,CK$18,CK$17)</f>
        <v>-0.69304536999999988</v>
      </c>
      <c r="CL144" s="16">
        <f ca="1">_xll.DBRW($D$4,$E$7,$E$8,$E$9,$E$10,$E$12,$D144,$E$6,CL$18,CL$17)</f>
        <v>0.20139681883269472</v>
      </c>
      <c r="CM144" s="16"/>
      <c r="CN144" s="16"/>
      <c r="CO144" s="16"/>
      <c r="CP144" s="16"/>
      <c r="CQ144" s="16">
        <f ca="1">_xll.DBRW($D$4,$E$7,$E$8,$E$9,$E$10,$E$12,$D144,$E$6,CQ$18,CQ$17)</f>
        <v>7.4486029999999995E-2</v>
      </c>
      <c r="CR144" s="16">
        <f ca="1">_xll.DBRW($D$4,$E$7,$E$8,$E$9,$E$10,$E$12,$D144,$E$6,CR$18,CR$17)</f>
        <v>1.24016732229477</v>
      </c>
      <c r="CS144" s="16">
        <f ca="1">_xll.DBRW($D$4,$E$7,$E$8,$E$9,$E$10,$E$12,$D144,$E$6,CS$18,CS$17)</f>
        <v>1.24016732229477</v>
      </c>
      <c r="CT144" s="16">
        <f ca="1">_xll.DBRW($D$4,$E$7,$E$8,$E$9,$E$10,$E$12,$D144,$E$6,CT$18,CT$17)</f>
        <v>1.24016732229477</v>
      </c>
      <c r="CU144" s="16">
        <f ca="1">_xll.DBRW($D$4,$E$7,$E$8,$E$9,$E$10,$E$12,$D144,$E$6,CU$18,CU$17)</f>
        <v>0.47734155098827297</v>
      </c>
      <c r="CV144" s="16">
        <f ca="1">_xll.DBRW($D$4,$E$7,$E$8,$E$9,$E$10,$E$12,$D144,$E$6,CV$18,CV$17)</f>
        <v>1.24016732229477</v>
      </c>
      <c r="CW144" s="16">
        <f ca="1">_xll.DBRW($D$4,$E$7,$E$8,$E$9,$E$10,$E$12,$D144,$E$6,CW$18,CW$17)</f>
        <v>1.0188443433559999</v>
      </c>
      <c r="CX144" s="16">
        <f ca="1">_xll.DBRW($D$4,$E$7,$E$8,$E$9,$E$10,$E$12,$D144,$E$6,CX$18,CX$17)</f>
        <v>1.24016732229477</v>
      </c>
      <c r="CY144" s="16">
        <f ca="1">_xll.DBRW($D$4,$E$7,$E$8,$E$9,$E$10,$E$12,$D144,$E$6,CY$18,CY$17)</f>
        <v>1.24016732229477</v>
      </c>
      <c r="CZ144" s="16">
        <f ca="1">_xll.DBRW($D$4,$E$7,$E$8,$E$9,$E$10,$E$12,$D144,$E$6,CZ$18,CZ$17)</f>
        <v>1.24016732229477</v>
      </c>
      <c r="DA144" s="26">
        <f t="shared" ca="1" si="108"/>
        <v>0.22616233361744198</v>
      </c>
      <c r="DB144" s="26">
        <f t="shared" ca="1" si="109"/>
        <v>0.11713122000000001</v>
      </c>
      <c r="DC144" s="26">
        <f t="shared" ca="1" si="110"/>
        <v>0</v>
      </c>
      <c r="DD144" s="26">
        <f t="shared" ca="1" si="111"/>
        <v>6.3670000000000005E-5</v>
      </c>
      <c r="DE144" s="26">
        <f t="shared" ca="1" si="112"/>
        <v>0</v>
      </c>
      <c r="DF144" s="26">
        <f t="shared" ca="1" si="113"/>
        <v>0</v>
      </c>
      <c r="DG144" s="26">
        <f t="shared" ca="1" si="114"/>
        <v>0</v>
      </c>
      <c r="DH144" s="26">
        <f t="shared" ca="1" si="115"/>
        <v>0.10896744361744198</v>
      </c>
      <c r="DI144" s="26">
        <f t="shared" ca="1" si="116"/>
        <v>-0.38848487243000029</v>
      </c>
      <c r="DJ144" s="26">
        <f t="shared" ca="1" si="117"/>
        <v>0.24828049999999968</v>
      </c>
      <c r="DK144" s="26">
        <f t="shared" ca="1" si="118"/>
        <v>-1.5377994950240614E-2</v>
      </c>
      <c r="DL144" s="26"/>
      <c r="DM144" s="26"/>
      <c r="DN144" s="26"/>
      <c r="DO144" s="26"/>
      <c r="DP144" s="26">
        <f t="shared" ca="1" si="119"/>
        <v>6.4144191192470557E-2</v>
      </c>
      <c r="DQ144" s="26">
        <f t="shared" ca="1" si="120"/>
        <v>-6.8743480393780448E-3</v>
      </c>
      <c r="DR144" s="26"/>
      <c r="DS144" s="26"/>
      <c r="DT144" s="26"/>
      <c r="DU144" s="26"/>
      <c r="DV144" s="26">
        <f t="shared" ca="1" si="121"/>
        <v>-5.949782514502916E-2</v>
      </c>
      <c r="DW144" s="26">
        <f t="shared" ca="1" si="122"/>
        <v>3.4136548815371509E-2</v>
      </c>
      <c r="DX144" s="26"/>
      <c r="DY144" s="26"/>
      <c r="DZ144" s="26"/>
      <c r="EA144" s="26"/>
      <c r="EB144" s="26">
        <f t="shared" ca="1" si="123"/>
        <v>4.7179580000000026E-2</v>
      </c>
      <c r="EC144" s="26">
        <f t="shared" ca="1" si="124"/>
        <v>-1.0984383644713949E-2</v>
      </c>
      <c r="ED144" s="26"/>
      <c r="EE144" s="26"/>
      <c r="EF144" s="26"/>
      <c r="EG144" s="26"/>
      <c r="EH144" s="26">
        <f t="shared" ca="1" si="125"/>
        <v>0.19734586999999987</v>
      </c>
      <c r="EI144" s="29">
        <f t="shared" ca="1" si="126"/>
        <v>-3.9016584122032738E-2</v>
      </c>
      <c r="EJ144" s="29"/>
      <c r="EK144" s="29"/>
      <c r="EL144" s="29"/>
      <c r="EM144" s="29"/>
      <c r="EN144" s="93"/>
      <c r="EO144" s="29"/>
      <c r="EP144" s="29"/>
      <c r="EQ144" s="29"/>
      <c r="ER144" s="29"/>
      <c r="ES144" s="29"/>
      <c r="ET144" s="29"/>
      <c r="EU144" s="93"/>
      <c r="EV144" s="29"/>
      <c r="EW144" s="29"/>
      <c r="EX144" s="29"/>
      <c r="EY144" s="29"/>
      <c r="EZ144" s="29"/>
      <c r="FA144" s="29"/>
      <c r="FB144" s="93"/>
      <c r="FC144" s="29"/>
      <c r="FD144" s="29"/>
      <c r="FE144" s="29"/>
      <c r="FF144" s="29"/>
      <c r="FG144" s="29"/>
      <c r="FH144" s="29"/>
      <c r="FI144" s="93"/>
      <c r="FJ144" s="29"/>
      <c r="FK144" s="29"/>
      <c r="FL144" s="29"/>
      <c r="FM144" s="29"/>
      <c r="FN144" s="29"/>
      <c r="FO144" s="29"/>
      <c r="FP144" s="93"/>
      <c r="FQ144" s="29"/>
      <c r="FR144" s="29"/>
      <c r="FS144" s="29"/>
      <c r="FT144" s="29"/>
      <c r="FU144" s="29"/>
      <c r="FV144" s="29"/>
    </row>
    <row r="145" spans="1:178" x14ac:dyDescent="0.25">
      <c r="A145" t="str">
        <f ca="1">IF(_xll.TM1RPTELISCONSOLIDATED($D$28,$D145),IF(_xll.TM1RPTELLEV($D$28,$D145)&lt;=3,_xll.TM1RPTELLEV($D$28,$D145),"D"),"N")</f>
        <v>N</v>
      </c>
      <c r="B145" t="str">
        <f ca="1">_xll.DBRA(Server&amp;"Management_organization",$D145,$B$27)</f>
        <v>L</v>
      </c>
      <c r="C145">
        <v>1</v>
      </c>
      <c r="D145" s="2" t="s">
        <v>195</v>
      </c>
      <c r="E145" s="26"/>
      <c r="F145" s="26"/>
      <c r="G145" s="16">
        <f ca="1">_xll.DBRW($D$4,$E$7,$E$8,$E$9,$E$10,$E$12,$D145,$E$6,G$18,G$17)</f>
        <v>0.23305289999999992</v>
      </c>
      <c r="H145" s="16">
        <f ca="1">_xll.DBRW($D$4,$E$7,$E$8,$E$9,$E$10,$E$12,$D145,$E$6,H$18,H$17)</f>
        <v>-3.9847260000000009E-2</v>
      </c>
      <c r="I145" s="16">
        <f ca="1">_xll.DBRW($D$4,$E$7,$E$8,$E$9,$E$10,$E$12,$D145,$E$6,I$18,I$17)</f>
        <v>0</v>
      </c>
      <c r="J145" s="26">
        <f ca="1">_xll.DBRW($D$4,$E$7,$E$8,$E$9,$E$10,$E$12,$D145,$E$6,J$18,J$17)</f>
        <v>0</v>
      </c>
      <c r="K145" s="26">
        <f ca="1">_xll.DBRW($D$4,$E$7,$E$8,$E$9,$E$10,$E$12,$D145,$E$6,K$18,K$17)</f>
        <v>0</v>
      </c>
      <c r="L145" s="26">
        <f ca="1">_xll.DBRW($D$4,$E$7,$E$8,$E$9,$E$10,$E$12,$D145,$E$6,L$18,L$17)</f>
        <v>0</v>
      </c>
      <c r="M145" s="26">
        <f ca="1">_xll.DBRW($D$4,$E$7,$E$8,$E$9,$E$10,$E$12,$D145,$E$6,M$18,M$17)</f>
        <v>0</v>
      </c>
      <c r="N145" s="16">
        <f ca="1">_xll.DBRW($D$4,$E$7,$E$8,$E$9,$E$10,$E$12,$D145,$E$6,N$18,N$17)</f>
        <v>0.27290015999999989</v>
      </c>
      <c r="O145" s="16">
        <f ca="1">_xll.DBRW($D$4,$E$7,$E$8,$E$9,$E$10,$E$12,$D145,$E$6,O$18,O$17)</f>
        <v>1.07403603</v>
      </c>
      <c r="P145" s="74">
        <f ca="1">_xll.DBRW($D$4,$E$7,$E$8,$E$9,$E$10,$E$12,$D145,$E$6,P$18,P$17)</f>
        <v>-0.33790158000000003</v>
      </c>
      <c r="Q145" s="16">
        <f ca="1">_xll.DBRW($D$4,$E$7,$E$8,$E$9,$E$10,$E$12,$D145,$E$6,Q$18,Q$17)</f>
        <v>0.31460916632377783</v>
      </c>
      <c r="R145" s="16"/>
      <c r="S145" s="16"/>
      <c r="T145" s="16"/>
      <c r="U145" s="16"/>
      <c r="V145" s="16">
        <f ca="1">_xll.DBRW($D$4,$E$7,$E$8,$E$9,$E$10,$E$12,$D145,$E$6,V$18,V$17)</f>
        <v>-3.1453530000000007E-2</v>
      </c>
      <c r="W145" s="16">
        <f ca="1">_xll.DBRW($D$4,$E$7,$E$8,$E$9,$E$10,$E$12,$D145,$E$6,W$18,W$17)</f>
        <v>2.9285358331973283E-2</v>
      </c>
      <c r="X145" s="16"/>
      <c r="Y145" s="16"/>
      <c r="Z145" s="16"/>
      <c r="AA145" s="16"/>
      <c r="AB145" s="16">
        <f ca="1">_xll.DBRW($D$4,$E$7,$E$8,$E$9,$E$10,$E$12,$D145,$E$6,AB$18,AB$17)</f>
        <v>-9.9799940000000004E-2</v>
      </c>
      <c r="AC145" s="16">
        <f ca="1">_xll.DBRW($D$4,$E$7,$E$8,$E$9,$E$10,$E$12,$D145,$E$6,AC$18,AC$17)</f>
        <v>9.2920476792570914E-2</v>
      </c>
      <c r="AD145" s="16"/>
      <c r="AE145" s="16"/>
      <c r="AF145" s="16"/>
      <c r="AG145" s="16"/>
      <c r="AH145" s="16">
        <f ca="1">_xll.DBRW($D$4,$E$7,$E$8,$E$9,$E$10,$E$12,$D145,$E$6,AH$18,AH$17)</f>
        <v>-8.6482720000000013E-2</v>
      </c>
      <c r="AI145" s="16">
        <f ca="1">_xll.DBRW($D$4,$E$7,$E$8,$E$9,$E$10,$E$12,$D145,$E$6,AI$18,AI$17)</f>
        <v>8.0521246573078201E-2</v>
      </c>
      <c r="AJ145" s="16"/>
      <c r="AK145" s="16"/>
      <c r="AL145" s="16"/>
      <c r="AM145" s="16"/>
      <c r="AN145" s="16">
        <f ca="1">_xll.DBRW($D$4,$E$7,$E$8,$E$9,$E$10,$E$12,$D145,$E$6,AN$18,AN$17)</f>
        <v>-0.2454981</v>
      </c>
      <c r="AO145" s="16">
        <f ca="1">_xll.DBRW($D$4,$E$7,$E$8,$E$9,$E$10,$E$12,$D145,$E$6,AO$18,AO$17)</f>
        <v>0.22857529276741301</v>
      </c>
      <c r="AP145" s="16"/>
      <c r="AQ145" s="16"/>
      <c r="AR145" s="16"/>
      <c r="AS145" s="16"/>
      <c r="AT145" s="16">
        <f ca="1">_xll.DBRW($D$4,$E$7,$E$8,$E$9,$E$10,$E$12,$D145,$E$6,AT$18,AT$17)</f>
        <v>1.5611E-2</v>
      </c>
      <c r="AU145" s="16">
        <f ca="1">_xll.DBRW($D$4,$E$7,$E$8,$E$9,$E$10,$E$12,$D145,$E$6,AU$18,AU$17)</f>
        <v>0.19711999999999999</v>
      </c>
      <c r="AV145" s="16">
        <f ca="1">_xll.DBRW($D$4,$E$7,$E$8,$E$9,$E$10,$E$12,$D145,$E$6,AV$18,AV$17)</f>
        <v>0.19711999999999999</v>
      </c>
      <c r="AW145" s="16">
        <f ca="1">_xll.DBRW($D$4,$E$7,$E$8,$E$9,$E$10,$E$12,$D145,$E$6,AW$18,AW$17)</f>
        <v>0.19711999999999999</v>
      </c>
      <c r="AX145" s="16">
        <f ca="1">_xll.DBRW($D$4,$E$7,$E$8,$E$9,$E$10,$E$12,$D145,$E$6,AX$18,AX$17)</f>
        <v>8.1993200000000016E-2</v>
      </c>
      <c r="AY145" s="16">
        <f ca="1">_xll.DBRW($D$4,$E$7,$E$8,$E$9,$E$10,$E$12,$D145,$E$6,AY$18,AY$17)</f>
        <v>0.19711999999999999</v>
      </c>
      <c r="AZ145" s="16">
        <f ca="1">_xll.DBRW($D$4,$E$7,$E$8,$E$9,$E$10,$E$12,$D145,$E$6,AZ$18,AZ$17)</f>
        <v>0.19701000000000002</v>
      </c>
      <c r="BA145" s="16">
        <f ca="1">_xll.DBRW($D$4,$E$7,$E$8,$E$9,$E$10,$E$12,$D145,$E$6,BA$18,BA$17)</f>
        <v>0.19711999999999999</v>
      </c>
      <c r="BB145" s="16">
        <f ca="1">_xll.DBRW($D$4,$E$7,$E$8,$E$9,$E$10,$E$12,$D145,$E$6,BB$18,BB$17)</f>
        <v>0.19711999999999999</v>
      </c>
      <c r="BC145" s="16">
        <f ca="1">_xll.DBRW($D$4,$E$7,$E$8,$E$9,$E$10,$E$12,$D145,$E$6,BC$18,BC$17)</f>
        <v>0.19711999999999999</v>
      </c>
      <c r="BD145" s="16">
        <f ca="1">_xll.DBRW($D$4,$E$7,$E$8,$E$9,$E$10,$E$12,$D145,$E$6,BD$18,BD$17)</f>
        <v>-1.5163650428739895E-2</v>
      </c>
      <c r="BE145" s="16">
        <f ca="1">_xll.DBRW($D$4,$E$7,$E$8,$E$9,$E$10,$E$12,$D145,$E$6,BE$18,BE$17)</f>
        <v>-7.1649710000000005E-2</v>
      </c>
      <c r="BF145" s="16">
        <f ca="1">_xll.DBRW($D$4,$E$7,$E$8,$E$9,$E$10,$E$12,$D145,$E$6,BF$18,BF$17)</f>
        <v>0</v>
      </c>
      <c r="BG145" s="26">
        <f ca="1">_xll.DBRW($D$4,$E$7,$E$8,$E$9,$E$10,$E$12,$D145,$E$6,BG$18,BG$17)</f>
        <v>0</v>
      </c>
      <c r="BH145" s="26">
        <f ca="1">_xll.DBRW($D$4,$E$7,$E$8,$E$9,$E$10,$E$12,$D145,$E$6,BH$18,BH$17)</f>
        <v>0</v>
      </c>
      <c r="BI145" s="26">
        <f ca="1">_xll.DBRW($D$4,$E$7,$E$8,$E$9,$E$10,$E$12,$D145,$E$6,BI$18,BI$17)</f>
        <v>0</v>
      </c>
      <c r="BJ145" s="26">
        <f ca="1">_xll.DBRW($D$4,$E$7,$E$8,$E$9,$E$10,$E$12,$D145,$E$6,BJ$18,BJ$17)</f>
        <v>0</v>
      </c>
      <c r="BK145" s="16">
        <f ca="1">_xll.DBRW($D$4,$E$7,$E$8,$E$9,$E$10,$E$12,$D145,$E$6,BK$18,BK$17)</f>
        <v>5.6486059571260107E-2</v>
      </c>
      <c r="BL145" s="16">
        <f ca="1">_xll.DBRW($D$4,$E$7,$E$8,$E$9,$E$10,$E$12,$D145,$E$6,BL$18,BL$17)</f>
        <v>1.00743932</v>
      </c>
      <c r="BM145" s="16">
        <f ca="1">_xll.DBRW($D$4,$E$7,$E$8,$E$9,$E$10,$E$12,$D145,$E$6,BM$18,BM$17)</f>
        <v>-0.36291699999999999</v>
      </c>
      <c r="BN145" s="16">
        <f ca="1">_xll.DBRW($D$4,$E$7,$E$8,$E$9,$E$10,$E$12,$D145,$E$6,BN$18,BN$17)</f>
        <v>0.36023708107799485</v>
      </c>
      <c r="BO145" s="16"/>
      <c r="BP145" s="16"/>
      <c r="BQ145" s="16"/>
      <c r="BR145" s="16"/>
      <c r="BS145" s="16">
        <f ca="1">_xll.DBRW($D$4,$E$7,$E$8,$E$9,$E$10,$E$12,$D145,$E$6,BS$18,BS$17)</f>
        <v>-0.10267699999999999</v>
      </c>
      <c r="BT145" s="16">
        <f ca="1">_xll.DBRW($D$4,$E$7,$E$8,$E$9,$E$10,$E$12,$D145,$E$6,BT$18,BT$17)</f>
        <v>0.10191879348127884</v>
      </c>
      <c r="BU145" s="16"/>
      <c r="BV145" s="16"/>
      <c r="BW145" s="16"/>
      <c r="BX145" s="16"/>
      <c r="BY145" s="16">
        <f ca="1">_xll.DBRW($D$4,$E$7,$E$8,$E$9,$E$10,$E$12,$D145,$E$6,BY$18,BY$17)</f>
        <v>-8.5082930428740017E-2</v>
      </c>
      <c r="BZ145" s="16">
        <f ca="1">_xll.DBRW($D$4,$E$7,$E$8,$E$9,$E$10,$E$12,$D145,$E$6,BZ$18,BZ$17)</f>
        <v>8.4454645296889952E-2</v>
      </c>
      <c r="CA145" s="16"/>
      <c r="CB145" s="16"/>
      <c r="CC145" s="16"/>
      <c r="CD145" s="16"/>
      <c r="CE145" s="16">
        <f ca="1">_xll.DBRW($D$4,$E$7,$E$8,$E$9,$E$10,$E$12,$D145,$E$6,CE$18,CE$17)</f>
        <v>-9.0632169999999984E-2</v>
      </c>
      <c r="CF145" s="16">
        <f ca="1">_xll.DBRW($D$4,$E$7,$E$8,$E$9,$E$10,$E$12,$D145,$E$6,CF$18,CF$17)</f>
        <v>8.9962907145613474E-2</v>
      </c>
      <c r="CG145" s="16"/>
      <c r="CH145" s="16"/>
      <c r="CI145" s="16"/>
      <c r="CJ145" s="16"/>
      <c r="CK145" s="16">
        <f ca="1">_xll.DBRW($D$4,$E$7,$E$8,$E$9,$E$10,$E$12,$D145,$E$6,CK$18,CK$17)</f>
        <v>-0.30964416000000006</v>
      </c>
      <c r="CL145" s="16">
        <f ca="1">_xll.DBRW($D$4,$E$7,$E$8,$E$9,$E$10,$E$12,$D145,$E$6,CL$18,CL$17)</f>
        <v>0.30735762824901458</v>
      </c>
      <c r="CM145" s="16"/>
      <c r="CN145" s="16"/>
      <c r="CO145" s="16"/>
      <c r="CP145" s="16"/>
      <c r="CQ145" s="16">
        <f ca="1">_xll.DBRW($D$4,$E$7,$E$8,$E$9,$E$10,$E$12,$D145,$E$6,CQ$18,CQ$17)</f>
        <v>1.7093999999999998E-2</v>
      </c>
      <c r="CR145" s="16">
        <f ca="1">_xll.DBRW($D$4,$E$7,$E$8,$E$9,$E$10,$E$12,$D145,$E$6,CR$18,CR$17)</f>
        <v>0.22588999999999998</v>
      </c>
      <c r="CS145" s="16">
        <f ca="1">_xll.DBRW($D$4,$E$7,$E$8,$E$9,$E$10,$E$12,$D145,$E$6,CS$18,CS$17)</f>
        <v>0.22588999999999998</v>
      </c>
      <c r="CT145" s="16">
        <f ca="1">_xll.DBRW($D$4,$E$7,$E$8,$E$9,$E$10,$E$12,$D145,$E$6,CT$18,CT$17)</f>
        <v>0.22588999999999998</v>
      </c>
      <c r="CU145" s="16">
        <f ca="1">_xll.DBRW($D$4,$E$7,$E$8,$E$9,$E$10,$E$12,$D145,$E$6,CU$18,CU$17)</f>
        <v>9.7829104200000003E-2</v>
      </c>
      <c r="CV145" s="16">
        <f ca="1">_xll.DBRW($D$4,$E$7,$E$8,$E$9,$E$10,$E$12,$D145,$E$6,CV$18,CV$17)</f>
        <v>0.22588999999999998</v>
      </c>
      <c r="CW145" s="16">
        <f ca="1">_xll.DBRW($D$4,$E$7,$E$8,$E$9,$E$10,$E$12,$D145,$E$6,CW$18,CW$17)</f>
        <v>0.21596999999999997</v>
      </c>
      <c r="CX145" s="16">
        <f ca="1">_xll.DBRW($D$4,$E$7,$E$8,$E$9,$E$10,$E$12,$D145,$E$6,CX$18,CX$17)</f>
        <v>0.22588999999999998</v>
      </c>
      <c r="CY145" s="16">
        <f ca="1">_xll.DBRW($D$4,$E$7,$E$8,$E$9,$E$10,$E$12,$D145,$E$6,CY$18,CY$17)</f>
        <v>0.22588999999999998</v>
      </c>
      <c r="CZ145" s="16">
        <f ca="1">_xll.DBRW($D$4,$E$7,$E$8,$E$9,$E$10,$E$12,$D145,$E$6,CZ$18,CZ$17)</f>
        <v>0.22588999999999998</v>
      </c>
      <c r="DA145" s="26">
        <f t="shared" ca="1" si="108"/>
        <v>0.24821655042873983</v>
      </c>
      <c r="DB145" s="26">
        <f t="shared" ca="1" si="109"/>
        <v>3.1802449999999996E-2</v>
      </c>
      <c r="DC145" s="26">
        <f t="shared" ca="1" si="110"/>
        <v>0</v>
      </c>
      <c r="DD145" s="26">
        <f t="shared" ca="1" si="111"/>
        <v>0</v>
      </c>
      <c r="DE145" s="26">
        <f t="shared" ca="1" si="112"/>
        <v>0</v>
      </c>
      <c r="DF145" s="26">
        <f t="shared" ca="1" si="113"/>
        <v>0</v>
      </c>
      <c r="DG145" s="26">
        <f t="shared" ca="1" si="114"/>
        <v>0</v>
      </c>
      <c r="DH145" s="26">
        <f t="shared" ca="1" si="115"/>
        <v>0.21641410042873979</v>
      </c>
      <c r="DI145" s="26">
        <f t="shared" ca="1" si="116"/>
        <v>6.6596710000000003E-2</v>
      </c>
      <c r="DJ145" s="26">
        <f t="shared" ca="1" si="117"/>
        <v>2.5015419999999955E-2</v>
      </c>
      <c r="DK145" s="26">
        <f t="shared" ca="1" si="118"/>
        <v>-4.5627914754217014E-2</v>
      </c>
      <c r="DL145" s="26"/>
      <c r="DM145" s="26"/>
      <c r="DN145" s="26"/>
      <c r="DO145" s="26"/>
      <c r="DP145" s="26">
        <f t="shared" ca="1" si="119"/>
        <v>7.1223469999999983E-2</v>
      </c>
      <c r="DQ145" s="26">
        <f t="shared" ca="1" si="120"/>
        <v>-7.2633435149305564E-2</v>
      </c>
      <c r="DR145" s="26"/>
      <c r="DS145" s="26"/>
      <c r="DT145" s="26"/>
      <c r="DU145" s="26"/>
      <c r="DV145" s="26">
        <f t="shared" ca="1" si="121"/>
        <v>-1.4717009571259987E-2</v>
      </c>
      <c r="DW145" s="26">
        <f t="shared" ca="1" si="122"/>
        <v>8.4658314956809616E-3</v>
      </c>
      <c r="DX145" s="26"/>
      <c r="DY145" s="26"/>
      <c r="DZ145" s="26"/>
      <c r="EA145" s="26"/>
      <c r="EB145" s="26">
        <f t="shared" ca="1" si="123"/>
        <v>4.1494499999999712E-3</v>
      </c>
      <c r="EC145" s="26">
        <f t="shared" ca="1" si="124"/>
        <v>-9.4416605725352737E-3</v>
      </c>
      <c r="ED145" s="26"/>
      <c r="EE145" s="26"/>
      <c r="EF145" s="26"/>
      <c r="EG145" s="26"/>
      <c r="EH145" s="26">
        <f t="shared" ca="1" si="125"/>
        <v>6.414606000000006E-2</v>
      </c>
      <c r="EI145" s="29">
        <f t="shared" ca="1" si="126"/>
        <v>-7.8782335481601573E-2</v>
      </c>
      <c r="EJ145" s="29"/>
      <c r="EK145" s="29"/>
      <c r="EL145" s="29"/>
      <c r="EM145" s="29"/>
      <c r="EN145" s="93"/>
      <c r="EO145" s="29"/>
      <c r="EP145" s="29"/>
      <c r="EQ145" s="29"/>
      <c r="ER145" s="29"/>
      <c r="ES145" s="29"/>
      <c r="ET145" s="29"/>
      <c r="EU145" s="93"/>
      <c r="EV145" s="29"/>
      <c r="EW145" s="29"/>
      <c r="EX145" s="29"/>
      <c r="EY145" s="29"/>
      <c r="EZ145" s="29"/>
      <c r="FA145" s="29"/>
      <c r="FB145" s="93"/>
      <c r="FC145" s="29"/>
      <c r="FD145" s="29"/>
      <c r="FE145" s="29"/>
      <c r="FF145" s="29"/>
      <c r="FG145" s="29"/>
      <c r="FH145" s="29"/>
      <c r="FI145" s="93"/>
      <c r="FJ145" s="29"/>
      <c r="FK145" s="29"/>
      <c r="FL145" s="29"/>
      <c r="FM145" s="29"/>
      <c r="FN145" s="29"/>
      <c r="FO145" s="29"/>
      <c r="FP145" s="93"/>
      <c r="FQ145" s="29"/>
      <c r="FR145" s="29"/>
      <c r="FS145" s="29"/>
      <c r="FT145" s="29"/>
      <c r="FU145" s="29"/>
      <c r="FV145" s="29"/>
    </row>
    <row r="146" spans="1:178" x14ac:dyDescent="0.25">
      <c r="A146" t="str">
        <f ca="1">IF(_xll.TM1RPTELISCONSOLIDATED($D$28,$D146),IF(_xll.TM1RPTELLEV($D$28,$D146)&lt;=3,_xll.TM1RPTELLEV($D$28,$D146),"D"),"N")</f>
        <v>N</v>
      </c>
      <c r="B146" t="str">
        <f ca="1">_xll.DBRA(Server&amp;"Management_organization",$D146,$B$27)</f>
        <v>L</v>
      </c>
      <c r="C146">
        <v>1</v>
      </c>
      <c r="D146" s="2" t="s">
        <v>196</v>
      </c>
      <c r="E146" s="26"/>
      <c r="F146" s="26"/>
      <c r="G146" s="16">
        <f ca="1">_xll.DBRW($D$4,$E$7,$E$8,$E$9,$E$10,$E$12,$D146,$E$6,G$18,G$17)</f>
        <v>-8.7458459999999988E-2</v>
      </c>
      <c r="H146" s="16">
        <f ca="1">_xll.DBRW($D$4,$E$7,$E$8,$E$9,$E$10,$E$12,$D146,$E$6,H$18,H$17)</f>
        <v>-0.16007575999999998</v>
      </c>
      <c r="I146" s="16">
        <f ca="1">_xll.DBRW($D$4,$E$7,$E$8,$E$9,$E$10,$E$12,$D146,$E$6,I$18,I$17)</f>
        <v>0</v>
      </c>
      <c r="J146" s="26">
        <f ca="1">_xll.DBRW($D$4,$E$7,$E$8,$E$9,$E$10,$E$12,$D146,$E$6,J$18,J$17)</f>
        <v>-2.3599999999999999E-4</v>
      </c>
      <c r="K146" s="26">
        <f ca="1">_xll.DBRW($D$4,$E$7,$E$8,$E$9,$E$10,$E$12,$D146,$E$6,K$18,K$17)</f>
        <v>0</v>
      </c>
      <c r="L146" s="26">
        <f ca="1">_xll.DBRW($D$4,$E$7,$E$8,$E$9,$E$10,$E$12,$D146,$E$6,L$18,L$17)</f>
        <v>0</v>
      </c>
      <c r="M146" s="26">
        <f ca="1">_xll.DBRW($D$4,$E$7,$E$8,$E$9,$E$10,$E$12,$D146,$E$6,M$18,M$17)</f>
        <v>0</v>
      </c>
      <c r="N146" s="16">
        <f ca="1">_xll.DBRW($D$4,$E$7,$E$8,$E$9,$E$10,$E$12,$D146,$E$6,N$18,N$17)</f>
        <v>7.2853299999999996E-2</v>
      </c>
      <c r="O146" s="16">
        <f ca="1">_xll.DBRW($D$4,$E$7,$E$8,$E$9,$E$10,$E$12,$D146,$E$6,O$18,O$17)</f>
        <v>3.7480293099999997</v>
      </c>
      <c r="P146" s="74">
        <f ca="1">_xll.DBRW($D$4,$E$7,$E$8,$E$9,$E$10,$E$12,$D146,$E$6,P$18,P$17)</f>
        <v>-1.40608216</v>
      </c>
      <c r="Q146" s="16">
        <f ca="1">_xll.DBRW($D$4,$E$7,$E$8,$E$9,$E$10,$E$12,$D146,$E$6,Q$18,Q$17)</f>
        <v>0.37515239175117338</v>
      </c>
      <c r="R146" s="16"/>
      <c r="S146" s="16"/>
      <c r="T146" s="16"/>
      <c r="U146" s="16"/>
      <c r="V146" s="16">
        <f ca="1">_xll.DBRW($D$4,$E$7,$E$8,$E$9,$E$10,$E$12,$D146,$E$6,V$18,V$17)</f>
        <v>-0.39705775999999998</v>
      </c>
      <c r="W146" s="16">
        <f ca="1">_xll.DBRW($D$4,$E$7,$E$8,$E$9,$E$10,$E$12,$D146,$E$6,W$18,W$17)</f>
        <v>0.10593774145272093</v>
      </c>
      <c r="X146" s="16"/>
      <c r="Y146" s="16"/>
      <c r="Z146" s="16"/>
      <c r="AA146" s="16"/>
      <c r="AB146" s="16">
        <f ca="1">_xll.DBRW($D$4,$E$7,$E$8,$E$9,$E$10,$E$12,$D146,$E$6,AB$18,AB$17)</f>
        <v>-0.36602410999999996</v>
      </c>
      <c r="AC146" s="16">
        <f ca="1">_xll.DBRW($D$4,$E$7,$E$8,$E$9,$E$10,$E$12,$D146,$E$6,AC$18,AC$17)</f>
        <v>9.7657750173783989E-2</v>
      </c>
      <c r="AD146" s="16"/>
      <c r="AE146" s="16"/>
      <c r="AF146" s="16"/>
      <c r="AG146" s="16"/>
      <c r="AH146" s="16">
        <f ca="1">_xll.DBRW($D$4,$E$7,$E$8,$E$9,$E$10,$E$12,$D146,$E$6,AH$18,AH$17)</f>
        <v>-0.61336807999999998</v>
      </c>
      <c r="AI146" s="16">
        <f ca="1">_xll.DBRW($D$4,$E$7,$E$8,$E$9,$E$10,$E$12,$D146,$E$6,AI$18,AI$17)</f>
        <v>0.1636508226772645</v>
      </c>
      <c r="AJ146" s="16"/>
      <c r="AK146" s="16"/>
      <c r="AL146" s="16"/>
      <c r="AM146" s="16"/>
      <c r="AN146" s="16">
        <f ca="1">_xll.DBRW($D$4,$E$7,$E$8,$E$9,$E$10,$E$12,$D146,$E$6,AN$18,AN$17)</f>
        <v>-0.89264390000000016</v>
      </c>
      <c r="AO146" s="16">
        <f ca="1">_xll.DBRW($D$4,$E$7,$E$8,$E$9,$E$10,$E$12,$D146,$E$6,AO$18,AO$17)</f>
        <v>0.23816353239777632</v>
      </c>
      <c r="AP146" s="16"/>
      <c r="AQ146" s="16"/>
      <c r="AR146" s="16"/>
      <c r="AS146" s="16"/>
      <c r="AT146" s="16">
        <f ca="1">_xll.DBRW($D$4,$E$7,$E$8,$E$9,$E$10,$E$12,$D146,$E$6,AT$18,AT$17)</f>
        <v>7.6270999999999992E-2</v>
      </c>
      <c r="AU146" s="16">
        <f ca="1">_xll.DBRW($D$4,$E$7,$E$8,$E$9,$E$10,$E$12,$D146,$E$6,AU$18,AU$17)</f>
        <v>1.21512</v>
      </c>
      <c r="AV146" s="16">
        <f ca="1">_xll.DBRW($D$4,$E$7,$E$8,$E$9,$E$10,$E$12,$D146,$E$6,AV$18,AV$17)</f>
        <v>1.21512</v>
      </c>
      <c r="AW146" s="16">
        <f ca="1">_xll.DBRW($D$4,$E$7,$E$8,$E$9,$E$10,$E$12,$D146,$E$6,AW$18,AW$17)</f>
        <v>1.21512</v>
      </c>
      <c r="AX146" s="16">
        <f ca="1">_xll.DBRW($D$4,$E$7,$E$8,$E$9,$E$10,$E$12,$D146,$E$6,AX$18,AX$17)</f>
        <v>0.49954100000000001</v>
      </c>
      <c r="AY146" s="16">
        <f ca="1">_xll.DBRW($D$4,$E$7,$E$8,$E$9,$E$10,$E$12,$D146,$E$6,AY$18,AY$17)</f>
        <v>1.21512</v>
      </c>
      <c r="AZ146" s="16">
        <f ca="1">_xll.DBRW($D$4,$E$7,$E$8,$E$9,$E$10,$E$12,$D146,$E$6,AZ$18,AZ$17)</f>
        <v>1.0968199999999999</v>
      </c>
      <c r="BA146" s="16">
        <f ca="1">_xll.DBRW($D$4,$E$7,$E$8,$E$9,$E$10,$E$12,$D146,$E$6,BA$18,BA$17)</f>
        <v>1.21512</v>
      </c>
      <c r="BB146" s="16">
        <f ca="1">_xll.DBRW($D$4,$E$7,$E$8,$E$9,$E$10,$E$12,$D146,$E$6,BB$18,BB$17)</f>
        <v>1.21512</v>
      </c>
      <c r="BC146" s="16">
        <f ca="1">_xll.DBRW($D$4,$E$7,$E$8,$E$9,$E$10,$E$12,$D146,$E$6,BC$18,BC$17)</f>
        <v>1.21512</v>
      </c>
      <c r="BD146" s="16">
        <f ca="1">_xll.DBRW($D$4,$E$7,$E$8,$E$9,$E$10,$E$12,$D146,$E$6,BD$18,BD$17)</f>
        <v>-0.43198913568799946</v>
      </c>
      <c r="BE146" s="16">
        <f ca="1">_xll.DBRW($D$4,$E$7,$E$8,$E$9,$E$10,$E$12,$D146,$E$6,BE$18,BE$17)</f>
        <v>-0.17276742999999994</v>
      </c>
      <c r="BF146" s="16">
        <f ca="1">_xll.DBRW($D$4,$E$7,$E$8,$E$9,$E$10,$E$12,$D146,$E$6,BF$18,BF$17)</f>
        <v>0</v>
      </c>
      <c r="BG146" s="26">
        <f ca="1">_xll.DBRW($D$4,$E$7,$E$8,$E$9,$E$10,$E$12,$D146,$E$6,BG$18,BG$17)</f>
        <v>0</v>
      </c>
      <c r="BH146" s="26">
        <f ca="1">_xll.DBRW($D$4,$E$7,$E$8,$E$9,$E$10,$E$12,$D146,$E$6,BH$18,BH$17)</f>
        <v>0</v>
      </c>
      <c r="BI146" s="26">
        <f ca="1">_xll.DBRW($D$4,$E$7,$E$8,$E$9,$E$10,$E$12,$D146,$E$6,BI$18,BI$17)</f>
        <v>0</v>
      </c>
      <c r="BJ146" s="26">
        <f ca="1">_xll.DBRW($D$4,$E$7,$E$8,$E$9,$E$10,$E$12,$D146,$E$6,BJ$18,BJ$17)</f>
        <v>0</v>
      </c>
      <c r="BK146" s="16">
        <f ca="1">_xll.DBRW($D$4,$E$7,$E$8,$E$9,$E$10,$E$12,$D146,$E$6,BK$18,BK$17)</f>
        <v>-0.25922170568799952</v>
      </c>
      <c r="BL146" s="16">
        <f ca="1">_xll.DBRW($D$4,$E$7,$E$8,$E$9,$E$10,$E$12,$D146,$E$6,BL$18,BL$17)</f>
        <v>2.4645566899999998</v>
      </c>
      <c r="BM146" s="16">
        <f ca="1">_xll.DBRW($D$4,$E$7,$E$8,$E$9,$E$10,$E$12,$D146,$E$6,BM$18,BM$17)</f>
        <v>-0.93783631000000001</v>
      </c>
      <c r="BN146" s="16">
        <f ca="1">_xll.DBRW($D$4,$E$7,$E$8,$E$9,$E$10,$E$12,$D146,$E$6,BN$18,BN$17)</f>
        <v>0.38052941277646168</v>
      </c>
      <c r="BO146" s="16"/>
      <c r="BP146" s="16"/>
      <c r="BQ146" s="16"/>
      <c r="BR146" s="16"/>
      <c r="BS146" s="16">
        <f ca="1">_xll.DBRW($D$4,$E$7,$E$8,$E$9,$E$10,$E$12,$D146,$E$6,BS$18,BS$17)</f>
        <v>-0.33941809999999994</v>
      </c>
      <c r="BT146" s="16">
        <f ca="1">_xll.DBRW($D$4,$E$7,$E$8,$E$9,$E$10,$E$12,$D146,$E$6,BT$18,BT$17)</f>
        <v>0.13771973733742759</v>
      </c>
      <c r="BU146" s="16"/>
      <c r="BV146" s="16"/>
      <c r="BW146" s="16"/>
      <c r="BX146" s="16"/>
      <c r="BY146" s="16">
        <f ca="1">_xll.DBRW($D$4,$E$7,$E$8,$E$9,$E$10,$E$12,$D146,$E$6,BY$18,BY$17)</f>
        <v>-0.25850763568800006</v>
      </c>
      <c r="BZ146" s="16">
        <f ca="1">_xll.DBRW($D$4,$E$7,$E$8,$E$9,$E$10,$E$12,$D146,$E$6,BZ$18,BZ$17)</f>
        <v>0.10489011542599172</v>
      </c>
      <c r="CA146" s="16"/>
      <c r="CB146" s="16"/>
      <c r="CC146" s="16"/>
      <c r="CD146" s="16"/>
      <c r="CE146" s="16">
        <f ca="1">_xll.DBRW($D$4,$E$7,$E$8,$E$9,$E$10,$E$12,$D146,$E$6,CE$18,CE$17)</f>
        <v>-0.49913028999999987</v>
      </c>
      <c r="CF146" s="16">
        <f ca="1">_xll.DBRW($D$4,$E$7,$E$8,$E$9,$E$10,$E$12,$D146,$E$6,CF$18,CF$17)</f>
        <v>0.202523355224586</v>
      </c>
      <c r="CG146" s="16"/>
      <c r="CH146" s="16"/>
      <c r="CI146" s="16"/>
      <c r="CJ146" s="16"/>
      <c r="CK146" s="16">
        <f ca="1">_xll.DBRW($D$4,$E$7,$E$8,$E$9,$E$10,$E$12,$D146,$E$6,CK$18,CK$17)</f>
        <v>-0.68888606000000008</v>
      </c>
      <c r="CL146" s="16">
        <f ca="1">_xll.DBRW($D$4,$E$7,$E$8,$E$9,$E$10,$E$12,$D146,$E$6,CL$18,CL$17)</f>
        <v>0.27951723033808573</v>
      </c>
      <c r="CM146" s="16"/>
      <c r="CN146" s="16"/>
      <c r="CO146" s="16"/>
      <c r="CP146" s="16"/>
      <c r="CQ146" s="16">
        <f ca="1">_xll.DBRW($D$4,$E$7,$E$8,$E$9,$E$10,$E$12,$D146,$E$6,CQ$18,CQ$17)</f>
        <v>4.4091999999999999E-2</v>
      </c>
      <c r="CR146" s="16">
        <f ca="1">_xll.DBRW($D$4,$E$7,$E$8,$E$9,$E$10,$E$12,$D146,$E$6,CR$18,CR$17)</f>
        <v>0.75429000000000002</v>
      </c>
      <c r="CS146" s="16">
        <f ca="1">_xll.DBRW($D$4,$E$7,$E$8,$E$9,$E$10,$E$12,$D146,$E$6,CS$18,CS$17)</f>
        <v>0.75429000000000002</v>
      </c>
      <c r="CT146" s="16">
        <f ca="1">_xll.DBRW($D$4,$E$7,$E$8,$E$9,$E$10,$E$12,$D146,$E$6,CT$18,CT$17)</f>
        <v>0.75429000000000002</v>
      </c>
      <c r="CU146" s="16">
        <f ca="1">_xll.DBRW($D$4,$E$7,$E$8,$E$9,$E$10,$E$12,$D146,$E$6,CU$18,CU$17)</f>
        <v>0.30018230000000001</v>
      </c>
      <c r="CV146" s="16">
        <f ca="1">_xll.DBRW($D$4,$E$7,$E$8,$E$9,$E$10,$E$12,$D146,$E$6,CV$18,CV$17)</f>
        <v>0.75429000000000002</v>
      </c>
      <c r="CW146" s="16">
        <f ca="1">_xll.DBRW($D$4,$E$7,$E$8,$E$9,$E$10,$E$12,$D146,$E$6,CW$18,CW$17)</f>
        <v>0.52376</v>
      </c>
      <c r="CX146" s="16">
        <f ca="1">_xll.DBRW($D$4,$E$7,$E$8,$E$9,$E$10,$E$12,$D146,$E$6,CX$18,CX$17)</f>
        <v>0.75429000000000002</v>
      </c>
      <c r="CY146" s="16">
        <f ca="1">_xll.DBRW($D$4,$E$7,$E$8,$E$9,$E$10,$E$12,$D146,$E$6,CY$18,CY$17)</f>
        <v>0.75429000000000002</v>
      </c>
      <c r="CZ146" s="16">
        <f ca="1">_xll.DBRW($D$4,$E$7,$E$8,$E$9,$E$10,$E$12,$D146,$E$6,CZ$18,CZ$17)</f>
        <v>0.75429000000000002</v>
      </c>
      <c r="DA146" s="26">
        <f t="shared" ca="1" si="108"/>
        <v>0.34453067568799944</v>
      </c>
      <c r="DB146" s="26">
        <f t="shared" ca="1" si="109"/>
        <v>1.269166999999996E-2</v>
      </c>
      <c r="DC146" s="26">
        <f t="shared" ca="1" si="110"/>
        <v>0</v>
      </c>
      <c r="DD146" s="26">
        <f t="shared" ca="1" si="111"/>
        <v>-2.3599999999999999E-4</v>
      </c>
      <c r="DE146" s="26">
        <f t="shared" ca="1" si="112"/>
        <v>0</v>
      </c>
      <c r="DF146" s="26">
        <f t="shared" ca="1" si="113"/>
        <v>0</v>
      </c>
      <c r="DG146" s="26">
        <f t="shared" ca="1" si="114"/>
        <v>0</v>
      </c>
      <c r="DH146" s="26">
        <f t="shared" ca="1" si="115"/>
        <v>0.33207500568799952</v>
      </c>
      <c r="DI146" s="26">
        <f t="shared" ca="1" si="116"/>
        <v>1.28347262</v>
      </c>
      <c r="DJ146" s="26">
        <f t="shared" ca="1" si="117"/>
        <v>-0.46824584999999996</v>
      </c>
      <c r="DK146" s="26">
        <f t="shared" ca="1" si="118"/>
        <v>-5.3770210252883088E-3</v>
      </c>
      <c r="DL146" s="26"/>
      <c r="DM146" s="26"/>
      <c r="DN146" s="26"/>
      <c r="DO146" s="26"/>
      <c r="DP146" s="26">
        <f t="shared" ca="1" si="119"/>
        <v>-5.7639660000000037E-2</v>
      </c>
      <c r="DQ146" s="26">
        <f t="shared" ca="1" si="120"/>
        <v>-3.1781995884706662E-2</v>
      </c>
      <c r="DR146" s="26"/>
      <c r="DS146" s="26"/>
      <c r="DT146" s="26"/>
      <c r="DU146" s="26"/>
      <c r="DV146" s="26">
        <f t="shared" ca="1" si="121"/>
        <v>-0.1075164743119999</v>
      </c>
      <c r="DW146" s="26">
        <f t="shared" ca="1" si="122"/>
        <v>-7.2323652522077314E-3</v>
      </c>
      <c r="DX146" s="26"/>
      <c r="DY146" s="26"/>
      <c r="DZ146" s="26"/>
      <c r="EA146" s="26"/>
      <c r="EB146" s="26">
        <f t="shared" ca="1" si="123"/>
        <v>-0.11423779000000012</v>
      </c>
      <c r="EC146" s="26">
        <f t="shared" ca="1" si="124"/>
        <v>-3.8872532547321509E-2</v>
      </c>
      <c r="ED146" s="26"/>
      <c r="EE146" s="26"/>
      <c r="EF146" s="26"/>
      <c r="EG146" s="26"/>
      <c r="EH146" s="26">
        <f t="shared" ca="1" si="125"/>
        <v>-0.20375784000000008</v>
      </c>
      <c r="EI146" s="29">
        <f t="shared" ca="1" si="126"/>
        <v>-4.1353697940309408E-2</v>
      </c>
      <c r="EJ146" s="29"/>
      <c r="EK146" s="29"/>
      <c r="EL146" s="29"/>
      <c r="EM146" s="29"/>
      <c r="EN146" s="93"/>
      <c r="EO146" s="29"/>
      <c r="EP146" s="29"/>
      <c r="EQ146" s="29"/>
      <c r="ER146" s="29"/>
      <c r="ES146" s="29"/>
      <c r="ET146" s="29"/>
      <c r="EU146" s="93"/>
      <c r="EV146" s="29"/>
      <c r="EW146" s="29"/>
      <c r="EX146" s="29"/>
      <c r="EY146" s="29"/>
      <c r="EZ146" s="29"/>
      <c r="FA146" s="29"/>
      <c r="FB146" s="93"/>
      <c r="FC146" s="29"/>
      <c r="FD146" s="29"/>
      <c r="FE146" s="29"/>
      <c r="FF146" s="29"/>
      <c r="FG146" s="29"/>
      <c r="FH146" s="29"/>
      <c r="FI146" s="93"/>
      <c r="FJ146" s="29"/>
      <c r="FK146" s="29"/>
      <c r="FL146" s="29"/>
      <c r="FM146" s="29"/>
      <c r="FN146" s="29"/>
      <c r="FO146" s="29"/>
      <c r="FP146" s="93"/>
      <c r="FQ146" s="29"/>
      <c r="FR146" s="29"/>
      <c r="FS146" s="29"/>
      <c r="FT146" s="29"/>
      <c r="FU146" s="29"/>
      <c r="FV146" s="29"/>
    </row>
    <row r="147" spans="1:178" x14ac:dyDescent="0.25">
      <c r="A147" t="str">
        <f ca="1">IF(_xll.TM1RPTELISCONSOLIDATED($D$28,$D147),IF(_xll.TM1RPTELLEV($D$28,$D147)&lt;=3,_xll.TM1RPTELLEV($D$28,$D147),"D"),"N")</f>
        <v>N</v>
      </c>
      <c r="B147" t="str">
        <f ca="1">_xll.DBRA(Server&amp;"Management_organization",$D147,$B$27)</f>
        <v>L</v>
      </c>
      <c r="C147">
        <v>1</v>
      </c>
      <c r="D147" s="2" t="s">
        <v>197</v>
      </c>
      <c r="E147" s="26"/>
      <c r="F147" s="26"/>
      <c r="G147" s="16">
        <f ca="1">_xll.DBRW($D$4,$E$7,$E$8,$E$9,$E$10,$E$12,$D147,$E$6,G$18,G$17)</f>
        <v>-0.10922570999999642</v>
      </c>
      <c r="H147" s="16">
        <f ca="1">_xll.DBRW($D$4,$E$7,$E$8,$E$9,$E$10,$E$12,$D147,$E$6,H$18,H$17)</f>
        <v>-0.5843112399999999</v>
      </c>
      <c r="I147" s="16">
        <f ca="1">_xll.DBRW($D$4,$E$7,$E$8,$E$9,$E$10,$E$12,$D147,$E$6,I$18,I$17)</f>
        <v>0</v>
      </c>
      <c r="J147" s="26">
        <f ca="1">_xll.DBRW($D$4,$E$7,$E$8,$E$9,$E$10,$E$12,$D147,$E$6,J$18,J$17)</f>
        <v>0</v>
      </c>
      <c r="K147" s="26">
        <f ca="1">_xll.DBRW($D$4,$E$7,$E$8,$E$9,$E$10,$E$12,$D147,$E$6,K$18,K$17)</f>
        <v>0</v>
      </c>
      <c r="L147" s="26">
        <f ca="1">_xll.DBRW($D$4,$E$7,$E$8,$E$9,$E$10,$E$12,$D147,$E$6,L$18,L$17)</f>
        <v>0</v>
      </c>
      <c r="M147" s="26">
        <f ca="1">_xll.DBRW($D$4,$E$7,$E$8,$E$9,$E$10,$E$12,$D147,$E$6,M$18,M$17)</f>
        <v>0</v>
      </c>
      <c r="N147" s="16">
        <f ca="1">_xll.DBRW($D$4,$E$7,$E$8,$E$9,$E$10,$E$12,$D147,$E$6,N$18,N$17)</f>
        <v>0.47508553000000342</v>
      </c>
      <c r="O147" s="16">
        <f ca="1">_xll.DBRW($D$4,$E$7,$E$8,$E$9,$E$10,$E$12,$D147,$E$6,O$18,O$17)</f>
        <v>11.973941130000002</v>
      </c>
      <c r="P147" s="74">
        <f ca="1">_xll.DBRW($D$4,$E$7,$E$8,$E$9,$E$10,$E$12,$D147,$E$6,P$18,P$17)</f>
        <v>-4.6923685099999997</v>
      </c>
      <c r="Q147" s="16">
        <f ca="1">_xll.DBRW($D$4,$E$7,$E$8,$E$9,$E$10,$E$12,$D147,$E$6,Q$18,Q$17)</f>
        <v>0.3918817087085511</v>
      </c>
      <c r="R147" s="16"/>
      <c r="S147" s="16"/>
      <c r="T147" s="16"/>
      <c r="U147" s="16"/>
      <c r="V147" s="16">
        <f ca="1">_xll.DBRW($D$4,$E$7,$E$8,$E$9,$E$10,$E$12,$D147,$E$6,V$18,V$17)</f>
        <v>-1.7006062500000003</v>
      </c>
      <c r="W147" s="16">
        <f ca="1">_xll.DBRW($D$4,$E$7,$E$8,$E$9,$E$10,$E$12,$D147,$E$6,W$18,W$17)</f>
        <v>0.14202560640115658</v>
      </c>
      <c r="X147" s="16"/>
      <c r="Y147" s="16"/>
      <c r="Z147" s="16"/>
      <c r="AA147" s="16"/>
      <c r="AB147" s="16">
        <f ca="1">_xll.DBRW($D$4,$E$7,$E$8,$E$9,$E$10,$E$12,$D147,$E$6,AB$18,AB$17)</f>
        <v>-1.1723511</v>
      </c>
      <c r="AC147" s="16">
        <f ca="1">_xll.DBRW($D$4,$E$7,$E$8,$E$9,$E$10,$E$12,$D147,$E$6,AC$18,AC$17)</f>
        <v>9.790854049405201E-2</v>
      </c>
      <c r="AD147" s="16"/>
      <c r="AE147" s="16"/>
      <c r="AF147" s="16"/>
      <c r="AG147" s="16"/>
      <c r="AH147" s="16">
        <f ca="1">_xll.DBRW($D$4,$E$7,$E$8,$E$9,$E$10,$E$12,$D147,$E$6,AH$18,AH$17)</f>
        <v>-1.3640293700000001</v>
      </c>
      <c r="AI147" s="16">
        <f ca="1">_xll.DBRW($D$4,$E$7,$E$8,$E$9,$E$10,$E$12,$D147,$E$6,AI$18,AI$17)</f>
        <v>0.11391649208818182</v>
      </c>
      <c r="AJ147" s="16"/>
      <c r="AK147" s="16"/>
      <c r="AL147" s="16"/>
      <c r="AM147" s="16"/>
      <c r="AN147" s="16">
        <f ca="1">_xll.DBRW($D$4,$E$7,$E$8,$E$9,$E$10,$E$12,$D147,$E$6,AN$18,AN$17)</f>
        <v>-2.5695003699999996</v>
      </c>
      <c r="AO147" s="16">
        <f ca="1">_xll.DBRW($D$4,$E$7,$E$8,$E$9,$E$10,$E$12,$D147,$E$6,AO$18,AO$17)</f>
        <v>0.21459103081459691</v>
      </c>
      <c r="AP147" s="16"/>
      <c r="AQ147" s="16"/>
      <c r="AR147" s="16"/>
      <c r="AS147" s="16"/>
      <c r="AT147" s="16">
        <f ca="1">_xll.DBRW($D$4,$E$7,$E$8,$E$9,$E$10,$E$12,$D147,$E$6,AT$18,AT$17)</f>
        <v>0.20860733999999995</v>
      </c>
      <c r="AU147" s="16">
        <f ca="1">_xll.DBRW($D$4,$E$7,$E$8,$E$9,$E$10,$E$12,$D147,$E$6,AU$18,AU$17)</f>
        <v>3.3269600000000001</v>
      </c>
      <c r="AV147" s="16">
        <f ca="1">_xll.DBRW($D$4,$E$7,$E$8,$E$9,$E$10,$E$12,$D147,$E$6,AV$18,AV$17)</f>
        <v>3.3269600000000001</v>
      </c>
      <c r="AW147" s="16">
        <f ca="1">_xll.DBRW($D$4,$E$7,$E$8,$E$9,$E$10,$E$12,$D147,$E$6,AW$18,AW$17)</f>
        <v>3.3269600000000001</v>
      </c>
      <c r="AX147" s="16">
        <f ca="1">_xll.DBRW($D$4,$E$7,$E$8,$E$9,$E$10,$E$12,$D147,$E$6,AX$18,AX$17)</f>
        <v>1.2411279999999998</v>
      </c>
      <c r="AY147" s="16">
        <f ca="1">_xll.DBRW($D$4,$E$7,$E$8,$E$9,$E$10,$E$12,$D147,$E$6,AY$18,AY$17)</f>
        <v>3.3269600000000001</v>
      </c>
      <c r="AZ147" s="16">
        <f ca="1">_xll.DBRW($D$4,$E$7,$E$8,$E$9,$E$10,$E$12,$D147,$E$6,AZ$18,AZ$17)</f>
        <v>2.0651799999999998</v>
      </c>
      <c r="BA147" s="16">
        <f ca="1">_xll.DBRW($D$4,$E$7,$E$8,$E$9,$E$10,$E$12,$D147,$E$6,BA$18,BA$17)</f>
        <v>3.3269600000000001</v>
      </c>
      <c r="BB147" s="16">
        <f ca="1">_xll.DBRW($D$4,$E$7,$E$8,$E$9,$E$10,$E$12,$D147,$E$6,BB$18,BB$17)</f>
        <v>3.3269600000000001</v>
      </c>
      <c r="BC147" s="16">
        <f ca="1">_xll.DBRW($D$4,$E$7,$E$8,$E$9,$E$10,$E$12,$D147,$E$6,BC$18,BC$17)</f>
        <v>3.3269600000000001</v>
      </c>
      <c r="BD147" s="16">
        <f ca="1">_xll.DBRW($D$4,$E$7,$E$8,$E$9,$E$10,$E$12,$D147,$E$6,BD$18,BD$17)</f>
        <v>-0.32487857095799783</v>
      </c>
      <c r="BE147" s="16">
        <f ca="1">_xll.DBRW($D$4,$E$7,$E$8,$E$9,$E$10,$E$12,$D147,$E$6,BE$18,BE$17)</f>
        <v>-0.93837535000000005</v>
      </c>
      <c r="BF147" s="16">
        <f ca="1">_xll.DBRW($D$4,$E$7,$E$8,$E$9,$E$10,$E$12,$D147,$E$6,BF$18,BF$17)</f>
        <v>0</v>
      </c>
      <c r="BG147" s="26">
        <f ca="1">_xll.DBRW($D$4,$E$7,$E$8,$E$9,$E$10,$E$12,$D147,$E$6,BG$18,BG$17)</f>
        <v>0</v>
      </c>
      <c r="BH147" s="26">
        <f ca="1">_xll.DBRW($D$4,$E$7,$E$8,$E$9,$E$10,$E$12,$D147,$E$6,BH$18,BH$17)</f>
        <v>0</v>
      </c>
      <c r="BI147" s="26">
        <f ca="1">_xll.DBRW($D$4,$E$7,$E$8,$E$9,$E$10,$E$12,$D147,$E$6,BI$18,BI$17)</f>
        <v>0</v>
      </c>
      <c r="BJ147" s="26">
        <f ca="1">_xll.DBRW($D$4,$E$7,$E$8,$E$9,$E$10,$E$12,$D147,$E$6,BJ$18,BJ$17)</f>
        <v>0</v>
      </c>
      <c r="BK147" s="16">
        <f ca="1">_xll.DBRW($D$4,$E$7,$E$8,$E$9,$E$10,$E$12,$D147,$E$6,BK$18,BK$17)</f>
        <v>0.61349677904200217</v>
      </c>
      <c r="BL147" s="16">
        <f ca="1">_xll.DBRW($D$4,$E$7,$E$8,$E$9,$E$10,$E$12,$D147,$E$6,BL$18,BL$17)</f>
        <v>12.939891344999999</v>
      </c>
      <c r="BM147" s="16">
        <f ca="1">_xll.DBRW($D$4,$E$7,$E$8,$E$9,$E$10,$E$12,$D147,$E$6,BM$18,BM$17)</f>
        <v>-5.1058452930000007</v>
      </c>
      <c r="BN147" s="16">
        <f ca="1">_xll.DBRW($D$4,$E$7,$E$8,$E$9,$E$10,$E$12,$D147,$E$6,BN$18,BN$17)</f>
        <v>0.39458177482865109</v>
      </c>
      <c r="BO147" s="16"/>
      <c r="BP147" s="16"/>
      <c r="BQ147" s="16"/>
      <c r="BR147" s="16"/>
      <c r="BS147" s="16">
        <f ca="1">_xll.DBRW($D$4,$E$7,$E$8,$E$9,$E$10,$E$12,$D147,$E$6,BS$18,BS$17)</f>
        <v>-1.5056557099999999</v>
      </c>
      <c r="BT147" s="16">
        <f ca="1">_xll.DBRW($D$4,$E$7,$E$8,$E$9,$E$10,$E$12,$D147,$E$6,BT$18,BT$17)</f>
        <v>0.11635767796317613</v>
      </c>
      <c r="BU147" s="16"/>
      <c r="BV147" s="16"/>
      <c r="BW147" s="16"/>
      <c r="BX147" s="16"/>
      <c r="BY147" s="16">
        <f ca="1">_xll.DBRW($D$4,$E$7,$E$8,$E$9,$E$10,$E$12,$D147,$E$6,BY$18,BY$17)</f>
        <v>-1.1999904713880003</v>
      </c>
      <c r="BZ147" s="16">
        <f ca="1">_xll.DBRW($D$4,$E$7,$E$8,$E$9,$E$10,$E$12,$D147,$E$6,BZ$18,BZ$17)</f>
        <v>9.2735745563402971E-2</v>
      </c>
      <c r="CA147" s="16"/>
      <c r="CB147" s="16"/>
      <c r="CC147" s="16"/>
      <c r="CD147" s="16"/>
      <c r="CE147" s="16">
        <f ca="1">_xll.DBRW($D$4,$E$7,$E$8,$E$9,$E$10,$E$12,$D147,$E$6,CE$18,CE$17)</f>
        <v>-1.5379799115699995</v>
      </c>
      <c r="CF147" s="16">
        <f ca="1">_xll.DBRW($D$4,$E$7,$E$8,$E$9,$E$10,$E$12,$D147,$E$6,CF$18,CF$17)</f>
        <v>0.11885570524239975</v>
      </c>
      <c r="CG147" s="16"/>
      <c r="CH147" s="16"/>
      <c r="CI147" s="16"/>
      <c r="CJ147" s="16"/>
      <c r="CK147" s="16">
        <f ca="1">_xll.DBRW($D$4,$E$7,$E$8,$E$9,$E$10,$E$12,$D147,$E$6,CK$18,CK$17)</f>
        <v>-2.9769231799999996</v>
      </c>
      <c r="CL147" s="16">
        <f ca="1">_xll.DBRW($D$4,$E$7,$E$8,$E$9,$E$10,$E$12,$D147,$E$6,CL$18,CL$17)</f>
        <v>0.23005781892830876</v>
      </c>
      <c r="CM147" s="16"/>
      <c r="CN147" s="16"/>
      <c r="CO147" s="16"/>
      <c r="CP147" s="16"/>
      <c r="CQ147" s="16">
        <f ca="1">_xll.DBRW($D$4,$E$7,$E$8,$E$9,$E$10,$E$12,$D147,$E$6,CQ$18,CQ$17)</f>
        <v>0.294379</v>
      </c>
      <c r="CR147" s="16">
        <f ca="1">_xll.DBRW($D$4,$E$7,$E$8,$E$9,$E$10,$E$12,$D147,$E$6,CR$18,CR$17)</f>
        <v>3.8687199999999997</v>
      </c>
      <c r="CS147" s="16">
        <f ca="1">_xll.DBRW($D$4,$E$7,$E$8,$E$9,$E$10,$E$12,$D147,$E$6,CS$18,CS$17)</f>
        <v>3.8687199999999997</v>
      </c>
      <c r="CT147" s="16">
        <f ca="1">_xll.DBRW($D$4,$E$7,$E$8,$E$9,$E$10,$E$12,$D147,$E$6,CT$18,CT$17)</f>
        <v>3.8687199999999997</v>
      </c>
      <c r="CU147" s="16">
        <f ca="1">_xll.DBRW($D$4,$E$7,$E$8,$E$9,$E$10,$E$12,$D147,$E$6,CU$18,CU$17)</f>
        <v>1.4108956399999999</v>
      </c>
      <c r="CV147" s="16">
        <f ca="1">_xll.DBRW($D$4,$E$7,$E$8,$E$9,$E$10,$E$12,$D147,$E$6,CV$18,CV$17)</f>
        <v>3.8687199999999997</v>
      </c>
      <c r="CW147" s="16">
        <f ca="1">_xll.DBRW($D$4,$E$7,$E$8,$E$9,$E$10,$E$12,$D147,$E$6,CW$18,CW$17)</f>
        <v>2.39846</v>
      </c>
      <c r="CX147" s="16">
        <f ca="1">_xll.DBRW($D$4,$E$7,$E$8,$E$9,$E$10,$E$12,$D147,$E$6,CX$18,CX$17)</f>
        <v>3.8687199999999997</v>
      </c>
      <c r="CY147" s="16">
        <f ca="1">_xll.DBRW($D$4,$E$7,$E$8,$E$9,$E$10,$E$12,$D147,$E$6,CY$18,CY$17)</f>
        <v>3.8687199999999997</v>
      </c>
      <c r="CZ147" s="16">
        <f ca="1">_xll.DBRW($D$4,$E$7,$E$8,$E$9,$E$10,$E$12,$D147,$E$6,CZ$18,CZ$17)</f>
        <v>3.8687199999999997</v>
      </c>
      <c r="DA147" s="26">
        <f t="shared" ca="1" si="108"/>
        <v>0.2156528609580014</v>
      </c>
      <c r="DB147" s="26">
        <f t="shared" ca="1" si="109"/>
        <v>0.35406411000000015</v>
      </c>
      <c r="DC147" s="26">
        <f t="shared" ca="1" si="110"/>
        <v>0</v>
      </c>
      <c r="DD147" s="26">
        <f t="shared" ca="1" si="111"/>
        <v>0</v>
      </c>
      <c r="DE147" s="26">
        <f t="shared" ca="1" si="112"/>
        <v>0</v>
      </c>
      <c r="DF147" s="26">
        <f t="shared" ca="1" si="113"/>
        <v>0</v>
      </c>
      <c r="DG147" s="26">
        <f t="shared" ca="1" si="114"/>
        <v>0</v>
      </c>
      <c r="DH147" s="26">
        <f t="shared" ca="1" si="115"/>
        <v>-0.13841124904199875</v>
      </c>
      <c r="DI147" s="26">
        <f t="shared" ca="1" si="116"/>
        <v>-0.96595021499999767</v>
      </c>
      <c r="DJ147" s="26">
        <f t="shared" ca="1" si="117"/>
        <v>0.41347678300000101</v>
      </c>
      <c r="DK147" s="26">
        <f t="shared" ca="1" si="118"/>
        <v>-2.7000661200999865E-3</v>
      </c>
      <c r="DL147" s="26"/>
      <c r="DM147" s="26"/>
      <c r="DN147" s="26"/>
      <c r="DO147" s="26"/>
      <c r="DP147" s="26">
        <f t="shared" ca="1" si="119"/>
        <v>-0.19495054000000045</v>
      </c>
      <c r="DQ147" s="26">
        <f t="shared" ca="1" si="120"/>
        <v>2.566792843798045E-2</v>
      </c>
      <c r="DR147" s="26"/>
      <c r="DS147" s="26"/>
      <c r="DT147" s="26"/>
      <c r="DU147" s="26"/>
      <c r="DV147" s="26">
        <f t="shared" ca="1" si="121"/>
        <v>2.7639371388000322E-2</v>
      </c>
      <c r="DW147" s="26">
        <f t="shared" ca="1" si="122"/>
        <v>5.1727949306490384E-3</v>
      </c>
      <c r="DX147" s="26"/>
      <c r="DY147" s="26"/>
      <c r="DZ147" s="26"/>
      <c r="EA147" s="26"/>
      <c r="EB147" s="26">
        <f t="shared" ca="1" si="123"/>
        <v>0.17395054156999934</v>
      </c>
      <c r="EC147" s="26">
        <f t="shared" ca="1" si="124"/>
        <v>-4.9392131542179279E-3</v>
      </c>
      <c r="ED147" s="26"/>
      <c r="EE147" s="26"/>
      <c r="EF147" s="26"/>
      <c r="EG147" s="26"/>
      <c r="EH147" s="26">
        <f t="shared" ca="1" si="125"/>
        <v>0.40742280999999991</v>
      </c>
      <c r="EI147" s="29">
        <f t="shared" ca="1" si="126"/>
        <v>-1.5466788113711855E-2</v>
      </c>
      <c r="EJ147" s="29"/>
      <c r="EK147" s="29"/>
      <c r="EL147" s="29"/>
      <c r="EM147" s="29"/>
      <c r="EN147" s="93"/>
      <c r="EO147" s="29"/>
      <c r="EP147" s="29"/>
      <c r="EQ147" s="29"/>
      <c r="ER147" s="29"/>
      <c r="ES147" s="29"/>
      <c r="ET147" s="29"/>
      <c r="EU147" s="93"/>
      <c r="EV147" s="29"/>
      <c r="EW147" s="29"/>
      <c r="EX147" s="29"/>
      <c r="EY147" s="29"/>
      <c r="EZ147" s="29"/>
      <c r="FA147" s="29"/>
      <c r="FB147" s="93"/>
      <c r="FC147" s="29"/>
      <c r="FD147" s="29"/>
      <c r="FE147" s="29"/>
      <c r="FF147" s="29"/>
      <c r="FG147" s="29"/>
      <c r="FH147" s="29"/>
      <c r="FI147" s="93"/>
      <c r="FJ147" s="29"/>
      <c r="FK147" s="29"/>
      <c r="FL147" s="29"/>
      <c r="FM147" s="29"/>
      <c r="FN147" s="29"/>
      <c r="FO147" s="29"/>
      <c r="FP147" s="93"/>
      <c r="FQ147" s="29"/>
      <c r="FR147" s="29"/>
      <c r="FS147" s="29"/>
      <c r="FT147" s="29"/>
      <c r="FU147" s="29"/>
      <c r="FV147" s="29"/>
    </row>
    <row r="148" spans="1:178" x14ac:dyDescent="0.25">
      <c r="A148" t="str">
        <f ca="1">IF(_xll.TM1RPTELISCONSOLIDATED($D$28,$D148),IF(_xll.TM1RPTELLEV($D$28,$D148)&lt;=3,_xll.TM1RPTELLEV($D$28,$D148),"D"),"N")</f>
        <v>N</v>
      </c>
      <c r="B148" t="str">
        <f ca="1">_xll.DBRA(Server&amp;"Management_organization",$D148,$B$27)</f>
        <v>L</v>
      </c>
      <c r="C148">
        <v>1</v>
      </c>
      <c r="D148" s="2" t="s">
        <v>198</v>
      </c>
      <c r="E148" s="26"/>
      <c r="F148" s="26"/>
      <c r="G148" s="16">
        <f ca="1">_xll.DBRW($D$4,$E$7,$E$8,$E$9,$E$10,$E$12,$D148,$E$6,G$18,G$17)</f>
        <v>1.4686415300000017</v>
      </c>
      <c r="H148" s="16">
        <f ca="1">_xll.DBRW($D$4,$E$7,$E$8,$E$9,$E$10,$E$12,$D148,$E$6,H$18,H$17)</f>
        <v>-0.47789013999999996</v>
      </c>
      <c r="I148" s="16">
        <f ca="1">_xll.DBRW($D$4,$E$7,$E$8,$E$9,$E$10,$E$12,$D148,$E$6,I$18,I$17)</f>
        <v>0</v>
      </c>
      <c r="J148" s="26">
        <f ca="1">_xll.DBRW($D$4,$E$7,$E$8,$E$9,$E$10,$E$12,$D148,$E$6,J$18,J$17)</f>
        <v>-3.1080000000000001E-5</v>
      </c>
      <c r="K148" s="26">
        <f ca="1">_xll.DBRW($D$4,$E$7,$E$8,$E$9,$E$10,$E$12,$D148,$E$6,K$18,K$17)</f>
        <v>0</v>
      </c>
      <c r="L148" s="26">
        <f ca="1">_xll.DBRW($D$4,$E$7,$E$8,$E$9,$E$10,$E$12,$D148,$E$6,L$18,L$17)</f>
        <v>0</v>
      </c>
      <c r="M148" s="26">
        <f ca="1">_xll.DBRW($D$4,$E$7,$E$8,$E$9,$E$10,$E$12,$D148,$E$6,M$18,M$17)</f>
        <v>0</v>
      </c>
      <c r="N148" s="16">
        <f ca="1">_xll.DBRW($D$4,$E$7,$E$8,$E$9,$E$10,$E$12,$D148,$E$6,N$18,N$17)</f>
        <v>1.9465627500000018</v>
      </c>
      <c r="O148" s="16">
        <f ca="1">_xll.DBRW($D$4,$E$7,$E$8,$E$9,$E$10,$E$12,$D148,$E$6,O$18,O$17)</f>
        <v>10.467446630000001</v>
      </c>
      <c r="P148" s="74">
        <f ca="1">_xll.DBRW($D$4,$E$7,$E$8,$E$9,$E$10,$E$12,$D148,$E$6,P$18,P$17)</f>
        <v>-3.5286256900000006</v>
      </c>
      <c r="Q148" s="16">
        <f ca="1">_xll.DBRW($D$4,$E$7,$E$8,$E$9,$E$10,$E$12,$D148,$E$6,Q$18,Q$17)</f>
        <v>0.33710472235768163</v>
      </c>
      <c r="R148" s="16"/>
      <c r="S148" s="16"/>
      <c r="T148" s="16"/>
      <c r="U148" s="16"/>
      <c r="V148" s="16">
        <f ca="1">_xll.DBRW($D$4,$E$7,$E$8,$E$9,$E$10,$E$12,$D148,$E$6,V$18,V$17)</f>
        <v>-0.95662014999999978</v>
      </c>
      <c r="W148" s="16">
        <f ca="1">_xll.DBRW($D$4,$E$7,$E$8,$E$9,$E$10,$E$12,$D148,$E$6,W$18,W$17)</f>
        <v>9.1390019344192219E-2</v>
      </c>
      <c r="X148" s="16"/>
      <c r="Y148" s="16"/>
      <c r="Z148" s="16"/>
      <c r="AA148" s="16"/>
      <c r="AB148" s="16">
        <f ca="1">_xll.DBRW($D$4,$E$7,$E$8,$E$9,$E$10,$E$12,$D148,$E$6,AB$18,AB$17)</f>
        <v>-0.32945796000000011</v>
      </c>
      <c r="AC148" s="16">
        <f ca="1">_xll.DBRW($D$4,$E$7,$E$8,$E$9,$E$10,$E$12,$D148,$E$6,AC$18,AC$17)</f>
        <v>3.1474529715371478E-2</v>
      </c>
      <c r="AD148" s="16"/>
      <c r="AE148" s="16"/>
      <c r="AF148" s="16"/>
      <c r="AG148" s="16"/>
      <c r="AH148" s="16">
        <f ca="1">_xll.DBRW($D$4,$E$7,$E$8,$E$9,$E$10,$E$12,$D148,$E$6,AH$18,AH$17)</f>
        <v>-1.7262069600000001</v>
      </c>
      <c r="AI148" s="16">
        <f ca="1">_xll.DBRW($D$4,$E$7,$E$8,$E$9,$E$10,$E$12,$D148,$E$6,AI$18,AI$17)</f>
        <v>0.16491194280873059</v>
      </c>
      <c r="AJ148" s="16"/>
      <c r="AK148" s="16"/>
      <c r="AL148" s="16"/>
      <c r="AM148" s="16"/>
      <c r="AN148" s="16">
        <f ca="1">_xll.DBRW($D$4,$E$7,$E$8,$E$9,$E$10,$E$12,$D148,$E$6,AN$18,AN$17)</f>
        <v>-1.9799731199999997</v>
      </c>
      <c r="AO148" s="16">
        <f ca="1">_xll.DBRW($D$4,$E$7,$E$8,$E$9,$E$10,$E$12,$D148,$E$6,AO$18,AO$17)</f>
        <v>0.18915531074458408</v>
      </c>
      <c r="AP148" s="16"/>
      <c r="AQ148" s="16"/>
      <c r="AR148" s="16"/>
      <c r="AS148" s="16"/>
      <c r="AT148" s="16">
        <f ca="1">_xll.DBRW($D$4,$E$7,$E$8,$E$9,$E$10,$E$12,$D148,$E$6,AT$18,AT$17)</f>
        <v>0.14475200000000002</v>
      </c>
      <c r="AU148" s="16">
        <f ca="1">_xll.DBRW($D$4,$E$7,$E$8,$E$9,$E$10,$E$12,$D148,$E$6,AU$18,AU$17)</f>
        <v>2.9694199999999991</v>
      </c>
      <c r="AV148" s="16">
        <f ca="1">_xll.DBRW($D$4,$E$7,$E$8,$E$9,$E$10,$E$12,$D148,$E$6,AV$18,AV$17)</f>
        <v>2.9694199999999991</v>
      </c>
      <c r="AW148" s="16">
        <f ca="1">_xll.DBRW($D$4,$E$7,$E$8,$E$9,$E$10,$E$12,$D148,$E$6,AW$18,AW$17)</f>
        <v>2.9694199999999991</v>
      </c>
      <c r="AX148" s="16">
        <f ca="1">_xll.DBRW($D$4,$E$7,$E$8,$E$9,$E$10,$E$12,$D148,$E$6,AX$18,AX$17)</f>
        <v>1.0465656359999997</v>
      </c>
      <c r="AY148" s="16">
        <f ca="1">_xll.DBRW($D$4,$E$7,$E$8,$E$9,$E$10,$E$12,$D148,$E$6,AY$18,AY$17)</f>
        <v>2.9694199999999991</v>
      </c>
      <c r="AZ148" s="16">
        <f ca="1">_xll.DBRW($D$4,$E$7,$E$8,$E$9,$E$10,$E$12,$D148,$E$6,AZ$18,AZ$17)</f>
        <v>2.2549999999999999</v>
      </c>
      <c r="BA148" s="16">
        <f ca="1">_xll.DBRW($D$4,$E$7,$E$8,$E$9,$E$10,$E$12,$D148,$E$6,BA$18,BA$17)</f>
        <v>2.9694199999999991</v>
      </c>
      <c r="BB148" s="16">
        <f ca="1">_xll.DBRW($D$4,$E$7,$E$8,$E$9,$E$10,$E$12,$D148,$E$6,BB$18,BB$17)</f>
        <v>2.9694199999999991</v>
      </c>
      <c r="BC148" s="16">
        <f ca="1">_xll.DBRW($D$4,$E$7,$E$8,$E$9,$E$10,$E$12,$D148,$E$6,BC$18,BC$17)</f>
        <v>2.9694199999999991</v>
      </c>
      <c r="BD148" s="16">
        <f ca="1">_xll.DBRW($D$4,$E$7,$E$8,$E$9,$E$10,$E$12,$D148,$E$6,BD$18,BD$17)</f>
        <v>-0.51978818615419531</v>
      </c>
      <c r="BE148" s="16">
        <f ca="1">_xll.DBRW($D$4,$E$7,$E$8,$E$9,$E$10,$E$12,$D148,$E$6,BE$18,BE$17)</f>
        <v>-0.73409553720000009</v>
      </c>
      <c r="BF148" s="16">
        <f ca="1">_xll.DBRW($D$4,$E$7,$E$8,$E$9,$E$10,$E$12,$D148,$E$6,BF$18,BF$17)</f>
        <v>0</v>
      </c>
      <c r="BG148" s="26">
        <f ca="1">_xll.DBRW($D$4,$E$7,$E$8,$E$9,$E$10,$E$12,$D148,$E$6,BG$18,BG$17)</f>
        <v>0</v>
      </c>
      <c r="BH148" s="26">
        <f ca="1">_xll.DBRW($D$4,$E$7,$E$8,$E$9,$E$10,$E$12,$D148,$E$6,BH$18,BH$17)</f>
        <v>0</v>
      </c>
      <c r="BI148" s="26">
        <f ca="1">_xll.DBRW($D$4,$E$7,$E$8,$E$9,$E$10,$E$12,$D148,$E$6,BI$18,BI$17)</f>
        <v>0</v>
      </c>
      <c r="BJ148" s="26">
        <f ca="1">_xll.DBRW($D$4,$E$7,$E$8,$E$9,$E$10,$E$12,$D148,$E$6,BJ$18,BJ$17)</f>
        <v>0</v>
      </c>
      <c r="BK148" s="16">
        <f ca="1">_xll.DBRW($D$4,$E$7,$E$8,$E$9,$E$10,$E$12,$D148,$E$6,BK$18,BK$17)</f>
        <v>0.21430735104580484</v>
      </c>
      <c r="BL148" s="16">
        <f ca="1">_xll.DBRW($D$4,$E$7,$E$8,$E$9,$E$10,$E$12,$D148,$E$6,BL$18,BL$17)</f>
        <v>10.398042765181863</v>
      </c>
      <c r="BM148" s="16">
        <f ca="1">_xll.DBRW($D$4,$E$7,$E$8,$E$9,$E$10,$E$12,$D148,$E$6,BM$18,BM$17)</f>
        <v>-3.6911770811516407</v>
      </c>
      <c r="BN148" s="16">
        <f ca="1">_xll.DBRW($D$4,$E$7,$E$8,$E$9,$E$10,$E$12,$D148,$E$6,BN$18,BN$17)</f>
        <v>0.35498768032688327</v>
      </c>
      <c r="BO148" s="16"/>
      <c r="BP148" s="16"/>
      <c r="BQ148" s="16"/>
      <c r="BR148" s="16"/>
      <c r="BS148" s="16">
        <f ca="1">_xll.DBRW($D$4,$E$7,$E$8,$E$9,$E$10,$E$12,$D148,$E$6,BS$18,BS$17)</f>
        <v>-0.95002569249412161</v>
      </c>
      <c r="BT148" s="16">
        <f ca="1">_xll.DBRW($D$4,$E$7,$E$8,$E$9,$E$10,$E$12,$D148,$E$6,BT$18,BT$17)</f>
        <v>9.1365818928472689E-2</v>
      </c>
      <c r="BU148" s="16"/>
      <c r="BV148" s="16"/>
      <c r="BW148" s="16"/>
      <c r="BX148" s="16"/>
      <c r="BY148" s="16">
        <f ca="1">_xll.DBRW($D$4,$E$7,$E$8,$E$9,$E$10,$E$12,$D148,$E$6,BY$18,BY$17)</f>
        <v>-0.88094603513029779</v>
      </c>
      <c r="BZ148" s="16">
        <f ca="1">_xll.DBRW($D$4,$E$7,$E$8,$E$9,$E$10,$E$12,$D148,$E$6,BZ$18,BZ$17)</f>
        <v>8.4722293899402903E-2</v>
      </c>
      <c r="CA148" s="16"/>
      <c r="CB148" s="16"/>
      <c r="CC148" s="16"/>
      <c r="CD148" s="16"/>
      <c r="CE148" s="16">
        <f ca="1">_xll.DBRW($D$4,$E$7,$E$8,$E$9,$E$10,$E$12,$D148,$E$6,CE$18,CE$17)</f>
        <v>-2.1686170300000001</v>
      </c>
      <c r="CF148" s="16">
        <f ca="1">_xll.DBRW($D$4,$E$7,$E$8,$E$9,$E$10,$E$12,$D148,$E$6,CF$18,CF$17)</f>
        <v>0.20856011837743876</v>
      </c>
      <c r="CG148" s="16"/>
      <c r="CH148" s="16"/>
      <c r="CI148" s="16"/>
      <c r="CJ148" s="16"/>
      <c r="CK148" s="16">
        <f ca="1">_xll.DBRW($D$4,$E$7,$E$8,$E$9,$E$10,$E$12,$D148,$E$6,CK$18,CK$17)</f>
        <v>-2.4929695753600005</v>
      </c>
      <c r="CL148" s="16">
        <f ca="1">_xll.DBRW($D$4,$E$7,$E$8,$E$9,$E$10,$E$12,$D148,$E$6,CL$18,CL$17)</f>
        <v>0.23975373362646468</v>
      </c>
      <c r="CM148" s="16"/>
      <c r="CN148" s="16"/>
      <c r="CO148" s="16"/>
      <c r="CP148" s="16"/>
      <c r="CQ148" s="16">
        <f ca="1">_xll.DBRW($D$4,$E$7,$E$8,$E$9,$E$10,$E$12,$D148,$E$6,CQ$18,CQ$17)</f>
        <v>0.149004961247269</v>
      </c>
      <c r="CR148" s="16">
        <f ca="1">_xll.DBRW($D$4,$E$7,$E$8,$E$9,$E$10,$E$12,$D148,$E$6,CR$18,CR$17)</f>
        <v>3.0156011777043195</v>
      </c>
      <c r="CS148" s="16">
        <f ca="1">_xll.DBRW($D$4,$E$7,$E$8,$E$9,$E$10,$E$12,$D148,$E$6,CS$18,CS$17)</f>
        <v>3.0156011777043195</v>
      </c>
      <c r="CT148" s="16">
        <f ca="1">_xll.DBRW($D$4,$E$7,$E$8,$E$9,$E$10,$E$12,$D148,$E$6,CT$18,CT$17)</f>
        <v>3.0156011777043195</v>
      </c>
      <c r="CU148" s="16">
        <f ca="1">_xll.DBRW($D$4,$E$7,$E$8,$E$9,$E$10,$E$12,$D148,$E$6,CU$18,CU$17)</f>
        <v>1.0279335931881499</v>
      </c>
      <c r="CV148" s="16">
        <f ca="1">_xll.DBRW($D$4,$E$7,$E$8,$E$9,$E$10,$E$12,$D148,$E$6,CV$18,CV$17)</f>
        <v>3.0156011777043195</v>
      </c>
      <c r="CW148" s="16">
        <f ca="1">_xll.DBRW($D$4,$E$7,$E$8,$E$9,$E$10,$E$12,$D148,$E$6,CW$18,CW$17)</f>
        <v>2.3872500683812996</v>
      </c>
      <c r="CX148" s="16">
        <f ca="1">_xll.DBRW($D$4,$E$7,$E$8,$E$9,$E$10,$E$12,$D148,$E$6,CX$18,CX$17)</f>
        <v>3.0156011777043195</v>
      </c>
      <c r="CY148" s="16">
        <f ca="1">_xll.DBRW($D$4,$E$7,$E$8,$E$9,$E$10,$E$12,$D148,$E$6,CY$18,CY$17)</f>
        <v>3.0156011777043195</v>
      </c>
      <c r="CZ148" s="16">
        <f ca="1">_xll.DBRW($D$4,$E$7,$E$8,$E$9,$E$10,$E$12,$D148,$E$6,CZ$18,CZ$17)</f>
        <v>3.0156011777043195</v>
      </c>
      <c r="DA148" s="26">
        <f t="shared" ca="1" si="108"/>
        <v>1.9884297161541971</v>
      </c>
      <c r="DB148" s="26">
        <f t="shared" ca="1" si="109"/>
        <v>0.25620539720000013</v>
      </c>
      <c r="DC148" s="26">
        <f t="shared" ca="1" si="110"/>
        <v>0</v>
      </c>
      <c r="DD148" s="26">
        <f t="shared" ca="1" si="111"/>
        <v>-3.1080000000000001E-5</v>
      </c>
      <c r="DE148" s="26">
        <f t="shared" ca="1" si="112"/>
        <v>0</v>
      </c>
      <c r="DF148" s="26">
        <f t="shared" ca="1" si="113"/>
        <v>0</v>
      </c>
      <c r="DG148" s="26">
        <f t="shared" ca="1" si="114"/>
        <v>0</v>
      </c>
      <c r="DH148" s="26">
        <f t="shared" ca="1" si="115"/>
        <v>1.7322553989541969</v>
      </c>
      <c r="DI148" s="26">
        <f t="shared" ca="1" si="116"/>
        <v>6.9403864818138317E-2</v>
      </c>
      <c r="DJ148" s="26">
        <f t="shared" ca="1" si="117"/>
        <v>0.16255139115164008</v>
      </c>
      <c r="DK148" s="26">
        <f t="shared" ca="1" si="118"/>
        <v>-1.788295796920164E-2</v>
      </c>
      <c r="DL148" s="26"/>
      <c r="DM148" s="26"/>
      <c r="DN148" s="26"/>
      <c r="DO148" s="26"/>
      <c r="DP148" s="26">
        <f t="shared" ca="1" si="119"/>
        <v>-6.5944575058781707E-3</v>
      </c>
      <c r="DQ148" s="26">
        <f t="shared" ca="1" si="120"/>
        <v>2.4200415719530244E-5</v>
      </c>
      <c r="DR148" s="26"/>
      <c r="DS148" s="26"/>
      <c r="DT148" s="26"/>
      <c r="DU148" s="26"/>
      <c r="DV148" s="26">
        <f t="shared" ca="1" si="121"/>
        <v>0.55148807513029774</v>
      </c>
      <c r="DW148" s="26">
        <f t="shared" ca="1" si="122"/>
        <v>-5.3247764184031425E-2</v>
      </c>
      <c r="DX148" s="26"/>
      <c r="DY148" s="26"/>
      <c r="DZ148" s="26"/>
      <c r="EA148" s="26"/>
      <c r="EB148" s="26">
        <f t="shared" ca="1" si="123"/>
        <v>0.44241006999999999</v>
      </c>
      <c r="EC148" s="26">
        <f t="shared" ca="1" si="124"/>
        <v>-4.3648175568708175E-2</v>
      </c>
      <c r="ED148" s="26"/>
      <c r="EE148" s="26"/>
      <c r="EF148" s="26"/>
      <c r="EG148" s="26"/>
      <c r="EH148" s="26">
        <f t="shared" ca="1" si="125"/>
        <v>0.51299645536000082</v>
      </c>
      <c r="EI148" s="29">
        <f t="shared" ca="1" si="126"/>
        <v>-5.05984228818806E-2</v>
      </c>
      <c r="EJ148" s="29"/>
      <c r="EK148" s="29"/>
      <c r="EL148" s="29"/>
      <c r="EM148" s="29"/>
      <c r="EN148" s="93"/>
      <c r="EO148" s="29"/>
      <c r="EP148" s="29"/>
      <c r="EQ148" s="29"/>
      <c r="ER148" s="29"/>
      <c r="ES148" s="29"/>
      <c r="ET148" s="29"/>
      <c r="EU148" s="93"/>
      <c r="EV148" s="29"/>
      <c r="EW148" s="29"/>
      <c r="EX148" s="29"/>
      <c r="EY148" s="29"/>
      <c r="EZ148" s="29"/>
      <c r="FA148" s="29"/>
      <c r="FB148" s="93"/>
      <c r="FC148" s="29"/>
      <c r="FD148" s="29"/>
      <c r="FE148" s="29"/>
      <c r="FF148" s="29"/>
      <c r="FG148" s="29"/>
      <c r="FH148" s="29"/>
      <c r="FI148" s="93"/>
      <c r="FJ148" s="29"/>
      <c r="FK148" s="29"/>
      <c r="FL148" s="29"/>
      <c r="FM148" s="29"/>
      <c r="FN148" s="29"/>
      <c r="FO148" s="29"/>
      <c r="FP148" s="93"/>
      <c r="FQ148" s="29"/>
      <c r="FR148" s="29"/>
      <c r="FS148" s="29"/>
      <c r="FT148" s="29"/>
      <c r="FU148" s="29"/>
      <c r="FV148" s="29"/>
    </row>
    <row r="149" spans="1:178" x14ac:dyDescent="0.25">
      <c r="A149" t="str">
        <f ca="1">IF(_xll.TM1RPTELISCONSOLIDATED($D$28,$D149),IF(_xll.TM1RPTELLEV($D$28,$D149)&lt;=3,_xll.TM1RPTELLEV($D$28,$D149),"D"),"N")</f>
        <v>N</v>
      </c>
      <c r="B149" t="str">
        <f ca="1">_xll.DBRA(Server&amp;"Management_organization",$D149,$B$27)</f>
        <v>L</v>
      </c>
      <c r="C149">
        <v>1</v>
      </c>
      <c r="D149" s="2" t="s">
        <v>199</v>
      </c>
      <c r="E149" s="26"/>
      <c r="F149" s="26"/>
      <c r="G149" s="16">
        <f ca="1">_xll.DBRW($D$4,$E$7,$E$8,$E$9,$E$10,$E$12,$D149,$E$6,G$18,G$17)</f>
        <v>-1.3971568499999987</v>
      </c>
      <c r="H149" s="16">
        <f ca="1">_xll.DBRW($D$4,$E$7,$E$8,$E$9,$E$10,$E$12,$D149,$E$6,H$18,H$17)</f>
        <v>-0.57867852999999991</v>
      </c>
      <c r="I149" s="16">
        <f ca="1">_xll.DBRW($D$4,$E$7,$E$8,$E$9,$E$10,$E$12,$D149,$E$6,I$18,I$17)</f>
        <v>0</v>
      </c>
      <c r="J149" s="26">
        <f ca="1">_xll.DBRW($D$4,$E$7,$E$8,$E$9,$E$10,$E$12,$D149,$E$6,J$18,J$17)</f>
        <v>-3.6191000000000001E-4</v>
      </c>
      <c r="K149" s="26">
        <f ca="1">_xll.DBRW($D$4,$E$7,$E$8,$E$9,$E$10,$E$12,$D149,$E$6,K$18,K$17)</f>
        <v>0</v>
      </c>
      <c r="L149" s="26">
        <f ca="1">_xll.DBRW($D$4,$E$7,$E$8,$E$9,$E$10,$E$12,$D149,$E$6,L$18,L$17)</f>
        <v>0</v>
      </c>
      <c r="M149" s="26">
        <f ca="1">_xll.DBRW($D$4,$E$7,$E$8,$E$9,$E$10,$E$12,$D149,$E$6,M$18,M$17)</f>
        <v>0</v>
      </c>
      <c r="N149" s="16">
        <f ca="1">_xll.DBRW($D$4,$E$7,$E$8,$E$9,$E$10,$E$12,$D149,$E$6,N$18,N$17)</f>
        <v>-0.81811640999999891</v>
      </c>
      <c r="O149" s="16">
        <f ca="1">_xll.DBRW($D$4,$E$7,$E$8,$E$9,$E$10,$E$12,$D149,$E$6,O$18,O$17)</f>
        <v>10.44533073</v>
      </c>
      <c r="P149" s="74">
        <f ca="1">_xll.DBRW($D$4,$E$7,$E$8,$E$9,$E$10,$E$12,$D149,$E$6,P$18,P$17)</f>
        <v>-4.6157512500000006</v>
      </c>
      <c r="Q149" s="16">
        <f ca="1">_xll.DBRW($D$4,$E$7,$E$8,$E$9,$E$10,$E$12,$D149,$E$6,Q$18,Q$17)</f>
        <v>0.44189613228263963</v>
      </c>
      <c r="R149" s="16"/>
      <c r="S149" s="16"/>
      <c r="T149" s="16"/>
      <c r="U149" s="16"/>
      <c r="V149" s="16">
        <f ca="1">_xll.DBRW($D$4,$E$7,$E$8,$E$9,$E$10,$E$12,$D149,$E$6,V$18,V$17)</f>
        <v>-1.3783597299999999</v>
      </c>
      <c r="W149" s="16">
        <f ca="1">_xll.DBRW($D$4,$E$7,$E$8,$E$9,$E$10,$E$12,$D149,$E$6,W$18,W$17)</f>
        <v>0.13195941474990519</v>
      </c>
      <c r="X149" s="16"/>
      <c r="Y149" s="16"/>
      <c r="Z149" s="16"/>
      <c r="AA149" s="16"/>
      <c r="AB149" s="16">
        <f ca="1">_xll.DBRW($D$4,$E$7,$E$8,$E$9,$E$10,$E$12,$D149,$E$6,AB$18,AB$17)</f>
        <v>-1.26626178</v>
      </c>
      <c r="AC149" s="16">
        <f ca="1">_xll.DBRW($D$4,$E$7,$E$8,$E$9,$E$10,$E$12,$D149,$E$6,AC$18,AC$17)</f>
        <v>0.12122754297890959</v>
      </c>
      <c r="AD149" s="16"/>
      <c r="AE149" s="16"/>
      <c r="AF149" s="16"/>
      <c r="AG149" s="16"/>
      <c r="AH149" s="16">
        <f ca="1">_xll.DBRW($D$4,$E$7,$E$8,$E$9,$E$10,$E$12,$D149,$E$6,AH$18,AH$17)</f>
        <v>-1.64569728</v>
      </c>
      <c r="AI149" s="16">
        <f ca="1">_xll.DBRW($D$4,$E$7,$E$8,$E$9,$E$10,$E$12,$D149,$E$6,AI$18,AI$17)</f>
        <v>0.15755339132282314</v>
      </c>
      <c r="AJ149" s="16"/>
      <c r="AK149" s="16"/>
      <c r="AL149" s="16"/>
      <c r="AM149" s="16"/>
      <c r="AN149" s="16">
        <f ca="1">_xll.DBRW($D$4,$E$7,$E$8,$E$9,$E$10,$E$12,$D149,$E$6,AN$18,AN$17)</f>
        <v>-2.3573771000000008</v>
      </c>
      <c r="AO149" s="16">
        <f ca="1">_xll.DBRW($D$4,$E$7,$E$8,$E$9,$E$10,$E$12,$D149,$E$6,AO$18,AO$17)</f>
        <v>0.22568716692037197</v>
      </c>
      <c r="AP149" s="16"/>
      <c r="AQ149" s="16"/>
      <c r="AR149" s="16"/>
      <c r="AS149" s="16"/>
      <c r="AT149" s="16">
        <f ca="1">_xll.DBRW($D$4,$E$7,$E$8,$E$9,$E$10,$E$12,$D149,$E$6,AT$18,AT$17)</f>
        <v>0.20285586999999999</v>
      </c>
      <c r="AU149" s="16">
        <f ca="1">_xll.DBRW($D$4,$E$7,$E$8,$E$9,$E$10,$E$12,$D149,$E$6,AU$18,AU$17)</f>
        <v>3.7210869999999998</v>
      </c>
      <c r="AV149" s="16">
        <f ca="1">_xll.DBRW($D$4,$E$7,$E$8,$E$9,$E$10,$E$12,$D149,$E$6,AV$18,AV$17)</f>
        <v>3.7210869999999998</v>
      </c>
      <c r="AW149" s="16">
        <f ca="1">_xll.DBRW($D$4,$E$7,$E$8,$E$9,$E$10,$E$12,$D149,$E$6,AW$18,AW$17)</f>
        <v>3.7210869999999998</v>
      </c>
      <c r="AX149" s="16">
        <f ca="1">_xll.DBRW($D$4,$E$7,$E$8,$E$9,$E$10,$E$12,$D149,$E$6,AX$18,AX$17)</f>
        <v>1.17637977</v>
      </c>
      <c r="AY149" s="16">
        <f ca="1">_xll.DBRW($D$4,$E$7,$E$8,$E$9,$E$10,$E$12,$D149,$E$6,AY$18,AY$17)</f>
        <v>3.7210869999999998</v>
      </c>
      <c r="AZ149" s="16">
        <f ca="1">_xll.DBRW($D$4,$E$7,$E$8,$E$9,$E$10,$E$12,$D149,$E$6,AZ$18,AZ$17)</f>
        <v>2.0666541</v>
      </c>
      <c r="BA149" s="16">
        <f ca="1">_xll.DBRW($D$4,$E$7,$E$8,$E$9,$E$10,$E$12,$D149,$E$6,BA$18,BA$17)</f>
        <v>3.7210869999999998</v>
      </c>
      <c r="BB149" s="16">
        <f ca="1">_xll.DBRW($D$4,$E$7,$E$8,$E$9,$E$10,$E$12,$D149,$E$6,BB$18,BB$17)</f>
        <v>3.7210869999999998</v>
      </c>
      <c r="BC149" s="16">
        <f ca="1">_xll.DBRW($D$4,$E$7,$E$8,$E$9,$E$10,$E$12,$D149,$E$6,BC$18,BC$17)</f>
        <v>3.7210869999999998</v>
      </c>
      <c r="BD149" s="16">
        <f ca="1">_xll.DBRW($D$4,$E$7,$E$8,$E$9,$E$10,$E$12,$D149,$E$6,BD$18,BD$17)</f>
        <v>-1.2345439806036902</v>
      </c>
      <c r="BE149" s="16">
        <f ca="1">_xll.DBRW($D$4,$E$7,$E$8,$E$9,$E$10,$E$12,$D149,$E$6,BE$18,BE$17)</f>
        <v>-0.56100132000000014</v>
      </c>
      <c r="BF149" s="16">
        <f ca="1">_xll.DBRW($D$4,$E$7,$E$8,$E$9,$E$10,$E$12,$D149,$E$6,BF$18,BF$17)</f>
        <v>0</v>
      </c>
      <c r="BG149" s="26">
        <f ca="1">_xll.DBRW($D$4,$E$7,$E$8,$E$9,$E$10,$E$12,$D149,$E$6,BG$18,BG$17)</f>
        <v>0</v>
      </c>
      <c r="BH149" s="26">
        <f ca="1">_xll.DBRW($D$4,$E$7,$E$8,$E$9,$E$10,$E$12,$D149,$E$6,BH$18,BH$17)</f>
        <v>0</v>
      </c>
      <c r="BI149" s="26">
        <f ca="1">_xll.DBRW($D$4,$E$7,$E$8,$E$9,$E$10,$E$12,$D149,$E$6,BI$18,BI$17)</f>
        <v>0</v>
      </c>
      <c r="BJ149" s="26">
        <f ca="1">_xll.DBRW($D$4,$E$7,$E$8,$E$9,$E$10,$E$12,$D149,$E$6,BJ$18,BJ$17)</f>
        <v>0</v>
      </c>
      <c r="BK149" s="16">
        <f ca="1">_xll.DBRW($D$4,$E$7,$E$8,$E$9,$E$10,$E$12,$D149,$E$6,BK$18,BK$17)</f>
        <v>-0.67354266060368995</v>
      </c>
      <c r="BL149" s="16">
        <f ca="1">_xll.DBRW($D$4,$E$7,$E$8,$E$9,$E$10,$E$12,$D149,$E$6,BL$18,BL$17)</f>
        <v>9.3027486900991132</v>
      </c>
      <c r="BM149" s="16">
        <f ca="1">_xll.DBRW($D$4,$E$7,$E$8,$E$9,$E$10,$E$12,$D149,$E$6,BM$18,BM$17)</f>
        <v>-4.4325348799999986</v>
      </c>
      <c r="BN149" s="16">
        <f ca="1">_xll.DBRW($D$4,$E$7,$E$8,$E$9,$E$10,$E$12,$D149,$E$6,BN$18,BN$17)</f>
        <v>0.47647582748500256</v>
      </c>
      <c r="BO149" s="16"/>
      <c r="BP149" s="16"/>
      <c r="BQ149" s="16"/>
      <c r="BR149" s="16"/>
      <c r="BS149" s="16">
        <f ca="1">_xll.DBRW($D$4,$E$7,$E$8,$E$9,$E$10,$E$12,$D149,$E$6,BS$18,BS$17)</f>
        <v>-1.1342867158134671</v>
      </c>
      <c r="BT149" s="16">
        <f ca="1">_xll.DBRW($D$4,$E$7,$E$8,$E$9,$E$10,$E$12,$D149,$E$6,BT$18,BT$17)</f>
        <v>0.1219302760506349</v>
      </c>
      <c r="BU149" s="16"/>
      <c r="BV149" s="16"/>
      <c r="BW149" s="16"/>
      <c r="BX149" s="16"/>
      <c r="BY149" s="16">
        <f ca="1">_xll.DBRW($D$4,$E$7,$E$8,$E$9,$E$10,$E$12,$D149,$E$6,BY$18,BY$17)</f>
        <v>-0.94541568822267186</v>
      </c>
      <c r="BZ149" s="16">
        <f ca="1">_xll.DBRW($D$4,$E$7,$E$8,$E$9,$E$10,$E$12,$D149,$E$6,BZ$18,BZ$17)</f>
        <v>0.10162756403694694</v>
      </c>
      <c r="CA149" s="16"/>
      <c r="CB149" s="16"/>
      <c r="CC149" s="16"/>
      <c r="CD149" s="16"/>
      <c r="CE149" s="16">
        <f ca="1">_xll.DBRW($D$4,$E$7,$E$8,$E$9,$E$10,$E$12,$D149,$E$6,CE$18,CE$17)</f>
        <v>-1.4483710100000002</v>
      </c>
      <c r="CF149" s="16">
        <f ca="1">_xll.DBRW($D$4,$E$7,$E$8,$E$9,$E$10,$E$12,$D149,$E$6,CF$18,CF$17)</f>
        <v>0.1556928020146881</v>
      </c>
      <c r="CG149" s="16"/>
      <c r="CH149" s="16"/>
      <c r="CI149" s="16"/>
      <c r="CJ149" s="16"/>
      <c r="CK149" s="16">
        <f ca="1">_xll.DBRW($D$4,$E$7,$E$8,$E$9,$E$10,$E$12,$D149,$E$6,CK$18,CK$17)</f>
        <v>-2.0156830566666661</v>
      </c>
      <c r="CL149" s="16">
        <f ca="1">_xll.DBRW($D$4,$E$7,$E$8,$E$9,$E$10,$E$12,$D149,$E$6,CL$18,CL$17)</f>
        <v>0.21667607325692367</v>
      </c>
      <c r="CM149" s="16"/>
      <c r="CN149" s="16"/>
      <c r="CO149" s="16"/>
      <c r="CP149" s="16"/>
      <c r="CQ149" s="16">
        <f ca="1">_xll.DBRW($D$4,$E$7,$E$8,$E$9,$E$10,$E$12,$D149,$E$6,CQ$18,CQ$17)</f>
        <v>0.18997209630610001</v>
      </c>
      <c r="CR149" s="16">
        <f ca="1">_xll.DBRW($D$4,$E$7,$E$8,$E$9,$E$10,$E$12,$D149,$E$6,CR$18,CR$17)</f>
        <v>3.5170584496000004</v>
      </c>
      <c r="CS149" s="16">
        <f ca="1">_xll.DBRW($D$4,$E$7,$E$8,$E$9,$E$10,$E$12,$D149,$E$6,CS$18,CS$17)</f>
        <v>3.5170584496000004</v>
      </c>
      <c r="CT149" s="16">
        <f ca="1">_xll.DBRW($D$4,$E$7,$E$8,$E$9,$E$10,$E$12,$D149,$E$6,CT$18,CT$17)</f>
        <v>3.5170584496000004</v>
      </c>
      <c r="CU149" s="16">
        <f ca="1">_xll.DBRW($D$4,$E$7,$E$8,$E$9,$E$10,$E$12,$D149,$E$6,CU$18,CU$17)</f>
        <v>1.1339998659261998</v>
      </c>
      <c r="CV149" s="16">
        <f ca="1">_xll.DBRW($D$4,$E$7,$E$8,$E$9,$E$10,$E$12,$D149,$E$6,CV$18,CV$17)</f>
        <v>3.5170584496000004</v>
      </c>
      <c r="CW149" s="16">
        <f ca="1">_xll.DBRW($D$4,$E$7,$E$8,$E$9,$E$10,$E$12,$D149,$E$6,CW$18,CW$17)</f>
        <v>1.6971086019999999</v>
      </c>
      <c r="CX149" s="16">
        <f ca="1">_xll.DBRW($D$4,$E$7,$E$8,$E$9,$E$10,$E$12,$D149,$E$6,CX$18,CX$17)</f>
        <v>3.5170584496000004</v>
      </c>
      <c r="CY149" s="16">
        <f ca="1">_xll.DBRW($D$4,$E$7,$E$8,$E$9,$E$10,$E$12,$D149,$E$6,CY$18,CY$17)</f>
        <v>3.5170584496000004</v>
      </c>
      <c r="CZ149" s="16">
        <f ca="1">_xll.DBRW($D$4,$E$7,$E$8,$E$9,$E$10,$E$12,$D149,$E$6,CZ$18,CZ$17)</f>
        <v>3.5170584496000004</v>
      </c>
      <c r="DA149" s="26">
        <f t="shared" ca="1" si="108"/>
        <v>-0.16261286939630848</v>
      </c>
      <c r="DB149" s="26">
        <f t="shared" ca="1" si="109"/>
        <v>-1.7677209999999777E-2</v>
      </c>
      <c r="DC149" s="26">
        <f t="shared" ca="1" si="110"/>
        <v>0</v>
      </c>
      <c r="DD149" s="26">
        <f t="shared" ca="1" si="111"/>
        <v>-3.6191000000000001E-4</v>
      </c>
      <c r="DE149" s="26">
        <f t="shared" ca="1" si="112"/>
        <v>0</v>
      </c>
      <c r="DF149" s="26">
        <f t="shared" ca="1" si="113"/>
        <v>0</v>
      </c>
      <c r="DG149" s="26">
        <f t="shared" ca="1" si="114"/>
        <v>0</v>
      </c>
      <c r="DH149" s="26">
        <f t="shared" ca="1" si="115"/>
        <v>-0.14457374939630896</v>
      </c>
      <c r="DI149" s="26">
        <f t="shared" ca="1" si="116"/>
        <v>1.142582039900887</v>
      </c>
      <c r="DJ149" s="26">
        <f t="shared" ca="1" si="117"/>
        <v>-0.18321637000000202</v>
      </c>
      <c r="DK149" s="26">
        <f t="shared" ca="1" si="118"/>
        <v>-3.4579695202362926E-2</v>
      </c>
      <c r="DL149" s="26"/>
      <c r="DM149" s="26"/>
      <c r="DN149" s="26"/>
      <c r="DO149" s="26"/>
      <c r="DP149" s="26">
        <f t="shared" ca="1" si="119"/>
        <v>-0.24407301418653282</v>
      </c>
      <c r="DQ149" s="26">
        <f t="shared" ca="1" si="120"/>
        <v>1.0029138699270287E-2</v>
      </c>
      <c r="DR149" s="26"/>
      <c r="DS149" s="26"/>
      <c r="DT149" s="26"/>
      <c r="DU149" s="26"/>
      <c r="DV149" s="26">
        <f t="shared" ca="1" si="121"/>
        <v>-0.32084609177732815</v>
      </c>
      <c r="DW149" s="26">
        <f t="shared" ca="1" si="122"/>
        <v>1.9599978941962651E-2</v>
      </c>
      <c r="DX149" s="26"/>
      <c r="DY149" s="26"/>
      <c r="DZ149" s="26"/>
      <c r="EA149" s="26"/>
      <c r="EB149" s="26">
        <f t="shared" ca="1" si="123"/>
        <v>-0.1973262699999998</v>
      </c>
      <c r="EC149" s="26">
        <f t="shared" ca="1" si="124"/>
        <v>1.8605893081350411E-3</v>
      </c>
      <c r="ED149" s="26"/>
      <c r="EE149" s="26"/>
      <c r="EF149" s="26"/>
      <c r="EG149" s="26"/>
      <c r="EH149" s="26">
        <f t="shared" ca="1" si="125"/>
        <v>-0.34169404333333464</v>
      </c>
      <c r="EI149" s="29">
        <f t="shared" ca="1" si="126"/>
        <v>9.0110936634482941E-3</v>
      </c>
      <c r="EJ149" s="29"/>
      <c r="EK149" s="29"/>
      <c r="EL149" s="29"/>
      <c r="EM149" s="29"/>
      <c r="EN149" s="93"/>
      <c r="EO149" s="29"/>
      <c r="EP149" s="29"/>
      <c r="EQ149" s="29"/>
      <c r="ER149" s="29"/>
      <c r="ES149" s="29"/>
      <c r="ET149" s="29"/>
      <c r="EU149" s="93"/>
      <c r="EV149" s="29"/>
      <c r="EW149" s="29"/>
      <c r="EX149" s="29"/>
      <c r="EY149" s="29"/>
      <c r="EZ149" s="29"/>
      <c r="FA149" s="29"/>
      <c r="FB149" s="93"/>
      <c r="FC149" s="29"/>
      <c r="FD149" s="29"/>
      <c r="FE149" s="29"/>
      <c r="FF149" s="29"/>
      <c r="FG149" s="29"/>
      <c r="FH149" s="29"/>
      <c r="FI149" s="93"/>
      <c r="FJ149" s="29"/>
      <c r="FK149" s="29"/>
      <c r="FL149" s="29"/>
      <c r="FM149" s="29"/>
      <c r="FN149" s="29"/>
      <c r="FO149" s="29"/>
      <c r="FP149" s="93"/>
      <c r="FQ149" s="29"/>
      <c r="FR149" s="29"/>
      <c r="FS149" s="29"/>
      <c r="FT149" s="29"/>
      <c r="FU149" s="29"/>
      <c r="FV149" s="29"/>
    </row>
    <row r="150" spans="1:178" x14ac:dyDescent="0.25">
      <c r="A150" t="str">
        <f ca="1">IF(_xll.TM1RPTELISCONSOLIDATED($D$28,$D150),IF(_xll.TM1RPTELLEV($D$28,$D150)&lt;=3,_xll.TM1RPTELLEV($D$28,$D150),"D"),"N")</f>
        <v>N</v>
      </c>
      <c r="B150" t="str">
        <f ca="1">_xll.DBRA(Server&amp;"Management_organization",$D150,$B$27)</f>
        <v>L</v>
      </c>
      <c r="C150">
        <v>1</v>
      </c>
      <c r="D150" s="2" t="s">
        <v>200</v>
      </c>
      <c r="E150" s="26"/>
      <c r="F150" s="26"/>
      <c r="G150" s="16">
        <f ca="1">_xll.DBRW($D$4,$E$7,$E$8,$E$9,$E$10,$E$12,$D150,$E$6,G$18,G$17)</f>
        <v>2.2901679999999994E-2</v>
      </c>
      <c r="H150" s="16">
        <f ca="1">_xll.DBRW($D$4,$E$7,$E$8,$E$9,$E$10,$E$12,$D150,$E$6,H$18,H$17)</f>
        <v>-6.2462980000000001E-2</v>
      </c>
      <c r="I150" s="16">
        <f ca="1">_xll.DBRW($D$4,$E$7,$E$8,$E$9,$E$10,$E$12,$D150,$E$6,I$18,I$17)</f>
        <v>0</v>
      </c>
      <c r="J150" s="26">
        <f ca="1">_xll.DBRW($D$4,$E$7,$E$8,$E$9,$E$10,$E$12,$D150,$E$6,J$18,J$17)</f>
        <v>0</v>
      </c>
      <c r="K150" s="26">
        <f ca="1">_xll.DBRW($D$4,$E$7,$E$8,$E$9,$E$10,$E$12,$D150,$E$6,K$18,K$17)</f>
        <v>0</v>
      </c>
      <c r="L150" s="26">
        <f ca="1">_xll.DBRW($D$4,$E$7,$E$8,$E$9,$E$10,$E$12,$D150,$E$6,L$18,L$17)</f>
        <v>0</v>
      </c>
      <c r="M150" s="26">
        <f ca="1">_xll.DBRW($D$4,$E$7,$E$8,$E$9,$E$10,$E$12,$D150,$E$6,M$18,M$17)</f>
        <v>0</v>
      </c>
      <c r="N150" s="16">
        <f ca="1">_xll.DBRW($D$4,$E$7,$E$8,$E$9,$E$10,$E$12,$D150,$E$6,N$18,N$17)</f>
        <v>8.5364659999999995E-2</v>
      </c>
      <c r="O150" s="16">
        <f ca="1">_xll.DBRW($D$4,$E$7,$E$8,$E$9,$E$10,$E$12,$D150,$E$6,O$18,O$17)</f>
        <v>0.90046015999999995</v>
      </c>
      <c r="P150" s="74">
        <f ca="1">_xll.DBRW($D$4,$E$7,$E$8,$E$9,$E$10,$E$12,$D150,$E$6,P$18,P$17)</f>
        <v>-0.32146266999999995</v>
      </c>
      <c r="Q150" s="16">
        <f ca="1">_xll.DBRW($D$4,$E$7,$E$8,$E$9,$E$10,$E$12,$D150,$E$6,Q$18,Q$17)</f>
        <v>0.35699821522364739</v>
      </c>
      <c r="R150" s="16"/>
      <c r="S150" s="16"/>
      <c r="T150" s="16"/>
      <c r="U150" s="16"/>
      <c r="V150" s="16">
        <f ca="1">_xll.DBRW($D$4,$E$7,$E$8,$E$9,$E$10,$E$12,$D150,$E$6,V$18,V$17)</f>
        <v>-7.3974789999999985E-2</v>
      </c>
      <c r="W150" s="16">
        <f ca="1">_xll.DBRW($D$4,$E$7,$E$8,$E$9,$E$10,$E$12,$D150,$E$6,W$18,W$17)</f>
        <v>8.2152207600167435E-2</v>
      </c>
      <c r="X150" s="16"/>
      <c r="Y150" s="16"/>
      <c r="Z150" s="16"/>
      <c r="AA150" s="16"/>
      <c r="AB150" s="16">
        <f ca="1">_xll.DBRW($D$4,$E$7,$E$8,$E$9,$E$10,$E$12,$D150,$E$6,AB$18,AB$17)</f>
        <v>-0.12731882999999997</v>
      </c>
      <c r="AC150" s="16">
        <f ca="1">_xll.DBRW($D$4,$E$7,$E$8,$E$9,$E$10,$E$12,$D150,$E$6,AC$18,AC$17)</f>
        <v>0.14139307395898557</v>
      </c>
      <c r="AD150" s="16"/>
      <c r="AE150" s="16"/>
      <c r="AF150" s="16"/>
      <c r="AG150" s="16"/>
      <c r="AH150" s="16">
        <f ca="1">_xll.DBRW($D$4,$E$7,$E$8,$E$9,$E$10,$E$12,$D150,$E$6,AH$18,AH$17)</f>
        <v>-0.11739968999999999</v>
      </c>
      <c r="AI150" s="16">
        <f ca="1">_xll.DBRW($D$4,$E$7,$E$8,$E$9,$E$10,$E$12,$D150,$E$6,AI$18,AI$17)</f>
        <v>0.13037743946384034</v>
      </c>
      <c r="AJ150" s="16"/>
      <c r="AK150" s="16"/>
      <c r="AL150" s="16"/>
      <c r="AM150" s="16"/>
      <c r="AN150" s="16">
        <f ca="1">_xll.DBRW($D$4,$E$7,$E$8,$E$9,$E$10,$E$12,$D150,$E$6,AN$18,AN$17)</f>
        <v>-0.17493951999999999</v>
      </c>
      <c r="AO150" s="16">
        <f ca="1">_xll.DBRW($D$4,$E$7,$E$8,$E$9,$E$10,$E$12,$D150,$E$6,AO$18,AO$17)</f>
        <v>0.19427791230652558</v>
      </c>
      <c r="AP150" s="16"/>
      <c r="AQ150" s="16"/>
      <c r="AR150" s="16"/>
      <c r="AS150" s="16"/>
      <c r="AT150" s="16">
        <f ca="1">_xll.DBRW($D$4,$E$7,$E$8,$E$9,$E$10,$E$12,$D150,$E$6,AT$18,AT$17)</f>
        <v>-1.7347234759768071E-18</v>
      </c>
      <c r="AU150" s="16">
        <f ca="1">_xll.DBRW($D$4,$E$7,$E$8,$E$9,$E$10,$E$12,$D150,$E$6,AU$18,AU$17)</f>
        <v>2.7755575615628914E-17</v>
      </c>
      <c r="AV150" s="16">
        <f ca="1">_xll.DBRW($D$4,$E$7,$E$8,$E$9,$E$10,$E$12,$D150,$E$6,AV$18,AV$17)</f>
        <v>2.7755575615628914E-17</v>
      </c>
      <c r="AW150" s="16">
        <f ca="1">_xll.DBRW($D$4,$E$7,$E$8,$E$9,$E$10,$E$12,$D150,$E$6,AW$18,AW$17)</f>
        <v>2.7755575615628914E-17</v>
      </c>
      <c r="AX150" s="16">
        <f ca="1">_xll.DBRW($D$4,$E$7,$E$8,$E$9,$E$10,$E$12,$D150,$E$6,AX$18,AX$17)</f>
        <v>0</v>
      </c>
      <c r="AY150" s="16">
        <f ca="1">_xll.DBRW($D$4,$E$7,$E$8,$E$9,$E$10,$E$12,$D150,$E$6,AY$18,AY$17)</f>
        <v>2.7755575615628914E-17</v>
      </c>
      <c r="AZ150" s="16">
        <f ca="1">_xll.DBRW($D$4,$E$7,$E$8,$E$9,$E$10,$E$12,$D150,$E$6,AZ$18,AZ$17)</f>
        <v>0</v>
      </c>
      <c r="BA150" s="16">
        <f ca="1">_xll.DBRW($D$4,$E$7,$E$8,$E$9,$E$10,$E$12,$D150,$E$6,BA$18,BA$17)</f>
        <v>2.7755575615628914E-17</v>
      </c>
      <c r="BB150" s="16">
        <f ca="1">_xll.DBRW($D$4,$E$7,$E$8,$E$9,$E$10,$E$12,$D150,$E$6,BB$18,BB$17)</f>
        <v>2.7755575615628914E-17</v>
      </c>
      <c r="BC150" s="16">
        <f ca="1">_xll.DBRW($D$4,$E$7,$E$8,$E$9,$E$10,$E$12,$D150,$E$6,BC$18,BC$17)</f>
        <v>2.7755575615628914E-17</v>
      </c>
      <c r="BD150" s="16">
        <f ca="1">_xll.DBRW($D$4,$E$7,$E$8,$E$9,$E$10,$E$12,$D150,$E$6,BD$18,BD$17)</f>
        <v>-0.12013964200000016</v>
      </c>
      <c r="BE150" s="16">
        <f ca="1">_xll.DBRW($D$4,$E$7,$E$8,$E$9,$E$10,$E$12,$D150,$E$6,BE$18,BE$17)</f>
        <v>-0.11541694999999998</v>
      </c>
      <c r="BF150" s="16">
        <f ca="1">_xll.DBRW($D$4,$E$7,$E$8,$E$9,$E$10,$E$12,$D150,$E$6,BF$18,BF$17)</f>
        <v>0</v>
      </c>
      <c r="BG150" s="26">
        <f ca="1">_xll.DBRW($D$4,$E$7,$E$8,$E$9,$E$10,$E$12,$D150,$E$6,BG$18,BG$17)</f>
        <v>0</v>
      </c>
      <c r="BH150" s="26">
        <f ca="1">_xll.DBRW($D$4,$E$7,$E$8,$E$9,$E$10,$E$12,$D150,$E$6,BH$18,BH$17)</f>
        <v>0</v>
      </c>
      <c r="BI150" s="26">
        <f ca="1">_xll.DBRW($D$4,$E$7,$E$8,$E$9,$E$10,$E$12,$D150,$E$6,BI$18,BI$17)</f>
        <v>0</v>
      </c>
      <c r="BJ150" s="26">
        <f ca="1">_xll.DBRW($D$4,$E$7,$E$8,$E$9,$E$10,$E$12,$D150,$E$6,BJ$18,BJ$17)</f>
        <v>0</v>
      </c>
      <c r="BK150" s="16">
        <f ca="1">_xll.DBRW($D$4,$E$7,$E$8,$E$9,$E$10,$E$12,$D150,$E$6,BK$18,BK$17)</f>
        <v>-4.722692000000181E-3</v>
      </c>
      <c r="BL150" s="16">
        <f ca="1">_xll.DBRW($D$4,$E$7,$E$8,$E$9,$E$10,$E$12,$D150,$E$6,BL$18,BL$17)</f>
        <v>0.96401499999999984</v>
      </c>
      <c r="BM150" s="16">
        <f ca="1">_xll.DBRW($D$4,$E$7,$E$8,$E$9,$E$10,$E$12,$D150,$E$6,BM$18,BM$17)</f>
        <v>-0.42345671000000001</v>
      </c>
      <c r="BN150" s="16">
        <f ca="1">_xll.DBRW($D$4,$E$7,$E$8,$E$9,$E$10,$E$12,$D150,$E$6,BN$18,BN$17)</f>
        <v>0.43926361104339673</v>
      </c>
      <c r="BO150" s="16"/>
      <c r="BP150" s="16"/>
      <c r="BQ150" s="16"/>
      <c r="BR150" s="16"/>
      <c r="BS150" s="16">
        <f ca="1">_xll.DBRW($D$4,$E$7,$E$8,$E$9,$E$10,$E$12,$D150,$E$6,BS$18,BS$17)</f>
        <v>-9.942142000000001E-2</v>
      </c>
      <c r="BT150" s="16">
        <f ca="1">_xll.DBRW($D$4,$E$7,$E$8,$E$9,$E$10,$E$12,$D150,$E$6,BT$18,BT$17)</f>
        <v>0.10313264835090744</v>
      </c>
      <c r="BU150" s="16"/>
      <c r="BV150" s="16"/>
      <c r="BW150" s="16"/>
      <c r="BX150" s="16"/>
      <c r="BY150" s="16">
        <f ca="1">_xll.DBRW($D$4,$E$7,$E$8,$E$9,$E$10,$E$12,$D150,$E$6,BY$18,BY$17)</f>
        <v>-9.0653022000000014E-2</v>
      </c>
      <c r="BZ150" s="16">
        <f ca="1">_xll.DBRW($D$4,$E$7,$E$8,$E$9,$E$10,$E$12,$D150,$E$6,BZ$18,BZ$17)</f>
        <v>9.4036941333900434E-2</v>
      </c>
      <c r="CA150" s="16"/>
      <c r="CB150" s="16"/>
      <c r="CC150" s="16"/>
      <c r="CD150" s="16"/>
      <c r="CE150" s="16">
        <f ca="1">_xll.DBRW($D$4,$E$7,$E$8,$E$9,$E$10,$E$12,$D150,$E$6,CE$18,CE$17)</f>
        <v>-0.134382</v>
      </c>
      <c r="CF150" s="16">
        <f ca="1">_xll.DBRW($D$4,$E$7,$E$8,$E$9,$E$10,$E$12,$D150,$E$6,CF$18,CF$17)</f>
        <v>0.13939824587791685</v>
      </c>
      <c r="CG150" s="16"/>
      <c r="CH150" s="16"/>
      <c r="CI150" s="16"/>
      <c r="CJ150" s="16"/>
      <c r="CK150" s="16">
        <f ca="1">_xll.DBRW($D$4,$E$7,$E$8,$E$9,$E$10,$E$12,$D150,$E$6,CK$18,CK$17)</f>
        <v>-0.22082453999999999</v>
      </c>
      <c r="CL150" s="16">
        <f ca="1">_xll.DBRW($D$4,$E$7,$E$8,$E$9,$E$10,$E$12,$D150,$E$6,CL$18,CL$17)</f>
        <v>0.22906753525619417</v>
      </c>
      <c r="CM150" s="16"/>
      <c r="CN150" s="16"/>
      <c r="CO150" s="16"/>
      <c r="CP150" s="16"/>
      <c r="CQ150" s="16">
        <f ca="1">_xll.DBRW($D$4,$E$7,$E$8,$E$9,$E$10,$E$12,$D150,$E$6,CQ$18,CQ$17)</f>
        <v>1.7932999999999998E-2</v>
      </c>
      <c r="CR150" s="16">
        <f ca="1">_xll.DBRW($D$4,$E$7,$E$8,$E$9,$E$10,$E$12,$D150,$E$6,CR$18,CR$17)</f>
        <v>0.26999999999999996</v>
      </c>
      <c r="CS150" s="16">
        <f ca="1">_xll.DBRW($D$4,$E$7,$E$8,$E$9,$E$10,$E$12,$D150,$E$6,CS$18,CS$17)</f>
        <v>0.26999999999999996</v>
      </c>
      <c r="CT150" s="16">
        <f ca="1">_xll.DBRW($D$4,$E$7,$E$8,$E$9,$E$10,$E$12,$D150,$E$6,CT$18,CT$17)</f>
        <v>0.26999999999999996</v>
      </c>
      <c r="CU150" s="16">
        <f ca="1">_xll.DBRW($D$4,$E$7,$E$8,$E$9,$E$10,$E$12,$D150,$E$6,CU$18,CU$17)</f>
        <v>0.10926</v>
      </c>
      <c r="CV150" s="16">
        <f ca="1">_xll.DBRW($D$4,$E$7,$E$8,$E$9,$E$10,$E$12,$D150,$E$6,CV$18,CV$17)</f>
        <v>0.26999999999999996</v>
      </c>
      <c r="CW150" s="16">
        <f ca="1">_xll.DBRW($D$4,$E$7,$E$8,$E$9,$E$10,$E$12,$D150,$E$6,CW$18,CW$17)</f>
        <v>0.26999999999999996</v>
      </c>
      <c r="CX150" s="16">
        <f ca="1">_xll.DBRW($D$4,$E$7,$E$8,$E$9,$E$10,$E$12,$D150,$E$6,CX$18,CX$17)</f>
        <v>0.26999999999999996</v>
      </c>
      <c r="CY150" s="16">
        <f ca="1">_xll.DBRW($D$4,$E$7,$E$8,$E$9,$E$10,$E$12,$D150,$E$6,CY$18,CY$17)</f>
        <v>0.26999999999999996</v>
      </c>
      <c r="CZ150" s="16">
        <f ca="1">_xll.DBRW($D$4,$E$7,$E$8,$E$9,$E$10,$E$12,$D150,$E$6,CZ$18,CZ$17)</f>
        <v>0.26999999999999996</v>
      </c>
      <c r="DA150" s="26">
        <f t="shared" ca="1" si="108"/>
        <v>0.14304132200000014</v>
      </c>
      <c r="DB150" s="26">
        <f t="shared" ca="1" si="109"/>
        <v>5.2953969999999975E-2</v>
      </c>
      <c r="DC150" s="26">
        <f t="shared" ca="1" si="110"/>
        <v>0</v>
      </c>
      <c r="DD150" s="26">
        <f t="shared" ca="1" si="111"/>
        <v>0</v>
      </c>
      <c r="DE150" s="26">
        <f t="shared" ca="1" si="112"/>
        <v>0</v>
      </c>
      <c r="DF150" s="26">
        <f t="shared" ca="1" si="113"/>
        <v>0</v>
      </c>
      <c r="DG150" s="26">
        <f t="shared" ca="1" si="114"/>
        <v>0</v>
      </c>
      <c r="DH150" s="26">
        <f t="shared" ca="1" si="115"/>
        <v>9.0087352000000176E-2</v>
      </c>
      <c r="DI150" s="26">
        <f t="shared" ca="1" si="116"/>
        <v>-6.355483999999989E-2</v>
      </c>
      <c r="DJ150" s="26">
        <f t="shared" ca="1" si="117"/>
        <v>0.10199404000000006</v>
      </c>
      <c r="DK150" s="26">
        <f t="shared" ca="1" si="118"/>
        <v>-8.2265395819749343E-2</v>
      </c>
      <c r="DL150" s="26"/>
      <c r="DM150" s="26"/>
      <c r="DN150" s="26"/>
      <c r="DO150" s="26"/>
      <c r="DP150" s="26">
        <f t="shared" ca="1" si="119"/>
        <v>2.5446630000000026E-2</v>
      </c>
      <c r="DQ150" s="26">
        <f t="shared" ca="1" si="120"/>
        <v>-2.0980440750740001E-2</v>
      </c>
      <c r="DR150" s="26"/>
      <c r="DS150" s="26"/>
      <c r="DT150" s="26"/>
      <c r="DU150" s="26"/>
      <c r="DV150" s="26">
        <f t="shared" ca="1" si="121"/>
        <v>-3.6665807999999953E-2</v>
      </c>
      <c r="DW150" s="26">
        <f t="shared" ca="1" si="122"/>
        <v>4.7356132625085132E-2</v>
      </c>
      <c r="DX150" s="26"/>
      <c r="DY150" s="26"/>
      <c r="DZ150" s="26"/>
      <c r="EA150" s="26"/>
      <c r="EB150" s="26">
        <f t="shared" ca="1" si="123"/>
        <v>1.6982310000000014E-2</v>
      </c>
      <c r="EC150" s="26">
        <f t="shared" ca="1" si="124"/>
        <v>-9.0208064140765154E-3</v>
      </c>
      <c r="ED150" s="26"/>
      <c r="EE150" s="26"/>
      <c r="EF150" s="26"/>
      <c r="EG150" s="26"/>
      <c r="EH150" s="26">
        <f t="shared" ca="1" si="125"/>
        <v>4.5885019999999999E-2</v>
      </c>
      <c r="EI150" s="29">
        <f t="shared" ca="1" si="126"/>
        <v>-3.4789622949668586E-2</v>
      </c>
      <c r="EJ150" s="29"/>
      <c r="EK150" s="29"/>
      <c r="EL150" s="29"/>
      <c r="EM150" s="29"/>
      <c r="EN150" s="93"/>
      <c r="EO150" s="29"/>
      <c r="EP150" s="29"/>
      <c r="EQ150" s="29"/>
      <c r="ER150" s="29"/>
      <c r="ES150" s="29"/>
      <c r="ET150" s="29"/>
      <c r="EU150" s="93"/>
      <c r="EV150" s="29"/>
      <c r="EW150" s="29"/>
      <c r="EX150" s="29"/>
      <c r="EY150" s="29"/>
      <c r="EZ150" s="29"/>
      <c r="FA150" s="29"/>
      <c r="FB150" s="93"/>
      <c r="FC150" s="29"/>
      <c r="FD150" s="29"/>
      <c r="FE150" s="29"/>
      <c r="FF150" s="29"/>
      <c r="FG150" s="29"/>
      <c r="FH150" s="29"/>
      <c r="FI150" s="93"/>
      <c r="FJ150" s="29"/>
      <c r="FK150" s="29"/>
      <c r="FL150" s="29"/>
      <c r="FM150" s="29"/>
      <c r="FN150" s="29"/>
      <c r="FO150" s="29"/>
      <c r="FP150" s="93"/>
      <c r="FQ150" s="29"/>
      <c r="FR150" s="29"/>
      <c r="FS150" s="29"/>
      <c r="FT150" s="29"/>
      <c r="FU150" s="29"/>
      <c r="FV150" s="29"/>
    </row>
    <row r="151" spans="1:178" x14ac:dyDescent="0.25">
      <c r="A151" t="str">
        <f ca="1">IF(_xll.TM1RPTELISCONSOLIDATED($D$28,$D151),IF(_xll.TM1RPTELLEV($D$28,$D151)&lt;=3,_xll.TM1RPTELLEV($D$28,$D151),"D"),"N")</f>
        <v>N</v>
      </c>
      <c r="B151" t="str">
        <f ca="1">_xll.DBRA(Server&amp;"Management_organization",$D151,$B$27)</f>
        <v>L</v>
      </c>
      <c r="C151">
        <v>1</v>
      </c>
      <c r="D151" s="2" t="s">
        <v>201</v>
      </c>
      <c r="E151" s="26"/>
      <c r="F151" s="26"/>
      <c r="G151" s="16">
        <f ca="1">_xll.DBRW($D$4,$E$7,$E$8,$E$9,$E$10,$E$12,$D151,$E$6,G$18,G$17)</f>
        <v>0.25313821000000136</v>
      </c>
      <c r="H151" s="16">
        <f ca="1">_xll.DBRW($D$4,$E$7,$E$8,$E$9,$E$10,$E$12,$D151,$E$6,H$18,H$17)</f>
        <v>-0.61509446000000001</v>
      </c>
      <c r="I151" s="16">
        <f ca="1">_xll.DBRW($D$4,$E$7,$E$8,$E$9,$E$10,$E$12,$D151,$E$6,I$18,I$17)</f>
        <v>0</v>
      </c>
      <c r="J151" s="26">
        <f ca="1">_xll.DBRW($D$4,$E$7,$E$8,$E$9,$E$10,$E$12,$D151,$E$6,J$18,J$17)</f>
        <v>0</v>
      </c>
      <c r="K151" s="26">
        <f ca="1">_xll.DBRW($D$4,$E$7,$E$8,$E$9,$E$10,$E$12,$D151,$E$6,K$18,K$17)</f>
        <v>0</v>
      </c>
      <c r="L151" s="26">
        <f ca="1">_xll.DBRW($D$4,$E$7,$E$8,$E$9,$E$10,$E$12,$D151,$E$6,L$18,L$17)</f>
        <v>0</v>
      </c>
      <c r="M151" s="26">
        <f ca="1">_xll.DBRW($D$4,$E$7,$E$8,$E$9,$E$10,$E$12,$D151,$E$6,M$18,M$17)</f>
        <v>0</v>
      </c>
      <c r="N151" s="16">
        <f ca="1">_xll.DBRW($D$4,$E$7,$E$8,$E$9,$E$10,$E$12,$D151,$E$6,N$18,N$17)</f>
        <v>0.86823267000000137</v>
      </c>
      <c r="O151" s="16">
        <f ca="1">_xll.DBRW($D$4,$E$7,$E$8,$E$9,$E$10,$E$12,$D151,$E$6,O$18,O$17)</f>
        <v>5.1069092400000002</v>
      </c>
      <c r="P151" s="74">
        <f ca="1">_xll.DBRW($D$4,$E$7,$E$8,$E$9,$E$10,$E$12,$D151,$E$6,P$18,P$17)</f>
        <v>-2.2004686200000001</v>
      </c>
      <c r="Q151" s="16">
        <f ca="1">_xll.DBRW($D$4,$E$7,$E$8,$E$9,$E$10,$E$12,$D151,$E$6,Q$18,Q$17)</f>
        <v>0.43088069840066318</v>
      </c>
      <c r="R151" s="16"/>
      <c r="S151" s="16"/>
      <c r="T151" s="16"/>
      <c r="U151" s="16"/>
      <c r="V151" s="16">
        <f ca="1">_xll.DBRW($D$4,$E$7,$E$8,$E$9,$E$10,$E$12,$D151,$E$6,V$18,V$17)</f>
        <v>-0.44025661000000005</v>
      </c>
      <c r="W151" s="16">
        <f ca="1">_xll.DBRW($D$4,$E$7,$E$8,$E$9,$E$10,$E$12,$D151,$E$6,W$18,W$17)</f>
        <v>8.620803490136042E-2</v>
      </c>
      <c r="X151" s="16"/>
      <c r="Y151" s="16"/>
      <c r="Z151" s="16"/>
      <c r="AA151" s="16"/>
      <c r="AB151" s="16">
        <f ca="1">_xll.DBRW($D$4,$E$7,$E$8,$E$9,$E$10,$E$12,$D151,$E$6,AB$18,AB$17)</f>
        <v>-0.35676076000000001</v>
      </c>
      <c r="AC151" s="16">
        <f ca="1">_xll.DBRW($D$4,$E$7,$E$8,$E$9,$E$10,$E$12,$D151,$E$6,AC$18,AC$17)</f>
        <v>6.9858449256482186E-2</v>
      </c>
      <c r="AD151" s="16"/>
      <c r="AE151" s="16"/>
      <c r="AF151" s="16"/>
      <c r="AG151" s="16"/>
      <c r="AH151" s="16">
        <f ca="1">_xll.DBRW($D$4,$E$7,$E$8,$E$9,$E$10,$E$12,$D151,$E$6,AH$18,AH$17)</f>
        <v>-9.8333600000000028E-3</v>
      </c>
      <c r="AI151" s="16">
        <f ca="1">_xll.DBRW($D$4,$E$7,$E$8,$E$9,$E$10,$E$12,$D151,$E$6,AI$18,AI$17)</f>
        <v>1.9255012254731205E-3</v>
      </c>
      <c r="AJ151" s="16"/>
      <c r="AK151" s="16"/>
      <c r="AL151" s="16"/>
      <c r="AM151" s="16"/>
      <c r="AN151" s="16">
        <f ca="1">_xll.DBRW($D$4,$E$7,$E$8,$E$9,$E$10,$E$12,$D151,$E$6,AN$18,AN$17)</f>
        <v>-1.2313572199999998</v>
      </c>
      <c r="AO151" s="16">
        <f ca="1">_xll.DBRW($D$4,$E$7,$E$8,$E$9,$E$10,$E$12,$D151,$E$6,AO$18,AO$17)</f>
        <v>0.24111593962848649</v>
      </c>
      <c r="AP151" s="16"/>
      <c r="AQ151" s="16"/>
      <c r="AR151" s="16"/>
      <c r="AS151" s="16"/>
      <c r="AT151" s="16">
        <f ca="1">_xll.DBRW($D$4,$E$7,$E$8,$E$9,$E$10,$E$12,$D151,$E$6,AT$18,AT$17)</f>
        <v>7.8985780000000005E-2</v>
      </c>
      <c r="AU151" s="16">
        <f ca="1">_xll.DBRW($D$4,$E$7,$E$8,$E$9,$E$10,$E$12,$D151,$E$6,AU$18,AU$17)</f>
        <v>1.0143968299999999</v>
      </c>
      <c r="AV151" s="16">
        <f ca="1">_xll.DBRW($D$4,$E$7,$E$8,$E$9,$E$10,$E$12,$D151,$E$6,AV$18,AV$17)</f>
        <v>1.0143968299999999</v>
      </c>
      <c r="AW151" s="16">
        <f ca="1">_xll.DBRW($D$4,$E$7,$E$8,$E$9,$E$10,$E$12,$D151,$E$6,AW$18,AW$17)</f>
        <v>1.0143968299999999</v>
      </c>
      <c r="AX151" s="16">
        <f ca="1">_xll.DBRW($D$4,$E$7,$E$8,$E$9,$E$10,$E$12,$D151,$E$6,AX$18,AX$17)</f>
        <v>0.38720391279999994</v>
      </c>
      <c r="AY151" s="16">
        <f ca="1">_xll.DBRW($D$4,$E$7,$E$8,$E$9,$E$10,$E$12,$D151,$E$6,AY$18,AY$17)</f>
        <v>1.0143968299999999</v>
      </c>
      <c r="AZ151" s="16">
        <f ca="1">_xll.DBRW($D$4,$E$7,$E$8,$E$9,$E$10,$E$12,$D151,$E$6,AZ$18,AZ$17)</f>
        <v>0.84601999999999999</v>
      </c>
      <c r="BA151" s="16">
        <f ca="1">_xll.DBRW($D$4,$E$7,$E$8,$E$9,$E$10,$E$12,$D151,$E$6,BA$18,BA$17)</f>
        <v>1.0143968299999999</v>
      </c>
      <c r="BB151" s="16">
        <f ca="1">_xll.DBRW($D$4,$E$7,$E$8,$E$9,$E$10,$E$12,$D151,$E$6,BB$18,BB$17)</f>
        <v>1.0143968299999999</v>
      </c>
      <c r="BC151" s="16">
        <f ca="1">_xll.DBRW($D$4,$E$7,$E$8,$E$9,$E$10,$E$12,$D151,$E$6,BC$18,BC$17)</f>
        <v>1.0143968299999999</v>
      </c>
      <c r="BD151" s="16">
        <f ca="1">_xll.DBRW($D$4,$E$7,$E$8,$E$9,$E$10,$E$12,$D151,$E$6,BD$18,BD$17)</f>
        <v>0.23741256295192961</v>
      </c>
      <c r="BE151" s="16">
        <f ca="1">_xll.DBRW($D$4,$E$7,$E$8,$E$9,$E$10,$E$12,$D151,$E$6,BE$18,BE$17)</f>
        <v>-0.64027902083333321</v>
      </c>
      <c r="BF151" s="16">
        <f ca="1">_xll.DBRW($D$4,$E$7,$E$8,$E$9,$E$10,$E$12,$D151,$E$6,BF$18,BF$17)</f>
        <v>0</v>
      </c>
      <c r="BG151" s="26">
        <f ca="1">_xll.DBRW($D$4,$E$7,$E$8,$E$9,$E$10,$E$12,$D151,$E$6,BG$18,BG$17)</f>
        <v>0</v>
      </c>
      <c r="BH151" s="26">
        <f ca="1">_xll.DBRW($D$4,$E$7,$E$8,$E$9,$E$10,$E$12,$D151,$E$6,BH$18,BH$17)</f>
        <v>0</v>
      </c>
      <c r="BI151" s="26">
        <f ca="1">_xll.DBRW($D$4,$E$7,$E$8,$E$9,$E$10,$E$12,$D151,$E$6,BI$18,BI$17)</f>
        <v>0</v>
      </c>
      <c r="BJ151" s="26">
        <f ca="1">_xll.DBRW($D$4,$E$7,$E$8,$E$9,$E$10,$E$12,$D151,$E$6,BJ$18,BJ$17)</f>
        <v>0</v>
      </c>
      <c r="BK151" s="16">
        <f ca="1">_xll.DBRW($D$4,$E$7,$E$8,$E$9,$E$10,$E$12,$D151,$E$6,BK$18,BK$17)</f>
        <v>0.8776915837852628</v>
      </c>
      <c r="BL151" s="16">
        <f ca="1">_xll.DBRW($D$4,$E$7,$E$8,$E$9,$E$10,$E$12,$D151,$E$6,BL$18,BL$17)</f>
        <v>5.3824635349999985</v>
      </c>
      <c r="BM151" s="16">
        <f ca="1">_xll.DBRW($D$4,$E$7,$E$8,$E$9,$E$10,$E$12,$D151,$E$6,BM$18,BM$17)</f>
        <v>-2.3463969275000029</v>
      </c>
      <c r="BN151" s="16">
        <f ca="1">_xll.DBRW($D$4,$E$7,$E$8,$E$9,$E$10,$E$12,$D151,$E$6,BN$18,BN$17)</f>
        <v>0.43593364121137584</v>
      </c>
      <c r="BO151" s="16"/>
      <c r="BP151" s="16"/>
      <c r="BQ151" s="16"/>
      <c r="BR151" s="16"/>
      <c r="BS151" s="16">
        <f ca="1">_xll.DBRW($D$4,$E$7,$E$8,$E$9,$E$10,$E$12,$D151,$E$6,BS$18,BS$17)</f>
        <v>-0.4826837533333333</v>
      </c>
      <c r="BT151" s="16">
        <f ca="1">_xll.DBRW($D$4,$E$7,$E$8,$E$9,$E$10,$E$12,$D151,$E$6,BT$18,BT$17)</f>
        <v>8.9677106067627715E-2</v>
      </c>
      <c r="BU151" s="16"/>
      <c r="BV151" s="16"/>
      <c r="BW151" s="16"/>
      <c r="BX151" s="16"/>
      <c r="BY151" s="16">
        <f ca="1">_xll.DBRW($D$4,$E$7,$E$8,$E$9,$E$10,$E$12,$D151,$E$6,BY$18,BY$17)</f>
        <v>-0.36763366121473368</v>
      </c>
      <c r="BZ151" s="16">
        <f ca="1">_xll.DBRW($D$4,$E$7,$E$8,$E$9,$E$10,$E$12,$D151,$E$6,BZ$18,BZ$17)</f>
        <v>6.8302118318899818E-2</v>
      </c>
      <c r="CA151" s="16"/>
      <c r="CB151" s="16"/>
      <c r="CC151" s="16"/>
      <c r="CD151" s="16"/>
      <c r="CE151" s="16">
        <f ca="1">_xll.DBRW($D$4,$E$7,$E$8,$E$9,$E$10,$E$12,$D151,$E$6,CE$18,CE$17)</f>
        <v>-7.948160000000001E-3</v>
      </c>
      <c r="CF151" s="16">
        <f ca="1">_xll.DBRW($D$4,$E$7,$E$8,$E$9,$E$10,$E$12,$D151,$E$6,CF$18,CF$17)</f>
        <v>1.4766769804042904E-3</v>
      </c>
      <c r="CG151" s="16"/>
      <c r="CH151" s="16"/>
      <c r="CI151" s="16"/>
      <c r="CJ151" s="16"/>
      <c r="CK151" s="16">
        <f ca="1">_xll.DBRW($D$4,$E$7,$E$8,$E$9,$E$10,$E$12,$D151,$E$6,CK$18,CK$17)</f>
        <v>-1.3001094491666669</v>
      </c>
      <c r="CL151" s="16">
        <f ca="1">_xll.DBRW($D$4,$E$7,$E$8,$E$9,$E$10,$E$12,$D151,$E$6,CL$18,CL$17)</f>
        <v>0.24154542631131218</v>
      </c>
      <c r="CM151" s="16"/>
      <c r="CN151" s="16"/>
      <c r="CO151" s="16"/>
      <c r="CP151" s="16"/>
      <c r="CQ151" s="16">
        <f ca="1">_xll.DBRW($D$4,$E$7,$E$8,$E$9,$E$10,$E$12,$D151,$E$6,CQ$18,CQ$17)</f>
        <v>9.2477200000000009E-2</v>
      </c>
      <c r="CR151" s="16">
        <f ca="1">_xll.DBRW($D$4,$E$7,$E$8,$E$9,$E$10,$E$12,$D151,$E$6,CR$18,CR$17)</f>
        <v>1.1026532499999999</v>
      </c>
      <c r="CS151" s="16">
        <f ca="1">_xll.DBRW($D$4,$E$7,$E$8,$E$9,$E$10,$E$12,$D151,$E$6,CS$18,CS$17)</f>
        <v>1.1026532499999999</v>
      </c>
      <c r="CT151" s="16">
        <f ca="1">_xll.DBRW($D$4,$E$7,$E$8,$E$9,$E$10,$E$12,$D151,$E$6,CT$18,CT$17)</f>
        <v>1.1026532499999999</v>
      </c>
      <c r="CU151" s="16">
        <f ca="1">_xll.DBRW($D$4,$E$7,$E$8,$E$9,$E$10,$E$12,$D151,$E$6,CU$18,CU$17)</f>
        <v>0.42833586800599999</v>
      </c>
      <c r="CV151" s="16">
        <f ca="1">_xll.DBRW($D$4,$E$7,$E$8,$E$9,$E$10,$E$12,$D151,$E$6,CV$18,CV$17)</f>
        <v>1.1026532499999999</v>
      </c>
      <c r="CW151" s="16">
        <f ca="1">_xll.DBRW($D$4,$E$7,$E$8,$E$9,$E$10,$E$12,$D151,$E$6,CW$18,CW$17)</f>
        <v>0.92357647599999992</v>
      </c>
      <c r="CX151" s="16">
        <f ca="1">_xll.DBRW($D$4,$E$7,$E$8,$E$9,$E$10,$E$12,$D151,$E$6,CX$18,CX$17)</f>
        <v>1.1026532499999999</v>
      </c>
      <c r="CY151" s="16">
        <f ca="1">_xll.DBRW($D$4,$E$7,$E$8,$E$9,$E$10,$E$12,$D151,$E$6,CY$18,CY$17)</f>
        <v>1.1026532499999999</v>
      </c>
      <c r="CZ151" s="16">
        <f ca="1">_xll.DBRW($D$4,$E$7,$E$8,$E$9,$E$10,$E$12,$D151,$E$6,CZ$18,CZ$17)</f>
        <v>1.1026532499999999</v>
      </c>
      <c r="DA151" s="26">
        <f t="shared" ca="1" si="108"/>
        <v>1.572564704807175E-2</v>
      </c>
      <c r="DB151" s="26">
        <f t="shared" ca="1" si="109"/>
        <v>2.5184560833333203E-2</v>
      </c>
      <c r="DC151" s="26">
        <f t="shared" ca="1" si="110"/>
        <v>0</v>
      </c>
      <c r="DD151" s="26">
        <f t="shared" ca="1" si="111"/>
        <v>0</v>
      </c>
      <c r="DE151" s="26">
        <f t="shared" ca="1" si="112"/>
        <v>0</v>
      </c>
      <c r="DF151" s="26">
        <f t="shared" ca="1" si="113"/>
        <v>0</v>
      </c>
      <c r="DG151" s="26">
        <f t="shared" ca="1" si="114"/>
        <v>0</v>
      </c>
      <c r="DH151" s="26">
        <f t="shared" ca="1" si="115"/>
        <v>-9.4589137852614247E-3</v>
      </c>
      <c r="DI151" s="26">
        <f t="shared" ca="1" si="116"/>
        <v>-0.27555429499999828</v>
      </c>
      <c r="DJ151" s="26">
        <f t="shared" ca="1" si="117"/>
        <v>0.14592830750000285</v>
      </c>
      <c r="DK151" s="26">
        <f t="shared" ca="1" si="118"/>
        <v>-5.0529428107126684E-3</v>
      </c>
      <c r="DL151" s="26"/>
      <c r="DM151" s="26"/>
      <c r="DN151" s="26"/>
      <c r="DO151" s="26"/>
      <c r="DP151" s="26">
        <f t="shared" ca="1" si="119"/>
        <v>4.242714333333325E-2</v>
      </c>
      <c r="DQ151" s="26">
        <f t="shared" ca="1" si="120"/>
        <v>-3.4690711662672957E-3</v>
      </c>
      <c r="DR151" s="26"/>
      <c r="DS151" s="26"/>
      <c r="DT151" s="26"/>
      <c r="DU151" s="26"/>
      <c r="DV151" s="26">
        <f t="shared" ca="1" si="121"/>
        <v>1.0872901214733666E-2</v>
      </c>
      <c r="DW151" s="26">
        <f t="shared" ca="1" si="122"/>
        <v>1.5563309375823675E-3</v>
      </c>
      <c r="DX151" s="26"/>
      <c r="DY151" s="26"/>
      <c r="DZ151" s="26"/>
      <c r="EA151" s="26"/>
      <c r="EB151" s="26">
        <f t="shared" ca="1" si="123"/>
        <v>-1.8852000000000018E-3</v>
      </c>
      <c r="EC151" s="26">
        <f t="shared" ca="1" si="124"/>
        <v>4.4882424506883004E-4</v>
      </c>
      <c r="ED151" s="26"/>
      <c r="EE151" s="26"/>
      <c r="EF151" s="26"/>
      <c r="EG151" s="26"/>
      <c r="EH151" s="26">
        <f t="shared" ca="1" si="125"/>
        <v>6.8752229166667123E-2</v>
      </c>
      <c r="EI151" s="29">
        <f t="shared" ca="1" si="126"/>
        <v>-4.2948668282569158E-4</v>
      </c>
      <c r="EJ151" s="29"/>
      <c r="EK151" s="29"/>
      <c r="EL151" s="29"/>
      <c r="EM151" s="29"/>
      <c r="EN151" s="93"/>
      <c r="EO151" s="29"/>
      <c r="EP151" s="29"/>
      <c r="EQ151" s="29"/>
      <c r="ER151" s="29"/>
      <c r="ES151" s="29"/>
      <c r="ET151" s="29"/>
      <c r="EU151" s="93"/>
      <c r="EV151" s="29"/>
      <c r="EW151" s="29"/>
      <c r="EX151" s="29"/>
      <c r="EY151" s="29"/>
      <c r="EZ151" s="29"/>
      <c r="FA151" s="29"/>
      <c r="FB151" s="93"/>
      <c r="FC151" s="29"/>
      <c r="FD151" s="29"/>
      <c r="FE151" s="29"/>
      <c r="FF151" s="29"/>
      <c r="FG151" s="29"/>
      <c r="FH151" s="29"/>
      <c r="FI151" s="93"/>
      <c r="FJ151" s="29"/>
      <c r="FK151" s="29"/>
      <c r="FL151" s="29"/>
      <c r="FM151" s="29"/>
      <c r="FN151" s="29"/>
      <c r="FO151" s="29"/>
      <c r="FP151" s="93"/>
      <c r="FQ151" s="29"/>
      <c r="FR151" s="29"/>
      <c r="FS151" s="29"/>
      <c r="FT151" s="29"/>
      <c r="FU151" s="29"/>
      <c r="FV151" s="29"/>
    </row>
    <row r="152" spans="1:178" x14ac:dyDescent="0.25">
      <c r="A152" t="str">
        <f ca="1">IF(_xll.TM1RPTELISCONSOLIDATED($D$28,$D152),IF(_xll.TM1RPTELLEV($D$28,$D152)&lt;=3,_xll.TM1RPTELLEV($D$28,$D152),"D"),"N")</f>
        <v>N</v>
      </c>
      <c r="B152" t="str">
        <f ca="1">_xll.DBRA(Server&amp;"Management_organization",$D152,$B$27)</f>
        <v>L</v>
      </c>
      <c r="C152">
        <v>1</v>
      </c>
      <c r="D152" s="2" t="s">
        <v>202</v>
      </c>
      <c r="E152" s="26"/>
      <c r="F152" s="26"/>
      <c r="G152" s="16">
        <f ca="1">_xll.DBRW($D$4,$E$7,$E$8,$E$9,$E$10,$E$12,$D152,$E$6,G$18,G$17)</f>
        <v>-0.14117237999999988</v>
      </c>
      <c r="H152" s="16">
        <f ca="1">_xll.DBRW($D$4,$E$7,$E$8,$E$9,$E$10,$E$12,$D152,$E$6,H$18,H$17)</f>
        <v>-4.3209849999999987E-2</v>
      </c>
      <c r="I152" s="16">
        <f ca="1">_xll.DBRW($D$4,$E$7,$E$8,$E$9,$E$10,$E$12,$D152,$E$6,I$18,I$17)</f>
        <v>0</v>
      </c>
      <c r="J152" s="26">
        <f ca="1">_xll.DBRW($D$4,$E$7,$E$8,$E$9,$E$10,$E$12,$D152,$E$6,J$18,J$17)</f>
        <v>0</v>
      </c>
      <c r="K152" s="26">
        <f ca="1">_xll.DBRW($D$4,$E$7,$E$8,$E$9,$E$10,$E$12,$D152,$E$6,K$18,K$17)</f>
        <v>0</v>
      </c>
      <c r="L152" s="26">
        <f ca="1">_xll.DBRW($D$4,$E$7,$E$8,$E$9,$E$10,$E$12,$D152,$E$6,L$18,L$17)</f>
        <v>0</v>
      </c>
      <c r="M152" s="26">
        <f ca="1">_xll.DBRW($D$4,$E$7,$E$8,$E$9,$E$10,$E$12,$D152,$E$6,M$18,M$17)</f>
        <v>0</v>
      </c>
      <c r="N152" s="16">
        <f ca="1">_xll.DBRW($D$4,$E$7,$E$8,$E$9,$E$10,$E$12,$D152,$E$6,N$18,N$17)</f>
        <v>-9.7962529999999881E-2</v>
      </c>
      <c r="O152" s="16">
        <f ca="1">_xll.DBRW($D$4,$E$7,$E$8,$E$9,$E$10,$E$12,$D152,$E$6,O$18,O$17)</f>
        <v>0.36039855000000004</v>
      </c>
      <c r="P152" s="74">
        <f ca="1">_xll.DBRW($D$4,$E$7,$E$8,$E$9,$E$10,$E$12,$D152,$E$6,P$18,P$17)</f>
        <v>-0.11943465999999998</v>
      </c>
      <c r="Q152" s="16">
        <f ca="1">_xll.DBRW($D$4,$E$7,$E$8,$E$9,$E$10,$E$12,$D152,$E$6,Q$18,Q$17)</f>
        <v>0.33139606138814925</v>
      </c>
      <c r="R152" s="16"/>
      <c r="S152" s="16"/>
      <c r="T152" s="16"/>
      <c r="U152" s="16"/>
      <c r="V152" s="16">
        <f ca="1">_xll.DBRW($D$4,$E$7,$E$8,$E$9,$E$10,$E$12,$D152,$E$6,V$18,V$17)</f>
        <v>-8.8105259999999977E-2</v>
      </c>
      <c r="W152" s="16">
        <f ca="1">_xll.DBRW($D$4,$E$7,$E$8,$E$9,$E$10,$E$12,$D152,$E$6,W$18,W$17)</f>
        <v>0.24446618889004956</v>
      </c>
      <c r="X152" s="16"/>
      <c r="Y152" s="16"/>
      <c r="Z152" s="16"/>
      <c r="AA152" s="16"/>
      <c r="AB152" s="16">
        <f ca="1">_xll.DBRW($D$4,$E$7,$E$8,$E$9,$E$10,$E$12,$D152,$E$6,AB$18,AB$17)</f>
        <v>-6.165511999999998E-2</v>
      </c>
      <c r="AC152" s="16">
        <f ca="1">_xll.DBRW($D$4,$E$7,$E$8,$E$9,$E$10,$E$12,$D152,$E$6,AC$18,AC$17)</f>
        <v>0.17107482813124519</v>
      </c>
      <c r="AD152" s="16"/>
      <c r="AE152" s="16"/>
      <c r="AF152" s="16"/>
      <c r="AG152" s="16"/>
      <c r="AH152" s="16">
        <f ca="1">_xll.DBRW($D$4,$E$7,$E$8,$E$9,$E$10,$E$12,$D152,$E$6,AH$18,AH$17)</f>
        <v>-0.12153401000000001</v>
      </c>
      <c r="AI152" s="16">
        <f ca="1">_xll.DBRW($D$4,$E$7,$E$8,$E$9,$E$10,$E$12,$D152,$E$6,AI$18,AI$17)</f>
        <v>0.33722114031812833</v>
      </c>
      <c r="AJ152" s="16"/>
      <c r="AK152" s="16"/>
      <c r="AL152" s="16"/>
      <c r="AM152" s="16"/>
      <c r="AN152" s="16">
        <f ca="1">_xll.DBRW($D$4,$E$7,$E$8,$E$9,$E$10,$E$12,$D152,$E$6,AN$18,AN$17)</f>
        <v>-6.763203000000001E-2</v>
      </c>
      <c r="AO152" s="16">
        <f ca="1">_xll.DBRW($D$4,$E$7,$E$8,$E$9,$E$10,$E$12,$D152,$E$6,AO$18,AO$17)</f>
        <v>0.1876589958533407</v>
      </c>
      <c r="AP152" s="16"/>
      <c r="AQ152" s="16"/>
      <c r="AR152" s="16"/>
      <c r="AS152" s="16"/>
      <c r="AT152" s="16">
        <f ca="1">_xll.DBRW($D$4,$E$7,$E$8,$E$9,$E$10,$E$12,$D152,$E$6,AT$18,AT$17)</f>
        <v>7.6308400000000007E-3</v>
      </c>
      <c r="AU152" s="16">
        <f ca="1">_xll.DBRW($D$4,$E$7,$E$8,$E$9,$E$10,$E$12,$D152,$E$6,AU$18,AU$17)</f>
        <v>0.17803000000000002</v>
      </c>
      <c r="AV152" s="16">
        <f ca="1">_xll.DBRW($D$4,$E$7,$E$8,$E$9,$E$10,$E$12,$D152,$E$6,AV$18,AV$17)</f>
        <v>0.17803000000000002</v>
      </c>
      <c r="AW152" s="16">
        <f ca="1">_xll.DBRW($D$4,$E$7,$E$8,$E$9,$E$10,$E$12,$D152,$E$6,AW$18,AW$17)</f>
        <v>0.17803000000000002</v>
      </c>
      <c r="AX152" s="16">
        <f ca="1">_xll.DBRW($D$4,$E$7,$E$8,$E$9,$E$10,$E$12,$D152,$E$6,AX$18,AX$17)</f>
        <v>6.3341699999999987E-2</v>
      </c>
      <c r="AY152" s="16">
        <f ca="1">_xll.DBRW($D$4,$E$7,$E$8,$E$9,$E$10,$E$12,$D152,$E$6,AY$18,AY$17)</f>
        <v>0.17803000000000002</v>
      </c>
      <c r="AZ152" s="16">
        <f ca="1">_xll.DBRW($D$4,$E$7,$E$8,$E$9,$E$10,$E$12,$D152,$E$6,AZ$18,AZ$17)</f>
        <v>9.0989999999999988E-2</v>
      </c>
      <c r="BA152" s="16">
        <f ca="1">_xll.DBRW($D$4,$E$7,$E$8,$E$9,$E$10,$E$12,$D152,$E$6,BA$18,BA$17)</f>
        <v>0.17803000000000002</v>
      </c>
      <c r="BB152" s="16">
        <f ca="1">_xll.DBRW($D$4,$E$7,$E$8,$E$9,$E$10,$E$12,$D152,$E$6,BB$18,BB$17)</f>
        <v>0.17803000000000002</v>
      </c>
      <c r="BC152" s="16">
        <f ca="1">_xll.DBRW($D$4,$E$7,$E$8,$E$9,$E$10,$E$12,$D152,$E$6,BC$18,BC$17)</f>
        <v>0.17803000000000002</v>
      </c>
      <c r="BD152" s="16">
        <f ca="1">_xll.DBRW($D$4,$E$7,$E$8,$E$9,$E$10,$E$12,$D152,$E$6,BD$18,BD$17)</f>
        <v>-2.6150235791000086E-2</v>
      </c>
      <c r="BE152" s="16">
        <f ca="1">_xll.DBRW($D$4,$E$7,$E$8,$E$9,$E$10,$E$12,$D152,$E$6,BE$18,BE$17)</f>
        <v>-8.2374829999999982E-2</v>
      </c>
      <c r="BF152" s="16">
        <f ca="1">_xll.DBRW($D$4,$E$7,$E$8,$E$9,$E$10,$E$12,$D152,$E$6,BF$18,BF$17)</f>
        <v>0</v>
      </c>
      <c r="BG152" s="26">
        <f ca="1">_xll.DBRW($D$4,$E$7,$E$8,$E$9,$E$10,$E$12,$D152,$E$6,BG$18,BG$17)</f>
        <v>0</v>
      </c>
      <c r="BH152" s="26">
        <f ca="1">_xll.DBRW($D$4,$E$7,$E$8,$E$9,$E$10,$E$12,$D152,$E$6,BH$18,BH$17)</f>
        <v>0</v>
      </c>
      <c r="BI152" s="26">
        <f ca="1">_xll.DBRW($D$4,$E$7,$E$8,$E$9,$E$10,$E$12,$D152,$E$6,BI$18,BI$17)</f>
        <v>0</v>
      </c>
      <c r="BJ152" s="26">
        <f ca="1">_xll.DBRW($D$4,$E$7,$E$8,$E$9,$E$10,$E$12,$D152,$E$6,BJ$18,BJ$17)</f>
        <v>0</v>
      </c>
      <c r="BK152" s="16">
        <f ca="1">_xll.DBRW($D$4,$E$7,$E$8,$E$9,$E$10,$E$12,$D152,$E$6,BK$18,BK$17)</f>
        <v>5.6224594208999903E-2</v>
      </c>
      <c r="BL152" s="16">
        <f ca="1">_xll.DBRW($D$4,$E$7,$E$8,$E$9,$E$10,$E$12,$D152,$E$6,BL$18,BL$17)</f>
        <v>0.53700539999999986</v>
      </c>
      <c r="BM152" s="16">
        <f ca="1">_xll.DBRW($D$4,$E$7,$E$8,$E$9,$E$10,$E$12,$D152,$E$6,BM$18,BM$17)</f>
        <v>-0.14337723999999999</v>
      </c>
      <c r="BN152" s="16">
        <f ca="1">_xll.DBRW($D$4,$E$7,$E$8,$E$9,$E$10,$E$12,$D152,$E$6,BN$18,BN$17)</f>
        <v>0.26699403767634372</v>
      </c>
      <c r="BO152" s="16"/>
      <c r="BP152" s="16"/>
      <c r="BQ152" s="16"/>
      <c r="BR152" s="16"/>
      <c r="BS152" s="16">
        <f ca="1">_xll.DBRW($D$4,$E$7,$E$8,$E$9,$E$10,$E$12,$D152,$E$6,BS$18,BS$17)</f>
        <v>-8.6491470000000001E-2</v>
      </c>
      <c r="BT152" s="16">
        <f ca="1">_xll.DBRW($D$4,$E$7,$E$8,$E$9,$E$10,$E$12,$D152,$E$6,BT$18,BT$17)</f>
        <v>0.16106257032052196</v>
      </c>
      <c r="BU152" s="16"/>
      <c r="BV152" s="16"/>
      <c r="BW152" s="16"/>
      <c r="BX152" s="16"/>
      <c r="BY152" s="16">
        <f ca="1">_xll.DBRW($D$4,$E$7,$E$8,$E$9,$E$10,$E$12,$D152,$E$6,BY$18,BY$17)</f>
        <v>-6.7644595791000003E-2</v>
      </c>
      <c r="BZ152" s="16">
        <f ca="1">_xll.DBRW($D$4,$E$7,$E$8,$E$9,$E$10,$E$12,$D152,$E$6,BZ$18,BZ$17)</f>
        <v>0.12596632322691731</v>
      </c>
      <c r="CA152" s="16"/>
      <c r="CB152" s="16"/>
      <c r="CC152" s="16"/>
      <c r="CD152" s="16"/>
      <c r="CE152" s="16">
        <f ca="1">_xll.DBRW($D$4,$E$7,$E$8,$E$9,$E$10,$E$12,$D152,$E$6,CE$18,CE$17)</f>
        <v>-0.11490008000000003</v>
      </c>
      <c r="CF152" s="16">
        <f ca="1">_xll.DBRW($D$4,$E$7,$E$8,$E$9,$E$10,$E$12,$D152,$E$6,CF$18,CF$17)</f>
        <v>0.21396447782461789</v>
      </c>
      <c r="CG152" s="16"/>
      <c r="CH152" s="16"/>
      <c r="CI152" s="16"/>
      <c r="CJ152" s="16"/>
      <c r="CK152" s="16">
        <f ca="1">_xll.DBRW($D$4,$E$7,$E$8,$E$9,$E$10,$E$12,$D152,$E$6,CK$18,CK$17)</f>
        <v>-6.8367419999999998E-2</v>
      </c>
      <c r="CL152" s="16">
        <f ca="1">_xll.DBRW($D$4,$E$7,$E$8,$E$9,$E$10,$E$12,$D152,$E$6,CL$18,CL$17)</f>
        <v>0.12731235104898389</v>
      </c>
      <c r="CM152" s="16"/>
      <c r="CN152" s="16"/>
      <c r="CO152" s="16"/>
      <c r="CP152" s="16"/>
      <c r="CQ152" s="16">
        <f ca="1">_xll.DBRW($D$4,$E$7,$E$8,$E$9,$E$10,$E$12,$D152,$E$6,CQ$18,CQ$17)</f>
        <v>9.6699999999999998E-3</v>
      </c>
      <c r="CR152" s="16">
        <f ca="1">_xll.DBRW($D$4,$E$7,$E$8,$E$9,$E$10,$E$12,$D152,$E$6,CR$18,CR$17)</f>
        <v>0.22618000000000002</v>
      </c>
      <c r="CS152" s="16">
        <f ca="1">_xll.DBRW($D$4,$E$7,$E$8,$E$9,$E$10,$E$12,$D152,$E$6,CS$18,CS$17)</f>
        <v>0.22618000000000002</v>
      </c>
      <c r="CT152" s="16">
        <f ca="1">_xll.DBRW($D$4,$E$7,$E$8,$E$9,$E$10,$E$12,$D152,$E$6,CT$18,CT$17)</f>
        <v>0.22618000000000002</v>
      </c>
      <c r="CU152" s="16">
        <f ca="1">_xll.DBRW($D$4,$E$7,$E$8,$E$9,$E$10,$E$12,$D152,$E$6,CU$18,CU$17)</f>
        <v>7.779403E-2</v>
      </c>
      <c r="CV152" s="16">
        <f ca="1">_xll.DBRW($D$4,$E$7,$E$8,$E$9,$E$10,$E$12,$D152,$E$6,CV$18,CV$17)</f>
        <v>0.22618000000000002</v>
      </c>
      <c r="CW152" s="16">
        <f ca="1">_xll.DBRW($D$4,$E$7,$E$8,$E$9,$E$10,$E$12,$D152,$E$6,CW$18,CW$17)</f>
        <v>0.10053999999999998</v>
      </c>
      <c r="CX152" s="16">
        <f ca="1">_xll.DBRW($D$4,$E$7,$E$8,$E$9,$E$10,$E$12,$D152,$E$6,CX$18,CX$17)</f>
        <v>0.22618000000000002</v>
      </c>
      <c r="CY152" s="16">
        <f ca="1">_xll.DBRW($D$4,$E$7,$E$8,$E$9,$E$10,$E$12,$D152,$E$6,CY$18,CY$17)</f>
        <v>0.22618000000000002</v>
      </c>
      <c r="CZ152" s="16">
        <f ca="1">_xll.DBRW($D$4,$E$7,$E$8,$E$9,$E$10,$E$12,$D152,$E$6,CZ$18,CZ$17)</f>
        <v>0.22618000000000002</v>
      </c>
      <c r="DA152" s="26">
        <f t="shared" ca="1" si="108"/>
        <v>-0.11502214420899978</v>
      </c>
      <c r="DB152" s="26">
        <f t="shared" ca="1" si="109"/>
        <v>3.9164979999999995E-2</v>
      </c>
      <c r="DC152" s="26">
        <f t="shared" ca="1" si="110"/>
        <v>0</v>
      </c>
      <c r="DD152" s="26">
        <f t="shared" ca="1" si="111"/>
        <v>0</v>
      </c>
      <c r="DE152" s="26">
        <f t="shared" ca="1" si="112"/>
        <v>0</v>
      </c>
      <c r="DF152" s="26">
        <f t="shared" ca="1" si="113"/>
        <v>0</v>
      </c>
      <c r="DG152" s="26">
        <f t="shared" ca="1" si="114"/>
        <v>0</v>
      </c>
      <c r="DH152" s="26">
        <f t="shared" ca="1" si="115"/>
        <v>-0.15418712420899977</v>
      </c>
      <c r="DI152" s="26">
        <f t="shared" ca="1" si="116"/>
        <v>-0.17660684999999982</v>
      </c>
      <c r="DJ152" s="26">
        <f t="shared" ca="1" si="117"/>
        <v>2.3942580000000005E-2</v>
      </c>
      <c r="DK152" s="26">
        <f t="shared" ca="1" si="118"/>
        <v>6.4402023711805534E-2</v>
      </c>
      <c r="DL152" s="26"/>
      <c r="DM152" s="26"/>
      <c r="DN152" s="26"/>
      <c r="DO152" s="26"/>
      <c r="DP152" s="26">
        <f t="shared" ca="1" si="119"/>
        <v>-1.6137899999999761E-3</v>
      </c>
      <c r="DQ152" s="26">
        <f t="shared" ca="1" si="120"/>
        <v>8.3403618569527604E-2</v>
      </c>
      <c r="DR152" s="26"/>
      <c r="DS152" s="26"/>
      <c r="DT152" s="26"/>
      <c r="DU152" s="26"/>
      <c r="DV152" s="26">
        <f t="shared" ca="1" si="121"/>
        <v>5.9894757910000235E-3</v>
      </c>
      <c r="DW152" s="26">
        <f t="shared" ca="1" si="122"/>
        <v>4.5108504904327884E-2</v>
      </c>
      <c r="DX152" s="26"/>
      <c r="DY152" s="26"/>
      <c r="DZ152" s="26"/>
      <c r="EA152" s="26"/>
      <c r="EB152" s="26">
        <f t="shared" ca="1" si="123"/>
        <v>-6.6339299999999823E-3</v>
      </c>
      <c r="EC152" s="26">
        <f t="shared" ca="1" si="124"/>
        <v>0.12325666249351044</v>
      </c>
      <c r="ED152" s="26"/>
      <c r="EE152" s="26"/>
      <c r="EF152" s="26"/>
      <c r="EG152" s="26"/>
      <c r="EH152" s="26">
        <f t="shared" ca="1" si="125"/>
        <v>7.3538999999998855E-4</v>
      </c>
      <c r="EI152" s="29">
        <f t="shared" ca="1" si="126"/>
        <v>6.0346644804356808E-2</v>
      </c>
      <c r="EJ152" s="29"/>
      <c r="EK152" s="29"/>
      <c r="EL152" s="29"/>
      <c r="EM152" s="29"/>
      <c r="EN152" s="93"/>
      <c r="EO152" s="29"/>
      <c r="EP152" s="29"/>
      <c r="EQ152" s="29"/>
      <c r="ER152" s="29"/>
      <c r="ES152" s="29"/>
      <c r="ET152" s="29"/>
      <c r="EU152" s="93"/>
      <c r="EV152" s="29"/>
      <c r="EW152" s="29"/>
      <c r="EX152" s="29"/>
      <c r="EY152" s="29"/>
      <c r="EZ152" s="29"/>
      <c r="FA152" s="29"/>
      <c r="FB152" s="93"/>
      <c r="FC152" s="29"/>
      <c r="FD152" s="29"/>
      <c r="FE152" s="29"/>
      <c r="FF152" s="29"/>
      <c r="FG152" s="29"/>
      <c r="FH152" s="29"/>
      <c r="FI152" s="93"/>
      <c r="FJ152" s="29"/>
      <c r="FK152" s="29"/>
      <c r="FL152" s="29"/>
      <c r="FM152" s="29"/>
      <c r="FN152" s="29"/>
      <c r="FO152" s="29"/>
      <c r="FP152" s="93"/>
      <c r="FQ152" s="29"/>
      <c r="FR152" s="29"/>
      <c r="FS152" s="29"/>
      <c r="FT152" s="29"/>
      <c r="FU152" s="29"/>
      <c r="FV152" s="29"/>
    </row>
    <row r="153" spans="1:178" x14ac:dyDescent="0.25">
      <c r="A153" t="str">
        <f ca="1">IF(_xll.TM1RPTELISCONSOLIDATED($D$28,$D153),IF(_xll.TM1RPTELLEV($D$28,$D153)&lt;=3,_xll.TM1RPTELLEV($D$28,$D153),"D"),"N")</f>
        <v>N</v>
      </c>
      <c r="B153" t="str">
        <f ca="1">_xll.DBRA(Server&amp;"Management_organization",$D153,$B$27)</f>
        <v>L</v>
      </c>
      <c r="C153">
        <v>1</v>
      </c>
      <c r="D153" s="2" t="s">
        <v>203</v>
      </c>
      <c r="E153" s="26"/>
      <c r="F153" s="26"/>
      <c r="G153" s="16">
        <f ca="1">_xll.DBRW($D$4,$E$7,$E$8,$E$9,$E$10,$E$12,$D153,$E$6,G$18,G$17)</f>
        <v>6.5432973900000029</v>
      </c>
      <c r="H153" s="16">
        <f ca="1">_xll.DBRW($D$4,$E$7,$E$8,$E$9,$E$10,$E$12,$D153,$E$6,H$18,H$17)</f>
        <v>-6.1746319999999993E-2</v>
      </c>
      <c r="I153" s="16">
        <f ca="1">_xll.DBRW($D$4,$E$7,$E$8,$E$9,$E$10,$E$12,$D153,$E$6,I$18,I$17)</f>
        <v>0</v>
      </c>
      <c r="J153" s="26">
        <f ca="1">_xll.DBRW($D$4,$E$7,$E$8,$E$9,$E$10,$E$12,$D153,$E$6,J$18,J$17)</f>
        <v>0</v>
      </c>
      <c r="K153" s="26">
        <f ca="1">_xll.DBRW($D$4,$E$7,$E$8,$E$9,$E$10,$E$12,$D153,$E$6,K$18,K$17)</f>
        <v>0</v>
      </c>
      <c r="L153" s="26">
        <f ca="1">_xll.DBRW($D$4,$E$7,$E$8,$E$9,$E$10,$E$12,$D153,$E$6,L$18,L$17)</f>
        <v>0</v>
      </c>
      <c r="M153" s="26">
        <f ca="1">_xll.DBRW($D$4,$E$7,$E$8,$E$9,$E$10,$E$12,$D153,$E$6,M$18,M$17)</f>
        <v>0</v>
      </c>
      <c r="N153" s="16">
        <f ca="1">_xll.DBRW($D$4,$E$7,$E$8,$E$9,$E$10,$E$12,$D153,$E$6,N$18,N$17)</f>
        <v>6.6050437100000012</v>
      </c>
      <c r="O153" s="16">
        <f ca="1">_xll.DBRW($D$4,$E$7,$E$8,$E$9,$E$10,$E$12,$D153,$E$6,O$18,O$17)</f>
        <v>26.852938819999999</v>
      </c>
      <c r="P153" s="74">
        <f ca="1">_xll.DBRW($D$4,$E$7,$E$8,$E$9,$E$10,$E$12,$D153,$E$6,P$18,P$17)</f>
        <v>-8.1191749699999995</v>
      </c>
      <c r="Q153" s="16">
        <f ca="1">_xll.DBRW($D$4,$E$7,$E$8,$E$9,$E$10,$E$12,$D153,$E$6,Q$18,Q$17)</f>
        <v>0.30235703527365354</v>
      </c>
      <c r="R153" s="16"/>
      <c r="S153" s="16"/>
      <c r="T153" s="16"/>
      <c r="U153" s="16"/>
      <c r="V153" s="16">
        <f ca="1">_xll.DBRW($D$4,$E$7,$E$8,$E$9,$E$10,$E$12,$D153,$E$6,V$18,V$17)</f>
        <v>-2.2489753999999995</v>
      </c>
      <c r="W153" s="16">
        <f ca="1">_xll.DBRW($D$4,$E$7,$E$8,$E$9,$E$10,$E$12,$D153,$E$6,W$18,W$17)</f>
        <v>8.3751555651888965E-2</v>
      </c>
      <c r="X153" s="16"/>
      <c r="Y153" s="16"/>
      <c r="Z153" s="16"/>
      <c r="AA153" s="16"/>
      <c r="AB153" s="16">
        <f ca="1">_xll.DBRW($D$4,$E$7,$E$8,$E$9,$E$10,$E$12,$D153,$E$6,AB$18,AB$17)</f>
        <v>-2.0108393899999997</v>
      </c>
      <c r="AC153" s="16">
        <f ca="1">_xll.DBRW($D$4,$E$7,$E$8,$E$9,$E$10,$E$12,$D153,$E$6,AC$18,AC$17)</f>
        <v>7.4883401160633176E-2</v>
      </c>
      <c r="AD153" s="16"/>
      <c r="AE153" s="16"/>
      <c r="AF153" s="16"/>
      <c r="AG153" s="16"/>
      <c r="AH153" s="16">
        <f ca="1">_xll.DBRW($D$4,$E$7,$E$8,$E$9,$E$10,$E$12,$D153,$E$6,AH$18,AH$17)</f>
        <v>-3.3857633900000006</v>
      </c>
      <c r="AI153" s="16">
        <f ca="1">_xll.DBRW($D$4,$E$7,$E$8,$E$9,$E$10,$E$12,$D153,$E$6,AI$18,AI$17)</f>
        <v>0.12608539470094399</v>
      </c>
      <c r="AJ153" s="16"/>
      <c r="AK153" s="16"/>
      <c r="AL153" s="16"/>
      <c r="AM153" s="16"/>
      <c r="AN153" s="16">
        <f ca="1">_xll.DBRW($D$4,$E$7,$E$8,$E$9,$E$10,$E$12,$D153,$E$6,AN$18,AN$17)</f>
        <v>-4.4831419600000002</v>
      </c>
      <c r="AO153" s="16">
        <f ca="1">_xll.DBRW($D$4,$E$7,$E$8,$E$9,$E$10,$E$12,$D153,$E$6,AO$18,AO$17)</f>
        <v>0.16695163200018048</v>
      </c>
      <c r="AP153" s="16"/>
      <c r="AQ153" s="16"/>
      <c r="AR153" s="16"/>
      <c r="AS153" s="16"/>
      <c r="AT153" s="16">
        <f ca="1">_xll.DBRW($D$4,$E$7,$E$8,$E$9,$E$10,$E$12,$D153,$E$6,AT$18,AT$17)</f>
        <v>0.35943661000000005</v>
      </c>
      <c r="AU153" s="16">
        <f ca="1">_xll.DBRW($D$4,$E$7,$E$8,$E$9,$E$10,$E$12,$D153,$E$6,AU$18,AU$17)</f>
        <v>6.5136499999999993</v>
      </c>
      <c r="AV153" s="16">
        <f ca="1">_xll.DBRW($D$4,$E$7,$E$8,$E$9,$E$10,$E$12,$D153,$E$6,AV$18,AV$17)</f>
        <v>6.5136499999999993</v>
      </c>
      <c r="AW153" s="16">
        <f ca="1">_xll.DBRW($D$4,$E$7,$E$8,$E$9,$E$10,$E$12,$D153,$E$6,AW$18,AW$17)</f>
        <v>6.5136499999999993</v>
      </c>
      <c r="AX153" s="16">
        <f ca="1">_xll.DBRW($D$4,$E$7,$E$8,$E$9,$E$10,$E$12,$D153,$E$6,AX$18,AX$17)</f>
        <v>2.1996019999999996</v>
      </c>
      <c r="AY153" s="16">
        <f ca="1">_xll.DBRW($D$4,$E$7,$E$8,$E$9,$E$10,$E$12,$D153,$E$6,AY$18,AY$17)</f>
        <v>6.5136499999999993</v>
      </c>
      <c r="AZ153" s="16">
        <f ca="1">_xll.DBRW($D$4,$E$7,$E$8,$E$9,$E$10,$E$12,$D153,$E$6,AZ$18,AZ$17)</f>
        <v>4.3532099999999998</v>
      </c>
      <c r="BA153" s="16">
        <f ca="1">_xll.DBRW($D$4,$E$7,$E$8,$E$9,$E$10,$E$12,$D153,$E$6,BA$18,BA$17)</f>
        <v>6.5136499999999993</v>
      </c>
      <c r="BB153" s="16">
        <f ca="1">_xll.DBRW($D$4,$E$7,$E$8,$E$9,$E$10,$E$12,$D153,$E$6,BB$18,BB$17)</f>
        <v>6.5136499999999993</v>
      </c>
      <c r="BC153" s="16">
        <f ca="1">_xll.DBRW($D$4,$E$7,$E$8,$E$9,$E$10,$E$12,$D153,$E$6,BC$18,BC$17)</f>
        <v>6.5136499999999993</v>
      </c>
      <c r="BD153" s="16">
        <f ca="1">_xll.DBRW($D$4,$E$7,$E$8,$E$9,$E$10,$E$12,$D153,$E$6,BD$18,BD$17)</f>
        <v>3.9631113890049612</v>
      </c>
      <c r="BE153" s="16">
        <f ca="1">_xll.DBRW($D$4,$E$7,$E$8,$E$9,$E$10,$E$12,$D153,$E$6,BE$18,BE$17)</f>
        <v>-1.4430859999999999</v>
      </c>
      <c r="BF153" s="16">
        <f ca="1">_xll.DBRW($D$4,$E$7,$E$8,$E$9,$E$10,$E$12,$D153,$E$6,BF$18,BF$17)</f>
        <v>0</v>
      </c>
      <c r="BG153" s="26">
        <f ca="1">_xll.DBRW($D$4,$E$7,$E$8,$E$9,$E$10,$E$12,$D153,$E$6,BG$18,BG$17)</f>
        <v>0</v>
      </c>
      <c r="BH153" s="26">
        <f ca="1">_xll.DBRW($D$4,$E$7,$E$8,$E$9,$E$10,$E$12,$D153,$E$6,BH$18,BH$17)</f>
        <v>0</v>
      </c>
      <c r="BI153" s="26">
        <f ca="1">_xll.DBRW($D$4,$E$7,$E$8,$E$9,$E$10,$E$12,$D153,$E$6,BI$18,BI$17)</f>
        <v>0</v>
      </c>
      <c r="BJ153" s="26">
        <f ca="1">_xll.DBRW($D$4,$E$7,$E$8,$E$9,$E$10,$E$12,$D153,$E$6,BJ$18,BJ$17)</f>
        <v>0</v>
      </c>
      <c r="BK153" s="16">
        <f ca="1">_xll.DBRW($D$4,$E$7,$E$8,$E$9,$E$10,$E$12,$D153,$E$6,BK$18,BK$17)</f>
        <v>5.4061973890049604</v>
      </c>
      <c r="BL153" s="16">
        <f ca="1">_xll.DBRW($D$4,$E$7,$E$8,$E$9,$E$10,$E$12,$D153,$E$6,BL$18,BL$17)</f>
        <v>28.7823129119902</v>
      </c>
      <c r="BM153" s="16">
        <f ca="1">_xll.DBRW($D$4,$E$7,$E$8,$E$9,$E$10,$E$12,$D153,$E$6,BM$18,BM$17)</f>
        <v>-9.1997089999999986</v>
      </c>
      <c r="BN153" s="16">
        <f ca="1">_xll.DBRW($D$4,$E$7,$E$8,$E$9,$E$10,$E$12,$D153,$E$6,BN$18,BN$17)</f>
        <v>0.31963063663891872</v>
      </c>
      <c r="BO153" s="16"/>
      <c r="BP153" s="16"/>
      <c r="BQ153" s="16"/>
      <c r="BR153" s="16"/>
      <c r="BS153" s="16">
        <f ca="1">_xll.DBRW($D$4,$E$7,$E$8,$E$9,$E$10,$E$12,$D153,$E$6,BS$18,BS$17)</f>
        <v>-2.600944867873201</v>
      </c>
      <c r="BT153" s="16">
        <f ca="1">_xll.DBRW($D$4,$E$7,$E$8,$E$9,$E$10,$E$12,$D153,$E$6,BT$18,BT$17)</f>
        <v>9.0366082664249461E-2</v>
      </c>
      <c r="BU153" s="16"/>
      <c r="BV153" s="16"/>
      <c r="BW153" s="16"/>
      <c r="BX153" s="16"/>
      <c r="BY153" s="16">
        <f ca="1">_xll.DBRW($D$4,$E$7,$E$8,$E$9,$E$10,$E$12,$D153,$E$6,BY$18,BY$17)</f>
        <v>-1.965479545112039</v>
      </c>
      <c r="BZ153" s="16">
        <f ca="1">_xll.DBRW($D$4,$E$7,$E$8,$E$9,$E$10,$E$12,$D153,$E$6,BZ$18,BZ$17)</f>
        <v>6.8287755439322431E-2</v>
      </c>
      <c r="CA153" s="16"/>
      <c r="CB153" s="16"/>
      <c r="CC153" s="16"/>
      <c r="CD153" s="16"/>
      <c r="CE153" s="16">
        <f ca="1">_xll.DBRW($D$4,$E$7,$E$8,$E$9,$E$10,$E$12,$D153,$E$6,CE$18,CE$17)</f>
        <v>-3.8214183699999995</v>
      </c>
      <c r="CF153" s="16">
        <f ca="1">_xll.DBRW($D$4,$E$7,$E$8,$E$9,$E$10,$E$12,$D153,$E$6,CF$18,CF$17)</f>
        <v>0.1327696763524541</v>
      </c>
      <c r="CG153" s="16"/>
      <c r="CH153" s="16"/>
      <c r="CI153" s="16"/>
      <c r="CJ153" s="16"/>
      <c r="CK153" s="16">
        <f ca="1">_xll.DBRW($D$4,$E$7,$E$8,$E$9,$E$10,$E$12,$D153,$E$6,CK$18,CK$17)</f>
        <v>-5.7885637400000007</v>
      </c>
      <c r="CL153" s="16">
        <f ca="1">_xll.DBRW($D$4,$E$7,$E$8,$E$9,$E$10,$E$12,$D153,$E$6,CL$18,CL$17)</f>
        <v>0.20111530847781828</v>
      </c>
      <c r="CM153" s="16"/>
      <c r="CN153" s="16"/>
      <c r="CO153" s="16"/>
      <c r="CP153" s="16"/>
      <c r="CQ153" s="16">
        <f ca="1">_xll.DBRW($D$4,$E$7,$E$8,$E$9,$E$10,$E$12,$D153,$E$6,CQ$18,CQ$17)</f>
        <v>0.39177075999999994</v>
      </c>
      <c r="CR153" s="16">
        <f ca="1">_xll.DBRW($D$4,$E$7,$E$8,$E$9,$E$10,$E$12,$D153,$E$6,CR$18,CR$17)</f>
        <v>7.0978309999999984</v>
      </c>
      <c r="CS153" s="16">
        <f ca="1">_xll.DBRW($D$4,$E$7,$E$8,$E$9,$E$10,$E$12,$D153,$E$6,CS$18,CS$17)</f>
        <v>7.0978309999999984</v>
      </c>
      <c r="CT153" s="16">
        <f ca="1">_xll.DBRW($D$4,$E$7,$E$8,$E$9,$E$10,$E$12,$D153,$E$6,CT$18,CT$17)</f>
        <v>7.0978309999999984</v>
      </c>
      <c r="CU153" s="16">
        <f ca="1">_xll.DBRW($D$4,$E$7,$E$8,$E$9,$E$10,$E$12,$D153,$E$6,CU$18,CU$17)</f>
        <v>2.3613539879999998</v>
      </c>
      <c r="CV153" s="16">
        <f ca="1">_xll.DBRW($D$4,$E$7,$E$8,$E$9,$E$10,$E$12,$D153,$E$6,CV$18,CV$17)</f>
        <v>7.0978309999999984</v>
      </c>
      <c r="CW153" s="16">
        <f ca="1">_xll.DBRW($D$4,$E$7,$E$8,$E$9,$E$10,$E$12,$D153,$E$6,CW$18,CW$17)</f>
        <v>4.7232809999999992</v>
      </c>
      <c r="CX153" s="16">
        <f ca="1">_xll.DBRW($D$4,$E$7,$E$8,$E$9,$E$10,$E$12,$D153,$E$6,CX$18,CX$17)</f>
        <v>7.0978309999999984</v>
      </c>
      <c r="CY153" s="16">
        <f ca="1">_xll.DBRW($D$4,$E$7,$E$8,$E$9,$E$10,$E$12,$D153,$E$6,CY$18,CY$17)</f>
        <v>7.0978309999999984</v>
      </c>
      <c r="CZ153" s="16">
        <f ca="1">_xll.DBRW($D$4,$E$7,$E$8,$E$9,$E$10,$E$12,$D153,$E$6,CZ$18,CZ$17)</f>
        <v>7.0978309999999984</v>
      </c>
      <c r="DA153" s="26">
        <f t="shared" ca="1" si="108"/>
        <v>2.5801860009950417</v>
      </c>
      <c r="DB153" s="26">
        <f t="shared" ca="1" si="109"/>
        <v>1.38133968</v>
      </c>
      <c r="DC153" s="26">
        <f t="shared" ca="1" si="110"/>
        <v>0</v>
      </c>
      <c r="DD153" s="26">
        <f t="shared" ca="1" si="111"/>
        <v>0</v>
      </c>
      <c r="DE153" s="26">
        <f t="shared" ca="1" si="112"/>
        <v>0</v>
      </c>
      <c r="DF153" s="26">
        <f t="shared" ca="1" si="113"/>
        <v>0</v>
      </c>
      <c r="DG153" s="26">
        <f t="shared" ca="1" si="114"/>
        <v>0</v>
      </c>
      <c r="DH153" s="26">
        <f t="shared" ca="1" si="115"/>
        <v>1.1988463209950408</v>
      </c>
      <c r="DI153" s="26">
        <f t="shared" ca="1" si="116"/>
        <v>-1.9293740919902014</v>
      </c>
      <c r="DJ153" s="26">
        <f t="shared" ca="1" si="117"/>
        <v>1.080534029999999</v>
      </c>
      <c r="DK153" s="26">
        <f t="shared" ca="1" si="118"/>
        <v>-1.7273601365265179E-2</v>
      </c>
      <c r="DL153" s="26"/>
      <c r="DM153" s="26"/>
      <c r="DN153" s="26"/>
      <c r="DO153" s="26"/>
      <c r="DP153" s="26">
        <f t="shared" ca="1" si="119"/>
        <v>0.35196946787320149</v>
      </c>
      <c r="DQ153" s="26">
        <f t="shared" ca="1" si="120"/>
        <v>-6.6145270123604966E-3</v>
      </c>
      <c r="DR153" s="26"/>
      <c r="DS153" s="26"/>
      <c r="DT153" s="26"/>
      <c r="DU153" s="26"/>
      <c r="DV153" s="26">
        <f t="shared" ca="1" si="121"/>
        <v>-4.5359844887960632E-2</v>
      </c>
      <c r="DW153" s="26">
        <f t="shared" ca="1" si="122"/>
        <v>6.5956457213107444E-3</v>
      </c>
      <c r="DX153" s="26"/>
      <c r="DY153" s="26"/>
      <c r="DZ153" s="26"/>
      <c r="EA153" s="26"/>
      <c r="EB153" s="26">
        <f t="shared" ca="1" si="123"/>
        <v>0.43565497999999891</v>
      </c>
      <c r="EC153" s="26">
        <f t="shared" ca="1" si="124"/>
        <v>-6.68428165151011E-3</v>
      </c>
      <c r="ED153" s="26"/>
      <c r="EE153" s="26"/>
      <c r="EF153" s="26"/>
      <c r="EG153" s="26"/>
      <c r="EH153" s="26">
        <f t="shared" ca="1" si="125"/>
        <v>1.3054217800000005</v>
      </c>
      <c r="EI153" s="29">
        <f t="shared" ca="1" si="126"/>
        <v>-3.4163676477637794E-2</v>
      </c>
      <c r="EJ153" s="29"/>
      <c r="EK153" s="29"/>
      <c r="EL153" s="29"/>
      <c r="EM153" s="29"/>
      <c r="EN153" s="93"/>
      <c r="EO153" s="29"/>
      <c r="EP153" s="29"/>
      <c r="EQ153" s="29"/>
      <c r="ER153" s="29"/>
      <c r="ES153" s="29"/>
      <c r="ET153" s="29"/>
      <c r="EU153" s="93"/>
      <c r="EV153" s="29"/>
      <c r="EW153" s="29"/>
      <c r="EX153" s="29"/>
      <c r="EY153" s="29"/>
      <c r="EZ153" s="29"/>
      <c r="FA153" s="29"/>
      <c r="FB153" s="93"/>
      <c r="FC153" s="29"/>
      <c r="FD153" s="29"/>
      <c r="FE153" s="29"/>
      <c r="FF153" s="29"/>
      <c r="FG153" s="29"/>
      <c r="FH153" s="29"/>
      <c r="FI153" s="93"/>
      <c r="FJ153" s="29"/>
      <c r="FK153" s="29"/>
      <c r="FL153" s="29"/>
      <c r="FM153" s="29"/>
      <c r="FN153" s="29"/>
      <c r="FO153" s="29"/>
      <c r="FP153" s="93"/>
      <c r="FQ153" s="29"/>
      <c r="FR153" s="29"/>
      <c r="FS153" s="29"/>
      <c r="FT153" s="29"/>
      <c r="FU153" s="29"/>
      <c r="FV153" s="29"/>
    </row>
    <row r="154" spans="1:178" x14ac:dyDescent="0.25">
      <c r="A154" t="str">
        <f ca="1">IF(_xll.TM1RPTELISCONSOLIDATED($D$28,$D154),IF(_xll.TM1RPTELLEV($D$28,$D154)&lt;=3,_xll.TM1RPTELLEV($D$28,$D154),"D"),"N")</f>
        <v>N</v>
      </c>
      <c r="B154" t="str">
        <f ca="1">_xll.DBRA(Server&amp;"Management_organization",$D154,$B$27)</f>
        <v>L</v>
      </c>
      <c r="C154">
        <v>1</v>
      </c>
      <c r="D154" s="2" t="s">
        <v>204</v>
      </c>
      <c r="E154" s="26"/>
      <c r="F154" s="26"/>
      <c r="G154" s="16">
        <f ca="1">_xll.DBRW($D$4,$E$7,$E$8,$E$9,$E$10,$E$12,$D154,$E$6,G$18,G$17)</f>
        <v>0.6421392600000001</v>
      </c>
      <c r="H154" s="16">
        <f ca="1">_xll.DBRW($D$4,$E$7,$E$8,$E$9,$E$10,$E$12,$D154,$E$6,H$18,H$17)</f>
        <v>-6.3436599999999996E-2</v>
      </c>
      <c r="I154" s="16">
        <f ca="1">_xll.DBRW($D$4,$E$7,$E$8,$E$9,$E$10,$E$12,$D154,$E$6,I$18,I$17)</f>
        <v>0</v>
      </c>
      <c r="J154" s="26">
        <f ca="1">_xll.DBRW($D$4,$E$7,$E$8,$E$9,$E$10,$E$12,$D154,$E$6,J$18,J$17)</f>
        <v>0</v>
      </c>
      <c r="K154" s="26">
        <f ca="1">_xll.DBRW($D$4,$E$7,$E$8,$E$9,$E$10,$E$12,$D154,$E$6,K$18,K$17)</f>
        <v>0</v>
      </c>
      <c r="L154" s="26">
        <f ca="1">_xll.DBRW($D$4,$E$7,$E$8,$E$9,$E$10,$E$12,$D154,$E$6,L$18,L$17)</f>
        <v>0</v>
      </c>
      <c r="M154" s="26">
        <f ca="1">_xll.DBRW($D$4,$E$7,$E$8,$E$9,$E$10,$E$12,$D154,$E$6,M$18,M$17)</f>
        <v>0</v>
      </c>
      <c r="N154" s="16">
        <f ca="1">_xll.DBRW($D$4,$E$7,$E$8,$E$9,$E$10,$E$12,$D154,$E$6,N$18,N$17)</f>
        <v>0.70557586000000005</v>
      </c>
      <c r="O154" s="16">
        <f ca="1">_xll.DBRW($D$4,$E$7,$E$8,$E$9,$E$10,$E$12,$D154,$E$6,O$18,O$17)</f>
        <v>1.7042749000000001</v>
      </c>
      <c r="P154" s="74">
        <f ca="1">_xll.DBRW($D$4,$E$7,$E$8,$E$9,$E$10,$E$12,$D154,$E$6,P$18,P$17)</f>
        <v>-0.53709341999999993</v>
      </c>
      <c r="Q154" s="16">
        <f ca="1">_xll.DBRW($D$4,$E$7,$E$8,$E$9,$E$10,$E$12,$D154,$E$6,Q$18,Q$17)</f>
        <v>0.31514482786785153</v>
      </c>
      <c r="R154" s="16"/>
      <c r="S154" s="16"/>
      <c r="T154" s="16"/>
      <c r="U154" s="16"/>
      <c r="V154" s="16">
        <f ca="1">_xll.DBRW($D$4,$E$7,$E$8,$E$9,$E$10,$E$12,$D154,$E$6,V$18,V$17)</f>
        <v>-4.9083109999999999E-2</v>
      </c>
      <c r="W154" s="16">
        <f ca="1">_xll.DBRW($D$4,$E$7,$E$8,$E$9,$E$10,$E$12,$D154,$E$6,W$18,W$17)</f>
        <v>2.8799995822270219E-2</v>
      </c>
      <c r="X154" s="16"/>
      <c r="Y154" s="16"/>
      <c r="Z154" s="16"/>
      <c r="AA154" s="16"/>
      <c r="AB154" s="16">
        <f ca="1">_xll.DBRW($D$4,$E$7,$E$8,$E$9,$E$10,$E$12,$D154,$E$6,AB$18,AB$17)</f>
        <v>-8.5941559999999972E-2</v>
      </c>
      <c r="AC154" s="16">
        <f ca="1">_xll.DBRW($D$4,$E$7,$E$8,$E$9,$E$10,$E$12,$D154,$E$6,AC$18,AC$17)</f>
        <v>5.0427052584063735E-2</v>
      </c>
      <c r="AD154" s="16"/>
      <c r="AE154" s="16"/>
      <c r="AF154" s="16"/>
      <c r="AG154" s="16"/>
      <c r="AH154" s="16">
        <f ca="1">_xll.DBRW($D$4,$E$7,$E$8,$E$9,$E$10,$E$12,$D154,$E$6,AH$18,AH$17)</f>
        <v>-0.12707391000000001</v>
      </c>
      <c r="AI154" s="16">
        <f ca="1">_xll.DBRW($D$4,$E$7,$E$8,$E$9,$E$10,$E$12,$D154,$E$6,AI$18,AI$17)</f>
        <v>7.4561862056408856E-2</v>
      </c>
      <c r="AJ154" s="16"/>
      <c r="AK154" s="16"/>
      <c r="AL154" s="16"/>
      <c r="AM154" s="16"/>
      <c r="AN154" s="16">
        <f ca="1">_xll.DBRW($D$4,$E$7,$E$8,$E$9,$E$10,$E$12,$D154,$E$6,AN$18,AN$17)</f>
        <v>-0.19950704000000002</v>
      </c>
      <c r="AO154" s="16">
        <f ca="1">_xll.DBRW($D$4,$E$7,$E$8,$E$9,$E$10,$E$12,$D154,$E$6,AO$18,AO$17)</f>
        <v>0.11706271095114996</v>
      </c>
      <c r="AP154" s="16"/>
      <c r="AQ154" s="16"/>
      <c r="AR154" s="16"/>
      <c r="AS154" s="16"/>
      <c r="AT154" s="16">
        <f ca="1">_xll.DBRW($D$4,$E$7,$E$8,$E$9,$E$10,$E$12,$D154,$E$6,AT$18,AT$17)</f>
        <v>1.7655999999999998E-2</v>
      </c>
      <c r="AU154" s="16">
        <f ca="1">_xll.DBRW($D$4,$E$7,$E$8,$E$9,$E$10,$E$12,$D154,$E$6,AU$18,AU$17)</f>
        <v>0.26613000000000003</v>
      </c>
      <c r="AV154" s="16">
        <f ca="1">_xll.DBRW($D$4,$E$7,$E$8,$E$9,$E$10,$E$12,$D154,$E$6,AV$18,AV$17)</f>
        <v>0.26613000000000003</v>
      </c>
      <c r="AW154" s="16">
        <f ca="1">_xll.DBRW($D$4,$E$7,$E$8,$E$9,$E$10,$E$12,$D154,$E$6,AW$18,AW$17)</f>
        <v>0.26613000000000003</v>
      </c>
      <c r="AX154" s="16">
        <f ca="1">_xll.DBRW($D$4,$E$7,$E$8,$E$9,$E$10,$E$12,$D154,$E$6,AX$18,AX$17)</f>
        <v>0.10191299999999999</v>
      </c>
      <c r="AY154" s="16">
        <f ca="1">_xll.DBRW($D$4,$E$7,$E$8,$E$9,$E$10,$E$12,$D154,$E$6,AY$18,AY$17)</f>
        <v>0.26613000000000003</v>
      </c>
      <c r="AZ154" s="16">
        <f ca="1">_xll.DBRW($D$4,$E$7,$E$8,$E$9,$E$10,$E$12,$D154,$E$6,AZ$18,AZ$17)</f>
        <v>0.22543999999999997</v>
      </c>
      <c r="BA154" s="16">
        <f ca="1">_xll.DBRW($D$4,$E$7,$E$8,$E$9,$E$10,$E$12,$D154,$E$6,BA$18,BA$17)</f>
        <v>0.26613000000000003</v>
      </c>
      <c r="BB154" s="16">
        <f ca="1">_xll.DBRW($D$4,$E$7,$E$8,$E$9,$E$10,$E$12,$D154,$E$6,BB$18,BB$17)</f>
        <v>0.26613000000000003</v>
      </c>
      <c r="BC154" s="16">
        <f ca="1">_xll.DBRW($D$4,$E$7,$E$8,$E$9,$E$10,$E$12,$D154,$E$6,BC$18,BC$17)</f>
        <v>0.26613000000000003</v>
      </c>
      <c r="BD154" s="16">
        <f ca="1">_xll.DBRW($D$4,$E$7,$E$8,$E$9,$E$10,$E$12,$D154,$E$6,BD$18,BD$17)</f>
        <v>6.4904865502019238E-2</v>
      </c>
      <c r="BE154" s="16">
        <f ca="1">_xll.DBRW($D$4,$E$7,$E$8,$E$9,$E$10,$E$12,$D154,$E$6,BE$18,BE$17)</f>
        <v>-9.6540509999999996E-2</v>
      </c>
      <c r="BF154" s="16">
        <f ca="1">_xll.DBRW($D$4,$E$7,$E$8,$E$9,$E$10,$E$12,$D154,$E$6,BF$18,BF$17)</f>
        <v>0</v>
      </c>
      <c r="BG154" s="26">
        <f ca="1">_xll.DBRW($D$4,$E$7,$E$8,$E$9,$E$10,$E$12,$D154,$E$6,BG$18,BG$17)</f>
        <v>0</v>
      </c>
      <c r="BH154" s="26">
        <f ca="1">_xll.DBRW($D$4,$E$7,$E$8,$E$9,$E$10,$E$12,$D154,$E$6,BH$18,BH$17)</f>
        <v>0</v>
      </c>
      <c r="BI154" s="26">
        <f ca="1">_xll.DBRW($D$4,$E$7,$E$8,$E$9,$E$10,$E$12,$D154,$E$6,BI$18,BI$17)</f>
        <v>0</v>
      </c>
      <c r="BJ154" s="26">
        <f ca="1">_xll.DBRW($D$4,$E$7,$E$8,$E$9,$E$10,$E$12,$D154,$E$6,BJ$18,BJ$17)</f>
        <v>0</v>
      </c>
      <c r="BK154" s="16">
        <f ca="1">_xll.DBRW($D$4,$E$7,$E$8,$E$9,$E$10,$E$12,$D154,$E$6,BK$18,BK$17)</f>
        <v>0.16144537550201923</v>
      </c>
      <c r="BL154" s="16">
        <f ca="1">_xll.DBRW($D$4,$E$7,$E$8,$E$9,$E$10,$E$12,$D154,$E$6,BL$18,BL$17)</f>
        <v>1.4043159999999999</v>
      </c>
      <c r="BM154" s="16">
        <f ca="1">_xll.DBRW($D$4,$E$7,$E$8,$E$9,$E$10,$E$12,$D154,$E$6,BM$18,BM$17)</f>
        <v>-0.61204500000000006</v>
      </c>
      <c r="BN154" s="16">
        <f ca="1">_xll.DBRW($D$4,$E$7,$E$8,$E$9,$E$10,$E$12,$D154,$E$6,BN$18,BN$17)</f>
        <v>0.43583139407369859</v>
      </c>
      <c r="BO154" s="16"/>
      <c r="BP154" s="16"/>
      <c r="BQ154" s="16"/>
      <c r="BR154" s="16"/>
      <c r="BS154" s="16">
        <f ca="1">_xll.DBRW($D$4,$E$7,$E$8,$E$9,$E$10,$E$12,$D154,$E$6,BS$18,BS$17)</f>
        <v>-9.7064810401310653E-2</v>
      </c>
      <c r="BT154" s="16">
        <f ca="1">_xll.DBRW($D$4,$E$7,$E$8,$E$9,$E$10,$E$12,$D154,$E$6,BT$18,BT$17)</f>
        <v>6.9118923661989656E-2</v>
      </c>
      <c r="BU154" s="16"/>
      <c r="BV154" s="16"/>
      <c r="BW154" s="16"/>
      <c r="BX154" s="16"/>
      <c r="BY154" s="16">
        <f ca="1">_xll.DBRW($D$4,$E$7,$E$8,$E$9,$E$10,$E$12,$D154,$E$6,BY$18,BY$17)</f>
        <v>-0.10621381409666997</v>
      </c>
      <c r="BZ154" s="16">
        <f ca="1">_xll.DBRW($D$4,$E$7,$E$8,$E$9,$E$10,$E$12,$D154,$E$6,BZ$18,BZ$17)</f>
        <v>7.5633841739800714E-2</v>
      </c>
      <c r="CA154" s="16"/>
      <c r="CB154" s="16"/>
      <c r="CC154" s="16"/>
      <c r="CD154" s="16"/>
      <c r="CE154" s="16">
        <f ca="1">_xll.DBRW($D$4,$E$7,$E$8,$E$9,$E$10,$E$12,$D154,$E$6,CE$18,CE$17)</f>
        <v>-0.141706</v>
      </c>
      <c r="CF154" s="16">
        <f ca="1">_xll.DBRW($D$4,$E$7,$E$8,$E$9,$E$10,$E$12,$D154,$E$6,CF$18,CF$17)</f>
        <v>0.1009074880582433</v>
      </c>
      <c r="CG154" s="16"/>
      <c r="CH154" s="16"/>
      <c r="CI154" s="16"/>
      <c r="CJ154" s="16"/>
      <c r="CK154" s="16">
        <f ca="1">_xll.DBRW($D$4,$E$7,$E$8,$E$9,$E$10,$E$12,$D154,$E$6,CK$18,CK$17)</f>
        <v>-0.28584100000000001</v>
      </c>
      <c r="CL154" s="16">
        <f ca="1">_xll.DBRW($D$4,$E$7,$E$8,$E$9,$E$10,$E$12,$D154,$E$6,CL$18,CL$17)</f>
        <v>0.20354464379811954</v>
      </c>
      <c r="CM154" s="16"/>
      <c r="CN154" s="16"/>
      <c r="CO154" s="16"/>
      <c r="CP154" s="16"/>
      <c r="CQ154" s="16">
        <f ca="1">_xll.DBRW($D$4,$E$7,$E$8,$E$9,$E$10,$E$12,$D154,$E$6,CQ$18,CQ$17)</f>
        <v>1.9534999999999997E-2</v>
      </c>
      <c r="CR154" s="16">
        <f ca="1">_xll.DBRW($D$4,$E$7,$E$8,$E$9,$E$10,$E$12,$D154,$E$6,CR$18,CR$17)</f>
        <v>0.30505699999999997</v>
      </c>
      <c r="CS154" s="16">
        <f ca="1">_xll.DBRW($D$4,$E$7,$E$8,$E$9,$E$10,$E$12,$D154,$E$6,CS$18,CS$17)</f>
        <v>0.30505699999999997</v>
      </c>
      <c r="CT154" s="16">
        <f ca="1">_xll.DBRW($D$4,$E$7,$E$8,$E$9,$E$10,$E$12,$D154,$E$6,CT$18,CT$17)</f>
        <v>0.30505699999999997</v>
      </c>
      <c r="CU154" s="16">
        <f ca="1">_xll.DBRW($D$4,$E$7,$E$8,$E$9,$E$10,$E$12,$D154,$E$6,CU$18,CU$17)</f>
        <v>0.12801472110000001</v>
      </c>
      <c r="CV154" s="16">
        <f ca="1">_xll.DBRW($D$4,$E$7,$E$8,$E$9,$E$10,$E$12,$D154,$E$6,CV$18,CV$17)</f>
        <v>0.30505699999999997</v>
      </c>
      <c r="CW154" s="16">
        <f ca="1">_xll.DBRW($D$4,$E$7,$E$8,$E$9,$E$10,$E$12,$D154,$E$6,CW$18,CW$17)</f>
        <v>0.26270499999999997</v>
      </c>
      <c r="CX154" s="16">
        <f ca="1">_xll.DBRW($D$4,$E$7,$E$8,$E$9,$E$10,$E$12,$D154,$E$6,CX$18,CX$17)</f>
        <v>0.30505699999999997</v>
      </c>
      <c r="CY154" s="16">
        <f ca="1">_xll.DBRW($D$4,$E$7,$E$8,$E$9,$E$10,$E$12,$D154,$E$6,CY$18,CY$17)</f>
        <v>0.30505699999999997</v>
      </c>
      <c r="CZ154" s="16">
        <f ca="1">_xll.DBRW($D$4,$E$7,$E$8,$E$9,$E$10,$E$12,$D154,$E$6,CZ$18,CZ$17)</f>
        <v>0.30505699999999997</v>
      </c>
      <c r="DA154" s="26">
        <f t="shared" ca="1" si="108"/>
        <v>0.57723439449798086</v>
      </c>
      <c r="DB154" s="26">
        <f t="shared" ca="1" si="109"/>
        <v>3.310391E-2</v>
      </c>
      <c r="DC154" s="26">
        <f t="shared" ca="1" si="110"/>
        <v>0</v>
      </c>
      <c r="DD154" s="26">
        <f t="shared" ca="1" si="111"/>
        <v>0</v>
      </c>
      <c r="DE154" s="26">
        <f t="shared" ca="1" si="112"/>
        <v>0</v>
      </c>
      <c r="DF154" s="26">
        <f t="shared" ca="1" si="113"/>
        <v>0</v>
      </c>
      <c r="DG154" s="26">
        <f t="shared" ca="1" si="114"/>
        <v>0</v>
      </c>
      <c r="DH154" s="26">
        <f t="shared" ca="1" si="115"/>
        <v>0.54413048449798085</v>
      </c>
      <c r="DI154" s="26">
        <f t="shared" ca="1" si="116"/>
        <v>0.29995890000000025</v>
      </c>
      <c r="DJ154" s="26">
        <f t="shared" ca="1" si="117"/>
        <v>7.4951580000000129E-2</v>
      </c>
      <c r="DK154" s="26">
        <f t="shared" ca="1" si="118"/>
        <v>-0.12068656620584706</v>
      </c>
      <c r="DL154" s="26"/>
      <c r="DM154" s="26"/>
      <c r="DN154" s="26"/>
      <c r="DO154" s="26"/>
      <c r="DP154" s="26">
        <f t="shared" ca="1" si="119"/>
        <v>4.7981700401310654E-2</v>
      </c>
      <c r="DQ154" s="26">
        <f t="shared" ca="1" si="120"/>
        <v>-4.0318927839719437E-2</v>
      </c>
      <c r="DR154" s="26"/>
      <c r="DS154" s="26"/>
      <c r="DT154" s="26"/>
      <c r="DU154" s="26"/>
      <c r="DV154" s="26">
        <f t="shared" ca="1" si="121"/>
        <v>2.0272254096669995E-2</v>
      </c>
      <c r="DW154" s="26">
        <f t="shared" ca="1" si="122"/>
        <v>-2.5206789155736979E-2</v>
      </c>
      <c r="DX154" s="26"/>
      <c r="DY154" s="26"/>
      <c r="DZ154" s="26"/>
      <c r="EA154" s="26"/>
      <c r="EB154" s="26">
        <f t="shared" ca="1" si="123"/>
        <v>1.4632089999999986E-2</v>
      </c>
      <c r="EC154" s="26">
        <f t="shared" ca="1" si="124"/>
        <v>-2.6345626001834446E-2</v>
      </c>
      <c r="ED154" s="26"/>
      <c r="EE154" s="26"/>
      <c r="EF154" s="26"/>
      <c r="EG154" s="26"/>
      <c r="EH154" s="26">
        <f t="shared" ca="1" si="125"/>
        <v>8.6333959999999987E-2</v>
      </c>
      <c r="EI154" s="29">
        <f t="shared" ca="1" si="126"/>
        <v>-8.6481932846969575E-2</v>
      </c>
      <c r="EJ154" s="29"/>
      <c r="EK154" s="29"/>
      <c r="EL154" s="29"/>
      <c r="EM154" s="29"/>
      <c r="EN154" s="93"/>
      <c r="EO154" s="29"/>
      <c r="EP154" s="29"/>
      <c r="EQ154" s="29"/>
      <c r="ER154" s="29"/>
      <c r="ES154" s="29"/>
      <c r="ET154" s="29"/>
      <c r="EU154" s="93"/>
      <c r="EV154" s="29"/>
      <c r="EW154" s="29"/>
      <c r="EX154" s="29"/>
      <c r="EY154" s="29"/>
      <c r="EZ154" s="29"/>
      <c r="FA154" s="29"/>
      <c r="FB154" s="93"/>
      <c r="FC154" s="29"/>
      <c r="FD154" s="29"/>
      <c r="FE154" s="29"/>
      <c r="FF154" s="29"/>
      <c r="FG154" s="29"/>
      <c r="FH154" s="29"/>
      <c r="FI154" s="93"/>
      <c r="FJ154" s="29"/>
      <c r="FK154" s="29"/>
      <c r="FL154" s="29"/>
      <c r="FM154" s="29"/>
      <c r="FN154" s="29"/>
      <c r="FO154" s="29"/>
      <c r="FP154" s="93"/>
      <c r="FQ154" s="29"/>
      <c r="FR154" s="29"/>
      <c r="FS154" s="29"/>
      <c r="FT154" s="29"/>
      <c r="FU154" s="29"/>
      <c r="FV154" s="29"/>
    </row>
    <row r="155" spans="1:178" x14ac:dyDescent="0.25">
      <c r="A155" t="str">
        <f ca="1">IF(_xll.TM1RPTELISCONSOLIDATED($D$28,$D155),IF(_xll.TM1RPTELLEV($D$28,$D155)&lt;=3,_xll.TM1RPTELLEV($D$28,$D155),"D"),"N")</f>
        <v>N</v>
      </c>
      <c r="B155" t="str">
        <f ca="1">_xll.DBRA(Server&amp;"Management_organization",$D155,$B$27)</f>
        <v>L</v>
      </c>
      <c r="C155">
        <v>1</v>
      </c>
      <c r="D155" s="2" t="s">
        <v>340</v>
      </c>
      <c r="E155" s="26"/>
      <c r="F155" s="26"/>
      <c r="G155" s="16">
        <f ca="1">_xll.DBRW($D$4,$E$7,$E$8,$E$9,$E$10,$E$12,$D155,$E$6,G$18,G$17)</f>
        <v>0.23804928000000003</v>
      </c>
      <c r="H155" s="16">
        <f ca="1">_xll.DBRW($D$4,$E$7,$E$8,$E$9,$E$10,$E$12,$D155,$E$6,H$18,H$17)</f>
        <v>-3.9095199999999997E-3</v>
      </c>
      <c r="I155" s="16">
        <f ca="1">_xll.DBRW($D$4,$E$7,$E$8,$E$9,$E$10,$E$12,$D155,$E$6,I$18,I$17)</f>
        <v>0</v>
      </c>
      <c r="J155" s="26">
        <f ca="1">_xll.DBRW($D$4,$E$7,$E$8,$E$9,$E$10,$E$12,$D155,$E$6,J$18,J$17)</f>
        <v>-1.249487E-2</v>
      </c>
      <c r="K155" s="26">
        <f ca="1">_xll.DBRW($D$4,$E$7,$E$8,$E$9,$E$10,$E$12,$D155,$E$6,K$18,K$17)</f>
        <v>0</v>
      </c>
      <c r="L155" s="26">
        <f ca="1">_xll.DBRW($D$4,$E$7,$E$8,$E$9,$E$10,$E$12,$D155,$E$6,L$18,L$17)</f>
        <v>0</v>
      </c>
      <c r="M155" s="26">
        <f ca="1">_xll.DBRW($D$4,$E$7,$E$8,$E$9,$E$10,$E$12,$D155,$E$6,M$18,M$17)</f>
        <v>0</v>
      </c>
      <c r="N155" s="16">
        <f ca="1">_xll.DBRW($D$4,$E$7,$E$8,$E$9,$E$10,$E$12,$D155,$E$6,N$18,N$17)</f>
        <v>0.25445367000000002</v>
      </c>
      <c r="O155" s="16">
        <f ca="1">_xll.DBRW($D$4,$E$7,$E$8,$E$9,$E$10,$E$12,$D155,$E$6,O$18,O$17)</f>
        <v>0.70742570999999999</v>
      </c>
      <c r="P155" s="74">
        <f ca="1">_xll.DBRW($D$4,$E$7,$E$8,$E$9,$E$10,$E$12,$D155,$E$6,P$18,P$17)</f>
        <v>-0.31220756</v>
      </c>
      <c r="Q155" s="16">
        <f ca="1">_xll.DBRW($D$4,$E$7,$E$8,$E$9,$E$10,$E$12,$D155,$E$6,Q$18,Q$17)</f>
        <v>0.44132911143418863</v>
      </c>
      <c r="R155" s="16"/>
      <c r="S155" s="16"/>
      <c r="T155" s="16"/>
      <c r="U155" s="16"/>
      <c r="V155" s="16">
        <f ca="1">_xll.DBRW($D$4,$E$7,$E$8,$E$9,$E$10,$E$12,$D155,$E$6,V$18,V$17)</f>
        <v>-1.7491389999999999E-2</v>
      </c>
      <c r="W155" s="16">
        <f ca="1">_xll.DBRW($D$4,$E$7,$E$8,$E$9,$E$10,$E$12,$D155,$E$6,W$18,W$17)</f>
        <v>2.4725408976159487E-2</v>
      </c>
      <c r="X155" s="16"/>
      <c r="Y155" s="16"/>
      <c r="Z155" s="16"/>
      <c r="AA155" s="16"/>
      <c r="AB155" s="16">
        <f ca="1">_xll.DBRW($D$4,$E$7,$E$8,$E$9,$E$10,$E$12,$D155,$E$6,AB$18,AB$17)</f>
        <v>0</v>
      </c>
      <c r="AC155" s="16">
        <f ca="1">_xll.DBRW($D$4,$E$7,$E$8,$E$9,$E$10,$E$12,$D155,$E$6,AC$18,AC$17)</f>
        <v>0</v>
      </c>
      <c r="AD155" s="16"/>
      <c r="AE155" s="16"/>
      <c r="AF155" s="16"/>
      <c r="AG155" s="16"/>
      <c r="AH155" s="16">
        <f ca="1">_xll.DBRW($D$4,$E$7,$E$8,$E$9,$E$10,$E$12,$D155,$E$6,AH$18,AH$17)</f>
        <v>-1.2863000000000003E-2</v>
      </c>
      <c r="AI155" s="16">
        <f ca="1">_xll.DBRW($D$4,$E$7,$E$8,$E$9,$E$10,$E$12,$D155,$E$6,AI$18,AI$17)</f>
        <v>1.8182827989104332E-2</v>
      </c>
      <c r="AJ155" s="16"/>
      <c r="AK155" s="16"/>
      <c r="AL155" s="16"/>
      <c r="AM155" s="16"/>
      <c r="AN155" s="16">
        <f ca="1">_xll.DBRW($D$4,$E$7,$E$8,$E$9,$E$10,$E$12,$D155,$E$6,AN$18,AN$17)</f>
        <v>-0.11041009</v>
      </c>
      <c r="AO155" s="16">
        <f ca="1">_xll.DBRW($D$4,$E$7,$E$8,$E$9,$E$10,$E$12,$D155,$E$6,AO$18,AO$17)</f>
        <v>0.15607305253296491</v>
      </c>
      <c r="AP155" s="16"/>
      <c r="AQ155" s="16"/>
      <c r="AR155" s="16"/>
      <c r="AS155" s="16"/>
      <c r="AT155" s="16">
        <f ca="1">_xll.DBRW($D$4,$E$7,$E$8,$E$9,$E$10,$E$12,$D155,$E$6,AT$18,AT$17)</f>
        <v>0</v>
      </c>
      <c r="AU155" s="16">
        <f ca="1">_xll.DBRW($D$4,$E$7,$E$8,$E$9,$E$10,$E$12,$D155,$E$6,AU$18,AU$17)</f>
        <v>0.155499</v>
      </c>
      <c r="AV155" s="16">
        <f ca="1">_xll.DBRW($D$4,$E$7,$E$8,$E$9,$E$10,$E$12,$D155,$E$6,AV$18,AV$17)</f>
        <v>0.155499</v>
      </c>
      <c r="AW155" s="16">
        <f ca="1">_xll.DBRW($D$4,$E$7,$E$8,$E$9,$E$10,$E$12,$D155,$E$6,AW$18,AW$17)</f>
        <v>0.155499</v>
      </c>
      <c r="AX155" s="16">
        <f ca="1">_xll.DBRW($D$4,$E$7,$E$8,$E$9,$E$10,$E$12,$D155,$E$6,AX$18,AX$17)</f>
        <v>4.7391999999999997E-2</v>
      </c>
      <c r="AY155" s="16">
        <f ca="1">_xll.DBRW($D$4,$E$7,$E$8,$E$9,$E$10,$E$12,$D155,$E$6,AY$18,AY$17)</f>
        <v>0.155499</v>
      </c>
      <c r="AZ155" s="16">
        <f ca="1">_xll.DBRW($D$4,$E$7,$E$8,$E$9,$E$10,$E$12,$D155,$E$6,AZ$18,AZ$17)</f>
        <v>0</v>
      </c>
      <c r="BA155" s="16">
        <f ca="1">_xll.DBRW($D$4,$E$7,$E$8,$E$9,$E$10,$E$12,$D155,$E$6,BA$18,BA$17)</f>
        <v>0.155499</v>
      </c>
      <c r="BB155" s="16">
        <f ca="1">_xll.DBRW($D$4,$E$7,$E$8,$E$9,$E$10,$E$12,$D155,$E$6,BB$18,BB$17)</f>
        <v>0.155499</v>
      </c>
      <c r="BC155" s="16">
        <f ca="1">_xll.DBRW($D$4,$E$7,$E$8,$E$9,$E$10,$E$12,$D155,$E$6,BC$18,BC$17)</f>
        <v>0.155499</v>
      </c>
      <c r="BD155" s="16">
        <f ca="1">_xll.DBRW($D$4,$E$7,$E$8,$E$9,$E$10,$E$12,$D155,$E$6,BD$18,BD$17)</f>
        <v>0</v>
      </c>
      <c r="BE155" s="16">
        <f ca="1">_xll.DBRW($D$4,$E$7,$E$8,$E$9,$E$10,$E$12,$D155,$E$6,BE$18,BE$17)</f>
        <v>0</v>
      </c>
      <c r="BF155" s="16">
        <f ca="1">_xll.DBRW($D$4,$E$7,$E$8,$E$9,$E$10,$E$12,$D155,$E$6,BF$18,BF$17)</f>
        <v>0</v>
      </c>
      <c r="BG155" s="26">
        <f ca="1">_xll.DBRW($D$4,$E$7,$E$8,$E$9,$E$10,$E$12,$D155,$E$6,BG$18,BG$17)</f>
        <v>0</v>
      </c>
      <c r="BH155" s="26">
        <f ca="1">_xll.DBRW($D$4,$E$7,$E$8,$E$9,$E$10,$E$12,$D155,$E$6,BH$18,BH$17)</f>
        <v>0</v>
      </c>
      <c r="BI155" s="26">
        <f ca="1">_xll.DBRW($D$4,$E$7,$E$8,$E$9,$E$10,$E$12,$D155,$E$6,BI$18,BI$17)</f>
        <v>0</v>
      </c>
      <c r="BJ155" s="26">
        <f ca="1">_xll.DBRW($D$4,$E$7,$E$8,$E$9,$E$10,$E$12,$D155,$E$6,BJ$18,BJ$17)</f>
        <v>0</v>
      </c>
      <c r="BK155" s="16">
        <f ca="1">_xll.DBRW($D$4,$E$7,$E$8,$E$9,$E$10,$E$12,$D155,$E$6,BK$18,BK$17)</f>
        <v>0</v>
      </c>
      <c r="BL155" s="16">
        <f ca="1">_xll.DBRW($D$4,$E$7,$E$8,$E$9,$E$10,$E$12,$D155,$E$6,BL$18,BL$17)</f>
        <v>0</v>
      </c>
      <c r="BM155" s="16">
        <f ca="1">_xll.DBRW($D$4,$E$7,$E$8,$E$9,$E$10,$E$12,$D155,$E$6,BM$18,BM$17)</f>
        <v>0</v>
      </c>
      <c r="BN155" s="16">
        <f ca="1">_xll.DBRW($D$4,$E$7,$E$8,$E$9,$E$10,$E$12,$D155,$E$6,BN$18,BN$17)</f>
        <v>0</v>
      </c>
      <c r="BO155" s="16"/>
      <c r="BP155" s="16"/>
      <c r="BQ155" s="16"/>
      <c r="BR155" s="16"/>
      <c r="BS155" s="16">
        <f ca="1">_xll.DBRW($D$4,$E$7,$E$8,$E$9,$E$10,$E$12,$D155,$E$6,BS$18,BS$17)</f>
        <v>0</v>
      </c>
      <c r="BT155" s="16">
        <f ca="1">_xll.DBRW($D$4,$E$7,$E$8,$E$9,$E$10,$E$12,$D155,$E$6,BT$18,BT$17)</f>
        <v>0</v>
      </c>
      <c r="BU155" s="16"/>
      <c r="BV155" s="16"/>
      <c r="BW155" s="16"/>
      <c r="BX155" s="16"/>
      <c r="BY155" s="16">
        <f ca="1">_xll.DBRW($D$4,$E$7,$E$8,$E$9,$E$10,$E$12,$D155,$E$6,BY$18,BY$17)</f>
        <v>0</v>
      </c>
      <c r="BZ155" s="16">
        <f ca="1">_xll.DBRW($D$4,$E$7,$E$8,$E$9,$E$10,$E$12,$D155,$E$6,BZ$18,BZ$17)</f>
        <v>0</v>
      </c>
      <c r="CA155" s="16"/>
      <c r="CB155" s="16"/>
      <c r="CC155" s="16"/>
      <c r="CD155" s="16"/>
      <c r="CE155" s="16">
        <f ca="1">_xll.DBRW($D$4,$E$7,$E$8,$E$9,$E$10,$E$12,$D155,$E$6,CE$18,CE$17)</f>
        <v>0</v>
      </c>
      <c r="CF155" s="16">
        <f ca="1">_xll.DBRW($D$4,$E$7,$E$8,$E$9,$E$10,$E$12,$D155,$E$6,CF$18,CF$17)</f>
        <v>0</v>
      </c>
      <c r="CG155" s="16"/>
      <c r="CH155" s="16"/>
      <c r="CI155" s="16"/>
      <c r="CJ155" s="16"/>
      <c r="CK155" s="16">
        <f ca="1">_xll.DBRW($D$4,$E$7,$E$8,$E$9,$E$10,$E$12,$D155,$E$6,CK$18,CK$17)</f>
        <v>0</v>
      </c>
      <c r="CL155" s="16">
        <f ca="1">_xll.DBRW($D$4,$E$7,$E$8,$E$9,$E$10,$E$12,$D155,$E$6,CL$18,CL$17)</f>
        <v>0</v>
      </c>
      <c r="CM155" s="16"/>
      <c r="CN155" s="16"/>
      <c r="CO155" s="16"/>
      <c r="CP155" s="16"/>
      <c r="CQ155" s="16">
        <f ca="1">_xll.DBRW($D$4,$E$7,$E$8,$E$9,$E$10,$E$12,$D155,$E$6,CQ$18,CQ$17)</f>
        <v>0</v>
      </c>
      <c r="CR155" s="16">
        <f ca="1">_xll.DBRW($D$4,$E$7,$E$8,$E$9,$E$10,$E$12,$D155,$E$6,CR$18,CR$17)</f>
        <v>0</v>
      </c>
      <c r="CS155" s="16">
        <f ca="1">_xll.DBRW($D$4,$E$7,$E$8,$E$9,$E$10,$E$12,$D155,$E$6,CS$18,CS$17)</f>
        <v>0</v>
      </c>
      <c r="CT155" s="16">
        <f ca="1">_xll.DBRW($D$4,$E$7,$E$8,$E$9,$E$10,$E$12,$D155,$E$6,CT$18,CT$17)</f>
        <v>0</v>
      </c>
      <c r="CU155" s="16">
        <f ca="1">_xll.DBRW($D$4,$E$7,$E$8,$E$9,$E$10,$E$12,$D155,$E$6,CU$18,CU$17)</f>
        <v>0</v>
      </c>
      <c r="CV155" s="16">
        <f ca="1">_xll.DBRW($D$4,$E$7,$E$8,$E$9,$E$10,$E$12,$D155,$E$6,CV$18,CV$17)</f>
        <v>0</v>
      </c>
      <c r="CW155" s="16">
        <f ca="1">_xll.DBRW($D$4,$E$7,$E$8,$E$9,$E$10,$E$12,$D155,$E$6,CW$18,CW$17)</f>
        <v>0</v>
      </c>
      <c r="CX155" s="16">
        <f ca="1">_xll.DBRW($D$4,$E$7,$E$8,$E$9,$E$10,$E$12,$D155,$E$6,CX$18,CX$17)</f>
        <v>0</v>
      </c>
      <c r="CY155" s="16">
        <f ca="1">_xll.DBRW($D$4,$E$7,$E$8,$E$9,$E$10,$E$12,$D155,$E$6,CY$18,CY$17)</f>
        <v>0</v>
      </c>
      <c r="CZ155" s="16">
        <f ca="1">_xll.DBRW($D$4,$E$7,$E$8,$E$9,$E$10,$E$12,$D155,$E$6,CZ$18,CZ$17)</f>
        <v>0</v>
      </c>
      <c r="DA155" s="26">
        <f t="shared" ca="1" si="108"/>
        <v>0.23804928000000003</v>
      </c>
      <c r="DB155" s="26">
        <f t="shared" ca="1" si="109"/>
        <v>-3.9095199999999997E-3</v>
      </c>
      <c r="DC155" s="26">
        <f t="shared" ca="1" si="110"/>
        <v>0</v>
      </c>
      <c r="DD155" s="26">
        <f t="shared" ca="1" si="111"/>
        <v>-1.249487E-2</v>
      </c>
      <c r="DE155" s="26">
        <f t="shared" ca="1" si="112"/>
        <v>0</v>
      </c>
      <c r="DF155" s="26">
        <f t="shared" ca="1" si="113"/>
        <v>0</v>
      </c>
      <c r="DG155" s="26">
        <f t="shared" ca="1" si="114"/>
        <v>0</v>
      </c>
      <c r="DH155" s="26">
        <f t="shared" ca="1" si="115"/>
        <v>0.25445367000000002</v>
      </c>
      <c r="DI155" s="26">
        <f t="shared" ca="1" si="116"/>
        <v>0.70742570999999999</v>
      </c>
      <c r="DJ155" s="26">
        <f t="shared" ca="1" si="117"/>
        <v>-0.31220756</v>
      </c>
      <c r="DK155" s="26">
        <f t="shared" ca="1" si="118"/>
        <v>0.44132911143418863</v>
      </c>
      <c r="DL155" s="26"/>
      <c r="DM155" s="26"/>
      <c r="DN155" s="26"/>
      <c r="DO155" s="26"/>
      <c r="DP155" s="26">
        <f t="shared" ca="1" si="119"/>
        <v>-1.7491389999999999E-2</v>
      </c>
      <c r="DQ155" s="26">
        <f t="shared" ca="1" si="120"/>
        <v>2.4725408976159487E-2</v>
      </c>
      <c r="DR155" s="26"/>
      <c r="DS155" s="26"/>
      <c r="DT155" s="26"/>
      <c r="DU155" s="26"/>
      <c r="DV155" s="26">
        <f t="shared" ca="1" si="121"/>
        <v>0</v>
      </c>
      <c r="DW155" s="26">
        <f t="shared" ca="1" si="122"/>
        <v>0</v>
      </c>
      <c r="DX155" s="26"/>
      <c r="DY155" s="26"/>
      <c r="DZ155" s="26"/>
      <c r="EA155" s="26"/>
      <c r="EB155" s="26">
        <f t="shared" ca="1" si="123"/>
        <v>-1.2863000000000003E-2</v>
      </c>
      <c r="EC155" s="26">
        <f t="shared" ca="1" si="124"/>
        <v>1.8182827989104332E-2</v>
      </c>
      <c r="ED155" s="26"/>
      <c r="EE155" s="26"/>
      <c r="EF155" s="26"/>
      <c r="EG155" s="26"/>
      <c r="EH155" s="26">
        <f t="shared" ca="1" si="125"/>
        <v>-0.11041009</v>
      </c>
      <c r="EI155" s="29">
        <f t="shared" ca="1" si="126"/>
        <v>0.15607305253296491</v>
      </c>
      <c r="EJ155" s="29"/>
      <c r="EK155" s="29"/>
      <c r="EL155" s="29"/>
      <c r="EM155" s="29"/>
      <c r="EN155" s="93"/>
      <c r="EO155" s="29"/>
      <c r="EP155" s="29"/>
      <c r="EQ155" s="29"/>
      <c r="ER155" s="29"/>
      <c r="ES155" s="29"/>
      <c r="ET155" s="29"/>
      <c r="EU155" s="93"/>
      <c r="EV155" s="29"/>
      <c r="EW155" s="29"/>
      <c r="EX155" s="29"/>
      <c r="EY155" s="29"/>
      <c r="EZ155" s="29"/>
      <c r="FA155" s="29"/>
      <c r="FB155" s="93"/>
      <c r="FC155" s="29"/>
      <c r="FD155" s="29"/>
      <c r="FE155" s="29"/>
      <c r="FF155" s="29"/>
      <c r="FG155" s="29"/>
      <c r="FH155" s="29"/>
      <c r="FI155" s="93"/>
      <c r="FJ155" s="29"/>
      <c r="FK155" s="29"/>
      <c r="FL155" s="29"/>
      <c r="FM155" s="29"/>
      <c r="FN155" s="29"/>
      <c r="FO155" s="29"/>
      <c r="FP155" s="93"/>
      <c r="FQ155" s="29"/>
      <c r="FR155" s="29"/>
      <c r="FS155" s="29"/>
      <c r="FT155" s="29"/>
      <c r="FU155" s="29"/>
      <c r="FV155" s="29"/>
    </row>
    <row r="156" spans="1:178" x14ac:dyDescent="0.25">
      <c r="A156" t="str">
        <f ca="1">IF(_xll.TM1RPTELISCONSOLIDATED($D$28,$D156),IF(_xll.TM1RPTELLEV($D$28,$D156)&lt;=3,_xll.TM1RPTELLEV($D$28,$D156),"D"),"N")</f>
        <v>N</v>
      </c>
      <c r="B156" t="str">
        <f ca="1">_xll.DBRA(Server&amp;"Management_organization",$D156,$B$27)</f>
        <v>L</v>
      </c>
      <c r="C156">
        <v>1</v>
      </c>
      <c r="D156" s="2" t="s">
        <v>341</v>
      </c>
      <c r="E156" s="26"/>
      <c r="F156" s="26"/>
      <c r="G156" s="16">
        <f ca="1">_xll.DBRW($D$4,$E$7,$E$8,$E$9,$E$10,$E$12,$D156,$E$6,G$18,G$17)</f>
        <v>0.19109570000000009</v>
      </c>
      <c r="H156" s="16">
        <f ca="1">_xll.DBRW($D$4,$E$7,$E$8,$E$9,$E$10,$E$12,$D156,$E$6,H$18,H$17)</f>
        <v>-2.5684999999999999E-2</v>
      </c>
      <c r="I156" s="16">
        <f ca="1">_xll.DBRW($D$4,$E$7,$E$8,$E$9,$E$10,$E$12,$D156,$E$6,I$18,I$17)</f>
        <v>0</v>
      </c>
      <c r="J156" s="26">
        <f ca="1">_xll.DBRW($D$4,$E$7,$E$8,$E$9,$E$10,$E$12,$D156,$E$6,J$18,J$17)</f>
        <v>0</v>
      </c>
      <c r="K156" s="26">
        <f ca="1">_xll.DBRW($D$4,$E$7,$E$8,$E$9,$E$10,$E$12,$D156,$E$6,K$18,K$17)</f>
        <v>0</v>
      </c>
      <c r="L156" s="26">
        <f ca="1">_xll.DBRW($D$4,$E$7,$E$8,$E$9,$E$10,$E$12,$D156,$E$6,L$18,L$17)</f>
        <v>0</v>
      </c>
      <c r="M156" s="26">
        <f ca="1">_xll.DBRW($D$4,$E$7,$E$8,$E$9,$E$10,$E$12,$D156,$E$6,M$18,M$17)</f>
        <v>0</v>
      </c>
      <c r="N156" s="16">
        <f ca="1">_xll.DBRW($D$4,$E$7,$E$8,$E$9,$E$10,$E$12,$D156,$E$6,N$18,N$17)</f>
        <v>0.2167807000000001</v>
      </c>
      <c r="O156" s="16">
        <f ca="1">_xll.DBRW($D$4,$E$7,$E$8,$E$9,$E$10,$E$12,$D156,$E$6,O$18,O$17)</f>
        <v>0.87038097999999997</v>
      </c>
      <c r="P156" s="74">
        <f ca="1">_xll.DBRW($D$4,$E$7,$E$8,$E$9,$E$10,$E$12,$D156,$E$6,P$18,P$17)</f>
        <v>-0.27120559</v>
      </c>
      <c r="Q156" s="16">
        <f ca="1">_xll.DBRW($D$4,$E$7,$E$8,$E$9,$E$10,$E$12,$D156,$E$6,Q$18,Q$17)</f>
        <v>0.31159411364894485</v>
      </c>
      <c r="R156" s="16"/>
      <c r="S156" s="16"/>
      <c r="T156" s="16"/>
      <c r="U156" s="16"/>
      <c r="V156" s="16">
        <f ca="1">_xll.DBRW($D$4,$E$7,$E$8,$E$9,$E$10,$E$12,$D156,$E$6,V$18,V$17)</f>
        <v>-5.0757609999999988E-2</v>
      </c>
      <c r="W156" s="16">
        <f ca="1">_xll.DBRW($D$4,$E$7,$E$8,$E$9,$E$10,$E$12,$D156,$E$6,W$18,W$17)</f>
        <v>5.8316543176299633E-2</v>
      </c>
      <c r="X156" s="16"/>
      <c r="Y156" s="16"/>
      <c r="Z156" s="16"/>
      <c r="AA156" s="16"/>
      <c r="AB156" s="16">
        <f ca="1">_xll.DBRW($D$4,$E$7,$E$8,$E$9,$E$10,$E$12,$D156,$E$6,AB$18,AB$17)</f>
        <v>-8.8747619999999985E-2</v>
      </c>
      <c r="AC156" s="16">
        <f ca="1">_xll.DBRW($D$4,$E$7,$E$8,$E$9,$E$10,$E$12,$D156,$E$6,AC$18,AC$17)</f>
        <v>0.10196410771751928</v>
      </c>
      <c r="AD156" s="16"/>
      <c r="AE156" s="16"/>
      <c r="AF156" s="16"/>
      <c r="AG156" s="16"/>
      <c r="AH156" s="16">
        <f ca="1">_xll.DBRW($D$4,$E$7,$E$8,$E$9,$E$10,$E$12,$D156,$E$6,AH$18,AH$17)</f>
        <v>-3.2929529999999999E-2</v>
      </c>
      <c r="AI156" s="16">
        <f ca="1">_xll.DBRW($D$4,$E$7,$E$8,$E$9,$E$10,$E$12,$D156,$E$6,AI$18,AI$17)</f>
        <v>3.7833466903194508E-2</v>
      </c>
      <c r="AJ156" s="16"/>
      <c r="AK156" s="16"/>
      <c r="AL156" s="16"/>
      <c r="AM156" s="16"/>
      <c r="AN156" s="16">
        <f ca="1">_xll.DBRW($D$4,$E$7,$E$8,$E$9,$E$10,$E$12,$D156,$E$6,AN$18,AN$17)</f>
        <v>-0.20995992999999999</v>
      </c>
      <c r="AO156" s="16">
        <f ca="1">_xll.DBRW($D$4,$E$7,$E$8,$E$9,$E$10,$E$12,$D156,$E$6,AO$18,AO$17)</f>
        <v>0.24122761735900983</v>
      </c>
      <c r="AP156" s="16"/>
      <c r="AQ156" s="16"/>
      <c r="AR156" s="16"/>
      <c r="AS156" s="16"/>
      <c r="AT156" s="16">
        <f ca="1">_xll.DBRW($D$4,$E$7,$E$8,$E$9,$E$10,$E$12,$D156,$E$6,AT$18,AT$17)</f>
        <v>9.6039999999999997E-3</v>
      </c>
      <c r="AU156" s="16">
        <f ca="1">_xll.DBRW($D$4,$E$7,$E$8,$E$9,$E$10,$E$12,$D156,$E$6,AU$18,AU$17)</f>
        <v>0.25703999999999999</v>
      </c>
      <c r="AV156" s="16">
        <f ca="1">_xll.DBRW($D$4,$E$7,$E$8,$E$9,$E$10,$E$12,$D156,$E$6,AV$18,AV$17)</f>
        <v>0.25703999999999999</v>
      </c>
      <c r="AW156" s="16">
        <f ca="1">_xll.DBRW($D$4,$E$7,$E$8,$E$9,$E$10,$E$12,$D156,$E$6,AW$18,AW$17)</f>
        <v>0.25703999999999999</v>
      </c>
      <c r="AX156" s="16">
        <f ca="1">_xll.DBRW($D$4,$E$7,$E$8,$E$9,$E$10,$E$12,$D156,$E$6,AX$18,AX$17)</f>
        <v>8.7396000000000001E-2</v>
      </c>
      <c r="AY156" s="16">
        <f ca="1">_xll.DBRW($D$4,$E$7,$E$8,$E$9,$E$10,$E$12,$D156,$E$6,AY$18,AY$17)</f>
        <v>0.25703999999999999</v>
      </c>
      <c r="AZ156" s="16">
        <f ca="1">_xll.DBRW($D$4,$E$7,$E$8,$E$9,$E$10,$E$12,$D156,$E$6,AZ$18,AZ$17)</f>
        <v>0</v>
      </c>
      <c r="BA156" s="16">
        <f ca="1">_xll.DBRW($D$4,$E$7,$E$8,$E$9,$E$10,$E$12,$D156,$E$6,BA$18,BA$17)</f>
        <v>0.25703999999999999</v>
      </c>
      <c r="BB156" s="16">
        <f ca="1">_xll.DBRW($D$4,$E$7,$E$8,$E$9,$E$10,$E$12,$D156,$E$6,BB$18,BB$17)</f>
        <v>0.25703999999999999</v>
      </c>
      <c r="BC156" s="16">
        <f ca="1">_xll.DBRW($D$4,$E$7,$E$8,$E$9,$E$10,$E$12,$D156,$E$6,BC$18,BC$17)</f>
        <v>0.25703999999999999</v>
      </c>
      <c r="BD156" s="16">
        <f ca="1">_xll.DBRW($D$4,$E$7,$E$8,$E$9,$E$10,$E$12,$D156,$E$6,BD$18,BD$17)</f>
        <v>0</v>
      </c>
      <c r="BE156" s="16">
        <f ca="1">_xll.DBRW($D$4,$E$7,$E$8,$E$9,$E$10,$E$12,$D156,$E$6,BE$18,BE$17)</f>
        <v>0</v>
      </c>
      <c r="BF156" s="16">
        <f ca="1">_xll.DBRW($D$4,$E$7,$E$8,$E$9,$E$10,$E$12,$D156,$E$6,BF$18,BF$17)</f>
        <v>0</v>
      </c>
      <c r="BG156" s="26">
        <f ca="1">_xll.DBRW($D$4,$E$7,$E$8,$E$9,$E$10,$E$12,$D156,$E$6,BG$18,BG$17)</f>
        <v>0</v>
      </c>
      <c r="BH156" s="26">
        <f ca="1">_xll.DBRW($D$4,$E$7,$E$8,$E$9,$E$10,$E$12,$D156,$E$6,BH$18,BH$17)</f>
        <v>0</v>
      </c>
      <c r="BI156" s="26">
        <f ca="1">_xll.DBRW($D$4,$E$7,$E$8,$E$9,$E$10,$E$12,$D156,$E$6,BI$18,BI$17)</f>
        <v>0</v>
      </c>
      <c r="BJ156" s="26">
        <f ca="1">_xll.DBRW($D$4,$E$7,$E$8,$E$9,$E$10,$E$12,$D156,$E$6,BJ$18,BJ$17)</f>
        <v>0</v>
      </c>
      <c r="BK156" s="16">
        <f ca="1">_xll.DBRW($D$4,$E$7,$E$8,$E$9,$E$10,$E$12,$D156,$E$6,BK$18,BK$17)</f>
        <v>0</v>
      </c>
      <c r="BL156" s="16">
        <f ca="1">_xll.DBRW($D$4,$E$7,$E$8,$E$9,$E$10,$E$12,$D156,$E$6,BL$18,BL$17)</f>
        <v>0</v>
      </c>
      <c r="BM156" s="16">
        <f ca="1">_xll.DBRW($D$4,$E$7,$E$8,$E$9,$E$10,$E$12,$D156,$E$6,BM$18,BM$17)</f>
        <v>0</v>
      </c>
      <c r="BN156" s="16">
        <f ca="1">_xll.DBRW($D$4,$E$7,$E$8,$E$9,$E$10,$E$12,$D156,$E$6,BN$18,BN$17)</f>
        <v>0</v>
      </c>
      <c r="BO156" s="16"/>
      <c r="BP156" s="16"/>
      <c r="BQ156" s="16"/>
      <c r="BR156" s="16"/>
      <c r="BS156" s="16">
        <f ca="1">_xll.DBRW($D$4,$E$7,$E$8,$E$9,$E$10,$E$12,$D156,$E$6,BS$18,BS$17)</f>
        <v>0</v>
      </c>
      <c r="BT156" s="16">
        <f ca="1">_xll.DBRW($D$4,$E$7,$E$8,$E$9,$E$10,$E$12,$D156,$E$6,BT$18,BT$17)</f>
        <v>0</v>
      </c>
      <c r="BU156" s="16"/>
      <c r="BV156" s="16"/>
      <c r="BW156" s="16"/>
      <c r="BX156" s="16"/>
      <c r="BY156" s="16">
        <f ca="1">_xll.DBRW($D$4,$E$7,$E$8,$E$9,$E$10,$E$12,$D156,$E$6,BY$18,BY$17)</f>
        <v>0</v>
      </c>
      <c r="BZ156" s="16">
        <f ca="1">_xll.DBRW($D$4,$E$7,$E$8,$E$9,$E$10,$E$12,$D156,$E$6,BZ$18,BZ$17)</f>
        <v>0</v>
      </c>
      <c r="CA156" s="16"/>
      <c r="CB156" s="16"/>
      <c r="CC156" s="16"/>
      <c r="CD156" s="16"/>
      <c r="CE156" s="16">
        <f ca="1">_xll.DBRW($D$4,$E$7,$E$8,$E$9,$E$10,$E$12,$D156,$E$6,CE$18,CE$17)</f>
        <v>0</v>
      </c>
      <c r="CF156" s="16">
        <f ca="1">_xll.DBRW($D$4,$E$7,$E$8,$E$9,$E$10,$E$12,$D156,$E$6,CF$18,CF$17)</f>
        <v>0</v>
      </c>
      <c r="CG156" s="16"/>
      <c r="CH156" s="16"/>
      <c r="CI156" s="16"/>
      <c r="CJ156" s="16"/>
      <c r="CK156" s="16">
        <f ca="1">_xll.DBRW($D$4,$E$7,$E$8,$E$9,$E$10,$E$12,$D156,$E$6,CK$18,CK$17)</f>
        <v>0</v>
      </c>
      <c r="CL156" s="16">
        <f ca="1">_xll.DBRW($D$4,$E$7,$E$8,$E$9,$E$10,$E$12,$D156,$E$6,CL$18,CL$17)</f>
        <v>0</v>
      </c>
      <c r="CM156" s="16"/>
      <c r="CN156" s="16"/>
      <c r="CO156" s="16"/>
      <c r="CP156" s="16"/>
      <c r="CQ156" s="16">
        <f ca="1">_xll.DBRW($D$4,$E$7,$E$8,$E$9,$E$10,$E$12,$D156,$E$6,CQ$18,CQ$17)</f>
        <v>0</v>
      </c>
      <c r="CR156" s="16">
        <f ca="1">_xll.DBRW($D$4,$E$7,$E$8,$E$9,$E$10,$E$12,$D156,$E$6,CR$18,CR$17)</f>
        <v>0</v>
      </c>
      <c r="CS156" s="16">
        <f ca="1">_xll.DBRW($D$4,$E$7,$E$8,$E$9,$E$10,$E$12,$D156,$E$6,CS$18,CS$17)</f>
        <v>0</v>
      </c>
      <c r="CT156" s="16">
        <f ca="1">_xll.DBRW($D$4,$E$7,$E$8,$E$9,$E$10,$E$12,$D156,$E$6,CT$18,CT$17)</f>
        <v>0</v>
      </c>
      <c r="CU156" s="16">
        <f ca="1">_xll.DBRW($D$4,$E$7,$E$8,$E$9,$E$10,$E$12,$D156,$E$6,CU$18,CU$17)</f>
        <v>0</v>
      </c>
      <c r="CV156" s="16">
        <f ca="1">_xll.DBRW($D$4,$E$7,$E$8,$E$9,$E$10,$E$12,$D156,$E$6,CV$18,CV$17)</f>
        <v>0</v>
      </c>
      <c r="CW156" s="16">
        <f ca="1">_xll.DBRW($D$4,$E$7,$E$8,$E$9,$E$10,$E$12,$D156,$E$6,CW$18,CW$17)</f>
        <v>0</v>
      </c>
      <c r="CX156" s="16">
        <f ca="1">_xll.DBRW($D$4,$E$7,$E$8,$E$9,$E$10,$E$12,$D156,$E$6,CX$18,CX$17)</f>
        <v>0</v>
      </c>
      <c r="CY156" s="16">
        <f ca="1">_xll.DBRW($D$4,$E$7,$E$8,$E$9,$E$10,$E$12,$D156,$E$6,CY$18,CY$17)</f>
        <v>0</v>
      </c>
      <c r="CZ156" s="16">
        <f ca="1">_xll.DBRW($D$4,$E$7,$E$8,$E$9,$E$10,$E$12,$D156,$E$6,CZ$18,CZ$17)</f>
        <v>0</v>
      </c>
      <c r="DA156" s="26">
        <f t="shared" ca="1" si="108"/>
        <v>0.19109570000000009</v>
      </c>
      <c r="DB156" s="26">
        <f t="shared" ca="1" si="109"/>
        <v>-2.5684999999999999E-2</v>
      </c>
      <c r="DC156" s="26">
        <f t="shared" ca="1" si="110"/>
        <v>0</v>
      </c>
      <c r="DD156" s="26">
        <f t="shared" ca="1" si="111"/>
        <v>0</v>
      </c>
      <c r="DE156" s="26">
        <f t="shared" ca="1" si="112"/>
        <v>0</v>
      </c>
      <c r="DF156" s="26">
        <f t="shared" ca="1" si="113"/>
        <v>0</v>
      </c>
      <c r="DG156" s="26">
        <f t="shared" ca="1" si="114"/>
        <v>0</v>
      </c>
      <c r="DH156" s="26">
        <f t="shared" ca="1" si="115"/>
        <v>0.2167807000000001</v>
      </c>
      <c r="DI156" s="26">
        <f t="shared" ca="1" si="116"/>
        <v>0.87038097999999997</v>
      </c>
      <c r="DJ156" s="26">
        <f t="shared" ca="1" si="117"/>
        <v>-0.27120559</v>
      </c>
      <c r="DK156" s="26">
        <f t="shared" ca="1" si="118"/>
        <v>0.31159411364894485</v>
      </c>
      <c r="DL156" s="26"/>
      <c r="DM156" s="26"/>
      <c r="DN156" s="26"/>
      <c r="DO156" s="26"/>
      <c r="DP156" s="26">
        <f t="shared" ca="1" si="119"/>
        <v>-5.0757609999999988E-2</v>
      </c>
      <c r="DQ156" s="26">
        <f t="shared" ca="1" si="120"/>
        <v>5.8316543176299633E-2</v>
      </c>
      <c r="DR156" s="26"/>
      <c r="DS156" s="26"/>
      <c r="DT156" s="26"/>
      <c r="DU156" s="26"/>
      <c r="DV156" s="26">
        <f t="shared" ca="1" si="121"/>
        <v>-8.8747619999999985E-2</v>
      </c>
      <c r="DW156" s="26">
        <f t="shared" ca="1" si="122"/>
        <v>0.10196410771751928</v>
      </c>
      <c r="DX156" s="26"/>
      <c r="DY156" s="26"/>
      <c r="DZ156" s="26"/>
      <c r="EA156" s="26"/>
      <c r="EB156" s="26">
        <f t="shared" ca="1" si="123"/>
        <v>-3.2929529999999999E-2</v>
      </c>
      <c r="EC156" s="26">
        <f t="shared" ca="1" si="124"/>
        <v>3.7833466903194508E-2</v>
      </c>
      <c r="ED156" s="26"/>
      <c r="EE156" s="26"/>
      <c r="EF156" s="26"/>
      <c r="EG156" s="26"/>
      <c r="EH156" s="26">
        <f t="shared" ca="1" si="125"/>
        <v>-0.20995992999999999</v>
      </c>
      <c r="EI156" s="29">
        <f t="shared" ca="1" si="126"/>
        <v>0.24122761735900983</v>
      </c>
      <c r="EJ156" s="29"/>
      <c r="EK156" s="29"/>
      <c r="EL156" s="29"/>
      <c r="EM156" s="29"/>
      <c r="EN156" s="93"/>
      <c r="EO156" s="29"/>
      <c r="EP156" s="29"/>
      <c r="EQ156" s="29"/>
      <c r="ER156" s="29"/>
      <c r="ES156" s="29"/>
      <c r="ET156" s="29"/>
      <c r="EU156" s="93"/>
      <c r="EV156" s="29"/>
      <c r="EW156" s="29"/>
      <c r="EX156" s="29"/>
      <c r="EY156" s="29"/>
      <c r="EZ156" s="29"/>
      <c r="FA156" s="29"/>
      <c r="FB156" s="93"/>
      <c r="FC156" s="29"/>
      <c r="FD156" s="29"/>
      <c r="FE156" s="29"/>
      <c r="FF156" s="29"/>
      <c r="FG156" s="29"/>
      <c r="FH156" s="29"/>
      <c r="FI156" s="93"/>
      <c r="FJ156" s="29"/>
      <c r="FK156" s="29"/>
      <c r="FL156" s="29"/>
      <c r="FM156" s="29"/>
      <c r="FN156" s="29"/>
      <c r="FO156" s="29"/>
      <c r="FP156" s="93"/>
      <c r="FQ156" s="29"/>
      <c r="FR156" s="29"/>
      <c r="FS156" s="29"/>
      <c r="FT156" s="29"/>
      <c r="FU156" s="29"/>
      <c r="FV156" s="29"/>
    </row>
    <row r="157" spans="1:178" x14ac:dyDescent="0.25">
      <c r="A157" t="str">
        <f ca="1">IF(_xll.TM1RPTELISCONSOLIDATED($D$28,$D157),IF(_xll.TM1RPTELLEV($D$28,$D157)&lt;=3,_xll.TM1RPTELLEV($D$28,$D157),"D"),"N")</f>
        <v>N</v>
      </c>
      <c r="B157" t="str">
        <f ca="1">_xll.DBRA(Server&amp;"Management_organization",$D157,$B$27)</f>
        <v>L</v>
      </c>
      <c r="C157">
        <v>1</v>
      </c>
      <c r="D157" s="2" t="s">
        <v>342</v>
      </c>
      <c r="E157" s="26"/>
      <c r="F157" s="26"/>
      <c r="G157" s="16">
        <f ca="1">_xll.DBRW($D$4,$E$7,$E$8,$E$9,$E$10,$E$12,$D157,$E$6,G$18,G$17)</f>
        <v>1.7305200000000409E-3</v>
      </c>
      <c r="H157" s="16">
        <f ca="1">_xll.DBRW($D$4,$E$7,$E$8,$E$9,$E$10,$E$12,$D157,$E$6,H$18,H$17)</f>
        <v>0</v>
      </c>
      <c r="I157" s="16">
        <f ca="1">_xll.DBRW($D$4,$E$7,$E$8,$E$9,$E$10,$E$12,$D157,$E$6,I$18,I$17)</f>
        <v>0</v>
      </c>
      <c r="J157" s="26">
        <f ca="1">_xll.DBRW($D$4,$E$7,$E$8,$E$9,$E$10,$E$12,$D157,$E$6,J$18,J$17)</f>
        <v>0</v>
      </c>
      <c r="K157" s="26">
        <f ca="1">_xll.DBRW($D$4,$E$7,$E$8,$E$9,$E$10,$E$12,$D157,$E$6,K$18,K$17)</f>
        <v>0</v>
      </c>
      <c r="L157" s="26">
        <f ca="1">_xll.DBRW($D$4,$E$7,$E$8,$E$9,$E$10,$E$12,$D157,$E$6,L$18,L$17)</f>
        <v>0</v>
      </c>
      <c r="M157" s="26">
        <f ca="1">_xll.DBRW($D$4,$E$7,$E$8,$E$9,$E$10,$E$12,$D157,$E$6,M$18,M$17)</f>
        <v>0</v>
      </c>
      <c r="N157" s="16">
        <f ca="1">_xll.DBRW($D$4,$E$7,$E$8,$E$9,$E$10,$E$12,$D157,$E$6,N$18,N$17)</f>
        <v>1.7305200000000409E-3</v>
      </c>
      <c r="O157" s="16">
        <f ca="1">_xll.DBRW($D$4,$E$7,$E$8,$E$9,$E$10,$E$12,$D157,$E$6,O$18,O$17)</f>
        <v>2.1348710000000042E-2</v>
      </c>
      <c r="P157" s="74">
        <f ca="1">_xll.DBRW($D$4,$E$7,$E$8,$E$9,$E$10,$E$12,$D157,$E$6,P$18,P$17)</f>
        <v>0</v>
      </c>
      <c r="Q157" s="16">
        <f ca="1">_xll.DBRW($D$4,$E$7,$E$8,$E$9,$E$10,$E$12,$D157,$E$6,Q$18,Q$17)</f>
        <v>0</v>
      </c>
      <c r="R157" s="16"/>
      <c r="S157" s="16"/>
      <c r="T157" s="16"/>
      <c r="U157" s="16"/>
      <c r="V157" s="16">
        <f ca="1">_xll.DBRW($D$4,$E$7,$E$8,$E$9,$E$10,$E$12,$D157,$E$6,V$18,V$17)</f>
        <v>0</v>
      </c>
      <c r="W157" s="16">
        <f ca="1">_xll.DBRW($D$4,$E$7,$E$8,$E$9,$E$10,$E$12,$D157,$E$6,W$18,W$17)</f>
        <v>0</v>
      </c>
      <c r="X157" s="16"/>
      <c r="Y157" s="16"/>
      <c r="Z157" s="16"/>
      <c r="AA157" s="16"/>
      <c r="AB157" s="16">
        <f ca="1">_xll.DBRW($D$4,$E$7,$E$8,$E$9,$E$10,$E$12,$D157,$E$6,AB$18,AB$17)</f>
        <v>0</v>
      </c>
      <c r="AC157" s="16">
        <f ca="1">_xll.DBRW($D$4,$E$7,$E$8,$E$9,$E$10,$E$12,$D157,$E$6,AC$18,AC$17)</f>
        <v>0</v>
      </c>
      <c r="AD157" s="16"/>
      <c r="AE157" s="16"/>
      <c r="AF157" s="16"/>
      <c r="AG157" s="16"/>
      <c r="AH157" s="16">
        <f ca="1">_xll.DBRW($D$4,$E$7,$E$8,$E$9,$E$10,$E$12,$D157,$E$6,AH$18,AH$17)</f>
        <v>0</v>
      </c>
      <c r="AI157" s="16">
        <f ca="1">_xll.DBRW($D$4,$E$7,$E$8,$E$9,$E$10,$E$12,$D157,$E$6,AI$18,AI$17)</f>
        <v>0</v>
      </c>
      <c r="AJ157" s="16"/>
      <c r="AK157" s="16"/>
      <c r="AL157" s="16"/>
      <c r="AM157" s="16"/>
      <c r="AN157" s="16">
        <f ca="1">_xll.DBRW($D$4,$E$7,$E$8,$E$9,$E$10,$E$12,$D157,$E$6,AN$18,AN$17)</f>
        <v>-1.9618190000000001E-2</v>
      </c>
      <c r="AO157" s="16">
        <f ca="1">_xll.DBRW($D$4,$E$7,$E$8,$E$9,$E$10,$E$12,$D157,$E$6,AO$18,AO$17)</f>
        <v>0.91894030131094395</v>
      </c>
      <c r="AP157" s="16"/>
      <c r="AQ157" s="16"/>
      <c r="AR157" s="16"/>
      <c r="AS157" s="16"/>
      <c r="AT157" s="16">
        <f ca="1">_xll.DBRW($D$4,$E$7,$E$8,$E$9,$E$10,$E$12,$D157,$E$6,AT$18,AT$17)</f>
        <v>0</v>
      </c>
      <c r="AU157" s="16">
        <f ca="1">_xll.DBRW($D$4,$E$7,$E$8,$E$9,$E$10,$E$12,$D157,$E$6,AU$18,AU$17)</f>
        <v>0</v>
      </c>
      <c r="AV157" s="16">
        <f ca="1">_xll.DBRW($D$4,$E$7,$E$8,$E$9,$E$10,$E$12,$D157,$E$6,AV$18,AV$17)</f>
        <v>0</v>
      </c>
      <c r="AW157" s="16">
        <f ca="1">_xll.DBRW($D$4,$E$7,$E$8,$E$9,$E$10,$E$12,$D157,$E$6,AW$18,AW$17)</f>
        <v>0</v>
      </c>
      <c r="AX157" s="16">
        <f ca="1">_xll.DBRW($D$4,$E$7,$E$8,$E$9,$E$10,$E$12,$D157,$E$6,AX$18,AX$17)</f>
        <v>0</v>
      </c>
      <c r="AY157" s="16">
        <f ca="1">_xll.DBRW($D$4,$E$7,$E$8,$E$9,$E$10,$E$12,$D157,$E$6,AY$18,AY$17)</f>
        <v>0</v>
      </c>
      <c r="AZ157" s="16">
        <f ca="1">_xll.DBRW($D$4,$E$7,$E$8,$E$9,$E$10,$E$12,$D157,$E$6,AZ$18,AZ$17)</f>
        <v>0</v>
      </c>
      <c r="BA157" s="16">
        <f ca="1">_xll.DBRW($D$4,$E$7,$E$8,$E$9,$E$10,$E$12,$D157,$E$6,BA$18,BA$17)</f>
        <v>0</v>
      </c>
      <c r="BB157" s="16">
        <f ca="1">_xll.DBRW($D$4,$E$7,$E$8,$E$9,$E$10,$E$12,$D157,$E$6,BB$18,BB$17)</f>
        <v>0</v>
      </c>
      <c r="BC157" s="16">
        <f ca="1">_xll.DBRW($D$4,$E$7,$E$8,$E$9,$E$10,$E$12,$D157,$E$6,BC$18,BC$17)</f>
        <v>0</v>
      </c>
      <c r="BD157" s="16">
        <f ca="1">_xll.DBRW($D$4,$E$7,$E$8,$E$9,$E$10,$E$12,$D157,$E$6,BD$18,BD$17)</f>
        <v>0</v>
      </c>
      <c r="BE157" s="16">
        <f ca="1">_xll.DBRW($D$4,$E$7,$E$8,$E$9,$E$10,$E$12,$D157,$E$6,BE$18,BE$17)</f>
        <v>0</v>
      </c>
      <c r="BF157" s="16">
        <f ca="1">_xll.DBRW($D$4,$E$7,$E$8,$E$9,$E$10,$E$12,$D157,$E$6,BF$18,BF$17)</f>
        <v>0</v>
      </c>
      <c r="BG157" s="26">
        <f ca="1">_xll.DBRW($D$4,$E$7,$E$8,$E$9,$E$10,$E$12,$D157,$E$6,BG$18,BG$17)</f>
        <v>0</v>
      </c>
      <c r="BH157" s="26">
        <f ca="1">_xll.DBRW($D$4,$E$7,$E$8,$E$9,$E$10,$E$12,$D157,$E$6,BH$18,BH$17)</f>
        <v>0</v>
      </c>
      <c r="BI157" s="26">
        <f ca="1">_xll.DBRW($D$4,$E$7,$E$8,$E$9,$E$10,$E$12,$D157,$E$6,BI$18,BI$17)</f>
        <v>0</v>
      </c>
      <c r="BJ157" s="26">
        <f ca="1">_xll.DBRW($D$4,$E$7,$E$8,$E$9,$E$10,$E$12,$D157,$E$6,BJ$18,BJ$17)</f>
        <v>0</v>
      </c>
      <c r="BK157" s="16">
        <f ca="1">_xll.DBRW($D$4,$E$7,$E$8,$E$9,$E$10,$E$12,$D157,$E$6,BK$18,BK$17)</f>
        <v>0</v>
      </c>
      <c r="BL157" s="16">
        <f ca="1">_xll.DBRW($D$4,$E$7,$E$8,$E$9,$E$10,$E$12,$D157,$E$6,BL$18,BL$17)</f>
        <v>0</v>
      </c>
      <c r="BM157" s="16">
        <f ca="1">_xll.DBRW($D$4,$E$7,$E$8,$E$9,$E$10,$E$12,$D157,$E$6,BM$18,BM$17)</f>
        <v>0</v>
      </c>
      <c r="BN157" s="16">
        <f ca="1">_xll.DBRW($D$4,$E$7,$E$8,$E$9,$E$10,$E$12,$D157,$E$6,BN$18,BN$17)</f>
        <v>0</v>
      </c>
      <c r="BO157" s="16"/>
      <c r="BP157" s="16"/>
      <c r="BQ157" s="16"/>
      <c r="BR157" s="16"/>
      <c r="BS157" s="16">
        <f ca="1">_xll.DBRW($D$4,$E$7,$E$8,$E$9,$E$10,$E$12,$D157,$E$6,BS$18,BS$17)</f>
        <v>0</v>
      </c>
      <c r="BT157" s="16">
        <f ca="1">_xll.DBRW($D$4,$E$7,$E$8,$E$9,$E$10,$E$12,$D157,$E$6,BT$18,BT$17)</f>
        <v>0</v>
      </c>
      <c r="BU157" s="16"/>
      <c r="BV157" s="16"/>
      <c r="BW157" s="16"/>
      <c r="BX157" s="16"/>
      <c r="BY157" s="16">
        <f ca="1">_xll.DBRW($D$4,$E$7,$E$8,$E$9,$E$10,$E$12,$D157,$E$6,BY$18,BY$17)</f>
        <v>0</v>
      </c>
      <c r="BZ157" s="16">
        <f ca="1">_xll.DBRW($D$4,$E$7,$E$8,$E$9,$E$10,$E$12,$D157,$E$6,BZ$18,BZ$17)</f>
        <v>0</v>
      </c>
      <c r="CA157" s="16"/>
      <c r="CB157" s="16"/>
      <c r="CC157" s="16"/>
      <c r="CD157" s="16"/>
      <c r="CE157" s="16">
        <f ca="1">_xll.DBRW($D$4,$E$7,$E$8,$E$9,$E$10,$E$12,$D157,$E$6,CE$18,CE$17)</f>
        <v>0</v>
      </c>
      <c r="CF157" s="16">
        <f ca="1">_xll.DBRW($D$4,$E$7,$E$8,$E$9,$E$10,$E$12,$D157,$E$6,CF$18,CF$17)</f>
        <v>0</v>
      </c>
      <c r="CG157" s="16"/>
      <c r="CH157" s="16"/>
      <c r="CI157" s="16"/>
      <c r="CJ157" s="16"/>
      <c r="CK157" s="16">
        <f ca="1">_xll.DBRW($D$4,$E$7,$E$8,$E$9,$E$10,$E$12,$D157,$E$6,CK$18,CK$17)</f>
        <v>0</v>
      </c>
      <c r="CL157" s="16">
        <f ca="1">_xll.DBRW($D$4,$E$7,$E$8,$E$9,$E$10,$E$12,$D157,$E$6,CL$18,CL$17)</f>
        <v>0</v>
      </c>
      <c r="CM157" s="16"/>
      <c r="CN157" s="16"/>
      <c r="CO157" s="16"/>
      <c r="CP157" s="16"/>
      <c r="CQ157" s="16">
        <f ca="1">_xll.DBRW($D$4,$E$7,$E$8,$E$9,$E$10,$E$12,$D157,$E$6,CQ$18,CQ$17)</f>
        <v>0</v>
      </c>
      <c r="CR157" s="16">
        <f ca="1">_xll.DBRW($D$4,$E$7,$E$8,$E$9,$E$10,$E$12,$D157,$E$6,CR$18,CR$17)</f>
        <v>0</v>
      </c>
      <c r="CS157" s="16">
        <f ca="1">_xll.DBRW($D$4,$E$7,$E$8,$E$9,$E$10,$E$12,$D157,$E$6,CS$18,CS$17)</f>
        <v>0</v>
      </c>
      <c r="CT157" s="16">
        <f ca="1">_xll.DBRW($D$4,$E$7,$E$8,$E$9,$E$10,$E$12,$D157,$E$6,CT$18,CT$17)</f>
        <v>0</v>
      </c>
      <c r="CU157" s="16">
        <f ca="1">_xll.DBRW($D$4,$E$7,$E$8,$E$9,$E$10,$E$12,$D157,$E$6,CU$18,CU$17)</f>
        <v>0</v>
      </c>
      <c r="CV157" s="16">
        <f ca="1">_xll.DBRW($D$4,$E$7,$E$8,$E$9,$E$10,$E$12,$D157,$E$6,CV$18,CV$17)</f>
        <v>0</v>
      </c>
      <c r="CW157" s="16">
        <f ca="1">_xll.DBRW($D$4,$E$7,$E$8,$E$9,$E$10,$E$12,$D157,$E$6,CW$18,CW$17)</f>
        <v>0</v>
      </c>
      <c r="CX157" s="16">
        <f ca="1">_xll.DBRW($D$4,$E$7,$E$8,$E$9,$E$10,$E$12,$D157,$E$6,CX$18,CX$17)</f>
        <v>0</v>
      </c>
      <c r="CY157" s="16">
        <f ca="1">_xll.DBRW($D$4,$E$7,$E$8,$E$9,$E$10,$E$12,$D157,$E$6,CY$18,CY$17)</f>
        <v>0</v>
      </c>
      <c r="CZ157" s="16">
        <f ca="1">_xll.DBRW($D$4,$E$7,$E$8,$E$9,$E$10,$E$12,$D157,$E$6,CZ$18,CZ$17)</f>
        <v>0</v>
      </c>
      <c r="DA157" s="26">
        <f t="shared" ref="DA157:DA220" ca="1" si="127">G157-BD157</f>
        <v>1.7305200000000409E-3</v>
      </c>
      <c r="DB157" s="26">
        <f t="shared" ref="DB157:DB220" ca="1" si="128">H157-BE157</f>
        <v>0</v>
      </c>
      <c r="DC157" s="26">
        <f t="shared" ref="DC157:DC220" ca="1" si="129">I157-BF157</f>
        <v>0</v>
      </c>
      <c r="DD157" s="26">
        <f t="shared" ref="DD157:DD220" ca="1" si="130">J157-BG157</f>
        <v>0</v>
      </c>
      <c r="DE157" s="26">
        <f t="shared" ref="DE157:DE220" ca="1" si="131">K157-BH157</f>
        <v>0</v>
      </c>
      <c r="DF157" s="26">
        <f t="shared" ref="DF157:DF220" ca="1" si="132">L157-BI157</f>
        <v>0</v>
      </c>
      <c r="DG157" s="26">
        <f t="shared" ref="DG157:DG220" ca="1" si="133">M157-BJ157</f>
        <v>0</v>
      </c>
      <c r="DH157" s="26">
        <f t="shared" ref="DH157:DH220" ca="1" si="134">N157-BK157</f>
        <v>1.7305200000000409E-3</v>
      </c>
      <c r="DI157" s="26">
        <f t="shared" ref="DI157:DI220" ca="1" si="135">O157-BL157</f>
        <v>2.1348710000000042E-2</v>
      </c>
      <c r="DJ157" s="26">
        <f t="shared" ref="DJ157:DJ220" ca="1" si="136">P157-BM157</f>
        <v>0</v>
      </c>
      <c r="DK157" s="26">
        <f t="shared" ref="DK157:DK220" ca="1" si="137">Q157-BN157</f>
        <v>0</v>
      </c>
      <c r="DL157" s="26"/>
      <c r="DM157" s="26"/>
      <c r="DN157" s="26"/>
      <c r="DO157" s="26"/>
      <c r="DP157" s="26">
        <f t="shared" ref="DP157:DP220" ca="1" si="138">V157-BS157</f>
        <v>0</v>
      </c>
      <c r="DQ157" s="26">
        <f t="shared" ref="DQ157:DQ220" ca="1" si="139">W157-BT157</f>
        <v>0</v>
      </c>
      <c r="DR157" s="26"/>
      <c r="DS157" s="26"/>
      <c r="DT157" s="26"/>
      <c r="DU157" s="26"/>
      <c r="DV157" s="26">
        <f t="shared" ref="DV157:DV220" ca="1" si="140">AB157-BY157</f>
        <v>0</v>
      </c>
      <c r="DW157" s="26">
        <f t="shared" ref="DW157:DW220" ca="1" si="141">AC157-BZ157</f>
        <v>0</v>
      </c>
      <c r="DX157" s="26"/>
      <c r="DY157" s="26"/>
      <c r="DZ157" s="26"/>
      <c r="EA157" s="26"/>
      <c r="EB157" s="26">
        <f t="shared" ref="EB157:EB220" ca="1" si="142">AH157-CE157</f>
        <v>0</v>
      </c>
      <c r="EC157" s="26">
        <f t="shared" ref="EC157:EC220" ca="1" si="143">AI157-CF157</f>
        <v>0</v>
      </c>
      <c r="ED157" s="26"/>
      <c r="EE157" s="26"/>
      <c r="EF157" s="26"/>
      <c r="EG157" s="26"/>
      <c r="EH157" s="26">
        <f t="shared" ref="EH157:EH220" ca="1" si="144">AN157-CK157</f>
        <v>-1.9618190000000001E-2</v>
      </c>
      <c r="EI157" s="29">
        <f t="shared" ref="EI157:EI220" ca="1" si="145">AO157-CL157</f>
        <v>0.91894030131094395</v>
      </c>
      <c r="EJ157" s="29"/>
      <c r="EK157" s="29"/>
      <c r="EL157" s="29"/>
      <c r="EM157" s="29"/>
      <c r="EN157" s="93"/>
      <c r="EO157" s="29"/>
      <c r="EP157" s="29"/>
      <c r="EQ157" s="29"/>
      <c r="ER157" s="29"/>
      <c r="ES157" s="29"/>
      <c r="ET157" s="29"/>
      <c r="EU157" s="93"/>
      <c r="EV157" s="29"/>
      <c r="EW157" s="29"/>
      <c r="EX157" s="29"/>
      <c r="EY157" s="29"/>
      <c r="EZ157" s="29"/>
      <c r="FA157" s="29"/>
      <c r="FB157" s="93"/>
      <c r="FC157" s="29"/>
      <c r="FD157" s="29"/>
      <c r="FE157" s="29"/>
      <c r="FF157" s="29"/>
      <c r="FG157" s="29"/>
      <c r="FH157" s="29"/>
      <c r="FI157" s="93"/>
      <c r="FJ157" s="29"/>
      <c r="FK157" s="29"/>
      <c r="FL157" s="29"/>
      <c r="FM157" s="29"/>
      <c r="FN157" s="29"/>
      <c r="FO157" s="29"/>
      <c r="FP157" s="93"/>
      <c r="FQ157" s="29"/>
      <c r="FR157" s="29"/>
      <c r="FS157" s="29"/>
      <c r="FT157" s="29"/>
      <c r="FU157" s="29"/>
      <c r="FV157" s="29"/>
    </row>
    <row r="158" spans="1:178" x14ac:dyDescent="0.25">
      <c r="A158" t="str">
        <f ca="1">IF(_xll.TM1RPTELISCONSOLIDATED($D$28,$D158),IF(_xll.TM1RPTELLEV($D$28,$D158)&lt;=3,_xll.TM1RPTELLEV($D$28,$D158),"D"),"N")</f>
        <v>N</v>
      </c>
      <c r="B158" t="str">
        <f ca="1">_xll.DBRA(Server&amp;"Management_organization",$D158,$B$27)</f>
        <v>L</v>
      </c>
      <c r="C158">
        <v>1</v>
      </c>
      <c r="D158" s="2" t="s">
        <v>343</v>
      </c>
      <c r="E158" s="26"/>
      <c r="F158" s="26"/>
      <c r="G158" s="16">
        <f ca="1">_xll.DBRW($D$4,$E$7,$E$8,$E$9,$E$10,$E$12,$D158,$E$6,G$18,G$17)</f>
        <v>1.4746420999999947</v>
      </c>
      <c r="H158" s="16">
        <f ca="1">_xll.DBRW($D$4,$E$7,$E$8,$E$9,$E$10,$E$12,$D158,$E$6,H$18,H$17)</f>
        <v>-1.90576503</v>
      </c>
      <c r="I158" s="16">
        <f ca="1">_xll.DBRW($D$4,$E$7,$E$8,$E$9,$E$10,$E$12,$D158,$E$6,I$18,I$17)</f>
        <v>0</v>
      </c>
      <c r="J158" s="26">
        <f ca="1">_xll.DBRW($D$4,$E$7,$E$8,$E$9,$E$10,$E$12,$D158,$E$6,J$18,J$17)</f>
        <v>0</v>
      </c>
      <c r="K158" s="26">
        <f ca="1">_xll.DBRW($D$4,$E$7,$E$8,$E$9,$E$10,$E$12,$D158,$E$6,K$18,K$17)</f>
        <v>0</v>
      </c>
      <c r="L158" s="26">
        <f ca="1">_xll.DBRW($D$4,$E$7,$E$8,$E$9,$E$10,$E$12,$D158,$E$6,L$18,L$17)</f>
        <v>0</v>
      </c>
      <c r="M158" s="26">
        <f ca="1">_xll.DBRW($D$4,$E$7,$E$8,$E$9,$E$10,$E$12,$D158,$E$6,M$18,M$17)</f>
        <v>0</v>
      </c>
      <c r="N158" s="16">
        <f ca="1">_xll.DBRW($D$4,$E$7,$E$8,$E$9,$E$10,$E$12,$D158,$E$6,N$18,N$17)</f>
        <v>3.3804071299999947</v>
      </c>
      <c r="O158" s="16">
        <f ca="1">_xll.DBRW($D$4,$E$7,$E$8,$E$9,$E$10,$E$12,$D158,$E$6,O$18,O$17)</f>
        <v>40.354192070000003</v>
      </c>
      <c r="P158" s="74">
        <f ca="1">_xll.DBRW($D$4,$E$7,$E$8,$E$9,$E$10,$E$12,$D158,$E$6,P$18,P$17)</f>
        <v>-16.592131490000003</v>
      </c>
      <c r="Q158" s="16">
        <f ca="1">_xll.DBRW($D$4,$E$7,$E$8,$E$9,$E$10,$E$12,$D158,$E$6,Q$18,Q$17)</f>
        <v>0.41116252460757052</v>
      </c>
      <c r="R158" s="16"/>
      <c r="S158" s="16"/>
      <c r="T158" s="16"/>
      <c r="U158" s="16"/>
      <c r="V158" s="16">
        <f ca="1">_xll.DBRW($D$4,$E$7,$E$8,$E$9,$E$10,$E$12,$D158,$E$6,V$18,V$17)</f>
        <v>-4.9594963299999995</v>
      </c>
      <c r="W158" s="16">
        <f ca="1">_xll.DBRW($D$4,$E$7,$E$8,$E$9,$E$10,$E$12,$D158,$E$6,W$18,W$17)</f>
        <v>0.12289916054810508</v>
      </c>
      <c r="X158" s="16"/>
      <c r="Y158" s="16"/>
      <c r="Z158" s="16"/>
      <c r="AA158" s="16"/>
      <c r="AB158" s="16">
        <f ca="1">_xll.DBRW($D$4,$E$7,$E$8,$E$9,$E$10,$E$12,$D158,$E$6,AB$18,AB$17)</f>
        <v>-2.28438417</v>
      </c>
      <c r="AC158" s="16">
        <f ca="1">_xll.DBRW($D$4,$E$7,$E$8,$E$9,$E$10,$E$12,$D158,$E$6,AC$18,AC$17)</f>
        <v>5.6608348546228246E-2</v>
      </c>
      <c r="AD158" s="16"/>
      <c r="AE158" s="16"/>
      <c r="AF158" s="16"/>
      <c r="AG158" s="16"/>
      <c r="AH158" s="16">
        <f ca="1">_xll.DBRW($D$4,$E$7,$E$8,$E$9,$E$10,$E$12,$D158,$E$6,AH$18,AH$17)</f>
        <v>-6.1274889999999978E-2</v>
      </c>
      <c r="AI158" s="16">
        <f ca="1">_xll.DBRW($D$4,$E$7,$E$8,$E$9,$E$10,$E$12,$D158,$E$6,AI$18,AI$17)</f>
        <v>1.5184268809969009E-3</v>
      </c>
      <c r="AJ158" s="16"/>
      <c r="AK158" s="16"/>
      <c r="AL158" s="16"/>
      <c r="AM158" s="16"/>
      <c r="AN158" s="16">
        <f ca="1">_xll.DBRW($D$4,$E$7,$E$8,$E$9,$E$10,$E$12,$D158,$E$6,AN$18,AN$17)</f>
        <v>-13.076498060000004</v>
      </c>
      <c r="AO158" s="16">
        <f ca="1">_xll.DBRW($D$4,$E$7,$E$8,$E$9,$E$10,$E$12,$D158,$E$6,AO$18,AO$17)</f>
        <v>0.3240431139673664</v>
      </c>
      <c r="AP158" s="16"/>
      <c r="AQ158" s="16"/>
      <c r="AR158" s="16"/>
      <c r="AS158" s="16"/>
      <c r="AT158" s="16">
        <f ca="1">_xll.DBRW($D$4,$E$7,$E$8,$E$9,$E$10,$E$12,$D158,$E$6,AT$18,AT$17)</f>
        <v>0.54027599999999998</v>
      </c>
      <c r="AU158" s="16">
        <f ca="1">_xll.DBRW($D$4,$E$7,$E$8,$E$9,$E$10,$E$12,$D158,$E$6,AU$18,AU$17)</f>
        <v>5.1691929999999999</v>
      </c>
      <c r="AV158" s="16">
        <f ca="1">_xll.DBRW($D$4,$E$7,$E$8,$E$9,$E$10,$E$12,$D158,$E$6,AV$18,AV$17)</f>
        <v>5.1691929999999999</v>
      </c>
      <c r="AW158" s="16">
        <f ca="1">_xll.DBRW($D$4,$E$7,$E$8,$E$9,$E$10,$E$12,$D158,$E$6,AW$18,AW$17)</f>
        <v>5.1691929999999999</v>
      </c>
      <c r="AX158" s="16">
        <f ca="1">_xll.DBRW($D$4,$E$7,$E$8,$E$9,$E$10,$E$12,$D158,$E$6,AX$18,AX$17)</f>
        <v>2.2617500555999999</v>
      </c>
      <c r="AY158" s="16">
        <f ca="1">_xll.DBRW($D$4,$E$7,$E$8,$E$9,$E$10,$E$12,$D158,$E$6,AY$18,AY$17)</f>
        <v>5.1691929999999999</v>
      </c>
      <c r="AZ158" s="16">
        <f ca="1">_xll.DBRW($D$4,$E$7,$E$8,$E$9,$E$10,$E$12,$D158,$E$6,AZ$18,AZ$17)</f>
        <v>4.8086459999999995</v>
      </c>
      <c r="BA158" s="16">
        <f ca="1">_xll.DBRW($D$4,$E$7,$E$8,$E$9,$E$10,$E$12,$D158,$E$6,BA$18,BA$17)</f>
        <v>5.1691929999999999</v>
      </c>
      <c r="BB158" s="16">
        <f ca="1">_xll.DBRW($D$4,$E$7,$E$8,$E$9,$E$10,$E$12,$D158,$E$6,BB$18,BB$17)</f>
        <v>5.1691929999999999</v>
      </c>
      <c r="BC158" s="16">
        <f ca="1">_xll.DBRW($D$4,$E$7,$E$8,$E$9,$E$10,$E$12,$D158,$E$6,BC$18,BC$17)</f>
        <v>5.1691929999999999</v>
      </c>
      <c r="BD158" s="16">
        <f ca="1">_xll.DBRW($D$4,$E$7,$E$8,$E$9,$E$10,$E$12,$D158,$E$6,BD$18,BD$17)</f>
        <v>0.78463447487689064</v>
      </c>
      <c r="BE158" s="16">
        <f ca="1">_xll.DBRW($D$4,$E$7,$E$8,$E$9,$E$10,$E$12,$D158,$E$6,BE$18,BE$17)</f>
        <v>-2.0950247836546132</v>
      </c>
      <c r="BF158" s="16">
        <f ca="1">_xll.DBRW($D$4,$E$7,$E$8,$E$9,$E$10,$E$12,$D158,$E$6,BF$18,BF$17)</f>
        <v>0</v>
      </c>
      <c r="BG158" s="26">
        <f ca="1">_xll.DBRW($D$4,$E$7,$E$8,$E$9,$E$10,$E$12,$D158,$E$6,BG$18,BG$17)</f>
        <v>0</v>
      </c>
      <c r="BH158" s="26">
        <f ca="1">_xll.DBRW($D$4,$E$7,$E$8,$E$9,$E$10,$E$12,$D158,$E$6,BH$18,BH$17)</f>
        <v>0</v>
      </c>
      <c r="BI158" s="26">
        <f ca="1">_xll.DBRW($D$4,$E$7,$E$8,$E$9,$E$10,$E$12,$D158,$E$6,BI$18,BI$17)</f>
        <v>0</v>
      </c>
      <c r="BJ158" s="26">
        <f ca="1">_xll.DBRW($D$4,$E$7,$E$8,$E$9,$E$10,$E$12,$D158,$E$6,BJ$18,BJ$17)</f>
        <v>0</v>
      </c>
      <c r="BK158" s="16">
        <f ca="1">_xll.DBRW($D$4,$E$7,$E$8,$E$9,$E$10,$E$12,$D158,$E$6,BK$18,BK$17)</f>
        <v>2.879659258531504</v>
      </c>
      <c r="BL158" s="16">
        <f ca="1">_xll.DBRW($D$4,$E$7,$E$8,$E$9,$E$10,$E$12,$D158,$E$6,BL$18,BL$17)</f>
        <v>45.036579315749307</v>
      </c>
      <c r="BM158" s="16">
        <f ca="1">_xll.DBRW($D$4,$E$7,$E$8,$E$9,$E$10,$E$12,$D158,$E$6,BM$18,BM$17)</f>
        <v>-18.81845164842397</v>
      </c>
      <c r="BN158" s="16">
        <f ca="1">_xll.DBRW($D$4,$E$7,$E$8,$E$9,$E$10,$E$12,$D158,$E$6,BN$18,BN$17)</f>
        <v>0.41784815663926661</v>
      </c>
      <c r="BO158" s="16"/>
      <c r="BP158" s="16"/>
      <c r="BQ158" s="16"/>
      <c r="BR158" s="16"/>
      <c r="BS158" s="16">
        <f ca="1">_xll.DBRW($D$4,$E$7,$E$8,$E$9,$E$10,$E$12,$D158,$E$6,BS$18,BS$17)</f>
        <v>-5.6456218382984202</v>
      </c>
      <c r="BT158" s="16">
        <f ca="1">_xll.DBRW($D$4,$E$7,$E$8,$E$9,$E$10,$E$12,$D158,$E$6,BT$18,BT$17)</f>
        <v>0.12535636418381679</v>
      </c>
      <c r="BU158" s="16"/>
      <c r="BV158" s="16"/>
      <c r="BW158" s="16"/>
      <c r="BX158" s="16"/>
      <c r="BY158" s="16">
        <f ca="1">_xll.DBRW($D$4,$E$7,$E$8,$E$9,$E$10,$E$12,$D158,$E$6,BY$18,BY$17)</f>
        <v>-2.3788004980722666</v>
      </c>
      <c r="BZ158" s="16">
        <f ca="1">_xll.DBRW($D$4,$E$7,$E$8,$E$9,$E$10,$E$12,$D158,$E$6,BZ$18,BZ$17)</f>
        <v>5.2819297873282288E-2</v>
      </c>
      <c r="CA158" s="16"/>
      <c r="CB158" s="16"/>
      <c r="CC158" s="16"/>
      <c r="CD158" s="16"/>
      <c r="CE158" s="16">
        <f ca="1">_xll.DBRW($D$4,$E$7,$E$8,$E$9,$E$10,$E$12,$D158,$E$6,CE$18,CE$17)</f>
        <v>-8.5555555555555607E-2</v>
      </c>
      <c r="CF158" s="16">
        <f ca="1">_xll.DBRW($D$4,$E$7,$E$8,$E$9,$E$10,$E$12,$D158,$E$6,CF$18,CF$17)</f>
        <v>1.8996903596014629E-3</v>
      </c>
      <c r="CG158" s="16"/>
      <c r="CH158" s="16"/>
      <c r="CI158" s="16"/>
      <c r="CJ158" s="16"/>
      <c r="CK158" s="16">
        <f ca="1">_xll.DBRW($D$4,$E$7,$E$8,$E$9,$E$10,$E$12,$D158,$E$6,CK$18,CK$17)</f>
        <v>-15.228490516867591</v>
      </c>
      <c r="CL158" s="16">
        <f ca="1">_xll.DBRW($D$4,$E$7,$E$8,$E$9,$E$10,$E$12,$D158,$E$6,CL$18,CL$17)</f>
        <v>0.3381360384877673</v>
      </c>
      <c r="CM158" s="16"/>
      <c r="CN158" s="16"/>
      <c r="CO158" s="16"/>
      <c r="CP158" s="16"/>
      <c r="CQ158" s="16">
        <f ca="1">_xll.DBRW($D$4,$E$7,$E$8,$E$9,$E$10,$E$12,$D158,$E$6,CQ$18,CQ$17)</f>
        <v>0.591275</v>
      </c>
      <c r="CR158" s="16">
        <f ca="1">_xll.DBRW($D$4,$E$7,$E$8,$E$9,$E$10,$E$12,$D158,$E$6,CR$18,CR$17)</f>
        <v>6.527011139999999</v>
      </c>
      <c r="CS158" s="16">
        <f ca="1">_xll.DBRW($D$4,$E$7,$E$8,$E$9,$E$10,$E$12,$D158,$E$6,CS$18,CS$17)</f>
        <v>6.527011139999999</v>
      </c>
      <c r="CT158" s="16">
        <f ca="1">_xll.DBRW($D$4,$E$7,$E$8,$E$9,$E$10,$E$12,$D158,$E$6,CT$18,CT$17)</f>
        <v>6.527011139999999</v>
      </c>
      <c r="CU158" s="16">
        <f ca="1">_xll.DBRW($D$4,$E$7,$E$8,$E$9,$E$10,$E$12,$D158,$E$6,CU$18,CU$17)</f>
        <v>2.8883363440658627</v>
      </c>
      <c r="CV158" s="16">
        <f ca="1">_xll.DBRW($D$4,$E$7,$E$8,$E$9,$E$10,$E$12,$D158,$E$6,CV$18,CV$17)</f>
        <v>6.527011139999999</v>
      </c>
      <c r="CW158" s="16">
        <f ca="1">_xll.DBRW($D$4,$E$7,$E$8,$E$9,$E$10,$E$12,$D158,$E$6,CW$18,CW$17)</f>
        <v>6.0735651399999977</v>
      </c>
      <c r="CX158" s="16">
        <f ca="1">_xll.DBRW($D$4,$E$7,$E$8,$E$9,$E$10,$E$12,$D158,$E$6,CX$18,CX$17)</f>
        <v>6.527011139999999</v>
      </c>
      <c r="CY158" s="16">
        <f ca="1">_xll.DBRW($D$4,$E$7,$E$8,$E$9,$E$10,$E$12,$D158,$E$6,CY$18,CY$17)</f>
        <v>6.527011139999999</v>
      </c>
      <c r="CZ158" s="16">
        <f ca="1">_xll.DBRW($D$4,$E$7,$E$8,$E$9,$E$10,$E$12,$D158,$E$6,CZ$18,CZ$17)</f>
        <v>6.527011139999999</v>
      </c>
      <c r="DA158" s="26">
        <f t="shared" ca="1" si="127"/>
        <v>0.6900076251231041</v>
      </c>
      <c r="DB158" s="26">
        <f t="shared" ca="1" si="128"/>
        <v>0.18925975365461323</v>
      </c>
      <c r="DC158" s="26">
        <f t="shared" ca="1" si="129"/>
        <v>0</v>
      </c>
      <c r="DD158" s="26">
        <f t="shared" ca="1" si="130"/>
        <v>0</v>
      </c>
      <c r="DE158" s="26">
        <f t="shared" ca="1" si="131"/>
        <v>0</v>
      </c>
      <c r="DF158" s="26">
        <f t="shared" ca="1" si="132"/>
        <v>0</v>
      </c>
      <c r="DG158" s="26">
        <f t="shared" ca="1" si="133"/>
        <v>0</v>
      </c>
      <c r="DH158" s="26">
        <f t="shared" ca="1" si="134"/>
        <v>0.50074787146849076</v>
      </c>
      <c r="DI158" s="26">
        <f t="shared" ca="1" si="135"/>
        <v>-4.6823872457493039</v>
      </c>
      <c r="DJ158" s="26">
        <f t="shared" ca="1" si="136"/>
        <v>2.2263201584239667</v>
      </c>
      <c r="DK158" s="26">
        <f t="shared" ca="1" si="137"/>
        <v>-6.6856320316960871E-3</v>
      </c>
      <c r="DL158" s="26"/>
      <c r="DM158" s="26"/>
      <c r="DN158" s="26"/>
      <c r="DO158" s="26"/>
      <c r="DP158" s="26">
        <f t="shared" ca="1" si="138"/>
        <v>0.68612550829842078</v>
      </c>
      <c r="DQ158" s="26">
        <f t="shared" ca="1" si="139"/>
        <v>-2.4572036357117105E-3</v>
      </c>
      <c r="DR158" s="26"/>
      <c r="DS158" s="26"/>
      <c r="DT158" s="26"/>
      <c r="DU158" s="26"/>
      <c r="DV158" s="26">
        <f t="shared" ca="1" si="140"/>
        <v>9.441632807226652E-2</v>
      </c>
      <c r="DW158" s="26">
        <f t="shared" ca="1" si="141"/>
        <v>3.789050672945958E-3</v>
      </c>
      <c r="DX158" s="26"/>
      <c r="DY158" s="26"/>
      <c r="DZ158" s="26"/>
      <c r="EA158" s="26"/>
      <c r="EB158" s="26">
        <f t="shared" ca="1" si="142"/>
        <v>2.4280665555555629E-2</v>
      </c>
      <c r="EC158" s="26">
        <f t="shared" ca="1" si="143"/>
        <v>-3.8126347860456197E-4</v>
      </c>
      <c r="ED158" s="26"/>
      <c r="EE158" s="26"/>
      <c r="EF158" s="26"/>
      <c r="EG158" s="26"/>
      <c r="EH158" s="26">
        <f t="shared" ca="1" si="144"/>
        <v>2.1519924568675872</v>
      </c>
      <c r="EI158" s="29">
        <f t="shared" ca="1" si="145"/>
        <v>-1.4092924520400896E-2</v>
      </c>
      <c r="EJ158" s="29"/>
      <c r="EK158" s="29"/>
      <c r="EL158" s="29"/>
      <c r="EM158" s="29"/>
      <c r="EN158" s="93"/>
      <c r="EO158" s="29"/>
      <c r="EP158" s="29"/>
      <c r="EQ158" s="29"/>
      <c r="ER158" s="29"/>
      <c r="ES158" s="29"/>
      <c r="ET158" s="29"/>
      <c r="EU158" s="93"/>
      <c r="EV158" s="29"/>
      <c r="EW158" s="29"/>
      <c r="EX158" s="29"/>
      <c r="EY158" s="29"/>
      <c r="EZ158" s="29"/>
      <c r="FA158" s="29"/>
      <c r="FB158" s="93"/>
      <c r="FC158" s="29"/>
      <c r="FD158" s="29"/>
      <c r="FE158" s="29"/>
      <c r="FF158" s="29"/>
      <c r="FG158" s="29"/>
      <c r="FH158" s="29"/>
      <c r="FI158" s="93"/>
      <c r="FJ158" s="29"/>
      <c r="FK158" s="29"/>
      <c r="FL158" s="29"/>
      <c r="FM158" s="29"/>
      <c r="FN158" s="29"/>
      <c r="FO158" s="29"/>
      <c r="FP158" s="93"/>
      <c r="FQ158" s="29"/>
      <c r="FR158" s="29"/>
      <c r="FS158" s="29"/>
      <c r="FT158" s="29"/>
      <c r="FU158" s="29"/>
      <c r="FV158" s="29"/>
    </row>
    <row r="159" spans="1:178" x14ac:dyDescent="0.25">
      <c r="A159" t="str">
        <f ca="1">IF(_xll.TM1RPTELISCONSOLIDATED($D$28,$D159),IF(_xll.TM1RPTELLEV($D$28,$D159)&lt;=3,_xll.TM1RPTELLEV($D$28,$D159),"D"),"N")</f>
        <v>N</v>
      </c>
      <c r="B159" t="str">
        <f ca="1">_xll.DBRA(Server&amp;"Management_organization",$D159,$B$27)</f>
        <v>L</v>
      </c>
      <c r="C159">
        <v>1</v>
      </c>
      <c r="D159" s="2" t="s">
        <v>171</v>
      </c>
      <c r="E159" s="26"/>
      <c r="F159" s="26"/>
      <c r="G159" s="16">
        <f ca="1">_xll.DBRW($D$4,$E$7,$E$8,$E$9,$E$10,$E$12,$D159,$E$6,G$18,G$17)</f>
        <v>2.2375458699999982</v>
      </c>
      <c r="H159" s="16">
        <f ca="1">_xll.DBRW($D$4,$E$7,$E$8,$E$9,$E$10,$E$12,$D159,$E$6,H$18,H$17)</f>
        <v>-0.42123767000000012</v>
      </c>
      <c r="I159" s="16">
        <f ca="1">_xll.DBRW($D$4,$E$7,$E$8,$E$9,$E$10,$E$12,$D159,$E$6,I$18,I$17)</f>
        <v>0</v>
      </c>
      <c r="J159" s="26">
        <f ca="1">_xll.DBRW($D$4,$E$7,$E$8,$E$9,$E$10,$E$12,$D159,$E$6,J$18,J$17)</f>
        <v>0</v>
      </c>
      <c r="K159" s="26">
        <f ca="1">_xll.DBRW($D$4,$E$7,$E$8,$E$9,$E$10,$E$12,$D159,$E$6,K$18,K$17)</f>
        <v>0</v>
      </c>
      <c r="L159" s="26">
        <f ca="1">_xll.DBRW($D$4,$E$7,$E$8,$E$9,$E$10,$E$12,$D159,$E$6,L$18,L$17)</f>
        <v>0</v>
      </c>
      <c r="M159" s="26">
        <f ca="1">_xll.DBRW($D$4,$E$7,$E$8,$E$9,$E$10,$E$12,$D159,$E$6,M$18,M$17)</f>
        <v>0</v>
      </c>
      <c r="N159" s="16">
        <f ca="1">_xll.DBRW($D$4,$E$7,$E$8,$E$9,$E$10,$E$12,$D159,$E$6,N$18,N$17)</f>
        <v>2.6587835399999986</v>
      </c>
      <c r="O159" s="16">
        <f ca="1">_xll.DBRW($D$4,$E$7,$E$8,$E$9,$E$10,$E$12,$D159,$E$6,O$18,O$17)</f>
        <v>12.93458731</v>
      </c>
      <c r="P159" s="74">
        <f ca="1">_xll.DBRW($D$4,$E$7,$E$8,$E$9,$E$10,$E$12,$D159,$E$6,P$18,P$17)</f>
        <v>-7.3355634299999979</v>
      </c>
      <c r="Q159" s="16">
        <f ca="1">_xll.DBRW($D$4,$E$7,$E$8,$E$9,$E$10,$E$12,$D159,$E$6,Q$18,Q$17)</f>
        <v>0.56712775245088187</v>
      </c>
      <c r="R159" s="16"/>
      <c r="S159" s="16"/>
      <c r="T159" s="16"/>
      <c r="U159" s="16"/>
      <c r="V159" s="16">
        <f ca="1">_xll.DBRW($D$4,$E$7,$E$8,$E$9,$E$10,$E$12,$D159,$E$6,V$18,V$17)</f>
        <v>-0.90776182999999933</v>
      </c>
      <c r="W159" s="16">
        <f ca="1">_xll.DBRW($D$4,$E$7,$E$8,$E$9,$E$10,$E$12,$D159,$E$6,W$18,W$17)</f>
        <v>7.0180965827814981E-2</v>
      </c>
      <c r="X159" s="16"/>
      <c r="Y159" s="16"/>
      <c r="Z159" s="16"/>
      <c r="AA159" s="16"/>
      <c r="AB159" s="16">
        <f ca="1">_xll.DBRW($D$4,$E$7,$E$8,$E$9,$E$10,$E$12,$D159,$E$6,AB$18,AB$17)</f>
        <v>1.1974969699999998</v>
      </c>
      <c r="AC159" s="16">
        <f ca="1">_xll.DBRW($D$4,$E$7,$E$8,$E$9,$E$10,$E$12,$D159,$E$6,AC$18,AC$17)</f>
        <v>-9.2580995535450128E-2</v>
      </c>
      <c r="AD159" s="16"/>
      <c r="AE159" s="16"/>
      <c r="AF159" s="16"/>
      <c r="AG159" s="16"/>
      <c r="AH159" s="16">
        <f ca="1">_xll.DBRW($D$4,$E$7,$E$8,$E$9,$E$10,$E$12,$D159,$E$6,AH$18,AH$17)</f>
        <v>-1.61496492</v>
      </c>
      <c r="AI159" s="16">
        <f ca="1">_xll.DBRW($D$4,$E$7,$E$8,$E$9,$E$10,$E$12,$D159,$E$6,AI$18,AI$17)</f>
        <v>0.12485631596080664</v>
      </c>
      <c r="AJ159" s="16"/>
      <c r="AK159" s="16"/>
      <c r="AL159" s="16"/>
      <c r="AM159" s="16"/>
      <c r="AN159" s="16">
        <f ca="1">_xll.DBRW($D$4,$E$7,$E$8,$E$9,$E$10,$E$12,$D159,$E$6,AN$18,AN$17)</f>
        <v>-1.6150105599999995</v>
      </c>
      <c r="AO159" s="16">
        <f ca="1">_xll.DBRW($D$4,$E$7,$E$8,$E$9,$E$10,$E$12,$D159,$E$6,AO$18,AO$17)</f>
        <v>0.12485984448467105</v>
      </c>
      <c r="AP159" s="16"/>
      <c r="AQ159" s="16"/>
      <c r="AR159" s="16"/>
      <c r="AS159" s="16"/>
      <c r="AT159" s="16">
        <f ca="1">_xll.DBRW($D$4,$E$7,$E$8,$E$9,$E$10,$E$12,$D159,$E$6,AT$18,AT$17)</f>
        <v>0.23357799999999995</v>
      </c>
      <c r="AU159" s="16">
        <f ca="1">_xll.DBRW($D$4,$E$7,$E$8,$E$9,$E$10,$E$12,$D159,$E$6,AU$18,AU$17)</f>
        <v>3.2279929999999997</v>
      </c>
      <c r="AV159" s="16">
        <f ca="1">_xll.DBRW($D$4,$E$7,$E$8,$E$9,$E$10,$E$12,$D159,$E$6,AV$18,AV$17)</f>
        <v>3.2279929999999997</v>
      </c>
      <c r="AW159" s="16">
        <f ca="1">_xll.DBRW($D$4,$E$7,$E$8,$E$9,$E$10,$E$12,$D159,$E$6,AW$18,AW$17)</f>
        <v>3.2279929999999997</v>
      </c>
      <c r="AX159" s="16">
        <f ca="1">_xll.DBRW($D$4,$E$7,$E$8,$E$9,$E$10,$E$12,$D159,$E$6,AX$18,AX$17)</f>
        <v>1.0620372199999999</v>
      </c>
      <c r="AY159" s="16">
        <f ca="1">_xll.DBRW($D$4,$E$7,$E$8,$E$9,$E$10,$E$12,$D159,$E$6,AY$18,AY$17)</f>
        <v>3.2279929999999997</v>
      </c>
      <c r="AZ159" s="16">
        <f ca="1">_xll.DBRW($D$4,$E$7,$E$8,$E$9,$E$10,$E$12,$D159,$E$6,AZ$18,AZ$17)</f>
        <v>2.7646310000000001</v>
      </c>
      <c r="BA159" s="16">
        <f ca="1">_xll.DBRW($D$4,$E$7,$E$8,$E$9,$E$10,$E$12,$D159,$E$6,BA$18,BA$17)</f>
        <v>3.2279929999999997</v>
      </c>
      <c r="BB159" s="16">
        <f ca="1">_xll.DBRW($D$4,$E$7,$E$8,$E$9,$E$10,$E$12,$D159,$E$6,BB$18,BB$17)</f>
        <v>3.2279929999999997</v>
      </c>
      <c r="BC159" s="16">
        <f ca="1">_xll.DBRW($D$4,$E$7,$E$8,$E$9,$E$10,$E$12,$D159,$E$6,BC$18,BC$17)</f>
        <v>3.2279929999999997</v>
      </c>
      <c r="BD159" s="16">
        <f ca="1">_xll.DBRW($D$4,$E$7,$E$8,$E$9,$E$10,$E$12,$D159,$E$6,BD$18,BD$17)</f>
        <v>-0.39598132573310596</v>
      </c>
      <c r="BE159" s="16">
        <f ca="1">_xll.DBRW($D$4,$E$7,$E$8,$E$9,$E$10,$E$12,$D159,$E$6,BE$18,BE$17)</f>
        <v>-0.99187938000000009</v>
      </c>
      <c r="BF159" s="16">
        <f ca="1">_xll.DBRW($D$4,$E$7,$E$8,$E$9,$E$10,$E$12,$D159,$E$6,BF$18,BF$17)</f>
        <v>0</v>
      </c>
      <c r="BG159" s="26">
        <f ca="1">_xll.DBRW($D$4,$E$7,$E$8,$E$9,$E$10,$E$12,$D159,$E$6,BG$18,BG$17)</f>
        <v>0</v>
      </c>
      <c r="BH159" s="26">
        <f ca="1">_xll.DBRW($D$4,$E$7,$E$8,$E$9,$E$10,$E$12,$D159,$E$6,BH$18,BH$17)</f>
        <v>0</v>
      </c>
      <c r="BI159" s="26">
        <f ca="1">_xll.DBRW($D$4,$E$7,$E$8,$E$9,$E$10,$E$12,$D159,$E$6,BI$18,BI$17)</f>
        <v>0</v>
      </c>
      <c r="BJ159" s="26">
        <f ca="1">_xll.DBRW($D$4,$E$7,$E$8,$E$9,$E$10,$E$12,$D159,$E$6,BJ$18,BJ$17)</f>
        <v>0</v>
      </c>
      <c r="BK159" s="16">
        <f ca="1">_xll.DBRW($D$4,$E$7,$E$8,$E$9,$E$10,$E$12,$D159,$E$6,BK$18,BK$17)</f>
        <v>0.59589805426689413</v>
      </c>
      <c r="BL159" s="16">
        <f ca="1">_xll.DBRW($D$4,$E$7,$E$8,$E$9,$E$10,$E$12,$D159,$E$6,BL$18,BL$17)</f>
        <v>14.822683999999999</v>
      </c>
      <c r="BM159" s="16">
        <f ca="1">_xll.DBRW($D$4,$E$7,$E$8,$E$9,$E$10,$E$12,$D159,$E$6,BM$18,BM$17)</f>
        <v>-8.1871300299999987</v>
      </c>
      <c r="BN159" s="16">
        <f ca="1">_xll.DBRW($D$4,$E$7,$E$8,$E$9,$E$10,$E$12,$D159,$E$6,BN$18,BN$17)</f>
        <v>0.55233789170706193</v>
      </c>
      <c r="BO159" s="16"/>
      <c r="BP159" s="16"/>
      <c r="BQ159" s="16"/>
      <c r="BR159" s="16"/>
      <c r="BS159" s="16">
        <f ca="1">_xll.DBRW($D$4,$E$7,$E$8,$E$9,$E$10,$E$12,$D159,$E$6,BS$18,BS$17)</f>
        <v>-1.1556700265316975</v>
      </c>
      <c r="BT159" s="16">
        <f ca="1">_xll.DBRW($D$4,$E$7,$E$8,$E$9,$E$10,$E$12,$D159,$E$6,BT$18,BT$17)</f>
        <v>7.7966313424188055E-2</v>
      </c>
      <c r="BU159" s="16"/>
      <c r="BV159" s="16"/>
      <c r="BW159" s="16"/>
      <c r="BX159" s="16"/>
      <c r="BY159" s="16">
        <f ca="1">_xll.DBRW($D$4,$E$7,$E$8,$E$9,$E$10,$E$12,$D159,$E$6,BY$18,BY$17)</f>
        <v>-1.0018372992014102</v>
      </c>
      <c r="BZ159" s="16">
        <f ca="1">_xll.DBRW($D$4,$E$7,$E$8,$E$9,$E$10,$E$12,$D159,$E$6,BZ$18,BZ$17)</f>
        <v>6.7588116916032906E-2</v>
      </c>
      <c r="CA159" s="16"/>
      <c r="CB159" s="16"/>
      <c r="CC159" s="16"/>
      <c r="CD159" s="16"/>
      <c r="CE159" s="16">
        <f ca="1">_xll.DBRW($D$4,$E$7,$E$8,$E$9,$E$10,$E$12,$D159,$E$6,CE$18,CE$17)</f>
        <v>-2.13728579</v>
      </c>
      <c r="CF159" s="16">
        <f ca="1">_xll.DBRW($D$4,$E$7,$E$8,$E$9,$E$10,$E$12,$D159,$E$6,CF$18,CF$17)</f>
        <v>0.14419020131576712</v>
      </c>
      <c r="CG159" s="16"/>
      <c r="CH159" s="16"/>
      <c r="CI159" s="16"/>
      <c r="CJ159" s="16"/>
      <c r="CK159" s="16">
        <f ca="1">_xll.DBRW($D$4,$E$7,$E$8,$E$9,$E$10,$E$12,$D159,$E$6,CK$18,CK$17)</f>
        <v>-1.7448628000000004</v>
      </c>
      <c r="CL159" s="16">
        <f ca="1">_xll.DBRW($D$4,$E$7,$E$8,$E$9,$E$10,$E$12,$D159,$E$6,CL$18,CL$17)</f>
        <v>0.11771571194528606</v>
      </c>
      <c r="CM159" s="16"/>
      <c r="CN159" s="16"/>
      <c r="CO159" s="16"/>
      <c r="CP159" s="16"/>
      <c r="CQ159" s="16">
        <f ca="1">_xll.DBRW($D$4,$E$7,$E$8,$E$9,$E$10,$E$12,$D159,$E$6,CQ$18,CQ$17)</f>
        <v>0.25168941</v>
      </c>
      <c r="CR159" s="16">
        <f ca="1">_xll.DBRW($D$4,$E$7,$E$8,$E$9,$E$10,$E$12,$D159,$E$6,CR$18,CR$17)</f>
        <v>3.6301469999999996</v>
      </c>
      <c r="CS159" s="16">
        <f ca="1">_xll.DBRW($D$4,$E$7,$E$8,$E$9,$E$10,$E$12,$D159,$E$6,CS$18,CS$17)</f>
        <v>3.6301469999999996</v>
      </c>
      <c r="CT159" s="16">
        <f ca="1">_xll.DBRW($D$4,$E$7,$E$8,$E$9,$E$10,$E$12,$D159,$E$6,CT$18,CT$17)</f>
        <v>3.6301469999999996</v>
      </c>
      <c r="CU159" s="16">
        <f ca="1">_xll.DBRW($D$4,$E$7,$E$8,$E$9,$E$10,$E$12,$D159,$E$6,CU$18,CU$17)</f>
        <v>1.2074693253</v>
      </c>
      <c r="CV159" s="16">
        <f ca="1">_xll.DBRW($D$4,$E$7,$E$8,$E$9,$E$10,$E$12,$D159,$E$6,CV$18,CV$17)</f>
        <v>3.6301469999999996</v>
      </c>
      <c r="CW159" s="16">
        <f ca="1">_xll.DBRW($D$4,$E$7,$E$8,$E$9,$E$10,$E$12,$D159,$E$6,CW$18,CW$17)</f>
        <v>3.2489509999999999</v>
      </c>
      <c r="CX159" s="16">
        <f ca="1">_xll.DBRW($D$4,$E$7,$E$8,$E$9,$E$10,$E$12,$D159,$E$6,CX$18,CX$17)</f>
        <v>3.6301469999999996</v>
      </c>
      <c r="CY159" s="16">
        <f ca="1">_xll.DBRW($D$4,$E$7,$E$8,$E$9,$E$10,$E$12,$D159,$E$6,CY$18,CY$17)</f>
        <v>3.6301469999999996</v>
      </c>
      <c r="CZ159" s="16">
        <f ca="1">_xll.DBRW($D$4,$E$7,$E$8,$E$9,$E$10,$E$12,$D159,$E$6,CZ$18,CZ$17)</f>
        <v>3.6301469999999996</v>
      </c>
      <c r="DA159" s="26">
        <f t="shared" ca="1" si="127"/>
        <v>2.6335271957331043</v>
      </c>
      <c r="DB159" s="26">
        <f t="shared" ca="1" si="128"/>
        <v>0.57064170999999997</v>
      </c>
      <c r="DC159" s="26">
        <f t="shared" ca="1" si="129"/>
        <v>0</v>
      </c>
      <c r="DD159" s="26">
        <f t="shared" ca="1" si="130"/>
        <v>0</v>
      </c>
      <c r="DE159" s="26">
        <f t="shared" ca="1" si="131"/>
        <v>0</v>
      </c>
      <c r="DF159" s="26">
        <f t="shared" ca="1" si="132"/>
        <v>0</v>
      </c>
      <c r="DG159" s="26">
        <f t="shared" ca="1" si="133"/>
        <v>0</v>
      </c>
      <c r="DH159" s="26">
        <f t="shared" ca="1" si="134"/>
        <v>2.0628854857331045</v>
      </c>
      <c r="DI159" s="26">
        <f t="shared" ca="1" si="135"/>
        <v>-1.8880966899999994</v>
      </c>
      <c r="DJ159" s="26">
        <f t="shared" ca="1" si="136"/>
        <v>0.85156660000000084</v>
      </c>
      <c r="DK159" s="26">
        <f t="shared" ca="1" si="137"/>
        <v>1.4789860743819938E-2</v>
      </c>
      <c r="DL159" s="26"/>
      <c r="DM159" s="26"/>
      <c r="DN159" s="26"/>
      <c r="DO159" s="26"/>
      <c r="DP159" s="26">
        <f t="shared" ca="1" si="138"/>
        <v>0.24790819653169816</v>
      </c>
      <c r="DQ159" s="26">
        <f t="shared" ca="1" si="139"/>
        <v>-7.7853475963730739E-3</v>
      </c>
      <c r="DR159" s="26"/>
      <c r="DS159" s="26"/>
      <c r="DT159" s="26"/>
      <c r="DU159" s="26"/>
      <c r="DV159" s="26">
        <f t="shared" ca="1" si="140"/>
        <v>2.19933426920141</v>
      </c>
      <c r="DW159" s="26">
        <f t="shared" ca="1" si="141"/>
        <v>-0.16016911245148302</v>
      </c>
      <c r="DX159" s="26"/>
      <c r="DY159" s="26"/>
      <c r="DZ159" s="26"/>
      <c r="EA159" s="26"/>
      <c r="EB159" s="26">
        <f t="shared" ca="1" si="142"/>
        <v>0.52232086999999994</v>
      </c>
      <c r="EC159" s="26">
        <f t="shared" ca="1" si="143"/>
        <v>-1.9333885354960487E-2</v>
      </c>
      <c r="ED159" s="26"/>
      <c r="EE159" s="26"/>
      <c r="EF159" s="26"/>
      <c r="EG159" s="26"/>
      <c r="EH159" s="26">
        <f t="shared" ca="1" si="144"/>
        <v>0.12985224000000084</v>
      </c>
      <c r="EI159" s="29">
        <f t="shared" ca="1" si="145"/>
        <v>7.1441325393849925E-3</v>
      </c>
      <c r="EJ159" s="29"/>
      <c r="EK159" s="29"/>
      <c r="EL159" s="29"/>
      <c r="EM159" s="29"/>
      <c r="EN159" s="93"/>
      <c r="EO159" s="29"/>
      <c r="EP159" s="29"/>
      <c r="EQ159" s="29"/>
      <c r="ER159" s="29"/>
      <c r="ES159" s="29"/>
      <c r="ET159" s="29"/>
      <c r="EU159" s="93"/>
      <c r="EV159" s="29"/>
      <c r="EW159" s="29"/>
      <c r="EX159" s="29"/>
      <c r="EY159" s="29"/>
      <c r="EZ159" s="29"/>
      <c r="FA159" s="29"/>
      <c r="FB159" s="93"/>
      <c r="FC159" s="29"/>
      <c r="FD159" s="29"/>
      <c r="FE159" s="29"/>
      <c r="FF159" s="29"/>
      <c r="FG159" s="29"/>
      <c r="FH159" s="29"/>
      <c r="FI159" s="93"/>
      <c r="FJ159" s="29"/>
      <c r="FK159" s="29"/>
      <c r="FL159" s="29"/>
      <c r="FM159" s="29"/>
      <c r="FN159" s="29"/>
      <c r="FO159" s="29"/>
      <c r="FP159" s="93"/>
      <c r="FQ159" s="29"/>
      <c r="FR159" s="29"/>
      <c r="FS159" s="29"/>
      <c r="FT159" s="29"/>
      <c r="FU159" s="29"/>
      <c r="FV159" s="29"/>
    </row>
    <row r="160" spans="1:178" x14ac:dyDescent="0.25">
      <c r="A160" t="str">
        <f ca="1">IF(_xll.TM1RPTELISCONSOLIDATED($D$28,$D160),IF(_xll.TM1RPTELLEV($D$28,$D160)&lt;=3,_xll.TM1RPTELLEV($D$28,$D160),"D"),"N")</f>
        <v>N</v>
      </c>
      <c r="B160" t="str">
        <f ca="1">_xll.DBRA(Server&amp;"Management_organization",$D160,$B$27)</f>
        <v>L</v>
      </c>
      <c r="C160">
        <v>1</v>
      </c>
      <c r="D160" s="2" t="s">
        <v>172</v>
      </c>
      <c r="E160" s="26"/>
      <c r="F160" s="26"/>
      <c r="G160" s="16">
        <f ca="1">_xll.DBRW($D$4,$E$7,$E$8,$E$9,$E$10,$E$12,$D160,$E$6,G$18,G$17)</f>
        <v>1.0700757199999986</v>
      </c>
      <c r="H160" s="16">
        <f ca="1">_xll.DBRW($D$4,$E$7,$E$8,$E$9,$E$10,$E$12,$D160,$E$6,H$18,H$17)</f>
        <v>-0.29111704999999999</v>
      </c>
      <c r="I160" s="16">
        <f ca="1">_xll.DBRW($D$4,$E$7,$E$8,$E$9,$E$10,$E$12,$D160,$E$6,I$18,I$17)</f>
        <v>0</v>
      </c>
      <c r="J160" s="26">
        <f ca="1">_xll.DBRW($D$4,$E$7,$E$8,$E$9,$E$10,$E$12,$D160,$E$6,J$18,J$17)</f>
        <v>0</v>
      </c>
      <c r="K160" s="26">
        <f ca="1">_xll.DBRW($D$4,$E$7,$E$8,$E$9,$E$10,$E$12,$D160,$E$6,K$18,K$17)</f>
        <v>0</v>
      </c>
      <c r="L160" s="26">
        <f ca="1">_xll.DBRW($D$4,$E$7,$E$8,$E$9,$E$10,$E$12,$D160,$E$6,L$18,L$17)</f>
        <v>0</v>
      </c>
      <c r="M160" s="26">
        <f ca="1">_xll.DBRW($D$4,$E$7,$E$8,$E$9,$E$10,$E$12,$D160,$E$6,M$18,M$17)</f>
        <v>0</v>
      </c>
      <c r="N160" s="16">
        <f ca="1">_xll.DBRW($D$4,$E$7,$E$8,$E$9,$E$10,$E$12,$D160,$E$6,N$18,N$17)</f>
        <v>1.3611927699999986</v>
      </c>
      <c r="O160" s="16">
        <f ca="1">_xll.DBRW($D$4,$E$7,$E$8,$E$9,$E$10,$E$12,$D160,$E$6,O$18,O$17)</f>
        <v>7.3946392199999984</v>
      </c>
      <c r="P160" s="74">
        <f ca="1">_xll.DBRW($D$4,$E$7,$E$8,$E$9,$E$10,$E$12,$D160,$E$6,P$18,P$17)</f>
        <v>-2.8173997099999997</v>
      </c>
      <c r="Q160" s="16">
        <f ca="1">_xll.DBRW($D$4,$E$7,$E$8,$E$9,$E$10,$E$12,$D160,$E$6,Q$18,Q$17)</f>
        <v>0.38100570239855464</v>
      </c>
      <c r="R160" s="16"/>
      <c r="S160" s="16"/>
      <c r="T160" s="16"/>
      <c r="U160" s="16"/>
      <c r="V160" s="16">
        <f ca="1">_xll.DBRW($D$4,$E$7,$E$8,$E$9,$E$10,$E$12,$D160,$E$6,V$18,V$17)</f>
        <v>-0.76189171999999994</v>
      </c>
      <c r="W160" s="16">
        <f ca="1">_xll.DBRW($D$4,$E$7,$E$8,$E$9,$E$10,$E$12,$D160,$E$6,W$18,W$17)</f>
        <v>0.10303298069489861</v>
      </c>
      <c r="X160" s="16"/>
      <c r="Y160" s="16"/>
      <c r="Z160" s="16"/>
      <c r="AA160" s="16"/>
      <c r="AB160" s="16">
        <f ca="1">_xll.DBRW($D$4,$E$7,$E$8,$E$9,$E$10,$E$12,$D160,$E$6,AB$18,AB$17)</f>
        <v>-0.62065834999999991</v>
      </c>
      <c r="AC160" s="16">
        <f ca="1">_xll.DBRW($D$4,$E$7,$E$8,$E$9,$E$10,$E$12,$D160,$E$6,AC$18,AC$17)</f>
        <v>8.3933553961811819E-2</v>
      </c>
      <c r="AD160" s="16"/>
      <c r="AE160" s="16"/>
      <c r="AF160" s="16"/>
      <c r="AG160" s="16"/>
      <c r="AH160" s="16">
        <f ca="1">_xll.DBRW($D$4,$E$7,$E$8,$E$9,$E$10,$E$12,$D160,$E$6,AH$18,AH$17)</f>
        <v>-0.89906971000000013</v>
      </c>
      <c r="AI160" s="16">
        <f ca="1">_xll.DBRW($D$4,$E$7,$E$8,$E$9,$E$10,$E$12,$D160,$E$6,AI$18,AI$17)</f>
        <v>0.12158398581073714</v>
      </c>
      <c r="AJ160" s="16"/>
      <c r="AK160" s="16"/>
      <c r="AL160" s="16"/>
      <c r="AM160" s="16"/>
      <c r="AN160" s="16">
        <f ca="1">_xll.DBRW($D$4,$E$7,$E$8,$E$9,$E$10,$E$12,$D160,$E$6,AN$18,AN$17)</f>
        <v>-0.93442696000000025</v>
      </c>
      <c r="AO160" s="16">
        <f ca="1">_xll.DBRW($D$4,$E$7,$E$8,$E$9,$E$10,$E$12,$D160,$E$6,AO$18,AO$17)</f>
        <v>0.12636545640694563</v>
      </c>
      <c r="AP160" s="16"/>
      <c r="AQ160" s="16"/>
      <c r="AR160" s="16"/>
      <c r="AS160" s="16"/>
      <c r="AT160" s="16">
        <f ca="1">_xll.DBRW($D$4,$E$7,$E$8,$E$9,$E$10,$E$12,$D160,$E$6,AT$18,AT$17)</f>
        <v>9.9639999999999992E-2</v>
      </c>
      <c r="AU160" s="16">
        <f ca="1">_xll.DBRW($D$4,$E$7,$E$8,$E$9,$E$10,$E$12,$D160,$E$6,AU$18,AU$17)</f>
        <v>1.9316629999999999</v>
      </c>
      <c r="AV160" s="16">
        <f ca="1">_xll.DBRW($D$4,$E$7,$E$8,$E$9,$E$10,$E$12,$D160,$E$6,AV$18,AV$17)</f>
        <v>1.9316629999999999</v>
      </c>
      <c r="AW160" s="16">
        <f ca="1">_xll.DBRW($D$4,$E$7,$E$8,$E$9,$E$10,$E$12,$D160,$E$6,AW$18,AW$17)</f>
        <v>1.9316629999999999</v>
      </c>
      <c r="AX160" s="16">
        <f ca="1">_xll.DBRW($D$4,$E$7,$E$8,$E$9,$E$10,$E$12,$D160,$E$6,AX$18,AX$17)</f>
        <v>0.90277070999999998</v>
      </c>
      <c r="AY160" s="16">
        <f ca="1">_xll.DBRW($D$4,$E$7,$E$8,$E$9,$E$10,$E$12,$D160,$E$6,AY$18,AY$17)</f>
        <v>1.9316629999999999</v>
      </c>
      <c r="AZ160" s="16">
        <f ca="1">_xll.DBRW($D$4,$E$7,$E$8,$E$9,$E$10,$E$12,$D160,$E$6,AZ$18,AZ$17)</f>
        <v>1.7357469999999999</v>
      </c>
      <c r="BA160" s="16">
        <f ca="1">_xll.DBRW($D$4,$E$7,$E$8,$E$9,$E$10,$E$12,$D160,$E$6,BA$18,BA$17)</f>
        <v>1.9316629999999999</v>
      </c>
      <c r="BB160" s="16">
        <f ca="1">_xll.DBRW($D$4,$E$7,$E$8,$E$9,$E$10,$E$12,$D160,$E$6,BB$18,BB$17)</f>
        <v>1.9316629999999999</v>
      </c>
      <c r="BC160" s="16">
        <f ca="1">_xll.DBRW($D$4,$E$7,$E$8,$E$9,$E$10,$E$12,$D160,$E$6,BC$18,BC$17)</f>
        <v>1.9316629999999999</v>
      </c>
      <c r="BD160" s="16">
        <f ca="1">_xll.DBRW($D$4,$E$7,$E$8,$E$9,$E$10,$E$12,$D160,$E$6,BD$18,BD$17)</f>
        <v>0.13630261782534198</v>
      </c>
      <c r="BE160" s="16">
        <f ca="1">_xll.DBRW($D$4,$E$7,$E$8,$E$9,$E$10,$E$12,$D160,$E$6,BE$18,BE$17)</f>
        <v>-1.1712743799999998</v>
      </c>
      <c r="BF160" s="16">
        <f ca="1">_xll.DBRW($D$4,$E$7,$E$8,$E$9,$E$10,$E$12,$D160,$E$6,BF$18,BF$17)</f>
        <v>0</v>
      </c>
      <c r="BG160" s="26">
        <f ca="1">_xll.DBRW($D$4,$E$7,$E$8,$E$9,$E$10,$E$12,$D160,$E$6,BG$18,BG$17)</f>
        <v>0</v>
      </c>
      <c r="BH160" s="26">
        <f ca="1">_xll.DBRW($D$4,$E$7,$E$8,$E$9,$E$10,$E$12,$D160,$E$6,BH$18,BH$17)</f>
        <v>0</v>
      </c>
      <c r="BI160" s="26">
        <f ca="1">_xll.DBRW($D$4,$E$7,$E$8,$E$9,$E$10,$E$12,$D160,$E$6,BI$18,BI$17)</f>
        <v>0</v>
      </c>
      <c r="BJ160" s="26">
        <f ca="1">_xll.DBRW($D$4,$E$7,$E$8,$E$9,$E$10,$E$12,$D160,$E$6,BJ$18,BJ$17)</f>
        <v>0</v>
      </c>
      <c r="BK160" s="16">
        <f ca="1">_xll.DBRW($D$4,$E$7,$E$8,$E$9,$E$10,$E$12,$D160,$E$6,BK$18,BK$17)</f>
        <v>1.307576997825342</v>
      </c>
      <c r="BL160" s="16">
        <f ca="1">_xll.DBRW($D$4,$E$7,$E$8,$E$9,$E$10,$E$12,$D160,$E$6,BL$18,BL$17)</f>
        <v>8.4993807904639507</v>
      </c>
      <c r="BM160" s="16">
        <f ca="1">_xll.DBRW($D$4,$E$7,$E$8,$E$9,$E$10,$E$12,$D160,$E$6,BM$18,BM$17)</f>
        <v>-3.1443178599999992</v>
      </c>
      <c r="BN160" s="16">
        <f ca="1">_xll.DBRW($D$4,$E$7,$E$8,$E$9,$E$10,$E$12,$D160,$E$6,BN$18,BN$17)</f>
        <v>0.36994669817921666</v>
      </c>
      <c r="BO160" s="16"/>
      <c r="BP160" s="16"/>
      <c r="BQ160" s="16"/>
      <c r="BR160" s="16"/>
      <c r="BS160" s="16">
        <f ca="1">_xll.DBRW($D$4,$E$7,$E$8,$E$9,$E$10,$E$12,$D160,$E$6,BS$18,BS$17)</f>
        <v>-0.9368464051823</v>
      </c>
      <c r="BT160" s="16">
        <f ca="1">_xll.DBRW($D$4,$E$7,$E$8,$E$9,$E$10,$E$12,$D160,$E$6,BT$18,BT$17)</f>
        <v>0.11022525384830545</v>
      </c>
      <c r="BU160" s="16"/>
      <c r="BV160" s="16"/>
      <c r="BW160" s="16"/>
      <c r="BX160" s="16"/>
      <c r="BY160" s="16">
        <f ca="1">_xll.DBRW($D$4,$E$7,$E$8,$E$9,$E$10,$E$12,$D160,$E$6,BY$18,BY$17)</f>
        <v>-0.8675290074563099</v>
      </c>
      <c r="BZ160" s="16">
        <f ca="1">_xll.DBRW($D$4,$E$7,$E$8,$E$9,$E$10,$E$12,$D160,$E$6,BZ$18,BZ$17)</f>
        <v>0.10206967176122422</v>
      </c>
      <c r="CA160" s="16"/>
      <c r="CB160" s="16"/>
      <c r="CC160" s="16"/>
      <c r="CD160" s="16"/>
      <c r="CE160" s="16">
        <f ca="1">_xll.DBRW($D$4,$E$7,$E$8,$E$9,$E$10,$E$12,$D160,$E$6,CE$18,CE$17)</f>
        <v>-1.0938594099999996</v>
      </c>
      <c r="CF160" s="16">
        <f ca="1">_xll.DBRW($D$4,$E$7,$E$8,$E$9,$E$10,$E$12,$D160,$E$6,CF$18,CF$17)</f>
        <v>0.12869871782039427</v>
      </c>
      <c r="CG160" s="16"/>
      <c r="CH160" s="16"/>
      <c r="CI160" s="16"/>
      <c r="CJ160" s="16"/>
      <c r="CK160" s="16">
        <f ca="1">_xll.DBRW($D$4,$E$7,$E$8,$E$9,$E$10,$E$12,$D160,$E$6,CK$18,CK$17)</f>
        <v>-1.14925111</v>
      </c>
      <c r="CL160" s="16">
        <f ca="1">_xll.DBRW($D$4,$E$7,$E$8,$E$9,$E$10,$E$12,$D160,$E$6,CL$18,CL$17)</f>
        <v>0.13521586317081183</v>
      </c>
      <c r="CM160" s="16"/>
      <c r="CN160" s="16"/>
      <c r="CO160" s="16"/>
      <c r="CP160" s="16"/>
      <c r="CQ160" s="16">
        <f ca="1">_xll.DBRW($D$4,$E$7,$E$8,$E$9,$E$10,$E$12,$D160,$E$6,CQ$18,CQ$17)</f>
        <v>0.1128601</v>
      </c>
      <c r="CR160" s="16">
        <f ca="1">_xll.DBRW($D$4,$E$7,$E$8,$E$9,$E$10,$E$12,$D160,$E$6,CR$18,CR$17)</f>
        <v>2.1753930000000001</v>
      </c>
      <c r="CS160" s="16">
        <f ca="1">_xll.DBRW($D$4,$E$7,$E$8,$E$9,$E$10,$E$12,$D160,$E$6,CS$18,CS$17)</f>
        <v>2.1753930000000001</v>
      </c>
      <c r="CT160" s="16">
        <f ca="1">_xll.DBRW($D$4,$E$7,$E$8,$E$9,$E$10,$E$12,$D160,$E$6,CT$18,CT$17)</f>
        <v>2.1753930000000001</v>
      </c>
      <c r="CU160" s="16">
        <f ca="1">_xll.DBRW($D$4,$E$7,$E$8,$E$9,$E$10,$E$12,$D160,$E$6,CU$18,CU$17)</f>
        <v>1.0455936123000003</v>
      </c>
      <c r="CV160" s="16">
        <f ca="1">_xll.DBRW($D$4,$E$7,$E$8,$E$9,$E$10,$E$12,$D160,$E$6,CV$18,CV$17)</f>
        <v>2.1753930000000001</v>
      </c>
      <c r="CW160" s="16">
        <f ca="1">_xll.DBRW($D$4,$E$7,$E$8,$E$9,$E$10,$E$12,$D160,$E$6,CW$18,CW$17)</f>
        <v>1.9237249999999997</v>
      </c>
      <c r="CX160" s="16">
        <f ca="1">_xll.DBRW($D$4,$E$7,$E$8,$E$9,$E$10,$E$12,$D160,$E$6,CX$18,CX$17)</f>
        <v>2.1753930000000001</v>
      </c>
      <c r="CY160" s="16">
        <f ca="1">_xll.DBRW($D$4,$E$7,$E$8,$E$9,$E$10,$E$12,$D160,$E$6,CY$18,CY$17)</f>
        <v>2.1753930000000001</v>
      </c>
      <c r="CZ160" s="16">
        <f ca="1">_xll.DBRW($D$4,$E$7,$E$8,$E$9,$E$10,$E$12,$D160,$E$6,CZ$18,CZ$17)</f>
        <v>2.1753930000000001</v>
      </c>
      <c r="DA160" s="26">
        <f t="shared" ca="1" si="127"/>
        <v>0.9337731021746567</v>
      </c>
      <c r="DB160" s="26">
        <f t="shared" ca="1" si="128"/>
        <v>0.88015732999999985</v>
      </c>
      <c r="DC160" s="26">
        <f t="shared" ca="1" si="129"/>
        <v>0</v>
      </c>
      <c r="DD160" s="26">
        <f t="shared" ca="1" si="130"/>
        <v>0</v>
      </c>
      <c r="DE160" s="26">
        <f t="shared" ca="1" si="131"/>
        <v>0</v>
      </c>
      <c r="DF160" s="26">
        <f t="shared" ca="1" si="132"/>
        <v>0</v>
      </c>
      <c r="DG160" s="26">
        <f t="shared" ca="1" si="133"/>
        <v>0</v>
      </c>
      <c r="DH160" s="26">
        <f t="shared" ca="1" si="134"/>
        <v>5.3615772174656628E-2</v>
      </c>
      <c r="DI160" s="26">
        <f t="shared" ca="1" si="135"/>
        <v>-1.1047415704639523</v>
      </c>
      <c r="DJ160" s="26">
        <f t="shared" ca="1" si="136"/>
        <v>0.32691814999999957</v>
      </c>
      <c r="DK160" s="26">
        <f t="shared" ca="1" si="137"/>
        <v>1.1059004219337976E-2</v>
      </c>
      <c r="DL160" s="26"/>
      <c r="DM160" s="26"/>
      <c r="DN160" s="26"/>
      <c r="DO160" s="26"/>
      <c r="DP160" s="26">
        <f t="shared" ca="1" si="138"/>
        <v>0.17495468518230006</v>
      </c>
      <c r="DQ160" s="26">
        <f t="shared" ca="1" si="139"/>
        <v>-7.1922731534068418E-3</v>
      </c>
      <c r="DR160" s="26"/>
      <c r="DS160" s="26"/>
      <c r="DT160" s="26"/>
      <c r="DU160" s="26"/>
      <c r="DV160" s="26">
        <f t="shared" ca="1" si="140"/>
        <v>0.24687065745630998</v>
      </c>
      <c r="DW160" s="26">
        <f t="shared" ca="1" si="141"/>
        <v>-1.8136117799412405E-2</v>
      </c>
      <c r="DX160" s="26"/>
      <c r="DY160" s="26"/>
      <c r="DZ160" s="26"/>
      <c r="EA160" s="26"/>
      <c r="EB160" s="26">
        <f t="shared" ca="1" si="142"/>
        <v>0.19478969999999951</v>
      </c>
      <c r="EC160" s="26">
        <f t="shared" ca="1" si="143"/>
        <v>-7.1147320096571348E-3</v>
      </c>
      <c r="ED160" s="26"/>
      <c r="EE160" s="26"/>
      <c r="EF160" s="26"/>
      <c r="EG160" s="26"/>
      <c r="EH160" s="26">
        <f t="shared" ca="1" si="144"/>
        <v>0.21482414999999977</v>
      </c>
      <c r="EI160" s="29">
        <f t="shared" ca="1" si="145"/>
        <v>-8.8504067638661976E-3</v>
      </c>
      <c r="EJ160" s="29"/>
      <c r="EK160" s="29"/>
      <c r="EL160" s="29"/>
      <c r="EM160" s="29"/>
      <c r="EN160" s="93"/>
      <c r="EO160" s="29"/>
      <c r="EP160" s="29"/>
      <c r="EQ160" s="29"/>
      <c r="ER160" s="29"/>
      <c r="ES160" s="29"/>
      <c r="ET160" s="29"/>
      <c r="EU160" s="93"/>
      <c r="EV160" s="29"/>
      <c r="EW160" s="29"/>
      <c r="EX160" s="29"/>
      <c r="EY160" s="29"/>
      <c r="EZ160" s="29"/>
      <c r="FA160" s="29"/>
      <c r="FB160" s="93"/>
      <c r="FC160" s="29"/>
      <c r="FD160" s="29"/>
      <c r="FE160" s="29"/>
      <c r="FF160" s="29"/>
      <c r="FG160" s="29"/>
      <c r="FH160" s="29"/>
      <c r="FI160" s="93"/>
      <c r="FJ160" s="29"/>
      <c r="FK160" s="29"/>
      <c r="FL160" s="29"/>
      <c r="FM160" s="29"/>
      <c r="FN160" s="29"/>
      <c r="FO160" s="29"/>
      <c r="FP160" s="93"/>
      <c r="FQ160" s="29"/>
      <c r="FR160" s="29"/>
      <c r="FS160" s="29"/>
      <c r="FT160" s="29"/>
      <c r="FU160" s="29"/>
      <c r="FV160" s="29"/>
    </row>
    <row r="161" spans="1:178" x14ac:dyDescent="0.25">
      <c r="A161" t="str">
        <f ca="1">IF(_xll.TM1RPTELISCONSOLIDATED($D$28,$D161),IF(_xll.TM1RPTELLEV($D$28,$D161)&lt;=3,_xll.TM1RPTELLEV($D$28,$D161),"D"),"N")</f>
        <v>N</v>
      </c>
      <c r="B161" t="str">
        <f ca="1">_xll.DBRA(Server&amp;"Management_organization",$D161,$B$27)</f>
        <v>L</v>
      </c>
      <c r="C161">
        <v>1</v>
      </c>
      <c r="D161" s="2" t="s">
        <v>173</v>
      </c>
      <c r="E161" s="26"/>
      <c r="F161" s="26"/>
      <c r="G161" s="16">
        <f ca="1">_xll.DBRW($D$4,$E$7,$E$8,$E$9,$E$10,$E$12,$D161,$E$6,G$18,G$17)</f>
        <v>-4.60258300000006E-2</v>
      </c>
      <c r="H161" s="16">
        <f ca="1">_xll.DBRW($D$4,$E$7,$E$8,$E$9,$E$10,$E$12,$D161,$E$6,H$18,H$17)</f>
        <v>-0.98129101999999979</v>
      </c>
      <c r="I161" s="16">
        <f ca="1">_xll.DBRW($D$4,$E$7,$E$8,$E$9,$E$10,$E$12,$D161,$E$6,I$18,I$17)</f>
        <v>0</v>
      </c>
      <c r="J161" s="26">
        <f ca="1">_xll.DBRW($D$4,$E$7,$E$8,$E$9,$E$10,$E$12,$D161,$E$6,J$18,J$17)</f>
        <v>0</v>
      </c>
      <c r="K161" s="26">
        <f ca="1">_xll.DBRW($D$4,$E$7,$E$8,$E$9,$E$10,$E$12,$D161,$E$6,K$18,K$17)</f>
        <v>0</v>
      </c>
      <c r="L161" s="26">
        <f ca="1">_xll.DBRW($D$4,$E$7,$E$8,$E$9,$E$10,$E$12,$D161,$E$6,L$18,L$17)</f>
        <v>0</v>
      </c>
      <c r="M161" s="26">
        <f ca="1">_xll.DBRW($D$4,$E$7,$E$8,$E$9,$E$10,$E$12,$D161,$E$6,M$18,M$17)</f>
        <v>0</v>
      </c>
      <c r="N161" s="16">
        <f ca="1">_xll.DBRW($D$4,$E$7,$E$8,$E$9,$E$10,$E$12,$D161,$E$6,N$18,N$17)</f>
        <v>0.93526518999999919</v>
      </c>
      <c r="O161" s="16">
        <f ca="1">_xll.DBRW($D$4,$E$7,$E$8,$E$9,$E$10,$E$12,$D161,$E$6,O$18,O$17)</f>
        <v>9.0670198099999997</v>
      </c>
      <c r="P161" s="74">
        <f ca="1">_xll.DBRW($D$4,$E$7,$E$8,$E$9,$E$10,$E$12,$D161,$E$6,P$18,P$17)</f>
        <v>-3.8073995899999993</v>
      </c>
      <c r="Q161" s="16">
        <f ca="1">_xll.DBRW($D$4,$E$7,$E$8,$E$9,$E$10,$E$12,$D161,$E$6,Q$18,Q$17)</f>
        <v>0.41991742267959148</v>
      </c>
      <c r="R161" s="16"/>
      <c r="S161" s="16"/>
      <c r="T161" s="16"/>
      <c r="U161" s="16"/>
      <c r="V161" s="16">
        <f ca="1">_xll.DBRW($D$4,$E$7,$E$8,$E$9,$E$10,$E$12,$D161,$E$6,V$18,V$17)</f>
        <v>-0.70872003999999988</v>
      </c>
      <c r="W161" s="16">
        <f ca="1">_xll.DBRW($D$4,$E$7,$E$8,$E$9,$E$10,$E$12,$D161,$E$6,W$18,W$17)</f>
        <v>7.8164606987883037E-2</v>
      </c>
      <c r="X161" s="16"/>
      <c r="Y161" s="16"/>
      <c r="Z161" s="16"/>
      <c r="AA161" s="16"/>
      <c r="AB161" s="16">
        <f ca="1">_xll.DBRW($D$4,$E$7,$E$8,$E$9,$E$10,$E$12,$D161,$E$6,AB$18,AB$17)</f>
        <v>-2.4442470000000049E-2</v>
      </c>
      <c r="AC161" s="16">
        <f ca="1">_xll.DBRW($D$4,$E$7,$E$8,$E$9,$E$10,$E$12,$D161,$E$6,AC$18,AC$17)</f>
        <v>2.6957556630727215E-3</v>
      </c>
      <c r="AD161" s="16"/>
      <c r="AE161" s="16"/>
      <c r="AF161" s="16"/>
      <c r="AG161" s="16"/>
      <c r="AH161" s="16">
        <f ca="1">_xll.DBRW($D$4,$E$7,$E$8,$E$9,$E$10,$E$12,$D161,$E$6,AH$18,AH$17)</f>
        <v>-0.87193703000000011</v>
      </c>
      <c r="AI161" s="16">
        <f ca="1">_xll.DBRW($D$4,$E$7,$E$8,$E$9,$E$10,$E$12,$D161,$E$6,AI$18,AI$17)</f>
        <v>9.6165779745881044E-2</v>
      </c>
      <c r="AJ161" s="16"/>
      <c r="AK161" s="16"/>
      <c r="AL161" s="16"/>
      <c r="AM161" s="16"/>
      <c r="AN161" s="16">
        <f ca="1">_xll.DBRW($D$4,$E$7,$E$8,$E$9,$E$10,$E$12,$D161,$E$6,AN$18,AN$17)</f>
        <v>-2.7192554900000006</v>
      </c>
      <c r="AO161" s="16">
        <f ca="1">_xll.DBRW($D$4,$E$7,$E$8,$E$9,$E$10,$E$12,$D161,$E$6,AO$18,AO$17)</f>
        <v>0.29990620369009657</v>
      </c>
      <c r="AP161" s="16"/>
      <c r="AQ161" s="16"/>
      <c r="AR161" s="16"/>
      <c r="AS161" s="16"/>
      <c r="AT161" s="16">
        <f ca="1">_xll.DBRW($D$4,$E$7,$E$8,$E$9,$E$10,$E$12,$D161,$E$6,AT$18,AT$17)</f>
        <v>0.138569</v>
      </c>
      <c r="AU161" s="16">
        <f ca="1">_xll.DBRW($D$4,$E$7,$E$8,$E$9,$E$10,$E$12,$D161,$E$6,AU$18,AU$17)</f>
        <v>1.9441980000000001</v>
      </c>
      <c r="AV161" s="16">
        <f ca="1">_xll.DBRW($D$4,$E$7,$E$8,$E$9,$E$10,$E$12,$D161,$E$6,AV$18,AV$17)</f>
        <v>1.9441980000000001</v>
      </c>
      <c r="AW161" s="16">
        <f ca="1">_xll.DBRW($D$4,$E$7,$E$8,$E$9,$E$10,$E$12,$D161,$E$6,AW$18,AW$17)</f>
        <v>1.9441980000000001</v>
      </c>
      <c r="AX161" s="16">
        <f ca="1">_xll.DBRW($D$4,$E$7,$E$8,$E$9,$E$10,$E$12,$D161,$E$6,AX$18,AX$17)</f>
        <v>0.55337399999999992</v>
      </c>
      <c r="AY161" s="16">
        <f ca="1">_xll.DBRW($D$4,$E$7,$E$8,$E$9,$E$10,$E$12,$D161,$E$6,AY$18,AY$17)</f>
        <v>1.9441980000000001</v>
      </c>
      <c r="AZ161" s="16">
        <f ca="1">_xll.DBRW($D$4,$E$7,$E$8,$E$9,$E$10,$E$12,$D161,$E$6,AZ$18,AZ$17)</f>
        <v>0</v>
      </c>
      <c r="BA161" s="16">
        <f ca="1">_xll.DBRW($D$4,$E$7,$E$8,$E$9,$E$10,$E$12,$D161,$E$6,BA$18,BA$17)</f>
        <v>1.9441980000000001</v>
      </c>
      <c r="BB161" s="16">
        <f ca="1">_xll.DBRW($D$4,$E$7,$E$8,$E$9,$E$10,$E$12,$D161,$E$6,BB$18,BB$17)</f>
        <v>1.9441980000000001</v>
      </c>
      <c r="BC161" s="16">
        <f ca="1">_xll.DBRW($D$4,$E$7,$E$8,$E$9,$E$10,$E$12,$D161,$E$6,BC$18,BC$17)</f>
        <v>1.9441980000000001</v>
      </c>
      <c r="BD161" s="16">
        <f ca="1">_xll.DBRW($D$4,$E$7,$E$8,$E$9,$E$10,$E$12,$D161,$E$6,BD$18,BD$17)</f>
        <v>-0.42729542982256602</v>
      </c>
      <c r="BE161" s="16">
        <f ca="1">_xll.DBRW($D$4,$E$7,$E$8,$E$9,$E$10,$E$12,$D161,$E$6,BE$18,BE$17)</f>
        <v>-0.93101167590753986</v>
      </c>
      <c r="BF161" s="16">
        <f ca="1">_xll.DBRW($D$4,$E$7,$E$8,$E$9,$E$10,$E$12,$D161,$E$6,BF$18,BF$17)</f>
        <v>0</v>
      </c>
      <c r="BG161" s="26">
        <f ca="1">_xll.DBRW($D$4,$E$7,$E$8,$E$9,$E$10,$E$12,$D161,$E$6,BG$18,BG$17)</f>
        <v>0</v>
      </c>
      <c r="BH161" s="26">
        <f ca="1">_xll.DBRW($D$4,$E$7,$E$8,$E$9,$E$10,$E$12,$D161,$E$6,BH$18,BH$17)</f>
        <v>0</v>
      </c>
      <c r="BI161" s="26">
        <f ca="1">_xll.DBRW($D$4,$E$7,$E$8,$E$9,$E$10,$E$12,$D161,$E$6,BI$18,BI$17)</f>
        <v>0</v>
      </c>
      <c r="BJ161" s="26">
        <f ca="1">_xll.DBRW($D$4,$E$7,$E$8,$E$9,$E$10,$E$12,$D161,$E$6,BJ$18,BJ$17)</f>
        <v>0</v>
      </c>
      <c r="BK161" s="16">
        <f ca="1">_xll.DBRW($D$4,$E$7,$E$8,$E$9,$E$10,$E$12,$D161,$E$6,BK$18,BK$17)</f>
        <v>0.50371624608497401</v>
      </c>
      <c r="BL161" s="16">
        <f ca="1">_xll.DBRW($D$4,$E$7,$E$8,$E$9,$E$10,$E$12,$D161,$E$6,BL$18,BL$17)</f>
        <v>10.695404308562939</v>
      </c>
      <c r="BM161" s="16">
        <f ca="1">_xll.DBRW($D$4,$E$7,$E$8,$E$9,$E$10,$E$12,$D161,$E$6,BM$18,BM$17)</f>
        <v>-4.333734999999999</v>
      </c>
      <c r="BN161" s="16">
        <f ca="1">_xll.DBRW($D$4,$E$7,$E$8,$E$9,$E$10,$E$12,$D161,$E$6,BN$18,BN$17)</f>
        <v>0.40519599586621802</v>
      </c>
      <c r="BO161" s="16"/>
      <c r="BP161" s="16"/>
      <c r="BQ161" s="16"/>
      <c r="BR161" s="16"/>
      <c r="BS161" s="16">
        <f ca="1">_xll.DBRW($D$4,$E$7,$E$8,$E$9,$E$10,$E$12,$D161,$E$6,BS$18,BS$17)</f>
        <v>-0.87831780108412572</v>
      </c>
      <c r="BT161" s="16">
        <f ca="1">_xll.DBRW($D$4,$E$7,$E$8,$E$9,$E$10,$E$12,$D161,$E$6,BT$18,BT$17)</f>
        <v>8.2121047110012307E-2</v>
      </c>
      <c r="BU161" s="16"/>
      <c r="BV161" s="16"/>
      <c r="BW161" s="16"/>
      <c r="BX161" s="16"/>
      <c r="BY161" s="16">
        <f ca="1">_xll.DBRW($D$4,$E$7,$E$8,$E$9,$E$10,$E$12,$D161,$E$6,BY$18,BY$17)</f>
        <v>-0.51081488389383978</v>
      </c>
      <c r="BZ161" s="16">
        <f ca="1">_xll.DBRW($D$4,$E$7,$E$8,$E$9,$E$10,$E$12,$D161,$E$6,BZ$18,BZ$17)</f>
        <v>4.7760221975420972E-2</v>
      </c>
      <c r="CA161" s="16"/>
      <c r="CB161" s="16"/>
      <c r="CC161" s="16"/>
      <c r="CD161" s="16"/>
      <c r="CE161" s="16">
        <f ca="1">_xll.DBRW($D$4,$E$7,$E$8,$E$9,$E$10,$E$12,$D161,$E$6,CE$18,CE$17)</f>
        <v>-1.10775782</v>
      </c>
      <c r="CF161" s="16">
        <f ca="1">_xll.DBRW($D$4,$E$7,$E$8,$E$9,$E$10,$E$12,$D161,$E$6,CF$18,CF$17)</f>
        <v>0.10357325333770773</v>
      </c>
      <c r="CG161" s="16"/>
      <c r="CH161" s="16"/>
      <c r="CI161" s="16"/>
      <c r="CJ161" s="16"/>
      <c r="CK161" s="16">
        <f ca="1">_xll.DBRW($D$4,$E$7,$E$8,$E$9,$E$10,$E$12,$D161,$E$6,CK$18,CK$17)</f>
        <v>-3.3610625574999995</v>
      </c>
      <c r="CL161" s="16">
        <f ca="1">_xll.DBRW($D$4,$E$7,$E$8,$E$9,$E$10,$E$12,$D161,$E$6,CL$18,CL$17)</f>
        <v>0.31425296889516097</v>
      </c>
      <c r="CM161" s="16"/>
      <c r="CN161" s="16"/>
      <c r="CO161" s="16"/>
      <c r="CP161" s="16"/>
      <c r="CQ161" s="16">
        <f ca="1">_xll.DBRW($D$4,$E$7,$E$8,$E$9,$E$10,$E$12,$D161,$E$6,CQ$18,CQ$17)</f>
        <v>0.1532654</v>
      </c>
      <c r="CR161" s="16">
        <f ca="1">_xll.DBRW($D$4,$E$7,$E$8,$E$9,$E$10,$E$12,$D161,$E$6,CR$18,CR$17)</f>
        <v>2.082776</v>
      </c>
      <c r="CS161" s="16">
        <f ca="1">_xll.DBRW($D$4,$E$7,$E$8,$E$9,$E$10,$E$12,$D161,$E$6,CS$18,CS$17)</f>
        <v>2.082776</v>
      </c>
      <c r="CT161" s="16">
        <f ca="1">_xll.DBRW($D$4,$E$7,$E$8,$E$9,$E$10,$E$12,$D161,$E$6,CT$18,CT$17)</f>
        <v>2.082776</v>
      </c>
      <c r="CU161" s="16">
        <f ca="1">_xll.DBRW($D$4,$E$7,$E$8,$E$9,$E$10,$E$12,$D161,$E$6,CU$18,CU$17)</f>
        <v>0.59286372630000006</v>
      </c>
      <c r="CV161" s="16">
        <f ca="1">_xll.DBRW($D$4,$E$7,$E$8,$E$9,$E$10,$E$12,$D161,$E$6,CV$18,CV$17)</f>
        <v>2.082776</v>
      </c>
      <c r="CW161" s="16">
        <f ca="1">_xll.DBRW($D$4,$E$7,$E$8,$E$9,$E$10,$E$12,$D161,$E$6,CW$18,CW$17)</f>
        <v>1.107531</v>
      </c>
      <c r="CX161" s="16">
        <f ca="1">_xll.DBRW($D$4,$E$7,$E$8,$E$9,$E$10,$E$12,$D161,$E$6,CX$18,CX$17)</f>
        <v>2.082776</v>
      </c>
      <c r="CY161" s="16">
        <f ca="1">_xll.DBRW($D$4,$E$7,$E$8,$E$9,$E$10,$E$12,$D161,$E$6,CY$18,CY$17)</f>
        <v>2.082776</v>
      </c>
      <c r="CZ161" s="16">
        <f ca="1">_xll.DBRW($D$4,$E$7,$E$8,$E$9,$E$10,$E$12,$D161,$E$6,CZ$18,CZ$17)</f>
        <v>2.082776</v>
      </c>
      <c r="DA161" s="26">
        <f t="shared" ca="1" si="127"/>
        <v>0.38126959982256542</v>
      </c>
      <c r="DB161" s="26">
        <f t="shared" ca="1" si="128"/>
        <v>-5.0279344092459932E-2</v>
      </c>
      <c r="DC161" s="26">
        <f t="shared" ca="1" si="129"/>
        <v>0</v>
      </c>
      <c r="DD161" s="26">
        <f t="shared" ca="1" si="130"/>
        <v>0</v>
      </c>
      <c r="DE161" s="26">
        <f t="shared" ca="1" si="131"/>
        <v>0</v>
      </c>
      <c r="DF161" s="26">
        <f t="shared" ca="1" si="132"/>
        <v>0</v>
      </c>
      <c r="DG161" s="26">
        <f t="shared" ca="1" si="133"/>
        <v>0</v>
      </c>
      <c r="DH161" s="26">
        <f t="shared" ca="1" si="134"/>
        <v>0.43154894391502518</v>
      </c>
      <c r="DI161" s="26">
        <f t="shared" ca="1" si="135"/>
        <v>-1.628384498562939</v>
      </c>
      <c r="DJ161" s="26">
        <f t="shared" ca="1" si="136"/>
        <v>0.52633540999999973</v>
      </c>
      <c r="DK161" s="26">
        <f t="shared" ca="1" si="137"/>
        <v>1.4721426813373462E-2</v>
      </c>
      <c r="DL161" s="26"/>
      <c r="DM161" s="26"/>
      <c r="DN161" s="26"/>
      <c r="DO161" s="26"/>
      <c r="DP161" s="26">
        <f t="shared" ca="1" si="138"/>
        <v>0.16959776108412583</v>
      </c>
      <c r="DQ161" s="26">
        <f t="shared" ca="1" si="139"/>
        <v>-3.9564401221292705E-3</v>
      </c>
      <c r="DR161" s="26"/>
      <c r="DS161" s="26"/>
      <c r="DT161" s="26"/>
      <c r="DU161" s="26"/>
      <c r="DV161" s="26">
        <f t="shared" ca="1" si="140"/>
        <v>0.48637241389383973</v>
      </c>
      <c r="DW161" s="26">
        <f t="shared" ca="1" si="141"/>
        <v>-4.5064466312348249E-2</v>
      </c>
      <c r="DX161" s="26"/>
      <c r="DY161" s="26"/>
      <c r="DZ161" s="26"/>
      <c r="EA161" s="26"/>
      <c r="EB161" s="26">
        <f t="shared" ca="1" si="142"/>
        <v>0.23582078999999989</v>
      </c>
      <c r="EC161" s="26">
        <f t="shared" ca="1" si="143"/>
        <v>-7.4074735918266826E-3</v>
      </c>
      <c r="ED161" s="26"/>
      <c r="EE161" s="26"/>
      <c r="EF161" s="26"/>
      <c r="EG161" s="26"/>
      <c r="EH161" s="26">
        <f t="shared" ca="1" si="144"/>
        <v>0.64180706749999894</v>
      </c>
      <c r="EI161" s="29">
        <f t="shared" ca="1" si="145"/>
        <v>-1.4346765205064393E-2</v>
      </c>
      <c r="EJ161" s="29"/>
      <c r="EK161" s="29"/>
      <c r="EL161" s="29"/>
      <c r="EM161" s="29"/>
      <c r="EN161" s="93"/>
      <c r="EO161" s="29"/>
      <c r="EP161" s="29"/>
      <c r="EQ161" s="29"/>
      <c r="ER161" s="29"/>
      <c r="ES161" s="29"/>
      <c r="ET161" s="29"/>
      <c r="EU161" s="93"/>
      <c r="EV161" s="29"/>
      <c r="EW161" s="29"/>
      <c r="EX161" s="29"/>
      <c r="EY161" s="29"/>
      <c r="EZ161" s="29"/>
      <c r="FA161" s="29"/>
      <c r="FB161" s="93"/>
      <c r="FC161" s="29"/>
      <c r="FD161" s="29"/>
      <c r="FE161" s="29"/>
      <c r="FF161" s="29"/>
      <c r="FG161" s="29"/>
      <c r="FH161" s="29"/>
      <c r="FI161" s="93"/>
      <c r="FJ161" s="29"/>
      <c r="FK161" s="29"/>
      <c r="FL161" s="29"/>
      <c r="FM161" s="29"/>
      <c r="FN161" s="29"/>
      <c r="FO161" s="29"/>
      <c r="FP161" s="93"/>
      <c r="FQ161" s="29"/>
      <c r="FR161" s="29"/>
      <c r="FS161" s="29"/>
      <c r="FT161" s="29"/>
      <c r="FU161" s="29"/>
      <c r="FV161" s="29"/>
    </row>
    <row r="162" spans="1:178" x14ac:dyDescent="0.25">
      <c r="A162" t="str">
        <f ca="1">IF(_xll.TM1RPTELISCONSOLIDATED($D$28,$D162),IF(_xll.TM1RPTELLEV($D$28,$D162)&lt;=3,_xll.TM1RPTELLEV($D$28,$D162),"D"),"N")</f>
        <v>N</v>
      </c>
      <c r="B162" t="str">
        <f ca="1">_xll.DBRA(Server&amp;"Management_organization",$D162,$B$27)</f>
        <v>L</v>
      </c>
      <c r="C162">
        <v>1</v>
      </c>
      <c r="D162" s="2" t="s">
        <v>175</v>
      </c>
      <c r="E162" s="26"/>
      <c r="F162" s="26"/>
      <c r="G162" s="16">
        <f ca="1">_xll.DBRW($D$4,$E$7,$E$8,$E$9,$E$10,$E$12,$D162,$E$6,G$18,G$17)</f>
        <v>-0.21127082000000019</v>
      </c>
      <c r="H162" s="16">
        <f ca="1">_xll.DBRW($D$4,$E$7,$E$8,$E$9,$E$10,$E$12,$D162,$E$6,H$18,H$17)</f>
        <v>-5.3542800000000015E-2</v>
      </c>
      <c r="I162" s="16">
        <f ca="1">_xll.DBRW($D$4,$E$7,$E$8,$E$9,$E$10,$E$12,$D162,$E$6,I$18,I$17)</f>
        <v>0</v>
      </c>
      <c r="J162" s="26">
        <f ca="1">_xll.DBRW($D$4,$E$7,$E$8,$E$9,$E$10,$E$12,$D162,$E$6,J$18,J$17)</f>
        <v>0</v>
      </c>
      <c r="K162" s="26">
        <f ca="1">_xll.DBRW($D$4,$E$7,$E$8,$E$9,$E$10,$E$12,$D162,$E$6,K$18,K$17)</f>
        <v>0</v>
      </c>
      <c r="L162" s="26">
        <f ca="1">_xll.DBRW($D$4,$E$7,$E$8,$E$9,$E$10,$E$12,$D162,$E$6,L$18,L$17)</f>
        <v>0</v>
      </c>
      <c r="M162" s="26">
        <f ca="1">_xll.DBRW($D$4,$E$7,$E$8,$E$9,$E$10,$E$12,$D162,$E$6,M$18,M$17)</f>
        <v>0</v>
      </c>
      <c r="N162" s="16">
        <f ca="1">_xll.DBRW($D$4,$E$7,$E$8,$E$9,$E$10,$E$12,$D162,$E$6,N$18,N$17)</f>
        <v>-0.15772802000000019</v>
      </c>
      <c r="O162" s="16">
        <f ca="1">_xll.DBRW($D$4,$E$7,$E$8,$E$9,$E$10,$E$12,$D162,$E$6,O$18,O$17)</f>
        <v>1.18039874</v>
      </c>
      <c r="P162" s="74">
        <f ca="1">_xll.DBRW($D$4,$E$7,$E$8,$E$9,$E$10,$E$12,$D162,$E$6,P$18,P$17)</f>
        <v>-0.66926708000000001</v>
      </c>
      <c r="Q162" s="16">
        <f ca="1">_xll.DBRW($D$4,$E$7,$E$8,$E$9,$E$10,$E$12,$D162,$E$6,Q$18,Q$17)</f>
        <v>0.56698389901703894</v>
      </c>
      <c r="R162" s="16"/>
      <c r="S162" s="16"/>
      <c r="T162" s="16"/>
      <c r="U162" s="16"/>
      <c r="V162" s="16">
        <f ca="1">_xll.DBRW($D$4,$E$7,$E$8,$E$9,$E$10,$E$12,$D162,$E$6,V$18,V$17)</f>
        <v>-0.14957414999999999</v>
      </c>
      <c r="W162" s="16">
        <f ca="1">_xll.DBRW($D$4,$E$7,$E$8,$E$9,$E$10,$E$12,$D162,$E$6,W$18,W$17)</f>
        <v>0.1267149353277012</v>
      </c>
      <c r="X162" s="16"/>
      <c r="Y162" s="16"/>
      <c r="Z162" s="16"/>
      <c r="AA162" s="16"/>
      <c r="AB162" s="16">
        <f ca="1">_xll.DBRW($D$4,$E$7,$E$8,$E$9,$E$10,$E$12,$D162,$E$6,AB$18,AB$17)</f>
        <v>-0.10297632000000001</v>
      </c>
      <c r="AC162" s="16">
        <f ca="1">_xll.DBRW($D$4,$E$7,$E$8,$E$9,$E$10,$E$12,$D162,$E$6,AC$18,AC$17)</f>
        <v>8.7238588546782084E-2</v>
      </c>
      <c r="AD162" s="16"/>
      <c r="AE162" s="16"/>
      <c r="AF162" s="16"/>
      <c r="AG162" s="16"/>
      <c r="AH162" s="16">
        <f ca="1">_xll.DBRW($D$4,$E$7,$E$8,$E$9,$E$10,$E$12,$D162,$E$6,AH$18,AH$17)</f>
        <v>-0.23807576999999994</v>
      </c>
      <c r="AI162" s="16">
        <f ca="1">_xll.DBRW($D$4,$E$7,$E$8,$E$9,$E$10,$E$12,$D162,$E$6,AI$18,AI$17)</f>
        <v>0.20169097266233946</v>
      </c>
      <c r="AJ162" s="16"/>
      <c r="AK162" s="16"/>
      <c r="AL162" s="16"/>
      <c r="AM162" s="16"/>
      <c r="AN162" s="16">
        <f ca="1">_xll.DBRW($D$4,$E$7,$E$8,$E$9,$E$10,$E$12,$D162,$E$6,AN$18,AN$17)</f>
        <v>-0.17823343999999999</v>
      </c>
      <c r="AO162" s="16">
        <f ca="1">_xll.DBRW($D$4,$E$7,$E$8,$E$9,$E$10,$E$12,$D162,$E$6,AO$18,AO$17)</f>
        <v>0.15099426487019124</v>
      </c>
      <c r="AP162" s="16"/>
      <c r="AQ162" s="16"/>
      <c r="AR162" s="16"/>
      <c r="AS162" s="16"/>
      <c r="AT162" s="16">
        <f ca="1">_xll.DBRW($D$4,$E$7,$E$8,$E$9,$E$10,$E$12,$D162,$E$6,AT$18,AT$17)</f>
        <v>2.6608559999999996E-2</v>
      </c>
      <c r="AU162" s="16">
        <f ca="1">_xll.DBRW($D$4,$E$7,$E$8,$E$9,$E$10,$E$12,$D162,$E$6,AU$18,AU$17)</f>
        <v>0.26936199999999999</v>
      </c>
      <c r="AV162" s="16">
        <f ca="1">_xll.DBRW($D$4,$E$7,$E$8,$E$9,$E$10,$E$12,$D162,$E$6,AV$18,AV$17)</f>
        <v>0.26936199999999999</v>
      </c>
      <c r="AW162" s="16">
        <f ca="1">_xll.DBRW($D$4,$E$7,$E$8,$E$9,$E$10,$E$12,$D162,$E$6,AW$18,AW$17)</f>
        <v>0.26936199999999999</v>
      </c>
      <c r="AX162" s="16">
        <f ca="1">_xll.DBRW($D$4,$E$7,$E$8,$E$9,$E$10,$E$12,$D162,$E$6,AX$18,AX$17)</f>
        <v>0.10406199999999999</v>
      </c>
      <c r="AY162" s="16">
        <f ca="1">_xll.DBRW($D$4,$E$7,$E$8,$E$9,$E$10,$E$12,$D162,$E$6,AY$18,AY$17)</f>
        <v>0.26936199999999999</v>
      </c>
      <c r="AZ162" s="16">
        <f ca="1">_xll.DBRW($D$4,$E$7,$E$8,$E$9,$E$10,$E$12,$D162,$E$6,AZ$18,AZ$17)</f>
        <v>0</v>
      </c>
      <c r="BA162" s="16">
        <f ca="1">_xll.DBRW($D$4,$E$7,$E$8,$E$9,$E$10,$E$12,$D162,$E$6,BA$18,BA$17)</f>
        <v>0.26936199999999999</v>
      </c>
      <c r="BB162" s="16">
        <f ca="1">_xll.DBRW($D$4,$E$7,$E$8,$E$9,$E$10,$E$12,$D162,$E$6,BB$18,BB$17)</f>
        <v>0.26936199999999999</v>
      </c>
      <c r="BC162" s="16">
        <f ca="1">_xll.DBRW($D$4,$E$7,$E$8,$E$9,$E$10,$E$12,$D162,$E$6,BC$18,BC$17)</f>
        <v>0.26936199999999999</v>
      </c>
      <c r="BD162" s="16">
        <f ca="1">_xll.DBRW($D$4,$E$7,$E$8,$E$9,$E$10,$E$12,$D162,$E$6,BD$18,BD$17)</f>
        <v>-6.6146727003547748E-2</v>
      </c>
      <c r="BE162" s="16">
        <f ca="1">_xll.DBRW($D$4,$E$7,$E$8,$E$9,$E$10,$E$12,$D162,$E$6,BE$18,BE$17)</f>
        <v>-0.14243476999999999</v>
      </c>
      <c r="BF162" s="16">
        <f ca="1">_xll.DBRW($D$4,$E$7,$E$8,$E$9,$E$10,$E$12,$D162,$E$6,BF$18,BF$17)</f>
        <v>0</v>
      </c>
      <c r="BG162" s="26">
        <f ca="1">_xll.DBRW($D$4,$E$7,$E$8,$E$9,$E$10,$E$12,$D162,$E$6,BG$18,BG$17)</f>
        <v>0</v>
      </c>
      <c r="BH162" s="26">
        <f ca="1">_xll.DBRW($D$4,$E$7,$E$8,$E$9,$E$10,$E$12,$D162,$E$6,BH$18,BH$17)</f>
        <v>0</v>
      </c>
      <c r="BI162" s="26">
        <f ca="1">_xll.DBRW($D$4,$E$7,$E$8,$E$9,$E$10,$E$12,$D162,$E$6,BI$18,BI$17)</f>
        <v>0</v>
      </c>
      <c r="BJ162" s="26">
        <f ca="1">_xll.DBRW($D$4,$E$7,$E$8,$E$9,$E$10,$E$12,$D162,$E$6,BJ$18,BJ$17)</f>
        <v>0</v>
      </c>
      <c r="BK162" s="16">
        <f ca="1">_xll.DBRW($D$4,$E$7,$E$8,$E$9,$E$10,$E$12,$D162,$E$6,BK$18,BK$17)</f>
        <v>7.6288042996452227E-2</v>
      </c>
      <c r="BL162" s="16">
        <f ca="1">_xll.DBRW($D$4,$E$7,$E$8,$E$9,$E$10,$E$12,$D162,$E$6,BL$18,BL$17)</f>
        <v>1.6320998100000002</v>
      </c>
      <c r="BM162" s="16">
        <f ca="1">_xll.DBRW($D$4,$E$7,$E$8,$E$9,$E$10,$E$12,$D162,$E$6,BM$18,BM$17)</f>
        <v>-0.81378131000000009</v>
      </c>
      <c r="BN162" s="16">
        <f ca="1">_xll.DBRW($D$4,$E$7,$E$8,$E$9,$E$10,$E$12,$D162,$E$6,BN$18,BN$17)</f>
        <v>0.49861001454316695</v>
      </c>
      <c r="BO162" s="16"/>
      <c r="BP162" s="16"/>
      <c r="BQ162" s="16"/>
      <c r="BR162" s="16"/>
      <c r="BS162" s="16">
        <f ca="1">_xll.DBRW($D$4,$E$7,$E$8,$E$9,$E$10,$E$12,$D162,$E$6,BS$18,BS$17)</f>
        <v>-0.13261329981951603</v>
      </c>
      <c r="BT162" s="16">
        <f ca="1">_xll.DBRW($D$4,$E$7,$E$8,$E$9,$E$10,$E$12,$D162,$E$6,BT$18,BT$17)</f>
        <v>8.1253180110054682E-2</v>
      </c>
      <c r="BU162" s="16"/>
      <c r="BV162" s="16"/>
      <c r="BW162" s="16"/>
      <c r="BX162" s="16"/>
      <c r="BY162" s="16">
        <f ca="1">_xll.DBRW($D$4,$E$7,$E$8,$E$9,$E$10,$E$12,$D162,$E$6,BY$18,BY$17)</f>
        <v>-9.7012767184031706E-2</v>
      </c>
      <c r="BZ162" s="16">
        <f ca="1">_xll.DBRW($D$4,$E$7,$E$8,$E$9,$E$10,$E$12,$D162,$E$6,BZ$18,BZ$17)</f>
        <v>5.9440462274198594E-2</v>
      </c>
      <c r="CA162" s="16"/>
      <c r="CB162" s="16"/>
      <c r="CC162" s="16"/>
      <c r="CD162" s="16"/>
      <c r="CE162" s="16">
        <f ca="1">_xll.DBRW($D$4,$E$7,$E$8,$E$9,$E$10,$E$12,$D162,$E$6,CE$18,CE$17)</f>
        <v>-0.26644710999999999</v>
      </c>
      <c r="CF162" s="16">
        <f ca="1">_xll.DBRW($D$4,$E$7,$E$8,$E$9,$E$10,$E$12,$D162,$E$6,CF$18,CF$17)</f>
        <v>0.16325417622590127</v>
      </c>
      <c r="CG162" s="16"/>
      <c r="CH162" s="16"/>
      <c r="CI162" s="16"/>
      <c r="CJ162" s="16"/>
      <c r="CK162" s="16">
        <f ca="1">_xll.DBRW($D$4,$E$7,$E$8,$E$9,$E$10,$E$12,$D162,$E$6,CK$18,CK$17)</f>
        <v>-0.24595728</v>
      </c>
      <c r="CL162" s="16">
        <f ca="1">_xll.DBRW($D$4,$E$7,$E$8,$E$9,$E$10,$E$12,$D162,$E$6,CL$18,CL$17)</f>
        <v>0.1506999011292085</v>
      </c>
      <c r="CM162" s="16"/>
      <c r="CN162" s="16"/>
      <c r="CO162" s="16"/>
      <c r="CP162" s="16"/>
      <c r="CQ162" s="16">
        <f ca="1">_xll.DBRW($D$4,$E$7,$E$8,$E$9,$E$10,$E$12,$D162,$E$6,CQ$18,CQ$17)</f>
        <v>3.0489999999999996E-2</v>
      </c>
      <c r="CR162" s="16">
        <f ca="1">_xll.DBRW($D$4,$E$7,$E$8,$E$9,$E$10,$E$12,$D162,$E$6,CR$18,CR$17)</f>
        <v>0.30357147317999994</v>
      </c>
      <c r="CS162" s="16">
        <f ca="1">_xll.DBRW($D$4,$E$7,$E$8,$E$9,$E$10,$E$12,$D162,$E$6,CS$18,CS$17)</f>
        <v>0.30357147317999994</v>
      </c>
      <c r="CT162" s="16">
        <f ca="1">_xll.DBRW($D$4,$E$7,$E$8,$E$9,$E$10,$E$12,$D162,$E$6,CT$18,CT$17)</f>
        <v>0.30357147317999994</v>
      </c>
      <c r="CU162" s="16">
        <f ca="1">_xll.DBRW($D$4,$E$7,$E$8,$E$9,$E$10,$E$12,$D162,$E$6,CU$18,CU$17)</f>
        <v>0.11692511411839399</v>
      </c>
      <c r="CV162" s="16">
        <f ca="1">_xll.DBRW($D$4,$E$7,$E$8,$E$9,$E$10,$E$12,$D162,$E$6,CV$18,CV$17)</f>
        <v>0.30357147317999994</v>
      </c>
      <c r="CW162" s="16">
        <f ca="1">_xll.DBRW($D$4,$E$7,$E$8,$E$9,$E$10,$E$12,$D162,$E$6,CW$18,CW$17)</f>
        <v>0</v>
      </c>
      <c r="CX162" s="16">
        <f ca="1">_xll.DBRW($D$4,$E$7,$E$8,$E$9,$E$10,$E$12,$D162,$E$6,CX$18,CX$17)</f>
        <v>0.30357147317999994</v>
      </c>
      <c r="CY162" s="16">
        <f ca="1">_xll.DBRW($D$4,$E$7,$E$8,$E$9,$E$10,$E$12,$D162,$E$6,CY$18,CY$17)</f>
        <v>0.30357147317999994</v>
      </c>
      <c r="CZ162" s="16">
        <f ca="1">_xll.DBRW($D$4,$E$7,$E$8,$E$9,$E$10,$E$12,$D162,$E$6,CZ$18,CZ$17)</f>
        <v>0.30357147317999994</v>
      </c>
      <c r="DA162" s="26">
        <f t="shared" ca="1" si="127"/>
        <v>-0.14512409299645246</v>
      </c>
      <c r="DB162" s="26">
        <f t="shared" ca="1" si="128"/>
        <v>8.8891969999999973E-2</v>
      </c>
      <c r="DC162" s="26">
        <f t="shared" ca="1" si="129"/>
        <v>0</v>
      </c>
      <c r="DD162" s="26">
        <f t="shared" ca="1" si="130"/>
        <v>0</v>
      </c>
      <c r="DE162" s="26">
        <f t="shared" ca="1" si="131"/>
        <v>0</v>
      </c>
      <c r="DF162" s="26">
        <f t="shared" ca="1" si="132"/>
        <v>0</v>
      </c>
      <c r="DG162" s="26">
        <f t="shared" ca="1" si="133"/>
        <v>0</v>
      </c>
      <c r="DH162" s="26">
        <f t="shared" ca="1" si="134"/>
        <v>-0.23401606299645242</v>
      </c>
      <c r="DI162" s="26">
        <f t="shared" ca="1" si="135"/>
        <v>-0.45170107000000015</v>
      </c>
      <c r="DJ162" s="26">
        <f t="shared" ca="1" si="136"/>
        <v>0.14451423000000008</v>
      </c>
      <c r="DK162" s="26">
        <f t="shared" ca="1" si="137"/>
        <v>6.8373884473871993E-2</v>
      </c>
      <c r="DL162" s="26"/>
      <c r="DM162" s="26"/>
      <c r="DN162" s="26"/>
      <c r="DO162" s="26"/>
      <c r="DP162" s="26">
        <f t="shared" ca="1" si="138"/>
        <v>-1.6960850180483961E-2</v>
      </c>
      <c r="DQ162" s="26">
        <f t="shared" ca="1" si="139"/>
        <v>4.5461755217646518E-2</v>
      </c>
      <c r="DR162" s="26"/>
      <c r="DS162" s="26"/>
      <c r="DT162" s="26"/>
      <c r="DU162" s="26"/>
      <c r="DV162" s="26">
        <f t="shared" ca="1" si="140"/>
        <v>-5.9635528159683038E-3</v>
      </c>
      <c r="DW162" s="26">
        <f t="shared" ca="1" si="141"/>
        <v>2.779812627258349E-2</v>
      </c>
      <c r="DX162" s="26"/>
      <c r="DY162" s="26"/>
      <c r="DZ162" s="26"/>
      <c r="EA162" s="26"/>
      <c r="EB162" s="26">
        <f t="shared" ca="1" si="142"/>
        <v>2.837134000000005E-2</v>
      </c>
      <c r="EC162" s="26">
        <f t="shared" ca="1" si="143"/>
        <v>3.8436796436438186E-2</v>
      </c>
      <c r="ED162" s="26"/>
      <c r="EE162" s="26"/>
      <c r="EF162" s="26"/>
      <c r="EG162" s="26"/>
      <c r="EH162" s="26">
        <f t="shared" ca="1" si="144"/>
        <v>6.7723840000000007E-2</v>
      </c>
      <c r="EI162" s="29">
        <f t="shared" ca="1" si="145"/>
        <v>2.9436374098273932E-4</v>
      </c>
      <c r="EJ162" s="29"/>
      <c r="EK162" s="29"/>
      <c r="EL162" s="29"/>
      <c r="EM162" s="29"/>
      <c r="EN162" s="93"/>
      <c r="EO162" s="29"/>
      <c r="EP162" s="29"/>
      <c r="EQ162" s="29"/>
      <c r="ER162" s="29"/>
      <c r="ES162" s="29"/>
      <c r="ET162" s="29"/>
      <c r="EU162" s="93"/>
      <c r="EV162" s="29"/>
      <c r="EW162" s="29"/>
      <c r="EX162" s="29"/>
      <c r="EY162" s="29"/>
      <c r="EZ162" s="29"/>
      <c r="FA162" s="29"/>
      <c r="FB162" s="93"/>
      <c r="FC162" s="29"/>
      <c r="FD162" s="29"/>
      <c r="FE162" s="29"/>
      <c r="FF162" s="29"/>
      <c r="FG162" s="29"/>
      <c r="FH162" s="29"/>
      <c r="FI162" s="93"/>
      <c r="FJ162" s="29"/>
      <c r="FK162" s="29"/>
      <c r="FL162" s="29"/>
      <c r="FM162" s="29"/>
      <c r="FN162" s="29"/>
      <c r="FO162" s="29"/>
      <c r="FP162" s="93"/>
      <c r="FQ162" s="29"/>
      <c r="FR162" s="29"/>
      <c r="FS162" s="29"/>
      <c r="FT162" s="29"/>
      <c r="FU162" s="29"/>
      <c r="FV162" s="29"/>
    </row>
    <row r="163" spans="1:178" x14ac:dyDescent="0.25">
      <c r="A163" t="str">
        <f ca="1">IF(_xll.TM1RPTELISCONSOLIDATED($D$28,$D163),IF(_xll.TM1RPTELLEV($D$28,$D163)&lt;=3,_xll.TM1RPTELLEV($D$28,$D163),"D"),"N")</f>
        <v>N</v>
      </c>
      <c r="B163" t="str">
        <f ca="1">_xll.DBRA(Server&amp;"Management_organization",$D163,$B$27)</f>
        <v>L</v>
      </c>
      <c r="C163">
        <v>1</v>
      </c>
      <c r="D163" s="2" t="s">
        <v>176</v>
      </c>
      <c r="E163" s="26"/>
      <c r="F163" s="26"/>
      <c r="G163" s="16">
        <f ca="1">_xll.DBRW($D$4,$E$7,$E$8,$E$9,$E$10,$E$12,$D163,$E$6,G$18,G$17)</f>
        <v>0.55832496999999925</v>
      </c>
      <c r="H163" s="16">
        <f ca="1">_xll.DBRW($D$4,$E$7,$E$8,$E$9,$E$10,$E$12,$D163,$E$6,H$18,H$17)</f>
        <v>-0.20785507000000003</v>
      </c>
      <c r="I163" s="16">
        <f ca="1">_xll.DBRW($D$4,$E$7,$E$8,$E$9,$E$10,$E$12,$D163,$E$6,I$18,I$17)</f>
        <v>0</v>
      </c>
      <c r="J163" s="26">
        <f ca="1">_xll.DBRW($D$4,$E$7,$E$8,$E$9,$E$10,$E$12,$D163,$E$6,J$18,J$17)</f>
        <v>0</v>
      </c>
      <c r="K163" s="26">
        <f ca="1">_xll.DBRW($D$4,$E$7,$E$8,$E$9,$E$10,$E$12,$D163,$E$6,K$18,K$17)</f>
        <v>0</v>
      </c>
      <c r="L163" s="26">
        <f ca="1">_xll.DBRW($D$4,$E$7,$E$8,$E$9,$E$10,$E$12,$D163,$E$6,L$18,L$17)</f>
        <v>0</v>
      </c>
      <c r="M163" s="26">
        <f ca="1">_xll.DBRW($D$4,$E$7,$E$8,$E$9,$E$10,$E$12,$D163,$E$6,M$18,M$17)</f>
        <v>0</v>
      </c>
      <c r="N163" s="16">
        <f ca="1">_xll.DBRW($D$4,$E$7,$E$8,$E$9,$E$10,$E$12,$D163,$E$6,N$18,N$17)</f>
        <v>0.76618003999999928</v>
      </c>
      <c r="O163" s="16">
        <f ca="1">_xll.DBRW($D$4,$E$7,$E$8,$E$9,$E$10,$E$12,$D163,$E$6,O$18,O$17)</f>
        <v>5.9035598699999996</v>
      </c>
      <c r="P163" s="74">
        <f ca="1">_xll.DBRW($D$4,$E$7,$E$8,$E$9,$E$10,$E$12,$D163,$E$6,P$18,P$17)</f>
        <v>-3.2919851800000006</v>
      </c>
      <c r="Q163" s="16">
        <f ca="1">_xll.DBRW($D$4,$E$7,$E$8,$E$9,$E$10,$E$12,$D163,$E$6,Q$18,Q$17)</f>
        <v>0.55762713557438703</v>
      </c>
      <c r="R163" s="16"/>
      <c r="S163" s="16"/>
      <c r="T163" s="16"/>
      <c r="U163" s="16"/>
      <c r="V163" s="16">
        <f ca="1">_xll.DBRW($D$4,$E$7,$E$8,$E$9,$E$10,$E$12,$D163,$E$6,V$18,V$17)</f>
        <v>-0.71757112000000001</v>
      </c>
      <c r="W163" s="16">
        <f ca="1">_xll.DBRW($D$4,$E$7,$E$8,$E$9,$E$10,$E$12,$D163,$E$6,W$18,W$17)</f>
        <v>0.12154888504586302</v>
      </c>
      <c r="X163" s="16"/>
      <c r="Y163" s="16"/>
      <c r="Z163" s="16"/>
      <c r="AA163" s="16"/>
      <c r="AB163" s="16">
        <f ca="1">_xll.DBRW($D$4,$E$7,$E$8,$E$9,$E$10,$E$12,$D163,$E$6,AB$18,AB$17)</f>
        <v>0.44134035000000027</v>
      </c>
      <c r="AC163" s="16">
        <f ca="1">_xll.DBRW($D$4,$E$7,$E$8,$E$9,$E$10,$E$12,$D163,$E$6,AC$18,AC$17)</f>
        <v>-7.4758342376224654E-2</v>
      </c>
      <c r="AD163" s="16"/>
      <c r="AE163" s="16"/>
      <c r="AF163" s="16"/>
      <c r="AG163" s="16"/>
      <c r="AH163" s="16">
        <f ca="1">_xll.DBRW($D$4,$E$7,$E$8,$E$9,$E$10,$E$12,$D163,$E$6,AH$18,AH$17)</f>
        <v>-0.4944159199999999</v>
      </c>
      <c r="AI163" s="16">
        <f ca="1">_xll.DBRW($D$4,$E$7,$E$8,$E$9,$E$10,$E$12,$D163,$E$6,AI$18,AI$17)</f>
        <v>8.3748777159432783E-2</v>
      </c>
      <c r="AJ163" s="16"/>
      <c r="AK163" s="16"/>
      <c r="AL163" s="16"/>
      <c r="AM163" s="16"/>
      <c r="AN163" s="16">
        <f ca="1">_xll.DBRW($D$4,$E$7,$E$8,$E$9,$E$10,$E$12,$D163,$E$6,AN$18,AN$17)</f>
        <v>-1.0747479599999996</v>
      </c>
      <c r="AO163" s="16">
        <f ca="1">_xll.DBRW($D$4,$E$7,$E$8,$E$9,$E$10,$E$12,$D163,$E$6,AO$18,AO$17)</f>
        <v>0.18205082757973279</v>
      </c>
      <c r="AP163" s="16"/>
      <c r="AQ163" s="16"/>
      <c r="AR163" s="16"/>
      <c r="AS163" s="16"/>
      <c r="AT163" s="16">
        <f ca="1">_xll.DBRW($D$4,$E$7,$E$8,$E$9,$E$10,$E$12,$D163,$E$6,AT$18,AT$17)</f>
        <v>9.9901000000000004E-2</v>
      </c>
      <c r="AU163" s="16">
        <f ca="1">_xll.DBRW($D$4,$E$7,$E$8,$E$9,$E$10,$E$12,$D163,$E$6,AU$18,AU$17)</f>
        <v>1.3685309999999999</v>
      </c>
      <c r="AV163" s="16">
        <f ca="1">_xll.DBRW($D$4,$E$7,$E$8,$E$9,$E$10,$E$12,$D163,$E$6,AV$18,AV$17)</f>
        <v>1.3685309999999999</v>
      </c>
      <c r="AW163" s="16">
        <f ca="1">_xll.DBRW($D$4,$E$7,$E$8,$E$9,$E$10,$E$12,$D163,$E$6,AW$18,AW$17)</f>
        <v>1.3685309999999999</v>
      </c>
      <c r="AX163" s="16">
        <f ca="1">_xll.DBRW($D$4,$E$7,$E$8,$E$9,$E$10,$E$12,$D163,$E$6,AX$18,AX$17)</f>
        <v>0.45433199999999996</v>
      </c>
      <c r="AY163" s="16">
        <f ca="1">_xll.DBRW($D$4,$E$7,$E$8,$E$9,$E$10,$E$12,$D163,$E$6,AY$18,AY$17)</f>
        <v>1.3685309999999999</v>
      </c>
      <c r="AZ163" s="16">
        <f ca="1">_xll.DBRW($D$4,$E$7,$E$8,$E$9,$E$10,$E$12,$D163,$E$6,AZ$18,AZ$17)</f>
        <v>1.1885359999999998</v>
      </c>
      <c r="BA163" s="16">
        <f ca="1">_xll.DBRW($D$4,$E$7,$E$8,$E$9,$E$10,$E$12,$D163,$E$6,BA$18,BA$17)</f>
        <v>1.3685309999999999</v>
      </c>
      <c r="BB163" s="16">
        <f ca="1">_xll.DBRW($D$4,$E$7,$E$8,$E$9,$E$10,$E$12,$D163,$E$6,BB$18,BB$17)</f>
        <v>1.3685309999999999</v>
      </c>
      <c r="BC163" s="16">
        <f ca="1">_xll.DBRW($D$4,$E$7,$E$8,$E$9,$E$10,$E$12,$D163,$E$6,BC$18,BC$17)</f>
        <v>1.3685309999999999</v>
      </c>
      <c r="BD163" s="16">
        <f ca="1">_xll.DBRW($D$4,$E$7,$E$8,$E$9,$E$10,$E$12,$D163,$E$6,BD$18,BD$17)</f>
        <v>-0.155784896759189</v>
      </c>
      <c r="BE163" s="16">
        <f ca="1">_xll.DBRW($D$4,$E$7,$E$8,$E$9,$E$10,$E$12,$D163,$E$6,BE$18,BE$17)</f>
        <v>-0.46911199999999992</v>
      </c>
      <c r="BF163" s="16">
        <f ca="1">_xll.DBRW($D$4,$E$7,$E$8,$E$9,$E$10,$E$12,$D163,$E$6,BF$18,BF$17)</f>
        <v>0</v>
      </c>
      <c r="BG163" s="26">
        <f ca="1">_xll.DBRW($D$4,$E$7,$E$8,$E$9,$E$10,$E$12,$D163,$E$6,BG$18,BG$17)</f>
        <v>0</v>
      </c>
      <c r="BH163" s="26">
        <f ca="1">_xll.DBRW($D$4,$E$7,$E$8,$E$9,$E$10,$E$12,$D163,$E$6,BH$18,BH$17)</f>
        <v>0</v>
      </c>
      <c r="BI163" s="26">
        <f ca="1">_xll.DBRW($D$4,$E$7,$E$8,$E$9,$E$10,$E$12,$D163,$E$6,BI$18,BI$17)</f>
        <v>0</v>
      </c>
      <c r="BJ163" s="26">
        <f ca="1">_xll.DBRW($D$4,$E$7,$E$8,$E$9,$E$10,$E$12,$D163,$E$6,BJ$18,BJ$17)</f>
        <v>0</v>
      </c>
      <c r="BK163" s="16">
        <f ca="1">_xll.DBRW($D$4,$E$7,$E$8,$E$9,$E$10,$E$12,$D163,$E$6,BK$18,BK$17)</f>
        <v>0.31332710324081092</v>
      </c>
      <c r="BL163" s="16">
        <f ca="1">_xll.DBRW($D$4,$E$7,$E$8,$E$9,$E$10,$E$12,$D163,$E$6,BL$18,BL$17)</f>
        <v>6.5732649999999992</v>
      </c>
      <c r="BM163" s="16">
        <f ca="1">_xll.DBRW($D$4,$E$7,$E$8,$E$9,$E$10,$E$12,$D163,$E$6,BM$18,BM$17)</f>
        <v>-3.4186283333333338</v>
      </c>
      <c r="BN163" s="16">
        <f ca="1">_xll.DBRW($D$4,$E$7,$E$8,$E$9,$E$10,$E$12,$D163,$E$6,BN$18,BN$17)</f>
        <v>0.52008071077818008</v>
      </c>
      <c r="BO163" s="16"/>
      <c r="BP163" s="16"/>
      <c r="BQ163" s="16"/>
      <c r="BR163" s="16"/>
      <c r="BS163" s="16">
        <f ca="1">_xll.DBRW($D$4,$E$7,$E$8,$E$9,$E$10,$E$12,$D163,$E$6,BS$18,BS$17)</f>
        <v>-0.69168454000000001</v>
      </c>
      <c r="BT163" s="16">
        <f ca="1">_xll.DBRW($D$4,$E$7,$E$8,$E$9,$E$10,$E$12,$D163,$E$6,BT$18,BT$17)</f>
        <v>0.10522693668975769</v>
      </c>
      <c r="BU163" s="16"/>
      <c r="BV163" s="16"/>
      <c r="BW163" s="16"/>
      <c r="BX163" s="16"/>
      <c r="BY163" s="16">
        <f ca="1">_xll.DBRW($D$4,$E$7,$E$8,$E$9,$E$10,$E$12,$D163,$E$6,BY$18,BY$17)</f>
        <v>-0.41514789342585529</v>
      </c>
      <c r="BZ163" s="16">
        <f ca="1">_xll.DBRW($D$4,$E$7,$E$8,$E$9,$E$10,$E$12,$D163,$E$6,BZ$18,BZ$17)</f>
        <v>6.3157029790500668E-2</v>
      </c>
      <c r="CA163" s="16"/>
      <c r="CB163" s="16"/>
      <c r="CC163" s="16"/>
      <c r="CD163" s="16"/>
      <c r="CE163" s="16">
        <f ca="1">_xll.DBRW($D$4,$E$7,$E$8,$E$9,$E$10,$E$12,$D163,$E$6,CE$18,CE$17)</f>
        <v>-0.62726799999999983</v>
      </c>
      <c r="CF163" s="16">
        <f ca="1">_xll.DBRW($D$4,$E$7,$E$8,$E$9,$E$10,$E$12,$D163,$E$6,CF$18,CF$17)</f>
        <v>9.5427158345205904E-2</v>
      </c>
      <c r="CG163" s="16"/>
      <c r="CH163" s="16"/>
      <c r="CI163" s="16"/>
      <c r="CJ163" s="16"/>
      <c r="CK163" s="16">
        <f ca="1">_xll.DBRW($D$4,$E$7,$E$8,$E$9,$E$10,$E$12,$D163,$E$6,CK$18,CK$17)</f>
        <v>-1.10720913</v>
      </c>
      <c r="CL163" s="16">
        <f ca="1">_xll.DBRW($D$4,$E$7,$E$8,$E$9,$E$10,$E$12,$D163,$E$6,CL$18,CL$17)</f>
        <v>0.16844127385705585</v>
      </c>
      <c r="CM163" s="16"/>
      <c r="CN163" s="16"/>
      <c r="CO163" s="16"/>
      <c r="CP163" s="16"/>
      <c r="CQ163" s="16">
        <f ca="1">_xll.DBRW($D$4,$E$7,$E$8,$E$9,$E$10,$E$12,$D163,$E$6,CQ$18,CQ$17)</f>
        <v>0.110207</v>
      </c>
      <c r="CR163" s="16">
        <f ca="1">_xll.DBRW($D$4,$E$7,$E$8,$E$9,$E$10,$E$12,$D163,$E$6,CR$18,CR$17)</f>
        <v>1.5998759999999999</v>
      </c>
      <c r="CS163" s="16">
        <f ca="1">_xll.DBRW($D$4,$E$7,$E$8,$E$9,$E$10,$E$12,$D163,$E$6,CS$18,CS$17)</f>
        <v>1.5998759999999999</v>
      </c>
      <c r="CT163" s="16">
        <f ca="1">_xll.DBRW($D$4,$E$7,$E$8,$E$9,$E$10,$E$12,$D163,$E$6,CT$18,CT$17)</f>
        <v>1.5998759999999999</v>
      </c>
      <c r="CU163" s="16">
        <f ca="1">_xll.DBRW($D$4,$E$7,$E$8,$E$9,$E$10,$E$12,$D163,$E$6,CU$18,CU$17)</f>
        <v>0.49885591615700003</v>
      </c>
      <c r="CV163" s="16">
        <f ca="1">_xll.DBRW($D$4,$E$7,$E$8,$E$9,$E$10,$E$12,$D163,$E$6,CV$18,CV$17)</f>
        <v>1.5998759999999999</v>
      </c>
      <c r="CW163" s="16">
        <f ca="1">_xll.DBRW($D$4,$E$7,$E$8,$E$9,$E$10,$E$12,$D163,$E$6,CW$18,CW$17)</f>
        <v>1.3499399999999999</v>
      </c>
      <c r="CX163" s="16">
        <f ca="1">_xll.DBRW($D$4,$E$7,$E$8,$E$9,$E$10,$E$12,$D163,$E$6,CX$18,CX$17)</f>
        <v>1.5998759999999999</v>
      </c>
      <c r="CY163" s="16">
        <f ca="1">_xll.DBRW($D$4,$E$7,$E$8,$E$9,$E$10,$E$12,$D163,$E$6,CY$18,CY$17)</f>
        <v>1.5998759999999999</v>
      </c>
      <c r="CZ163" s="16">
        <f ca="1">_xll.DBRW($D$4,$E$7,$E$8,$E$9,$E$10,$E$12,$D163,$E$6,CZ$18,CZ$17)</f>
        <v>1.5998759999999999</v>
      </c>
      <c r="DA163" s="26">
        <f t="shared" ca="1" si="127"/>
        <v>0.71410986675918831</v>
      </c>
      <c r="DB163" s="26">
        <f t="shared" ca="1" si="128"/>
        <v>0.26125692999999989</v>
      </c>
      <c r="DC163" s="26">
        <f t="shared" ca="1" si="129"/>
        <v>0</v>
      </c>
      <c r="DD163" s="26">
        <f t="shared" ca="1" si="130"/>
        <v>0</v>
      </c>
      <c r="DE163" s="26">
        <f t="shared" ca="1" si="131"/>
        <v>0</v>
      </c>
      <c r="DF163" s="26">
        <f t="shared" ca="1" si="132"/>
        <v>0</v>
      </c>
      <c r="DG163" s="26">
        <f t="shared" ca="1" si="133"/>
        <v>0</v>
      </c>
      <c r="DH163" s="26">
        <f t="shared" ca="1" si="134"/>
        <v>0.45285293675918836</v>
      </c>
      <c r="DI163" s="26">
        <f t="shared" ca="1" si="135"/>
        <v>-0.66970512999999965</v>
      </c>
      <c r="DJ163" s="26">
        <f t="shared" ca="1" si="136"/>
        <v>0.1266431533333332</v>
      </c>
      <c r="DK163" s="26">
        <f t="shared" ca="1" si="137"/>
        <v>3.7546424796206956E-2</v>
      </c>
      <c r="DL163" s="26"/>
      <c r="DM163" s="26"/>
      <c r="DN163" s="26"/>
      <c r="DO163" s="26"/>
      <c r="DP163" s="26">
        <f t="shared" ca="1" si="138"/>
        <v>-2.5886579999999992E-2</v>
      </c>
      <c r="DQ163" s="26">
        <f t="shared" ca="1" si="139"/>
        <v>1.6321948356105329E-2</v>
      </c>
      <c r="DR163" s="26"/>
      <c r="DS163" s="26"/>
      <c r="DT163" s="26"/>
      <c r="DU163" s="26"/>
      <c r="DV163" s="26">
        <f t="shared" ca="1" si="140"/>
        <v>0.85648824342585561</v>
      </c>
      <c r="DW163" s="26">
        <f t="shared" ca="1" si="141"/>
        <v>-0.13791537216672534</v>
      </c>
      <c r="DX163" s="26"/>
      <c r="DY163" s="26"/>
      <c r="DZ163" s="26"/>
      <c r="EA163" s="26"/>
      <c r="EB163" s="26">
        <f t="shared" ca="1" si="142"/>
        <v>0.13285207999999993</v>
      </c>
      <c r="EC163" s="26">
        <f t="shared" ca="1" si="143"/>
        <v>-1.1678381185773121E-2</v>
      </c>
      <c r="ED163" s="26"/>
      <c r="EE163" s="26"/>
      <c r="EF163" s="26"/>
      <c r="EG163" s="26"/>
      <c r="EH163" s="26">
        <f t="shared" ca="1" si="144"/>
        <v>3.2461170000000372E-2</v>
      </c>
      <c r="EI163" s="29">
        <f t="shared" ca="1" si="145"/>
        <v>1.3609553722676943E-2</v>
      </c>
      <c r="EJ163" s="29"/>
      <c r="EK163" s="29"/>
      <c r="EL163" s="29"/>
      <c r="EM163" s="29"/>
      <c r="EN163" s="93"/>
      <c r="EO163" s="29"/>
      <c r="EP163" s="29"/>
      <c r="EQ163" s="29"/>
      <c r="ER163" s="29"/>
      <c r="ES163" s="29"/>
      <c r="ET163" s="29"/>
      <c r="EU163" s="93"/>
      <c r="EV163" s="29"/>
      <c r="EW163" s="29"/>
      <c r="EX163" s="29"/>
      <c r="EY163" s="29"/>
      <c r="EZ163" s="29"/>
      <c r="FA163" s="29"/>
      <c r="FB163" s="93"/>
      <c r="FC163" s="29"/>
      <c r="FD163" s="29"/>
      <c r="FE163" s="29"/>
      <c r="FF163" s="29"/>
      <c r="FG163" s="29"/>
      <c r="FH163" s="29"/>
      <c r="FI163" s="93"/>
      <c r="FJ163" s="29"/>
      <c r="FK163" s="29"/>
      <c r="FL163" s="29"/>
      <c r="FM163" s="29"/>
      <c r="FN163" s="29"/>
      <c r="FO163" s="29"/>
      <c r="FP163" s="93"/>
      <c r="FQ163" s="29"/>
      <c r="FR163" s="29"/>
      <c r="FS163" s="29"/>
      <c r="FT163" s="29"/>
      <c r="FU163" s="29"/>
      <c r="FV163" s="29"/>
    </row>
    <row r="164" spans="1:178" x14ac:dyDescent="0.25">
      <c r="A164" t="str">
        <f ca="1">IF(_xll.TM1RPTELISCONSOLIDATED($D$28,$D164),IF(_xll.TM1RPTELLEV($D$28,$D164)&lt;=3,_xll.TM1RPTELLEV($D$28,$D164),"D"),"N")</f>
        <v>N</v>
      </c>
      <c r="B164" t="str">
        <f ca="1">_xll.DBRA(Server&amp;"Management_organization",$D164,$B$27)</f>
        <v>L</v>
      </c>
      <c r="C164">
        <v>1</v>
      </c>
      <c r="D164" s="2" t="s">
        <v>177</v>
      </c>
      <c r="E164" s="26"/>
      <c r="F164" s="26"/>
      <c r="G164" s="16">
        <f ca="1">_xll.DBRW($D$4,$E$7,$E$8,$E$9,$E$10,$E$12,$D164,$E$6,G$18,G$17)</f>
        <v>-0.56672105999999955</v>
      </c>
      <c r="H164" s="16">
        <f ca="1">_xll.DBRW($D$4,$E$7,$E$8,$E$9,$E$10,$E$12,$D164,$E$6,H$18,H$17)</f>
        <v>-0.31993544999999995</v>
      </c>
      <c r="I164" s="16">
        <f ca="1">_xll.DBRW($D$4,$E$7,$E$8,$E$9,$E$10,$E$12,$D164,$E$6,I$18,I$17)</f>
        <v>0</v>
      </c>
      <c r="J164" s="26">
        <f ca="1">_xll.DBRW($D$4,$E$7,$E$8,$E$9,$E$10,$E$12,$D164,$E$6,J$18,J$17)</f>
        <v>0</v>
      </c>
      <c r="K164" s="26">
        <f ca="1">_xll.DBRW($D$4,$E$7,$E$8,$E$9,$E$10,$E$12,$D164,$E$6,K$18,K$17)</f>
        <v>0</v>
      </c>
      <c r="L164" s="26">
        <f ca="1">_xll.DBRW($D$4,$E$7,$E$8,$E$9,$E$10,$E$12,$D164,$E$6,L$18,L$17)</f>
        <v>0</v>
      </c>
      <c r="M164" s="26">
        <f ca="1">_xll.DBRW($D$4,$E$7,$E$8,$E$9,$E$10,$E$12,$D164,$E$6,M$18,M$17)</f>
        <v>0</v>
      </c>
      <c r="N164" s="16">
        <f ca="1">_xll.DBRW($D$4,$E$7,$E$8,$E$9,$E$10,$E$12,$D164,$E$6,N$18,N$17)</f>
        <v>-0.2467856099999996</v>
      </c>
      <c r="O164" s="16">
        <f ca="1">_xll.DBRW($D$4,$E$7,$E$8,$E$9,$E$10,$E$12,$D164,$E$6,O$18,O$17)</f>
        <v>8.75749624</v>
      </c>
      <c r="P164" s="74">
        <f ca="1">_xll.DBRW($D$4,$E$7,$E$8,$E$9,$E$10,$E$12,$D164,$E$6,P$18,P$17)</f>
        <v>-4.4882075800000001</v>
      </c>
      <c r="Q164" s="16">
        <f ca="1">_xll.DBRW($D$4,$E$7,$E$8,$E$9,$E$10,$E$12,$D164,$E$6,Q$18,Q$17)</f>
        <v>0.51249894456135103</v>
      </c>
      <c r="R164" s="16"/>
      <c r="S164" s="16"/>
      <c r="T164" s="16"/>
      <c r="U164" s="16"/>
      <c r="V164" s="16">
        <f ca="1">_xll.DBRW($D$4,$E$7,$E$8,$E$9,$E$10,$E$12,$D164,$E$6,V$18,V$17)</f>
        <v>-0.96246673999999988</v>
      </c>
      <c r="W164" s="16">
        <f ca="1">_xll.DBRW($D$4,$E$7,$E$8,$E$9,$E$10,$E$12,$D164,$E$6,W$18,W$17)</f>
        <v>0.10990204433133732</v>
      </c>
      <c r="X164" s="16"/>
      <c r="Y164" s="16"/>
      <c r="Z164" s="16"/>
      <c r="AA164" s="16"/>
      <c r="AB164" s="16">
        <f ca="1">_xll.DBRW($D$4,$E$7,$E$8,$E$9,$E$10,$E$12,$D164,$E$6,AB$18,AB$17)</f>
        <v>-1.0140046399999998</v>
      </c>
      <c r="AC164" s="16">
        <f ca="1">_xll.DBRW($D$4,$E$7,$E$8,$E$9,$E$10,$E$12,$D164,$E$6,AC$18,AC$17)</f>
        <v>0.11578704828538981</v>
      </c>
      <c r="AD164" s="16"/>
      <c r="AE164" s="16"/>
      <c r="AF164" s="16"/>
      <c r="AG164" s="16"/>
      <c r="AH164" s="16">
        <f ca="1">_xll.DBRW($D$4,$E$7,$E$8,$E$9,$E$10,$E$12,$D164,$E$6,AH$18,AH$17)</f>
        <v>-0.92655366000000006</v>
      </c>
      <c r="AI164" s="16">
        <f ca="1">_xll.DBRW($D$4,$E$7,$E$8,$E$9,$E$10,$E$12,$D164,$E$6,AI$18,AI$17)</f>
        <v>0.10580120557379766</v>
      </c>
      <c r="AJ164" s="16"/>
      <c r="AK164" s="16"/>
      <c r="AL164" s="16"/>
      <c r="AM164" s="16"/>
      <c r="AN164" s="16">
        <f ca="1">_xll.DBRW($D$4,$E$7,$E$8,$E$9,$E$10,$E$12,$D164,$E$6,AN$18,AN$17)</f>
        <v>-1.6130492299999997</v>
      </c>
      <c r="AO164" s="16">
        <f ca="1">_xll.DBRW($D$4,$E$7,$E$8,$E$9,$E$10,$E$12,$D164,$E$6,AO$18,AO$17)</f>
        <v>0.18419068484807019</v>
      </c>
      <c r="AP164" s="16"/>
      <c r="AQ164" s="16"/>
      <c r="AR164" s="16"/>
      <c r="AS164" s="16"/>
      <c r="AT164" s="16">
        <f ca="1">_xll.DBRW($D$4,$E$7,$E$8,$E$9,$E$10,$E$12,$D164,$E$6,AT$18,AT$17)</f>
        <v>0.14826873000000002</v>
      </c>
      <c r="AU164" s="16">
        <f ca="1">_xll.DBRW($D$4,$E$7,$E$8,$E$9,$E$10,$E$12,$D164,$E$6,AU$18,AU$17)</f>
        <v>2.464369</v>
      </c>
      <c r="AV164" s="16">
        <f ca="1">_xll.DBRW($D$4,$E$7,$E$8,$E$9,$E$10,$E$12,$D164,$E$6,AV$18,AV$17)</f>
        <v>2.464369</v>
      </c>
      <c r="AW164" s="16">
        <f ca="1">_xll.DBRW($D$4,$E$7,$E$8,$E$9,$E$10,$E$12,$D164,$E$6,AW$18,AW$17)</f>
        <v>2.464369</v>
      </c>
      <c r="AX164" s="16">
        <f ca="1">_xll.DBRW($D$4,$E$7,$E$8,$E$9,$E$10,$E$12,$D164,$E$6,AX$18,AX$17)</f>
        <v>0.97655599999999987</v>
      </c>
      <c r="AY164" s="16">
        <f ca="1">_xll.DBRW($D$4,$E$7,$E$8,$E$9,$E$10,$E$12,$D164,$E$6,AY$18,AY$17)</f>
        <v>2.464369</v>
      </c>
      <c r="AZ164" s="16">
        <f ca="1">_xll.DBRW($D$4,$E$7,$E$8,$E$9,$E$10,$E$12,$D164,$E$6,AZ$18,AZ$17)</f>
        <v>2.1604187599999993</v>
      </c>
      <c r="BA164" s="16">
        <f ca="1">_xll.DBRW($D$4,$E$7,$E$8,$E$9,$E$10,$E$12,$D164,$E$6,BA$18,BA$17)</f>
        <v>2.464369</v>
      </c>
      <c r="BB164" s="16">
        <f ca="1">_xll.DBRW($D$4,$E$7,$E$8,$E$9,$E$10,$E$12,$D164,$E$6,BB$18,BB$17)</f>
        <v>2.464369</v>
      </c>
      <c r="BC164" s="16">
        <f ca="1">_xll.DBRW($D$4,$E$7,$E$8,$E$9,$E$10,$E$12,$D164,$E$6,BC$18,BC$17)</f>
        <v>2.464369</v>
      </c>
      <c r="BD164" s="16">
        <f ca="1">_xll.DBRW($D$4,$E$7,$E$8,$E$9,$E$10,$E$12,$D164,$E$6,BD$18,BD$17)</f>
        <v>-0.55710611104264851</v>
      </c>
      <c r="BE164" s="16">
        <f ca="1">_xll.DBRW($D$4,$E$7,$E$8,$E$9,$E$10,$E$12,$D164,$E$6,BE$18,BE$17)</f>
        <v>-0.76048687000000004</v>
      </c>
      <c r="BF164" s="16">
        <f ca="1">_xll.DBRW($D$4,$E$7,$E$8,$E$9,$E$10,$E$12,$D164,$E$6,BF$18,BF$17)</f>
        <v>0</v>
      </c>
      <c r="BG164" s="26">
        <f ca="1">_xll.DBRW($D$4,$E$7,$E$8,$E$9,$E$10,$E$12,$D164,$E$6,BG$18,BG$17)</f>
        <v>0</v>
      </c>
      <c r="BH164" s="26">
        <f ca="1">_xll.DBRW($D$4,$E$7,$E$8,$E$9,$E$10,$E$12,$D164,$E$6,BH$18,BH$17)</f>
        <v>0</v>
      </c>
      <c r="BI164" s="26">
        <f ca="1">_xll.DBRW($D$4,$E$7,$E$8,$E$9,$E$10,$E$12,$D164,$E$6,BI$18,BI$17)</f>
        <v>0</v>
      </c>
      <c r="BJ164" s="26">
        <f ca="1">_xll.DBRW($D$4,$E$7,$E$8,$E$9,$E$10,$E$12,$D164,$E$6,BJ$18,BJ$17)</f>
        <v>0</v>
      </c>
      <c r="BK164" s="16">
        <f ca="1">_xll.DBRW($D$4,$E$7,$E$8,$E$9,$E$10,$E$12,$D164,$E$6,BK$18,BK$17)</f>
        <v>0.20338075895735142</v>
      </c>
      <c r="BL164" s="16">
        <f ca="1">_xll.DBRW($D$4,$E$7,$E$8,$E$9,$E$10,$E$12,$D164,$E$6,BL$18,BL$17)</f>
        <v>10.374669000000001</v>
      </c>
      <c r="BM164" s="16">
        <f ca="1">_xll.DBRW($D$4,$E$7,$E$8,$E$9,$E$10,$E$12,$D164,$E$6,BM$18,BM$17)</f>
        <v>-5.2729309999999998</v>
      </c>
      <c r="BN164" s="16">
        <f ca="1">_xll.DBRW($D$4,$E$7,$E$8,$E$9,$E$10,$E$12,$D164,$E$6,BN$18,BN$17)</f>
        <v>0.5082505282819143</v>
      </c>
      <c r="BO164" s="16"/>
      <c r="BP164" s="16"/>
      <c r="BQ164" s="16"/>
      <c r="BR164" s="16"/>
      <c r="BS164" s="16">
        <f ca="1">_xll.DBRW($D$4,$E$7,$E$8,$E$9,$E$10,$E$12,$D164,$E$6,BS$18,BS$17)</f>
        <v>-1.1670704772000002</v>
      </c>
      <c r="BT164" s="16">
        <f ca="1">_xll.DBRW($D$4,$E$7,$E$8,$E$9,$E$10,$E$12,$D164,$E$6,BT$18,BT$17)</f>
        <v>0.11249230960525103</v>
      </c>
      <c r="BU164" s="16"/>
      <c r="BV164" s="16"/>
      <c r="BW164" s="16"/>
      <c r="BX164" s="16"/>
      <c r="BY164" s="16">
        <f ca="1">_xll.DBRW($D$4,$E$7,$E$8,$E$9,$E$10,$E$12,$D164,$E$6,BY$18,BY$17)</f>
        <v>-0.88699076384265019</v>
      </c>
      <c r="BZ164" s="16">
        <f ca="1">_xll.DBRW($D$4,$E$7,$E$8,$E$9,$E$10,$E$12,$D164,$E$6,BZ$18,BZ$17)</f>
        <v>8.5495813297045919E-2</v>
      </c>
      <c r="CA164" s="16"/>
      <c r="CB164" s="16"/>
      <c r="CC164" s="16"/>
      <c r="CD164" s="16"/>
      <c r="CE164" s="16">
        <f ca="1">_xll.DBRW($D$4,$E$7,$E$8,$E$9,$E$10,$E$12,$D164,$E$6,CE$18,CE$17)</f>
        <v>-1.016138</v>
      </c>
      <c r="CF164" s="16">
        <f ca="1">_xll.DBRW($D$4,$E$7,$E$8,$E$9,$E$10,$E$12,$D164,$E$6,CF$18,CF$17)</f>
        <v>9.7944136820172278E-2</v>
      </c>
      <c r="CG164" s="16"/>
      <c r="CH164" s="16"/>
      <c r="CI164" s="16"/>
      <c r="CJ164" s="16"/>
      <c r="CK164" s="16">
        <f ca="1">_xll.DBRW($D$4,$E$7,$E$8,$E$9,$E$10,$E$12,$D164,$E$6,CK$18,CK$17)</f>
        <v>-1.8281579999999999</v>
      </c>
      <c r="CL164" s="16">
        <f ca="1">_xll.DBRW($D$4,$E$7,$E$8,$E$9,$E$10,$E$12,$D164,$E$6,CL$18,CL$17)</f>
        <v>0.17621362185145376</v>
      </c>
      <c r="CM164" s="16"/>
      <c r="CN164" s="16"/>
      <c r="CO164" s="16"/>
      <c r="CP164" s="16"/>
      <c r="CQ164" s="16">
        <f ca="1">_xll.DBRW($D$4,$E$7,$E$8,$E$9,$E$10,$E$12,$D164,$E$6,CQ$18,CQ$17)</f>
        <v>0.16917599999999999</v>
      </c>
      <c r="CR164" s="16">
        <f ca="1">_xll.DBRW($D$4,$E$7,$E$8,$E$9,$E$10,$E$12,$D164,$E$6,CR$18,CR$17)</f>
        <v>2.7501739999999999</v>
      </c>
      <c r="CS164" s="16">
        <f ca="1">_xll.DBRW($D$4,$E$7,$E$8,$E$9,$E$10,$E$12,$D164,$E$6,CS$18,CS$17)</f>
        <v>2.7501739999999999</v>
      </c>
      <c r="CT164" s="16">
        <f ca="1">_xll.DBRW($D$4,$E$7,$E$8,$E$9,$E$10,$E$12,$D164,$E$6,CT$18,CT$17)</f>
        <v>2.7501739999999999</v>
      </c>
      <c r="CU164" s="16">
        <f ca="1">_xll.DBRW($D$4,$E$7,$E$8,$E$9,$E$10,$E$12,$D164,$E$6,CU$18,CU$17)</f>
        <v>1.0690499745000002</v>
      </c>
      <c r="CV164" s="16">
        <f ca="1">_xll.DBRW($D$4,$E$7,$E$8,$E$9,$E$10,$E$12,$D164,$E$6,CV$18,CV$17)</f>
        <v>2.7501739999999999</v>
      </c>
      <c r="CW164" s="16">
        <f ca="1">_xll.DBRW($D$4,$E$7,$E$8,$E$9,$E$10,$E$12,$D164,$E$6,CW$18,CW$17)</f>
        <v>2.393014</v>
      </c>
      <c r="CX164" s="16">
        <f ca="1">_xll.DBRW($D$4,$E$7,$E$8,$E$9,$E$10,$E$12,$D164,$E$6,CX$18,CX$17)</f>
        <v>2.7501739999999999</v>
      </c>
      <c r="CY164" s="16">
        <f ca="1">_xll.DBRW($D$4,$E$7,$E$8,$E$9,$E$10,$E$12,$D164,$E$6,CY$18,CY$17)</f>
        <v>2.7501739999999999</v>
      </c>
      <c r="CZ164" s="16">
        <f ca="1">_xll.DBRW($D$4,$E$7,$E$8,$E$9,$E$10,$E$12,$D164,$E$6,CZ$18,CZ$17)</f>
        <v>2.7501739999999999</v>
      </c>
      <c r="DA164" s="26">
        <f t="shared" ca="1" si="127"/>
        <v>-9.6149489573510438E-3</v>
      </c>
      <c r="DB164" s="26">
        <f t="shared" ca="1" si="128"/>
        <v>0.44055142000000008</v>
      </c>
      <c r="DC164" s="26">
        <f t="shared" ca="1" si="129"/>
        <v>0</v>
      </c>
      <c r="DD164" s="26">
        <f t="shared" ca="1" si="130"/>
        <v>0</v>
      </c>
      <c r="DE164" s="26">
        <f t="shared" ca="1" si="131"/>
        <v>0</v>
      </c>
      <c r="DF164" s="26">
        <f t="shared" ca="1" si="132"/>
        <v>0</v>
      </c>
      <c r="DG164" s="26">
        <f t="shared" ca="1" si="133"/>
        <v>0</v>
      </c>
      <c r="DH164" s="26">
        <f t="shared" ca="1" si="134"/>
        <v>-0.45016636895735102</v>
      </c>
      <c r="DI164" s="26">
        <f t="shared" ca="1" si="135"/>
        <v>-1.6171727600000008</v>
      </c>
      <c r="DJ164" s="26">
        <f t="shared" ca="1" si="136"/>
        <v>0.78472341999999973</v>
      </c>
      <c r="DK164" s="26">
        <f t="shared" ca="1" si="137"/>
        <v>4.2484162794367286E-3</v>
      </c>
      <c r="DL164" s="26"/>
      <c r="DM164" s="26"/>
      <c r="DN164" s="26"/>
      <c r="DO164" s="26"/>
      <c r="DP164" s="26">
        <f t="shared" ca="1" si="138"/>
        <v>0.20460373720000036</v>
      </c>
      <c r="DQ164" s="26">
        <f t="shared" ca="1" si="139"/>
        <v>-2.5902652739137055E-3</v>
      </c>
      <c r="DR164" s="26"/>
      <c r="DS164" s="26"/>
      <c r="DT164" s="26"/>
      <c r="DU164" s="26"/>
      <c r="DV164" s="26">
        <f t="shared" ca="1" si="140"/>
        <v>-0.1270138761573496</v>
      </c>
      <c r="DW164" s="26">
        <f t="shared" ca="1" si="141"/>
        <v>3.0291234988343893E-2</v>
      </c>
      <c r="DX164" s="26"/>
      <c r="DY164" s="26"/>
      <c r="DZ164" s="26"/>
      <c r="EA164" s="26"/>
      <c r="EB164" s="26">
        <f t="shared" ca="1" si="142"/>
        <v>8.9584339999999929E-2</v>
      </c>
      <c r="EC164" s="26">
        <f t="shared" ca="1" si="143"/>
        <v>7.8570687536253792E-3</v>
      </c>
      <c r="ED164" s="26"/>
      <c r="EE164" s="26"/>
      <c r="EF164" s="26"/>
      <c r="EG164" s="26"/>
      <c r="EH164" s="26">
        <f t="shared" ca="1" si="144"/>
        <v>0.21510877000000028</v>
      </c>
      <c r="EI164" s="29">
        <f t="shared" ca="1" si="145"/>
        <v>7.9770629966164353E-3</v>
      </c>
      <c r="EJ164" s="29"/>
      <c r="EK164" s="29"/>
      <c r="EL164" s="29"/>
      <c r="EM164" s="29"/>
      <c r="EN164" s="93"/>
      <c r="EO164" s="29"/>
      <c r="EP164" s="29"/>
      <c r="EQ164" s="29"/>
      <c r="ER164" s="29"/>
      <c r="ES164" s="29"/>
      <c r="ET164" s="29"/>
      <c r="EU164" s="93"/>
      <c r="EV164" s="29"/>
      <c r="EW164" s="29"/>
      <c r="EX164" s="29"/>
      <c r="EY164" s="29"/>
      <c r="EZ164" s="29"/>
      <c r="FA164" s="29"/>
      <c r="FB164" s="93"/>
      <c r="FC164" s="29"/>
      <c r="FD164" s="29"/>
      <c r="FE164" s="29"/>
      <c r="FF164" s="29"/>
      <c r="FG164" s="29"/>
      <c r="FH164" s="29"/>
      <c r="FI164" s="93"/>
      <c r="FJ164" s="29"/>
      <c r="FK164" s="29"/>
      <c r="FL164" s="29"/>
      <c r="FM164" s="29"/>
      <c r="FN164" s="29"/>
      <c r="FO164" s="29"/>
      <c r="FP164" s="93"/>
      <c r="FQ164" s="29"/>
      <c r="FR164" s="29"/>
      <c r="FS164" s="29"/>
      <c r="FT164" s="29"/>
      <c r="FU164" s="29"/>
      <c r="FV164" s="29"/>
    </row>
    <row r="165" spans="1:178" x14ac:dyDescent="0.25">
      <c r="A165" t="str">
        <f ca="1">IF(_xll.TM1RPTELISCONSOLIDATED($D$28,$D165),IF(_xll.TM1RPTELLEV($D$28,$D165)&lt;=3,_xll.TM1RPTELLEV($D$28,$D165),"D"),"N")</f>
        <v>N</v>
      </c>
      <c r="B165" t="str">
        <f ca="1">_xll.DBRA(Server&amp;"Management_organization",$D165,$B$27)</f>
        <v>L</v>
      </c>
      <c r="C165">
        <v>1</v>
      </c>
      <c r="D165" s="2" t="s">
        <v>180</v>
      </c>
      <c r="E165" s="26"/>
      <c r="F165" s="26"/>
      <c r="G165" s="16">
        <f ca="1">_xll.DBRW($D$4,$E$7,$E$8,$E$9,$E$10,$E$12,$D165,$E$6,G$18,G$17)</f>
        <v>1.8110584800000002</v>
      </c>
      <c r="H165" s="16">
        <f ca="1">_xll.DBRW($D$4,$E$7,$E$8,$E$9,$E$10,$E$12,$D165,$E$6,H$18,H$17)</f>
        <v>-0.36948079000000006</v>
      </c>
      <c r="I165" s="16">
        <f ca="1">_xll.DBRW($D$4,$E$7,$E$8,$E$9,$E$10,$E$12,$D165,$E$6,I$18,I$17)</f>
        <v>0</v>
      </c>
      <c r="J165" s="26">
        <f ca="1">_xll.DBRW($D$4,$E$7,$E$8,$E$9,$E$10,$E$12,$D165,$E$6,J$18,J$17)</f>
        <v>-2.6199999999999997E-4</v>
      </c>
      <c r="K165" s="26">
        <f ca="1">_xll.DBRW($D$4,$E$7,$E$8,$E$9,$E$10,$E$12,$D165,$E$6,K$18,K$17)</f>
        <v>0</v>
      </c>
      <c r="L165" s="26">
        <f ca="1">_xll.DBRW($D$4,$E$7,$E$8,$E$9,$E$10,$E$12,$D165,$E$6,L$18,L$17)</f>
        <v>0</v>
      </c>
      <c r="M165" s="26">
        <f ca="1">_xll.DBRW($D$4,$E$7,$E$8,$E$9,$E$10,$E$12,$D165,$E$6,M$18,M$17)</f>
        <v>0</v>
      </c>
      <c r="N165" s="16">
        <f ca="1">_xll.DBRW($D$4,$E$7,$E$8,$E$9,$E$10,$E$12,$D165,$E$6,N$18,N$17)</f>
        <v>2.1808012700000008</v>
      </c>
      <c r="O165" s="16">
        <f ca="1">_xll.DBRW($D$4,$E$7,$E$8,$E$9,$E$10,$E$12,$D165,$E$6,O$18,O$17)</f>
        <v>8.336904490000002</v>
      </c>
      <c r="P165" s="74">
        <f ca="1">_xll.DBRW($D$4,$E$7,$E$8,$E$9,$E$10,$E$12,$D165,$E$6,P$18,P$17)</f>
        <v>-2.8005181000000001</v>
      </c>
      <c r="Q165" s="16">
        <f ca="1">_xll.DBRW($D$4,$E$7,$E$8,$E$9,$E$10,$E$12,$D165,$E$6,Q$18,Q$17)</f>
        <v>0.3359182180099558</v>
      </c>
      <c r="R165" s="16"/>
      <c r="S165" s="16"/>
      <c r="T165" s="16"/>
      <c r="U165" s="16"/>
      <c r="V165" s="16">
        <f ca="1">_xll.DBRW($D$4,$E$7,$E$8,$E$9,$E$10,$E$12,$D165,$E$6,V$18,V$17)</f>
        <v>-0.49832138999999998</v>
      </c>
      <c r="W165" s="16">
        <f ca="1">_xll.DBRW($D$4,$E$7,$E$8,$E$9,$E$10,$E$12,$D165,$E$6,W$18,W$17)</f>
        <v>5.9772951770975594E-2</v>
      </c>
      <c r="X165" s="16"/>
      <c r="Y165" s="16"/>
      <c r="Z165" s="16"/>
      <c r="AA165" s="16"/>
      <c r="AB165" s="16">
        <f ca="1">_xll.DBRW($D$4,$E$7,$E$8,$E$9,$E$10,$E$12,$D165,$E$6,AB$18,AB$17)</f>
        <v>-0.48535797000000003</v>
      </c>
      <c r="AC165" s="16">
        <f ca="1">_xll.DBRW($D$4,$E$7,$E$8,$E$9,$E$10,$E$12,$D165,$E$6,AC$18,AC$17)</f>
        <v>5.8218007724831197E-2</v>
      </c>
      <c r="AD165" s="16"/>
      <c r="AE165" s="16"/>
      <c r="AF165" s="16"/>
      <c r="AG165" s="16"/>
      <c r="AH165" s="16">
        <f ca="1">_xll.DBRW($D$4,$E$7,$E$8,$E$9,$E$10,$E$12,$D165,$E$6,AH$18,AH$17)</f>
        <v>-0.83512954999999989</v>
      </c>
      <c r="AI165" s="16">
        <f ca="1">_xll.DBRW($D$4,$E$7,$E$8,$E$9,$E$10,$E$12,$D165,$E$6,AI$18,AI$17)</f>
        <v>0.10017261814642664</v>
      </c>
      <c r="AJ165" s="16"/>
      <c r="AK165" s="16"/>
      <c r="AL165" s="16"/>
      <c r="AM165" s="16"/>
      <c r="AN165" s="16">
        <f ca="1">_xll.DBRW($D$4,$E$7,$E$8,$E$9,$E$10,$E$12,$D165,$E$6,AN$18,AN$17)</f>
        <v>-1.53677621</v>
      </c>
      <c r="AO165" s="16">
        <f ca="1">_xll.DBRW($D$4,$E$7,$E$8,$E$9,$E$10,$E$12,$D165,$E$6,AO$18,AO$17)</f>
        <v>0.18433415086418958</v>
      </c>
      <c r="AP165" s="16"/>
      <c r="AQ165" s="16"/>
      <c r="AR165" s="16"/>
      <c r="AS165" s="16"/>
      <c r="AT165" s="16">
        <f ca="1">_xll.DBRW($D$4,$E$7,$E$8,$E$9,$E$10,$E$12,$D165,$E$6,AT$18,AT$17)</f>
        <v>0.10234677999999998</v>
      </c>
      <c r="AU165" s="16">
        <f ca="1">_xll.DBRW($D$4,$E$7,$E$8,$E$9,$E$10,$E$12,$D165,$E$6,AU$18,AU$17)</f>
        <v>1.4902169999999999</v>
      </c>
      <c r="AV165" s="16">
        <f ca="1">_xll.DBRW($D$4,$E$7,$E$8,$E$9,$E$10,$E$12,$D165,$E$6,AV$18,AV$17)</f>
        <v>1.4902169999999999</v>
      </c>
      <c r="AW165" s="16">
        <f ca="1">_xll.DBRW($D$4,$E$7,$E$8,$E$9,$E$10,$E$12,$D165,$E$6,AW$18,AW$17)</f>
        <v>1.4902169999999999</v>
      </c>
      <c r="AX165" s="16">
        <f ca="1">_xll.DBRW($D$4,$E$7,$E$8,$E$9,$E$10,$E$12,$D165,$E$6,AX$18,AX$17)</f>
        <v>0.52526414999999993</v>
      </c>
      <c r="AY165" s="16">
        <f ca="1">_xll.DBRW($D$4,$E$7,$E$8,$E$9,$E$10,$E$12,$D165,$E$6,AY$18,AY$17)</f>
        <v>1.4902169999999999</v>
      </c>
      <c r="AZ165" s="16">
        <f ca="1">_xll.DBRW($D$4,$E$7,$E$8,$E$9,$E$10,$E$12,$D165,$E$6,AZ$18,AZ$17)</f>
        <v>1.120638</v>
      </c>
      <c r="BA165" s="16">
        <f ca="1">_xll.DBRW($D$4,$E$7,$E$8,$E$9,$E$10,$E$12,$D165,$E$6,BA$18,BA$17)</f>
        <v>1.4902169999999999</v>
      </c>
      <c r="BB165" s="16">
        <f ca="1">_xll.DBRW($D$4,$E$7,$E$8,$E$9,$E$10,$E$12,$D165,$E$6,BB$18,BB$17)</f>
        <v>1.4902169999999999</v>
      </c>
      <c r="BC165" s="16">
        <f ca="1">_xll.DBRW($D$4,$E$7,$E$8,$E$9,$E$10,$E$12,$D165,$E$6,BC$18,BC$17)</f>
        <v>1.4902169999999999</v>
      </c>
      <c r="BD165" s="16">
        <f ca="1">_xll.DBRW($D$4,$E$7,$E$8,$E$9,$E$10,$E$12,$D165,$E$6,BD$18,BD$17)</f>
        <v>-4.4383629351678444E-2</v>
      </c>
      <c r="BE165" s="16">
        <f ca="1">_xll.DBRW($D$4,$E$7,$E$8,$E$9,$E$10,$E$12,$D165,$E$6,BE$18,BE$17)</f>
        <v>-0.77820174155333377</v>
      </c>
      <c r="BF165" s="16">
        <f ca="1">_xll.DBRW($D$4,$E$7,$E$8,$E$9,$E$10,$E$12,$D165,$E$6,BF$18,BF$17)</f>
        <v>0</v>
      </c>
      <c r="BG165" s="26">
        <f ca="1">_xll.DBRW($D$4,$E$7,$E$8,$E$9,$E$10,$E$12,$D165,$E$6,BG$18,BG$17)</f>
        <v>0</v>
      </c>
      <c r="BH165" s="26">
        <f ca="1">_xll.DBRW($D$4,$E$7,$E$8,$E$9,$E$10,$E$12,$D165,$E$6,BH$18,BH$17)</f>
        <v>0</v>
      </c>
      <c r="BI165" s="26">
        <f ca="1">_xll.DBRW($D$4,$E$7,$E$8,$E$9,$E$10,$E$12,$D165,$E$6,BI$18,BI$17)</f>
        <v>0</v>
      </c>
      <c r="BJ165" s="26">
        <f ca="1">_xll.DBRW($D$4,$E$7,$E$8,$E$9,$E$10,$E$12,$D165,$E$6,BJ$18,BJ$17)</f>
        <v>0</v>
      </c>
      <c r="BK165" s="16">
        <f ca="1">_xll.DBRW($D$4,$E$7,$E$8,$E$9,$E$10,$E$12,$D165,$E$6,BK$18,BK$17)</f>
        <v>0.73381811220165527</v>
      </c>
      <c r="BL165" s="16">
        <f ca="1">_xll.DBRW($D$4,$E$7,$E$8,$E$9,$E$10,$E$12,$D165,$E$6,BL$18,BL$17)</f>
        <v>7.4843291499999998</v>
      </c>
      <c r="BM165" s="16">
        <f ca="1">_xll.DBRW($D$4,$E$7,$E$8,$E$9,$E$10,$E$12,$D165,$E$6,BM$18,BM$17)</f>
        <v>-3.1209460326799996</v>
      </c>
      <c r="BN165" s="16">
        <f ca="1">_xll.DBRW($D$4,$E$7,$E$8,$E$9,$E$10,$E$12,$D165,$E$6,BN$18,BN$17)</f>
        <v>0.41699743158409858</v>
      </c>
      <c r="BO165" s="16"/>
      <c r="BP165" s="16"/>
      <c r="BQ165" s="16"/>
      <c r="BR165" s="16"/>
      <c r="BS165" s="16">
        <f ca="1">_xll.DBRW($D$4,$E$7,$E$8,$E$9,$E$10,$E$12,$D165,$E$6,BS$18,BS$17)</f>
        <v>-0.48128784210666664</v>
      </c>
      <c r="BT165" s="16">
        <f ca="1">_xll.DBRW($D$4,$E$7,$E$8,$E$9,$E$10,$E$12,$D165,$E$6,BT$18,BT$17)</f>
        <v>6.4306076397864814E-2</v>
      </c>
      <c r="BU165" s="16"/>
      <c r="BV165" s="16"/>
      <c r="BW165" s="16"/>
      <c r="BX165" s="16"/>
      <c r="BY165" s="16">
        <f ca="1">_xll.DBRW($D$4,$E$7,$E$8,$E$9,$E$10,$E$12,$D165,$E$6,BY$18,BY$17)</f>
        <v>-0.48711423777114005</v>
      </c>
      <c r="BZ165" s="16">
        <f ca="1">_xll.DBRW($D$4,$E$7,$E$8,$E$9,$E$10,$E$12,$D165,$E$6,BZ$18,BZ$17)</f>
        <v>6.5084555744203215E-2</v>
      </c>
      <c r="CA165" s="16"/>
      <c r="CB165" s="16"/>
      <c r="CC165" s="16"/>
      <c r="CD165" s="16"/>
      <c r="CE165" s="16">
        <f ca="1">_xll.DBRW($D$4,$E$7,$E$8,$E$9,$E$10,$E$12,$D165,$E$6,CE$18,CE$17)</f>
        <v>-1.0061628</v>
      </c>
      <c r="CF165" s="16">
        <f ca="1">_xll.DBRW($D$4,$E$7,$E$8,$E$9,$E$10,$E$12,$D165,$E$6,CF$18,CF$17)</f>
        <v>0.13443593671985954</v>
      </c>
      <c r="CG165" s="16"/>
      <c r="CH165" s="16"/>
      <c r="CI165" s="16"/>
      <c r="CJ165" s="16"/>
      <c r="CK165" s="16">
        <f ca="1">_xll.DBRW($D$4,$E$7,$E$8,$E$9,$E$10,$E$12,$D165,$E$6,CK$18,CK$17)</f>
        <v>-1.6550001252405382</v>
      </c>
      <c r="CL165" s="16">
        <f ca="1">_xll.DBRW($D$4,$E$7,$E$8,$E$9,$E$10,$E$12,$D165,$E$6,CL$18,CL$17)</f>
        <v>0.22112872003238102</v>
      </c>
      <c r="CM165" s="16"/>
      <c r="CN165" s="16"/>
      <c r="CO165" s="16"/>
      <c r="CP165" s="16"/>
      <c r="CQ165" s="16">
        <f ca="1">_xll.DBRW($D$4,$E$7,$E$8,$E$9,$E$10,$E$12,$D165,$E$6,CQ$18,CQ$17)</f>
        <v>0.11223683049999998</v>
      </c>
      <c r="CR165" s="16">
        <f ca="1">_xll.DBRW($D$4,$E$7,$E$8,$E$9,$E$10,$E$12,$D165,$E$6,CR$18,CR$17)</f>
        <v>1.6802495</v>
      </c>
      <c r="CS165" s="16">
        <f ca="1">_xll.DBRW($D$4,$E$7,$E$8,$E$9,$E$10,$E$12,$D165,$E$6,CS$18,CS$17)</f>
        <v>1.6802495</v>
      </c>
      <c r="CT165" s="16">
        <f ca="1">_xll.DBRW($D$4,$E$7,$E$8,$E$9,$E$10,$E$12,$D165,$E$6,CT$18,CT$17)</f>
        <v>1.6802495</v>
      </c>
      <c r="CU165" s="16">
        <f ca="1">_xll.DBRW($D$4,$E$7,$E$8,$E$9,$E$10,$E$12,$D165,$E$6,CU$18,CU$17)</f>
        <v>0.57859062220000002</v>
      </c>
      <c r="CV165" s="16">
        <f ca="1">_xll.DBRW($D$4,$E$7,$E$8,$E$9,$E$10,$E$12,$D165,$E$6,CV$18,CV$17)</f>
        <v>1.6802495</v>
      </c>
      <c r="CW165" s="16">
        <f ca="1">_xll.DBRW($D$4,$E$7,$E$8,$E$9,$E$10,$E$12,$D165,$E$6,CW$18,CW$17)</f>
        <v>1.2795382400000002</v>
      </c>
      <c r="CX165" s="16">
        <f ca="1">_xll.DBRW($D$4,$E$7,$E$8,$E$9,$E$10,$E$12,$D165,$E$6,CX$18,CX$17)</f>
        <v>1.6802495</v>
      </c>
      <c r="CY165" s="16">
        <f ca="1">_xll.DBRW($D$4,$E$7,$E$8,$E$9,$E$10,$E$12,$D165,$E$6,CY$18,CY$17)</f>
        <v>1.6802495</v>
      </c>
      <c r="CZ165" s="16">
        <f ca="1">_xll.DBRW($D$4,$E$7,$E$8,$E$9,$E$10,$E$12,$D165,$E$6,CZ$18,CZ$17)</f>
        <v>1.6802495</v>
      </c>
      <c r="DA165" s="26">
        <f t="shared" ca="1" si="127"/>
        <v>1.8554421093516786</v>
      </c>
      <c r="DB165" s="26">
        <f t="shared" ca="1" si="128"/>
        <v>0.40872095155333371</v>
      </c>
      <c r="DC165" s="26">
        <f t="shared" ca="1" si="129"/>
        <v>0</v>
      </c>
      <c r="DD165" s="26">
        <f t="shared" ca="1" si="130"/>
        <v>-2.6199999999999997E-4</v>
      </c>
      <c r="DE165" s="26">
        <f t="shared" ca="1" si="131"/>
        <v>0</v>
      </c>
      <c r="DF165" s="26">
        <f t="shared" ca="1" si="132"/>
        <v>0</v>
      </c>
      <c r="DG165" s="26">
        <f t="shared" ca="1" si="133"/>
        <v>0</v>
      </c>
      <c r="DH165" s="26">
        <f t="shared" ca="1" si="134"/>
        <v>1.4469831577983454</v>
      </c>
      <c r="DI165" s="26">
        <f t="shared" ca="1" si="135"/>
        <v>0.85257534000000224</v>
      </c>
      <c r="DJ165" s="26">
        <f t="shared" ca="1" si="136"/>
        <v>0.32042793267999947</v>
      </c>
      <c r="DK165" s="26">
        <f t="shared" ca="1" si="137"/>
        <v>-8.1079213574142772E-2</v>
      </c>
      <c r="DL165" s="26"/>
      <c r="DM165" s="26"/>
      <c r="DN165" s="26"/>
      <c r="DO165" s="26"/>
      <c r="DP165" s="26">
        <f t="shared" ca="1" si="138"/>
        <v>-1.7033547893333334E-2</v>
      </c>
      <c r="DQ165" s="26">
        <f t="shared" ca="1" si="139"/>
        <v>-4.5331246268892206E-3</v>
      </c>
      <c r="DR165" s="26"/>
      <c r="DS165" s="26"/>
      <c r="DT165" s="26"/>
      <c r="DU165" s="26"/>
      <c r="DV165" s="26">
        <f t="shared" ca="1" si="140"/>
        <v>1.7562677711400188E-3</v>
      </c>
      <c r="DW165" s="26">
        <f t="shared" ca="1" si="141"/>
        <v>-6.866548019372018E-3</v>
      </c>
      <c r="DX165" s="26"/>
      <c r="DY165" s="26"/>
      <c r="DZ165" s="26"/>
      <c r="EA165" s="26"/>
      <c r="EB165" s="26">
        <f t="shared" ca="1" si="142"/>
        <v>0.17103325000000014</v>
      </c>
      <c r="EC165" s="26">
        <f t="shared" ca="1" si="143"/>
        <v>-3.4263318573432899E-2</v>
      </c>
      <c r="ED165" s="26"/>
      <c r="EE165" s="26"/>
      <c r="EF165" s="26"/>
      <c r="EG165" s="26"/>
      <c r="EH165" s="26">
        <f t="shared" ca="1" si="144"/>
        <v>0.11822391524053821</v>
      </c>
      <c r="EI165" s="29">
        <f t="shared" ca="1" si="145"/>
        <v>-3.6794569168191432E-2</v>
      </c>
      <c r="EJ165" s="29"/>
      <c r="EK165" s="29"/>
      <c r="EL165" s="29"/>
      <c r="EM165" s="29"/>
      <c r="EN165" s="93"/>
      <c r="EO165" s="29"/>
      <c r="EP165" s="29"/>
      <c r="EQ165" s="29"/>
      <c r="ER165" s="29"/>
      <c r="ES165" s="29"/>
      <c r="ET165" s="29"/>
      <c r="EU165" s="93"/>
      <c r="EV165" s="29"/>
      <c r="EW165" s="29"/>
      <c r="EX165" s="29"/>
      <c r="EY165" s="29"/>
      <c r="EZ165" s="29"/>
      <c r="FA165" s="29"/>
      <c r="FB165" s="93"/>
      <c r="FC165" s="29"/>
      <c r="FD165" s="29"/>
      <c r="FE165" s="29"/>
      <c r="FF165" s="29"/>
      <c r="FG165" s="29"/>
      <c r="FH165" s="29"/>
      <c r="FI165" s="93"/>
      <c r="FJ165" s="29"/>
      <c r="FK165" s="29"/>
      <c r="FL165" s="29"/>
      <c r="FM165" s="29"/>
      <c r="FN165" s="29"/>
      <c r="FO165" s="29"/>
      <c r="FP165" s="93"/>
      <c r="FQ165" s="29"/>
      <c r="FR165" s="29"/>
      <c r="FS165" s="29"/>
      <c r="FT165" s="29"/>
      <c r="FU165" s="29"/>
      <c r="FV165" s="29"/>
    </row>
    <row r="166" spans="1:178" x14ac:dyDescent="0.25">
      <c r="A166" t="str">
        <f ca="1">IF(_xll.TM1RPTELISCONSOLIDATED($D$28,$D166),IF(_xll.TM1RPTELLEV($D$28,$D166)&lt;=3,_xll.TM1RPTELLEV($D$28,$D166),"D"),"N")</f>
        <v>N</v>
      </c>
      <c r="B166" t="str">
        <f ca="1">_xll.DBRA(Server&amp;"Management_organization",$D166,$B$27)</f>
        <v>L</v>
      </c>
      <c r="C166">
        <v>1</v>
      </c>
      <c r="D166" s="2" t="s">
        <v>181</v>
      </c>
      <c r="E166" s="26"/>
      <c r="F166" s="26"/>
      <c r="G166" s="16">
        <f ca="1">_xll.DBRW($D$4,$E$7,$E$8,$E$9,$E$10,$E$12,$D166,$E$6,G$18,G$17)</f>
        <v>4.2324260899999979</v>
      </c>
      <c r="H166" s="16">
        <f ca="1">_xll.DBRW($D$4,$E$7,$E$8,$E$9,$E$10,$E$12,$D166,$E$6,H$18,H$17)</f>
        <v>-0.48788490000000007</v>
      </c>
      <c r="I166" s="16">
        <f ca="1">_xll.DBRW($D$4,$E$7,$E$8,$E$9,$E$10,$E$12,$D166,$E$6,I$18,I$17)</f>
        <v>0</v>
      </c>
      <c r="J166" s="26">
        <f ca="1">_xll.DBRW($D$4,$E$7,$E$8,$E$9,$E$10,$E$12,$D166,$E$6,J$18,J$17)</f>
        <v>0</v>
      </c>
      <c r="K166" s="26">
        <f ca="1">_xll.DBRW($D$4,$E$7,$E$8,$E$9,$E$10,$E$12,$D166,$E$6,K$18,K$17)</f>
        <v>0</v>
      </c>
      <c r="L166" s="26">
        <f ca="1">_xll.DBRW($D$4,$E$7,$E$8,$E$9,$E$10,$E$12,$D166,$E$6,L$18,L$17)</f>
        <v>0</v>
      </c>
      <c r="M166" s="26">
        <f ca="1">_xll.DBRW($D$4,$E$7,$E$8,$E$9,$E$10,$E$12,$D166,$E$6,M$18,M$17)</f>
        <v>0</v>
      </c>
      <c r="N166" s="16">
        <f ca="1">_xll.DBRW($D$4,$E$7,$E$8,$E$9,$E$10,$E$12,$D166,$E$6,N$18,N$17)</f>
        <v>4.720310989999998</v>
      </c>
      <c r="O166" s="16">
        <f ca="1">_xll.DBRW($D$4,$E$7,$E$8,$E$9,$E$10,$E$12,$D166,$E$6,O$18,O$17)</f>
        <v>12.27037756</v>
      </c>
      <c r="P166" s="74">
        <f ca="1">_xll.DBRW($D$4,$E$7,$E$8,$E$9,$E$10,$E$12,$D166,$E$6,P$18,P$17)</f>
        <v>-3.3545321299999995</v>
      </c>
      <c r="Q166" s="16">
        <f ca="1">_xll.DBRW($D$4,$E$7,$E$8,$E$9,$E$10,$E$12,$D166,$E$6,Q$18,Q$17)</f>
        <v>0.27338458931658166</v>
      </c>
      <c r="R166" s="16"/>
      <c r="S166" s="16"/>
      <c r="T166" s="16"/>
      <c r="U166" s="16"/>
      <c r="V166" s="16">
        <f ca="1">_xll.DBRW($D$4,$E$7,$E$8,$E$9,$E$10,$E$12,$D166,$E$6,V$18,V$17)</f>
        <v>-0.61268551999999987</v>
      </c>
      <c r="W166" s="16">
        <f ca="1">_xll.DBRW($D$4,$E$7,$E$8,$E$9,$E$10,$E$12,$D166,$E$6,W$18,W$17)</f>
        <v>4.993208375244159E-2</v>
      </c>
      <c r="X166" s="16"/>
      <c r="Y166" s="16"/>
      <c r="Z166" s="16"/>
      <c r="AA166" s="16"/>
      <c r="AB166" s="16">
        <f ca="1">_xll.DBRW($D$4,$E$7,$E$8,$E$9,$E$10,$E$12,$D166,$E$6,AB$18,AB$17)</f>
        <v>-0.77534184000000006</v>
      </c>
      <c r="AC166" s="16">
        <f ca="1">_xll.DBRW($D$4,$E$7,$E$8,$E$9,$E$10,$E$12,$D166,$E$6,AC$18,AC$17)</f>
        <v>6.3188099649641102E-2</v>
      </c>
      <c r="AD166" s="16"/>
      <c r="AE166" s="16"/>
      <c r="AF166" s="16"/>
      <c r="AG166" s="16"/>
      <c r="AH166" s="16">
        <f ca="1">_xll.DBRW($D$4,$E$7,$E$8,$E$9,$E$10,$E$12,$D166,$E$6,AH$18,AH$17)</f>
        <v>-0.94888463000000001</v>
      </c>
      <c r="AI166" s="16">
        <f ca="1">_xll.DBRW($D$4,$E$7,$E$8,$E$9,$E$10,$E$12,$D166,$E$6,AI$18,AI$17)</f>
        <v>7.7331331115128299E-2</v>
      </c>
      <c r="AJ166" s="16"/>
      <c r="AK166" s="16"/>
      <c r="AL166" s="16"/>
      <c r="AM166" s="16"/>
      <c r="AN166" s="16">
        <f ca="1">_xll.DBRW($D$4,$E$7,$E$8,$E$9,$E$10,$E$12,$D166,$E$6,AN$18,AN$17)</f>
        <v>-1.8586224500000001</v>
      </c>
      <c r="AO166" s="16">
        <f ca="1">_xll.DBRW($D$4,$E$7,$E$8,$E$9,$E$10,$E$12,$D166,$E$6,AO$18,AO$17)</f>
        <v>0.15147231133774502</v>
      </c>
      <c r="AP166" s="16"/>
      <c r="AQ166" s="16"/>
      <c r="AR166" s="16"/>
      <c r="AS166" s="16"/>
      <c r="AT166" s="16">
        <f ca="1">_xll.DBRW($D$4,$E$7,$E$8,$E$9,$E$10,$E$12,$D166,$E$6,AT$18,AT$17)</f>
        <v>0.14329432999999997</v>
      </c>
      <c r="AU166" s="16">
        <f ca="1">_xll.DBRW($D$4,$E$7,$E$8,$E$9,$E$10,$E$12,$D166,$E$6,AU$18,AU$17)</f>
        <v>2.1155539999999999</v>
      </c>
      <c r="AV166" s="16">
        <f ca="1">_xll.DBRW($D$4,$E$7,$E$8,$E$9,$E$10,$E$12,$D166,$E$6,AV$18,AV$17)</f>
        <v>2.1155539999999999</v>
      </c>
      <c r="AW166" s="16">
        <f ca="1">_xll.DBRW($D$4,$E$7,$E$8,$E$9,$E$10,$E$12,$D166,$E$6,AW$18,AW$17)</f>
        <v>2.1155539999999999</v>
      </c>
      <c r="AX166" s="16">
        <f ca="1">_xll.DBRW($D$4,$E$7,$E$8,$E$9,$E$10,$E$12,$D166,$E$6,AX$18,AX$17)</f>
        <v>0.73836664000000007</v>
      </c>
      <c r="AY166" s="16">
        <f ca="1">_xll.DBRW($D$4,$E$7,$E$8,$E$9,$E$10,$E$12,$D166,$E$6,AY$18,AY$17)</f>
        <v>2.1155539999999999</v>
      </c>
      <c r="AZ166" s="16">
        <f ca="1">_xll.DBRW($D$4,$E$7,$E$8,$E$9,$E$10,$E$12,$D166,$E$6,AZ$18,AZ$17)</f>
        <v>1.7500209999999998</v>
      </c>
      <c r="BA166" s="16">
        <f ca="1">_xll.DBRW($D$4,$E$7,$E$8,$E$9,$E$10,$E$12,$D166,$E$6,BA$18,BA$17)</f>
        <v>2.1155539999999999</v>
      </c>
      <c r="BB166" s="16">
        <f ca="1">_xll.DBRW($D$4,$E$7,$E$8,$E$9,$E$10,$E$12,$D166,$E$6,BB$18,BB$17)</f>
        <v>2.1155539999999999</v>
      </c>
      <c r="BC166" s="16">
        <f ca="1">_xll.DBRW($D$4,$E$7,$E$8,$E$9,$E$10,$E$12,$D166,$E$6,BC$18,BC$17)</f>
        <v>2.1155539999999999</v>
      </c>
      <c r="BD166" s="16">
        <f ca="1">_xll.DBRW($D$4,$E$7,$E$8,$E$9,$E$10,$E$12,$D166,$E$6,BD$18,BD$17)</f>
        <v>0.63289016242779561</v>
      </c>
      <c r="BE166" s="16">
        <f ca="1">_xll.DBRW($D$4,$E$7,$E$8,$E$9,$E$10,$E$12,$D166,$E$6,BE$18,BE$17)</f>
        <v>-0.95511298448666704</v>
      </c>
      <c r="BF166" s="16">
        <f ca="1">_xll.DBRW($D$4,$E$7,$E$8,$E$9,$E$10,$E$12,$D166,$E$6,BF$18,BF$17)</f>
        <v>0</v>
      </c>
      <c r="BG166" s="26">
        <f ca="1">_xll.DBRW($D$4,$E$7,$E$8,$E$9,$E$10,$E$12,$D166,$E$6,BG$18,BG$17)</f>
        <v>0</v>
      </c>
      <c r="BH166" s="26">
        <f ca="1">_xll.DBRW($D$4,$E$7,$E$8,$E$9,$E$10,$E$12,$D166,$E$6,BH$18,BH$17)</f>
        <v>0</v>
      </c>
      <c r="BI166" s="26">
        <f ca="1">_xll.DBRW($D$4,$E$7,$E$8,$E$9,$E$10,$E$12,$D166,$E$6,BI$18,BI$17)</f>
        <v>0</v>
      </c>
      <c r="BJ166" s="26">
        <f ca="1">_xll.DBRW($D$4,$E$7,$E$8,$E$9,$E$10,$E$12,$D166,$E$6,BJ$18,BJ$17)</f>
        <v>0</v>
      </c>
      <c r="BK166" s="16">
        <f ca="1">_xll.DBRW($D$4,$E$7,$E$8,$E$9,$E$10,$E$12,$D166,$E$6,BK$18,BK$17)</f>
        <v>1.5880031469144626</v>
      </c>
      <c r="BL166" s="16">
        <f ca="1">_xll.DBRW($D$4,$E$7,$E$8,$E$9,$E$10,$E$12,$D166,$E$6,BL$18,BL$17)</f>
        <v>9.7254448286748687</v>
      </c>
      <c r="BM166" s="16">
        <f ca="1">_xll.DBRW($D$4,$E$7,$E$8,$E$9,$E$10,$E$12,$D166,$E$6,BM$18,BM$17)</f>
        <v>-3.3617668296569998</v>
      </c>
      <c r="BN166" s="16">
        <f ca="1">_xll.DBRW($D$4,$E$7,$E$8,$E$9,$E$10,$E$12,$D166,$E$6,BN$18,BN$17)</f>
        <v>0.34566715341852944</v>
      </c>
      <c r="BO166" s="16"/>
      <c r="BP166" s="16"/>
      <c r="BQ166" s="16"/>
      <c r="BR166" s="16"/>
      <c r="BS166" s="16">
        <f ca="1">_xll.DBRW($D$4,$E$7,$E$8,$E$9,$E$10,$E$12,$D166,$E$6,BS$18,BS$17)</f>
        <v>-0.68954968064666711</v>
      </c>
      <c r="BT166" s="16">
        <f ca="1">_xll.DBRW($D$4,$E$7,$E$8,$E$9,$E$10,$E$12,$D166,$E$6,BT$18,BT$17)</f>
        <v>7.0901608388499904E-2</v>
      </c>
      <c r="BU166" s="16"/>
      <c r="BV166" s="16"/>
      <c r="BW166" s="16"/>
      <c r="BX166" s="16"/>
      <c r="BY166" s="16">
        <f ca="1">_xll.DBRW($D$4,$E$7,$E$8,$E$9,$E$10,$E$12,$D166,$E$6,BY$18,BY$17)</f>
        <v>-0.70597402618232996</v>
      </c>
      <c r="BZ166" s="16">
        <f ca="1">_xll.DBRW($D$4,$E$7,$E$8,$E$9,$E$10,$E$12,$D166,$E$6,BZ$18,BZ$17)</f>
        <v>7.2590409859794744E-2</v>
      </c>
      <c r="CA166" s="16"/>
      <c r="CB166" s="16"/>
      <c r="CC166" s="16"/>
      <c r="CD166" s="16"/>
      <c r="CE166" s="16">
        <f ca="1">_xll.DBRW($D$4,$E$7,$E$8,$E$9,$E$10,$E$12,$D166,$E$6,CE$18,CE$17)</f>
        <v>-1.1652050833333336</v>
      </c>
      <c r="CF166" s="16">
        <f ca="1">_xll.DBRW($D$4,$E$7,$E$8,$E$9,$E$10,$E$12,$D166,$E$6,CF$18,CF$17)</f>
        <v>0.11980995253788279</v>
      </c>
      <c r="CG166" s="16"/>
      <c r="CH166" s="16"/>
      <c r="CI166" s="16"/>
      <c r="CJ166" s="16"/>
      <c r="CK166" s="16">
        <f ca="1">_xll.DBRW($D$4,$E$7,$E$8,$E$9,$E$10,$E$12,$D166,$E$6,CK$18,CK$17)</f>
        <v>-2.2149460619410752</v>
      </c>
      <c r="CL166" s="16">
        <f ca="1">_xll.DBRW($D$4,$E$7,$E$8,$E$9,$E$10,$E$12,$D166,$E$6,CL$18,CL$17)</f>
        <v>0.22774753247383037</v>
      </c>
      <c r="CM166" s="16"/>
      <c r="CN166" s="16"/>
      <c r="CO166" s="16"/>
      <c r="CP166" s="16"/>
      <c r="CQ166" s="16">
        <f ca="1">_xll.DBRW($D$4,$E$7,$E$8,$E$9,$E$10,$E$12,$D166,$E$6,CQ$18,CQ$17)</f>
        <v>0.15018846999999999</v>
      </c>
      <c r="CR166" s="16">
        <f ca="1">_xll.DBRW($D$4,$E$7,$E$8,$E$9,$E$10,$E$12,$D166,$E$6,CR$18,CR$17)</f>
        <v>2.4280820000000003</v>
      </c>
      <c r="CS166" s="16">
        <f ca="1">_xll.DBRW($D$4,$E$7,$E$8,$E$9,$E$10,$E$12,$D166,$E$6,CS$18,CS$17)</f>
        <v>2.4280820000000003</v>
      </c>
      <c r="CT166" s="16">
        <f ca="1">_xll.DBRW($D$4,$E$7,$E$8,$E$9,$E$10,$E$12,$D166,$E$6,CT$18,CT$17)</f>
        <v>2.4280820000000003</v>
      </c>
      <c r="CU166" s="16">
        <f ca="1">_xll.DBRW($D$4,$E$7,$E$8,$E$9,$E$10,$E$12,$D166,$E$6,CU$18,CU$17)</f>
        <v>0.82942582852173896</v>
      </c>
      <c r="CV166" s="16">
        <f ca="1">_xll.DBRW($D$4,$E$7,$E$8,$E$9,$E$10,$E$12,$D166,$E$6,CV$18,CV$17)</f>
        <v>2.4280820000000003</v>
      </c>
      <c r="CW166" s="16">
        <f ca="1">_xll.DBRW($D$4,$E$7,$E$8,$E$9,$E$10,$E$12,$D166,$E$6,CW$18,CW$17)</f>
        <v>1.9561539999999999</v>
      </c>
      <c r="CX166" s="16">
        <f ca="1">_xll.DBRW($D$4,$E$7,$E$8,$E$9,$E$10,$E$12,$D166,$E$6,CX$18,CX$17)</f>
        <v>2.4280820000000003</v>
      </c>
      <c r="CY166" s="16">
        <f ca="1">_xll.DBRW($D$4,$E$7,$E$8,$E$9,$E$10,$E$12,$D166,$E$6,CY$18,CY$17)</f>
        <v>2.4280820000000003</v>
      </c>
      <c r="CZ166" s="16">
        <f ca="1">_xll.DBRW($D$4,$E$7,$E$8,$E$9,$E$10,$E$12,$D166,$E$6,CZ$18,CZ$17)</f>
        <v>2.4280820000000003</v>
      </c>
      <c r="DA166" s="26">
        <f t="shared" ca="1" si="127"/>
        <v>3.5995359275722025</v>
      </c>
      <c r="DB166" s="26">
        <f t="shared" ca="1" si="128"/>
        <v>0.46722808448666697</v>
      </c>
      <c r="DC166" s="26">
        <f t="shared" ca="1" si="129"/>
        <v>0</v>
      </c>
      <c r="DD166" s="26">
        <f t="shared" ca="1" si="130"/>
        <v>0</v>
      </c>
      <c r="DE166" s="26">
        <f t="shared" ca="1" si="131"/>
        <v>0</v>
      </c>
      <c r="DF166" s="26">
        <f t="shared" ca="1" si="132"/>
        <v>0</v>
      </c>
      <c r="DG166" s="26">
        <f t="shared" ca="1" si="133"/>
        <v>0</v>
      </c>
      <c r="DH166" s="26">
        <f t="shared" ca="1" si="134"/>
        <v>3.1323078430855356</v>
      </c>
      <c r="DI166" s="26">
        <f t="shared" ca="1" si="135"/>
        <v>2.5449327313251313</v>
      </c>
      <c r="DJ166" s="26">
        <f t="shared" ca="1" si="136"/>
        <v>7.2346996570002986E-3</v>
      </c>
      <c r="DK166" s="26">
        <f t="shared" ca="1" si="137"/>
        <v>-7.2282564101947777E-2</v>
      </c>
      <c r="DL166" s="26"/>
      <c r="DM166" s="26"/>
      <c r="DN166" s="26"/>
      <c r="DO166" s="26"/>
      <c r="DP166" s="26">
        <f t="shared" ca="1" si="138"/>
        <v>7.6864160646667234E-2</v>
      </c>
      <c r="DQ166" s="26">
        <f t="shared" ca="1" si="139"/>
        <v>-2.0969524636058313E-2</v>
      </c>
      <c r="DR166" s="26"/>
      <c r="DS166" s="26"/>
      <c r="DT166" s="26"/>
      <c r="DU166" s="26"/>
      <c r="DV166" s="26">
        <f t="shared" ca="1" si="140"/>
        <v>-6.9367813817670099E-2</v>
      </c>
      <c r="DW166" s="26">
        <f t="shared" ca="1" si="141"/>
        <v>-9.4023102101536415E-3</v>
      </c>
      <c r="DX166" s="26"/>
      <c r="DY166" s="26"/>
      <c r="DZ166" s="26"/>
      <c r="EA166" s="26"/>
      <c r="EB166" s="26">
        <f t="shared" ca="1" si="142"/>
        <v>0.21632045333333361</v>
      </c>
      <c r="EC166" s="26">
        <f t="shared" ca="1" si="143"/>
        <v>-4.2478621422754492E-2</v>
      </c>
      <c r="ED166" s="26"/>
      <c r="EE166" s="26"/>
      <c r="EF166" s="26"/>
      <c r="EG166" s="26"/>
      <c r="EH166" s="26">
        <f t="shared" ca="1" si="144"/>
        <v>0.35632361194107509</v>
      </c>
      <c r="EI166" s="29">
        <f t="shared" ca="1" si="145"/>
        <v>-7.6275221136085342E-2</v>
      </c>
      <c r="EJ166" s="29"/>
      <c r="EK166" s="29"/>
      <c r="EL166" s="29"/>
      <c r="EM166" s="29"/>
      <c r="EN166" s="93"/>
      <c r="EO166" s="29"/>
      <c r="EP166" s="29"/>
      <c r="EQ166" s="29"/>
      <c r="ER166" s="29"/>
      <c r="ES166" s="29"/>
      <c r="ET166" s="29"/>
      <c r="EU166" s="93"/>
      <c r="EV166" s="29"/>
      <c r="EW166" s="29"/>
      <c r="EX166" s="29"/>
      <c r="EY166" s="29"/>
      <c r="EZ166" s="29"/>
      <c r="FA166" s="29"/>
      <c r="FB166" s="93"/>
      <c r="FC166" s="29"/>
      <c r="FD166" s="29"/>
      <c r="FE166" s="29"/>
      <c r="FF166" s="29"/>
      <c r="FG166" s="29"/>
      <c r="FH166" s="29"/>
      <c r="FI166" s="93"/>
      <c r="FJ166" s="29"/>
      <c r="FK166" s="29"/>
      <c r="FL166" s="29"/>
      <c r="FM166" s="29"/>
      <c r="FN166" s="29"/>
      <c r="FO166" s="29"/>
      <c r="FP166" s="93"/>
      <c r="FQ166" s="29"/>
      <c r="FR166" s="29"/>
      <c r="FS166" s="29"/>
      <c r="FT166" s="29"/>
      <c r="FU166" s="29"/>
      <c r="FV166" s="29"/>
    </row>
    <row r="167" spans="1:178" x14ac:dyDescent="0.25">
      <c r="A167" t="str">
        <f ca="1">IF(_xll.TM1RPTELISCONSOLIDATED($D$28,$D167),IF(_xll.TM1RPTELLEV($D$28,$D167)&lt;=3,_xll.TM1RPTELLEV($D$28,$D167),"D"),"N")</f>
        <v>N</v>
      </c>
      <c r="B167" t="str">
        <f ca="1">_xll.DBRA(Server&amp;"Management_organization",$D167,$B$27)</f>
        <v>L</v>
      </c>
      <c r="C167">
        <v>1</v>
      </c>
      <c r="D167" s="2" t="s">
        <v>182</v>
      </c>
      <c r="E167" s="26"/>
      <c r="F167" s="26"/>
      <c r="G167" s="16">
        <f ca="1">_xll.DBRW($D$4,$E$7,$E$8,$E$9,$E$10,$E$12,$D167,$E$6,G$18,G$17)</f>
        <v>-0.29325099999999998</v>
      </c>
      <c r="H167" s="16">
        <f ca="1">_xll.DBRW($D$4,$E$7,$E$8,$E$9,$E$10,$E$12,$D167,$E$6,H$18,H$17)</f>
        <v>-0.81983015999999997</v>
      </c>
      <c r="I167" s="16">
        <f ca="1">_xll.DBRW($D$4,$E$7,$E$8,$E$9,$E$10,$E$12,$D167,$E$6,I$18,I$17)</f>
        <v>0</v>
      </c>
      <c r="J167" s="26">
        <f ca="1">_xll.DBRW($D$4,$E$7,$E$8,$E$9,$E$10,$E$12,$D167,$E$6,J$18,J$17)</f>
        <v>-2.2319999999999998E-4</v>
      </c>
      <c r="K167" s="26">
        <f ca="1">_xll.DBRW($D$4,$E$7,$E$8,$E$9,$E$10,$E$12,$D167,$E$6,K$18,K$17)</f>
        <v>0</v>
      </c>
      <c r="L167" s="26">
        <f ca="1">_xll.DBRW($D$4,$E$7,$E$8,$E$9,$E$10,$E$12,$D167,$E$6,L$18,L$17)</f>
        <v>0</v>
      </c>
      <c r="M167" s="26">
        <f ca="1">_xll.DBRW($D$4,$E$7,$E$8,$E$9,$E$10,$E$12,$D167,$E$6,M$18,M$17)</f>
        <v>0</v>
      </c>
      <c r="N167" s="16">
        <f ca="1">_xll.DBRW($D$4,$E$7,$E$8,$E$9,$E$10,$E$12,$D167,$E$6,N$18,N$17)</f>
        <v>0.52680235999999991</v>
      </c>
      <c r="O167" s="16">
        <f ca="1">_xll.DBRW($D$4,$E$7,$E$8,$E$9,$E$10,$E$12,$D167,$E$6,O$18,O$17)</f>
        <v>12.5579588</v>
      </c>
      <c r="P167" s="74">
        <f ca="1">_xll.DBRW($D$4,$E$7,$E$8,$E$9,$E$10,$E$12,$D167,$E$6,P$18,P$17)</f>
        <v>-5.379000679999999</v>
      </c>
      <c r="Q167" s="16">
        <f ca="1">_xll.DBRW($D$4,$E$7,$E$8,$E$9,$E$10,$E$12,$D167,$E$6,Q$18,Q$17)</f>
        <v>0.42833399644534581</v>
      </c>
      <c r="R167" s="16"/>
      <c r="S167" s="16"/>
      <c r="T167" s="16"/>
      <c r="U167" s="16"/>
      <c r="V167" s="16">
        <f ca="1">_xll.DBRW($D$4,$E$7,$E$8,$E$9,$E$10,$E$12,$D167,$E$6,V$18,V$17)</f>
        <v>-1.2427726199999998</v>
      </c>
      <c r="W167" s="16">
        <f ca="1">_xll.DBRW($D$4,$E$7,$E$8,$E$9,$E$10,$E$12,$D167,$E$6,W$18,W$17)</f>
        <v>9.8962947704526613E-2</v>
      </c>
      <c r="X167" s="16"/>
      <c r="Y167" s="16"/>
      <c r="Z167" s="16"/>
      <c r="AA167" s="16"/>
      <c r="AB167" s="16">
        <f ca="1">_xll.DBRW($D$4,$E$7,$E$8,$E$9,$E$10,$E$12,$D167,$E$6,AB$18,AB$17)</f>
        <v>-1.7051349899999999</v>
      </c>
      <c r="AC167" s="16">
        <f ca="1">_xll.DBRW($D$4,$E$7,$E$8,$E$9,$E$10,$E$12,$D167,$E$6,AC$18,AC$17)</f>
        <v>0.13578122186545158</v>
      </c>
      <c r="AD167" s="16"/>
      <c r="AE167" s="16"/>
      <c r="AF167" s="16"/>
      <c r="AG167" s="16"/>
      <c r="AH167" s="16">
        <f ca="1">_xll.DBRW($D$4,$E$7,$E$8,$E$9,$E$10,$E$12,$D167,$E$6,AH$18,AH$17)</f>
        <v>-2.0562190099999995</v>
      </c>
      <c r="AI167" s="16">
        <f ca="1">_xll.DBRW($D$4,$E$7,$E$8,$E$9,$E$10,$E$12,$D167,$E$6,AI$18,AI$17)</f>
        <v>0.16373831470127131</v>
      </c>
      <c r="AJ167" s="16"/>
      <c r="AK167" s="16"/>
      <c r="AL167" s="16"/>
      <c r="AM167" s="16"/>
      <c r="AN167" s="16">
        <f ca="1">_xll.DBRW($D$4,$E$7,$E$8,$E$9,$E$10,$E$12,$D167,$E$6,AN$18,AN$17)</f>
        <v>-2.2249576700000002</v>
      </c>
      <c r="AO167" s="16">
        <f ca="1">_xll.DBRW($D$4,$E$7,$E$8,$E$9,$E$10,$E$12,$D167,$E$6,AO$18,AO$17)</f>
        <v>0.17717510508156789</v>
      </c>
      <c r="AP167" s="16"/>
      <c r="AQ167" s="16"/>
      <c r="AR167" s="16"/>
      <c r="AS167" s="16"/>
      <c r="AT167" s="16">
        <f ca="1">_xll.DBRW($D$4,$E$7,$E$8,$E$9,$E$10,$E$12,$D167,$E$6,AT$18,AT$17)</f>
        <v>0.20691273999999998</v>
      </c>
      <c r="AU167" s="16">
        <f ca="1">_xll.DBRW($D$4,$E$7,$E$8,$E$9,$E$10,$E$12,$D167,$E$6,AU$18,AU$17)</f>
        <v>4.7227066999999998</v>
      </c>
      <c r="AV167" s="16">
        <f ca="1">_xll.DBRW($D$4,$E$7,$E$8,$E$9,$E$10,$E$12,$D167,$E$6,AV$18,AV$17)</f>
        <v>4.7227066999999998</v>
      </c>
      <c r="AW167" s="16">
        <f ca="1">_xll.DBRW($D$4,$E$7,$E$8,$E$9,$E$10,$E$12,$D167,$E$6,AW$18,AW$17)</f>
        <v>4.7227066999999998</v>
      </c>
      <c r="AX167" s="16">
        <f ca="1">_xll.DBRW($D$4,$E$7,$E$8,$E$9,$E$10,$E$12,$D167,$E$6,AX$18,AX$17)</f>
        <v>1.5259255499999997</v>
      </c>
      <c r="AY167" s="16">
        <f ca="1">_xll.DBRW($D$4,$E$7,$E$8,$E$9,$E$10,$E$12,$D167,$E$6,AY$18,AY$17)</f>
        <v>4.7227066999999998</v>
      </c>
      <c r="AZ167" s="16">
        <f ca="1">_xll.DBRW($D$4,$E$7,$E$8,$E$9,$E$10,$E$12,$D167,$E$6,AZ$18,AZ$17)</f>
        <v>3.2876317187500002</v>
      </c>
      <c r="BA167" s="16">
        <f ca="1">_xll.DBRW($D$4,$E$7,$E$8,$E$9,$E$10,$E$12,$D167,$E$6,BA$18,BA$17)</f>
        <v>4.7227066999999998</v>
      </c>
      <c r="BB167" s="16">
        <f ca="1">_xll.DBRW($D$4,$E$7,$E$8,$E$9,$E$10,$E$12,$D167,$E$6,BB$18,BB$17)</f>
        <v>4.7227066999999998</v>
      </c>
      <c r="BC167" s="16">
        <f ca="1">_xll.DBRW($D$4,$E$7,$E$8,$E$9,$E$10,$E$12,$D167,$E$6,BC$18,BC$17)</f>
        <v>4.7227066999999998</v>
      </c>
      <c r="BD167" s="16">
        <f ca="1">_xll.DBRW($D$4,$E$7,$E$8,$E$9,$E$10,$E$12,$D167,$E$6,BD$18,BD$17)</f>
        <v>-0.13024499404351747</v>
      </c>
      <c r="BE167" s="16">
        <f ca="1">_xll.DBRW($D$4,$E$7,$E$8,$E$9,$E$10,$E$12,$D167,$E$6,BE$18,BE$17)</f>
        <v>-0.71344060999999992</v>
      </c>
      <c r="BF167" s="16">
        <f ca="1">_xll.DBRW($D$4,$E$7,$E$8,$E$9,$E$10,$E$12,$D167,$E$6,BF$18,BF$17)</f>
        <v>0</v>
      </c>
      <c r="BG167" s="26">
        <f ca="1">_xll.DBRW($D$4,$E$7,$E$8,$E$9,$E$10,$E$12,$D167,$E$6,BG$18,BG$17)</f>
        <v>0</v>
      </c>
      <c r="BH167" s="26">
        <f ca="1">_xll.DBRW($D$4,$E$7,$E$8,$E$9,$E$10,$E$12,$D167,$E$6,BH$18,BH$17)</f>
        <v>0</v>
      </c>
      <c r="BI167" s="26">
        <f ca="1">_xll.DBRW($D$4,$E$7,$E$8,$E$9,$E$10,$E$12,$D167,$E$6,BI$18,BI$17)</f>
        <v>0</v>
      </c>
      <c r="BJ167" s="26">
        <f ca="1">_xll.DBRW($D$4,$E$7,$E$8,$E$9,$E$10,$E$12,$D167,$E$6,BJ$18,BJ$17)</f>
        <v>0</v>
      </c>
      <c r="BK167" s="16">
        <f ca="1">_xll.DBRW($D$4,$E$7,$E$8,$E$9,$E$10,$E$12,$D167,$E$6,BK$18,BK$17)</f>
        <v>0.58319561595648239</v>
      </c>
      <c r="BL167" s="16">
        <f ca="1">_xll.DBRW($D$4,$E$7,$E$8,$E$9,$E$10,$E$12,$D167,$E$6,BL$18,BL$17)</f>
        <v>9.1815569999999997</v>
      </c>
      <c r="BM167" s="16">
        <f ca="1">_xll.DBRW($D$4,$E$7,$E$8,$E$9,$E$10,$E$12,$D167,$E$6,BM$18,BM$17)</f>
        <v>-3.8190240000000002</v>
      </c>
      <c r="BN167" s="16">
        <f ca="1">_xll.DBRW($D$4,$E$7,$E$8,$E$9,$E$10,$E$12,$D167,$E$6,BN$18,BN$17)</f>
        <v>0.41594513871666866</v>
      </c>
      <c r="BO167" s="16"/>
      <c r="BP167" s="16"/>
      <c r="BQ167" s="16"/>
      <c r="BR167" s="16"/>
      <c r="BS167" s="16">
        <f ca="1">_xll.DBRW($D$4,$E$7,$E$8,$E$9,$E$10,$E$12,$D167,$E$6,BS$18,BS$17)</f>
        <v>-1.4209825599999999</v>
      </c>
      <c r="BT167" s="16">
        <f ca="1">_xll.DBRW($D$4,$E$7,$E$8,$E$9,$E$10,$E$12,$D167,$E$6,BT$18,BT$17)</f>
        <v>0.15476487920294998</v>
      </c>
      <c r="BU167" s="16"/>
      <c r="BV167" s="16"/>
      <c r="BW167" s="16"/>
      <c r="BX167" s="16"/>
      <c r="BY167" s="16">
        <f ca="1">_xll.DBRW($D$4,$E$7,$E$8,$E$9,$E$10,$E$12,$D167,$E$6,BY$18,BY$17)</f>
        <v>-1.1401138140435199</v>
      </c>
      <c r="BZ167" s="16">
        <f ca="1">_xll.DBRW($D$4,$E$7,$E$8,$E$9,$E$10,$E$12,$D167,$E$6,BZ$18,BZ$17)</f>
        <v>0.12417434363730682</v>
      </c>
      <c r="CA167" s="16"/>
      <c r="CB167" s="16"/>
      <c r="CC167" s="16"/>
      <c r="CD167" s="16"/>
      <c r="CE167" s="16">
        <f ca="1">_xll.DBRW($D$4,$E$7,$E$8,$E$9,$E$10,$E$12,$D167,$E$6,CE$18,CE$17)</f>
        <v>-1.5370610099999997</v>
      </c>
      <c r="CF167" s="16">
        <f ca="1">_xll.DBRW($D$4,$E$7,$E$8,$E$9,$E$10,$E$12,$D167,$E$6,CF$18,CF$17)</f>
        <v>0.16740744625339687</v>
      </c>
      <c r="CG167" s="16"/>
      <c r="CH167" s="16"/>
      <c r="CI167" s="16"/>
      <c r="CJ167" s="16"/>
      <c r="CK167" s="16">
        <f ca="1">_xll.DBRW($D$4,$E$7,$E$8,$E$9,$E$10,$E$12,$D167,$E$6,CK$18,CK$17)</f>
        <v>-1.5572170000000003</v>
      </c>
      <c r="CL167" s="16">
        <f ca="1">_xll.DBRW($D$4,$E$7,$E$8,$E$9,$E$10,$E$12,$D167,$E$6,CL$18,CL$17)</f>
        <v>0.16960271553071013</v>
      </c>
      <c r="CM167" s="16"/>
      <c r="CN167" s="16"/>
      <c r="CO167" s="16"/>
      <c r="CP167" s="16"/>
      <c r="CQ167" s="16">
        <f ca="1">_xll.DBRW($D$4,$E$7,$E$8,$E$9,$E$10,$E$12,$D167,$E$6,CQ$18,CQ$17)</f>
        <v>0.15728149999999999</v>
      </c>
      <c r="CR167" s="16">
        <f ca="1">_xll.DBRW($D$4,$E$7,$E$8,$E$9,$E$10,$E$12,$D167,$E$6,CR$18,CR$17)</f>
        <v>4.0350799999999998</v>
      </c>
      <c r="CS167" s="16">
        <f ca="1">_xll.DBRW($D$4,$E$7,$E$8,$E$9,$E$10,$E$12,$D167,$E$6,CS$18,CS$17)</f>
        <v>4.0350799999999998</v>
      </c>
      <c r="CT167" s="16">
        <f ca="1">_xll.DBRW($D$4,$E$7,$E$8,$E$9,$E$10,$E$12,$D167,$E$6,CT$18,CT$17)</f>
        <v>4.0350799999999998</v>
      </c>
      <c r="CU167" s="16">
        <f ca="1">_xll.DBRW($D$4,$E$7,$E$8,$E$9,$E$10,$E$12,$D167,$E$6,CU$18,CU$17)</f>
        <v>1.3575124746</v>
      </c>
      <c r="CV167" s="16">
        <f ca="1">_xll.DBRW($D$4,$E$7,$E$8,$E$9,$E$10,$E$12,$D167,$E$6,CV$18,CV$17)</f>
        <v>4.0350799999999998</v>
      </c>
      <c r="CW167" s="16">
        <f ca="1">_xll.DBRW($D$4,$E$7,$E$8,$E$9,$E$10,$E$12,$D167,$E$6,CW$18,CW$17)</f>
        <v>3.2655900000000004</v>
      </c>
      <c r="CX167" s="16">
        <f ca="1">_xll.DBRW($D$4,$E$7,$E$8,$E$9,$E$10,$E$12,$D167,$E$6,CX$18,CX$17)</f>
        <v>4.0350799999999998</v>
      </c>
      <c r="CY167" s="16">
        <f ca="1">_xll.DBRW($D$4,$E$7,$E$8,$E$9,$E$10,$E$12,$D167,$E$6,CY$18,CY$17)</f>
        <v>4.0350799999999998</v>
      </c>
      <c r="CZ167" s="16">
        <f ca="1">_xll.DBRW($D$4,$E$7,$E$8,$E$9,$E$10,$E$12,$D167,$E$6,CZ$18,CZ$17)</f>
        <v>4.0350799999999998</v>
      </c>
      <c r="DA167" s="26">
        <f t="shared" ca="1" si="127"/>
        <v>-0.16300600595648251</v>
      </c>
      <c r="DB167" s="26">
        <f t="shared" ca="1" si="128"/>
        <v>-0.10638955000000005</v>
      </c>
      <c r="DC167" s="26">
        <f t="shared" ca="1" si="129"/>
        <v>0</v>
      </c>
      <c r="DD167" s="26">
        <f t="shared" ca="1" si="130"/>
        <v>-2.2319999999999998E-4</v>
      </c>
      <c r="DE167" s="26">
        <f t="shared" ca="1" si="131"/>
        <v>0</v>
      </c>
      <c r="DF167" s="26">
        <f t="shared" ca="1" si="132"/>
        <v>0</v>
      </c>
      <c r="DG167" s="26">
        <f t="shared" ca="1" si="133"/>
        <v>0</v>
      </c>
      <c r="DH167" s="26">
        <f t="shared" ca="1" si="134"/>
        <v>-5.639325595648248E-2</v>
      </c>
      <c r="DI167" s="26">
        <f t="shared" ca="1" si="135"/>
        <v>3.3764018</v>
      </c>
      <c r="DJ167" s="26">
        <f t="shared" ca="1" si="136"/>
        <v>-1.5599766799999988</v>
      </c>
      <c r="DK167" s="26">
        <f t="shared" ca="1" si="137"/>
        <v>1.238885772867715E-2</v>
      </c>
      <c r="DL167" s="26"/>
      <c r="DM167" s="26"/>
      <c r="DN167" s="26"/>
      <c r="DO167" s="26"/>
      <c r="DP167" s="26">
        <f t="shared" ca="1" si="138"/>
        <v>0.17820994000000012</v>
      </c>
      <c r="DQ167" s="26">
        <f t="shared" ca="1" si="139"/>
        <v>-5.5801931498423371E-2</v>
      </c>
      <c r="DR167" s="26"/>
      <c r="DS167" s="26"/>
      <c r="DT167" s="26"/>
      <c r="DU167" s="26"/>
      <c r="DV167" s="26">
        <f t="shared" ca="1" si="140"/>
        <v>-0.56502117595648005</v>
      </c>
      <c r="DW167" s="26">
        <f t="shared" ca="1" si="141"/>
        <v>1.1606878228144754E-2</v>
      </c>
      <c r="DX167" s="26"/>
      <c r="DY167" s="26"/>
      <c r="DZ167" s="26"/>
      <c r="EA167" s="26"/>
      <c r="EB167" s="26">
        <f t="shared" ca="1" si="142"/>
        <v>-0.51915799999999979</v>
      </c>
      <c r="EC167" s="26">
        <f t="shared" ca="1" si="143"/>
        <v>-3.6691315521255596E-3</v>
      </c>
      <c r="ED167" s="26"/>
      <c r="EE167" s="26"/>
      <c r="EF167" s="26"/>
      <c r="EG167" s="26"/>
      <c r="EH167" s="26">
        <f t="shared" ca="1" si="144"/>
        <v>-0.66774066999999993</v>
      </c>
      <c r="EI167" s="29">
        <f t="shared" ca="1" si="145"/>
        <v>7.572389550857761E-3</v>
      </c>
      <c r="EJ167" s="29"/>
      <c r="EK167" s="29"/>
      <c r="EL167" s="29"/>
      <c r="EM167" s="29"/>
      <c r="EN167" s="93"/>
      <c r="EO167" s="29"/>
      <c r="EP167" s="29"/>
      <c r="EQ167" s="29"/>
      <c r="ER167" s="29"/>
      <c r="ES167" s="29"/>
      <c r="ET167" s="29"/>
      <c r="EU167" s="93"/>
      <c r="EV167" s="29"/>
      <c r="EW167" s="29"/>
      <c r="EX167" s="29"/>
      <c r="EY167" s="29"/>
      <c r="EZ167" s="29"/>
      <c r="FA167" s="29"/>
      <c r="FB167" s="93"/>
      <c r="FC167" s="29"/>
      <c r="FD167" s="29"/>
      <c r="FE167" s="29"/>
      <c r="FF167" s="29"/>
      <c r="FG167" s="29"/>
      <c r="FH167" s="29"/>
      <c r="FI167" s="93"/>
      <c r="FJ167" s="29"/>
      <c r="FK167" s="29"/>
      <c r="FL167" s="29"/>
      <c r="FM167" s="29"/>
      <c r="FN167" s="29"/>
      <c r="FO167" s="29"/>
      <c r="FP167" s="93"/>
      <c r="FQ167" s="29"/>
      <c r="FR167" s="29"/>
      <c r="FS167" s="29"/>
      <c r="FT167" s="29"/>
      <c r="FU167" s="29"/>
      <c r="FV167" s="29"/>
    </row>
    <row r="168" spans="1:178" x14ac:dyDescent="0.25">
      <c r="A168" t="str">
        <f ca="1">IF(_xll.TM1RPTELISCONSOLIDATED($D$28,$D168),IF(_xll.TM1RPTELLEV($D$28,$D168)&lt;=3,_xll.TM1RPTELLEV($D$28,$D168),"D"),"N")</f>
        <v>N</v>
      </c>
      <c r="B168" t="str">
        <f ca="1">_xll.DBRA(Server&amp;"Management_organization",$D168,$B$27)</f>
        <v>L</v>
      </c>
      <c r="C168">
        <v>1</v>
      </c>
      <c r="D168" s="2" t="s">
        <v>183</v>
      </c>
      <c r="E168" s="26"/>
      <c r="F168" s="26"/>
      <c r="G168" s="16">
        <f ca="1">_xll.DBRW($D$4,$E$7,$E$8,$E$9,$E$10,$E$12,$D168,$E$6,G$18,G$17)</f>
        <v>9.405340000000019E-2</v>
      </c>
      <c r="H168" s="16">
        <f ca="1">_xll.DBRW($D$4,$E$7,$E$8,$E$9,$E$10,$E$12,$D168,$E$6,H$18,H$17)</f>
        <v>-6.1308680000000004E-2</v>
      </c>
      <c r="I168" s="16">
        <f ca="1">_xll.DBRW($D$4,$E$7,$E$8,$E$9,$E$10,$E$12,$D168,$E$6,I$18,I$17)</f>
        <v>0</v>
      </c>
      <c r="J168" s="26">
        <f ca="1">_xll.DBRW($D$4,$E$7,$E$8,$E$9,$E$10,$E$12,$D168,$E$6,J$18,J$17)</f>
        <v>0</v>
      </c>
      <c r="K168" s="26">
        <f ca="1">_xll.DBRW($D$4,$E$7,$E$8,$E$9,$E$10,$E$12,$D168,$E$6,K$18,K$17)</f>
        <v>0</v>
      </c>
      <c r="L168" s="26">
        <f ca="1">_xll.DBRW($D$4,$E$7,$E$8,$E$9,$E$10,$E$12,$D168,$E$6,L$18,L$17)</f>
        <v>0</v>
      </c>
      <c r="M168" s="26">
        <f ca="1">_xll.DBRW($D$4,$E$7,$E$8,$E$9,$E$10,$E$12,$D168,$E$6,M$18,M$17)</f>
        <v>0</v>
      </c>
      <c r="N168" s="16">
        <f ca="1">_xll.DBRW($D$4,$E$7,$E$8,$E$9,$E$10,$E$12,$D168,$E$6,N$18,N$17)</f>
        <v>0.15536208000000021</v>
      </c>
      <c r="O168" s="16">
        <f ca="1">_xll.DBRW($D$4,$E$7,$E$8,$E$9,$E$10,$E$12,$D168,$E$6,O$18,O$17)</f>
        <v>6.261480000000005E-3</v>
      </c>
      <c r="P168" s="74">
        <f ca="1">_xll.DBRW($D$4,$E$7,$E$8,$E$9,$E$10,$E$12,$D168,$E$6,P$18,P$17)</f>
        <v>5.9944399999999993E-3</v>
      </c>
      <c r="Q168" s="16">
        <f ca="1">_xll.DBRW($D$4,$E$7,$E$8,$E$9,$E$10,$E$12,$D168,$E$6,Q$18,Q$17)</f>
        <v>-0.95735193596402046</v>
      </c>
      <c r="R168" s="16"/>
      <c r="S168" s="16"/>
      <c r="T168" s="16"/>
      <c r="U168" s="16"/>
      <c r="V168" s="16">
        <f ca="1">_xll.DBRW($D$4,$E$7,$E$8,$E$9,$E$10,$E$12,$D168,$E$6,V$18,V$17)</f>
        <v>-4.6879220000000006E-2</v>
      </c>
      <c r="W168" s="16">
        <f ca="1">_xll.DBRW($D$4,$E$7,$E$8,$E$9,$E$10,$E$12,$D168,$E$6,W$18,W$17)</f>
        <v>7.4869232194305448</v>
      </c>
      <c r="X168" s="16"/>
      <c r="Y168" s="16"/>
      <c r="Z168" s="16"/>
      <c r="AA168" s="16"/>
      <c r="AB168" s="16">
        <f ca="1">_xll.DBRW($D$4,$E$7,$E$8,$E$9,$E$10,$E$12,$D168,$E$6,AB$18,AB$17)</f>
        <v>1.5369999999999997E-5</v>
      </c>
      <c r="AC168" s="16">
        <f ca="1">_xll.DBRW($D$4,$E$7,$E$8,$E$9,$E$10,$E$12,$D168,$E$6,AC$18,AC$17)</f>
        <v>-2.4546912231612947E-3</v>
      </c>
      <c r="AD168" s="16"/>
      <c r="AE168" s="16"/>
      <c r="AF168" s="16"/>
      <c r="AG168" s="16"/>
      <c r="AH168" s="16">
        <f ca="1">_xll.DBRW($D$4,$E$7,$E$8,$E$9,$E$10,$E$12,$D168,$E$6,AH$18,AH$17)</f>
        <v>2.1131199999999996E-3</v>
      </c>
      <c r="AI168" s="16">
        <f ca="1">_xll.DBRW($D$4,$E$7,$E$8,$E$9,$E$10,$E$12,$D168,$E$6,AI$18,AI$17)</f>
        <v>-0.337479317988718</v>
      </c>
      <c r="AJ168" s="16"/>
      <c r="AK168" s="16"/>
      <c r="AL168" s="16"/>
      <c r="AM168" s="16"/>
      <c r="AN168" s="16">
        <f ca="1">_xll.DBRW($D$4,$E$7,$E$8,$E$9,$E$10,$E$12,$D168,$E$6,AN$18,AN$17)</f>
        <v>0.18785689000000011</v>
      </c>
      <c r="AO168" s="16">
        <f ca="1">_xll.DBRW($D$4,$E$7,$E$8,$E$9,$E$10,$E$12,$D168,$E$6,AO$18,AO$17)</f>
        <v>-30.001994736068781</v>
      </c>
      <c r="AP168" s="16"/>
      <c r="AQ168" s="16"/>
      <c r="AR168" s="16"/>
      <c r="AS168" s="16"/>
      <c r="AT168" s="16">
        <f ca="1">_xll.DBRW($D$4,$E$7,$E$8,$E$9,$E$10,$E$12,$D168,$E$6,AT$18,AT$17)</f>
        <v>0</v>
      </c>
      <c r="AU168" s="16">
        <f ca="1">_xll.DBRW($D$4,$E$7,$E$8,$E$9,$E$10,$E$12,$D168,$E$6,AU$18,AU$17)</f>
        <v>0</v>
      </c>
      <c r="AV168" s="16">
        <f ca="1">_xll.DBRW($D$4,$E$7,$E$8,$E$9,$E$10,$E$12,$D168,$E$6,AV$18,AV$17)</f>
        <v>0</v>
      </c>
      <c r="AW168" s="16">
        <f ca="1">_xll.DBRW($D$4,$E$7,$E$8,$E$9,$E$10,$E$12,$D168,$E$6,AW$18,AW$17)</f>
        <v>0</v>
      </c>
      <c r="AX168" s="16">
        <f ca="1">_xll.DBRW($D$4,$E$7,$E$8,$E$9,$E$10,$E$12,$D168,$E$6,AX$18,AX$17)</f>
        <v>0</v>
      </c>
      <c r="AY168" s="16">
        <f ca="1">_xll.DBRW($D$4,$E$7,$E$8,$E$9,$E$10,$E$12,$D168,$E$6,AY$18,AY$17)</f>
        <v>0</v>
      </c>
      <c r="AZ168" s="16">
        <f ca="1">_xll.DBRW($D$4,$E$7,$E$8,$E$9,$E$10,$E$12,$D168,$E$6,AZ$18,AZ$17)</f>
        <v>0</v>
      </c>
      <c r="BA168" s="16">
        <f ca="1">_xll.DBRW($D$4,$E$7,$E$8,$E$9,$E$10,$E$12,$D168,$E$6,BA$18,BA$17)</f>
        <v>0</v>
      </c>
      <c r="BB168" s="16">
        <f ca="1">_xll.DBRW($D$4,$E$7,$E$8,$E$9,$E$10,$E$12,$D168,$E$6,BB$18,BB$17)</f>
        <v>0</v>
      </c>
      <c r="BC168" s="16">
        <f ca="1">_xll.DBRW($D$4,$E$7,$E$8,$E$9,$E$10,$E$12,$D168,$E$6,BC$18,BC$17)</f>
        <v>0</v>
      </c>
      <c r="BD168" s="16">
        <f ca="1">_xll.DBRW($D$4,$E$7,$E$8,$E$9,$E$10,$E$12,$D168,$E$6,BD$18,BD$17)</f>
        <v>0.1786234266666667</v>
      </c>
      <c r="BE168" s="16">
        <f ca="1">_xll.DBRW($D$4,$E$7,$E$8,$E$9,$E$10,$E$12,$D168,$E$6,BE$18,BE$17)</f>
        <v>-1.0396869999999999E-2</v>
      </c>
      <c r="BF168" s="16">
        <f ca="1">_xll.DBRW($D$4,$E$7,$E$8,$E$9,$E$10,$E$12,$D168,$E$6,BF$18,BF$17)</f>
        <v>0</v>
      </c>
      <c r="BG168" s="26">
        <f ca="1">_xll.DBRW($D$4,$E$7,$E$8,$E$9,$E$10,$E$12,$D168,$E$6,BG$18,BG$17)</f>
        <v>0</v>
      </c>
      <c r="BH168" s="26">
        <f ca="1">_xll.DBRW($D$4,$E$7,$E$8,$E$9,$E$10,$E$12,$D168,$E$6,BH$18,BH$17)</f>
        <v>0</v>
      </c>
      <c r="BI168" s="26">
        <f ca="1">_xll.DBRW($D$4,$E$7,$E$8,$E$9,$E$10,$E$12,$D168,$E$6,BI$18,BI$17)</f>
        <v>0</v>
      </c>
      <c r="BJ168" s="26">
        <f ca="1">_xll.DBRW($D$4,$E$7,$E$8,$E$9,$E$10,$E$12,$D168,$E$6,BJ$18,BJ$17)</f>
        <v>0</v>
      </c>
      <c r="BK168" s="16">
        <f ca="1">_xll.DBRW($D$4,$E$7,$E$8,$E$9,$E$10,$E$12,$D168,$E$6,BK$18,BK$17)</f>
        <v>0.1890202966666667</v>
      </c>
      <c r="BL168" s="16">
        <f ca="1">_xll.DBRW($D$4,$E$7,$E$8,$E$9,$E$10,$E$12,$D168,$E$6,BL$18,BL$17)</f>
        <v>0.24199999999999994</v>
      </c>
      <c r="BM168" s="16">
        <f ca="1">_xll.DBRW($D$4,$E$7,$E$8,$E$9,$E$10,$E$12,$D168,$E$6,BM$18,BM$17)</f>
        <v>0</v>
      </c>
      <c r="BN168" s="16">
        <f ca="1">_xll.DBRW($D$4,$E$7,$E$8,$E$9,$E$10,$E$12,$D168,$E$6,BN$18,BN$17)</f>
        <v>0</v>
      </c>
      <c r="BO168" s="16"/>
      <c r="BP168" s="16"/>
      <c r="BQ168" s="16"/>
      <c r="BR168" s="16"/>
      <c r="BS168" s="16">
        <f ca="1">_xll.DBRW($D$4,$E$7,$E$8,$E$9,$E$10,$E$12,$D168,$E$6,BS$18,BS$17)</f>
        <v>0</v>
      </c>
      <c r="BT168" s="16">
        <f ca="1">_xll.DBRW($D$4,$E$7,$E$8,$E$9,$E$10,$E$12,$D168,$E$6,BT$18,BT$17)</f>
        <v>0</v>
      </c>
      <c r="BU168" s="16"/>
      <c r="BV168" s="16"/>
      <c r="BW168" s="16"/>
      <c r="BX168" s="16"/>
      <c r="BY168" s="16">
        <f ca="1">_xll.DBRW($D$4,$E$7,$E$8,$E$9,$E$10,$E$12,$D168,$E$6,BY$18,BY$17)</f>
        <v>0</v>
      </c>
      <c r="BZ168" s="16">
        <f ca="1">_xll.DBRW($D$4,$E$7,$E$8,$E$9,$E$10,$E$12,$D168,$E$6,BZ$18,BZ$17)</f>
        <v>0</v>
      </c>
      <c r="CA168" s="16"/>
      <c r="CB168" s="16"/>
      <c r="CC168" s="16"/>
      <c r="CD168" s="16"/>
      <c r="CE168" s="16">
        <f ca="1">_xll.DBRW($D$4,$E$7,$E$8,$E$9,$E$10,$E$12,$D168,$E$6,CE$18,CE$17)</f>
        <v>0</v>
      </c>
      <c r="CF168" s="16">
        <f ca="1">_xll.DBRW($D$4,$E$7,$E$8,$E$9,$E$10,$E$12,$D168,$E$6,CF$18,CF$17)</f>
        <v>0</v>
      </c>
      <c r="CG168" s="16"/>
      <c r="CH168" s="16"/>
      <c r="CI168" s="16"/>
      <c r="CJ168" s="16"/>
      <c r="CK168" s="16">
        <f ca="1">_xll.DBRW($D$4,$E$7,$E$8,$E$9,$E$10,$E$12,$D168,$E$6,CK$18,CK$17)</f>
        <v>-5.2979703333333281E-2</v>
      </c>
      <c r="CL168" s="16">
        <f ca="1">_xll.DBRW($D$4,$E$7,$E$8,$E$9,$E$10,$E$12,$D168,$E$6,CL$18,CL$17)</f>
        <v>0.21892439393939378</v>
      </c>
      <c r="CM168" s="16"/>
      <c r="CN168" s="16"/>
      <c r="CO168" s="16"/>
      <c r="CP168" s="16"/>
      <c r="CQ168" s="16">
        <f ca="1">_xll.DBRW($D$4,$E$7,$E$8,$E$9,$E$10,$E$12,$D168,$E$6,CQ$18,CQ$17)</f>
        <v>0</v>
      </c>
      <c r="CR168" s="16">
        <f ca="1">_xll.DBRW($D$4,$E$7,$E$8,$E$9,$E$10,$E$12,$D168,$E$6,CR$18,CR$17)</f>
        <v>0</v>
      </c>
      <c r="CS168" s="16">
        <f ca="1">_xll.DBRW($D$4,$E$7,$E$8,$E$9,$E$10,$E$12,$D168,$E$6,CS$18,CS$17)</f>
        <v>0</v>
      </c>
      <c r="CT168" s="16">
        <f ca="1">_xll.DBRW($D$4,$E$7,$E$8,$E$9,$E$10,$E$12,$D168,$E$6,CT$18,CT$17)</f>
        <v>0</v>
      </c>
      <c r="CU168" s="16">
        <f ca="1">_xll.DBRW($D$4,$E$7,$E$8,$E$9,$E$10,$E$12,$D168,$E$6,CU$18,CU$17)</f>
        <v>0</v>
      </c>
      <c r="CV168" s="16">
        <f ca="1">_xll.DBRW($D$4,$E$7,$E$8,$E$9,$E$10,$E$12,$D168,$E$6,CV$18,CV$17)</f>
        <v>0</v>
      </c>
      <c r="CW168" s="16">
        <f ca="1">_xll.DBRW($D$4,$E$7,$E$8,$E$9,$E$10,$E$12,$D168,$E$6,CW$18,CW$17)</f>
        <v>0</v>
      </c>
      <c r="CX168" s="16">
        <f ca="1">_xll.DBRW($D$4,$E$7,$E$8,$E$9,$E$10,$E$12,$D168,$E$6,CX$18,CX$17)</f>
        <v>0</v>
      </c>
      <c r="CY168" s="16">
        <f ca="1">_xll.DBRW($D$4,$E$7,$E$8,$E$9,$E$10,$E$12,$D168,$E$6,CY$18,CY$17)</f>
        <v>0</v>
      </c>
      <c r="CZ168" s="16">
        <f ca="1">_xll.DBRW($D$4,$E$7,$E$8,$E$9,$E$10,$E$12,$D168,$E$6,CZ$18,CZ$17)</f>
        <v>0</v>
      </c>
      <c r="DA168" s="26">
        <f t="shared" ca="1" si="127"/>
        <v>-8.4570026666666506E-2</v>
      </c>
      <c r="DB168" s="26">
        <f t="shared" ca="1" si="128"/>
        <v>-5.0911810000000002E-2</v>
      </c>
      <c r="DC168" s="26">
        <f t="shared" ca="1" si="129"/>
        <v>0</v>
      </c>
      <c r="DD168" s="26">
        <f t="shared" ca="1" si="130"/>
        <v>0</v>
      </c>
      <c r="DE168" s="26">
        <f t="shared" ca="1" si="131"/>
        <v>0</v>
      </c>
      <c r="DF168" s="26">
        <f t="shared" ca="1" si="132"/>
        <v>0</v>
      </c>
      <c r="DG168" s="26">
        <f t="shared" ca="1" si="133"/>
        <v>0</v>
      </c>
      <c r="DH168" s="26">
        <f t="shared" ca="1" si="134"/>
        <v>-3.3658216666666491E-2</v>
      </c>
      <c r="DI168" s="26">
        <f t="shared" ca="1" si="135"/>
        <v>-0.23573851999999992</v>
      </c>
      <c r="DJ168" s="26">
        <f t="shared" ca="1" si="136"/>
        <v>5.9944399999999993E-3</v>
      </c>
      <c r="DK168" s="26">
        <f t="shared" ca="1" si="137"/>
        <v>-0.95735193596402046</v>
      </c>
      <c r="DL168" s="26"/>
      <c r="DM168" s="26"/>
      <c r="DN168" s="26"/>
      <c r="DO168" s="26"/>
      <c r="DP168" s="26">
        <f t="shared" ca="1" si="138"/>
        <v>-4.6879220000000006E-2</v>
      </c>
      <c r="DQ168" s="26">
        <f t="shared" ca="1" si="139"/>
        <v>7.4869232194305448</v>
      </c>
      <c r="DR168" s="26"/>
      <c r="DS168" s="26"/>
      <c r="DT168" s="26"/>
      <c r="DU168" s="26"/>
      <c r="DV168" s="26">
        <f t="shared" ca="1" si="140"/>
        <v>1.5369999999999997E-5</v>
      </c>
      <c r="DW168" s="26">
        <f t="shared" ca="1" si="141"/>
        <v>-2.4546912231612947E-3</v>
      </c>
      <c r="DX168" s="26"/>
      <c r="DY168" s="26"/>
      <c r="DZ168" s="26"/>
      <c r="EA168" s="26"/>
      <c r="EB168" s="26">
        <f t="shared" ca="1" si="142"/>
        <v>2.1131199999999996E-3</v>
      </c>
      <c r="EC168" s="26">
        <f t="shared" ca="1" si="143"/>
        <v>-0.337479317988718</v>
      </c>
      <c r="ED168" s="26"/>
      <c r="EE168" s="26"/>
      <c r="EF168" s="26"/>
      <c r="EG168" s="26"/>
      <c r="EH168" s="26">
        <f t="shared" ca="1" si="144"/>
        <v>0.2408365933333334</v>
      </c>
      <c r="EI168" s="29">
        <f t="shared" ca="1" si="145"/>
        <v>-30.220919130008173</v>
      </c>
      <c r="EJ168" s="29"/>
      <c r="EK168" s="29"/>
      <c r="EL168" s="29"/>
      <c r="EM168" s="29"/>
      <c r="EN168" s="93"/>
      <c r="EO168" s="29"/>
      <c r="EP168" s="29"/>
      <c r="EQ168" s="29"/>
      <c r="ER168" s="29"/>
      <c r="ES168" s="29"/>
      <c r="ET168" s="29"/>
      <c r="EU168" s="93"/>
      <c r="EV168" s="29"/>
      <c r="EW168" s="29"/>
      <c r="EX168" s="29"/>
      <c r="EY168" s="29"/>
      <c r="EZ168" s="29"/>
      <c r="FA168" s="29"/>
      <c r="FB168" s="93"/>
      <c r="FC168" s="29"/>
      <c r="FD168" s="29"/>
      <c r="FE168" s="29"/>
      <c r="FF168" s="29"/>
      <c r="FG168" s="29"/>
      <c r="FH168" s="29"/>
      <c r="FI168" s="93"/>
      <c r="FJ168" s="29"/>
      <c r="FK168" s="29"/>
      <c r="FL168" s="29"/>
      <c r="FM168" s="29"/>
      <c r="FN168" s="29"/>
      <c r="FO168" s="29"/>
      <c r="FP168" s="93"/>
      <c r="FQ168" s="29"/>
      <c r="FR168" s="29"/>
      <c r="FS168" s="29"/>
      <c r="FT168" s="29"/>
      <c r="FU168" s="29"/>
      <c r="FV168" s="29"/>
    </row>
    <row r="169" spans="1:178" x14ac:dyDescent="0.25">
      <c r="A169" t="str">
        <f ca="1">IF(_xll.TM1RPTELISCONSOLIDATED($D$28,$D169),IF(_xll.TM1RPTELLEV($D$28,$D169)&lt;=3,_xll.TM1RPTELLEV($D$28,$D169),"D"),"N")</f>
        <v>N</v>
      </c>
      <c r="B169" t="str">
        <f ca="1">_xll.DBRA(Server&amp;"Management_organization",$D169,$B$27)</f>
        <v>L</v>
      </c>
      <c r="C169">
        <v>1</v>
      </c>
      <c r="D169" s="2" t="s">
        <v>184</v>
      </c>
      <c r="E169" s="26"/>
      <c r="F169" s="26"/>
      <c r="G169" s="16">
        <f ca="1">_xll.DBRW($D$4,$E$7,$E$8,$E$9,$E$10,$E$12,$D169,$E$6,G$18,G$17)</f>
        <v>0.77851719999999702</v>
      </c>
      <c r="H169" s="16">
        <f ca="1">_xll.DBRW($D$4,$E$7,$E$8,$E$9,$E$10,$E$12,$D169,$E$6,H$18,H$17)</f>
        <v>-1.0654902899999998</v>
      </c>
      <c r="I169" s="16">
        <f ca="1">_xll.DBRW($D$4,$E$7,$E$8,$E$9,$E$10,$E$12,$D169,$E$6,I$18,I$17)</f>
        <v>0</v>
      </c>
      <c r="J169" s="26">
        <f ca="1">_xll.DBRW($D$4,$E$7,$E$8,$E$9,$E$10,$E$12,$D169,$E$6,J$18,J$17)</f>
        <v>0</v>
      </c>
      <c r="K169" s="26">
        <f ca="1">_xll.DBRW($D$4,$E$7,$E$8,$E$9,$E$10,$E$12,$D169,$E$6,K$18,K$17)</f>
        <v>0</v>
      </c>
      <c r="L169" s="26">
        <f ca="1">_xll.DBRW($D$4,$E$7,$E$8,$E$9,$E$10,$E$12,$D169,$E$6,L$18,L$17)</f>
        <v>0</v>
      </c>
      <c r="M169" s="26">
        <f ca="1">_xll.DBRW($D$4,$E$7,$E$8,$E$9,$E$10,$E$12,$D169,$E$6,M$18,M$17)</f>
        <v>0</v>
      </c>
      <c r="N169" s="16">
        <f ca="1">_xll.DBRW($D$4,$E$7,$E$8,$E$9,$E$10,$E$12,$D169,$E$6,N$18,N$17)</f>
        <v>1.8440074899999968</v>
      </c>
      <c r="O169" s="16">
        <f ca="1">_xll.DBRW($D$4,$E$7,$E$8,$E$9,$E$10,$E$12,$D169,$E$6,O$18,O$17)</f>
        <v>9.9413839099999972</v>
      </c>
      <c r="P169" s="74">
        <f ca="1">_xll.DBRW($D$4,$E$7,$E$8,$E$9,$E$10,$E$12,$D169,$E$6,P$18,P$17)</f>
        <v>-3.3678091600000002</v>
      </c>
      <c r="Q169" s="16">
        <f ca="1">_xll.DBRW($D$4,$E$7,$E$8,$E$9,$E$10,$E$12,$D169,$E$6,Q$18,Q$17)</f>
        <v>0.33876663354810538</v>
      </c>
      <c r="R169" s="16"/>
      <c r="S169" s="16"/>
      <c r="T169" s="16"/>
      <c r="U169" s="16"/>
      <c r="V169" s="16">
        <f ca="1">_xll.DBRW($D$4,$E$7,$E$8,$E$9,$E$10,$E$12,$D169,$E$6,V$18,V$17)</f>
        <v>-0.77334709000000001</v>
      </c>
      <c r="W169" s="16">
        <f ca="1">_xll.DBRW($D$4,$E$7,$E$8,$E$9,$E$10,$E$12,$D169,$E$6,W$18,W$17)</f>
        <v>7.779068759452025E-2</v>
      </c>
      <c r="X169" s="16"/>
      <c r="Y169" s="16"/>
      <c r="Z169" s="16"/>
      <c r="AA169" s="16"/>
      <c r="AB169" s="16">
        <f ca="1">_xll.DBRW($D$4,$E$7,$E$8,$E$9,$E$10,$E$12,$D169,$E$6,AB$18,AB$17)</f>
        <v>-0.52269782999999981</v>
      </c>
      <c r="AC169" s="16">
        <f ca="1">_xll.DBRW($D$4,$E$7,$E$8,$E$9,$E$10,$E$12,$D169,$E$6,AC$18,AC$17)</f>
        <v>5.2577974528699188E-2</v>
      </c>
      <c r="AD169" s="16"/>
      <c r="AE169" s="16"/>
      <c r="AF169" s="16"/>
      <c r="AG169" s="16"/>
      <c r="AH169" s="16">
        <f ca="1">_xll.DBRW($D$4,$E$7,$E$8,$E$9,$E$10,$E$12,$D169,$E$6,AH$18,AH$17)</f>
        <v>-0.70510281000000019</v>
      </c>
      <c r="AI169" s="16">
        <f ca="1">_xll.DBRW($D$4,$E$7,$E$8,$E$9,$E$10,$E$12,$D169,$E$6,AI$18,AI$17)</f>
        <v>7.0926021606583387E-2</v>
      </c>
      <c r="AJ169" s="16"/>
      <c r="AK169" s="16"/>
      <c r="AL169" s="16"/>
      <c r="AM169" s="16"/>
      <c r="AN169" s="16">
        <f ca="1">_xll.DBRW($D$4,$E$7,$E$8,$E$9,$E$10,$E$12,$D169,$E$6,AN$18,AN$17)</f>
        <v>-2.7284195299999996</v>
      </c>
      <c r="AO169" s="16">
        <f ca="1">_xll.DBRW($D$4,$E$7,$E$8,$E$9,$E$10,$E$12,$D169,$E$6,AO$18,AO$17)</f>
        <v>0.27445067554985919</v>
      </c>
      <c r="AP169" s="16"/>
      <c r="AQ169" s="16"/>
      <c r="AR169" s="16"/>
      <c r="AS169" s="16"/>
      <c r="AT169" s="16">
        <f ca="1">_xll.DBRW($D$4,$E$7,$E$8,$E$9,$E$10,$E$12,$D169,$E$6,AT$18,AT$17)</f>
        <v>0.11795411</v>
      </c>
      <c r="AU169" s="16">
        <f ca="1">_xll.DBRW($D$4,$E$7,$E$8,$E$9,$E$10,$E$12,$D169,$E$6,AU$18,AU$17)</f>
        <v>1.6411749999999998</v>
      </c>
      <c r="AV169" s="16">
        <f ca="1">_xll.DBRW($D$4,$E$7,$E$8,$E$9,$E$10,$E$12,$D169,$E$6,AV$18,AV$17)</f>
        <v>1.6411749999999998</v>
      </c>
      <c r="AW169" s="16">
        <f ca="1">_xll.DBRW($D$4,$E$7,$E$8,$E$9,$E$10,$E$12,$D169,$E$6,AW$18,AW$17)</f>
        <v>1.6411749999999998</v>
      </c>
      <c r="AX169" s="16">
        <f ca="1">_xll.DBRW($D$4,$E$7,$E$8,$E$9,$E$10,$E$12,$D169,$E$6,AX$18,AX$17)</f>
        <v>0.56733500000000003</v>
      </c>
      <c r="AY169" s="16">
        <f ca="1">_xll.DBRW($D$4,$E$7,$E$8,$E$9,$E$10,$E$12,$D169,$E$6,AY$18,AY$17)</f>
        <v>1.6411749999999998</v>
      </c>
      <c r="AZ169" s="16">
        <f ca="1">_xll.DBRW($D$4,$E$7,$E$8,$E$9,$E$10,$E$12,$D169,$E$6,AZ$18,AZ$17)</f>
        <v>1.4610230000000002</v>
      </c>
      <c r="BA169" s="16">
        <f ca="1">_xll.DBRW($D$4,$E$7,$E$8,$E$9,$E$10,$E$12,$D169,$E$6,BA$18,BA$17)</f>
        <v>1.6411749999999998</v>
      </c>
      <c r="BB169" s="16">
        <f ca="1">_xll.DBRW($D$4,$E$7,$E$8,$E$9,$E$10,$E$12,$D169,$E$6,BB$18,BB$17)</f>
        <v>1.6411749999999998</v>
      </c>
      <c r="BC169" s="16">
        <f ca="1">_xll.DBRW($D$4,$E$7,$E$8,$E$9,$E$10,$E$12,$D169,$E$6,BC$18,BC$17)</f>
        <v>1.6411749999999998</v>
      </c>
      <c r="BD169" s="16">
        <f ca="1">_xll.DBRW($D$4,$E$7,$E$8,$E$9,$E$10,$E$12,$D169,$E$6,BD$18,BD$17)</f>
        <v>0.50805348910354375</v>
      </c>
      <c r="BE169" s="16">
        <f ca="1">_xll.DBRW($D$4,$E$7,$E$8,$E$9,$E$10,$E$12,$D169,$E$6,BE$18,BE$17)</f>
        <v>-1.1956732579471709</v>
      </c>
      <c r="BF169" s="16">
        <f ca="1">_xll.DBRW($D$4,$E$7,$E$8,$E$9,$E$10,$E$12,$D169,$E$6,BF$18,BF$17)</f>
        <v>0</v>
      </c>
      <c r="BG169" s="26">
        <f ca="1">_xll.DBRW($D$4,$E$7,$E$8,$E$9,$E$10,$E$12,$D169,$E$6,BG$18,BG$17)</f>
        <v>0</v>
      </c>
      <c r="BH169" s="26">
        <f ca="1">_xll.DBRW($D$4,$E$7,$E$8,$E$9,$E$10,$E$12,$D169,$E$6,BH$18,BH$17)</f>
        <v>0</v>
      </c>
      <c r="BI169" s="26">
        <f ca="1">_xll.DBRW($D$4,$E$7,$E$8,$E$9,$E$10,$E$12,$D169,$E$6,BI$18,BI$17)</f>
        <v>0</v>
      </c>
      <c r="BJ169" s="26">
        <f ca="1">_xll.DBRW($D$4,$E$7,$E$8,$E$9,$E$10,$E$12,$D169,$E$6,BJ$18,BJ$17)</f>
        <v>0</v>
      </c>
      <c r="BK169" s="16">
        <f ca="1">_xll.DBRW($D$4,$E$7,$E$8,$E$9,$E$10,$E$12,$D169,$E$6,BK$18,BK$17)</f>
        <v>1.7037267470507145</v>
      </c>
      <c r="BL169" s="16">
        <f ca="1">_xll.DBRW($D$4,$E$7,$E$8,$E$9,$E$10,$E$12,$D169,$E$6,BL$18,BL$17)</f>
        <v>10.409185876821081</v>
      </c>
      <c r="BM169" s="16">
        <f ca="1">_xll.DBRW($D$4,$E$7,$E$8,$E$9,$E$10,$E$12,$D169,$E$6,BM$18,BM$17)</f>
        <v>-3.6336537489724452</v>
      </c>
      <c r="BN169" s="16">
        <f ca="1">_xll.DBRW($D$4,$E$7,$E$8,$E$9,$E$10,$E$12,$D169,$E$6,BN$18,BN$17)</f>
        <v>0.3490814547815671</v>
      </c>
      <c r="BO169" s="16"/>
      <c r="BP169" s="16"/>
      <c r="BQ169" s="16"/>
      <c r="BR169" s="16"/>
      <c r="BS169" s="16">
        <f ca="1">_xll.DBRW($D$4,$E$7,$E$8,$E$9,$E$10,$E$12,$D169,$E$6,BS$18,BS$17)</f>
        <v>-0.8774446590047702</v>
      </c>
      <c r="BT169" s="16">
        <f ca="1">_xll.DBRW($D$4,$E$7,$E$8,$E$9,$E$10,$E$12,$D169,$E$6,BT$18,BT$17)</f>
        <v>8.4295224370874416E-2</v>
      </c>
      <c r="BU169" s="16"/>
      <c r="BV169" s="16"/>
      <c r="BW169" s="16"/>
      <c r="BX169" s="16"/>
      <c r="BY169" s="16">
        <f ca="1">_xll.DBRW($D$4,$E$7,$E$8,$E$9,$E$10,$E$12,$D169,$E$6,BY$18,BY$17)</f>
        <v>-0.51587026016705706</v>
      </c>
      <c r="BZ169" s="16">
        <f ca="1">_xll.DBRW($D$4,$E$7,$E$8,$E$9,$E$10,$E$12,$D169,$E$6,BZ$18,BZ$17)</f>
        <v>4.9559136158360308E-2</v>
      </c>
      <c r="CA169" s="16"/>
      <c r="CB169" s="16"/>
      <c r="CC169" s="16"/>
      <c r="CD169" s="16"/>
      <c r="CE169" s="16">
        <f ca="1">_xll.DBRW($D$4,$E$7,$E$8,$E$9,$E$10,$E$12,$D169,$E$6,CE$18,CE$17)</f>
        <v>-0.76900237000000016</v>
      </c>
      <c r="CF169" s="16">
        <f ca="1">_xll.DBRW($D$4,$E$7,$E$8,$E$9,$E$10,$E$12,$D169,$E$6,CF$18,CF$17)</f>
        <v>7.387728292107798E-2</v>
      </c>
      <c r="CG169" s="16"/>
      <c r="CH169" s="16"/>
      <c r="CI169" s="16"/>
      <c r="CJ169" s="16"/>
      <c r="CK169" s="16">
        <f ca="1">_xll.DBRW($D$4,$E$7,$E$8,$E$9,$E$10,$E$12,$D169,$E$6,CK$18,CK$17)</f>
        <v>-2.9094880916260939</v>
      </c>
      <c r="CL169" s="16">
        <f ca="1">_xll.DBRW($D$4,$E$7,$E$8,$E$9,$E$10,$E$12,$D169,$E$6,CL$18,CL$17)</f>
        <v>0.27951158967243256</v>
      </c>
      <c r="CM169" s="16"/>
      <c r="CN169" s="16"/>
      <c r="CO169" s="16"/>
      <c r="CP169" s="16"/>
      <c r="CQ169" s="16">
        <f ca="1">_xll.DBRW($D$4,$E$7,$E$8,$E$9,$E$10,$E$12,$D169,$E$6,CQ$18,CQ$17)</f>
        <v>0.11927521172099999</v>
      </c>
      <c r="CR169" s="16">
        <f ca="1">_xll.DBRW($D$4,$E$7,$E$8,$E$9,$E$10,$E$12,$D169,$E$6,CR$18,CR$17)</f>
        <v>1.8359874486674301</v>
      </c>
      <c r="CS169" s="16">
        <f ca="1">_xll.DBRW($D$4,$E$7,$E$8,$E$9,$E$10,$E$12,$D169,$E$6,CS$18,CS$17)</f>
        <v>1.8359874486674301</v>
      </c>
      <c r="CT169" s="16">
        <f ca="1">_xll.DBRW($D$4,$E$7,$E$8,$E$9,$E$10,$E$12,$D169,$E$6,CT$18,CT$17)</f>
        <v>1.8359874486674301</v>
      </c>
      <c r="CU169" s="16">
        <f ca="1">_xll.DBRW($D$4,$E$7,$E$8,$E$9,$E$10,$E$12,$D169,$E$6,CU$18,CU$17)</f>
        <v>0.61690601507919995</v>
      </c>
      <c r="CV169" s="16">
        <f ca="1">_xll.DBRW($D$4,$E$7,$E$8,$E$9,$E$10,$E$12,$D169,$E$6,CV$18,CV$17)</f>
        <v>1.8359874486674301</v>
      </c>
      <c r="CW169" s="16">
        <f ca="1">_xll.DBRW($D$4,$E$7,$E$8,$E$9,$E$10,$E$12,$D169,$E$6,CW$18,CW$17)</f>
        <v>1.716</v>
      </c>
      <c r="CX169" s="16">
        <f ca="1">_xll.DBRW($D$4,$E$7,$E$8,$E$9,$E$10,$E$12,$D169,$E$6,CX$18,CX$17)</f>
        <v>1.8359874486674301</v>
      </c>
      <c r="CY169" s="16">
        <f ca="1">_xll.DBRW($D$4,$E$7,$E$8,$E$9,$E$10,$E$12,$D169,$E$6,CY$18,CY$17)</f>
        <v>1.8359874486674301</v>
      </c>
      <c r="CZ169" s="16">
        <f ca="1">_xll.DBRW($D$4,$E$7,$E$8,$E$9,$E$10,$E$12,$D169,$E$6,CZ$18,CZ$17)</f>
        <v>1.8359874486674301</v>
      </c>
      <c r="DA169" s="26">
        <f t="shared" ca="1" si="127"/>
        <v>0.27046371089645327</v>
      </c>
      <c r="DB169" s="26">
        <f t="shared" ca="1" si="128"/>
        <v>0.1301829679471711</v>
      </c>
      <c r="DC169" s="26">
        <f t="shared" ca="1" si="129"/>
        <v>0</v>
      </c>
      <c r="DD169" s="26">
        <f t="shared" ca="1" si="130"/>
        <v>0</v>
      </c>
      <c r="DE169" s="26">
        <f t="shared" ca="1" si="131"/>
        <v>0</v>
      </c>
      <c r="DF169" s="26">
        <f t="shared" ca="1" si="132"/>
        <v>0</v>
      </c>
      <c r="DG169" s="26">
        <f t="shared" ca="1" si="133"/>
        <v>0</v>
      </c>
      <c r="DH169" s="26">
        <f t="shared" ca="1" si="134"/>
        <v>0.14028074294928228</v>
      </c>
      <c r="DI169" s="26">
        <f t="shared" ca="1" si="135"/>
        <v>-0.46780196682108333</v>
      </c>
      <c r="DJ169" s="26">
        <f t="shared" ca="1" si="136"/>
        <v>0.26584458897244501</v>
      </c>
      <c r="DK169" s="26">
        <f t="shared" ca="1" si="137"/>
        <v>-1.0314821233461724E-2</v>
      </c>
      <c r="DL169" s="26"/>
      <c r="DM169" s="26"/>
      <c r="DN169" s="26"/>
      <c r="DO169" s="26"/>
      <c r="DP169" s="26">
        <f t="shared" ca="1" si="138"/>
        <v>0.10409756900477019</v>
      </c>
      <c r="DQ169" s="26">
        <f t="shared" ca="1" si="139"/>
        <v>-6.5045367763541667E-3</v>
      </c>
      <c r="DR169" s="26"/>
      <c r="DS169" s="26"/>
      <c r="DT169" s="26"/>
      <c r="DU169" s="26"/>
      <c r="DV169" s="26">
        <f t="shared" ca="1" si="140"/>
        <v>-6.8275698329427481E-3</v>
      </c>
      <c r="DW169" s="26">
        <f t="shared" ca="1" si="141"/>
        <v>3.0188383703388805E-3</v>
      </c>
      <c r="DX169" s="26"/>
      <c r="DY169" s="26"/>
      <c r="DZ169" s="26"/>
      <c r="EA169" s="26"/>
      <c r="EB169" s="26">
        <f t="shared" ca="1" si="142"/>
        <v>6.3899559999999966E-2</v>
      </c>
      <c r="EC169" s="26">
        <f t="shared" ca="1" si="143"/>
        <v>-2.9512613144945937E-3</v>
      </c>
      <c r="ED169" s="26"/>
      <c r="EE169" s="26"/>
      <c r="EF169" s="26"/>
      <c r="EG169" s="26"/>
      <c r="EH169" s="26">
        <f t="shared" ca="1" si="144"/>
        <v>0.1810685616260943</v>
      </c>
      <c r="EI169" s="29">
        <f t="shared" ca="1" si="145"/>
        <v>-5.0609141225733678E-3</v>
      </c>
      <c r="EJ169" s="29"/>
      <c r="EK169" s="29"/>
      <c r="EL169" s="29"/>
      <c r="EM169" s="29"/>
      <c r="EN169" s="93"/>
      <c r="EO169" s="29"/>
      <c r="EP169" s="29"/>
      <c r="EQ169" s="29"/>
      <c r="ER169" s="29"/>
      <c r="ES169" s="29"/>
      <c r="ET169" s="29"/>
      <c r="EU169" s="93"/>
      <c r="EV169" s="29"/>
      <c r="EW169" s="29"/>
      <c r="EX169" s="29"/>
      <c r="EY169" s="29"/>
      <c r="EZ169" s="29"/>
      <c r="FA169" s="29"/>
      <c r="FB169" s="93"/>
      <c r="FC169" s="29"/>
      <c r="FD169" s="29"/>
      <c r="FE169" s="29"/>
      <c r="FF169" s="29"/>
      <c r="FG169" s="29"/>
      <c r="FH169" s="29"/>
      <c r="FI169" s="93"/>
      <c r="FJ169" s="29"/>
      <c r="FK169" s="29"/>
      <c r="FL169" s="29"/>
      <c r="FM169" s="29"/>
      <c r="FN169" s="29"/>
      <c r="FO169" s="29"/>
      <c r="FP169" s="93"/>
      <c r="FQ169" s="29"/>
      <c r="FR169" s="29"/>
      <c r="FS169" s="29"/>
      <c r="FT169" s="29"/>
      <c r="FU169" s="29"/>
      <c r="FV169" s="29"/>
    </row>
    <row r="170" spans="1:178" x14ac:dyDescent="0.25">
      <c r="A170" t="str">
        <f ca="1">IF(_xll.TM1RPTELISCONSOLIDATED($D$28,$D170),IF(_xll.TM1RPTELLEV($D$28,$D170)&lt;=3,_xll.TM1RPTELLEV($D$28,$D170),"D"),"N")</f>
        <v>N</v>
      </c>
      <c r="B170" t="str">
        <f ca="1">_xll.DBRA(Server&amp;"Management_organization",$D170,$B$27)</f>
        <v>L</v>
      </c>
      <c r="C170">
        <v>1</v>
      </c>
      <c r="D170" s="2" t="s">
        <v>185</v>
      </c>
      <c r="E170" s="26"/>
      <c r="F170" s="26"/>
      <c r="G170" s="16">
        <f ca="1">_xll.DBRW($D$4,$E$7,$E$8,$E$9,$E$10,$E$12,$D170,$E$6,G$18,G$17)</f>
        <v>0.80048447</v>
      </c>
      <c r="H170" s="16">
        <f ca="1">_xll.DBRW($D$4,$E$7,$E$8,$E$9,$E$10,$E$12,$D170,$E$6,H$18,H$17)</f>
        <v>-0.70629997</v>
      </c>
      <c r="I170" s="16">
        <f ca="1">_xll.DBRW($D$4,$E$7,$E$8,$E$9,$E$10,$E$12,$D170,$E$6,I$18,I$17)</f>
        <v>0</v>
      </c>
      <c r="J170" s="26">
        <f ca="1">_xll.DBRW($D$4,$E$7,$E$8,$E$9,$E$10,$E$12,$D170,$E$6,J$18,J$17)</f>
        <v>-4.32E-5</v>
      </c>
      <c r="K170" s="26">
        <f ca="1">_xll.DBRW($D$4,$E$7,$E$8,$E$9,$E$10,$E$12,$D170,$E$6,K$18,K$17)</f>
        <v>0</v>
      </c>
      <c r="L170" s="26">
        <f ca="1">_xll.DBRW($D$4,$E$7,$E$8,$E$9,$E$10,$E$12,$D170,$E$6,L$18,L$17)</f>
        <v>0</v>
      </c>
      <c r="M170" s="26">
        <f ca="1">_xll.DBRW($D$4,$E$7,$E$8,$E$9,$E$10,$E$12,$D170,$E$6,M$18,M$17)</f>
        <v>0</v>
      </c>
      <c r="N170" s="16">
        <f ca="1">_xll.DBRW($D$4,$E$7,$E$8,$E$9,$E$10,$E$12,$D170,$E$6,N$18,N$17)</f>
        <v>1.50682764</v>
      </c>
      <c r="O170" s="16">
        <f ca="1">_xll.DBRW($D$4,$E$7,$E$8,$E$9,$E$10,$E$12,$D170,$E$6,O$18,O$17)</f>
        <v>8.4904921600000005</v>
      </c>
      <c r="P170" s="74">
        <f ca="1">_xll.DBRW($D$4,$E$7,$E$8,$E$9,$E$10,$E$12,$D170,$E$6,P$18,P$17)</f>
        <v>-3.4417912999999998</v>
      </c>
      <c r="Q170" s="16">
        <f ca="1">_xll.DBRW($D$4,$E$7,$E$8,$E$9,$E$10,$E$12,$D170,$E$6,Q$18,Q$17)</f>
        <v>0.40537005807682175</v>
      </c>
      <c r="R170" s="16"/>
      <c r="S170" s="16"/>
      <c r="T170" s="16"/>
      <c r="U170" s="16"/>
      <c r="V170" s="16">
        <f ca="1">_xll.DBRW($D$4,$E$7,$E$8,$E$9,$E$10,$E$12,$D170,$E$6,V$18,V$17)</f>
        <v>-0.79154835999999995</v>
      </c>
      <c r="W170" s="16">
        <f ca="1">_xll.DBRW($D$4,$E$7,$E$8,$E$9,$E$10,$E$12,$D170,$E$6,W$18,W$17)</f>
        <v>9.3227618032451012E-2</v>
      </c>
      <c r="X170" s="16"/>
      <c r="Y170" s="16"/>
      <c r="Z170" s="16"/>
      <c r="AA170" s="16"/>
      <c r="AB170" s="16">
        <f ca="1">_xll.DBRW($D$4,$E$7,$E$8,$E$9,$E$10,$E$12,$D170,$E$6,AB$18,AB$17)</f>
        <v>-0.91505585</v>
      </c>
      <c r="AC170" s="16">
        <f ca="1">_xll.DBRW($D$4,$E$7,$E$8,$E$9,$E$10,$E$12,$D170,$E$6,AC$18,AC$17)</f>
        <v>0.10777418231548075</v>
      </c>
      <c r="AD170" s="16"/>
      <c r="AE170" s="16"/>
      <c r="AF170" s="16"/>
      <c r="AG170" s="16"/>
      <c r="AH170" s="16">
        <f ca="1">_xll.DBRW($D$4,$E$7,$E$8,$E$9,$E$10,$E$12,$D170,$E$6,AH$18,AH$17)</f>
        <v>-0.97541636000000009</v>
      </c>
      <c r="AI170" s="16">
        <f ca="1">_xll.DBRW($D$4,$E$7,$E$8,$E$9,$E$10,$E$12,$D170,$E$6,AI$18,AI$17)</f>
        <v>0.1148833709069699</v>
      </c>
      <c r="AJ170" s="16"/>
      <c r="AK170" s="16"/>
      <c r="AL170" s="16"/>
      <c r="AM170" s="16"/>
      <c r="AN170" s="16">
        <f ca="1">_xll.DBRW($D$4,$E$7,$E$8,$E$9,$E$10,$E$12,$D170,$E$6,AN$18,AN$17)</f>
        <v>-0.85985265</v>
      </c>
      <c r="AO170" s="16">
        <f ca="1">_xll.DBRW($D$4,$E$7,$E$8,$E$9,$E$10,$E$12,$D170,$E$6,AO$18,AO$17)</f>
        <v>0.10127241552037426</v>
      </c>
      <c r="AP170" s="16"/>
      <c r="AQ170" s="16"/>
      <c r="AR170" s="16"/>
      <c r="AS170" s="16"/>
      <c r="AT170" s="16">
        <f ca="1">_xll.DBRW($D$4,$E$7,$E$8,$E$9,$E$10,$E$12,$D170,$E$6,AT$18,AT$17)</f>
        <v>0.10405702999999997</v>
      </c>
      <c r="AU170" s="16">
        <f ca="1">_xll.DBRW($D$4,$E$7,$E$8,$E$9,$E$10,$E$12,$D170,$E$6,AU$18,AU$17)</f>
        <v>2.8194412</v>
      </c>
      <c r="AV170" s="16">
        <f ca="1">_xll.DBRW($D$4,$E$7,$E$8,$E$9,$E$10,$E$12,$D170,$E$6,AV$18,AV$17)</f>
        <v>2.8194412</v>
      </c>
      <c r="AW170" s="16">
        <f ca="1">_xll.DBRW($D$4,$E$7,$E$8,$E$9,$E$10,$E$12,$D170,$E$6,AW$18,AW$17)</f>
        <v>2.8194412</v>
      </c>
      <c r="AX170" s="16">
        <f ca="1">_xll.DBRW($D$4,$E$7,$E$8,$E$9,$E$10,$E$12,$D170,$E$6,AX$18,AX$17)</f>
        <v>0.9239832483363889</v>
      </c>
      <c r="AY170" s="16">
        <f ca="1">_xll.DBRW($D$4,$E$7,$E$8,$E$9,$E$10,$E$12,$D170,$E$6,AY$18,AY$17)</f>
        <v>2.8194412</v>
      </c>
      <c r="AZ170" s="16">
        <f ca="1">_xll.DBRW($D$4,$E$7,$E$8,$E$9,$E$10,$E$12,$D170,$E$6,AZ$18,AZ$17)</f>
        <v>1.2281529999999998</v>
      </c>
      <c r="BA170" s="16">
        <f ca="1">_xll.DBRW($D$4,$E$7,$E$8,$E$9,$E$10,$E$12,$D170,$E$6,BA$18,BA$17)</f>
        <v>2.8194412</v>
      </c>
      <c r="BB170" s="16">
        <f ca="1">_xll.DBRW($D$4,$E$7,$E$8,$E$9,$E$10,$E$12,$D170,$E$6,BB$18,BB$17)</f>
        <v>2.8194412</v>
      </c>
      <c r="BC170" s="16">
        <f ca="1">_xll.DBRW($D$4,$E$7,$E$8,$E$9,$E$10,$E$12,$D170,$E$6,BC$18,BC$17)</f>
        <v>2.8194412</v>
      </c>
      <c r="BD170" s="16">
        <f ca="1">_xll.DBRW($D$4,$E$7,$E$8,$E$9,$E$10,$E$12,$D170,$E$6,BD$18,BD$17)</f>
        <v>0.90309817534262171</v>
      </c>
      <c r="BE170" s="16">
        <f ca="1">_xll.DBRW($D$4,$E$7,$E$8,$E$9,$E$10,$E$12,$D170,$E$6,BE$18,BE$17)</f>
        <v>-0.75526431899243707</v>
      </c>
      <c r="BF170" s="16">
        <f ca="1">_xll.DBRW($D$4,$E$7,$E$8,$E$9,$E$10,$E$12,$D170,$E$6,BF$18,BF$17)</f>
        <v>0</v>
      </c>
      <c r="BG170" s="26">
        <f ca="1">_xll.DBRW($D$4,$E$7,$E$8,$E$9,$E$10,$E$12,$D170,$E$6,BG$18,BG$17)</f>
        <v>0</v>
      </c>
      <c r="BH170" s="26">
        <f ca="1">_xll.DBRW($D$4,$E$7,$E$8,$E$9,$E$10,$E$12,$D170,$E$6,BH$18,BH$17)</f>
        <v>0</v>
      </c>
      <c r="BI170" s="26">
        <f ca="1">_xll.DBRW($D$4,$E$7,$E$8,$E$9,$E$10,$E$12,$D170,$E$6,BI$18,BI$17)</f>
        <v>0</v>
      </c>
      <c r="BJ170" s="26">
        <f ca="1">_xll.DBRW($D$4,$E$7,$E$8,$E$9,$E$10,$E$12,$D170,$E$6,BJ$18,BJ$17)</f>
        <v>0</v>
      </c>
      <c r="BK170" s="16">
        <f ca="1">_xll.DBRW($D$4,$E$7,$E$8,$E$9,$E$10,$E$12,$D170,$E$6,BK$18,BK$17)</f>
        <v>1.6583624943350586</v>
      </c>
      <c r="BL170" s="16">
        <f ca="1">_xll.DBRW($D$4,$E$7,$E$8,$E$9,$E$10,$E$12,$D170,$E$6,BL$18,BL$17)</f>
        <v>9.4055520158774151</v>
      </c>
      <c r="BM170" s="16">
        <f ca="1">_xll.DBRW($D$4,$E$7,$E$8,$E$9,$E$10,$E$12,$D170,$E$6,BM$18,BM$17)</f>
        <v>-3.6210223841008893</v>
      </c>
      <c r="BN170" s="16">
        <f ca="1">_xll.DBRW($D$4,$E$7,$E$8,$E$9,$E$10,$E$12,$D170,$E$6,BN$18,BN$17)</f>
        <v>0.38498775808036345</v>
      </c>
      <c r="BO170" s="16"/>
      <c r="BP170" s="16"/>
      <c r="BQ170" s="16"/>
      <c r="BR170" s="16"/>
      <c r="BS170" s="16">
        <f ca="1">_xll.DBRW($D$4,$E$7,$E$8,$E$9,$E$10,$E$12,$D170,$E$6,BS$18,BS$17)</f>
        <v>-0.91828987747946411</v>
      </c>
      <c r="BT170" s="16">
        <f ca="1">_xll.DBRW($D$4,$E$7,$E$8,$E$9,$E$10,$E$12,$D170,$E$6,BT$18,BT$17)</f>
        <v>9.7632746693581463E-2</v>
      </c>
      <c r="BU170" s="16"/>
      <c r="BV170" s="16"/>
      <c r="BW170" s="16"/>
      <c r="BX170" s="16"/>
      <c r="BY170" s="16">
        <f ca="1">_xll.DBRW($D$4,$E$7,$E$8,$E$9,$E$10,$E$12,$D170,$E$6,BY$18,BY$17)</f>
        <v>-0.89738324040985307</v>
      </c>
      <c r="BZ170" s="16">
        <f ca="1">_xll.DBRW($D$4,$E$7,$E$8,$E$9,$E$10,$E$12,$D170,$E$6,BZ$18,BZ$17)</f>
        <v>9.5409949240086042E-2</v>
      </c>
      <c r="CA170" s="16"/>
      <c r="CB170" s="16"/>
      <c r="CC170" s="16"/>
      <c r="CD170" s="16"/>
      <c r="CE170" s="16">
        <f ca="1">_xll.DBRW($D$4,$E$7,$E$8,$E$9,$E$10,$E$12,$D170,$E$6,CE$18,CE$17)</f>
        <v>-1.1791668002922373</v>
      </c>
      <c r="CF170" s="16">
        <f ca="1">_xll.DBRW($D$4,$E$7,$E$8,$E$9,$E$10,$E$12,$D170,$E$6,CF$18,CF$17)</f>
        <v>0.12536922854731949</v>
      </c>
      <c r="CG170" s="16"/>
      <c r="CH170" s="16"/>
      <c r="CI170" s="16"/>
      <c r="CJ170" s="16"/>
      <c r="CK170" s="16">
        <f ca="1">_xll.DBRW($D$4,$E$7,$E$8,$E$9,$E$10,$E$12,$D170,$E$6,CK$18,CK$17)</f>
        <v>-1.1313272192599153</v>
      </c>
      <c r="CL170" s="16">
        <f ca="1">_xll.DBRW($D$4,$E$7,$E$8,$E$9,$E$10,$E$12,$D170,$E$6,CL$18,CL$17)</f>
        <v>0.12028291559603663</v>
      </c>
      <c r="CM170" s="16"/>
      <c r="CN170" s="16"/>
      <c r="CO170" s="16"/>
      <c r="CP170" s="16"/>
      <c r="CQ170" s="16">
        <f ca="1">_xll.DBRW($D$4,$E$7,$E$8,$E$9,$E$10,$E$12,$D170,$E$6,CQ$18,CQ$17)</f>
        <v>0.13771773449999999</v>
      </c>
      <c r="CR170" s="16">
        <f ca="1">_xll.DBRW($D$4,$E$7,$E$8,$E$9,$E$10,$E$12,$D170,$E$6,CR$18,CR$17)</f>
        <v>3.3111180057818896</v>
      </c>
      <c r="CS170" s="16">
        <f ca="1">_xll.DBRW($D$4,$E$7,$E$8,$E$9,$E$10,$E$12,$D170,$E$6,CS$18,CS$17)</f>
        <v>3.3111180057818896</v>
      </c>
      <c r="CT170" s="16">
        <f ca="1">_xll.DBRW($D$4,$E$7,$E$8,$E$9,$E$10,$E$12,$D170,$E$6,CT$18,CT$17)</f>
        <v>3.3111180057818896</v>
      </c>
      <c r="CU170" s="16">
        <f ca="1">_xll.DBRW($D$4,$E$7,$E$8,$E$9,$E$10,$E$12,$D170,$E$6,CU$18,CU$17)</f>
        <v>1.0468692984329899</v>
      </c>
      <c r="CV170" s="16">
        <f ca="1">_xll.DBRW($D$4,$E$7,$E$8,$E$9,$E$10,$E$12,$D170,$E$6,CV$18,CV$17)</f>
        <v>3.3111180057818896</v>
      </c>
      <c r="CW170" s="16">
        <f ca="1">_xll.DBRW($D$4,$E$7,$E$8,$E$9,$E$10,$E$12,$D170,$E$6,CW$18,CW$17)</f>
        <v>1.5185538999999999</v>
      </c>
      <c r="CX170" s="16">
        <f ca="1">_xll.DBRW($D$4,$E$7,$E$8,$E$9,$E$10,$E$12,$D170,$E$6,CX$18,CX$17)</f>
        <v>3.3111180057818896</v>
      </c>
      <c r="CY170" s="16">
        <f ca="1">_xll.DBRW($D$4,$E$7,$E$8,$E$9,$E$10,$E$12,$D170,$E$6,CY$18,CY$17)</f>
        <v>3.3111180057818896</v>
      </c>
      <c r="CZ170" s="16">
        <f ca="1">_xll.DBRW($D$4,$E$7,$E$8,$E$9,$E$10,$E$12,$D170,$E$6,CZ$18,CZ$17)</f>
        <v>3.3111180057818896</v>
      </c>
      <c r="DA170" s="26">
        <f t="shared" ca="1" si="127"/>
        <v>-0.10261370534262171</v>
      </c>
      <c r="DB170" s="26">
        <f t="shared" ca="1" si="128"/>
        <v>4.8964348992437068E-2</v>
      </c>
      <c r="DC170" s="26">
        <f t="shared" ca="1" si="129"/>
        <v>0</v>
      </c>
      <c r="DD170" s="26">
        <f t="shared" ca="1" si="130"/>
        <v>-4.32E-5</v>
      </c>
      <c r="DE170" s="26">
        <f t="shared" ca="1" si="131"/>
        <v>0</v>
      </c>
      <c r="DF170" s="26">
        <f t="shared" ca="1" si="132"/>
        <v>0</v>
      </c>
      <c r="DG170" s="26">
        <f t="shared" ca="1" si="133"/>
        <v>0</v>
      </c>
      <c r="DH170" s="26">
        <f t="shared" ca="1" si="134"/>
        <v>-0.15153485433505853</v>
      </c>
      <c r="DI170" s="26">
        <f t="shared" ca="1" si="135"/>
        <v>-0.91505985587741456</v>
      </c>
      <c r="DJ170" s="26">
        <f t="shared" ca="1" si="136"/>
        <v>0.1792310841008895</v>
      </c>
      <c r="DK170" s="26">
        <f t="shared" ca="1" si="137"/>
        <v>2.0382299996458297E-2</v>
      </c>
      <c r="DL170" s="26"/>
      <c r="DM170" s="26"/>
      <c r="DN170" s="26"/>
      <c r="DO170" s="26"/>
      <c r="DP170" s="26">
        <f t="shared" ca="1" si="138"/>
        <v>0.12674151747946416</v>
      </c>
      <c r="DQ170" s="26">
        <f t="shared" ca="1" si="139"/>
        <v>-4.4051286611304502E-3</v>
      </c>
      <c r="DR170" s="26"/>
      <c r="DS170" s="26"/>
      <c r="DT170" s="26"/>
      <c r="DU170" s="26"/>
      <c r="DV170" s="26">
        <f t="shared" ca="1" si="140"/>
        <v>-1.7672609590146937E-2</v>
      </c>
      <c r="DW170" s="26">
        <f t="shared" ca="1" si="141"/>
        <v>1.2364233075394707E-2</v>
      </c>
      <c r="DX170" s="26"/>
      <c r="DY170" s="26"/>
      <c r="DZ170" s="26"/>
      <c r="EA170" s="26"/>
      <c r="EB170" s="26">
        <f t="shared" ca="1" si="142"/>
        <v>0.20375044029223721</v>
      </c>
      <c r="EC170" s="26">
        <f t="shared" ca="1" si="143"/>
        <v>-1.0485857640349594E-2</v>
      </c>
      <c r="ED170" s="26"/>
      <c r="EE170" s="26"/>
      <c r="EF170" s="26"/>
      <c r="EG170" s="26"/>
      <c r="EH170" s="26">
        <f t="shared" ca="1" si="144"/>
        <v>0.27147456925991531</v>
      </c>
      <c r="EI170" s="29">
        <f t="shared" ca="1" si="145"/>
        <v>-1.9010500075662365E-2</v>
      </c>
      <c r="EJ170" s="29"/>
      <c r="EK170" s="29"/>
      <c r="EL170" s="29"/>
      <c r="EM170" s="29"/>
      <c r="EN170" s="93"/>
      <c r="EO170" s="29"/>
      <c r="EP170" s="29"/>
      <c r="EQ170" s="29"/>
      <c r="ER170" s="29"/>
      <c r="ES170" s="29"/>
      <c r="ET170" s="29"/>
      <c r="EU170" s="93"/>
      <c r="EV170" s="29"/>
      <c r="EW170" s="29"/>
      <c r="EX170" s="29"/>
      <c r="EY170" s="29"/>
      <c r="EZ170" s="29"/>
      <c r="FA170" s="29"/>
      <c r="FB170" s="93"/>
      <c r="FC170" s="29"/>
      <c r="FD170" s="29"/>
      <c r="FE170" s="29"/>
      <c r="FF170" s="29"/>
      <c r="FG170" s="29"/>
      <c r="FH170" s="29"/>
      <c r="FI170" s="93"/>
      <c r="FJ170" s="29"/>
      <c r="FK170" s="29"/>
      <c r="FL170" s="29"/>
      <c r="FM170" s="29"/>
      <c r="FN170" s="29"/>
      <c r="FO170" s="29"/>
      <c r="FP170" s="93"/>
      <c r="FQ170" s="29"/>
      <c r="FR170" s="29"/>
      <c r="FS170" s="29"/>
      <c r="FT170" s="29"/>
      <c r="FU170" s="29"/>
      <c r="FV170" s="29"/>
    </row>
    <row r="171" spans="1:178" x14ac:dyDescent="0.25">
      <c r="A171" t="str">
        <f ca="1">IF(_xll.TM1RPTELISCONSOLIDATED($D$28,$D171),IF(_xll.TM1RPTELLEV($D$28,$D171)&lt;=3,_xll.TM1RPTELLEV($D$28,$D171),"D"),"N")</f>
        <v>N</v>
      </c>
      <c r="B171" t="str">
        <f ca="1">_xll.DBRA(Server&amp;"Management_organization",$D171,$B$27)</f>
        <v>L</v>
      </c>
      <c r="C171">
        <v>1</v>
      </c>
      <c r="D171" s="2" t="s">
        <v>186</v>
      </c>
      <c r="E171" s="26"/>
      <c r="F171" s="26"/>
      <c r="G171" s="16">
        <f ca="1">_xll.DBRW($D$4,$E$7,$E$8,$E$9,$E$10,$E$12,$D171,$E$6,G$18,G$17)</f>
        <v>-0.40086486999999937</v>
      </c>
      <c r="H171" s="16">
        <f ca="1">_xll.DBRW($D$4,$E$7,$E$8,$E$9,$E$10,$E$12,$D171,$E$6,H$18,H$17)</f>
        <v>-0.34264183000000004</v>
      </c>
      <c r="I171" s="16">
        <f ca="1">_xll.DBRW($D$4,$E$7,$E$8,$E$9,$E$10,$E$12,$D171,$E$6,I$18,I$17)</f>
        <v>0</v>
      </c>
      <c r="J171" s="26">
        <f ca="1">_xll.DBRW($D$4,$E$7,$E$8,$E$9,$E$10,$E$12,$D171,$E$6,J$18,J$17)</f>
        <v>0</v>
      </c>
      <c r="K171" s="26">
        <f ca="1">_xll.DBRW($D$4,$E$7,$E$8,$E$9,$E$10,$E$12,$D171,$E$6,K$18,K$17)</f>
        <v>0</v>
      </c>
      <c r="L171" s="26">
        <f ca="1">_xll.DBRW($D$4,$E$7,$E$8,$E$9,$E$10,$E$12,$D171,$E$6,L$18,L$17)</f>
        <v>0</v>
      </c>
      <c r="M171" s="26">
        <f ca="1">_xll.DBRW($D$4,$E$7,$E$8,$E$9,$E$10,$E$12,$D171,$E$6,M$18,M$17)</f>
        <v>0</v>
      </c>
      <c r="N171" s="16">
        <f ca="1">_xll.DBRW($D$4,$E$7,$E$8,$E$9,$E$10,$E$12,$D171,$E$6,N$18,N$17)</f>
        <v>-5.8223039999999435E-2</v>
      </c>
      <c r="O171" s="16">
        <f ca="1">_xll.DBRW($D$4,$E$7,$E$8,$E$9,$E$10,$E$12,$D171,$E$6,O$18,O$17)</f>
        <v>2.8357181100000002</v>
      </c>
      <c r="P171" s="74">
        <f ca="1">_xll.DBRW($D$4,$E$7,$E$8,$E$9,$E$10,$E$12,$D171,$E$6,P$18,P$17)</f>
        <v>-1.2006372599999999</v>
      </c>
      <c r="Q171" s="16">
        <f ca="1">_xll.DBRW($D$4,$E$7,$E$8,$E$9,$E$10,$E$12,$D171,$E$6,Q$18,Q$17)</f>
        <v>0.4233979589741379</v>
      </c>
      <c r="R171" s="16"/>
      <c r="S171" s="16"/>
      <c r="T171" s="16"/>
      <c r="U171" s="16"/>
      <c r="V171" s="16">
        <f ca="1">_xll.DBRW($D$4,$E$7,$E$8,$E$9,$E$10,$E$12,$D171,$E$6,V$18,V$17)</f>
        <v>-0.31845831999999996</v>
      </c>
      <c r="W171" s="16">
        <f ca="1">_xll.DBRW($D$4,$E$7,$E$8,$E$9,$E$10,$E$12,$D171,$E$6,W$18,W$17)</f>
        <v>0.11230253066303546</v>
      </c>
      <c r="X171" s="16"/>
      <c r="Y171" s="16"/>
      <c r="Z171" s="16"/>
      <c r="AA171" s="16"/>
      <c r="AB171" s="16">
        <f ca="1">_xll.DBRW($D$4,$E$7,$E$8,$E$9,$E$10,$E$12,$D171,$E$6,AB$18,AB$17)</f>
        <v>-0.25171738999999999</v>
      </c>
      <c r="AC171" s="16">
        <f ca="1">_xll.DBRW($D$4,$E$7,$E$8,$E$9,$E$10,$E$12,$D171,$E$6,AC$18,AC$17)</f>
        <v>8.8766718071282474E-2</v>
      </c>
      <c r="AD171" s="16"/>
      <c r="AE171" s="16"/>
      <c r="AF171" s="16"/>
      <c r="AG171" s="16"/>
      <c r="AH171" s="16">
        <f ca="1">_xll.DBRW($D$4,$E$7,$E$8,$E$9,$E$10,$E$12,$D171,$E$6,AH$18,AH$17)</f>
        <v>-0.4697963</v>
      </c>
      <c r="AI171" s="16">
        <f ca="1">_xll.DBRW($D$4,$E$7,$E$8,$E$9,$E$10,$E$12,$D171,$E$6,AI$18,AI$17)</f>
        <v>0.16567101586835795</v>
      </c>
      <c r="AJ171" s="16"/>
      <c r="AK171" s="16"/>
      <c r="AL171" s="16"/>
      <c r="AM171" s="16"/>
      <c r="AN171" s="16">
        <f ca="1">_xll.DBRW($D$4,$E$7,$E$8,$E$9,$E$10,$E$12,$D171,$E$6,AN$18,AN$17)</f>
        <v>-0.65333188000000009</v>
      </c>
      <c r="AO171" s="16">
        <f ca="1">_xll.DBRW($D$4,$E$7,$E$8,$E$9,$E$10,$E$12,$D171,$E$6,AO$18,AO$17)</f>
        <v>0.23039380314145544</v>
      </c>
      <c r="AP171" s="16"/>
      <c r="AQ171" s="16"/>
      <c r="AR171" s="16"/>
      <c r="AS171" s="16"/>
      <c r="AT171" s="16">
        <f ca="1">_xll.DBRW($D$4,$E$7,$E$8,$E$9,$E$10,$E$12,$D171,$E$6,AT$18,AT$17)</f>
        <v>5.1344300000000002E-2</v>
      </c>
      <c r="AU171" s="16">
        <f ca="1">_xll.DBRW($D$4,$E$7,$E$8,$E$9,$E$10,$E$12,$D171,$E$6,AU$18,AU$17)</f>
        <v>0.79496299999999998</v>
      </c>
      <c r="AV171" s="16">
        <f ca="1">_xll.DBRW($D$4,$E$7,$E$8,$E$9,$E$10,$E$12,$D171,$E$6,AV$18,AV$17)</f>
        <v>0.79496299999999998</v>
      </c>
      <c r="AW171" s="16">
        <f ca="1">_xll.DBRW($D$4,$E$7,$E$8,$E$9,$E$10,$E$12,$D171,$E$6,AW$18,AW$17)</f>
        <v>0.79496299999999998</v>
      </c>
      <c r="AX171" s="16">
        <f ca="1">_xll.DBRW($D$4,$E$7,$E$8,$E$9,$E$10,$E$12,$D171,$E$6,AX$18,AX$17)</f>
        <v>0.26802199999999998</v>
      </c>
      <c r="AY171" s="16">
        <f ca="1">_xll.DBRW($D$4,$E$7,$E$8,$E$9,$E$10,$E$12,$D171,$E$6,AY$18,AY$17)</f>
        <v>0.79496299999999998</v>
      </c>
      <c r="AZ171" s="16">
        <f ca="1">_xll.DBRW($D$4,$E$7,$E$8,$E$9,$E$10,$E$12,$D171,$E$6,AZ$18,AZ$17)</f>
        <v>0.62796299999999994</v>
      </c>
      <c r="BA171" s="16">
        <f ca="1">_xll.DBRW($D$4,$E$7,$E$8,$E$9,$E$10,$E$12,$D171,$E$6,BA$18,BA$17)</f>
        <v>0.79496299999999998</v>
      </c>
      <c r="BB171" s="16">
        <f ca="1">_xll.DBRW($D$4,$E$7,$E$8,$E$9,$E$10,$E$12,$D171,$E$6,BB$18,BB$17)</f>
        <v>0.79496299999999998</v>
      </c>
      <c r="BC171" s="16">
        <f ca="1">_xll.DBRW($D$4,$E$7,$E$8,$E$9,$E$10,$E$12,$D171,$E$6,BC$18,BC$17)</f>
        <v>0.79496299999999998</v>
      </c>
      <c r="BD171" s="16">
        <f ca="1">_xll.DBRW($D$4,$E$7,$E$8,$E$9,$E$10,$E$12,$D171,$E$6,BD$18,BD$17)</f>
        <v>-0.31836859407649365</v>
      </c>
      <c r="BE171" s="16">
        <f ca="1">_xll.DBRW($D$4,$E$7,$E$8,$E$9,$E$10,$E$12,$D171,$E$6,BE$18,BE$17)</f>
        <v>-0.41053097879336597</v>
      </c>
      <c r="BF171" s="16">
        <f ca="1">_xll.DBRW($D$4,$E$7,$E$8,$E$9,$E$10,$E$12,$D171,$E$6,BF$18,BF$17)</f>
        <v>0</v>
      </c>
      <c r="BG171" s="26">
        <f ca="1">_xll.DBRW($D$4,$E$7,$E$8,$E$9,$E$10,$E$12,$D171,$E$6,BG$18,BG$17)</f>
        <v>0</v>
      </c>
      <c r="BH171" s="26">
        <f ca="1">_xll.DBRW($D$4,$E$7,$E$8,$E$9,$E$10,$E$12,$D171,$E$6,BH$18,BH$17)</f>
        <v>0</v>
      </c>
      <c r="BI171" s="26">
        <f ca="1">_xll.DBRW($D$4,$E$7,$E$8,$E$9,$E$10,$E$12,$D171,$E$6,BI$18,BI$17)</f>
        <v>0</v>
      </c>
      <c r="BJ171" s="26">
        <f ca="1">_xll.DBRW($D$4,$E$7,$E$8,$E$9,$E$10,$E$12,$D171,$E$6,BJ$18,BJ$17)</f>
        <v>0</v>
      </c>
      <c r="BK171" s="16">
        <f ca="1">_xll.DBRW($D$4,$E$7,$E$8,$E$9,$E$10,$E$12,$D171,$E$6,BK$18,BK$17)</f>
        <v>9.2162384716872395E-2</v>
      </c>
      <c r="BL171" s="16">
        <f ca="1">_xll.DBRW($D$4,$E$7,$E$8,$E$9,$E$10,$E$12,$D171,$E$6,BL$18,BL$17)</f>
        <v>3.7941613754922274</v>
      </c>
      <c r="BM171" s="16">
        <f ca="1">_xll.DBRW($D$4,$E$7,$E$8,$E$9,$E$10,$E$12,$D171,$E$6,BM$18,BM$17)</f>
        <v>-1.5134932979655893</v>
      </c>
      <c r="BN171" s="16">
        <f ca="1">_xll.DBRW($D$4,$E$7,$E$8,$E$9,$E$10,$E$12,$D171,$E$6,BN$18,BN$17)</f>
        <v>0.3989006128578913</v>
      </c>
      <c r="BO171" s="16"/>
      <c r="BP171" s="16"/>
      <c r="BQ171" s="16"/>
      <c r="BR171" s="16"/>
      <c r="BS171" s="16">
        <f ca="1">_xll.DBRW($D$4,$E$7,$E$8,$E$9,$E$10,$E$12,$D171,$E$6,BS$18,BS$17)</f>
        <v>-0.367378510736388</v>
      </c>
      <c r="BT171" s="16">
        <f ca="1">_xll.DBRW($D$4,$E$7,$E$8,$E$9,$E$10,$E$12,$D171,$E$6,BT$18,BT$17)</f>
        <v>9.6827328723920428E-2</v>
      </c>
      <c r="BU171" s="16"/>
      <c r="BV171" s="16"/>
      <c r="BW171" s="16"/>
      <c r="BX171" s="16"/>
      <c r="BY171" s="16">
        <f ca="1">_xll.DBRW($D$4,$E$7,$E$8,$E$9,$E$10,$E$12,$D171,$E$6,BY$18,BY$17)</f>
        <v>-0.36027535144404554</v>
      </c>
      <c r="BZ171" s="16">
        <f ca="1">_xll.DBRW($D$4,$E$7,$E$8,$E$9,$E$10,$E$12,$D171,$E$6,BZ$18,BZ$17)</f>
        <v>9.495519978965207E-2</v>
      </c>
      <c r="CA171" s="16"/>
      <c r="CB171" s="16"/>
      <c r="CC171" s="16"/>
      <c r="CD171" s="16"/>
      <c r="CE171" s="16">
        <f ca="1">_xll.DBRW($D$4,$E$7,$E$8,$E$9,$E$10,$E$12,$D171,$E$6,CE$18,CE$17)</f>
        <v>-0.56706177167000005</v>
      </c>
      <c r="CF171" s="16">
        <f ca="1">_xll.DBRW($D$4,$E$7,$E$8,$E$9,$E$10,$E$12,$D171,$E$6,CF$18,CF$17)</f>
        <v>0.14945641883680647</v>
      </c>
      <c r="CG171" s="16"/>
      <c r="CH171" s="16"/>
      <c r="CI171" s="16"/>
      <c r="CJ171" s="16"/>
      <c r="CK171" s="16">
        <f ca="1">_xll.DBRW($D$4,$E$7,$E$8,$E$9,$E$10,$E$12,$D171,$E$6,CK$18,CK$17)</f>
        <v>-0.89379005895933272</v>
      </c>
      <c r="CL171" s="16">
        <f ca="1">_xll.DBRW($D$4,$E$7,$E$8,$E$9,$E$10,$E$12,$D171,$E$6,CL$18,CL$17)</f>
        <v>0.23556985866036834</v>
      </c>
      <c r="CM171" s="16"/>
      <c r="CN171" s="16"/>
      <c r="CO171" s="16"/>
      <c r="CP171" s="16"/>
      <c r="CQ171" s="16">
        <f ca="1">_xll.DBRW($D$4,$E$7,$E$8,$E$9,$E$10,$E$12,$D171,$E$6,CQ$18,CQ$17)</f>
        <v>6.0737531856243601E-2</v>
      </c>
      <c r="CR171" s="16">
        <f ca="1">_xll.DBRW($D$4,$E$7,$E$8,$E$9,$E$10,$E$12,$D171,$E$6,CR$18,CR$17)</f>
        <v>1.2667391431999999</v>
      </c>
      <c r="CS171" s="16">
        <f ca="1">_xll.DBRW($D$4,$E$7,$E$8,$E$9,$E$10,$E$12,$D171,$E$6,CS$18,CS$17)</f>
        <v>1.2667391431999999</v>
      </c>
      <c r="CT171" s="16">
        <f ca="1">_xll.DBRW($D$4,$E$7,$E$8,$E$9,$E$10,$E$12,$D171,$E$6,CT$18,CT$17)</f>
        <v>1.2667391431999999</v>
      </c>
      <c r="CU171" s="16">
        <f ca="1">_xll.DBRW($D$4,$E$7,$E$8,$E$9,$E$10,$E$12,$D171,$E$6,CU$18,CU$17)</f>
        <v>0.43282151264799995</v>
      </c>
      <c r="CV171" s="16">
        <f ca="1">_xll.DBRW($D$4,$E$7,$E$8,$E$9,$E$10,$E$12,$D171,$E$6,CV$18,CV$17)</f>
        <v>1.2667391431999999</v>
      </c>
      <c r="CW171" s="16">
        <f ca="1">_xll.DBRW($D$4,$E$7,$E$8,$E$9,$E$10,$E$12,$D171,$E$6,CW$18,CW$17)</f>
        <v>1.0827459230769201</v>
      </c>
      <c r="CX171" s="16">
        <f ca="1">_xll.DBRW($D$4,$E$7,$E$8,$E$9,$E$10,$E$12,$D171,$E$6,CX$18,CX$17)</f>
        <v>1.2667391431999999</v>
      </c>
      <c r="CY171" s="16">
        <f ca="1">_xll.DBRW($D$4,$E$7,$E$8,$E$9,$E$10,$E$12,$D171,$E$6,CY$18,CY$17)</f>
        <v>1.2667391431999999</v>
      </c>
      <c r="CZ171" s="16">
        <f ca="1">_xll.DBRW($D$4,$E$7,$E$8,$E$9,$E$10,$E$12,$D171,$E$6,CZ$18,CZ$17)</f>
        <v>1.2667391431999999</v>
      </c>
      <c r="DA171" s="26">
        <f t="shared" ca="1" si="127"/>
        <v>-8.2496275923505724E-2</v>
      </c>
      <c r="DB171" s="26">
        <f t="shared" ca="1" si="128"/>
        <v>6.7889148793365939E-2</v>
      </c>
      <c r="DC171" s="26">
        <f t="shared" ca="1" si="129"/>
        <v>0</v>
      </c>
      <c r="DD171" s="26">
        <f t="shared" ca="1" si="130"/>
        <v>0</v>
      </c>
      <c r="DE171" s="26">
        <f t="shared" ca="1" si="131"/>
        <v>0</v>
      </c>
      <c r="DF171" s="26">
        <f t="shared" ca="1" si="132"/>
        <v>0</v>
      </c>
      <c r="DG171" s="26">
        <f t="shared" ca="1" si="133"/>
        <v>0</v>
      </c>
      <c r="DH171" s="26">
        <f t="shared" ca="1" si="134"/>
        <v>-0.15038542471687183</v>
      </c>
      <c r="DI171" s="26">
        <f t="shared" ca="1" si="135"/>
        <v>-0.95844326549222725</v>
      </c>
      <c r="DJ171" s="26">
        <f t="shared" ca="1" si="136"/>
        <v>0.31285603796558936</v>
      </c>
      <c r="DK171" s="26">
        <f t="shared" ca="1" si="137"/>
        <v>2.4497346116246599E-2</v>
      </c>
      <c r="DL171" s="26"/>
      <c r="DM171" s="26"/>
      <c r="DN171" s="26"/>
      <c r="DO171" s="26"/>
      <c r="DP171" s="26">
        <f t="shared" ca="1" si="138"/>
        <v>4.8920190736388036E-2</v>
      </c>
      <c r="DQ171" s="26">
        <f t="shared" ca="1" si="139"/>
        <v>1.547520193911503E-2</v>
      </c>
      <c r="DR171" s="26"/>
      <c r="DS171" s="26"/>
      <c r="DT171" s="26"/>
      <c r="DU171" s="26"/>
      <c r="DV171" s="26">
        <f t="shared" ca="1" si="140"/>
        <v>0.10855796144404556</v>
      </c>
      <c r="DW171" s="26">
        <f t="shared" ca="1" si="141"/>
        <v>-6.1884817183695956E-3</v>
      </c>
      <c r="DX171" s="26"/>
      <c r="DY171" s="26"/>
      <c r="DZ171" s="26"/>
      <c r="EA171" s="26"/>
      <c r="EB171" s="26">
        <f t="shared" ca="1" si="142"/>
        <v>9.7265471670000048E-2</v>
      </c>
      <c r="EC171" s="26">
        <f t="shared" ca="1" si="143"/>
        <v>1.6214597031551481E-2</v>
      </c>
      <c r="ED171" s="26"/>
      <c r="EE171" s="26"/>
      <c r="EF171" s="26"/>
      <c r="EG171" s="26"/>
      <c r="EH171" s="26">
        <f t="shared" ca="1" si="144"/>
        <v>0.24045817895933264</v>
      </c>
      <c r="EI171" s="29">
        <f t="shared" ca="1" si="145"/>
        <v>-5.1760555189128976E-3</v>
      </c>
      <c r="EJ171" s="29"/>
      <c r="EK171" s="29"/>
      <c r="EL171" s="29"/>
      <c r="EM171" s="29"/>
      <c r="EN171" s="93"/>
      <c r="EO171" s="29"/>
      <c r="EP171" s="29"/>
      <c r="EQ171" s="29"/>
      <c r="ER171" s="29"/>
      <c r="ES171" s="29"/>
      <c r="ET171" s="29"/>
      <c r="EU171" s="93"/>
      <c r="EV171" s="29"/>
      <c r="EW171" s="29"/>
      <c r="EX171" s="29"/>
      <c r="EY171" s="29"/>
      <c r="EZ171" s="29"/>
      <c r="FA171" s="29"/>
      <c r="FB171" s="93"/>
      <c r="FC171" s="29"/>
      <c r="FD171" s="29"/>
      <c r="FE171" s="29"/>
      <c r="FF171" s="29"/>
      <c r="FG171" s="29"/>
      <c r="FH171" s="29"/>
      <c r="FI171" s="93"/>
      <c r="FJ171" s="29"/>
      <c r="FK171" s="29"/>
      <c r="FL171" s="29"/>
      <c r="FM171" s="29"/>
      <c r="FN171" s="29"/>
      <c r="FO171" s="29"/>
      <c r="FP171" s="93"/>
      <c r="FQ171" s="29"/>
      <c r="FR171" s="29"/>
      <c r="FS171" s="29"/>
      <c r="FT171" s="29"/>
      <c r="FU171" s="29"/>
      <c r="FV171" s="29"/>
    </row>
    <row r="172" spans="1:178" x14ac:dyDescent="0.25">
      <c r="A172" t="str">
        <f ca="1">IF(_xll.TM1RPTELISCONSOLIDATED($D$28,$D172),IF(_xll.TM1RPTELLEV($D$28,$D172)&lt;=3,_xll.TM1RPTELLEV($D$28,$D172),"D"),"N")</f>
        <v>N</v>
      </c>
      <c r="B172" t="str">
        <f ca="1">_xll.DBRA(Server&amp;"Management_organization",$D172,$B$27)</f>
        <v>L</v>
      </c>
      <c r="C172">
        <v>1</v>
      </c>
      <c r="D172" s="2" t="s">
        <v>187</v>
      </c>
      <c r="E172" s="26"/>
      <c r="F172" s="26"/>
      <c r="G172" s="16">
        <f ca="1">_xll.DBRW($D$4,$E$7,$E$8,$E$9,$E$10,$E$12,$D172,$E$6,G$18,G$17)</f>
        <v>-0.65354112000000231</v>
      </c>
      <c r="H172" s="16">
        <f ca="1">_xll.DBRW($D$4,$E$7,$E$8,$E$9,$E$10,$E$12,$D172,$E$6,H$18,H$17)</f>
        <v>-0.45860543999999998</v>
      </c>
      <c r="I172" s="16">
        <f ca="1">_xll.DBRW($D$4,$E$7,$E$8,$E$9,$E$10,$E$12,$D172,$E$6,I$18,I$17)</f>
        <v>0</v>
      </c>
      <c r="J172" s="26">
        <f ca="1">_xll.DBRW($D$4,$E$7,$E$8,$E$9,$E$10,$E$12,$D172,$E$6,J$18,J$17)</f>
        <v>0</v>
      </c>
      <c r="K172" s="26">
        <f ca="1">_xll.DBRW($D$4,$E$7,$E$8,$E$9,$E$10,$E$12,$D172,$E$6,K$18,K$17)</f>
        <v>0</v>
      </c>
      <c r="L172" s="26">
        <f ca="1">_xll.DBRW($D$4,$E$7,$E$8,$E$9,$E$10,$E$12,$D172,$E$6,L$18,L$17)</f>
        <v>0</v>
      </c>
      <c r="M172" s="26">
        <f ca="1">_xll.DBRW($D$4,$E$7,$E$8,$E$9,$E$10,$E$12,$D172,$E$6,M$18,M$17)</f>
        <v>0</v>
      </c>
      <c r="N172" s="16">
        <f ca="1">_xll.DBRW($D$4,$E$7,$E$8,$E$9,$E$10,$E$12,$D172,$E$6,N$18,N$17)</f>
        <v>-0.19493568000000228</v>
      </c>
      <c r="O172" s="16">
        <f ca="1">_xll.DBRW($D$4,$E$7,$E$8,$E$9,$E$10,$E$12,$D172,$E$6,O$18,O$17)</f>
        <v>6.9624706899999991</v>
      </c>
      <c r="P172" s="74">
        <f ca="1">_xll.DBRW($D$4,$E$7,$E$8,$E$9,$E$10,$E$12,$D172,$E$6,P$18,P$17)</f>
        <v>-2.7602837800000009</v>
      </c>
      <c r="Q172" s="16">
        <f ca="1">_xll.DBRW($D$4,$E$7,$E$8,$E$9,$E$10,$E$12,$D172,$E$6,Q$18,Q$17)</f>
        <v>0.39645176301632679</v>
      </c>
      <c r="R172" s="16"/>
      <c r="S172" s="16"/>
      <c r="T172" s="16"/>
      <c r="U172" s="16"/>
      <c r="V172" s="16">
        <f ca="1">_xll.DBRW($D$4,$E$7,$E$8,$E$9,$E$10,$E$12,$D172,$E$6,V$18,V$17)</f>
        <v>-1.18120822</v>
      </c>
      <c r="W172" s="16">
        <f ca="1">_xll.DBRW($D$4,$E$7,$E$8,$E$9,$E$10,$E$12,$D172,$E$6,W$18,W$17)</f>
        <v>0.16965360036582075</v>
      </c>
      <c r="X172" s="16"/>
      <c r="Y172" s="16"/>
      <c r="Z172" s="16"/>
      <c r="AA172" s="16"/>
      <c r="AB172" s="16">
        <f ca="1">_xll.DBRW($D$4,$E$7,$E$8,$E$9,$E$10,$E$12,$D172,$E$6,AB$18,AB$17)</f>
        <v>-0.92818425999999987</v>
      </c>
      <c r="AC172" s="16">
        <f ca="1">_xll.DBRW($D$4,$E$7,$E$8,$E$9,$E$10,$E$12,$D172,$E$6,AC$18,AC$17)</f>
        <v>0.13331248364652001</v>
      </c>
      <c r="AD172" s="16"/>
      <c r="AE172" s="16"/>
      <c r="AF172" s="16"/>
      <c r="AG172" s="16"/>
      <c r="AH172" s="16">
        <f ca="1">_xll.DBRW($D$4,$E$7,$E$8,$E$9,$E$10,$E$12,$D172,$E$6,AH$18,AH$17)</f>
        <v>-1.02198666</v>
      </c>
      <c r="AI172" s="16">
        <f ca="1">_xll.DBRW($D$4,$E$7,$E$8,$E$9,$E$10,$E$12,$D172,$E$6,AI$18,AI$17)</f>
        <v>0.14678505741759901</v>
      </c>
      <c r="AJ172" s="16"/>
      <c r="AK172" s="16"/>
      <c r="AL172" s="16"/>
      <c r="AM172" s="16"/>
      <c r="AN172" s="16">
        <f ca="1">_xll.DBRW($D$4,$E$7,$E$8,$E$9,$E$10,$E$12,$D172,$E$6,AN$18,AN$17)</f>
        <v>-1.26574345</v>
      </c>
      <c r="AO172" s="16">
        <f ca="1">_xll.DBRW($D$4,$E$7,$E$8,$E$9,$E$10,$E$12,$D172,$E$6,AO$18,AO$17)</f>
        <v>0.18179515668453036</v>
      </c>
      <c r="AP172" s="16"/>
      <c r="AQ172" s="16"/>
      <c r="AR172" s="16"/>
      <c r="AS172" s="16"/>
      <c r="AT172" s="16">
        <f ca="1">_xll.DBRW($D$4,$E$7,$E$8,$E$9,$E$10,$E$12,$D172,$E$6,AT$18,AT$17)</f>
        <v>1.25E-3</v>
      </c>
      <c r="AU172" s="16">
        <f ca="1">_xll.DBRW($D$4,$E$7,$E$8,$E$9,$E$10,$E$12,$D172,$E$6,AU$18,AU$17)</f>
        <v>2.8267099999999998</v>
      </c>
      <c r="AV172" s="16">
        <f ca="1">_xll.DBRW($D$4,$E$7,$E$8,$E$9,$E$10,$E$12,$D172,$E$6,AV$18,AV$17)</f>
        <v>2.8267099999999998</v>
      </c>
      <c r="AW172" s="16">
        <f ca="1">_xll.DBRW($D$4,$E$7,$E$8,$E$9,$E$10,$E$12,$D172,$E$6,AW$18,AW$17)</f>
        <v>2.8267099999999998</v>
      </c>
      <c r="AX172" s="16">
        <f ca="1">_xll.DBRW($D$4,$E$7,$E$8,$E$9,$E$10,$E$12,$D172,$E$6,AX$18,AX$17)</f>
        <v>0.94172549999999988</v>
      </c>
      <c r="AY172" s="16">
        <f ca="1">_xll.DBRW($D$4,$E$7,$E$8,$E$9,$E$10,$E$12,$D172,$E$6,AY$18,AY$17)</f>
        <v>2.8267099999999998</v>
      </c>
      <c r="AZ172" s="16">
        <f ca="1">_xll.DBRW($D$4,$E$7,$E$8,$E$9,$E$10,$E$12,$D172,$E$6,AZ$18,AZ$17)</f>
        <v>0</v>
      </c>
      <c r="BA172" s="16">
        <f ca="1">_xll.DBRW($D$4,$E$7,$E$8,$E$9,$E$10,$E$12,$D172,$E$6,BA$18,BA$17)</f>
        <v>2.8267099999999998</v>
      </c>
      <c r="BB172" s="16">
        <f ca="1">_xll.DBRW($D$4,$E$7,$E$8,$E$9,$E$10,$E$12,$D172,$E$6,BB$18,BB$17)</f>
        <v>2.8267099999999998</v>
      </c>
      <c r="BC172" s="16">
        <f ca="1">_xll.DBRW($D$4,$E$7,$E$8,$E$9,$E$10,$E$12,$D172,$E$6,BC$18,BC$17)</f>
        <v>2.8267099999999998</v>
      </c>
      <c r="BD172" s="16">
        <f ca="1">_xll.DBRW($D$4,$E$7,$E$8,$E$9,$E$10,$E$12,$D172,$E$6,BD$18,BD$17)</f>
        <v>-0.29298707311859606</v>
      </c>
      <c r="BE172" s="16">
        <f ca="1">_xll.DBRW($D$4,$E$7,$E$8,$E$9,$E$10,$E$12,$D172,$E$6,BE$18,BE$17)</f>
        <v>-0.51096874583333329</v>
      </c>
      <c r="BF172" s="16">
        <f ca="1">_xll.DBRW($D$4,$E$7,$E$8,$E$9,$E$10,$E$12,$D172,$E$6,BF$18,BF$17)</f>
        <v>0</v>
      </c>
      <c r="BG172" s="26">
        <f ca="1">_xll.DBRW($D$4,$E$7,$E$8,$E$9,$E$10,$E$12,$D172,$E$6,BG$18,BG$17)</f>
        <v>0</v>
      </c>
      <c r="BH172" s="26">
        <f ca="1">_xll.DBRW($D$4,$E$7,$E$8,$E$9,$E$10,$E$12,$D172,$E$6,BH$18,BH$17)</f>
        <v>0</v>
      </c>
      <c r="BI172" s="26">
        <f ca="1">_xll.DBRW($D$4,$E$7,$E$8,$E$9,$E$10,$E$12,$D172,$E$6,BI$18,BI$17)</f>
        <v>0</v>
      </c>
      <c r="BJ172" s="26">
        <f ca="1">_xll.DBRW($D$4,$E$7,$E$8,$E$9,$E$10,$E$12,$D172,$E$6,BJ$18,BJ$17)</f>
        <v>0</v>
      </c>
      <c r="BK172" s="16">
        <f ca="1">_xll.DBRW($D$4,$E$7,$E$8,$E$9,$E$10,$E$12,$D172,$E$6,BK$18,BK$17)</f>
        <v>0.21798167271473726</v>
      </c>
      <c r="BL172" s="16">
        <f ca="1">_xll.DBRW($D$4,$E$7,$E$8,$E$9,$E$10,$E$12,$D172,$E$6,BL$18,BL$17)</f>
        <v>7.3114928813790083</v>
      </c>
      <c r="BM172" s="16">
        <f ca="1">_xll.DBRW($D$4,$E$7,$E$8,$E$9,$E$10,$E$12,$D172,$E$6,BM$18,BM$17)</f>
        <v>-3.0680912993639495</v>
      </c>
      <c r="BN172" s="16">
        <f ca="1">_xll.DBRW($D$4,$E$7,$E$8,$E$9,$E$10,$E$12,$D172,$E$6,BN$18,BN$17)</f>
        <v>0.41962583416825838</v>
      </c>
      <c r="BO172" s="16"/>
      <c r="BP172" s="16"/>
      <c r="BQ172" s="16"/>
      <c r="BR172" s="16"/>
      <c r="BS172" s="16">
        <f ca="1">_xll.DBRW($D$4,$E$7,$E$8,$E$9,$E$10,$E$12,$D172,$E$6,BS$18,BS$17)</f>
        <v>-0.82980464081305383</v>
      </c>
      <c r="BT172" s="16">
        <f ca="1">_xll.DBRW($D$4,$E$7,$E$8,$E$9,$E$10,$E$12,$D172,$E$6,BT$18,BT$17)</f>
        <v>0.11349318863817942</v>
      </c>
      <c r="BU172" s="16"/>
      <c r="BV172" s="16"/>
      <c r="BW172" s="16"/>
      <c r="BX172" s="16"/>
      <c r="BY172" s="16">
        <f ca="1">_xll.DBRW($D$4,$E$7,$E$8,$E$9,$E$10,$E$12,$D172,$E$6,BY$18,BY$17)</f>
        <v>-0.87612702444393586</v>
      </c>
      <c r="BZ172" s="16">
        <f ca="1">_xll.DBRW($D$4,$E$7,$E$8,$E$9,$E$10,$E$12,$D172,$E$6,BZ$18,BZ$17)</f>
        <v>0.11982874614776223</v>
      </c>
      <c r="CA172" s="16"/>
      <c r="CB172" s="16"/>
      <c r="CC172" s="16"/>
      <c r="CD172" s="16"/>
      <c r="CE172" s="16">
        <f ca="1">_xll.DBRW($D$4,$E$7,$E$8,$E$9,$E$10,$E$12,$D172,$E$6,CE$18,CE$17)</f>
        <v>-1.0520986400000001</v>
      </c>
      <c r="CF172" s="16">
        <f ca="1">_xll.DBRW($D$4,$E$7,$E$8,$E$9,$E$10,$E$12,$D172,$E$6,CF$18,CF$17)</f>
        <v>0.14389655533680359</v>
      </c>
      <c r="CG172" s="16"/>
      <c r="CH172" s="16"/>
      <c r="CI172" s="16"/>
      <c r="CJ172" s="16"/>
      <c r="CK172" s="16">
        <f ca="1">_xll.DBRW($D$4,$E$7,$E$8,$E$9,$E$10,$E$12,$D172,$E$6,CK$18,CK$17)</f>
        <v>-1.2673896040433337</v>
      </c>
      <c r="CL172" s="16">
        <f ca="1">_xll.DBRW($D$4,$E$7,$E$8,$E$9,$E$10,$E$12,$D172,$E$6,CL$18,CL$17)</f>
        <v>0.17334211010054262</v>
      </c>
      <c r="CM172" s="16"/>
      <c r="CN172" s="16"/>
      <c r="CO172" s="16"/>
      <c r="CP172" s="16"/>
      <c r="CQ172" s="16">
        <f ca="1">_xll.DBRW($D$4,$E$7,$E$8,$E$9,$E$10,$E$12,$D172,$E$6,CQ$18,CQ$17)</f>
        <v>0</v>
      </c>
      <c r="CR172" s="16">
        <f ca="1">_xll.DBRW($D$4,$E$7,$E$8,$E$9,$E$10,$E$12,$D172,$E$6,CR$18,CR$17)</f>
        <v>3.0488179736072598</v>
      </c>
      <c r="CS172" s="16">
        <f ca="1">_xll.DBRW($D$4,$E$7,$E$8,$E$9,$E$10,$E$12,$D172,$E$6,CS$18,CS$17)</f>
        <v>3.0488179736072598</v>
      </c>
      <c r="CT172" s="16">
        <f ca="1">_xll.DBRW($D$4,$E$7,$E$8,$E$9,$E$10,$E$12,$D172,$E$6,CT$18,CT$17)</f>
        <v>3.0488179736072598</v>
      </c>
      <c r="CU172" s="16">
        <f ca="1">_xll.DBRW($D$4,$E$7,$E$8,$E$9,$E$10,$E$12,$D172,$E$6,CU$18,CU$17)</f>
        <v>1.0847210684323698</v>
      </c>
      <c r="CV172" s="16">
        <f ca="1">_xll.DBRW($D$4,$E$7,$E$8,$E$9,$E$10,$E$12,$D172,$E$6,CV$18,CV$17)</f>
        <v>3.0488179736072598</v>
      </c>
      <c r="CW172" s="16">
        <f ca="1">_xll.DBRW($D$4,$E$7,$E$8,$E$9,$E$10,$E$12,$D172,$E$6,CW$18,CW$17)</f>
        <v>0</v>
      </c>
      <c r="CX172" s="16">
        <f ca="1">_xll.DBRW($D$4,$E$7,$E$8,$E$9,$E$10,$E$12,$D172,$E$6,CX$18,CX$17)</f>
        <v>3.0488179736072598</v>
      </c>
      <c r="CY172" s="16">
        <f ca="1">_xll.DBRW($D$4,$E$7,$E$8,$E$9,$E$10,$E$12,$D172,$E$6,CY$18,CY$17)</f>
        <v>3.0488179736072598</v>
      </c>
      <c r="CZ172" s="16">
        <f ca="1">_xll.DBRW($D$4,$E$7,$E$8,$E$9,$E$10,$E$12,$D172,$E$6,CZ$18,CZ$17)</f>
        <v>3.0488179736072598</v>
      </c>
      <c r="DA172" s="26">
        <f t="shared" ca="1" si="127"/>
        <v>-0.36055404688140624</v>
      </c>
      <c r="DB172" s="26">
        <f t="shared" ca="1" si="128"/>
        <v>5.2363305833333318E-2</v>
      </c>
      <c r="DC172" s="26">
        <f t="shared" ca="1" si="129"/>
        <v>0</v>
      </c>
      <c r="DD172" s="26">
        <f t="shared" ca="1" si="130"/>
        <v>0</v>
      </c>
      <c r="DE172" s="26">
        <f t="shared" ca="1" si="131"/>
        <v>0</v>
      </c>
      <c r="DF172" s="26">
        <f t="shared" ca="1" si="132"/>
        <v>0</v>
      </c>
      <c r="DG172" s="26">
        <f t="shared" ca="1" si="133"/>
        <v>0</v>
      </c>
      <c r="DH172" s="26">
        <f t="shared" ca="1" si="134"/>
        <v>-0.41291735271473951</v>
      </c>
      <c r="DI172" s="26">
        <f t="shared" ca="1" si="135"/>
        <v>-0.34902219137900925</v>
      </c>
      <c r="DJ172" s="26">
        <f t="shared" ca="1" si="136"/>
        <v>0.30780751936394868</v>
      </c>
      <c r="DK172" s="26">
        <f t="shared" ca="1" si="137"/>
        <v>-2.3174071151931597E-2</v>
      </c>
      <c r="DL172" s="26"/>
      <c r="DM172" s="26"/>
      <c r="DN172" s="26"/>
      <c r="DO172" s="26"/>
      <c r="DP172" s="26">
        <f t="shared" ca="1" si="138"/>
        <v>-0.3514035791869462</v>
      </c>
      <c r="DQ172" s="26">
        <f t="shared" ca="1" si="139"/>
        <v>5.6160411727641329E-2</v>
      </c>
      <c r="DR172" s="26"/>
      <c r="DS172" s="26"/>
      <c r="DT172" s="26"/>
      <c r="DU172" s="26"/>
      <c r="DV172" s="26">
        <f t="shared" ca="1" si="140"/>
        <v>-5.2057235556064008E-2</v>
      </c>
      <c r="DW172" s="26">
        <f t="shared" ca="1" si="141"/>
        <v>1.3483737498757781E-2</v>
      </c>
      <c r="DX172" s="26"/>
      <c r="DY172" s="26"/>
      <c r="DZ172" s="26"/>
      <c r="EA172" s="26"/>
      <c r="EB172" s="26">
        <f t="shared" ca="1" si="142"/>
        <v>3.0111980000000038E-2</v>
      </c>
      <c r="EC172" s="26">
        <f t="shared" ca="1" si="143"/>
        <v>2.8885020807954132E-3</v>
      </c>
      <c r="ED172" s="26"/>
      <c r="EE172" s="26"/>
      <c r="EF172" s="26"/>
      <c r="EG172" s="26"/>
      <c r="EH172" s="26">
        <f t="shared" ca="1" si="144"/>
        <v>1.6461540433336808E-3</v>
      </c>
      <c r="EI172" s="29">
        <f t="shared" ca="1" si="145"/>
        <v>8.4530465839877389E-3</v>
      </c>
      <c r="EJ172" s="29"/>
      <c r="EK172" s="29"/>
      <c r="EL172" s="29"/>
      <c r="EM172" s="29"/>
      <c r="EN172" s="93"/>
      <c r="EO172" s="29"/>
      <c r="EP172" s="29"/>
      <c r="EQ172" s="29"/>
      <c r="ER172" s="29"/>
      <c r="ES172" s="29"/>
      <c r="ET172" s="29"/>
      <c r="EU172" s="93"/>
      <c r="EV172" s="29"/>
      <c r="EW172" s="29"/>
      <c r="EX172" s="29"/>
      <c r="EY172" s="29"/>
      <c r="EZ172" s="29"/>
      <c r="FA172" s="29"/>
      <c r="FB172" s="93"/>
      <c r="FC172" s="29"/>
      <c r="FD172" s="29"/>
      <c r="FE172" s="29"/>
      <c r="FF172" s="29"/>
      <c r="FG172" s="29"/>
      <c r="FH172" s="29"/>
      <c r="FI172" s="93"/>
      <c r="FJ172" s="29"/>
      <c r="FK172" s="29"/>
      <c r="FL172" s="29"/>
      <c r="FM172" s="29"/>
      <c r="FN172" s="29"/>
      <c r="FO172" s="29"/>
      <c r="FP172" s="93"/>
      <c r="FQ172" s="29"/>
      <c r="FR172" s="29"/>
      <c r="FS172" s="29"/>
      <c r="FT172" s="29"/>
      <c r="FU172" s="29"/>
      <c r="FV172" s="29"/>
    </row>
    <row r="173" spans="1:178" x14ac:dyDescent="0.25">
      <c r="A173" t="str">
        <f ca="1">IF(_xll.TM1RPTELISCONSOLIDATED($D$28,$D173),IF(_xll.TM1RPTELLEV($D$28,$D173)&lt;=3,_xll.TM1RPTELLEV($D$28,$D173),"D"),"N")</f>
        <v>N</v>
      </c>
      <c r="B173" t="str">
        <f ca="1">_xll.DBRA(Server&amp;"Management_organization",$D173,$B$27)</f>
        <v>L</v>
      </c>
      <c r="C173">
        <v>1</v>
      </c>
      <c r="D173" s="2" t="s">
        <v>189</v>
      </c>
      <c r="E173" s="26"/>
      <c r="F173" s="26"/>
      <c r="G173" s="16">
        <f ca="1">_xll.DBRW($D$4,$E$7,$E$8,$E$9,$E$10,$E$12,$D173,$E$6,G$18,G$17)</f>
        <v>-1.5273407399999999</v>
      </c>
      <c r="H173" s="16">
        <f ca="1">_xll.DBRW($D$4,$E$7,$E$8,$E$9,$E$10,$E$12,$D173,$E$6,H$18,H$17)</f>
        <v>-0.26476670000000008</v>
      </c>
      <c r="I173" s="16">
        <f ca="1">_xll.DBRW($D$4,$E$7,$E$8,$E$9,$E$10,$E$12,$D173,$E$6,I$18,I$17)</f>
        <v>0</v>
      </c>
      <c r="J173" s="26">
        <f ca="1">_xll.DBRW($D$4,$E$7,$E$8,$E$9,$E$10,$E$12,$D173,$E$6,J$18,J$17)</f>
        <v>0</v>
      </c>
      <c r="K173" s="26">
        <f ca="1">_xll.DBRW($D$4,$E$7,$E$8,$E$9,$E$10,$E$12,$D173,$E$6,K$18,K$17)</f>
        <v>0</v>
      </c>
      <c r="L173" s="26">
        <f ca="1">_xll.DBRW($D$4,$E$7,$E$8,$E$9,$E$10,$E$12,$D173,$E$6,L$18,L$17)</f>
        <v>0</v>
      </c>
      <c r="M173" s="26">
        <f ca="1">_xll.DBRW($D$4,$E$7,$E$8,$E$9,$E$10,$E$12,$D173,$E$6,M$18,M$17)</f>
        <v>0</v>
      </c>
      <c r="N173" s="16">
        <f ca="1">_xll.DBRW($D$4,$E$7,$E$8,$E$9,$E$10,$E$12,$D173,$E$6,N$18,N$17)</f>
        <v>-1.2625740399999994</v>
      </c>
      <c r="O173" s="16">
        <f ca="1">_xll.DBRW($D$4,$E$7,$E$8,$E$9,$E$10,$E$12,$D173,$E$6,O$18,O$17)</f>
        <v>3.0583661200000005</v>
      </c>
      <c r="P173" s="74">
        <f ca="1">_xll.DBRW($D$4,$E$7,$E$8,$E$9,$E$10,$E$12,$D173,$E$6,P$18,P$17)</f>
        <v>-1.9471943399999998</v>
      </c>
      <c r="Q173" s="16">
        <f ca="1">_xll.DBRW($D$4,$E$7,$E$8,$E$9,$E$10,$E$12,$D173,$E$6,Q$18,Q$17)</f>
        <v>0.63667797235472889</v>
      </c>
      <c r="R173" s="16"/>
      <c r="S173" s="16"/>
      <c r="T173" s="16"/>
      <c r="U173" s="16"/>
      <c r="V173" s="16">
        <f ca="1">_xll.DBRW($D$4,$E$7,$E$8,$E$9,$E$10,$E$12,$D173,$E$6,V$18,V$17)</f>
        <v>-0.63372192999999999</v>
      </c>
      <c r="W173" s="16">
        <f ca="1">_xll.DBRW($D$4,$E$7,$E$8,$E$9,$E$10,$E$12,$D173,$E$6,W$18,W$17)</f>
        <v>0.20720930887110398</v>
      </c>
      <c r="X173" s="16"/>
      <c r="Y173" s="16"/>
      <c r="Z173" s="16"/>
      <c r="AA173" s="16"/>
      <c r="AB173" s="16">
        <f ca="1">_xll.DBRW($D$4,$E$7,$E$8,$E$9,$E$10,$E$12,$D173,$E$6,AB$18,AB$17)</f>
        <v>-0.49012268000000014</v>
      </c>
      <c r="AC173" s="16">
        <f ca="1">_xll.DBRW($D$4,$E$7,$E$8,$E$9,$E$10,$E$12,$D173,$E$6,AC$18,AC$17)</f>
        <v>0.16025637898447556</v>
      </c>
      <c r="AD173" s="16"/>
      <c r="AE173" s="16"/>
      <c r="AF173" s="16"/>
      <c r="AG173" s="16"/>
      <c r="AH173" s="16">
        <f ca="1">_xll.DBRW($D$4,$E$7,$E$8,$E$9,$E$10,$E$12,$D173,$E$6,AH$18,AH$17)</f>
        <v>-0.54236815999999965</v>
      </c>
      <c r="AI173" s="16">
        <f ca="1">_xll.DBRW($D$4,$E$7,$E$8,$E$9,$E$10,$E$12,$D173,$E$6,AI$18,AI$17)</f>
        <v>0.1773391865850252</v>
      </c>
      <c r="AJ173" s="16"/>
      <c r="AK173" s="16"/>
      <c r="AL173" s="16"/>
      <c r="AM173" s="16"/>
      <c r="AN173" s="16">
        <f ca="1">_xll.DBRW($D$4,$E$7,$E$8,$E$9,$E$10,$E$12,$D173,$E$6,AN$18,AN$17)</f>
        <v>-0.70753305000000011</v>
      </c>
      <c r="AO173" s="16">
        <f ca="1">_xll.DBRW($D$4,$E$7,$E$8,$E$9,$E$10,$E$12,$D173,$E$6,AO$18,AO$17)</f>
        <v>0.23134347630034563</v>
      </c>
      <c r="AP173" s="16"/>
      <c r="AQ173" s="16"/>
      <c r="AR173" s="16"/>
      <c r="AS173" s="16"/>
      <c r="AT173" s="16">
        <f ca="1">_xll.DBRW($D$4,$E$7,$E$8,$E$9,$E$10,$E$12,$D173,$E$6,AT$18,AT$17)</f>
        <v>0</v>
      </c>
      <c r="AU173" s="16">
        <f ca="1">_xll.DBRW($D$4,$E$7,$E$8,$E$9,$E$10,$E$12,$D173,$E$6,AU$18,AU$17)</f>
        <v>1.5730299999999999</v>
      </c>
      <c r="AV173" s="16">
        <f ca="1">_xll.DBRW($D$4,$E$7,$E$8,$E$9,$E$10,$E$12,$D173,$E$6,AV$18,AV$17)</f>
        <v>1.5730299999999999</v>
      </c>
      <c r="AW173" s="16">
        <f ca="1">_xll.DBRW($D$4,$E$7,$E$8,$E$9,$E$10,$E$12,$D173,$E$6,AW$18,AW$17)</f>
        <v>1.5730299999999999</v>
      </c>
      <c r="AX173" s="16">
        <f ca="1">_xll.DBRW($D$4,$E$7,$E$8,$E$9,$E$10,$E$12,$D173,$E$6,AX$18,AX$17)</f>
        <v>0.26141399999999998</v>
      </c>
      <c r="AY173" s="16">
        <f ca="1">_xll.DBRW($D$4,$E$7,$E$8,$E$9,$E$10,$E$12,$D173,$E$6,AY$18,AY$17)</f>
        <v>1.5730299999999999</v>
      </c>
      <c r="AZ173" s="16">
        <f ca="1">_xll.DBRW($D$4,$E$7,$E$8,$E$9,$E$10,$E$12,$D173,$E$6,AZ$18,AZ$17)</f>
        <v>0</v>
      </c>
      <c r="BA173" s="16">
        <f ca="1">_xll.DBRW($D$4,$E$7,$E$8,$E$9,$E$10,$E$12,$D173,$E$6,BA$18,BA$17)</f>
        <v>1.5730299999999999</v>
      </c>
      <c r="BB173" s="16">
        <f ca="1">_xll.DBRW($D$4,$E$7,$E$8,$E$9,$E$10,$E$12,$D173,$E$6,BB$18,BB$17)</f>
        <v>1.5730299999999999</v>
      </c>
      <c r="BC173" s="16">
        <f ca="1">_xll.DBRW($D$4,$E$7,$E$8,$E$9,$E$10,$E$12,$D173,$E$6,BC$18,BC$17)</f>
        <v>1.5730299999999999</v>
      </c>
      <c r="BD173" s="16">
        <f ca="1">_xll.DBRW($D$4,$E$7,$E$8,$E$9,$E$10,$E$12,$D173,$E$6,BD$18,BD$17)</f>
        <v>-0.77847901853961332</v>
      </c>
      <c r="BE173" s="16">
        <f ca="1">_xll.DBRW($D$4,$E$7,$E$8,$E$9,$E$10,$E$12,$D173,$E$6,BE$18,BE$17)</f>
        <v>-0.82288562162162082</v>
      </c>
      <c r="BF173" s="16">
        <f ca="1">_xll.DBRW($D$4,$E$7,$E$8,$E$9,$E$10,$E$12,$D173,$E$6,BF$18,BF$17)</f>
        <v>0</v>
      </c>
      <c r="BG173" s="26">
        <f ca="1">_xll.DBRW($D$4,$E$7,$E$8,$E$9,$E$10,$E$12,$D173,$E$6,BG$18,BG$17)</f>
        <v>0</v>
      </c>
      <c r="BH173" s="26">
        <f ca="1">_xll.DBRW($D$4,$E$7,$E$8,$E$9,$E$10,$E$12,$D173,$E$6,BH$18,BH$17)</f>
        <v>0</v>
      </c>
      <c r="BI173" s="26">
        <f ca="1">_xll.DBRW($D$4,$E$7,$E$8,$E$9,$E$10,$E$12,$D173,$E$6,BI$18,BI$17)</f>
        <v>0</v>
      </c>
      <c r="BJ173" s="26">
        <f ca="1">_xll.DBRW($D$4,$E$7,$E$8,$E$9,$E$10,$E$12,$D173,$E$6,BJ$18,BJ$17)</f>
        <v>0</v>
      </c>
      <c r="BK173" s="16">
        <f ca="1">_xll.DBRW($D$4,$E$7,$E$8,$E$9,$E$10,$E$12,$D173,$E$6,BK$18,BK$17)</f>
        <v>4.4406603082007556E-2</v>
      </c>
      <c r="BL173" s="16">
        <f ca="1">_xll.DBRW($D$4,$E$7,$E$8,$E$9,$E$10,$E$12,$D173,$E$6,BL$18,BL$17)</f>
        <v>3.925932</v>
      </c>
      <c r="BM173" s="16">
        <f ca="1">_xll.DBRW($D$4,$E$7,$E$8,$E$9,$E$10,$E$12,$D173,$E$6,BM$18,BM$17)</f>
        <v>-1.8271353975378963</v>
      </c>
      <c r="BN173" s="16">
        <f ca="1">_xll.DBRW($D$4,$E$7,$E$8,$E$9,$E$10,$E$12,$D173,$E$6,BN$18,BN$17)</f>
        <v>0.46540169252495872</v>
      </c>
      <c r="BO173" s="16"/>
      <c r="BP173" s="16"/>
      <c r="BQ173" s="16"/>
      <c r="BR173" s="16"/>
      <c r="BS173" s="16">
        <f ca="1">_xll.DBRW($D$4,$E$7,$E$8,$E$9,$E$10,$E$12,$D173,$E$6,BS$18,BS$17)</f>
        <v>-0.31975166666666704</v>
      </c>
      <c r="BT173" s="16">
        <f ca="1">_xll.DBRW($D$4,$E$7,$E$8,$E$9,$E$10,$E$12,$D173,$E$6,BT$18,BT$17)</f>
        <v>8.1446053234408303E-2</v>
      </c>
      <c r="BU173" s="16"/>
      <c r="BV173" s="16"/>
      <c r="BW173" s="16"/>
      <c r="BX173" s="16"/>
      <c r="BY173" s="16">
        <f ca="1">_xll.DBRW($D$4,$E$7,$E$8,$E$9,$E$10,$E$12,$D173,$E$6,BY$18,BY$17)</f>
        <v>-0.37152102160231737</v>
      </c>
      <c r="BZ173" s="16">
        <f ca="1">_xll.DBRW($D$4,$E$7,$E$8,$E$9,$E$10,$E$12,$D173,$E$6,BZ$18,BZ$17)</f>
        <v>9.463256663699661E-2</v>
      </c>
      <c r="CA173" s="16"/>
      <c r="CB173" s="16"/>
      <c r="CC173" s="16"/>
      <c r="CD173" s="16"/>
      <c r="CE173" s="16">
        <f ca="1">_xll.DBRW($D$4,$E$7,$E$8,$E$9,$E$10,$E$12,$D173,$E$6,CE$18,CE$17)</f>
        <v>-0.56163194999999988</v>
      </c>
      <c r="CF173" s="16">
        <f ca="1">_xll.DBRW($D$4,$E$7,$E$8,$E$9,$E$10,$E$12,$D173,$E$6,CF$18,CF$17)</f>
        <v>0.14305697347789006</v>
      </c>
      <c r="CG173" s="16"/>
      <c r="CH173" s="16"/>
      <c r="CI173" s="16"/>
      <c r="CJ173" s="16"/>
      <c r="CK173" s="16">
        <f ca="1">_xll.DBRW($D$4,$E$7,$E$8,$E$9,$E$10,$E$12,$D173,$E$6,CK$18,CK$17)</f>
        <v>-0.80148536111111124</v>
      </c>
      <c r="CL173" s="16">
        <f ca="1">_xll.DBRW($D$4,$E$7,$E$8,$E$9,$E$10,$E$12,$D173,$E$6,CL$18,CL$17)</f>
        <v>0.2041516157465568</v>
      </c>
      <c r="CM173" s="16"/>
      <c r="CN173" s="16"/>
      <c r="CO173" s="16"/>
      <c r="CP173" s="16"/>
      <c r="CQ173" s="16">
        <f ca="1">_xll.DBRW($D$4,$E$7,$E$8,$E$9,$E$10,$E$12,$D173,$E$6,CQ$18,CQ$17)</f>
        <v>0</v>
      </c>
      <c r="CR173" s="16">
        <f ca="1">_xll.DBRW($D$4,$E$7,$E$8,$E$9,$E$10,$E$12,$D173,$E$6,CR$18,CR$17)</f>
        <v>1.5645634502300103</v>
      </c>
      <c r="CS173" s="16">
        <f ca="1">_xll.DBRW($D$4,$E$7,$E$8,$E$9,$E$10,$E$12,$D173,$E$6,CS$18,CS$17)</f>
        <v>1.5645634502300103</v>
      </c>
      <c r="CT173" s="16">
        <f ca="1">_xll.DBRW($D$4,$E$7,$E$8,$E$9,$E$10,$E$12,$D173,$E$6,CT$18,CT$17)</f>
        <v>1.5645634502300103</v>
      </c>
      <c r="CU173" s="16">
        <f ca="1">_xll.DBRW($D$4,$E$7,$E$8,$E$9,$E$10,$E$12,$D173,$E$6,CU$18,CU$17)</f>
        <v>0.42804060869829796</v>
      </c>
      <c r="CV173" s="16">
        <f ca="1">_xll.DBRW($D$4,$E$7,$E$8,$E$9,$E$10,$E$12,$D173,$E$6,CV$18,CV$17)</f>
        <v>1.5645634502300103</v>
      </c>
      <c r="CW173" s="16">
        <f ca="1">_xll.DBRW($D$4,$E$7,$E$8,$E$9,$E$10,$E$12,$D173,$E$6,CW$18,CW$17)</f>
        <v>1.4157547000000104</v>
      </c>
      <c r="CX173" s="16">
        <f ca="1">_xll.DBRW($D$4,$E$7,$E$8,$E$9,$E$10,$E$12,$D173,$E$6,CX$18,CX$17)</f>
        <v>1.5645634502300103</v>
      </c>
      <c r="CY173" s="16">
        <f ca="1">_xll.DBRW($D$4,$E$7,$E$8,$E$9,$E$10,$E$12,$D173,$E$6,CY$18,CY$17)</f>
        <v>1.5645634502300103</v>
      </c>
      <c r="CZ173" s="16">
        <f ca="1">_xll.DBRW($D$4,$E$7,$E$8,$E$9,$E$10,$E$12,$D173,$E$6,CZ$18,CZ$17)</f>
        <v>1.5645634502300103</v>
      </c>
      <c r="DA173" s="26">
        <f t="shared" ca="1" si="127"/>
        <v>-0.74886172146038654</v>
      </c>
      <c r="DB173" s="26">
        <f t="shared" ca="1" si="128"/>
        <v>0.55811892162162069</v>
      </c>
      <c r="DC173" s="26">
        <f t="shared" ca="1" si="129"/>
        <v>0</v>
      </c>
      <c r="DD173" s="26">
        <f t="shared" ca="1" si="130"/>
        <v>0</v>
      </c>
      <c r="DE173" s="26">
        <f t="shared" ca="1" si="131"/>
        <v>0</v>
      </c>
      <c r="DF173" s="26">
        <f t="shared" ca="1" si="132"/>
        <v>0</v>
      </c>
      <c r="DG173" s="26">
        <f t="shared" ca="1" si="133"/>
        <v>0</v>
      </c>
      <c r="DH173" s="26">
        <f t="shared" ca="1" si="134"/>
        <v>-1.306980643082007</v>
      </c>
      <c r="DI173" s="26">
        <f t="shared" ca="1" si="135"/>
        <v>-0.86756587999999946</v>
      </c>
      <c r="DJ173" s="26">
        <f t="shared" ca="1" si="136"/>
        <v>-0.12005894246210347</v>
      </c>
      <c r="DK173" s="26">
        <f t="shared" ca="1" si="137"/>
        <v>0.17127627982977017</v>
      </c>
      <c r="DL173" s="26"/>
      <c r="DM173" s="26"/>
      <c r="DN173" s="26"/>
      <c r="DO173" s="26"/>
      <c r="DP173" s="26">
        <f t="shared" ca="1" si="138"/>
        <v>-0.31397026333333294</v>
      </c>
      <c r="DQ173" s="26">
        <f t="shared" ca="1" si="139"/>
        <v>0.12576325563669566</v>
      </c>
      <c r="DR173" s="26"/>
      <c r="DS173" s="26"/>
      <c r="DT173" s="26"/>
      <c r="DU173" s="26"/>
      <c r="DV173" s="26">
        <f t="shared" ca="1" si="140"/>
        <v>-0.11860165839768277</v>
      </c>
      <c r="DW173" s="26">
        <f t="shared" ca="1" si="141"/>
        <v>6.5623812347478952E-2</v>
      </c>
      <c r="DX173" s="26"/>
      <c r="DY173" s="26"/>
      <c r="DZ173" s="26"/>
      <c r="EA173" s="26"/>
      <c r="EB173" s="26">
        <f t="shared" ca="1" si="142"/>
        <v>1.9263790000000225E-2</v>
      </c>
      <c r="EC173" s="26">
        <f t="shared" ca="1" si="143"/>
        <v>3.428221310713514E-2</v>
      </c>
      <c r="ED173" s="26"/>
      <c r="EE173" s="26"/>
      <c r="EF173" s="26"/>
      <c r="EG173" s="26"/>
      <c r="EH173" s="26">
        <f t="shared" ca="1" si="144"/>
        <v>9.3952311111111131E-2</v>
      </c>
      <c r="EI173" s="29">
        <f t="shared" ca="1" si="145"/>
        <v>2.7191860553788832E-2</v>
      </c>
      <c r="EJ173" s="29"/>
      <c r="EK173" s="29"/>
      <c r="EL173" s="29"/>
      <c r="EM173" s="29"/>
      <c r="EN173" s="93"/>
      <c r="EO173" s="29"/>
      <c r="EP173" s="29"/>
      <c r="EQ173" s="29"/>
      <c r="ER173" s="29"/>
      <c r="ES173" s="29"/>
      <c r="ET173" s="29"/>
      <c r="EU173" s="93"/>
      <c r="EV173" s="29"/>
      <c r="EW173" s="29"/>
      <c r="EX173" s="29"/>
      <c r="EY173" s="29"/>
      <c r="EZ173" s="29"/>
      <c r="FA173" s="29"/>
      <c r="FB173" s="93"/>
      <c r="FC173" s="29"/>
      <c r="FD173" s="29"/>
      <c r="FE173" s="29"/>
      <c r="FF173" s="29"/>
      <c r="FG173" s="29"/>
      <c r="FH173" s="29"/>
      <c r="FI173" s="93"/>
      <c r="FJ173" s="29"/>
      <c r="FK173" s="29"/>
      <c r="FL173" s="29"/>
      <c r="FM173" s="29"/>
      <c r="FN173" s="29"/>
      <c r="FO173" s="29"/>
      <c r="FP173" s="93"/>
      <c r="FQ173" s="29"/>
      <c r="FR173" s="29"/>
      <c r="FS173" s="29"/>
      <c r="FT173" s="29"/>
      <c r="FU173" s="29"/>
      <c r="FV173" s="29"/>
    </row>
    <row r="174" spans="1:178" x14ac:dyDescent="0.25">
      <c r="A174" t="str">
        <f ca="1">IF(_xll.TM1RPTELISCONSOLIDATED($D$28,$D174),IF(_xll.TM1RPTELLEV($D$28,$D174)&lt;=3,_xll.TM1RPTELLEV($D$28,$D174),"D"),"N")</f>
        <v>N</v>
      </c>
      <c r="B174" t="str">
        <f ca="1">_xll.DBRA(Server&amp;"Management_organization",$D174,$B$27)</f>
        <v>L</v>
      </c>
      <c r="C174">
        <v>1</v>
      </c>
      <c r="D174" s="2" t="s">
        <v>190</v>
      </c>
      <c r="E174" s="26"/>
      <c r="F174" s="26"/>
      <c r="G174" s="16">
        <f ca="1">_xll.DBRW($D$4,$E$7,$E$8,$E$9,$E$10,$E$12,$D174,$E$6,G$18,G$17)</f>
        <v>0.45060364999999808</v>
      </c>
      <c r="H174" s="16">
        <f ca="1">_xll.DBRW($D$4,$E$7,$E$8,$E$9,$E$10,$E$12,$D174,$E$6,H$18,H$17)</f>
        <v>-0.30992325999999992</v>
      </c>
      <c r="I174" s="16">
        <f ca="1">_xll.DBRW($D$4,$E$7,$E$8,$E$9,$E$10,$E$12,$D174,$E$6,I$18,I$17)</f>
        <v>0</v>
      </c>
      <c r="J174" s="26">
        <f ca="1">_xll.DBRW($D$4,$E$7,$E$8,$E$9,$E$10,$E$12,$D174,$E$6,J$18,J$17)</f>
        <v>0</v>
      </c>
      <c r="K174" s="26">
        <f ca="1">_xll.DBRW($D$4,$E$7,$E$8,$E$9,$E$10,$E$12,$D174,$E$6,K$18,K$17)</f>
        <v>0</v>
      </c>
      <c r="L174" s="26">
        <f ca="1">_xll.DBRW($D$4,$E$7,$E$8,$E$9,$E$10,$E$12,$D174,$E$6,L$18,L$17)</f>
        <v>0</v>
      </c>
      <c r="M174" s="26">
        <f ca="1">_xll.DBRW($D$4,$E$7,$E$8,$E$9,$E$10,$E$12,$D174,$E$6,M$18,M$17)</f>
        <v>0</v>
      </c>
      <c r="N174" s="16">
        <f ca="1">_xll.DBRW($D$4,$E$7,$E$8,$E$9,$E$10,$E$12,$D174,$E$6,N$18,N$17)</f>
        <v>0.76052690999999806</v>
      </c>
      <c r="O174" s="16">
        <f ca="1">_xll.DBRW($D$4,$E$7,$E$8,$E$9,$E$10,$E$12,$D174,$E$6,O$18,O$17)</f>
        <v>5.9954276299999982</v>
      </c>
      <c r="P174" s="74">
        <f ca="1">_xll.DBRW($D$4,$E$7,$E$8,$E$9,$E$10,$E$12,$D174,$E$6,P$18,P$17)</f>
        <v>-2.3530435499999998</v>
      </c>
      <c r="Q174" s="16">
        <f ca="1">_xll.DBRW($D$4,$E$7,$E$8,$E$9,$E$10,$E$12,$D174,$E$6,Q$18,Q$17)</f>
        <v>0.39247301363889542</v>
      </c>
      <c r="R174" s="16"/>
      <c r="S174" s="16"/>
      <c r="T174" s="16"/>
      <c r="U174" s="16"/>
      <c r="V174" s="16">
        <f ca="1">_xll.DBRW($D$4,$E$7,$E$8,$E$9,$E$10,$E$12,$D174,$E$6,V$18,V$17)</f>
        <v>-0.51220875999999982</v>
      </c>
      <c r="W174" s="16">
        <f ca="1">_xll.DBRW($D$4,$E$7,$E$8,$E$9,$E$10,$E$12,$D174,$E$6,W$18,W$17)</f>
        <v>8.5433232057877409E-2</v>
      </c>
      <c r="X174" s="16"/>
      <c r="Y174" s="16"/>
      <c r="Z174" s="16"/>
      <c r="AA174" s="16"/>
      <c r="AB174" s="16">
        <f ca="1">_xll.DBRW($D$4,$E$7,$E$8,$E$9,$E$10,$E$12,$D174,$E$6,AB$18,AB$17)</f>
        <v>-0.69755066999999993</v>
      </c>
      <c r="AC174" s="16">
        <f ca="1">_xll.DBRW($D$4,$E$7,$E$8,$E$9,$E$10,$E$12,$D174,$E$6,AC$18,AC$17)</f>
        <v>0.11634710867154612</v>
      </c>
      <c r="AD174" s="16"/>
      <c r="AE174" s="16"/>
      <c r="AF174" s="16"/>
      <c r="AG174" s="16"/>
      <c r="AH174" s="16">
        <f ca="1">_xll.DBRW($D$4,$E$7,$E$8,$E$9,$E$10,$E$12,$D174,$E$6,AH$18,AH$17)</f>
        <v>-1.07358843</v>
      </c>
      <c r="AI174" s="16">
        <f ca="1">_xll.DBRW($D$4,$E$7,$E$8,$E$9,$E$10,$E$12,$D174,$E$6,AI$18,AI$17)</f>
        <v>0.17906786575622469</v>
      </c>
      <c r="AJ174" s="16"/>
      <c r="AK174" s="16"/>
      <c r="AL174" s="16"/>
      <c r="AM174" s="16"/>
      <c r="AN174" s="16">
        <f ca="1">_xll.DBRW($D$4,$E$7,$E$8,$E$9,$E$10,$E$12,$D174,$E$6,AN$18,AN$17)</f>
        <v>-0.59850930999999996</v>
      </c>
      <c r="AO174" s="16">
        <f ca="1">_xll.DBRW($D$4,$E$7,$E$8,$E$9,$E$10,$E$12,$D174,$E$6,AO$18,AO$17)</f>
        <v>9.9827626474076905E-2</v>
      </c>
      <c r="AP174" s="16"/>
      <c r="AQ174" s="16"/>
      <c r="AR174" s="16"/>
      <c r="AS174" s="16"/>
      <c r="AT174" s="16">
        <f ca="1">_xll.DBRW($D$4,$E$7,$E$8,$E$9,$E$10,$E$12,$D174,$E$6,AT$18,AT$17)</f>
        <v>0.10087496</v>
      </c>
      <c r="AU174" s="16">
        <f ca="1">_xll.DBRW($D$4,$E$7,$E$8,$E$9,$E$10,$E$12,$D174,$E$6,AU$18,AU$17)</f>
        <v>2.20234</v>
      </c>
      <c r="AV174" s="16">
        <f ca="1">_xll.DBRW($D$4,$E$7,$E$8,$E$9,$E$10,$E$12,$D174,$E$6,AV$18,AV$17)</f>
        <v>2.20234</v>
      </c>
      <c r="AW174" s="16">
        <f ca="1">_xll.DBRW($D$4,$E$7,$E$8,$E$9,$E$10,$E$12,$D174,$E$6,AW$18,AW$17)</f>
        <v>2.20234</v>
      </c>
      <c r="AX174" s="16">
        <f ca="1">_xll.DBRW($D$4,$E$7,$E$8,$E$9,$E$10,$E$12,$D174,$E$6,AX$18,AX$17)</f>
        <v>0.69170043999999997</v>
      </c>
      <c r="AY174" s="16">
        <f ca="1">_xll.DBRW($D$4,$E$7,$E$8,$E$9,$E$10,$E$12,$D174,$E$6,AY$18,AY$17)</f>
        <v>2.20234</v>
      </c>
      <c r="AZ174" s="16">
        <f ca="1">_xll.DBRW($D$4,$E$7,$E$8,$E$9,$E$10,$E$12,$D174,$E$6,AZ$18,AZ$17)</f>
        <v>1.5793360000000001</v>
      </c>
      <c r="BA174" s="16">
        <f ca="1">_xll.DBRW($D$4,$E$7,$E$8,$E$9,$E$10,$E$12,$D174,$E$6,BA$18,BA$17)</f>
        <v>2.20234</v>
      </c>
      <c r="BB174" s="16">
        <f ca="1">_xll.DBRW($D$4,$E$7,$E$8,$E$9,$E$10,$E$12,$D174,$E$6,BB$18,BB$17)</f>
        <v>2.20234</v>
      </c>
      <c r="BC174" s="16">
        <f ca="1">_xll.DBRW($D$4,$E$7,$E$8,$E$9,$E$10,$E$12,$D174,$E$6,BC$18,BC$17)</f>
        <v>2.20234</v>
      </c>
      <c r="BD174" s="16">
        <f ca="1">_xll.DBRW($D$4,$E$7,$E$8,$E$9,$E$10,$E$12,$D174,$E$6,BD$18,BD$17)</f>
        <v>-7.0397975012196218E-2</v>
      </c>
      <c r="BE174" s="16">
        <f ca="1">_xll.DBRW($D$4,$E$7,$E$8,$E$9,$E$10,$E$12,$D174,$E$6,BE$18,BE$17)</f>
        <v>-0.65281664127833361</v>
      </c>
      <c r="BF174" s="16">
        <f ca="1">_xll.DBRW($D$4,$E$7,$E$8,$E$9,$E$10,$E$12,$D174,$E$6,BF$18,BF$17)</f>
        <v>0</v>
      </c>
      <c r="BG174" s="26">
        <f ca="1">_xll.DBRW($D$4,$E$7,$E$8,$E$9,$E$10,$E$12,$D174,$E$6,BG$18,BG$17)</f>
        <v>0</v>
      </c>
      <c r="BH174" s="26">
        <f ca="1">_xll.DBRW($D$4,$E$7,$E$8,$E$9,$E$10,$E$12,$D174,$E$6,BH$18,BH$17)</f>
        <v>0</v>
      </c>
      <c r="BI174" s="26">
        <f ca="1">_xll.DBRW($D$4,$E$7,$E$8,$E$9,$E$10,$E$12,$D174,$E$6,BI$18,BI$17)</f>
        <v>0</v>
      </c>
      <c r="BJ174" s="26">
        <f ca="1">_xll.DBRW($D$4,$E$7,$E$8,$E$9,$E$10,$E$12,$D174,$E$6,BJ$18,BJ$17)</f>
        <v>0</v>
      </c>
      <c r="BK174" s="16">
        <f ca="1">_xll.DBRW($D$4,$E$7,$E$8,$E$9,$E$10,$E$12,$D174,$E$6,BK$18,BK$17)</f>
        <v>0.58241866626613736</v>
      </c>
      <c r="BL174" s="16">
        <f ca="1">_xll.DBRW($D$4,$E$7,$E$8,$E$9,$E$10,$E$12,$D174,$E$6,BL$18,BL$17)</f>
        <v>5.9151489200000009</v>
      </c>
      <c r="BM174" s="16">
        <f ca="1">_xll.DBRW($D$4,$E$7,$E$8,$E$9,$E$10,$E$12,$D174,$E$6,BM$18,BM$17)</f>
        <v>-2.2614895560666701</v>
      </c>
      <c r="BN174" s="16">
        <f ca="1">_xll.DBRW($D$4,$E$7,$E$8,$E$9,$E$10,$E$12,$D174,$E$6,BN$18,BN$17)</f>
        <v>0.38232166030854042</v>
      </c>
      <c r="BO174" s="16"/>
      <c r="BP174" s="16"/>
      <c r="BQ174" s="16"/>
      <c r="BR174" s="16"/>
      <c r="BS174" s="16">
        <f ca="1">_xll.DBRW($D$4,$E$7,$E$8,$E$9,$E$10,$E$12,$D174,$E$6,BS$18,BS$17)</f>
        <v>-0.47297398919999989</v>
      </c>
      <c r="BT174" s="16">
        <f ca="1">_xll.DBRW($D$4,$E$7,$E$8,$E$9,$E$10,$E$12,$D174,$E$6,BT$18,BT$17)</f>
        <v>7.9959777107352997E-2</v>
      </c>
      <c r="BU174" s="16"/>
      <c r="BV174" s="16"/>
      <c r="BW174" s="16"/>
      <c r="BX174" s="16"/>
      <c r="BY174" s="16">
        <f ca="1">_xll.DBRW($D$4,$E$7,$E$8,$E$9,$E$10,$E$12,$D174,$E$6,BY$18,BY$17)</f>
        <v>-0.5701241417536318</v>
      </c>
      <c r="BZ174" s="16">
        <f ca="1">_xll.DBRW($D$4,$E$7,$E$8,$E$9,$E$10,$E$12,$D174,$E$6,BZ$18,BZ$17)</f>
        <v>9.638373428367239E-2</v>
      </c>
      <c r="CA174" s="16"/>
      <c r="CB174" s="16"/>
      <c r="CC174" s="16"/>
      <c r="CD174" s="16"/>
      <c r="CE174" s="16">
        <f ca="1">_xll.DBRW($D$4,$E$7,$E$8,$E$9,$E$10,$E$12,$D174,$E$6,CE$18,CE$17)</f>
        <v>-1.2008466474748523</v>
      </c>
      <c r="CF174" s="16">
        <f ca="1">_xll.DBRW($D$4,$E$7,$E$8,$E$9,$E$10,$E$12,$D174,$E$6,CF$18,CF$17)</f>
        <v>0.20301207352778738</v>
      </c>
      <c r="CG174" s="16"/>
      <c r="CH174" s="16"/>
      <c r="CI174" s="16"/>
      <c r="CJ174" s="16"/>
      <c r="CK174" s="16">
        <f ca="1">_xll.DBRW($D$4,$E$7,$E$8,$E$9,$E$10,$E$12,$D174,$E$6,CK$18,CK$17)</f>
        <v>-0.82729591923871004</v>
      </c>
      <c r="CL174" s="16">
        <f ca="1">_xll.DBRW($D$4,$E$7,$E$8,$E$9,$E$10,$E$12,$D174,$E$6,CL$18,CL$17)</f>
        <v>0.13986053951093252</v>
      </c>
      <c r="CM174" s="16"/>
      <c r="CN174" s="16"/>
      <c r="CO174" s="16"/>
      <c r="CP174" s="16"/>
      <c r="CQ174" s="16">
        <f ca="1">_xll.DBRW($D$4,$E$7,$E$8,$E$9,$E$10,$E$12,$D174,$E$6,CQ$18,CQ$17)</f>
        <v>0.10639225999999997</v>
      </c>
      <c r="CR174" s="16">
        <f ca="1">_xll.DBRW($D$4,$E$7,$E$8,$E$9,$E$10,$E$12,$D174,$E$6,CR$18,CR$17)</f>
        <v>2.1005010000000004</v>
      </c>
      <c r="CS174" s="16">
        <f ca="1">_xll.DBRW($D$4,$E$7,$E$8,$E$9,$E$10,$E$12,$D174,$E$6,CS$18,CS$17)</f>
        <v>2.1005010000000004</v>
      </c>
      <c r="CT174" s="16">
        <f ca="1">_xll.DBRW($D$4,$E$7,$E$8,$E$9,$E$10,$E$12,$D174,$E$6,CT$18,CT$17)</f>
        <v>2.1005010000000004</v>
      </c>
      <c r="CU174" s="16">
        <f ca="1">_xll.DBRW($D$4,$E$7,$E$8,$E$9,$E$10,$E$12,$D174,$E$6,CU$18,CU$17)</f>
        <v>0.68249823711466695</v>
      </c>
      <c r="CV174" s="16">
        <f ca="1">_xll.DBRW($D$4,$E$7,$E$8,$E$9,$E$10,$E$12,$D174,$E$6,CV$18,CV$17)</f>
        <v>2.1005010000000004</v>
      </c>
      <c r="CW174" s="16">
        <f ca="1">_xll.DBRW($D$4,$E$7,$E$8,$E$9,$E$10,$E$12,$D174,$E$6,CW$18,CW$17)</f>
        <v>1.456931</v>
      </c>
      <c r="CX174" s="16">
        <f ca="1">_xll.DBRW($D$4,$E$7,$E$8,$E$9,$E$10,$E$12,$D174,$E$6,CX$18,CX$17)</f>
        <v>2.1005010000000004</v>
      </c>
      <c r="CY174" s="16">
        <f ca="1">_xll.DBRW($D$4,$E$7,$E$8,$E$9,$E$10,$E$12,$D174,$E$6,CY$18,CY$17)</f>
        <v>2.1005010000000004</v>
      </c>
      <c r="CZ174" s="16">
        <f ca="1">_xll.DBRW($D$4,$E$7,$E$8,$E$9,$E$10,$E$12,$D174,$E$6,CZ$18,CZ$17)</f>
        <v>2.1005010000000004</v>
      </c>
      <c r="DA174" s="26">
        <f t="shared" ca="1" si="127"/>
        <v>0.52100162501219427</v>
      </c>
      <c r="DB174" s="26">
        <f t="shared" ca="1" si="128"/>
        <v>0.34289338127833369</v>
      </c>
      <c r="DC174" s="26">
        <f t="shared" ca="1" si="129"/>
        <v>0</v>
      </c>
      <c r="DD174" s="26">
        <f t="shared" ca="1" si="130"/>
        <v>0</v>
      </c>
      <c r="DE174" s="26">
        <f t="shared" ca="1" si="131"/>
        <v>0</v>
      </c>
      <c r="DF174" s="26">
        <f t="shared" ca="1" si="132"/>
        <v>0</v>
      </c>
      <c r="DG174" s="26">
        <f t="shared" ca="1" si="133"/>
        <v>0</v>
      </c>
      <c r="DH174" s="26">
        <f t="shared" ca="1" si="134"/>
        <v>0.17810824373386069</v>
      </c>
      <c r="DI174" s="26">
        <f t="shared" ca="1" si="135"/>
        <v>8.0278709999997311E-2</v>
      </c>
      <c r="DJ174" s="26">
        <f t="shared" ca="1" si="136"/>
        <v>-9.1553993933329636E-2</v>
      </c>
      <c r="DK174" s="26">
        <f t="shared" ca="1" si="137"/>
        <v>1.0151353330354995E-2</v>
      </c>
      <c r="DL174" s="26"/>
      <c r="DM174" s="26"/>
      <c r="DN174" s="26"/>
      <c r="DO174" s="26"/>
      <c r="DP174" s="26">
        <f t="shared" ca="1" si="138"/>
        <v>-3.923477079999993E-2</v>
      </c>
      <c r="DQ174" s="26">
        <f t="shared" ca="1" si="139"/>
        <v>5.4734549505244118E-3</v>
      </c>
      <c r="DR174" s="26"/>
      <c r="DS174" s="26"/>
      <c r="DT174" s="26"/>
      <c r="DU174" s="26"/>
      <c r="DV174" s="26">
        <f t="shared" ca="1" si="140"/>
        <v>-0.12742652824636813</v>
      </c>
      <c r="DW174" s="26">
        <f t="shared" ca="1" si="141"/>
        <v>1.9963374387873725E-2</v>
      </c>
      <c r="DX174" s="26"/>
      <c r="DY174" s="26"/>
      <c r="DZ174" s="26"/>
      <c r="EA174" s="26"/>
      <c r="EB174" s="26">
        <f t="shared" ca="1" si="142"/>
        <v>0.12725821747485222</v>
      </c>
      <c r="EC174" s="26">
        <f t="shared" ca="1" si="143"/>
        <v>-2.3944207771562698E-2</v>
      </c>
      <c r="ED174" s="26"/>
      <c r="EE174" s="26"/>
      <c r="EF174" s="26"/>
      <c r="EG174" s="26"/>
      <c r="EH174" s="26">
        <f t="shared" ca="1" si="144"/>
        <v>0.22878660923871008</v>
      </c>
      <c r="EI174" s="29">
        <f t="shared" ca="1" si="145"/>
        <v>-4.0032913036855619E-2</v>
      </c>
      <c r="EJ174" s="29"/>
      <c r="EK174" s="29"/>
      <c r="EL174" s="29"/>
      <c r="EM174" s="29"/>
      <c r="EN174" s="93"/>
      <c r="EO174" s="29"/>
      <c r="EP174" s="29"/>
      <c r="EQ174" s="29"/>
      <c r="ER174" s="29"/>
      <c r="ES174" s="29"/>
      <c r="ET174" s="29"/>
      <c r="EU174" s="93"/>
      <c r="EV174" s="29"/>
      <c r="EW174" s="29"/>
      <c r="EX174" s="29"/>
      <c r="EY174" s="29"/>
      <c r="EZ174" s="29"/>
      <c r="FA174" s="29"/>
      <c r="FB174" s="93"/>
      <c r="FC174" s="29"/>
      <c r="FD174" s="29"/>
      <c r="FE174" s="29"/>
      <c r="FF174" s="29"/>
      <c r="FG174" s="29"/>
      <c r="FH174" s="29"/>
      <c r="FI174" s="93"/>
      <c r="FJ174" s="29"/>
      <c r="FK174" s="29"/>
      <c r="FL174" s="29"/>
      <c r="FM174" s="29"/>
      <c r="FN174" s="29"/>
      <c r="FO174" s="29"/>
      <c r="FP174" s="93"/>
      <c r="FQ174" s="29"/>
      <c r="FR174" s="29"/>
      <c r="FS174" s="29"/>
      <c r="FT174" s="29"/>
      <c r="FU174" s="29"/>
      <c r="FV174" s="29"/>
    </row>
    <row r="175" spans="1:178" x14ac:dyDescent="0.25">
      <c r="A175" t="str">
        <f ca="1">IF(_xll.TM1RPTELISCONSOLIDATED($D$28,$D175),IF(_xll.TM1RPTELLEV($D$28,$D175)&lt;=3,_xll.TM1RPTELLEV($D$28,$D175),"D"),"N")</f>
        <v>N</v>
      </c>
      <c r="B175" t="str">
        <f ca="1">_xll.DBRA(Server&amp;"Management_organization",$D175,$B$27)</f>
        <v>L</v>
      </c>
      <c r="C175">
        <v>1</v>
      </c>
      <c r="D175" s="2" t="s">
        <v>188</v>
      </c>
      <c r="E175" s="26"/>
      <c r="F175" s="26"/>
      <c r="G175" s="16">
        <f ca="1">_xll.DBRW($D$4,$E$7,$E$8,$E$9,$E$10,$E$12,$D175,$E$6,G$18,G$17)</f>
        <v>-0.81623896999999834</v>
      </c>
      <c r="H175" s="16">
        <f ca="1">_xll.DBRW($D$4,$E$7,$E$8,$E$9,$E$10,$E$12,$D175,$E$6,H$18,H$17)</f>
        <v>-1.6496016</v>
      </c>
      <c r="I175" s="16">
        <f ca="1">_xll.DBRW($D$4,$E$7,$E$8,$E$9,$E$10,$E$12,$D175,$E$6,I$18,I$17)</f>
        <v>0</v>
      </c>
      <c r="J175" s="26">
        <f ca="1">_xll.DBRW($D$4,$E$7,$E$8,$E$9,$E$10,$E$12,$D175,$E$6,J$18,J$17)</f>
        <v>0</v>
      </c>
      <c r="K175" s="26">
        <f ca="1">_xll.DBRW($D$4,$E$7,$E$8,$E$9,$E$10,$E$12,$D175,$E$6,K$18,K$17)</f>
        <v>0</v>
      </c>
      <c r="L175" s="26">
        <f ca="1">_xll.DBRW($D$4,$E$7,$E$8,$E$9,$E$10,$E$12,$D175,$E$6,L$18,L$17)</f>
        <v>0</v>
      </c>
      <c r="M175" s="26">
        <f ca="1">_xll.DBRW($D$4,$E$7,$E$8,$E$9,$E$10,$E$12,$D175,$E$6,M$18,M$17)</f>
        <v>0</v>
      </c>
      <c r="N175" s="16">
        <f ca="1">_xll.DBRW($D$4,$E$7,$E$8,$E$9,$E$10,$E$12,$D175,$E$6,N$18,N$17)</f>
        <v>0.83336263000000144</v>
      </c>
      <c r="O175" s="16">
        <f ca="1">_xll.DBRW($D$4,$E$7,$E$8,$E$9,$E$10,$E$12,$D175,$E$6,O$18,O$17)</f>
        <v>13.478261720000001</v>
      </c>
      <c r="P175" s="74">
        <f ca="1">_xll.DBRW($D$4,$E$7,$E$8,$E$9,$E$10,$E$12,$D175,$E$6,P$18,P$17)</f>
        <v>-5.9084501700000009</v>
      </c>
      <c r="Q175" s="16">
        <f ca="1">_xll.DBRW($D$4,$E$7,$E$8,$E$9,$E$10,$E$12,$D175,$E$6,Q$18,Q$17)</f>
        <v>0.43836885592098451</v>
      </c>
      <c r="R175" s="16"/>
      <c r="S175" s="16"/>
      <c r="T175" s="16"/>
      <c r="U175" s="16"/>
      <c r="V175" s="16">
        <f ca="1">_xll.DBRW($D$4,$E$7,$E$8,$E$9,$E$10,$E$12,$D175,$E$6,V$18,V$17)</f>
        <v>-1.0132298499999999</v>
      </c>
      <c r="W175" s="16">
        <f ca="1">_xll.DBRW($D$4,$E$7,$E$8,$E$9,$E$10,$E$12,$D175,$E$6,W$18,W$17)</f>
        <v>7.517511315991865E-2</v>
      </c>
      <c r="X175" s="16"/>
      <c r="Y175" s="16"/>
      <c r="Z175" s="16"/>
      <c r="AA175" s="16"/>
      <c r="AB175" s="16">
        <f ca="1">_xll.DBRW($D$4,$E$7,$E$8,$E$9,$E$10,$E$12,$D175,$E$6,AB$18,AB$17)</f>
        <v>-1.4083748599999999</v>
      </c>
      <c r="AC175" s="16">
        <f ca="1">_xll.DBRW($D$4,$E$7,$E$8,$E$9,$E$10,$E$12,$D175,$E$6,AC$18,AC$17)</f>
        <v>0.10449232172945221</v>
      </c>
      <c r="AD175" s="16"/>
      <c r="AE175" s="16"/>
      <c r="AF175" s="16"/>
      <c r="AG175" s="16"/>
      <c r="AH175" s="16">
        <f ca="1">_xll.DBRW($D$4,$E$7,$E$8,$E$9,$E$10,$E$12,$D175,$E$6,AH$18,AH$17)</f>
        <v>-2.01724726</v>
      </c>
      <c r="AI175" s="16">
        <f ca="1">_xll.DBRW($D$4,$E$7,$E$8,$E$9,$E$10,$E$12,$D175,$E$6,AI$18,AI$17)</f>
        <v>0.14966672275006096</v>
      </c>
      <c r="AJ175" s="16"/>
      <c r="AK175" s="16"/>
      <c r="AL175" s="16"/>
      <c r="AM175" s="16"/>
      <c r="AN175" s="16">
        <f ca="1">_xll.DBRW($D$4,$E$7,$E$8,$E$9,$E$10,$E$12,$D175,$E$6,AN$18,AN$17)</f>
        <v>-2.2975969499999995</v>
      </c>
      <c r="AO175" s="16">
        <f ca="1">_xll.DBRW($D$4,$E$7,$E$8,$E$9,$E$10,$E$12,$D175,$E$6,AO$18,AO$17)</f>
        <v>0.17046685972796197</v>
      </c>
      <c r="AP175" s="16"/>
      <c r="AQ175" s="16"/>
      <c r="AR175" s="16"/>
      <c r="AS175" s="16"/>
      <c r="AT175" s="16">
        <f ca="1">_xll.DBRW($D$4,$E$7,$E$8,$E$9,$E$10,$E$12,$D175,$E$6,AT$18,AT$17)</f>
        <v>8.7931999999999996E-2</v>
      </c>
      <c r="AU175" s="16">
        <f ca="1">_xll.DBRW($D$4,$E$7,$E$8,$E$9,$E$10,$E$12,$D175,$E$6,AU$18,AU$17)</f>
        <v>3.042824</v>
      </c>
      <c r="AV175" s="16">
        <f ca="1">_xll.DBRW($D$4,$E$7,$E$8,$E$9,$E$10,$E$12,$D175,$E$6,AV$18,AV$17)</f>
        <v>3.042824</v>
      </c>
      <c r="AW175" s="16">
        <f ca="1">_xll.DBRW($D$4,$E$7,$E$8,$E$9,$E$10,$E$12,$D175,$E$6,AW$18,AW$17)</f>
        <v>3.042824</v>
      </c>
      <c r="AX175" s="16">
        <f ca="1">_xll.DBRW($D$4,$E$7,$E$8,$E$9,$E$10,$E$12,$D175,$E$6,AX$18,AX$17)</f>
        <v>1.008473</v>
      </c>
      <c r="AY175" s="16">
        <f ca="1">_xll.DBRW($D$4,$E$7,$E$8,$E$9,$E$10,$E$12,$D175,$E$6,AY$18,AY$17)</f>
        <v>3.042824</v>
      </c>
      <c r="AZ175" s="16">
        <f ca="1">_xll.DBRW($D$4,$E$7,$E$8,$E$9,$E$10,$E$12,$D175,$E$6,AZ$18,AZ$17)</f>
        <v>2.0820289999999999</v>
      </c>
      <c r="BA175" s="16">
        <f ca="1">_xll.DBRW($D$4,$E$7,$E$8,$E$9,$E$10,$E$12,$D175,$E$6,BA$18,BA$17)</f>
        <v>3.042824</v>
      </c>
      <c r="BB175" s="16">
        <f ca="1">_xll.DBRW($D$4,$E$7,$E$8,$E$9,$E$10,$E$12,$D175,$E$6,BB$18,BB$17)</f>
        <v>3.042824</v>
      </c>
      <c r="BC175" s="16">
        <f ca="1">_xll.DBRW($D$4,$E$7,$E$8,$E$9,$E$10,$E$12,$D175,$E$6,BC$18,BC$17)</f>
        <v>3.042824</v>
      </c>
      <c r="BD175" s="16">
        <f ca="1">_xll.DBRW($D$4,$E$7,$E$8,$E$9,$E$10,$E$12,$D175,$E$6,BD$18,BD$17)</f>
        <v>-2.0789334023076691</v>
      </c>
      <c r="BE175" s="16">
        <f ca="1">_xll.DBRW($D$4,$E$7,$E$8,$E$9,$E$10,$E$12,$D175,$E$6,BE$18,BE$17)</f>
        <v>-1.95502526</v>
      </c>
      <c r="BF175" s="16">
        <f ca="1">_xll.DBRW($D$4,$E$7,$E$8,$E$9,$E$10,$E$12,$D175,$E$6,BF$18,BF$17)</f>
        <v>0</v>
      </c>
      <c r="BG175" s="26">
        <f ca="1">_xll.DBRW($D$4,$E$7,$E$8,$E$9,$E$10,$E$12,$D175,$E$6,BG$18,BG$17)</f>
        <v>0</v>
      </c>
      <c r="BH175" s="26">
        <f ca="1">_xll.DBRW($D$4,$E$7,$E$8,$E$9,$E$10,$E$12,$D175,$E$6,BH$18,BH$17)</f>
        <v>0</v>
      </c>
      <c r="BI175" s="26">
        <f ca="1">_xll.DBRW($D$4,$E$7,$E$8,$E$9,$E$10,$E$12,$D175,$E$6,BI$18,BI$17)</f>
        <v>0</v>
      </c>
      <c r="BJ175" s="26">
        <f ca="1">_xll.DBRW($D$4,$E$7,$E$8,$E$9,$E$10,$E$12,$D175,$E$6,BJ$18,BJ$17)</f>
        <v>0</v>
      </c>
      <c r="BK175" s="16">
        <f ca="1">_xll.DBRW($D$4,$E$7,$E$8,$E$9,$E$10,$E$12,$D175,$E$6,BK$18,BK$17)</f>
        <v>-0.123908142307669</v>
      </c>
      <c r="BL175" s="16">
        <f ca="1">_xll.DBRW($D$4,$E$7,$E$8,$E$9,$E$10,$E$12,$D175,$E$6,BL$18,BL$17)</f>
        <v>14.674220549999999</v>
      </c>
      <c r="BM175" s="16">
        <f ca="1">_xll.DBRW($D$4,$E$7,$E$8,$E$9,$E$10,$E$12,$D175,$E$6,BM$18,BM$17)</f>
        <v>-6.4040466199999999</v>
      </c>
      <c r="BN175" s="16">
        <f ca="1">_xll.DBRW($D$4,$E$7,$E$8,$E$9,$E$10,$E$12,$D175,$E$6,BN$18,BN$17)</f>
        <v>0.43641477229943909</v>
      </c>
      <c r="BO175" s="16"/>
      <c r="BP175" s="16"/>
      <c r="BQ175" s="16"/>
      <c r="BR175" s="16"/>
      <c r="BS175" s="16">
        <f ca="1">_xll.DBRW($D$4,$E$7,$E$8,$E$9,$E$10,$E$12,$D175,$E$6,BS$18,BS$17)</f>
        <v>-1.4885735080029336</v>
      </c>
      <c r="BT175" s="16">
        <f ca="1">_xll.DBRW($D$4,$E$7,$E$8,$E$9,$E$10,$E$12,$D175,$E$6,BT$18,BT$17)</f>
        <v>0.10144140214676914</v>
      </c>
      <c r="BU175" s="16"/>
      <c r="BV175" s="16"/>
      <c r="BW175" s="16"/>
      <c r="BX175" s="16"/>
      <c r="BY175" s="16">
        <f ca="1">_xll.DBRW($D$4,$E$7,$E$8,$E$9,$E$10,$E$12,$D175,$E$6,BY$18,BY$17)</f>
        <v>-1.4903105309714</v>
      </c>
      <c r="BZ175" s="16">
        <f ca="1">_xll.DBRW($D$4,$E$7,$E$8,$E$9,$E$10,$E$12,$D175,$E$6,BZ$18,BZ$17)</f>
        <v>0.10155977456474852</v>
      </c>
      <c r="CA175" s="16"/>
      <c r="CB175" s="16"/>
      <c r="CC175" s="16"/>
      <c r="CD175" s="16"/>
      <c r="CE175" s="16">
        <f ca="1">_xll.DBRW($D$4,$E$7,$E$8,$E$9,$E$10,$E$12,$D175,$E$6,CE$18,CE$17)</f>
        <v>-2.5986897433333338</v>
      </c>
      <c r="CF175" s="16">
        <f ca="1">_xll.DBRW($D$4,$E$7,$E$8,$E$9,$E$10,$E$12,$D175,$E$6,CF$18,CF$17)</f>
        <v>0.17709218247597716</v>
      </c>
      <c r="CG175" s="16"/>
      <c r="CH175" s="16"/>
      <c r="CI175" s="16"/>
      <c r="CJ175" s="16"/>
      <c r="CK175" s="16">
        <f ca="1">_xll.DBRW($D$4,$E$7,$E$8,$E$9,$E$10,$E$12,$D175,$E$6,CK$18,CK$17)</f>
        <v>-2.8165082900000011</v>
      </c>
      <c r="CL175" s="16">
        <f ca="1">_xll.DBRW($D$4,$E$7,$E$8,$E$9,$E$10,$E$12,$D175,$E$6,CL$18,CL$17)</f>
        <v>0.19193580200074076</v>
      </c>
      <c r="CM175" s="16"/>
      <c r="CN175" s="16"/>
      <c r="CO175" s="16"/>
      <c r="CP175" s="16"/>
      <c r="CQ175" s="16">
        <f ca="1">_xll.DBRW($D$4,$E$7,$E$8,$E$9,$E$10,$E$12,$D175,$E$6,CQ$18,CQ$17)</f>
        <v>0</v>
      </c>
      <c r="CR175" s="16">
        <f ca="1">_xll.DBRW($D$4,$E$7,$E$8,$E$9,$E$10,$E$12,$D175,$E$6,CR$18,CR$17)</f>
        <v>5.3207099999999983</v>
      </c>
      <c r="CS175" s="16">
        <f ca="1">_xll.DBRW($D$4,$E$7,$E$8,$E$9,$E$10,$E$12,$D175,$E$6,CS$18,CS$17)</f>
        <v>5.3207099999999983</v>
      </c>
      <c r="CT175" s="16">
        <f ca="1">_xll.DBRW($D$4,$E$7,$E$8,$E$9,$E$10,$E$12,$D175,$E$6,CT$18,CT$17)</f>
        <v>5.3207099999999983</v>
      </c>
      <c r="CU175" s="16">
        <f ca="1">_xll.DBRW($D$4,$E$7,$E$8,$E$9,$E$10,$E$12,$D175,$E$6,CU$18,CU$17)</f>
        <v>1.76574805</v>
      </c>
      <c r="CV175" s="16">
        <f ca="1">_xll.DBRW($D$4,$E$7,$E$8,$E$9,$E$10,$E$12,$D175,$E$6,CV$18,CV$17)</f>
        <v>5.3207099999999983</v>
      </c>
      <c r="CW175" s="16">
        <f ca="1">_xll.DBRW($D$4,$E$7,$E$8,$E$9,$E$10,$E$12,$D175,$E$6,CW$18,CW$17)</f>
        <v>3.6941429894</v>
      </c>
      <c r="CX175" s="16">
        <f ca="1">_xll.DBRW($D$4,$E$7,$E$8,$E$9,$E$10,$E$12,$D175,$E$6,CX$18,CX$17)</f>
        <v>5.3207099999999983</v>
      </c>
      <c r="CY175" s="16">
        <f ca="1">_xll.DBRW($D$4,$E$7,$E$8,$E$9,$E$10,$E$12,$D175,$E$6,CY$18,CY$17)</f>
        <v>5.3207099999999983</v>
      </c>
      <c r="CZ175" s="16">
        <f ca="1">_xll.DBRW($D$4,$E$7,$E$8,$E$9,$E$10,$E$12,$D175,$E$6,CZ$18,CZ$17)</f>
        <v>5.3207099999999983</v>
      </c>
      <c r="DA175" s="26">
        <f t="shared" ca="1" si="127"/>
        <v>1.2626944323076708</v>
      </c>
      <c r="DB175" s="26">
        <f t="shared" ca="1" si="128"/>
        <v>0.30542365999999999</v>
      </c>
      <c r="DC175" s="26">
        <f t="shared" ca="1" si="129"/>
        <v>0</v>
      </c>
      <c r="DD175" s="26">
        <f t="shared" ca="1" si="130"/>
        <v>0</v>
      </c>
      <c r="DE175" s="26">
        <f t="shared" ca="1" si="131"/>
        <v>0</v>
      </c>
      <c r="DF175" s="26">
        <f t="shared" ca="1" si="132"/>
        <v>0</v>
      </c>
      <c r="DG175" s="26">
        <f t="shared" ca="1" si="133"/>
        <v>0</v>
      </c>
      <c r="DH175" s="26">
        <f t="shared" ca="1" si="134"/>
        <v>0.95727077230767044</v>
      </c>
      <c r="DI175" s="26">
        <f t="shared" ca="1" si="135"/>
        <v>-1.1959588299999986</v>
      </c>
      <c r="DJ175" s="26">
        <f t="shared" ca="1" si="136"/>
        <v>0.49559644999999897</v>
      </c>
      <c r="DK175" s="26">
        <f t="shared" ca="1" si="137"/>
        <v>1.9540836215454216E-3</v>
      </c>
      <c r="DL175" s="26"/>
      <c r="DM175" s="26"/>
      <c r="DN175" s="26"/>
      <c r="DO175" s="26"/>
      <c r="DP175" s="26">
        <f t="shared" ca="1" si="138"/>
        <v>0.47534365800293377</v>
      </c>
      <c r="DQ175" s="26">
        <f t="shared" ca="1" si="139"/>
        <v>-2.6266288986850489E-2</v>
      </c>
      <c r="DR175" s="26"/>
      <c r="DS175" s="26"/>
      <c r="DT175" s="26"/>
      <c r="DU175" s="26"/>
      <c r="DV175" s="26">
        <f t="shared" ca="1" si="140"/>
        <v>8.1935670971400087E-2</v>
      </c>
      <c r="DW175" s="26">
        <f t="shared" ca="1" si="141"/>
        <v>2.9325471647036888E-3</v>
      </c>
      <c r="DX175" s="26"/>
      <c r="DY175" s="26"/>
      <c r="DZ175" s="26"/>
      <c r="EA175" s="26"/>
      <c r="EB175" s="26">
        <f t="shared" ca="1" si="142"/>
        <v>0.58144248333333381</v>
      </c>
      <c r="EC175" s="26">
        <f t="shared" ca="1" si="143"/>
        <v>-2.7425459725916201E-2</v>
      </c>
      <c r="ED175" s="26"/>
      <c r="EE175" s="26"/>
      <c r="EF175" s="26"/>
      <c r="EG175" s="26"/>
      <c r="EH175" s="26">
        <f t="shared" ca="1" si="144"/>
        <v>0.51891134000000161</v>
      </c>
      <c r="EI175" s="29">
        <f t="shared" ca="1" si="145"/>
        <v>-2.146894227277879E-2</v>
      </c>
      <c r="EJ175" s="29"/>
      <c r="EK175" s="29"/>
      <c r="EL175" s="29"/>
      <c r="EM175" s="29"/>
      <c r="EN175" s="93"/>
      <c r="EO175" s="29"/>
      <c r="EP175" s="29"/>
      <c r="EQ175" s="29"/>
      <c r="ER175" s="29"/>
      <c r="ES175" s="29"/>
      <c r="ET175" s="29"/>
      <c r="EU175" s="93"/>
      <c r="EV175" s="29"/>
      <c r="EW175" s="29"/>
      <c r="EX175" s="29"/>
      <c r="EY175" s="29"/>
      <c r="EZ175" s="29"/>
      <c r="FA175" s="29"/>
      <c r="FB175" s="93"/>
      <c r="FC175" s="29"/>
      <c r="FD175" s="29"/>
      <c r="FE175" s="29"/>
      <c r="FF175" s="29"/>
      <c r="FG175" s="29"/>
      <c r="FH175" s="29"/>
      <c r="FI175" s="93"/>
      <c r="FJ175" s="29"/>
      <c r="FK175" s="29"/>
      <c r="FL175" s="29"/>
      <c r="FM175" s="29"/>
      <c r="FN175" s="29"/>
      <c r="FO175" s="29"/>
      <c r="FP175" s="93"/>
      <c r="FQ175" s="29"/>
      <c r="FR175" s="29"/>
      <c r="FS175" s="29"/>
      <c r="FT175" s="29"/>
      <c r="FU175" s="29"/>
      <c r="FV175" s="29"/>
    </row>
    <row r="176" spans="1:178" x14ac:dyDescent="0.25">
      <c r="A176" t="str">
        <f ca="1">IF(_xll.TM1RPTELISCONSOLIDATED($D$28,$D176),IF(_xll.TM1RPTELLEV($D$28,$D176)&lt;=3,_xll.TM1RPTELLEV($D$28,$D176),"D"),"N")</f>
        <v>N</v>
      </c>
      <c r="B176" t="str">
        <f ca="1">_xll.DBRA(Server&amp;"Management_organization",$D176,$B$27)</f>
        <v>L</v>
      </c>
      <c r="C176">
        <v>1</v>
      </c>
      <c r="D176" s="2" t="s">
        <v>344</v>
      </c>
      <c r="E176" s="26"/>
      <c r="F176" s="26"/>
      <c r="G176" s="16">
        <f ca="1">_xll.DBRW($D$4,$E$7,$E$8,$E$9,$E$10,$E$12,$D176,$E$6,G$18,G$17)</f>
        <v>0.48828859999999985</v>
      </c>
      <c r="H176" s="16">
        <f ca="1">_xll.DBRW($D$4,$E$7,$E$8,$E$9,$E$10,$E$12,$D176,$E$6,H$18,H$17)</f>
        <v>-2.0009880799999999</v>
      </c>
      <c r="I176" s="16">
        <f ca="1">_xll.DBRW($D$4,$E$7,$E$8,$E$9,$E$10,$E$12,$D176,$E$6,I$18,I$17)</f>
        <v>0</v>
      </c>
      <c r="J176" s="26">
        <f ca="1">_xll.DBRW($D$4,$E$7,$E$8,$E$9,$E$10,$E$12,$D176,$E$6,J$18,J$17)</f>
        <v>0</v>
      </c>
      <c r="K176" s="26">
        <f ca="1">_xll.DBRW($D$4,$E$7,$E$8,$E$9,$E$10,$E$12,$D176,$E$6,K$18,K$17)</f>
        <v>0</v>
      </c>
      <c r="L176" s="26">
        <f ca="1">_xll.DBRW($D$4,$E$7,$E$8,$E$9,$E$10,$E$12,$D176,$E$6,L$18,L$17)</f>
        <v>0</v>
      </c>
      <c r="M176" s="26">
        <f ca="1">_xll.DBRW($D$4,$E$7,$E$8,$E$9,$E$10,$E$12,$D176,$E$6,M$18,M$17)</f>
        <v>0</v>
      </c>
      <c r="N176" s="16">
        <f ca="1">_xll.DBRW($D$4,$E$7,$E$8,$E$9,$E$10,$E$12,$D176,$E$6,N$18,N$17)</f>
        <v>2.4892766799999997</v>
      </c>
      <c r="O176" s="16">
        <f ca="1">_xll.DBRW($D$4,$E$7,$E$8,$E$9,$E$10,$E$12,$D176,$E$6,O$18,O$17)</f>
        <v>21.673605869999996</v>
      </c>
      <c r="P176" s="74">
        <f ca="1">_xll.DBRW($D$4,$E$7,$E$8,$E$9,$E$10,$E$12,$D176,$E$6,P$18,P$17)</f>
        <v>-10.460425469999997</v>
      </c>
      <c r="Q176" s="16">
        <f ca="1">_xll.DBRW($D$4,$E$7,$E$8,$E$9,$E$10,$E$12,$D176,$E$6,Q$18,Q$17)</f>
        <v>0.48263429411526892</v>
      </c>
      <c r="R176" s="16"/>
      <c r="S176" s="16"/>
      <c r="T176" s="16"/>
      <c r="U176" s="16"/>
      <c r="V176" s="16">
        <f ca="1">_xll.DBRW($D$4,$E$7,$E$8,$E$9,$E$10,$E$12,$D176,$E$6,V$18,V$17)</f>
        <v>-2.4854608599999994</v>
      </c>
      <c r="W176" s="16">
        <f ca="1">_xll.DBRW($D$4,$E$7,$E$8,$E$9,$E$10,$E$12,$D176,$E$6,W$18,W$17)</f>
        <v>0.11467685049308318</v>
      </c>
      <c r="X176" s="16"/>
      <c r="Y176" s="16"/>
      <c r="Z176" s="16"/>
      <c r="AA176" s="16"/>
      <c r="AB176" s="16">
        <f ca="1">_xll.DBRW($D$4,$E$7,$E$8,$E$9,$E$10,$E$12,$D176,$E$6,AB$18,AB$17)</f>
        <v>-1.2772219000000002</v>
      </c>
      <c r="AC176" s="16">
        <f ca="1">_xll.DBRW($D$4,$E$7,$E$8,$E$9,$E$10,$E$12,$D176,$E$6,AC$18,AC$17)</f>
        <v>5.8929829566011227E-2</v>
      </c>
      <c r="AD176" s="16"/>
      <c r="AE176" s="16"/>
      <c r="AF176" s="16"/>
      <c r="AG176" s="16"/>
      <c r="AH176" s="16">
        <f ca="1">_xll.DBRW($D$4,$E$7,$E$8,$E$9,$E$10,$E$12,$D176,$E$6,AH$18,AH$17)</f>
        <v>-1.2856999999999999E-3</v>
      </c>
      <c r="AI176" s="16">
        <f ca="1">_xll.DBRW($D$4,$E$7,$E$8,$E$9,$E$10,$E$12,$D176,$E$6,AI$18,AI$17)</f>
        <v>5.9321001208185214E-5</v>
      </c>
      <c r="AJ176" s="16"/>
      <c r="AK176" s="16"/>
      <c r="AL176" s="16"/>
      <c r="AM176" s="16"/>
      <c r="AN176" s="16">
        <f ca="1">_xll.DBRW($D$4,$E$7,$E$8,$E$9,$E$10,$E$12,$D176,$E$6,AN$18,AN$17)</f>
        <v>-4.9599352599999991</v>
      </c>
      <c r="AO176" s="16">
        <f ca="1">_xll.DBRW($D$4,$E$7,$E$8,$E$9,$E$10,$E$12,$D176,$E$6,AO$18,AO$17)</f>
        <v>0.2288467959484953</v>
      </c>
      <c r="AP176" s="16"/>
      <c r="AQ176" s="16"/>
      <c r="AR176" s="16"/>
      <c r="AS176" s="16"/>
      <c r="AT176" s="16">
        <f ca="1">_xll.DBRW($D$4,$E$7,$E$8,$E$9,$E$10,$E$12,$D176,$E$6,AT$18,AT$17)</f>
        <v>0.32980643000000009</v>
      </c>
      <c r="AU176" s="16">
        <f ca="1">_xll.DBRW($D$4,$E$7,$E$8,$E$9,$E$10,$E$12,$D176,$E$6,AU$18,AU$17)</f>
        <v>3.3360859999999999</v>
      </c>
      <c r="AV176" s="16">
        <f ca="1">_xll.DBRW($D$4,$E$7,$E$8,$E$9,$E$10,$E$12,$D176,$E$6,AV$18,AV$17)</f>
        <v>3.3360859999999999</v>
      </c>
      <c r="AW176" s="16">
        <f ca="1">_xll.DBRW($D$4,$E$7,$E$8,$E$9,$E$10,$E$12,$D176,$E$6,AW$18,AW$17)</f>
        <v>3.3360859999999999</v>
      </c>
      <c r="AX176" s="16">
        <f ca="1">_xll.DBRW($D$4,$E$7,$E$8,$E$9,$E$10,$E$12,$D176,$E$6,AX$18,AX$17)</f>
        <v>1.3643940699999999</v>
      </c>
      <c r="AY176" s="16">
        <f ca="1">_xll.DBRW($D$4,$E$7,$E$8,$E$9,$E$10,$E$12,$D176,$E$6,AY$18,AY$17)</f>
        <v>3.3360859999999999</v>
      </c>
      <c r="AZ176" s="16">
        <f ca="1">_xll.DBRW($D$4,$E$7,$E$8,$E$9,$E$10,$E$12,$D176,$E$6,AZ$18,AZ$17)</f>
        <v>2.9209356999999998</v>
      </c>
      <c r="BA176" s="16">
        <f ca="1">_xll.DBRW($D$4,$E$7,$E$8,$E$9,$E$10,$E$12,$D176,$E$6,BA$18,BA$17)</f>
        <v>3.3360859999999999</v>
      </c>
      <c r="BB176" s="16">
        <f ca="1">_xll.DBRW($D$4,$E$7,$E$8,$E$9,$E$10,$E$12,$D176,$E$6,BB$18,BB$17)</f>
        <v>3.3360859999999999</v>
      </c>
      <c r="BC176" s="16">
        <f ca="1">_xll.DBRW($D$4,$E$7,$E$8,$E$9,$E$10,$E$12,$D176,$E$6,BC$18,BC$17)</f>
        <v>3.3360859999999999</v>
      </c>
      <c r="BD176" s="16">
        <f ca="1">_xll.DBRW($D$4,$E$7,$E$8,$E$9,$E$10,$E$12,$D176,$E$6,BD$18,BD$17)</f>
        <v>0.41045348393627723</v>
      </c>
      <c r="BE176" s="16">
        <f ca="1">_xll.DBRW($D$4,$E$7,$E$8,$E$9,$E$10,$E$12,$D176,$E$6,BE$18,BE$17)</f>
        <v>-2.0572084390000001</v>
      </c>
      <c r="BF176" s="16">
        <f ca="1">_xll.DBRW($D$4,$E$7,$E$8,$E$9,$E$10,$E$12,$D176,$E$6,BF$18,BF$17)</f>
        <v>0</v>
      </c>
      <c r="BG176" s="26">
        <f ca="1">_xll.DBRW($D$4,$E$7,$E$8,$E$9,$E$10,$E$12,$D176,$E$6,BG$18,BG$17)</f>
        <v>0</v>
      </c>
      <c r="BH176" s="26">
        <f ca="1">_xll.DBRW($D$4,$E$7,$E$8,$E$9,$E$10,$E$12,$D176,$E$6,BH$18,BH$17)</f>
        <v>0</v>
      </c>
      <c r="BI176" s="26">
        <f ca="1">_xll.DBRW($D$4,$E$7,$E$8,$E$9,$E$10,$E$12,$D176,$E$6,BI$18,BI$17)</f>
        <v>0</v>
      </c>
      <c r="BJ176" s="26">
        <f ca="1">_xll.DBRW($D$4,$E$7,$E$8,$E$9,$E$10,$E$12,$D176,$E$6,BJ$18,BJ$17)</f>
        <v>0</v>
      </c>
      <c r="BK176" s="16">
        <f ca="1">_xll.DBRW($D$4,$E$7,$E$8,$E$9,$E$10,$E$12,$D176,$E$6,BK$18,BK$17)</f>
        <v>2.4676619229362773</v>
      </c>
      <c r="BL176" s="16">
        <f ca="1">_xll.DBRW($D$4,$E$7,$E$8,$E$9,$E$10,$E$12,$D176,$E$6,BL$18,BL$17)</f>
        <v>23.721463029999995</v>
      </c>
      <c r="BM176" s="16">
        <f ca="1">_xll.DBRW($D$4,$E$7,$E$8,$E$9,$E$10,$E$12,$D176,$E$6,BM$18,BM$17)</f>
        <v>-11.816169099999998</v>
      </c>
      <c r="BN176" s="16">
        <f ca="1">_xll.DBRW($D$4,$E$7,$E$8,$E$9,$E$10,$E$12,$D176,$E$6,BN$18,BN$17)</f>
        <v>0.49812143058193153</v>
      </c>
      <c r="BO176" s="16"/>
      <c r="BP176" s="16"/>
      <c r="BQ176" s="16"/>
      <c r="BR176" s="16"/>
      <c r="BS176" s="16">
        <f ca="1">_xll.DBRW($D$4,$E$7,$E$8,$E$9,$E$10,$E$12,$D176,$E$6,BS$18,BS$17)</f>
        <v>-2.711871289681</v>
      </c>
      <c r="BT176" s="16">
        <f ca="1">_xll.DBRW($D$4,$E$7,$E$8,$E$9,$E$10,$E$12,$D176,$E$6,BT$18,BT$17)</f>
        <v>0.11432141796023955</v>
      </c>
      <c r="BU176" s="16"/>
      <c r="BV176" s="16"/>
      <c r="BW176" s="16"/>
      <c r="BX176" s="16"/>
      <c r="BY176" s="16">
        <f ca="1">_xll.DBRW($D$4,$E$7,$E$8,$E$9,$E$10,$E$12,$D176,$E$6,BY$18,BY$17)</f>
        <v>-1.2628815173827233</v>
      </c>
      <c r="BZ176" s="16">
        <f ca="1">_xll.DBRW($D$4,$E$7,$E$8,$E$9,$E$10,$E$12,$D176,$E$6,BZ$18,BZ$17)</f>
        <v>5.3237927010892444E-2</v>
      </c>
      <c r="CA176" s="16"/>
      <c r="CB176" s="16"/>
      <c r="CC176" s="16"/>
      <c r="CD176" s="16"/>
      <c r="CE176" s="16">
        <f ca="1">_xll.DBRW($D$4,$E$7,$E$8,$E$9,$E$10,$E$12,$D176,$E$6,CE$18,CE$17)</f>
        <v>-2.8844399999999998E-3</v>
      </c>
      <c r="CF176" s="16">
        <f ca="1">_xll.DBRW($D$4,$E$7,$E$8,$E$9,$E$10,$E$12,$D176,$E$6,CF$18,CF$17)</f>
        <v>1.2159620999565306E-4</v>
      </c>
      <c r="CG176" s="16"/>
      <c r="CH176" s="16"/>
      <c r="CI176" s="16"/>
      <c r="CJ176" s="16"/>
      <c r="CK176" s="16">
        <f ca="1">_xll.DBRW($D$4,$E$7,$E$8,$E$9,$E$10,$E$12,$D176,$E$6,CK$18,CK$17)</f>
        <v>-5.4599947599999998</v>
      </c>
      <c r="CL176" s="16">
        <f ca="1">_xll.DBRW($D$4,$E$7,$E$8,$E$9,$E$10,$E$12,$D176,$E$6,CL$18,CL$17)</f>
        <v>0.23017107979785514</v>
      </c>
      <c r="CM176" s="16"/>
      <c r="CN176" s="16"/>
      <c r="CO176" s="16"/>
      <c r="CP176" s="16"/>
      <c r="CQ176" s="16">
        <f ca="1">_xll.DBRW($D$4,$E$7,$E$8,$E$9,$E$10,$E$12,$D176,$E$6,CQ$18,CQ$17)</f>
        <v>0.35925899999999994</v>
      </c>
      <c r="CR176" s="16">
        <f ca="1">_xll.DBRW($D$4,$E$7,$E$8,$E$9,$E$10,$E$12,$D176,$E$6,CR$18,CR$17)</f>
        <v>3.5644806</v>
      </c>
      <c r="CS176" s="16">
        <f ca="1">_xll.DBRW($D$4,$E$7,$E$8,$E$9,$E$10,$E$12,$D176,$E$6,CS$18,CS$17)</f>
        <v>3.5644806</v>
      </c>
      <c r="CT176" s="16">
        <f ca="1">_xll.DBRW($D$4,$E$7,$E$8,$E$9,$E$10,$E$12,$D176,$E$6,CT$18,CT$17)</f>
        <v>3.5644806</v>
      </c>
      <c r="CU176" s="16">
        <f ca="1">_xll.DBRW($D$4,$E$7,$E$8,$E$9,$E$10,$E$12,$D176,$E$6,CU$18,CU$17)</f>
        <v>1.510409640285</v>
      </c>
      <c r="CV176" s="16">
        <f ca="1">_xll.DBRW($D$4,$E$7,$E$8,$E$9,$E$10,$E$12,$D176,$E$6,CV$18,CV$17)</f>
        <v>3.5644806</v>
      </c>
      <c r="CW176" s="16">
        <f ca="1">_xll.DBRW($D$4,$E$7,$E$8,$E$9,$E$10,$E$12,$D176,$E$6,CW$18,CW$17)</f>
        <v>3.2027839900000004</v>
      </c>
      <c r="CX176" s="16">
        <f ca="1">_xll.DBRW($D$4,$E$7,$E$8,$E$9,$E$10,$E$12,$D176,$E$6,CX$18,CX$17)</f>
        <v>3.5644806</v>
      </c>
      <c r="CY176" s="16">
        <f ca="1">_xll.DBRW($D$4,$E$7,$E$8,$E$9,$E$10,$E$12,$D176,$E$6,CY$18,CY$17)</f>
        <v>3.5644806</v>
      </c>
      <c r="CZ176" s="16">
        <f ca="1">_xll.DBRW($D$4,$E$7,$E$8,$E$9,$E$10,$E$12,$D176,$E$6,CZ$18,CZ$17)</f>
        <v>3.5644806</v>
      </c>
      <c r="DA176" s="26">
        <f t="shared" ca="1" si="127"/>
        <v>7.783511606372262E-2</v>
      </c>
      <c r="DB176" s="26">
        <f t="shared" ca="1" si="128"/>
        <v>5.6220359000000109E-2</v>
      </c>
      <c r="DC176" s="26">
        <f t="shared" ca="1" si="129"/>
        <v>0</v>
      </c>
      <c r="DD176" s="26">
        <f t="shared" ca="1" si="130"/>
        <v>0</v>
      </c>
      <c r="DE176" s="26">
        <f t="shared" ca="1" si="131"/>
        <v>0</v>
      </c>
      <c r="DF176" s="26">
        <f t="shared" ca="1" si="132"/>
        <v>0</v>
      </c>
      <c r="DG176" s="26">
        <f t="shared" ca="1" si="133"/>
        <v>0</v>
      </c>
      <c r="DH176" s="26">
        <f t="shared" ca="1" si="134"/>
        <v>2.1614757063722401E-2</v>
      </c>
      <c r="DI176" s="26">
        <f t="shared" ca="1" si="135"/>
        <v>-2.0478571599999995</v>
      </c>
      <c r="DJ176" s="26">
        <f t="shared" ca="1" si="136"/>
        <v>1.355743630000001</v>
      </c>
      <c r="DK176" s="26">
        <f t="shared" ca="1" si="137"/>
        <v>-1.548713646666261E-2</v>
      </c>
      <c r="DL176" s="26"/>
      <c r="DM176" s="26"/>
      <c r="DN176" s="26"/>
      <c r="DO176" s="26"/>
      <c r="DP176" s="26">
        <f t="shared" ca="1" si="138"/>
        <v>0.22641042968100056</v>
      </c>
      <c r="DQ176" s="26">
        <f t="shared" ca="1" si="139"/>
        <v>3.5543253284363308E-4</v>
      </c>
      <c r="DR176" s="26"/>
      <c r="DS176" s="26"/>
      <c r="DT176" s="26"/>
      <c r="DU176" s="26"/>
      <c r="DV176" s="26">
        <f t="shared" ca="1" si="140"/>
        <v>-1.4340382617276992E-2</v>
      </c>
      <c r="DW176" s="26">
        <f t="shared" ca="1" si="141"/>
        <v>5.691902555118783E-3</v>
      </c>
      <c r="DX176" s="26"/>
      <c r="DY176" s="26"/>
      <c r="DZ176" s="26"/>
      <c r="EA176" s="26"/>
      <c r="EB176" s="26">
        <f t="shared" ca="1" si="142"/>
        <v>1.59874E-3</v>
      </c>
      <c r="EC176" s="26">
        <f t="shared" ca="1" si="143"/>
        <v>-6.2275208787467847E-5</v>
      </c>
      <c r="ED176" s="26"/>
      <c r="EE176" s="26"/>
      <c r="EF176" s="26"/>
      <c r="EG176" s="26"/>
      <c r="EH176" s="26">
        <f t="shared" ca="1" si="144"/>
        <v>0.50005950000000077</v>
      </c>
      <c r="EI176" s="29">
        <f t="shared" ca="1" si="145"/>
        <v>-1.3242838493598419E-3</v>
      </c>
      <c r="EJ176" s="29"/>
      <c r="EK176" s="29"/>
      <c r="EL176" s="29"/>
      <c r="EM176" s="29"/>
      <c r="EN176" s="93"/>
      <c r="EO176" s="29"/>
      <c r="EP176" s="29"/>
      <c r="EQ176" s="29"/>
      <c r="ER176" s="29"/>
      <c r="ES176" s="29"/>
      <c r="ET176" s="29"/>
      <c r="EU176" s="93"/>
      <c r="EV176" s="29"/>
      <c r="EW176" s="29"/>
      <c r="EX176" s="29"/>
      <c r="EY176" s="29"/>
      <c r="EZ176" s="29"/>
      <c r="FA176" s="29"/>
      <c r="FB176" s="93"/>
      <c r="FC176" s="29"/>
      <c r="FD176" s="29"/>
      <c r="FE176" s="29"/>
      <c r="FF176" s="29"/>
      <c r="FG176" s="29"/>
      <c r="FH176" s="29"/>
      <c r="FI176" s="93"/>
      <c r="FJ176" s="29"/>
      <c r="FK176" s="29"/>
      <c r="FL176" s="29"/>
      <c r="FM176" s="29"/>
      <c r="FN176" s="29"/>
      <c r="FO176" s="29"/>
      <c r="FP176" s="93"/>
      <c r="FQ176" s="29"/>
      <c r="FR176" s="29"/>
      <c r="FS176" s="29"/>
      <c r="FT176" s="29"/>
      <c r="FU176" s="29"/>
      <c r="FV176" s="29"/>
    </row>
    <row r="177" spans="1:178" x14ac:dyDescent="0.25">
      <c r="A177" t="str">
        <f ca="1">IF(_xll.TM1RPTELISCONSOLIDATED($D$28,$D177),IF(_xll.TM1RPTELLEV($D$28,$D177)&lt;=3,_xll.TM1RPTELLEV($D$28,$D177),"D"),"N")</f>
        <v>N</v>
      </c>
      <c r="B177" t="str">
        <f ca="1">_xll.DBRA(Server&amp;"Management_organization",$D177,$B$27)</f>
        <v>L</v>
      </c>
      <c r="C177">
        <v>1</v>
      </c>
      <c r="D177" s="2" t="s">
        <v>178</v>
      </c>
      <c r="E177" s="26"/>
      <c r="F177" s="26"/>
      <c r="G177" s="16">
        <f ca="1">_xll.DBRW($D$4,$E$7,$E$8,$E$9,$E$10,$E$12,$D177,$E$6,G$18,G$17)</f>
        <v>0.6547779199999979</v>
      </c>
      <c r="H177" s="16">
        <f ca="1">_xll.DBRW($D$4,$E$7,$E$8,$E$9,$E$10,$E$12,$D177,$E$6,H$18,H$17)</f>
        <v>-0.48984182000000004</v>
      </c>
      <c r="I177" s="16">
        <f ca="1">_xll.DBRW($D$4,$E$7,$E$8,$E$9,$E$10,$E$12,$D177,$E$6,I$18,I$17)</f>
        <v>0</v>
      </c>
      <c r="J177" s="26">
        <f ca="1">_xll.DBRW($D$4,$E$7,$E$8,$E$9,$E$10,$E$12,$D177,$E$6,J$18,J$17)</f>
        <v>0</v>
      </c>
      <c r="K177" s="26">
        <f ca="1">_xll.DBRW($D$4,$E$7,$E$8,$E$9,$E$10,$E$12,$D177,$E$6,K$18,K$17)</f>
        <v>0</v>
      </c>
      <c r="L177" s="26">
        <f ca="1">_xll.DBRW($D$4,$E$7,$E$8,$E$9,$E$10,$E$12,$D177,$E$6,L$18,L$17)</f>
        <v>0</v>
      </c>
      <c r="M177" s="26">
        <f ca="1">_xll.DBRW($D$4,$E$7,$E$8,$E$9,$E$10,$E$12,$D177,$E$6,M$18,M$17)</f>
        <v>0</v>
      </c>
      <c r="N177" s="16">
        <f ca="1">_xll.DBRW($D$4,$E$7,$E$8,$E$9,$E$10,$E$12,$D177,$E$6,N$18,N$17)</f>
        <v>1.144619739999998</v>
      </c>
      <c r="O177" s="16">
        <f ca="1">_xll.DBRW($D$4,$E$7,$E$8,$E$9,$E$10,$E$12,$D177,$E$6,O$18,O$17)</f>
        <v>7.4928659399999997</v>
      </c>
      <c r="P177" s="74">
        <f ca="1">_xll.DBRW($D$4,$E$7,$E$8,$E$9,$E$10,$E$12,$D177,$E$6,P$18,P$17)</f>
        <v>-2.6122532999999994</v>
      </c>
      <c r="Q177" s="16">
        <f ca="1">_xll.DBRW($D$4,$E$7,$E$8,$E$9,$E$10,$E$12,$D177,$E$6,Q$18,Q$17)</f>
        <v>0.34863206160605609</v>
      </c>
      <c r="R177" s="16"/>
      <c r="S177" s="16"/>
      <c r="T177" s="16"/>
      <c r="U177" s="16"/>
      <c r="V177" s="16">
        <f ca="1">_xll.DBRW($D$4,$E$7,$E$8,$E$9,$E$10,$E$12,$D177,$E$6,V$18,V$17)</f>
        <v>-0.92217983000000014</v>
      </c>
      <c r="W177" s="16">
        <f ca="1">_xll.DBRW($D$4,$E$7,$E$8,$E$9,$E$10,$E$12,$D177,$E$6,W$18,W$17)</f>
        <v>0.12307438000151917</v>
      </c>
      <c r="X177" s="16"/>
      <c r="Y177" s="16"/>
      <c r="Z177" s="16"/>
      <c r="AA177" s="16"/>
      <c r="AB177" s="16">
        <f ca="1">_xll.DBRW($D$4,$E$7,$E$8,$E$9,$E$10,$E$12,$D177,$E$6,AB$18,AB$17)</f>
        <v>-0.21423090999999991</v>
      </c>
      <c r="AC177" s="16">
        <f ca="1">_xll.DBRW($D$4,$E$7,$E$8,$E$9,$E$10,$E$12,$D177,$E$6,AC$18,AC$17)</f>
        <v>2.8591317623387229E-2</v>
      </c>
      <c r="AD177" s="16"/>
      <c r="AE177" s="16"/>
      <c r="AF177" s="16"/>
      <c r="AG177" s="16"/>
      <c r="AH177" s="16">
        <f ca="1">_xll.DBRW($D$4,$E$7,$E$8,$E$9,$E$10,$E$12,$D177,$E$6,AH$18,AH$17)</f>
        <v>-1.3460476399999999</v>
      </c>
      <c r="AI177" s="16">
        <f ca="1">_xll.DBRW($D$4,$E$7,$E$8,$E$9,$E$10,$E$12,$D177,$E$6,AI$18,AI$17)</f>
        <v>0.17964389737900474</v>
      </c>
      <c r="AJ177" s="16"/>
      <c r="AK177" s="16"/>
      <c r="AL177" s="16"/>
      <c r="AM177" s="16"/>
      <c r="AN177" s="16">
        <f ca="1">_xll.DBRW($D$4,$E$7,$E$8,$E$9,$E$10,$E$12,$D177,$E$6,AN$18,AN$17)</f>
        <v>-1.2535345199999999</v>
      </c>
      <c r="AO177" s="16">
        <f ca="1">_xll.DBRW($D$4,$E$7,$E$8,$E$9,$E$10,$E$12,$D177,$E$6,AO$18,AO$17)</f>
        <v>0.167297070311657</v>
      </c>
      <c r="AP177" s="16"/>
      <c r="AQ177" s="16"/>
      <c r="AR177" s="16"/>
      <c r="AS177" s="16"/>
      <c r="AT177" s="16">
        <f ca="1">_xll.DBRW($D$4,$E$7,$E$8,$E$9,$E$10,$E$12,$D177,$E$6,AT$18,AT$17)</f>
        <v>0.10656527000000002</v>
      </c>
      <c r="AU177" s="16">
        <f ca="1">_xll.DBRW($D$4,$E$7,$E$8,$E$9,$E$10,$E$12,$D177,$E$6,AU$18,AU$17)</f>
        <v>2.8230629999999999</v>
      </c>
      <c r="AV177" s="16">
        <f ca="1">_xll.DBRW($D$4,$E$7,$E$8,$E$9,$E$10,$E$12,$D177,$E$6,AV$18,AV$17)</f>
        <v>2.8230629999999999</v>
      </c>
      <c r="AW177" s="16">
        <f ca="1">_xll.DBRW($D$4,$E$7,$E$8,$E$9,$E$10,$E$12,$D177,$E$6,AW$18,AW$17)</f>
        <v>2.8230629999999999</v>
      </c>
      <c r="AX177" s="16">
        <f ca="1">_xll.DBRW($D$4,$E$7,$E$8,$E$9,$E$10,$E$12,$D177,$E$6,AX$18,AX$17)</f>
        <v>0.83280428000000006</v>
      </c>
      <c r="AY177" s="16">
        <f ca="1">_xll.DBRW($D$4,$E$7,$E$8,$E$9,$E$10,$E$12,$D177,$E$6,AY$18,AY$17)</f>
        <v>2.8230629999999999</v>
      </c>
      <c r="AZ177" s="16">
        <f ca="1">_xll.DBRW($D$4,$E$7,$E$8,$E$9,$E$10,$E$12,$D177,$E$6,AZ$18,AZ$17)</f>
        <v>2.0174379999999998</v>
      </c>
      <c r="BA177" s="16">
        <f ca="1">_xll.DBRW($D$4,$E$7,$E$8,$E$9,$E$10,$E$12,$D177,$E$6,BA$18,BA$17)</f>
        <v>2.8230629999999999</v>
      </c>
      <c r="BB177" s="16">
        <f ca="1">_xll.DBRW($D$4,$E$7,$E$8,$E$9,$E$10,$E$12,$D177,$E$6,BB$18,BB$17)</f>
        <v>2.8230629999999999</v>
      </c>
      <c r="BC177" s="16">
        <f ca="1">_xll.DBRW($D$4,$E$7,$E$8,$E$9,$E$10,$E$12,$D177,$E$6,BC$18,BC$17)</f>
        <v>2.8230629999999999</v>
      </c>
      <c r="BD177" s="16">
        <f ca="1">_xll.DBRW($D$4,$E$7,$E$8,$E$9,$E$10,$E$12,$D177,$E$6,BD$18,BD$17)</f>
        <v>-0.29990163633982464</v>
      </c>
      <c r="BE177" s="16">
        <f ca="1">_xll.DBRW($D$4,$E$7,$E$8,$E$9,$E$10,$E$12,$D177,$E$6,BE$18,BE$17)</f>
        <v>-0.89779873333333349</v>
      </c>
      <c r="BF177" s="16">
        <f ca="1">_xll.DBRW($D$4,$E$7,$E$8,$E$9,$E$10,$E$12,$D177,$E$6,BF$18,BF$17)</f>
        <v>0</v>
      </c>
      <c r="BG177" s="26">
        <f ca="1">_xll.DBRW($D$4,$E$7,$E$8,$E$9,$E$10,$E$12,$D177,$E$6,BG$18,BG$17)</f>
        <v>0</v>
      </c>
      <c r="BH177" s="26">
        <f ca="1">_xll.DBRW($D$4,$E$7,$E$8,$E$9,$E$10,$E$12,$D177,$E$6,BH$18,BH$17)</f>
        <v>0</v>
      </c>
      <c r="BI177" s="26">
        <f ca="1">_xll.DBRW($D$4,$E$7,$E$8,$E$9,$E$10,$E$12,$D177,$E$6,BI$18,BI$17)</f>
        <v>0</v>
      </c>
      <c r="BJ177" s="26">
        <f ca="1">_xll.DBRW($D$4,$E$7,$E$8,$E$9,$E$10,$E$12,$D177,$E$6,BJ$18,BJ$17)</f>
        <v>0</v>
      </c>
      <c r="BK177" s="16">
        <f ca="1">_xll.DBRW($D$4,$E$7,$E$8,$E$9,$E$10,$E$12,$D177,$E$6,BK$18,BK$17)</f>
        <v>0.59789709699350868</v>
      </c>
      <c r="BL177" s="16">
        <f ca="1">_xll.DBRW($D$4,$E$7,$E$8,$E$9,$E$10,$E$12,$D177,$E$6,BL$18,BL$17)</f>
        <v>8.0496588599999992</v>
      </c>
      <c r="BM177" s="16">
        <f ca="1">_xll.DBRW($D$4,$E$7,$E$8,$E$9,$E$10,$E$12,$D177,$E$6,BM$18,BM$17)</f>
        <v>-2.8567671633333296</v>
      </c>
      <c r="BN177" s="16">
        <f ca="1">_xll.DBRW($D$4,$E$7,$E$8,$E$9,$E$10,$E$12,$D177,$E$6,BN$18,BN$17)</f>
        <v>0.3548929480141137</v>
      </c>
      <c r="BO177" s="16"/>
      <c r="BP177" s="16"/>
      <c r="BQ177" s="16"/>
      <c r="BR177" s="16"/>
      <c r="BS177" s="16">
        <f ca="1">_xll.DBRW($D$4,$E$7,$E$8,$E$9,$E$10,$E$12,$D177,$E$6,BS$18,BS$17)</f>
        <v>-1.0098656561162183</v>
      </c>
      <c r="BT177" s="16">
        <f ca="1">_xll.DBRW($D$4,$E$7,$E$8,$E$9,$E$10,$E$12,$D177,$E$6,BT$18,BT$17)</f>
        <v>0.12545446629227941</v>
      </c>
      <c r="BU177" s="16"/>
      <c r="BV177" s="16"/>
      <c r="BW177" s="16"/>
      <c r="BX177" s="16"/>
      <c r="BY177" s="16">
        <f ca="1">_xll.DBRW($D$4,$E$7,$E$8,$E$9,$E$10,$E$12,$D177,$E$6,BY$18,BY$17)</f>
        <v>-0.79328507189027786</v>
      </c>
      <c r="BZ177" s="16">
        <f ca="1">_xll.DBRW($D$4,$E$7,$E$8,$E$9,$E$10,$E$12,$D177,$E$6,BZ$18,BZ$17)</f>
        <v>9.8548905697387279E-2</v>
      </c>
      <c r="CA177" s="16"/>
      <c r="CB177" s="16"/>
      <c r="CC177" s="16"/>
      <c r="CD177" s="16"/>
      <c r="CE177" s="16">
        <f ca="1">_xll.DBRW($D$4,$E$7,$E$8,$E$9,$E$10,$E$12,$D177,$E$6,CE$18,CE$17)</f>
        <v>-1.4112529699999998</v>
      </c>
      <c r="CF177" s="16">
        <f ca="1">_xll.DBRW($D$4,$E$7,$E$8,$E$9,$E$10,$E$12,$D177,$E$6,CF$18,CF$17)</f>
        <v>0.17531835752850775</v>
      </c>
      <c r="CG177" s="16"/>
      <c r="CH177" s="16"/>
      <c r="CI177" s="16"/>
      <c r="CJ177" s="16"/>
      <c r="CK177" s="16">
        <f ca="1">_xll.DBRW($D$4,$E$7,$E$8,$E$9,$E$10,$E$12,$D177,$E$6,CK$18,CK$17)</f>
        <v>-1.3805909016666666</v>
      </c>
      <c r="CL177" s="16">
        <f ca="1">_xll.DBRW($D$4,$E$7,$E$8,$E$9,$E$10,$E$12,$D177,$E$6,CL$18,CL$17)</f>
        <v>0.17150924351925478</v>
      </c>
      <c r="CM177" s="16"/>
      <c r="CN177" s="16"/>
      <c r="CO177" s="16"/>
      <c r="CP177" s="16"/>
      <c r="CQ177" s="16">
        <f ca="1">_xll.DBRW($D$4,$E$7,$E$8,$E$9,$E$10,$E$12,$D177,$E$6,CQ$18,CQ$17)</f>
        <v>0.11928248000000001</v>
      </c>
      <c r="CR177" s="16">
        <f ca="1">_xll.DBRW($D$4,$E$7,$E$8,$E$9,$E$10,$E$12,$D177,$E$6,CR$18,CR$17)</f>
        <v>3.1226900000000004</v>
      </c>
      <c r="CS177" s="16">
        <f ca="1">_xll.DBRW($D$4,$E$7,$E$8,$E$9,$E$10,$E$12,$D177,$E$6,CS$18,CS$17)</f>
        <v>3.1226900000000004</v>
      </c>
      <c r="CT177" s="16">
        <f ca="1">_xll.DBRW($D$4,$E$7,$E$8,$E$9,$E$10,$E$12,$D177,$E$6,CT$18,CT$17)</f>
        <v>3.1226900000000004</v>
      </c>
      <c r="CU177" s="16">
        <f ca="1">_xll.DBRW($D$4,$E$7,$E$8,$E$9,$E$10,$E$12,$D177,$E$6,CU$18,CU$17)</f>
        <v>0.92119354999999992</v>
      </c>
      <c r="CV177" s="16">
        <f ca="1">_xll.DBRW($D$4,$E$7,$E$8,$E$9,$E$10,$E$12,$D177,$E$6,CV$18,CV$17)</f>
        <v>3.1226900000000004</v>
      </c>
      <c r="CW177" s="16">
        <f ca="1">_xll.DBRW($D$4,$E$7,$E$8,$E$9,$E$10,$E$12,$D177,$E$6,CW$18,CW$17)</f>
        <v>2.268716</v>
      </c>
      <c r="CX177" s="16">
        <f ca="1">_xll.DBRW($D$4,$E$7,$E$8,$E$9,$E$10,$E$12,$D177,$E$6,CX$18,CX$17)</f>
        <v>3.1226900000000004</v>
      </c>
      <c r="CY177" s="16">
        <f ca="1">_xll.DBRW($D$4,$E$7,$E$8,$E$9,$E$10,$E$12,$D177,$E$6,CY$18,CY$17)</f>
        <v>3.1226900000000004</v>
      </c>
      <c r="CZ177" s="16">
        <f ca="1">_xll.DBRW($D$4,$E$7,$E$8,$E$9,$E$10,$E$12,$D177,$E$6,CZ$18,CZ$17)</f>
        <v>3.1226900000000004</v>
      </c>
      <c r="DA177" s="26">
        <f t="shared" ca="1" si="127"/>
        <v>0.95467955633982249</v>
      </c>
      <c r="DB177" s="26">
        <f t="shared" ca="1" si="128"/>
        <v>0.40795691333333345</v>
      </c>
      <c r="DC177" s="26">
        <f t="shared" ca="1" si="129"/>
        <v>0</v>
      </c>
      <c r="DD177" s="26">
        <f t="shared" ca="1" si="130"/>
        <v>0</v>
      </c>
      <c r="DE177" s="26">
        <f t="shared" ca="1" si="131"/>
        <v>0</v>
      </c>
      <c r="DF177" s="26">
        <f t="shared" ca="1" si="132"/>
        <v>0</v>
      </c>
      <c r="DG177" s="26">
        <f t="shared" ca="1" si="133"/>
        <v>0</v>
      </c>
      <c r="DH177" s="26">
        <f t="shared" ca="1" si="134"/>
        <v>0.54672264300648932</v>
      </c>
      <c r="DI177" s="26">
        <f t="shared" ca="1" si="135"/>
        <v>-0.55679291999999947</v>
      </c>
      <c r="DJ177" s="26">
        <f t="shared" ca="1" si="136"/>
        <v>0.24451386333333014</v>
      </c>
      <c r="DK177" s="26">
        <f t="shared" ca="1" si="137"/>
        <v>-6.2608864080576088E-3</v>
      </c>
      <c r="DL177" s="26"/>
      <c r="DM177" s="26"/>
      <c r="DN177" s="26"/>
      <c r="DO177" s="26"/>
      <c r="DP177" s="26">
        <f t="shared" ca="1" si="138"/>
        <v>8.7685826116218113E-2</v>
      </c>
      <c r="DQ177" s="26">
        <f t="shared" ca="1" si="139"/>
        <v>-2.3800862907602388E-3</v>
      </c>
      <c r="DR177" s="26"/>
      <c r="DS177" s="26"/>
      <c r="DT177" s="26"/>
      <c r="DU177" s="26"/>
      <c r="DV177" s="26">
        <f t="shared" ca="1" si="140"/>
        <v>0.57905416189027792</v>
      </c>
      <c r="DW177" s="26">
        <f t="shared" ca="1" si="141"/>
        <v>-6.9957588074000043E-2</v>
      </c>
      <c r="DX177" s="26"/>
      <c r="DY177" s="26"/>
      <c r="DZ177" s="26"/>
      <c r="EA177" s="26"/>
      <c r="EB177" s="26">
        <f t="shared" ca="1" si="142"/>
        <v>6.520532999999995E-2</v>
      </c>
      <c r="EC177" s="26">
        <f t="shared" ca="1" si="143"/>
        <v>4.3255398504969955E-3</v>
      </c>
      <c r="ED177" s="26"/>
      <c r="EE177" s="26"/>
      <c r="EF177" s="26"/>
      <c r="EG177" s="26"/>
      <c r="EH177" s="26">
        <f t="shared" ca="1" si="144"/>
        <v>0.12705638166666677</v>
      </c>
      <c r="EI177" s="29">
        <f t="shared" ca="1" si="145"/>
        <v>-4.2121732075977858E-3</v>
      </c>
      <c r="EJ177" s="29"/>
      <c r="EK177" s="29"/>
      <c r="EL177" s="29"/>
      <c r="EM177" s="29"/>
      <c r="EN177" s="93"/>
      <c r="EO177" s="29"/>
      <c r="EP177" s="29"/>
      <c r="EQ177" s="29"/>
      <c r="ER177" s="29"/>
      <c r="ES177" s="29"/>
      <c r="ET177" s="29"/>
      <c r="EU177" s="93"/>
      <c r="EV177" s="29"/>
      <c r="EW177" s="29"/>
      <c r="EX177" s="29"/>
      <c r="EY177" s="29"/>
      <c r="EZ177" s="29"/>
      <c r="FA177" s="29"/>
      <c r="FB177" s="93"/>
      <c r="FC177" s="29"/>
      <c r="FD177" s="29"/>
      <c r="FE177" s="29"/>
      <c r="FF177" s="29"/>
      <c r="FG177" s="29"/>
      <c r="FH177" s="29"/>
      <c r="FI177" s="93"/>
      <c r="FJ177" s="29"/>
      <c r="FK177" s="29"/>
      <c r="FL177" s="29"/>
      <c r="FM177" s="29"/>
      <c r="FN177" s="29"/>
      <c r="FO177" s="29"/>
      <c r="FP177" s="93"/>
      <c r="FQ177" s="29"/>
      <c r="FR177" s="29"/>
      <c r="FS177" s="29"/>
      <c r="FT177" s="29"/>
      <c r="FU177" s="29"/>
      <c r="FV177" s="29"/>
    </row>
    <row r="178" spans="1:178" x14ac:dyDescent="0.25">
      <c r="A178" t="str">
        <f ca="1">IF(_xll.TM1RPTELISCONSOLIDATED($D$28,$D178),IF(_xll.TM1RPTELLEV($D$28,$D178)&lt;=3,_xll.TM1RPTELLEV($D$28,$D178),"D"),"N")</f>
        <v>N</v>
      </c>
      <c r="B178" t="str">
        <f ca="1">_xll.DBRA(Server&amp;"Management_organization",$D178,$B$27)</f>
        <v>L</v>
      </c>
      <c r="C178">
        <v>1</v>
      </c>
      <c r="D178" s="2" t="s">
        <v>179</v>
      </c>
      <c r="E178" s="26"/>
      <c r="F178" s="26"/>
      <c r="G178" s="16">
        <f ca="1">_xll.DBRW($D$4,$E$7,$E$8,$E$9,$E$10,$E$12,$D178,$E$6,G$18,G$17)</f>
        <v>2.5202200900000022</v>
      </c>
      <c r="H178" s="16">
        <f ca="1">_xll.DBRW($D$4,$E$7,$E$8,$E$9,$E$10,$E$12,$D178,$E$6,H$18,H$17)</f>
        <v>-0.36914744999999993</v>
      </c>
      <c r="I178" s="16">
        <f ca="1">_xll.DBRW($D$4,$E$7,$E$8,$E$9,$E$10,$E$12,$D178,$E$6,I$18,I$17)</f>
        <v>0</v>
      </c>
      <c r="J178" s="26">
        <f ca="1">_xll.DBRW($D$4,$E$7,$E$8,$E$9,$E$10,$E$12,$D178,$E$6,J$18,J$17)</f>
        <v>0</v>
      </c>
      <c r="K178" s="26">
        <f ca="1">_xll.DBRW($D$4,$E$7,$E$8,$E$9,$E$10,$E$12,$D178,$E$6,K$18,K$17)</f>
        <v>0</v>
      </c>
      <c r="L178" s="26">
        <f ca="1">_xll.DBRW($D$4,$E$7,$E$8,$E$9,$E$10,$E$12,$D178,$E$6,L$18,L$17)</f>
        <v>0</v>
      </c>
      <c r="M178" s="26">
        <f ca="1">_xll.DBRW($D$4,$E$7,$E$8,$E$9,$E$10,$E$12,$D178,$E$6,M$18,M$17)</f>
        <v>0</v>
      </c>
      <c r="N178" s="16">
        <f ca="1">_xll.DBRW($D$4,$E$7,$E$8,$E$9,$E$10,$E$12,$D178,$E$6,N$18,N$17)</f>
        <v>2.8893675400000021</v>
      </c>
      <c r="O178" s="16">
        <f ca="1">_xll.DBRW($D$4,$E$7,$E$8,$E$9,$E$10,$E$12,$D178,$E$6,O$18,O$17)</f>
        <v>13.0053371</v>
      </c>
      <c r="P178" s="74">
        <f ca="1">_xll.DBRW($D$4,$E$7,$E$8,$E$9,$E$10,$E$12,$D178,$E$6,P$18,P$17)</f>
        <v>-5.7045500800000006</v>
      </c>
      <c r="Q178" s="16">
        <f ca="1">_xll.DBRW($D$4,$E$7,$E$8,$E$9,$E$10,$E$12,$D178,$E$6,Q$18,Q$17)</f>
        <v>0.43863146615399923</v>
      </c>
      <c r="R178" s="16"/>
      <c r="S178" s="16"/>
      <c r="T178" s="16"/>
      <c r="U178" s="16"/>
      <c r="V178" s="16">
        <f ca="1">_xll.DBRW($D$4,$E$7,$E$8,$E$9,$E$10,$E$12,$D178,$E$6,V$18,V$17)</f>
        <v>-1.4599432699999999</v>
      </c>
      <c r="W178" s="16">
        <f ca="1">_xll.DBRW($D$4,$E$7,$E$8,$E$9,$E$10,$E$12,$D178,$E$6,W$18,W$17)</f>
        <v>0.11225724168272423</v>
      </c>
      <c r="X178" s="16"/>
      <c r="Y178" s="16"/>
      <c r="Z178" s="16"/>
      <c r="AA178" s="16"/>
      <c r="AB178" s="16">
        <f ca="1">_xll.DBRW($D$4,$E$7,$E$8,$E$9,$E$10,$E$12,$D178,$E$6,AB$18,AB$17)</f>
        <v>0.29516384999999978</v>
      </c>
      <c r="AC178" s="16">
        <f ca="1">_xll.DBRW($D$4,$E$7,$E$8,$E$9,$E$10,$E$12,$D178,$E$6,AC$18,AC$17)</f>
        <v>-2.2695593949656236E-2</v>
      </c>
      <c r="AD178" s="16"/>
      <c r="AE178" s="16"/>
      <c r="AF178" s="16"/>
      <c r="AG178" s="16"/>
      <c r="AH178" s="16">
        <f ca="1">_xll.DBRW($D$4,$E$7,$E$8,$E$9,$E$10,$E$12,$D178,$E$6,AH$18,AH$17)</f>
        <v>-1.2877031600000002</v>
      </c>
      <c r="AI178" s="16">
        <f ca="1">_xll.DBRW($D$4,$E$7,$E$8,$E$9,$E$10,$E$12,$D178,$E$6,AI$18,AI$17)</f>
        <v>9.9013439643944337E-2</v>
      </c>
      <c r="AJ178" s="16"/>
      <c r="AK178" s="16"/>
      <c r="AL178" s="16"/>
      <c r="AM178" s="16"/>
      <c r="AN178" s="16">
        <f ca="1">_xll.DBRW($D$4,$E$7,$E$8,$E$9,$E$10,$E$12,$D178,$E$6,AN$18,AN$17)</f>
        <v>-1.9589368999999994</v>
      </c>
      <c r="AO178" s="16">
        <f ca="1">_xll.DBRW($D$4,$E$7,$E$8,$E$9,$E$10,$E$12,$D178,$E$6,AO$18,AO$17)</f>
        <v>0.15062561507921232</v>
      </c>
      <c r="AP178" s="16"/>
      <c r="AQ178" s="16"/>
      <c r="AR178" s="16"/>
      <c r="AS178" s="16"/>
      <c r="AT178" s="16">
        <f ca="1">_xll.DBRW($D$4,$E$7,$E$8,$E$9,$E$10,$E$12,$D178,$E$6,AT$18,AT$17)</f>
        <v>0.25529795999999993</v>
      </c>
      <c r="AU178" s="16">
        <f ca="1">_xll.DBRW($D$4,$E$7,$E$8,$E$9,$E$10,$E$12,$D178,$E$6,AU$18,AU$17)</f>
        <v>5.4168810000000001</v>
      </c>
      <c r="AV178" s="16">
        <f ca="1">_xll.DBRW($D$4,$E$7,$E$8,$E$9,$E$10,$E$12,$D178,$E$6,AV$18,AV$17)</f>
        <v>5.4168810000000001</v>
      </c>
      <c r="AW178" s="16">
        <f ca="1">_xll.DBRW($D$4,$E$7,$E$8,$E$9,$E$10,$E$12,$D178,$E$6,AW$18,AW$17)</f>
        <v>5.4168810000000001</v>
      </c>
      <c r="AX178" s="16">
        <f ca="1">_xll.DBRW($D$4,$E$7,$E$8,$E$9,$E$10,$E$12,$D178,$E$6,AX$18,AX$17)</f>
        <v>1.764084</v>
      </c>
      <c r="AY178" s="16">
        <f ca="1">_xll.DBRW($D$4,$E$7,$E$8,$E$9,$E$10,$E$12,$D178,$E$6,AY$18,AY$17)</f>
        <v>5.4168810000000001</v>
      </c>
      <c r="AZ178" s="16">
        <f ca="1">_xll.DBRW($D$4,$E$7,$E$8,$E$9,$E$10,$E$12,$D178,$E$6,AZ$18,AZ$17)</f>
        <v>4.047993</v>
      </c>
      <c r="BA178" s="16">
        <f ca="1">_xll.DBRW($D$4,$E$7,$E$8,$E$9,$E$10,$E$12,$D178,$E$6,BA$18,BA$17)</f>
        <v>5.4168810000000001</v>
      </c>
      <c r="BB178" s="16">
        <f ca="1">_xll.DBRW($D$4,$E$7,$E$8,$E$9,$E$10,$E$12,$D178,$E$6,BB$18,BB$17)</f>
        <v>5.4168810000000001</v>
      </c>
      <c r="BC178" s="16">
        <f ca="1">_xll.DBRW($D$4,$E$7,$E$8,$E$9,$E$10,$E$12,$D178,$E$6,BC$18,BC$17)</f>
        <v>5.4168810000000001</v>
      </c>
      <c r="BD178" s="16">
        <f ca="1">_xll.DBRW($D$4,$E$7,$E$8,$E$9,$E$10,$E$12,$D178,$E$6,BD$18,BD$17)</f>
        <v>-0.31420154971013714</v>
      </c>
      <c r="BE178" s="16">
        <f ca="1">_xll.DBRW($D$4,$E$7,$E$8,$E$9,$E$10,$E$12,$D178,$E$6,BE$18,BE$17)</f>
        <v>-0.91158943999999975</v>
      </c>
      <c r="BF178" s="16">
        <f ca="1">_xll.DBRW($D$4,$E$7,$E$8,$E$9,$E$10,$E$12,$D178,$E$6,BF$18,BF$17)</f>
        <v>0</v>
      </c>
      <c r="BG178" s="26">
        <f ca="1">_xll.DBRW($D$4,$E$7,$E$8,$E$9,$E$10,$E$12,$D178,$E$6,BG$18,BG$17)</f>
        <v>0</v>
      </c>
      <c r="BH178" s="26">
        <f ca="1">_xll.DBRW($D$4,$E$7,$E$8,$E$9,$E$10,$E$12,$D178,$E$6,BH$18,BH$17)</f>
        <v>0</v>
      </c>
      <c r="BI178" s="26">
        <f ca="1">_xll.DBRW($D$4,$E$7,$E$8,$E$9,$E$10,$E$12,$D178,$E$6,BI$18,BI$17)</f>
        <v>0</v>
      </c>
      <c r="BJ178" s="26">
        <f ca="1">_xll.DBRW($D$4,$E$7,$E$8,$E$9,$E$10,$E$12,$D178,$E$6,BJ$18,BJ$17)</f>
        <v>0</v>
      </c>
      <c r="BK178" s="16">
        <f ca="1">_xll.DBRW($D$4,$E$7,$E$8,$E$9,$E$10,$E$12,$D178,$E$6,BK$18,BK$17)</f>
        <v>0.59738789028986261</v>
      </c>
      <c r="BL178" s="16">
        <f ca="1">_xll.DBRW($D$4,$E$7,$E$8,$E$9,$E$10,$E$12,$D178,$E$6,BL$18,BL$17)</f>
        <v>14.61502127</v>
      </c>
      <c r="BM178" s="16">
        <f ca="1">_xll.DBRW($D$4,$E$7,$E$8,$E$9,$E$10,$E$12,$D178,$E$6,BM$18,BM$17)</f>
        <v>-6.6042162100000006</v>
      </c>
      <c r="BN178" s="16">
        <f ca="1">_xll.DBRW($D$4,$E$7,$E$8,$E$9,$E$10,$E$12,$D178,$E$6,BN$18,BN$17)</f>
        <v>0.45187865881224276</v>
      </c>
      <c r="BO178" s="16"/>
      <c r="BP178" s="16"/>
      <c r="BQ178" s="16"/>
      <c r="BR178" s="16"/>
      <c r="BS178" s="16">
        <f ca="1">_xll.DBRW($D$4,$E$7,$E$8,$E$9,$E$10,$E$12,$D178,$E$6,BS$18,BS$17)</f>
        <v>-1.5118816867126346</v>
      </c>
      <c r="BT178" s="16">
        <f ca="1">_xll.DBRW($D$4,$E$7,$E$8,$E$9,$E$10,$E$12,$D178,$E$6,BT$18,BT$17)</f>
        <v>0.10344710820339673</v>
      </c>
      <c r="BU178" s="16"/>
      <c r="BV178" s="16"/>
      <c r="BW178" s="16"/>
      <c r="BX178" s="16"/>
      <c r="BY178" s="16">
        <f ca="1">_xll.DBRW($D$4,$E$7,$E$8,$E$9,$E$10,$E$12,$D178,$E$6,BY$18,BY$17)</f>
        <v>-1.6674953796641696</v>
      </c>
      <c r="BZ178" s="16">
        <f ca="1">_xll.DBRW($D$4,$E$7,$E$8,$E$9,$E$10,$E$12,$D178,$E$6,BZ$18,BZ$17)</f>
        <v>0.11409462558135365</v>
      </c>
      <c r="CA178" s="16"/>
      <c r="CB178" s="16"/>
      <c r="CC178" s="16"/>
      <c r="CD178" s="16"/>
      <c r="CE178" s="16">
        <f ca="1">_xll.DBRW($D$4,$E$7,$E$8,$E$9,$E$10,$E$12,$D178,$E$6,CE$18,CE$17)</f>
        <v>-1.7325815099999997</v>
      </c>
      <c r="CF178" s="16">
        <f ca="1">_xll.DBRW($D$4,$E$7,$E$8,$E$9,$E$10,$E$12,$D178,$E$6,CF$18,CF$17)</f>
        <v>0.11854799784359121</v>
      </c>
      <c r="CG178" s="16"/>
      <c r="CH178" s="16"/>
      <c r="CI178" s="16"/>
      <c r="CJ178" s="16"/>
      <c r="CK178" s="16">
        <f ca="1">_xll.DBRW($D$4,$E$7,$E$8,$E$9,$E$10,$E$12,$D178,$E$6,CK$18,CK$17)</f>
        <v>-2.5014585933333331</v>
      </c>
      <c r="CL178" s="16">
        <f ca="1">_xll.DBRW($D$4,$E$7,$E$8,$E$9,$E$10,$E$12,$D178,$E$6,CL$18,CL$17)</f>
        <v>0.17115668510644139</v>
      </c>
      <c r="CM178" s="16"/>
      <c r="CN178" s="16"/>
      <c r="CO178" s="16"/>
      <c r="CP178" s="16"/>
      <c r="CQ178" s="16">
        <f ca="1">_xll.DBRW($D$4,$E$7,$E$8,$E$9,$E$10,$E$12,$D178,$E$6,CQ$18,CQ$17)</f>
        <v>0.28921783000000006</v>
      </c>
      <c r="CR178" s="16">
        <f ca="1">_xll.DBRW($D$4,$E$7,$E$8,$E$9,$E$10,$E$12,$D178,$E$6,CR$18,CR$17)</f>
        <v>6.1351129999999996</v>
      </c>
      <c r="CS178" s="16">
        <f ca="1">_xll.DBRW($D$4,$E$7,$E$8,$E$9,$E$10,$E$12,$D178,$E$6,CS$18,CS$17)</f>
        <v>6.1351129999999996</v>
      </c>
      <c r="CT178" s="16">
        <f ca="1">_xll.DBRW($D$4,$E$7,$E$8,$E$9,$E$10,$E$12,$D178,$E$6,CT$18,CT$17)</f>
        <v>6.1351129999999996</v>
      </c>
      <c r="CU178" s="16">
        <f ca="1">_xll.DBRW($D$4,$E$7,$E$8,$E$9,$E$10,$E$12,$D178,$E$6,CU$18,CU$17)</f>
        <v>2.0097569961000001</v>
      </c>
      <c r="CV178" s="16">
        <f ca="1">_xll.DBRW($D$4,$E$7,$E$8,$E$9,$E$10,$E$12,$D178,$E$6,CV$18,CV$17)</f>
        <v>6.1351129999999996</v>
      </c>
      <c r="CW178" s="16">
        <f ca="1">_xll.DBRW($D$4,$E$7,$E$8,$E$9,$E$10,$E$12,$D178,$E$6,CW$18,CW$17)</f>
        <v>4.3474259999999996</v>
      </c>
      <c r="CX178" s="16">
        <f ca="1">_xll.DBRW($D$4,$E$7,$E$8,$E$9,$E$10,$E$12,$D178,$E$6,CX$18,CX$17)</f>
        <v>6.1351129999999996</v>
      </c>
      <c r="CY178" s="16">
        <f ca="1">_xll.DBRW($D$4,$E$7,$E$8,$E$9,$E$10,$E$12,$D178,$E$6,CY$18,CY$17)</f>
        <v>6.1351129999999996</v>
      </c>
      <c r="CZ178" s="16">
        <f ca="1">_xll.DBRW($D$4,$E$7,$E$8,$E$9,$E$10,$E$12,$D178,$E$6,CZ$18,CZ$17)</f>
        <v>6.1351129999999996</v>
      </c>
      <c r="DA178" s="26">
        <f t="shared" ca="1" si="127"/>
        <v>2.8344216397101394</v>
      </c>
      <c r="DB178" s="26">
        <f t="shared" ca="1" si="128"/>
        <v>0.54244198999999982</v>
      </c>
      <c r="DC178" s="26">
        <f t="shared" ca="1" si="129"/>
        <v>0</v>
      </c>
      <c r="DD178" s="26">
        <f t="shared" ca="1" si="130"/>
        <v>0</v>
      </c>
      <c r="DE178" s="26">
        <f t="shared" ca="1" si="131"/>
        <v>0</v>
      </c>
      <c r="DF178" s="26">
        <f t="shared" ca="1" si="132"/>
        <v>0</v>
      </c>
      <c r="DG178" s="26">
        <f t="shared" ca="1" si="133"/>
        <v>0</v>
      </c>
      <c r="DH178" s="26">
        <f t="shared" ca="1" si="134"/>
        <v>2.2919796497101395</v>
      </c>
      <c r="DI178" s="26">
        <f t="shared" ca="1" si="135"/>
        <v>-1.6096841699999995</v>
      </c>
      <c r="DJ178" s="26">
        <f t="shared" ca="1" si="136"/>
        <v>0.89966612999999995</v>
      </c>
      <c r="DK178" s="26">
        <f t="shared" ca="1" si="137"/>
        <v>-1.3247192658243534E-2</v>
      </c>
      <c r="DL178" s="26"/>
      <c r="DM178" s="26"/>
      <c r="DN178" s="26"/>
      <c r="DO178" s="26"/>
      <c r="DP178" s="26">
        <f t="shared" ca="1" si="138"/>
        <v>5.1938416712634661E-2</v>
      </c>
      <c r="DQ178" s="26">
        <f t="shared" ca="1" si="139"/>
        <v>8.810133479327506E-3</v>
      </c>
      <c r="DR178" s="26"/>
      <c r="DS178" s="26"/>
      <c r="DT178" s="26"/>
      <c r="DU178" s="26"/>
      <c r="DV178" s="26">
        <f t="shared" ca="1" si="140"/>
        <v>1.9626592296641694</v>
      </c>
      <c r="DW178" s="26">
        <f t="shared" ca="1" si="141"/>
        <v>-0.13679021953100989</v>
      </c>
      <c r="DX178" s="26"/>
      <c r="DY178" s="26"/>
      <c r="DZ178" s="26"/>
      <c r="EA178" s="26"/>
      <c r="EB178" s="26">
        <f t="shared" ca="1" si="142"/>
        <v>0.44487834999999953</v>
      </c>
      <c r="EC178" s="26">
        <f t="shared" ca="1" si="143"/>
        <v>-1.9534558199646876E-2</v>
      </c>
      <c r="ED178" s="26"/>
      <c r="EE178" s="26"/>
      <c r="EF178" s="26"/>
      <c r="EG178" s="26"/>
      <c r="EH178" s="26">
        <f t="shared" ca="1" si="144"/>
        <v>0.54252169333333367</v>
      </c>
      <c r="EI178" s="29">
        <f t="shared" ca="1" si="145"/>
        <v>-2.0531070027229065E-2</v>
      </c>
      <c r="EJ178" s="29"/>
      <c r="EK178" s="29"/>
      <c r="EL178" s="29"/>
      <c r="EM178" s="29"/>
      <c r="EN178" s="93"/>
      <c r="EO178" s="29"/>
      <c r="EP178" s="29"/>
      <c r="EQ178" s="29"/>
      <c r="ER178" s="29"/>
      <c r="ES178" s="29"/>
      <c r="ET178" s="29"/>
      <c r="EU178" s="93"/>
      <c r="EV178" s="29"/>
      <c r="EW178" s="29"/>
      <c r="EX178" s="29"/>
      <c r="EY178" s="29"/>
      <c r="EZ178" s="29"/>
      <c r="FA178" s="29"/>
      <c r="FB178" s="93"/>
      <c r="FC178" s="29"/>
      <c r="FD178" s="29"/>
      <c r="FE178" s="29"/>
      <c r="FF178" s="29"/>
      <c r="FG178" s="29"/>
      <c r="FH178" s="29"/>
      <c r="FI178" s="93"/>
      <c r="FJ178" s="29"/>
      <c r="FK178" s="29"/>
      <c r="FL178" s="29"/>
      <c r="FM178" s="29"/>
      <c r="FN178" s="29"/>
      <c r="FO178" s="29"/>
      <c r="FP178" s="93"/>
      <c r="FQ178" s="29"/>
      <c r="FR178" s="29"/>
      <c r="FS178" s="29"/>
      <c r="FT178" s="29"/>
      <c r="FU178" s="29"/>
      <c r="FV178" s="29"/>
    </row>
    <row r="179" spans="1:178" x14ac:dyDescent="0.25">
      <c r="A179" t="str">
        <f ca="1">IF(_xll.TM1RPTELISCONSOLIDATED($D$28,$D179),IF(_xll.TM1RPTELLEV($D$28,$D179)&lt;=3,_xll.TM1RPTELLEV($D$28,$D179),"D"),"N")</f>
        <v>N</v>
      </c>
      <c r="B179" t="str">
        <f ca="1">_xll.DBRA(Server&amp;"Management_organization",$D179,$B$27)</f>
        <v>L</v>
      </c>
      <c r="C179">
        <v>1</v>
      </c>
      <c r="D179" s="2" t="s">
        <v>345</v>
      </c>
      <c r="E179" s="26"/>
      <c r="F179" s="26"/>
      <c r="G179" s="16">
        <f ca="1">_xll.DBRW($D$4,$E$7,$E$8,$E$9,$E$10,$E$12,$D179,$E$6,G$18,G$17)</f>
        <v>2.8263045900000119</v>
      </c>
      <c r="H179" s="16">
        <f ca="1">_xll.DBRW($D$4,$E$7,$E$8,$E$9,$E$10,$E$12,$D179,$E$6,H$18,H$17)</f>
        <v>-2.8173836900000007</v>
      </c>
      <c r="I179" s="16">
        <f ca="1">_xll.DBRW($D$4,$E$7,$E$8,$E$9,$E$10,$E$12,$D179,$E$6,I$18,I$17)</f>
        <v>0</v>
      </c>
      <c r="J179" s="26">
        <f ca="1">_xll.DBRW($D$4,$E$7,$E$8,$E$9,$E$10,$E$12,$D179,$E$6,J$18,J$17)</f>
        <v>0</v>
      </c>
      <c r="K179" s="26">
        <f ca="1">_xll.DBRW($D$4,$E$7,$E$8,$E$9,$E$10,$E$12,$D179,$E$6,K$18,K$17)</f>
        <v>0</v>
      </c>
      <c r="L179" s="26">
        <f ca="1">_xll.DBRW($D$4,$E$7,$E$8,$E$9,$E$10,$E$12,$D179,$E$6,L$18,L$17)</f>
        <v>0</v>
      </c>
      <c r="M179" s="26">
        <f ca="1">_xll.DBRW($D$4,$E$7,$E$8,$E$9,$E$10,$E$12,$D179,$E$6,M$18,M$17)</f>
        <v>0</v>
      </c>
      <c r="N179" s="16">
        <f ca="1">_xll.DBRW($D$4,$E$7,$E$8,$E$9,$E$10,$E$12,$D179,$E$6,N$18,N$17)</f>
        <v>5.6436882800000125</v>
      </c>
      <c r="O179" s="16">
        <f ca="1">_xll.DBRW($D$4,$E$7,$E$8,$E$9,$E$10,$E$12,$D179,$E$6,O$18,O$17)</f>
        <v>50.996468500000006</v>
      </c>
      <c r="P179" s="74">
        <f ca="1">_xll.DBRW($D$4,$E$7,$E$8,$E$9,$E$10,$E$12,$D179,$E$6,P$18,P$17)</f>
        <v>-23.158259339999997</v>
      </c>
      <c r="Q179" s="16">
        <f ca="1">_xll.DBRW($D$4,$E$7,$E$8,$E$9,$E$10,$E$12,$D179,$E$6,Q$18,Q$17)</f>
        <v>0.45411496170563254</v>
      </c>
      <c r="R179" s="16"/>
      <c r="S179" s="16"/>
      <c r="T179" s="16"/>
      <c r="U179" s="16"/>
      <c r="V179" s="16">
        <f ca="1">_xll.DBRW($D$4,$E$7,$E$8,$E$9,$E$10,$E$12,$D179,$E$6,V$18,V$17)</f>
        <v>-5.9254125900000005</v>
      </c>
      <c r="W179" s="16">
        <f ca="1">_xll.DBRW($D$4,$E$7,$E$8,$E$9,$E$10,$E$12,$D179,$E$6,W$18,W$17)</f>
        <v>0.11619260635665389</v>
      </c>
      <c r="X179" s="16"/>
      <c r="Y179" s="16"/>
      <c r="Z179" s="16"/>
      <c r="AA179" s="16"/>
      <c r="AB179" s="16">
        <f ca="1">_xll.DBRW($D$4,$E$7,$E$8,$E$9,$E$10,$E$12,$D179,$E$6,AB$18,AB$17)</f>
        <v>-3.3726698399999999</v>
      </c>
      <c r="AC179" s="16">
        <f ca="1">_xll.DBRW($D$4,$E$7,$E$8,$E$9,$E$10,$E$12,$D179,$E$6,AC$18,AC$17)</f>
        <v>6.6135360726007911E-2</v>
      </c>
      <c r="AD179" s="16"/>
      <c r="AE179" s="16"/>
      <c r="AF179" s="16"/>
      <c r="AG179" s="16"/>
      <c r="AH179" s="16">
        <f ca="1">_xll.DBRW($D$4,$E$7,$E$8,$E$9,$E$10,$E$12,$D179,$E$6,AH$18,AH$17)</f>
        <v>-5.4592299999999998E-3</v>
      </c>
      <c r="AI179" s="16">
        <f ca="1">_xll.DBRW($D$4,$E$7,$E$8,$E$9,$E$10,$E$12,$D179,$E$6,AI$18,AI$17)</f>
        <v>1.0705113825675986E-4</v>
      </c>
      <c r="AJ179" s="16"/>
      <c r="AK179" s="16"/>
      <c r="AL179" s="16"/>
      <c r="AM179" s="16"/>
      <c r="AN179" s="16">
        <f ca="1">_xll.DBRW($D$4,$E$7,$E$8,$E$9,$E$10,$E$12,$D179,$E$6,AN$18,AN$17)</f>
        <v>-12.890979220000002</v>
      </c>
      <c r="AO179" s="16">
        <f ca="1">_xll.DBRW($D$4,$E$7,$E$8,$E$9,$E$10,$E$12,$D179,$E$6,AO$18,AO$17)</f>
        <v>0.25278180233205755</v>
      </c>
      <c r="AP179" s="16"/>
      <c r="AQ179" s="16"/>
      <c r="AR179" s="16"/>
      <c r="AS179" s="16"/>
      <c r="AT179" s="16">
        <f ca="1">_xll.DBRW($D$4,$E$7,$E$8,$E$9,$E$10,$E$12,$D179,$E$6,AT$18,AT$17)</f>
        <v>0.73514299999999999</v>
      </c>
      <c r="AU179" s="16">
        <f ca="1">_xll.DBRW($D$4,$E$7,$E$8,$E$9,$E$10,$E$12,$D179,$E$6,AU$18,AU$17)</f>
        <v>7.3885799999999993</v>
      </c>
      <c r="AV179" s="16">
        <f ca="1">_xll.DBRW($D$4,$E$7,$E$8,$E$9,$E$10,$E$12,$D179,$E$6,AV$18,AV$17)</f>
        <v>7.3885799999999993</v>
      </c>
      <c r="AW179" s="16">
        <f ca="1">_xll.DBRW($D$4,$E$7,$E$8,$E$9,$E$10,$E$12,$D179,$E$6,AW$18,AW$17)</f>
        <v>7.3885799999999993</v>
      </c>
      <c r="AX179" s="16">
        <f ca="1">_xll.DBRW($D$4,$E$7,$E$8,$E$9,$E$10,$E$12,$D179,$E$6,AX$18,AX$17)</f>
        <v>3.2786838999999999</v>
      </c>
      <c r="AY179" s="16">
        <f ca="1">_xll.DBRW($D$4,$E$7,$E$8,$E$9,$E$10,$E$12,$D179,$E$6,AY$18,AY$17)</f>
        <v>7.3885799999999993</v>
      </c>
      <c r="AZ179" s="16">
        <f ca="1">_xll.DBRW($D$4,$E$7,$E$8,$E$9,$E$10,$E$12,$D179,$E$6,AZ$18,AZ$17)</f>
        <v>6.8645079999999998</v>
      </c>
      <c r="BA179" s="16">
        <f ca="1">_xll.DBRW($D$4,$E$7,$E$8,$E$9,$E$10,$E$12,$D179,$E$6,BA$18,BA$17)</f>
        <v>7.3885799999999993</v>
      </c>
      <c r="BB179" s="16">
        <f ca="1">_xll.DBRW($D$4,$E$7,$E$8,$E$9,$E$10,$E$12,$D179,$E$6,BB$18,BB$17)</f>
        <v>7.3885799999999993</v>
      </c>
      <c r="BC179" s="16">
        <f ca="1">_xll.DBRW($D$4,$E$7,$E$8,$E$9,$E$10,$E$12,$D179,$E$6,BC$18,BC$17)</f>
        <v>7.3885799999999993</v>
      </c>
      <c r="BD179" s="16">
        <f ca="1">_xll.DBRW($D$4,$E$7,$E$8,$E$9,$E$10,$E$12,$D179,$E$6,BD$18,BD$17)</f>
        <v>2.2760934534558386</v>
      </c>
      <c r="BE179" s="16">
        <f ca="1">_xll.DBRW($D$4,$E$7,$E$8,$E$9,$E$10,$E$12,$D179,$E$6,BE$18,BE$17)</f>
        <v>-3.0641043333333329</v>
      </c>
      <c r="BF179" s="16">
        <f ca="1">_xll.DBRW($D$4,$E$7,$E$8,$E$9,$E$10,$E$12,$D179,$E$6,BF$18,BF$17)</f>
        <v>0</v>
      </c>
      <c r="BG179" s="26">
        <f ca="1">_xll.DBRW($D$4,$E$7,$E$8,$E$9,$E$10,$E$12,$D179,$E$6,BG$18,BG$17)</f>
        <v>0</v>
      </c>
      <c r="BH179" s="26">
        <f ca="1">_xll.DBRW($D$4,$E$7,$E$8,$E$9,$E$10,$E$12,$D179,$E$6,BH$18,BH$17)</f>
        <v>0</v>
      </c>
      <c r="BI179" s="26">
        <f ca="1">_xll.DBRW($D$4,$E$7,$E$8,$E$9,$E$10,$E$12,$D179,$E$6,BI$18,BI$17)</f>
        <v>0</v>
      </c>
      <c r="BJ179" s="26">
        <f ca="1">_xll.DBRW($D$4,$E$7,$E$8,$E$9,$E$10,$E$12,$D179,$E$6,BJ$18,BJ$17)</f>
        <v>0</v>
      </c>
      <c r="BK179" s="16">
        <f ca="1">_xll.DBRW($D$4,$E$7,$E$8,$E$9,$E$10,$E$12,$D179,$E$6,BK$18,BK$17)</f>
        <v>5.3401977867891723</v>
      </c>
      <c r="BL179" s="16">
        <f ca="1">_xll.DBRW($D$4,$E$7,$E$8,$E$9,$E$10,$E$12,$D179,$E$6,BL$18,BL$17)</f>
        <v>54.882673999999994</v>
      </c>
      <c r="BM179" s="16">
        <f ca="1">_xll.DBRW($D$4,$E$7,$E$8,$E$9,$E$10,$E$12,$D179,$E$6,BM$18,BM$17)</f>
        <v>-25.05412033333333</v>
      </c>
      <c r="BN179" s="16">
        <f ca="1">_xll.DBRW($D$4,$E$7,$E$8,$E$9,$E$10,$E$12,$D179,$E$6,BN$18,BN$17)</f>
        <v>0.45650327338885371</v>
      </c>
      <c r="BO179" s="16"/>
      <c r="BP179" s="16"/>
      <c r="BQ179" s="16"/>
      <c r="BR179" s="16"/>
      <c r="BS179" s="16">
        <f ca="1">_xll.DBRW($D$4,$E$7,$E$8,$E$9,$E$10,$E$12,$D179,$E$6,BS$18,BS$17)</f>
        <v>-6.6102092256293314</v>
      </c>
      <c r="BT179" s="16">
        <f ca="1">_xll.DBRW($D$4,$E$7,$E$8,$E$9,$E$10,$E$12,$D179,$E$6,BT$18,BT$17)</f>
        <v>0.12044255033253905</v>
      </c>
      <c r="BU179" s="16"/>
      <c r="BV179" s="16"/>
      <c r="BW179" s="16"/>
      <c r="BX179" s="16"/>
      <c r="BY179" s="16">
        <f ca="1">_xll.DBRW($D$4,$E$7,$E$8,$E$9,$E$10,$E$12,$D179,$E$6,BY$18,BY$17)</f>
        <v>-3.3528443209148304</v>
      </c>
      <c r="BZ179" s="16">
        <f ca="1">_xll.DBRW($D$4,$E$7,$E$8,$E$9,$E$10,$E$12,$D179,$E$6,BZ$18,BZ$17)</f>
        <v>6.1091125423568662E-2</v>
      </c>
      <c r="CA179" s="16"/>
      <c r="CB179" s="16"/>
      <c r="CC179" s="16"/>
      <c r="CD179" s="16"/>
      <c r="CE179" s="16">
        <f ca="1">_xll.DBRW($D$4,$E$7,$E$8,$E$9,$E$10,$E$12,$D179,$E$6,CE$18,CE$17)</f>
        <v>-5.0109999999999995E-2</v>
      </c>
      <c r="CF179" s="16">
        <f ca="1">_xll.DBRW($D$4,$E$7,$E$8,$E$9,$E$10,$E$12,$D179,$E$6,CF$18,CF$17)</f>
        <v>9.1303860303891169E-4</v>
      </c>
      <c r="CG179" s="16"/>
      <c r="CH179" s="16"/>
      <c r="CI179" s="16"/>
      <c r="CJ179" s="16"/>
      <c r="CK179" s="16">
        <f ca="1">_xll.DBRW($D$4,$E$7,$E$8,$E$9,$E$10,$E$12,$D179,$E$6,CK$18,CK$17)</f>
        <v>-14.475192333333331</v>
      </c>
      <c r="CL179" s="16">
        <f ca="1">_xll.DBRW($D$4,$E$7,$E$8,$E$9,$E$10,$E$12,$D179,$E$6,CL$18,CL$17)</f>
        <v>0.26374794226194831</v>
      </c>
      <c r="CM179" s="16"/>
      <c r="CN179" s="16"/>
      <c r="CO179" s="16"/>
      <c r="CP179" s="16"/>
      <c r="CQ179" s="16">
        <f ca="1">_xll.DBRW($D$4,$E$7,$E$8,$E$9,$E$10,$E$12,$D179,$E$6,CQ$18,CQ$17)</f>
        <v>0.81170500000000001</v>
      </c>
      <c r="CR179" s="16">
        <f ca="1">_xll.DBRW($D$4,$E$7,$E$8,$E$9,$E$10,$E$12,$D179,$E$6,CR$18,CR$17)</f>
        <v>8.1731819999999988</v>
      </c>
      <c r="CS179" s="16">
        <f ca="1">_xll.DBRW($D$4,$E$7,$E$8,$E$9,$E$10,$E$12,$D179,$E$6,CS$18,CS$17)</f>
        <v>8.1731819999999988</v>
      </c>
      <c r="CT179" s="16">
        <f ca="1">_xll.DBRW($D$4,$E$7,$E$8,$E$9,$E$10,$E$12,$D179,$E$6,CT$18,CT$17)</f>
        <v>8.1731819999999988</v>
      </c>
      <c r="CU179" s="16">
        <f ca="1">_xll.DBRW($D$4,$E$7,$E$8,$E$9,$E$10,$E$12,$D179,$E$6,CU$18,CU$17)</f>
        <v>3.6053660278059998</v>
      </c>
      <c r="CV179" s="16">
        <f ca="1">_xll.DBRW($D$4,$E$7,$E$8,$E$9,$E$10,$E$12,$D179,$E$6,CV$18,CV$17)</f>
        <v>8.1731819999999988</v>
      </c>
      <c r="CW179" s="16">
        <f ca="1">_xll.DBRW($D$4,$E$7,$E$8,$E$9,$E$10,$E$12,$D179,$E$6,CW$18,CW$17)</f>
        <v>7.5932439999999986</v>
      </c>
      <c r="CX179" s="16">
        <f ca="1">_xll.DBRW($D$4,$E$7,$E$8,$E$9,$E$10,$E$12,$D179,$E$6,CX$18,CX$17)</f>
        <v>8.1731819999999988</v>
      </c>
      <c r="CY179" s="16">
        <f ca="1">_xll.DBRW($D$4,$E$7,$E$8,$E$9,$E$10,$E$12,$D179,$E$6,CY$18,CY$17)</f>
        <v>8.1731819999999988</v>
      </c>
      <c r="CZ179" s="16">
        <f ca="1">_xll.DBRW($D$4,$E$7,$E$8,$E$9,$E$10,$E$12,$D179,$E$6,CZ$18,CZ$17)</f>
        <v>8.1731819999999988</v>
      </c>
      <c r="DA179" s="26">
        <f t="shared" ca="1" si="127"/>
        <v>0.55021113654417331</v>
      </c>
      <c r="DB179" s="26">
        <f t="shared" ca="1" si="128"/>
        <v>0.24672064333333221</v>
      </c>
      <c r="DC179" s="26">
        <f t="shared" ca="1" si="129"/>
        <v>0</v>
      </c>
      <c r="DD179" s="26">
        <f t="shared" ca="1" si="130"/>
        <v>0</v>
      </c>
      <c r="DE179" s="26">
        <f t="shared" ca="1" si="131"/>
        <v>0</v>
      </c>
      <c r="DF179" s="26">
        <f t="shared" ca="1" si="132"/>
        <v>0</v>
      </c>
      <c r="DG179" s="26">
        <f t="shared" ca="1" si="133"/>
        <v>0</v>
      </c>
      <c r="DH179" s="26">
        <f t="shared" ca="1" si="134"/>
        <v>0.30349049321084021</v>
      </c>
      <c r="DI179" s="26">
        <f t="shared" ca="1" si="135"/>
        <v>-3.8862054999999884</v>
      </c>
      <c r="DJ179" s="26">
        <f t="shared" ca="1" si="136"/>
        <v>1.8958609933333328</v>
      </c>
      <c r="DK179" s="26">
        <f t="shared" ca="1" si="137"/>
        <v>-2.3883116832211781E-3</v>
      </c>
      <c r="DL179" s="26"/>
      <c r="DM179" s="26"/>
      <c r="DN179" s="26"/>
      <c r="DO179" s="26"/>
      <c r="DP179" s="26">
        <f t="shared" ca="1" si="138"/>
        <v>0.68479663562933091</v>
      </c>
      <c r="DQ179" s="26">
        <f t="shared" ca="1" si="139"/>
        <v>-4.2499439758851565E-3</v>
      </c>
      <c r="DR179" s="26"/>
      <c r="DS179" s="26"/>
      <c r="DT179" s="26"/>
      <c r="DU179" s="26"/>
      <c r="DV179" s="26">
        <f t="shared" ca="1" si="140"/>
        <v>-1.9825519085169496E-2</v>
      </c>
      <c r="DW179" s="26">
        <f t="shared" ca="1" si="141"/>
        <v>5.0442353024392483E-3</v>
      </c>
      <c r="DX179" s="26"/>
      <c r="DY179" s="26"/>
      <c r="DZ179" s="26"/>
      <c r="EA179" s="26"/>
      <c r="EB179" s="26">
        <f t="shared" ca="1" si="142"/>
        <v>4.4650769999999992E-2</v>
      </c>
      <c r="EC179" s="26">
        <f t="shared" ca="1" si="143"/>
        <v>-8.0598746478215187E-4</v>
      </c>
      <c r="ED179" s="26"/>
      <c r="EE179" s="26"/>
      <c r="EF179" s="26"/>
      <c r="EG179" s="26"/>
      <c r="EH179" s="26">
        <f t="shared" ca="1" si="144"/>
        <v>1.5842131133333286</v>
      </c>
      <c r="EI179" s="29">
        <f t="shared" ca="1" si="145"/>
        <v>-1.0966139929890761E-2</v>
      </c>
      <c r="EJ179" s="29"/>
      <c r="EK179" s="29"/>
      <c r="EL179" s="29"/>
      <c r="EM179" s="29"/>
      <c r="EN179" s="93"/>
      <c r="EO179" s="29"/>
      <c r="EP179" s="29"/>
      <c r="EQ179" s="29"/>
      <c r="ER179" s="29"/>
      <c r="ES179" s="29"/>
      <c r="ET179" s="29"/>
      <c r="EU179" s="93"/>
      <c r="EV179" s="29"/>
      <c r="EW179" s="29"/>
      <c r="EX179" s="29"/>
      <c r="EY179" s="29"/>
      <c r="EZ179" s="29"/>
      <c r="FA179" s="29"/>
      <c r="FB179" s="93"/>
      <c r="FC179" s="29"/>
      <c r="FD179" s="29"/>
      <c r="FE179" s="29"/>
      <c r="FF179" s="29"/>
      <c r="FG179" s="29"/>
      <c r="FH179" s="29"/>
      <c r="FI179" s="93"/>
      <c r="FJ179" s="29"/>
      <c r="FK179" s="29"/>
      <c r="FL179" s="29"/>
      <c r="FM179" s="29"/>
      <c r="FN179" s="29"/>
      <c r="FO179" s="29"/>
      <c r="FP179" s="93"/>
      <c r="FQ179" s="29"/>
      <c r="FR179" s="29"/>
      <c r="FS179" s="29"/>
      <c r="FT179" s="29"/>
      <c r="FU179" s="29"/>
      <c r="FV179" s="29"/>
    </row>
    <row r="180" spans="1:178" x14ac:dyDescent="0.25">
      <c r="A180" t="str">
        <f ca="1">IF(_xll.TM1RPTELISCONSOLIDATED($D$28,$D180),IF(_xll.TM1RPTELLEV($D$28,$D180)&lt;=3,_xll.TM1RPTELLEV($D$28,$D180),"D"),"N")</f>
        <v>N</v>
      </c>
      <c r="B180" t="str">
        <f ca="1">_xll.DBRA(Server&amp;"Management_organization",$D180,$B$27)</f>
        <v>L</v>
      </c>
      <c r="C180">
        <v>1</v>
      </c>
      <c r="D180" s="2" t="s">
        <v>205</v>
      </c>
      <c r="E180" s="26"/>
      <c r="F180" s="26"/>
      <c r="G180" s="16">
        <f ca="1">_xll.DBRW($D$4,$E$7,$E$8,$E$9,$E$10,$E$12,$D180,$E$6,G$18,G$17)</f>
        <v>0.97796400000000128</v>
      </c>
      <c r="H180" s="16">
        <f ca="1">_xll.DBRW($D$4,$E$7,$E$8,$E$9,$E$10,$E$12,$D180,$E$6,H$18,H$17)</f>
        <v>-0.16607400000000003</v>
      </c>
      <c r="I180" s="16">
        <f ca="1">_xll.DBRW($D$4,$E$7,$E$8,$E$9,$E$10,$E$12,$D180,$E$6,I$18,I$17)</f>
        <v>0</v>
      </c>
      <c r="J180" s="26">
        <f ca="1">_xll.DBRW($D$4,$E$7,$E$8,$E$9,$E$10,$E$12,$D180,$E$6,J$18,J$17)</f>
        <v>-4.1658000000000001E-2</v>
      </c>
      <c r="K180" s="26">
        <f ca="1">_xll.DBRW($D$4,$E$7,$E$8,$E$9,$E$10,$E$12,$D180,$E$6,K$18,K$17)</f>
        <v>0</v>
      </c>
      <c r="L180" s="26">
        <f ca="1">_xll.DBRW($D$4,$E$7,$E$8,$E$9,$E$10,$E$12,$D180,$E$6,L$18,L$17)</f>
        <v>0</v>
      </c>
      <c r="M180" s="26">
        <f ca="1">_xll.DBRW($D$4,$E$7,$E$8,$E$9,$E$10,$E$12,$D180,$E$6,M$18,M$17)</f>
        <v>0</v>
      </c>
      <c r="N180" s="16">
        <f ca="1">_xll.DBRW($D$4,$E$7,$E$8,$E$9,$E$10,$E$12,$D180,$E$6,N$18,N$17)</f>
        <v>1.185696000000001</v>
      </c>
      <c r="O180" s="16">
        <f ca="1">_xll.DBRW($D$4,$E$7,$E$8,$E$9,$E$10,$E$12,$D180,$E$6,O$18,O$17)</f>
        <v>8.0945999999999998</v>
      </c>
      <c r="P180" s="74">
        <f ca="1">_xll.DBRW($D$4,$E$7,$E$8,$E$9,$E$10,$E$12,$D180,$E$6,P$18,P$17)</f>
        <v>-3.1265049999999999</v>
      </c>
      <c r="Q180" s="16">
        <f ca="1">_xll.DBRW($D$4,$E$7,$E$8,$E$9,$E$10,$E$12,$D180,$E$6,Q$18,Q$17)</f>
        <v>0.3862457687841277</v>
      </c>
      <c r="R180" s="16"/>
      <c r="S180" s="16"/>
      <c r="T180" s="16"/>
      <c r="U180" s="16"/>
      <c r="V180" s="16">
        <f ca="1">_xll.DBRW($D$4,$E$7,$E$8,$E$9,$E$10,$E$12,$D180,$E$6,V$18,V$17)</f>
        <v>-1.1552039999999997</v>
      </c>
      <c r="W180" s="16">
        <f ca="1">_xll.DBRW($D$4,$E$7,$E$8,$E$9,$E$10,$E$12,$D180,$E$6,W$18,W$17)</f>
        <v>0.14271291972426059</v>
      </c>
      <c r="X180" s="16"/>
      <c r="Y180" s="16"/>
      <c r="Z180" s="16"/>
      <c r="AA180" s="16"/>
      <c r="AB180" s="16">
        <f ca="1">_xll.DBRW($D$4,$E$7,$E$8,$E$9,$E$10,$E$12,$D180,$E$6,AB$18,AB$17)</f>
        <v>-0.88746900000000006</v>
      </c>
      <c r="AC180" s="16">
        <f ca="1">_xll.DBRW($D$4,$E$7,$E$8,$E$9,$E$10,$E$12,$D180,$E$6,AC$18,AC$17)</f>
        <v>0.10963716551775259</v>
      </c>
      <c r="AD180" s="16"/>
      <c r="AE180" s="16"/>
      <c r="AF180" s="16"/>
      <c r="AG180" s="16"/>
      <c r="AH180" s="16">
        <f ca="1">_xll.DBRW($D$4,$E$7,$E$8,$E$9,$E$10,$E$12,$D180,$E$6,AH$18,AH$17)</f>
        <v>-0.8769119999999998</v>
      </c>
      <c r="AI180" s="16">
        <f ca="1">_xll.DBRW($D$4,$E$7,$E$8,$E$9,$E$10,$E$12,$D180,$E$6,AI$18,AI$17)</f>
        <v>0.10833296271588465</v>
      </c>
      <c r="AJ180" s="16"/>
      <c r="AK180" s="16"/>
      <c r="AL180" s="16"/>
      <c r="AM180" s="16"/>
      <c r="AN180" s="16">
        <f ca="1">_xll.DBRW($D$4,$E$7,$E$8,$E$9,$E$10,$E$12,$D180,$E$6,AN$18,AN$17)</f>
        <v>-0.86281399999999986</v>
      </c>
      <c r="AO180" s="16">
        <f ca="1">_xll.DBRW($D$4,$E$7,$E$8,$E$9,$E$10,$E$12,$D180,$E$6,AO$18,AO$17)</f>
        <v>0.10659130778543718</v>
      </c>
      <c r="AP180" s="16"/>
      <c r="AQ180" s="16"/>
      <c r="AR180" s="16"/>
      <c r="AS180" s="16"/>
      <c r="AT180" s="16">
        <f ca="1">_xll.DBRW($D$4,$E$7,$E$8,$E$9,$E$10,$E$12,$D180,$E$6,AT$18,AT$17)</f>
        <v>0.22216499999999997</v>
      </c>
      <c r="AU180" s="16">
        <f ca="1">_xll.DBRW($D$4,$E$7,$E$8,$E$9,$E$10,$E$12,$D180,$E$6,AU$18,AU$17)</f>
        <v>4.7777669999999999</v>
      </c>
      <c r="AV180" s="16">
        <f ca="1">_xll.DBRW($D$4,$E$7,$E$8,$E$9,$E$10,$E$12,$D180,$E$6,AV$18,AV$17)</f>
        <v>3.381624</v>
      </c>
      <c r="AW180" s="16">
        <f ca="1">_xll.DBRW($D$4,$E$7,$E$8,$E$9,$E$10,$E$12,$D180,$E$6,AW$18,AW$17)</f>
        <v>4.7777669999999999</v>
      </c>
      <c r="AX180" s="16">
        <f ca="1">_xll.DBRW($D$4,$E$7,$E$8,$E$9,$E$10,$E$12,$D180,$E$6,AX$18,AX$17)</f>
        <v>1.4307030000000001</v>
      </c>
      <c r="AY180" s="16">
        <f ca="1">_xll.DBRW($D$4,$E$7,$E$8,$E$9,$E$10,$E$12,$D180,$E$6,AY$18,AY$17)</f>
        <v>4.7777669999999999</v>
      </c>
      <c r="AZ180" s="16">
        <f ca="1">_xll.DBRW($D$4,$E$7,$E$8,$E$9,$E$10,$E$12,$D180,$E$6,AZ$18,AZ$17)</f>
        <v>1.515E-4</v>
      </c>
      <c r="BA180" s="16">
        <f ca="1">_xll.DBRW($D$4,$E$7,$E$8,$E$9,$E$10,$E$12,$D180,$E$6,BA$18,BA$17)</f>
        <v>4.7777669999999999</v>
      </c>
      <c r="BB180" s="16">
        <f ca="1">_xll.DBRW($D$4,$E$7,$E$8,$E$9,$E$10,$E$12,$D180,$E$6,BB$18,BB$17)</f>
        <v>0.15207200000000001</v>
      </c>
      <c r="BC180" s="16">
        <f ca="1">_xll.DBRW($D$4,$E$7,$E$8,$E$9,$E$10,$E$12,$D180,$E$6,BC$18,BC$17)</f>
        <v>4.7777669999999999</v>
      </c>
      <c r="BD180" s="16">
        <f ca="1">_xll.DBRW($D$4,$E$7,$E$8,$E$9,$E$10,$E$12,$D180,$E$6,BD$18,BD$17)</f>
        <v>0</v>
      </c>
      <c r="BE180" s="16">
        <f ca="1">_xll.DBRW($D$4,$E$7,$E$8,$E$9,$E$10,$E$12,$D180,$E$6,BE$18,BE$17)</f>
        <v>0</v>
      </c>
      <c r="BF180" s="16">
        <f ca="1">_xll.DBRW($D$4,$E$7,$E$8,$E$9,$E$10,$E$12,$D180,$E$6,BF$18,BF$17)</f>
        <v>0</v>
      </c>
      <c r="BG180" s="26">
        <f ca="1">_xll.DBRW($D$4,$E$7,$E$8,$E$9,$E$10,$E$12,$D180,$E$6,BG$18,BG$17)</f>
        <v>0</v>
      </c>
      <c r="BH180" s="26">
        <f ca="1">_xll.DBRW($D$4,$E$7,$E$8,$E$9,$E$10,$E$12,$D180,$E$6,BH$18,BH$17)</f>
        <v>0</v>
      </c>
      <c r="BI180" s="26">
        <f ca="1">_xll.DBRW($D$4,$E$7,$E$8,$E$9,$E$10,$E$12,$D180,$E$6,BI$18,BI$17)</f>
        <v>0</v>
      </c>
      <c r="BJ180" s="26">
        <f ca="1">_xll.DBRW($D$4,$E$7,$E$8,$E$9,$E$10,$E$12,$D180,$E$6,BJ$18,BJ$17)</f>
        <v>0</v>
      </c>
      <c r="BK180" s="16">
        <f ca="1">_xll.DBRW($D$4,$E$7,$E$8,$E$9,$E$10,$E$12,$D180,$E$6,BK$18,BK$17)</f>
        <v>0</v>
      </c>
      <c r="BL180" s="16">
        <f ca="1">_xll.DBRW($D$4,$E$7,$E$8,$E$9,$E$10,$E$12,$D180,$E$6,BL$18,BL$17)</f>
        <v>0</v>
      </c>
      <c r="BM180" s="16">
        <f ca="1">_xll.DBRW($D$4,$E$7,$E$8,$E$9,$E$10,$E$12,$D180,$E$6,BM$18,BM$17)</f>
        <v>0</v>
      </c>
      <c r="BN180" s="16">
        <f ca="1">_xll.DBRW($D$4,$E$7,$E$8,$E$9,$E$10,$E$12,$D180,$E$6,BN$18,BN$17)</f>
        <v>0</v>
      </c>
      <c r="BO180" s="16"/>
      <c r="BP180" s="16"/>
      <c r="BQ180" s="16"/>
      <c r="BR180" s="16"/>
      <c r="BS180" s="16">
        <f ca="1">_xll.DBRW($D$4,$E$7,$E$8,$E$9,$E$10,$E$12,$D180,$E$6,BS$18,BS$17)</f>
        <v>0</v>
      </c>
      <c r="BT180" s="16">
        <f ca="1">_xll.DBRW($D$4,$E$7,$E$8,$E$9,$E$10,$E$12,$D180,$E$6,BT$18,BT$17)</f>
        <v>0</v>
      </c>
      <c r="BU180" s="16"/>
      <c r="BV180" s="16"/>
      <c r="BW180" s="16"/>
      <c r="BX180" s="16"/>
      <c r="BY180" s="16">
        <f ca="1">_xll.DBRW($D$4,$E$7,$E$8,$E$9,$E$10,$E$12,$D180,$E$6,BY$18,BY$17)</f>
        <v>0</v>
      </c>
      <c r="BZ180" s="16">
        <f ca="1">_xll.DBRW($D$4,$E$7,$E$8,$E$9,$E$10,$E$12,$D180,$E$6,BZ$18,BZ$17)</f>
        <v>0</v>
      </c>
      <c r="CA180" s="16"/>
      <c r="CB180" s="16"/>
      <c r="CC180" s="16"/>
      <c r="CD180" s="16"/>
      <c r="CE180" s="16">
        <f ca="1">_xll.DBRW($D$4,$E$7,$E$8,$E$9,$E$10,$E$12,$D180,$E$6,CE$18,CE$17)</f>
        <v>0</v>
      </c>
      <c r="CF180" s="16">
        <f ca="1">_xll.DBRW($D$4,$E$7,$E$8,$E$9,$E$10,$E$12,$D180,$E$6,CF$18,CF$17)</f>
        <v>0</v>
      </c>
      <c r="CG180" s="16"/>
      <c r="CH180" s="16"/>
      <c r="CI180" s="16"/>
      <c r="CJ180" s="16"/>
      <c r="CK180" s="16">
        <f ca="1">_xll.DBRW($D$4,$E$7,$E$8,$E$9,$E$10,$E$12,$D180,$E$6,CK$18,CK$17)</f>
        <v>0</v>
      </c>
      <c r="CL180" s="16">
        <f ca="1">_xll.DBRW($D$4,$E$7,$E$8,$E$9,$E$10,$E$12,$D180,$E$6,CL$18,CL$17)</f>
        <v>0</v>
      </c>
      <c r="CM180" s="16"/>
      <c r="CN180" s="16"/>
      <c r="CO180" s="16"/>
      <c r="CP180" s="16"/>
      <c r="CQ180" s="16">
        <f ca="1">_xll.DBRW($D$4,$E$7,$E$8,$E$9,$E$10,$E$12,$D180,$E$6,CQ$18,CQ$17)</f>
        <v>0</v>
      </c>
      <c r="CR180" s="16">
        <f ca="1">_xll.DBRW($D$4,$E$7,$E$8,$E$9,$E$10,$E$12,$D180,$E$6,CR$18,CR$17)</f>
        <v>0</v>
      </c>
      <c r="CS180" s="16">
        <f ca="1">_xll.DBRW($D$4,$E$7,$E$8,$E$9,$E$10,$E$12,$D180,$E$6,CS$18,CS$17)</f>
        <v>0</v>
      </c>
      <c r="CT180" s="16">
        <f ca="1">_xll.DBRW($D$4,$E$7,$E$8,$E$9,$E$10,$E$12,$D180,$E$6,CT$18,CT$17)</f>
        <v>0</v>
      </c>
      <c r="CU180" s="16">
        <f ca="1">_xll.DBRW($D$4,$E$7,$E$8,$E$9,$E$10,$E$12,$D180,$E$6,CU$18,CU$17)</f>
        <v>0</v>
      </c>
      <c r="CV180" s="16">
        <f ca="1">_xll.DBRW($D$4,$E$7,$E$8,$E$9,$E$10,$E$12,$D180,$E$6,CV$18,CV$17)</f>
        <v>0</v>
      </c>
      <c r="CW180" s="16" t="str">
        <f ca="1">_xll.DBRW($D$4,$E$7,$E$8,$E$9,$E$10,$E$12,$D180,$E$6,CW$18,CW$17)</f>
        <v/>
      </c>
      <c r="CX180" s="16">
        <f ca="1">_xll.DBRW($D$4,$E$7,$E$8,$E$9,$E$10,$E$12,$D180,$E$6,CX$18,CX$17)</f>
        <v>0</v>
      </c>
      <c r="CY180" s="16">
        <f ca="1">_xll.DBRW($D$4,$E$7,$E$8,$E$9,$E$10,$E$12,$D180,$E$6,CY$18,CY$17)</f>
        <v>0</v>
      </c>
      <c r="CZ180" s="16">
        <f ca="1">_xll.DBRW($D$4,$E$7,$E$8,$E$9,$E$10,$E$12,$D180,$E$6,CZ$18,CZ$17)</f>
        <v>0</v>
      </c>
      <c r="DA180" s="26">
        <f t="shared" ca="1" si="127"/>
        <v>0.97796400000000128</v>
      </c>
      <c r="DB180" s="26">
        <f t="shared" ca="1" si="128"/>
        <v>-0.16607400000000003</v>
      </c>
      <c r="DC180" s="26">
        <f t="shared" ca="1" si="129"/>
        <v>0</v>
      </c>
      <c r="DD180" s="26">
        <f t="shared" ca="1" si="130"/>
        <v>-4.1658000000000001E-2</v>
      </c>
      <c r="DE180" s="26">
        <f t="shared" ca="1" si="131"/>
        <v>0</v>
      </c>
      <c r="DF180" s="26">
        <f t="shared" ca="1" si="132"/>
        <v>0</v>
      </c>
      <c r="DG180" s="26">
        <f t="shared" ca="1" si="133"/>
        <v>0</v>
      </c>
      <c r="DH180" s="26">
        <f t="shared" ca="1" si="134"/>
        <v>1.185696000000001</v>
      </c>
      <c r="DI180" s="26">
        <f t="shared" ca="1" si="135"/>
        <v>8.0945999999999998</v>
      </c>
      <c r="DJ180" s="26">
        <f t="shared" ca="1" si="136"/>
        <v>-3.1265049999999999</v>
      </c>
      <c r="DK180" s="26">
        <f t="shared" ca="1" si="137"/>
        <v>0.3862457687841277</v>
      </c>
      <c r="DL180" s="26"/>
      <c r="DM180" s="26"/>
      <c r="DN180" s="26"/>
      <c r="DO180" s="26"/>
      <c r="DP180" s="26">
        <f t="shared" ca="1" si="138"/>
        <v>-1.1552039999999997</v>
      </c>
      <c r="DQ180" s="26">
        <f t="shared" ca="1" si="139"/>
        <v>0.14271291972426059</v>
      </c>
      <c r="DR180" s="26"/>
      <c r="DS180" s="26"/>
      <c r="DT180" s="26"/>
      <c r="DU180" s="26"/>
      <c r="DV180" s="26">
        <f t="shared" ca="1" si="140"/>
        <v>-0.88746900000000006</v>
      </c>
      <c r="DW180" s="26">
        <f t="shared" ca="1" si="141"/>
        <v>0.10963716551775259</v>
      </c>
      <c r="DX180" s="26"/>
      <c r="DY180" s="26"/>
      <c r="DZ180" s="26"/>
      <c r="EA180" s="26"/>
      <c r="EB180" s="26">
        <f t="shared" ca="1" si="142"/>
        <v>-0.8769119999999998</v>
      </c>
      <c r="EC180" s="26">
        <f t="shared" ca="1" si="143"/>
        <v>0.10833296271588465</v>
      </c>
      <c r="ED180" s="26"/>
      <c r="EE180" s="26"/>
      <c r="EF180" s="26"/>
      <c r="EG180" s="26"/>
      <c r="EH180" s="26">
        <f t="shared" ca="1" si="144"/>
        <v>-0.86281399999999986</v>
      </c>
      <c r="EI180" s="29">
        <f t="shared" ca="1" si="145"/>
        <v>0.10659130778543718</v>
      </c>
      <c r="EJ180" s="29"/>
      <c r="EK180" s="29"/>
      <c r="EL180" s="29"/>
      <c r="EM180" s="29"/>
      <c r="EN180" s="93"/>
      <c r="EO180" s="29"/>
      <c r="EP180" s="29"/>
      <c r="EQ180" s="29"/>
      <c r="ER180" s="29"/>
      <c r="ES180" s="29"/>
      <c r="ET180" s="29"/>
      <c r="EU180" s="93"/>
      <c r="EV180" s="29"/>
      <c r="EW180" s="29"/>
      <c r="EX180" s="29"/>
      <c r="EY180" s="29"/>
      <c r="EZ180" s="29"/>
      <c r="FA180" s="29"/>
      <c r="FB180" s="93"/>
      <c r="FC180" s="29"/>
      <c r="FD180" s="29"/>
      <c r="FE180" s="29"/>
      <c r="FF180" s="29"/>
      <c r="FG180" s="29"/>
      <c r="FH180" s="29"/>
      <c r="FI180" s="93"/>
      <c r="FJ180" s="29"/>
      <c r="FK180" s="29"/>
      <c r="FL180" s="29"/>
      <c r="FM180" s="29"/>
      <c r="FN180" s="29"/>
      <c r="FO180" s="29"/>
      <c r="FP180" s="93"/>
      <c r="FQ180" s="29"/>
      <c r="FR180" s="29"/>
      <c r="FS180" s="29"/>
      <c r="FT180" s="29"/>
      <c r="FU180" s="29"/>
      <c r="FV180" s="29"/>
    </row>
    <row r="181" spans="1:178" x14ac:dyDescent="0.25">
      <c r="A181" t="str">
        <f ca="1">IF(_xll.TM1RPTELISCONSOLIDATED($D$28,$D181),IF(_xll.TM1RPTELLEV($D$28,$D181)&lt;=3,_xll.TM1RPTELLEV($D$28,$D181),"D"),"N")</f>
        <v>N</v>
      </c>
      <c r="B181" t="str">
        <f ca="1">_xll.DBRA(Server&amp;"Management_organization",$D181,$B$27)</f>
        <v>L</v>
      </c>
      <c r="C181">
        <v>1</v>
      </c>
      <c r="D181" s="2" t="s">
        <v>206</v>
      </c>
      <c r="E181" s="26"/>
      <c r="F181" s="26"/>
      <c r="G181" s="16">
        <f ca="1">_xll.DBRW($D$4,$E$7,$E$8,$E$9,$E$10,$E$12,$D181,$E$6,G$18,G$17)</f>
        <v>0.168017999999999</v>
      </c>
      <c r="H181" s="16">
        <f ca="1">_xll.DBRW($D$4,$E$7,$E$8,$E$9,$E$10,$E$12,$D181,$E$6,H$18,H$17)</f>
        <v>-0.16902899999999998</v>
      </c>
      <c r="I181" s="16">
        <f ca="1">_xll.DBRW($D$4,$E$7,$E$8,$E$9,$E$10,$E$12,$D181,$E$6,I$18,I$17)</f>
        <v>0</v>
      </c>
      <c r="J181" s="26">
        <f ca="1">_xll.DBRW($D$4,$E$7,$E$8,$E$9,$E$10,$E$12,$D181,$E$6,J$18,J$17)</f>
        <v>-3.0451999999999996E-2</v>
      </c>
      <c r="K181" s="26">
        <f ca="1">_xll.DBRW($D$4,$E$7,$E$8,$E$9,$E$10,$E$12,$D181,$E$6,K$18,K$17)</f>
        <v>0</v>
      </c>
      <c r="L181" s="26">
        <f ca="1">_xll.DBRW($D$4,$E$7,$E$8,$E$9,$E$10,$E$12,$D181,$E$6,L$18,L$17)</f>
        <v>0</v>
      </c>
      <c r="M181" s="26">
        <f ca="1">_xll.DBRW($D$4,$E$7,$E$8,$E$9,$E$10,$E$12,$D181,$E$6,M$18,M$17)</f>
        <v>0</v>
      </c>
      <c r="N181" s="16">
        <f ca="1">_xll.DBRW($D$4,$E$7,$E$8,$E$9,$E$10,$E$12,$D181,$E$6,N$18,N$17)</f>
        <v>0.36749899999999897</v>
      </c>
      <c r="O181" s="16">
        <f ca="1">_xll.DBRW($D$4,$E$7,$E$8,$E$9,$E$10,$E$12,$D181,$E$6,O$18,O$17)</f>
        <v>8.3667209999999983</v>
      </c>
      <c r="P181" s="74">
        <f ca="1">_xll.DBRW($D$4,$E$7,$E$8,$E$9,$E$10,$E$12,$D181,$E$6,P$18,P$17)</f>
        <v>-3.8004639999999998</v>
      </c>
      <c r="Q181" s="16">
        <f ca="1">_xll.DBRW($D$4,$E$7,$E$8,$E$9,$E$10,$E$12,$D181,$E$6,Q$18,Q$17)</f>
        <v>0.45423577528161874</v>
      </c>
      <c r="R181" s="16"/>
      <c r="S181" s="16"/>
      <c r="T181" s="16"/>
      <c r="U181" s="16"/>
      <c r="V181" s="16">
        <f ca="1">_xll.DBRW($D$4,$E$7,$E$8,$E$9,$E$10,$E$12,$D181,$E$6,V$18,V$17)</f>
        <v>-1.0337049999999999</v>
      </c>
      <c r="W181" s="16">
        <f ca="1">_xll.DBRW($D$4,$E$7,$E$8,$E$9,$E$10,$E$12,$D181,$E$6,W$18,W$17)</f>
        <v>0.12354959607234424</v>
      </c>
      <c r="X181" s="16"/>
      <c r="Y181" s="16"/>
      <c r="Z181" s="16"/>
      <c r="AA181" s="16"/>
      <c r="AB181" s="16">
        <f ca="1">_xll.DBRW($D$4,$E$7,$E$8,$E$9,$E$10,$E$12,$D181,$E$6,AB$18,AB$17)</f>
        <v>-0.95338999999999996</v>
      </c>
      <c r="AC181" s="16">
        <f ca="1">_xll.DBRW($D$4,$E$7,$E$8,$E$9,$E$10,$E$12,$D181,$E$6,AC$18,AC$17)</f>
        <v>0.11395025602024977</v>
      </c>
      <c r="AD181" s="16"/>
      <c r="AE181" s="16"/>
      <c r="AF181" s="16"/>
      <c r="AG181" s="16"/>
      <c r="AH181" s="16">
        <f ca="1">_xll.DBRW($D$4,$E$7,$E$8,$E$9,$E$10,$E$12,$D181,$E$6,AH$18,AH$17)</f>
        <v>-1.2855539999999999</v>
      </c>
      <c r="AI181" s="16">
        <f ca="1">_xll.DBRW($D$4,$E$7,$E$8,$E$9,$E$10,$E$12,$D181,$E$6,AI$18,AI$17)</f>
        <v>0.15365087469750696</v>
      </c>
      <c r="AJ181" s="16"/>
      <c r="AK181" s="16"/>
      <c r="AL181" s="16"/>
      <c r="AM181" s="16"/>
      <c r="AN181" s="16">
        <f ca="1">_xll.DBRW($D$4,$E$7,$E$8,$E$9,$E$10,$E$12,$D181,$E$6,AN$18,AN$17)</f>
        <v>-0.92610899999999996</v>
      </c>
      <c r="AO181" s="16">
        <f ca="1">_xll.DBRW($D$4,$E$7,$E$8,$E$9,$E$10,$E$12,$D181,$E$6,AO$18,AO$17)</f>
        <v>0.11068959990419187</v>
      </c>
      <c r="AP181" s="16"/>
      <c r="AQ181" s="16"/>
      <c r="AR181" s="16"/>
      <c r="AS181" s="16"/>
      <c r="AT181" s="16">
        <f ca="1">_xll.DBRW($D$4,$E$7,$E$8,$E$9,$E$10,$E$12,$D181,$E$6,AT$18,AT$17)</f>
        <v>0.27648200000000001</v>
      </c>
      <c r="AU181" s="16">
        <f ca="1">_xll.DBRW($D$4,$E$7,$E$8,$E$9,$E$10,$E$12,$D181,$E$6,AU$18,AU$17)</f>
        <v>4.6652529999999999</v>
      </c>
      <c r="AV181" s="16">
        <f ca="1">_xll.DBRW($D$4,$E$7,$E$8,$E$9,$E$10,$E$12,$D181,$E$6,AV$18,AV$17)</f>
        <v>4.7231669999999992</v>
      </c>
      <c r="AW181" s="16">
        <f ca="1">_xll.DBRW($D$4,$E$7,$E$8,$E$9,$E$10,$E$12,$D181,$E$6,AW$18,AW$17)</f>
        <v>4.6652529999999999</v>
      </c>
      <c r="AX181" s="16">
        <f ca="1">_xll.DBRW($D$4,$E$7,$E$8,$E$9,$E$10,$E$12,$D181,$E$6,AX$18,AX$17)</f>
        <v>1.4311359999999997</v>
      </c>
      <c r="AY181" s="16">
        <f ca="1">_xll.DBRW($D$4,$E$7,$E$8,$E$9,$E$10,$E$12,$D181,$E$6,AY$18,AY$17)</f>
        <v>4.6652529999999999</v>
      </c>
      <c r="AZ181" s="16">
        <f ca="1">_xll.DBRW($D$4,$E$7,$E$8,$E$9,$E$10,$E$12,$D181,$E$6,AZ$18,AZ$17)</f>
        <v>9.2374999999999996E-5</v>
      </c>
      <c r="BA181" s="16">
        <f ca="1">_xll.DBRW($D$4,$E$7,$E$8,$E$9,$E$10,$E$12,$D181,$E$6,BA$18,BA$17)</f>
        <v>4.6652529999999999</v>
      </c>
      <c r="BB181" s="16">
        <f ca="1">_xll.DBRW($D$4,$E$7,$E$8,$E$9,$E$10,$E$12,$D181,$E$6,BB$18,BB$17)</f>
        <v>0.180753</v>
      </c>
      <c r="BC181" s="16">
        <f ca="1">_xll.DBRW($D$4,$E$7,$E$8,$E$9,$E$10,$E$12,$D181,$E$6,BC$18,BC$17)</f>
        <v>4.6652529999999999</v>
      </c>
      <c r="BD181" s="16">
        <f ca="1">_xll.DBRW($D$4,$E$7,$E$8,$E$9,$E$10,$E$12,$D181,$E$6,BD$18,BD$17)</f>
        <v>0.41490399999999988</v>
      </c>
      <c r="BE181" s="16">
        <f ca="1">_xll.DBRW($D$4,$E$7,$E$8,$E$9,$E$10,$E$12,$D181,$E$6,BE$18,BE$17)</f>
        <v>-0.25958099999999995</v>
      </c>
      <c r="BF181" s="16">
        <f ca="1">_xll.DBRW($D$4,$E$7,$E$8,$E$9,$E$10,$E$12,$D181,$E$6,BF$18,BF$17)</f>
        <v>0</v>
      </c>
      <c r="BG181" s="26">
        <f ca="1">_xll.DBRW($D$4,$E$7,$E$8,$E$9,$E$10,$E$12,$D181,$E$6,BG$18,BG$17)</f>
        <v>-3.2814999999999997E-2</v>
      </c>
      <c r="BH181" s="26">
        <f ca="1">_xll.DBRW($D$4,$E$7,$E$8,$E$9,$E$10,$E$12,$D181,$E$6,BH$18,BH$17)</f>
        <v>0</v>
      </c>
      <c r="BI181" s="26">
        <f ca="1">_xll.DBRW($D$4,$E$7,$E$8,$E$9,$E$10,$E$12,$D181,$E$6,BI$18,BI$17)</f>
        <v>0</v>
      </c>
      <c r="BJ181" s="26">
        <f ca="1">_xll.DBRW($D$4,$E$7,$E$8,$E$9,$E$10,$E$12,$D181,$E$6,BJ$18,BJ$17)</f>
        <v>0</v>
      </c>
      <c r="BK181" s="16">
        <f ca="1">_xll.DBRW($D$4,$E$7,$E$8,$E$9,$E$10,$E$12,$D181,$E$6,BK$18,BK$17)</f>
        <v>0.70729999999999993</v>
      </c>
      <c r="BL181" s="16">
        <f ca="1">_xll.DBRW($D$4,$E$7,$E$8,$E$9,$E$10,$E$12,$D181,$E$6,BL$18,BL$17)</f>
        <v>10.62274</v>
      </c>
      <c r="BM181" s="16">
        <f ca="1">_xll.DBRW($D$4,$E$7,$E$8,$E$9,$E$10,$E$12,$D181,$E$6,BM$18,BM$17)</f>
        <v>-4.635815</v>
      </c>
      <c r="BN181" s="16">
        <f ca="1">_xll.DBRW($D$4,$E$7,$E$8,$E$9,$E$10,$E$12,$D181,$E$6,BN$18,BN$17)</f>
        <v>0.43640482587355051</v>
      </c>
      <c r="BO181" s="16"/>
      <c r="BP181" s="16"/>
      <c r="BQ181" s="16"/>
      <c r="BR181" s="16"/>
      <c r="BS181" s="16">
        <f ca="1">_xll.DBRW($D$4,$E$7,$E$8,$E$9,$E$10,$E$12,$D181,$E$6,BS$18,BS$17)</f>
        <v>-1.1783300000000003</v>
      </c>
      <c r="BT181" s="16">
        <f ca="1">_xll.DBRW($D$4,$E$7,$E$8,$E$9,$E$10,$E$12,$D181,$E$6,BT$18,BT$17)</f>
        <v>0.1109252415101942</v>
      </c>
      <c r="BU181" s="16"/>
      <c r="BV181" s="16"/>
      <c r="BW181" s="16"/>
      <c r="BX181" s="16"/>
      <c r="BY181" s="16">
        <f ca="1">_xll.DBRW($D$4,$E$7,$E$8,$E$9,$E$10,$E$12,$D181,$E$6,BY$18,BY$17)</f>
        <v>-1.361199</v>
      </c>
      <c r="BZ181" s="16">
        <f ca="1">_xll.DBRW($D$4,$E$7,$E$8,$E$9,$E$10,$E$12,$D181,$E$6,BZ$18,BZ$17)</f>
        <v>0.12814010321254216</v>
      </c>
      <c r="CA181" s="16"/>
      <c r="CB181" s="16"/>
      <c r="CC181" s="16"/>
      <c r="CD181" s="16"/>
      <c r="CE181" s="16">
        <f ca="1">_xll.DBRW($D$4,$E$7,$E$8,$E$9,$E$10,$E$12,$D181,$E$6,CE$18,CE$17)</f>
        <v>-1.5991200000000001</v>
      </c>
      <c r="CF181" s="16">
        <f ca="1">_xll.DBRW($D$4,$E$7,$E$8,$E$9,$E$10,$E$12,$D181,$E$6,CF$18,CF$17)</f>
        <v>0.15053743196199851</v>
      </c>
      <c r="CG181" s="16"/>
      <c r="CH181" s="16"/>
      <c r="CI181" s="16"/>
      <c r="CJ181" s="16"/>
      <c r="CK181" s="16">
        <f ca="1">_xll.DBRW($D$4,$E$7,$E$8,$E$9,$E$10,$E$12,$D181,$E$6,CK$18,CK$17)</f>
        <v>-1.140976</v>
      </c>
      <c r="CL181" s="16">
        <f ca="1">_xll.DBRW($D$4,$E$7,$E$8,$E$9,$E$10,$E$12,$D181,$E$6,CL$18,CL$17)</f>
        <v>0.10740882295904823</v>
      </c>
      <c r="CM181" s="16"/>
      <c r="CN181" s="16"/>
      <c r="CO181" s="16"/>
      <c r="CP181" s="16"/>
      <c r="CQ181" s="16">
        <f ca="1">_xll.DBRW($D$4,$E$7,$E$8,$E$9,$E$10,$E$12,$D181,$E$6,CQ$18,CQ$17)</f>
        <v>0.33092100000000002</v>
      </c>
      <c r="CR181" s="16">
        <f ca="1">_xll.DBRW($D$4,$E$7,$E$8,$E$9,$E$10,$E$12,$D181,$E$6,CR$18,CR$17)</f>
        <v>5.7557650000000002</v>
      </c>
      <c r="CS181" s="16">
        <f ca="1">_xll.DBRW($D$4,$E$7,$E$8,$E$9,$E$10,$E$12,$D181,$E$6,CS$18,CS$17)</f>
        <v>6.0714119999999996</v>
      </c>
      <c r="CT181" s="16">
        <f ca="1">_xll.DBRW($D$4,$E$7,$E$8,$E$9,$E$10,$E$12,$D181,$E$6,CT$18,CT$17)</f>
        <v>5.7557650000000002</v>
      </c>
      <c r="CU181" s="16">
        <f ca="1">_xll.DBRW($D$4,$E$7,$E$8,$E$9,$E$10,$E$12,$D181,$E$6,CU$18,CU$17)</f>
        <v>0</v>
      </c>
      <c r="CV181" s="16">
        <f ca="1">_xll.DBRW($D$4,$E$7,$E$8,$E$9,$E$10,$E$12,$D181,$E$6,CV$18,CV$17)</f>
        <v>5.7557650000000002</v>
      </c>
      <c r="CW181" s="16" t="str">
        <f ca="1">_xll.DBRW($D$4,$E$7,$E$8,$E$9,$E$10,$E$12,$D181,$E$6,CW$18,CW$17)</f>
        <v/>
      </c>
      <c r="CX181" s="16">
        <f ca="1">_xll.DBRW($D$4,$E$7,$E$8,$E$9,$E$10,$E$12,$D181,$E$6,CX$18,CX$17)</f>
        <v>5.7557650000000002</v>
      </c>
      <c r="CY181" s="16">
        <f ca="1">_xll.DBRW($D$4,$E$7,$E$8,$E$9,$E$10,$E$12,$D181,$E$6,CY$18,CY$17)</f>
        <v>0.18909799999999999</v>
      </c>
      <c r="CZ181" s="16">
        <f ca="1">_xll.DBRW($D$4,$E$7,$E$8,$E$9,$E$10,$E$12,$D181,$E$6,CZ$18,CZ$17)</f>
        <v>5.7557650000000002</v>
      </c>
      <c r="DA181" s="26">
        <f t="shared" ca="1" si="127"/>
        <v>-0.24688600000000088</v>
      </c>
      <c r="DB181" s="26">
        <f t="shared" ca="1" si="128"/>
        <v>9.0551999999999966E-2</v>
      </c>
      <c r="DC181" s="26">
        <f t="shared" ca="1" si="129"/>
        <v>0</v>
      </c>
      <c r="DD181" s="26">
        <f t="shared" ca="1" si="130"/>
        <v>2.3630000000000005E-3</v>
      </c>
      <c r="DE181" s="26">
        <f t="shared" ca="1" si="131"/>
        <v>0</v>
      </c>
      <c r="DF181" s="26">
        <f t="shared" ca="1" si="132"/>
        <v>0</v>
      </c>
      <c r="DG181" s="26">
        <f t="shared" ca="1" si="133"/>
        <v>0</v>
      </c>
      <c r="DH181" s="26">
        <f t="shared" ca="1" si="134"/>
        <v>-0.33980100000000096</v>
      </c>
      <c r="DI181" s="26">
        <f t="shared" ca="1" si="135"/>
        <v>-2.256019000000002</v>
      </c>
      <c r="DJ181" s="26">
        <f t="shared" ca="1" si="136"/>
        <v>0.83535100000000018</v>
      </c>
      <c r="DK181" s="26">
        <f t="shared" ca="1" si="137"/>
        <v>1.7830949408068231E-2</v>
      </c>
      <c r="DL181" s="26"/>
      <c r="DM181" s="26"/>
      <c r="DN181" s="26"/>
      <c r="DO181" s="26"/>
      <c r="DP181" s="26">
        <f t="shared" ca="1" si="138"/>
        <v>0.14462500000000045</v>
      </c>
      <c r="DQ181" s="26">
        <f t="shared" ca="1" si="139"/>
        <v>1.2624354562150039E-2</v>
      </c>
      <c r="DR181" s="26"/>
      <c r="DS181" s="26"/>
      <c r="DT181" s="26"/>
      <c r="DU181" s="26"/>
      <c r="DV181" s="26">
        <f t="shared" ca="1" si="140"/>
        <v>0.40780900000000009</v>
      </c>
      <c r="DW181" s="26">
        <f t="shared" ca="1" si="141"/>
        <v>-1.4189847192292382E-2</v>
      </c>
      <c r="DX181" s="26"/>
      <c r="DY181" s="26"/>
      <c r="DZ181" s="26"/>
      <c r="EA181" s="26"/>
      <c r="EB181" s="26">
        <f t="shared" ca="1" si="142"/>
        <v>0.31356600000000023</v>
      </c>
      <c r="EC181" s="26">
        <f t="shared" ca="1" si="143"/>
        <v>3.1134427355084537E-3</v>
      </c>
      <c r="ED181" s="26"/>
      <c r="EE181" s="26"/>
      <c r="EF181" s="26"/>
      <c r="EG181" s="26"/>
      <c r="EH181" s="26">
        <f t="shared" ca="1" si="144"/>
        <v>0.21486700000000003</v>
      </c>
      <c r="EI181" s="29">
        <f t="shared" ca="1" si="145"/>
        <v>3.280776945143643E-3</v>
      </c>
      <c r="EJ181" s="29"/>
      <c r="EK181" s="29"/>
      <c r="EL181" s="29"/>
      <c r="EM181" s="29"/>
      <c r="EN181" s="93"/>
      <c r="EO181" s="29"/>
      <c r="EP181" s="29"/>
      <c r="EQ181" s="29"/>
      <c r="ER181" s="29"/>
      <c r="ES181" s="29"/>
      <c r="ET181" s="29"/>
      <c r="EU181" s="93"/>
      <c r="EV181" s="29"/>
      <c r="EW181" s="29"/>
      <c r="EX181" s="29"/>
      <c r="EY181" s="29"/>
      <c r="EZ181" s="29"/>
      <c r="FA181" s="29"/>
      <c r="FB181" s="93"/>
      <c r="FC181" s="29"/>
      <c r="FD181" s="29"/>
      <c r="FE181" s="29"/>
      <c r="FF181" s="29"/>
      <c r="FG181" s="29"/>
      <c r="FH181" s="29"/>
      <c r="FI181" s="93"/>
      <c r="FJ181" s="29"/>
      <c r="FK181" s="29"/>
      <c r="FL181" s="29"/>
      <c r="FM181" s="29"/>
      <c r="FN181" s="29"/>
      <c r="FO181" s="29"/>
      <c r="FP181" s="93"/>
      <c r="FQ181" s="29"/>
      <c r="FR181" s="29"/>
      <c r="FS181" s="29"/>
      <c r="FT181" s="29"/>
      <c r="FU181" s="29"/>
      <c r="FV181" s="29"/>
    </row>
    <row r="182" spans="1:178" x14ac:dyDescent="0.25">
      <c r="A182" t="str">
        <f ca="1">IF(_xll.TM1RPTELISCONSOLIDATED($D$28,$D182),IF(_xll.TM1RPTELLEV($D$28,$D182)&lt;=3,_xll.TM1RPTELLEV($D$28,$D182),"D"),"N")</f>
        <v>N</v>
      </c>
      <c r="B182" t="str">
        <f ca="1">_xll.DBRA(Server&amp;"Management_organization",$D182,$B$27)</f>
        <v>L</v>
      </c>
      <c r="C182">
        <v>1</v>
      </c>
      <c r="D182" s="2" t="s">
        <v>207</v>
      </c>
      <c r="E182" s="26"/>
      <c r="F182" s="26"/>
      <c r="G182" s="16">
        <f ca="1">_xll.DBRW($D$4,$E$7,$E$8,$E$9,$E$10,$E$12,$D182,$E$6,G$18,G$17)</f>
        <v>0.52807899999999985</v>
      </c>
      <c r="H182" s="16">
        <f ca="1">_xll.DBRW($D$4,$E$7,$E$8,$E$9,$E$10,$E$12,$D182,$E$6,H$18,H$17)</f>
        <v>-0.13027999999999998</v>
      </c>
      <c r="I182" s="16">
        <f ca="1">_xll.DBRW($D$4,$E$7,$E$8,$E$9,$E$10,$E$12,$D182,$E$6,I$18,I$17)</f>
        <v>0</v>
      </c>
      <c r="J182" s="26">
        <f ca="1">_xll.DBRW($D$4,$E$7,$E$8,$E$9,$E$10,$E$12,$D182,$E$6,J$18,J$17)</f>
        <v>-5.8487999999999991E-2</v>
      </c>
      <c r="K182" s="26">
        <f ca="1">_xll.DBRW($D$4,$E$7,$E$8,$E$9,$E$10,$E$12,$D182,$E$6,K$18,K$17)</f>
        <v>0</v>
      </c>
      <c r="L182" s="26">
        <f ca="1">_xll.DBRW($D$4,$E$7,$E$8,$E$9,$E$10,$E$12,$D182,$E$6,L$18,L$17)</f>
        <v>0</v>
      </c>
      <c r="M182" s="26">
        <f ca="1">_xll.DBRW($D$4,$E$7,$E$8,$E$9,$E$10,$E$12,$D182,$E$6,M$18,M$17)</f>
        <v>0</v>
      </c>
      <c r="N182" s="16">
        <f ca="1">_xll.DBRW($D$4,$E$7,$E$8,$E$9,$E$10,$E$12,$D182,$E$6,N$18,N$17)</f>
        <v>0.71684699999999979</v>
      </c>
      <c r="O182" s="16">
        <f ca="1">_xll.DBRW($D$4,$E$7,$E$8,$E$9,$E$10,$E$12,$D182,$E$6,O$18,O$17)</f>
        <v>7.0735719999999995</v>
      </c>
      <c r="P182" s="74">
        <f ca="1">_xll.DBRW($D$4,$E$7,$E$8,$E$9,$E$10,$E$12,$D182,$E$6,P$18,P$17)</f>
        <v>-2.8684180000000001</v>
      </c>
      <c r="Q182" s="16">
        <f ca="1">_xll.DBRW($D$4,$E$7,$E$8,$E$9,$E$10,$E$12,$D182,$E$6,Q$18,Q$17)</f>
        <v>0.40551195350807206</v>
      </c>
      <c r="R182" s="16"/>
      <c r="S182" s="16"/>
      <c r="T182" s="16"/>
      <c r="U182" s="16"/>
      <c r="V182" s="16">
        <f ca="1">_xll.DBRW($D$4,$E$7,$E$8,$E$9,$E$10,$E$12,$D182,$E$6,V$18,V$17)</f>
        <v>-0.96652699999999991</v>
      </c>
      <c r="W182" s="16">
        <f ca="1">_xll.DBRW($D$4,$E$7,$E$8,$E$9,$E$10,$E$12,$D182,$E$6,W$18,W$17)</f>
        <v>0.13663916900824646</v>
      </c>
      <c r="X182" s="16"/>
      <c r="Y182" s="16"/>
      <c r="Z182" s="16"/>
      <c r="AA182" s="16"/>
      <c r="AB182" s="16">
        <f ca="1">_xll.DBRW($D$4,$E$7,$E$8,$E$9,$E$10,$E$12,$D182,$E$6,AB$18,AB$17)</f>
        <v>-0.79653499999999999</v>
      </c>
      <c r="AC182" s="16">
        <f ca="1">_xll.DBRW($D$4,$E$7,$E$8,$E$9,$E$10,$E$12,$D182,$E$6,AC$18,AC$17)</f>
        <v>0.11260718064366915</v>
      </c>
      <c r="AD182" s="16"/>
      <c r="AE182" s="16"/>
      <c r="AF182" s="16"/>
      <c r="AG182" s="16"/>
      <c r="AH182" s="16">
        <f ca="1">_xll.DBRW($D$4,$E$7,$E$8,$E$9,$E$10,$E$12,$D182,$E$6,AH$18,AH$17)</f>
        <v>-0.86268499999999992</v>
      </c>
      <c r="AI182" s="16">
        <f ca="1">_xll.DBRW($D$4,$E$7,$E$8,$E$9,$E$10,$E$12,$D182,$E$6,AI$18,AI$17)</f>
        <v>0.12195889149074894</v>
      </c>
      <c r="AJ182" s="16"/>
      <c r="AK182" s="16"/>
      <c r="AL182" s="16"/>
      <c r="AM182" s="16"/>
      <c r="AN182" s="16">
        <f ca="1">_xll.DBRW($D$4,$E$7,$E$8,$E$9,$E$10,$E$12,$D182,$E$6,AN$18,AN$17)</f>
        <v>-0.8625600000000001</v>
      </c>
      <c r="AO182" s="16">
        <f ca="1">_xll.DBRW($D$4,$E$7,$E$8,$E$9,$E$10,$E$12,$D182,$E$6,AO$18,AO$17)</f>
        <v>0.12194122007947331</v>
      </c>
      <c r="AP182" s="16"/>
      <c r="AQ182" s="16"/>
      <c r="AR182" s="16"/>
      <c r="AS182" s="16"/>
      <c r="AT182" s="16">
        <f ca="1">_xll.DBRW($D$4,$E$7,$E$8,$E$9,$E$10,$E$12,$D182,$E$6,AT$18,AT$17)</f>
        <v>0.21592499999999998</v>
      </c>
      <c r="AU182" s="16">
        <f ca="1">_xll.DBRW($D$4,$E$7,$E$8,$E$9,$E$10,$E$12,$D182,$E$6,AU$18,AU$17)</f>
        <v>3.8541889999999999</v>
      </c>
      <c r="AV182" s="16">
        <f ca="1">_xll.DBRW($D$4,$E$7,$E$8,$E$9,$E$10,$E$12,$D182,$E$6,AV$18,AV$17)</f>
        <v>3.2795489999999998</v>
      </c>
      <c r="AW182" s="16">
        <f ca="1">_xll.DBRW($D$4,$E$7,$E$8,$E$9,$E$10,$E$12,$D182,$E$6,AW$18,AW$17)</f>
        <v>3.8541889999999999</v>
      </c>
      <c r="AX182" s="16">
        <f ca="1">_xll.DBRW($D$4,$E$7,$E$8,$E$9,$E$10,$E$12,$D182,$E$6,AX$18,AX$17)</f>
        <v>1.2420439999999999</v>
      </c>
      <c r="AY182" s="16">
        <f ca="1">_xll.DBRW($D$4,$E$7,$E$8,$E$9,$E$10,$E$12,$D182,$E$6,AY$18,AY$17)</f>
        <v>3.8541889999999999</v>
      </c>
      <c r="AZ182" s="16">
        <f ca="1">_xll.DBRW($D$4,$E$7,$E$8,$E$9,$E$10,$E$12,$D182,$E$6,AZ$18,AZ$17)</f>
        <v>6.9333333333333329E-5</v>
      </c>
      <c r="BA182" s="16">
        <f ca="1">_xll.DBRW($D$4,$E$7,$E$8,$E$9,$E$10,$E$12,$D182,$E$6,BA$18,BA$17)</f>
        <v>3.8541889999999999</v>
      </c>
      <c r="BB182" s="16">
        <f ca="1">_xll.DBRW($D$4,$E$7,$E$8,$E$9,$E$10,$E$12,$D182,$E$6,BB$18,BB$17)</f>
        <v>0.144708</v>
      </c>
      <c r="BC182" s="16">
        <f ca="1">_xll.DBRW($D$4,$E$7,$E$8,$E$9,$E$10,$E$12,$D182,$E$6,BC$18,BC$17)</f>
        <v>3.8541889999999999</v>
      </c>
      <c r="BD182" s="16">
        <f ca="1">_xll.DBRW($D$4,$E$7,$E$8,$E$9,$E$10,$E$12,$D182,$E$6,BD$18,BD$17)</f>
        <v>0.97935500000000086</v>
      </c>
      <c r="BE182" s="16">
        <f ca="1">_xll.DBRW($D$4,$E$7,$E$8,$E$9,$E$10,$E$12,$D182,$E$6,BE$18,BE$17)</f>
        <v>-0.21964899999999998</v>
      </c>
      <c r="BF182" s="16">
        <f ca="1">_xll.DBRW($D$4,$E$7,$E$8,$E$9,$E$10,$E$12,$D182,$E$6,BF$18,BF$17)</f>
        <v>0</v>
      </c>
      <c r="BG182" s="26">
        <f ca="1">_xll.DBRW($D$4,$E$7,$E$8,$E$9,$E$10,$E$12,$D182,$E$6,BG$18,BG$17)</f>
        <v>-5.6881999999999995E-2</v>
      </c>
      <c r="BH182" s="26">
        <f ca="1">_xll.DBRW($D$4,$E$7,$E$8,$E$9,$E$10,$E$12,$D182,$E$6,BH$18,BH$17)</f>
        <v>0</v>
      </c>
      <c r="BI182" s="26">
        <f ca="1">_xll.DBRW($D$4,$E$7,$E$8,$E$9,$E$10,$E$12,$D182,$E$6,BI$18,BI$17)</f>
        <v>0</v>
      </c>
      <c r="BJ182" s="26">
        <f ca="1">_xll.DBRW($D$4,$E$7,$E$8,$E$9,$E$10,$E$12,$D182,$E$6,BJ$18,BJ$17)</f>
        <v>0</v>
      </c>
      <c r="BK182" s="16">
        <f ca="1">_xll.DBRW($D$4,$E$7,$E$8,$E$9,$E$10,$E$12,$D182,$E$6,BK$18,BK$17)</f>
        <v>1.2558860000000009</v>
      </c>
      <c r="BL182" s="16">
        <f ca="1">_xll.DBRW($D$4,$E$7,$E$8,$E$9,$E$10,$E$12,$D182,$E$6,BL$18,BL$17)</f>
        <v>8.4818300000000004</v>
      </c>
      <c r="BM182" s="16">
        <f ca="1">_xll.DBRW($D$4,$E$7,$E$8,$E$9,$E$10,$E$12,$D182,$E$6,BM$18,BM$17)</f>
        <v>-3.3693419999999996</v>
      </c>
      <c r="BN182" s="16">
        <f ca="1">_xll.DBRW($D$4,$E$7,$E$8,$E$9,$E$10,$E$12,$D182,$E$6,BN$18,BN$17)</f>
        <v>0.39724234039116552</v>
      </c>
      <c r="BO182" s="16"/>
      <c r="BP182" s="16"/>
      <c r="BQ182" s="16"/>
      <c r="BR182" s="16"/>
      <c r="BS182" s="16">
        <f ca="1">_xll.DBRW($D$4,$E$7,$E$8,$E$9,$E$10,$E$12,$D182,$E$6,BS$18,BS$17)</f>
        <v>-0.99294699999999991</v>
      </c>
      <c r="BT182" s="16">
        <f ca="1">_xll.DBRW($D$4,$E$7,$E$8,$E$9,$E$10,$E$12,$D182,$E$6,BT$18,BT$17)</f>
        <v>0.11706754320706733</v>
      </c>
      <c r="BU182" s="16"/>
      <c r="BV182" s="16"/>
      <c r="BW182" s="16"/>
      <c r="BX182" s="16"/>
      <c r="BY182" s="16">
        <f ca="1">_xll.DBRW($D$4,$E$7,$E$8,$E$9,$E$10,$E$12,$D182,$E$6,BY$18,BY$17)</f>
        <v>-0.84297499999999992</v>
      </c>
      <c r="BZ182" s="16">
        <f ca="1">_xll.DBRW($D$4,$E$7,$E$8,$E$9,$E$10,$E$12,$D182,$E$6,BZ$18,BZ$17)</f>
        <v>9.9385981562940998E-2</v>
      </c>
      <c r="CA182" s="16"/>
      <c r="CB182" s="16"/>
      <c r="CC182" s="16"/>
      <c r="CD182" s="16"/>
      <c r="CE182" s="16">
        <f ca="1">_xll.DBRW($D$4,$E$7,$E$8,$E$9,$E$10,$E$12,$D182,$E$6,CE$18,CE$17)</f>
        <v>-0.94113299999999989</v>
      </c>
      <c r="CF182" s="16">
        <f ca="1">_xll.DBRW($D$4,$E$7,$E$8,$E$9,$E$10,$E$12,$D182,$E$6,CF$18,CF$17)</f>
        <v>0.110958719993209</v>
      </c>
      <c r="CG182" s="16"/>
      <c r="CH182" s="16"/>
      <c r="CI182" s="16"/>
      <c r="CJ182" s="16"/>
      <c r="CK182" s="16">
        <f ca="1">_xll.DBRW($D$4,$E$7,$E$8,$E$9,$E$10,$E$12,$D182,$E$6,CK$18,CK$17)</f>
        <v>-1.079547</v>
      </c>
      <c r="CL182" s="16">
        <f ca="1">_xll.DBRW($D$4,$E$7,$E$8,$E$9,$E$10,$E$12,$D182,$E$6,CL$18,CL$17)</f>
        <v>0.12727760400762572</v>
      </c>
      <c r="CM182" s="16"/>
      <c r="CN182" s="16"/>
      <c r="CO182" s="16"/>
      <c r="CP182" s="16"/>
      <c r="CQ182" s="16">
        <f ca="1">_xll.DBRW($D$4,$E$7,$E$8,$E$9,$E$10,$E$12,$D182,$E$6,CQ$18,CQ$17)</f>
        <v>0.252666</v>
      </c>
      <c r="CR182" s="16">
        <f ca="1">_xll.DBRW($D$4,$E$7,$E$8,$E$9,$E$10,$E$12,$D182,$E$6,CR$18,CR$17)</f>
        <v>4.6101810000000008</v>
      </c>
      <c r="CS182" s="16">
        <f ca="1">_xll.DBRW($D$4,$E$7,$E$8,$E$9,$E$10,$E$12,$D182,$E$6,CS$18,CS$17)</f>
        <v>4.5063709999999997</v>
      </c>
      <c r="CT182" s="16">
        <f ca="1">_xll.DBRW($D$4,$E$7,$E$8,$E$9,$E$10,$E$12,$D182,$E$6,CT$18,CT$17)</f>
        <v>4.6101810000000008</v>
      </c>
      <c r="CU182" s="16">
        <f ca="1">_xll.DBRW($D$4,$E$7,$E$8,$E$9,$E$10,$E$12,$D182,$E$6,CU$18,CU$17)</f>
        <v>0</v>
      </c>
      <c r="CV182" s="16">
        <f ca="1">_xll.DBRW($D$4,$E$7,$E$8,$E$9,$E$10,$E$12,$D182,$E$6,CV$18,CV$17)</f>
        <v>4.6101810000000008</v>
      </c>
      <c r="CW182" s="16" t="str">
        <f ca="1">_xll.DBRW($D$4,$E$7,$E$8,$E$9,$E$10,$E$12,$D182,$E$6,CW$18,CW$17)</f>
        <v/>
      </c>
      <c r="CX182" s="16">
        <f ca="1">_xll.DBRW($D$4,$E$7,$E$8,$E$9,$E$10,$E$12,$D182,$E$6,CX$18,CX$17)</f>
        <v>4.6101810000000008</v>
      </c>
      <c r="CY182" s="16">
        <f ca="1">_xll.DBRW($D$4,$E$7,$E$8,$E$9,$E$10,$E$12,$D182,$E$6,CY$18,CY$17)</f>
        <v>0.14438099999999998</v>
      </c>
      <c r="CZ182" s="16">
        <f ca="1">_xll.DBRW($D$4,$E$7,$E$8,$E$9,$E$10,$E$12,$D182,$E$6,CZ$18,CZ$17)</f>
        <v>4.6101810000000008</v>
      </c>
      <c r="DA182" s="26">
        <f t="shared" ca="1" si="127"/>
        <v>-0.45127600000000101</v>
      </c>
      <c r="DB182" s="26">
        <f t="shared" ca="1" si="128"/>
        <v>8.9369000000000004E-2</v>
      </c>
      <c r="DC182" s="26">
        <f t="shared" ca="1" si="129"/>
        <v>0</v>
      </c>
      <c r="DD182" s="26">
        <f t="shared" ca="1" si="130"/>
        <v>-1.6059999999999963E-3</v>
      </c>
      <c r="DE182" s="26">
        <f t="shared" ca="1" si="131"/>
        <v>0</v>
      </c>
      <c r="DF182" s="26">
        <f t="shared" ca="1" si="132"/>
        <v>0</v>
      </c>
      <c r="DG182" s="26">
        <f t="shared" ca="1" si="133"/>
        <v>0</v>
      </c>
      <c r="DH182" s="26">
        <f t="shared" ca="1" si="134"/>
        <v>-0.53903900000000116</v>
      </c>
      <c r="DI182" s="26">
        <f t="shared" ca="1" si="135"/>
        <v>-1.4082580000000009</v>
      </c>
      <c r="DJ182" s="26">
        <f t="shared" ca="1" si="136"/>
        <v>0.50092399999999948</v>
      </c>
      <c r="DK182" s="26">
        <f t="shared" ca="1" si="137"/>
        <v>8.269613116906549E-3</v>
      </c>
      <c r="DL182" s="26"/>
      <c r="DM182" s="26"/>
      <c r="DN182" s="26"/>
      <c r="DO182" s="26"/>
      <c r="DP182" s="26">
        <f t="shared" ca="1" si="138"/>
        <v>2.6419999999999999E-2</v>
      </c>
      <c r="DQ182" s="26">
        <f t="shared" ca="1" si="139"/>
        <v>1.9571625801179132E-2</v>
      </c>
      <c r="DR182" s="26"/>
      <c r="DS182" s="26"/>
      <c r="DT182" s="26"/>
      <c r="DU182" s="26"/>
      <c r="DV182" s="26">
        <f t="shared" ca="1" si="140"/>
        <v>4.6439999999999926E-2</v>
      </c>
      <c r="DW182" s="26">
        <f t="shared" ca="1" si="141"/>
        <v>1.3221199080728149E-2</v>
      </c>
      <c r="DX182" s="26"/>
      <c r="DY182" s="26"/>
      <c r="DZ182" s="26"/>
      <c r="EA182" s="26"/>
      <c r="EB182" s="26">
        <f t="shared" ca="1" si="142"/>
        <v>7.8447999999999962E-2</v>
      </c>
      <c r="EC182" s="26">
        <f t="shared" ca="1" si="143"/>
        <v>1.1000171497539943E-2</v>
      </c>
      <c r="ED182" s="26"/>
      <c r="EE182" s="26"/>
      <c r="EF182" s="26"/>
      <c r="EG182" s="26"/>
      <c r="EH182" s="26">
        <f t="shared" ca="1" si="144"/>
        <v>0.21698699999999993</v>
      </c>
      <c r="EI182" s="29">
        <f t="shared" ca="1" si="145"/>
        <v>-5.3363839281524161E-3</v>
      </c>
      <c r="EJ182" s="29"/>
      <c r="EK182" s="29"/>
      <c r="EL182" s="29"/>
      <c r="EM182" s="29"/>
      <c r="EN182" s="93"/>
      <c r="EO182" s="29"/>
      <c r="EP182" s="29"/>
      <c r="EQ182" s="29"/>
      <c r="ER182" s="29"/>
      <c r="ES182" s="29"/>
      <c r="ET182" s="29"/>
      <c r="EU182" s="93"/>
      <c r="EV182" s="29"/>
      <c r="EW182" s="29"/>
      <c r="EX182" s="29"/>
      <c r="EY182" s="29"/>
      <c r="EZ182" s="29"/>
      <c r="FA182" s="29"/>
      <c r="FB182" s="93"/>
      <c r="FC182" s="29"/>
      <c r="FD182" s="29"/>
      <c r="FE182" s="29"/>
      <c r="FF182" s="29"/>
      <c r="FG182" s="29"/>
      <c r="FH182" s="29"/>
      <c r="FI182" s="93"/>
      <c r="FJ182" s="29"/>
      <c r="FK182" s="29"/>
      <c r="FL182" s="29"/>
      <c r="FM182" s="29"/>
      <c r="FN182" s="29"/>
      <c r="FO182" s="29"/>
      <c r="FP182" s="93"/>
      <c r="FQ182" s="29"/>
      <c r="FR182" s="29"/>
      <c r="FS182" s="29"/>
      <c r="FT182" s="29"/>
      <c r="FU182" s="29"/>
      <c r="FV182" s="29"/>
    </row>
    <row r="183" spans="1:178" x14ac:dyDescent="0.25">
      <c r="A183" t="str">
        <f ca="1">IF(_xll.TM1RPTELISCONSOLIDATED($D$28,$D183),IF(_xll.TM1RPTELLEV($D$28,$D183)&lt;=3,_xll.TM1RPTELLEV($D$28,$D183),"D"),"N")</f>
        <v>N</v>
      </c>
      <c r="B183" t="str">
        <f ca="1">_xll.DBRA(Server&amp;"Management_organization",$D183,$B$27)</f>
        <v>L</v>
      </c>
      <c r="C183">
        <v>1</v>
      </c>
      <c r="D183" s="2" t="s">
        <v>208</v>
      </c>
      <c r="E183" s="26"/>
      <c r="F183" s="26"/>
      <c r="G183" s="16">
        <f ca="1">_xll.DBRW($D$4,$E$7,$E$8,$E$9,$E$10,$E$12,$D183,$E$6,G$18,G$17)</f>
        <v>0.30211399999999972</v>
      </c>
      <c r="H183" s="16">
        <f ca="1">_xll.DBRW($D$4,$E$7,$E$8,$E$9,$E$10,$E$12,$D183,$E$6,H$18,H$17)</f>
        <v>-0.45375800000000005</v>
      </c>
      <c r="I183" s="16">
        <f ca="1">_xll.DBRW($D$4,$E$7,$E$8,$E$9,$E$10,$E$12,$D183,$E$6,I$18,I$17)</f>
        <v>0</v>
      </c>
      <c r="J183" s="26">
        <f ca="1">_xll.DBRW($D$4,$E$7,$E$8,$E$9,$E$10,$E$12,$D183,$E$6,J$18,J$17)</f>
        <v>-2.1569000000000001E-2</v>
      </c>
      <c r="K183" s="26">
        <f ca="1">_xll.DBRW($D$4,$E$7,$E$8,$E$9,$E$10,$E$12,$D183,$E$6,K$18,K$17)</f>
        <v>0</v>
      </c>
      <c r="L183" s="26">
        <f ca="1">_xll.DBRW($D$4,$E$7,$E$8,$E$9,$E$10,$E$12,$D183,$E$6,L$18,L$17)</f>
        <v>0</v>
      </c>
      <c r="M183" s="26">
        <f ca="1">_xll.DBRW($D$4,$E$7,$E$8,$E$9,$E$10,$E$12,$D183,$E$6,M$18,M$17)</f>
        <v>0</v>
      </c>
      <c r="N183" s="16">
        <f ca="1">_xll.DBRW($D$4,$E$7,$E$8,$E$9,$E$10,$E$12,$D183,$E$6,N$18,N$17)</f>
        <v>0.7774409999999996</v>
      </c>
      <c r="O183" s="16">
        <f ca="1">_xll.DBRW($D$4,$E$7,$E$8,$E$9,$E$10,$E$12,$D183,$E$6,O$18,O$17)</f>
        <v>8.9047359999999998</v>
      </c>
      <c r="P183" s="74">
        <f ca="1">_xll.DBRW($D$4,$E$7,$E$8,$E$9,$E$10,$E$12,$D183,$E$6,P$18,P$17)</f>
        <v>-3.9918489999999998</v>
      </c>
      <c r="Q183" s="16">
        <f ca="1">_xll.DBRW($D$4,$E$7,$E$8,$E$9,$E$10,$E$12,$D183,$E$6,Q$18,Q$17)</f>
        <v>0.44828381211975288</v>
      </c>
      <c r="R183" s="16"/>
      <c r="S183" s="16"/>
      <c r="T183" s="16"/>
      <c r="U183" s="16"/>
      <c r="V183" s="16">
        <f ca="1">_xll.DBRW($D$4,$E$7,$E$8,$E$9,$E$10,$E$12,$D183,$E$6,V$18,V$17)</f>
        <v>-1.2787110000000002</v>
      </c>
      <c r="W183" s="16">
        <f ca="1">_xll.DBRW($D$4,$E$7,$E$8,$E$9,$E$10,$E$12,$D183,$E$6,W$18,W$17)</f>
        <v>0.1435989792398113</v>
      </c>
      <c r="X183" s="16"/>
      <c r="Y183" s="16"/>
      <c r="Z183" s="16"/>
      <c r="AA183" s="16"/>
      <c r="AB183" s="16">
        <f ca="1">_xll.DBRW($D$4,$E$7,$E$8,$E$9,$E$10,$E$12,$D183,$E$6,AB$18,AB$17)</f>
        <v>-0.94125899999999985</v>
      </c>
      <c r="AC183" s="16">
        <f ca="1">_xll.DBRW($D$4,$E$7,$E$8,$E$9,$E$10,$E$12,$D183,$E$6,AC$18,AC$17)</f>
        <v>0.10570318985312982</v>
      </c>
      <c r="AD183" s="16"/>
      <c r="AE183" s="16"/>
      <c r="AF183" s="16"/>
      <c r="AG183" s="16"/>
      <c r="AH183" s="16">
        <f ca="1">_xll.DBRW($D$4,$E$7,$E$8,$E$9,$E$10,$E$12,$D183,$E$6,AH$18,AH$17)</f>
        <v>-0.81616699999999986</v>
      </c>
      <c r="AI183" s="16">
        <f ca="1">_xll.DBRW($D$4,$E$7,$E$8,$E$9,$E$10,$E$12,$D183,$E$6,AI$18,AI$17)</f>
        <v>9.1655384280903987E-2</v>
      </c>
      <c r="AJ183" s="16"/>
      <c r="AK183" s="16"/>
      <c r="AL183" s="16"/>
      <c r="AM183" s="16"/>
      <c r="AN183" s="16">
        <f ca="1">_xll.DBRW($D$4,$E$7,$E$8,$E$9,$E$10,$E$12,$D183,$E$6,AN$18,AN$17)</f>
        <v>-1.0993090000000001</v>
      </c>
      <c r="AO183" s="16">
        <f ca="1">_xll.DBRW($D$4,$E$7,$E$8,$E$9,$E$10,$E$12,$D183,$E$6,AO$18,AO$17)</f>
        <v>0.12345217196781579</v>
      </c>
      <c r="AP183" s="16"/>
      <c r="AQ183" s="16"/>
      <c r="AR183" s="16"/>
      <c r="AS183" s="16"/>
      <c r="AT183" s="16">
        <f ca="1">_xll.DBRW($D$4,$E$7,$E$8,$E$9,$E$10,$E$12,$D183,$E$6,AT$18,AT$17)</f>
        <v>0.28399599999999997</v>
      </c>
      <c r="AU183" s="16">
        <f ca="1">_xll.DBRW($D$4,$E$7,$E$8,$E$9,$E$10,$E$12,$D183,$E$6,AU$18,AU$17)</f>
        <v>5.1675329999999997</v>
      </c>
      <c r="AV183" s="16">
        <f ca="1">_xll.DBRW($D$4,$E$7,$E$8,$E$9,$E$10,$E$12,$D183,$E$6,AV$18,AV$17)</f>
        <v>3.9329140000000002</v>
      </c>
      <c r="AW183" s="16">
        <f ca="1">_xll.DBRW($D$4,$E$7,$E$8,$E$9,$E$10,$E$12,$D183,$E$6,AW$18,AW$17)</f>
        <v>5.1675329999999997</v>
      </c>
      <c r="AX183" s="16">
        <f ca="1">_xll.DBRW($D$4,$E$7,$E$8,$E$9,$E$10,$E$12,$D183,$E$6,AX$18,AX$17)</f>
        <v>1.518351</v>
      </c>
      <c r="AY183" s="16">
        <f ca="1">_xll.DBRW($D$4,$E$7,$E$8,$E$9,$E$10,$E$12,$D183,$E$6,AY$18,AY$17)</f>
        <v>5.1675329999999997</v>
      </c>
      <c r="AZ183" s="16">
        <f ca="1">_xll.DBRW($D$4,$E$7,$E$8,$E$9,$E$10,$E$12,$D183,$E$6,AZ$18,AZ$17)</f>
        <v>1.1766666666666668E-4</v>
      </c>
      <c r="BA183" s="16">
        <f ca="1">_xll.DBRW($D$4,$E$7,$E$8,$E$9,$E$10,$E$12,$D183,$E$6,BA$18,BA$17)</f>
        <v>5.1675329999999997</v>
      </c>
      <c r="BB183" s="16">
        <f ca="1">_xll.DBRW($D$4,$E$7,$E$8,$E$9,$E$10,$E$12,$D183,$E$6,BB$18,BB$17)</f>
        <v>0.179561</v>
      </c>
      <c r="BC183" s="16">
        <f ca="1">_xll.DBRW($D$4,$E$7,$E$8,$E$9,$E$10,$E$12,$D183,$E$6,BC$18,BC$17)</f>
        <v>5.1675329999999997</v>
      </c>
      <c r="BD183" s="16">
        <f ca="1">_xll.DBRW($D$4,$E$7,$E$8,$E$9,$E$10,$E$12,$D183,$E$6,BD$18,BD$17)</f>
        <v>0.54322500000000029</v>
      </c>
      <c r="BE183" s="16">
        <f ca="1">_xll.DBRW($D$4,$E$7,$E$8,$E$9,$E$10,$E$12,$D183,$E$6,BE$18,BE$17)</f>
        <v>-0.41901699999999997</v>
      </c>
      <c r="BF183" s="16">
        <f ca="1">_xll.DBRW($D$4,$E$7,$E$8,$E$9,$E$10,$E$12,$D183,$E$6,BF$18,BF$17)</f>
        <v>0</v>
      </c>
      <c r="BG183" s="26">
        <f ca="1">_xll.DBRW($D$4,$E$7,$E$8,$E$9,$E$10,$E$12,$D183,$E$6,BG$18,BG$17)</f>
        <v>-2.5153000000000002E-2</v>
      </c>
      <c r="BH183" s="26">
        <f ca="1">_xll.DBRW($D$4,$E$7,$E$8,$E$9,$E$10,$E$12,$D183,$E$6,BH$18,BH$17)</f>
        <v>0</v>
      </c>
      <c r="BI183" s="26">
        <f ca="1">_xll.DBRW($D$4,$E$7,$E$8,$E$9,$E$10,$E$12,$D183,$E$6,BI$18,BI$17)</f>
        <v>0</v>
      </c>
      <c r="BJ183" s="26">
        <f ca="1">_xll.DBRW($D$4,$E$7,$E$8,$E$9,$E$10,$E$12,$D183,$E$6,BJ$18,BJ$17)</f>
        <v>0</v>
      </c>
      <c r="BK183" s="16">
        <f ca="1">_xll.DBRW($D$4,$E$7,$E$8,$E$9,$E$10,$E$12,$D183,$E$6,BK$18,BK$17)</f>
        <v>0.98739500000000024</v>
      </c>
      <c r="BL183" s="16">
        <f ca="1">_xll.DBRW($D$4,$E$7,$E$8,$E$9,$E$10,$E$12,$D183,$E$6,BL$18,BL$17)</f>
        <v>10.808945</v>
      </c>
      <c r="BM183" s="16">
        <f ca="1">_xll.DBRW($D$4,$E$7,$E$8,$E$9,$E$10,$E$12,$D183,$E$6,BM$18,BM$17)</f>
        <v>-4.6502199999999991</v>
      </c>
      <c r="BN183" s="16">
        <f ca="1">_xll.DBRW($D$4,$E$7,$E$8,$E$9,$E$10,$E$12,$D183,$E$6,BN$18,BN$17)</f>
        <v>0.43021960052530561</v>
      </c>
      <c r="BO183" s="16"/>
      <c r="BP183" s="16"/>
      <c r="BQ183" s="16"/>
      <c r="BR183" s="16"/>
      <c r="BS183" s="16">
        <f ca="1">_xll.DBRW($D$4,$E$7,$E$8,$E$9,$E$10,$E$12,$D183,$E$6,BS$18,BS$17)</f>
        <v>-1.5871140000000001</v>
      </c>
      <c r="BT183" s="16">
        <f ca="1">_xll.DBRW($D$4,$E$7,$E$8,$E$9,$E$10,$E$12,$D183,$E$6,BT$18,BT$17)</f>
        <v>0.14683338660711107</v>
      </c>
      <c r="BU183" s="16"/>
      <c r="BV183" s="16"/>
      <c r="BW183" s="16"/>
      <c r="BX183" s="16"/>
      <c r="BY183" s="16">
        <f ca="1">_xll.DBRW($D$4,$E$7,$E$8,$E$9,$E$10,$E$12,$D183,$E$6,BY$18,BY$17)</f>
        <v>-1.1624779999999997</v>
      </c>
      <c r="BZ183" s="16">
        <f ca="1">_xll.DBRW($D$4,$E$7,$E$8,$E$9,$E$10,$E$12,$D183,$E$6,BZ$18,BZ$17)</f>
        <v>0.10754777640185972</v>
      </c>
      <c r="CA183" s="16"/>
      <c r="CB183" s="16"/>
      <c r="CC183" s="16"/>
      <c r="CD183" s="16"/>
      <c r="CE183" s="16">
        <f ca="1">_xll.DBRW($D$4,$E$7,$E$8,$E$9,$E$10,$E$12,$D183,$E$6,CE$18,CE$17)</f>
        <v>-0.90826799999999996</v>
      </c>
      <c r="CF183" s="16">
        <f ca="1">_xll.DBRW($D$4,$E$7,$E$8,$E$9,$E$10,$E$12,$D183,$E$6,CF$18,CF$17)</f>
        <v>8.4029292405503039E-2</v>
      </c>
      <c r="CG183" s="16"/>
      <c r="CH183" s="16"/>
      <c r="CI183" s="16"/>
      <c r="CJ183" s="16"/>
      <c r="CK183" s="16">
        <f ca="1">_xll.DBRW($D$4,$E$7,$E$8,$E$9,$E$10,$E$12,$D183,$E$6,CK$18,CK$17)</f>
        <v>-1.5134700000000001</v>
      </c>
      <c r="CL183" s="16">
        <f ca="1">_xll.DBRW($D$4,$E$7,$E$8,$E$9,$E$10,$E$12,$D183,$E$6,CL$18,CL$17)</f>
        <v>0.14002014072603758</v>
      </c>
      <c r="CM183" s="16"/>
      <c r="CN183" s="16"/>
      <c r="CO183" s="16"/>
      <c r="CP183" s="16"/>
      <c r="CQ183" s="16">
        <f ca="1">_xll.DBRW($D$4,$E$7,$E$8,$E$9,$E$10,$E$12,$D183,$E$6,CQ$18,CQ$17)</f>
        <v>0.33634799999999992</v>
      </c>
      <c r="CR183" s="16">
        <f ca="1">_xll.DBRW($D$4,$E$7,$E$8,$E$9,$E$10,$E$12,$D183,$E$6,CR$18,CR$17)</f>
        <v>6.4865890000000004</v>
      </c>
      <c r="CS183" s="16">
        <f ca="1">_xll.DBRW($D$4,$E$7,$E$8,$E$9,$E$10,$E$12,$D183,$E$6,CS$18,CS$17)</f>
        <v>5.5440889999999996</v>
      </c>
      <c r="CT183" s="16">
        <f ca="1">_xll.DBRW($D$4,$E$7,$E$8,$E$9,$E$10,$E$12,$D183,$E$6,CT$18,CT$17)</f>
        <v>6.4865890000000004</v>
      </c>
      <c r="CU183" s="16">
        <f ca="1">_xll.DBRW($D$4,$E$7,$E$8,$E$9,$E$10,$E$12,$D183,$E$6,CU$18,CU$17)</f>
        <v>0</v>
      </c>
      <c r="CV183" s="16">
        <f ca="1">_xll.DBRW($D$4,$E$7,$E$8,$E$9,$E$10,$E$12,$D183,$E$6,CV$18,CV$17)</f>
        <v>6.4865890000000004</v>
      </c>
      <c r="CW183" s="16" t="str">
        <f ca="1">_xll.DBRW($D$4,$E$7,$E$8,$E$9,$E$10,$E$12,$D183,$E$6,CW$18,CW$17)</f>
        <v/>
      </c>
      <c r="CX183" s="16">
        <f ca="1">_xll.DBRW($D$4,$E$7,$E$8,$E$9,$E$10,$E$12,$D183,$E$6,CX$18,CX$17)</f>
        <v>6.4865890000000004</v>
      </c>
      <c r="CY183" s="16">
        <f ca="1">_xll.DBRW($D$4,$E$7,$E$8,$E$9,$E$10,$E$12,$D183,$E$6,CY$18,CY$17)</f>
        <v>0.19219899999999998</v>
      </c>
      <c r="CZ183" s="16">
        <f ca="1">_xll.DBRW($D$4,$E$7,$E$8,$E$9,$E$10,$E$12,$D183,$E$6,CZ$18,CZ$17)</f>
        <v>6.4865890000000004</v>
      </c>
      <c r="DA183" s="26">
        <f t="shared" ca="1" si="127"/>
        <v>-0.24111100000000057</v>
      </c>
      <c r="DB183" s="26">
        <f t="shared" ca="1" si="128"/>
        <v>-3.4741000000000077E-2</v>
      </c>
      <c r="DC183" s="26">
        <f t="shared" ca="1" si="129"/>
        <v>0</v>
      </c>
      <c r="DD183" s="26">
        <f t="shared" ca="1" si="130"/>
        <v>3.5840000000000004E-3</v>
      </c>
      <c r="DE183" s="26">
        <f t="shared" ca="1" si="131"/>
        <v>0</v>
      </c>
      <c r="DF183" s="26">
        <f t="shared" ca="1" si="132"/>
        <v>0</v>
      </c>
      <c r="DG183" s="26">
        <f t="shared" ca="1" si="133"/>
        <v>0</v>
      </c>
      <c r="DH183" s="26">
        <f t="shared" ca="1" si="134"/>
        <v>-0.20995400000000064</v>
      </c>
      <c r="DI183" s="26">
        <f t="shared" ca="1" si="135"/>
        <v>-1.9042089999999998</v>
      </c>
      <c r="DJ183" s="26">
        <f t="shared" ca="1" si="136"/>
        <v>0.65837099999999937</v>
      </c>
      <c r="DK183" s="26">
        <f t="shared" ca="1" si="137"/>
        <v>1.8064211594447266E-2</v>
      </c>
      <c r="DL183" s="26"/>
      <c r="DM183" s="26"/>
      <c r="DN183" s="26"/>
      <c r="DO183" s="26"/>
      <c r="DP183" s="26">
        <f t="shared" ca="1" si="138"/>
        <v>0.30840299999999998</v>
      </c>
      <c r="DQ183" s="26">
        <f t="shared" ca="1" si="139"/>
        <v>-3.2344073672997686E-3</v>
      </c>
      <c r="DR183" s="26"/>
      <c r="DS183" s="26"/>
      <c r="DT183" s="26"/>
      <c r="DU183" s="26"/>
      <c r="DV183" s="26">
        <f t="shared" ca="1" si="140"/>
        <v>0.22121899999999983</v>
      </c>
      <c r="DW183" s="26">
        <f t="shared" ca="1" si="141"/>
        <v>-1.844586548729904E-3</v>
      </c>
      <c r="DX183" s="26"/>
      <c r="DY183" s="26"/>
      <c r="DZ183" s="26"/>
      <c r="EA183" s="26"/>
      <c r="EB183" s="26">
        <f t="shared" ca="1" si="142"/>
        <v>9.2101000000000099E-2</v>
      </c>
      <c r="EC183" s="26">
        <f t="shared" ca="1" si="143"/>
        <v>7.6260918754009477E-3</v>
      </c>
      <c r="ED183" s="26"/>
      <c r="EE183" s="26"/>
      <c r="EF183" s="26"/>
      <c r="EG183" s="26"/>
      <c r="EH183" s="26">
        <f t="shared" ca="1" si="144"/>
        <v>0.414161</v>
      </c>
      <c r="EI183" s="29">
        <f t="shared" ca="1" si="145"/>
        <v>-1.6567968758221793E-2</v>
      </c>
      <c r="EJ183" s="29"/>
      <c r="EK183" s="29"/>
      <c r="EL183" s="29"/>
      <c r="EM183" s="29"/>
      <c r="EN183" s="93"/>
      <c r="EO183" s="29"/>
      <c r="EP183" s="29"/>
      <c r="EQ183" s="29"/>
      <c r="ER183" s="29"/>
      <c r="ES183" s="29"/>
      <c r="ET183" s="29"/>
      <c r="EU183" s="93"/>
      <c r="EV183" s="29"/>
      <c r="EW183" s="29"/>
      <c r="EX183" s="29"/>
      <c r="EY183" s="29"/>
      <c r="EZ183" s="29"/>
      <c r="FA183" s="29"/>
      <c r="FB183" s="93"/>
      <c r="FC183" s="29"/>
      <c r="FD183" s="29"/>
      <c r="FE183" s="29"/>
      <c r="FF183" s="29"/>
      <c r="FG183" s="29"/>
      <c r="FH183" s="29"/>
      <c r="FI183" s="93"/>
      <c r="FJ183" s="29"/>
      <c r="FK183" s="29"/>
      <c r="FL183" s="29"/>
      <c r="FM183" s="29"/>
      <c r="FN183" s="29"/>
      <c r="FO183" s="29"/>
      <c r="FP183" s="93"/>
      <c r="FQ183" s="29"/>
      <c r="FR183" s="29"/>
      <c r="FS183" s="29"/>
      <c r="FT183" s="29"/>
      <c r="FU183" s="29"/>
      <c r="FV183" s="29"/>
    </row>
    <row r="184" spans="1:178" x14ac:dyDescent="0.25">
      <c r="A184" t="str">
        <f ca="1">IF(_xll.TM1RPTELISCONSOLIDATED($D$28,$D184),IF(_xll.TM1RPTELLEV($D$28,$D184)&lt;=3,_xll.TM1RPTELLEV($D$28,$D184),"D"),"N")</f>
        <v>N</v>
      </c>
      <c r="B184" t="str">
        <f ca="1">_xll.DBRA(Server&amp;"Management_organization",$D184,$B$27)</f>
        <v>L</v>
      </c>
      <c r="C184">
        <v>1</v>
      </c>
      <c r="D184" s="2" t="s">
        <v>209</v>
      </c>
      <c r="E184" s="26"/>
      <c r="F184" s="26"/>
      <c r="G184" s="16">
        <f ca="1">_xll.DBRW($D$4,$E$7,$E$8,$E$9,$E$10,$E$12,$D184,$E$6,G$18,G$17)</f>
        <v>0.17562799999999992</v>
      </c>
      <c r="H184" s="16">
        <f ca="1">_xll.DBRW($D$4,$E$7,$E$8,$E$9,$E$10,$E$12,$D184,$E$6,H$18,H$17)</f>
        <v>-0.10344699999999998</v>
      </c>
      <c r="I184" s="16">
        <f ca="1">_xll.DBRW($D$4,$E$7,$E$8,$E$9,$E$10,$E$12,$D184,$E$6,I$18,I$17)</f>
        <v>0</v>
      </c>
      <c r="J184" s="26">
        <f ca="1">_xll.DBRW($D$4,$E$7,$E$8,$E$9,$E$10,$E$12,$D184,$E$6,J$18,J$17)</f>
        <v>-7.6922000000000004E-2</v>
      </c>
      <c r="K184" s="26">
        <f ca="1">_xll.DBRW($D$4,$E$7,$E$8,$E$9,$E$10,$E$12,$D184,$E$6,K$18,K$17)</f>
        <v>0</v>
      </c>
      <c r="L184" s="26">
        <f ca="1">_xll.DBRW($D$4,$E$7,$E$8,$E$9,$E$10,$E$12,$D184,$E$6,L$18,L$17)</f>
        <v>0</v>
      </c>
      <c r="M184" s="26">
        <f ca="1">_xll.DBRW($D$4,$E$7,$E$8,$E$9,$E$10,$E$12,$D184,$E$6,M$18,M$17)</f>
        <v>0</v>
      </c>
      <c r="N184" s="16">
        <f ca="1">_xll.DBRW($D$4,$E$7,$E$8,$E$9,$E$10,$E$12,$D184,$E$6,N$18,N$17)</f>
        <v>0.35599699999999995</v>
      </c>
      <c r="O184" s="16">
        <f ca="1">_xll.DBRW($D$4,$E$7,$E$8,$E$9,$E$10,$E$12,$D184,$E$6,O$18,O$17)</f>
        <v>5.0850680000000006</v>
      </c>
      <c r="P184" s="74">
        <f ca="1">_xll.DBRW($D$4,$E$7,$E$8,$E$9,$E$10,$E$12,$D184,$E$6,P$18,P$17)</f>
        <v>-2.0521699999999998</v>
      </c>
      <c r="Q184" s="16">
        <f ca="1">_xll.DBRW($D$4,$E$7,$E$8,$E$9,$E$10,$E$12,$D184,$E$6,Q$18,Q$17)</f>
        <v>0.40356785789295241</v>
      </c>
      <c r="R184" s="16"/>
      <c r="S184" s="16"/>
      <c r="T184" s="16"/>
      <c r="U184" s="16"/>
      <c r="V184" s="16">
        <f ca="1">_xll.DBRW($D$4,$E$7,$E$8,$E$9,$E$10,$E$12,$D184,$E$6,V$18,V$17)</f>
        <v>-0.69585799999999998</v>
      </c>
      <c r="W184" s="16">
        <f ca="1">_xll.DBRW($D$4,$E$7,$E$8,$E$9,$E$10,$E$12,$D184,$E$6,W$18,W$17)</f>
        <v>0.13684340111086024</v>
      </c>
      <c r="X184" s="16"/>
      <c r="Y184" s="16"/>
      <c r="Z184" s="16"/>
      <c r="AA184" s="16"/>
      <c r="AB184" s="16">
        <f ca="1">_xll.DBRW($D$4,$E$7,$E$8,$E$9,$E$10,$E$12,$D184,$E$6,AB$18,AB$17)</f>
        <v>-0.67300599999999999</v>
      </c>
      <c r="AC184" s="16">
        <f ca="1">_xll.DBRW($D$4,$E$7,$E$8,$E$9,$E$10,$E$12,$D184,$E$6,AC$18,AC$17)</f>
        <v>0.13234945924026972</v>
      </c>
      <c r="AD184" s="16"/>
      <c r="AE184" s="16"/>
      <c r="AF184" s="16"/>
      <c r="AG184" s="16"/>
      <c r="AH184" s="16">
        <f ca="1">_xll.DBRW($D$4,$E$7,$E$8,$E$9,$E$10,$E$12,$D184,$E$6,AH$18,AH$17)</f>
        <v>-0.64880400000000005</v>
      </c>
      <c r="AI184" s="16">
        <f ca="1">_xll.DBRW($D$4,$E$7,$E$8,$E$9,$E$10,$E$12,$D184,$E$6,AI$18,AI$17)</f>
        <v>0.12759003419423298</v>
      </c>
      <c r="AJ184" s="16"/>
      <c r="AK184" s="16"/>
      <c r="AL184" s="16"/>
      <c r="AM184" s="16"/>
      <c r="AN184" s="16">
        <f ca="1">_xll.DBRW($D$4,$E$7,$E$8,$E$9,$E$10,$E$12,$D184,$E$6,AN$18,AN$17)</f>
        <v>-0.65923300000000007</v>
      </c>
      <c r="AO184" s="16">
        <f ca="1">_xll.DBRW($D$4,$E$7,$E$8,$E$9,$E$10,$E$12,$D184,$E$6,AO$18,AO$17)</f>
        <v>0.12964094088810613</v>
      </c>
      <c r="AP184" s="16"/>
      <c r="AQ184" s="16"/>
      <c r="AR184" s="16"/>
      <c r="AS184" s="16"/>
      <c r="AT184" s="16">
        <f ca="1">_xll.DBRW($D$4,$E$7,$E$8,$E$9,$E$10,$E$12,$D184,$E$6,AT$18,AT$17)</f>
        <v>0.14787599999999998</v>
      </c>
      <c r="AU184" s="16">
        <f ca="1">_xll.DBRW($D$4,$E$7,$E$8,$E$9,$E$10,$E$12,$D184,$E$6,AU$18,AU$17)</f>
        <v>1.5646929999999999</v>
      </c>
      <c r="AV184" s="16">
        <f ca="1">_xll.DBRW($D$4,$E$7,$E$8,$E$9,$E$10,$E$12,$D184,$E$6,AV$18,AV$17)</f>
        <v>3.0779649999999998</v>
      </c>
      <c r="AW184" s="16">
        <f ca="1">_xll.DBRW($D$4,$E$7,$E$8,$E$9,$E$10,$E$12,$D184,$E$6,AW$18,AW$17)</f>
        <v>1.5646929999999999</v>
      </c>
      <c r="AX184" s="16">
        <f ca="1">_xll.DBRW($D$4,$E$7,$E$8,$E$9,$E$10,$E$12,$D184,$E$6,AX$18,AX$17)</f>
        <v>1.038357</v>
      </c>
      <c r="AY184" s="16">
        <f ca="1">_xll.DBRW($D$4,$E$7,$E$8,$E$9,$E$10,$E$12,$D184,$E$6,AY$18,AY$17)</f>
        <v>1.5646929999999999</v>
      </c>
      <c r="AZ184" s="16">
        <f ca="1">_xll.DBRW($D$4,$E$7,$E$8,$E$9,$E$10,$E$12,$D184,$E$6,AZ$18,AZ$17)</f>
        <v>1.11E-4</v>
      </c>
      <c r="BA184" s="16">
        <f ca="1">_xll.DBRW($D$4,$E$7,$E$8,$E$9,$E$10,$E$12,$D184,$E$6,BA$18,BA$17)</f>
        <v>1.5646929999999999</v>
      </c>
      <c r="BB184" s="16">
        <f ca="1">_xll.DBRW($D$4,$E$7,$E$8,$E$9,$E$10,$E$12,$D184,$E$6,BB$18,BB$17)</f>
        <v>8.9226E-2</v>
      </c>
      <c r="BC184" s="16">
        <f ca="1">_xll.DBRW($D$4,$E$7,$E$8,$E$9,$E$10,$E$12,$D184,$E$6,BC$18,BC$17)</f>
        <v>1.5646929999999999</v>
      </c>
      <c r="BD184" s="16">
        <f ca="1">_xll.DBRW($D$4,$E$7,$E$8,$E$9,$E$10,$E$12,$D184,$E$6,BD$18,BD$17)</f>
        <v>0</v>
      </c>
      <c r="BE184" s="16">
        <f ca="1">_xll.DBRW($D$4,$E$7,$E$8,$E$9,$E$10,$E$12,$D184,$E$6,BE$18,BE$17)</f>
        <v>0</v>
      </c>
      <c r="BF184" s="16">
        <f ca="1">_xll.DBRW($D$4,$E$7,$E$8,$E$9,$E$10,$E$12,$D184,$E$6,BF$18,BF$17)</f>
        <v>0</v>
      </c>
      <c r="BG184" s="26">
        <f ca="1">_xll.DBRW($D$4,$E$7,$E$8,$E$9,$E$10,$E$12,$D184,$E$6,BG$18,BG$17)</f>
        <v>0</v>
      </c>
      <c r="BH184" s="26">
        <f ca="1">_xll.DBRW($D$4,$E$7,$E$8,$E$9,$E$10,$E$12,$D184,$E$6,BH$18,BH$17)</f>
        <v>0</v>
      </c>
      <c r="BI184" s="26">
        <f ca="1">_xll.DBRW($D$4,$E$7,$E$8,$E$9,$E$10,$E$12,$D184,$E$6,BI$18,BI$17)</f>
        <v>0</v>
      </c>
      <c r="BJ184" s="26">
        <f ca="1">_xll.DBRW($D$4,$E$7,$E$8,$E$9,$E$10,$E$12,$D184,$E$6,BJ$18,BJ$17)</f>
        <v>0</v>
      </c>
      <c r="BK184" s="16">
        <f ca="1">_xll.DBRW($D$4,$E$7,$E$8,$E$9,$E$10,$E$12,$D184,$E$6,BK$18,BK$17)</f>
        <v>0</v>
      </c>
      <c r="BL184" s="16">
        <f ca="1">_xll.DBRW($D$4,$E$7,$E$8,$E$9,$E$10,$E$12,$D184,$E$6,BL$18,BL$17)</f>
        <v>0</v>
      </c>
      <c r="BM184" s="16">
        <f ca="1">_xll.DBRW($D$4,$E$7,$E$8,$E$9,$E$10,$E$12,$D184,$E$6,BM$18,BM$17)</f>
        <v>0</v>
      </c>
      <c r="BN184" s="16">
        <f ca="1">_xll.DBRW($D$4,$E$7,$E$8,$E$9,$E$10,$E$12,$D184,$E$6,BN$18,BN$17)</f>
        <v>0</v>
      </c>
      <c r="BO184" s="16"/>
      <c r="BP184" s="16"/>
      <c r="BQ184" s="16"/>
      <c r="BR184" s="16"/>
      <c r="BS184" s="16">
        <f ca="1">_xll.DBRW($D$4,$E$7,$E$8,$E$9,$E$10,$E$12,$D184,$E$6,BS$18,BS$17)</f>
        <v>0</v>
      </c>
      <c r="BT184" s="16">
        <f ca="1">_xll.DBRW($D$4,$E$7,$E$8,$E$9,$E$10,$E$12,$D184,$E$6,BT$18,BT$17)</f>
        <v>0</v>
      </c>
      <c r="BU184" s="16"/>
      <c r="BV184" s="16"/>
      <c r="BW184" s="16"/>
      <c r="BX184" s="16"/>
      <c r="BY184" s="16">
        <f ca="1">_xll.DBRW($D$4,$E$7,$E$8,$E$9,$E$10,$E$12,$D184,$E$6,BY$18,BY$17)</f>
        <v>0</v>
      </c>
      <c r="BZ184" s="16">
        <f ca="1">_xll.DBRW($D$4,$E$7,$E$8,$E$9,$E$10,$E$12,$D184,$E$6,BZ$18,BZ$17)</f>
        <v>0</v>
      </c>
      <c r="CA184" s="16"/>
      <c r="CB184" s="16"/>
      <c r="CC184" s="16"/>
      <c r="CD184" s="16"/>
      <c r="CE184" s="16">
        <f ca="1">_xll.DBRW($D$4,$E$7,$E$8,$E$9,$E$10,$E$12,$D184,$E$6,CE$18,CE$17)</f>
        <v>0</v>
      </c>
      <c r="CF184" s="16">
        <f ca="1">_xll.DBRW($D$4,$E$7,$E$8,$E$9,$E$10,$E$12,$D184,$E$6,CF$18,CF$17)</f>
        <v>0</v>
      </c>
      <c r="CG184" s="16"/>
      <c r="CH184" s="16"/>
      <c r="CI184" s="16"/>
      <c r="CJ184" s="16"/>
      <c r="CK184" s="16">
        <f ca="1">_xll.DBRW($D$4,$E$7,$E$8,$E$9,$E$10,$E$12,$D184,$E$6,CK$18,CK$17)</f>
        <v>0</v>
      </c>
      <c r="CL184" s="16">
        <f ca="1">_xll.DBRW($D$4,$E$7,$E$8,$E$9,$E$10,$E$12,$D184,$E$6,CL$18,CL$17)</f>
        <v>0</v>
      </c>
      <c r="CM184" s="16"/>
      <c r="CN184" s="16"/>
      <c r="CO184" s="16"/>
      <c r="CP184" s="16"/>
      <c r="CQ184" s="16">
        <f ca="1">_xll.DBRW($D$4,$E$7,$E$8,$E$9,$E$10,$E$12,$D184,$E$6,CQ$18,CQ$17)</f>
        <v>0</v>
      </c>
      <c r="CR184" s="16">
        <f ca="1">_xll.DBRW($D$4,$E$7,$E$8,$E$9,$E$10,$E$12,$D184,$E$6,CR$18,CR$17)</f>
        <v>0</v>
      </c>
      <c r="CS184" s="16">
        <f ca="1">_xll.DBRW($D$4,$E$7,$E$8,$E$9,$E$10,$E$12,$D184,$E$6,CS$18,CS$17)</f>
        <v>0</v>
      </c>
      <c r="CT184" s="16">
        <f ca="1">_xll.DBRW($D$4,$E$7,$E$8,$E$9,$E$10,$E$12,$D184,$E$6,CT$18,CT$17)</f>
        <v>0</v>
      </c>
      <c r="CU184" s="16">
        <f ca="1">_xll.DBRW($D$4,$E$7,$E$8,$E$9,$E$10,$E$12,$D184,$E$6,CU$18,CU$17)</f>
        <v>0</v>
      </c>
      <c r="CV184" s="16">
        <f ca="1">_xll.DBRW($D$4,$E$7,$E$8,$E$9,$E$10,$E$12,$D184,$E$6,CV$18,CV$17)</f>
        <v>0</v>
      </c>
      <c r="CW184" s="16" t="str">
        <f ca="1">_xll.DBRW($D$4,$E$7,$E$8,$E$9,$E$10,$E$12,$D184,$E$6,CW$18,CW$17)</f>
        <v/>
      </c>
      <c r="CX184" s="16">
        <f ca="1">_xll.DBRW($D$4,$E$7,$E$8,$E$9,$E$10,$E$12,$D184,$E$6,CX$18,CX$17)</f>
        <v>0</v>
      </c>
      <c r="CY184" s="16">
        <f ca="1">_xll.DBRW($D$4,$E$7,$E$8,$E$9,$E$10,$E$12,$D184,$E$6,CY$18,CY$17)</f>
        <v>0</v>
      </c>
      <c r="CZ184" s="16">
        <f ca="1">_xll.DBRW($D$4,$E$7,$E$8,$E$9,$E$10,$E$12,$D184,$E$6,CZ$18,CZ$17)</f>
        <v>0</v>
      </c>
      <c r="DA184" s="26">
        <f t="shared" ca="1" si="127"/>
        <v>0.17562799999999992</v>
      </c>
      <c r="DB184" s="26">
        <f t="shared" ca="1" si="128"/>
        <v>-0.10344699999999998</v>
      </c>
      <c r="DC184" s="26">
        <f t="shared" ca="1" si="129"/>
        <v>0</v>
      </c>
      <c r="DD184" s="26">
        <f t="shared" ca="1" si="130"/>
        <v>-7.6922000000000004E-2</v>
      </c>
      <c r="DE184" s="26">
        <f t="shared" ca="1" si="131"/>
        <v>0</v>
      </c>
      <c r="DF184" s="26">
        <f t="shared" ca="1" si="132"/>
        <v>0</v>
      </c>
      <c r="DG184" s="26">
        <f t="shared" ca="1" si="133"/>
        <v>0</v>
      </c>
      <c r="DH184" s="26">
        <f t="shared" ca="1" si="134"/>
        <v>0.35599699999999995</v>
      </c>
      <c r="DI184" s="26">
        <f t="shared" ca="1" si="135"/>
        <v>5.0850680000000006</v>
      </c>
      <c r="DJ184" s="26">
        <f t="shared" ca="1" si="136"/>
        <v>-2.0521699999999998</v>
      </c>
      <c r="DK184" s="26">
        <f t="shared" ca="1" si="137"/>
        <v>0.40356785789295241</v>
      </c>
      <c r="DL184" s="26"/>
      <c r="DM184" s="26"/>
      <c r="DN184" s="26"/>
      <c r="DO184" s="26"/>
      <c r="DP184" s="26">
        <f t="shared" ca="1" si="138"/>
        <v>-0.69585799999999998</v>
      </c>
      <c r="DQ184" s="26">
        <f t="shared" ca="1" si="139"/>
        <v>0.13684340111086024</v>
      </c>
      <c r="DR184" s="26"/>
      <c r="DS184" s="26"/>
      <c r="DT184" s="26"/>
      <c r="DU184" s="26"/>
      <c r="DV184" s="26">
        <f t="shared" ca="1" si="140"/>
        <v>-0.67300599999999999</v>
      </c>
      <c r="DW184" s="26">
        <f t="shared" ca="1" si="141"/>
        <v>0.13234945924026972</v>
      </c>
      <c r="DX184" s="26"/>
      <c r="DY184" s="26"/>
      <c r="DZ184" s="26"/>
      <c r="EA184" s="26"/>
      <c r="EB184" s="26">
        <f t="shared" ca="1" si="142"/>
        <v>-0.64880400000000005</v>
      </c>
      <c r="EC184" s="26">
        <f t="shared" ca="1" si="143"/>
        <v>0.12759003419423298</v>
      </c>
      <c r="ED184" s="26"/>
      <c r="EE184" s="26"/>
      <c r="EF184" s="26"/>
      <c r="EG184" s="26"/>
      <c r="EH184" s="26">
        <f t="shared" ca="1" si="144"/>
        <v>-0.65923300000000007</v>
      </c>
      <c r="EI184" s="29">
        <f t="shared" ca="1" si="145"/>
        <v>0.12964094088810613</v>
      </c>
      <c r="EJ184" s="29"/>
      <c r="EK184" s="29"/>
      <c r="EL184" s="29"/>
      <c r="EM184" s="29"/>
      <c r="EN184" s="93"/>
      <c r="EO184" s="29"/>
      <c r="EP184" s="29"/>
      <c r="EQ184" s="29"/>
      <c r="ER184" s="29"/>
      <c r="ES184" s="29"/>
      <c r="ET184" s="29"/>
      <c r="EU184" s="93"/>
      <c r="EV184" s="29"/>
      <c r="EW184" s="29"/>
      <c r="EX184" s="29"/>
      <c r="EY184" s="29"/>
      <c r="EZ184" s="29"/>
      <c r="FA184" s="29"/>
      <c r="FB184" s="93"/>
      <c r="FC184" s="29"/>
      <c r="FD184" s="29"/>
      <c r="FE184" s="29"/>
      <c r="FF184" s="29"/>
      <c r="FG184" s="29"/>
      <c r="FH184" s="29"/>
      <c r="FI184" s="93"/>
      <c r="FJ184" s="29"/>
      <c r="FK184" s="29"/>
      <c r="FL184" s="29"/>
      <c r="FM184" s="29"/>
      <c r="FN184" s="29"/>
      <c r="FO184" s="29"/>
      <c r="FP184" s="93"/>
      <c r="FQ184" s="29"/>
      <c r="FR184" s="29"/>
      <c r="FS184" s="29"/>
      <c r="FT184" s="29"/>
      <c r="FU184" s="29"/>
      <c r="FV184" s="29"/>
    </row>
    <row r="185" spans="1:178" x14ac:dyDescent="0.25">
      <c r="A185" t="str">
        <f ca="1">IF(_xll.TM1RPTELISCONSOLIDATED($D$28,$D185),IF(_xll.TM1RPTELLEV($D$28,$D185)&lt;=3,_xll.TM1RPTELLEV($D$28,$D185),"D"),"N")</f>
        <v>N</v>
      </c>
      <c r="B185" t="str">
        <f ca="1">_xll.DBRA(Server&amp;"Management_organization",$D185,$B$27)</f>
        <v>L</v>
      </c>
      <c r="C185">
        <v>1</v>
      </c>
      <c r="D185" s="2" t="s">
        <v>346</v>
      </c>
      <c r="E185" s="26"/>
      <c r="F185" s="26"/>
      <c r="G185" s="16">
        <f ca="1">_xll.DBRW($D$4,$E$7,$E$8,$E$9,$E$10,$E$12,$D185,$E$6,G$18,G$17)</f>
        <v>-9.6825999999999884E-2</v>
      </c>
      <c r="H185" s="16">
        <f ca="1">_xll.DBRW($D$4,$E$7,$E$8,$E$9,$E$10,$E$12,$D185,$E$6,H$18,H$17)</f>
        <v>-0.161247</v>
      </c>
      <c r="I185" s="16">
        <f ca="1">_xll.DBRW($D$4,$E$7,$E$8,$E$9,$E$10,$E$12,$D185,$E$6,I$18,I$17)</f>
        <v>0</v>
      </c>
      <c r="J185" s="26">
        <f ca="1">_xll.DBRW($D$4,$E$7,$E$8,$E$9,$E$10,$E$12,$D185,$E$6,J$18,J$17)</f>
        <v>-2.5430999999999999E-2</v>
      </c>
      <c r="K185" s="26">
        <f ca="1">_xll.DBRW($D$4,$E$7,$E$8,$E$9,$E$10,$E$12,$D185,$E$6,K$18,K$17)</f>
        <v>0</v>
      </c>
      <c r="L185" s="26">
        <f ca="1">_xll.DBRW($D$4,$E$7,$E$8,$E$9,$E$10,$E$12,$D185,$E$6,L$18,L$17)</f>
        <v>0</v>
      </c>
      <c r="M185" s="26">
        <f ca="1">_xll.DBRW($D$4,$E$7,$E$8,$E$9,$E$10,$E$12,$D185,$E$6,M$18,M$17)</f>
        <v>0</v>
      </c>
      <c r="N185" s="16">
        <f ca="1">_xll.DBRW($D$4,$E$7,$E$8,$E$9,$E$10,$E$12,$D185,$E$6,N$18,N$17)</f>
        <v>8.9852000000000112E-2</v>
      </c>
      <c r="O185" s="16">
        <f ca="1">_xll.DBRW($D$4,$E$7,$E$8,$E$9,$E$10,$E$12,$D185,$E$6,O$18,O$17)</f>
        <v>6.589834999999999</v>
      </c>
      <c r="P185" s="74">
        <f ca="1">_xll.DBRW($D$4,$E$7,$E$8,$E$9,$E$10,$E$12,$D185,$E$6,P$18,P$17)</f>
        <v>-2.9266499999999995</v>
      </c>
      <c r="Q185" s="16">
        <f ca="1">_xll.DBRW($D$4,$E$7,$E$8,$E$9,$E$10,$E$12,$D185,$E$6,Q$18,Q$17)</f>
        <v>0.44411582384080939</v>
      </c>
      <c r="R185" s="16"/>
      <c r="S185" s="16"/>
      <c r="T185" s="16"/>
      <c r="U185" s="16"/>
      <c r="V185" s="16">
        <f ca="1">_xll.DBRW($D$4,$E$7,$E$8,$E$9,$E$10,$E$12,$D185,$E$6,V$18,V$17)</f>
        <v>-1.183557</v>
      </c>
      <c r="W185" s="16">
        <f ca="1">_xll.DBRW($D$4,$E$7,$E$8,$E$9,$E$10,$E$12,$D185,$E$6,W$18,W$17)</f>
        <v>0.17960343468387299</v>
      </c>
      <c r="X185" s="16"/>
      <c r="Y185" s="16"/>
      <c r="Z185" s="16"/>
      <c r="AA185" s="16"/>
      <c r="AB185" s="16">
        <f ca="1">_xll.DBRW($D$4,$E$7,$E$8,$E$9,$E$10,$E$12,$D185,$E$6,AB$18,AB$17)</f>
        <v>-0.83854699999999993</v>
      </c>
      <c r="AC185" s="16">
        <f ca="1">_xll.DBRW($D$4,$E$7,$E$8,$E$9,$E$10,$E$12,$D185,$E$6,AC$18,AC$17)</f>
        <v>0.127248557816698</v>
      </c>
      <c r="AD185" s="16"/>
      <c r="AE185" s="16"/>
      <c r="AF185" s="16"/>
      <c r="AG185" s="16"/>
      <c r="AH185" s="16">
        <f ca="1">_xll.DBRW($D$4,$E$7,$E$8,$E$9,$E$10,$E$12,$D185,$E$6,AH$18,AH$17)</f>
        <v>-0.8701859999999999</v>
      </c>
      <c r="AI185" s="16">
        <f ca="1">_xll.DBRW($D$4,$E$7,$E$8,$E$9,$E$10,$E$12,$D185,$E$6,AI$18,AI$17)</f>
        <v>0.13204974024387561</v>
      </c>
      <c r="AJ185" s="16"/>
      <c r="AK185" s="16"/>
      <c r="AL185" s="16"/>
      <c r="AM185" s="16"/>
      <c r="AN185" s="16">
        <f ca="1">_xll.DBRW($D$4,$E$7,$E$8,$E$9,$E$10,$E$12,$D185,$E$6,AN$18,AN$17)</f>
        <v>-0.68104299999999995</v>
      </c>
      <c r="AO185" s="16">
        <f ca="1">_xll.DBRW($D$4,$E$7,$E$8,$E$9,$E$10,$E$12,$D185,$E$6,AO$18,AO$17)</f>
        <v>0.10334750414843469</v>
      </c>
      <c r="AP185" s="16"/>
      <c r="AQ185" s="16"/>
      <c r="AR185" s="16"/>
      <c r="AS185" s="16"/>
      <c r="AT185" s="16">
        <f ca="1">_xll.DBRW($D$4,$E$7,$E$8,$E$9,$E$10,$E$12,$D185,$E$6,AT$18,AT$17)</f>
        <v>0.19953100000000001</v>
      </c>
      <c r="AU185" s="16">
        <f ca="1">_xll.DBRW($D$4,$E$7,$E$8,$E$9,$E$10,$E$12,$D185,$E$6,AU$18,AU$17)</f>
        <v>3.9622769999999998</v>
      </c>
      <c r="AV185" s="16">
        <f ca="1">_xll.DBRW($D$4,$E$7,$E$8,$E$9,$E$10,$E$12,$D185,$E$6,AV$18,AV$17)</f>
        <v>2.6227539999999996</v>
      </c>
      <c r="AW185" s="16">
        <f ca="1">_xll.DBRW($D$4,$E$7,$E$8,$E$9,$E$10,$E$12,$D185,$E$6,AW$18,AW$17)</f>
        <v>3.9622769999999998</v>
      </c>
      <c r="AX185" s="16">
        <f ca="1">_xll.DBRW($D$4,$E$7,$E$8,$E$9,$E$10,$E$12,$D185,$E$6,AX$18,AX$17)</f>
        <v>0.93473699999999993</v>
      </c>
      <c r="AY185" s="16">
        <f ca="1">_xll.DBRW($D$4,$E$7,$E$8,$E$9,$E$10,$E$12,$D185,$E$6,AY$18,AY$17)</f>
        <v>3.9622769999999998</v>
      </c>
      <c r="AZ185" s="16">
        <f ca="1">_xll.DBRW($D$4,$E$7,$E$8,$E$9,$E$10,$E$12,$D185,$E$6,AZ$18,AZ$17)</f>
        <v>1.6200000000000001E-4</v>
      </c>
      <c r="BA185" s="16">
        <f ca="1">_xll.DBRW($D$4,$E$7,$E$8,$E$9,$E$10,$E$12,$D185,$E$6,BA$18,BA$17)</f>
        <v>3.9622769999999998</v>
      </c>
      <c r="BB185" s="16">
        <f ca="1">_xll.DBRW($D$4,$E$7,$E$8,$E$9,$E$10,$E$12,$D185,$E$6,BB$18,BB$17)</f>
        <v>0.124751</v>
      </c>
      <c r="BC185" s="16">
        <f ca="1">_xll.DBRW($D$4,$E$7,$E$8,$E$9,$E$10,$E$12,$D185,$E$6,BC$18,BC$17)</f>
        <v>3.9622769999999998</v>
      </c>
      <c r="BD185" s="16">
        <f ca="1">_xll.DBRW($D$4,$E$7,$E$8,$E$9,$E$10,$E$12,$D185,$E$6,BD$18,BD$17)</f>
        <v>0</v>
      </c>
      <c r="BE185" s="16">
        <f ca="1">_xll.DBRW($D$4,$E$7,$E$8,$E$9,$E$10,$E$12,$D185,$E$6,BE$18,BE$17)</f>
        <v>0</v>
      </c>
      <c r="BF185" s="16">
        <f ca="1">_xll.DBRW($D$4,$E$7,$E$8,$E$9,$E$10,$E$12,$D185,$E$6,BF$18,BF$17)</f>
        <v>0</v>
      </c>
      <c r="BG185" s="26">
        <f ca="1">_xll.DBRW($D$4,$E$7,$E$8,$E$9,$E$10,$E$12,$D185,$E$6,BG$18,BG$17)</f>
        <v>0</v>
      </c>
      <c r="BH185" s="26">
        <f ca="1">_xll.DBRW($D$4,$E$7,$E$8,$E$9,$E$10,$E$12,$D185,$E$6,BH$18,BH$17)</f>
        <v>0</v>
      </c>
      <c r="BI185" s="26">
        <f ca="1">_xll.DBRW($D$4,$E$7,$E$8,$E$9,$E$10,$E$12,$D185,$E$6,BI$18,BI$17)</f>
        <v>0</v>
      </c>
      <c r="BJ185" s="26">
        <f ca="1">_xll.DBRW($D$4,$E$7,$E$8,$E$9,$E$10,$E$12,$D185,$E$6,BJ$18,BJ$17)</f>
        <v>0</v>
      </c>
      <c r="BK185" s="16">
        <f ca="1">_xll.DBRW($D$4,$E$7,$E$8,$E$9,$E$10,$E$12,$D185,$E$6,BK$18,BK$17)</f>
        <v>0</v>
      </c>
      <c r="BL185" s="16">
        <f ca="1">_xll.DBRW($D$4,$E$7,$E$8,$E$9,$E$10,$E$12,$D185,$E$6,BL$18,BL$17)</f>
        <v>0</v>
      </c>
      <c r="BM185" s="16">
        <f ca="1">_xll.DBRW($D$4,$E$7,$E$8,$E$9,$E$10,$E$12,$D185,$E$6,BM$18,BM$17)</f>
        <v>0</v>
      </c>
      <c r="BN185" s="16">
        <f ca="1">_xll.DBRW($D$4,$E$7,$E$8,$E$9,$E$10,$E$12,$D185,$E$6,BN$18,BN$17)</f>
        <v>0</v>
      </c>
      <c r="BO185" s="16"/>
      <c r="BP185" s="16"/>
      <c r="BQ185" s="16"/>
      <c r="BR185" s="16"/>
      <c r="BS185" s="16">
        <f ca="1">_xll.DBRW($D$4,$E$7,$E$8,$E$9,$E$10,$E$12,$D185,$E$6,BS$18,BS$17)</f>
        <v>0</v>
      </c>
      <c r="BT185" s="16">
        <f ca="1">_xll.DBRW($D$4,$E$7,$E$8,$E$9,$E$10,$E$12,$D185,$E$6,BT$18,BT$17)</f>
        <v>0</v>
      </c>
      <c r="BU185" s="16"/>
      <c r="BV185" s="16"/>
      <c r="BW185" s="16"/>
      <c r="BX185" s="16"/>
      <c r="BY185" s="16">
        <f ca="1">_xll.DBRW($D$4,$E$7,$E$8,$E$9,$E$10,$E$12,$D185,$E$6,BY$18,BY$17)</f>
        <v>0</v>
      </c>
      <c r="BZ185" s="16">
        <f ca="1">_xll.DBRW($D$4,$E$7,$E$8,$E$9,$E$10,$E$12,$D185,$E$6,BZ$18,BZ$17)</f>
        <v>0</v>
      </c>
      <c r="CA185" s="16"/>
      <c r="CB185" s="16"/>
      <c r="CC185" s="16"/>
      <c r="CD185" s="16"/>
      <c r="CE185" s="16">
        <f ca="1">_xll.DBRW($D$4,$E$7,$E$8,$E$9,$E$10,$E$12,$D185,$E$6,CE$18,CE$17)</f>
        <v>0</v>
      </c>
      <c r="CF185" s="16">
        <f ca="1">_xll.DBRW($D$4,$E$7,$E$8,$E$9,$E$10,$E$12,$D185,$E$6,CF$18,CF$17)</f>
        <v>0</v>
      </c>
      <c r="CG185" s="16"/>
      <c r="CH185" s="16"/>
      <c r="CI185" s="16"/>
      <c r="CJ185" s="16"/>
      <c r="CK185" s="16">
        <f ca="1">_xll.DBRW($D$4,$E$7,$E$8,$E$9,$E$10,$E$12,$D185,$E$6,CK$18,CK$17)</f>
        <v>0</v>
      </c>
      <c r="CL185" s="16">
        <f ca="1">_xll.DBRW($D$4,$E$7,$E$8,$E$9,$E$10,$E$12,$D185,$E$6,CL$18,CL$17)</f>
        <v>0</v>
      </c>
      <c r="CM185" s="16"/>
      <c r="CN185" s="16"/>
      <c r="CO185" s="16"/>
      <c r="CP185" s="16"/>
      <c r="CQ185" s="16">
        <f ca="1">_xll.DBRW($D$4,$E$7,$E$8,$E$9,$E$10,$E$12,$D185,$E$6,CQ$18,CQ$17)</f>
        <v>0</v>
      </c>
      <c r="CR185" s="16">
        <f ca="1">_xll.DBRW($D$4,$E$7,$E$8,$E$9,$E$10,$E$12,$D185,$E$6,CR$18,CR$17)</f>
        <v>0</v>
      </c>
      <c r="CS185" s="16">
        <f ca="1">_xll.DBRW($D$4,$E$7,$E$8,$E$9,$E$10,$E$12,$D185,$E$6,CS$18,CS$17)</f>
        <v>0</v>
      </c>
      <c r="CT185" s="16">
        <f ca="1">_xll.DBRW($D$4,$E$7,$E$8,$E$9,$E$10,$E$12,$D185,$E$6,CT$18,CT$17)</f>
        <v>0</v>
      </c>
      <c r="CU185" s="16">
        <f ca="1">_xll.DBRW($D$4,$E$7,$E$8,$E$9,$E$10,$E$12,$D185,$E$6,CU$18,CU$17)</f>
        <v>0</v>
      </c>
      <c r="CV185" s="16">
        <f ca="1">_xll.DBRW($D$4,$E$7,$E$8,$E$9,$E$10,$E$12,$D185,$E$6,CV$18,CV$17)</f>
        <v>0</v>
      </c>
      <c r="CW185" s="16" t="str">
        <f ca="1">_xll.DBRW($D$4,$E$7,$E$8,$E$9,$E$10,$E$12,$D185,$E$6,CW$18,CW$17)</f>
        <v/>
      </c>
      <c r="CX185" s="16">
        <f ca="1">_xll.DBRW($D$4,$E$7,$E$8,$E$9,$E$10,$E$12,$D185,$E$6,CX$18,CX$17)</f>
        <v>0</v>
      </c>
      <c r="CY185" s="16">
        <f ca="1">_xll.DBRW($D$4,$E$7,$E$8,$E$9,$E$10,$E$12,$D185,$E$6,CY$18,CY$17)</f>
        <v>0</v>
      </c>
      <c r="CZ185" s="16">
        <f ca="1">_xll.DBRW($D$4,$E$7,$E$8,$E$9,$E$10,$E$12,$D185,$E$6,CZ$18,CZ$17)</f>
        <v>0</v>
      </c>
      <c r="DA185" s="26">
        <f t="shared" ca="1" si="127"/>
        <v>-9.6825999999999884E-2</v>
      </c>
      <c r="DB185" s="26">
        <f t="shared" ca="1" si="128"/>
        <v>-0.161247</v>
      </c>
      <c r="DC185" s="26">
        <f t="shared" ca="1" si="129"/>
        <v>0</v>
      </c>
      <c r="DD185" s="26">
        <f t="shared" ca="1" si="130"/>
        <v>-2.5430999999999999E-2</v>
      </c>
      <c r="DE185" s="26">
        <f t="shared" ca="1" si="131"/>
        <v>0</v>
      </c>
      <c r="DF185" s="26">
        <f t="shared" ca="1" si="132"/>
        <v>0</v>
      </c>
      <c r="DG185" s="26">
        <f t="shared" ca="1" si="133"/>
        <v>0</v>
      </c>
      <c r="DH185" s="26">
        <f t="shared" ca="1" si="134"/>
        <v>8.9852000000000112E-2</v>
      </c>
      <c r="DI185" s="26">
        <f t="shared" ca="1" si="135"/>
        <v>6.589834999999999</v>
      </c>
      <c r="DJ185" s="26">
        <f t="shared" ca="1" si="136"/>
        <v>-2.9266499999999995</v>
      </c>
      <c r="DK185" s="26">
        <f t="shared" ca="1" si="137"/>
        <v>0.44411582384080939</v>
      </c>
      <c r="DL185" s="26"/>
      <c r="DM185" s="26"/>
      <c r="DN185" s="26"/>
      <c r="DO185" s="26"/>
      <c r="DP185" s="26">
        <f t="shared" ca="1" si="138"/>
        <v>-1.183557</v>
      </c>
      <c r="DQ185" s="26">
        <f t="shared" ca="1" si="139"/>
        <v>0.17960343468387299</v>
      </c>
      <c r="DR185" s="26"/>
      <c r="DS185" s="26"/>
      <c r="DT185" s="26"/>
      <c r="DU185" s="26"/>
      <c r="DV185" s="26">
        <f t="shared" ca="1" si="140"/>
        <v>-0.83854699999999993</v>
      </c>
      <c r="DW185" s="26">
        <f t="shared" ca="1" si="141"/>
        <v>0.127248557816698</v>
      </c>
      <c r="DX185" s="26"/>
      <c r="DY185" s="26"/>
      <c r="DZ185" s="26"/>
      <c r="EA185" s="26"/>
      <c r="EB185" s="26">
        <f t="shared" ca="1" si="142"/>
        <v>-0.8701859999999999</v>
      </c>
      <c r="EC185" s="26">
        <f t="shared" ca="1" si="143"/>
        <v>0.13204974024387561</v>
      </c>
      <c r="ED185" s="26"/>
      <c r="EE185" s="26"/>
      <c r="EF185" s="26"/>
      <c r="EG185" s="26"/>
      <c r="EH185" s="26">
        <f t="shared" ca="1" si="144"/>
        <v>-0.68104299999999995</v>
      </c>
      <c r="EI185" s="29">
        <f t="shared" ca="1" si="145"/>
        <v>0.10334750414843469</v>
      </c>
      <c r="EJ185" s="29"/>
      <c r="EK185" s="29"/>
      <c r="EL185" s="29"/>
      <c r="EM185" s="29"/>
      <c r="EN185" s="93"/>
      <c r="EO185" s="29"/>
      <c r="EP185" s="29"/>
      <c r="EQ185" s="29"/>
      <c r="ER185" s="29"/>
      <c r="ES185" s="29"/>
      <c r="ET185" s="29"/>
      <c r="EU185" s="93"/>
      <c r="EV185" s="29"/>
      <c r="EW185" s="29"/>
      <c r="EX185" s="29"/>
      <c r="EY185" s="29"/>
      <c r="EZ185" s="29"/>
      <c r="FA185" s="29"/>
      <c r="FB185" s="93"/>
      <c r="FC185" s="29"/>
      <c r="FD185" s="29"/>
      <c r="FE185" s="29"/>
      <c r="FF185" s="29"/>
      <c r="FG185" s="29"/>
      <c r="FH185" s="29"/>
      <c r="FI185" s="93"/>
      <c r="FJ185" s="29"/>
      <c r="FK185" s="29"/>
      <c r="FL185" s="29"/>
      <c r="FM185" s="29"/>
      <c r="FN185" s="29"/>
      <c r="FO185" s="29"/>
      <c r="FP185" s="93"/>
      <c r="FQ185" s="29"/>
      <c r="FR185" s="29"/>
      <c r="FS185" s="29"/>
      <c r="FT185" s="29"/>
      <c r="FU185" s="29"/>
      <c r="FV185" s="29"/>
    </row>
    <row r="186" spans="1:178" x14ac:dyDescent="0.25">
      <c r="A186" t="str">
        <f ca="1">IF(_xll.TM1RPTELISCONSOLIDATED($D$28,$D186),IF(_xll.TM1RPTELLEV($D$28,$D186)&lt;=3,_xll.TM1RPTELLEV($D$28,$D186),"D"),"N")</f>
        <v>N</v>
      </c>
      <c r="B186" t="str">
        <f ca="1">_xll.DBRA(Server&amp;"Management_organization",$D186,$B$27)</f>
        <v>L</v>
      </c>
      <c r="C186">
        <v>1</v>
      </c>
      <c r="D186" s="2" t="s">
        <v>210</v>
      </c>
      <c r="E186" s="26"/>
      <c r="F186" s="26"/>
      <c r="G186" s="16">
        <f ca="1">_xll.DBRW($D$4,$E$7,$E$8,$E$9,$E$10,$E$12,$D186,$E$6,G$18,G$17)</f>
        <v>0.36292792000000018</v>
      </c>
      <c r="H186" s="16">
        <f ca="1">_xll.DBRW($D$4,$E$7,$E$8,$E$9,$E$10,$E$12,$D186,$E$6,H$18,H$17)</f>
        <v>-0.23460032</v>
      </c>
      <c r="I186" s="16">
        <f ca="1">_xll.DBRW($D$4,$E$7,$E$8,$E$9,$E$10,$E$12,$D186,$E$6,I$18,I$17)</f>
        <v>0</v>
      </c>
      <c r="J186" s="26">
        <f ca="1">_xll.DBRW($D$4,$E$7,$E$8,$E$9,$E$10,$E$12,$D186,$E$6,J$18,J$17)</f>
        <v>0</v>
      </c>
      <c r="K186" s="26">
        <f ca="1">_xll.DBRW($D$4,$E$7,$E$8,$E$9,$E$10,$E$12,$D186,$E$6,K$18,K$17)</f>
        <v>0</v>
      </c>
      <c r="L186" s="26">
        <f ca="1">_xll.DBRW($D$4,$E$7,$E$8,$E$9,$E$10,$E$12,$D186,$E$6,L$18,L$17)</f>
        <v>0</v>
      </c>
      <c r="M186" s="26">
        <f ca="1">_xll.DBRW($D$4,$E$7,$E$8,$E$9,$E$10,$E$12,$D186,$E$6,M$18,M$17)</f>
        <v>0</v>
      </c>
      <c r="N186" s="16">
        <f ca="1">_xll.DBRW($D$4,$E$7,$E$8,$E$9,$E$10,$E$12,$D186,$E$6,N$18,N$17)</f>
        <v>0.59752824000000004</v>
      </c>
      <c r="O186" s="16">
        <f ca="1">_xll.DBRW($D$4,$E$7,$E$8,$E$9,$E$10,$E$12,$D186,$E$6,O$18,O$17)</f>
        <v>1.8265996200000003</v>
      </c>
      <c r="P186" s="74">
        <f ca="1">_xll.DBRW($D$4,$E$7,$E$8,$E$9,$E$10,$E$12,$D186,$E$6,P$18,P$17)</f>
        <v>-0.72676034999999994</v>
      </c>
      <c r="Q186" s="16">
        <f ca="1">_xll.DBRW($D$4,$E$7,$E$8,$E$9,$E$10,$E$12,$D186,$E$6,Q$18,Q$17)</f>
        <v>0.3978761092701858</v>
      </c>
      <c r="R186" s="16"/>
      <c r="S186" s="16"/>
      <c r="T186" s="16"/>
      <c r="U186" s="16"/>
      <c r="V186" s="16">
        <f ca="1">_xll.DBRW($D$4,$E$7,$E$8,$E$9,$E$10,$E$12,$D186,$E$6,V$18,V$17)</f>
        <v>-0.10936003</v>
      </c>
      <c r="W186" s="16">
        <f ca="1">_xll.DBRW($D$4,$E$7,$E$8,$E$9,$E$10,$E$12,$D186,$E$6,W$18,W$17)</f>
        <v>5.9870827083605756E-2</v>
      </c>
      <c r="X186" s="16"/>
      <c r="Y186" s="16"/>
      <c r="Z186" s="16"/>
      <c r="AA186" s="16"/>
      <c r="AB186" s="16">
        <f ca="1">_xll.DBRW($D$4,$E$7,$E$8,$E$9,$E$10,$E$12,$D186,$E$6,AB$18,AB$17)</f>
        <v>-0.19212467999999999</v>
      </c>
      <c r="AC186" s="16">
        <f ca="1">_xll.DBRW($D$4,$E$7,$E$8,$E$9,$E$10,$E$12,$D186,$E$6,AC$18,AC$17)</f>
        <v>0.10518160515110583</v>
      </c>
      <c r="AD186" s="16"/>
      <c r="AE186" s="16"/>
      <c r="AF186" s="16"/>
      <c r="AG186" s="16"/>
      <c r="AH186" s="16">
        <f ca="1">_xll.DBRW($D$4,$E$7,$E$8,$E$9,$E$10,$E$12,$D186,$E$6,AH$18,AH$17)</f>
        <v>-0.11164112</v>
      </c>
      <c r="AI186" s="16">
        <f ca="1">_xll.DBRW($D$4,$E$7,$E$8,$E$9,$E$10,$E$12,$D186,$E$6,AI$18,AI$17)</f>
        <v>6.1119644818496119E-2</v>
      </c>
      <c r="AJ186" s="16"/>
      <c r="AK186" s="16"/>
      <c r="AL186" s="16"/>
      <c r="AM186" s="16"/>
      <c r="AN186" s="16">
        <f ca="1">_xll.DBRW($D$4,$E$7,$E$8,$E$9,$E$10,$E$12,$D186,$E$6,AN$18,AN$17)</f>
        <v>-8.9605359999999981E-2</v>
      </c>
      <c r="AO186" s="16">
        <f ca="1">_xll.DBRW($D$4,$E$7,$E$8,$E$9,$E$10,$E$12,$D186,$E$6,AO$18,AO$17)</f>
        <v>4.9055829760875545E-2</v>
      </c>
      <c r="AP186" s="16"/>
      <c r="AQ186" s="16"/>
      <c r="AR186" s="16"/>
      <c r="AS186" s="16"/>
      <c r="AT186" s="16">
        <f ca="1">_xll.DBRW($D$4,$E$7,$E$8,$E$9,$E$10,$E$12,$D186,$E$6,AT$18,AT$17)</f>
        <v>3.4694469519536142E-18</v>
      </c>
      <c r="AU186" s="16">
        <f ca="1">_xll.DBRW($D$4,$E$7,$E$8,$E$9,$E$10,$E$12,$D186,$E$6,AU$18,AU$17)</f>
        <v>0</v>
      </c>
      <c r="AV186" s="16">
        <f ca="1">_xll.DBRW($D$4,$E$7,$E$8,$E$9,$E$10,$E$12,$D186,$E$6,AV$18,AV$17)</f>
        <v>1.1102230246251565E-16</v>
      </c>
      <c r="AW186" s="16">
        <f ca="1">_xll.DBRW($D$4,$E$7,$E$8,$E$9,$E$10,$E$12,$D186,$E$6,AW$18,AW$17)</f>
        <v>0</v>
      </c>
      <c r="AX186" s="16">
        <f ca="1">_xll.DBRW($D$4,$E$7,$E$8,$E$9,$E$10,$E$12,$D186,$E$6,AX$18,AX$17)</f>
        <v>0</v>
      </c>
      <c r="AY186" s="16">
        <f ca="1">_xll.DBRW($D$4,$E$7,$E$8,$E$9,$E$10,$E$12,$D186,$E$6,AY$18,AY$17)</f>
        <v>0</v>
      </c>
      <c r="AZ186" s="16">
        <f ca="1">_xll.DBRW($D$4,$E$7,$E$8,$E$9,$E$10,$E$12,$D186,$E$6,AZ$18,AZ$17)</f>
        <v>0</v>
      </c>
      <c r="BA186" s="16">
        <f ca="1">_xll.DBRW($D$4,$E$7,$E$8,$E$9,$E$10,$E$12,$D186,$E$6,BA$18,BA$17)</f>
        <v>0</v>
      </c>
      <c r="BB186" s="16">
        <f ca="1">_xll.DBRW($D$4,$E$7,$E$8,$E$9,$E$10,$E$12,$D186,$E$6,BB$18,BB$17)</f>
        <v>0</v>
      </c>
      <c r="BC186" s="16">
        <f ca="1">_xll.DBRW($D$4,$E$7,$E$8,$E$9,$E$10,$E$12,$D186,$E$6,BC$18,BC$17)</f>
        <v>0</v>
      </c>
      <c r="BD186" s="16">
        <f ca="1">_xll.DBRW($D$4,$E$7,$E$8,$E$9,$E$10,$E$12,$D186,$E$6,BD$18,BD$17)</f>
        <v>0.34505472000000081</v>
      </c>
      <c r="BE186" s="16">
        <f ca="1">_xll.DBRW($D$4,$E$7,$E$8,$E$9,$E$10,$E$12,$D186,$E$6,BE$18,BE$17)</f>
        <v>-0.22786886000000001</v>
      </c>
      <c r="BF186" s="16">
        <f ca="1">_xll.DBRW($D$4,$E$7,$E$8,$E$9,$E$10,$E$12,$D186,$E$6,BF$18,BF$17)</f>
        <v>0</v>
      </c>
      <c r="BG186" s="26">
        <f ca="1">_xll.DBRW($D$4,$E$7,$E$8,$E$9,$E$10,$E$12,$D186,$E$6,BG$18,BG$17)</f>
        <v>0</v>
      </c>
      <c r="BH186" s="26">
        <f ca="1">_xll.DBRW($D$4,$E$7,$E$8,$E$9,$E$10,$E$12,$D186,$E$6,BH$18,BH$17)</f>
        <v>0</v>
      </c>
      <c r="BI186" s="26">
        <f ca="1">_xll.DBRW($D$4,$E$7,$E$8,$E$9,$E$10,$E$12,$D186,$E$6,BI$18,BI$17)</f>
        <v>0</v>
      </c>
      <c r="BJ186" s="26">
        <f ca="1">_xll.DBRW($D$4,$E$7,$E$8,$E$9,$E$10,$E$12,$D186,$E$6,BJ$18,BJ$17)</f>
        <v>0</v>
      </c>
      <c r="BK186" s="16">
        <f ca="1">_xll.DBRW($D$4,$E$7,$E$8,$E$9,$E$10,$E$12,$D186,$E$6,BK$18,BK$17)</f>
        <v>0.57292358000000065</v>
      </c>
      <c r="BL186" s="16">
        <f ca="1">_xll.DBRW($D$4,$E$7,$E$8,$E$9,$E$10,$E$12,$D186,$E$6,BL$18,BL$17)</f>
        <v>1.8701091300000003</v>
      </c>
      <c r="BM186" s="16">
        <f ca="1">_xll.DBRW($D$4,$E$7,$E$8,$E$9,$E$10,$E$12,$D186,$E$6,BM$18,BM$17)</f>
        <v>-0.81471373000000002</v>
      </c>
      <c r="BN186" s="16">
        <f ca="1">_xll.DBRW($D$4,$E$7,$E$8,$E$9,$E$10,$E$12,$D186,$E$6,BN$18,BN$17)</f>
        <v>0.43565036763389303</v>
      </c>
      <c r="BO186" s="16"/>
      <c r="BP186" s="16"/>
      <c r="BQ186" s="16"/>
      <c r="BR186" s="16"/>
      <c r="BS186" s="16">
        <f ca="1">_xll.DBRW($D$4,$E$7,$E$8,$E$9,$E$10,$E$12,$D186,$E$6,BS$18,BS$17)</f>
        <v>-6.4641499999999991E-2</v>
      </c>
      <c r="BT186" s="16">
        <f ca="1">_xll.DBRW($D$4,$E$7,$E$8,$E$9,$E$10,$E$12,$D186,$E$6,BT$18,BT$17)</f>
        <v>3.4565629867814175E-2</v>
      </c>
      <c r="BU186" s="16"/>
      <c r="BV186" s="16"/>
      <c r="BW186" s="16"/>
      <c r="BX186" s="16"/>
      <c r="BY186" s="16">
        <f ca="1">_xll.DBRW($D$4,$E$7,$E$8,$E$9,$E$10,$E$12,$D186,$E$6,BY$18,BY$17)</f>
        <v>-0.18781366999999999</v>
      </c>
      <c r="BZ186" s="16">
        <f ca="1">_xll.DBRW($D$4,$E$7,$E$8,$E$9,$E$10,$E$12,$D186,$E$6,BZ$18,BZ$17)</f>
        <v>0.1004292567674914</v>
      </c>
      <c r="CA186" s="16"/>
      <c r="CB186" s="16"/>
      <c r="CC186" s="16"/>
      <c r="CD186" s="16"/>
      <c r="CE186" s="16">
        <f ca="1">_xll.DBRW($D$4,$E$7,$E$8,$E$9,$E$10,$E$12,$D186,$E$6,CE$18,CE$17)</f>
        <v>-0.11854999999999997</v>
      </c>
      <c r="CF186" s="16">
        <f ca="1">_xll.DBRW($D$4,$E$7,$E$8,$E$9,$E$10,$E$12,$D186,$E$6,CF$18,CF$17)</f>
        <v>6.3392022475180346E-2</v>
      </c>
      <c r="CG186" s="16"/>
      <c r="CH186" s="16"/>
      <c r="CI186" s="16"/>
      <c r="CJ186" s="16"/>
      <c r="CK186" s="16">
        <f ca="1">_xll.DBRW($D$4,$E$7,$E$8,$E$9,$E$10,$E$12,$D186,$E$6,CK$18,CK$17)</f>
        <v>-0.11180277000000002</v>
      </c>
      <c r="CL186" s="16">
        <f ca="1">_xll.DBRW($D$4,$E$7,$E$8,$E$9,$E$10,$E$12,$D186,$E$6,CL$18,CL$17)</f>
        <v>5.9784088642998071E-2</v>
      </c>
      <c r="CM186" s="16"/>
      <c r="CN186" s="16"/>
      <c r="CO186" s="16"/>
      <c r="CP186" s="16"/>
      <c r="CQ186" s="16">
        <f ca="1">_xll.DBRW($D$4,$E$7,$E$8,$E$9,$E$10,$E$12,$D186,$E$6,CQ$18,CQ$17)</f>
        <v>3.4289945199999998E-2</v>
      </c>
      <c r="CR186" s="16">
        <f ca="1">_xll.DBRW($D$4,$E$7,$E$8,$E$9,$E$10,$E$12,$D186,$E$6,CR$18,CR$17)</f>
        <v>0.88461175000000014</v>
      </c>
      <c r="CS186" s="16">
        <f ca="1">_xll.DBRW($D$4,$E$7,$E$8,$E$9,$E$10,$E$12,$D186,$E$6,CS$18,CS$17)</f>
        <v>0.9369011666999999</v>
      </c>
      <c r="CT186" s="16">
        <f ca="1">_xll.DBRW($D$4,$E$7,$E$8,$E$9,$E$10,$E$12,$D186,$E$6,CT$18,CT$17)</f>
        <v>0.88461175000000014</v>
      </c>
      <c r="CU186" s="16">
        <f ca="1">_xll.DBRW($D$4,$E$7,$E$8,$E$9,$E$10,$E$12,$D186,$E$6,CU$18,CU$17)</f>
        <v>0.21590290779999996</v>
      </c>
      <c r="CV186" s="16">
        <f ca="1">_xll.DBRW($D$4,$E$7,$E$8,$E$9,$E$10,$E$12,$D186,$E$6,CV$18,CV$17)</f>
        <v>0.88461175000000014</v>
      </c>
      <c r="CW186" s="16">
        <f ca="1">_xll.DBRW($D$4,$E$7,$E$8,$E$9,$E$10,$E$12,$D186,$E$6,CW$18,CW$17)</f>
        <v>2.1000000000000002E-5</v>
      </c>
      <c r="CX186" s="16">
        <f ca="1">_xll.DBRW($D$4,$E$7,$E$8,$E$9,$E$10,$E$12,$D186,$E$6,CX$18,CX$17)</f>
        <v>0.88461175000000014</v>
      </c>
      <c r="CY186" s="16">
        <f ca="1">_xll.DBRW($D$4,$E$7,$E$8,$E$9,$E$10,$E$12,$D186,$E$6,CY$18,CY$17)</f>
        <v>0.88461175000000014</v>
      </c>
      <c r="CZ186" s="16">
        <f ca="1">_xll.DBRW($D$4,$E$7,$E$8,$E$9,$E$10,$E$12,$D186,$E$6,CZ$18,CZ$17)</f>
        <v>0.88461175000000014</v>
      </c>
      <c r="DA186" s="26">
        <f t="shared" ca="1" si="127"/>
        <v>1.7873199999999367E-2</v>
      </c>
      <c r="DB186" s="26">
        <f t="shared" ca="1" si="128"/>
        <v>-6.7314599999999947E-3</v>
      </c>
      <c r="DC186" s="26">
        <f t="shared" ca="1" si="129"/>
        <v>0</v>
      </c>
      <c r="DD186" s="26">
        <f t="shared" ca="1" si="130"/>
        <v>0</v>
      </c>
      <c r="DE186" s="26">
        <f t="shared" ca="1" si="131"/>
        <v>0</v>
      </c>
      <c r="DF186" s="26">
        <f t="shared" ca="1" si="132"/>
        <v>0</v>
      </c>
      <c r="DG186" s="26">
        <f t="shared" ca="1" si="133"/>
        <v>0</v>
      </c>
      <c r="DH186" s="26">
        <f t="shared" ca="1" si="134"/>
        <v>2.460465999999939E-2</v>
      </c>
      <c r="DI186" s="26">
        <f t="shared" ca="1" si="135"/>
        <v>-4.3509510000000029E-2</v>
      </c>
      <c r="DJ186" s="26">
        <f t="shared" ca="1" si="136"/>
        <v>8.7953380000000081E-2</v>
      </c>
      <c r="DK186" s="26">
        <f t="shared" ca="1" si="137"/>
        <v>-3.7774258363707236E-2</v>
      </c>
      <c r="DL186" s="26"/>
      <c r="DM186" s="26"/>
      <c r="DN186" s="26"/>
      <c r="DO186" s="26"/>
      <c r="DP186" s="26">
        <f t="shared" ca="1" si="138"/>
        <v>-4.4718530000000006E-2</v>
      </c>
      <c r="DQ186" s="26">
        <f t="shared" ca="1" si="139"/>
        <v>2.5305197215791581E-2</v>
      </c>
      <c r="DR186" s="26"/>
      <c r="DS186" s="26"/>
      <c r="DT186" s="26"/>
      <c r="DU186" s="26"/>
      <c r="DV186" s="26">
        <f t="shared" ca="1" si="140"/>
        <v>-4.311010000000004E-3</v>
      </c>
      <c r="DW186" s="26">
        <f t="shared" ca="1" si="141"/>
        <v>4.7523483836144353E-3</v>
      </c>
      <c r="DX186" s="26"/>
      <c r="DY186" s="26"/>
      <c r="DZ186" s="26"/>
      <c r="EA186" s="26"/>
      <c r="EB186" s="26">
        <f t="shared" ca="1" si="142"/>
        <v>6.9088799999999784E-3</v>
      </c>
      <c r="EC186" s="26">
        <f t="shared" ca="1" si="143"/>
        <v>-2.2723776566842269E-3</v>
      </c>
      <c r="ED186" s="26"/>
      <c r="EE186" s="26"/>
      <c r="EF186" s="26"/>
      <c r="EG186" s="26"/>
      <c r="EH186" s="26">
        <f t="shared" ca="1" si="144"/>
        <v>2.2197410000000042E-2</v>
      </c>
      <c r="EI186" s="29">
        <f t="shared" ca="1" si="145"/>
        <v>-1.0728258882122525E-2</v>
      </c>
      <c r="EJ186" s="29"/>
      <c r="EK186" s="29"/>
      <c r="EL186" s="29"/>
      <c r="EM186" s="29"/>
      <c r="EN186" s="93"/>
      <c r="EO186" s="29"/>
      <c r="EP186" s="29"/>
      <c r="EQ186" s="29"/>
      <c r="ER186" s="29"/>
      <c r="ES186" s="29"/>
      <c r="ET186" s="29"/>
      <c r="EU186" s="93"/>
      <c r="EV186" s="29"/>
      <c r="EW186" s="29"/>
      <c r="EX186" s="29"/>
      <c r="EY186" s="29"/>
      <c r="EZ186" s="29"/>
      <c r="FA186" s="29"/>
      <c r="FB186" s="93"/>
      <c r="FC186" s="29"/>
      <c r="FD186" s="29"/>
      <c r="FE186" s="29"/>
      <c r="FF186" s="29"/>
      <c r="FG186" s="29"/>
      <c r="FH186" s="29"/>
      <c r="FI186" s="93"/>
      <c r="FJ186" s="29"/>
      <c r="FK186" s="29"/>
      <c r="FL186" s="29"/>
      <c r="FM186" s="29"/>
      <c r="FN186" s="29"/>
      <c r="FO186" s="29"/>
      <c r="FP186" s="93"/>
      <c r="FQ186" s="29"/>
      <c r="FR186" s="29"/>
      <c r="FS186" s="29"/>
      <c r="FT186" s="29"/>
      <c r="FU186" s="29"/>
      <c r="FV186" s="29"/>
    </row>
    <row r="187" spans="1:178" x14ac:dyDescent="0.25">
      <c r="A187" t="str">
        <f ca="1">IF(_xll.TM1RPTELISCONSOLIDATED($D$28,$D187),IF(_xll.TM1RPTELLEV($D$28,$D187)&lt;=3,_xll.TM1RPTELLEV($D$28,$D187),"D"),"N")</f>
        <v>N</v>
      </c>
      <c r="B187" t="str">
        <f ca="1">_xll.DBRA(Server&amp;"Management_organization",$D187,$B$27)</f>
        <v>L</v>
      </c>
      <c r="C187">
        <v>1</v>
      </c>
      <c r="D187" s="2" t="s">
        <v>211</v>
      </c>
      <c r="E187" s="26"/>
      <c r="F187" s="26"/>
      <c r="G187" s="16">
        <f ca="1">_xll.DBRW($D$4,$E$7,$E$8,$E$9,$E$10,$E$12,$D187,$E$6,G$18,G$17)</f>
        <v>0.32146753000000039</v>
      </c>
      <c r="H187" s="16">
        <f ca="1">_xll.DBRW($D$4,$E$7,$E$8,$E$9,$E$10,$E$12,$D187,$E$6,H$18,H$17)</f>
        <v>-0.53056488000000002</v>
      </c>
      <c r="I187" s="16">
        <f ca="1">_xll.DBRW($D$4,$E$7,$E$8,$E$9,$E$10,$E$12,$D187,$E$6,I$18,I$17)</f>
        <v>0</v>
      </c>
      <c r="J187" s="26">
        <f ca="1">_xll.DBRW($D$4,$E$7,$E$8,$E$9,$E$10,$E$12,$D187,$E$6,J$18,J$17)</f>
        <v>0</v>
      </c>
      <c r="K187" s="26">
        <f ca="1">_xll.DBRW($D$4,$E$7,$E$8,$E$9,$E$10,$E$12,$D187,$E$6,K$18,K$17)</f>
        <v>0</v>
      </c>
      <c r="L187" s="26">
        <f ca="1">_xll.DBRW($D$4,$E$7,$E$8,$E$9,$E$10,$E$12,$D187,$E$6,L$18,L$17)</f>
        <v>0</v>
      </c>
      <c r="M187" s="26">
        <f ca="1">_xll.DBRW($D$4,$E$7,$E$8,$E$9,$E$10,$E$12,$D187,$E$6,M$18,M$17)</f>
        <v>0</v>
      </c>
      <c r="N187" s="16">
        <f ca="1">_xll.DBRW($D$4,$E$7,$E$8,$E$9,$E$10,$E$12,$D187,$E$6,N$18,N$17)</f>
        <v>0.8520324100000003</v>
      </c>
      <c r="O187" s="16">
        <f ca="1">_xll.DBRW($D$4,$E$7,$E$8,$E$9,$E$10,$E$12,$D187,$E$6,O$18,O$17)</f>
        <v>7.907276780000001</v>
      </c>
      <c r="P187" s="74">
        <f ca="1">_xll.DBRW($D$4,$E$7,$E$8,$E$9,$E$10,$E$12,$D187,$E$6,P$18,P$17)</f>
        <v>-4.0316355799999997</v>
      </c>
      <c r="Q187" s="16">
        <f ca="1">_xll.DBRW($D$4,$E$7,$E$8,$E$9,$E$10,$E$12,$D187,$E$6,Q$18,Q$17)</f>
        <v>0.50986397620446</v>
      </c>
      <c r="R187" s="16"/>
      <c r="S187" s="16"/>
      <c r="T187" s="16"/>
      <c r="U187" s="16"/>
      <c r="V187" s="16">
        <f ca="1">_xll.DBRW($D$4,$E$7,$E$8,$E$9,$E$10,$E$12,$D187,$E$6,V$18,V$17)</f>
        <v>-0.80661512999999996</v>
      </c>
      <c r="W187" s="16">
        <f ca="1">_xll.DBRW($D$4,$E$7,$E$8,$E$9,$E$10,$E$12,$D187,$E$6,W$18,W$17)</f>
        <v>0.10200921915876072</v>
      </c>
      <c r="X187" s="16"/>
      <c r="Y187" s="16"/>
      <c r="Z187" s="16"/>
      <c r="AA187" s="16"/>
      <c r="AB187" s="16">
        <f ca="1">_xll.DBRW($D$4,$E$7,$E$8,$E$9,$E$10,$E$12,$D187,$E$6,AB$18,AB$17)</f>
        <v>-1.0811889100000003</v>
      </c>
      <c r="AC187" s="16">
        <f ca="1">_xll.DBRW($D$4,$E$7,$E$8,$E$9,$E$10,$E$12,$D187,$E$6,AC$18,AC$17)</f>
        <v>0.13673340899545447</v>
      </c>
      <c r="AD187" s="16"/>
      <c r="AE187" s="16"/>
      <c r="AF187" s="16"/>
      <c r="AG187" s="16"/>
      <c r="AH187" s="16">
        <f ca="1">_xll.DBRW($D$4,$E$7,$E$8,$E$9,$E$10,$E$12,$D187,$E$6,AH$18,AH$17)</f>
        <v>-0.61736833999999985</v>
      </c>
      <c r="AI187" s="16">
        <f ca="1">_xll.DBRW($D$4,$E$7,$E$8,$E$9,$E$10,$E$12,$D187,$E$6,AI$18,AI$17)</f>
        <v>7.8075974469683326E-2</v>
      </c>
      <c r="AJ187" s="16"/>
      <c r="AK187" s="16"/>
      <c r="AL187" s="16"/>
      <c r="AM187" s="16"/>
      <c r="AN187" s="16">
        <f ca="1">_xll.DBRW($D$4,$E$7,$E$8,$E$9,$E$10,$E$12,$D187,$E$6,AN$18,AN$17)</f>
        <v>-0.56136969000000003</v>
      </c>
      <c r="AO187" s="16">
        <f ca="1">_xll.DBRW($D$4,$E$7,$E$8,$E$9,$E$10,$E$12,$D187,$E$6,AO$18,AO$17)</f>
        <v>7.0994060992006905E-2</v>
      </c>
      <c r="AP187" s="16"/>
      <c r="AQ187" s="16"/>
      <c r="AR187" s="16"/>
      <c r="AS187" s="16"/>
      <c r="AT187" s="16">
        <f ca="1">_xll.DBRW($D$4,$E$7,$E$8,$E$9,$E$10,$E$12,$D187,$E$6,AT$18,AT$17)</f>
        <v>0</v>
      </c>
      <c r="AU187" s="16">
        <f ca="1">_xll.DBRW($D$4,$E$7,$E$8,$E$9,$E$10,$E$12,$D187,$E$6,AU$18,AU$17)</f>
        <v>0</v>
      </c>
      <c r="AV187" s="16">
        <f ca="1">_xll.DBRW($D$4,$E$7,$E$8,$E$9,$E$10,$E$12,$D187,$E$6,AV$18,AV$17)</f>
        <v>4.4408920985006262E-16</v>
      </c>
      <c r="AW187" s="16">
        <f ca="1">_xll.DBRW($D$4,$E$7,$E$8,$E$9,$E$10,$E$12,$D187,$E$6,AW$18,AW$17)</f>
        <v>0</v>
      </c>
      <c r="AX187" s="16">
        <f ca="1">_xll.DBRW($D$4,$E$7,$E$8,$E$9,$E$10,$E$12,$D187,$E$6,AX$18,AX$17)</f>
        <v>0</v>
      </c>
      <c r="AY187" s="16">
        <f ca="1">_xll.DBRW($D$4,$E$7,$E$8,$E$9,$E$10,$E$12,$D187,$E$6,AY$18,AY$17)</f>
        <v>0</v>
      </c>
      <c r="AZ187" s="16">
        <f ca="1">_xll.DBRW($D$4,$E$7,$E$8,$E$9,$E$10,$E$12,$D187,$E$6,AZ$18,AZ$17)</f>
        <v>0</v>
      </c>
      <c r="BA187" s="16">
        <f ca="1">_xll.DBRW($D$4,$E$7,$E$8,$E$9,$E$10,$E$12,$D187,$E$6,BA$18,BA$17)</f>
        <v>0</v>
      </c>
      <c r="BB187" s="16">
        <f ca="1">_xll.DBRW($D$4,$E$7,$E$8,$E$9,$E$10,$E$12,$D187,$E$6,BB$18,BB$17)</f>
        <v>0</v>
      </c>
      <c r="BC187" s="16">
        <f ca="1">_xll.DBRW($D$4,$E$7,$E$8,$E$9,$E$10,$E$12,$D187,$E$6,BC$18,BC$17)</f>
        <v>0</v>
      </c>
      <c r="BD187" s="16">
        <f ca="1">_xll.DBRW($D$4,$E$7,$E$8,$E$9,$E$10,$E$12,$D187,$E$6,BD$18,BD$17)</f>
        <v>0.65879058000000368</v>
      </c>
      <c r="BE187" s="16">
        <f ca="1">_xll.DBRW($D$4,$E$7,$E$8,$E$9,$E$10,$E$12,$D187,$E$6,BE$18,BE$17)</f>
        <v>-0.57327485999999994</v>
      </c>
      <c r="BF187" s="16">
        <f ca="1">_xll.DBRW($D$4,$E$7,$E$8,$E$9,$E$10,$E$12,$D187,$E$6,BF$18,BF$17)</f>
        <v>0</v>
      </c>
      <c r="BG187" s="26">
        <f ca="1">_xll.DBRW($D$4,$E$7,$E$8,$E$9,$E$10,$E$12,$D187,$E$6,BG$18,BG$17)</f>
        <v>0</v>
      </c>
      <c r="BH187" s="26">
        <f ca="1">_xll.DBRW($D$4,$E$7,$E$8,$E$9,$E$10,$E$12,$D187,$E$6,BH$18,BH$17)</f>
        <v>0</v>
      </c>
      <c r="BI187" s="26">
        <f ca="1">_xll.DBRW($D$4,$E$7,$E$8,$E$9,$E$10,$E$12,$D187,$E$6,BI$18,BI$17)</f>
        <v>0</v>
      </c>
      <c r="BJ187" s="26">
        <f ca="1">_xll.DBRW($D$4,$E$7,$E$8,$E$9,$E$10,$E$12,$D187,$E$6,BJ$18,BJ$17)</f>
        <v>0</v>
      </c>
      <c r="BK187" s="16">
        <f ca="1">_xll.DBRW($D$4,$E$7,$E$8,$E$9,$E$10,$E$12,$D187,$E$6,BK$18,BK$17)</f>
        <v>1.2320654400000037</v>
      </c>
      <c r="BL187" s="16">
        <f ca="1">_xll.DBRW($D$4,$E$7,$E$8,$E$9,$E$10,$E$12,$D187,$E$6,BL$18,BL$17)</f>
        <v>8.5599705400000019</v>
      </c>
      <c r="BM187" s="16">
        <f ca="1">_xll.DBRW($D$4,$E$7,$E$8,$E$9,$E$10,$E$12,$D187,$E$6,BM$18,BM$17)</f>
        <v>-4.11640373</v>
      </c>
      <c r="BN187" s="16">
        <f ca="1">_xll.DBRW($D$4,$E$7,$E$8,$E$9,$E$10,$E$12,$D187,$E$6,BN$18,BN$17)</f>
        <v>0.48088994124038176</v>
      </c>
      <c r="BO187" s="16"/>
      <c r="BP187" s="16"/>
      <c r="BQ187" s="16"/>
      <c r="BR187" s="16"/>
      <c r="BS187" s="16">
        <f ca="1">_xll.DBRW($D$4,$E$7,$E$8,$E$9,$E$10,$E$12,$D187,$E$6,BS$18,BS$17)</f>
        <v>-0.73059987000000004</v>
      </c>
      <c r="BT187" s="16">
        <f ca="1">_xll.DBRW($D$4,$E$7,$E$8,$E$9,$E$10,$E$12,$D187,$E$6,BT$18,BT$17)</f>
        <v>8.5350745844973416E-2</v>
      </c>
      <c r="BU187" s="16"/>
      <c r="BV187" s="16"/>
      <c r="BW187" s="16"/>
      <c r="BX187" s="16"/>
      <c r="BY187" s="16">
        <f ca="1">_xll.DBRW($D$4,$E$7,$E$8,$E$9,$E$10,$E$12,$D187,$E$6,BY$18,BY$17)</f>
        <v>-0.94067066999999993</v>
      </c>
      <c r="BZ187" s="16">
        <f ca="1">_xll.DBRW($D$4,$E$7,$E$8,$E$9,$E$10,$E$12,$D187,$E$6,BZ$18,BZ$17)</f>
        <v>0.10989181161364134</v>
      </c>
      <c r="CA187" s="16"/>
      <c r="CB187" s="16"/>
      <c r="CC187" s="16"/>
      <c r="CD187" s="16"/>
      <c r="CE187" s="16">
        <f ca="1">_xll.DBRW($D$4,$E$7,$E$8,$E$9,$E$10,$E$12,$D187,$E$6,CE$18,CE$17)</f>
        <v>-0.68318226999999998</v>
      </c>
      <c r="CF187" s="16">
        <f ca="1">_xll.DBRW($D$4,$E$7,$E$8,$E$9,$E$10,$E$12,$D187,$E$6,CF$18,CF$17)</f>
        <v>7.9811287528099351E-2</v>
      </c>
      <c r="CG187" s="16"/>
      <c r="CH187" s="16"/>
      <c r="CI187" s="16"/>
      <c r="CJ187" s="16"/>
      <c r="CK187" s="16">
        <f ca="1">_xll.DBRW($D$4,$E$7,$E$8,$E$9,$E$10,$E$12,$D187,$E$6,CK$18,CK$17)</f>
        <v>-0.92121740000000041</v>
      </c>
      <c r="CL187" s="16">
        <f ca="1">_xll.DBRW($D$4,$E$7,$E$8,$E$9,$E$10,$E$12,$D187,$E$6,CL$18,CL$17)</f>
        <v>0.10761922552130655</v>
      </c>
      <c r="CM187" s="16"/>
      <c r="CN187" s="16"/>
      <c r="CO187" s="16"/>
      <c r="CP187" s="16"/>
      <c r="CQ187" s="16">
        <f ca="1">_xll.DBRW($D$4,$E$7,$E$8,$E$9,$E$10,$E$12,$D187,$E$6,CQ$18,CQ$17)</f>
        <v>0.16695880730000001</v>
      </c>
      <c r="CR187" s="16">
        <f ca="1">_xll.DBRW($D$4,$E$7,$E$8,$E$9,$E$10,$E$12,$D187,$E$6,CR$18,CR$17)</f>
        <v>2.4035862579999998</v>
      </c>
      <c r="CS187" s="16">
        <f ca="1">_xll.DBRW($D$4,$E$7,$E$8,$E$9,$E$10,$E$12,$D187,$E$6,CS$18,CS$17)</f>
        <v>2.6030793159999996</v>
      </c>
      <c r="CT187" s="16">
        <f ca="1">_xll.DBRW($D$4,$E$7,$E$8,$E$9,$E$10,$E$12,$D187,$E$6,CT$18,CT$17)</f>
        <v>2.4035862579999998</v>
      </c>
      <c r="CU187" s="16">
        <f ca="1">_xll.DBRW($D$4,$E$7,$E$8,$E$9,$E$10,$E$12,$D187,$E$6,CU$18,CU$17)</f>
        <v>1.1244370400000001</v>
      </c>
      <c r="CV187" s="16">
        <f ca="1">_xll.DBRW($D$4,$E$7,$E$8,$E$9,$E$10,$E$12,$D187,$E$6,CV$18,CV$17)</f>
        <v>2.4035862579999998</v>
      </c>
      <c r="CW187" s="16">
        <f ca="1">_xll.DBRW($D$4,$E$7,$E$8,$E$9,$E$10,$E$12,$D187,$E$6,CW$18,CW$17)</f>
        <v>1.0300000000000001E-4</v>
      </c>
      <c r="CX187" s="16">
        <f ca="1">_xll.DBRW($D$4,$E$7,$E$8,$E$9,$E$10,$E$12,$D187,$E$6,CX$18,CX$17)</f>
        <v>2.4035862579999998</v>
      </c>
      <c r="CY187" s="16">
        <f ca="1">_xll.DBRW($D$4,$E$7,$E$8,$E$9,$E$10,$E$12,$D187,$E$6,CY$18,CY$17)</f>
        <v>2.4035862579999998</v>
      </c>
      <c r="CZ187" s="16">
        <f ca="1">_xll.DBRW($D$4,$E$7,$E$8,$E$9,$E$10,$E$12,$D187,$E$6,CZ$18,CZ$17)</f>
        <v>2.4035862579999998</v>
      </c>
      <c r="DA187" s="26">
        <f t="shared" ca="1" si="127"/>
        <v>-0.33732305000000329</v>
      </c>
      <c r="DB187" s="26">
        <f t="shared" ca="1" si="128"/>
        <v>4.2709979999999925E-2</v>
      </c>
      <c r="DC187" s="26">
        <f t="shared" ca="1" si="129"/>
        <v>0</v>
      </c>
      <c r="DD187" s="26">
        <f t="shared" ca="1" si="130"/>
        <v>0</v>
      </c>
      <c r="DE187" s="26">
        <f t="shared" ca="1" si="131"/>
        <v>0</v>
      </c>
      <c r="DF187" s="26">
        <f t="shared" ca="1" si="132"/>
        <v>0</v>
      </c>
      <c r="DG187" s="26">
        <f t="shared" ca="1" si="133"/>
        <v>0</v>
      </c>
      <c r="DH187" s="26">
        <f t="shared" ca="1" si="134"/>
        <v>-0.38003303000000344</v>
      </c>
      <c r="DI187" s="26">
        <f t="shared" ca="1" si="135"/>
        <v>-0.6526937600000009</v>
      </c>
      <c r="DJ187" s="26">
        <f t="shared" ca="1" si="136"/>
        <v>8.4768150000000375E-2</v>
      </c>
      <c r="DK187" s="26">
        <f t="shared" ca="1" si="137"/>
        <v>2.8974034964078244E-2</v>
      </c>
      <c r="DL187" s="26"/>
      <c r="DM187" s="26"/>
      <c r="DN187" s="26"/>
      <c r="DO187" s="26"/>
      <c r="DP187" s="26">
        <f t="shared" ca="1" si="138"/>
        <v>-7.6015259999999918E-2</v>
      </c>
      <c r="DQ187" s="26">
        <f t="shared" ca="1" si="139"/>
        <v>1.6658473313787309E-2</v>
      </c>
      <c r="DR187" s="26"/>
      <c r="DS187" s="26"/>
      <c r="DT187" s="26"/>
      <c r="DU187" s="26"/>
      <c r="DV187" s="26">
        <f t="shared" ca="1" si="140"/>
        <v>-0.14051824000000035</v>
      </c>
      <c r="DW187" s="26">
        <f t="shared" ca="1" si="141"/>
        <v>2.6841597381813131E-2</v>
      </c>
      <c r="DX187" s="26"/>
      <c r="DY187" s="26"/>
      <c r="DZ187" s="26"/>
      <c r="EA187" s="26"/>
      <c r="EB187" s="26">
        <f t="shared" ca="1" si="142"/>
        <v>6.5813930000000131E-2</v>
      </c>
      <c r="EC187" s="26">
        <f t="shared" ca="1" si="143"/>
        <v>-1.7353130584160242E-3</v>
      </c>
      <c r="ED187" s="26"/>
      <c r="EE187" s="26"/>
      <c r="EF187" s="26"/>
      <c r="EG187" s="26"/>
      <c r="EH187" s="26">
        <f t="shared" ca="1" si="144"/>
        <v>0.35984771000000038</v>
      </c>
      <c r="EI187" s="29">
        <f t="shared" ca="1" si="145"/>
        <v>-3.6625164529299647E-2</v>
      </c>
      <c r="EJ187" s="29"/>
      <c r="EK187" s="29"/>
      <c r="EL187" s="29"/>
      <c r="EM187" s="29"/>
      <c r="EN187" s="93"/>
      <c r="EO187" s="29"/>
      <c r="EP187" s="29"/>
      <c r="EQ187" s="29"/>
      <c r="ER187" s="29"/>
      <c r="ES187" s="29"/>
      <c r="ET187" s="29"/>
      <c r="EU187" s="93"/>
      <c r="EV187" s="29"/>
      <c r="EW187" s="29"/>
      <c r="EX187" s="29"/>
      <c r="EY187" s="29"/>
      <c r="EZ187" s="29"/>
      <c r="FA187" s="29"/>
      <c r="FB187" s="93"/>
      <c r="FC187" s="29"/>
      <c r="FD187" s="29"/>
      <c r="FE187" s="29"/>
      <c r="FF187" s="29"/>
      <c r="FG187" s="29"/>
      <c r="FH187" s="29"/>
      <c r="FI187" s="93"/>
      <c r="FJ187" s="29"/>
      <c r="FK187" s="29"/>
      <c r="FL187" s="29"/>
      <c r="FM187" s="29"/>
      <c r="FN187" s="29"/>
      <c r="FO187" s="29"/>
      <c r="FP187" s="93"/>
      <c r="FQ187" s="29"/>
      <c r="FR187" s="29"/>
      <c r="FS187" s="29"/>
      <c r="FT187" s="29"/>
      <c r="FU187" s="29"/>
      <c r="FV187" s="29"/>
    </row>
    <row r="188" spans="1:178" x14ac:dyDescent="0.25">
      <c r="A188" t="str">
        <f ca="1">IF(_xll.TM1RPTELISCONSOLIDATED($D$28,$D188),IF(_xll.TM1RPTELLEV($D$28,$D188)&lt;=3,_xll.TM1RPTELLEV($D$28,$D188),"D"),"N")</f>
        <v>N</v>
      </c>
      <c r="B188" t="str">
        <f ca="1">_xll.DBRA(Server&amp;"Management_organization",$D188,$B$27)</f>
        <v>L</v>
      </c>
      <c r="C188">
        <v>1</v>
      </c>
      <c r="D188" s="2" t="s">
        <v>212</v>
      </c>
      <c r="E188" s="26"/>
      <c r="F188" s="26"/>
      <c r="G188" s="16">
        <f ca="1">_xll.DBRW($D$4,$E$7,$E$8,$E$9,$E$10,$E$12,$D188,$E$6,G$18,G$17)</f>
        <v>0.53144605999999828</v>
      </c>
      <c r="H188" s="16">
        <f ca="1">_xll.DBRW($D$4,$E$7,$E$8,$E$9,$E$10,$E$12,$D188,$E$6,H$18,H$17)</f>
        <v>-0.4821386700000001</v>
      </c>
      <c r="I188" s="16">
        <f ca="1">_xll.DBRW($D$4,$E$7,$E$8,$E$9,$E$10,$E$12,$D188,$E$6,I$18,I$17)</f>
        <v>0</v>
      </c>
      <c r="J188" s="26">
        <f ca="1">_xll.DBRW($D$4,$E$7,$E$8,$E$9,$E$10,$E$12,$D188,$E$6,J$18,J$17)</f>
        <v>0</v>
      </c>
      <c r="K188" s="26">
        <f ca="1">_xll.DBRW($D$4,$E$7,$E$8,$E$9,$E$10,$E$12,$D188,$E$6,K$18,K$17)</f>
        <v>0</v>
      </c>
      <c r="L188" s="26">
        <f ca="1">_xll.DBRW($D$4,$E$7,$E$8,$E$9,$E$10,$E$12,$D188,$E$6,L$18,L$17)</f>
        <v>0</v>
      </c>
      <c r="M188" s="26">
        <f ca="1">_xll.DBRW($D$4,$E$7,$E$8,$E$9,$E$10,$E$12,$D188,$E$6,M$18,M$17)</f>
        <v>0</v>
      </c>
      <c r="N188" s="16">
        <f ca="1">_xll.DBRW($D$4,$E$7,$E$8,$E$9,$E$10,$E$12,$D188,$E$6,N$18,N$17)</f>
        <v>1.0135847299999985</v>
      </c>
      <c r="O188" s="16">
        <f ca="1">_xll.DBRW($D$4,$E$7,$E$8,$E$9,$E$10,$E$12,$D188,$E$6,O$18,O$17)</f>
        <v>2.562544410000001</v>
      </c>
      <c r="P188" s="74">
        <f ca="1">_xll.DBRW($D$4,$E$7,$E$8,$E$9,$E$10,$E$12,$D188,$E$6,P$18,P$17)</f>
        <v>-0.83417198000000037</v>
      </c>
      <c r="Q188" s="16">
        <f ca="1">_xll.DBRW($D$4,$E$7,$E$8,$E$9,$E$10,$E$12,$D188,$E$6,Q$18,Q$17)</f>
        <v>0.32552488719600375</v>
      </c>
      <c r="R188" s="16"/>
      <c r="S188" s="16"/>
      <c r="T188" s="16"/>
      <c r="U188" s="16"/>
      <c r="V188" s="16">
        <f ca="1">_xll.DBRW($D$4,$E$7,$E$8,$E$9,$E$10,$E$12,$D188,$E$6,V$18,V$17)</f>
        <v>-0.18346433999999998</v>
      </c>
      <c r="W188" s="16">
        <f ca="1">_xll.DBRW($D$4,$E$7,$E$8,$E$9,$E$10,$E$12,$D188,$E$6,W$18,W$17)</f>
        <v>7.1594599213209306E-2</v>
      </c>
      <c r="X188" s="16"/>
      <c r="Y188" s="16"/>
      <c r="Z188" s="16"/>
      <c r="AA188" s="16"/>
      <c r="AB188" s="16">
        <f ca="1">_xll.DBRW($D$4,$E$7,$E$8,$E$9,$E$10,$E$12,$D188,$E$6,AB$18,AB$17)</f>
        <v>-0.16827325000000001</v>
      </c>
      <c r="AC188" s="16">
        <f ca="1">_xll.DBRW($D$4,$E$7,$E$8,$E$9,$E$10,$E$12,$D188,$E$6,AC$18,AC$17)</f>
        <v>6.5666471708094198E-2</v>
      </c>
      <c r="AD188" s="16"/>
      <c r="AE188" s="16"/>
      <c r="AF188" s="16"/>
      <c r="AG188" s="16"/>
      <c r="AH188" s="16">
        <f ca="1">_xll.DBRW($D$4,$E$7,$E$8,$E$9,$E$10,$E$12,$D188,$E$6,AH$18,AH$17)</f>
        <v>-0.32237199999999999</v>
      </c>
      <c r="AI188" s="16">
        <f ca="1">_xll.DBRW($D$4,$E$7,$E$8,$E$9,$E$10,$E$12,$D188,$E$6,AI$18,AI$17)</f>
        <v>0.12580152708455886</v>
      </c>
      <c r="AJ188" s="16"/>
      <c r="AK188" s="16"/>
      <c r="AL188" s="16"/>
      <c r="AM188" s="16"/>
      <c r="AN188" s="16">
        <f ca="1">_xll.DBRW($D$4,$E$7,$E$8,$E$9,$E$10,$E$12,$D188,$E$6,AN$18,AN$17)</f>
        <v>-0.11544810999999999</v>
      </c>
      <c r="AO188" s="16">
        <f ca="1">_xll.DBRW($D$4,$E$7,$E$8,$E$9,$E$10,$E$12,$D188,$E$6,AO$18,AO$17)</f>
        <v>4.5052140189055276E-2</v>
      </c>
      <c r="AP188" s="16"/>
      <c r="AQ188" s="16"/>
      <c r="AR188" s="16"/>
      <c r="AS188" s="16"/>
      <c r="AT188" s="16">
        <f ca="1">_xll.DBRW($D$4,$E$7,$E$8,$E$9,$E$10,$E$12,$D188,$E$6,AT$18,AT$17)</f>
        <v>3.4694469519536142E-18</v>
      </c>
      <c r="AU188" s="16">
        <f ca="1">_xll.DBRW($D$4,$E$7,$E$8,$E$9,$E$10,$E$12,$D188,$E$6,AU$18,AU$17)</f>
        <v>0</v>
      </c>
      <c r="AV188" s="16">
        <f ca="1">_xll.DBRW($D$4,$E$7,$E$8,$E$9,$E$10,$E$12,$D188,$E$6,AV$18,AV$17)</f>
        <v>0</v>
      </c>
      <c r="AW188" s="16">
        <f ca="1">_xll.DBRW($D$4,$E$7,$E$8,$E$9,$E$10,$E$12,$D188,$E$6,AW$18,AW$17)</f>
        <v>0</v>
      </c>
      <c r="AX188" s="16">
        <f ca="1">_xll.DBRW($D$4,$E$7,$E$8,$E$9,$E$10,$E$12,$D188,$E$6,AX$18,AX$17)</f>
        <v>0</v>
      </c>
      <c r="AY188" s="16">
        <f ca="1">_xll.DBRW($D$4,$E$7,$E$8,$E$9,$E$10,$E$12,$D188,$E$6,AY$18,AY$17)</f>
        <v>0</v>
      </c>
      <c r="AZ188" s="16">
        <f ca="1">_xll.DBRW($D$4,$E$7,$E$8,$E$9,$E$10,$E$12,$D188,$E$6,AZ$18,AZ$17)</f>
        <v>0</v>
      </c>
      <c r="BA188" s="16">
        <f ca="1">_xll.DBRW($D$4,$E$7,$E$8,$E$9,$E$10,$E$12,$D188,$E$6,BA$18,BA$17)</f>
        <v>0</v>
      </c>
      <c r="BB188" s="16">
        <f ca="1">_xll.DBRW($D$4,$E$7,$E$8,$E$9,$E$10,$E$12,$D188,$E$6,BB$18,BB$17)</f>
        <v>0</v>
      </c>
      <c r="BC188" s="16">
        <f ca="1">_xll.DBRW($D$4,$E$7,$E$8,$E$9,$E$10,$E$12,$D188,$E$6,BC$18,BC$17)</f>
        <v>0</v>
      </c>
      <c r="BD188" s="16">
        <f ca="1">_xll.DBRW($D$4,$E$7,$E$8,$E$9,$E$10,$E$12,$D188,$E$6,BD$18,BD$17)</f>
        <v>1.0803146200000002</v>
      </c>
      <c r="BE188" s="16">
        <f ca="1">_xll.DBRW($D$4,$E$7,$E$8,$E$9,$E$10,$E$12,$D188,$E$6,BE$18,BE$17)</f>
        <v>-0.42511158999999998</v>
      </c>
      <c r="BF188" s="16">
        <f ca="1">_xll.DBRW($D$4,$E$7,$E$8,$E$9,$E$10,$E$12,$D188,$E$6,BF$18,BF$17)</f>
        <v>0</v>
      </c>
      <c r="BG188" s="26">
        <f ca="1">_xll.DBRW($D$4,$E$7,$E$8,$E$9,$E$10,$E$12,$D188,$E$6,BG$18,BG$17)</f>
        <v>0</v>
      </c>
      <c r="BH188" s="26">
        <f ca="1">_xll.DBRW($D$4,$E$7,$E$8,$E$9,$E$10,$E$12,$D188,$E$6,BH$18,BH$17)</f>
        <v>0</v>
      </c>
      <c r="BI188" s="26">
        <f ca="1">_xll.DBRW($D$4,$E$7,$E$8,$E$9,$E$10,$E$12,$D188,$E$6,BI$18,BI$17)</f>
        <v>0</v>
      </c>
      <c r="BJ188" s="26">
        <f ca="1">_xll.DBRW($D$4,$E$7,$E$8,$E$9,$E$10,$E$12,$D188,$E$6,BJ$18,BJ$17)</f>
        <v>0</v>
      </c>
      <c r="BK188" s="16">
        <f ca="1">_xll.DBRW($D$4,$E$7,$E$8,$E$9,$E$10,$E$12,$D188,$E$6,BK$18,BK$17)</f>
        <v>1.5054262100000002</v>
      </c>
      <c r="BL188" s="16">
        <f ca="1">_xll.DBRW($D$4,$E$7,$E$8,$E$9,$E$10,$E$12,$D188,$E$6,BL$18,BL$17)</f>
        <v>2.5714846799999993</v>
      </c>
      <c r="BM188" s="16">
        <f ca="1">_xll.DBRW($D$4,$E$7,$E$8,$E$9,$E$10,$E$12,$D188,$E$6,BM$18,BM$17)</f>
        <v>-0.54960061000000004</v>
      </c>
      <c r="BN188" s="16">
        <f ca="1">_xll.DBRW($D$4,$E$7,$E$8,$E$9,$E$10,$E$12,$D188,$E$6,BN$18,BN$17)</f>
        <v>0.2137289069908051</v>
      </c>
      <c r="BO188" s="16"/>
      <c r="BP188" s="16"/>
      <c r="BQ188" s="16"/>
      <c r="BR188" s="16"/>
      <c r="BS188" s="16">
        <f ca="1">_xll.DBRW($D$4,$E$7,$E$8,$E$9,$E$10,$E$12,$D188,$E$6,BS$18,BS$17)</f>
        <v>-0.19731048999999995</v>
      </c>
      <c r="BT188" s="16">
        <f ca="1">_xll.DBRW($D$4,$E$7,$E$8,$E$9,$E$10,$E$12,$D188,$E$6,BT$18,BT$17)</f>
        <v>7.6730182969629829E-2</v>
      </c>
      <c r="BU188" s="16"/>
      <c r="BV188" s="16"/>
      <c r="BW188" s="16"/>
      <c r="BX188" s="16"/>
      <c r="BY188" s="16">
        <f ca="1">_xll.DBRW($D$4,$E$7,$E$8,$E$9,$E$10,$E$12,$D188,$E$6,BY$18,BY$17)</f>
        <v>-0.12723793999999997</v>
      </c>
      <c r="BZ188" s="16">
        <f ca="1">_xll.DBRW($D$4,$E$7,$E$8,$E$9,$E$10,$E$12,$D188,$E$6,BZ$18,BZ$17)</f>
        <v>4.9480341450060673E-2</v>
      </c>
      <c r="CA188" s="16"/>
      <c r="CB188" s="16"/>
      <c r="CC188" s="16"/>
      <c r="CD188" s="16"/>
      <c r="CE188" s="16">
        <f ca="1">_xll.DBRW($D$4,$E$7,$E$8,$E$9,$E$10,$E$12,$D188,$E$6,CE$18,CE$17)</f>
        <v>-0.17045649999999996</v>
      </c>
      <c r="CF188" s="16">
        <f ca="1">_xll.DBRW($D$4,$E$7,$E$8,$E$9,$E$10,$E$12,$D188,$E$6,CF$18,CF$17)</f>
        <v>6.6287192502348491E-2</v>
      </c>
      <c r="CG188" s="16"/>
      <c r="CH188" s="16"/>
      <c r="CI188" s="16"/>
      <c r="CJ188" s="16"/>
      <c r="CK188" s="16">
        <f ca="1">_xll.DBRW($D$4,$E$7,$E$8,$E$9,$E$10,$E$12,$D188,$E$6,CK$18,CK$17)</f>
        <v>-0.10886292999999998</v>
      </c>
      <c r="CL188" s="16">
        <f ca="1">_xll.DBRW($D$4,$E$7,$E$8,$E$9,$E$10,$E$12,$D188,$E$6,CL$18,CL$17)</f>
        <v>4.2334660146604496E-2</v>
      </c>
      <c r="CM188" s="16"/>
      <c r="CN188" s="16"/>
      <c r="CO188" s="16"/>
      <c r="CP188" s="16"/>
      <c r="CQ188" s="16">
        <f ca="1">_xll.DBRW($D$4,$E$7,$E$8,$E$9,$E$10,$E$12,$D188,$E$6,CQ$18,CQ$17)</f>
        <v>1.9273802360000002E-2</v>
      </c>
      <c r="CR188" s="16">
        <f ca="1">_xll.DBRW($D$4,$E$7,$E$8,$E$9,$E$10,$E$12,$D188,$E$6,CR$18,CR$17)</f>
        <v>3.4198785890000001</v>
      </c>
      <c r="CS188" s="16">
        <f ca="1">_xll.DBRW($D$4,$E$7,$E$8,$E$9,$E$10,$E$12,$D188,$E$6,CS$18,CS$17)</f>
        <v>0.4892907212999999</v>
      </c>
      <c r="CT188" s="16">
        <f ca="1">_xll.DBRW($D$4,$E$7,$E$8,$E$9,$E$10,$E$12,$D188,$E$6,CT$18,CT$17)</f>
        <v>3.4198785890000001</v>
      </c>
      <c r="CU188" s="16">
        <f ca="1">_xll.DBRW($D$4,$E$7,$E$8,$E$9,$E$10,$E$12,$D188,$E$6,CU$18,CU$17)</f>
        <v>0.1467559018</v>
      </c>
      <c r="CV188" s="16">
        <f ca="1">_xll.DBRW($D$4,$E$7,$E$8,$E$9,$E$10,$E$12,$D188,$E$6,CV$18,CV$17)</f>
        <v>3.4198785890000001</v>
      </c>
      <c r="CW188" s="16">
        <f ca="1">_xll.DBRW($D$4,$E$7,$E$8,$E$9,$E$10,$E$12,$D188,$E$6,CW$18,CW$17)</f>
        <v>1.1E-5</v>
      </c>
      <c r="CX188" s="16">
        <f ca="1">_xll.DBRW($D$4,$E$7,$E$8,$E$9,$E$10,$E$12,$D188,$E$6,CX$18,CX$17)</f>
        <v>3.4198785890000001</v>
      </c>
      <c r="CY188" s="16">
        <f ca="1">_xll.DBRW($D$4,$E$7,$E$8,$E$9,$E$10,$E$12,$D188,$E$6,CY$18,CY$17)</f>
        <v>3.4198785890000001</v>
      </c>
      <c r="CZ188" s="16">
        <f ca="1">_xll.DBRW($D$4,$E$7,$E$8,$E$9,$E$10,$E$12,$D188,$E$6,CZ$18,CZ$17)</f>
        <v>3.4198785890000001</v>
      </c>
      <c r="DA188" s="26">
        <f t="shared" ca="1" si="127"/>
        <v>-0.54886856000000195</v>
      </c>
      <c r="DB188" s="26">
        <f t="shared" ca="1" si="128"/>
        <v>-5.7027080000000119E-2</v>
      </c>
      <c r="DC188" s="26">
        <f t="shared" ca="1" si="129"/>
        <v>0</v>
      </c>
      <c r="DD188" s="26">
        <f t="shared" ca="1" si="130"/>
        <v>0</v>
      </c>
      <c r="DE188" s="26">
        <f t="shared" ca="1" si="131"/>
        <v>0</v>
      </c>
      <c r="DF188" s="26">
        <f t="shared" ca="1" si="132"/>
        <v>0</v>
      </c>
      <c r="DG188" s="26">
        <f t="shared" ca="1" si="133"/>
        <v>0</v>
      </c>
      <c r="DH188" s="26">
        <f t="shared" ca="1" si="134"/>
        <v>-0.49184148000000172</v>
      </c>
      <c r="DI188" s="26">
        <f t="shared" ca="1" si="135"/>
        <v>-8.9402699999983071E-3</v>
      </c>
      <c r="DJ188" s="26">
        <f t="shared" ca="1" si="136"/>
        <v>-0.28457137000000032</v>
      </c>
      <c r="DK188" s="26">
        <f t="shared" ca="1" si="137"/>
        <v>0.11179598020519865</v>
      </c>
      <c r="DL188" s="26"/>
      <c r="DM188" s="26"/>
      <c r="DN188" s="26"/>
      <c r="DO188" s="26"/>
      <c r="DP188" s="26">
        <f t="shared" ca="1" si="138"/>
        <v>1.3846149999999974E-2</v>
      </c>
      <c r="DQ188" s="26">
        <f t="shared" ca="1" si="139"/>
        <v>-5.1355837564205226E-3</v>
      </c>
      <c r="DR188" s="26"/>
      <c r="DS188" s="26"/>
      <c r="DT188" s="26"/>
      <c r="DU188" s="26"/>
      <c r="DV188" s="26">
        <f t="shared" ca="1" si="140"/>
        <v>-4.1035310000000047E-2</v>
      </c>
      <c r="DW188" s="26">
        <f t="shared" ca="1" si="141"/>
        <v>1.6186130258033525E-2</v>
      </c>
      <c r="DX188" s="26"/>
      <c r="DY188" s="26"/>
      <c r="DZ188" s="26"/>
      <c r="EA188" s="26"/>
      <c r="EB188" s="26">
        <f t="shared" ca="1" si="142"/>
        <v>-0.15191550000000004</v>
      </c>
      <c r="EC188" s="26">
        <f t="shared" ca="1" si="143"/>
        <v>5.9514334582210365E-2</v>
      </c>
      <c r="ED188" s="26"/>
      <c r="EE188" s="26"/>
      <c r="EF188" s="26"/>
      <c r="EG188" s="26"/>
      <c r="EH188" s="26">
        <f t="shared" ca="1" si="144"/>
        <v>-6.5851800000000099E-3</v>
      </c>
      <c r="EI188" s="29">
        <f t="shared" ca="1" si="145"/>
        <v>2.7174800424507803E-3</v>
      </c>
      <c r="EJ188" s="29"/>
      <c r="EK188" s="29"/>
      <c r="EL188" s="29"/>
      <c r="EM188" s="29"/>
      <c r="EN188" s="93"/>
      <c r="EO188" s="29"/>
      <c r="EP188" s="29"/>
      <c r="EQ188" s="29"/>
      <c r="ER188" s="29"/>
      <c r="ES188" s="29"/>
      <c r="ET188" s="29"/>
      <c r="EU188" s="93"/>
      <c r="EV188" s="29"/>
      <c r="EW188" s="29"/>
      <c r="EX188" s="29"/>
      <c r="EY188" s="29"/>
      <c r="EZ188" s="29"/>
      <c r="FA188" s="29"/>
      <c r="FB188" s="93"/>
      <c r="FC188" s="29"/>
      <c r="FD188" s="29"/>
      <c r="FE188" s="29"/>
      <c r="FF188" s="29"/>
      <c r="FG188" s="29"/>
      <c r="FH188" s="29"/>
      <c r="FI188" s="93"/>
      <c r="FJ188" s="29"/>
      <c r="FK188" s="29"/>
      <c r="FL188" s="29"/>
      <c r="FM188" s="29"/>
      <c r="FN188" s="29"/>
      <c r="FO188" s="29"/>
      <c r="FP188" s="93"/>
      <c r="FQ188" s="29"/>
      <c r="FR188" s="29"/>
      <c r="FS188" s="29"/>
      <c r="FT188" s="29"/>
      <c r="FU188" s="29"/>
      <c r="FV188" s="29"/>
    </row>
    <row r="189" spans="1:178" x14ac:dyDescent="0.25">
      <c r="A189" t="str">
        <f ca="1">IF(_xll.TM1RPTELISCONSOLIDATED($D$28,$D189),IF(_xll.TM1RPTELLEV($D$28,$D189)&lt;=3,_xll.TM1RPTELLEV($D$28,$D189),"D"),"N")</f>
        <v>N</v>
      </c>
      <c r="B189" t="str">
        <f ca="1">_xll.DBRA(Server&amp;"Management_organization",$D189,$B$27)</f>
        <v>L</v>
      </c>
      <c r="C189">
        <v>1</v>
      </c>
      <c r="D189" s="2" t="s">
        <v>298</v>
      </c>
      <c r="E189" s="26"/>
      <c r="F189" s="26"/>
      <c r="G189" s="16">
        <f ca="1">_xll.DBRW($D$4,$E$7,$E$8,$E$9,$E$10,$E$12,$D189,$E$6,G$18,G$17)</f>
        <v>0.10847009999999992</v>
      </c>
      <c r="H189" s="16">
        <f ca="1">_xll.DBRW($D$4,$E$7,$E$8,$E$9,$E$10,$E$12,$D189,$E$6,H$18,H$17)</f>
        <v>-2.3326420000000004E-2</v>
      </c>
      <c r="I189" s="16">
        <f ca="1">_xll.DBRW($D$4,$E$7,$E$8,$E$9,$E$10,$E$12,$D189,$E$6,I$18,I$17)</f>
        <v>0</v>
      </c>
      <c r="J189" s="26">
        <f ca="1">_xll.DBRW($D$4,$E$7,$E$8,$E$9,$E$10,$E$12,$D189,$E$6,J$18,J$17)</f>
        <v>0</v>
      </c>
      <c r="K189" s="26">
        <f ca="1">_xll.DBRW($D$4,$E$7,$E$8,$E$9,$E$10,$E$12,$D189,$E$6,K$18,K$17)</f>
        <v>0</v>
      </c>
      <c r="L189" s="26">
        <f ca="1">_xll.DBRW($D$4,$E$7,$E$8,$E$9,$E$10,$E$12,$D189,$E$6,L$18,L$17)</f>
        <v>0</v>
      </c>
      <c r="M189" s="26">
        <f ca="1">_xll.DBRW($D$4,$E$7,$E$8,$E$9,$E$10,$E$12,$D189,$E$6,M$18,M$17)</f>
        <v>0</v>
      </c>
      <c r="N189" s="16">
        <f ca="1">_xll.DBRW($D$4,$E$7,$E$8,$E$9,$E$10,$E$12,$D189,$E$6,N$18,N$17)</f>
        <v>0.13179651999999992</v>
      </c>
      <c r="O189" s="16">
        <f ca="1">_xll.DBRW($D$4,$E$7,$E$8,$E$9,$E$10,$E$12,$D189,$E$6,O$18,O$17)</f>
        <v>0.56188877999999998</v>
      </c>
      <c r="P189" s="74">
        <f ca="1">_xll.DBRW($D$4,$E$7,$E$8,$E$9,$E$10,$E$12,$D189,$E$6,P$18,P$17)</f>
        <v>-0.20542505999999999</v>
      </c>
      <c r="Q189" s="16">
        <f ca="1">_xll.DBRW($D$4,$E$7,$E$8,$E$9,$E$10,$E$12,$D189,$E$6,Q$18,Q$17)</f>
        <v>0.36559736964315254</v>
      </c>
      <c r="R189" s="16"/>
      <c r="S189" s="16"/>
      <c r="T189" s="16"/>
      <c r="U189" s="16"/>
      <c r="V189" s="16">
        <f ca="1">_xll.DBRW($D$4,$E$7,$E$8,$E$9,$E$10,$E$12,$D189,$E$6,V$18,V$17)</f>
        <v>0</v>
      </c>
      <c r="W189" s="16">
        <f ca="1">_xll.DBRW($D$4,$E$7,$E$8,$E$9,$E$10,$E$12,$D189,$E$6,W$18,W$17)</f>
        <v>0</v>
      </c>
      <c r="X189" s="16"/>
      <c r="Y189" s="16"/>
      <c r="Z189" s="16"/>
      <c r="AA189" s="16"/>
      <c r="AB189" s="16">
        <f ca="1">_xll.DBRW($D$4,$E$7,$E$8,$E$9,$E$10,$E$12,$D189,$E$6,AB$18,AB$17)</f>
        <v>-0.16114167000000001</v>
      </c>
      <c r="AC189" s="16">
        <f ca="1">_xll.DBRW($D$4,$E$7,$E$8,$E$9,$E$10,$E$12,$D189,$E$6,AC$18,AC$17)</f>
        <v>0.28678570517104829</v>
      </c>
      <c r="AD189" s="16"/>
      <c r="AE189" s="16"/>
      <c r="AF189" s="16"/>
      <c r="AG189" s="16"/>
      <c r="AH189" s="16">
        <f ca="1">_xll.DBRW($D$4,$E$7,$E$8,$E$9,$E$10,$E$12,$D189,$E$6,AH$18,AH$17)</f>
        <v>-6.1149999999999996E-2</v>
      </c>
      <c r="AI189" s="16">
        <f ca="1">_xll.DBRW($D$4,$E$7,$E$8,$E$9,$E$10,$E$12,$D189,$E$6,AI$18,AI$17)</f>
        <v>0.10882936655186458</v>
      </c>
      <c r="AJ189" s="16"/>
      <c r="AK189" s="16"/>
      <c r="AL189" s="16"/>
      <c r="AM189" s="16"/>
      <c r="AN189" s="16">
        <f ca="1">_xll.DBRW($D$4,$E$7,$E$8,$E$9,$E$10,$E$12,$D189,$E$6,AN$18,AN$17)</f>
        <v>-2.3755299999999994E-3</v>
      </c>
      <c r="AO189" s="16">
        <f ca="1">_xll.DBRW($D$4,$E$7,$E$8,$E$9,$E$10,$E$12,$D189,$E$6,AO$18,AO$17)</f>
        <v>4.2277583830736031E-3</v>
      </c>
      <c r="AP189" s="16"/>
      <c r="AQ189" s="16"/>
      <c r="AR189" s="16"/>
      <c r="AS189" s="16"/>
      <c r="AT189" s="16">
        <f ca="1">_xll.DBRW($D$4,$E$7,$E$8,$E$9,$E$10,$E$12,$D189,$E$6,AT$18,AT$17)</f>
        <v>-1.7347234759768071E-18</v>
      </c>
      <c r="AU189" s="16">
        <f ca="1">_xll.DBRW($D$4,$E$7,$E$8,$E$9,$E$10,$E$12,$D189,$E$6,AU$18,AU$17)</f>
        <v>0</v>
      </c>
      <c r="AV189" s="16">
        <f ca="1">_xll.DBRW($D$4,$E$7,$E$8,$E$9,$E$10,$E$12,$D189,$E$6,AV$18,AV$17)</f>
        <v>0</v>
      </c>
      <c r="AW189" s="16">
        <f ca="1">_xll.DBRW($D$4,$E$7,$E$8,$E$9,$E$10,$E$12,$D189,$E$6,AW$18,AW$17)</f>
        <v>0</v>
      </c>
      <c r="AX189" s="16">
        <f ca="1">_xll.DBRW($D$4,$E$7,$E$8,$E$9,$E$10,$E$12,$D189,$E$6,AX$18,AX$17)</f>
        <v>0</v>
      </c>
      <c r="AY189" s="16">
        <f ca="1">_xll.DBRW($D$4,$E$7,$E$8,$E$9,$E$10,$E$12,$D189,$E$6,AY$18,AY$17)</f>
        <v>0</v>
      </c>
      <c r="AZ189" s="16" t="str">
        <f ca="1">_xll.DBRW($D$4,$E$7,$E$8,$E$9,$E$10,$E$12,$D189,$E$6,AZ$18,AZ$17)</f>
        <v/>
      </c>
      <c r="BA189" s="16">
        <f ca="1">_xll.DBRW($D$4,$E$7,$E$8,$E$9,$E$10,$E$12,$D189,$E$6,BA$18,BA$17)</f>
        <v>0</v>
      </c>
      <c r="BB189" s="16">
        <f ca="1">_xll.DBRW($D$4,$E$7,$E$8,$E$9,$E$10,$E$12,$D189,$E$6,BB$18,BB$17)</f>
        <v>0</v>
      </c>
      <c r="BC189" s="16">
        <f ca="1">_xll.DBRW($D$4,$E$7,$E$8,$E$9,$E$10,$E$12,$D189,$E$6,BC$18,BC$17)</f>
        <v>0</v>
      </c>
      <c r="BD189" s="16">
        <f ca="1">_xll.DBRW($D$4,$E$7,$E$8,$E$9,$E$10,$E$12,$D189,$E$6,BD$18,BD$17)</f>
        <v>0.12582255999999992</v>
      </c>
      <c r="BE189" s="16">
        <f ca="1">_xll.DBRW($D$4,$E$7,$E$8,$E$9,$E$10,$E$12,$D189,$E$6,BE$18,BE$17)</f>
        <v>-2.5533070000000005E-2</v>
      </c>
      <c r="BF189" s="16">
        <f ca="1">_xll.DBRW($D$4,$E$7,$E$8,$E$9,$E$10,$E$12,$D189,$E$6,BF$18,BF$17)</f>
        <v>0</v>
      </c>
      <c r="BG189" s="26">
        <f ca="1">_xll.DBRW($D$4,$E$7,$E$8,$E$9,$E$10,$E$12,$D189,$E$6,BG$18,BG$17)</f>
        <v>0</v>
      </c>
      <c r="BH189" s="26">
        <f ca="1">_xll.DBRW($D$4,$E$7,$E$8,$E$9,$E$10,$E$12,$D189,$E$6,BH$18,BH$17)</f>
        <v>0</v>
      </c>
      <c r="BI189" s="26">
        <f ca="1">_xll.DBRW($D$4,$E$7,$E$8,$E$9,$E$10,$E$12,$D189,$E$6,BI$18,BI$17)</f>
        <v>0</v>
      </c>
      <c r="BJ189" s="26">
        <f ca="1">_xll.DBRW($D$4,$E$7,$E$8,$E$9,$E$10,$E$12,$D189,$E$6,BJ$18,BJ$17)</f>
        <v>0</v>
      </c>
      <c r="BK189" s="16">
        <f ca="1">_xll.DBRW($D$4,$E$7,$E$8,$E$9,$E$10,$E$12,$D189,$E$6,BK$18,BK$17)</f>
        <v>0.15135562999999991</v>
      </c>
      <c r="BL189" s="16">
        <f ca="1">_xll.DBRW($D$4,$E$7,$E$8,$E$9,$E$10,$E$12,$D189,$E$6,BL$18,BL$17)</f>
        <v>0.621506</v>
      </c>
      <c r="BM189" s="16">
        <f ca="1">_xll.DBRW($D$4,$E$7,$E$8,$E$9,$E$10,$E$12,$D189,$E$6,BM$18,BM$17)</f>
        <v>-0.28381535000000002</v>
      </c>
      <c r="BN189" s="16">
        <f ca="1">_xll.DBRW($D$4,$E$7,$E$8,$E$9,$E$10,$E$12,$D189,$E$6,BN$18,BN$17)</f>
        <v>0.45665745785237799</v>
      </c>
      <c r="BO189" s="16"/>
      <c r="BP189" s="16"/>
      <c r="BQ189" s="16"/>
      <c r="BR189" s="16"/>
      <c r="BS189" s="16">
        <f ca="1">_xll.DBRW($D$4,$E$7,$E$8,$E$9,$E$10,$E$12,$D189,$E$6,BS$18,BS$17)</f>
        <v>0</v>
      </c>
      <c r="BT189" s="16">
        <f ca="1">_xll.DBRW($D$4,$E$7,$E$8,$E$9,$E$10,$E$12,$D189,$E$6,BT$18,BT$17)</f>
        <v>0</v>
      </c>
      <c r="BU189" s="16"/>
      <c r="BV189" s="16"/>
      <c r="BW189" s="16"/>
      <c r="BX189" s="16"/>
      <c r="BY189" s="16">
        <f ca="1">_xll.DBRW($D$4,$E$7,$E$8,$E$9,$E$10,$E$12,$D189,$E$6,BY$18,BY$17)</f>
        <v>-0.11614335000000001</v>
      </c>
      <c r="BZ189" s="16">
        <f ca="1">_xll.DBRW($D$4,$E$7,$E$8,$E$9,$E$10,$E$12,$D189,$E$6,BZ$18,BZ$17)</f>
        <v>0.1868740607492124</v>
      </c>
      <c r="CA189" s="16"/>
      <c r="CB189" s="16"/>
      <c r="CC189" s="16"/>
      <c r="CD189" s="16"/>
      <c r="CE189" s="16">
        <f ca="1">_xll.DBRW($D$4,$E$7,$E$8,$E$9,$E$10,$E$12,$D189,$E$6,CE$18,CE$17)</f>
        <v>-6.7499999999999991E-2</v>
      </c>
      <c r="CF189" s="16">
        <f ca="1">_xll.DBRW($D$4,$E$7,$E$8,$E$9,$E$10,$E$12,$D189,$E$6,CF$18,CF$17)</f>
        <v>0.10860715745302538</v>
      </c>
      <c r="CG189" s="16"/>
      <c r="CH189" s="16"/>
      <c r="CI189" s="16"/>
      <c r="CJ189" s="16"/>
      <c r="CK189" s="16">
        <f ca="1">_xll.DBRW($D$4,$E$7,$E$8,$E$9,$E$10,$E$12,$D189,$E$6,CK$18,CK$17)</f>
        <v>-2.6916699999999997E-3</v>
      </c>
      <c r="CL189" s="16">
        <f ca="1">_xll.DBRW($D$4,$E$7,$E$8,$E$9,$E$10,$E$12,$D189,$E$6,CL$18,CL$17)</f>
        <v>4.3308833703938491E-3</v>
      </c>
      <c r="CM189" s="16"/>
      <c r="CN189" s="16"/>
      <c r="CO189" s="16"/>
      <c r="CP189" s="16"/>
      <c r="CQ189" s="16">
        <f ca="1">_xll.DBRW($D$4,$E$7,$E$8,$E$9,$E$10,$E$12,$D189,$E$6,CQ$18,CQ$17)</f>
        <v>1.5035149119999999E-2</v>
      </c>
      <c r="CR189" s="16">
        <f ca="1">_xll.DBRW($D$4,$E$7,$E$8,$E$9,$E$10,$E$12,$D189,$E$6,CR$18,CR$17)</f>
        <v>0.37780233329999996</v>
      </c>
      <c r="CS189" s="16">
        <f ca="1">_xll.DBRW($D$4,$E$7,$E$8,$E$9,$E$10,$E$12,$D189,$E$6,CS$18,CS$17)</f>
        <v>0.41218900250000001</v>
      </c>
      <c r="CT189" s="16">
        <f ca="1">_xll.DBRW($D$4,$E$7,$E$8,$E$9,$E$10,$E$12,$D189,$E$6,CT$18,CT$17)</f>
        <v>0.37780233329999996</v>
      </c>
      <c r="CU189" s="16">
        <f ca="1">_xll.DBRW($D$4,$E$7,$E$8,$E$9,$E$10,$E$12,$D189,$E$6,CU$18,CU$17)</f>
        <v>0.14014426090000001</v>
      </c>
      <c r="CV189" s="16">
        <f ca="1">_xll.DBRW($D$4,$E$7,$E$8,$E$9,$E$10,$E$12,$D189,$E$6,CV$18,CV$17)</f>
        <v>0.37780233329999996</v>
      </c>
      <c r="CW189" s="16" t="str">
        <f ca="1">_xll.DBRW($D$4,$E$7,$E$8,$E$9,$E$10,$E$12,$D189,$E$6,CW$18,CW$17)</f>
        <v/>
      </c>
      <c r="CX189" s="16">
        <f ca="1">_xll.DBRW($D$4,$E$7,$E$8,$E$9,$E$10,$E$12,$D189,$E$6,CX$18,CX$17)</f>
        <v>0.37780233329999996</v>
      </c>
      <c r="CY189" s="16">
        <f ca="1">_xll.DBRW($D$4,$E$7,$E$8,$E$9,$E$10,$E$12,$D189,$E$6,CY$18,CY$17)</f>
        <v>0.37780233329999996</v>
      </c>
      <c r="CZ189" s="16">
        <f ca="1">_xll.DBRW($D$4,$E$7,$E$8,$E$9,$E$10,$E$12,$D189,$E$6,CZ$18,CZ$17)</f>
        <v>0.37780233329999996</v>
      </c>
      <c r="DA189" s="26">
        <f t="shared" ca="1" si="127"/>
        <v>-1.735246E-2</v>
      </c>
      <c r="DB189" s="26">
        <f t="shared" ca="1" si="128"/>
        <v>2.206650000000001E-3</v>
      </c>
      <c r="DC189" s="26">
        <f t="shared" ca="1" si="129"/>
        <v>0</v>
      </c>
      <c r="DD189" s="26">
        <f t="shared" ca="1" si="130"/>
        <v>0</v>
      </c>
      <c r="DE189" s="26">
        <f t="shared" ca="1" si="131"/>
        <v>0</v>
      </c>
      <c r="DF189" s="26">
        <f t="shared" ca="1" si="132"/>
        <v>0</v>
      </c>
      <c r="DG189" s="26">
        <f t="shared" ca="1" si="133"/>
        <v>0</v>
      </c>
      <c r="DH189" s="26">
        <f t="shared" ca="1" si="134"/>
        <v>-1.9559109999999991E-2</v>
      </c>
      <c r="DI189" s="26">
        <f t="shared" ca="1" si="135"/>
        <v>-5.9617220000000026E-2</v>
      </c>
      <c r="DJ189" s="26">
        <f t="shared" ca="1" si="136"/>
        <v>7.8390290000000029E-2</v>
      </c>
      <c r="DK189" s="26">
        <f t="shared" ca="1" si="137"/>
        <v>-9.1060088209225454E-2</v>
      </c>
      <c r="DL189" s="26"/>
      <c r="DM189" s="26"/>
      <c r="DN189" s="26"/>
      <c r="DO189" s="26"/>
      <c r="DP189" s="26">
        <f t="shared" ca="1" si="138"/>
        <v>0</v>
      </c>
      <c r="DQ189" s="26">
        <f t="shared" ca="1" si="139"/>
        <v>0</v>
      </c>
      <c r="DR189" s="26"/>
      <c r="DS189" s="26"/>
      <c r="DT189" s="26"/>
      <c r="DU189" s="26"/>
      <c r="DV189" s="26">
        <f t="shared" ca="1" si="140"/>
        <v>-4.4998320000000008E-2</v>
      </c>
      <c r="DW189" s="26">
        <f t="shared" ca="1" si="141"/>
        <v>9.9911644421835893E-2</v>
      </c>
      <c r="DX189" s="26"/>
      <c r="DY189" s="26"/>
      <c r="DZ189" s="26"/>
      <c r="EA189" s="26"/>
      <c r="EB189" s="26">
        <f t="shared" ca="1" si="142"/>
        <v>6.3499999999999945E-3</v>
      </c>
      <c r="EC189" s="26">
        <f t="shared" ca="1" si="143"/>
        <v>2.222090988392017E-4</v>
      </c>
      <c r="ED189" s="26"/>
      <c r="EE189" s="26"/>
      <c r="EF189" s="26"/>
      <c r="EG189" s="26"/>
      <c r="EH189" s="26">
        <f t="shared" ca="1" si="144"/>
        <v>3.1614000000000034E-4</v>
      </c>
      <c r="EI189" s="29">
        <f t="shared" ca="1" si="145"/>
        <v>-1.0312498732024597E-4</v>
      </c>
      <c r="EJ189" s="29"/>
      <c r="EK189" s="29"/>
      <c r="EL189" s="29"/>
      <c r="EM189" s="29"/>
      <c r="EN189" s="93"/>
      <c r="EO189" s="29"/>
      <c r="EP189" s="29"/>
      <c r="EQ189" s="29"/>
      <c r="ER189" s="29"/>
      <c r="ES189" s="29"/>
      <c r="ET189" s="29"/>
      <c r="EU189" s="93"/>
      <c r="EV189" s="29"/>
      <c r="EW189" s="29"/>
      <c r="EX189" s="29"/>
      <c r="EY189" s="29"/>
      <c r="EZ189" s="29"/>
      <c r="FA189" s="29"/>
      <c r="FB189" s="93"/>
      <c r="FC189" s="29"/>
      <c r="FD189" s="29"/>
      <c r="FE189" s="29"/>
      <c r="FF189" s="29"/>
      <c r="FG189" s="29"/>
      <c r="FH189" s="29"/>
      <c r="FI189" s="93"/>
      <c r="FJ189" s="29"/>
      <c r="FK189" s="29"/>
      <c r="FL189" s="29"/>
      <c r="FM189" s="29"/>
      <c r="FN189" s="29"/>
      <c r="FO189" s="29"/>
      <c r="FP189" s="93"/>
      <c r="FQ189" s="29"/>
      <c r="FR189" s="29"/>
      <c r="FS189" s="29"/>
      <c r="FT189" s="29"/>
      <c r="FU189" s="29"/>
      <c r="FV189" s="29"/>
    </row>
    <row r="190" spans="1:178" x14ac:dyDescent="0.25">
      <c r="A190" t="str">
        <f ca="1">IF(_xll.TM1RPTELISCONSOLIDATED($D$28,$D190),IF(_xll.TM1RPTELLEV($D$28,$D190)&lt;=3,_xll.TM1RPTELLEV($D$28,$D190),"D"),"N")</f>
        <v>N</v>
      </c>
      <c r="B190" t="str">
        <f ca="1">_xll.DBRA(Server&amp;"Management_organization",$D190,$B$27)</f>
        <v>L</v>
      </c>
      <c r="C190">
        <v>1</v>
      </c>
      <c r="D190" s="2" t="s">
        <v>213</v>
      </c>
      <c r="E190" s="26"/>
      <c r="F190" s="26"/>
      <c r="G190" s="16">
        <f ca="1">_xll.DBRW($D$4,$E$7,$E$8,$E$9,$E$10,$E$12,$D190,$E$6,G$18,G$17)</f>
        <v>-0.34843414000000039</v>
      </c>
      <c r="H190" s="16">
        <f ca="1">_xll.DBRW($D$4,$E$7,$E$8,$E$9,$E$10,$E$12,$D190,$E$6,H$18,H$17)</f>
        <v>-0.13605200000000001</v>
      </c>
      <c r="I190" s="16">
        <f ca="1">_xll.DBRW($D$4,$E$7,$E$8,$E$9,$E$10,$E$12,$D190,$E$6,I$18,I$17)</f>
        <v>0</v>
      </c>
      <c r="J190" s="26">
        <f ca="1">_xll.DBRW($D$4,$E$7,$E$8,$E$9,$E$10,$E$12,$D190,$E$6,J$18,J$17)</f>
        <v>0</v>
      </c>
      <c r="K190" s="26">
        <f ca="1">_xll.DBRW($D$4,$E$7,$E$8,$E$9,$E$10,$E$12,$D190,$E$6,K$18,K$17)</f>
        <v>0</v>
      </c>
      <c r="L190" s="26">
        <f ca="1">_xll.DBRW($D$4,$E$7,$E$8,$E$9,$E$10,$E$12,$D190,$E$6,L$18,L$17)</f>
        <v>0</v>
      </c>
      <c r="M190" s="26">
        <f ca="1">_xll.DBRW($D$4,$E$7,$E$8,$E$9,$E$10,$E$12,$D190,$E$6,M$18,M$17)</f>
        <v>0</v>
      </c>
      <c r="N190" s="16">
        <f ca="1">_xll.DBRW($D$4,$E$7,$E$8,$E$9,$E$10,$E$12,$D190,$E$6,N$18,N$17)</f>
        <v>-0.21238214000000041</v>
      </c>
      <c r="O190" s="16">
        <f ca="1">_xll.DBRW($D$4,$E$7,$E$8,$E$9,$E$10,$E$12,$D190,$E$6,O$18,O$17)</f>
        <v>6.0740975899999992</v>
      </c>
      <c r="P190" s="74">
        <f ca="1">_xll.DBRW($D$4,$E$7,$E$8,$E$9,$E$10,$E$12,$D190,$E$6,P$18,P$17)</f>
        <v>-3.8154943399999999</v>
      </c>
      <c r="Q190" s="16">
        <f ca="1">_xll.DBRW($D$4,$E$7,$E$8,$E$9,$E$10,$E$12,$D190,$E$6,Q$18,Q$17)</f>
        <v>0.62815822160670953</v>
      </c>
      <c r="R190" s="16"/>
      <c r="S190" s="16"/>
      <c r="T190" s="16"/>
      <c r="U190" s="16"/>
      <c r="V190" s="16">
        <f ca="1">_xll.DBRW($D$4,$E$7,$E$8,$E$9,$E$10,$E$12,$D190,$E$6,V$18,V$17)</f>
        <v>-0.9125079399999998</v>
      </c>
      <c r="W190" s="16">
        <f ca="1">_xll.DBRW($D$4,$E$7,$E$8,$E$9,$E$10,$E$12,$D190,$E$6,W$18,W$17)</f>
        <v>0.15022938411498257</v>
      </c>
      <c r="X190" s="16"/>
      <c r="Y190" s="16"/>
      <c r="Z190" s="16"/>
      <c r="AA190" s="16"/>
      <c r="AB190" s="16">
        <f ca="1">_xll.DBRW($D$4,$E$7,$E$8,$E$9,$E$10,$E$12,$D190,$E$6,AB$18,AB$17)</f>
        <v>-0.99473743999999997</v>
      </c>
      <c r="AC190" s="16">
        <f ca="1">_xll.DBRW($D$4,$E$7,$E$8,$E$9,$E$10,$E$12,$D190,$E$6,AC$18,AC$17)</f>
        <v>0.16376711523991172</v>
      </c>
      <c r="AD190" s="16"/>
      <c r="AE190" s="16"/>
      <c r="AF190" s="16"/>
      <c r="AG190" s="16"/>
      <c r="AH190" s="16">
        <f ca="1">_xll.DBRW($D$4,$E$7,$E$8,$E$9,$E$10,$E$12,$D190,$E$6,AH$18,AH$17)</f>
        <v>-0.54747787999999997</v>
      </c>
      <c r="AI190" s="16">
        <f ca="1">_xll.DBRW($D$4,$E$7,$E$8,$E$9,$E$10,$E$12,$D190,$E$6,AI$18,AI$17)</f>
        <v>9.0133204461734714E-2</v>
      </c>
      <c r="AJ190" s="16"/>
      <c r="AK190" s="16"/>
      <c r="AL190" s="16"/>
      <c r="AM190" s="16"/>
      <c r="AN190" s="16">
        <f ca="1">_xll.DBRW($D$4,$E$7,$E$8,$E$9,$E$10,$E$12,$D190,$E$6,AN$18,AN$17)</f>
        <v>-4.0841409999999988E-2</v>
      </c>
      <c r="AO190" s="16">
        <f ca="1">_xll.DBRW($D$4,$E$7,$E$8,$E$9,$E$10,$E$12,$D190,$E$6,AO$18,AO$17)</f>
        <v>6.7238646391257588E-3</v>
      </c>
      <c r="AP190" s="16"/>
      <c r="AQ190" s="16"/>
      <c r="AR190" s="16"/>
      <c r="AS190" s="16"/>
      <c r="AT190" s="16">
        <f ca="1">_xll.DBRW($D$4,$E$7,$E$8,$E$9,$E$10,$E$12,$D190,$E$6,AT$18,AT$17)</f>
        <v>2.7755575615628914E-17</v>
      </c>
      <c r="AU190" s="16">
        <f ca="1">_xll.DBRW($D$4,$E$7,$E$8,$E$9,$E$10,$E$12,$D190,$E$6,AU$18,AU$17)</f>
        <v>-2.2204460492503131E-16</v>
      </c>
      <c r="AV190" s="16">
        <f ca="1">_xll.DBRW($D$4,$E$7,$E$8,$E$9,$E$10,$E$12,$D190,$E$6,AV$18,AV$17)</f>
        <v>0</v>
      </c>
      <c r="AW190" s="16">
        <f ca="1">_xll.DBRW($D$4,$E$7,$E$8,$E$9,$E$10,$E$12,$D190,$E$6,AW$18,AW$17)</f>
        <v>-2.2204460492503131E-16</v>
      </c>
      <c r="AX190" s="16">
        <f ca="1">_xll.DBRW($D$4,$E$7,$E$8,$E$9,$E$10,$E$12,$D190,$E$6,AX$18,AX$17)</f>
        <v>-1.1102230246251565E-16</v>
      </c>
      <c r="AY190" s="16">
        <f ca="1">_xll.DBRW($D$4,$E$7,$E$8,$E$9,$E$10,$E$12,$D190,$E$6,AY$18,AY$17)</f>
        <v>-2.2204460492503131E-16</v>
      </c>
      <c r="AZ190" s="16">
        <f ca="1">_xll.DBRW($D$4,$E$7,$E$8,$E$9,$E$10,$E$12,$D190,$E$6,AZ$18,AZ$17)</f>
        <v>0</v>
      </c>
      <c r="BA190" s="16">
        <f ca="1">_xll.DBRW($D$4,$E$7,$E$8,$E$9,$E$10,$E$12,$D190,$E$6,BA$18,BA$17)</f>
        <v>-2.2204460492503131E-16</v>
      </c>
      <c r="BB190" s="16">
        <f ca="1">_xll.DBRW($D$4,$E$7,$E$8,$E$9,$E$10,$E$12,$D190,$E$6,BB$18,BB$17)</f>
        <v>-2.2204460492503131E-16</v>
      </c>
      <c r="BC190" s="16">
        <f ca="1">_xll.DBRW($D$4,$E$7,$E$8,$E$9,$E$10,$E$12,$D190,$E$6,BC$18,BC$17)</f>
        <v>-2.2204460492503131E-16</v>
      </c>
      <c r="BD190" s="16">
        <f ca="1">_xll.DBRW($D$4,$E$7,$E$8,$E$9,$E$10,$E$12,$D190,$E$6,BD$18,BD$17)</f>
        <v>0.49407517000000017</v>
      </c>
      <c r="BE190" s="16">
        <f ca="1">_xll.DBRW($D$4,$E$7,$E$8,$E$9,$E$10,$E$12,$D190,$E$6,BE$18,BE$17)</f>
        <v>-0.11470145999999999</v>
      </c>
      <c r="BF190" s="16">
        <f ca="1">_xll.DBRW($D$4,$E$7,$E$8,$E$9,$E$10,$E$12,$D190,$E$6,BF$18,BF$17)</f>
        <v>0</v>
      </c>
      <c r="BG190" s="26">
        <f ca="1">_xll.DBRW($D$4,$E$7,$E$8,$E$9,$E$10,$E$12,$D190,$E$6,BG$18,BG$17)</f>
        <v>0</v>
      </c>
      <c r="BH190" s="26">
        <f ca="1">_xll.DBRW($D$4,$E$7,$E$8,$E$9,$E$10,$E$12,$D190,$E$6,BH$18,BH$17)</f>
        <v>0</v>
      </c>
      <c r="BI190" s="26">
        <f ca="1">_xll.DBRW($D$4,$E$7,$E$8,$E$9,$E$10,$E$12,$D190,$E$6,BI$18,BI$17)</f>
        <v>0</v>
      </c>
      <c r="BJ190" s="26">
        <f ca="1">_xll.DBRW($D$4,$E$7,$E$8,$E$9,$E$10,$E$12,$D190,$E$6,BJ$18,BJ$17)</f>
        <v>0</v>
      </c>
      <c r="BK190" s="16">
        <f ca="1">_xll.DBRW($D$4,$E$7,$E$8,$E$9,$E$10,$E$12,$D190,$E$6,BK$18,BK$17)</f>
        <v>0.60877663000000026</v>
      </c>
      <c r="BL190" s="16">
        <f ca="1">_xll.DBRW($D$4,$E$7,$E$8,$E$9,$E$10,$E$12,$D190,$E$6,BL$18,BL$17)</f>
        <v>6.7071338300000001</v>
      </c>
      <c r="BM190" s="16">
        <f ca="1">_xll.DBRW($D$4,$E$7,$E$8,$E$9,$E$10,$E$12,$D190,$E$6,BM$18,BM$17)</f>
        <v>-3.8292070499999999</v>
      </c>
      <c r="BN190" s="16">
        <f ca="1">_xll.DBRW($D$4,$E$7,$E$8,$E$9,$E$10,$E$12,$D190,$E$6,BN$18,BN$17)</f>
        <v>0.57091555753256829</v>
      </c>
      <c r="BO190" s="16"/>
      <c r="BP190" s="16"/>
      <c r="BQ190" s="16"/>
      <c r="BR190" s="16"/>
      <c r="BS190" s="16">
        <f ca="1">_xll.DBRW($D$4,$E$7,$E$8,$E$9,$E$10,$E$12,$D190,$E$6,BS$18,BS$17)</f>
        <v>-0.69978333999999998</v>
      </c>
      <c r="BT190" s="16">
        <f ca="1">_xll.DBRW($D$4,$E$7,$E$8,$E$9,$E$10,$E$12,$D190,$E$6,BT$18,BT$17)</f>
        <v>0.10433418472581753</v>
      </c>
      <c r="BU190" s="16"/>
      <c r="BV190" s="16"/>
      <c r="BW190" s="16"/>
      <c r="BX190" s="16"/>
      <c r="BY190" s="16">
        <f ca="1">_xll.DBRW($D$4,$E$7,$E$8,$E$9,$E$10,$E$12,$D190,$E$6,BY$18,BY$17)</f>
        <v>-0.92312230999999989</v>
      </c>
      <c r="BZ190" s="16">
        <f ca="1">_xll.DBRW($D$4,$E$7,$E$8,$E$9,$E$10,$E$12,$D190,$E$6,BZ$18,BZ$17)</f>
        <v>0.13763290451593685</v>
      </c>
      <c r="CA190" s="16"/>
      <c r="CB190" s="16"/>
      <c r="CC190" s="16"/>
      <c r="CD190" s="16"/>
      <c r="CE190" s="16">
        <f ca="1">_xll.DBRW($D$4,$E$7,$E$8,$E$9,$E$10,$E$12,$D190,$E$6,CE$18,CE$17)</f>
        <v>-0.52633351000000006</v>
      </c>
      <c r="CF190" s="16">
        <f ca="1">_xll.DBRW($D$4,$E$7,$E$8,$E$9,$E$10,$E$12,$D190,$E$6,CF$18,CF$17)</f>
        <v>7.8473685383433009E-2</v>
      </c>
      <c r="CG190" s="16"/>
      <c r="CH190" s="16"/>
      <c r="CI190" s="16"/>
      <c r="CJ190" s="16"/>
      <c r="CK190" s="16">
        <f ca="1">_xll.DBRW($D$4,$E$7,$E$8,$E$9,$E$10,$E$12,$D190,$E$6,CK$18,CK$17)</f>
        <v>-0.15291099000000002</v>
      </c>
      <c r="CL190" s="16">
        <f ca="1">_xll.DBRW($D$4,$E$7,$E$8,$E$9,$E$10,$E$12,$D190,$E$6,CL$18,CL$17)</f>
        <v>2.2798261355104051E-2</v>
      </c>
      <c r="CM190" s="16"/>
      <c r="CN190" s="16"/>
      <c r="CO190" s="16"/>
      <c r="CP190" s="16"/>
      <c r="CQ190" s="16">
        <f ca="1">_xll.DBRW($D$4,$E$7,$E$8,$E$9,$E$10,$E$12,$D190,$E$6,CQ$18,CQ$17)</f>
        <v>0.18268138279999996</v>
      </c>
      <c r="CR190" s="16">
        <f ca="1">_xll.DBRW($D$4,$E$7,$E$8,$E$9,$E$10,$E$12,$D190,$E$6,CR$18,CR$17)</f>
        <v>2.4151330189999998</v>
      </c>
      <c r="CS190" s="16">
        <f ca="1">_xll.DBRW($D$4,$E$7,$E$8,$E$9,$E$10,$E$12,$D190,$E$6,CS$18,CS$17)</f>
        <v>2.5630916669999997</v>
      </c>
      <c r="CT190" s="16">
        <f ca="1">_xll.DBRW($D$4,$E$7,$E$8,$E$9,$E$10,$E$12,$D190,$E$6,CT$18,CT$17)</f>
        <v>2.4151330189999998</v>
      </c>
      <c r="CU190" s="16">
        <f ca="1">_xll.DBRW($D$4,$E$7,$E$8,$E$9,$E$10,$E$12,$D190,$E$6,CU$18,CU$17)</f>
        <v>1.0486082780000001</v>
      </c>
      <c r="CV190" s="16">
        <f ca="1">_xll.DBRW($D$4,$E$7,$E$8,$E$9,$E$10,$E$12,$D190,$E$6,CV$18,CV$17)</f>
        <v>2.4151330189999998</v>
      </c>
      <c r="CW190" s="16">
        <f ca="1">_xll.DBRW($D$4,$E$7,$E$8,$E$9,$E$10,$E$12,$D190,$E$6,CW$18,CW$17)</f>
        <v>3.6999999999999998E-5</v>
      </c>
      <c r="CX190" s="16">
        <f ca="1">_xll.DBRW($D$4,$E$7,$E$8,$E$9,$E$10,$E$12,$D190,$E$6,CX$18,CX$17)</f>
        <v>2.4151330189999998</v>
      </c>
      <c r="CY190" s="16">
        <f ca="1">_xll.DBRW($D$4,$E$7,$E$8,$E$9,$E$10,$E$12,$D190,$E$6,CY$18,CY$17)</f>
        <v>2.4151330189999998</v>
      </c>
      <c r="CZ190" s="16">
        <f ca="1">_xll.DBRW($D$4,$E$7,$E$8,$E$9,$E$10,$E$12,$D190,$E$6,CZ$18,CZ$17)</f>
        <v>2.4151330189999998</v>
      </c>
      <c r="DA190" s="26">
        <f t="shared" ca="1" si="127"/>
        <v>-0.84250931000000051</v>
      </c>
      <c r="DB190" s="26">
        <f t="shared" ca="1" si="128"/>
        <v>-2.1350540000000015E-2</v>
      </c>
      <c r="DC190" s="26">
        <f t="shared" ca="1" si="129"/>
        <v>0</v>
      </c>
      <c r="DD190" s="26">
        <f t="shared" ca="1" si="130"/>
        <v>0</v>
      </c>
      <c r="DE190" s="26">
        <f t="shared" ca="1" si="131"/>
        <v>0</v>
      </c>
      <c r="DF190" s="26">
        <f t="shared" ca="1" si="132"/>
        <v>0</v>
      </c>
      <c r="DG190" s="26">
        <f t="shared" ca="1" si="133"/>
        <v>0</v>
      </c>
      <c r="DH190" s="26">
        <f t="shared" ca="1" si="134"/>
        <v>-0.8211587700000007</v>
      </c>
      <c r="DI190" s="26">
        <f t="shared" ca="1" si="135"/>
        <v>-0.63303624000000092</v>
      </c>
      <c r="DJ190" s="26">
        <f t="shared" ca="1" si="136"/>
        <v>1.3712710000000072E-2</v>
      </c>
      <c r="DK190" s="26">
        <f t="shared" ca="1" si="137"/>
        <v>5.7242664074141247E-2</v>
      </c>
      <c r="DL190" s="26"/>
      <c r="DM190" s="26"/>
      <c r="DN190" s="26"/>
      <c r="DO190" s="26"/>
      <c r="DP190" s="26">
        <f t="shared" ca="1" si="138"/>
        <v>-0.21272459999999982</v>
      </c>
      <c r="DQ190" s="26">
        <f t="shared" ca="1" si="139"/>
        <v>4.5895199389165045E-2</v>
      </c>
      <c r="DR190" s="26"/>
      <c r="DS190" s="26"/>
      <c r="DT190" s="26"/>
      <c r="DU190" s="26"/>
      <c r="DV190" s="26">
        <f t="shared" ca="1" si="140"/>
        <v>-7.1615130000000082E-2</v>
      </c>
      <c r="DW190" s="26">
        <f t="shared" ca="1" si="141"/>
        <v>2.6134210723974871E-2</v>
      </c>
      <c r="DX190" s="26"/>
      <c r="DY190" s="26"/>
      <c r="DZ190" s="26"/>
      <c r="EA190" s="26"/>
      <c r="EB190" s="26">
        <f t="shared" ca="1" si="142"/>
        <v>-2.1144369999999912E-2</v>
      </c>
      <c r="EC190" s="26">
        <f t="shared" ca="1" si="143"/>
        <v>1.1659519078301706E-2</v>
      </c>
      <c r="ED190" s="26"/>
      <c r="EE190" s="26"/>
      <c r="EF190" s="26"/>
      <c r="EG190" s="26"/>
      <c r="EH190" s="26">
        <f t="shared" ca="1" si="144"/>
        <v>0.11206958000000003</v>
      </c>
      <c r="EI190" s="29">
        <f t="shared" ca="1" si="145"/>
        <v>-1.6074396715978292E-2</v>
      </c>
      <c r="EJ190" s="29"/>
      <c r="EK190" s="29"/>
      <c r="EL190" s="29"/>
      <c r="EM190" s="29"/>
      <c r="EN190" s="93"/>
      <c r="EO190" s="29"/>
      <c r="EP190" s="29"/>
      <c r="EQ190" s="29"/>
      <c r="ER190" s="29"/>
      <c r="ES190" s="29"/>
      <c r="ET190" s="29"/>
      <c r="EU190" s="93"/>
      <c r="EV190" s="29"/>
      <c r="EW190" s="29"/>
      <c r="EX190" s="29"/>
      <c r="EY190" s="29"/>
      <c r="EZ190" s="29"/>
      <c r="FA190" s="29"/>
      <c r="FB190" s="93"/>
      <c r="FC190" s="29"/>
      <c r="FD190" s="29"/>
      <c r="FE190" s="29"/>
      <c r="FF190" s="29"/>
      <c r="FG190" s="29"/>
      <c r="FH190" s="29"/>
      <c r="FI190" s="93"/>
      <c r="FJ190" s="29"/>
      <c r="FK190" s="29"/>
      <c r="FL190" s="29"/>
      <c r="FM190" s="29"/>
      <c r="FN190" s="29"/>
      <c r="FO190" s="29"/>
      <c r="FP190" s="93"/>
      <c r="FQ190" s="29"/>
      <c r="FR190" s="29"/>
      <c r="FS190" s="29"/>
      <c r="FT190" s="29"/>
      <c r="FU190" s="29"/>
      <c r="FV190" s="29"/>
    </row>
    <row r="191" spans="1:178" x14ac:dyDescent="0.25">
      <c r="A191" t="str">
        <f ca="1">IF(_xll.TM1RPTELISCONSOLIDATED($D$28,$D191),IF(_xll.TM1RPTELLEV($D$28,$D191)&lt;=3,_xll.TM1RPTELLEV($D$28,$D191),"D"),"N")</f>
        <v>N</v>
      </c>
      <c r="B191" t="str">
        <f ca="1">_xll.DBRA(Server&amp;"Management_organization",$D191,$B$27)</f>
        <v>L</v>
      </c>
      <c r="C191">
        <v>1</v>
      </c>
      <c r="D191" s="2" t="s">
        <v>347</v>
      </c>
      <c r="E191" s="26"/>
      <c r="F191" s="26"/>
      <c r="G191" s="16">
        <f ca="1">_xll.DBRW($D$4,$E$7,$E$8,$E$9,$E$10,$E$12,$D191,$E$6,G$18,G$17)</f>
        <v>9.273761999999991E-2</v>
      </c>
      <c r="H191" s="16">
        <f ca="1">_xll.DBRW($D$4,$E$7,$E$8,$E$9,$E$10,$E$12,$D191,$E$6,H$18,H$17)</f>
        <v>-0.13750602000000001</v>
      </c>
      <c r="I191" s="16">
        <f ca="1">_xll.DBRW($D$4,$E$7,$E$8,$E$9,$E$10,$E$12,$D191,$E$6,I$18,I$17)</f>
        <v>0</v>
      </c>
      <c r="J191" s="26">
        <f ca="1">_xll.DBRW($D$4,$E$7,$E$8,$E$9,$E$10,$E$12,$D191,$E$6,J$18,J$17)</f>
        <v>0</v>
      </c>
      <c r="K191" s="26">
        <f ca="1">_xll.DBRW($D$4,$E$7,$E$8,$E$9,$E$10,$E$12,$D191,$E$6,K$18,K$17)</f>
        <v>0</v>
      </c>
      <c r="L191" s="26">
        <f ca="1">_xll.DBRW($D$4,$E$7,$E$8,$E$9,$E$10,$E$12,$D191,$E$6,L$18,L$17)</f>
        <v>0</v>
      </c>
      <c r="M191" s="26">
        <f ca="1">_xll.DBRW($D$4,$E$7,$E$8,$E$9,$E$10,$E$12,$D191,$E$6,M$18,M$17)</f>
        <v>0</v>
      </c>
      <c r="N191" s="16">
        <f ca="1">_xll.DBRW($D$4,$E$7,$E$8,$E$9,$E$10,$E$12,$D191,$E$6,N$18,N$17)</f>
        <v>0.23024363999999992</v>
      </c>
      <c r="O191" s="16">
        <f ca="1">_xll.DBRW($D$4,$E$7,$E$8,$E$9,$E$10,$E$12,$D191,$E$6,O$18,O$17)</f>
        <v>1.3212358100000001</v>
      </c>
      <c r="P191" s="74">
        <f ca="1">_xll.DBRW($D$4,$E$7,$E$8,$E$9,$E$10,$E$12,$D191,$E$6,P$18,P$17)</f>
        <v>-0.53982983000000007</v>
      </c>
      <c r="Q191" s="16">
        <f ca="1">_xll.DBRW($D$4,$E$7,$E$8,$E$9,$E$10,$E$12,$D191,$E$6,Q$18,Q$17)</f>
        <v>0.40857947227452157</v>
      </c>
      <c r="R191" s="16"/>
      <c r="S191" s="16"/>
      <c r="T191" s="16"/>
      <c r="U191" s="16"/>
      <c r="V191" s="16">
        <f ca="1">_xll.DBRW($D$4,$E$7,$E$8,$E$9,$E$10,$E$12,$D191,$E$6,V$18,V$17)</f>
        <v>-0.16222054</v>
      </c>
      <c r="W191" s="16">
        <f ca="1">_xll.DBRW($D$4,$E$7,$E$8,$E$9,$E$10,$E$12,$D191,$E$6,W$18,W$17)</f>
        <v>0.12277939999219366</v>
      </c>
      <c r="X191" s="16"/>
      <c r="Y191" s="16"/>
      <c r="Z191" s="16"/>
      <c r="AA191" s="16"/>
      <c r="AB191" s="16">
        <f ca="1">_xll.DBRW($D$4,$E$7,$E$8,$E$9,$E$10,$E$12,$D191,$E$6,AB$18,AB$17)</f>
        <v>-0.10702718</v>
      </c>
      <c r="AC191" s="16">
        <f ca="1">_xll.DBRW($D$4,$E$7,$E$8,$E$9,$E$10,$E$12,$D191,$E$6,AC$18,AC$17)</f>
        <v>8.1005358157829513E-2</v>
      </c>
      <c r="AD191" s="16"/>
      <c r="AE191" s="16"/>
      <c r="AF191" s="16"/>
      <c r="AG191" s="16"/>
      <c r="AH191" s="16">
        <f ca="1">_xll.DBRW($D$4,$E$7,$E$8,$E$9,$E$10,$E$12,$D191,$E$6,AH$18,AH$17)</f>
        <v>-0.24013838000000001</v>
      </c>
      <c r="AI191" s="16">
        <f ca="1">_xll.DBRW($D$4,$E$7,$E$8,$E$9,$E$10,$E$12,$D191,$E$6,AI$18,AI$17)</f>
        <v>0.18175285454910581</v>
      </c>
      <c r="AJ191" s="16"/>
      <c r="AK191" s="16"/>
      <c r="AL191" s="16"/>
      <c r="AM191" s="16"/>
      <c r="AN191" s="16">
        <f ca="1">_xll.DBRW($D$4,$E$7,$E$8,$E$9,$E$10,$E$12,$D191,$E$6,AN$18,AN$17)</f>
        <v>-7.0159840000000001E-2</v>
      </c>
      <c r="AO191" s="16">
        <f ca="1">_xll.DBRW($D$4,$E$7,$E$8,$E$9,$E$10,$E$12,$D191,$E$6,AO$18,AO$17)</f>
        <v>5.3101679101476972E-2</v>
      </c>
      <c r="AP191" s="16"/>
      <c r="AQ191" s="16"/>
      <c r="AR191" s="16"/>
      <c r="AS191" s="16"/>
      <c r="AT191" s="16">
        <f ca="1">_xll.DBRW($D$4,$E$7,$E$8,$E$9,$E$10,$E$12,$D191,$E$6,AT$18,AT$17)</f>
        <v>-3.4694469519536142E-18</v>
      </c>
      <c r="AU191" s="16">
        <f ca="1">_xll.DBRW($D$4,$E$7,$E$8,$E$9,$E$10,$E$12,$D191,$E$6,AU$18,AU$17)</f>
        <v>0</v>
      </c>
      <c r="AV191" s="16">
        <f ca="1">_xll.DBRW($D$4,$E$7,$E$8,$E$9,$E$10,$E$12,$D191,$E$6,AV$18,AV$17)</f>
        <v>0</v>
      </c>
      <c r="AW191" s="16">
        <f ca="1">_xll.DBRW($D$4,$E$7,$E$8,$E$9,$E$10,$E$12,$D191,$E$6,AW$18,AW$17)</f>
        <v>0</v>
      </c>
      <c r="AX191" s="16">
        <f ca="1">_xll.DBRW($D$4,$E$7,$E$8,$E$9,$E$10,$E$12,$D191,$E$6,AX$18,AX$17)</f>
        <v>0</v>
      </c>
      <c r="AY191" s="16">
        <f ca="1">_xll.DBRW($D$4,$E$7,$E$8,$E$9,$E$10,$E$12,$D191,$E$6,AY$18,AY$17)</f>
        <v>0</v>
      </c>
      <c r="AZ191" s="16">
        <f ca="1">_xll.DBRW($D$4,$E$7,$E$8,$E$9,$E$10,$E$12,$D191,$E$6,AZ$18,AZ$17)</f>
        <v>0</v>
      </c>
      <c r="BA191" s="16">
        <f ca="1">_xll.DBRW($D$4,$E$7,$E$8,$E$9,$E$10,$E$12,$D191,$E$6,BA$18,BA$17)</f>
        <v>0</v>
      </c>
      <c r="BB191" s="16">
        <f ca="1">_xll.DBRW($D$4,$E$7,$E$8,$E$9,$E$10,$E$12,$D191,$E$6,BB$18,BB$17)</f>
        <v>0</v>
      </c>
      <c r="BC191" s="16">
        <f ca="1">_xll.DBRW($D$4,$E$7,$E$8,$E$9,$E$10,$E$12,$D191,$E$6,BC$18,BC$17)</f>
        <v>0</v>
      </c>
      <c r="BD191" s="16">
        <f ca="1">_xll.DBRW($D$4,$E$7,$E$8,$E$9,$E$10,$E$12,$D191,$E$6,BD$18,BD$17)</f>
        <v>0.17640190000000011</v>
      </c>
      <c r="BE191" s="16">
        <f ca="1">_xll.DBRW($D$4,$E$7,$E$8,$E$9,$E$10,$E$12,$D191,$E$6,BE$18,BE$17)</f>
        <v>-0.15504598999999997</v>
      </c>
      <c r="BF191" s="16">
        <f ca="1">_xll.DBRW($D$4,$E$7,$E$8,$E$9,$E$10,$E$12,$D191,$E$6,BF$18,BF$17)</f>
        <v>0</v>
      </c>
      <c r="BG191" s="26">
        <f ca="1">_xll.DBRW($D$4,$E$7,$E$8,$E$9,$E$10,$E$12,$D191,$E$6,BG$18,BG$17)</f>
        <v>0</v>
      </c>
      <c r="BH191" s="26">
        <f ca="1">_xll.DBRW($D$4,$E$7,$E$8,$E$9,$E$10,$E$12,$D191,$E$6,BH$18,BH$17)</f>
        <v>0</v>
      </c>
      <c r="BI191" s="26">
        <f ca="1">_xll.DBRW($D$4,$E$7,$E$8,$E$9,$E$10,$E$12,$D191,$E$6,BI$18,BI$17)</f>
        <v>0</v>
      </c>
      <c r="BJ191" s="26">
        <f ca="1">_xll.DBRW($D$4,$E$7,$E$8,$E$9,$E$10,$E$12,$D191,$E$6,BJ$18,BJ$17)</f>
        <v>0</v>
      </c>
      <c r="BK191" s="16">
        <f ca="1">_xll.DBRW($D$4,$E$7,$E$8,$E$9,$E$10,$E$12,$D191,$E$6,BK$18,BK$17)</f>
        <v>0.33144789000000002</v>
      </c>
      <c r="BL191" s="16">
        <f ca="1">_xll.DBRW($D$4,$E$7,$E$8,$E$9,$E$10,$E$12,$D191,$E$6,BL$18,BL$17)</f>
        <v>1.43937979</v>
      </c>
      <c r="BM191" s="16">
        <f ca="1">_xll.DBRW($D$4,$E$7,$E$8,$E$9,$E$10,$E$12,$D191,$E$6,BM$18,BM$17)</f>
        <v>-0.58626221999999995</v>
      </c>
      <c r="BN191" s="16">
        <f ca="1">_xll.DBRW($D$4,$E$7,$E$8,$E$9,$E$10,$E$12,$D191,$E$6,BN$18,BN$17)</f>
        <v>0.40730196718963235</v>
      </c>
      <c r="BO191" s="16"/>
      <c r="BP191" s="16"/>
      <c r="BQ191" s="16"/>
      <c r="BR191" s="16"/>
      <c r="BS191" s="16">
        <f ca="1">_xll.DBRW($D$4,$E$7,$E$8,$E$9,$E$10,$E$12,$D191,$E$6,BS$18,BS$17)</f>
        <v>-0.14228486000000001</v>
      </c>
      <c r="BT191" s="16">
        <f ca="1">_xll.DBRW($D$4,$E$7,$E$8,$E$9,$E$10,$E$12,$D191,$E$6,BT$18,BT$17)</f>
        <v>9.885150603649924E-2</v>
      </c>
      <c r="BU191" s="16"/>
      <c r="BV191" s="16"/>
      <c r="BW191" s="16"/>
      <c r="BX191" s="16"/>
      <c r="BY191" s="16">
        <f ca="1">_xll.DBRW($D$4,$E$7,$E$8,$E$9,$E$10,$E$12,$D191,$E$6,BY$18,BY$17)</f>
        <v>-0.11348975</v>
      </c>
      <c r="BZ191" s="16">
        <f ca="1">_xll.DBRW($D$4,$E$7,$E$8,$E$9,$E$10,$E$12,$D191,$E$6,BZ$18,BZ$17)</f>
        <v>7.884628559360278E-2</v>
      </c>
      <c r="CA191" s="16"/>
      <c r="CB191" s="16"/>
      <c r="CC191" s="16"/>
      <c r="CD191" s="16"/>
      <c r="CE191" s="16">
        <f ca="1">_xll.DBRW($D$4,$E$7,$E$8,$E$9,$E$10,$E$12,$D191,$E$6,CE$18,CE$17)</f>
        <v>-0.24597263999999996</v>
      </c>
      <c r="CF191" s="16">
        <f ca="1">_xll.DBRW($D$4,$E$7,$E$8,$E$9,$E$10,$E$12,$D191,$E$6,CF$18,CF$17)</f>
        <v>0.17088793500428401</v>
      </c>
      <c r="CG191" s="16"/>
      <c r="CH191" s="16"/>
      <c r="CI191" s="16"/>
      <c r="CJ191" s="16"/>
      <c r="CK191" s="16">
        <f ca="1">_xll.DBRW($D$4,$E$7,$E$8,$E$9,$E$10,$E$12,$D191,$E$6,CK$18,CK$17)</f>
        <v>-6.4872429999999995E-2</v>
      </c>
      <c r="CL191" s="16">
        <f ca="1">_xll.DBRW($D$4,$E$7,$E$8,$E$9,$E$10,$E$12,$D191,$E$6,CL$18,CL$17)</f>
        <v>4.5069710197890155E-2</v>
      </c>
      <c r="CM191" s="16"/>
      <c r="CN191" s="16"/>
      <c r="CO191" s="16"/>
      <c r="CP191" s="16"/>
      <c r="CQ191" s="16">
        <f ca="1">_xll.DBRW($D$4,$E$7,$E$8,$E$9,$E$10,$E$12,$D191,$E$6,CQ$18,CQ$17)</f>
        <v>2.3164774600000004E-2</v>
      </c>
      <c r="CR191" s="16">
        <f ca="1">_xll.DBRW($D$4,$E$7,$E$8,$E$9,$E$10,$E$12,$D191,$E$6,CR$18,CR$17)</f>
        <v>0.45838833329999995</v>
      </c>
      <c r="CS191" s="16">
        <f ca="1">_xll.DBRW($D$4,$E$7,$E$8,$E$9,$E$10,$E$12,$D191,$E$6,CS$18,CS$17)</f>
        <v>0.4090395832999999</v>
      </c>
      <c r="CT191" s="16">
        <f ca="1">_xll.DBRW($D$4,$E$7,$E$8,$E$9,$E$10,$E$12,$D191,$E$6,CT$18,CT$17)</f>
        <v>0.45838833329999995</v>
      </c>
      <c r="CU191" s="16">
        <f ca="1">_xll.DBRW($D$4,$E$7,$E$8,$E$9,$E$10,$E$12,$D191,$E$6,CU$18,CU$17)</f>
        <v>0.13540517829999998</v>
      </c>
      <c r="CV191" s="16">
        <f ca="1">_xll.DBRW($D$4,$E$7,$E$8,$E$9,$E$10,$E$12,$D191,$E$6,CV$18,CV$17)</f>
        <v>0.45838833329999995</v>
      </c>
      <c r="CW191" s="16">
        <f ca="1">_xll.DBRW($D$4,$E$7,$E$8,$E$9,$E$10,$E$12,$D191,$E$6,CW$18,CW$17)</f>
        <v>1.4E-5</v>
      </c>
      <c r="CX191" s="16">
        <f ca="1">_xll.DBRW($D$4,$E$7,$E$8,$E$9,$E$10,$E$12,$D191,$E$6,CX$18,CX$17)</f>
        <v>0.45838833329999995</v>
      </c>
      <c r="CY191" s="16">
        <f ca="1">_xll.DBRW($D$4,$E$7,$E$8,$E$9,$E$10,$E$12,$D191,$E$6,CY$18,CY$17)</f>
        <v>0.45838833329999995</v>
      </c>
      <c r="CZ191" s="16">
        <f ca="1">_xll.DBRW($D$4,$E$7,$E$8,$E$9,$E$10,$E$12,$D191,$E$6,CZ$18,CZ$17)</f>
        <v>0.45838833329999995</v>
      </c>
      <c r="DA191" s="26">
        <f t="shared" ca="1" si="127"/>
        <v>-8.3664280000000202E-2</v>
      </c>
      <c r="DB191" s="26">
        <f t="shared" ca="1" si="128"/>
        <v>1.753996999999996E-2</v>
      </c>
      <c r="DC191" s="26">
        <f t="shared" ca="1" si="129"/>
        <v>0</v>
      </c>
      <c r="DD191" s="26">
        <f t="shared" ca="1" si="130"/>
        <v>0</v>
      </c>
      <c r="DE191" s="26">
        <f t="shared" ca="1" si="131"/>
        <v>0</v>
      </c>
      <c r="DF191" s="26">
        <f t="shared" ca="1" si="132"/>
        <v>0</v>
      </c>
      <c r="DG191" s="26">
        <f t="shared" ca="1" si="133"/>
        <v>0</v>
      </c>
      <c r="DH191" s="26">
        <f t="shared" ca="1" si="134"/>
        <v>-0.10120425000000011</v>
      </c>
      <c r="DI191" s="26">
        <f t="shared" ca="1" si="135"/>
        <v>-0.11814397999999993</v>
      </c>
      <c r="DJ191" s="26">
        <f t="shared" ca="1" si="136"/>
        <v>4.6432389999999879E-2</v>
      </c>
      <c r="DK191" s="26">
        <f t="shared" ca="1" si="137"/>
        <v>1.2775050848892189E-3</v>
      </c>
      <c r="DL191" s="26"/>
      <c r="DM191" s="26"/>
      <c r="DN191" s="26"/>
      <c r="DO191" s="26"/>
      <c r="DP191" s="26">
        <f t="shared" ca="1" si="138"/>
        <v>-1.9935679999999983E-2</v>
      </c>
      <c r="DQ191" s="26">
        <f t="shared" ca="1" si="139"/>
        <v>2.3927893955694418E-2</v>
      </c>
      <c r="DR191" s="26"/>
      <c r="DS191" s="26"/>
      <c r="DT191" s="26"/>
      <c r="DU191" s="26"/>
      <c r="DV191" s="26">
        <f t="shared" ca="1" si="140"/>
        <v>6.4625700000000008E-3</v>
      </c>
      <c r="DW191" s="26">
        <f t="shared" ca="1" si="141"/>
        <v>2.1590725642267328E-3</v>
      </c>
      <c r="DX191" s="26"/>
      <c r="DY191" s="26"/>
      <c r="DZ191" s="26"/>
      <c r="EA191" s="26"/>
      <c r="EB191" s="26">
        <f t="shared" ca="1" si="142"/>
        <v>5.8342599999999523E-3</v>
      </c>
      <c r="EC191" s="26">
        <f t="shared" ca="1" si="143"/>
        <v>1.0864919544821799E-2</v>
      </c>
      <c r="ED191" s="26"/>
      <c r="EE191" s="26"/>
      <c r="EF191" s="26"/>
      <c r="EG191" s="26"/>
      <c r="EH191" s="26">
        <f t="shared" ca="1" si="144"/>
        <v>-5.2874100000000063E-3</v>
      </c>
      <c r="EI191" s="29">
        <f t="shared" ca="1" si="145"/>
        <v>8.0319689035868169E-3</v>
      </c>
      <c r="EJ191" s="29"/>
      <c r="EK191" s="29"/>
      <c r="EL191" s="29"/>
      <c r="EM191" s="29"/>
      <c r="EN191" s="93"/>
      <c r="EO191" s="29"/>
      <c r="EP191" s="29"/>
      <c r="EQ191" s="29"/>
      <c r="ER191" s="29"/>
      <c r="ES191" s="29"/>
      <c r="ET191" s="29"/>
      <c r="EU191" s="93"/>
      <c r="EV191" s="29"/>
      <c r="EW191" s="29"/>
      <c r="EX191" s="29"/>
      <c r="EY191" s="29"/>
      <c r="EZ191" s="29"/>
      <c r="FA191" s="29"/>
      <c r="FB191" s="93"/>
      <c r="FC191" s="29"/>
      <c r="FD191" s="29"/>
      <c r="FE191" s="29"/>
      <c r="FF191" s="29"/>
      <c r="FG191" s="29"/>
      <c r="FH191" s="29"/>
      <c r="FI191" s="93"/>
      <c r="FJ191" s="29"/>
      <c r="FK191" s="29"/>
      <c r="FL191" s="29"/>
      <c r="FM191" s="29"/>
      <c r="FN191" s="29"/>
      <c r="FO191" s="29"/>
      <c r="FP191" s="93"/>
      <c r="FQ191" s="29"/>
      <c r="FR191" s="29"/>
      <c r="FS191" s="29"/>
      <c r="FT191" s="29"/>
      <c r="FU191" s="29"/>
      <c r="FV191" s="29"/>
    </row>
    <row r="192" spans="1:178" x14ac:dyDescent="0.25">
      <c r="A192" t="str">
        <f ca="1">IF(_xll.TM1RPTELISCONSOLIDATED($D$28,$D192),IF(_xll.TM1RPTELLEV($D$28,$D192)&lt;=3,_xll.TM1RPTELLEV($D$28,$D192),"D"),"N")</f>
        <v>N</v>
      </c>
      <c r="B192" t="str">
        <f ca="1">_xll.DBRA(Server&amp;"Management_organization",$D192,$B$27)</f>
        <v>L</v>
      </c>
      <c r="C192">
        <v>1</v>
      </c>
      <c r="D192" s="2" t="s">
        <v>299</v>
      </c>
      <c r="E192" s="26"/>
      <c r="F192" s="26"/>
      <c r="G192" s="16">
        <f ca="1">_xll.DBRW($D$4,$E$7,$E$8,$E$9,$E$10,$E$12,$D192,$E$6,G$18,G$17)</f>
        <v>1.4208313899999996</v>
      </c>
      <c r="H192" s="16">
        <f ca="1">_xll.DBRW($D$4,$E$7,$E$8,$E$9,$E$10,$E$12,$D192,$E$6,H$18,H$17)</f>
        <v>-1.0690763299999997</v>
      </c>
      <c r="I192" s="16">
        <f ca="1">_xll.DBRW($D$4,$E$7,$E$8,$E$9,$E$10,$E$12,$D192,$E$6,I$18,I$17)</f>
        <v>0</v>
      </c>
      <c r="J192" s="26">
        <f ca="1">_xll.DBRW($D$4,$E$7,$E$8,$E$9,$E$10,$E$12,$D192,$E$6,J$18,J$17)</f>
        <v>0</v>
      </c>
      <c r="K192" s="26">
        <f ca="1">_xll.DBRW($D$4,$E$7,$E$8,$E$9,$E$10,$E$12,$D192,$E$6,K$18,K$17)</f>
        <v>0</v>
      </c>
      <c r="L192" s="26">
        <f ca="1">_xll.DBRW($D$4,$E$7,$E$8,$E$9,$E$10,$E$12,$D192,$E$6,L$18,L$17)</f>
        <v>0</v>
      </c>
      <c r="M192" s="26">
        <f ca="1">_xll.DBRW($D$4,$E$7,$E$8,$E$9,$E$10,$E$12,$D192,$E$6,M$18,M$17)</f>
        <v>0</v>
      </c>
      <c r="N192" s="16">
        <f ca="1">_xll.DBRW($D$4,$E$7,$E$8,$E$9,$E$10,$E$12,$D192,$E$6,N$18,N$17)</f>
        <v>2.4899077199999997</v>
      </c>
      <c r="O192" s="16">
        <f ca="1">_xll.DBRW($D$4,$E$7,$E$8,$E$9,$E$10,$E$12,$D192,$E$6,O$18,O$17)</f>
        <v>22.081129879999999</v>
      </c>
      <c r="P192" s="74">
        <f ca="1">_xll.DBRW($D$4,$E$7,$E$8,$E$9,$E$10,$E$12,$D192,$E$6,P$18,P$17)</f>
        <v>-11.154295339999997</v>
      </c>
      <c r="Q192" s="16">
        <f ca="1">_xll.DBRW($D$4,$E$7,$E$8,$E$9,$E$10,$E$12,$D192,$E$6,Q$18,Q$17)</f>
        <v>0.50515056976785455</v>
      </c>
      <c r="R192" s="16"/>
      <c r="S192" s="16"/>
      <c r="T192" s="16"/>
      <c r="U192" s="16"/>
      <c r="V192" s="16">
        <f ca="1">_xll.DBRW($D$4,$E$7,$E$8,$E$9,$E$10,$E$12,$D192,$E$6,V$18,V$17)</f>
        <v>-1.41126464</v>
      </c>
      <c r="W192" s="16">
        <f ca="1">_xll.DBRW($D$4,$E$7,$E$8,$E$9,$E$10,$E$12,$D192,$E$6,W$18,W$17)</f>
        <v>6.3912700467300548E-2</v>
      </c>
      <c r="X192" s="16"/>
      <c r="Y192" s="16"/>
      <c r="Z192" s="16"/>
      <c r="AA192" s="16"/>
      <c r="AB192" s="16">
        <f ca="1">_xll.DBRW($D$4,$E$7,$E$8,$E$9,$E$10,$E$12,$D192,$E$6,AB$18,AB$17)</f>
        <v>-3.19486574</v>
      </c>
      <c r="AC192" s="16">
        <f ca="1">_xll.DBRW($D$4,$E$7,$E$8,$E$9,$E$10,$E$12,$D192,$E$6,AC$18,AC$17)</f>
        <v>0.14468760237191269</v>
      </c>
      <c r="AD192" s="16"/>
      <c r="AE192" s="16"/>
      <c r="AF192" s="16"/>
      <c r="AG192" s="16"/>
      <c r="AH192" s="16">
        <f ca="1">_xll.DBRW($D$4,$E$7,$E$8,$E$9,$E$10,$E$12,$D192,$E$6,AH$18,AH$17)</f>
        <v>-1.8240006199999999</v>
      </c>
      <c r="AI192" s="16">
        <f ca="1">_xll.DBRW($D$4,$E$7,$E$8,$E$9,$E$10,$E$12,$D192,$E$6,AI$18,AI$17)</f>
        <v>8.2604496686199458E-2</v>
      </c>
      <c r="AJ192" s="16"/>
      <c r="AK192" s="16"/>
      <c r="AL192" s="16"/>
      <c r="AM192" s="16"/>
      <c r="AN192" s="16">
        <f ca="1">_xll.DBRW($D$4,$E$7,$E$8,$E$9,$E$10,$E$12,$D192,$E$6,AN$18,AN$17)</f>
        <v>-2.8035987600000003</v>
      </c>
      <c r="AO192" s="16">
        <f ca="1">_xll.DBRW($D$4,$E$7,$E$8,$E$9,$E$10,$E$12,$D192,$E$6,AO$18,AO$17)</f>
        <v>0.12696808429804862</v>
      </c>
      <c r="AP192" s="16"/>
      <c r="AQ192" s="16"/>
      <c r="AR192" s="16"/>
      <c r="AS192" s="16"/>
      <c r="AT192" s="16">
        <f ca="1">_xll.DBRW($D$4,$E$7,$E$8,$E$9,$E$10,$E$12,$D192,$E$6,AT$18,AT$17)</f>
        <v>0</v>
      </c>
      <c r="AU192" s="16">
        <f ca="1">_xll.DBRW($D$4,$E$7,$E$8,$E$9,$E$10,$E$12,$D192,$E$6,AU$18,AU$17)</f>
        <v>-8.8817841970012523E-16</v>
      </c>
      <c r="AV192" s="16">
        <f ca="1">_xll.DBRW($D$4,$E$7,$E$8,$E$9,$E$10,$E$12,$D192,$E$6,AV$18,AV$17)</f>
        <v>0</v>
      </c>
      <c r="AW192" s="16">
        <f ca="1">_xll.DBRW($D$4,$E$7,$E$8,$E$9,$E$10,$E$12,$D192,$E$6,AW$18,AW$17)</f>
        <v>-8.8817841970012523E-16</v>
      </c>
      <c r="AX192" s="16">
        <f ca="1">_xll.DBRW($D$4,$E$7,$E$8,$E$9,$E$10,$E$12,$D192,$E$6,AX$18,AX$17)</f>
        <v>0</v>
      </c>
      <c r="AY192" s="16">
        <f ca="1">_xll.DBRW($D$4,$E$7,$E$8,$E$9,$E$10,$E$12,$D192,$E$6,AY$18,AY$17)</f>
        <v>-8.8817841970012523E-16</v>
      </c>
      <c r="AZ192" s="16">
        <f ca="1">_xll.DBRW($D$4,$E$7,$E$8,$E$9,$E$10,$E$12,$D192,$E$6,AZ$18,AZ$17)</f>
        <v>0</v>
      </c>
      <c r="BA192" s="16">
        <f ca="1">_xll.DBRW($D$4,$E$7,$E$8,$E$9,$E$10,$E$12,$D192,$E$6,BA$18,BA$17)</f>
        <v>-8.8817841970012523E-16</v>
      </c>
      <c r="BB192" s="16">
        <f ca="1">_xll.DBRW($D$4,$E$7,$E$8,$E$9,$E$10,$E$12,$D192,$E$6,BB$18,BB$17)</f>
        <v>-8.8817841970012523E-16</v>
      </c>
      <c r="BC192" s="16">
        <f ca="1">_xll.DBRW($D$4,$E$7,$E$8,$E$9,$E$10,$E$12,$D192,$E$6,BC$18,BC$17)</f>
        <v>-8.8817841970012523E-16</v>
      </c>
      <c r="BD192" s="16">
        <f ca="1">_xll.DBRW($D$4,$E$7,$E$8,$E$9,$E$10,$E$12,$D192,$E$6,BD$18,BD$17)</f>
        <v>1.3755762500000044</v>
      </c>
      <c r="BE192" s="16">
        <f ca="1">_xll.DBRW($D$4,$E$7,$E$8,$E$9,$E$10,$E$12,$D192,$E$6,BE$18,BE$17)</f>
        <v>-1.16084805</v>
      </c>
      <c r="BF192" s="16">
        <f ca="1">_xll.DBRW($D$4,$E$7,$E$8,$E$9,$E$10,$E$12,$D192,$E$6,BF$18,BF$17)</f>
        <v>0</v>
      </c>
      <c r="BG192" s="26">
        <f ca="1">_xll.DBRW($D$4,$E$7,$E$8,$E$9,$E$10,$E$12,$D192,$E$6,BG$18,BG$17)</f>
        <v>0</v>
      </c>
      <c r="BH192" s="26">
        <f ca="1">_xll.DBRW($D$4,$E$7,$E$8,$E$9,$E$10,$E$12,$D192,$E$6,BH$18,BH$17)</f>
        <v>0</v>
      </c>
      <c r="BI192" s="26">
        <f ca="1">_xll.DBRW($D$4,$E$7,$E$8,$E$9,$E$10,$E$12,$D192,$E$6,BI$18,BI$17)</f>
        <v>0</v>
      </c>
      <c r="BJ192" s="26">
        <f ca="1">_xll.DBRW($D$4,$E$7,$E$8,$E$9,$E$10,$E$12,$D192,$E$6,BJ$18,BJ$17)</f>
        <v>0</v>
      </c>
      <c r="BK192" s="16">
        <f ca="1">_xll.DBRW($D$4,$E$7,$E$8,$E$9,$E$10,$E$12,$D192,$E$6,BK$18,BK$17)</f>
        <v>2.5364243000000042</v>
      </c>
      <c r="BL192" s="16">
        <f ca="1">_xll.DBRW($D$4,$E$7,$E$8,$E$9,$E$10,$E$12,$D192,$E$6,BL$18,BL$17)</f>
        <v>23.395542509999999</v>
      </c>
      <c r="BM192" s="16">
        <f ca="1">_xll.DBRW($D$4,$E$7,$E$8,$E$9,$E$10,$E$12,$D192,$E$6,BM$18,BM$17)</f>
        <v>-11.746474129999998</v>
      </c>
      <c r="BN192" s="16">
        <f ca="1">_xll.DBRW($D$4,$E$7,$E$8,$E$9,$E$10,$E$12,$D192,$E$6,BN$18,BN$17)</f>
        <v>0.50208171599265894</v>
      </c>
      <c r="BO192" s="16"/>
      <c r="BP192" s="16"/>
      <c r="BQ192" s="16"/>
      <c r="BR192" s="16"/>
      <c r="BS192" s="16">
        <f ca="1">_xll.DBRW($D$4,$E$7,$E$8,$E$9,$E$10,$E$12,$D192,$E$6,BS$18,BS$17)</f>
        <v>-2.4075735199999997</v>
      </c>
      <c r="BT192" s="16">
        <f ca="1">_xll.DBRW($D$4,$E$7,$E$8,$E$9,$E$10,$E$12,$D192,$E$6,BT$18,BT$17)</f>
        <v>0.10290736019354654</v>
      </c>
      <c r="BU192" s="16"/>
      <c r="BV192" s="16"/>
      <c r="BW192" s="16"/>
      <c r="BX192" s="16"/>
      <c r="BY192" s="16">
        <f ca="1">_xll.DBRW($D$4,$E$7,$E$8,$E$9,$E$10,$E$12,$D192,$E$6,BY$18,BY$17)</f>
        <v>-2.4055819500000002</v>
      </c>
      <c r="BZ192" s="16">
        <f ca="1">_xll.DBRW($D$4,$E$7,$E$8,$E$9,$E$10,$E$12,$D192,$E$6,BZ$18,BZ$17)</f>
        <v>0.10282223414873914</v>
      </c>
      <c r="CA192" s="16"/>
      <c r="CB192" s="16"/>
      <c r="CC192" s="16"/>
      <c r="CD192" s="16"/>
      <c r="CE192" s="16">
        <f ca="1">_xll.DBRW($D$4,$E$7,$E$8,$E$9,$E$10,$E$12,$D192,$E$6,CE$18,CE$17)</f>
        <v>-2.09109268</v>
      </c>
      <c r="CF192" s="16">
        <f ca="1">_xll.DBRW($D$4,$E$7,$E$8,$E$9,$E$10,$E$12,$D192,$E$6,CF$18,CF$17)</f>
        <v>8.9379961123201165E-2</v>
      </c>
      <c r="CG192" s="16"/>
      <c r="CH192" s="16"/>
      <c r="CI192" s="16"/>
      <c r="CJ192" s="16"/>
      <c r="CK192" s="16">
        <f ca="1">_xll.DBRW($D$4,$E$7,$E$8,$E$9,$E$10,$E$12,$D192,$E$6,CK$18,CK$17)</f>
        <v>-3.0015876000000001</v>
      </c>
      <c r="CL192" s="16">
        <f ca="1">_xll.DBRW($D$4,$E$7,$E$8,$E$9,$E$10,$E$12,$D192,$E$6,CL$18,CL$17)</f>
        <v>0.1282974138649286</v>
      </c>
      <c r="CM192" s="16"/>
      <c r="CN192" s="16"/>
      <c r="CO192" s="16"/>
      <c r="CP192" s="16"/>
      <c r="CQ192" s="16">
        <f ca="1">_xll.DBRW($D$4,$E$7,$E$8,$E$9,$E$10,$E$12,$D192,$E$6,CQ$18,CQ$17)</f>
        <v>0.50255077429999995</v>
      </c>
      <c r="CR192" s="16">
        <f ca="1">_xll.DBRW($D$4,$E$7,$E$8,$E$9,$E$10,$E$12,$D192,$E$6,CR$18,CR$17)</f>
        <v>6.3048333329999995</v>
      </c>
      <c r="CS192" s="16">
        <f ca="1">_xll.DBRW($D$4,$E$7,$E$8,$E$9,$E$10,$E$12,$D192,$E$6,CS$18,CS$17)</f>
        <v>7.0854529170000005</v>
      </c>
      <c r="CT192" s="16">
        <f ca="1">_xll.DBRW($D$4,$E$7,$E$8,$E$9,$E$10,$E$12,$D192,$E$6,CT$18,CT$17)</f>
        <v>6.3048333329999995</v>
      </c>
      <c r="CU192" s="16">
        <f ca="1">_xll.DBRW($D$4,$E$7,$E$8,$E$9,$E$10,$E$12,$D192,$E$6,CU$18,CU$17)</f>
        <v>2.7771852809999995</v>
      </c>
      <c r="CV192" s="16">
        <f ca="1">_xll.DBRW($D$4,$E$7,$E$8,$E$9,$E$10,$E$12,$D192,$E$6,CV$18,CV$17)</f>
        <v>6.3048333329999995</v>
      </c>
      <c r="CW192" s="16">
        <f ca="1">_xll.DBRW($D$4,$E$7,$E$8,$E$9,$E$10,$E$12,$D192,$E$6,CW$18,CW$17)</f>
        <v>1.4400000000000003E-4</v>
      </c>
      <c r="CX192" s="16">
        <f ca="1">_xll.DBRW($D$4,$E$7,$E$8,$E$9,$E$10,$E$12,$D192,$E$6,CX$18,CX$17)</f>
        <v>6.3048333329999995</v>
      </c>
      <c r="CY192" s="16">
        <f ca="1">_xll.DBRW($D$4,$E$7,$E$8,$E$9,$E$10,$E$12,$D192,$E$6,CY$18,CY$17)</f>
        <v>6.3048333329999995</v>
      </c>
      <c r="CZ192" s="16">
        <f ca="1">_xll.DBRW($D$4,$E$7,$E$8,$E$9,$E$10,$E$12,$D192,$E$6,CZ$18,CZ$17)</f>
        <v>6.3048333329999995</v>
      </c>
      <c r="DA192" s="26">
        <f t="shared" ca="1" si="127"/>
        <v>4.5255139999995198E-2</v>
      </c>
      <c r="DB192" s="26">
        <f t="shared" ca="1" si="128"/>
        <v>9.1771720000000334E-2</v>
      </c>
      <c r="DC192" s="26">
        <f t="shared" ca="1" si="129"/>
        <v>0</v>
      </c>
      <c r="DD192" s="26">
        <f t="shared" ca="1" si="130"/>
        <v>0</v>
      </c>
      <c r="DE192" s="26">
        <f t="shared" ca="1" si="131"/>
        <v>0</v>
      </c>
      <c r="DF192" s="26">
        <f t="shared" ca="1" si="132"/>
        <v>0</v>
      </c>
      <c r="DG192" s="26">
        <f t="shared" ca="1" si="133"/>
        <v>0</v>
      </c>
      <c r="DH192" s="26">
        <f t="shared" ca="1" si="134"/>
        <v>-4.651658000000447E-2</v>
      </c>
      <c r="DI192" s="26">
        <f t="shared" ca="1" si="135"/>
        <v>-1.3144126299999996</v>
      </c>
      <c r="DJ192" s="26">
        <f t="shared" ca="1" si="136"/>
        <v>0.59217879000000018</v>
      </c>
      <c r="DK192" s="26">
        <f t="shared" ca="1" si="137"/>
        <v>3.0688537751956124E-3</v>
      </c>
      <c r="DL192" s="26"/>
      <c r="DM192" s="26"/>
      <c r="DN192" s="26"/>
      <c r="DO192" s="26"/>
      <c r="DP192" s="26">
        <f t="shared" ca="1" si="138"/>
        <v>0.99630887999999973</v>
      </c>
      <c r="DQ192" s="26">
        <f t="shared" ca="1" si="139"/>
        <v>-3.8994659726245995E-2</v>
      </c>
      <c r="DR192" s="26"/>
      <c r="DS192" s="26"/>
      <c r="DT192" s="26"/>
      <c r="DU192" s="26"/>
      <c r="DV192" s="26">
        <f t="shared" ca="1" si="140"/>
        <v>-0.78928378999999982</v>
      </c>
      <c r="DW192" s="26">
        <f t="shared" ca="1" si="141"/>
        <v>4.1865368223173549E-2</v>
      </c>
      <c r="DX192" s="26"/>
      <c r="DY192" s="26"/>
      <c r="DZ192" s="26"/>
      <c r="EA192" s="26"/>
      <c r="EB192" s="26">
        <f t="shared" ca="1" si="142"/>
        <v>0.26709206000000019</v>
      </c>
      <c r="EC192" s="26">
        <f t="shared" ca="1" si="143"/>
        <v>-6.7754644370017075E-3</v>
      </c>
      <c r="ED192" s="26"/>
      <c r="EE192" s="26"/>
      <c r="EF192" s="26"/>
      <c r="EG192" s="26"/>
      <c r="EH192" s="26">
        <f t="shared" ca="1" si="144"/>
        <v>0.19798883999999983</v>
      </c>
      <c r="EI192" s="29">
        <f t="shared" ca="1" si="145"/>
        <v>-1.3293295668799776E-3</v>
      </c>
      <c r="EJ192" s="29"/>
      <c r="EK192" s="29"/>
      <c r="EL192" s="29"/>
      <c r="EM192" s="29"/>
      <c r="EN192" s="93"/>
      <c r="EO192" s="29"/>
      <c r="EP192" s="29"/>
      <c r="EQ192" s="29"/>
      <c r="ER192" s="29"/>
      <c r="ES192" s="29"/>
      <c r="ET192" s="29"/>
      <c r="EU192" s="93"/>
      <c r="EV192" s="29"/>
      <c r="EW192" s="29"/>
      <c r="EX192" s="29"/>
      <c r="EY192" s="29"/>
      <c r="EZ192" s="29"/>
      <c r="FA192" s="29"/>
      <c r="FB192" s="93"/>
      <c r="FC192" s="29"/>
      <c r="FD192" s="29"/>
      <c r="FE192" s="29"/>
      <c r="FF192" s="29"/>
      <c r="FG192" s="29"/>
      <c r="FH192" s="29"/>
      <c r="FI192" s="93"/>
      <c r="FJ192" s="29"/>
      <c r="FK192" s="29"/>
      <c r="FL192" s="29"/>
      <c r="FM192" s="29"/>
      <c r="FN192" s="29"/>
      <c r="FO192" s="29"/>
      <c r="FP192" s="93"/>
      <c r="FQ192" s="29"/>
      <c r="FR192" s="29"/>
      <c r="FS192" s="29"/>
      <c r="FT192" s="29"/>
      <c r="FU192" s="29"/>
      <c r="FV192" s="29"/>
    </row>
    <row r="193" spans="1:178" x14ac:dyDescent="0.25">
      <c r="A193" t="str">
        <f ca="1">IF(_xll.TM1RPTELISCONSOLIDATED($D$28,$D193),IF(_xll.TM1RPTELLEV($D$28,$D193)&lt;=3,_xll.TM1RPTELLEV($D$28,$D193),"D"),"N")</f>
        <v>N</v>
      </c>
      <c r="B193" t="str">
        <f ca="1">_xll.DBRA(Server&amp;"Management_organization",$D193,$B$27)</f>
        <v>L</v>
      </c>
      <c r="C193">
        <v>1</v>
      </c>
      <c r="D193" s="2" t="s">
        <v>300</v>
      </c>
      <c r="E193" s="26"/>
      <c r="F193" s="26"/>
      <c r="G193" s="16">
        <f ca="1">_xll.DBRW($D$4,$E$7,$E$8,$E$9,$E$10,$E$12,$D193,$E$6,G$18,G$17)</f>
        <v>0.38819154999999894</v>
      </c>
      <c r="H193" s="16">
        <f ca="1">_xll.DBRW($D$4,$E$7,$E$8,$E$9,$E$10,$E$12,$D193,$E$6,H$18,H$17)</f>
        <v>-0.49777585999999996</v>
      </c>
      <c r="I193" s="16">
        <f ca="1">_xll.DBRW($D$4,$E$7,$E$8,$E$9,$E$10,$E$12,$D193,$E$6,I$18,I$17)</f>
        <v>0</v>
      </c>
      <c r="J193" s="26">
        <f ca="1">_xll.DBRW($D$4,$E$7,$E$8,$E$9,$E$10,$E$12,$D193,$E$6,J$18,J$17)</f>
        <v>0</v>
      </c>
      <c r="K193" s="26">
        <f ca="1">_xll.DBRW($D$4,$E$7,$E$8,$E$9,$E$10,$E$12,$D193,$E$6,K$18,K$17)</f>
        <v>0</v>
      </c>
      <c r="L193" s="26">
        <f ca="1">_xll.DBRW($D$4,$E$7,$E$8,$E$9,$E$10,$E$12,$D193,$E$6,L$18,L$17)</f>
        <v>0</v>
      </c>
      <c r="M193" s="26">
        <f ca="1">_xll.DBRW($D$4,$E$7,$E$8,$E$9,$E$10,$E$12,$D193,$E$6,M$18,M$17)</f>
        <v>0</v>
      </c>
      <c r="N193" s="16">
        <f ca="1">_xll.DBRW($D$4,$E$7,$E$8,$E$9,$E$10,$E$12,$D193,$E$6,N$18,N$17)</f>
        <v>0.88596740999999912</v>
      </c>
      <c r="O193" s="16">
        <f ca="1">_xll.DBRW($D$4,$E$7,$E$8,$E$9,$E$10,$E$12,$D193,$E$6,O$18,O$17)</f>
        <v>6.681082589999999</v>
      </c>
      <c r="P193" s="74">
        <f ca="1">_xll.DBRW($D$4,$E$7,$E$8,$E$9,$E$10,$E$12,$D193,$E$6,P$18,P$17)</f>
        <v>-4.0913974899999994</v>
      </c>
      <c r="Q193" s="16">
        <f ca="1">_xll.DBRW($D$4,$E$7,$E$8,$E$9,$E$10,$E$12,$D193,$E$6,Q$18,Q$17)</f>
        <v>0.61238540833544763</v>
      </c>
      <c r="R193" s="16"/>
      <c r="S193" s="16"/>
      <c r="T193" s="16"/>
      <c r="U193" s="16"/>
      <c r="V193" s="16">
        <f ca="1">_xll.DBRW($D$4,$E$7,$E$8,$E$9,$E$10,$E$12,$D193,$E$6,V$18,V$17)</f>
        <v>-0.33309043000000005</v>
      </c>
      <c r="W193" s="16">
        <f ca="1">_xll.DBRW($D$4,$E$7,$E$8,$E$9,$E$10,$E$12,$D193,$E$6,W$18,W$17)</f>
        <v>4.9855756984438074E-2</v>
      </c>
      <c r="X193" s="16"/>
      <c r="Y193" s="16"/>
      <c r="Z193" s="16"/>
      <c r="AA193" s="16"/>
      <c r="AB193" s="16">
        <f ca="1">_xll.DBRW($D$4,$E$7,$E$8,$E$9,$E$10,$E$12,$D193,$E$6,AB$18,AB$17)</f>
        <v>-0.76385404000000001</v>
      </c>
      <c r="AC193" s="16">
        <f ca="1">_xll.DBRW($D$4,$E$7,$E$8,$E$9,$E$10,$E$12,$D193,$E$6,AC$18,AC$17)</f>
        <v>0.11433087822373411</v>
      </c>
      <c r="AD193" s="16"/>
      <c r="AE193" s="16"/>
      <c r="AF193" s="16"/>
      <c r="AG193" s="16"/>
      <c r="AH193" s="16">
        <f ca="1">_xll.DBRW($D$4,$E$7,$E$8,$E$9,$E$10,$E$12,$D193,$E$6,AH$18,AH$17)</f>
        <v>-0.45614870999999996</v>
      </c>
      <c r="AI193" s="16">
        <f ca="1">_xll.DBRW($D$4,$E$7,$E$8,$E$9,$E$10,$E$12,$D193,$E$6,AI$18,AI$17)</f>
        <v>6.8274670138451329E-2</v>
      </c>
      <c r="AJ193" s="16"/>
      <c r="AK193" s="16"/>
      <c r="AL193" s="16"/>
      <c r="AM193" s="16"/>
      <c r="AN193" s="16">
        <f ca="1">_xll.DBRW($D$4,$E$7,$E$8,$E$9,$E$10,$E$12,$D193,$E$6,AN$18,AN$17)</f>
        <v>-0.24935769999999996</v>
      </c>
      <c r="AO193" s="16">
        <f ca="1">_xll.DBRW($D$4,$E$7,$E$8,$E$9,$E$10,$E$12,$D193,$E$6,AO$18,AO$17)</f>
        <v>3.7322948285840603E-2</v>
      </c>
      <c r="AP193" s="16"/>
      <c r="AQ193" s="16"/>
      <c r="AR193" s="16"/>
      <c r="AS193" s="16"/>
      <c r="AT193" s="16">
        <f ca="1">_xll.DBRW($D$4,$E$7,$E$8,$E$9,$E$10,$E$12,$D193,$E$6,AT$18,AT$17)</f>
        <v>-1.3877787807814457E-17</v>
      </c>
      <c r="AU193" s="16">
        <f ca="1">_xll.DBRW($D$4,$E$7,$E$8,$E$9,$E$10,$E$12,$D193,$E$6,AU$18,AU$17)</f>
        <v>0</v>
      </c>
      <c r="AV193" s="16">
        <f ca="1">_xll.DBRW($D$4,$E$7,$E$8,$E$9,$E$10,$E$12,$D193,$E$6,AV$18,AV$17)</f>
        <v>0</v>
      </c>
      <c r="AW193" s="16">
        <f ca="1">_xll.DBRW($D$4,$E$7,$E$8,$E$9,$E$10,$E$12,$D193,$E$6,AW$18,AW$17)</f>
        <v>0</v>
      </c>
      <c r="AX193" s="16">
        <f ca="1">_xll.DBRW($D$4,$E$7,$E$8,$E$9,$E$10,$E$12,$D193,$E$6,AX$18,AX$17)</f>
        <v>-1.1102230246251565E-16</v>
      </c>
      <c r="AY193" s="16">
        <f ca="1">_xll.DBRW($D$4,$E$7,$E$8,$E$9,$E$10,$E$12,$D193,$E$6,AY$18,AY$17)</f>
        <v>0</v>
      </c>
      <c r="AZ193" s="16">
        <f ca="1">_xll.DBRW($D$4,$E$7,$E$8,$E$9,$E$10,$E$12,$D193,$E$6,AZ$18,AZ$17)</f>
        <v>0</v>
      </c>
      <c r="BA193" s="16">
        <f ca="1">_xll.DBRW($D$4,$E$7,$E$8,$E$9,$E$10,$E$12,$D193,$E$6,BA$18,BA$17)</f>
        <v>0</v>
      </c>
      <c r="BB193" s="16">
        <f ca="1">_xll.DBRW($D$4,$E$7,$E$8,$E$9,$E$10,$E$12,$D193,$E$6,BB$18,BB$17)</f>
        <v>0</v>
      </c>
      <c r="BC193" s="16">
        <f ca="1">_xll.DBRW($D$4,$E$7,$E$8,$E$9,$E$10,$E$12,$D193,$E$6,BC$18,BC$17)</f>
        <v>0</v>
      </c>
      <c r="BD193" s="16">
        <f ca="1">_xll.DBRW($D$4,$E$7,$E$8,$E$9,$E$10,$E$12,$D193,$E$6,BD$18,BD$17)</f>
        <v>0.65656181999999985</v>
      </c>
      <c r="BE193" s="16">
        <f ca="1">_xll.DBRW($D$4,$E$7,$E$8,$E$9,$E$10,$E$12,$D193,$E$6,BE$18,BE$17)</f>
        <v>-0.52067531999999994</v>
      </c>
      <c r="BF193" s="16">
        <f ca="1">_xll.DBRW($D$4,$E$7,$E$8,$E$9,$E$10,$E$12,$D193,$E$6,BF$18,BF$17)</f>
        <v>0</v>
      </c>
      <c r="BG193" s="26">
        <f ca="1">_xll.DBRW($D$4,$E$7,$E$8,$E$9,$E$10,$E$12,$D193,$E$6,BG$18,BG$17)</f>
        <v>0</v>
      </c>
      <c r="BH193" s="26">
        <f ca="1">_xll.DBRW($D$4,$E$7,$E$8,$E$9,$E$10,$E$12,$D193,$E$6,BH$18,BH$17)</f>
        <v>0</v>
      </c>
      <c r="BI193" s="26">
        <f ca="1">_xll.DBRW($D$4,$E$7,$E$8,$E$9,$E$10,$E$12,$D193,$E$6,BI$18,BI$17)</f>
        <v>0</v>
      </c>
      <c r="BJ193" s="26">
        <f ca="1">_xll.DBRW($D$4,$E$7,$E$8,$E$9,$E$10,$E$12,$D193,$E$6,BJ$18,BJ$17)</f>
        <v>0</v>
      </c>
      <c r="BK193" s="16">
        <f ca="1">_xll.DBRW($D$4,$E$7,$E$8,$E$9,$E$10,$E$12,$D193,$E$6,BK$18,BK$17)</f>
        <v>1.1772371399999999</v>
      </c>
      <c r="BL193" s="16">
        <f ca="1">_xll.DBRW($D$4,$E$7,$E$8,$E$9,$E$10,$E$12,$D193,$E$6,BL$18,BL$17)</f>
        <v>7.4785553900000004</v>
      </c>
      <c r="BM193" s="16">
        <f ca="1">_xll.DBRW($D$4,$E$7,$E$8,$E$9,$E$10,$E$12,$D193,$E$6,BM$18,BM$17)</f>
        <v>-4.365388799999999</v>
      </c>
      <c r="BN193" s="16">
        <f ca="1">_xll.DBRW($D$4,$E$7,$E$8,$E$9,$E$10,$E$12,$D193,$E$6,BN$18,BN$17)</f>
        <v>0.58372086216506569</v>
      </c>
      <c r="BO193" s="16"/>
      <c r="BP193" s="16"/>
      <c r="BQ193" s="16"/>
      <c r="BR193" s="16"/>
      <c r="BS193" s="16">
        <f ca="1">_xll.DBRW($D$4,$E$7,$E$8,$E$9,$E$10,$E$12,$D193,$E$6,BS$18,BS$17)</f>
        <v>-0.40269165000000001</v>
      </c>
      <c r="BT193" s="16">
        <f ca="1">_xll.DBRW($D$4,$E$7,$E$8,$E$9,$E$10,$E$12,$D193,$E$6,BT$18,BT$17)</f>
        <v>5.3846181381294815E-2</v>
      </c>
      <c r="BU193" s="16"/>
      <c r="BV193" s="16"/>
      <c r="BW193" s="16"/>
      <c r="BX193" s="16"/>
      <c r="BY193" s="16">
        <f ca="1">_xll.DBRW($D$4,$E$7,$E$8,$E$9,$E$10,$E$12,$D193,$E$6,BY$18,BY$17)</f>
        <v>-0.76985332999999978</v>
      </c>
      <c r="BZ193" s="16">
        <f ca="1">_xll.DBRW($D$4,$E$7,$E$8,$E$9,$E$10,$E$12,$D193,$E$6,BZ$18,BZ$17)</f>
        <v>0.10294144923087876</v>
      </c>
      <c r="CA193" s="16"/>
      <c r="CB193" s="16"/>
      <c r="CC193" s="16"/>
      <c r="CD193" s="16"/>
      <c r="CE193" s="16">
        <f ca="1">_xll.DBRW($D$4,$E$7,$E$8,$E$9,$E$10,$E$12,$D193,$E$6,CE$18,CE$17)</f>
        <v>-0.53320087000000005</v>
      </c>
      <c r="CF193" s="16">
        <f ca="1">_xll.DBRW($D$4,$E$7,$E$8,$E$9,$E$10,$E$12,$D193,$E$6,CF$18,CF$17)</f>
        <v>7.129730839634793E-2</v>
      </c>
      <c r="CG193" s="16"/>
      <c r="CH193" s="16"/>
      <c r="CI193" s="16"/>
      <c r="CJ193" s="16"/>
      <c r="CK193" s="16">
        <f ca="1">_xll.DBRW($D$4,$E$7,$E$8,$E$9,$E$10,$E$12,$D193,$E$6,CK$18,CK$17)</f>
        <v>-0.32861266</v>
      </c>
      <c r="CL193" s="16">
        <f ca="1">_xll.DBRW($D$4,$E$7,$E$8,$E$9,$E$10,$E$12,$D193,$E$6,CL$18,CL$17)</f>
        <v>4.3940660042366818E-2</v>
      </c>
      <c r="CM193" s="16"/>
      <c r="CN193" s="16"/>
      <c r="CO193" s="16"/>
      <c r="CP193" s="16"/>
      <c r="CQ193" s="16">
        <f ca="1">_xll.DBRW($D$4,$E$7,$E$8,$E$9,$E$10,$E$12,$D193,$E$6,CQ$18,CQ$17)</f>
        <v>0.1333802989</v>
      </c>
      <c r="CR193" s="16">
        <f ca="1">_xll.DBRW($D$4,$E$7,$E$8,$E$9,$E$10,$E$12,$D193,$E$6,CR$18,CR$17)</f>
        <v>2.0343409169999997</v>
      </c>
      <c r="CS193" s="16">
        <f ca="1">_xll.DBRW($D$4,$E$7,$E$8,$E$9,$E$10,$E$12,$D193,$E$6,CS$18,CS$17)</f>
        <v>2.1444912500000002</v>
      </c>
      <c r="CT193" s="16">
        <f ca="1">_xll.DBRW($D$4,$E$7,$E$8,$E$9,$E$10,$E$12,$D193,$E$6,CT$18,CT$17)</f>
        <v>2.0343409169999997</v>
      </c>
      <c r="CU193" s="16">
        <f ca="1">_xll.DBRW($D$4,$E$7,$E$8,$E$9,$E$10,$E$12,$D193,$E$6,CU$18,CU$17)</f>
        <v>0.93997957610000005</v>
      </c>
      <c r="CV193" s="16">
        <f ca="1">_xll.DBRW($D$4,$E$7,$E$8,$E$9,$E$10,$E$12,$D193,$E$6,CV$18,CV$17)</f>
        <v>2.0343409169999997</v>
      </c>
      <c r="CW193" s="16">
        <f ca="1">_xll.DBRW($D$4,$E$7,$E$8,$E$9,$E$10,$E$12,$D193,$E$6,CW$18,CW$17)</f>
        <v>5.5999999999999999E-5</v>
      </c>
      <c r="CX193" s="16">
        <f ca="1">_xll.DBRW($D$4,$E$7,$E$8,$E$9,$E$10,$E$12,$D193,$E$6,CX$18,CX$17)</f>
        <v>2.0343409169999997</v>
      </c>
      <c r="CY193" s="16">
        <f ca="1">_xll.DBRW($D$4,$E$7,$E$8,$E$9,$E$10,$E$12,$D193,$E$6,CY$18,CY$17)</f>
        <v>2.0343409169999997</v>
      </c>
      <c r="CZ193" s="16">
        <f ca="1">_xll.DBRW($D$4,$E$7,$E$8,$E$9,$E$10,$E$12,$D193,$E$6,CZ$18,CZ$17)</f>
        <v>2.0343409169999997</v>
      </c>
      <c r="DA193" s="26">
        <f t="shared" ca="1" si="127"/>
        <v>-0.26837027000000091</v>
      </c>
      <c r="DB193" s="26">
        <f t="shared" ca="1" si="128"/>
        <v>2.2899459999999983E-2</v>
      </c>
      <c r="DC193" s="26">
        <f t="shared" ca="1" si="129"/>
        <v>0</v>
      </c>
      <c r="DD193" s="26">
        <f t="shared" ca="1" si="130"/>
        <v>0</v>
      </c>
      <c r="DE193" s="26">
        <f t="shared" ca="1" si="131"/>
        <v>0</v>
      </c>
      <c r="DF193" s="26">
        <f t="shared" ca="1" si="132"/>
        <v>0</v>
      </c>
      <c r="DG193" s="26">
        <f t="shared" ca="1" si="133"/>
        <v>0</v>
      </c>
      <c r="DH193" s="26">
        <f t="shared" ca="1" si="134"/>
        <v>-0.29126973000000078</v>
      </c>
      <c r="DI193" s="26">
        <f t="shared" ca="1" si="135"/>
        <v>-0.79747280000000131</v>
      </c>
      <c r="DJ193" s="26">
        <f t="shared" ca="1" si="136"/>
        <v>0.27399130999999954</v>
      </c>
      <c r="DK193" s="26">
        <f t="shared" ca="1" si="137"/>
        <v>2.8664546170381944E-2</v>
      </c>
      <c r="DL193" s="26"/>
      <c r="DM193" s="26"/>
      <c r="DN193" s="26"/>
      <c r="DO193" s="26"/>
      <c r="DP193" s="26">
        <f t="shared" ca="1" si="138"/>
        <v>6.9601219999999964E-2</v>
      </c>
      <c r="DQ193" s="26">
        <f t="shared" ca="1" si="139"/>
        <v>-3.9904243968567413E-3</v>
      </c>
      <c r="DR193" s="26"/>
      <c r="DS193" s="26"/>
      <c r="DT193" s="26"/>
      <c r="DU193" s="26"/>
      <c r="DV193" s="26">
        <f t="shared" ca="1" si="140"/>
        <v>5.9992899999997684E-3</v>
      </c>
      <c r="DW193" s="26">
        <f t="shared" ca="1" si="141"/>
        <v>1.1389428992855347E-2</v>
      </c>
      <c r="DX193" s="26"/>
      <c r="DY193" s="26"/>
      <c r="DZ193" s="26"/>
      <c r="EA193" s="26"/>
      <c r="EB193" s="26">
        <f t="shared" ca="1" si="142"/>
        <v>7.7052160000000092E-2</v>
      </c>
      <c r="EC193" s="26">
        <f t="shared" ca="1" si="143"/>
        <v>-3.022638257896601E-3</v>
      </c>
      <c r="ED193" s="26"/>
      <c r="EE193" s="26"/>
      <c r="EF193" s="26"/>
      <c r="EG193" s="26"/>
      <c r="EH193" s="26">
        <f t="shared" ca="1" si="144"/>
        <v>7.9254960000000041E-2</v>
      </c>
      <c r="EI193" s="29">
        <f t="shared" ca="1" si="145"/>
        <v>-6.617711756526215E-3</v>
      </c>
      <c r="EJ193" s="29"/>
      <c r="EK193" s="29"/>
      <c r="EL193" s="29"/>
      <c r="EM193" s="29"/>
      <c r="EN193" s="93"/>
      <c r="EO193" s="29"/>
      <c r="EP193" s="29"/>
      <c r="EQ193" s="29"/>
      <c r="ER193" s="29"/>
      <c r="ES193" s="29"/>
      <c r="ET193" s="29"/>
      <c r="EU193" s="93"/>
      <c r="EV193" s="29"/>
      <c r="EW193" s="29"/>
      <c r="EX193" s="29"/>
      <c r="EY193" s="29"/>
      <c r="EZ193" s="29"/>
      <c r="FA193" s="29"/>
      <c r="FB193" s="93"/>
      <c r="FC193" s="29"/>
      <c r="FD193" s="29"/>
      <c r="FE193" s="29"/>
      <c r="FF193" s="29"/>
      <c r="FG193" s="29"/>
      <c r="FH193" s="29"/>
      <c r="FI193" s="93"/>
      <c r="FJ193" s="29"/>
      <c r="FK193" s="29"/>
      <c r="FL193" s="29"/>
      <c r="FM193" s="29"/>
      <c r="FN193" s="29"/>
      <c r="FO193" s="29"/>
      <c r="FP193" s="93"/>
      <c r="FQ193" s="29"/>
      <c r="FR193" s="29"/>
      <c r="FS193" s="29"/>
      <c r="FT193" s="29"/>
      <c r="FU193" s="29"/>
      <c r="FV193" s="29"/>
    </row>
    <row r="194" spans="1:178" x14ac:dyDescent="0.25">
      <c r="A194" t="str">
        <f ca="1">IF(_xll.TM1RPTELISCONSOLIDATED($D$28,$D194),IF(_xll.TM1RPTELLEV($D$28,$D194)&lt;=3,_xll.TM1RPTELLEV($D$28,$D194),"D"),"N")</f>
        <v>N</v>
      </c>
      <c r="B194" t="str">
        <f ca="1">_xll.DBRA(Server&amp;"Management_organization",$D194,$B$27)</f>
        <v>L</v>
      </c>
      <c r="C194">
        <v>1</v>
      </c>
      <c r="D194" s="2" t="s">
        <v>301</v>
      </c>
      <c r="E194" s="26"/>
      <c r="F194" s="26"/>
      <c r="G194" s="16">
        <f ca="1">_xll.DBRW($D$4,$E$7,$E$8,$E$9,$E$10,$E$12,$D194,$E$6,G$18,G$17)</f>
        <v>5.0384200000000184E-2</v>
      </c>
      <c r="H194" s="16">
        <f ca="1">_xll.DBRW($D$4,$E$7,$E$8,$E$9,$E$10,$E$12,$D194,$E$6,H$18,H$17)</f>
        <v>-0.34360916000000008</v>
      </c>
      <c r="I194" s="16">
        <f ca="1">_xll.DBRW($D$4,$E$7,$E$8,$E$9,$E$10,$E$12,$D194,$E$6,I$18,I$17)</f>
        <v>0</v>
      </c>
      <c r="J194" s="26">
        <f ca="1">_xll.DBRW($D$4,$E$7,$E$8,$E$9,$E$10,$E$12,$D194,$E$6,J$18,J$17)</f>
        <v>0</v>
      </c>
      <c r="K194" s="26">
        <f ca="1">_xll.DBRW($D$4,$E$7,$E$8,$E$9,$E$10,$E$12,$D194,$E$6,K$18,K$17)</f>
        <v>0</v>
      </c>
      <c r="L194" s="26">
        <f ca="1">_xll.DBRW($D$4,$E$7,$E$8,$E$9,$E$10,$E$12,$D194,$E$6,L$18,L$17)</f>
        <v>0</v>
      </c>
      <c r="M194" s="26">
        <f ca="1">_xll.DBRW($D$4,$E$7,$E$8,$E$9,$E$10,$E$12,$D194,$E$6,M$18,M$17)</f>
        <v>0</v>
      </c>
      <c r="N194" s="16">
        <f ca="1">_xll.DBRW($D$4,$E$7,$E$8,$E$9,$E$10,$E$12,$D194,$E$6,N$18,N$17)</f>
        <v>0.39399336000000029</v>
      </c>
      <c r="O194" s="16">
        <f ca="1">_xll.DBRW($D$4,$E$7,$E$8,$E$9,$E$10,$E$12,$D194,$E$6,O$18,O$17)</f>
        <v>6.3569565699999986</v>
      </c>
      <c r="P194" s="74">
        <f ca="1">_xll.DBRW($D$4,$E$7,$E$8,$E$9,$E$10,$E$12,$D194,$E$6,P$18,P$17)</f>
        <v>-2.7288729199999993</v>
      </c>
      <c r="Q194" s="16">
        <f ca="1">_xll.DBRW($D$4,$E$7,$E$8,$E$9,$E$10,$E$12,$D194,$E$6,Q$18,Q$17)</f>
        <v>0.42927348802069915</v>
      </c>
      <c r="R194" s="16"/>
      <c r="S194" s="16"/>
      <c r="T194" s="16"/>
      <c r="U194" s="16"/>
      <c r="V194" s="16">
        <f ca="1">_xll.DBRW($D$4,$E$7,$E$8,$E$9,$E$10,$E$12,$D194,$E$6,V$18,V$17)</f>
        <v>-0.94877274</v>
      </c>
      <c r="W194" s="16">
        <f ca="1">_xll.DBRW($D$4,$E$7,$E$8,$E$9,$E$10,$E$12,$D194,$E$6,W$18,W$17)</f>
        <v>0.14924952366003033</v>
      </c>
      <c r="X194" s="16"/>
      <c r="Y194" s="16"/>
      <c r="Z194" s="16"/>
      <c r="AA194" s="16"/>
      <c r="AB194" s="16">
        <f ca="1">_xll.DBRW($D$4,$E$7,$E$8,$E$9,$E$10,$E$12,$D194,$E$6,AB$18,AB$17)</f>
        <v>-0.96311335999999981</v>
      </c>
      <c r="AC194" s="16">
        <f ca="1">_xll.DBRW($D$4,$E$7,$E$8,$E$9,$E$10,$E$12,$D194,$E$6,AC$18,AC$17)</f>
        <v>0.15150541763100325</v>
      </c>
      <c r="AD194" s="16"/>
      <c r="AE194" s="16"/>
      <c r="AF194" s="16"/>
      <c r="AG194" s="16"/>
      <c r="AH194" s="16">
        <f ca="1">_xll.DBRW($D$4,$E$7,$E$8,$E$9,$E$10,$E$12,$D194,$E$6,AH$18,AH$17)</f>
        <v>-1.26752468</v>
      </c>
      <c r="AI194" s="16">
        <f ca="1">_xll.DBRW($D$4,$E$7,$E$8,$E$9,$E$10,$E$12,$D194,$E$6,AI$18,AI$17)</f>
        <v>0.1993917476142204</v>
      </c>
      <c r="AJ194" s="16"/>
      <c r="AK194" s="16"/>
      <c r="AL194" s="16"/>
      <c r="AM194" s="16"/>
      <c r="AN194" s="16">
        <f ca="1">_xll.DBRW($D$4,$E$7,$E$8,$E$9,$E$10,$E$12,$D194,$E$6,AN$18,AN$17)</f>
        <v>-0.16574047999999997</v>
      </c>
      <c r="AO194" s="16">
        <f ca="1">_xll.DBRW($D$4,$E$7,$E$8,$E$9,$E$10,$E$12,$D194,$E$6,AO$18,AO$17)</f>
        <v>2.6072300191914005E-2</v>
      </c>
      <c r="AP194" s="16"/>
      <c r="AQ194" s="16"/>
      <c r="AR194" s="16"/>
      <c r="AS194" s="16"/>
      <c r="AT194" s="16">
        <f ca="1">_xll.DBRW($D$4,$E$7,$E$8,$E$9,$E$10,$E$12,$D194,$E$6,AT$18,AT$17)</f>
        <v>1.3877787807814457E-17</v>
      </c>
      <c r="AU194" s="16">
        <f ca="1">_xll.DBRW($D$4,$E$7,$E$8,$E$9,$E$10,$E$12,$D194,$E$6,AU$18,AU$17)</f>
        <v>0</v>
      </c>
      <c r="AV194" s="16">
        <f ca="1">_xll.DBRW($D$4,$E$7,$E$8,$E$9,$E$10,$E$12,$D194,$E$6,AV$18,AV$17)</f>
        <v>4.4408920985006262E-16</v>
      </c>
      <c r="AW194" s="16">
        <f ca="1">_xll.DBRW($D$4,$E$7,$E$8,$E$9,$E$10,$E$12,$D194,$E$6,AW$18,AW$17)</f>
        <v>0</v>
      </c>
      <c r="AX194" s="16">
        <f ca="1">_xll.DBRW($D$4,$E$7,$E$8,$E$9,$E$10,$E$12,$D194,$E$6,AX$18,AX$17)</f>
        <v>-1.1102230246251565E-16</v>
      </c>
      <c r="AY194" s="16">
        <f ca="1">_xll.DBRW($D$4,$E$7,$E$8,$E$9,$E$10,$E$12,$D194,$E$6,AY$18,AY$17)</f>
        <v>0</v>
      </c>
      <c r="AZ194" s="16">
        <f ca="1">_xll.DBRW($D$4,$E$7,$E$8,$E$9,$E$10,$E$12,$D194,$E$6,AZ$18,AZ$17)</f>
        <v>0</v>
      </c>
      <c r="BA194" s="16">
        <f ca="1">_xll.DBRW($D$4,$E$7,$E$8,$E$9,$E$10,$E$12,$D194,$E$6,BA$18,BA$17)</f>
        <v>0</v>
      </c>
      <c r="BB194" s="16">
        <f ca="1">_xll.DBRW($D$4,$E$7,$E$8,$E$9,$E$10,$E$12,$D194,$E$6,BB$18,BB$17)</f>
        <v>0</v>
      </c>
      <c r="BC194" s="16">
        <f ca="1">_xll.DBRW($D$4,$E$7,$E$8,$E$9,$E$10,$E$12,$D194,$E$6,BC$18,BC$17)</f>
        <v>0</v>
      </c>
      <c r="BD194" s="16">
        <f ca="1">_xll.DBRW($D$4,$E$7,$E$8,$E$9,$E$10,$E$12,$D194,$E$6,BD$18,BD$17)</f>
        <v>9.0208330000002085E-2</v>
      </c>
      <c r="BE194" s="16">
        <f ca="1">_xll.DBRW($D$4,$E$7,$E$8,$E$9,$E$10,$E$12,$D194,$E$6,BE$18,BE$17)</f>
        <v>-0.33059587999999995</v>
      </c>
      <c r="BF194" s="16">
        <f ca="1">_xll.DBRW($D$4,$E$7,$E$8,$E$9,$E$10,$E$12,$D194,$E$6,BF$18,BF$17)</f>
        <v>0</v>
      </c>
      <c r="BG194" s="26">
        <f ca="1">_xll.DBRW($D$4,$E$7,$E$8,$E$9,$E$10,$E$12,$D194,$E$6,BG$18,BG$17)</f>
        <v>0</v>
      </c>
      <c r="BH194" s="26">
        <f ca="1">_xll.DBRW($D$4,$E$7,$E$8,$E$9,$E$10,$E$12,$D194,$E$6,BH$18,BH$17)</f>
        <v>0</v>
      </c>
      <c r="BI194" s="26">
        <f ca="1">_xll.DBRW($D$4,$E$7,$E$8,$E$9,$E$10,$E$12,$D194,$E$6,BI$18,BI$17)</f>
        <v>0</v>
      </c>
      <c r="BJ194" s="26">
        <f ca="1">_xll.DBRW($D$4,$E$7,$E$8,$E$9,$E$10,$E$12,$D194,$E$6,BJ$18,BJ$17)</f>
        <v>0</v>
      </c>
      <c r="BK194" s="16">
        <f ca="1">_xll.DBRW($D$4,$E$7,$E$8,$E$9,$E$10,$E$12,$D194,$E$6,BK$18,BK$17)</f>
        <v>0.42080421000000207</v>
      </c>
      <c r="BL194" s="16">
        <f ca="1">_xll.DBRW($D$4,$E$7,$E$8,$E$9,$E$10,$E$12,$D194,$E$6,BL$18,BL$17)</f>
        <v>6.4464671699999991</v>
      </c>
      <c r="BM194" s="16">
        <f ca="1">_xll.DBRW($D$4,$E$7,$E$8,$E$9,$E$10,$E$12,$D194,$E$6,BM$18,BM$17)</f>
        <v>-3.23179908</v>
      </c>
      <c r="BN194" s="16">
        <f ca="1">_xll.DBRW($D$4,$E$7,$E$8,$E$9,$E$10,$E$12,$D194,$E$6,BN$18,BN$17)</f>
        <v>0.50132871149020375</v>
      </c>
      <c r="BO194" s="16"/>
      <c r="BP194" s="16"/>
      <c r="BQ194" s="16"/>
      <c r="BR194" s="16"/>
      <c r="BS194" s="16">
        <f ca="1">_xll.DBRW($D$4,$E$7,$E$8,$E$9,$E$10,$E$12,$D194,$E$6,BS$18,BS$17)</f>
        <v>-0.54680266</v>
      </c>
      <c r="BT194" s="16">
        <f ca="1">_xll.DBRW($D$4,$E$7,$E$8,$E$9,$E$10,$E$12,$D194,$E$6,BT$18,BT$17)</f>
        <v>8.4822065416645887E-2</v>
      </c>
      <c r="BU194" s="16"/>
      <c r="BV194" s="16"/>
      <c r="BW194" s="16"/>
      <c r="BX194" s="16"/>
      <c r="BY194" s="16">
        <f ca="1">_xll.DBRW($D$4,$E$7,$E$8,$E$9,$E$10,$E$12,$D194,$E$6,BY$18,BY$17)</f>
        <v>-0.87190200000000007</v>
      </c>
      <c r="BZ194" s="16">
        <f ca="1">_xll.DBRW($D$4,$E$7,$E$8,$E$9,$E$10,$E$12,$D194,$E$6,BZ$18,BZ$17)</f>
        <v>0.13525268600724141</v>
      </c>
      <c r="CA194" s="16"/>
      <c r="CB194" s="16"/>
      <c r="CC194" s="16"/>
      <c r="CD194" s="16"/>
      <c r="CE194" s="16">
        <f ca="1">_xll.DBRW($D$4,$E$7,$E$8,$E$9,$E$10,$E$12,$D194,$E$6,CE$18,CE$17)</f>
        <v>-1.1659513599999998</v>
      </c>
      <c r="CF194" s="16">
        <f ca="1">_xll.DBRW($D$4,$E$7,$E$8,$E$9,$E$10,$E$12,$D194,$E$6,CF$18,CF$17)</f>
        <v>0.18086671804147261</v>
      </c>
      <c r="CG194" s="16"/>
      <c r="CH194" s="16"/>
      <c r="CI194" s="16"/>
      <c r="CJ194" s="16"/>
      <c r="CK194" s="16">
        <f ca="1">_xll.DBRW($D$4,$E$7,$E$8,$E$9,$E$10,$E$12,$D194,$E$6,CK$18,CK$17)</f>
        <v>-0.23265986000000002</v>
      </c>
      <c r="CL194" s="16">
        <f ca="1">_xll.DBRW($D$4,$E$7,$E$8,$E$9,$E$10,$E$12,$D194,$E$6,CL$18,CL$17)</f>
        <v>3.6091064123111027E-2</v>
      </c>
      <c r="CM194" s="16"/>
      <c r="CN194" s="16"/>
      <c r="CO194" s="16"/>
      <c r="CP194" s="16"/>
      <c r="CQ194" s="16">
        <f ca="1">_xll.DBRW($D$4,$E$7,$E$8,$E$9,$E$10,$E$12,$D194,$E$6,CQ$18,CQ$17)</f>
        <v>0.14830280629999995</v>
      </c>
      <c r="CR194" s="16">
        <f ca="1">_xll.DBRW($D$4,$E$7,$E$8,$E$9,$E$10,$E$12,$D194,$E$6,CR$18,CR$17)</f>
        <v>2.9437365829999997</v>
      </c>
      <c r="CS194" s="16">
        <f ca="1">_xll.DBRW($D$4,$E$7,$E$8,$E$9,$E$10,$E$12,$D194,$E$6,CS$18,CS$17)</f>
        <v>2.6843263330000005</v>
      </c>
      <c r="CT194" s="16">
        <f ca="1">_xll.DBRW($D$4,$E$7,$E$8,$E$9,$E$10,$E$12,$D194,$E$6,CT$18,CT$17)</f>
        <v>2.9437365829999997</v>
      </c>
      <c r="CU194" s="16">
        <f ca="1">_xll.DBRW($D$4,$E$7,$E$8,$E$9,$E$10,$E$12,$D194,$E$6,CU$18,CU$17)</f>
        <v>1.0544219049999999</v>
      </c>
      <c r="CV194" s="16">
        <f ca="1">_xll.DBRW($D$4,$E$7,$E$8,$E$9,$E$10,$E$12,$D194,$E$6,CV$18,CV$17)</f>
        <v>2.9437365829999997</v>
      </c>
      <c r="CW194" s="16">
        <f ca="1">_xll.DBRW($D$4,$E$7,$E$8,$E$9,$E$10,$E$12,$D194,$E$6,CW$18,CW$17)</f>
        <v>6.2000000000000003E-5</v>
      </c>
      <c r="CX194" s="16">
        <f ca="1">_xll.DBRW($D$4,$E$7,$E$8,$E$9,$E$10,$E$12,$D194,$E$6,CX$18,CX$17)</f>
        <v>2.9437365829999997</v>
      </c>
      <c r="CY194" s="16">
        <f ca="1">_xll.DBRW($D$4,$E$7,$E$8,$E$9,$E$10,$E$12,$D194,$E$6,CY$18,CY$17)</f>
        <v>2.9437365829999997</v>
      </c>
      <c r="CZ194" s="16">
        <f ca="1">_xll.DBRW($D$4,$E$7,$E$8,$E$9,$E$10,$E$12,$D194,$E$6,CZ$18,CZ$17)</f>
        <v>2.9437365829999997</v>
      </c>
      <c r="DA194" s="26">
        <f t="shared" ca="1" si="127"/>
        <v>-3.9824130000001901E-2</v>
      </c>
      <c r="DB194" s="26">
        <f t="shared" ca="1" si="128"/>
        <v>-1.3013280000000127E-2</v>
      </c>
      <c r="DC194" s="26">
        <f t="shared" ca="1" si="129"/>
        <v>0</v>
      </c>
      <c r="DD194" s="26">
        <f t="shared" ca="1" si="130"/>
        <v>0</v>
      </c>
      <c r="DE194" s="26">
        <f t="shared" ca="1" si="131"/>
        <v>0</v>
      </c>
      <c r="DF194" s="26">
        <f t="shared" ca="1" si="132"/>
        <v>0</v>
      </c>
      <c r="DG194" s="26">
        <f t="shared" ca="1" si="133"/>
        <v>0</v>
      </c>
      <c r="DH194" s="26">
        <f t="shared" ca="1" si="134"/>
        <v>-2.6810850000001774E-2</v>
      </c>
      <c r="DI194" s="26">
        <f t="shared" ca="1" si="135"/>
        <v>-8.9510600000000551E-2</v>
      </c>
      <c r="DJ194" s="26">
        <f t="shared" ca="1" si="136"/>
        <v>0.50292616000000079</v>
      </c>
      <c r="DK194" s="26">
        <f t="shared" ca="1" si="137"/>
        <v>-7.2055223469504603E-2</v>
      </c>
      <c r="DL194" s="26"/>
      <c r="DM194" s="26"/>
      <c r="DN194" s="26"/>
      <c r="DO194" s="26"/>
      <c r="DP194" s="26">
        <f t="shared" ca="1" si="138"/>
        <v>-0.40197008000000001</v>
      </c>
      <c r="DQ194" s="26">
        <f t="shared" ca="1" si="139"/>
        <v>6.4427458243384444E-2</v>
      </c>
      <c r="DR194" s="26"/>
      <c r="DS194" s="26"/>
      <c r="DT194" s="26"/>
      <c r="DU194" s="26"/>
      <c r="DV194" s="26">
        <f t="shared" ca="1" si="140"/>
        <v>-9.1211359999999742E-2</v>
      </c>
      <c r="DW194" s="26">
        <f t="shared" ca="1" si="141"/>
        <v>1.625273162376184E-2</v>
      </c>
      <c r="DX194" s="26"/>
      <c r="DY194" s="26"/>
      <c r="DZ194" s="26"/>
      <c r="EA194" s="26"/>
      <c r="EB194" s="26">
        <f t="shared" ca="1" si="142"/>
        <v>-0.10157332000000019</v>
      </c>
      <c r="EC194" s="26">
        <f t="shared" ca="1" si="143"/>
        <v>1.8525029572747792E-2</v>
      </c>
      <c r="ED194" s="26"/>
      <c r="EE194" s="26"/>
      <c r="EF194" s="26"/>
      <c r="EG194" s="26"/>
      <c r="EH194" s="26">
        <f t="shared" ca="1" si="144"/>
        <v>6.6919380000000056E-2</v>
      </c>
      <c r="EI194" s="29">
        <f t="shared" ca="1" si="145"/>
        <v>-1.0018763931197022E-2</v>
      </c>
      <c r="EJ194" s="29"/>
      <c r="EK194" s="29"/>
      <c r="EL194" s="29"/>
      <c r="EM194" s="29"/>
      <c r="EN194" s="93"/>
      <c r="EO194" s="29"/>
      <c r="EP194" s="29"/>
      <c r="EQ194" s="29"/>
      <c r="ER194" s="29"/>
      <c r="ES194" s="29"/>
      <c r="ET194" s="29"/>
      <c r="EU194" s="93"/>
      <c r="EV194" s="29"/>
      <c r="EW194" s="29"/>
      <c r="EX194" s="29"/>
      <c r="EY194" s="29"/>
      <c r="EZ194" s="29"/>
      <c r="FA194" s="29"/>
      <c r="FB194" s="93"/>
      <c r="FC194" s="29"/>
      <c r="FD194" s="29"/>
      <c r="FE194" s="29"/>
      <c r="FF194" s="29"/>
      <c r="FG194" s="29"/>
      <c r="FH194" s="29"/>
      <c r="FI194" s="93"/>
      <c r="FJ194" s="29"/>
      <c r="FK194" s="29"/>
      <c r="FL194" s="29"/>
      <c r="FM194" s="29"/>
      <c r="FN194" s="29"/>
      <c r="FO194" s="29"/>
      <c r="FP194" s="93"/>
      <c r="FQ194" s="29"/>
      <c r="FR194" s="29"/>
      <c r="FS194" s="29"/>
      <c r="FT194" s="29"/>
      <c r="FU194" s="29"/>
      <c r="FV194" s="29"/>
    </row>
    <row r="195" spans="1:178" x14ac:dyDescent="0.25">
      <c r="A195" t="str">
        <f ca="1">IF(_xll.TM1RPTELISCONSOLIDATED($D$28,$D195),IF(_xll.TM1RPTELLEV($D$28,$D195)&lt;=3,_xll.TM1RPTELLEV($D$28,$D195),"D"),"N")</f>
        <v>N</v>
      </c>
      <c r="B195" t="str">
        <f ca="1">_xll.DBRA(Server&amp;"Management_organization",$D195,$B$27)</f>
        <v>L</v>
      </c>
      <c r="C195">
        <v>1</v>
      </c>
      <c r="D195" s="2" t="s">
        <v>214</v>
      </c>
      <c r="E195" s="26"/>
      <c r="F195" s="26"/>
      <c r="G195" s="16">
        <f ca="1">_xll.DBRW($D$4,$E$7,$E$8,$E$9,$E$10,$E$12,$D195,$E$6,G$18,G$17)</f>
        <v>2.2287645400000002</v>
      </c>
      <c r="H195" s="16">
        <f ca="1">_xll.DBRW($D$4,$E$7,$E$8,$E$9,$E$10,$E$12,$D195,$E$6,H$18,H$17)</f>
        <v>-1.2085697100000001</v>
      </c>
      <c r="I195" s="16">
        <f ca="1">_xll.DBRW($D$4,$E$7,$E$8,$E$9,$E$10,$E$12,$D195,$E$6,I$18,I$17)</f>
        <v>0</v>
      </c>
      <c r="J195" s="26">
        <f ca="1">_xll.DBRW($D$4,$E$7,$E$8,$E$9,$E$10,$E$12,$D195,$E$6,J$18,J$17)</f>
        <v>0</v>
      </c>
      <c r="K195" s="26">
        <f ca="1">_xll.DBRW($D$4,$E$7,$E$8,$E$9,$E$10,$E$12,$D195,$E$6,K$18,K$17)</f>
        <v>0</v>
      </c>
      <c r="L195" s="26">
        <f ca="1">_xll.DBRW($D$4,$E$7,$E$8,$E$9,$E$10,$E$12,$D195,$E$6,L$18,L$17)</f>
        <v>0</v>
      </c>
      <c r="M195" s="26">
        <f ca="1">_xll.DBRW($D$4,$E$7,$E$8,$E$9,$E$10,$E$12,$D195,$E$6,M$18,M$17)</f>
        <v>0</v>
      </c>
      <c r="N195" s="16">
        <f ca="1">_xll.DBRW($D$4,$E$7,$E$8,$E$9,$E$10,$E$12,$D195,$E$6,N$18,N$17)</f>
        <v>3.4373342499999997</v>
      </c>
      <c r="O195" s="16">
        <f ca="1">_xll.DBRW($D$4,$E$7,$E$8,$E$9,$E$10,$E$12,$D195,$E$6,O$18,O$17)</f>
        <v>17.189210419999998</v>
      </c>
      <c r="P195" s="74">
        <f ca="1">_xll.DBRW($D$4,$E$7,$E$8,$E$9,$E$10,$E$12,$D195,$E$6,P$18,P$17)</f>
        <v>-8.5170435799999993</v>
      </c>
      <c r="Q195" s="16">
        <f ca="1">_xll.DBRW($D$4,$E$7,$E$8,$E$9,$E$10,$E$12,$D195,$E$6,Q$18,Q$17)</f>
        <v>0.49548777238134478</v>
      </c>
      <c r="R195" s="16"/>
      <c r="S195" s="16"/>
      <c r="T195" s="16"/>
      <c r="U195" s="16"/>
      <c r="V195" s="16">
        <f ca="1">_xll.DBRW($D$4,$E$7,$E$8,$E$9,$E$10,$E$12,$D195,$E$6,V$18,V$17)</f>
        <v>-1.32214159</v>
      </c>
      <c r="W195" s="16">
        <f ca="1">_xll.DBRW($D$4,$E$7,$E$8,$E$9,$E$10,$E$12,$D195,$E$6,W$18,W$17)</f>
        <v>7.6916947183429743E-2</v>
      </c>
      <c r="X195" s="16"/>
      <c r="Y195" s="16"/>
      <c r="Z195" s="16"/>
      <c r="AA195" s="16"/>
      <c r="AB195" s="16">
        <f ca="1">_xll.DBRW($D$4,$E$7,$E$8,$E$9,$E$10,$E$12,$D195,$E$6,AB$18,AB$17)</f>
        <v>-1.9446246800000004</v>
      </c>
      <c r="AC195" s="16">
        <f ca="1">_xll.DBRW($D$4,$E$7,$E$8,$E$9,$E$10,$E$12,$D195,$E$6,AC$18,AC$17)</f>
        <v>0.11313054133873361</v>
      </c>
      <c r="AD195" s="16"/>
      <c r="AE195" s="16"/>
      <c r="AF195" s="16"/>
      <c r="AG195" s="16"/>
      <c r="AH195" s="16">
        <f ca="1">_xll.DBRW($D$4,$E$7,$E$8,$E$9,$E$10,$E$12,$D195,$E$6,AH$18,AH$17)</f>
        <v>-1.4057818299999998</v>
      </c>
      <c r="AI195" s="16">
        <f ca="1">_xll.DBRW($D$4,$E$7,$E$8,$E$9,$E$10,$E$12,$D195,$E$6,AI$18,AI$17)</f>
        <v>8.178280419235219E-2</v>
      </c>
      <c r="AJ195" s="16"/>
      <c r="AK195" s="16"/>
      <c r="AL195" s="16"/>
      <c r="AM195" s="16"/>
      <c r="AN195" s="16">
        <f ca="1">_xll.DBRW($D$4,$E$7,$E$8,$E$9,$E$10,$E$12,$D195,$E$6,AN$18,AN$17)</f>
        <v>-0.61092027999999987</v>
      </c>
      <c r="AO195" s="16">
        <f ca="1">_xll.DBRW($D$4,$E$7,$E$8,$E$9,$E$10,$E$12,$D195,$E$6,AO$18,AO$17)</f>
        <v>3.5540915788033034E-2</v>
      </c>
      <c r="AP195" s="16"/>
      <c r="AQ195" s="16"/>
      <c r="AR195" s="16"/>
      <c r="AS195" s="16"/>
      <c r="AT195" s="16">
        <f ca="1">_xll.DBRW($D$4,$E$7,$E$8,$E$9,$E$10,$E$12,$D195,$E$6,AT$18,AT$17)</f>
        <v>2.7755575615628914E-17</v>
      </c>
      <c r="AU195" s="16">
        <f ca="1">_xll.DBRW($D$4,$E$7,$E$8,$E$9,$E$10,$E$12,$D195,$E$6,AU$18,AU$17)</f>
        <v>0</v>
      </c>
      <c r="AV195" s="16">
        <f ca="1">_xll.DBRW($D$4,$E$7,$E$8,$E$9,$E$10,$E$12,$D195,$E$6,AV$18,AV$17)</f>
        <v>0</v>
      </c>
      <c r="AW195" s="16">
        <f ca="1">_xll.DBRW($D$4,$E$7,$E$8,$E$9,$E$10,$E$12,$D195,$E$6,AW$18,AW$17)</f>
        <v>0</v>
      </c>
      <c r="AX195" s="16">
        <f ca="1">_xll.DBRW($D$4,$E$7,$E$8,$E$9,$E$10,$E$12,$D195,$E$6,AX$18,AX$17)</f>
        <v>-2.2204460492503131E-16</v>
      </c>
      <c r="AY195" s="16">
        <f ca="1">_xll.DBRW($D$4,$E$7,$E$8,$E$9,$E$10,$E$12,$D195,$E$6,AY$18,AY$17)</f>
        <v>0</v>
      </c>
      <c r="AZ195" s="16">
        <f ca="1">_xll.DBRW($D$4,$E$7,$E$8,$E$9,$E$10,$E$12,$D195,$E$6,AZ$18,AZ$17)</f>
        <v>0</v>
      </c>
      <c r="BA195" s="16">
        <f ca="1">_xll.DBRW($D$4,$E$7,$E$8,$E$9,$E$10,$E$12,$D195,$E$6,BA$18,BA$17)</f>
        <v>0</v>
      </c>
      <c r="BB195" s="16">
        <f ca="1">_xll.DBRW($D$4,$E$7,$E$8,$E$9,$E$10,$E$12,$D195,$E$6,BB$18,BB$17)</f>
        <v>0</v>
      </c>
      <c r="BC195" s="16">
        <f ca="1">_xll.DBRW($D$4,$E$7,$E$8,$E$9,$E$10,$E$12,$D195,$E$6,BC$18,BC$17)</f>
        <v>0</v>
      </c>
      <c r="BD195" s="16">
        <f ca="1">_xll.DBRW($D$4,$E$7,$E$8,$E$9,$E$10,$E$12,$D195,$E$6,BD$18,BD$17)</f>
        <v>2.4330526700000021</v>
      </c>
      <c r="BE195" s="16">
        <f ca="1">_xll.DBRW($D$4,$E$7,$E$8,$E$9,$E$10,$E$12,$D195,$E$6,BE$18,BE$17)</f>
        <v>-1.2847746799999999</v>
      </c>
      <c r="BF195" s="16">
        <f ca="1">_xll.DBRW($D$4,$E$7,$E$8,$E$9,$E$10,$E$12,$D195,$E$6,BF$18,BF$17)</f>
        <v>0</v>
      </c>
      <c r="BG195" s="26">
        <f ca="1">_xll.DBRW($D$4,$E$7,$E$8,$E$9,$E$10,$E$12,$D195,$E$6,BG$18,BG$17)</f>
        <v>0</v>
      </c>
      <c r="BH195" s="26">
        <f ca="1">_xll.DBRW($D$4,$E$7,$E$8,$E$9,$E$10,$E$12,$D195,$E$6,BH$18,BH$17)</f>
        <v>0</v>
      </c>
      <c r="BI195" s="26">
        <f ca="1">_xll.DBRW($D$4,$E$7,$E$8,$E$9,$E$10,$E$12,$D195,$E$6,BI$18,BI$17)</f>
        <v>0</v>
      </c>
      <c r="BJ195" s="26">
        <f ca="1">_xll.DBRW($D$4,$E$7,$E$8,$E$9,$E$10,$E$12,$D195,$E$6,BJ$18,BJ$17)</f>
        <v>0</v>
      </c>
      <c r="BK195" s="16">
        <f ca="1">_xll.DBRW($D$4,$E$7,$E$8,$E$9,$E$10,$E$12,$D195,$E$6,BK$18,BK$17)</f>
        <v>3.7178273500000016</v>
      </c>
      <c r="BL195" s="16">
        <f ca="1">_xll.DBRW($D$4,$E$7,$E$8,$E$9,$E$10,$E$12,$D195,$E$6,BL$18,BL$17)</f>
        <v>19.273137900000002</v>
      </c>
      <c r="BM195" s="16">
        <f ca="1">_xll.DBRW($D$4,$E$7,$E$8,$E$9,$E$10,$E$12,$D195,$E$6,BM$18,BM$17)</f>
        <v>-9.9079185800000005</v>
      </c>
      <c r="BN195" s="16">
        <f ca="1">_xll.DBRW($D$4,$E$7,$E$8,$E$9,$E$10,$E$12,$D195,$E$6,BN$18,BN$17)</f>
        <v>0.51407916196147796</v>
      </c>
      <c r="BO195" s="16"/>
      <c r="BP195" s="16"/>
      <c r="BQ195" s="16"/>
      <c r="BR195" s="16"/>
      <c r="BS195" s="16">
        <f ca="1">_xll.DBRW($D$4,$E$7,$E$8,$E$9,$E$10,$E$12,$D195,$E$6,BS$18,BS$17)</f>
        <v>-1.11855332</v>
      </c>
      <c r="BT195" s="16">
        <f ca="1">_xll.DBRW($D$4,$E$7,$E$8,$E$9,$E$10,$E$12,$D195,$E$6,BT$18,BT$17)</f>
        <v>5.8036907420249396E-2</v>
      </c>
      <c r="BU195" s="16"/>
      <c r="BV195" s="16"/>
      <c r="BW195" s="16"/>
      <c r="BX195" s="16"/>
      <c r="BY195" s="16">
        <f ca="1">_xll.DBRW($D$4,$E$7,$E$8,$E$9,$E$10,$E$12,$D195,$E$6,BY$18,BY$17)</f>
        <v>-2.0621046700000001</v>
      </c>
      <c r="BZ195" s="16">
        <f ca="1">_xll.DBRW($D$4,$E$7,$E$8,$E$9,$E$10,$E$12,$D195,$E$6,BZ$18,BZ$17)</f>
        <v>0.10699371740602759</v>
      </c>
      <c r="CA195" s="16"/>
      <c r="CB195" s="16"/>
      <c r="CC195" s="16"/>
      <c r="CD195" s="16"/>
      <c r="CE195" s="16">
        <f ca="1">_xll.DBRW($D$4,$E$7,$E$8,$E$9,$E$10,$E$12,$D195,$E$6,CE$18,CE$17)</f>
        <v>-1.6810104099999998</v>
      </c>
      <c r="CF195" s="16">
        <f ca="1">_xll.DBRW($D$4,$E$7,$E$8,$E$9,$E$10,$E$12,$D195,$E$6,CF$18,CF$17)</f>
        <v>8.722037992578259E-2</v>
      </c>
      <c r="CG195" s="16"/>
      <c r="CH195" s="16"/>
      <c r="CI195" s="16"/>
      <c r="CJ195" s="16"/>
      <c r="CK195" s="16">
        <f ca="1">_xll.DBRW($D$4,$E$7,$E$8,$E$9,$E$10,$E$12,$D195,$E$6,CK$18,CK$17)</f>
        <v>-0.83714856999999987</v>
      </c>
      <c r="CL195" s="16">
        <f ca="1">_xll.DBRW($D$4,$E$7,$E$8,$E$9,$E$10,$E$12,$D195,$E$6,CL$18,CL$17)</f>
        <v>4.3436028650010325E-2</v>
      </c>
      <c r="CM195" s="16"/>
      <c r="CN195" s="16"/>
      <c r="CO195" s="16"/>
      <c r="CP195" s="16"/>
      <c r="CQ195" s="16">
        <f ca="1">_xll.DBRW($D$4,$E$7,$E$8,$E$9,$E$10,$E$12,$D195,$E$6,CQ$18,CQ$17)</f>
        <v>0.29775437230000001</v>
      </c>
      <c r="CR195" s="16">
        <f ca="1">_xll.DBRW($D$4,$E$7,$E$8,$E$9,$E$10,$E$12,$D195,$E$6,CR$18,CR$17)</f>
        <v>5.4856715830000002</v>
      </c>
      <c r="CS195" s="16">
        <f ca="1">_xll.DBRW($D$4,$E$7,$E$8,$E$9,$E$10,$E$12,$D195,$E$6,CS$18,CS$17)</f>
        <v>5.6042735829999994</v>
      </c>
      <c r="CT195" s="16">
        <f ca="1">_xll.DBRW($D$4,$E$7,$E$8,$E$9,$E$10,$E$12,$D195,$E$6,CT$18,CT$17)</f>
        <v>5.4856715830000002</v>
      </c>
      <c r="CU195" s="16">
        <f ca="1">_xll.DBRW($D$4,$E$7,$E$8,$E$9,$E$10,$E$12,$D195,$E$6,CU$18,CU$17)</f>
        <v>2.4860970959999995</v>
      </c>
      <c r="CV195" s="16">
        <f ca="1">_xll.DBRW($D$4,$E$7,$E$8,$E$9,$E$10,$E$12,$D195,$E$6,CV$18,CV$17)</f>
        <v>5.4856715830000002</v>
      </c>
      <c r="CW195" s="16">
        <f ca="1">_xll.DBRW($D$4,$E$7,$E$8,$E$9,$E$10,$E$12,$D195,$E$6,CW$18,CW$17)</f>
        <v>1.21E-4</v>
      </c>
      <c r="CX195" s="16">
        <f ca="1">_xll.DBRW($D$4,$E$7,$E$8,$E$9,$E$10,$E$12,$D195,$E$6,CX$18,CX$17)</f>
        <v>5.4856715830000002</v>
      </c>
      <c r="CY195" s="16">
        <f ca="1">_xll.DBRW($D$4,$E$7,$E$8,$E$9,$E$10,$E$12,$D195,$E$6,CY$18,CY$17)</f>
        <v>5.4856715830000002</v>
      </c>
      <c r="CZ195" s="16">
        <f ca="1">_xll.DBRW($D$4,$E$7,$E$8,$E$9,$E$10,$E$12,$D195,$E$6,CZ$18,CZ$17)</f>
        <v>5.4856715830000002</v>
      </c>
      <c r="DA195" s="26">
        <f t="shared" ca="1" si="127"/>
        <v>-0.2042881300000019</v>
      </c>
      <c r="DB195" s="26">
        <f t="shared" ca="1" si="128"/>
        <v>7.6204969999999816E-2</v>
      </c>
      <c r="DC195" s="26">
        <f t="shared" ca="1" si="129"/>
        <v>0</v>
      </c>
      <c r="DD195" s="26">
        <f t="shared" ca="1" si="130"/>
        <v>0</v>
      </c>
      <c r="DE195" s="26">
        <f t="shared" ca="1" si="131"/>
        <v>0</v>
      </c>
      <c r="DF195" s="26">
        <f t="shared" ca="1" si="132"/>
        <v>0</v>
      </c>
      <c r="DG195" s="26">
        <f t="shared" ca="1" si="133"/>
        <v>0</v>
      </c>
      <c r="DH195" s="26">
        <f t="shared" ca="1" si="134"/>
        <v>-0.28049310000000194</v>
      </c>
      <c r="DI195" s="26">
        <f t="shared" ca="1" si="135"/>
        <v>-2.0839274800000034</v>
      </c>
      <c r="DJ195" s="26">
        <f t="shared" ca="1" si="136"/>
        <v>1.3908750000000012</v>
      </c>
      <c r="DK195" s="26">
        <f t="shared" ca="1" si="137"/>
        <v>-1.8591389580133177E-2</v>
      </c>
      <c r="DL195" s="26"/>
      <c r="DM195" s="26"/>
      <c r="DN195" s="26"/>
      <c r="DO195" s="26"/>
      <c r="DP195" s="26">
        <f t="shared" ca="1" si="138"/>
        <v>-0.20358827000000002</v>
      </c>
      <c r="DQ195" s="26">
        <f t="shared" ca="1" si="139"/>
        <v>1.8880039763180347E-2</v>
      </c>
      <c r="DR195" s="26"/>
      <c r="DS195" s="26"/>
      <c r="DT195" s="26"/>
      <c r="DU195" s="26"/>
      <c r="DV195" s="26">
        <f t="shared" ca="1" si="140"/>
        <v>0.11747998999999965</v>
      </c>
      <c r="DW195" s="26">
        <f t="shared" ca="1" si="141"/>
        <v>6.1368239327060231E-3</v>
      </c>
      <c r="DX195" s="26"/>
      <c r="DY195" s="26"/>
      <c r="DZ195" s="26"/>
      <c r="EA195" s="26"/>
      <c r="EB195" s="26">
        <f t="shared" ca="1" si="142"/>
        <v>0.27522858000000006</v>
      </c>
      <c r="EC195" s="26">
        <f t="shared" ca="1" si="143"/>
        <v>-5.4375757334303998E-3</v>
      </c>
      <c r="ED195" s="26"/>
      <c r="EE195" s="26"/>
      <c r="EF195" s="26"/>
      <c r="EG195" s="26"/>
      <c r="EH195" s="26">
        <f t="shared" ca="1" si="144"/>
        <v>0.22622829</v>
      </c>
      <c r="EI195" s="29">
        <f t="shared" ca="1" si="145"/>
        <v>-7.8951128619772909E-3</v>
      </c>
      <c r="EJ195" s="29"/>
      <c r="EK195" s="29"/>
      <c r="EL195" s="29"/>
      <c r="EM195" s="29"/>
      <c r="EN195" s="93"/>
      <c r="EO195" s="29"/>
      <c r="EP195" s="29"/>
      <c r="EQ195" s="29"/>
      <c r="ER195" s="29"/>
      <c r="ES195" s="29"/>
      <c r="ET195" s="29"/>
      <c r="EU195" s="93"/>
      <c r="EV195" s="29"/>
      <c r="EW195" s="29"/>
      <c r="EX195" s="29"/>
      <c r="EY195" s="29"/>
      <c r="EZ195" s="29"/>
      <c r="FA195" s="29"/>
      <c r="FB195" s="93"/>
      <c r="FC195" s="29"/>
      <c r="FD195" s="29"/>
      <c r="FE195" s="29"/>
      <c r="FF195" s="29"/>
      <c r="FG195" s="29"/>
      <c r="FH195" s="29"/>
      <c r="FI195" s="93"/>
      <c r="FJ195" s="29"/>
      <c r="FK195" s="29"/>
      <c r="FL195" s="29"/>
      <c r="FM195" s="29"/>
      <c r="FN195" s="29"/>
      <c r="FO195" s="29"/>
      <c r="FP195" s="93"/>
      <c r="FQ195" s="29"/>
      <c r="FR195" s="29"/>
      <c r="FS195" s="29"/>
      <c r="FT195" s="29"/>
      <c r="FU195" s="29"/>
      <c r="FV195" s="29"/>
    </row>
    <row r="196" spans="1:178" x14ac:dyDescent="0.25">
      <c r="A196" t="str">
        <f ca="1">IF(_xll.TM1RPTELISCONSOLIDATED($D$28,$D196),IF(_xll.TM1RPTELLEV($D$28,$D196)&lt;=3,_xll.TM1RPTELLEV($D$28,$D196),"D"),"N")</f>
        <v>N</v>
      </c>
      <c r="B196" t="str">
        <f ca="1">_xll.DBRA(Server&amp;"Management_organization",$D196,$B$27)</f>
        <v>L</v>
      </c>
      <c r="C196">
        <v>1</v>
      </c>
      <c r="D196" s="2" t="s">
        <v>302</v>
      </c>
      <c r="E196" s="26"/>
      <c r="F196" s="26"/>
      <c r="G196" s="16">
        <f ca="1">_xll.DBRW($D$4,$E$7,$E$8,$E$9,$E$10,$E$12,$D196,$E$6,G$18,G$17)</f>
        <v>1.3559801300000041</v>
      </c>
      <c r="H196" s="16">
        <f ca="1">_xll.DBRW($D$4,$E$7,$E$8,$E$9,$E$10,$E$12,$D196,$E$6,H$18,H$17)</f>
        <v>-0.79739951999999992</v>
      </c>
      <c r="I196" s="16">
        <f ca="1">_xll.DBRW($D$4,$E$7,$E$8,$E$9,$E$10,$E$12,$D196,$E$6,I$18,I$17)</f>
        <v>0</v>
      </c>
      <c r="J196" s="26">
        <f ca="1">_xll.DBRW($D$4,$E$7,$E$8,$E$9,$E$10,$E$12,$D196,$E$6,J$18,J$17)</f>
        <v>0</v>
      </c>
      <c r="K196" s="26">
        <f ca="1">_xll.DBRW($D$4,$E$7,$E$8,$E$9,$E$10,$E$12,$D196,$E$6,K$18,K$17)</f>
        <v>-1E-3</v>
      </c>
      <c r="L196" s="26">
        <f ca="1">_xll.DBRW($D$4,$E$7,$E$8,$E$9,$E$10,$E$12,$D196,$E$6,L$18,L$17)</f>
        <v>0</v>
      </c>
      <c r="M196" s="26">
        <f ca="1">_xll.DBRW($D$4,$E$7,$E$8,$E$9,$E$10,$E$12,$D196,$E$6,M$18,M$17)</f>
        <v>0</v>
      </c>
      <c r="N196" s="16">
        <f ca="1">_xll.DBRW($D$4,$E$7,$E$8,$E$9,$E$10,$E$12,$D196,$E$6,N$18,N$17)</f>
        <v>2.1543796500000036</v>
      </c>
      <c r="O196" s="16">
        <f ca="1">_xll.DBRW($D$4,$E$7,$E$8,$E$9,$E$10,$E$12,$D196,$E$6,O$18,O$17)</f>
        <v>10.525432170000002</v>
      </c>
      <c r="P196" s="74">
        <f ca="1">_xll.DBRW($D$4,$E$7,$E$8,$E$9,$E$10,$E$12,$D196,$E$6,P$18,P$17)</f>
        <v>-4.9563392099999994</v>
      </c>
      <c r="Q196" s="16">
        <f ca="1">_xll.DBRW($D$4,$E$7,$E$8,$E$9,$E$10,$E$12,$D196,$E$6,Q$18,Q$17)</f>
        <v>0.47089175341671491</v>
      </c>
      <c r="R196" s="16"/>
      <c r="S196" s="16"/>
      <c r="T196" s="16"/>
      <c r="U196" s="16"/>
      <c r="V196" s="16">
        <f ca="1">_xll.DBRW($D$4,$E$7,$E$8,$E$9,$E$10,$E$12,$D196,$E$6,V$18,V$17)</f>
        <v>-0.80058246999999993</v>
      </c>
      <c r="W196" s="16">
        <f ca="1">_xll.DBRW($D$4,$E$7,$E$8,$E$9,$E$10,$E$12,$D196,$E$6,W$18,W$17)</f>
        <v>7.6061719563577768E-2</v>
      </c>
      <c r="X196" s="16"/>
      <c r="Y196" s="16"/>
      <c r="Z196" s="16"/>
      <c r="AA196" s="16"/>
      <c r="AB196" s="16">
        <f ca="1">_xll.DBRW($D$4,$E$7,$E$8,$E$9,$E$10,$E$12,$D196,$E$6,AB$18,AB$17)</f>
        <v>-1.4411459600000001</v>
      </c>
      <c r="AC196" s="16">
        <f ca="1">_xll.DBRW($D$4,$E$7,$E$8,$E$9,$E$10,$E$12,$D196,$E$6,AC$18,AC$17)</f>
        <v>0.13692035982214684</v>
      </c>
      <c r="AD196" s="16"/>
      <c r="AE196" s="16"/>
      <c r="AF196" s="16"/>
      <c r="AG196" s="16"/>
      <c r="AH196" s="16">
        <f ca="1">_xll.DBRW($D$4,$E$7,$E$8,$E$9,$E$10,$E$12,$D196,$E$6,AH$18,AH$17)</f>
        <v>-0.75629699000000006</v>
      </c>
      <c r="AI196" s="16">
        <f ca="1">_xll.DBRW($D$4,$E$7,$E$8,$E$9,$E$10,$E$12,$D196,$E$6,AI$18,AI$17)</f>
        <v>7.1854245772028938E-2</v>
      </c>
      <c r="AJ196" s="16"/>
      <c r="AK196" s="16"/>
      <c r="AL196" s="16"/>
      <c r="AM196" s="16"/>
      <c r="AN196" s="16">
        <f ca="1">_xll.DBRW($D$4,$E$7,$E$8,$E$9,$E$10,$E$12,$D196,$E$6,AN$18,AN$17)</f>
        <v>-0.41938788999999993</v>
      </c>
      <c r="AO196" s="16">
        <f ca="1">_xll.DBRW($D$4,$E$7,$E$8,$E$9,$E$10,$E$12,$D196,$E$6,AO$18,AO$17)</f>
        <v>3.984519430901428E-2</v>
      </c>
      <c r="AP196" s="16"/>
      <c r="AQ196" s="16"/>
      <c r="AR196" s="16"/>
      <c r="AS196" s="16"/>
      <c r="AT196" s="16">
        <f ca="1">_xll.DBRW($D$4,$E$7,$E$8,$E$9,$E$10,$E$12,$D196,$E$6,AT$18,AT$17)</f>
        <v>0</v>
      </c>
      <c r="AU196" s="16">
        <f ca="1">_xll.DBRW($D$4,$E$7,$E$8,$E$9,$E$10,$E$12,$D196,$E$6,AU$18,AU$17)</f>
        <v>0</v>
      </c>
      <c r="AV196" s="16">
        <f ca="1">_xll.DBRW($D$4,$E$7,$E$8,$E$9,$E$10,$E$12,$D196,$E$6,AV$18,AV$17)</f>
        <v>4.4408920985006262E-16</v>
      </c>
      <c r="AW196" s="16">
        <f ca="1">_xll.DBRW($D$4,$E$7,$E$8,$E$9,$E$10,$E$12,$D196,$E$6,AW$18,AW$17)</f>
        <v>0</v>
      </c>
      <c r="AX196" s="16">
        <f ca="1">_xll.DBRW($D$4,$E$7,$E$8,$E$9,$E$10,$E$12,$D196,$E$6,AX$18,AX$17)</f>
        <v>0</v>
      </c>
      <c r="AY196" s="16">
        <f ca="1">_xll.DBRW($D$4,$E$7,$E$8,$E$9,$E$10,$E$12,$D196,$E$6,AY$18,AY$17)</f>
        <v>0</v>
      </c>
      <c r="AZ196" s="16">
        <f ca="1">_xll.DBRW($D$4,$E$7,$E$8,$E$9,$E$10,$E$12,$D196,$E$6,AZ$18,AZ$17)</f>
        <v>0</v>
      </c>
      <c r="BA196" s="16">
        <f ca="1">_xll.DBRW($D$4,$E$7,$E$8,$E$9,$E$10,$E$12,$D196,$E$6,BA$18,BA$17)</f>
        <v>0</v>
      </c>
      <c r="BB196" s="16">
        <f ca="1">_xll.DBRW($D$4,$E$7,$E$8,$E$9,$E$10,$E$12,$D196,$E$6,BB$18,BB$17)</f>
        <v>0</v>
      </c>
      <c r="BC196" s="16">
        <f ca="1">_xll.DBRW($D$4,$E$7,$E$8,$E$9,$E$10,$E$12,$D196,$E$6,BC$18,BC$17)</f>
        <v>0</v>
      </c>
      <c r="BD196" s="16">
        <f ca="1">_xll.DBRW($D$4,$E$7,$E$8,$E$9,$E$10,$E$12,$D196,$E$6,BD$18,BD$17)</f>
        <v>0.79304837000000394</v>
      </c>
      <c r="BE196" s="16">
        <f ca="1">_xll.DBRW($D$4,$E$7,$E$8,$E$9,$E$10,$E$12,$D196,$E$6,BE$18,BE$17)</f>
        <v>-0.78817750000000009</v>
      </c>
      <c r="BF196" s="16">
        <f ca="1">_xll.DBRW($D$4,$E$7,$E$8,$E$9,$E$10,$E$12,$D196,$E$6,BF$18,BF$17)</f>
        <v>0</v>
      </c>
      <c r="BG196" s="26">
        <f ca="1">_xll.DBRW($D$4,$E$7,$E$8,$E$9,$E$10,$E$12,$D196,$E$6,BG$18,BG$17)</f>
        <v>0</v>
      </c>
      <c r="BH196" s="26">
        <f ca="1">_xll.DBRW($D$4,$E$7,$E$8,$E$9,$E$10,$E$12,$D196,$E$6,BH$18,BH$17)</f>
        <v>0</v>
      </c>
      <c r="BI196" s="26">
        <f ca="1">_xll.DBRW($D$4,$E$7,$E$8,$E$9,$E$10,$E$12,$D196,$E$6,BI$18,BI$17)</f>
        <v>0</v>
      </c>
      <c r="BJ196" s="26">
        <f ca="1">_xll.DBRW($D$4,$E$7,$E$8,$E$9,$E$10,$E$12,$D196,$E$6,BJ$18,BJ$17)</f>
        <v>0</v>
      </c>
      <c r="BK196" s="16">
        <f ca="1">_xll.DBRW($D$4,$E$7,$E$8,$E$9,$E$10,$E$12,$D196,$E$6,BK$18,BK$17)</f>
        <v>1.5812258700000044</v>
      </c>
      <c r="BL196" s="16">
        <f ca="1">_xll.DBRW($D$4,$E$7,$E$8,$E$9,$E$10,$E$12,$D196,$E$6,BL$18,BL$17)</f>
        <v>11.04072824</v>
      </c>
      <c r="BM196" s="16">
        <f ca="1">_xll.DBRW($D$4,$E$7,$E$8,$E$9,$E$10,$E$12,$D196,$E$6,BM$18,BM$17)</f>
        <v>-5.623109829999998</v>
      </c>
      <c r="BN196" s="16">
        <f ca="1">_xll.DBRW($D$4,$E$7,$E$8,$E$9,$E$10,$E$12,$D196,$E$6,BN$18,BN$17)</f>
        <v>0.50930606276746815</v>
      </c>
      <c r="BO196" s="16"/>
      <c r="BP196" s="16"/>
      <c r="BQ196" s="16"/>
      <c r="BR196" s="16"/>
      <c r="BS196" s="16">
        <f ca="1">_xll.DBRW($D$4,$E$7,$E$8,$E$9,$E$10,$E$12,$D196,$E$6,BS$18,BS$17)</f>
        <v>-0.97906112000000001</v>
      </c>
      <c r="BT196" s="16">
        <f ca="1">_xll.DBRW($D$4,$E$7,$E$8,$E$9,$E$10,$E$12,$D196,$E$6,BT$18,BT$17)</f>
        <v>8.8677222979994294E-2</v>
      </c>
      <c r="BU196" s="16"/>
      <c r="BV196" s="16"/>
      <c r="BW196" s="16"/>
      <c r="BX196" s="16"/>
      <c r="BY196" s="16">
        <f ca="1">_xll.DBRW($D$4,$E$7,$E$8,$E$9,$E$10,$E$12,$D196,$E$6,BY$18,BY$17)</f>
        <v>-1.4467681799999998</v>
      </c>
      <c r="BZ196" s="16">
        <f ca="1">_xll.DBRW($D$4,$E$7,$E$8,$E$9,$E$10,$E$12,$D196,$E$6,BZ$18,BZ$17)</f>
        <v>0.13103919855199694</v>
      </c>
      <c r="CA196" s="16"/>
      <c r="CB196" s="16"/>
      <c r="CC196" s="16"/>
      <c r="CD196" s="16"/>
      <c r="CE196" s="16">
        <f ca="1">_xll.DBRW($D$4,$E$7,$E$8,$E$9,$E$10,$E$12,$D196,$E$6,CE$18,CE$17)</f>
        <v>-0.82052173999999978</v>
      </c>
      <c r="CF196" s="16">
        <f ca="1">_xll.DBRW($D$4,$E$7,$E$8,$E$9,$E$10,$E$12,$D196,$E$6,CF$18,CF$17)</f>
        <v>7.4317719100021953E-2</v>
      </c>
      <c r="CG196" s="16"/>
      <c r="CH196" s="16"/>
      <c r="CI196" s="16"/>
      <c r="CJ196" s="16"/>
      <c r="CK196" s="16">
        <f ca="1">_xll.DBRW($D$4,$E$7,$E$8,$E$9,$E$10,$E$12,$D196,$E$6,CK$18,CK$17)</f>
        <v>-0.59004149999999989</v>
      </c>
      <c r="CL196" s="16">
        <f ca="1">_xll.DBRW($D$4,$E$7,$E$8,$E$9,$E$10,$E$12,$D196,$E$6,CL$18,CL$17)</f>
        <v>5.3442262790447947E-2</v>
      </c>
      <c r="CM196" s="16"/>
      <c r="CN196" s="16"/>
      <c r="CO196" s="16"/>
      <c r="CP196" s="16"/>
      <c r="CQ196" s="16">
        <f ca="1">_xll.DBRW($D$4,$E$7,$E$8,$E$9,$E$10,$E$12,$D196,$E$6,CQ$18,CQ$17)</f>
        <v>0.22136995029999998</v>
      </c>
      <c r="CR196" s="16">
        <f ca="1">_xll.DBRW($D$4,$E$7,$E$8,$E$9,$E$10,$E$12,$D196,$E$6,CR$18,CR$17)</f>
        <v>5.1944431389999997</v>
      </c>
      <c r="CS196" s="16">
        <f ca="1">_xll.DBRW($D$4,$E$7,$E$8,$E$9,$E$10,$E$12,$D196,$E$6,CS$18,CS$17)</f>
        <v>4.4379915290000005</v>
      </c>
      <c r="CT196" s="16">
        <f ca="1">_xll.DBRW($D$4,$E$7,$E$8,$E$9,$E$10,$E$12,$D196,$E$6,CT$18,CT$17)</f>
        <v>5.1944431389999997</v>
      </c>
      <c r="CU196" s="16">
        <f ca="1">_xll.DBRW($D$4,$E$7,$E$8,$E$9,$E$10,$E$12,$D196,$E$6,CU$18,CU$17)</f>
        <v>1.7020525180000001</v>
      </c>
      <c r="CV196" s="16">
        <f ca="1">_xll.DBRW($D$4,$E$7,$E$8,$E$9,$E$10,$E$12,$D196,$E$6,CV$18,CV$17)</f>
        <v>5.1944431389999997</v>
      </c>
      <c r="CW196" s="16">
        <f ca="1">_xll.DBRW($D$4,$E$7,$E$8,$E$9,$E$10,$E$12,$D196,$E$6,CW$18,CW$17)</f>
        <v>9.1000000000000003E-5</v>
      </c>
      <c r="CX196" s="16">
        <f ca="1">_xll.DBRW($D$4,$E$7,$E$8,$E$9,$E$10,$E$12,$D196,$E$6,CX$18,CX$17)</f>
        <v>5.1944431389999997</v>
      </c>
      <c r="CY196" s="16">
        <f ca="1">_xll.DBRW($D$4,$E$7,$E$8,$E$9,$E$10,$E$12,$D196,$E$6,CY$18,CY$17)</f>
        <v>5.1944431389999997</v>
      </c>
      <c r="CZ196" s="16">
        <f ca="1">_xll.DBRW($D$4,$E$7,$E$8,$E$9,$E$10,$E$12,$D196,$E$6,CZ$18,CZ$17)</f>
        <v>5.1944431389999997</v>
      </c>
      <c r="DA196" s="26">
        <f t="shared" ca="1" si="127"/>
        <v>0.56293176000000011</v>
      </c>
      <c r="DB196" s="26">
        <f t="shared" ca="1" si="128"/>
        <v>-9.2220199999998309E-3</v>
      </c>
      <c r="DC196" s="26">
        <f t="shared" ca="1" si="129"/>
        <v>0</v>
      </c>
      <c r="DD196" s="26">
        <f t="shared" ca="1" si="130"/>
        <v>0</v>
      </c>
      <c r="DE196" s="26">
        <f t="shared" ca="1" si="131"/>
        <v>-1E-3</v>
      </c>
      <c r="DF196" s="26">
        <f t="shared" ca="1" si="132"/>
        <v>0</v>
      </c>
      <c r="DG196" s="26">
        <f t="shared" ca="1" si="133"/>
        <v>0</v>
      </c>
      <c r="DH196" s="26">
        <f t="shared" ca="1" si="134"/>
        <v>0.57315377999999928</v>
      </c>
      <c r="DI196" s="26">
        <f t="shared" ca="1" si="135"/>
        <v>-0.515296069999998</v>
      </c>
      <c r="DJ196" s="26">
        <f t="shared" ca="1" si="136"/>
        <v>0.66677061999999854</v>
      </c>
      <c r="DK196" s="26">
        <f t="shared" ca="1" si="137"/>
        <v>-3.841430935075324E-2</v>
      </c>
      <c r="DL196" s="26"/>
      <c r="DM196" s="26"/>
      <c r="DN196" s="26"/>
      <c r="DO196" s="26"/>
      <c r="DP196" s="26">
        <f t="shared" ca="1" si="138"/>
        <v>0.17847865000000007</v>
      </c>
      <c r="DQ196" s="26">
        <f t="shared" ca="1" si="139"/>
        <v>-1.2615503416416526E-2</v>
      </c>
      <c r="DR196" s="26"/>
      <c r="DS196" s="26"/>
      <c r="DT196" s="26"/>
      <c r="DU196" s="26"/>
      <c r="DV196" s="26">
        <f t="shared" ca="1" si="140"/>
        <v>5.6222199999997891E-3</v>
      </c>
      <c r="DW196" s="26">
        <f t="shared" ca="1" si="141"/>
        <v>5.8811612701498983E-3</v>
      </c>
      <c r="DX196" s="26"/>
      <c r="DY196" s="26"/>
      <c r="DZ196" s="26"/>
      <c r="EA196" s="26"/>
      <c r="EB196" s="26">
        <f t="shared" ca="1" si="142"/>
        <v>6.422474999999972E-2</v>
      </c>
      <c r="EC196" s="26">
        <f t="shared" ca="1" si="143"/>
        <v>-2.4634733279930154E-3</v>
      </c>
      <c r="ED196" s="26"/>
      <c r="EE196" s="26"/>
      <c r="EF196" s="26"/>
      <c r="EG196" s="26"/>
      <c r="EH196" s="26">
        <f t="shared" ca="1" si="144"/>
        <v>0.17065360999999996</v>
      </c>
      <c r="EI196" s="29">
        <f t="shared" ca="1" si="145"/>
        <v>-1.3597068481433668E-2</v>
      </c>
      <c r="EJ196" s="29"/>
      <c r="EK196" s="29"/>
      <c r="EL196" s="29"/>
      <c r="EM196" s="29"/>
      <c r="EN196" s="93"/>
      <c r="EO196" s="29"/>
      <c r="EP196" s="29"/>
      <c r="EQ196" s="29"/>
      <c r="ER196" s="29"/>
      <c r="ES196" s="29"/>
      <c r="ET196" s="29"/>
      <c r="EU196" s="93"/>
      <c r="EV196" s="29"/>
      <c r="EW196" s="29"/>
      <c r="EX196" s="29"/>
      <c r="EY196" s="29"/>
      <c r="EZ196" s="29"/>
      <c r="FA196" s="29"/>
      <c r="FB196" s="93"/>
      <c r="FC196" s="29"/>
      <c r="FD196" s="29"/>
      <c r="FE196" s="29"/>
      <c r="FF196" s="29"/>
      <c r="FG196" s="29"/>
      <c r="FH196" s="29"/>
      <c r="FI196" s="93"/>
      <c r="FJ196" s="29"/>
      <c r="FK196" s="29"/>
      <c r="FL196" s="29"/>
      <c r="FM196" s="29"/>
      <c r="FN196" s="29"/>
      <c r="FO196" s="29"/>
      <c r="FP196" s="93"/>
      <c r="FQ196" s="29"/>
      <c r="FR196" s="29"/>
      <c r="FS196" s="29"/>
      <c r="FT196" s="29"/>
      <c r="FU196" s="29"/>
      <c r="FV196" s="29"/>
    </row>
    <row r="197" spans="1:178" x14ac:dyDescent="0.25">
      <c r="A197" t="str">
        <f ca="1">IF(_xll.TM1RPTELISCONSOLIDATED($D$28,$D197),IF(_xll.TM1RPTELLEV($D$28,$D197)&lt;=3,_xll.TM1RPTELLEV($D$28,$D197),"D"),"N")</f>
        <v>N</v>
      </c>
      <c r="B197" t="str">
        <f ca="1">_xll.DBRA(Server&amp;"Management_organization",$D197,$B$27)</f>
        <v>L</v>
      </c>
      <c r="C197">
        <v>1</v>
      </c>
      <c r="D197" s="2" t="s">
        <v>303</v>
      </c>
      <c r="E197" s="26"/>
      <c r="F197" s="26"/>
      <c r="G197" s="16">
        <f ca="1">_xll.DBRW($D$4,$E$7,$E$8,$E$9,$E$10,$E$12,$D197,$E$6,G$18,G$17)</f>
        <v>1.1840548900000014</v>
      </c>
      <c r="H197" s="16">
        <f ca="1">_xll.DBRW($D$4,$E$7,$E$8,$E$9,$E$10,$E$12,$D197,$E$6,H$18,H$17)</f>
        <v>-0.58620786999999996</v>
      </c>
      <c r="I197" s="16">
        <f ca="1">_xll.DBRW($D$4,$E$7,$E$8,$E$9,$E$10,$E$12,$D197,$E$6,I$18,I$17)</f>
        <v>0</v>
      </c>
      <c r="J197" s="26">
        <f ca="1">_xll.DBRW($D$4,$E$7,$E$8,$E$9,$E$10,$E$12,$D197,$E$6,J$18,J$17)</f>
        <v>0</v>
      </c>
      <c r="K197" s="26">
        <f ca="1">_xll.DBRW($D$4,$E$7,$E$8,$E$9,$E$10,$E$12,$D197,$E$6,K$18,K$17)</f>
        <v>0</v>
      </c>
      <c r="L197" s="26">
        <f ca="1">_xll.DBRW($D$4,$E$7,$E$8,$E$9,$E$10,$E$12,$D197,$E$6,L$18,L$17)</f>
        <v>0</v>
      </c>
      <c r="M197" s="26">
        <f ca="1">_xll.DBRW($D$4,$E$7,$E$8,$E$9,$E$10,$E$12,$D197,$E$6,M$18,M$17)</f>
        <v>0</v>
      </c>
      <c r="N197" s="16">
        <f ca="1">_xll.DBRW($D$4,$E$7,$E$8,$E$9,$E$10,$E$12,$D197,$E$6,N$18,N$17)</f>
        <v>1.7702627600000012</v>
      </c>
      <c r="O197" s="16">
        <f ca="1">_xll.DBRW($D$4,$E$7,$E$8,$E$9,$E$10,$E$12,$D197,$E$6,O$18,O$17)</f>
        <v>6.8409822399999998</v>
      </c>
      <c r="P197" s="74">
        <f ca="1">_xll.DBRW($D$4,$E$7,$E$8,$E$9,$E$10,$E$12,$D197,$E$6,P$18,P$17)</f>
        <v>-3.2623408199999995</v>
      </c>
      <c r="Q197" s="16">
        <f ca="1">_xll.DBRW($D$4,$E$7,$E$8,$E$9,$E$10,$E$12,$D197,$E$6,Q$18,Q$17)</f>
        <v>0.47688193091990833</v>
      </c>
      <c r="R197" s="16"/>
      <c r="S197" s="16"/>
      <c r="T197" s="16"/>
      <c r="U197" s="16"/>
      <c r="V197" s="16">
        <f ca="1">_xll.DBRW($D$4,$E$7,$E$8,$E$9,$E$10,$E$12,$D197,$E$6,V$18,V$17)</f>
        <v>-0.27051756999999998</v>
      </c>
      <c r="W197" s="16">
        <f ca="1">_xll.DBRW($D$4,$E$7,$E$8,$E$9,$E$10,$E$12,$D197,$E$6,W$18,W$17)</f>
        <v>3.9543673775127353E-2</v>
      </c>
      <c r="X197" s="16"/>
      <c r="Y197" s="16"/>
      <c r="Z197" s="16"/>
      <c r="AA197" s="16"/>
      <c r="AB197" s="16">
        <f ca="1">_xll.DBRW($D$4,$E$7,$E$8,$E$9,$E$10,$E$12,$D197,$E$6,AB$18,AB$17)</f>
        <v>-0.81417464000000017</v>
      </c>
      <c r="AC197" s="16">
        <f ca="1">_xll.DBRW($D$4,$E$7,$E$8,$E$9,$E$10,$E$12,$D197,$E$6,AC$18,AC$17)</f>
        <v>0.11901428938660717</v>
      </c>
      <c r="AD197" s="16"/>
      <c r="AE197" s="16"/>
      <c r="AF197" s="16"/>
      <c r="AG197" s="16"/>
      <c r="AH197" s="16">
        <f ca="1">_xll.DBRW($D$4,$E$7,$E$8,$E$9,$E$10,$E$12,$D197,$E$6,AH$18,AH$17)</f>
        <v>-0.61227967999999988</v>
      </c>
      <c r="AI197" s="16">
        <f ca="1">_xll.DBRW($D$4,$E$7,$E$8,$E$9,$E$10,$E$12,$D197,$E$6,AI$18,AI$17)</f>
        <v>8.9501720442998825E-2</v>
      </c>
      <c r="AJ197" s="16"/>
      <c r="AK197" s="16"/>
      <c r="AL197" s="16"/>
      <c r="AM197" s="16"/>
      <c r="AN197" s="16">
        <f ca="1">_xll.DBRW($D$4,$E$7,$E$8,$E$9,$E$10,$E$12,$D197,$E$6,AN$18,AN$17)</f>
        <v>-0.11308602999999999</v>
      </c>
      <c r="AO197" s="16">
        <f ca="1">_xll.DBRW($D$4,$E$7,$E$8,$E$9,$E$10,$E$12,$D197,$E$6,AO$18,AO$17)</f>
        <v>1.6530671478544871E-2</v>
      </c>
      <c r="AP197" s="16"/>
      <c r="AQ197" s="16"/>
      <c r="AR197" s="16"/>
      <c r="AS197" s="16"/>
      <c r="AT197" s="16">
        <f ca="1">_xll.DBRW($D$4,$E$7,$E$8,$E$9,$E$10,$E$12,$D197,$E$6,AT$18,AT$17)</f>
        <v>0</v>
      </c>
      <c r="AU197" s="16">
        <f ca="1">_xll.DBRW($D$4,$E$7,$E$8,$E$9,$E$10,$E$12,$D197,$E$6,AU$18,AU$17)</f>
        <v>0</v>
      </c>
      <c r="AV197" s="16">
        <f ca="1">_xll.DBRW($D$4,$E$7,$E$8,$E$9,$E$10,$E$12,$D197,$E$6,AV$18,AV$17)</f>
        <v>-2.2204460492503131E-16</v>
      </c>
      <c r="AW197" s="16">
        <f ca="1">_xll.DBRW($D$4,$E$7,$E$8,$E$9,$E$10,$E$12,$D197,$E$6,AW$18,AW$17)</f>
        <v>0</v>
      </c>
      <c r="AX197" s="16">
        <f ca="1">_xll.DBRW($D$4,$E$7,$E$8,$E$9,$E$10,$E$12,$D197,$E$6,AX$18,AX$17)</f>
        <v>0</v>
      </c>
      <c r="AY197" s="16">
        <f ca="1">_xll.DBRW($D$4,$E$7,$E$8,$E$9,$E$10,$E$12,$D197,$E$6,AY$18,AY$17)</f>
        <v>0</v>
      </c>
      <c r="AZ197" s="16">
        <f ca="1">_xll.DBRW($D$4,$E$7,$E$8,$E$9,$E$10,$E$12,$D197,$E$6,AZ$18,AZ$17)</f>
        <v>0</v>
      </c>
      <c r="BA197" s="16">
        <f ca="1">_xll.DBRW($D$4,$E$7,$E$8,$E$9,$E$10,$E$12,$D197,$E$6,BA$18,BA$17)</f>
        <v>0</v>
      </c>
      <c r="BB197" s="16">
        <f ca="1">_xll.DBRW($D$4,$E$7,$E$8,$E$9,$E$10,$E$12,$D197,$E$6,BB$18,BB$17)</f>
        <v>0</v>
      </c>
      <c r="BC197" s="16">
        <f ca="1">_xll.DBRW($D$4,$E$7,$E$8,$E$9,$E$10,$E$12,$D197,$E$6,BC$18,BC$17)</f>
        <v>0</v>
      </c>
      <c r="BD197" s="16">
        <f ca="1">_xll.DBRW($D$4,$E$7,$E$8,$E$9,$E$10,$E$12,$D197,$E$6,BD$18,BD$17)</f>
        <v>0.72373105999999954</v>
      </c>
      <c r="BE197" s="16">
        <f ca="1">_xll.DBRW($D$4,$E$7,$E$8,$E$9,$E$10,$E$12,$D197,$E$6,BE$18,BE$17)</f>
        <v>-0.58031146</v>
      </c>
      <c r="BF197" s="16">
        <f ca="1">_xll.DBRW($D$4,$E$7,$E$8,$E$9,$E$10,$E$12,$D197,$E$6,BF$18,BF$17)</f>
        <v>0</v>
      </c>
      <c r="BG197" s="26">
        <f ca="1">_xll.DBRW($D$4,$E$7,$E$8,$E$9,$E$10,$E$12,$D197,$E$6,BG$18,BG$17)</f>
        <v>0</v>
      </c>
      <c r="BH197" s="26">
        <f ca="1">_xll.DBRW($D$4,$E$7,$E$8,$E$9,$E$10,$E$12,$D197,$E$6,BH$18,BH$17)</f>
        <v>0</v>
      </c>
      <c r="BI197" s="26">
        <f ca="1">_xll.DBRW($D$4,$E$7,$E$8,$E$9,$E$10,$E$12,$D197,$E$6,BI$18,BI$17)</f>
        <v>0</v>
      </c>
      <c r="BJ197" s="26">
        <f ca="1">_xll.DBRW($D$4,$E$7,$E$8,$E$9,$E$10,$E$12,$D197,$E$6,BJ$18,BJ$17)</f>
        <v>0</v>
      </c>
      <c r="BK197" s="16">
        <f ca="1">_xll.DBRW($D$4,$E$7,$E$8,$E$9,$E$10,$E$12,$D197,$E$6,BK$18,BK$17)</f>
        <v>1.3040425199999994</v>
      </c>
      <c r="BL197" s="16">
        <f ca="1">_xll.DBRW($D$4,$E$7,$E$8,$E$9,$E$10,$E$12,$D197,$E$6,BL$18,BL$17)</f>
        <v>7.4391414200000003</v>
      </c>
      <c r="BM197" s="16">
        <f ca="1">_xll.DBRW($D$4,$E$7,$E$8,$E$9,$E$10,$E$12,$D197,$E$6,BM$18,BM$17)</f>
        <v>-3.8799523600000008</v>
      </c>
      <c r="BN197" s="16">
        <f ca="1">_xll.DBRW($D$4,$E$7,$E$8,$E$9,$E$10,$E$12,$D197,$E$6,BN$18,BN$17)</f>
        <v>0.52155916132590485</v>
      </c>
      <c r="BO197" s="16"/>
      <c r="BP197" s="16"/>
      <c r="BQ197" s="16"/>
      <c r="BR197" s="16"/>
      <c r="BS197" s="16">
        <f ca="1">_xll.DBRW($D$4,$E$7,$E$8,$E$9,$E$10,$E$12,$D197,$E$6,BS$18,BS$17)</f>
        <v>-0.39382566000000008</v>
      </c>
      <c r="BT197" s="16">
        <f ca="1">_xll.DBRW($D$4,$E$7,$E$8,$E$9,$E$10,$E$12,$D197,$E$6,BT$18,BT$17)</f>
        <v>5.2939665717498897E-2</v>
      </c>
      <c r="BU197" s="16"/>
      <c r="BV197" s="16"/>
      <c r="BW197" s="16"/>
      <c r="BX197" s="16"/>
      <c r="BY197" s="16">
        <f ca="1">_xll.DBRW($D$4,$E$7,$E$8,$E$9,$E$10,$E$12,$D197,$E$6,BY$18,BY$17)</f>
        <v>-0.80580749999999979</v>
      </c>
      <c r="BZ197" s="16">
        <f ca="1">_xll.DBRW($D$4,$E$7,$E$8,$E$9,$E$10,$E$12,$D197,$E$6,BZ$18,BZ$17)</f>
        <v>0.1083199598590236</v>
      </c>
      <c r="CA197" s="16"/>
      <c r="CB197" s="16"/>
      <c r="CC197" s="16"/>
      <c r="CD197" s="16"/>
      <c r="CE197" s="16">
        <f ca="1">_xll.DBRW($D$4,$E$7,$E$8,$E$9,$E$10,$E$12,$D197,$E$6,CE$18,CE$17)</f>
        <v>-0.69798557999999988</v>
      </c>
      <c r="CF197" s="16">
        <f ca="1">_xll.DBRW($D$4,$E$7,$E$8,$E$9,$E$10,$E$12,$D197,$E$6,CF$18,CF$17)</f>
        <v>9.3826093710690589E-2</v>
      </c>
      <c r="CG197" s="16"/>
      <c r="CH197" s="16"/>
      <c r="CI197" s="16"/>
      <c r="CJ197" s="16"/>
      <c r="CK197" s="16">
        <f ca="1">_xll.DBRW($D$4,$E$7,$E$8,$E$9,$E$10,$E$12,$D197,$E$6,CK$18,CK$17)</f>
        <v>-0.36651113000000002</v>
      </c>
      <c r="CL197" s="16">
        <f ca="1">_xll.DBRW($D$4,$E$7,$E$8,$E$9,$E$10,$E$12,$D197,$E$6,CL$18,CL$17)</f>
        <v>4.9267934202009027E-2</v>
      </c>
      <c r="CM197" s="16"/>
      <c r="CN197" s="16"/>
      <c r="CO197" s="16"/>
      <c r="CP197" s="16"/>
      <c r="CQ197" s="16">
        <f ca="1">_xll.DBRW($D$4,$E$7,$E$8,$E$9,$E$10,$E$12,$D197,$E$6,CQ$18,CQ$17)</f>
        <v>0.1297511979</v>
      </c>
      <c r="CR197" s="16">
        <f ca="1">_xll.DBRW($D$4,$E$7,$E$8,$E$9,$E$10,$E$12,$D197,$E$6,CR$18,CR$17)</f>
        <v>2.4487787500000002</v>
      </c>
      <c r="CS197" s="16">
        <f ca="1">_xll.DBRW($D$4,$E$7,$E$8,$E$9,$E$10,$E$12,$D197,$E$6,CS$18,CS$17)</f>
        <v>2.3151333330000003</v>
      </c>
      <c r="CT197" s="16">
        <f ca="1">_xll.DBRW($D$4,$E$7,$E$8,$E$9,$E$10,$E$12,$D197,$E$6,CT$18,CT$17)</f>
        <v>2.4487787500000002</v>
      </c>
      <c r="CU197" s="16">
        <f ca="1">_xll.DBRW($D$4,$E$7,$E$8,$E$9,$E$10,$E$12,$D197,$E$6,CU$18,CU$17)</f>
        <v>0.97580887080000012</v>
      </c>
      <c r="CV197" s="16">
        <f ca="1">_xll.DBRW($D$4,$E$7,$E$8,$E$9,$E$10,$E$12,$D197,$E$6,CV$18,CV$17)</f>
        <v>2.4487787500000002</v>
      </c>
      <c r="CW197" s="16">
        <f ca="1">_xll.DBRW($D$4,$E$7,$E$8,$E$9,$E$10,$E$12,$D197,$E$6,CW$18,CW$17)</f>
        <v>5.5000000000000002E-5</v>
      </c>
      <c r="CX197" s="16">
        <f ca="1">_xll.DBRW($D$4,$E$7,$E$8,$E$9,$E$10,$E$12,$D197,$E$6,CX$18,CX$17)</f>
        <v>2.4487787500000002</v>
      </c>
      <c r="CY197" s="16">
        <f ca="1">_xll.DBRW($D$4,$E$7,$E$8,$E$9,$E$10,$E$12,$D197,$E$6,CY$18,CY$17)</f>
        <v>2.4487787500000002</v>
      </c>
      <c r="CZ197" s="16">
        <f ca="1">_xll.DBRW($D$4,$E$7,$E$8,$E$9,$E$10,$E$12,$D197,$E$6,CZ$18,CZ$17)</f>
        <v>2.4487787500000002</v>
      </c>
      <c r="DA197" s="26">
        <f t="shared" ca="1" si="127"/>
        <v>0.46032383000000188</v>
      </c>
      <c r="DB197" s="26">
        <f t="shared" ca="1" si="128"/>
        <v>-5.8964099999999631E-3</v>
      </c>
      <c r="DC197" s="26">
        <f t="shared" ca="1" si="129"/>
        <v>0</v>
      </c>
      <c r="DD197" s="26">
        <f t="shared" ca="1" si="130"/>
        <v>0</v>
      </c>
      <c r="DE197" s="26">
        <f t="shared" ca="1" si="131"/>
        <v>0</v>
      </c>
      <c r="DF197" s="26">
        <f t="shared" ca="1" si="132"/>
        <v>0</v>
      </c>
      <c r="DG197" s="26">
        <f t="shared" ca="1" si="133"/>
        <v>0</v>
      </c>
      <c r="DH197" s="26">
        <f t="shared" ca="1" si="134"/>
        <v>0.46622024000000173</v>
      </c>
      <c r="DI197" s="26">
        <f t="shared" ca="1" si="135"/>
        <v>-0.59815918000000057</v>
      </c>
      <c r="DJ197" s="26">
        <f t="shared" ca="1" si="136"/>
        <v>0.61761154000000129</v>
      </c>
      <c r="DK197" s="26">
        <f t="shared" ca="1" si="137"/>
        <v>-4.4677230405996526E-2</v>
      </c>
      <c r="DL197" s="26"/>
      <c r="DM197" s="26"/>
      <c r="DN197" s="26"/>
      <c r="DO197" s="26"/>
      <c r="DP197" s="26">
        <f t="shared" ca="1" si="138"/>
        <v>0.12330809000000009</v>
      </c>
      <c r="DQ197" s="26">
        <f t="shared" ca="1" si="139"/>
        <v>-1.3395991942371545E-2</v>
      </c>
      <c r="DR197" s="26"/>
      <c r="DS197" s="26"/>
      <c r="DT197" s="26"/>
      <c r="DU197" s="26"/>
      <c r="DV197" s="26">
        <f t="shared" ca="1" si="140"/>
        <v>-8.3671400000003837E-3</v>
      </c>
      <c r="DW197" s="26">
        <f t="shared" ca="1" si="141"/>
        <v>1.0694329527583576E-2</v>
      </c>
      <c r="DX197" s="26"/>
      <c r="DY197" s="26"/>
      <c r="DZ197" s="26"/>
      <c r="EA197" s="26"/>
      <c r="EB197" s="26">
        <f t="shared" ca="1" si="142"/>
        <v>8.5705900000000002E-2</v>
      </c>
      <c r="EC197" s="26">
        <f t="shared" ca="1" si="143"/>
        <v>-4.324373267691764E-3</v>
      </c>
      <c r="ED197" s="26"/>
      <c r="EE197" s="26"/>
      <c r="EF197" s="26"/>
      <c r="EG197" s="26"/>
      <c r="EH197" s="26">
        <f t="shared" ca="1" si="144"/>
        <v>0.25342510000000001</v>
      </c>
      <c r="EI197" s="29">
        <f t="shared" ca="1" si="145"/>
        <v>-3.2737262723464153E-2</v>
      </c>
      <c r="EJ197" s="29"/>
      <c r="EK197" s="29"/>
      <c r="EL197" s="29"/>
      <c r="EM197" s="29"/>
      <c r="EN197" s="93"/>
      <c r="EO197" s="29"/>
      <c r="EP197" s="29"/>
      <c r="EQ197" s="29"/>
      <c r="ER197" s="29"/>
      <c r="ES197" s="29"/>
      <c r="ET197" s="29"/>
      <c r="EU197" s="93"/>
      <c r="EV197" s="29"/>
      <c r="EW197" s="29"/>
      <c r="EX197" s="29"/>
      <c r="EY197" s="29"/>
      <c r="EZ197" s="29"/>
      <c r="FA197" s="29"/>
      <c r="FB197" s="93"/>
      <c r="FC197" s="29"/>
      <c r="FD197" s="29"/>
      <c r="FE197" s="29"/>
      <c r="FF197" s="29"/>
      <c r="FG197" s="29"/>
      <c r="FH197" s="29"/>
      <c r="FI197" s="93"/>
      <c r="FJ197" s="29"/>
      <c r="FK197" s="29"/>
      <c r="FL197" s="29"/>
      <c r="FM197" s="29"/>
      <c r="FN197" s="29"/>
      <c r="FO197" s="29"/>
      <c r="FP197" s="93"/>
      <c r="FQ197" s="29"/>
      <c r="FR197" s="29"/>
      <c r="FS197" s="29"/>
      <c r="FT197" s="29"/>
      <c r="FU197" s="29"/>
      <c r="FV197" s="29"/>
    </row>
    <row r="198" spans="1:178" x14ac:dyDescent="0.25">
      <c r="A198" t="str">
        <f ca="1">IF(_xll.TM1RPTELISCONSOLIDATED($D$28,$D198),IF(_xll.TM1RPTELLEV($D$28,$D198)&lt;=3,_xll.TM1RPTELLEV($D$28,$D198),"D"),"N")</f>
        <v>N</v>
      </c>
      <c r="B198" t="str">
        <f ca="1">_xll.DBRA(Server&amp;"Management_organization",$D198,$B$27)</f>
        <v>L</v>
      </c>
      <c r="C198">
        <v>1</v>
      </c>
      <c r="D198" s="2" t="s">
        <v>215</v>
      </c>
      <c r="E198" s="26"/>
      <c r="F198" s="26"/>
      <c r="G198" s="16">
        <f ca="1">_xll.DBRW($D$4,$E$7,$E$8,$E$9,$E$10,$E$12,$D198,$E$6,G$18,G$17)</f>
        <v>0.72196914999999984</v>
      </c>
      <c r="H198" s="16">
        <f ca="1">_xll.DBRW($D$4,$E$7,$E$8,$E$9,$E$10,$E$12,$D198,$E$6,H$18,H$17)</f>
        <v>-0.29460384999999994</v>
      </c>
      <c r="I198" s="16">
        <f ca="1">_xll.DBRW($D$4,$E$7,$E$8,$E$9,$E$10,$E$12,$D198,$E$6,I$18,I$17)</f>
        <v>0</v>
      </c>
      <c r="J198" s="26">
        <f ca="1">_xll.DBRW($D$4,$E$7,$E$8,$E$9,$E$10,$E$12,$D198,$E$6,J$18,J$17)</f>
        <v>0</v>
      </c>
      <c r="K198" s="26">
        <f ca="1">_xll.DBRW($D$4,$E$7,$E$8,$E$9,$E$10,$E$12,$D198,$E$6,K$18,K$17)</f>
        <v>0</v>
      </c>
      <c r="L198" s="26">
        <f ca="1">_xll.DBRW($D$4,$E$7,$E$8,$E$9,$E$10,$E$12,$D198,$E$6,L$18,L$17)</f>
        <v>0</v>
      </c>
      <c r="M198" s="26">
        <f ca="1">_xll.DBRW($D$4,$E$7,$E$8,$E$9,$E$10,$E$12,$D198,$E$6,M$18,M$17)</f>
        <v>0</v>
      </c>
      <c r="N198" s="16">
        <f ca="1">_xll.DBRW($D$4,$E$7,$E$8,$E$9,$E$10,$E$12,$D198,$E$6,N$18,N$17)</f>
        <v>1.0165729999999995</v>
      </c>
      <c r="O198" s="16">
        <f ca="1">_xll.DBRW($D$4,$E$7,$E$8,$E$9,$E$10,$E$12,$D198,$E$6,O$18,O$17)</f>
        <v>4.98336164</v>
      </c>
      <c r="P198" s="74">
        <f ca="1">_xll.DBRW($D$4,$E$7,$E$8,$E$9,$E$10,$E$12,$D198,$E$6,P$18,P$17)</f>
        <v>-2.9510725200000003</v>
      </c>
      <c r="Q198" s="16">
        <f ca="1">_xll.DBRW($D$4,$E$7,$E$8,$E$9,$E$10,$E$12,$D198,$E$6,Q$18,Q$17)</f>
        <v>0.59218510178201722</v>
      </c>
      <c r="R198" s="16"/>
      <c r="S198" s="16"/>
      <c r="T198" s="16"/>
      <c r="U198" s="16"/>
      <c r="V198" s="16">
        <f ca="1">_xll.DBRW($D$4,$E$7,$E$8,$E$9,$E$10,$E$12,$D198,$E$6,V$18,V$17)</f>
        <v>-0.27796814999999997</v>
      </c>
      <c r="W198" s="16">
        <f ca="1">_xll.DBRW($D$4,$E$7,$E$8,$E$9,$E$10,$E$12,$D198,$E$6,W$18,W$17)</f>
        <v>5.5779245031873696E-2</v>
      </c>
      <c r="X198" s="16"/>
      <c r="Y198" s="16"/>
      <c r="Z198" s="16"/>
      <c r="AA198" s="16"/>
      <c r="AB198" s="16">
        <f ca="1">_xll.DBRW($D$4,$E$7,$E$8,$E$9,$E$10,$E$12,$D198,$E$6,AB$18,AB$17)</f>
        <v>-0.53141347999999966</v>
      </c>
      <c r="AC198" s="16">
        <f ca="1">_xll.DBRW($D$4,$E$7,$E$8,$E$9,$E$10,$E$12,$D198,$E$6,AC$18,AC$17)</f>
        <v>0.10663755079191878</v>
      </c>
      <c r="AD198" s="16"/>
      <c r="AE198" s="16"/>
      <c r="AF198" s="16"/>
      <c r="AG198" s="16"/>
      <c r="AH198" s="16">
        <f ca="1">_xll.DBRW($D$4,$E$7,$E$8,$E$9,$E$10,$E$12,$D198,$E$6,AH$18,AH$17)</f>
        <v>-0.32162348000000002</v>
      </c>
      <c r="AI198" s="16">
        <f ca="1">_xll.DBRW($D$4,$E$7,$E$8,$E$9,$E$10,$E$12,$D198,$E$6,AI$18,AI$17)</f>
        <v>6.4539462161128644E-2</v>
      </c>
      <c r="AJ198" s="16"/>
      <c r="AK198" s="16"/>
      <c r="AL198" s="16"/>
      <c r="AM198" s="16"/>
      <c r="AN198" s="16">
        <f ca="1">_xll.DBRW($D$4,$E$7,$E$8,$E$9,$E$10,$E$12,$D198,$E$6,AN$18,AN$17)</f>
        <v>7.4006240000000015E-2</v>
      </c>
      <c r="AO198" s="16">
        <f ca="1">_xll.DBRW($D$4,$E$7,$E$8,$E$9,$E$10,$E$12,$D198,$E$6,AO$18,AO$17)</f>
        <v>-1.4850666145915112E-2</v>
      </c>
      <c r="AP198" s="16"/>
      <c r="AQ198" s="16"/>
      <c r="AR198" s="16"/>
      <c r="AS198" s="16"/>
      <c r="AT198" s="16">
        <f ca="1">_xll.DBRW($D$4,$E$7,$E$8,$E$9,$E$10,$E$12,$D198,$E$6,AT$18,AT$17)</f>
        <v>-1.3877787807814457E-17</v>
      </c>
      <c r="AU198" s="16">
        <f ca="1">_xll.DBRW($D$4,$E$7,$E$8,$E$9,$E$10,$E$12,$D198,$E$6,AU$18,AU$17)</f>
        <v>0</v>
      </c>
      <c r="AV198" s="16">
        <f ca="1">_xll.DBRW($D$4,$E$7,$E$8,$E$9,$E$10,$E$12,$D198,$E$6,AV$18,AV$17)</f>
        <v>0</v>
      </c>
      <c r="AW198" s="16">
        <f ca="1">_xll.DBRW($D$4,$E$7,$E$8,$E$9,$E$10,$E$12,$D198,$E$6,AW$18,AW$17)</f>
        <v>0</v>
      </c>
      <c r="AX198" s="16">
        <f ca="1">_xll.DBRW($D$4,$E$7,$E$8,$E$9,$E$10,$E$12,$D198,$E$6,AX$18,AX$17)</f>
        <v>1.1102230246251565E-16</v>
      </c>
      <c r="AY198" s="16">
        <f ca="1">_xll.DBRW($D$4,$E$7,$E$8,$E$9,$E$10,$E$12,$D198,$E$6,AY$18,AY$17)</f>
        <v>0</v>
      </c>
      <c r="AZ198" s="16">
        <f ca="1">_xll.DBRW($D$4,$E$7,$E$8,$E$9,$E$10,$E$12,$D198,$E$6,AZ$18,AZ$17)</f>
        <v>0</v>
      </c>
      <c r="BA198" s="16">
        <f ca="1">_xll.DBRW($D$4,$E$7,$E$8,$E$9,$E$10,$E$12,$D198,$E$6,BA$18,BA$17)</f>
        <v>0</v>
      </c>
      <c r="BB198" s="16">
        <f ca="1">_xll.DBRW($D$4,$E$7,$E$8,$E$9,$E$10,$E$12,$D198,$E$6,BB$18,BB$17)</f>
        <v>0</v>
      </c>
      <c r="BC198" s="16">
        <f ca="1">_xll.DBRW($D$4,$E$7,$E$8,$E$9,$E$10,$E$12,$D198,$E$6,BC$18,BC$17)</f>
        <v>0</v>
      </c>
      <c r="BD198" s="16">
        <f ca="1">_xll.DBRW($D$4,$E$7,$E$8,$E$9,$E$10,$E$12,$D198,$E$6,BD$18,BD$17)</f>
        <v>0.28978047999999934</v>
      </c>
      <c r="BE198" s="16">
        <f ca="1">_xll.DBRW($D$4,$E$7,$E$8,$E$9,$E$10,$E$12,$D198,$E$6,BE$18,BE$17)</f>
        <v>-0.37594424999999998</v>
      </c>
      <c r="BF198" s="16">
        <f ca="1">_xll.DBRW($D$4,$E$7,$E$8,$E$9,$E$10,$E$12,$D198,$E$6,BF$18,BF$17)</f>
        <v>0</v>
      </c>
      <c r="BG198" s="26">
        <f ca="1">_xll.DBRW($D$4,$E$7,$E$8,$E$9,$E$10,$E$12,$D198,$E$6,BG$18,BG$17)</f>
        <v>0</v>
      </c>
      <c r="BH198" s="26">
        <f ca="1">_xll.DBRW($D$4,$E$7,$E$8,$E$9,$E$10,$E$12,$D198,$E$6,BH$18,BH$17)</f>
        <v>0</v>
      </c>
      <c r="BI198" s="26">
        <f ca="1">_xll.DBRW($D$4,$E$7,$E$8,$E$9,$E$10,$E$12,$D198,$E$6,BI$18,BI$17)</f>
        <v>0</v>
      </c>
      <c r="BJ198" s="26">
        <f ca="1">_xll.DBRW($D$4,$E$7,$E$8,$E$9,$E$10,$E$12,$D198,$E$6,BJ$18,BJ$17)</f>
        <v>0</v>
      </c>
      <c r="BK198" s="16">
        <f ca="1">_xll.DBRW($D$4,$E$7,$E$8,$E$9,$E$10,$E$12,$D198,$E$6,BK$18,BK$17)</f>
        <v>0.66572472999999932</v>
      </c>
      <c r="BL198" s="16">
        <f ca="1">_xll.DBRW($D$4,$E$7,$E$8,$E$9,$E$10,$E$12,$D198,$E$6,BL$18,BL$17)</f>
        <v>4.9838368199999987</v>
      </c>
      <c r="BM198" s="16">
        <f ca="1">_xll.DBRW($D$4,$E$7,$E$8,$E$9,$E$10,$E$12,$D198,$E$6,BM$18,BM$17)</f>
        <v>-3.1475166099999998</v>
      </c>
      <c r="BN198" s="16">
        <f ca="1">_xll.DBRW($D$4,$E$7,$E$8,$E$9,$E$10,$E$12,$D198,$E$6,BN$18,BN$17)</f>
        <v>0.63154487670404924</v>
      </c>
      <c r="BO198" s="16"/>
      <c r="BP198" s="16"/>
      <c r="BQ198" s="16"/>
      <c r="BR198" s="16"/>
      <c r="BS198" s="16">
        <f ca="1">_xll.DBRW($D$4,$E$7,$E$8,$E$9,$E$10,$E$12,$D198,$E$6,BS$18,BS$17)</f>
        <v>-0.15436222999999996</v>
      </c>
      <c r="BT198" s="16">
        <f ca="1">_xll.DBRW($D$4,$E$7,$E$8,$E$9,$E$10,$E$12,$D198,$E$6,BT$18,BT$17)</f>
        <v>3.0972569041696676E-2</v>
      </c>
      <c r="BU198" s="16"/>
      <c r="BV198" s="16"/>
      <c r="BW198" s="16"/>
      <c r="BX198" s="16"/>
      <c r="BY198" s="16">
        <f ca="1">_xll.DBRW($D$4,$E$7,$E$8,$E$9,$E$10,$E$12,$D198,$E$6,BY$18,BY$17)</f>
        <v>-0.55372181999999992</v>
      </c>
      <c r="BZ198" s="16">
        <f ca="1">_xll.DBRW($D$4,$E$7,$E$8,$E$9,$E$10,$E$12,$D198,$E$6,BZ$18,BZ$17)</f>
        <v>0.11110352124249527</v>
      </c>
      <c r="CA198" s="16"/>
      <c r="CB198" s="16"/>
      <c r="CC198" s="16"/>
      <c r="CD198" s="16"/>
      <c r="CE198" s="16">
        <f ca="1">_xll.DBRW($D$4,$E$7,$E$8,$E$9,$E$10,$E$12,$D198,$E$6,CE$18,CE$17)</f>
        <v>-0.33829532999999995</v>
      </c>
      <c r="CF198" s="16">
        <f ca="1">_xll.DBRW($D$4,$E$7,$E$8,$E$9,$E$10,$E$12,$D198,$E$6,CF$18,CF$17)</f>
        <v>6.7878492458346582E-2</v>
      </c>
      <c r="CG198" s="16"/>
      <c r="CH198" s="16"/>
      <c r="CI198" s="16"/>
      <c r="CJ198" s="16"/>
      <c r="CK198" s="16">
        <f ca="1">_xll.DBRW($D$4,$E$7,$E$8,$E$9,$E$10,$E$12,$D198,$E$6,CK$18,CK$17)</f>
        <v>-0.13494110000000001</v>
      </c>
      <c r="CL198" s="16">
        <f ca="1">_xll.DBRW($D$4,$E$7,$E$8,$E$9,$E$10,$E$12,$D198,$E$6,CL$18,CL$17)</f>
        <v>2.7075746031347801E-2</v>
      </c>
      <c r="CM198" s="16"/>
      <c r="CN198" s="16"/>
      <c r="CO198" s="16"/>
      <c r="CP198" s="16"/>
      <c r="CQ198" s="16">
        <f ca="1">_xll.DBRW($D$4,$E$7,$E$8,$E$9,$E$10,$E$12,$D198,$E$6,CQ$18,CQ$17)</f>
        <v>0.1034109678</v>
      </c>
      <c r="CR198" s="16">
        <f ca="1">_xll.DBRW($D$4,$E$7,$E$8,$E$9,$E$10,$E$12,$D198,$E$6,CR$18,CR$17)</f>
        <v>1.7637139390000001</v>
      </c>
      <c r="CS198" s="16">
        <f ca="1">_xll.DBRW($D$4,$E$7,$E$8,$E$9,$E$10,$E$12,$D198,$E$6,CS$18,CS$17)</f>
        <v>1.642773</v>
      </c>
      <c r="CT198" s="16">
        <f ca="1">_xll.DBRW($D$4,$E$7,$E$8,$E$9,$E$10,$E$12,$D198,$E$6,CT$18,CT$17)</f>
        <v>1.7637139390000001</v>
      </c>
      <c r="CU198" s="16">
        <f ca="1">_xll.DBRW($D$4,$E$7,$E$8,$E$9,$E$10,$E$12,$D198,$E$6,CU$18,CU$17)</f>
        <v>0.67143471399999999</v>
      </c>
      <c r="CV198" s="16">
        <f ca="1">_xll.DBRW($D$4,$E$7,$E$8,$E$9,$E$10,$E$12,$D198,$E$6,CV$18,CV$17)</f>
        <v>1.7637139390000001</v>
      </c>
      <c r="CW198" s="16">
        <f ca="1">_xll.DBRW($D$4,$E$7,$E$8,$E$9,$E$10,$E$12,$D198,$E$6,CW$18,CW$17)</f>
        <v>3.4000000000000007E-5</v>
      </c>
      <c r="CX198" s="16">
        <f ca="1">_xll.DBRW($D$4,$E$7,$E$8,$E$9,$E$10,$E$12,$D198,$E$6,CX$18,CX$17)</f>
        <v>1.7637139390000001</v>
      </c>
      <c r="CY198" s="16">
        <f ca="1">_xll.DBRW($D$4,$E$7,$E$8,$E$9,$E$10,$E$12,$D198,$E$6,CY$18,CY$17)</f>
        <v>1.7637139390000001</v>
      </c>
      <c r="CZ198" s="16">
        <f ca="1">_xll.DBRW($D$4,$E$7,$E$8,$E$9,$E$10,$E$12,$D198,$E$6,CZ$18,CZ$17)</f>
        <v>1.7637139390000001</v>
      </c>
      <c r="DA198" s="26">
        <f t="shared" ca="1" si="127"/>
        <v>0.4321886700000005</v>
      </c>
      <c r="DB198" s="26">
        <f t="shared" ca="1" si="128"/>
        <v>8.1340400000000035E-2</v>
      </c>
      <c r="DC198" s="26">
        <f t="shared" ca="1" si="129"/>
        <v>0</v>
      </c>
      <c r="DD198" s="26">
        <f t="shared" ca="1" si="130"/>
        <v>0</v>
      </c>
      <c r="DE198" s="26">
        <f t="shared" ca="1" si="131"/>
        <v>0</v>
      </c>
      <c r="DF198" s="26">
        <f t="shared" ca="1" si="132"/>
        <v>0</v>
      </c>
      <c r="DG198" s="26">
        <f t="shared" ca="1" si="133"/>
        <v>0</v>
      </c>
      <c r="DH198" s="26">
        <f t="shared" ca="1" si="134"/>
        <v>0.35084827000000018</v>
      </c>
      <c r="DI198" s="26">
        <f t="shared" ca="1" si="135"/>
        <v>-4.7517999999868721E-4</v>
      </c>
      <c r="DJ198" s="26">
        <f t="shared" ca="1" si="136"/>
        <v>0.19644408999999952</v>
      </c>
      <c r="DK198" s="26">
        <f t="shared" ca="1" si="137"/>
        <v>-3.935977492203202E-2</v>
      </c>
      <c r="DL198" s="26"/>
      <c r="DM198" s="26"/>
      <c r="DN198" s="26"/>
      <c r="DO198" s="26"/>
      <c r="DP198" s="26">
        <f t="shared" ca="1" si="138"/>
        <v>-0.12360592000000001</v>
      </c>
      <c r="DQ198" s="26">
        <f t="shared" ca="1" si="139"/>
        <v>2.480667599017702E-2</v>
      </c>
      <c r="DR198" s="26"/>
      <c r="DS198" s="26"/>
      <c r="DT198" s="26"/>
      <c r="DU198" s="26"/>
      <c r="DV198" s="26">
        <f t="shared" ca="1" si="140"/>
        <v>2.230834000000026E-2</v>
      </c>
      <c r="DW198" s="26">
        <f t="shared" ca="1" si="141"/>
        <v>-4.4659704505764924E-3</v>
      </c>
      <c r="DX198" s="26"/>
      <c r="DY198" s="26"/>
      <c r="DZ198" s="26"/>
      <c r="EA198" s="26"/>
      <c r="EB198" s="26">
        <f t="shared" ca="1" si="142"/>
        <v>1.6671849999999933E-2</v>
      </c>
      <c r="EC198" s="26">
        <f t="shared" ca="1" si="143"/>
        <v>-3.3390302972179375E-3</v>
      </c>
      <c r="ED198" s="26"/>
      <c r="EE198" s="26"/>
      <c r="EF198" s="26"/>
      <c r="EG198" s="26"/>
      <c r="EH198" s="26">
        <f t="shared" ca="1" si="144"/>
        <v>0.20894734000000004</v>
      </c>
      <c r="EI198" s="29">
        <f t="shared" ca="1" si="145"/>
        <v>-4.1926412177262909E-2</v>
      </c>
      <c r="EJ198" s="29"/>
      <c r="EK198" s="29"/>
      <c r="EL198" s="29"/>
      <c r="EM198" s="29"/>
      <c r="EN198" s="93"/>
      <c r="EO198" s="29"/>
      <c r="EP198" s="29"/>
      <c r="EQ198" s="29"/>
      <c r="ER198" s="29"/>
      <c r="ES198" s="29"/>
      <c r="ET198" s="29"/>
      <c r="EU198" s="93"/>
      <c r="EV198" s="29"/>
      <c r="EW198" s="29"/>
      <c r="EX198" s="29"/>
      <c r="EY198" s="29"/>
      <c r="EZ198" s="29"/>
      <c r="FA198" s="29"/>
      <c r="FB198" s="93"/>
      <c r="FC198" s="29"/>
      <c r="FD198" s="29"/>
      <c r="FE198" s="29"/>
      <c r="FF198" s="29"/>
      <c r="FG198" s="29"/>
      <c r="FH198" s="29"/>
      <c r="FI198" s="93"/>
      <c r="FJ198" s="29"/>
      <c r="FK198" s="29"/>
      <c r="FL198" s="29"/>
      <c r="FM198" s="29"/>
      <c r="FN198" s="29"/>
      <c r="FO198" s="29"/>
      <c r="FP198" s="93"/>
      <c r="FQ198" s="29"/>
      <c r="FR198" s="29"/>
      <c r="FS198" s="29"/>
      <c r="FT198" s="29"/>
      <c r="FU198" s="29"/>
      <c r="FV198" s="29"/>
    </row>
    <row r="199" spans="1:178" x14ac:dyDescent="0.25">
      <c r="A199" t="str">
        <f ca="1">IF(_xll.TM1RPTELISCONSOLIDATED($D$28,$D199),IF(_xll.TM1RPTELLEV($D$28,$D199)&lt;=3,_xll.TM1RPTELLEV($D$28,$D199),"D"),"N")</f>
        <v>N</v>
      </c>
      <c r="B199" t="str">
        <f ca="1">_xll.DBRA(Server&amp;"Management_organization",$D199,$B$27)</f>
        <v>L</v>
      </c>
      <c r="C199">
        <v>1</v>
      </c>
      <c r="D199" s="2" t="s">
        <v>216</v>
      </c>
      <c r="E199" s="26"/>
      <c r="F199" s="26"/>
      <c r="G199" s="16">
        <f ca="1">_xll.DBRW($D$4,$E$7,$E$8,$E$9,$E$10,$E$12,$D199,$E$6,G$18,G$17)</f>
        <v>-0.14673321000000011</v>
      </c>
      <c r="H199" s="16">
        <f ca="1">_xll.DBRW($D$4,$E$7,$E$8,$E$9,$E$10,$E$12,$D199,$E$6,H$18,H$17)</f>
        <v>-4.2156449999999998E-2</v>
      </c>
      <c r="I199" s="16">
        <f ca="1">_xll.DBRW($D$4,$E$7,$E$8,$E$9,$E$10,$E$12,$D199,$E$6,I$18,I$17)</f>
        <v>0</v>
      </c>
      <c r="J199" s="26">
        <f ca="1">_xll.DBRW($D$4,$E$7,$E$8,$E$9,$E$10,$E$12,$D199,$E$6,J$18,J$17)</f>
        <v>0</v>
      </c>
      <c r="K199" s="26">
        <f ca="1">_xll.DBRW($D$4,$E$7,$E$8,$E$9,$E$10,$E$12,$D199,$E$6,K$18,K$17)</f>
        <v>0</v>
      </c>
      <c r="L199" s="26">
        <f ca="1">_xll.DBRW($D$4,$E$7,$E$8,$E$9,$E$10,$E$12,$D199,$E$6,L$18,L$17)</f>
        <v>0</v>
      </c>
      <c r="M199" s="26">
        <f ca="1">_xll.DBRW($D$4,$E$7,$E$8,$E$9,$E$10,$E$12,$D199,$E$6,M$18,M$17)</f>
        <v>0</v>
      </c>
      <c r="N199" s="16">
        <f ca="1">_xll.DBRW($D$4,$E$7,$E$8,$E$9,$E$10,$E$12,$D199,$E$6,N$18,N$17)</f>
        <v>-0.1045767600000001</v>
      </c>
      <c r="O199" s="16">
        <f ca="1">_xll.DBRW($D$4,$E$7,$E$8,$E$9,$E$10,$E$12,$D199,$E$6,O$18,O$17)</f>
        <v>0.66357630999999984</v>
      </c>
      <c r="P199" s="74">
        <f ca="1">_xll.DBRW($D$4,$E$7,$E$8,$E$9,$E$10,$E$12,$D199,$E$6,P$18,P$17)</f>
        <v>-0.45316555000000003</v>
      </c>
      <c r="Q199" s="16">
        <f ca="1">_xll.DBRW($D$4,$E$7,$E$8,$E$9,$E$10,$E$12,$D199,$E$6,Q$18,Q$17)</f>
        <v>0.68291399673384989</v>
      </c>
      <c r="R199" s="16"/>
      <c r="S199" s="16"/>
      <c r="T199" s="16"/>
      <c r="U199" s="16"/>
      <c r="V199" s="16">
        <f ca="1">_xll.DBRW($D$4,$E$7,$E$8,$E$9,$E$10,$E$12,$D199,$E$6,V$18,V$17)</f>
        <v>-9.3899389999999999E-2</v>
      </c>
      <c r="W199" s="16">
        <f ca="1">_xll.DBRW($D$4,$E$7,$E$8,$E$9,$E$10,$E$12,$D199,$E$6,W$18,W$17)</f>
        <v>0.141505036549602</v>
      </c>
      <c r="X199" s="16"/>
      <c r="Y199" s="16"/>
      <c r="Z199" s="16"/>
      <c r="AA199" s="16"/>
      <c r="AB199" s="16">
        <f ca="1">_xll.DBRW($D$4,$E$7,$E$8,$E$9,$E$10,$E$12,$D199,$E$6,AB$18,AB$17)</f>
        <v>-0.12718225000000002</v>
      </c>
      <c r="AC199" s="16">
        <f ca="1">_xll.DBRW($D$4,$E$7,$E$8,$E$9,$E$10,$E$12,$D199,$E$6,AC$18,AC$17)</f>
        <v>0.19166183012169324</v>
      </c>
      <c r="AD199" s="16"/>
      <c r="AE199" s="16"/>
      <c r="AF199" s="16"/>
      <c r="AG199" s="16"/>
      <c r="AH199" s="16">
        <f ca="1">_xll.DBRW($D$4,$E$7,$E$8,$E$9,$E$10,$E$12,$D199,$E$6,AH$18,AH$17)</f>
        <v>-4.5596060000000001E-2</v>
      </c>
      <c r="AI199" s="16">
        <f ca="1">_xll.DBRW($D$4,$E$7,$E$8,$E$9,$E$10,$E$12,$D199,$E$6,AI$18,AI$17)</f>
        <v>6.8712609707239261E-2</v>
      </c>
      <c r="AJ199" s="16"/>
      <c r="AK199" s="16"/>
      <c r="AL199" s="16"/>
      <c r="AM199" s="16"/>
      <c r="AN199" s="16">
        <f ca="1">_xll.DBRW($D$4,$E$7,$E$8,$E$9,$E$10,$E$12,$D199,$E$6,AN$18,AN$17)</f>
        <v>-6.4965189999999992E-2</v>
      </c>
      <c r="AO199" s="16">
        <f ca="1">_xll.DBRW($D$4,$E$7,$E$8,$E$9,$E$10,$E$12,$D199,$E$6,AO$18,AO$17)</f>
        <v>9.7901611345950559E-2</v>
      </c>
      <c r="AP199" s="16"/>
      <c r="AQ199" s="16"/>
      <c r="AR199" s="16"/>
      <c r="AS199" s="16"/>
      <c r="AT199" s="16">
        <f ca="1">_xll.DBRW($D$4,$E$7,$E$8,$E$9,$E$10,$E$12,$D199,$E$6,AT$18,AT$17)</f>
        <v>3.4694469519536142E-18</v>
      </c>
      <c r="AU199" s="16">
        <f ca="1">_xll.DBRW($D$4,$E$7,$E$8,$E$9,$E$10,$E$12,$D199,$E$6,AU$18,AU$17)</f>
        <v>2.7755575615628914E-17</v>
      </c>
      <c r="AV199" s="16">
        <f ca="1">_xll.DBRW($D$4,$E$7,$E$8,$E$9,$E$10,$E$12,$D199,$E$6,AV$18,AV$17)</f>
        <v>0</v>
      </c>
      <c r="AW199" s="16">
        <f ca="1">_xll.DBRW($D$4,$E$7,$E$8,$E$9,$E$10,$E$12,$D199,$E$6,AW$18,AW$17)</f>
        <v>2.7755575615628914E-17</v>
      </c>
      <c r="AX199" s="16">
        <f ca="1">_xll.DBRW($D$4,$E$7,$E$8,$E$9,$E$10,$E$12,$D199,$E$6,AX$18,AX$17)</f>
        <v>1.3877787807814457E-17</v>
      </c>
      <c r="AY199" s="16">
        <f ca="1">_xll.DBRW($D$4,$E$7,$E$8,$E$9,$E$10,$E$12,$D199,$E$6,AY$18,AY$17)</f>
        <v>2.7755575615628914E-17</v>
      </c>
      <c r="AZ199" s="16">
        <f ca="1">_xll.DBRW($D$4,$E$7,$E$8,$E$9,$E$10,$E$12,$D199,$E$6,AZ$18,AZ$17)</f>
        <v>0</v>
      </c>
      <c r="BA199" s="16">
        <f ca="1">_xll.DBRW($D$4,$E$7,$E$8,$E$9,$E$10,$E$12,$D199,$E$6,BA$18,BA$17)</f>
        <v>2.7755575615628914E-17</v>
      </c>
      <c r="BB199" s="16">
        <f ca="1">_xll.DBRW($D$4,$E$7,$E$8,$E$9,$E$10,$E$12,$D199,$E$6,BB$18,BB$17)</f>
        <v>2.7755575615628914E-17</v>
      </c>
      <c r="BC199" s="16">
        <f ca="1">_xll.DBRW($D$4,$E$7,$E$8,$E$9,$E$10,$E$12,$D199,$E$6,BC$18,BC$17)</f>
        <v>2.7755575615628914E-17</v>
      </c>
      <c r="BD199" s="16">
        <f ca="1">_xll.DBRW($D$4,$E$7,$E$8,$E$9,$E$10,$E$12,$D199,$E$6,BD$18,BD$17)</f>
        <v>-3.7190369999999993E-2</v>
      </c>
      <c r="BE199" s="16">
        <f ca="1">_xll.DBRW($D$4,$E$7,$E$8,$E$9,$E$10,$E$12,$D199,$E$6,BE$18,BE$17)</f>
        <v>-3.7190369999999993E-2</v>
      </c>
      <c r="BF199" s="16">
        <f ca="1">_xll.DBRW($D$4,$E$7,$E$8,$E$9,$E$10,$E$12,$D199,$E$6,BF$18,BF$17)</f>
        <v>0</v>
      </c>
      <c r="BG199" s="26">
        <f ca="1">_xll.DBRW($D$4,$E$7,$E$8,$E$9,$E$10,$E$12,$D199,$E$6,BG$18,BG$17)</f>
        <v>0</v>
      </c>
      <c r="BH199" s="26">
        <f ca="1">_xll.DBRW($D$4,$E$7,$E$8,$E$9,$E$10,$E$12,$D199,$E$6,BH$18,BH$17)</f>
        <v>0</v>
      </c>
      <c r="BI199" s="26">
        <f ca="1">_xll.DBRW($D$4,$E$7,$E$8,$E$9,$E$10,$E$12,$D199,$E$6,BI$18,BI$17)</f>
        <v>0</v>
      </c>
      <c r="BJ199" s="26">
        <f ca="1">_xll.DBRW($D$4,$E$7,$E$8,$E$9,$E$10,$E$12,$D199,$E$6,BJ$18,BJ$17)</f>
        <v>0</v>
      </c>
      <c r="BK199" s="16">
        <f ca="1">_xll.DBRW($D$4,$E$7,$E$8,$E$9,$E$10,$E$12,$D199,$E$6,BK$18,BK$17)</f>
        <v>0</v>
      </c>
      <c r="BL199" s="16">
        <f ca="1">_xll.DBRW($D$4,$E$7,$E$8,$E$9,$E$10,$E$12,$D199,$E$6,BL$18,BL$17)</f>
        <v>0</v>
      </c>
      <c r="BM199" s="16">
        <f ca="1">_xll.DBRW($D$4,$E$7,$E$8,$E$9,$E$10,$E$12,$D199,$E$6,BM$18,BM$17)</f>
        <v>0</v>
      </c>
      <c r="BN199" s="16">
        <f ca="1">_xll.DBRW($D$4,$E$7,$E$8,$E$9,$E$10,$E$12,$D199,$E$6,BN$18,BN$17)</f>
        <v>0</v>
      </c>
      <c r="BO199" s="16"/>
      <c r="BP199" s="16"/>
      <c r="BQ199" s="16"/>
      <c r="BR199" s="16"/>
      <c r="BS199" s="16">
        <f ca="1">_xll.DBRW($D$4,$E$7,$E$8,$E$9,$E$10,$E$12,$D199,$E$6,BS$18,BS$17)</f>
        <v>0</v>
      </c>
      <c r="BT199" s="16">
        <f ca="1">_xll.DBRW($D$4,$E$7,$E$8,$E$9,$E$10,$E$12,$D199,$E$6,BT$18,BT$17)</f>
        <v>0</v>
      </c>
      <c r="BU199" s="16"/>
      <c r="BV199" s="16"/>
      <c r="BW199" s="16"/>
      <c r="BX199" s="16"/>
      <c r="BY199" s="16">
        <f ca="1">_xll.DBRW($D$4,$E$7,$E$8,$E$9,$E$10,$E$12,$D199,$E$6,BY$18,BY$17)</f>
        <v>0</v>
      </c>
      <c r="BZ199" s="16">
        <f ca="1">_xll.DBRW($D$4,$E$7,$E$8,$E$9,$E$10,$E$12,$D199,$E$6,BZ$18,BZ$17)</f>
        <v>0</v>
      </c>
      <c r="CA199" s="16"/>
      <c r="CB199" s="16"/>
      <c r="CC199" s="16"/>
      <c r="CD199" s="16"/>
      <c r="CE199" s="16">
        <f ca="1">_xll.DBRW($D$4,$E$7,$E$8,$E$9,$E$10,$E$12,$D199,$E$6,CE$18,CE$17)</f>
        <v>0</v>
      </c>
      <c r="CF199" s="16">
        <f ca="1">_xll.DBRW($D$4,$E$7,$E$8,$E$9,$E$10,$E$12,$D199,$E$6,CF$18,CF$17)</f>
        <v>0</v>
      </c>
      <c r="CG199" s="16"/>
      <c r="CH199" s="16"/>
      <c r="CI199" s="16"/>
      <c r="CJ199" s="16"/>
      <c r="CK199" s="16">
        <f ca="1">_xll.DBRW($D$4,$E$7,$E$8,$E$9,$E$10,$E$12,$D199,$E$6,CK$18,CK$17)</f>
        <v>0</v>
      </c>
      <c r="CL199" s="16">
        <f ca="1">_xll.DBRW($D$4,$E$7,$E$8,$E$9,$E$10,$E$12,$D199,$E$6,CL$18,CL$17)</f>
        <v>0</v>
      </c>
      <c r="CM199" s="16"/>
      <c r="CN199" s="16"/>
      <c r="CO199" s="16"/>
      <c r="CP199" s="16"/>
      <c r="CQ199" s="16">
        <f ca="1">_xll.DBRW($D$4,$E$7,$E$8,$E$9,$E$10,$E$12,$D199,$E$6,CQ$18,CQ$17)</f>
        <v>0</v>
      </c>
      <c r="CR199" s="16">
        <f ca="1">_xll.DBRW($D$4,$E$7,$E$8,$E$9,$E$10,$E$12,$D199,$E$6,CR$18,CR$17)</f>
        <v>0</v>
      </c>
      <c r="CS199" s="16">
        <f ca="1">_xll.DBRW($D$4,$E$7,$E$8,$E$9,$E$10,$E$12,$D199,$E$6,CS$18,CS$17)</f>
        <v>0</v>
      </c>
      <c r="CT199" s="16">
        <f ca="1">_xll.DBRW($D$4,$E$7,$E$8,$E$9,$E$10,$E$12,$D199,$E$6,CT$18,CT$17)</f>
        <v>0</v>
      </c>
      <c r="CU199" s="16">
        <f ca="1">_xll.DBRW($D$4,$E$7,$E$8,$E$9,$E$10,$E$12,$D199,$E$6,CU$18,CU$17)</f>
        <v>0</v>
      </c>
      <c r="CV199" s="16">
        <f ca="1">_xll.DBRW($D$4,$E$7,$E$8,$E$9,$E$10,$E$12,$D199,$E$6,CV$18,CV$17)</f>
        <v>0</v>
      </c>
      <c r="CW199" s="16" t="str">
        <f ca="1">_xll.DBRW($D$4,$E$7,$E$8,$E$9,$E$10,$E$12,$D199,$E$6,CW$18,CW$17)</f>
        <v/>
      </c>
      <c r="CX199" s="16">
        <f ca="1">_xll.DBRW($D$4,$E$7,$E$8,$E$9,$E$10,$E$12,$D199,$E$6,CX$18,CX$17)</f>
        <v>0</v>
      </c>
      <c r="CY199" s="16">
        <f ca="1">_xll.DBRW($D$4,$E$7,$E$8,$E$9,$E$10,$E$12,$D199,$E$6,CY$18,CY$17)</f>
        <v>0</v>
      </c>
      <c r="CZ199" s="16">
        <f ca="1">_xll.DBRW($D$4,$E$7,$E$8,$E$9,$E$10,$E$12,$D199,$E$6,CZ$18,CZ$17)</f>
        <v>0</v>
      </c>
      <c r="DA199" s="26">
        <f t="shared" ca="1" si="127"/>
        <v>-0.10954284000000011</v>
      </c>
      <c r="DB199" s="26">
        <f t="shared" ca="1" si="128"/>
        <v>-4.9660800000000047E-3</v>
      </c>
      <c r="DC199" s="26">
        <f t="shared" ca="1" si="129"/>
        <v>0</v>
      </c>
      <c r="DD199" s="26">
        <f t="shared" ca="1" si="130"/>
        <v>0</v>
      </c>
      <c r="DE199" s="26">
        <f t="shared" ca="1" si="131"/>
        <v>0</v>
      </c>
      <c r="DF199" s="26">
        <f t="shared" ca="1" si="132"/>
        <v>0</v>
      </c>
      <c r="DG199" s="26">
        <f t="shared" ca="1" si="133"/>
        <v>0</v>
      </c>
      <c r="DH199" s="26">
        <f t="shared" ca="1" si="134"/>
        <v>-0.1045767600000001</v>
      </c>
      <c r="DI199" s="26">
        <f t="shared" ca="1" si="135"/>
        <v>0.66357630999999984</v>
      </c>
      <c r="DJ199" s="26">
        <f t="shared" ca="1" si="136"/>
        <v>-0.45316555000000003</v>
      </c>
      <c r="DK199" s="26">
        <f t="shared" ca="1" si="137"/>
        <v>0.68291399673384989</v>
      </c>
      <c r="DL199" s="26"/>
      <c r="DM199" s="26"/>
      <c r="DN199" s="26"/>
      <c r="DO199" s="26"/>
      <c r="DP199" s="26">
        <f t="shared" ca="1" si="138"/>
        <v>-9.3899389999999999E-2</v>
      </c>
      <c r="DQ199" s="26">
        <f t="shared" ca="1" si="139"/>
        <v>0.141505036549602</v>
      </c>
      <c r="DR199" s="26"/>
      <c r="DS199" s="26"/>
      <c r="DT199" s="26"/>
      <c r="DU199" s="26"/>
      <c r="DV199" s="26">
        <f t="shared" ca="1" si="140"/>
        <v>-0.12718225000000002</v>
      </c>
      <c r="DW199" s="26">
        <f t="shared" ca="1" si="141"/>
        <v>0.19166183012169324</v>
      </c>
      <c r="DX199" s="26"/>
      <c r="DY199" s="26"/>
      <c r="DZ199" s="26"/>
      <c r="EA199" s="26"/>
      <c r="EB199" s="26">
        <f t="shared" ca="1" si="142"/>
        <v>-4.5596060000000001E-2</v>
      </c>
      <c r="EC199" s="26">
        <f t="shared" ca="1" si="143"/>
        <v>6.8712609707239261E-2</v>
      </c>
      <c r="ED199" s="26"/>
      <c r="EE199" s="26"/>
      <c r="EF199" s="26"/>
      <c r="EG199" s="26"/>
      <c r="EH199" s="26">
        <f t="shared" ca="1" si="144"/>
        <v>-6.4965189999999992E-2</v>
      </c>
      <c r="EI199" s="29">
        <f t="shared" ca="1" si="145"/>
        <v>9.7901611345950559E-2</v>
      </c>
      <c r="EJ199" s="29"/>
      <c r="EK199" s="29"/>
      <c r="EL199" s="29"/>
      <c r="EM199" s="29"/>
      <c r="EN199" s="93"/>
      <c r="EO199" s="29"/>
      <c r="EP199" s="29"/>
      <c r="EQ199" s="29"/>
      <c r="ER199" s="29"/>
      <c r="ES199" s="29"/>
      <c r="ET199" s="29"/>
      <c r="EU199" s="93"/>
      <c r="EV199" s="29"/>
      <c r="EW199" s="29"/>
      <c r="EX199" s="29"/>
      <c r="EY199" s="29"/>
      <c r="EZ199" s="29"/>
      <c r="FA199" s="29"/>
      <c r="FB199" s="93"/>
      <c r="FC199" s="29"/>
      <c r="FD199" s="29"/>
      <c r="FE199" s="29"/>
      <c r="FF199" s="29"/>
      <c r="FG199" s="29"/>
      <c r="FH199" s="29"/>
      <c r="FI199" s="93"/>
      <c r="FJ199" s="29"/>
      <c r="FK199" s="29"/>
      <c r="FL199" s="29"/>
      <c r="FM199" s="29"/>
      <c r="FN199" s="29"/>
      <c r="FO199" s="29"/>
      <c r="FP199" s="93"/>
      <c r="FQ199" s="29"/>
      <c r="FR199" s="29"/>
      <c r="FS199" s="29"/>
      <c r="FT199" s="29"/>
      <c r="FU199" s="29"/>
      <c r="FV199" s="29"/>
    </row>
    <row r="200" spans="1:178" x14ac:dyDescent="0.25">
      <c r="A200" t="str">
        <f ca="1">IF(_xll.TM1RPTELISCONSOLIDATED($D$28,$D200),IF(_xll.TM1RPTELLEV($D$28,$D200)&lt;=3,_xll.TM1RPTELLEV($D$28,$D200),"D"),"N")</f>
        <v>N</v>
      </c>
      <c r="B200" t="str">
        <f ca="1">_xll.DBRA(Server&amp;"Management_organization",$D200,$B$27)</f>
        <v>L</v>
      </c>
      <c r="C200">
        <v>1</v>
      </c>
      <c r="D200" s="2" t="s">
        <v>217</v>
      </c>
      <c r="E200" s="26"/>
      <c r="F200" s="26"/>
      <c r="G200" s="16">
        <f ca="1">_xll.DBRW($D$4,$E$7,$E$8,$E$9,$E$10,$E$12,$D200,$E$6,G$18,G$17)</f>
        <v>0.13388334999999996</v>
      </c>
      <c r="H200" s="16">
        <f ca="1">_xll.DBRW($D$4,$E$7,$E$8,$E$9,$E$10,$E$12,$D200,$E$6,H$18,H$17)</f>
        <v>-3.747255E-2</v>
      </c>
      <c r="I200" s="16">
        <f ca="1">_xll.DBRW($D$4,$E$7,$E$8,$E$9,$E$10,$E$12,$D200,$E$6,I$18,I$17)</f>
        <v>0</v>
      </c>
      <c r="J200" s="26">
        <f ca="1">_xll.DBRW($D$4,$E$7,$E$8,$E$9,$E$10,$E$12,$D200,$E$6,J$18,J$17)</f>
        <v>0</v>
      </c>
      <c r="K200" s="26">
        <f ca="1">_xll.DBRW($D$4,$E$7,$E$8,$E$9,$E$10,$E$12,$D200,$E$6,K$18,K$17)</f>
        <v>0</v>
      </c>
      <c r="L200" s="26">
        <f ca="1">_xll.DBRW($D$4,$E$7,$E$8,$E$9,$E$10,$E$12,$D200,$E$6,L$18,L$17)</f>
        <v>0</v>
      </c>
      <c r="M200" s="26">
        <f ca="1">_xll.DBRW($D$4,$E$7,$E$8,$E$9,$E$10,$E$12,$D200,$E$6,M$18,M$17)</f>
        <v>0</v>
      </c>
      <c r="N200" s="16">
        <f ca="1">_xll.DBRW($D$4,$E$7,$E$8,$E$9,$E$10,$E$12,$D200,$E$6,N$18,N$17)</f>
        <v>0.17135589999999998</v>
      </c>
      <c r="O200" s="16">
        <f ca="1">_xll.DBRW($D$4,$E$7,$E$8,$E$9,$E$10,$E$12,$D200,$E$6,O$18,O$17)</f>
        <v>0.21290479999999995</v>
      </c>
      <c r="P200" s="74">
        <f ca="1">_xll.DBRW($D$4,$E$7,$E$8,$E$9,$E$10,$E$12,$D200,$E$6,P$18,P$17)</f>
        <v>-1.8425830000000001E-2</v>
      </c>
      <c r="Q200" s="16">
        <f ca="1">_xll.DBRW($D$4,$E$7,$E$8,$E$9,$E$10,$E$12,$D200,$E$6,Q$18,Q$17)</f>
        <v>8.6544925243583065E-2</v>
      </c>
      <c r="R200" s="16"/>
      <c r="S200" s="16"/>
      <c r="T200" s="16"/>
      <c r="U200" s="16"/>
      <c r="V200" s="16">
        <f ca="1">_xll.DBRW($D$4,$E$7,$E$8,$E$9,$E$10,$E$12,$D200,$E$6,V$18,V$17)</f>
        <v>-5.039860000000001E-3</v>
      </c>
      <c r="W200" s="16">
        <f ca="1">_xll.DBRW($D$4,$E$7,$E$8,$E$9,$E$10,$E$12,$D200,$E$6,W$18,W$17)</f>
        <v>2.367189466841519E-2</v>
      </c>
      <c r="X200" s="16"/>
      <c r="Y200" s="16"/>
      <c r="Z200" s="16"/>
      <c r="AA200" s="16"/>
      <c r="AB200" s="16">
        <f ca="1">_xll.DBRW($D$4,$E$7,$E$8,$E$9,$E$10,$E$12,$D200,$E$6,AB$18,AB$17)</f>
        <v>-8.4249599999999987E-3</v>
      </c>
      <c r="AC200" s="16">
        <f ca="1">_xll.DBRW($D$4,$E$7,$E$8,$E$9,$E$10,$E$12,$D200,$E$6,AC$18,AC$17)</f>
        <v>3.9571489228988732E-2</v>
      </c>
      <c r="AD200" s="16"/>
      <c r="AE200" s="16"/>
      <c r="AF200" s="16"/>
      <c r="AG200" s="16"/>
      <c r="AH200" s="16">
        <f ca="1">_xll.DBRW($D$4,$E$7,$E$8,$E$9,$E$10,$E$12,$D200,$E$6,AH$18,AH$17)</f>
        <v>-4.3159800000000005E-3</v>
      </c>
      <c r="AI200" s="16">
        <f ca="1">_xll.DBRW($D$4,$E$7,$E$8,$E$9,$E$10,$E$12,$D200,$E$6,AI$18,AI$17)</f>
        <v>2.0271877383694504E-2</v>
      </c>
      <c r="AJ200" s="16"/>
      <c r="AK200" s="16"/>
      <c r="AL200" s="16"/>
      <c r="AM200" s="16"/>
      <c r="AN200" s="16">
        <f ca="1">_xll.DBRW($D$4,$E$7,$E$8,$E$9,$E$10,$E$12,$D200,$E$6,AN$18,AN$17)</f>
        <v>-5.3422700000000005E-3</v>
      </c>
      <c r="AO200" s="16">
        <f ca="1">_xll.DBRW($D$4,$E$7,$E$8,$E$9,$E$10,$E$12,$D200,$E$6,AO$18,AO$17)</f>
        <v>2.5092294772123512E-2</v>
      </c>
      <c r="AP200" s="16"/>
      <c r="AQ200" s="16"/>
      <c r="AR200" s="16"/>
      <c r="AS200" s="16"/>
      <c r="AT200" s="16">
        <f ca="1">_xll.DBRW($D$4,$E$7,$E$8,$E$9,$E$10,$E$12,$D200,$E$6,AT$18,AT$17)</f>
        <v>0</v>
      </c>
      <c r="AU200" s="16">
        <f ca="1">_xll.DBRW($D$4,$E$7,$E$8,$E$9,$E$10,$E$12,$D200,$E$6,AU$18,AU$17)</f>
        <v>-3.4694469519536142E-18</v>
      </c>
      <c r="AV200" s="16">
        <f ca="1">_xll.DBRW($D$4,$E$7,$E$8,$E$9,$E$10,$E$12,$D200,$E$6,AV$18,AV$17)</f>
        <v>1.7347234759768071E-18</v>
      </c>
      <c r="AW200" s="16">
        <f ca="1">_xll.DBRW($D$4,$E$7,$E$8,$E$9,$E$10,$E$12,$D200,$E$6,AW$18,AW$17)</f>
        <v>-3.4694469519536142E-18</v>
      </c>
      <c r="AX200" s="16">
        <f ca="1">_xll.DBRW($D$4,$E$7,$E$8,$E$9,$E$10,$E$12,$D200,$E$6,AX$18,AX$17)</f>
        <v>8.6736173798840355E-19</v>
      </c>
      <c r="AY200" s="16">
        <f ca="1">_xll.DBRW($D$4,$E$7,$E$8,$E$9,$E$10,$E$12,$D200,$E$6,AY$18,AY$17)</f>
        <v>-3.4694469519536142E-18</v>
      </c>
      <c r="AZ200" s="16">
        <f ca="1">_xll.DBRW($D$4,$E$7,$E$8,$E$9,$E$10,$E$12,$D200,$E$6,AZ$18,AZ$17)</f>
        <v>0</v>
      </c>
      <c r="BA200" s="16">
        <f ca="1">_xll.DBRW($D$4,$E$7,$E$8,$E$9,$E$10,$E$12,$D200,$E$6,BA$18,BA$17)</f>
        <v>-3.4694469519536142E-18</v>
      </c>
      <c r="BB200" s="16">
        <f ca="1">_xll.DBRW($D$4,$E$7,$E$8,$E$9,$E$10,$E$12,$D200,$E$6,BB$18,BB$17)</f>
        <v>-3.4694469519536142E-18</v>
      </c>
      <c r="BC200" s="16">
        <f ca="1">_xll.DBRW($D$4,$E$7,$E$8,$E$9,$E$10,$E$12,$D200,$E$6,BC$18,BC$17)</f>
        <v>-3.4694469519536142E-18</v>
      </c>
      <c r="BD200" s="16">
        <f ca="1">_xll.DBRW($D$4,$E$7,$E$8,$E$9,$E$10,$E$12,$D200,$E$6,BD$18,BD$17)</f>
        <v>-6.9595499999999463E-3</v>
      </c>
      <c r="BE200" s="16">
        <f ca="1">_xll.DBRW($D$4,$E$7,$E$8,$E$9,$E$10,$E$12,$D200,$E$6,BE$18,BE$17)</f>
        <v>-3.6114569999999999E-2</v>
      </c>
      <c r="BF200" s="16">
        <f ca="1">_xll.DBRW($D$4,$E$7,$E$8,$E$9,$E$10,$E$12,$D200,$E$6,BF$18,BF$17)</f>
        <v>0</v>
      </c>
      <c r="BG200" s="26">
        <f ca="1">_xll.DBRW($D$4,$E$7,$E$8,$E$9,$E$10,$E$12,$D200,$E$6,BG$18,BG$17)</f>
        <v>0</v>
      </c>
      <c r="BH200" s="26">
        <f ca="1">_xll.DBRW($D$4,$E$7,$E$8,$E$9,$E$10,$E$12,$D200,$E$6,BH$18,BH$17)</f>
        <v>0</v>
      </c>
      <c r="BI200" s="26">
        <f ca="1">_xll.DBRW($D$4,$E$7,$E$8,$E$9,$E$10,$E$12,$D200,$E$6,BI$18,BI$17)</f>
        <v>0</v>
      </c>
      <c r="BJ200" s="26">
        <f ca="1">_xll.DBRW($D$4,$E$7,$E$8,$E$9,$E$10,$E$12,$D200,$E$6,BJ$18,BJ$17)</f>
        <v>0</v>
      </c>
      <c r="BK200" s="16">
        <f ca="1">_xll.DBRW($D$4,$E$7,$E$8,$E$9,$E$10,$E$12,$D200,$E$6,BK$18,BK$17)</f>
        <v>2.9155020000000052E-2</v>
      </c>
      <c r="BL200" s="16">
        <f ca="1">_xll.DBRW($D$4,$E$7,$E$8,$E$9,$E$10,$E$12,$D200,$E$6,BL$18,BL$17)</f>
        <v>8.5858780000000051E-2</v>
      </c>
      <c r="BM200" s="16">
        <f ca="1">_xll.DBRW($D$4,$E$7,$E$8,$E$9,$E$10,$E$12,$D200,$E$6,BM$18,BM$17)</f>
        <v>-3.6797319999999994E-2</v>
      </c>
      <c r="BN200" s="16">
        <f ca="1">_xll.DBRW($D$4,$E$7,$E$8,$E$9,$E$10,$E$12,$D200,$E$6,BN$18,BN$17)</f>
        <v>0.42857958149416953</v>
      </c>
      <c r="BO200" s="16"/>
      <c r="BP200" s="16"/>
      <c r="BQ200" s="16"/>
      <c r="BR200" s="16"/>
      <c r="BS200" s="16">
        <f ca="1">_xll.DBRW($D$4,$E$7,$E$8,$E$9,$E$10,$E$12,$D200,$E$6,BS$18,BS$17)</f>
        <v>-7.0399999999999994E-3</v>
      </c>
      <c r="BT200" s="16">
        <f ca="1">_xll.DBRW($D$4,$E$7,$E$8,$E$9,$E$10,$E$12,$D200,$E$6,BT$18,BT$17)</f>
        <v>8.1995108712236475E-2</v>
      </c>
      <c r="BU200" s="16"/>
      <c r="BV200" s="16"/>
      <c r="BW200" s="16"/>
      <c r="BX200" s="16"/>
      <c r="BY200" s="16">
        <f ca="1">_xll.DBRW($D$4,$E$7,$E$8,$E$9,$E$10,$E$12,$D200,$E$6,BY$18,BY$17)</f>
        <v>-9.7864399999999987E-3</v>
      </c>
      <c r="BZ200" s="16">
        <f ca="1">_xll.DBRW($D$4,$E$7,$E$8,$E$9,$E$10,$E$12,$D200,$E$6,BZ$18,BZ$17)</f>
        <v>0.11398298461729824</v>
      </c>
      <c r="CA200" s="16"/>
      <c r="CB200" s="16"/>
      <c r="CC200" s="16"/>
      <c r="CD200" s="16"/>
      <c r="CE200" s="16">
        <f ca="1">_xll.DBRW($D$4,$E$7,$E$8,$E$9,$E$10,$E$12,$D200,$E$6,CE$18,CE$17)</f>
        <v>0</v>
      </c>
      <c r="CF200" s="16">
        <f ca="1">_xll.DBRW($D$4,$E$7,$E$8,$E$9,$E$10,$E$12,$D200,$E$6,CF$18,CF$17)</f>
        <v>0</v>
      </c>
      <c r="CG200" s="16"/>
      <c r="CH200" s="16"/>
      <c r="CI200" s="16"/>
      <c r="CJ200" s="16"/>
      <c r="CK200" s="16">
        <f ca="1">_xll.DBRW($D$4,$E$7,$E$8,$E$9,$E$10,$E$12,$D200,$E$6,CK$18,CK$17)</f>
        <v>-3.079999999999999E-3</v>
      </c>
      <c r="CL200" s="16">
        <f ca="1">_xll.DBRW($D$4,$E$7,$E$8,$E$9,$E$10,$E$12,$D200,$E$6,CL$18,CL$17)</f>
        <v>3.5872860061603451E-2</v>
      </c>
      <c r="CM200" s="16"/>
      <c r="CN200" s="16"/>
      <c r="CO200" s="16"/>
      <c r="CP200" s="16"/>
      <c r="CQ200" s="16">
        <f ca="1">_xll.DBRW($D$4,$E$7,$E$8,$E$9,$E$10,$E$12,$D200,$E$6,CQ$18,CQ$17)</f>
        <v>2.0853068440000004E-3</v>
      </c>
      <c r="CR200" s="16">
        <f ca="1">_xll.DBRW($D$4,$E$7,$E$8,$E$9,$E$10,$E$12,$D200,$E$6,CR$18,CR$17)</f>
        <v>2.9841166670000002E-2</v>
      </c>
      <c r="CS200" s="16">
        <f ca="1">_xll.DBRW($D$4,$E$7,$E$8,$E$9,$E$10,$E$12,$D200,$E$6,CS$18,CS$17)</f>
        <v>3.6027749999999997E-2</v>
      </c>
      <c r="CT200" s="16">
        <f ca="1">_xll.DBRW($D$4,$E$7,$E$8,$E$9,$E$10,$E$12,$D200,$E$6,CT$18,CT$17)</f>
        <v>2.9841166670000002E-2</v>
      </c>
      <c r="CU200" s="16">
        <f ca="1">_xll.DBRW($D$4,$E$7,$E$8,$E$9,$E$10,$E$12,$D200,$E$6,CU$18,CU$17)</f>
        <v>0</v>
      </c>
      <c r="CV200" s="16">
        <f ca="1">_xll.DBRW($D$4,$E$7,$E$8,$E$9,$E$10,$E$12,$D200,$E$6,CV$18,CV$17)</f>
        <v>2.9841166670000002E-2</v>
      </c>
      <c r="CW200" s="16">
        <f ca="1">_xll.DBRW($D$4,$E$7,$E$8,$E$9,$E$10,$E$12,$D200,$E$6,CW$18,CW$17)</f>
        <v>9.9999999999999995E-7</v>
      </c>
      <c r="CX200" s="16">
        <f ca="1">_xll.DBRW($D$4,$E$7,$E$8,$E$9,$E$10,$E$12,$D200,$E$6,CX$18,CX$17)</f>
        <v>2.9841166670000002E-2</v>
      </c>
      <c r="CY200" s="16">
        <f ca="1">_xll.DBRW($D$4,$E$7,$E$8,$E$9,$E$10,$E$12,$D200,$E$6,CY$18,CY$17)</f>
        <v>2.9841166670000002E-2</v>
      </c>
      <c r="CZ200" s="16">
        <f ca="1">_xll.DBRW($D$4,$E$7,$E$8,$E$9,$E$10,$E$12,$D200,$E$6,CZ$18,CZ$17)</f>
        <v>2.9841166670000002E-2</v>
      </c>
      <c r="DA200" s="26">
        <f t="shared" ca="1" si="127"/>
        <v>0.14084289999999991</v>
      </c>
      <c r="DB200" s="26">
        <f t="shared" ca="1" si="128"/>
        <v>-1.3579800000000017E-3</v>
      </c>
      <c r="DC200" s="26">
        <f t="shared" ca="1" si="129"/>
        <v>0</v>
      </c>
      <c r="DD200" s="26">
        <f t="shared" ca="1" si="130"/>
        <v>0</v>
      </c>
      <c r="DE200" s="26">
        <f t="shared" ca="1" si="131"/>
        <v>0</v>
      </c>
      <c r="DF200" s="26">
        <f t="shared" ca="1" si="132"/>
        <v>0</v>
      </c>
      <c r="DG200" s="26">
        <f t="shared" ca="1" si="133"/>
        <v>0</v>
      </c>
      <c r="DH200" s="26">
        <f t="shared" ca="1" si="134"/>
        <v>0.14220087999999992</v>
      </c>
      <c r="DI200" s="26">
        <f t="shared" ca="1" si="135"/>
        <v>0.1270460199999999</v>
      </c>
      <c r="DJ200" s="26">
        <f t="shared" ca="1" si="136"/>
        <v>1.8371489999999994E-2</v>
      </c>
      <c r="DK200" s="26">
        <f t="shared" ca="1" si="137"/>
        <v>-0.34203465625058649</v>
      </c>
      <c r="DL200" s="26"/>
      <c r="DM200" s="26"/>
      <c r="DN200" s="26"/>
      <c r="DO200" s="26"/>
      <c r="DP200" s="26">
        <f t="shared" ca="1" si="138"/>
        <v>2.0001399999999983E-3</v>
      </c>
      <c r="DQ200" s="26">
        <f t="shared" ca="1" si="139"/>
        <v>-5.8323214043821285E-2</v>
      </c>
      <c r="DR200" s="26"/>
      <c r="DS200" s="26"/>
      <c r="DT200" s="26"/>
      <c r="DU200" s="26"/>
      <c r="DV200" s="26">
        <f t="shared" ca="1" si="140"/>
        <v>1.36148E-3</v>
      </c>
      <c r="DW200" s="26">
        <f t="shared" ca="1" si="141"/>
        <v>-7.4411495388309504E-2</v>
      </c>
      <c r="DX200" s="26"/>
      <c r="DY200" s="26"/>
      <c r="DZ200" s="26"/>
      <c r="EA200" s="26"/>
      <c r="EB200" s="26">
        <f t="shared" ca="1" si="142"/>
        <v>-4.3159800000000005E-3</v>
      </c>
      <c r="EC200" s="26">
        <f t="shared" ca="1" si="143"/>
        <v>2.0271877383694504E-2</v>
      </c>
      <c r="ED200" s="26"/>
      <c r="EE200" s="26"/>
      <c r="EF200" s="26"/>
      <c r="EG200" s="26"/>
      <c r="EH200" s="26">
        <f t="shared" ca="1" si="144"/>
        <v>-2.2622700000000016E-3</v>
      </c>
      <c r="EI200" s="29">
        <f t="shared" ca="1" si="145"/>
        <v>-1.0780565289479939E-2</v>
      </c>
      <c r="EJ200" s="29"/>
      <c r="EK200" s="29"/>
      <c r="EL200" s="29"/>
      <c r="EM200" s="29"/>
      <c r="EN200" s="93"/>
      <c r="EO200" s="29"/>
      <c r="EP200" s="29"/>
      <c r="EQ200" s="29"/>
      <c r="ER200" s="29"/>
      <c r="ES200" s="29"/>
      <c r="ET200" s="29"/>
      <c r="EU200" s="93"/>
      <c r="EV200" s="29"/>
      <c r="EW200" s="29"/>
      <c r="EX200" s="29"/>
      <c r="EY200" s="29"/>
      <c r="EZ200" s="29"/>
      <c r="FA200" s="29"/>
      <c r="FB200" s="93"/>
      <c r="FC200" s="29"/>
      <c r="FD200" s="29"/>
      <c r="FE200" s="29"/>
      <c r="FF200" s="29"/>
      <c r="FG200" s="29"/>
      <c r="FH200" s="29"/>
      <c r="FI200" s="93"/>
      <c r="FJ200" s="29"/>
      <c r="FK200" s="29"/>
      <c r="FL200" s="29"/>
      <c r="FM200" s="29"/>
      <c r="FN200" s="29"/>
      <c r="FO200" s="29"/>
      <c r="FP200" s="93"/>
      <c r="FQ200" s="29"/>
      <c r="FR200" s="29"/>
      <c r="FS200" s="29"/>
      <c r="FT200" s="29"/>
      <c r="FU200" s="29"/>
      <c r="FV200" s="29"/>
    </row>
    <row r="201" spans="1:178" x14ac:dyDescent="0.25">
      <c r="A201" t="str">
        <f ca="1">IF(_xll.TM1RPTELISCONSOLIDATED($D$28,$D201),IF(_xll.TM1RPTELLEV($D$28,$D201)&lt;=3,_xll.TM1RPTELLEV($D$28,$D201),"D"),"N")</f>
        <v>N</v>
      </c>
      <c r="B201" t="str">
        <f ca="1">_xll.DBRA(Server&amp;"Management_organization",$D201,$B$27)</f>
        <v>L</v>
      </c>
      <c r="C201">
        <v>1</v>
      </c>
      <c r="D201" s="2" t="s">
        <v>218</v>
      </c>
      <c r="E201" s="26"/>
      <c r="F201" s="26"/>
      <c r="G201" s="16">
        <f ca="1">_xll.DBRW($D$4,$E$7,$E$8,$E$9,$E$10,$E$12,$D201,$E$6,G$18,G$17)</f>
        <v>-0.14903676000000018</v>
      </c>
      <c r="H201" s="16">
        <f ca="1">_xll.DBRW($D$4,$E$7,$E$8,$E$9,$E$10,$E$12,$D201,$E$6,H$18,H$17)</f>
        <v>-0.81227680999999996</v>
      </c>
      <c r="I201" s="16">
        <f ca="1">_xll.DBRW($D$4,$E$7,$E$8,$E$9,$E$10,$E$12,$D201,$E$6,I$18,I$17)</f>
        <v>0</v>
      </c>
      <c r="J201" s="26">
        <f ca="1">_xll.DBRW($D$4,$E$7,$E$8,$E$9,$E$10,$E$12,$D201,$E$6,J$18,J$17)</f>
        <v>0</v>
      </c>
      <c r="K201" s="26">
        <f ca="1">_xll.DBRW($D$4,$E$7,$E$8,$E$9,$E$10,$E$12,$D201,$E$6,K$18,K$17)</f>
        <v>0</v>
      </c>
      <c r="L201" s="26">
        <f ca="1">_xll.DBRW($D$4,$E$7,$E$8,$E$9,$E$10,$E$12,$D201,$E$6,L$18,L$17)</f>
        <v>0</v>
      </c>
      <c r="M201" s="26">
        <f ca="1">_xll.DBRW($D$4,$E$7,$E$8,$E$9,$E$10,$E$12,$D201,$E$6,M$18,M$17)</f>
        <v>0</v>
      </c>
      <c r="N201" s="16">
        <f ca="1">_xll.DBRW($D$4,$E$7,$E$8,$E$9,$E$10,$E$12,$D201,$E$6,N$18,N$17)</f>
        <v>0.66324004999999986</v>
      </c>
      <c r="O201" s="16">
        <f ca="1">_xll.DBRW($D$4,$E$7,$E$8,$E$9,$E$10,$E$12,$D201,$E$6,O$18,O$17)</f>
        <v>4.8306716999999999</v>
      </c>
      <c r="P201" s="74">
        <f ca="1">_xll.DBRW($D$4,$E$7,$E$8,$E$9,$E$10,$E$12,$D201,$E$6,P$18,P$17)</f>
        <v>-2.0751910200000006</v>
      </c>
      <c r="Q201" s="16">
        <f ca="1">_xll.DBRW($D$4,$E$7,$E$8,$E$9,$E$10,$E$12,$D201,$E$6,Q$18,Q$17)</f>
        <v>0.42958643204836311</v>
      </c>
      <c r="R201" s="16"/>
      <c r="S201" s="16"/>
      <c r="T201" s="16"/>
      <c r="U201" s="16"/>
      <c r="V201" s="16">
        <f ca="1">_xll.DBRW($D$4,$E$7,$E$8,$E$9,$E$10,$E$12,$D201,$E$6,V$18,V$17)</f>
        <v>-0.57851121999999999</v>
      </c>
      <c r="W201" s="16">
        <f ca="1">_xll.DBRW($D$4,$E$7,$E$8,$E$9,$E$10,$E$12,$D201,$E$6,W$18,W$17)</f>
        <v>0.11975792517632693</v>
      </c>
      <c r="X201" s="16"/>
      <c r="Y201" s="16"/>
      <c r="Z201" s="16"/>
      <c r="AA201" s="16"/>
      <c r="AB201" s="16">
        <f ca="1">_xll.DBRW($D$4,$E$7,$E$8,$E$9,$E$10,$E$12,$D201,$E$6,AB$18,AB$17)</f>
        <v>-0.46452619999999989</v>
      </c>
      <c r="AC201" s="16">
        <f ca="1">_xll.DBRW($D$4,$E$7,$E$8,$E$9,$E$10,$E$12,$D201,$E$6,AC$18,AC$17)</f>
        <v>9.6161823623824388E-2</v>
      </c>
      <c r="AD201" s="16"/>
      <c r="AE201" s="16"/>
      <c r="AF201" s="16"/>
      <c r="AG201" s="16"/>
      <c r="AH201" s="16">
        <f ca="1">_xll.DBRW($D$4,$E$7,$E$8,$E$9,$E$10,$E$12,$D201,$E$6,AH$18,AH$17)</f>
        <v>-0.9341956899999998</v>
      </c>
      <c r="AI201" s="16">
        <f ca="1">_xll.DBRW($D$4,$E$7,$E$8,$E$9,$E$10,$E$12,$D201,$E$6,AI$18,AI$17)</f>
        <v>0.19338836253351679</v>
      </c>
      <c r="AJ201" s="16"/>
      <c r="AK201" s="16"/>
      <c r="AL201" s="16"/>
      <c r="AM201" s="16"/>
      <c r="AN201" s="16">
        <f ca="1">_xll.DBRW($D$4,$E$7,$E$8,$E$9,$E$10,$E$12,$D201,$E$6,AN$18,AN$17)</f>
        <v>-0.22911118999999988</v>
      </c>
      <c r="AO201" s="16">
        <f ca="1">_xll.DBRW($D$4,$E$7,$E$8,$E$9,$E$10,$E$12,$D201,$E$6,AO$18,AO$17)</f>
        <v>4.7428433192841457E-2</v>
      </c>
      <c r="AP201" s="16"/>
      <c r="AQ201" s="16"/>
      <c r="AR201" s="16"/>
      <c r="AS201" s="16"/>
      <c r="AT201" s="16">
        <f ca="1">_xll.DBRW($D$4,$E$7,$E$8,$E$9,$E$10,$E$12,$D201,$E$6,AT$18,AT$17)</f>
        <v>6.9388939039072284E-18</v>
      </c>
      <c r="AU201" s="16">
        <f ca="1">_xll.DBRW($D$4,$E$7,$E$8,$E$9,$E$10,$E$12,$D201,$E$6,AU$18,AU$17)</f>
        <v>-2.2204460492503131E-16</v>
      </c>
      <c r="AV201" s="16">
        <f ca="1">_xll.DBRW($D$4,$E$7,$E$8,$E$9,$E$10,$E$12,$D201,$E$6,AV$18,AV$17)</f>
        <v>0</v>
      </c>
      <c r="AW201" s="16">
        <f ca="1">_xll.DBRW($D$4,$E$7,$E$8,$E$9,$E$10,$E$12,$D201,$E$6,AW$18,AW$17)</f>
        <v>-2.2204460492503131E-16</v>
      </c>
      <c r="AX201" s="16">
        <f ca="1">_xll.DBRW($D$4,$E$7,$E$8,$E$9,$E$10,$E$12,$D201,$E$6,AX$18,AX$17)</f>
        <v>0</v>
      </c>
      <c r="AY201" s="16">
        <f ca="1">_xll.DBRW($D$4,$E$7,$E$8,$E$9,$E$10,$E$12,$D201,$E$6,AY$18,AY$17)</f>
        <v>-2.2204460492503131E-16</v>
      </c>
      <c r="AZ201" s="16">
        <f ca="1">_xll.DBRW($D$4,$E$7,$E$8,$E$9,$E$10,$E$12,$D201,$E$6,AZ$18,AZ$17)</f>
        <v>0</v>
      </c>
      <c r="BA201" s="16">
        <f ca="1">_xll.DBRW($D$4,$E$7,$E$8,$E$9,$E$10,$E$12,$D201,$E$6,BA$18,BA$17)</f>
        <v>-2.2204460492503131E-16</v>
      </c>
      <c r="BB201" s="16">
        <f ca="1">_xll.DBRW($D$4,$E$7,$E$8,$E$9,$E$10,$E$12,$D201,$E$6,BB$18,BB$17)</f>
        <v>-2.2204460492503131E-16</v>
      </c>
      <c r="BC201" s="16">
        <f ca="1">_xll.DBRW($D$4,$E$7,$E$8,$E$9,$E$10,$E$12,$D201,$E$6,BC$18,BC$17)</f>
        <v>-2.2204460492503131E-16</v>
      </c>
      <c r="BD201" s="16">
        <f ca="1">_xll.DBRW($D$4,$E$7,$E$8,$E$9,$E$10,$E$12,$D201,$E$6,BD$18,BD$17)</f>
        <v>2.0575284300000019</v>
      </c>
      <c r="BE201" s="16">
        <f ca="1">_xll.DBRW($D$4,$E$7,$E$8,$E$9,$E$10,$E$12,$D201,$E$6,BE$18,BE$17)</f>
        <v>-0.33125455999999998</v>
      </c>
      <c r="BF201" s="16">
        <f ca="1">_xll.DBRW($D$4,$E$7,$E$8,$E$9,$E$10,$E$12,$D201,$E$6,BF$18,BF$17)</f>
        <v>0</v>
      </c>
      <c r="BG201" s="26">
        <f ca="1">_xll.DBRW($D$4,$E$7,$E$8,$E$9,$E$10,$E$12,$D201,$E$6,BG$18,BG$17)</f>
        <v>0</v>
      </c>
      <c r="BH201" s="26">
        <f ca="1">_xll.DBRW($D$4,$E$7,$E$8,$E$9,$E$10,$E$12,$D201,$E$6,BH$18,BH$17)</f>
        <v>0</v>
      </c>
      <c r="BI201" s="26">
        <f ca="1">_xll.DBRW($D$4,$E$7,$E$8,$E$9,$E$10,$E$12,$D201,$E$6,BI$18,BI$17)</f>
        <v>0</v>
      </c>
      <c r="BJ201" s="26">
        <f ca="1">_xll.DBRW($D$4,$E$7,$E$8,$E$9,$E$10,$E$12,$D201,$E$6,BJ$18,BJ$17)</f>
        <v>0</v>
      </c>
      <c r="BK201" s="16">
        <f ca="1">_xll.DBRW($D$4,$E$7,$E$8,$E$9,$E$10,$E$12,$D201,$E$6,BK$18,BK$17)</f>
        <v>2.3887829900000015</v>
      </c>
      <c r="BL201" s="16">
        <f ca="1">_xll.DBRW($D$4,$E$7,$E$8,$E$9,$E$10,$E$12,$D201,$E$6,BL$18,BL$17)</f>
        <v>5.089135530000001</v>
      </c>
      <c r="BM201" s="16">
        <f ca="1">_xll.DBRW($D$4,$E$7,$E$8,$E$9,$E$10,$E$12,$D201,$E$6,BM$18,BM$17)</f>
        <v>-1.7651114299999999</v>
      </c>
      <c r="BN201" s="16">
        <f ca="1">_xll.DBRW($D$4,$E$7,$E$8,$E$9,$E$10,$E$12,$D201,$E$6,BN$18,BN$17)</f>
        <v>0.34683914774814412</v>
      </c>
      <c r="BO201" s="16"/>
      <c r="BP201" s="16"/>
      <c r="BQ201" s="16"/>
      <c r="BR201" s="16"/>
      <c r="BS201" s="16">
        <f ca="1">_xll.DBRW($D$4,$E$7,$E$8,$E$9,$E$10,$E$12,$D201,$E$6,BS$18,BS$17)</f>
        <v>-0.29886641000000003</v>
      </c>
      <c r="BT201" s="16">
        <f ca="1">_xll.DBRW($D$4,$E$7,$E$8,$E$9,$E$10,$E$12,$D201,$E$6,BT$18,BT$17)</f>
        <v>5.8726360938554129E-2</v>
      </c>
      <c r="BU201" s="16"/>
      <c r="BV201" s="16"/>
      <c r="BW201" s="16"/>
      <c r="BX201" s="16"/>
      <c r="BY201" s="16">
        <f ca="1">_xll.DBRW($D$4,$E$7,$E$8,$E$9,$E$10,$E$12,$D201,$E$6,BY$18,BY$17)</f>
        <v>-0.34013461999999983</v>
      </c>
      <c r="BZ201" s="16">
        <f ca="1">_xll.DBRW($D$4,$E$7,$E$8,$E$9,$E$10,$E$12,$D201,$E$6,BZ$18,BZ$17)</f>
        <v>6.683544149982576E-2</v>
      </c>
      <c r="CA201" s="16"/>
      <c r="CB201" s="16"/>
      <c r="CC201" s="16"/>
      <c r="CD201" s="16"/>
      <c r="CE201" s="16">
        <f ca="1">_xll.DBRW($D$4,$E$7,$E$8,$E$9,$E$10,$E$12,$D201,$E$6,CE$18,CE$17)</f>
        <v>-0.14265806999999997</v>
      </c>
      <c r="CF201" s="16">
        <f ca="1">_xll.DBRW($D$4,$E$7,$E$8,$E$9,$E$10,$E$12,$D201,$E$6,CF$18,CF$17)</f>
        <v>2.8031886586443483E-2</v>
      </c>
      <c r="CG201" s="16"/>
      <c r="CH201" s="16"/>
      <c r="CI201" s="16"/>
      <c r="CJ201" s="16"/>
      <c r="CK201" s="16">
        <f ca="1">_xll.DBRW($D$4,$E$7,$E$8,$E$9,$E$10,$E$12,$D201,$E$6,CK$18,CK$17)</f>
        <v>-0.15358200999999999</v>
      </c>
      <c r="CL201" s="16">
        <f ca="1">_xll.DBRW($D$4,$E$7,$E$8,$E$9,$E$10,$E$12,$D201,$E$6,CL$18,CL$17)</f>
        <v>3.0178408316038689E-2</v>
      </c>
      <c r="CM201" s="16"/>
      <c r="CN201" s="16"/>
      <c r="CO201" s="16"/>
      <c r="CP201" s="16"/>
      <c r="CQ201" s="16">
        <f ca="1">_xll.DBRW($D$4,$E$7,$E$8,$E$9,$E$10,$E$12,$D201,$E$6,CQ$18,CQ$17)</f>
        <v>8.3584844059999996E-2</v>
      </c>
      <c r="CR201" s="16">
        <f ca="1">_xll.DBRW($D$4,$E$7,$E$8,$E$9,$E$10,$E$12,$D201,$E$6,CR$18,CR$17)</f>
        <v>2.1668625000000001</v>
      </c>
      <c r="CS201" s="16">
        <f ca="1">_xll.DBRW($D$4,$E$7,$E$8,$E$9,$E$10,$E$12,$D201,$E$6,CS$18,CS$17)</f>
        <v>1.6361124999999999</v>
      </c>
      <c r="CT201" s="16">
        <f ca="1">_xll.DBRW($D$4,$E$7,$E$8,$E$9,$E$10,$E$12,$D201,$E$6,CT$18,CT$17)</f>
        <v>2.1668625000000001</v>
      </c>
      <c r="CU201" s="16">
        <f ca="1">_xll.DBRW($D$4,$E$7,$E$8,$E$9,$E$10,$E$12,$D201,$E$6,CU$18,CU$17)</f>
        <v>0.51080417479999995</v>
      </c>
      <c r="CV201" s="16">
        <f ca="1">_xll.DBRW($D$4,$E$7,$E$8,$E$9,$E$10,$E$12,$D201,$E$6,CV$18,CV$17)</f>
        <v>2.1668625000000001</v>
      </c>
      <c r="CW201" s="16">
        <f ca="1">_xll.DBRW($D$4,$E$7,$E$8,$E$9,$E$10,$E$12,$D201,$E$6,CW$18,CW$17)</f>
        <v>5.1000000000000006E-5</v>
      </c>
      <c r="CX201" s="16">
        <f ca="1">_xll.DBRW($D$4,$E$7,$E$8,$E$9,$E$10,$E$12,$D201,$E$6,CX$18,CX$17)</f>
        <v>2.1668625000000001</v>
      </c>
      <c r="CY201" s="16">
        <f ca="1">_xll.DBRW($D$4,$E$7,$E$8,$E$9,$E$10,$E$12,$D201,$E$6,CY$18,CY$17)</f>
        <v>2.1668625000000001</v>
      </c>
      <c r="CZ201" s="16">
        <f ca="1">_xll.DBRW($D$4,$E$7,$E$8,$E$9,$E$10,$E$12,$D201,$E$6,CZ$18,CZ$17)</f>
        <v>2.1668625000000001</v>
      </c>
      <c r="DA201" s="26">
        <f t="shared" ca="1" si="127"/>
        <v>-2.2065651900000018</v>
      </c>
      <c r="DB201" s="26">
        <f t="shared" ca="1" si="128"/>
        <v>-0.48102224999999998</v>
      </c>
      <c r="DC201" s="26">
        <f t="shared" ca="1" si="129"/>
        <v>0</v>
      </c>
      <c r="DD201" s="26">
        <f t="shared" ca="1" si="130"/>
        <v>0</v>
      </c>
      <c r="DE201" s="26">
        <f t="shared" ca="1" si="131"/>
        <v>0</v>
      </c>
      <c r="DF201" s="26">
        <f t="shared" ca="1" si="132"/>
        <v>0</v>
      </c>
      <c r="DG201" s="26">
        <f t="shared" ca="1" si="133"/>
        <v>0</v>
      </c>
      <c r="DH201" s="26">
        <f t="shared" ca="1" si="134"/>
        <v>-1.7255429400000017</v>
      </c>
      <c r="DI201" s="26">
        <f t="shared" ca="1" si="135"/>
        <v>-0.25846383000000106</v>
      </c>
      <c r="DJ201" s="26">
        <f t="shared" ca="1" si="136"/>
        <v>-0.31007959000000063</v>
      </c>
      <c r="DK201" s="26">
        <f t="shared" ca="1" si="137"/>
        <v>8.2747284300218993E-2</v>
      </c>
      <c r="DL201" s="26"/>
      <c r="DM201" s="26"/>
      <c r="DN201" s="26"/>
      <c r="DO201" s="26"/>
      <c r="DP201" s="26">
        <f t="shared" ca="1" si="138"/>
        <v>-0.27964480999999997</v>
      </c>
      <c r="DQ201" s="26">
        <f t="shared" ca="1" si="139"/>
        <v>6.1031564237772798E-2</v>
      </c>
      <c r="DR201" s="26"/>
      <c r="DS201" s="26"/>
      <c r="DT201" s="26"/>
      <c r="DU201" s="26"/>
      <c r="DV201" s="26">
        <f t="shared" ca="1" si="140"/>
        <v>-0.12439158000000006</v>
      </c>
      <c r="DW201" s="26">
        <f t="shared" ca="1" si="141"/>
        <v>2.9326382123998629E-2</v>
      </c>
      <c r="DX201" s="26"/>
      <c r="DY201" s="26"/>
      <c r="DZ201" s="26"/>
      <c r="EA201" s="26"/>
      <c r="EB201" s="26">
        <f t="shared" ca="1" si="142"/>
        <v>-0.79153761999999983</v>
      </c>
      <c r="EC201" s="26">
        <f t="shared" ca="1" si="143"/>
        <v>0.16535647594707331</v>
      </c>
      <c r="ED201" s="26"/>
      <c r="EE201" s="26"/>
      <c r="EF201" s="26"/>
      <c r="EG201" s="26"/>
      <c r="EH201" s="26">
        <f t="shared" ca="1" si="144"/>
        <v>-7.552917999999989E-2</v>
      </c>
      <c r="EI201" s="29">
        <f t="shared" ca="1" si="145"/>
        <v>1.7250024876802768E-2</v>
      </c>
      <c r="EJ201" s="29"/>
      <c r="EK201" s="29"/>
      <c r="EL201" s="29"/>
      <c r="EM201" s="29"/>
      <c r="EN201" s="93"/>
      <c r="EO201" s="29"/>
      <c r="EP201" s="29"/>
      <c r="EQ201" s="29"/>
      <c r="ER201" s="29"/>
      <c r="ES201" s="29"/>
      <c r="ET201" s="29"/>
      <c r="EU201" s="93"/>
      <c r="EV201" s="29"/>
      <c r="EW201" s="29"/>
      <c r="EX201" s="29"/>
      <c r="EY201" s="29"/>
      <c r="EZ201" s="29"/>
      <c r="FA201" s="29"/>
      <c r="FB201" s="93"/>
      <c r="FC201" s="29"/>
      <c r="FD201" s="29"/>
      <c r="FE201" s="29"/>
      <c r="FF201" s="29"/>
      <c r="FG201" s="29"/>
      <c r="FH201" s="29"/>
      <c r="FI201" s="93"/>
      <c r="FJ201" s="29"/>
      <c r="FK201" s="29"/>
      <c r="FL201" s="29"/>
      <c r="FM201" s="29"/>
      <c r="FN201" s="29"/>
      <c r="FO201" s="29"/>
      <c r="FP201" s="93"/>
      <c r="FQ201" s="29"/>
      <c r="FR201" s="29"/>
      <c r="FS201" s="29"/>
      <c r="FT201" s="29"/>
      <c r="FU201" s="29"/>
      <c r="FV201" s="29"/>
    </row>
    <row r="202" spans="1:178" x14ac:dyDescent="0.25">
      <c r="A202" t="str">
        <f ca="1">IF(_xll.TM1RPTELISCONSOLIDATED($D$28,$D202),IF(_xll.TM1RPTELLEV($D$28,$D202)&lt;=3,_xll.TM1RPTELLEV($D$28,$D202),"D"),"N")</f>
        <v>N</v>
      </c>
      <c r="B202" t="str">
        <f ca="1">_xll.DBRA(Server&amp;"Management_organization",$D202,$B$27)</f>
        <v>L</v>
      </c>
      <c r="C202">
        <v>1</v>
      </c>
      <c r="D202" s="2" t="s">
        <v>304</v>
      </c>
      <c r="E202" s="26"/>
      <c r="F202" s="26"/>
      <c r="G202" s="16">
        <f ca="1">_xll.DBRW($D$4,$E$7,$E$8,$E$9,$E$10,$E$12,$D202,$E$6,G$18,G$17)</f>
        <v>0.11113777000000069</v>
      </c>
      <c r="H202" s="16">
        <f ca="1">_xll.DBRW($D$4,$E$7,$E$8,$E$9,$E$10,$E$12,$D202,$E$6,H$18,H$17)</f>
        <v>-9.7759889999999974E-2</v>
      </c>
      <c r="I202" s="16">
        <f ca="1">_xll.DBRW($D$4,$E$7,$E$8,$E$9,$E$10,$E$12,$D202,$E$6,I$18,I$17)</f>
        <v>0</v>
      </c>
      <c r="J202" s="26">
        <f ca="1">_xll.DBRW($D$4,$E$7,$E$8,$E$9,$E$10,$E$12,$D202,$E$6,J$18,J$17)</f>
        <v>0</v>
      </c>
      <c r="K202" s="26">
        <f ca="1">_xll.DBRW($D$4,$E$7,$E$8,$E$9,$E$10,$E$12,$D202,$E$6,K$18,K$17)</f>
        <v>0</v>
      </c>
      <c r="L202" s="26">
        <f ca="1">_xll.DBRW($D$4,$E$7,$E$8,$E$9,$E$10,$E$12,$D202,$E$6,L$18,L$17)</f>
        <v>0</v>
      </c>
      <c r="M202" s="26">
        <f ca="1">_xll.DBRW($D$4,$E$7,$E$8,$E$9,$E$10,$E$12,$D202,$E$6,M$18,M$17)</f>
        <v>0</v>
      </c>
      <c r="N202" s="16">
        <f ca="1">_xll.DBRW($D$4,$E$7,$E$8,$E$9,$E$10,$E$12,$D202,$E$6,N$18,N$17)</f>
        <v>0.20889766000000065</v>
      </c>
      <c r="O202" s="16">
        <f ca="1">_xll.DBRW($D$4,$E$7,$E$8,$E$9,$E$10,$E$12,$D202,$E$6,O$18,O$17)</f>
        <v>1.0563684400000009</v>
      </c>
      <c r="P202" s="74">
        <f ca="1">_xll.DBRW($D$4,$E$7,$E$8,$E$9,$E$10,$E$12,$D202,$E$6,P$18,P$17)</f>
        <v>-0.60029295000000005</v>
      </c>
      <c r="Q202" s="16">
        <f ca="1">_xll.DBRW($D$4,$E$7,$E$8,$E$9,$E$10,$E$12,$D202,$E$6,Q$18,Q$17)</f>
        <v>0.56826096584256114</v>
      </c>
      <c r="R202" s="16"/>
      <c r="S202" s="16"/>
      <c r="T202" s="16"/>
      <c r="U202" s="16"/>
      <c r="V202" s="16">
        <f ca="1">_xll.DBRW($D$4,$E$7,$E$8,$E$9,$E$10,$E$12,$D202,$E$6,V$18,V$17)</f>
        <v>-0.12066362</v>
      </c>
      <c r="W202" s="16">
        <f ca="1">_xll.DBRW($D$4,$E$7,$E$8,$E$9,$E$10,$E$12,$D202,$E$6,W$18,W$17)</f>
        <v>0.11422493841258634</v>
      </c>
      <c r="X202" s="16"/>
      <c r="Y202" s="16"/>
      <c r="Z202" s="16"/>
      <c r="AA202" s="16"/>
      <c r="AB202" s="16">
        <f ca="1">_xll.DBRW($D$4,$E$7,$E$8,$E$9,$E$10,$E$12,$D202,$E$6,AB$18,AB$17)</f>
        <v>-0.11090973</v>
      </c>
      <c r="AC202" s="16">
        <f ca="1">_xll.DBRW($D$4,$E$7,$E$8,$E$9,$E$10,$E$12,$D202,$E$6,AC$18,AC$17)</f>
        <v>0.1049915217080888</v>
      </c>
      <c r="AD202" s="16"/>
      <c r="AE202" s="16"/>
      <c r="AF202" s="16"/>
      <c r="AG202" s="16"/>
      <c r="AH202" s="16">
        <f ca="1">_xll.DBRW($D$4,$E$7,$E$8,$E$9,$E$10,$E$12,$D202,$E$6,AH$18,AH$17)</f>
        <v>-3.6751999999999993E-2</v>
      </c>
      <c r="AI202" s="16">
        <f ca="1">_xll.DBRW($D$4,$E$7,$E$8,$E$9,$E$10,$E$12,$D202,$E$6,AI$18,AI$17)</f>
        <v>3.4790891708199802E-2</v>
      </c>
      <c r="AJ202" s="16"/>
      <c r="AK202" s="16"/>
      <c r="AL202" s="16"/>
      <c r="AM202" s="16"/>
      <c r="AN202" s="16">
        <f ca="1">_xll.DBRW($D$4,$E$7,$E$8,$E$9,$E$10,$E$12,$D202,$E$6,AN$18,AN$17)</f>
        <v>2.058902E-2</v>
      </c>
      <c r="AO202" s="16">
        <f ca="1">_xll.DBRW($D$4,$E$7,$E$8,$E$9,$E$10,$E$12,$D202,$E$6,AO$18,AO$17)</f>
        <v>-1.9490377807954942E-2</v>
      </c>
      <c r="AP202" s="16"/>
      <c r="AQ202" s="16"/>
      <c r="AR202" s="16"/>
      <c r="AS202" s="16"/>
      <c r="AT202" s="16">
        <f ca="1">_xll.DBRW($D$4,$E$7,$E$8,$E$9,$E$10,$E$12,$D202,$E$6,AT$18,AT$17)</f>
        <v>-3.4694469519536142E-18</v>
      </c>
      <c r="AU202" s="16">
        <f ca="1">_xll.DBRW($D$4,$E$7,$E$8,$E$9,$E$10,$E$12,$D202,$E$6,AU$18,AU$17)</f>
        <v>0</v>
      </c>
      <c r="AV202" s="16">
        <f ca="1">_xll.DBRW($D$4,$E$7,$E$8,$E$9,$E$10,$E$12,$D202,$E$6,AV$18,AV$17)</f>
        <v>-5.5511151231257827E-17</v>
      </c>
      <c r="AW202" s="16">
        <f ca="1">_xll.DBRW($D$4,$E$7,$E$8,$E$9,$E$10,$E$12,$D202,$E$6,AW$18,AW$17)</f>
        <v>0</v>
      </c>
      <c r="AX202" s="16">
        <f ca="1">_xll.DBRW($D$4,$E$7,$E$8,$E$9,$E$10,$E$12,$D202,$E$6,AX$18,AX$17)</f>
        <v>0</v>
      </c>
      <c r="AY202" s="16">
        <f ca="1">_xll.DBRW($D$4,$E$7,$E$8,$E$9,$E$10,$E$12,$D202,$E$6,AY$18,AY$17)</f>
        <v>0</v>
      </c>
      <c r="AZ202" s="16">
        <f ca="1">_xll.DBRW($D$4,$E$7,$E$8,$E$9,$E$10,$E$12,$D202,$E$6,AZ$18,AZ$17)</f>
        <v>0</v>
      </c>
      <c r="BA202" s="16">
        <f ca="1">_xll.DBRW($D$4,$E$7,$E$8,$E$9,$E$10,$E$12,$D202,$E$6,BA$18,BA$17)</f>
        <v>0</v>
      </c>
      <c r="BB202" s="16">
        <f ca="1">_xll.DBRW($D$4,$E$7,$E$8,$E$9,$E$10,$E$12,$D202,$E$6,BB$18,BB$17)</f>
        <v>0</v>
      </c>
      <c r="BC202" s="16">
        <f ca="1">_xll.DBRW($D$4,$E$7,$E$8,$E$9,$E$10,$E$12,$D202,$E$6,BC$18,BC$17)</f>
        <v>0</v>
      </c>
      <c r="BD202" s="16">
        <f ca="1">_xll.DBRW($D$4,$E$7,$E$8,$E$9,$E$10,$E$12,$D202,$E$6,BD$18,BD$17)</f>
        <v>0.24073817000000147</v>
      </c>
      <c r="BE202" s="16">
        <f ca="1">_xll.DBRW($D$4,$E$7,$E$8,$E$9,$E$10,$E$12,$D202,$E$6,BE$18,BE$17)</f>
        <v>-0.12783333</v>
      </c>
      <c r="BF202" s="16">
        <f ca="1">_xll.DBRW($D$4,$E$7,$E$8,$E$9,$E$10,$E$12,$D202,$E$6,BF$18,BF$17)</f>
        <v>0</v>
      </c>
      <c r="BG202" s="26">
        <f ca="1">_xll.DBRW($D$4,$E$7,$E$8,$E$9,$E$10,$E$12,$D202,$E$6,BG$18,BG$17)</f>
        <v>0</v>
      </c>
      <c r="BH202" s="26">
        <f ca="1">_xll.DBRW($D$4,$E$7,$E$8,$E$9,$E$10,$E$12,$D202,$E$6,BH$18,BH$17)</f>
        <v>0</v>
      </c>
      <c r="BI202" s="26">
        <f ca="1">_xll.DBRW($D$4,$E$7,$E$8,$E$9,$E$10,$E$12,$D202,$E$6,BI$18,BI$17)</f>
        <v>0</v>
      </c>
      <c r="BJ202" s="26">
        <f ca="1">_xll.DBRW($D$4,$E$7,$E$8,$E$9,$E$10,$E$12,$D202,$E$6,BJ$18,BJ$17)</f>
        <v>0</v>
      </c>
      <c r="BK202" s="16">
        <f ca="1">_xll.DBRW($D$4,$E$7,$E$8,$E$9,$E$10,$E$12,$D202,$E$6,BK$18,BK$17)</f>
        <v>0.36857150000000144</v>
      </c>
      <c r="BL202" s="16">
        <f ca="1">_xll.DBRW($D$4,$E$7,$E$8,$E$9,$E$10,$E$12,$D202,$E$6,BL$18,BL$17)</f>
        <v>1.4736619300000018</v>
      </c>
      <c r="BM202" s="16">
        <f ca="1">_xll.DBRW($D$4,$E$7,$E$8,$E$9,$E$10,$E$12,$D202,$E$6,BM$18,BM$17)</f>
        <v>-0.70674291000000011</v>
      </c>
      <c r="BN202" s="16">
        <f ca="1">_xll.DBRW($D$4,$E$7,$E$8,$E$9,$E$10,$E$12,$D202,$E$6,BN$18,BN$17)</f>
        <v>0.47958279684947774</v>
      </c>
      <c r="BO202" s="16"/>
      <c r="BP202" s="16"/>
      <c r="BQ202" s="16"/>
      <c r="BR202" s="16"/>
      <c r="BS202" s="16">
        <f ca="1">_xll.DBRW($D$4,$E$7,$E$8,$E$9,$E$10,$E$12,$D202,$E$6,BS$18,BS$17)</f>
        <v>-0.14294583000000002</v>
      </c>
      <c r="BT202" s="16">
        <f ca="1">_xll.DBRW($D$4,$E$7,$E$8,$E$9,$E$10,$E$12,$D202,$E$6,BT$18,BT$17)</f>
        <v>9.7000422613889373E-2</v>
      </c>
      <c r="BU202" s="16"/>
      <c r="BV202" s="16"/>
      <c r="BW202" s="16"/>
      <c r="BX202" s="16"/>
      <c r="BY202" s="16">
        <f ca="1">_xll.DBRW($D$4,$E$7,$E$8,$E$9,$E$10,$E$12,$D202,$E$6,BY$18,BY$17)</f>
        <v>-0.12893800000000002</v>
      </c>
      <c r="BZ202" s="16">
        <f ca="1">_xll.DBRW($D$4,$E$7,$E$8,$E$9,$E$10,$E$12,$D202,$E$6,BZ$18,BZ$17)</f>
        <v>8.7494965687279352E-2</v>
      </c>
      <c r="CA202" s="16"/>
      <c r="CB202" s="16"/>
      <c r="CC202" s="16"/>
      <c r="CD202" s="16"/>
      <c r="CE202" s="16">
        <f ca="1">_xll.DBRW($D$4,$E$7,$E$8,$E$9,$E$10,$E$12,$D202,$E$6,CE$18,CE$17)</f>
        <v>-4.3560330000000015E-2</v>
      </c>
      <c r="CF202" s="16">
        <f ca="1">_xll.DBRW($D$4,$E$7,$E$8,$E$9,$E$10,$E$12,$D202,$E$6,CF$18,CF$17)</f>
        <v>2.9559242261215205E-2</v>
      </c>
      <c r="CG202" s="16"/>
      <c r="CH202" s="16"/>
      <c r="CI202" s="16"/>
      <c r="CJ202" s="16"/>
      <c r="CK202" s="16">
        <f ca="1">_xll.DBRW($D$4,$E$7,$E$8,$E$9,$E$10,$E$12,$D202,$E$6,CK$18,CK$17)</f>
        <v>-8.2903359999999995E-2</v>
      </c>
      <c r="CL202" s="16">
        <f ca="1">_xll.DBRW($D$4,$E$7,$E$8,$E$9,$E$10,$E$12,$D202,$E$6,CL$18,CL$17)</f>
        <v>5.6256701969630098E-2</v>
      </c>
      <c r="CM202" s="16"/>
      <c r="CN202" s="16"/>
      <c r="CO202" s="16"/>
      <c r="CP202" s="16"/>
      <c r="CQ202" s="16">
        <f ca="1">_xll.DBRW($D$4,$E$7,$E$8,$E$9,$E$10,$E$12,$D202,$E$6,CQ$18,CQ$17)</f>
        <v>2.4350996699999995E-2</v>
      </c>
      <c r="CR202" s="16">
        <f ca="1">_xll.DBRW($D$4,$E$7,$E$8,$E$9,$E$10,$E$12,$D202,$E$6,CR$18,CR$17)</f>
        <v>1.8548062500000002</v>
      </c>
      <c r="CS202" s="16">
        <f ca="1">_xll.DBRW($D$4,$E$7,$E$8,$E$9,$E$10,$E$12,$D202,$E$6,CS$18,CS$17)</f>
        <v>0.43272716669999994</v>
      </c>
      <c r="CT202" s="16">
        <f ca="1">_xll.DBRW($D$4,$E$7,$E$8,$E$9,$E$10,$E$12,$D202,$E$6,CT$18,CT$17)</f>
        <v>1.8548062500000002</v>
      </c>
      <c r="CU202" s="16">
        <f ca="1">_xll.DBRW($D$4,$E$7,$E$8,$E$9,$E$10,$E$12,$D202,$E$6,CU$18,CU$17)</f>
        <v>0.14543829790000001</v>
      </c>
      <c r="CV202" s="16">
        <f ca="1">_xll.DBRW($D$4,$E$7,$E$8,$E$9,$E$10,$E$12,$D202,$E$6,CV$18,CV$17)</f>
        <v>1.8548062500000002</v>
      </c>
      <c r="CW202" s="16">
        <f ca="1">_xll.DBRW($D$4,$E$7,$E$8,$E$9,$E$10,$E$12,$D202,$E$6,CW$18,CW$17)</f>
        <v>1.2E-5</v>
      </c>
      <c r="CX202" s="16">
        <f ca="1">_xll.DBRW($D$4,$E$7,$E$8,$E$9,$E$10,$E$12,$D202,$E$6,CX$18,CX$17)</f>
        <v>1.8548062500000002</v>
      </c>
      <c r="CY202" s="16">
        <f ca="1">_xll.DBRW($D$4,$E$7,$E$8,$E$9,$E$10,$E$12,$D202,$E$6,CY$18,CY$17)</f>
        <v>1.8548062500000002</v>
      </c>
      <c r="CZ202" s="16">
        <f ca="1">_xll.DBRW($D$4,$E$7,$E$8,$E$9,$E$10,$E$12,$D202,$E$6,CZ$18,CZ$17)</f>
        <v>1.8548062500000002</v>
      </c>
      <c r="DA202" s="26">
        <f t="shared" ca="1" si="127"/>
        <v>-0.12960040000000078</v>
      </c>
      <c r="DB202" s="26">
        <f t="shared" ca="1" si="128"/>
        <v>3.0073440000000021E-2</v>
      </c>
      <c r="DC202" s="26">
        <f t="shared" ca="1" si="129"/>
        <v>0</v>
      </c>
      <c r="DD202" s="26">
        <f t="shared" ca="1" si="130"/>
        <v>0</v>
      </c>
      <c r="DE202" s="26">
        <f t="shared" ca="1" si="131"/>
        <v>0</v>
      </c>
      <c r="DF202" s="26">
        <f t="shared" ca="1" si="132"/>
        <v>0</v>
      </c>
      <c r="DG202" s="26">
        <f t="shared" ca="1" si="133"/>
        <v>0</v>
      </c>
      <c r="DH202" s="26">
        <f t="shared" ca="1" si="134"/>
        <v>-0.15967384000000079</v>
      </c>
      <c r="DI202" s="26">
        <f t="shared" ca="1" si="135"/>
        <v>-0.41729349000000093</v>
      </c>
      <c r="DJ202" s="26">
        <f t="shared" ca="1" si="136"/>
        <v>0.10644996000000007</v>
      </c>
      <c r="DK202" s="26">
        <f t="shared" ca="1" si="137"/>
        <v>8.8678168993083395E-2</v>
      </c>
      <c r="DL202" s="26"/>
      <c r="DM202" s="26"/>
      <c r="DN202" s="26"/>
      <c r="DO202" s="26"/>
      <c r="DP202" s="26">
        <f t="shared" ca="1" si="138"/>
        <v>2.2282210000000024E-2</v>
      </c>
      <c r="DQ202" s="26">
        <f t="shared" ca="1" si="139"/>
        <v>1.7224515798696965E-2</v>
      </c>
      <c r="DR202" s="26"/>
      <c r="DS202" s="26"/>
      <c r="DT202" s="26"/>
      <c r="DU202" s="26"/>
      <c r="DV202" s="26">
        <f t="shared" ca="1" si="140"/>
        <v>1.8028270000000027E-2</v>
      </c>
      <c r="DW202" s="26">
        <f t="shared" ca="1" si="141"/>
        <v>1.7496556020809448E-2</v>
      </c>
      <c r="DX202" s="26"/>
      <c r="DY202" s="26"/>
      <c r="DZ202" s="26"/>
      <c r="EA202" s="26"/>
      <c r="EB202" s="26">
        <f t="shared" ca="1" si="142"/>
        <v>6.8083300000000221E-3</v>
      </c>
      <c r="EC202" s="26">
        <f t="shared" ca="1" si="143"/>
        <v>5.2316494469845966E-3</v>
      </c>
      <c r="ED202" s="26"/>
      <c r="EE202" s="26"/>
      <c r="EF202" s="26"/>
      <c r="EG202" s="26"/>
      <c r="EH202" s="26">
        <f t="shared" ca="1" si="144"/>
        <v>0.10349237999999999</v>
      </c>
      <c r="EI202" s="29">
        <f t="shared" ca="1" si="145"/>
        <v>-7.5747079777585047E-2</v>
      </c>
      <c r="EJ202" s="29"/>
      <c r="EK202" s="29"/>
      <c r="EL202" s="29"/>
      <c r="EM202" s="29"/>
      <c r="EN202" s="93"/>
      <c r="EO202" s="29"/>
      <c r="EP202" s="29"/>
      <c r="EQ202" s="29"/>
      <c r="ER202" s="29"/>
      <c r="ES202" s="29"/>
      <c r="ET202" s="29"/>
      <c r="EU202" s="93"/>
      <c r="EV202" s="29"/>
      <c r="EW202" s="29"/>
      <c r="EX202" s="29"/>
      <c r="EY202" s="29"/>
      <c r="EZ202" s="29"/>
      <c r="FA202" s="29"/>
      <c r="FB202" s="93"/>
      <c r="FC202" s="29"/>
      <c r="FD202" s="29"/>
      <c r="FE202" s="29"/>
      <c r="FF202" s="29"/>
      <c r="FG202" s="29"/>
      <c r="FH202" s="29"/>
      <c r="FI202" s="93"/>
      <c r="FJ202" s="29"/>
      <c r="FK202" s="29"/>
      <c r="FL202" s="29"/>
      <c r="FM202" s="29"/>
      <c r="FN202" s="29"/>
      <c r="FO202" s="29"/>
      <c r="FP202" s="93"/>
      <c r="FQ202" s="29"/>
      <c r="FR202" s="29"/>
      <c r="FS202" s="29"/>
      <c r="FT202" s="29"/>
      <c r="FU202" s="29"/>
      <c r="FV202" s="29"/>
    </row>
    <row r="203" spans="1:178" x14ac:dyDescent="0.25">
      <c r="A203" t="str">
        <f ca="1">IF(_xll.TM1RPTELISCONSOLIDATED($D$28,$D203),IF(_xll.TM1RPTELLEV($D$28,$D203)&lt;=3,_xll.TM1RPTELLEV($D$28,$D203),"D"),"N")</f>
        <v>N</v>
      </c>
      <c r="B203" t="str">
        <f ca="1">_xll.DBRA(Server&amp;"Management_organization",$D203,$B$27)</f>
        <v>L</v>
      </c>
      <c r="C203">
        <v>1</v>
      </c>
      <c r="D203" s="2" t="s">
        <v>305</v>
      </c>
      <c r="E203" s="26"/>
      <c r="F203" s="26"/>
      <c r="G203" s="16">
        <f ca="1">_xll.DBRW($D$4,$E$7,$E$8,$E$9,$E$10,$E$12,$D203,$E$6,G$18,G$17)</f>
        <v>-0.42180188999999957</v>
      </c>
      <c r="H203" s="16">
        <f ca="1">_xll.DBRW($D$4,$E$7,$E$8,$E$9,$E$10,$E$12,$D203,$E$6,H$18,H$17)</f>
        <v>-0.23820572000000007</v>
      </c>
      <c r="I203" s="16">
        <f ca="1">_xll.DBRW($D$4,$E$7,$E$8,$E$9,$E$10,$E$12,$D203,$E$6,I$18,I$17)</f>
        <v>0</v>
      </c>
      <c r="J203" s="26">
        <f ca="1">_xll.DBRW($D$4,$E$7,$E$8,$E$9,$E$10,$E$12,$D203,$E$6,J$18,J$17)</f>
        <v>0</v>
      </c>
      <c r="K203" s="26">
        <f ca="1">_xll.DBRW($D$4,$E$7,$E$8,$E$9,$E$10,$E$12,$D203,$E$6,K$18,K$17)</f>
        <v>0</v>
      </c>
      <c r="L203" s="26">
        <f ca="1">_xll.DBRW($D$4,$E$7,$E$8,$E$9,$E$10,$E$12,$D203,$E$6,L$18,L$17)</f>
        <v>0</v>
      </c>
      <c r="M203" s="26">
        <f ca="1">_xll.DBRW($D$4,$E$7,$E$8,$E$9,$E$10,$E$12,$D203,$E$6,M$18,M$17)</f>
        <v>0</v>
      </c>
      <c r="N203" s="16">
        <f ca="1">_xll.DBRW($D$4,$E$7,$E$8,$E$9,$E$10,$E$12,$D203,$E$6,N$18,N$17)</f>
        <v>-0.18359616999999956</v>
      </c>
      <c r="O203" s="16">
        <f ca="1">_xll.DBRW($D$4,$E$7,$E$8,$E$9,$E$10,$E$12,$D203,$E$6,O$18,O$17)</f>
        <v>1.2951042100000001</v>
      </c>
      <c r="P203" s="74">
        <f ca="1">_xll.DBRW($D$4,$E$7,$E$8,$E$9,$E$10,$E$12,$D203,$E$6,P$18,P$17)</f>
        <v>-0.72055987999999982</v>
      </c>
      <c r="Q203" s="16">
        <f ca="1">_xll.DBRW($D$4,$E$7,$E$8,$E$9,$E$10,$E$12,$D203,$E$6,Q$18,Q$17)</f>
        <v>0.55637212390808288</v>
      </c>
      <c r="R203" s="16"/>
      <c r="S203" s="16"/>
      <c r="T203" s="16"/>
      <c r="U203" s="16"/>
      <c r="V203" s="16">
        <f ca="1">_xll.DBRW($D$4,$E$7,$E$8,$E$9,$E$10,$E$12,$D203,$E$6,V$18,V$17)</f>
        <v>-0.19299048999999999</v>
      </c>
      <c r="W203" s="16">
        <f ca="1">_xll.DBRW($D$4,$E$7,$E$8,$E$9,$E$10,$E$12,$D203,$E$6,W$18,W$17)</f>
        <v>0.1490154139796982</v>
      </c>
      <c r="X203" s="16"/>
      <c r="Y203" s="16"/>
      <c r="Z203" s="16"/>
      <c r="AA203" s="16"/>
      <c r="AB203" s="16">
        <f ca="1">_xll.DBRW($D$4,$E$7,$E$8,$E$9,$E$10,$E$12,$D203,$E$6,AB$18,AB$17)</f>
        <v>-0.23662503000000007</v>
      </c>
      <c r="AC203" s="16">
        <f ca="1">_xll.DBRW($D$4,$E$7,$E$8,$E$9,$E$10,$E$12,$D203,$E$6,AC$18,AC$17)</f>
        <v>0.18270732823886046</v>
      </c>
      <c r="AD203" s="16"/>
      <c r="AE203" s="16"/>
      <c r="AF203" s="16"/>
      <c r="AG203" s="16"/>
      <c r="AH203" s="16">
        <f ca="1">_xll.DBRW($D$4,$E$7,$E$8,$E$9,$E$10,$E$12,$D203,$E$6,AH$18,AH$17)</f>
        <v>-0.26447046999999996</v>
      </c>
      <c r="AI203" s="16">
        <f ca="1">_xll.DBRW($D$4,$E$7,$E$8,$E$9,$E$10,$E$12,$D203,$E$6,AI$18,AI$17)</f>
        <v>0.20420786833825513</v>
      </c>
      <c r="AJ203" s="16"/>
      <c r="AK203" s="16"/>
      <c r="AL203" s="16"/>
      <c r="AM203" s="16"/>
      <c r="AN203" s="16">
        <f ca="1">_xll.DBRW($D$4,$E$7,$E$8,$E$9,$E$10,$E$12,$D203,$E$6,AN$18,AN$17)</f>
        <v>-0.13181226000000001</v>
      </c>
      <c r="AO203" s="16">
        <f ca="1">_xll.DBRW($D$4,$E$7,$E$8,$E$9,$E$10,$E$12,$D203,$E$6,AO$18,AO$17)</f>
        <v>0.10177733882897347</v>
      </c>
      <c r="AP203" s="16"/>
      <c r="AQ203" s="16"/>
      <c r="AR203" s="16"/>
      <c r="AS203" s="16"/>
      <c r="AT203" s="16">
        <f ca="1">_xll.DBRW($D$4,$E$7,$E$8,$E$9,$E$10,$E$12,$D203,$E$6,AT$18,AT$17)</f>
        <v>0</v>
      </c>
      <c r="AU203" s="16">
        <f ca="1">_xll.DBRW($D$4,$E$7,$E$8,$E$9,$E$10,$E$12,$D203,$E$6,AU$18,AU$17)</f>
        <v>1.1102230246251565E-16</v>
      </c>
      <c r="AV203" s="16">
        <f ca="1">_xll.DBRW($D$4,$E$7,$E$8,$E$9,$E$10,$E$12,$D203,$E$6,AV$18,AV$17)</f>
        <v>1.1102230246251565E-16</v>
      </c>
      <c r="AW203" s="16">
        <f ca="1">_xll.DBRW($D$4,$E$7,$E$8,$E$9,$E$10,$E$12,$D203,$E$6,AW$18,AW$17)</f>
        <v>1.1102230246251565E-16</v>
      </c>
      <c r="AX203" s="16">
        <f ca="1">_xll.DBRW($D$4,$E$7,$E$8,$E$9,$E$10,$E$12,$D203,$E$6,AX$18,AX$17)</f>
        <v>0</v>
      </c>
      <c r="AY203" s="16">
        <f ca="1">_xll.DBRW($D$4,$E$7,$E$8,$E$9,$E$10,$E$12,$D203,$E$6,AY$18,AY$17)</f>
        <v>1.1102230246251565E-16</v>
      </c>
      <c r="AZ203" s="16">
        <f ca="1">_xll.DBRW($D$4,$E$7,$E$8,$E$9,$E$10,$E$12,$D203,$E$6,AZ$18,AZ$17)</f>
        <v>0</v>
      </c>
      <c r="BA203" s="16">
        <f ca="1">_xll.DBRW($D$4,$E$7,$E$8,$E$9,$E$10,$E$12,$D203,$E$6,BA$18,BA$17)</f>
        <v>1.1102230246251565E-16</v>
      </c>
      <c r="BB203" s="16">
        <f ca="1">_xll.DBRW($D$4,$E$7,$E$8,$E$9,$E$10,$E$12,$D203,$E$6,BB$18,BB$17)</f>
        <v>1.1102230246251565E-16</v>
      </c>
      <c r="BC203" s="16">
        <f ca="1">_xll.DBRW($D$4,$E$7,$E$8,$E$9,$E$10,$E$12,$D203,$E$6,BC$18,BC$17)</f>
        <v>1.1102230246251565E-16</v>
      </c>
      <c r="BD203" s="16">
        <f ca="1">_xll.DBRW($D$4,$E$7,$E$8,$E$9,$E$10,$E$12,$D203,$E$6,BD$18,BD$17)</f>
        <v>-0.1362290400000003</v>
      </c>
      <c r="BE203" s="16">
        <f ca="1">_xll.DBRW($D$4,$E$7,$E$8,$E$9,$E$10,$E$12,$D203,$E$6,BE$18,BE$17)</f>
        <v>-0.38819914</v>
      </c>
      <c r="BF203" s="16">
        <f ca="1">_xll.DBRW($D$4,$E$7,$E$8,$E$9,$E$10,$E$12,$D203,$E$6,BF$18,BF$17)</f>
        <v>0</v>
      </c>
      <c r="BG203" s="26">
        <f ca="1">_xll.DBRW($D$4,$E$7,$E$8,$E$9,$E$10,$E$12,$D203,$E$6,BG$18,BG$17)</f>
        <v>0</v>
      </c>
      <c r="BH203" s="26">
        <f ca="1">_xll.DBRW($D$4,$E$7,$E$8,$E$9,$E$10,$E$12,$D203,$E$6,BH$18,BH$17)</f>
        <v>0</v>
      </c>
      <c r="BI203" s="26">
        <f ca="1">_xll.DBRW($D$4,$E$7,$E$8,$E$9,$E$10,$E$12,$D203,$E$6,BI$18,BI$17)</f>
        <v>0</v>
      </c>
      <c r="BJ203" s="26">
        <f ca="1">_xll.DBRW($D$4,$E$7,$E$8,$E$9,$E$10,$E$12,$D203,$E$6,BJ$18,BJ$17)</f>
        <v>0</v>
      </c>
      <c r="BK203" s="16">
        <f ca="1">_xll.DBRW($D$4,$E$7,$E$8,$E$9,$E$10,$E$12,$D203,$E$6,BK$18,BK$17)</f>
        <v>0.2519700999999997</v>
      </c>
      <c r="BL203" s="16">
        <f ca="1">_xll.DBRW($D$4,$E$7,$E$8,$E$9,$E$10,$E$12,$D203,$E$6,BL$18,BL$17)</f>
        <v>1.0655921699999997</v>
      </c>
      <c r="BM203" s="16">
        <f ca="1">_xll.DBRW($D$4,$E$7,$E$8,$E$9,$E$10,$E$12,$D203,$E$6,BM$18,BM$17)</f>
        <v>-0.42871979000000005</v>
      </c>
      <c r="BN203" s="16">
        <f ca="1">_xll.DBRW($D$4,$E$7,$E$8,$E$9,$E$10,$E$12,$D203,$E$6,BN$18,BN$17)</f>
        <v>0.40233008656585773</v>
      </c>
      <c r="BO203" s="16"/>
      <c r="BP203" s="16"/>
      <c r="BQ203" s="16"/>
      <c r="BR203" s="16"/>
      <c r="BS203" s="16">
        <f ca="1">_xll.DBRW($D$4,$E$7,$E$8,$E$9,$E$10,$E$12,$D203,$E$6,BS$18,BS$17)</f>
        <v>-8.1847630000000005E-2</v>
      </c>
      <c r="BT203" s="16">
        <f ca="1">_xll.DBRW($D$4,$E$7,$E$8,$E$9,$E$10,$E$12,$D203,$E$6,BT$18,BT$17)</f>
        <v>7.6809526481411761E-2</v>
      </c>
      <c r="BU203" s="16"/>
      <c r="BV203" s="16"/>
      <c r="BW203" s="16"/>
      <c r="BX203" s="16"/>
      <c r="BY203" s="16">
        <f ca="1">_xll.DBRW($D$4,$E$7,$E$8,$E$9,$E$10,$E$12,$D203,$E$6,BY$18,BY$17)</f>
        <v>-9.4361729999999977E-2</v>
      </c>
      <c r="BZ203" s="16">
        <f ca="1">_xll.DBRW($D$4,$E$7,$E$8,$E$9,$E$10,$E$12,$D203,$E$6,BZ$18,BZ$17)</f>
        <v>8.8553325236990055E-2</v>
      </c>
      <c r="CA203" s="16"/>
      <c r="CB203" s="16"/>
      <c r="CC203" s="16"/>
      <c r="CD203" s="16"/>
      <c r="CE203" s="16">
        <f ca="1">_xll.DBRW($D$4,$E$7,$E$8,$E$9,$E$10,$E$12,$D203,$E$6,CE$18,CE$17)</f>
        <v>-0.10052075000000002</v>
      </c>
      <c r="CF203" s="16">
        <f ca="1">_xll.DBRW($D$4,$E$7,$E$8,$E$9,$E$10,$E$12,$D203,$E$6,CF$18,CF$17)</f>
        <v>9.4333228818676521E-2</v>
      </c>
      <c r="CG203" s="16"/>
      <c r="CH203" s="16"/>
      <c r="CI203" s="16"/>
      <c r="CJ203" s="16"/>
      <c r="CK203" s="16">
        <f ca="1">_xll.DBRW($D$4,$E$7,$E$8,$E$9,$E$10,$E$12,$D203,$E$6,CK$18,CK$17)</f>
        <v>-0.18081709000000001</v>
      </c>
      <c r="CL203" s="16">
        <f ca="1">_xll.DBRW($D$4,$E$7,$E$8,$E$9,$E$10,$E$12,$D203,$E$6,CL$18,CL$17)</f>
        <v>0.16968695443773771</v>
      </c>
      <c r="CM203" s="16"/>
      <c r="CN203" s="16"/>
      <c r="CO203" s="16"/>
      <c r="CP203" s="16"/>
      <c r="CQ203" s="16">
        <f ca="1">_xll.DBRW($D$4,$E$7,$E$8,$E$9,$E$10,$E$12,$D203,$E$6,CQ$18,CQ$17)</f>
        <v>1.5277446260000001E-2</v>
      </c>
      <c r="CR203" s="16">
        <f ca="1">_xll.DBRW($D$4,$E$7,$E$8,$E$9,$E$10,$E$12,$D203,$E$6,CR$18,CR$17)</f>
        <v>1.0288023880000001</v>
      </c>
      <c r="CS203" s="16">
        <f ca="1">_xll.DBRW($D$4,$E$7,$E$8,$E$9,$E$10,$E$12,$D203,$E$6,CS$18,CS$17)</f>
        <v>0.37393997480000002</v>
      </c>
      <c r="CT203" s="16">
        <f ca="1">_xll.DBRW($D$4,$E$7,$E$8,$E$9,$E$10,$E$12,$D203,$E$6,CT$18,CT$17)</f>
        <v>1.0288023880000001</v>
      </c>
      <c r="CU203" s="16">
        <f ca="1">_xll.DBRW($D$4,$E$7,$E$8,$E$9,$E$10,$E$12,$D203,$E$6,CU$18,CU$17)</f>
        <v>0.1125559324</v>
      </c>
      <c r="CV203" s="16">
        <f ca="1">_xll.DBRW($D$4,$E$7,$E$8,$E$9,$E$10,$E$12,$D203,$E$6,CV$18,CV$17)</f>
        <v>1.0288023880000001</v>
      </c>
      <c r="CW203" s="16">
        <f ca="1">_xll.DBRW($D$4,$E$7,$E$8,$E$9,$E$10,$E$12,$D203,$E$6,CW$18,CW$17)</f>
        <v>7.9999999999999996E-6</v>
      </c>
      <c r="CX203" s="16">
        <f ca="1">_xll.DBRW($D$4,$E$7,$E$8,$E$9,$E$10,$E$12,$D203,$E$6,CX$18,CX$17)</f>
        <v>1.0288023880000001</v>
      </c>
      <c r="CY203" s="16">
        <f ca="1">_xll.DBRW($D$4,$E$7,$E$8,$E$9,$E$10,$E$12,$D203,$E$6,CY$18,CY$17)</f>
        <v>1.0288023880000001</v>
      </c>
      <c r="CZ203" s="16">
        <f ca="1">_xll.DBRW($D$4,$E$7,$E$8,$E$9,$E$10,$E$12,$D203,$E$6,CZ$18,CZ$17)</f>
        <v>1.0288023880000001</v>
      </c>
      <c r="DA203" s="26">
        <f t="shared" ca="1" si="127"/>
        <v>-0.28557284999999927</v>
      </c>
      <c r="DB203" s="26">
        <f t="shared" ca="1" si="128"/>
        <v>0.14999341999999993</v>
      </c>
      <c r="DC203" s="26">
        <f t="shared" ca="1" si="129"/>
        <v>0</v>
      </c>
      <c r="DD203" s="26">
        <f t="shared" ca="1" si="130"/>
        <v>0</v>
      </c>
      <c r="DE203" s="26">
        <f t="shared" ca="1" si="131"/>
        <v>0</v>
      </c>
      <c r="DF203" s="26">
        <f t="shared" ca="1" si="132"/>
        <v>0</v>
      </c>
      <c r="DG203" s="26">
        <f t="shared" ca="1" si="133"/>
        <v>0</v>
      </c>
      <c r="DH203" s="26">
        <f t="shared" ca="1" si="134"/>
        <v>-0.43556626999999926</v>
      </c>
      <c r="DI203" s="26">
        <f t="shared" ca="1" si="135"/>
        <v>0.22951204000000036</v>
      </c>
      <c r="DJ203" s="26">
        <f t="shared" ca="1" si="136"/>
        <v>-0.29184008999999977</v>
      </c>
      <c r="DK203" s="26">
        <f t="shared" ca="1" si="137"/>
        <v>0.15404203734222516</v>
      </c>
      <c r="DL203" s="26"/>
      <c r="DM203" s="26"/>
      <c r="DN203" s="26"/>
      <c r="DO203" s="26"/>
      <c r="DP203" s="26">
        <f t="shared" ca="1" si="138"/>
        <v>-0.11114285999999998</v>
      </c>
      <c r="DQ203" s="26">
        <f t="shared" ca="1" si="139"/>
        <v>7.2205887498286436E-2</v>
      </c>
      <c r="DR203" s="26"/>
      <c r="DS203" s="26"/>
      <c r="DT203" s="26"/>
      <c r="DU203" s="26"/>
      <c r="DV203" s="26">
        <f t="shared" ca="1" si="140"/>
        <v>-0.14226330000000009</v>
      </c>
      <c r="DW203" s="26">
        <f t="shared" ca="1" si="141"/>
        <v>9.4154003001870407E-2</v>
      </c>
      <c r="DX203" s="26"/>
      <c r="DY203" s="26"/>
      <c r="DZ203" s="26"/>
      <c r="EA203" s="26"/>
      <c r="EB203" s="26">
        <f t="shared" ca="1" si="142"/>
        <v>-0.16394971999999994</v>
      </c>
      <c r="EC203" s="26">
        <f t="shared" ca="1" si="143"/>
        <v>0.10987463951957861</v>
      </c>
      <c r="ED203" s="26"/>
      <c r="EE203" s="26"/>
      <c r="EF203" s="26"/>
      <c r="EG203" s="26"/>
      <c r="EH203" s="26">
        <f t="shared" ca="1" si="144"/>
        <v>4.9004829999999999E-2</v>
      </c>
      <c r="EI203" s="29">
        <f t="shared" ca="1" si="145"/>
        <v>-6.790961560876424E-2</v>
      </c>
      <c r="EJ203" s="29"/>
      <c r="EK203" s="29"/>
      <c r="EL203" s="29"/>
      <c r="EM203" s="29"/>
      <c r="EN203" s="93"/>
      <c r="EO203" s="29"/>
      <c r="EP203" s="29"/>
      <c r="EQ203" s="29"/>
      <c r="ER203" s="29"/>
      <c r="ES203" s="29"/>
      <c r="ET203" s="29"/>
      <c r="EU203" s="93"/>
      <c r="EV203" s="29"/>
      <c r="EW203" s="29"/>
      <c r="EX203" s="29"/>
      <c r="EY203" s="29"/>
      <c r="EZ203" s="29"/>
      <c r="FA203" s="29"/>
      <c r="FB203" s="93"/>
      <c r="FC203" s="29"/>
      <c r="FD203" s="29"/>
      <c r="FE203" s="29"/>
      <c r="FF203" s="29"/>
      <c r="FG203" s="29"/>
      <c r="FH203" s="29"/>
      <c r="FI203" s="93"/>
      <c r="FJ203" s="29"/>
      <c r="FK203" s="29"/>
      <c r="FL203" s="29"/>
      <c r="FM203" s="29"/>
      <c r="FN203" s="29"/>
      <c r="FO203" s="29"/>
      <c r="FP203" s="93"/>
      <c r="FQ203" s="29"/>
      <c r="FR203" s="29"/>
      <c r="FS203" s="29"/>
      <c r="FT203" s="29"/>
      <c r="FU203" s="29"/>
      <c r="FV203" s="29"/>
    </row>
    <row r="204" spans="1:178" x14ac:dyDescent="0.25">
      <c r="A204" t="str">
        <f ca="1">IF(_xll.TM1RPTELISCONSOLIDATED($D$28,$D204),IF(_xll.TM1RPTELLEV($D$28,$D204)&lt;=3,_xll.TM1RPTELLEV($D$28,$D204),"D"),"N")</f>
        <v>N</v>
      </c>
      <c r="B204" t="str">
        <f ca="1">_xll.DBRA(Server&amp;"Management_organization",$D204,$B$27)</f>
        <v>L</v>
      </c>
      <c r="C204">
        <v>1</v>
      </c>
      <c r="D204" s="2" t="s">
        <v>306</v>
      </c>
      <c r="E204" s="26"/>
      <c r="F204" s="26"/>
      <c r="G204" s="16">
        <f ca="1">_xll.DBRW($D$4,$E$7,$E$8,$E$9,$E$10,$E$12,$D204,$E$6,G$18,G$17)</f>
        <v>0.4513033499999996</v>
      </c>
      <c r="H204" s="16">
        <f ca="1">_xll.DBRW($D$4,$E$7,$E$8,$E$9,$E$10,$E$12,$D204,$E$6,H$18,H$17)</f>
        <v>-0.27244775000000004</v>
      </c>
      <c r="I204" s="16">
        <f ca="1">_xll.DBRW($D$4,$E$7,$E$8,$E$9,$E$10,$E$12,$D204,$E$6,I$18,I$17)</f>
        <v>0</v>
      </c>
      <c r="J204" s="26">
        <f ca="1">_xll.DBRW($D$4,$E$7,$E$8,$E$9,$E$10,$E$12,$D204,$E$6,J$18,J$17)</f>
        <v>0</v>
      </c>
      <c r="K204" s="26">
        <f ca="1">_xll.DBRW($D$4,$E$7,$E$8,$E$9,$E$10,$E$12,$D204,$E$6,K$18,K$17)</f>
        <v>0</v>
      </c>
      <c r="L204" s="26">
        <f ca="1">_xll.DBRW($D$4,$E$7,$E$8,$E$9,$E$10,$E$12,$D204,$E$6,L$18,L$17)</f>
        <v>0</v>
      </c>
      <c r="M204" s="26">
        <f ca="1">_xll.DBRW($D$4,$E$7,$E$8,$E$9,$E$10,$E$12,$D204,$E$6,M$18,M$17)</f>
        <v>0</v>
      </c>
      <c r="N204" s="16">
        <f ca="1">_xll.DBRW($D$4,$E$7,$E$8,$E$9,$E$10,$E$12,$D204,$E$6,N$18,N$17)</f>
        <v>0.72375109999999965</v>
      </c>
      <c r="O204" s="16">
        <f ca="1">_xll.DBRW($D$4,$E$7,$E$8,$E$9,$E$10,$E$12,$D204,$E$6,O$18,O$17)</f>
        <v>2.22943801</v>
      </c>
      <c r="P204" s="74">
        <f ca="1">_xll.DBRW($D$4,$E$7,$E$8,$E$9,$E$10,$E$12,$D204,$E$6,P$18,P$17)</f>
        <v>-0.93262681999999986</v>
      </c>
      <c r="Q204" s="16">
        <f ca="1">_xll.DBRW($D$4,$E$7,$E$8,$E$9,$E$10,$E$12,$D204,$E$6,Q$18,Q$17)</f>
        <v>0.4183237281399001</v>
      </c>
      <c r="R204" s="16"/>
      <c r="S204" s="16"/>
      <c r="T204" s="16"/>
      <c r="U204" s="16"/>
      <c r="V204" s="16">
        <f ca="1">_xll.DBRW($D$4,$E$7,$E$8,$E$9,$E$10,$E$12,$D204,$E$6,V$18,V$17)</f>
        <v>-0.18971959999999999</v>
      </c>
      <c r="W204" s="16">
        <f ca="1">_xll.DBRW($D$4,$E$7,$E$8,$E$9,$E$10,$E$12,$D204,$E$6,W$18,W$17)</f>
        <v>8.5097499526349235E-2</v>
      </c>
      <c r="X204" s="16"/>
      <c r="Y204" s="16"/>
      <c r="Z204" s="16"/>
      <c r="AA204" s="16"/>
      <c r="AB204" s="16">
        <f ca="1">_xll.DBRW($D$4,$E$7,$E$8,$E$9,$E$10,$E$12,$D204,$E$6,AB$18,AB$17)</f>
        <v>-0.12780186999999993</v>
      </c>
      <c r="AC204" s="16">
        <f ca="1">_xll.DBRW($D$4,$E$7,$E$8,$E$9,$E$10,$E$12,$D204,$E$6,AC$18,AC$17)</f>
        <v>5.732470220152025E-2</v>
      </c>
      <c r="AD204" s="16"/>
      <c r="AE204" s="16"/>
      <c r="AF204" s="16"/>
      <c r="AG204" s="16"/>
      <c r="AH204" s="16">
        <f ca="1">_xll.DBRW($D$4,$E$7,$E$8,$E$9,$E$10,$E$12,$D204,$E$6,AH$18,AH$17)</f>
        <v>-0.16413645999999996</v>
      </c>
      <c r="AI204" s="16">
        <f ca="1">_xll.DBRW($D$4,$E$7,$E$8,$E$9,$E$10,$E$12,$D204,$E$6,AI$18,AI$17)</f>
        <v>7.362234754398933E-2</v>
      </c>
      <c r="AJ204" s="16"/>
      <c r="AK204" s="16"/>
      <c r="AL204" s="16"/>
      <c r="AM204" s="16"/>
      <c r="AN204" s="16">
        <f ca="1">_xll.DBRW($D$4,$E$7,$E$8,$E$9,$E$10,$E$12,$D204,$E$6,AN$18,AN$17)</f>
        <v>-9.1402159999999996E-2</v>
      </c>
      <c r="AO204" s="16">
        <f ca="1">_xll.DBRW($D$4,$E$7,$E$8,$E$9,$E$10,$E$12,$D204,$E$6,AO$18,AO$17)</f>
        <v>4.0997847704229283E-2</v>
      </c>
      <c r="AP204" s="16"/>
      <c r="AQ204" s="16"/>
      <c r="AR204" s="16"/>
      <c r="AS204" s="16"/>
      <c r="AT204" s="16">
        <f ca="1">_xll.DBRW($D$4,$E$7,$E$8,$E$9,$E$10,$E$12,$D204,$E$6,AT$18,AT$17)</f>
        <v>0</v>
      </c>
      <c r="AU204" s="16">
        <f ca="1">_xll.DBRW($D$4,$E$7,$E$8,$E$9,$E$10,$E$12,$D204,$E$6,AU$18,AU$17)</f>
        <v>0</v>
      </c>
      <c r="AV204" s="16">
        <f ca="1">_xll.DBRW($D$4,$E$7,$E$8,$E$9,$E$10,$E$12,$D204,$E$6,AV$18,AV$17)</f>
        <v>0</v>
      </c>
      <c r="AW204" s="16">
        <f ca="1">_xll.DBRW($D$4,$E$7,$E$8,$E$9,$E$10,$E$12,$D204,$E$6,AW$18,AW$17)</f>
        <v>0</v>
      </c>
      <c r="AX204" s="16">
        <f ca="1">_xll.DBRW($D$4,$E$7,$E$8,$E$9,$E$10,$E$12,$D204,$E$6,AX$18,AX$17)</f>
        <v>1.3877787807814457E-17</v>
      </c>
      <c r="AY204" s="16">
        <f ca="1">_xll.DBRW($D$4,$E$7,$E$8,$E$9,$E$10,$E$12,$D204,$E$6,AY$18,AY$17)</f>
        <v>0</v>
      </c>
      <c r="AZ204" s="16">
        <f ca="1">_xll.DBRW($D$4,$E$7,$E$8,$E$9,$E$10,$E$12,$D204,$E$6,AZ$18,AZ$17)</f>
        <v>0</v>
      </c>
      <c r="BA204" s="16">
        <f ca="1">_xll.DBRW($D$4,$E$7,$E$8,$E$9,$E$10,$E$12,$D204,$E$6,BA$18,BA$17)</f>
        <v>0</v>
      </c>
      <c r="BB204" s="16">
        <f ca="1">_xll.DBRW($D$4,$E$7,$E$8,$E$9,$E$10,$E$12,$D204,$E$6,BB$18,BB$17)</f>
        <v>0</v>
      </c>
      <c r="BC204" s="16">
        <f ca="1">_xll.DBRW($D$4,$E$7,$E$8,$E$9,$E$10,$E$12,$D204,$E$6,BC$18,BC$17)</f>
        <v>0</v>
      </c>
      <c r="BD204" s="16">
        <f ca="1">_xll.DBRW($D$4,$E$7,$E$8,$E$9,$E$10,$E$12,$D204,$E$6,BD$18,BD$17)</f>
        <v>0.5144490000000006</v>
      </c>
      <c r="BE204" s="16">
        <f ca="1">_xll.DBRW($D$4,$E$7,$E$8,$E$9,$E$10,$E$12,$D204,$E$6,BE$18,BE$17)</f>
        <v>-0.29788514999999999</v>
      </c>
      <c r="BF204" s="16">
        <f ca="1">_xll.DBRW($D$4,$E$7,$E$8,$E$9,$E$10,$E$12,$D204,$E$6,BF$18,BF$17)</f>
        <v>0</v>
      </c>
      <c r="BG204" s="26">
        <f ca="1">_xll.DBRW($D$4,$E$7,$E$8,$E$9,$E$10,$E$12,$D204,$E$6,BG$18,BG$17)</f>
        <v>0</v>
      </c>
      <c r="BH204" s="26">
        <f ca="1">_xll.DBRW($D$4,$E$7,$E$8,$E$9,$E$10,$E$12,$D204,$E$6,BH$18,BH$17)</f>
        <v>0</v>
      </c>
      <c r="BI204" s="26">
        <f ca="1">_xll.DBRW($D$4,$E$7,$E$8,$E$9,$E$10,$E$12,$D204,$E$6,BI$18,BI$17)</f>
        <v>0</v>
      </c>
      <c r="BJ204" s="26">
        <f ca="1">_xll.DBRW($D$4,$E$7,$E$8,$E$9,$E$10,$E$12,$D204,$E$6,BJ$18,BJ$17)</f>
        <v>0</v>
      </c>
      <c r="BK204" s="16">
        <f ca="1">_xll.DBRW($D$4,$E$7,$E$8,$E$9,$E$10,$E$12,$D204,$E$6,BK$18,BK$17)</f>
        <v>0.81233415000000064</v>
      </c>
      <c r="BL204" s="16">
        <f ca="1">_xll.DBRW($D$4,$E$7,$E$8,$E$9,$E$10,$E$12,$D204,$E$6,BL$18,BL$17)</f>
        <v>2.5034064499999999</v>
      </c>
      <c r="BM204" s="16">
        <f ca="1">_xll.DBRW($D$4,$E$7,$E$8,$E$9,$E$10,$E$12,$D204,$E$6,BM$18,BM$17)</f>
        <v>-1.0963104299999997</v>
      </c>
      <c r="BN204" s="16">
        <f ca="1">_xll.DBRW($D$4,$E$7,$E$8,$E$9,$E$10,$E$12,$D204,$E$6,BN$18,BN$17)</f>
        <v>0.43792746080046241</v>
      </c>
      <c r="BO204" s="16"/>
      <c r="BP204" s="16"/>
      <c r="BQ204" s="16"/>
      <c r="BR204" s="16"/>
      <c r="BS204" s="16">
        <f ca="1">_xll.DBRW($D$4,$E$7,$E$8,$E$9,$E$10,$E$12,$D204,$E$6,BS$18,BS$17)</f>
        <v>-0.16930631999999998</v>
      </c>
      <c r="BT204" s="16">
        <f ca="1">_xll.DBRW($D$4,$E$7,$E$8,$E$9,$E$10,$E$12,$D204,$E$6,BT$18,BT$17)</f>
        <v>6.7630376201994677E-2</v>
      </c>
      <c r="BU204" s="16"/>
      <c r="BV204" s="16"/>
      <c r="BW204" s="16"/>
      <c r="BX204" s="16"/>
      <c r="BY204" s="16">
        <f ca="1">_xll.DBRW($D$4,$E$7,$E$8,$E$9,$E$10,$E$12,$D204,$E$6,BY$18,BY$17)</f>
        <v>-0.13138474999999999</v>
      </c>
      <c r="BZ204" s="16">
        <f ca="1">_xll.DBRW($D$4,$E$7,$E$8,$E$9,$E$10,$E$12,$D204,$E$6,BZ$18,BZ$17)</f>
        <v>5.2482388547013606E-2</v>
      </c>
      <c r="CA204" s="16"/>
      <c r="CB204" s="16"/>
      <c r="CC204" s="16"/>
      <c r="CD204" s="16"/>
      <c r="CE204" s="16">
        <f ca="1">_xll.DBRW($D$4,$E$7,$E$8,$E$9,$E$10,$E$12,$D204,$E$6,CE$18,CE$17)</f>
        <v>-0.19178888999999996</v>
      </c>
      <c r="CF204" s="16">
        <f ca="1">_xll.DBRW($D$4,$E$7,$E$8,$E$9,$E$10,$E$12,$D204,$E$6,CF$18,CF$17)</f>
        <v>7.6611167155856766E-2</v>
      </c>
      <c r="CG204" s="16"/>
      <c r="CH204" s="16"/>
      <c r="CI204" s="16"/>
      <c r="CJ204" s="16"/>
      <c r="CK204" s="16">
        <f ca="1">_xll.DBRW($D$4,$E$7,$E$8,$E$9,$E$10,$E$12,$D204,$E$6,CK$18,CK$17)</f>
        <v>-0.10228190999999999</v>
      </c>
      <c r="CL204" s="16">
        <f ca="1">_xll.DBRW($D$4,$E$7,$E$8,$E$9,$E$10,$E$12,$D204,$E$6,CL$18,CL$17)</f>
        <v>4.0857092942298681E-2</v>
      </c>
      <c r="CM204" s="16"/>
      <c r="CN204" s="16"/>
      <c r="CO204" s="16"/>
      <c r="CP204" s="16"/>
      <c r="CQ204" s="16">
        <f ca="1">_xll.DBRW($D$4,$E$7,$E$8,$E$9,$E$10,$E$12,$D204,$E$6,CQ$18,CQ$17)</f>
        <v>4.1915343210000004E-2</v>
      </c>
      <c r="CR204" s="16">
        <f ca="1">_xll.DBRW($D$4,$E$7,$E$8,$E$9,$E$10,$E$12,$D204,$E$6,CR$18,CR$17)</f>
        <v>0.7624192702999999</v>
      </c>
      <c r="CS204" s="16">
        <f ca="1">_xll.DBRW($D$4,$E$7,$E$8,$E$9,$E$10,$E$12,$D204,$E$6,CS$18,CS$17)</f>
        <v>0.75293042719999992</v>
      </c>
      <c r="CT204" s="16">
        <f ca="1">_xll.DBRW($D$4,$E$7,$E$8,$E$9,$E$10,$E$12,$D204,$E$6,CT$18,CT$17)</f>
        <v>0.7624192702999999</v>
      </c>
      <c r="CU204" s="16">
        <f ca="1">_xll.DBRW($D$4,$E$7,$E$8,$E$9,$E$10,$E$12,$D204,$E$6,CU$18,CU$17)</f>
        <v>0.17637089730000002</v>
      </c>
      <c r="CV204" s="16">
        <f ca="1">_xll.DBRW($D$4,$E$7,$E$8,$E$9,$E$10,$E$12,$D204,$E$6,CV$18,CV$17)</f>
        <v>0.7624192702999999</v>
      </c>
      <c r="CW204" s="16">
        <f ca="1">_xll.DBRW($D$4,$E$7,$E$8,$E$9,$E$10,$E$12,$D204,$E$6,CW$18,CW$17)</f>
        <v>2.4000000000000001E-5</v>
      </c>
      <c r="CX204" s="16">
        <f ca="1">_xll.DBRW($D$4,$E$7,$E$8,$E$9,$E$10,$E$12,$D204,$E$6,CX$18,CX$17)</f>
        <v>0.7624192702999999</v>
      </c>
      <c r="CY204" s="16">
        <f ca="1">_xll.DBRW($D$4,$E$7,$E$8,$E$9,$E$10,$E$12,$D204,$E$6,CY$18,CY$17)</f>
        <v>0.7624192702999999</v>
      </c>
      <c r="CZ204" s="16">
        <f ca="1">_xll.DBRW($D$4,$E$7,$E$8,$E$9,$E$10,$E$12,$D204,$E$6,CZ$18,CZ$17)</f>
        <v>0.7624192702999999</v>
      </c>
      <c r="DA204" s="26">
        <f t="shared" ca="1" si="127"/>
        <v>-6.3145650000000997E-2</v>
      </c>
      <c r="DB204" s="26">
        <f t="shared" ca="1" si="128"/>
        <v>2.5437399999999943E-2</v>
      </c>
      <c r="DC204" s="26">
        <f t="shared" ca="1" si="129"/>
        <v>0</v>
      </c>
      <c r="DD204" s="26">
        <f t="shared" ca="1" si="130"/>
        <v>0</v>
      </c>
      <c r="DE204" s="26">
        <f t="shared" ca="1" si="131"/>
        <v>0</v>
      </c>
      <c r="DF204" s="26">
        <f t="shared" ca="1" si="132"/>
        <v>0</v>
      </c>
      <c r="DG204" s="26">
        <f t="shared" ca="1" si="133"/>
        <v>0</v>
      </c>
      <c r="DH204" s="26">
        <f t="shared" ca="1" si="134"/>
        <v>-8.8583050000000996E-2</v>
      </c>
      <c r="DI204" s="26">
        <f t="shared" ca="1" si="135"/>
        <v>-0.27396843999999998</v>
      </c>
      <c r="DJ204" s="26">
        <f t="shared" ca="1" si="136"/>
        <v>0.16368360999999987</v>
      </c>
      <c r="DK204" s="26">
        <f t="shared" ca="1" si="137"/>
        <v>-1.9603732660562312E-2</v>
      </c>
      <c r="DL204" s="26"/>
      <c r="DM204" s="26"/>
      <c r="DN204" s="26"/>
      <c r="DO204" s="26"/>
      <c r="DP204" s="26">
        <f t="shared" ca="1" si="138"/>
        <v>-2.0413280000000006E-2</v>
      </c>
      <c r="DQ204" s="26">
        <f t="shared" ca="1" si="139"/>
        <v>1.7467123324354558E-2</v>
      </c>
      <c r="DR204" s="26"/>
      <c r="DS204" s="26"/>
      <c r="DT204" s="26"/>
      <c r="DU204" s="26"/>
      <c r="DV204" s="26">
        <f t="shared" ca="1" si="140"/>
        <v>3.582880000000066E-3</v>
      </c>
      <c r="DW204" s="26">
        <f t="shared" ca="1" si="141"/>
        <v>4.8423136545066442E-3</v>
      </c>
      <c r="DX204" s="26"/>
      <c r="DY204" s="26"/>
      <c r="DZ204" s="26"/>
      <c r="EA204" s="26"/>
      <c r="EB204" s="26">
        <f t="shared" ca="1" si="142"/>
        <v>2.7652430000000006E-2</v>
      </c>
      <c r="EC204" s="26">
        <f t="shared" ca="1" si="143"/>
        <v>-2.9888196118674354E-3</v>
      </c>
      <c r="ED204" s="26"/>
      <c r="EE204" s="26"/>
      <c r="EF204" s="26"/>
      <c r="EG204" s="26"/>
      <c r="EH204" s="26">
        <f t="shared" ca="1" si="144"/>
        <v>1.0879749999999994E-2</v>
      </c>
      <c r="EI204" s="29">
        <f t="shared" ca="1" si="145"/>
        <v>1.4075476193060182E-4</v>
      </c>
      <c r="EJ204" s="29"/>
      <c r="EK204" s="29"/>
      <c r="EL204" s="29"/>
      <c r="EM204" s="29"/>
      <c r="EN204" s="93"/>
      <c r="EO204" s="29"/>
      <c r="EP204" s="29"/>
      <c r="EQ204" s="29"/>
      <c r="ER204" s="29"/>
      <c r="ES204" s="29"/>
      <c r="ET204" s="29"/>
      <c r="EU204" s="93"/>
      <c r="EV204" s="29"/>
      <c r="EW204" s="29"/>
      <c r="EX204" s="29"/>
      <c r="EY204" s="29"/>
      <c r="EZ204" s="29"/>
      <c r="FA204" s="29"/>
      <c r="FB204" s="93"/>
      <c r="FC204" s="29"/>
      <c r="FD204" s="29"/>
      <c r="FE204" s="29"/>
      <c r="FF204" s="29"/>
      <c r="FG204" s="29"/>
      <c r="FH204" s="29"/>
      <c r="FI204" s="93"/>
      <c r="FJ204" s="29"/>
      <c r="FK204" s="29"/>
      <c r="FL204" s="29"/>
      <c r="FM204" s="29"/>
      <c r="FN204" s="29"/>
      <c r="FO204" s="29"/>
      <c r="FP204" s="93"/>
      <c r="FQ204" s="29"/>
      <c r="FR204" s="29"/>
      <c r="FS204" s="29"/>
      <c r="FT204" s="29"/>
      <c r="FU204" s="29"/>
      <c r="FV204" s="29"/>
    </row>
    <row r="205" spans="1:178" x14ac:dyDescent="0.25">
      <c r="A205" t="str">
        <f ca="1">IF(_xll.TM1RPTELISCONSOLIDATED($D$28,$D205),IF(_xll.TM1RPTELLEV($D$28,$D205)&lt;=3,_xll.TM1RPTELLEV($D$28,$D205),"D"),"N")</f>
        <v>N</v>
      </c>
      <c r="B205" t="str">
        <f ca="1">_xll.DBRA(Server&amp;"Management_organization",$D205,$B$27)</f>
        <v>L</v>
      </c>
      <c r="C205">
        <v>1</v>
      </c>
      <c r="D205" s="2" t="s">
        <v>307</v>
      </c>
      <c r="E205" s="26"/>
      <c r="F205" s="26"/>
      <c r="G205" s="16">
        <f ca="1">_xll.DBRW($D$4,$E$7,$E$8,$E$9,$E$10,$E$12,$D205,$E$6,G$18,G$17)</f>
        <v>0.87411303000000129</v>
      </c>
      <c r="H205" s="16">
        <f ca="1">_xll.DBRW($D$4,$E$7,$E$8,$E$9,$E$10,$E$12,$D205,$E$6,H$18,H$17)</f>
        <v>-0.31166332999999996</v>
      </c>
      <c r="I205" s="16">
        <f ca="1">_xll.DBRW($D$4,$E$7,$E$8,$E$9,$E$10,$E$12,$D205,$E$6,I$18,I$17)</f>
        <v>0</v>
      </c>
      <c r="J205" s="26">
        <f ca="1">_xll.DBRW($D$4,$E$7,$E$8,$E$9,$E$10,$E$12,$D205,$E$6,J$18,J$17)</f>
        <v>0</v>
      </c>
      <c r="K205" s="26">
        <f ca="1">_xll.DBRW($D$4,$E$7,$E$8,$E$9,$E$10,$E$12,$D205,$E$6,K$18,K$17)</f>
        <v>0</v>
      </c>
      <c r="L205" s="26">
        <f ca="1">_xll.DBRW($D$4,$E$7,$E$8,$E$9,$E$10,$E$12,$D205,$E$6,L$18,L$17)</f>
        <v>0</v>
      </c>
      <c r="M205" s="26">
        <f ca="1">_xll.DBRW($D$4,$E$7,$E$8,$E$9,$E$10,$E$12,$D205,$E$6,M$18,M$17)</f>
        <v>0</v>
      </c>
      <c r="N205" s="16">
        <f ca="1">_xll.DBRW($D$4,$E$7,$E$8,$E$9,$E$10,$E$12,$D205,$E$6,N$18,N$17)</f>
        <v>1.1857763600000013</v>
      </c>
      <c r="O205" s="16">
        <f ca="1">_xll.DBRW($D$4,$E$7,$E$8,$E$9,$E$10,$E$12,$D205,$E$6,O$18,O$17)</f>
        <v>3.7106017099999993</v>
      </c>
      <c r="P205" s="74">
        <f ca="1">_xll.DBRW($D$4,$E$7,$E$8,$E$9,$E$10,$E$12,$D205,$E$6,P$18,P$17)</f>
        <v>-1.4466774299999994</v>
      </c>
      <c r="Q205" s="16">
        <f ca="1">_xll.DBRW($D$4,$E$7,$E$8,$E$9,$E$10,$E$12,$D205,$E$6,Q$18,Q$17)</f>
        <v>0.38987677553784117</v>
      </c>
      <c r="R205" s="16"/>
      <c r="S205" s="16"/>
      <c r="T205" s="16"/>
      <c r="U205" s="16"/>
      <c r="V205" s="16">
        <f ca="1">_xll.DBRW($D$4,$E$7,$E$8,$E$9,$E$10,$E$12,$D205,$E$6,V$18,V$17)</f>
        <v>-0.34024571999999997</v>
      </c>
      <c r="W205" s="16">
        <f ca="1">_xll.DBRW($D$4,$E$7,$E$8,$E$9,$E$10,$E$12,$D205,$E$6,W$18,W$17)</f>
        <v>9.1695564922272418E-2</v>
      </c>
      <c r="X205" s="16"/>
      <c r="Y205" s="16"/>
      <c r="Z205" s="16"/>
      <c r="AA205" s="16"/>
      <c r="AB205" s="16">
        <f ca="1">_xll.DBRW($D$4,$E$7,$E$8,$E$9,$E$10,$E$12,$D205,$E$6,AB$18,AB$17)</f>
        <v>-0.32627632000000006</v>
      </c>
      <c r="AC205" s="16">
        <f ca="1">_xll.DBRW($D$4,$E$7,$E$8,$E$9,$E$10,$E$12,$D205,$E$6,AC$18,AC$17)</f>
        <v>8.7930838580894233E-2</v>
      </c>
      <c r="AD205" s="16"/>
      <c r="AE205" s="16"/>
      <c r="AF205" s="16"/>
      <c r="AG205" s="16"/>
      <c r="AH205" s="16">
        <f ca="1">_xll.DBRW($D$4,$E$7,$E$8,$E$9,$E$10,$E$12,$D205,$E$6,AH$18,AH$17)</f>
        <v>-0.30064080000000004</v>
      </c>
      <c r="AI205" s="16">
        <f ca="1">_xll.DBRW($D$4,$E$7,$E$8,$E$9,$E$10,$E$12,$D205,$E$6,AI$18,AI$17)</f>
        <v>8.1022115413189988E-2</v>
      </c>
      <c r="AJ205" s="16"/>
      <c r="AK205" s="16"/>
      <c r="AL205" s="16"/>
      <c r="AM205" s="16"/>
      <c r="AN205" s="16">
        <f ca="1">_xll.DBRW($D$4,$E$7,$E$8,$E$9,$E$10,$E$12,$D205,$E$6,AN$18,AN$17)</f>
        <v>-0.12266227999999998</v>
      </c>
      <c r="AO205" s="16">
        <f ca="1">_xll.DBRW($D$4,$E$7,$E$8,$E$9,$E$10,$E$12,$D205,$E$6,AO$18,AO$17)</f>
        <v>3.3057247742172793E-2</v>
      </c>
      <c r="AP205" s="16"/>
      <c r="AQ205" s="16"/>
      <c r="AR205" s="16"/>
      <c r="AS205" s="16"/>
      <c r="AT205" s="16">
        <f ca="1">_xll.DBRW($D$4,$E$7,$E$8,$E$9,$E$10,$E$12,$D205,$E$6,AT$18,AT$17)</f>
        <v>0</v>
      </c>
      <c r="AU205" s="16">
        <f ca="1">_xll.DBRW($D$4,$E$7,$E$8,$E$9,$E$10,$E$12,$D205,$E$6,AU$18,AU$17)</f>
        <v>0</v>
      </c>
      <c r="AV205" s="16">
        <f ca="1">_xll.DBRW($D$4,$E$7,$E$8,$E$9,$E$10,$E$12,$D205,$E$6,AV$18,AV$17)</f>
        <v>1.1102230246251565E-16</v>
      </c>
      <c r="AW205" s="16">
        <f ca="1">_xll.DBRW($D$4,$E$7,$E$8,$E$9,$E$10,$E$12,$D205,$E$6,AW$18,AW$17)</f>
        <v>0</v>
      </c>
      <c r="AX205" s="16">
        <f ca="1">_xll.DBRW($D$4,$E$7,$E$8,$E$9,$E$10,$E$12,$D205,$E$6,AX$18,AX$17)</f>
        <v>0</v>
      </c>
      <c r="AY205" s="16">
        <f ca="1">_xll.DBRW($D$4,$E$7,$E$8,$E$9,$E$10,$E$12,$D205,$E$6,AY$18,AY$17)</f>
        <v>0</v>
      </c>
      <c r="AZ205" s="16">
        <f ca="1">_xll.DBRW($D$4,$E$7,$E$8,$E$9,$E$10,$E$12,$D205,$E$6,AZ$18,AZ$17)</f>
        <v>0</v>
      </c>
      <c r="BA205" s="16">
        <f ca="1">_xll.DBRW($D$4,$E$7,$E$8,$E$9,$E$10,$E$12,$D205,$E$6,BA$18,BA$17)</f>
        <v>0</v>
      </c>
      <c r="BB205" s="16">
        <f ca="1">_xll.DBRW($D$4,$E$7,$E$8,$E$9,$E$10,$E$12,$D205,$E$6,BB$18,BB$17)</f>
        <v>0</v>
      </c>
      <c r="BC205" s="16">
        <f ca="1">_xll.DBRW($D$4,$E$7,$E$8,$E$9,$E$10,$E$12,$D205,$E$6,BC$18,BC$17)</f>
        <v>0</v>
      </c>
      <c r="BD205" s="16">
        <f ca="1">_xll.DBRW($D$4,$E$7,$E$8,$E$9,$E$10,$E$12,$D205,$E$6,BD$18,BD$17)</f>
        <v>1.0141802500000001</v>
      </c>
      <c r="BE205" s="16">
        <f ca="1">_xll.DBRW($D$4,$E$7,$E$8,$E$9,$E$10,$E$12,$D205,$E$6,BE$18,BE$17)</f>
        <v>-0.33228110999999994</v>
      </c>
      <c r="BF205" s="16">
        <f ca="1">_xll.DBRW($D$4,$E$7,$E$8,$E$9,$E$10,$E$12,$D205,$E$6,BF$18,BF$17)</f>
        <v>0</v>
      </c>
      <c r="BG205" s="26">
        <f ca="1">_xll.DBRW($D$4,$E$7,$E$8,$E$9,$E$10,$E$12,$D205,$E$6,BG$18,BG$17)</f>
        <v>0</v>
      </c>
      <c r="BH205" s="26">
        <f ca="1">_xll.DBRW($D$4,$E$7,$E$8,$E$9,$E$10,$E$12,$D205,$E$6,BH$18,BH$17)</f>
        <v>0</v>
      </c>
      <c r="BI205" s="26">
        <f ca="1">_xll.DBRW($D$4,$E$7,$E$8,$E$9,$E$10,$E$12,$D205,$E$6,BI$18,BI$17)</f>
        <v>0</v>
      </c>
      <c r="BJ205" s="26">
        <f ca="1">_xll.DBRW($D$4,$E$7,$E$8,$E$9,$E$10,$E$12,$D205,$E$6,BJ$18,BJ$17)</f>
        <v>0</v>
      </c>
      <c r="BK205" s="16">
        <f ca="1">_xll.DBRW($D$4,$E$7,$E$8,$E$9,$E$10,$E$12,$D205,$E$6,BK$18,BK$17)</f>
        <v>1.3464613599999999</v>
      </c>
      <c r="BL205" s="16">
        <f ca="1">_xll.DBRW($D$4,$E$7,$E$8,$E$9,$E$10,$E$12,$D205,$E$6,BL$18,BL$17)</f>
        <v>4.0520453300000003</v>
      </c>
      <c r="BM205" s="16">
        <f ca="1">_xll.DBRW($D$4,$E$7,$E$8,$E$9,$E$10,$E$12,$D205,$E$6,BM$18,BM$17)</f>
        <v>-1.54763922</v>
      </c>
      <c r="BN205" s="16">
        <f ca="1">_xll.DBRW($D$4,$E$7,$E$8,$E$9,$E$10,$E$12,$D205,$E$6,BN$18,BN$17)</f>
        <v>0.38194025336829091</v>
      </c>
      <c r="BO205" s="16"/>
      <c r="BP205" s="16"/>
      <c r="BQ205" s="16"/>
      <c r="BR205" s="16"/>
      <c r="BS205" s="16">
        <f ca="1">_xll.DBRW($D$4,$E$7,$E$8,$E$9,$E$10,$E$12,$D205,$E$6,BS$18,BS$17)</f>
        <v>-0.33178286999999995</v>
      </c>
      <c r="BT205" s="16">
        <f ca="1">_xll.DBRW($D$4,$E$7,$E$8,$E$9,$E$10,$E$12,$D205,$E$6,BT$18,BT$17)</f>
        <v>8.188034510462891E-2</v>
      </c>
      <c r="BU205" s="16"/>
      <c r="BV205" s="16"/>
      <c r="BW205" s="16"/>
      <c r="BX205" s="16"/>
      <c r="BY205" s="16">
        <f ca="1">_xll.DBRW($D$4,$E$7,$E$8,$E$9,$E$10,$E$12,$D205,$E$6,BY$18,BY$17)</f>
        <v>-0.32002574</v>
      </c>
      <c r="BZ205" s="16">
        <f ca="1">_xll.DBRW($D$4,$E$7,$E$8,$E$9,$E$10,$E$12,$D205,$E$6,BZ$18,BZ$17)</f>
        <v>7.89788153727293E-2</v>
      </c>
      <c r="CA205" s="16"/>
      <c r="CB205" s="16"/>
      <c r="CC205" s="16"/>
      <c r="CD205" s="16"/>
      <c r="CE205" s="16">
        <f ca="1">_xll.DBRW($D$4,$E$7,$E$8,$E$9,$E$10,$E$12,$D205,$E$6,CE$18,CE$17)</f>
        <v>-0.32868422999999997</v>
      </c>
      <c r="CF205" s="16">
        <f ca="1">_xll.DBRW($D$4,$E$7,$E$8,$E$9,$E$10,$E$12,$D205,$E$6,CF$18,CF$17)</f>
        <v>8.1115635002039804E-2</v>
      </c>
      <c r="CG205" s="16"/>
      <c r="CH205" s="16"/>
      <c r="CI205" s="16"/>
      <c r="CJ205" s="16"/>
      <c r="CK205" s="16">
        <f ca="1">_xll.DBRW($D$4,$E$7,$E$8,$E$9,$E$10,$E$12,$D205,$E$6,CK$18,CK$17)</f>
        <v>-0.18694490999999996</v>
      </c>
      <c r="CL205" s="16">
        <f ca="1">_xll.DBRW($D$4,$E$7,$E$8,$E$9,$E$10,$E$12,$D205,$E$6,CL$18,CL$17)</f>
        <v>4.6135937477283839E-2</v>
      </c>
      <c r="CM205" s="16"/>
      <c r="CN205" s="16"/>
      <c r="CO205" s="16"/>
      <c r="CP205" s="16"/>
      <c r="CQ205" s="16">
        <f ca="1">_xll.DBRW($D$4,$E$7,$E$8,$E$9,$E$10,$E$12,$D205,$E$6,CQ$18,CQ$17)</f>
        <v>6.5051068570000009E-2</v>
      </c>
      <c r="CR205" s="16">
        <f ca="1">_xll.DBRW($D$4,$E$7,$E$8,$E$9,$E$10,$E$12,$D205,$E$6,CR$18,CR$17)</f>
        <v>1.5311523330000001</v>
      </c>
      <c r="CS205" s="16">
        <f ca="1">_xll.DBRW($D$4,$E$7,$E$8,$E$9,$E$10,$E$12,$D205,$E$6,CS$18,CS$17)</f>
        <v>1.025992</v>
      </c>
      <c r="CT205" s="16">
        <f ca="1">_xll.DBRW($D$4,$E$7,$E$8,$E$9,$E$10,$E$12,$D205,$E$6,CT$18,CT$17)</f>
        <v>1.5311523330000001</v>
      </c>
      <c r="CU205" s="16">
        <f ca="1">_xll.DBRW($D$4,$E$7,$E$8,$E$9,$E$10,$E$12,$D205,$E$6,CU$18,CU$17)</f>
        <v>0.38348736900000002</v>
      </c>
      <c r="CV205" s="16">
        <f ca="1">_xll.DBRW($D$4,$E$7,$E$8,$E$9,$E$10,$E$12,$D205,$E$6,CV$18,CV$17)</f>
        <v>1.5311523330000001</v>
      </c>
      <c r="CW205" s="16">
        <f ca="1">_xll.DBRW($D$4,$E$7,$E$8,$E$9,$E$10,$E$12,$D205,$E$6,CW$18,CW$17)</f>
        <v>3.0000000000000001E-5</v>
      </c>
      <c r="CX205" s="16">
        <f ca="1">_xll.DBRW($D$4,$E$7,$E$8,$E$9,$E$10,$E$12,$D205,$E$6,CX$18,CX$17)</f>
        <v>1.5311523330000001</v>
      </c>
      <c r="CY205" s="16">
        <f ca="1">_xll.DBRW($D$4,$E$7,$E$8,$E$9,$E$10,$E$12,$D205,$E$6,CY$18,CY$17)</f>
        <v>1.5311523330000001</v>
      </c>
      <c r="CZ205" s="16">
        <f ca="1">_xll.DBRW($D$4,$E$7,$E$8,$E$9,$E$10,$E$12,$D205,$E$6,CZ$18,CZ$17)</f>
        <v>1.5311523330000001</v>
      </c>
      <c r="DA205" s="26">
        <f t="shared" ca="1" si="127"/>
        <v>-0.14006721999999883</v>
      </c>
      <c r="DB205" s="26">
        <f t="shared" ca="1" si="128"/>
        <v>2.0617779999999974E-2</v>
      </c>
      <c r="DC205" s="26">
        <f t="shared" ca="1" si="129"/>
        <v>0</v>
      </c>
      <c r="DD205" s="26">
        <f t="shared" ca="1" si="130"/>
        <v>0</v>
      </c>
      <c r="DE205" s="26">
        <f t="shared" ca="1" si="131"/>
        <v>0</v>
      </c>
      <c r="DF205" s="26">
        <f t="shared" ca="1" si="132"/>
        <v>0</v>
      </c>
      <c r="DG205" s="26">
        <f t="shared" ca="1" si="133"/>
        <v>0</v>
      </c>
      <c r="DH205" s="26">
        <f t="shared" ca="1" si="134"/>
        <v>-0.16068499999999863</v>
      </c>
      <c r="DI205" s="26">
        <f t="shared" ca="1" si="135"/>
        <v>-0.34144362000000106</v>
      </c>
      <c r="DJ205" s="26">
        <f t="shared" ca="1" si="136"/>
        <v>0.10096179000000061</v>
      </c>
      <c r="DK205" s="26">
        <f t="shared" ca="1" si="137"/>
        <v>7.9365221695502641E-3</v>
      </c>
      <c r="DL205" s="26"/>
      <c r="DM205" s="26"/>
      <c r="DN205" s="26"/>
      <c r="DO205" s="26"/>
      <c r="DP205" s="26">
        <f t="shared" ca="1" si="138"/>
        <v>-8.4628500000000217E-3</v>
      </c>
      <c r="DQ205" s="26">
        <f t="shared" ca="1" si="139"/>
        <v>9.8152198176435085E-3</v>
      </c>
      <c r="DR205" s="26"/>
      <c r="DS205" s="26"/>
      <c r="DT205" s="26"/>
      <c r="DU205" s="26"/>
      <c r="DV205" s="26">
        <f t="shared" ca="1" si="140"/>
        <v>-6.2505800000000611E-3</v>
      </c>
      <c r="DW205" s="26">
        <f t="shared" ca="1" si="141"/>
        <v>8.9520232081649331E-3</v>
      </c>
      <c r="DX205" s="26"/>
      <c r="DY205" s="26"/>
      <c r="DZ205" s="26"/>
      <c r="EA205" s="26"/>
      <c r="EB205" s="26">
        <f t="shared" ca="1" si="142"/>
        <v>2.8043429999999925E-2</v>
      </c>
      <c r="EC205" s="26">
        <f t="shared" ca="1" si="143"/>
        <v>-9.3519588849816371E-5</v>
      </c>
      <c r="ED205" s="26"/>
      <c r="EE205" s="26"/>
      <c r="EF205" s="26"/>
      <c r="EG205" s="26"/>
      <c r="EH205" s="26">
        <f t="shared" ca="1" si="144"/>
        <v>6.428262999999998E-2</v>
      </c>
      <c r="EI205" s="29">
        <f t="shared" ca="1" si="145"/>
        <v>-1.3078689735111046E-2</v>
      </c>
      <c r="EJ205" s="29"/>
      <c r="EK205" s="29"/>
      <c r="EL205" s="29"/>
      <c r="EM205" s="29"/>
      <c r="EN205" s="93"/>
      <c r="EO205" s="29"/>
      <c r="EP205" s="29"/>
      <c r="EQ205" s="29"/>
      <c r="ER205" s="29"/>
      <c r="ES205" s="29"/>
      <c r="ET205" s="29"/>
      <c r="EU205" s="93"/>
      <c r="EV205" s="29"/>
      <c r="EW205" s="29"/>
      <c r="EX205" s="29"/>
      <c r="EY205" s="29"/>
      <c r="EZ205" s="29"/>
      <c r="FA205" s="29"/>
      <c r="FB205" s="93"/>
      <c r="FC205" s="29"/>
      <c r="FD205" s="29"/>
      <c r="FE205" s="29"/>
      <c r="FF205" s="29"/>
      <c r="FG205" s="29"/>
      <c r="FH205" s="29"/>
      <c r="FI205" s="93"/>
      <c r="FJ205" s="29"/>
      <c r="FK205" s="29"/>
      <c r="FL205" s="29"/>
      <c r="FM205" s="29"/>
      <c r="FN205" s="29"/>
      <c r="FO205" s="29"/>
      <c r="FP205" s="93"/>
      <c r="FQ205" s="29"/>
      <c r="FR205" s="29"/>
      <c r="FS205" s="29"/>
      <c r="FT205" s="29"/>
      <c r="FU205" s="29"/>
      <c r="FV205" s="29"/>
    </row>
    <row r="206" spans="1:178" x14ac:dyDescent="0.25">
      <c r="A206" t="str">
        <f ca="1">IF(_xll.TM1RPTELISCONSOLIDATED($D$28,$D206),IF(_xll.TM1RPTELLEV($D$28,$D206)&lt;=3,_xll.TM1RPTELLEV($D$28,$D206),"D"),"N")</f>
        <v>N</v>
      </c>
      <c r="B206" t="str">
        <f ca="1">_xll.DBRA(Server&amp;"Management_organization",$D206,$B$27)</f>
        <v>L</v>
      </c>
      <c r="C206">
        <v>1</v>
      </c>
      <c r="D206" s="2" t="s">
        <v>308</v>
      </c>
      <c r="E206" s="26"/>
      <c r="F206" s="26"/>
      <c r="G206" s="16">
        <f ca="1">_xll.DBRW($D$4,$E$7,$E$8,$E$9,$E$10,$E$12,$D206,$E$6,G$18,G$17)</f>
        <v>7.5893070000000201E-2</v>
      </c>
      <c r="H206" s="16">
        <f ca="1">_xll.DBRW($D$4,$E$7,$E$8,$E$9,$E$10,$E$12,$D206,$E$6,H$18,H$17)</f>
        <v>-3.5027269999999999E-2</v>
      </c>
      <c r="I206" s="16">
        <f ca="1">_xll.DBRW($D$4,$E$7,$E$8,$E$9,$E$10,$E$12,$D206,$E$6,I$18,I$17)</f>
        <v>0</v>
      </c>
      <c r="J206" s="26">
        <f ca="1">_xll.DBRW($D$4,$E$7,$E$8,$E$9,$E$10,$E$12,$D206,$E$6,J$18,J$17)</f>
        <v>0</v>
      </c>
      <c r="K206" s="26">
        <f ca="1">_xll.DBRW($D$4,$E$7,$E$8,$E$9,$E$10,$E$12,$D206,$E$6,K$18,K$17)</f>
        <v>0</v>
      </c>
      <c r="L206" s="26">
        <f ca="1">_xll.DBRW($D$4,$E$7,$E$8,$E$9,$E$10,$E$12,$D206,$E$6,L$18,L$17)</f>
        <v>0</v>
      </c>
      <c r="M206" s="26">
        <f ca="1">_xll.DBRW($D$4,$E$7,$E$8,$E$9,$E$10,$E$12,$D206,$E$6,M$18,M$17)</f>
        <v>0</v>
      </c>
      <c r="N206" s="16">
        <f ca="1">_xll.DBRW($D$4,$E$7,$E$8,$E$9,$E$10,$E$12,$D206,$E$6,N$18,N$17)</f>
        <v>0.1109203400000002</v>
      </c>
      <c r="O206" s="16">
        <f ca="1">_xll.DBRW($D$4,$E$7,$E$8,$E$9,$E$10,$E$12,$D206,$E$6,O$18,O$17)</f>
        <v>0.65593424000000011</v>
      </c>
      <c r="P206" s="74">
        <f ca="1">_xll.DBRW($D$4,$E$7,$E$8,$E$9,$E$10,$E$12,$D206,$E$6,P$18,P$17)</f>
        <v>-0.31063657999999994</v>
      </c>
      <c r="Q206" s="16">
        <f ca="1">_xll.DBRW($D$4,$E$7,$E$8,$E$9,$E$10,$E$12,$D206,$E$6,Q$18,Q$17)</f>
        <v>0.47357884534278905</v>
      </c>
      <c r="R206" s="16"/>
      <c r="S206" s="16"/>
      <c r="T206" s="16"/>
      <c r="U206" s="16"/>
      <c r="V206" s="16">
        <f ca="1">_xll.DBRW($D$4,$E$7,$E$8,$E$9,$E$10,$E$12,$D206,$E$6,V$18,V$17)</f>
        <v>-6.0402449999999996E-2</v>
      </c>
      <c r="W206" s="16">
        <f ca="1">_xll.DBRW($D$4,$E$7,$E$8,$E$9,$E$10,$E$12,$D206,$E$6,W$18,W$17)</f>
        <v>9.2086136561494308E-2</v>
      </c>
      <c r="X206" s="16"/>
      <c r="Y206" s="16"/>
      <c r="Z206" s="16"/>
      <c r="AA206" s="16"/>
      <c r="AB206" s="16">
        <f ca="1">_xll.DBRW($D$4,$E$7,$E$8,$E$9,$E$10,$E$12,$D206,$E$6,AB$18,AB$17)</f>
        <v>-6.1919620000000002E-2</v>
      </c>
      <c r="AC206" s="16">
        <f ca="1">_xll.DBRW($D$4,$E$7,$E$8,$E$9,$E$10,$E$12,$D206,$E$6,AC$18,AC$17)</f>
        <v>9.439912757108089E-2</v>
      </c>
      <c r="AD206" s="16"/>
      <c r="AE206" s="16"/>
      <c r="AF206" s="16"/>
      <c r="AG206" s="16"/>
      <c r="AH206" s="16">
        <f ca="1">_xll.DBRW($D$4,$E$7,$E$8,$E$9,$E$10,$E$12,$D206,$E$6,AH$18,AH$17)</f>
        <v>-9.2223699999999978E-2</v>
      </c>
      <c r="AI206" s="16">
        <f ca="1">_xll.DBRW($D$4,$E$7,$E$8,$E$9,$E$10,$E$12,$D206,$E$6,AI$18,AI$17)</f>
        <v>0.14059900272929793</v>
      </c>
      <c r="AJ206" s="16"/>
      <c r="AK206" s="16"/>
      <c r="AL206" s="16"/>
      <c r="AM206" s="16"/>
      <c r="AN206" s="16">
        <f ca="1">_xll.DBRW($D$4,$E$7,$E$8,$E$9,$E$10,$E$12,$D206,$E$6,AN$18,AN$17)</f>
        <v>-1.9831549999999996E-2</v>
      </c>
      <c r="AO206" s="16">
        <f ca="1">_xll.DBRW($D$4,$E$7,$E$8,$E$9,$E$10,$E$12,$D206,$E$6,AO$18,AO$17)</f>
        <v>3.0234052120834541E-2</v>
      </c>
      <c r="AP206" s="16"/>
      <c r="AQ206" s="16"/>
      <c r="AR206" s="16"/>
      <c r="AS206" s="16"/>
      <c r="AT206" s="16">
        <f ca="1">_xll.DBRW($D$4,$E$7,$E$8,$E$9,$E$10,$E$12,$D206,$E$6,AT$18,AT$17)</f>
        <v>1.7347234759768071E-18</v>
      </c>
      <c r="AU206" s="16">
        <f ca="1">_xll.DBRW($D$4,$E$7,$E$8,$E$9,$E$10,$E$12,$D206,$E$6,AU$18,AU$17)</f>
        <v>0</v>
      </c>
      <c r="AV206" s="16">
        <f ca="1">_xll.DBRW($D$4,$E$7,$E$8,$E$9,$E$10,$E$12,$D206,$E$6,AV$18,AV$17)</f>
        <v>0</v>
      </c>
      <c r="AW206" s="16">
        <f ca="1">_xll.DBRW($D$4,$E$7,$E$8,$E$9,$E$10,$E$12,$D206,$E$6,AW$18,AW$17)</f>
        <v>0</v>
      </c>
      <c r="AX206" s="16">
        <f ca="1">_xll.DBRW($D$4,$E$7,$E$8,$E$9,$E$10,$E$12,$D206,$E$6,AX$18,AX$17)</f>
        <v>0</v>
      </c>
      <c r="AY206" s="16">
        <f ca="1">_xll.DBRW($D$4,$E$7,$E$8,$E$9,$E$10,$E$12,$D206,$E$6,AY$18,AY$17)</f>
        <v>0</v>
      </c>
      <c r="AZ206" s="16">
        <f ca="1">_xll.DBRW($D$4,$E$7,$E$8,$E$9,$E$10,$E$12,$D206,$E$6,AZ$18,AZ$17)</f>
        <v>0</v>
      </c>
      <c r="BA206" s="16">
        <f ca="1">_xll.DBRW($D$4,$E$7,$E$8,$E$9,$E$10,$E$12,$D206,$E$6,BA$18,BA$17)</f>
        <v>0</v>
      </c>
      <c r="BB206" s="16">
        <f ca="1">_xll.DBRW($D$4,$E$7,$E$8,$E$9,$E$10,$E$12,$D206,$E$6,BB$18,BB$17)</f>
        <v>0</v>
      </c>
      <c r="BC206" s="16">
        <f ca="1">_xll.DBRW($D$4,$E$7,$E$8,$E$9,$E$10,$E$12,$D206,$E$6,BC$18,BC$17)</f>
        <v>0</v>
      </c>
      <c r="BD206" s="16">
        <f ca="1">_xll.DBRW($D$4,$E$7,$E$8,$E$9,$E$10,$E$12,$D206,$E$6,BD$18,BD$17)</f>
        <v>6.8654260000000009E-2</v>
      </c>
      <c r="BE206" s="16">
        <f ca="1">_xll.DBRW($D$4,$E$7,$E$8,$E$9,$E$10,$E$12,$D206,$E$6,BE$18,BE$17)</f>
        <v>-3.3815720000000001E-2</v>
      </c>
      <c r="BF206" s="16">
        <f ca="1">_xll.DBRW($D$4,$E$7,$E$8,$E$9,$E$10,$E$12,$D206,$E$6,BF$18,BF$17)</f>
        <v>0</v>
      </c>
      <c r="BG206" s="26">
        <f ca="1">_xll.DBRW($D$4,$E$7,$E$8,$E$9,$E$10,$E$12,$D206,$E$6,BG$18,BG$17)</f>
        <v>0</v>
      </c>
      <c r="BH206" s="26">
        <f ca="1">_xll.DBRW($D$4,$E$7,$E$8,$E$9,$E$10,$E$12,$D206,$E$6,BH$18,BH$17)</f>
        <v>0</v>
      </c>
      <c r="BI206" s="26">
        <f ca="1">_xll.DBRW($D$4,$E$7,$E$8,$E$9,$E$10,$E$12,$D206,$E$6,BI$18,BI$17)</f>
        <v>0</v>
      </c>
      <c r="BJ206" s="26">
        <f ca="1">_xll.DBRW($D$4,$E$7,$E$8,$E$9,$E$10,$E$12,$D206,$E$6,BJ$18,BJ$17)</f>
        <v>0</v>
      </c>
      <c r="BK206" s="16">
        <f ca="1">_xll.DBRW($D$4,$E$7,$E$8,$E$9,$E$10,$E$12,$D206,$E$6,BK$18,BK$17)</f>
        <v>0.10246998</v>
      </c>
      <c r="BL206" s="16">
        <f ca="1">_xll.DBRW($D$4,$E$7,$E$8,$E$9,$E$10,$E$12,$D206,$E$6,BL$18,BL$17)</f>
        <v>0.70971600000000001</v>
      </c>
      <c r="BM206" s="16">
        <f ca="1">_xll.DBRW($D$4,$E$7,$E$8,$E$9,$E$10,$E$12,$D206,$E$6,BM$18,BM$17)</f>
        <v>-0.37068156999999996</v>
      </c>
      <c r="BN206" s="16">
        <f ca="1">_xll.DBRW($D$4,$E$7,$E$8,$E$9,$E$10,$E$12,$D206,$E$6,BN$18,BN$17)</f>
        <v>0.52229563656448486</v>
      </c>
      <c r="BO206" s="16"/>
      <c r="BP206" s="16"/>
      <c r="BQ206" s="16"/>
      <c r="BR206" s="16"/>
      <c r="BS206" s="16">
        <f ca="1">_xll.DBRW($D$4,$E$7,$E$8,$E$9,$E$10,$E$12,$D206,$E$6,BS$18,BS$17)</f>
        <v>-5.6244840000000004E-2</v>
      </c>
      <c r="BT206" s="16">
        <f ca="1">_xll.DBRW($D$4,$E$7,$E$8,$E$9,$E$10,$E$12,$D206,$E$6,BT$18,BT$17)</f>
        <v>7.9249784420810584E-2</v>
      </c>
      <c r="BU206" s="16"/>
      <c r="BV206" s="16"/>
      <c r="BW206" s="16"/>
      <c r="BX206" s="16"/>
      <c r="BY206" s="16">
        <f ca="1">_xll.DBRW($D$4,$E$7,$E$8,$E$9,$E$10,$E$12,$D206,$E$6,BY$18,BY$17)</f>
        <v>-6.1438690000000004E-2</v>
      </c>
      <c r="BZ206" s="16">
        <f ca="1">_xll.DBRW($D$4,$E$7,$E$8,$E$9,$E$10,$E$12,$D206,$E$6,BZ$18,BZ$17)</f>
        <v>8.6567993394540924E-2</v>
      </c>
      <c r="CA206" s="16"/>
      <c r="CB206" s="16"/>
      <c r="CC206" s="16"/>
      <c r="CD206" s="16"/>
      <c r="CE206" s="16">
        <f ca="1">_xll.DBRW($D$4,$E$7,$E$8,$E$9,$E$10,$E$12,$D206,$E$6,CE$18,CE$17)</f>
        <v>-0.10177417000000002</v>
      </c>
      <c r="CF206" s="16">
        <f ca="1">_xll.DBRW($D$4,$E$7,$E$8,$E$9,$E$10,$E$12,$D206,$E$6,CF$18,CF$17)</f>
        <v>0.14340126191321603</v>
      </c>
      <c r="CG206" s="16"/>
      <c r="CH206" s="16"/>
      <c r="CI206" s="16"/>
      <c r="CJ206" s="16"/>
      <c r="CK206" s="16">
        <f ca="1">_xll.DBRW($D$4,$E$7,$E$8,$E$9,$E$10,$E$12,$D206,$E$6,CK$18,CK$17)</f>
        <v>-1.710675E-2</v>
      </c>
      <c r="CL206" s="16">
        <f ca="1">_xll.DBRW($D$4,$E$7,$E$8,$E$9,$E$10,$E$12,$D206,$E$6,CL$18,CL$17)</f>
        <v>2.4103655546725732E-2</v>
      </c>
      <c r="CM206" s="16"/>
      <c r="CN206" s="16"/>
      <c r="CO206" s="16"/>
      <c r="CP206" s="16"/>
      <c r="CQ206" s="16">
        <f ca="1">_xll.DBRW($D$4,$E$7,$E$8,$E$9,$E$10,$E$12,$D206,$E$6,CQ$18,CQ$17)</f>
        <v>1.691525143E-2</v>
      </c>
      <c r="CR206" s="16">
        <f ca="1">_xll.DBRW($D$4,$E$7,$E$8,$E$9,$E$10,$E$12,$D206,$E$6,CR$18,CR$17)</f>
        <v>0.15866451329999998</v>
      </c>
      <c r="CS206" s="16">
        <f ca="1">_xll.DBRW($D$4,$E$7,$E$8,$E$9,$E$10,$E$12,$D206,$E$6,CS$18,CS$17)</f>
        <v>0.17030422749999999</v>
      </c>
      <c r="CT206" s="16">
        <f ca="1">_xll.DBRW($D$4,$E$7,$E$8,$E$9,$E$10,$E$12,$D206,$E$6,CT$18,CT$17)</f>
        <v>0.15866451329999998</v>
      </c>
      <c r="CU206" s="16">
        <f ca="1">_xll.DBRW($D$4,$E$7,$E$8,$E$9,$E$10,$E$12,$D206,$E$6,CU$18,CU$17)</f>
        <v>7.0948278019999991E-2</v>
      </c>
      <c r="CV206" s="16">
        <f ca="1">_xll.DBRW($D$4,$E$7,$E$8,$E$9,$E$10,$E$12,$D206,$E$6,CV$18,CV$17)</f>
        <v>0.15866451329999998</v>
      </c>
      <c r="CW206" s="16">
        <f ca="1">_xll.DBRW($D$4,$E$7,$E$8,$E$9,$E$10,$E$12,$D206,$E$6,CW$18,CW$17)</f>
        <v>5.0000000000000004E-6</v>
      </c>
      <c r="CX206" s="16">
        <f ca="1">_xll.DBRW($D$4,$E$7,$E$8,$E$9,$E$10,$E$12,$D206,$E$6,CX$18,CX$17)</f>
        <v>0.15866451329999998</v>
      </c>
      <c r="CY206" s="16">
        <f ca="1">_xll.DBRW($D$4,$E$7,$E$8,$E$9,$E$10,$E$12,$D206,$E$6,CY$18,CY$17)</f>
        <v>0.15866451329999998</v>
      </c>
      <c r="CZ206" s="16">
        <f ca="1">_xll.DBRW($D$4,$E$7,$E$8,$E$9,$E$10,$E$12,$D206,$E$6,CZ$18,CZ$17)</f>
        <v>0.15866451329999998</v>
      </c>
      <c r="DA206" s="26">
        <f t="shared" ca="1" si="127"/>
        <v>7.2388100000001926E-3</v>
      </c>
      <c r="DB206" s="26">
        <f t="shared" ca="1" si="128"/>
        <v>-1.2115499999999987E-3</v>
      </c>
      <c r="DC206" s="26">
        <f t="shared" ca="1" si="129"/>
        <v>0</v>
      </c>
      <c r="DD206" s="26">
        <f t="shared" ca="1" si="130"/>
        <v>0</v>
      </c>
      <c r="DE206" s="26">
        <f t="shared" ca="1" si="131"/>
        <v>0</v>
      </c>
      <c r="DF206" s="26">
        <f t="shared" ca="1" si="132"/>
        <v>0</v>
      </c>
      <c r="DG206" s="26">
        <f t="shared" ca="1" si="133"/>
        <v>0</v>
      </c>
      <c r="DH206" s="26">
        <f t="shared" ca="1" si="134"/>
        <v>8.4503600000001983E-3</v>
      </c>
      <c r="DI206" s="26">
        <f t="shared" ca="1" si="135"/>
        <v>-5.3781759999999901E-2</v>
      </c>
      <c r="DJ206" s="26">
        <f t="shared" ca="1" si="136"/>
        <v>6.004499000000002E-2</v>
      </c>
      <c r="DK206" s="26">
        <f t="shared" ca="1" si="137"/>
        <v>-4.871679122169581E-2</v>
      </c>
      <c r="DL206" s="26"/>
      <c r="DM206" s="26"/>
      <c r="DN206" s="26"/>
      <c r="DO206" s="26"/>
      <c r="DP206" s="26">
        <f t="shared" ca="1" si="138"/>
        <v>-4.1576099999999921E-3</v>
      </c>
      <c r="DQ206" s="26">
        <f t="shared" ca="1" si="139"/>
        <v>1.2836352140683724E-2</v>
      </c>
      <c r="DR206" s="26"/>
      <c r="DS206" s="26"/>
      <c r="DT206" s="26"/>
      <c r="DU206" s="26"/>
      <c r="DV206" s="26">
        <f t="shared" ca="1" si="140"/>
        <v>-4.8092999999999747E-4</v>
      </c>
      <c r="DW206" s="26">
        <f t="shared" ca="1" si="141"/>
        <v>7.8311341765399667E-3</v>
      </c>
      <c r="DX206" s="26"/>
      <c r="DY206" s="26"/>
      <c r="DZ206" s="26"/>
      <c r="EA206" s="26"/>
      <c r="EB206" s="26">
        <f t="shared" ca="1" si="142"/>
        <v>9.550470000000047E-3</v>
      </c>
      <c r="EC206" s="26">
        <f t="shared" ca="1" si="143"/>
        <v>-2.8022591839181044E-3</v>
      </c>
      <c r="ED206" s="26"/>
      <c r="EE206" s="26"/>
      <c r="EF206" s="26"/>
      <c r="EG206" s="26"/>
      <c r="EH206" s="26">
        <f t="shared" ca="1" si="144"/>
        <v>-2.724799999999996E-3</v>
      </c>
      <c r="EI206" s="29">
        <f t="shared" ca="1" si="145"/>
        <v>6.1303965741088089E-3</v>
      </c>
      <c r="EJ206" s="29"/>
      <c r="EK206" s="29"/>
      <c r="EL206" s="29"/>
      <c r="EM206" s="29"/>
      <c r="EN206" s="93"/>
      <c r="EO206" s="29"/>
      <c r="EP206" s="29"/>
      <c r="EQ206" s="29"/>
      <c r="ER206" s="29"/>
      <c r="ES206" s="29"/>
      <c r="ET206" s="29"/>
      <c r="EU206" s="93"/>
      <c r="EV206" s="29"/>
      <c r="EW206" s="29"/>
      <c r="EX206" s="29"/>
      <c r="EY206" s="29"/>
      <c r="EZ206" s="29"/>
      <c r="FA206" s="29"/>
      <c r="FB206" s="93"/>
      <c r="FC206" s="29"/>
      <c r="FD206" s="29"/>
      <c r="FE206" s="29"/>
      <c r="FF206" s="29"/>
      <c r="FG206" s="29"/>
      <c r="FH206" s="29"/>
      <c r="FI206" s="93"/>
      <c r="FJ206" s="29"/>
      <c r="FK206" s="29"/>
      <c r="FL206" s="29"/>
      <c r="FM206" s="29"/>
      <c r="FN206" s="29"/>
      <c r="FO206" s="29"/>
      <c r="FP206" s="93"/>
      <c r="FQ206" s="29"/>
      <c r="FR206" s="29"/>
      <c r="FS206" s="29"/>
      <c r="FT206" s="29"/>
      <c r="FU206" s="29"/>
      <c r="FV206" s="29"/>
    </row>
    <row r="207" spans="1:178" x14ac:dyDescent="0.25">
      <c r="A207" t="str">
        <f ca="1">IF(_xll.TM1RPTELISCONSOLIDATED($D$28,$D207),IF(_xll.TM1RPTELLEV($D$28,$D207)&lt;=3,_xll.TM1RPTELLEV($D$28,$D207),"D"),"N")</f>
        <v>N</v>
      </c>
      <c r="B207" t="str">
        <f ca="1">_xll.DBRA(Server&amp;"Management_organization",$D207,$B$27)</f>
        <v>L</v>
      </c>
      <c r="C207">
        <v>1</v>
      </c>
      <c r="D207" s="2" t="s">
        <v>348</v>
      </c>
      <c r="E207" s="26"/>
      <c r="F207" s="26"/>
      <c r="G207" s="16">
        <f ca="1">_xll.DBRW($D$4,$E$7,$E$8,$E$9,$E$10,$E$12,$D207,$E$6,G$18,G$17)</f>
        <v>-0.20815417999999958</v>
      </c>
      <c r="H207" s="16">
        <f ca="1">_xll.DBRW($D$4,$E$7,$E$8,$E$9,$E$10,$E$12,$D207,$E$6,H$18,H$17)</f>
        <v>-0.15846507999999998</v>
      </c>
      <c r="I207" s="16">
        <f ca="1">_xll.DBRW($D$4,$E$7,$E$8,$E$9,$E$10,$E$12,$D207,$E$6,I$18,I$17)</f>
        <v>0</v>
      </c>
      <c r="J207" s="26">
        <f ca="1">_xll.DBRW($D$4,$E$7,$E$8,$E$9,$E$10,$E$12,$D207,$E$6,J$18,J$17)</f>
        <v>0</v>
      </c>
      <c r="K207" s="26">
        <f ca="1">_xll.DBRW($D$4,$E$7,$E$8,$E$9,$E$10,$E$12,$D207,$E$6,K$18,K$17)</f>
        <v>0</v>
      </c>
      <c r="L207" s="26">
        <f ca="1">_xll.DBRW($D$4,$E$7,$E$8,$E$9,$E$10,$E$12,$D207,$E$6,L$18,L$17)</f>
        <v>0</v>
      </c>
      <c r="M207" s="26">
        <f ca="1">_xll.DBRW($D$4,$E$7,$E$8,$E$9,$E$10,$E$12,$D207,$E$6,M$18,M$17)</f>
        <v>0</v>
      </c>
      <c r="N207" s="16">
        <f ca="1">_xll.DBRW($D$4,$E$7,$E$8,$E$9,$E$10,$E$12,$D207,$E$6,N$18,N$17)</f>
        <v>-4.9689099999999584E-2</v>
      </c>
      <c r="O207" s="16">
        <f ca="1">_xll.DBRW($D$4,$E$7,$E$8,$E$9,$E$10,$E$12,$D207,$E$6,O$18,O$17)</f>
        <v>2.8483927699999998</v>
      </c>
      <c r="P207" s="74">
        <f ca="1">_xll.DBRW($D$4,$E$7,$E$8,$E$9,$E$10,$E$12,$D207,$E$6,P$18,P$17)</f>
        <v>-1.5218281299999996</v>
      </c>
      <c r="Q207" s="16">
        <f ca="1">_xll.DBRW($D$4,$E$7,$E$8,$E$9,$E$10,$E$12,$D207,$E$6,Q$18,Q$17)</f>
        <v>0.53427608229745638</v>
      </c>
      <c r="R207" s="16"/>
      <c r="S207" s="16"/>
      <c r="T207" s="16"/>
      <c r="U207" s="16"/>
      <c r="V207" s="16">
        <f ca="1">_xll.DBRW($D$4,$E$7,$E$8,$E$9,$E$10,$E$12,$D207,$E$6,V$18,V$17)</f>
        <v>-0.32582319000000004</v>
      </c>
      <c r="W207" s="16">
        <f ca="1">_xll.DBRW($D$4,$E$7,$E$8,$E$9,$E$10,$E$12,$D207,$E$6,W$18,W$17)</f>
        <v>0.11438843456971703</v>
      </c>
      <c r="X207" s="16"/>
      <c r="Y207" s="16"/>
      <c r="Z207" s="16"/>
      <c r="AA207" s="16"/>
      <c r="AB207" s="16">
        <f ca="1">_xll.DBRW($D$4,$E$7,$E$8,$E$9,$E$10,$E$12,$D207,$E$6,AB$18,AB$17)</f>
        <v>-0.63283707999999994</v>
      </c>
      <c r="AC207" s="16">
        <f ca="1">_xll.DBRW($D$4,$E$7,$E$8,$E$9,$E$10,$E$12,$D207,$E$6,AC$18,AC$17)</f>
        <v>0.22217339078556922</v>
      </c>
      <c r="AD207" s="16"/>
      <c r="AE207" s="16"/>
      <c r="AF207" s="16"/>
      <c r="AG207" s="16"/>
      <c r="AH207" s="16">
        <f ca="1">_xll.DBRW($D$4,$E$7,$E$8,$E$9,$E$10,$E$12,$D207,$E$6,AH$18,AH$17)</f>
        <v>-0.49679459999999998</v>
      </c>
      <c r="AI207" s="16">
        <f ca="1">_xll.DBRW($D$4,$E$7,$E$8,$E$9,$E$10,$E$12,$D207,$E$6,AI$18,AI$17)</f>
        <v>0.17441225284390818</v>
      </c>
      <c r="AJ207" s="16"/>
      <c r="AK207" s="16"/>
      <c r="AL207" s="16"/>
      <c r="AM207" s="16"/>
      <c r="AN207" s="16">
        <f ca="1">_xll.DBRW($D$4,$E$7,$E$8,$E$9,$E$10,$E$12,$D207,$E$6,AN$18,AN$17)</f>
        <v>-0.11858157999999999</v>
      </c>
      <c r="AO207" s="16">
        <f ca="1">_xll.DBRW($D$4,$E$7,$E$8,$E$9,$E$10,$E$12,$D207,$E$6,AO$18,AO$17)</f>
        <v>4.1631049358407127E-2</v>
      </c>
      <c r="AP207" s="16"/>
      <c r="AQ207" s="16"/>
      <c r="AR207" s="16"/>
      <c r="AS207" s="16"/>
      <c r="AT207" s="16">
        <f ca="1">_xll.DBRW($D$4,$E$7,$E$8,$E$9,$E$10,$E$12,$D207,$E$6,AT$18,AT$17)</f>
        <v>6.9388939039072284E-18</v>
      </c>
      <c r="AU207" s="16">
        <f ca="1">_xll.DBRW($D$4,$E$7,$E$8,$E$9,$E$10,$E$12,$D207,$E$6,AU$18,AU$17)</f>
        <v>-1.1102230246251565E-16</v>
      </c>
      <c r="AV207" s="16">
        <f ca="1">_xll.DBRW($D$4,$E$7,$E$8,$E$9,$E$10,$E$12,$D207,$E$6,AV$18,AV$17)</f>
        <v>0</v>
      </c>
      <c r="AW207" s="16">
        <f ca="1">_xll.DBRW($D$4,$E$7,$E$8,$E$9,$E$10,$E$12,$D207,$E$6,AW$18,AW$17)</f>
        <v>-1.1102230246251565E-16</v>
      </c>
      <c r="AX207" s="16">
        <f ca="1">_xll.DBRW($D$4,$E$7,$E$8,$E$9,$E$10,$E$12,$D207,$E$6,AX$18,AX$17)</f>
        <v>-5.5511151231257827E-17</v>
      </c>
      <c r="AY207" s="16">
        <f ca="1">_xll.DBRW($D$4,$E$7,$E$8,$E$9,$E$10,$E$12,$D207,$E$6,AY$18,AY$17)</f>
        <v>-1.1102230246251565E-16</v>
      </c>
      <c r="AZ207" s="16">
        <f ca="1">_xll.DBRW($D$4,$E$7,$E$8,$E$9,$E$10,$E$12,$D207,$E$6,AZ$18,AZ$17)</f>
        <v>0</v>
      </c>
      <c r="BA207" s="16">
        <f ca="1">_xll.DBRW($D$4,$E$7,$E$8,$E$9,$E$10,$E$12,$D207,$E$6,BA$18,BA$17)</f>
        <v>-1.1102230246251565E-16</v>
      </c>
      <c r="BB207" s="16">
        <f ca="1">_xll.DBRW($D$4,$E$7,$E$8,$E$9,$E$10,$E$12,$D207,$E$6,BB$18,BB$17)</f>
        <v>-1.1102230246251565E-16</v>
      </c>
      <c r="BC207" s="16">
        <f ca="1">_xll.DBRW($D$4,$E$7,$E$8,$E$9,$E$10,$E$12,$D207,$E$6,BC$18,BC$17)</f>
        <v>-1.1102230246251565E-16</v>
      </c>
      <c r="BD207" s="16">
        <f ca="1">_xll.DBRW($D$4,$E$7,$E$8,$E$9,$E$10,$E$12,$D207,$E$6,BD$18,BD$17)</f>
        <v>1.2791419999999498E-2</v>
      </c>
      <c r="BE207" s="16">
        <f ca="1">_xll.DBRW($D$4,$E$7,$E$8,$E$9,$E$10,$E$12,$D207,$E$6,BE$18,BE$17)</f>
        <v>-0.14153813000000001</v>
      </c>
      <c r="BF207" s="16">
        <f ca="1">_xll.DBRW($D$4,$E$7,$E$8,$E$9,$E$10,$E$12,$D207,$E$6,BF$18,BF$17)</f>
        <v>0</v>
      </c>
      <c r="BG207" s="26">
        <f ca="1">_xll.DBRW($D$4,$E$7,$E$8,$E$9,$E$10,$E$12,$D207,$E$6,BG$18,BG$17)</f>
        <v>0</v>
      </c>
      <c r="BH207" s="26">
        <f ca="1">_xll.DBRW($D$4,$E$7,$E$8,$E$9,$E$10,$E$12,$D207,$E$6,BH$18,BH$17)</f>
        <v>0</v>
      </c>
      <c r="BI207" s="26">
        <f ca="1">_xll.DBRW($D$4,$E$7,$E$8,$E$9,$E$10,$E$12,$D207,$E$6,BI$18,BI$17)</f>
        <v>0</v>
      </c>
      <c r="BJ207" s="26">
        <f ca="1">_xll.DBRW($D$4,$E$7,$E$8,$E$9,$E$10,$E$12,$D207,$E$6,BJ$18,BJ$17)</f>
        <v>0</v>
      </c>
      <c r="BK207" s="16">
        <f ca="1">_xll.DBRW($D$4,$E$7,$E$8,$E$9,$E$10,$E$12,$D207,$E$6,BK$18,BK$17)</f>
        <v>0.15432954999999951</v>
      </c>
      <c r="BL207" s="16">
        <f ca="1">_xll.DBRW($D$4,$E$7,$E$8,$E$9,$E$10,$E$12,$D207,$E$6,BL$18,BL$17)</f>
        <v>3.2560851699999995</v>
      </c>
      <c r="BM207" s="16">
        <f ca="1">_xll.DBRW($D$4,$E$7,$E$8,$E$9,$E$10,$E$12,$D207,$E$6,BM$18,BM$17)</f>
        <v>-1.6122486599999999</v>
      </c>
      <c r="BN207" s="16">
        <f ca="1">_xll.DBRW($D$4,$E$7,$E$8,$E$9,$E$10,$E$12,$D207,$E$6,BN$18,BN$17)</f>
        <v>0.49514941281465319</v>
      </c>
      <c r="BO207" s="16"/>
      <c r="BP207" s="16"/>
      <c r="BQ207" s="16"/>
      <c r="BR207" s="16"/>
      <c r="BS207" s="16">
        <f ca="1">_xll.DBRW($D$4,$E$7,$E$8,$E$9,$E$10,$E$12,$D207,$E$6,BS$18,BS$17)</f>
        <v>-0.36845325000000001</v>
      </c>
      <c r="BT207" s="16">
        <f ca="1">_xll.DBRW($D$4,$E$7,$E$8,$E$9,$E$10,$E$12,$D207,$E$6,BT$18,BT$17)</f>
        <v>0.11315835758681952</v>
      </c>
      <c r="BU207" s="16"/>
      <c r="BV207" s="16"/>
      <c r="BW207" s="16"/>
      <c r="BX207" s="16"/>
      <c r="BY207" s="16">
        <f ca="1">_xll.DBRW($D$4,$E$7,$E$8,$E$9,$E$10,$E$12,$D207,$E$6,BY$18,BY$17)</f>
        <v>-0.50820000999999992</v>
      </c>
      <c r="BZ207" s="16">
        <f ca="1">_xll.DBRW($D$4,$E$7,$E$8,$E$9,$E$10,$E$12,$D207,$E$6,BZ$18,BZ$17)</f>
        <v>0.15607700151160359</v>
      </c>
      <c r="CA207" s="16"/>
      <c r="CB207" s="16"/>
      <c r="CC207" s="16"/>
      <c r="CD207" s="16"/>
      <c r="CE207" s="16">
        <f ca="1">_xll.DBRW($D$4,$E$7,$E$8,$E$9,$E$10,$E$12,$D207,$E$6,CE$18,CE$17)</f>
        <v>-0.54862713000000007</v>
      </c>
      <c r="CF207" s="16">
        <f ca="1">_xll.DBRW($D$4,$E$7,$E$8,$E$9,$E$10,$E$12,$D207,$E$6,CF$18,CF$17)</f>
        <v>0.16849286838525793</v>
      </c>
      <c r="CG207" s="16"/>
      <c r="CH207" s="16"/>
      <c r="CI207" s="16"/>
      <c r="CJ207" s="16"/>
      <c r="CK207" s="16">
        <f ca="1">_xll.DBRW($D$4,$E$7,$E$8,$E$9,$E$10,$E$12,$D207,$E$6,CK$18,CK$17)</f>
        <v>-0.13022657000000001</v>
      </c>
      <c r="CL207" s="16">
        <f ca="1">_xll.DBRW($D$4,$E$7,$E$8,$E$9,$E$10,$E$12,$D207,$E$6,CL$18,CL$17)</f>
        <v>3.9994829127887967E-2</v>
      </c>
      <c r="CM207" s="16"/>
      <c r="CN207" s="16"/>
      <c r="CO207" s="16"/>
      <c r="CP207" s="16"/>
      <c r="CQ207" s="16">
        <f ca="1">_xll.DBRW($D$4,$E$7,$E$8,$E$9,$E$10,$E$12,$D207,$E$6,CQ$18,CQ$17)</f>
        <v>8.0993995550000003E-2</v>
      </c>
      <c r="CR207" s="16">
        <f ca="1">_xll.DBRW($D$4,$E$7,$E$8,$E$9,$E$10,$E$12,$D207,$E$6,CR$18,CR$17)</f>
        <v>1.1495000000000002</v>
      </c>
      <c r="CS207" s="16">
        <f ca="1">_xll.DBRW($D$4,$E$7,$E$8,$E$9,$E$10,$E$12,$D207,$E$6,CS$18,CS$17)</f>
        <v>1.420833333</v>
      </c>
      <c r="CT207" s="16">
        <f ca="1">_xll.DBRW($D$4,$E$7,$E$8,$E$9,$E$10,$E$12,$D207,$E$6,CT$18,CT$17)</f>
        <v>1.1495000000000002</v>
      </c>
      <c r="CU207" s="16">
        <f ca="1">_xll.DBRW($D$4,$E$7,$E$8,$E$9,$E$10,$E$12,$D207,$E$6,CU$18,CU$17)</f>
        <v>0.53437499999999993</v>
      </c>
      <c r="CV207" s="16">
        <f ca="1">_xll.DBRW($D$4,$E$7,$E$8,$E$9,$E$10,$E$12,$D207,$E$6,CV$18,CV$17)</f>
        <v>1.1495000000000002</v>
      </c>
      <c r="CW207" s="16">
        <f ca="1">_xll.DBRW($D$4,$E$7,$E$8,$E$9,$E$10,$E$12,$D207,$E$6,CW$18,CW$17)</f>
        <v>3.6999999999999998E-5</v>
      </c>
      <c r="CX207" s="16">
        <f ca="1">_xll.DBRW($D$4,$E$7,$E$8,$E$9,$E$10,$E$12,$D207,$E$6,CX$18,CX$17)</f>
        <v>1.1495000000000002</v>
      </c>
      <c r="CY207" s="16">
        <f ca="1">_xll.DBRW($D$4,$E$7,$E$8,$E$9,$E$10,$E$12,$D207,$E$6,CY$18,CY$17)</f>
        <v>1.1495000000000002</v>
      </c>
      <c r="CZ207" s="16">
        <f ca="1">_xll.DBRW($D$4,$E$7,$E$8,$E$9,$E$10,$E$12,$D207,$E$6,CZ$18,CZ$17)</f>
        <v>1.1495000000000002</v>
      </c>
      <c r="DA207" s="26">
        <f t="shared" ca="1" si="127"/>
        <v>-0.22094559999999908</v>
      </c>
      <c r="DB207" s="26">
        <f t="shared" ca="1" si="128"/>
        <v>-1.6926949999999968E-2</v>
      </c>
      <c r="DC207" s="26">
        <f t="shared" ca="1" si="129"/>
        <v>0</v>
      </c>
      <c r="DD207" s="26">
        <f t="shared" ca="1" si="130"/>
        <v>0</v>
      </c>
      <c r="DE207" s="26">
        <f t="shared" ca="1" si="131"/>
        <v>0</v>
      </c>
      <c r="DF207" s="26">
        <f t="shared" ca="1" si="132"/>
        <v>0</v>
      </c>
      <c r="DG207" s="26">
        <f t="shared" ca="1" si="133"/>
        <v>0</v>
      </c>
      <c r="DH207" s="26">
        <f t="shared" ca="1" si="134"/>
        <v>-0.20401864999999908</v>
      </c>
      <c r="DI207" s="26">
        <f t="shared" ca="1" si="135"/>
        <v>-0.40769239999999973</v>
      </c>
      <c r="DJ207" s="26">
        <f t="shared" ca="1" si="136"/>
        <v>9.0420530000000277E-2</v>
      </c>
      <c r="DK207" s="26">
        <f t="shared" ca="1" si="137"/>
        <v>3.9126669482803189E-2</v>
      </c>
      <c r="DL207" s="26"/>
      <c r="DM207" s="26"/>
      <c r="DN207" s="26"/>
      <c r="DO207" s="26"/>
      <c r="DP207" s="26">
        <f t="shared" ca="1" si="138"/>
        <v>4.263005999999997E-2</v>
      </c>
      <c r="DQ207" s="26">
        <f t="shared" ca="1" si="139"/>
        <v>1.23007698289751E-3</v>
      </c>
      <c r="DR207" s="26"/>
      <c r="DS207" s="26"/>
      <c r="DT207" s="26"/>
      <c r="DU207" s="26"/>
      <c r="DV207" s="26">
        <f t="shared" ca="1" si="140"/>
        <v>-0.12463707000000002</v>
      </c>
      <c r="DW207" s="26">
        <f t="shared" ca="1" si="141"/>
        <v>6.6096389273965633E-2</v>
      </c>
      <c r="DX207" s="26"/>
      <c r="DY207" s="26"/>
      <c r="DZ207" s="26"/>
      <c r="EA207" s="26"/>
      <c r="EB207" s="26">
        <f t="shared" ca="1" si="142"/>
        <v>5.1832530000000099E-2</v>
      </c>
      <c r="EC207" s="26">
        <f t="shared" ca="1" si="143"/>
        <v>5.9193844586502564E-3</v>
      </c>
      <c r="ED207" s="26"/>
      <c r="EE207" s="26"/>
      <c r="EF207" s="26"/>
      <c r="EG207" s="26"/>
      <c r="EH207" s="26">
        <f t="shared" ca="1" si="144"/>
        <v>1.1644990000000022E-2</v>
      </c>
      <c r="EI207" s="29">
        <f t="shared" ca="1" si="145"/>
        <v>1.63622023051916E-3</v>
      </c>
      <c r="EJ207" s="29"/>
      <c r="EK207" s="29"/>
      <c r="EL207" s="29"/>
      <c r="EM207" s="29"/>
      <c r="EN207" s="93"/>
      <c r="EO207" s="29"/>
      <c r="EP207" s="29"/>
      <c r="EQ207" s="29"/>
      <c r="ER207" s="29"/>
      <c r="ES207" s="29"/>
      <c r="ET207" s="29"/>
      <c r="EU207" s="93"/>
      <c r="EV207" s="29"/>
      <c r="EW207" s="29"/>
      <c r="EX207" s="29"/>
      <c r="EY207" s="29"/>
      <c r="EZ207" s="29"/>
      <c r="FA207" s="29"/>
      <c r="FB207" s="93"/>
      <c r="FC207" s="29"/>
      <c r="FD207" s="29"/>
      <c r="FE207" s="29"/>
      <c r="FF207" s="29"/>
      <c r="FG207" s="29"/>
      <c r="FH207" s="29"/>
      <c r="FI207" s="93"/>
      <c r="FJ207" s="29"/>
      <c r="FK207" s="29"/>
      <c r="FL207" s="29"/>
      <c r="FM207" s="29"/>
      <c r="FN207" s="29"/>
      <c r="FO207" s="29"/>
      <c r="FP207" s="93"/>
      <c r="FQ207" s="29"/>
      <c r="FR207" s="29"/>
      <c r="FS207" s="29"/>
      <c r="FT207" s="29"/>
      <c r="FU207" s="29"/>
      <c r="FV207" s="29"/>
    </row>
    <row r="208" spans="1:178" x14ac:dyDescent="0.25">
      <c r="A208" t="str">
        <f ca="1">IF(_xll.TM1RPTELISCONSOLIDATED($D$28,$D208),IF(_xll.TM1RPTELLEV($D$28,$D208)&lt;=3,_xll.TM1RPTELLEV($D$28,$D208),"D"),"N")</f>
        <v>N</v>
      </c>
      <c r="B208" t="str">
        <f ca="1">_xll.DBRA(Server&amp;"Management_organization",$D208,$B$27)</f>
        <v>L</v>
      </c>
      <c r="C208">
        <v>1</v>
      </c>
      <c r="D208" s="2" t="s">
        <v>349</v>
      </c>
      <c r="E208" s="26"/>
      <c r="F208" s="26"/>
      <c r="G208" s="16">
        <f ca="1">_xll.DBRW($D$4,$E$7,$E$8,$E$9,$E$10,$E$12,$D208,$E$6,G$18,G$17)</f>
        <v>-0.17640445999999968</v>
      </c>
      <c r="H208" s="16">
        <f ca="1">_xll.DBRW($D$4,$E$7,$E$8,$E$9,$E$10,$E$12,$D208,$E$6,H$18,H$17)</f>
        <v>-0.14483693</v>
      </c>
      <c r="I208" s="16">
        <f ca="1">_xll.DBRW($D$4,$E$7,$E$8,$E$9,$E$10,$E$12,$D208,$E$6,I$18,I$17)</f>
        <v>0</v>
      </c>
      <c r="J208" s="26">
        <f ca="1">_xll.DBRW($D$4,$E$7,$E$8,$E$9,$E$10,$E$12,$D208,$E$6,J$18,J$17)</f>
        <v>0</v>
      </c>
      <c r="K208" s="26">
        <f ca="1">_xll.DBRW($D$4,$E$7,$E$8,$E$9,$E$10,$E$12,$D208,$E$6,K$18,K$17)</f>
        <v>0</v>
      </c>
      <c r="L208" s="26">
        <f ca="1">_xll.DBRW($D$4,$E$7,$E$8,$E$9,$E$10,$E$12,$D208,$E$6,L$18,L$17)</f>
        <v>0</v>
      </c>
      <c r="M208" s="26">
        <f ca="1">_xll.DBRW($D$4,$E$7,$E$8,$E$9,$E$10,$E$12,$D208,$E$6,M$18,M$17)</f>
        <v>0</v>
      </c>
      <c r="N208" s="16">
        <f ca="1">_xll.DBRW($D$4,$E$7,$E$8,$E$9,$E$10,$E$12,$D208,$E$6,N$18,N$17)</f>
        <v>-3.1567529999999691E-2</v>
      </c>
      <c r="O208" s="16">
        <f ca="1">_xll.DBRW($D$4,$E$7,$E$8,$E$9,$E$10,$E$12,$D208,$E$6,O$18,O$17)</f>
        <v>0.9637391900000003</v>
      </c>
      <c r="P208" s="74">
        <f ca="1">_xll.DBRW($D$4,$E$7,$E$8,$E$9,$E$10,$E$12,$D208,$E$6,P$18,P$17)</f>
        <v>-0.68390233999999994</v>
      </c>
      <c r="Q208" s="16">
        <f ca="1">_xll.DBRW($D$4,$E$7,$E$8,$E$9,$E$10,$E$12,$D208,$E$6,Q$18,Q$17)</f>
        <v>0.70963425281065895</v>
      </c>
      <c r="R208" s="16"/>
      <c r="S208" s="16"/>
      <c r="T208" s="16"/>
      <c r="U208" s="16"/>
      <c r="V208" s="16">
        <f ca="1">_xll.DBRW($D$4,$E$7,$E$8,$E$9,$E$10,$E$12,$D208,$E$6,V$18,V$17)</f>
        <v>-0.12286583000000001</v>
      </c>
      <c r="W208" s="16">
        <f ca="1">_xll.DBRW($D$4,$E$7,$E$8,$E$9,$E$10,$E$12,$D208,$E$6,W$18,W$17)</f>
        <v>0.12748867253182883</v>
      </c>
      <c r="X208" s="16"/>
      <c r="Y208" s="16"/>
      <c r="Z208" s="16"/>
      <c r="AA208" s="16"/>
      <c r="AB208" s="16">
        <f ca="1">_xll.DBRW($D$4,$E$7,$E$8,$E$9,$E$10,$E$12,$D208,$E$6,AB$18,AB$17)</f>
        <v>-0.12628913999999997</v>
      </c>
      <c r="AC208" s="16">
        <f ca="1">_xll.DBRW($D$4,$E$7,$E$8,$E$9,$E$10,$E$12,$D208,$E$6,AC$18,AC$17)</f>
        <v>0.13104078500740426</v>
      </c>
      <c r="AD208" s="16"/>
      <c r="AE208" s="16"/>
      <c r="AF208" s="16"/>
      <c r="AG208" s="16"/>
      <c r="AH208" s="16">
        <f ca="1">_xll.DBRW($D$4,$E$7,$E$8,$E$9,$E$10,$E$12,$D208,$E$6,AH$18,AH$17)</f>
        <v>-0.25337900000000002</v>
      </c>
      <c r="AI208" s="16">
        <f ca="1">_xll.DBRW($D$4,$E$7,$E$8,$E$9,$E$10,$E$12,$D208,$E$6,AI$18,AI$17)</f>
        <v>0.26291241720698311</v>
      </c>
      <c r="AJ208" s="16"/>
      <c r="AK208" s="16"/>
      <c r="AL208" s="16"/>
      <c r="AM208" s="16"/>
      <c r="AN208" s="16">
        <f ca="1">_xll.DBRW($D$4,$E$7,$E$8,$E$9,$E$10,$E$12,$D208,$E$6,AN$18,AN$17)</f>
        <v>-2.7937410000000003E-2</v>
      </c>
      <c r="AO208" s="16">
        <f ca="1">_xll.DBRW($D$4,$E$7,$E$8,$E$9,$E$10,$E$12,$D208,$E$6,AO$18,AO$17)</f>
        <v>2.8988558616154226E-2</v>
      </c>
      <c r="AP208" s="16"/>
      <c r="AQ208" s="16"/>
      <c r="AR208" s="16"/>
      <c r="AS208" s="16"/>
      <c r="AT208" s="16">
        <f ca="1">_xll.DBRW($D$4,$E$7,$E$8,$E$9,$E$10,$E$12,$D208,$E$6,AT$18,AT$17)</f>
        <v>0</v>
      </c>
      <c r="AU208" s="16">
        <f ca="1">_xll.DBRW($D$4,$E$7,$E$8,$E$9,$E$10,$E$12,$D208,$E$6,AU$18,AU$17)</f>
        <v>0</v>
      </c>
      <c r="AV208" s="16">
        <f ca="1">_xll.DBRW($D$4,$E$7,$E$8,$E$9,$E$10,$E$12,$D208,$E$6,AV$18,AV$17)</f>
        <v>0</v>
      </c>
      <c r="AW208" s="16">
        <f ca="1">_xll.DBRW($D$4,$E$7,$E$8,$E$9,$E$10,$E$12,$D208,$E$6,AW$18,AW$17)</f>
        <v>0</v>
      </c>
      <c r="AX208" s="16">
        <f ca="1">_xll.DBRW($D$4,$E$7,$E$8,$E$9,$E$10,$E$12,$D208,$E$6,AX$18,AX$17)</f>
        <v>-2.7755575615628914E-17</v>
      </c>
      <c r="AY208" s="16">
        <f ca="1">_xll.DBRW($D$4,$E$7,$E$8,$E$9,$E$10,$E$12,$D208,$E$6,AY$18,AY$17)</f>
        <v>0</v>
      </c>
      <c r="AZ208" s="16">
        <f ca="1">_xll.DBRW($D$4,$E$7,$E$8,$E$9,$E$10,$E$12,$D208,$E$6,AZ$18,AZ$17)</f>
        <v>0</v>
      </c>
      <c r="BA208" s="16">
        <f ca="1">_xll.DBRW($D$4,$E$7,$E$8,$E$9,$E$10,$E$12,$D208,$E$6,BA$18,BA$17)</f>
        <v>0</v>
      </c>
      <c r="BB208" s="16">
        <f ca="1">_xll.DBRW($D$4,$E$7,$E$8,$E$9,$E$10,$E$12,$D208,$E$6,BB$18,BB$17)</f>
        <v>0</v>
      </c>
      <c r="BC208" s="16">
        <f ca="1">_xll.DBRW($D$4,$E$7,$E$8,$E$9,$E$10,$E$12,$D208,$E$6,BC$18,BC$17)</f>
        <v>0</v>
      </c>
      <c r="BD208" s="16">
        <f ca="1">_xll.DBRW($D$4,$E$7,$E$8,$E$9,$E$10,$E$12,$D208,$E$6,BD$18,BD$17)</f>
        <v>3.8731700000000299E-2</v>
      </c>
      <c r="BE208" s="16">
        <f ca="1">_xll.DBRW($D$4,$E$7,$E$8,$E$9,$E$10,$E$12,$D208,$E$6,BE$18,BE$17)</f>
        <v>-0.14292697999999998</v>
      </c>
      <c r="BF208" s="16">
        <f ca="1">_xll.DBRW($D$4,$E$7,$E$8,$E$9,$E$10,$E$12,$D208,$E$6,BF$18,BF$17)</f>
        <v>0</v>
      </c>
      <c r="BG208" s="26">
        <f ca="1">_xll.DBRW($D$4,$E$7,$E$8,$E$9,$E$10,$E$12,$D208,$E$6,BG$18,BG$17)</f>
        <v>0</v>
      </c>
      <c r="BH208" s="26">
        <f ca="1">_xll.DBRW($D$4,$E$7,$E$8,$E$9,$E$10,$E$12,$D208,$E$6,BH$18,BH$17)</f>
        <v>0</v>
      </c>
      <c r="BI208" s="26">
        <f ca="1">_xll.DBRW($D$4,$E$7,$E$8,$E$9,$E$10,$E$12,$D208,$E$6,BI$18,BI$17)</f>
        <v>0</v>
      </c>
      <c r="BJ208" s="26">
        <f ca="1">_xll.DBRW($D$4,$E$7,$E$8,$E$9,$E$10,$E$12,$D208,$E$6,BJ$18,BJ$17)</f>
        <v>0</v>
      </c>
      <c r="BK208" s="16">
        <f ca="1">_xll.DBRW($D$4,$E$7,$E$8,$E$9,$E$10,$E$12,$D208,$E$6,BK$18,BK$17)</f>
        <v>0.18165868000000029</v>
      </c>
      <c r="BL208" s="16">
        <f ca="1">_xll.DBRW($D$4,$E$7,$E$8,$E$9,$E$10,$E$12,$D208,$E$6,BL$18,BL$17)</f>
        <v>1.2013868300000003</v>
      </c>
      <c r="BM208" s="16">
        <f ca="1">_xll.DBRW($D$4,$E$7,$E$8,$E$9,$E$10,$E$12,$D208,$E$6,BM$18,BM$17)</f>
        <v>-0.67568663999999989</v>
      </c>
      <c r="BN208" s="16">
        <f ca="1">_xll.DBRW($D$4,$E$7,$E$8,$E$9,$E$10,$E$12,$D208,$E$6,BN$18,BN$17)</f>
        <v>0.56242221333490039</v>
      </c>
      <c r="BO208" s="16"/>
      <c r="BP208" s="16"/>
      <c r="BQ208" s="16"/>
      <c r="BR208" s="16"/>
      <c r="BS208" s="16">
        <f ca="1">_xll.DBRW($D$4,$E$7,$E$8,$E$9,$E$10,$E$12,$D208,$E$6,BS$18,BS$17)</f>
        <v>-9.8310490000000014E-2</v>
      </c>
      <c r="BT208" s="16">
        <f ca="1">_xll.DBRW($D$4,$E$7,$E$8,$E$9,$E$10,$E$12,$D208,$E$6,BT$18,BT$17)</f>
        <v>8.1830837116801072E-2</v>
      </c>
      <c r="BU208" s="16"/>
      <c r="BV208" s="16"/>
      <c r="BW208" s="16"/>
      <c r="BX208" s="16"/>
      <c r="BY208" s="16">
        <f ca="1">_xll.DBRW($D$4,$E$7,$E$8,$E$9,$E$10,$E$12,$D208,$E$6,BY$18,BY$17)</f>
        <v>-0.12744666999999998</v>
      </c>
      <c r="BZ208" s="16">
        <f ca="1">_xll.DBRW($D$4,$E$7,$E$8,$E$9,$E$10,$E$12,$D208,$E$6,BZ$18,BZ$17)</f>
        <v>0.10608295914147814</v>
      </c>
      <c r="CA208" s="16"/>
      <c r="CB208" s="16"/>
      <c r="CC208" s="16"/>
      <c r="CD208" s="16"/>
      <c r="CE208" s="16">
        <f ca="1">_xll.DBRW($D$4,$E$7,$E$8,$E$9,$E$10,$E$12,$D208,$E$6,CE$18,CE$17)</f>
        <v>-0.27197100000000002</v>
      </c>
      <c r="CF208" s="16">
        <f ca="1">_xll.DBRW($D$4,$E$7,$E$8,$E$9,$E$10,$E$12,$D208,$E$6,CF$18,CF$17)</f>
        <v>0.22638087351099057</v>
      </c>
      <c r="CG208" s="16"/>
      <c r="CH208" s="16"/>
      <c r="CI208" s="16"/>
      <c r="CJ208" s="16"/>
      <c r="CK208" s="16">
        <f ca="1">_xll.DBRW($D$4,$E$7,$E$8,$E$9,$E$10,$E$12,$D208,$E$6,CK$18,CK$17)</f>
        <v>-7.5189349999999988E-2</v>
      </c>
      <c r="CL208" s="16">
        <f ca="1">_xll.DBRW($D$4,$E$7,$E$8,$E$9,$E$10,$E$12,$D208,$E$6,CL$18,CL$17)</f>
        <v>6.2585462169582773E-2</v>
      </c>
      <c r="CM208" s="16"/>
      <c r="CN208" s="16"/>
      <c r="CO208" s="16"/>
      <c r="CP208" s="16"/>
      <c r="CQ208" s="16">
        <f ca="1">_xll.DBRW($D$4,$E$7,$E$8,$E$9,$E$10,$E$12,$D208,$E$6,CQ$18,CQ$17)</f>
        <v>2.5953456609999998E-2</v>
      </c>
      <c r="CR208" s="16">
        <f ca="1">_xll.DBRW($D$4,$E$7,$E$8,$E$9,$E$10,$E$12,$D208,$E$6,CR$18,CR$17)</f>
        <v>1.1119338560000001</v>
      </c>
      <c r="CS208" s="16">
        <f ca="1">_xll.DBRW($D$4,$E$7,$E$8,$E$9,$E$10,$E$12,$D208,$E$6,CS$18,CS$17)</f>
        <v>0.45086458540000002</v>
      </c>
      <c r="CT208" s="16">
        <f ca="1">_xll.DBRW($D$4,$E$7,$E$8,$E$9,$E$10,$E$12,$D208,$E$6,CT$18,CT$17)</f>
        <v>1.1119338560000001</v>
      </c>
      <c r="CU208" s="16">
        <f ca="1">_xll.DBRW($D$4,$E$7,$E$8,$E$9,$E$10,$E$12,$D208,$E$6,CU$18,CU$17)</f>
        <v>0.15846369610000002</v>
      </c>
      <c r="CV208" s="16">
        <f ca="1">_xll.DBRW($D$4,$E$7,$E$8,$E$9,$E$10,$E$12,$D208,$E$6,CV$18,CV$17)</f>
        <v>1.1119338560000001</v>
      </c>
      <c r="CW208" s="16">
        <f ca="1">_xll.DBRW($D$4,$E$7,$E$8,$E$9,$E$10,$E$12,$D208,$E$6,CW$18,CW$17)</f>
        <v>7.9999999999999996E-6</v>
      </c>
      <c r="CX208" s="16">
        <f ca="1">_xll.DBRW($D$4,$E$7,$E$8,$E$9,$E$10,$E$12,$D208,$E$6,CX$18,CX$17)</f>
        <v>1.1119338560000001</v>
      </c>
      <c r="CY208" s="16">
        <f ca="1">_xll.DBRW($D$4,$E$7,$E$8,$E$9,$E$10,$E$12,$D208,$E$6,CY$18,CY$17)</f>
        <v>1.1119338560000001</v>
      </c>
      <c r="CZ208" s="16">
        <f ca="1">_xll.DBRW($D$4,$E$7,$E$8,$E$9,$E$10,$E$12,$D208,$E$6,CZ$18,CZ$17)</f>
        <v>1.1119338560000001</v>
      </c>
      <c r="DA208" s="26">
        <f t="shared" ca="1" si="127"/>
        <v>-0.21513615999999997</v>
      </c>
      <c r="DB208" s="26">
        <f t="shared" ca="1" si="128"/>
        <v>-1.9099500000000214E-3</v>
      </c>
      <c r="DC208" s="26">
        <f t="shared" ca="1" si="129"/>
        <v>0</v>
      </c>
      <c r="DD208" s="26">
        <f t="shared" ca="1" si="130"/>
        <v>0</v>
      </c>
      <c r="DE208" s="26">
        <f t="shared" ca="1" si="131"/>
        <v>0</v>
      </c>
      <c r="DF208" s="26">
        <f t="shared" ca="1" si="132"/>
        <v>0</v>
      </c>
      <c r="DG208" s="26">
        <f t="shared" ca="1" si="133"/>
        <v>0</v>
      </c>
      <c r="DH208" s="26">
        <f t="shared" ca="1" si="134"/>
        <v>-0.21322620999999997</v>
      </c>
      <c r="DI208" s="26">
        <f t="shared" ca="1" si="135"/>
        <v>-0.23764764000000005</v>
      </c>
      <c r="DJ208" s="26">
        <f t="shared" ca="1" si="136"/>
        <v>-8.215700000000048E-3</v>
      </c>
      <c r="DK208" s="26">
        <f t="shared" ca="1" si="137"/>
        <v>0.14721203947575856</v>
      </c>
      <c r="DL208" s="26"/>
      <c r="DM208" s="26"/>
      <c r="DN208" s="26"/>
      <c r="DO208" s="26"/>
      <c r="DP208" s="26">
        <f t="shared" ca="1" si="138"/>
        <v>-2.4555339999999995E-2</v>
      </c>
      <c r="DQ208" s="26">
        <f t="shared" ca="1" si="139"/>
        <v>4.5657835415027756E-2</v>
      </c>
      <c r="DR208" s="26"/>
      <c r="DS208" s="26"/>
      <c r="DT208" s="26"/>
      <c r="DU208" s="26"/>
      <c r="DV208" s="26">
        <f t="shared" ca="1" si="140"/>
        <v>1.1575300000000177E-3</v>
      </c>
      <c r="DW208" s="26">
        <f t="shared" ca="1" si="141"/>
        <v>2.4957825865926125E-2</v>
      </c>
      <c r="DX208" s="26"/>
      <c r="DY208" s="26"/>
      <c r="DZ208" s="26"/>
      <c r="EA208" s="26"/>
      <c r="EB208" s="26">
        <f t="shared" ca="1" si="142"/>
        <v>1.8591999999999997E-2</v>
      </c>
      <c r="EC208" s="26">
        <f t="shared" ca="1" si="143"/>
        <v>3.6531543695992541E-2</v>
      </c>
      <c r="ED208" s="26"/>
      <c r="EE208" s="26"/>
      <c r="EF208" s="26"/>
      <c r="EG208" s="26"/>
      <c r="EH208" s="26">
        <f t="shared" ca="1" si="144"/>
        <v>4.7251939999999985E-2</v>
      </c>
      <c r="EI208" s="29">
        <f t="shared" ca="1" si="145"/>
        <v>-3.359690355342855E-2</v>
      </c>
      <c r="EJ208" s="29"/>
      <c r="EK208" s="29"/>
      <c r="EL208" s="29"/>
      <c r="EM208" s="29"/>
      <c r="EN208" s="93"/>
      <c r="EO208" s="29"/>
      <c r="EP208" s="29"/>
      <c r="EQ208" s="29"/>
      <c r="ER208" s="29"/>
      <c r="ES208" s="29"/>
      <c r="ET208" s="29"/>
      <c r="EU208" s="93"/>
      <c r="EV208" s="29"/>
      <c r="EW208" s="29"/>
      <c r="EX208" s="29"/>
      <c r="EY208" s="29"/>
      <c r="EZ208" s="29"/>
      <c r="FA208" s="29"/>
      <c r="FB208" s="93"/>
      <c r="FC208" s="29"/>
      <c r="FD208" s="29"/>
      <c r="FE208" s="29"/>
      <c r="FF208" s="29"/>
      <c r="FG208" s="29"/>
      <c r="FH208" s="29"/>
      <c r="FI208" s="93"/>
      <c r="FJ208" s="29"/>
      <c r="FK208" s="29"/>
      <c r="FL208" s="29"/>
      <c r="FM208" s="29"/>
      <c r="FN208" s="29"/>
      <c r="FO208" s="29"/>
      <c r="FP208" s="93"/>
      <c r="FQ208" s="29"/>
      <c r="FR208" s="29"/>
      <c r="FS208" s="29"/>
      <c r="FT208" s="29"/>
      <c r="FU208" s="29"/>
      <c r="FV208" s="29"/>
    </row>
    <row r="209" spans="1:178" x14ac:dyDescent="0.25">
      <c r="A209" t="str">
        <f ca="1">IF(_xll.TM1RPTELISCONSOLIDATED($D$28,$D209),IF(_xll.TM1RPTELLEV($D$28,$D209)&lt;=3,_xll.TM1RPTELLEV($D$28,$D209),"D"),"N")</f>
        <v>N</v>
      </c>
      <c r="B209" t="str">
        <f ca="1">_xll.DBRA(Server&amp;"Management_organization",$D209,$B$27)</f>
        <v>L</v>
      </c>
      <c r="C209">
        <v>1</v>
      </c>
      <c r="D209" s="2" t="s">
        <v>350</v>
      </c>
      <c r="E209" s="26"/>
      <c r="F209" s="26"/>
      <c r="G209" s="16">
        <f ca="1">_xll.DBRW($D$4,$E$7,$E$8,$E$9,$E$10,$E$12,$D209,$E$6,G$18,G$17)</f>
        <v>5.862207000000088E-2</v>
      </c>
      <c r="H209" s="16">
        <f ca="1">_xll.DBRW($D$4,$E$7,$E$8,$E$9,$E$10,$E$12,$D209,$E$6,H$18,H$17)</f>
        <v>-0.11006137000000001</v>
      </c>
      <c r="I209" s="16">
        <f ca="1">_xll.DBRW($D$4,$E$7,$E$8,$E$9,$E$10,$E$12,$D209,$E$6,I$18,I$17)</f>
        <v>0</v>
      </c>
      <c r="J209" s="26">
        <f ca="1">_xll.DBRW($D$4,$E$7,$E$8,$E$9,$E$10,$E$12,$D209,$E$6,J$18,J$17)</f>
        <v>0</v>
      </c>
      <c r="K209" s="26">
        <f ca="1">_xll.DBRW($D$4,$E$7,$E$8,$E$9,$E$10,$E$12,$D209,$E$6,K$18,K$17)</f>
        <v>0</v>
      </c>
      <c r="L209" s="26">
        <f ca="1">_xll.DBRW($D$4,$E$7,$E$8,$E$9,$E$10,$E$12,$D209,$E$6,L$18,L$17)</f>
        <v>0</v>
      </c>
      <c r="M209" s="26">
        <f ca="1">_xll.DBRW($D$4,$E$7,$E$8,$E$9,$E$10,$E$12,$D209,$E$6,M$18,M$17)</f>
        <v>0</v>
      </c>
      <c r="N209" s="16">
        <f ca="1">_xll.DBRW($D$4,$E$7,$E$8,$E$9,$E$10,$E$12,$D209,$E$6,N$18,N$17)</f>
        <v>0.16868344000000088</v>
      </c>
      <c r="O209" s="16">
        <f ca="1">_xll.DBRW($D$4,$E$7,$E$8,$E$9,$E$10,$E$12,$D209,$E$6,O$18,O$17)</f>
        <v>1.8687093900000002</v>
      </c>
      <c r="P209" s="74">
        <f ca="1">_xll.DBRW($D$4,$E$7,$E$8,$E$9,$E$10,$E$12,$D209,$E$6,P$18,P$17)</f>
        <v>-0.90980859999999997</v>
      </c>
      <c r="Q209" s="16">
        <f ca="1">_xll.DBRW($D$4,$E$7,$E$8,$E$9,$E$10,$E$12,$D209,$E$6,Q$18,Q$17)</f>
        <v>0.48686468044129638</v>
      </c>
      <c r="R209" s="16"/>
      <c r="S209" s="16"/>
      <c r="T209" s="16"/>
      <c r="U209" s="16"/>
      <c r="V209" s="16">
        <f ca="1">_xll.DBRW($D$4,$E$7,$E$8,$E$9,$E$10,$E$12,$D209,$E$6,V$18,V$17)</f>
        <v>-0.13569319999999999</v>
      </c>
      <c r="W209" s="16">
        <f ca="1">_xll.DBRW($D$4,$E$7,$E$8,$E$9,$E$10,$E$12,$D209,$E$6,W$18,W$17)</f>
        <v>7.261332378706567E-2</v>
      </c>
      <c r="X209" s="16"/>
      <c r="Y209" s="16"/>
      <c r="Z209" s="16"/>
      <c r="AA209" s="16"/>
      <c r="AB209" s="16">
        <f ca="1">_xll.DBRW($D$4,$E$7,$E$8,$E$9,$E$10,$E$12,$D209,$E$6,AB$18,AB$17)</f>
        <v>-0.29030140999999993</v>
      </c>
      <c r="AC209" s="16">
        <f ca="1">_xll.DBRW($D$4,$E$7,$E$8,$E$9,$E$10,$E$12,$D209,$E$6,AC$18,AC$17)</f>
        <v>0.15534861201719541</v>
      </c>
      <c r="AD209" s="16"/>
      <c r="AE209" s="16"/>
      <c r="AF209" s="16"/>
      <c r="AG209" s="16"/>
      <c r="AH209" s="16">
        <f ca="1">_xll.DBRW($D$4,$E$7,$E$8,$E$9,$E$10,$E$12,$D209,$E$6,AH$18,AH$17)</f>
        <v>-0.28706005000000001</v>
      </c>
      <c r="AI209" s="16">
        <f ca="1">_xll.DBRW($D$4,$E$7,$E$8,$E$9,$E$10,$E$12,$D209,$E$6,AI$18,AI$17)</f>
        <v>0.15361406730021299</v>
      </c>
      <c r="AJ209" s="16"/>
      <c r="AK209" s="16"/>
      <c r="AL209" s="16"/>
      <c r="AM209" s="16"/>
      <c r="AN209" s="16">
        <f ca="1">_xll.DBRW($D$4,$E$7,$E$8,$E$9,$E$10,$E$12,$D209,$E$6,AN$18,AN$17)</f>
        <v>-7.7162690000000006E-2</v>
      </c>
      <c r="AO209" s="16">
        <f ca="1">_xll.DBRW($D$4,$E$7,$E$8,$E$9,$E$10,$E$12,$D209,$E$6,AO$18,AO$17)</f>
        <v>4.1291968891963453E-2</v>
      </c>
      <c r="AP209" s="16"/>
      <c r="AQ209" s="16"/>
      <c r="AR209" s="16"/>
      <c r="AS209" s="16"/>
      <c r="AT209" s="16">
        <f ca="1">_xll.DBRW($D$4,$E$7,$E$8,$E$9,$E$10,$E$12,$D209,$E$6,AT$18,AT$17)</f>
        <v>3.4694469519536142E-18</v>
      </c>
      <c r="AU209" s="16">
        <f ca="1">_xll.DBRW($D$4,$E$7,$E$8,$E$9,$E$10,$E$12,$D209,$E$6,AU$18,AU$17)</f>
        <v>-1.1102230246251565E-16</v>
      </c>
      <c r="AV209" s="16">
        <f ca="1">_xll.DBRW($D$4,$E$7,$E$8,$E$9,$E$10,$E$12,$D209,$E$6,AV$18,AV$17)</f>
        <v>0</v>
      </c>
      <c r="AW209" s="16">
        <f ca="1">_xll.DBRW($D$4,$E$7,$E$8,$E$9,$E$10,$E$12,$D209,$E$6,AW$18,AW$17)</f>
        <v>-1.1102230246251565E-16</v>
      </c>
      <c r="AX209" s="16">
        <f ca="1">_xll.DBRW($D$4,$E$7,$E$8,$E$9,$E$10,$E$12,$D209,$E$6,AX$18,AX$17)</f>
        <v>-2.7755575615628914E-17</v>
      </c>
      <c r="AY209" s="16">
        <f ca="1">_xll.DBRW($D$4,$E$7,$E$8,$E$9,$E$10,$E$12,$D209,$E$6,AY$18,AY$17)</f>
        <v>-1.1102230246251565E-16</v>
      </c>
      <c r="AZ209" s="16">
        <f ca="1">_xll.DBRW($D$4,$E$7,$E$8,$E$9,$E$10,$E$12,$D209,$E$6,AZ$18,AZ$17)</f>
        <v>0</v>
      </c>
      <c r="BA209" s="16">
        <f ca="1">_xll.DBRW($D$4,$E$7,$E$8,$E$9,$E$10,$E$12,$D209,$E$6,BA$18,BA$17)</f>
        <v>-1.1102230246251565E-16</v>
      </c>
      <c r="BB209" s="16">
        <f ca="1">_xll.DBRW($D$4,$E$7,$E$8,$E$9,$E$10,$E$12,$D209,$E$6,BB$18,BB$17)</f>
        <v>-1.1102230246251565E-16</v>
      </c>
      <c r="BC209" s="16">
        <f ca="1">_xll.DBRW($D$4,$E$7,$E$8,$E$9,$E$10,$E$12,$D209,$E$6,BC$18,BC$17)</f>
        <v>-1.1102230246251565E-16</v>
      </c>
      <c r="BD209" s="16">
        <f ca="1">_xll.DBRW($D$4,$E$7,$E$8,$E$9,$E$10,$E$12,$D209,$E$6,BD$18,BD$17)</f>
        <v>5.9474659999999784E-2</v>
      </c>
      <c r="BE209" s="16">
        <f ca="1">_xll.DBRW($D$4,$E$7,$E$8,$E$9,$E$10,$E$12,$D209,$E$6,BE$18,BE$17)</f>
        <v>-0.10343470999999999</v>
      </c>
      <c r="BF209" s="16">
        <f ca="1">_xll.DBRW($D$4,$E$7,$E$8,$E$9,$E$10,$E$12,$D209,$E$6,BF$18,BF$17)</f>
        <v>0</v>
      </c>
      <c r="BG209" s="26">
        <f ca="1">_xll.DBRW($D$4,$E$7,$E$8,$E$9,$E$10,$E$12,$D209,$E$6,BG$18,BG$17)</f>
        <v>0</v>
      </c>
      <c r="BH209" s="26">
        <f ca="1">_xll.DBRW($D$4,$E$7,$E$8,$E$9,$E$10,$E$12,$D209,$E$6,BH$18,BH$17)</f>
        <v>0</v>
      </c>
      <c r="BI209" s="26">
        <f ca="1">_xll.DBRW($D$4,$E$7,$E$8,$E$9,$E$10,$E$12,$D209,$E$6,BI$18,BI$17)</f>
        <v>0</v>
      </c>
      <c r="BJ209" s="26">
        <f ca="1">_xll.DBRW($D$4,$E$7,$E$8,$E$9,$E$10,$E$12,$D209,$E$6,BJ$18,BJ$17)</f>
        <v>0</v>
      </c>
      <c r="BK209" s="16">
        <f ca="1">_xll.DBRW($D$4,$E$7,$E$8,$E$9,$E$10,$E$12,$D209,$E$6,BK$18,BK$17)</f>
        <v>0.1629093699999998</v>
      </c>
      <c r="BL209" s="16">
        <f ca="1">_xll.DBRW($D$4,$E$7,$E$8,$E$9,$E$10,$E$12,$D209,$E$6,BL$18,BL$17)</f>
        <v>1.2664575</v>
      </c>
      <c r="BM209" s="16">
        <f ca="1">_xll.DBRW($D$4,$E$7,$E$8,$E$9,$E$10,$E$12,$D209,$E$6,BM$18,BM$17)</f>
        <v>-0.65871286000000007</v>
      </c>
      <c r="BN209" s="16">
        <f ca="1">_xll.DBRW($D$4,$E$7,$E$8,$E$9,$E$10,$E$12,$D209,$E$6,BN$18,BN$17)</f>
        <v>0.52012235704711773</v>
      </c>
      <c r="BO209" s="16"/>
      <c r="BP209" s="16"/>
      <c r="BQ209" s="16"/>
      <c r="BR209" s="16"/>
      <c r="BS209" s="16">
        <f ca="1">_xll.DBRW($D$4,$E$7,$E$8,$E$9,$E$10,$E$12,$D209,$E$6,BS$18,BS$17)</f>
        <v>-5.1700010000000005E-2</v>
      </c>
      <c r="BT209" s="16">
        <f ca="1">_xll.DBRW($D$4,$E$7,$E$8,$E$9,$E$10,$E$12,$D209,$E$6,BT$18,BT$17)</f>
        <v>4.0822538458653371E-2</v>
      </c>
      <c r="BU209" s="16"/>
      <c r="BV209" s="16"/>
      <c r="BW209" s="16"/>
      <c r="BX209" s="16"/>
      <c r="BY209" s="16">
        <f ca="1">_xll.DBRW($D$4,$E$7,$E$8,$E$9,$E$10,$E$12,$D209,$E$6,BY$18,BY$17)</f>
        <v>-0.15313267</v>
      </c>
      <c r="BZ209" s="16">
        <f ca="1">_xll.DBRW($D$4,$E$7,$E$8,$E$9,$E$10,$E$12,$D209,$E$6,BZ$18,BZ$17)</f>
        <v>0.12091417990733996</v>
      </c>
      <c r="CA209" s="16"/>
      <c r="CB209" s="16"/>
      <c r="CC209" s="16"/>
      <c r="CD209" s="16"/>
      <c r="CE209" s="16">
        <f ca="1">_xll.DBRW($D$4,$E$7,$E$8,$E$9,$E$10,$E$12,$D209,$E$6,CE$18,CE$17)</f>
        <v>-0.15461142</v>
      </c>
      <c r="CF209" s="16">
        <f ca="1">_xll.DBRW($D$4,$E$7,$E$8,$E$9,$E$10,$E$12,$D209,$E$6,CF$18,CF$17)</f>
        <v>0.12208180692996014</v>
      </c>
      <c r="CG209" s="16"/>
      <c r="CH209" s="16"/>
      <c r="CI209" s="16"/>
      <c r="CJ209" s="16"/>
      <c r="CK209" s="16">
        <f ca="1">_xll.DBRW($D$4,$E$7,$E$8,$E$9,$E$10,$E$12,$D209,$E$6,CK$18,CK$17)</f>
        <v>-8.5391170000000016E-2</v>
      </c>
      <c r="CL209" s="16">
        <f ca="1">_xll.DBRW($D$4,$E$7,$E$8,$E$9,$E$10,$E$12,$D209,$E$6,CL$18,CL$17)</f>
        <v>6.7425215611262135E-2</v>
      </c>
      <c r="CM209" s="16"/>
      <c r="CN209" s="16"/>
      <c r="CO209" s="16"/>
      <c r="CP209" s="16"/>
      <c r="CQ209" s="16">
        <f ca="1">_xll.DBRW($D$4,$E$7,$E$8,$E$9,$E$10,$E$12,$D209,$E$6,CQ$18,CQ$17)</f>
        <v>2.2426584900000001E-2</v>
      </c>
      <c r="CR209" s="16">
        <f ca="1">_xll.DBRW($D$4,$E$7,$E$8,$E$9,$E$10,$E$12,$D209,$E$6,CR$18,CR$17)</f>
        <v>1.0286558329999997</v>
      </c>
      <c r="CS209" s="16">
        <f ca="1">_xll.DBRW($D$4,$E$7,$E$8,$E$9,$E$10,$E$12,$D209,$E$6,CS$18,CS$17)</f>
        <v>0.44251808330000003</v>
      </c>
      <c r="CT209" s="16">
        <f ca="1">_xll.DBRW($D$4,$E$7,$E$8,$E$9,$E$10,$E$12,$D209,$E$6,CT$18,CT$17)</f>
        <v>1.0286558329999997</v>
      </c>
      <c r="CU209" s="16">
        <f ca="1">_xll.DBRW($D$4,$E$7,$E$8,$E$9,$E$10,$E$12,$D209,$E$6,CU$18,CU$17)</f>
        <v>0.17379721309999996</v>
      </c>
      <c r="CV209" s="16">
        <f ca="1">_xll.DBRW($D$4,$E$7,$E$8,$E$9,$E$10,$E$12,$D209,$E$6,CV$18,CV$17)</f>
        <v>1.0286558329999997</v>
      </c>
      <c r="CW209" s="16">
        <f ca="1">_xll.DBRW($D$4,$E$7,$E$8,$E$9,$E$10,$E$12,$D209,$E$6,CW$18,CW$17)</f>
        <v>1.0000000000000001E-5</v>
      </c>
      <c r="CX209" s="16">
        <f ca="1">_xll.DBRW($D$4,$E$7,$E$8,$E$9,$E$10,$E$12,$D209,$E$6,CX$18,CX$17)</f>
        <v>1.0286558329999997</v>
      </c>
      <c r="CY209" s="16">
        <f ca="1">_xll.DBRW($D$4,$E$7,$E$8,$E$9,$E$10,$E$12,$D209,$E$6,CY$18,CY$17)</f>
        <v>1.0286558329999997</v>
      </c>
      <c r="CZ209" s="16">
        <f ca="1">_xll.DBRW($D$4,$E$7,$E$8,$E$9,$E$10,$E$12,$D209,$E$6,CZ$18,CZ$17)</f>
        <v>1.0286558329999997</v>
      </c>
      <c r="DA209" s="26">
        <f t="shared" ca="1" si="127"/>
        <v>-8.5258999999890395E-4</v>
      </c>
      <c r="DB209" s="26">
        <f t="shared" ca="1" si="128"/>
        <v>-6.6266600000000203E-3</v>
      </c>
      <c r="DC209" s="26">
        <f t="shared" ca="1" si="129"/>
        <v>0</v>
      </c>
      <c r="DD209" s="26">
        <f t="shared" ca="1" si="130"/>
        <v>0</v>
      </c>
      <c r="DE209" s="26">
        <f t="shared" ca="1" si="131"/>
        <v>0</v>
      </c>
      <c r="DF209" s="26">
        <f t="shared" ca="1" si="132"/>
        <v>0</v>
      </c>
      <c r="DG209" s="26">
        <f t="shared" ca="1" si="133"/>
        <v>0</v>
      </c>
      <c r="DH209" s="26">
        <f t="shared" ca="1" si="134"/>
        <v>5.7740700000010747E-3</v>
      </c>
      <c r="DI209" s="26">
        <f t="shared" ca="1" si="135"/>
        <v>0.60225189000000023</v>
      </c>
      <c r="DJ209" s="26">
        <f t="shared" ca="1" si="136"/>
        <v>-0.2510957399999999</v>
      </c>
      <c r="DK209" s="26">
        <f t="shared" ca="1" si="137"/>
        <v>-3.3257676605821351E-2</v>
      </c>
      <c r="DL209" s="26"/>
      <c r="DM209" s="26"/>
      <c r="DN209" s="26"/>
      <c r="DO209" s="26"/>
      <c r="DP209" s="26">
        <f t="shared" ca="1" si="138"/>
        <v>-8.3993189999999981E-2</v>
      </c>
      <c r="DQ209" s="26">
        <f t="shared" ca="1" si="139"/>
        <v>3.1790785328412299E-2</v>
      </c>
      <c r="DR209" s="26"/>
      <c r="DS209" s="26"/>
      <c r="DT209" s="26"/>
      <c r="DU209" s="26"/>
      <c r="DV209" s="26">
        <f t="shared" ca="1" si="140"/>
        <v>-0.13716873999999993</v>
      </c>
      <c r="DW209" s="26">
        <f t="shared" ca="1" si="141"/>
        <v>3.4434432109855445E-2</v>
      </c>
      <c r="DX209" s="26"/>
      <c r="DY209" s="26"/>
      <c r="DZ209" s="26"/>
      <c r="EA209" s="26"/>
      <c r="EB209" s="26">
        <f t="shared" ca="1" si="142"/>
        <v>-0.13244863000000001</v>
      </c>
      <c r="EC209" s="26">
        <f t="shared" ca="1" si="143"/>
        <v>3.1532260370252849E-2</v>
      </c>
      <c r="ED209" s="26"/>
      <c r="EE209" s="26"/>
      <c r="EF209" s="26"/>
      <c r="EG209" s="26"/>
      <c r="EH209" s="26">
        <f t="shared" ca="1" si="144"/>
        <v>8.2284800000000102E-3</v>
      </c>
      <c r="EI209" s="29">
        <f t="shared" ca="1" si="145"/>
        <v>-2.6133246719298682E-2</v>
      </c>
      <c r="EJ209" s="29"/>
      <c r="EK209" s="29"/>
      <c r="EL209" s="29"/>
      <c r="EM209" s="29"/>
      <c r="EN209" s="93"/>
      <c r="EO209" s="29"/>
      <c r="EP209" s="29"/>
      <c r="EQ209" s="29"/>
      <c r="ER209" s="29"/>
      <c r="ES209" s="29"/>
      <c r="ET209" s="29"/>
      <c r="EU209" s="93"/>
      <c r="EV209" s="29"/>
      <c r="EW209" s="29"/>
      <c r="EX209" s="29"/>
      <c r="EY209" s="29"/>
      <c r="EZ209" s="29"/>
      <c r="FA209" s="29"/>
      <c r="FB209" s="93"/>
      <c r="FC209" s="29"/>
      <c r="FD209" s="29"/>
      <c r="FE209" s="29"/>
      <c r="FF209" s="29"/>
      <c r="FG209" s="29"/>
      <c r="FH209" s="29"/>
      <c r="FI209" s="93"/>
      <c r="FJ209" s="29"/>
      <c r="FK209" s="29"/>
      <c r="FL209" s="29"/>
      <c r="FM209" s="29"/>
      <c r="FN209" s="29"/>
      <c r="FO209" s="29"/>
      <c r="FP209" s="93"/>
      <c r="FQ209" s="29"/>
      <c r="FR209" s="29"/>
      <c r="FS209" s="29"/>
      <c r="FT209" s="29"/>
      <c r="FU209" s="29"/>
      <c r="FV209" s="29"/>
    </row>
    <row r="210" spans="1:178" x14ac:dyDescent="0.25">
      <c r="A210" t="str">
        <f ca="1">IF(_xll.TM1RPTELISCONSOLIDATED($D$28,$D210),IF(_xll.TM1RPTELLEV($D$28,$D210)&lt;=3,_xll.TM1RPTELLEV($D$28,$D210),"D"),"N")</f>
        <v>N</v>
      </c>
      <c r="B210" t="str">
        <f ca="1">_xll.DBRA(Server&amp;"Management_organization",$D210,$B$27)</f>
        <v>L</v>
      </c>
      <c r="C210">
        <v>1</v>
      </c>
      <c r="D210" s="2" t="s">
        <v>351</v>
      </c>
      <c r="E210" s="26"/>
      <c r="F210" s="26"/>
      <c r="G210" s="16">
        <f ca="1">_xll.DBRW($D$4,$E$7,$E$8,$E$9,$E$10,$E$12,$D210,$E$6,G$18,G$17)</f>
        <v>7.6239640000000081E-2</v>
      </c>
      <c r="H210" s="16">
        <f ca="1">_xll.DBRW($D$4,$E$7,$E$8,$E$9,$E$10,$E$12,$D210,$E$6,H$18,H$17)</f>
        <v>-1.5130300000000003E-3</v>
      </c>
      <c r="I210" s="16">
        <f ca="1">_xll.DBRW($D$4,$E$7,$E$8,$E$9,$E$10,$E$12,$D210,$E$6,I$18,I$17)</f>
        <v>0</v>
      </c>
      <c r="J210" s="26">
        <f ca="1">_xll.DBRW($D$4,$E$7,$E$8,$E$9,$E$10,$E$12,$D210,$E$6,J$18,J$17)</f>
        <v>0</v>
      </c>
      <c r="K210" s="26">
        <f ca="1">_xll.DBRW($D$4,$E$7,$E$8,$E$9,$E$10,$E$12,$D210,$E$6,K$18,K$17)</f>
        <v>0</v>
      </c>
      <c r="L210" s="26">
        <f ca="1">_xll.DBRW($D$4,$E$7,$E$8,$E$9,$E$10,$E$12,$D210,$E$6,L$18,L$17)</f>
        <v>0</v>
      </c>
      <c r="M210" s="26">
        <f ca="1">_xll.DBRW($D$4,$E$7,$E$8,$E$9,$E$10,$E$12,$D210,$E$6,M$18,M$17)</f>
        <v>0</v>
      </c>
      <c r="N210" s="16">
        <f ca="1">_xll.DBRW($D$4,$E$7,$E$8,$E$9,$E$10,$E$12,$D210,$E$6,N$18,N$17)</f>
        <v>7.7752670000000079E-2</v>
      </c>
      <c r="O210" s="16">
        <f ca="1">_xll.DBRW($D$4,$E$7,$E$8,$E$9,$E$10,$E$12,$D210,$E$6,O$18,O$17)</f>
        <v>0.40710090000000004</v>
      </c>
      <c r="P210" s="74">
        <f ca="1">_xll.DBRW($D$4,$E$7,$E$8,$E$9,$E$10,$E$12,$D210,$E$6,P$18,P$17)</f>
        <v>-0.25110710000000003</v>
      </c>
      <c r="Q210" s="16">
        <f ca="1">_xll.DBRW($D$4,$E$7,$E$8,$E$9,$E$10,$E$12,$D210,$E$6,Q$18,Q$17)</f>
        <v>0.61681784540392814</v>
      </c>
      <c r="R210" s="16"/>
      <c r="S210" s="16"/>
      <c r="T210" s="16"/>
      <c r="U210" s="16"/>
      <c r="V210" s="16">
        <f ca="1">_xll.DBRW($D$4,$E$7,$E$8,$E$9,$E$10,$E$12,$D210,$E$6,V$18,V$17)</f>
        <v>-2.5036339999999997E-2</v>
      </c>
      <c r="W210" s="16">
        <f ca="1">_xll.DBRW($D$4,$E$7,$E$8,$E$9,$E$10,$E$12,$D210,$E$6,W$18,W$17)</f>
        <v>6.1499102556638895E-2</v>
      </c>
      <c r="X210" s="16"/>
      <c r="Y210" s="16"/>
      <c r="Z210" s="16"/>
      <c r="AA210" s="16"/>
      <c r="AB210" s="16">
        <f ca="1">_xll.DBRW($D$4,$E$7,$E$8,$E$9,$E$10,$E$12,$D210,$E$6,AB$18,AB$17)</f>
        <v>-2.549247000000001E-2</v>
      </c>
      <c r="AC210" s="16">
        <f ca="1">_xll.DBRW($D$4,$E$7,$E$8,$E$9,$E$10,$E$12,$D210,$E$6,AC$18,AC$17)</f>
        <v>6.2619537318635274E-2</v>
      </c>
      <c r="AD210" s="16"/>
      <c r="AE210" s="16"/>
      <c r="AF210" s="16"/>
      <c r="AG210" s="16"/>
      <c r="AH210" s="16">
        <f ca="1">_xll.DBRW($D$4,$E$7,$E$8,$E$9,$E$10,$E$12,$D210,$E$6,AH$18,AH$17)</f>
        <v>-0.11308199999999999</v>
      </c>
      <c r="AI210" s="16">
        <f ca="1">_xll.DBRW($D$4,$E$7,$E$8,$E$9,$E$10,$E$12,$D210,$E$6,AI$18,AI$17)</f>
        <v>0.27777388848808732</v>
      </c>
      <c r="AJ210" s="16"/>
      <c r="AK210" s="16"/>
      <c r="AL210" s="16"/>
      <c r="AM210" s="16"/>
      <c r="AN210" s="16">
        <f ca="1">_xll.DBRW($D$4,$E$7,$E$8,$E$9,$E$10,$E$12,$D210,$E$6,AN$18,AN$17)</f>
        <v>-1.9592720000000001E-2</v>
      </c>
      <c r="AO210" s="16">
        <f ca="1">_xll.DBRW($D$4,$E$7,$E$8,$E$9,$E$10,$E$12,$D210,$E$6,AO$18,AO$17)</f>
        <v>4.8127429833734088E-2</v>
      </c>
      <c r="AP210" s="16"/>
      <c r="AQ210" s="16"/>
      <c r="AR210" s="16"/>
      <c r="AS210" s="16"/>
      <c r="AT210" s="16">
        <f ca="1">_xll.DBRW($D$4,$E$7,$E$8,$E$9,$E$10,$E$12,$D210,$E$6,AT$18,AT$17)</f>
        <v>-2.7105054312137611E-20</v>
      </c>
      <c r="AU210" s="16">
        <f ca="1">_xll.DBRW($D$4,$E$7,$E$8,$E$9,$E$10,$E$12,$D210,$E$6,AU$18,AU$17)</f>
        <v>0</v>
      </c>
      <c r="AV210" s="16">
        <f ca="1">_xll.DBRW($D$4,$E$7,$E$8,$E$9,$E$10,$E$12,$D210,$E$6,AV$18,AV$17)</f>
        <v>0</v>
      </c>
      <c r="AW210" s="16">
        <f ca="1">_xll.DBRW($D$4,$E$7,$E$8,$E$9,$E$10,$E$12,$D210,$E$6,AW$18,AW$17)</f>
        <v>0</v>
      </c>
      <c r="AX210" s="16">
        <f ca="1">_xll.DBRW($D$4,$E$7,$E$8,$E$9,$E$10,$E$12,$D210,$E$6,AX$18,AX$17)</f>
        <v>0</v>
      </c>
      <c r="AY210" s="16">
        <f ca="1">_xll.DBRW($D$4,$E$7,$E$8,$E$9,$E$10,$E$12,$D210,$E$6,AY$18,AY$17)</f>
        <v>0</v>
      </c>
      <c r="AZ210" s="16">
        <f ca="1">_xll.DBRW($D$4,$E$7,$E$8,$E$9,$E$10,$E$12,$D210,$E$6,AZ$18,AZ$17)</f>
        <v>0</v>
      </c>
      <c r="BA210" s="16">
        <f ca="1">_xll.DBRW($D$4,$E$7,$E$8,$E$9,$E$10,$E$12,$D210,$E$6,BA$18,BA$17)</f>
        <v>0</v>
      </c>
      <c r="BB210" s="16">
        <f ca="1">_xll.DBRW($D$4,$E$7,$E$8,$E$9,$E$10,$E$12,$D210,$E$6,BB$18,BB$17)</f>
        <v>0</v>
      </c>
      <c r="BC210" s="16">
        <f ca="1">_xll.DBRW($D$4,$E$7,$E$8,$E$9,$E$10,$E$12,$D210,$E$6,BC$18,BC$17)</f>
        <v>0</v>
      </c>
      <c r="BD210" s="16">
        <f ca="1">_xll.DBRW($D$4,$E$7,$E$8,$E$9,$E$10,$E$12,$D210,$E$6,BD$18,BD$17)</f>
        <v>9.8596629999999866E-2</v>
      </c>
      <c r="BE210" s="16">
        <f ca="1">_xll.DBRW($D$4,$E$7,$E$8,$E$9,$E$10,$E$12,$D210,$E$6,BE$18,BE$17)</f>
        <v>0</v>
      </c>
      <c r="BF210" s="16">
        <f ca="1">_xll.DBRW($D$4,$E$7,$E$8,$E$9,$E$10,$E$12,$D210,$E$6,BF$18,BF$17)</f>
        <v>0</v>
      </c>
      <c r="BG210" s="26">
        <f ca="1">_xll.DBRW($D$4,$E$7,$E$8,$E$9,$E$10,$E$12,$D210,$E$6,BG$18,BG$17)</f>
        <v>0</v>
      </c>
      <c r="BH210" s="26">
        <f ca="1">_xll.DBRW($D$4,$E$7,$E$8,$E$9,$E$10,$E$12,$D210,$E$6,BH$18,BH$17)</f>
        <v>0</v>
      </c>
      <c r="BI210" s="26">
        <f ca="1">_xll.DBRW($D$4,$E$7,$E$8,$E$9,$E$10,$E$12,$D210,$E$6,BI$18,BI$17)</f>
        <v>0</v>
      </c>
      <c r="BJ210" s="26">
        <f ca="1">_xll.DBRW($D$4,$E$7,$E$8,$E$9,$E$10,$E$12,$D210,$E$6,BJ$18,BJ$17)</f>
        <v>0</v>
      </c>
      <c r="BK210" s="16">
        <f ca="1">_xll.DBRW($D$4,$E$7,$E$8,$E$9,$E$10,$E$12,$D210,$E$6,BK$18,BK$17)</f>
        <v>9.8596629999999866E-2</v>
      </c>
      <c r="BL210" s="16">
        <f ca="1">_xll.DBRW($D$4,$E$7,$E$8,$E$9,$E$10,$E$12,$D210,$E$6,BL$18,BL$17)</f>
        <v>0.44527500000000003</v>
      </c>
      <c r="BM210" s="16">
        <f ca="1">_xll.DBRW($D$4,$E$7,$E$8,$E$9,$E$10,$E$12,$D210,$E$6,BM$18,BM$17)</f>
        <v>-0.20513469000000001</v>
      </c>
      <c r="BN210" s="16">
        <f ca="1">_xll.DBRW($D$4,$E$7,$E$8,$E$9,$E$10,$E$12,$D210,$E$6,BN$18,BN$17)</f>
        <v>0.46069213407444837</v>
      </c>
      <c r="BO210" s="16"/>
      <c r="BP210" s="16"/>
      <c r="BQ210" s="16"/>
      <c r="BR210" s="16"/>
      <c r="BS210" s="16">
        <f ca="1">_xll.DBRW($D$4,$E$7,$E$8,$E$9,$E$10,$E$12,$D210,$E$6,BS$18,BS$17)</f>
        <v>-4.1711999999999999E-2</v>
      </c>
      <c r="BT210" s="16">
        <f ca="1">_xll.DBRW($D$4,$E$7,$E$8,$E$9,$E$10,$E$12,$D210,$E$6,BT$18,BT$17)</f>
        <v>9.36769412161024E-2</v>
      </c>
      <c r="BU210" s="16"/>
      <c r="BV210" s="16"/>
      <c r="BW210" s="16"/>
      <c r="BX210" s="16"/>
      <c r="BY210" s="16">
        <f ca="1">_xll.DBRW($D$4,$E$7,$E$8,$E$9,$E$10,$E$12,$D210,$E$6,BY$18,BY$17)</f>
        <v>-2.9933999999999999E-2</v>
      </c>
      <c r="BZ210" s="16">
        <f ca="1">_xll.DBRW($D$4,$E$7,$E$8,$E$9,$E$10,$E$12,$D210,$E$6,BZ$18,BZ$17)</f>
        <v>6.7225871652349667E-2</v>
      </c>
      <c r="CA210" s="16"/>
      <c r="CB210" s="16"/>
      <c r="CC210" s="16"/>
      <c r="CD210" s="16"/>
      <c r="CE210" s="16">
        <f ca="1">_xll.DBRW($D$4,$E$7,$E$8,$E$9,$E$10,$E$12,$D210,$E$6,CE$18,CE$17)</f>
        <v>-0.12440999999999999</v>
      </c>
      <c r="CF210" s="16">
        <f ca="1">_xll.DBRW($D$4,$E$7,$E$8,$E$9,$E$10,$E$12,$D210,$E$6,CF$18,CF$17)</f>
        <v>0.27940037055752059</v>
      </c>
      <c r="CG210" s="16"/>
      <c r="CH210" s="16"/>
      <c r="CI210" s="16"/>
      <c r="CJ210" s="16"/>
      <c r="CK210" s="16">
        <f ca="1">_xll.DBRW($D$4,$E$7,$E$8,$E$9,$E$10,$E$12,$D210,$E$6,CK$18,CK$17)</f>
        <v>-2.8954760000000003E-2</v>
      </c>
      <c r="CL210" s="16">
        <f ca="1">_xll.DBRW($D$4,$E$7,$E$8,$E$9,$E$10,$E$12,$D210,$E$6,CL$18,CL$17)</f>
        <v>6.5026691370501377E-2</v>
      </c>
      <c r="CM210" s="16"/>
      <c r="CN210" s="16"/>
      <c r="CO210" s="16"/>
      <c r="CP210" s="16"/>
      <c r="CQ210" s="16">
        <f ca="1">_xll.DBRW($D$4,$E$7,$E$8,$E$9,$E$10,$E$12,$D210,$E$6,CQ$18,CQ$17)</f>
        <v>2.0961187959999995E-3</v>
      </c>
      <c r="CR210" s="16">
        <f ca="1">_xll.DBRW($D$4,$E$7,$E$8,$E$9,$E$10,$E$12,$D210,$E$6,CR$18,CR$17)</f>
        <v>0</v>
      </c>
      <c r="CS210" s="16">
        <f ca="1">_xll.DBRW($D$4,$E$7,$E$8,$E$9,$E$10,$E$12,$D210,$E$6,CS$18,CS$17)</f>
        <v>5.808E-2</v>
      </c>
      <c r="CT210" s="16">
        <f ca="1">_xll.DBRW($D$4,$E$7,$E$8,$E$9,$E$10,$E$12,$D210,$E$6,CT$18,CT$17)</f>
        <v>0</v>
      </c>
      <c r="CU210" s="16">
        <f ca="1">_xll.DBRW($D$4,$E$7,$E$8,$E$9,$E$10,$E$12,$D210,$E$6,CU$18,CU$17)</f>
        <v>0</v>
      </c>
      <c r="CV210" s="16">
        <f ca="1">_xll.DBRW($D$4,$E$7,$E$8,$E$9,$E$10,$E$12,$D210,$E$6,CV$18,CV$17)</f>
        <v>0</v>
      </c>
      <c r="CW210" s="16">
        <f ca="1">_xll.DBRW($D$4,$E$7,$E$8,$E$9,$E$10,$E$12,$D210,$E$6,CW$18,CW$17)</f>
        <v>6.0000000000000002E-6</v>
      </c>
      <c r="CX210" s="16">
        <f ca="1">_xll.DBRW($D$4,$E$7,$E$8,$E$9,$E$10,$E$12,$D210,$E$6,CX$18,CX$17)</f>
        <v>0</v>
      </c>
      <c r="CY210" s="16">
        <f ca="1">_xll.DBRW($D$4,$E$7,$E$8,$E$9,$E$10,$E$12,$D210,$E$6,CY$18,CY$17)</f>
        <v>0</v>
      </c>
      <c r="CZ210" s="16">
        <f ca="1">_xll.DBRW($D$4,$E$7,$E$8,$E$9,$E$10,$E$12,$D210,$E$6,CZ$18,CZ$17)</f>
        <v>0</v>
      </c>
      <c r="DA210" s="26">
        <f t="shared" ca="1" si="127"/>
        <v>-2.2356989999999785E-2</v>
      </c>
      <c r="DB210" s="26">
        <f t="shared" ca="1" si="128"/>
        <v>-1.5130300000000003E-3</v>
      </c>
      <c r="DC210" s="26">
        <f t="shared" ca="1" si="129"/>
        <v>0</v>
      </c>
      <c r="DD210" s="26">
        <f t="shared" ca="1" si="130"/>
        <v>0</v>
      </c>
      <c r="DE210" s="26">
        <f t="shared" ca="1" si="131"/>
        <v>0</v>
      </c>
      <c r="DF210" s="26">
        <f t="shared" ca="1" si="132"/>
        <v>0</v>
      </c>
      <c r="DG210" s="26">
        <f t="shared" ca="1" si="133"/>
        <v>0</v>
      </c>
      <c r="DH210" s="26">
        <f t="shared" ca="1" si="134"/>
        <v>-2.0843959999999787E-2</v>
      </c>
      <c r="DI210" s="26">
        <f t="shared" ca="1" si="135"/>
        <v>-3.8174099999999989E-2</v>
      </c>
      <c r="DJ210" s="26">
        <f t="shared" ca="1" si="136"/>
        <v>-4.5972410000000019E-2</v>
      </c>
      <c r="DK210" s="26">
        <f t="shared" ca="1" si="137"/>
        <v>0.15612571132947978</v>
      </c>
      <c r="DL210" s="26"/>
      <c r="DM210" s="26"/>
      <c r="DN210" s="26"/>
      <c r="DO210" s="26"/>
      <c r="DP210" s="26">
        <f t="shared" ca="1" si="138"/>
        <v>1.6675660000000002E-2</v>
      </c>
      <c r="DQ210" s="26">
        <f t="shared" ca="1" si="139"/>
        <v>-3.2177838659463505E-2</v>
      </c>
      <c r="DR210" s="26"/>
      <c r="DS210" s="26"/>
      <c r="DT210" s="26"/>
      <c r="DU210" s="26"/>
      <c r="DV210" s="26">
        <f t="shared" ca="1" si="140"/>
        <v>4.4415299999999887E-3</v>
      </c>
      <c r="DW210" s="26">
        <f t="shared" ca="1" si="141"/>
        <v>-4.606334333714393E-3</v>
      </c>
      <c r="DX210" s="26"/>
      <c r="DY210" s="26"/>
      <c r="DZ210" s="26"/>
      <c r="EA210" s="26"/>
      <c r="EB210" s="26">
        <f t="shared" ca="1" si="142"/>
        <v>1.1328000000000005E-2</v>
      </c>
      <c r="EC210" s="26">
        <f t="shared" ca="1" si="143"/>
        <v>-1.6264820694332771E-3</v>
      </c>
      <c r="ED210" s="26"/>
      <c r="EE210" s="26"/>
      <c r="EF210" s="26"/>
      <c r="EG210" s="26"/>
      <c r="EH210" s="26">
        <f t="shared" ca="1" si="144"/>
        <v>9.362040000000002E-3</v>
      </c>
      <c r="EI210" s="29">
        <f t="shared" ca="1" si="145"/>
        <v>-1.6899261536767289E-2</v>
      </c>
      <c r="EJ210" s="29"/>
      <c r="EK210" s="29"/>
      <c r="EL210" s="29"/>
      <c r="EM210" s="29"/>
      <c r="EN210" s="93"/>
      <c r="EO210" s="29"/>
      <c r="EP210" s="29"/>
      <c r="EQ210" s="29"/>
      <c r="ER210" s="29"/>
      <c r="ES210" s="29"/>
      <c r="ET210" s="29"/>
      <c r="EU210" s="93"/>
      <c r="EV210" s="29"/>
      <c r="EW210" s="29"/>
      <c r="EX210" s="29"/>
      <c r="EY210" s="29"/>
      <c r="EZ210" s="29"/>
      <c r="FA210" s="29"/>
      <c r="FB210" s="93"/>
      <c r="FC210" s="29"/>
      <c r="FD210" s="29"/>
      <c r="FE210" s="29"/>
      <c r="FF210" s="29"/>
      <c r="FG210" s="29"/>
      <c r="FH210" s="29"/>
      <c r="FI210" s="93"/>
      <c r="FJ210" s="29"/>
      <c r="FK210" s="29"/>
      <c r="FL210" s="29"/>
      <c r="FM210" s="29"/>
      <c r="FN210" s="29"/>
      <c r="FO210" s="29"/>
      <c r="FP210" s="93"/>
      <c r="FQ210" s="29"/>
      <c r="FR210" s="29"/>
      <c r="FS210" s="29"/>
      <c r="FT210" s="29"/>
      <c r="FU210" s="29"/>
      <c r="FV210" s="29"/>
    </row>
    <row r="211" spans="1:178" x14ac:dyDescent="0.25">
      <c r="A211" t="str">
        <f ca="1">IF(_xll.TM1RPTELISCONSOLIDATED($D$28,$D211),IF(_xll.TM1RPTELLEV($D$28,$D211)&lt;=3,_xll.TM1RPTELLEV($D$28,$D211),"D"),"N")</f>
        <v>N</v>
      </c>
      <c r="B211" t="str">
        <f ca="1">_xll.DBRA(Server&amp;"Management_organization",$D211,$B$27)</f>
        <v>L</v>
      </c>
      <c r="C211">
        <v>1</v>
      </c>
      <c r="D211" s="2" t="s">
        <v>219</v>
      </c>
      <c r="E211" s="26"/>
      <c r="F211" s="26"/>
      <c r="G211" s="16">
        <f ca="1">_xll.DBRW($D$4,$E$7,$E$8,$E$9,$E$10,$E$12,$D211,$E$6,G$18,G$17)</f>
        <v>-10.511045426999976</v>
      </c>
      <c r="H211" s="16">
        <f ca="1">_xll.DBRW($D$4,$E$7,$E$8,$E$9,$E$10,$E$12,$D211,$E$6,H$18,H$17)</f>
        <v>-8.2668884070000015</v>
      </c>
      <c r="I211" s="16">
        <f ca="1">_xll.DBRW($D$4,$E$7,$E$8,$E$9,$E$10,$E$12,$D211,$E$6,I$18,I$17)</f>
        <v>0</v>
      </c>
      <c r="J211" s="26">
        <f ca="1">_xll.DBRW($D$4,$E$7,$E$8,$E$9,$E$10,$E$12,$D211,$E$6,J$18,J$17)</f>
        <v>-0.38176189000000005</v>
      </c>
      <c r="K211" s="26">
        <f ca="1">_xll.DBRW($D$4,$E$7,$E$8,$E$9,$E$10,$E$12,$D211,$E$6,K$18,K$17)</f>
        <v>0</v>
      </c>
      <c r="L211" s="26">
        <f ca="1">_xll.DBRW($D$4,$E$7,$E$8,$E$9,$E$10,$E$12,$D211,$E$6,L$18,L$17)</f>
        <v>0</v>
      </c>
      <c r="M211" s="26">
        <f ca="1">_xll.DBRW($D$4,$E$7,$E$8,$E$9,$E$10,$E$12,$D211,$E$6,M$18,M$17)</f>
        <v>0</v>
      </c>
      <c r="N211" s="16">
        <f ca="1">_xll.DBRW($D$4,$E$7,$E$8,$E$9,$E$10,$E$12,$D211,$E$6,N$18,N$17)</f>
        <v>-1.8623951299999759</v>
      </c>
      <c r="O211" s="16">
        <f ca="1">_xll.DBRW($D$4,$E$7,$E$8,$E$9,$E$10,$E$12,$D211,$E$6,O$18,O$17)</f>
        <v>73.522514120000011</v>
      </c>
      <c r="P211" s="74">
        <f ca="1">_xll.DBRW($D$4,$E$7,$E$8,$E$9,$E$10,$E$12,$D211,$E$6,P$18,P$17)</f>
        <v>-40.683053489999992</v>
      </c>
      <c r="Q211" s="16">
        <f ca="1">_xll.DBRW($D$4,$E$7,$E$8,$E$9,$E$10,$E$12,$D211,$E$6,Q$18,Q$17)</f>
        <v>0.55334143529965552</v>
      </c>
      <c r="R211" s="16"/>
      <c r="S211" s="16"/>
      <c r="T211" s="16"/>
      <c r="U211" s="16"/>
      <c r="V211" s="16">
        <f ca="1">_xll.DBRW($D$4,$E$7,$E$8,$E$9,$E$10,$E$12,$D211,$E$6,V$18,V$17)</f>
        <v>-5.489738130000001</v>
      </c>
      <c r="W211" s="16">
        <f ca="1">_xll.DBRW($D$4,$E$7,$E$8,$E$9,$E$10,$E$12,$D211,$E$6,W$18,W$17)</f>
        <v>7.4667442969100689E-2</v>
      </c>
      <c r="X211" s="16"/>
      <c r="Y211" s="16"/>
      <c r="Z211" s="16"/>
      <c r="AA211" s="16"/>
      <c r="AB211" s="16">
        <f ca="1">_xll.DBRW($D$4,$E$7,$E$8,$E$9,$E$10,$E$12,$D211,$E$6,AB$18,AB$17)</f>
        <v>-8.1422731400000004</v>
      </c>
      <c r="AC211" s="16">
        <f ca="1">_xll.DBRW($D$4,$E$7,$E$8,$E$9,$E$10,$E$12,$D211,$E$6,AC$18,AC$17)</f>
        <v>0.11074530349588647</v>
      </c>
      <c r="AD211" s="16"/>
      <c r="AE211" s="16"/>
      <c r="AF211" s="16"/>
      <c r="AG211" s="16"/>
      <c r="AH211" s="16">
        <f ca="1">_xll.DBRW($D$4,$E$7,$E$8,$E$9,$E$10,$E$12,$D211,$E$6,AH$18,AH$17)</f>
        <v>-7.9143088400000003</v>
      </c>
      <c r="AI211" s="16">
        <f ca="1">_xll.DBRW($D$4,$E$7,$E$8,$E$9,$E$10,$E$12,$D211,$E$6,AI$18,AI$17)</f>
        <v>0.10764469815439982</v>
      </c>
      <c r="AJ211" s="16"/>
      <c r="AK211" s="16"/>
      <c r="AL211" s="16"/>
      <c r="AM211" s="16"/>
      <c r="AN211" s="16">
        <f ca="1">_xll.DBRW($D$4,$E$7,$E$8,$E$9,$E$10,$E$12,$D211,$E$6,AN$18,AN$17)</f>
        <v>-13.155535649999999</v>
      </c>
      <c r="AO211" s="16">
        <f ca="1">_xll.DBRW($D$4,$E$7,$E$8,$E$9,$E$10,$E$12,$D211,$E$6,AO$18,AO$17)</f>
        <v>0.17893207009390549</v>
      </c>
      <c r="AP211" s="16"/>
      <c r="AQ211" s="16"/>
      <c r="AR211" s="16"/>
      <c r="AS211" s="16"/>
      <c r="AT211" s="16">
        <f ca="1">_xll.DBRW($D$4,$E$7,$E$8,$E$9,$E$10,$E$12,$D211,$E$6,AT$18,AT$17)</f>
        <v>1.1480044809999999</v>
      </c>
      <c r="AU211" s="16">
        <f ca="1">_xll.DBRW($D$4,$E$7,$E$8,$E$9,$E$10,$E$12,$D211,$E$6,AU$18,AU$17)</f>
        <v>0.69001433329999995</v>
      </c>
      <c r="AV211" s="16">
        <f ca="1">_xll.DBRW($D$4,$E$7,$E$8,$E$9,$E$10,$E$12,$D211,$E$6,AV$18,AV$17)</f>
        <v>23.112836999999999</v>
      </c>
      <c r="AW211" s="16">
        <f ca="1">_xll.DBRW($D$4,$E$7,$E$8,$E$9,$E$10,$E$12,$D211,$E$6,AW$18,AW$17)</f>
        <v>0.69001433329999995</v>
      </c>
      <c r="AX211" s="16">
        <f ca="1">_xll.DBRW($D$4,$E$7,$E$8,$E$9,$E$10,$E$12,$D211,$E$6,AX$18,AX$17)</f>
        <v>7.0449774200000004</v>
      </c>
      <c r="AY211" s="16">
        <f ca="1">_xll.DBRW($D$4,$E$7,$E$8,$E$9,$E$10,$E$12,$D211,$E$6,AY$18,AY$17)</f>
        <v>0.69001433329999995</v>
      </c>
      <c r="AZ211" s="16">
        <f ca="1">_xll.DBRW($D$4,$E$7,$E$8,$E$9,$E$10,$E$12,$D211,$E$6,AZ$18,AZ$17)</f>
        <v>3.6549999999999999E-4</v>
      </c>
      <c r="BA211" s="16">
        <f ca="1">_xll.DBRW($D$4,$E$7,$E$8,$E$9,$E$10,$E$12,$D211,$E$6,BA$18,BA$17)</f>
        <v>0.69001433329999995</v>
      </c>
      <c r="BB211" s="16">
        <f ca="1">_xll.DBRW($D$4,$E$7,$E$8,$E$9,$E$10,$E$12,$D211,$E$6,BB$18,BB$17)</f>
        <v>0.69001433329999995</v>
      </c>
      <c r="BC211" s="16">
        <f ca="1">_xll.DBRW($D$4,$E$7,$E$8,$E$9,$E$10,$E$12,$D211,$E$6,BC$18,BC$17)</f>
        <v>0.69001433329999995</v>
      </c>
      <c r="BD211" s="16">
        <f ca="1">_xll.DBRW($D$4,$E$7,$E$8,$E$9,$E$10,$E$12,$D211,$E$6,BD$18,BD$17)</f>
        <v>-4.9780714589699953</v>
      </c>
      <c r="BE211" s="16">
        <f ca="1">_xll.DBRW($D$4,$E$7,$E$8,$E$9,$E$10,$E$12,$D211,$E$6,BE$18,BE$17)</f>
        <v>-8.5463295792699991</v>
      </c>
      <c r="BF211" s="16">
        <f ca="1">_xll.DBRW($D$4,$E$7,$E$8,$E$9,$E$10,$E$12,$D211,$E$6,BF$18,BF$17)</f>
        <v>0</v>
      </c>
      <c r="BG211" s="26">
        <f ca="1">_xll.DBRW($D$4,$E$7,$E$8,$E$9,$E$10,$E$12,$D211,$E$6,BG$18,BG$17)</f>
        <v>-1.5472812939999998</v>
      </c>
      <c r="BH211" s="26">
        <f ca="1">_xll.DBRW($D$4,$E$7,$E$8,$E$9,$E$10,$E$12,$D211,$E$6,BH$18,BH$17)</f>
        <v>0</v>
      </c>
      <c r="BI211" s="26">
        <f ca="1">_xll.DBRW($D$4,$E$7,$E$8,$E$9,$E$10,$E$12,$D211,$E$6,BI$18,BI$17)</f>
        <v>0</v>
      </c>
      <c r="BJ211" s="26">
        <f ca="1">_xll.DBRW($D$4,$E$7,$E$8,$E$9,$E$10,$E$12,$D211,$E$6,BJ$18,BJ$17)</f>
        <v>0</v>
      </c>
      <c r="BK211" s="16">
        <f ca="1">_xll.DBRW($D$4,$E$7,$E$8,$E$9,$E$10,$E$12,$D211,$E$6,BK$18,BK$17)</f>
        <v>5.1155394143000041</v>
      </c>
      <c r="BL211" s="16">
        <f ca="1">_xll.DBRW($D$4,$E$7,$E$8,$E$9,$E$10,$E$12,$D211,$E$6,BL$18,BL$17)</f>
        <v>83.562391054299994</v>
      </c>
      <c r="BM211" s="16">
        <f ca="1">_xll.DBRW($D$4,$E$7,$E$8,$E$9,$E$10,$E$12,$D211,$E$6,BM$18,BM$17)</f>
        <v>-41.308037329999998</v>
      </c>
      <c r="BN211" s="16">
        <f ca="1">_xll.DBRW($D$4,$E$7,$E$8,$E$9,$E$10,$E$12,$D211,$E$6,BN$18,BN$17)</f>
        <v>0.49433766565101595</v>
      </c>
      <c r="BO211" s="16"/>
      <c r="BP211" s="16"/>
      <c r="BQ211" s="16"/>
      <c r="BR211" s="16"/>
      <c r="BS211" s="16">
        <f ca="1">_xll.DBRW($D$4,$E$7,$E$8,$E$9,$E$10,$E$12,$D211,$E$6,BS$18,BS$17)</f>
        <v>-7.531958317</v>
      </c>
      <c r="BT211" s="16">
        <f ca="1">_xll.DBRW($D$4,$E$7,$E$8,$E$9,$E$10,$E$12,$D211,$E$6,BT$18,BT$17)</f>
        <v>9.0135744345870017E-2</v>
      </c>
      <c r="BU211" s="16"/>
      <c r="BV211" s="16"/>
      <c r="BW211" s="16"/>
      <c r="BX211" s="16"/>
      <c r="BY211" s="16">
        <f ca="1">_xll.DBRW($D$4,$E$7,$E$8,$E$9,$E$10,$E$12,$D211,$E$6,BY$18,BY$17)</f>
        <v>-7.8863773040000007</v>
      </c>
      <c r="BZ211" s="16">
        <f ca="1">_xll.DBRW($D$4,$E$7,$E$8,$E$9,$E$10,$E$12,$D211,$E$6,BZ$18,BZ$17)</f>
        <v>9.4377113968355977E-2</v>
      </c>
      <c r="CA211" s="16"/>
      <c r="CB211" s="16"/>
      <c r="CC211" s="16"/>
      <c r="CD211" s="16"/>
      <c r="CE211" s="16">
        <f ca="1">_xll.DBRW($D$4,$E$7,$E$8,$E$9,$E$10,$E$12,$D211,$E$6,CE$18,CE$17)</f>
        <v>-7.1846562049999996</v>
      </c>
      <c r="CF211" s="16">
        <f ca="1">_xll.DBRW($D$4,$E$7,$E$8,$E$9,$E$10,$E$12,$D211,$E$6,CF$18,CF$17)</f>
        <v>8.5979543121633639E-2</v>
      </c>
      <c r="CG211" s="16"/>
      <c r="CH211" s="16"/>
      <c r="CI211" s="16"/>
      <c r="CJ211" s="16"/>
      <c r="CK211" s="16">
        <f ca="1">_xll.DBRW($D$4,$E$7,$E$8,$E$9,$E$10,$E$12,$D211,$E$6,CK$18,CK$17)</f>
        <v>-14.535822484000001</v>
      </c>
      <c r="CL211" s="16">
        <f ca="1">_xll.DBRW($D$4,$E$7,$E$8,$E$9,$E$10,$E$12,$D211,$E$6,CL$18,CL$17)</f>
        <v>0.17395172996610908</v>
      </c>
      <c r="CM211" s="16"/>
      <c r="CN211" s="16"/>
      <c r="CO211" s="16"/>
      <c r="CP211" s="16"/>
      <c r="CQ211" s="16">
        <f ca="1">_xll.DBRW($D$4,$E$7,$E$8,$E$9,$E$10,$E$12,$D211,$E$6,CQ$18,CQ$17)</f>
        <v>1.2146856039999998</v>
      </c>
      <c r="CR211" s="16">
        <f ca="1">_xll.DBRW($D$4,$E$7,$E$8,$E$9,$E$10,$E$12,$D211,$E$6,CR$18,CR$17)</f>
        <v>0.8059301499999999</v>
      </c>
      <c r="CS211" s="16">
        <f ca="1">_xll.DBRW($D$4,$E$7,$E$8,$E$9,$E$10,$E$12,$D211,$E$6,CS$18,CS$17)</f>
        <v>28.407040439999992</v>
      </c>
      <c r="CT211" s="16">
        <f ca="1">_xll.DBRW($D$4,$E$7,$E$8,$E$9,$E$10,$E$12,$D211,$E$6,CT$18,CT$17)</f>
        <v>0.8059301499999999</v>
      </c>
      <c r="CU211" s="16">
        <f ca="1">_xll.DBRW($D$4,$E$7,$E$8,$E$9,$E$10,$E$12,$D211,$E$6,CU$18,CU$17)</f>
        <v>7.1839283129999991</v>
      </c>
      <c r="CV211" s="16">
        <f ca="1">_xll.DBRW($D$4,$E$7,$E$8,$E$9,$E$10,$E$12,$D211,$E$6,CV$18,CV$17)</f>
        <v>0.8059301499999999</v>
      </c>
      <c r="CW211" s="16">
        <f ca="1">_xll.DBRW($D$4,$E$7,$E$8,$E$9,$E$10,$E$12,$D211,$E$6,CW$18,CW$17)</f>
        <v>2.6363636363636362E-4</v>
      </c>
      <c r="CX211" s="16">
        <f ca="1">_xll.DBRW($D$4,$E$7,$E$8,$E$9,$E$10,$E$12,$D211,$E$6,CX$18,CX$17)</f>
        <v>0.8059301499999999</v>
      </c>
      <c r="CY211" s="16">
        <f ca="1">_xll.DBRW($D$4,$E$7,$E$8,$E$9,$E$10,$E$12,$D211,$E$6,CY$18,CY$17)</f>
        <v>0.8059301499999999</v>
      </c>
      <c r="CZ211" s="16">
        <f ca="1">_xll.DBRW($D$4,$E$7,$E$8,$E$9,$E$10,$E$12,$D211,$E$6,CZ$18,CZ$17)</f>
        <v>0.8059301499999999</v>
      </c>
      <c r="DA211" s="26">
        <f t="shared" ca="1" si="127"/>
        <v>-5.5329739680299808</v>
      </c>
      <c r="DB211" s="26">
        <f t="shared" ca="1" si="128"/>
        <v>0.27944117226999765</v>
      </c>
      <c r="DC211" s="26">
        <f t="shared" ca="1" si="129"/>
        <v>0</v>
      </c>
      <c r="DD211" s="26">
        <f t="shared" ca="1" si="130"/>
        <v>1.1655194039999999</v>
      </c>
      <c r="DE211" s="26">
        <f t="shared" ca="1" si="131"/>
        <v>0</v>
      </c>
      <c r="DF211" s="26">
        <f t="shared" ca="1" si="132"/>
        <v>0</v>
      </c>
      <c r="DG211" s="26">
        <f t="shared" ca="1" si="133"/>
        <v>0</v>
      </c>
      <c r="DH211" s="26">
        <f t="shared" ca="1" si="134"/>
        <v>-6.9779345442999805</v>
      </c>
      <c r="DI211" s="26">
        <f t="shared" ca="1" si="135"/>
        <v>-10.039876934299983</v>
      </c>
      <c r="DJ211" s="26">
        <f t="shared" ca="1" si="136"/>
        <v>0.62498384000000584</v>
      </c>
      <c r="DK211" s="26">
        <f t="shared" ca="1" si="137"/>
        <v>5.900376964863957E-2</v>
      </c>
      <c r="DL211" s="26"/>
      <c r="DM211" s="26"/>
      <c r="DN211" s="26"/>
      <c r="DO211" s="26"/>
      <c r="DP211" s="26">
        <f t="shared" ca="1" si="138"/>
        <v>2.042220186999999</v>
      </c>
      <c r="DQ211" s="26">
        <f t="shared" ca="1" si="139"/>
        <v>-1.5468301376769328E-2</v>
      </c>
      <c r="DR211" s="26"/>
      <c r="DS211" s="26"/>
      <c r="DT211" s="26"/>
      <c r="DU211" s="26"/>
      <c r="DV211" s="26">
        <f t="shared" ca="1" si="140"/>
        <v>-0.25589583599999965</v>
      </c>
      <c r="DW211" s="26">
        <f t="shared" ca="1" si="141"/>
        <v>1.6368189527530497E-2</v>
      </c>
      <c r="DX211" s="26"/>
      <c r="DY211" s="26"/>
      <c r="DZ211" s="26"/>
      <c r="EA211" s="26"/>
      <c r="EB211" s="26">
        <f t="shared" ca="1" si="142"/>
        <v>-0.72965263500000077</v>
      </c>
      <c r="EC211" s="26">
        <f t="shared" ca="1" si="143"/>
        <v>2.1665155032766184E-2</v>
      </c>
      <c r="ED211" s="26"/>
      <c r="EE211" s="26"/>
      <c r="EF211" s="26"/>
      <c r="EG211" s="26"/>
      <c r="EH211" s="26">
        <f t="shared" ca="1" si="144"/>
        <v>1.3802868340000014</v>
      </c>
      <c r="EI211" s="29">
        <f t="shared" ca="1" si="145"/>
        <v>4.9803401277964121E-3</v>
      </c>
      <c r="EJ211" s="29"/>
      <c r="EK211" s="29"/>
      <c r="EL211" s="29"/>
      <c r="EM211" s="29"/>
      <c r="EN211" s="93"/>
      <c r="EO211" s="29"/>
      <c r="EP211" s="29"/>
      <c r="EQ211" s="29"/>
      <c r="ER211" s="29"/>
      <c r="ES211" s="29"/>
      <c r="ET211" s="29"/>
      <c r="EU211" s="93"/>
      <c r="EV211" s="29"/>
      <c r="EW211" s="29"/>
      <c r="EX211" s="29"/>
      <c r="EY211" s="29"/>
      <c r="EZ211" s="29"/>
      <c r="FA211" s="29"/>
      <c r="FB211" s="93"/>
      <c r="FC211" s="29"/>
      <c r="FD211" s="29"/>
      <c r="FE211" s="29"/>
      <c r="FF211" s="29"/>
      <c r="FG211" s="29"/>
      <c r="FH211" s="29"/>
      <c r="FI211" s="93"/>
      <c r="FJ211" s="29"/>
      <c r="FK211" s="29"/>
      <c r="FL211" s="29"/>
      <c r="FM211" s="29"/>
      <c r="FN211" s="29"/>
      <c r="FO211" s="29"/>
      <c r="FP211" s="93"/>
      <c r="FQ211" s="29"/>
      <c r="FR211" s="29"/>
      <c r="FS211" s="29"/>
      <c r="FT211" s="29"/>
      <c r="FU211" s="29"/>
      <c r="FV211" s="29"/>
    </row>
    <row r="212" spans="1:178" x14ac:dyDescent="0.25">
      <c r="A212" t="str">
        <f ca="1">IF(_xll.TM1RPTELISCONSOLIDATED($D$28,$D212),IF(_xll.TM1RPTELLEV($D$28,$D212)&lt;=3,_xll.TM1RPTELLEV($D$28,$D212),"D"),"N")</f>
        <v>N</v>
      </c>
      <c r="B212" t="str">
        <f ca="1">_xll.DBRA(Server&amp;"Management_organization",$D212,$B$27)</f>
        <v>L</v>
      </c>
      <c r="C212">
        <v>1</v>
      </c>
      <c r="D212" s="2" t="s">
        <v>220</v>
      </c>
      <c r="E212" s="26"/>
      <c r="F212" s="26"/>
      <c r="G212" s="16">
        <f ca="1">_xll.DBRW($D$4,$E$7,$E$8,$E$9,$E$10,$E$12,$D212,$E$6,G$18,G$17)</f>
        <v>3.246878075800002</v>
      </c>
      <c r="H212" s="16">
        <f ca="1">_xll.DBRW($D$4,$E$7,$E$8,$E$9,$E$10,$E$12,$D212,$E$6,H$18,H$17)</f>
        <v>-1.7051724941999999</v>
      </c>
      <c r="I212" s="16">
        <f ca="1">_xll.DBRW($D$4,$E$7,$E$8,$E$9,$E$10,$E$12,$D212,$E$6,I$18,I$17)</f>
        <v>0</v>
      </c>
      <c r="J212" s="26">
        <f ca="1">_xll.DBRW($D$4,$E$7,$E$8,$E$9,$E$10,$E$12,$D212,$E$6,J$18,J$17)</f>
        <v>-0.13195697000000001</v>
      </c>
      <c r="K212" s="26">
        <f ca="1">_xll.DBRW($D$4,$E$7,$E$8,$E$9,$E$10,$E$12,$D212,$E$6,K$18,K$17)</f>
        <v>0</v>
      </c>
      <c r="L212" s="26">
        <f ca="1">_xll.DBRW($D$4,$E$7,$E$8,$E$9,$E$10,$E$12,$D212,$E$6,L$18,L$17)</f>
        <v>0</v>
      </c>
      <c r="M212" s="26">
        <f ca="1">_xll.DBRW($D$4,$E$7,$E$8,$E$9,$E$10,$E$12,$D212,$E$6,M$18,M$17)</f>
        <v>0</v>
      </c>
      <c r="N212" s="16">
        <f ca="1">_xll.DBRW($D$4,$E$7,$E$8,$E$9,$E$10,$E$12,$D212,$E$6,N$18,N$17)</f>
        <v>5.0840075400000027</v>
      </c>
      <c r="O212" s="16">
        <f ca="1">_xll.DBRW($D$4,$E$7,$E$8,$E$9,$E$10,$E$12,$D212,$E$6,O$18,O$17)</f>
        <v>19.147924369999998</v>
      </c>
      <c r="P212" s="74">
        <f ca="1">_xll.DBRW($D$4,$E$7,$E$8,$E$9,$E$10,$E$12,$D212,$E$6,P$18,P$17)</f>
        <v>-8.2549479199999993</v>
      </c>
      <c r="Q212" s="16">
        <f ca="1">_xll.DBRW($D$4,$E$7,$E$8,$E$9,$E$10,$E$12,$D212,$E$6,Q$18,Q$17)</f>
        <v>0.43111450413567726</v>
      </c>
      <c r="R212" s="16"/>
      <c r="S212" s="16"/>
      <c r="T212" s="16"/>
      <c r="U212" s="16"/>
      <c r="V212" s="16">
        <f ca="1">_xll.DBRW($D$4,$E$7,$E$8,$E$9,$E$10,$E$12,$D212,$E$6,V$18,V$17)</f>
        <v>-1.29361272</v>
      </c>
      <c r="W212" s="16">
        <f ca="1">_xll.DBRW($D$4,$E$7,$E$8,$E$9,$E$10,$E$12,$D212,$E$6,W$18,W$17)</f>
        <v>6.7558900641302252E-2</v>
      </c>
      <c r="X212" s="16"/>
      <c r="Y212" s="16"/>
      <c r="Z212" s="16"/>
      <c r="AA212" s="16"/>
      <c r="AB212" s="16">
        <f ca="1">_xll.DBRW($D$4,$E$7,$E$8,$E$9,$E$10,$E$12,$D212,$E$6,AB$18,AB$17)</f>
        <v>-1.2011191199999998</v>
      </c>
      <c r="AC212" s="16">
        <f ca="1">_xll.DBRW($D$4,$E$7,$E$8,$E$9,$E$10,$E$12,$D212,$E$6,AC$18,AC$17)</f>
        <v>6.2728424073047448E-2</v>
      </c>
      <c r="AD212" s="16"/>
      <c r="AE212" s="16"/>
      <c r="AF212" s="16"/>
      <c r="AG212" s="16"/>
      <c r="AH212" s="16">
        <f ca="1">_xll.DBRW($D$4,$E$7,$E$8,$E$9,$E$10,$E$12,$D212,$E$6,AH$18,AH$17)</f>
        <v>-1.6521559099999994</v>
      </c>
      <c r="AI212" s="16">
        <f ca="1">_xll.DBRW($D$4,$E$7,$E$8,$E$9,$E$10,$E$12,$D212,$E$6,AI$18,AI$17)</f>
        <v>8.6283812181152858E-2</v>
      </c>
      <c r="AJ212" s="16"/>
      <c r="AK212" s="16"/>
      <c r="AL212" s="16"/>
      <c r="AM212" s="16"/>
      <c r="AN212" s="16">
        <f ca="1">_xll.DBRW($D$4,$E$7,$E$8,$E$9,$E$10,$E$12,$D212,$E$6,AN$18,AN$17)</f>
        <v>-1.6620811599999998</v>
      </c>
      <c r="AO212" s="16">
        <f ca="1">_xll.DBRW($D$4,$E$7,$E$8,$E$9,$E$10,$E$12,$D212,$E$6,AO$18,AO$17)</f>
        <v>8.6802158180866049E-2</v>
      </c>
      <c r="AP212" s="16"/>
      <c r="AQ212" s="16"/>
      <c r="AR212" s="16"/>
      <c r="AS212" s="16"/>
      <c r="AT212" s="16">
        <f ca="1">_xll.DBRW($D$4,$E$7,$E$8,$E$9,$E$10,$E$12,$D212,$E$6,AT$18,AT$17)</f>
        <v>0.2319354585</v>
      </c>
      <c r="AU212" s="16">
        <f ca="1">_xll.DBRW($D$4,$E$7,$E$8,$E$9,$E$10,$E$12,$D212,$E$6,AU$18,AU$17)</f>
        <v>0.13920054999999998</v>
      </c>
      <c r="AV212" s="16">
        <f ca="1">_xll.DBRW($D$4,$E$7,$E$8,$E$9,$E$10,$E$12,$D212,$E$6,AV$18,AV$17)</f>
        <v>4.0210119999999998</v>
      </c>
      <c r="AW212" s="16">
        <f ca="1">_xll.DBRW($D$4,$E$7,$E$8,$E$9,$E$10,$E$12,$D212,$E$6,AW$18,AW$17)</f>
        <v>0.13920054999999998</v>
      </c>
      <c r="AX212" s="16">
        <f ca="1">_xll.DBRW($D$4,$E$7,$E$8,$E$9,$E$10,$E$12,$D212,$E$6,AX$18,AX$17)</f>
        <v>1.0659613949999998</v>
      </c>
      <c r="AY212" s="16">
        <f ca="1">_xll.DBRW($D$4,$E$7,$E$8,$E$9,$E$10,$E$12,$D212,$E$6,AY$18,AY$17)</f>
        <v>0.13920054999999998</v>
      </c>
      <c r="AZ212" s="16">
        <f ca="1">_xll.DBRW($D$4,$E$7,$E$8,$E$9,$E$10,$E$12,$D212,$E$6,AZ$18,AZ$17)</f>
        <v>6.6099999999999994E-5</v>
      </c>
      <c r="BA212" s="16">
        <f ca="1">_xll.DBRW($D$4,$E$7,$E$8,$E$9,$E$10,$E$12,$D212,$E$6,BA$18,BA$17)</f>
        <v>0.13920054999999998</v>
      </c>
      <c r="BB212" s="16">
        <f ca="1">_xll.DBRW($D$4,$E$7,$E$8,$E$9,$E$10,$E$12,$D212,$E$6,BB$18,BB$17)</f>
        <v>0.13920054999999998</v>
      </c>
      <c r="BC212" s="16">
        <f ca="1">_xll.DBRW($D$4,$E$7,$E$8,$E$9,$E$10,$E$12,$D212,$E$6,BC$18,BC$17)</f>
        <v>0.13920054999999998</v>
      </c>
      <c r="BD212" s="16">
        <f ca="1">_xll.DBRW($D$4,$E$7,$E$8,$E$9,$E$10,$E$12,$D212,$E$6,BD$18,BD$17)</f>
        <v>2.6222115636970051</v>
      </c>
      <c r="BE212" s="16">
        <f ca="1">_xll.DBRW($D$4,$E$7,$E$8,$E$9,$E$10,$E$12,$D212,$E$6,BE$18,BE$17)</f>
        <v>-1.867909543433</v>
      </c>
      <c r="BF212" s="16">
        <f ca="1">_xll.DBRW($D$4,$E$7,$E$8,$E$9,$E$10,$E$12,$D212,$E$6,BF$18,BF$17)</f>
        <v>0</v>
      </c>
      <c r="BG212" s="26">
        <f ca="1">_xll.DBRW($D$4,$E$7,$E$8,$E$9,$E$10,$E$12,$D212,$E$6,BG$18,BG$17)</f>
        <v>-0.13933158279999999</v>
      </c>
      <c r="BH212" s="26">
        <f ca="1">_xll.DBRW($D$4,$E$7,$E$8,$E$9,$E$10,$E$12,$D212,$E$6,BH$18,BH$17)</f>
        <v>0</v>
      </c>
      <c r="BI212" s="26">
        <f ca="1">_xll.DBRW($D$4,$E$7,$E$8,$E$9,$E$10,$E$12,$D212,$E$6,BI$18,BI$17)</f>
        <v>0</v>
      </c>
      <c r="BJ212" s="26">
        <f ca="1">_xll.DBRW($D$4,$E$7,$E$8,$E$9,$E$10,$E$12,$D212,$E$6,BJ$18,BJ$17)</f>
        <v>0</v>
      </c>
      <c r="BK212" s="16">
        <f ca="1">_xll.DBRW($D$4,$E$7,$E$8,$E$9,$E$10,$E$12,$D212,$E$6,BK$18,BK$17)</f>
        <v>4.6294526899300044</v>
      </c>
      <c r="BL212" s="16">
        <f ca="1">_xll.DBRW($D$4,$E$7,$E$8,$E$9,$E$10,$E$12,$D212,$E$6,BL$18,BL$17)</f>
        <v>20.604269820000003</v>
      </c>
      <c r="BM212" s="16">
        <f ca="1">_xll.DBRW($D$4,$E$7,$E$8,$E$9,$E$10,$E$12,$D212,$E$6,BM$18,BM$17)</f>
        <v>-9.4312009460000006</v>
      </c>
      <c r="BN212" s="16">
        <f ca="1">_xll.DBRW($D$4,$E$7,$E$8,$E$9,$E$10,$E$12,$D212,$E$6,BN$18,BN$17)</f>
        <v>0.45773041356920063</v>
      </c>
      <c r="BO212" s="16"/>
      <c r="BP212" s="16"/>
      <c r="BQ212" s="16"/>
      <c r="BR212" s="16"/>
      <c r="BS212" s="16">
        <f ca="1">_xll.DBRW($D$4,$E$7,$E$8,$E$9,$E$10,$E$12,$D212,$E$6,BS$18,BS$17)</f>
        <v>-1.3703401039999998</v>
      </c>
      <c r="BT212" s="16">
        <f ca="1">_xll.DBRW($D$4,$E$7,$E$8,$E$9,$E$10,$E$12,$D212,$E$6,BT$18,BT$17)</f>
        <v>6.6507579058678809E-2</v>
      </c>
      <c r="BU212" s="16"/>
      <c r="BV212" s="16"/>
      <c r="BW212" s="16"/>
      <c r="BX212" s="16"/>
      <c r="BY212" s="16">
        <f ca="1">_xll.DBRW($D$4,$E$7,$E$8,$E$9,$E$10,$E$12,$D212,$E$6,BY$18,BY$17)</f>
        <v>-1.2961890630000001</v>
      </c>
      <c r="BZ212" s="16">
        <f ca="1">_xll.DBRW($D$4,$E$7,$E$8,$E$9,$E$10,$E$12,$D212,$E$6,BZ$18,BZ$17)</f>
        <v>6.2908759898971267E-2</v>
      </c>
      <c r="CA212" s="16"/>
      <c r="CB212" s="16"/>
      <c r="CC212" s="16"/>
      <c r="CD212" s="16"/>
      <c r="CE212" s="16">
        <f ca="1">_xll.DBRW($D$4,$E$7,$E$8,$E$9,$E$10,$E$12,$D212,$E$6,CE$18,CE$17)</f>
        <v>-1.6125366400000001</v>
      </c>
      <c r="CF212" s="16">
        <f ca="1">_xll.DBRW($D$4,$E$7,$E$8,$E$9,$E$10,$E$12,$D212,$E$6,CF$18,CF$17)</f>
        <v>7.8262256031745164E-2</v>
      </c>
      <c r="CG212" s="16"/>
      <c r="CH212" s="16"/>
      <c r="CI212" s="16"/>
      <c r="CJ212" s="16"/>
      <c r="CK212" s="16">
        <f ca="1">_xll.DBRW($D$4,$E$7,$E$8,$E$9,$E$10,$E$12,$D212,$E$6,CK$18,CK$17)</f>
        <v>-2.26455037707</v>
      </c>
      <c r="CL212" s="16">
        <f ca="1">_xll.DBRW($D$4,$E$7,$E$8,$E$9,$E$10,$E$12,$D212,$E$6,CL$18,CL$17)</f>
        <v>0.10990684925276327</v>
      </c>
      <c r="CM212" s="16"/>
      <c r="CN212" s="16"/>
      <c r="CO212" s="16"/>
      <c r="CP212" s="16"/>
      <c r="CQ212" s="16">
        <f ca="1">_xll.DBRW($D$4,$E$7,$E$8,$E$9,$E$10,$E$12,$D212,$E$6,CQ$18,CQ$17)</f>
        <v>0.26612727289999993</v>
      </c>
      <c r="CR212" s="16">
        <f ca="1">_xll.DBRW($D$4,$E$7,$E$8,$E$9,$E$10,$E$12,$D212,$E$6,CR$18,CR$17)</f>
        <v>0.16198600639999999</v>
      </c>
      <c r="CS212" s="16">
        <f ca="1">_xll.DBRW($D$4,$E$7,$E$8,$E$9,$E$10,$E$12,$D212,$E$6,CS$18,CS$17)</f>
        <v>4.8197630269999996</v>
      </c>
      <c r="CT212" s="16">
        <f ca="1">_xll.DBRW($D$4,$E$7,$E$8,$E$9,$E$10,$E$12,$D212,$E$6,CT$18,CT$17)</f>
        <v>0.16198600639999999</v>
      </c>
      <c r="CU212" s="16">
        <f ca="1">_xll.DBRW($D$4,$E$7,$E$8,$E$9,$E$10,$E$12,$D212,$E$6,CU$18,CU$17)</f>
        <v>1.2161916102900001</v>
      </c>
      <c r="CV212" s="16">
        <f ca="1">_xll.DBRW($D$4,$E$7,$E$8,$E$9,$E$10,$E$12,$D212,$E$6,CV$18,CV$17)</f>
        <v>0.16198600639999999</v>
      </c>
      <c r="CW212" s="16">
        <f ca="1">_xll.DBRW($D$4,$E$7,$E$8,$E$9,$E$10,$E$12,$D212,$E$6,CW$18,CW$17)</f>
        <v>6.2818181818181815E-5</v>
      </c>
      <c r="CX212" s="16">
        <f ca="1">_xll.DBRW($D$4,$E$7,$E$8,$E$9,$E$10,$E$12,$D212,$E$6,CX$18,CX$17)</f>
        <v>0.16198600639999999</v>
      </c>
      <c r="CY212" s="16">
        <f ca="1">_xll.DBRW($D$4,$E$7,$E$8,$E$9,$E$10,$E$12,$D212,$E$6,CY$18,CY$17)</f>
        <v>0.16198600639999999</v>
      </c>
      <c r="CZ212" s="16">
        <f ca="1">_xll.DBRW($D$4,$E$7,$E$8,$E$9,$E$10,$E$12,$D212,$E$6,CZ$18,CZ$17)</f>
        <v>0.16198600639999999</v>
      </c>
      <c r="DA212" s="26">
        <f t="shared" ca="1" si="127"/>
        <v>0.62466651210299684</v>
      </c>
      <c r="DB212" s="26">
        <f t="shared" ca="1" si="128"/>
        <v>0.16273704923300003</v>
      </c>
      <c r="DC212" s="26">
        <f t="shared" ca="1" si="129"/>
        <v>0</v>
      </c>
      <c r="DD212" s="26">
        <f t="shared" ca="1" si="130"/>
        <v>7.3746127999999855E-3</v>
      </c>
      <c r="DE212" s="26">
        <f t="shared" ca="1" si="131"/>
        <v>0</v>
      </c>
      <c r="DF212" s="26">
        <f t="shared" ca="1" si="132"/>
        <v>0</v>
      </c>
      <c r="DG212" s="26">
        <f t="shared" ca="1" si="133"/>
        <v>0</v>
      </c>
      <c r="DH212" s="26">
        <f t="shared" ca="1" si="134"/>
        <v>0.4545548500699983</v>
      </c>
      <c r="DI212" s="26">
        <f t="shared" ca="1" si="135"/>
        <v>-1.4563454500000041</v>
      </c>
      <c r="DJ212" s="26">
        <f t="shared" ca="1" si="136"/>
        <v>1.1762530260000013</v>
      </c>
      <c r="DK212" s="26">
        <f t="shared" ca="1" si="137"/>
        <v>-2.6615909433523377E-2</v>
      </c>
      <c r="DL212" s="26"/>
      <c r="DM212" s="26"/>
      <c r="DN212" s="26"/>
      <c r="DO212" s="26"/>
      <c r="DP212" s="26">
        <f t="shared" ca="1" si="138"/>
        <v>7.6727383999999788E-2</v>
      </c>
      <c r="DQ212" s="26">
        <f t="shared" ca="1" si="139"/>
        <v>1.0513215826234434E-3</v>
      </c>
      <c r="DR212" s="26"/>
      <c r="DS212" s="26"/>
      <c r="DT212" s="26"/>
      <c r="DU212" s="26"/>
      <c r="DV212" s="26">
        <f t="shared" ca="1" si="140"/>
        <v>9.5069943000000379E-2</v>
      </c>
      <c r="DW212" s="26">
        <f t="shared" ca="1" si="141"/>
        <v>-1.8033582592381914E-4</v>
      </c>
      <c r="DX212" s="26"/>
      <c r="DY212" s="26"/>
      <c r="DZ212" s="26"/>
      <c r="EA212" s="26"/>
      <c r="EB212" s="26">
        <f t="shared" ca="1" si="142"/>
        <v>-3.9619269999999318E-2</v>
      </c>
      <c r="EC212" s="26">
        <f t="shared" ca="1" si="143"/>
        <v>8.0215561494076937E-3</v>
      </c>
      <c r="ED212" s="26"/>
      <c r="EE212" s="26"/>
      <c r="EF212" s="26"/>
      <c r="EG212" s="26"/>
      <c r="EH212" s="26">
        <f t="shared" ca="1" si="144"/>
        <v>0.60246921707000012</v>
      </c>
      <c r="EI212" s="29">
        <f t="shared" ca="1" si="145"/>
        <v>-2.3104691071897221E-2</v>
      </c>
      <c r="EJ212" s="29"/>
      <c r="EK212" s="29"/>
      <c r="EL212" s="29"/>
      <c r="EM212" s="29"/>
      <c r="EN212" s="93"/>
      <c r="EO212" s="29"/>
      <c r="EP212" s="29"/>
      <c r="EQ212" s="29"/>
      <c r="ER212" s="29"/>
      <c r="ES212" s="29"/>
      <c r="ET212" s="29"/>
      <c r="EU212" s="93"/>
      <c r="EV212" s="29"/>
      <c r="EW212" s="29"/>
      <c r="EX212" s="29"/>
      <c r="EY212" s="29"/>
      <c r="EZ212" s="29"/>
      <c r="FA212" s="29"/>
      <c r="FB212" s="93"/>
      <c r="FC212" s="29"/>
      <c r="FD212" s="29"/>
      <c r="FE212" s="29"/>
      <c r="FF212" s="29"/>
      <c r="FG212" s="29"/>
      <c r="FH212" s="29"/>
      <c r="FI212" s="93"/>
      <c r="FJ212" s="29"/>
      <c r="FK212" s="29"/>
      <c r="FL212" s="29"/>
      <c r="FM212" s="29"/>
      <c r="FN212" s="29"/>
      <c r="FO212" s="29"/>
      <c r="FP212" s="93"/>
      <c r="FQ212" s="29"/>
      <c r="FR212" s="29"/>
      <c r="FS212" s="29"/>
      <c r="FT212" s="29"/>
      <c r="FU212" s="29"/>
      <c r="FV212" s="29"/>
    </row>
    <row r="213" spans="1:178" x14ac:dyDescent="0.25">
      <c r="A213" t="str">
        <f ca="1">IF(_xll.TM1RPTELISCONSOLIDATED($D$28,$D213),IF(_xll.TM1RPTELLEV($D$28,$D213)&lt;=3,_xll.TM1RPTELLEV($D$28,$D213),"D"),"N")</f>
        <v>N</v>
      </c>
      <c r="B213" t="str">
        <f ca="1">_xll.DBRA(Server&amp;"Management_organization",$D213,$B$27)</f>
        <v>L</v>
      </c>
      <c r="C213">
        <v>1</v>
      </c>
      <c r="D213" s="2" t="s">
        <v>221</v>
      </c>
      <c r="E213" s="26"/>
      <c r="F213" s="26"/>
      <c r="G213" s="16">
        <f ca="1">_xll.DBRW($D$4,$E$7,$E$8,$E$9,$E$10,$E$12,$D213,$E$6,G$18,G$17)</f>
        <v>-1.0212013309999921</v>
      </c>
      <c r="H213" s="16">
        <f ca="1">_xll.DBRW($D$4,$E$7,$E$8,$E$9,$E$10,$E$12,$D213,$E$6,H$18,H$17)</f>
        <v>-4.5248026109999993</v>
      </c>
      <c r="I213" s="16">
        <f ca="1">_xll.DBRW($D$4,$E$7,$E$8,$E$9,$E$10,$E$12,$D213,$E$6,I$18,I$17)</f>
        <v>0</v>
      </c>
      <c r="J213" s="26">
        <f ca="1">_xll.DBRW($D$4,$E$7,$E$8,$E$9,$E$10,$E$12,$D213,$E$6,J$18,J$17)</f>
        <v>-0.34673194000000002</v>
      </c>
      <c r="K213" s="26">
        <f ca="1">_xll.DBRW($D$4,$E$7,$E$8,$E$9,$E$10,$E$12,$D213,$E$6,K$18,K$17)</f>
        <v>0</v>
      </c>
      <c r="L213" s="26">
        <f ca="1">_xll.DBRW($D$4,$E$7,$E$8,$E$9,$E$10,$E$12,$D213,$E$6,L$18,L$17)</f>
        <v>0</v>
      </c>
      <c r="M213" s="26">
        <f ca="1">_xll.DBRW($D$4,$E$7,$E$8,$E$9,$E$10,$E$12,$D213,$E$6,M$18,M$17)</f>
        <v>0</v>
      </c>
      <c r="N213" s="16">
        <f ca="1">_xll.DBRW($D$4,$E$7,$E$8,$E$9,$E$10,$E$12,$D213,$E$6,N$18,N$17)</f>
        <v>3.8503332200000076</v>
      </c>
      <c r="O213" s="16">
        <f ca="1">_xll.DBRW($D$4,$E$7,$E$8,$E$9,$E$10,$E$12,$D213,$E$6,O$18,O$17)</f>
        <v>46.079677080000003</v>
      </c>
      <c r="P213" s="74">
        <f ca="1">_xll.DBRW($D$4,$E$7,$E$8,$E$9,$E$10,$E$12,$D213,$E$6,P$18,P$17)</f>
        <v>-23.887165900000003</v>
      </c>
      <c r="Q213" s="16">
        <f ca="1">_xll.DBRW($D$4,$E$7,$E$8,$E$9,$E$10,$E$12,$D213,$E$6,Q$18,Q$17)</f>
        <v>0.51838830941738012</v>
      </c>
      <c r="R213" s="16"/>
      <c r="S213" s="16"/>
      <c r="T213" s="16"/>
      <c r="U213" s="16"/>
      <c r="V213" s="16">
        <f ca="1">_xll.DBRW($D$4,$E$7,$E$8,$E$9,$E$10,$E$12,$D213,$E$6,V$18,V$17)</f>
        <v>-3.5331192499999995</v>
      </c>
      <c r="W213" s="16">
        <f ca="1">_xll.DBRW($D$4,$E$7,$E$8,$E$9,$E$10,$E$12,$D213,$E$6,W$18,W$17)</f>
        <v>7.6674132153011151E-2</v>
      </c>
      <c r="X213" s="16"/>
      <c r="Y213" s="16"/>
      <c r="Z213" s="16"/>
      <c r="AA213" s="16"/>
      <c r="AB213" s="16">
        <f ca="1">_xll.DBRW($D$4,$E$7,$E$8,$E$9,$E$10,$E$12,$D213,$E$6,AB$18,AB$17)</f>
        <v>-3.8362869099999997</v>
      </c>
      <c r="AC213" s="16">
        <f ca="1">_xll.DBRW($D$4,$E$7,$E$8,$E$9,$E$10,$E$12,$D213,$E$6,AC$18,AC$17)</f>
        <v>8.3253337547043407E-2</v>
      </c>
      <c r="AD213" s="16"/>
      <c r="AE213" s="16"/>
      <c r="AF213" s="16"/>
      <c r="AG213" s="16"/>
      <c r="AH213" s="16">
        <f ca="1">_xll.DBRW($D$4,$E$7,$E$8,$E$9,$E$10,$E$12,$D213,$E$6,AH$18,AH$17)</f>
        <v>-4.5020195899999997</v>
      </c>
      <c r="AI213" s="16">
        <f ca="1">_xll.DBRW($D$4,$E$7,$E$8,$E$9,$E$10,$E$12,$D213,$E$6,AI$18,AI$17)</f>
        <v>9.7700762576611339E-2</v>
      </c>
      <c r="AJ213" s="16"/>
      <c r="AK213" s="16"/>
      <c r="AL213" s="16"/>
      <c r="AM213" s="16"/>
      <c r="AN213" s="16">
        <f ca="1">_xll.DBRW($D$4,$E$7,$E$8,$E$9,$E$10,$E$12,$D213,$E$6,AN$18,AN$17)</f>
        <v>-6.4707522100000006</v>
      </c>
      <c r="AO213" s="16">
        <f ca="1">_xll.DBRW($D$4,$E$7,$E$8,$E$9,$E$10,$E$12,$D213,$E$6,AO$18,AO$17)</f>
        <v>0.14042529418697913</v>
      </c>
      <c r="AP213" s="16"/>
      <c r="AQ213" s="16"/>
      <c r="AR213" s="16"/>
      <c r="AS213" s="16"/>
      <c r="AT213" s="16">
        <f ca="1">_xll.DBRW($D$4,$E$7,$E$8,$E$9,$E$10,$E$12,$D213,$E$6,AT$18,AT$17)</f>
        <v>0.6693667163</v>
      </c>
      <c r="AU213" s="16">
        <f ca="1">_xll.DBRW($D$4,$E$7,$E$8,$E$9,$E$10,$E$12,$D213,$E$6,AU$18,AU$17)</f>
        <v>0.42765791670000003</v>
      </c>
      <c r="AV213" s="16">
        <f ca="1">_xll.DBRW($D$4,$E$7,$E$8,$E$9,$E$10,$E$12,$D213,$E$6,AV$18,AV$17)</f>
        <v>12.567394999999999</v>
      </c>
      <c r="AW213" s="16">
        <f ca="1">_xll.DBRW($D$4,$E$7,$E$8,$E$9,$E$10,$E$12,$D213,$E$6,AW$18,AW$17)</f>
        <v>0.42765791670000003</v>
      </c>
      <c r="AX213" s="16">
        <f ca="1">_xll.DBRW($D$4,$E$7,$E$8,$E$9,$E$10,$E$12,$D213,$E$6,AX$18,AX$17)</f>
        <v>3.5253215400000002</v>
      </c>
      <c r="AY213" s="16">
        <f ca="1">_xll.DBRW($D$4,$E$7,$E$8,$E$9,$E$10,$E$12,$D213,$E$6,AY$18,AY$17)</f>
        <v>0.42765791670000003</v>
      </c>
      <c r="AZ213" s="16">
        <f ca="1">_xll.DBRW($D$4,$E$7,$E$8,$E$9,$E$10,$E$12,$D213,$E$6,AZ$18,AZ$17)</f>
        <v>2.3440000000000001E-4</v>
      </c>
      <c r="BA213" s="16">
        <f ca="1">_xll.DBRW($D$4,$E$7,$E$8,$E$9,$E$10,$E$12,$D213,$E$6,BA$18,BA$17)</f>
        <v>0.42765791670000003</v>
      </c>
      <c r="BB213" s="16">
        <f ca="1">_xll.DBRW($D$4,$E$7,$E$8,$E$9,$E$10,$E$12,$D213,$E$6,BB$18,BB$17)</f>
        <v>0.42765791670000003</v>
      </c>
      <c r="BC213" s="16">
        <f ca="1">_xll.DBRW($D$4,$E$7,$E$8,$E$9,$E$10,$E$12,$D213,$E$6,BC$18,BC$17)</f>
        <v>0.42765791670000003</v>
      </c>
      <c r="BD213" s="16">
        <f ca="1">_xll.DBRW($D$4,$E$7,$E$8,$E$9,$E$10,$E$12,$D213,$E$6,BD$18,BD$17)</f>
        <v>1.044412158706709</v>
      </c>
      <c r="BE213" s="16">
        <f ca="1">_xll.DBRW($D$4,$E$7,$E$8,$E$9,$E$10,$E$12,$D213,$E$6,BE$18,BE$17)</f>
        <v>-5.1977817434232998</v>
      </c>
      <c r="BF213" s="16">
        <f ca="1">_xll.DBRW($D$4,$E$7,$E$8,$E$9,$E$10,$E$12,$D213,$E$6,BF$18,BF$17)</f>
        <v>0</v>
      </c>
      <c r="BG213" s="26">
        <f ca="1">_xll.DBRW($D$4,$E$7,$E$8,$E$9,$E$10,$E$12,$D213,$E$6,BG$18,BG$17)</f>
        <v>-0.44872746779999995</v>
      </c>
      <c r="BH213" s="26">
        <f ca="1">_xll.DBRW($D$4,$E$7,$E$8,$E$9,$E$10,$E$12,$D213,$E$6,BH$18,BH$17)</f>
        <v>0</v>
      </c>
      <c r="BI213" s="26">
        <f ca="1">_xll.DBRW($D$4,$E$7,$E$8,$E$9,$E$10,$E$12,$D213,$E$6,BI$18,BI$17)</f>
        <v>0</v>
      </c>
      <c r="BJ213" s="26">
        <f ca="1">_xll.DBRW($D$4,$E$7,$E$8,$E$9,$E$10,$E$12,$D213,$E$6,BJ$18,BJ$17)</f>
        <v>0</v>
      </c>
      <c r="BK213" s="16">
        <f ca="1">_xll.DBRW($D$4,$E$7,$E$8,$E$9,$E$10,$E$12,$D213,$E$6,BK$18,BK$17)</f>
        <v>6.6909213699300087</v>
      </c>
      <c r="BL213" s="16">
        <f ca="1">_xll.DBRW($D$4,$E$7,$E$8,$E$9,$E$10,$E$12,$D213,$E$6,BL$18,BL$17)</f>
        <v>51.970793747800002</v>
      </c>
      <c r="BM213" s="16">
        <f ca="1">_xll.DBRW($D$4,$E$7,$E$8,$E$9,$E$10,$E$12,$D213,$E$6,BM$18,BM$17)</f>
        <v>-25.444271019999999</v>
      </c>
      <c r="BN213" s="16">
        <f ca="1">_xll.DBRW($D$4,$E$7,$E$8,$E$9,$E$10,$E$12,$D213,$E$6,BN$18,BN$17)</f>
        <v>0.48958788552420546</v>
      </c>
      <c r="BO213" s="16"/>
      <c r="BP213" s="16"/>
      <c r="BQ213" s="16"/>
      <c r="BR213" s="16"/>
      <c r="BS213" s="16">
        <f ca="1">_xll.DBRW($D$4,$E$7,$E$8,$E$9,$E$10,$E$12,$D213,$E$6,BS$18,BS$17)</f>
        <v>-3.0399946884999993</v>
      </c>
      <c r="BT213" s="16">
        <f ca="1">_xll.DBRW($D$4,$E$7,$E$8,$E$9,$E$10,$E$12,$D213,$E$6,BT$18,BT$17)</f>
        <v>5.8494290144042428E-2</v>
      </c>
      <c r="BU213" s="16"/>
      <c r="BV213" s="16"/>
      <c r="BW213" s="16"/>
      <c r="BX213" s="16"/>
      <c r="BY213" s="16">
        <f ca="1">_xll.DBRW($D$4,$E$7,$E$8,$E$9,$E$10,$E$12,$D213,$E$6,BY$18,BY$17)</f>
        <v>-4.1247861020700007</v>
      </c>
      <c r="BZ213" s="16">
        <f ca="1">_xll.DBRW($D$4,$E$7,$E$8,$E$9,$E$10,$E$12,$D213,$E$6,BZ$18,BZ$17)</f>
        <v>7.9367387038313392E-2</v>
      </c>
      <c r="CA213" s="16"/>
      <c r="CB213" s="16"/>
      <c r="CC213" s="16"/>
      <c r="CD213" s="16"/>
      <c r="CE213" s="16">
        <f ca="1">_xll.DBRW($D$4,$E$7,$E$8,$E$9,$E$10,$E$12,$D213,$E$6,CE$18,CE$17)</f>
        <v>-4.9626776967000001</v>
      </c>
      <c r="CF213" s="16">
        <f ca="1">_xll.DBRW($D$4,$E$7,$E$8,$E$9,$E$10,$E$12,$D213,$E$6,CF$18,CF$17)</f>
        <v>9.5489742196020966E-2</v>
      </c>
      <c r="CG213" s="16"/>
      <c r="CH213" s="16"/>
      <c r="CI213" s="16"/>
      <c r="CJ213" s="16"/>
      <c r="CK213" s="16">
        <f ca="1">_xll.DBRW($D$4,$E$7,$E$8,$E$9,$E$10,$E$12,$D213,$E$6,CK$18,CK$17)</f>
        <v>-7.7081428705999988</v>
      </c>
      <c r="CL213" s="16">
        <f ca="1">_xll.DBRW($D$4,$E$7,$E$8,$E$9,$E$10,$E$12,$D213,$E$6,CL$18,CL$17)</f>
        <v>0.14831682017414435</v>
      </c>
      <c r="CM213" s="16"/>
      <c r="CN213" s="16"/>
      <c r="CO213" s="16"/>
      <c r="CP213" s="16"/>
      <c r="CQ213" s="16">
        <f ca="1">_xll.DBRW($D$4,$E$7,$E$8,$E$9,$E$10,$E$12,$D213,$E$6,CQ$18,CQ$17)</f>
        <v>0.72955629359999996</v>
      </c>
      <c r="CR213" s="16">
        <f ca="1">_xll.DBRW($D$4,$E$7,$E$8,$E$9,$E$10,$E$12,$D213,$E$6,CR$18,CR$17)</f>
        <v>0.48371574939999995</v>
      </c>
      <c r="CS213" s="16">
        <f ca="1">_xll.DBRW($D$4,$E$7,$E$8,$E$9,$E$10,$E$12,$D213,$E$6,CS$18,CS$17)</f>
        <v>15.59793923</v>
      </c>
      <c r="CT213" s="16">
        <f ca="1">_xll.DBRW($D$4,$E$7,$E$8,$E$9,$E$10,$E$12,$D213,$E$6,CT$18,CT$17)</f>
        <v>0.48371574939999995</v>
      </c>
      <c r="CU213" s="16">
        <f ca="1">_xll.DBRW($D$4,$E$7,$E$8,$E$9,$E$10,$E$12,$D213,$E$6,CU$18,CU$17)</f>
        <v>3.7384399620000002</v>
      </c>
      <c r="CV213" s="16">
        <f ca="1">_xll.DBRW($D$4,$E$7,$E$8,$E$9,$E$10,$E$12,$D213,$E$6,CV$18,CV$17)</f>
        <v>0.48371574939999995</v>
      </c>
      <c r="CW213" s="16">
        <f ca="1">_xll.DBRW($D$4,$E$7,$E$8,$E$9,$E$10,$E$12,$D213,$E$6,CW$18,CW$17)</f>
        <v>1.9700000000000002E-4</v>
      </c>
      <c r="CX213" s="16">
        <f ca="1">_xll.DBRW($D$4,$E$7,$E$8,$E$9,$E$10,$E$12,$D213,$E$6,CX$18,CX$17)</f>
        <v>0.48371574939999995</v>
      </c>
      <c r="CY213" s="16">
        <f ca="1">_xll.DBRW($D$4,$E$7,$E$8,$E$9,$E$10,$E$12,$D213,$E$6,CY$18,CY$17)</f>
        <v>0.48371574939999995</v>
      </c>
      <c r="CZ213" s="16">
        <f ca="1">_xll.DBRW($D$4,$E$7,$E$8,$E$9,$E$10,$E$12,$D213,$E$6,CZ$18,CZ$17)</f>
        <v>0.48371574939999995</v>
      </c>
      <c r="DA213" s="26">
        <f t="shared" ca="1" si="127"/>
        <v>-2.0656134897067009</v>
      </c>
      <c r="DB213" s="26">
        <f t="shared" ca="1" si="128"/>
        <v>0.67297913242330054</v>
      </c>
      <c r="DC213" s="26">
        <f t="shared" ca="1" si="129"/>
        <v>0</v>
      </c>
      <c r="DD213" s="26">
        <f t="shared" ca="1" si="130"/>
        <v>0.10199552779999993</v>
      </c>
      <c r="DE213" s="26">
        <f t="shared" ca="1" si="131"/>
        <v>0</v>
      </c>
      <c r="DF213" s="26">
        <f t="shared" ca="1" si="132"/>
        <v>0</v>
      </c>
      <c r="DG213" s="26">
        <f t="shared" ca="1" si="133"/>
        <v>0</v>
      </c>
      <c r="DH213" s="26">
        <f t="shared" ca="1" si="134"/>
        <v>-2.8405881499300012</v>
      </c>
      <c r="DI213" s="26">
        <f t="shared" ca="1" si="135"/>
        <v>-5.8911166677999987</v>
      </c>
      <c r="DJ213" s="26">
        <f t="shared" ca="1" si="136"/>
        <v>1.5571051199999957</v>
      </c>
      <c r="DK213" s="26">
        <f t="shared" ca="1" si="137"/>
        <v>2.8800423893174665E-2</v>
      </c>
      <c r="DL213" s="26"/>
      <c r="DM213" s="26"/>
      <c r="DN213" s="26"/>
      <c r="DO213" s="26"/>
      <c r="DP213" s="26">
        <f t="shared" ca="1" si="138"/>
        <v>-0.49312456150000017</v>
      </c>
      <c r="DQ213" s="26">
        <f t="shared" ca="1" si="139"/>
        <v>1.8179842008968723E-2</v>
      </c>
      <c r="DR213" s="26"/>
      <c r="DS213" s="26"/>
      <c r="DT213" s="26"/>
      <c r="DU213" s="26"/>
      <c r="DV213" s="26">
        <f t="shared" ca="1" si="140"/>
        <v>0.28849919207000108</v>
      </c>
      <c r="DW213" s="26">
        <f t="shared" ca="1" si="141"/>
        <v>3.8859505087300156E-3</v>
      </c>
      <c r="DX213" s="26"/>
      <c r="DY213" s="26"/>
      <c r="DZ213" s="26"/>
      <c r="EA213" s="26"/>
      <c r="EB213" s="26">
        <f t="shared" ca="1" si="142"/>
        <v>0.4606581067000004</v>
      </c>
      <c r="EC213" s="26">
        <f t="shared" ca="1" si="143"/>
        <v>2.2110203805903728E-3</v>
      </c>
      <c r="ED213" s="26"/>
      <c r="EE213" s="26"/>
      <c r="EF213" s="26"/>
      <c r="EG213" s="26"/>
      <c r="EH213" s="26">
        <f t="shared" ca="1" si="144"/>
        <v>1.2373906605999982</v>
      </c>
      <c r="EI213" s="29">
        <f t="shared" ca="1" si="145"/>
        <v>-7.891525987165221E-3</v>
      </c>
      <c r="EJ213" s="29"/>
      <c r="EK213" s="29"/>
      <c r="EL213" s="29"/>
      <c r="EM213" s="29"/>
      <c r="EN213" s="93"/>
      <c r="EO213" s="29"/>
      <c r="EP213" s="29"/>
      <c r="EQ213" s="29"/>
      <c r="ER213" s="29"/>
      <c r="ES213" s="29"/>
      <c r="ET213" s="29"/>
      <c r="EU213" s="93"/>
      <c r="EV213" s="29"/>
      <c r="EW213" s="29"/>
      <c r="EX213" s="29"/>
      <c r="EY213" s="29"/>
      <c r="EZ213" s="29"/>
      <c r="FA213" s="29"/>
      <c r="FB213" s="93"/>
      <c r="FC213" s="29"/>
      <c r="FD213" s="29"/>
      <c r="FE213" s="29"/>
      <c r="FF213" s="29"/>
      <c r="FG213" s="29"/>
      <c r="FH213" s="29"/>
      <c r="FI213" s="93"/>
      <c r="FJ213" s="29"/>
      <c r="FK213" s="29"/>
      <c r="FL213" s="29"/>
      <c r="FM213" s="29"/>
      <c r="FN213" s="29"/>
      <c r="FO213" s="29"/>
      <c r="FP213" s="93"/>
      <c r="FQ213" s="29"/>
      <c r="FR213" s="29"/>
      <c r="FS213" s="29"/>
      <c r="FT213" s="29"/>
      <c r="FU213" s="29"/>
      <c r="FV213" s="29"/>
    </row>
    <row r="214" spans="1:178" x14ac:dyDescent="0.25">
      <c r="A214" t="str">
        <f ca="1">IF(_xll.TM1RPTELISCONSOLIDATED($D$28,$D214),IF(_xll.TM1RPTELLEV($D$28,$D214)&lt;=3,_xll.TM1RPTELLEV($D$28,$D214),"D"),"N")</f>
        <v>N</v>
      </c>
      <c r="B214" t="str">
        <f ca="1">_xll.DBRA(Server&amp;"Management_organization",$D214,$B$27)</f>
        <v>L</v>
      </c>
      <c r="C214">
        <v>1</v>
      </c>
      <c r="D214" s="2" t="s">
        <v>222</v>
      </c>
      <c r="E214" s="26"/>
      <c r="F214" s="26"/>
      <c r="G214" s="16">
        <f ca="1">_xll.DBRW($D$4,$E$7,$E$8,$E$9,$E$10,$E$12,$D214,$E$6,G$18,G$17)</f>
        <v>-1.7202033889999973</v>
      </c>
      <c r="H214" s="16">
        <f ca="1">_xll.DBRW($D$4,$E$7,$E$8,$E$9,$E$10,$E$12,$D214,$E$6,H$18,H$17)</f>
        <v>-2.3780535989999994</v>
      </c>
      <c r="I214" s="16">
        <f ca="1">_xll.DBRW($D$4,$E$7,$E$8,$E$9,$E$10,$E$12,$D214,$E$6,I$18,I$17)</f>
        <v>0</v>
      </c>
      <c r="J214" s="26">
        <f ca="1">_xll.DBRW($D$4,$E$7,$E$8,$E$9,$E$10,$E$12,$D214,$E$6,J$18,J$17)</f>
        <v>-0.10978245</v>
      </c>
      <c r="K214" s="26">
        <f ca="1">_xll.DBRW($D$4,$E$7,$E$8,$E$9,$E$10,$E$12,$D214,$E$6,K$18,K$17)</f>
        <v>0</v>
      </c>
      <c r="L214" s="26">
        <f ca="1">_xll.DBRW($D$4,$E$7,$E$8,$E$9,$E$10,$E$12,$D214,$E$6,L$18,L$17)</f>
        <v>0</v>
      </c>
      <c r="M214" s="26">
        <f ca="1">_xll.DBRW($D$4,$E$7,$E$8,$E$9,$E$10,$E$12,$D214,$E$6,M$18,M$17)</f>
        <v>0</v>
      </c>
      <c r="N214" s="16">
        <f ca="1">_xll.DBRW($D$4,$E$7,$E$8,$E$9,$E$10,$E$12,$D214,$E$6,N$18,N$17)</f>
        <v>0.76763266000000263</v>
      </c>
      <c r="O214" s="16">
        <f ca="1">_xll.DBRW($D$4,$E$7,$E$8,$E$9,$E$10,$E$12,$D214,$E$6,O$18,O$17)</f>
        <v>20.612517270000001</v>
      </c>
      <c r="P214" s="74">
        <f ca="1">_xll.DBRW($D$4,$E$7,$E$8,$E$9,$E$10,$E$12,$D214,$E$6,P$18,P$17)</f>
        <v>-10.417350359999997</v>
      </c>
      <c r="Q214" s="16">
        <f ca="1">_xll.DBRW($D$4,$E$7,$E$8,$E$9,$E$10,$E$12,$D214,$E$6,Q$18,Q$17)</f>
        <v>0.50538952732190945</v>
      </c>
      <c r="R214" s="16"/>
      <c r="S214" s="16"/>
      <c r="T214" s="16"/>
      <c r="U214" s="16"/>
      <c r="V214" s="16">
        <f ca="1">_xll.DBRW($D$4,$E$7,$E$8,$E$9,$E$10,$E$12,$D214,$E$6,V$18,V$17)</f>
        <v>-2.1117648899999995</v>
      </c>
      <c r="W214" s="16">
        <f ca="1">_xll.DBRW($D$4,$E$7,$E$8,$E$9,$E$10,$E$12,$D214,$E$6,W$18,W$17)</f>
        <v>0.10245060621846112</v>
      </c>
      <c r="X214" s="16"/>
      <c r="Y214" s="16"/>
      <c r="Z214" s="16"/>
      <c r="AA214" s="16"/>
      <c r="AB214" s="16">
        <f ca="1">_xll.DBRW($D$4,$E$7,$E$8,$E$9,$E$10,$E$12,$D214,$E$6,AB$18,AB$17)</f>
        <v>-2.4482067499999998</v>
      </c>
      <c r="AC214" s="16">
        <f ca="1">_xll.DBRW($D$4,$E$7,$E$8,$E$9,$E$10,$E$12,$D214,$E$6,AC$18,AC$17)</f>
        <v>0.11877281740659518</v>
      </c>
      <c r="AD214" s="16"/>
      <c r="AE214" s="16"/>
      <c r="AF214" s="16"/>
      <c r="AG214" s="16"/>
      <c r="AH214" s="16">
        <f ca="1">_xll.DBRW($D$4,$E$7,$E$8,$E$9,$E$10,$E$12,$D214,$E$6,AH$18,AH$17)</f>
        <v>-2.2806886</v>
      </c>
      <c r="AI214" s="16">
        <f ca="1">_xll.DBRW($D$4,$E$7,$E$8,$E$9,$E$10,$E$12,$D214,$E$6,AI$18,AI$17)</f>
        <v>0.11064580662932295</v>
      </c>
      <c r="AJ214" s="16"/>
      <c r="AK214" s="16"/>
      <c r="AL214" s="16"/>
      <c r="AM214" s="16"/>
      <c r="AN214" s="16">
        <f ca="1">_xll.DBRW($D$4,$E$7,$E$8,$E$9,$E$10,$E$12,$D214,$E$6,AN$18,AN$17)</f>
        <v>-2.5868740100000003</v>
      </c>
      <c r="AO214" s="16">
        <f ca="1">_xll.DBRW($D$4,$E$7,$E$8,$E$9,$E$10,$E$12,$D214,$E$6,AO$18,AO$17)</f>
        <v>0.12550015003577483</v>
      </c>
      <c r="AP214" s="16"/>
      <c r="AQ214" s="16"/>
      <c r="AR214" s="16"/>
      <c r="AS214" s="16"/>
      <c r="AT214" s="16">
        <f ca="1">_xll.DBRW($D$4,$E$7,$E$8,$E$9,$E$10,$E$12,$D214,$E$6,AT$18,AT$17)</f>
        <v>0.28095727319999997</v>
      </c>
      <c r="AU214" s="16">
        <f ca="1">_xll.DBRW($D$4,$E$7,$E$8,$E$9,$E$10,$E$12,$D214,$E$6,AU$18,AU$17)</f>
        <v>0.17473188329999997</v>
      </c>
      <c r="AV214" s="16">
        <f ca="1">_xll.DBRW($D$4,$E$7,$E$8,$E$9,$E$10,$E$12,$D214,$E$6,AV$18,AV$17)</f>
        <v>7.9729810000000008</v>
      </c>
      <c r="AW214" s="16">
        <f ca="1">_xll.DBRW($D$4,$E$7,$E$8,$E$9,$E$10,$E$12,$D214,$E$6,AW$18,AW$17)</f>
        <v>0.17473188329999997</v>
      </c>
      <c r="AX214" s="16">
        <f ca="1">_xll.DBRW($D$4,$E$7,$E$8,$E$9,$E$10,$E$12,$D214,$E$6,AX$18,AX$17)</f>
        <v>2.8263187952659998</v>
      </c>
      <c r="AY214" s="16">
        <f ca="1">_xll.DBRW($D$4,$E$7,$E$8,$E$9,$E$10,$E$12,$D214,$E$6,AY$18,AY$17)</f>
        <v>0.17473188329999997</v>
      </c>
      <c r="AZ214" s="16">
        <f ca="1">_xll.DBRW($D$4,$E$7,$E$8,$E$9,$E$10,$E$12,$D214,$E$6,AZ$18,AZ$17)</f>
        <v>1.273E-4</v>
      </c>
      <c r="BA214" s="16">
        <f ca="1">_xll.DBRW($D$4,$E$7,$E$8,$E$9,$E$10,$E$12,$D214,$E$6,BA$18,BA$17)</f>
        <v>0.17473188329999997</v>
      </c>
      <c r="BB214" s="16">
        <f ca="1">_xll.DBRW($D$4,$E$7,$E$8,$E$9,$E$10,$E$12,$D214,$E$6,BB$18,BB$17)</f>
        <v>0.17473188329999997</v>
      </c>
      <c r="BC214" s="16">
        <f ca="1">_xll.DBRW($D$4,$E$7,$E$8,$E$9,$E$10,$E$12,$D214,$E$6,BC$18,BC$17)</f>
        <v>0.17473188329999997</v>
      </c>
      <c r="BD214" s="16">
        <f ca="1">_xll.DBRW($D$4,$E$7,$E$8,$E$9,$E$10,$E$12,$D214,$E$6,BD$18,BD$17)</f>
        <v>-1.0818926306925358</v>
      </c>
      <c r="BE214" s="16">
        <f ca="1">_xll.DBRW($D$4,$E$7,$E$8,$E$9,$E$10,$E$12,$D214,$E$6,BE$18,BE$17)</f>
        <v>-2.5670941801925378</v>
      </c>
      <c r="BF214" s="16">
        <f ca="1">_xll.DBRW($D$4,$E$7,$E$8,$E$9,$E$10,$E$12,$D214,$E$6,BF$18,BF$17)</f>
        <v>0</v>
      </c>
      <c r="BG214" s="26">
        <f ca="1">_xll.DBRW($D$4,$E$7,$E$8,$E$9,$E$10,$E$12,$D214,$E$6,BG$18,BG$17)</f>
        <v>-0.15401123799999999</v>
      </c>
      <c r="BH214" s="26">
        <f ca="1">_xll.DBRW($D$4,$E$7,$E$8,$E$9,$E$10,$E$12,$D214,$E$6,BH$18,BH$17)</f>
        <v>0</v>
      </c>
      <c r="BI214" s="26">
        <f ca="1">_xll.DBRW($D$4,$E$7,$E$8,$E$9,$E$10,$E$12,$D214,$E$6,BI$18,BI$17)</f>
        <v>0</v>
      </c>
      <c r="BJ214" s="26">
        <f ca="1">_xll.DBRW($D$4,$E$7,$E$8,$E$9,$E$10,$E$12,$D214,$E$6,BJ$18,BJ$17)</f>
        <v>0</v>
      </c>
      <c r="BK214" s="16">
        <f ca="1">_xll.DBRW($D$4,$E$7,$E$8,$E$9,$E$10,$E$12,$D214,$E$6,BK$18,BK$17)</f>
        <v>1.6392127875000024</v>
      </c>
      <c r="BL214" s="16">
        <f ca="1">_xll.DBRW($D$4,$E$7,$E$8,$E$9,$E$10,$E$12,$D214,$E$6,BL$18,BL$17)</f>
        <v>23.37417823286</v>
      </c>
      <c r="BM214" s="16">
        <f ca="1">_xll.DBRW($D$4,$E$7,$E$8,$E$9,$E$10,$E$12,$D214,$E$6,BM$18,BM$17)</f>
        <v>-11.254742479999999</v>
      </c>
      <c r="BN214" s="16">
        <f ca="1">_xll.DBRW($D$4,$E$7,$E$8,$E$9,$E$10,$E$12,$D214,$E$6,BN$18,BN$17)</f>
        <v>0.48150323694279878</v>
      </c>
      <c r="BO214" s="16"/>
      <c r="BP214" s="16"/>
      <c r="BQ214" s="16"/>
      <c r="BR214" s="16"/>
      <c r="BS214" s="16">
        <f ca="1">_xll.DBRW($D$4,$E$7,$E$8,$E$9,$E$10,$E$12,$D214,$E$6,BS$18,BS$17)</f>
        <v>-2.2812692859999997</v>
      </c>
      <c r="BT214" s="16">
        <f ca="1">_xll.DBRW($D$4,$E$7,$E$8,$E$9,$E$10,$E$12,$D214,$E$6,BT$18,BT$17)</f>
        <v>9.7597839088645888E-2</v>
      </c>
      <c r="BU214" s="16"/>
      <c r="BV214" s="16"/>
      <c r="BW214" s="16"/>
      <c r="BX214" s="16"/>
      <c r="BY214" s="16">
        <f ca="1">_xll.DBRW($D$4,$E$7,$E$8,$E$9,$E$10,$E$12,$D214,$E$6,BY$18,BY$17)</f>
        <v>-2.6018796185300004</v>
      </c>
      <c r="BZ214" s="16">
        <f ca="1">_xll.DBRW($D$4,$E$7,$E$8,$E$9,$E$10,$E$12,$D214,$E$6,BZ$18,BZ$17)</f>
        <v>0.11131427135573961</v>
      </c>
      <c r="CA214" s="16"/>
      <c r="CB214" s="16"/>
      <c r="CC214" s="16"/>
      <c r="CD214" s="16"/>
      <c r="CE214" s="16">
        <f ca="1">_xll.DBRW($D$4,$E$7,$E$8,$E$9,$E$10,$E$12,$D214,$E$6,CE$18,CE$17)</f>
        <v>-2.5718561909999997</v>
      </c>
      <c r="CF214" s="16">
        <f ca="1">_xll.DBRW($D$4,$E$7,$E$8,$E$9,$E$10,$E$12,$D214,$E$6,CF$18,CF$17)</f>
        <v>0.11002980149199088</v>
      </c>
      <c r="CG214" s="16"/>
      <c r="CH214" s="16"/>
      <c r="CI214" s="16"/>
      <c r="CJ214" s="16"/>
      <c r="CK214" s="16">
        <f ca="1">_xll.DBRW($D$4,$E$7,$E$8,$E$9,$E$10,$E$12,$D214,$E$6,CK$18,CK$17)</f>
        <v>-3.0252178698300001</v>
      </c>
      <c r="CL214" s="16">
        <f ca="1">_xll.DBRW($D$4,$E$7,$E$8,$E$9,$E$10,$E$12,$D214,$E$6,CL$18,CL$17)</f>
        <v>0.12942563540381813</v>
      </c>
      <c r="CM214" s="16"/>
      <c r="CN214" s="16"/>
      <c r="CO214" s="16"/>
      <c r="CP214" s="16"/>
      <c r="CQ214" s="16">
        <f ca="1">_xll.DBRW($D$4,$E$7,$E$8,$E$9,$E$10,$E$12,$D214,$E$6,CQ$18,CQ$17)</f>
        <v>0.31079637459999998</v>
      </c>
      <c r="CR214" s="16">
        <f ca="1">_xll.DBRW($D$4,$E$7,$E$8,$E$9,$E$10,$E$12,$D214,$E$6,CR$18,CR$17)</f>
        <v>0.19842109649999995</v>
      </c>
      <c r="CS214" s="16">
        <f ca="1">_xll.DBRW($D$4,$E$7,$E$8,$E$9,$E$10,$E$12,$D214,$E$6,CS$18,CS$17)</f>
        <v>9.0247904329999997</v>
      </c>
      <c r="CT214" s="16">
        <f ca="1">_xll.DBRW($D$4,$E$7,$E$8,$E$9,$E$10,$E$12,$D214,$E$6,CT$18,CT$17)</f>
        <v>0.19842109649999995</v>
      </c>
      <c r="CU214" s="16">
        <f ca="1">_xll.DBRW($D$4,$E$7,$E$8,$E$9,$E$10,$E$12,$D214,$E$6,CU$18,CU$17)</f>
        <v>3.0930686525277999</v>
      </c>
      <c r="CV214" s="16">
        <f ca="1">_xll.DBRW($D$4,$E$7,$E$8,$E$9,$E$10,$E$12,$D214,$E$6,CV$18,CV$17)</f>
        <v>0.19842109649999995</v>
      </c>
      <c r="CW214" s="16">
        <f ca="1">_xll.DBRW($D$4,$E$7,$E$8,$E$9,$E$10,$E$12,$D214,$E$6,CW$18,CW$17)</f>
        <v>1.01E-4</v>
      </c>
      <c r="CX214" s="16">
        <f ca="1">_xll.DBRW($D$4,$E$7,$E$8,$E$9,$E$10,$E$12,$D214,$E$6,CX$18,CX$17)</f>
        <v>0.19842109649999995</v>
      </c>
      <c r="CY214" s="16">
        <f ca="1">_xll.DBRW($D$4,$E$7,$E$8,$E$9,$E$10,$E$12,$D214,$E$6,CY$18,CY$17)</f>
        <v>0.19842109649999995</v>
      </c>
      <c r="CZ214" s="16">
        <f ca="1">_xll.DBRW($D$4,$E$7,$E$8,$E$9,$E$10,$E$12,$D214,$E$6,CZ$18,CZ$17)</f>
        <v>0.19842109649999995</v>
      </c>
      <c r="DA214" s="26">
        <f t="shared" ca="1" si="127"/>
        <v>-0.63831075830746142</v>
      </c>
      <c r="DB214" s="26">
        <f t="shared" ca="1" si="128"/>
        <v>0.18904058119253841</v>
      </c>
      <c r="DC214" s="26">
        <f t="shared" ca="1" si="129"/>
        <v>0</v>
      </c>
      <c r="DD214" s="26">
        <f t="shared" ca="1" si="130"/>
        <v>4.4228787999999991E-2</v>
      </c>
      <c r="DE214" s="26">
        <f t="shared" ca="1" si="131"/>
        <v>0</v>
      </c>
      <c r="DF214" s="26">
        <f t="shared" ca="1" si="132"/>
        <v>0</v>
      </c>
      <c r="DG214" s="26">
        <f t="shared" ca="1" si="133"/>
        <v>0</v>
      </c>
      <c r="DH214" s="26">
        <f t="shared" ca="1" si="134"/>
        <v>-0.8715801274999998</v>
      </c>
      <c r="DI214" s="26">
        <f t="shared" ca="1" si="135"/>
        <v>-2.7616609628599988</v>
      </c>
      <c r="DJ214" s="26">
        <f t="shared" ca="1" si="136"/>
        <v>0.83739212000000229</v>
      </c>
      <c r="DK214" s="26">
        <f t="shared" ca="1" si="137"/>
        <v>2.3886290379110664E-2</v>
      </c>
      <c r="DL214" s="26"/>
      <c r="DM214" s="26"/>
      <c r="DN214" s="26"/>
      <c r="DO214" s="26"/>
      <c r="DP214" s="26">
        <f t="shared" ca="1" si="138"/>
        <v>0.16950439600000022</v>
      </c>
      <c r="DQ214" s="26">
        <f t="shared" ca="1" si="139"/>
        <v>4.8527671298152358E-3</v>
      </c>
      <c r="DR214" s="26"/>
      <c r="DS214" s="26"/>
      <c r="DT214" s="26"/>
      <c r="DU214" s="26"/>
      <c r="DV214" s="26">
        <f t="shared" ca="1" si="140"/>
        <v>0.15367286853000062</v>
      </c>
      <c r="DW214" s="26">
        <f t="shared" ca="1" si="141"/>
        <v>7.4585460508555662E-3</v>
      </c>
      <c r="DX214" s="26"/>
      <c r="DY214" s="26"/>
      <c r="DZ214" s="26"/>
      <c r="EA214" s="26"/>
      <c r="EB214" s="26">
        <f t="shared" ca="1" si="142"/>
        <v>0.29116759099999978</v>
      </c>
      <c r="EC214" s="26">
        <f t="shared" ca="1" si="143"/>
        <v>6.1600513733207907E-4</v>
      </c>
      <c r="ED214" s="26"/>
      <c r="EE214" s="26"/>
      <c r="EF214" s="26"/>
      <c r="EG214" s="26"/>
      <c r="EH214" s="26">
        <f t="shared" ca="1" si="144"/>
        <v>0.43834385982999979</v>
      </c>
      <c r="EI214" s="29">
        <f t="shared" ca="1" si="145"/>
        <v>-3.9254853680432966E-3</v>
      </c>
      <c r="EJ214" s="29"/>
      <c r="EK214" s="29"/>
      <c r="EL214" s="29"/>
      <c r="EM214" s="29"/>
      <c r="EN214" s="93"/>
      <c r="EO214" s="29"/>
      <c r="EP214" s="29"/>
      <c r="EQ214" s="29"/>
      <c r="ER214" s="29"/>
      <c r="ES214" s="29"/>
      <c r="ET214" s="29"/>
      <c r="EU214" s="93"/>
      <c r="EV214" s="29"/>
      <c r="EW214" s="29"/>
      <c r="EX214" s="29"/>
      <c r="EY214" s="29"/>
      <c r="EZ214" s="29"/>
      <c r="FA214" s="29"/>
      <c r="FB214" s="93"/>
      <c r="FC214" s="29"/>
      <c r="FD214" s="29"/>
      <c r="FE214" s="29"/>
      <c r="FF214" s="29"/>
      <c r="FG214" s="29"/>
      <c r="FH214" s="29"/>
      <c r="FI214" s="93"/>
      <c r="FJ214" s="29"/>
      <c r="FK214" s="29"/>
      <c r="FL214" s="29"/>
      <c r="FM214" s="29"/>
      <c r="FN214" s="29"/>
      <c r="FO214" s="29"/>
      <c r="FP214" s="93"/>
      <c r="FQ214" s="29"/>
      <c r="FR214" s="29"/>
      <c r="FS214" s="29"/>
      <c r="FT214" s="29"/>
      <c r="FU214" s="29"/>
      <c r="FV214" s="29"/>
    </row>
    <row r="215" spans="1:178" x14ac:dyDescent="0.25">
      <c r="A215" t="str">
        <f ca="1">IF(_xll.TM1RPTELISCONSOLIDATED($D$28,$D215),IF(_xll.TM1RPTELLEV($D$28,$D215)&lt;=3,_xll.TM1RPTELLEV($D$28,$D215),"D"),"N")</f>
        <v>N</v>
      </c>
      <c r="B215" t="str">
        <f ca="1">_xll.DBRA(Server&amp;"Management_organization",$D215,$B$27)</f>
        <v>L</v>
      </c>
      <c r="C215">
        <v>1</v>
      </c>
      <c r="D215" s="2" t="s">
        <v>223</v>
      </c>
      <c r="E215" s="26"/>
      <c r="F215" s="26"/>
      <c r="G215" s="16">
        <f ca="1">_xll.DBRW($D$4,$E$7,$E$8,$E$9,$E$10,$E$12,$D215,$E$6,G$18,G$17)</f>
        <v>1.3009205651000009</v>
      </c>
      <c r="H215" s="16">
        <f ca="1">_xll.DBRW($D$4,$E$7,$E$8,$E$9,$E$10,$E$12,$D215,$E$6,H$18,H$17)</f>
        <v>-1.3467539649</v>
      </c>
      <c r="I215" s="16">
        <f ca="1">_xll.DBRW($D$4,$E$7,$E$8,$E$9,$E$10,$E$12,$D215,$E$6,I$18,I$17)</f>
        <v>0</v>
      </c>
      <c r="J215" s="26">
        <f ca="1">_xll.DBRW($D$4,$E$7,$E$8,$E$9,$E$10,$E$12,$D215,$E$6,J$18,J$17)</f>
        <v>-5.8981079999999998E-2</v>
      </c>
      <c r="K215" s="26">
        <f ca="1">_xll.DBRW($D$4,$E$7,$E$8,$E$9,$E$10,$E$12,$D215,$E$6,K$18,K$17)</f>
        <v>0</v>
      </c>
      <c r="L215" s="26">
        <f ca="1">_xll.DBRW($D$4,$E$7,$E$8,$E$9,$E$10,$E$12,$D215,$E$6,L$18,L$17)</f>
        <v>0</v>
      </c>
      <c r="M215" s="26">
        <f ca="1">_xll.DBRW($D$4,$E$7,$E$8,$E$9,$E$10,$E$12,$D215,$E$6,M$18,M$17)</f>
        <v>0</v>
      </c>
      <c r="N215" s="16">
        <f ca="1">_xll.DBRW($D$4,$E$7,$E$8,$E$9,$E$10,$E$12,$D215,$E$6,N$18,N$17)</f>
        <v>2.7066556100000012</v>
      </c>
      <c r="O215" s="16">
        <f ca="1">_xll.DBRW($D$4,$E$7,$E$8,$E$9,$E$10,$E$12,$D215,$E$6,O$18,O$17)</f>
        <v>14.34901397</v>
      </c>
      <c r="P215" s="74">
        <f ca="1">_xll.DBRW($D$4,$E$7,$E$8,$E$9,$E$10,$E$12,$D215,$E$6,P$18,P$17)</f>
        <v>-7.1212124599999997</v>
      </c>
      <c r="Q215" s="16">
        <f ca="1">_xll.DBRW($D$4,$E$7,$E$8,$E$9,$E$10,$E$12,$D215,$E$6,Q$18,Q$17)</f>
        <v>0.4962858406081822</v>
      </c>
      <c r="R215" s="16"/>
      <c r="S215" s="16"/>
      <c r="T215" s="16"/>
      <c r="U215" s="16"/>
      <c r="V215" s="16">
        <f ca="1">_xll.DBRW($D$4,$E$7,$E$8,$E$9,$E$10,$E$12,$D215,$E$6,V$18,V$17)</f>
        <v>-0.72054485999999995</v>
      </c>
      <c r="W215" s="16">
        <f ca="1">_xll.DBRW($D$4,$E$7,$E$8,$E$9,$E$10,$E$12,$D215,$E$6,W$18,W$17)</f>
        <v>5.0215635827414278E-2</v>
      </c>
      <c r="X215" s="16"/>
      <c r="Y215" s="16"/>
      <c r="Z215" s="16"/>
      <c r="AA215" s="16"/>
      <c r="AB215" s="16">
        <f ca="1">_xll.DBRW($D$4,$E$7,$E$8,$E$9,$E$10,$E$12,$D215,$E$6,AB$18,AB$17)</f>
        <v>-1.2764074100000005</v>
      </c>
      <c r="AC215" s="16">
        <f ca="1">_xll.DBRW($D$4,$E$7,$E$8,$E$9,$E$10,$E$12,$D215,$E$6,AC$18,AC$17)</f>
        <v>8.8954363879541226E-2</v>
      </c>
      <c r="AD215" s="16"/>
      <c r="AE215" s="16"/>
      <c r="AF215" s="16"/>
      <c r="AG215" s="16"/>
      <c r="AH215" s="16">
        <f ca="1">_xll.DBRW($D$4,$E$7,$E$8,$E$9,$E$10,$E$12,$D215,$E$6,AH$18,AH$17)</f>
        <v>-0.93261793999999998</v>
      </c>
      <c r="AI215" s="16">
        <f ca="1">_xll.DBRW($D$4,$E$7,$E$8,$E$9,$E$10,$E$12,$D215,$E$6,AI$18,AI$17)</f>
        <v>6.4995263225045147E-2</v>
      </c>
      <c r="AJ215" s="16"/>
      <c r="AK215" s="16"/>
      <c r="AL215" s="16"/>
      <c r="AM215" s="16"/>
      <c r="AN215" s="16">
        <f ca="1">_xll.DBRW($D$4,$E$7,$E$8,$E$9,$E$10,$E$12,$D215,$E$6,AN$18,AN$17)</f>
        <v>-1.5915756900000002</v>
      </c>
      <c r="AO215" s="16">
        <f ca="1">_xll.DBRW($D$4,$E$7,$E$8,$E$9,$E$10,$E$12,$D215,$E$6,AO$18,AO$17)</f>
        <v>0.11091881946226861</v>
      </c>
      <c r="AP215" s="16"/>
      <c r="AQ215" s="16"/>
      <c r="AR215" s="16"/>
      <c r="AS215" s="16"/>
      <c r="AT215" s="16">
        <f ca="1">_xll.DBRW($D$4,$E$7,$E$8,$E$9,$E$10,$E$12,$D215,$E$6,AT$18,AT$17)</f>
        <v>0.19601376199999995</v>
      </c>
      <c r="AU215" s="16">
        <f ca="1">_xll.DBRW($D$4,$E$7,$E$8,$E$9,$E$10,$E$12,$D215,$E$6,AU$18,AU$17)</f>
        <v>0.12407931669999998</v>
      </c>
      <c r="AV215" s="16">
        <f ca="1">_xll.DBRW($D$4,$E$7,$E$8,$E$9,$E$10,$E$12,$D215,$E$6,AV$18,AV$17)</f>
        <v>4.1635089999999995</v>
      </c>
      <c r="AW215" s="16">
        <f ca="1">_xll.DBRW($D$4,$E$7,$E$8,$E$9,$E$10,$E$12,$D215,$E$6,AW$18,AW$17)</f>
        <v>0.12407931669999998</v>
      </c>
      <c r="AX215" s="16">
        <f ca="1">_xll.DBRW($D$4,$E$7,$E$8,$E$9,$E$10,$E$12,$D215,$E$6,AX$18,AX$17)</f>
        <v>1.34834315</v>
      </c>
      <c r="AY215" s="16">
        <f ca="1">_xll.DBRW($D$4,$E$7,$E$8,$E$9,$E$10,$E$12,$D215,$E$6,AY$18,AY$17)</f>
        <v>0.12407931669999998</v>
      </c>
      <c r="AZ215" s="16">
        <f ca="1">_xll.DBRW($D$4,$E$7,$E$8,$E$9,$E$10,$E$12,$D215,$E$6,AZ$18,AZ$17)</f>
        <v>5.9000000000000004E-5</v>
      </c>
      <c r="BA215" s="16">
        <f ca="1">_xll.DBRW($D$4,$E$7,$E$8,$E$9,$E$10,$E$12,$D215,$E$6,BA$18,BA$17)</f>
        <v>0.12407931669999998</v>
      </c>
      <c r="BB215" s="16">
        <f ca="1">_xll.DBRW($D$4,$E$7,$E$8,$E$9,$E$10,$E$12,$D215,$E$6,BB$18,BB$17)</f>
        <v>0.12407931669999998</v>
      </c>
      <c r="BC215" s="16">
        <f ca="1">_xll.DBRW($D$4,$E$7,$E$8,$E$9,$E$10,$E$12,$D215,$E$6,BC$18,BC$17)</f>
        <v>0.12407931669999998</v>
      </c>
      <c r="BD215" s="16">
        <f ca="1">_xll.DBRW($D$4,$E$7,$E$8,$E$9,$E$10,$E$12,$D215,$E$6,BD$18,BD$17)</f>
        <v>1.4857305134369998</v>
      </c>
      <c r="BE215" s="16">
        <f ca="1">_xll.DBRW($D$4,$E$7,$E$8,$E$9,$E$10,$E$12,$D215,$E$6,BE$18,BE$17)</f>
        <v>-1.6185147450700001</v>
      </c>
      <c r="BF215" s="16">
        <f ca="1">_xll.DBRW($D$4,$E$7,$E$8,$E$9,$E$10,$E$12,$D215,$E$6,BF$18,BF$17)</f>
        <v>0</v>
      </c>
      <c r="BG215" s="26">
        <f ca="1">_xll.DBRW($D$4,$E$7,$E$8,$E$9,$E$10,$E$12,$D215,$E$6,BG$18,BG$17)</f>
        <v>-7.0182416189999999E-2</v>
      </c>
      <c r="BH215" s="26">
        <f ca="1">_xll.DBRW($D$4,$E$7,$E$8,$E$9,$E$10,$E$12,$D215,$E$6,BH$18,BH$17)</f>
        <v>0</v>
      </c>
      <c r="BI215" s="26">
        <f ca="1">_xll.DBRW($D$4,$E$7,$E$8,$E$9,$E$10,$E$12,$D215,$E$6,BI$18,BI$17)</f>
        <v>0</v>
      </c>
      <c r="BJ215" s="26">
        <f ca="1">_xll.DBRW($D$4,$E$7,$E$8,$E$9,$E$10,$E$12,$D215,$E$6,BJ$18,BJ$17)</f>
        <v>0</v>
      </c>
      <c r="BK215" s="16">
        <f ca="1">_xll.DBRW($D$4,$E$7,$E$8,$E$9,$E$10,$E$12,$D215,$E$6,BK$18,BK$17)</f>
        <v>3.1744276746970002</v>
      </c>
      <c r="BL215" s="16">
        <f ca="1">_xll.DBRW($D$4,$E$7,$E$8,$E$9,$E$10,$E$12,$D215,$E$6,BL$18,BL$17)</f>
        <v>15.961134529539999</v>
      </c>
      <c r="BM215" s="16">
        <f ca="1">_xll.DBRW($D$4,$E$7,$E$8,$E$9,$E$10,$E$12,$D215,$E$6,BM$18,BM$17)</f>
        <v>-7.6042700729999986</v>
      </c>
      <c r="BN215" s="16">
        <f ca="1">_xll.DBRW($D$4,$E$7,$E$8,$E$9,$E$10,$E$12,$D215,$E$6,BN$18,BN$17)</f>
        <v>0.4764241576265415</v>
      </c>
      <c r="BO215" s="16"/>
      <c r="BP215" s="16"/>
      <c r="BQ215" s="16"/>
      <c r="BR215" s="16"/>
      <c r="BS215" s="16">
        <f ca="1">_xll.DBRW($D$4,$E$7,$E$8,$E$9,$E$10,$E$12,$D215,$E$6,BS$18,BS$17)</f>
        <v>-0.99615512089999991</v>
      </c>
      <c r="BT215" s="16">
        <f ca="1">_xll.DBRW($D$4,$E$7,$E$8,$E$9,$E$10,$E$12,$D215,$E$6,BT$18,BT$17)</f>
        <v>6.2411297834522365E-2</v>
      </c>
      <c r="BU215" s="16"/>
      <c r="BV215" s="16"/>
      <c r="BW215" s="16"/>
      <c r="BX215" s="16"/>
      <c r="BY215" s="16">
        <f ca="1">_xll.DBRW($D$4,$E$7,$E$8,$E$9,$E$10,$E$12,$D215,$E$6,BY$18,BY$17)</f>
        <v>-1.376375647333</v>
      </c>
      <c r="BZ215" s="16">
        <f ca="1">_xll.DBRW($D$4,$E$7,$E$8,$E$9,$E$10,$E$12,$D215,$E$6,BZ$18,BZ$17)</f>
        <v>8.6232945708569708E-2</v>
      </c>
      <c r="CA215" s="16"/>
      <c r="CB215" s="16"/>
      <c r="CC215" s="16"/>
      <c r="CD215" s="16"/>
      <c r="CE215" s="16">
        <f ca="1">_xll.DBRW($D$4,$E$7,$E$8,$E$9,$E$10,$E$12,$D215,$E$6,CE$18,CE$17)</f>
        <v>-0.97246701663000013</v>
      </c>
      <c r="CF215" s="16">
        <f ca="1">_xll.DBRW($D$4,$E$7,$E$8,$E$9,$E$10,$E$12,$D215,$E$6,CF$18,CF$17)</f>
        <v>6.0927186274272113E-2</v>
      </c>
      <c r="CG215" s="16"/>
      <c r="CH215" s="16"/>
      <c r="CI215" s="16"/>
      <c r="CJ215" s="16"/>
      <c r="CK215" s="16">
        <f ca="1">_xll.DBRW($D$4,$E$7,$E$8,$E$9,$E$10,$E$12,$D215,$E$6,CK$18,CK$17)</f>
        <v>-1.8374389969799998</v>
      </c>
      <c r="CL215" s="16">
        <f ca="1">_xll.DBRW($D$4,$E$7,$E$8,$E$9,$E$10,$E$12,$D215,$E$6,CL$18,CL$17)</f>
        <v>0.11511957333480072</v>
      </c>
      <c r="CM215" s="16"/>
      <c r="CN215" s="16"/>
      <c r="CO215" s="16"/>
      <c r="CP215" s="16"/>
      <c r="CQ215" s="16">
        <f ca="1">_xll.DBRW($D$4,$E$7,$E$8,$E$9,$E$10,$E$12,$D215,$E$6,CQ$18,CQ$17)</f>
        <v>0.21248420009999999</v>
      </c>
      <c r="CR215" s="16">
        <f ca="1">_xll.DBRW($D$4,$E$7,$E$8,$E$9,$E$10,$E$12,$D215,$E$6,CR$18,CR$17)</f>
        <v>0.14169543330000001</v>
      </c>
      <c r="CS215" s="16">
        <f ca="1">_xll.DBRW($D$4,$E$7,$E$8,$E$9,$E$10,$E$12,$D215,$E$6,CS$18,CS$17)</f>
        <v>4.8632814579999994</v>
      </c>
      <c r="CT215" s="16">
        <f ca="1">_xll.DBRW($D$4,$E$7,$E$8,$E$9,$E$10,$E$12,$D215,$E$6,CT$18,CT$17)</f>
        <v>0.14169543330000001</v>
      </c>
      <c r="CU215" s="16">
        <f ca="1">_xll.DBRW($D$4,$E$7,$E$8,$E$9,$E$10,$E$12,$D215,$E$6,CU$18,CU$17)</f>
        <v>1.4935854779999997</v>
      </c>
      <c r="CV215" s="16">
        <f ca="1">_xll.DBRW($D$4,$E$7,$E$8,$E$9,$E$10,$E$12,$D215,$E$6,CV$18,CV$17)</f>
        <v>0.14169543330000001</v>
      </c>
      <c r="CW215" s="16">
        <f ca="1">_xll.DBRW($D$4,$E$7,$E$8,$E$9,$E$10,$E$12,$D215,$E$6,CW$18,CW$17)</f>
        <v>5.8000000000000007E-5</v>
      </c>
      <c r="CX215" s="16">
        <f ca="1">_xll.DBRW($D$4,$E$7,$E$8,$E$9,$E$10,$E$12,$D215,$E$6,CX$18,CX$17)</f>
        <v>0.14169543330000001</v>
      </c>
      <c r="CY215" s="16">
        <f ca="1">_xll.DBRW($D$4,$E$7,$E$8,$E$9,$E$10,$E$12,$D215,$E$6,CY$18,CY$17)</f>
        <v>0.14169543330000001</v>
      </c>
      <c r="CZ215" s="16">
        <f ca="1">_xll.DBRW($D$4,$E$7,$E$8,$E$9,$E$10,$E$12,$D215,$E$6,CZ$18,CZ$17)</f>
        <v>0.14169543330000001</v>
      </c>
      <c r="DA215" s="26">
        <f t="shared" ca="1" si="127"/>
        <v>-0.18480994833699893</v>
      </c>
      <c r="DB215" s="26">
        <f t="shared" ca="1" si="128"/>
        <v>0.27176078017000016</v>
      </c>
      <c r="DC215" s="26">
        <f t="shared" ca="1" si="129"/>
        <v>0</v>
      </c>
      <c r="DD215" s="26">
        <f t="shared" ca="1" si="130"/>
        <v>1.1201336190000001E-2</v>
      </c>
      <c r="DE215" s="26">
        <f t="shared" ca="1" si="131"/>
        <v>0</v>
      </c>
      <c r="DF215" s="26">
        <f t="shared" ca="1" si="132"/>
        <v>0</v>
      </c>
      <c r="DG215" s="26">
        <f t="shared" ca="1" si="133"/>
        <v>0</v>
      </c>
      <c r="DH215" s="26">
        <f t="shared" ca="1" si="134"/>
        <v>-0.46777206469699895</v>
      </c>
      <c r="DI215" s="26">
        <f t="shared" ca="1" si="135"/>
        <v>-1.6121205595399992</v>
      </c>
      <c r="DJ215" s="26">
        <f t="shared" ca="1" si="136"/>
        <v>0.48305761299999883</v>
      </c>
      <c r="DK215" s="26">
        <f t="shared" ca="1" si="137"/>
        <v>1.9861682981640705E-2</v>
      </c>
      <c r="DL215" s="26"/>
      <c r="DM215" s="26"/>
      <c r="DN215" s="26"/>
      <c r="DO215" s="26"/>
      <c r="DP215" s="26">
        <f t="shared" ca="1" si="138"/>
        <v>0.27561026089999996</v>
      </c>
      <c r="DQ215" s="26">
        <f t="shared" ca="1" si="139"/>
        <v>-1.2195662007108088E-2</v>
      </c>
      <c r="DR215" s="26"/>
      <c r="DS215" s="26"/>
      <c r="DT215" s="26"/>
      <c r="DU215" s="26"/>
      <c r="DV215" s="26">
        <f t="shared" ca="1" si="140"/>
        <v>9.9968237332999532E-2</v>
      </c>
      <c r="DW215" s="26">
        <f t="shared" ca="1" si="141"/>
        <v>2.7214181709715179E-3</v>
      </c>
      <c r="DX215" s="26"/>
      <c r="DY215" s="26"/>
      <c r="DZ215" s="26"/>
      <c r="EA215" s="26"/>
      <c r="EB215" s="26">
        <f t="shared" ca="1" si="142"/>
        <v>3.9849076630000146E-2</v>
      </c>
      <c r="EC215" s="26">
        <f t="shared" ca="1" si="143"/>
        <v>4.0680769507730336E-3</v>
      </c>
      <c r="ED215" s="26"/>
      <c r="EE215" s="26"/>
      <c r="EF215" s="26"/>
      <c r="EG215" s="26"/>
      <c r="EH215" s="26">
        <f t="shared" ca="1" si="144"/>
        <v>0.24586330697999959</v>
      </c>
      <c r="EI215" s="29">
        <f t="shared" ca="1" si="145"/>
        <v>-4.2007538725321036E-3</v>
      </c>
      <c r="EJ215" s="29"/>
      <c r="EK215" s="29"/>
      <c r="EL215" s="29"/>
      <c r="EM215" s="29"/>
      <c r="EN215" s="93"/>
      <c r="EO215" s="29"/>
      <c r="EP215" s="29"/>
      <c r="EQ215" s="29"/>
      <c r="ER215" s="29"/>
      <c r="ES215" s="29"/>
      <c r="ET215" s="29"/>
      <c r="EU215" s="93"/>
      <c r="EV215" s="29"/>
      <c r="EW215" s="29"/>
      <c r="EX215" s="29"/>
      <c r="EY215" s="29"/>
      <c r="EZ215" s="29"/>
      <c r="FA215" s="29"/>
      <c r="FB215" s="93"/>
      <c r="FC215" s="29"/>
      <c r="FD215" s="29"/>
      <c r="FE215" s="29"/>
      <c r="FF215" s="29"/>
      <c r="FG215" s="29"/>
      <c r="FH215" s="29"/>
      <c r="FI215" s="93"/>
      <c r="FJ215" s="29"/>
      <c r="FK215" s="29"/>
      <c r="FL215" s="29"/>
      <c r="FM215" s="29"/>
      <c r="FN215" s="29"/>
      <c r="FO215" s="29"/>
      <c r="FP215" s="93"/>
      <c r="FQ215" s="29"/>
      <c r="FR215" s="29"/>
      <c r="FS215" s="29"/>
      <c r="FT215" s="29"/>
      <c r="FU215" s="29"/>
      <c r="FV215" s="29"/>
    </row>
    <row r="216" spans="1:178" x14ac:dyDescent="0.25">
      <c r="A216" t="str">
        <f ca="1">IF(_xll.TM1RPTELISCONSOLIDATED($D$28,$D216),IF(_xll.TM1RPTELLEV($D$28,$D216)&lt;=3,_xll.TM1RPTELLEV($D$28,$D216),"D"),"N")</f>
        <v>N</v>
      </c>
      <c r="B216" t="str">
        <f ca="1">_xll.DBRA(Server&amp;"Management_organization",$D216,$B$27)</f>
        <v>L</v>
      </c>
      <c r="C216">
        <v>1</v>
      </c>
      <c r="D216" s="2" t="s">
        <v>224</v>
      </c>
      <c r="E216" s="26"/>
      <c r="F216" s="26"/>
      <c r="G216" s="16">
        <f ca="1">_xll.DBRW($D$4,$E$7,$E$8,$E$9,$E$10,$E$12,$D216,$E$6,G$18,G$17)</f>
        <v>0.30651479305999996</v>
      </c>
      <c r="H216" s="16">
        <f ca="1">_xll.DBRW($D$4,$E$7,$E$8,$E$9,$E$10,$E$12,$D216,$E$6,H$18,H$17)</f>
        <v>-4.9413926939999991E-2</v>
      </c>
      <c r="I216" s="16">
        <f ca="1">_xll.DBRW($D$4,$E$7,$E$8,$E$9,$E$10,$E$12,$D216,$E$6,I$18,I$17)</f>
        <v>0</v>
      </c>
      <c r="J216" s="26">
        <f ca="1">_xll.DBRW($D$4,$E$7,$E$8,$E$9,$E$10,$E$12,$D216,$E$6,J$18,J$17)</f>
        <v>0</v>
      </c>
      <c r="K216" s="26">
        <f ca="1">_xll.DBRW($D$4,$E$7,$E$8,$E$9,$E$10,$E$12,$D216,$E$6,K$18,K$17)</f>
        <v>0</v>
      </c>
      <c r="L216" s="26">
        <f ca="1">_xll.DBRW($D$4,$E$7,$E$8,$E$9,$E$10,$E$12,$D216,$E$6,L$18,L$17)</f>
        <v>0</v>
      </c>
      <c r="M216" s="26">
        <f ca="1">_xll.DBRW($D$4,$E$7,$E$8,$E$9,$E$10,$E$12,$D216,$E$6,M$18,M$17)</f>
        <v>0</v>
      </c>
      <c r="N216" s="16">
        <f ca="1">_xll.DBRW($D$4,$E$7,$E$8,$E$9,$E$10,$E$12,$D216,$E$6,N$18,N$17)</f>
        <v>0.35592871999999998</v>
      </c>
      <c r="O216" s="16">
        <f ca="1">_xll.DBRW($D$4,$E$7,$E$8,$E$9,$E$10,$E$12,$D216,$E$6,O$18,O$17)</f>
        <v>0.66355623999999991</v>
      </c>
      <c r="P216" s="74">
        <f ca="1">_xll.DBRW($D$4,$E$7,$E$8,$E$9,$E$10,$E$12,$D216,$E$6,P$18,P$17)</f>
        <v>3.3812500000000001E-3</v>
      </c>
      <c r="Q216" s="16">
        <f ca="1">_xll.DBRW($D$4,$E$7,$E$8,$E$9,$E$10,$E$12,$D216,$E$6,Q$18,Q$17)</f>
        <v>-5.0956494659744299E-3</v>
      </c>
      <c r="R216" s="16"/>
      <c r="S216" s="16"/>
      <c r="T216" s="16"/>
      <c r="U216" s="16"/>
      <c r="V216" s="16">
        <f ca="1">_xll.DBRW($D$4,$E$7,$E$8,$E$9,$E$10,$E$12,$D216,$E$6,V$18,V$17)</f>
        <v>-3.315336E-2</v>
      </c>
      <c r="W216" s="16">
        <f ca="1">_xll.DBRW($D$4,$E$7,$E$8,$E$9,$E$10,$E$12,$D216,$E$6,W$18,W$17)</f>
        <v>4.9963150071499596E-2</v>
      </c>
      <c r="X216" s="16"/>
      <c r="Y216" s="16"/>
      <c r="Z216" s="16"/>
      <c r="AA216" s="16"/>
      <c r="AB216" s="16">
        <f ca="1">_xll.DBRW($D$4,$E$7,$E$8,$E$9,$E$10,$E$12,$D216,$E$6,AB$18,AB$17)</f>
        <v>-1.0297799999999999E-3</v>
      </c>
      <c r="AC216" s="16">
        <f ca="1">_xll.DBRW($D$4,$E$7,$E$8,$E$9,$E$10,$E$12,$D216,$E$6,AC$18,AC$17)</f>
        <v>1.5519106564350898E-3</v>
      </c>
      <c r="AD216" s="16"/>
      <c r="AE216" s="16"/>
      <c r="AF216" s="16"/>
      <c r="AG216" s="16"/>
      <c r="AH216" s="16">
        <f ca="1">_xll.DBRW($D$4,$E$7,$E$8,$E$9,$E$10,$E$12,$D216,$E$6,AH$18,AH$17)</f>
        <v>-3.0899999999999998E-4</v>
      </c>
      <c r="AI216" s="16">
        <f ca="1">_xll.DBRW($D$4,$E$7,$E$8,$E$9,$E$10,$E$12,$D216,$E$6,AI$18,AI$17)</f>
        <v>4.6567266099404025E-4</v>
      </c>
      <c r="AJ216" s="16"/>
      <c r="AK216" s="16"/>
      <c r="AL216" s="16"/>
      <c r="AM216" s="16"/>
      <c r="AN216" s="16">
        <f ca="1">_xll.DBRW($D$4,$E$7,$E$8,$E$9,$E$10,$E$12,$D216,$E$6,AN$18,AN$17)</f>
        <v>-0.27651662999999993</v>
      </c>
      <c r="AO216" s="16">
        <f ca="1">_xll.DBRW($D$4,$E$7,$E$8,$E$9,$E$10,$E$12,$D216,$E$6,AO$18,AO$17)</f>
        <v>0.4167192068000144</v>
      </c>
      <c r="AP216" s="16"/>
      <c r="AQ216" s="16"/>
      <c r="AR216" s="16"/>
      <c r="AS216" s="16"/>
      <c r="AT216" s="16">
        <f ca="1">_xll.DBRW($D$4,$E$7,$E$8,$E$9,$E$10,$E$12,$D216,$E$6,AT$18,AT$17)</f>
        <v>4.2580688889999998E-3</v>
      </c>
      <c r="AU216" s="16">
        <f ca="1">_xll.DBRW($D$4,$E$7,$E$8,$E$9,$E$10,$E$12,$D216,$E$6,AU$18,AU$17)</f>
        <v>0</v>
      </c>
      <c r="AV216" s="16">
        <f ca="1">_xll.DBRW($D$4,$E$7,$E$8,$E$9,$E$10,$E$12,$D216,$E$6,AV$18,AV$17)</f>
        <v>0</v>
      </c>
      <c r="AW216" s="16">
        <f ca="1">_xll.DBRW($D$4,$E$7,$E$8,$E$9,$E$10,$E$12,$D216,$E$6,AW$18,AW$17)</f>
        <v>0</v>
      </c>
      <c r="AX216" s="16">
        <f ca="1">_xll.DBRW($D$4,$E$7,$E$8,$E$9,$E$10,$E$12,$D216,$E$6,AX$18,AX$17)</f>
        <v>0</v>
      </c>
      <c r="AY216" s="16">
        <f ca="1">_xll.DBRW($D$4,$E$7,$E$8,$E$9,$E$10,$E$12,$D216,$E$6,AY$18,AY$17)</f>
        <v>0</v>
      </c>
      <c r="AZ216" s="16">
        <f ca="1">_xll.DBRW($D$4,$E$7,$E$8,$E$9,$E$10,$E$12,$D216,$E$6,AZ$18,AZ$17)</f>
        <v>6.9999999999999999E-6</v>
      </c>
      <c r="BA216" s="16">
        <f ca="1">_xll.DBRW($D$4,$E$7,$E$8,$E$9,$E$10,$E$12,$D216,$E$6,BA$18,BA$17)</f>
        <v>0</v>
      </c>
      <c r="BB216" s="16">
        <f ca="1">_xll.DBRW($D$4,$E$7,$E$8,$E$9,$E$10,$E$12,$D216,$E$6,BB$18,BB$17)</f>
        <v>0</v>
      </c>
      <c r="BC216" s="16">
        <f ca="1">_xll.DBRW($D$4,$E$7,$E$8,$E$9,$E$10,$E$12,$D216,$E$6,BC$18,BC$17)</f>
        <v>0</v>
      </c>
      <c r="BD216" s="16">
        <f ca="1">_xll.DBRW($D$4,$E$7,$E$8,$E$9,$E$10,$E$12,$D216,$E$6,BD$18,BD$17)</f>
        <v>0.30023999832600007</v>
      </c>
      <c r="BE216" s="16">
        <f ca="1">_xll.DBRW($D$4,$E$7,$E$8,$E$9,$E$10,$E$12,$D216,$E$6,BE$18,BE$17)</f>
        <v>-6.1514660283999996E-2</v>
      </c>
      <c r="BF216" s="16">
        <f ca="1">_xll.DBRW($D$4,$E$7,$E$8,$E$9,$E$10,$E$12,$D216,$E$6,BF$18,BF$17)</f>
        <v>0</v>
      </c>
      <c r="BG216" s="26">
        <f ca="1">_xll.DBRW($D$4,$E$7,$E$8,$E$9,$E$10,$E$12,$D216,$E$6,BG$18,BG$17)</f>
        <v>-2.2916666669999999E-3</v>
      </c>
      <c r="BH216" s="26">
        <f ca="1">_xll.DBRW($D$4,$E$7,$E$8,$E$9,$E$10,$E$12,$D216,$E$6,BH$18,BH$17)</f>
        <v>0</v>
      </c>
      <c r="BI216" s="26">
        <f ca="1">_xll.DBRW($D$4,$E$7,$E$8,$E$9,$E$10,$E$12,$D216,$E$6,BI$18,BI$17)</f>
        <v>0</v>
      </c>
      <c r="BJ216" s="26">
        <f ca="1">_xll.DBRW($D$4,$E$7,$E$8,$E$9,$E$10,$E$12,$D216,$E$6,BJ$18,BJ$17)</f>
        <v>0</v>
      </c>
      <c r="BK216" s="16">
        <f ca="1">_xll.DBRW($D$4,$E$7,$E$8,$E$9,$E$10,$E$12,$D216,$E$6,BK$18,BK$17)</f>
        <v>0.36404632527700004</v>
      </c>
      <c r="BL216" s="16">
        <f ca="1">_xll.DBRW($D$4,$E$7,$E$8,$E$9,$E$10,$E$12,$D216,$E$6,BL$18,BL$17)</f>
        <v>0.70860550769999997</v>
      </c>
      <c r="BM216" s="16">
        <f ca="1">_xll.DBRW($D$4,$E$7,$E$8,$E$9,$E$10,$E$12,$D216,$E$6,BM$18,BM$17)</f>
        <v>-3.2999999999999995E-3</v>
      </c>
      <c r="BN216" s="16">
        <f ca="1">_xll.DBRW($D$4,$E$7,$E$8,$E$9,$E$10,$E$12,$D216,$E$6,BN$18,BN$17)</f>
        <v>4.6570340819268793E-3</v>
      </c>
      <c r="BO216" s="16"/>
      <c r="BP216" s="16"/>
      <c r="BQ216" s="16"/>
      <c r="BR216" s="16"/>
      <c r="BS216" s="16">
        <f ca="1">_xll.DBRW($D$4,$E$7,$E$8,$E$9,$E$10,$E$12,$D216,$E$6,BS$18,BS$17)</f>
        <v>-5.3797842043000005E-2</v>
      </c>
      <c r="BT216" s="16">
        <f ca="1">_xll.DBRW($D$4,$E$7,$E$8,$E$9,$E$10,$E$12,$D216,$E$6,BT$18,BT$17)</f>
        <v>7.5920722402536306E-2</v>
      </c>
      <c r="BU216" s="16"/>
      <c r="BV216" s="16"/>
      <c r="BW216" s="16"/>
      <c r="BX216" s="16"/>
      <c r="BY216" s="16">
        <f ca="1">_xll.DBRW($D$4,$E$7,$E$8,$E$9,$E$10,$E$12,$D216,$E$6,BY$18,BY$17)</f>
        <v>-6.8750000000000018E-4</v>
      </c>
      <c r="BZ216" s="16">
        <f ca="1">_xll.DBRW($D$4,$E$7,$E$8,$E$9,$E$10,$E$12,$D216,$E$6,BZ$18,BZ$17)</f>
        <v>9.7021543373476693E-4</v>
      </c>
      <c r="CA216" s="16"/>
      <c r="CB216" s="16"/>
      <c r="CC216" s="16"/>
      <c r="CD216" s="16"/>
      <c r="CE216" s="16">
        <f ca="1">_xll.DBRW($D$4,$E$7,$E$8,$E$9,$E$10,$E$12,$D216,$E$6,CE$18,CE$17)</f>
        <v>0</v>
      </c>
      <c r="CF216" s="16">
        <f ca="1">_xll.DBRW($D$4,$E$7,$E$8,$E$9,$E$10,$E$12,$D216,$E$6,CF$18,CF$17)</f>
        <v>0</v>
      </c>
      <c r="CG216" s="16"/>
      <c r="CH216" s="16"/>
      <c r="CI216" s="16"/>
      <c r="CJ216" s="16"/>
      <c r="CK216" s="16">
        <f ca="1">_xll.DBRW($D$4,$E$7,$E$8,$E$9,$E$10,$E$12,$D216,$E$6,CK$18,CK$17)</f>
        <v>-0.28677384037999998</v>
      </c>
      <c r="CL216" s="16">
        <f ca="1">_xll.DBRW($D$4,$E$7,$E$8,$E$9,$E$10,$E$12,$D216,$E$6,CL$18,CL$17)</f>
        <v>0.4047016813499148</v>
      </c>
      <c r="CM216" s="16"/>
      <c r="CN216" s="16"/>
      <c r="CO216" s="16"/>
      <c r="CP216" s="16"/>
      <c r="CQ216" s="16">
        <f ca="1">_xll.DBRW($D$4,$E$7,$E$8,$E$9,$E$10,$E$12,$D216,$E$6,CQ$18,CQ$17)</f>
        <v>0</v>
      </c>
      <c r="CR216" s="16">
        <f ca="1">_xll.DBRW($D$4,$E$7,$E$8,$E$9,$E$10,$E$12,$D216,$E$6,CR$18,CR$17)</f>
        <v>0</v>
      </c>
      <c r="CS216" s="16">
        <f ca="1">_xll.DBRW($D$4,$E$7,$E$8,$E$9,$E$10,$E$12,$D216,$E$6,CS$18,CS$17)</f>
        <v>0</v>
      </c>
      <c r="CT216" s="16">
        <f ca="1">_xll.DBRW($D$4,$E$7,$E$8,$E$9,$E$10,$E$12,$D216,$E$6,CT$18,CT$17)</f>
        <v>0</v>
      </c>
      <c r="CU216" s="16">
        <f ca="1">_xll.DBRW($D$4,$E$7,$E$8,$E$9,$E$10,$E$12,$D216,$E$6,CU$18,CU$17)</f>
        <v>0</v>
      </c>
      <c r="CV216" s="16">
        <f ca="1">_xll.DBRW($D$4,$E$7,$E$8,$E$9,$E$10,$E$12,$D216,$E$6,CV$18,CV$17)</f>
        <v>0</v>
      </c>
      <c r="CW216" s="16" t="str">
        <f ca="1">_xll.DBRW($D$4,$E$7,$E$8,$E$9,$E$10,$E$12,$D216,$E$6,CW$18,CW$17)</f>
        <v/>
      </c>
      <c r="CX216" s="16">
        <f ca="1">_xll.DBRW($D$4,$E$7,$E$8,$E$9,$E$10,$E$12,$D216,$E$6,CX$18,CX$17)</f>
        <v>0</v>
      </c>
      <c r="CY216" s="16">
        <f ca="1">_xll.DBRW($D$4,$E$7,$E$8,$E$9,$E$10,$E$12,$D216,$E$6,CY$18,CY$17)</f>
        <v>0</v>
      </c>
      <c r="CZ216" s="16">
        <f ca="1">_xll.DBRW($D$4,$E$7,$E$8,$E$9,$E$10,$E$12,$D216,$E$6,CZ$18,CZ$17)</f>
        <v>0</v>
      </c>
      <c r="DA216" s="26">
        <f t="shared" ca="1" si="127"/>
        <v>6.2747947339998889E-3</v>
      </c>
      <c r="DB216" s="26">
        <f t="shared" ca="1" si="128"/>
        <v>1.2100733344000004E-2</v>
      </c>
      <c r="DC216" s="26">
        <f t="shared" ca="1" si="129"/>
        <v>0</v>
      </c>
      <c r="DD216" s="26">
        <f t="shared" ca="1" si="130"/>
        <v>2.2916666669999999E-3</v>
      </c>
      <c r="DE216" s="26">
        <f t="shared" ca="1" si="131"/>
        <v>0</v>
      </c>
      <c r="DF216" s="26">
        <f t="shared" ca="1" si="132"/>
        <v>0</v>
      </c>
      <c r="DG216" s="26">
        <f t="shared" ca="1" si="133"/>
        <v>0</v>
      </c>
      <c r="DH216" s="26">
        <f t="shared" ca="1" si="134"/>
        <v>-8.1176052770000617E-3</v>
      </c>
      <c r="DI216" s="26">
        <f t="shared" ca="1" si="135"/>
        <v>-4.5049267700000062E-2</v>
      </c>
      <c r="DJ216" s="26">
        <f t="shared" ca="1" si="136"/>
        <v>6.6812499999999997E-3</v>
      </c>
      <c r="DK216" s="26">
        <f t="shared" ca="1" si="137"/>
        <v>-9.7526835479013092E-3</v>
      </c>
      <c r="DL216" s="26"/>
      <c r="DM216" s="26"/>
      <c r="DN216" s="26"/>
      <c r="DO216" s="26"/>
      <c r="DP216" s="26">
        <f t="shared" ca="1" si="138"/>
        <v>2.0644482043000005E-2</v>
      </c>
      <c r="DQ216" s="26">
        <f t="shared" ca="1" si="139"/>
        <v>-2.595757233103671E-2</v>
      </c>
      <c r="DR216" s="26"/>
      <c r="DS216" s="26"/>
      <c r="DT216" s="26"/>
      <c r="DU216" s="26"/>
      <c r="DV216" s="26">
        <f t="shared" ca="1" si="140"/>
        <v>-3.4227999999999971E-4</v>
      </c>
      <c r="DW216" s="26">
        <f t="shared" ca="1" si="141"/>
        <v>5.8169522270032283E-4</v>
      </c>
      <c r="DX216" s="26"/>
      <c r="DY216" s="26"/>
      <c r="DZ216" s="26"/>
      <c r="EA216" s="26"/>
      <c r="EB216" s="26">
        <f t="shared" ca="1" si="142"/>
        <v>-3.0899999999999998E-4</v>
      </c>
      <c r="EC216" s="26">
        <f t="shared" ca="1" si="143"/>
        <v>4.6567266099404025E-4</v>
      </c>
      <c r="ED216" s="26"/>
      <c r="EE216" s="26"/>
      <c r="EF216" s="26"/>
      <c r="EG216" s="26"/>
      <c r="EH216" s="26">
        <f t="shared" ca="1" si="144"/>
        <v>1.0257210380000048E-2</v>
      </c>
      <c r="EI216" s="29">
        <f t="shared" ca="1" si="145"/>
        <v>1.2017525450099598E-2</v>
      </c>
      <c r="EJ216" s="29"/>
      <c r="EK216" s="29"/>
      <c r="EL216" s="29"/>
      <c r="EM216" s="29"/>
      <c r="EN216" s="93"/>
      <c r="EO216" s="29"/>
      <c r="EP216" s="29"/>
      <c r="EQ216" s="29"/>
      <c r="ER216" s="29"/>
      <c r="ES216" s="29"/>
      <c r="ET216" s="29"/>
      <c r="EU216" s="93"/>
      <c r="EV216" s="29"/>
      <c r="EW216" s="29"/>
      <c r="EX216" s="29"/>
      <c r="EY216" s="29"/>
      <c r="EZ216" s="29"/>
      <c r="FA216" s="29"/>
      <c r="FB216" s="93"/>
      <c r="FC216" s="29"/>
      <c r="FD216" s="29"/>
      <c r="FE216" s="29"/>
      <c r="FF216" s="29"/>
      <c r="FG216" s="29"/>
      <c r="FH216" s="29"/>
      <c r="FI216" s="93"/>
      <c r="FJ216" s="29"/>
      <c r="FK216" s="29"/>
      <c r="FL216" s="29"/>
      <c r="FM216" s="29"/>
      <c r="FN216" s="29"/>
      <c r="FO216" s="29"/>
      <c r="FP216" s="93"/>
      <c r="FQ216" s="29"/>
      <c r="FR216" s="29"/>
      <c r="FS216" s="29"/>
      <c r="FT216" s="29"/>
      <c r="FU216" s="29"/>
      <c r="FV216" s="29"/>
    </row>
    <row r="217" spans="1:178" x14ac:dyDescent="0.25">
      <c r="A217" t="str">
        <f ca="1">IF(_xll.TM1RPTELISCONSOLIDATED($D$28,$D217),IF(_xll.TM1RPTELLEV($D$28,$D217)&lt;=3,_xll.TM1RPTELLEV($D$28,$D217),"D"),"N")</f>
        <v>N</v>
      </c>
      <c r="B217" t="str">
        <f ca="1">_xll.DBRA(Server&amp;"Management_organization",$D217,$B$27)</f>
        <v>L</v>
      </c>
      <c r="C217">
        <v>1</v>
      </c>
      <c r="D217" s="2" t="s">
        <v>309</v>
      </c>
      <c r="E217" s="26"/>
      <c r="F217" s="26"/>
      <c r="G217" s="16">
        <f ca="1">_xll.DBRW($D$4,$E$7,$E$8,$E$9,$E$10,$E$12,$D217,$E$6,G$18,G$17)</f>
        <v>-0.56623277579999809</v>
      </c>
      <c r="H217" s="16">
        <f ca="1">_xll.DBRW($D$4,$E$7,$E$8,$E$9,$E$10,$E$12,$D217,$E$6,H$18,H$17)</f>
        <v>-1.8769851558000001</v>
      </c>
      <c r="I217" s="16">
        <f ca="1">_xll.DBRW($D$4,$E$7,$E$8,$E$9,$E$10,$E$12,$D217,$E$6,I$18,I$17)</f>
        <v>0</v>
      </c>
      <c r="J217" s="26">
        <f ca="1">_xll.DBRW($D$4,$E$7,$E$8,$E$9,$E$10,$E$12,$D217,$E$6,J$18,J$17)</f>
        <v>-8.5854720000000009E-2</v>
      </c>
      <c r="K217" s="26">
        <f ca="1">_xll.DBRW($D$4,$E$7,$E$8,$E$9,$E$10,$E$12,$D217,$E$6,K$18,K$17)</f>
        <v>0</v>
      </c>
      <c r="L217" s="26">
        <f ca="1">_xll.DBRW($D$4,$E$7,$E$8,$E$9,$E$10,$E$12,$D217,$E$6,L$18,L$17)</f>
        <v>0</v>
      </c>
      <c r="M217" s="26">
        <f ca="1">_xll.DBRW($D$4,$E$7,$E$8,$E$9,$E$10,$E$12,$D217,$E$6,M$18,M$17)</f>
        <v>0</v>
      </c>
      <c r="N217" s="16">
        <f ca="1">_xll.DBRW($D$4,$E$7,$E$8,$E$9,$E$10,$E$12,$D217,$E$6,N$18,N$17)</f>
        <v>1.3966071000000018</v>
      </c>
      <c r="O217" s="16">
        <f ca="1">_xll.DBRW($D$4,$E$7,$E$8,$E$9,$E$10,$E$12,$D217,$E$6,O$18,O$17)</f>
        <v>15.010623450000002</v>
      </c>
      <c r="P217" s="74">
        <f ca="1">_xll.DBRW($D$4,$E$7,$E$8,$E$9,$E$10,$E$12,$D217,$E$6,P$18,P$17)</f>
        <v>-7.3687917800000005</v>
      </c>
      <c r="Q217" s="16">
        <f ca="1">_xll.DBRW($D$4,$E$7,$E$8,$E$9,$E$10,$E$12,$D217,$E$6,Q$18,Q$17)</f>
        <v>0.49090511160614048</v>
      </c>
      <c r="R217" s="16"/>
      <c r="S217" s="16"/>
      <c r="T217" s="16"/>
      <c r="U217" s="16"/>
      <c r="V217" s="16">
        <f ca="1">_xll.DBRW($D$4,$E$7,$E$8,$E$9,$E$10,$E$12,$D217,$E$6,V$18,V$17)</f>
        <v>-1.1523195099999999</v>
      </c>
      <c r="W217" s="16">
        <f ca="1">_xll.DBRW($D$4,$E$7,$E$8,$E$9,$E$10,$E$12,$D217,$E$6,W$18,W$17)</f>
        <v>7.6766932022400425E-2</v>
      </c>
      <c r="X217" s="16"/>
      <c r="Y217" s="16"/>
      <c r="Z217" s="16"/>
      <c r="AA217" s="16"/>
      <c r="AB217" s="16">
        <f ca="1">_xll.DBRW($D$4,$E$7,$E$8,$E$9,$E$10,$E$12,$D217,$E$6,AB$18,AB$17)</f>
        <v>-1.37412154</v>
      </c>
      <c r="AC217" s="16">
        <f ca="1">_xll.DBRW($D$4,$E$7,$E$8,$E$9,$E$10,$E$12,$D217,$E$6,AC$18,AC$17)</f>
        <v>9.1543268977278866E-2</v>
      </c>
      <c r="AD217" s="16"/>
      <c r="AE217" s="16"/>
      <c r="AF217" s="16"/>
      <c r="AG217" s="16"/>
      <c r="AH217" s="16">
        <f ca="1">_xll.DBRW($D$4,$E$7,$E$8,$E$9,$E$10,$E$12,$D217,$E$6,AH$18,AH$17)</f>
        <v>-1.5328074799999998</v>
      </c>
      <c r="AI217" s="16">
        <f ca="1">_xll.DBRW($D$4,$E$7,$E$8,$E$9,$E$10,$E$12,$D217,$E$6,AI$18,AI$17)</f>
        <v>0.10211484453698687</v>
      </c>
      <c r="AJ217" s="16"/>
      <c r="AK217" s="16"/>
      <c r="AL217" s="16"/>
      <c r="AM217" s="16"/>
      <c r="AN217" s="16">
        <f ca="1">_xll.DBRW($D$4,$E$7,$E$8,$E$9,$E$10,$E$12,$D217,$E$6,AN$18,AN$17)</f>
        <v>-2.1859760399999999</v>
      </c>
      <c r="AO217" s="16">
        <f ca="1">_xll.DBRW($D$4,$E$7,$E$8,$E$9,$E$10,$E$12,$D217,$E$6,AO$18,AO$17)</f>
        <v>0.14562859745842199</v>
      </c>
      <c r="AP217" s="16"/>
      <c r="AQ217" s="16"/>
      <c r="AR217" s="16"/>
      <c r="AS217" s="16"/>
      <c r="AT217" s="16">
        <f ca="1">_xll.DBRW($D$4,$E$7,$E$8,$E$9,$E$10,$E$12,$D217,$E$6,AT$18,AT$17)</f>
        <v>0.19953833160000001</v>
      </c>
      <c r="AU217" s="16">
        <f ca="1">_xll.DBRW($D$4,$E$7,$E$8,$E$9,$E$10,$E$12,$D217,$E$6,AU$18,AU$17)</f>
        <v>0.12132868329999999</v>
      </c>
      <c r="AV217" s="16">
        <f ca="1">_xll.DBRW($D$4,$E$7,$E$8,$E$9,$E$10,$E$12,$D217,$E$6,AV$18,AV$17)</f>
        <v>5.3198190000000007</v>
      </c>
      <c r="AW217" s="16">
        <f ca="1">_xll.DBRW($D$4,$E$7,$E$8,$E$9,$E$10,$E$12,$D217,$E$6,AW$18,AW$17)</f>
        <v>0.12132868329999999</v>
      </c>
      <c r="AX217" s="16">
        <f ca="1">_xll.DBRW($D$4,$E$7,$E$8,$E$9,$E$10,$E$12,$D217,$E$6,AX$18,AX$17)</f>
        <v>1.3406663600000002</v>
      </c>
      <c r="AY217" s="16">
        <f ca="1">_xll.DBRW($D$4,$E$7,$E$8,$E$9,$E$10,$E$12,$D217,$E$6,AY$18,AY$17)</f>
        <v>0.12132868329999999</v>
      </c>
      <c r="AZ217" s="16">
        <f ca="1">_xll.DBRW($D$4,$E$7,$E$8,$E$9,$E$10,$E$12,$D217,$E$6,AZ$18,AZ$17)</f>
        <v>7.1000000000000005E-5</v>
      </c>
      <c r="BA217" s="16">
        <f ca="1">_xll.DBRW($D$4,$E$7,$E$8,$E$9,$E$10,$E$12,$D217,$E$6,BA$18,BA$17)</f>
        <v>0.12132868329999999</v>
      </c>
      <c r="BB217" s="16">
        <f ca="1">_xll.DBRW($D$4,$E$7,$E$8,$E$9,$E$10,$E$12,$D217,$E$6,BB$18,BB$17)</f>
        <v>0.12132868329999999</v>
      </c>
      <c r="BC217" s="16">
        <f ca="1">_xll.DBRW($D$4,$E$7,$E$8,$E$9,$E$10,$E$12,$D217,$E$6,BC$18,BC$17)</f>
        <v>0.12132868329999999</v>
      </c>
      <c r="BD217" s="16">
        <f ca="1">_xll.DBRW($D$4,$E$7,$E$8,$E$9,$E$10,$E$12,$D217,$E$6,BD$18,BD$17)</f>
        <v>-0.23036157367000309</v>
      </c>
      <c r="BE217" s="16">
        <f ca="1">_xll.DBRW($D$4,$E$7,$E$8,$E$9,$E$10,$E$12,$D217,$E$6,BE$18,BE$17)</f>
        <v>-2.1075576648599998</v>
      </c>
      <c r="BF217" s="16">
        <f ca="1">_xll.DBRW($D$4,$E$7,$E$8,$E$9,$E$10,$E$12,$D217,$E$6,BF$18,BF$17)</f>
        <v>0</v>
      </c>
      <c r="BG217" s="26">
        <f ca="1">_xll.DBRW($D$4,$E$7,$E$8,$E$9,$E$10,$E$12,$D217,$E$6,BG$18,BG$17)</f>
        <v>-0.1197160006</v>
      </c>
      <c r="BH217" s="26">
        <f ca="1">_xll.DBRW($D$4,$E$7,$E$8,$E$9,$E$10,$E$12,$D217,$E$6,BH$18,BH$17)</f>
        <v>0</v>
      </c>
      <c r="BI217" s="26">
        <f ca="1">_xll.DBRW($D$4,$E$7,$E$8,$E$9,$E$10,$E$12,$D217,$E$6,BI$18,BI$17)</f>
        <v>0</v>
      </c>
      <c r="BJ217" s="26">
        <f ca="1">_xll.DBRW($D$4,$E$7,$E$8,$E$9,$E$10,$E$12,$D217,$E$6,BJ$18,BJ$17)</f>
        <v>0</v>
      </c>
      <c r="BK217" s="16">
        <f ca="1">_xll.DBRW($D$4,$E$7,$E$8,$E$9,$E$10,$E$12,$D217,$E$6,BK$18,BK$17)</f>
        <v>1.996912091789997</v>
      </c>
      <c r="BL217" s="16">
        <f ca="1">_xll.DBRW($D$4,$E$7,$E$8,$E$9,$E$10,$E$12,$D217,$E$6,BL$18,BL$17)</f>
        <v>17.454834126499996</v>
      </c>
      <c r="BM217" s="16">
        <f ca="1">_xll.DBRW($D$4,$E$7,$E$8,$E$9,$E$10,$E$12,$D217,$E$6,BM$18,BM$17)</f>
        <v>-8.2406006339999998</v>
      </c>
      <c r="BN217" s="16">
        <f ca="1">_xll.DBRW($D$4,$E$7,$E$8,$E$9,$E$10,$E$12,$D217,$E$6,BN$18,BN$17)</f>
        <v>0.47210993666729195</v>
      </c>
      <c r="BO217" s="16"/>
      <c r="BP217" s="16"/>
      <c r="BQ217" s="16"/>
      <c r="BR217" s="16"/>
      <c r="BS217" s="16">
        <f ca="1">_xll.DBRW($D$4,$E$7,$E$8,$E$9,$E$10,$E$12,$D217,$E$6,BS$18,BS$17)</f>
        <v>-1.2023031550000001</v>
      </c>
      <c r="BT217" s="16">
        <f ca="1">_xll.DBRW($D$4,$E$7,$E$8,$E$9,$E$10,$E$12,$D217,$E$6,BT$18,BT$17)</f>
        <v>6.8880812403405128E-2</v>
      </c>
      <c r="BU217" s="16"/>
      <c r="BV217" s="16"/>
      <c r="BW217" s="16"/>
      <c r="BX217" s="16"/>
      <c r="BY217" s="16">
        <f ca="1">_xll.DBRW($D$4,$E$7,$E$8,$E$9,$E$10,$E$12,$D217,$E$6,BY$18,BY$17)</f>
        <v>-1.6033492048000002</v>
      </c>
      <c r="BZ217" s="16">
        <f ca="1">_xll.DBRW($D$4,$E$7,$E$8,$E$9,$E$10,$E$12,$D217,$E$6,BZ$18,BZ$17)</f>
        <v>9.185702901443156E-2</v>
      </c>
      <c r="CA217" s="16"/>
      <c r="CB217" s="16"/>
      <c r="CC217" s="16"/>
      <c r="CD217" s="16"/>
      <c r="CE217" s="16">
        <f ca="1">_xll.DBRW($D$4,$E$7,$E$8,$E$9,$E$10,$E$12,$D217,$E$6,CE$18,CE$17)</f>
        <v>-2.0879400979999998</v>
      </c>
      <c r="CF217" s="16">
        <f ca="1">_xll.DBRW($D$4,$E$7,$E$8,$E$9,$E$10,$E$12,$D217,$E$6,CF$18,CF$17)</f>
        <v>0.11961958978630918</v>
      </c>
      <c r="CG217" s="16"/>
      <c r="CH217" s="16"/>
      <c r="CI217" s="16"/>
      <c r="CJ217" s="16"/>
      <c r="CK217" s="16">
        <f ca="1">_xll.DBRW($D$4,$E$7,$E$8,$E$9,$E$10,$E$12,$D217,$E$6,CK$18,CK$17)</f>
        <v>-2.3237289429099999</v>
      </c>
      <c r="CL217" s="16">
        <f ca="1">_xll.DBRW($D$4,$E$7,$E$8,$E$9,$E$10,$E$12,$D217,$E$6,CL$18,CL$17)</f>
        <v>0.13312810228211253</v>
      </c>
      <c r="CM217" s="16"/>
      <c r="CN217" s="16"/>
      <c r="CO217" s="16"/>
      <c r="CP217" s="16"/>
      <c r="CQ217" s="16">
        <f ca="1">_xll.DBRW($D$4,$E$7,$E$8,$E$9,$E$10,$E$12,$D217,$E$6,CQ$18,CQ$17)</f>
        <v>0.22688034029999998</v>
      </c>
      <c r="CR217" s="16">
        <f ca="1">_xll.DBRW($D$4,$E$7,$E$8,$E$9,$E$10,$E$12,$D217,$E$6,CR$18,CR$17)</f>
        <v>0.1401115667</v>
      </c>
      <c r="CS217" s="16">
        <f ca="1">_xll.DBRW($D$4,$E$7,$E$8,$E$9,$E$10,$E$12,$D217,$E$6,CS$18,CS$17)</f>
        <v>6.3509669889999998</v>
      </c>
      <c r="CT217" s="16">
        <f ca="1">_xll.DBRW($D$4,$E$7,$E$8,$E$9,$E$10,$E$12,$D217,$E$6,CT$18,CT$17)</f>
        <v>0.1401115667</v>
      </c>
      <c r="CU217" s="16">
        <f ca="1">_xll.DBRW($D$4,$E$7,$E$8,$E$9,$E$10,$E$12,$D217,$E$6,CU$18,CU$17)</f>
        <v>1.495220196</v>
      </c>
      <c r="CV217" s="16">
        <f ca="1">_xll.DBRW($D$4,$E$7,$E$8,$E$9,$E$10,$E$12,$D217,$E$6,CV$18,CV$17)</f>
        <v>0.1401115667</v>
      </c>
      <c r="CW217" s="16">
        <f ca="1">_xll.DBRW($D$4,$E$7,$E$8,$E$9,$E$10,$E$12,$D217,$E$6,CW$18,CW$17)</f>
        <v>6.9818181818181822E-5</v>
      </c>
      <c r="CX217" s="16">
        <f ca="1">_xll.DBRW($D$4,$E$7,$E$8,$E$9,$E$10,$E$12,$D217,$E$6,CX$18,CX$17)</f>
        <v>0.1401115667</v>
      </c>
      <c r="CY217" s="16">
        <f ca="1">_xll.DBRW($D$4,$E$7,$E$8,$E$9,$E$10,$E$12,$D217,$E$6,CY$18,CY$17)</f>
        <v>0.1401115667</v>
      </c>
      <c r="CZ217" s="16">
        <f ca="1">_xll.DBRW($D$4,$E$7,$E$8,$E$9,$E$10,$E$12,$D217,$E$6,CZ$18,CZ$17)</f>
        <v>0.1401115667</v>
      </c>
      <c r="DA217" s="26">
        <f t="shared" ca="1" si="127"/>
        <v>-0.33587120212999499</v>
      </c>
      <c r="DB217" s="26">
        <f t="shared" ca="1" si="128"/>
        <v>0.23057250905999971</v>
      </c>
      <c r="DC217" s="26">
        <f t="shared" ca="1" si="129"/>
        <v>0</v>
      </c>
      <c r="DD217" s="26">
        <f t="shared" ca="1" si="130"/>
        <v>3.3861280599999988E-2</v>
      </c>
      <c r="DE217" s="26">
        <f t="shared" ca="1" si="131"/>
        <v>0</v>
      </c>
      <c r="DF217" s="26">
        <f t="shared" ca="1" si="132"/>
        <v>0</v>
      </c>
      <c r="DG217" s="26">
        <f t="shared" ca="1" si="133"/>
        <v>0</v>
      </c>
      <c r="DH217" s="26">
        <f t="shared" ca="1" si="134"/>
        <v>-0.60030499178999519</v>
      </c>
      <c r="DI217" s="26">
        <f t="shared" ca="1" si="135"/>
        <v>-2.4442106764999938</v>
      </c>
      <c r="DJ217" s="26">
        <f t="shared" ca="1" si="136"/>
        <v>0.8718088539999993</v>
      </c>
      <c r="DK217" s="26">
        <f t="shared" ca="1" si="137"/>
        <v>1.8795174938848525E-2</v>
      </c>
      <c r="DL217" s="26"/>
      <c r="DM217" s="26"/>
      <c r="DN217" s="26"/>
      <c r="DO217" s="26"/>
      <c r="DP217" s="26">
        <f t="shared" ca="1" si="138"/>
        <v>4.9983645000000188E-2</v>
      </c>
      <c r="DQ217" s="26">
        <f t="shared" ca="1" si="139"/>
        <v>7.8861196189952965E-3</v>
      </c>
      <c r="DR217" s="26"/>
      <c r="DS217" s="26"/>
      <c r="DT217" s="26"/>
      <c r="DU217" s="26"/>
      <c r="DV217" s="26">
        <f t="shared" ca="1" si="140"/>
        <v>0.22922766480000023</v>
      </c>
      <c r="DW217" s="26">
        <f t="shared" ca="1" si="141"/>
        <v>-3.1376003715269385E-4</v>
      </c>
      <c r="DX217" s="26"/>
      <c r="DY217" s="26"/>
      <c r="DZ217" s="26"/>
      <c r="EA217" s="26"/>
      <c r="EB217" s="26">
        <f t="shared" ca="1" si="142"/>
        <v>0.55513261800000002</v>
      </c>
      <c r="EC217" s="26">
        <f t="shared" ca="1" si="143"/>
        <v>-1.7504745249322315E-2</v>
      </c>
      <c r="ED217" s="26"/>
      <c r="EE217" s="26"/>
      <c r="EF217" s="26"/>
      <c r="EG217" s="26"/>
      <c r="EH217" s="26">
        <f t="shared" ca="1" si="144"/>
        <v>0.13775290290999997</v>
      </c>
      <c r="EI217" s="29">
        <f t="shared" ca="1" si="145"/>
        <v>1.2500495176309467E-2</v>
      </c>
      <c r="EJ217" s="29"/>
      <c r="EK217" s="29"/>
      <c r="EL217" s="29"/>
      <c r="EM217" s="29"/>
      <c r="EN217" s="93"/>
      <c r="EO217" s="29"/>
      <c r="EP217" s="29"/>
      <c r="EQ217" s="29"/>
      <c r="ER217" s="29"/>
      <c r="ES217" s="29"/>
      <c r="ET217" s="29"/>
      <c r="EU217" s="93"/>
      <c r="EV217" s="29"/>
      <c r="EW217" s="29"/>
      <c r="EX217" s="29"/>
      <c r="EY217" s="29"/>
      <c r="EZ217" s="29"/>
      <c r="FA217" s="29"/>
      <c r="FB217" s="93"/>
      <c r="FC217" s="29"/>
      <c r="FD217" s="29"/>
      <c r="FE217" s="29"/>
      <c r="FF217" s="29"/>
      <c r="FG217" s="29"/>
      <c r="FH217" s="29"/>
      <c r="FI217" s="93"/>
      <c r="FJ217" s="29"/>
      <c r="FK217" s="29"/>
      <c r="FL217" s="29"/>
      <c r="FM217" s="29"/>
      <c r="FN217" s="29"/>
      <c r="FO217" s="29"/>
      <c r="FP217" s="93"/>
      <c r="FQ217" s="29"/>
      <c r="FR217" s="29"/>
      <c r="FS217" s="29"/>
      <c r="FT217" s="29"/>
      <c r="FU217" s="29"/>
      <c r="FV217" s="29"/>
    </row>
    <row r="218" spans="1:178" x14ac:dyDescent="0.25">
      <c r="A218" t="str">
        <f ca="1">IF(_xll.TM1RPTELISCONSOLIDATED($D$28,$D218),IF(_xll.TM1RPTELLEV($D$28,$D218)&lt;=3,_xll.TM1RPTELLEV($D$28,$D218),"D"),"N")</f>
        <v>N</v>
      </c>
      <c r="B218" t="str">
        <f ca="1">_xll.DBRA(Server&amp;"Management_organization",$D218,$B$27)</f>
        <v>L</v>
      </c>
      <c r="C218">
        <v>1</v>
      </c>
      <c r="D218" s="2" t="s">
        <v>327</v>
      </c>
      <c r="E218" s="26"/>
      <c r="F218" s="26"/>
      <c r="G218" s="16">
        <f ca="1">_xll.DBRW($D$4,$E$7,$E$8,$E$9,$E$10,$E$12,$D218,$E$6,G$18,G$17)</f>
        <v>1.6258351499999961</v>
      </c>
      <c r="H218" s="16">
        <f ca="1">_xll.DBRW($D$4,$E$7,$E$8,$E$9,$E$10,$E$12,$D218,$E$6,H$18,H$17)</f>
        <v>-2.7558966399999996</v>
      </c>
      <c r="I218" s="16">
        <f ca="1">_xll.DBRW($D$4,$E$7,$E$8,$E$9,$E$10,$E$12,$D218,$E$6,I$18,I$17)</f>
        <v>0</v>
      </c>
      <c r="J218" s="26">
        <f ca="1">_xll.DBRW($D$4,$E$7,$E$8,$E$9,$E$10,$E$12,$D218,$E$6,J$18,J$17)</f>
        <v>-6.5945490000000009E-2</v>
      </c>
      <c r="K218" s="26">
        <f ca="1">_xll.DBRW($D$4,$E$7,$E$8,$E$9,$E$10,$E$12,$D218,$E$6,K$18,K$17)</f>
        <v>0</v>
      </c>
      <c r="L218" s="26">
        <f ca="1">_xll.DBRW($D$4,$E$7,$E$8,$E$9,$E$10,$E$12,$D218,$E$6,L$18,L$17)</f>
        <v>0</v>
      </c>
      <c r="M218" s="26">
        <f ca="1">_xll.DBRW($D$4,$E$7,$E$8,$E$9,$E$10,$E$12,$D218,$E$6,M$18,M$17)</f>
        <v>0</v>
      </c>
      <c r="N218" s="16">
        <f ca="1">_xll.DBRW($D$4,$E$7,$E$8,$E$9,$E$10,$E$12,$D218,$E$6,N$18,N$17)</f>
        <v>4.4476772799999944</v>
      </c>
      <c r="O218" s="16">
        <f ca="1">_xll.DBRW($D$4,$E$7,$E$8,$E$9,$E$10,$E$12,$D218,$E$6,O$18,O$17)</f>
        <v>29.292742599999997</v>
      </c>
      <c r="P218" s="74">
        <f ca="1">_xll.DBRW($D$4,$E$7,$E$8,$E$9,$E$10,$E$12,$D218,$E$6,P$18,P$17)</f>
        <v>-14.988119960000002</v>
      </c>
      <c r="Q218" s="16">
        <f ca="1">_xll.DBRW($D$4,$E$7,$E$8,$E$9,$E$10,$E$12,$D218,$E$6,Q$18,Q$17)</f>
        <v>0.51166666654149362</v>
      </c>
      <c r="R218" s="16"/>
      <c r="S218" s="16"/>
      <c r="T218" s="16"/>
      <c r="U218" s="16"/>
      <c r="V218" s="16">
        <f ca="1">_xll.DBRW($D$4,$E$7,$E$8,$E$9,$E$10,$E$12,$D218,$E$6,V$18,V$17)</f>
        <v>-3.4349449400000003</v>
      </c>
      <c r="W218" s="16">
        <f ca="1">_xll.DBRW($D$4,$E$7,$E$8,$E$9,$E$10,$E$12,$D218,$E$6,W$18,W$17)</f>
        <v>0.11726266082029481</v>
      </c>
      <c r="X218" s="16"/>
      <c r="Y218" s="16"/>
      <c r="Z218" s="16"/>
      <c r="AA218" s="16"/>
      <c r="AB218" s="16">
        <f ca="1">_xll.DBRW($D$4,$E$7,$E$8,$E$9,$E$10,$E$12,$D218,$E$6,AB$18,AB$17)</f>
        <v>-2.0202927499999999</v>
      </c>
      <c r="AC218" s="16">
        <f ca="1">_xll.DBRW($D$4,$E$7,$E$8,$E$9,$E$10,$E$12,$D218,$E$6,AC$18,AC$17)</f>
        <v>6.8969054130151683E-2</v>
      </c>
      <c r="AD218" s="16"/>
      <c r="AE218" s="16"/>
      <c r="AF218" s="16"/>
      <c r="AG218" s="16"/>
      <c r="AH218" s="16">
        <f ca="1">_xll.DBRW($D$4,$E$7,$E$8,$E$9,$E$10,$E$12,$D218,$E$6,AH$18,AH$17)</f>
        <v>-1.39915247</v>
      </c>
      <c r="AI218" s="16">
        <f ca="1">_xll.DBRW($D$4,$E$7,$E$8,$E$9,$E$10,$E$12,$D218,$E$6,AI$18,AI$17)</f>
        <v>4.7764474945408496E-2</v>
      </c>
      <c r="AJ218" s="16"/>
      <c r="AK218" s="16"/>
      <c r="AL218" s="16"/>
      <c r="AM218" s="16"/>
      <c r="AN218" s="16">
        <f ca="1">_xll.DBRW($D$4,$E$7,$E$8,$E$9,$E$10,$E$12,$D218,$E$6,AN$18,AN$17)</f>
        <v>-3.0025551999999998</v>
      </c>
      <c r="AO218" s="16">
        <f ca="1">_xll.DBRW($D$4,$E$7,$E$8,$E$9,$E$10,$E$12,$D218,$E$6,AO$18,AO$17)</f>
        <v>0.10250167561981718</v>
      </c>
      <c r="AP218" s="16"/>
      <c r="AQ218" s="16"/>
      <c r="AR218" s="16"/>
      <c r="AS218" s="16"/>
      <c r="AT218" s="16">
        <f ca="1">_xll.DBRW($D$4,$E$7,$E$8,$E$9,$E$10,$E$12,$D218,$E$6,AT$18,AT$17)</f>
        <v>0.43032298409999997</v>
      </c>
      <c r="AU218" s="16">
        <f ca="1">_xll.DBRW($D$4,$E$7,$E$8,$E$9,$E$10,$E$12,$D218,$E$6,AU$18,AU$17)</f>
        <v>0.25575050000000005</v>
      </c>
      <c r="AV218" s="16">
        <f ca="1">_xll.DBRW($D$4,$E$7,$E$8,$E$9,$E$10,$E$12,$D218,$E$6,AV$18,AV$17)</f>
        <v>0</v>
      </c>
      <c r="AW218" s="16">
        <f ca="1">_xll.DBRW($D$4,$E$7,$E$8,$E$9,$E$10,$E$12,$D218,$E$6,AW$18,AW$17)</f>
        <v>0.25575050000000005</v>
      </c>
      <c r="AX218" s="16">
        <f ca="1">_xll.DBRW($D$4,$E$7,$E$8,$E$9,$E$10,$E$12,$D218,$E$6,AX$18,AX$17)</f>
        <v>5.2170302191919999</v>
      </c>
      <c r="AY218" s="16">
        <f ca="1">_xll.DBRW($D$4,$E$7,$E$8,$E$9,$E$10,$E$12,$D218,$E$6,AY$18,AY$17)</f>
        <v>0.25575050000000005</v>
      </c>
      <c r="AZ218" s="16">
        <f ca="1">_xll.DBRW($D$4,$E$7,$E$8,$E$9,$E$10,$E$12,$D218,$E$6,AZ$18,AZ$17)</f>
        <v>1.316E-4</v>
      </c>
      <c r="BA218" s="16">
        <f ca="1">_xll.DBRW($D$4,$E$7,$E$8,$E$9,$E$10,$E$12,$D218,$E$6,BA$18,BA$17)</f>
        <v>0.25575050000000005</v>
      </c>
      <c r="BB218" s="16">
        <f ca="1">_xll.DBRW($D$4,$E$7,$E$8,$E$9,$E$10,$E$12,$D218,$E$6,BB$18,BB$17)</f>
        <v>0.25575050000000005</v>
      </c>
      <c r="BC218" s="16">
        <f ca="1">_xll.DBRW($D$4,$E$7,$E$8,$E$9,$E$10,$E$12,$D218,$E$6,BC$18,BC$17)</f>
        <v>0.25575050000000005</v>
      </c>
      <c r="BD218" s="16">
        <f ca="1">_xll.DBRW($D$4,$E$7,$E$8,$E$9,$E$10,$E$12,$D218,$E$6,BD$18,BD$17)</f>
        <v>1.5786546290507808</v>
      </c>
      <c r="BE218" s="16">
        <f ca="1">_xll.DBRW($D$4,$E$7,$E$8,$E$9,$E$10,$E$12,$D218,$E$6,BE$18,BE$17)</f>
        <v>-3.0277461087592306</v>
      </c>
      <c r="BF218" s="16">
        <f ca="1">_xll.DBRW($D$4,$E$7,$E$8,$E$9,$E$10,$E$12,$D218,$E$6,BF$18,BF$17)</f>
        <v>0</v>
      </c>
      <c r="BG218" s="26">
        <f ca="1">_xll.DBRW($D$4,$E$7,$E$8,$E$9,$E$10,$E$12,$D218,$E$6,BG$18,BG$17)</f>
        <v>-8.1549966670000001E-2</v>
      </c>
      <c r="BH218" s="26">
        <f ca="1">_xll.DBRW($D$4,$E$7,$E$8,$E$9,$E$10,$E$12,$D218,$E$6,BH$18,BH$17)</f>
        <v>0</v>
      </c>
      <c r="BI218" s="26">
        <f ca="1">_xll.DBRW($D$4,$E$7,$E$8,$E$9,$E$10,$E$12,$D218,$E$6,BI$18,BI$17)</f>
        <v>0</v>
      </c>
      <c r="BJ218" s="26">
        <f ca="1">_xll.DBRW($D$4,$E$7,$E$8,$E$9,$E$10,$E$12,$D218,$E$6,BJ$18,BJ$17)</f>
        <v>0</v>
      </c>
      <c r="BK218" s="16">
        <f ca="1">_xll.DBRW($D$4,$E$7,$E$8,$E$9,$E$10,$E$12,$D218,$E$6,BK$18,BK$17)</f>
        <v>4.6879507044800102</v>
      </c>
      <c r="BL218" s="16">
        <f ca="1">_xll.DBRW($D$4,$E$7,$E$8,$E$9,$E$10,$E$12,$D218,$E$6,BL$18,BL$17)</f>
        <v>32.246562968080006</v>
      </c>
      <c r="BM218" s="16">
        <f ca="1">_xll.DBRW($D$4,$E$7,$E$8,$E$9,$E$10,$E$12,$D218,$E$6,BM$18,BM$17)</f>
        <v>-17.171115809999996</v>
      </c>
      <c r="BN218" s="16">
        <f ca="1">_xll.DBRW($D$4,$E$7,$E$8,$E$9,$E$10,$E$12,$D218,$E$6,BN$18,BN$17)</f>
        <v>0.53249444993555484</v>
      </c>
      <c r="BO218" s="16"/>
      <c r="BP218" s="16"/>
      <c r="BQ218" s="16"/>
      <c r="BR218" s="16"/>
      <c r="BS218" s="16">
        <f ca="1">_xll.DBRW($D$4,$E$7,$E$8,$E$9,$E$10,$E$12,$D218,$E$6,BS$18,BS$17)</f>
        <v>-3.779179848000001</v>
      </c>
      <c r="BT218" s="16">
        <f ca="1">_xll.DBRW($D$4,$E$7,$E$8,$E$9,$E$10,$E$12,$D218,$E$6,BT$18,BT$17)</f>
        <v>0.1171963614150416</v>
      </c>
      <c r="BU218" s="16"/>
      <c r="BV218" s="16"/>
      <c r="BW218" s="16"/>
      <c r="BX218" s="16"/>
      <c r="BY218" s="16">
        <f ca="1">_xll.DBRW($D$4,$E$7,$E$8,$E$9,$E$10,$E$12,$D218,$E$6,BY$18,BY$17)</f>
        <v>-1.7892137463300002</v>
      </c>
      <c r="BZ218" s="16">
        <f ca="1">_xll.DBRW($D$4,$E$7,$E$8,$E$9,$E$10,$E$12,$D218,$E$6,BZ$18,BZ$17)</f>
        <v>5.5485409347380499E-2</v>
      </c>
      <c r="CA218" s="16"/>
      <c r="CB218" s="16"/>
      <c r="CC218" s="16"/>
      <c r="CD218" s="16"/>
      <c r="CE218" s="16">
        <f ca="1">_xll.DBRW($D$4,$E$7,$E$8,$E$9,$E$10,$E$12,$D218,$E$6,CE$18,CE$17)</f>
        <v>-1.4966353233699996</v>
      </c>
      <c r="CF218" s="16">
        <f ca="1">_xll.DBRW($D$4,$E$7,$E$8,$E$9,$E$10,$E$12,$D218,$E$6,CF$18,CF$17)</f>
        <v>4.6412243216477925E-2</v>
      </c>
      <c r="CG218" s="16"/>
      <c r="CH218" s="16"/>
      <c r="CI218" s="16"/>
      <c r="CJ218" s="16"/>
      <c r="CK218" s="16">
        <f ca="1">_xll.DBRW($D$4,$E$7,$E$8,$E$9,$E$10,$E$12,$D218,$E$6,CK$18,CK$17)</f>
        <v>-3.3224675358999995</v>
      </c>
      <c r="CL218" s="16">
        <f ca="1">_xll.DBRW($D$4,$E$7,$E$8,$E$9,$E$10,$E$12,$D218,$E$6,CL$18,CL$17)</f>
        <v>0.10303322990387595</v>
      </c>
      <c r="CM218" s="16"/>
      <c r="CN218" s="16"/>
      <c r="CO218" s="16"/>
      <c r="CP218" s="16"/>
      <c r="CQ218" s="16">
        <f ca="1">_xll.DBRW($D$4,$E$7,$E$8,$E$9,$E$10,$E$12,$D218,$E$6,CQ$18,CQ$17)</f>
        <v>0</v>
      </c>
      <c r="CR218" s="16">
        <f ca="1">_xll.DBRW($D$4,$E$7,$E$8,$E$9,$E$10,$E$12,$D218,$E$6,CR$18,CR$17)</f>
        <v>0</v>
      </c>
      <c r="CS218" s="16">
        <f ca="1">_xll.DBRW($D$4,$E$7,$E$8,$E$9,$E$10,$E$12,$D218,$E$6,CS$18,CS$17)</f>
        <v>0</v>
      </c>
      <c r="CT218" s="16">
        <f ca="1">_xll.DBRW($D$4,$E$7,$E$8,$E$9,$E$10,$E$12,$D218,$E$6,CT$18,CT$17)</f>
        <v>0</v>
      </c>
      <c r="CU218" s="16">
        <f ca="1">_xll.DBRW($D$4,$E$7,$E$8,$E$9,$E$10,$E$12,$D218,$E$6,CU$18,CU$17)</f>
        <v>0</v>
      </c>
      <c r="CV218" s="16">
        <f ca="1">_xll.DBRW($D$4,$E$7,$E$8,$E$9,$E$10,$E$12,$D218,$E$6,CV$18,CV$17)</f>
        <v>0</v>
      </c>
      <c r="CW218" s="16" t="str">
        <f ca="1">_xll.DBRW($D$4,$E$7,$E$8,$E$9,$E$10,$E$12,$D218,$E$6,CW$18,CW$17)</f>
        <v/>
      </c>
      <c r="CX218" s="16">
        <f ca="1">_xll.DBRW($D$4,$E$7,$E$8,$E$9,$E$10,$E$12,$D218,$E$6,CX$18,CX$17)</f>
        <v>0</v>
      </c>
      <c r="CY218" s="16">
        <f ca="1">_xll.DBRW($D$4,$E$7,$E$8,$E$9,$E$10,$E$12,$D218,$E$6,CY$18,CY$17)</f>
        <v>0</v>
      </c>
      <c r="CZ218" s="16">
        <f ca="1">_xll.DBRW($D$4,$E$7,$E$8,$E$9,$E$10,$E$12,$D218,$E$6,CZ$18,CZ$17)</f>
        <v>0</v>
      </c>
      <c r="DA218" s="26">
        <f t="shared" ca="1" si="127"/>
        <v>4.7180520949215321E-2</v>
      </c>
      <c r="DB218" s="26">
        <f t="shared" ca="1" si="128"/>
        <v>0.27184946875923099</v>
      </c>
      <c r="DC218" s="26">
        <f t="shared" ca="1" si="129"/>
        <v>0</v>
      </c>
      <c r="DD218" s="26">
        <f t="shared" ca="1" si="130"/>
        <v>1.5604476669999992E-2</v>
      </c>
      <c r="DE218" s="26">
        <f t="shared" ca="1" si="131"/>
        <v>0</v>
      </c>
      <c r="DF218" s="26">
        <f t="shared" ca="1" si="132"/>
        <v>0</v>
      </c>
      <c r="DG218" s="26">
        <f t="shared" ca="1" si="133"/>
        <v>0</v>
      </c>
      <c r="DH218" s="26">
        <f t="shared" ca="1" si="134"/>
        <v>-0.24027342448001576</v>
      </c>
      <c r="DI218" s="26">
        <f t="shared" ca="1" si="135"/>
        <v>-2.9538203680800095</v>
      </c>
      <c r="DJ218" s="26">
        <f t="shared" ca="1" si="136"/>
        <v>2.182995849999994</v>
      </c>
      <c r="DK218" s="26">
        <f t="shared" ca="1" si="137"/>
        <v>-2.0827783394061217E-2</v>
      </c>
      <c r="DL218" s="26"/>
      <c r="DM218" s="26"/>
      <c r="DN218" s="26"/>
      <c r="DO218" s="26"/>
      <c r="DP218" s="26">
        <f t="shared" ca="1" si="138"/>
        <v>0.34423490800000067</v>
      </c>
      <c r="DQ218" s="26">
        <f t="shared" ca="1" si="139"/>
        <v>6.6299405253211763E-5</v>
      </c>
      <c r="DR218" s="26"/>
      <c r="DS218" s="26"/>
      <c r="DT218" s="26"/>
      <c r="DU218" s="26"/>
      <c r="DV218" s="26">
        <f t="shared" ca="1" si="140"/>
        <v>-0.23107900366999967</v>
      </c>
      <c r="DW218" s="26">
        <f t="shared" ca="1" si="141"/>
        <v>1.3483644782771184E-2</v>
      </c>
      <c r="DX218" s="26"/>
      <c r="DY218" s="26"/>
      <c r="DZ218" s="26"/>
      <c r="EA218" s="26"/>
      <c r="EB218" s="26">
        <f t="shared" ca="1" si="142"/>
        <v>9.7482853369999622E-2</v>
      </c>
      <c r="EC218" s="26">
        <f t="shared" ca="1" si="143"/>
        <v>1.352231728930571E-3</v>
      </c>
      <c r="ED218" s="26"/>
      <c r="EE218" s="26"/>
      <c r="EF218" s="26"/>
      <c r="EG218" s="26"/>
      <c r="EH218" s="26">
        <f t="shared" ca="1" si="144"/>
        <v>0.31991233589999979</v>
      </c>
      <c r="EI218" s="29">
        <f t="shared" ca="1" si="145"/>
        <v>-5.3155428405876615E-4</v>
      </c>
      <c r="EJ218" s="29"/>
      <c r="EK218" s="29"/>
      <c r="EL218" s="29"/>
      <c r="EM218" s="29"/>
      <c r="EN218" s="93"/>
      <c r="EO218" s="29"/>
      <c r="EP218" s="29"/>
      <c r="EQ218" s="29"/>
      <c r="ER218" s="29"/>
      <c r="ES218" s="29"/>
      <c r="ET218" s="29"/>
      <c r="EU218" s="93"/>
      <c r="EV218" s="29"/>
      <c r="EW218" s="29"/>
      <c r="EX218" s="29"/>
      <c r="EY218" s="29"/>
      <c r="EZ218" s="29"/>
      <c r="FA218" s="29"/>
      <c r="FB218" s="93"/>
      <c r="FC218" s="29"/>
      <c r="FD218" s="29"/>
      <c r="FE218" s="29"/>
      <c r="FF218" s="29"/>
      <c r="FG218" s="29"/>
      <c r="FH218" s="29"/>
      <c r="FI218" s="93"/>
      <c r="FJ218" s="29"/>
      <c r="FK218" s="29"/>
      <c r="FL218" s="29"/>
      <c r="FM218" s="29"/>
      <c r="FN218" s="29"/>
      <c r="FO218" s="29"/>
      <c r="FP218" s="93"/>
      <c r="FQ218" s="29"/>
      <c r="FR218" s="29"/>
      <c r="FS218" s="29"/>
      <c r="FT218" s="29"/>
      <c r="FU218" s="29"/>
      <c r="FV218" s="29"/>
    </row>
    <row r="219" spans="1:178" x14ac:dyDescent="0.25">
      <c r="A219" t="str">
        <f ca="1">IF(_xll.TM1RPTELISCONSOLIDATED($D$28,$D219),IF(_xll.TM1RPTELLEV($D$28,$D219)&lt;=3,_xll.TM1RPTELLEV($D$28,$D219),"D"),"N")</f>
        <v>N</v>
      </c>
      <c r="B219" t="str">
        <f ca="1">_xll.DBRA(Server&amp;"Management_organization",$D219,$B$27)</f>
        <v>L</v>
      </c>
      <c r="C219">
        <v>1</v>
      </c>
      <c r="D219" s="2" t="s">
        <v>225</v>
      </c>
      <c r="E219" s="26"/>
      <c r="F219" s="26"/>
      <c r="G219" s="16">
        <f ca="1">_xll.DBRW($D$4,$E$7,$E$8,$E$9,$E$10,$E$12,$D219,$E$6,G$18,G$17)</f>
        <v>1.6535375019999967</v>
      </c>
      <c r="H219" s="16">
        <f ca="1">_xll.DBRW($D$4,$E$7,$E$8,$E$9,$E$10,$E$12,$D219,$E$6,H$18,H$17)</f>
        <v>-2.5602545580000005</v>
      </c>
      <c r="I219" s="16">
        <f ca="1">_xll.DBRW($D$4,$E$7,$E$8,$E$9,$E$10,$E$12,$D219,$E$6,I$18,I$17)</f>
        <v>0</v>
      </c>
      <c r="J219" s="26">
        <f ca="1">_xll.DBRW($D$4,$E$7,$E$8,$E$9,$E$10,$E$12,$D219,$E$6,J$18,J$17)</f>
        <v>-0.14228103</v>
      </c>
      <c r="K219" s="26">
        <f ca="1">_xll.DBRW($D$4,$E$7,$E$8,$E$9,$E$10,$E$12,$D219,$E$6,K$18,K$17)</f>
        <v>0</v>
      </c>
      <c r="L219" s="26">
        <f ca="1">_xll.DBRW($D$4,$E$7,$E$8,$E$9,$E$10,$E$12,$D219,$E$6,L$18,L$17)</f>
        <v>0</v>
      </c>
      <c r="M219" s="26">
        <f ca="1">_xll.DBRW($D$4,$E$7,$E$8,$E$9,$E$10,$E$12,$D219,$E$6,M$18,M$17)</f>
        <v>0</v>
      </c>
      <c r="N219" s="16">
        <f ca="1">_xll.DBRW($D$4,$E$7,$E$8,$E$9,$E$10,$E$12,$D219,$E$6,N$18,N$17)</f>
        <v>4.3560730899999962</v>
      </c>
      <c r="O219" s="16">
        <f ca="1">_xll.DBRW($D$4,$E$7,$E$8,$E$9,$E$10,$E$12,$D219,$E$6,O$18,O$17)</f>
        <v>29.51305129</v>
      </c>
      <c r="P219" s="74">
        <f ca="1">_xll.DBRW($D$4,$E$7,$E$8,$E$9,$E$10,$E$12,$D219,$E$6,P$18,P$17)</f>
        <v>-15.403235890000001</v>
      </c>
      <c r="Q219" s="16">
        <f ca="1">_xll.DBRW($D$4,$E$7,$E$8,$E$9,$E$10,$E$12,$D219,$E$6,Q$18,Q$17)</f>
        <v>0.52191268664989332</v>
      </c>
      <c r="R219" s="16"/>
      <c r="S219" s="16"/>
      <c r="T219" s="16"/>
      <c r="U219" s="16"/>
      <c r="V219" s="16">
        <f ca="1">_xll.DBRW($D$4,$E$7,$E$8,$E$9,$E$10,$E$12,$D219,$E$6,V$18,V$17)</f>
        <v>-1.8009440400000001</v>
      </c>
      <c r="W219" s="16">
        <f ca="1">_xll.DBRW($D$4,$E$7,$E$8,$E$9,$E$10,$E$12,$D219,$E$6,W$18,W$17)</f>
        <v>6.102195338271308E-2</v>
      </c>
      <c r="X219" s="16"/>
      <c r="Y219" s="16"/>
      <c r="Z219" s="16"/>
      <c r="AA219" s="16"/>
      <c r="AB219" s="16">
        <f ca="1">_xll.DBRW($D$4,$E$7,$E$8,$E$9,$E$10,$E$12,$D219,$E$6,AB$18,AB$17)</f>
        <v>-2.4301623299999999</v>
      </c>
      <c r="AC219" s="16">
        <f ca="1">_xll.DBRW($D$4,$E$7,$E$8,$E$9,$E$10,$E$12,$D219,$E$6,AC$18,AC$17)</f>
        <v>8.2341954619359184E-2</v>
      </c>
      <c r="AD219" s="16"/>
      <c r="AE219" s="16"/>
      <c r="AF219" s="16"/>
      <c r="AG219" s="16"/>
      <c r="AH219" s="16">
        <f ca="1">_xll.DBRW($D$4,$E$7,$E$8,$E$9,$E$10,$E$12,$D219,$E$6,AH$18,AH$17)</f>
        <v>-1.7769824900000002</v>
      </c>
      <c r="AI219" s="16">
        <f ca="1">_xll.DBRW($D$4,$E$7,$E$8,$E$9,$E$10,$E$12,$D219,$E$6,AI$18,AI$17)</f>
        <v>6.0210056647111265E-2</v>
      </c>
      <c r="AJ219" s="16"/>
      <c r="AK219" s="16"/>
      <c r="AL219" s="16"/>
      <c r="AM219" s="16"/>
      <c r="AN219" s="16">
        <f ca="1">_xll.DBRW($D$4,$E$7,$E$8,$E$9,$E$10,$E$12,$D219,$E$6,AN$18,AN$17)</f>
        <v>-3.7456534499999998</v>
      </c>
      <c r="AO219" s="16">
        <f ca="1">_xll.DBRW($D$4,$E$7,$E$8,$E$9,$E$10,$E$12,$D219,$E$6,AO$18,AO$17)</f>
        <v>0.12691515401761089</v>
      </c>
      <c r="AP219" s="16"/>
      <c r="AQ219" s="16"/>
      <c r="AR219" s="16"/>
      <c r="AS219" s="16"/>
      <c r="AT219" s="16">
        <f ca="1">_xll.DBRW($D$4,$E$7,$E$8,$E$9,$E$10,$E$12,$D219,$E$6,AT$18,AT$17)</f>
        <v>0.43562299789999998</v>
      </c>
      <c r="AU219" s="16">
        <f ca="1">_xll.DBRW($D$4,$E$7,$E$8,$E$9,$E$10,$E$12,$D219,$E$6,AU$18,AU$17)</f>
        <v>0.27406861669999999</v>
      </c>
      <c r="AV219" s="16">
        <f ca="1">_xll.DBRW($D$4,$E$7,$E$8,$E$9,$E$10,$E$12,$D219,$E$6,AV$18,AV$17)</f>
        <v>7.4980329999999995</v>
      </c>
      <c r="AW219" s="16">
        <f ca="1">_xll.DBRW($D$4,$E$7,$E$8,$E$9,$E$10,$E$12,$D219,$E$6,AW$18,AW$17)</f>
        <v>0.27406861669999999</v>
      </c>
      <c r="AX219" s="16">
        <f ca="1">_xll.DBRW($D$4,$E$7,$E$8,$E$9,$E$10,$E$12,$D219,$E$6,AX$18,AX$17)</f>
        <v>3.7133185469719998</v>
      </c>
      <c r="AY219" s="16">
        <f ca="1">_xll.DBRW($D$4,$E$7,$E$8,$E$9,$E$10,$E$12,$D219,$E$6,AY$18,AY$17)</f>
        <v>0.27406861669999999</v>
      </c>
      <c r="AZ219" s="16">
        <f ca="1">_xll.DBRW($D$4,$E$7,$E$8,$E$9,$E$10,$E$12,$D219,$E$6,AZ$18,AZ$17)</f>
        <v>1.2400000000000001E-4</v>
      </c>
      <c r="BA219" s="16">
        <f ca="1">_xll.DBRW($D$4,$E$7,$E$8,$E$9,$E$10,$E$12,$D219,$E$6,BA$18,BA$17)</f>
        <v>0.27406861669999999</v>
      </c>
      <c r="BB219" s="16">
        <f ca="1">_xll.DBRW($D$4,$E$7,$E$8,$E$9,$E$10,$E$12,$D219,$E$6,BB$18,BB$17)</f>
        <v>0.27406861669999999</v>
      </c>
      <c r="BC219" s="16">
        <f ca="1">_xll.DBRW($D$4,$E$7,$E$8,$E$9,$E$10,$E$12,$D219,$E$6,BC$18,BC$17)</f>
        <v>0.27406861669999999</v>
      </c>
      <c r="BD219" s="16">
        <f ca="1">_xll.DBRW($D$4,$E$7,$E$8,$E$9,$E$10,$E$12,$D219,$E$6,BD$18,BD$17)</f>
        <v>2.6215668696648038</v>
      </c>
      <c r="BE219" s="16">
        <f ca="1">_xll.DBRW($D$4,$E$7,$E$8,$E$9,$E$10,$E$12,$D219,$E$6,BE$18,BE$17)</f>
        <v>-2.7866429498451994</v>
      </c>
      <c r="BF219" s="16">
        <f ca="1">_xll.DBRW($D$4,$E$7,$E$8,$E$9,$E$10,$E$12,$D219,$E$6,BF$18,BF$17)</f>
        <v>0</v>
      </c>
      <c r="BG219" s="26">
        <f ca="1">_xll.DBRW($D$4,$E$7,$E$8,$E$9,$E$10,$E$12,$D219,$E$6,BG$18,BG$17)</f>
        <v>-0.24398401689999996</v>
      </c>
      <c r="BH219" s="26">
        <f ca="1">_xll.DBRW($D$4,$E$7,$E$8,$E$9,$E$10,$E$12,$D219,$E$6,BH$18,BH$17)</f>
        <v>0</v>
      </c>
      <c r="BI219" s="26">
        <f ca="1">_xll.DBRW($D$4,$E$7,$E$8,$E$9,$E$10,$E$12,$D219,$E$6,BI$18,BI$17)</f>
        <v>0</v>
      </c>
      <c r="BJ219" s="26">
        <f ca="1">_xll.DBRW($D$4,$E$7,$E$8,$E$9,$E$10,$E$12,$D219,$E$6,BJ$18,BJ$17)</f>
        <v>0</v>
      </c>
      <c r="BK219" s="16">
        <f ca="1">_xll.DBRW($D$4,$E$7,$E$8,$E$9,$E$10,$E$12,$D219,$E$6,BK$18,BK$17)</f>
        <v>5.6521938364100039</v>
      </c>
      <c r="BL219" s="16">
        <f ca="1">_xll.DBRW($D$4,$E$7,$E$8,$E$9,$E$10,$E$12,$D219,$E$6,BL$18,BL$17)</f>
        <v>32.987175858410005</v>
      </c>
      <c r="BM219" s="16">
        <f ca="1">_xll.DBRW($D$4,$E$7,$E$8,$E$9,$E$10,$E$12,$D219,$E$6,BM$18,BM$17)</f>
        <v>-16.82666291</v>
      </c>
      <c r="BN219" s="16">
        <f ca="1">_xll.DBRW($D$4,$E$7,$E$8,$E$9,$E$10,$E$12,$D219,$E$6,BN$18,BN$17)</f>
        <v>0.51009710507576178</v>
      </c>
      <c r="BO219" s="16"/>
      <c r="BP219" s="16"/>
      <c r="BQ219" s="16"/>
      <c r="BR219" s="16"/>
      <c r="BS219" s="16">
        <f ca="1">_xll.DBRW($D$4,$E$7,$E$8,$E$9,$E$10,$E$12,$D219,$E$6,BS$18,BS$17)</f>
        <v>-2.0205856923000001</v>
      </c>
      <c r="BT219" s="16">
        <f ca="1">_xll.DBRW($D$4,$E$7,$E$8,$E$9,$E$10,$E$12,$D219,$E$6,BT$18,BT$17)</f>
        <v>6.125367327512083E-2</v>
      </c>
      <c r="BU219" s="16"/>
      <c r="BV219" s="16"/>
      <c r="BW219" s="16"/>
      <c r="BX219" s="16"/>
      <c r="BY219" s="16">
        <f ca="1">_xll.DBRW($D$4,$E$7,$E$8,$E$9,$E$10,$E$12,$D219,$E$6,BY$18,BY$17)</f>
        <v>-2.3065861856100001</v>
      </c>
      <c r="BZ219" s="16">
        <f ca="1">_xll.DBRW($D$4,$E$7,$E$8,$E$9,$E$10,$E$12,$D219,$E$6,BZ$18,BZ$17)</f>
        <v>6.9923724162095593E-2</v>
      </c>
      <c r="CA219" s="16"/>
      <c r="CB219" s="16"/>
      <c r="CC219" s="16"/>
      <c r="CD219" s="16"/>
      <c r="CE219" s="16">
        <f ca="1">_xll.DBRW($D$4,$E$7,$E$8,$E$9,$E$10,$E$12,$D219,$E$6,CE$18,CE$17)</f>
        <v>-1.9961819519999999</v>
      </c>
      <c r="CF219" s="16">
        <f ca="1">_xll.DBRW($D$4,$E$7,$E$8,$E$9,$E$10,$E$12,$D219,$E$6,CF$18,CF$17)</f>
        <v>6.0513878501395807E-2</v>
      </c>
      <c r="CG219" s="16"/>
      <c r="CH219" s="16"/>
      <c r="CI219" s="16"/>
      <c r="CJ219" s="16"/>
      <c r="CK219" s="16">
        <f ca="1">_xll.DBRW($D$4,$E$7,$E$8,$E$9,$E$10,$E$12,$D219,$E$6,CK$18,CK$17)</f>
        <v>-4.1849652820900003</v>
      </c>
      <c r="CL219" s="16">
        <f ca="1">_xll.DBRW($D$4,$E$7,$E$8,$E$9,$E$10,$E$12,$D219,$E$6,CL$18,CL$17)</f>
        <v>0.12686643136875425</v>
      </c>
      <c r="CM219" s="16"/>
      <c r="CN219" s="16"/>
      <c r="CO219" s="16"/>
      <c r="CP219" s="16"/>
      <c r="CQ219" s="16">
        <f ca="1">_xll.DBRW($D$4,$E$7,$E$8,$E$9,$E$10,$E$12,$D219,$E$6,CQ$18,CQ$17)</f>
        <v>0.47676278169999997</v>
      </c>
      <c r="CR219" s="16">
        <f ca="1">_xll.DBRW($D$4,$E$7,$E$8,$E$9,$E$10,$E$12,$D219,$E$6,CR$18,CR$17)</f>
        <v>0.31452615169999998</v>
      </c>
      <c r="CS219" s="16">
        <f ca="1">_xll.DBRW($D$4,$E$7,$E$8,$E$9,$E$10,$E$12,$D219,$E$6,CS$18,CS$17)</f>
        <v>8.9546117860000027</v>
      </c>
      <c r="CT219" s="16">
        <f ca="1">_xll.DBRW($D$4,$E$7,$E$8,$E$9,$E$10,$E$12,$D219,$E$6,CT$18,CT$17)</f>
        <v>0.31452615169999998</v>
      </c>
      <c r="CU219" s="16">
        <f ca="1">_xll.DBRW($D$4,$E$7,$E$8,$E$9,$E$10,$E$12,$D219,$E$6,CU$18,CU$17)</f>
        <v>3.6014190288518</v>
      </c>
      <c r="CV219" s="16">
        <f ca="1">_xll.DBRW($D$4,$E$7,$E$8,$E$9,$E$10,$E$12,$D219,$E$6,CV$18,CV$17)</f>
        <v>0.31452615169999998</v>
      </c>
      <c r="CW219" s="16">
        <f ca="1">_xll.DBRW($D$4,$E$7,$E$8,$E$9,$E$10,$E$12,$D219,$E$6,CW$18,CW$17)</f>
        <v>9.9000000000000008E-5</v>
      </c>
      <c r="CX219" s="16">
        <f ca="1">_xll.DBRW($D$4,$E$7,$E$8,$E$9,$E$10,$E$12,$D219,$E$6,CX$18,CX$17)</f>
        <v>0.31452615169999998</v>
      </c>
      <c r="CY219" s="16">
        <f ca="1">_xll.DBRW($D$4,$E$7,$E$8,$E$9,$E$10,$E$12,$D219,$E$6,CY$18,CY$17)</f>
        <v>0.31452615169999998</v>
      </c>
      <c r="CZ219" s="16">
        <f ca="1">_xll.DBRW($D$4,$E$7,$E$8,$E$9,$E$10,$E$12,$D219,$E$6,CZ$18,CZ$17)</f>
        <v>0.31452615169999998</v>
      </c>
      <c r="DA219" s="26">
        <f t="shared" ca="1" si="127"/>
        <v>-0.96802936766480707</v>
      </c>
      <c r="DB219" s="26">
        <f t="shared" ca="1" si="128"/>
        <v>0.22638839184519899</v>
      </c>
      <c r="DC219" s="26">
        <f t="shared" ca="1" si="129"/>
        <v>0</v>
      </c>
      <c r="DD219" s="26">
        <f t="shared" ca="1" si="130"/>
        <v>0.10170298689999996</v>
      </c>
      <c r="DE219" s="26">
        <f t="shared" ca="1" si="131"/>
        <v>0</v>
      </c>
      <c r="DF219" s="26">
        <f t="shared" ca="1" si="132"/>
        <v>0</v>
      </c>
      <c r="DG219" s="26">
        <f t="shared" ca="1" si="133"/>
        <v>0</v>
      </c>
      <c r="DH219" s="26">
        <f t="shared" ca="1" si="134"/>
        <v>-1.2961207464100077</v>
      </c>
      <c r="DI219" s="26">
        <f t="shared" ca="1" si="135"/>
        <v>-3.4741245684100051</v>
      </c>
      <c r="DJ219" s="26">
        <f t="shared" ca="1" si="136"/>
        <v>1.4234270199999983</v>
      </c>
      <c r="DK219" s="26">
        <f t="shared" ca="1" si="137"/>
        <v>1.181558157413154E-2</v>
      </c>
      <c r="DL219" s="26"/>
      <c r="DM219" s="26"/>
      <c r="DN219" s="26"/>
      <c r="DO219" s="26"/>
      <c r="DP219" s="26">
        <f t="shared" ca="1" si="138"/>
        <v>0.21964165229999999</v>
      </c>
      <c r="DQ219" s="26">
        <f t="shared" ca="1" si="139"/>
        <v>-2.3171989240775015E-4</v>
      </c>
      <c r="DR219" s="26"/>
      <c r="DS219" s="26"/>
      <c r="DT219" s="26"/>
      <c r="DU219" s="26"/>
      <c r="DV219" s="26">
        <f t="shared" ca="1" si="140"/>
        <v>-0.12357614438999986</v>
      </c>
      <c r="DW219" s="26">
        <f t="shared" ca="1" si="141"/>
        <v>1.241823045726359E-2</v>
      </c>
      <c r="DX219" s="26"/>
      <c r="DY219" s="26"/>
      <c r="DZ219" s="26"/>
      <c r="EA219" s="26"/>
      <c r="EB219" s="26">
        <f t="shared" ca="1" si="142"/>
        <v>0.21919946199999973</v>
      </c>
      <c r="EC219" s="26">
        <f t="shared" ca="1" si="143"/>
        <v>-3.0382185428454167E-4</v>
      </c>
      <c r="ED219" s="26"/>
      <c r="EE219" s="26"/>
      <c r="EF219" s="26"/>
      <c r="EG219" s="26"/>
      <c r="EH219" s="26">
        <f t="shared" ca="1" si="144"/>
        <v>0.43931183209000046</v>
      </c>
      <c r="EI219" s="29">
        <f t="shared" ca="1" si="145"/>
        <v>4.872264885663613E-5</v>
      </c>
      <c r="EJ219" s="29"/>
      <c r="EK219" s="29"/>
      <c r="EL219" s="29"/>
      <c r="EM219" s="29"/>
      <c r="EN219" s="93"/>
      <c r="EO219" s="29"/>
      <c r="EP219" s="29"/>
      <c r="EQ219" s="29"/>
      <c r="ER219" s="29"/>
      <c r="ES219" s="29"/>
      <c r="ET219" s="29"/>
      <c r="EU219" s="93"/>
      <c r="EV219" s="29"/>
      <c r="EW219" s="29"/>
      <c r="EX219" s="29"/>
      <c r="EY219" s="29"/>
      <c r="EZ219" s="29"/>
      <c r="FA219" s="29"/>
      <c r="FB219" s="93"/>
      <c r="FC219" s="29"/>
      <c r="FD219" s="29"/>
      <c r="FE219" s="29"/>
      <c r="FF219" s="29"/>
      <c r="FG219" s="29"/>
      <c r="FH219" s="29"/>
      <c r="FI219" s="93"/>
      <c r="FJ219" s="29"/>
      <c r="FK219" s="29"/>
      <c r="FL219" s="29"/>
      <c r="FM219" s="29"/>
      <c r="FN219" s="29"/>
      <c r="FO219" s="29"/>
      <c r="FP219" s="93"/>
      <c r="FQ219" s="29"/>
      <c r="FR219" s="29"/>
      <c r="FS219" s="29"/>
      <c r="FT219" s="29"/>
      <c r="FU219" s="29"/>
      <c r="FV219" s="29"/>
    </row>
    <row r="220" spans="1:178" x14ac:dyDescent="0.25">
      <c r="A220" t="str">
        <f ca="1">IF(_xll.TM1RPTELISCONSOLIDATED($D$28,$D220),IF(_xll.TM1RPTELLEV($D$28,$D220)&lt;=3,_xll.TM1RPTELLEV($D$28,$D220),"D"),"N")</f>
        <v>N</v>
      </c>
      <c r="B220" t="str">
        <f ca="1">_xll.DBRA(Server&amp;"Management_organization",$D220,$B$27)</f>
        <v>L</v>
      </c>
      <c r="C220">
        <v>1</v>
      </c>
      <c r="D220" s="2" t="s">
        <v>226</v>
      </c>
      <c r="E220" s="26"/>
      <c r="F220" s="26"/>
      <c r="G220" s="16">
        <f ca="1">_xll.DBRW($D$4,$E$7,$E$8,$E$9,$E$10,$E$12,$D220,$E$6,G$18,G$17)</f>
        <v>1.6252064759000027</v>
      </c>
      <c r="H220" s="16">
        <f ca="1">_xll.DBRW($D$4,$E$7,$E$8,$E$9,$E$10,$E$12,$D220,$E$6,H$18,H$17)</f>
        <v>-1.2638102241</v>
      </c>
      <c r="I220" s="16">
        <f ca="1">_xll.DBRW($D$4,$E$7,$E$8,$E$9,$E$10,$E$12,$D220,$E$6,I$18,I$17)</f>
        <v>0</v>
      </c>
      <c r="J220" s="26">
        <f ca="1">_xll.DBRW($D$4,$E$7,$E$8,$E$9,$E$10,$E$12,$D220,$E$6,J$18,J$17)</f>
        <v>-3.8184990000000002E-2</v>
      </c>
      <c r="K220" s="26">
        <f ca="1">_xll.DBRW($D$4,$E$7,$E$8,$E$9,$E$10,$E$12,$D220,$E$6,K$18,K$17)</f>
        <v>0</v>
      </c>
      <c r="L220" s="26">
        <f ca="1">_xll.DBRW($D$4,$E$7,$E$8,$E$9,$E$10,$E$12,$D220,$E$6,L$18,L$17)</f>
        <v>0</v>
      </c>
      <c r="M220" s="26">
        <f ca="1">_xll.DBRW($D$4,$E$7,$E$8,$E$9,$E$10,$E$12,$D220,$E$6,M$18,M$17)</f>
        <v>0</v>
      </c>
      <c r="N220" s="16">
        <f ca="1">_xll.DBRW($D$4,$E$7,$E$8,$E$9,$E$10,$E$12,$D220,$E$6,N$18,N$17)</f>
        <v>2.9272016900000022</v>
      </c>
      <c r="O220" s="16">
        <f ca="1">_xll.DBRW($D$4,$E$7,$E$8,$E$9,$E$10,$E$12,$D220,$E$6,O$18,O$17)</f>
        <v>14.285677789999999</v>
      </c>
      <c r="P220" s="74">
        <f ca="1">_xll.DBRW($D$4,$E$7,$E$8,$E$9,$E$10,$E$12,$D220,$E$6,P$18,P$17)</f>
        <v>-7.0302312099999984</v>
      </c>
      <c r="Q220" s="16">
        <f ca="1">_xll.DBRW($D$4,$E$7,$E$8,$E$9,$E$10,$E$12,$D220,$E$6,Q$18,Q$17)</f>
        <v>0.49211744191242879</v>
      </c>
      <c r="R220" s="16"/>
      <c r="S220" s="16"/>
      <c r="T220" s="16"/>
      <c r="U220" s="16"/>
      <c r="V220" s="16">
        <f ca="1">_xll.DBRW($D$4,$E$7,$E$8,$E$9,$E$10,$E$12,$D220,$E$6,V$18,V$17)</f>
        <v>-0.93388829999999978</v>
      </c>
      <c r="W220" s="16">
        <f ca="1">_xll.DBRW($D$4,$E$7,$E$8,$E$9,$E$10,$E$12,$D220,$E$6,W$18,W$17)</f>
        <v>6.5372348006737441E-2</v>
      </c>
      <c r="X220" s="16"/>
      <c r="Y220" s="16"/>
      <c r="Z220" s="16"/>
      <c r="AA220" s="16"/>
      <c r="AB220" s="16">
        <f ca="1">_xll.DBRW($D$4,$E$7,$E$8,$E$9,$E$10,$E$12,$D220,$E$6,AB$18,AB$17)</f>
        <v>-1.2550860299999997</v>
      </c>
      <c r="AC220" s="16">
        <f ca="1">_xll.DBRW($D$4,$E$7,$E$8,$E$9,$E$10,$E$12,$D220,$E$6,AC$18,AC$17)</f>
        <v>8.7856246546353031E-2</v>
      </c>
      <c r="AD220" s="16"/>
      <c r="AE220" s="16"/>
      <c r="AF220" s="16"/>
      <c r="AG220" s="16"/>
      <c r="AH220" s="16">
        <f ca="1">_xll.DBRW($D$4,$E$7,$E$8,$E$9,$E$10,$E$12,$D220,$E$6,AH$18,AH$17)</f>
        <v>-0.44658307999999991</v>
      </c>
      <c r="AI220" s="16">
        <f ca="1">_xll.DBRW($D$4,$E$7,$E$8,$E$9,$E$10,$E$12,$D220,$E$6,AI$18,AI$17)</f>
        <v>3.1260895462209635E-2</v>
      </c>
      <c r="AJ220" s="16"/>
      <c r="AK220" s="16"/>
      <c r="AL220" s="16"/>
      <c r="AM220" s="16"/>
      <c r="AN220" s="16">
        <f ca="1">_xll.DBRW($D$4,$E$7,$E$8,$E$9,$E$10,$E$12,$D220,$E$6,AN$18,AN$17)</f>
        <v>-1.69268748</v>
      </c>
      <c r="AO220" s="16">
        <f ca="1">_xll.DBRW($D$4,$E$7,$E$8,$E$9,$E$10,$E$12,$D220,$E$6,AO$18,AO$17)</f>
        <v>0.11848842630238268</v>
      </c>
      <c r="AP220" s="16"/>
      <c r="AQ220" s="16"/>
      <c r="AR220" s="16"/>
      <c r="AS220" s="16"/>
      <c r="AT220" s="16">
        <f ca="1">_xll.DBRW($D$4,$E$7,$E$8,$E$9,$E$10,$E$12,$D220,$E$6,AT$18,AT$17)</f>
        <v>0.19283348379999998</v>
      </c>
      <c r="AU220" s="16">
        <f ca="1">_xll.DBRW($D$4,$E$7,$E$8,$E$9,$E$10,$E$12,$D220,$E$6,AU$18,AU$17)</f>
        <v>0.13020644999999997</v>
      </c>
      <c r="AV220" s="16">
        <f ca="1">_xll.DBRW($D$4,$E$7,$E$8,$E$9,$E$10,$E$12,$D220,$E$6,AV$18,AV$17)</f>
        <v>4.2273800000000001</v>
      </c>
      <c r="AW220" s="16">
        <f ca="1">_xll.DBRW($D$4,$E$7,$E$8,$E$9,$E$10,$E$12,$D220,$E$6,AW$18,AW$17)</f>
        <v>0.13020644999999997</v>
      </c>
      <c r="AX220" s="16">
        <f ca="1">_xll.DBRW($D$4,$E$7,$E$8,$E$9,$E$10,$E$12,$D220,$E$6,AX$18,AX$17)</f>
        <v>1.2381734799999997</v>
      </c>
      <c r="AY220" s="16">
        <f ca="1">_xll.DBRW($D$4,$E$7,$E$8,$E$9,$E$10,$E$12,$D220,$E$6,AY$18,AY$17)</f>
        <v>0.13020644999999997</v>
      </c>
      <c r="AZ220" s="16">
        <f ca="1">_xll.DBRW($D$4,$E$7,$E$8,$E$9,$E$10,$E$12,$D220,$E$6,AZ$18,AZ$17)</f>
        <v>5.3999999999999998E-5</v>
      </c>
      <c r="BA220" s="16">
        <f ca="1">_xll.DBRW($D$4,$E$7,$E$8,$E$9,$E$10,$E$12,$D220,$E$6,BA$18,BA$17)</f>
        <v>0.13020644999999997</v>
      </c>
      <c r="BB220" s="16">
        <f ca="1">_xll.DBRW($D$4,$E$7,$E$8,$E$9,$E$10,$E$12,$D220,$E$6,BB$18,BB$17)</f>
        <v>0.13020644999999997</v>
      </c>
      <c r="BC220" s="16">
        <f ca="1">_xll.DBRW($D$4,$E$7,$E$8,$E$9,$E$10,$E$12,$D220,$E$6,BC$18,BC$17)</f>
        <v>0.13020644999999997</v>
      </c>
      <c r="BD220" s="16">
        <f ca="1">_xll.DBRW($D$4,$E$7,$E$8,$E$9,$E$10,$E$12,$D220,$E$6,BD$18,BD$17)</f>
        <v>1.5148723860096001</v>
      </c>
      <c r="BE220" s="16">
        <f ca="1">_xll.DBRW($D$4,$E$7,$E$8,$E$9,$E$10,$E$12,$D220,$E$6,BE$18,BE$17)</f>
        <v>-1.3968028402963999</v>
      </c>
      <c r="BF220" s="16">
        <f ca="1">_xll.DBRW($D$4,$E$7,$E$8,$E$9,$E$10,$E$12,$D220,$E$6,BF$18,BF$17)</f>
        <v>0</v>
      </c>
      <c r="BG220" s="26">
        <f ca="1">_xll.DBRW($D$4,$E$7,$E$8,$E$9,$E$10,$E$12,$D220,$E$6,BG$18,BG$17)</f>
        <v>-7.5400932560000009E-2</v>
      </c>
      <c r="BH220" s="26">
        <f ca="1">_xll.DBRW($D$4,$E$7,$E$8,$E$9,$E$10,$E$12,$D220,$E$6,BH$18,BH$17)</f>
        <v>0</v>
      </c>
      <c r="BI220" s="26">
        <f ca="1">_xll.DBRW($D$4,$E$7,$E$8,$E$9,$E$10,$E$12,$D220,$E$6,BI$18,BI$17)</f>
        <v>0</v>
      </c>
      <c r="BJ220" s="26">
        <f ca="1">_xll.DBRW($D$4,$E$7,$E$8,$E$9,$E$10,$E$12,$D220,$E$6,BJ$18,BJ$17)</f>
        <v>0</v>
      </c>
      <c r="BK220" s="16">
        <f ca="1">_xll.DBRW($D$4,$E$7,$E$8,$E$9,$E$10,$E$12,$D220,$E$6,BK$18,BK$17)</f>
        <v>2.987076158866</v>
      </c>
      <c r="BL220" s="16">
        <f ca="1">_xll.DBRW($D$4,$E$7,$E$8,$E$9,$E$10,$E$12,$D220,$E$6,BL$18,BL$17)</f>
        <v>15.494277658079</v>
      </c>
      <c r="BM220" s="16">
        <f ca="1">_xll.DBRW($D$4,$E$7,$E$8,$E$9,$E$10,$E$12,$D220,$E$6,BM$18,BM$17)</f>
        <v>-7.8703770669999997</v>
      </c>
      <c r="BN220" s="16">
        <f ca="1">_xll.DBRW($D$4,$E$7,$E$8,$E$9,$E$10,$E$12,$D220,$E$6,BN$18,BN$17)</f>
        <v>0.50795379046897626</v>
      </c>
      <c r="BO220" s="16"/>
      <c r="BP220" s="16"/>
      <c r="BQ220" s="16"/>
      <c r="BR220" s="16"/>
      <c r="BS220" s="16">
        <f ca="1">_xll.DBRW($D$4,$E$7,$E$8,$E$9,$E$10,$E$12,$D220,$E$6,BS$18,BS$17)</f>
        <v>-0.92319616500000001</v>
      </c>
      <c r="BT220" s="16">
        <f ca="1">_xll.DBRW($D$4,$E$7,$E$8,$E$9,$E$10,$E$12,$D220,$E$6,BT$18,BT$17)</f>
        <v>5.958303996950956E-2</v>
      </c>
      <c r="BU220" s="16"/>
      <c r="BV220" s="16"/>
      <c r="BW220" s="16"/>
      <c r="BX220" s="16"/>
      <c r="BY220" s="16">
        <f ca="1">_xll.DBRW($D$4,$E$7,$E$8,$E$9,$E$10,$E$12,$D220,$E$6,BY$18,BY$17)</f>
        <v>-1.2956227703329999</v>
      </c>
      <c r="BZ220" s="16">
        <f ca="1">_xll.DBRW($D$4,$E$7,$E$8,$E$9,$E$10,$E$12,$D220,$E$6,BZ$18,BZ$17)</f>
        <v>8.3619436731691615E-2</v>
      </c>
      <c r="CA220" s="16"/>
      <c r="CB220" s="16"/>
      <c r="CC220" s="16"/>
      <c r="CD220" s="16"/>
      <c r="CE220" s="16">
        <f ca="1">_xll.DBRW($D$4,$E$7,$E$8,$E$9,$E$10,$E$12,$D220,$E$6,CE$18,CE$17)</f>
        <v>-0.4917982099999999</v>
      </c>
      <c r="CF220" s="16">
        <f ca="1">_xll.DBRW($D$4,$E$7,$E$8,$E$9,$E$10,$E$12,$D220,$E$6,CF$18,CF$17)</f>
        <v>3.1740634888104469E-2</v>
      </c>
      <c r="CG220" s="16"/>
      <c r="CH220" s="16"/>
      <c r="CI220" s="16"/>
      <c r="CJ220" s="16"/>
      <c r="CK220" s="16">
        <f ca="1">_xll.DBRW($D$4,$E$7,$E$8,$E$9,$E$10,$E$12,$D220,$E$6,CK$18,CK$17)</f>
        <v>-1.9262072868800002</v>
      </c>
      <c r="CL220" s="16">
        <f ca="1">_xll.DBRW($D$4,$E$7,$E$8,$E$9,$E$10,$E$12,$D220,$E$6,CL$18,CL$17)</f>
        <v>0.12431733375293172</v>
      </c>
      <c r="CM220" s="16"/>
      <c r="CN220" s="16"/>
      <c r="CO220" s="16"/>
      <c r="CP220" s="16"/>
      <c r="CQ220" s="16">
        <f ca="1">_xll.DBRW($D$4,$E$7,$E$8,$E$9,$E$10,$E$12,$D220,$E$6,CQ$18,CQ$17)</f>
        <v>0.21650051149999999</v>
      </c>
      <c r="CR220" s="16">
        <f ca="1">_xll.DBRW($D$4,$E$7,$E$8,$E$9,$E$10,$E$12,$D220,$E$6,CR$18,CR$17)</f>
        <v>0.14873088329999998</v>
      </c>
      <c r="CS220" s="16">
        <f ca="1">_xll.DBRW($D$4,$E$7,$E$8,$E$9,$E$10,$E$12,$D220,$E$6,CS$18,CS$17)</f>
        <v>4.8019366339999996</v>
      </c>
      <c r="CT220" s="16">
        <f ca="1">_xll.DBRW($D$4,$E$7,$E$8,$E$9,$E$10,$E$12,$D220,$E$6,CT$18,CT$17)</f>
        <v>0.14873088329999998</v>
      </c>
      <c r="CU220" s="16">
        <f ca="1">_xll.DBRW($D$4,$E$7,$E$8,$E$9,$E$10,$E$12,$D220,$E$6,CU$18,CU$17)</f>
        <v>1.384590537</v>
      </c>
      <c r="CV220" s="16">
        <f ca="1">_xll.DBRW($D$4,$E$7,$E$8,$E$9,$E$10,$E$12,$D220,$E$6,CV$18,CV$17)</f>
        <v>0.14873088329999998</v>
      </c>
      <c r="CW220" s="16">
        <f ca="1">_xll.DBRW($D$4,$E$7,$E$8,$E$9,$E$10,$E$12,$D220,$E$6,CW$18,CW$17)</f>
        <v>5.3000000000000001E-5</v>
      </c>
      <c r="CX220" s="16">
        <f ca="1">_xll.DBRW($D$4,$E$7,$E$8,$E$9,$E$10,$E$12,$D220,$E$6,CX$18,CX$17)</f>
        <v>0.14873088329999998</v>
      </c>
      <c r="CY220" s="16">
        <f ca="1">_xll.DBRW($D$4,$E$7,$E$8,$E$9,$E$10,$E$12,$D220,$E$6,CY$18,CY$17)</f>
        <v>0.14873088329999998</v>
      </c>
      <c r="CZ220" s="16">
        <f ca="1">_xll.DBRW($D$4,$E$7,$E$8,$E$9,$E$10,$E$12,$D220,$E$6,CZ$18,CZ$17)</f>
        <v>0.14873088329999998</v>
      </c>
      <c r="DA220" s="26">
        <f t="shared" ca="1" si="127"/>
        <v>0.11033408989040261</v>
      </c>
      <c r="DB220" s="26">
        <f t="shared" ca="1" si="128"/>
        <v>0.1329926161963999</v>
      </c>
      <c r="DC220" s="26">
        <f t="shared" ca="1" si="129"/>
        <v>0</v>
      </c>
      <c r="DD220" s="26">
        <f t="shared" ca="1" si="130"/>
        <v>3.7215942560000007E-2</v>
      </c>
      <c r="DE220" s="26">
        <f t="shared" ca="1" si="131"/>
        <v>0</v>
      </c>
      <c r="DF220" s="26">
        <f t="shared" ca="1" si="132"/>
        <v>0</v>
      </c>
      <c r="DG220" s="26">
        <f t="shared" ca="1" si="133"/>
        <v>0</v>
      </c>
      <c r="DH220" s="26">
        <f t="shared" ca="1" si="134"/>
        <v>-5.9874468865997788E-2</v>
      </c>
      <c r="DI220" s="26">
        <f t="shared" ca="1" si="135"/>
        <v>-1.2085998680790002</v>
      </c>
      <c r="DJ220" s="26">
        <f t="shared" ca="1" si="136"/>
        <v>0.84014585700000133</v>
      </c>
      <c r="DK220" s="26">
        <f t="shared" ca="1" si="137"/>
        <v>-1.5836348556547475E-2</v>
      </c>
      <c r="DL220" s="26"/>
      <c r="DM220" s="26"/>
      <c r="DN220" s="26"/>
      <c r="DO220" s="26"/>
      <c r="DP220" s="26">
        <f t="shared" ca="1" si="138"/>
        <v>-1.0692134999999769E-2</v>
      </c>
      <c r="DQ220" s="26">
        <f t="shared" ca="1" si="139"/>
        <v>5.7893080372278805E-3</v>
      </c>
      <c r="DR220" s="26"/>
      <c r="DS220" s="26"/>
      <c r="DT220" s="26"/>
      <c r="DU220" s="26"/>
      <c r="DV220" s="26">
        <f t="shared" ca="1" si="140"/>
        <v>4.0536740333000143E-2</v>
      </c>
      <c r="DW220" s="26">
        <f t="shared" ca="1" si="141"/>
        <v>4.2368098146614158E-3</v>
      </c>
      <c r="DX220" s="26"/>
      <c r="DY220" s="26"/>
      <c r="DZ220" s="26"/>
      <c r="EA220" s="26"/>
      <c r="EB220" s="26">
        <f t="shared" ca="1" si="142"/>
        <v>4.5215129999999992E-2</v>
      </c>
      <c r="EC220" s="26">
        <f t="shared" ca="1" si="143"/>
        <v>-4.7973942589483315E-4</v>
      </c>
      <c r="ED220" s="26"/>
      <c r="EE220" s="26"/>
      <c r="EF220" s="26"/>
      <c r="EG220" s="26"/>
      <c r="EH220" s="26">
        <f t="shared" ca="1" si="144"/>
        <v>0.23351980688000018</v>
      </c>
      <c r="EI220" s="29">
        <f t="shared" ca="1" si="145"/>
        <v>-5.8289074505490368E-3</v>
      </c>
      <c r="EJ220" s="29"/>
      <c r="EK220" s="29"/>
      <c r="EL220" s="29"/>
      <c r="EM220" s="29"/>
      <c r="EN220" s="93"/>
      <c r="EO220" s="29"/>
      <c r="EP220" s="29"/>
      <c r="EQ220" s="29"/>
      <c r="ER220" s="29"/>
      <c r="ES220" s="29"/>
      <c r="ET220" s="29"/>
      <c r="EU220" s="93"/>
      <c r="EV220" s="29"/>
      <c r="EW220" s="29"/>
      <c r="EX220" s="29"/>
      <c r="EY220" s="29"/>
      <c r="EZ220" s="29"/>
      <c r="FA220" s="29"/>
      <c r="FB220" s="93"/>
      <c r="FC220" s="29"/>
      <c r="FD220" s="29"/>
      <c r="FE220" s="29"/>
      <c r="FF220" s="29"/>
      <c r="FG220" s="29"/>
      <c r="FH220" s="29"/>
      <c r="FI220" s="93"/>
      <c r="FJ220" s="29"/>
      <c r="FK220" s="29"/>
      <c r="FL220" s="29"/>
      <c r="FM220" s="29"/>
      <c r="FN220" s="29"/>
      <c r="FO220" s="29"/>
      <c r="FP220" s="93"/>
      <c r="FQ220" s="29"/>
      <c r="FR220" s="29"/>
      <c r="FS220" s="29"/>
      <c r="FT220" s="29"/>
      <c r="FU220" s="29"/>
      <c r="FV220" s="29"/>
    </row>
    <row r="221" spans="1:178" x14ac:dyDescent="0.25">
      <c r="A221" t="str">
        <f ca="1">IF(_xll.TM1RPTELISCONSOLIDATED($D$28,$D221),IF(_xll.TM1RPTELLEV($D$28,$D221)&lt;=3,_xll.TM1RPTELLEV($D$28,$D221),"D"),"N")</f>
        <v>N</v>
      </c>
      <c r="B221" t="str">
        <f ca="1">_xll.DBRA(Server&amp;"Management_organization",$D221,$B$27)</f>
        <v>L</v>
      </c>
      <c r="C221">
        <v>1</v>
      </c>
      <c r="D221" s="2" t="s">
        <v>227</v>
      </c>
      <c r="E221" s="26"/>
      <c r="F221" s="26"/>
      <c r="G221" s="16">
        <f ca="1">_xll.DBRW($D$4,$E$7,$E$8,$E$9,$E$10,$E$12,$D221,$E$6,G$18,G$17)</f>
        <v>-0.75033534500000554</v>
      </c>
      <c r="H221" s="16">
        <f ca="1">_xll.DBRW($D$4,$E$7,$E$8,$E$9,$E$10,$E$12,$D221,$E$6,H$18,H$17)</f>
        <v>-2.9956666350000001</v>
      </c>
      <c r="I221" s="16">
        <f ca="1">_xll.DBRW($D$4,$E$7,$E$8,$E$9,$E$10,$E$12,$D221,$E$6,I$18,I$17)</f>
        <v>0</v>
      </c>
      <c r="J221" s="26">
        <f ca="1">_xll.DBRW($D$4,$E$7,$E$8,$E$9,$E$10,$E$12,$D221,$E$6,J$18,J$17)</f>
        <v>-0.16438137999999999</v>
      </c>
      <c r="K221" s="26">
        <f ca="1">_xll.DBRW($D$4,$E$7,$E$8,$E$9,$E$10,$E$12,$D221,$E$6,K$18,K$17)</f>
        <v>0</v>
      </c>
      <c r="L221" s="26">
        <f ca="1">_xll.DBRW($D$4,$E$7,$E$8,$E$9,$E$10,$E$12,$D221,$E$6,L$18,L$17)</f>
        <v>0</v>
      </c>
      <c r="M221" s="26">
        <f ca="1">_xll.DBRW($D$4,$E$7,$E$8,$E$9,$E$10,$E$12,$D221,$E$6,M$18,M$17)</f>
        <v>0</v>
      </c>
      <c r="N221" s="16">
        <f ca="1">_xll.DBRW($D$4,$E$7,$E$8,$E$9,$E$10,$E$12,$D221,$E$6,N$18,N$17)</f>
        <v>2.409712669999994</v>
      </c>
      <c r="O221" s="16">
        <f ca="1">_xll.DBRW($D$4,$E$7,$E$8,$E$9,$E$10,$E$12,$D221,$E$6,O$18,O$17)</f>
        <v>24.969041469999993</v>
      </c>
      <c r="P221" s="74">
        <f ca="1">_xll.DBRW($D$4,$E$7,$E$8,$E$9,$E$10,$E$12,$D221,$E$6,P$18,P$17)</f>
        <v>-13.737712699999998</v>
      </c>
      <c r="Q221" s="16">
        <f ca="1">_xll.DBRW($D$4,$E$7,$E$8,$E$9,$E$10,$E$12,$D221,$E$6,Q$18,Q$17)</f>
        <v>0.55018983073522054</v>
      </c>
      <c r="R221" s="16"/>
      <c r="S221" s="16"/>
      <c r="T221" s="16"/>
      <c r="U221" s="16"/>
      <c r="V221" s="16">
        <f ca="1">_xll.DBRW($D$4,$E$7,$E$8,$E$9,$E$10,$E$12,$D221,$E$6,V$18,V$17)</f>
        <v>-1.7436967299999995</v>
      </c>
      <c r="W221" s="16">
        <f ca="1">_xll.DBRW($D$4,$E$7,$E$8,$E$9,$E$10,$E$12,$D221,$E$6,W$18,W$17)</f>
        <v>6.9834347950241918E-2</v>
      </c>
      <c r="X221" s="16"/>
      <c r="Y221" s="16"/>
      <c r="Z221" s="16"/>
      <c r="AA221" s="16"/>
      <c r="AB221" s="16">
        <f ca="1">_xll.DBRW($D$4,$E$7,$E$8,$E$9,$E$10,$E$12,$D221,$E$6,AB$18,AB$17)</f>
        <v>-2.3958536999999991</v>
      </c>
      <c r="AC221" s="16">
        <f ca="1">_xll.DBRW($D$4,$E$7,$E$8,$E$9,$E$10,$E$12,$D221,$E$6,AC$18,AC$17)</f>
        <v>9.5952970516653149E-2</v>
      </c>
      <c r="AD221" s="16"/>
      <c r="AE221" s="16"/>
      <c r="AF221" s="16"/>
      <c r="AG221" s="16"/>
      <c r="AH221" s="16">
        <f ca="1">_xll.DBRW($D$4,$E$7,$E$8,$E$9,$E$10,$E$12,$D221,$E$6,AH$18,AH$17)</f>
        <v>-0.99501042000000006</v>
      </c>
      <c r="AI221" s="16">
        <f ca="1">_xll.DBRW($D$4,$E$7,$E$8,$E$9,$E$10,$E$12,$D221,$E$6,AI$18,AI$17)</f>
        <v>3.984976440507311E-2</v>
      </c>
      <c r="AJ221" s="16"/>
      <c r="AK221" s="16"/>
      <c r="AL221" s="16"/>
      <c r="AM221" s="16"/>
      <c r="AN221" s="16">
        <f ca="1">_xll.DBRW($D$4,$E$7,$E$8,$E$9,$E$10,$E$12,$D221,$E$6,AN$18,AN$17)</f>
        <v>-3.6870552499999989</v>
      </c>
      <c r="AO221" s="16">
        <f ca="1">_xll.DBRW($D$4,$E$7,$E$8,$E$9,$E$10,$E$12,$D221,$E$6,AO$18,AO$17)</f>
        <v>0.14766506973965948</v>
      </c>
      <c r="AP221" s="16"/>
      <c r="AQ221" s="16"/>
      <c r="AR221" s="16"/>
      <c r="AS221" s="16"/>
      <c r="AT221" s="16">
        <f ca="1">_xll.DBRW($D$4,$E$7,$E$8,$E$9,$E$10,$E$12,$D221,$E$6,AT$18,AT$17)</f>
        <v>0.36833637989999995</v>
      </c>
      <c r="AU221" s="16">
        <f ca="1">_xll.DBRW($D$4,$E$7,$E$8,$E$9,$E$10,$E$12,$D221,$E$6,AU$18,AU$17)</f>
        <v>0.23245858329999999</v>
      </c>
      <c r="AV221" s="16">
        <f ca="1">_xll.DBRW($D$4,$E$7,$E$8,$E$9,$E$10,$E$12,$D221,$E$6,AV$18,AV$17)</f>
        <v>7.6957519999999997</v>
      </c>
      <c r="AW221" s="16">
        <f ca="1">_xll.DBRW($D$4,$E$7,$E$8,$E$9,$E$10,$E$12,$D221,$E$6,AW$18,AW$17)</f>
        <v>0.23245858329999999</v>
      </c>
      <c r="AX221" s="16">
        <f ca="1">_xll.DBRW($D$4,$E$7,$E$8,$E$9,$E$10,$E$12,$D221,$E$6,AX$18,AX$17)</f>
        <v>2.4114850499999996</v>
      </c>
      <c r="AY221" s="16">
        <f ca="1">_xll.DBRW($D$4,$E$7,$E$8,$E$9,$E$10,$E$12,$D221,$E$6,AY$18,AY$17)</f>
        <v>0.23245858329999999</v>
      </c>
      <c r="AZ221" s="16">
        <f ca="1">_xll.DBRW($D$4,$E$7,$E$8,$E$9,$E$10,$E$12,$D221,$E$6,AZ$18,AZ$17)</f>
        <v>1.3780000000000002E-4</v>
      </c>
      <c r="BA221" s="16">
        <f ca="1">_xll.DBRW($D$4,$E$7,$E$8,$E$9,$E$10,$E$12,$D221,$E$6,BA$18,BA$17)</f>
        <v>0.23245858329999999</v>
      </c>
      <c r="BB221" s="16">
        <f ca="1">_xll.DBRW($D$4,$E$7,$E$8,$E$9,$E$10,$E$12,$D221,$E$6,BB$18,BB$17)</f>
        <v>0.23245858329999999</v>
      </c>
      <c r="BC221" s="16">
        <f ca="1">_xll.DBRW($D$4,$E$7,$E$8,$E$9,$E$10,$E$12,$D221,$E$6,BC$18,BC$17)</f>
        <v>0.23245858329999999</v>
      </c>
      <c r="BD221" s="16">
        <f ca="1">_xll.DBRW($D$4,$E$7,$E$8,$E$9,$E$10,$E$12,$D221,$E$6,BD$18,BD$17)</f>
        <v>0.58694123278354049</v>
      </c>
      <c r="BE221" s="16">
        <f ca="1">_xll.DBRW($D$4,$E$7,$E$8,$E$9,$E$10,$E$12,$D221,$E$6,BE$18,BE$17)</f>
        <v>-2.9318466466964557</v>
      </c>
      <c r="BF221" s="16">
        <f ca="1">_xll.DBRW($D$4,$E$7,$E$8,$E$9,$E$10,$E$12,$D221,$E$6,BF$18,BF$17)</f>
        <v>0</v>
      </c>
      <c r="BG221" s="26">
        <f ca="1">_xll.DBRW($D$4,$E$7,$E$8,$E$9,$E$10,$E$12,$D221,$E$6,BG$18,BG$17)</f>
        <v>-0.15897663240000001</v>
      </c>
      <c r="BH221" s="26">
        <f ca="1">_xll.DBRW($D$4,$E$7,$E$8,$E$9,$E$10,$E$12,$D221,$E$6,BH$18,BH$17)</f>
        <v>0</v>
      </c>
      <c r="BI221" s="26">
        <f ca="1">_xll.DBRW($D$4,$E$7,$E$8,$E$9,$E$10,$E$12,$D221,$E$6,BI$18,BI$17)</f>
        <v>0</v>
      </c>
      <c r="BJ221" s="26">
        <f ca="1">_xll.DBRW($D$4,$E$7,$E$8,$E$9,$E$10,$E$12,$D221,$E$6,BJ$18,BJ$17)</f>
        <v>0</v>
      </c>
      <c r="BK221" s="16">
        <f ca="1">_xll.DBRW($D$4,$E$7,$E$8,$E$9,$E$10,$E$12,$D221,$E$6,BK$18,BK$17)</f>
        <v>3.677764511879996</v>
      </c>
      <c r="BL221" s="16">
        <f ca="1">_xll.DBRW($D$4,$E$7,$E$8,$E$9,$E$10,$E$12,$D221,$E$6,BL$18,BL$17)</f>
        <v>28.346438095989996</v>
      </c>
      <c r="BM221" s="16">
        <f ca="1">_xll.DBRW($D$4,$E$7,$E$8,$E$9,$E$10,$E$12,$D221,$E$6,BM$18,BM$17)</f>
        <v>-14.666717720000001</v>
      </c>
      <c r="BN221" s="16">
        <f ca="1">_xll.DBRW($D$4,$E$7,$E$8,$E$9,$E$10,$E$12,$D221,$E$6,BN$18,BN$17)</f>
        <v>0.51740954790629645</v>
      </c>
      <c r="BO221" s="16"/>
      <c r="BP221" s="16"/>
      <c r="BQ221" s="16"/>
      <c r="BR221" s="16"/>
      <c r="BS221" s="16">
        <f ca="1">_xll.DBRW($D$4,$E$7,$E$8,$E$9,$E$10,$E$12,$D221,$E$6,BS$18,BS$17)</f>
        <v>-2.3118307653999999</v>
      </c>
      <c r="BT221" s="16">
        <f ca="1">_xll.DBRW($D$4,$E$7,$E$8,$E$9,$E$10,$E$12,$D221,$E$6,BT$18,BT$17)</f>
        <v>8.1556305507288443E-2</v>
      </c>
      <c r="BU221" s="16"/>
      <c r="BV221" s="16"/>
      <c r="BW221" s="16"/>
      <c r="BX221" s="16"/>
      <c r="BY221" s="16">
        <f ca="1">_xll.DBRW($D$4,$E$7,$E$8,$E$9,$E$10,$E$12,$D221,$E$6,BY$18,BY$17)</f>
        <v>-1.98016849245</v>
      </c>
      <c r="BZ221" s="16">
        <f ca="1">_xll.DBRW($D$4,$E$7,$E$8,$E$9,$E$10,$E$12,$D221,$E$6,BZ$18,BZ$17)</f>
        <v>6.9855989868798471E-2</v>
      </c>
      <c r="CA221" s="16"/>
      <c r="CB221" s="16"/>
      <c r="CC221" s="16"/>
      <c r="CD221" s="16"/>
      <c r="CE221" s="16">
        <f ca="1">_xll.DBRW($D$4,$E$7,$E$8,$E$9,$E$10,$E$12,$D221,$E$6,CE$18,CE$17)</f>
        <v>-1.6298255666700001</v>
      </c>
      <c r="CF221" s="16">
        <f ca="1">_xll.DBRW($D$4,$E$7,$E$8,$E$9,$E$10,$E$12,$D221,$E$6,CF$18,CF$17)</f>
        <v>5.7496661878677517E-2</v>
      </c>
      <c r="CG221" s="16"/>
      <c r="CH221" s="16"/>
      <c r="CI221" s="16"/>
      <c r="CJ221" s="16"/>
      <c r="CK221" s="16">
        <f ca="1">_xll.DBRW($D$4,$E$7,$E$8,$E$9,$E$10,$E$12,$D221,$E$6,CK$18,CK$17)</f>
        <v>-4.0801310395900003</v>
      </c>
      <c r="CL221" s="16">
        <f ca="1">_xll.DBRW($D$4,$E$7,$E$8,$E$9,$E$10,$E$12,$D221,$E$6,CL$18,CL$17)</f>
        <v>0.14393805055059783</v>
      </c>
      <c r="CM221" s="16"/>
      <c r="CN221" s="16"/>
      <c r="CO221" s="16"/>
      <c r="CP221" s="16"/>
      <c r="CQ221" s="16">
        <f ca="1">_xll.DBRW($D$4,$E$7,$E$8,$E$9,$E$10,$E$12,$D221,$E$6,CQ$18,CQ$17)</f>
        <v>0.38653088290000004</v>
      </c>
      <c r="CR221" s="16">
        <f ca="1">_xll.DBRW($D$4,$E$7,$E$8,$E$9,$E$10,$E$12,$D221,$E$6,CR$18,CR$17)</f>
        <v>0.25658679699999992</v>
      </c>
      <c r="CS221" s="16">
        <f ca="1">_xll.DBRW($D$4,$E$7,$E$8,$E$9,$E$10,$E$12,$D221,$E$6,CS$18,CS$17)</f>
        <v>8.3000344659999978</v>
      </c>
      <c r="CT221" s="16">
        <f ca="1">_xll.DBRW($D$4,$E$7,$E$8,$E$9,$E$10,$E$12,$D221,$E$6,CT$18,CT$17)</f>
        <v>0.25658679699999992</v>
      </c>
      <c r="CU221" s="16">
        <f ca="1">_xll.DBRW($D$4,$E$7,$E$8,$E$9,$E$10,$E$12,$D221,$E$6,CU$18,CU$17)</f>
        <v>2.0149553780000002</v>
      </c>
      <c r="CV221" s="16">
        <f ca="1">_xll.DBRW($D$4,$E$7,$E$8,$E$9,$E$10,$E$12,$D221,$E$6,CV$18,CV$17)</f>
        <v>0.25658679699999992</v>
      </c>
      <c r="CW221" s="16">
        <f ca="1">_xll.DBRW($D$4,$E$7,$E$8,$E$9,$E$10,$E$12,$D221,$E$6,CW$18,CW$17)</f>
        <v>9.8090909090909096E-5</v>
      </c>
      <c r="CX221" s="16">
        <f ca="1">_xll.DBRW($D$4,$E$7,$E$8,$E$9,$E$10,$E$12,$D221,$E$6,CX$18,CX$17)</f>
        <v>0.25658679699999992</v>
      </c>
      <c r="CY221" s="16">
        <f ca="1">_xll.DBRW($D$4,$E$7,$E$8,$E$9,$E$10,$E$12,$D221,$E$6,CY$18,CY$17)</f>
        <v>0.25658679699999992</v>
      </c>
      <c r="CZ221" s="16">
        <f ca="1">_xll.DBRW($D$4,$E$7,$E$8,$E$9,$E$10,$E$12,$D221,$E$6,CZ$18,CZ$17)</f>
        <v>0.25658679699999992</v>
      </c>
      <c r="DA221" s="26">
        <f t="shared" ref="DA221:DA284" ca="1" si="146">G221-BD221</f>
        <v>-1.337276577783546</v>
      </c>
      <c r="DB221" s="26">
        <f t="shared" ref="DB221:DB284" ca="1" si="147">H221-BE221</f>
        <v>-6.3819988303544406E-2</v>
      </c>
      <c r="DC221" s="26">
        <f t="shared" ref="DC221:DC284" ca="1" si="148">I221-BF221</f>
        <v>0</v>
      </c>
      <c r="DD221" s="26">
        <f t="shared" ref="DD221:DD284" ca="1" si="149">J221-BG221</f>
        <v>-5.4047475999999817E-3</v>
      </c>
      <c r="DE221" s="26">
        <f t="shared" ref="DE221:DE284" ca="1" si="150">K221-BH221</f>
        <v>0</v>
      </c>
      <c r="DF221" s="26">
        <f t="shared" ref="DF221:DF284" ca="1" si="151">L221-BI221</f>
        <v>0</v>
      </c>
      <c r="DG221" s="26">
        <f t="shared" ref="DG221:DG284" ca="1" si="152">M221-BJ221</f>
        <v>0</v>
      </c>
      <c r="DH221" s="26">
        <f t="shared" ref="DH221:DH284" ca="1" si="153">N221-BK221</f>
        <v>-1.268051841880002</v>
      </c>
      <c r="DI221" s="26">
        <f t="shared" ref="DI221:DI284" ca="1" si="154">O221-BL221</f>
        <v>-3.3773966259900021</v>
      </c>
      <c r="DJ221" s="26">
        <f t="shared" ref="DJ221:DJ284" ca="1" si="155">P221-BM221</f>
        <v>0.92900502000000351</v>
      </c>
      <c r="DK221" s="26">
        <f t="shared" ref="DK221:DK284" ca="1" si="156">Q221-BN221</f>
        <v>3.278028282892409E-2</v>
      </c>
      <c r="DL221" s="26"/>
      <c r="DM221" s="26"/>
      <c r="DN221" s="26"/>
      <c r="DO221" s="26"/>
      <c r="DP221" s="26">
        <f t="shared" ref="DP221:DP284" ca="1" si="157">V221-BS221</f>
        <v>0.5681340354000004</v>
      </c>
      <c r="DQ221" s="26">
        <f t="shared" ref="DQ221:DQ284" ca="1" si="158">W221-BT221</f>
        <v>-1.1721957557046525E-2</v>
      </c>
      <c r="DR221" s="26"/>
      <c r="DS221" s="26"/>
      <c r="DT221" s="26"/>
      <c r="DU221" s="26"/>
      <c r="DV221" s="26">
        <f t="shared" ref="DV221:DV284" ca="1" si="159">AB221-BY221</f>
        <v>-0.41568520754999905</v>
      </c>
      <c r="DW221" s="26">
        <f t="shared" ref="DW221:DW284" ca="1" si="160">AC221-BZ221</f>
        <v>2.6096980647854678E-2</v>
      </c>
      <c r="DX221" s="26"/>
      <c r="DY221" s="26"/>
      <c r="DZ221" s="26"/>
      <c r="EA221" s="26"/>
      <c r="EB221" s="26">
        <f t="shared" ref="EB221:EB284" ca="1" si="161">AH221-CE221</f>
        <v>0.63481514667000005</v>
      </c>
      <c r="EC221" s="26">
        <f t="shared" ref="EC221:EC284" ca="1" si="162">AI221-CF221</f>
        <v>-1.7646897473604407E-2</v>
      </c>
      <c r="ED221" s="26"/>
      <c r="EE221" s="26"/>
      <c r="EF221" s="26"/>
      <c r="EG221" s="26"/>
      <c r="EH221" s="26">
        <f t="shared" ref="EH221:EH284" ca="1" si="163">AN221-CK221</f>
        <v>0.39307578959000145</v>
      </c>
      <c r="EI221" s="29">
        <f t="shared" ref="EI221:EI284" ca="1" si="164">AO221-CL221</f>
        <v>3.7270191890616533E-3</v>
      </c>
      <c r="EJ221" s="29"/>
      <c r="EK221" s="29"/>
      <c r="EL221" s="29"/>
      <c r="EM221" s="29"/>
      <c r="EN221" s="93"/>
      <c r="EO221" s="29"/>
      <c r="EP221" s="29"/>
      <c r="EQ221" s="29"/>
      <c r="ER221" s="29"/>
      <c r="ES221" s="29"/>
      <c r="ET221" s="29"/>
      <c r="EU221" s="93"/>
      <c r="EV221" s="29"/>
      <c r="EW221" s="29"/>
      <c r="EX221" s="29"/>
      <c r="EY221" s="29"/>
      <c r="EZ221" s="29"/>
      <c r="FA221" s="29"/>
      <c r="FB221" s="93"/>
      <c r="FC221" s="29"/>
      <c r="FD221" s="29"/>
      <c r="FE221" s="29"/>
      <c r="FF221" s="29"/>
      <c r="FG221" s="29"/>
      <c r="FH221" s="29"/>
      <c r="FI221" s="93"/>
      <c r="FJ221" s="29"/>
      <c r="FK221" s="29"/>
      <c r="FL221" s="29"/>
      <c r="FM221" s="29"/>
      <c r="FN221" s="29"/>
      <c r="FO221" s="29"/>
      <c r="FP221" s="93"/>
      <c r="FQ221" s="29"/>
      <c r="FR221" s="29"/>
      <c r="FS221" s="29"/>
      <c r="FT221" s="29"/>
      <c r="FU221" s="29"/>
      <c r="FV221" s="29"/>
    </row>
    <row r="222" spans="1:178" x14ac:dyDescent="0.25">
      <c r="A222" t="str">
        <f ca="1">IF(_xll.TM1RPTELISCONSOLIDATED($D$28,$D222),IF(_xll.TM1RPTELLEV($D$28,$D222)&lt;=3,_xll.TM1RPTELLEV($D$28,$D222),"D"),"N")</f>
        <v>N</v>
      </c>
      <c r="B222" t="str">
        <f ca="1">_xll.DBRA(Server&amp;"Management_organization",$D222,$B$27)</f>
        <v>L</v>
      </c>
      <c r="C222">
        <v>1</v>
      </c>
      <c r="D222" s="2" t="s">
        <v>228</v>
      </c>
      <c r="E222" s="26"/>
      <c r="F222" s="26"/>
      <c r="G222" s="16">
        <f ca="1">_xll.DBRW($D$4,$E$7,$E$8,$E$9,$E$10,$E$12,$D222,$E$6,G$18,G$17)</f>
        <v>-0.82405088700000406</v>
      </c>
      <c r="H222" s="16">
        <f ca="1">_xll.DBRW($D$4,$E$7,$E$8,$E$9,$E$10,$E$12,$D222,$E$6,H$18,H$17)</f>
        <v>-7.2999089469999996</v>
      </c>
      <c r="I222" s="16">
        <f ca="1">_xll.DBRW($D$4,$E$7,$E$8,$E$9,$E$10,$E$12,$D222,$E$6,I$18,I$17)</f>
        <v>0</v>
      </c>
      <c r="J222" s="26">
        <f ca="1">_xll.DBRW($D$4,$E$7,$E$8,$E$9,$E$10,$E$12,$D222,$E$6,J$18,J$17)</f>
        <v>-0.43919722999999994</v>
      </c>
      <c r="K222" s="26">
        <f ca="1">_xll.DBRW($D$4,$E$7,$E$8,$E$9,$E$10,$E$12,$D222,$E$6,K$18,K$17)</f>
        <v>0</v>
      </c>
      <c r="L222" s="26">
        <f ca="1">_xll.DBRW($D$4,$E$7,$E$8,$E$9,$E$10,$E$12,$D222,$E$6,L$18,L$17)</f>
        <v>0</v>
      </c>
      <c r="M222" s="26">
        <f ca="1">_xll.DBRW($D$4,$E$7,$E$8,$E$9,$E$10,$E$12,$D222,$E$6,M$18,M$17)</f>
        <v>0</v>
      </c>
      <c r="N222" s="16">
        <f ca="1">_xll.DBRW($D$4,$E$7,$E$8,$E$9,$E$10,$E$12,$D222,$E$6,N$18,N$17)</f>
        <v>6.9150552899999953</v>
      </c>
      <c r="O222" s="16">
        <f ca="1">_xll.DBRW($D$4,$E$7,$E$8,$E$9,$E$10,$E$12,$D222,$E$6,O$18,O$17)</f>
        <v>74.571542969999982</v>
      </c>
      <c r="P222" s="74">
        <f ca="1">_xll.DBRW($D$4,$E$7,$E$8,$E$9,$E$10,$E$12,$D222,$E$6,P$18,P$17)</f>
        <v>-36.319723729999993</v>
      </c>
      <c r="Q222" s="16">
        <f ca="1">_xll.DBRW($D$4,$E$7,$E$8,$E$9,$E$10,$E$12,$D222,$E$6,Q$18,Q$17)</f>
        <v>0.48704535649223946</v>
      </c>
      <c r="R222" s="16"/>
      <c r="S222" s="16"/>
      <c r="T222" s="16"/>
      <c r="U222" s="16"/>
      <c r="V222" s="16">
        <f ca="1">_xll.DBRW($D$4,$E$7,$E$8,$E$9,$E$10,$E$12,$D222,$E$6,V$18,V$17)</f>
        <v>-9.6685800399999984</v>
      </c>
      <c r="W222" s="16">
        <f ca="1">_xll.DBRW($D$4,$E$7,$E$8,$E$9,$E$10,$E$12,$D222,$E$6,W$18,W$17)</f>
        <v>0.12965508899138178</v>
      </c>
      <c r="X222" s="16"/>
      <c r="Y222" s="16"/>
      <c r="Z222" s="16"/>
      <c r="AA222" s="16"/>
      <c r="AB222" s="16">
        <f ca="1">_xll.DBRW($D$4,$E$7,$E$8,$E$9,$E$10,$E$12,$D222,$E$6,AB$18,AB$17)</f>
        <v>-6.1323046199999993</v>
      </c>
      <c r="AC222" s="16">
        <f ca="1">_xll.DBRW($D$4,$E$7,$E$8,$E$9,$E$10,$E$12,$D222,$E$6,AC$18,AC$17)</f>
        <v>8.2233843846667029E-2</v>
      </c>
      <c r="AD222" s="16"/>
      <c r="AE222" s="16"/>
      <c r="AF222" s="16"/>
      <c r="AG222" s="16"/>
      <c r="AH222" s="16">
        <f ca="1">_xll.DBRW($D$4,$E$7,$E$8,$E$9,$E$10,$E$12,$D222,$E$6,AH$18,AH$17)</f>
        <v>-6.8477202100000003</v>
      </c>
      <c r="AI222" s="16">
        <f ca="1">_xll.DBRW($D$4,$E$7,$E$8,$E$9,$E$10,$E$12,$D222,$E$6,AI$18,AI$17)</f>
        <v>9.1827524780529593E-2</v>
      </c>
      <c r="AJ222" s="16"/>
      <c r="AK222" s="16"/>
      <c r="AL222" s="16"/>
      <c r="AM222" s="16"/>
      <c r="AN222" s="16">
        <f ca="1">_xll.DBRW($D$4,$E$7,$E$8,$E$9,$E$10,$E$12,$D222,$E$6,AN$18,AN$17)</f>
        <v>-8.6881590800000019</v>
      </c>
      <c r="AO222" s="16">
        <f ca="1">_xll.DBRW($D$4,$E$7,$E$8,$E$9,$E$10,$E$12,$D222,$E$6,AO$18,AO$17)</f>
        <v>0.1165077016509533</v>
      </c>
      <c r="AP222" s="16"/>
      <c r="AQ222" s="16"/>
      <c r="AR222" s="16"/>
      <c r="AS222" s="16"/>
      <c r="AT222" s="16">
        <f ca="1">_xll.DBRW($D$4,$E$7,$E$8,$E$9,$E$10,$E$12,$D222,$E$6,AT$18,AT$17)</f>
        <v>0.97422228499999997</v>
      </c>
      <c r="AU222" s="16">
        <f ca="1">_xll.DBRW($D$4,$E$7,$E$8,$E$9,$E$10,$E$12,$D222,$E$6,AU$18,AU$17)</f>
        <v>0.59014959999999994</v>
      </c>
      <c r="AV222" s="16">
        <f ca="1">_xll.DBRW($D$4,$E$7,$E$8,$E$9,$E$10,$E$12,$D222,$E$6,AV$18,AV$17)</f>
        <v>16.697911049999998</v>
      </c>
      <c r="AW222" s="16">
        <f ca="1">_xll.DBRW($D$4,$E$7,$E$8,$E$9,$E$10,$E$12,$D222,$E$6,AW$18,AW$17)</f>
        <v>0.59014959999999994</v>
      </c>
      <c r="AX222" s="16">
        <f ca="1">_xll.DBRW($D$4,$E$7,$E$8,$E$9,$E$10,$E$12,$D222,$E$6,AX$18,AX$17)</f>
        <v>9.6686452238400005</v>
      </c>
      <c r="AY222" s="16">
        <f ca="1">_xll.DBRW($D$4,$E$7,$E$8,$E$9,$E$10,$E$12,$D222,$E$6,AY$18,AY$17)</f>
        <v>0.59014959999999994</v>
      </c>
      <c r="AZ222" s="16">
        <f ca="1">_xll.DBRW($D$4,$E$7,$E$8,$E$9,$E$10,$E$12,$D222,$E$6,AZ$18,AZ$17)</f>
        <v>2.8800000000000006E-4</v>
      </c>
      <c r="BA222" s="16">
        <f ca="1">_xll.DBRW($D$4,$E$7,$E$8,$E$9,$E$10,$E$12,$D222,$E$6,BA$18,BA$17)</f>
        <v>0.59014959999999994</v>
      </c>
      <c r="BB222" s="16">
        <f ca="1">_xll.DBRW($D$4,$E$7,$E$8,$E$9,$E$10,$E$12,$D222,$E$6,BB$18,BB$17)</f>
        <v>0.59014959999999994</v>
      </c>
      <c r="BC222" s="16">
        <f ca="1">_xll.DBRW($D$4,$E$7,$E$8,$E$9,$E$10,$E$12,$D222,$E$6,BC$18,BC$17)</f>
        <v>0.59014959999999994</v>
      </c>
      <c r="BD222" s="16">
        <f ca="1">_xll.DBRW($D$4,$E$7,$E$8,$E$9,$E$10,$E$12,$D222,$E$6,BD$18,BD$17)</f>
        <v>-0.43903939459996627</v>
      </c>
      <c r="BE222" s="16">
        <f ca="1">_xll.DBRW($D$4,$E$7,$E$8,$E$9,$E$10,$E$12,$D222,$E$6,BE$18,BE$17)</f>
        <v>-8.4710283980999996</v>
      </c>
      <c r="BF222" s="16">
        <f ca="1">_xll.DBRW($D$4,$E$7,$E$8,$E$9,$E$10,$E$12,$D222,$E$6,BF$18,BF$17)</f>
        <v>0</v>
      </c>
      <c r="BG222" s="26">
        <f ca="1">_xll.DBRW($D$4,$E$7,$E$8,$E$9,$E$10,$E$12,$D222,$E$6,BG$18,BG$17)</f>
        <v>-0.82165400909999997</v>
      </c>
      <c r="BH222" s="26">
        <f ca="1">_xll.DBRW($D$4,$E$7,$E$8,$E$9,$E$10,$E$12,$D222,$E$6,BH$18,BH$17)</f>
        <v>0</v>
      </c>
      <c r="BI222" s="26">
        <f ca="1">_xll.DBRW($D$4,$E$7,$E$8,$E$9,$E$10,$E$12,$D222,$E$6,BI$18,BI$17)</f>
        <v>0</v>
      </c>
      <c r="BJ222" s="26">
        <f ca="1">_xll.DBRW($D$4,$E$7,$E$8,$E$9,$E$10,$E$12,$D222,$E$6,BJ$18,BJ$17)</f>
        <v>0</v>
      </c>
      <c r="BK222" s="16">
        <f ca="1">_xll.DBRW($D$4,$E$7,$E$8,$E$9,$E$10,$E$12,$D222,$E$6,BK$18,BK$17)</f>
        <v>8.8536430126000312</v>
      </c>
      <c r="BL222" s="16">
        <f ca="1">_xll.DBRW($D$4,$E$7,$E$8,$E$9,$E$10,$E$12,$D222,$E$6,BL$18,BL$17)</f>
        <v>83.765251823000014</v>
      </c>
      <c r="BM222" s="16">
        <f ca="1">_xll.DBRW($D$4,$E$7,$E$8,$E$9,$E$10,$E$12,$D222,$E$6,BM$18,BM$17)</f>
        <v>-40.168126939999993</v>
      </c>
      <c r="BN222" s="16">
        <f ca="1">_xll.DBRW($D$4,$E$7,$E$8,$E$9,$E$10,$E$12,$D222,$E$6,BN$18,BN$17)</f>
        <v>0.47953209792620416</v>
      </c>
      <c r="BO222" s="16"/>
      <c r="BP222" s="16"/>
      <c r="BQ222" s="16"/>
      <c r="BR222" s="16"/>
      <c r="BS222" s="16">
        <f ca="1">_xll.DBRW($D$4,$E$7,$E$8,$E$9,$E$10,$E$12,$D222,$E$6,BS$18,BS$17)</f>
        <v>-10.882390941999997</v>
      </c>
      <c r="BT222" s="16">
        <f ca="1">_xll.DBRW($D$4,$E$7,$E$8,$E$9,$E$10,$E$12,$D222,$E$6,BT$18,BT$17)</f>
        <v>0.12991533726890728</v>
      </c>
      <c r="BU222" s="16"/>
      <c r="BV222" s="16"/>
      <c r="BW222" s="16"/>
      <c r="BX222" s="16"/>
      <c r="BY222" s="16">
        <f ca="1">_xll.DBRW($D$4,$E$7,$E$8,$E$9,$E$10,$E$12,$D222,$E$6,BY$18,BY$17)</f>
        <v>-6.5212012450999994</v>
      </c>
      <c r="BZ222" s="16">
        <f ca="1">_xll.DBRW($D$4,$E$7,$E$8,$E$9,$E$10,$E$12,$D222,$E$6,BZ$18,BZ$17)</f>
        <v>7.78509119614373E-2</v>
      </c>
      <c r="CA222" s="16"/>
      <c r="CB222" s="16"/>
      <c r="CC222" s="16"/>
      <c r="CD222" s="16"/>
      <c r="CE222" s="16">
        <f ca="1">_xll.DBRW($D$4,$E$7,$E$8,$E$9,$E$10,$E$12,$D222,$E$6,CE$18,CE$17)</f>
        <v>-7.8990399663000002</v>
      </c>
      <c r="CF222" s="16">
        <f ca="1">_xll.DBRW($D$4,$E$7,$E$8,$E$9,$E$10,$E$12,$D222,$E$6,CF$18,CF$17)</f>
        <v>9.4299722073193898E-2</v>
      </c>
      <c r="CG222" s="16"/>
      <c r="CH222" s="16"/>
      <c r="CI222" s="16"/>
      <c r="CJ222" s="16"/>
      <c r="CK222" s="16">
        <f ca="1">_xll.DBRW($D$4,$E$7,$E$8,$E$9,$E$10,$E$12,$D222,$E$6,CK$18,CK$17)</f>
        <v>-9.4408497170000025</v>
      </c>
      <c r="CL222" s="16">
        <f ca="1">_xll.DBRW($D$4,$E$7,$E$8,$E$9,$E$10,$E$12,$D222,$E$6,CL$18,CL$17)</f>
        <v>0.11270603873965508</v>
      </c>
      <c r="CM222" s="16"/>
      <c r="CN222" s="16"/>
      <c r="CO222" s="16"/>
      <c r="CP222" s="16"/>
      <c r="CQ222" s="16">
        <f ca="1">_xll.DBRW($D$4,$E$7,$E$8,$E$9,$E$10,$E$12,$D222,$E$6,CQ$18,CQ$17)</f>
        <v>1.051341286</v>
      </c>
      <c r="CR222" s="16">
        <f ca="1">_xll.DBRW($D$4,$E$7,$E$8,$E$9,$E$10,$E$12,$D222,$E$6,CR$18,CR$17)</f>
        <v>0.64733018809999998</v>
      </c>
      <c r="CS222" s="16">
        <f ca="1">_xll.DBRW($D$4,$E$7,$E$8,$E$9,$E$10,$E$12,$D222,$E$6,CS$18,CS$17)</f>
        <v>19.016073319999997</v>
      </c>
      <c r="CT222" s="16">
        <f ca="1">_xll.DBRW($D$4,$E$7,$E$8,$E$9,$E$10,$E$12,$D222,$E$6,CT$18,CT$17)</f>
        <v>0.64733018809999998</v>
      </c>
      <c r="CU222" s="16">
        <f ca="1">_xll.DBRW($D$4,$E$7,$E$8,$E$9,$E$10,$E$12,$D222,$E$6,CU$18,CU$17)</f>
        <v>10.657433430799999</v>
      </c>
      <c r="CV222" s="16">
        <f ca="1">_xll.DBRW($D$4,$E$7,$E$8,$E$9,$E$10,$E$12,$D222,$E$6,CV$18,CV$17)</f>
        <v>0.64733018809999998</v>
      </c>
      <c r="CW222" s="16">
        <f ca="1">_xll.DBRW($D$4,$E$7,$E$8,$E$9,$E$10,$E$12,$D222,$E$6,CW$18,CW$17)</f>
        <v>2.5599999999999999E-4</v>
      </c>
      <c r="CX222" s="16">
        <f ca="1">_xll.DBRW($D$4,$E$7,$E$8,$E$9,$E$10,$E$12,$D222,$E$6,CX$18,CX$17)</f>
        <v>0.64733018809999998</v>
      </c>
      <c r="CY222" s="16">
        <f ca="1">_xll.DBRW($D$4,$E$7,$E$8,$E$9,$E$10,$E$12,$D222,$E$6,CY$18,CY$17)</f>
        <v>0.64733018809999998</v>
      </c>
      <c r="CZ222" s="16">
        <f ca="1">_xll.DBRW($D$4,$E$7,$E$8,$E$9,$E$10,$E$12,$D222,$E$6,CZ$18,CZ$17)</f>
        <v>0.64733018809999998</v>
      </c>
      <c r="DA222" s="26">
        <f t="shared" ca="1" si="146"/>
        <v>-0.38501149240003779</v>
      </c>
      <c r="DB222" s="26">
        <f t="shared" ca="1" si="147"/>
        <v>1.1711194511</v>
      </c>
      <c r="DC222" s="26">
        <f t="shared" ca="1" si="148"/>
        <v>0</v>
      </c>
      <c r="DD222" s="26">
        <f t="shared" ca="1" si="149"/>
        <v>0.38245677910000003</v>
      </c>
      <c r="DE222" s="26">
        <f t="shared" ca="1" si="150"/>
        <v>0</v>
      </c>
      <c r="DF222" s="26">
        <f t="shared" ca="1" si="151"/>
        <v>0</v>
      </c>
      <c r="DG222" s="26">
        <f t="shared" ca="1" si="152"/>
        <v>0</v>
      </c>
      <c r="DH222" s="26">
        <f t="shared" ca="1" si="153"/>
        <v>-1.9385877226000359</v>
      </c>
      <c r="DI222" s="26">
        <f t="shared" ca="1" si="154"/>
        <v>-9.1937088530000324</v>
      </c>
      <c r="DJ222" s="26">
        <f t="shared" ca="1" si="155"/>
        <v>3.8484032100000007</v>
      </c>
      <c r="DK222" s="26">
        <f t="shared" ca="1" si="156"/>
        <v>7.5132585660352968E-3</v>
      </c>
      <c r="DL222" s="26"/>
      <c r="DM222" s="26"/>
      <c r="DN222" s="26"/>
      <c r="DO222" s="26"/>
      <c r="DP222" s="26">
        <f t="shared" ca="1" si="157"/>
        <v>1.2138109019999987</v>
      </c>
      <c r="DQ222" s="26">
        <f t="shared" ca="1" si="158"/>
        <v>-2.6024827752549329E-4</v>
      </c>
      <c r="DR222" s="26"/>
      <c r="DS222" s="26"/>
      <c r="DT222" s="26"/>
      <c r="DU222" s="26"/>
      <c r="DV222" s="26">
        <f t="shared" ca="1" si="159"/>
        <v>0.38889662510000012</v>
      </c>
      <c r="DW222" s="26">
        <f t="shared" ca="1" si="160"/>
        <v>4.3829318852297294E-3</v>
      </c>
      <c r="DX222" s="26"/>
      <c r="DY222" s="26"/>
      <c r="DZ222" s="26"/>
      <c r="EA222" s="26"/>
      <c r="EB222" s="26">
        <f t="shared" ca="1" si="161"/>
        <v>1.0513197562999999</v>
      </c>
      <c r="EC222" s="26">
        <f t="shared" ca="1" si="162"/>
        <v>-2.4721972926643049E-3</v>
      </c>
      <c r="ED222" s="26"/>
      <c r="EE222" s="26"/>
      <c r="EF222" s="26"/>
      <c r="EG222" s="26"/>
      <c r="EH222" s="26">
        <f t="shared" ca="1" si="163"/>
        <v>0.75269063700000061</v>
      </c>
      <c r="EI222" s="29">
        <f t="shared" ca="1" si="164"/>
        <v>3.8016629112982148E-3</v>
      </c>
      <c r="EJ222" s="29"/>
      <c r="EK222" s="29"/>
      <c r="EL222" s="29"/>
      <c r="EM222" s="29"/>
      <c r="EN222" s="93"/>
      <c r="EO222" s="29"/>
      <c r="EP222" s="29"/>
      <c r="EQ222" s="29"/>
      <c r="ER222" s="29"/>
      <c r="ES222" s="29"/>
      <c r="ET222" s="29"/>
      <c r="EU222" s="93"/>
      <c r="EV222" s="29"/>
      <c r="EW222" s="29"/>
      <c r="EX222" s="29"/>
      <c r="EY222" s="29"/>
      <c r="EZ222" s="29"/>
      <c r="FA222" s="29"/>
      <c r="FB222" s="93"/>
      <c r="FC222" s="29"/>
      <c r="FD222" s="29"/>
      <c r="FE222" s="29"/>
      <c r="FF222" s="29"/>
      <c r="FG222" s="29"/>
      <c r="FH222" s="29"/>
      <c r="FI222" s="93"/>
      <c r="FJ222" s="29"/>
      <c r="FK222" s="29"/>
      <c r="FL222" s="29"/>
      <c r="FM222" s="29"/>
      <c r="FN222" s="29"/>
      <c r="FO222" s="29"/>
      <c r="FP222" s="93"/>
      <c r="FQ222" s="29"/>
      <c r="FR222" s="29"/>
      <c r="FS222" s="29"/>
      <c r="FT222" s="29"/>
      <c r="FU222" s="29"/>
      <c r="FV222" s="29"/>
    </row>
    <row r="223" spans="1:178" x14ac:dyDescent="0.25">
      <c r="A223" t="str">
        <f ca="1">IF(_xll.TM1RPTELISCONSOLIDATED($D$28,$D223),IF(_xll.TM1RPTELLEV($D$28,$D223)&lt;=3,_xll.TM1RPTELLEV($D$28,$D223),"D"),"N")</f>
        <v>N</v>
      </c>
      <c r="B223" t="str">
        <f ca="1">_xll.DBRA(Server&amp;"Management_organization",$D223,$B$27)</f>
        <v>L</v>
      </c>
      <c r="C223">
        <v>1</v>
      </c>
      <c r="D223" s="2" t="s">
        <v>229</v>
      </c>
      <c r="E223" s="26"/>
      <c r="F223" s="26"/>
      <c r="G223" s="16">
        <f ca="1">_xll.DBRW($D$4,$E$7,$E$8,$E$9,$E$10,$E$12,$D223,$E$6,G$18,G$17)</f>
        <v>-1.6058462711999979</v>
      </c>
      <c r="H223" s="16">
        <f ca="1">_xll.DBRW($D$4,$E$7,$E$8,$E$9,$E$10,$E$12,$D223,$E$6,H$18,H$17)</f>
        <v>-1.5497402112000003</v>
      </c>
      <c r="I223" s="16">
        <f ca="1">_xll.DBRW($D$4,$E$7,$E$8,$E$9,$E$10,$E$12,$D223,$E$6,I$18,I$17)</f>
        <v>0</v>
      </c>
      <c r="J223" s="26">
        <f ca="1">_xll.DBRW($D$4,$E$7,$E$8,$E$9,$E$10,$E$12,$D223,$E$6,J$18,J$17)</f>
        <v>-6.9712170000000004E-2</v>
      </c>
      <c r="K223" s="26">
        <f ca="1">_xll.DBRW($D$4,$E$7,$E$8,$E$9,$E$10,$E$12,$D223,$E$6,K$18,K$17)</f>
        <v>0</v>
      </c>
      <c r="L223" s="26">
        <f ca="1">_xll.DBRW($D$4,$E$7,$E$8,$E$9,$E$10,$E$12,$D223,$E$6,L$18,L$17)</f>
        <v>0</v>
      </c>
      <c r="M223" s="26">
        <f ca="1">_xll.DBRW($D$4,$E$7,$E$8,$E$9,$E$10,$E$12,$D223,$E$6,M$18,M$17)</f>
        <v>0</v>
      </c>
      <c r="N223" s="16">
        <f ca="1">_xll.DBRW($D$4,$E$7,$E$8,$E$9,$E$10,$E$12,$D223,$E$6,N$18,N$17)</f>
        <v>1.3606110000002183E-2</v>
      </c>
      <c r="O223" s="16">
        <f ca="1">_xll.DBRW($D$4,$E$7,$E$8,$E$9,$E$10,$E$12,$D223,$E$6,O$18,O$17)</f>
        <v>13.99658412</v>
      </c>
      <c r="P223" s="74">
        <f ca="1">_xll.DBRW($D$4,$E$7,$E$8,$E$9,$E$10,$E$12,$D223,$E$6,P$18,P$17)</f>
        <v>-7.1866595599999989</v>
      </c>
      <c r="Q223" s="16">
        <f ca="1">_xll.DBRW($D$4,$E$7,$E$8,$E$9,$E$10,$E$12,$D223,$E$6,Q$18,Q$17)</f>
        <v>0.51345810509085832</v>
      </c>
      <c r="R223" s="16"/>
      <c r="S223" s="16"/>
      <c r="T223" s="16"/>
      <c r="U223" s="16"/>
      <c r="V223" s="16">
        <f ca="1">_xll.DBRW($D$4,$E$7,$E$8,$E$9,$E$10,$E$12,$D223,$E$6,V$18,V$17)</f>
        <v>-2.0652596399999998</v>
      </c>
      <c r="W223" s="16">
        <f ca="1">_xll.DBRW($D$4,$E$7,$E$8,$E$9,$E$10,$E$12,$D223,$E$6,W$18,W$17)</f>
        <v>0.14755454775918569</v>
      </c>
      <c r="X223" s="16"/>
      <c r="Y223" s="16"/>
      <c r="Z223" s="16"/>
      <c r="AA223" s="16"/>
      <c r="AB223" s="16">
        <f ca="1">_xll.DBRW($D$4,$E$7,$E$8,$E$9,$E$10,$E$12,$D223,$E$6,AB$18,AB$17)</f>
        <v>-1.7150514800000001</v>
      </c>
      <c r="AC223" s="16">
        <f ca="1">_xll.DBRW($D$4,$E$7,$E$8,$E$9,$E$10,$E$12,$D223,$E$6,AC$18,AC$17)</f>
        <v>0.12253357428469484</v>
      </c>
      <c r="AD223" s="16"/>
      <c r="AE223" s="16"/>
      <c r="AF223" s="16"/>
      <c r="AG223" s="16"/>
      <c r="AH223" s="16">
        <f ca="1">_xll.DBRW($D$4,$E$7,$E$8,$E$9,$E$10,$E$12,$D223,$E$6,AH$18,AH$17)</f>
        <v>-1.0741168299999997</v>
      </c>
      <c r="AI223" s="16">
        <f ca="1">_xll.DBRW($D$4,$E$7,$E$8,$E$9,$E$10,$E$12,$D223,$E$6,AI$18,AI$17)</f>
        <v>7.6741354947109749E-2</v>
      </c>
      <c r="AJ223" s="16"/>
      <c r="AK223" s="16"/>
      <c r="AL223" s="16"/>
      <c r="AM223" s="16"/>
      <c r="AN223" s="16">
        <f ca="1">_xll.DBRW($D$4,$E$7,$E$8,$E$9,$E$10,$E$12,$D223,$E$6,AN$18,AN$17)</f>
        <v>-1.9418904999999997</v>
      </c>
      <c r="AO223" s="16">
        <f ca="1">_xll.DBRW($D$4,$E$7,$E$8,$E$9,$E$10,$E$12,$D223,$E$6,AO$18,AO$17)</f>
        <v>0.13874031573355056</v>
      </c>
      <c r="AP223" s="16"/>
      <c r="AQ223" s="16"/>
      <c r="AR223" s="16"/>
      <c r="AS223" s="16"/>
      <c r="AT223" s="16">
        <f ca="1">_xll.DBRW($D$4,$E$7,$E$8,$E$9,$E$10,$E$12,$D223,$E$6,AT$18,AT$17)</f>
        <v>0.19551700469999997</v>
      </c>
      <c r="AU223" s="16">
        <f ca="1">_xll.DBRW($D$4,$E$7,$E$8,$E$9,$E$10,$E$12,$D223,$E$6,AU$18,AU$17)</f>
        <v>0.12002918330000001</v>
      </c>
      <c r="AV223" s="16">
        <f ca="1">_xll.DBRW($D$4,$E$7,$E$8,$E$9,$E$10,$E$12,$D223,$E$6,AV$18,AV$17)</f>
        <v>5.7116099999999994</v>
      </c>
      <c r="AW223" s="16">
        <f ca="1">_xll.DBRW($D$4,$E$7,$E$8,$E$9,$E$10,$E$12,$D223,$E$6,AW$18,AW$17)</f>
        <v>0.12002918330000001</v>
      </c>
      <c r="AX223" s="16">
        <f ca="1">_xll.DBRW($D$4,$E$7,$E$8,$E$9,$E$10,$E$12,$D223,$E$6,AX$18,AX$17)</f>
        <v>1.7256420499999998</v>
      </c>
      <c r="AY223" s="16">
        <f ca="1">_xll.DBRW($D$4,$E$7,$E$8,$E$9,$E$10,$E$12,$D223,$E$6,AY$18,AY$17)</f>
        <v>0.12002918330000001</v>
      </c>
      <c r="AZ223" s="16">
        <f ca="1">_xll.DBRW($D$4,$E$7,$E$8,$E$9,$E$10,$E$12,$D223,$E$6,AZ$18,AZ$17)</f>
        <v>7.08E-5</v>
      </c>
      <c r="BA223" s="16">
        <f ca="1">_xll.DBRW($D$4,$E$7,$E$8,$E$9,$E$10,$E$12,$D223,$E$6,BA$18,BA$17)</f>
        <v>0.12002918330000001</v>
      </c>
      <c r="BB223" s="16">
        <f ca="1">_xll.DBRW($D$4,$E$7,$E$8,$E$9,$E$10,$E$12,$D223,$E$6,BB$18,BB$17)</f>
        <v>0.12002918330000001</v>
      </c>
      <c r="BC223" s="16">
        <f ca="1">_xll.DBRW($D$4,$E$7,$E$8,$E$9,$E$10,$E$12,$D223,$E$6,BC$18,BC$17)</f>
        <v>0.12002918330000001</v>
      </c>
      <c r="BD223" s="16">
        <f ca="1">_xll.DBRW($D$4,$E$7,$E$8,$E$9,$E$10,$E$12,$D223,$E$6,BD$18,BD$17)</f>
        <v>-1.7554149325899999</v>
      </c>
      <c r="BE223" s="16">
        <f ca="1">_xll.DBRW($D$4,$E$7,$E$8,$E$9,$E$10,$E$12,$D223,$E$6,BE$18,BE$17)</f>
        <v>-1.71886556273</v>
      </c>
      <c r="BF223" s="16">
        <f ca="1">_xll.DBRW($D$4,$E$7,$E$8,$E$9,$E$10,$E$12,$D223,$E$6,BF$18,BF$17)</f>
        <v>0</v>
      </c>
      <c r="BG223" s="26">
        <f ca="1">_xll.DBRW($D$4,$E$7,$E$8,$E$9,$E$10,$E$12,$D223,$E$6,BG$18,BG$17)</f>
        <v>-0.10298989749999998</v>
      </c>
      <c r="BH223" s="26">
        <f ca="1">_xll.DBRW($D$4,$E$7,$E$8,$E$9,$E$10,$E$12,$D223,$E$6,BH$18,BH$17)</f>
        <v>0</v>
      </c>
      <c r="BI223" s="26">
        <f ca="1">_xll.DBRW($D$4,$E$7,$E$8,$E$9,$E$10,$E$12,$D223,$E$6,BI$18,BI$17)</f>
        <v>0</v>
      </c>
      <c r="BJ223" s="26">
        <f ca="1">_xll.DBRW($D$4,$E$7,$E$8,$E$9,$E$10,$E$12,$D223,$E$6,BJ$18,BJ$17)</f>
        <v>0</v>
      </c>
      <c r="BK223" s="16">
        <f ca="1">_xll.DBRW($D$4,$E$7,$E$8,$E$9,$E$10,$E$12,$D223,$E$6,BK$18,BK$17)</f>
        <v>6.6440527640000066E-2</v>
      </c>
      <c r="BL223" s="16">
        <f ca="1">_xll.DBRW($D$4,$E$7,$E$8,$E$9,$E$10,$E$12,$D223,$E$6,BL$18,BL$17)</f>
        <v>15.413155171799998</v>
      </c>
      <c r="BM223" s="16">
        <f ca="1">_xll.DBRW($D$4,$E$7,$E$8,$E$9,$E$10,$E$12,$D223,$E$6,BM$18,BM$17)</f>
        <v>-8.0955722629999993</v>
      </c>
      <c r="BN223" s="16">
        <f ca="1">_xll.DBRW($D$4,$E$7,$E$8,$E$9,$E$10,$E$12,$D223,$E$6,BN$18,BN$17)</f>
        <v>0.52523783565169757</v>
      </c>
      <c r="BO223" s="16"/>
      <c r="BP223" s="16"/>
      <c r="BQ223" s="16"/>
      <c r="BR223" s="16"/>
      <c r="BS223" s="16">
        <f ca="1">_xll.DBRW($D$4,$E$7,$E$8,$E$9,$E$10,$E$12,$D223,$E$6,BS$18,BS$17)</f>
        <v>-2.150191526</v>
      </c>
      <c r="BT223" s="16">
        <f ca="1">_xll.DBRW($D$4,$E$7,$E$8,$E$9,$E$10,$E$12,$D223,$E$6,BT$18,BT$17)</f>
        <v>0.13950365788401348</v>
      </c>
      <c r="BU223" s="16"/>
      <c r="BV223" s="16"/>
      <c r="BW223" s="16"/>
      <c r="BX223" s="16"/>
      <c r="BY223" s="16">
        <f ca="1">_xll.DBRW($D$4,$E$7,$E$8,$E$9,$E$10,$E$12,$D223,$E$6,BY$18,BY$17)</f>
        <v>-1.8187440634999996</v>
      </c>
      <c r="BZ223" s="16">
        <f ca="1">_xll.DBRW($D$4,$E$7,$E$8,$E$9,$E$10,$E$12,$D223,$E$6,BZ$18,BZ$17)</f>
        <v>0.11799946495235347</v>
      </c>
      <c r="CA223" s="16"/>
      <c r="CB223" s="16"/>
      <c r="CC223" s="16"/>
      <c r="CD223" s="16"/>
      <c r="CE223" s="16">
        <f ca="1">_xll.DBRW($D$4,$E$7,$E$8,$E$9,$E$10,$E$12,$D223,$E$6,CE$18,CE$17)</f>
        <v>-1.2531084833300001</v>
      </c>
      <c r="CF223" s="16">
        <f ca="1">_xll.DBRW($D$4,$E$7,$E$8,$E$9,$E$10,$E$12,$D223,$E$6,CF$18,CF$17)</f>
        <v>8.1301230628151658E-2</v>
      </c>
      <c r="CG223" s="16"/>
      <c r="CH223" s="16"/>
      <c r="CI223" s="16"/>
      <c r="CJ223" s="16"/>
      <c r="CK223" s="16">
        <f ca="1">_xll.DBRW($D$4,$E$7,$E$8,$E$9,$E$10,$E$12,$D223,$E$6,CK$18,CK$17)</f>
        <v>-2.02909830833</v>
      </c>
      <c r="CL223" s="16">
        <f ca="1">_xll.DBRW($D$4,$E$7,$E$8,$E$9,$E$10,$E$12,$D223,$E$6,CL$18,CL$17)</f>
        <v>0.13164717319153774</v>
      </c>
      <c r="CM223" s="16"/>
      <c r="CN223" s="16"/>
      <c r="CO223" s="16"/>
      <c r="CP223" s="16"/>
      <c r="CQ223" s="16">
        <f ca="1">_xll.DBRW($D$4,$E$7,$E$8,$E$9,$E$10,$E$12,$D223,$E$6,CQ$18,CQ$17)</f>
        <v>0.21626109569999996</v>
      </c>
      <c r="CR223" s="16">
        <f ca="1">_xll.DBRW($D$4,$E$7,$E$8,$E$9,$E$10,$E$12,$D223,$E$6,CR$18,CR$17)</f>
        <v>0.13203106249999999</v>
      </c>
      <c r="CS223" s="16">
        <f ca="1">_xll.DBRW($D$4,$E$7,$E$8,$E$9,$E$10,$E$12,$D223,$E$6,CS$18,CS$17)</f>
        <v>6.3633485399999996</v>
      </c>
      <c r="CT223" s="16">
        <f ca="1">_xll.DBRW($D$4,$E$7,$E$8,$E$9,$E$10,$E$12,$D223,$E$6,CT$18,CT$17)</f>
        <v>0.13203106249999999</v>
      </c>
      <c r="CU223" s="16">
        <f ca="1">_xll.DBRW($D$4,$E$7,$E$8,$E$9,$E$10,$E$12,$D223,$E$6,CU$18,CU$17)</f>
        <v>1.9341865299999996</v>
      </c>
      <c r="CV223" s="16">
        <f ca="1">_xll.DBRW($D$4,$E$7,$E$8,$E$9,$E$10,$E$12,$D223,$E$6,CV$18,CV$17)</f>
        <v>0.13203106249999999</v>
      </c>
      <c r="CW223" s="16">
        <f ca="1">_xll.DBRW($D$4,$E$7,$E$8,$E$9,$E$10,$E$12,$D223,$E$6,CW$18,CW$17)</f>
        <v>5.9000000000000004E-5</v>
      </c>
      <c r="CX223" s="16">
        <f ca="1">_xll.DBRW($D$4,$E$7,$E$8,$E$9,$E$10,$E$12,$D223,$E$6,CX$18,CX$17)</f>
        <v>0.13203106249999999</v>
      </c>
      <c r="CY223" s="16">
        <f ca="1">_xll.DBRW($D$4,$E$7,$E$8,$E$9,$E$10,$E$12,$D223,$E$6,CY$18,CY$17)</f>
        <v>0.13203106249999999</v>
      </c>
      <c r="CZ223" s="16">
        <f ca="1">_xll.DBRW($D$4,$E$7,$E$8,$E$9,$E$10,$E$12,$D223,$E$6,CZ$18,CZ$17)</f>
        <v>0.13203106249999999</v>
      </c>
      <c r="DA223" s="26">
        <f t="shared" ca="1" si="146"/>
        <v>0.14956866139000202</v>
      </c>
      <c r="DB223" s="26">
        <f t="shared" ca="1" si="147"/>
        <v>0.16912535152999975</v>
      </c>
      <c r="DC223" s="26">
        <f t="shared" ca="1" si="148"/>
        <v>0</v>
      </c>
      <c r="DD223" s="26">
        <f t="shared" ca="1" si="149"/>
        <v>3.3277727499999979E-2</v>
      </c>
      <c r="DE223" s="26">
        <f t="shared" ca="1" si="150"/>
        <v>0</v>
      </c>
      <c r="DF223" s="26">
        <f t="shared" ca="1" si="151"/>
        <v>0</v>
      </c>
      <c r="DG223" s="26">
        <f t="shared" ca="1" si="152"/>
        <v>0</v>
      </c>
      <c r="DH223" s="26">
        <f t="shared" ca="1" si="153"/>
        <v>-5.2834417639997883E-2</v>
      </c>
      <c r="DI223" s="26">
        <f t="shared" ca="1" si="154"/>
        <v>-1.4165710517999983</v>
      </c>
      <c r="DJ223" s="26">
        <f t="shared" ca="1" si="155"/>
        <v>0.90891270300000038</v>
      </c>
      <c r="DK223" s="26">
        <f t="shared" ca="1" si="156"/>
        <v>-1.1779730560839252E-2</v>
      </c>
      <c r="DL223" s="26"/>
      <c r="DM223" s="26"/>
      <c r="DN223" s="26"/>
      <c r="DO223" s="26"/>
      <c r="DP223" s="26">
        <f t="shared" ca="1" si="157"/>
        <v>8.4931886000000123E-2</v>
      </c>
      <c r="DQ223" s="26">
        <f t="shared" ca="1" si="158"/>
        <v>8.050889875172218E-3</v>
      </c>
      <c r="DR223" s="26"/>
      <c r="DS223" s="26"/>
      <c r="DT223" s="26"/>
      <c r="DU223" s="26"/>
      <c r="DV223" s="26">
        <f t="shared" ca="1" si="159"/>
        <v>0.10369258349999955</v>
      </c>
      <c r="DW223" s="26">
        <f t="shared" ca="1" si="160"/>
        <v>4.5341093323413711E-3</v>
      </c>
      <c r="DX223" s="26"/>
      <c r="DY223" s="26"/>
      <c r="DZ223" s="26"/>
      <c r="EA223" s="26"/>
      <c r="EB223" s="26">
        <f t="shared" ca="1" si="161"/>
        <v>0.17899165333000044</v>
      </c>
      <c r="EC223" s="26">
        <f t="shared" ca="1" si="162"/>
        <v>-4.5598756810419083E-3</v>
      </c>
      <c r="ED223" s="26"/>
      <c r="EE223" s="26"/>
      <c r="EF223" s="26"/>
      <c r="EG223" s="26"/>
      <c r="EH223" s="26">
        <f t="shared" ca="1" si="163"/>
        <v>8.7207808330000303E-2</v>
      </c>
      <c r="EI223" s="29">
        <f t="shared" ca="1" si="164"/>
        <v>7.0931425420128202E-3</v>
      </c>
      <c r="EJ223" s="29"/>
      <c r="EK223" s="29"/>
      <c r="EL223" s="29"/>
      <c r="EM223" s="29"/>
      <c r="EN223" s="93"/>
      <c r="EO223" s="29"/>
      <c r="EP223" s="29"/>
      <c r="EQ223" s="29"/>
      <c r="ER223" s="29"/>
      <c r="ES223" s="29"/>
      <c r="ET223" s="29"/>
      <c r="EU223" s="93"/>
      <c r="EV223" s="29"/>
      <c r="EW223" s="29"/>
      <c r="EX223" s="29"/>
      <c r="EY223" s="29"/>
      <c r="EZ223" s="29"/>
      <c r="FA223" s="29"/>
      <c r="FB223" s="93"/>
      <c r="FC223" s="29"/>
      <c r="FD223" s="29"/>
      <c r="FE223" s="29"/>
      <c r="FF223" s="29"/>
      <c r="FG223" s="29"/>
      <c r="FH223" s="29"/>
      <c r="FI223" s="93"/>
      <c r="FJ223" s="29"/>
      <c r="FK223" s="29"/>
      <c r="FL223" s="29"/>
      <c r="FM223" s="29"/>
      <c r="FN223" s="29"/>
      <c r="FO223" s="29"/>
      <c r="FP223" s="93"/>
      <c r="FQ223" s="29"/>
      <c r="FR223" s="29"/>
      <c r="FS223" s="29"/>
      <c r="FT223" s="29"/>
      <c r="FU223" s="29"/>
      <c r="FV223" s="29"/>
    </row>
    <row r="224" spans="1:178" x14ac:dyDescent="0.25">
      <c r="A224" t="str">
        <f ca="1">IF(_xll.TM1RPTELISCONSOLIDATED($D$28,$D224),IF(_xll.TM1RPTELLEV($D$28,$D224)&lt;=3,_xll.TM1RPTELLEV($D$28,$D224),"D"),"N")</f>
        <v>N</v>
      </c>
      <c r="B224" t="str">
        <f ca="1">_xll.DBRA(Server&amp;"Management_organization",$D224,$B$27)</f>
        <v>L</v>
      </c>
      <c r="C224">
        <v>1</v>
      </c>
      <c r="D224" s="2" t="s">
        <v>230</v>
      </c>
      <c r="E224" s="26"/>
      <c r="F224" s="26"/>
      <c r="G224" s="16">
        <f ca="1">_xll.DBRW($D$4,$E$7,$E$8,$E$9,$E$10,$E$12,$D224,$E$6,G$18,G$17)</f>
        <v>2.8101349742000008</v>
      </c>
      <c r="H224" s="16">
        <f ca="1">_xll.DBRW($D$4,$E$7,$E$8,$E$9,$E$10,$E$12,$D224,$E$6,H$18,H$17)</f>
        <v>-1.2194190757999999</v>
      </c>
      <c r="I224" s="16">
        <f ca="1">_xll.DBRW($D$4,$E$7,$E$8,$E$9,$E$10,$E$12,$D224,$E$6,I$18,I$17)</f>
        <v>0</v>
      </c>
      <c r="J224" s="26">
        <f ca="1">_xll.DBRW($D$4,$E$7,$E$8,$E$9,$E$10,$E$12,$D224,$E$6,J$18,J$17)</f>
        <v>6.8836899999999996E-3</v>
      </c>
      <c r="K224" s="26">
        <f ca="1">_xll.DBRW($D$4,$E$7,$E$8,$E$9,$E$10,$E$12,$D224,$E$6,K$18,K$17)</f>
        <v>0</v>
      </c>
      <c r="L224" s="26">
        <f ca="1">_xll.DBRW($D$4,$E$7,$E$8,$E$9,$E$10,$E$12,$D224,$E$6,L$18,L$17)</f>
        <v>0</v>
      </c>
      <c r="M224" s="26">
        <f ca="1">_xll.DBRW($D$4,$E$7,$E$8,$E$9,$E$10,$E$12,$D224,$E$6,M$18,M$17)</f>
        <v>0</v>
      </c>
      <c r="N224" s="16">
        <f ca="1">_xll.DBRW($D$4,$E$7,$E$8,$E$9,$E$10,$E$12,$D224,$E$6,N$18,N$17)</f>
        <v>4.0226703599999993</v>
      </c>
      <c r="O224" s="16">
        <f ca="1">_xll.DBRW($D$4,$E$7,$E$8,$E$9,$E$10,$E$12,$D224,$E$6,O$18,O$17)</f>
        <v>9.1075511100000011</v>
      </c>
      <c r="P224" s="74">
        <f ca="1">_xll.DBRW($D$4,$E$7,$E$8,$E$9,$E$10,$E$12,$D224,$E$6,P$18,P$17)</f>
        <v>-1.4741392800000002</v>
      </c>
      <c r="Q224" s="16">
        <f ca="1">_xll.DBRW($D$4,$E$7,$E$8,$E$9,$E$10,$E$12,$D224,$E$6,Q$18,Q$17)</f>
        <v>0.16185901810437384</v>
      </c>
      <c r="R224" s="16"/>
      <c r="S224" s="16"/>
      <c r="T224" s="16"/>
      <c r="U224" s="16"/>
      <c r="V224" s="16">
        <f ca="1">_xll.DBRW($D$4,$E$7,$E$8,$E$9,$E$10,$E$12,$D224,$E$6,V$18,V$17)</f>
        <v>-1.2905828899999998</v>
      </c>
      <c r="W224" s="16">
        <f ca="1">_xll.DBRW($D$4,$E$7,$E$8,$E$9,$E$10,$E$12,$D224,$E$6,W$18,W$17)</f>
        <v>0.14170471012596927</v>
      </c>
      <c r="X224" s="16"/>
      <c r="Y224" s="16"/>
      <c r="Z224" s="16"/>
      <c r="AA224" s="16"/>
      <c r="AB224" s="16">
        <f ca="1">_xll.DBRW($D$4,$E$7,$E$8,$E$9,$E$10,$E$12,$D224,$E$6,AB$18,AB$17)</f>
        <v>-0.16586799999999996</v>
      </c>
      <c r="AC224" s="16">
        <f ca="1">_xll.DBRW($D$4,$E$7,$E$8,$E$9,$E$10,$E$12,$D224,$E$6,AC$18,AC$17)</f>
        <v>1.8212140453198064E-2</v>
      </c>
      <c r="AD224" s="16"/>
      <c r="AE224" s="16"/>
      <c r="AF224" s="16"/>
      <c r="AG224" s="16"/>
      <c r="AH224" s="16">
        <f ca="1">_xll.DBRW($D$4,$E$7,$E$8,$E$9,$E$10,$E$12,$D224,$E$6,AH$18,AH$17)</f>
        <v>0.13547995000000002</v>
      </c>
      <c r="AI224" s="16">
        <f ca="1">_xll.DBRW($D$4,$E$7,$E$8,$E$9,$E$10,$E$12,$D224,$E$6,AI$18,AI$17)</f>
        <v>-1.4875562965685075E-2</v>
      </c>
      <c r="AJ224" s="16"/>
      <c r="AK224" s="16"/>
      <c r="AL224" s="16"/>
      <c r="AM224" s="16"/>
      <c r="AN224" s="16">
        <f ca="1">_xll.DBRW($D$4,$E$7,$E$8,$E$9,$E$10,$E$12,$D224,$E$6,AN$18,AN$17)</f>
        <v>-2.2897705299999997</v>
      </c>
      <c r="AO224" s="16">
        <f ca="1">_xll.DBRW($D$4,$E$7,$E$8,$E$9,$E$10,$E$12,$D224,$E$6,AO$18,AO$17)</f>
        <v>0.25141451333562698</v>
      </c>
      <c r="AP224" s="16"/>
      <c r="AQ224" s="16"/>
      <c r="AR224" s="16"/>
      <c r="AS224" s="16"/>
      <c r="AT224" s="16">
        <f ca="1">_xll.DBRW($D$4,$E$7,$E$8,$E$9,$E$10,$E$12,$D224,$E$6,AT$18,AT$17)</f>
        <v>3.7642515629999998E-2</v>
      </c>
      <c r="AU224" s="16">
        <f ca="1">_xll.DBRW($D$4,$E$7,$E$8,$E$9,$E$10,$E$12,$D224,$E$6,AU$18,AU$17)</f>
        <v>1.8721416669999998E-2</v>
      </c>
      <c r="AV224" s="16">
        <f ca="1">_xll.DBRW($D$4,$E$7,$E$8,$E$9,$E$10,$E$12,$D224,$E$6,AV$18,AV$17)</f>
        <v>1.065183</v>
      </c>
      <c r="AW224" s="16">
        <f ca="1">_xll.DBRW($D$4,$E$7,$E$8,$E$9,$E$10,$E$12,$D224,$E$6,AW$18,AW$17)</f>
        <v>1.8721416669999998E-2</v>
      </c>
      <c r="AX224" s="16">
        <f ca="1">_xll.DBRW($D$4,$E$7,$E$8,$E$9,$E$10,$E$12,$D224,$E$6,AX$18,AX$17)</f>
        <v>2.5500200000000074E-3</v>
      </c>
      <c r="AY224" s="16">
        <f ca="1">_xll.DBRW($D$4,$E$7,$E$8,$E$9,$E$10,$E$12,$D224,$E$6,AY$18,AY$17)</f>
        <v>1.8721416669999998E-2</v>
      </c>
      <c r="AZ224" s="16">
        <f ca="1">_xll.DBRW($D$4,$E$7,$E$8,$E$9,$E$10,$E$12,$D224,$E$6,AZ$18,AZ$17)</f>
        <v>9.9999999999999995E-7</v>
      </c>
      <c r="BA224" s="16">
        <f ca="1">_xll.DBRW($D$4,$E$7,$E$8,$E$9,$E$10,$E$12,$D224,$E$6,BA$18,BA$17)</f>
        <v>1.8721416669999998E-2</v>
      </c>
      <c r="BB224" s="16">
        <f ca="1">_xll.DBRW($D$4,$E$7,$E$8,$E$9,$E$10,$E$12,$D224,$E$6,BB$18,BB$17)</f>
        <v>1.8721416669999998E-2</v>
      </c>
      <c r="BC224" s="16">
        <f ca="1">_xll.DBRW($D$4,$E$7,$E$8,$E$9,$E$10,$E$12,$D224,$E$6,BC$18,BC$17)</f>
        <v>1.8721416669999998E-2</v>
      </c>
      <c r="BD224" s="16">
        <f ca="1">_xll.DBRW($D$4,$E$7,$E$8,$E$9,$E$10,$E$12,$D224,$E$6,BD$18,BD$17)</f>
        <v>1.5687687827666967</v>
      </c>
      <c r="BE224" s="16">
        <f ca="1">_xll.DBRW($D$4,$E$7,$E$8,$E$9,$E$10,$E$12,$D224,$E$6,BE$18,BE$17)</f>
        <v>-1.4442404936033</v>
      </c>
      <c r="BF224" s="16">
        <f ca="1">_xll.DBRW($D$4,$E$7,$E$8,$E$9,$E$10,$E$12,$D224,$E$6,BF$18,BF$17)</f>
        <v>0</v>
      </c>
      <c r="BG224" s="26">
        <f ca="1">_xll.DBRW($D$4,$E$7,$E$8,$E$9,$E$10,$E$12,$D224,$E$6,BG$18,BG$17)</f>
        <v>-0.10017677650000001</v>
      </c>
      <c r="BH224" s="26">
        <f ca="1">_xll.DBRW($D$4,$E$7,$E$8,$E$9,$E$10,$E$12,$D224,$E$6,BH$18,BH$17)</f>
        <v>0</v>
      </c>
      <c r="BI224" s="26">
        <f ca="1">_xll.DBRW($D$4,$E$7,$E$8,$E$9,$E$10,$E$12,$D224,$E$6,BI$18,BI$17)</f>
        <v>0</v>
      </c>
      <c r="BJ224" s="26">
        <f ca="1">_xll.DBRW($D$4,$E$7,$E$8,$E$9,$E$10,$E$12,$D224,$E$6,BJ$18,BJ$17)</f>
        <v>0</v>
      </c>
      <c r="BK224" s="16">
        <f ca="1">_xll.DBRW($D$4,$E$7,$E$8,$E$9,$E$10,$E$12,$D224,$E$6,BK$18,BK$17)</f>
        <v>3.1131860528699966</v>
      </c>
      <c r="BL224" s="16">
        <f ca="1">_xll.DBRW($D$4,$E$7,$E$8,$E$9,$E$10,$E$12,$D224,$E$6,BL$18,BL$17)</f>
        <v>9.6306158110999984</v>
      </c>
      <c r="BM224" s="16">
        <f ca="1">_xll.DBRW($D$4,$E$7,$E$8,$E$9,$E$10,$E$12,$D224,$E$6,BM$18,BM$17)</f>
        <v>-1.6457959619999998</v>
      </c>
      <c r="BN224" s="16">
        <f ca="1">_xll.DBRW($D$4,$E$7,$E$8,$E$9,$E$10,$E$12,$D224,$E$6,BN$18,BN$17)</f>
        <v>0.17089207941439197</v>
      </c>
      <c r="BO224" s="16"/>
      <c r="BP224" s="16"/>
      <c r="BQ224" s="16"/>
      <c r="BR224" s="16"/>
      <c r="BS224" s="16">
        <f ca="1">_xll.DBRW($D$4,$E$7,$E$8,$E$9,$E$10,$E$12,$D224,$E$6,BS$18,BS$17)</f>
        <v>-1.361187921</v>
      </c>
      <c r="BT224" s="16">
        <f ca="1">_xll.DBRW($D$4,$E$7,$E$8,$E$9,$E$10,$E$12,$D224,$E$6,BT$18,BT$17)</f>
        <v>0.14133965550065136</v>
      </c>
      <c r="BU224" s="16"/>
      <c r="BV224" s="16"/>
      <c r="BW224" s="16"/>
      <c r="BX224" s="16"/>
      <c r="BY224" s="16">
        <f ca="1">_xll.DBRW($D$4,$E$7,$E$8,$E$9,$E$10,$E$12,$D224,$E$6,BY$18,BY$17)</f>
        <v>-0.41438786570000002</v>
      </c>
      <c r="BZ224" s="16">
        <f ca="1">_xll.DBRW($D$4,$E$7,$E$8,$E$9,$E$10,$E$12,$D224,$E$6,BZ$18,BZ$17)</f>
        <v>4.302817948800193E-2</v>
      </c>
      <c r="CA224" s="16"/>
      <c r="CB224" s="16"/>
      <c r="CC224" s="16"/>
      <c r="CD224" s="16"/>
      <c r="CE224" s="16">
        <f ca="1">_xll.DBRW($D$4,$E$7,$E$8,$E$9,$E$10,$E$12,$D224,$E$6,CE$18,CE$17)</f>
        <v>-0.8061870240000002</v>
      </c>
      <c r="CF224" s="16">
        <f ca="1">_xll.DBRW($D$4,$E$7,$E$8,$E$9,$E$10,$E$12,$D224,$E$6,CF$18,CF$17)</f>
        <v>8.371084879855864E-2</v>
      </c>
      <c r="CG224" s="16"/>
      <c r="CH224" s="16"/>
      <c r="CI224" s="16"/>
      <c r="CJ224" s="16"/>
      <c r="CK224" s="16">
        <f ca="1">_xll.DBRW($D$4,$E$7,$E$8,$E$9,$E$10,$E$12,$D224,$E$6,CK$18,CK$17)</f>
        <v>-2.2898709855300003</v>
      </c>
      <c r="CL224" s="16">
        <f ca="1">_xll.DBRW($D$4,$E$7,$E$8,$E$9,$E$10,$E$12,$D224,$E$6,CL$18,CL$17)</f>
        <v>0.23776994435711518</v>
      </c>
      <c r="CM224" s="16"/>
      <c r="CN224" s="16"/>
      <c r="CO224" s="16"/>
      <c r="CP224" s="16"/>
      <c r="CQ224" s="16">
        <f ca="1">_xll.DBRW($D$4,$E$7,$E$8,$E$9,$E$10,$E$12,$D224,$E$6,CQ$18,CQ$17)</f>
        <v>4.069466804E-2</v>
      </c>
      <c r="CR224" s="16">
        <f ca="1">_xll.DBRW($D$4,$E$7,$E$8,$E$9,$E$10,$E$12,$D224,$E$6,CR$18,CR$17)</f>
        <v>2.0822150000000001E-2</v>
      </c>
      <c r="CS224" s="16">
        <f ca="1">_xll.DBRW($D$4,$E$7,$E$8,$E$9,$E$10,$E$12,$D224,$E$6,CS$18,CS$17)</f>
        <v>1.1705255109999999</v>
      </c>
      <c r="CT224" s="16">
        <f ca="1">_xll.DBRW($D$4,$E$7,$E$8,$E$9,$E$10,$E$12,$D224,$E$6,CT$18,CT$17)</f>
        <v>2.0822150000000001E-2</v>
      </c>
      <c r="CU224" s="16">
        <f ca="1">_xll.DBRW($D$4,$E$7,$E$8,$E$9,$E$10,$E$12,$D224,$E$6,CU$18,CU$17)</f>
        <v>6.2591122269999994E-2</v>
      </c>
      <c r="CV224" s="16">
        <f ca="1">_xll.DBRW($D$4,$E$7,$E$8,$E$9,$E$10,$E$12,$D224,$E$6,CV$18,CV$17)</f>
        <v>2.0822150000000001E-2</v>
      </c>
      <c r="CW224" s="16" t="str">
        <f ca="1">_xll.DBRW($D$4,$E$7,$E$8,$E$9,$E$10,$E$12,$D224,$E$6,CW$18,CW$17)</f>
        <v/>
      </c>
      <c r="CX224" s="16">
        <f ca="1">_xll.DBRW($D$4,$E$7,$E$8,$E$9,$E$10,$E$12,$D224,$E$6,CX$18,CX$17)</f>
        <v>2.0822150000000001E-2</v>
      </c>
      <c r="CY224" s="16">
        <f ca="1">_xll.DBRW($D$4,$E$7,$E$8,$E$9,$E$10,$E$12,$D224,$E$6,CY$18,CY$17)</f>
        <v>2.0822150000000001E-2</v>
      </c>
      <c r="CZ224" s="16">
        <f ca="1">_xll.DBRW($D$4,$E$7,$E$8,$E$9,$E$10,$E$12,$D224,$E$6,CZ$18,CZ$17)</f>
        <v>2.0822150000000001E-2</v>
      </c>
      <c r="DA224" s="26">
        <f t="shared" ca="1" si="146"/>
        <v>1.2413661914333041</v>
      </c>
      <c r="DB224" s="26">
        <f t="shared" ca="1" si="147"/>
        <v>0.22482141780330012</v>
      </c>
      <c r="DC224" s="26">
        <f t="shared" ca="1" si="148"/>
        <v>0</v>
      </c>
      <c r="DD224" s="26">
        <f t="shared" ca="1" si="149"/>
        <v>0.10706046650000001</v>
      </c>
      <c r="DE224" s="26">
        <f t="shared" ca="1" si="150"/>
        <v>0</v>
      </c>
      <c r="DF224" s="26">
        <f t="shared" ca="1" si="151"/>
        <v>0</v>
      </c>
      <c r="DG224" s="26">
        <f t="shared" ca="1" si="152"/>
        <v>0</v>
      </c>
      <c r="DH224" s="26">
        <f t="shared" ca="1" si="153"/>
        <v>0.90948430713000272</v>
      </c>
      <c r="DI224" s="26">
        <f t="shared" ca="1" si="154"/>
        <v>-0.52306470109999736</v>
      </c>
      <c r="DJ224" s="26">
        <f t="shared" ca="1" si="155"/>
        <v>0.17165668199999962</v>
      </c>
      <c r="DK224" s="26">
        <f t="shared" ca="1" si="156"/>
        <v>-9.0330613100181312E-3</v>
      </c>
      <c r="DL224" s="26"/>
      <c r="DM224" s="26"/>
      <c r="DN224" s="26"/>
      <c r="DO224" s="26"/>
      <c r="DP224" s="26">
        <f t="shared" ca="1" si="157"/>
        <v>7.0605031000000151E-2</v>
      </c>
      <c r="DQ224" s="26">
        <f t="shared" ca="1" si="158"/>
        <v>3.6505462531791211E-4</v>
      </c>
      <c r="DR224" s="26"/>
      <c r="DS224" s="26"/>
      <c r="DT224" s="26"/>
      <c r="DU224" s="26"/>
      <c r="DV224" s="26">
        <f t="shared" ca="1" si="159"/>
        <v>0.24851986570000006</v>
      </c>
      <c r="DW224" s="26">
        <f t="shared" ca="1" si="160"/>
        <v>-2.4816039034803866E-2</v>
      </c>
      <c r="DX224" s="26"/>
      <c r="DY224" s="26"/>
      <c r="DZ224" s="26"/>
      <c r="EA224" s="26"/>
      <c r="EB224" s="26">
        <f t="shared" ca="1" si="161"/>
        <v>0.94166697400000021</v>
      </c>
      <c r="EC224" s="26">
        <f t="shared" ca="1" si="162"/>
        <v>-9.8586411764243709E-2</v>
      </c>
      <c r="ED224" s="26"/>
      <c r="EE224" s="26"/>
      <c r="EF224" s="26"/>
      <c r="EG224" s="26"/>
      <c r="EH224" s="26">
        <f t="shared" ca="1" si="163"/>
        <v>1.0045553000059826E-4</v>
      </c>
      <c r="EI224" s="29">
        <f t="shared" ca="1" si="164"/>
        <v>1.3644568978511795E-2</v>
      </c>
      <c r="EJ224" s="29"/>
      <c r="EK224" s="29"/>
      <c r="EL224" s="29"/>
      <c r="EM224" s="29"/>
      <c r="EN224" s="93"/>
      <c r="EO224" s="29"/>
      <c r="EP224" s="29"/>
      <c r="EQ224" s="29"/>
      <c r="ER224" s="29"/>
      <c r="ES224" s="29"/>
      <c r="ET224" s="29"/>
      <c r="EU224" s="93"/>
      <c r="EV224" s="29"/>
      <c r="EW224" s="29"/>
      <c r="EX224" s="29"/>
      <c r="EY224" s="29"/>
      <c r="EZ224" s="29"/>
      <c r="FA224" s="29"/>
      <c r="FB224" s="93"/>
      <c r="FC224" s="29"/>
      <c r="FD224" s="29"/>
      <c r="FE224" s="29"/>
      <c r="FF224" s="29"/>
      <c r="FG224" s="29"/>
      <c r="FH224" s="29"/>
      <c r="FI224" s="93"/>
      <c r="FJ224" s="29"/>
      <c r="FK224" s="29"/>
      <c r="FL224" s="29"/>
      <c r="FM224" s="29"/>
      <c r="FN224" s="29"/>
      <c r="FO224" s="29"/>
      <c r="FP224" s="93"/>
      <c r="FQ224" s="29"/>
      <c r="FR224" s="29"/>
      <c r="FS224" s="29"/>
      <c r="FT224" s="29"/>
      <c r="FU224" s="29"/>
      <c r="FV224" s="29"/>
    </row>
    <row r="225" spans="1:178" x14ac:dyDescent="0.25">
      <c r="A225" t="str">
        <f ca="1">IF(_xll.TM1RPTELISCONSOLIDATED($D$28,$D225),IF(_xll.TM1RPTELLEV($D$28,$D225)&lt;=3,_xll.TM1RPTELLEV($D$28,$D225),"D"),"N")</f>
        <v>N</v>
      </c>
      <c r="B225" t="str">
        <f ca="1">_xll.DBRA(Server&amp;"Management_organization",$D225,$B$27)</f>
        <v>L</v>
      </c>
      <c r="C225">
        <v>1</v>
      </c>
      <c r="D225" s="2" t="s">
        <v>268</v>
      </c>
      <c r="E225" s="26"/>
      <c r="F225" s="26"/>
      <c r="G225" s="16">
        <f ca="1">_xll.DBRW($D$4,$E$7,$E$8,$E$9,$E$10,$E$12,$D225,$E$6,G$18,G$17)</f>
        <v>0.41709290999999921</v>
      </c>
      <c r="H225" s="16">
        <f ca="1">_xll.DBRW($D$4,$E$7,$E$8,$E$9,$E$10,$E$12,$D225,$E$6,H$18,H$17)</f>
        <v>-0.54165426999999999</v>
      </c>
      <c r="I225" s="16">
        <f ca="1">_xll.DBRW($D$4,$E$7,$E$8,$E$9,$E$10,$E$12,$D225,$E$6,I$18,I$17)</f>
        <v>0</v>
      </c>
      <c r="J225" s="26">
        <f ca="1">_xll.DBRW($D$4,$E$7,$E$8,$E$9,$E$10,$E$12,$D225,$E$6,J$18,J$17)</f>
        <v>0</v>
      </c>
      <c r="K225" s="26">
        <f ca="1">_xll.DBRW($D$4,$E$7,$E$8,$E$9,$E$10,$E$12,$D225,$E$6,K$18,K$17)</f>
        <v>0</v>
      </c>
      <c r="L225" s="26">
        <f ca="1">_xll.DBRW($D$4,$E$7,$E$8,$E$9,$E$10,$E$12,$D225,$E$6,L$18,L$17)</f>
        <v>0</v>
      </c>
      <c r="M225" s="26">
        <f ca="1">_xll.DBRW($D$4,$E$7,$E$8,$E$9,$E$10,$E$12,$D225,$E$6,M$18,M$17)</f>
        <v>0</v>
      </c>
      <c r="N225" s="16">
        <f ca="1">_xll.DBRW($D$4,$E$7,$E$8,$E$9,$E$10,$E$12,$D225,$E$6,N$18,N$17)</f>
        <v>0.95874717999999903</v>
      </c>
      <c r="O225" s="16">
        <f ca="1">_xll.DBRW($D$4,$E$7,$E$8,$E$9,$E$10,$E$12,$D225,$E$6,O$18,O$17)</f>
        <v>6.2402849099999997</v>
      </c>
      <c r="P225" s="74">
        <f ca="1">_xll.DBRW($D$4,$E$7,$E$8,$E$9,$E$10,$E$12,$D225,$E$6,P$18,P$17)</f>
        <v>-1.8233968699999998</v>
      </c>
      <c r="Q225" s="16">
        <f ca="1">_xll.DBRW($D$4,$E$7,$E$8,$E$9,$E$10,$E$12,$D225,$E$6,Q$18,Q$17)</f>
        <v>0.29219769550554059</v>
      </c>
      <c r="R225" s="16"/>
      <c r="S225" s="16"/>
      <c r="T225" s="16"/>
      <c r="U225" s="16"/>
      <c r="V225" s="16">
        <f ca="1">_xll.DBRW($D$4,$E$7,$E$8,$E$9,$E$10,$E$12,$D225,$E$6,V$18,V$17)</f>
        <v>-0.50961922000000026</v>
      </c>
      <c r="W225" s="16">
        <f ca="1">_xll.DBRW($D$4,$E$7,$E$8,$E$9,$E$10,$E$12,$D225,$E$6,W$18,W$17)</f>
        <v>8.1666018034423415E-2</v>
      </c>
      <c r="X225" s="16"/>
      <c r="Y225" s="16"/>
      <c r="Z225" s="16"/>
      <c r="AA225" s="16"/>
      <c r="AB225" s="16">
        <f ca="1">_xll.DBRW($D$4,$E$7,$E$8,$E$9,$E$10,$E$12,$D225,$E$6,AB$18,AB$17)</f>
        <v>-1.8177689100000003</v>
      </c>
      <c r="AC225" s="16">
        <f ca="1">_xll.DBRW($D$4,$E$7,$E$8,$E$9,$E$10,$E$12,$D225,$E$6,AC$18,AC$17)</f>
        <v>0.29129582001729476</v>
      </c>
      <c r="AD225" s="16"/>
      <c r="AE225" s="16"/>
      <c r="AF225" s="16"/>
      <c r="AG225" s="16"/>
      <c r="AH225" s="16">
        <f ca="1">_xll.DBRW($D$4,$E$7,$E$8,$E$9,$E$10,$E$12,$D225,$E$6,AH$18,AH$17)</f>
        <v>-0.63328775000000004</v>
      </c>
      <c r="AI225" s="16">
        <f ca="1">_xll.DBRW($D$4,$E$7,$E$8,$E$9,$E$10,$E$12,$D225,$E$6,AI$18,AI$17)</f>
        <v>0.10148378786121803</v>
      </c>
      <c r="AJ225" s="16"/>
      <c r="AK225" s="16"/>
      <c r="AL225" s="16"/>
      <c r="AM225" s="16"/>
      <c r="AN225" s="16">
        <f ca="1">_xll.DBRW($D$4,$E$7,$E$8,$E$9,$E$10,$E$12,$D225,$E$6,AN$18,AN$17)</f>
        <v>-0.49986828</v>
      </c>
      <c r="AO225" s="16">
        <f ca="1">_xll.DBRW($D$4,$E$7,$E$8,$E$9,$E$10,$E$12,$D225,$E$6,AO$18,AO$17)</f>
        <v>8.0103438738664906E-2</v>
      </c>
      <c r="AP225" s="16"/>
      <c r="AQ225" s="16"/>
      <c r="AR225" s="16"/>
      <c r="AS225" s="16"/>
      <c r="AT225" s="16">
        <f ca="1">_xll.DBRW($D$4,$E$7,$E$8,$E$9,$E$10,$E$12,$D225,$E$6,AT$18,AT$17)</f>
        <v>0.18279238</v>
      </c>
      <c r="AU225" s="16">
        <f ca="1">_xll.DBRW($D$4,$E$7,$E$8,$E$9,$E$10,$E$12,$D225,$E$6,AU$18,AU$17)</f>
        <v>4.9824970199999994</v>
      </c>
      <c r="AV225" s="16">
        <f ca="1">_xll.DBRW($D$4,$E$7,$E$8,$E$9,$E$10,$E$12,$D225,$E$6,AV$18,AV$17)</f>
        <v>5.074929</v>
      </c>
      <c r="AW225" s="16">
        <f ca="1">_xll.DBRW($D$4,$E$7,$E$8,$E$9,$E$10,$E$12,$D225,$E$6,AW$18,AW$17)</f>
        <v>4.9824970199999994</v>
      </c>
      <c r="AX225" s="16">
        <f ca="1">_xll.DBRW($D$4,$E$7,$E$8,$E$9,$E$10,$E$12,$D225,$E$6,AX$18,AX$17)</f>
        <v>1.7772671200000001</v>
      </c>
      <c r="AY225" s="16">
        <f ca="1">_xll.DBRW($D$4,$E$7,$E$8,$E$9,$E$10,$E$12,$D225,$E$6,AY$18,AY$17)</f>
        <v>4.9824970199999994</v>
      </c>
      <c r="AZ225" s="16">
        <f ca="1">_xll.DBRW($D$4,$E$7,$E$8,$E$9,$E$10,$E$12,$D225,$E$6,AZ$18,AZ$17)</f>
        <v>1.2155555555555556E-4</v>
      </c>
      <c r="BA225" s="16">
        <f ca="1">_xll.DBRW($D$4,$E$7,$E$8,$E$9,$E$10,$E$12,$D225,$E$6,BA$18,BA$17)</f>
        <v>4.9824970199999994</v>
      </c>
      <c r="BB225" s="16">
        <f ca="1">_xll.DBRW($D$4,$E$7,$E$8,$E$9,$E$10,$E$12,$D225,$E$6,BB$18,BB$17)</f>
        <v>4.9824970199999994</v>
      </c>
      <c r="BC225" s="16">
        <f ca="1">_xll.DBRW($D$4,$E$7,$E$8,$E$9,$E$10,$E$12,$D225,$E$6,BC$18,BC$17)</f>
        <v>4.9824970199999994</v>
      </c>
      <c r="BD225" s="16">
        <f ca="1">_xll.DBRW($D$4,$E$7,$E$8,$E$9,$E$10,$E$12,$D225,$E$6,BD$18,BD$17)</f>
        <v>2.3609840000000448E-2</v>
      </c>
      <c r="BE225" s="16">
        <f ca="1">_xll.DBRW($D$4,$E$7,$E$8,$E$9,$E$10,$E$12,$D225,$E$6,BE$18,BE$17)</f>
        <v>-0.71599903999999992</v>
      </c>
      <c r="BF225" s="16">
        <f ca="1">_xll.DBRW($D$4,$E$7,$E$8,$E$9,$E$10,$E$12,$D225,$E$6,BF$18,BF$17)</f>
        <v>0</v>
      </c>
      <c r="BG225" s="26">
        <f ca="1">_xll.DBRW($D$4,$E$7,$E$8,$E$9,$E$10,$E$12,$D225,$E$6,BG$18,BG$17)</f>
        <v>0</v>
      </c>
      <c r="BH225" s="26">
        <f ca="1">_xll.DBRW($D$4,$E$7,$E$8,$E$9,$E$10,$E$12,$D225,$E$6,BH$18,BH$17)</f>
        <v>0</v>
      </c>
      <c r="BI225" s="26">
        <f ca="1">_xll.DBRW($D$4,$E$7,$E$8,$E$9,$E$10,$E$12,$D225,$E$6,BI$18,BI$17)</f>
        <v>0</v>
      </c>
      <c r="BJ225" s="26">
        <f ca="1">_xll.DBRW($D$4,$E$7,$E$8,$E$9,$E$10,$E$12,$D225,$E$6,BJ$18,BJ$17)</f>
        <v>0</v>
      </c>
      <c r="BK225" s="16">
        <f ca="1">_xll.DBRW($D$4,$E$7,$E$8,$E$9,$E$10,$E$12,$D225,$E$6,BK$18,BK$17)</f>
        <v>0.73960888000000036</v>
      </c>
      <c r="BL225" s="16">
        <f ca="1">_xll.DBRW($D$4,$E$7,$E$8,$E$9,$E$10,$E$12,$D225,$E$6,BL$18,BL$17)</f>
        <v>7.08420688</v>
      </c>
      <c r="BM225" s="16">
        <f ca="1">_xll.DBRW($D$4,$E$7,$E$8,$E$9,$E$10,$E$12,$D225,$E$6,BM$18,BM$17)</f>
        <v>-2.3730003500000003</v>
      </c>
      <c r="BN225" s="16">
        <f ca="1">_xll.DBRW($D$4,$E$7,$E$8,$E$9,$E$10,$E$12,$D225,$E$6,BN$18,BN$17)</f>
        <v>0.33497050413637841</v>
      </c>
      <c r="BO225" s="16"/>
      <c r="BP225" s="16"/>
      <c r="BQ225" s="16"/>
      <c r="BR225" s="16"/>
      <c r="BS225" s="16">
        <f ca="1">_xll.DBRW($D$4,$E$7,$E$8,$E$9,$E$10,$E$12,$D225,$E$6,BS$18,BS$17)</f>
        <v>-0.63118661999999992</v>
      </c>
      <c r="BT225" s="16">
        <f ca="1">_xll.DBRW($D$4,$E$7,$E$8,$E$9,$E$10,$E$12,$D225,$E$6,BT$18,BT$17)</f>
        <v>8.9097711386994377E-2</v>
      </c>
      <c r="BU225" s="16"/>
      <c r="BV225" s="16"/>
      <c r="BW225" s="16"/>
      <c r="BX225" s="16"/>
      <c r="BY225" s="16">
        <f ca="1">_xll.DBRW($D$4,$E$7,$E$8,$E$9,$E$10,$E$12,$D225,$E$6,BY$18,BY$17)</f>
        <v>-2.0275064100000004</v>
      </c>
      <c r="BZ225" s="16">
        <f ca="1">_xll.DBRW($D$4,$E$7,$E$8,$E$9,$E$10,$E$12,$D225,$E$6,BZ$18,BZ$17)</f>
        <v>0.28620090355125266</v>
      </c>
      <c r="CA225" s="16"/>
      <c r="CB225" s="16"/>
      <c r="CC225" s="16"/>
      <c r="CD225" s="16"/>
      <c r="CE225" s="16">
        <f ca="1">_xll.DBRW($D$4,$E$7,$E$8,$E$9,$E$10,$E$12,$D225,$E$6,CE$18,CE$17)</f>
        <v>-0.78476686999999989</v>
      </c>
      <c r="CF225" s="16">
        <f ca="1">_xll.DBRW($D$4,$E$7,$E$8,$E$9,$E$10,$E$12,$D225,$E$6,CF$18,CF$17)</f>
        <v>0.1107769554578564</v>
      </c>
      <c r="CG225" s="16"/>
      <c r="CH225" s="16"/>
      <c r="CI225" s="16"/>
      <c r="CJ225" s="16"/>
      <c r="CK225" s="16">
        <f ca="1">_xll.DBRW($D$4,$E$7,$E$8,$E$9,$E$10,$E$12,$D225,$E$6,CK$18,CK$17)</f>
        <v>-0.52813774999999985</v>
      </c>
      <c r="CL225" s="16">
        <f ca="1">_xll.DBRW($D$4,$E$7,$E$8,$E$9,$E$10,$E$12,$D225,$E$6,CL$18,CL$17)</f>
        <v>7.4551429531374711E-2</v>
      </c>
      <c r="CM225" s="16"/>
      <c r="CN225" s="16"/>
      <c r="CO225" s="16"/>
      <c r="CP225" s="16"/>
      <c r="CQ225" s="16">
        <f ca="1">_xll.DBRW($D$4,$E$7,$E$8,$E$9,$E$10,$E$12,$D225,$E$6,CQ$18,CQ$17)</f>
        <v>0.22751626</v>
      </c>
      <c r="CR225" s="16">
        <f ca="1">_xll.DBRW($D$4,$E$7,$E$8,$E$9,$E$10,$E$12,$D225,$E$6,CR$18,CR$17)</f>
        <v>5.9782710999999988</v>
      </c>
      <c r="CS225" s="16">
        <f ca="1">_xll.DBRW($D$4,$E$7,$E$8,$E$9,$E$10,$E$12,$D225,$E$6,CS$18,CS$17)</f>
        <v>6.0739234399999997</v>
      </c>
      <c r="CT225" s="16">
        <f ca="1">_xll.DBRW($D$4,$E$7,$E$8,$E$9,$E$10,$E$12,$D225,$E$6,CT$18,CT$17)</f>
        <v>5.9782710999999988</v>
      </c>
      <c r="CU225" s="16">
        <f ca="1">_xll.DBRW($D$4,$E$7,$E$8,$E$9,$E$10,$E$12,$D225,$E$6,CU$18,CU$17)</f>
        <v>2.1573646600000003</v>
      </c>
      <c r="CV225" s="16">
        <f ca="1">_xll.DBRW($D$4,$E$7,$E$8,$E$9,$E$10,$E$12,$D225,$E$6,CV$18,CV$17)</f>
        <v>5.9782710999999988</v>
      </c>
      <c r="CW225" s="16">
        <f ca="1">_xll.DBRW($D$4,$E$7,$E$8,$E$9,$E$10,$E$12,$D225,$E$6,CW$18,CW$17)</f>
        <v>1.1809090909090909E-4</v>
      </c>
      <c r="CX225" s="16">
        <f ca="1">_xll.DBRW($D$4,$E$7,$E$8,$E$9,$E$10,$E$12,$D225,$E$6,CX$18,CX$17)</f>
        <v>5.9782710999999988</v>
      </c>
      <c r="CY225" s="16">
        <f ca="1">_xll.DBRW($D$4,$E$7,$E$8,$E$9,$E$10,$E$12,$D225,$E$6,CY$18,CY$17)</f>
        <v>5.9782710999999988</v>
      </c>
      <c r="CZ225" s="16">
        <f ca="1">_xll.DBRW($D$4,$E$7,$E$8,$E$9,$E$10,$E$12,$D225,$E$6,CZ$18,CZ$17)</f>
        <v>5.9782710999999988</v>
      </c>
      <c r="DA225" s="26">
        <f t="shared" ca="1" si="146"/>
        <v>0.39348306999999877</v>
      </c>
      <c r="DB225" s="26">
        <f t="shared" ca="1" si="147"/>
        <v>0.17434476999999993</v>
      </c>
      <c r="DC225" s="26">
        <f t="shared" ca="1" si="148"/>
        <v>0</v>
      </c>
      <c r="DD225" s="26">
        <f t="shared" ca="1" si="149"/>
        <v>0</v>
      </c>
      <c r="DE225" s="26">
        <f t="shared" ca="1" si="150"/>
        <v>0</v>
      </c>
      <c r="DF225" s="26">
        <f t="shared" ca="1" si="151"/>
        <v>0</v>
      </c>
      <c r="DG225" s="26">
        <f t="shared" ca="1" si="152"/>
        <v>0</v>
      </c>
      <c r="DH225" s="26">
        <f t="shared" ca="1" si="153"/>
        <v>0.21913829999999868</v>
      </c>
      <c r="DI225" s="26">
        <f t="shared" ca="1" si="154"/>
        <v>-0.84392197000000024</v>
      </c>
      <c r="DJ225" s="26">
        <f t="shared" ca="1" si="155"/>
        <v>0.54960348000000048</v>
      </c>
      <c r="DK225" s="26">
        <f t="shared" ca="1" si="156"/>
        <v>-4.2772808630837822E-2</v>
      </c>
      <c r="DL225" s="26"/>
      <c r="DM225" s="26"/>
      <c r="DN225" s="26"/>
      <c r="DO225" s="26"/>
      <c r="DP225" s="26">
        <f t="shared" ca="1" si="157"/>
        <v>0.12156739999999966</v>
      </c>
      <c r="DQ225" s="26">
        <f t="shared" ca="1" si="158"/>
        <v>-7.4316933525709616E-3</v>
      </c>
      <c r="DR225" s="26"/>
      <c r="DS225" s="26"/>
      <c r="DT225" s="26"/>
      <c r="DU225" s="26"/>
      <c r="DV225" s="26">
        <f t="shared" ca="1" si="159"/>
        <v>0.20973750000000013</v>
      </c>
      <c r="DW225" s="26">
        <f t="shared" ca="1" si="160"/>
        <v>5.0949164660420987E-3</v>
      </c>
      <c r="DX225" s="26"/>
      <c r="DY225" s="26"/>
      <c r="DZ225" s="26"/>
      <c r="EA225" s="26"/>
      <c r="EB225" s="26">
        <f t="shared" ca="1" si="161"/>
        <v>0.15147911999999986</v>
      </c>
      <c r="EC225" s="26">
        <f t="shared" ca="1" si="162"/>
        <v>-9.2931675966383687E-3</v>
      </c>
      <c r="ED225" s="26"/>
      <c r="EE225" s="26"/>
      <c r="EF225" s="26"/>
      <c r="EG225" s="26"/>
      <c r="EH225" s="26">
        <f t="shared" ca="1" si="163"/>
        <v>2.8269469999999852E-2</v>
      </c>
      <c r="EI225" s="29">
        <f t="shared" ca="1" si="164"/>
        <v>5.5520092072901955E-3</v>
      </c>
      <c r="EJ225" s="29"/>
      <c r="EK225" s="29"/>
      <c r="EL225" s="29"/>
      <c r="EM225" s="29"/>
      <c r="EN225" s="93"/>
      <c r="EO225" s="29"/>
      <c r="EP225" s="29"/>
      <c r="EQ225" s="29"/>
      <c r="ER225" s="29"/>
      <c r="ES225" s="29"/>
      <c r="ET225" s="29"/>
      <c r="EU225" s="93"/>
      <c r="EV225" s="29"/>
      <c r="EW225" s="29"/>
      <c r="EX225" s="29"/>
      <c r="EY225" s="29"/>
      <c r="EZ225" s="29"/>
      <c r="FA225" s="29"/>
      <c r="FB225" s="93"/>
      <c r="FC225" s="29"/>
      <c r="FD225" s="29"/>
      <c r="FE225" s="29"/>
      <c r="FF225" s="29"/>
      <c r="FG225" s="29"/>
      <c r="FH225" s="29"/>
      <c r="FI225" s="93"/>
      <c r="FJ225" s="29"/>
      <c r="FK225" s="29"/>
      <c r="FL225" s="29"/>
      <c r="FM225" s="29"/>
      <c r="FN225" s="29"/>
      <c r="FO225" s="29"/>
      <c r="FP225" s="93"/>
      <c r="FQ225" s="29"/>
      <c r="FR225" s="29"/>
      <c r="FS225" s="29"/>
      <c r="FT225" s="29"/>
      <c r="FU225" s="29"/>
      <c r="FV225" s="29"/>
    </row>
    <row r="226" spans="1:178" x14ac:dyDescent="0.25">
      <c r="A226" t="str">
        <f ca="1">IF(_xll.TM1RPTELISCONSOLIDATED($D$28,$D226),IF(_xll.TM1RPTELLEV($D$28,$D226)&lt;=3,_xll.TM1RPTELLEV($D$28,$D226),"D"),"N")</f>
        <v>N</v>
      </c>
      <c r="B226" t="str">
        <f ca="1">_xll.DBRA(Server&amp;"Management_organization",$D226,$B$27)</f>
        <v>L</v>
      </c>
      <c r="C226">
        <v>1</v>
      </c>
      <c r="D226" s="2" t="s">
        <v>269</v>
      </c>
      <c r="E226" s="26"/>
      <c r="F226" s="26"/>
      <c r="G226" s="16">
        <f ca="1">_xll.DBRW($D$4,$E$7,$E$8,$E$9,$E$10,$E$12,$D226,$E$6,G$18,G$17)</f>
        <v>1.1772688499999959</v>
      </c>
      <c r="H226" s="16">
        <f ca="1">_xll.DBRW($D$4,$E$7,$E$8,$E$9,$E$10,$E$12,$D226,$E$6,H$18,H$17)</f>
        <v>-1.20709786</v>
      </c>
      <c r="I226" s="16">
        <f ca="1">_xll.DBRW($D$4,$E$7,$E$8,$E$9,$E$10,$E$12,$D226,$E$6,I$18,I$17)</f>
        <v>0</v>
      </c>
      <c r="J226" s="26">
        <f ca="1">_xll.DBRW($D$4,$E$7,$E$8,$E$9,$E$10,$E$12,$D226,$E$6,J$18,J$17)</f>
        <v>0</v>
      </c>
      <c r="K226" s="26">
        <f ca="1">_xll.DBRW($D$4,$E$7,$E$8,$E$9,$E$10,$E$12,$D226,$E$6,K$18,K$17)</f>
        <v>0</v>
      </c>
      <c r="L226" s="26">
        <f ca="1">_xll.DBRW($D$4,$E$7,$E$8,$E$9,$E$10,$E$12,$D226,$E$6,L$18,L$17)</f>
        <v>0</v>
      </c>
      <c r="M226" s="26">
        <f ca="1">_xll.DBRW($D$4,$E$7,$E$8,$E$9,$E$10,$E$12,$D226,$E$6,M$18,M$17)</f>
        <v>0</v>
      </c>
      <c r="N226" s="16">
        <f ca="1">_xll.DBRW($D$4,$E$7,$E$8,$E$9,$E$10,$E$12,$D226,$E$6,N$18,N$17)</f>
        <v>2.3843667099999961</v>
      </c>
      <c r="O226" s="16">
        <f ca="1">_xll.DBRW($D$4,$E$7,$E$8,$E$9,$E$10,$E$12,$D226,$E$6,O$18,O$17)</f>
        <v>14.605148829999997</v>
      </c>
      <c r="P226" s="74">
        <f ca="1">_xll.DBRW($D$4,$E$7,$E$8,$E$9,$E$10,$E$12,$D226,$E$6,P$18,P$17)</f>
        <v>-4.0941540199999995</v>
      </c>
      <c r="Q226" s="16">
        <f ca="1">_xll.DBRW($D$4,$E$7,$E$8,$E$9,$E$10,$E$12,$D226,$E$6,Q$18,Q$17)</f>
        <v>0.28032264974871879</v>
      </c>
      <c r="R226" s="16"/>
      <c r="S226" s="16"/>
      <c r="T226" s="16"/>
      <c r="U226" s="16"/>
      <c r="V226" s="16">
        <f ca="1">_xll.DBRW($D$4,$E$7,$E$8,$E$9,$E$10,$E$12,$D226,$E$6,V$18,V$17)</f>
        <v>-1.0905775900000003</v>
      </c>
      <c r="W226" s="16">
        <f ca="1">_xll.DBRW($D$4,$E$7,$E$8,$E$9,$E$10,$E$12,$D226,$E$6,W$18,W$17)</f>
        <v>7.467076184529374E-2</v>
      </c>
      <c r="X226" s="16"/>
      <c r="Y226" s="16"/>
      <c r="Z226" s="16"/>
      <c r="AA226" s="16"/>
      <c r="AB226" s="16">
        <f ca="1">_xll.DBRW($D$4,$E$7,$E$8,$E$9,$E$10,$E$12,$D226,$E$6,AB$18,AB$17)</f>
        <v>-4.1115430000000011</v>
      </c>
      <c r="AC226" s="16">
        <f ca="1">_xll.DBRW($D$4,$E$7,$E$8,$E$9,$E$10,$E$12,$D226,$E$6,AC$18,AC$17)</f>
        <v>0.28151325589744103</v>
      </c>
      <c r="AD226" s="16"/>
      <c r="AE226" s="16"/>
      <c r="AF226" s="16"/>
      <c r="AG226" s="16"/>
      <c r="AH226" s="16">
        <f ca="1">_xll.DBRW($D$4,$E$7,$E$8,$E$9,$E$10,$E$12,$D226,$E$6,AH$18,AH$17)</f>
        <v>-1.6775022100000001</v>
      </c>
      <c r="AI226" s="16">
        <f ca="1">_xll.DBRW($D$4,$E$7,$E$8,$E$9,$E$10,$E$12,$D226,$E$6,AI$18,AI$17)</f>
        <v>0.11485690625447741</v>
      </c>
      <c r="AJ226" s="16"/>
      <c r="AK226" s="16"/>
      <c r="AL226" s="16"/>
      <c r="AM226" s="16"/>
      <c r="AN226" s="16">
        <f ca="1">_xll.DBRW($D$4,$E$7,$E$8,$E$9,$E$10,$E$12,$D226,$E$6,AN$18,AN$17)</f>
        <v>-1.2540868000000003</v>
      </c>
      <c r="AO226" s="16">
        <f ca="1">_xll.DBRW($D$4,$E$7,$E$8,$E$9,$E$10,$E$12,$D226,$E$6,AO$18,AO$17)</f>
        <v>8.5866074669777984E-2</v>
      </c>
      <c r="AP226" s="16"/>
      <c r="AQ226" s="16"/>
      <c r="AR226" s="16"/>
      <c r="AS226" s="16"/>
      <c r="AT226" s="16">
        <f ca="1">_xll.DBRW($D$4,$E$7,$E$8,$E$9,$E$10,$E$12,$D226,$E$6,AT$18,AT$17)</f>
        <v>0.40314389999999994</v>
      </c>
      <c r="AU226" s="16">
        <f ca="1">_xll.DBRW($D$4,$E$7,$E$8,$E$9,$E$10,$E$12,$D226,$E$6,AU$18,AU$17)</f>
        <v>11.801063299999999</v>
      </c>
      <c r="AV226" s="16">
        <f ca="1">_xll.DBRW($D$4,$E$7,$E$8,$E$9,$E$10,$E$12,$D226,$E$6,AV$18,AV$17)</f>
        <v>12.098269</v>
      </c>
      <c r="AW226" s="16">
        <f ca="1">_xll.DBRW($D$4,$E$7,$E$8,$E$9,$E$10,$E$12,$D226,$E$6,AW$18,AW$17)</f>
        <v>11.801063299999999</v>
      </c>
      <c r="AX226" s="16">
        <f ca="1">_xll.DBRW($D$4,$E$7,$E$8,$E$9,$E$10,$E$12,$D226,$E$6,AX$18,AX$17)</f>
        <v>4.0461861700000004</v>
      </c>
      <c r="AY226" s="16">
        <f ca="1">_xll.DBRW($D$4,$E$7,$E$8,$E$9,$E$10,$E$12,$D226,$E$6,AY$18,AY$17)</f>
        <v>11.801063299999999</v>
      </c>
      <c r="AZ226" s="16">
        <f ca="1">_xll.DBRW($D$4,$E$7,$E$8,$E$9,$E$10,$E$12,$D226,$E$6,AZ$18,AZ$17)</f>
        <v>1.2611111111111113E-4</v>
      </c>
      <c r="BA226" s="16">
        <f ca="1">_xll.DBRW($D$4,$E$7,$E$8,$E$9,$E$10,$E$12,$D226,$E$6,BA$18,BA$17)</f>
        <v>11.801063299999999</v>
      </c>
      <c r="BB226" s="16">
        <f ca="1">_xll.DBRW($D$4,$E$7,$E$8,$E$9,$E$10,$E$12,$D226,$E$6,BB$18,BB$17)</f>
        <v>11.801063299999999</v>
      </c>
      <c r="BC226" s="16">
        <f ca="1">_xll.DBRW($D$4,$E$7,$E$8,$E$9,$E$10,$E$12,$D226,$E$6,BC$18,BC$17)</f>
        <v>11.801063299999999</v>
      </c>
      <c r="BD226" s="16">
        <f ca="1">_xll.DBRW($D$4,$E$7,$E$8,$E$9,$E$10,$E$12,$D226,$E$6,BD$18,BD$17)</f>
        <v>1.4946456000000019</v>
      </c>
      <c r="BE226" s="16">
        <f ca="1">_xll.DBRW($D$4,$E$7,$E$8,$E$9,$E$10,$E$12,$D226,$E$6,BE$18,BE$17)</f>
        <v>-1.6177029600000001</v>
      </c>
      <c r="BF226" s="16">
        <f ca="1">_xll.DBRW($D$4,$E$7,$E$8,$E$9,$E$10,$E$12,$D226,$E$6,BF$18,BF$17)</f>
        <v>0</v>
      </c>
      <c r="BG226" s="26">
        <f ca="1">_xll.DBRW($D$4,$E$7,$E$8,$E$9,$E$10,$E$12,$D226,$E$6,BG$18,BG$17)</f>
        <v>0</v>
      </c>
      <c r="BH226" s="26">
        <f ca="1">_xll.DBRW($D$4,$E$7,$E$8,$E$9,$E$10,$E$12,$D226,$E$6,BH$18,BH$17)</f>
        <v>0</v>
      </c>
      <c r="BI226" s="26">
        <f ca="1">_xll.DBRW($D$4,$E$7,$E$8,$E$9,$E$10,$E$12,$D226,$E$6,BI$18,BI$17)</f>
        <v>0</v>
      </c>
      <c r="BJ226" s="26">
        <f ca="1">_xll.DBRW($D$4,$E$7,$E$8,$E$9,$E$10,$E$12,$D226,$E$6,BJ$18,BJ$17)</f>
        <v>0</v>
      </c>
      <c r="BK226" s="16">
        <f ca="1">_xll.DBRW($D$4,$E$7,$E$8,$E$9,$E$10,$E$12,$D226,$E$6,BK$18,BK$17)</f>
        <v>3.1123485600000023</v>
      </c>
      <c r="BL226" s="16">
        <f ca="1">_xll.DBRW($D$4,$E$7,$E$8,$E$9,$E$10,$E$12,$D226,$E$6,BL$18,BL$17)</f>
        <v>17.598688420000002</v>
      </c>
      <c r="BM226" s="16">
        <f ca="1">_xll.DBRW($D$4,$E$7,$E$8,$E$9,$E$10,$E$12,$D226,$E$6,BM$18,BM$17)</f>
        <v>-5.0177528700000016</v>
      </c>
      <c r="BN226" s="16">
        <f ca="1">_xll.DBRW($D$4,$E$7,$E$8,$E$9,$E$10,$E$12,$D226,$E$6,BN$18,BN$17)</f>
        <v>0.28512084254515152</v>
      </c>
      <c r="BO226" s="16"/>
      <c r="BP226" s="16"/>
      <c r="BQ226" s="16"/>
      <c r="BR226" s="16"/>
      <c r="BS226" s="16">
        <f ca="1">_xll.DBRW($D$4,$E$7,$E$8,$E$9,$E$10,$E$12,$D226,$E$6,BS$18,BS$17)</f>
        <v>-1.33684745</v>
      </c>
      <c r="BT226" s="16">
        <f ca="1">_xll.DBRW($D$4,$E$7,$E$8,$E$9,$E$10,$E$12,$D226,$E$6,BT$18,BT$17)</f>
        <v>7.5962902353606185E-2</v>
      </c>
      <c r="BU226" s="16"/>
      <c r="BV226" s="16"/>
      <c r="BW226" s="16"/>
      <c r="BX226" s="16"/>
      <c r="BY226" s="16">
        <f ca="1">_xll.DBRW($D$4,$E$7,$E$8,$E$9,$E$10,$E$12,$D226,$E$6,BY$18,BY$17)</f>
        <v>-4.7102920399999988</v>
      </c>
      <c r="BZ226" s="16">
        <f ca="1">_xll.DBRW($D$4,$E$7,$E$8,$E$9,$E$10,$E$12,$D226,$E$6,BZ$18,BZ$17)</f>
        <v>0.2676501752623221</v>
      </c>
      <c r="CA226" s="16"/>
      <c r="CB226" s="16"/>
      <c r="CC226" s="16"/>
      <c r="CD226" s="16"/>
      <c r="CE226" s="16">
        <f ca="1">_xll.DBRW($D$4,$E$7,$E$8,$E$9,$E$10,$E$12,$D226,$E$6,CE$18,CE$17)</f>
        <v>-1.99772119</v>
      </c>
      <c r="CF226" s="16">
        <f ca="1">_xll.DBRW($D$4,$E$7,$E$8,$E$9,$E$10,$E$12,$D226,$E$6,CF$18,CF$17)</f>
        <v>0.11351534513956693</v>
      </c>
      <c r="CG226" s="16"/>
      <c r="CH226" s="16"/>
      <c r="CI226" s="16"/>
      <c r="CJ226" s="16"/>
      <c r="CK226" s="16">
        <f ca="1">_xll.DBRW($D$4,$E$7,$E$8,$E$9,$E$10,$E$12,$D226,$E$6,CK$18,CK$17)</f>
        <v>-1.4237263099999995</v>
      </c>
      <c r="CL226" s="16">
        <f ca="1">_xll.DBRW($D$4,$E$7,$E$8,$E$9,$E$10,$E$12,$D226,$E$6,CL$18,CL$17)</f>
        <v>8.0899569105502653E-2</v>
      </c>
      <c r="CM226" s="16"/>
      <c r="CN226" s="16"/>
      <c r="CO226" s="16"/>
      <c r="CP226" s="16"/>
      <c r="CQ226" s="16">
        <f ca="1">_xll.DBRW($D$4,$E$7,$E$8,$E$9,$E$10,$E$12,$D226,$E$6,CQ$18,CQ$17)</f>
        <v>0.52056846000000001</v>
      </c>
      <c r="CR226" s="16">
        <f ca="1">_xll.DBRW($D$4,$E$7,$E$8,$E$9,$E$10,$E$12,$D226,$E$6,CR$18,CR$17)</f>
        <v>14.3720409</v>
      </c>
      <c r="CS226" s="16">
        <f ca="1">_xll.DBRW($D$4,$E$7,$E$8,$E$9,$E$10,$E$12,$D226,$E$6,CS$18,CS$17)</f>
        <v>14.875062319999998</v>
      </c>
      <c r="CT226" s="16">
        <f ca="1">_xll.DBRW($D$4,$E$7,$E$8,$E$9,$E$10,$E$12,$D226,$E$6,CT$18,CT$17)</f>
        <v>14.3720409</v>
      </c>
      <c r="CU226" s="16">
        <f ca="1">_xll.DBRW($D$4,$E$7,$E$8,$E$9,$E$10,$E$12,$D226,$E$6,CU$18,CU$17)</f>
        <v>4.9706834000000004</v>
      </c>
      <c r="CV226" s="16">
        <f ca="1">_xll.DBRW($D$4,$E$7,$E$8,$E$9,$E$10,$E$12,$D226,$E$6,CV$18,CV$17)</f>
        <v>14.3720409</v>
      </c>
      <c r="CW226" s="16">
        <f ca="1">_xll.DBRW($D$4,$E$7,$E$8,$E$9,$E$10,$E$12,$D226,$E$6,CW$18,CW$17)</f>
        <v>1.27E-4</v>
      </c>
      <c r="CX226" s="16">
        <f ca="1">_xll.DBRW($D$4,$E$7,$E$8,$E$9,$E$10,$E$12,$D226,$E$6,CX$18,CX$17)</f>
        <v>14.3720409</v>
      </c>
      <c r="CY226" s="16">
        <f ca="1">_xll.DBRW($D$4,$E$7,$E$8,$E$9,$E$10,$E$12,$D226,$E$6,CY$18,CY$17)</f>
        <v>14.3720409</v>
      </c>
      <c r="CZ226" s="16">
        <f ca="1">_xll.DBRW($D$4,$E$7,$E$8,$E$9,$E$10,$E$12,$D226,$E$6,CZ$18,CZ$17)</f>
        <v>14.3720409</v>
      </c>
      <c r="DA226" s="26">
        <f t="shared" ca="1" si="146"/>
        <v>-0.31737675000000598</v>
      </c>
      <c r="DB226" s="26">
        <f t="shared" ca="1" si="147"/>
        <v>0.41060510000000017</v>
      </c>
      <c r="DC226" s="26">
        <f t="shared" ca="1" si="148"/>
        <v>0</v>
      </c>
      <c r="DD226" s="26">
        <f t="shared" ca="1" si="149"/>
        <v>0</v>
      </c>
      <c r="DE226" s="26">
        <f t="shared" ca="1" si="150"/>
        <v>0</v>
      </c>
      <c r="DF226" s="26">
        <f t="shared" ca="1" si="151"/>
        <v>0</v>
      </c>
      <c r="DG226" s="26">
        <f t="shared" ca="1" si="152"/>
        <v>0</v>
      </c>
      <c r="DH226" s="26">
        <f t="shared" ca="1" si="153"/>
        <v>-0.72798185000000615</v>
      </c>
      <c r="DI226" s="26">
        <f t="shared" ca="1" si="154"/>
        <v>-2.9935395900000046</v>
      </c>
      <c r="DJ226" s="26">
        <f t="shared" ca="1" si="155"/>
        <v>0.92359885000000208</v>
      </c>
      <c r="DK226" s="26">
        <f t="shared" ca="1" si="156"/>
        <v>-4.798192796432732E-3</v>
      </c>
      <c r="DL226" s="26"/>
      <c r="DM226" s="26"/>
      <c r="DN226" s="26"/>
      <c r="DO226" s="26"/>
      <c r="DP226" s="26">
        <f t="shared" ca="1" si="157"/>
        <v>0.24626985999999973</v>
      </c>
      <c r="DQ226" s="26">
        <f t="shared" ca="1" si="158"/>
        <v>-1.2921405083124449E-3</v>
      </c>
      <c r="DR226" s="26"/>
      <c r="DS226" s="26"/>
      <c r="DT226" s="26"/>
      <c r="DU226" s="26"/>
      <c r="DV226" s="26">
        <f t="shared" ca="1" si="159"/>
        <v>0.59874903999999773</v>
      </c>
      <c r="DW226" s="26">
        <f t="shared" ca="1" si="160"/>
        <v>1.386308063511893E-2</v>
      </c>
      <c r="DX226" s="26"/>
      <c r="DY226" s="26"/>
      <c r="DZ226" s="26"/>
      <c r="EA226" s="26"/>
      <c r="EB226" s="26">
        <f t="shared" ca="1" si="161"/>
        <v>0.32021897999999993</v>
      </c>
      <c r="EC226" s="26">
        <f t="shared" ca="1" si="162"/>
        <v>1.341561114910475E-3</v>
      </c>
      <c r="ED226" s="26"/>
      <c r="EE226" s="26"/>
      <c r="EF226" s="26"/>
      <c r="EG226" s="26"/>
      <c r="EH226" s="26">
        <f t="shared" ca="1" si="163"/>
        <v>0.16963950999999922</v>
      </c>
      <c r="EI226" s="29">
        <f t="shared" ca="1" si="164"/>
        <v>4.9665055642753309E-3</v>
      </c>
      <c r="EJ226" s="29"/>
      <c r="EK226" s="29"/>
      <c r="EL226" s="29"/>
      <c r="EM226" s="29"/>
      <c r="EN226" s="93"/>
      <c r="EO226" s="29"/>
      <c r="EP226" s="29"/>
      <c r="EQ226" s="29"/>
      <c r="ER226" s="29"/>
      <c r="ES226" s="29"/>
      <c r="ET226" s="29"/>
      <c r="EU226" s="93"/>
      <c r="EV226" s="29"/>
      <c r="EW226" s="29"/>
      <c r="EX226" s="29"/>
      <c r="EY226" s="29"/>
      <c r="EZ226" s="29"/>
      <c r="FA226" s="29"/>
      <c r="FB226" s="93"/>
      <c r="FC226" s="29"/>
      <c r="FD226" s="29"/>
      <c r="FE226" s="29"/>
      <c r="FF226" s="29"/>
      <c r="FG226" s="29"/>
      <c r="FH226" s="29"/>
      <c r="FI226" s="93"/>
      <c r="FJ226" s="29"/>
      <c r="FK226" s="29"/>
      <c r="FL226" s="29"/>
      <c r="FM226" s="29"/>
      <c r="FN226" s="29"/>
      <c r="FO226" s="29"/>
      <c r="FP226" s="93"/>
      <c r="FQ226" s="29"/>
      <c r="FR226" s="29"/>
      <c r="FS226" s="29"/>
      <c r="FT226" s="29"/>
      <c r="FU226" s="29"/>
      <c r="FV226" s="29"/>
    </row>
    <row r="227" spans="1:178" x14ac:dyDescent="0.25">
      <c r="A227" t="str">
        <f ca="1">IF(_xll.TM1RPTELISCONSOLIDATED($D$28,$D227),IF(_xll.TM1RPTELLEV($D$28,$D227)&lt;=3,_xll.TM1RPTELLEV($D$28,$D227),"D"),"N")</f>
        <v>N</v>
      </c>
      <c r="B227" t="str">
        <f ca="1">_xll.DBRA(Server&amp;"Management_organization",$D227,$B$27)</f>
        <v>L</v>
      </c>
      <c r="C227">
        <v>1</v>
      </c>
      <c r="D227" s="2" t="s">
        <v>270</v>
      </c>
      <c r="E227" s="26"/>
      <c r="F227" s="26"/>
      <c r="G227" s="16">
        <f ca="1">_xll.DBRW($D$4,$E$7,$E$8,$E$9,$E$10,$E$12,$D227,$E$6,G$18,G$17)</f>
        <v>-8.0885240000000413E-2</v>
      </c>
      <c r="H227" s="16">
        <f ca="1">_xll.DBRW($D$4,$E$7,$E$8,$E$9,$E$10,$E$12,$D227,$E$6,H$18,H$17)</f>
        <v>-0.64694657999999983</v>
      </c>
      <c r="I227" s="16">
        <f ca="1">_xll.DBRW($D$4,$E$7,$E$8,$E$9,$E$10,$E$12,$D227,$E$6,I$18,I$17)</f>
        <v>0</v>
      </c>
      <c r="J227" s="26">
        <f ca="1">_xll.DBRW($D$4,$E$7,$E$8,$E$9,$E$10,$E$12,$D227,$E$6,J$18,J$17)</f>
        <v>0</v>
      </c>
      <c r="K227" s="26">
        <f ca="1">_xll.DBRW($D$4,$E$7,$E$8,$E$9,$E$10,$E$12,$D227,$E$6,K$18,K$17)</f>
        <v>0</v>
      </c>
      <c r="L227" s="26">
        <f ca="1">_xll.DBRW($D$4,$E$7,$E$8,$E$9,$E$10,$E$12,$D227,$E$6,L$18,L$17)</f>
        <v>0</v>
      </c>
      <c r="M227" s="26">
        <f ca="1">_xll.DBRW($D$4,$E$7,$E$8,$E$9,$E$10,$E$12,$D227,$E$6,M$18,M$17)</f>
        <v>0</v>
      </c>
      <c r="N227" s="16">
        <f ca="1">_xll.DBRW($D$4,$E$7,$E$8,$E$9,$E$10,$E$12,$D227,$E$6,N$18,N$17)</f>
        <v>0.56606133999999941</v>
      </c>
      <c r="O227" s="16">
        <f ca="1">_xll.DBRW($D$4,$E$7,$E$8,$E$9,$E$10,$E$12,$D227,$E$6,O$18,O$17)</f>
        <v>8.1485742899999991</v>
      </c>
      <c r="P227" s="74">
        <f ca="1">_xll.DBRW($D$4,$E$7,$E$8,$E$9,$E$10,$E$12,$D227,$E$6,P$18,P$17)</f>
        <v>-2.3623564999999997</v>
      </c>
      <c r="Q227" s="16">
        <f ca="1">_xll.DBRW($D$4,$E$7,$E$8,$E$9,$E$10,$E$12,$D227,$E$6,Q$18,Q$17)</f>
        <v>0.28991040836420967</v>
      </c>
      <c r="R227" s="16"/>
      <c r="S227" s="16"/>
      <c r="T227" s="16"/>
      <c r="U227" s="16"/>
      <c r="V227" s="16">
        <f ca="1">_xll.DBRW($D$4,$E$7,$E$8,$E$9,$E$10,$E$12,$D227,$E$6,V$18,V$17)</f>
        <v>-0.75865800999999999</v>
      </c>
      <c r="W227" s="16">
        <f ca="1">_xll.DBRW($D$4,$E$7,$E$8,$E$9,$E$10,$E$12,$D227,$E$6,W$18,W$17)</f>
        <v>9.3103159276713185E-2</v>
      </c>
      <c r="X227" s="16"/>
      <c r="Y227" s="16"/>
      <c r="Z227" s="16"/>
      <c r="AA227" s="16"/>
      <c r="AB227" s="16">
        <f ca="1">_xll.DBRW($D$4,$E$7,$E$8,$E$9,$E$10,$E$12,$D227,$E$6,AB$18,AB$17)</f>
        <v>-2.0583170999999991</v>
      </c>
      <c r="AC227" s="16">
        <f ca="1">_xll.DBRW($D$4,$E$7,$E$8,$E$9,$E$10,$E$12,$D227,$E$6,AC$18,AC$17)</f>
        <v>0.25259843338803251</v>
      </c>
      <c r="AD227" s="16"/>
      <c r="AE227" s="16"/>
      <c r="AF227" s="16"/>
      <c r="AG227" s="16"/>
      <c r="AH227" s="16">
        <f ca="1">_xll.DBRW($D$4,$E$7,$E$8,$E$9,$E$10,$E$12,$D227,$E$6,AH$18,AH$17)</f>
        <v>-0.86655878999999991</v>
      </c>
      <c r="AI227" s="16">
        <f ca="1">_xll.DBRW($D$4,$E$7,$E$8,$E$9,$E$10,$E$12,$D227,$E$6,AI$18,AI$17)</f>
        <v>0.10634483520183996</v>
      </c>
      <c r="AJ227" s="16"/>
      <c r="AK227" s="16"/>
      <c r="AL227" s="16"/>
      <c r="AM227" s="16"/>
      <c r="AN227" s="16">
        <f ca="1">_xll.DBRW($D$4,$E$7,$E$8,$E$9,$E$10,$E$12,$D227,$E$6,AN$18,AN$17)</f>
        <v>-1.5388881499999998</v>
      </c>
      <c r="AO227" s="16">
        <f ca="1">_xll.DBRW($D$4,$E$7,$E$8,$E$9,$E$10,$E$12,$D227,$E$6,AO$18,AO$17)</f>
        <v>0.18885366878087331</v>
      </c>
      <c r="AP227" s="16"/>
      <c r="AQ227" s="16"/>
      <c r="AR227" s="16"/>
      <c r="AS227" s="16"/>
      <c r="AT227" s="16">
        <f ca="1">_xll.DBRW($D$4,$E$7,$E$8,$E$9,$E$10,$E$12,$D227,$E$6,AT$18,AT$17)</f>
        <v>0.23553582000000001</v>
      </c>
      <c r="AU227" s="16">
        <f ca="1">_xll.DBRW($D$4,$E$7,$E$8,$E$9,$E$10,$E$12,$D227,$E$6,AU$18,AU$17)</f>
        <v>5.3977885299999997</v>
      </c>
      <c r="AV227" s="16">
        <f ca="1">_xll.DBRW($D$4,$E$7,$E$8,$E$9,$E$10,$E$12,$D227,$E$6,AV$18,AV$17)</f>
        <v>5.7751320000000002</v>
      </c>
      <c r="AW227" s="16">
        <f ca="1">_xll.DBRW($D$4,$E$7,$E$8,$E$9,$E$10,$E$12,$D227,$E$6,AW$18,AW$17)</f>
        <v>5.3977885299999997</v>
      </c>
      <c r="AX227" s="16">
        <f ca="1">_xll.DBRW($D$4,$E$7,$E$8,$E$9,$E$10,$E$12,$D227,$E$6,AX$18,AX$17)</f>
        <v>2.0240502</v>
      </c>
      <c r="AY227" s="16">
        <f ca="1">_xll.DBRW($D$4,$E$7,$E$8,$E$9,$E$10,$E$12,$D227,$E$6,AY$18,AY$17)</f>
        <v>5.3977885299999997</v>
      </c>
      <c r="AZ227" s="16">
        <f ca="1">_xll.DBRW($D$4,$E$7,$E$8,$E$9,$E$10,$E$12,$D227,$E$6,AZ$18,AZ$17)</f>
        <v>9.4166666666666674E-5</v>
      </c>
      <c r="BA227" s="16">
        <f ca="1">_xll.DBRW($D$4,$E$7,$E$8,$E$9,$E$10,$E$12,$D227,$E$6,BA$18,BA$17)</f>
        <v>5.3977885299999997</v>
      </c>
      <c r="BB227" s="16">
        <f ca="1">_xll.DBRW($D$4,$E$7,$E$8,$E$9,$E$10,$E$12,$D227,$E$6,BB$18,BB$17)</f>
        <v>5.3977885299999997</v>
      </c>
      <c r="BC227" s="16">
        <f ca="1">_xll.DBRW($D$4,$E$7,$E$8,$E$9,$E$10,$E$12,$D227,$E$6,BC$18,BC$17)</f>
        <v>5.3977885299999997</v>
      </c>
      <c r="BD227" s="16">
        <f ca="1">_xll.DBRW($D$4,$E$7,$E$8,$E$9,$E$10,$E$12,$D227,$E$6,BD$18,BD$17)</f>
        <v>0.30723517999999722</v>
      </c>
      <c r="BE227" s="16">
        <f ca="1">_xll.DBRW($D$4,$E$7,$E$8,$E$9,$E$10,$E$12,$D227,$E$6,BE$18,BE$17)</f>
        <v>-0.8977234399999996</v>
      </c>
      <c r="BF227" s="16">
        <f ca="1">_xll.DBRW($D$4,$E$7,$E$8,$E$9,$E$10,$E$12,$D227,$E$6,BF$18,BF$17)</f>
        <v>0</v>
      </c>
      <c r="BG227" s="26">
        <f ca="1">_xll.DBRW($D$4,$E$7,$E$8,$E$9,$E$10,$E$12,$D227,$E$6,BG$18,BG$17)</f>
        <v>0</v>
      </c>
      <c r="BH227" s="26">
        <f ca="1">_xll.DBRW($D$4,$E$7,$E$8,$E$9,$E$10,$E$12,$D227,$E$6,BH$18,BH$17)</f>
        <v>0</v>
      </c>
      <c r="BI227" s="26">
        <f ca="1">_xll.DBRW($D$4,$E$7,$E$8,$E$9,$E$10,$E$12,$D227,$E$6,BI$18,BI$17)</f>
        <v>0</v>
      </c>
      <c r="BJ227" s="26">
        <f ca="1">_xll.DBRW($D$4,$E$7,$E$8,$E$9,$E$10,$E$12,$D227,$E$6,BJ$18,BJ$17)</f>
        <v>0</v>
      </c>
      <c r="BK227" s="16">
        <f ca="1">_xll.DBRW($D$4,$E$7,$E$8,$E$9,$E$10,$E$12,$D227,$E$6,BK$18,BK$17)</f>
        <v>1.2049586199999969</v>
      </c>
      <c r="BL227" s="16">
        <f ca="1">_xll.DBRW($D$4,$E$7,$E$8,$E$9,$E$10,$E$12,$D227,$E$6,BL$18,BL$17)</f>
        <v>10.344025549999998</v>
      </c>
      <c r="BM227" s="16">
        <f ca="1">_xll.DBRW($D$4,$E$7,$E$8,$E$9,$E$10,$E$12,$D227,$E$6,BM$18,BM$17)</f>
        <v>-3.1740739099999997</v>
      </c>
      <c r="BN227" s="16">
        <f ca="1">_xll.DBRW($D$4,$E$7,$E$8,$E$9,$E$10,$E$12,$D227,$E$6,BN$18,BN$17)</f>
        <v>0.30685093483745313</v>
      </c>
      <c r="BO227" s="16"/>
      <c r="BP227" s="16"/>
      <c r="BQ227" s="16"/>
      <c r="BR227" s="16"/>
      <c r="BS227" s="16">
        <f ca="1">_xll.DBRW($D$4,$E$7,$E$8,$E$9,$E$10,$E$12,$D227,$E$6,BS$18,BS$17)</f>
        <v>-0.98089341999999968</v>
      </c>
      <c r="BT227" s="16">
        <f ca="1">_xll.DBRW($D$4,$E$7,$E$8,$E$9,$E$10,$E$12,$D227,$E$6,BT$18,BT$17)</f>
        <v>9.482704922359747E-2</v>
      </c>
      <c r="BU227" s="16"/>
      <c r="BV227" s="16"/>
      <c r="BW227" s="16"/>
      <c r="BX227" s="16"/>
      <c r="BY227" s="16">
        <f ca="1">_xll.DBRW($D$4,$E$7,$E$8,$E$9,$E$10,$E$12,$D227,$E$6,BY$18,BY$17)</f>
        <v>-2.5481439999999997</v>
      </c>
      <c r="BZ227" s="16">
        <f ca="1">_xll.DBRW($D$4,$E$7,$E$8,$E$9,$E$10,$E$12,$D227,$E$6,BZ$18,BZ$17)</f>
        <v>0.24633968542353418</v>
      </c>
      <c r="CA227" s="16"/>
      <c r="CB227" s="16"/>
      <c r="CC227" s="16"/>
      <c r="CD227" s="16"/>
      <c r="CE227" s="16">
        <f ca="1">_xll.DBRW($D$4,$E$7,$E$8,$E$9,$E$10,$E$12,$D227,$E$6,CE$18,CE$17)</f>
        <v>-1.11572841</v>
      </c>
      <c r="CF227" s="16">
        <f ca="1">_xll.DBRW($D$4,$E$7,$E$8,$E$9,$E$10,$E$12,$D227,$E$6,CF$18,CF$17)</f>
        <v>0.10786210886727753</v>
      </c>
      <c r="CG227" s="16"/>
      <c r="CH227" s="16"/>
      <c r="CI227" s="16"/>
      <c r="CJ227" s="16"/>
      <c r="CK227" s="16">
        <f ca="1">_xll.DBRW($D$4,$E$7,$E$8,$E$9,$E$10,$E$12,$D227,$E$6,CK$18,CK$17)</f>
        <v>-1.32022719</v>
      </c>
      <c r="CL227" s="16">
        <f ca="1">_xll.DBRW($D$4,$E$7,$E$8,$E$9,$E$10,$E$12,$D227,$E$6,CL$18,CL$17)</f>
        <v>0.1276318570191467</v>
      </c>
      <c r="CM227" s="16"/>
      <c r="CN227" s="16"/>
      <c r="CO227" s="16"/>
      <c r="CP227" s="16"/>
      <c r="CQ227" s="16">
        <f ca="1">_xll.DBRW($D$4,$E$7,$E$8,$E$9,$E$10,$E$12,$D227,$E$6,CQ$18,CQ$17)</f>
        <v>0.30353175000000004</v>
      </c>
      <c r="CR227" s="16">
        <f ca="1">_xll.DBRW($D$4,$E$7,$E$8,$E$9,$E$10,$E$12,$D227,$E$6,CR$18,CR$17)</f>
        <v>7.3543267600000002</v>
      </c>
      <c r="CS227" s="16">
        <f ca="1">_xll.DBRW($D$4,$E$7,$E$8,$E$9,$E$10,$E$12,$D227,$E$6,CS$18,CS$17)</f>
        <v>7.6872319199999994</v>
      </c>
      <c r="CT227" s="16">
        <f ca="1">_xll.DBRW($D$4,$E$7,$E$8,$E$9,$E$10,$E$12,$D227,$E$6,CT$18,CT$17)</f>
        <v>7.3543267600000002</v>
      </c>
      <c r="CU227" s="16">
        <f ca="1">_xll.DBRW($D$4,$E$7,$E$8,$E$9,$E$10,$E$12,$D227,$E$6,CU$18,CU$17)</f>
        <v>2.6678281099999999</v>
      </c>
      <c r="CV227" s="16">
        <f ca="1">_xll.DBRW($D$4,$E$7,$E$8,$E$9,$E$10,$E$12,$D227,$E$6,CV$18,CV$17)</f>
        <v>7.3543267600000002</v>
      </c>
      <c r="CW227" s="16">
        <f ca="1">_xll.DBRW($D$4,$E$7,$E$8,$E$9,$E$10,$E$12,$D227,$E$6,CW$18,CW$17)</f>
        <v>9.5318181818181819E-5</v>
      </c>
      <c r="CX227" s="16">
        <f ca="1">_xll.DBRW($D$4,$E$7,$E$8,$E$9,$E$10,$E$12,$D227,$E$6,CX$18,CX$17)</f>
        <v>7.3543267600000002</v>
      </c>
      <c r="CY227" s="16">
        <f ca="1">_xll.DBRW($D$4,$E$7,$E$8,$E$9,$E$10,$E$12,$D227,$E$6,CY$18,CY$17)</f>
        <v>7.3543267600000002</v>
      </c>
      <c r="CZ227" s="16">
        <f ca="1">_xll.DBRW($D$4,$E$7,$E$8,$E$9,$E$10,$E$12,$D227,$E$6,CZ$18,CZ$17)</f>
        <v>7.3543267600000002</v>
      </c>
      <c r="DA227" s="26">
        <f t="shared" ca="1" si="146"/>
        <v>-0.38812041999999763</v>
      </c>
      <c r="DB227" s="26">
        <f t="shared" ca="1" si="147"/>
        <v>0.25077685999999977</v>
      </c>
      <c r="DC227" s="26">
        <f t="shared" ca="1" si="148"/>
        <v>0</v>
      </c>
      <c r="DD227" s="26">
        <f t="shared" ca="1" si="149"/>
        <v>0</v>
      </c>
      <c r="DE227" s="26">
        <f t="shared" ca="1" si="150"/>
        <v>0</v>
      </c>
      <c r="DF227" s="26">
        <f t="shared" ca="1" si="151"/>
        <v>0</v>
      </c>
      <c r="DG227" s="26">
        <f t="shared" ca="1" si="152"/>
        <v>0</v>
      </c>
      <c r="DH227" s="26">
        <f t="shared" ca="1" si="153"/>
        <v>-0.63889727999999746</v>
      </c>
      <c r="DI227" s="26">
        <f t="shared" ca="1" si="154"/>
        <v>-2.1954512599999987</v>
      </c>
      <c r="DJ227" s="26">
        <f t="shared" ca="1" si="155"/>
        <v>0.81171740999999997</v>
      </c>
      <c r="DK227" s="26">
        <f t="shared" ca="1" si="156"/>
        <v>-1.6940526473243456E-2</v>
      </c>
      <c r="DL227" s="26"/>
      <c r="DM227" s="26"/>
      <c r="DN227" s="26"/>
      <c r="DO227" s="26"/>
      <c r="DP227" s="26">
        <f t="shared" ca="1" si="157"/>
        <v>0.22223540999999969</v>
      </c>
      <c r="DQ227" s="26">
        <f t="shared" ca="1" si="158"/>
        <v>-1.7238899468842855E-3</v>
      </c>
      <c r="DR227" s="26"/>
      <c r="DS227" s="26"/>
      <c r="DT227" s="26"/>
      <c r="DU227" s="26"/>
      <c r="DV227" s="26">
        <f t="shared" ca="1" si="159"/>
        <v>0.48982690000000062</v>
      </c>
      <c r="DW227" s="26">
        <f t="shared" ca="1" si="160"/>
        <v>6.2587479644983235E-3</v>
      </c>
      <c r="DX227" s="26"/>
      <c r="DY227" s="26"/>
      <c r="DZ227" s="26"/>
      <c r="EA227" s="26"/>
      <c r="EB227" s="26">
        <f t="shared" ca="1" si="161"/>
        <v>0.24916962000000009</v>
      </c>
      <c r="EC227" s="26">
        <f t="shared" ca="1" si="162"/>
        <v>-1.5172736654375657E-3</v>
      </c>
      <c r="ED227" s="26"/>
      <c r="EE227" s="26"/>
      <c r="EF227" s="26"/>
      <c r="EG227" s="26"/>
      <c r="EH227" s="26">
        <f t="shared" ca="1" si="163"/>
        <v>-0.21866095999999979</v>
      </c>
      <c r="EI227" s="29">
        <f t="shared" ca="1" si="164"/>
        <v>6.1221811761726613E-2</v>
      </c>
      <c r="EJ227" s="29"/>
      <c r="EK227" s="29"/>
      <c r="EL227" s="29"/>
      <c r="EM227" s="29"/>
      <c r="EN227" s="93"/>
      <c r="EO227" s="29"/>
      <c r="EP227" s="29"/>
      <c r="EQ227" s="29"/>
      <c r="ER227" s="29"/>
      <c r="ES227" s="29"/>
      <c r="ET227" s="29"/>
      <c r="EU227" s="93"/>
      <c r="EV227" s="29"/>
      <c r="EW227" s="29"/>
      <c r="EX227" s="29"/>
      <c r="EY227" s="29"/>
      <c r="EZ227" s="29"/>
      <c r="FA227" s="29"/>
      <c r="FB227" s="93"/>
      <c r="FC227" s="29"/>
      <c r="FD227" s="29"/>
      <c r="FE227" s="29"/>
      <c r="FF227" s="29"/>
      <c r="FG227" s="29"/>
      <c r="FH227" s="29"/>
      <c r="FI227" s="93"/>
      <c r="FJ227" s="29"/>
      <c r="FK227" s="29"/>
      <c r="FL227" s="29"/>
      <c r="FM227" s="29"/>
      <c r="FN227" s="29"/>
      <c r="FO227" s="29"/>
      <c r="FP227" s="93"/>
      <c r="FQ227" s="29"/>
      <c r="FR227" s="29"/>
      <c r="FS227" s="29"/>
      <c r="FT227" s="29"/>
      <c r="FU227" s="29"/>
      <c r="FV227" s="29"/>
    </row>
    <row r="228" spans="1:178" x14ac:dyDescent="0.25">
      <c r="A228" t="str">
        <f ca="1">IF(_xll.TM1RPTELISCONSOLIDATED($D$28,$D228),IF(_xll.TM1RPTELLEV($D$28,$D228)&lt;=3,_xll.TM1RPTELLEV($D$28,$D228),"D"),"N")</f>
        <v>N</v>
      </c>
      <c r="B228" t="str">
        <f ca="1">_xll.DBRA(Server&amp;"Management_organization",$D228,$B$27)</f>
        <v>L</v>
      </c>
      <c r="C228">
        <v>1</v>
      </c>
      <c r="D228" s="2" t="s">
        <v>271</v>
      </c>
      <c r="E228" s="26"/>
      <c r="F228" s="26"/>
      <c r="G228" s="16">
        <f ca="1">_xll.DBRW($D$4,$E$7,$E$8,$E$9,$E$10,$E$12,$D228,$E$6,G$18,G$17)</f>
        <v>0.24257995000000079</v>
      </c>
      <c r="H228" s="16">
        <f ca="1">_xll.DBRW($D$4,$E$7,$E$8,$E$9,$E$10,$E$12,$D228,$E$6,H$18,H$17)</f>
        <v>-0.40871715000000014</v>
      </c>
      <c r="I228" s="16">
        <f ca="1">_xll.DBRW($D$4,$E$7,$E$8,$E$9,$E$10,$E$12,$D228,$E$6,I$18,I$17)</f>
        <v>0</v>
      </c>
      <c r="J228" s="26">
        <f ca="1">_xll.DBRW($D$4,$E$7,$E$8,$E$9,$E$10,$E$12,$D228,$E$6,J$18,J$17)</f>
        <v>0</v>
      </c>
      <c r="K228" s="26">
        <f ca="1">_xll.DBRW($D$4,$E$7,$E$8,$E$9,$E$10,$E$12,$D228,$E$6,K$18,K$17)</f>
        <v>0</v>
      </c>
      <c r="L228" s="26">
        <f ca="1">_xll.DBRW($D$4,$E$7,$E$8,$E$9,$E$10,$E$12,$D228,$E$6,L$18,L$17)</f>
        <v>0</v>
      </c>
      <c r="M228" s="26">
        <f ca="1">_xll.DBRW($D$4,$E$7,$E$8,$E$9,$E$10,$E$12,$D228,$E$6,M$18,M$17)</f>
        <v>0</v>
      </c>
      <c r="N228" s="16">
        <f ca="1">_xll.DBRW($D$4,$E$7,$E$8,$E$9,$E$10,$E$12,$D228,$E$6,N$18,N$17)</f>
        <v>0.65129710000000085</v>
      </c>
      <c r="O228" s="16">
        <f ca="1">_xll.DBRW($D$4,$E$7,$E$8,$E$9,$E$10,$E$12,$D228,$E$6,O$18,O$17)</f>
        <v>4.8055406400000011</v>
      </c>
      <c r="P228" s="74">
        <f ca="1">_xll.DBRW($D$4,$E$7,$E$8,$E$9,$E$10,$E$12,$D228,$E$6,P$18,P$17)</f>
        <v>-1.4162674300000002</v>
      </c>
      <c r="Q228" s="16">
        <f ca="1">_xll.DBRW($D$4,$E$7,$E$8,$E$9,$E$10,$E$12,$D228,$E$6,Q$18,Q$17)</f>
        <v>0.29471552445345667</v>
      </c>
      <c r="R228" s="16"/>
      <c r="S228" s="16"/>
      <c r="T228" s="16"/>
      <c r="U228" s="16"/>
      <c r="V228" s="16">
        <f ca="1">_xll.DBRW($D$4,$E$7,$E$8,$E$9,$E$10,$E$12,$D228,$E$6,V$18,V$17)</f>
        <v>-0.56030506999999985</v>
      </c>
      <c r="W228" s="16">
        <f ca="1">_xll.DBRW($D$4,$E$7,$E$8,$E$9,$E$10,$E$12,$D228,$E$6,W$18,W$17)</f>
        <v>0.11659563657336997</v>
      </c>
      <c r="X228" s="16"/>
      <c r="Y228" s="16"/>
      <c r="Z228" s="16"/>
      <c r="AA228" s="16"/>
      <c r="AB228" s="16">
        <f ca="1">_xll.DBRW($D$4,$E$7,$E$8,$E$9,$E$10,$E$12,$D228,$E$6,AB$18,AB$17)</f>
        <v>-1.28091197</v>
      </c>
      <c r="AC228" s="16">
        <f ca="1">_xll.DBRW($D$4,$E$7,$E$8,$E$9,$E$10,$E$12,$D228,$E$6,AC$18,AC$17)</f>
        <v>0.26654898292567553</v>
      </c>
      <c r="AD228" s="16"/>
      <c r="AE228" s="16"/>
      <c r="AF228" s="16"/>
      <c r="AG228" s="16"/>
      <c r="AH228" s="16">
        <f ca="1">_xll.DBRW($D$4,$E$7,$E$8,$E$9,$E$10,$E$12,$D228,$E$6,AH$18,AH$17)</f>
        <v>-0.50882208999999989</v>
      </c>
      <c r="AI228" s="16">
        <f ca="1">_xll.DBRW($D$4,$E$7,$E$8,$E$9,$E$10,$E$12,$D228,$E$6,AI$18,AI$17)</f>
        <v>0.10588238204973328</v>
      </c>
      <c r="AJ228" s="16"/>
      <c r="AK228" s="16"/>
      <c r="AL228" s="16"/>
      <c r="AM228" s="16"/>
      <c r="AN228" s="16">
        <f ca="1">_xll.DBRW($D$4,$E$7,$E$8,$E$9,$E$10,$E$12,$D228,$E$6,AN$18,AN$17)</f>
        <v>-0.38913068000000001</v>
      </c>
      <c r="AO228" s="16">
        <f ca="1">_xll.DBRW($D$4,$E$7,$E$8,$E$9,$E$10,$E$12,$D228,$E$6,AO$18,AO$17)</f>
        <v>8.0975421737355224E-2</v>
      </c>
      <c r="AP228" s="16"/>
      <c r="AQ228" s="16"/>
      <c r="AR228" s="16"/>
      <c r="AS228" s="16"/>
      <c r="AT228" s="16">
        <f ca="1">_xll.DBRW($D$4,$E$7,$E$8,$E$9,$E$10,$E$12,$D228,$E$6,AT$18,AT$17)</f>
        <v>0.15710996999999999</v>
      </c>
      <c r="AU228" s="16">
        <f ca="1">_xll.DBRW($D$4,$E$7,$E$8,$E$9,$E$10,$E$12,$D228,$E$6,AU$18,AU$17)</f>
        <v>3.3138583000000001</v>
      </c>
      <c r="AV228" s="16">
        <f ca="1">_xll.DBRW($D$4,$E$7,$E$8,$E$9,$E$10,$E$12,$D228,$E$6,AV$18,AV$17)</f>
        <v>3.4581629999999999</v>
      </c>
      <c r="AW228" s="16">
        <f ca="1">_xll.DBRW($D$4,$E$7,$E$8,$E$9,$E$10,$E$12,$D228,$E$6,AW$18,AW$17)</f>
        <v>3.3138583000000001</v>
      </c>
      <c r="AX228" s="16">
        <f ca="1">_xll.DBRW($D$4,$E$7,$E$8,$E$9,$E$10,$E$12,$D228,$E$6,AX$18,AX$17)</f>
        <v>1.26670613</v>
      </c>
      <c r="AY228" s="16">
        <f ca="1">_xll.DBRW($D$4,$E$7,$E$8,$E$9,$E$10,$E$12,$D228,$E$6,AY$18,AY$17)</f>
        <v>3.3138583000000001</v>
      </c>
      <c r="AZ228" s="16">
        <f ca="1">_xll.DBRW($D$4,$E$7,$E$8,$E$9,$E$10,$E$12,$D228,$E$6,AZ$18,AZ$17)</f>
        <v>1.2522222222222223E-4</v>
      </c>
      <c r="BA228" s="16">
        <f ca="1">_xll.DBRW($D$4,$E$7,$E$8,$E$9,$E$10,$E$12,$D228,$E$6,BA$18,BA$17)</f>
        <v>3.3138583000000001</v>
      </c>
      <c r="BB228" s="16">
        <f ca="1">_xll.DBRW($D$4,$E$7,$E$8,$E$9,$E$10,$E$12,$D228,$E$6,BB$18,BB$17)</f>
        <v>3.3138583000000001</v>
      </c>
      <c r="BC228" s="16">
        <f ca="1">_xll.DBRW($D$4,$E$7,$E$8,$E$9,$E$10,$E$12,$D228,$E$6,BC$18,BC$17)</f>
        <v>3.3138583000000001</v>
      </c>
      <c r="BD228" s="16">
        <f ca="1">_xll.DBRW($D$4,$E$7,$E$8,$E$9,$E$10,$E$12,$D228,$E$6,BD$18,BD$17)</f>
        <v>0.52371933000000082</v>
      </c>
      <c r="BE228" s="16">
        <f ca="1">_xll.DBRW($D$4,$E$7,$E$8,$E$9,$E$10,$E$12,$D228,$E$6,BE$18,BE$17)</f>
        <v>-0.56266581000000004</v>
      </c>
      <c r="BF228" s="16">
        <f ca="1">_xll.DBRW($D$4,$E$7,$E$8,$E$9,$E$10,$E$12,$D228,$E$6,BF$18,BF$17)</f>
        <v>0</v>
      </c>
      <c r="BG228" s="26">
        <f ca="1">_xll.DBRW($D$4,$E$7,$E$8,$E$9,$E$10,$E$12,$D228,$E$6,BG$18,BG$17)</f>
        <v>0</v>
      </c>
      <c r="BH228" s="26">
        <f ca="1">_xll.DBRW($D$4,$E$7,$E$8,$E$9,$E$10,$E$12,$D228,$E$6,BH$18,BH$17)</f>
        <v>0</v>
      </c>
      <c r="BI228" s="26">
        <f ca="1">_xll.DBRW($D$4,$E$7,$E$8,$E$9,$E$10,$E$12,$D228,$E$6,BI$18,BI$17)</f>
        <v>0</v>
      </c>
      <c r="BJ228" s="26">
        <f ca="1">_xll.DBRW($D$4,$E$7,$E$8,$E$9,$E$10,$E$12,$D228,$E$6,BJ$18,BJ$17)</f>
        <v>0</v>
      </c>
      <c r="BK228" s="16">
        <f ca="1">_xll.DBRW($D$4,$E$7,$E$8,$E$9,$E$10,$E$12,$D228,$E$6,BK$18,BK$17)</f>
        <v>1.0863851400000009</v>
      </c>
      <c r="BL228" s="16">
        <f ca="1">_xll.DBRW($D$4,$E$7,$E$8,$E$9,$E$10,$E$12,$D228,$E$6,BL$18,BL$17)</f>
        <v>6.4147695699999998</v>
      </c>
      <c r="BM228" s="16">
        <f ca="1">_xll.DBRW($D$4,$E$7,$E$8,$E$9,$E$10,$E$12,$D228,$E$6,BM$18,BM$17)</f>
        <v>-2.0813929500000001</v>
      </c>
      <c r="BN228" s="16">
        <f ca="1">_xll.DBRW($D$4,$E$7,$E$8,$E$9,$E$10,$E$12,$D228,$E$6,BN$18,BN$17)</f>
        <v>0.32446885695381261</v>
      </c>
      <c r="BO228" s="16"/>
      <c r="BP228" s="16"/>
      <c r="BQ228" s="16"/>
      <c r="BR228" s="16"/>
      <c r="BS228" s="16">
        <f ca="1">_xll.DBRW($D$4,$E$7,$E$8,$E$9,$E$10,$E$12,$D228,$E$6,BS$18,BS$17)</f>
        <v>-0.68191822999999996</v>
      </c>
      <c r="BT228" s="16">
        <f ca="1">_xll.DBRW($D$4,$E$7,$E$8,$E$9,$E$10,$E$12,$D228,$E$6,BT$18,BT$17)</f>
        <v>0.10630439995680156</v>
      </c>
      <c r="BU228" s="16"/>
      <c r="BV228" s="16"/>
      <c r="BW228" s="16"/>
      <c r="BX228" s="16"/>
      <c r="BY228" s="16">
        <f ca="1">_xll.DBRW($D$4,$E$7,$E$8,$E$9,$E$10,$E$12,$D228,$E$6,BY$18,BY$17)</f>
        <v>-1.5797656599999996</v>
      </c>
      <c r="BZ228" s="16">
        <f ca="1">_xll.DBRW($D$4,$E$7,$E$8,$E$9,$E$10,$E$12,$D228,$E$6,BZ$18,BZ$17)</f>
        <v>0.24627005580809969</v>
      </c>
      <c r="CA228" s="16"/>
      <c r="CB228" s="16"/>
      <c r="CC228" s="16"/>
      <c r="CD228" s="16"/>
      <c r="CE228" s="16">
        <f ca="1">_xll.DBRW($D$4,$E$7,$E$8,$E$9,$E$10,$E$12,$D228,$E$6,CE$18,CE$17)</f>
        <v>-0.61711767999999989</v>
      </c>
      <c r="CF228" s="16">
        <f ca="1">_xll.DBRW($D$4,$E$7,$E$8,$E$9,$E$10,$E$12,$D228,$E$6,CF$18,CF$17)</f>
        <v>9.6202626340013628E-2</v>
      </c>
      <c r="CG228" s="16"/>
      <c r="CH228" s="16"/>
      <c r="CI228" s="16"/>
      <c r="CJ228" s="16"/>
      <c r="CK228" s="16">
        <f ca="1">_xll.DBRW($D$4,$E$7,$E$8,$E$9,$E$10,$E$12,$D228,$E$6,CK$18,CK$17)</f>
        <v>-0.36818991000000001</v>
      </c>
      <c r="CL228" s="16">
        <f ca="1">_xll.DBRW($D$4,$E$7,$E$8,$E$9,$E$10,$E$12,$D228,$E$6,CL$18,CL$17)</f>
        <v>5.7397215282980155E-2</v>
      </c>
      <c r="CM228" s="16"/>
      <c r="CN228" s="16"/>
      <c r="CO228" s="16"/>
      <c r="CP228" s="16"/>
      <c r="CQ228" s="16">
        <f ca="1">_xll.DBRW($D$4,$E$7,$E$8,$E$9,$E$10,$E$12,$D228,$E$6,CQ$18,CQ$17)</f>
        <v>0.18847365999999999</v>
      </c>
      <c r="CR228" s="16">
        <f ca="1">_xll.DBRW($D$4,$E$7,$E$8,$E$9,$E$10,$E$12,$D228,$E$6,CR$18,CR$17)</f>
        <v>4.436323999999999</v>
      </c>
      <c r="CS228" s="16">
        <f ca="1">_xll.DBRW($D$4,$E$7,$E$8,$E$9,$E$10,$E$12,$D228,$E$6,CS$18,CS$17)</f>
        <v>4.6288148499999995</v>
      </c>
      <c r="CT228" s="16">
        <f ca="1">_xll.DBRW($D$4,$E$7,$E$8,$E$9,$E$10,$E$12,$D228,$E$6,CT$18,CT$17)</f>
        <v>4.436323999999999</v>
      </c>
      <c r="CU228" s="16">
        <f ca="1">_xll.DBRW($D$4,$E$7,$E$8,$E$9,$E$10,$E$12,$D228,$E$6,CU$18,CU$17)</f>
        <v>1.6338556900000001</v>
      </c>
      <c r="CV228" s="16">
        <f ca="1">_xll.DBRW($D$4,$E$7,$E$8,$E$9,$E$10,$E$12,$D228,$E$6,CV$18,CV$17)</f>
        <v>4.436323999999999</v>
      </c>
      <c r="CW228" s="16">
        <f ca="1">_xll.DBRW($D$4,$E$7,$E$8,$E$9,$E$10,$E$12,$D228,$E$6,CW$18,CW$17)</f>
        <v>1.261818181818182E-4</v>
      </c>
      <c r="CX228" s="16">
        <f ca="1">_xll.DBRW($D$4,$E$7,$E$8,$E$9,$E$10,$E$12,$D228,$E$6,CX$18,CX$17)</f>
        <v>4.436323999999999</v>
      </c>
      <c r="CY228" s="16">
        <f ca="1">_xll.DBRW($D$4,$E$7,$E$8,$E$9,$E$10,$E$12,$D228,$E$6,CY$18,CY$17)</f>
        <v>4.436323999999999</v>
      </c>
      <c r="CZ228" s="16">
        <f ca="1">_xll.DBRW($D$4,$E$7,$E$8,$E$9,$E$10,$E$12,$D228,$E$6,CZ$18,CZ$17)</f>
        <v>4.436323999999999</v>
      </c>
      <c r="DA228" s="26">
        <f t="shared" ca="1" si="146"/>
        <v>-0.28113938000000005</v>
      </c>
      <c r="DB228" s="26">
        <f t="shared" ca="1" si="147"/>
        <v>0.1539486599999999</v>
      </c>
      <c r="DC228" s="26">
        <f t="shared" ca="1" si="148"/>
        <v>0</v>
      </c>
      <c r="DD228" s="26">
        <f t="shared" ca="1" si="149"/>
        <v>0</v>
      </c>
      <c r="DE228" s="26">
        <f t="shared" ca="1" si="150"/>
        <v>0</v>
      </c>
      <c r="DF228" s="26">
        <f t="shared" ca="1" si="151"/>
        <v>0</v>
      </c>
      <c r="DG228" s="26">
        <f t="shared" ca="1" si="152"/>
        <v>0</v>
      </c>
      <c r="DH228" s="26">
        <f t="shared" ca="1" si="153"/>
        <v>-0.43508804000000001</v>
      </c>
      <c r="DI228" s="26">
        <f t="shared" ca="1" si="154"/>
        <v>-1.6092289299999987</v>
      </c>
      <c r="DJ228" s="26">
        <f t="shared" ca="1" si="155"/>
        <v>0.66512551999999991</v>
      </c>
      <c r="DK228" s="26">
        <f t="shared" ca="1" si="156"/>
        <v>-2.9753332500355945E-2</v>
      </c>
      <c r="DL228" s="26"/>
      <c r="DM228" s="26"/>
      <c r="DN228" s="26"/>
      <c r="DO228" s="26"/>
      <c r="DP228" s="26">
        <f t="shared" ca="1" si="157"/>
        <v>0.12161316000000011</v>
      </c>
      <c r="DQ228" s="26">
        <f t="shared" ca="1" si="158"/>
        <v>1.0291236616568403E-2</v>
      </c>
      <c r="DR228" s="26"/>
      <c r="DS228" s="26"/>
      <c r="DT228" s="26"/>
      <c r="DU228" s="26"/>
      <c r="DV228" s="26">
        <f t="shared" ca="1" si="159"/>
        <v>0.29885368999999962</v>
      </c>
      <c r="DW228" s="26">
        <f t="shared" ca="1" si="160"/>
        <v>2.027892711757584E-2</v>
      </c>
      <c r="DX228" s="26"/>
      <c r="DY228" s="26"/>
      <c r="DZ228" s="26"/>
      <c r="EA228" s="26"/>
      <c r="EB228" s="26">
        <f t="shared" ca="1" si="161"/>
        <v>0.10829559</v>
      </c>
      <c r="EC228" s="26">
        <f t="shared" ca="1" si="162"/>
        <v>9.6797557097196563E-3</v>
      </c>
      <c r="ED228" s="26"/>
      <c r="EE228" s="26"/>
      <c r="EF228" s="26"/>
      <c r="EG228" s="26"/>
      <c r="EH228" s="26">
        <f t="shared" ca="1" si="163"/>
        <v>-2.0940769999999997E-2</v>
      </c>
      <c r="EI228" s="29">
        <f t="shared" ca="1" si="164"/>
        <v>2.357820645437507E-2</v>
      </c>
      <c r="EJ228" s="29"/>
      <c r="EK228" s="29"/>
      <c r="EL228" s="29"/>
      <c r="EM228" s="29"/>
      <c r="EN228" s="93"/>
      <c r="EO228" s="29"/>
      <c r="EP228" s="29"/>
      <c r="EQ228" s="29"/>
      <c r="ER228" s="29"/>
      <c r="ES228" s="29"/>
      <c r="ET228" s="29"/>
      <c r="EU228" s="93"/>
      <c r="EV228" s="29"/>
      <c r="EW228" s="29"/>
      <c r="EX228" s="29"/>
      <c r="EY228" s="29"/>
      <c r="EZ228" s="29"/>
      <c r="FA228" s="29"/>
      <c r="FB228" s="93"/>
      <c r="FC228" s="29"/>
      <c r="FD228" s="29"/>
      <c r="FE228" s="29"/>
      <c r="FF228" s="29"/>
      <c r="FG228" s="29"/>
      <c r="FH228" s="29"/>
      <c r="FI228" s="93"/>
      <c r="FJ228" s="29"/>
      <c r="FK228" s="29"/>
      <c r="FL228" s="29"/>
      <c r="FM228" s="29"/>
      <c r="FN228" s="29"/>
      <c r="FO228" s="29"/>
      <c r="FP228" s="93"/>
      <c r="FQ228" s="29"/>
      <c r="FR228" s="29"/>
      <c r="FS228" s="29"/>
      <c r="FT228" s="29"/>
      <c r="FU228" s="29"/>
      <c r="FV228" s="29"/>
    </row>
    <row r="229" spans="1:178" x14ac:dyDescent="0.25">
      <c r="A229" t="str">
        <f ca="1">IF(_xll.TM1RPTELISCONSOLIDATED($D$28,$D229),IF(_xll.TM1RPTELLEV($D$28,$D229)&lt;=3,_xll.TM1RPTELLEV($D$28,$D229),"D"),"N")</f>
        <v>N</v>
      </c>
      <c r="B229" t="str">
        <f ca="1">_xll.DBRA(Server&amp;"Management_organization",$D229,$B$27)</f>
        <v>L</v>
      </c>
      <c r="C229">
        <v>1</v>
      </c>
      <c r="D229" s="2" t="s">
        <v>272</v>
      </c>
      <c r="E229" s="26"/>
      <c r="F229" s="26"/>
      <c r="G229" s="16">
        <f ca="1">_xll.DBRW($D$4,$E$7,$E$8,$E$9,$E$10,$E$12,$D229,$E$6,G$18,G$17)</f>
        <v>0.87977654000000627</v>
      </c>
      <c r="H229" s="16">
        <f ca="1">_xll.DBRW($D$4,$E$7,$E$8,$E$9,$E$10,$E$12,$D229,$E$6,H$18,H$17)</f>
        <v>-1.6384012699999997</v>
      </c>
      <c r="I229" s="16">
        <f ca="1">_xll.DBRW($D$4,$E$7,$E$8,$E$9,$E$10,$E$12,$D229,$E$6,I$18,I$17)</f>
        <v>0</v>
      </c>
      <c r="J229" s="26">
        <f ca="1">_xll.DBRW($D$4,$E$7,$E$8,$E$9,$E$10,$E$12,$D229,$E$6,J$18,J$17)</f>
        <v>0</v>
      </c>
      <c r="K229" s="26">
        <f ca="1">_xll.DBRW($D$4,$E$7,$E$8,$E$9,$E$10,$E$12,$D229,$E$6,K$18,K$17)</f>
        <v>0</v>
      </c>
      <c r="L229" s="26">
        <f ca="1">_xll.DBRW($D$4,$E$7,$E$8,$E$9,$E$10,$E$12,$D229,$E$6,L$18,L$17)</f>
        <v>0</v>
      </c>
      <c r="M229" s="26">
        <f ca="1">_xll.DBRW($D$4,$E$7,$E$8,$E$9,$E$10,$E$12,$D229,$E$6,M$18,M$17)</f>
        <v>0</v>
      </c>
      <c r="N229" s="16">
        <f ca="1">_xll.DBRW($D$4,$E$7,$E$8,$E$9,$E$10,$E$12,$D229,$E$6,N$18,N$17)</f>
        <v>2.5181778100000067</v>
      </c>
      <c r="O229" s="16">
        <f ca="1">_xll.DBRW($D$4,$E$7,$E$8,$E$9,$E$10,$E$12,$D229,$E$6,O$18,O$17)</f>
        <v>18.301899730000002</v>
      </c>
      <c r="P229" s="74">
        <f ca="1">_xll.DBRW($D$4,$E$7,$E$8,$E$9,$E$10,$E$12,$D229,$E$6,P$18,P$17)</f>
        <v>-5.1904586700000017</v>
      </c>
      <c r="Q229" s="16">
        <f ca="1">_xll.DBRW($D$4,$E$7,$E$8,$E$9,$E$10,$E$12,$D229,$E$6,Q$18,Q$17)</f>
        <v>0.28360218046064012</v>
      </c>
      <c r="R229" s="16"/>
      <c r="S229" s="16"/>
      <c r="T229" s="16"/>
      <c r="U229" s="16"/>
      <c r="V229" s="16">
        <f ca="1">_xll.DBRW($D$4,$E$7,$E$8,$E$9,$E$10,$E$12,$D229,$E$6,V$18,V$17)</f>
        <v>-1.8256232200000007</v>
      </c>
      <c r="W229" s="16">
        <f ca="1">_xll.DBRW($D$4,$E$7,$E$8,$E$9,$E$10,$E$12,$D229,$E$6,W$18,W$17)</f>
        <v>9.97504765588616E-2</v>
      </c>
      <c r="X229" s="16"/>
      <c r="Y229" s="16"/>
      <c r="Z229" s="16"/>
      <c r="AA229" s="16"/>
      <c r="AB229" s="16">
        <f ca="1">_xll.DBRW($D$4,$E$7,$E$8,$E$9,$E$10,$E$12,$D229,$E$6,AB$18,AB$17)</f>
        <v>-4.6788305299999973</v>
      </c>
      <c r="AC229" s="16">
        <f ca="1">_xll.DBRW($D$4,$E$7,$E$8,$E$9,$E$10,$E$12,$D229,$E$6,AC$18,AC$17)</f>
        <v>0.25564726061363885</v>
      </c>
      <c r="AD229" s="16"/>
      <c r="AE229" s="16"/>
      <c r="AF229" s="16"/>
      <c r="AG229" s="16"/>
      <c r="AH229" s="16">
        <f ca="1">_xll.DBRW($D$4,$E$7,$E$8,$E$9,$E$10,$E$12,$D229,$E$6,AH$18,AH$17)</f>
        <v>-2.4029430400000003</v>
      </c>
      <c r="AI229" s="16">
        <f ca="1">_xll.DBRW($D$4,$E$7,$E$8,$E$9,$E$10,$E$12,$D229,$E$6,AI$18,AI$17)</f>
        <v>0.13129473308506645</v>
      </c>
      <c r="AJ229" s="16"/>
      <c r="AK229" s="16"/>
      <c r="AL229" s="16"/>
      <c r="AM229" s="16"/>
      <c r="AN229" s="16">
        <f ca="1">_xll.DBRW($D$4,$E$7,$E$8,$E$9,$E$10,$E$12,$D229,$E$6,AN$18,AN$17)</f>
        <v>-1.6917672600000002</v>
      </c>
      <c r="AO229" s="16">
        <f ca="1">_xll.DBRW($D$4,$E$7,$E$8,$E$9,$E$10,$E$12,$D229,$E$6,AO$18,AO$17)</f>
        <v>9.2436702471213897E-2</v>
      </c>
      <c r="AP229" s="16"/>
      <c r="AQ229" s="16"/>
      <c r="AR229" s="16"/>
      <c r="AS229" s="16"/>
      <c r="AT229" s="16">
        <f ca="1">_xll.DBRW($D$4,$E$7,$E$8,$E$9,$E$10,$E$12,$D229,$E$6,AT$18,AT$17)</f>
        <v>0.46856722999999989</v>
      </c>
      <c r="AU229" s="16">
        <f ca="1">_xll.DBRW($D$4,$E$7,$E$8,$E$9,$E$10,$E$12,$D229,$E$6,AU$18,AU$17)</f>
        <v>13.416722960000001</v>
      </c>
      <c r="AV229" s="16">
        <f ca="1">_xll.DBRW($D$4,$E$7,$E$8,$E$9,$E$10,$E$12,$D229,$E$6,AV$18,AV$17)</f>
        <v>14.105458999999998</v>
      </c>
      <c r="AW229" s="16">
        <f ca="1">_xll.DBRW($D$4,$E$7,$E$8,$E$9,$E$10,$E$12,$D229,$E$6,AW$18,AW$17)</f>
        <v>13.416722960000001</v>
      </c>
      <c r="AX229" s="16">
        <f ca="1">_xll.DBRW($D$4,$E$7,$E$8,$E$9,$E$10,$E$12,$D229,$E$6,AX$18,AX$17)</f>
        <v>4.6554564100000002</v>
      </c>
      <c r="AY229" s="16">
        <f ca="1">_xll.DBRW($D$4,$E$7,$E$8,$E$9,$E$10,$E$12,$D229,$E$6,AY$18,AY$17)</f>
        <v>13.416722960000001</v>
      </c>
      <c r="AZ229" s="16">
        <f ca="1">_xll.DBRW($D$4,$E$7,$E$8,$E$9,$E$10,$E$12,$D229,$E$6,AZ$18,AZ$17)</f>
        <v>2.0150000000000002E-4</v>
      </c>
      <c r="BA229" s="16">
        <f ca="1">_xll.DBRW($D$4,$E$7,$E$8,$E$9,$E$10,$E$12,$D229,$E$6,BA$18,BA$17)</f>
        <v>13.416722960000001</v>
      </c>
      <c r="BB229" s="16">
        <f ca="1">_xll.DBRW($D$4,$E$7,$E$8,$E$9,$E$10,$E$12,$D229,$E$6,BB$18,BB$17)</f>
        <v>13.416722960000001</v>
      </c>
      <c r="BC229" s="16">
        <f ca="1">_xll.DBRW($D$4,$E$7,$E$8,$E$9,$E$10,$E$12,$D229,$E$6,BC$18,BC$17)</f>
        <v>13.416722960000001</v>
      </c>
      <c r="BD229" s="16">
        <f ca="1">_xll.DBRW($D$4,$E$7,$E$8,$E$9,$E$10,$E$12,$D229,$E$6,BD$18,BD$17)</f>
        <v>1.064485109999995</v>
      </c>
      <c r="BE229" s="16">
        <f ca="1">_xll.DBRW($D$4,$E$7,$E$8,$E$9,$E$10,$E$12,$D229,$E$6,BE$18,BE$17)</f>
        <v>-2.3367054799999996</v>
      </c>
      <c r="BF229" s="16">
        <f ca="1">_xll.DBRW($D$4,$E$7,$E$8,$E$9,$E$10,$E$12,$D229,$E$6,BF$18,BF$17)</f>
        <v>0</v>
      </c>
      <c r="BG229" s="26">
        <f ca="1">_xll.DBRW($D$4,$E$7,$E$8,$E$9,$E$10,$E$12,$D229,$E$6,BG$18,BG$17)</f>
        <v>0</v>
      </c>
      <c r="BH229" s="26">
        <f ca="1">_xll.DBRW($D$4,$E$7,$E$8,$E$9,$E$10,$E$12,$D229,$E$6,BH$18,BH$17)</f>
        <v>0</v>
      </c>
      <c r="BI229" s="26">
        <f ca="1">_xll.DBRW($D$4,$E$7,$E$8,$E$9,$E$10,$E$12,$D229,$E$6,BI$18,BI$17)</f>
        <v>0</v>
      </c>
      <c r="BJ229" s="26">
        <f ca="1">_xll.DBRW($D$4,$E$7,$E$8,$E$9,$E$10,$E$12,$D229,$E$6,BJ$18,BJ$17)</f>
        <v>0</v>
      </c>
      <c r="BK229" s="16">
        <f ca="1">_xll.DBRW($D$4,$E$7,$E$8,$E$9,$E$10,$E$12,$D229,$E$6,BK$18,BK$17)</f>
        <v>3.4011905899999948</v>
      </c>
      <c r="BL229" s="16">
        <f ca="1">_xll.DBRW($D$4,$E$7,$E$8,$E$9,$E$10,$E$12,$D229,$E$6,BL$18,BL$17)</f>
        <v>23.991015169999997</v>
      </c>
      <c r="BM229" s="16">
        <f ca="1">_xll.DBRW($D$4,$E$7,$E$8,$E$9,$E$10,$E$12,$D229,$E$6,BM$18,BM$17)</f>
        <v>-6.8167844600000027</v>
      </c>
      <c r="BN229" s="16">
        <f ca="1">_xll.DBRW($D$4,$E$7,$E$8,$E$9,$E$10,$E$12,$D229,$E$6,BN$18,BN$17)</f>
        <v>0.28413905838066306</v>
      </c>
      <c r="BO229" s="16"/>
      <c r="BP229" s="16"/>
      <c r="BQ229" s="16"/>
      <c r="BR229" s="16"/>
      <c r="BS229" s="16">
        <f ca="1">_xll.DBRW($D$4,$E$7,$E$8,$E$9,$E$10,$E$12,$D229,$E$6,BS$18,BS$17)</f>
        <v>-2.3591635200000001</v>
      </c>
      <c r="BT229" s="16">
        <f ca="1">_xll.DBRW($D$4,$E$7,$E$8,$E$9,$E$10,$E$12,$D229,$E$6,BT$18,BT$17)</f>
        <v>9.8335293578991984E-2</v>
      </c>
      <c r="BU229" s="16"/>
      <c r="BV229" s="16"/>
      <c r="BW229" s="16"/>
      <c r="BX229" s="16"/>
      <c r="BY229" s="16">
        <f ca="1">_xll.DBRW($D$4,$E$7,$E$8,$E$9,$E$10,$E$12,$D229,$E$6,BY$18,BY$17)</f>
        <v>-6.0149864499999985</v>
      </c>
      <c r="BZ229" s="16">
        <f ca="1">_xll.DBRW($D$4,$E$7,$E$8,$E$9,$E$10,$E$12,$D229,$E$6,BZ$18,BZ$17)</f>
        <v>0.2507182963029238</v>
      </c>
      <c r="CA229" s="16"/>
      <c r="CB229" s="16"/>
      <c r="CC229" s="16"/>
      <c r="CD229" s="16"/>
      <c r="CE229" s="16">
        <f ca="1">_xll.DBRW($D$4,$E$7,$E$8,$E$9,$E$10,$E$12,$D229,$E$6,CE$18,CE$17)</f>
        <v>-3.1630183000000001</v>
      </c>
      <c r="CF229" s="16">
        <f ca="1">_xll.DBRW($D$4,$E$7,$E$8,$E$9,$E$10,$E$12,$D229,$E$6,CF$18,CF$17)</f>
        <v>0.13184178650160891</v>
      </c>
      <c r="CG229" s="16"/>
      <c r="CH229" s="16"/>
      <c r="CI229" s="16"/>
      <c r="CJ229" s="16"/>
      <c r="CK229" s="16">
        <f ca="1">_xll.DBRW($D$4,$E$7,$E$8,$E$9,$E$10,$E$12,$D229,$E$6,CK$18,CK$17)</f>
        <v>-2.2358718499999992</v>
      </c>
      <c r="CL229" s="16">
        <f ca="1">_xll.DBRW($D$4,$E$7,$E$8,$E$9,$E$10,$E$12,$D229,$E$6,CL$18,CL$17)</f>
        <v>9.3196216756841782E-2</v>
      </c>
      <c r="CM229" s="16"/>
      <c r="CN229" s="16"/>
      <c r="CO229" s="16"/>
      <c r="CP229" s="16"/>
      <c r="CQ229" s="16">
        <f ca="1">_xll.DBRW($D$4,$E$7,$E$8,$E$9,$E$10,$E$12,$D229,$E$6,CQ$18,CQ$17)</f>
        <v>0.67647055999999983</v>
      </c>
      <c r="CR229" s="16">
        <f ca="1">_xll.DBRW($D$4,$E$7,$E$8,$E$9,$E$10,$E$12,$D229,$E$6,CR$18,CR$17)</f>
        <v>18.25111399</v>
      </c>
      <c r="CS229" s="16">
        <f ca="1">_xll.DBRW($D$4,$E$7,$E$8,$E$9,$E$10,$E$12,$D229,$E$6,CS$18,CS$17)</f>
        <v>18.990360839999994</v>
      </c>
      <c r="CT229" s="16">
        <f ca="1">_xll.DBRW($D$4,$E$7,$E$8,$E$9,$E$10,$E$12,$D229,$E$6,CT$18,CT$17)</f>
        <v>18.25111399</v>
      </c>
      <c r="CU229" s="16">
        <f ca="1">_xll.DBRW($D$4,$E$7,$E$8,$E$9,$E$10,$E$12,$D229,$E$6,CU$18,CU$17)</f>
        <v>6.2597152499999993</v>
      </c>
      <c r="CV229" s="16">
        <f ca="1">_xll.DBRW($D$4,$E$7,$E$8,$E$9,$E$10,$E$12,$D229,$E$6,CV$18,CV$17)</f>
        <v>18.25111399</v>
      </c>
      <c r="CW229" s="16">
        <f ca="1">_xll.DBRW($D$4,$E$7,$E$8,$E$9,$E$10,$E$12,$D229,$E$6,CW$18,CW$17)</f>
        <v>2.0468181818181818E-4</v>
      </c>
      <c r="CX229" s="16">
        <f ca="1">_xll.DBRW($D$4,$E$7,$E$8,$E$9,$E$10,$E$12,$D229,$E$6,CX$18,CX$17)</f>
        <v>18.25111399</v>
      </c>
      <c r="CY229" s="16">
        <f ca="1">_xll.DBRW($D$4,$E$7,$E$8,$E$9,$E$10,$E$12,$D229,$E$6,CY$18,CY$17)</f>
        <v>18.25111399</v>
      </c>
      <c r="CZ229" s="16">
        <f ca="1">_xll.DBRW($D$4,$E$7,$E$8,$E$9,$E$10,$E$12,$D229,$E$6,CZ$18,CZ$17)</f>
        <v>18.25111399</v>
      </c>
      <c r="DA229" s="26">
        <f t="shared" ca="1" si="146"/>
        <v>-0.18470856999998875</v>
      </c>
      <c r="DB229" s="26">
        <f t="shared" ca="1" si="147"/>
        <v>0.69830420999999987</v>
      </c>
      <c r="DC229" s="26">
        <f t="shared" ca="1" si="148"/>
        <v>0</v>
      </c>
      <c r="DD229" s="26">
        <f t="shared" ca="1" si="149"/>
        <v>0</v>
      </c>
      <c r="DE229" s="26">
        <f t="shared" ca="1" si="150"/>
        <v>0</v>
      </c>
      <c r="DF229" s="26">
        <f t="shared" ca="1" si="151"/>
        <v>0</v>
      </c>
      <c r="DG229" s="26">
        <f t="shared" ca="1" si="152"/>
        <v>0</v>
      </c>
      <c r="DH229" s="26">
        <f t="shared" ca="1" si="153"/>
        <v>-0.88301277999998806</v>
      </c>
      <c r="DI229" s="26">
        <f t="shared" ca="1" si="154"/>
        <v>-5.6891154399999948</v>
      </c>
      <c r="DJ229" s="26">
        <f t="shared" ca="1" si="155"/>
        <v>1.626325790000001</v>
      </c>
      <c r="DK229" s="26">
        <f t="shared" ca="1" si="156"/>
        <v>-5.3687792002293788E-4</v>
      </c>
      <c r="DL229" s="26"/>
      <c r="DM229" s="26"/>
      <c r="DN229" s="26"/>
      <c r="DO229" s="26"/>
      <c r="DP229" s="26">
        <f t="shared" ca="1" si="157"/>
        <v>0.53354029999999941</v>
      </c>
      <c r="DQ229" s="26">
        <f t="shared" ca="1" si="158"/>
        <v>1.4151829798696169E-3</v>
      </c>
      <c r="DR229" s="26"/>
      <c r="DS229" s="26"/>
      <c r="DT229" s="26"/>
      <c r="DU229" s="26"/>
      <c r="DV229" s="26">
        <f t="shared" ca="1" si="159"/>
        <v>1.3361559200000013</v>
      </c>
      <c r="DW229" s="26">
        <f t="shared" ca="1" si="160"/>
        <v>4.9289643107150449E-3</v>
      </c>
      <c r="DX229" s="26"/>
      <c r="DY229" s="26"/>
      <c r="DZ229" s="26"/>
      <c r="EA229" s="26"/>
      <c r="EB229" s="26">
        <f t="shared" ca="1" si="161"/>
        <v>0.76007525999999981</v>
      </c>
      <c r="EC229" s="26">
        <f t="shared" ca="1" si="162"/>
        <v>-5.4705341654245898E-4</v>
      </c>
      <c r="ED229" s="26"/>
      <c r="EE229" s="26"/>
      <c r="EF229" s="26"/>
      <c r="EG229" s="26"/>
      <c r="EH229" s="26">
        <f t="shared" ca="1" si="163"/>
        <v>0.544104589999999</v>
      </c>
      <c r="EI229" s="29">
        <f t="shared" ca="1" si="164"/>
        <v>-7.5951428562788526E-4</v>
      </c>
      <c r="EJ229" s="29"/>
      <c r="EK229" s="29"/>
      <c r="EL229" s="29"/>
      <c r="EM229" s="29"/>
      <c r="EN229" s="93"/>
      <c r="EO229" s="29"/>
      <c r="EP229" s="29"/>
      <c r="EQ229" s="29"/>
      <c r="ER229" s="29"/>
      <c r="ES229" s="29"/>
      <c r="ET229" s="29"/>
      <c r="EU229" s="93"/>
      <c r="EV229" s="29"/>
      <c r="EW229" s="29"/>
      <c r="EX229" s="29"/>
      <c r="EY229" s="29"/>
      <c r="EZ229" s="29"/>
      <c r="FA229" s="29"/>
      <c r="FB229" s="93"/>
      <c r="FC229" s="29"/>
      <c r="FD229" s="29"/>
      <c r="FE229" s="29"/>
      <c r="FF229" s="29"/>
      <c r="FG229" s="29"/>
      <c r="FH229" s="29"/>
      <c r="FI229" s="93"/>
      <c r="FJ229" s="29"/>
      <c r="FK229" s="29"/>
      <c r="FL229" s="29"/>
      <c r="FM229" s="29"/>
      <c r="FN229" s="29"/>
      <c r="FO229" s="29"/>
      <c r="FP229" s="93"/>
      <c r="FQ229" s="29"/>
      <c r="FR229" s="29"/>
      <c r="FS229" s="29"/>
      <c r="FT229" s="29"/>
      <c r="FU229" s="29"/>
      <c r="FV229" s="29"/>
    </row>
    <row r="230" spans="1:178" x14ac:dyDescent="0.25">
      <c r="A230" t="str">
        <f ca="1">IF(_xll.TM1RPTELISCONSOLIDATED($D$28,$D230),IF(_xll.TM1RPTELLEV($D$28,$D230)&lt;=3,_xll.TM1RPTELLEV($D$28,$D230),"D"),"N")</f>
        <v>N</v>
      </c>
      <c r="B230" t="str">
        <f ca="1">_xll.DBRA(Server&amp;"Management_organization",$D230,$B$27)</f>
        <v>L</v>
      </c>
      <c r="C230">
        <v>1</v>
      </c>
      <c r="D230" s="2" t="s">
        <v>273</v>
      </c>
      <c r="E230" s="26"/>
      <c r="F230" s="26"/>
      <c r="G230" s="16">
        <f ca="1">_xll.DBRW($D$4,$E$7,$E$8,$E$9,$E$10,$E$12,$D230,$E$6,G$18,G$17)</f>
        <v>-3.4954159999998867E-2</v>
      </c>
      <c r="H230" s="16">
        <f ca="1">_xll.DBRW($D$4,$E$7,$E$8,$E$9,$E$10,$E$12,$D230,$E$6,H$18,H$17)</f>
        <v>-0.47830236999999998</v>
      </c>
      <c r="I230" s="16">
        <f ca="1">_xll.DBRW($D$4,$E$7,$E$8,$E$9,$E$10,$E$12,$D230,$E$6,I$18,I$17)</f>
        <v>0</v>
      </c>
      <c r="J230" s="26">
        <f ca="1">_xll.DBRW($D$4,$E$7,$E$8,$E$9,$E$10,$E$12,$D230,$E$6,J$18,J$17)</f>
        <v>-1.919879E-2</v>
      </c>
      <c r="K230" s="26">
        <f ca="1">_xll.DBRW($D$4,$E$7,$E$8,$E$9,$E$10,$E$12,$D230,$E$6,K$18,K$17)</f>
        <v>0</v>
      </c>
      <c r="L230" s="26">
        <f ca="1">_xll.DBRW($D$4,$E$7,$E$8,$E$9,$E$10,$E$12,$D230,$E$6,L$18,L$17)</f>
        <v>0</v>
      </c>
      <c r="M230" s="26">
        <f ca="1">_xll.DBRW($D$4,$E$7,$E$8,$E$9,$E$10,$E$12,$D230,$E$6,M$18,M$17)</f>
        <v>0</v>
      </c>
      <c r="N230" s="16">
        <f ca="1">_xll.DBRW($D$4,$E$7,$E$8,$E$9,$E$10,$E$12,$D230,$E$6,N$18,N$17)</f>
        <v>0.46254700000000115</v>
      </c>
      <c r="O230" s="16">
        <f ca="1">_xll.DBRW($D$4,$E$7,$E$8,$E$9,$E$10,$E$12,$D230,$E$6,O$18,O$17)</f>
        <v>6.406581870000001</v>
      </c>
      <c r="P230" s="74">
        <f ca="1">_xll.DBRW($D$4,$E$7,$E$8,$E$9,$E$10,$E$12,$D230,$E$6,P$18,P$17)</f>
        <v>-2.0057557999999998</v>
      </c>
      <c r="Q230" s="16">
        <f ca="1">_xll.DBRW($D$4,$E$7,$E$8,$E$9,$E$10,$E$12,$D230,$E$6,Q$18,Q$17)</f>
        <v>0.31307736960208382</v>
      </c>
      <c r="R230" s="16"/>
      <c r="S230" s="16"/>
      <c r="T230" s="16"/>
      <c r="U230" s="16"/>
      <c r="V230" s="16">
        <f ca="1">_xll.DBRW($D$4,$E$7,$E$8,$E$9,$E$10,$E$12,$D230,$E$6,V$18,V$17)</f>
        <v>-0.75108721000000001</v>
      </c>
      <c r="W230" s="16">
        <f ca="1">_xll.DBRW($D$4,$E$7,$E$8,$E$9,$E$10,$E$12,$D230,$E$6,W$18,W$17)</f>
        <v>0.11723680821392514</v>
      </c>
      <c r="X230" s="16"/>
      <c r="Y230" s="16"/>
      <c r="Z230" s="16"/>
      <c r="AA230" s="16"/>
      <c r="AB230" s="16">
        <f ca="1">_xll.DBRW($D$4,$E$7,$E$8,$E$9,$E$10,$E$12,$D230,$E$6,AB$18,AB$17)</f>
        <v>-1.8212053500000003</v>
      </c>
      <c r="AC230" s="16">
        <f ca="1">_xll.DBRW($D$4,$E$7,$E$8,$E$9,$E$10,$E$12,$D230,$E$6,AC$18,AC$17)</f>
        <v>0.28427098676879936</v>
      </c>
      <c r="AD230" s="16"/>
      <c r="AE230" s="16"/>
      <c r="AF230" s="16"/>
      <c r="AG230" s="16"/>
      <c r="AH230" s="16">
        <f ca="1">_xll.DBRW($D$4,$E$7,$E$8,$E$9,$E$10,$E$12,$D230,$E$6,AH$18,AH$17)</f>
        <v>-0.81642410999999993</v>
      </c>
      <c r="AI230" s="16">
        <f ca="1">_xll.DBRW($D$4,$E$7,$E$8,$E$9,$E$10,$E$12,$D230,$E$6,AI$18,AI$17)</f>
        <v>0.1274352106265989</v>
      </c>
      <c r="AJ230" s="16"/>
      <c r="AK230" s="16"/>
      <c r="AL230" s="16"/>
      <c r="AM230" s="16"/>
      <c r="AN230" s="16">
        <f ca="1">_xll.DBRW($D$4,$E$7,$E$8,$E$9,$E$10,$E$12,$D230,$E$6,AN$18,AN$17)</f>
        <v>-0.55416549999999987</v>
      </c>
      <c r="AO230" s="16">
        <f ca="1">_xll.DBRW($D$4,$E$7,$E$8,$E$9,$E$10,$E$12,$D230,$E$6,AO$18,AO$17)</f>
        <v>8.649940190337406E-2</v>
      </c>
      <c r="AP230" s="16"/>
      <c r="AQ230" s="16"/>
      <c r="AR230" s="16"/>
      <c r="AS230" s="16"/>
      <c r="AT230" s="16">
        <f ca="1">_xll.DBRW($D$4,$E$7,$E$8,$E$9,$E$10,$E$12,$D230,$E$6,AT$18,AT$17)</f>
        <v>0.18940451999999999</v>
      </c>
      <c r="AU230" s="16">
        <f ca="1">_xll.DBRW($D$4,$E$7,$E$8,$E$9,$E$10,$E$12,$D230,$E$6,AU$18,AU$17)</f>
        <v>5.2502471999999996</v>
      </c>
      <c r="AV230" s="16">
        <f ca="1">_xll.DBRW($D$4,$E$7,$E$8,$E$9,$E$10,$E$12,$D230,$E$6,AV$18,AV$17)</f>
        <v>5.4108970000000003</v>
      </c>
      <c r="AW230" s="16">
        <f ca="1">_xll.DBRW($D$4,$E$7,$E$8,$E$9,$E$10,$E$12,$D230,$E$6,AW$18,AW$17)</f>
        <v>5.2502471999999996</v>
      </c>
      <c r="AX230" s="16">
        <f ca="1">_xll.DBRW($D$4,$E$7,$E$8,$E$9,$E$10,$E$12,$D230,$E$6,AX$18,AX$17)</f>
        <v>1.7887945299999997</v>
      </c>
      <c r="AY230" s="16">
        <f ca="1">_xll.DBRW($D$4,$E$7,$E$8,$E$9,$E$10,$E$12,$D230,$E$6,AY$18,AY$17)</f>
        <v>5.2502471999999996</v>
      </c>
      <c r="AZ230" s="16">
        <f ca="1">_xll.DBRW($D$4,$E$7,$E$8,$E$9,$E$10,$E$12,$D230,$E$6,AZ$18,AZ$17)</f>
        <v>1.5522222222222223E-4</v>
      </c>
      <c r="BA230" s="16">
        <f ca="1">_xll.DBRW($D$4,$E$7,$E$8,$E$9,$E$10,$E$12,$D230,$E$6,BA$18,BA$17)</f>
        <v>5.2502471999999996</v>
      </c>
      <c r="BB230" s="16">
        <f ca="1">_xll.DBRW($D$4,$E$7,$E$8,$E$9,$E$10,$E$12,$D230,$E$6,BB$18,BB$17)</f>
        <v>5.2502471999999996</v>
      </c>
      <c r="BC230" s="16">
        <f ca="1">_xll.DBRW($D$4,$E$7,$E$8,$E$9,$E$10,$E$12,$D230,$E$6,BC$18,BC$17)</f>
        <v>5.2502471999999996</v>
      </c>
      <c r="BD230" s="16">
        <f ca="1">_xll.DBRW($D$4,$E$7,$E$8,$E$9,$E$10,$E$12,$D230,$E$6,BD$18,BD$17)</f>
        <v>0.26990375000000105</v>
      </c>
      <c r="BE230" s="16">
        <f ca="1">_xll.DBRW($D$4,$E$7,$E$8,$E$9,$E$10,$E$12,$D230,$E$6,BE$18,BE$17)</f>
        <v>-0.5447088499999998</v>
      </c>
      <c r="BF230" s="16">
        <f ca="1">_xll.DBRW($D$4,$E$7,$E$8,$E$9,$E$10,$E$12,$D230,$E$6,BF$18,BF$17)</f>
        <v>0</v>
      </c>
      <c r="BG230" s="26">
        <f ca="1">_xll.DBRW($D$4,$E$7,$E$8,$E$9,$E$10,$E$12,$D230,$E$6,BG$18,BG$17)</f>
        <v>0</v>
      </c>
      <c r="BH230" s="26">
        <f ca="1">_xll.DBRW($D$4,$E$7,$E$8,$E$9,$E$10,$E$12,$D230,$E$6,BH$18,BH$17)</f>
        <v>0</v>
      </c>
      <c r="BI230" s="26">
        <f ca="1">_xll.DBRW($D$4,$E$7,$E$8,$E$9,$E$10,$E$12,$D230,$E$6,BI$18,BI$17)</f>
        <v>0</v>
      </c>
      <c r="BJ230" s="26">
        <f ca="1">_xll.DBRW($D$4,$E$7,$E$8,$E$9,$E$10,$E$12,$D230,$E$6,BJ$18,BJ$17)</f>
        <v>0</v>
      </c>
      <c r="BK230" s="16">
        <f ca="1">_xll.DBRW($D$4,$E$7,$E$8,$E$9,$E$10,$E$12,$D230,$E$6,BK$18,BK$17)</f>
        <v>0.8146126000000008</v>
      </c>
      <c r="BL230" s="16">
        <f ca="1">_xll.DBRW($D$4,$E$7,$E$8,$E$9,$E$10,$E$12,$D230,$E$6,BL$18,BL$17)</f>
        <v>7.8156330299999999</v>
      </c>
      <c r="BM230" s="16">
        <f ca="1">_xll.DBRW($D$4,$E$7,$E$8,$E$9,$E$10,$E$12,$D230,$E$6,BM$18,BM$17)</f>
        <v>-2.3816972999999999</v>
      </c>
      <c r="BN230" s="16">
        <f ca="1">_xll.DBRW($D$4,$E$7,$E$8,$E$9,$E$10,$E$12,$D230,$E$6,BN$18,BN$17)</f>
        <v>0.30473504716226424</v>
      </c>
      <c r="BO230" s="16"/>
      <c r="BP230" s="16"/>
      <c r="BQ230" s="16"/>
      <c r="BR230" s="16"/>
      <c r="BS230" s="16">
        <f ca="1">_xll.DBRW($D$4,$E$7,$E$8,$E$9,$E$10,$E$12,$D230,$E$6,BS$18,BS$17)</f>
        <v>-0.78770004999999998</v>
      </c>
      <c r="BT230" s="16">
        <f ca="1">_xll.DBRW($D$4,$E$7,$E$8,$E$9,$E$10,$E$12,$D230,$E$6,BT$18,BT$17)</f>
        <v>0.10078518873345822</v>
      </c>
      <c r="BU230" s="16"/>
      <c r="BV230" s="16"/>
      <c r="BW230" s="16"/>
      <c r="BX230" s="16"/>
      <c r="BY230" s="16">
        <f ca="1">_xll.DBRW($D$4,$E$7,$E$8,$E$9,$E$10,$E$12,$D230,$E$6,BY$18,BY$17)</f>
        <v>-2.08701011</v>
      </c>
      <c r="BZ230" s="16">
        <f ca="1">_xll.DBRW($D$4,$E$7,$E$8,$E$9,$E$10,$E$12,$D230,$E$6,BZ$18,BZ$17)</f>
        <v>0.26703020753265844</v>
      </c>
      <c r="CA230" s="16"/>
      <c r="CB230" s="16"/>
      <c r="CC230" s="16"/>
      <c r="CD230" s="16"/>
      <c r="CE230" s="16">
        <f ca="1">_xll.DBRW($D$4,$E$7,$E$8,$E$9,$E$10,$E$12,$D230,$E$6,CE$18,CE$17)</f>
        <v>-1.0528967899999999</v>
      </c>
      <c r="CF230" s="16">
        <f ca="1">_xll.DBRW($D$4,$E$7,$E$8,$E$9,$E$10,$E$12,$D230,$E$6,CF$18,CF$17)</f>
        <v>0.13471676394714249</v>
      </c>
      <c r="CG230" s="16"/>
      <c r="CH230" s="16"/>
      <c r="CI230" s="16"/>
      <c r="CJ230" s="16"/>
      <c r="CK230" s="16">
        <f ca="1">_xll.DBRW($D$4,$E$7,$E$8,$E$9,$E$10,$E$12,$D230,$E$6,CK$18,CK$17)</f>
        <v>-0.6917161799999999</v>
      </c>
      <c r="CL230" s="16">
        <f ca="1">_xll.DBRW($D$4,$E$7,$E$8,$E$9,$E$10,$E$12,$D230,$E$6,CL$18,CL$17)</f>
        <v>8.8504178400505062E-2</v>
      </c>
      <c r="CM230" s="16"/>
      <c r="CN230" s="16"/>
      <c r="CO230" s="16"/>
      <c r="CP230" s="16"/>
      <c r="CQ230" s="16">
        <f ca="1">_xll.DBRW($D$4,$E$7,$E$8,$E$9,$E$10,$E$12,$D230,$E$6,CQ$18,CQ$17)</f>
        <v>0.22512012000000001</v>
      </c>
      <c r="CR230" s="16">
        <f ca="1">_xll.DBRW($D$4,$E$7,$E$8,$E$9,$E$10,$E$12,$D230,$E$6,CR$18,CR$17)</f>
        <v>6.4099050199999992</v>
      </c>
      <c r="CS230" s="16">
        <f ca="1">_xll.DBRW($D$4,$E$7,$E$8,$E$9,$E$10,$E$12,$D230,$E$6,CS$18,CS$17)</f>
        <v>6.6566863599999992</v>
      </c>
      <c r="CT230" s="16">
        <f ca="1">_xll.DBRW($D$4,$E$7,$E$8,$E$9,$E$10,$E$12,$D230,$E$6,CT$18,CT$17)</f>
        <v>6.4099050199999992</v>
      </c>
      <c r="CU230" s="16">
        <f ca="1">_xll.DBRW($D$4,$E$7,$E$8,$E$9,$E$10,$E$12,$D230,$E$6,CU$18,CU$17)</f>
        <v>2.2081587799999998</v>
      </c>
      <c r="CV230" s="16">
        <f ca="1">_xll.DBRW($D$4,$E$7,$E$8,$E$9,$E$10,$E$12,$D230,$E$6,CV$18,CV$17)</f>
        <v>6.4099050199999992</v>
      </c>
      <c r="CW230" s="16">
        <f ca="1">_xll.DBRW($D$4,$E$7,$E$8,$E$9,$E$10,$E$12,$D230,$E$6,CW$18,CW$17)</f>
        <v>1.5109090909090912E-4</v>
      </c>
      <c r="CX230" s="16">
        <f ca="1">_xll.DBRW($D$4,$E$7,$E$8,$E$9,$E$10,$E$12,$D230,$E$6,CX$18,CX$17)</f>
        <v>6.4099050199999992</v>
      </c>
      <c r="CY230" s="16">
        <f ca="1">_xll.DBRW($D$4,$E$7,$E$8,$E$9,$E$10,$E$12,$D230,$E$6,CY$18,CY$17)</f>
        <v>6.4099050199999992</v>
      </c>
      <c r="CZ230" s="16">
        <f ca="1">_xll.DBRW($D$4,$E$7,$E$8,$E$9,$E$10,$E$12,$D230,$E$6,CZ$18,CZ$17)</f>
        <v>6.4099050199999992</v>
      </c>
      <c r="DA230" s="26">
        <f t="shared" ca="1" si="146"/>
        <v>-0.3048579099999999</v>
      </c>
      <c r="DB230" s="26">
        <f t="shared" ca="1" si="147"/>
        <v>6.6406479999999823E-2</v>
      </c>
      <c r="DC230" s="26">
        <f t="shared" ca="1" si="148"/>
        <v>0</v>
      </c>
      <c r="DD230" s="26">
        <f t="shared" ca="1" si="149"/>
        <v>-1.919879E-2</v>
      </c>
      <c r="DE230" s="26">
        <f t="shared" ca="1" si="150"/>
        <v>0</v>
      </c>
      <c r="DF230" s="26">
        <f t="shared" ca="1" si="151"/>
        <v>0</v>
      </c>
      <c r="DG230" s="26">
        <f t="shared" ca="1" si="152"/>
        <v>0</v>
      </c>
      <c r="DH230" s="26">
        <f t="shared" ca="1" si="153"/>
        <v>-0.35206559999999965</v>
      </c>
      <c r="DI230" s="26">
        <f t="shared" ca="1" si="154"/>
        <v>-1.4090511599999989</v>
      </c>
      <c r="DJ230" s="26">
        <f t="shared" ca="1" si="155"/>
        <v>0.37594150000000015</v>
      </c>
      <c r="DK230" s="26">
        <f t="shared" ca="1" si="156"/>
        <v>8.3423224398195828E-3</v>
      </c>
      <c r="DL230" s="26"/>
      <c r="DM230" s="26"/>
      <c r="DN230" s="26"/>
      <c r="DO230" s="26"/>
      <c r="DP230" s="26">
        <f t="shared" ca="1" si="157"/>
        <v>3.661283999999998E-2</v>
      </c>
      <c r="DQ230" s="26">
        <f t="shared" ca="1" si="158"/>
        <v>1.6451619480466917E-2</v>
      </c>
      <c r="DR230" s="26"/>
      <c r="DS230" s="26"/>
      <c r="DT230" s="26"/>
      <c r="DU230" s="26"/>
      <c r="DV230" s="26">
        <f t="shared" ca="1" si="159"/>
        <v>0.26580475999999975</v>
      </c>
      <c r="DW230" s="26">
        <f t="shared" ca="1" si="160"/>
        <v>1.7240779236140924E-2</v>
      </c>
      <c r="DX230" s="26"/>
      <c r="DY230" s="26"/>
      <c r="DZ230" s="26"/>
      <c r="EA230" s="26"/>
      <c r="EB230" s="26">
        <f t="shared" ca="1" si="161"/>
        <v>0.23647267999999999</v>
      </c>
      <c r="EC230" s="26">
        <f t="shared" ca="1" si="162"/>
        <v>-7.2815533205435878E-3</v>
      </c>
      <c r="ED230" s="26"/>
      <c r="EE230" s="26"/>
      <c r="EF230" s="26"/>
      <c r="EG230" s="26"/>
      <c r="EH230" s="26">
        <f t="shared" ca="1" si="163"/>
        <v>0.13755068000000004</v>
      </c>
      <c r="EI230" s="29">
        <f t="shared" ca="1" si="164"/>
        <v>-2.0047764971310028E-3</v>
      </c>
      <c r="EJ230" s="29"/>
      <c r="EK230" s="29"/>
      <c r="EL230" s="29"/>
      <c r="EM230" s="29"/>
      <c r="EN230" s="93"/>
      <c r="EO230" s="29"/>
      <c r="EP230" s="29"/>
      <c r="EQ230" s="29"/>
      <c r="ER230" s="29"/>
      <c r="ES230" s="29"/>
      <c r="ET230" s="29"/>
      <c r="EU230" s="93"/>
      <c r="EV230" s="29"/>
      <c r="EW230" s="29"/>
      <c r="EX230" s="29"/>
      <c r="EY230" s="29"/>
      <c r="EZ230" s="29"/>
      <c r="FA230" s="29"/>
      <c r="FB230" s="93"/>
      <c r="FC230" s="29"/>
      <c r="FD230" s="29"/>
      <c r="FE230" s="29"/>
      <c r="FF230" s="29"/>
      <c r="FG230" s="29"/>
      <c r="FH230" s="29"/>
      <c r="FI230" s="93"/>
      <c r="FJ230" s="29"/>
      <c r="FK230" s="29"/>
      <c r="FL230" s="29"/>
      <c r="FM230" s="29"/>
      <c r="FN230" s="29"/>
      <c r="FO230" s="29"/>
      <c r="FP230" s="93"/>
      <c r="FQ230" s="29"/>
      <c r="FR230" s="29"/>
      <c r="FS230" s="29"/>
      <c r="FT230" s="29"/>
      <c r="FU230" s="29"/>
      <c r="FV230" s="29"/>
    </row>
    <row r="231" spans="1:178" x14ac:dyDescent="0.25">
      <c r="A231" t="str">
        <f ca="1">IF(_xll.TM1RPTELISCONSOLIDATED($D$28,$D231),IF(_xll.TM1RPTELLEV($D$28,$D231)&lt;=3,_xll.TM1RPTELLEV($D$28,$D231),"D"),"N")</f>
        <v>N</v>
      </c>
      <c r="B231" t="str">
        <f ca="1">_xll.DBRA(Server&amp;"Management_organization",$D231,$B$27)</f>
        <v>L</v>
      </c>
      <c r="C231">
        <v>1</v>
      </c>
      <c r="D231" s="2" t="s">
        <v>274</v>
      </c>
      <c r="E231" s="26"/>
      <c r="F231" s="26"/>
      <c r="G231" s="16">
        <f ca="1">_xll.DBRW($D$4,$E$7,$E$8,$E$9,$E$10,$E$12,$D231,$E$6,G$18,G$17)</f>
        <v>1.724595279999998</v>
      </c>
      <c r="H231" s="16">
        <f ca="1">_xll.DBRW($D$4,$E$7,$E$8,$E$9,$E$10,$E$12,$D231,$E$6,H$18,H$17)</f>
        <v>-1.08557887</v>
      </c>
      <c r="I231" s="16">
        <f ca="1">_xll.DBRW($D$4,$E$7,$E$8,$E$9,$E$10,$E$12,$D231,$E$6,I$18,I$17)</f>
        <v>0</v>
      </c>
      <c r="J231" s="26">
        <f ca="1">_xll.DBRW($D$4,$E$7,$E$8,$E$9,$E$10,$E$12,$D231,$E$6,J$18,J$17)</f>
        <v>0</v>
      </c>
      <c r="K231" s="26">
        <f ca="1">_xll.DBRW($D$4,$E$7,$E$8,$E$9,$E$10,$E$12,$D231,$E$6,K$18,K$17)</f>
        <v>0</v>
      </c>
      <c r="L231" s="26">
        <f ca="1">_xll.DBRW($D$4,$E$7,$E$8,$E$9,$E$10,$E$12,$D231,$E$6,L$18,L$17)</f>
        <v>0</v>
      </c>
      <c r="M231" s="26">
        <f ca="1">_xll.DBRW($D$4,$E$7,$E$8,$E$9,$E$10,$E$12,$D231,$E$6,M$18,M$17)</f>
        <v>0</v>
      </c>
      <c r="N231" s="16">
        <f ca="1">_xll.DBRW($D$4,$E$7,$E$8,$E$9,$E$10,$E$12,$D231,$E$6,N$18,N$17)</f>
        <v>2.8101741499999977</v>
      </c>
      <c r="O231" s="16">
        <f ca="1">_xll.DBRW($D$4,$E$7,$E$8,$E$9,$E$10,$E$12,$D231,$E$6,O$18,O$17)</f>
        <v>12.137025779999998</v>
      </c>
      <c r="P231" s="74">
        <f ca="1">_xll.DBRW($D$4,$E$7,$E$8,$E$9,$E$10,$E$12,$D231,$E$6,P$18,P$17)</f>
        <v>-3.1613577200000007</v>
      </c>
      <c r="Q231" s="16">
        <f ca="1">_xll.DBRW($D$4,$E$7,$E$8,$E$9,$E$10,$E$12,$D231,$E$6,Q$18,Q$17)</f>
        <v>0.26047219288348594</v>
      </c>
      <c r="R231" s="16"/>
      <c r="S231" s="16"/>
      <c r="T231" s="16"/>
      <c r="U231" s="16"/>
      <c r="V231" s="16">
        <f ca="1">_xll.DBRW($D$4,$E$7,$E$8,$E$9,$E$10,$E$12,$D231,$E$6,V$18,V$17)</f>
        <v>-1.01639926</v>
      </c>
      <c r="W231" s="16">
        <f ca="1">_xll.DBRW($D$4,$E$7,$E$8,$E$9,$E$10,$E$12,$D231,$E$6,W$18,W$17)</f>
        <v>8.3743684690434944E-2</v>
      </c>
      <c r="X231" s="16"/>
      <c r="Y231" s="16"/>
      <c r="Z231" s="16"/>
      <c r="AA231" s="16"/>
      <c r="AB231" s="16">
        <f ca="1">_xll.DBRW($D$4,$E$7,$E$8,$E$9,$E$10,$E$12,$D231,$E$6,AB$18,AB$17)</f>
        <v>-2.8465239600000003</v>
      </c>
      <c r="AC231" s="16">
        <f ca="1">_xll.DBRW($D$4,$E$7,$E$8,$E$9,$E$10,$E$12,$D231,$E$6,AC$18,AC$17)</f>
        <v>0.23453224962994193</v>
      </c>
      <c r="AD231" s="16"/>
      <c r="AE231" s="16"/>
      <c r="AF231" s="16"/>
      <c r="AG231" s="16"/>
      <c r="AH231" s="16">
        <f ca="1">_xll.DBRW($D$4,$E$7,$E$8,$E$9,$E$10,$E$12,$D231,$E$6,AH$18,AH$17)</f>
        <v>-0.98567269999999985</v>
      </c>
      <c r="AI231" s="16">
        <f ca="1">_xll.DBRW($D$4,$E$7,$E$8,$E$9,$E$10,$E$12,$D231,$E$6,AI$18,AI$17)</f>
        <v>8.1212046333809462E-2</v>
      </c>
      <c r="AJ231" s="16"/>
      <c r="AK231" s="16"/>
      <c r="AL231" s="16"/>
      <c r="AM231" s="16"/>
      <c r="AN231" s="16">
        <f ca="1">_xll.DBRW($D$4,$E$7,$E$8,$E$9,$E$10,$E$12,$D231,$E$6,AN$18,AN$17)</f>
        <v>-1.3185567899999997</v>
      </c>
      <c r="AO231" s="16">
        <f ca="1">_xll.DBRW($D$4,$E$7,$E$8,$E$9,$E$10,$E$12,$D231,$E$6,AO$18,AO$17)</f>
        <v>0.10863920155568788</v>
      </c>
      <c r="AP231" s="16"/>
      <c r="AQ231" s="16"/>
      <c r="AR231" s="16"/>
      <c r="AS231" s="16"/>
      <c r="AT231" s="16">
        <f ca="1">_xll.DBRW($D$4,$E$7,$E$8,$E$9,$E$10,$E$12,$D231,$E$6,AT$18,AT$17)</f>
        <v>0.28584478999999996</v>
      </c>
      <c r="AU231" s="16">
        <f ca="1">_xll.DBRW($D$4,$E$7,$E$8,$E$9,$E$10,$E$12,$D231,$E$6,AU$18,AU$17)</f>
        <v>8.0664348700000001</v>
      </c>
      <c r="AV231" s="16">
        <f ca="1">_xll.DBRW($D$4,$E$7,$E$8,$E$9,$E$10,$E$12,$D231,$E$6,AV$18,AV$17)</f>
        <v>8.3131749999999993</v>
      </c>
      <c r="AW231" s="16">
        <f ca="1">_xll.DBRW($D$4,$E$7,$E$8,$E$9,$E$10,$E$12,$D231,$E$6,AW$18,AW$17)</f>
        <v>8.0664348700000001</v>
      </c>
      <c r="AX231" s="16">
        <f ca="1">_xll.DBRW($D$4,$E$7,$E$8,$E$9,$E$10,$E$12,$D231,$E$6,AX$18,AX$17)</f>
        <v>2.7519112099999998</v>
      </c>
      <c r="AY231" s="16">
        <f ca="1">_xll.DBRW($D$4,$E$7,$E$8,$E$9,$E$10,$E$12,$D231,$E$6,AY$18,AY$17)</f>
        <v>8.0664348700000001</v>
      </c>
      <c r="AZ231" s="16">
        <f ca="1">_xll.DBRW($D$4,$E$7,$E$8,$E$9,$E$10,$E$12,$D231,$E$6,AZ$18,AZ$17)</f>
        <v>2.5944444444444447E-4</v>
      </c>
      <c r="BA231" s="16">
        <f ca="1">_xll.DBRW($D$4,$E$7,$E$8,$E$9,$E$10,$E$12,$D231,$E$6,BA$18,BA$17)</f>
        <v>8.0664348700000001</v>
      </c>
      <c r="BB231" s="16">
        <f ca="1">_xll.DBRW($D$4,$E$7,$E$8,$E$9,$E$10,$E$12,$D231,$E$6,BB$18,BB$17)</f>
        <v>8.0664348700000001</v>
      </c>
      <c r="BC231" s="16">
        <f ca="1">_xll.DBRW($D$4,$E$7,$E$8,$E$9,$E$10,$E$12,$D231,$E$6,BC$18,BC$17)</f>
        <v>8.0664348700000001</v>
      </c>
      <c r="BD231" s="16">
        <f ca="1">_xll.DBRW($D$4,$E$7,$E$8,$E$9,$E$10,$E$12,$D231,$E$6,BD$18,BD$17)</f>
        <v>2.1618484999999987</v>
      </c>
      <c r="BE231" s="16">
        <f ca="1">_xll.DBRW($D$4,$E$7,$E$8,$E$9,$E$10,$E$12,$D231,$E$6,BE$18,BE$17)</f>
        <v>-1.3911418100000001</v>
      </c>
      <c r="BF231" s="16">
        <f ca="1">_xll.DBRW($D$4,$E$7,$E$8,$E$9,$E$10,$E$12,$D231,$E$6,BF$18,BF$17)</f>
        <v>0</v>
      </c>
      <c r="BG231" s="26">
        <f ca="1">_xll.DBRW($D$4,$E$7,$E$8,$E$9,$E$10,$E$12,$D231,$E$6,BG$18,BG$17)</f>
        <v>0</v>
      </c>
      <c r="BH231" s="26">
        <f ca="1">_xll.DBRW($D$4,$E$7,$E$8,$E$9,$E$10,$E$12,$D231,$E$6,BH$18,BH$17)</f>
        <v>0</v>
      </c>
      <c r="BI231" s="26">
        <f ca="1">_xll.DBRW($D$4,$E$7,$E$8,$E$9,$E$10,$E$12,$D231,$E$6,BI$18,BI$17)</f>
        <v>0</v>
      </c>
      <c r="BJ231" s="26">
        <f ca="1">_xll.DBRW($D$4,$E$7,$E$8,$E$9,$E$10,$E$12,$D231,$E$6,BJ$18,BJ$17)</f>
        <v>0</v>
      </c>
      <c r="BK231" s="16">
        <f ca="1">_xll.DBRW($D$4,$E$7,$E$8,$E$9,$E$10,$E$12,$D231,$E$6,BK$18,BK$17)</f>
        <v>3.5529903099999989</v>
      </c>
      <c r="BL231" s="16">
        <f ca="1">_xll.DBRW($D$4,$E$7,$E$8,$E$9,$E$10,$E$12,$D231,$E$6,BL$18,BL$17)</f>
        <v>15.004336929999997</v>
      </c>
      <c r="BM231" s="16">
        <f ca="1">_xll.DBRW($D$4,$E$7,$E$8,$E$9,$E$10,$E$12,$D231,$E$6,BM$18,BM$17)</f>
        <v>-3.94547136</v>
      </c>
      <c r="BN231" s="16">
        <f ca="1">_xll.DBRW($D$4,$E$7,$E$8,$E$9,$E$10,$E$12,$D231,$E$6,BN$18,BN$17)</f>
        <v>0.26295539605694529</v>
      </c>
      <c r="BO231" s="16"/>
      <c r="BP231" s="16"/>
      <c r="BQ231" s="16"/>
      <c r="BR231" s="16"/>
      <c r="BS231" s="16">
        <f ca="1">_xll.DBRW($D$4,$E$7,$E$8,$E$9,$E$10,$E$12,$D231,$E$6,BS$18,BS$17)</f>
        <v>-1.2432252099999999</v>
      </c>
      <c r="BT231" s="16">
        <f ca="1">_xll.DBRW($D$4,$E$7,$E$8,$E$9,$E$10,$E$12,$D231,$E$6,BT$18,BT$17)</f>
        <v>8.2857724123367851E-2</v>
      </c>
      <c r="BU231" s="16"/>
      <c r="BV231" s="16"/>
      <c r="BW231" s="16"/>
      <c r="BX231" s="16"/>
      <c r="BY231" s="16">
        <f ca="1">_xll.DBRW($D$4,$E$7,$E$8,$E$9,$E$10,$E$12,$D231,$E$6,BY$18,BY$17)</f>
        <v>-3.3812614700000005</v>
      </c>
      <c r="BZ231" s="16">
        <f ca="1">_xll.DBRW($D$4,$E$7,$E$8,$E$9,$E$10,$E$12,$D231,$E$6,BZ$18,BZ$17)</f>
        <v>0.22535227553037901</v>
      </c>
      <c r="CA231" s="16"/>
      <c r="CB231" s="16"/>
      <c r="CC231" s="16"/>
      <c r="CD231" s="16"/>
      <c r="CE231" s="16">
        <f ca="1">_xll.DBRW($D$4,$E$7,$E$8,$E$9,$E$10,$E$12,$D231,$E$6,CE$18,CE$17)</f>
        <v>-1.1951025699999998</v>
      </c>
      <c r="CF231" s="16">
        <f ca="1">_xll.DBRW($D$4,$E$7,$E$8,$E$9,$E$10,$E$12,$D231,$E$6,CF$18,CF$17)</f>
        <v>7.9650475430905962E-2</v>
      </c>
      <c r="CG231" s="16"/>
      <c r="CH231" s="16"/>
      <c r="CI231" s="16"/>
      <c r="CJ231" s="16"/>
      <c r="CK231" s="16">
        <f ca="1">_xll.DBRW($D$4,$E$7,$E$8,$E$9,$E$10,$E$12,$D231,$E$6,CK$18,CK$17)</f>
        <v>-1.6862860099999994</v>
      </c>
      <c r="CL231" s="16">
        <f ca="1">_xll.DBRW($D$4,$E$7,$E$8,$E$9,$E$10,$E$12,$D231,$E$6,CL$18,CL$17)</f>
        <v>0.11238657315328628</v>
      </c>
      <c r="CM231" s="16"/>
      <c r="CN231" s="16"/>
      <c r="CO231" s="16"/>
      <c r="CP231" s="16"/>
      <c r="CQ231" s="16">
        <f ca="1">_xll.DBRW($D$4,$E$7,$E$8,$E$9,$E$10,$E$12,$D231,$E$6,CQ$18,CQ$17)</f>
        <v>0.38106934999999997</v>
      </c>
      <c r="CR231" s="16">
        <f ca="1">_xll.DBRW($D$4,$E$7,$E$8,$E$9,$E$10,$E$12,$D231,$E$6,CR$18,CR$17)</f>
        <v>10.341840390000002</v>
      </c>
      <c r="CS231" s="16">
        <f ca="1">_xll.DBRW($D$4,$E$7,$E$8,$E$9,$E$10,$E$12,$D231,$E$6,CS$18,CS$17)</f>
        <v>10.652095599999997</v>
      </c>
      <c r="CT231" s="16">
        <f ca="1">_xll.DBRW($D$4,$E$7,$E$8,$E$9,$E$10,$E$12,$D231,$E$6,CT$18,CT$17)</f>
        <v>10.341840390000002</v>
      </c>
      <c r="CU231" s="16">
        <f ca="1">_xll.DBRW($D$4,$E$7,$E$8,$E$9,$E$10,$E$12,$D231,$E$6,CU$18,CU$17)</f>
        <v>3.5163925899999993</v>
      </c>
      <c r="CV231" s="16">
        <f ca="1">_xll.DBRW($D$4,$E$7,$E$8,$E$9,$E$10,$E$12,$D231,$E$6,CV$18,CV$17)</f>
        <v>10.341840390000002</v>
      </c>
      <c r="CW231" s="16">
        <f ca="1">_xll.DBRW($D$4,$E$7,$E$8,$E$9,$E$10,$E$12,$D231,$E$6,CW$18,CW$17)</f>
        <v>2.5536363636363642E-4</v>
      </c>
      <c r="CX231" s="16">
        <f ca="1">_xll.DBRW($D$4,$E$7,$E$8,$E$9,$E$10,$E$12,$D231,$E$6,CX$18,CX$17)</f>
        <v>10.341840390000002</v>
      </c>
      <c r="CY231" s="16">
        <f ca="1">_xll.DBRW($D$4,$E$7,$E$8,$E$9,$E$10,$E$12,$D231,$E$6,CY$18,CY$17)</f>
        <v>10.341840390000002</v>
      </c>
      <c r="CZ231" s="16">
        <f ca="1">_xll.DBRW($D$4,$E$7,$E$8,$E$9,$E$10,$E$12,$D231,$E$6,CZ$18,CZ$17)</f>
        <v>10.341840390000002</v>
      </c>
      <c r="DA231" s="26">
        <f t="shared" ca="1" si="146"/>
        <v>-0.43725322000000078</v>
      </c>
      <c r="DB231" s="26">
        <f t="shared" ca="1" si="147"/>
        <v>0.30556294000000017</v>
      </c>
      <c r="DC231" s="26">
        <f t="shared" ca="1" si="148"/>
        <v>0</v>
      </c>
      <c r="DD231" s="26">
        <f t="shared" ca="1" si="149"/>
        <v>0</v>
      </c>
      <c r="DE231" s="26">
        <f t="shared" ca="1" si="150"/>
        <v>0</v>
      </c>
      <c r="DF231" s="26">
        <f t="shared" ca="1" si="151"/>
        <v>0</v>
      </c>
      <c r="DG231" s="26">
        <f t="shared" ca="1" si="152"/>
        <v>0</v>
      </c>
      <c r="DH231" s="26">
        <f t="shared" ca="1" si="153"/>
        <v>-0.74281616000000117</v>
      </c>
      <c r="DI231" s="26">
        <f t="shared" ca="1" si="154"/>
        <v>-2.867311149999999</v>
      </c>
      <c r="DJ231" s="26">
        <f t="shared" ca="1" si="155"/>
        <v>0.78411363999999928</v>
      </c>
      <c r="DK231" s="26">
        <f t="shared" ca="1" si="156"/>
        <v>-2.4832031734593474E-3</v>
      </c>
      <c r="DL231" s="26"/>
      <c r="DM231" s="26"/>
      <c r="DN231" s="26"/>
      <c r="DO231" s="26"/>
      <c r="DP231" s="26">
        <f t="shared" ca="1" si="157"/>
        <v>0.22682594999999983</v>
      </c>
      <c r="DQ231" s="26">
        <f t="shared" ca="1" si="158"/>
        <v>8.8596056706709281E-4</v>
      </c>
      <c r="DR231" s="26"/>
      <c r="DS231" s="26"/>
      <c r="DT231" s="26"/>
      <c r="DU231" s="26"/>
      <c r="DV231" s="26">
        <f t="shared" ca="1" si="159"/>
        <v>0.53473751000000025</v>
      </c>
      <c r="DW231" s="26">
        <f t="shared" ca="1" si="160"/>
        <v>9.1799740995629209E-3</v>
      </c>
      <c r="DX231" s="26"/>
      <c r="DY231" s="26"/>
      <c r="DZ231" s="26"/>
      <c r="EA231" s="26"/>
      <c r="EB231" s="26">
        <f t="shared" ca="1" si="161"/>
        <v>0.20942986999999991</v>
      </c>
      <c r="EC231" s="26">
        <f t="shared" ca="1" si="162"/>
        <v>1.5615709029035002E-3</v>
      </c>
      <c r="ED231" s="26"/>
      <c r="EE231" s="26"/>
      <c r="EF231" s="26"/>
      <c r="EG231" s="26"/>
      <c r="EH231" s="26">
        <f t="shared" ca="1" si="163"/>
        <v>0.36772921999999975</v>
      </c>
      <c r="EI231" s="29">
        <f t="shared" ca="1" si="164"/>
        <v>-3.7473715975984007E-3</v>
      </c>
      <c r="EJ231" s="29"/>
      <c r="EK231" s="29"/>
      <c r="EL231" s="29"/>
      <c r="EM231" s="29"/>
      <c r="EN231" s="93"/>
      <c r="EO231" s="29"/>
      <c r="EP231" s="29"/>
      <c r="EQ231" s="29"/>
      <c r="ER231" s="29"/>
      <c r="ES231" s="29"/>
      <c r="ET231" s="29"/>
      <c r="EU231" s="93"/>
      <c r="EV231" s="29"/>
      <c r="EW231" s="29"/>
      <c r="EX231" s="29"/>
      <c r="EY231" s="29"/>
      <c r="EZ231" s="29"/>
      <c r="FA231" s="29"/>
      <c r="FB231" s="93"/>
      <c r="FC231" s="29"/>
      <c r="FD231" s="29"/>
      <c r="FE231" s="29"/>
      <c r="FF231" s="29"/>
      <c r="FG231" s="29"/>
      <c r="FH231" s="29"/>
      <c r="FI231" s="93"/>
      <c r="FJ231" s="29"/>
      <c r="FK231" s="29"/>
      <c r="FL231" s="29"/>
      <c r="FM231" s="29"/>
      <c r="FN231" s="29"/>
      <c r="FO231" s="29"/>
      <c r="FP231" s="93"/>
      <c r="FQ231" s="29"/>
      <c r="FR231" s="29"/>
      <c r="FS231" s="29"/>
      <c r="FT231" s="29"/>
      <c r="FU231" s="29"/>
      <c r="FV231" s="29"/>
    </row>
    <row r="232" spans="1:178" x14ac:dyDescent="0.25">
      <c r="A232" t="str">
        <f ca="1">IF(_xll.TM1RPTELISCONSOLIDATED($D$28,$D232),IF(_xll.TM1RPTELLEV($D$28,$D232)&lt;=3,_xll.TM1RPTELLEV($D$28,$D232),"D"),"N")</f>
        <v>N</v>
      </c>
      <c r="B232" t="str">
        <f ca="1">_xll.DBRA(Server&amp;"Management_organization",$D232,$B$27)</f>
        <v>L</v>
      </c>
      <c r="C232">
        <v>1</v>
      </c>
      <c r="D232" s="2" t="s">
        <v>282</v>
      </c>
      <c r="E232" s="26"/>
      <c r="F232" s="26"/>
      <c r="G232" s="16">
        <f ca="1">_xll.DBRW($D$4,$E$7,$E$8,$E$9,$E$10,$E$12,$D232,$E$6,G$18,G$17)</f>
        <v>-0.95444504999999558</v>
      </c>
      <c r="H232" s="16">
        <f ca="1">_xll.DBRW($D$4,$E$7,$E$8,$E$9,$E$10,$E$12,$D232,$E$6,H$18,H$17)</f>
        <v>-7.9005386799999977</v>
      </c>
      <c r="I232" s="16">
        <f ca="1">_xll.DBRW($D$4,$E$7,$E$8,$E$9,$E$10,$E$12,$D232,$E$6,I$18,I$17)</f>
        <v>0</v>
      </c>
      <c r="J232" s="26">
        <f ca="1">_xll.DBRW($D$4,$E$7,$E$8,$E$9,$E$10,$E$12,$D232,$E$6,J$18,J$17)</f>
        <v>0</v>
      </c>
      <c r="K232" s="26">
        <f ca="1">_xll.DBRW($D$4,$E$7,$E$8,$E$9,$E$10,$E$12,$D232,$E$6,K$18,K$17)</f>
        <v>0</v>
      </c>
      <c r="L232" s="26">
        <f ca="1">_xll.DBRW($D$4,$E$7,$E$8,$E$9,$E$10,$E$12,$D232,$E$6,L$18,L$17)</f>
        <v>0</v>
      </c>
      <c r="M232" s="26">
        <f ca="1">_xll.DBRW($D$4,$E$7,$E$8,$E$9,$E$10,$E$12,$D232,$E$6,M$18,M$17)</f>
        <v>0</v>
      </c>
      <c r="N232" s="16">
        <f ca="1">_xll.DBRW($D$4,$E$7,$E$8,$E$9,$E$10,$E$12,$D232,$E$6,N$18,N$17)</f>
        <v>6.9460936300000027</v>
      </c>
      <c r="O232" s="16">
        <f ca="1">_xll.DBRW($D$4,$E$7,$E$8,$E$9,$E$10,$E$12,$D232,$E$6,O$18,O$17)</f>
        <v>75.921125039999993</v>
      </c>
      <c r="P232" s="74">
        <f ca="1">_xll.DBRW($D$4,$E$7,$E$8,$E$9,$E$10,$E$12,$D232,$E$6,P$18,P$17)</f>
        <v>-40.611723949999991</v>
      </c>
      <c r="Q232" s="16">
        <f ca="1">_xll.DBRW($D$4,$E$7,$E$8,$E$9,$E$10,$E$12,$D232,$E$6,Q$18,Q$17)</f>
        <v>0.5349199439365947</v>
      </c>
      <c r="R232" s="16"/>
      <c r="S232" s="16"/>
      <c r="T232" s="16"/>
      <c r="U232" s="16"/>
      <c r="V232" s="16">
        <f ca="1">_xll.DBRW($D$4,$E$7,$E$8,$E$9,$E$10,$E$12,$D232,$E$6,V$18,V$17)</f>
        <v>-11.367118300000001</v>
      </c>
      <c r="W232" s="16">
        <f ca="1">_xll.DBRW($D$4,$E$7,$E$8,$E$9,$E$10,$E$12,$D232,$E$6,W$18,W$17)</f>
        <v>0.14972273255975979</v>
      </c>
      <c r="X232" s="16"/>
      <c r="Y232" s="16"/>
      <c r="Z232" s="16"/>
      <c r="AA232" s="16"/>
      <c r="AB232" s="16">
        <f ca="1">_xll.DBRW($D$4,$E$7,$E$8,$E$9,$E$10,$E$12,$D232,$E$6,AB$18,AB$17)</f>
        <v>-7.4391159999999985</v>
      </c>
      <c r="AC232" s="16">
        <f ca="1">_xll.DBRW($D$4,$E$7,$E$8,$E$9,$E$10,$E$12,$D232,$E$6,AC$18,AC$17)</f>
        <v>9.7984796669973048E-2</v>
      </c>
      <c r="AD232" s="16"/>
      <c r="AE232" s="16"/>
      <c r="AF232" s="16"/>
      <c r="AG232" s="16"/>
      <c r="AH232" s="16">
        <f ca="1">_xll.DBRW($D$4,$E$7,$E$8,$E$9,$E$10,$E$12,$D232,$E$6,AH$18,AH$17)</f>
        <v>0.39451725000000026</v>
      </c>
      <c r="AI232" s="16">
        <f ca="1">_xll.DBRW($D$4,$E$7,$E$8,$E$9,$E$10,$E$12,$D232,$E$6,AI$18,AI$17)</f>
        <v>-5.1964094287610188E-3</v>
      </c>
      <c r="AJ232" s="16"/>
      <c r="AK232" s="16"/>
      <c r="AL232" s="16"/>
      <c r="AM232" s="16"/>
      <c r="AN232" s="16">
        <f ca="1">_xll.DBRW($D$4,$E$7,$E$8,$E$9,$E$10,$E$12,$D232,$E$6,AN$18,AN$17)</f>
        <v>-9.9515904099999979</v>
      </c>
      <c r="AO232" s="16">
        <f ca="1">_xll.DBRW($D$4,$E$7,$E$8,$E$9,$E$10,$E$12,$D232,$E$6,AO$18,AO$17)</f>
        <v>0.13107801556887991</v>
      </c>
      <c r="AP232" s="16"/>
      <c r="AQ232" s="16"/>
      <c r="AR232" s="16"/>
      <c r="AS232" s="16"/>
      <c r="AT232" s="16">
        <f ca="1">_xll.DBRW($D$4,$E$7,$E$8,$E$9,$E$10,$E$12,$D232,$E$6,AT$18,AT$17)</f>
        <v>0.89220899999999992</v>
      </c>
      <c r="AU232" s="16">
        <f ca="1">_xll.DBRW($D$4,$E$7,$E$8,$E$9,$E$10,$E$12,$D232,$E$6,AU$18,AU$17)</f>
        <v>0.78388900000000006</v>
      </c>
      <c r="AV232" s="16">
        <f ca="1">_xll.DBRW($D$4,$E$7,$E$8,$E$9,$E$10,$E$12,$D232,$E$6,AV$18,AV$17)</f>
        <v>14.816362999999999</v>
      </c>
      <c r="AW232" s="16">
        <f ca="1">_xll.DBRW($D$4,$E$7,$E$8,$E$9,$E$10,$E$12,$D232,$E$6,AW$18,AW$17)</f>
        <v>0.78388900000000006</v>
      </c>
      <c r="AX232" s="16">
        <f ca="1">_xll.DBRW($D$4,$E$7,$E$8,$E$9,$E$10,$E$12,$D232,$E$6,AX$18,AX$17)</f>
        <v>6.9090020000000001</v>
      </c>
      <c r="AY232" s="16">
        <f ca="1">_xll.DBRW($D$4,$E$7,$E$8,$E$9,$E$10,$E$12,$D232,$E$6,AY$18,AY$17)</f>
        <v>0.78388900000000006</v>
      </c>
      <c r="AZ232" s="16">
        <f ca="1">_xll.DBRW($D$4,$E$7,$E$8,$E$9,$E$10,$E$12,$D232,$E$6,AZ$18,AZ$17)</f>
        <v>3.7130000000000003E-4</v>
      </c>
      <c r="BA232" s="16">
        <f ca="1">_xll.DBRW($D$4,$E$7,$E$8,$E$9,$E$10,$E$12,$D232,$E$6,BA$18,BA$17)</f>
        <v>0.78388900000000006</v>
      </c>
      <c r="BB232" s="16">
        <f ca="1">_xll.DBRW($D$4,$E$7,$E$8,$E$9,$E$10,$E$12,$D232,$E$6,BB$18,BB$17)</f>
        <v>0.78388900000000006</v>
      </c>
      <c r="BC232" s="16">
        <f ca="1">_xll.DBRW($D$4,$E$7,$E$8,$E$9,$E$10,$E$12,$D232,$E$6,BC$18,BC$17)</f>
        <v>0.78388900000000006</v>
      </c>
      <c r="BD232" s="16">
        <f ca="1">_xll.DBRW($D$4,$E$7,$E$8,$E$9,$E$10,$E$12,$D232,$E$6,BD$18,BD$17)</f>
        <v>3.4709454699999984</v>
      </c>
      <c r="BE232" s="16">
        <f ca="1">_xll.DBRW($D$4,$E$7,$E$8,$E$9,$E$10,$E$12,$D232,$E$6,BE$18,BE$17)</f>
        <v>-8.7038151699999986</v>
      </c>
      <c r="BF232" s="16">
        <f ca="1">_xll.DBRW($D$4,$E$7,$E$8,$E$9,$E$10,$E$12,$D232,$E$6,BF$18,BF$17)</f>
        <v>0</v>
      </c>
      <c r="BG232" s="26">
        <f ca="1">_xll.DBRW($D$4,$E$7,$E$8,$E$9,$E$10,$E$12,$D232,$E$6,BG$18,BG$17)</f>
        <v>0</v>
      </c>
      <c r="BH232" s="26">
        <f ca="1">_xll.DBRW($D$4,$E$7,$E$8,$E$9,$E$10,$E$12,$D232,$E$6,BH$18,BH$17)</f>
        <v>0</v>
      </c>
      <c r="BI232" s="26">
        <f ca="1">_xll.DBRW($D$4,$E$7,$E$8,$E$9,$E$10,$E$12,$D232,$E$6,BI$18,BI$17)</f>
        <v>0</v>
      </c>
      <c r="BJ232" s="26">
        <f ca="1">_xll.DBRW($D$4,$E$7,$E$8,$E$9,$E$10,$E$12,$D232,$E$6,BJ$18,BJ$17)</f>
        <v>0</v>
      </c>
      <c r="BK232" s="16">
        <f ca="1">_xll.DBRW($D$4,$E$7,$E$8,$E$9,$E$10,$E$12,$D232,$E$6,BK$18,BK$17)</f>
        <v>12.174760639999997</v>
      </c>
      <c r="BL232" s="16">
        <f ca="1">_xll.DBRW($D$4,$E$7,$E$8,$E$9,$E$10,$E$12,$D232,$E$6,BL$18,BL$17)</f>
        <v>82.730190090000008</v>
      </c>
      <c r="BM232" s="16">
        <f ca="1">_xll.DBRW($D$4,$E$7,$E$8,$E$9,$E$10,$E$12,$D232,$E$6,BM$18,BM$17)</f>
        <v>-41.486133799999998</v>
      </c>
      <c r="BN232" s="16">
        <f ca="1">_xll.DBRW($D$4,$E$7,$E$8,$E$9,$E$10,$E$12,$D232,$E$6,BN$18,BN$17)</f>
        <v>0.50146305423531989</v>
      </c>
      <c r="BO232" s="16"/>
      <c r="BP232" s="16"/>
      <c r="BQ232" s="16"/>
      <c r="BR232" s="16"/>
      <c r="BS232" s="16">
        <f ca="1">_xll.DBRW($D$4,$E$7,$E$8,$E$9,$E$10,$E$12,$D232,$E$6,BS$18,BS$17)</f>
        <v>-8.7341476900000004</v>
      </c>
      <c r="BT232" s="16">
        <f ca="1">_xll.DBRW($D$4,$E$7,$E$8,$E$9,$E$10,$E$12,$D232,$E$6,BT$18,BT$17)</f>
        <v>0.10557388639501916</v>
      </c>
      <c r="BU232" s="16"/>
      <c r="BV232" s="16"/>
      <c r="BW232" s="16"/>
      <c r="BX232" s="16"/>
      <c r="BY232" s="16">
        <f ca="1">_xll.DBRW($D$4,$E$7,$E$8,$E$9,$E$10,$E$12,$D232,$E$6,BY$18,BY$17)</f>
        <v>-6.3422175700000007</v>
      </c>
      <c r="BZ232" s="16">
        <f ca="1">_xll.DBRW($D$4,$E$7,$E$8,$E$9,$E$10,$E$12,$D232,$E$6,BZ$18,BZ$17)</f>
        <v>7.6661464975488008E-2</v>
      </c>
      <c r="CA232" s="16"/>
      <c r="CB232" s="16"/>
      <c r="CC232" s="16"/>
      <c r="CD232" s="16"/>
      <c r="CE232" s="16">
        <f ca="1">_xll.DBRW($D$4,$E$7,$E$8,$E$9,$E$10,$E$12,$D232,$E$6,CE$18,CE$17)</f>
        <v>-2.54861396</v>
      </c>
      <c r="CF232" s="16">
        <f ca="1">_xll.DBRW($D$4,$E$7,$E$8,$E$9,$E$10,$E$12,$D232,$E$6,CF$18,CF$17)</f>
        <v>3.0806335114514177E-2</v>
      </c>
      <c r="CG232" s="16"/>
      <c r="CH232" s="16"/>
      <c r="CI232" s="16"/>
      <c r="CJ232" s="16"/>
      <c r="CK232" s="16">
        <f ca="1">_xll.DBRW($D$4,$E$7,$E$8,$E$9,$E$10,$E$12,$D232,$E$6,CK$18,CK$17)</f>
        <v>-11.444316430000001</v>
      </c>
      <c r="CL232" s="16">
        <f ca="1">_xll.DBRW($D$4,$E$7,$E$8,$E$9,$E$10,$E$12,$D232,$E$6,CL$18,CL$17)</f>
        <v>0.13833301262272005</v>
      </c>
      <c r="CM232" s="16"/>
      <c r="CN232" s="16"/>
      <c r="CO232" s="16"/>
      <c r="CP232" s="16"/>
      <c r="CQ232" s="16">
        <f ca="1">_xll.DBRW($D$4,$E$7,$E$8,$E$9,$E$10,$E$12,$D232,$E$6,CQ$18,CQ$17)</f>
        <v>1.039525</v>
      </c>
      <c r="CR232" s="16">
        <f ca="1">_xll.DBRW($D$4,$E$7,$E$8,$E$9,$E$10,$E$12,$D232,$E$6,CR$18,CR$17)</f>
        <v>0.91136300000000003</v>
      </c>
      <c r="CS232" s="16">
        <f ca="1">_xll.DBRW($D$4,$E$7,$E$8,$E$9,$E$10,$E$12,$D232,$E$6,CS$18,CS$17)</f>
        <v>16.785201999999998</v>
      </c>
      <c r="CT232" s="16">
        <f ca="1">_xll.DBRW($D$4,$E$7,$E$8,$E$9,$E$10,$E$12,$D232,$E$6,CT$18,CT$17)</f>
        <v>0.91136300000000003</v>
      </c>
      <c r="CU232" s="16">
        <f ca="1">_xll.DBRW($D$4,$E$7,$E$8,$E$9,$E$10,$E$12,$D232,$E$6,CU$18,CU$17)</f>
        <v>7.7883329999999997</v>
      </c>
      <c r="CV232" s="16">
        <f ca="1">_xll.DBRW($D$4,$E$7,$E$8,$E$9,$E$10,$E$12,$D232,$E$6,CV$18,CV$17)</f>
        <v>0.91136300000000003</v>
      </c>
      <c r="CW232" s="16">
        <f ca="1">_xll.DBRW($D$4,$E$7,$E$8,$E$9,$E$10,$E$12,$D232,$E$6,CW$18,CW$17)</f>
        <v>3.6345454545454544E-4</v>
      </c>
      <c r="CX232" s="16">
        <f ca="1">_xll.DBRW($D$4,$E$7,$E$8,$E$9,$E$10,$E$12,$D232,$E$6,CX$18,CX$17)</f>
        <v>0.91136300000000003</v>
      </c>
      <c r="CY232" s="16">
        <f ca="1">_xll.DBRW($D$4,$E$7,$E$8,$E$9,$E$10,$E$12,$D232,$E$6,CY$18,CY$17)</f>
        <v>0.91136300000000003</v>
      </c>
      <c r="CZ232" s="16">
        <f ca="1">_xll.DBRW($D$4,$E$7,$E$8,$E$9,$E$10,$E$12,$D232,$E$6,CZ$18,CZ$17)</f>
        <v>0.91136300000000003</v>
      </c>
      <c r="DA232" s="26">
        <f t="shared" ca="1" si="146"/>
        <v>-4.4253905199999943</v>
      </c>
      <c r="DB232" s="26">
        <f t="shared" ca="1" si="147"/>
        <v>0.8032764900000009</v>
      </c>
      <c r="DC232" s="26">
        <f t="shared" ca="1" si="148"/>
        <v>0</v>
      </c>
      <c r="DD232" s="26">
        <f t="shared" ca="1" si="149"/>
        <v>0</v>
      </c>
      <c r="DE232" s="26">
        <f t="shared" ca="1" si="150"/>
        <v>0</v>
      </c>
      <c r="DF232" s="26">
        <f t="shared" ca="1" si="151"/>
        <v>0</v>
      </c>
      <c r="DG232" s="26">
        <f t="shared" ca="1" si="152"/>
        <v>0</v>
      </c>
      <c r="DH232" s="26">
        <f t="shared" ca="1" si="153"/>
        <v>-5.2286670099999943</v>
      </c>
      <c r="DI232" s="26">
        <f t="shared" ca="1" si="154"/>
        <v>-6.8090650500000152</v>
      </c>
      <c r="DJ232" s="26">
        <f t="shared" ca="1" si="155"/>
        <v>0.87440985000000637</v>
      </c>
      <c r="DK232" s="26">
        <f t="shared" ca="1" si="156"/>
        <v>3.3456889701274806E-2</v>
      </c>
      <c r="DL232" s="26"/>
      <c r="DM232" s="26"/>
      <c r="DN232" s="26"/>
      <c r="DO232" s="26"/>
      <c r="DP232" s="26">
        <f t="shared" ca="1" si="157"/>
        <v>-2.632970610000001</v>
      </c>
      <c r="DQ232" s="26">
        <f t="shared" ca="1" si="158"/>
        <v>4.4148846164740629E-2</v>
      </c>
      <c r="DR232" s="26"/>
      <c r="DS232" s="26"/>
      <c r="DT232" s="26"/>
      <c r="DU232" s="26"/>
      <c r="DV232" s="26">
        <f t="shared" ca="1" si="159"/>
        <v>-1.0968984299999978</v>
      </c>
      <c r="DW232" s="26">
        <f t="shared" ca="1" si="160"/>
        <v>2.132333169448504E-2</v>
      </c>
      <c r="DX232" s="26"/>
      <c r="DY232" s="26"/>
      <c r="DZ232" s="26"/>
      <c r="EA232" s="26"/>
      <c r="EB232" s="26">
        <f t="shared" ca="1" si="161"/>
        <v>2.9431312100000002</v>
      </c>
      <c r="EC232" s="26">
        <f t="shared" ca="1" si="162"/>
        <v>-3.6002744543275192E-2</v>
      </c>
      <c r="ED232" s="26"/>
      <c r="EE232" s="26"/>
      <c r="EF232" s="26"/>
      <c r="EG232" s="26"/>
      <c r="EH232" s="26">
        <f t="shared" ca="1" si="163"/>
        <v>1.4927260200000028</v>
      </c>
      <c r="EI232" s="29">
        <f t="shared" ca="1" si="164"/>
        <v>-7.2549970538401398E-3</v>
      </c>
      <c r="EJ232" s="29"/>
      <c r="EK232" s="29"/>
      <c r="EL232" s="29"/>
      <c r="EM232" s="29"/>
      <c r="EN232" s="93"/>
      <c r="EO232" s="29"/>
      <c r="EP232" s="29"/>
      <c r="EQ232" s="29"/>
      <c r="ER232" s="29"/>
      <c r="ES232" s="29"/>
      <c r="ET232" s="29"/>
      <c r="EU232" s="93"/>
      <c r="EV232" s="29"/>
      <c r="EW232" s="29"/>
      <c r="EX232" s="29"/>
      <c r="EY232" s="29"/>
      <c r="EZ232" s="29"/>
      <c r="FA232" s="29"/>
      <c r="FB232" s="93"/>
      <c r="FC232" s="29"/>
      <c r="FD232" s="29"/>
      <c r="FE232" s="29"/>
      <c r="FF232" s="29"/>
      <c r="FG232" s="29"/>
      <c r="FH232" s="29"/>
      <c r="FI232" s="93"/>
      <c r="FJ232" s="29"/>
      <c r="FK232" s="29"/>
      <c r="FL232" s="29"/>
      <c r="FM232" s="29"/>
      <c r="FN232" s="29"/>
      <c r="FO232" s="29"/>
      <c r="FP232" s="93"/>
      <c r="FQ232" s="29"/>
      <c r="FR232" s="29"/>
      <c r="FS232" s="29"/>
      <c r="FT232" s="29"/>
      <c r="FU232" s="29"/>
      <c r="FV232" s="29"/>
    </row>
    <row r="233" spans="1:178" x14ac:dyDescent="0.25">
      <c r="A233" t="str">
        <f ca="1">IF(_xll.TM1RPTELISCONSOLIDATED($D$28,$D233),IF(_xll.TM1RPTELLEV($D$28,$D233)&lt;=3,_xll.TM1RPTELLEV($D$28,$D233),"D"),"N")</f>
        <v>N</v>
      </c>
      <c r="B233" t="str">
        <f ca="1">_xll.DBRA(Server&amp;"Management_organization",$D233,$B$27)</f>
        <v>L</v>
      </c>
      <c r="C233">
        <v>1</v>
      </c>
      <c r="D233" s="2" t="s">
        <v>283</v>
      </c>
      <c r="E233" s="26"/>
      <c r="F233" s="26"/>
      <c r="G233" s="16">
        <f ca="1">_xll.DBRW($D$4,$E$7,$E$8,$E$9,$E$10,$E$12,$D233,$E$6,G$18,G$17)</f>
        <v>1.2430448199999931</v>
      </c>
      <c r="H233" s="16">
        <f ca="1">_xll.DBRW($D$4,$E$7,$E$8,$E$9,$E$10,$E$12,$D233,$E$6,H$18,H$17)</f>
        <v>-1.6468619900000001</v>
      </c>
      <c r="I233" s="16">
        <f ca="1">_xll.DBRW($D$4,$E$7,$E$8,$E$9,$E$10,$E$12,$D233,$E$6,I$18,I$17)</f>
        <v>0</v>
      </c>
      <c r="J233" s="26">
        <f ca="1">_xll.DBRW($D$4,$E$7,$E$8,$E$9,$E$10,$E$12,$D233,$E$6,J$18,J$17)</f>
        <v>0</v>
      </c>
      <c r="K233" s="26">
        <f ca="1">_xll.DBRW($D$4,$E$7,$E$8,$E$9,$E$10,$E$12,$D233,$E$6,K$18,K$17)</f>
        <v>0</v>
      </c>
      <c r="L233" s="26">
        <f ca="1">_xll.DBRW($D$4,$E$7,$E$8,$E$9,$E$10,$E$12,$D233,$E$6,L$18,L$17)</f>
        <v>0</v>
      </c>
      <c r="M233" s="26">
        <f ca="1">_xll.DBRW($D$4,$E$7,$E$8,$E$9,$E$10,$E$12,$D233,$E$6,M$18,M$17)</f>
        <v>0</v>
      </c>
      <c r="N233" s="16">
        <f ca="1">_xll.DBRW($D$4,$E$7,$E$8,$E$9,$E$10,$E$12,$D233,$E$6,N$18,N$17)</f>
        <v>2.8899068099999927</v>
      </c>
      <c r="O233" s="16">
        <f ca="1">_xll.DBRW($D$4,$E$7,$E$8,$E$9,$E$10,$E$12,$D233,$E$6,O$18,O$17)</f>
        <v>20.763901019999995</v>
      </c>
      <c r="P233" s="74">
        <f ca="1">_xll.DBRW($D$4,$E$7,$E$8,$E$9,$E$10,$E$12,$D233,$E$6,P$18,P$17)</f>
        <v>-10.63660458</v>
      </c>
      <c r="Q233" s="16">
        <f ca="1">_xll.DBRW($D$4,$E$7,$E$8,$E$9,$E$10,$E$12,$D233,$E$6,Q$18,Q$17)</f>
        <v>0.51226426911565015</v>
      </c>
      <c r="R233" s="16"/>
      <c r="S233" s="16"/>
      <c r="T233" s="16"/>
      <c r="U233" s="16"/>
      <c r="V233" s="16">
        <f ca="1">_xll.DBRW($D$4,$E$7,$E$8,$E$9,$E$10,$E$12,$D233,$E$6,V$18,V$17)</f>
        <v>-2.4962582900000001</v>
      </c>
      <c r="W233" s="16">
        <f ca="1">_xll.DBRW($D$4,$E$7,$E$8,$E$9,$E$10,$E$12,$D233,$E$6,W$18,W$17)</f>
        <v>0.12022106479873794</v>
      </c>
      <c r="X233" s="16"/>
      <c r="Y233" s="16"/>
      <c r="Z233" s="16"/>
      <c r="AA233" s="16"/>
      <c r="AB233" s="16">
        <f ca="1">_xll.DBRW($D$4,$E$7,$E$8,$E$9,$E$10,$E$12,$D233,$E$6,AB$18,AB$17)</f>
        <v>-1.8733611399999999</v>
      </c>
      <c r="AC233" s="16">
        <f ca="1">_xll.DBRW($D$4,$E$7,$E$8,$E$9,$E$10,$E$12,$D233,$E$6,AC$18,AC$17)</f>
        <v>9.0222022258512974E-2</v>
      </c>
      <c r="AD233" s="16"/>
      <c r="AE233" s="16"/>
      <c r="AF233" s="16"/>
      <c r="AG233" s="16"/>
      <c r="AH233" s="16">
        <f ca="1">_xll.DBRW($D$4,$E$7,$E$8,$E$9,$E$10,$E$12,$D233,$E$6,AH$18,AH$17)</f>
        <v>-0.72550367000000004</v>
      </c>
      <c r="AI233" s="16">
        <f ca="1">_xll.DBRW($D$4,$E$7,$E$8,$E$9,$E$10,$E$12,$D233,$E$6,AI$18,AI$17)</f>
        <v>3.4940624562850096E-2</v>
      </c>
      <c r="AJ233" s="16"/>
      <c r="AK233" s="16"/>
      <c r="AL233" s="16"/>
      <c r="AM233" s="16"/>
      <c r="AN233" s="16">
        <f ca="1">_xll.DBRW($D$4,$E$7,$E$8,$E$9,$E$10,$E$12,$D233,$E$6,AN$18,AN$17)</f>
        <v>-2.1422665299999997</v>
      </c>
      <c r="AO233" s="16">
        <f ca="1">_xll.DBRW($D$4,$E$7,$E$8,$E$9,$E$10,$E$12,$D233,$E$6,AO$18,AO$17)</f>
        <v>0.10317264217049327</v>
      </c>
      <c r="AP233" s="16"/>
      <c r="AQ233" s="16"/>
      <c r="AR233" s="16"/>
      <c r="AS233" s="16"/>
      <c r="AT233" s="16">
        <f ca="1">_xll.DBRW($D$4,$E$7,$E$8,$E$9,$E$10,$E$12,$D233,$E$6,AT$18,AT$17)</f>
        <v>0.27214699999999997</v>
      </c>
      <c r="AU233" s="16">
        <f ca="1">_xll.DBRW($D$4,$E$7,$E$8,$E$9,$E$10,$E$12,$D233,$E$6,AU$18,AU$17)</f>
        <v>0.209513</v>
      </c>
      <c r="AV233" s="16">
        <f ca="1">_xll.DBRW($D$4,$E$7,$E$8,$E$9,$E$10,$E$12,$D233,$E$6,AV$18,AV$17)</f>
        <v>5.2019920000000006</v>
      </c>
      <c r="AW233" s="16">
        <f ca="1">_xll.DBRW($D$4,$E$7,$E$8,$E$9,$E$10,$E$12,$D233,$E$6,AW$18,AW$17)</f>
        <v>0.209513</v>
      </c>
      <c r="AX233" s="16">
        <f ca="1">_xll.DBRW($D$4,$E$7,$E$8,$E$9,$E$10,$E$12,$D233,$E$6,AX$18,AX$17)</f>
        <v>2.0550580000000003</v>
      </c>
      <c r="AY233" s="16">
        <f ca="1">_xll.DBRW($D$4,$E$7,$E$8,$E$9,$E$10,$E$12,$D233,$E$6,AY$18,AY$17)</f>
        <v>0.209513</v>
      </c>
      <c r="AZ233" s="16">
        <f ca="1">_xll.DBRW($D$4,$E$7,$E$8,$E$9,$E$10,$E$12,$D233,$E$6,AZ$18,AZ$17)</f>
        <v>1.2140000000000001E-4</v>
      </c>
      <c r="BA233" s="16">
        <f ca="1">_xll.DBRW($D$4,$E$7,$E$8,$E$9,$E$10,$E$12,$D233,$E$6,BA$18,BA$17)</f>
        <v>0.209513</v>
      </c>
      <c r="BB233" s="16">
        <f ca="1">_xll.DBRW($D$4,$E$7,$E$8,$E$9,$E$10,$E$12,$D233,$E$6,BB$18,BB$17)</f>
        <v>0.209513</v>
      </c>
      <c r="BC233" s="16">
        <f ca="1">_xll.DBRW($D$4,$E$7,$E$8,$E$9,$E$10,$E$12,$D233,$E$6,BC$18,BC$17)</f>
        <v>0.209513</v>
      </c>
      <c r="BD233" s="16">
        <f ca="1">_xll.DBRW($D$4,$E$7,$E$8,$E$9,$E$10,$E$12,$D233,$E$6,BD$18,BD$17)</f>
        <v>1.6836772600000065</v>
      </c>
      <c r="BE233" s="16">
        <f ca="1">_xll.DBRW($D$4,$E$7,$E$8,$E$9,$E$10,$E$12,$D233,$E$6,BE$18,BE$17)</f>
        <v>-1.7358995799999999</v>
      </c>
      <c r="BF233" s="16">
        <f ca="1">_xll.DBRW($D$4,$E$7,$E$8,$E$9,$E$10,$E$12,$D233,$E$6,BF$18,BF$17)</f>
        <v>0</v>
      </c>
      <c r="BG233" s="26">
        <f ca="1">_xll.DBRW($D$4,$E$7,$E$8,$E$9,$E$10,$E$12,$D233,$E$6,BG$18,BG$17)</f>
        <v>0</v>
      </c>
      <c r="BH233" s="26">
        <f ca="1">_xll.DBRW($D$4,$E$7,$E$8,$E$9,$E$10,$E$12,$D233,$E$6,BH$18,BH$17)</f>
        <v>0</v>
      </c>
      <c r="BI233" s="26">
        <f ca="1">_xll.DBRW($D$4,$E$7,$E$8,$E$9,$E$10,$E$12,$D233,$E$6,BI$18,BI$17)</f>
        <v>0</v>
      </c>
      <c r="BJ233" s="26">
        <f ca="1">_xll.DBRW($D$4,$E$7,$E$8,$E$9,$E$10,$E$12,$D233,$E$6,BJ$18,BJ$17)</f>
        <v>0</v>
      </c>
      <c r="BK233" s="16">
        <f ca="1">_xll.DBRW($D$4,$E$7,$E$8,$E$9,$E$10,$E$12,$D233,$E$6,BK$18,BK$17)</f>
        <v>3.4195768400000057</v>
      </c>
      <c r="BL233" s="16">
        <f ca="1">_xll.DBRW($D$4,$E$7,$E$8,$E$9,$E$10,$E$12,$D233,$E$6,BL$18,BL$17)</f>
        <v>23.475939340000004</v>
      </c>
      <c r="BM233" s="16">
        <f ca="1">_xll.DBRW($D$4,$E$7,$E$8,$E$9,$E$10,$E$12,$D233,$E$6,BM$18,BM$17)</f>
        <v>-11.5749212</v>
      </c>
      <c r="BN233" s="16">
        <f ca="1">_xll.DBRW($D$4,$E$7,$E$8,$E$9,$E$10,$E$12,$D233,$E$6,BN$18,BN$17)</f>
        <v>0.4930546561891056</v>
      </c>
      <c r="BO233" s="16"/>
      <c r="BP233" s="16"/>
      <c r="BQ233" s="16"/>
      <c r="BR233" s="16"/>
      <c r="BS233" s="16">
        <f ca="1">_xll.DBRW($D$4,$E$7,$E$8,$E$9,$E$10,$E$12,$D233,$E$6,BS$18,BS$17)</f>
        <v>-2.7407980599999995</v>
      </c>
      <c r="BT233" s="16">
        <f ca="1">_xll.DBRW($D$4,$E$7,$E$8,$E$9,$E$10,$E$12,$D233,$E$6,BT$18,BT$17)</f>
        <v>0.11674923930860689</v>
      </c>
      <c r="BU233" s="16"/>
      <c r="BV233" s="16"/>
      <c r="BW233" s="16"/>
      <c r="BX233" s="16"/>
      <c r="BY233" s="16">
        <f ca="1">_xll.DBRW($D$4,$E$7,$E$8,$E$9,$E$10,$E$12,$D233,$E$6,BY$18,BY$17)</f>
        <v>-1.9760957799999996</v>
      </c>
      <c r="BZ233" s="16">
        <f ca="1">_xll.DBRW($D$4,$E$7,$E$8,$E$9,$E$10,$E$12,$D233,$E$6,BZ$18,BZ$17)</f>
        <v>8.4175365738528074E-2</v>
      </c>
      <c r="CA233" s="16"/>
      <c r="CB233" s="16"/>
      <c r="CC233" s="16"/>
      <c r="CD233" s="16"/>
      <c r="CE233" s="16">
        <f ca="1">_xll.DBRW($D$4,$E$7,$E$8,$E$9,$E$10,$E$12,$D233,$E$6,CE$18,CE$17)</f>
        <v>-1.1344416599999998</v>
      </c>
      <c r="CF233" s="16">
        <f ca="1">_xll.DBRW($D$4,$E$7,$E$8,$E$9,$E$10,$E$12,$D233,$E$6,CF$18,CF$17)</f>
        <v>4.8323589679202146E-2</v>
      </c>
      <c r="CG233" s="16"/>
      <c r="CH233" s="16"/>
      <c r="CI233" s="16"/>
      <c r="CJ233" s="16"/>
      <c r="CK233" s="16">
        <f ca="1">_xll.DBRW($D$4,$E$7,$E$8,$E$9,$E$10,$E$12,$D233,$E$6,CK$18,CK$17)</f>
        <v>-2.6301058000000004</v>
      </c>
      <c r="CL233" s="16">
        <f ca="1">_xll.DBRW($D$4,$E$7,$E$8,$E$9,$E$10,$E$12,$D233,$E$6,CL$18,CL$17)</f>
        <v>0.1120341027427446</v>
      </c>
      <c r="CM233" s="16"/>
      <c r="CN233" s="16"/>
      <c r="CO233" s="16"/>
      <c r="CP233" s="16"/>
      <c r="CQ233" s="16">
        <f ca="1">_xll.DBRW($D$4,$E$7,$E$8,$E$9,$E$10,$E$12,$D233,$E$6,CQ$18,CQ$17)</f>
        <v>0.29878999999999994</v>
      </c>
      <c r="CR233" s="16">
        <f ca="1">_xll.DBRW($D$4,$E$7,$E$8,$E$9,$E$10,$E$12,$D233,$E$6,CR$18,CR$17)</f>
        <v>0.23305499999999996</v>
      </c>
      <c r="CS233" s="16">
        <f ca="1">_xll.DBRW($D$4,$E$7,$E$8,$E$9,$E$10,$E$12,$D233,$E$6,CS$18,CS$17)</f>
        <v>5.5718479999999992</v>
      </c>
      <c r="CT233" s="16">
        <f ca="1">_xll.DBRW($D$4,$E$7,$E$8,$E$9,$E$10,$E$12,$D233,$E$6,CT$18,CT$17)</f>
        <v>0.23305499999999996</v>
      </c>
      <c r="CU233" s="16">
        <f ca="1">_xll.DBRW($D$4,$E$7,$E$8,$E$9,$E$10,$E$12,$D233,$E$6,CU$18,CU$17)</f>
        <v>2.306743</v>
      </c>
      <c r="CV233" s="16">
        <f ca="1">_xll.DBRW($D$4,$E$7,$E$8,$E$9,$E$10,$E$12,$D233,$E$6,CV$18,CV$17)</f>
        <v>0.23305499999999996</v>
      </c>
      <c r="CW233" s="16">
        <f ca="1">_xll.DBRW($D$4,$E$7,$E$8,$E$9,$E$10,$E$12,$D233,$E$6,CW$18,CW$17)</f>
        <v>1.1681818181818183E-4</v>
      </c>
      <c r="CX233" s="16">
        <f ca="1">_xll.DBRW($D$4,$E$7,$E$8,$E$9,$E$10,$E$12,$D233,$E$6,CX$18,CX$17)</f>
        <v>0.23305499999999996</v>
      </c>
      <c r="CY233" s="16">
        <f ca="1">_xll.DBRW($D$4,$E$7,$E$8,$E$9,$E$10,$E$12,$D233,$E$6,CY$18,CY$17)</f>
        <v>0.23305499999999996</v>
      </c>
      <c r="CZ233" s="16">
        <f ca="1">_xll.DBRW($D$4,$E$7,$E$8,$E$9,$E$10,$E$12,$D233,$E$6,CZ$18,CZ$17)</f>
        <v>0.23305499999999996</v>
      </c>
      <c r="DA233" s="26">
        <f t="shared" ca="1" si="146"/>
        <v>-0.44063244000001345</v>
      </c>
      <c r="DB233" s="26">
        <f t="shared" ca="1" si="147"/>
        <v>8.9037589999999778E-2</v>
      </c>
      <c r="DC233" s="26">
        <f t="shared" ca="1" si="148"/>
        <v>0</v>
      </c>
      <c r="DD233" s="26">
        <f t="shared" ca="1" si="149"/>
        <v>0</v>
      </c>
      <c r="DE233" s="26">
        <f t="shared" ca="1" si="150"/>
        <v>0</v>
      </c>
      <c r="DF233" s="26">
        <f t="shared" ca="1" si="151"/>
        <v>0</v>
      </c>
      <c r="DG233" s="26">
        <f t="shared" ca="1" si="152"/>
        <v>0</v>
      </c>
      <c r="DH233" s="26">
        <f t="shared" ca="1" si="153"/>
        <v>-0.529670030000013</v>
      </c>
      <c r="DI233" s="26">
        <f t="shared" ca="1" si="154"/>
        <v>-2.7120383200000084</v>
      </c>
      <c r="DJ233" s="26">
        <f t="shared" ca="1" si="155"/>
        <v>0.93831662000000016</v>
      </c>
      <c r="DK233" s="26">
        <f t="shared" ca="1" si="156"/>
        <v>1.920961292654455E-2</v>
      </c>
      <c r="DL233" s="26"/>
      <c r="DM233" s="26"/>
      <c r="DN233" s="26"/>
      <c r="DO233" s="26"/>
      <c r="DP233" s="26">
        <f t="shared" ca="1" si="157"/>
        <v>0.24453976999999938</v>
      </c>
      <c r="DQ233" s="26">
        <f t="shared" ca="1" si="158"/>
        <v>3.4718254901310447E-3</v>
      </c>
      <c r="DR233" s="26"/>
      <c r="DS233" s="26"/>
      <c r="DT233" s="26"/>
      <c r="DU233" s="26"/>
      <c r="DV233" s="26">
        <f t="shared" ca="1" si="159"/>
        <v>0.10273463999999977</v>
      </c>
      <c r="DW233" s="26">
        <f t="shared" ca="1" si="160"/>
        <v>6.0466565199848998E-3</v>
      </c>
      <c r="DX233" s="26"/>
      <c r="DY233" s="26"/>
      <c r="DZ233" s="26"/>
      <c r="EA233" s="26"/>
      <c r="EB233" s="26">
        <f t="shared" ca="1" si="161"/>
        <v>0.40893798999999975</v>
      </c>
      <c r="EC233" s="26">
        <f t="shared" ca="1" si="162"/>
        <v>-1.338296511635205E-2</v>
      </c>
      <c r="ED233" s="26"/>
      <c r="EE233" s="26"/>
      <c r="EF233" s="26"/>
      <c r="EG233" s="26"/>
      <c r="EH233" s="26">
        <f t="shared" ca="1" si="163"/>
        <v>0.48783927000000071</v>
      </c>
      <c r="EI233" s="29">
        <f t="shared" ca="1" si="164"/>
        <v>-8.8614605722513312E-3</v>
      </c>
      <c r="EJ233" s="29"/>
      <c r="EK233" s="29"/>
      <c r="EL233" s="29"/>
      <c r="EM233" s="29"/>
      <c r="EN233" s="93"/>
      <c r="EO233" s="29"/>
      <c r="EP233" s="29"/>
      <c r="EQ233" s="29"/>
      <c r="ER233" s="29"/>
      <c r="ES233" s="29"/>
      <c r="ET233" s="29"/>
      <c r="EU233" s="93"/>
      <c r="EV233" s="29"/>
      <c r="EW233" s="29"/>
      <c r="EX233" s="29"/>
      <c r="EY233" s="29"/>
      <c r="EZ233" s="29"/>
      <c r="FA233" s="29"/>
      <c r="FB233" s="93"/>
      <c r="FC233" s="29"/>
      <c r="FD233" s="29"/>
      <c r="FE233" s="29"/>
      <c r="FF233" s="29"/>
      <c r="FG233" s="29"/>
      <c r="FH233" s="29"/>
      <c r="FI233" s="93"/>
      <c r="FJ233" s="29"/>
      <c r="FK233" s="29"/>
      <c r="FL233" s="29"/>
      <c r="FM233" s="29"/>
      <c r="FN233" s="29"/>
      <c r="FO233" s="29"/>
      <c r="FP233" s="93"/>
      <c r="FQ233" s="29"/>
      <c r="FR233" s="29"/>
      <c r="FS233" s="29"/>
      <c r="FT233" s="29"/>
      <c r="FU233" s="29"/>
      <c r="FV233" s="29"/>
    </row>
    <row r="234" spans="1:178" x14ac:dyDescent="0.25">
      <c r="A234" t="str">
        <f ca="1">IF(_xll.TM1RPTELISCONSOLIDATED($D$28,$D234),IF(_xll.TM1RPTELLEV($D$28,$D234)&lt;=3,_xll.TM1RPTELLEV($D$28,$D234),"D"),"N")</f>
        <v>N</v>
      </c>
      <c r="B234" t="str">
        <f ca="1">_xll.DBRA(Server&amp;"Management_organization",$D234,$B$27)</f>
        <v>L</v>
      </c>
      <c r="C234">
        <v>1</v>
      </c>
      <c r="D234" s="2" t="s">
        <v>284</v>
      </c>
      <c r="E234" s="26"/>
      <c r="F234" s="26"/>
      <c r="G234" s="16">
        <f ca="1">_xll.DBRW($D$4,$E$7,$E$8,$E$9,$E$10,$E$12,$D234,$E$6,G$18,G$17)</f>
        <v>0.81230045000000051</v>
      </c>
      <c r="H234" s="16">
        <f ca="1">_xll.DBRW($D$4,$E$7,$E$8,$E$9,$E$10,$E$12,$D234,$E$6,H$18,H$17)</f>
        <v>-1.5198156599999999</v>
      </c>
      <c r="I234" s="16">
        <f ca="1">_xll.DBRW($D$4,$E$7,$E$8,$E$9,$E$10,$E$12,$D234,$E$6,I$18,I$17)</f>
        <v>0</v>
      </c>
      <c r="J234" s="26">
        <f ca="1">_xll.DBRW($D$4,$E$7,$E$8,$E$9,$E$10,$E$12,$D234,$E$6,J$18,J$17)</f>
        <v>0</v>
      </c>
      <c r="K234" s="26">
        <f ca="1">_xll.DBRW($D$4,$E$7,$E$8,$E$9,$E$10,$E$12,$D234,$E$6,K$18,K$17)</f>
        <v>0</v>
      </c>
      <c r="L234" s="26">
        <f ca="1">_xll.DBRW($D$4,$E$7,$E$8,$E$9,$E$10,$E$12,$D234,$E$6,L$18,L$17)</f>
        <v>0</v>
      </c>
      <c r="M234" s="26">
        <f ca="1">_xll.DBRW($D$4,$E$7,$E$8,$E$9,$E$10,$E$12,$D234,$E$6,M$18,M$17)</f>
        <v>0</v>
      </c>
      <c r="N234" s="16">
        <f ca="1">_xll.DBRW($D$4,$E$7,$E$8,$E$9,$E$10,$E$12,$D234,$E$6,N$18,N$17)</f>
        <v>2.3321161100000003</v>
      </c>
      <c r="O234" s="16">
        <f ca="1">_xll.DBRW($D$4,$E$7,$E$8,$E$9,$E$10,$E$12,$D234,$E$6,O$18,O$17)</f>
        <v>26.50421845</v>
      </c>
      <c r="P234" s="74">
        <f ca="1">_xll.DBRW($D$4,$E$7,$E$8,$E$9,$E$10,$E$12,$D234,$E$6,P$18,P$17)</f>
        <v>-15.90257113</v>
      </c>
      <c r="Q234" s="16">
        <f ca="1">_xll.DBRW($D$4,$E$7,$E$8,$E$9,$E$10,$E$12,$D234,$E$6,Q$18,Q$17)</f>
        <v>0.60000151145750913</v>
      </c>
      <c r="R234" s="16"/>
      <c r="S234" s="16"/>
      <c r="T234" s="16"/>
      <c r="U234" s="16"/>
      <c r="V234" s="16">
        <f ca="1">_xll.DBRW($D$4,$E$7,$E$8,$E$9,$E$10,$E$12,$D234,$E$6,V$18,V$17)</f>
        <v>-4.2314244699999994</v>
      </c>
      <c r="W234" s="16">
        <f ca="1">_xll.DBRW($D$4,$E$7,$E$8,$E$9,$E$10,$E$12,$D234,$E$6,W$18,W$17)</f>
        <v>0.1596509807667994</v>
      </c>
      <c r="X234" s="16"/>
      <c r="Y234" s="16"/>
      <c r="Z234" s="16"/>
      <c r="AA234" s="16"/>
      <c r="AB234" s="16">
        <f ca="1">_xll.DBRW($D$4,$E$7,$E$8,$E$9,$E$10,$E$12,$D234,$E$6,AB$18,AB$17)</f>
        <v>-2.9727443599999996</v>
      </c>
      <c r="AC234" s="16">
        <f ca="1">_xll.DBRW($D$4,$E$7,$E$8,$E$9,$E$10,$E$12,$D234,$E$6,AC$18,AC$17)</f>
        <v>0.11216117787468657</v>
      </c>
      <c r="AD234" s="16"/>
      <c r="AE234" s="16"/>
      <c r="AF234" s="16"/>
      <c r="AG234" s="16"/>
      <c r="AH234" s="16">
        <f ca="1">_xll.DBRW($D$4,$E$7,$E$8,$E$9,$E$10,$E$12,$D234,$E$6,AH$18,AH$17)</f>
        <v>-6.4151999999999992E-4</v>
      </c>
      <c r="AI234" s="16">
        <f ca="1">_xll.DBRW($D$4,$E$7,$E$8,$E$9,$E$10,$E$12,$D234,$E$6,AI$18,AI$17)</f>
        <v>2.4204448858215621E-5</v>
      </c>
      <c r="AJ234" s="16"/>
      <c r="AK234" s="16"/>
      <c r="AL234" s="16"/>
      <c r="AM234" s="16"/>
      <c r="AN234" s="16">
        <f ca="1">_xll.DBRW($D$4,$E$7,$E$8,$E$9,$E$10,$E$12,$D234,$E$6,AN$18,AN$17)</f>
        <v>-1.0647208600000002</v>
      </c>
      <c r="AO234" s="16">
        <f ca="1">_xll.DBRW($D$4,$E$7,$E$8,$E$9,$E$10,$E$12,$D234,$E$6,AO$18,AO$17)</f>
        <v>4.0171750848212624E-2</v>
      </c>
      <c r="AP234" s="16"/>
      <c r="AQ234" s="16"/>
      <c r="AR234" s="16"/>
      <c r="AS234" s="16"/>
      <c r="AT234" s="16">
        <f ca="1">_xll.DBRW($D$4,$E$7,$E$8,$E$9,$E$10,$E$12,$D234,$E$6,AT$18,AT$17)</f>
        <v>0.20722999999999997</v>
      </c>
      <c r="AU234" s="16">
        <f ca="1">_xll.DBRW($D$4,$E$7,$E$8,$E$9,$E$10,$E$12,$D234,$E$6,AU$18,AU$17)</f>
        <v>6.7360169999999995</v>
      </c>
      <c r="AV234" s="16">
        <f ca="1">_xll.DBRW($D$4,$E$7,$E$8,$E$9,$E$10,$E$12,$D234,$E$6,AV$18,AV$17)</f>
        <v>8.1788129999999999</v>
      </c>
      <c r="AW234" s="16">
        <f ca="1">_xll.DBRW($D$4,$E$7,$E$8,$E$9,$E$10,$E$12,$D234,$E$6,AW$18,AW$17)</f>
        <v>6.7360169999999995</v>
      </c>
      <c r="AX234" s="16">
        <f ca="1">_xll.DBRW($D$4,$E$7,$E$8,$E$9,$E$10,$E$12,$D234,$E$6,AX$18,AX$17)</f>
        <v>3.5215109999999998</v>
      </c>
      <c r="AY234" s="16">
        <f ca="1">_xll.DBRW($D$4,$E$7,$E$8,$E$9,$E$10,$E$12,$D234,$E$6,AY$18,AY$17)</f>
        <v>6.7360169999999995</v>
      </c>
      <c r="AZ234" s="16">
        <f ca="1">_xll.DBRW($D$4,$E$7,$E$8,$E$9,$E$10,$E$12,$D234,$E$6,AZ$18,AZ$17)</f>
        <v>1.5900000000000002E-4</v>
      </c>
      <c r="BA234" s="16">
        <f ca="1">_xll.DBRW($D$4,$E$7,$E$8,$E$9,$E$10,$E$12,$D234,$E$6,BA$18,BA$17)</f>
        <v>6.7360169999999995</v>
      </c>
      <c r="BB234" s="16">
        <f ca="1">_xll.DBRW($D$4,$E$7,$E$8,$E$9,$E$10,$E$12,$D234,$E$6,BB$18,BB$17)</f>
        <v>6.7360169999999995</v>
      </c>
      <c r="BC234" s="16">
        <f ca="1">_xll.DBRW($D$4,$E$7,$E$8,$E$9,$E$10,$E$12,$D234,$E$6,BC$18,BC$17)</f>
        <v>6.7360169999999995</v>
      </c>
      <c r="BD234" s="16">
        <f ca="1">_xll.DBRW($D$4,$E$7,$E$8,$E$9,$E$10,$E$12,$D234,$E$6,BD$18,BD$17)</f>
        <v>-0.1180377000000048</v>
      </c>
      <c r="BE234" s="16">
        <f ca="1">_xll.DBRW($D$4,$E$7,$E$8,$E$9,$E$10,$E$12,$D234,$E$6,BE$18,BE$17)</f>
        <v>-2.1222594399999997</v>
      </c>
      <c r="BF234" s="16">
        <f ca="1">_xll.DBRW($D$4,$E$7,$E$8,$E$9,$E$10,$E$12,$D234,$E$6,BF$18,BF$17)</f>
        <v>0</v>
      </c>
      <c r="BG234" s="26">
        <f ca="1">_xll.DBRW($D$4,$E$7,$E$8,$E$9,$E$10,$E$12,$D234,$E$6,BG$18,BG$17)</f>
        <v>0</v>
      </c>
      <c r="BH234" s="26">
        <f ca="1">_xll.DBRW($D$4,$E$7,$E$8,$E$9,$E$10,$E$12,$D234,$E$6,BH$18,BH$17)</f>
        <v>0</v>
      </c>
      <c r="BI234" s="26">
        <f ca="1">_xll.DBRW($D$4,$E$7,$E$8,$E$9,$E$10,$E$12,$D234,$E$6,BI$18,BI$17)</f>
        <v>0</v>
      </c>
      <c r="BJ234" s="26">
        <f ca="1">_xll.DBRW($D$4,$E$7,$E$8,$E$9,$E$10,$E$12,$D234,$E$6,BJ$18,BJ$17)</f>
        <v>0</v>
      </c>
      <c r="BK234" s="16">
        <f ca="1">_xll.DBRW($D$4,$E$7,$E$8,$E$9,$E$10,$E$12,$D234,$E$6,BK$18,BK$17)</f>
        <v>2.0042217399999949</v>
      </c>
      <c r="BL234" s="16">
        <f ca="1">_xll.DBRW($D$4,$E$7,$E$8,$E$9,$E$10,$E$12,$D234,$E$6,BL$18,BL$17)</f>
        <v>28.100207730000001</v>
      </c>
      <c r="BM234" s="16">
        <f ca="1">_xll.DBRW($D$4,$E$7,$E$8,$E$9,$E$10,$E$12,$D234,$E$6,BM$18,BM$17)</f>
        <v>-17.067742890000005</v>
      </c>
      <c r="BN234" s="16">
        <f ca="1">_xll.DBRW($D$4,$E$7,$E$8,$E$9,$E$10,$E$12,$D234,$E$6,BN$18,BN$17)</f>
        <v>0.60738849527359007</v>
      </c>
      <c r="BO234" s="16"/>
      <c r="BP234" s="16"/>
      <c r="BQ234" s="16"/>
      <c r="BR234" s="16"/>
      <c r="BS234" s="16">
        <f ca="1">_xll.DBRW($D$4,$E$7,$E$8,$E$9,$E$10,$E$12,$D234,$E$6,BS$18,BS$17)</f>
        <v>-4.820933440000001</v>
      </c>
      <c r="BT234" s="16">
        <f ca="1">_xll.DBRW($D$4,$E$7,$E$8,$E$9,$E$10,$E$12,$D234,$E$6,BT$18,BT$17)</f>
        <v>0.17156219933752073</v>
      </c>
      <c r="BU234" s="16"/>
      <c r="BV234" s="16"/>
      <c r="BW234" s="16"/>
      <c r="BX234" s="16"/>
      <c r="BY234" s="16">
        <f ca="1">_xll.DBRW($D$4,$E$7,$E$8,$E$9,$E$10,$E$12,$D234,$E$6,BY$18,BY$17)</f>
        <v>-3.2622281199999996</v>
      </c>
      <c r="BZ234" s="16">
        <f ca="1">_xll.DBRW($D$4,$E$7,$E$8,$E$9,$E$10,$E$12,$D234,$E$6,BZ$18,BZ$17)</f>
        <v>0.11609266918397972</v>
      </c>
      <c r="CA234" s="16"/>
      <c r="CB234" s="16"/>
      <c r="CC234" s="16"/>
      <c r="CD234" s="16"/>
      <c r="CE234" s="16">
        <f ca="1">_xll.DBRW($D$4,$E$7,$E$8,$E$9,$E$10,$E$12,$D234,$E$6,CE$18,CE$17)</f>
        <v>0</v>
      </c>
      <c r="CF234" s="16">
        <f ca="1">_xll.DBRW($D$4,$E$7,$E$8,$E$9,$E$10,$E$12,$D234,$E$6,CF$18,CF$17)</f>
        <v>0</v>
      </c>
      <c r="CG234" s="16"/>
      <c r="CH234" s="16"/>
      <c r="CI234" s="16"/>
      <c r="CJ234" s="16"/>
      <c r="CK234" s="16">
        <f ca="1">_xll.DBRW($D$4,$E$7,$E$8,$E$9,$E$10,$E$12,$D234,$E$6,CK$18,CK$17)</f>
        <v>-0.94508154</v>
      </c>
      <c r="CL234" s="16">
        <f ca="1">_xll.DBRW($D$4,$E$7,$E$8,$E$9,$E$10,$E$12,$D234,$E$6,CL$18,CL$17)</f>
        <v>3.3632546388296748E-2</v>
      </c>
      <c r="CM234" s="16"/>
      <c r="CN234" s="16"/>
      <c r="CO234" s="16"/>
      <c r="CP234" s="16"/>
      <c r="CQ234" s="16">
        <f ca="1">_xll.DBRW($D$4,$E$7,$E$8,$E$9,$E$10,$E$12,$D234,$E$6,CQ$18,CQ$17)</f>
        <v>0.228298</v>
      </c>
      <c r="CR234" s="16">
        <f ca="1">_xll.DBRW($D$4,$E$7,$E$8,$E$9,$E$10,$E$12,$D234,$E$6,CR$18,CR$17)</f>
        <v>7.3558849999999998</v>
      </c>
      <c r="CS234" s="16">
        <f ca="1">_xll.DBRW($D$4,$E$7,$E$8,$E$9,$E$10,$E$12,$D234,$E$6,CS$18,CS$17)</f>
        <v>9.2799639999999997</v>
      </c>
      <c r="CT234" s="16">
        <f ca="1">_xll.DBRW($D$4,$E$7,$E$8,$E$9,$E$10,$E$12,$D234,$E$6,CT$18,CT$17)</f>
        <v>7.3558849999999998</v>
      </c>
      <c r="CU234" s="16">
        <f ca="1">_xll.DBRW($D$4,$E$7,$E$8,$E$9,$E$10,$E$12,$D234,$E$6,CU$18,CU$17)</f>
        <v>4.2232459999999996</v>
      </c>
      <c r="CV234" s="16">
        <f ca="1">_xll.DBRW($D$4,$E$7,$E$8,$E$9,$E$10,$E$12,$D234,$E$6,CV$18,CV$17)</f>
        <v>7.3558849999999998</v>
      </c>
      <c r="CW234" s="16">
        <f ca="1">_xll.DBRW($D$4,$E$7,$E$8,$E$9,$E$10,$E$12,$D234,$E$6,CW$18,CW$17)</f>
        <v>1.6100000000000001E-4</v>
      </c>
      <c r="CX234" s="16">
        <f ca="1">_xll.DBRW($D$4,$E$7,$E$8,$E$9,$E$10,$E$12,$D234,$E$6,CX$18,CX$17)</f>
        <v>7.3558849999999998</v>
      </c>
      <c r="CY234" s="16">
        <f ca="1">_xll.DBRW($D$4,$E$7,$E$8,$E$9,$E$10,$E$12,$D234,$E$6,CY$18,CY$17)</f>
        <v>7.3558849999999998</v>
      </c>
      <c r="CZ234" s="16">
        <f ca="1">_xll.DBRW($D$4,$E$7,$E$8,$E$9,$E$10,$E$12,$D234,$E$6,CZ$18,CZ$17)</f>
        <v>7.3558849999999998</v>
      </c>
      <c r="DA234" s="26">
        <f t="shared" ca="1" si="146"/>
        <v>0.9303381500000053</v>
      </c>
      <c r="DB234" s="26">
        <f t="shared" ca="1" si="147"/>
        <v>0.60244377999999976</v>
      </c>
      <c r="DC234" s="26">
        <f t="shared" ca="1" si="148"/>
        <v>0</v>
      </c>
      <c r="DD234" s="26">
        <f t="shared" ca="1" si="149"/>
        <v>0</v>
      </c>
      <c r="DE234" s="26">
        <f t="shared" ca="1" si="150"/>
        <v>0</v>
      </c>
      <c r="DF234" s="26">
        <f t="shared" ca="1" si="151"/>
        <v>0</v>
      </c>
      <c r="DG234" s="26">
        <f t="shared" ca="1" si="152"/>
        <v>0</v>
      </c>
      <c r="DH234" s="26">
        <f t="shared" ca="1" si="153"/>
        <v>0.32789437000000543</v>
      </c>
      <c r="DI234" s="26">
        <f t="shared" ca="1" si="154"/>
        <v>-1.5959892800000013</v>
      </c>
      <c r="DJ234" s="26">
        <f t="shared" ca="1" si="155"/>
        <v>1.1651717600000051</v>
      </c>
      <c r="DK234" s="26">
        <f t="shared" ca="1" si="156"/>
        <v>-7.3869838160809387E-3</v>
      </c>
      <c r="DL234" s="26"/>
      <c r="DM234" s="26"/>
      <c r="DN234" s="26"/>
      <c r="DO234" s="26"/>
      <c r="DP234" s="26">
        <f t="shared" ca="1" si="157"/>
        <v>0.58950897000000158</v>
      </c>
      <c r="DQ234" s="26">
        <f t="shared" ca="1" si="158"/>
        <v>-1.1911218570721332E-2</v>
      </c>
      <c r="DR234" s="26"/>
      <c r="DS234" s="26"/>
      <c r="DT234" s="26"/>
      <c r="DU234" s="26"/>
      <c r="DV234" s="26">
        <f t="shared" ca="1" si="159"/>
        <v>0.28948375999999998</v>
      </c>
      <c r="DW234" s="26">
        <f t="shared" ca="1" si="160"/>
        <v>-3.9314913092931419E-3</v>
      </c>
      <c r="DX234" s="26"/>
      <c r="DY234" s="26"/>
      <c r="DZ234" s="26"/>
      <c r="EA234" s="26"/>
      <c r="EB234" s="26">
        <f t="shared" ca="1" si="161"/>
        <v>-6.4151999999999992E-4</v>
      </c>
      <c r="EC234" s="26">
        <f t="shared" ca="1" si="162"/>
        <v>2.4204448858215621E-5</v>
      </c>
      <c r="ED234" s="26"/>
      <c r="EE234" s="26"/>
      <c r="EF234" s="26"/>
      <c r="EG234" s="26"/>
      <c r="EH234" s="26">
        <f t="shared" ca="1" si="163"/>
        <v>-0.11963932000000022</v>
      </c>
      <c r="EI234" s="29">
        <f t="shared" ca="1" si="164"/>
        <v>6.5392044599158761E-3</v>
      </c>
      <c r="EJ234" s="29"/>
      <c r="EK234" s="29"/>
      <c r="EL234" s="29"/>
      <c r="EM234" s="29"/>
      <c r="EN234" s="93"/>
      <c r="EO234" s="29"/>
      <c r="EP234" s="29"/>
      <c r="EQ234" s="29"/>
      <c r="ER234" s="29"/>
      <c r="ES234" s="29"/>
      <c r="ET234" s="29"/>
      <c r="EU234" s="93"/>
      <c r="EV234" s="29"/>
      <c r="EW234" s="29"/>
      <c r="EX234" s="29"/>
      <c r="EY234" s="29"/>
      <c r="EZ234" s="29"/>
      <c r="FA234" s="29"/>
      <c r="FB234" s="93"/>
      <c r="FC234" s="29"/>
      <c r="FD234" s="29"/>
      <c r="FE234" s="29"/>
      <c r="FF234" s="29"/>
      <c r="FG234" s="29"/>
      <c r="FH234" s="29"/>
      <c r="FI234" s="93"/>
      <c r="FJ234" s="29"/>
      <c r="FK234" s="29"/>
      <c r="FL234" s="29"/>
      <c r="FM234" s="29"/>
      <c r="FN234" s="29"/>
      <c r="FO234" s="29"/>
      <c r="FP234" s="93"/>
      <c r="FQ234" s="29"/>
      <c r="FR234" s="29"/>
      <c r="FS234" s="29"/>
      <c r="FT234" s="29"/>
      <c r="FU234" s="29"/>
      <c r="FV234" s="29"/>
    </row>
    <row r="235" spans="1:178" x14ac:dyDescent="0.25">
      <c r="A235" t="str">
        <f ca="1">IF(_xll.TM1RPTELISCONSOLIDATED($D$28,$D235),IF(_xll.TM1RPTELLEV($D$28,$D235)&lt;=3,_xll.TM1RPTELLEV($D$28,$D235),"D"),"N")</f>
        <v>N</v>
      </c>
      <c r="B235" t="str">
        <f ca="1">_xll.DBRA(Server&amp;"Management_organization",$D235,$B$27)</f>
        <v>L</v>
      </c>
      <c r="C235">
        <v>1</v>
      </c>
      <c r="D235" s="2" t="s">
        <v>285</v>
      </c>
      <c r="E235" s="26"/>
      <c r="F235" s="26"/>
      <c r="G235" s="16">
        <f ca="1">_xll.DBRW($D$4,$E$7,$E$8,$E$9,$E$10,$E$12,$D235,$E$6,G$18,G$17)</f>
        <v>-6.9798701299999983</v>
      </c>
      <c r="H235" s="16">
        <f ca="1">_xll.DBRW($D$4,$E$7,$E$8,$E$9,$E$10,$E$12,$D235,$E$6,H$18,H$17)</f>
        <v>-4.6228675899999994</v>
      </c>
      <c r="I235" s="16">
        <f ca="1">_xll.DBRW($D$4,$E$7,$E$8,$E$9,$E$10,$E$12,$D235,$E$6,I$18,I$17)</f>
        <v>0</v>
      </c>
      <c r="J235" s="26">
        <f ca="1">_xll.DBRW($D$4,$E$7,$E$8,$E$9,$E$10,$E$12,$D235,$E$6,J$18,J$17)</f>
        <v>0</v>
      </c>
      <c r="K235" s="26">
        <f ca="1">_xll.DBRW($D$4,$E$7,$E$8,$E$9,$E$10,$E$12,$D235,$E$6,K$18,K$17)</f>
        <v>0</v>
      </c>
      <c r="L235" s="26">
        <f ca="1">_xll.DBRW($D$4,$E$7,$E$8,$E$9,$E$10,$E$12,$D235,$E$6,L$18,L$17)</f>
        <v>0</v>
      </c>
      <c r="M235" s="26">
        <f ca="1">_xll.DBRW($D$4,$E$7,$E$8,$E$9,$E$10,$E$12,$D235,$E$6,M$18,M$17)</f>
        <v>0</v>
      </c>
      <c r="N235" s="16">
        <f ca="1">_xll.DBRW($D$4,$E$7,$E$8,$E$9,$E$10,$E$12,$D235,$E$6,N$18,N$17)</f>
        <v>-2.3570025399999981</v>
      </c>
      <c r="O235" s="16">
        <f ca="1">_xll.DBRW($D$4,$E$7,$E$8,$E$9,$E$10,$E$12,$D235,$E$6,O$18,O$17)</f>
        <v>34.483364760000001</v>
      </c>
      <c r="P235" s="74">
        <f ca="1">_xll.DBRW($D$4,$E$7,$E$8,$E$9,$E$10,$E$12,$D235,$E$6,P$18,P$17)</f>
        <v>-23.108125479999998</v>
      </c>
      <c r="Q235" s="16">
        <f ca="1">_xll.DBRW($D$4,$E$7,$E$8,$E$9,$E$10,$E$12,$D235,$E$6,Q$18,Q$17)</f>
        <v>0.67012385945599351</v>
      </c>
      <c r="R235" s="16"/>
      <c r="S235" s="16"/>
      <c r="T235" s="16"/>
      <c r="U235" s="16"/>
      <c r="V235" s="16">
        <f ca="1">_xll.DBRW($D$4,$E$7,$E$8,$E$9,$E$10,$E$12,$D235,$E$6,V$18,V$17)</f>
        <v>-6.9584485000000011</v>
      </c>
      <c r="W235" s="16">
        <f ca="1">_xll.DBRW($D$4,$E$7,$E$8,$E$9,$E$10,$E$12,$D235,$E$6,W$18,W$17)</f>
        <v>0.20179145940165502</v>
      </c>
      <c r="X235" s="16"/>
      <c r="Y235" s="16"/>
      <c r="Z235" s="16"/>
      <c r="AA235" s="16"/>
      <c r="AB235" s="16">
        <f ca="1">_xll.DBRW($D$4,$E$7,$E$8,$E$9,$E$10,$E$12,$D235,$E$6,AB$18,AB$17)</f>
        <v>-3.8550003200000003</v>
      </c>
      <c r="AC235" s="16">
        <f ca="1">_xll.DBRW($D$4,$E$7,$E$8,$E$9,$E$10,$E$12,$D235,$E$6,AC$18,AC$17)</f>
        <v>0.11179304417739773</v>
      </c>
      <c r="AD235" s="16"/>
      <c r="AE235" s="16"/>
      <c r="AF235" s="16"/>
      <c r="AG235" s="16"/>
      <c r="AH235" s="16">
        <f ca="1">_xll.DBRW($D$4,$E$7,$E$8,$E$9,$E$10,$E$12,$D235,$E$6,AH$18,AH$17)</f>
        <v>-2.3561999999999997E-3</v>
      </c>
      <c r="AI235" s="16">
        <f ca="1">_xll.DBRW($D$4,$E$7,$E$8,$E$9,$E$10,$E$12,$D235,$E$6,AI$18,AI$17)</f>
        <v>6.8328598917155074E-5</v>
      </c>
      <c r="AJ235" s="16"/>
      <c r="AK235" s="16"/>
      <c r="AL235" s="16"/>
      <c r="AM235" s="16"/>
      <c r="AN235" s="16">
        <f ca="1">_xll.DBRW($D$4,$E$7,$E$8,$E$9,$E$10,$E$12,$D235,$E$6,AN$18,AN$17)</f>
        <v>-2.9164367999999996</v>
      </c>
      <c r="AO235" s="16">
        <f ca="1">_xll.DBRW($D$4,$E$7,$E$8,$E$9,$E$10,$E$12,$D235,$E$6,AO$18,AO$17)</f>
        <v>8.4575180534093547E-2</v>
      </c>
      <c r="AP235" s="16"/>
      <c r="AQ235" s="16"/>
      <c r="AR235" s="16"/>
      <c r="AS235" s="16"/>
      <c r="AT235" s="16">
        <f ca="1">_xll.DBRW($D$4,$E$7,$E$8,$E$9,$E$10,$E$12,$D235,$E$6,AT$18,AT$17)</f>
        <v>0.31634199999999996</v>
      </c>
      <c r="AU235" s="16">
        <f ca="1">_xll.DBRW($D$4,$E$7,$E$8,$E$9,$E$10,$E$12,$D235,$E$6,AU$18,AU$17)</f>
        <v>8.3707750000000001</v>
      </c>
      <c r="AV235" s="16">
        <f ca="1">_xll.DBRW($D$4,$E$7,$E$8,$E$9,$E$10,$E$12,$D235,$E$6,AV$18,AV$17)</f>
        <v>9.8602889999999999</v>
      </c>
      <c r="AW235" s="16">
        <f ca="1">_xll.DBRW($D$4,$E$7,$E$8,$E$9,$E$10,$E$12,$D235,$E$6,AW$18,AW$17)</f>
        <v>8.3707750000000001</v>
      </c>
      <c r="AX235" s="16">
        <f ca="1">_xll.DBRW($D$4,$E$7,$E$8,$E$9,$E$10,$E$12,$D235,$E$6,AX$18,AX$17)</f>
        <v>5.4819369999999985</v>
      </c>
      <c r="AY235" s="16">
        <f ca="1">_xll.DBRW($D$4,$E$7,$E$8,$E$9,$E$10,$E$12,$D235,$E$6,AY$18,AY$17)</f>
        <v>8.3707750000000001</v>
      </c>
      <c r="AZ235" s="16">
        <f ca="1">_xll.DBRW($D$4,$E$7,$E$8,$E$9,$E$10,$E$12,$D235,$E$6,AZ$18,AZ$17)</f>
        <v>1.9580000000000002E-4</v>
      </c>
      <c r="BA235" s="16">
        <f ca="1">_xll.DBRW($D$4,$E$7,$E$8,$E$9,$E$10,$E$12,$D235,$E$6,BA$18,BA$17)</f>
        <v>8.3707750000000001</v>
      </c>
      <c r="BB235" s="16">
        <f ca="1">_xll.DBRW($D$4,$E$7,$E$8,$E$9,$E$10,$E$12,$D235,$E$6,BB$18,BB$17)</f>
        <v>8.3707750000000001</v>
      </c>
      <c r="BC235" s="16">
        <f ca="1">_xll.DBRW($D$4,$E$7,$E$8,$E$9,$E$10,$E$12,$D235,$E$6,BC$18,BC$17)</f>
        <v>8.3707750000000001</v>
      </c>
      <c r="BD235" s="16">
        <f ca="1">_xll.DBRW($D$4,$E$7,$E$8,$E$9,$E$10,$E$12,$D235,$E$6,BD$18,BD$17)</f>
        <v>-5.5298183399999958</v>
      </c>
      <c r="BE235" s="16">
        <f ca="1">_xll.DBRW($D$4,$E$7,$E$8,$E$9,$E$10,$E$12,$D235,$E$6,BE$18,BE$17)</f>
        <v>-3.6118676399999998</v>
      </c>
      <c r="BF235" s="16">
        <f ca="1">_xll.DBRW($D$4,$E$7,$E$8,$E$9,$E$10,$E$12,$D235,$E$6,BF$18,BF$17)</f>
        <v>0</v>
      </c>
      <c r="BG235" s="26">
        <f ca="1">_xll.DBRW($D$4,$E$7,$E$8,$E$9,$E$10,$E$12,$D235,$E$6,BG$18,BG$17)</f>
        <v>0</v>
      </c>
      <c r="BH235" s="26">
        <f ca="1">_xll.DBRW($D$4,$E$7,$E$8,$E$9,$E$10,$E$12,$D235,$E$6,BH$18,BH$17)</f>
        <v>0</v>
      </c>
      <c r="BI235" s="26">
        <f ca="1">_xll.DBRW($D$4,$E$7,$E$8,$E$9,$E$10,$E$12,$D235,$E$6,BI$18,BI$17)</f>
        <v>0</v>
      </c>
      <c r="BJ235" s="26">
        <f ca="1">_xll.DBRW($D$4,$E$7,$E$8,$E$9,$E$10,$E$12,$D235,$E$6,BJ$18,BJ$17)</f>
        <v>0</v>
      </c>
      <c r="BK235" s="16">
        <f ca="1">_xll.DBRW($D$4,$E$7,$E$8,$E$9,$E$10,$E$12,$D235,$E$6,BK$18,BK$17)</f>
        <v>-1.9179506999999962</v>
      </c>
      <c r="BL235" s="16">
        <f ca="1">_xll.DBRW($D$4,$E$7,$E$8,$E$9,$E$10,$E$12,$D235,$E$6,BL$18,BL$17)</f>
        <v>36.961339080000002</v>
      </c>
      <c r="BM235" s="16">
        <f ca="1">_xll.DBRW($D$4,$E$7,$E$8,$E$9,$E$10,$E$12,$D235,$E$6,BM$18,BM$17)</f>
        <v>-23.7667514</v>
      </c>
      <c r="BN235" s="16">
        <f ca="1">_xll.DBRW($D$4,$E$7,$E$8,$E$9,$E$10,$E$12,$D235,$E$6,BN$18,BN$17)</f>
        <v>0.6430165137837317</v>
      </c>
      <c r="BO235" s="16"/>
      <c r="BP235" s="16"/>
      <c r="BQ235" s="16"/>
      <c r="BR235" s="16"/>
      <c r="BS235" s="16">
        <f ca="1">_xll.DBRW($D$4,$E$7,$E$8,$E$9,$E$10,$E$12,$D235,$E$6,BS$18,BS$17)</f>
        <v>-7.4664058299999985</v>
      </c>
      <c r="BT235" s="16">
        <f ca="1">_xll.DBRW($D$4,$E$7,$E$8,$E$9,$E$10,$E$12,$D235,$E$6,BT$18,BT$17)</f>
        <v>0.20200582597506903</v>
      </c>
      <c r="BU235" s="16"/>
      <c r="BV235" s="16"/>
      <c r="BW235" s="16"/>
      <c r="BX235" s="16"/>
      <c r="BY235" s="16">
        <f ca="1">_xll.DBRW($D$4,$E$7,$E$8,$E$9,$E$10,$E$12,$D235,$E$6,BY$18,BY$17)</f>
        <v>-4.3269500799999996</v>
      </c>
      <c r="BZ235" s="16">
        <f ca="1">_xll.DBRW($D$4,$E$7,$E$8,$E$9,$E$10,$E$12,$D235,$E$6,BZ$18,BZ$17)</f>
        <v>0.11706691877787885</v>
      </c>
      <c r="CA235" s="16"/>
      <c r="CB235" s="16"/>
      <c r="CC235" s="16"/>
      <c r="CD235" s="16"/>
      <c r="CE235" s="16">
        <f ca="1">_xll.DBRW($D$4,$E$7,$E$8,$E$9,$E$10,$E$12,$D235,$E$6,CE$18,CE$17)</f>
        <v>-2.0500000000000001E-2</v>
      </c>
      <c r="CF235" s="16">
        <f ca="1">_xll.DBRW($D$4,$E$7,$E$8,$E$9,$E$10,$E$12,$D235,$E$6,CF$18,CF$17)</f>
        <v>5.5463358499077404E-4</v>
      </c>
      <c r="CG235" s="16"/>
      <c r="CH235" s="16"/>
      <c r="CI235" s="16"/>
      <c r="CJ235" s="16"/>
      <c r="CK235" s="16">
        <f ca="1">_xll.DBRW($D$4,$E$7,$E$8,$E$9,$E$10,$E$12,$D235,$E$6,CK$18,CK$17)</f>
        <v>-3.2986824700000001</v>
      </c>
      <c r="CL235" s="16">
        <f ca="1">_xll.DBRW($D$4,$E$7,$E$8,$E$9,$E$10,$E$12,$D235,$E$6,CL$18,CL$17)</f>
        <v>8.9246833369869341E-2</v>
      </c>
      <c r="CM235" s="16"/>
      <c r="CN235" s="16"/>
      <c r="CO235" s="16"/>
      <c r="CP235" s="16"/>
      <c r="CQ235" s="16">
        <f ca="1">_xll.DBRW($D$4,$E$7,$E$8,$E$9,$E$10,$E$12,$D235,$E$6,CQ$18,CQ$17)</f>
        <v>0.35110100000000005</v>
      </c>
      <c r="CR235" s="16">
        <f ca="1">_xll.DBRW($D$4,$E$7,$E$8,$E$9,$E$10,$E$12,$D235,$E$6,CR$18,CR$17)</f>
        <v>9.1737309999999983</v>
      </c>
      <c r="CS235" s="16">
        <f ca="1">_xll.DBRW($D$4,$E$7,$E$8,$E$9,$E$10,$E$12,$D235,$E$6,CS$18,CS$17)</f>
        <v>10.961486999999998</v>
      </c>
      <c r="CT235" s="16">
        <f ca="1">_xll.DBRW($D$4,$E$7,$E$8,$E$9,$E$10,$E$12,$D235,$E$6,CT$18,CT$17)</f>
        <v>9.1737309999999983</v>
      </c>
      <c r="CU235" s="16">
        <f ca="1">_xll.DBRW($D$4,$E$7,$E$8,$E$9,$E$10,$E$12,$D235,$E$6,CU$18,CU$17)</f>
        <v>6.0557229999999995</v>
      </c>
      <c r="CV235" s="16">
        <f ca="1">_xll.DBRW($D$4,$E$7,$E$8,$E$9,$E$10,$E$12,$D235,$E$6,CV$18,CV$17)</f>
        <v>9.1737309999999983</v>
      </c>
      <c r="CW235" s="16">
        <f ca="1">_xll.DBRW($D$4,$E$7,$E$8,$E$9,$E$10,$E$12,$D235,$E$6,CW$18,CW$17)</f>
        <v>1.9800000000000002E-4</v>
      </c>
      <c r="CX235" s="16">
        <f ca="1">_xll.DBRW($D$4,$E$7,$E$8,$E$9,$E$10,$E$12,$D235,$E$6,CX$18,CX$17)</f>
        <v>9.1737309999999983</v>
      </c>
      <c r="CY235" s="16">
        <f ca="1">_xll.DBRW($D$4,$E$7,$E$8,$E$9,$E$10,$E$12,$D235,$E$6,CY$18,CY$17)</f>
        <v>9.1737309999999983</v>
      </c>
      <c r="CZ235" s="16">
        <f ca="1">_xll.DBRW($D$4,$E$7,$E$8,$E$9,$E$10,$E$12,$D235,$E$6,CZ$18,CZ$17)</f>
        <v>9.1737309999999983</v>
      </c>
      <c r="DA235" s="26">
        <f t="shared" ca="1" si="146"/>
        <v>-1.4500517900000025</v>
      </c>
      <c r="DB235" s="26">
        <f t="shared" ca="1" si="147"/>
        <v>-1.0109999499999995</v>
      </c>
      <c r="DC235" s="26">
        <f t="shared" ca="1" si="148"/>
        <v>0</v>
      </c>
      <c r="DD235" s="26">
        <f t="shared" ca="1" si="149"/>
        <v>0</v>
      </c>
      <c r="DE235" s="26">
        <f t="shared" ca="1" si="150"/>
        <v>0</v>
      </c>
      <c r="DF235" s="26">
        <f t="shared" ca="1" si="151"/>
        <v>0</v>
      </c>
      <c r="DG235" s="26">
        <f t="shared" ca="1" si="152"/>
        <v>0</v>
      </c>
      <c r="DH235" s="26">
        <f t="shared" ca="1" si="153"/>
        <v>-0.43905184000000186</v>
      </c>
      <c r="DI235" s="26">
        <f t="shared" ca="1" si="154"/>
        <v>-2.4779743200000013</v>
      </c>
      <c r="DJ235" s="26">
        <f t="shared" ca="1" si="155"/>
        <v>0.6586259200000022</v>
      </c>
      <c r="DK235" s="26">
        <f t="shared" ca="1" si="156"/>
        <v>2.7107345672261807E-2</v>
      </c>
      <c r="DL235" s="26"/>
      <c r="DM235" s="26"/>
      <c r="DN235" s="26"/>
      <c r="DO235" s="26"/>
      <c r="DP235" s="26">
        <f t="shared" ca="1" si="157"/>
        <v>0.50795732999999732</v>
      </c>
      <c r="DQ235" s="26">
        <f t="shared" ca="1" si="158"/>
        <v>-2.1436657341400434E-4</v>
      </c>
      <c r="DR235" s="26"/>
      <c r="DS235" s="26"/>
      <c r="DT235" s="26"/>
      <c r="DU235" s="26"/>
      <c r="DV235" s="26">
        <f t="shared" ca="1" si="159"/>
        <v>0.47194975999999933</v>
      </c>
      <c r="DW235" s="26">
        <f t="shared" ca="1" si="160"/>
        <v>-5.273874600481121E-3</v>
      </c>
      <c r="DX235" s="26"/>
      <c r="DY235" s="26"/>
      <c r="DZ235" s="26"/>
      <c r="EA235" s="26"/>
      <c r="EB235" s="26">
        <f t="shared" ca="1" si="161"/>
        <v>1.8143800000000002E-2</v>
      </c>
      <c r="EC235" s="26">
        <f t="shared" ca="1" si="162"/>
        <v>-4.8630498607361898E-4</v>
      </c>
      <c r="ED235" s="26"/>
      <c r="EE235" s="26"/>
      <c r="EF235" s="26"/>
      <c r="EG235" s="26"/>
      <c r="EH235" s="26">
        <f t="shared" ca="1" si="163"/>
        <v>0.38224567000000054</v>
      </c>
      <c r="EI235" s="29">
        <f t="shared" ca="1" si="164"/>
        <v>-4.6716528357757942E-3</v>
      </c>
      <c r="EJ235" s="29"/>
      <c r="EK235" s="29"/>
      <c r="EL235" s="29"/>
      <c r="EM235" s="29"/>
      <c r="EN235" s="93"/>
      <c r="EO235" s="29"/>
      <c r="EP235" s="29"/>
      <c r="EQ235" s="29"/>
      <c r="ER235" s="29"/>
      <c r="ES235" s="29"/>
      <c r="ET235" s="29"/>
      <c r="EU235" s="93"/>
      <c r="EV235" s="29"/>
      <c r="EW235" s="29"/>
      <c r="EX235" s="29"/>
      <c r="EY235" s="29"/>
      <c r="EZ235" s="29"/>
      <c r="FA235" s="29"/>
      <c r="FB235" s="93"/>
      <c r="FC235" s="29"/>
      <c r="FD235" s="29"/>
      <c r="FE235" s="29"/>
      <c r="FF235" s="29"/>
      <c r="FG235" s="29"/>
      <c r="FH235" s="29"/>
      <c r="FI235" s="93"/>
      <c r="FJ235" s="29"/>
      <c r="FK235" s="29"/>
      <c r="FL235" s="29"/>
      <c r="FM235" s="29"/>
      <c r="FN235" s="29"/>
      <c r="FO235" s="29"/>
      <c r="FP235" s="93"/>
      <c r="FQ235" s="29"/>
      <c r="FR235" s="29"/>
      <c r="FS235" s="29"/>
      <c r="FT235" s="29"/>
      <c r="FU235" s="29"/>
      <c r="FV235" s="29"/>
    </row>
    <row r="236" spans="1:178" x14ac:dyDescent="0.25">
      <c r="A236" t="str">
        <f ca="1">IF(_xll.TM1RPTELISCONSOLIDATED($D$28,$D236),IF(_xll.TM1RPTELLEV($D$28,$D236)&lt;=3,_xll.TM1RPTELLEV($D$28,$D236),"D"),"N")</f>
        <v>N</v>
      </c>
      <c r="B236" t="str">
        <f ca="1">_xll.DBRA(Server&amp;"Management_organization",$D236,$B$27)</f>
        <v>L</v>
      </c>
      <c r="C236">
        <v>1</v>
      </c>
      <c r="D236" s="2" t="s">
        <v>286</v>
      </c>
      <c r="E236" s="26"/>
      <c r="F236" s="26"/>
      <c r="G236" s="16">
        <f ca="1">_xll.DBRW($D$4,$E$7,$E$8,$E$9,$E$10,$E$12,$D236,$E$6,G$18,G$17)</f>
        <v>9.9198999999999038E-2</v>
      </c>
      <c r="H236" s="16">
        <f ca="1">_xll.DBRW($D$4,$E$7,$E$8,$E$9,$E$10,$E$12,$D236,$E$6,H$18,H$17)</f>
        <v>-0.39581331000000008</v>
      </c>
      <c r="I236" s="16">
        <f ca="1">_xll.DBRW($D$4,$E$7,$E$8,$E$9,$E$10,$E$12,$D236,$E$6,I$18,I$17)</f>
        <v>0</v>
      </c>
      <c r="J236" s="26">
        <f ca="1">_xll.DBRW($D$4,$E$7,$E$8,$E$9,$E$10,$E$12,$D236,$E$6,J$18,J$17)</f>
        <v>0</v>
      </c>
      <c r="K236" s="26">
        <f ca="1">_xll.DBRW($D$4,$E$7,$E$8,$E$9,$E$10,$E$12,$D236,$E$6,K$18,K$17)</f>
        <v>0</v>
      </c>
      <c r="L236" s="26">
        <f ca="1">_xll.DBRW($D$4,$E$7,$E$8,$E$9,$E$10,$E$12,$D236,$E$6,L$18,L$17)</f>
        <v>0</v>
      </c>
      <c r="M236" s="26">
        <f ca="1">_xll.DBRW($D$4,$E$7,$E$8,$E$9,$E$10,$E$12,$D236,$E$6,M$18,M$17)</f>
        <v>0</v>
      </c>
      <c r="N236" s="16">
        <f ca="1">_xll.DBRW($D$4,$E$7,$E$8,$E$9,$E$10,$E$12,$D236,$E$6,N$18,N$17)</f>
        <v>0.49501230999999896</v>
      </c>
      <c r="O236" s="16">
        <f ca="1">_xll.DBRW($D$4,$E$7,$E$8,$E$9,$E$10,$E$12,$D236,$E$6,O$18,O$17)</f>
        <v>8.8959928399999999</v>
      </c>
      <c r="P236" s="74">
        <f ca="1">_xll.DBRW($D$4,$E$7,$E$8,$E$9,$E$10,$E$12,$D236,$E$6,P$18,P$17)</f>
        <v>-5.8982302700000009</v>
      </c>
      <c r="Q236" s="16">
        <f ca="1">_xll.DBRW($D$4,$E$7,$E$8,$E$9,$E$10,$E$12,$D236,$E$6,Q$18,Q$17)</f>
        <v>0.66302102262033757</v>
      </c>
      <c r="R236" s="16"/>
      <c r="S236" s="16"/>
      <c r="T236" s="16"/>
      <c r="U236" s="16"/>
      <c r="V236" s="16">
        <f ca="1">_xll.DBRW($D$4,$E$7,$E$8,$E$9,$E$10,$E$12,$D236,$E$6,V$18,V$17)</f>
        <v>-0.65539793000000002</v>
      </c>
      <c r="W236" s="16">
        <f ca="1">_xll.DBRW($D$4,$E$7,$E$8,$E$9,$E$10,$E$12,$D236,$E$6,W$18,W$17)</f>
        <v>7.3673387758706882E-2</v>
      </c>
      <c r="X236" s="16"/>
      <c r="Y236" s="16"/>
      <c r="Z236" s="16"/>
      <c r="AA236" s="16"/>
      <c r="AB236" s="16">
        <f ca="1">_xll.DBRW($D$4,$E$7,$E$8,$E$9,$E$10,$E$12,$D236,$E$6,AB$18,AB$17)</f>
        <v>-0.70955334999999986</v>
      </c>
      <c r="AC236" s="16">
        <f ca="1">_xll.DBRW($D$4,$E$7,$E$8,$E$9,$E$10,$E$12,$D236,$E$6,AC$18,AC$17)</f>
        <v>7.9761007316638072E-2</v>
      </c>
      <c r="AD236" s="16"/>
      <c r="AE236" s="16"/>
      <c r="AF236" s="16"/>
      <c r="AG236" s="16"/>
      <c r="AH236" s="16">
        <f ca="1">_xll.DBRW($D$4,$E$7,$E$8,$E$9,$E$10,$E$12,$D236,$E$6,AH$18,AH$17)</f>
        <v>0</v>
      </c>
      <c r="AI236" s="16">
        <f ca="1">_xll.DBRW($D$4,$E$7,$E$8,$E$9,$E$10,$E$12,$D236,$E$6,AI$18,AI$17)</f>
        <v>0</v>
      </c>
      <c r="AJ236" s="16"/>
      <c r="AK236" s="16"/>
      <c r="AL236" s="16"/>
      <c r="AM236" s="16"/>
      <c r="AN236" s="16">
        <f ca="1">_xll.DBRW($D$4,$E$7,$E$8,$E$9,$E$10,$E$12,$D236,$E$6,AN$18,AN$17)</f>
        <v>-1.1377989800000008</v>
      </c>
      <c r="AO236" s="16">
        <f ca="1">_xll.DBRW($D$4,$E$7,$E$8,$E$9,$E$10,$E$12,$D236,$E$6,AO$18,AO$17)</f>
        <v>0.12790016813907426</v>
      </c>
      <c r="AP236" s="16"/>
      <c r="AQ236" s="16"/>
      <c r="AR236" s="16"/>
      <c r="AS236" s="16"/>
      <c r="AT236" s="16">
        <f ca="1">_xll.DBRW($D$4,$E$7,$E$8,$E$9,$E$10,$E$12,$D236,$E$6,AT$18,AT$17)</f>
        <v>9.8856999999999987E-2</v>
      </c>
      <c r="AU236" s="16">
        <f ca="1">_xll.DBRW($D$4,$E$7,$E$8,$E$9,$E$10,$E$12,$D236,$E$6,AU$18,AU$17)</f>
        <v>1.1366799999999999</v>
      </c>
      <c r="AV236" s="16">
        <f ca="1">_xll.DBRW($D$4,$E$7,$E$8,$E$9,$E$10,$E$12,$D236,$E$6,AV$18,AV$17)</f>
        <v>1.1524289999999999</v>
      </c>
      <c r="AW236" s="16">
        <f ca="1">_xll.DBRW($D$4,$E$7,$E$8,$E$9,$E$10,$E$12,$D236,$E$6,AW$18,AW$17)</f>
        <v>1.1366799999999999</v>
      </c>
      <c r="AX236" s="16">
        <f ca="1">_xll.DBRW($D$4,$E$7,$E$8,$E$9,$E$10,$E$12,$D236,$E$6,AX$18,AX$17)</f>
        <v>0.709368</v>
      </c>
      <c r="AY236" s="16">
        <f ca="1">_xll.DBRW($D$4,$E$7,$E$8,$E$9,$E$10,$E$12,$D236,$E$6,AY$18,AY$17)</f>
        <v>1.1366799999999999</v>
      </c>
      <c r="AZ236" s="16">
        <f ca="1">_xll.DBRW($D$4,$E$7,$E$8,$E$9,$E$10,$E$12,$D236,$E$6,AZ$18,AZ$17)</f>
        <v>3.8500000000000001E-5</v>
      </c>
      <c r="BA236" s="16">
        <f ca="1">_xll.DBRW($D$4,$E$7,$E$8,$E$9,$E$10,$E$12,$D236,$E$6,BA$18,BA$17)</f>
        <v>1.1366799999999999</v>
      </c>
      <c r="BB236" s="16">
        <f ca="1">_xll.DBRW($D$4,$E$7,$E$8,$E$9,$E$10,$E$12,$D236,$E$6,BB$18,BB$17)</f>
        <v>1.1366799999999999</v>
      </c>
      <c r="BC236" s="16">
        <f ca="1">_xll.DBRW($D$4,$E$7,$E$8,$E$9,$E$10,$E$12,$D236,$E$6,BC$18,BC$17)</f>
        <v>1.1366799999999999</v>
      </c>
      <c r="BD236" s="16">
        <f ca="1">_xll.DBRW($D$4,$E$7,$E$8,$E$9,$E$10,$E$12,$D236,$E$6,BD$18,BD$17)</f>
        <v>0.16997071000000252</v>
      </c>
      <c r="BE236" s="16">
        <f ca="1">_xll.DBRW($D$4,$E$7,$E$8,$E$9,$E$10,$E$12,$D236,$E$6,BE$18,BE$17)</f>
        <v>-0.56530385999999999</v>
      </c>
      <c r="BF236" s="16">
        <f ca="1">_xll.DBRW($D$4,$E$7,$E$8,$E$9,$E$10,$E$12,$D236,$E$6,BF$18,BF$17)</f>
        <v>0</v>
      </c>
      <c r="BG236" s="26">
        <f ca="1">_xll.DBRW($D$4,$E$7,$E$8,$E$9,$E$10,$E$12,$D236,$E$6,BG$18,BG$17)</f>
        <v>0</v>
      </c>
      <c r="BH236" s="26">
        <f ca="1">_xll.DBRW($D$4,$E$7,$E$8,$E$9,$E$10,$E$12,$D236,$E$6,BH$18,BH$17)</f>
        <v>0</v>
      </c>
      <c r="BI236" s="26">
        <f ca="1">_xll.DBRW($D$4,$E$7,$E$8,$E$9,$E$10,$E$12,$D236,$E$6,BI$18,BI$17)</f>
        <v>0</v>
      </c>
      <c r="BJ236" s="26">
        <f ca="1">_xll.DBRW($D$4,$E$7,$E$8,$E$9,$E$10,$E$12,$D236,$E$6,BJ$18,BJ$17)</f>
        <v>0</v>
      </c>
      <c r="BK236" s="16">
        <f ca="1">_xll.DBRW($D$4,$E$7,$E$8,$E$9,$E$10,$E$12,$D236,$E$6,BK$18,BK$17)</f>
        <v>0.73527457000000263</v>
      </c>
      <c r="BL236" s="16">
        <f ca="1">_xll.DBRW($D$4,$E$7,$E$8,$E$9,$E$10,$E$12,$D236,$E$6,BL$18,BL$17)</f>
        <v>9.6207217600000021</v>
      </c>
      <c r="BM236" s="16">
        <f ca="1">_xll.DBRW($D$4,$E$7,$E$8,$E$9,$E$10,$E$12,$D236,$E$6,BM$18,BM$17)</f>
        <v>-5.9541599699999992</v>
      </c>
      <c r="BN236" s="16">
        <f ca="1">_xll.DBRW($D$4,$E$7,$E$8,$E$9,$E$10,$E$12,$D236,$E$6,BN$18,BN$17)</f>
        <v>0.61888911440673422</v>
      </c>
      <c r="BO236" s="16"/>
      <c r="BP236" s="16"/>
      <c r="BQ236" s="16"/>
      <c r="BR236" s="16"/>
      <c r="BS236" s="16">
        <f ca="1">_xll.DBRW($D$4,$E$7,$E$8,$E$9,$E$10,$E$12,$D236,$E$6,BS$18,BS$17)</f>
        <v>-0.90646265000000015</v>
      </c>
      <c r="BT236" s="16">
        <f ca="1">_xll.DBRW($D$4,$E$7,$E$8,$E$9,$E$10,$E$12,$D236,$E$6,BT$18,BT$17)</f>
        <v>9.421981766158051E-2</v>
      </c>
      <c r="BU236" s="16"/>
      <c r="BV236" s="16"/>
      <c r="BW236" s="16"/>
      <c r="BX236" s="16"/>
      <c r="BY236" s="16">
        <f ca="1">_xll.DBRW($D$4,$E$7,$E$8,$E$9,$E$10,$E$12,$D236,$E$6,BY$18,BY$17)</f>
        <v>-0.71623354999999989</v>
      </c>
      <c r="BZ236" s="16">
        <f ca="1">_xll.DBRW($D$4,$E$7,$E$8,$E$9,$E$10,$E$12,$D236,$E$6,BZ$18,BZ$17)</f>
        <v>7.4446966440488732E-2</v>
      </c>
      <c r="CA236" s="16"/>
      <c r="CB236" s="16"/>
      <c r="CC236" s="16"/>
      <c r="CD236" s="16"/>
      <c r="CE236" s="16">
        <f ca="1">_xll.DBRW($D$4,$E$7,$E$8,$E$9,$E$10,$E$12,$D236,$E$6,CE$18,CE$17)</f>
        <v>0</v>
      </c>
      <c r="CF236" s="16">
        <f ca="1">_xll.DBRW($D$4,$E$7,$E$8,$E$9,$E$10,$E$12,$D236,$E$6,CF$18,CF$17)</f>
        <v>0</v>
      </c>
      <c r="CG236" s="16"/>
      <c r="CH236" s="16"/>
      <c r="CI236" s="16"/>
      <c r="CJ236" s="16"/>
      <c r="CK236" s="16">
        <f ca="1">_xll.DBRW($D$4,$E$7,$E$8,$E$9,$E$10,$E$12,$D236,$E$6,CK$18,CK$17)</f>
        <v>-1.3085910200000002</v>
      </c>
      <c r="CL236" s="16">
        <f ca="1">_xll.DBRW($D$4,$E$7,$E$8,$E$9,$E$10,$E$12,$D236,$E$6,CL$18,CL$17)</f>
        <v>0.13601796753344625</v>
      </c>
      <c r="CM236" s="16"/>
      <c r="CN236" s="16"/>
      <c r="CO236" s="16"/>
      <c r="CP236" s="16"/>
      <c r="CQ236" s="16">
        <f ca="1">_xll.DBRW($D$4,$E$7,$E$8,$E$9,$E$10,$E$12,$D236,$E$6,CQ$18,CQ$17)</f>
        <v>0.10919699999999997</v>
      </c>
      <c r="CR236" s="16">
        <f ca="1">_xll.DBRW($D$4,$E$7,$E$8,$E$9,$E$10,$E$12,$D236,$E$6,CR$18,CR$17)</f>
        <v>1.2553509999999999</v>
      </c>
      <c r="CS236" s="16">
        <f ca="1">_xll.DBRW($D$4,$E$7,$E$8,$E$9,$E$10,$E$12,$D236,$E$6,CS$18,CS$17)</f>
        <v>1.275906</v>
      </c>
      <c r="CT236" s="16">
        <f ca="1">_xll.DBRW($D$4,$E$7,$E$8,$E$9,$E$10,$E$12,$D236,$E$6,CT$18,CT$17)</f>
        <v>1.2553509999999999</v>
      </c>
      <c r="CU236" s="16">
        <f ca="1">_xll.DBRW($D$4,$E$7,$E$8,$E$9,$E$10,$E$12,$D236,$E$6,CU$18,CU$17)</f>
        <v>0.82933699999999999</v>
      </c>
      <c r="CV236" s="16">
        <f ca="1">_xll.DBRW($D$4,$E$7,$E$8,$E$9,$E$10,$E$12,$D236,$E$6,CV$18,CV$17)</f>
        <v>1.2553509999999999</v>
      </c>
      <c r="CW236" s="16">
        <f ca="1">_xll.DBRW($D$4,$E$7,$E$8,$E$9,$E$10,$E$12,$D236,$E$6,CW$18,CW$17)</f>
        <v>4.2000000000000004E-5</v>
      </c>
      <c r="CX236" s="16">
        <f ca="1">_xll.DBRW($D$4,$E$7,$E$8,$E$9,$E$10,$E$12,$D236,$E$6,CX$18,CX$17)</f>
        <v>1.2553509999999999</v>
      </c>
      <c r="CY236" s="16">
        <f ca="1">_xll.DBRW($D$4,$E$7,$E$8,$E$9,$E$10,$E$12,$D236,$E$6,CY$18,CY$17)</f>
        <v>1.2553509999999999</v>
      </c>
      <c r="CZ236" s="16">
        <f ca="1">_xll.DBRW($D$4,$E$7,$E$8,$E$9,$E$10,$E$12,$D236,$E$6,CZ$18,CZ$17)</f>
        <v>1.2553509999999999</v>
      </c>
      <c r="DA236" s="26">
        <f t="shared" ca="1" si="146"/>
        <v>-7.0771710000003485E-2</v>
      </c>
      <c r="DB236" s="26">
        <f t="shared" ca="1" si="147"/>
        <v>0.16949054999999991</v>
      </c>
      <c r="DC236" s="26">
        <f t="shared" ca="1" si="148"/>
        <v>0</v>
      </c>
      <c r="DD236" s="26">
        <f t="shared" ca="1" si="149"/>
        <v>0</v>
      </c>
      <c r="DE236" s="26">
        <f t="shared" ca="1" si="150"/>
        <v>0</v>
      </c>
      <c r="DF236" s="26">
        <f t="shared" ca="1" si="151"/>
        <v>0</v>
      </c>
      <c r="DG236" s="26">
        <f t="shared" ca="1" si="152"/>
        <v>0</v>
      </c>
      <c r="DH236" s="26">
        <f t="shared" ca="1" si="153"/>
        <v>-0.24026226000000367</v>
      </c>
      <c r="DI236" s="26">
        <f t="shared" ca="1" si="154"/>
        <v>-0.72472892000000222</v>
      </c>
      <c r="DJ236" s="26">
        <f t="shared" ca="1" si="155"/>
        <v>5.5929699999998306E-2</v>
      </c>
      <c r="DK236" s="26">
        <f t="shared" ca="1" si="156"/>
        <v>4.4131908213603355E-2</v>
      </c>
      <c r="DL236" s="26"/>
      <c r="DM236" s="26"/>
      <c r="DN236" s="26"/>
      <c r="DO236" s="26"/>
      <c r="DP236" s="26">
        <f t="shared" ca="1" si="157"/>
        <v>0.25106472000000013</v>
      </c>
      <c r="DQ236" s="26">
        <f t="shared" ca="1" si="158"/>
        <v>-2.0546429902873628E-2</v>
      </c>
      <c r="DR236" s="26"/>
      <c r="DS236" s="26"/>
      <c r="DT236" s="26"/>
      <c r="DU236" s="26"/>
      <c r="DV236" s="26">
        <f t="shared" ca="1" si="159"/>
        <v>6.680200000000025E-3</v>
      </c>
      <c r="DW236" s="26">
        <f t="shared" ca="1" si="160"/>
        <v>5.3140408761493396E-3</v>
      </c>
      <c r="DX236" s="26"/>
      <c r="DY236" s="26"/>
      <c r="DZ236" s="26"/>
      <c r="EA236" s="26"/>
      <c r="EB236" s="26">
        <f t="shared" ca="1" si="161"/>
        <v>0</v>
      </c>
      <c r="EC236" s="26">
        <f t="shared" ca="1" si="162"/>
        <v>0</v>
      </c>
      <c r="ED236" s="26"/>
      <c r="EE236" s="26"/>
      <c r="EF236" s="26"/>
      <c r="EG236" s="26"/>
      <c r="EH236" s="26">
        <f t="shared" ca="1" si="163"/>
        <v>0.17079203999999937</v>
      </c>
      <c r="EI236" s="29">
        <f t="shared" ca="1" si="164"/>
        <v>-8.1177993943719884E-3</v>
      </c>
      <c r="EJ236" s="29"/>
      <c r="EK236" s="29"/>
      <c r="EL236" s="29"/>
      <c r="EM236" s="29"/>
      <c r="EN236" s="93"/>
      <c r="EO236" s="29"/>
      <c r="EP236" s="29"/>
      <c r="EQ236" s="29"/>
      <c r="ER236" s="29"/>
      <c r="ES236" s="29"/>
      <c r="ET236" s="29"/>
      <c r="EU236" s="93"/>
      <c r="EV236" s="29"/>
      <c r="EW236" s="29"/>
      <c r="EX236" s="29"/>
      <c r="EY236" s="29"/>
      <c r="EZ236" s="29"/>
      <c r="FA236" s="29"/>
      <c r="FB236" s="93"/>
      <c r="FC236" s="29"/>
      <c r="FD236" s="29"/>
      <c r="FE236" s="29"/>
      <c r="FF236" s="29"/>
      <c r="FG236" s="29"/>
      <c r="FH236" s="29"/>
      <c r="FI236" s="93"/>
      <c r="FJ236" s="29"/>
      <c r="FK236" s="29"/>
      <c r="FL236" s="29"/>
      <c r="FM236" s="29"/>
      <c r="FN236" s="29"/>
      <c r="FO236" s="29"/>
      <c r="FP236" s="93"/>
      <c r="FQ236" s="29"/>
      <c r="FR236" s="29"/>
      <c r="FS236" s="29"/>
      <c r="FT236" s="29"/>
      <c r="FU236" s="29"/>
      <c r="FV236" s="29"/>
    </row>
    <row r="237" spans="1:178" x14ac:dyDescent="0.25">
      <c r="A237" t="str">
        <f ca="1">IF(_xll.TM1RPTELISCONSOLIDATED($D$28,$D237),IF(_xll.TM1RPTELLEV($D$28,$D237)&lt;=3,_xll.TM1RPTELLEV($D$28,$D237),"D"),"N")</f>
        <v>N</v>
      </c>
      <c r="B237" t="str">
        <f ca="1">_xll.DBRA(Server&amp;"Management_organization",$D237,$B$27)</f>
        <v>L</v>
      </c>
      <c r="C237">
        <v>1</v>
      </c>
      <c r="D237" s="2" t="s">
        <v>280</v>
      </c>
      <c r="E237" s="26"/>
      <c r="F237" s="26"/>
      <c r="G237" s="16">
        <f ca="1">_xll.DBRW($D$4,$E$7,$E$8,$E$9,$E$10,$E$12,$D237,$E$6,G$18,G$17)</f>
        <v>2.784771089999996</v>
      </c>
      <c r="H237" s="16">
        <f ca="1">_xll.DBRW($D$4,$E$7,$E$8,$E$9,$E$10,$E$12,$D237,$E$6,H$18,H$17)</f>
        <v>-1.52934525</v>
      </c>
      <c r="I237" s="16">
        <f ca="1">_xll.DBRW($D$4,$E$7,$E$8,$E$9,$E$10,$E$12,$D237,$E$6,I$18,I$17)</f>
        <v>0</v>
      </c>
      <c r="J237" s="26">
        <f ca="1">_xll.DBRW($D$4,$E$7,$E$8,$E$9,$E$10,$E$12,$D237,$E$6,J$18,J$17)</f>
        <v>0</v>
      </c>
      <c r="K237" s="26">
        <f ca="1">_xll.DBRW($D$4,$E$7,$E$8,$E$9,$E$10,$E$12,$D237,$E$6,K$18,K$17)</f>
        <v>0</v>
      </c>
      <c r="L237" s="26">
        <f ca="1">_xll.DBRW($D$4,$E$7,$E$8,$E$9,$E$10,$E$12,$D237,$E$6,L$18,L$17)</f>
        <v>0</v>
      </c>
      <c r="M237" s="26">
        <f ca="1">_xll.DBRW($D$4,$E$7,$E$8,$E$9,$E$10,$E$12,$D237,$E$6,M$18,M$17)</f>
        <v>0</v>
      </c>
      <c r="N237" s="16">
        <f ca="1">_xll.DBRW($D$4,$E$7,$E$8,$E$9,$E$10,$E$12,$D237,$E$6,N$18,N$17)</f>
        <v>4.3141163399999964</v>
      </c>
      <c r="O237" s="16">
        <f ca="1">_xll.DBRW($D$4,$E$7,$E$8,$E$9,$E$10,$E$12,$D237,$E$6,O$18,O$17)</f>
        <v>33.162808689999999</v>
      </c>
      <c r="P237" s="74">
        <f ca="1">_xll.DBRW($D$4,$E$7,$E$8,$E$9,$E$10,$E$12,$D237,$E$6,P$18,P$17)</f>
        <v>-19.700274809999996</v>
      </c>
      <c r="Q237" s="16">
        <f ca="1">_xll.DBRW($D$4,$E$7,$E$8,$E$9,$E$10,$E$12,$D237,$E$6,Q$18,Q$17)</f>
        <v>0.59404723508658874</v>
      </c>
      <c r="R237" s="16"/>
      <c r="S237" s="16"/>
      <c r="T237" s="16"/>
      <c r="U237" s="16"/>
      <c r="V237" s="16">
        <f ca="1">_xll.DBRW($D$4,$E$7,$E$8,$E$9,$E$10,$E$12,$D237,$E$6,V$18,V$17)</f>
        <v>-3.6299616699999997</v>
      </c>
      <c r="W237" s="16">
        <f ca="1">_xll.DBRW($D$4,$E$7,$E$8,$E$9,$E$10,$E$12,$D237,$E$6,W$18,W$17)</f>
        <v>0.10945881285063132</v>
      </c>
      <c r="X237" s="16"/>
      <c r="Y237" s="16"/>
      <c r="Z237" s="16"/>
      <c r="AA237" s="16"/>
      <c r="AB237" s="16">
        <f ca="1">_xll.DBRW($D$4,$E$7,$E$8,$E$9,$E$10,$E$12,$D237,$E$6,AB$18,AB$17)</f>
        <v>-3.9732419300000004</v>
      </c>
      <c r="AC237" s="16">
        <f ca="1">_xll.DBRW($D$4,$E$7,$E$8,$E$9,$E$10,$E$12,$D237,$E$6,AC$18,AC$17)</f>
        <v>0.1198101755234653</v>
      </c>
      <c r="AD237" s="16"/>
      <c r="AE237" s="16"/>
      <c r="AF237" s="16"/>
      <c r="AG237" s="16"/>
      <c r="AH237" s="16">
        <f ca="1">_xll.DBRW($D$4,$E$7,$E$8,$E$9,$E$10,$E$12,$D237,$E$6,AH$18,AH$17)</f>
        <v>-1.9469999999999996E-4</v>
      </c>
      <c r="AI237" s="16">
        <f ca="1">_xll.DBRW($D$4,$E$7,$E$8,$E$9,$E$10,$E$12,$D237,$E$6,AI$18,AI$17)</f>
        <v>5.8710346828587631E-6</v>
      </c>
      <c r="AJ237" s="16"/>
      <c r="AK237" s="16"/>
      <c r="AL237" s="16"/>
      <c r="AM237" s="16"/>
      <c r="AN237" s="16">
        <f ca="1">_xll.DBRW($D$4,$E$7,$E$8,$E$9,$E$10,$E$12,$D237,$E$6,AN$18,AN$17)</f>
        <v>-1.54501924</v>
      </c>
      <c r="AO237" s="16">
        <f ca="1">_xll.DBRW($D$4,$E$7,$E$8,$E$9,$E$10,$E$12,$D237,$E$6,AO$18,AO$17)</f>
        <v>4.6588913937976831E-2</v>
      </c>
      <c r="AP237" s="16"/>
      <c r="AQ237" s="16"/>
      <c r="AR237" s="16"/>
      <c r="AS237" s="16"/>
      <c r="AT237" s="16">
        <f ca="1">_xll.DBRW($D$4,$E$7,$E$8,$E$9,$E$10,$E$12,$D237,$E$6,AT$18,AT$17)</f>
        <v>0.26037700000000003</v>
      </c>
      <c r="AU237" s="16">
        <f ca="1">_xll.DBRW($D$4,$E$7,$E$8,$E$9,$E$10,$E$12,$D237,$E$6,AU$18,AU$17)</f>
        <v>7.2527780000000002</v>
      </c>
      <c r="AV237" s="16">
        <f ca="1">_xll.DBRW($D$4,$E$7,$E$8,$E$9,$E$10,$E$12,$D237,$E$6,AV$18,AV$17)</f>
        <v>9.1413820000000001</v>
      </c>
      <c r="AW237" s="16">
        <f ca="1">_xll.DBRW($D$4,$E$7,$E$8,$E$9,$E$10,$E$12,$D237,$E$6,AW$18,AW$17)</f>
        <v>7.2527780000000002</v>
      </c>
      <c r="AX237" s="16">
        <f ca="1">_xll.DBRW($D$4,$E$7,$E$8,$E$9,$E$10,$E$12,$D237,$E$6,AX$18,AX$17)</f>
        <v>3.5182180000000001</v>
      </c>
      <c r="AY237" s="16">
        <f ca="1">_xll.DBRW($D$4,$E$7,$E$8,$E$9,$E$10,$E$12,$D237,$E$6,AY$18,AY$17)</f>
        <v>7.2527780000000002</v>
      </c>
      <c r="AZ237" s="16">
        <f ca="1">_xll.DBRW($D$4,$E$7,$E$8,$E$9,$E$10,$E$12,$D237,$E$6,AZ$18,AZ$17)</f>
        <v>1.9580000000000002E-4</v>
      </c>
      <c r="BA237" s="16">
        <f ca="1">_xll.DBRW($D$4,$E$7,$E$8,$E$9,$E$10,$E$12,$D237,$E$6,BA$18,BA$17)</f>
        <v>7.2527780000000002</v>
      </c>
      <c r="BB237" s="16">
        <f ca="1">_xll.DBRW($D$4,$E$7,$E$8,$E$9,$E$10,$E$12,$D237,$E$6,BB$18,BB$17)</f>
        <v>7.2527780000000002</v>
      </c>
      <c r="BC237" s="16">
        <f ca="1">_xll.DBRW($D$4,$E$7,$E$8,$E$9,$E$10,$E$12,$D237,$E$6,BC$18,BC$17)</f>
        <v>7.2527780000000002</v>
      </c>
      <c r="BD237" s="16">
        <f ca="1">_xll.DBRW($D$4,$E$7,$E$8,$E$9,$E$10,$E$12,$D237,$E$6,BD$18,BD$17)</f>
        <v>2.682501639999999</v>
      </c>
      <c r="BE237" s="16">
        <f ca="1">_xll.DBRW($D$4,$E$7,$E$8,$E$9,$E$10,$E$12,$D237,$E$6,BE$18,BE$17)</f>
        <v>-2.2615992799999995</v>
      </c>
      <c r="BF237" s="16">
        <f ca="1">_xll.DBRW($D$4,$E$7,$E$8,$E$9,$E$10,$E$12,$D237,$E$6,BF$18,BF$17)</f>
        <v>0</v>
      </c>
      <c r="BG237" s="26">
        <f ca="1">_xll.DBRW($D$4,$E$7,$E$8,$E$9,$E$10,$E$12,$D237,$E$6,BG$18,BG$17)</f>
        <v>0</v>
      </c>
      <c r="BH237" s="26">
        <f ca="1">_xll.DBRW($D$4,$E$7,$E$8,$E$9,$E$10,$E$12,$D237,$E$6,BH$18,BH$17)</f>
        <v>0</v>
      </c>
      <c r="BI237" s="26">
        <f ca="1">_xll.DBRW($D$4,$E$7,$E$8,$E$9,$E$10,$E$12,$D237,$E$6,BI$18,BI$17)</f>
        <v>0</v>
      </c>
      <c r="BJ237" s="26">
        <f ca="1">_xll.DBRW($D$4,$E$7,$E$8,$E$9,$E$10,$E$12,$D237,$E$6,BJ$18,BJ$17)</f>
        <v>0</v>
      </c>
      <c r="BK237" s="16">
        <f ca="1">_xll.DBRW($D$4,$E$7,$E$8,$E$9,$E$10,$E$12,$D237,$E$6,BK$18,BK$17)</f>
        <v>4.9441009199999986</v>
      </c>
      <c r="BL237" s="16">
        <f ca="1">_xll.DBRW($D$4,$E$7,$E$8,$E$9,$E$10,$E$12,$D237,$E$6,BL$18,BL$17)</f>
        <v>35.637948539999996</v>
      </c>
      <c r="BM237" s="16">
        <f ca="1">_xll.DBRW($D$4,$E$7,$E$8,$E$9,$E$10,$E$12,$D237,$E$6,BM$18,BM$17)</f>
        <v>-21.287972660000001</v>
      </c>
      <c r="BN237" s="16">
        <f ca="1">_xll.DBRW($D$4,$E$7,$E$8,$E$9,$E$10,$E$12,$D237,$E$6,BN$18,BN$17)</f>
        <v>0.59734001344399501</v>
      </c>
      <c r="BO237" s="16"/>
      <c r="BP237" s="16"/>
      <c r="BQ237" s="16"/>
      <c r="BR237" s="16"/>
      <c r="BS237" s="16">
        <f ca="1">_xll.DBRW($D$4,$E$7,$E$8,$E$9,$E$10,$E$12,$D237,$E$6,BS$18,BS$17)</f>
        <v>-4.9118561299999994</v>
      </c>
      <c r="BT237" s="16">
        <f ca="1">_xll.DBRW($D$4,$E$7,$E$8,$E$9,$E$10,$E$12,$D237,$E$6,BT$18,BT$17)</f>
        <v>0.13782656778032376</v>
      </c>
      <c r="BU237" s="16"/>
      <c r="BV237" s="16"/>
      <c r="BW237" s="16"/>
      <c r="BX237" s="16"/>
      <c r="BY237" s="16">
        <f ca="1">_xll.DBRW($D$4,$E$7,$E$8,$E$9,$E$10,$E$12,$D237,$E$6,BY$18,BY$17)</f>
        <v>-3.4937571099999998</v>
      </c>
      <c r="BZ237" s="16">
        <f ca="1">_xll.DBRW($D$4,$E$7,$E$8,$E$9,$E$10,$E$12,$D237,$E$6,BZ$18,BZ$17)</f>
        <v>9.8034742546378909E-2</v>
      </c>
      <c r="CA237" s="16"/>
      <c r="CB237" s="16"/>
      <c r="CC237" s="16"/>
      <c r="CD237" s="16"/>
      <c r="CE237" s="16">
        <f ca="1">_xll.DBRW($D$4,$E$7,$E$8,$E$9,$E$10,$E$12,$D237,$E$6,CE$18,CE$17)</f>
        <v>0</v>
      </c>
      <c r="CF237" s="16">
        <f ca="1">_xll.DBRW($D$4,$E$7,$E$8,$E$9,$E$10,$E$12,$D237,$E$6,CF$18,CF$17)</f>
        <v>0</v>
      </c>
      <c r="CG237" s="16"/>
      <c r="CH237" s="16"/>
      <c r="CI237" s="16"/>
      <c r="CJ237" s="16"/>
      <c r="CK237" s="16">
        <f ca="1">_xll.DBRW($D$4,$E$7,$E$8,$E$9,$E$10,$E$12,$D237,$E$6,CK$18,CK$17)</f>
        <v>-1.0002617199999999</v>
      </c>
      <c r="CL237" s="16">
        <f ca="1">_xll.DBRW($D$4,$E$7,$E$8,$E$9,$E$10,$E$12,$D237,$E$6,CL$18,CL$17)</f>
        <v>2.8067320398010766E-2</v>
      </c>
      <c r="CM237" s="16"/>
      <c r="CN237" s="16"/>
      <c r="CO237" s="16"/>
      <c r="CP237" s="16"/>
      <c r="CQ237" s="16">
        <f ca="1">_xll.DBRW($D$4,$E$7,$E$8,$E$9,$E$10,$E$12,$D237,$E$6,CQ$18,CQ$17)</f>
        <v>0.28586499999999992</v>
      </c>
      <c r="CR237" s="16">
        <f ca="1">_xll.DBRW($D$4,$E$7,$E$8,$E$9,$E$10,$E$12,$D237,$E$6,CR$18,CR$17)</f>
        <v>7.9338999999999995</v>
      </c>
      <c r="CS237" s="16">
        <f ca="1">_xll.DBRW($D$4,$E$7,$E$8,$E$9,$E$10,$E$12,$D237,$E$6,CS$18,CS$17)</f>
        <v>9.9507539999999999</v>
      </c>
      <c r="CT237" s="16">
        <f ca="1">_xll.DBRW($D$4,$E$7,$E$8,$E$9,$E$10,$E$12,$D237,$E$6,CT$18,CT$17)</f>
        <v>7.9338999999999995</v>
      </c>
      <c r="CU237" s="16">
        <f ca="1">_xll.DBRW($D$4,$E$7,$E$8,$E$9,$E$10,$E$12,$D237,$E$6,CU$18,CU$17)</f>
        <v>3.9802989999999991</v>
      </c>
      <c r="CV237" s="16">
        <f ca="1">_xll.DBRW($D$4,$E$7,$E$8,$E$9,$E$10,$E$12,$D237,$E$6,CV$18,CV$17)</f>
        <v>7.9338999999999995</v>
      </c>
      <c r="CW237" s="16">
        <f ca="1">_xll.DBRW($D$4,$E$7,$E$8,$E$9,$E$10,$E$12,$D237,$E$6,CW$18,CW$17)</f>
        <v>1.7999999999999998E-4</v>
      </c>
      <c r="CX237" s="16">
        <f ca="1">_xll.DBRW($D$4,$E$7,$E$8,$E$9,$E$10,$E$12,$D237,$E$6,CX$18,CX$17)</f>
        <v>7.9338999999999995</v>
      </c>
      <c r="CY237" s="16">
        <f ca="1">_xll.DBRW($D$4,$E$7,$E$8,$E$9,$E$10,$E$12,$D237,$E$6,CY$18,CY$17)</f>
        <v>7.9338999999999995</v>
      </c>
      <c r="CZ237" s="16">
        <f ca="1">_xll.DBRW($D$4,$E$7,$E$8,$E$9,$E$10,$E$12,$D237,$E$6,CZ$18,CZ$17)</f>
        <v>7.9338999999999995</v>
      </c>
      <c r="DA237" s="26">
        <f t="shared" ca="1" si="146"/>
        <v>0.10226944999999699</v>
      </c>
      <c r="DB237" s="26">
        <f t="shared" ca="1" si="147"/>
        <v>0.73225402999999956</v>
      </c>
      <c r="DC237" s="26">
        <f t="shared" ca="1" si="148"/>
        <v>0</v>
      </c>
      <c r="DD237" s="26">
        <f t="shared" ca="1" si="149"/>
        <v>0</v>
      </c>
      <c r="DE237" s="26">
        <f t="shared" ca="1" si="150"/>
        <v>0</v>
      </c>
      <c r="DF237" s="26">
        <f t="shared" ca="1" si="151"/>
        <v>0</v>
      </c>
      <c r="DG237" s="26">
        <f t="shared" ca="1" si="152"/>
        <v>0</v>
      </c>
      <c r="DH237" s="26">
        <f t="shared" ca="1" si="153"/>
        <v>-0.62998458000000213</v>
      </c>
      <c r="DI237" s="26">
        <f t="shared" ca="1" si="154"/>
        <v>-2.4751398499999979</v>
      </c>
      <c r="DJ237" s="26">
        <f t="shared" ca="1" si="155"/>
        <v>1.587697850000005</v>
      </c>
      <c r="DK237" s="26">
        <f t="shared" ca="1" si="156"/>
        <v>-3.2927783574062675E-3</v>
      </c>
      <c r="DL237" s="26"/>
      <c r="DM237" s="26"/>
      <c r="DN237" s="26"/>
      <c r="DO237" s="26"/>
      <c r="DP237" s="26">
        <f t="shared" ca="1" si="157"/>
        <v>1.2818944599999997</v>
      </c>
      <c r="DQ237" s="26">
        <f t="shared" ca="1" si="158"/>
        <v>-2.8367754929692443E-2</v>
      </c>
      <c r="DR237" s="26"/>
      <c r="DS237" s="26"/>
      <c r="DT237" s="26"/>
      <c r="DU237" s="26"/>
      <c r="DV237" s="26">
        <f t="shared" ca="1" si="159"/>
        <v>-0.47948482000000059</v>
      </c>
      <c r="DW237" s="26">
        <f t="shared" ca="1" si="160"/>
        <v>2.1775432977086395E-2</v>
      </c>
      <c r="DX237" s="26"/>
      <c r="DY237" s="26"/>
      <c r="DZ237" s="26"/>
      <c r="EA237" s="26"/>
      <c r="EB237" s="26">
        <f t="shared" ca="1" si="161"/>
        <v>-1.9469999999999996E-4</v>
      </c>
      <c r="EC237" s="26">
        <f t="shared" ca="1" si="162"/>
        <v>5.8710346828587631E-6</v>
      </c>
      <c r="ED237" s="26"/>
      <c r="EE237" s="26"/>
      <c r="EF237" s="26"/>
      <c r="EG237" s="26"/>
      <c r="EH237" s="26">
        <f t="shared" ca="1" si="163"/>
        <v>-0.54475752000000011</v>
      </c>
      <c r="EI237" s="29">
        <f t="shared" ca="1" si="164"/>
        <v>1.8521593539966064E-2</v>
      </c>
      <c r="EJ237" s="29"/>
      <c r="EK237" s="29"/>
      <c r="EL237" s="29"/>
      <c r="EM237" s="29"/>
      <c r="EN237" s="93"/>
      <c r="EO237" s="29"/>
      <c r="EP237" s="29"/>
      <c r="EQ237" s="29"/>
      <c r="ER237" s="29"/>
      <c r="ES237" s="29"/>
      <c r="ET237" s="29"/>
      <c r="EU237" s="93"/>
      <c r="EV237" s="29"/>
      <c r="EW237" s="29"/>
      <c r="EX237" s="29"/>
      <c r="EY237" s="29"/>
      <c r="EZ237" s="29"/>
      <c r="FA237" s="29"/>
      <c r="FB237" s="93"/>
      <c r="FC237" s="29"/>
      <c r="FD237" s="29"/>
      <c r="FE237" s="29"/>
      <c r="FF237" s="29"/>
      <c r="FG237" s="29"/>
      <c r="FH237" s="29"/>
      <c r="FI237" s="93"/>
      <c r="FJ237" s="29"/>
      <c r="FK237" s="29"/>
      <c r="FL237" s="29"/>
      <c r="FM237" s="29"/>
      <c r="FN237" s="29"/>
      <c r="FO237" s="29"/>
      <c r="FP237" s="93"/>
      <c r="FQ237" s="29"/>
      <c r="FR237" s="29"/>
      <c r="FS237" s="29"/>
      <c r="FT237" s="29"/>
      <c r="FU237" s="29"/>
      <c r="FV237" s="29"/>
    </row>
    <row r="238" spans="1:178" x14ac:dyDescent="0.25">
      <c r="A238" t="str">
        <f ca="1">IF(_xll.TM1RPTELISCONSOLIDATED($D$28,$D238),IF(_xll.TM1RPTELLEV($D$28,$D238)&lt;=3,_xll.TM1RPTELLEV($D$28,$D238),"D"),"N")</f>
        <v>N</v>
      </c>
      <c r="B238" t="str">
        <f ca="1">_xll.DBRA(Server&amp;"Management_organization",$D238,$B$27)</f>
        <v>L</v>
      </c>
      <c r="C238">
        <v>1</v>
      </c>
      <c r="D238" s="2" t="s">
        <v>281</v>
      </c>
      <c r="E238" s="26"/>
      <c r="F238" s="26"/>
      <c r="G238" s="16">
        <f ca="1">_xll.DBRW($D$4,$E$7,$E$8,$E$9,$E$10,$E$12,$D238,$E$6,G$18,G$17)</f>
        <v>3.8077478399999962</v>
      </c>
      <c r="H238" s="16">
        <f ca="1">_xll.DBRW($D$4,$E$7,$E$8,$E$9,$E$10,$E$12,$D238,$E$6,H$18,H$17)</f>
        <v>-2.1378717999999997</v>
      </c>
      <c r="I238" s="16">
        <f ca="1">_xll.DBRW($D$4,$E$7,$E$8,$E$9,$E$10,$E$12,$D238,$E$6,I$18,I$17)</f>
        <v>0</v>
      </c>
      <c r="J238" s="26">
        <f ca="1">_xll.DBRW($D$4,$E$7,$E$8,$E$9,$E$10,$E$12,$D238,$E$6,J$18,J$17)</f>
        <v>0</v>
      </c>
      <c r="K238" s="26">
        <f ca="1">_xll.DBRW($D$4,$E$7,$E$8,$E$9,$E$10,$E$12,$D238,$E$6,K$18,K$17)</f>
        <v>0</v>
      </c>
      <c r="L238" s="26">
        <f ca="1">_xll.DBRW($D$4,$E$7,$E$8,$E$9,$E$10,$E$12,$D238,$E$6,L$18,L$17)</f>
        <v>0</v>
      </c>
      <c r="M238" s="26">
        <f ca="1">_xll.DBRW($D$4,$E$7,$E$8,$E$9,$E$10,$E$12,$D238,$E$6,M$18,M$17)</f>
        <v>0</v>
      </c>
      <c r="N238" s="16">
        <f ca="1">_xll.DBRW($D$4,$E$7,$E$8,$E$9,$E$10,$E$12,$D238,$E$6,N$18,N$17)</f>
        <v>5.9456196399999968</v>
      </c>
      <c r="O238" s="16">
        <f ca="1">_xll.DBRW($D$4,$E$7,$E$8,$E$9,$E$10,$E$12,$D238,$E$6,O$18,O$17)</f>
        <v>24.599102219999999</v>
      </c>
      <c r="P238" s="74">
        <f ca="1">_xll.DBRW($D$4,$E$7,$E$8,$E$9,$E$10,$E$12,$D238,$E$6,P$18,P$17)</f>
        <v>-8.1142339499999991</v>
      </c>
      <c r="Q238" s="16">
        <f ca="1">_xll.DBRW($D$4,$E$7,$E$8,$E$9,$E$10,$E$12,$D238,$E$6,Q$18,Q$17)</f>
        <v>0.32985894677907474</v>
      </c>
      <c r="R238" s="16"/>
      <c r="S238" s="16"/>
      <c r="T238" s="16"/>
      <c r="U238" s="16"/>
      <c r="V238" s="16">
        <f ca="1">_xll.DBRW($D$4,$E$7,$E$8,$E$9,$E$10,$E$12,$D238,$E$6,V$18,V$17)</f>
        <v>-3.2598041099999988</v>
      </c>
      <c r="W238" s="16">
        <f ca="1">_xll.DBRW($D$4,$E$7,$E$8,$E$9,$E$10,$E$12,$D238,$E$6,W$18,W$17)</f>
        <v>0.13251719842643911</v>
      </c>
      <c r="X238" s="16"/>
      <c r="Y238" s="16"/>
      <c r="Z238" s="16"/>
      <c r="AA238" s="16"/>
      <c r="AB238" s="16">
        <f ca="1">_xll.DBRW($D$4,$E$7,$E$8,$E$9,$E$10,$E$12,$D238,$E$6,AB$18,AB$17)</f>
        <v>-1.8544065499999998</v>
      </c>
      <c r="AC238" s="16">
        <f ca="1">_xll.DBRW($D$4,$E$7,$E$8,$E$9,$E$10,$E$12,$D238,$E$6,AC$18,AC$17)</f>
        <v>7.5385131270859843E-2</v>
      </c>
      <c r="AD238" s="16"/>
      <c r="AE238" s="16"/>
      <c r="AF238" s="16"/>
      <c r="AG238" s="16"/>
      <c r="AH238" s="16">
        <f ca="1">_xll.DBRW($D$4,$E$7,$E$8,$E$9,$E$10,$E$12,$D238,$E$6,AH$18,AH$17)</f>
        <v>-2.5929746900000001</v>
      </c>
      <c r="AI238" s="16">
        <f ca="1">_xll.DBRW($D$4,$E$7,$E$8,$E$9,$E$10,$E$12,$D238,$E$6,AI$18,AI$17)</f>
        <v>0.10540932212931794</v>
      </c>
      <c r="AJ238" s="16"/>
      <c r="AK238" s="16"/>
      <c r="AL238" s="16"/>
      <c r="AM238" s="16"/>
      <c r="AN238" s="16">
        <f ca="1">_xll.DBRW($D$4,$E$7,$E$8,$E$9,$E$10,$E$12,$D238,$E$6,AN$18,AN$17)</f>
        <v>-2.8320632800000003</v>
      </c>
      <c r="AO238" s="16">
        <f ca="1">_xll.DBRW($D$4,$E$7,$E$8,$E$9,$E$10,$E$12,$D238,$E$6,AO$18,AO$17)</f>
        <v>0.11512872521410257</v>
      </c>
      <c r="AP238" s="16"/>
      <c r="AQ238" s="16"/>
      <c r="AR238" s="16"/>
      <c r="AS238" s="16"/>
      <c r="AT238" s="16">
        <f ca="1">_xll.DBRW($D$4,$E$7,$E$8,$E$9,$E$10,$E$12,$D238,$E$6,AT$18,AT$17)</f>
        <v>0.21799999999999997</v>
      </c>
      <c r="AU238" s="16">
        <f ca="1">_xll.DBRW($D$4,$E$7,$E$8,$E$9,$E$10,$E$12,$D238,$E$6,AU$18,AU$17)</f>
        <v>0.107</v>
      </c>
      <c r="AV238" s="16">
        <f ca="1">_xll.DBRW($D$4,$E$7,$E$8,$E$9,$E$10,$E$12,$D238,$E$6,AV$18,AV$17)</f>
        <v>4.5709999999999997</v>
      </c>
      <c r="AW238" s="16">
        <f ca="1">_xll.DBRW($D$4,$E$7,$E$8,$E$9,$E$10,$E$12,$D238,$E$6,AW$18,AW$17)</f>
        <v>0.107</v>
      </c>
      <c r="AX238" s="16">
        <f ca="1">_xll.DBRW($D$4,$E$7,$E$8,$E$9,$E$10,$E$12,$D238,$E$6,AX$18,AX$17)</f>
        <v>1.9260000000000002</v>
      </c>
      <c r="AY238" s="16">
        <f ca="1">_xll.DBRW($D$4,$E$7,$E$8,$E$9,$E$10,$E$12,$D238,$E$6,AY$18,AY$17)</f>
        <v>0.107</v>
      </c>
      <c r="AZ238" s="16">
        <f ca="1">_xll.DBRW($D$4,$E$7,$E$8,$E$9,$E$10,$E$12,$D238,$E$6,AZ$18,AZ$17)</f>
        <v>1.3600000000000003E-4</v>
      </c>
      <c r="BA238" s="16">
        <f ca="1">_xll.DBRW($D$4,$E$7,$E$8,$E$9,$E$10,$E$12,$D238,$E$6,BA$18,BA$17)</f>
        <v>0.107</v>
      </c>
      <c r="BB238" s="16">
        <f ca="1">_xll.DBRW($D$4,$E$7,$E$8,$E$9,$E$10,$E$12,$D238,$E$6,BB$18,BB$17)</f>
        <v>0.107</v>
      </c>
      <c r="BC238" s="16">
        <f ca="1">_xll.DBRW($D$4,$E$7,$E$8,$E$9,$E$10,$E$12,$D238,$E$6,BC$18,BC$17)</f>
        <v>0.107</v>
      </c>
      <c r="BD238" s="16">
        <f ca="1">_xll.DBRW($D$4,$E$7,$E$8,$E$9,$E$10,$E$12,$D238,$E$6,BD$18,BD$17)</f>
        <v>3.1457554599999922</v>
      </c>
      <c r="BE238" s="16">
        <f ca="1">_xll.DBRW($D$4,$E$7,$E$8,$E$9,$E$10,$E$12,$D238,$E$6,BE$18,BE$17)</f>
        <v>-2.6764398999999996</v>
      </c>
      <c r="BF238" s="16">
        <f ca="1">_xll.DBRW($D$4,$E$7,$E$8,$E$9,$E$10,$E$12,$D238,$E$6,BF$18,BF$17)</f>
        <v>0</v>
      </c>
      <c r="BG238" s="26">
        <f ca="1">_xll.DBRW($D$4,$E$7,$E$8,$E$9,$E$10,$E$12,$D238,$E$6,BG$18,BG$17)</f>
        <v>0</v>
      </c>
      <c r="BH238" s="26">
        <f ca="1">_xll.DBRW($D$4,$E$7,$E$8,$E$9,$E$10,$E$12,$D238,$E$6,BH$18,BH$17)</f>
        <v>0</v>
      </c>
      <c r="BI238" s="26">
        <f ca="1">_xll.DBRW($D$4,$E$7,$E$8,$E$9,$E$10,$E$12,$D238,$E$6,BI$18,BI$17)</f>
        <v>0</v>
      </c>
      <c r="BJ238" s="26">
        <f ca="1">_xll.DBRW($D$4,$E$7,$E$8,$E$9,$E$10,$E$12,$D238,$E$6,BJ$18,BJ$17)</f>
        <v>0</v>
      </c>
      <c r="BK238" s="16">
        <f ca="1">_xll.DBRW($D$4,$E$7,$E$8,$E$9,$E$10,$E$12,$D238,$E$6,BK$18,BK$17)</f>
        <v>5.8221953599999914</v>
      </c>
      <c r="BL238" s="16">
        <f ca="1">_xll.DBRW($D$4,$E$7,$E$8,$E$9,$E$10,$E$12,$D238,$E$6,BL$18,BL$17)</f>
        <v>27.017447219999994</v>
      </c>
      <c r="BM238" s="16">
        <f ca="1">_xll.DBRW($D$4,$E$7,$E$8,$E$9,$E$10,$E$12,$D238,$E$6,BM$18,BM$17)</f>
        <v>-8.8786920299999998</v>
      </c>
      <c r="BN238" s="16">
        <f ca="1">_xll.DBRW($D$4,$E$7,$E$8,$E$9,$E$10,$E$12,$D238,$E$6,BN$18,BN$17)</f>
        <v>0.32862808827576573</v>
      </c>
      <c r="BO238" s="16"/>
      <c r="BP238" s="16"/>
      <c r="BQ238" s="16"/>
      <c r="BR238" s="16"/>
      <c r="BS238" s="16">
        <f ca="1">_xll.DBRW($D$4,$E$7,$E$8,$E$9,$E$10,$E$12,$D238,$E$6,BS$18,BS$17)</f>
        <v>-3.7318507099999998</v>
      </c>
      <c r="BT238" s="16">
        <f ca="1">_xll.DBRW($D$4,$E$7,$E$8,$E$9,$E$10,$E$12,$D238,$E$6,BT$18,BT$17)</f>
        <v>0.13812743593471155</v>
      </c>
      <c r="BU238" s="16"/>
      <c r="BV238" s="16"/>
      <c r="BW238" s="16"/>
      <c r="BX238" s="16"/>
      <c r="BY238" s="16">
        <f ca="1">_xll.DBRW($D$4,$E$7,$E$8,$E$9,$E$10,$E$12,$D238,$E$6,BY$18,BY$17)</f>
        <v>-1.7212215799999999</v>
      </c>
      <c r="BZ238" s="16">
        <f ca="1">_xll.DBRW($D$4,$E$7,$E$8,$E$9,$E$10,$E$12,$D238,$E$6,BZ$18,BZ$17)</f>
        <v>6.3707779864777325E-2</v>
      </c>
      <c r="CA238" s="16"/>
      <c r="CB238" s="16"/>
      <c r="CC238" s="16"/>
      <c r="CD238" s="16"/>
      <c r="CE238" s="16">
        <f ca="1">_xll.DBRW($D$4,$E$7,$E$8,$E$9,$E$10,$E$12,$D238,$E$6,CE$18,CE$17)</f>
        <v>-3.10289584</v>
      </c>
      <c r="CF238" s="16">
        <f ca="1">_xll.DBRW($D$4,$E$7,$E$8,$E$9,$E$10,$E$12,$D238,$E$6,CF$18,CF$17)</f>
        <v>0.11484785423039685</v>
      </c>
      <c r="CG238" s="16"/>
      <c r="CH238" s="16"/>
      <c r="CI238" s="16"/>
      <c r="CJ238" s="16"/>
      <c r="CK238" s="16">
        <f ca="1">_xll.DBRW($D$4,$E$7,$E$8,$E$9,$E$10,$E$12,$D238,$E$6,CK$18,CK$17)</f>
        <v>-3.7605916999999991</v>
      </c>
      <c r="CL238" s="16">
        <f ca="1">_xll.DBRW($D$4,$E$7,$E$8,$E$9,$E$10,$E$12,$D238,$E$6,CL$18,CL$17)</f>
        <v>0.13919122962942906</v>
      </c>
      <c r="CM238" s="16"/>
      <c r="CN238" s="16"/>
      <c r="CO238" s="16"/>
      <c r="CP238" s="16"/>
      <c r="CQ238" s="16">
        <f ca="1">_xll.DBRW($D$4,$E$7,$E$8,$E$9,$E$10,$E$12,$D238,$E$6,CQ$18,CQ$17)</f>
        <v>0.22099999999999997</v>
      </c>
      <c r="CR238" s="16">
        <f ca="1">_xll.DBRW($D$4,$E$7,$E$8,$E$9,$E$10,$E$12,$D238,$E$6,CR$18,CR$17)</f>
        <v>0.11699999999999998</v>
      </c>
      <c r="CS238" s="16">
        <f ca="1">_xll.DBRW($D$4,$E$7,$E$8,$E$9,$E$10,$E$12,$D238,$E$6,CS$18,CS$17)</f>
        <v>5.2670000000000003</v>
      </c>
      <c r="CT238" s="16">
        <f ca="1">_xll.DBRW($D$4,$E$7,$E$8,$E$9,$E$10,$E$12,$D238,$E$6,CT$18,CT$17)</f>
        <v>0.11699999999999998</v>
      </c>
      <c r="CU238" s="16">
        <f ca="1">_xll.DBRW($D$4,$E$7,$E$8,$E$9,$E$10,$E$12,$D238,$E$6,CU$18,CU$17)</f>
        <v>2.2120000000000002</v>
      </c>
      <c r="CV238" s="16">
        <f ca="1">_xll.DBRW($D$4,$E$7,$E$8,$E$9,$E$10,$E$12,$D238,$E$6,CV$18,CV$17)</f>
        <v>0.11699999999999998</v>
      </c>
      <c r="CW238" s="16">
        <f ca="1">_xll.DBRW($D$4,$E$7,$E$8,$E$9,$E$10,$E$12,$D238,$E$6,CW$18,CW$17)</f>
        <v>1.2581818181818183E-4</v>
      </c>
      <c r="CX238" s="16">
        <f ca="1">_xll.DBRW($D$4,$E$7,$E$8,$E$9,$E$10,$E$12,$D238,$E$6,CX$18,CX$17)</f>
        <v>0.11699999999999998</v>
      </c>
      <c r="CY238" s="16">
        <f ca="1">_xll.DBRW($D$4,$E$7,$E$8,$E$9,$E$10,$E$12,$D238,$E$6,CY$18,CY$17)</f>
        <v>0.11699999999999998</v>
      </c>
      <c r="CZ238" s="16">
        <f ca="1">_xll.DBRW($D$4,$E$7,$E$8,$E$9,$E$10,$E$12,$D238,$E$6,CZ$18,CZ$17)</f>
        <v>0.11699999999999998</v>
      </c>
      <c r="DA238" s="26">
        <f t="shared" ca="1" si="146"/>
        <v>0.66199238000000404</v>
      </c>
      <c r="DB238" s="26">
        <f t="shared" ca="1" si="147"/>
        <v>0.53856809999999999</v>
      </c>
      <c r="DC238" s="26">
        <f t="shared" ca="1" si="148"/>
        <v>0</v>
      </c>
      <c r="DD238" s="26">
        <f t="shared" ca="1" si="149"/>
        <v>0</v>
      </c>
      <c r="DE238" s="26">
        <f t="shared" ca="1" si="150"/>
        <v>0</v>
      </c>
      <c r="DF238" s="26">
        <f t="shared" ca="1" si="151"/>
        <v>0</v>
      </c>
      <c r="DG238" s="26">
        <f t="shared" ca="1" si="152"/>
        <v>0</v>
      </c>
      <c r="DH238" s="26">
        <f t="shared" ca="1" si="153"/>
        <v>0.12342428000000538</v>
      </c>
      <c r="DI238" s="26">
        <f t="shared" ca="1" si="154"/>
        <v>-2.4183449999999951</v>
      </c>
      <c r="DJ238" s="26">
        <f t="shared" ca="1" si="155"/>
        <v>0.76445808000000071</v>
      </c>
      <c r="DK238" s="26">
        <f t="shared" ca="1" si="156"/>
        <v>1.2308585033090069E-3</v>
      </c>
      <c r="DL238" s="26"/>
      <c r="DM238" s="26"/>
      <c r="DN238" s="26"/>
      <c r="DO238" s="26"/>
      <c r="DP238" s="26">
        <f t="shared" ca="1" si="157"/>
        <v>0.47204660000000098</v>
      </c>
      <c r="DQ238" s="26">
        <f t="shared" ca="1" si="158"/>
        <v>-5.6102375082724421E-3</v>
      </c>
      <c r="DR238" s="26"/>
      <c r="DS238" s="26"/>
      <c r="DT238" s="26"/>
      <c r="DU238" s="26"/>
      <c r="DV238" s="26">
        <f t="shared" ca="1" si="159"/>
        <v>-0.13318496999999985</v>
      </c>
      <c r="DW238" s="26">
        <f t="shared" ca="1" si="160"/>
        <v>1.1677351406082517E-2</v>
      </c>
      <c r="DX238" s="26"/>
      <c r="DY238" s="26"/>
      <c r="DZ238" s="26"/>
      <c r="EA238" s="26"/>
      <c r="EB238" s="26">
        <f t="shared" ca="1" si="161"/>
        <v>0.50992114999999982</v>
      </c>
      <c r="EC238" s="26">
        <f t="shared" ca="1" si="162"/>
        <v>-9.4385321010789086E-3</v>
      </c>
      <c r="ED238" s="26"/>
      <c r="EE238" s="26"/>
      <c r="EF238" s="26"/>
      <c r="EG238" s="26"/>
      <c r="EH238" s="26">
        <f t="shared" ca="1" si="163"/>
        <v>0.9285284199999988</v>
      </c>
      <c r="EI238" s="29">
        <f t="shared" ca="1" si="164"/>
        <v>-2.4062504415326494E-2</v>
      </c>
      <c r="EJ238" s="29"/>
      <c r="EK238" s="29"/>
      <c r="EL238" s="29"/>
      <c r="EM238" s="29"/>
      <c r="EN238" s="93"/>
      <c r="EO238" s="29"/>
      <c r="EP238" s="29"/>
      <c r="EQ238" s="29"/>
      <c r="ER238" s="29"/>
      <c r="ES238" s="29"/>
      <c r="ET238" s="29"/>
      <c r="EU238" s="93"/>
      <c r="EV238" s="29"/>
      <c r="EW238" s="29"/>
      <c r="EX238" s="29"/>
      <c r="EY238" s="29"/>
      <c r="EZ238" s="29"/>
      <c r="FA238" s="29"/>
      <c r="FB238" s="93"/>
      <c r="FC238" s="29"/>
      <c r="FD238" s="29"/>
      <c r="FE238" s="29"/>
      <c r="FF238" s="29"/>
      <c r="FG238" s="29"/>
      <c r="FH238" s="29"/>
      <c r="FI238" s="93"/>
      <c r="FJ238" s="29"/>
      <c r="FK238" s="29"/>
      <c r="FL238" s="29"/>
      <c r="FM238" s="29"/>
      <c r="FN238" s="29"/>
      <c r="FO238" s="29"/>
      <c r="FP238" s="93"/>
      <c r="FQ238" s="29"/>
      <c r="FR238" s="29"/>
      <c r="FS238" s="29"/>
      <c r="FT238" s="29"/>
      <c r="FU238" s="29"/>
      <c r="FV238" s="29"/>
    </row>
    <row r="239" spans="1:178" x14ac:dyDescent="0.25">
      <c r="A239" t="str">
        <f ca="1">IF(_xll.TM1RPTELISCONSOLIDATED($D$28,$D239),IF(_xll.TM1RPTELLEV($D$28,$D239)&lt;=3,_xll.TM1RPTELLEV($D$28,$D239),"D"),"N")</f>
        <v>N</v>
      </c>
      <c r="B239" t="str">
        <f ca="1">_xll.DBRA(Server&amp;"Management_organization",$D239,$B$27)</f>
        <v>L</v>
      </c>
      <c r="C239">
        <v>1</v>
      </c>
      <c r="D239" s="2" t="s">
        <v>287</v>
      </c>
      <c r="E239" s="26"/>
      <c r="F239" s="26"/>
      <c r="G239" s="16">
        <f ca="1">_xll.DBRW($D$4,$E$7,$E$8,$E$9,$E$10,$E$12,$D239,$E$6,G$18,G$17)</f>
        <v>-17.176010850000001</v>
      </c>
      <c r="H239" s="16">
        <f ca="1">_xll.DBRW($D$4,$E$7,$E$8,$E$9,$E$10,$E$12,$D239,$E$6,H$18,H$17)</f>
        <v>-10.673916709999999</v>
      </c>
      <c r="I239" s="16">
        <f ca="1">_xll.DBRW($D$4,$E$7,$E$8,$E$9,$E$10,$E$12,$D239,$E$6,I$18,I$17)</f>
        <v>0</v>
      </c>
      <c r="J239" s="26">
        <f ca="1">_xll.DBRW($D$4,$E$7,$E$8,$E$9,$E$10,$E$12,$D239,$E$6,J$18,J$17)</f>
        <v>-0.40476000000000006</v>
      </c>
      <c r="K239" s="26">
        <f ca="1">_xll.DBRW($D$4,$E$7,$E$8,$E$9,$E$10,$E$12,$D239,$E$6,K$18,K$17)</f>
        <v>0</v>
      </c>
      <c r="L239" s="26">
        <f ca="1">_xll.DBRW($D$4,$E$7,$E$8,$E$9,$E$10,$E$12,$D239,$E$6,L$18,L$17)</f>
        <v>0</v>
      </c>
      <c r="M239" s="26">
        <f ca="1">_xll.DBRW($D$4,$E$7,$E$8,$E$9,$E$10,$E$12,$D239,$E$6,M$18,M$17)</f>
        <v>0</v>
      </c>
      <c r="N239" s="16">
        <f ca="1">_xll.DBRW($D$4,$E$7,$E$8,$E$9,$E$10,$E$12,$D239,$E$6,N$18,N$17)</f>
        <v>-6.0973341400000036</v>
      </c>
      <c r="O239" s="16">
        <f ca="1">_xll.DBRW($D$4,$E$7,$E$8,$E$9,$E$10,$E$12,$D239,$E$6,O$18,O$17)</f>
        <v>134.01182582000001</v>
      </c>
      <c r="P239" s="74">
        <f ca="1">_xll.DBRW($D$4,$E$7,$E$8,$E$9,$E$10,$E$12,$D239,$E$6,P$18,P$17)</f>
        <v>-83.276791979999999</v>
      </c>
      <c r="Q239" s="16">
        <f ca="1">_xll.DBRW($D$4,$E$7,$E$8,$E$9,$E$10,$E$12,$D239,$E$6,Q$18,Q$17)</f>
        <v>0.62141375561776513</v>
      </c>
      <c r="R239" s="16"/>
      <c r="S239" s="16"/>
      <c r="T239" s="16"/>
      <c r="U239" s="16"/>
      <c r="V239" s="16">
        <f ca="1">_xll.DBRW($D$4,$E$7,$E$8,$E$9,$E$10,$E$12,$D239,$E$6,V$18,V$17)</f>
        <v>-25.27898077</v>
      </c>
      <c r="W239" s="16">
        <f ca="1">_xll.DBRW($D$4,$E$7,$E$8,$E$9,$E$10,$E$12,$D239,$E$6,W$18,W$17)</f>
        <v>0.1886324629585589</v>
      </c>
      <c r="X239" s="16"/>
      <c r="Y239" s="16"/>
      <c r="Z239" s="16"/>
      <c r="AA239" s="16"/>
      <c r="AB239" s="16">
        <f ca="1">_xll.DBRW($D$4,$E$7,$E$8,$E$9,$E$10,$E$12,$D239,$E$6,AB$18,AB$17)</f>
        <v>-13.137368949999999</v>
      </c>
      <c r="AC239" s="16">
        <f ca="1">_xll.DBRW($D$4,$E$7,$E$8,$E$9,$E$10,$E$12,$D239,$E$6,AC$18,AC$17)</f>
        <v>9.8031415284541026E-2</v>
      </c>
      <c r="AD239" s="16"/>
      <c r="AE239" s="16"/>
      <c r="AF239" s="16"/>
      <c r="AG239" s="16"/>
      <c r="AH239" s="16">
        <f ca="1">_xll.DBRW($D$4,$E$7,$E$8,$E$9,$E$10,$E$12,$D239,$E$6,AH$18,AH$17)</f>
        <v>-1.8265330100000003</v>
      </c>
      <c r="AI239" s="16">
        <f ca="1">_xll.DBRW($D$4,$E$7,$E$8,$E$9,$E$10,$E$12,$D239,$E$6,AI$18,AI$17)</f>
        <v>1.3629640509885564E-2</v>
      </c>
      <c r="AJ239" s="16"/>
      <c r="AK239" s="16"/>
      <c r="AL239" s="16"/>
      <c r="AM239" s="16"/>
      <c r="AN239" s="16">
        <f ca="1">_xll.DBRW($D$4,$E$7,$E$8,$E$9,$E$10,$E$12,$D239,$E$6,AN$18,AN$17)</f>
        <v>-16.589485250000003</v>
      </c>
      <c r="AO239" s="16">
        <f ca="1">_xll.DBRW($D$4,$E$7,$E$8,$E$9,$E$10,$E$12,$D239,$E$6,AO$18,AO$17)</f>
        <v>0.12379120386198168</v>
      </c>
      <c r="AP239" s="16"/>
      <c r="AQ239" s="16"/>
      <c r="AR239" s="16"/>
      <c r="AS239" s="16"/>
      <c r="AT239" s="16">
        <f ca="1">_xll.DBRW($D$4,$E$7,$E$8,$E$9,$E$10,$E$12,$D239,$E$6,AT$18,AT$17)</f>
        <v>1.931</v>
      </c>
      <c r="AU239" s="16">
        <f ca="1">_xll.DBRW($D$4,$E$7,$E$8,$E$9,$E$10,$E$12,$D239,$E$6,AU$18,AU$17)</f>
        <v>1.1159999999999999</v>
      </c>
      <c r="AV239" s="16">
        <f ca="1">_xll.DBRW($D$4,$E$7,$E$8,$E$9,$E$10,$E$12,$D239,$E$6,AV$18,AV$17)</f>
        <v>30.928999999999995</v>
      </c>
      <c r="AW239" s="16">
        <f ca="1">_xll.DBRW($D$4,$E$7,$E$8,$E$9,$E$10,$E$12,$D239,$E$6,AW$18,AW$17)</f>
        <v>1.1159999999999999</v>
      </c>
      <c r="AX239" s="16">
        <f ca="1">_xll.DBRW($D$4,$E$7,$E$8,$E$9,$E$10,$E$12,$D239,$E$6,AX$18,AX$17)</f>
        <v>13.055999999999997</v>
      </c>
      <c r="AY239" s="16">
        <f ca="1">_xll.DBRW($D$4,$E$7,$E$8,$E$9,$E$10,$E$12,$D239,$E$6,AY$18,AY$17)</f>
        <v>1.1159999999999999</v>
      </c>
      <c r="AZ239" s="16">
        <f ca="1">_xll.DBRW($D$4,$E$7,$E$8,$E$9,$E$10,$E$12,$D239,$E$6,AZ$18,AZ$17)</f>
        <v>5.3450000000000004E-4</v>
      </c>
      <c r="BA239" s="16">
        <f ca="1">_xll.DBRW($D$4,$E$7,$E$8,$E$9,$E$10,$E$12,$D239,$E$6,BA$18,BA$17)</f>
        <v>1.1159999999999999</v>
      </c>
      <c r="BB239" s="16">
        <f ca="1">_xll.DBRW($D$4,$E$7,$E$8,$E$9,$E$10,$E$12,$D239,$E$6,BB$18,BB$17)</f>
        <v>1.1159999999999999</v>
      </c>
      <c r="BC239" s="16">
        <f ca="1">_xll.DBRW($D$4,$E$7,$E$8,$E$9,$E$10,$E$12,$D239,$E$6,BC$18,BC$17)</f>
        <v>1.1159999999999999</v>
      </c>
      <c r="BD239" s="16">
        <f ca="1">_xll.DBRW($D$4,$E$7,$E$8,$E$9,$E$10,$E$12,$D239,$E$6,BD$18,BD$17)</f>
        <v>-8.4718027399999674</v>
      </c>
      <c r="BE239" s="16">
        <f ca="1">_xll.DBRW($D$4,$E$7,$E$8,$E$9,$E$10,$E$12,$D239,$E$6,BE$18,BE$17)</f>
        <v>-11.777554450000002</v>
      </c>
      <c r="BF239" s="16">
        <f ca="1">_xll.DBRW($D$4,$E$7,$E$8,$E$9,$E$10,$E$12,$D239,$E$6,BF$18,BF$17)</f>
        <v>0</v>
      </c>
      <c r="BG239" s="26">
        <f ca="1">_xll.DBRW($D$4,$E$7,$E$8,$E$9,$E$10,$E$12,$D239,$E$6,BG$18,BG$17)</f>
        <v>-0.44523600000000008</v>
      </c>
      <c r="BH239" s="26">
        <f ca="1">_xll.DBRW($D$4,$E$7,$E$8,$E$9,$E$10,$E$12,$D239,$E$6,BH$18,BH$17)</f>
        <v>0</v>
      </c>
      <c r="BI239" s="26">
        <f ca="1">_xll.DBRW($D$4,$E$7,$E$8,$E$9,$E$10,$E$12,$D239,$E$6,BI$18,BI$17)</f>
        <v>0</v>
      </c>
      <c r="BJ239" s="26">
        <f ca="1">_xll.DBRW($D$4,$E$7,$E$8,$E$9,$E$10,$E$12,$D239,$E$6,BJ$18,BJ$17)</f>
        <v>0</v>
      </c>
      <c r="BK239" s="16">
        <f ca="1">_xll.DBRW($D$4,$E$7,$E$8,$E$9,$E$10,$E$12,$D239,$E$6,BK$18,BK$17)</f>
        <v>3.7509877100000346</v>
      </c>
      <c r="BL239" s="16">
        <f ca="1">_xll.DBRW($D$4,$E$7,$E$8,$E$9,$E$10,$E$12,$D239,$E$6,BL$18,BL$17)</f>
        <v>145.82329753000002</v>
      </c>
      <c r="BM239" s="16">
        <f ca="1">_xll.DBRW($D$4,$E$7,$E$8,$E$9,$E$10,$E$12,$D239,$E$6,BM$18,BM$17)</f>
        <v>-86.991846050000007</v>
      </c>
      <c r="BN239" s="16">
        <f ca="1">_xll.DBRW($D$4,$E$7,$E$8,$E$9,$E$10,$E$12,$D239,$E$6,BN$18,BN$17)</f>
        <v>0.59655656896733733</v>
      </c>
      <c r="BO239" s="16"/>
      <c r="BP239" s="16"/>
      <c r="BQ239" s="16"/>
      <c r="BR239" s="16"/>
      <c r="BS239" s="16">
        <f ca="1">_xll.DBRW($D$4,$E$7,$E$8,$E$9,$E$10,$E$12,$D239,$E$6,BS$18,BS$17)</f>
        <v>-23.07491602</v>
      </c>
      <c r="BT239" s="16">
        <f ca="1">_xll.DBRW($D$4,$E$7,$E$8,$E$9,$E$10,$E$12,$D239,$E$6,BT$18,BT$17)</f>
        <v>0.15823888508112244</v>
      </c>
      <c r="BU239" s="16"/>
      <c r="BV239" s="16"/>
      <c r="BW239" s="16"/>
      <c r="BX239" s="16"/>
      <c r="BY239" s="16">
        <f ca="1">_xll.DBRW($D$4,$E$7,$E$8,$E$9,$E$10,$E$12,$D239,$E$6,BY$18,BY$17)</f>
        <v>-14.294455299999999</v>
      </c>
      <c r="BZ239" s="16">
        <f ca="1">_xll.DBRW($D$4,$E$7,$E$8,$E$9,$E$10,$E$12,$D239,$E$6,BZ$18,BZ$17)</f>
        <v>9.8025867897132288E-2</v>
      </c>
      <c r="CA239" s="16"/>
      <c r="CB239" s="16"/>
      <c r="CC239" s="16"/>
      <c r="CD239" s="16"/>
      <c r="CE239" s="16">
        <f ca="1">_xll.DBRW($D$4,$E$7,$E$8,$E$9,$E$10,$E$12,$D239,$E$6,CE$18,CE$17)</f>
        <v>-1.5349354900000001</v>
      </c>
      <c r="CF239" s="16">
        <f ca="1">_xll.DBRW($D$4,$E$7,$E$8,$E$9,$E$10,$E$12,$D239,$E$6,CF$18,CF$17)</f>
        <v>1.0525996298254193E-2</v>
      </c>
      <c r="CG239" s="16"/>
      <c r="CH239" s="16"/>
      <c r="CI239" s="16"/>
      <c r="CJ239" s="16"/>
      <c r="CK239" s="16">
        <f ca="1">_xll.DBRW($D$4,$E$7,$E$8,$E$9,$E$10,$E$12,$D239,$E$6,CK$18,CK$17)</f>
        <v>-16.17615696</v>
      </c>
      <c r="CL239" s="16">
        <f ca="1">_xll.DBRW($D$4,$E$7,$E$8,$E$9,$E$10,$E$12,$D239,$E$6,CL$18,CL$17)</f>
        <v>0.11092985300700735</v>
      </c>
      <c r="CM239" s="16"/>
      <c r="CN239" s="16"/>
      <c r="CO239" s="16"/>
      <c r="CP239" s="16"/>
      <c r="CQ239" s="16">
        <f ca="1">_xll.DBRW($D$4,$E$7,$E$8,$E$9,$E$10,$E$12,$D239,$E$6,CQ$18,CQ$17)</f>
        <v>2.0999999999999996</v>
      </c>
      <c r="CR239" s="16">
        <f ca="1">_xll.DBRW($D$4,$E$7,$E$8,$E$9,$E$10,$E$12,$D239,$E$6,CR$18,CR$17)</f>
        <v>1.2370000000000001</v>
      </c>
      <c r="CS239" s="16">
        <f ca="1">_xll.DBRW($D$4,$E$7,$E$8,$E$9,$E$10,$E$12,$D239,$E$6,CS$18,CS$17)</f>
        <v>34.065999999999995</v>
      </c>
      <c r="CT239" s="16">
        <f ca="1">_xll.DBRW($D$4,$E$7,$E$8,$E$9,$E$10,$E$12,$D239,$E$6,CT$18,CT$17)</f>
        <v>1.2370000000000001</v>
      </c>
      <c r="CU239" s="16">
        <f ca="1">_xll.DBRW($D$4,$E$7,$E$8,$E$9,$E$10,$E$12,$D239,$E$6,CU$18,CU$17)</f>
        <v>14.073999999999996</v>
      </c>
      <c r="CV239" s="16">
        <f ca="1">_xll.DBRW($D$4,$E$7,$E$8,$E$9,$E$10,$E$12,$D239,$E$6,CV$18,CV$17)</f>
        <v>1.2370000000000001</v>
      </c>
      <c r="CW239" s="16">
        <f ca="1">_xll.DBRW($D$4,$E$7,$E$8,$E$9,$E$10,$E$12,$D239,$E$6,CW$18,CW$17)</f>
        <v>5.1699999999999999E-4</v>
      </c>
      <c r="CX239" s="16">
        <f ca="1">_xll.DBRW($D$4,$E$7,$E$8,$E$9,$E$10,$E$12,$D239,$E$6,CX$18,CX$17)</f>
        <v>1.2370000000000001</v>
      </c>
      <c r="CY239" s="16">
        <f ca="1">_xll.DBRW($D$4,$E$7,$E$8,$E$9,$E$10,$E$12,$D239,$E$6,CY$18,CY$17)</f>
        <v>1.2370000000000001</v>
      </c>
      <c r="CZ239" s="16">
        <f ca="1">_xll.DBRW($D$4,$E$7,$E$8,$E$9,$E$10,$E$12,$D239,$E$6,CZ$18,CZ$17)</f>
        <v>1.2370000000000001</v>
      </c>
      <c r="DA239" s="26">
        <f t="shared" ca="1" si="146"/>
        <v>-8.7042081100000335</v>
      </c>
      <c r="DB239" s="26">
        <f t="shared" ca="1" si="147"/>
        <v>1.1036377400000035</v>
      </c>
      <c r="DC239" s="26">
        <f t="shared" ca="1" si="148"/>
        <v>0</v>
      </c>
      <c r="DD239" s="26">
        <f t="shared" ca="1" si="149"/>
        <v>4.0476000000000012E-2</v>
      </c>
      <c r="DE239" s="26">
        <f t="shared" ca="1" si="150"/>
        <v>0</v>
      </c>
      <c r="DF239" s="26">
        <f t="shared" ca="1" si="151"/>
        <v>0</v>
      </c>
      <c r="DG239" s="26">
        <f t="shared" ca="1" si="152"/>
        <v>0</v>
      </c>
      <c r="DH239" s="26">
        <f t="shared" ca="1" si="153"/>
        <v>-9.8483218500000387</v>
      </c>
      <c r="DI239" s="26">
        <f t="shared" ca="1" si="154"/>
        <v>-11.811471710000006</v>
      </c>
      <c r="DJ239" s="26">
        <f t="shared" ca="1" si="155"/>
        <v>3.7150540700000079</v>
      </c>
      <c r="DK239" s="26">
        <f t="shared" ca="1" si="156"/>
        <v>2.4857186650427798E-2</v>
      </c>
      <c r="DL239" s="26"/>
      <c r="DM239" s="26"/>
      <c r="DN239" s="26"/>
      <c r="DO239" s="26"/>
      <c r="DP239" s="26">
        <f t="shared" ca="1" si="157"/>
        <v>-2.2040647500000006</v>
      </c>
      <c r="DQ239" s="26">
        <f t="shared" ca="1" si="158"/>
        <v>3.0393577877436462E-2</v>
      </c>
      <c r="DR239" s="26"/>
      <c r="DS239" s="26"/>
      <c r="DT239" s="26"/>
      <c r="DU239" s="26"/>
      <c r="DV239" s="26">
        <f t="shared" ca="1" si="159"/>
        <v>1.1570863500000002</v>
      </c>
      <c r="DW239" s="26">
        <f t="shared" ca="1" si="160"/>
        <v>5.5473874087386132E-6</v>
      </c>
      <c r="DX239" s="26"/>
      <c r="DY239" s="26"/>
      <c r="DZ239" s="26"/>
      <c r="EA239" s="26"/>
      <c r="EB239" s="26">
        <f t="shared" ca="1" si="161"/>
        <v>-0.29159752000000028</v>
      </c>
      <c r="EC239" s="26">
        <f t="shared" ca="1" si="162"/>
        <v>3.1036442116313713E-3</v>
      </c>
      <c r="ED239" s="26"/>
      <c r="EE239" s="26"/>
      <c r="EF239" s="26"/>
      <c r="EG239" s="26"/>
      <c r="EH239" s="26">
        <f t="shared" ca="1" si="163"/>
        <v>-0.4133282900000026</v>
      </c>
      <c r="EI239" s="29">
        <f t="shared" ca="1" si="164"/>
        <v>1.2861350854974335E-2</v>
      </c>
      <c r="EJ239" s="29"/>
      <c r="EK239" s="29"/>
      <c r="EL239" s="29"/>
      <c r="EM239" s="29"/>
      <c r="EN239" s="93"/>
      <c r="EO239" s="29"/>
      <c r="EP239" s="29"/>
      <c r="EQ239" s="29"/>
      <c r="ER239" s="29"/>
      <c r="ES239" s="29"/>
      <c r="ET239" s="29"/>
      <c r="EU239" s="93"/>
      <c r="EV239" s="29"/>
      <c r="EW239" s="29"/>
      <c r="EX239" s="29"/>
      <c r="EY239" s="29"/>
      <c r="EZ239" s="29"/>
      <c r="FA239" s="29"/>
      <c r="FB239" s="93"/>
      <c r="FC239" s="29"/>
      <c r="FD239" s="29"/>
      <c r="FE239" s="29"/>
      <c r="FF239" s="29"/>
      <c r="FG239" s="29"/>
      <c r="FH239" s="29"/>
      <c r="FI239" s="93"/>
      <c r="FJ239" s="29"/>
      <c r="FK239" s="29"/>
      <c r="FL239" s="29"/>
      <c r="FM239" s="29"/>
      <c r="FN239" s="29"/>
      <c r="FO239" s="29"/>
      <c r="FP239" s="93"/>
      <c r="FQ239" s="29"/>
      <c r="FR239" s="29"/>
      <c r="FS239" s="29"/>
      <c r="FT239" s="29"/>
      <c r="FU239" s="29"/>
      <c r="FV239" s="29"/>
    </row>
    <row r="240" spans="1:178" x14ac:dyDescent="0.25">
      <c r="A240" t="str">
        <f ca="1">IF(_xll.TM1RPTELISCONSOLIDATED($D$28,$D240),IF(_xll.TM1RPTELLEV($D$28,$D240)&lt;=3,_xll.TM1RPTELLEV($D$28,$D240),"D"),"N")</f>
        <v>N</v>
      </c>
      <c r="B240" t="str">
        <f ca="1">_xll.DBRA(Server&amp;"Management_organization",$D240,$B$27)</f>
        <v>L</v>
      </c>
      <c r="C240">
        <v>1</v>
      </c>
      <c r="D240" s="2" t="s">
        <v>352</v>
      </c>
      <c r="E240" s="26"/>
      <c r="F240" s="26"/>
      <c r="G240" s="16">
        <f ca="1">_xll.DBRW($D$4,$E$7,$E$8,$E$9,$E$10,$E$12,$D240,$E$6,G$18,G$17)</f>
        <v>0.76576979000000012</v>
      </c>
      <c r="H240" s="16">
        <f ca="1">_xll.DBRW($D$4,$E$7,$E$8,$E$9,$E$10,$E$12,$D240,$E$6,H$18,H$17)</f>
        <v>0</v>
      </c>
      <c r="I240" s="16">
        <f ca="1">_xll.DBRW($D$4,$E$7,$E$8,$E$9,$E$10,$E$12,$D240,$E$6,I$18,I$17)</f>
        <v>0</v>
      </c>
      <c r="J240" s="26">
        <f ca="1">_xll.DBRW($D$4,$E$7,$E$8,$E$9,$E$10,$E$12,$D240,$E$6,J$18,J$17)</f>
        <v>0</v>
      </c>
      <c r="K240" s="26">
        <f ca="1">_xll.DBRW($D$4,$E$7,$E$8,$E$9,$E$10,$E$12,$D240,$E$6,K$18,K$17)</f>
        <v>0</v>
      </c>
      <c r="L240" s="26">
        <f ca="1">_xll.DBRW($D$4,$E$7,$E$8,$E$9,$E$10,$E$12,$D240,$E$6,L$18,L$17)</f>
        <v>0</v>
      </c>
      <c r="M240" s="26">
        <f ca="1">_xll.DBRW($D$4,$E$7,$E$8,$E$9,$E$10,$E$12,$D240,$E$6,M$18,M$17)</f>
        <v>0</v>
      </c>
      <c r="N240" s="16">
        <f ca="1">_xll.DBRW($D$4,$E$7,$E$8,$E$9,$E$10,$E$12,$D240,$E$6,N$18,N$17)</f>
        <v>0.76576979000000012</v>
      </c>
      <c r="O240" s="16">
        <f ca="1">_xll.DBRW($D$4,$E$7,$E$8,$E$9,$E$10,$E$12,$D240,$E$6,O$18,O$17)</f>
        <v>2.01803095</v>
      </c>
      <c r="P240" s="74">
        <f ca="1">_xll.DBRW($D$4,$E$7,$E$8,$E$9,$E$10,$E$12,$D240,$E$6,P$18,P$17)</f>
        <v>-0.80413909999999988</v>
      </c>
      <c r="Q240" s="16">
        <f ca="1">_xll.DBRW($D$4,$E$7,$E$8,$E$9,$E$10,$E$12,$D240,$E$6,Q$18,Q$17)</f>
        <v>0.3984770897592031</v>
      </c>
      <c r="R240" s="16"/>
      <c r="S240" s="16"/>
      <c r="T240" s="16"/>
      <c r="U240" s="16"/>
      <c r="V240" s="16">
        <f ca="1">_xll.DBRW($D$4,$E$7,$E$8,$E$9,$E$10,$E$12,$D240,$E$6,V$18,V$17)</f>
        <v>-0.16299358999999999</v>
      </c>
      <c r="W240" s="16">
        <f ca="1">_xll.DBRW($D$4,$E$7,$E$8,$E$9,$E$10,$E$12,$D240,$E$6,W$18,W$17)</f>
        <v>8.07686274583648E-2</v>
      </c>
      <c r="X240" s="16"/>
      <c r="Y240" s="16"/>
      <c r="Z240" s="16"/>
      <c r="AA240" s="16"/>
      <c r="AB240" s="16">
        <f ca="1">_xll.DBRW($D$4,$E$7,$E$8,$E$9,$E$10,$E$12,$D240,$E$6,AB$18,AB$17)</f>
        <v>-0.11183166999999998</v>
      </c>
      <c r="AC240" s="16">
        <f ca="1">_xll.DBRW($D$4,$E$7,$E$8,$E$9,$E$10,$E$12,$D240,$E$6,AC$18,AC$17)</f>
        <v>5.5416231351654931E-2</v>
      </c>
      <c r="AD240" s="16"/>
      <c r="AE240" s="16"/>
      <c r="AF240" s="16"/>
      <c r="AG240" s="16"/>
      <c r="AH240" s="16">
        <f ca="1">_xll.DBRW($D$4,$E$7,$E$8,$E$9,$E$10,$E$12,$D240,$E$6,AH$18,AH$17)</f>
        <v>0</v>
      </c>
      <c r="AI240" s="16">
        <f ca="1">_xll.DBRW($D$4,$E$7,$E$8,$E$9,$E$10,$E$12,$D240,$E$6,AI$18,AI$17)</f>
        <v>0</v>
      </c>
      <c r="AJ240" s="16"/>
      <c r="AK240" s="16"/>
      <c r="AL240" s="16"/>
      <c r="AM240" s="16"/>
      <c r="AN240" s="16">
        <f ca="1">_xll.DBRW($D$4,$E$7,$E$8,$E$9,$E$10,$E$12,$D240,$E$6,AN$18,AN$17)</f>
        <v>-0.1732968</v>
      </c>
      <c r="AO240" s="16">
        <f ca="1">_xll.DBRW($D$4,$E$7,$E$8,$E$9,$E$10,$E$12,$D240,$E$6,AO$18,AO$17)</f>
        <v>8.5874203267298749E-2</v>
      </c>
      <c r="AP240" s="16"/>
      <c r="AQ240" s="16"/>
      <c r="AR240" s="16"/>
      <c r="AS240" s="16"/>
      <c r="AT240" s="16">
        <f ca="1">_xll.DBRW($D$4,$E$7,$E$8,$E$9,$E$10,$E$12,$D240,$E$6,AT$18,AT$17)</f>
        <v>1.7693E-2</v>
      </c>
      <c r="AU240" s="16">
        <f ca="1">_xll.DBRW($D$4,$E$7,$E$8,$E$9,$E$10,$E$12,$D240,$E$6,AU$18,AU$17)</f>
        <v>0.23916499999999999</v>
      </c>
      <c r="AV240" s="16">
        <f ca="1">_xll.DBRW($D$4,$E$7,$E$8,$E$9,$E$10,$E$12,$D240,$E$6,AV$18,AV$17)</f>
        <v>0.23916499999999999</v>
      </c>
      <c r="AW240" s="16">
        <f ca="1">_xll.DBRW($D$4,$E$7,$E$8,$E$9,$E$10,$E$12,$D240,$E$6,AW$18,AW$17)</f>
        <v>0.23916499999999999</v>
      </c>
      <c r="AX240" s="16">
        <f ca="1">_xll.DBRW($D$4,$E$7,$E$8,$E$9,$E$10,$E$12,$D240,$E$6,AX$18,AX$17)</f>
        <v>0.10694099999999998</v>
      </c>
      <c r="AY240" s="16">
        <f ca="1">_xll.DBRW($D$4,$E$7,$E$8,$E$9,$E$10,$E$12,$D240,$E$6,AY$18,AY$17)</f>
        <v>0.23916499999999999</v>
      </c>
      <c r="AZ240" s="16" t="str">
        <f ca="1">_xll.DBRW($D$4,$E$7,$E$8,$E$9,$E$10,$E$12,$D240,$E$6,AZ$18,AZ$17)</f>
        <v/>
      </c>
      <c r="BA240" s="16">
        <f ca="1">_xll.DBRW($D$4,$E$7,$E$8,$E$9,$E$10,$E$12,$D240,$E$6,BA$18,BA$17)</f>
        <v>0.23916499999999999</v>
      </c>
      <c r="BB240" s="16">
        <f ca="1">_xll.DBRW($D$4,$E$7,$E$8,$E$9,$E$10,$E$12,$D240,$E$6,BB$18,BB$17)</f>
        <v>0.23916499999999999</v>
      </c>
      <c r="BC240" s="16">
        <f ca="1">_xll.DBRW($D$4,$E$7,$E$8,$E$9,$E$10,$E$12,$D240,$E$6,BC$18,BC$17)</f>
        <v>0.23916499999999999</v>
      </c>
      <c r="BD240" s="16">
        <f ca="1">_xll.DBRW($D$4,$E$7,$E$8,$E$9,$E$10,$E$12,$D240,$E$6,BD$18,BD$17)</f>
        <v>0</v>
      </c>
      <c r="BE240" s="16">
        <f ca="1">_xll.DBRW($D$4,$E$7,$E$8,$E$9,$E$10,$E$12,$D240,$E$6,BE$18,BE$17)</f>
        <v>0</v>
      </c>
      <c r="BF240" s="16">
        <f ca="1">_xll.DBRW($D$4,$E$7,$E$8,$E$9,$E$10,$E$12,$D240,$E$6,BF$18,BF$17)</f>
        <v>0</v>
      </c>
      <c r="BG240" s="26">
        <f ca="1">_xll.DBRW($D$4,$E$7,$E$8,$E$9,$E$10,$E$12,$D240,$E$6,BG$18,BG$17)</f>
        <v>0</v>
      </c>
      <c r="BH240" s="26">
        <f ca="1">_xll.DBRW($D$4,$E$7,$E$8,$E$9,$E$10,$E$12,$D240,$E$6,BH$18,BH$17)</f>
        <v>0</v>
      </c>
      <c r="BI240" s="26">
        <f ca="1">_xll.DBRW($D$4,$E$7,$E$8,$E$9,$E$10,$E$12,$D240,$E$6,BI$18,BI$17)</f>
        <v>0</v>
      </c>
      <c r="BJ240" s="26">
        <f ca="1">_xll.DBRW($D$4,$E$7,$E$8,$E$9,$E$10,$E$12,$D240,$E$6,BJ$18,BJ$17)</f>
        <v>0</v>
      </c>
      <c r="BK240" s="16">
        <f ca="1">_xll.DBRW($D$4,$E$7,$E$8,$E$9,$E$10,$E$12,$D240,$E$6,BK$18,BK$17)</f>
        <v>0</v>
      </c>
      <c r="BL240" s="16">
        <f ca="1">_xll.DBRW($D$4,$E$7,$E$8,$E$9,$E$10,$E$12,$D240,$E$6,BL$18,BL$17)</f>
        <v>0</v>
      </c>
      <c r="BM240" s="16">
        <f ca="1">_xll.DBRW($D$4,$E$7,$E$8,$E$9,$E$10,$E$12,$D240,$E$6,BM$18,BM$17)</f>
        <v>0</v>
      </c>
      <c r="BN240" s="16">
        <f ca="1">_xll.DBRW($D$4,$E$7,$E$8,$E$9,$E$10,$E$12,$D240,$E$6,BN$18,BN$17)</f>
        <v>0</v>
      </c>
      <c r="BO240" s="16"/>
      <c r="BP240" s="16"/>
      <c r="BQ240" s="16"/>
      <c r="BR240" s="16"/>
      <c r="BS240" s="16">
        <f ca="1">_xll.DBRW($D$4,$E$7,$E$8,$E$9,$E$10,$E$12,$D240,$E$6,BS$18,BS$17)</f>
        <v>0</v>
      </c>
      <c r="BT240" s="16">
        <f ca="1">_xll.DBRW($D$4,$E$7,$E$8,$E$9,$E$10,$E$12,$D240,$E$6,BT$18,BT$17)</f>
        <v>0</v>
      </c>
      <c r="BU240" s="16"/>
      <c r="BV240" s="16"/>
      <c r="BW240" s="16"/>
      <c r="BX240" s="16"/>
      <c r="BY240" s="16">
        <f ca="1">_xll.DBRW($D$4,$E$7,$E$8,$E$9,$E$10,$E$12,$D240,$E$6,BY$18,BY$17)</f>
        <v>0</v>
      </c>
      <c r="BZ240" s="16">
        <f ca="1">_xll.DBRW($D$4,$E$7,$E$8,$E$9,$E$10,$E$12,$D240,$E$6,BZ$18,BZ$17)</f>
        <v>0</v>
      </c>
      <c r="CA240" s="16"/>
      <c r="CB240" s="16"/>
      <c r="CC240" s="16"/>
      <c r="CD240" s="16"/>
      <c r="CE240" s="16">
        <f ca="1">_xll.DBRW($D$4,$E$7,$E$8,$E$9,$E$10,$E$12,$D240,$E$6,CE$18,CE$17)</f>
        <v>0</v>
      </c>
      <c r="CF240" s="16">
        <f ca="1">_xll.DBRW($D$4,$E$7,$E$8,$E$9,$E$10,$E$12,$D240,$E$6,CF$18,CF$17)</f>
        <v>0</v>
      </c>
      <c r="CG240" s="16"/>
      <c r="CH240" s="16"/>
      <c r="CI240" s="16"/>
      <c r="CJ240" s="16"/>
      <c r="CK240" s="16">
        <f ca="1">_xll.DBRW($D$4,$E$7,$E$8,$E$9,$E$10,$E$12,$D240,$E$6,CK$18,CK$17)</f>
        <v>0</v>
      </c>
      <c r="CL240" s="16">
        <f ca="1">_xll.DBRW($D$4,$E$7,$E$8,$E$9,$E$10,$E$12,$D240,$E$6,CL$18,CL$17)</f>
        <v>0</v>
      </c>
      <c r="CM240" s="16"/>
      <c r="CN240" s="16"/>
      <c r="CO240" s="16"/>
      <c r="CP240" s="16"/>
      <c r="CQ240" s="16">
        <f ca="1">_xll.DBRW($D$4,$E$7,$E$8,$E$9,$E$10,$E$12,$D240,$E$6,CQ$18,CQ$17)</f>
        <v>0</v>
      </c>
      <c r="CR240" s="16">
        <f ca="1">_xll.DBRW($D$4,$E$7,$E$8,$E$9,$E$10,$E$12,$D240,$E$6,CR$18,CR$17)</f>
        <v>0</v>
      </c>
      <c r="CS240" s="16">
        <f ca="1">_xll.DBRW($D$4,$E$7,$E$8,$E$9,$E$10,$E$12,$D240,$E$6,CS$18,CS$17)</f>
        <v>0</v>
      </c>
      <c r="CT240" s="16">
        <f ca="1">_xll.DBRW($D$4,$E$7,$E$8,$E$9,$E$10,$E$12,$D240,$E$6,CT$18,CT$17)</f>
        <v>0</v>
      </c>
      <c r="CU240" s="16">
        <f ca="1">_xll.DBRW($D$4,$E$7,$E$8,$E$9,$E$10,$E$12,$D240,$E$6,CU$18,CU$17)</f>
        <v>0</v>
      </c>
      <c r="CV240" s="16">
        <f ca="1">_xll.DBRW($D$4,$E$7,$E$8,$E$9,$E$10,$E$12,$D240,$E$6,CV$18,CV$17)</f>
        <v>0</v>
      </c>
      <c r="CW240" s="16" t="str">
        <f ca="1">_xll.DBRW($D$4,$E$7,$E$8,$E$9,$E$10,$E$12,$D240,$E$6,CW$18,CW$17)</f>
        <v/>
      </c>
      <c r="CX240" s="16">
        <f ca="1">_xll.DBRW($D$4,$E$7,$E$8,$E$9,$E$10,$E$12,$D240,$E$6,CX$18,CX$17)</f>
        <v>0</v>
      </c>
      <c r="CY240" s="16">
        <f ca="1">_xll.DBRW($D$4,$E$7,$E$8,$E$9,$E$10,$E$12,$D240,$E$6,CY$18,CY$17)</f>
        <v>0</v>
      </c>
      <c r="CZ240" s="16">
        <f ca="1">_xll.DBRW($D$4,$E$7,$E$8,$E$9,$E$10,$E$12,$D240,$E$6,CZ$18,CZ$17)</f>
        <v>0</v>
      </c>
      <c r="DA240" s="26">
        <f t="shared" ca="1" si="146"/>
        <v>0.76576979000000012</v>
      </c>
      <c r="DB240" s="26">
        <f t="shared" ca="1" si="147"/>
        <v>0</v>
      </c>
      <c r="DC240" s="26">
        <f t="shared" ca="1" si="148"/>
        <v>0</v>
      </c>
      <c r="DD240" s="26">
        <f t="shared" ca="1" si="149"/>
        <v>0</v>
      </c>
      <c r="DE240" s="26">
        <f t="shared" ca="1" si="150"/>
        <v>0</v>
      </c>
      <c r="DF240" s="26">
        <f t="shared" ca="1" si="151"/>
        <v>0</v>
      </c>
      <c r="DG240" s="26">
        <f t="shared" ca="1" si="152"/>
        <v>0</v>
      </c>
      <c r="DH240" s="26">
        <f t="shared" ca="1" si="153"/>
        <v>0.76576979000000012</v>
      </c>
      <c r="DI240" s="26">
        <f t="shared" ca="1" si="154"/>
        <v>2.01803095</v>
      </c>
      <c r="DJ240" s="26">
        <f t="shared" ca="1" si="155"/>
        <v>-0.80413909999999988</v>
      </c>
      <c r="DK240" s="26">
        <f t="shared" ca="1" si="156"/>
        <v>0.3984770897592031</v>
      </c>
      <c r="DL240" s="26"/>
      <c r="DM240" s="26"/>
      <c r="DN240" s="26"/>
      <c r="DO240" s="26"/>
      <c r="DP240" s="26">
        <f t="shared" ca="1" si="157"/>
        <v>-0.16299358999999999</v>
      </c>
      <c r="DQ240" s="26">
        <f t="shared" ca="1" si="158"/>
        <v>8.07686274583648E-2</v>
      </c>
      <c r="DR240" s="26"/>
      <c r="DS240" s="26"/>
      <c r="DT240" s="26"/>
      <c r="DU240" s="26"/>
      <c r="DV240" s="26">
        <f t="shared" ca="1" si="159"/>
        <v>-0.11183166999999998</v>
      </c>
      <c r="DW240" s="26">
        <f t="shared" ca="1" si="160"/>
        <v>5.5416231351654931E-2</v>
      </c>
      <c r="DX240" s="26"/>
      <c r="DY240" s="26"/>
      <c r="DZ240" s="26"/>
      <c r="EA240" s="26"/>
      <c r="EB240" s="26">
        <f t="shared" ca="1" si="161"/>
        <v>0</v>
      </c>
      <c r="EC240" s="26">
        <f t="shared" ca="1" si="162"/>
        <v>0</v>
      </c>
      <c r="ED240" s="26"/>
      <c r="EE240" s="26"/>
      <c r="EF240" s="26"/>
      <c r="EG240" s="26"/>
      <c r="EH240" s="26">
        <f t="shared" ca="1" si="163"/>
        <v>-0.1732968</v>
      </c>
      <c r="EI240" s="29">
        <f t="shared" ca="1" si="164"/>
        <v>8.5874203267298749E-2</v>
      </c>
      <c r="EJ240" s="29"/>
      <c r="EK240" s="29"/>
      <c r="EL240" s="29"/>
      <c r="EM240" s="29"/>
      <c r="EN240" s="93"/>
      <c r="EO240" s="29"/>
      <c r="EP240" s="29"/>
      <c r="EQ240" s="29"/>
      <c r="ER240" s="29"/>
      <c r="ES240" s="29"/>
      <c r="ET240" s="29"/>
      <c r="EU240" s="93"/>
      <c r="EV240" s="29"/>
      <c r="EW240" s="29"/>
      <c r="EX240" s="29"/>
      <c r="EY240" s="29"/>
      <c r="EZ240" s="29"/>
      <c r="FA240" s="29"/>
      <c r="FB240" s="93"/>
      <c r="FC240" s="29"/>
      <c r="FD240" s="29"/>
      <c r="FE240" s="29"/>
      <c r="FF240" s="29"/>
      <c r="FG240" s="29"/>
      <c r="FH240" s="29"/>
      <c r="FI240" s="93"/>
      <c r="FJ240" s="29"/>
      <c r="FK240" s="29"/>
      <c r="FL240" s="29"/>
      <c r="FM240" s="29"/>
      <c r="FN240" s="29"/>
      <c r="FO240" s="29"/>
      <c r="FP240" s="93"/>
      <c r="FQ240" s="29"/>
      <c r="FR240" s="29"/>
      <c r="FS240" s="29"/>
      <c r="FT240" s="29"/>
      <c r="FU240" s="29"/>
      <c r="FV240" s="29"/>
    </row>
    <row r="241" spans="1:178" x14ac:dyDescent="0.25">
      <c r="A241" t="str">
        <f ca="1">IF(_xll.TM1RPTELISCONSOLIDATED($D$28,$D241),IF(_xll.TM1RPTELLEV($D$28,$D241)&lt;=3,_xll.TM1RPTELLEV($D$28,$D241),"D"),"N")</f>
        <v>N</v>
      </c>
      <c r="B241" t="str">
        <f ca="1">_xll.DBRA(Server&amp;"Management_organization",$D241,$B$27)</f>
        <v>L</v>
      </c>
      <c r="C241">
        <v>1</v>
      </c>
      <c r="D241" s="2" t="s">
        <v>310</v>
      </c>
      <c r="E241" s="26"/>
      <c r="F241" s="26"/>
      <c r="G241" s="16">
        <f ca="1">_xll.DBRW($D$4,$E$7,$E$8,$E$9,$E$10,$E$12,$D241,$E$6,G$18,G$17)</f>
        <v>-1.3335473299999965</v>
      </c>
      <c r="H241" s="16">
        <f ca="1">_xll.DBRW($D$4,$E$7,$E$8,$E$9,$E$10,$E$12,$D241,$E$6,H$18,H$17)</f>
        <v>-1.8975036200000002</v>
      </c>
      <c r="I241" s="16">
        <f ca="1">_xll.DBRW($D$4,$E$7,$E$8,$E$9,$E$10,$E$12,$D241,$E$6,I$18,I$17)</f>
        <v>0</v>
      </c>
      <c r="J241" s="26">
        <f ca="1">_xll.DBRW($D$4,$E$7,$E$8,$E$9,$E$10,$E$12,$D241,$E$6,J$18,J$17)</f>
        <v>0</v>
      </c>
      <c r="K241" s="26">
        <f ca="1">_xll.DBRW($D$4,$E$7,$E$8,$E$9,$E$10,$E$12,$D241,$E$6,K$18,K$17)</f>
        <v>0</v>
      </c>
      <c r="L241" s="26">
        <f ca="1">_xll.DBRW($D$4,$E$7,$E$8,$E$9,$E$10,$E$12,$D241,$E$6,L$18,L$17)</f>
        <v>0</v>
      </c>
      <c r="M241" s="26">
        <f ca="1">_xll.DBRW($D$4,$E$7,$E$8,$E$9,$E$10,$E$12,$D241,$E$6,M$18,M$17)</f>
        <v>0</v>
      </c>
      <c r="N241" s="16">
        <f ca="1">_xll.DBRW($D$4,$E$7,$E$8,$E$9,$E$10,$E$12,$D241,$E$6,N$18,N$17)</f>
        <v>0.56395629000000347</v>
      </c>
      <c r="O241" s="16">
        <f ca="1">_xll.DBRW($D$4,$E$7,$E$8,$E$9,$E$10,$E$12,$D241,$E$6,O$18,O$17)</f>
        <v>89.735957769999999</v>
      </c>
      <c r="P241" s="74">
        <f ca="1">_xll.DBRW($D$4,$E$7,$E$8,$E$9,$E$10,$E$12,$D241,$E$6,P$18,P$17)</f>
        <v>-29.789442400000013</v>
      </c>
      <c r="Q241" s="16">
        <f ca="1">_xll.DBRW($D$4,$E$7,$E$8,$E$9,$E$10,$E$12,$D241,$E$6,Q$18,Q$17)</f>
        <v>0.33196773222561005</v>
      </c>
      <c r="R241" s="16"/>
      <c r="S241" s="16"/>
      <c r="T241" s="16"/>
      <c r="U241" s="16"/>
      <c r="V241" s="16">
        <f ca="1">_xll.DBRW($D$4,$E$7,$E$8,$E$9,$E$10,$E$12,$D241,$E$6,V$18,V$17)</f>
        <v>-13.04181</v>
      </c>
      <c r="W241" s="16">
        <f ca="1">_xll.DBRW($D$4,$E$7,$E$8,$E$9,$E$10,$E$12,$D241,$E$6,W$18,W$17)</f>
        <v>0.14533538532487877</v>
      </c>
      <c r="X241" s="16"/>
      <c r="Y241" s="16"/>
      <c r="Z241" s="16"/>
      <c r="AA241" s="16"/>
      <c r="AB241" s="16">
        <f ca="1">_xll.DBRW($D$4,$E$7,$E$8,$E$9,$E$10,$E$12,$D241,$E$6,AB$18,AB$17)</f>
        <v>-14.583734709999998</v>
      </c>
      <c r="AC241" s="16">
        <f ca="1">_xll.DBRW($D$4,$E$7,$E$8,$E$9,$E$10,$E$12,$D241,$E$6,AC$18,AC$17)</f>
        <v>0.16251829336216822</v>
      </c>
      <c r="AD241" s="16"/>
      <c r="AE241" s="16"/>
      <c r="AF241" s="16"/>
      <c r="AG241" s="16"/>
      <c r="AH241" s="16">
        <f ca="1">_xll.DBRW($D$4,$E$7,$E$8,$E$9,$E$10,$E$12,$D241,$E$6,AH$18,AH$17)</f>
        <v>-10.915968639999997</v>
      </c>
      <c r="AI241" s="16">
        <f ca="1">_xll.DBRW($D$4,$E$7,$E$8,$E$9,$E$10,$E$12,$D241,$E$6,AI$18,AI$17)</f>
        <v>0.12164542410054223</v>
      </c>
      <c r="AJ241" s="16"/>
      <c r="AK241" s="16"/>
      <c r="AL241" s="16"/>
      <c r="AM241" s="16"/>
      <c r="AN241" s="16">
        <f ca="1">_xll.DBRW($D$4,$E$7,$E$8,$E$9,$E$10,$E$12,$D241,$E$6,AN$18,AN$17)</f>
        <v>-20.841045730000001</v>
      </c>
      <c r="AO241" s="16">
        <f ca="1">_xll.DBRW($D$4,$E$7,$E$8,$E$9,$E$10,$E$12,$D241,$E$6,AO$18,AO$17)</f>
        <v>0.23224854615601437</v>
      </c>
      <c r="AP241" s="16"/>
      <c r="AQ241" s="16"/>
      <c r="AR241" s="16"/>
      <c r="AS241" s="16"/>
      <c r="AT241" s="16">
        <f ca="1">_xll.DBRW($D$4,$E$7,$E$8,$E$9,$E$10,$E$12,$D241,$E$6,AT$18,AT$17)</f>
        <v>0.10185371099999999</v>
      </c>
      <c r="AU241" s="16">
        <f ca="1">_xll.DBRW($D$4,$E$7,$E$8,$E$9,$E$10,$E$12,$D241,$E$6,AU$18,AU$17)</f>
        <v>3.8421469999999998</v>
      </c>
      <c r="AV241" s="16">
        <f ca="1">_xll.DBRW($D$4,$E$7,$E$8,$E$9,$E$10,$E$12,$D241,$E$6,AV$18,AV$17)</f>
        <v>3.7423007100000003</v>
      </c>
      <c r="AW241" s="16">
        <f ca="1">_xll.DBRW($D$4,$E$7,$E$8,$E$9,$E$10,$E$12,$D241,$E$6,AW$18,AW$17)</f>
        <v>3.8421469999999998</v>
      </c>
      <c r="AX241" s="16">
        <f ca="1">_xll.DBRW($D$4,$E$7,$E$8,$E$9,$E$10,$E$12,$D241,$E$6,AX$18,AX$17)</f>
        <v>1.1992760326142999</v>
      </c>
      <c r="AY241" s="16">
        <f ca="1">_xll.DBRW($D$4,$E$7,$E$8,$E$9,$E$10,$E$12,$D241,$E$6,AY$18,AY$17)</f>
        <v>3.8421469999999998</v>
      </c>
      <c r="AZ241" s="16">
        <f ca="1">_xll.DBRW($D$4,$E$7,$E$8,$E$9,$E$10,$E$12,$D241,$E$6,AZ$18,AZ$17)</f>
        <v>3.1000000000000001E-5</v>
      </c>
      <c r="BA241" s="16">
        <f ca="1">_xll.DBRW($D$4,$E$7,$E$8,$E$9,$E$10,$E$12,$D241,$E$6,BA$18,BA$17)</f>
        <v>3.8421469999999998</v>
      </c>
      <c r="BB241" s="16">
        <f ca="1">_xll.DBRW($D$4,$E$7,$E$8,$E$9,$E$10,$E$12,$D241,$E$6,BB$18,BB$17)</f>
        <v>3.8421469999999998</v>
      </c>
      <c r="BC241" s="16">
        <f ca="1">_xll.DBRW($D$4,$E$7,$E$8,$E$9,$E$10,$E$12,$D241,$E$6,BC$18,BC$17)</f>
        <v>3.8421469999999998</v>
      </c>
      <c r="BD241" s="16">
        <f ca="1">_xll.DBRW($D$4,$E$7,$E$8,$E$9,$E$10,$E$12,$D241,$E$6,BD$18,BD$17)</f>
        <v>6.5711670500000263</v>
      </c>
      <c r="BE241" s="16">
        <f ca="1">_xll.DBRW($D$4,$E$7,$E$8,$E$9,$E$10,$E$12,$D241,$E$6,BE$18,BE$17)</f>
        <v>-1.5510000000000002</v>
      </c>
      <c r="BF241" s="16">
        <f ca="1">_xll.DBRW($D$4,$E$7,$E$8,$E$9,$E$10,$E$12,$D241,$E$6,BF$18,BF$17)</f>
        <v>0</v>
      </c>
      <c r="BG241" s="26">
        <f ca="1">_xll.DBRW($D$4,$E$7,$E$8,$E$9,$E$10,$E$12,$D241,$E$6,BG$18,BG$17)</f>
        <v>0</v>
      </c>
      <c r="BH241" s="26">
        <f ca="1">_xll.DBRW($D$4,$E$7,$E$8,$E$9,$E$10,$E$12,$D241,$E$6,BH$18,BH$17)</f>
        <v>0</v>
      </c>
      <c r="BI241" s="26">
        <f ca="1">_xll.DBRW($D$4,$E$7,$E$8,$E$9,$E$10,$E$12,$D241,$E$6,BI$18,BI$17)</f>
        <v>0</v>
      </c>
      <c r="BJ241" s="26">
        <f ca="1">_xll.DBRW($D$4,$E$7,$E$8,$E$9,$E$10,$E$12,$D241,$E$6,BJ$18,BJ$17)</f>
        <v>0</v>
      </c>
      <c r="BK241" s="16">
        <f ca="1">_xll.DBRW($D$4,$E$7,$E$8,$E$9,$E$10,$E$12,$D241,$E$6,BK$18,BK$17)</f>
        <v>8.1221670500000265</v>
      </c>
      <c r="BL241" s="16">
        <f ca="1">_xll.DBRW($D$4,$E$7,$E$8,$E$9,$E$10,$E$12,$D241,$E$6,BL$18,BL$17)</f>
        <v>98.340944700000023</v>
      </c>
      <c r="BM241" s="16">
        <f ca="1">_xll.DBRW($D$4,$E$7,$E$8,$E$9,$E$10,$E$12,$D241,$E$6,BM$18,BM$17)</f>
        <v>-25.315668469999995</v>
      </c>
      <c r="BN241" s="16">
        <f ca="1">_xll.DBRW($D$4,$E$7,$E$8,$E$9,$E$10,$E$12,$D241,$E$6,BN$18,BN$17)</f>
        <v>0.25742755011382346</v>
      </c>
      <c r="BO241" s="16"/>
      <c r="BP241" s="16"/>
      <c r="BQ241" s="16"/>
      <c r="BR241" s="16"/>
      <c r="BS241" s="16">
        <f ca="1">_xll.DBRW($D$4,$E$7,$E$8,$E$9,$E$10,$E$12,$D241,$E$6,BS$18,BS$17)</f>
        <v>-13.614973670000001</v>
      </c>
      <c r="BT241" s="16">
        <f ca="1">_xll.DBRW($D$4,$E$7,$E$8,$E$9,$E$10,$E$12,$D241,$E$6,BT$18,BT$17)</f>
        <v>0.13844664306951687</v>
      </c>
      <c r="BU241" s="16"/>
      <c r="BV241" s="16"/>
      <c r="BW241" s="16"/>
      <c r="BX241" s="16"/>
      <c r="BY241" s="16">
        <f ca="1">_xll.DBRW($D$4,$E$7,$E$8,$E$9,$E$10,$E$12,$D241,$E$6,BY$18,BY$17)</f>
        <v>-12.848635720000001</v>
      </c>
      <c r="BZ241" s="16">
        <f ca="1">_xll.DBRW($D$4,$E$7,$E$8,$E$9,$E$10,$E$12,$D241,$E$6,BZ$18,BZ$17)</f>
        <v>0.13065397896264055</v>
      </c>
      <c r="CA241" s="16"/>
      <c r="CB241" s="16"/>
      <c r="CC241" s="16"/>
      <c r="CD241" s="16"/>
      <c r="CE241" s="16">
        <f ca="1">_xll.DBRW($D$4,$E$7,$E$8,$E$9,$E$10,$E$12,$D241,$E$6,CE$18,CE$17)</f>
        <v>-11.912499930000001</v>
      </c>
      <c r="CF241" s="16">
        <f ca="1">_xll.DBRW($D$4,$E$7,$E$8,$E$9,$E$10,$E$12,$D241,$E$6,CF$18,CF$17)</f>
        <v>0.12113469080798853</v>
      </c>
      <c r="CG241" s="16"/>
      <c r="CH241" s="16"/>
      <c r="CI241" s="16"/>
      <c r="CJ241" s="16"/>
      <c r="CK241" s="16">
        <f ca="1">_xll.DBRW($D$4,$E$7,$E$8,$E$9,$E$10,$E$12,$D241,$E$6,CK$18,CK$17)</f>
        <v>-26.52699986</v>
      </c>
      <c r="CL241" s="16">
        <f ca="1">_xll.DBRW($D$4,$E$7,$E$8,$E$9,$E$10,$E$12,$D241,$E$6,CL$18,CL$17)</f>
        <v>0.2697452209852525</v>
      </c>
      <c r="CM241" s="16"/>
      <c r="CN241" s="16"/>
      <c r="CO241" s="16"/>
      <c r="CP241" s="16"/>
      <c r="CQ241" s="16">
        <f ca="1">_xll.DBRW($D$4,$E$7,$E$8,$E$9,$E$10,$E$12,$D241,$E$6,CQ$18,CQ$17)</f>
        <v>9.3451570000000012E-2</v>
      </c>
      <c r="CR241" s="16">
        <f ca="1">_xll.DBRW($D$4,$E$7,$E$8,$E$9,$E$10,$E$12,$D241,$E$6,CR$18,CR$17)</f>
        <v>3.9072243100000001</v>
      </c>
      <c r="CS241" s="16">
        <f ca="1">_xll.DBRW($D$4,$E$7,$E$8,$E$9,$E$10,$E$12,$D241,$E$6,CS$18,CS$17)</f>
        <v>4.2125829999999995</v>
      </c>
      <c r="CT241" s="16">
        <f ca="1">_xll.DBRW($D$4,$E$7,$E$8,$E$9,$E$10,$E$12,$D241,$E$6,CT$18,CT$17)</f>
        <v>3.9072243100000001</v>
      </c>
      <c r="CU241" s="16">
        <f ca="1">_xll.DBRW($D$4,$E$7,$E$8,$E$9,$E$10,$E$12,$D241,$E$6,CU$18,CU$17)</f>
        <v>1.30652674</v>
      </c>
      <c r="CV241" s="16">
        <f ca="1">_xll.DBRW($D$4,$E$7,$E$8,$E$9,$E$10,$E$12,$D241,$E$6,CV$18,CV$17)</f>
        <v>3.9072243100000001</v>
      </c>
      <c r="CW241" s="16" t="str">
        <f ca="1">_xll.DBRW($D$4,$E$7,$E$8,$E$9,$E$10,$E$12,$D241,$E$6,CW$18,CW$17)</f>
        <v/>
      </c>
      <c r="CX241" s="16">
        <f ca="1">_xll.DBRW($D$4,$E$7,$E$8,$E$9,$E$10,$E$12,$D241,$E$6,CX$18,CX$17)</f>
        <v>3.9072243100000001</v>
      </c>
      <c r="CY241" s="16">
        <f ca="1">_xll.DBRW($D$4,$E$7,$E$8,$E$9,$E$10,$E$12,$D241,$E$6,CY$18,CY$17)</f>
        <v>3.9072243100000001</v>
      </c>
      <c r="CZ241" s="16">
        <f ca="1">_xll.DBRW($D$4,$E$7,$E$8,$E$9,$E$10,$E$12,$D241,$E$6,CZ$18,CZ$17)</f>
        <v>3.9072243100000001</v>
      </c>
      <c r="DA241" s="26">
        <f t="shared" ca="1" si="146"/>
        <v>-7.9047143800000228</v>
      </c>
      <c r="DB241" s="26">
        <f t="shared" ca="1" si="147"/>
        <v>-0.34650362000000001</v>
      </c>
      <c r="DC241" s="26">
        <f t="shared" ca="1" si="148"/>
        <v>0</v>
      </c>
      <c r="DD241" s="26">
        <f t="shared" ca="1" si="149"/>
        <v>0</v>
      </c>
      <c r="DE241" s="26">
        <f t="shared" ca="1" si="150"/>
        <v>0</v>
      </c>
      <c r="DF241" s="26">
        <f t="shared" ca="1" si="151"/>
        <v>0</v>
      </c>
      <c r="DG241" s="26">
        <f t="shared" ca="1" si="152"/>
        <v>0</v>
      </c>
      <c r="DH241" s="26">
        <f t="shared" ca="1" si="153"/>
        <v>-7.5582107600000228</v>
      </c>
      <c r="DI241" s="26">
        <f t="shared" ca="1" si="154"/>
        <v>-8.6049869300000239</v>
      </c>
      <c r="DJ241" s="26">
        <f t="shared" ca="1" si="155"/>
        <v>-4.4737739300000179</v>
      </c>
      <c r="DK241" s="26">
        <f t="shared" ca="1" si="156"/>
        <v>7.454018211178659E-2</v>
      </c>
      <c r="DL241" s="26"/>
      <c r="DM241" s="26"/>
      <c r="DN241" s="26"/>
      <c r="DO241" s="26"/>
      <c r="DP241" s="26">
        <f t="shared" ca="1" si="157"/>
        <v>0.57316367000000135</v>
      </c>
      <c r="DQ241" s="26">
        <f t="shared" ca="1" si="158"/>
        <v>6.8887422553619015E-3</v>
      </c>
      <c r="DR241" s="26"/>
      <c r="DS241" s="26"/>
      <c r="DT241" s="26"/>
      <c r="DU241" s="26"/>
      <c r="DV241" s="26">
        <f t="shared" ca="1" si="159"/>
        <v>-1.7350989899999973</v>
      </c>
      <c r="DW241" s="26">
        <f t="shared" ca="1" si="160"/>
        <v>3.1864314399527666E-2</v>
      </c>
      <c r="DX241" s="26"/>
      <c r="DY241" s="26"/>
      <c r="DZ241" s="26"/>
      <c r="EA241" s="26"/>
      <c r="EB241" s="26">
        <f t="shared" ca="1" si="161"/>
        <v>0.99653129000000362</v>
      </c>
      <c r="EC241" s="26">
        <f t="shared" ca="1" si="162"/>
        <v>5.1073329255370281E-4</v>
      </c>
      <c r="ED241" s="26"/>
      <c r="EE241" s="26"/>
      <c r="EF241" s="26"/>
      <c r="EG241" s="26"/>
      <c r="EH241" s="26">
        <f t="shared" ca="1" si="163"/>
        <v>5.6859541299999989</v>
      </c>
      <c r="EI241" s="29">
        <f t="shared" ca="1" si="164"/>
        <v>-3.749667482923813E-2</v>
      </c>
      <c r="EJ241" s="29"/>
      <c r="EK241" s="29"/>
      <c r="EL241" s="29"/>
      <c r="EM241" s="29"/>
      <c r="EN241" s="93"/>
      <c r="EO241" s="29"/>
      <c r="EP241" s="29"/>
      <c r="EQ241" s="29"/>
      <c r="ER241" s="29"/>
      <c r="ES241" s="29"/>
      <c r="ET241" s="29"/>
      <c r="EU241" s="93"/>
      <c r="EV241" s="29"/>
      <c r="EW241" s="29"/>
      <c r="EX241" s="29"/>
      <c r="EY241" s="29"/>
      <c r="EZ241" s="29"/>
      <c r="FA241" s="29"/>
      <c r="FB241" s="93"/>
      <c r="FC241" s="29"/>
      <c r="FD241" s="29"/>
      <c r="FE241" s="29"/>
      <c r="FF241" s="29"/>
      <c r="FG241" s="29"/>
      <c r="FH241" s="29"/>
      <c r="FI241" s="93"/>
      <c r="FJ241" s="29"/>
      <c r="FK241" s="29"/>
      <c r="FL241" s="29"/>
      <c r="FM241" s="29"/>
      <c r="FN241" s="29"/>
      <c r="FO241" s="29"/>
      <c r="FP241" s="93"/>
      <c r="FQ241" s="29"/>
      <c r="FR241" s="29"/>
      <c r="FS241" s="29"/>
      <c r="FT241" s="29"/>
      <c r="FU241" s="29"/>
      <c r="FV241" s="29"/>
    </row>
    <row r="242" spans="1:178" x14ac:dyDescent="0.25">
      <c r="A242" t="str">
        <f ca="1">IF(_xll.TM1RPTELISCONSOLIDATED($D$28,$D242),IF(_xll.TM1RPTELLEV($D$28,$D242)&lt;=3,_xll.TM1RPTELLEV($D$28,$D242),"D"),"N")</f>
        <v>N</v>
      </c>
      <c r="B242" t="str">
        <f ca="1">_xll.DBRA(Server&amp;"Management_organization",$D242,$B$27)</f>
        <v>L</v>
      </c>
      <c r="C242">
        <v>1</v>
      </c>
      <c r="D242" s="2" t="s">
        <v>311</v>
      </c>
      <c r="E242" s="26"/>
      <c r="F242" s="26"/>
      <c r="G242" s="16">
        <f ca="1">_xll.DBRW($D$4,$E$7,$E$8,$E$9,$E$10,$E$12,$D242,$E$6,G$18,G$17)</f>
        <v>0.81755350999999865</v>
      </c>
      <c r="H242" s="16">
        <f ca="1">_xll.DBRW($D$4,$E$7,$E$8,$E$9,$E$10,$E$12,$D242,$E$6,H$18,H$17)</f>
        <v>-0.57262705000000003</v>
      </c>
      <c r="I242" s="16">
        <f ca="1">_xll.DBRW($D$4,$E$7,$E$8,$E$9,$E$10,$E$12,$D242,$E$6,I$18,I$17)</f>
        <v>0</v>
      </c>
      <c r="J242" s="26">
        <f ca="1">_xll.DBRW($D$4,$E$7,$E$8,$E$9,$E$10,$E$12,$D242,$E$6,J$18,J$17)</f>
        <v>0</v>
      </c>
      <c r="K242" s="26">
        <f ca="1">_xll.DBRW($D$4,$E$7,$E$8,$E$9,$E$10,$E$12,$D242,$E$6,K$18,K$17)</f>
        <v>0</v>
      </c>
      <c r="L242" s="26">
        <f ca="1">_xll.DBRW($D$4,$E$7,$E$8,$E$9,$E$10,$E$12,$D242,$E$6,L$18,L$17)</f>
        <v>0</v>
      </c>
      <c r="M242" s="26">
        <f ca="1">_xll.DBRW($D$4,$E$7,$E$8,$E$9,$E$10,$E$12,$D242,$E$6,M$18,M$17)</f>
        <v>0</v>
      </c>
      <c r="N242" s="16">
        <f ca="1">_xll.DBRW($D$4,$E$7,$E$8,$E$9,$E$10,$E$12,$D242,$E$6,N$18,N$17)</f>
        <v>1.3901805599999988</v>
      </c>
      <c r="O242" s="16">
        <f ca="1">_xll.DBRW($D$4,$E$7,$E$8,$E$9,$E$10,$E$12,$D242,$E$6,O$18,O$17)</f>
        <v>29.671903719999996</v>
      </c>
      <c r="P242" s="74">
        <f ca="1">_xll.DBRW($D$4,$E$7,$E$8,$E$9,$E$10,$E$12,$D242,$E$6,P$18,P$17)</f>
        <v>-11.479379129999996</v>
      </c>
      <c r="Q242" s="16">
        <f ca="1">_xll.DBRW($D$4,$E$7,$E$8,$E$9,$E$10,$E$12,$D242,$E$6,Q$18,Q$17)</f>
        <v>0.38687706856713938</v>
      </c>
      <c r="R242" s="16"/>
      <c r="S242" s="16"/>
      <c r="T242" s="16"/>
      <c r="U242" s="16"/>
      <c r="V242" s="16">
        <f ca="1">_xll.DBRW($D$4,$E$7,$E$8,$E$9,$E$10,$E$12,$D242,$E$6,V$18,V$17)</f>
        <v>-4.2816240700000003</v>
      </c>
      <c r="W242" s="16">
        <f ca="1">_xll.DBRW($D$4,$E$7,$E$8,$E$9,$E$10,$E$12,$D242,$E$6,W$18,W$17)</f>
        <v>0.1442989337793659</v>
      </c>
      <c r="X242" s="16"/>
      <c r="Y242" s="16"/>
      <c r="Z242" s="16"/>
      <c r="AA242" s="16"/>
      <c r="AB242" s="16">
        <f ca="1">_xll.DBRW($D$4,$E$7,$E$8,$E$9,$E$10,$E$12,$D242,$E$6,AB$18,AB$17)</f>
        <v>-5.4756741199999999</v>
      </c>
      <c r="AC242" s="16">
        <f ca="1">_xll.DBRW($D$4,$E$7,$E$8,$E$9,$E$10,$E$12,$D242,$E$6,AC$18,AC$17)</f>
        <v>0.18454070799337308</v>
      </c>
      <c r="AD242" s="16"/>
      <c r="AE242" s="16"/>
      <c r="AF242" s="16"/>
      <c r="AG242" s="16"/>
      <c r="AH242" s="16">
        <f ca="1">_xll.DBRW($D$4,$E$7,$E$8,$E$9,$E$10,$E$12,$D242,$E$6,AH$18,AH$17)</f>
        <v>-3.1926630100000004</v>
      </c>
      <c r="AI242" s="16">
        <f ca="1">_xll.DBRW($D$4,$E$7,$E$8,$E$9,$E$10,$E$12,$D242,$E$6,AI$18,AI$17)</f>
        <v>0.1075988598550225</v>
      </c>
      <c r="AJ242" s="16"/>
      <c r="AK242" s="16"/>
      <c r="AL242" s="16"/>
      <c r="AM242" s="16"/>
      <c r="AN242" s="16">
        <f ca="1">_xll.DBRW($D$4,$E$7,$E$8,$E$9,$E$10,$E$12,$D242,$E$6,AN$18,AN$17)</f>
        <v>-3.8523828299999994</v>
      </c>
      <c r="AO242" s="16">
        <f ca="1">_xll.DBRW($D$4,$E$7,$E$8,$E$9,$E$10,$E$12,$D242,$E$6,AO$18,AO$17)</f>
        <v>0.12983268166253001</v>
      </c>
      <c r="AP242" s="16"/>
      <c r="AQ242" s="16"/>
      <c r="AR242" s="16"/>
      <c r="AS242" s="16"/>
      <c r="AT242" s="16">
        <f ca="1">_xll.DBRW($D$4,$E$7,$E$8,$E$9,$E$10,$E$12,$D242,$E$6,AT$18,AT$17)</f>
        <v>4.2111185999999995E-2</v>
      </c>
      <c r="AU242" s="16">
        <f ca="1">_xll.DBRW($D$4,$E$7,$E$8,$E$9,$E$10,$E$12,$D242,$E$6,AU$18,AU$17)</f>
        <v>0.93528405099999989</v>
      </c>
      <c r="AV242" s="16">
        <f ca="1">_xll.DBRW($D$4,$E$7,$E$8,$E$9,$E$10,$E$12,$D242,$E$6,AV$18,AV$17)</f>
        <v>1.0030237599999998</v>
      </c>
      <c r="AW242" s="16">
        <f ca="1">_xll.DBRW($D$4,$E$7,$E$8,$E$9,$E$10,$E$12,$D242,$E$6,AW$18,AW$17)</f>
        <v>0.93528405099999989</v>
      </c>
      <c r="AX242" s="16">
        <f ca="1">_xll.DBRW($D$4,$E$7,$E$8,$E$9,$E$10,$E$12,$D242,$E$6,AX$18,AX$17)</f>
        <v>0.38666992711477838</v>
      </c>
      <c r="AY242" s="16">
        <f ca="1">_xll.DBRW($D$4,$E$7,$E$8,$E$9,$E$10,$E$12,$D242,$E$6,AY$18,AY$17)</f>
        <v>0.93528405099999989</v>
      </c>
      <c r="AZ242" s="16">
        <f ca="1">_xll.DBRW($D$4,$E$7,$E$8,$E$9,$E$10,$E$12,$D242,$E$6,AZ$18,AZ$17)</f>
        <v>1.5E-5</v>
      </c>
      <c r="BA242" s="16">
        <f ca="1">_xll.DBRW($D$4,$E$7,$E$8,$E$9,$E$10,$E$12,$D242,$E$6,BA$18,BA$17)</f>
        <v>0.93528405099999989</v>
      </c>
      <c r="BB242" s="16">
        <f ca="1">_xll.DBRW($D$4,$E$7,$E$8,$E$9,$E$10,$E$12,$D242,$E$6,BB$18,BB$17)</f>
        <v>0.93528405099999989</v>
      </c>
      <c r="BC242" s="16">
        <f ca="1">_xll.DBRW($D$4,$E$7,$E$8,$E$9,$E$10,$E$12,$D242,$E$6,BC$18,BC$17)</f>
        <v>0.93528405099999989</v>
      </c>
      <c r="BD242" s="16">
        <f ca="1">_xll.DBRW($D$4,$E$7,$E$8,$E$9,$E$10,$E$12,$D242,$E$6,BD$18,BD$17)</f>
        <v>-7.9522549999996167E-2</v>
      </c>
      <c r="BE242" s="16">
        <f ca="1">_xll.DBRW($D$4,$E$7,$E$8,$E$9,$E$10,$E$12,$D242,$E$6,BE$18,BE$17)</f>
        <v>-0.63</v>
      </c>
      <c r="BF242" s="16">
        <f ca="1">_xll.DBRW($D$4,$E$7,$E$8,$E$9,$E$10,$E$12,$D242,$E$6,BF$18,BF$17)</f>
        <v>0</v>
      </c>
      <c r="BG242" s="26">
        <f ca="1">_xll.DBRW($D$4,$E$7,$E$8,$E$9,$E$10,$E$12,$D242,$E$6,BG$18,BG$17)</f>
        <v>0</v>
      </c>
      <c r="BH242" s="26">
        <f ca="1">_xll.DBRW($D$4,$E$7,$E$8,$E$9,$E$10,$E$12,$D242,$E$6,BH$18,BH$17)</f>
        <v>0</v>
      </c>
      <c r="BI242" s="26">
        <f ca="1">_xll.DBRW($D$4,$E$7,$E$8,$E$9,$E$10,$E$12,$D242,$E$6,BI$18,BI$17)</f>
        <v>0</v>
      </c>
      <c r="BJ242" s="26">
        <f ca="1">_xll.DBRW($D$4,$E$7,$E$8,$E$9,$E$10,$E$12,$D242,$E$6,BJ$18,BJ$17)</f>
        <v>0</v>
      </c>
      <c r="BK242" s="16">
        <f ca="1">_xll.DBRW($D$4,$E$7,$E$8,$E$9,$E$10,$E$12,$D242,$E$6,BK$18,BK$17)</f>
        <v>0.55047745000000381</v>
      </c>
      <c r="BL242" s="16">
        <f ca="1">_xll.DBRW($D$4,$E$7,$E$8,$E$9,$E$10,$E$12,$D242,$E$6,BL$18,BL$17)</f>
        <v>29.779278100000003</v>
      </c>
      <c r="BM242" s="16">
        <f ca="1">_xll.DBRW($D$4,$E$7,$E$8,$E$9,$E$10,$E$12,$D242,$E$6,BM$18,BM$17)</f>
        <v>-12.26020198</v>
      </c>
      <c r="BN242" s="16">
        <f ca="1">_xll.DBRW($D$4,$E$7,$E$8,$E$9,$E$10,$E$12,$D242,$E$6,BN$18,BN$17)</f>
        <v>0.41170245762270508</v>
      </c>
      <c r="BO242" s="16"/>
      <c r="BP242" s="16"/>
      <c r="BQ242" s="16"/>
      <c r="BR242" s="16"/>
      <c r="BS242" s="16">
        <f ca="1">_xll.DBRW($D$4,$E$7,$E$8,$E$9,$E$10,$E$12,$D242,$E$6,BS$18,BS$17)</f>
        <v>-4.333449579999999</v>
      </c>
      <c r="BT242" s="16">
        <f ca="1">_xll.DBRW($D$4,$E$7,$E$8,$E$9,$E$10,$E$12,$D242,$E$6,BT$18,BT$17)</f>
        <v>0.14551896004490447</v>
      </c>
      <c r="BU242" s="16"/>
      <c r="BV242" s="16"/>
      <c r="BW242" s="16"/>
      <c r="BX242" s="16"/>
      <c r="BY242" s="16">
        <f ca="1">_xll.DBRW($D$4,$E$7,$E$8,$E$9,$E$10,$E$12,$D242,$E$6,BY$18,BY$17)</f>
        <v>-4.87464312</v>
      </c>
      <c r="BZ242" s="16">
        <f ca="1">_xll.DBRW($D$4,$E$7,$E$8,$E$9,$E$10,$E$12,$D242,$E$6,BZ$18,BZ$17)</f>
        <v>0.16369245431775592</v>
      </c>
      <c r="CA242" s="16"/>
      <c r="CB242" s="16"/>
      <c r="CC242" s="16"/>
      <c r="CD242" s="16"/>
      <c r="CE242" s="16">
        <f ca="1">_xll.DBRW($D$4,$E$7,$E$8,$E$9,$E$10,$E$12,$D242,$E$6,CE$18,CE$17)</f>
        <v>-3.4806398199999995</v>
      </c>
      <c r="CF242" s="16">
        <f ca="1">_xll.DBRW($D$4,$E$7,$E$8,$E$9,$E$10,$E$12,$D242,$E$6,CF$18,CF$17)</f>
        <v>0.11688126919369476</v>
      </c>
      <c r="CG242" s="16"/>
      <c r="CH242" s="16"/>
      <c r="CI242" s="16"/>
      <c r="CJ242" s="16"/>
      <c r="CK242" s="16">
        <f ca="1">_xll.DBRW($D$4,$E$7,$E$8,$E$9,$E$10,$E$12,$D242,$E$6,CK$18,CK$17)</f>
        <v>-4.279866150000001</v>
      </c>
      <c r="CL242" s="16">
        <f ca="1">_xll.DBRW($D$4,$E$7,$E$8,$E$9,$E$10,$E$12,$D242,$E$6,CL$18,CL$17)</f>
        <v>0.14371960715864368</v>
      </c>
      <c r="CM242" s="16"/>
      <c r="CN242" s="16"/>
      <c r="CO242" s="16"/>
      <c r="CP242" s="16"/>
      <c r="CQ242" s="16">
        <f ca="1">_xll.DBRW($D$4,$E$7,$E$8,$E$9,$E$10,$E$12,$D242,$E$6,CQ$18,CQ$17)</f>
        <v>4.5787666666000003E-2</v>
      </c>
      <c r="CR242" s="16">
        <f ca="1">_xll.DBRW($D$4,$E$7,$E$8,$E$9,$E$10,$E$12,$D242,$E$6,CR$18,CR$17)</f>
        <v>0.96275200000000016</v>
      </c>
      <c r="CS242" s="16">
        <f ca="1">_xll.DBRW($D$4,$E$7,$E$8,$E$9,$E$10,$E$12,$D242,$E$6,CS$18,CS$17)</f>
        <v>1.048916</v>
      </c>
      <c r="CT242" s="16">
        <f ca="1">_xll.DBRW($D$4,$E$7,$E$8,$E$9,$E$10,$E$12,$D242,$E$6,CT$18,CT$17)</f>
        <v>0.96275200000000016</v>
      </c>
      <c r="CU242" s="16">
        <f ca="1">_xll.DBRW($D$4,$E$7,$E$8,$E$9,$E$10,$E$12,$D242,$E$6,CU$18,CU$17)</f>
        <v>0.39265250331599999</v>
      </c>
      <c r="CV242" s="16">
        <f ca="1">_xll.DBRW($D$4,$E$7,$E$8,$E$9,$E$10,$E$12,$D242,$E$6,CV$18,CV$17)</f>
        <v>0.96275200000000016</v>
      </c>
      <c r="CW242" s="16">
        <f ca="1">_xll.DBRW($D$4,$E$7,$E$8,$E$9,$E$10,$E$12,$D242,$E$6,CW$18,CW$17)</f>
        <v>1.5E-5</v>
      </c>
      <c r="CX242" s="16">
        <f ca="1">_xll.DBRW($D$4,$E$7,$E$8,$E$9,$E$10,$E$12,$D242,$E$6,CX$18,CX$17)</f>
        <v>0.96275200000000016</v>
      </c>
      <c r="CY242" s="16">
        <f ca="1">_xll.DBRW($D$4,$E$7,$E$8,$E$9,$E$10,$E$12,$D242,$E$6,CY$18,CY$17)</f>
        <v>0.96275200000000016</v>
      </c>
      <c r="CZ242" s="16">
        <f ca="1">_xll.DBRW($D$4,$E$7,$E$8,$E$9,$E$10,$E$12,$D242,$E$6,CZ$18,CZ$17)</f>
        <v>0.96275200000000016</v>
      </c>
      <c r="DA242" s="26">
        <f t="shared" ca="1" si="146"/>
        <v>0.89707605999999485</v>
      </c>
      <c r="DB242" s="26">
        <f t="shared" ca="1" si="147"/>
        <v>5.7372949999999978E-2</v>
      </c>
      <c r="DC242" s="26">
        <f t="shared" ca="1" si="148"/>
        <v>0</v>
      </c>
      <c r="DD242" s="26">
        <f t="shared" ca="1" si="149"/>
        <v>0</v>
      </c>
      <c r="DE242" s="26">
        <f t="shared" ca="1" si="150"/>
        <v>0</v>
      </c>
      <c r="DF242" s="26">
        <f t="shared" ca="1" si="151"/>
        <v>0</v>
      </c>
      <c r="DG242" s="26">
        <f t="shared" ca="1" si="152"/>
        <v>0</v>
      </c>
      <c r="DH242" s="26">
        <f t="shared" ca="1" si="153"/>
        <v>0.83970310999999498</v>
      </c>
      <c r="DI242" s="26">
        <f t="shared" ca="1" si="154"/>
        <v>-0.10737438000000665</v>
      </c>
      <c r="DJ242" s="26">
        <f t="shared" ca="1" si="155"/>
        <v>0.7808228500000034</v>
      </c>
      <c r="DK242" s="26">
        <f t="shared" ca="1" si="156"/>
        <v>-2.4825389055565694E-2</v>
      </c>
      <c r="DL242" s="26"/>
      <c r="DM242" s="26"/>
      <c r="DN242" s="26"/>
      <c r="DO242" s="26"/>
      <c r="DP242" s="26">
        <f t="shared" ca="1" si="157"/>
        <v>5.1825509999998687E-2</v>
      </c>
      <c r="DQ242" s="26">
        <f t="shared" ca="1" si="158"/>
        <v>-1.2200262655385763E-3</v>
      </c>
      <c r="DR242" s="26"/>
      <c r="DS242" s="26"/>
      <c r="DT242" s="26"/>
      <c r="DU242" s="26"/>
      <c r="DV242" s="26">
        <f t="shared" ca="1" si="159"/>
        <v>-0.60103099999999987</v>
      </c>
      <c r="DW242" s="26">
        <f t="shared" ca="1" si="160"/>
        <v>2.0848253675617157E-2</v>
      </c>
      <c r="DX242" s="26"/>
      <c r="DY242" s="26"/>
      <c r="DZ242" s="26"/>
      <c r="EA242" s="26"/>
      <c r="EB242" s="26">
        <f t="shared" ca="1" si="161"/>
        <v>0.28797680999999908</v>
      </c>
      <c r="EC242" s="26">
        <f t="shared" ca="1" si="162"/>
        <v>-9.2824093386722623E-3</v>
      </c>
      <c r="ED242" s="26"/>
      <c r="EE242" s="26"/>
      <c r="EF242" s="26"/>
      <c r="EG242" s="26"/>
      <c r="EH242" s="26">
        <f t="shared" ca="1" si="163"/>
        <v>0.42748332000000167</v>
      </c>
      <c r="EI242" s="29">
        <f t="shared" ca="1" si="164"/>
        <v>-1.3886925496113672E-2</v>
      </c>
      <c r="EJ242" s="29"/>
      <c r="EK242" s="29"/>
      <c r="EL242" s="29"/>
      <c r="EM242" s="29"/>
      <c r="EN242" s="93"/>
      <c r="EO242" s="29"/>
      <c r="EP242" s="29"/>
      <c r="EQ242" s="29"/>
      <c r="ER242" s="29"/>
      <c r="ES242" s="29"/>
      <c r="ET242" s="29"/>
      <c r="EU242" s="93"/>
      <c r="EV242" s="29"/>
      <c r="EW242" s="29"/>
      <c r="EX242" s="29"/>
      <c r="EY242" s="29"/>
      <c r="EZ242" s="29"/>
      <c r="FA242" s="29"/>
      <c r="FB242" s="93"/>
      <c r="FC242" s="29"/>
      <c r="FD242" s="29"/>
      <c r="FE242" s="29"/>
      <c r="FF242" s="29"/>
      <c r="FG242" s="29"/>
      <c r="FH242" s="29"/>
      <c r="FI242" s="93"/>
      <c r="FJ242" s="29"/>
      <c r="FK242" s="29"/>
      <c r="FL242" s="29"/>
      <c r="FM242" s="29"/>
      <c r="FN242" s="29"/>
      <c r="FO242" s="29"/>
      <c r="FP242" s="93"/>
      <c r="FQ242" s="29"/>
      <c r="FR242" s="29"/>
      <c r="FS242" s="29"/>
      <c r="FT242" s="29"/>
      <c r="FU242" s="29"/>
      <c r="FV242" s="29"/>
    </row>
    <row r="243" spans="1:178" x14ac:dyDescent="0.25">
      <c r="A243" t="str">
        <f ca="1">IF(_xll.TM1RPTELISCONSOLIDATED($D$28,$D243),IF(_xll.TM1RPTELLEV($D$28,$D243)&lt;=3,_xll.TM1RPTELLEV($D$28,$D243),"D"),"N")</f>
        <v>N</v>
      </c>
      <c r="B243" t="str">
        <f ca="1">_xll.DBRA(Server&amp;"Management_organization",$D243,$B$27)</f>
        <v>L</v>
      </c>
      <c r="C243">
        <v>1</v>
      </c>
      <c r="D243" s="2" t="s">
        <v>312</v>
      </c>
      <c r="E243" s="26"/>
      <c r="F243" s="26"/>
      <c r="G243" s="16">
        <f ca="1">_xll.DBRW($D$4,$E$7,$E$8,$E$9,$E$10,$E$12,$D243,$E$6,G$18,G$17)</f>
        <v>3.8800040200000097</v>
      </c>
      <c r="H243" s="16">
        <f ca="1">_xll.DBRW($D$4,$E$7,$E$8,$E$9,$E$10,$E$12,$D243,$E$6,H$18,H$17)</f>
        <v>-0.80874288999999999</v>
      </c>
      <c r="I243" s="16">
        <f ca="1">_xll.DBRW($D$4,$E$7,$E$8,$E$9,$E$10,$E$12,$D243,$E$6,I$18,I$17)</f>
        <v>0</v>
      </c>
      <c r="J243" s="26">
        <f ca="1">_xll.DBRW($D$4,$E$7,$E$8,$E$9,$E$10,$E$12,$D243,$E$6,J$18,J$17)</f>
        <v>0</v>
      </c>
      <c r="K243" s="26">
        <f ca="1">_xll.DBRW($D$4,$E$7,$E$8,$E$9,$E$10,$E$12,$D243,$E$6,K$18,K$17)</f>
        <v>0</v>
      </c>
      <c r="L243" s="26">
        <f ca="1">_xll.DBRW($D$4,$E$7,$E$8,$E$9,$E$10,$E$12,$D243,$E$6,L$18,L$17)</f>
        <v>0</v>
      </c>
      <c r="M243" s="26">
        <f ca="1">_xll.DBRW($D$4,$E$7,$E$8,$E$9,$E$10,$E$12,$D243,$E$6,M$18,M$17)</f>
        <v>0</v>
      </c>
      <c r="N243" s="16">
        <f ca="1">_xll.DBRW($D$4,$E$7,$E$8,$E$9,$E$10,$E$12,$D243,$E$6,N$18,N$17)</f>
        <v>4.6887469100000096</v>
      </c>
      <c r="O243" s="16">
        <f ca="1">_xll.DBRW($D$4,$E$7,$E$8,$E$9,$E$10,$E$12,$D243,$E$6,O$18,O$17)</f>
        <v>44.677214660000011</v>
      </c>
      <c r="P243" s="74">
        <f ca="1">_xll.DBRW($D$4,$E$7,$E$8,$E$9,$E$10,$E$12,$D243,$E$6,P$18,P$17)</f>
        <v>-14.993487380000001</v>
      </c>
      <c r="Q243" s="16">
        <f ca="1">_xll.DBRW($D$4,$E$7,$E$8,$E$9,$E$10,$E$12,$D243,$E$6,Q$18,Q$17)</f>
        <v>0.33559583993994663</v>
      </c>
      <c r="R243" s="16"/>
      <c r="S243" s="16"/>
      <c r="T243" s="16"/>
      <c r="U243" s="16"/>
      <c r="V243" s="16">
        <f ca="1">_xll.DBRW($D$4,$E$7,$E$8,$E$9,$E$10,$E$12,$D243,$E$6,V$18,V$17)</f>
        <v>-7.4046624000000003</v>
      </c>
      <c r="W243" s="16">
        <f ca="1">_xll.DBRW($D$4,$E$7,$E$8,$E$9,$E$10,$E$12,$D243,$E$6,W$18,W$17)</f>
        <v>0.16573688526356309</v>
      </c>
      <c r="X243" s="16"/>
      <c r="Y243" s="16"/>
      <c r="Z243" s="16"/>
      <c r="AA243" s="16"/>
      <c r="AB243" s="16">
        <f ca="1">_xll.DBRW($D$4,$E$7,$E$8,$E$9,$E$10,$E$12,$D243,$E$6,AB$18,AB$17)</f>
        <v>-8.4405653600000008</v>
      </c>
      <c r="AC243" s="16">
        <f ca="1">_xll.DBRW($D$4,$E$7,$E$8,$E$9,$E$10,$E$12,$D243,$E$6,AC$18,AC$17)</f>
        <v>0.18892326713368121</v>
      </c>
      <c r="AD243" s="16"/>
      <c r="AE243" s="16"/>
      <c r="AF243" s="16"/>
      <c r="AG243" s="16"/>
      <c r="AH243" s="16">
        <f ca="1">_xll.DBRW($D$4,$E$7,$E$8,$E$9,$E$10,$E$12,$D243,$E$6,AH$18,AH$17)</f>
        <v>-4.1786255399999996</v>
      </c>
      <c r="AI243" s="16">
        <f ca="1">_xll.DBRW($D$4,$E$7,$E$8,$E$9,$E$10,$E$12,$D243,$E$6,AI$18,AI$17)</f>
        <v>9.3529231215507436E-2</v>
      </c>
      <c r="AJ243" s="16"/>
      <c r="AK243" s="16"/>
      <c r="AL243" s="16"/>
      <c r="AM243" s="16"/>
      <c r="AN243" s="16">
        <f ca="1">_xll.DBRW($D$4,$E$7,$E$8,$E$9,$E$10,$E$12,$D243,$E$6,AN$18,AN$17)</f>
        <v>-4.9711270699999996</v>
      </c>
      <c r="AO243" s="16">
        <f ca="1">_xll.DBRW($D$4,$E$7,$E$8,$E$9,$E$10,$E$12,$D243,$E$6,AO$18,AO$17)</f>
        <v>0.11126761387949063</v>
      </c>
      <c r="AP243" s="16"/>
      <c r="AQ243" s="16"/>
      <c r="AR243" s="16"/>
      <c r="AS243" s="16"/>
      <c r="AT243" s="16">
        <f ca="1">_xll.DBRW($D$4,$E$7,$E$8,$E$9,$E$10,$E$12,$D243,$E$6,AT$18,AT$17)</f>
        <v>5.9443504999999994E-2</v>
      </c>
      <c r="AU243" s="16">
        <f ca="1">_xll.DBRW($D$4,$E$7,$E$8,$E$9,$E$10,$E$12,$D243,$E$6,AU$18,AU$17)</f>
        <v>1.8038287430000004</v>
      </c>
      <c r="AV243" s="16">
        <f ca="1">_xll.DBRW($D$4,$E$7,$E$8,$E$9,$E$10,$E$12,$D243,$E$6,AV$18,AV$17)</f>
        <v>1.6370639499999999</v>
      </c>
      <c r="AW243" s="16">
        <f ca="1">_xll.DBRW($D$4,$E$7,$E$8,$E$9,$E$10,$E$12,$D243,$E$6,AW$18,AW$17)</f>
        <v>1.8038287430000004</v>
      </c>
      <c r="AX243" s="16">
        <f ca="1">_xll.DBRW($D$4,$E$7,$E$8,$E$9,$E$10,$E$12,$D243,$E$6,AX$18,AX$17)</f>
        <v>0.56507167786934998</v>
      </c>
      <c r="AY243" s="16">
        <f ca="1">_xll.DBRW($D$4,$E$7,$E$8,$E$9,$E$10,$E$12,$D243,$E$6,AY$18,AY$17)</f>
        <v>1.8038287430000004</v>
      </c>
      <c r="AZ243" s="16">
        <f ca="1">_xll.DBRW($D$4,$E$7,$E$8,$E$9,$E$10,$E$12,$D243,$E$6,AZ$18,AZ$17)</f>
        <v>2.6000000000000002E-5</v>
      </c>
      <c r="BA243" s="16">
        <f ca="1">_xll.DBRW($D$4,$E$7,$E$8,$E$9,$E$10,$E$12,$D243,$E$6,BA$18,BA$17)</f>
        <v>1.8038287430000004</v>
      </c>
      <c r="BB243" s="16">
        <f ca="1">_xll.DBRW($D$4,$E$7,$E$8,$E$9,$E$10,$E$12,$D243,$E$6,BB$18,BB$17)</f>
        <v>1.8038287430000004</v>
      </c>
      <c r="BC243" s="16">
        <f ca="1">_xll.DBRW($D$4,$E$7,$E$8,$E$9,$E$10,$E$12,$D243,$E$6,BC$18,BC$17)</f>
        <v>1.8038287430000004</v>
      </c>
      <c r="BD243" s="16">
        <f ca="1">_xll.DBRW($D$4,$E$7,$E$8,$E$9,$E$10,$E$12,$D243,$E$6,BD$18,BD$17)</f>
        <v>3.8609018500000021</v>
      </c>
      <c r="BE243" s="16">
        <f ca="1">_xll.DBRW($D$4,$E$7,$E$8,$E$9,$E$10,$E$12,$D243,$E$6,BE$18,BE$17)</f>
        <v>-0.876</v>
      </c>
      <c r="BF243" s="16">
        <f ca="1">_xll.DBRW($D$4,$E$7,$E$8,$E$9,$E$10,$E$12,$D243,$E$6,BF$18,BF$17)</f>
        <v>0</v>
      </c>
      <c r="BG243" s="26">
        <f ca="1">_xll.DBRW($D$4,$E$7,$E$8,$E$9,$E$10,$E$12,$D243,$E$6,BG$18,BG$17)</f>
        <v>0</v>
      </c>
      <c r="BH243" s="26">
        <f ca="1">_xll.DBRW($D$4,$E$7,$E$8,$E$9,$E$10,$E$12,$D243,$E$6,BH$18,BH$17)</f>
        <v>0</v>
      </c>
      <c r="BI243" s="26">
        <f ca="1">_xll.DBRW($D$4,$E$7,$E$8,$E$9,$E$10,$E$12,$D243,$E$6,BI$18,BI$17)</f>
        <v>0</v>
      </c>
      <c r="BJ243" s="26">
        <f ca="1">_xll.DBRW($D$4,$E$7,$E$8,$E$9,$E$10,$E$12,$D243,$E$6,BJ$18,BJ$17)</f>
        <v>0</v>
      </c>
      <c r="BK243" s="16">
        <f ca="1">_xll.DBRW($D$4,$E$7,$E$8,$E$9,$E$10,$E$12,$D243,$E$6,BK$18,BK$17)</f>
        <v>4.7369018500000015</v>
      </c>
      <c r="BL243" s="16">
        <f ca="1">_xll.DBRW($D$4,$E$7,$E$8,$E$9,$E$10,$E$12,$D243,$E$6,BL$18,BL$17)</f>
        <v>46.178620719999998</v>
      </c>
      <c r="BM243" s="16">
        <f ca="1">_xll.DBRW($D$4,$E$7,$E$8,$E$9,$E$10,$E$12,$D243,$E$6,BM$18,BM$17)</f>
        <v>-16.192798709999998</v>
      </c>
      <c r="BN243" s="16">
        <f ca="1">_xll.DBRW($D$4,$E$7,$E$8,$E$9,$E$10,$E$12,$D243,$E$6,BN$18,BN$17)</f>
        <v>0.35065574626370083</v>
      </c>
      <c r="BO243" s="16"/>
      <c r="BP243" s="16"/>
      <c r="BQ243" s="16"/>
      <c r="BR243" s="16"/>
      <c r="BS243" s="16">
        <f ca="1">_xll.DBRW($D$4,$E$7,$E$8,$E$9,$E$10,$E$12,$D243,$E$6,BS$18,BS$17)</f>
        <v>-8.2943372599999989</v>
      </c>
      <c r="BT243" s="16">
        <f ca="1">_xll.DBRW($D$4,$E$7,$E$8,$E$9,$E$10,$E$12,$D243,$E$6,BT$18,BT$17)</f>
        <v>0.17961422690149156</v>
      </c>
      <c r="BU243" s="16"/>
      <c r="BV243" s="16"/>
      <c r="BW243" s="16"/>
      <c r="BX243" s="16"/>
      <c r="BY243" s="16">
        <f ca="1">_xll.DBRW($D$4,$E$7,$E$8,$E$9,$E$10,$E$12,$D243,$E$6,BY$18,BY$17)</f>
        <v>-7.4048097699999991</v>
      </c>
      <c r="BZ243" s="16">
        <f ca="1">_xll.DBRW($D$4,$E$7,$E$8,$E$9,$E$10,$E$12,$D243,$E$6,BZ$18,BZ$17)</f>
        <v>0.1603514711904977</v>
      </c>
      <c r="CA243" s="16"/>
      <c r="CB243" s="16"/>
      <c r="CC243" s="16"/>
      <c r="CD243" s="16"/>
      <c r="CE243" s="16">
        <f ca="1">_xll.DBRW($D$4,$E$7,$E$8,$E$9,$E$10,$E$12,$D243,$E$6,CE$18,CE$17)</f>
        <v>-4.6501744400000007</v>
      </c>
      <c r="CF243" s="16">
        <f ca="1">_xll.DBRW($D$4,$E$7,$E$8,$E$9,$E$10,$E$12,$D243,$E$6,CF$18,CF$17)</f>
        <v>0.10069972570631601</v>
      </c>
      <c r="CG243" s="16"/>
      <c r="CH243" s="16"/>
      <c r="CI243" s="16"/>
      <c r="CJ243" s="16"/>
      <c r="CK243" s="16">
        <f ca="1">_xll.DBRW($D$4,$E$7,$E$8,$E$9,$E$10,$E$12,$D243,$E$6,CK$18,CK$17)</f>
        <v>-4.8995986899999995</v>
      </c>
      <c r="CL243" s="16">
        <f ca="1">_xll.DBRW($D$4,$E$7,$E$8,$E$9,$E$10,$E$12,$D243,$E$6,CL$18,CL$17)</f>
        <v>0.10610101847147591</v>
      </c>
      <c r="CM243" s="16"/>
      <c r="CN243" s="16"/>
      <c r="CO243" s="16"/>
      <c r="CP243" s="16"/>
      <c r="CQ243" s="16">
        <f ca="1">_xll.DBRW($D$4,$E$7,$E$8,$E$9,$E$10,$E$12,$D243,$E$6,CQ$18,CQ$17)</f>
        <v>0.137154</v>
      </c>
      <c r="CR243" s="16">
        <f ca="1">_xll.DBRW($D$4,$E$7,$E$8,$E$9,$E$10,$E$12,$D243,$E$6,CR$18,CR$17)</f>
        <v>1.9788260000000002</v>
      </c>
      <c r="CS243" s="16">
        <f ca="1">_xll.DBRW($D$4,$E$7,$E$8,$E$9,$E$10,$E$12,$D243,$E$6,CS$18,CS$17)</f>
        <v>2.0777384200000002</v>
      </c>
      <c r="CT243" s="16">
        <f ca="1">_xll.DBRW($D$4,$E$7,$E$8,$E$9,$E$10,$E$12,$D243,$E$6,CT$18,CT$17)</f>
        <v>1.9788260000000002</v>
      </c>
      <c r="CU243" s="16">
        <f ca="1">_xll.DBRW($D$4,$E$7,$E$8,$E$9,$E$10,$E$12,$D243,$E$6,CU$18,CU$17)</f>
        <v>0.75432504098200015</v>
      </c>
      <c r="CV243" s="16">
        <f ca="1">_xll.DBRW($D$4,$E$7,$E$8,$E$9,$E$10,$E$12,$D243,$E$6,CV$18,CV$17)</f>
        <v>1.9788260000000002</v>
      </c>
      <c r="CW243" s="16">
        <f ca="1">_xll.DBRW($D$4,$E$7,$E$8,$E$9,$E$10,$E$12,$D243,$E$6,CW$18,CW$17)</f>
        <v>2.4000000000000001E-5</v>
      </c>
      <c r="CX243" s="16">
        <f ca="1">_xll.DBRW($D$4,$E$7,$E$8,$E$9,$E$10,$E$12,$D243,$E$6,CX$18,CX$17)</f>
        <v>1.9788260000000002</v>
      </c>
      <c r="CY243" s="16">
        <f ca="1">_xll.DBRW($D$4,$E$7,$E$8,$E$9,$E$10,$E$12,$D243,$E$6,CY$18,CY$17)</f>
        <v>1.9788260000000002</v>
      </c>
      <c r="CZ243" s="16">
        <f ca="1">_xll.DBRW($D$4,$E$7,$E$8,$E$9,$E$10,$E$12,$D243,$E$6,CZ$18,CZ$17)</f>
        <v>1.9788260000000002</v>
      </c>
      <c r="DA243" s="26">
        <f t="shared" ca="1" si="146"/>
        <v>1.9102170000007579E-2</v>
      </c>
      <c r="DB243" s="26">
        <f t="shared" ca="1" si="147"/>
        <v>6.7257110000000009E-2</v>
      </c>
      <c r="DC243" s="26">
        <f t="shared" ca="1" si="148"/>
        <v>0</v>
      </c>
      <c r="DD243" s="26">
        <f t="shared" ca="1" si="149"/>
        <v>0</v>
      </c>
      <c r="DE243" s="26">
        <f t="shared" ca="1" si="150"/>
        <v>0</v>
      </c>
      <c r="DF243" s="26">
        <f t="shared" ca="1" si="151"/>
        <v>0</v>
      </c>
      <c r="DG243" s="26">
        <f t="shared" ca="1" si="152"/>
        <v>0</v>
      </c>
      <c r="DH243" s="26">
        <f t="shared" ca="1" si="153"/>
        <v>-4.8154939999991875E-2</v>
      </c>
      <c r="DI243" s="26">
        <f t="shared" ca="1" si="154"/>
        <v>-1.5014060599999866</v>
      </c>
      <c r="DJ243" s="26">
        <f t="shared" ca="1" si="155"/>
        <v>1.1993113299999969</v>
      </c>
      <c r="DK243" s="26">
        <f t="shared" ca="1" si="156"/>
        <v>-1.5059906323754202E-2</v>
      </c>
      <c r="DL243" s="26"/>
      <c r="DM243" s="26"/>
      <c r="DN243" s="26"/>
      <c r="DO243" s="26"/>
      <c r="DP243" s="26">
        <f t="shared" ca="1" si="157"/>
        <v>0.88967485999999862</v>
      </c>
      <c r="DQ243" s="26">
        <f t="shared" ca="1" si="158"/>
        <v>-1.3877341637928475E-2</v>
      </c>
      <c r="DR243" s="26"/>
      <c r="DS243" s="26"/>
      <c r="DT243" s="26"/>
      <c r="DU243" s="26"/>
      <c r="DV243" s="26">
        <f t="shared" ca="1" si="159"/>
        <v>-1.0357555900000017</v>
      </c>
      <c r="DW243" s="26">
        <f t="shared" ca="1" si="160"/>
        <v>2.8571795943183514E-2</v>
      </c>
      <c r="DX243" s="26"/>
      <c r="DY243" s="26"/>
      <c r="DZ243" s="26"/>
      <c r="EA243" s="26"/>
      <c r="EB243" s="26">
        <f t="shared" ca="1" si="161"/>
        <v>0.47154890000000105</v>
      </c>
      <c r="EC243" s="26">
        <f t="shared" ca="1" si="162"/>
        <v>-7.1704944908085738E-3</v>
      </c>
      <c r="ED243" s="26"/>
      <c r="EE243" s="26"/>
      <c r="EF243" s="26"/>
      <c r="EG243" s="26"/>
      <c r="EH243" s="26">
        <f t="shared" ca="1" si="163"/>
        <v>-7.1528380000000169E-2</v>
      </c>
      <c r="EI243" s="29">
        <f t="shared" ca="1" si="164"/>
        <v>5.1665954080147292E-3</v>
      </c>
      <c r="EJ243" s="29"/>
      <c r="EK243" s="29"/>
      <c r="EL243" s="29"/>
      <c r="EM243" s="29"/>
      <c r="EN243" s="93"/>
      <c r="EO243" s="29"/>
      <c r="EP243" s="29"/>
      <c r="EQ243" s="29"/>
      <c r="ER243" s="29"/>
      <c r="ES243" s="29"/>
      <c r="ET243" s="29"/>
      <c r="EU243" s="93"/>
      <c r="EV243" s="29"/>
      <c r="EW243" s="29"/>
      <c r="EX243" s="29"/>
      <c r="EY243" s="29"/>
      <c r="EZ243" s="29"/>
      <c r="FA243" s="29"/>
      <c r="FB243" s="93"/>
      <c r="FC243" s="29"/>
      <c r="FD243" s="29"/>
      <c r="FE243" s="29"/>
      <c r="FF243" s="29"/>
      <c r="FG243" s="29"/>
      <c r="FH243" s="29"/>
      <c r="FI243" s="93"/>
      <c r="FJ243" s="29"/>
      <c r="FK243" s="29"/>
      <c r="FL243" s="29"/>
      <c r="FM243" s="29"/>
      <c r="FN243" s="29"/>
      <c r="FO243" s="29"/>
      <c r="FP243" s="93"/>
      <c r="FQ243" s="29"/>
      <c r="FR243" s="29"/>
      <c r="FS243" s="29"/>
      <c r="FT243" s="29"/>
      <c r="FU243" s="29"/>
      <c r="FV243" s="29"/>
    </row>
    <row r="244" spans="1:178" x14ac:dyDescent="0.25">
      <c r="A244" t="str">
        <f ca="1">IF(_xll.TM1RPTELISCONSOLIDATED($D$28,$D244),IF(_xll.TM1RPTELLEV($D$28,$D244)&lt;=3,_xll.TM1RPTELLEV($D$28,$D244),"D"),"N")</f>
        <v>N</v>
      </c>
      <c r="B244" t="str">
        <f ca="1">_xll.DBRA(Server&amp;"Management_organization",$D244,$B$27)</f>
        <v>L</v>
      </c>
      <c r="C244">
        <v>1</v>
      </c>
      <c r="D244" s="2" t="s">
        <v>313</v>
      </c>
      <c r="E244" s="26"/>
      <c r="F244" s="26"/>
      <c r="G244" s="16">
        <f ca="1">_xll.DBRW($D$4,$E$7,$E$8,$E$9,$E$10,$E$12,$D244,$E$6,G$18,G$17)</f>
        <v>6.9229231000000082</v>
      </c>
      <c r="H244" s="16">
        <f ca="1">_xll.DBRW($D$4,$E$7,$E$8,$E$9,$E$10,$E$12,$D244,$E$6,H$18,H$17)</f>
        <v>-0.57472201999999994</v>
      </c>
      <c r="I244" s="16">
        <f ca="1">_xll.DBRW($D$4,$E$7,$E$8,$E$9,$E$10,$E$12,$D244,$E$6,I$18,I$17)</f>
        <v>0</v>
      </c>
      <c r="J244" s="26">
        <f ca="1">_xll.DBRW($D$4,$E$7,$E$8,$E$9,$E$10,$E$12,$D244,$E$6,J$18,J$17)</f>
        <v>0</v>
      </c>
      <c r="K244" s="26">
        <f ca="1">_xll.DBRW($D$4,$E$7,$E$8,$E$9,$E$10,$E$12,$D244,$E$6,K$18,K$17)</f>
        <v>0</v>
      </c>
      <c r="L244" s="26">
        <f ca="1">_xll.DBRW($D$4,$E$7,$E$8,$E$9,$E$10,$E$12,$D244,$E$6,L$18,L$17)</f>
        <v>0</v>
      </c>
      <c r="M244" s="26">
        <f ca="1">_xll.DBRW($D$4,$E$7,$E$8,$E$9,$E$10,$E$12,$D244,$E$6,M$18,M$17)</f>
        <v>0</v>
      </c>
      <c r="N244" s="16">
        <f ca="1">_xll.DBRW($D$4,$E$7,$E$8,$E$9,$E$10,$E$12,$D244,$E$6,N$18,N$17)</f>
        <v>7.4976451200000076</v>
      </c>
      <c r="O244" s="16">
        <f ca="1">_xll.DBRW($D$4,$E$7,$E$8,$E$9,$E$10,$E$12,$D244,$E$6,O$18,O$17)</f>
        <v>53.157477630000002</v>
      </c>
      <c r="P244" s="74">
        <f ca="1">_xll.DBRW($D$4,$E$7,$E$8,$E$9,$E$10,$E$12,$D244,$E$6,P$18,P$17)</f>
        <v>-19.433550879999999</v>
      </c>
      <c r="Q244" s="16">
        <f ca="1">_xll.DBRW($D$4,$E$7,$E$8,$E$9,$E$10,$E$12,$D244,$E$6,Q$18,Q$17)</f>
        <v>0.3655845188002762</v>
      </c>
      <c r="R244" s="16"/>
      <c r="S244" s="16"/>
      <c r="T244" s="16"/>
      <c r="U244" s="16"/>
      <c r="V244" s="16">
        <f ca="1">_xll.DBRW($D$4,$E$7,$E$8,$E$9,$E$10,$E$12,$D244,$E$6,V$18,V$17)</f>
        <v>-5.5948237999999995</v>
      </c>
      <c r="W244" s="16">
        <f ca="1">_xll.DBRW($D$4,$E$7,$E$8,$E$9,$E$10,$E$12,$D244,$E$6,W$18,W$17)</f>
        <v>0.10524998644485155</v>
      </c>
      <c r="X244" s="16"/>
      <c r="Y244" s="16"/>
      <c r="Z244" s="16"/>
      <c r="AA244" s="16"/>
      <c r="AB244" s="16">
        <f ca="1">_xll.DBRW($D$4,$E$7,$E$8,$E$9,$E$10,$E$12,$D244,$E$6,AB$18,AB$17)</f>
        <v>-9.6760830700000007</v>
      </c>
      <c r="AC244" s="16">
        <f ca="1">_xll.DBRW($D$4,$E$7,$E$8,$E$9,$E$10,$E$12,$D244,$E$6,AC$18,AC$17)</f>
        <v>0.18202675336384277</v>
      </c>
      <c r="AD244" s="16"/>
      <c r="AE244" s="16"/>
      <c r="AF244" s="16"/>
      <c r="AG244" s="16"/>
      <c r="AH244" s="16">
        <f ca="1">_xll.DBRW($D$4,$E$7,$E$8,$E$9,$E$10,$E$12,$D244,$E$6,AH$18,AH$17)</f>
        <v>-6.4514119799999996</v>
      </c>
      <c r="AI244" s="16">
        <f ca="1">_xll.DBRW($D$4,$E$7,$E$8,$E$9,$E$10,$E$12,$D244,$E$6,AI$18,AI$17)</f>
        <v>0.12136414795496382</v>
      </c>
      <c r="AJ244" s="16"/>
      <c r="AK244" s="16"/>
      <c r="AL244" s="16"/>
      <c r="AM244" s="16"/>
      <c r="AN244" s="16">
        <f ca="1">_xll.DBRW($D$4,$E$7,$E$8,$E$9,$E$10,$E$12,$D244,$E$6,AN$18,AN$17)</f>
        <v>-4.5039627800000002</v>
      </c>
      <c r="AO244" s="16">
        <f ca="1">_xll.DBRW($D$4,$E$7,$E$8,$E$9,$E$10,$E$12,$D244,$E$6,AO$18,AO$17)</f>
        <v>8.4728677522090318E-2</v>
      </c>
      <c r="AP244" s="16"/>
      <c r="AQ244" s="16"/>
      <c r="AR244" s="16"/>
      <c r="AS244" s="16"/>
      <c r="AT244" s="16">
        <f ca="1">_xll.DBRW($D$4,$E$7,$E$8,$E$9,$E$10,$E$12,$D244,$E$6,AT$18,AT$17)</f>
        <v>6.6674171000000004E-2</v>
      </c>
      <c r="AU244" s="16">
        <f ca="1">_xll.DBRW($D$4,$E$7,$E$8,$E$9,$E$10,$E$12,$D244,$E$6,AU$18,AU$17)</f>
        <v>2.5483018319999999</v>
      </c>
      <c r="AV244" s="16">
        <f ca="1">_xll.DBRW($D$4,$E$7,$E$8,$E$9,$E$10,$E$12,$D244,$E$6,AV$18,AV$17)</f>
        <v>2.6638725499999998</v>
      </c>
      <c r="AW244" s="16">
        <f ca="1">_xll.DBRW($D$4,$E$7,$E$8,$E$9,$E$10,$E$12,$D244,$E$6,AW$18,AW$17)</f>
        <v>2.5483018319999999</v>
      </c>
      <c r="AX244" s="16">
        <f ca="1">_xll.DBRW($D$4,$E$7,$E$8,$E$9,$E$10,$E$12,$D244,$E$6,AX$18,AX$17)</f>
        <v>0.84726203333332994</v>
      </c>
      <c r="AY244" s="16">
        <f ca="1">_xll.DBRW($D$4,$E$7,$E$8,$E$9,$E$10,$E$12,$D244,$E$6,AY$18,AY$17)</f>
        <v>2.5483018319999999</v>
      </c>
      <c r="AZ244" s="16">
        <f ca="1">_xll.DBRW($D$4,$E$7,$E$8,$E$9,$E$10,$E$12,$D244,$E$6,AZ$18,AZ$17)</f>
        <v>2.44E-5</v>
      </c>
      <c r="BA244" s="16">
        <f ca="1">_xll.DBRW($D$4,$E$7,$E$8,$E$9,$E$10,$E$12,$D244,$E$6,BA$18,BA$17)</f>
        <v>2.5483018319999999</v>
      </c>
      <c r="BB244" s="16">
        <f ca="1">_xll.DBRW($D$4,$E$7,$E$8,$E$9,$E$10,$E$12,$D244,$E$6,BB$18,BB$17)</f>
        <v>2.5483018319999999</v>
      </c>
      <c r="BC244" s="16">
        <f ca="1">_xll.DBRW($D$4,$E$7,$E$8,$E$9,$E$10,$E$12,$D244,$E$6,BC$18,BC$17)</f>
        <v>2.5483018319999999</v>
      </c>
      <c r="BD244" s="16">
        <f ca="1">_xll.DBRW($D$4,$E$7,$E$8,$E$9,$E$10,$E$12,$D244,$E$6,BD$18,BD$17)</f>
        <v>8.9834855200000074</v>
      </c>
      <c r="BE244" s="16">
        <f ca="1">_xll.DBRW($D$4,$E$7,$E$8,$E$9,$E$10,$E$12,$D244,$E$6,BE$18,BE$17)</f>
        <v>-0.59900000000000009</v>
      </c>
      <c r="BF244" s="16">
        <f ca="1">_xll.DBRW($D$4,$E$7,$E$8,$E$9,$E$10,$E$12,$D244,$E$6,BF$18,BF$17)</f>
        <v>0</v>
      </c>
      <c r="BG244" s="26">
        <f ca="1">_xll.DBRW($D$4,$E$7,$E$8,$E$9,$E$10,$E$12,$D244,$E$6,BG$18,BG$17)</f>
        <v>0</v>
      </c>
      <c r="BH244" s="26">
        <f ca="1">_xll.DBRW($D$4,$E$7,$E$8,$E$9,$E$10,$E$12,$D244,$E$6,BH$18,BH$17)</f>
        <v>0</v>
      </c>
      <c r="BI244" s="26">
        <f ca="1">_xll.DBRW($D$4,$E$7,$E$8,$E$9,$E$10,$E$12,$D244,$E$6,BI$18,BI$17)</f>
        <v>0</v>
      </c>
      <c r="BJ244" s="26">
        <f ca="1">_xll.DBRW($D$4,$E$7,$E$8,$E$9,$E$10,$E$12,$D244,$E$6,BJ$18,BJ$17)</f>
        <v>0</v>
      </c>
      <c r="BK244" s="16">
        <f ca="1">_xll.DBRW($D$4,$E$7,$E$8,$E$9,$E$10,$E$12,$D244,$E$6,BK$18,BK$17)</f>
        <v>9.5824855200000076</v>
      </c>
      <c r="BL244" s="16">
        <f ca="1">_xll.DBRW($D$4,$E$7,$E$8,$E$9,$E$10,$E$12,$D244,$E$6,BL$18,BL$17)</f>
        <v>58.299253489999998</v>
      </c>
      <c r="BM244" s="16">
        <f ca="1">_xll.DBRW($D$4,$E$7,$E$8,$E$9,$E$10,$E$12,$D244,$E$6,BM$18,BM$17)</f>
        <v>-20.843999999999998</v>
      </c>
      <c r="BN244" s="16">
        <f ca="1">_xll.DBRW($D$4,$E$7,$E$8,$E$9,$E$10,$E$12,$D244,$E$6,BN$18,BN$17)</f>
        <v>0.35753459525129844</v>
      </c>
      <c r="BO244" s="16"/>
      <c r="BP244" s="16"/>
      <c r="BQ244" s="16"/>
      <c r="BR244" s="16"/>
      <c r="BS244" s="16">
        <f ca="1">_xll.DBRW($D$4,$E$7,$E$8,$E$9,$E$10,$E$12,$D244,$E$6,BS$18,BS$17)</f>
        <v>-6.6071822099999995</v>
      </c>
      <c r="BT244" s="16">
        <f ca="1">_xll.DBRW($D$4,$E$7,$E$8,$E$9,$E$10,$E$12,$D244,$E$6,BT$18,BT$17)</f>
        <v>0.11333219234330885</v>
      </c>
      <c r="BU244" s="16"/>
      <c r="BV244" s="16"/>
      <c r="BW244" s="16"/>
      <c r="BX244" s="16"/>
      <c r="BY244" s="16">
        <f ca="1">_xll.DBRW($D$4,$E$7,$E$8,$E$9,$E$10,$E$12,$D244,$E$6,BY$18,BY$17)</f>
        <v>-9.2323336199999968</v>
      </c>
      <c r="BZ244" s="16">
        <f ca="1">_xll.DBRW($D$4,$E$7,$E$8,$E$9,$E$10,$E$12,$D244,$E$6,BZ$18,BZ$17)</f>
        <v>0.15836109499384254</v>
      </c>
      <c r="CA244" s="16"/>
      <c r="CB244" s="16"/>
      <c r="CC244" s="16"/>
      <c r="CD244" s="16"/>
      <c r="CE244" s="16">
        <f ca="1">_xll.DBRW($D$4,$E$7,$E$8,$E$9,$E$10,$E$12,$D244,$E$6,CE$18,CE$17)</f>
        <v>-7.3494136600000015</v>
      </c>
      <c r="CF244" s="16">
        <f ca="1">_xll.DBRW($D$4,$E$7,$E$8,$E$9,$E$10,$E$12,$D244,$E$6,CF$18,CF$17)</f>
        <v>0.12606359807438422</v>
      </c>
      <c r="CG244" s="16"/>
      <c r="CH244" s="16"/>
      <c r="CI244" s="16"/>
      <c r="CJ244" s="16"/>
      <c r="CK244" s="16">
        <f ca="1">_xll.DBRW($D$4,$E$7,$E$8,$E$9,$E$10,$E$12,$D244,$E$6,CK$18,CK$17)</f>
        <v>-4.6838384800000004</v>
      </c>
      <c r="CL244" s="16">
        <f ca="1">_xll.DBRW($D$4,$E$7,$E$8,$E$9,$E$10,$E$12,$D244,$E$6,CL$18,CL$17)</f>
        <v>8.0341311416679009E-2</v>
      </c>
      <c r="CM244" s="16"/>
      <c r="CN244" s="16"/>
      <c r="CO244" s="16"/>
      <c r="CP244" s="16"/>
      <c r="CQ244" s="16">
        <f ca="1">_xll.DBRW($D$4,$E$7,$E$8,$E$9,$E$10,$E$12,$D244,$E$6,CQ$18,CQ$17)</f>
        <v>0</v>
      </c>
      <c r="CR244" s="16">
        <f ca="1">_xll.DBRW($D$4,$E$7,$E$8,$E$9,$E$10,$E$12,$D244,$E$6,CR$18,CR$17)</f>
        <v>2.5463379999999995</v>
      </c>
      <c r="CS244" s="16">
        <f ca="1">_xll.DBRW($D$4,$E$7,$E$8,$E$9,$E$10,$E$12,$D244,$E$6,CS$18,CS$17)</f>
        <v>2.9290495999999995</v>
      </c>
      <c r="CT244" s="16">
        <f ca="1">_xll.DBRW($D$4,$E$7,$E$8,$E$9,$E$10,$E$12,$D244,$E$6,CT$18,CT$17)</f>
        <v>2.5463379999999995</v>
      </c>
      <c r="CU244" s="16">
        <f ca="1">_xll.DBRW($D$4,$E$7,$E$8,$E$9,$E$10,$E$12,$D244,$E$6,CU$18,CU$17)</f>
        <v>0.91831804000000006</v>
      </c>
      <c r="CV244" s="16">
        <f ca="1">_xll.DBRW($D$4,$E$7,$E$8,$E$9,$E$10,$E$12,$D244,$E$6,CV$18,CV$17)</f>
        <v>2.5463379999999995</v>
      </c>
      <c r="CW244" s="16">
        <f ca="1">_xll.DBRW($D$4,$E$7,$E$8,$E$9,$E$10,$E$12,$D244,$E$6,CW$18,CW$17)</f>
        <v>2.5000000000000001E-5</v>
      </c>
      <c r="CX244" s="16">
        <f ca="1">_xll.DBRW($D$4,$E$7,$E$8,$E$9,$E$10,$E$12,$D244,$E$6,CX$18,CX$17)</f>
        <v>2.5463379999999995</v>
      </c>
      <c r="CY244" s="16">
        <f ca="1">_xll.DBRW($D$4,$E$7,$E$8,$E$9,$E$10,$E$12,$D244,$E$6,CY$18,CY$17)</f>
        <v>2.5463379999999995</v>
      </c>
      <c r="CZ244" s="16">
        <f ca="1">_xll.DBRW($D$4,$E$7,$E$8,$E$9,$E$10,$E$12,$D244,$E$6,CZ$18,CZ$17)</f>
        <v>2.5463379999999995</v>
      </c>
      <c r="DA244" s="26">
        <f t="shared" ca="1" si="146"/>
        <v>-2.0605624199999992</v>
      </c>
      <c r="DB244" s="26">
        <f t="shared" ca="1" si="147"/>
        <v>2.4277980000000143E-2</v>
      </c>
      <c r="DC244" s="26">
        <f t="shared" ca="1" si="148"/>
        <v>0</v>
      </c>
      <c r="DD244" s="26">
        <f t="shared" ca="1" si="149"/>
        <v>0</v>
      </c>
      <c r="DE244" s="26">
        <f t="shared" ca="1" si="150"/>
        <v>0</v>
      </c>
      <c r="DF244" s="26">
        <f t="shared" ca="1" si="151"/>
        <v>0</v>
      </c>
      <c r="DG244" s="26">
        <f t="shared" ca="1" si="152"/>
        <v>0</v>
      </c>
      <c r="DH244" s="26">
        <f t="shared" ca="1" si="153"/>
        <v>-2.0848404</v>
      </c>
      <c r="DI244" s="26">
        <f t="shared" ca="1" si="154"/>
        <v>-5.1417758599999956</v>
      </c>
      <c r="DJ244" s="26">
        <f t="shared" ca="1" si="155"/>
        <v>1.4104491199999991</v>
      </c>
      <c r="DK244" s="26">
        <f t="shared" ca="1" si="156"/>
        <v>8.0499235489777665E-3</v>
      </c>
      <c r="DL244" s="26"/>
      <c r="DM244" s="26"/>
      <c r="DN244" s="26"/>
      <c r="DO244" s="26"/>
      <c r="DP244" s="26">
        <f t="shared" ca="1" si="157"/>
        <v>1.01235841</v>
      </c>
      <c r="DQ244" s="26">
        <f t="shared" ca="1" si="158"/>
        <v>-8.0822058984573036E-3</v>
      </c>
      <c r="DR244" s="26"/>
      <c r="DS244" s="26"/>
      <c r="DT244" s="26"/>
      <c r="DU244" s="26"/>
      <c r="DV244" s="26">
        <f t="shared" ca="1" si="159"/>
        <v>-0.44374945000000388</v>
      </c>
      <c r="DW244" s="26">
        <f t="shared" ca="1" si="160"/>
        <v>2.3665658370000231E-2</v>
      </c>
      <c r="DX244" s="26"/>
      <c r="DY244" s="26"/>
      <c r="DZ244" s="26"/>
      <c r="EA244" s="26"/>
      <c r="EB244" s="26">
        <f t="shared" ca="1" si="161"/>
        <v>0.89800168000000191</v>
      </c>
      <c r="EC244" s="26">
        <f t="shared" ca="1" si="162"/>
        <v>-4.699450119420398E-3</v>
      </c>
      <c r="ED244" s="26"/>
      <c r="EE244" s="26"/>
      <c r="EF244" s="26"/>
      <c r="EG244" s="26"/>
      <c r="EH244" s="26">
        <f t="shared" ca="1" si="163"/>
        <v>0.17987570000000019</v>
      </c>
      <c r="EI244" s="29">
        <f t="shared" ca="1" si="164"/>
        <v>4.3873661054113083E-3</v>
      </c>
      <c r="EJ244" s="29"/>
      <c r="EK244" s="29"/>
      <c r="EL244" s="29"/>
      <c r="EM244" s="29"/>
      <c r="EN244" s="93"/>
      <c r="EO244" s="29"/>
      <c r="EP244" s="29"/>
      <c r="EQ244" s="29"/>
      <c r="ER244" s="29"/>
      <c r="ES244" s="29"/>
      <c r="ET244" s="29"/>
      <c r="EU244" s="93"/>
      <c r="EV244" s="29"/>
      <c r="EW244" s="29"/>
      <c r="EX244" s="29"/>
      <c r="EY244" s="29"/>
      <c r="EZ244" s="29"/>
      <c r="FA244" s="29"/>
      <c r="FB244" s="93"/>
      <c r="FC244" s="29"/>
      <c r="FD244" s="29"/>
      <c r="FE244" s="29"/>
      <c r="FF244" s="29"/>
      <c r="FG244" s="29"/>
      <c r="FH244" s="29"/>
      <c r="FI244" s="93"/>
      <c r="FJ244" s="29"/>
      <c r="FK244" s="29"/>
      <c r="FL244" s="29"/>
      <c r="FM244" s="29"/>
      <c r="FN244" s="29"/>
      <c r="FO244" s="29"/>
      <c r="FP244" s="93"/>
      <c r="FQ244" s="29"/>
      <c r="FR244" s="29"/>
      <c r="FS244" s="29"/>
      <c r="FT244" s="29"/>
      <c r="FU244" s="29"/>
      <c r="FV244" s="29"/>
    </row>
    <row r="245" spans="1:178" x14ac:dyDescent="0.25">
      <c r="A245" t="str">
        <f ca="1">IF(_xll.TM1RPTELISCONSOLIDATED($D$28,$D245),IF(_xll.TM1RPTELLEV($D$28,$D245)&lt;=3,_xll.TM1RPTELLEV($D$28,$D245),"D"),"N")</f>
        <v>N</v>
      </c>
      <c r="B245" t="str">
        <f ca="1">_xll.DBRA(Server&amp;"Management_organization",$D245,$B$27)</f>
        <v>L</v>
      </c>
      <c r="C245">
        <v>1</v>
      </c>
      <c r="D245" s="2" t="s">
        <v>314</v>
      </c>
      <c r="E245" s="26"/>
      <c r="F245" s="26"/>
      <c r="G245" s="16">
        <f ca="1">_xll.DBRW($D$4,$E$7,$E$8,$E$9,$E$10,$E$12,$D245,$E$6,G$18,G$17)</f>
        <v>7.4135937200000068</v>
      </c>
      <c r="H245" s="16">
        <f ca="1">_xll.DBRW($D$4,$E$7,$E$8,$E$9,$E$10,$E$12,$D245,$E$6,H$18,H$17)</f>
        <v>-1.8677839899999999</v>
      </c>
      <c r="I245" s="16">
        <f ca="1">_xll.DBRW($D$4,$E$7,$E$8,$E$9,$E$10,$E$12,$D245,$E$6,I$18,I$17)</f>
        <v>0</v>
      </c>
      <c r="J245" s="26">
        <f ca="1">_xll.DBRW($D$4,$E$7,$E$8,$E$9,$E$10,$E$12,$D245,$E$6,J$18,J$17)</f>
        <v>0</v>
      </c>
      <c r="K245" s="26">
        <f ca="1">_xll.DBRW($D$4,$E$7,$E$8,$E$9,$E$10,$E$12,$D245,$E$6,K$18,K$17)</f>
        <v>0</v>
      </c>
      <c r="L245" s="26">
        <f ca="1">_xll.DBRW($D$4,$E$7,$E$8,$E$9,$E$10,$E$12,$D245,$E$6,L$18,L$17)</f>
        <v>0</v>
      </c>
      <c r="M245" s="26">
        <f ca="1">_xll.DBRW($D$4,$E$7,$E$8,$E$9,$E$10,$E$12,$D245,$E$6,M$18,M$17)</f>
        <v>0</v>
      </c>
      <c r="N245" s="16">
        <f ca="1">_xll.DBRW($D$4,$E$7,$E$8,$E$9,$E$10,$E$12,$D245,$E$6,N$18,N$17)</f>
        <v>9.2813777100000063</v>
      </c>
      <c r="O245" s="16">
        <f ca="1">_xll.DBRW($D$4,$E$7,$E$8,$E$9,$E$10,$E$12,$D245,$E$6,O$18,O$17)</f>
        <v>104.79123083999998</v>
      </c>
      <c r="P245" s="74">
        <f ca="1">_xll.DBRW($D$4,$E$7,$E$8,$E$9,$E$10,$E$12,$D245,$E$6,P$18,P$17)</f>
        <v>-41.165890459999979</v>
      </c>
      <c r="Q245" s="16">
        <f ca="1">_xll.DBRW($D$4,$E$7,$E$8,$E$9,$E$10,$E$12,$D245,$E$6,Q$18,Q$17)</f>
        <v>0.39283716900752824</v>
      </c>
      <c r="R245" s="16"/>
      <c r="S245" s="16"/>
      <c r="T245" s="16"/>
      <c r="U245" s="16"/>
      <c r="V245" s="16">
        <f ca="1">_xll.DBRW($D$4,$E$7,$E$8,$E$9,$E$10,$E$12,$D245,$E$6,V$18,V$17)</f>
        <v>-13.41452608</v>
      </c>
      <c r="W245" s="16">
        <f ca="1">_xll.DBRW($D$4,$E$7,$E$8,$E$9,$E$10,$E$12,$D245,$E$6,W$18,W$17)</f>
        <v>0.12801191447480856</v>
      </c>
      <c r="X245" s="16"/>
      <c r="Y245" s="16"/>
      <c r="Z245" s="16"/>
      <c r="AA245" s="16"/>
      <c r="AB245" s="16">
        <f ca="1">_xll.DBRW($D$4,$E$7,$E$8,$E$9,$E$10,$E$12,$D245,$E$6,AB$18,AB$17)</f>
        <v>-17.656028169999999</v>
      </c>
      <c r="AC245" s="16">
        <f ca="1">_xll.DBRW($D$4,$E$7,$E$8,$E$9,$E$10,$E$12,$D245,$E$6,AC$18,AC$17)</f>
        <v>0.16848764947668213</v>
      </c>
      <c r="AD245" s="16"/>
      <c r="AE245" s="16"/>
      <c r="AF245" s="16"/>
      <c r="AG245" s="16"/>
      <c r="AH245" s="16">
        <f ca="1">_xll.DBRW($D$4,$E$7,$E$8,$E$9,$E$10,$E$12,$D245,$E$6,AH$18,AH$17)</f>
        <v>-11.193956759999999</v>
      </c>
      <c r="AI245" s="16">
        <f ca="1">_xll.DBRW($D$4,$E$7,$E$8,$E$9,$E$10,$E$12,$D245,$E$6,AI$18,AI$17)</f>
        <v>0.1068215028134505</v>
      </c>
      <c r="AJ245" s="16"/>
      <c r="AK245" s="16"/>
      <c r="AL245" s="16"/>
      <c r="AM245" s="16"/>
      <c r="AN245" s="16">
        <f ca="1">_xll.DBRW($D$4,$E$7,$E$8,$E$9,$E$10,$E$12,$D245,$E$6,AN$18,AN$17)</f>
        <v>-12.07945166</v>
      </c>
      <c r="AO245" s="16">
        <f ca="1">_xll.DBRW($D$4,$E$7,$E$8,$E$9,$E$10,$E$12,$D245,$E$6,AO$18,AO$17)</f>
        <v>0.11527158869279297</v>
      </c>
      <c r="AP245" s="16"/>
      <c r="AQ245" s="16"/>
      <c r="AR245" s="16"/>
      <c r="AS245" s="16"/>
      <c r="AT245" s="16">
        <f ca="1">_xll.DBRW($D$4,$E$7,$E$8,$E$9,$E$10,$E$12,$D245,$E$6,AT$18,AT$17)</f>
        <v>0.15121485900000001</v>
      </c>
      <c r="AU245" s="16">
        <f ca="1">_xll.DBRW($D$4,$E$7,$E$8,$E$9,$E$10,$E$12,$D245,$E$6,AU$18,AU$17)</f>
        <v>2.705489112</v>
      </c>
      <c r="AV245" s="16">
        <f ca="1">_xll.DBRW($D$4,$E$7,$E$8,$E$9,$E$10,$E$12,$D245,$E$6,AV$18,AV$17)</f>
        <v>3.1041975000000002</v>
      </c>
      <c r="AW245" s="16">
        <f ca="1">_xll.DBRW($D$4,$E$7,$E$8,$E$9,$E$10,$E$12,$D245,$E$6,AW$18,AW$17)</f>
        <v>2.705489112</v>
      </c>
      <c r="AX245" s="16">
        <f ca="1">_xll.DBRW($D$4,$E$7,$E$8,$E$9,$E$10,$E$12,$D245,$E$6,AX$18,AX$17)</f>
        <v>1.548520357742263</v>
      </c>
      <c r="AY245" s="16">
        <f ca="1">_xll.DBRW($D$4,$E$7,$E$8,$E$9,$E$10,$E$12,$D245,$E$6,AY$18,AY$17)</f>
        <v>2.705489112</v>
      </c>
      <c r="AZ245" s="16">
        <f ca="1">_xll.DBRW($D$4,$E$7,$E$8,$E$9,$E$10,$E$12,$D245,$E$6,AZ$18,AZ$17)</f>
        <v>5.5000000000000002E-5</v>
      </c>
      <c r="BA245" s="16">
        <f ca="1">_xll.DBRW($D$4,$E$7,$E$8,$E$9,$E$10,$E$12,$D245,$E$6,BA$18,BA$17)</f>
        <v>2.705489112</v>
      </c>
      <c r="BB245" s="16">
        <f ca="1">_xll.DBRW($D$4,$E$7,$E$8,$E$9,$E$10,$E$12,$D245,$E$6,BB$18,BB$17)</f>
        <v>2.705489112</v>
      </c>
      <c r="BC245" s="16">
        <f ca="1">_xll.DBRW($D$4,$E$7,$E$8,$E$9,$E$10,$E$12,$D245,$E$6,BC$18,BC$17)</f>
        <v>2.705489112</v>
      </c>
      <c r="BD245" s="16">
        <f ca="1">_xll.DBRW($D$4,$E$7,$E$8,$E$9,$E$10,$E$12,$D245,$E$6,BD$18,BD$17)</f>
        <v>11.786283680000016</v>
      </c>
      <c r="BE245" s="16">
        <f ca="1">_xll.DBRW($D$4,$E$7,$E$8,$E$9,$E$10,$E$12,$D245,$E$6,BE$18,BE$17)</f>
        <v>-1.9319999999999999</v>
      </c>
      <c r="BF245" s="16">
        <f ca="1">_xll.DBRW($D$4,$E$7,$E$8,$E$9,$E$10,$E$12,$D245,$E$6,BF$18,BF$17)</f>
        <v>0</v>
      </c>
      <c r="BG245" s="26">
        <f ca="1">_xll.DBRW($D$4,$E$7,$E$8,$E$9,$E$10,$E$12,$D245,$E$6,BG$18,BG$17)</f>
        <v>0</v>
      </c>
      <c r="BH245" s="26">
        <f ca="1">_xll.DBRW($D$4,$E$7,$E$8,$E$9,$E$10,$E$12,$D245,$E$6,BH$18,BH$17)</f>
        <v>0</v>
      </c>
      <c r="BI245" s="26">
        <f ca="1">_xll.DBRW($D$4,$E$7,$E$8,$E$9,$E$10,$E$12,$D245,$E$6,BI$18,BI$17)</f>
        <v>0</v>
      </c>
      <c r="BJ245" s="26">
        <f ca="1">_xll.DBRW($D$4,$E$7,$E$8,$E$9,$E$10,$E$12,$D245,$E$6,BJ$18,BJ$17)</f>
        <v>0</v>
      </c>
      <c r="BK245" s="16">
        <f ca="1">_xll.DBRW($D$4,$E$7,$E$8,$E$9,$E$10,$E$12,$D245,$E$6,BK$18,BK$17)</f>
        <v>13.718283680000015</v>
      </c>
      <c r="BL245" s="16">
        <f ca="1">_xll.DBRW($D$4,$E$7,$E$8,$E$9,$E$10,$E$12,$D245,$E$6,BL$18,BL$17)</f>
        <v>112.19380020000001</v>
      </c>
      <c r="BM245" s="16">
        <f ca="1">_xll.DBRW($D$4,$E$7,$E$8,$E$9,$E$10,$E$12,$D245,$E$6,BM$18,BM$17)</f>
        <v>-44.203217380000005</v>
      </c>
      <c r="BN245" s="16">
        <f ca="1">_xll.DBRW($D$4,$E$7,$E$8,$E$9,$E$10,$E$12,$D245,$E$6,BN$18,BN$17)</f>
        <v>0.39398983991274056</v>
      </c>
      <c r="BO245" s="16"/>
      <c r="BP245" s="16"/>
      <c r="BQ245" s="16"/>
      <c r="BR245" s="16"/>
      <c r="BS245" s="16">
        <f ca="1">_xll.DBRW($D$4,$E$7,$E$8,$E$9,$E$10,$E$12,$D245,$E$6,BS$18,BS$17)</f>
        <v>-14.616488610000001</v>
      </c>
      <c r="BT245" s="16">
        <f ca="1">_xll.DBRW($D$4,$E$7,$E$8,$E$9,$E$10,$E$12,$D245,$E$6,BT$18,BT$17)</f>
        <v>0.13027893327389048</v>
      </c>
      <c r="BU245" s="16"/>
      <c r="BV245" s="16"/>
      <c r="BW245" s="16"/>
      <c r="BX245" s="16"/>
      <c r="BY245" s="16">
        <f ca="1">_xll.DBRW($D$4,$E$7,$E$8,$E$9,$E$10,$E$12,$D245,$E$6,BY$18,BY$17)</f>
        <v>-15.449265619999998</v>
      </c>
      <c r="BZ245" s="16">
        <f ca="1">_xll.DBRW($D$4,$E$7,$E$8,$E$9,$E$10,$E$12,$D245,$E$6,BZ$18,BZ$17)</f>
        <v>0.13770159841684368</v>
      </c>
      <c r="CA245" s="16"/>
      <c r="CB245" s="16"/>
      <c r="CC245" s="16"/>
      <c r="CD245" s="16"/>
      <c r="CE245" s="16">
        <f ca="1">_xll.DBRW($D$4,$E$7,$E$8,$E$9,$E$10,$E$12,$D245,$E$6,CE$18,CE$17)</f>
        <v>-12.420981649999998</v>
      </c>
      <c r="CF245" s="16">
        <f ca="1">_xll.DBRW($D$4,$E$7,$E$8,$E$9,$E$10,$E$12,$D245,$E$6,CF$18,CF$17)</f>
        <v>0.11071005374501966</v>
      </c>
      <c r="CG245" s="16"/>
      <c r="CH245" s="16"/>
      <c r="CI245" s="16"/>
      <c r="CJ245" s="16"/>
      <c r="CK245" s="16">
        <f ca="1">_xll.DBRW($D$4,$E$7,$E$8,$E$9,$E$10,$E$12,$D245,$E$6,CK$18,CK$17)</f>
        <v>-11.785563260000002</v>
      </c>
      <c r="CL245" s="16">
        <f ca="1">_xll.DBRW($D$4,$E$7,$E$8,$E$9,$E$10,$E$12,$D245,$E$6,CL$18,CL$17)</f>
        <v>0.10504647528643031</v>
      </c>
      <c r="CM245" s="16"/>
      <c r="CN245" s="16"/>
      <c r="CO245" s="16"/>
      <c r="CP245" s="16"/>
      <c r="CQ245" s="16">
        <f ca="1">_xll.DBRW($D$4,$E$7,$E$8,$E$9,$E$10,$E$12,$D245,$E$6,CQ$18,CQ$17)</f>
        <v>0.16443553331000002</v>
      </c>
      <c r="CR245" s="16">
        <f ca="1">_xll.DBRW($D$4,$E$7,$E$8,$E$9,$E$10,$E$12,$D245,$E$6,CR$18,CR$17)</f>
        <v>2.8892412999999992</v>
      </c>
      <c r="CS245" s="16">
        <f ca="1">_xll.DBRW($D$4,$E$7,$E$8,$E$9,$E$10,$E$12,$D245,$E$6,CS$18,CS$17)</f>
        <v>3.25222269</v>
      </c>
      <c r="CT245" s="16">
        <f ca="1">_xll.DBRW($D$4,$E$7,$E$8,$E$9,$E$10,$E$12,$D245,$E$6,CT$18,CT$17)</f>
        <v>2.8892412999999992</v>
      </c>
      <c r="CU245" s="16">
        <f ca="1">_xll.DBRW($D$4,$E$7,$E$8,$E$9,$E$10,$E$12,$D245,$E$6,CU$18,CU$17)</f>
        <v>1.5316164258624001</v>
      </c>
      <c r="CV245" s="16">
        <f ca="1">_xll.DBRW($D$4,$E$7,$E$8,$E$9,$E$10,$E$12,$D245,$E$6,CV$18,CV$17)</f>
        <v>2.8892412999999992</v>
      </c>
      <c r="CW245" s="16">
        <f ca="1">_xll.DBRW($D$4,$E$7,$E$8,$E$9,$E$10,$E$12,$D245,$E$6,CW$18,CW$17)</f>
        <v>5.3999999999999998E-5</v>
      </c>
      <c r="CX245" s="16">
        <f ca="1">_xll.DBRW($D$4,$E$7,$E$8,$E$9,$E$10,$E$12,$D245,$E$6,CX$18,CX$17)</f>
        <v>2.8892412999999992</v>
      </c>
      <c r="CY245" s="16">
        <f ca="1">_xll.DBRW($D$4,$E$7,$E$8,$E$9,$E$10,$E$12,$D245,$E$6,CY$18,CY$17)</f>
        <v>2.8892412999999992</v>
      </c>
      <c r="CZ245" s="16">
        <f ca="1">_xll.DBRW($D$4,$E$7,$E$8,$E$9,$E$10,$E$12,$D245,$E$6,CZ$18,CZ$17)</f>
        <v>2.8892412999999992</v>
      </c>
      <c r="DA245" s="26">
        <f t="shared" ca="1" si="146"/>
        <v>-4.3726899600000095</v>
      </c>
      <c r="DB245" s="26">
        <f t="shared" ca="1" si="147"/>
        <v>6.421600999999999E-2</v>
      </c>
      <c r="DC245" s="26">
        <f t="shared" ca="1" si="148"/>
        <v>0</v>
      </c>
      <c r="DD245" s="26">
        <f t="shared" ca="1" si="149"/>
        <v>0</v>
      </c>
      <c r="DE245" s="26">
        <f t="shared" ca="1" si="150"/>
        <v>0</v>
      </c>
      <c r="DF245" s="26">
        <f t="shared" ca="1" si="151"/>
        <v>0</v>
      </c>
      <c r="DG245" s="26">
        <f t="shared" ca="1" si="152"/>
        <v>0</v>
      </c>
      <c r="DH245" s="26">
        <f t="shared" ca="1" si="153"/>
        <v>-4.4369059700000086</v>
      </c>
      <c r="DI245" s="26">
        <f t="shared" ca="1" si="154"/>
        <v>-7.4025693600000295</v>
      </c>
      <c r="DJ245" s="26">
        <f t="shared" ca="1" si="155"/>
        <v>3.0373269200000266</v>
      </c>
      <c r="DK245" s="26">
        <f t="shared" ca="1" si="156"/>
        <v>-1.1526709052123163E-3</v>
      </c>
      <c r="DL245" s="26"/>
      <c r="DM245" s="26"/>
      <c r="DN245" s="26"/>
      <c r="DO245" s="26"/>
      <c r="DP245" s="26">
        <f t="shared" ca="1" si="157"/>
        <v>1.2019625300000012</v>
      </c>
      <c r="DQ245" s="26">
        <f t="shared" ca="1" si="158"/>
        <v>-2.2670187990819213E-3</v>
      </c>
      <c r="DR245" s="26"/>
      <c r="DS245" s="26"/>
      <c r="DT245" s="26"/>
      <c r="DU245" s="26"/>
      <c r="DV245" s="26">
        <f t="shared" ca="1" si="159"/>
        <v>-2.2067625500000005</v>
      </c>
      <c r="DW245" s="26">
        <f t="shared" ca="1" si="160"/>
        <v>3.0786051059838448E-2</v>
      </c>
      <c r="DX245" s="26"/>
      <c r="DY245" s="26"/>
      <c r="DZ245" s="26"/>
      <c r="EA245" s="26"/>
      <c r="EB245" s="26">
        <f t="shared" ca="1" si="161"/>
        <v>1.2270248899999991</v>
      </c>
      <c r="EC245" s="26">
        <f t="shared" ca="1" si="162"/>
        <v>-3.8885509315691597E-3</v>
      </c>
      <c r="ED245" s="26"/>
      <c r="EE245" s="26"/>
      <c r="EF245" s="26"/>
      <c r="EG245" s="26"/>
      <c r="EH245" s="26">
        <f t="shared" ca="1" si="163"/>
        <v>-0.29388839999999838</v>
      </c>
      <c r="EI245" s="29">
        <f t="shared" ca="1" si="164"/>
        <v>1.022511340636266E-2</v>
      </c>
      <c r="EJ245" s="29"/>
      <c r="EK245" s="29"/>
      <c r="EL245" s="29"/>
      <c r="EM245" s="29"/>
      <c r="EN245" s="93"/>
      <c r="EO245" s="29"/>
      <c r="EP245" s="29"/>
      <c r="EQ245" s="29"/>
      <c r="ER245" s="29"/>
      <c r="ES245" s="29"/>
      <c r="ET245" s="29"/>
      <c r="EU245" s="93"/>
      <c r="EV245" s="29"/>
      <c r="EW245" s="29"/>
      <c r="EX245" s="29"/>
      <c r="EY245" s="29"/>
      <c r="EZ245" s="29"/>
      <c r="FA245" s="29"/>
      <c r="FB245" s="93"/>
      <c r="FC245" s="29"/>
      <c r="FD245" s="29"/>
      <c r="FE245" s="29"/>
      <c r="FF245" s="29"/>
      <c r="FG245" s="29"/>
      <c r="FH245" s="29"/>
      <c r="FI245" s="93"/>
      <c r="FJ245" s="29"/>
      <c r="FK245" s="29"/>
      <c r="FL245" s="29"/>
      <c r="FM245" s="29"/>
      <c r="FN245" s="29"/>
      <c r="FO245" s="29"/>
      <c r="FP245" s="93"/>
      <c r="FQ245" s="29"/>
      <c r="FR245" s="29"/>
      <c r="FS245" s="29"/>
      <c r="FT245" s="29"/>
      <c r="FU245" s="29"/>
      <c r="FV245" s="29"/>
    </row>
    <row r="246" spans="1:178" x14ac:dyDescent="0.25">
      <c r="A246" t="str">
        <f ca="1">IF(_xll.TM1RPTELISCONSOLIDATED($D$28,$D246),IF(_xll.TM1RPTELLEV($D$28,$D246)&lt;=3,_xll.TM1RPTELLEV($D$28,$D246),"D"),"N")</f>
        <v>N</v>
      </c>
      <c r="B246" t="str">
        <f ca="1">_xll.DBRA(Server&amp;"Management_organization",$D246,$B$27)</f>
        <v>L</v>
      </c>
      <c r="C246">
        <v>1</v>
      </c>
      <c r="D246" s="2" t="s">
        <v>315</v>
      </c>
      <c r="E246" s="26"/>
      <c r="F246" s="26"/>
      <c r="G246" s="16">
        <f ca="1">_xll.DBRW($D$4,$E$7,$E$8,$E$9,$E$10,$E$12,$D246,$E$6,G$18,G$17)</f>
        <v>-12.187091300000015</v>
      </c>
      <c r="H246" s="16">
        <f ca="1">_xll.DBRW($D$4,$E$7,$E$8,$E$9,$E$10,$E$12,$D246,$E$6,H$18,H$17)</f>
        <v>-1.4386686799999997</v>
      </c>
      <c r="I246" s="16">
        <f ca="1">_xll.DBRW($D$4,$E$7,$E$8,$E$9,$E$10,$E$12,$D246,$E$6,I$18,I$17)</f>
        <v>0</v>
      </c>
      <c r="J246" s="26">
        <f ca="1">_xll.DBRW($D$4,$E$7,$E$8,$E$9,$E$10,$E$12,$D246,$E$6,J$18,J$17)</f>
        <v>0</v>
      </c>
      <c r="K246" s="26">
        <f ca="1">_xll.DBRW($D$4,$E$7,$E$8,$E$9,$E$10,$E$12,$D246,$E$6,K$18,K$17)</f>
        <v>0</v>
      </c>
      <c r="L246" s="26">
        <f ca="1">_xll.DBRW($D$4,$E$7,$E$8,$E$9,$E$10,$E$12,$D246,$E$6,L$18,L$17)</f>
        <v>0</v>
      </c>
      <c r="M246" s="26">
        <f ca="1">_xll.DBRW($D$4,$E$7,$E$8,$E$9,$E$10,$E$12,$D246,$E$6,M$18,M$17)</f>
        <v>0</v>
      </c>
      <c r="N246" s="16">
        <f ca="1">_xll.DBRW($D$4,$E$7,$E$8,$E$9,$E$10,$E$12,$D246,$E$6,N$18,N$17)</f>
        <v>-10.748422620000014</v>
      </c>
      <c r="O246" s="16">
        <f ca="1">_xll.DBRW($D$4,$E$7,$E$8,$E$9,$E$10,$E$12,$D246,$E$6,O$18,O$17)</f>
        <v>69.488048439999986</v>
      </c>
      <c r="P246" s="74">
        <f ca="1">_xll.DBRW($D$4,$E$7,$E$8,$E$9,$E$10,$E$12,$D246,$E$6,P$18,P$17)</f>
        <v>-33.176936359999999</v>
      </c>
      <c r="Q246" s="16">
        <f ca="1">_xll.DBRW($D$4,$E$7,$E$8,$E$9,$E$10,$E$12,$D246,$E$6,Q$18,Q$17)</f>
        <v>0.47744809510151792</v>
      </c>
      <c r="R246" s="16"/>
      <c r="S246" s="16"/>
      <c r="T246" s="16"/>
      <c r="U246" s="16"/>
      <c r="V246" s="16">
        <f ca="1">_xll.DBRW($D$4,$E$7,$E$8,$E$9,$E$10,$E$12,$D246,$E$6,V$18,V$17)</f>
        <v>-13.700889220000001</v>
      </c>
      <c r="W246" s="16">
        <f ca="1">_xll.DBRW($D$4,$E$7,$E$8,$E$9,$E$10,$E$12,$D246,$E$6,W$18,W$17)</f>
        <v>0.19716900283694316</v>
      </c>
      <c r="X246" s="16"/>
      <c r="Y246" s="16"/>
      <c r="Z246" s="16"/>
      <c r="AA246" s="16"/>
      <c r="AB246" s="16">
        <f ca="1">_xll.DBRW($D$4,$E$7,$E$8,$E$9,$E$10,$E$12,$D246,$E$6,AB$18,AB$17)</f>
        <v>-11.889278889999998</v>
      </c>
      <c r="AC246" s="16">
        <f ca="1">_xll.DBRW($D$4,$E$7,$E$8,$E$9,$E$10,$E$12,$D246,$E$6,AC$18,AC$17)</f>
        <v>0.17109818388792269</v>
      </c>
      <c r="AD246" s="16"/>
      <c r="AE246" s="16"/>
      <c r="AF246" s="16"/>
      <c r="AG246" s="16"/>
      <c r="AH246" s="16">
        <f ca="1">_xll.DBRW($D$4,$E$7,$E$8,$E$9,$E$10,$E$12,$D246,$E$6,AH$18,AH$17)</f>
        <v>-7.8142175199999997</v>
      </c>
      <c r="AI246" s="16">
        <f ca="1">_xll.DBRW($D$4,$E$7,$E$8,$E$9,$E$10,$E$12,$D246,$E$6,AI$18,AI$17)</f>
        <v>0.11245412262149294</v>
      </c>
      <c r="AJ246" s="16"/>
      <c r="AK246" s="16"/>
      <c r="AL246" s="16"/>
      <c r="AM246" s="16"/>
      <c r="AN246" s="16">
        <f ca="1">_xll.DBRW($D$4,$E$7,$E$8,$E$9,$E$10,$E$12,$D246,$E$6,AN$18,AN$17)</f>
        <v>-13.65514907</v>
      </c>
      <c r="AO246" s="16">
        <f ca="1">_xll.DBRW($D$4,$E$7,$E$8,$E$9,$E$10,$E$12,$D246,$E$6,AO$18,AO$17)</f>
        <v>0.19651075798726234</v>
      </c>
      <c r="AP246" s="16"/>
      <c r="AQ246" s="16"/>
      <c r="AR246" s="16"/>
      <c r="AS246" s="16"/>
      <c r="AT246" s="16">
        <f ca="1">_xll.DBRW($D$4,$E$7,$E$8,$E$9,$E$10,$E$12,$D246,$E$6,AT$18,AT$17)</f>
        <v>0.116013545</v>
      </c>
      <c r="AU246" s="16">
        <f ca="1">_xll.DBRW($D$4,$E$7,$E$8,$E$9,$E$10,$E$12,$D246,$E$6,AU$18,AU$17)</f>
        <v>2.1251294949999999</v>
      </c>
      <c r="AV246" s="16">
        <f ca="1">_xll.DBRW($D$4,$E$7,$E$8,$E$9,$E$10,$E$12,$D246,$E$6,AV$18,AV$17)</f>
        <v>2.9706404582190005</v>
      </c>
      <c r="AW246" s="16">
        <f ca="1">_xll.DBRW($D$4,$E$7,$E$8,$E$9,$E$10,$E$12,$D246,$E$6,AW$18,AW$17)</f>
        <v>2.1251294949999999</v>
      </c>
      <c r="AX246" s="16">
        <f ca="1">_xll.DBRW($D$4,$E$7,$E$8,$E$9,$E$10,$E$12,$D246,$E$6,AX$18,AX$17)</f>
        <v>1.2402490107148791</v>
      </c>
      <c r="AY246" s="16">
        <f ca="1">_xll.DBRW($D$4,$E$7,$E$8,$E$9,$E$10,$E$12,$D246,$E$6,AY$18,AY$17)</f>
        <v>2.1251294949999999</v>
      </c>
      <c r="AZ246" s="16">
        <f ca="1">_xll.DBRW($D$4,$E$7,$E$8,$E$9,$E$10,$E$12,$D246,$E$6,AZ$18,AZ$17)</f>
        <v>4.6799999999999999E-5</v>
      </c>
      <c r="BA246" s="16">
        <f ca="1">_xll.DBRW($D$4,$E$7,$E$8,$E$9,$E$10,$E$12,$D246,$E$6,BA$18,BA$17)</f>
        <v>2.1251294949999999</v>
      </c>
      <c r="BB246" s="16">
        <f ca="1">_xll.DBRW($D$4,$E$7,$E$8,$E$9,$E$10,$E$12,$D246,$E$6,BB$18,BB$17)</f>
        <v>2.1251294949999999</v>
      </c>
      <c r="BC246" s="16">
        <f ca="1">_xll.DBRW($D$4,$E$7,$E$8,$E$9,$E$10,$E$12,$D246,$E$6,BC$18,BC$17)</f>
        <v>2.1251294949999999</v>
      </c>
      <c r="BD246" s="16">
        <f ca="1">_xll.DBRW($D$4,$E$7,$E$8,$E$9,$E$10,$E$12,$D246,$E$6,BD$18,BD$17)</f>
        <v>-9.6440749999999866</v>
      </c>
      <c r="BE246" s="16">
        <f ca="1">_xll.DBRW($D$4,$E$7,$E$8,$E$9,$E$10,$E$12,$D246,$E$6,BE$18,BE$17)</f>
        <v>-1.43283</v>
      </c>
      <c r="BF246" s="16">
        <f ca="1">_xll.DBRW($D$4,$E$7,$E$8,$E$9,$E$10,$E$12,$D246,$E$6,BF$18,BF$17)</f>
        <v>0</v>
      </c>
      <c r="BG246" s="26">
        <f ca="1">_xll.DBRW($D$4,$E$7,$E$8,$E$9,$E$10,$E$12,$D246,$E$6,BG$18,BG$17)</f>
        <v>0</v>
      </c>
      <c r="BH246" s="26">
        <f ca="1">_xll.DBRW($D$4,$E$7,$E$8,$E$9,$E$10,$E$12,$D246,$E$6,BH$18,BH$17)</f>
        <v>0</v>
      </c>
      <c r="BI246" s="26">
        <f ca="1">_xll.DBRW($D$4,$E$7,$E$8,$E$9,$E$10,$E$12,$D246,$E$6,BI$18,BI$17)</f>
        <v>0</v>
      </c>
      <c r="BJ246" s="26">
        <f ca="1">_xll.DBRW($D$4,$E$7,$E$8,$E$9,$E$10,$E$12,$D246,$E$6,BJ$18,BJ$17)</f>
        <v>0</v>
      </c>
      <c r="BK246" s="16">
        <f ca="1">_xll.DBRW($D$4,$E$7,$E$8,$E$9,$E$10,$E$12,$D246,$E$6,BK$18,BK$17)</f>
        <v>-8.2112449999999875</v>
      </c>
      <c r="BL246" s="16">
        <f ca="1">_xll.DBRW($D$4,$E$7,$E$8,$E$9,$E$10,$E$12,$D246,$E$6,BL$18,BL$17)</f>
        <v>71.134749620000008</v>
      </c>
      <c r="BM246" s="16">
        <f ca="1">_xll.DBRW($D$4,$E$7,$E$8,$E$9,$E$10,$E$12,$D246,$E$6,BM$18,BM$17)</f>
        <v>-33.537056279999995</v>
      </c>
      <c r="BN246" s="16">
        <f ca="1">_xll.DBRW($D$4,$E$7,$E$8,$E$9,$E$10,$E$12,$D246,$E$6,BN$18,BN$17)</f>
        <v>0.47145813346014542</v>
      </c>
      <c r="BO246" s="16"/>
      <c r="BP246" s="16"/>
      <c r="BQ246" s="16"/>
      <c r="BR246" s="16"/>
      <c r="BS246" s="16">
        <f ca="1">_xll.DBRW($D$4,$E$7,$E$8,$E$9,$E$10,$E$12,$D246,$E$6,BS$18,BS$17)</f>
        <v>-13.037388089999999</v>
      </c>
      <c r="BT246" s="16">
        <f ca="1">_xll.DBRW($D$4,$E$7,$E$8,$E$9,$E$10,$E$12,$D246,$E$6,BT$18,BT$17)</f>
        <v>0.18327734559614517</v>
      </c>
      <c r="BU246" s="16"/>
      <c r="BV246" s="16"/>
      <c r="BW246" s="16"/>
      <c r="BX246" s="16"/>
      <c r="BY246" s="16">
        <f ca="1">_xll.DBRW($D$4,$E$7,$E$8,$E$9,$E$10,$E$12,$D246,$E$6,BY$18,BY$17)</f>
        <v>-11.427197150000001</v>
      </c>
      <c r="BZ246" s="16">
        <f ca="1">_xll.DBRW($D$4,$E$7,$E$8,$E$9,$E$10,$E$12,$D246,$E$6,BZ$18,BZ$17)</f>
        <v>0.16064156001172131</v>
      </c>
      <c r="CA246" s="16"/>
      <c r="CB246" s="16"/>
      <c r="CC246" s="16"/>
      <c r="CD246" s="16"/>
      <c r="CE246" s="16">
        <f ca="1">_xll.DBRW($D$4,$E$7,$E$8,$E$9,$E$10,$E$12,$D246,$E$6,CE$18,CE$17)</f>
        <v>-8.5946393700000012</v>
      </c>
      <c r="CF246" s="16">
        <f ca="1">_xll.DBRW($D$4,$E$7,$E$8,$E$9,$E$10,$E$12,$D246,$E$6,CF$18,CF$17)</f>
        <v>0.12082195292613444</v>
      </c>
      <c r="CG246" s="16"/>
      <c r="CH246" s="16"/>
      <c r="CI246" s="16"/>
      <c r="CJ246" s="16"/>
      <c r="CK246" s="16">
        <f ca="1">_xll.DBRW($D$4,$E$7,$E$8,$E$9,$E$10,$E$12,$D246,$E$6,CK$18,CK$17)</f>
        <v>-12.749713729999998</v>
      </c>
      <c r="CL246" s="16">
        <f ca="1">_xll.DBRW($D$4,$E$7,$E$8,$E$9,$E$10,$E$12,$D246,$E$6,CL$18,CL$17)</f>
        <v>0.17923326922648408</v>
      </c>
      <c r="CM246" s="16"/>
      <c r="CN246" s="16"/>
      <c r="CO246" s="16"/>
      <c r="CP246" s="16"/>
      <c r="CQ246" s="16">
        <f ca="1">_xll.DBRW($D$4,$E$7,$E$8,$E$9,$E$10,$E$12,$D246,$E$6,CQ$18,CQ$17)</f>
        <v>0.11916</v>
      </c>
      <c r="CR246" s="16">
        <f ca="1">_xll.DBRW($D$4,$E$7,$E$8,$E$9,$E$10,$E$12,$D246,$E$6,CR$18,CR$17)</f>
        <v>2.0977249999999996</v>
      </c>
      <c r="CS246" s="16">
        <f ca="1">_xll.DBRW($D$4,$E$7,$E$8,$E$9,$E$10,$E$12,$D246,$E$6,CS$18,CS$17)</f>
        <v>2.96666849</v>
      </c>
      <c r="CT246" s="16">
        <f ca="1">_xll.DBRW($D$4,$E$7,$E$8,$E$9,$E$10,$E$12,$D246,$E$6,CT$18,CT$17)</f>
        <v>2.0977249999999996</v>
      </c>
      <c r="CU246" s="16">
        <f ca="1">_xll.DBRW($D$4,$E$7,$E$8,$E$9,$E$10,$E$12,$D246,$E$6,CU$18,CU$17)</f>
        <v>1.2480503014674602</v>
      </c>
      <c r="CV246" s="16">
        <f ca="1">_xll.DBRW($D$4,$E$7,$E$8,$E$9,$E$10,$E$12,$D246,$E$6,CV$18,CV$17)</f>
        <v>2.0977249999999996</v>
      </c>
      <c r="CW246" s="16">
        <f ca="1">_xll.DBRW($D$4,$E$7,$E$8,$E$9,$E$10,$E$12,$D246,$E$6,CW$18,CW$17)</f>
        <v>4.4999999999999996E-5</v>
      </c>
      <c r="CX246" s="16">
        <f ca="1">_xll.DBRW($D$4,$E$7,$E$8,$E$9,$E$10,$E$12,$D246,$E$6,CX$18,CX$17)</f>
        <v>2.0977249999999996</v>
      </c>
      <c r="CY246" s="16">
        <f ca="1">_xll.DBRW($D$4,$E$7,$E$8,$E$9,$E$10,$E$12,$D246,$E$6,CY$18,CY$17)</f>
        <v>2.0977249999999996</v>
      </c>
      <c r="CZ246" s="16">
        <f ca="1">_xll.DBRW($D$4,$E$7,$E$8,$E$9,$E$10,$E$12,$D246,$E$6,CZ$18,CZ$17)</f>
        <v>2.0977249999999996</v>
      </c>
      <c r="DA246" s="26">
        <f t="shared" ca="1" si="146"/>
        <v>-2.5430163000000281</v>
      </c>
      <c r="DB246" s="26">
        <f t="shared" ca="1" si="147"/>
        <v>-5.8386799999996519E-3</v>
      </c>
      <c r="DC246" s="26">
        <f t="shared" ca="1" si="148"/>
        <v>0</v>
      </c>
      <c r="DD246" s="26">
        <f t="shared" ca="1" si="149"/>
        <v>0</v>
      </c>
      <c r="DE246" s="26">
        <f t="shared" ca="1" si="150"/>
        <v>0</v>
      </c>
      <c r="DF246" s="26">
        <f t="shared" ca="1" si="151"/>
        <v>0</v>
      </c>
      <c r="DG246" s="26">
        <f t="shared" ca="1" si="152"/>
        <v>0</v>
      </c>
      <c r="DH246" s="26">
        <f t="shared" ca="1" si="153"/>
        <v>-2.5371776200000262</v>
      </c>
      <c r="DI246" s="26">
        <f t="shared" ca="1" si="154"/>
        <v>-1.6467011800000222</v>
      </c>
      <c r="DJ246" s="26">
        <f t="shared" ca="1" si="155"/>
        <v>0.36011991999999537</v>
      </c>
      <c r="DK246" s="26">
        <f t="shared" ca="1" si="156"/>
        <v>5.9899616413724988E-3</v>
      </c>
      <c r="DL246" s="26"/>
      <c r="DM246" s="26"/>
      <c r="DN246" s="26"/>
      <c r="DO246" s="26"/>
      <c r="DP246" s="26">
        <f t="shared" ca="1" si="157"/>
        <v>-0.66350113000000199</v>
      </c>
      <c r="DQ246" s="26">
        <f t="shared" ca="1" si="158"/>
        <v>1.3891657240797994E-2</v>
      </c>
      <c r="DR246" s="26"/>
      <c r="DS246" s="26"/>
      <c r="DT246" s="26"/>
      <c r="DU246" s="26"/>
      <c r="DV246" s="26">
        <f t="shared" ca="1" si="159"/>
        <v>-0.4620817399999968</v>
      </c>
      <c r="DW246" s="26">
        <f t="shared" ca="1" si="160"/>
        <v>1.0456623876201387E-2</v>
      </c>
      <c r="DX246" s="26"/>
      <c r="DY246" s="26"/>
      <c r="DZ246" s="26"/>
      <c r="EA246" s="26"/>
      <c r="EB246" s="26">
        <f t="shared" ca="1" si="161"/>
        <v>0.78042185000000153</v>
      </c>
      <c r="EC246" s="26">
        <f t="shared" ca="1" si="162"/>
        <v>-8.3678303046414992E-3</v>
      </c>
      <c r="ED246" s="26"/>
      <c r="EE246" s="26"/>
      <c r="EF246" s="26"/>
      <c r="EG246" s="26"/>
      <c r="EH246" s="26">
        <f t="shared" ca="1" si="163"/>
        <v>-0.90543534000000214</v>
      </c>
      <c r="EI246" s="29">
        <f t="shared" ca="1" si="164"/>
        <v>1.7277488760778253E-2</v>
      </c>
      <c r="EJ246" s="29"/>
      <c r="EK246" s="29"/>
      <c r="EL246" s="29"/>
      <c r="EM246" s="29"/>
      <c r="EN246" s="93"/>
      <c r="EO246" s="29"/>
      <c r="EP246" s="29"/>
      <c r="EQ246" s="29"/>
      <c r="ER246" s="29"/>
      <c r="ES246" s="29"/>
      <c r="ET246" s="29"/>
      <c r="EU246" s="93"/>
      <c r="EV246" s="29"/>
      <c r="EW246" s="29"/>
      <c r="EX246" s="29"/>
      <c r="EY246" s="29"/>
      <c r="EZ246" s="29"/>
      <c r="FA246" s="29"/>
      <c r="FB246" s="93"/>
      <c r="FC246" s="29"/>
      <c r="FD246" s="29"/>
      <c r="FE246" s="29"/>
      <c r="FF246" s="29"/>
      <c r="FG246" s="29"/>
      <c r="FH246" s="29"/>
      <c r="FI246" s="93"/>
      <c r="FJ246" s="29"/>
      <c r="FK246" s="29"/>
      <c r="FL246" s="29"/>
      <c r="FM246" s="29"/>
      <c r="FN246" s="29"/>
      <c r="FO246" s="29"/>
      <c r="FP246" s="93"/>
      <c r="FQ246" s="29"/>
      <c r="FR246" s="29"/>
      <c r="FS246" s="29"/>
      <c r="FT246" s="29"/>
      <c r="FU246" s="29"/>
      <c r="FV246" s="29"/>
    </row>
    <row r="247" spans="1:178" x14ac:dyDescent="0.25">
      <c r="A247" t="str">
        <f ca="1">IF(_xll.TM1RPTELISCONSOLIDATED($D$28,$D247),IF(_xll.TM1RPTELLEV($D$28,$D247)&lt;=3,_xll.TM1RPTELLEV($D$28,$D247),"D"),"N")</f>
        <v>N</v>
      </c>
      <c r="B247" t="str">
        <f ca="1">_xll.DBRA(Server&amp;"Management_organization",$D247,$B$27)</f>
        <v>L</v>
      </c>
      <c r="C247">
        <v>1</v>
      </c>
      <c r="D247" s="2" t="s">
        <v>316</v>
      </c>
      <c r="E247" s="26"/>
      <c r="F247" s="26"/>
      <c r="G247" s="16">
        <f ca="1">_xll.DBRW($D$4,$E$7,$E$8,$E$9,$E$10,$E$12,$D247,$E$6,G$18,G$17)</f>
        <v>-2.010400630000007</v>
      </c>
      <c r="H247" s="16">
        <f ca="1">_xll.DBRW($D$4,$E$7,$E$8,$E$9,$E$10,$E$12,$D247,$E$6,H$18,H$17)</f>
        <v>-3.1196892999999992</v>
      </c>
      <c r="I247" s="16">
        <f ca="1">_xll.DBRW($D$4,$E$7,$E$8,$E$9,$E$10,$E$12,$D247,$E$6,I$18,I$17)</f>
        <v>0</v>
      </c>
      <c r="J247" s="26">
        <f ca="1">_xll.DBRW($D$4,$E$7,$E$8,$E$9,$E$10,$E$12,$D247,$E$6,J$18,J$17)</f>
        <v>0</v>
      </c>
      <c r="K247" s="26">
        <f ca="1">_xll.DBRW($D$4,$E$7,$E$8,$E$9,$E$10,$E$12,$D247,$E$6,K$18,K$17)</f>
        <v>0</v>
      </c>
      <c r="L247" s="26">
        <f ca="1">_xll.DBRW($D$4,$E$7,$E$8,$E$9,$E$10,$E$12,$D247,$E$6,L$18,L$17)</f>
        <v>0</v>
      </c>
      <c r="M247" s="26">
        <f ca="1">_xll.DBRW($D$4,$E$7,$E$8,$E$9,$E$10,$E$12,$D247,$E$6,M$18,M$17)</f>
        <v>0</v>
      </c>
      <c r="N247" s="16">
        <f ca="1">_xll.DBRW($D$4,$E$7,$E$8,$E$9,$E$10,$E$12,$D247,$E$6,N$18,N$17)</f>
        <v>1.1092886699999926</v>
      </c>
      <c r="O247" s="16">
        <f ca="1">_xll.DBRW($D$4,$E$7,$E$8,$E$9,$E$10,$E$12,$D247,$E$6,O$18,O$17)</f>
        <v>126.7165213</v>
      </c>
      <c r="P247" s="74">
        <f ca="1">_xll.DBRW($D$4,$E$7,$E$8,$E$9,$E$10,$E$12,$D247,$E$6,P$18,P$17)</f>
        <v>-64.655690029999988</v>
      </c>
      <c r="Q247" s="16">
        <f ca="1">_xll.DBRW($D$4,$E$7,$E$8,$E$9,$E$10,$E$12,$D247,$E$6,Q$18,Q$17)</f>
        <v>0.51023883363186984</v>
      </c>
      <c r="R247" s="16"/>
      <c r="S247" s="16"/>
      <c r="T247" s="16"/>
      <c r="U247" s="16"/>
      <c r="V247" s="16">
        <f ca="1">_xll.DBRW($D$4,$E$7,$E$8,$E$9,$E$10,$E$12,$D247,$E$6,V$18,V$17)</f>
        <v>-14.421100559999999</v>
      </c>
      <c r="W247" s="16">
        <f ca="1">_xll.DBRW($D$4,$E$7,$E$8,$E$9,$E$10,$E$12,$D247,$E$6,W$18,W$17)</f>
        <v>0.11380600108061836</v>
      </c>
      <c r="X247" s="16"/>
      <c r="Y247" s="16"/>
      <c r="Z247" s="16"/>
      <c r="AA247" s="16"/>
      <c r="AB247" s="16">
        <f ca="1">_xll.DBRW($D$4,$E$7,$E$8,$E$9,$E$10,$E$12,$D247,$E$6,AB$18,AB$17)</f>
        <v>-16.59692278</v>
      </c>
      <c r="AC247" s="16">
        <f ca="1">_xll.DBRW($D$4,$E$7,$E$8,$E$9,$E$10,$E$12,$D247,$E$6,AC$18,AC$17)</f>
        <v>0.13097678668677279</v>
      </c>
      <c r="AD247" s="16"/>
      <c r="AE247" s="16"/>
      <c r="AF247" s="16"/>
      <c r="AG247" s="16"/>
      <c r="AH247" s="16">
        <f ca="1">_xll.DBRW($D$4,$E$7,$E$8,$E$9,$E$10,$E$12,$D247,$E$6,AH$18,AH$17)</f>
        <v>-15.952346520000003</v>
      </c>
      <c r="AI247" s="16">
        <f ca="1">_xll.DBRW($D$4,$E$7,$E$8,$E$9,$E$10,$E$12,$D247,$E$6,AI$18,AI$17)</f>
        <v>0.12589002883241243</v>
      </c>
      <c r="AJ247" s="16"/>
      <c r="AK247" s="16"/>
      <c r="AL247" s="16"/>
      <c r="AM247" s="16"/>
      <c r="AN247" s="16">
        <f ca="1">_xll.DBRW($D$4,$E$7,$E$8,$E$9,$E$10,$E$12,$D247,$E$6,AN$18,AN$17)</f>
        <v>-13.981172740000002</v>
      </c>
      <c r="AO247" s="16">
        <f ca="1">_xll.DBRW($D$4,$E$7,$E$8,$E$9,$E$10,$E$12,$D247,$E$6,AO$18,AO$17)</f>
        <v>0.11033425315472263</v>
      </c>
      <c r="AP247" s="16"/>
      <c r="AQ247" s="16"/>
      <c r="AR247" s="16"/>
      <c r="AS247" s="16"/>
      <c r="AT247" s="16">
        <f ca="1">_xll.DBRW($D$4,$E$7,$E$8,$E$9,$E$10,$E$12,$D247,$E$6,AT$18,AT$17)</f>
        <v>0.227931306</v>
      </c>
      <c r="AU247" s="16">
        <f ca="1">_xll.DBRW($D$4,$E$7,$E$8,$E$9,$E$10,$E$12,$D247,$E$6,AU$18,AU$17)</f>
        <v>3.542735</v>
      </c>
      <c r="AV247" s="16">
        <f ca="1">_xll.DBRW($D$4,$E$7,$E$8,$E$9,$E$10,$E$12,$D247,$E$6,AV$18,AV$17)</f>
        <v>2.8603591649999998</v>
      </c>
      <c r="AW247" s="16">
        <f ca="1">_xll.DBRW($D$4,$E$7,$E$8,$E$9,$E$10,$E$12,$D247,$E$6,AW$18,AW$17)</f>
        <v>3.542735</v>
      </c>
      <c r="AX247" s="16">
        <f ca="1">_xll.DBRW($D$4,$E$7,$E$8,$E$9,$E$10,$E$12,$D247,$E$6,AX$18,AX$17)</f>
        <v>1.3466663306429001</v>
      </c>
      <c r="AY247" s="16">
        <f ca="1">_xll.DBRW($D$4,$E$7,$E$8,$E$9,$E$10,$E$12,$D247,$E$6,AY$18,AY$17)</f>
        <v>3.542735</v>
      </c>
      <c r="AZ247" s="16">
        <f ca="1">_xll.DBRW($D$4,$E$7,$E$8,$E$9,$E$10,$E$12,$D247,$E$6,AZ$18,AZ$17)</f>
        <v>7.0000000000000007E-5</v>
      </c>
      <c r="BA247" s="16">
        <f ca="1">_xll.DBRW($D$4,$E$7,$E$8,$E$9,$E$10,$E$12,$D247,$E$6,BA$18,BA$17)</f>
        <v>3.542735</v>
      </c>
      <c r="BB247" s="16">
        <f ca="1">_xll.DBRW($D$4,$E$7,$E$8,$E$9,$E$10,$E$12,$D247,$E$6,BB$18,BB$17)</f>
        <v>3.542735</v>
      </c>
      <c r="BC247" s="16">
        <f ca="1">_xll.DBRW($D$4,$E$7,$E$8,$E$9,$E$10,$E$12,$D247,$E$6,BC$18,BC$17)</f>
        <v>3.542735</v>
      </c>
      <c r="BD247" s="16">
        <f ca="1">_xll.DBRW($D$4,$E$7,$E$8,$E$9,$E$10,$E$12,$D247,$E$6,BD$18,BD$17)</f>
        <v>5.8898003699999872</v>
      </c>
      <c r="BE247" s="16">
        <f ca="1">_xll.DBRW($D$4,$E$7,$E$8,$E$9,$E$10,$E$12,$D247,$E$6,BE$18,BE$17)</f>
        <v>-2.0653999999999999</v>
      </c>
      <c r="BF247" s="16">
        <f ca="1">_xll.DBRW($D$4,$E$7,$E$8,$E$9,$E$10,$E$12,$D247,$E$6,BF$18,BF$17)</f>
        <v>0</v>
      </c>
      <c r="BG247" s="26">
        <f ca="1">_xll.DBRW($D$4,$E$7,$E$8,$E$9,$E$10,$E$12,$D247,$E$6,BG$18,BG$17)</f>
        <v>0</v>
      </c>
      <c r="BH247" s="26">
        <f ca="1">_xll.DBRW($D$4,$E$7,$E$8,$E$9,$E$10,$E$12,$D247,$E$6,BH$18,BH$17)</f>
        <v>0</v>
      </c>
      <c r="BI247" s="26">
        <f ca="1">_xll.DBRW($D$4,$E$7,$E$8,$E$9,$E$10,$E$12,$D247,$E$6,BI$18,BI$17)</f>
        <v>0</v>
      </c>
      <c r="BJ247" s="26">
        <f ca="1">_xll.DBRW($D$4,$E$7,$E$8,$E$9,$E$10,$E$12,$D247,$E$6,BJ$18,BJ$17)</f>
        <v>0</v>
      </c>
      <c r="BK247" s="16">
        <f ca="1">_xll.DBRW($D$4,$E$7,$E$8,$E$9,$E$10,$E$12,$D247,$E$6,BK$18,BK$17)</f>
        <v>7.9552003699999858</v>
      </c>
      <c r="BL247" s="16">
        <f ca="1">_xll.DBRW($D$4,$E$7,$E$8,$E$9,$E$10,$E$12,$D247,$E$6,BL$18,BL$17)</f>
        <v>133.29307896999998</v>
      </c>
      <c r="BM247" s="16">
        <f ca="1">_xll.DBRW($D$4,$E$7,$E$8,$E$9,$E$10,$E$12,$D247,$E$6,BM$18,BM$17)</f>
        <v>-67.492972269999996</v>
      </c>
      <c r="BN247" s="16">
        <f ca="1">_xll.DBRW($D$4,$E$7,$E$8,$E$9,$E$10,$E$12,$D247,$E$6,BN$18,BN$17)</f>
        <v>0.50635016305078007</v>
      </c>
      <c r="BO247" s="16"/>
      <c r="BP247" s="16"/>
      <c r="BQ247" s="16"/>
      <c r="BR247" s="16"/>
      <c r="BS247" s="16">
        <f ca="1">_xll.DBRW($D$4,$E$7,$E$8,$E$9,$E$10,$E$12,$D247,$E$6,BS$18,BS$17)</f>
        <v>-14.748922809999998</v>
      </c>
      <c r="BT247" s="16">
        <f ca="1">_xll.DBRW($D$4,$E$7,$E$8,$E$9,$E$10,$E$12,$D247,$E$6,BT$18,BT$17)</f>
        <v>0.11065032726357465</v>
      </c>
      <c r="BU247" s="16"/>
      <c r="BV247" s="16"/>
      <c r="BW247" s="16"/>
      <c r="BX247" s="16"/>
      <c r="BY247" s="16">
        <f ca="1">_xll.DBRW($D$4,$E$7,$E$8,$E$9,$E$10,$E$12,$D247,$E$6,BY$18,BY$17)</f>
        <v>-14.76184381</v>
      </c>
      <c r="BZ247" s="16">
        <f ca="1">_xll.DBRW($D$4,$E$7,$E$8,$E$9,$E$10,$E$12,$D247,$E$6,BZ$18,BZ$17)</f>
        <v>0.11074726402953315</v>
      </c>
      <c r="CA247" s="16"/>
      <c r="CB247" s="16"/>
      <c r="CC247" s="16"/>
      <c r="CD247" s="16"/>
      <c r="CE247" s="16">
        <f ca="1">_xll.DBRW($D$4,$E$7,$E$8,$E$9,$E$10,$E$12,$D247,$E$6,CE$18,CE$17)</f>
        <v>-16.831028960000001</v>
      </c>
      <c r="CF247" s="16">
        <f ca="1">_xll.DBRW($D$4,$E$7,$E$8,$E$9,$E$10,$E$12,$D247,$E$6,CF$18,CF$17)</f>
        <v>0.12627083934183955</v>
      </c>
      <c r="CG247" s="16"/>
      <c r="CH247" s="16"/>
      <c r="CI247" s="16"/>
      <c r="CJ247" s="16"/>
      <c r="CK247" s="16">
        <f ca="1">_xll.DBRW($D$4,$E$7,$E$8,$E$9,$E$10,$E$12,$D247,$E$6,CK$18,CK$17)</f>
        <v>-11.503110749999999</v>
      </c>
      <c r="CL247" s="16">
        <f ca="1">_xll.DBRW($D$4,$E$7,$E$8,$E$9,$E$10,$E$12,$D247,$E$6,CL$18,CL$17)</f>
        <v>8.6299385076017213E-2</v>
      </c>
      <c r="CM247" s="16"/>
      <c r="CN247" s="16"/>
      <c r="CO247" s="16"/>
      <c r="CP247" s="16"/>
      <c r="CQ247" s="16">
        <f ca="1">_xll.DBRW($D$4,$E$7,$E$8,$E$9,$E$10,$E$12,$D247,$E$6,CQ$18,CQ$17)</f>
        <v>0.24762241669999999</v>
      </c>
      <c r="CR247" s="16">
        <f ca="1">_xll.DBRW($D$4,$E$7,$E$8,$E$9,$E$10,$E$12,$D247,$E$6,CR$18,CR$17)</f>
        <v>3.5062572039999989</v>
      </c>
      <c r="CS247" s="16">
        <f ca="1">_xll.DBRW($D$4,$E$7,$E$8,$E$9,$E$10,$E$12,$D247,$E$6,CS$18,CS$17)</f>
        <v>3.1741909999999995</v>
      </c>
      <c r="CT247" s="16">
        <f ca="1">_xll.DBRW($D$4,$E$7,$E$8,$E$9,$E$10,$E$12,$D247,$E$6,CT$18,CT$17)</f>
        <v>3.5062572039999989</v>
      </c>
      <c r="CU247" s="16">
        <f ca="1">_xll.DBRW($D$4,$E$7,$E$8,$E$9,$E$10,$E$12,$D247,$E$6,CU$18,CU$17)</f>
        <v>1.45451145</v>
      </c>
      <c r="CV247" s="16">
        <f ca="1">_xll.DBRW($D$4,$E$7,$E$8,$E$9,$E$10,$E$12,$D247,$E$6,CV$18,CV$17)</f>
        <v>3.5062572039999989</v>
      </c>
      <c r="CW247" s="16" t="str">
        <f ca="1">_xll.DBRW($D$4,$E$7,$E$8,$E$9,$E$10,$E$12,$D247,$E$6,CW$18,CW$17)</f>
        <v/>
      </c>
      <c r="CX247" s="16">
        <f ca="1">_xll.DBRW($D$4,$E$7,$E$8,$E$9,$E$10,$E$12,$D247,$E$6,CX$18,CX$17)</f>
        <v>3.5062572039999989</v>
      </c>
      <c r="CY247" s="16">
        <f ca="1">_xll.DBRW($D$4,$E$7,$E$8,$E$9,$E$10,$E$12,$D247,$E$6,CY$18,CY$17)</f>
        <v>3.5062572039999989</v>
      </c>
      <c r="CZ247" s="16">
        <f ca="1">_xll.DBRW($D$4,$E$7,$E$8,$E$9,$E$10,$E$12,$D247,$E$6,CZ$18,CZ$17)</f>
        <v>3.5062572039999989</v>
      </c>
      <c r="DA247" s="26">
        <f t="shared" ca="1" si="146"/>
        <v>-7.9002009999999938</v>
      </c>
      <c r="DB247" s="26">
        <f t="shared" ca="1" si="147"/>
        <v>-1.0542892999999993</v>
      </c>
      <c r="DC247" s="26">
        <f t="shared" ca="1" si="148"/>
        <v>0</v>
      </c>
      <c r="DD247" s="26">
        <f t="shared" ca="1" si="149"/>
        <v>0</v>
      </c>
      <c r="DE247" s="26">
        <f t="shared" ca="1" si="150"/>
        <v>0</v>
      </c>
      <c r="DF247" s="26">
        <f t="shared" ca="1" si="151"/>
        <v>0</v>
      </c>
      <c r="DG247" s="26">
        <f t="shared" ca="1" si="152"/>
        <v>0</v>
      </c>
      <c r="DH247" s="26">
        <f t="shared" ca="1" si="153"/>
        <v>-6.8459116999999932</v>
      </c>
      <c r="DI247" s="26">
        <f t="shared" ca="1" si="154"/>
        <v>-6.5765576699999855</v>
      </c>
      <c r="DJ247" s="26">
        <f t="shared" ca="1" si="155"/>
        <v>2.8372822400000075</v>
      </c>
      <c r="DK247" s="26">
        <f t="shared" ca="1" si="156"/>
        <v>3.8886705810897704E-3</v>
      </c>
      <c r="DL247" s="26"/>
      <c r="DM247" s="26"/>
      <c r="DN247" s="26"/>
      <c r="DO247" s="26"/>
      <c r="DP247" s="26">
        <f t="shared" ca="1" si="157"/>
        <v>0.32782224999999876</v>
      </c>
      <c r="DQ247" s="26">
        <f t="shared" ca="1" si="158"/>
        <v>3.1556738170437082E-3</v>
      </c>
      <c r="DR247" s="26"/>
      <c r="DS247" s="26"/>
      <c r="DT247" s="26"/>
      <c r="DU247" s="26"/>
      <c r="DV247" s="26">
        <f t="shared" ca="1" si="159"/>
        <v>-1.8350789699999996</v>
      </c>
      <c r="DW247" s="26">
        <f t="shared" ca="1" si="160"/>
        <v>2.0229522657239637E-2</v>
      </c>
      <c r="DX247" s="26"/>
      <c r="DY247" s="26"/>
      <c r="DZ247" s="26"/>
      <c r="EA247" s="26"/>
      <c r="EB247" s="26">
        <f t="shared" ca="1" si="161"/>
        <v>0.87868243999999862</v>
      </c>
      <c r="EC247" s="26">
        <f t="shared" ca="1" si="162"/>
        <v>-3.808105094271208E-4</v>
      </c>
      <c r="ED247" s="26"/>
      <c r="EE247" s="26"/>
      <c r="EF247" s="26"/>
      <c r="EG247" s="26"/>
      <c r="EH247" s="26">
        <f t="shared" ca="1" si="163"/>
        <v>-2.4780619900000023</v>
      </c>
      <c r="EI247" s="29">
        <f t="shared" ca="1" si="164"/>
        <v>2.4034868078705418E-2</v>
      </c>
      <c r="EJ247" s="29"/>
      <c r="EK247" s="29"/>
      <c r="EL247" s="29"/>
      <c r="EM247" s="29"/>
      <c r="EN247" s="93"/>
      <c r="EO247" s="29"/>
      <c r="EP247" s="29"/>
      <c r="EQ247" s="29"/>
      <c r="ER247" s="29"/>
      <c r="ES247" s="29"/>
      <c r="ET247" s="29"/>
      <c r="EU247" s="93"/>
      <c r="EV247" s="29"/>
      <c r="EW247" s="29"/>
      <c r="EX247" s="29"/>
      <c r="EY247" s="29"/>
      <c r="EZ247" s="29"/>
      <c r="FA247" s="29"/>
      <c r="FB247" s="93"/>
      <c r="FC247" s="29"/>
      <c r="FD247" s="29"/>
      <c r="FE247" s="29"/>
      <c r="FF247" s="29"/>
      <c r="FG247" s="29"/>
      <c r="FH247" s="29"/>
      <c r="FI247" s="93"/>
      <c r="FJ247" s="29"/>
      <c r="FK247" s="29"/>
      <c r="FL247" s="29"/>
      <c r="FM247" s="29"/>
      <c r="FN247" s="29"/>
      <c r="FO247" s="29"/>
      <c r="FP247" s="93"/>
      <c r="FQ247" s="29"/>
      <c r="FR247" s="29"/>
      <c r="FS247" s="29"/>
      <c r="FT247" s="29"/>
      <c r="FU247" s="29"/>
      <c r="FV247" s="29"/>
    </row>
    <row r="248" spans="1:178" x14ac:dyDescent="0.25">
      <c r="A248" t="str">
        <f ca="1">IF(_xll.TM1RPTELISCONSOLIDATED($D$28,$D248),IF(_xll.TM1RPTELLEV($D$28,$D248)&lt;=3,_xll.TM1RPTELLEV($D$28,$D248),"D"),"N")</f>
        <v>N</v>
      </c>
      <c r="B248" t="str">
        <f ca="1">_xll.DBRA(Server&amp;"Management_organization",$D248,$B$27)</f>
        <v>L</v>
      </c>
      <c r="C248">
        <v>1</v>
      </c>
      <c r="D248" s="2" t="s">
        <v>317</v>
      </c>
      <c r="E248" s="26"/>
      <c r="F248" s="26"/>
      <c r="G248" s="16">
        <f ca="1">_xll.DBRW($D$4,$E$7,$E$8,$E$9,$E$10,$E$12,$D248,$E$6,G$18,G$17)</f>
        <v>8.2001474200000004</v>
      </c>
      <c r="H248" s="16">
        <f ca="1">_xll.DBRW($D$4,$E$7,$E$8,$E$9,$E$10,$E$12,$D248,$E$6,H$18,H$17)</f>
        <v>-0.98480721999999987</v>
      </c>
      <c r="I248" s="16">
        <f ca="1">_xll.DBRW($D$4,$E$7,$E$8,$E$9,$E$10,$E$12,$D248,$E$6,I$18,I$17)</f>
        <v>0</v>
      </c>
      <c r="J248" s="26">
        <f ca="1">_xll.DBRW($D$4,$E$7,$E$8,$E$9,$E$10,$E$12,$D248,$E$6,J$18,J$17)</f>
        <v>0</v>
      </c>
      <c r="K248" s="26">
        <f ca="1">_xll.DBRW($D$4,$E$7,$E$8,$E$9,$E$10,$E$12,$D248,$E$6,K$18,K$17)</f>
        <v>0</v>
      </c>
      <c r="L248" s="26">
        <f ca="1">_xll.DBRW($D$4,$E$7,$E$8,$E$9,$E$10,$E$12,$D248,$E$6,L$18,L$17)</f>
        <v>0</v>
      </c>
      <c r="M248" s="26">
        <f ca="1">_xll.DBRW($D$4,$E$7,$E$8,$E$9,$E$10,$E$12,$D248,$E$6,M$18,M$17)</f>
        <v>0</v>
      </c>
      <c r="N248" s="16">
        <f ca="1">_xll.DBRW($D$4,$E$7,$E$8,$E$9,$E$10,$E$12,$D248,$E$6,N$18,N$17)</f>
        <v>9.1849546400000026</v>
      </c>
      <c r="O248" s="16">
        <f ca="1">_xll.DBRW($D$4,$E$7,$E$8,$E$9,$E$10,$E$12,$D248,$E$6,O$18,O$17)</f>
        <v>63.807500810000001</v>
      </c>
      <c r="P248" s="74">
        <f ca="1">_xll.DBRW($D$4,$E$7,$E$8,$E$9,$E$10,$E$12,$D248,$E$6,P$18,P$17)</f>
        <v>-20.941852839999999</v>
      </c>
      <c r="Q248" s="16">
        <f ca="1">_xll.DBRW($D$4,$E$7,$E$8,$E$9,$E$10,$E$12,$D248,$E$6,Q$18,Q$17)</f>
        <v>0.32820362142624404</v>
      </c>
      <c r="R248" s="16"/>
      <c r="S248" s="16"/>
      <c r="T248" s="16"/>
      <c r="U248" s="16"/>
      <c r="V248" s="16">
        <f ca="1">_xll.DBRW($D$4,$E$7,$E$8,$E$9,$E$10,$E$12,$D248,$E$6,V$18,V$17)</f>
        <v>-8.9369350499999989</v>
      </c>
      <c r="W248" s="16">
        <f ca="1">_xll.DBRW($D$4,$E$7,$E$8,$E$9,$E$10,$E$12,$D248,$E$6,W$18,W$17)</f>
        <v>0.14006088526506574</v>
      </c>
      <c r="X248" s="16"/>
      <c r="Y248" s="16"/>
      <c r="Z248" s="16"/>
      <c r="AA248" s="16"/>
      <c r="AB248" s="16">
        <f ca="1">_xll.DBRW($D$4,$E$7,$E$8,$E$9,$E$10,$E$12,$D248,$E$6,AB$18,AB$17)</f>
        <v>-10.875084909999998</v>
      </c>
      <c r="AC248" s="16">
        <f ca="1">_xll.DBRW($D$4,$E$7,$E$8,$E$9,$E$10,$E$12,$D248,$E$6,AC$18,AC$17)</f>
        <v>0.17043583860748296</v>
      </c>
      <c r="AD248" s="16"/>
      <c r="AE248" s="16"/>
      <c r="AF248" s="16"/>
      <c r="AG248" s="16"/>
      <c r="AH248" s="16">
        <f ca="1">_xll.DBRW($D$4,$E$7,$E$8,$E$9,$E$10,$E$12,$D248,$E$6,AH$18,AH$17)</f>
        <v>-9.2035926500000009</v>
      </c>
      <c r="AI248" s="16">
        <f ca="1">_xll.DBRW($D$4,$E$7,$E$8,$E$9,$E$10,$E$12,$D248,$E$6,AI$18,AI$17)</f>
        <v>0.14423998014599565</v>
      </c>
      <c r="AJ248" s="16"/>
      <c r="AK248" s="16"/>
      <c r="AL248" s="16"/>
      <c r="AM248" s="16"/>
      <c r="AN248" s="16">
        <f ca="1">_xll.DBRW($D$4,$E$7,$E$8,$E$9,$E$10,$E$12,$D248,$E$6,AN$18,AN$17)</f>
        <v>-4.6650807199999988</v>
      </c>
      <c r="AO248" s="16">
        <f ca="1">_xll.DBRW($D$4,$E$7,$E$8,$E$9,$E$10,$E$12,$D248,$E$6,AO$18,AO$17)</f>
        <v>7.3111791886211613E-2</v>
      </c>
      <c r="AP248" s="16"/>
      <c r="AQ248" s="16"/>
      <c r="AR248" s="16"/>
      <c r="AS248" s="16"/>
      <c r="AT248" s="16">
        <f ca="1">_xll.DBRW($D$4,$E$7,$E$8,$E$9,$E$10,$E$12,$D248,$E$6,AT$18,AT$17)</f>
        <v>7.4742664999999986E-2</v>
      </c>
      <c r="AU248" s="16">
        <f ca="1">_xll.DBRW($D$4,$E$7,$E$8,$E$9,$E$10,$E$12,$D248,$E$6,AU$18,AU$17)</f>
        <v>3.0448561240000003</v>
      </c>
      <c r="AV248" s="16">
        <f ca="1">_xll.DBRW($D$4,$E$7,$E$8,$E$9,$E$10,$E$12,$D248,$E$6,AV$18,AV$17)</f>
        <v>3.2921867999999996</v>
      </c>
      <c r="AW248" s="16">
        <f ca="1">_xll.DBRW($D$4,$E$7,$E$8,$E$9,$E$10,$E$12,$D248,$E$6,AW$18,AW$17)</f>
        <v>3.0448561240000003</v>
      </c>
      <c r="AX248" s="16">
        <f ca="1">_xll.DBRW($D$4,$E$7,$E$8,$E$9,$E$10,$E$12,$D248,$E$6,AX$18,AX$17)</f>
        <v>1.1453422307692001</v>
      </c>
      <c r="AY248" s="16">
        <f ca="1">_xll.DBRW($D$4,$E$7,$E$8,$E$9,$E$10,$E$12,$D248,$E$6,AY$18,AY$17)</f>
        <v>3.0448561240000003</v>
      </c>
      <c r="AZ248" s="16">
        <f ca="1">_xll.DBRW($D$4,$E$7,$E$8,$E$9,$E$10,$E$12,$D248,$E$6,AZ$18,AZ$17)</f>
        <v>2.44E-5</v>
      </c>
      <c r="BA248" s="16">
        <f ca="1">_xll.DBRW($D$4,$E$7,$E$8,$E$9,$E$10,$E$12,$D248,$E$6,BA$18,BA$17)</f>
        <v>3.0448561240000003</v>
      </c>
      <c r="BB248" s="16">
        <f ca="1">_xll.DBRW($D$4,$E$7,$E$8,$E$9,$E$10,$E$12,$D248,$E$6,BB$18,BB$17)</f>
        <v>3.0448561240000003</v>
      </c>
      <c r="BC248" s="16">
        <f ca="1">_xll.DBRW($D$4,$E$7,$E$8,$E$9,$E$10,$E$12,$D248,$E$6,BC$18,BC$17)</f>
        <v>3.0448561240000003</v>
      </c>
      <c r="BD248" s="16">
        <f ca="1">_xll.DBRW($D$4,$E$7,$E$8,$E$9,$E$10,$E$12,$D248,$E$6,BD$18,BD$17)</f>
        <v>9.2450061600000151</v>
      </c>
      <c r="BE248" s="16">
        <f ca="1">_xll.DBRW($D$4,$E$7,$E$8,$E$9,$E$10,$E$12,$D248,$E$6,BE$18,BE$17)</f>
        <v>-0.88500000000000001</v>
      </c>
      <c r="BF248" s="16">
        <f ca="1">_xll.DBRW($D$4,$E$7,$E$8,$E$9,$E$10,$E$12,$D248,$E$6,BF$18,BF$17)</f>
        <v>0</v>
      </c>
      <c r="BG248" s="26">
        <f ca="1">_xll.DBRW($D$4,$E$7,$E$8,$E$9,$E$10,$E$12,$D248,$E$6,BG$18,BG$17)</f>
        <v>0</v>
      </c>
      <c r="BH248" s="26">
        <f ca="1">_xll.DBRW($D$4,$E$7,$E$8,$E$9,$E$10,$E$12,$D248,$E$6,BH$18,BH$17)</f>
        <v>0</v>
      </c>
      <c r="BI248" s="26">
        <f ca="1">_xll.DBRW($D$4,$E$7,$E$8,$E$9,$E$10,$E$12,$D248,$E$6,BI$18,BI$17)</f>
        <v>0</v>
      </c>
      <c r="BJ248" s="26">
        <f ca="1">_xll.DBRW($D$4,$E$7,$E$8,$E$9,$E$10,$E$12,$D248,$E$6,BJ$18,BJ$17)</f>
        <v>0</v>
      </c>
      <c r="BK248" s="16">
        <f ca="1">_xll.DBRW($D$4,$E$7,$E$8,$E$9,$E$10,$E$12,$D248,$E$6,BK$18,BK$17)</f>
        <v>10.130006160000015</v>
      </c>
      <c r="BL248" s="16">
        <f ca="1">_xll.DBRW($D$4,$E$7,$E$8,$E$9,$E$10,$E$12,$D248,$E$6,BL$18,BL$17)</f>
        <v>71.627094750000012</v>
      </c>
      <c r="BM248" s="16">
        <f ca="1">_xll.DBRW($D$4,$E$7,$E$8,$E$9,$E$10,$E$12,$D248,$E$6,BM$18,BM$17)</f>
        <v>-23.294681020000002</v>
      </c>
      <c r="BN248" s="16">
        <f ca="1">_xll.DBRW($D$4,$E$7,$E$8,$E$9,$E$10,$E$12,$D248,$E$6,BN$18,BN$17)</f>
        <v>0.32522163716545266</v>
      </c>
      <c r="BO248" s="16"/>
      <c r="BP248" s="16"/>
      <c r="BQ248" s="16"/>
      <c r="BR248" s="16"/>
      <c r="BS248" s="16">
        <f ca="1">_xll.DBRW($D$4,$E$7,$E$8,$E$9,$E$10,$E$12,$D248,$E$6,BS$18,BS$17)</f>
        <v>-10.455033569999998</v>
      </c>
      <c r="BT248" s="16">
        <f ca="1">_xll.DBRW($D$4,$E$7,$E$8,$E$9,$E$10,$E$12,$D248,$E$6,BT$18,BT$17)</f>
        <v>0.14596478618169831</v>
      </c>
      <c r="BU248" s="16"/>
      <c r="BV248" s="16"/>
      <c r="BW248" s="16"/>
      <c r="BX248" s="16"/>
      <c r="BY248" s="16">
        <f ca="1">_xll.DBRW($D$4,$E$7,$E$8,$E$9,$E$10,$E$12,$D248,$E$6,BY$18,BY$17)</f>
        <v>-12.468319619999995</v>
      </c>
      <c r="BZ248" s="16">
        <f ca="1">_xll.DBRW($D$4,$E$7,$E$8,$E$9,$E$10,$E$12,$D248,$E$6,BZ$18,BZ$17)</f>
        <v>0.17407266989563322</v>
      </c>
      <c r="CA248" s="16"/>
      <c r="CB248" s="16"/>
      <c r="CC248" s="16"/>
      <c r="CD248" s="16"/>
      <c r="CE248" s="16">
        <f ca="1">_xll.DBRW($D$4,$E$7,$E$8,$E$9,$E$10,$E$12,$D248,$E$6,CE$18,CE$17)</f>
        <v>-10.295895660000001</v>
      </c>
      <c r="CF248" s="16">
        <f ca="1">_xll.DBRW($D$4,$E$7,$E$8,$E$9,$E$10,$E$12,$D248,$E$6,CF$18,CF$17)</f>
        <v>0.14374303042634573</v>
      </c>
      <c r="CG248" s="16"/>
      <c r="CH248" s="16"/>
      <c r="CI248" s="16"/>
      <c r="CJ248" s="16"/>
      <c r="CK248" s="16">
        <f ca="1">_xll.DBRW($D$4,$E$7,$E$8,$E$9,$E$10,$E$12,$D248,$E$6,CK$18,CK$17)</f>
        <v>-4.9831587199999996</v>
      </c>
      <c r="CL248" s="16">
        <f ca="1">_xll.DBRW($D$4,$E$7,$E$8,$E$9,$E$10,$E$12,$D248,$E$6,CL$18,CL$17)</f>
        <v>6.9570861939782902E-2</v>
      </c>
      <c r="CM248" s="16"/>
      <c r="CN248" s="16"/>
      <c r="CO248" s="16"/>
      <c r="CP248" s="16"/>
      <c r="CQ248" s="16">
        <f ca="1">_xll.DBRW($D$4,$E$7,$E$8,$E$9,$E$10,$E$12,$D248,$E$6,CQ$18,CQ$17)</f>
        <v>8.6670999999999998E-2</v>
      </c>
      <c r="CR248" s="16">
        <f ca="1">_xll.DBRW($D$4,$E$7,$E$8,$E$9,$E$10,$E$12,$D248,$E$6,CR$18,CR$17)</f>
        <v>3.3969312119999997</v>
      </c>
      <c r="CS248" s="16">
        <f ca="1">_xll.DBRW($D$4,$E$7,$E$8,$E$9,$E$10,$E$12,$D248,$E$6,CS$18,CS$17)</f>
        <v>3.5342262399999993</v>
      </c>
      <c r="CT248" s="16">
        <f ca="1">_xll.DBRW($D$4,$E$7,$E$8,$E$9,$E$10,$E$12,$D248,$E$6,CT$18,CT$17)</f>
        <v>3.3969312119999997</v>
      </c>
      <c r="CU248" s="16">
        <f ca="1">_xll.DBRW($D$4,$E$7,$E$8,$E$9,$E$10,$E$12,$D248,$E$6,CU$18,CU$17)</f>
        <v>1.2580081400000001</v>
      </c>
      <c r="CV248" s="16">
        <f ca="1">_xll.DBRW($D$4,$E$7,$E$8,$E$9,$E$10,$E$12,$D248,$E$6,CV$18,CV$17)</f>
        <v>3.3969312119999997</v>
      </c>
      <c r="CW248" s="16">
        <f ca="1">_xll.DBRW($D$4,$E$7,$E$8,$E$9,$E$10,$E$12,$D248,$E$6,CW$18,CW$17)</f>
        <v>2.5000000000000001E-5</v>
      </c>
      <c r="CX248" s="16">
        <f ca="1">_xll.DBRW($D$4,$E$7,$E$8,$E$9,$E$10,$E$12,$D248,$E$6,CX$18,CX$17)</f>
        <v>3.3969312119999997</v>
      </c>
      <c r="CY248" s="16">
        <f ca="1">_xll.DBRW($D$4,$E$7,$E$8,$E$9,$E$10,$E$12,$D248,$E$6,CY$18,CY$17)</f>
        <v>3.3969312119999997</v>
      </c>
      <c r="CZ248" s="16">
        <f ca="1">_xll.DBRW($D$4,$E$7,$E$8,$E$9,$E$10,$E$12,$D248,$E$6,CZ$18,CZ$17)</f>
        <v>3.3969312119999997</v>
      </c>
      <c r="DA248" s="26">
        <f t="shared" ca="1" si="146"/>
        <v>-1.0448587400000147</v>
      </c>
      <c r="DB248" s="26">
        <f t="shared" ca="1" si="147"/>
        <v>-9.9807219999999863E-2</v>
      </c>
      <c r="DC248" s="26">
        <f t="shared" ca="1" si="148"/>
        <v>0</v>
      </c>
      <c r="DD248" s="26">
        <f t="shared" ca="1" si="149"/>
        <v>0</v>
      </c>
      <c r="DE248" s="26">
        <f t="shared" ca="1" si="150"/>
        <v>0</v>
      </c>
      <c r="DF248" s="26">
        <f t="shared" ca="1" si="151"/>
        <v>0</v>
      </c>
      <c r="DG248" s="26">
        <f t="shared" ca="1" si="152"/>
        <v>0</v>
      </c>
      <c r="DH248" s="26">
        <f t="shared" ca="1" si="153"/>
        <v>-0.94505152000001225</v>
      </c>
      <c r="DI248" s="26">
        <f t="shared" ca="1" si="154"/>
        <v>-7.8195939400000114</v>
      </c>
      <c r="DJ248" s="26">
        <f t="shared" ca="1" si="155"/>
        <v>2.352828180000003</v>
      </c>
      <c r="DK248" s="26">
        <f t="shared" ca="1" si="156"/>
        <v>2.9819842607913816E-3</v>
      </c>
      <c r="DL248" s="26"/>
      <c r="DM248" s="26"/>
      <c r="DN248" s="26"/>
      <c r="DO248" s="26"/>
      <c r="DP248" s="26">
        <f t="shared" ca="1" si="157"/>
        <v>1.5180985199999988</v>
      </c>
      <c r="DQ248" s="26">
        <f t="shared" ca="1" si="158"/>
        <v>-5.9039009166325651E-3</v>
      </c>
      <c r="DR248" s="26"/>
      <c r="DS248" s="26"/>
      <c r="DT248" s="26"/>
      <c r="DU248" s="26"/>
      <c r="DV248" s="26">
        <f t="shared" ca="1" si="159"/>
        <v>1.5932347099999973</v>
      </c>
      <c r="DW248" s="26">
        <f t="shared" ca="1" si="160"/>
        <v>-3.6368312881502607E-3</v>
      </c>
      <c r="DX248" s="26"/>
      <c r="DY248" s="26"/>
      <c r="DZ248" s="26"/>
      <c r="EA248" s="26"/>
      <c r="EB248" s="26">
        <f t="shared" ca="1" si="161"/>
        <v>1.0923030100000002</v>
      </c>
      <c r="EC248" s="26">
        <f t="shared" ca="1" si="162"/>
        <v>4.9694971964991952E-4</v>
      </c>
      <c r="ED248" s="26"/>
      <c r="EE248" s="26"/>
      <c r="EF248" s="26"/>
      <c r="EG248" s="26"/>
      <c r="EH248" s="26">
        <f t="shared" ca="1" si="163"/>
        <v>0.31807800000000075</v>
      </c>
      <c r="EI248" s="29">
        <f t="shared" ca="1" si="164"/>
        <v>3.5409299464287114E-3</v>
      </c>
      <c r="EJ248" s="29"/>
      <c r="EK248" s="29"/>
      <c r="EL248" s="29"/>
      <c r="EM248" s="29"/>
      <c r="EN248" s="93"/>
      <c r="EO248" s="29"/>
      <c r="EP248" s="29"/>
      <c r="EQ248" s="29"/>
      <c r="ER248" s="29"/>
      <c r="ES248" s="29"/>
      <c r="ET248" s="29"/>
      <c r="EU248" s="93"/>
      <c r="EV248" s="29"/>
      <c r="EW248" s="29"/>
      <c r="EX248" s="29"/>
      <c r="EY248" s="29"/>
      <c r="EZ248" s="29"/>
      <c r="FA248" s="29"/>
      <c r="FB248" s="93"/>
      <c r="FC248" s="29"/>
      <c r="FD248" s="29"/>
      <c r="FE248" s="29"/>
      <c r="FF248" s="29"/>
      <c r="FG248" s="29"/>
      <c r="FH248" s="29"/>
      <c r="FI248" s="93"/>
      <c r="FJ248" s="29"/>
      <c r="FK248" s="29"/>
      <c r="FL248" s="29"/>
      <c r="FM248" s="29"/>
      <c r="FN248" s="29"/>
      <c r="FO248" s="29"/>
      <c r="FP248" s="93"/>
      <c r="FQ248" s="29"/>
      <c r="FR248" s="29"/>
      <c r="FS248" s="29"/>
      <c r="FT248" s="29"/>
      <c r="FU248" s="29"/>
      <c r="FV248" s="29"/>
    </row>
    <row r="249" spans="1:178" x14ac:dyDescent="0.25">
      <c r="A249" t="str">
        <f ca="1">IF(_xll.TM1RPTELISCONSOLIDATED($D$28,$D249),IF(_xll.TM1RPTELLEV($D$28,$D249)&lt;=3,_xll.TM1RPTELLEV($D$28,$D249),"D"),"N")</f>
        <v>N</v>
      </c>
      <c r="B249" t="str">
        <f ca="1">_xll.DBRA(Server&amp;"Management_organization",$D249,$B$27)</f>
        <v>L</v>
      </c>
      <c r="C249">
        <v>1</v>
      </c>
      <c r="D249" s="2" t="s">
        <v>318</v>
      </c>
      <c r="E249" s="26"/>
      <c r="F249" s="26"/>
      <c r="G249" s="16">
        <f ca="1">_xll.DBRW($D$4,$E$7,$E$8,$E$9,$E$10,$E$12,$D249,$E$6,G$18,G$17)</f>
        <v>5.8288964300000021</v>
      </c>
      <c r="H249" s="16">
        <f ca="1">_xll.DBRW($D$4,$E$7,$E$8,$E$9,$E$10,$E$12,$D249,$E$6,H$18,H$17)</f>
        <v>-2.2337297600000001</v>
      </c>
      <c r="I249" s="16">
        <f ca="1">_xll.DBRW($D$4,$E$7,$E$8,$E$9,$E$10,$E$12,$D249,$E$6,I$18,I$17)</f>
        <v>0</v>
      </c>
      <c r="J249" s="26">
        <f ca="1">_xll.DBRW($D$4,$E$7,$E$8,$E$9,$E$10,$E$12,$D249,$E$6,J$18,J$17)</f>
        <v>0</v>
      </c>
      <c r="K249" s="26">
        <f ca="1">_xll.DBRW($D$4,$E$7,$E$8,$E$9,$E$10,$E$12,$D249,$E$6,K$18,K$17)</f>
        <v>0</v>
      </c>
      <c r="L249" s="26">
        <f ca="1">_xll.DBRW($D$4,$E$7,$E$8,$E$9,$E$10,$E$12,$D249,$E$6,L$18,L$17)</f>
        <v>0</v>
      </c>
      <c r="M249" s="26">
        <f ca="1">_xll.DBRW($D$4,$E$7,$E$8,$E$9,$E$10,$E$12,$D249,$E$6,M$18,M$17)</f>
        <v>0</v>
      </c>
      <c r="N249" s="16">
        <f ca="1">_xll.DBRW($D$4,$E$7,$E$8,$E$9,$E$10,$E$12,$D249,$E$6,N$18,N$17)</f>
        <v>8.0626261900000014</v>
      </c>
      <c r="O249" s="16">
        <f ca="1">_xll.DBRW($D$4,$E$7,$E$8,$E$9,$E$10,$E$12,$D249,$E$6,O$18,O$17)</f>
        <v>102.29962328000001</v>
      </c>
      <c r="P249" s="74">
        <f ca="1">_xll.DBRW($D$4,$E$7,$E$8,$E$9,$E$10,$E$12,$D249,$E$6,P$18,P$17)</f>
        <v>-39.986193500000006</v>
      </c>
      <c r="Q249" s="16">
        <f ca="1">_xll.DBRW($D$4,$E$7,$E$8,$E$9,$E$10,$E$12,$D249,$E$6,Q$18,Q$17)</f>
        <v>0.39087332111239037</v>
      </c>
      <c r="R249" s="16"/>
      <c r="S249" s="16"/>
      <c r="T249" s="16"/>
      <c r="U249" s="16"/>
      <c r="V249" s="16">
        <f ca="1">_xll.DBRW($D$4,$E$7,$E$8,$E$9,$E$10,$E$12,$D249,$E$6,V$18,V$17)</f>
        <v>-9.936691269999999</v>
      </c>
      <c r="W249" s="16">
        <f ca="1">_xll.DBRW($D$4,$E$7,$E$8,$E$9,$E$10,$E$12,$D249,$E$6,W$18,W$17)</f>
        <v>9.7133214682547736E-2</v>
      </c>
      <c r="X249" s="16"/>
      <c r="Y249" s="16"/>
      <c r="Z249" s="16"/>
      <c r="AA249" s="16"/>
      <c r="AB249" s="16">
        <f ca="1">_xll.DBRW($D$4,$E$7,$E$8,$E$9,$E$10,$E$12,$D249,$E$6,AB$18,AB$17)</f>
        <v>-14.01172865</v>
      </c>
      <c r="AC249" s="16">
        <f ca="1">_xll.DBRW($D$4,$E$7,$E$8,$E$9,$E$10,$E$12,$D249,$E$6,AC$18,AC$17)</f>
        <v>0.13696754886036175</v>
      </c>
      <c r="AD249" s="16"/>
      <c r="AE249" s="16"/>
      <c r="AF249" s="16"/>
      <c r="AG249" s="16"/>
      <c r="AH249" s="16">
        <f ca="1">_xll.DBRW($D$4,$E$7,$E$8,$E$9,$E$10,$E$12,$D249,$E$6,AH$18,AH$17)</f>
        <v>-12.678407400000001</v>
      </c>
      <c r="AI249" s="16">
        <f ca="1">_xll.DBRW($D$4,$E$7,$E$8,$E$9,$E$10,$E$12,$D249,$E$6,AI$18,AI$17)</f>
        <v>0.12393405756049036</v>
      </c>
      <c r="AJ249" s="16"/>
      <c r="AK249" s="16"/>
      <c r="AL249" s="16"/>
      <c r="AM249" s="16"/>
      <c r="AN249" s="16">
        <f ca="1">_xll.DBRW($D$4,$E$7,$E$8,$E$9,$E$10,$E$12,$D249,$E$6,AN$18,AN$17)</f>
        <v>-17.623976270000004</v>
      </c>
      <c r="AO249" s="16">
        <f ca="1">_xll.DBRW($D$4,$E$7,$E$8,$E$9,$E$10,$E$12,$D249,$E$6,AO$18,AO$17)</f>
        <v>0.17227801730767039</v>
      </c>
      <c r="AP249" s="16"/>
      <c r="AQ249" s="16"/>
      <c r="AR249" s="16"/>
      <c r="AS249" s="16"/>
      <c r="AT249" s="16">
        <f ca="1">_xll.DBRW($D$4,$E$7,$E$8,$E$9,$E$10,$E$12,$D249,$E$6,AT$18,AT$17)</f>
        <v>0.14231004500000002</v>
      </c>
      <c r="AU249" s="16">
        <f ca="1">_xll.DBRW($D$4,$E$7,$E$8,$E$9,$E$10,$E$12,$D249,$E$6,AU$18,AU$17)</f>
        <v>3.1301806889999995</v>
      </c>
      <c r="AV249" s="16">
        <f ca="1">_xll.DBRW($D$4,$E$7,$E$8,$E$9,$E$10,$E$12,$D249,$E$6,AV$18,AV$17)</f>
        <v>3.7222511300000001</v>
      </c>
      <c r="AW249" s="16">
        <f ca="1">_xll.DBRW($D$4,$E$7,$E$8,$E$9,$E$10,$E$12,$D249,$E$6,AW$18,AW$17)</f>
        <v>3.1301806889999995</v>
      </c>
      <c r="AX249" s="16">
        <f ca="1">_xll.DBRW($D$4,$E$7,$E$8,$E$9,$E$10,$E$12,$D249,$E$6,AX$18,AX$17)</f>
        <v>1.5267194890400002</v>
      </c>
      <c r="AY249" s="16">
        <f ca="1">_xll.DBRW($D$4,$E$7,$E$8,$E$9,$E$10,$E$12,$D249,$E$6,AY$18,AY$17)</f>
        <v>3.1301806889999995</v>
      </c>
      <c r="AZ249" s="16">
        <f ca="1">_xll.DBRW($D$4,$E$7,$E$8,$E$9,$E$10,$E$12,$D249,$E$6,AZ$18,AZ$17)</f>
        <v>5.9000000000000004E-5</v>
      </c>
      <c r="BA249" s="16">
        <f ca="1">_xll.DBRW($D$4,$E$7,$E$8,$E$9,$E$10,$E$12,$D249,$E$6,BA$18,BA$17)</f>
        <v>3.1301806889999995</v>
      </c>
      <c r="BB249" s="16">
        <f ca="1">_xll.DBRW($D$4,$E$7,$E$8,$E$9,$E$10,$E$12,$D249,$E$6,BB$18,BB$17)</f>
        <v>3.1301806889999995</v>
      </c>
      <c r="BC249" s="16">
        <f ca="1">_xll.DBRW($D$4,$E$7,$E$8,$E$9,$E$10,$E$12,$D249,$E$6,BC$18,BC$17)</f>
        <v>3.1301806889999995</v>
      </c>
      <c r="BD249" s="16">
        <f ca="1">_xll.DBRW($D$4,$E$7,$E$8,$E$9,$E$10,$E$12,$D249,$E$6,BD$18,BD$17)</f>
        <v>7.1999502199999794</v>
      </c>
      <c r="BE249" s="16">
        <f ca="1">_xll.DBRW($D$4,$E$7,$E$8,$E$9,$E$10,$E$12,$D249,$E$6,BE$18,BE$17)</f>
        <v>-1.8809999999999998</v>
      </c>
      <c r="BF249" s="16">
        <f ca="1">_xll.DBRW($D$4,$E$7,$E$8,$E$9,$E$10,$E$12,$D249,$E$6,BF$18,BF$17)</f>
        <v>0</v>
      </c>
      <c r="BG249" s="26">
        <f ca="1">_xll.DBRW($D$4,$E$7,$E$8,$E$9,$E$10,$E$12,$D249,$E$6,BG$18,BG$17)</f>
        <v>0</v>
      </c>
      <c r="BH249" s="26">
        <f ca="1">_xll.DBRW($D$4,$E$7,$E$8,$E$9,$E$10,$E$12,$D249,$E$6,BH$18,BH$17)</f>
        <v>0</v>
      </c>
      <c r="BI249" s="26">
        <f ca="1">_xll.DBRW($D$4,$E$7,$E$8,$E$9,$E$10,$E$12,$D249,$E$6,BI$18,BI$17)</f>
        <v>0</v>
      </c>
      <c r="BJ249" s="26">
        <f ca="1">_xll.DBRW($D$4,$E$7,$E$8,$E$9,$E$10,$E$12,$D249,$E$6,BJ$18,BJ$17)</f>
        <v>0</v>
      </c>
      <c r="BK249" s="16">
        <f ca="1">_xll.DBRW($D$4,$E$7,$E$8,$E$9,$E$10,$E$12,$D249,$E$6,BK$18,BK$17)</f>
        <v>9.0809502199999788</v>
      </c>
      <c r="BL249" s="16">
        <f ca="1">_xll.DBRW($D$4,$E$7,$E$8,$E$9,$E$10,$E$12,$D249,$E$6,BL$18,BL$17)</f>
        <v>110.94157835999999</v>
      </c>
      <c r="BM249" s="16">
        <f ca="1">_xll.DBRW($D$4,$E$7,$E$8,$E$9,$E$10,$E$12,$D249,$E$6,BM$18,BM$17)</f>
        <v>-44.224032200000011</v>
      </c>
      <c r="BN249" s="16">
        <f ca="1">_xll.DBRW($D$4,$E$7,$E$8,$E$9,$E$10,$E$12,$D249,$E$6,BN$18,BN$17)</f>
        <v>0.39862450898702007</v>
      </c>
      <c r="BO249" s="16"/>
      <c r="BP249" s="16"/>
      <c r="BQ249" s="16"/>
      <c r="BR249" s="16"/>
      <c r="BS249" s="16">
        <f ca="1">_xll.DBRW($D$4,$E$7,$E$8,$E$9,$E$10,$E$12,$D249,$E$6,BS$18,BS$17)</f>
        <v>-8.9758471500000017</v>
      </c>
      <c r="BT249" s="16">
        <f ca="1">_xll.DBRW($D$4,$E$7,$E$8,$E$9,$E$10,$E$12,$D249,$E$6,BT$18,BT$17)</f>
        <v>8.0906070408281169E-2</v>
      </c>
      <c r="BU249" s="16"/>
      <c r="BV249" s="16"/>
      <c r="BW249" s="16"/>
      <c r="BX249" s="16"/>
      <c r="BY249" s="16">
        <f ca="1">_xll.DBRW($D$4,$E$7,$E$8,$E$9,$E$10,$E$12,$D249,$E$6,BY$18,BY$17)</f>
        <v>-15.433818300000002</v>
      </c>
      <c r="BZ249" s="16">
        <f ca="1">_xll.DBRW($D$4,$E$7,$E$8,$E$9,$E$10,$E$12,$D249,$E$6,BZ$18,BZ$17)</f>
        <v>0.13911662812221778</v>
      </c>
      <c r="CA249" s="16"/>
      <c r="CB249" s="16"/>
      <c r="CC249" s="16"/>
      <c r="CD249" s="16"/>
      <c r="CE249" s="16">
        <f ca="1">_xll.DBRW($D$4,$E$7,$E$8,$E$9,$E$10,$E$12,$D249,$E$6,CE$18,CE$17)</f>
        <v>-14.121167</v>
      </c>
      <c r="CF249" s="16">
        <f ca="1">_xll.DBRW($D$4,$E$7,$E$8,$E$9,$E$10,$E$12,$D249,$E$6,CF$18,CF$17)</f>
        <v>0.12728471334865549</v>
      </c>
      <c r="CG249" s="16"/>
      <c r="CH249" s="16"/>
      <c r="CI249" s="16"/>
      <c r="CJ249" s="16"/>
      <c r="CK249" s="16">
        <f ca="1">_xll.DBRW($D$4,$E$7,$E$8,$E$9,$E$10,$E$12,$D249,$E$6,CK$18,CK$17)</f>
        <v>-19.105763490000001</v>
      </c>
      <c r="CL249" s="16">
        <f ca="1">_xll.DBRW($D$4,$E$7,$E$8,$E$9,$E$10,$E$12,$D249,$E$6,CL$18,CL$17)</f>
        <v>0.17221463559859165</v>
      </c>
      <c r="CM249" s="16"/>
      <c r="CN249" s="16"/>
      <c r="CO249" s="16"/>
      <c r="CP249" s="16"/>
      <c r="CQ249" s="16">
        <f ca="1">_xll.DBRW($D$4,$E$7,$E$8,$E$9,$E$10,$E$12,$D249,$E$6,CQ$18,CQ$17)</f>
        <v>0.18617299999999998</v>
      </c>
      <c r="CR249" s="16">
        <f ca="1">_xll.DBRW($D$4,$E$7,$E$8,$E$9,$E$10,$E$12,$D249,$E$6,CR$18,CR$17)</f>
        <v>3.4949896179999995</v>
      </c>
      <c r="CS249" s="16">
        <f ca="1">_xll.DBRW($D$4,$E$7,$E$8,$E$9,$E$10,$E$12,$D249,$E$6,CS$18,CS$17)</f>
        <v>4.1581927599999986</v>
      </c>
      <c r="CT249" s="16">
        <f ca="1">_xll.DBRW($D$4,$E$7,$E$8,$E$9,$E$10,$E$12,$D249,$E$6,CT$18,CT$17)</f>
        <v>3.4949896179999995</v>
      </c>
      <c r="CU249" s="16">
        <f ca="1">_xll.DBRW($D$4,$E$7,$E$8,$E$9,$E$10,$E$12,$D249,$E$6,CU$18,CU$17)</f>
        <v>1.5665440200000003</v>
      </c>
      <c r="CV249" s="16">
        <f ca="1">_xll.DBRW($D$4,$E$7,$E$8,$E$9,$E$10,$E$12,$D249,$E$6,CV$18,CV$17)</f>
        <v>3.4949896179999995</v>
      </c>
      <c r="CW249" s="16">
        <f ca="1">_xll.DBRW($D$4,$E$7,$E$8,$E$9,$E$10,$E$12,$D249,$E$6,CW$18,CW$17)</f>
        <v>5.9000000000000004E-5</v>
      </c>
      <c r="CX249" s="16">
        <f ca="1">_xll.DBRW($D$4,$E$7,$E$8,$E$9,$E$10,$E$12,$D249,$E$6,CX$18,CX$17)</f>
        <v>3.4949896179999995</v>
      </c>
      <c r="CY249" s="16">
        <f ca="1">_xll.DBRW($D$4,$E$7,$E$8,$E$9,$E$10,$E$12,$D249,$E$6,CY$18,CY$17)</f>
        <v>3.4949896179999995</v>
      </c>
      <c r="CZ249" s="16">
        <f ca="1">_xll.DBRW($D$4,$E$7,$E$8,$E$9,$E$10,$E$12,$D249,$E$6,CZ$18,CZ$17)</f>
        <v>3.4949896179999995</v>
      </c>
      <c r="DA249" s="26">
        <f t="shared" ca="1" si="146"/>
        <v>-1.3710537899999773</v>
      </c>
      <c r="DB249" s="26">
        <f t="shared" ca="1" si="147"/>
        <v>-0.35272976000000034</v>
      </c>
      <c r="DC249" s="26">
        <f t="shared" ca="1" si="148"/>
        <v>0</v>
      </c>
      <c r="DD249" s="26">
        <f t="shared" ca="1" si="149"/>
        <v>0</v>
      </c>
      <c r="DE249" s="26">
        <f t="shared" ca="1" si="150"/>
        <v>0</v>
      </c>
      <c r="DF249" s="26">
        <f t="shared" ca="1" si="151"/>
        <v>0</v>
      </c>
      <c r="DG249" s="26">
        <f t="shared" ca="1" si="152"/>
        <v>0</v>
      </c>
      <c r="DH249" s="26">
        <f t="shared" ca="1" si="153"/>
        <v>-1.0183240299999774</v>
      </c>
      <c r="DI249" s="26">
        <f t="shared" ca="1" si="154"/>
        <v>-8.6419550799999882</v>
      </c>
      <c r="DJ249" s="26">
        <f t="shared" ca="1" si="155"/>
        <v>4.2378387000000046</v>
      </c>
      <c r="DK249" s="26">
        <f t="shared" ca="1" si="156"/>
        <v>-7.7511878746296947E-3</v>
      </c>
      <c r="DL249" s="26"/>
      <c r="DM249" s="26"/>
      <c r="DN249" s="26"/>
      <c r="DO249" s="26"/>
      <c r="DP249" s="26">
        <f t="shared" ca="1" si="157"/>
        <v>-0.9608441199999973</v>
      </c>
      <c r="DQ249" s="26">
        <f t="shared" ca="1" si="158"/>
        <v>1.6227144274266567E-2</v>
      </c>
      <c r="DR249" s="26"/>
      <c r="DS249" s="26"/>
      <c r="DT249" s="26"/>
      <c r="DU249" s="26"/>
      <c r="DV249" s="26">
        <f t="shared" ca="1" si="159"/>
        <v>1.422089650000002</v>
      </c>
      <c r="DW249" s="26">
        <f t="shared" ca="1" si="160"/>
        <v>-2.149079261856035E-3</v>
      </c>
      <c r="DX249" s="26"/>
      <c r="DY249" s="26"/>
      <c r="DZ249" s="26"/>
      <c r="EA249" s="26"/>
      <c r="EB249" s="26">
        <f t="shared" ca="1" si="161"/>
        <v>1.4427595999999987</v>
      </c>
      <c r="EC249" s="26">
        <f t="shared" ca="1" si="162"/>
        <v>-3.3506557881651244E-3</v>
      </c>
      <c r="ED249" s="26"/>
      <c r="EE249" s="26"/>
      <c r="EF249" s="26"/>
      <c r="EG249" s="26"/>
      <c r="EH249" s="26">
        <f t="shared" ca="1" si="163"/>
        <v>1.4817872199999975</v>
      </c>
      <c r="EI249" s="29">
        <f t="shared" ca="1" si="164"/>
        <v>6.3381709078741411E-5</v>
      </c>
      <c r="EJ249" s="29"/>
      <c r="EK249" s="29"/>
      <c r="EL249" s="29"/>
      <c r="EM249" s="29"/>
      <c r="EN249" s="93"/>
      <c r="EO249" s="29"/>
      <c r="EP249" s="29"/>
      <c r="EQ249" s="29"/>
      <c r="ER249" s="29"/>
      <c r="ES249" s="29"/>
      <c r="ET249" s="29"/>
      <c r="EU249" s="93"/>
      <c r="EV249" s="29"/>
      <c r="EW249" s="29"/>
      <c r="EX249" s="29"/>
      <c r="EY249" s="29"/>
      <c r="EZ249" s="29"/>
      <c r="FA249" s="29"/>
      <c r="FB249" s="93"/>
      <c r="FC249" s="29"/>
      <c r="FD249" s="29"/>
      <c r="FE249" s="29"/>
      <c r="FF249" s="29"/>
      <c r="FG249" s="29"/>
      <c r="FH249" s="29"/>
      <c r="FI249" s="93"/>
      <c r="FJ249" s="29"/>
      <c r="FK249" s="29"/>
      <c r="FL249" s="29"/>
      <c r="FM249" s="29"/>
      <c r="FN249" s="29"/>
      <c r="FO249" s="29"/>
      <c r="FP249" s="93"/>
      <c r="FQ249" s="29"/>
      <c r="FR249" s="29"/>
      <c r="FS249" s="29"/>
      <c r="FT249" s="29"/>
      <c r="FU249" s="29"/>
      <c r="FV249" s="29"/>
    </row>
    <row r="250" spans="1:178" x14ac:dyDescent="0.25">
      <c r="A250" t="str">
        <f ca="1">IF(_xll.TM1RPTELISCONSOLIDATED($D$28,$D250),IF(_xll.TM1RPTELLEV($D$28,$D250)&lt;=3,_xll.TM1RPTELLEV($D$28,$D250),"D"),"N")</f>
        <v>N</v>
      </c>
      <c r="B250" t="str">
        <f ca="1">_xll.DBRA(Server&amp;"Management_organization",$D250,$B$27)</f>
        <v>L</v>
      </c>
      <c r="C250">
        <v>1</v>
      </c>
      <c r="D250" s="2" t="s">
        <v>319</v>
      </c>
      <c r="E250" s="26"/>
      <c r="F250" s="26"/>
      <c r="G250" s="16">
        <f ca="1">_xll.DBRW($D$4,$E$7,$E$8,$E$9,$E$10,$E$12,$D250,$E$6,G$18,G$17)</f>
        <v>12.074592330000018</v>
      </c>
      <c r="H250" s="16">
        <f ca="1">_xll.DBRW($D$4,$E$7,$E$8,$E$9,$E$10,$E$12,$D250,$E$6,H$18,H$17)</f>
        <v>-3.3377466699999996</v>
      </c>
      <c r="I250" s="16">
        <f ca="1">_xll.DBRW($D$4,$E$7,$E$8,$E$9,$E$10,$E$12,$D250,$E$6,I$18,I$17)</f>
        <v>0</v>
      </c>
      <c r="J250" s="26">
        <f ca="1">_xll.DBRW($D$4,$E$7,$E$8,$E$9,$E$10,$E$12,$D250,$E$6,J$18,J$17)</f>
        <v>0</v>
      </c>
      <c r="K250" s="26">
        <f ca="1">_xll.DBRW($D$4,$E$7,$E$8,$E$9,$E$10,$E$12,$D250,$E$6,K$18,K$17)</f>
        <v>0</v>
      </c>
      <c r="L250" s="26">
        <f ca="1">_xll.DBRW($D$4,$E$7,$E$8,$E$9,$E$10,$E$12,$D250,$E$6,L$18,L$17)</f>
        <v>0</v>
      </c>
      <c r="M250" s="26">
        <f ca="1">_xll.DBRW($D$4,$E$7,$E$8,$E$9,$E$10,$E$12,$D250,$E$6,M$18,M$17)</f>
        <v>0</v>
      </c>
      <c r="N250" s="16">
        <f ca="1">_xll.DBRW($D$4,$E$7,$E$8,$E$9,$E$10,$E$12,$D250,$E$6,N$18,N$17)</f>
        <v>15.412339000000017</v>
      </c>
      <c r="O250" s="16">
        <f ca="1">_xll.DBRW($D$4,$E$7,$E$8,$E$9,$E$10,$E$12,$D250,$E$6,O$18,O$17)</f>
        <v>225.71407284</v>
      </c>
      <c r="P250" s="74">
        <f ca="1">_xll.DBRW($D$4,$E$7,$E$8,$E$9,$E$10,$E$12,$D250,$E$6,P$18,P$17)</f>
        <v>-93.290828139999974</v>
      </c>
      <c r="Q250" s="16">
        <f ca="1">_xll.DBRW($D$4,$E$7,$E$8,$E$9,$E$10,$E$12,$D250,$E$6,Q$18,Q$17)</f>
        <v>0.41331418535932513</v>
      </c>
      <c r="R250" s="16"/>
      <c r="S250" s="16"/>
      <c r="T250" s="16"/>
      <c r="U250" s="16"/>
      <c r="V250" s="16">
        <f ca="1">_xll.DBRW($D$4,$E$7,$E$8,$E$9,$E$10,$E$12,$D250,$E$6,V$18,V$17)</f>
        <v>-18.717010220000002</v>
      </c>
      <c r="W250" s="16">
        <f ca="1">_xll.DBRW($D$4,$E$7,$E$8,$E$9,$E$10,$E$12,$D250,$E$6,W$18,W$17)</f>
        <v>8.292354120634636E-2</v>
      </c>
      <c r="X250" s="16"/>
      <c r="Y250" s="16"/>
      <c r="Z250" s="16"/>
      <c r="AA250" s="16"/>
      <c r="AB250" s="16">
        <f ca="1">_xll.DBRW($D$4,$E$7,$E$8,$E$9,$E$10,$E$12,$D250,$E$6,AB$18,AB$17)</f>
        <v>-40.440159489999992</v>
      </c>
      <c r="AC250" s="16">
        <f ca="1">_xll.DBRW($D$4,$E$7,$E$8,$E$9,$E$10,$E$12,$D250,$E$6,AC$18,AC$17)</f>
        <v>0.17916543253670525</v>
      </c>
      <c r="AD250" s="16"/>
      <c r="AE250" s="16"/>
      <c r="AF250" s="16"/>
      <c r="AG250" s="16"/>
      <c r="AH250" s="16">
        <f ca="1">_xll.DBRW($D$4,$E$7,$E$8,$E$9,$E$10,$E$12,$D250,$E$6,AH$18,AH$17)</f>
        <v>-28.275389990000001</v>
      </c>
      <c r="AI250" s="16">
        <f ca="1">_xll.DBRW($D$4,$E$7,$E$8,$E$9,$E$10,$E$12,$D250,$E$6,AI$18,AI$17)</f>
        <v>0.12527083329023678</v>
      </c>
      <c r="AJ250" s="16"/>
      <c r="AK250" s="16"/>
      <c r="AL250" s="16"/>
      <c r="AM250" s="16"/>
      <c r="AN250" s="16">
        <f ca="1">_xll.DBRW($D$4,$E$7,$E$8,$E$9,$E$10,$E$12,$D250,$E$6,AN$18,AN$17)</f>
        <v>-29.578346</v>
      </c>
      <c r="AO250" s="16">
        <f ca="1">_xll.DBRW($D$4,$E$7,$E$8,$E$9,$E$10,$E$12,$D250,$E$6,AO$18,AO$17)</f>
        <v>0.13104342865217336</v>
      </c>
      <c r="AP250" s="16"/>
      <c r="AQ250" s="16"/>
      <c r="AR250" s="16"/>
      <c r="AS250" s="16"/>
      <c r="AT250" s="16">
        <f ca="1">_xll.DBRW($D$4,$E$7,$E$8,$E$9,$E$10,$E$12,$D250,$E$6,AT$18,AT$17)</f>
        <v>0.330878163</v>
      </c>
      <c r="AU250" s="16">
        <f ca="1">_xll.DBRW($D$4,$E$7,$E$8,$E$9,$E$10,$E$12,$D250,$E$6,AU$18,AU$17)</f>
        <v>5.9659875370003004</v>
      </c>
      <c r="AV250" s="16">
        <f ca="1">_xll.DBRW($D$4,$E$7,$E$8,$E$9,$E$10,$E$12,$D250,$E$6,AV$18,AV$17)</f>
        <v>6.1317748300000003</v>
      </c>
      <c r="AW250" s="16">
        <f ca="1">_xll.DBRW($D$4,$E$7,$E$8,$E$9,$E$10,$E$12,$D250,$E$6,AW$18,AW$17)</f>
        <v>5.9659875370003004</v>
      </c>
      <c r="AX250" s="16">
        <f ca="1">_xll.DBRW($D$4,$E$7,$E$8,$E$9,$E$10,$E$12,$D250,$E$6,AX$18,AX$17)</f>
        <v>3.7058680385999998</v>
      </c>
      <c r="AY250" s="16">
        <f ca="1">_xll.DBRW($D$4,$E$7,$E$8,$E$9,$E$10,$E$12,$D250,$E$6,AY$18,AY$17)</f>
        <v>5.9659875370003004</v>
      </c>
      <c r="AZ250" s="16">
        <f ca="1">_xll.DBRW($D$4,$E$7,$E$8,$E$9,$E$10,$E$12,$D250,$E$6,AZ$18,AZ$17)</f>
        <v>9.9000000000000008E-5</v>
      </c>
      <c r="BA250" s="16">
        <f ca="1">_xll.DBRW($D$4,$E$7,$E$8,$E$9,$E$10,$E$12,$D250,$E$6,BA$18,BA$17)</f>
        <v>5.9659875370003004</v>
      </c>
      <c r="BB250" s="16">
        <f ca="1">_xll.DBRW($D$4,$E$7,$E$8,$E$9,$E$10,$E$12,$D250,$E$6,BB$18,BB$17)</f>
        <v>5.9659875370003004</v>
      </c>
      <c r="BC250" s="16">
        <f ca="1">_xll.DBRW($D$4,$E$7,$E$8,$E$9,$E$10,$E$12,$D250,$E$6,BC$18,BC$17)</f>
        <v>5.9659875370003004</v>
      </c>
      <c r="BD250" s="16">
        <f ca="1">_xll.DBRW($D$4,$E$7,$E$8,$E$9,$E$10,$E$12,$D250,$E$6,BD$18,BD$17)</f>
        <v>14.88680139000002</v>
      </c>
      <c r="BE250" s="16">
        <f ca="1">_xll.DBRW($D$4,$E$7,$E$8,$E$9,$E$10,$E$12,$D250,$E$6,BE$18,BE$17)</f>
        <v>-3.6629999999999998</v>
      </c>
      <c r="BF250" s="16">
        <f ca="1">_xll.DBRW($D$4,$E$7,$E$8,$E$9,$E$10,$E$12,$D250,$E$6,BF$18,BF$17)</f>
        <v>0</v>
      </c>
      <c r="BG250" s="26">
        <f ca="1">_xll.DBRW($D$4,$E$7,$E$8,$E$9,$E$10,$E$12,$D250,$E$6,BG$18,BG$17)</f>
        <v>0</v>
      </c>
      <c r="BH250" s="26">
        <f ca="1">_xll.DBRW($D$4,$E$7,$E$8,$E$9,$E$10,$E$12,$D250,$E$6,BH$18,BH$17)</f>
        <v>0</v>
      </c>
      <c r="BI250" s="26">
        <f ca="1">_xll.DBRW($D$4,$E$7,$E$8,$E$9,$E$10,$E$12,$D250,$E$6,BI$18,BI$17)</f>
        <v>0</v>
      </c>
      <c r="BJ250" s="26">
        <f ca="1">_xll.DBRW($D$4,$E$7,$E$8,$E$9,$E$10,$E$12,$D250,$E$6,BJ$18,BJ$17)</f>
        <v>0</v>
      </c>
      <c r="BK250" s="16">
        <f ca="1">_xll.DBRW($D$4,$E$7,$E$8,$E$9,$E$10,$E$12,$D250,$E$6,BK$18,BK$17)</f>
        <v>18.549801390000017</v>
      </c>
      <c r="BL250" s="16">
        <f ca="1">_xll.DBRW($D$4,$E$7,$E$8,$E$9,$E$10,$E$12,$D250,$E$6,BL$18,BL$17)</f>
        <v>248.63972457</v>
      </c>
      <c r="BM250" s="16">
        <f ca="1">_xll.DBRW($D$4,$E$7,$E$8,$E$9,$E$10,$E$12,$D250,$E$6,BM$18,BM$17)</f>
        <v>-98.531362949999988</v>
      </c>
      <c r="BN250" s="16">
        <f ca="1">_xll.DBRW($D$4,$E$7,$E$8,$E$9,$E$10,$E$12,$D250,$E$6,BN$18,BN$17)</f>
        <v>0.39628166062523235</v>
      </c>
      <c r="BO250" s="16"/>
      <c r="BP250" s="16"/>
      <c r="BQ250" s="16"/>
      <c r="BR250" s="16"/>
      <c r="BS250" s="16">
        <f ca="1">_xll.DBRW($D$4,$E$7,$E$8,$E$9,$E$10,$E$12,$D250,$E$6,BS$18,BS$17)</f>
        <v>-23.945053359999999</v>
      </c>
      <c r="BT250" s="16">
        <f ca="1">_xll.DBRW($D$4,$E$7,$E$8,$E$9,$E$10,$E$12,$D250,$E$6,BT$18,BT$17)</f>
        <v>9.6304214466979524E-2</v>
      </c>
      <c r="BU250" s="16"/>
      <c r="BV250" s="16"/>
      <c r="BW250" s="16"/>
      <c r="BX250" s="16"/>
      <c r="BY250" s="16">
        <f ca="1">_xll.DBRW($D$4,$E$7,$E$8,$E$9,$E$10,$E$12,$D250,$E$6,BY$18,BY$17)</f>
        <v>-41.894641270000001</v>
      </c>
      <c r="BZ250" s="16">
        <f ca="1">_xll.DBRW($D$4,$E$7,$E$8,$E$9,$E$10,$E$12,$D250,$E$6,BZ$18,BZ$17)</f>
        <v>0.16849536550305069</v>
      </c>
      <c r="CA250" s="16"/>
      <c r="CB250" s="16"/>
      <c r="CC250" s="16"/>
      <c r="CD250" s="16"/>
      <c r="CE250" s="16">
        <f ca="1">_xll.DBRW($D$4,$E$7,$E$8,$E$9,$E$10,$E$12,$D250,$E$6,CE$18,CE$17)</f>
        <v>-31.151433479999994</v>
      </c>
      <c r="CF250" s="16">
        <f ca="1">_xll.DBRW($D$4,$E$7,$E$8,$E$9,$E$10,$E$12,$D250,$E$6,CF$18,CF$17)</f>
        <v>0.12528743560134484</v>
      </c>
      <c r="CG250" s="16"/>
      <c r="CH250" s="16"/>
      <c r="CI250" s="16"/>
      <c r="CJ250" s="16"/>
      <c r="CK250" s="16">
        <f ca="1">_xll.DBRW($D$4,$E$7,$E$8,$E$9,$E$10,$E$12,$D250,$E$6,CK$18,CK$17)</f>
        <v>-34.567432119999999</v>
      </c>
      <c r="CL250" s="16">
        <f ca="1">_xll.DBRW($D$4,$E$7,$E$8,$E$9,$E$10,$E$12,$D250,$E$6,CL$18,CL$17)</f>
        <v>0.13902618408937373</v>
      </c>
      <c r="CM250" s="16"/>
      <c r="CN250" s="16"/>
      <c r="CO250" s="16"/>
      <c r="CP250" s="16"/>
      <c r="CQ250" s="16">
        <f ca="1">_xll.DBRW($D$4,$E$7,$E$8,$E$9,$E$10,$E$12,$D250,$E$6,CQ$18,CQ$17)</f>
        <v>0.36359233332999996</v>
      </c>
      <c r="CR250" s="16">
        <f ca="1">_xll.DBRW($D$4,$E$7,$E$8,$E$9,$E$10,$E$12,$D250,$E$6,CR$18,CR$17)</f>
        <v>6.5587220119999996</v>
      </c>
      <c r="CS250" s="16">
        <f ca="1">_xll.DBRW($D$4,$E$7,$E$8,$E$9,$E$10,$E$12,$D250,$E$6,CS$18,CS$17)</f>
        <v>6.6383089999999996</v>
      </c>
      <c r="CT250" s="16">
        <f ca="1">_xll.DBRW($D$4,$E$7,$E$8,$E$9,$E$10,$E$12,$D250,$E$6,CT$18,CT$17)</f>
        <v>6.5587220119999996</v>
      </c>
      <c r="CU250" s="16">
        <f ca="1">_xll.DBRW($D$4,$E$7,$E$8,$E$9,$E$10,$E$12,$D250,$E$6,CU$18,CU$17)</f>
        <v>3.9315883739400004</v>
      </c>
      <c r="CV250" s="16">
        <f ca="1">_xll.DBRW($D$4,$E$7,$E$8,$E$9,$E$10,$E$12,$D250,$E$6,CV$18,CV$17)</f>
        <v>6.5587220119999996</v>
      </c>
      <c r="CW250" s="16">
        <f ca="1">_xll.DBRW($D$4,$E$7,$E$8,$E$9,$E$10,$E$12,$D250,$E$6,CW$18,CW$17)</f>
        <v>9.9000000000000008E-5</v>
      </c>
      <c r="CX250" s="16">
        <f ca="1">_xll.DBRW($D$4,$E$7,$E$8,$E$9,$E$10,$E$12,$D250,$E$6,CX$18,CX$17)</f>
        <v>6.5587220119999996</v>
      </c>
      <c r="CY250" s="16">
        <f ca="1">_xll.DBRW($D$4,$E$7,$E$8,$E$9,$E$10,$E$12,$D250,$E$6,CY$18,CY$17)</f>
        <v>6.5587220119999996</v>
      </c>
      <c r="CZ250" s="16">
        <f ca="1">_xll.DBRW($D$4,$E$7,$E$8,$E$9,$E$10,$E$12,$D250,$E$6,CZ$18,CZ$17)</f>
        <v>6.5587220119999996</v>
      </c>
      <c r="DA250" s="26">
        <f t="shared" ca="1" si="146"/>
        <v>-2.8122090600000025</v>
      </c>
      <c r="DB250" s="26">
        <f t="shared" ca="1" si="147"/>
        <v>0.32525333000000023</v>
      </c>
      <c r="DC250" s="26">
        <f t="shared" ca="1" si="148"/>
        <v>0</v>
      </c>
      <c r="DD250" s="26">
        <f t="shared" ca="1" si="149"/>
        <v>0</v>
      </c>
      <c r="DE250" s="26">
        <f t="shared" ca="1" si="150"/>
        <v>0</v>
      </c>
      <c r="DF250" s="26">
        <f t="shared" ca="1" si="151"/>
        <v>0</v>
      </c>
      <c r="DG250" s="26">
        <f t="shared" ca="1" si="152"/>
        <v>0</v>
      </c>
      <c r="DH250" s="26">
        <f t="shared" ca="1" si="153"/>
        <v>-3.1374623899999996</v>
      </c>
      <c r="DI250" s="26">
        <f t="shared" ca="1" si="154"/>
        <v>-22.925651729999998</v>
      </c>
      <c r="DJ250" s="26">
        <f t="shared" ca="1" si="155"/>
        <v>5.240534810000014</v>
      </c>
      <c r="DK250" s="26">
        <f t="shared" ca="1" si="156"/>
        <v>1.703252473409278E-2</v>
      </c>
      <c r="DL250" s="26"/>
      <c r="DM250" s="26"/>
      <c r="DN250" s="26"/>
      <c r="DO250" s="26"/>
      <c r="DP250" s="26">
        <f t="shared" ca="1" si="157"/>
        <v>5.2280431399999969</v>
      </c>
      <c r="DQ250" s="26">
        <f t="shared" ca="1" si="158"/>
        <v>-1.3380673260633164E-2</v>
      </c>
      <c r="DR250" s="26"/>
      <c r="DS250" s="26"/>
      <c r="DT250" s="26"/>
      <c r="DU250" s="26"/>
      <c r="DV250" s="26">
        <f t="shared" ca="1" si="159"/>
        <v>1.4544817800000089</v>
      </c>
      <c r="DW250" s="26">
        <f t="shared" ca="1" si="160"/>
        <v>1.0670067033654557E-2</v>
      </c>
      <c r="DX250" s="26"/>
      <c r="DY250" s="26"/>
      <c r="DZ250" s="26"/>
      <c r="EA250" s="26"/>
      <c r="EB250" s="26">
        <f t="shared" ca="1" si="161"/>
        <v>2.8760434899999936</v>
      </c>
      <c r="EC250" s="26">
        <f t="shared" ca="1" si="162"/>
        <v>-1.660231110806043E-5</v>
      </c>
      <c r="ED250" s="26"/>
      <c r="EE250" s="26"/>
      <c r="EF250" s="26"/>
      <c r="EG250" s="26"/>
      <c r="EH250" s="26">
        <f t="shared" ca="1" si="163"/>
        <v>4.9890861199999996</v>
      </c>
      <c r="EI250" s="29">
        <f t="shared" ca="1" si="164"/>
        <v>-7.9827554372003673E-3</v>
      </c>
      <c r="EJ250" s="29"/>
      <c r="EK250" s="29"/>
      <c r="EL250" s="29"/>
      <c r="EM250" s="29"/>
      <c r="EN250" s="93"/>
      <c r="EO250" s="29"/>
      <c r="EP250" s="29"/>
      <c r="EQ250" s="29"/>
      <c r="ER250" s="29"/>
      <c r="ES250" s="29"/>
      <c r="ET250" s="29"/>
      <c r="EU250" s="93"/>
      <c r="EV250" s="29"/>
      <c r="EW250" s="29"/>
      <c r="EX250" s="29"/>
      <c r="EY250" s="29"/>
      <c r="EZ250" s="29"/>
      <c r="FA250" s="29"/>
      <c r="FB250" s="93"/>
      <c r="FC250" s="29"/>
      <c r="FD250" s="29"/>
      <c r="FE250" s="29"/>
      <c r="FF250" s="29"/>
      <c r="FG250" s="29"/>
      <c r="FH250" s="29"/>
      <c r="FI250" s="93"/>
      <c r="FJ250" s="29"/>
      <c r="FK250" s="29"/>
      <c r="FL250" s="29"/>
      <c r="FM250" s="29"/>
      <c r="FN250" s="29"/>
      <c r="FO250" s="29"/>
      <c r="FP250" s="93"/>
      <c r="FQ250" s="29"/>
      <c r="FR250" s="29"/>
      <c r="FS250" s="29"/>
      <c r="FT250" s="29"/>
      <c r="FU250" s="29"/>
      <c r="FV250" s="29"/>
    </row>
    <row r="251" spans="1:178" x14ac:dyDescent="0.25">
      <c r="A251" t="str">
        <f ca="1">IF(_xll.TM1RPTELISCONSOLIDATED($D$28,$D251),IF(_xll.TM1RPTELLEV($D$28,$D251)&lt;=3,_xll.TM1RPTELLEV($D$28,$D251),"D"),"N")</f>
        <v>N</v>
      </c>
      <c r="B251" t="str">
        <f ca="1">_xll.DBRA(Server&amp;"Management_organization",$D251,$B$27)</f>
        <v>L</v>
      </c>
      <c r="C251">
        <v>1</v>
      </c>
      <c r="D251" s="2" t="s">
        <v>320</v>
      </c>
      <c r="E251" s="26"/>
      <c r="F251" s="26"/>
      <c r="G251" s="16">
        <f ca="1">_xll.DBRW($D$4,$E$7,$E$8,$E$9,$E$10,$E$12,$D251,$E$6,G$18,G$17)</f>
        <v>1.8269361400000015</v>
      </c>
      <c r="H251" s="16">
        <f ca="1">_xll.DBRW($D$4,$E$7,$E$8,$E$9,$E$10,$E$12,$D251,$E$6,H$18,H$17)</f>
        <v>-1.7254233799999998</v>
      </c>
      <c r="I251" s="16">
        <f ca="1">_xll.DBRW($D$4,$E$7,$E$8,$E$9,$E$10,$E$12,$D251,$E$6,I$18,I$17)</f>
        <v>0</v>
      </c>
      <c r="J251" s="26">
        <f ca="1">_xll.DBRW($D$4,$E$7,$E$8,$E$9,$E$10,$E$12,$D251,$E$6,J$18,J$17)</f>
        <v>0</v>
      </c>
      <c r="K251" s="26">
        <f ca="1">_xll.DBRW($D$4,$E$7,$E$8,$E$9,$E$10,$E$12,$D251,$E$6,K$18,K$17)</f>
        <v>0</v>
      </c>
      <c r="L251" s="26">
        <f ca="1">_xll.DBRW($D$4,$E$7,$E$8,$E$9,$E$10,$E$12,$D251,$E$6,L$18,L$17)</f>
        <v>0</v>
      </c>
      <c r="M251" s="26">
        <f ca="1">_xll.DBRW($D$4,$E$7,$E$8,$E$9,$E$10,$E$12,$D251,$E$6,M$18,M$17)</f>
        <v>0</v>
      </c>
      <c r="N251" s="16">
        <f ca="1">_xll.DBRW($D$4,$E$7,$E$8,$E$9,$E$10,$E$12,$D251,$E$6,N$18,N$17)</f>
        <v>3.5523595200000018</v>
      </c>
      <c r="O251" s="16">
        <f ca="1">_xll.DBRW($D$4,$E$7,$E$8,$E$9,$E$10,$E$12,$D251,$E$6,O$18,O$17)</f>
        <v>102.50451385</v>
      </c>
      <c r="P251" s="74">
        <f ca="1">_xll.DBRW($D$4,$E$7,$E$8,$E$9,$E$10,$E$12,$D251,$E$6,P$18,P$17)</f>
        <v>-48.71098911</v>
      </c>
      <c r="Q251" s="16">
        <f ca="1">_xll.DBRW($D$4,$E$7,$E$8,$E$9,$E$10,$E$12,$D251,$E$6,Q$18,Q$17)</f>
        <v>0.47520823503715393</v>
      </c>
      <c r="R251" s="16"/>
      <c r="S251" s="16"/>
      <c r="T251" s="16"/>
      <c r="U251" s="16"/>
      <c r="V251" s="16">
        <f ca="1">_xll.DBRW($D$4,$E$7,$E$8,$E$9,$E$10,$E$12,$D251,$E$6,V$18,V$17)</f>
        <v>-11.314616870000002</v>
      </c>
      <c r="W251" s="16">
        <f ca="1">_xll.DBRW($D$4,$E$7,$E$8,$E$9,$E$10,$E$12,$D251,$E$6,W$18,W$17)</f>
        <v>0.11038164511035338</v>
      </c>
      <c r="X251" s="16"/>
      <c r="Y251" s="16"/>
      <c r="Z251" s="16"/>
      <c r="AA251" s="16"/>
      <c r="AB251" s="16">
        <f ca="1">_xll.DBRW($D$4,$E$7,$E$8,$E$9,$E$10,$E$12,$D251,$E$6,AB$18,AB$17)</f>
        <v>-11.696653489999997</v>
      </c>
      <c r="AC251" s="16">
        <f ca="1">_xll.DBRW($D$4,$E$7,$E$8,$E$9,$E$10,$E$12,$D251,$E$6,AC$18,AC$17)</f>
        <v>0.11410866751796217</v>
      </c>
      <c r="AD251" s="16"/>
      <c r="AE251" s="16"/>
      <c r="AF251" s="16"/>
      <c r="AG251" s="16"/>
      <c r="AH251" s="16">
        <f ca="1">_xll.DBRW($D$4,$E$7,$E$8,$E$9,$E$10,$E$12,$D251,$E$6,AH$18,AH$17)</f>
        <v>-5.8281404500000002</v>
      </c>
      <c r="AI251" s="16">
        <f ca="1">_xll.DBRW($D$4,$E$7,$E$8,$E$9,$E$10,$E$12,$D251,$E$6,AI$18,AI$17)</f>
        <v>5.6857402967918184E-2</v>
      </c>
      <c r="AJ251" s="16"/>
      <c r="AK251" s="16"/>
      <c r="AL251" s="16"/>
      <c r="AM251" s="16"/>
      <c r="AN251" s="16">
        <f ca="1">_xll.DBRW($D$4,$E$7,$E$8,$E$9,$E$10,$E$12,$D251,$E$6,AN$18,AN$17)</f>
        <v>-21.406342910000003</v>
      </c>
      <c r="AO251" s="16">
        <f ca="1">_xll.DBRW($D$4,$E$7,$E$8,$E$9,$E$10,$E$12,$D251,$E$6,AO$18,AO$17)</f>
        <v>0.20883317335005344</v>
      </c>
      <c r="AP251" s="16"/>
      <c r="AQ251" s="16"/>
      <c r="AR251" s="16"/>
      <c r="AS251" s="16"/>
      <c r="AT251" s="16">
        <f ca="1">_xll.DBRW($D$4,$E$7,$E$8,$E$9,$E$10,$E$12,$D251,$E$6,AT$18,AT$17)</f>
        <v>0.17127246699999998</v>
      </c>
      <c r="AU251" s="16">
        <f ca="1">_xll.DBRW($D$4,$E$7,$E$8,$E$9,$E$10,$E$12,$D251,$E$6,AU$18,AU$17)</f>
        <v>1.4212363149999998</v>
      </c>
      <c r="AV251" s="16">
        <f ca="1">_xll.DBRW($D$4,$E$7,$E$8,$E$9,$E$10,$E$12,$D251,$E$6,AV$18,AV$17)</f>
        <v>1.462329</v>
      </c>
      <c r="AW251" s="16">
        <f ca="1">_xll.DBRW($D$4,$E$7,$E$8,$E$9,$E$10,$E$12,$D251,$E$6,AW$18,AW$17)</f>
        <v>1.4212363149999998</v>
      </c>
      <c r="AX251" s="16">
        <f ca="1">_xll.DBRW($D$4,$E$7,$E$8,$E$9,$E$10,$E$12,$D251,$E$6,AX$18,AX$17)</f>
        <v>0.94603268520000006</v>
      </c>
      <c r="AY251" s="16">
        <f ca="1">_xll.DBRW($D$4,$E$7,$E$8,$E$9,$E$10,$E$12,$D251,$E$6,AY$18,AY$17)</f>
        <v>1.4212363149999998</v>
      </c>
      <c r="AZ251" s="16">
        <f ca="1">_xll.DBRW($D$4,$E$7,$E$8,$E$9,$E$10,$E$12,$D251,$E$6,AZ$18,AZ$17)</f>
        <v>2.8E-5</v>
      </c>
      <c r="BA251" s="16">
        <f ca="1">_xll.DBRW($D$4,$E$7,$E$8,$E$9,$E$10,$E$12,$D251,$E$6,BA$18,BA$17)</f>
        <v>1.4212363149999998</v>
      </c>
      <c r="BB251" s="16">
        <f ca="1">_xll.DBRW($D$4,$E$7,$E$8,$E$9,$E$10,$E$12,$D251,$E$6,BB$18,BB$17)</f>
        <v>1.4212363149999998</v>
      </c>
      <c r="BC251" s="16">
        <f ca="1">_xll.DBRW($D$4,$E$7,$E$8,$E$9,$E$10,$E$12,$D251,$E$6,BC$18,BC$17)</f>
        <v>1.4212363149999998</v>
      </c>
      <c r="BD251" s="16">
        <f ca="1">_xll.DBRW($D$4,$E$7,$E$8,$E$9,$E$10,$E$12,$D251,$E$6,BD$18,BD$17)</f>
        <v>1.8721777200000107</v>
      </c>
      <c r="BE251" s="16">
        <f ca="1">_xll.DBRW($D$4,$E$7,$E$8,$E$9,$E$10,$E$12,$D251,$E$6,BE$18,BE$17)</f>
        <v>-1.8529999999999998</v>
      </c>
      <c r="BF251" s="16">
        <f ca="1">_xll.DBRW($D$4,$E$7,$E$8,$E$9,$E$10,$E$12,$D251,$E$6,BF$18,BF$17)</f>
        <v>0</v>
      </c>
      <c r="BG251" s="26">
        <f ca="1">_xll.DBRW($D$4,$E$7,$E$8,$E$9,$E$10,$E$12,$D251,$E$6,BG$18,BG$17)</f>
        <v>0</v>
      </c>
      <c r="BH251" s="26">
        <f ca="1">_xll.DBRW($D$4,$E$7,$E$8,$E$9,$E$10,$E$12,$D251,$E$6,BH$18,BH$17)</f>
        <v>0</v>
      </c>
      <c r="BI251" s="26">
        <f ca="1">_xll.DBRW($D$4,$E$7,$E$8,$E$9,$E$10,$E$12,$D251,$E$6,BI$18,BI$17)</f>
        <v>0</v>
      </c>
      <c r="BJ251" s="26">
        <f ca="1">_xll.DBRW($D$4,$E$7,$E$8,$E$9,$E$10,$E$12,$D251,$E$6,BJ$18,BJ$17)</f>
        <v>0</v>
      </c>
      <c r="BK251" s="16">
        <f ca="1">_xll.DBRW($D$4,$E$7,$E$8,$E$9,$E$10,$E$12,$D251,$E$6,BK$18,BK$17)</f>
        <v>3.7251777200000102</v>
      </c>
      <c r="BL251" s="16">
        <f ca="1">_xll.DBRW($D$4,$E$7,$E$8,$E$9,$E$10,$E$12,$D251,$E$6,BL$18,BL$17)</f>
        <v>107.803</v>
      </c>
      <c r="BM251" s="16">
        <f ca="1">_xll.DBRW($D$4,$E$7,$E$8,$E$9,$E$10,$E$12,$D251,$E$6,BM$18,BM$17)</f>
        <v>-51.497945299999991</v>
      </c>
      <c r="BN251" s="16">
        <f ca="1">_xll.DBRW($D$4,$E$7,$E$8,$E$9,$E$10,$E$12,$D251,$E$6,BN$18,BN$17)</f>
        <v>0.47770419468845943</v>
      </c>
      <c r="BO251" s="16"/>
      <c r="BP251" s="16"/>
      <c r="BQ251" s="16"/>
      <c r="BR251" s="16"/>
      <c r="BS251" s="16">
        <f ca="1">_xll.DBRW($D$4,$E$7,$E$8,$E$9,$E$10,$E$12,$D251,$E$6,BS$18,BS$17)</f>
        <v>-12.608814729999999</v>
      </c>
      <c r="BT251" s="16">
        <f ca="1">_xll.DBRW($D$4,$E$7,$E$8,$E$9,$E$10,$E$12,$D251,$E$6,BT$18,BT$17)</f>
        <v>0.11696163121619992</v>
      </c>
      <c r="BU251" s="16"/>
      <c r="BV251" s="16"/>
      <c r="BW251" s="16"/>
      <c r="BX251" s="16"/>
      <c r="BY251" s="16">
        <f ca="1">_xll.DBRW($D$4,$E$7,$E$8,$E$9,$E$10,$E$12,$D251,$E$6,BY$18,BY$17)</f>
        <v>-9.5862927799999991</v>
      </c>
      <c r="BZ251" s="16">
        <f ca="1">_xll.DBRW($D$4,$E$7,$E$8,$E$9,$E$10,$E$12,$D251,$E$6,BZ$18,BZ$17)</f>
        <v>8.8924174466387756E-2</v>
      </c>
      <c r="CA251" s="16"/>
      <c r="CB251" s="16"/>
      <c r="CC251" s="16"/>
      <c r="CD251" s="16"/>
      <c r="CE251" s="16">
        <f ca="1">_xll.DBRW($D$4,$E$7,$E$8,$E$9,$E$10,$E$12,$D251,$E$6,CE$18,CE$17)</f>
        <v>-6.321217429999999</v>
      </c>
      <c r="CF251" s="16">
        <f ca="1">_xll.DBRW($D$4,$E$7,$E$8,$E$9,$E$10,$E$12,$D251,$E$6,CF$18,CF$17)</f>
        <v>5.8636748791777583E-2</v>
      </c>
      <c r="CG251" s="16"/>
      <c r="CH251" s="16"/>
      <c r="CI251" s="16"/>
      <c r="CJ251" s="16"/>
      <c r="CK251" s="16">
        <f ca="1">_xll.DBRW($D$4,$E$7,$E$8,$E$9,$E$10,$E$12,$D251,$E$6,CK$18,CK$17)</f>
        <v>-24.063552039999998</v>
      </c>
      <c r="CL251" s="16">
        <f ca="1">_xll.DBRW($D$4,$E$7,$E$8,$E$9,$E$10,$E$12,$D251,$E$6,CL$18,CL$17)</f>
        <v>0.2232178328988989</v>
      </c>
      <c r="CM251" s="16"/>
      <c r="CN251" s="16"/>
      <c r="CO251" s="16"/>
      <c r="CP251" s="16"/>
      <c r="CQ251" s="16">
        <f ca="1">_xll.DBRW($D$4,$E$7,$E$8,$E$9,$E$10,$E$12,$D251,$E$6,CQ$18,CQ$17)</f>
        <v>0.18253334995999995</v>
      </c>
      <c r="CR251" s="16">
        <f ca="1">_xll.DBRW($D$4,$E$7,$E$8,$E$9,$E$10,$E$12,$D251,$E$6,CR$18,CR$17)</f>
        <v>1.3293052399999998</v>
      </c>
      <c r="CS251" s="16">
        <f ca="1">_xll.DBRW($D$4,$E$7,$E$8,$E$9,$E$10,$E$12,$D251,$E$6,CS$18,CS$17)</f>
        <v>1.345364</v>
      </c>
      <c r="CT251" s="16">
        <f ca="1">_xll.DBRW($D$4,$E$7,$E$8,$E$9,$E$10,$E$12,$D251,$E$6,CT$18,CT$17)</f>
        <v>1.3293052399999998</v>
      </c>
      <c r="CU251" s="16">
        <f ca="1">_xll.DBRW($D$4,$E$7,$E$8,$E$9,$E$10,$E$12,$D251,$E$6,CU$18,CU$17)</f>
        <v>0.86125976767799983</v>
      </c>
      <c r="CV251" s="16">
        <f ca="1">_xll.DBRW($D$4,$E$7,$E$8,$E$9,$E$10,$E$12,$D251,$E$6,CV$18,CV$17)</f>
        <v>1.3293052399999998</v>
      </c>
      <c r="CW251" s="16">
        <f ca="1">_xll.DBRW($D$4,$E$7,$E$8,$E$9,$E$10,$E$12,$D251,$E$6,CW$18,CW$17)</f>
        <v>2.8E-5</v>
      </c>
      <c r="CX251" s="16">
        <f ca="1">_xll.DBRW($D$4,$E$7,$E$8,$E$9,$E$10,$E$12,$D251,$E$6,CX$18,CX$17)</f>
        <v>1.3293052399999998</v>
      </c>
      <c r="CY251" s="16">
        <f ca="1">_xll.DBRW($D$4,$E$7,$E$8,$E$9,$E$10,$E$12,$D251,$E$6,CY$18,CY$17)</f>
        <v>1.3293052399999998</v>
      </c>
      <c r="CZ251" s="16">
        <f ca="1">_xll.DBRW($D$4,$E$7,$E$8,$E$9,$E$10,$E$12,$D251,$E$6,CZ$18,CZ$17)</f>
        <v>1.3293052399999998</v>
      </c>
      <c r="DA251" s="26">
        <f t="shared" ca="1" si="146"/>
        <v>-4.5241580000009218E-2</v>
      </c>
      <c r="DB251" s="26">
        <f t="shared" ca="1" si="147"/>
        <v>0.12757661999999992</v>
      </c>
      <c r="DC251" s="26">
        <f t="shared" ca="1" si="148"/>
        <v>0</v>
      </c>
      <c r="DD251" s="26">
        <f t="shared" ca="1" si="149"/>
        <v>0</v>
      </c>
      <c r="DE251" s="26">
        <f t="shared" ca="1" si="150"/>
        <v>0</v>
      </c>
      <c r="DF251" s="26">
        <f t="shared" ca="1" si="151"/>
        <v>0</v>
      </c>
      <c r="DG251" s="26">
        <f t="shared" ca="1" si="152"/>
        <v>0</v>
      </c>
      <c r="DH251" s="26">
        <f t="shared" ca="1" si="153"/>
        <v>-0.17281820000000847</v>
      </c>
      <c r="DI251" s="26">
        <f t="shared" ca="1" si="154"/>
        <v>-5.2984861500000022</v>
      </c>
      <c r="DJ251" s="26">
        <f t="shared" ca="1" si="155"/>
        <v>2.7869561899999908</v>
      </c>
      <c r="DK251" s="26">
        <f t="shared" ca="1" si="156"/>
        <v>-2.4959596513055016E-3</v>
      </c>
      <c r="DL251" s="26"/>
      <c r="DM251" s="26"/>
      <c r="DN251" s="26"/>
      <c r="DO251" s="26"/>
      <c r="DP251" s="26">
        <f t="shared" ca="1" si="157"/>
        <v>1.294197859999997</v>
      </c>
      <c r="DQ251" s="26">
        <f t="shared" ca="1" si="158"/>
        <v>-6.5799861058465359E-3</v>
      </c>
      <c r="DR251" s="26"/>
      <c r="DS251" s="26"/>
      <c r="DT251" s="26"/>
      <c r="DU251" s="26"/>
      <c r="DV251" s="26">
        <f t="shared" ca="1" si="159"/>
        <v>-2.1103607099999984</v>
      </c>
      <c r="DW251" s="26">
        <f t="shared" ca="1" si="160"/>
        <v>2.5184493051574414E-2</v>
      </c>
      <c r="DX251" s="26"/>
      <c r="DY251" s="26"/>
      <c r="DZ251" s="26"/>
      <c r="EA251" s="26"/>
      <c r="EB251" s="26">
        <f t="shared" ca="1" si="161"/>
        <v>0.49307697999999878</v>
      </c>
      <c r="EC251" s="26">
        <f t="shared" ca="1" si="162"/>
        <v>-1.779345823859399E-3</v>
      </c>
      <c r="ED251" s="26"/>
      <c r="EE251" s="26"/>
      <c r="EF251" s="26"/>
      <c r="EG251" s="26"/>
      <c r="EH251" s="26">
        <f t="shared" ca="1" si="163"/>
        <v>2.6572091299999947</v>
      </c>
      <c r="EI251" s="29">
        <f t="shared" ca="1" si="164"/>
        <v>-1.4384659548845463E-2</v>
      </c>
      <c r="EJ251" s="29"/>
      <c r="EK251" s="29"/>
      <c r="EL251" s="29"/>
      <c r="EM251" s="29"/>
      <c r="EN251" s="93"/>
      <c r="EO251" s="29"/>
      <c r="EP251" s="29"/>
      <c r="EQ251" s="29"/>
      <c r="ER251" s="29"/>
      <c r="ES251" s="29"/>
      <c r="ET251" s="29"/>
      <c r="EU251" s="93"/>
      <c r="EV251" s="29"/>
      <c r="EW251" s="29"/>
      <c r="EX251" s="29"/>
      <c r="EY251" s="29"/>
      <c r="EZ251" s="29"/>
      <c r="FA251" s="29"/>
      <c r="FB251" s="93"/>
      <c r="FC251" s="29"/>
      <c r="FD251" s="29"/>
      <c r="FE251" s="29"/>
      <c r="FF251" s="29"/>
      <c r="FG251" s="29"/>
      <c r="FH251" s="29"/>
      <c r="FI251" s="93"/>
      <c r="FJ251" s="29"/>
      <c r="FK251" s="29"/>
      <c r="FL251" s="29"/>
      <c r="FM251" s="29"/>
      <c r="FN251" s="29"/>
      <c r="FO251" s="29"/>
      <c r="FP251" s="93"/>
      <c r="FQ251" s="29"/>
      <c r="FR251" s="29"/>
      <c r="FS251" s="29"/>
      <c r="FT251" s="29"/>
      <c r="FU251" s="29"/>
      <c r="FV251" s="29"/>
    </row>
    <row r="252" spans="1:178" x14ac:dyDescent="0.25">
      <c r="A252" t="str">
        <f ca="1">IF(_xll.TM1RPTELISCONSOLIDATED($D$28,$D252),IF(_xll.TM1RPTELLEV($D$28,$D252)&lt;=3,_xll.TM1RPTELLEV($D$28,$D252),"D"),"N")</f>
        <v>N</v>
      </c>
      <c r="B252" t="str">
        <f ca="1">_xll.DBRA(Server&amp;"Management_organization",$D252,$B$27)</f>
        <v>L</v>
      </c>
      <c r="C252">
        <v>1</v>
      </c>
      <c r="D252" s="2" t="s">
        <v>321</v>
      </c>
      <c r="E252" s="26"/>
      <c r="F252" s="26"/>
      <c r="G252" s="16">
        <f ca="1">_xll.DBRW($D$4,$E$7,$E$8,$E$9,$E$10,$E$12,$D252,$E$6,G$18,G$17)</f>
        <v>6.5473589300000636</v>
      </c>
      <c r="H252" s="16">
        <f ca="1">_xll.DBRW($D$4,$E$7,$E$8,$E$9,$E$10,$E$12,$D252,$E$6,H$18,H$17)</f>
        <v>-2.4650799299999999</v>
      </c>
      <c r="I252" s="16">
        <f ca="1">_xll.DBRW($D$4,$E$7,$E$8,$E$9,$E$10,$E$12,$D252,$E$6,I$18,I$17)</f>
        <v>0</v>
      </c>
      <c r="J252" s="26">
        <f ca="1">_xll.DBRW($D$4,$E$7,$E$8,$E$9,$E$10,$E$12,$D252,$E$6,J$18,J$17)</f>
        <v>0</v>
      </c>
      <c r="K252" s="26">
        <f ca="1">_xll.DBRW($D$4,$E$7,$E$8,$E$9,$E$10,$E$12,$D252,$E$6,K$18,K$17)</f>
        <v>0</v>
      </c>
      <c r="L252" s="26">
        <f ca="1">_xll.DBRW($D$4,$E$7,$E$8,$E$9,$E$10,$E$12,$D252,$E$6,L$18,L$17)</f>
        <v>0</v>
      </c>
      <c r="M252" s="26">
        <f ca="1">_xll.DBRW($D$4,$E$7,$E$8,$E$9,$E$10,$E$12,$D252,$E$6,M$18,M$17)</f>
        <v>0</v>
      </c>
      <c r="N252" s="16">
        <f ca="1">_xll.DBRW($D$4,$E$7,$E$8,$E$9,$E$10,$E$12,$D252,$E$6,N$18,N$17)</f>
        <v>9.0124388600000636</v>
      </c>
      <c r="O252" s="16">
        <f ca="1">_xll.DBRW($D$4,$E$7,$E$8,$E$9,$E$10,$E$12,$D252,$E$6,O$18,O$17)</f>
        <v>143.37265296000004</v>
      </c>
      <c r="P252" s="74">
        <f ca="1">_xll.DBRW($D$4,$E$7,$E$8,$E$9,$E$10,$E$12,$D252,$E$6,P$18,P$17)</f>
        <v>-61.099364289999997</v>
      </c>
      <c r="Q252" s="16">
        <f ca="1">_xll.DBRW($D$4,$E$7,$E$8,$E$9,$E$10,$E$12,$D252,$E$6,Q$18,Q$17)</f>
        <v>0.42615772972441468</v>
      </c>
      <c r="R252" s="16"/>
      <c r="S252" s="16"/>
      <c r="T252" s="16"/>
      <c r="U252" s="16"/>
      <c r="V252" s="16">
        <f ca="1">_xll.DBRW($D$4,$E$7,$E$8,$E$9,$E$10,$E$12,$D252,$E$6,V$18,V$17)</f>
        <v>-17.924895259999996</v>
      </c>
      <c r="W252" s="16">
        <f ca="1">_xll.DBRW($D$4,$E$7,$E$8,$E$9,$E$10,$E$12,$D252,$E$6,W$18,W$17)</f>
        <v>0.12502311207843045</v>
      </c>
      <c r="X252" s="16"/>
      <c r="Y252" s="16"/>
      <c r="Z252" s="16"/>
      <c r="AA252" s="16"/>
      <c r="AB252" s="16">
        <f ca="1">_xll.DBRW($D$4,$E$7,$E$8,$E$9,$E$10,$E$12,$D252,$E$6,AB$18,AB$17)</f>
        <v>-18.188091699999998</v>
      </c>
      <c r="AC252" s="16">
        <f ca="1">_xll.DBRW($D$4,$E$7,$E$8,$E$9,$E$10,$E$12,$D252,$E$6,AC$18,AC$17)</f>
        <v>0.12685886272240737</v>
      </c>
      <c r="AD252" s="16"/>
      <c r="AE252" s="16"/>
      <c r="AF252" s="16"/>
      <c r="AG252" s="16"/>
      <c r="AH252" s="16">
        <f ca="1">_xll.DBRW($D$4,$E$7,$E$8,$E$9,$E$10,$E$12,$D252,$E$6,AH$18,AH$17)</f>
        <v>-19.089901809999997</v>
      </c>
      <c r="AI252" s="16">
        <f ca="1">_xll.DBRW($D$4,$E$7,$E$8,$E$9,$E$10,$E$12,$D252,$E$6,AI$18,AI$17)</f>
        <v>0.13314883568016242</v>
      </c>
      <c r="AJ252" s="16"/>
      <c r="AK252" s="16"/>
      <c r="AL252" s="16"/>
      <c r="AM252" s="16"/>
      <c r="AN252" s="16">
        <f ca="1">_xll.DBRW($D$4,$E$7,$E$8,$E$9,$E$10,$E$12,$D252,$E$6,AN$18,AN$17)</f>
        <v>-18.057961039999999</v>
      </c>
      <c r="AO252" s="16">
        <f ca="1">_xll.DBRW($D$4,$E$7,$E$8,$E$9,$E$10,$E$12,$D252,$E$6,AO$18,AO$17)</f>
        <v>0.12595122338315135</v>
      </c>
      <c r="AP252" s="16"/>
      <c r="AQ252" s="16"/>
      <c r="AR252" s="16"/>
      <c r="AS252" s="16"/>
      <c r="AT252" s="16">
        <f ca="1">_xll.DBRW($D$4,$E$7,$E$8,$E$9,$E$10,$E$12,$D252,$E$6,AT$18,AT$17)</f>
        <v>0.22157650600000003</v>
      </c>
      <c r="AU252" s="16">
        <f ca="1">_xll.DBRW($D$4,$E$7,$E$8,$E$9,$E$10,$E$12,$D252,$E$6,AU$18,AU$17)</f>
        <v>4.3702886489999999</v>
      </c>
      <c r="AV252" s="16">
        <f ca="1">_xll.DBRW($D$4,$E$7,$E$8,$E$9,$E$10,$E$12,$D252,$E$6,AV$18,AV$17)</f>
        <v>4.5293139999999994</v>
      </c>
      <c r="AW252" s="16">
        <f ca="1">_xll.DBRW($D$4,$E$7,$E$8,$E$9,$E$10,$E$12,$D252,$E$6,AW$18,AW$17)</f>
        <v>4.3702886489999999</v>
      </c>
      <c r="AX252" s="16">
        <f ca="1">_xll.DBRW($D$4,$E$7,$E$8,$E$9,$E$10,$E$12,$D252,$E$6,AX$18,AX$17)</f>
        <v>1.8287071842</v>
      </c>
      <c r="AY252" s="16">
        <f ca="1">_xll.DBRW($D$4,$E$7,$E$8,$E$9,$E$10,$E$12,$D252,$E$6,AY$18,AY$17)</f>
        <v>4.3702886489999999</v>
      </c>
      <c r="AZ252" s="16">
        <f ca="1">_xll.DBRW($D$4,$E$7,$E$8,$E$9,$E$10,$E$12,$D252,$E$6,AZ$18,AZ$17)</f>
        <v>8.25E-5</v>
      </c>
      <c r="BA252" s="16">
        <f ca="1">_xll.DBRW($D$4,$E$7,$E$8,$E$9,$E$10,$E$12,$D252,$E$6,BA$18,BA$17)</f>
        <v>4.3702886489999999</v>
      </c>
      <c r="BB252" s="16">
        <f ca="1">_xll.DBRW($D$4,$E$7,$E$8,$E$9,$E$10,$E$12,$D252,$E$6,BB$18,BB$17)</f>
        <v>4.3702886489999999</v>
      </c>
      <c r="BC252" s="16">
        <f ca="1">_xll.DBRW($D$4,$E$7,$E$8,$E$9,$E$10,$E$12,$D252,$E$6,BC$18,BC$17)</f>
        <v>4.3702886489999999</v>
      </c>
      <c r="BD252" s="16">
        <f ca="1">_xll.DBRW($D$4,$E$7,$E$8,$E$9,$E$10,$E$12,$D252,$E$6,BD$18,BD$17)</f>
        <v>2.7681818299999965</v>
      </c>
      <c r="BE252" s="16">
        <f ca="1">_xll.DBRW($D$4,$E$7,$E$8,$E$9,$E$10,$E$12,$D252,$E$6,BE$18,BE$17)</f>
        <v>-2.6259999999999999</v>
      </c>
      <c r="BF252" s="16">
        <f ca="1">_xll.DBRW($D$4,$E$7,$E$8,$E$9,$E$10,$E$12,$D252,$E$6,BF$18,BF$17)</f>
        <v>0</v>
      </c>
      <c r="BG252" s="26">
        <f ca="1">_xll.DBRW($D$4,$E$7,$E$8,$E$9,$E$10,$E$12,$D252,$E$6,BG$18,BG$17)</f>
        <v>0</v>
      </c>
      <c r="BH252" s="26">
        <f ca="1">_xll.DBRW($D$4,$E$7,$E$8,$E$9,$E$10,$E$12,$D252,$E$6,BH$18,BH$17)</f>
        <v>0</v>
      </c>
      <c r="BI252" s="26">
        <f ca="1">_xll.DBRW($D$4,$E$7,$E$8,$E$9,$E$10,$E$12,$D252,$E$6,BI$18,BI$17)</f>
        <v>0</v>
      </c>
      <c r="BJ252" s="26">
        <f ca="1">_xll.DBRW($D$4,$E$7,$E$8,$E$9,$E$10,$E$12,$D252,$E$6,BJ$18,BJ$17)</f>
        <v>0</v>
      </c>
      <c r="BK252" s="16">
        <f ca="1">_xll.DBRW($D$4,$E$7,$E$8,$E$9,$E$10,$E$12,$D252,$E$6,BK$18,BK$17)</f>
        <v>5.3941818299999964</v>
      </c>
      <c r="BL252" s="16">
        <f ca="1">_xll.DBRW($D$4,$E$7,$E$8,$E$9,$E$10,$E$12,$D252,$E$6,BL$18,BL$17)</f>
        <v>153.37800743999998</v>
      </c>
      <c r="BM252" s="16">
        <f ca="1">_xll.DBRW($D$4,$E$7,$E$8,$E$9,$E$10,$E$12,$D252,$E$6,BM$18,BM$17)</f>
        <v>-67.390003620000002</v>
      </c>
      <c r="BN252" s="16">
        <f ca="1">_xll.DBRW($D$4,$E$7,$E$8,$E$9,$E$10,$E$12,$D252,$E$6,BN$18,BN$17)</f>
        <v>0.43937201131239323</v>
      </c>
      <c r="BO252" s="16"/>
      <c r="BP252" s="16"/>
      <c r="BQ252" s="16"/>
      <c r="BR252" s="16"/>
      <c r="BS252" s="16">
        <f ca="1">_xll.DBRW($D$4,$E$7,$E$8,$E$9,$E$10,$E$12,$D252,$E$6,BS$18,BS$17)</f>
        <v>-17.790785869999997</v>
      </c>
      <c r="BT252" s="16">
        <f ca="1">_xll.DBRW($D$4,$E$7,$E$8,$E$9,$E$10,$E$12,$D252,$E$6,BT$18,BT$17)</f>
        <v>0.11599306945592955</v>
      </c>
      <c r="BU252" s="16"/>
      <c r="BV252" s="16"/>
      <c r="BW252" s="16"/>
      <c r="BX252" s="16"/>
      <c r="BY252" s="16">
        <f ca="1">_xll.DBRW($D$4,$E$7,$E$8,$E$9,$E$10,$E$12,$D252,$E$6,BY$18,BY$17)</f>
        <v>-21.372213380000002</v>
      </c>
      <c r="BZ252" s="16">
        <f ca="1">_xll.DBRW($D$4,$E$7,$E$8,$E$9,$E$10,$E$12,$D252,$E$6,BZ$18,BZ$17)</f>
        <v>0.13934340220426067</v>
      </c>
      <c r="CA252" s="16"/>
      <c r="CB252" s="16"/>
      <c r="CC252" s="16"/>
      <c r="CD252" s="16"/>
      <c r="CE252" s="16">
        <f ca="1">_xll.DBRW($D$4,$E$7,$E$8,$E$9,$E$10,$E$12,$D252,$E$6,CE$18,CE$17)</f>
        <v>-21.657254039999998</v>
      </c>
      <c r="CF252" s="16">
        <f ca="1">_xll.DBRW($D$4,$E$7,$E$8,$E$9,$E$10,$E$12,$D252,$E$6,CF$18,CF$17)</f>
        <v>0.14120182157453121</v>
      </c>
      <c r="CG252" s="16"/>
      <c r="CH252" s="16"/>
      <c r="CI252" s="16"/>
      <c r="CJ252" s="16"/>
      <c r="CK252" s="16">
        <f ca="1">_xll.DBRW($D$4,$E$7,$E$8,$E$9,$E$10,$E$12,$D252,$E$6,CK$18,CK$17)</f>
        <v>-19.773568699999998</v>
      </c>
      <c r="CL252" s="16">
        <f ca="1">_xll.DBRW($D$4,$E$7,$E$8,$E$9,$E$10,$E$12,$D252,$E$6,CL$18,CL$17)</f>
        <v>0.12892049538285488</v>
      </c>
      <c r="CM252" s="16"/>
      <c r="CN252" s="16"/>
      <c r="CO252" s="16"/>
      <c r="CP252" s="16"/>
      <c r="CQ252" s="16">
        <f ca="1">_xll.DBRW($D$4,$E$7,$E$8,$E$9,$E$10,$E$12,$D252,$E$6,CQ$18,CQ$17)</f>
        <v>0.24356300000000003</v>
      </c>
      <c r="CR252" s="16">
        <f ca="1">_xll.DBRW($D$4,$E$7,$E$8,$E$9,$E$10,$E$12,$D252,$E$6,CR$18,CR$17)</f>
        <v>4.7840482030000011</v>
      </c>
      <c r="CS252" s="16">
        <f ca="1">_xll.DBRW($D$4,$E$7,$E$8,$E$9,$E$10,$E$12,$D252,$E$6,CS$18,CS$17)</f>
        <v>5.0565380000000006</v>
      </c>
      <c r="CT252" s="16">
        <f ca="1">_xll.DBRW($D$4,$E$7,$E$8,$E$9,$E$10,$E$12,$D252,$E$6,CT$18,CT$17)</f>
        <v>4.7840482030000011</v>
      </c>
      <c r="CU252" s="16">
        <f ca="1">_xll.DBRW($D$4,$E$7,$E$8,$E$9,$E$10,$E$12,$D252,$E$6,CU$18,CU$17)</f>
        <v>2.047272336202</v>
      </c>
      <c r="CV252" s="16">
        <f ca="1">_xll.DBRW($D$4,$E$7,$E$8,$E$9,$E$10,$E$12,$D252,$E$6,CV$18,CV$17)</f>
        <v>4.7840482030000011</v>
      </c>
      <c r="CW252" s="16" t="str">
        <f ca="1">_xll.DBRW($D$4,$E$7,$E$8,$E$9,$E$10,$E$12,$D252,$E$6,CW$18,CW$17)</f>
        <v/>
      </c>
      <c r="CX252" s="16">
        <f ca="1">_xll.DBRW($D$4,$E$7,$E$8,$E$9,$E$10,$E$12,$D252,$E$6,CX$18,CX$17)</f>
        <v>4.7840482030000011</v>
      </c>
      <c r="CY252" s="16">
        <f ca="1">_xll.DBRW($D$4,$E$7,$E$8,$E$9,$E$10,$E$12,$D252,$E$6,CY$18,CY$17)</f>
        <v>4.7840482030000011</v>
      </c>
      <c r="CZ252" s="16">
        <f ca="1">_xll.DBRW($D$4,$E$7,$E$8,$E$9,$E$10,$E$12,$D252,$E$6,CZ$18,CZ$17)</f>
        <v>4.7840482030000011</v>
      </c>
      <c r="DA252" s="26">
        <f t="shared" ca="1" si="146"/>
        <v>3.7791771000000671</v>
      </c>
      <c r="DB252" s="26">
        <f t="shared" ca="1" si="147"/>
        <v>0.16092006999999997</v>
      </c>
      <c r="DC252" s="26">
        <f t="shared" ca="1" si="148"/>
        <v>0</v>
      </c>
      <c r="DD252" s="26">
        <f t="shared" ca="1" si="149"/>
        <v>0</v>
      </c>
      <c r="DE252" s="26">
        <f t="shared" ca="1" si="150"/>
        <v>0</v>
      </c>
      <c r="DF252" s="26">
        <f t="shared" ca="1" si="151"/>
        <v>0</v>
      </c>
      <c r="DG252" s="26">
        <f t="shared" ca="1" si="152"/>
        <v>0</v>
      </c>
      <c r="DH252" s="26">
        <f t="shared" ca="1" si="153"/>
        <v>3.6182570300000672</v>
      </c>
      <c r="DI252" s="26">
        <f t="shared" ca="1" si="154"/>
        <v>-10.005354479999937</v>
      </c>
      <c r="DJ252" s="26">
        <f t="shared" ca="1" si="155"/>
        <v>6.2906393300000047</v>
      </c>
      <c r="DK252" s="26">
        <f t="shared" ca="1" si="156"/>
        <v>-1.3214281587978549E-2</v>
      </c>
      <c r="DL252" s="26"/>
      <c r="DM252" s="26"/>
      <c r="DN252" s="26"/>
      <c r="DO252" s="26"/>
      <c r="DP252" s="26">
        <f t="shared" ca="1" si="157"/>
        <v>-0.134109389999999</v>
      </c>
      <c r="DQ252" s="26">
        <f t="shared" ca="1" si="158"/>
        <v>9.0300426225009001E-3</v>
      </c>
      <c r="DR252" s="26"/>
      <c r="DS252" s="26"/>
      <c r="DT252" s="26"/>
      <c r="DU252" s="26"/>
      <c r="DV252" s="26">
        <f t="shared" ca="1" si="159"/>
        <v>3.1841216800000041</v>
      </c>
      <c r="DW252" s="26">
        <f t="shared" ca="1" si="160"/>
        <v>-1.2484539481853296E-2</v>
      </c>
      <c r="DX252" s="26"/>
      <c r="DY252" s="26"/>
      <c r="DZ252" s="26"/>
      <c r="EA252" s="26"/>
      <c r="EB252" s="26">
        <f t="shared" ca="1" si="161"/>
        <v>2.5673522300000009</v>
      </c>
      <c r="EC252" s="26">
        <f t="shared" ca="1" si="162"/>
        <v>-8.052985894368786E-3</v>
      </c>
      <c r="ED252" s="26"/>
      <c r="EE252" s="26"/>
      <c r="EF252" s="26"/>
      <c r="EG252" s="26"/>
      <c r="EH252" s="26">
        <f t="shared" ca="1" si="163"/>
        <v>1.7156076599999999</v>
      </c>
      <c r="EI252" s="29">
        <f t="shared" ca="1" si="164"/>
        <v>-2.9692719997035377E-3</v>
      </c>
      <c r="EJ252" s="29"/>
      <c r="EK252" s="29"/>
      <c r="EL252" s="29"/>
      <c r="EM252" s="29"/>
      <c r="EN252" s="93"/>
      <c r="EO252" s="29"/>
      <c r="EP252" s="29"/>
      <c r="EQ252" s="29"/>
      <c r="ER252" s="29"/>
      <c r="ES252" s="29"/>
      <c r="ET252" s="29"/>
      <c r="EU252" s="93"/>
      <c r="EV252" s="29"/>
      <c r="EW252" s="29"/>
      <c r="EX252" s="29"/>
      <c r="EY252" s="29"/>
      <c r="EZ252" s="29"/>
      <c r="FA252" s="29"/>
      <c r="FB252" s="93"/>
      <c r="FC252" s="29"/>
      <c r="FD252" s="29"/>
      <c r="FE252" s="29"/>
      <c r="FF252" s="29"/>
      <c r="FG252" s="29"/>
      <c r="FH252" s="29"/>
      <c r="FI252" s="93"/>
      <c r="FJ252" s="29"/>
      <c r="FK252" s="29"/>
      <c r="FL252" s="29"/>
      <c r="FM252" s="29"/>
      <c r="FN252" s="29"/>
      <c r="FO252" s="29"/>
      <c r="FP252" s="93"/>
      <c r="FQ252" s="29"/>
      <c r="FR252" s="29"/>
      <c r="FS252" s="29"/>
      <c r="FT252" s="29"/>
      <c r="FU252" s="29"/>
      <c r="FV252" s="29"/>
    </row>
    <row r="253" spans="1:178" x14ac:dyDescent="0.25">
      <c r="A253" t="str">
        <f ca="1">IF(_xll.TM1RPTELISCONSOLIDATED($D$28,$D253),IF(_xll.TM1RPTELLEV($D$28,$D253)&lt;=3,_xll.TM1RPTELLEV($D$28,$D253),"D"),"N")</f>
        <v>N</v>
      </c>
      <c r="B253" t="str">
        <f ca="1">_xll.DBRA(Server&amp;"Management_organization",$D253,$B$27)</f>
        <v>L</v>
      </c>
      <c r="C253">
        <v>1</v>
      </c>
      <c r="D253" s="2" t="s">
        <v>322</v>
      </c>
      <c r="E253" s="26"/>
      <c r="F253" s="26"/>
      <c r="G253" s="16">
        <f ca="1">_xll.DBRW($D$4,$E$7,$E$8,$E$9,$E$10,$E$12,$D253,$E$6,G$18,G$17)</f>
        <v>8.9976050299999901</v>
      </c>
      <c r="H253" s="16">
        <f ca="1">_xll.DBRW($D$4,$E$7,$E$8,$E$9,$E$10,$E$12,$D253,$E$6,H$18,H$17)</f>
        <v>-1.7748023900000001</v>
      </c>
      <c r="I253" s="16">
        <f ca="1">_xll.DBRW($D$4,$E$7,$E$8,$E$9,$E$10,$E$12,$D253,$E$6,I$18,I$17)</f>
        <v>0</v>
      </c>
      <c r="J253" s="26">
        <f ca="1">_xll.DBRW($D$4,$E$7,$E$8,$E$9,$E$10,$E$12,$D253,$E$6,J$18,J$17)</f>
        <v>0</v>
      </c>
      <c r="K253" s="26">
        <f ca="1">_xll.DBRW($D$4,$E$7,$E$8,$E$9,$E$10,$E$12,$D253,$E$6,K$18,K$17)</f>
        <v>0</v>
      </c>
      <c r="L253" s="26">
        <f ca="1">_xll.DBRW($D$4,$E$7,$E$8,$E$9,$E$10,$E$12,$D253,$E$6,L$18,L$17)</f>
        <v>0</v>
      </c>
      <c r="M253" s="26">
        <f ca="1">_xll.DBRW($D$4,$E$7,$E$8,$E$9,$E$10,$E$12,$D253,$E$6,M$18,M$17)</f>
        <v>0</v>
      </c>
      <c r="N253" s="16">
        <f ca="1">_xll.DBRW($D$4,$E$7,$E$8,$E$9,$E$10,$E$12,$D253,$E$6,N$18,N$17)</f>
        <v>10.77240741999999</v>
      </c>
      <c r="O253" s="16">
        <f ca="1">_xll.DBRW($D$4,$E$7,$E$8,$E$9,$E$10,$E$12,$D253,$E$6,O$18,O$17)</f>
        <v>103.17287629999998</v>
      </c>
      <c r="P253" s="74">
        <f ca="1">_xll.DBRW($D$4,$E$7,$E$8,$E$9,$E$10,$E$12,$D253,$E$6,P$18,P$17)</f>
        <v>-37.164434849999999</v>
      </c>
      <c r="Q253" s="16">
        <f ca="1">_xll.DBRW($D$4,$E$7,$E$8,$E$9,$E$10,$E$12,$D253,$E$6,Q$18,Q$17)</f>
        <v>0.36021516684225663</v>
      </c>
      <c r="R253" s="16"/>
      <c r="S253" s="16"/>
      <c r="T253" s="16"/>
      <c r="U253" s="16"/>
      <c r="V253" s="16">
        <f ca="1">_xll.DBRW($D$4,$E$7,$E$8,$E$9,$E$10,$E$12,$D253,$E$6,V$18,V$17)</f>
        <v>-11.471331989999999</v>
      </c>
      <c r="W253" s="16">
        <f ca="1">_xll.DBRW($D$4,$E$7,$E$8,$E$9,$E$10,$E$12,$D253,$E$6,W$18,W$17)</f>
        <v>0.11118554024455361</v>
      </c>
      <c r="X253" s="16"/>
      <c r="Y253" s="16"/>
      <c r="Z253" s="16"/>
      <c r="AA253" s="16"/>
      <c r="AB253" s="16">
        <f ca="1">_xll.DBRW($D$4,$E$7,$E$8,$E$9,$E$10,$E$12,$D253,$E$6,AB$18,AB$17)</f>
        <v>-15.277640959999996</v>
      </c>
      <c r="AC253" s="16">
        <f ca="1">_xll.DBRW($D$4,$E$7,$E$8,$E$9,$E$10,$E$12,$D253,$E$6,AC$18,AC$17)</f>
        <v>0.14807807543890292</v>
      </c>
      <c r="AD253" s="16"/>
      <c r="AE253" s="16"/>
      <c r="AF253" s="16"/>
      <c r="AG253" s="16"/>
      <c r="AH253" s="16">
        <f ca="1">_xll.DBRW($D$4,$E$7,$E$8,$E$9,$E$10,$E$12,$D253,$E$6,AH$18,AH$17)</f>
        <v>-12.721258369999999</v>
      </c>
      <c r="AI253" s="16">
        <f ca="1">_xll.DBRW($D$4,$E$7,$E$8,$E$9,$E$10,$E$12,$D253,$E$6,AI$18,AI$17)</f>
        <v>0.12330041408373531</v>
      </c>
      <c r="AJ253" s="16"/>
      <c r="AK253" s="16"/>
      <c r="AL253" s="16"/>
      <c r="AM253" s="16"/>
      <c r="AN253" s="16">
        <f ca="1">_xll.DBRW($D$4,$E$7,$E$8,$E$9,$E$10,$E$12,$D253,$E$6,AN$18,AN$17)</f>
        <v>-15.765802710000001</v>
      </c>
      <c r="AO253" s="16">
        <f ca="1">_xll.DBRW($D$4,$E$7,$E$8,$E$9,$E$10,$E$12,$D253,$E$6,AO$18,AO$17)</f>
        <v>0.15280956851641059</v>
      </c>
      <c r="AP253" s="16"/>
      <c r="AQ253" s="16"/>
      <c r="AR253" s="16"/>
      <c r="AS253" s="16"/>
      <c r="AT253" s="16">
        <f ca="1">_xll.DBRW($D$4,$E$7,$E$8,$E$9,$E$10,$E$12,$D253,$E$6,AT$18,AT$17)</f>
        <v>0.13455544699999997</v>
      </c>
      <c r="AU253" s="16">
        <f ca="1">_xll.DBRW($D$4,$E$7,$E$8,$E$9,$E$10,$E$12,$D253,$E$6,AU$18,AU$17)</f>
        <v>4.027147233</v>
      </c>
      <c r="AV253" s="16">
        <f ca="1">_xll.DBRW($D$4,$E$7,$E$8,$E$9,$E$10,$E$12,$D253,$E$6,AV$18,AV$17)</f>
        <v>4.104131999999999</v>
      </c>
      <c r="AW253" s="16">
        <f ca="1">_xll.DBRW($D$4,$E$7,$E$8,$E$9,$E$10,$E$12,$D253,$E$6,AW$18,AW$17)</f>
        <v>4.027147233</v>
      </c>
      <c r="AX253" s="16">
        <f ca="1">_xll.DBRW($D$4,$E$7,$E$8,$E$9,$E$10,$E$12,$D253,$E$6,AX$18,AX$17)</f>
        <v>1.4489489999999998</v>
      </c>
      <c r="AY253" s="16">
        <f ca="1">_xll.DBRW($D$4,$E$7,$E$8,$E$9,$E$10,$E$12,$D253,$E$6,AY$18,AY$17)</f>
        <v>4.027147233</v>
      </c>
      <c r="AZ253" s="16">
        <f ca="1">_xll.DBRW($D$4,$E$7,$E$8,$E$9,$E$10,$E$12,$D253,$E$6,AZ$18,AZ$17)</f>
        <v>6.58E-5</v>
      </c>
      <c r="BA253" s="16">
        <f ca="1">_xll.DBRW($D$4,$E$7,$E$8,$E$9,$E$10,$E$12,$D253,$E$6,BA$18,BA$17)</f>
        <v>4.027147233</v>
      </c>
      <c r="BB253" s="16">
        <f ca="1">_xll.DBRW($D$4,$E$7,$E$8,$E$9,$E$10,$E$12,$D253,$E$6,BB$18,BB$17)</f>
        <v>4.027147233</v>
      </c>
      <c r="BC253" s="16">
        <f ca="1">_xll.DBRW($D$4,$E$7,$E$8,$E$9,$E$10,$E$12,$D253,$E$6,BC$18,BC$17)</f>
        <v>4.027147233</v>
      </c>
      <c r="BD253" s="16">
        <f ca="1">_xll.DBRW($D$4,$E$7,$E$8,$E$9,$E$10,$E$12,$D253,$E$6,BD$18,BD$17)</f>
        <v>6.7533648700000386</v>
      </c>
      <c r="BE253" s="16">
        <f ca="1">_xll.DBRW($D$4,$E$7,$E$8,$E$9,$E$10,$E$12,$D253,$E$6,BE$18,BE$17)</f>
        <v>-1.8259999999999994</v>
      </c>
      <c r="BF253" s="16">
        <f ca="1">_xll.DBRW($D$4,$E$7,$E$8,$E$9,$E$10,$E$12,$D253,$E$6,BF$18,BF$17)</f>
        <v>0</v>
      </c>
      <c r="BG253" s="26">
        <f ca="1">_xll.DBRW($D$4,$E$7,$E$8,$E$9,$E$10,$E$12,$D253,$E$6,BG$18,BG$17)</f>
        <v>0</v>
      </c>
      <c r="BH253" s="26">
        <f ca="1">_xll.DBRW($D$4,$E$7,$E$8,$E$9,$E$10,$E$12,$D253,$E$6,BH$18,BH$17)</f>
        <v>0</v>
      </c>
      <c r="BI253" s="26">
        <f ca="1">_xll.DBRW($D$4,$E$7,$E$8,$E$9,$E$10,$E$12,$D253,$E$6,BI$18,BI$17)</f>
        <v>0</v>
      </c>
      <c r="BJ253" s="26">
        <f ca="1">_xll.DBRW($D$4,$E$7,$E$8,$E$9,$E$10,$E$12,$D253,$E$6,BJ$18,BJ$17)</f>
        <v>0</v>
      </c>
      <c r="BK253" s="16">
        <f ca="1">_xll.DBRW($D$4,$E$7,$E$8,$E$9,$E$10,$E$12,$D253,$E$6,BK$18,BK$17)</f>
        <v>8.5793648700000382</v>
      </c>
      <c r="BL253" s="16">
        <f ca="1">_xll.DBRW($D$4,$E$7,$E$8,$E$9,$E$10,$E$12,$D253,$E$6,BL$18,BL$17)</f>
        <v>108.89800000000001</v>
      </c>
      <c r="BM253" s="16">
        <f ca="1">_xll.DBRW($D$4,$E$7,$E$8,$E$9,$E$10,$E$12,$D253,$E$6,BM$18,BM$17)</f>
        <v>-41.538076909999994</v>
      </c>
      <c r="BN253" s="16">
        <f ca="1">_xll.DBRW($D$4,$E$7,$E$8,$E$9,$E$10,$E$12,$D253,$E$6,BN$18,BN$17)</f>
        <v>0.38144021846131232</v>
      </c>
      <c r="BO253" s="16"/>
      <c r="BP253" s="16"/>
      <c r="BQ253" s="16"/>
      <c r="BR253" s="16"/>
      <c r="BS253" s="16">
        <f ca="1">_xll.DBRW($D$4,$E$7,$E$8,$E$9,$E$10,$E$12,$D253,$E$6,BS$18,BS$17)</f>
        <v>-11.980477539999999</v>
      </c>
      <c r="BT253" s="16">
        <f ca="1">_xll.DBRW($D$4,$E$7,$E$8,$E$9,$E$10,$E$12,$D253,$E$6,BT$18,BT$17)</f>
        <v>0.11001558834872999</v>
      </c>
      <c r="BU253" s="16"/>
      <c r="BV253" s="16"/>
      <c r="BW253" s="16"/>
      <c r="BX253" s="16"/>
      <c r="BY253" s="16">
        <f ca="1">_xll.DBRW($D$4,$E$7,$E$8,$E$9,$E$10,$E$12,$D253,$E$6,BY$18,BY$17)</f>
        <v>-15.692826610000001</v>
      </c>
      <c r="BZ253" s="16">
        <f ca="1">_xll.DBRW($D$4,$E$7,$E$8,$E$9,$E$10,$E$12,$D253,$E$6,BZ$18,BZ$17)</f>
        <v>0.14410573757093795</v>
      </c>
      <c r="CA253" s="16"/>
      <c r="CB253" s="16"/>
      <c r="CC253" s="16"/>
      <c r="CD253" s="16"/>
      <c r="CE253" s="16">
        <f ca="1">_xll.DBRW($D$4,$E$7,$E$8,$E$9,$E$10,$E$12,$D253,$E$6,CE$18,CE$17)</f>
        <v>-14.384200190000001</v>
      </c>
      <c r="CF253" s="16">
        <f ca="1">_xll.DBRW($D$4,$E$7,$E$8,$E$9,$E$10,$E$12,$D253,$E$6,CF$18,CF$17)</f>
        <v>0.13208874533967566</v>
      </c>
      <c r="CG253" s="16"/>
      <c r="CH253" s="16"/>
      <c r="CI253" s="16"/>
      <c r="CJ253" s="16"/>
      <c r="CK253" s="16">
        <f ca="1">_xll.DBRW($D$4,$E$7,$E$8,$E$9,$E$10,$E$12,$D253,$E$6,CK$18,CK$17)</f>
        <v>-16.723053880000002</v>
      </c>
      <c r="CL253" s="16">
        <f ca="1">_xll.DBRW($D$4,$E$7,$E$8,$E$9,$E$10,$E$12,$D253,$E$6,CL$18,CL$17)</f>
        <v>0.15356621682675531</v>
      </c>
      <c r="CM253" s="16"/>
      <c r="CN253" s="16"/>
      <c r="CO253" s="16"/>
      <c r="CP253" s="16"/>
      <c r="CQ253" s="16">
        <f ca="1">_xll.DBRW($D$4,$E$7,$E$8,$E$9,$E$10,$E$12,$D253,$E$6,CQ$18,CQ$17)</f>
        <v>0.15423324999000002</v>
      </c>
      <c r="CR253" s="16">
        <f ca="1">_xll.DBRW($D$4,$E$7,$E$8,$E$9,$E$10,$E$12,$D253,$E$6,CR$18,CR$17)</f>
        <v>4.436113079000001</v>
      </c>
      <c r="CS253" s="16">
        <f ca="1">_xll.DBRW($D$4,$E$7,$E$8,$E$9,$E$10,$E$12,$D253,$E$6,CS$18,CS$17)</f>
        <v>4.5517389999999995</v>
      </c>
      <c r="CT253" s="16">
        <f ca="1">_xll.DBRW($D$4,$E$7,$E$8,$E$9,$E$10,$E$12,$D253,$E$6,CT$18,CT$17)</f>
        <v>4.436113079000001</v>
      </c>
      <c r="CU253" s="16">
        <f ca="1">_xll.DBRW($D$4,$E$7,$E$8,$E$9,$E$10,$E$12,$D253,$E$6,CU$18,CU$17)</f>
        <v>1.5505300100000001</v>
      </c>
      <c r="CV253" s="16">
        <f ca="1">_xll.DBRW($D$4,$E$7,$E$8,$E$9,$E$10,$E$12,$D253,$E$6,CV$18,CV$17)</f>
        <v>4.436113079000001</v>
      </c>
      <c r="CW253" s="16" t="str">
        <f ca="1">_xll.DBRW($D$4,$E$7,$E$8,$E$9,$E$10,$E$12,$D253,$E$6,CW$18,CW$17)</f>
        <v/>
      </c>
      <c r="CX253" s="16">
        <f ca="1">_xll.DBRW($D$4,$E$7,$E$8,$E$9,$E$10,$E$12,$D253,$E$6,CX$18,CX$17)</f>
        <v>4.436113079000001</v>
      </c>
      <c r="CY253" s="16">
        <f ca="1">_xll.DBRW($D$4,$E$7,$E$8,$E$9,$E$10,$E$12,$D253,$E$6,CY$18,CY$17)</f>
        <v>4.436113079000001</v>
      </c>
      <c r="CZ253" s="16">
        <f ca="1">_xll.DBRW($D$4,$E$7,$E$8,$E$9,$E$10,$E$12,$D253,$E$6,CZ$18,CZ$17)</f>
        <v>4.436113079000001</v>
      </c>
      <c r="DA253" s="26">
        <f t="shared" ca="1" si="146"/>
        <v>2.2442401599999515</v>
      </c>
      <c r="DB253" s="26">
        <f t="shared" ca="1" si="147"/>
        <v>5.1197609999999338E-2</v>
      </c>
      <c r="DC253" s="26">
        <f t="shared" ca="1" si="148"/>
        <v>0</v>
      </c>
      <c r="DD253" s="26">
        <f t="shared" ca="1" si="149"/>
        <v>0</v>
      </c>
      <c r="DE253" s="26">
        <f t="shared" ca="1" si="150"/>
        <v>0</v>
      </c>
      <c r="DF253" s="26">
        <f t="shared" ca="1" si="151"/>
        <v>0</v>
      </c>
      <c r="DG253" s="26">
        <f t="shared" ca="1" si="152"/>
        <v>0</v>
      </c>
      <c r="DH253" s="26">
        <f t="shared" ca="1" si="153"/>
        <v>2.1930425499999515</v>
      </c>
      <c r="DI253" s="26">
        <f t="shared" ca="1" si="154"/>
        <v>-5.7251237000000259</v>
      </c>
      <c r="DJ253" s="26">
        <f t="shared" ca="1" si="155"/>
        <v>4.3736420599999946</v>
      </c>
      <c r="DK253" s="26">
        <f t="shared" ca="1" si="156"/>
        <v>-2.122505161905569E-2</v>
      </c>
      <c r="DL253" s="26"/>
      <c r="DM253" s="26"/>
      <c r="DN253" s="26"/>
      <c r="DO253" s="26"/>
      <c r="DP253" s="26">
        <f t="shared" ca="1" si="157"/>
        <v>0.5091455499999995</v>
      </c>
      <c r="DQ253" s="26">
        <f t="shared" ca="1" si="158"/>
        <v>1.169951895823626E-3</v>
      </c>
      <c r="DR253" s="26"/>
      <c r="DS253" s="26"/>
      <c r="DT253" s="26"/>
      <c r="DU253" s="26"/>
      <c r="DV253" s="26">
        <f t="shared" ca="1" si="159"/>
        <v>0.41518565000000507</v>
      </c>
      <c r="DW253" s="26">
        <f t="shared" ca="1" si="160"/>
        <v>3.9723378679649701E-3</v>
      </c>
      <c r="DX253" s="26"/>
      <c r="DY253" s="26"/>
      <c r="DZ253" s="26"/>
      <c r="EA253" s="26"/>
      <c r="EB253" s="26">
        <f t="shared" ca="1" si="161"/>
        <v>1.6629418200000021</v>
      </c>
      <c r="EC253" s="26">
        <f t="shared" ca="1" si="162"/>
        <v>-8.7883312559403487E-3</v>
      </c>
      <c r="ED253" s="26"/>
      <c r="EE253" s="26"/>
      <c r="EF253" s="26"/>
      <c r="EG253" s="26"/>
      <c r="EH253" s="26">
        <f t="shared" ca="1" si="163"/>
        <v>0.95725117000000104</v>
      </c>
      <c r="EI253" s="29">
        <f t="shared" ca="1" si="164"/>
        <v>-7.566483103447208E-4</v>
      </c>
      <c r="EJ253" s="29"/>
      <c r="EK253" s="29"/>
      <c r="EL253" s="29"/>
      <c r="EM253" s="29"/>
      <c r="EN253" s="93"/>
      <c r="EO253" s="29"/>
      <c r="EP253" s="29"/>
      <c r="EQ253" s="29"/>
      <c r="ER253" s="29"/>
      <c r="ES253" s="29"/>
      <c r="ET253" s="29"/>
      <c r="EU253" s="93"/>
      <c r="EV253" s="29"/>
      <c r="EW253" s="29"/>
      <c r="EX253" s="29"/>
      <c r="EY253" s="29"/>
      <c r="EZ253" s="29"/>
      <c r="FA253" s="29"/>
      <c r="FB253" s="93"/>
      <c r="FC253" s="29"/>
      <c r="FD253" s="29"/>
      <c r="FE253" s="29"/>
      <c r="FF253" s="29"/>
      <c r="FG253" s="29"/>
      <c r="FH253" s="29"/>
      <c r="FI253" s="93"/>
      <c r="FJ253" s="29"/>
      <c r="FK253" s="29"/>
      <c r="FL253" s="29"/>
      <c r="FM253" s="29"/>
      <c r="FN253" s="29"/>
      <c r="FO253" s="29"/>
      <c r="FP253" s="93"/>
      <c r="FQ253" s="29"/>
      <c r="FR253" s="29"/>
      <c r="FS253" s="29"/>
      <c r="FT253" s="29"/>
      <c r="FU253" s="29"/>
      <c r="FV253" s="29"/>
    </row>
    <row r="254" spans="1:178" x14ac:dyDescent="0.25">
      <c r="A254" t="str">
        <f ca="1">IF(_xll.TM1RPTELISCONSOLIDATED($D$28,$D254),IF(_xll.TM1RPTELLEV($D$28,$D254)&lt;=3,_xll.TM1RPTELLEV($D$28,$D254),"D"),"N")</f>
        <v>N</v>
      </c>
      <c r="B254" t="str">
        <f ca="1">_xll.DBRA(Server&amp;"Management_organization",$D254,$B$27)</f>
        <v>L</v>
      </c>
      <c r="C254">
        <v>1</v>
      </c>
      <c r="D254" s="2" t="s">
        <v>323</v>
      </c>
      <c r="E254" s="26"/>
      <c r="F254" s="26"/>
      <c r="G254" s="16">
        <f ca="1">_xll.DBRW($D$4,$E$7,$E$8,$E$9,$E$10,$E$12,$D254,$E$6,G$18,G$17)</f>
        <v>76.736484389999873</v>
      </c>
      <c r="H254" s="16">
        <f ca="1">_xll.DBRW($D$4,$E$7,$E$8,$E$9,$E$10,$E$12,$D254,$E$6,H$18,H$17)</f>
        <v>-7.2755031599999995</v>
      </c>
      <c r="I254" s="16">
        <f ca="1">_xll.DBRW($D$4,$E$7,$E$8,$E$9,$E$10,$E$12,$D254,$E$6,I$18,I$17)</f>
        <v>0</v>
      </c>
      <c r="J254" s="26">
        <f ca="1">_xll.DBRW($D$4,$E$7,$E$8,$E$9,$E$10,$E$12,$D254,$E$6,J$18,J$17)</f>
        <v>0</v>
      </c>
      <c r="K254" s="26">
        <f ca="1">_xll.DBRW($D$4,$E$7,$E$8,$E$9,$E$10,$E$12,$D254,$E$6,K$18,K$17)</f>
        <v>0</v>
      </c>
      <c r="L254" s="26">
        <f ca="1">_xll.DBRW($D$4,$E$7,$E$8,$E$9,$E$10,$E$12,$D254,$E$6,L$18,L$17)</f>
        <v>0</v>
      </c>
      <c r="M254" s="26">
        <f ca="1">_xll.DBRW($D$4,$E$7,$E$8,$E$9,$E$10,$E$12,$D254,$E$6,M$18,M$17)</f>
        <v>0</v>
      </c>
      <c r="N254" s="16">
        <f ca="1">_xll.DBRW($D$4,$E$7,$E$8,$E$9,$E$10,$E$12,$D254,$E$6,N$18,N$17)</f>
        <v>84.011987549999859</v>
      </c>
      <c r="O254" s="16">
        <f ca="1">_xll.DBRW($D$4,$E$7,$E$8,$E$9,$E$10,$E$12,$D254,$E$6,O$18,O$17)</f>
        <v>462.79957670999994</v>
      </c>
      <c r="P254" s="74">
        <f ca="1">_xll.DBRW($D$4,$E$7,$E$8,$E$9,$E$10,$E$12,$D254,$E$6,P$18,P$17)</f>
        <v>-168.60208856</v>
      </c>
      <c r="Q254" s="16">
        <f ca="1">_xll.DBRW($D$4,$E$7,$E$8,$E$9,$E$10,$E$12,$D254,$E$6,Q$18,Q$17)</f>
        <v>0.36430908117629862</v>
      </c>
      <c r="R254" s="16"/>
      <c r="S254" s="16"/>
      <c r="T254" s="16"/>
      <c r="U254" s="16"/>
      <c r="V254" s="16">
        <f ca="1">_xll.DBRW($D$4,$E$7,$E$8,$E$9,$E$10,$E$12,$D254,$E$6,V$18,V$17)</f>
        <v>-53.914816700000003</v>
      </c>
      <c r="W254" s="16">
        <f ca="1">_xll.DBRW($D$4,$E$7,$E$8,$E$9,$E$10,$E$12,$D254,$E$6,W$18,W$17)</f>
        <v>0.11649711757144535</v>
      </c>
      <c r="X254" s="16"/>
      <c r="Y254" s="16"/>
      <c r="Z254" s="16"/>
      <c r="AA254" s="16"/>
      <c r="AB254" s="16">
        <f ca="1">_xll.DBRW($D$4,$E$7,$E$8,$E$9,$E$10,$E$12,$D254,$E$6,AB$18,AB$17)</f>
        <v>-54.879480539999996</v>
      </c>
      <c r="AC254" s="16">
        <f ca="1">_xll.DBRW($D$4,$E$7,$E$8,$E$9,$E$10,$E$12,$D254,$E$6,AC$18,AC$17)</f>
        <v>0.11858152708378263</v>
      </c>
      <c r="AD254" s="16"/>
      <c r="AE254" s="16"/>
      <c r="AF254" s="16"/>
      <c r="AG254" s="16"/>
      <c r="AH254" s="16">
        <f ca="1">_xll.DBRW($D$4,$E$7,$E$8,$E$9,$E$10,$E$12,$D254,$E$6,AH$18,AH$17)</f>
        <v>-48.372735719999994</v>
      </c>
      <c r="AI254" s="16">
        <f ca="1">_xll.DBRW($D$4,$E$7,$E$8,$E$9,$E$10,$E$12,$D254,$E$6,AI$18,AI$17)</f>
        <v>0.10452199646308531</v>
      </c>
      <c r="AJ254" s="16"/>
      <c r="AK254" s="16"/>
      <c r="AL254" s="16"/>
      <c r="AM254" s="16"/>
      <c r="AN254" s="16">
        <f ca="1">_xll.DBRW($D$4,$E$7,$E$8,$E$9,$E$10,$E$12,$D254,$E$6,AN$18,AN$17)</f>
        <v>-53.018467639999997</v>
      </c>
      <c r="AO254" s="16">
        <f ca="1">_xll.DBRW($D$4,$E$7,$E$8,$E$9,$E$10,$E$12,$D254,$E$6,AO$18,AO$17)</f>
        <v>0.1145603200783014</v>
      </c>
      <c r="AP254" s="16"/>
      <c r="AQ254" s="16"/>
      <c r="AR254" s="16"/>
      <c r="AS254" s="16"/>
      <c r="AT254" s="16">
        <f ca="1">_xll.DBRW($D$4,$E$7,$E$8,$E$9,$E$10,$E$12,$D254,$E$6,AT$18,AT$17)</f>
        <v>0.57989308399999995</v>
      </c>
      <c r="AU254" s="16">
        <f ca="1">_xll.DBRW($D$4,$E$7,$E$8,$E$9,$E$10,$E$12,$D254,$E$6,AU$18,AU$17)</f>
        <v>9.1587755259999994</v>
      </c>
      <c r="AV254" s="16">
        <f ca="1">_xll.DBRW($D$4,$E$7,$E$8,$E$9,$E$10,$E$12,$D254,$E$6,AV$18,AV$17)</f>
        <v>10.698596000000002</v>
      </c>
      <c r="AW254" s="16">
        <f ca="1">_xll.DBRW($D$4,$E$7,$E$8,$E$9,$E$10,$E$12,$D254,$E$6,AW$18,AW$17)</f>
        <v>9.1587755259999994</v>
      </c>
      <c r="AX254" s="16">
        <f ca="1">_xll.DBRW($D$4,$E$7,$E$8,$E$9,$E$10,$E$12,$D254,$E$6,AX$18,AX$17)</f>
        <v>4.8937984075560008</v>
      </c>
      <c r="AY254" s="16">
        <f ca="1">_xll.DBRW($D$4,$E$7,$E$8,$E$9,$E$10,$E$12,$D254,$E$6,AY$18,AY$17)</f>
        <v>9.1587755259999994</v>
      </c>
      <c r="AZ254" s="16">
        <f ca="1">_xll.DBRW($D$4,$E$7,$E$8,$E$9,$E$10,$E$12,$D254,$E$6,AZ$18,AZ$17)</f>
        <v>1.7000000000000001E-4</v>
      </c>
      <c r="BA254" s="16">
        <f ca="1">_xll.DBRW($D$4,$E$7,$E$8,$E$9,$E$10,$E$12,$D254,$E$6,BA$18,BA$17)</f>
        <v>9.1587755259999994</v>
      </c>
      <c r="BB254" s="16">
        <f ca="1">_xll.DBRW($D$4,$E$7,$E$8,$E$9,$E$10,$E$12,$D254,$E$6,BB$18,BB$17)</f>
        <v>9.1587755259999994</v>
      </c>
      <c r="BC254" s="16">
        <f ca="1">_xll.DBRW($D$4,$E$7,$E$8,$E$9,$E$10,$E$12,$D254,$E$6,BC$18,BC$17)</f>
        <v>9.1587755259999994</v>
      </c>
      <c r="BD254" s="16">
        <f ca="1">_xll.DBRW($D$4,$E$7,$E$8,$E$9,$E$10,$E$12,$D254,$E$6,BD$18,BD$17)</f>
        <v>81.588185569999936</v>
      </c>
      <c r="BE254" s="16">
        <f ca="1">_xll.DBRW($D$4,$E$7,$E$8,$E$9,$E$10,$E$12,$D254,$E$6,BE$18,BE$17)</f>
        <v>-6.7100000000000009</v>
      </c>
      <c r="BF254" s="16">
        <f ca="1">_xll.DBRW($D$4,$E$7,$E$8,$E$9,$E$10,$E$12,$D254,$E$6,BF$18,BF$17)</f>
        <v>0</v>
      </c>
      <c r="BG254" s="26">
        <f ca="1">_xll.DBRW($D$4,$E$7,$E$8,$E$9,$E$10,$E$12,$D254,$E$6,BG$18,BG$17)</f>
        <v>0</v>
      </c>
      <c r="BH254" s="26">
        <f ca="1">_xll.DBRW($D$4,$E$7,$E$8,$E$9,$E$10,$E$12,$D254,$E$6,BH$18,BH$17)</f>
        <v>0</v>
      </c>
      <c r="BI254" s="26">
        <f ca="1">_xll.DBRW($D$4,$E$7,$E$8,$E$9,$E$10,$E$12,$D254,$E$6,BI$18,BI$17)</f>
        <v>0</v>
      </c>
      <c r="BJ254" s="26">
        <f ca="1">_xll.DBRW($D$4,$E$7,$E$8,$E$9,$E$10,$E$12,$D254,$E$6,BJ$18,BJ$17)</f>
        <v>0</v>
      </c>
      <c r="BK254" s="16">
        <f ca="1">_xll.DBRW($D$4,$E$7,$E$8,$E$9,$E$10,$E$12,$D254,$E$6,BK$18,BK$17)</f>
        <v>88.298185569999944</v>
      </c>
      <c r="BL254" s="16">
        <f ca="1">_xll.DBRW($D$4,$E$7,$E$8,$E$9,$E$10,$E$12,$D254,$E$6,BL$18,BL$17)</f>
        <v>480.40611243999996</v>
      </c>
      <c r="BM254" s="16">
        <f ca="1">_xll.DBRW($D$4,$E$7,$E$8,$E$9,$E$10,$E$12,$D254,$E$6,BM$18,BM$17)</f>
        <v>-174.28857072</v>
      </c>
      <c r="BN254" s="16">
        <f ca="1">_xll.DBRW($D$4,$E$7,$E$8,$E$9,$E$10,$E$12,$D254,$E$6,BN$18,BN$17)</f>
        <v>0.36279424055364756</v>
      </c>
      <c r="BO254" s="16"/>
      <c r="BP254" s="16"/>
      <c r="BQ254" s="16"/>
      <c r="BR254" s="16"/>
      <c r="BS254" s="16">
        <f ca="1">_xll.DBRW($D$4,$E$7,$E$8,$E$9,$E$10,$E$12,$D254,$E$6,BS$18,BS$17)</f>
        <v>-56.589251309999995</v>
      </c>
      <c r="BT254" s="16">
        <f ca="1">_xll.DBRW($D$4,$E$7,$E$8,$E$9,$E$10,$E$12,$D254,$E$6,BT$18,BT$17)</f>
        <v>0.11779461136033667</v>
      </c>
      <c r="BU254" s="16"/>
      <c r="BV254" s="16"/>
      <c r="BW254" s="16"/>
      <c r="BX254" s="16"/>
      <c r="BY254" s="16">
        <f ca="1">_xll.DBRW($D$4,$E$7,$E$8,$E$9,$E$10,$E$12,$D254,$E$6,BY$18,BY$17)</f>
        <v>-53.877175969999996</v>
      </c>
      <c r="BZ254" s="16">
        <f ca="1">_xll.DBRW($D$4,$E$7,$E$8,$E$9,$E$10,$E$12,$D254,$E$6,BZ$18,BZ$17)</f>
        <v>0.11214923077551174</v>
      </c>
      <c r="CA254" s="16"/>
      <c r="CB254" s="16"/>
      <c r="CC254" s="16"/>
      <c r="CD254" s="16"/>
      <c r="CE254" s="16">
        <f ca="1">_xll.DBRW($D$4,$E$7,$E$8,$E$9,$E$10,$E$12,$D254,$E$6,CE$18,CE$17)</f>
        <v>-53.232994319999989</v>
      </c>
      <c r="CF254" s="16">
        <f ca="1">_xll.DBRW($D$4,$E$7,$E$8,$E$9,$E$10,$E$12,$D254,$E$6,CF$18,CF$17)</f>
        <v>0.11080832017233855</v>
      </c>
      <c r="CG254" s="16"/>
      <c r="CH254" s="16"/>
      <c r="CI254" s="16"/>
      <c r="CJ254" s="16"/>
      <c r="CK254" s="16">
        <f ca="1">_xll.DBRW($D$4,$E$7,$E$8,$E$9,$E$10,$E$12,$D254,$E$6,CK$18,CK$17)</f>
        <v>-54.119934549999996</v>
      </c>
      <c r="CL254" s="16">
        <f ca="1">_xll.DBRW($D$4,$E$7,$E$8,$E$9,$E$10,$E$12,$D254,$E$6,CL$18,CL$17)</f>
        <v>0.11265455028272413</v>
      </c>
      <c r="CM254" s="16"/>
      <c r="CN254" s="16"/>
      <c r="CO254" s="16"/>
      <c r="CP254" s="16"/>
      <c r="CQ254" s="16">
        <f ca="1">_xll.DBRW($D$4,$E$7,$E$8,$E$9,$E$10,$E$12,$D254,$E$6,CQ$18,CQ$17)</f>
        <v>0.61978679999999997</v>
      </c>
      <c r="CR254" s="16">
        <f ca="1">_xll.DBRW($D$4,$E$7,$E$8,$E$9,$E$10,$E$12,$D254,$E$6,CR$18,CR$17)</f>
        <v>9.9945332890000014</v>
      </c>
      <c r="CS254" s="16">
        <f ca="1">_xll.DBRW($D$4,$E$7,$E$8,$E$9,$E$10,$E$12,$D254,$E$6,CS$18,CS$17)</f>
        <v>11.462921</v>
      </c>
      <c r="CT254" s="16">
        <f ca="1">_xll.DBRW($D$4,$E$7,$E$8,$E$9,$E$10,$E$12,$D254,$E$6,CT$18,CT$17)</f>
        <v>9.9945332890000014</v>
      </c>
      <c r="CU254" s="16">
        <f ca="1">_xll.DBRW($D$4,$E$7,$E$8,$E$9,$E$10,$E$12,$D254,$E$6,CU$18,CU$17)</f>
        <v>5.1740453837780001</v>
      </c>
      <c r="CV254" s="16">
        <f ca="1">_xll.DBRW($D$4,$E$7,$E$8,$E$9,$E$10,$E$12,$D254,$E$6,CV$18,CV$17)</f>
        <v>9.9945332890000014</v>
      </c>
      <c r="CW254" s="16">
        <f ca="1">_xll.DBRW($D$4,$E$7,$E$8,$E$9,$E$10,$E$12,$D254,$E$6,CW$18,CW$17)</f>
        <v>8.4000000000000009E-5</v>
      </c>
      <c r="CX254" s="16">
        <f ca="1">_xll.DBRW($D$4,$E$7,$E$8,$E$9,$E$10,$E$12,$D254,$E$6,CX$18,CX$17)</f>
        <v>9.9945332890000014</v>
      </c>
      <c r="CY254" s="16">
        <f ca="1">_xll.DBRW($D$4,$E$7,$E$8,$E$9,$E$10,$E$12,$D254,$E$6,CY$18,CY$17)</f>
        <v>9.9945332890000014</v>
      </c>
      <c r="CZ254" s="16">
        <f ca="1">_xll.DBRW($D$4,$E$7,$E$8,$E$9,$E$10,$E$12,$D254,$E$6,CZ$18,CZ$17)</f>
        <v>9.9945332890000014</v>
      </c>
      <c r="DA254" s="26">
        <f t="shared" ca="1" si="146"/>
        <v>-4.8517011800000631</v>
      </c>
      <c r="DB254" s="26">
        <f t="shared" ca="1" si="147"/>
        <v>-0.56550315999999867</v>
      </c>
      <c r="DC254" s="26">
        <f t="shared" ca="1" si="148"/>
        <v>0</v>
      </c>
      <c r="DD254" s="26">
        <f t="shared" ca="1" si="149"/>
        <v>0</v>
      </c>
      <c r="DE254" s="26">
        <f t="shared" ca="1" si="150"/>
        <v>0</v>
      </c>
      <c r="DF254" s="26">
        <f t="shared" ca="1" si="151"/>
        <v>0</v>
      </c>
      <c r="DG254" s="26">
        <f t="shared" ca="1" si="152"/>
        <v>0</v>
      </c>
      <c r="DH254" s="26">
        <f t="shared" ca="1" si="153"/>
        <v>-4.2861980200000858</v>
      </c>
      <c r="DI254" s="26">
        <f t="shared" ca="1" si="154"/>
        <v>-17.606535730000019</v>
      </c>
      <c r="DJ254" s="26">
        <f t="shared" ca="1" si="155"/>
        <v>5.6864821599999971</v>
      </c>
      <c r="DK254" s="26">
        <f t="shared" ca="1" si="156"/>
        <v>1.5148406226510591E-3</v>
      </c>
      <c r="DL254" s="26"/>
      <c r="DM254" s="26"/>
      <c r="DN254" s="26"/>
      <c r="DO254" s="26"/>
      <c r="DP254" s="26">
        <f t="shared" ca="1" si="157"/>
        <v>2.6744346099999916</v>
      </c>
      <c r="DQ254" s="26">
        <f t="shared" ca="1" si="158"/>
        <v>-1.2974937888913241E-3</v>
      </c>
      <c r="DR254" s="26"/>
      <c r="DS254" s="26"/>
      <c r="DT254" s="26"/>
      <c r="DU254" s="26"/>
      <c r="DV254" s="26">
        <f t="shared" ca="1" si="159"/>
        <v>-1.0023045699999997</v>
      </c>
      <c r="DW254" s="26">
        <f t="shared" ca="1" si="160"/>
        <v>6.4322963082708851E-3</v>
      </c>
      <c r="DX254" s="26"/>
      <c r="DY254" s="26"/>
      <c r="DZ254" s="26"/>
      <c r="EA254" s="26"/>
      <c r="EB254" s="26">
        <f t="shared" ca="1" si="161"/>
        <v>4.8602585999999945</v>
      </c>
      <c r="EC254" s="26">
        <f t="shared" ca="1" si="162"/>
        <v>-6.2863237092532359E-3</v>
      </c>
      <c r="ED254" s="26"/>
      <c r="EE254" s="26"/>
      <c r="EF254" s="26"/>
      <c r="EG254" s="26"/>
      <c r="EH254" s="26">
        <f t="shared" ca="1" si="163"/>
        <v>1.1014669099999992</v>
      </c>
      <c r="EI254" s="29">
        <f t="shared" ca="1" si="164"/>
        <v>1.9057697955772723E-3</v>
      </c>
      <c r="EJ254" s="29"/>
      <c r="EK254" s="29"/>
      <c r="EL254" s="29"/>
      <c r="EM254" s="29"/>
      <c r="EN254" s="93"/>
      <c r="EO254" s="29"/>
      <c r="EP254" s="29"/>
      <c r="EQ254" s="29"/>
      <c r="ER254" s="29"/>
      <c r="ES254" s="29"/>
      <c r="ET254" s="29"/>
      <c r="EU254" s="93"/>
      <c r="EV254" s="29"/>
      <c r="EW254" s="29"/>
      <c r="EX254" s="29"/>
      <c r="EY254" s="29"/>
      <c r="EZ254" s="29"/>
      <c r="FA254" s="29"/>
      <c r="FB254" s="93"/>
      <c r="FC254" s="29"/>
      <c r="FD254" s="29"/>
      <c r="FE254" s="29"/>
      <c r="FF254" s="29"/>
      <c r="FG254" s="29"/>
      <c r="FH254" s="29"/>
      <c r="FI254" s="93"/>
      <c r="FJ254" s="29"/>
      <c r="FK254" s="29"/>
      <c r="FL254" s="29"/>
      <c r="FM254" s="29"/>
      <c r="FN254" s="29"/>
      <c r="FO254" s="29"/>
      <c r="FP254" s="93"/>
      <c r="FQ254" s="29"/>
      <c r="FR254" s="29"/>
      <c r="FS254" s="29"/>
      <c r="FT254" s="29"/>
      <c r="FU254" s="29"/>
      <c r="FV254" s="29"/>
    </row>
    <row r="255" spans="1:178" x14ac:dyDescent="0.25">
      <c r="A255" t="str">
        <f ca="1">IF(_xll.TM1RPTELISCONSOLIDATED($D$28,$D255),IF(_xll.TM1RPTELLEV($D$28,$D255)&lt;=3,_xll.TM1RPTELLEV($D$28,$D255),"D"),"N")</f>
        <v>N</v>
      </c>
      <c r="B255" t="str">
        <f ca="1">_xll.DBRA(Server&amp;"Management_organization",$D255,$B$27)</f>
        <v>L</v>
      </c>
      <c r="C255">
        <v>1</v>
      </c>
      <c r="D255" s="2" t="s">
        <v>353</v>
      </c>
      <c r="E255" s="26"/>
      <c r="F255" s="26"/>
      <c r="G255" s="16">
        <f ca="1">_xll.DBRW($D$4,$E$7,$E$8,$E$9,$E$10,$E$12,$D255,$E$6,G$18,G$17)</f>
        <v>79.277961459999815</v>
      </c>
      <c r="H255" s="16">
        <f ca="1">_xll.DBRW($D$4,$E$7,$E$8,$E$9,$E$10,$E$12,$D255,$E$6,H$18,H$17)</f>
        <v>-5.6165562600000012</v>
      </c>
      <c r="I255" s="16">
        <f ca="1">_xll.DBRW($D$4,$E$7,$E$8,$E$9,$E$10,$E$12,$D255,$E$6,I$18,I$17)</f>
        <v>0</v>
      </c>
      <c r="J255" s="26">
        <f ca="1">_xll.DBRW($D$4,$E$7,$E$8,$E$9,$E$10,$E$12,$D255,$E$6,J$18,J$17)</f>
        <v>0</v>
      </c>
      <c r="K255" s="26">
        <f ca="1">_xll.DBRW($D$4,$E$7,$E$8,$E$9,$E$10,$E$12,$D255,$E$6,K$18,K$17)</f>
        <v>0</v>
      </c>
      <c r="L255" s="26">
        <f ca="1">_xll.DBRW($D$4,$E$7,$E$8,$E$9,$E$10,$E$12,$D255,$E$6,L$18,L$17)</f>
        <v>0</v>
      </c>
      <c r="M255" s="26">
        <f ca="1">_xll.DBRW($D$4,$E$7,$E$8,$E$9,$E$10,$E$12,$D255,$E$6,M$18,M$17)</f>
        <v>0</v>
      </c>
      <c r="N255" s="16">
        <f ca="1">_xll.DBRW($D$4,$E$7,$E$8,$E$9,$E$10,$E$12,$D255,$E$6,N$18,N$17)</f>
        <v>84.894517719999797</v>
      </c>
      <c r="O255" s="16">
        <f ca="1">_xll.DBRW($D$4,$E$7,$E$8,$E$9,$E$10,$E$12,$D255,$E$6,O$18,O$17)</f>
        <v>310.1804052199999</v>
      </c>
      <c r="P255" s="74">
        <f ca="1">_xll.DBRW($D$4,$E$7,$E$8,$E$9,$E$10,$E$12,$D255,$E$6,P$18,P$17)</f>
        <v>-90.420702050000003</v>
      </c>
      <c r="Q255" s="16">
        <f ca="1">_xll.DBRW($D$4,$E$7,$E$8,$E$9,$E$10,$E$12,$D255,$E$6,Q$18,Q$17)</f>
        <v>0.29151003908795536</v>
      </c>
      <c r="R255" s="16"/>
      <c r="S255" s="16"/>
      <c r="T255" s="16"/>
      <c r="U255" s="16"/>
      <c r="V255" s="16">
        <f ca="1">_xll.DBRW($D$4,$E$7,$E$8,$E$9,$E$10,$E$12,$D255,$E$6,V$18,V$17)</f>
        <v>-19.087251810000005</v>
      </c>
      <c r="W255" s="16">
        <f ca="1">_xll.DBRW($D$4,$E$7,$E$8,$E$9,$E$10,$E$12,$D255,$E$6,W$18,W$17)</f>
        <v>6.1535969032157585E-2</v>
      </c>
      <c r="X255" s="16"/>
      <c r="Y255" s="16"/>
      <c r="Z255" s="16"/>
      <c r="AA255" s="16"/>
      <c r="AB255" s="16">
        <f ca="1">_xll.DBRW($D$4,$E$7,$E$8,$E$9,$E$10,$E$12,$D255,$E$6,AB$18,AB$17)</f>
        <v>-24.964469940000004</v>
      </c>
      <c r="AC255" s="16">
        <f ca="1">_xll.DBRW($D$4,$E$7,$E$8,$E$9,$E$10,$E$12,$D255,$E$6,AC$18,AC$17)</f>
        <v>8.0483710511286471E-2</v>
      </c>
      <c r="AD255" s="16"/>
      <c r="AE255" s="16"/>
      <c r="AF255" s="16"/>
      <c r="AG255" s="16"/>
      <c r="AH255" s="16">
        <f ca="1">_xll.DBRW($D$4,$E$7,$E$8,$E$9,$E$10,$E$12,$D255,$E$6,AH$18,AH$17)</f>
        <v>-19.965550350000001</v>
      </c>
      <c r="AI255" s="16">
        <f ca="1">_xll.DBRW($D$4,$E$7,$E$8,$E$9,$E$10,$E$12,$D255,$E$6,AI$18,AI$17)</f>
        <v>6.4367542288298801E-2</v>
      </c>
      <c r="AJ255" s="16"/>
      <c r="AK255" s="16"/>
      <c r="AL255" s="16"/>
      <c r="AM255" s="16"/>
      <c r="AN255" s="16">
        <f ca="1">_xll.DBRW($D$4,$E$7,$E$8,$E$9,$E$10,$E$12,$D255,$E$6,AN$18,AN$17)</f>
        <v>-70.847913350000027</v>
      </c>
      <c r="AO255" s="16">
        <f ca="1">_xll.DBRW($D$4,$E$7,$E$8,$E$9,$E$10,$E$12,$D255,$E$6,AO$18,AO$17)</f>
        <v>0.22840873297508954</v>
      </c>
      <c r="AP255" s="16"/>
      <c r="AQ255" s="16"/>
      <c r="AR255" s="16"/>
      <c r="AS255" s="16"/>
      <c r="AT255" s="16">
        <f ca="1">_xll.DBRW($D$4,$E$7,$E$8,$E$9,$E$10,$E$12,$D255,$E$6,AT$18,AT$17)</f>
        <v>0.30845689999999998</v>
      </c>
      <c r="AU255" s="16">
        <f ca="1">_xll.DBRW($D$4,$E$7,$E$8,$E$9,$E$10,$E$12,$D255,$E$6,AU$18,AU$17)</f>
        <v>3.0754889999999997</v>
      </c>
      <c r="AV255" s="16">
        <f ca="1">_xll.DBRW($D$4,$E$7,$E$8,$E$9,$E$10,$E$12,$D255,$E$6,AV$18,AV$17)</f>
        <v>8.6654689999999999</v>
      </c>
      <c r="AW255" s="16">
        <f ca="1">_xll.DBRW($D$4,$E$7,$E$8,$E$9,$E$10,$E$12,$D255,$E$6,AW$18,AW$17)</f>
        <v>3.0754889999999997</v>
      </c>
      <c r="AX255" s="16">
        <f ca="1">_xll.DBRW($D$4,$E$7,$E$8,$E$9,$E$10,$E$12,$D255,$E$6,AX$18,AX$17)</f>
        <v>2.1538042910000001</v>
      </c>
      <c r="AY255" s="16">
        <f ca="1">_xll.DBRW($D$4,$E$7,$E$8,$E$9,$E$10,$E$12,$D255,$E$6,AY$18,AY$17)</f>
        <v>3.0754889999999997</v>
      </c>
      <c r="AZ255" s="16">
        <f ca="1">_xll.DBRW($D$4,$E$7,$E$8,$E$9,$E$10,$E$12,$D255,$E$6,AZ$18,AZ$17)</f>
        <v>6.8000000000000013E-5</v>
      </c>
      <c r="BA255" s="16">
        <f ca="1">_xll.DBRW($D$4,$E$7,$E$8,$E$9,$E$10,$E$12,$D255,$E$6,BA$18,BA$17)</f>
        <v>3.0754889999999997</v>
      </c>
      <c r="BB255" s="16">
        <f ca="1">_xll.DBRW($D$4,$E$7,$E$8,$E$9,$E$10,$E$12,$D255,$E$6,BB$18,BB$17)</f>
        <v>0</v>
      </c>
      <c r="BC255" s="16">
        <f ca="1">_xll.DBRW($D$4,$E$7,$E$8,$E$9,$E$10,$E$12,$D255,$E$6,BC$18,BC$17)</f>
        <v>3.0754889999999997</v>
      </c>
      <c r="BD255" s="16">
        <f ca="1">_xll.DBRW($D$4,$E$7,$E$8,$E$9,$E$10,$E$12,$D255,$E$6,BD$18,BD$17)</f>
        <v>91.622507769999956</v>
      </c>
      <c r="BE255" s="16">
        <f ca="1">_xll.DBRW($D$4,$E$7,$E$8,$E$9,$E$10,$E$12,$D255,$E$6,BE$18,BE$17)</f>
        <v>-6.1072229999999994</v>
      </c>
      <c r="BF255" s="16">
        <f ca="1">_xll.DBRW($D$4,$E$7,$E$8,$E$9,$E$10,$E$12,$D255,$E$6,BF$18,BF$17)</f>
        <v>0</v>
      </c>
      <c r="BG255" s="26">
        <f ca="1">_xll.DBRW($D$4,$E$7,$E$8,$E$9,$E$10,$E$12,$D255,$E$6,BG$18,BG$17)</f>
        <v>0</v>
      </c>
      <c r="BH255" s="26">
        <f ca="1">_xll.DBRW($D$4,$E$7,$E$8,$E$9,$E$10,$E$12,$D255,$E$6,BH$18,BH$17)</f>
        <v>0</v>
      </c>
      <c r="BI255" s="26">
        <f ca="1">_xll.DBRW($D$4,$E$7,$E$8,$E$9,$E$10,$E$12,$D255,$E$6,BI$18,BI$17)</f>
        <v>0</v>
      </c>
      <c r="BJ255" s="26">
        <f ca="1">_xll.DBRW($D$4,$E$7,$E$8,$E$9,$E$10,$E$12,$D255,$E$6,BJ$18,BJ$17)</f>
        <v>0</v>
      </c>
      <c r="BK255" s="16">
        <f ca="1">_xll.DBRW($D$4,$E$7,$E$8,$E$9,$E$10,$E$12,$D255,$E$6,BK$18,BK$17)</f>
        <v>97.729730769999975</v>
      </c>
      <c r="BL255" s="16">
        <f ca="1">_xll.DBRW($D$4,$E$7,$E$8,$E$9,$E$10,$E$12,$D255,$E$6,BL$18,BL$17)</f>
        <v>347.42980900000003</v>
      </c>
      <c r="BM255" s="16">
        <f ca="1">_xll.DBRW($D$4,$E$7,$E$8,$E$9,$E$10,$E$12,$D255,$E$6,BM$18,BM$17)</f>
        <v>-89.509401120000007</v>
      </c>
      <c r="BN255" s="16">
        <f ca="1">_xll.DBRW($D$4,$E$7,$E$8,$E$9,$E$10,$E$12,$D255,$E$6,BN$18,BN$17)</f>
        <v>0.25763304932767012</v>
      </c>
      <c r="BO255" s="16"/>
      <c r="BP255" s="16"/>
      <c r="BQ255" s="16"/>
      <c r="BR255" s="16"/>
      <c r="BS255" s="16">
        <f ca="1">_xll.DBRW($D$4,$E$7,$E$8,$E$9,$E$10,$E$12,$D255,$E$6,BS$18,BS$17)</f>
        <v>-19.474073059999998</v>
      </c>
      <c r="BT255" s="16">
        <f ca="1">_xll.DBRW($D$4,$E$7,$E$8,$E$9,$E$10,$E$12,$D255,$E$6,BT$18,BT$17)</f>
        <v>5.6051819836794706E-2</v>
      </c>
      <c r="BU255" s="16"/>
      <c r="BV255" s="16"/>
      <c r="BW255" s="16"/>
      <c r="BX255" s="16"/>
      <c r="BY255" s="16">
        <f ca="1">_xll.DBRW($D$4,$E$7,$E$8,$E$9,$E$10,$E$12,$D255,$E$6,BY$18,BY$17)</f>
        <v>-25.430285009999999</v>
      </c>
      <c r="BZ255" s="16">
        <f ca="1">_xll.DBRW($D$4,$E$7,$E$8,$E$9,$E$10,$E$12,$D255,$E$6,BZ$18,BZ$17)</f>
        <v>7.3195460928339617E-2</v>
      </c>
      <c r="CA255" s="16"/>
      <c r="CB255" s="16"/>
      <c r="CC255" s="16"/>
      <c r="CD255" s="16"/>
      <c r="CE255" s="16">
        <f ca="1">_xll.DBRW($D$4,$E$7,$E$8,$E$9,$E$10,$E$12,$D255,$E$6,CE$18,CE$17)</f>
        <v>-21.594503450000001</v>
      </c>
      <c r="CF255" s="16">
        <f ca="1">_xll.DBRW($D$4,$E$7,$E$8,$E$9,$E$10,$E$12,$D255,$E$6,CF$18,CF$17)</f>
        <v>6.215501056790438E-2</v>
      </c>
      <c r="CG255" s="16"/>
      <c r="CH255" s="16"/>
      <c r="CI255" s="16"/>
      <c r="CJ255" s="16"/>
      <c r="CK255" s="16">
        <f ca="1">_xll.DBRW($D$4,$E$7,$E$8,$E$9,$E$10,$E$12,$D255,$E$6,CK$18,CK$17)</f>
        <v>-93.69181558999999</v>
      </c>
      <c r="CL255" s="16">
        <f ca="1">_xll.DBRW($D$4,$E$7,$E$8,$E$9,$E$10,$E$12,$D255,$E$6,CL$18,CL$17)</f>
        <v>0.26967120599027233</v>
      </c>
      <c r="CM255" s="16"/>
      <c r="CN255" s="16"/>
      <c r="CO255" s="16"/>
      <c r="CP255" s="16"/>
      <c r="CQ255" s="16">
        <f ca="1">_xll.DBRW($D$4,$E$7,$E$8,$E$9,$E$10,$E$12,$D255,$E$6,CQ$18,CQ$17)</f>
        <v>0.31196299999999999</v>
      </c>
      <c r="CR255" s="16">
        <f ca="1">_xll.DBRW($D$4,$E$7,$E$8,$E$9,$E$10,$E$12,$D255,$E$6,CR$18,CR$17)</f>
        <v>3.5277253093000001</v>
      </c>
      <c r="CS255" s="16">
        <f ca="1">_xll.DBRW($D$4,$E$7,$E$8,$E$9,$E$10,$E$12,$D255,$E$6,CS$18,CS$17)</f>
        <v>9.2815100000000008</v>
      </c>
      <c r="CT255" s="16">
        <f ca="1">_xll.DBRW($D$4,$E$7,$E$8,$E$9,$E$10,$E$12,$D255,$E$6,CT$18,CT$17)</f>
        <v>3.5277253093000001</v>
      </c>
      <c r="CU255" s="16">
        <f ca="1">_xll.DBRW($D$4,$E$7,$E$8,$E$9,$E$10,$E$12,$D255,$E$6,CU$18,CU$17)</f>
        <v>2.4907657400000001</v>
      </c>
      <c r="CV255" s="16">
        <f ca="1">_xll.DBRW($D$4,$E$7,$E$8,$E$9,$E$10,$E$12,$D255,$E$6,CV$18,CV$17)</f>
        <v>3.5277253093000001</v>
      </c>
      <c r="CW255" s="16">
        <f ca="1">_xll.DBRW($D$4,$E$7,$E$8,$E$9,$E$10,$E$12,$D255,$E$6,CW$18,CW$17)</f>
        <v>1.22E-5</v>
      </c>
      <c r="CX255" s="16">
        <f ca="1">_xll.DBRW($D$4,$E$7,$E$8,$E$9,$E$10,$E$12,$D255,$E$6,CX$18,CX$17)</f>
        <v>3.5277253093000001</v>
      </c>
      <c r="CY255" s="16">
        <f ca="1">_xll.DBRW($D$4,$E$7,$E$8,$E$9,$E$10,$E$12,$D255,$E$6,CY$18,CY$17)</f>
        <v>0</v>
      </c>
      <c r="CZ255" s="16">
        <f ca="1">_xll.DBRW($D$4,$E$7,$E$8,$E$9,$E$10,$E$12,$D255,$E$6,CZ$18,CZ$17)</f>
        <v>3.5277253093000001</v>
      </c>
      <c r="DA255" s="26">
        <f t="shared" ca="1" si="146"/>
        <v>-12.34454631000014</v>
      </c>
      <c r="DB255" s="26">
        <f t="shared" ca="1" si="147"/>
        <v>0.49066673999999821</v>
      </c>
      <c r="DC255" s="26">
        <f t="shared" ca="1" si="148"/>
        <v>0</v>
      </c>
      <c r="DD255" s="26">
        <f t="shared" ca="1" si="149"/>
        <v>0</v>
      </c>
      <c r="DE255" s="26">
        <f t="shared" ca="1" si="150"/>
        <v>0</v>
      </c>
      <c r="DF255" s="26">
        <f t="shared" ca="1" si="151"/>
        <v>0</v>
      </c>
      <c r="DG255" s="26">
        <f t="shared" ca="1" si="152"/>
        <v>0</v>
      </c>
      <c r="DH255" s="26">
        <f t="shared" ca="1" si="153"/>
        <v>-12.835213050000178</v>
      </c>
      <c r="DI255" s="26">
        <f t="shared" ca="1" si="154"/>
        <v>-37.249403780000137</v>
      </c>
      <c r="DJ255" s="26">
        <f t="shared" ca="1" si="155"/>
        <v>-0.9113009299999959</v>
      </c>
      <c r="DK255" s="26">
        <f t="shared" ca="1" si="156"/>
        <v>3.3876989760285248E-2</v>
      </c>
      <c r="DL255" s="26"/>
      <c r="DM255" s="26"/>
      <c r="DN255" s="26"/>
      <c r="DO255" s="26"/>
      <c r="DP255" s="26">
        <f t="shared" ca="1" si="157"/>
        <v>0.38682124999999346</v>
      </c>
      <c r="DQ255" s="26">
        <f t="shared" ca="1" si="158"/>
        <v>5.4841491953628793E-3</v>
      </c>
      <c r="DR255" s="26"/>
      <c r="DS255" s="26"/>
      <c r="DT255" s="26"/>
      <c r="DU255" s="26"/>
      <c r="DV255" s="26">
        <f t="shared" ca="1" si="159"/>
        <v>0.46581506999999434</v>
      </c>
      <c r="DW255" s="26">
        <f t="shared" ca="1" si="160"/>
        <v>7.2882495829468541E-3</v>
      </c>
      <c r="DX255" s="26"/>
      <c r="DY255" s="26"/>
      <c r="DZ255" s="26"/>
      <c r="EA255" s="26"/>
      <c r="EB255" s="26">
        <f t="shared" ca="1" si="161"/>
        <v>1.6289531000000004</v>
      </c>
      <c r="EC255" s="26">
        <f t="shared" ca="1" si="162"/>
        <v>2.2125317203944214E-3</v>
      </c>
      <c r="ED255" s="26"/>
      <c r="EE255" s="26"/>
      <c r="EF255" s="26"/>
      <c r="EG255" s="26"/>
      <c r="EH255" s="26">
        <f t="shared" ca="1" si="163"/>
        <v>22.843902239999963</v>
      </c>
      <c r="EI255" s="29">
        <f t="shared" ca="1" si="164"/>
        <v>-4.1262473015182793E-2</v>
      </c>
      <c r="EJ255" s="29"/>
      <c r="EK255" s="29"/>
      <c r="EL255" s="29"/>
      <c r="EM255" s="29"/>
      <c r="EN255" s="93"/>
      <c r="EO255" s="29"/>
      <c r="EP255" s="29"/>
      <c r="EQ255" s="29"/>
      <c r="ER255" s="29"/>
      <c r="ES255" s="29"/>
      <c r="ET255" s="29"/>
      <c r="EU255" s="93"/>
      <c r="EV255" s="29"/>
      <c r="EW255" s="29"/>
      <c r="EX255" s="29"/>
      <c r="EY255" s="29"/>
      <c r="EZ255" s="29"/>
      <c r="FA255" s="29"/>
      <c r="FB255" s="93"/>
      <c r="FC255" s="29"/>
      <c r="FD255" s="29"/>
      <c r="FE255" s="29"/>
      <c r="FF255" s="29"/>
      <c r="FG255" s="29"/>
      <c r="FH255" s="29"/>
      <c r="FI255" s="93"/>
      <c r="FJ255" s="29"/>
      <c r="FK255" s="29"/>
      <c r="FL255" s="29"/>
      <c r="FM255" s="29"/>
      <c r="FN255" s="29"/>
      <c r="FO255" s="29"/>
      <c r="FP255" s="93"/>
      <c r="FQ255" s="29"/>
      <c r="FR255" s="29"/>
      <c r="FS255" s="29"/>
      <c r="FT255" s="29"/>
      <c r="FU255" s="29"/>
      <c r="FV255" s="29"/>
    </row>
    <row r="256" spans="1:178" x14ac:dyDescent="0.25">
      <c r="A256" t="str">
        <f ca="1">IF(_xll.TM1RPTELISCONSOLIDATED($D$28,$D256),IF(_xll.TM1RPTELLEV($D$28,$D256)&lt;=3,_xll.TM1RPTELLEV($D$28,$D256),"D"),"N")</f>
        <v>N</v>
      </c>
      <c r="B256" t="str">
        <f ca="1">_xll.DBRA(Server&amp;"Management_organization",$D256,$B$27)</f>
        <v>L</v>
      </c>
      <c r="C256">
        <v>1</v>
      </c>
      <c r="D256" s="2" t="s">
        <v>354</v>
      </c>
      <c r="E256" s="26"/>
      <c r="F256" s="26"/>
      <c r="G256" s="16">
        <f ca="1">_xll.DBRW($D$4,$E$7,$E$8,$E$9,$E$10,$E$12,$D256,$E$6,G$18,G$17)</f>
        <v>34.301591049999999</v>
      </c>
      <c r="H256" s="16">
        <f ca="1">_xll.DBRW($D$4,$E$7,$E$8,$E$9,$E$10,$E$12,$D256,$E$6,H$18,H$17)</f>
        <v>-2.2665794000000004</v>
      </c>
      <c r="I256" s="16">
        <f ca="1">_xll.DBRW($D$4,$E$7,$E$8,$E$9,$E$10,$E$12,$D256,$E$6,I$18,I$17)</f>
        <v>0</v>
      </c>
      <c r="J256" s="26">
        <f ca="1">_xll.DBRW($D$4,$E$7,$E$8,$E$9,$E$10,$E$12,$D256,$E$6,J$18,J$17)</f>
        <v>0</v>
      </c>
      <c r="K256" s="26">
        <f ca="1">_xll.DBRW($D$4,$E$7,$E$8,$E$9,$E$10,$E$12,$D256,$E$6,K$18,K$17)</f>
        <v>0</v>
      </c>
      <c r="L256" s="26">
        <f ca="1">_xll.DBRW($D$4,$E$7,$E$8,$E$9,$E$10,$E$12,$D256,$E$6,L$18,L$17)</f>
        <v>0</v>
      </c>
      <c r="M256" s="26">
        <f ca="1">_xll.DBRW($D$4,$E$7,$E$8,$E$9,$E$10,$E$12,$D256,$E$6,M$18,M$17)</f>
        <v>0</v>
      </c>
      <c r="N256" s="16">
        <f ca="1">_xll.DBRW($D$4,$E$7,$E$8,$E$9,$E$10,$E$12,$D256,$E$6,N$18,N$17)</f>
        <v>36.568170450000004</v>
      </c>
      <c r="O256" s="16">
        <f ca="1">_xll.DBRW($D$4,$E$7,$E$8,$E$9,$E$10,$E$12,$D256,$E$6,O$18,O$17)</f>
        <v>97.861058810000017</v>
      </c>
      <c r="P256" s="74">
        <f ca="1">_xll.DBRW($D$4,$E$7,$E$8,$E$9,$E$10,$E$12,$D256,$E$6,P$18,P$17)</f>
        <v>-24.88124349000001</v>
      </c>
      <c r="Q256" s="16">
        <f ca="1">_xll.DBRW($D$4,$E$7,$E$8,$E$9,$E$10,$E$12,$D256,$E$6,Q$18,Q$17)</f>
        <v>0.25425070801970007</v>
      </c>
      <c r="R256" s="16"/>
      <c r="S256" s="16"/>
      <c r="T256" s="16"/>
      <c r="U256" s="16"/>
      <c r="V256" s="16">
        <f ca="1">_xll.DBRW($D$4,$E$7,$E$8,$E$9,$E$10,$E$12,$D256,$E$6,V$18,V$17)</f>
        <v>-5.6837747099999998</v>
      </c>
      <c r="W256" s="16">
        <f ca="1">_xll.DBRW($D$4,$E$7,$E$8,$E$9,$E$10,$E$12,$D256,$E$6,W$18,W$17)</f>
        <v>5.8080045107985263E-2</v>
      </c>
      <c r="X256" s="16"/>
      <c r="Y256" s="16"/>
      <c r="Z256" s="16"/>
      <c r="AA256" s="16"/>
      <c r="AB256" s="16">
        <f ca="1">_xll.DBRW($D$4,$E$7,$E$8,$E$9,$E$10,$E$12,$D256,$E$6,AB$18,AB$17)</f>
        <v>-6.8793438099999999</v>
      </c>
      <c r="AC256" s="16">
        <f ca="1">_xll.DBRW($D$4,$E$7,$E$8,$E$9,$E$10,$E$12,$D256,$E$6,AC$18,AC$17)</f>
        <v>7.0297050672182476E-2</v>
      </c>
      <c r="AD256" s="16"/>
      <c r="AE256" s="16"/>
      <c r="AF256" s="16"/>
      <c r="AG256" s="16"/>
      <c r="AH256" s="16">
        <f ca="1">_xll.DBRW($D$4,$E$7,$E$8,$E$9,$E$10,$E$12,$D256,$E$6,AH$18,AH$17)</f>
        <v>-6.1406474200000005</v>
      </c>
      <c r="AI256" s="16">
        <f ca="1">_xll.DBRW($D$4,$E$7,$E$8,$E$9,$E$10,$E$12,$D256,$E$6,AI$18,AI$17)</f>
        <v>6.2748630504011194E-2</v>
      </c>
      <c r="AJ256" s="16"/>
      <c r="AK256" s="16"/>
      <c r="AL256" s="16"/>
      <c r="AM256" s="16"/>
      <c r="AN256" s="16">
        <f ca="1">_xll.DBRW($D$4,$E$7,$E$8,$E$9,$E$10,$E$12,$D256,$E$6,AN$18,AN$17)</f>
        <v>-17.707878929999996</v>
      </c>
      <c r="AO256" s="16">
        <f ca="1">_xll.DBRW($D$4,$E$7,$E$8,$E$9,$E$10,$E$12,$D256,$E$6,AO$18,AO$17)</f>
        <v>0.18094918597171872</v>
      </c>
      <c r="AP256" s="16"/>
      <c r="AQ256" s="16"/>
      <c r="AR256" s="16"/>
      <c r="AS256" s="16"/>
      <c r="AT256" s="16">
        <f ca="1">_xll.DBRW($D$4,$E$7,$E$8,$E$9,$E$10,$E$12,$D256,$E$6,AT$18,AT$17)</f>
        <v>8.7323066666667004E-2</v>
      </c>
      <c r="AU256" s="16">
        <f ca="1">_xll.DBRW($D$4,$E$7,$E$8,$E$9,$E$10,$E$12,$D256,$E$6,AU$18,AU$17)</f>
        <v>1.1189369999999998</v>
      </c>
      <c r="AV256" s="16">
        <f ca="1">_xll.DBRW($D$4,$E$7,$E$8,$E$9,$E$10,$E$12,$D256,$E$6,AV$18,AV$17)</f>
        <v>2.3173899999999996</v>
      </c>
      <c r="AW256" s="16">
        <f ca="1">_xll.DBRW($D$4,$E$7,$E$8,$E$9,$E$10,$E$12,$D256,$E$6,AW$18,AW$17)</f>
        <v>1.1189369999999998</v>
      </c>
      <c r="AX256" s="16">
        <f ca="1">_xll.DBRW($D$4,$E$7,$E$8,$E$9,$E$10,$E$12,$D256,$E$6,AX$18,AX$17)</f>
        <v>0.71243993999999988</v>
      </c>
      <c r="AY256" s="16">
        <f ca="1">_xll.DBRW($D$4,$E$7,$E$8,$E$9,$E$10,$E$12,$D256,$E$6,AY$18,AY$17)</f>
        <v>1.1189369999999998</v>
      </c>
      <c r="AZ256" s="16">
        <f ca="1">_xll.DBRW($D$4,$E$7,$E$8,$E$9,$E$10,$E$12,$D256,$E$6,AZ$18,AZ$17)</f>
        <v>2.3444444444444444E-5</v>
      </c>
      <c r="BA256" s="16">
        <f ca="1">_xll.DBRW($D$4,$E$7,$E$8,$E$9,$E$10,$E$12,$D256,$E$6,BA$18,BA$17)</f>
        <v>1.1189369999999998</v>
      </c>
      <c r="BB256" s="16">
        <f ca="1">_xll.DBRW($D$4,$E$7,$E$8,$E$9,$E$10,$E$12,$D256,$E$6,BB$18,BB$17)</f>
        <v>0</v>
      </c>
      <c r="BC256" s="16">
        <f ca="1">_xll.DBRW($D$4,$E$7,$E$8,$E$9,$E$10,$E$12,$D256,$E$6,BC$18,BC$17)</f>
        <v>1.1189369999999998</v>
      </c>
      <c r="BD256" s="16">
        <f ca="1">_xll.DBRW($D$4,$E$7,$E$8,$E$9,$E$10,$E$12,$D256,$E$6,BD$18,BD$17)</f>
        <v>36.714496319999974</v>
      </c>
      <c r="BE256" s="16">
        <f ca="1">_xll.DBRW($D$4,$E$7,$E$8,$E$9,$E$10,$E$12,$D256,$E$6,BE$18,BE$17)</f>
        <v>-2.430399</v>
      </c>
      <c r="BF256" s="16">
        <f ca="1">_xll.DBRW($D$4,$E$7,$E$8,$E$9,$E$10,$E$12,$D256,$E$6,BF$18,BF$17)</f>
        <v>0</v>
      </c>
      <c r="BG256" s="26">
        <f ca="1">_xll.DBRW($D$4,$E$7,$E$8,$E$9,$E$10,$E$12,$D256,$E$6,BG$18,BG$17)</f>
        <v>0</v>
      </c>
      <c r="BH256" s="26">
        <f ca="1">_xll.DBRW($D$4,$E$7,$E$8,$E$9,$E$10,$E$12,$D256,$E$6,BH$18,BH$17)</f>
        <v>0</v>
      </c>
      <c r="BI256" s="26">
        <f ca="1">_xll.DBRW($D$4,$E$7,$E$8,$E$9,$E$10,$E$12,$D256,$E$6,BI$18,BI$17)</f>
        <v>0</v>
      </c>
      <c r="BJ256" s="26">
        <f ca="1">_xll.DBRW($D$4,$E$7,$E$8,$E$9,$E$10,$E$12,$D256,$E$6,BJ$18,BJ$17)</f>
        <v>0</v>
      </c>
      <c r="BK256" s="16">
        <f ca="1">_xll.DBRW($D$4,$E$7,$E$8,$E$9,$E$10,$E$12,$D256,$E$6,BK$18,BK$17)</f>
        <v>39.144895319999975</v>
      </c>
      <c r="BL256" s="16">
        <f ca="1">_xll.DBRW($D$4,$E$7,$E$8,$E$9,$E$10,$E$12,$D256,$E$6,BL$18,BL$17)</f>
        <v>109.36644999999997</v>
      </c>
      <c r="BM256" s="16">
        <f ca="1">_xll.DBRW($D$4,$E$7,$E$8,$E$9,$E$10,$E$12,$D256,$E$6,BM$18,BM$17)</f>
        <v>-27.717385059999998</v>
      </c>
      <c r="BN256" s="16">
        <f ca="1">_xll.DBRW($D$4,$E$7,$E$8,$E$9,$E$10,$E$12,$D256,$E$6,BN$18,BN$17)</f>
        <v>0.25343590342376482</v>
      </c>
      <c r="BO256" s="16"/>
      <c r="BP256" s="16"/>
      <c r="BQ256" s="16"/>
      <c r="BR256" s="16"/>
      <c r="BS256" s="16">
        <f ca="1">_xll.DBRW($D$4,$E$7,$E$8,$E$9,$E$10,$E$12,$D256,$E$6,BS$18,BS$17)</f>
        <v>-6.5025669999999991</v>
      </c>
      <c r="BT256" s="16">
        <f ca="1">_xll.DBRW($D$4,$E$7,$E$8,$E$9,$E$10,$E$12,$D256,$E$6,BT$18,BT$17)</f>
        <v>5.9456688957171058E-2</v>
      </c>
      <c r="BU256" s="16"/>
      <c r="BV256" s="16"/>
      <c r="BW256" s="16"/>
      <c r="BX256" s="16"/>
      <c r="BY256" s="16">
        <f ca="1">_xll.DBRW($D$4,$E$7,$E$8,$E$9,$E$10,$E$12,$D256,$E$6,BY$18,BY$17)</f>
        <v>-8.3084887999999992</v>
      </c>
      <c r="BZ256" s="16">
        <f ca="1">_xll.DBRW($D$4,$E$7,$E$8,$E$9,$E$10,$E$12,$D256,$E$6,BZ$18,BZ$17)</f>
        <v>7.5969264797385319E-2</v>
      </c>
      <c r="CA256" s="16"/>
      <c r="CB256" s="16"/>
      <c r="CC256" s="16"/>
      <c r="CD256" s="16"/>
      <c r="CE256" s="16">
        <f ca="1">_xll.DBRW($D$4,$E$7,$E$8,$E$9,$E$10,$E$12,$D256,$E$6,CE$18,CE$17)</f>
        <v>-7.1917858200000007</v>
      </c>
      <c r="CF256" s="16">
        <f ca="1">_xll.DBRW($D$4,$E$7,$E$8,$E$9,$E$10,$E$12,$D256,$E$6,CF$18,CF$17)</f>
        <v>6.5758610798832759E-2</v>
      </c>
      <c r="CG256" s="16"/>
      <c r="CH256" s="16"/>
      <c r="CI256" s="16"/>
      <c r="CJ256" s="16"/>
      <c r="CK256" s="16">
        <f ca="1">_xll.DBRW($D$4,$E$7,$E$8,$E$9,$E$10,$E$12,$D256,$E$6,CK$18,CK$17)</f>
        <v>-20.501328000000001</v>
      </c>
      <c r="CL256" s="16">
        <f ca="1">_xll.DBRW($D$4,$E$7,$E$8,$E$9,$E$10,$E$12,$D256,$E$6,CL$18,CL$17)</f>
        <v>0.18745536679667307</v>
      </c>
      <c r="CM256" s="16"/>
      <c r="CN256" s="16"/>
      <c r="CO256" s="16"/>
      <c r="CP256" s="16"/>
      <c r="CQ256" s="16">
        <f ca="1">_xll.DBRW($D$4,$E$7,$E$8,$E$9,$E$10,$E$12,$D256,$E$6,CQ$18,CQ$17)</f>
        <v>9.6725999999999993E-2</v>
      </c>
      <c r="CR256" s="16">
        <f ca="1">_xll.DBRW($D$4,$E$7,$E$8,$E$9,$E$10,$E$12,$D256,$E$6,CR$18,CR$17)</f>
        <v>1.27528</v>
      </c>
      <c r="CS256" s="16">
        <f ca="1">_xll.DBRW($D$4,$E$7,$E$8,$E$9,$E$10,$E$12,$D256,$E$6,CS$18,CS$17)</f>
        <v>2.6038330000000003</v>
      </c>
      <c r="CT256" s="16">
        <f ca="1">_xll.DBRW($D$4,$E$7,$E$8,$E$9,$E$10,$E$12,$D256,$E$6,CT$18,CT$17)</f>
        <v>1.27528</v>
      </c>
      <c r="CU256" s="16">
        <f ca="1">_xll.DBRW($D$4,$E$7,$E$8,$E$9,$E$10,$E$12,$D256,$E$6,CU$18,CU$17)</f>
        <v>0.78438163000000005</v>
      </c>
      <c r="CV256" s="16">
        <f ca="1">_xll.DBRW($D$4,$E$7,$E$8,$E$9,$E$10,$E$12,$D256,$E$6,CV$18,CV$17)</f>
        <v>1.27528</v>
      </c>
      <c r="CW256" s="16">
        <f ca="1">_xll.DBRW($D$4,$E$7,$E$8,$E$9,$E$10,$E$12,$D256,$E$6,CW$18,CW$17)</f>
        <v>7.3333333333333331E-6</v>
      </c>
      <c r="CX256" s="16">
        <f ca="1">_xll.DBRW($D$4,$E$7,$E$8,$E$9,$E$10,$E$12,$D256,$E$6,CX$18,CX$17)</f>
        <v>1.27528</v>
      </c>
      <c r="CY256" s="16">
        <f ca="1">_xll.DBRW($D$4,$E$7,$E$8,$E$9,$E$10,$E$12,$D256,$E$6,CY$18,CY$17)</f>
        <v>0</v>
      </c>
      <c r="CZ256" s="16">
        <f ca="1">_xll.DBRW($D$4,$E$7,$E$8,$E$9,$E$10,$E$12,$D256,$E$6,CZ$18,CZ$17)</f>
        <v>1.27528</v>
      </c>
      <c r="DA256" s="26">
        <f t="shared" ca="1" si="146"/>
        <v>-2.4129052699999747</v>
      </c>
      <c r="DB256" s="26">
        <f t="shared" ca="1" si="147"/>
        <v>0.16381959999999962</v>
      </c>
      <c r="DC256" s="26">
        <f t="shared" ca="1" si="148"/>
        <v>0</v>
      </c>
      <c r="DD256" s="26">
        <f t="shared" ca="1" si="149"/>
        <v>0</v>
      </c>
      <c r="DE256" s="26">
        <f t="shared" ca="1" si="150"/>
        <v>0</v>
      </c>
      <c r="DF256" s="26">
        <f t="shared" ca="1" si="151"/>
        <v>0</v>
      </c>
      <c r="DG256" s="26">
        <f t="shared" ca="1" si="152"/>
        <v>0</v>
      </c>
      <c r="DH256" s="26">
        <f t="shared" ca="1" si="153"/>
        <v>-2.5767248699999712</v>
      </c>
      <c r="DI256" s="26">
        <f t="shared" ca="1" si="154"/>
        <v>-11.505391189999955</v>
      </c>
      <c r="DJ256" s="26">
        <f t="shared" ca="1" si="155"/>
        <v>2.8361415699999881</v>
      </c>
      <c r="DK256" s="26">
        <f t="shared" ca="1" si="156"/>
        <v>8.148045959352479E-4</v>
      </c>
      <c r="DL256" s="26"/>
      <c r="DM256" s="26"/>
      <c r="DN256" s="26"/>
      <c r="DO256" s="26"/>
      <c r="DP256" s="26">
        <f t="shared" ca="1" si="157"/>
        <v>0.81879228999999931</v>
      </c>
      <c r="DQ256" s="26">
        <f t="shared" ca="1" si="158"/>
        <v>-1.3766438491857949E-3</v>
      </c>
      <c r="DR256" s="26"/>
      <c r="DS256" s="26"/>
      <c r="DT256" s="26"/>
      <c r="DU256" s="26"/>
      <c r="DV256" s="26">
        <f t="shared" ca="1" si="159"/>
        <v>1.4291449899999993</v>
      </c>
      <c r="DW256" s="26">
        <f t="shared" ca="1" si="160"/>
        <v>-5.672214125202843E-3</v>
      </c>
      <c r="DX256" s="26"/>
      <c r="DY256" s="26"/>
      <c r="DZ256" s="26"/>
      <c r="EA256" s="26"/>
      <c r="EB256" s="26">
        <f t="shared" ca="1" si="161"/>
        <v>1.0511384000000001</v>
      </c>
      <c r="EC256" s="26">
        <f t="shared" ca="1" si="162"/>
        <v>-3.0099802948215654E-3</v>
      </c>
      <c r="ED256" s="26"/>
      <c r="EE256" s="26"/>
      <c r="EF256" s="26"/>
      <c r="EG256" s="26"/>
      <c r="EH256" s="26">
        <f t="shared" ca="1" si="163"/>
        <v>2.7934490700000048</v>
      </c>
      <c r="EI256" s="29">
        <f t="shared" ca="1" si="164"/>
        <v>-6.5061808249543551E-3</v>
      </c>
      <c r="EJ256" s="29"/>
      <c r="EK256" s="29"/>
      <c r="EL256" s="29"/>
      <c r="EM256" s="29"/>
      <c r="EN256" s="93"/>
      <c r="EO256" s="29"/>
      <c r="EP256" s="29"/>
      <c r="EQ256" s="29"/>
      <c r="ER256" s="29"/>
      <c r="ES256" s="29"/>
      <c r="ET256" s="29"/>
      <c r="EU256" s="93"/>
      <c r="EV256" s="29"/>
      <c r="EW256" s="29"/>
      <c r="EX256" s="29"/>
      <c r="EY256" s="29"/>
      <c r="EZ256" s="29"/>
      <c r="FA256" s="29"/>
      <c r="FB256" s="93"/>
      <c r="FC256" s="29"/>
      <c r="FD256" s="29"/>
      <c r="FE256" s="29"/>
      <c r="FF256" s="29"/>
      <c r="FG256" s="29"/>
      <c r="FH256" s="29"/>
      <c r="FI256" s="93"/>
      <c r="FJ256" s="29"/>
      <c r="FK256" s="29"/>
      <c r="FL256" s="29"/>
      <c r="FM256" s="29"/>
      <c r="FN256" s="29"/>
      <c r="FO256" s="29"/>
      <c r="FP256" s="93"/>
      <c r="FQ256" s="29"/>
      <c r="FR256" s="29"/>
      <c r="FS256" s="29"/>
      <c r="FT256" s="29"/>
      <c r="FU256" s="29"/>
      <c r="FV256" s="29"/>
    </row>
    <row r="257" spans="1:178" x14ac:dyDescent="0.25">
      <c r="A257" t="str">
        <f ca="1">IF(_xll.TM1RPTELISCONSOLIDATED($D$28,$D257),IF(_xll.TM1RPTELLEV($D$28,$D257)&lt;=3,_xll.TM1RPTELLEV($D$28,$D257),"D"),"N")</f>
        <v>N</v>
      </c>
      <c r="B257" t="str">
        <f ca="1">_xll.DBRA(Server&amp;"Management_organization",$D257,$B$27)</f>
        <v>L</v>
      </c>
      <c r="C257">
        <v>1</v>
      </c>
      <c r="D257" s="2" t="s">
        <v>355</v>
      </c>
      <c r="E257" s="26"/>
      <c r="F257" s="26"/>
      <c r="G257" s="16">
        <f ca="1">_xll.DBRW($D$4,$E$7,$E$8,$E$9,$E$10,$E$12,$D257,$E$6,G$18,G$17)</f>
        <v>3.4910168499999905</v>
      </c>
      <c r="H257" s="16">
        <f ca="1">_xll.DBRW($D$4,$E$7,$E$8,$E$9,$E$10,$E$12,$D257,$E$6,H$18,H$17)</f>
        <v>-0.81667855999999994</v>
      </c>
      <c r="I257" s="16">
        <f ca="1">_xll.DBRW($D$4,$E$7,$E$8,$E$9,$E$10,$E$12,$D257,$E$6,I$18,I$17)</f>
        <v>0</v>
      </c>
      <c r="J257" s="26">
        <f ca="1">_xll.DBRW($D$4,$E$7,$E$8,$E$9,$E$10,$E$12,$D257,$E$6,J$18,J$17)</f>
        <v>0</v>
      </c>
      <c r="K257" s="26">
        <f ca="1">_xll.DBRW($D$4,$E$7,$E$8,$E$9,$E$10,$E$12,$D257,$E$6,K$18,K$17)</f>
        <v>0</v>
      </c>
      <c r="L257" s="26">
        <f ca="1">_xll.DBRW($D$4,$E$7,$E$8,$E$9,$E$10,$E$12,$D257,$E$6,L$18,L$17)</f>
        <v>0</v>
      </c>
      <c r="M257" s="26">
        <f ca="1">_xll.DBRW($D$4,$E$7,$E$8,$E$9,$E$10,$E$12,$D257,$E$6,M$18,M$17)</f>
        <v>0</v>
      </c>
      <c r="N257" s="16">
        <f ca="1">_xll.DBRW($D$4,$E$7,$E$8,$E$9,$E$10,$E$12,$D257,$E$6,N$18,N$17)</f>
        <v>4.3076954099999911</v>
      </c>
      <c r="O257" s="16">
        <f ca="1">_xll.DBRW($D$4,$E$7,$E$8,$E$9,$E$10,$E$12,$D257,$E$6,O$18,O$17)</f>
        <v>30.732760499999991</v>
      </c>
      <c r="P257" s="74">
        <f ca="1">_xll.DBRW($D$4,$E$7,$E$8,$E$9,$E$10,$E$12,$D257,$E$6,P$18,P$17)</f>
        <v>-8.8465668000000015</v>
      </c>
      <c r="Q257" s="16">
        <f ca="1">_xll.DBRW($D$4,$E$7,$E$8,$E$9,$E$10,$E$12,$D257,$E$6,Q$18,Q$17)</f>
        <v>0.28785461039206045</v>
      </c>
      <c r="R257" s="16"/>
      <c r="S257" s="16"/>
      <c r="T257" s="16"/>
      <c r="U257" s="16"/>
      <c r="V257" s="16">
        <f ca="1">_xll.DBRW($D$4,$E$7,$E$8,$E$9,$E$10,$E$12,$D257,$E$6,V$18,V$17)</f>
        <v>-2.5800735899999996</v>
      </c>
      <c r="W257" s="16">
        <f ca="1">_xll.DBRW($D$4,$E$7,$E$8,$E$9,$E$10,$E$12,$D257,$E$6,W$18,W$17)</f>
        <v>8.3951898496069058E-2</v>
      </c>
      <c r="X257" s="16"/>
      <c r="Y257" s="16"/>
      <c r="Z257" s="16"/>
      <c r="AA257" s="16"/>
      <c r="AB257" s="16">
        <f ca="1">_xll.DBRW($D$4,$E$7,$E$8,$E$9,$E$10,$E$12,$D257,$E$6,AB$18,AB$17)</f>
        <v>-2.9136208799999999</v>
      </c>
      <c r="AC257" s="16">
        <f ca="1">_xll.DBRW($D$4,$E$7,$E$8,$E$9,$E$10,$E$12,$D257,$E$6,AC$18,AC$17)</f>
        <v>9.4805049484572038E-2</v>
      </c>
      <c r="AD257" s="16"/>
      <c r="AE257" s="16"/>
      <c r="AF257" s="16"/>
      <c r="AG257" s="16"/>
      <c r="AH257" s="16">
        <f ca="1">_xll.DBRW($D$4,$E$7,$E$8,$E$9,$E$10,$E$12,$D257,$E$6,AH$18,AH$17)</f>
        <v>-3.1035955099999999</v>
      </c>
      <c r="AI257" s="16">
        <f ca="1">_xll.DBRW($D$4,$E$7,$E$8,$E$9,$E$10,$E$12,$D257,$E$6,AI$18,AI$17)</f>
        <v>0.10098655179380976</v>
      </c>
      <c r="AJ257" s="16"/>
      <c r="AK257" s="16"/>
      <c r="AL257" s="16"/>
      <c r="AM257" s="16"/>
      <c r="AN257" s="16">
        <f ca="1">_xll.DBRW($D$4,$E$7,$E$8,$E$9,$E$10,$E$12,$D257,$E$6,AN$18,AN$17)</f>
        <v>-8.9812083099999995</v>
      </c>
      <c r="AO257" s="16">
        <f ca="1">_xll.DBRW($D$4,$E$7,$E$8,$E$9,$E$10,$E$12,$D257,$E$6,AO$18,AO$17)</f>
        <v>0.29223565224477643</v>
      </c>
      <c r="AP257" s="16"/>
      <c r="AQ257" s="16"/>
      <c r="AR257" s="16"/>
      <c r="AS257" s="16"/>
      <c r="AT257" s="16">
        <f ca="1">_xll.DBRW($D$4,$E$7,$E$8,$E$9,$E$10,$E$12,$D257,$E$6,AT$18,AT$17)</f>
        <v>0</v>
      </c>
      <c r="AU257" s="16">
        <f ca="1">_xll.DBRW($D$4,$E$7,$E$8,$E$9,$E$10,$E$12,$D257,$E$6,AU$18,AU$17)</f>
        <v>0.35124699999999998</v>
      </c>
      <c r="AV257" s="16">
        <f ca="1">_xll.DBRW($D$4,$E$7,$E$8,$E$9,$E$10,$E$12,$D257,$E$6,AV$18,AV$17)</f>
        <v>0.7919449999999999</v>
      </c>
      <c r="AW257" s="16">
        <f ca="1">_xll.DBRW($D$4,$E$7,$E$8,$E$9,$E$10,$E$12,$D257,$E$6,AW$18,AW$17)</f>
        <v>0.35124699999999998</v>
      </c>
      <c r="AX257" s="16">
        <f ca="1">_xll.DBRW($D$4,$E$7,$E$8,$E$9,$E$10,$E$12,$D257,$E$6,AX$18,AX$17)</f>
        <v>0.23092414</v>
      </c>
      <c r="AY257" s="16">
        <f ca="1">_xll.DBRW($D$4,$E$7,$E$8,$E$9,$E$10,$E$12,$D257,$E$6,AY$18,AY$17)</f>
        <v>0.35124699999999998</v>
      </c>
      <c r="AZ257" s="16">
        <f ca="1">_xll.DBRW($D$4,$E$7,$E$8,$E$9,$E$10,$E$12,$D257,$E$6,AZ$18,AZ$17)</f>
        <v>1.575E-5</v>
      </c>
      <c r="BA257" s="16">
        <f ca="1">_xll.DBRW($D$4,$E$7,$E$8,$E$9,$E$10,$E$12,$D257,$E$6,BA$18,BA$17)</f>
        <v>0.35124699999999998</v>
      </c>
      <c r="BB257" s="16">
        <f ca="1">_xll.DBRW($D$4,$E$7,$E$8,$E$9,$E$10,$E$12,$D257,$E$6,BB$18,BB$17)</f>
        <v>0</v>
      </c>
      <c r="BC257" s="16">
        <f ca="1">_xll.DBRW($D$4,$E$7,$E$8,$E$9,$E$10,$E$12,$D257,$E$6,BC$18,BC$17)</f>
        <v>0.35124699999999998</v>
      </c>
      <c r="BD257" s="16">
        <f ca="1">_xll.DBRW($D$4,$E$7,$E$8,$E$9,$E$10,$E$12,$D257,$E$6,BD$18,BD$17)</f>
        <v>4.8160316500000011</v>
      </c>
      <c r="BE257" s="16">
        <f ca="1">_xll.DBRW($D$4,$E$7,$E$8,$E$9,$E$10,$E$12,$D257,$E$6,BE$18,BE$17)</f>
        <v>-0.95705511999999993</v>
      </c>
      <c r="BF257" s="16">
        <f ca="1">_xll.DBRW($D$4,$E$7,$E$8,$E$9,$E$10,$E$12,$D257,$E$6,BF$18,BF$17)</f>
        <v>0</v>
      </c>
      <c r="BG257" s="26">
        <f ca="1">_xll.DBRW($D$4,$E$7,$E$8,$E$9,$E$10,$E$12,$D257,$E$6,BG$18,BG$17)</f>
        <v>0</v>
      </c>
      <c r="BH257" s="26">
        <f ca="1">_xll.DBRW($D$4,$E$7,$E$8,$E$9,$E$10,$E$12,$D257,$E$6,BH$18,BH$17)</f>
        <v>0</v>
      </c>
      <c r="BI257" s="26">
        <f ca="1">_xll.DBRW($D$4,$E$7,$E$8,$E$9,$E$10,$E$12,$D257,$E$6,BI$18,BI$17)</f>
        <v>0</v>
      </c>
      <c r="BJ257" s="26">
        <f ca="1">_xll.DBRW($D$4,$E$7,$E$8,$E$9,$E$10,$E$12,$D257,$E$6,BJ$18,BJ$17)</f>
        <v>0</v>
      </c>
      <c r="BK257" s="16">
        <f ca="1">_xll.DBRW($D$4,$E$7,$E$8,$E$9,$E$10,$E$12,$D257,$E$6,BK$18,BK$17)</f>
        <v>5.7730867699999999</v>
      </c>
      <c r="BL257" s="16">
        <f ca="1">_xll.DBRW($D$4,$E$7,$E$8,$E$9,$E$10,$E$12,$D257,$E$6,BL$18,BL$17)</f>
        <v>40.707526999999999</v>
      </c>
      <c r="BM257" s="16">
        <f ca="1">_xll.DBRW($D$4,$E$7,$E$8,$E$9,$E$10,$E$12,$D257,$E$6,BM$18,BM$17)</f>
        <v>-11.908888419999998</v>
      </c>
      <c r="BN257" s="16">
        <f ca="1">_xll.DBRW($D$4,$E$7,$E$8,$E$9,$E$10,$E$12,$D257,$E$6,BN$18,BN$17)</f>
        <v>0.2925475777489504</v>
      </c>
      <c r="BO257" s="16"/>
      <c r="BP257" s="16"/>
      <c r="BQ257" s="16"/>
      <c r="BR257" s="16"/>
      <c r="BS257" s="16">
        <f ca="1">_xll.DBRW($D$4,$E$7,$E$8,$E$9,$E$10,$E$12,$D257,$E$6,BS$18,BS$17)</f>
        <v>-3.558144</v>
      </c>
      <c r="BT257" s="16">
        <f ca="1">_xll.DBRW($D$4,$E$7,$E$8,$E$9,$E$10,$E$12,$D257,$E$6,BT$18,BT$17)</f>
        <v>8.7407520481408763E-2</v>
      </c>
      <c r="BU257" s="16"/>
      <c r="BV257" s="16"/>
      <c r="BW257" s="16"/>
      <c r="BX257" s="16"/>
      <c r="BY257" s="16">
        <f ca="1">_xll.DBRW($D$4,$E$7,$E$8,$E$9,$E$10,$E$12,$D257,$E$6,BY$18,BY$17)</f>
        <v>-3.4332620999999994</v>
      </c>
      <c r="BZ257" s="16">
        <f ca="1">_xll.DBRW($D$4,$E$7,$E$8,$E$9,$E$10,$E$12,$D257,$E$6,BZ$18,BZ$17)</f>
        <v>8.4339736481658531E-2</v>
      </c>
      <c r="CA257" s="16"/>
      <c r="CB257" s="16"/>
      <c r="CC257" s="16"/>
      <c r="CD257" s="16"/>
      <c r="CE257" s="16">
        <f ca="1">_xll.DBRW($D$4,$E$7,$E$8,$E$9,$E$10,$E$12,$D257,$E$6,CE$18,CE$17)</f>
        <v>-4.9965645500000004</v>
      </c>
      <c r="CF257" s="16">
        <f ca="1">_xll.DBRW($D$4,$E$7,$E$8,$E$9,$E$10,$E$12,$D257,$E$6,CF$18,CF$17)</f>
        <v>0.12274301384115033</v>
      </c>
      <c r="CG257" s="16"/>
      <c r="CH257" s="16"/>
      <c r="CI257" s="16"/>
      <c r="CJ257" s="16"/>
      <c r="CK257" s="16">
        <f ca="1">_xll.DBRW($D$4,$E$7,$E$8,$E$9,$E$10,$E$12,$D257,$E$6,CK$18,CK$17)</f>
        <v>-11.03758116</v>
      </c>
      <c r="CL257" s="16">
        <f ca="1">_xll.DBRW($D$4,$E$7,$E$8,$E$9,$E$10,$E$12,$D257,$E$6,CL$18,CL$17)</f>
        <v>0.2711434954031966</v>
      </c>
      <c r="CM257" s="16"/>
      <c r="CN257" s="16"/>
      <c r="CO257" s="16"/>
      <c r="CP257" s="16"/>
      <c r="CQ257" s="16">
        <f ca="1">_xll.DBRW($D$4,$E$7,$E$8,$E$9,$E$10,$E$12,$D257,$E$6,CQ$18,CQ$17)</f>
        <v>4.1416560000000005E-2</v>
      </c>
      <c r="CR257" s="16">
        <f ca="1">_xll.DBRW($D$4,$E$7,$E$8,$E$9,$E$10,$E$12,$D257,$E$6,CR$18,CR$17)</f>
        <v>0.39949999999999997</v>
      </c>
      <c r="CS257" s="16">
        <f ca="1">_xll.DBRW($D$4,$E$7,$E$8,$E$9,$E$10,$E$12,$D257,$E$6,CS$18,CS$17)</f>
        <v>1.1738520000000001</v>
      </c>
      <c r="CT257" s="16">
        <f ca="1">_xll.DBRW($D$4,$E$7,$E$8,$E$9,$E$10,$E$12,$D257,$E$6,CT$18,CT$17)</f>
        <v>0.39949999999999997</v>
      </c>
      <c r="CU257" s="16">
        <f ca="1">_xll.DBRW($D$4,$E$7,$E$8,$E$9,$E$10,$E$12,$D257,$E$6,CU$18,CU$17)</f>
        <v>0.33659403000000004</v>
      </c>
      <c r="CV257" s="16">
        <f ca="1">_xll.DBRW($D$4,$E$7,$E$8,$E$9,$E$10,$E$12,$D257,$E$6,CV$18,CV$17)</f>
        <v>0.39949999999999997</v>
      </c>
      <c r="CW257" s="16">
        <f ca="1">_xll.DBRW($D$4,$E$7,$E$8,$E$9,$E$10,$E$12,$D257,$E$6,CW$18,CW$17)</f>
        <v>3.4999999999999999E-6</v>
      </c>
      <c r="CX257" s="16">
        <f ca="1">_xll.DBRW($D$4,$E$7,$E$8,$E$9,$E$10,$E$12,$D257,$E$6,CX$18,CX$17)</f>
        <v>0.39949999999999997</v>
      </c>
      <c r="CY257" s="16">
        <f ca="1">_xll.DBRW($D$4,$E$7,$E$8,$E$9,$E$10,$E$12,$D257,$E$6,CY$18,CY$17)</f>
        <v>0</v>
      </c>
      <c r="CZ257" s="16">
        <f ca="1">_xll.DBRW($D$4,$E$7,$E$8,$E$9,$E$10,$E$12,$D257,$E$6,CZ$18,CZ$17)</f>
        <v>0.39949999999999997</v>
      </c>
      <c r="DA257" s="26">
        <f t="shared" ca="1" si="146"/>
        <v>-1.3250148000000106</v>
      </c>
      <c r="DB257" s="26">
        <f t="shared" ca="1" si="147"/>
        <v>0.14037655999999998</v>
      </c>
      <c r="DC257" s="26">
        <f t="shared" ca="1" si="148"/>
        <v>0</v>
      </c>
      <c r="DD257" s="26">
        <f t="shared" ca="1" si="149"/>
        <v>0</v>
      </c>
      <c r="DE257" s="26">
        <f t="shared" ca="1" si="150"/>
        <v>0</v>
      </c>
      <c r="DF257" s="26">
        <f t="shared" ca="1" si="151"/>
        <v>0</v>
      </c>
      <c r="DG257" s="26">
        <f t="shared" ca="1" si="152"/>
        <v>0</v>
      </c>
      <c r="DH257" s="26">
        <f t="shared" ca="1" si="153"/>
        <v>-1.4653913600000088</v>
      </c>
      <c r="DI257" s="26">
        <f t="shared" ca="1" si="154"/>
        <v>-9.9747665000000083</v>
      </c>
      <c r="DJ257" s="26">
        <f t="shared" ca="1" si="155"/>
        <v>3.062321619999997</v>
      </c>
      <c r="DK257" s="26">
        <f t="shared" ca="1" si="156"/>
        <v>-4.6929673568899544E-3</v>
      </c>
      <c r="DL257" s="26"/>
      <c r="DM257" s="26"/>
      <c r="DN257" s="26"/>
      <c r="DO257" s="26"/>
      <c r="DP257" s="26">
        <f t="shared" ca="1" si="157"/>
        <v>0.97807041000000039</v>
      </c>
      <c r="DQ257" s="26">
        <f t="shared" ca="1" si="158"/>
        <v>-3.4556219853397047E-3</v>
      </c>
      <c r="DR257" s="26"/>
      <c r="DS257" s="26"/>
      <c r="DT257" s="26"/>
      <c r="DU257" s="26"/>
      <c r="DV257" s="26">
        <f t="shared" ca="1" si="159"/>
        <v>0.51964121999999957</v>
      </c>
      <c r="DW257" s="26">
        <f t="shared" ca="1" si="160"/>
        <v>1.0465313002913507E-2</v>
      </c>
      <c r="DX257" s="26"/>
      <c r="DY257" s="26"/>
      <c r="DZ257" s="26"/>
      <c r="EA257" s="26"/>
      <c r="EB257" s="26">
        <f t="shared" ca="1" si="161"/>
        <v>1.8929690400000005</v>
      </c>
      <c r="EC257" s="26">
        <f t="shared" ca="1" si="162"/>
        <v>-2.1756462047340566E-2</v>
      </c>
      <c r="ED257" s="26"/>
      <c r="EE257" s="26"/>
      <c r="EF257" s="26"/>
      <c r="EG257" s="26"/>
      <c r="EH257" s="26">
        <f t="shared" ca="1" si="163"/>
        <v>2.0563728500000007</v>
      </c>
      <c r="EI257" s="29">
        <f t="shared" ca="1" si="164"/>
        <v>2.1092156841579834E-2</v>
      </c>
      <c r="EJ257" s="29"/>
      <c r="EK257" s="29"/>
      <c r="EL257" s="29"/>
      <c r="EM257" s="29"/>
      <c r="EN257" s="93"/>
      <c r="EO257" s="29"/>
      <c r="EP257" s="29"/>
      <c r="EQ257" s="29"/>
      <c r="ER257" s="29"/>
      <c r="ES257" s="29"/>
      <c r="ET257" s="29"/>
      <c r="EU257" s="93"/>
      <c r="EV257" s="29"/>
      <c r="EW257" s="29"/>
      <c r="EX257" s="29"/>
      <c r="EY257" s="29"/>
      <c r="EZ257" s="29"/>
      <c r="FA257" s="29"/>
      <c r="FB257" s="93"/>
      <c r="FC257" s="29"/>
      <c r="FD257" s="29"/>
      <c r="FE257" s="29"/>
      <c r="FF257" s="29"/>
      <c r="FG257" s="29"/>
      <c r="FH257" s="29"/>
      <c r="FI257" s="93"/>
      <c r="FJ257" s="29"/>
      <c r="FK257" s="29"/>
      <c r="FL257" s="29"/>
      <c r="FM257" s="29"/>
      <c r="FN257" s="29"/>
      <c r="FO257" s="29"/>
      <c r="FP257" s="93"/>
      <c r="FQ257" s="29"/>
      <c r="FR257" s="29"/>
      <c r="FS257" s="29"/>
      <c r="FT257" s="29"/>
      <c r="FU257" s="29"/>
      <c r="FV257" s="29"/>
    </row>
    <row r="258" spans="1:178" x14ac:dyDescent="0.25">
      <c r="A258" t="str">
        <f ca="1">IF(_xll.TM1RPTELISCONSOLIDATED($D$28,$D258),IF(_xll.TM1RPTELLEV($D$28,$D258)&lt;=3,_xll.TM1RPTELLEV($D$28,$D258),"D"),"N")</f>
        <v>N</v>
      </c>
      <c r="B258" t="str">
        <f ca="1">_xll.DBRA(Server&amp;"Management_organization",$D258,$B$27)</f>
        <v>L</v>
      </c>
      <c r="C258">
        <v>1</v>
      </c>
      <c r="D258" s="2" t="s">
        <v>231</v>
      </c>
      <c r="E258" s="26"/>
      <c r="F258" s="26"/>
      <c r="G258" s="16">
        <f ca="1">_xll.DBRW($D$4,$E$7,$E$8,$E$9,$E$10,$E$12,$D258,$E$6,G$18,G$17)</f>
        <v>-8.8582200000000028E-2</v>
      </c>
      <c r="H258" s="16">
        <f ca="1">_xll.DBRW($D$4,$E$7,$E$8,$E$9,$E$10,$E$12,$D258,$E$6,H$18,H$17)</f>
        <v>-4.2326740000000009E-2</v>
      </c>
      <c r="I258" s="16">
        <f ca="1">_xll.DBRW($D$4,$E$7,$E$8,$E$9,$E$10,$E$12,$D258,$E$6,I$18,I$17)</f>
        <v>0</v>
      </c>
      <c r="J258" s="26">
        <f ca="1">_xll.DBRW($D$4,$E$7,$E$8,$E$9,$E$10,$E$12,$D258,$E$6,J$18,J$17)</f>
        <v>0</v>
      </c>
      <c r="K258" s="26">
        <f ca="1">_xll.DBRW($D$4,$E$7,$E$8,$E$9,$E$10,$E$12,$D258,$E$6,K$18,K$17)</f>
        <v>0</v>
      </c>
      <c r="L258" s="26">
        <f ca="1">_xll.DBRW($D$4,$E$7,$E$8,$E$9,$E$10,$E$12,$D258,$E$6,L$18,L$17)</f>
        <v>0</v>
      </c>
      <c r="M258" s="26">
        <f ca="1">_xll.DBRW($D$4,$E$7,$E$8,$E$9,$E$10,$E$12,$D258,$E$6,M$18,M$17)</f>
        <v>0</v>
      </c>
      <c r="N258" s="16">
        <f ca="1">_xll.DBRW($D$4,$E$7,$E$8,$E$9,$E$10,$E$12,$D258,$E$6,N$18,N$17)</f>
        <v>-4.6255460000000026E-2</v>
      </c>
      <c r="O258" s="16">
        <f ca="1">_xll.DBRW($D$4,$E$7,$E$8,$E$9,$E$10,$E$12,$D258,$E$6,O$18,O$17)</f>
        <v>1.8499762199999998</v>
      </c>
      <c r="P258" s="74">
        <f ca="1">_xll.DBRW($D$4,$E$7,$E$8,$E$9,$E$10,$E$12,$D258,$E$6,P$18,P$17)</f>
        <v>-0.66725111999999986</v>
      </c>
      <c r="Q258" s="16">
        <f ca="1">_xll.DBRW($D$4,$E$7,$E$8,$E$9,$E$10,$E$12,$D258,$E$6,Q$18,Q$17)</f>
        <v>0.36068091729308821</v>
      </c>
      <c r="R258" s="16"/>
      <c r="S258" s="16"/>
      <c r="T258" s="16"/>
      <c r="U258" s="16"/>
      <c r="V258" s="16">
        <f ca="1">_xll.DBRW($D$4,$E$7,$E$8,$E$9,$E$10,$E$12,$D258,$E$6,V$18,V$17)</f>
        <v>-0.14526097999999998</v>
      </c>
      <c r="W258" s="16">
        <f ca="1">_xll.DBRW($D$4,$E$7,$E$8,$E$9,$E$10,$E$12,$D258,$E$6,W$18,W$17)</f>
        <v>7.8520457954859554E-2</v>
      </c>
      <c r="X258" s="16"/>
      <c r="Y258" s="16"/>
      <c r="Z258" s="16"/>
      <c r="AA258" s="16"/>
      <c r="AB258" s="16">
        <f ca="1">_xll.DBRW($D$4,$E$7,$E$8,$E$9,$E$10,$E$12,$D258,$E$6,AB$18,AB$17)</f>
        <v>-0.13643549000000002</v>
      </c>
      <c r="AC258" s="16">
        <f ca="1">_xll.DBRW($D$4,$E$7,$E$8,$E$9,$E$10,$E$12,$D258,$E$6,AC$18,AC$17)</f>
        <v>7.3749861498219701E-2</v>
      </c>
      <c r="AD258" s="16"/>
      <c r="AE258" s="16"/>
      <c r="AF258" s="16"/>
      <c r="AG258" s="16"/>
      <c r="AH258" s="16">
        <f ca="1">_xll.DBRW($D$4,$E$7,$E$8,$E$9,$E$10,$E$12,$D258,$E$6,AH$18,AH$17)</f>
        <v>-0.34282380000000007</v>
      </c>
      <c r="AI258" s="16">
        <f ca="1">_xll.DBRW($D$4,$E$7,$E$8,$E$9,$E$10,$E$12,$D258,$E$6,AI$18,AI$17)</f>
        <v>0.18531254417962201</v>
      </c>
      <c r="AJ258" s="16"/>
      <c r="AK258" s="16"/>
      <c r="AL258" s="16"/>
      <c r="AM258" s="16"/>
      <c r="AN258" s="16">
        <f ca="1">_xll.DBRW($D$4,$E$7,$E$8,$E$9,$E$10,$E$12,$D258,$E$6,AN$18,AN$17)</f>
        <v>-0.60446029000000012</v>
      </c>
      <c r="AO258" s="16">
        <f ca="1">_xll.DBRW($D$4,$E$7,$E$8,$E$9,$E$10,$E$12,$D258,$E$6,AO$18,AO$17)</f>
        <v>0.32673949181898143</v>
      </c>
      <c r="AP258" s="16"/>
      <c r="AQ258" s="16"/>
      <c r="AR258" s="16"/>
      <c r="AS258" s="16"/>
      <c r="AT258" s="16">
        <f ca="1">_xll.DBRW($D$4,$E$7,$E$8,$E$9,$E$10,$E$12,$D258,$E$6,AT$18,AT$17)</f>
        <v>2.4415909999999999E-2</v>
      </c>
      <c r="AU258" s="16">
        <f ca="1">_xll.DBRW($D$4,$E$7,$E$8,$E$9,$E$10,$E$12,$D258,$E$6,AU$18,AU$17)</f>
        <v>1.8852569999999999E-2</v>
      </c>
      <c r="AV258" s="16">
        <f ca="1">_xll.DBRW($D$4,$E$7,$E$8,$E$9,$E$10,$E$12,$D258,$E$6,AV$18,AV$17)</f>
        <v>0.24577799999999997</v>
      </c>
      <c r="AW258" s="16">
        <f ca="1">_xll.DBRW($D$4,$E$7,$E$8,$E$9,$E$10,$E$12,$D258,$E$6,AW$18,AW$17)</f>
        <v>1.8852569999999999E-2</v>
      </c>
      <c r="AX258" s="16">
        <f ca="1">_xll.DBRW($D$4,$E$7,$E$8,$E$9,$E$10,$E$12,$D258,$E$6,AX$18,AX$17)</f>
        <v>0</v>
      </c>
      <c r="AY258" s="16">
        <f ca="1">_xll.DBRW($D$4,$E$7,$E$8,$E$9,$E$10,$E$12,$D258,$E$6,AY$18,AY$17)</f>
        <v>0</v>
      </c>
      <c r="AZ258" s="16">
        <f ca="1">_xll.DBRW($D$4,$E$7,$E$8,$E$9,$E$10,$E$12,$D258,$E$6,AZ$18,AZ$17)</f>
        <v>0</v>
      </c>
      <c r="BA258" s="16">
        <f ca="1">_xll.DBRW($D$4,$E$7,$E$8,$E$9,$E$10,$E$12,$D258,$E$6,BA$18,BA$17)</f>
        <v>0</v>
      </c>
      <c r="BB258" s="16">
        <f ca="1">_xll.DBRW($D$4,$E$7,$E$8,$E$9,$E$10,$E$12,$D258,$E$6,BB$18,BB$17)</f>
        <v>1.8852569999999999E-2</v>
      </c>
      <c r="BC258" s="16">
        <f ca="1">_xll.DBRW($D$4,$E$7,$E$8,$E$9,$E$10,$E$12,$D258,$E$6,BC$18,BC$17)</f>
        <v>1.8852569999999999E-2</v>
      </c>
      <c r="BD258" s="16">
        <f ca="1">_xll.DBRW($D$4,$E$7,$E$8,$E$9,$E$10,$E$12,$D258,$E$6,BD$18,BD$17)</f>
        <v>8.7447099999999653E-2</v>
      </c>
      <c r="BE258" s="16">
        <f ca="1">_xll.DBRW($D$4,$E$7,$E$8,$E$9,$E$10,$E$12,$D258,$E$6,BE$18,BE$17)</f>
        <v>-2.079052E-2</v>
      </c>
      <c r="BF258" s="16">
        <f ca="1">_xll.DBRW($D$4,$E$7,$E$8,$E$9,$E$10,$E$12,$D258,$E$6,BF$18,BF$17)</f>
        <v>-6.9276100000000016E-3</v>
      </c>
      <c r="BG258" s="26">
        <f ca="1">_xll.DBRW($D$4,$E$7,$E$8,$E$9,$E$10,$E$12,$D258,$E$6,BG$18,BG$17)</f>
        <v>0</v>
      </c>
      <c r="BH258" s="26">
        <f ca="1">_xll.DBRW($D$4,$E$7,$E$8,$E$9,$E$10,$E$12,$D258,$E$6,BH$18,BH$17)</f>
        <v>0</v>
      </c>
      <c r="BI258" s="26">
        <f ca="1">_xll.DBRW($D$4,$E$7,$E$8,$E$9,$E$10,$E$12,$D258,$E$6,BI$18,BI$17)</f>
        <v>0</v>
      </c>
      <c r="BJ258" s="26">
        <f ca="1">_xll.DBRW($D$4,$E$7,$E$8,$E$9,$E$10,$E$12,$D258,$E$6,BJ$18,BJ$17)</f>
        <v>0</v>
      </c>
      <c r="BK258" s="16">
        <f ca="1">_xll.DBRW($D$4,$E$7,$E$8,$E$9,$E$10,$E$12,$D258,$E$6,BK$18,BK$17)</f>
        <v>0.10823761999999966</v>
      </c>
      <c r="BL258" s="16">
        <f ca="1">_xll.DBRW($D$4,$E$7,$E$8,$E$9,$E$10,$E$12,$D258,$E$6,BL$18,BL$17)</f>
        <v>1.3732209499999997</v>
      </c>
      <c r="BM258" s="16">
        <f ca="1">_xll.DBRW($D$4,$E$7,$E$8,$E$9,$E$10,$E$12,$D258,$E$6,BM$18,BM$17)</f>
        <v>-0.48664166000000003</v>
      </c>
      <c r="BN258" s="16">
        <f ca="1">_xll.DBRW($D$4,$E$7,$E$8,$E$9,$E$10,$E$12,$D258,$E$6,BN$18,BN$17)</f>
        <v>0.35437972308826204</v>
      </c>
      <c r="BO258" s="16"/>
      <c r="BP258" s="16"/>
      <c r="BQ258" s="16"/>
      <c r="BR258" s="16"/>
      <c r="BS258" s="16">
        <f ca="1">_xll.DBRW($D$4,$E$7,$E$8,$E$9,$E$10,$E$12,$D258,$E$6,BS$18,BS$17)</f>
        <v>-0.16432582000000001</v>
      </c>
      <c r="BT258" s="16">
        <f ca="1">_xll.DBRW($D$4,$E$7,$E$8,$E$9,$E$10,$E$12,$D258,$E$6,BT$18,BT$17)</f>
        <v>0.11966451575036054</v>
      </c>
      <c r="BU258" s="16"/>
      <c r="BV258" s="16"/>
      <c r="BW258" s="16"/>
      <c r="BX258" s="16"/>
      <c r="BY258" s="16">
        <f ca="1">_xll.DBRW($D$4,$E$7,$E$8,$E$9,$E$10,$E$12,$D258,$E$6,BY$18,BY$17)</f>
        <v>-7.7632400000000004E-2</v>
      </c>
      <c r="BZ258" s="16">
        <f ca="1">_xll.DBRW($D$4,$E$7,$E$8,$E$9,$E$10,$E$12,$D258,$E$6,BZ$18,BZ$17)</f>
        <v>5.6533072845997595E-2</v>
      </c>
      <c r="CA258" s="16"/>
      <c r="CB258" s="16"/>
      <c r="CC258" s="16"/>
      <c r="CD258" s="16"/>
      <c r="CE258" s="16">
        <f ca="1">_xll.DBRW($D$4,$E$7,$E$8,$E$9,$E$10,$E$12,$D258,$E$6,CE$18,CE$17)</f>
        <v>-0.23143323000000005</v>
      </c>
      <c r="CF258" s="16">
        <f ca="1">_xll.DBRW($D$4,$E$7,$E$8,$E$9,$E$10,$E$12,$D258,$E$6,CF$18,CF$17)</f>
        <v>0.16853313372476592</v>
      </c>
      <c r="CG258" s="16"/>
      <c r="CH258" s="16"/>
      <c r="CI258" s="16"/>
      <c r="CJ258" s="16"/>
      <c r="CK258" s="16">
        <f ca="1">_xll.DBRW($D$4,$E$7,$E$8,$E$9,$E$10,$E$12,$D258,$E$6,CK$18,CK$17)</f>
        <v>-0.30495021999999994</v>
      </c>
      <c r="CL258" s="16">
        <f ca="1">_xll.DBRW($D$4,$E$7,$E$8,$E$9,$E$10,$E$12,$D258,$E$6,CL$18,CL$17)</f>
        <v>0.22206930355963475</v>
      </c>
      <c r="CM258" s="16"/>
      <c r="CN258" s="16"/>
      <c r="CO258" s="16"/>
      <c r="CP258" s="16"/>
      <c r="CQ258" s="16">
        <f ca="1">_xll.DBRW($D$4,$E$7,$E$8,$E$9,$E$10,$E$12,$D258,$E$6,CQ$18,CQ$17)</f>
        <v>2.1033369999999999E-2</v>
      </c>
      <c r="CR258" s="16">
        <f ca="1">_xll.DBRW($D$4,$E$7,$E$8,$E$9,$E$10,$E$12,$D258,$E$6,CR$18,CR$17)</f>
        <v>1.5296399999999998E-2</v>
      </c>
      <c r="CS258" s="16">
        <f ca="1">_xll.DBRW($D$4,$E$7,$E$8,$E$9,$E$10,$E$12,$D258,$E$6,CS$18,CS$17)</f>
        <v>0.18743924999999997</v>
      </c>
      <c r="CT258" s="16">
        <f ca="1">_xll.DBRW($D$4,$E$7,$E$8,$E$9,$E$10,$E$12,$D258,$E$6,CT$18,CT$17)</f>
        <v>1.5296399999999998E-2</v>
      </c>
      <c r="CU258" s="16">
        <f ca="1">_xll.DBRW($D$4,$E$7,$E$8,$E$9,$E$10,$E$12,$D258,$E$6,CU$18,CU$17)</f>
        <v>0</v>
      </c>
      <c r="CV258" s="16">
        <f ca="1">_xll.DBRW($D$4,$E$7,$E$8,$E$9,$E$10,$E$12,$D258,$E$6,CV$18,CV$17)</f>
        <v>0</v>
      </c>
      <c r="CW258" s="16">
        <f ca="1">_xll.DBRW($D$4,$E$7,$E$8,$E$9,$E$10,$E$12,$D258,$E$6,CW$18,CW$17)</f>
        <v>0</v>
      </c>
      <c r="CX258" s="16">
        <f ca="1">_xll.DBRW($D$4,$E$7,$E$8,$E$9,$E$10,$E$12,$D258,$E$6,CX$18,CX$17)</f>
        <v>0</v>
      </c>
      <c r="CY258" s="16">
        <f ca="1">_xll.DBRW($D$4,$E$7,$E$8,$E$9,$E$10,$E$12,$D258,$E$6,CY$18,CY$17)</f>
        <v>1.5296399999999998E-2</v>
      </c>
      <c r="CZ258" s="16">
        <f ca="1">_xll.DBRW($D$4,$E$7,$E$8,$E$9,$E$10,$E$12,$D258,$E$6,CZ$18,CZ$17)</f>
        <v>1.5296399999999998E-2</v>
      </c>
      <c r="DA258" s="26">
        <f t="shared" ca="1" si="146"/>
        <v>-0.17602929999999967</v>
      </c>
      <c r="DB258" s="26">
        <f t="shared" ca="1" si="147"/>
        <v>-2.1536220000000009E-2</v>
      </c>
      <c r="DC258" s="26">
        <f t="shared" ca="1" si="148"/>
        <v>6.9276100000000016E-3</v>
      </c>
      <c r="DD258" s="26">
        <f t="shared" ca="1" si="149"/>
        <v>0</v>
      </c>
      <c r="DE258" s="26">
        <f t="shared" ca="1" si="150"/>
        <v>0</v>
      </c>
      <c r="DF258" s="26">
        <f t="shared" ca="1" si="151"/>
        <v>0</v>
      </c>
      <c r="DG258" s="26">
        <f t="shared" ca="1" si="152"/>
        <v>0</v>
      </c>
      <c r="DH258" s="26">
        <f t="shared" ca="1" si="153"/>
        <v>-0.15449307999999967</v>
      </c>
      <c r="DI258" s="26">
        <f t="shared" ca="1" si="154"/>
        <v>0.47675527000000018</v>
      </c>
      <c r="DJ258" s="26">
        <f t="shared" ca="1" si="155"/>
        <v>-0.18060945999999983</v>
      </c>
      <c r="DK258" s="26">
        <f t="shared" ca="1" si="156"/>
        <v>6.301194204826166E-3</v>
      </c>
      <c r="DL258" s="26"/>
      <c r="DM258" s="26"/>
      <c r="DN258" s="26"/>
      <c r="DO258" s="26"/>
      <c r="DP258" s="26">
        <f t="shared" ca="1" si="157"/>
        <v>1.9064840000000027E-2</v>
      </c>
      <c r="DQ258" s="26">
        <f t="shared" ca="1" si="158"/>
        <v>-4.1144057795500982E-2</v>
      </c>
      <c r="DR258" s="26"/>
      <c r="DS258" s="26"/>
      <c r="DT258" s="26"/>
      <c r="DU258" s="26"/>
      <c r="DV258" s="26">
        <f t="shared" ca="1" si="159"/>
        <v>-5.8803090000000016E-2</v>
      </c>
      <c r="DW258" s="26">
        <f t="shared" ca="1" si="160"/>
        <v>1.7216788652222106E-2</v>
      </c>
      <c r="DX258" s="26"/>
      <c r="DY258" s="26"/>
      <c r="DZ258" s="26"/>
      <c r="EA258" s="26"/>
      <c r="EB258" s="26">
        <f t="shared" ca="1" si="161"/>
        <v>-0.11139057000000002</v>
      </c>
      <c r="EC258" s="26">
        <f t="shared" ca="1" si="162"/>
        <v>1.6779410454856092E-2</v>
      </c>
      <c r="ED258" s="26"/>
      <c r="EE258" s="26"/>
      <c r="EF258" s="26"/>
      <c r="EG258" s="26"/>
      <c r="EH258" s="26">
        <f t="shared" ca="1" si="163"/>
        <v>-0.29951007000000018</v>
      </c>
      <c r="EI258" s="29">
        <f t="shared" ca="1" si="164"/>
        <v>0.10467018825934668</v>
      </c>
      <c r="EJ258" s="29"/>
      <c r="EK258" s="29"/>
      <c r="EL258" s="29"/>
      <c r="EM258" s="29"/>
      <c r="EN258" s="93"/>
      <c r="EO258" s="29"/>
      <c r="EP258" s="29"/>
      <c r="EQ258" s="29"/>
      <c r="ER258" s="29"/>
      <c r="ES258" s="29"/>
      <c r="ET258" s="29"/>
      <c r="EU258" s="93"/>
      <c r="EV258" s="29"/>
      <c r="EW258" s="29"/>
      <c r="EX258" s="29"/>
      <c r="EY258" s="29"/>
      <c r="EZ258" s="29"/>
      <c r="FA258" s="29"/>
      <c r="FB258" s="93"/>
      <c r="FC258" s="29"/>
      <c r="FD258" s="29"/>
      <c r="FE258" s="29"/>
      <c r="FF258" s="29"/>
      <c r="FG258" s="29"/>
      <c r="FH258" s="29"/>
      <c r="FI258" s="93"/>
      <c r="FJ258" s="29"/>
      <c r="FK258" s="29"/>
      <c r="FL258" s="29"/>
      <c r="FM258" s="29"/>
      <c r="FN258" s="29"/>
      <c r="FO258" s="29"/>
      <c r="FP258" s="93"/>
      <c r="FQ258" s="29"/>
      <c r="FR258" s="29"/>
      <c r="FS258" s="29"/>
      <c r="FT258" s="29"/>
      <c r="FU258" s="29"/>
      <c r="FV258" s="29"/>
    </row>
    <row r="259" spans="1:178" x14ac:dyDescent="0.25">
      <c r="A259" t="str">
        <f ca="1">IF(_xll.TM1RPTELISCONSOLIDATED($D$28,$D259),IF(_xll.TM1RPTELLEV($D$28,$D259)&lt;=3,_xll.TM1RPTELLEV($D$28,$D259),"D"),"N")</f>
        <v>N</v>
      </c>
      <c r="B259" t="str">
        <f ca="1">_xll.DBRA(Server&amp;"Management_organization",$D259,$B$27)</f>
        <v>L</v>
      </c>
      <c r="C259">
        <v>1</v>
      </c>
      <c r="D259" s="2" t="s">
        <v>232</v>
      </c>
      <c r="E259" s="26"/>
      <c r="F259" s="26"/>
      <c r="G259" s="16">
        <f ca="1">_xll.DBRW($D$4,$E$7,$E$8,$E$9,$E$10,$E$12,$D259,$E$6,G$18,G$17)</f>
        <v>5.0751811900000012</v>
      </c>
      <c r="H259" s="16">
        <f ca="1">_xll.DBRW($D$4,$E$7,$E$8,$E$9,$E$10,$E$12,$D259,$E$6,H$18,H$17)</f>
        <v>-0.83573644999999985</v>
      </c>
      <c r="I259" s="16">
        <f ca="1">_xll.DBRW($D$4,$E$7,$E$8,$E$9,$E$10,$E$12,$D259,$E$6,I$18,I$17)</f>
        <v>0</v>
      </c>
      <c r="J259" s="26">
        <f ca="1">_xll.DBRW($D$4,$E$7,$E$8,$E$9,$E$10,$E$12,$D259,$E$6,J$18,J$17)</f>
        <v>0</v>
      </c>
      <c r="K259" s="26">
        <f ca="1">_xll.DBRW($D$4,$E$7,$E$8,$E$9,$E$10,$E$12,$D259,$E$6,K$18,K$17)</f>
        <v>0</v>
      </c>
      <c r="L259" s="26">
        <f ca="1">_xll.DBRW($D$4,$E$7,$E$8,$E$9,$E$10,$E$12,$D259,$E$6,L$18,L$17)</f>
        <v>0</v>
      </c>
      <c r="M259" s="26">
        <f ca="1">_xll.DBRW($D$4,$E$7,$E$8,$E$9,$E$10,$E$12,$D259,$E$6,M$18,M$17)</f>
        <v>0</v>
      </c>
      <c r="N259" s="16">
        <f ca="1">_xll.DBRW($D$4,$E$7,$E$8,$E$9,$E$10,$E$12,$D259,$E$6,N$18,N$17)</f>
        <v>5.9109176400000019</v>
      </c>
      <c r="O259" s="16">
        <f ca="1">_xll.DBRW($D$4,$E$7,$E$8,$E$9,$E$10,$E$12,$D259,$E$6,O$18,O$17)</f>
        <v>27.703586340000001</v>
      </c>
      <c r="P259" s="74">
        <f ca="1">_xll.DBRW($D$4,$E$7,$E$8,$E$9,$E$10,$E$12,$D259,$E$6,P$18,P$17)</f>
        <v>-10.690244319999998</v>
      </c>
      <c r="Q259" s="16">
        <f ca="1">_xll.DBRW($D$4,$E$7,$E$8,$E$9,$E$10,$E$12,$D259,$E$6,Q$18,Q$17)</f>
        <v>0.38587943773058797</v>
      </c>
      <c r="R259" s="16"/>
      <c r="S259" s="16"/>
      <c r="T259" s="16"/>
      <c r="U259" s="16"/>
      <c r="V259" s="16">
        <f ca="1">_xll.DBRW($D$4,$E$7,$E$8,$E$9,$E$10,$E$12,$D259,$E$6,V$18,V$17)</f>
        <v>-4.2296175700000003</v>
      </c>
      <c r="W259" s="16">
        <f ca="1">_xll.DBRW($D$4,$E$7,$E$8,$E$9,$E$10,$E$12,$D259,$E$6,W$18,W$17)</f>
        <v>0.15267400827065628</v>
      </c>
      <c r="X259" s="16"/>
      <c r="Y259" s="16"/>
      <c r="Z259" s="16"/>
      <c r="AA259" s="16"/>
      <c r="AB259" s="16">
        <f ca="1">_xll.DBRW($D$4,$E$7,$E$8,$E$9,$E$10,$E$12,$D259,$E$6,AB$18,AB$17)</f>
        <v>0</v>
      </c>
      <c r="AC259" s="16">
        <f ca="1">_xll.DBRW($D$4,$E$7,$E$8,$E$9,$E$10,$E$12,$D259,$E$6,AC$18,AC$17)</f>
        <v>0</v>
      </c>
      <c r="AD259" s="16"/>
      <c r="AE259" s="16"/>
      <c r="AF259" s="16"/>
      <c r="AG259" s="16"/>
      <c r="AH259" s="16">
        <f ca="1">_xll.DBRW($D$4,$E$7,$E$8,$E$9,$E$10,$E$12,$D259,$E$6,AH$18,AH$17)</f>
        <v>-0.16830845999999999</v>
      </c>
      <c r="AI259" s="16">
        <f ca="1">_xll.DBRW($D$4,$E$7,$E$8,$E$9,$E$10,$E$12,$D259,$E$6,AI$18,AI$17)</f>
        <v>6.0753311118057936E-3</v>
      </c>
      <c r="AJ259" s="16"/>
      <c r="AK259" s="16"/>
      <c r="AL259" s="16"/>
      <c r="AM259" s="16"/>
      <c r="AN259" s="16">
        <f ca="1">_xll.DBRW($D$4,$E$7,$E$8,$E$9,$E$10,$E$12,$D259,$E$6,AN$18,AN$17)</f>
        <v>-6.7044983499999997</v>
      </c>
      <c r="AO259" s="16">
        <f ca="1">_xll.DBRW($D$4,$E$7,$E$8,$E$9,$E$10,$E$12,$D259,$E$6,AO$18,AO$17)</f>
        <v>0.24200831862406444</v>
      </c>
      <c r="AP259" s="16"/>
      <c r="AQ259" s="16"/>
      <c r="AR259" s="16"/>
      <c r="AS259" s="16"/>
      <c r="AT259" s="16">
        <f ca="1">_xll.DBRW($D$4,$E$7,$E$8,$E$9,$E$10,$E$12,$D259,$E$6,AT$18,AT$17)</f>
        <v>0.33420384000000003</v>
      </c>
      <c r="AU259" s="16">
        <f ca="1">_xll.DBRW($D$4,$E$7,$E$8,$E$9,$E$10,$E$12,$D259,$E$6,AU$18,AU$17)</f>
        <v>0.26897436000000002</v>
      </c>
      <c r="AV259" s="16">
        <f ca="1">_xll.DBRW($D$4,$E$7,$E$8,$E$9,$E$10,$E$12,$D259,$E$6,AV$18,AV$17)</f>
        <v>4.350785000000001</v>
      </c>
      <c r="AW259" s="16">
        <f ca="1">_xll.DBRW($D$4,$E$7,$E$8,$E$9,$E$10,$E$12,$D259,$E$6,AW$18,AW$17)</f>
        <v>0.26897436000000002</v>
      </c>
      <c r="AX259" s="16">
        <f ca="1">_xll.DBRW($D$4,$E$7,$E$8,$E$9,$E$10,$E$12,$D259,$E$6,AX$18,AX$17)</f>
        <v>0</v>
      </c>
      <c r="AY259" s="16">
        <f ca="1">_xll.DBRW($D$4,$E$7,$E$8,$E$9,$E$10,$E$12,$D259,$E$6,AY$18,AY$17)</f>
        <v>0</v>
      </c>
      <c r="AZ259" s="16">
        <f ca="1">_xll.DBRW($D$4,$E$7,$E$8,$E$9,$E$10,$E$12,$D259,$E$6,AZ$18,AZ$17)</f>
        <v>0</v>
      </c>
      <c r="BA259" s="16">
        <f ca="1">_xll.DBRW($D$4,$E$7,$E$8,$E$9,$E$10,$E$12,$D259,$E$6,BA$18,BA$17)</f>
        <v>0</v>
      </c>
      <c r="BB259" s="16">
        <f ca="1">_xll.DBRW($D$4,$E$7,$E$8,$E$9,$E$10,$E$12,$D259,$E$6,BB$18,BB$17)</f>
        <v>0.26897436000000002</v>
      </c>
      <c r="BC259" s="16">
        <f ca="1">_xll.DBRW($D$4,$E$7,$E$8,$E$9,$E$10,$E$12,$D259,$E$6,BC$18,BC$17)</f>
        <v>0.26897436000000002</v>
      </c>
      <c r="BD259" s="16">
        <f ca="1">_xll.DBRW($D$4,$E$7,$E$8,$E$9,$E$10,$E$12,$D259,$E$6,BD$18,BD$17)</f>
        <v>4.1066305899999955</v>
      </c>
      <c r="BE259" s="16">
        <f ca="1">_xll.DBRW($D$4,$E$7,$E$8,$E$9,$E$10,$E$12,$D259,$E$6,BE$18,BE$17)</f>
        <v>-0.38096755000000004</v>
      </c>
      <c r="BF259" s="16">
        <f ca="1">_xll.DBRW($D$4,$E$7,$E$8,$E$9,$E$10,$E$12,$D259,$E$6,BF$18,BF$17)</f>
        <v>-6.0670000000000002E-2</v>
      </c>
      <c r="BG259" s="26">
        <f ca="1">_xll.DBRW($D$4,$E$7,$E$8,$E$9,$E$10,$E$12,$D259,$E$6,BG$18,BG$17)</f>
        <v>0</v>
      </c>
      <c r="BH259" s="26">
        <f ca="1">_xll.DBRW($D$4,$E$7,$E$8,$E$9,$E$10,$E$12,$D259,$E$6,BH$18,BH$17)</f>
        <v>0</v>
      </c>
      <c r="BI259" s="26">
        <f ca="1">_xll.DBRW($D$4,$E$7,$E$8,$E$9,$E$10,$E$12,$D259,$E$6,BI$18,BI$17)</f>
        <v>0</v>
      </c>
      <c r="BJ259" s="26">
        <f ca="1">_xll.DBRW($D$4,$E$7,$E$8,$E$9,$E$10,$E$12,$D259,$E$6,BJ$18,BJ$17)</f>
        <v>0</v>
      </c>
      <c r="BK259" s="16">
        <f ca="1">_xll.DBRW($D$4,$E$7,$E$8,$E$9,$E$10,$E$12,$D259,$E$6,BK$18,BK$17)</f>
        <v>4.4875981399999958</v>
      </c>
      <c r="BL259" s="16">
        <f ca="1">_xll.DBRW($D$4,$E$7,$E$8,$E$9,$E$10,$E$12,$D259,$E$6,BL$18,BL$17)</f>
        <v>20.560219069999995</v>
      </c>
      <c r="BM259" s="16">
        <f ca="1">_xll.DBRW($D$4,$E$7,$E$8,$E$9,$E$10,$E$12,$D259,$E$6,BM$18,BM$17)</f>
        <v>-8.303051110000002</v>
      </c>
      <c r="BN259" s="16">
        <f ca="1">_xll.DBRW($D$4,$E$7,$E$8,$E$9,$E$10,$E$12,$D259,$E$6,BN$18,BN$17)</f>
        <v>0.40384059536190553</v>
      </c>
      <c r="BO259" s="16"/>
      <c r="BP259" s="16"/>
      <c r="BQ259" s="16"/>
      <c r="BR259" s="16"/>
      <c r="BS259" s="16">
        <f ca="1">_xll.DBRW($D$4,$E$7,$E$8,$E$9,$E$10,$E$12,$D259,$E$6,BS$18,BS$17)</f>
        <v>-3.48981108</v>
      </c>
      <c r="BT259" s="16">
        <f ca="1">_xll.DBRW($D$4,$E$7,$E$8,$E$9,$E$10,$E$12,$D259,$E$6,BT$18,BT$17)</f>
        <v>0.16973608443171129</v>
      </c>
      <c r="BU259" s="16"/>
      <c r="BV259" s="16"/>
      <c r="BW259" s="16"/>
      <c r="BX259" s="16"/>
      <c r="BY259" s="16">
        <f ca="1">_xll.DBRW($D$4,$E$7,$E$8,$E$9,$E$10,$E$12,$D259,$E$6,BY$18,BY$17)</f>
        <v>0</v>
      </c>
      <c r="BZ259" s="16">
        <f ca="1">_xll.DBRW($D$4,$E$7,$E$8,$E$9,$E$10,$E$12,$D259,$E$6,BZ$18,BZ$17)</f>
        <v>0</v>
      </c>
      <c r="CA259" s="16"/>
      <c r="CB259" s="16"/>
      <c r="CC259" s="16"/>
      <c r="CD259" s="16"/>
      <c r="CE259" s="16">
        <f ca="1">_xll.DBRW($D$4,$E$7,$E$8,$E$9,$E$10,$E$12,$D259,$E$6,CE$18,CE$17)</f>
        <v>-3.2743169999999995E-2</v>
      </c>
      <c r="CF259" s="16">
        <f ca="1">_xll.DBRW($D$4,$E$7,$E$8,$E$9,$E$10,$E$12,$D259,$E$6,CF$18,CF$17)</f>
        <v>1.5925496653766929E-3</v>
      </c>
      <c r="CG259" s="16"/>
      <c r="CH259" s="16"/>
      <c r="CI259" s="16"/>
      <c r="CJ259" s="16"/>
      <c r="CK259" s="16">
        <f ca="1">_xll.DBRW($D$4,$E$7,$E$8,$E$9,$E$10,$E$12,$D259,$E$6,CK$18,CK$17)</f>
        <v>-4.2470155699999985</v>
      </c>
      <c r="CL259" s="16">
        <f ca="1">_xll.DBRW($D$4,$E$7,$E$8,$E$9,$E$10,$E$12,$D259,$E$6,CL$18,CL$17)</f>
        <v>0.20656470417656886</v>
      </c>
      <c r="CM259" s="16"/>
      <c r="CN259" s="16"/>
      <c r="CO259" s="16"/>
      <c r="CP259" s="16"/>
      <c r="CQ259" s="16">
        <f ca="1">_xll.DBRW($D$4,$E$7,$E$8,$E$9,$E$10,$E$12,$D259,$E$6,CQ$18,CQ$17)</f>
        <v>0.26354707999999999</v>
      </c>
      <c r="CR259" s="16">
        <f ca="1">_xll.DBRW($D$4,$E$7,$E$8,$E$9,$E$10,$E$12,$D259,$E$6,CR$18,CR$17)</f>
        <v>0.21168439999999999</v>
      </c>
      <c r="CS259" s="16">
        <f ca="1">_xll.DBRW($D$4,$E$7,$E$8,$E$9,$E$10,$E$12,$D259,$E$6,CS$18,CS$17)</f>
        <v>3.5115761000000005</v>
      </c>
      <c r="CT259" s="16">
        <f ca="1">_xll.DBRW($D$4,$E$7,$E$8,$E$9,$E$10,$E$12,$D259,$E$6,CT$18,CT$17)</f>
        <v>0.21168439999999999</v>
      </c>
      <c r="CU259" s="16">
        <f ca="1">_xll.DBRW($D$4,$E$7,$E$8,$E$9,$E$10,$E$12,$D259,$E$6,CU$18,CU$17)</f>
        <v>0</v>
      </c>
      <c r="CV259" s="16">
        <f ca="1">_xll.DBRW($D$4,$E$7,$E$8,$E$9,$E$10,$E$12,$D259,$E$6,CV$18,CV$17)</f>
        <v>0</v>
      </c>
      <c r="CW259" s="16">
        <f ca="1">_xll.DBRW($D$4,$E$7,$E$8,$E$9,$E$10,$E$12,$D259,$E$6,CW$18,CW$17)</f>
        <v>0</v>
      </c>
      <c r="CX259" s="16">
        <f ca="1">_xll.DBRW($D$4,$E$7,$E$8,$E$9,$E$10,$E$12,$D259,$E$6,CX$18,CX$17)</f>
        <v>0</v>
      </c>
      <c r="CY259" s="16">
        <f ca="1">_xll.DBRW($D$4,$E$7,$E$8,$E$9,$E$10,$E$12,$D259,$E$6,CY$18,CY$17)</f>
        <v>0.21168439999999999</v>
      </c>
      <c r="CZ259" s="16">
        <f ca="1">_xll.DBRW($D$4,$E$7,$E$8,$E$9,$E$10,$E$12,$D259,$E$6,CZ$18,CZ$17)</f>
        <v>0.21168439999999999</v>
      </c>
      <c r="DA259" s="26">
        <f t="shared" ca="1" si="146"/>
        <v>0.9685506000000057</v>
      </c>
      <c r="DB259" s="26">
        <f t="shared" ca="1" si="147"/>
        <v>-0.45476889999999981</v>
      </c>
      <c r="DC259" s="26">
        <f t="shared" ca="1" si="148"/>
        <v>6.0670000000000002E-2</v>
      </c>
      <c r="DD259" s="26">
        <f t="shared" ca="1" si="149"/>
        <v>0</v>
      </c>
      <c r="DE259" s="26">
        <f t="shared" ca="1" si="150"/>
        <v>0</v>
      </c>
      <c r="DF259" s="26">
        <f t="shared" ca="1" si="151"/>
        <v>0</v>
      </c>
      <c r="DG259" s="26">
        <f t="shared" ca="1" si="152"/>
        <v>0</v>
      </c>
      <c r="DH259" s="26">
        <f t="shared" ca="1" si="153"/>
        <v>1.4233195000000061</v>
      </c>
      <c r="DI259" s="26">
        <f t="shared" ca="1" si="154"/>
        <v>7.1433672700000059</v>
      </c>
      <c r="DJ259" s="26">
        <f t="shared" ca="1" si="155"/>
        <v>-2.387193209999996</v>
      </c>
      <c r="DK259" s="26">
        <f t="shared" ca="1" si="156"/>
        <v>-1.7961157631317559E-2</v>
      </c>
      <c r="DL259" s="26"/>
      <c r="DM259" s="26"/>
      <c r="DN259" s="26"/>
      <c r="DO259" s="26"/>
      <c r="DP259" s="26">
        <f t="shared" ca="1" si="157"/>
        <v>-0.73980649000000032</v>
      </c>
      <c r="DQ259" s="26">
        <f t="shared" ca="1" si="158"/>
        <v>-1.7062076161055012E-2</v>
      </c>
      <c r="DR259" s="26"/>
      <c r="DS259" s="26"/>
      <c r="DT259" s="26"/>
      <c r="DU259" s="26"/>
      <c r="DV259" s="26">
        <f t="shared" ca="1" si="159"/>
        <v>0</v>
      </c>
      <c r="DW259" s="26">
        <f t="shared" ca="1" si="160"/>
        <v>0</v>
      </c>
      <c r="DX259" s="26"/>
      <c r="DY259" s="26"/>
      <c r="DZ259" s="26"/>
      <c r="EA259" s="26"/>
      <c r="EB259" s="26">
        <f t="shared" ca="1" si="161"/>
        <v>-0.13556529</v>
      </c>
      <c r="EC259" s="26">
        <f t="shared" ca="1" si="162"/>
        <v>4.4827814464291002E-3</v>
      </c>
      <c r="ED259" s="26"/>
      <c r="EE259" s="26"/>
      <c r="EF259" s="26"/>
      <c r="EG259" s="26"/>
      <c r="EH259" s="26">
        <f t="shared" ca="1" si="163"/>
        <v>-2.4574827800000012</v>
      </c>
      <c r="EI259" s="29">
        <f t="shared" ca="1" si="164"/>
        <v>3.5443614447495581E-2</v>
      </c>
      <c r="EJ259" s="29"/>
      <c r="EK259" s="29"/>
      <c r="EL259" s="29"/>
      <c r="EM259" s="29"/>
      <c r="EN259" s="93"/>
      <c r="EO259" s="29"/>
      <c r="EP259" s="29"/>
      <c r="EQ259" s="29"/>
      <c r="ER259" s="29"/>
      <c r="ES259" s="29"/>
      <c r="ET259" s="29"/>
      <c r="EU259" s="93"/>
      <c r="EV259" s="29"/>
      <c r="EW259" s="29"/>
      <c r="EX259" s="29"/>
      <c r="EY259" s="29"/>
      <c r="EZ259" s="29"/>
      <c r="FA259" s="29"/>
      <c r="FB259" s="93"/>
      <c r="FC259" s="29"/>
      <c r="FD259" s="29"/>
      <c r="FE259" s="29"/>
      <c r="FF259" s="29"/>
      <c r="FG259" s="29"/>
      <c r="FH259" s="29"/>
      <c r="FI259" s="93"/>
      <c r="FJ259" s="29"/>
      <c r="FK259" s="29"/>
      <c r="FL259" s="29"/>
      <c r="FM259" s="29"/>
      <c r="FN259" s="29"/>
      <c r="FO259" s="29"/>
      <c r="FP259" s="93"/>
      <c r="FQ259" s="29"/>
      <c r="FR259" s="29"/>
      <c r="FS259" s="29"/>
      <c r="FT259" s="29"/>
      <c r="FU259" s="29"/>
      <c r="FV259" s="29"/>
    </row>
    <row r="260" spans="1:178" x14ac:dyDescent="0.25">
      <c r="A260" t="str">
        <f ca="1">IF(_xll.TM1RPTELISCONSOLIDATED($D$28,$D260),IF(_xll.TM1RPTELLEV($D$28,$D260)&lt;=3,_xll.TM1RPTELLEV($D$28,$D260),"D"),"N")</f>
        <v>N</v>
      </c>
      <c r="B260" t="str">
        <f ca="1">_xll.DBRA(Server&amp;"Management_organization",$D260,$B$27)</f>
        <v>L</v>
      </c>
      <c r="C260">
        <v>1</v>
      </c>
      <c r="D260" s="2" t="s">
        <v>233</v>
      </c>
      <c r="E260" s="26"/>
      <c r="F260" s="26"/>
      <c r="G260" s="16">
        <f ca="1">_xll.DBRW($D$4,$E$7,$E$8,$E$9,$E$10,$E$12,$D260,$E$6,G$18,G$17)</f>
        <v>1.0162200599999978</v>
      </c>
      <c r="H260" s="16">
        <f ca="1">_xll.DBRW($D$4,$E$7,$E$8,$E$9,$E$10,$E$12,$D260,$E$6,H$18,H$17)</f>
        <v>-0.47633243999999997</v>
      </c>
      <c r="I260" s="16">
        <f ca="1">_xll.DBRW($D$4,$E$7,$E$8,$E$9,$E$10,$E$12,$D260,$E$6,I$18,I$17)</f>
        <v>0</v>
      </c>
      <c r="J260" s="26">
        <f ca="1">_xll.DBRW($D$4,$E$7,$E$8,$E$9,$E$10,$E$12,$D260,$E$6,J$18,J$17)</f>
        <v>0</v>
      </c>
      <c r="K260" s="26">
        <f ca="1">_xll.DBRW($D$4,$E$7,$E$8,$E$9,$E$10,$E$12,$D260,$E$6,K$18,K$17)</f>
        <v>0</v>
      </c>
      <c r="L260" s="26">
        <f ca="1">_xll.DBRW($D$4,$E$7,$E$8,$E$9,$E$10,$E$12,$D260,$E$6,L$18,L$17)</f>
        <v>0</v>
      </c>
      <c r="M260" s="26">
        <f ca="1">_xll.DBRW($D$4,$E$7,$E$8,$E$9,$E$10,$E$12,$D260,$E$6,M$18,M$17)</f>
        <v>0</v>
      </c>
      <c r="N260" s="16">
        <f ca="1">_xll.DBRW($D$4,$E$7,$E$8,$E$9,$E$10,$E$12,$D260,$E$6,N$18,N$17)</f>
        <v>1.4925524999999975</v>
      </c>
      <c r="O260" s="16">
        <f ca="1">_xll.DBRW($D$4,$E$7,$E$8,$E$9,$E$10,$E$12,$D260,$E$6,O$18,O$17)</f>
        <v>11.530127829999998</v>
      </c>
      <c r="P260" s="74">
        <f ca="1">_xll.DBRW($D$4,$E$7,$E$8,$E$9,$E$10,$E$12,$D260,$E$6,P$18,P$17)</f>
        <v>-4.4155086199999989</v>
      </c>
      <c r="Q260" s="16">
        <f ca="1">_xll.DBRW($D$4,$E$7,$E$8,$E$9,$E$10,$E$12,$D260,$E$6,Q$18,Q$17)</f>
        <v>0.38295400407542574</v>
      </c>
      <c r="R260" s="16"/>
      <c r="S260" s="16"/>
      <c r="T260" s="16"/>
      <c r="U260" s="16"/>
      <c r="V260" s="16">
        <f ca="1">_xll.DBRW($D$4,$E$7,$E$8,$E$9,$E$10,$E$12,$D260,$E$6,V$18,V$17)</f>
        <v>-2.5034108300000004</v>
      </c>
      <c r="W260" s="16">
        <f ca="1">_xll.DBRW($D$4,$E$7,$E$8,$E$9,$E$10,$E$12,$D260,$E$6,W$18,W$17)</f>
        <v>0.21711908722177636</v>
      </c>
      <c r="X260" s="16"/>
      <c r="Y260" s="16"/>
      <c r="Z260" s="16"/>
      <c r="AA260" s="16"/>
      <c r="AB260" s="16">
        <f ca="1">_xll.DBRW($D$4,$E$7,$E$8,$E$9,$E$10,$E$12,$D260,$E$6,AB$18,AB$17)</f>
        <v>-2.2194000000000001E-4</v>
      </c>
      <c r="AC260" s="16">
        <f ca="1">_xll.DBRW($D$4,$E$7,$E$8,$E$9,$E$10,$E$12,$D260,$E$6,AC$18,AC$17)</f>
        <v>1.9248702466466936E-5</v>
      </c>
      <c r="AD260" s="16"/>
      <c r="AE260" s="16"/>
      <c r="AF260" s="16"/>
      <c r="AG260" s="16"/>
      <c r="AH260" s="16">
        <f ca="1">_xll.DBRW($D$4,$E$7,$E$8,$E$9,$E$10,$E$12,$D260,$E$6,AH$18,AH$17)</f>
        <v>-0.15087313000000002</v>
      </c>
      <c r="AI260" s="16">
        <f ca="1">_xll.DBRW($D$4,$E$7,$E$8,$E$9,$E$10,$E$12,$D260,$E$6,AI$18,AI$17)</f>
        <v>1.3085122058009312E-2</v>
      </c>
      <c r="AJ260" s="16"/>
      <c r="AK260" s="16"/>
      <c r="AL260" s="16"/>
      <c r="AM260" s="16"/>
      <c r="AN260" s="16">
        <f ca="1">_xll.DBRW($D$4,$E$7,$E$8,$E$9,$E$10,$E$12,$D260,$E$6,AN$18,AN$17)</f>
        <v>-2.9675608100000006</v>
      </c>
      <c r="AO260" s="16">
        <f ca="1">_xll.DBRW($D$4,$E$7,$E$8,$E$9,$E$10,$E$12,$D260,$E$6,AO$18,AO$17)</f>
        <v>0.25737449347948826</v>
      </c>
      <c r="AP260" s="16"/>
      <c r="AQ260" s="16"/>
      <c r="AR260" s="16"/>
      <c r="AS260" s="16"/>
      <c r="AT260" s="16">
        <f ca="1">_xll.DBRW($D$4,$E$7,$E$8,$E$9,$E$10,$E$12,$D260,$E$6,AT$18,AT$17)</f>
        <v>0.16398507999999998</v>
      </c>
      <c r="AU260" s="16">
        <f ca="1">_xll.DBRW($D$4,$E$7,$E$8,$E$9,$E$10,$E$12,$D260,$E$6,AU$18,AU$17)</f>
        <v>8.3516939999999998E-2</v>
      </c>
      <c r="AV260" s="16">
        <f ca="1">_xll.DBRW($D$4,$E$7,$E$8,$E$9,$E$10,$E$12,$D260,$E$6,AV$18,AV$17)</f>
        <v>4.0140719999999996</v>
      </c>
      <c r="AW260" s="16">
        <f ca="1">_xll.DBRW($D$4,$E$7,$E$8,$E$9,$E$10,$E$12,$D260,$E$6,AW$18,AW$17)</f>
        <v>8.3516939999999998E-2</v>
      </c>
      <c r="AX260" s="16">
        <f ca="1">_xll.DBRW($D$4,$E$7,$E$8,$E$9,$E$10,$E$12,$D260,$E$6,AX$18,AX$17)</f>
        <v>0</v>
      </c>
      <c r="AY260" s="16">
        <f ca="1">_xll.DBRW($D$4,$E$7,$E$8,$E$9,$E$10,$E$12,$D260,$E$6,AY$18,AY$17)</f>
        <v>0</v>
      </c>
      <c r="AZ260" s="16">
        <f ca="1">_xll.DBRW($D$4,$E$7,$E$8,$E$9,$E$10,$E$12,$D260,$E$6,AZ$18,AZ$17)</f>
        <v>0</v>
      </c>
      <c r="BA260" s="16">
        <f ca="1">_xll.DBRW($D$4,$E$7,$E$8,$E$9,$E$10,$E$12,$D260,$E$6,BA$18,BA$17)</f>
        <v>0</v>
      </c>
      <c r="BB260" s="16">
        <f ca="1">_xll.DBRW($D$4,$E$7,$E$8,$E$9,$E$10,$E$12,$D260,$E$6,BB$18,BB$17)</f>
        <v>8.3516939999999998E-2</v>
      </c>
      <c r="BC260" s="16">
        <f ca="1">_xll.DBRW($D$4,$E$7,$E$8,$E$9,$E$10,$E$12,$D260,$E$6,BC$18,BC$17)</f>
        <v>8.3516939999999998E-2</v>
      </c>
      <c r="BD260" s="16">
        <f ca="1">_xll.DBRW($D$4,$E$7,$E$8,$E$9,$E$10,$E$12,$D260,$E$6,BD$18,BD$17)</f>
        <v>1.4444207800000011</v>
      </c>
      <c r="BE260" s="16">
        <f ca="1">_xll.DBRW($D$4,$E$7,$E$8,$E$9,$E$10,$E$12,$D260,$E$6,BE$18,BE$17)</f>
        <v>-0.18884746000000002</v>
      </c>
      <c r="BF260" s="16">
        <f ca="1">_xll.DBRW($D$4,$E$7,$E$8,$E$9,$E$10,$E$12,$D260,$E$6,BF$18,BF$17)</f>
        <v>-0.19522138</v>
      </c>
      <c r="BG260" s="26">
        <f ca="1">_xll.DBRW($D$4,$E$7,$E$8,$E$9,$E$10,$E$12,$D260,$E$6,BG$18,BG$17)</f>
        <v>0</v>
      </c>
      <c r="BH260" s="26">
        <f ca="1">_xll.DBRW($D$4,$E$7,$E$8,$E$9,$E$10,$E$12,$D260,$E$6,BH$18,BH$17)</f>
        <v>0</v>
      </c>
      <c r="BI260" s="26">
        <f ca="1">_xll.DBRW($D$4,$E$7,$E$8,$E$9,$E$10,$E$12,$D260,$E$6,BI$18,BI$17)</f>
        <v>0</v>
      </c>
      <c r="BJ260" s="26">
        <f ca="1">_xll.DBRW($D$4,$E$7,$E$8,$E$9,$E$10,$E$12,$D260,$E$6,BJ$18,BJ$17)</f>
        <v>0</v>
      </c>
      <c r="BK260" s="16">
        <f ca="1">_xll.DBRW($D$4,$E$7,$E$8,$E$9,$E$10,$E$12,$D260,$E$6,BK$18,BK$17)</f>
        <v>1.6332682400000014</v>
      </c>
      <c r="BL260" s="16">
        <f ca="1">_xll.DBRW($D$4,$E$7,$E$8,$E$9,$E$10,$E$12,$D260,$E$6,BL$18,BL$17)</f>
        <v>9.334149570000001</v>
      </c>
      <c r="BM260" s="16">
        <f ca="1">_xll.DBRW($D$4,$E$7,$E$8,$E$9,$E$10,$E$12,$D260,$E$6,BM$18,BM$17)</f>
        <v>-3.6064404899999989</v>
      </c>
      <c r="BN260" s="16">
        <f ca="1">_xll.DBRW($D$4,$E$7,$E$8,$E$9,$E$10,$E$12,$D260,$E$6,BN$18,BN$17)</f>
        <v>0.38637054859192688</v>
      </c>
      <c r="BO260" s="16"/>
      <c r="BP260" s="16"/>
      <c r="BQ260" s="16"/>
      <c r="BR260" s="16"/>
      <c r="BS260" s="16">
        <f ca="1">_xll.DBRW($D$4,$E$7,$E$8,$E$9,$E$10,$E$12,$D260,$E$6,BS$18,BS$17)</f>
        <v>-2.0003796899999999</v>
      </c>
      <c r="BT260" s="16">
        <f ca="1">_xll.DBRW($D$4,$E$7,$E$8,$E$9,$E$10,$E$12,$D260,$E$6,BT$18,BT$17)</f>
        <v>0.21430765331093787</v>
      </c>
      <c r="BU260" s="16"/>
      <c r="BV260" s="16"/>
      <c r="BW260" s="16"/>
      <c r="BX260" s="16"/>
      <c r="BY260" s="16">
        <f ca="1">_xll.DBRW($D$4,$E$7,$E$8,$E$9,$E$10,$E$12,$D260,$E$6,BY$18,BY$17)</f>
        <v>0</v>
      </c>
      <c r="BZ260" s="16">
        <f ca="1">_xll.DBRW($D$4,$E$7,$E$8,$E$9,$E$10,$E$12,$D260,$E$6,BZ$18,BZ$17)</f>
        <v>0</v>
      </c>
      <c r="CA260" s="16"/>
      <c r="CB260" s="16"/>
      <c r="CC260" s="16"/>
      <c r="CD260" s="16"/>
      <c r="CE260" s="16">
        <f ca="1">_xll.DBRW($D$4,$E$7,$E$8,$E$9,$E$10,$E$12,$D260,$E$6,CE$18,CE$17)</f>
        <v>-0.13423218000000001</v>
      </c>
      <c r="CF260" s="16">
        <f ca="1">_xll.DBRW($D$4,$E$7,$E$8,$E$9,$E$10,$E$12,$D260,$E$6,CF$18,CF$17)</f>
        <v>1.4380761631613751E-2</v>
      </c>
      <c r="CG260" s="16"/>
      <c r="CH260" s="16"/>
      <c r="CI260" s="16"/>
      <c r="CJ260" s="16"/>
      <c r="CK260" s="16">
        <f ca="1">_xll.DBRW($D$4,$E$7,$E$8,$E$9,$E$10,$E$12,$D260,$E$6,CK$18,CK$17)</f>
        <v>-1.9598289700000004</v>
      </c>
      <c r="CL260" s="16">
        <f ca="1">_xll.DBRW($D$4,$E$7,$E$8,$E$9,$E$10,$E$12,$D260,$E$6,CL$18,CL$17)</f>
        <v>0.20996331324054412</v>
      </c>
      <c r="CM260" s="16"/>
      <c r="CN260" s="16"/>
      <c r="CO260" s="16"/>
      <c r="CP260" s="16"/>
      <c r="CQ260" s="16">
        <f ca="1">_xll.DBRW($D$4,$E$7,$E$8,$E$9,$E$10,$E$12,$D260,$E$6,CQ$18,CQ$17)</f>
        <v>0.13676748999999999</v>
      </c>
      <c r="CR260" s="16">
        <f ca="1">_xll.DBRW($D$4,$E$7,$E$8,$E$9,$E$10,$E$12,$D260,$E$6,CR$18,CR$17)</f>
        <v>6.6230359999999988E-2</v>
      </c>
      <c r="CS260" s="16">
        <f ca="1">_xll.DBRW($D$4,$E$7,$E$8,$E$9,$E$10,$E$12,$D260,$E$6,CS$18,CS$17)</f>
        <v>3.16052044</v>
      </c>
      <c r="CT260" s="16">
        <f ca="1">_xll.DBRW($D$4,$E$7,$E$8,$E$9,$E$10,$E$12,$D260,$E$6,CT$18,CT$17)</f>
        <v>6.6230359999999988E-2</v>
      </c>
      <c r="CU260" s="16">
        <f ca="1">_xll.DBRW($D$4,$E$7,$E$8,$E$9,$E$10,$E$12,$D260,$E$6,CU$18,CU$17)</f>
        <v>0</v>
      </c>
      <c r="CV260" s="16">
        <f ca="1">_xll.DBRW($D$4,$E$7,$E$8,$E$9,$E$10,$E$12,$D260,$E$6,CV$18,CV$17)</f>
        <v>0</v>
      </c>
      <c r="CW260" s="16">
        <f ca="1">_xll.DBRW($D$4,$E$7,$E$8,$E$9,$E$10,$E$12,$D260,$E$6,CW$18,CW$17)</f>
        <v>0</v>
      </c>
      <c r="CX260" s="16">
        <f ca="1">_xll.DBRW($D$4,$E$7,$E$8,$E$9,$E$10,$E$12,$D260,$E$6,CX$18,CX$17)</f>
        <v>0</v>
      </c>
      <c r="CY260" s="16">
        <f ca="1">_xll.DBRW($D$4,$E$7,$E$8,$E$9,$E$10,$E$12,$D260,$E$6,CY$18,CY$17)</f>
        <v>6.6230359999999988E-2</v>
      </c>
      <c r="CZ260" s="16">
        <f ca="1">_xll.DBRW($D$4,$E$7,$E$8,$E$9,$E$10,$E$12,$D260,$E$6,CZ$18,CZ$17)</f>
        <v>6.6230359999999988E-2</v>
      </c>
      <c r="DA260" s="26">
        <f t="shared" ca="1" si="146"/>
        <v>-0.42820072000000331</v>
      </c>
      <c r="DB260" s="26">
        <f t="shared" ca="1" si="147"/>
        <v>-0.28748497999999995</v>
      </c>
      <c r="DC260" s="26">
        <f t="shared" ca="1" si="148"/>
        <v>0.19522138</v>
      </c>
      <c r="DD260" s="26">
        <f t="shared" ca="1" si="149"/>
        <v>0</v>
      </c>
      <c r="DE260" s="26">
        <f t="shared" ca="1" si="150"/>
        <v>0</v>
      </c>
      <c r="DF260" s="26">
        <f t="shared" ca="1" si="151"/>
        <v>0</v>
      </c>
      <c r="DG260" s="26">
        <f t="shared" ca="1" si="152"/>
        <v>0</v>
      </c>
      <c r="DH260" s="26">
        <f t="shared" ca="1" si="153"/>
        <v>-0.14071574000000386</v>
      </c>
      <c r="DI260" s="26">
        <f t="shared" ca="1" si="154"/>
        <v>2.1959782599999969</v>
      </c>
      <c r="DJ260" s="26">
        <f t="shared" ca="1" si="155"/>
        <v>-0.80906813</v>
      </c>
      <c r="DK260" s="26">
        <f t="shared" ca="1" si="156"/>
        <v>-3.416544516501141E-3</v>
      </c>
      <c r="DL260" s="26"/>
      <c r="DM260" s="26"/>
      <c r="DN260" s="26"/>
      <c r="DO260" s="26"/>
      <c r="DP260" s="26">
        <f t="shared" ca="1" si="157"/>
        <v>-0.50303114000000049</v>
      </c>
      <c r="DQ260" s="26">
        <f t="shared" ca="1" si="158"/>
        <v>2.81143391083849E-3</v>
      </c>
      <c r="DR260" s="26"/>
      <c r="DS260" s="26"/>
      <c r="DT260" s="26"/>
      <c r="DU260" s="26"/>
      <c r="DV260" s="26">
        <f t="shared" ca="1" si="159"/>
        <v>-2.2194000000000001E-4</v>
      </c>
      <c r="DW260" s="26">
        <f t="shared" ca="1" si="160"/>
        <v>1.9248702466466936E-5</v>
      </c>
      <c r="DX260" s="26"/>
      <c r="DY260" s="26"/>
      <c r="DZ260" s="26"/>
      <c r="EA260" s="26"/>
      <c r="EB260" s="26">
        <f t="shared" ca="1" si="161"/>
        <v>-1.6640950000000015E-2</v>
      </c>
      <c r="EC260" s="26">
        <f t="shared" ca="1" si="162"/>
        <v>-1.2956395736044395E-3</v>
      </c>
      <c r="ED260" s="26"/>
      <c r="EE260" s="26"/>
      <c r="EF260" s="26"/>
      <c r="EG260" s="26"/>
      <c r="EH260" s="26">
        <f t="shared" ca="1" si="163"/>
        <v>-1.0077318400000002</v>
      </c>
      <c r="EI260" s="29">
        <f t="shared" ca="1" si="164"/>
        <v>4.7411180238944139E-2</v>
      </c>
      <c r="EJ260" s="29"/>
      <c r="EK260" s="29"/>
      <c r="EL260" s="29"/>
      <c r="EM260" s="29"/>
      <c r="EN260" s="93"/>
      <c r="EO260" s="29"/>
      <c r="EP260" s="29"/>
      <c r="EQ260" s="29"/>
      <c r="ER260" s="29"/>
      <c r="ES260" s="29"/>
      <c r="ET260" s="29"/>
      <c r="EU260" s="93"/>
      <c r="EV260" s="29"/>
      <c r="EW260" s="29"/>
      <c r="EX260" s="29"/>
      <c r="EY260" s="29"/>
      <c r="EZ260" s="29"/>
      <c r="FA260" s="29"/>
      <c r="FB260" s="93"/>
      <c r="FC260" s="29"/>
      <c r="FD260" s="29"/>
      <c r="FE260" s="29"/>
      <c r="FF260" s="29"/>
      <c r="FG260" s="29"/>
      <c r="FH260" s="29"/>
      <c r="FI260" s="93"/>
      <c r="FJ260" s="29"/>
      <c r="FK260" s="29"/>
      <c r="FL260" s="29"/>
      <c r="FM260" s="29"/>
      <c r="FN260" s="29"/>
      <c r="FO260" s="29"/>
      <c r="FP260" s="93"/>
      <c r="FQ260" s="29"/>
      <c r="FR260" s="29"/>
      <c r="FS260" s="29"/>
      <c r="FT260" s="29"/>
      <c r="FU260" s="29"/>
      <c r="FV260" s="29"/>
    </row>
    <row r="261" spans="1:178" x14ac:dyDescent="0.25">
      <c r="A261" t="str">
        <f ca="1">IF(_xll.TM1RPTELISCONSOLIDATED($D$28,$D261),IF(_xll.TM1RPTELLEV($D$28,$D261)&lt;=3,_xll.TM1RPTELLEV($D$28,$D261),"D"),"N")</f>
        <v>N</v>
      </c>
      <c r="B261" t="str">
        <f ca="1">_xll.DBRA(Server&amp;"Management_organization",$D261,$B$27)</f>
        <v>L</v>
      </c>
      <c r="C261">
        <v>1</v>
      </c>
      <c r="D261" s="2" t="s">
        <v>234</v>
      </c>
      <c r="E261" s="26"/>
      <c r="F261" s="26"/>
      <c r="G261" s="16">
        <f ca="1">_xll.DBRW($D$4,$E$7,$E$8,$E$9,$E$10,$E$12,$D261,$E$6,G$18,G$17)</f>
        <v>1.3642831899999994</v>
      </c>
      <c r="H261" s="16">
        <f ca="1">_xll.DBRW($D$4,$E$7,$E$8,$E$9,$E$10,$E$12,$D261,$E$6,H$18,H$17)</f>
        <v>-0.14291065000000003</v>
      </c>
      <c r="I261" s="16">
        <f ca="1">_xll.DBRW($D$4,$E$7,$E$8,$E$9,$E$10,$E$12,$D261,$E$6,I$18,I$17)</f>
        <v>4.3368086899420177E-19</v>
      </c>
      <c r="J261" s="26">
        <f ca="1">_xll.DBRW($D$4,$E$7,$E$8,$E$9,$E$10,$E$12,$D261,$E$6,J$18,J$17)</f>
        <v>0</v>
      </c>
      <c r="K261" s="26">
        <f ca="1">_xll.DBRW($D$4,$E$7,$E$8,$E$9,$E$10,$E$12,$D261,$E$6,K$18,K$17)</f>
        <v>0</v>
      </c>
      <c r="L261" s="26">
        <f ca="1">_xll.DBRW($D$4,$E$7,$E$8,$E$9,$E$10,$E$12,$D261,$E$6,L$18,L$17)</f>
        <v>0</v>
      </c>
      <c r="M261" s="26">
        <f ca="1">_xll.DBRW($D$4,$E$7,$E$8,$E$9,$E$10,$E$12,$D261,$E$6,M$18,M$17)</f>
        <v>0</v>
      </c>
      <c r="N261" s="16">
        <f ca="1">_xll.DBRW($D$4,$E$7,$E$8,$E$9,$E$10,$E$12,$D261,$E$6,N$18,N$17)</f>
        <v>1.5071938399999996</v>
      </c>
      <c r="O261" s="16">
        <f ca="1">_xll.DBRW($D$4,$E$7,$E$8,$E$9,$E$10,$E$12,$D261,$E$6,O$18,O$17)</f>
        <v>7.1235571999999996</v>
      </c>
      <c r="P261" s="74">
        <f ca="1">_xll.DBRW($D$4,$E$7,$E$8,$E$9,$E$10,$E$12,$D261,$E$6,P$18,P$17)</f>
        <v>-2.2356441399999998</v>
      </c>
      <c r="Q261" s="16">
        <f ca="1">_xll.DBRW($D$4,$E$7,$E$8,$E$9,$E$10,$E$12,$D261,$E$6,Q$18,Q$17)</f>
        <v>0.31383816781874091</v>
      </c>
      <c r="R261" s="16"/>
      <c r="S261" s="16"/>
      <c r="T261" s="16"/>
      <c r="U261" s="16"/>
      <c r="V261" s="16">
        <f ca="1">_xll.DBRW($D$4,$E$7,$E$8,$E$9,$E$10,$E$12,$D261,$E$6,V$18,V$17)</f>
        <v>-0.78835442000000011</v>
      </c>
      <c r="W261" s="16">
        <f ca="1">_xll.DBRW($D$4,$E$7,$E$8,$E$9,$E$10,$E$12,$D261,$E$6,W$18,W$17)</f>
        <v>0.11066864459233937</v>
      </c>
      <c r="X261" s="16"/>
      <c r="Y261" s="16"/>
      <c r="Z261" s="16"/>
      <c r="AA261" s="16"/>
      <c r="AB261" s="16">
        <f ca="1">_xll.DBRW($D$4,$E$7,$E$8,$E$9,$E$10,$E$12,$D261,$E$6,AB$18,AB$17)</f>
        <v>-0.77513729999999992</v>
      </c>
      <c r="AC261" s="16">
        <f ca="1">_xll.DBRW($D$4,$E$7,$E$8,$E$9,$E$10,$E$12,$D261,$E$6,AC$18,AC$17)</f>
        <v>0.10881323448908363</v>
      </c>
      <c r="AD261" s="16"/>
      <c r="AE261" s="16"/>
      <c r="AF261" s="16"/>
      <c r="AG261" s="16"/>
      <c r="AH261" s="16">
        <f ca="1">_xll.DBRW($D$4,$E$7,$E$8,$E$9,$E$10,$E$12,$D261,$E$6,AH$18,AH$17)</f>
        <v>-5.1073739999999992E-2</v>
      </c>
      <c r="AI261" s="16">
        <f ca="1">_xll.DBRW($D$4,$E$7,$E$8,$E$9,$E$10,$E$12,$D261,$E$6,AI$18,AI$17)</f>
        <v>7.1696960614003342E-3</v>
      </c>
      <c r="AJ261" s="16"/>
      <c r="AK261" s="16"/>
      <c r="AL261" s="16"/>
      <c r="AM261" s="16"/>
      <c r="AN261" s="16">
        <f ca="1">_xll.DBRW($D$4,$E$7,$E$8,$E$9,$E$10,$E$12,$D261,$E$6,AN$18,AN$17)</f>
        <v>-1.7661537599999999</v>
      </c>
      <c r="AO261" s="16">
        <f ca="1">_xll.DBRW($D$4,$E$7,$E$8,$E$9,$E$10,$E$12,$D261,$E$6,AO$18,AO$17)</f>
        <v>0.24793143515433552</v>
      </c>
      <c r="AP261" s="16"/>
      <c r="AQ261" s="16"/>
      <c r="AR261" s="16"/>
      <c r="AS261" s="16"/>
      <c r="AT261" s="16">
        <f ca="1">_xll.DBRW($D$4,$E$7,$E$8,$E$9,$E$10,$E$12,$D261,$E$6,AT$18,AT$17)</f>
        <v>8.7838159999999998E-2</v>
      </c>
      <c r="AU261" s="16">
        <f ca="1">_xll.DBRW($D$4,$E$7,$E$8,$E$9,$E$10,$E$12,$D261,$E$6,AU$18,AU$17)</f>
        <v>7.824521999999999E-2</v>
      </c>
      <c r="AV261" s="16">
        <f ca="1">_xll.DBRW($D$4,$E$7,$E$8,$E$9,$E$10,$E$12,$D261,$E$6,AV$18,AV$17)</f>
        <v>1.3341460000000001</v>
      </c>
      <c r="AW261" s="16">
        <f ca="1">_xll.DBRW($D$4,$E$7,$E$8,$E$9,$E$10,$E$12,$D261,$E$6,AW$18,AW$17)</f>
        <v>7.824521999999999E-2</v>
      </c>
      <c r="AX261" s="16">
        <f ca="1">_xll.DBRW($D$4,$E$7,$E$8,$E$9,$E$10,$E$12,$D261,$E$6,AX$18,AX$17)</f>
        <v>0</v>
      </c>
      <c r="AY261" s="16">
        <f ca="1">_xll.DBRW($D$4,$E$7,$E$8,$E$9,$E$10,$E$12,$D261,$E$6,AY$18,AY$17)</f>
        <v>0</v>
      </c>
      <c r="AZ261" s="16">
        <f ca="1">_xll.DBRW($D$4,$E$7,$E$8,$E$9,$E$10,$E$12,$D261,$E$6,AZ$18,AZ$17)</f>
        <v>0</v>
      </c>
      <c r="BA261" s="16">
        <f ca="1">_xll.DBRW($D$4,$E$7,$E$8,$E$9,$E$10,$E$12,$D261,$E$6,BA$18,BA$17)</f>
        <v>0</v>
      </c>
      <c r="BB261" s="16">
        <f ca="1">_xll.DBRW($D$4,$E$7,$E$8,$E$9,$E$10,$E$12,$D261,$E$6,BB$18,BB$17)</f>
        <v>7.824521999999999E-2</v>
      </c>
      <c r="BC261" s="16">
        <f ca="1">_xll.DBRW($D$4,$E$7,$E$8,$E$9,$E$10,$E$12,$D261,$E$6,BC$18,BC$17)</f>
        <v>7.824521999999999E-2</v>
      </c>
      <c r="BD261" s="16">
        <f ca="1">_xll.DBRW($D$4,$E$7,$E$8,$E$9,$E$10,$E$12,$D261,$E$6,BD$18,BD$17)</f>
        <v>1.2680144099999997</v>
      </c>
      <c r="BE261" s="16">
        <f ca="1">_xll.DBRW($D$4,$E$7,$E$8,$E$9,$E$10,$E$12,$D261,$E$6,BE$18,BE$17)</f>
        <v>-0.12268961</v>
      </c>
      <c r="BF261" s="16">
        <f ca="1">_xll.DBRW($D$4,$E$7,$E$8,$E$9,$E$10,$E$12,$D261,$E$6,BF$18,BF$17)</f>
        <v>-1.732825E-2</v>
      </c>
      <c r="BG261" s="26">
        <f ca="1">_xll.DBRW($D$4,$E$7,$E$8,$E$9,$E$10,$E$12,$D261,$E$6,BG$18,BG$17)</f>
        <v>0</v>
      </c>
      <c r="BH261" s="26">
        <f ca="1">_xll.DBRW($D$4,$E$7,$E$8,$E$9,$E$10,$E$12,$D261,$E$6,BH$18,BH$17)</f>
        <v>0</v>
      </c>
      <c r="BI261" s="26">
        <f ca="1">_xll.DBRW($D$4,$E$7,$E$8,$E$9,$E$10,$E$12,$D261,$E$6,BI$18,BI$17)</f>
        <v>0</v>
      </c>
      <c r="BJ261" s="26">
        <f ca="1">_xll.DBRW($D$4,$E$7,$E$8,$E$9,$E$10,$E$12,$D261,$E$6,BJ$18,BJ$17)</f>
        <v>0</v>
      </c>
      <c r="BK261" s="16">
        <f ca="1">_xll.DBRW($D$4,$E$7,$E$8,$E$9,$E$10,$E$12,$D261,$E$6,BK$18,BK$17)</f>
        <v>1.3907040199999998</v>
      </c>
      <c r="BL261" s="16">
        <f ca="1">_xll.DBRW($D$4,$E$7,$E$8,$E$9,$E$10,$E$12,$D261,$E$6,BL$18,BL$17)</f>
        <v>5.5994835600000004</v>
      </c>
      <c r="BM261" s="16">
        <f ca="1">_xll.DBRW($D$4,$E$7,$E$8,$E$9,$E$10,$E$12,$D261,$E$6,BM$18,BM$17)</f>
        <v>-1.7705557299999999</v>
      </c>
      <c r="BN261" s="16">
        <f ca="1">_xll.DBRW($D$4,$E$7,$E$8,$E$9,$E$10,$E$12,$D261,$E$6,BN$18,BN$17)</f>
        <v>0.31619982647113976</v>
      </c>
      <c r="BO261" s="16"/>
      <c r="BP261" s="16"/>
      <c r="BQ261" s="16"/>
      <c r="BR261" s="16"/>
      <c r="BS261" s="16">
        <f ca="1">_xll.DBRW($D$4,$E$7,$E$8,$E$9,$E$10,$E$12,$D261,$E$6,BS$18,BS$17)</f>
        <v>-0.72946851999999995</v>
      </c>
      <c r="BT261" s="16">
        <f ca="1">_xll.DBRW($D$4,$E$7,$E$8,$E$9,$E$10,$E$12,$D261,$E$6,BT$18,BT$17)</f>
        <v>0.13027424979170757</v>
      </c>
      <c r="BU261" s="16"/>
      <c r="BV261" s="16"/>
      <c r="BW261" s="16"/>
      <c r="BX261" s="16"/>
      <c r="BY261" s="16">
        <f ca="1">_xll.DBRW($D$4,$E$7,$E$8,$E$9,$E$10,$E$12,$D261,$E$6,BY$18,BY$17)</f>
        <v>-0.48831119000000001</v>
      </c>
      <c r="BZ261" s="16">
        <f ca="1">_xll.DBRW($D$4,$E$7,$E$8,$E$9,$E$10,$E$12,$D261,$E$6,BZ$18,BZ$17)</f>
        <v>8.7206469090874511E-2</v>
      </c>
      <c r="CA261" s="16"/>
      <c r="CB261" s="16"/>
      <c r="CC261" s="16"/>
      <c r="CD261" s="16"/>
      <c r="CE261" s="16">
        <f ca="1">_xll.DBRW($D$4,$E$7,$E$8,$E$9,$E$10,$E$12,$D261,$E$6,CE$18,CE$17)</f>
        <v>-4.9978059999999998E-2</v>
      </c>
      <c r="CF261" s="16">
        <f ca="1">_xll.DBRW($D$4,$E$7,$E$8,$E$9,$E$10,$E$12,$D261,$E$6,CF$18,CF$17)</f>
        <v>8.925476691639754E-3</v>
      </c>
      <c r="CG261" s="16"/>
      <c r="CH261" s="16"/>
      <c r="CI261" s="16"/>
      <c r="CJ261" s="16"/>
      <c r="CK261" s="16">
        <f ca="1">_xll.DBRW($D$4,$E$7,$E$8,$E$9,$E$10,$E$12,$D261,$E$6,CK$18,CK$17)</f>
        <v>-1.17046604</v>
      </c>
      <c r="CL261" s="16">
        <f ca="1">_xll.DBRW($D$4,$E$7,$E$8,$E$9,$E$10,$E$12,$D261,$E$6,CL$18,CL$17)</f>
        <v>0.20903107000103416</v>
      </c>
      <c r="CM261" s="16"/>
      <c r="CN261" s="16"/>
      <c r="CO261" s="16"/>
      <c r="CP261" s="16"/>
      <c r="CQ261" s="16">
        <f ca="1">_xll.DBRW($D$4,$E$7,$E$8,$E$9,$E$10,$E$12,$D261,$E$6,CQ$18,CQ$17)</f>
        <v>6.8399020000000005E-2</v>
      </c>
      <c r="CR261" s="16">
        <f ca="1">_xll.DBRW($D$4,$E$7,$E$8,$E$9,$E$10,$E$12,$D261,$E$6,CR$18,CR$17)</f>
        <v>6.0885159999999994E-2</v>
      </c>
      <c r="CS261" s="16">
        <f ca="1">_xll.DBRW($D$4,$E$7,$E$8,$E$9,$E$10,$E$12,$D261,$E$6,CS$18,CS$17)</f>
        <v>1.04281913</v>
      </c>
      <c r="CT261" s="16">
        <f ca="1">_xll.DBRW($D$4,$E$7,$E$8,$E$9,$E$10,$E$12,$D261,$E$6,CT$18,CT$17)</f>
        <v>6.0885159999999994E-2</v>
      </c>
      <c r="CU261" s="16">
        <f ca="1">_xll.DBRW($D$4,$E$7,$E$8,$E$9,$E$10,$E$12,$D261,$E$6,CU$18,CU$17)</f>
        <v>0</v>
      </c>
      <c r="CV261" s="16">
        <f ca="1">_xll.DBRW($D$4,$E$7,$E$8,$E$9,$E$10,$E$12,$D261,$E$6,CV$18,CV$17)</f>
        <v>0</v>
      </c>
      <c r="CW261" s="16">
        <f ca="1">_xll.DBRW($D$4,$E$7,$E$8,$E$9,$E$10,$E$12,$D261,$E$6,CW$18,CW$17)</f>
        <v>0</v>
      </c>
      <c r="CX261" s="16">
        <f ca="1">_xll.DBRW($D$4,$E$7,$E$8,$E$9,$E$10,$E$12,$D261,$E$6,CX$18,CX$17)</f>
        <v>0</v>
      </c>
      <c r="CY261" s="16">
        <f ca="1">_xll.DBRW($D$4,$E$7,$E$8,$E$9,$E$10,$E$12,$D261,$E$6,CY$18,CY$17)</f>
        <v>6.0885159999999994E-2</v>
      </c>
      <c r="CZ261" s="16">
        <f ca="1">_xll.DBRW($D$4,$E$7,$E$8,$E$9,$E$10,$E$12,$D261,$E$6,CZ$18,CZ$17)</f>
        <v>6.0885159999999994E-2</v>
      </c>
      <c r="DA261" s="26">
        <f t="shared" ca="1" si="146"/>
        <v>9.6268779999999721E-2</v>
      </c>
      <c r="DB261" s="26">
        <f t="shared" ca="1" si="147"/>
        <v>-2.0221040000000023E-2</v>
      </c>
      <c r="DC261" s="26">
        <f t="shared" ca="1" si="148"/>
        <v>1.732825E-2</v>
      </c>
      <c r="DD261" s="26">
        <f t="shared" ca="1" si="149"/>
        <v>0</v>
      </c>
      <c r="DE261" s="26">
        <f t="shared" ca="1" si="150"/>
        <v>0</v>
      </c>
      <c r="DF261" s="26">
        <f t="shared" ca="1" si="151"/>
        <v>0</v>
      </c>
      <c r="DG261" s="26">
        <f t="shared" ca="1" si="152"/>
        <v>0</v>
      </c>
      <c r="DH261" s="26">
        <f t="shared" ca="1" si="153"/>
        <v>0.11648981999999974</v>
      </c>
      <c r="DI261" s="26">
        <f t="shared" ca="1" si="154"/>
        <v>1.5240736399999992</v>
      </c>
      <c r="DJ261" s="26">
        <f t="shared" ca="1" si="155"/>
        <v>-0.4650884099999999</v>
      </c>
      <c r="DK261" s="26">
        <f t="shared" ca="1" si="156"/>
        <v>-2.3616586523988459E-3</v>
      </c>
      <c r="DL261" s="26"/>
      <c r="DM261" s="26"/>
      <c r="DN261" s="26"/>
      <c r="DO261" s="26"/>
      <c r="DP261" s="26">
        <f t="shared" ca="1" si="157"/>
        <v>-5.8885900000000158E-2</v>
      </c>
      <c r="DQ261" s="26">
        <f t="shared" ca="1" si="158"/>
        <v>-1.9605605199368201E-2</v>
      </c>
      <c r="DR261" s="26"/>
      <c r="DS261" s="26"/>
      <c r="DT261" s="26"/>
      <c r="DU261" s="26"/>
      <c r="DV261" s="26">
        <f t="shared" ca="1" si="159"/>
        <v>-0.28682610999999991</v>
      </c>
      <c r="DW261" s="26">
        <f t="shared" ca="1" si="160"/>
        <v>2.1606765398209118E-2</v>
      </c>
      <c r="DX261" s="26"/>
      <c r="DY261" s="26"/>
      <c r="DZ261" s="26"/>
      <c r="EA261" s="26"/>
      <c r="EB261" s="26">
        <f t="shared" ca="1" si="161"/>
        <v>-1.0956799999999947E-3</v>
      </c>
      <c r="EC261" s="26">
        <f t="shared" ca="1" si="162"/>
        <v>-1.7557806302394199E-3</v>
      </c>
      <c r="ED261" s="26"/>
      <c r="EE261" s="26"/>
      <c r="EF261" s="26"/>
      <c r="EG261" s="26"/>
      <c r="EH261" s="26">
        <f t="shared" ca="1" si="163"/>
        <v>-0.59568771999999992</v>
      </c>
      <c r="EI261" s="29">
        <f t="shared" ca="1" si="164"/>
        <v>3.8900365153301364E-2</v>
      </c>
      <c r="EJ261" s="29"/>
      <c r="EK261" s="29"/>
      <c r="EL261" s="29"/>
      <c r="EM261" s="29"/>
      <c r="EN261" s="93"/>
      <c r="EO261" s="29"/>
      <c r="EP261" s="29"/>
      <c r="EQ261" s="29"/>
      <c r="ER261" s="29"/>
      <c r="ES261" s="29"/>
      <c r="ET261" s="29"/>
      <c r="EU261" s="93"/>
      <c r="EV261" s="29"/>
      <c r="EW261" s="29"/>
      <c r="EX261" s="29"/>
      <c r="EY261" s="29"/>
      <c r="EZ261" s="29"/>
      <c r="FA261" s="29"/>
      <c r="FB261" s="93"/>
      <c r="FC261" s="29"/>
      <c r="FD261" s="29"/>
      <c r="FE261" s="29"/>
      <c r="FF261" s="29"/>
      <c r="FG261" s="29"/>
      <c r="FH261" s="29"/>
      <c r="FI261" s="93"/>
      <c r="FJ261" s="29"/>
      <c r="FK261" s="29"/>
      <c r="FL261" s="29"/>
      <c r="FM261" s="29"/>
      <c r="FN261" s="29"/>
      <c r="FO261" s="29"/>
      <c r="FP261" s="93"/>
      <c r="FQ261" s="29"/>
      <c r="FR261" s="29"/>
      <c r="FS261" s="29"/>
      <c r="FT261" s="29"/>
      <c r="FU261" s="29"/>
      <c r="FV261" s="29"/>
    </row>
    <row r="262" spans="1:178" x14ac:dyDescent="0.25">
      <c r="A262" t="str">
        <f ca="1">IF(_xll.TM1RPTELISCONSOLIDATED($D$28,$D262),IF(_xll.TM1RPTELLEV($D$28,$D262)&lt;=3,_xll.TM1RPTELLEV($D$28,$D262),"D"),"N")</f>
        <v>N</v>
      </c>
      <c r="B262" t="str">
        <f ca="1">_xll.DBRA(Server&amp;"Management_organization",$D262,$B$27)</f>
        <v>L</v>
      </c>
      <c r="C262">
        <v>1</v>
      </c>
      <c r="D262" s="2" t="s">
        <v>235</v>
      </c>
      <c r="E262" s="26"/>
      <c r="F262" s="26"/>
      <c r="G262" s="16">
        <f ca="1">_xll.DBRW($D$4,$E$7,$E$8,$E$9,$E$10,$E$12,$D262,$E$6,G$18,G$17)</f>
        <v>-2.07822694</v>
      </c>
      <c r="H262" s="16">
        <f ca="1">_xll.DBRW($D$4,$E$7,$E$8,$E$9,$E$10,$E$12,$D262,$E$6,H$18,H$17)</f>
        <v>-0.55086374999999999</v>
      </c>
      <c r="I262" s="16">
        <f ca="1">_xll.DBRW($D$4,$E$7,$E$8,$E$9,$E$10,$E$12,$D262,$E$6,I$18,I$17)</f>
        <v>-8.6736173798840355E-19</v>
      </c>
      <c r="J262" s="26">
        <f ca="1">_xll.DBRW($D$4,$E$7,$E$8,$E$9,$E$10,$E$12,$D262,$E$6,J$18,J$17)</f>
        <v>0</v>
      </c>
      <c r="K262" s="26">
        <f ca="1">_xll.DBRW($D$4,$E$7,$E$8,$E$9,$E$10,$E$12,$D262,$E$6,K$18,K$17)</f>
        <v>0</v>
      </c>
      <c r="L262" s="26">
        <f ca="1">_xll.DBRW($D$4,$E$7,$E$8,$E$9,$E$10,$E$12,$D262,$E$6,L$18,L$17)</f>
        <v>0</v>
      </c>
      <c r="M262" s="26">
        <f ca="1">_xll.DBRW($D$4,$E$7,$E$8,$E$9,$E$10,$E$12,$D262,$E$6,M$18,M$17)</f>
        <v>0</v>
      </c>
      <c r="N262" s="16">
        <f ca="1">_xll.DBRW($D$4,$E$7,$E$8,$E$9,$E$10,$E$12,$D262,$E$6,N$18,N$17)</f>
        <v>-1.5273631899999998</v>
      </c>
      <c r="O262" s="16">
        <f ca="1">_xll.DBRW($D$4,$E$7,$E$8,$E$9,$E$10,$E$12,$D262,$E$6,O$18,O$17)</f>
        <v>6.3274868600000005</v>
      </c>
      <c r="P262" s="74">
        <f ca="1">_xll.DBRW($D$4,$E$7,$E$8,$E$9,$E$10,$E$12,$D262,$E$6,P$18,P$17)</f>
        <v>-2.0453641599999997</v>
      </c>
      <c r="Q262" s="16">
        <f ca="1">_xll.DBRW($D$4,$E$7,$E$8,$E$9,$E$10,$E$12,$D262,$E$6,Q$18,Q$17)</f>
        <v>0.32325063729962444</v>
      </c>
      <c r="R262" s="16"/>
      <c r="S262" s="16"/>
      <c r="T262" s="16"/>
      <c r="U262" s="16"/>
      <c r="V262" s="16">
        <f ca="1">_xll.DBRW($D$4,$E$7,$E$8,$E$9,$E$10,$E$12,$D262,$E$6,V$18,V$17)</f>
        <v>-1.2308809300000001</v>
      </c>
      <c r="W262" s="16">
        <f ca="1">_xll.DBRW($D$4,$E$7,$E$8,$E$9,$E$10,$E$12,$D262,$E$6,W$18,W$17)</f>
        <v>0.19452919575087035</v>
      </c>
      <c r="X262" s="16"/>
      <c r="Y262" s="16"/>
      <c r="Z262" s="16"/>
      <c r="AA262" s="16"/>
      <c r="AB262" s="16">
        <f ca="1">_xll.DBRW($D$4,$E$7,$E$8,$E$9,$E$10,$E$12,$D262,$E$6,AB$18,AB$17)</f>
        <v>1.5015769999999998E-2</v>
      </c>
      <c r="AC262" s="16">
        <f ca="1">_xll.DBRW($D$4,$E$7,$E$8,$E$9,$E$10,$E$12,$D262,$E$6,AC$18,AC$17)</f>
        <v>-2.3731017277845434E-3</v>
      </c>
      <c r="AD262" s="16"/>
      <c r="AE262" s="16"/>
      <c r="AF262" s="16"/>
      <c r="AG262" s="16"/>
      <c r="AH262" s="16">
        <f ca="1">_xll.DBRW($D$4,$E$7,$E$8,$E$9,$E$10,$E$12,$D262,$E$6,AH$18,AH$17)</f>
        <v>-0.16970801000000002</v>
      </c>
      <c r="AI262" s="16">
        <f ca="1">_xll.DBRW($D$4,$E$7,$E$8,$E$9,$E$10,$E$12,$D262,$E$6,AI$18,AI$17)</f>
        <v>2.682076055705946E-2</v>
      </c>
      <c r="AJ262" s="16"/>
      <c r="AK262" s="16"/>
      <c r="AL262" s="16"/>
      <c r="AM262" s="16"/>
      <c r="AN262" s="16">
        <f ca="1">_xll.DBRW($D$4,$E$7,$E$8,$E$9,$E$10,$E$12,$D262,$E$6,AN$18,AN$17)</f>
        <v>-4.4239127200000006</v>
      </c>
      <c r="AO262" s="16">
        <f ca="1">_xll.DBRW($D$4,$E$7,$E$8,$E$9,$E$10,$E$12,$D262,$E$6,AO$18,AO$17)</f>
        <v>0.69915794657217201</v>
      </c>
      <c r="AP262" s="16"/>
      <c r="AQ262" s="16"/>
      <c r="AR262" s="16"/>
      <c r="AS262" s="16"/>
      <c r="AT262" s="16">
        <f ca="1">_xll.DBRW($D$4,$E$7,$E$8,$E$9,$E$10,$E$12,$D262,$E$6,AT$18,AT$17)</f>
        <v>8.3952810000000003E-2</v>
      </c>
      <c r="AU262" s="16">
        <f ca="1">_xll.DBRW($D$4,$E$7,$E$8,$E$9,$E$10,$E$12,$D262,$E$6,AU$18,AU$17)</f>
        <v>9.4864599999999979E-2</v>
      </c>
      <c r="AV262" s="16">
        <f ca="1">_xll.DBRW($D$4,$E$7,$E$8,$E$9,$E$10,$E$12,$D262,$E$6,AV$18,AV$17)</f>
        <v>0.443324</v>
      </c>
      <c r="AW262" s="16">
        <f ca="1">_xll.DBRW($D$4,$E$7,$E$8,$E$9,$E$10,$E$12,$D262,$E$6,AW$18,AW$17)</f>
        <v>9.4864599999999979E-2</v>
      </c>
      <c r="AX262" s="16">
        <f ca="1">_xll.DBRW($D$4,$E$7,$E$8,$E$9,$E$10,$E$12,$D262,$E$6,AX$18,AX$17)</f>
        <v>0</v>
      </c>
      <c r="AY262" s="16">
        <f ca="1">_xll.DBRW($D$4,$E$7,$E$8,$E$9,$E$10,$E$12,$D262,$E$6,AY$18,AY$17)</f>
        <v>0</v>
      </c>
      <c r="AZ262" s="16">
        <f ca="1">_xll.DBRW($D$4,$E$7,$E$8,$E$9,$E$10,$E$12,$D262,$E$6,AZ$18,AZ$17)</f>
        <v>0</v>
      </c>
      <c r="BA262" s="16">
        <f ca="1">_xll.DBRW($D$4,$E$7,$E$8,$E$9,$E$10,$E$12,$D262,$E$6,BA$18,BA$17)</f>
        <v>0</v>
      </c>
      <c r="BB262" s="16">
        <f ca="1">_xll.DBRW($D$4,$E$7,$E$8,$E$9,$E$10,$E$12,$D262,$E$6,BB$18,BB$17)</f>
        <v>9.4864599999999979E-2</v>
      </c>
      <c r="BC262" s="16">
        <f ca="1">_xll.DBRW($D$4,$E$7,$E$8,$E$9,$E$10,$E$12,$D262,$E$6,BC$18,BC$17)</f>
        <v>9.4864599999999979E-2</v>
      </c>
      <c r="BD262" s="16">
        <f ca="1">_xll.DBRW($D$4,$E$7,$E$8,$E$9,$E$10,$E$12,$D262,$E$6,BD$18,BD$17)</f>
        <v>1.6692708199999997</v>
      </c>
      <c r="BE262" s="16">
        <f ca="1">_xll.DBRW($D$4,$E$7,$E$8,$E$9,$E$10,$E$12,$D262,$E$6,BE$18,BE$17)</f>
        <v>-0.31139570999999999</v>
      </c>
      <c r="BF262" s="16">
        <f ca="1">_xll.DBRW($D$4,$E$7,$E$8,$E$9,$E$10,$E$12,$D262,$E$6,BF$18,BF$17)</f>
        <v>-0.17749113000000002</v>
      </c>
      <c r="BG262" s="26">
        <f ca="1">_xll.DBRW($D$4,$E$7,$E$8,$E$9,$E$10,$E$12,$D262,$E$6,BG$18,BG$17)</f>
        <v>0</v>
      </c>
      <c r="BH262" s="26">
        <f ca="1">_xll.DBRW($D$4,$E$7,$E$8,$E$9,$E$10,$E$12,$D262,$E$6,BH$18,BH$17)</f>
        <v>0</v>
      </c>
      <c r="BI262" s="26">
        <f ca="1">_xll.DBRW($D$4,$E$7,$E$8,$E$9,$E$10,$E$12,$D262,$E$6,BI$18,BI$17)</f>
        <v>0</v>
      </c>
      <c r="BJ262" s="26">
        <f ca="1">_xll.DBRW($D$4,$E$7,$E$8,$E$9,$E$10,$E$12,$D262,$E$6,BJ$18,BJ$17)</f>
        <v>0</v>
      </c>
      <c r="BK262" s="16">
        <f ca="1">_xll.DBRW($D$4,$E$7,$E$8,$E$9,$E$10,$E$12,$D262,$E$6,BK$18,BK$17)</f>
        <v>1.9806665299999997</v>
      </c>
      <c r="BL262" s="16">
        <f ca="1">_xll.DBRW($D$4,$E$7,$E$8,$E$9,$E$10,$E$12,$D262,$E$6,BL$18,BL$17)</f>
        <v>6.6195805999999999</v>
      </c>
      <c r="BM262" s="16">
        <f ca="1">_xll.DBRW($D$4,$E$7,$E$8,$E$9,$E$10,$E$12,$D262,$E$6,BM$18,BM$17)</f>
        <v>-2.3178139300000007</v>
      </c>
      <c r="BN262" s="16">
        <f ca="1">_xll.DBRW($D$4,$E$7,$E$8,$E$9,$E$10,$E$12,$D262,$E$6,BN$18,BN$17)</f>
        <v>0.35014513306175332</v>
      </c>
      <c r="BO262" s="16"/>
      <c r="BP262" s="16"/>
      <c r="BQ262" s="16"/>
      <c r="BR262" s="16"/>
      <c r="BS262" s="16">
        <f ca="1">_xll.DBRW($D$4,$E$7,$E$8,$E$9,$E$10,$E$12,$D262,$E$6,BS$18,BS$17)</f>
        <v>-0.88413476000000002</v>
      </c>
      <c r="BT262" s="16">
        <f ca="1">_xll.DBRW($D$4,$E$7,$E$8,$E$9,$E$10,$E$12,$D262,$E$6,BT$18,BT$17)</f>
        <v>0.13356356141354334</v>
      </c>
      <c r="BU262" s="16"/>
      <c r="BV262" s="16"/>
      <c r="BW262" s="16"/>
      <c r="BX262" s="16"/>
      <c r="BY262" s="16">
        <f ca="1">_xll.DBRW($D$4,$E$7,$E$8,$E$9,$E$10,$E$12,$D262,$E$6,BY$18,BY$17)</f>
        <v>-2.7352819999999996E-2</v>
      </c>
      <c r="BZ262" s="16">
        <f ca="1">_xll.DBRW($D$4,$E$7,$E$8,$E$9,$E$10,$E$12,$D262,$E$6,BZ$18,BZ$17)</f>
        <v>4.1321077048295171E-3</v>
      </c>
      <c r="CA262" s="16"/>
      <c r="CB262" s="16"/>
      <c r="CC262" s="16"/>
      <c r="CD262" s="16"/>
      <c r="CE262" s="16">
        <f ca="1">_xll.DBRW($D$4,$E$7,$E$8,$E$9,$E$10,$E$12,$D262,$E$6,CE$18,CE$17)</f>
        <v>-2.6632100000000002E-2</v>
      </c>
      <c r="CF262" s="16">
        <f ca="1">_xll.DBRW($D$4,$E$7,$E$8,$E$9,$E$10,$E$12,$D262,$E$6,CF$18,CF$17)</f>
        <v>4.0232307164595896E-3</v>
      </c>
      <c r="CG262" s="16"/>
      <c r="CH262" s="16"/>
      <c r="CI262" s="16"/>
      <c r="CJ262" s="16"/>
      <c r="CK262" s="16">
        <f ca="1">_xll.DBRW($D$4,$E$7,$E$8,$E$9,$E$10,$E$12,$D262,$E$6,CK$18,CK$17)</f>
        <v>-1.38298046</v>
      </c>
      <c r="CL262" s="16">
        <f ca="1">_xll.DBRW($D$4,$E$7,$E$8,$E$9,$E$10,$E$12,$D262,$E$6,CL$18,CL$17)</f>
        <v>0.20892267102239076</v>
      </c>
      <c r="CM262" s="16"/>
      <c r="CN262" s="16"/>
      <c r="CO262" s="16"/>
      <c r="CP262" s="16"/>
      <c r="CQ262" s="16">
        <f ca="1">_xll.DBRW($D$4,$E$7,$E$8,$E$9,$E$10,$E$12,$D262,$E$6,CQ$18,CQ$17)</f>
        <v>9.7261549999999988E-2</v>
      </c>
      <c r="CR262" s="16">
        <f ca="1">_xll.DBRW($D$4,$E$7,$E$8,$E$9,$E$10,$E$12,$D262,$E$6,CR$18,CR$17)</f>
        <v>8.1732389999999988E-2</v>
      </c>
      <c r="CS262" s="16">
        <f ca="1">_xll.DBRW($D$4,$E$7,$E$8,$E$9,$E$10,$E$12,$D262,$E$6,CS$18,CS$17)</f>
        <v>0.61405865000000004</v>
      </c>
      <c r="CT262" s="16">
        <f ca="1">_xll.DBRW($D$4,$E$7,$E$8,$E$9,$E$10,$E$12,$D262,$E$6,CT$18,CT$17)</f>
        <v>8.1732389999999988E-2</v>
      </c>
      <c r="CU262" s="16">
        <f ca="1">_xll.DBRW($D$4,$E$7,$E$8,$E$9,$E$10,$E$12,$D262,$E$6,CU$18,CU$17)</f>
        <v>0</v>
      </c>
      <c r="CV262" s="16">
        <f ca="1">_xll.DBRW($D$4,$E$7,$E$8,$E$9,$E$10,$E$12,$D262,$E$6,CV$18,CV$17)</f>
        <v>0</v>
      </c>
      <c r="CW262" s="16">
        <f ca="1">_xll.DBRW($D$4,$E$7,$E$8,$E$9,$E$10,$E$12,$D262,$E$6,CW$18,CW$17)</f>
        <v>0</v>
      </c>
      <c r="CX262" s="16">
        <f ca="1">_xll.DBRW($D$4,$E$7,$E$8,$E$9,$E$10,$E$12,$D262,$E$6,CX$18,CX$17)</f>
        <v>0</v>
      </c>
      <c r="CY262" s="16">
        <f ca="1">_xll.DBRW($D$4,$E$7,$E$8,$E$9,$E$10,$E$12,$D262,$E$6,CY$18,CY$17)</f>
        <v>8.1732389999999988E-2</v>
      </c>
      <c r="CZ262" s="16">
        <f ca="1">_xll.DBRW($D$4,$E$7,$E$8,$E$9,$E$10,$E$12,$D262,$E$6,CZ$18,CZ$17)</f>
        <v>8.1732389999999988E-2</v>
      </c>
      <c r="DA262" s="26">
        <f t="shared" ca="1" si="146"/>
        <v>-3.7474977599999999</v>
      </c>
      <c r="DB262" s="26">
        <f t="shared" ca="1" si="147"/>
        <v>-0.23946803999999999</v>
      </c>
      <c r="DC262" s="26">
        <f t="shared" ca="1" si="148"/>
        <v>0.17749113000000002</v>
      </c>
      <c r="DD262" s="26">
        <f t="shared" ca="1" si="149"/>
        <v>0</v>
      </c>
      <c r="DE262" s="26">
        <f t="shared" ca="1" si="150"/>
        <v>0</v>
      </c>
      <c r="DF262" s="26">
        <f t="shared" ca="1" si="151"/>
        <v>0</v>
      </c>
      <c r="DG262" s="26">
        <f t="shared" ca="1" si="152"/>
        <v>0</v>
      </c>
      <c r="DH262" s="26">
        <f t="shared" ca="1" si="153"/>
        <v>-3.5080297199999997</v>
      </c>
      <c r="DI262" s="26">
        <f t="shared" ca="1" si="154"/>
        <v>-0.29209373999999944</v>
      </c>
      <c r="DJ262" s="26">
        <f t="shared" ca="1" si="155"/>
        <v>0.27244977000000103</v>
      </c>
      <c r="DK262" s="26">
        <f t="shared" ca="1" si="156"/>
        <v>-2.6894495762128878E-2</v>
      </c>
      <c r="DL262" s="26"/>
      <c r="DM262" s="26"/>
      <c r="DN262" s="26"/>
      <c r="DO262" s="26"/>
      <c r="DP262" s="26">
        <f t="shared" ca="1" si="157"/>
        <v>-0.34674617000000008</v>
      </c>
      <c r="DQ262" s="26">
        <f t="shared" ca="1" si="158"/>
        <v>6.0965634337327018E-2</v>
      </c>
      <c r="DR262" s="26"/>
      <c r="DS262" s="26"/>
      <c r="DT262" s="26"/>
      <c r="DU262" s="26"/>
      <c r="DV262" s="26">
        <f t="shared" ca="1" si="159"/>
        <v>4.2368589999999998E-2</v>
      </c>
      <c r="DW262" s="26">
        <f t="shared" ca="1" si="160"/>
        <v>-6.5052094326140605E-3</v>
      </c>
      <c r="DX262" s="26"/>
      <c r="DY262" s="26"/>
      <c r="DZ262" s="26"/>
      <c r="EA262" s="26"/>
      <c r="EB262" s="26">
        <f t="shared" ca="1" si="161"/>
        <v>-0.14307591000000003</v>
      </c>
      <c r="EC262" s="26">
        <f t="shared" ca="1" si="162"/>
        <v>2.2797529840599871E-2</v>
      </c>
      <c r="ED262" s="26"/>
      <c r="EE262" s="26"/>
      <c r="EF262" s="26"/>
      <c r="EG262" s="26"/>
      <c r="EH262" s="26">
        <f t="shared" ca="1" si="163"/>
        <v>-3.0409322600000008</v>
      </c>
      <c r="EI262" s="29">
        <f t="shared" ca="1" si="164"/>
        <v>0.49023527554978125</v>
      </c>
      <c r="EJ262" s="29"/>
      <c r="EK262" s="29"/>
      <c r="EL262" s="29"/>
      <c r="EM262" s="29"/>
      <c r="EN262" s="93"/>
      <c r="EO262" s="29"/>
      <c r="EP262" s="29"/>
      <c r="EQ262" s="29"/>
      <c r="ER262" s="29"/>
      <c r="ES262" s="29"/>
      <c r="ET262" s="29"/>
      <c r="EU262" s="93"/>
      <c r="EV262" s="29"/>
      <c r="EW262" s="29"/>
      <c r="EX262" s="29"/>
      <c r="EY262" s="29"/>
      <c r="EZ262" s="29"/>
      <c r="FA262" s="29"/>
      <c r="FB262" s="93"/>
      <c r="FC262" s="29"/>
      <c r="FD262" s="29"/>
      <c r="FE262" s="29"/>
      <c r="FF262" s="29"/>
      <c r="FG262" s="29"/>
      <c r="FH262" s="29"/>
      <c r="FI262" s="93"/>
      <c r="FJ262" s="29"/>
      <c r="FK262" s="29"/>
      <c r="FL262" s="29"/>
      <c r="FM262" s="29"/>
      <c r="FN262" s="29"/>
      <c r="FO262" s="29"/>
      <c r="FP262" s="93"/>
      <c r="FQ262" s="29"/>
      <c r="FR262" s="29"/>
      <c r="FS262" s="29"/>
      <c r="FT262" s="29"/>
      <c r="FU262" s="29"/>
      <c r="FV262" s="29"/>
    </row>
    <row r="263" spans="1:178" x14ac:dyDescent="0.25">
      <c r="A263" t="str">
        <f ca="1">IF(_xll.TM1RPTELISCONSOLIDATED($D$28,$D263),IF(_xll.TM1RPTELLEV($D$28,$D263)&lt;=3,_xll.TM1RPTELLEV($D$28,$D263),"D"),"N")</f>
        <v>N</v>
      </c>
      <c r="B263" t="str">
        <f ca="1">_xll.DBRA(Server&amp;"Management_organization",$D263,$B$27)</f>
        <v>L</v>
      </c>
      <c r="C263">
        <v>1</v>
      </c>
      <c r="D263" s="2" t="s">
        <v>356</v>
      </c>
      <c r="E263" s="26"/>
      <c r="F263" s="26"/>
      <c r="G263" s="16">
        <f ca="1">_xll.DBRW($D$4,$E$7,$E$8,$E$9,$E$10,$E$12,$D263,$E$6,G$18,G$17)</f>
        <v>19.210109319999965</v>
      </c>
      <c r="H263" s="16">
        <f ca="1">_xll.DBRW($D$4,$E$7,$E$8,$E$9,$E$10,$E$12,$D263,$E$6,H$18,H$17)</f>
        <v>-6.6521668499999995</v>
      </c>
      <c r="I263" s="16">
        <f ca="1">_xll.DBRW($D$4,$E$7,$E$8,$E$9,$E$10,$E$12,$D263,$E$6,I$18,I$17)</f>
        <v>0</v>
      </c>
      <c r="J263" s="26">
        <f ca="1">_xll.DBRW($D$4,$E$7,$E$8,$E$9,$E$10,$E$12,$D263,$E$6,J$18,J$17)</f>
        <v>0</v>
      </c>
      <c r="K263" s="26">
        <f ca="1">_xll.DBRW($D$4,$E$7,$E$8,$E$9,$E$10,$E$12,$D263,$E$6,K$18,K$17)</f>
        <v>0</v>
      </c>
      <c r="L263" s="26">
        <f ca="1">_xll.DBRW($D$4,$E$7,$E$8,$E$9,$E$10,$E$12,$D263,$E$6,L$18,L$17)</f>
        <v>0</v>
      </c>
      <c r="M263" s="26">
        <f ca="1">_xll.DBRW($D$4,$E$7,$E$8,$E$9,$E$10,$E$12,$D263,$E$6,M$18,M$17)</f>
        <v>0</v>
      </c>
      <c r="N263" s="16">
        <f ca="1">_xll.DBRW($D$4,$E$7,$E$8,$E$9,$E$10,$E$12,$D263,$E$6,N$18,N$17)</f>
        <v>25.862276169999966</v>
      </c>
      <c r="O263" s="16">
        <f ca="1">_xll.DBRW($D$4,$E$7,$E$8,$E$9,$E$10,$E$12,$D263,$E$6,O$18,O$17)</f>
        <v>146.20740484999996</v>
      </c>
      <c r="P263" s="74">
        <f ca="1">_xll.DBRW($D$4,$E$7,$E$8,$E$9,$E$10,$E$12,$D263,$E$6,P$18,P$17)</f>
        <v>-53.812641060000004</v>
      </c>
      <c r="Q263" s="16">
        <f ca="1">_xll.DBRW($D$4,$E$7,$E$8,$E$9,$E$10,$E$12,$D263,$E$6,Q$18,Q$17)</f>
        <v>0.36805687861848413</v>
      </c>
      <c r="R263" s="16"/>
      <c r="S263" s="16"/>
      <c r="T263" s="16"/>
      <c r="U263" s="16"/>
      <c r="V263" s="16">
        <f ca="1">_xll.DBRW($D$4,$E$7,$E$8,$E$9,$E$10,$E$12,$D263,$E$6,V$18,V$17)</f>
        <v>-25.310363810000002</v>
      </c>
      <c r="W263" s="16">
        <f ca="1">_xll.DBRW($D$4,$E$7,$E$8,$E$9,$E$10,$E$12,$D263,$E$6,W$18,W$17)</f>
        <v>0.17311273554145168</v>
      </c>
      <c r="X263" s="16"/>
      <c r="Y263" s="16"/>
      <c r="Z263" s="16"/>
      <c r="AA263" s="16"/>
      <c r="AB263" s="16">
        <f ca="1">_xll.DBRW($D$4,$E$7,$E$8,$E$9,$E$10,$E$12,$D263,$E$6,AB$18,AB$17)</f>
        <v>-7.9201317299999987</v>
      </c>
      <c r="AC263" s="16">
        <f ca="1">_xll.DBRW($D$4,$E$7,$E$8,$E$9,$E$10,$E$12,$D263,$E$6,AC$18,AC$17)</f>
        <v>5.4170523976713625E-2</v>
      </c>
      <c r="AD263" s="16"/>
      <c r="AE263" s="16"/>
      <c r="AF263" s="16"/>
      <c r="AG263" s="16"/>
      <c r="AH263" s="16">
        <f ca="1">_xll.DBRW($D$4,$E$7,$E$8,$E$9,$E$10,$E$12,$D263,$E$6,AH$18,AH$17)</f>
        <v>-3.16081E-2</v>
      </c>
      <c r="AI263" s="16">
        <f ca="1">_xll.DBRW($D$4,$E$7,$E$8,$E$9,$E$10,$E$12,$D263,$E$6,AI$18,AI$17)</f>
        <v>2.1618672482715917E-4</v>
      </c>
      <c r="AJ263" s="16"/>
      <c r="AK263" s="16"/>
      <c r="AL263" s="16"/>
      <c r="AM263" s="16"/>
      <c r="AN263" s="16">
        <f ca="1">_xll.DBRW($D$4,$E$7,$E$8,$E$9,$E$10,$E$12,$D263,$E$6,AN$18,AN$17)</f>
        <v>-33.270383980000005</v>
      </c>
      <c r="AO263" s="16">
        <f ca="1">_xll.DBRW($D$4,$E$7,$E$8,$E$9,$E$10,$E$12,$D263,$E$6,AO$18,AO$17)</f>
        <v>0.2275560804470432</v>
      </c>
      <c r="AP263" s="16"/>
      <c r="AQ263" s="16"/>
      <c r="AR263" s="16"/>
      <c r="AS263" s="16"/>
      <c r="AT263" s="16">
        <f ca="1">_xll.DBRW($D$4,$E$7,$E$8,$E$9,$E$10,$E$12,$D263,$E$6,AT$18,AT$17)</f>
        <v>1.3478944599999998</v>
      </c>
      <c r="AU263" s="16">
        <f ca="1">_xll.DBRW($D$4,$E$7,$E$8,$E$9,$E$10,$E$12,$D263,$E$6,AU$18,AU$17)</f>
        <v>1.13402775</v>
      </c>
      <c r="AV263" s="16">
        <f ca="1">_xll.DBRW($D$4,$E$7,$E$8,$E$9,$E$10,$E$12,$D263,$E$6,AV$18,AV$17)</f>
        <v>15.266972599999999</v>
      </c>
      <c r="AW263" s="16">
        <f ca="1">_xll.DBRW($D$4,$E$7,$E$8,$E$9,$E$10,$E$12,$D263,$E$6,AW$18,AW$17)</f>
        <v>1.13402775</v>
      </c>
      <c r="AX263" s="16">
        <f ca="1">_xll.DBRW($D$4,$E$7,$E$8,$E$9,$E$10,$E$12,$D263,$E$6,AX$18,AX$17)</f>
        <v>0</v>
      </c>
      <c r="AY263" s="16">
        <f ca="1">_xll.DBRW($D$4,$E$7,$E$8,$E$9,$E$10,$E$12,$D263,$E$6,AY$18,AY$17)</f>
        <v>0</v>
      </c>
      <c r="AZ263" s="16">
        <f ca="1">_xll.DBRW($D$4,$E$7,$E$8,$E$9,$E$10,$E$12,$D263,$E$6,AZ$18,AZ$17)</f>
        <v>0</v>
      </c>
      <c r="BA263" s="16">
        <f ca="1">_xll.DBRW($D$4,$E$7,$E$8,$E$9,$E$10,$E$12,$D263,$E$6,BA$18,BA$17)</f>
        <v>0</v>
      </c>
      <c r="BB263" s="16">
        <f ca="1">_xll.DBRW($D$4,$E$7,$E$8,$E$9,$E$10,$E$12,$D263,$E$6,BB$18,BB$17)</f>
        <v>1.13402775</v>
      </c>
      <c r="BC263" s="16">
        <f ca="1">_xll.DBRW($D$4,$E$7,$E$8,$E$9,$E$10,$E$12,$D263,$E$6,BC$18,BC$17)</f>
        <v>1.13402775</v>
      </c>
      <c r="BD263" s="16">
        <f ca="1">_xll.DBRW($D$4,$E$7,$E$8,$E$9,$E$10,$E$12,$D263,$E$6,BD$18,BD$17)</f>
        <v>17.972310410000027</v>
      </c>
      <c r="BE263" s="16">
        <f ca="1">_xll.DBRW($D$4,$E$7,$E$8,$E$9,$E$10,$E$12,$D263,$E$6,BE$18,BE$17)</f>
        <v>-5.4659328499999997</v>
      </c>
      <c r="BF263" s="16">
        <f ca="1">_xll.DBRW($D$4,$E$7,$E$8,$E$9,$E$10,$E$12,$D263,$E$6,BF$18,BF$17)</f>
        <v>0</v>
      </c>
      <c r="BG263" s="26">
        <f ca="1">_xll.DBRW($D$4,$E$7,$E$8,$E$9,$E$10,$E$12,$D263,$E$6,BG$18,BG$17)</f>
        <v>0</v>
      </c>
      <c r="BH263" s="26">
        <f ca="1">_xll.DBRW($D$4,$E$7,$E$8,$E$9,$E$10,$E$12,$D263,$E$6,BH$18,BH$17)</f>
        <v>0</v>
      </c>
      <c r="BI263" s="26">
        <f ca="1">_xll.DBRW($D$4,$E$7,$E$8,$E$9,$E$10,$E$12,$D263,$E$6,BI$18,BI$17)</f>
        <v>0</v>
      </c>
      <c r="BJ263" s="26">
        <f ca="1">_xll.DBRW($D$4,$E$7,$E$8,$E$9,$E$10,$E$12,$D263,$E$6,BJ$18,BJ$17)</f>
        <v>0</v>
      </c>
      <c r="BK263" s="16">
        <f ca="1">_xll.DBRW($D$4,$E$7,$E$8,$E$9,$E$10,$E$12,$D263,$E$6,BK$18,BK$17)</f>
        <v>23.438243260000025</v>
      </c>
      <c r="BL263" s="16">
        <f ca="1">_xll.DBRW($D$4,$E$7,$E$8,$E$9,$E$10,$E$12,$D263,$E$6,BL$18,BL$17)</f>
        <v>111.87268738</v>
      </c>
      <c r="BM263" s="16">
        <f ca="1">_xll.DBRW($D$4,$E$7,$E$8,$E$9,$E$10,$E$12,$D263,$E$6,BM$18,BM$17)</f>
        <v>-39.632043219999993</v>
      </c>
      <c r="BN263" s="16">
        <f ca="1">_xll.DBRW($D$4,$E$7,$E$8,$E$9,$E$10,$E$12,$D263,$E$6,BN$18,BN$17)</f>
        <v>0.35426022336784585</v>
      </c>
      <c r="BO263" s="16"/>
      <c r="BP263" s="16"/>
      <c r="BQ263" s="16"/>
      <c r="BR263" s="16"/>
      <c r="BS263" s="16">
        <f ca="1">_xll.DBRW($D$4,$E$7,$E$8,$E$9,$E$10,$E$12,$D263,$E$6,BS$18,BS$17)</f>
        <v>-19.205819569999989</v>
      </c>
      <c r="BT263" s="16">
        <f ca="1">_xll.DBRW($D$4,$E$7,$E$8,$E$9,$E$10,$E$12,$D263,$E$6,BT$18,BT$17)</f>
        <v>0.17167567902220163</v>
      </c>
      <c r="BU263" s="16"/>
      <c r="BV263" s="16"/>
      <c r="BW263" s="16"/>
      <c r="BX263" s="16"/>
      <c r="BY263" s="16">
        <f ca="1">_xll.DBRW($D$4,$E$7,$E$8,$E$9,$E$10,$E$12,$D263,$E$6,BY$18,BY$17)</f>
        <v>-6.7608980600000015</v>
      </c>
      <c r="BZ263" s="16">
        <f ca="1">_xll.DBRW($D$4,$E$7,$E$8,$E$9,$E$10,$E$12,$D263,$E$6,BZ$18,BZ$17)</f>
        <v>6.0433857613835053E-2</v>
      </c>
      <c r="CA263" s="16"/>
      <c r="CB263" s="16"/>
      <c r="CC263" s="16"/>
      <c r="CD263" s="16"/>
      <c r="CE263" s="16">
        <f ca="1">_xll.DBRW($D$4,$E$7,$E$8,$E$9,$E$10,$E$12,$D263,$E$6,CE$18,CE$17)</f>
        <v>-2.4602480000000003E-2</v>
      </c>
      <c r="CF263" s="16">
        <f ca="1">_xll.DBRW($D$4,$E$7,$E$8,$E$9,$E$10,$E$12,$D263,$E$6,CF$18,CF$17)</f>
        <v>2.1991498171874884E-4</v>
      </c>
      <c r="CG263" s="16"/>
      <c r="CH263" s="16"/>
      <c r="CI263" s="16"/>
      <c r="CJ263" s="16"/>
      <c r="CK263" s="16">
        <f ca="1">_xll.DBRW($D$4,$E$7,$E$8,$E$9,$E$10,$E$12,$D263,$E$6,CK$18,CK$17)</f>
        <v>-22.811080790000005</v>
      </c>
      <c r="CL263" s="16">
        <f ca="1">_xll.DBRW($D$4,$E$7,$E$8,$E$9,$E$10,$E$12,$D263,$E$6,CL$18,CL$17)</f>
        <v>0.20390214380492344</v>
      </c>
      <c r="CM263" s="16"/>
      <c r="CN263" s="16"/>
      <c r="CO263" s="16"/>
      <c r="CP263" s="16"/>
      <c r="CQ263" s="16">
        <f ca="1">_xll.DBRW($D$4,$E$7,$E$8,$E$9,$E$10,$E$12,$D263,$E$6,CQ$18,CQ$17)</f>
        <v>0.99983662999999978</v>
      </c>
      <c r="CR263" s="16">
        <f ca="1">_xll.DBRW($D$4,$E$7,$E$8,$E$9,$E$10,$E$12,$D263,$E$6,CR$18,CR$17)</f>
        <v>0.85549885000000003</v>
      </c>
      <c r="CS263" s="16">
        <f ca="1">_xll.DBRW($D$4,$E$7,$E$8,$E$9,$E$10,$E$12,$D263,$E$6,CS$18,CS$17)</f>
        <v>11.108763179999999</v>
      </c>
      <c r="CT263" s="16">
        <f ca="1">_xll.DBRW($D$4,$E$7,$E$8,$E$9,$E$10,$E$12,$D263,$E$6,CT$18,CT$17)</f>
        <v>0.85549885000000003</v>
      </c>
      <c r="CU263" s="16">
        <f ca="1">_xll.DBRW($D$4,$E$7,$E$8,$E$9,$E$10,$E$12,$D263,$E$6,CU$18,CU$17)</f>
        <v>0</v>
      </c>
      <c r="CV263" s="16">
        <f ca="1">_xll.DBRW($D$4,$E$7,$E$8,$E$9,$E$10,$E$12,$D263,$E$6,CV$18,CV$17)</f>
        <v>0</v>
      </c>
      <c r="CW263" s="16">
        <f ca="1">_xll.DBRW($D$4,$E$7,$E$8,$E$9,$E$10,$E$12,$D263,$E$6,CW$18,CW$17)</f>
        <v>0</v>
      </c>
      <c r="CX263" s="16">
        <f ca="1">_xll.DBRW($D$4,$E$7,$E$8,$E$9,$E$10,$E$12,$D263,$E$6,CX$18,CX$17)</f>
        <v>0</v>
      </c>
      <c r="CY263" s="16">
        <f ca="1">_xll.DBRW($D$4,$E$7,$E$8,$E$9,$E$10,$E$12,$D263,$E$6,CY$18,CY$17)</f>
        <v>0.85549885000000003</v>
      </c>
      <c r="CZ263" s="16">
        <f ca="1">_xll.DBRW($D$4,$E$7,$E$8,$E$9,$E$10,$E$12,$D263,$E$6,CZ$18,CZ$17)</f>
        <v>0.85549885000000003</v>
      </c>
      <c r="DA263" s="26">
        <f t="shared" ca="1" si="146"/>
        <v>1.2377989099999382</v>
      </c>
      <c r="DB263" s="26">
        <f t="shared" ca="1" si="147"/>
        <v>-1.1862339999999998</v>
      </c>
      <c r="DC263" s="26">
        <f t="shared" ca="1" si="148"/>
        <v>0</v>
      </c>
      <c r="DD263" s="26">
        <f t="shared" ca="1" si="149"/>
        <v>0</v>
      </c>
      <c r="DE263" s="26">
        <f t="shared" ca="1" si="150"/>
        <v>0</v>
      </c>
      <c r="DF263" s="26">
        <f t="shared" ca="1" si="151"/>
        <v>0</v>
      </c>
      <c r="DG263" s="26">
        <f t="shared" ca="1" si="152"/>
        <v>0</v>
      </c>
      <c r="DH263" s="26">
        <f t="shared" ca="1" si="153"/>
        <v>2.4240329099999407</v>
      </c>
      <c r="DI263" s="26">
        <f t="shared" ca="1" si="154"/>
        <v>34.334717469999958</v>
      </c>
      <c r="DJ263" s="26">
        <f t="shared" ca="1" si="155"/>
        <v>-14.180597840000011</v>
      </c>
      <c r="DK263" s="26">
        <f t="shared" ca="1" si="156"/>
        <v>1.3796655250638279E-2</v>
      </c>
      <c r="DL263" s="26"/>
      <c r="DM263" s="26"/>
      <c r="DN263" s="26"/>
      <c r="DO263" s="26"/>
      <c r="DP263" s="26">
        <f t="shared" ca="1" si="157"/>
        <v>-6.1045442400000134</v>
      </c>
      <c r="DQ263" s="26">
        <f t="shared" ca="1" si="158"/>
        <v>1.4370565192500517E-3</v>
      </c>
      <c r="DR263" s="26"/>
      <c r="DS263" s="26"/>
      <c r="DT263" s="26"/>
      <c r="DU263" s="26"/>
      <c r="DV263" s="26">
        <f t="shared" ca="1" si="159"/>
        <v>-1.1592336699999972</v>
      </c>
      <c r="DW263" s="26">
        <f t="shared" ca="1" si="160"/>
        <v>-6.2633336371214279E-3</v>
      </c>
      <c r="DX263" s="26"/>
      <c r="DY263" s="26"/>
      <c r="DZ263" s="26"/>
      <c r="EA263" s="26"/>
      <c r="EB263" s="26">
        <f t="shared" ca="1" si="161"/>
        <v>-7.0056199999999971E-3</v>
      </c>
      <c r="EC263" s="26">
        <f t="shared" ca="1" si="162"/>
        <v>-3.7282568915896679E-6</v>
      </c>
      <c r="ED263" s="26"/>
      <c r="EE263" s="26"/>
      <c r="EF263" s="26"/>
      <c r="EG263" s="26"/>
      <c r="EH263" s="26">
        <f t="shared" ca="1" si="163"/>
        <v>-10.45930319</v>
      </c>
      <c r="EI263" s="29">
        <f t="shared" ca="1" si="164"/>
        <v>2.3653936642119761E-2</v>
      </c>
      <c r="EJ263" s="29"/>
      <c r="EK263" s="29"/>
      <c r="EL263" s="29"/>
      <c r="EM263" s="29"/>
      <c r="EN263" s="93"/>
      <c r="EO263" s="29"/>
      <c r="EP263" s="29"/>
      <c r="EQ263" s="29"/>
      <c r="ER263" s="29"/>
      <c r="ES263" s="29"/>
      <c r="ET263" s="29"/>
      <c r="EU263" s="93"/>
      <c r="EV263" s="29"/>
      <c r="EW263" s="29"/>
      <c r="EX263" s="29"/>
      <c r="EY263" s="29"/>
      <c r="EZ263" s="29"/>
      <c r="FA263" s="29"/>
      <c r="FB263" s="93"/>
      <c r="FC263" s="29"/>
      <c r="FD263" s="29"/>
      <c r="FE263" s="29"/>
      <c r="FF263" s="29"/>
      <c r="FG263" s="29"/>
      <c r="FH263" s="29"/>
      <c r="FI263" s="93"/>
      <c r="FJ263" s="29"/>
      <c r="FK263" s="29"/>
      <c r="FL263" s="29"/>
      <c r="FM263" s="29"/>
      <c r="FN263" s="29"/>
      <c r="FO263" s="29"/>
      <c r="FP263" s="93"/>
      <c r="FQ263" s="29"/>
      <c r="FR263" s="29"/>
      <c r="FS263" s="29"/>
      <c r="FT263" s="29"/>
      <c r="FU263" s="29"/>
      <c r="FV263" s="29"/>
    </row>
    <row r="264" spans="1:178" x14ac:dyDescent="0.25">
      <c r="A264" t="str">
        <f ca="1">IF(_xll.TM1RPTELISCONSOLIDATED($D$28,$D264),IF(_xll.TM1RPTELLEV($D$28,$D264)&lt;=3,_xll.TM1RPTELLEV($D$28,$D264),"D"),"N")</f>
        <v>N</v>
      </c>
      <c r="B264" t="str">
        <f ca="1">_xll.DBRA(Server&amp;"Management_organization",$D264,$B$27)</f>
        <v>L</v>
      </c>
      <c r="C264">
        <v>1</v>
      </c>
      <c r="D264" s="2" t="s">
        <v>236</v>
      </c>
      <c r="E264" s="26"/>
      <c r="F264" s="26"/>
      <c r="G264" s="16">
        <f ca="1">_xll.DBRW($D$4,$E$7,$E$8,$E$9,$E$10,$E$12,$D264,$E$6,G$18,G$17)</f>
        <v>2.7029081699999988</v>
      </c>
      <c r="H264" s="16">
        <f ca="1">_xll.DBRW($D$4,$E$7,$E$8,$E$9,$E$10,$E$12,$D264,$E$6,H$18,H$17)</f>
        <v>-0.38918845999999996</v>
      </c>
      <c r="I264" s="16">
        <f ca="1">_xll.DBRW($D$4,$E$7,$E$8,$E$9,$E$10,$E$12,$D264,$E$6,I$18,I$17)</f>
        <v>-1.7347234759768071E-18</v>
      </c>
      <c r="J264" s="26">
        <f ca="1">_xll.DBRW($D$4,$E$7,$E$8,$E$9,$E$10,$E$12,$D264,$E$6,J$18,J$17)</f>
        <v>0</v>
      </c>
      <c r="K264" s="26">
        <f ca="1">_xll.DBRW($D$4,$E$7,$E$8,$E$9,$E$10,$E$12,$D264,$E$6,K$18,K$17)</f>
        <v>0</v>
      </c>
      <c r="L264" s="26">
        <f ca="1">_xll.DBRW($D$4,$E$7,$E$8,$E$9,$E$10,$E$12,$D264,$E$6,L$18,L$17)</f>
        <v>0</v>
      </c>
      <c r="M264" s="26">
        <f ca="1">_xll.DBRW($D$4,$E$7,$E$8,$E$9,$E$10,$E$12,$D264,$E$6,M$18,M$17)</f>
        <v>0</v>
      </c>
      <c r="N264" s="16">
        <f ca="1">_xll.DBRW($D$4,$E$7,$E$8,$E$9,$E$10,$E$12,$D264,$E$6,N$18,N$17)</f>
        <v>3.092096629999999</v>
      </c>
      <c r="O264" s="16">
        <f ca="1">_xll.DBRW($D$4,$E$7,$E$8,$E$9,$E$10,$E$12,$D264,$E$6,O$18,O$17)</f>
        <v>3.3371456999999993</v>
      </c>
      <c r="P264" s="74">
        <f ca="1">_xll.DBRW($D$4,$E$7,$E$8,$E$9,$E$10,$E$12,$D264,$E$6,P$18,P$17)</f>
        <v>-7.4499999999999995E-5</v>
      </c>
      <c r="Q264" s="16">
        <f ca="1">_xll.DBRW($D$4,$E$7,$E$8,$E$9,$E$10,$E$12,$D264,$E$6,Q$18,Q$17)</f>
        <v>2.2324467283523163E-5</v>
      </c>
      <c r="R264" s="16"/>
      <c r="S264" s="16"/>
      <c r="T264" s="16"/>
      <c r="U264" s="16"/>
      <c r="V264" s="16">
        <f ca="1">_xll.DBRW($D$4,$E$7,$E$8,$E$9,$E$10,$E$12,$D264,$E$6,V$18,V$17)</f>
        <v>-2.0336299999999998E-2</v>
      </c>
      <c r="W264" s="16">
        <f ca="1">_xll.DBRW($D$4,$E$7,$E$8,$E$9,$E$10,$E$12,$D264,$E$6,W$18,W$17)</f>
        <v>6.0939203223880824E-3</v>
      </c>
      <c r="X264" s="16"/>
      <c r="Y264" s="16"/>
      <c r="Z264" s="16"/>
      <c r="AA264" s="16"/>
      <c r="AB264" s="16">
        <f ca="1">_xll.DBRW($D$4,$E$7,$E$8,$E$9,$E$10,$E$12,$D264,$E$6,AB$18,AB$17)</f>
        <v>0</v>
      </c>
      <c r="AC264" s="16">
        <f ca="1">_xll.DBRW($D$4,$E$7,$E$8,$E$9,$E$10,$E$12,$D264,$E$6,AC$18,AC$17)</f>
        <v>0</v>
      </c>
      <c r="AD264" s="16"/>
      <c r="AE264" s="16"/>
      <c r="AF264" s="16"/>
      <c r="AG264" s="16"/>
      <c r="AH264" s="16">
        <f ca="1">_xll.DBRW($D$4,$E$7,$E$8,$E$9,$E$10,$E$12,$D264,$E$6,AH$18,AH$17)</f>
        <v>-2.2266660000000001E-2</v>
      </c>
      <c r="AI264" s="16">
        <f ca="1">_xll.DBRW($D$4,$E$7,$E$8,$E$9,$E$10,$E$12,$D264,$E$6,AI$18,AI$17)</f>
        <v>6.6723667474273014E-3</v>
      </c>
      <c r="AJ264" s="16"/>
      <c r="AK264" s="16"/>
      <c r="AL264" s="16"/>
      <c r="AM264" s="16"/>
      <c r="AN264" s="16">
        <f ca="1">_xll.DBRW($D$4,$E$7,$E$8,$E$9,$E$10,$E$12,$D264,$E$6,AN$18,AN$17)</f>
        <v>-0.20237161000000015</v>
      </c>
      <c r="AO264" s="16">
        <f ca="1">_xll.DBRW($D$4,$E$7,$E$8,$E$9,$E$10,$E$12,$D264,$E$6,AO$18,AO$17)</f>
        <v>6.0642125994079366E-2</v>
      </c>
      <c r="AP264" s="16"/>
      <c r="AQ264" s="16"/>
      <c r="AR264" s="16"/>
      <c r="AS264" s="16"/>
      <c r="AT264" s="16">
        <f ca="1">_xll.DBRW($D$4,$E$7,$E$8,$E$9,$E$10,$E$12,$D264,$E$6,AT$18,AT$17)</f>
        <v>0</v>
      </c>
      <c r="AU264" s="16">
        <f ca="1">_xll.DBRW($D$4,$E$7,$E$8,$E$9,$E$10,$E$12,$D264,$E$6,AU$18,AU$17)</f>
        <v>0</v>
      </c>
      <c r="AV264" s="16">
        <f ca="1">_xll.DBRW($D$4,$E$7,$E$8,$E$9,$E$10,$E$12,$D264,$E$6,AV$18,AV$17)</f>
        <v>0</v>
      </c>
      <c r="AW264" s="16">
        <f ca="1">_xll.DBRW($D$4,$E$7,$E$8,$E$9,$E$10,$E$12,$D264,$E$6,AW$18,AW$17)</f>
        <v>0</v>
      </c>
      <c r="AX264" s="16">
        <f ca="1">_xll.DBRW($D$4,$E$7,$E$8,$E$9,$E$10,$E$12,$D264,$E$6,AX$18,AX$17)</f>
        <v>0</v>
      </c>
      <c r="AY264" s="16">
        <f ca="1">_xll.DBRW($D$4,$E$7,$E$8,$E$9,$E$10,$E$12,$D264,$E$6,AY$18,AY$17)</f>
        <v>0</v>
      </c>
      <c r="AZ264" s="16">
        <f ca="1">_xll.DBRW($D$4,$E$7,$E$8,$E$9,$E$10,$E$12,$D264,$E$6,AZ$18,AZ$17)</f>
        <v>0</v>
      </c>
      <c r="BA264" s="16">
        <f ca="1">_xll.DBRW($D$4,$E$7,$E$8,$E$9,$E$10,$E$12,$D264,$E$6,BA$18,BA$17)</f>
        <v>0</v>
      </c>
      <c r="BB264" s="16">
        <f ca="1">_xll.DBRW($D$4,$E$7,$E$8,$E$9,$E$10,$E$12,$D264,$E$6,BB$18,BB$17)</f>
        <v>0</v>
      </c>
      <c r="BC264" s="16">
        <f ca="1">_xll.DBRW($D$4,$E$7,$E$8,$E$9,$E$10,$E$12,$D264,$E$6,BC$18,BC$17)</f>
        <v>0</v>
      </c>
      <c r="BD264" s="16">
        <f ca="1">_xll.DBRW($D$4,$E$7,$E$8,$E$9,$E$10,$E$12,$D264,$E$6,BD$18,BD$17)</f>
        <v>2.2884251499999992</v>
      </c>
      <c r="BE264" s="16">
        <f ca="1">_xll.DBRW($D$4,$E$7,$E$8,$E$9,$E$10,$E$12,$D264,$E$6,BE$18,BE$17)</f>
        <v>-0.16844162999999995</v>
      </c>
      <c r="BF264" s="16">
        <f ca="1">_xll.DBRW($D$4,$E$7,$E$8,$E$9,$E$10,$E$12,$D264,$E$6,BF$18,BF$17)</f>
        <v>-0.18918021999999998</v>
      </c>
      <c r="BG264" s="26">
        <f ca="1">_xll.DBRW($D$4,$E$7,$E$8,$E$9,$E$10,$E$12,$D264,$E$6,BG$18,BG$17)</f>
        <v>0</v>
      </c>
      <c r="BH264" s="26">
        <f ca="1">_xll.DBRW($D$4,$E$7,$E$8,$E$9,$E$10,$E$12,$D264,$E$6,BH$18,BH$17)</f>
        <v>0</v>
      </c>
      <c r="BI264" s="26">
        <f ca="1">_xll.DBRW($D$4,$E$7,$E$8,$E$9,$E$10,$E$12,$D264,$E$6,BI$18,BI$17)</f>
        <v>0</v>
      </c>
      <c r="BJ264" s="26">
        <f ca="1">_xll.DBRW($D$4,$E$7,$E$8,$E$9,$E$10,$E$12,$D264,$E$6,BJ$18,BJ$17)</f>
        <v>0</v>
      </c>
      <c r="BK264" s="16">
        <f ca="1">_xll.DBRW($D$4,$E$7,$E$8,$E$9,$E$10,$E$12,$D264,$E$6,BK$18,BK$17)</f>
        <v>2.4568667799999995</v>
      </c>
      <c r="BL264" s="16">
        <f ca="1">_xll.DBRW($D$4,$E$7,$E$8,$E$9,$E$10,$E$12,$D264,$E$6,BL$18,BL$17)</f>
        <v>2.6211109099999996</v>
      </c>
      <c r="BM264" s="16">
        <f ca="1">_xll.DBRW($D$4,$E$7,$E$8,$E$9,$E$10,$E$12,$D264,$E$6,BM$18,BM$17)</f>
        <v>0</v>
      </c>
      <c r="BN264" s="16">
        <f ca="1">_xll.DBRW($D$4,$E$7,$E$8,$E$9,$E$10,$E$12,$D264,$E$6,BN$18,BN$17)</f>
        <v>0</v>
      </c>
      <c r="BO264" s="16"/>
      <c r="BP264" s="16"/>
      <c r="BQ264" s="16"/>
      <c r="BR264" s="16"/>
      <c r="BS264" s="16">
        <f ca="1">_xll.DBRW($D$4,$E$7,$E$8,$E$9,$E$10,$E$12,$D264,$E$6,BS$18,BS$17)</f>
        <v>-2.478729E-2</v>
      </c>
      <c r="BT264" s="16">
        <f ca="1">_xll.DBRW($D$4,$E$7,$E$8,$E$9,$E$10,$E$12,$D264,$E$6,BT$18,BT$17)</f>
        <v>9.4567879235602451E-3</v>
      </c>
      <c r="BU264" s="16"/>
      <c r="BV264" s="16"/>
      <c r="BW264" s="16"/>
      <c r="BX264" s="16"/>
      <c r="BY264" s="16">
        <f ca="1">_xll.DBRW($D$4,$E$7,$E$8,$E$9,$E$10,$E$12,$D264,$E$6,BY$18,BY$17)</f>
        <v>0</v>
      </c>
      <c r="BZ264" s="16">
        <f ca="1">_xll.DBRW($D$4,$E$7,$E$8,$E$9,$E$10,$E$12,$D264,$E$6,BZ$18,BZ$17)</f>
        <v>0</v>
      </c>
      <c r="CA264" s="16"/>
      <c r="CB264" s="16"/>
      <c r="CC264" s="16"/>
      <c r="CD264" s="16"/>
      <c r="CE264" s="16">
        <f ca="1">_xll.DBRW($D$4,$E$7,$E$8,$E$9,$E$10,$E$12,$D264,$E$6,CE$18,CE$17)</f>
        <v>-2.0904910000000002E-2</v>
      </c>
      <c r="CF264" s="16">
        <f ca="1">_xll.DBRW($D$4,$E$7,$E$8,$E$9,$E$10,$E$12,$D264,$E$6,CF$18,CF$17)</f>
        <v>7.9755915403060939E-3</v>
      </c>
      <c r="CG264" s="16"/>
      <c r="CH264" s="16"/>
      <c r="CI264" s="16"/>
      <c r="CJ264" s="16"/>
      <c r="CK264" s="16">
        <f ca="1">_xll.DBRW($D$4,$E$7,$E$8,$E$9,$E$10,$E$12,$D264,$E$6,CK$18,CK$17)</f>
        <v>-0.11855192999999997</v>
      </c>
      <c r="CL264" s="16">
        <f ca="1">_xll.DBRW($D$4,$E$7,$E$8,$E$9,$E$10,$E$12,$D264,$E$6,CL$18,CL$17)</f>
        <v>4.5229650354627685E-2</v>
      </c>
      <c r="CM264" s="16"/>
      <c r="CN264" s="16"/>
      <c r="CO264" s="16"/>
      <c r="CP264" s="16"/>
      <c r="CQ264" s="16">
        <f ca="1">_xll.DBRW($D$4,$E$7,$E$8,$E$9,$E$10,$E$12,$D264,$E$6,CQ$18,CQ$17)</f>
        <v>0</v>
      </c>
      <c r="CR264" s="16">
        <f ca="1">_xll.DBRW($D$4,$E$7,$E$8,$E$9,$E$10,$E$12,$D264,$E$6,CR$18,CR$17)</f>
        <v>0</v>
      </c>
      <c r="CS264" s="16">
        <f ca="1">_xll.DBRW($D$4,$E$7,$E$8,$E$9,$E$10,$E$12,$D264,$E$6,CS$18,CS$17)</f>
        <v>0</v>
      </c>
      <c r="CT264" s="16">
        <f ca="1">_xll.DBRW($D$4,$E$7,$E$8,$E$9,$E$10,$E$12,$D264,$E$6,CT$18,CT$17)</f>
        <v>0</v>
      </c>
      <c r="CU264" s="16">
        <f ca="1">_xll.DBRW($D$4,$E$7,$E$8,$E$9,$E$10,$E$12,$D264,$E$6,CU$18,CU$17)</f>
        <v>0</v>
      </c>
      <c r="CV264" s="16">
        <f ca="1">_xll.DBRW($D$4,$E$7,$E$8,$E$9,$E$10,$E$12,$D264,$E$6,CV$18,CV$17)</f>
        <v>0</v>
      </c>
      <c r="CW264" s="16">
        <f ca="1">_xll.DBRW($D$4,$E$7,$E$8,$E$9,$E$10,$E$12,$D264,$E$6,CW$18,CW$17)</f>
        <v>0</v>
      </c>
      <c r="CX264" s="16">
        <f ca="1">_xll.DBRW($D$4,$E$7,$E$8,$E$9,$E$10,$E$12,$D264,$E$6,CX$18,CX$17)</f>
        <v>0</v>
      </c>
      <c r="CY264" s="16">
        <f ca="1">_xll.DBRW($D$4,$E$7,$E$8,$E$9,$E$10,$E$12,$D264,$E$6,CY$18,CY$17)</f>
        <v>0</v>
      </c>
      <c r="CZ264" s="16">
        <f ca="1">_xll.DBRW($D$4,$E$7,$E$8,$E$9,$E$10,$E$12,$D264,$E$6,CZ$18,CZ$17)</f>
        <v>0</v>
      </c>
      <c r="DA264" s="26">
        <f t="shared" ca="1" si="146"/>
        <v>0.41448301999999959</v>
      </c>
      <c r="DB264" s="26">
        <f t="shared" ca="1" si="147"/>
        <v>-0.22074683</v>
      </c>
      <c r="DC264" s="26">
        <f t="shared" ca="1" si="148"/>
        <v>0.18918021999999998</v>
      </c>
      <c r="DD264" s="26">
        <f t="shared" ca="1" si="149"/>
        <v>0</v>
      </c>
      <c r="DE264" s="26">
        <f t="shared" ca="1" si="150"/>
        <v>0</v>
      </c>
      <c r="DF264" s="26">
        <f t="shared" ca="1" si="151"/>
        <v>0</v>
      </c>
      <c r="DG264" s="26">
        <f t="shared" ca="1" si="152"/>
        <v>0</v>
      </c>
      <c r="DH264" s="26">
        <f t="shared" ca="1" si="153"/>
        <v>0.63522984999999954</v>
      </c>
      <c r="DI264" s="26">
        <f t="shared" ca="1" si="154"/>
        <v>0.7160347899999997</v>
      </c>
      <c r="DJ264" s="26">
        <f t="shared" ca="1" si="155"/>
        <v>-7.4499999999999995E-5</v>
      </c>
      <c r="DK264" s="26">
        <f t="shared" ca="1" si="156"/>
        <v>2.2324467283523163E-5</v>
      </c>
      <c r="DL264" s="26"/>
      <c r="DM264" s="26"/>
      <c r="DN264" s="26"/>
      <c r="DO264" s="26"/>
      <c r="DP264" s="26">
        <f t="shared" ca="1" si="157"/>
        <v>4.4509900000000019E-3</v>
      </c>
      <c r="DQ264" s="26">
        <f t="shared" ca="1" si="158"/>
        <v>-3.3628676011721627E-3</v>
      </c>
      <c r="DR264" s="26"/>
      <c r="DS264" s="26"/>
      <c r="DT264" s="26"/>
      <c r="DU264" s="26"/>
      <c r="DV264" s="26">
        <f t="shared" ca="1" si="159"/>
        <v>0</v>
      </c>
      <c r="DW264" s="26">
        <f t="shared" ca="1" si="160"/>
        <v>0</v>
      </c>
      <c r="DX264" s="26"/>
      <c r="DY264" s="26"/>
      <c r="DZ264" s="26"/>
      <c r="EA264" s="26"/>
      <c r="EB264" s="26">
        <f t="shared" ca="1" si="161"/>
        <v>-1.3617499999999984E-3</v>
      </c>
      <c r="EC264" s="26">
        <f t="shared" ca="1" si="162"/>
        <v>-1.3032247928787925E-3</v>
      </c>
      <c r="ED264" s="26"/>
      <c r="EE264" s="26"/>
      <c r="EF264" s="26"/>
      <c r="EG264" s="26"/>
      <c r="EH264" s="26">
        <f t="shared" ca="1" si="163"/>
        <v>-8.3819680000000174E-2</v>
      </c>
      <c r="EI264" s="29">
        <f t="shared" ca="1" si="164"/>
        <v>1.5412475639451681E-2</v>
      </c>
      <c r="EJ264" s="29"/>
      <c r="EK264" s="29"/>
      <c r="EL264" s="29"/>
      <c r="EM264" s="29"/>
      <c r="EN264" s="93"/>
      <c r="EO264" s="29"/>
      <c r="EP264" s="29"/>
      <c r="EQ264" s="29"/>
      <c r="ER264" s="29"/>
      <c r="ES264" s="29"/>
      <c r="ET264" s="29"/>
      <c r="EU264" s="93"/>
      <c r="EV264" s="29"/>
      <c r="EW264" s="29"/>
      <c r="EX264" s="29"/>
      <c r="EY264" s="29"/>
      <c r="EZ264" s="29"/>
      <c r="FA264" s="29"/>
      <c r="FB264" s="93"/>
      <c r="FC264" s="29"/>
      <c r="FD264" s="29"/>
      <c r="FE264" s="29"/>
      <c r="FF264" s="29"/>
      <c r="FG264" s="29"/>
      <c r="FH264" s="29"/>
      <c r="FI264" s="93"/>
      <c r="FJ264" s="29"/>
      <c r="FK264" s="29"/>
      <c r="FL264" s="29"/>
      <c r="FM264" s="29"/>
      <c r="FN264" s="29"/>
      <c r="FO264" s="29"/>
      <c r="FP264" s="93"/>
      <c r="FQ264" s="29"/>
      <c r="FR264" s="29"/>
      <c r="FS264" s="29"/>
      <c r="FT264" s="29"/>
      <c r="FU264" s="29"/>
      <c r="FV264" s="29"/>
    </row>
    <row r="265" spans="1:178" x14ac:dyDescent="0.25">
      <c r="A265" t="str">
        <f ca="1">IF(_xll.TM1RPTELISCONSOLIDATED($D$28,$D265),IF(_xll.TM1RPTELLEV($D$28,$D265)&lt;=3,_xll.TM1RPTELLEV($D$28,$D265),"D"),"N")</f>
        <v>N</v>
      </c>
      <c r="B265" t="str">
        <f ca="1">_xll.DBRA(Server&amp;"Management_organization",$D265,$B$27)</f>
        <v>L</v>
      </c>
      <c r="C265">
        <v>1</v>
      </c>
      <c r="D265" s="2" t="s">
        <v>237</v>
      </c>
      <c r="E265" s="26"/>
      <c r="F265" s="26"/>
      <c r="G265" s="16">
        <f ca="1">_xll.DBRW($D$4,$E$7,$E$8,$E$9,$E$10,$E$12,$D265,$E$6,G$18,G$17)</f>
        <v>9.4052540000000392E-2</v>
      </c>
      <c r="H265" s="16">
        <f ca="1">_xll.DBRW($D$4,$E$7,$E$8,$E$9,$E$10,$E$12,$D265,$E$6,H$18,H$17)</f>
        <v>-0.132134</v>
      </c>
      <c r="I265" s="16">
        <f ca="1">_xll.DBRW($D$4,$E$7,$E$8,$E$9,$E$10,$E$12,$D265,$E$6,I$18,I$17)</f>
        <v>1.0842021724855044E-19</v>
      </c>
      <c r="J265" s="26">
        <f ca="1">_xll.DBRW($D$4,$E$7,$E$8,$E$9,$E$10,$E$12,$D265,$E$6,J$18,J$17)</f>
        <v>0</v>
      </c>
      <c r="K265" s="26">
        <f ca="1">_xll.DBRW($D$4,$E$7,$E$8,$E$9,$E$10,$E$12,$D265,$E$6,K$18,K$17)</f>
        <v>0</v>
      </c>
      <c r="L265" s="26">
        <f ca="1">_xll.DBRW($D$4,$E$7,$E$8,$E$9,$E$10,$E$12,$D265,$E$6,L$18,L$17)</f>
        <v>0</v>
      </c>
      <c r="M265" s="26">
        <f ca="1">_xll.DBRW($D$4,$E$7,$E$8,$E$9,$E$10,$E$12,$D265,$E$6,M$18,M$17)</f>
        <v>0</v>
      </c>
      <c r="N265" s="16">
        <f ca="1">_xll.DBRW($D$4,$E$7,$E$8,$E$9,$E$10,$E$12,$D265,$E$6,N$18,N$17)</f>
        <v>0.22618654000000038</v>
      </c>
      <c r="O265" s="16">
        <f ca="1">_xll.DBRW($D$4,$E$7,$E$8,$E$9,$E$10,$E$12,$D265,$E$6,O$18,O$17)</f>
        <v>2.4652081400000001</v>
      </c>
      <c r="P265" s="74">
        <f ca="1">_xll.DBRW($D$4,$E$7,$E$8,$E$9,$E$10,$E$12,$D265,$E$6,P$18,P$17)</f>
        <v>-0.99688184000000002</v>
      </c>
      <c r="Q265" s="16">
        <f ca="1">_xll.DBRW($D$4,$E$7,$E$8,$E$9,$E$10,$E$12,$D265,$E$6,Q$18,Q$17)</f>
        <v>0.40438039442787171</v>
      </c>
      <c r="R265" s="16"/>
      <c r="S265" s="16"/>
      <c r="T265" s="16"/>
      <c r="U265" s="16"/>
      <c r="V265" s="16">
        <f ca="1">_xll.DBRW($D$4,$E$7,$E$8,$E$9,$E$10,$E$12,$D265,$E$6,V$18,V$17)</f>
        <v>-0.37181301999999999</v>
      </c>
      <c r="W265" s="16">
        <f ca="1">_xll.DBRW($D$4,$E$7,$E$8,$E$9,$E$10,$E$12,$D265,$E$6,W$18,W$17)</f>
        <v>0.15082418963617408</v>
      </c>
      <c r="X265" s="16"/>
      <c r="Y265" s="16"/>
      <c r="Z265" s="16"/>
      <c r="AA265" s="16"/>
      <c r="AB265" s="16">
        <f ca="1">_xll.DBRW($D$4,$E$7,$E$8,$E$9,$E$10,$E$12,$D265,$E$6,AB$18,AB$17)</f>
        <v>-9.9999999999999991E-6</v>
      </c>
      <c r="AC265" s="16">
        <f ca="1">_xll.DBRW($D$4,$E$7,$E$8,$E$9,$E$10,$E$12,$D265,$E$6,AC$18,AC$17)</f>
        <v>4.0564526125570873E-6</v>
      </c>
      <c r="AD265" s="16"/>
      <c r="AE265" s="16"/>
      <c r="AF265" s="16"/>
      <c r="AG265" s="16"/>
      <c r="AH265" s="16">
        <f ca="1">_xll.DBRW($D$4,$E$7,$E$8,$E$9,$E$10,$E$12,$D265,$E$6,AH$18,AH$17)</f>
        <v>-3.2108000000000006E-4</v>
      </c>
      <c r="AI265" s="16">
        <f ca="1">_xll.DBRW($D$4,$E$7,$E$8,$E$9,$E$10,$E$12,$D265,$E$6,AI$18,AI$17)</f>
        <v>1.3024458048398302E-4</v>
      </c>
      <c r="AJ265" s="16"/>
      <c r="AK265" s="16"/>
      <c r="AL265" s="16"/>
      <c r="AM265" s="16"/>
      <c r="AN265" s="16">
        <f ca="1">_xll.DBRW($D$4,$E$7,$E$8,$E$9,$E$10,$E$12,$D265,$E$6,AN$18,AN$17)</f>
        <v>-0.86999566000000006</v>
      </c>
      <c r="AO265" s="16">
        <f ca="1">_xll.DBRW($D$4,$E$7,$E$8,$E$9,$E$10,$E$12,$D265,$E$6,AO$18,AO$17)</f>
        <v>0.35290961679203281</v>
      </c>
      <c r="AP265" s="16"/>
      <c r="AQ265" s="16"/>
      <c r="AR265" s="16"/>
      <c r="AS265" s="16"/>
      <c r="AT265" s="16">
        <f ca="1">_xll.DBRW($D$4,$E$7,$E$8,$E$9,$E$10,$E$12,$D265,$E$6,AT$18,AT$17)</f>
        <v>5.5852490000000005E-2</v>
      </c>
      <c r="AU265" s="16">
        <f ca="1">_xll.DBRW($D$4,$E$7,$E$8,$E$9,$E$10,$E$12,$D265,$E$6,AU$18,AU$17)</f>
        <v>5.6289249999999999E-2</v>
      </c>
      <c r="AV265" s="16">
        <f ca="1">_xll.DBRW($D$4,$E$7,$E$8,$E$9,$E$10,$E$12,$D265,$E$6,AV$18,AV$17)</f>
        <v>0.61657200000000001</v>
      </c>
      <c r="AW265" s="16">
        <f ca="1">_xll.DBRW($D$4,$E$7,$E$8,$E$9,$E$10,$E$12,$D265,$E$6,AW$18,AW$17)</f>
        <v>5.6289249999999999E-2</v>
      </c>
      <c r="AX265" s="16">
        <f ca="1">_xll.DBRW($D$4,$E$7,$E$8,$E$9,$E$10,$E$12,$D265,$E$6,AX$18,AX$17)</f>
        <v>0</v>
      </c>
      <c r="AY265" s="16">
        <f ca="1">_xll.DBRW($D$4,$E$7,$E$8,$E$9,$E$10,$E$12,$D265,$E$6,AY$18,AY$17)</f>
        <v>0</v>
      </c>
      <c r="AZ265" s="16">
        <f ca="1">_xll.DBRW($D$4,$E$7,$E$8,$E$9,$E$10,$E$12,$D265,$E$6,AZ$18,AZ$17)</f>
        <v>0</v>
      </c>
      <c r="BA265" s="16">
        <f ca="1">_xll.DBRW($D$4,$E$7,$E$8,$E$9,$E$10,$E$12,$D265,$E$6,BA$18,BA$17)</f>
        <v>0</v>
      </c>
      <c r="BB265" s="16">
        <f ca="1">_xll.DBRW($D$4,$E$7,$E$8,$E$9,$E$10,$E$12,$D265,$E$6,BB$18,BB$17)</f>
        <v>5.6289249999999999E-2</v>
      </c>
      <c r="BC265" s="16">
        <f ca="1">_xll.DBRW($D$4,$E$7,$E$8,$E$9,$E$10,$E$12,$D265,$E$6,BC$18,BC$17)</f>
        <v>5.6289249999999999E-2</v>
      </c>
      <c r="BD265" s="16">
        <f ca="1">_xll.DBRW($D$4,$E$7,$E$8,$E$9,$E$10,$E$12,$D265,$E$6,BD$18,BD$17)</f>
        <v>0.22965628999999974</v>
      </c>
      <c r="BE265" s="16">
        <f ca="1">_xll.DBRW($D$4,$E$7,$E$8,$E$9,$E$10,$E$12,$D265,$E$6,BE$18,BE$17)</f>
        <v>-4.6283869999999998E-2</v>
      </c>
      <c r="BF265" s="16">
        <f ca="1">_xll.DBRW($D$4,$E$7,$E$8,$E$9,$E$10,$E$12,$D265,$E$6,BF$18,BF$17)</f>
        <v>-1.2240900000000002E-3</v>
      </c>
      <c r="BG265" s="26">
        <f ca="1">_xll.DBRW($D$4,$E$7,$E$8,$E$9,$E$10,$E$12,$D265,$E$6,BG$18,BG$17)</f>
        <v>0</v>
      </c>
      <c r="BH265" s="26">
        <f ca="1">_xll.DBRW($D$4,$E$7,$E$8,$E$9,$E$10,$E$12,$D265,$E$6,BH$18,BH$17)</f>
        <v>0</v>
      </c>
      <c r="BI265" s="26">
        <f ca="1">_xll.DBRW($D$4,$E$7,$E$8,$E$9,$E$10,$E$12,$D265,$E$6,BI$18,BI$17)</f>
        <v>0</v>
      </c>
      <c r="BJ265" s="26">
        <f ca="1">_xll.DBRW($D$4,$E$7,$E$8,$E$9,$E$10,$E$12,$D265,$E$6,BJ$18,BJ$17)</f>
        <v>0</v>
      </c>
      <c r="BK265" s="16">
        <f ca="1">_xll.DBRW($D$4,$E$7,$E$8,$E$9,$E$10,$E$12,$D265,$E$6,BK$18,BK$17)</f>
        <v>0.27594015999999971</v>
      </c>
      <c r="BL265" s="16">
        <f ca="1">_xll.DBRW($D$4,$E$7,$E$8,$E$9,$E$10,$E$12,$D265,$E$6,BL$18,BL$17)</f>
        <v>1.9413109099999999</v>
      </c>
      <c r="BM265" s="16">
        <f ca="1">_xll.DBRW($D$4,$E$7,$E$8,$E$9,$E$10,$E$12,$D265,$E$6,BM$18,BM$17)</f>
        <v>-0.72888859999999989</v>
      </c>
      <c r="BN265" s="16">
        <f ca="1">_xll.DBRW($D$4,$E$7,$E$8,$E$9,$E$10,$E$12,$D265,$E$6,BN$18,BN$17)</f>
        <v>0.37546206341569466</v>
      </c>
      <c r="BO265" s="16"/>
      <c r="BP265" s="16"/>
      <c r="BQ265" s="16"/>
      <c r="BR265" s="16"/>
      <c r="BS265" s="16">
        <f ca="1">_xll.DBRW($D$4,$E$7,$E$8,$E$9,$E$10,$E$12,$D265,$E$6,BS$18,BS$17)</f>
        <v>-0.25027233000000004</v>
      </c>
      <c r="BT265" s="16">
        <f ca="1">_xll.DBRW($D$4,$E$7,$E$8,$E$9,$E$10,$E$12,$D265,$E$6,BT$18,BT$17)</f>
        <v>0.12891924148306572</v>
      </c>
      <c r="BU265" s="16"/>
      <c r="BV265" s="16"/>
      <c r="BW265" s="16"/>
      <c r="BX265" s="16"/>
      <c r="BY265" s="16">
        <f ca="1">_xll.DBRW($D$4,$E$7,$E$8,$E$9,$E$10,$E$12,$D265,$E$6,BY$18,BY$17)</f>
        <v>0</v>
      </c>
      <c r="BZ265" s="16">
        <f ca="1">_xll.DBRW($D$4,$E$7,$E$8,$E$9,$E$10,$E$12,$D265,$E$6,BZ$18,BZ$17)</f>
        <v>0</v>
      </c>
      <c r="CA265" s="16"/>
      <c r="CB265" s="16"/>
      <c r="CC265" s="16"/>
      <c r="CD265" s="16"/>
      <c r="CE265" s="16">
        <f ca="1">_xll.DBRW($D$4,$E$7,$E$8,$E$9,$E$10,$E$12,$D265,$E$6,CE$18,CE$17)</f>
        <v>-1.3150500000000003E-3</v>
      </c>
      <c r="CF265" s="16">
        <f ca="1">_xll.DBRW($D$4,$E$7,$E$8,$E$9,$E$10,$E$12,$D265,$E$6,CF$18,CF$17)</f>
        <v>6.7740308532032126E-4</v>
      </c>
      <c r="CG265" s="16"/>
      <c r="CH265" s="16"/>
      <c r="CI265" s="16"/>
      <c r="CJ265" s="16"/>
      <c r="CK265" s="16">
        <f ca="1">_xll.DBRW($D$4,$E$7,$E$8,$E$9,$E$10,$E$12,$D265,$E$6,CK$18,CK$17)</f>
        <v>-0.68489476999999999</v>
      </c>
      <c r="CL265" s="16">
        <f ca="1">_xll.DBRW($D$4,$E$7,$E$8,$E$9,$E$10,$E$12,$D265,$E$6,CL$18,CL$17)</f>
        <v>0.3528001447228255</v>
      </c>
      <c r="CM265" s="16"/>
      <c r="CN265" s="16"/>
      <c r="CO265" s="16"/>
      <c r="CP265" s="16"/>
      <c r="CQ265" s="16">
        <f ca="1">_xll.DBRW($D$4,$E$7,$E$8,$E$9,$E$10,$E$12,$D265,$E$6,CQ$18,CQ$17)</f>
        <v>4.5090529999999997E-2</v>
      </c>
      <c r="CR265" s="16">
        <f ca="1">_xll.DBRW($D$4,$E$7,$E$8,$E$9,$E$10,$E$12,$D265,$E$6,CR$18,CR$17)</f>
        <v>4.42064E-2</v>
      </c>
      <c r="CS265" s="16">
        <f ca="1">_xll.DBRW($D$4,$E$7,$E$8,$E$9,$E$10,$E$12,$D265,$E$6,CS$18,CS$17)</f>
        <v>0.48389290000000007</v>
      </c>
      <c r="CT265" s="16">
        <f ca="1">_xll.DBRW($D$4,$E$7,$E$8,$E$9,$E$10,$E$12,$D265,$E$6,CT$18,CT$17)</f>
        <v>4.42064E-2</v>
      </c>
      <c r="CU265" s="16">
        <f ca="1">_xll.DBRW($D$4,$E$7,$E$8,$E$9,$E$10,$E$12,$D265,$E$6,CU$18,CU$17)</f>
        <v>0</v>
      </c>
      <c r="CV265" s="16">
        <f ca="1">_xll.DBRW($D$4,$E$7,$E$8,$E$9,$E$10,$E$12,$D265,$E$6,CV$18,CV$17)</f>
        <v>0</v>
      </c>
      <c r="CW265" s="16">
        <f ca="1">_xll.DBRW($D$4,$E$7,$E$8,$E$9,$E$10,$E$12,$D265,$E$6,CW$18,CW$17)</f>
        <v>0</v>
      </c>
      <c r="CX265" s="16">
        <f ca="1">_xll.DBRW($D$4,$E$7,$E$8,$E$9,$E$10,$E$12,$D265,$E$6,CX$18,CX$17)</f>
        <v>0</v>
      </c>
      <c r="CY265" s="16">
        <f ca="1">_xll.DBRW($D$4,$E$7,$E$8,$E$9,$E$10,$E$12,$D265,$E$6,CY$18,CY$17)</f>
        <v>4.42064E-2</v>
      </c>
      <c r="CZ265" s="16">
        <f ca="1">_xll.DBRW($D$4,$E$7,$E$8,$E$9,$E$10,$E$12,$D265,$E$6,CZ$18,CZ$17)</f>
        <v>4.42064E-2</v>
      </c>
      <c r="DA265" s="26">
        <f t="shared" ca="1" si="146"/>
        <v>-0.13560374999999936</v>
      </c>
      <c r="DB265" s="26">
        <f t="shared" ca="1" si="147"/>
        <v>-8.5850129999999997E-2</v>
      </c>
      <c r="DC265" s="26">
        <f t="shared" ca="1" si="148"/>
        <v>1.2240900000000002E-3</v>
      </c>
      <c r="DD265" s="26">
        <f t="shared" ca="1" si="149"/>
        <v>0</v>
      </c>
      <c r="DE265" s="26">
        <f t="shared" ca="1" si="150"/>
        <v>0</v>
      </c>
      <c r="DF265" s="26">
        <f t="shared" ca="1" si="151"/>
        <v>0</v>
      </c>
      <c r="DG265" s="26">
        <f t="shared" ca="1" si="152"/>
        <v>0</v>
      </c>
      <c r="DH265" s="26">
        <f t="shared" ca="1" si="153"/>
        <v>-4.9753619999999332E-2</v>
      </c>
      <c r="DI265" s="26">
        <f t="shared" ca="1" si="154"/>
        <v>0.52389723000000021</v>
      </c>
      <c r="DJ265" s="26">
        <f t="shared" ca="1" si="155"/>
        <v>-0.26799324000000013</v>
      </c>
      <c r="DK265" s="26">
        <f t="shared" ca="1" si="156"/>
        <v>2.8918331012177056E-2</v>
      </c>
      <c r="DL265" s="26"/>
      <c r="DM265" s="26"/>
      <c r="DN265" s="26"/>
      <c r="DO265" s="26"/>
      <c r="DP265" s="26">
        <f t="shared" ca="1" si="157"/>
        <v>-0.12154068999999995</v>
      </c>
      <c r="DQ265" s="26">
        <f t="shared" ca="1" si="158"/>
        <v>2.1904948153108367E-2</v>
      </c>
      <c r="DR265" s="26"/>
      <c r="DS265" s="26"/>
      <c r="DT265" s="26"/>
      <c r="DU265" s="26"/>
      <c r="DV265" s="26">
        <f t="shared" ca="1" si="159"/>
        <v>-9.9999999999999991E-6</v>
      </c>
      <c r="DW265" s="26">
        <f t="shared" ca="1" si="160"/>
        <v>4.0564526125570873E-6</v>
      </c>
      <c r="DX265" s="26"/>
      <c r="DY265" s="26"/>
      <c r="DZ265" s="26"/>
      <c r="EA265" s="26"/>
      <c r="EB265" s="26">
        <f t="shared" ca="1" si="161"/>
        <v>9.9397000000000027E-4</v>
      </c>
      <c r="EC265" s="26">
        <f t="shared" ca="1" si="162"/>
        <v>-5.4715850483633827E-4</v>
      </c>
      <c r="ED265" s="26"/>
      <c r="EE265" s="26"/>
      <c r="EF265" s="26"/>
      <c r="EG265" s="26"/>
      <c r="EH265" s="26">
        <f t="shared" ca="1" si="163"/>
        <v>-0.18510089000000007</v>
      </c>
      <c r="EI265" s="29">
        <f t="shared" ca="1" si="164"/>
        <v>1.094720692073059E-4</v>
      </c>
      <c r="EJ265" s="29"/>
      <c r="EK265" s="29"/>
      <c r="EL265" s="29"/>
      <c r="EM265" s="29"/>
      <c r="EN265" s="93"/>
      <c r="EO265" s="29"/>
      <c r="EP265" s="29"/>
      <c r="EQ265" s="29"/>
      <c r="ER265" s="29"/>
      <c r="ES265" s="29"/>
      <c r="ET265" s="29"/>
      <c r="EU265" s="93"/>
      <c r="EV265" s="29"/>
      <c r="EW265" s="29"/>
      <c r="EX265" s="29"/>
      <c r="EY265" s="29"/>
      <c r="EZ265" s="29"/>
      <c r="FA265" s="29"/>
      <c r="FB265" s="93"/>
      <c r="FC265" s="29"/>
      <c r="FD265" s="29"/>
      <c r="FE265" s="29"/>
      <c r="FF265" s="29"/>
      <c r="FG265" s="29"/>
      <c r="FH265" s="29"/>
      <c r="FI265" s="93"/>
      <c r="FJ265" s="29"/>
      <c r="FK265" s="29"/>
      <c r="FL265" s="29"/>
      <c r="FM265" s="29"/>
      <c r="FN265" s="29"/>
      <c r="FO265" s="29"/>
      <c r="FP265" s="93"/>
      <c r="FQ265" s="29"/>
      <c r="FR265" s="29"/>
      <c r="FS265" s="29"/>
      <c r="FT265" s="29"/>
      <c r="FU265" s="29"/>
      <c r="FV265" s="29"/>
    </row>
    <row r="266" spans="1:178" x14ac:dyDescent="0.25">
      <c r="A266" t="str">
        <f ca="1">IF(_xll.TM1RPTELISCONSOLIDATED($D$28,$D266),IF(_xll.TM1RPTELLEV($D$28,$D266)&lt;=3,_xll.TM1RPTELLEV($D$28,$D266),"D"),"N")</f>
        <v>N</v>
      </c>
      <c r="B266" t="str">
        <f ca="1">_xll.DBRA(Server&amp;"Management_organization",$D266,$B$27)</f>
        <v>L</v>
      </c>
      <c r="C266">
        <v>1</v>
      </c>
      <c r="D266" s="2" t="s">
        <v>357</v>
      </c>
      <c r="E266" s="26"/>
      <c r="F266" s="26"/>
      <c r="G266" s="16">
        <f ca="1">_xll.DBRW($D$4,$E$7,$E$8,$E$9,$E$10,$E$12,$D266,$E$6,G$18,G$17)</f>
        <v>-1.0000000000002819E-3</v>
      </c>
      <c r="H266" s="16">
        <f ca="1">_xll.DBRW($D$4,$E$7,$E$8,$E$9,$E$10,$E$12,$D266,$E$6,H$18,H$17)</f>
        <v>-1.8950416600000002</v>
      </c>
      <c r="I266" s="16">
        <f ca="1">_xll.DBRW($D$4,$E$7,$E$8,$E$9,$E$10,$E$12,$D266,$E$6,I$18,I$17)</f>
        <v>0</v>
      </c>
      <c r="J266" s="26">
        <f ca="1">_xll.DBRW($D$4,$E$7,$E$8,$E$9,$E$10,$E$12,$D266,$E$6,J$18,J$17)</f>
        <v>0</v>
      </c>
      <c r="K266" s="26">
        <f ca="1">_xll.DBRW($D$4,$E$7,$E$8,$E$9,$E$10,$E$12,$D266,$E$6,K$18,K$17)</f>
        <v>0</v>
      </c>
      <c r="L266" s="26">
        <f ca="1">_xll.DBRW($D$4,$E$7,$E$8,$E$9,$E$10,$E$12,$D266,$E$6,L$18,L$17)</f>
        <v>0</v>
      </c>
      <c r="M266" s="26">
        <f ca="1">_xll.DBRW($D$4,$E$7,$E$8,$E$9,$E$10,$E$12,$D266,$E$6,M$18,M$17)</f>
        <v>0</v>
      </c>
      <c r="N266" s="16">
        <f ca="1">_xll.DBRW($D$4,$E$7,$E$8,$E$9,$E$10,$E$12,$D266,$E$6,N$18,N$17)</f>
        <v>1.8940416599999998</v>
      </c>
      <c r="O266" s="16">
        <f ca="1">_xll.DBRW($D$4,$E$7,$E$8,$E$9,$E$10,$E$12,$D266,$E$6,O$18,O$17)</f>
        <v>0.75729567999999992</v>
      </c>
      <c r="P266" s="74">
        <f ca="1">_xll.DBRW($D$4,$E$7,$E$8,$E$9,$E$10,$E$12,$D266,$E$6,P$18,P$17)</f>
        <v>-0.18504757999999996</v>
      </c>
      <c r="Q266" s="16">
        <f ca="1">_xll.DBRW($D$4,$E$7,$E$8,$E$9,$E$10,$E$12,$D266,$E$6,Q$18,Q$17)</f>
        <v>0.24435314354361559</v>
      </c>
      <c r="R266" s="16"/>
      <c r="S266" s="16"/>
      <c r="T266" s="16"/>
      <c r="U266" s="16"/>
      <c r="V266" s="16">
        <f ca="1">_xll.DBRW($D$4,$E$7,$E$8,$E$9,$E$10,$E$12,$D266,$E$6,V$18,V$17)</f>
        <v>-0.20490589999999997</v>
      </c>
      <c r="W266" s="16">
        <f ca="1">_xll.DBRW($D$4,$E$7,$E$8,$E$9,$E$10,$E$12,$D266,$E$6,W$18,W$17)</f>
        <v>0.27057582053023199</v>
      </c>
      <c r="X266" s="16"/>
      <c r="Y266" s="16"/>
      <c r="Z266" s="16"/>
      <c r="AA266" s="16"/>
      <c r="AB266" s="16">
        <f ca="1">_xll.DBRW($D$4,$E$7,$E$8,$E$9,$E$10,$E$12,$D266,$E$6,AB$18,AB$17)</f>
        <v>0</v>
      </c>
      <c r="AC266" s="16">
        <f ca="1">_xll.DBRW($D$4,$E$7,$E$8,$E$9,$E$10,$E$12,$D266,$E$6,AC$18,AC$17)</f>
        <v>0</v>
      </c>
      <c r="AD266" s="16"/>
      <c r="AE266" s="16"/>
      <c r="AF266" s="16"/>
      <c r="AG266" s="16"/>
      <c r="AH266" s="16">
        <f ca="1">_xll.DBRW($D$4,$E$7,$E$8,$E$9,$E$10,$E$12,$D266,$E$6,AH$18,AH$17)</f>
        <v>-4.9112729999999993E-2</v>
      </c>
      <c r="AI266" s="16">
        <f ca="1">_xll.DBRW($D$4,$E$7,$E$8,$E$9,$E$10,$E$12,$D266,$E$6,AI$18,AI$17)</f>
        <v>6.4852779828349208E-2</v>
      </c>
      <c r="AJ266" s="16"/>
      <c r="AK266" s="16"/>
      <c r="AL266" s="16"/>
      <c r="AM266" s="16"/>
      <c r="AN266" s="16">
        <f ca="1">_xll.DBRW($D$4,$E$7,$E$8,$E$9,$E$10,$E$12,$D266,$E$6,AN$18,AN$17)</f>
        <v>1.5758121900000002</v>
      </c>
      <c r="AO266" s="16">
        <f ca="1">_xll.DBRW($D$4,$E$7,$E$8,$E$9,$E$10,$E$12,$D266,$E$6,AO$18,AO$17)</f>
        <v>-2.0808413828532606</v>
      </c>
      <c r="AP266" s="16"/>
      <c r="AQ266" s="16"/>
      <c r="AR266" s="16"/>
      <c r="AS266" s="16"/>
      <c r="AT266" s="16">
        <f ca="1">_xll.DBRW($D$4,$E$7,$E$8,$E$9,$E$10,$E$12,$D266,$E$6,AT$18,AT$17)</f>
        <v>0</v>
      </c>
      <c r="AU266" s="16">
        <f ca="1">_xll.DBRW($D$4,$E$7,$E$8,$E$9,$E$10,$E$12,$D266,$E$6,AU$18,AU$17)</f>
        <v>0</v>
      </c>
      <c r="AV266" s="16">
        <f ca="1">_xll.DBRW($D$4,$E$7,$E$8,$E$9,$E$10,$E$12,$D266,$E$6,AV$18,AV$17)</f>
        <v>0</v>
      </c>
      <c r="AW266" s="16">
        <f ca="1">_xll.DBRW($D$4,$E$7,$E$8,$E$9,$E$10,$E$12,$D266,$E$6,AW$18,AW$17)</f>
        <v>0</v>
      </c>
      <c r="AX266" s="16">
        <f ca="1">_xll.DBRW($D$4,$E$7,$E$8,$E$9,$E$10,$E$12,$D266,$E$6,AX$18,AX$17)</f>
        <v>0</v>
      </c>
      <c r="AY266" s="16">
        <f ca="1">_xll.DBRW($D$4,$E$7,$E$8,$E$9,$E$10,$E$12,$D266,$E$6,AY$18,AY$17)</f>
        <v>0</v>
      </c>
      <c r="AZ266" s="16">
        <f ca="1">_xll.DBRW($D$4,$E$7,$E$8,$E$9,$E$10,$E$12,$D266,$E$6,AZ$18,AZ$17)</f>
        <v>0</v>
      </c>
      <c r="BA266" s="16">
        <f ca="1">_xll.DBRW($D$4,$E$7,$E$8,$E$9,$E$10,$E$12,$D266,$E$6,BA$18,BA$17)</f>
        <v>0</v>
      </c>
      <c r="BB266" s="16">
        <f ca="1">_xll.DBRW($D$4,$E$7,$E$8,$E$9,$E$10,$E$12,$D266,$E$6,BB$18,BB$17)</f>
        <v>0</v>
      </c>
      <c r="BC266" s="16">
        <f ca="1">_xll.DBRW($D$4,$E$7,$E$8,$E$9,$E$10,$E$12,$D266,$E$6,BC$18,BC$17)</f>
        <v>0</v>
      </c>
      <c r="BD266" s="16">
        <f ca="1">_xll.DBRW($D$4,$E$7,$E$8,$E$9,$E$10,$E$12,$D266,$E$6,BD$18,BD$17)</f>
        <v>0</v>
      </c>
      <c r="BE266" s="16">
        <f ca="1">_xll.DBRW($D$4,$E$7,$E$8,$E$9,$E$10,$E$12,$D266,$E$6,BE$18,BE$17)</f>
        <v>0</v>
      </c>
      <c r="BF266" s="16">
        <f ca="1">_xll.DBRW($D$4,$E$7,$E$8,$E$9,$E$10,$E$12,$D266,$E$6,BF$18,BF$17)</f>
        <v>0</v>
      </c>
      <c r="BG266" s="26">
        <f ca="1">_xll.DBRW($D$4,$E$7,$E$8,$E$9,$E$10,$E$12,$D266,$E$6,BG$18,BG$17)</f>
        <v>0</v>
      </c>
      <c r="BH266" s="26">
        <f ca="1">_xll.DBRW($D$4,$E$7,$E$8,$E$9,$E$10,$E$12,$D266,$E$6,BH$18,BH$17)</f>
        <v>0</v>
      </c>
      <c r="BI266" s="26">
        <f ca="1">_xll.DBRW($D$4,$E$7,$E$8,$E$9,$E$10,$E$12,$D266,$E$6,BI$18,BI$17)</f>
        <v>0</v>
      </c>
      <c r="BJ266" s="26">
        <f ca="1">_xll.DBRW($D$4,$E$7,$E$8,$E$9,$E$10,$E$12,$D266,$E$6,BJ$18,BJ$17)</f>
        <v>0</v>
      </c>
      <c r="BK266" s="16">
        <f ca="1">_xll.DBRW($D$4,$E$7,$E$8,$E$9,$E$10,$E$12,$D266,$E$6,BK$18,BK$17)</f>
        <v>0</v>
      </c>
      <c r="BL266" s="16">
        <f ca="1">_xll.DBRW($D$4,$E$7,$E$8,$E$9,$E$10,$E$12,$D266,$E$6,BL$18,BL$17)</f>
        <v>0</v>
      </c>
      <c r="BM266" s="16">
        <f ca="1">_xll.DBRW($D$4,$E$7,$E$8,$E$9,$E$10,$E$12,$D266,$E$6,BM$18,BM$17)</f>
        <v>0</v>
      </c>
      <c r="BN266" s="16">
        <f ca="1">_xll.DBRW($D$4,$E$7,$E$8,$E$9,$E$10,$E$12,$D266,$E$6,BN$18,BN$17)</f>
        <v>0</v>
      </c>
      <c r="BO266" s="16"/>
      <c r="BP266" s="16"/>
      <c r="BQ266" s="16"/>
      <c r="BR266" s="16"/>
      <c r="BS266" s="16">
        <f ca="1">_xll.DBRW($D$4,$E$7,$E$8,$E$9,$E$10,$E$12,$D266,$E$6,BS$18,BS$17)</f>
        <v>0</v>
      </c>
      <c r="BT266" s="16">
        <f ca="1">_xll.DBRW($D$4,$E$7,$E$8,$E$9,$E$10,$E$12,$D266,$E$6,BT$18,BT$17)</f>
        <v>0</v>
      </c>
      <c r="BU266" s="16"/>
      <c r="BV266" s="16"/>
      <c r="BW266" s="16"/>
      <c r="BX266" s="16"/>
      <c r="BY266" s="16">
        <f ca="1">_xll.DBRW($D$4,$E$7,$E$8,$E$9,$E$10,$E$12,$D266,$E$6,BY$18,BY$17)</f>
        <v>0</v>
      </c>
      <c r="BZ266" s="16">
        <f ca="1">_xll.DBRW($D$4,$E$7,$E$8,$E$9,$E$10,$E$12,$D266,$E$6,BZ$18,BZ$17)</f>
        <v>0</v>
      </c>
      <c r="CA266" s="16"/>
      <c r="CB266" s="16"/>
      <c r="CC266" s="16"/>
      <c r="CD266" s="16"/>
      <c r="CE266" s="16">
        <f ca="1">_xll.DBRW($D$4,$E$7,$E$8,$E$9,$E$10,$E$12,$D266,$E$6,CE$18,CE$17)</f>
        <v>0</v>
      </c>
      <c r="CF266" s="16">
        <f ca="1">_xll.DBRW($D$4,$E$7,$E$8,$E$9,$E$10,$E$12,$D266,$E$6,CF$18,CF$17)</f>
        <v>0</v>
      </c>
      <c r="CG266" s="16"/>
      <c r="CH266" s="16"/>
      <c r="CI266" s="16"/>
      <c r="CJ266" s="16"/>
      <c r="CK266" s="16">
        <f ca="1">_xll.DBRW($D$4,$E$7,$E$8,$E$9,$E$10,$E$12,$D266,$E$6,CK$18,CK$17)</f>
        <v>0</v>
      </c>
      <c r="CL266" s="16">
        <f ca="1">_xll.DBRW($D$4,$E$7,$E$8,$E$9,$E$10,$E$12,$D266,$E$6,CL$18,CL$17)</f>
        <v>0</v>
      </c>
      <c r="CM266" s="16"/>
      <c r="CN266" s="16"/>
      <c r="CO266" s="16"/>
      <c r="CP266" s="16"/>
      <c r="CQ266" s="16">
        <f ca="1">_xll.DBRW($D$4,$E$7,$E$8,$E$9,$E$10,$E$12,$D266,$E$6,CQ$18,CQ$17)</f>
        <v>0</v>
      </c>
      <c r="CR266" s="16">
        <f ca="1">_xll.DBRW($D$4,$E$7,$E$8,$E$9,$E$10,$E$12,$D266,$E$6,CR$18,CR$17)</f>
        <v>0</v>
      </c>
      <c r="CS266" s="16">
        <f ca="1">_xll.DBRW($D$4,$E$7,$E$8,$E$9,$E$10,$E$12,$D266,$E$6,CS$18,CS$17)</f>
        <v>0</v>
      </c>
      <c r="CT266" s="16">
        <f ca="1">_xll.DBRW($D$4,$E$7,$E$8,$E$9,$E$10,$E$12,$D266,$E$6,CT$18,CT$17)</f>
        <v>0</v>
      </c>
      <c r="CU266" s="16">
        <f ca="1">_xll.DBRW($D$4,$E$7,$E$8,$E$9,$E$10,$E$12,$D266,$E$6,CU$18,CU$17)</f>
        <v>0</v>
      </c>
      <c r="CV266" s="16">
        <f ca="1">_xll.DBRW($D$4,$E$7,$E$8,$E$9,$E$10,$E$12,$D266,$E$6,CV$18,CV$17)</f>
        <v>0</v>
      </c>
      <c r="CW266" s="16">
        <f ca="1">_xll.DBRW($D$4,$E$7,$E$8,$E$9,$E$10,$E$12,$D266,$E$6,CW$18,CW$17)</f>
        <v>0</v>
      </c>
      <c r="CX266" s="16">
        <f ca="1">_xll.DBRW($D$4,$E$7,$E$8,$E$9,$E$10,$E$12,$D266,$E$6,CX$18,CX$17)</f>
        <v>0</v>
      </c>
      <c r="CY266" s="16">
        <f ca="1">_xll.DBRW($D$4,$E$7,$E$8,$E$9,$E$10,$E$12,$D266,$E$6,CY$18,CY$17)</f>
        <v>0</v>
      </c>
      <c r="CZ266" s="16">
        <f ca="1">_xll.DBRW($D$4,$E$7,$E$8,$E$9,$E$10,$E$12,$D266,$E$6,CZ$18,CZ$17)</f>
        <v>0</v>
      </c>
      <c r="DA266" s="26">
        <f t="shared" ca="1" si="146"/>
        <v>-1.0000000000002819E-3</v>
      </c>
      <c r="DB266" s="26">
        <f t="shared" ca="1" si="147"/>
        <v>-1.8950416600000002</v>
      </c>
      <c r="DC266" s="26">
        <f t="shared" ca="1" si="148"/>
        <v>0</v>
      </c>
      <c r="DD266" s="26">
        <f t="shared" ca="1" si="149"/>
        <v>0</v>
      </c>
      <c r="DE266" s="26">
        <f t="shared" ca="1" si="150"/>
        <v>0</v>
      </c>
      <c r="DF266" s="26">
        <f t="shared" ca="1" si="151"/>
        <v>0</v>
      </c>
      <c r="DG266" s="26">
        <f t="shared" ca="1" si="152"/>
        <v>0</v>
      </c>
      <c r="DH266" s="26">
        <f t="shared" ca="1" si="153"/>
        <v>1.8940416599999998</v>
      </c>
      <c r="DI266" s="26">
        <f t="shared" ca="1" si="154"/>
        <v>0.75729567999999992</v>
      </c>
      <c r="DJ266" s="26">
        <f t="shared" ca="1" si="155"/>
        <v>-0.18504757999999996</v>
      </c>
      <c r="DK266" s="26">
        <f t="shared" ca="1" si="156"/>
        <v>0.24435314354361559</v>
      </c>
      <c r="DL266" s="26"/>
      <c r="DM266" s="26"/>
      <c r="DN266" s="26"/>
      <c r="DO266" s="26"/>
      <c r="DP266" s="26">
        <f t="shared" ca="1" si="157"/>
        <v>-0.20490589999999997</v>
      </c>
      <c r="DQ266" s="26">
        <f t="shared" ca="1" si="158"/>
        <v>0.27057582053023199</v>
      </c>
      <c r="DR266" s="26"/>
      <c r="DS266" s="26"/>
      <c r="DT266" s="26"/>
      <c r="DU266" s="26"/>
      <c r="DV266" s="26">
        <f t="shared" ca="1" si="159"/>
        <v>0</v>
      </c>
      <c r="DW266" s="26">
        <f t="shared" ca="1" si="160"/>
        <v>0</v>
      </c>
      <c r="DX266" s="26"/>
      <c r="DY266" s="26"/>
      <c r="DZ266" s="26"/>
      <c r="EA266" s="26"/>
      <c r="EB266" s="26">
        <f t="shared" ca="1" si="161"/>
        <v>-4.9112729999999993E-2</v>
      </c>
      <c r="EC266" s="26">
        <f t="shared" ca="1" si="162"/>
        <v>6.4852779828349208E-2</v>
      </c>
      <c r="ED266" s="26"/>
      <c r="EE266" s="26"/>
      <c r="EF266" s="26"/>
      <c r="EG266" s="26"/>
      <c r="EH266" s="26">
        <f t="shared" ca="1" si="163"/>
        <v>1.5758121900000002</v>
      </c>
      <c r="EI266" s="29">
        <f t="shared" ca="1" si="164"/>
        <v>-2.0808413828532606</v>
      </c>
      <c r="EJ266" s="29"/>
      <c r="EK266" s="29"/>
      <c r="EL266" s="29"/>
      <c r="EM266" s="29"/>
      <c r="EN266" s="93"/>
      <c r="EO266" s="29"/>
      <c r="EP266" s="29"/>
      <c r="EQ266" s="29"/>
      <c r="ER266" s="29"/>
      <c r="ES266" s="29"/>
      <c r="ET266" s="29"/>
      <c r="EU266" s="93"/>
      <c r="EV266" s="29"/>
      <c r="EW266" s="29"/>
      <c r="EX266" s="29"/>
      <c r="EY266" s="29"/>
      <c r="EZ266" s="29"/>
      <c r="FA266" s="29"/>
      <c r="FB266" s="93"/>
      <c r="FC266" s="29"/>
      <c r="FD266" s="29"/>
      <c r="FE266" s="29"/>
      <c r="FF266" s="29"/>
      <c r="FG266" s="29"/>
      <c r="FH266" s="29"/>
      <c r="FI266" s="93"/>
      <c r="FJ266" s="29"/>
      <c r="FK266" s="29"/>
      <c r="FL266" s="29"/>
      <c r="FM266" s="29"/>
      <c r="FN266" s="29"/>
      <c r="FO266" s="29"/>
      <c r="FP266" s="93"/>
      <c r="FQ266" s="29"/>
      <c r="FR266" s="29"/>
      <c r="FS266" s="29"/>
      <c r="FT266" s="29"/>
      <c r="FU266" s="29"/>
      <c r="FV266" s="29"/>
    </row>
    <row r="267" spans="1:178" x14ac:dyDescent="0.25">
      <c r="A267" t="str">
        <f ca="1">IF(_xll.TM1RPTELISCONSOLIDATED($D$28,$D267),IF(_xll.TM1RPTELLEV($D$28,$D267)&lt;=3,_xll.TM1RPTELLEV($D$28,$D267),"D"),"N")</f>
        <v>N</v>
      </c>
      <c r="B267" t="str">
        <f ca="1">_xll.DBRA(Server&amp;"Management_organization",$D267,$B$27)</f>
        <v>L</v>
      </c>
      <c r="C267">
        <v>1</v>
      </c>
      <c r="D267" s="2" t="s">
        <v>358</v>
      </c>
      <c r="E267" s="26"/>
      <c r="F267" s="26"/>
      <c r="G267" s="16">
        <f ca="1">_xll.DBRW($D$4,$E$7,$E$8,$E$9,$E$10,$E$12,$D267,$E$6,G$18,G$17)</f>
        <v>0.67844484000000005</v>
      </c>
      <c r="H267" s="16">
        <f ca="1">_xll.DBRW($D$4,$E$7,$E$8,$E$9,$E$10,$E$12,$D267,$E$6,H$18,H$17)</f>
        <v>-0.38496780999999997</v>
      </c>
      <c r="I267" s="16">
        <f ca="1">_xll.DBRW($D$4,$E$7,$E$8,$E$9,$E$10,$E$12,$D267,$E$6,I$18,I$17)</f>
        <v>0</v>
      </c>
      <c r="J267" s="26">
        <f ca="1">_xll.DBRW($D$4,$E$7,$E$8,$E$9,$E$10,$E$12,$D267,$E$6,J$18,J$17)</f>
        <v>0</v>
      </c>
      <c r="K267" s="26">
        <f ca="1">_xll.DBRW($D$4,$E$7,$E$8,$E$9,$E$10,$E$12,$D267,$E$6,K$18,K$17)</f>
        <v>0</v>
      </c>
      <c r="L267" s="26">
        <f ca="1">_xll.DBRW($D$4,$E$7,$E$8,$E$9,$E$10,$E$12,$D267,$E$6,L$18,L$17)</f>
        <v>0</v>
      </c>
      <c r="M267" s="26">
        <f ca="1">_xll.DBRW($D$4,$E$7,$E$8,$E$9,$E$10,$E$12,$D267,$E$6,M$18,M$17)</f>
        <v>0</v>
      </c>
      <c r="N267" s="16">
        <f ca="1">_xll.DBRW($D$4,$E$7,$E$8,$E$9,$E$10,$E$12,$D267,$E$6,N$18,N$17)</f>
        <v>1.0634126500000001</v>
      </c>
      <c r="O267" s="16">
        <f ca="1">_xll.DBRW($D$4,$E$7,$E$8,$E$9,$E$10,$E$12,$D267,$E$6,O$18,O$17)</f>
        <v>5.8466920299999998</v>
      </c>
      <c r="P267" s="74">
        <f ca="1">_xll.DBRW($D$4,$E$7,$E$8,$E$9,$E$10,$E$12,$D267,$E$6,P$18,P$17)</f>
        <v>-2.5874415399999995</v>
      </c>
      <c r="Q267" s="16">
        <f ca="1">_xll.DBRW($D$4,$E$7,$E$8,$E$9,$E$10,$E$12,$D267,$E$6,Q$18,Q$17)</f>
        <v>0.44254794449982338</v>
      </c>
      <c r="R267" s="16"/>
      <c r="S267" s="16"/>
      <c r="T267" s="16"/>
      <c r="U267" s="16"/>
      <c r="V267" s="16">
        <f ca="1">_xll.DBRW($D$4,$E$7,$E$8,$E$9,$E$10,$E$12,$D267,$E$6,V$18,V$17)</f>
        <v>-0.67660891000000001</v>
      </c>
      <c r="W267" s="16">
        <f ca="1">_xll.DBRW($D$4,$E$7,$E$8,$E$9,$E$10,$E$12,$D267,$E$6,W$18,W$17)</f>
        <v>0.11572508121314541</v>
      </c>
      <c r="X267" s="16"/>
      <c r="Y267" s="16"/>
      <c r="Z267" s="16"/>
      <c r="AA267" s="16"/>
      <c r="AB267" s="16">
        <f ca="1">_xll.DBRW($D$4,$E$7,$E$8,$E$9,$E$10,$E$12,$D267,$E$6,AB$18,AB$17)</f>
        <v>-0.42708765999999998</v>
      </c>
      <c r="AC267" s="16">
        <f ca="1">_xll.DBRW($D$4,$E$7,$E$8,$E$9,$E$10,$E$12,$D267,$E$6,AC$18,AC$17)</f>
        <v>7.3047743546020158E-2</v>
      </c>
      <c r="AD267" s="16"/>
      <c r="AE267" s="16"/>
      <c r="AF267" s="16"/>
      <c r="AG267" s="16"/>
      <c r="AH267" s="16">
        <f ca="1">_xll.DBRW($D$4,$E$7,$E$8,$E$9,$E$10,$E$12,$D267,$E$6,AH$18,AH$17)</f>
        <v>-2.3726480000000001E-2</v>
      </c>
      <c r="AI267" s="16">
        <f ca="1">_xll.DBRW($D$4,$E$7,$E$8,$E$9,$E$10,$E$12,$D267,$E$6,AI$18,AI$17)</f>
        <v>4.0581032621962816E-3</v>
      </c>
      <c r="AJ267" s="16"/>
      <c r="AK267" s="16"/>
      <c r="AL267" s="16"/>
      <c r="AM267" s="16"/>
      <c r="AN267" s="16">
        <f ca="1">_xll.DBRW($D$4,$E$7,$E$8,$E$9,$E$10,$E$12,$D267,$E$6,AN$18,AN$17)</f>
        <v>-1.0684147900000001</v>
      </c>
      <c r="AO267" s="16">
        <f ca="1">_xll.DBRW($D$4,$E$7,$E$8,$E$9,$E$10,$E$12,$D267,$E$6,AO$18,AO$17)</f>
        <v>0.18273833896464017</v>
      </c>
      <c r="AP267" s="16"/>
      <c r="AQ267" s="16"/>
      <c r="AR267" s="16"/>
      <c r="AS267" s="16"/>
      <c r="AT267" s="16">
        <f ca="1">_xll.DBRW($D$4,$E$7,$E$8,$E$9,$E$10,$E$12,$D267,$E$6,AT$18,AT$17)</f>
        <v>0.13439809</v>
      </c>
      <c r="AU267" s="16">
        <f ca="1">_xll.DBRW($D$4,$E$7,$E$8,$E$9,$E$10,$E$12,$D267,$E$6,AU$18,AU$17)</f>
        <v>0.10421223</v>
      </c>
      <c r="AV267" s="16">
        <f ca="1">_xll.DBRW($D$4,$E$7,$E$8,$E$9,$E$10,$E$12,$D267,$E$6,AV$18,AV$17)</f>
        <v>1.9682599999999999</v>
      </c>
      <c r="AW267" s="16">
        <f ca="1">_xll.DBRW($D$4,$E$7,$E$8,$E$9,$E$10,$E$12,$D267,$E$6,AW$18,AW$17)</f>
        <v>0.10421223</v>
      </c>
      <c r="AX267" s="16">
        <f ca="1">_xll.DBRW($D$4,$E$7,$E$8,$E$9,$E$10,$E$12,$D267,$E$6,AX$18,AX$17)</f>
        <v>0</v>
      </c>
      <c r="AY267" s="16">
        <f ca="1">_xll.DBRW($D$4,$E$7,$E$8,$E$9,$E$10,$E$12,$D267,$E$6,AY$18,AY$17)</f>
        <v>0</v>
      </c>
      <c r="AZ267" s="16">
        <f ca="1">_xll.DBRW($D$4,$E$7,$E$8,$E$9,$E$10,$E$12,$D267,$E$6,AZ$18,AZ$17)</f>
        <v>0</v>
      </c>
      <c r="BA267" s="16">
        <f ca="1">_xll.DBRW($D$4,$E$7,$E$8,$E$9,$E$10,$E$12,$D267,$E$6,BA$18,BA$17)</f>
        <v>0</v>
      </c>
      <c r="BB267" s="16">
        <f ca="1">_xll.DBRW($D$4,$E$7,$E$8,$E$9,$E$10,$E$12,$D267,$E$6,BB$18,BB$17)</f>
        <v>0.10421223</v>
      </c>
      <c r="BC267" s="16">
        <f ca="1">_xll.DBRW($D$4,$E$7,$E$8,$E$9,$E$10,$E$12,$D267,$E$6,BC$18,BC$17)</f>
        <v>0.10421223</v>
      </c>
      <c r="BD267" s="16">
        <f ca="1">_xll.DBRW($D$4,$E$7,$E$8,$E$9,$E$10,$E$12,$D267,$E$6,BD$18,BD$17)</f>
        <v>0</v>
      </c>
      <c r="BE267" s="16">
        <f ca="1">_xll.DBRW($D$4,$E$7,$E$8,$E$9,$E$10,$E$12,$D267,$E$6,BE$18,BE$17)</f>
        <v>0</v>
      </c>
      <c r="BF267" s="16">
        <f ca="1">_xll.DBRW($D$4,$E$7,$E$8,$E$9,$E$10,$E$12,$D267,$E$6,BF$18,BF$17)</f>
        <v>0</v>
      </c>
      <c r="BG267" s="26">
        <f ca="1">_xll.DBRW($D$4,$E$7,$E$8,$E$9,$E$10,$E$12,$D267,$E$6,BG$18,BG$17)</f>
        <v>0</v>
      </c>
      <c r="BH267" s="26">
        <f ca="1">_xll.DBRW($D$4,$E$7,$E$8,$E$9,$E$10,$E$12,$D267,$E$6,BH$18,BH$17)</f>
        <v>0</v>
      </c>
      <c r="BI267" s="26">
        <f ca="1">_xll.DBRW($D$4,$E$7,$E$8,$E$9,$E$10,$E$12,$D267,$E$6,BI$18,BI$17)</f>
        <v>0</v>
      </c>
      <c r="BJ267" s="26">
        <f ca="1">_xll.DBRW($D$4,$E$7,$E$8,$E$9,$E$10,$E$12,$D267,$E$6,BJ$18,BJ$17)</f>
        <v>0</v>
      </c>
      <c r="BK267" s="16">
        <f ca="1">_xll.DBRW($D$4,$E$7,$E$8,$E$9,$E$10,$E$12,$D267,$E$6,BK$18,BK$17)</f>
        <v>0</v>
      </c>
      <c r="BL267" s="16">
        <f ca="1">_xll.DBRW($D$4,$E$7,$E$8,$E$9,$E$10,$E$12,$D267,$E$6,BL$18,BL$17)</f>
        <v>0</v>
      </c>
      <c r="BM267" s="16">
        <f ca="1">_xll.DBRW($D$4,$E$7,$E$8,$E$9,$E$10,$E$12,$D267,$E$6,BM$18,BM$17)</f>
        <v>0</v>
      </c>
      <c r="BN267" s="16">
        <f ca="1">_xll.DBRW($D$4,$E$7,$E$8,$E$9,$E$10,$E$12,$D267,$E$6,BN$18,BN$17)</f>
        <v>0</v>
      </c>
      <c r="BO267" s="16"/>
      <c r="BP267" s="16"/>
      <c r="BQ267" s="16"/>
      <c r="BR267" s="16"/>
      <c r="BS267" s="16">
        <f ca="1">_xll.DBRW($D$4,$E$7,$E$8,$E$9,$E$10,$E$12,$D267,$E$6,BS$18,BS$17)</f>
        <v>0</v>
      </c>
      <c r="BT267" s="16">
        <f ca="1">_xll.DBRW($D$4,$E$7,$E$8,$E$9,$E$10,$E$12,$D267,$E$6,BT$18,BT$17)</f>
        <v>0</v>
      </c>
      <c r="BU267" s="16"/>
      <c r="BV267" s="16"/>
      <c r="BW267" s="16"/>
      <c r="BX267" s="16"/>
      <c r="BY267" s="16">
        <f ca="1">_xll.DBRW($D$4,$E$7,$E$8,$E$9,$E$10,$E$12,$D267,$E$6,BY$18,BY$17)</f>
        <v>0</v>
      </c>
      <c r="BZ267" s="16">
        <f ca="1">_xll.DBRW($D$4,$E$7,$E$8,$E$9,$E$10,$E$12,$D267,$E$6,BZ$18,BZ$17)</f>
        <v>0</v>
      </c>
      <c r="CA267" s="16"/>
      <c r="CB267" s="16"/>
      <c r="CC267" s="16"/>
      <c r="CD267" s="16"/>
      <c r="CE267" s="16">
        <f ca="1">_xll.DBRW($D$4,$E$7,$E$8,$E$9,$E$10,$E$12,$D267,$E$6,CE$18,CE$17)</f>
        <v>0</v>
      </c>
      <c r="CF267" s="16">
        <f ca="1">_xll.DBRW($D$4,$E$7,$E$8,$E$9,$E$10,$E$12,$D267,$E$6,CF$18,CF$17)</f>
        <v>0</v>
      </c>
      <c r="CG267" s="16"/>
      <c r="CH267" s="16"/>
      <c r="CI267" s="16"/>
      <c r="CJ267" s="16"/>
      <c r="CK267" s="16">
        <f ca="1">_xll.DBRW($D$4,$E$7,$E$8,$E$9,$E$10,$E$12,$D267,$E$6,CK$18,CK$17)</f>
        <v>0</v>
      </c>
      <c r="CL267" s="16">
        <f ca="1">_xll.DBRW($D$4,$E$7,$E$8,$E$9,$E$10,$E$12,$D267,$E$6,CL$18,CL$17)</f>
        <v>0</v>
      </c>
      <c r="CM267" s="16"/>
      <c r="CN267" s="16"/>
      <c r="CO267" s="16"/>
      <c r="CP267" s="16"/>
      <c r="CQ267" s="16">
        <f ca="1">_xll.DBRW($D$4,$E$7,$E$8,$E$9,$E$10,$E$12,$D267,$E$6,CQ$18,CQ$17)</f>
        <v>0</v>
      </c>
      <c r="CR267" s="16">
        <f ca="1">_xll.DBRW($D$4,$E$7,$E$8,$E$9,$E$10,$E$12,$D267,$E$6,CR$18,CR$17)</f>
        <v>0</v>
      </c>
      <c r="CS267" s="16">
        <f ca="1">_xll.DBRW($D$4,$E$7,$E$8,$E$9,$E$10,$E$12,$D267,$E$6,CS$18,CS$17)</f>
        <v>0</v>
      </c>
      <c r="CT267" s="16">
        <f ca="1">_xll.DBRW($D$4,$E$7,$E$8,$E$9,$E$10,$E$12,$D267,$E$6,CT$18,CT$17)</f>
        <v>0</v>
      </c>
      <c r="CU267" s="16">
        <f ca="1">_xll.DBRW($D$4,$E$7,$E$8,$E$9,$E$10,$E$12,$D267,$E$6,CU$18,CU$17)</f>
        <v>0</v>
      </c>
      <c r="CV267" s="16">
        <f ca="1">_xll.DBRW($D$4,$E$7,$E$8,$E$9,$E$10,$E$12,$D267,$E$6,CV$18,CV$17)</f>
        <v>0</v>
      </c>
      <c r="CW267" s="16">
        <f ca="1">_xll.DBRW($D$4,$E$7,$E$8,$E$9,$E$10,$E$12,$D267,$E$6,CW$18,CW$17)</f>
        <v>0</v>
      </c>
      <c r="CX267" s="16">
        <f ca="1">_xll.DBRW($D$4,$E$7,$E$8,$E$9,$E$10,$E$12,$D267,$E$6,CX$18,CX$17)</f>
        <v>0</v>
      </c>
      <c r="CY267" s="16">
        <f ca="1">_xll.DBRW($D$4,$E$7,$E$8,$E$9,$E$10,$E$12,$D267,$E$6,CY$18,CY$17)</f>
        <v>0</v>
      </c>
      <c r="CZ267" s="16">
        <f ca="1">_xll.DBRW($D$4,$E$7,$E$8,$E$9,$E$10,$E$12,$D267,$E$6,CZ$18,CZ$17)</f>
        <v>0</v>
      </c>
      <c r="DA267" s="26">
        <f t="shared" ca="1" si="146"/>
        <v>0.67844484000000005</v>
      </c>
      <c r="DB267" s="26">
        <f t="shared" ca="1" si="147"/>
        <v>-0.38496780999999997</v>
      </c>
      <c r="DC267" s="26">
        <f t="shared" ca="1" si="148"/>
        <v>0</v>
      </c>
      <c r="DD267" s="26">
        <f t="shared" ca="1" si="149"/>
        <v>0</v>
      </c>
      <c r="DE267" s="26">
        <f t="shared" ca="1" si="150"/>
        <v>0</v>
      </c>
      <c r="DF267" s="26">
        <f t="shared" ca="1" si="151"/>
        <v>0</v>
      </c>
      <c r="DG267" s="26">
        <f t="shared" ca="1" si="152"/>
        <v>0</v>
      </c>
      <c r="DH267" s="26">
        <f t="shared" ca="1" si="153"/>
        <v>1.0634126500000001</v>
      </c>
      <c r="DI267" s="26">
        <f t="shared" ca="1" si="154"/>
        <v>5.8466920299999998</v>
      </c>
      <c r="DJ267" s="26">
        <f t="shared" ca="1" si="155"/>
        <v>-2.5874415399999995</v>
      </c>
      <c r="DK267" s="26">
        <f t="shared" ca="1" si="156"/>
        <v>0.44254794449982338</v>
      </c>
      <c r="DL267" s="26"/>
      <c r="DM267" s="26"/>
      <c r="DN267" s="26"/>
      <c r="DO267" s="26"/>
      <c r="DP267" s="26">
        <f t="shared" ca="1" si="157"/>
        <v>-0.67660891000000001</v>
      </c>
      <c r="DQ267" s="26">
        <f t="shared" ca="1" si="158"/>
        <v>0.11572508121314541</v>
      </c>
      <c r="DR267" s="26"/>
      <c r="DS267" s="26"/>
      <c r="DT267" s="26"/>
      <c r="DU267" s="26"/>
      <c r="DV267" s="26">
        <f t="shared" ca="1" si="159"/>
        <v>-0.42708765999999998</v>
      </c>
      <c r="DW267" s="26">
        <f t="shared" ca="1" si="160"/>
        <v>7.3047743546020158E-2</v>
      </c>
      <c r="DX267" s="26"/>
      <c r="DY267" s="26"/>
      <c r="DZ267" s="26"/>
      <c r="EA267" s="26"/>
      <c r="EB267" s="26">
        <f t="shared" ca="1" si="161"/>
        <v>-2.3726480000000001E-2</v>
      </c>
      <c r="EC267" s="26">
        <f t="shared" ca="1" si="162"/>
        <v>4.0581032621962816E-3</v>
      </c>
      <c r="ED267" s="26"/>
      <c r="EE267" s="26"/>
      <c r="EF267" s="26"/>
      <c r="EG267" s="26"/>
      <c r="EH267" s="26">
        <f t="shared" ca="1" si="163"/>
        <v>-1.0684147900000001</v>
      </c>
      <c r="EI267" s="29">
        <f t="shared" ca="1" si="164"/>
        <v>0.18273833896464017</v>
      </c>
      <c r="EJ267" s="29"/>
      <c r="EK267" s="29"/>
      <c r="EL267" s="29"/>
      <c r="EM267" s="29"/>
      <c r="EN267" s="93"/>
      <c r="EO267" s="29"/>
      <c r="EP267" s="29"/>
      <c r="EQ267" s="29"/>
      <c r="ER267" s="29"/>
      <c r="ES267" s="29"/>
      <c r="ET267" s="29"/>
      <c r="EU267" s="93"/>
      <c r="EV267" s="29"/>
      <c r="EW267" s="29"/>
      <c r="EX267" s="29"/>
      <c r="EY267" s="29"/>
      <c r="EZ267" s="29"/>
      <c r="FA267" s="29"/>
      <c r="FB267" s="93"/>
      <c r="FC267" s="29"/>
      <c r="FD267" s="29"/>
      <c r="FE267" s="29"/>
      <c r="FF267" s="29"/>
      <c r="FG267" s="29"/>
      <c r="FH267" s="29"/>
      <c r="FI267" s="93"/>
      <c r="FJ267" s="29"/>
      <c r="FK267" s="29"/>
      <c r="FL267" s="29"/>
      <c r="FM267" s="29"/>
      <c r="FN267" s="29"/>
      <c r="FO267" s="29"/>
      <c r="FP267" s="93"/>
      <c r="FQ267" s="29"/>
      <c r="FR267" s="29"/>
      <c r="FS267" s="29"/>
      <c r="FT267" s="29"/>
      <c r="FU267" s="29"/>
      <c r="FV267" s="29"/>
    </row>
    <row r="268" spans="1:178" x14ac:dyDescent="0.25">
      <c r="A268" t="str">
        <f ca="1">IF(_xll.TM1RPTELISCONSOLIDATED($D$28,$D268),IF(_xll.TM1RPTELLEV($D$28,$D268)&lt;=3,_xll.TM1RPTELLEV($D$28,$D268),"D"),"N")</f>
        <v>N</v>
      </c>
      <c r="B268" t="str">
        <f ca="1">_xll.DBRA(Server&amp;"Management_organization",$D268,$B$27)</f>
        <v>L</v>
      </c>
      <c r="C268">
        <v>1</v>
      </c>
      <c r="D268" s="2" t="s">
        <v>359</v>
      </c>
      <c r="E268" s="26"/>
      <c r="F268" s="26"/>
      <c r="G268" s="16">
        <f ca="1">_xll.DBRW($D$4,$E$7,$E$8,$E$9,$E$10,$E$12,$D268,$E$6,G$18,G$17)</f>
        <v>0.24371456999999916</v>
      </c>
      <c r="H268" s="16">
        <f ca="1">_xll.DBRW($D$4,$E$7,$E$8,$E$9,$E$10,$E$12,$D268,$E$6,H$18,H$17)</f>
        <v>-0.28822119999999996</v>
      </c>
      <c r="I268" s="16">
        <f ca="1">_xll.DBRW($D$4,$E$7,$E$8,$E$9,$E$10,$E$12,$D268,$E$6,I$18,I$17)</f>
        <v>0</v>
      </c>
      <c r="J268" s="26">
        <f ca="1">_xll.DBRW($D$4,$E$7,$E$8,$E$9,$E$10,$E$12,$D268,$E$6,J$18,J$17)</f>
        <v>0</v>
      </c>
      <c r="K268" s="26">
        <f ca="1">_xll.DBRW($D$4,$E$7,$E$8,$E$9,$E$10,$E$12,$D268,$E$6,K$18,K$17)</f>
        <v>0</v>
      </c>
      <c r="L268" s="26">
        <f ca="1">_xll.DBRW($D$4,$E$7,$E$8,$E$9,$E$10,$E$12,$D268,$E$6,L$18,L$17)</f>
        <v>0</v>
      </c>
      <c r="M268" s="26">
        <f ca="1">_xll.DBRW($D$4,$E$7,$E$8,$E$9,$E$10,$E$12,$D268,$E$6,M$18,M$17)</f>
        <v>0</v>
      </c>
      <c r="N268" s="16">
        <f ca="1">_xll.DBRW($D$4,$E$7,$E$8,$E$9,$E$10,$E$12,$D268,$E$6,N$18,N$17)</f>
        <v>0.53193576999999914</v>
      </c>
      <c r="O268" s="16">
        <f ca="1">_xll.DBRW($D$4,$E$7,$E$8,$E$9,$E$10,$E$12,$D268,$E$6,O$18,O$17)</f>
        <v>6.0824950899999992</v>
      </c>
      <c r="P268" s="74">
        <f ca="1">_xll.DBRW($D$4,$E$7,$E$8,$E$9,$E$10,$E$12,$D268,$E$6,P$18,P$17)</f>
        <v>-2.7448893899999991</v>
      </c>
      <c r="Q268" s="16">
        <f ca="1">_xll.DBRW($D$4,$E$7,$E$8,$E$9,$E$10,$E$12,$D268,$E$6,Q$18,Q$17)</f>
        <v>0.45127687723295795</v>
      </c>
      <c r="R268" s="16"/>
      <c r="S268" s="16"/>
      <c r="T268" s="16"/>
      <c r="U268" s="16"/>
      <c r="V268" s="16">
        <f ca="1">_xll.DBRW($D$4,$E$7,$E$8,$E$9,$E$10,$E$12,$D268,$E$6,V$18,V$17)</f>
        <v>-0.67424339</v>
      </c>
      <c r="W268" s="16">
        <f ca="1">_xll.DBRW($D$4,$E$7,$E$8,$E$9,$E$10,$E$12,$D268,$E$6,W$18,W$17)</f>
        <v>0.11084980423716218</v>
      </c>
      <c r="X268" s="16"/>
      <c r="Y268" s="16"/>
      <c r="Z268" s="16"/>
      <c r="AA268" s="16"/>
      <c r="AB268" s="16">
        <f ca="1">_xll.DBRW($D$4,$E$7,$E$8,$E$9,$E$10,$E$12,$D268,$E$6,AB$18,AB$17)</f>
        <v>-0.4781644000000001</v>
      </c>
      <c r="AC268" s="16">
        <f ca="1">_xll.DBRW($D$4,$E$7,$E$8,$E$9,$E$10,$E$12,$D268,$E$6,AC$18,AC$17)</f>
        <v>7.861319950527082E-2</v>
      </c>
      <c r="AD268" s="16"/>
      <c r="AE268" s="16"/>
      <c r="AF268" s="16"/>
      <c r="AG268" s="16"/>
      <c r="AH268" s="16">
        <f ca="1">_xll.DBRW($D$4,$E$7,$E$8,$E$9,$E$10,$E$12,$D268,$E$6,AH$18,AH$17)</f>
        <v>-2.9559359999999996E-2</v>
      </c>
      <c r="AI268" s="16">
        <f ca="1">_xll.DBRW($D$4,$E$7,$E$8,$E$9,$E$10,$E$12,$D268,$E$6,AI$18,AI$17)</f>
        <v>4.8597425172767382E-3</v>
      </c>
      <c r="AJ268" s="16"/>
      <c r="AK268" s="16"/>
      <c r="AL268" s="16"/>
      <c r="AM268" s="16"/>
      <c r="AN268" s="16">
        <f ca="1">_xll.DBRW($D$4,$E$7,$E$8,$E$9,$E$10,$E$12,$D268,$E$6,AN$18,AN$17)</f>
        <v>-1.6237027800000003</v>
      </c>
      <c r="AO268" s="16">
        <f ca="1">_xll.DBRW($D$4,$E$7,$E$8,$E$9,$E$10,$E$12,$D268,$E$6,AO$18,AO$17)</f>
        <v>0.26694682954524185</v>
      </c>
      <c r="AP268" s="16"/>
      <c r="AQ268" s="16"/>
      <c r="AR268" s="16"/>
      <c r="AS268" s="16"/>
      <c r="AT268" s="16">
        <f ca="1">_xll.DBRW($D$4,$E$7,$E$8,$E$9,$E$10,$E$12,$D268,$E$6,AT$18,AT$17)</f>
        <v>0.13982036</v>
      </c>
      <c r="AU268" s="16">
        <f ca="1">_xll.DBRW($D$4,$E$7,$E$8,$E$9,$E$10,$E$12,$D268,$E$6,AU$18,AU$17)</f>
        <v>0.10858341999999999</v>
      </c>
      <c r="AV268" s="16">
        <f ca="1">_xll.DBRW($D$4,$E$7,$E$8,$E$9,$E$10,$E$12,$D268,$E$6,AV$18,AV$17)</f>
        <v>2.3698679999999999</v>
      </c>
      <c r="AW268" s="16">
        <f ca="1">_xll.DBRW($D$4,$E$7,$E$8,$E$9,$E$10,$E$12,$D268,$E$6,AW$18,AW$17)</f>
        <v>0.10858341999999999</v>
      </c>
      <c r="AX268" s="16">
        <f ca="1">_xll.DBRW($D$4,$E$7,$E$8,$E$9,$E$10,$E$12,$D268,$E$6,AX$18,AX$17)</f>
        <v>0</v>
      </c>
      <c r="AY268" s="16">
        <f ca="1">_xll.DBRW($D$4,$E$7,$E$8,$E$9,$E$10,$E$12,$D268,$E$6,AY$18,AY$17)</f>
        <v>0</v>
      </c>
      <c r="AZ268" s="16">
        <f ca="1">_xll.DBRW($D$4,$E$7,$E$8,$E$9,$E$10,$E$12,$D268,$E$6,AZ$18,AZ$17)</f>
        <v>0</v>
      </c>
      <c r="BA268" s="16">
        <f ca="1">_xll.DBRW($D$4,$E$7,$E$8,$E$9,$E$10,$E$12,$D268,$E$6,BA$18,BA$17)</f>
        <v>0</v>
      </c>
      <c r="BB268" s="16">
        <f ca="1">_xll.DBRW($D$4,$E$7,$E$8,$E$9,$E$10,$E$12,$D268,$E$6,BB$18,BB$17)</f>
        <v>0.10858341999999999</v>
      </c>
      <c r="BC268" s="16">
        <f ca="1">_xll.DBRW($D$4,$E$7,$E$8,$E$9,$E$10,$E$12,$D268,$E$6,BC$18,BC$17)</f>
        <v>0.10858341999999999</v>
      </c>
      <c r="BD268" s="16">
        <f ca="1">_xll.DBRW($D$4,$E$7,$E$8,$E$9,$E$10,$E$12,$D268,$E$6,BD$18,BD$17)</f>
        <v>0</v>
      </c>
      <c r="BE268" s="16">
        <f ca="1">_xll.DBRW($D$4,$E$7,$E$8,$E$9,$E$10,$E$12,$D268,$E$6,BE$18,BE$17)</f>
        <v>0</v>
      </c>
      <c r="BF268" s="16">
        <f ca="1">_xll.DBRW($D$4,$E$7,$E$8,$E$9,$E$10,$E$12,$D268,$E$6,BF$18,BF$17)</f>
        <v>0</v>
      </c>
      <c r="BG268" s="26">
        <f ca="1">_xll.DBRW($D$4,$E$7,$E$8,$E$9,$E$10,$E$12,$D268,$E$6,BG$18,BG$17)</f>
        <v>0</v>
      </c>
      <c r="BH268" s="26">
        <f ca="1">_xll.DBRW($D$4,$E$7,$E$8,$E$9,$E$10,$E$12,$D268,$E$6,BH$18,BH$17)</f>
        <v>0</v>
      </c>
      <c r="BI268" s="26">
        <f ca="1">_xll.DBRW($D$4,$E$7,$E$8,$E$9,$E$10,$E$12,$D268,$E$6,BI$18,BI$17)</f>
        <v>0</v>
      </c>
      <c r="BJ268" s="26">
        <f ca="1">_xll.DBRW($D$4,$E$7,$E$8,$E$9,$E$10,$E$12,$D268,$E$6,BJ$18,BJ$17)</f>
        <v>0</v>
      </c>
      <c r="BK268" s="16">
        <f ca="1">_xll.DBRW($D$4,$E$7,$E$8,$E$9,$E$10,$E$12,$D268,$E$6,BK$18,BK$17)</f>
        <v>0</v>
      </c>
      <c r="BL268" s="16">
        <f ca="1">_xll.DBRW($D$4,$E$7,$E$8,$E$9,$E$10,$E$12,$D268,$E$6,BL$18,BL$17)</f>
        <v>0</v>
      </c>
      <c r="BM268" s="16">
        <f ca="1">_xll.DBRW($D$4,$E$7,$E$8,$E$9,$E$10,$E$12,$D268,$E$6,BM$18,BM$17)</f>
        <v>0</v>
      </c>
      <c r="BN268" s="16">
        <f ca="1">_xll.DBRW($D$4,$E$7,$E$8,$E$9,$E$10,$E$12,$D268,$E$6,BN$18,BN$17)</f>
        <v>0</v>
      </c>
      <c r="BO268" s="16"/>
      <c r="BP268" s="16"/>
      <c r="BQ268" s="16"/>
      <c r="BR268" s="16"/>
      <c r="BS268" s="16">
        <f ca="1">_xll.DBRW($D$4,$E$7,$E$8,$E$9,$E$10,$E$12,$D268,$E$6,BS$18,BS$17)</f>
        <v>0</v>
      </c>
      <c r="BT268" s="16">
        <f ca="1">_xll.DBRW($D$4,$E$7,$E$8,$E$9,$E$10,$E$12,$D268,$E$6,BT$18,BT$17)</f>
        <v>0</v>
      </c>
      <c r="BU268" s="16"/>
      <c r="BV268" s="16"/>
      <c r="BW268" s="16"/>
      <c r="BX268" s="16"/>
      <c r="BY268" s="16">
        <f ca="1">_xll.DBRW($D$4,$E$7,$E$8,$E$9,$E$10,$E$12,$D268,$E$6,BY$18,BY$17)</f>
        <v>0</v>
      </c>
      <c r="BZ268" s="16">
        <f ca="1">_xll.DBRW($D$4,$E$7,$E$8,$E$9,$E$10,$E$12,$D268,$E$6,BZ$18,BZ$17)</f>
        <v>0</v>
      </c>
      <c r="CA268" s="16"/>
      <c r="CB268" s="16"/>
      <c r="CC268" s="16"/>
      <c r="CD268" s="16"/>
      <c r="CE268" s="16">
        <f ca="1">_xll.DBRW($D$4,$E$7,$E$8,$E$9,$E$10,$E$12,$D268,$E$6,CE$18,CE$17)</f>
        <v>0</v>
      </c>
      <c r="CF268" s="16">
        <f ca="1">_xll.DBRW($D$4,$E$7,$E$8,$E$9,$E$10,$E$12,$D268,$E$6,CF$18,CF$17)</f>
        <v>0</v>
      </c>
      <c r="CG268" s="16"/>
      <c r="CH268" s="16"/>
      <c r="CI268" s="16"/>
      <c r="CJ268" s="16"/>
      <c r="CK268" s="16">
        <f ca="1">_xll.DBRW($D$4,$E$7,$E$8,$E$9,$E$10,$E$12,$D268,$E$6,CK$18,CK$17)</f>
        <v>0</v>
      </c>
      <c r="CL268" s="16">
        <f ca="1">_xll.DBRW($D$4,$E$7,$E$8,$E$9,$E$10,$E$12,$D268,$E$6,CL$18,CL$17)</f>
        <v>0</v>
      </c>
      <c r="CM268" s="16"/>
      <c r="CN268" s="16"/>
      <c r="CO268" s="16"/>
      <c r="CP268" s="16"/>
      <c r="CQ268" s="16">
        <f ca="1">_xll.DBRW($D$4,$E$7,$E$8,$E$9,$E$10,$E$12,$D268,$E$6,CQ$18,CQ$17)</f>
        <v>0</v>
      </c>
      <c r="CR268" s="16">
        <f ca="1">_xll.DBRW($D$4,$E$7,$E$8,$E$9,$E$10,$E$12,$D268,$E$6,CR$18,CR$17)</f>
        <v>0</v>
      </c>
      <c r="CS268" s="16">
        <f ca="1">_xll.DBRW($D$4,$E$7,$E$8,$E$9,$E$10,$E$12,$D268,$E$6,CS$18,CS$17)</f>
        <v>0</v>
      </c>
      <c r="CT268" s="16">
        <f ca="1">_xll.DBRW($D$4,$E$7,$E$8,$E$9,$E$10,$E$12,$D268,$E$6,CT$18,CT$17)</f>
        <v>0</v>
      </c>
      <c r="CU268" s="16">
        <f ca="1">_xll.DBRW($D$4,$E$7,$E$8,$E$9,$E$10,$E$12,$D268,$E$6,CU$18,CU$17)</f>
        <v>0</v>
      </c>
      <c r="CV268" s="16">
        <f ca="1">_xll.DBRW($D$4,$E$7,$E$8,$E$9,$E$10,$E$12,$D268,$E$6,CV$18,CV$17)</f>
        <v>0</v>
      </c>
      <c r="CW268" s="16">
        <f ca="1">_xll.DBRW($D$4,$E$7,$E$8,$E$9,$E$10,$E$12,$D268,$E$6,CW$18,CW$17)</f>
        <v>0</v>
      </c>
      <c r="CX268" s="16">
        <f ca="1">_xll.DBRW($D$4,$E$7,$E$8,$E$9,$E$10,$E$12,$D268,$E$6,CX$18,CX$17)</f>
        <v>0</v>
      </c>
      <c r="CY268" s="16">
        <f ca="1">_xll.DBRW($D$4,$E$7,$E$8,$E$9,$E$10,$E$12,$D268,$E$6,CY$18,CY$17)</f>
        <v>0</v>
      </c>
      <c r="CZ268" s="16">
        <f ca="1">_xll.DBRW($D$4,$E$7,$E$8,$E$9,$E$10,$E$12,$D268,$E$6,CZ$18,CZ$17)</f>
        <v>0</v>
      </c>
      <c r="DA268" s="26">
        <f t="shared" ca="1" si="146"/>
        <v>0.24371456999999916</v>
      </c>
      <c r="DB268" s="26">
        <f t="shared" ca="1" si="147"/>
        <v>-0.28822119999999996</v>
      </c>
      <c r="DC268" s="26">
        <f t="shared" ca="1" si="148"/>
        <v>0</v>
      </c>
      <c r="DD268" s="26">
        <f t="shared" ca="1" si="149"/>
        <v>0</v>
      </c>
      <c r="DE268" s="26">
        <f t="shared" ca="1" si="150"/>
        <v>0</v>
      </c>
      <c r="DF268" s="26">
        <f t="shared" ca="1" si="151"/>
        <v>0</v>
      </c>
      <c r="DG268" s="26">
        <f t="shared" ca="1" si="152"/>
        <v>0</v>
      </c>
      <c r="DH268" s="26">
        <f t="shared" ca="1" si="153"/>
        <v>0.53193576999999914</v>
      </c>
      <c r="DI268" s="26">
        <f t="shared" ca="1" si="154"/>
        <v>6.0824950899999992</v>
      </c>
      <c r="DJ268" s="26">
        <f t="shared" ca="1" si="155"/>
        <v>-2.7448893899999991</v>
      </c>
      <c r="DK268" s="26">
        <f t="shared" ca="1" si="156"/>
        <v>0.45127687723295795</v>
      </c>
      <c r="DL268" s="26"/>
      <c r="DM268" s="26"/>
      <c r="DN268" s="26"/>
      <c r="DO268" s="26"/>
      <c r="DP268" s="26">
        <f t="shared" ca="1" si="157"/>
        <v>-0.67424339</v>
      </c>
      <c r="DQ268" s="26">
        <f t="shared" ca="1" si="158"/>
        <v>0.11084980423716218</v>
      </c>
      <c r="DR268" s="26"/>
      <c r="DS268" s="26"/>
      <c r="DT268" s="26"/>
      <c r="DU268" s="26"/>
      <c r="DV268" s="26">
        <f t="shared" ca="1" si="159"/>
        <v>-0.4781644000000001</v>
      </c>
      <c r="DW268" s="26">
        <f t="shared" ca="1" si="160"/>
        <v>7.861319950527082E-2</v>
      </c>
      <c r="DX268" s="26"/>
      <c r="DY268" s="26"/>
      <c r="DZ268" s="26"/>
      <c r="EA268" s="26"/>
      <c r="EB268" s="26">
        <f t="shared" ca="1" si="161"/>
        <v>-2.9559359999999996E-2</v>
      </c>
      <c r="EC268" s="26">
        <f t="shared" ca="1" si="162"/>
        <v>4.8597425172767382E-3</v>
      </c>
      <c r="ED268" s="26"/>
      <c r="EE268" s="26"/>
      <c r="EF268" s="26"/>
      <c r="EG268" s="26"/>
      <c r="EH268" s="26">
        <f t="shared" ca="1" si="163"/>
        <v>-1.6237027800000003</v>
      </c>
      <c r="EI268" s="29">
        <f t="shared" ca="1" si="164"/>
        <v>0.26694682954524185</v>
      </c>
      <c r="EJ268" s="29"/>
      <c r="EK268" s="29"/>
      <c r="EL268" s="29"/>
      <c r="EM268" s="29"/>
      <c r="EN268" s="93"/>
      <c r="EO268" s="29"/>
      <c r="EP268" s="29"/>
      <c r="EQ268" s="29"/>
      <c r="ER268" s="29"/>
      <c r="ES268" s="29"/>
      <c r="ET268" s="29"/>
      <c r="EU268" s="93"/>
      <c r="EV268" s="29"/>
      <c r="EW268" s="29"/>
      <c r="EX268" s="29"/>
      <c r="EY268" s="29"/>
      <c r="EZ268" s="29"/>
      <c r="FA268" s="29"/>
      <c r="FB268" s="93"/>
      <c r="FC268" s="29"/>
      <c r="FD268" s="29"/>
      <c r="FE268" s="29"/>
      <c r="FF268" s="29"/>
      <c r="FG268" s="29"/>
      <c r="FH268" s="29"/>
      <c r="FI268" s="93"/>
      <c r="FJ268" s="29"/>
      <c r="FK268" s="29"/>
      <c r="FL268" s="29"/>
      <c r="FM268" s="29"/>
      <c r="FN268" s="29"/>
      <c r="FO268" s="29"/>
      <c r="FP268" s="93"/>
      <c r="FQ268" s="29"/>
      <c r="FR268" s="29"/>
      <c r="FS268" s="29"/>
      <c r="FT268" s="29"/>
      <c r="FU268" s="29"/>
      <c r="FV268" s="29"/>
    </row>
    <row r="269" spans="1:178" x14ac:dyDescent="0.25">
      <c r="A269" t="str">
        <f ca="1">IF(_xll.TM1RPTELISCONSOLIDATED($D$28,$D269),IF(_xll.TM1RPTELLEV($D$28,$D269)&lt;=3,_xll.TM1RPTELLEV($D$28,$D269),"D"),"N")</f>
        <v>N</v>
      </c>
      <c r="B269" t="str">
        <f ca="1">_xll.DBRA(Server&amp;"Management_organization",$D269,$B$27)</f>
        <v>L</v>
      </c>
      <c r="C269">
        <v>1</v>
      </c>
      <c r="D269" s="2" t="s">
        <v>360</v>
      </c>
      <c r="E269" s="26"/>
      <c r="F269" s="26"/>
      <c r="G269" s="16">
        <f ca="1">_xll.DBRW($D$4,$E$7,$E$8,$E$9,$E$10,$E$12,$D269,$E$6,G$18,G$17)</f>
        <v>0.44262099999999965</v>
      </c>
      <c r="H269" s="16">
        <f ca="1">_xll.DBRW($D$4,$E$7,$E$8,$E$9,$E$10,$E$12,$D269,$E$6,H$18,H$17)</f>
        <v>-0.12999937</v>
      </c>
      <c r="I269" s="16">
        <f ca="1">_xll.DBRW($D$4,$E$7,$E$8,$E$9,$E$10,$E$12,$D269,$E$6,I$18,I$17)</f>
        <v>0</v>
      </c>
      <c r="J269" s="26">
        <f ca="1">_xll.DBRW($D$4,$E$7,$E$8,$E$9,$E$10,$E$12,$D269,$E$6,J$18,J$17)</f>
        <v>0</v>
      </c>
      <c r="K269" s="26">
        <f ca="1">_xll.DBRW($D$4,$E$7,$E$8,$E$9,$E$10,$E$12,$D269,$E$6,K$18,K$17)</f>
        <v>0</v>
      </c>
      <c r="L269" s="26">
        <f ca="1">_xll.DBRW($D$4,$E$7,$E$8,$E$9,$E$10,$E$12,$D269,$E$6,L$18,L$17)</f>
        <v>0</v>
      </c>
      <c r="M269" s="26">
        <f ca="1">_xll.DBRW($D$4,$E$7,$E$8,$E$9,$E$10,$E$12,$D269,$E$6,M$18,M$17)</f>
        <v>0</v>
      </c>
      <c r="N269" s="16">
        <f ca="1">_xll.DBRW($D$4,$E$7,$E$8,$E$9,$E$10,$E$12,$D269,$E$6,N$18,N$17)</f>
        <v>0.57262036999999966</v>
      </c>
      <c r="O269" s="16">
        <f ca="1">_xll.DBRW($D$4,$E$7,$E$8,$E$9,$E$10,$E$12,$D269,$E$6,O$18,O$17)</f>
        <v>3.3352904999999997</v>
      </c>
      <c r="P269" s="74">
        <f ca="1">_xll.DBRW($D$4,$E$7,$E$8,$E$9,$E$10,$E$12,$D269,$E$6,P$18,P$17)</f>
        <v>-1.2006537600000002</v>
      </c>
      <c r="Q269" s="16">
        <f ca="1">_xll.DBRW($D$4,$E$7,$E$8,$E$9,$E$10,$E$12,$D269,$E$6,Q$18,Q$17)</f>
        <v>0.35998476294643611</v>
      </c>
      <c r="R269" s="16"/>
      <c r="S269" s="16"/>
      <c r="T269" s="16"/>
      <c r="U269" s="16"/>
      <c r="V269" s="16">
        <f ca="1">_xll.DBRW($D$4,$E$7,$E$8,$E$9,$E$10,$E$12,$D269,$E$6,V$18,V$17)</f>
        <v>-0.46375492000000007</v>
      </c>
      <c r="W269" s="16">
        <f ca="1">_xll.DBRW($D$4,$E$7,$E$8,$E$9,$E$10,$E$12,$D269,$E$6,W$18,W$17)</f>
        <v>0.13904483582464558</v>
      </c>
      <c r="X269" s="16"/>
      <c r="Y269" s="16"/>
      <c r="Z269" s="16"/>
      <c r="AA269" s="16"/>
      <c r="AB269" s="16">
        <f ca="1">_xll.DBRW($D$4,$E$7,$E$8,$E$9,$E$10,$E$12,$D269,$E$6,AB$18,AB$17)</f>
        <v>0</v>
      </c>
      <c r="AC269" s="16">
        <f ca="1">_xll.DBRW($D$4,$E$7,$E$8,$E$9,$E$10,$E$12,$D269,$E$6,AC$18,AC$17)</f>
        <v>0</v>
      </c>
      <c r="AD269" s="16"/>
      <c r="AE269" s="16"/>
      <c r="AF269" s="16"/>
      <c r="AG269" s="16"/>
      <c r="AH269" s="16">
        <f ca="1">_xll.DBRW($D$4,$E$7,$E$8,$E$9,$E$10,$E$12,$D269,$E$6,AH$18,AH$17)</f>
        <v>-2.0205219999999999E-2</v>
      </c>
      <c r="AI269" s="16">
        <f ca="1">_xll.DBRW($D$4,$E$7,$E$8,$E$9,$E$10,$E$12,$D269,$E$6,AI$18,AI$17)</f>
        <v>6.0580090399921689E-3</v>
      </c>
      <c r="AJ269" s="16"/>
      <c r="AK269" s="16"/>
      <c r="AL269" s="16"/>
      <c r="AM269" s="16"/>
      <c r="AN269" s="16">
        <f ca="1">_xll.DBRW($D$4,$E$7,$E$8,$E$9,$E$10,$E$12,$D269,$E$6,AN$18,AN$17)</f>
        <v>-1.0780562300000001</v>
      </c>
      <c r="AO269" s="16">
        <f ca="1">_xll.DBRW($D$4,$E$7,$E$8,$E$9,$E$10,$E$12,$D269,$E$6,AO$18,AO$17)</f>
        <v>0.32322708621632812</v>
      </c>
      <c r="AP269" s="16"/>
      <c r="AQ269" s="16"/>
      <c r="AR269" s="16"/>
      <c r="AS269" s="16"/>
      <c r="AT269" s="16">
        <f ca="1">_xll.DBRW($D$4,$E$7,$E$8,$E$9,$E$10,$E$12,$D269,$E$6,AT$18,AT$17)</f>
        <v>6.2702129999999995E-2</v>
      </c>
      <c r="AU269" s="16">
        <f ca="1">_xll.DBRW($D$4,$E$7,$E$8,$E$9,$E$10,$E$12,$D269,$E$6,AU$18,AU$17)</f>
        <v>5.2725119999999986E-2</v>
      </c>
      <c r="AV269" s="16">
        <f ca="1">_xll.DBRW($D$4,$E$7,$E$8,$E$9,$E$10,$E$12,$D269,$E$6,AV$18,AV$17)</f>
        <v>0.99576999999999982</v>
      </c>
      <c r="AW269" s="16">
        <f ca="1">_xll.DBRW($D$4,$E$7,$E$8,$E$9,$E$10,$E$12,$D269,$E$6,AW$18,AW$17)</f>
        <v>5.2725119999999986E-2</v>
      </c>
      <c r="AX269" s="16">
        <f ca="1">_xll.DBRW($D$4,$E$7,$E$8,$E$9,$E$10,$E$12,$D269,$E$6,AX$18,AX$17)</f>
        <v>0</v>
      </c>
      <c r="AY269" s="16">
        <f ca="1">_xll.DBRW($D$4,$E$7,$E$8,$E$9,$E$10,$E$12,$D269,$E$6,AY$18,AY$17)</f>
        <v>0</v>
      </c>
      <c r="AZ269" s="16">
        <f ca="1">_xll.DBRW($D$4,$E$7,$E$8,$E$9,$E$10,$E$12,$D269,$E$6,AZ$18,AZ$17)</f>
        <v>0</v>
      </c>
      <c r="BA269" s="16">
        <f ca="1">_xll.DBRW($D$4,$E$7,$E$8,$E$9,$E$10,$E$12,$D269,$E$6,BA$18,BA$17)</f>
        <v>0</v>
      </c>
      <c r="BB269" s="16">
        <f ca="1">_xll.DBRW($D$4,$E$7,$E$8,$E$9,$E$10,$E$12,$D269,$E$6,BB$18,BB$17)</f>
        <v>5.2725119999999986E-2</v>
      </c>
      <c r="BC269" s="16">
        <f ca="1">_xll.DBRW($D$4,$E$7,$E$8,$E$9,$E$10,$E$12,$D269,$E$6,BC$18,BC$17)</f>
        <v>5.2725119999999986E-2</v>
      </c>
      <c r="BD269" s="16">
        <f ca="1">_xll.DBRW($D$4,$E$7,$E$8,$E$9,$E$10,$E$12,$D269,$E$6,BD$18,BD$17)</f>
        <v>0.3284234899999996</v>
      </c>
      <c r="BE269" s="16">
        <f ca="1">_xll.DBRW($D$4,$E$7,$E$8,$E$9,$E$10,$E$12,$D269,$E$6,BE$18,BE$17)</f>
        <v>-7.8552899999999995E-2</v>
      </c>
      <c r="BF269" s="16">
        <f ca="1">_xll.DBRW($D$4,$E$7,$E$8,$E$9,$E$10,$E$12,$D269,$E$6,BF$18,BF$17)</f>
        <v>-2.6733799999999999E-3</v>
      </c>
      <c r="BG269" s="26">
        <f ca="1">_xll.DBRW($D$4,$E$7,$E$8,$E$9,$E$10,$E$12,$D269,$E$6,BG$18,BG$17)</f>
        <v>0</v>
      </c>
      <c r="BH269" s="26">
        <f ca="1">_xll.DBRW($D$4,$E$7,$E$8,$E$9,$E$10,$E$12,$D269,$E$6,BH$18,BH$17)</f>
        <v>0</v>
      </c>
      <c r="BI269" s="26">
        <f ca="1">_xll.DBRW($D$4,$E$7,$E$8,$E$9,$E$10,$E$12,$D269,$E$6,BI$18,BI$17)</f>
        <v>0</v>
      </c>
      <c r="BJ269" s="26">
        <f ca="1">_xll.DBRW($D$4,$E$7,$E$8,$E$9,$E$10,$E$12,$D269,$E$6,BJ$18,BJ$17)</f>
        <v>0</v>
      </c>
      <c r="BK269" s="16">
        <f ca="1">_xll.DBRW($D$4,$E$7,$E$8,$E$9,$E$10,$E$12,$D269,$E$6,BK$18,BK$17)</f>
        <v>0.40697638999999958</v>
      </c>
      <c r="BL269" s="16">
        <f ca="1">_xll.DBRW($D$4,$E$7,$E$8,$E$9,$E$10,$E$12,$D269,$E$6,BL$18,BL$17)</f>
        <v>2.4488872899999996</v>
      </c>
      <c r="BM269" s="16">
        <f ca="1">_xll.DBRW($D$4,$E$7,$E$8,$E$9,$E$10,$E$12,$D269,$E$6,BM$18,BM$17)</f>
        <v>-0.84855610999999986</v>
      </c>
      <c r="BN269" s="16">
        <f ca="1">_xll.DBRW($D$4,$E$7,$E$8,$E$9,$E$10,$E$12,$D269,$E$6,BN$18,BN$17)</f>
        <v>0.34650680472926132</v>
      </c>
      <c r="BO269" s="16"/>
      <c r="BP269" s="16"/>
      <c r="BQ269" s="16"/>
      <c r="BR269" s="16"/>
      <c r="BS269" s="16">
        <f ca="1">_xll.DBRW($D$4,$E$7,$E$8,$E$9,$E$10,$E$12,$D269,$E$6,BS$18,BS$17)</f>
        <v>-0.36094110000000001</v>
      </c>
      <c r="BT269" s="16">
        <f ca="1">_xll.DBRW($D$4,$E$7,$E$8,$E$9,$E$10,$E$12,$D269,$E$6,BT$18,BT$17)</f>
        <v>0.1473898376106971</v>
      </c>
      <c r="BU269" s="16"/>
      <c r="BV269" s="16"/>
      <c r="BW269" s="16"/>
      <c r="BX269" s="16"/>
      <c r="BY269" s="16">
        <f ca="1">_xll.DBRW($D$4,$E$7,$E$8,$E$9,$E$10,$E$12,$D269,$E$6,BY$18,BY$17)</f>
        <v>0</v>
      </c>
      <c r="BZ269" s="16">
        <f ca="1">_xll.DBRW($D$4,$E$7,$E$8,$E$9,$E$10,$E$12,$D269,$E$6,BZ$18,BZ$17)</f>
        <v>0</v>
      </c>
      <c r="CA269" s="16"/>
      <c r="CB269" s="16"/>
      <c r="CC269" s="16"/>
      <c r="CD269" s="16"/>
      <c r="CE269" s="16">
        <f ca="1">_xll.DBRW($D$4,$E$7,$E$8,$E$9,$E$10,$E$12,$D269,$E$6,CE$18,CE$17)</f>
        <v>-1.6636109999999996E-2</v>
      </c>
      <c r="CF269" s="16">
        <f ca="1">_xll.DBRW($D$4,$E$7,$E$8,$E$9,$E$10,$E$12,$D269,$E$6,CF$18,CF$17)</f>
        <v>6.7933342902032857E-3</v>
      </c>
      <c r="CG269" s="16"/>
      <c r="CH269" s="16"/>
      <c r="CI269" s="16"/>
      <c r="CJ269" s="16"/>
      <c r="CK269" s="16">
        <f ca="1">_xll.DBRW($D$4,$E$7,$E$8,$E$9,$E$10,$E$12,$D269,$E$6,CK$18,CK$17)</f>
        <v>-0.81577758000000011</v>
      </c>
      <c r="CL269" s="16">
        <f ca="1">_xll.DBRW($D$4,$E$7,$E$8,$E$9,$E$10,$E$12,$D269,$E$6,CL$18,CL$17)</f>
        <v>0.33312173383038801</v>
      </c>
      <c r="CM269" s="16"/>
      <c r="CN269" s="16"/>
      <c r="CO269" s="16"/>
      <c r="CP269" s="16"/>
      <c r="CQ269" s="16">
        <f ca="1">_xll.DBRW($D$4,$E$7,$E$8,$E$9,$E$10,$E$12,$D269,$E$6,CQ$18,CQ$17)</f>
        <v>4.3091900000000009E-2</v>
      </c>
      <c r="CR269" s="16">
        <f ca="1">_xll.DBRW($D$4,$E$7,$E$8,$E$9,$E$10,$E$12,$D269,$E$6,CR$18,CR$17)</f>
        <v>3.9148650000000007E-2</v>
      </c>
      <c r="CS269" s="16">
        <f ca="1">_xll.DBRW($D$4,$E$7,$E$8,$E$9,$E$10,$E$12,$D269,$E$6,CS$18,CS$17)</f>
        <v>0.65834270999999989</v>
      </c>
      <c r="CT269" s="16">
        <f ca="1">_xll.DBRW($D$4,$E$7,$E$8,$E$9,$E$10,$E$12,$D269,$E$6,CT$18,CT$17)</f>
        <v>3.9148650000000007E-2</v>
      </c>
      <c r="CU269" s="16">
        <f ca="1">_xll.DBRW($D$4,$E$7,$E$8,$E$9,$E$10,$E$12,$D269,$E$6,CU$18,CU$17)</f>
        <v>0</v>
      </c>
      <c r="CV269" s="16">
        <f ca="1">_xll.DBRW($D$4,$E$7,$E$8,$E$9,$E$10,$E$12,$D269,$E$6,CV$18,CV$17)</f>
        <v>0</v>
      </c>
      <c r="CW269" s="16">
        <f ca="1">_xll.DBRW($D$4,$E$7,$E$8,$E$9,$E$10,$E$12,$D269,$E$6,CW$18,CW$17)</f>
        <v>0</v>
      </c>
      <c r="CX269" s="16">
        <f ca="1">_xll.DBRW($D$4,$E$7,$E$8,$E$9,$E$10,$E$12,$D269,$E$6,CX$18,CX$17)</f>
        <v>0</v>
      </c>
      <c r="CY269" s="16">
        <f ca="1">_xll.DBRW($D$4,$E$7,$E$8,$E$9,$E$10,$E$12,$D269,$E$6,CY$18,CY$17)</f>
        <v>3.9148650000000007E-2</v>
      </c>
      <c r="CZ269" s="16">
        <f ca="1">_xll.DBRW($D$4,$E$7,$E$8,$E$9,$E$10,$E$12,$D269,$E$6,CZ$18,CZ$17)</f>
        <v>3.9148650000000007E-2</v>
      </c>
      <c r="DA269" s="26">
        <f t="shared" ca="1" si="146"/>
        <v>0.11419751000000006</v>
      </c>
      <c r="DB269" s="26">
        <f t="shared" ca="1" si="147"/>
        <v>-5.1446470000000008E-2</v>
      </c>
      <c r="DC269" s="26">
        <f t="shared" ca="1" si="148"/>
        <v>2.6733799999999999E-3</v>
      </c>
      <c r="DD269" s="26">
        <f t="shared" ca="1" si="149"/>
        <v>0</v>
      </c>
      <c r="DE269" s="26">
        <f t="shared" ca="1" si="150"/>
        <v>0</v>
      </c>
      <c r="DF269" s="26">
        <f t="shared" ca="1" si="151"/>
        <v>0</v>
      </c>
      <c r="DG269" s="26">
        <f t="shared" ca="1" si="152"/>
        <v>0</v>
      </c>
      <c r="DH269" s="26">
        <f t="shared" ca="1" si="153"/>
        <v>0.16564398000000008</v>
      </c>
      <c r="DI269" s="26">
        <f t="shared" ca="1" si="154"/>
        <v>0.88640321000000011</v>
      </c>
      <c r="DJ269" s="26">
        <f t="shared" ca="1" si="155"/>
        <v>-0.35209765000000037</v>
      </c>
      <c r="DK269" s="26">
        <f t="shared" ca="1" si="156"/>
        <v>1.347795821717479E-2</v>
      </c>
      <c r="DL269" s="26"/>
      <c r="DM269" s="26"/>
      <c r="DN269" s="26"/>
      <c r="DO269" s="26"/>
      <c r="DP269" s="26">
        <f t="shared" ca="1" si="157"/>
        <v>-0.10281382000000006</v>
      </c>
      <c r="DQ269" s="26">
        <f t="shared" ca="1" si="158"/>
        <v>-8.3450017860515202E-3</v>
      </c>
      <c r="DR269" s="26"/>
      <c r="DS269" s="26"/>
      <c r="DT269" s="26"/>
      <c r="DU269" s="26"/>
      <c r="DV269" s="26">
        <f t="shared" ca="1" si="159"/>
        <v>0</v>
      </c>
      <c r="DW269" s="26">
        <f t="shared" ca="1" si="160"/>
        <v>0</v>
      </c>
      <c r="DX269" s="26"/>
      <c r="DY269" s="26"/>
      <c r="DZ269" s="26"/>
      <c r="EA269" s="26"/>
      <c r="EB269" s="26">
        <f t="shared" ca="1" si="161"/>
        <v>-3.5691100000000038E-3</v>
      </c>
      <c r="EC269" s="26">
        <f t="shared" ca="1" si="162"/>
        <v>-7.353252502111168E-4</v>
      </c>
      <c r="ED269" s="26"/>
      <c r="EE269" s="26"/>
      <c r="EF269" s="26"/>
      <c r="EG269" s="26"/>
      <c r="EH269" s="26">
        <f t="shared" ca="1" si="163"/>
        <v>-0.26227864999999995</v>
      </c>
      <c r="EI269" s="29">
        <f t="shared" ca="1" si="164"/>
        <v>-9.8946476140598927E-3</v>
      </c>
      <c r="EJ269" s="29"/>
      <c r="EK269" s="29"/>
      <c r="EL269" s="29"/>
      <c r="EM269" s="29"/>
      <c r="EN269" s="93"/>
      <c r="EO269" s="29"/>
      <c r="EP269" s="29"/>
      <c r="EQ269" s="29"/>
      <c r="ER269" s="29"/>
      <c r="ES269" s="29"/>
      <c r="ET269" s="29"/>
      <c r="EU269" s="93"/>
      <c r="EV269" s="29"/>
      <c r="EW269" s="29"/>
      <c r="EX269" s="29"/>
      <c r="EY269" s="29"/>
      <c r="EZ269" s="29"/>
      <c r="FA269" s="29"/>
      <c r="FB269" s="93"/>
      <c r="FC269" s="29"/>
      <c r="FD269" s="29"/>
      <c r="FE269" s="29"/>
      <c r="FF269" s="29"/>
      <c r="FG269" s="29"/>
      <c r="FH269" s="29"/>
      <c r="FI269" s="93"/>
      <c r="FJ269" s="29"/>
      <c r="FK269" s="29"/>
      <c r="FL269" s="29"/>
      <c r="FM269" s="29"/>
      <c r="FN269" s="29"/>
      <c r="FO269" s="29"/>
      <c r="FP269" s="93"/>
      <c r="FQ269" s="29"/>
      <c r="FR269" s="29"/>
      <c r="FS269" s="29"/>
      <c r="FT269" s="29"/>
      <c r="FU269" s="29"/>
      <c r="FV269" s="29"/>
    </row>
    <row r="270" spans="1:178" x14ac:dyDescent="0.25">
      <c r="A270" t="str">
        <f ca="1">IF(_xll.TM1RPTELISCONSOLIDATED($D$28,$D270),IF(_xll.TM1RPTELLEV($D$28,$D270)&lt;=3,_xll.TM1RPTELLEV($D$28,$D270),"D"),"N")</f>
        <v>N</v>
      </c>
      <c r="B270" t="str">
        <f ca="1">_xll.DBRA(Server&amp;"Management_organization",$D270,$B$27)</f>
        <v>L</v>
      </c>
      <c r="C270">
        <v>1</v>
      </c>
      <c r="D270" s="2" t="s">
        <v>238</v>
      </c>
      <c r="E270" s="26"/>
      <c r="F270" s="26"/>
      <c r="G270" s="16">
        <f ca="1">_xll.DBRW($D$4,$E$7,$E$8,$E$9,$E$10,$E$12,$D270,$E$6,G$18,G$17)</f>
        <v>0.43457991999999879</v>
      </c>
      <c r="H270" s="16">
        <f ca="1">_xll.DBRW($D$4,$E$7,$E$8,$E$9,$E$10,$E$12,$D270,$E$6,H$18,H$17)</f>
        <v>-0.12179515000000002</v>
      </c>
      <c r="I270" s="16">
        <f ca="1">_xll.DBRW($D$4,$E$7,$E$8,$E$9,$E$10,$E$12,$D270,$E$6,I$18,I$17)</f>
        <v>0</v>
      </c>
      <c r="J270" s="26">
        <f ca="1">_xll.DBRW($D$4,$E$7,$E$8,$E$9,$E$10,$E$12,$D270,$E$6,J$18,J$17)</f>
        <v>0</v>
      </c>
      <c r="K270" s="26">
        <f ca="1">_xll.DBRW($D$4,$E$7,$E$8,$E$9,$E$10,$E$12,$D270,$E$6,K$18,K$17)</f>
        <v>0</v>
      </c>
      <c r="L270" s="26">
        <f ca="1">_xll.DBRW($D$4,$E$7,$E$8,$E$9,$E$10,$E$12,$D270,$E$6,L$18,L$17)</f>
        <v>0</v>
      </c>
      <c r="M270" s="26">
        <f ca="1">_xll.DBRW($D$4,$E$7,$E$8,$E$9,$E$10,$E$12,$D270,$E$6,M$18,M$17)</f>
        <v>0</v>
      </c>
      <c r="N270" s="16">
        <f ca="1">_xll.DBRW($D$4,$E$7,$E$8,$E$9,$E$10,$E$12,$D270,$E$6,N$18,N$17)</f>
        <v>0.55637506999999875</v>
      </c>
      <c r="O270" s="16">
        <f ca="1">_xll.DBRW($D$4,$E$7,$E$8,$E$9,$E$10,$E$12,$D270,$E$6,O$18,O$17)</f>
        <v>3.6297468599999991</v>
      </c>
      <c r="P270" s="74">
        <f ca="1">_xll.DBRW($D$4,$E$7,$E$8,$E$9,$E$10,$E$12,$D270,$E$6,P$18,P$17)</f>
        <v>-1.3236372700000003</v>
      </c>
      <c r="Q270" s="16">
        <f ca="1">_xll.DBRW($D$4,$E$7,$E$8,$E$9,$E$10,$E$12,$D270,$E$6,Q$18,Q$17)</f>
        <v>0.36466379641692165</v>
      </c>
      <c r="R270" s="16"/>
      <c r="S270" s="16"/>
      <c r="T270" s="16"/>
      <c r="U270" s="16"/>
      <c r="V270" s="16">
        <f ca="1">_xll.DBRW($D$4,$E$7,$E$8,$E$9,$E$10,$E$12,$D270,$E$6,V$18,V$17)</f>
        <v>-0.16921541000000001</v>
      </c>
      <c r="W270" s="16">
        <f ca="1">_xll.DBRW($D$4,$E$7,$E$8,$E$9,$E$10,$E$12,$D270,$E$6,W$18,W$17)</f>
        <v>4.6619066432638238E-2</v>
      </c>
      <c r="X270" s="16"/>
      <c r="Y270" s="16"/>
      <c r="Z270" s="16"/>
      <c r="AA270" s="16"/>
      <c r="AB270" s="16">
        <f ca="1">_xll.DBRW($D$4,$E$7,$E$8,$E$9,$E$10,$E$12,$D270,$E$6,AB$18,AB$17)</f>
        <v>-0.40267041999999997</v>
      </c>
      <c r="AC270" s="16">
        <f ca="1">_xll.DBRW($D$4,$E$7,$E$8,$E$9,$E$10,$E$12,$D270,$E$6,AC$18,AC$17)</f>
        <v>0.11093622655547943</v>
      </c>
      <c r="AD270" s="16"/>
      <c r="AE270" s="16"/>
      <c r="AF270" s="16"/>
      <c r="AG270" s="16"/>
      <c r="AH270" s="16">
        <f ca="1">_xll.DBRW($D$4,$E$7,$E$8,$E$9,$E$10,$E$12,$D270,$E$6,AH$18,AH$17)</f>
        <v>-0.35373136999999999</v>
      </c>
      <c r="AI270" s="16">
        <f ca="1">_xll.DBRW($D$4,$E$7,$E$8,$E$9,$E$10,$E$12,$D270,$E$6,AI$18,AI$17)</f>
        <v>9.7453454371195486E-2</v>
      </c>
      <c r="AJ270" s="16"/>
      <c r="AK270" s="16"/>
      <c r="AL270" s="16"/>
      <c r="AM270" s="16"/>
      <c r="AN270" s="16">
        <f ca="1">_xll.DBRW($D$4,$E$7,$E$8,$E$9,$E$10,$E$12,$D270,$E$6,AN$18,AN$17)</f>
        <v>-0.82411731999999982</v>
      </c>
      <c r="AO270" s="16">
        <f ca="1">_xll.DBRW($D$4,$E$7,$E$8,$E$9,$E$10,$E$12,$D270,$E$6,AO$18,AO$17)</f>
        <v>0.22704539787107908</v>
      </c>
      <c r="AP270" s="16"/>
      <c r="AQ270" s="16"/>
      <c r="AR270" s="16"/>
      <c r="AS270" s="16"/>
      <c r="AT270" s="16">
        <f ca="1">_xll.DBRW($D$4,$E$7,$E$8,$E$9,$E$10,$E$12,$D270,$E$6,AT$18,AT$17)</f>
        <v>0.10282755</v>
      </c>
      <c r="AU270" s="16">
        <f ca="1">_xll.DBRW($D$4,$E$7,$E$8,$E$9,$E$10,$E$12,$D270,$E$6,AU$18,AU$17)</f>
        <v>0.10081609999999999</v>
      </c>
      <c r="AV270" s="16">
        <f ca="1">_xll.DBRW($D$4,$E$7,$E$8,$E$9,$E$10,$E$12,$D270,$E$6,AV$18,AV$17)</f>
        <v>0.68859199999999987</v>
      </c>
      <c r="AW270" s="16">
        <f ca="1">_xll.DBRW($D$4,$E$7,$E$8,$E$9,$E$10,$E$12,$D270,$E$6,AW$18,AW$17)</f>
        <v>0.10081609999999999</v>
      </c>
      <c r="AX270" s="16">
        <f ca="1">_xll.DBRW($D$4,$E$7,$E$8,$E$9,$E$10,$E$12,$D270,$E$6,AX$18,AX$17)</f>
        <v>0</v>
      </c>
      <c r="AY270" s="16">
        <f ca="1">_xll.DBRW($D$4,$E$7,$E$8,$E$9,$E$10,$E$12,$D270,$E$6,AY$18,AY$17)</f>
        <v>0</v>
      </c>
      <c r="AZ270" s="16">
        <f ca="1">_xll.DBRW($D$4,$E$7,$E$8,$E$9,$E$10,$E$12,$D270,$E$6,AZ$18,AZ$17)</f>
        <v>0</v>
      </c>
      <c r="BA270" s="16">
        <f ca="1">_xll.DBRW($D$4,$E$7,$E$8,$E$9,$E$10,$E$12,$D270,$E$6,BA$18,BA$17)</f>
        <v>0</v>
      </c>
      <c r="BB270" s="16">
        <f ca="1">_xll.DBRW($D$4,$E$7,$E$8,$E$9,$E$10,$E$12,$D270,$E$6,BB$18,BB$17)</f>
        <v>0.10081609999999999</v>
      </c>
      <c r="BC270" s="16">
        <f ca="1">_xll.DBRW($D$4,$E$7,$E$8,$E$9,$E$10,$E$12,$D270,$E$6,BC$18,BC$17)</f>
        <v>0.10081609999999999</v>
      </c>
      <c r="BD270" s="16">
        <f ca="1">_xll.DBRW($D$4,$E$7,$E$8,$E$9,$E$10,$E$12,$D270,$E$6,BD$18,BD$17)</f>
        <v>0.30387989000000015</v>
      </c>
      <c r="BE270" s="16">
        <f ca="1">_xll.DBRW($D$4,$E$7,$E$8,$E$9,$E$10,$E$12,$D270,$E$6,BE$18,BE$17)</f>
        <v>-8.4306980000000017E-2</v>
      </c>
      <c r="BF270" s="16">
        <f ca="1">_xll.DBRW($D$4,$E$7,$E$8,$E$9,$E$10,$E$12,$D270,$E$6,BF$18,BF$17)</f>
        <v>-1.6999999999999997E-3</v>
      </c>
      <c r="BG270" s="26">
        <f ca="1">_xll.DBRW($D$4,$E$7,$E$8,$E$9,$E$10,$E$12,$D270,$E$6,BG$18,BG$17)</f>
        <v>0</v>
      </c>
      <c r="BH270" s="26">
        <f ca="1">_xll.DBRW($D$4,$E$7,$E$8,$E$9,$E$10,$E$12,$D270,$E$6,BH$18,BH$17)</f>
        <v>0</v>
      </c>
      <c r="BI270" s="26">
        <f ca="1">_xll.DBRW($D$4,$E$7,$E$8,$E$9,$E$10,$E$12,$D270,$E$6,BI$18,BI$17)</f>
        <v>0</v>
      </c>
      <c r="BJ270" s="26">
        <f ca="1">_xll.DBRW($D$4,$E$7,$E$8,$E$9,$E$10,$E$12,$D270,$E$6,BJ$18,BJ$17)</f>
        <v>0</v>
      </c>
      <c r="BK270" s="16">
        <f ca="1">_xll.DBRW($D$4,$E$7,$E$8,$E$9,$E$10,$E$12,$D270,$E$6,BK$18,BK$17)</f>
        <v>0.38818687000000013</v>
      </c>
      <c r="BL270" s="16">
        <f ca="1">_xll.DBRW($D$4,$E$7,$E$8,$E$9,$E$10,$E$12,$D270,$E$6,BL$18,BL$17)</f>
        <v>2.7921954199999997</v>
      </c>
      <c r="BM270" s="16">
        <f ca="1">_xll.DBRW($D$4,$E$7,$E$8,$E$9,$E$10,$E$12,$D270,$E$6,BM$18,BM$17)</f>
        <v>-1.0453097599999999</v>
      </c>
      <c r="BN270" s="16">
        <f ca="1">_xll.DBRW($D$4,$E$7,$E$8,$E$9,$E$10,$E$12,$D270,$E$6,BN$18,BN$17)</f>
        <v>0.37436841007353272</v>
      </c>
      <c r="BO270" s="16"/>
      <c r="BP270" s="16"/>
      <c r="BQ270" s="16"/>
      <c r="BR270" s="16"/>
      <c r="BS270" s="16">
        <f ca="1">_xll.DBRW($D$4,$E$7,$E$8,$E$9,$E$10,$E$12,$D270,$E$6,BS$18,BS$17)</f>
        <v>-0.13729051</v>
      </c>
      <c r="BT270" s="16">
        <f ca="1">_xll.DBRW($D$4,$E$7,$E$8,$E$9,$E$10,$E$12,$D270,$E$6,BT$18,BT$17)</f>
        <v>4.9169377263716028E-2</v>
      </c>
      <c r="BU270" s="16"/>
      <c r="BV270" s="16"/>
      <c r="BW270" s="16"/>
      <c r="BX270" s="16"/>
      <c r="BY270" s="16">
        <f ca="1">_xll.DBRW($D$4,$E$7,$E$8,$E$9,$E$10,$E$12,$D270,$E$6,BY$18,BY$17)</f>
        <v>-0.30617309999999998</v>
      </c>
      <c r="BZ270" s="16">
        <f ca="1">_xll.DBRW($D$4,$E$7,$E$8,$E$9,$E$10,$E$12,$D270,$E$6,BZ$18,BZ$17)</f>
        <v>0.1096531774985864</v>
      </c>
      <c r="CA270" s="16"/>
      <c r="CB270" s="16"/>
      <c r="CC270" s="16"/>
      <c r="CD270" s="16"/>
      <c r="CE270" s="16">
        <f ca="1">_xll.DBRW($D$4,$E$7,$E$8,$E$9,$E$10,$E$12,$D270,$E$6,CE$18,CE$17)</f>
        <v>-0.27501639999999999</v>
      </c>
      <c r="CF270" s="16">
        <f ca="1">_xll.DBRW($D$4,$E$7,$E$8,$E$9,$E$10,$E$12,$D270,$E$6,CF$18,CF$17)</f>
        <v>9.8494682009040768E-2</v>
      </c>
      <c r="CG270" s="16"/>
      <c r="CH270" s="16"/>
      <c r="CI270" s="16"/>
      <c r="CJ270" s="16"/>
      <c r="CK270" s="16">
        <f ca="1">_xll.DBRW($D$4,$E$7,$E$8,$E$9,$E$10,$E$12,$D270,$E$6,CK$18,CK$17)</f>
        <v>-0.6402187800000001</v>
      </c>
      <c r="CL270" s="16">
        <f ca="1">_xll.DBRW($D$4,$E$7,$E$8,$E$9,$E$10,$E$12,$D270,$E$6,CL$18,CL$17)</f>
        <v>0.22928867206579695</v>
      </c>
      <c r="CM270" s="16"/>
      <c r="CN270" s="16"/>
      <c r="CO270" s="16"/>
      <c r="CP270" s="16"/>
      <c r="CQ270" s="16">
        <f ca="1">_xll.DBRW($D$4,$E$7,$E$8,$E$9,$E$10,$E$12,$D270,$E$6,CQ$18,CQ$17)</f>
        <v>8.0001850000000013E-2</v>
      </c>
      <c r="CR270" s="16">
        <f ca="1">_xll.DBRW($D$4,$E$7,$E$8,$E$9,$E$10,$E$12,$D270,$E$6,CR$18,CR$17)</f>
        <v>7.7671699999999996E-2</v>
      </c>
      <c r="CS270" s="16">
        <f ca="1">_xll.DBRW($D$4,$E$7,$E$8,$E$9,$E$10,$E$12,$D270,$E$6,CS$18,CS$17)</f>
        <v>0.51263321999999989</v>
      </c>
      <c r="CT270" s="16">
        <f ca="1">_xll.DBRW($D$4,$E$7,$E$8,$E$9,$E$10,$E$12,$D270,$E$6,CT$18,CT$17)</f>
        <v>7.7671699999999996E-2</v>
      </c>
      <c r="CU270" s="16">
        <f ca="1">_xll.DBRW($D$4,$E$7,$E$8,$E$9,$E$10,$E$12,$D270,$E$6,CU$18,CU$17)</f>
        <v>0</v>
      </c>
      <c r="CV270" s="16">
        <f ca="1">_xll.DBRW($D$4,$E$7,$E$8,$E$9,$E$10,$E$12,$D270,$E$6,CV$18,CV$17)</f>
        <v>0</v>
      </c>
      <c r="CW270" s="16">
        <f ca="1">_xll.DBRW($D$4,$E$7,$E$8,$E$9,$E$10,$E$12,$D270,$E$6,CW$18,CW$17)</f>
        <v>0</v>
      </c>
      <c r="CX270" s="16">
        <f ca="1">_xll.DBRW($D$4,$E$7,$E$8,$E$9,$E$10,$E$12,$D270,$E$6,CX$18,CX$17)</f>
        <v>0</v>
      </c>
      <c r="CY270" s="16">
        <f ca="1">_xll.DBRW($D$4,$E$7,$E$8,$E$9,$E$10,$E$12,$D270,$E$6,CY$18,CY$17)</f>
        <v>7.7671699999999996E-2</v>
      </c>
      <c r="CZ270" s="16">
        <f ca="1">_xll.DBRW($D$4,$E$7,$E$8,$E$9,$E$10,$E$12,$D270,$E$6,CZ$18,CZ$17)</f>
        <v>7.7671699999999996E-2</v>
      </c>
      <c r="DA270" s="26">
        <f t="shared" ca="1" si="146"/>
        <v>0.13070002999999863</v>
      </c>
      <c r="DB270" s="26">
        <f t="shared" ca="1" si="147"/>
        <v>-3.7488170000000001E-2</v>
      </c>
      <c r="DC270" s="26">
        <f t="shared" ca="1" si="148"/>
        <v>1.6999999999999997E-3</v>
      </c>
      <c r="DD270" s="26">
        <f t="shared" ca="1" si="149"/>
        <v>0</v>
      </c>
      <c r="DE270" s="26">
        <f t="shared" ca="1" si="150"/>
        <v>0</v>
      </c>
      <c r="DF270" s="26">
        <f t="shared" ca="1" si="151"/>
        <v>0</v>
      </c>
      <c r="DG270" s="26">
        <f t="shared" ca="1" si="152"/>
        <v>0</v>
      </c>
      <c r="DH270" s="26">
        <f t="shared" ca="1" si="153"/>
        <v>0.16818819999999862</v>
      </c>
      <c r="DI270" s="26">
        <f t="shared" ca="1" si="154"/>
        <v>0.83755143999999948</v>
      </c>
      <c r="DJ270" s="26">
        <f t="shared" ca="1" si="155"/>
        <v>-0.27832751000000044</v>
      </c>
      <c r="DK270" s="26">
        <f t="shared" ca="1" si="156"/>
        <v>-9.7046136566110719E-3</v>
      </c>
      <c r="DL270" s="26"/>
      <c r="DM270" s="26"/>
      <c r="DN270" s="26"/>
      <c r="DO270" s="26"/>
      <c r="DP270" s="26">
        <f t="shared" ca="1" si="157"/>
        <v>-3.1924900000000006E-2</v>
      </c>
      <c r="DQ270" s="26">
        <f t="shared" ca="1" si="158"/>
        <v>-2.55031083107779E-3</v>
      </c>
      <c r="DR270" s="26"/>
      <c r="DS270" s="26"/>
      <c r="DT270" s="26"/>
      <c r="DU270" s="26"/>
      <c r="DV270" s="26">
        <f t="shared" ca="1" si="159"/>
        <v>-9.6497319999999998E-2</v>
      </c>
      <c r="DW270" s="26">
        <f t="shared" ca="1" si="160"/>
        <v>1.2830490568930264E-3</v>
      </c>
      <c r="DX270" s="26"/>
      <c r="DY270" s="26"/>
      <c r="DZ270" s="26"/>
      <c r="EA270" s="26"/>
      <c r="EB270" s="26">
        <f t="shared" ca="1" si="161"/>
        <v>-7.8714969999999995E-2</v>
      </c>
      <c r="EC270" s="26">
        <f t="shared" ca="1" si="162"/>
        <v>-1.0412276378452823E-3</v>
      </c>
      <c r="ED270" s="26"/>
      <c r="EE270" s="26"/>
      <c r="EF270" s="26"/>
      <c r="EG270" s="26"/>
      <c r="EH270" s="26">
        <f t="shared" ca="1" si="163"/>
        <v>-0.18389853999999972</v>
      </c>
      <c r="EI270" s="29">
        <f t="shared" ca="1" si="164"/>
        <v>-2.2432741947178703E-3</v>
      </c>
      <c r="EJ270" s="29"/>
      <c r="EK270" s="29"/>
      <c r="EL270" s="29"/>
      <c r="EM270" s="29"/>
      <c r="EN270" s="93"/>
      <c r="EO270" s="29"/>
      <c r="EP270" s="29"/>
      <c r="EQ270" s="29"/>
      <c r="ER270" s="29"/>
      <c r="ES270" s="29"/>
      <c r="ET270" s="29"/>
      <c r="EU270" s="93"/>
      <c r="EV270" s="29"/>
      <c r="EW270" s="29"/>
      <c r="EX270" s="29"/>
      <c r="EY270" s="29"/>
      <c r="EZ270" s="29"/>
      <c r="FA270" s="29"/>
      <c r="FB270" s="93"/>
      <c r="FC270" s="29"/>
      <c r="FD270" s="29"/>
      <c r="FE270" s="29"/>
      <c r="FF270" s="29"/>
      <c r="FG270" s="29"/>
      <c r="FH270" s="29"/>
      <c r="FI270" s="93"/>
      <c r="FJ270" s="29"/>
      <c r="FK270" s="29"/>
      <c r="FL270" s="29"/>
      <c r="FM270" s="29"/>
      <c r="FN270" s="29"/>
      <c r="FO270" s="29"/>
      <c r="FP270" s="93"/>
      <c r="FQ270" s="29"/>
      <c r="FR270" s="29"/>
      <c r="FS270" s="29"/>
      <c r="FT270" s="29"/>
      <c r="FU270" s="29"/>
      <c r="FV270" s="29"/>
    </row>
    <row r="271" spans="1:178" x14ac:dyDescent="0.25">
      <c r="A271" t="str">
        <f ca="1">IF(_xll.TM1RPTELISCONSOLIDATED($D$28,$D271),IF(_xll.TM1RPTELLEV($D$28,$D271)&lt;=3,_xll.TM1RPTELLEV($D$28,$D271),"D"),"N")</f>
        <v>N</v>
      </c>
      <c r="B271" t="str">
        <f ca="1">_xll.DBRA(Server&amp;"Management_organization",$D271,$B$27)</f>
        <v>L</v>
      </c>
      <c r="C271">
        <v>1</v>
      </c>
      <c r="D271" s="2" t="s">
        <v>361</v>
      </c>
      <c r="E271" s="26"/>
      <c r="F271" s="26"/>
      <c r="G271" s="16">
        <f ca="1">_xll.DBRW($D$4,$E$7,$E$8,$E$9,$E$10,$E$12,$D271,$E$6,G$18,G$17)</f>
        <v>2.3988326500000094</v>
      </c>
      <c r="H271" s="16">
        <f ca="1">_xll.DBRW($D$4,$E$7,$E$8,$E$9,$E$10,$E$12,$D271,$E$6,H$18,H$17)</f>
        <v>-0.51373331</v>
      </c>
      <c r="I271" s="16">
        <f ca="1">_xll.DBRW($D$4,$E$7,$E$8,$E$9,$E$10,$E$12,$D271,$E$6,I$18,I$17)</f>
        <v>0</v>
      </c>
      <c r="J271" s="26">
        <f ca="1">_xll.DBRW($D$4,$E$7,$E$8,$E$9,$E$10,$E$12,$D271,$E$6,J$18,J$17)</f>
        <v>0</v>
      </c>
      <c r="K271" s="26">
        <f ca="1">_xll.DBRW($D$4,$E$7,$E$8,$E$9,$E$10,$E$12,$D271,$E$6,K$18,K$17)</f>
        <v>0</v>
      </c>
      <c r="L271" s="26">
        <f ca="1">_xll.DBRW($D$4,$E$7,$E$8,$E$9,$E$10,$E$12,$D271,$E$6,L$18,L$17)</f>
        <v>0</v>
      </c>
      <c r="M271" s="26">
        <f ca="1">_xll.DBRW($D$4,$E$7,$E$8,$E$9,$E$10,$E$12,$D271,$E$6,M$18,M$17)</f>
        <v>0</v>
      </c>
      <c r="N271" s="16">
        <f ca="1">_xll.DBRW($D$4,$E$7,$E$8,$E$9,$E$10,$E$12,$D271,$E$6,N$18,N$17)</f>
        <v>2.9125659600000091</v>
      </c>
      <c r="O271" s="16">
        <f ca="1">_xll.DBRW($D$4,$E$7,$E$8,$E$9,$E$10,$E$12,$D271,$E$6,O$18,O$17)</f>
        <v>21.424253319999998</v>
      </c>
      <c r="P271" s="74">
        <f ca="1">_xll.DBRW($D$4,$E$7,$E$8,$E$9,$E$10,$E$12,$D271,$E$6,P$18,P$17)</f>
        <v>-10.677602179999997</v>
      </c>
      <c r="Q271" s="16">
        <f ca="1">_xll.DBRW($D$4,$E$7,$E$8,$E$9,$E$10,$E$12,$D271,$E$6,Q$18,Q$17)</f>
        <v>0.49838853287046542</v>
      </c>
      <c r="R271" s="16"/>
      <c r="S271" s="16"/>
      <c r="T271" s="16"/>
      <c r="U271" s="16"/>
      <c r="V271" s="16">
        <f ca="1">_xll.DBRW($D$4,$E$7,$E$8,$E$9,$E$10,$E$12,$D271,$E$6,V$18,V$17)</f>
        <v>-2.0672786899999998</v>
      </c>
      <c r="W271" s="16">
        <f ca="1">_xll.DBRW($D$4,$E$7,$E$8,$E$9,$E$10,$E$12,$D271,$E$6,W$18,W$17)</f>
        <v>9.6492449894165083E-2</v>
      </c>
      <c r="X271" s="16"/>
      <c r="Y271" s="16"/>
      <c r="Z271" s="16"/>
      <c r="AA271" s="16"/>
      <c r="AB271" s="16">
        <f ca="1">_xll.DBRW($D$4,$E$7,$E$8,$E$9,$E$10,$E$12,$D271,$E$6,AB$18,AB$17)</f>
        <v>0</v>
      </c>
      <c r="AC271" s="16">
        <f ca="1">_xll.DBRW($D$4,$E$7,$E$8,$E$9,$E$10,$E$12,$D271,$E$6,AC$18,AC$17)</f>
        <v>0</v>
      </c>
      <c r="AD271" s="16"/>
      <c r="AE271" s="16"/>
      <c r="AF271" s="16"/>
      <c r="AG271" s="16"/>
      <c r="AH271" s="16">
        <f ca="1">_xll.DBRW($D$4,$E$7,$E$8,$E$9,$E$10,$E$12,$D271,$E$6,AH$18,AH$17)</f>
        <v>-8.4419100000000004E-3</v>
      </c>
      <c r="AI271" s="16">
        <f ca="1">_xll.DBRW($D$4,$E$7,$E$8,$E$9,$E$10,$E$12,$D271,$E$6,AI$18,AI$17)</f>
        <v>3.9403520271669385E-4</v>
      </c>
      <c r="AJ271" s="16"/>
      <c r="AK271" s="16"/>
      <c r="AL271" s="16"/>
      <c r="AM271" s="16"/>
      <c r="AN271" s="16">
        <f ca="1">_xll.DBRW($D$4,$E$7,$E$8,$E$9,$E$10,$E$12,$D271,$E$6,AN$18,AN$17)</f>
        <v>-5.7583645800000003</v>
      </c>
      <c r="AO271" s="16">
        <f ca="1">_xll.DBRW($D$4,$E$7,$E$8,$E$9,$E$10,$E$12,$D271,$E$6,AO$18,AO$17)</f>
        <v>0.26877784228888124</v>
      </c>
      <c r="AP271" s="16"/>
      <c r="AQ271" s="16"/>
      <c r="AR271" s="16"/>
      <c r="AS271" s="16"/>
      <c r="AT271" s="16">
        <f ca="1">_xll.DBRW($D$4,$E$7,$E$8,$E$9,$E$10,$E$12,$D271,$E$6,AT$18,AT$17)</f>
        <v>0.40191705</v>
      </c>
      <c r="AU271" s="16">
        <f ca="1">_xll.DBRW($D$4,$E$7,$E$8,$E$9,$E$10,$E$12,$D271,$E$6,AU$18,AU$17)</f>
        <v>0.34259992000000006</v>
      </c>
      <c r="AV271" s="16">
        <f ca="1">_xll.DBRW($D$4,$E$7,$E$8,$E$9,$E$10,$E$12,$D271,$E$6,AV$18,AV$17)</f>
        <v>5.3919760000000005</v>
      </c>
      <c r="AW271" s="16">
        <f ca="1">_xll.DBRW($D$4,$E$7,$E$8,$E$9,$E$10,$E$12,$D271,$E$6,AW$18,AW$17)</f>
        <v>0.34259992000000006</v>
      </c>
      <c r="AX271" s="16">
        <f ca="1">_xll.DBRW($D$4,$E$7,$E$8,$E$9,$E$10,$E$12,$D271,$E$6,AX$18,AX$17)</f>
        <v>0</v>
      </c>
      <c r="AY271" s="16">
        <f ca="1">_xll.DBRW($D$4,$E$7,$E$8,$E$9,$E$10,$E$12,$D271,$E$6,AY$18,AY$17)</f>
        <v>0</v>
      </c>
      <c r="AZ271" s="16">
        <f ca="1">_xll.DBRW($D$4,$E$7,$E$8,$E$9,$E$10,$E$12,$D271,$E$6,AZ$18,AZ$17)</f>
        <v>0</v>
      </c>
      <c r="BA271" s="16">
        <f ca="1">_xll.DBRW($D$4,$E$7,$E$8,$E$9,$E$10,$E$12,$D271,$E$6,BA$18,BA$17)</f>
        <v>0</v>
      </c>
      <c r="BB271" s="16">
        <f ca="1">_xll.DBRW($D$4,$E$7,$E$8,$E$9,$E$10,$E$12,$D271,$E$6,BB$18,BB$17)</f>
        <v>0.34259992000000006</v>
      </c>
      <c r="BC271" s="16">
        <f ca="1">_xll.DBRW($D$4,$E$7,$E$8,$E$9,$E$10,$E$12,$D271,$E$6,BC$18,BC$17)</f>
        <v>0.34259992000000006</v>
      </c>
      <c r="BD271" s="16">
        <f ca="1">_xll.DBRW($D$4,$E$7,$E$8,$E$9,$E$10,$E$12,$D271,$E$6,BD$18,BD$17)</f>
        <v>3.7479717800000021</v>
      </c>
      <c r="BE271" s="16">
        <f ca="1">_xll.DBRW($D$4,$E$7,$E$8,$E$9,$E$10,$E$12,$D271,$E$6,BE$18,BE$17)</f>
        <v>-0.3749416599999999</v>
      </c>
      <c r="BF271" s="16">
        <f ca="1">_xll.DBRW($D$4,$E$7,$E$8,$E$9,$E$10,$E$12,$D271,$E$6,BF$18,BF$17)</f>
        <v>-1.8436864200000003</v>
      </c>
      <c r="BG271" s="26">
        <f ca="1">_xll.DBRW($D$4,$E$7,$E$8,$E$9,$E$10,$E$12,$D271,$E$6,BG$18,BG$17)</f>
        <v>0</v>
      </c>
      <c r="BH271" s="26">
        <f ca="1">_xll.DBRW($D$4,$E$7,$E$8,$E$9,$E$10,$E$12,$D271,$E$6,BH$18,BH$17)</f>
        <v>0</v>
      </c>
      <c r="BI271" s="26">
        <f ca="1">_xll.DBRW($D$4,$E$7,$E$8,$E$9,$E$10,$E$12,$D271,$E$6,BI$18,BI$17)</f>
        <v>0</v>
      </c>
      <c r="BJ271" s="26">
        <f ca="1">_xll.DBRW($D$4,$E$7,$E$8,$E$9,$E$10,$E$12,$D271,$E$6,BJ$18,BJ$17)</f>
        <v>0</v>
      </c>
      <c r="BK271" s="16">
        <f ca="1">_xll.DBRW($D$4,$E$7,$E$8,$E$9,$E$10,$E$12,$D271,$E$6,BK$18,BK$17)</f>
        <v>4.1229134400000023</v>
      </c>
      <c r="BL271" s="16">
        <f ca="1">_xll.DBRW($D$4,$E$7,$E$8,$E$9,$E$10,$E$12,$D271,$E$6,BL$18,BL$17)</f>
        <v>16.184269280000002</v>
      </c>
      <c r="BM271" s="16">
        <f ca="1">_xll.DBRW($D$4,$E$7,$E$8,$E$9,$E$10,$E$12,$D271,$E$6,BM$18,BM$17)</f>
        <v>-7.9275353199999987</v>
      </c>
      <c r="BN271" s="16">
        <f ca="1">_xll.DBRW($D$4,$E$7,$E$8,$E$9,$E$10,$E$12,$D271,$E$6,BN$18,BN$17)</f>
        <v>0.48982967243362607</v>
      </c>
      <c r="BO271" s="16"/>
      <c r="BP271" s="16"/>
      <c r="BQ271" s="16"/>
      <c r="BR271" s="16"/>
      <c r="BS271" s="16">
        <f ca="1">_xll.DBRW($D$4,$E$7,$E$8,$E$9,$E$10,$E$12,$D271,$E$6,BS$18,BS$17)</f>
        <v>-1.4438366</v>
      </c>
      <c r="BT271" s="16">
        <f ca="1">_xll.DBRW($D$4,$E$7,$E$8,$E$9,$E$10,$E$12,$D271,$E$6,BT$18,BT$17)</f>
        <v>8.9212344099109053E-2</v>
      </c>
      <c r="BU271" s="16"/>
      <c r="BV271" s="16"/>
      <c r="BW271" s="16"/>
      <c r="BX271" s="16"/>
      <c r="BY271" s="16">
        <f ca="1">_xll.DBRW($D$4,$E$7,$E$8,$E$9,$E$10,$E$12,$D271,$E$6,BY$18,BY$17)</f>
        <v>0</v>
      </c>
      <c r="BZ271" s="16">
        <f ca="1">_xll.DBRW($D$4,$E$7,$E$8,$E$9,$E$10,$E$12,$D271,$E$6,BZ$18,BZ$17)</f>
        <v>0</v>
      </c>
      <c r="CA271" s="16"/>
      <c r="CB271" s="16"/>
      <c r="CC271" s="16"/>
      <c r="CD271" s="16"/>
      <c r="CE271" s="16">
        <f ca="1">_xll.DBRW($D$4,$E$7,$E$8,$E$9,$E$10,$E$12,$D271,$E$6,CE$18,CE$17)</f>
        <v>-1.122913E-2</v>
      </c>
      <c r="CF271" s="16">
        <f ca="1">_xll.DBRW($D$4,$E$7,$E$8,$E$9,$E$10,$E$12,$D271,$E$6,CF$18,CF$17)</f>
        <v>6.9382990394732224E-4</v>
      </c>
      <c r="CG271" s="16"/>
      <c r="CH271" s="16"/>
      <c r="CI271" s="16"/>
      <c r="CJ271" s="16"/>
      <c r="CK271" s="16">
        <f ca="1">_xll.DBRW($D$4,$E$7,$E$8,$E$9,$E$10,$E$12,$D271,$E$6,CK$18,CK$17)</f>
        <v>-2.6787547900000002</v>
      </c>
      <c r="CL271" s="16">
        <f ca="1">_xll.DBRW($D$4,$E$7,$E$8,$E$9,$E$10,$E$12,$D271,$E$6,CL$18,CL$17)</f>
        <v>0.16551595525602869</v>
      </c>
      <c r="CM271" s="16"/>
      <c r="CN271" s="16"/>
      <c r="CO271" s="16"/>
      <c r="CP271" s="16"/>
      <c r="CQ271" s="16">
        <f ca="1">_xll.DBRW($D$4,$E$7,$E$8,$E$9,$E$10,$E$12,$D271,$E$6,CQ$18,CQ$17)</f>
        <v>0.30235277999999999</v>
      </c>
      <c r="CR271" s="16">
        <f ca="1">_xll.DBRW($D$4,$E$7,$E$8,$E$9,$E$10,$E$12,$D271,$E$6,CR$18,CR$17)</f>
        <v>0.26169907999999997</v>
      </c>
      <c r="CS271" s="16">
        <f ca="1">_xll.DBRW($D$4,$E$7,$E$8,$E$9,$E$10,$E$12,$D271,$E$6,CS$18,CS$17)</f>
        <v>4.0724972999999993</v>
      </c>
      <c r="CT271" s="16">
        <f ca="1">_xll.DBRW($D$4,$E$7,$E$8,$E$9,$E$10,$E$12,$D271,$E$6,CT$18,CT$17)</f>
        <v>0.26169907999999997</v>
      </c>
      <c r="CU271" s="16">
        <f ca="1">_xll.DBRW($D$4,$E$7,$E$8,$E$9,$E$10,$E$12,$D271,$E$6,CU$18,CU$17)</f>
        <v>0</v>
      </c>
      <c r="CV271" s="16">
        <f ca="1">_xll.DBRW($D$4,$E$7,$E$8,$E$9,$E$10,$E$12,$D271,$E$6,CV$18,CV$17)</f>
        <v>0</v>
      </c>
      <c r="CW271" s="16">
        <f ca="1">_xll.DBRW($D$4,$E$7,$E$8,$E$9,$E$10,$E$12,$D271,$E$6,CW$18,CW$17)</f>
        <v>0</v>
      </c>
      <c r="CX271" s="16">
        <f ca="1">_xll.DBRW($D$4,$E$7,$E$8,$E$9,$E$10,$E$12,$D271,$E$6,CX$18,CX$17)</f>
        <v>0</v>
      </c>
      <c r="CY271" s="16">
        <f ca="1">_xll.DBRW($D$4,$E$7,$E$8,$E$9,$E$10,$E$12,$D271,$E$6,CY$18,CY$17)</f>
        <v>0.26169907999999997</v>
      </c>
      <c r="CZ271" s="16">
        <f ca="1">_xll.DBRW($D$4,$E$7,$E$8,$E$9,$E$10,$E$12,$D271,$E$6,CZ$18,CZ$17)</f>
        <v>0.26169907999999997</v>
      </c>
      <c r="DA271" s="26">
        <f t="shared" ca="1" si="146"/>
        <v>-1.3491391299999926</v>
      </c>
      <c r="DB271" s="26">
        <f t="shared" ca="1" si="147"/>
        <v>-0.1387916500000001</v>
      </c>
      <c r="DC271" s="26">
        <f t="shared" ca="1" si="148"/>
        <v>1.8436864200000003</v>
      </c>
      <c r="DD271" s="26">
        <f t="shared" ca="1" si="149"/>
        <v>0</v>
      </c>
      <c r="DE271" s="26">
        <f t="shared" ca="1" si="150"/>
        <v>0</v>
      </c>
      <c r="DF271" s="26">
        <f t="shared" ca="1" si="151"/>
        <v>0</v>
      </c>
      <c r="DG271" s="26">
        <f t="shared" ca="1" si="152"/>
        <v>0</v>
      </c>
      <c r="DH271" s="26">
        <f t="shared" ca="1" si="153"/>
        <v>-1.2103474799999931</v>
      </c>
      <c r="DI271" s="26">
        <f t="shared" ca="1" si="154"/>
        <v>5.239984039999996</v>
      </c>
      <c r="DJ271" s="26">
        <f t="shared" ca="1" si="155"/>
        <v>-2.7500668599999987</v>
      </c>
      <c r="DK271" s="26">
        <f t="shared" ca="1" si="156"/>
        <v>8.5588604368393439E-3</v>
      </c>
      <c r="DL271" s="26"/>
      <c r="DM271" s="26"/>
      <c r="DN271" s="26"/>
      <c r="DO271" s="26"/>
      <c r="DP271" s="26">
        <f t="shared" ca="1" si="157"/>
        <v>-0.62344208999999973</v>
      </c>
      <c r="DQ271" s="26">
        <f t="shared" ca="1" si="158"/>
        <v>7.2801057950560299E-3</v>
      </c>
      <c r="DR271" s="26"/>
      <c r="DS271" s="26"/>
      <c r="DT271" s="26"/>
      <c r="DU271" s="26"/>
      <c r="DV271" s="26">
        <f t="shared" ca="1" si="159"/>
        <v>0</v>
      </c>
      <c r="DW271" s="26">
        <f t="shared" ca="1" si="160"/>
        <v>0</v>
      </c>
      <c r="DX271" s="26"/>
      <c r="DY271" s="26"/>
      <c r="DZ271" s="26"/>
      <c r="EA271" s="26"/>
      <c r="EB271" s="26">
        <f t="shared" ca="1" si="161"/>
        <v>2.78722E-3</v>
      </c>
      <c r="EC271" s="26">
        <f t="shared" ca="1" si="162"/>
        <v>-2.997947012306284E-4</v>
      </c>
      <c r="ED271" s="26"/>
      <c r="EE271" s="26"/>
      <c r="EF271" s="26"/>
      <c r="EG271" s="26"/>
      <c r="EH271" s="26">
        <f t="shared" ca="1" si="163"/>
        <v>-3.0796097900000001</v>
      </c>
      <c r="EI271" s="29">
        <f t="shared" ca="1" si="164"/>
        <v>0.10326188703285255</v>
      </c>
      <c r="EJ271" s="29"/>
      <c r="EK271" s="29"/>
      <c r="EL271" s="29"/>
      <c r="EM271" s="29"/>
      <c r="EN271" s="93"/>
      <c r="EO271" s="29"/>
      <c r="EP271" s="29"/>
      <c r="EQ271" s="29"/>
      <c r="ER271" s="29"/>
      <c r="ES271" s="29"/>
      <c r="ET271" s="29"/>
      <c r="EU271" s="93"/>
      <c r="EV271" s="29"/>
      <c r="EW271" s="29"/>
      <c r="EX271" s="29"/>
      <c r="EY271" s="29"/>
      <c r="EZ271" s="29"/>
      <c r="FA271" s="29"/>
      <c r="FB271" s="93"/>
      <c r="FC271" s="29"/>
      <c r="FD271" s="29"/>
      <c r="FE271" s="29"/>
      <c r="FF271" s="29"/>
      <c r="FG271" s="29"/>
      <c r="FH271" s="29"/>
      <c r="FI271" s="93"/>
      <c r="FJ271" s="29"/>
      <c r="FK271" s="29"/>
      <c r="FL271" s="29"/>
      <c r="FM271" s="29"/>
      <c r="FN271" s="29"/>
      <c r="FO271" s="29"/>
      <c r="FP271" s="93"/>
      <c r="FQ271" s="29"/>
      <c r="FR271" s="29"/>
      <c r="FS271" s="29"/>
      <c r="FT271" s="29"/>
      <c r="FU271" s="29"/>
      <c r="FV271" s="29"/>
    </row>
    <row r="272" spans="1:178" x14ac:dyDescent="0.25">
      <c r="A272" t="str">
        <f ca="1">IF(_xll.TM1RPTELISCONSOLIDATED($D$28,$D272),IF(_xll.TM1RPTELLEV($D$28,$D272)&lt;=3,_xll.TM1RPTELLEV($D$28,$D272),"D"),"N")</f>
        <v>N</v>
      </c>
      <c r="B272" t="str">
        <f ca="1">_xll.DBRA(Server&amp;"Management_organization",$D272,$B$27)</f>
        <v>L</v>
      </c>
      <c r="C272">
        <v>1</v>
      </c>
      <c r="D272" s="2" t="s">
        <v>239</v>
      </c>
      <c r="E272" s="26"/>
      <c r="F272" s="26"/>
      <c r="G272" s="16">
        <f ca="1">_xll.DBRW($D$4,$E$7,$E$8,$E$9,$E$10,$E$12,$D272,$E$6,G$18,G$17)</f>
        <v>0.1811008499999999</v>
      </c>
      <c r="H272" s="16">
        <f ca="1">_xll.DBRW($D$4,$E$7,$E$8,$E$9,$E$10,$E$12,$D272,$E$6,H$18,H$17)</f>
        <v>-1.6693889999999999E-2</v>
      </c>
      <c r="I272" s="16">
        <f ca="1">_xll.DBRW($D$4,$E$7,$E$8,$E$9,$E$10,$E$12,$D272,$E$6,I$18,I$17)</f>
        <v>0</v>
      </c>
      <c r="J272" s="26">
        <f ca="1">_xll.DBRW($D$4,$E$7,$E$8,$E$9,$E$10,$E$12,$D272,$E$6,J$18,J$17)</f>
        <v>0</v>
      </c>
      <c r="K272" s="26">
        <f ca="1">_xll.DBRW($D$4,$E$7,$E$8,$E$9,$E$10,$E$12,$D272,$E$6,K$18,K$17)</f>
        <v>0</v>
      </c>
      <c r="L272" s="26">
        <f ca="1">_xll.DBRW($D$4,$E$7,$E$8,$E$9,$E$10,$E$12,$D272,$E$6,L$18,L$17)</f>
        <v>0</v>
      </c>
      <c r="M272" s="26">
        <f ca="1">_xll.DBRW($D$4,$E$7,$E$8,$E$9,$E$10,$E$12,$D272,$E$6,M$18,M$17)</f>
        <v>0</v>
      </c>
      <c r="N272" s="16">
        <f ca="1">_xll.DBRW($D$4,$E$7,$E$8,$E$9,$E$10,$E$12,$D272,$E$6,N$18,N$17)</f>
        <v>0.19779473999999989</v>
      </c>
      <c r="O272" s="16">
        <f ca="1">_xll.DBRW($D$4,$E$7,$E$8,$E$9,$E$10,$E$12,$D272,$E$6,O$18,O$17)</f>
        <v>0.7814022100000001</v>
      </c>
      <c r="P272" s="74">
        <f ca="1">_xll.DBRW($D$4,$E$7,$E$8,$E$9,$E$10,$E$12,$D272,$E$6,P$18,P$17)</f>
        <v>-0.14588237999999998</v>
      </c>
      <c r="Q272" s="16">
        <f ca="1">_xll.DBRW($D$4,$E$7,$E$8,$E$9,$E$10,$E$12,$D272,$E$6,Q$18,Q$17)</f>
        <v>0.18669307321257764</v>
      </c>
      <c r="R272" s="16"/>
      <c r="S272" s="16"/>
      <c r="T272" s="16"/>
      <c r="U272" s="16"/>
      <c r="V272" s="16">
        <f ca="1">_xll.DBRW($D$4,$E$7,$E$8,$E$9,$E$10,$E$12,$D272,$E$6,V$18,V$17)</f>
        <v>-0.11595852999999999</v>
      </c>
      <c r="W272" s="16">
        <f ca="1">_xll.DBRW($D$4,$E$7,$E$8,$E$9,$E$10,$E$12,$D272,$E$6,W$18,W$17)</f>
        <v>0.1483980061945307</v>
      </c>
      <c r="X272" s="16"/>
      <c r="Y272" s="16"/>
      <c r="Z272" s="16"/>
      <c r="AA272" s="16"/>
      <c r="AB272" s="16">
        <f ca="1">_xll.DBRW($D$4,$E$7,$E$8,$E$9,$E$10,$E$12,$D272,$E$6,AB$18,AB$17)</f>
        <v>-2.7929999999999999E-5</v>
      </c>
      <c r="AC272" s="16">
        <f ca="1">_xll.DBRW($D$4,$E$7,$E$8,$E$9,$E$10,$E$12,$D272,$E$6,AC$18,AC$17)</f>
        <v>3.574343614922716E-5</v>
      </c>
      <c r="AD272" s="16"/>
      <c r="AE272" s="16"/>
      <c r="AF272" s="16"/>
      <c r="AG272" s="16"/>
      <c r="AH272" s="16">
        <f ca="1">_xll.DBRW($D$4,$E$7,$E$8,$E$9,$E$10,$E$12,$D272,$E$6,AH$18,AH$17)</f>
        <v>-1.67461E-3</v>
      </c>
      <c r="AI272" s="16">
        <f ca="1">_xll.DBRW($D$4,$E$7,$E$8,$E$9,$E$10,$E$12,$D272,$E$6,AI$18,AI$17)</f>
        <v>2.1430832656590512E-3</v>
      </c>
      <c r="AJ272" s="16"/>
      <c r="AK272" s="16"/>
      <c r="AL272" s="16"/>
      <c r="AM272" s="16"/>
      <c r="AN272" s="16">
        <f ca="1">_xll.DBRW($D$4,$E$7,$E$8,$E$9,$E$10,$E$12,$D272,$E$6,AN$18,AN$17)</f>
        <v>-0.32006402000000006</v>
      </c>
      <c r="AO272" s="16">
        <f ca="1">_xll.DBRW($D$4,$E$7,$E$8,$E$9,$E$10,$E$12,$D272,$E$6,AO$18,AO$17)</f>
        <v>0.4096021433059423</v>
      </c>
      <c r="AP272" s="16"/>
      <c r="AQ272" s="16"/>
      <c r="AR272" s="16"/>
      <c r="AS272" s="16"/>
      <c r="AT272" s="16">
        <f ca="1">_xll.DBRW($D$4,$E$7,$E$8,$E$9,$E$10,$E$12,$D272,$E$6,AT$18,AT$17)</f>
        <v>1.0257700000000002E-2</v>
      </c>
      <c r="AU272" s="16">
        <f ca="1">_xll.DBRW($D$4,$E$7,$E$8,$E$9,$E$10,$E$12,$D272,$E$6,AU$18,AU$17)</f>
        <v>1.0075290000000001E-2</v>
      </c>
      <c r="AV272" s="16">
        <f ca="1">_xll.DBRW($D$4,$E$7,$E$8,$E$9,$E$10,$E$12,$D272,$E$6,AV$18,AV$17)</f>
        <v>0.13208799999999998</v>
      </c>
      <c r="AW272" s="16">
        <f ca="1">_xll.DBRW($D$4,$E$7,$E$8,$E$9,$E$10,$E$12,$D272,$E$6,AW$18,AW$17)</f>
        <v>1.0075290000000001E-2</v>
      </c>
      <c r="AX272" s="16">
        <f ca="1">_xll.DBRW($D$4,$E$7,$E$8,$E$9,$E$10,$E$12,$D272,$E$6,AX$18,AX$17)</f>
        <v>0</v>
      </c>
      <c r="AY272" s="16">
        <f ca="1">_xll.DBRW($D$4,$E$7,$E$8,$E$9,$E$10,$E$12,$D272,$E$6,AY$18,AY$17)</f>
        <v>0</v>
      </c>
      <c r="AZ272" s="16">
        <f ca="1">_xll.DBRW($D$4,$E$7,$E$8,$E$9,$E$10,$E$12,$D272,$E$6,AZ$18,AZ$17)</f>
        <v>0</v>
      </c>
      <c r="BA272" s="16">
        <f ca="1">_xll.DBRW($D$4,$E$7,$E$8,$E$9,$E$10,$E$12,$D272,$E$6,BA$18,BA$17)</f>
        <v>0</v>
      </c>
      <c r="BB272" s="16">
        <f ca="1">_xll.DBRW($D$4,$E$7,$E$8,$E$9,$E$10,$E$12,$D272,$E$6,BB$18,BB$17)</f>
        <v>1.0075290000000001E-2</v>
      </c>
      <c r="BC272" s="16">
        <f ca="1">_xll.DBRW($D$4,$E$7,$E$8,$E$9,$E$10,$E$12,$D272,$E$6,BC$18,BC$17)</f>
        <v>1.0075290000000001E-2</v>
      </c>
      <c r="BD272" s="16">
        <f ca="1">_xll.DBRW($D$4,$E$7,$E$8,$E$9,$E$10,$E$12,$D272,$E$6,BD$18,BD$17)</f>
        <v>0.15321339999999989</v>
      </c>
      <c r="BE272" s="16">
        <f ca="1">_xll.DBRW($D$4,$E$7,$E$8,$E$9,$E$10,$E$12,$D272,$E$6,BE$18,BE$17)</f>
        <v>-1.3013E-2</v>
      </c>
      <c r="BF272" s="16">
        <f ca="1">_xll.DBRW($D$4,$E$7,$E$8,$E$9,$E$10,$E$12,$D272,$E$6,BF$18,BF$17)</f>
        <v>-1.3044079999999996E-2</v>
      </c>
      <c r="BG272" s="26">
        <f ca="1">_xll.DBRW($D$4,$E$7,$E$8,$E$9,$E$10,$E$12,$D272,$E$6,BG$18,BG$17)</f>
        <v>0</v>
      </c>
      <c r="BH272" s="26">
        <f ca="1">_xll.DBRW($D$4,$E$7,$E$8,$E$9,$E$10,$E$12,$D272,$E$6,BH$18,BH$17)</f>
        <v>0</v>
      </c>
      <c r="BI272" s="26">
        <f ca="1">_xll.DBRW($D$4,$E$7,$E$8,$E$9,$E$10,$E$12,$D272,$E$6,BI$18,BI$17)</f>
        <v>0</v>
      </c>
      <c r="BJ272" s="26">
        <f ca="1">_xll.DBRW($D$4,$E$7,$E$8,$E$9,$E$10,$E$12,$D272,$E$6,BJ$18,BJ$17)</f>
        <v>0</v>
      </c>
      <c r="BK272" s="16">
        <f ca="1">_xll.DBRW($D$4,$E$7,$E$8,$E$9,$E$10,$E$12,$D272,$E$6,BK$18,BK$17)</f>
        <v>0.16622639999999989</v>
      </c>
      <c r="BL272" s="16">
        <f ca="1">_xll.DBRW($D$4,$E$7,$E$8,$E$9,$E$10,$E$12,$D272,$E$6,BL$18,BL$17)</f>
        <v>0.62818569999999985</v>
      </c>
      <c r="BM272" s="16">
        <f ca="1">_xll.DBRW($D$4,$E$7,$E$8,$E$9,$E$10,$E$12,$D272,$E$6,BM$18,BM$17)</f>
        <v>-0.13685315000000001</v>
      </c>
      <c r="BN272" s="16">
        <f ca="1">_xll.DBRW($D$4,$E$7,$E$8,$E$9,$E$10,$E$12,$D272,$E$6,BN$18,BN$17)</f>
        <v>0.21785460891580313</v>
      </c>
      <c r="BO272" s="16"/>
      <c r="BP272" s="16"/>
      <c r="BQ272" s="16"/>
      <c r="BR272" s="16"/>
      <c r="BS272" s="16">
        <f ca="1">_xll.DBRW($D$4,$E$7,$E$8,$E$9,$E$10,$E$12,$D272,$E$6,BS$18,BS$17)</f>
        <v>-7.2754159999999998E-2</v>
      </c>
      <c r="BT272" s="16">
        <f ca="1">_xll.DBRW($D$4,$E$7,$E$8,$E$9,$E$10,$E$12,$D272,$E$6,BT$18,BT$17)</f>
        <v>0.11581632628695626</v>
      </c>
      <c r="BU272" s="16"/>
      <c r="BV272" s="16"/>
      <c r="BW272" s="16"/>
      <c r="BX272" s="16"/>
      <c r="BY272" s="16">
        <f ca="1">_xll.DBRW($D$4,$E$7,$E$8,$E$9,$E$10,$E$12,$D272,$E$6,BY$18,BY$17)</f>
        <v>0</v>
      </c>
      <c r="BZ272" s="16">
        <f ca="1">_xll.DBRW($D$4,$E$7,$E$8,$E$9,$E$10,$E$12,$D272,$E$6,BZ$18,BZ$17)</f>
        <v>0</v>
      </c>
      <c r="CA272" s="16"/>
      <c r="CB272" s="16"/>
      <c r="CC272" s="16"/>
      <c r="CD272" s="16"/>
      <c r="CE272" s="16">
        <f ca="1">_xll.DBRW($D$4,$E$7,$E$8,$E$9,$E$10,$E$12,$D272,$E$6,CE$18,CE$17)</f>
        <v>-5.2589999999999981E-3</v>
      </c>
      <c r="CF272" s="16">
        <f ca="1">_xll.DBRW($D$4,$E$7,$E$8,$E$9,$E$10,$E$12,$D272,$E$6,CF$18,CF$17)</f>
        <v>8.3717282962665323E-3</v>
      </c>
      <c r="CG272" s="16"/>
      <c r="CH272" s="16"/>
      <c r="CI272" s="16"/>
      <c r="CJ272" s="16"/>
      <c r="CK272" s="16">
        <f ca="1">_xll.DBRW($D$4,$E$7,$E$8,$E$9,$E$10,$E$12,$D272,$E$6,CK$18,CK$17)</f>
        <v>-0.24709298999999996</v>
      </c>
      <c r="CL272" s="16">
        <f ca="1">_xll.DBRW($D$4,$E$7,$E$8,$E$9,$E$10,$E$12,$D272,$E$6,CL$18,CL$17)</f>
        <v>0.39334386312837116</v>
      </c>
      <c r="CM272" s="16"/>
      <c r="CN272" s="16"/>
      <c r="CO272" s="16"/>
      <c r="CP272" s="16"/>
      <c r="CQ272" s="16">
        <f ca="1">_xll.DBRW($D$4,$E$7,$E$8,$E$9,$E$10,$E$12,$D272,$E$6,CQ$18,CQ$17)</f>
        <v>8.6915699999999992E-3</v>
      </c>
      <c r="CR272" s="16">
        <f ca="1">_xll.DBRW($D$4,$E$7,$E$8,$E$9,$E$10,$E$12,$D272,$E$6,CR$18,CR$17)</f>
        <v>8.0477400000000011E-3</v>
      </c>
      <c r="CS272" s="16">
        <f ca="1">_xll.DBRW($D$4,$E$7,$E$8,$E$9,$E$10,$E$12,$D272,$E$6,CS$18,CS$17)</f>
        <v>0.10870083</v>
      </c>
      <c r="CT272" s="16">
        <f ca="1">_xll.DBRW($D$4,$E$7,$E$8,$E$9,$E$10,$E$12,$D272,$E$6,CT$18,CT$17)</f>
        <v>8.0477400000000011E-3</v>
      </c>
      <c r="CU272" s="16">
        <f ca="1">_xll.DBRW($D$4,$E$7,$E$8,$E$9,$E$10,$E$12,$D272,$E$6,CU$18,CU$17)</f>
        <v>0</v>
      </c>
      <c r="CV272" s="16">
        <f ca="1">_xll.DBRW($D$4,$E$7,$E$8,$E$9,$E$10,$E$12,$D272,$E$6,CV$18,CV$17)</f>
        <v>0</v>
      </c>
      <c r="CW272" s="16">
        <f ca="1">_xll.DBRW($D$4,$E$7,$E$8,$E$9,$E$10,$E$12,$D272,$E$6,CW$18,CW$17)</f>
        <v>0</v>
      </c>
      <c r="CX272" s="16">
        <f ca="1">_xll.DBRW($D$4,$E$7,$E$8,$E$9,$E$10,$E$12,$D272,$E$6,CX$18,CX$17)</f>
        <v>0</v>
      </c>
      <c r="CY272" s="16">
        <f ca="1">_xll.DBRW($D$4,$E$7,$E$8,$E$9,$E$10,$E$12,$D272,$E$6,CY$18,CY$17)</f>
        <v>8.0477400000000011E-3</v>
      </c>
      <c r="CZ272" s="16">
        <f ca="1">_xll.DBRW($D$4,$E$7,$E$8,$E$9,$E$10,$E$12,$D272,$E$6,CZ$18,CZ$17)</f>
        <v>8.0477400000000011E-3</v>
      </c>
      <c r="DA272" s="26">
        <f t="shared" ca="1" si="146"/>
        <v>2.7887450000000008E-2</v>
      </c>
      <c r="DB272" s="26">
        <f t="shared" ca="1" si="147"/>
        <v>-3.6808899999999992E-3</v>
      </c>
      <c r="DC272" s="26">
        <f t="shared" ca="1" si="148"/>
        <v>1.3044079999999996E-2</v>
      </c>
      <c r="DD272" s="26">
        <f t="shared" ca="1" si="149"/>
        <v>0</v>
      </c>
      <c r="DE272" s="26">
        <f t="shared" ca="1" si="150"/>
        <v>0</v>
      </c>
      <c r="DF272" s="26">
        <f t="shared" ca="1" si="151"/>
        <v>0</v>
      </c>
      <c r="DG272" s="26">
        <f t="shared" ca="1" si="152"/>
        <v>0</v>
      </c>
      <c r="DH272" s="26">
        <f t="shared" ca="1" si="153"/>
        <v>3.156834E-2</v>
      </c>
      <c r="DI272" s="26">
        <f t="shared" ca="1" si="154"/>
        <v>0.15321651000000025</v>
      </c>
      <c r="DJ272" s="26">
        <f t="shared" ca="1" si="155"/>
        <v>-9.0292299999999714E-3</v>
      </c>
      <c r="DK272" s="26">
        <f t="shared" ca="1" si="156"/>
        <v>-3.1161535703225496E-2</v>
      </c>
      <c r="DL272" s="26"/>
      <c r="DM272" s="26"/>
      <c r="DN272" s="26"/>
      <c r="DO272" s="26"/>
      <c r="DP272" s="26">
        <f t="shared" ca="1" si="157"/>
        <v>-4.3204369999999992E-2</v>
      </c>
      <c r="DQ272" s="26">
        <f t="shared" ca="1" si="158"/>
        <v>3.2581679907574435E-2</v>
      </c>
      <c r="DR272" s="26"/>
      <c r="DS272" s="26"/>
      <c r="DT272" s="26"/>
      <c r="DU272" s="26"/>
      <c r="DV272" s="26">
        <f t="shared" ca="1" si="159"/>
        <v>-2.7929999999999999E-5</v>
      </c>
      <c r="DW272" s="26">
        <f t="shared" ca="1" si="160"/>
        <v>3.574343614922716E-5</v>
      </c>
      <c r="DX272" s="26"/>
      <c r="DY272" s="26"/>
      <c r="DZ272" s="26"/>
      <c r="EA272" s="26"/>
      <c r="EB272" s="26">
        <f t="shared" ca="1" si="161"/>
        <v>3.5843899999999981E-3</v>
      </c>
      <c r="EC272" s="26">
        <f t="shared" ca="1" si="162"/>
        <v>-6.2286450306074815E-3</v>
      </c>
      <c r="ED272" s="26"/>
      <c r="EE272" s="26"/>
      <c r="EF272" s="26"/>
      <c r="EG272" s="26"/>
      <c r="EH272" s="26">
        <f t="shared" ca="1" si="163"/>
        <v>-7.2971030000000103E-2</v>
      </c>
      <c r="EI272" s="29">
        <f t="shared" ca="1" si="164"/>
        <v>1.6258280177571138E-2</v>
      </c>
      <c r="EJ272" s="29"/>
      <c r="EK272" s="29"/>
      <c r="EL272" s="29"/>
      <c r="EM272" s="29"/>
      <c r="EN272" s="93"/>
      <c r="EO272" s="29"/>
      <c r="EP272" s="29"/>
      <c r="EQ272" s="29"/>
      <c r="ER272" s="29"/>
      <c r="ES272" s="29"/>
      <c r="ET272" s="29"/>
      <c r="EU272" s="93"/>
      <c r="EV272" s="29"/>
      <c r="EW272" s="29"/>
      <c r="EX272" s="29"/>
      <c r="EY272" s="29"/>
      <c r="EZ272" s="29"/>
      <c r="FA272" s="29"/>
      <c r="FB272" s="93"/>
      <c r="FC272" s="29"/>
      <c r="FD272" s="29"/>
      <c r="FE272" s="29"/>
      <c r="FF272" s="29"/>
      <c r="FG272" s="29"/>
      <c r="FH272" s="29"/>
      <c r="FI272" s="93"/>
      <c r="FJ272" s="29"/>
      <c r="FK272" s="29"/>
      <c r="FL272" s="29"/>
      <c r="FM272" s="29"/>
      <c r="FN272" s="29"/>
      <c r="FO272" s="29"/>
      <c r="FP272" s="93"/>
      <c r="FQ272" s="29"/>
      <c r="FR272" s="29"/>
      <c r="FS272" s="29"/>
      <c r="FT272" s="29"/>
      <c r="FU272" s="29"/>
      <c r="FV272" s="29"/>
    </row>
    <row r="273" spans="1:178" x14ac:dyDescent="0.25">
      <c r="A273" t="str">
        <f ca="1">IF(_xll.TM1RPTELISCONSOLIDATED($D$28,$D273),IF(_xll.TM1RPTELLEV($D$28,$D273)&lt;=3,_xll.TM1RPTELLEV($D$28,$D273),"D"),"N")</f>
        <v>N</v>
      </c>
      <c r="B273" t="str">
        <f ca="1">_xll.DBRA(Server&amp;"Management_organization",$D273,$B$27)</f>
        <v>L</v>
      </c>
      <c r="C273">
        <v>1</v>
      </c>
      <c r="D273" s="2" t="s">
        <v>362</v>
      </c>
      <c r="E273" s="26"/>
      <c r="F273" s="26"/>
      <c r="G273" s="16">
        <f ca="1">_xll.DBRW($D$4,$E$7,$E$8,$E$9,$E$10,$E$12,$D273,$E$6,G$18,G$17)</f>
        <v>-0.54371513999999987</v>
      </c>
      <c r="H273" s="16">
        <f ca="1">_xll.DBRW($D$4,$E$7,$E$8,$E$9,$E$10,$E$12,$D273,$E$6,H$18,H$17)</f>
        <v>-0.78228803000000002</v>
      </c>
      <c r="I273" s="16">
        <f ca="1">_xll.DBRW($D$4,$E$7,$E$8,$E$9,$E$10,$E$12,$D273,$E$6,I$18,I$17)</f>
        <v>8.6736173798840355E-19</v>
      </c>
      <c r="J273" s="26">
        <f ca="1">_xll.DBRW($D$4,$E$7,$E$8,$E$9,$E$10,$E$12,$D273,$E$6,J$18,J$17)</f>
        <v>0</v>
      </c>
      <c r="K273" s="26">
        <f ca="1">_xll.DBRW($D$4,$E$7,$E$8,$E$9,$E$10,$E$12,$D273,$E$6,K$18,K$17)</f>
        <v>0</v>
      </c>
      <c r="L273" s="26">
        <f ca="1">_xll.DBRW($D$4,$E$7,$E$8,$E$9,$E$10,$E$12,$D273,$E$6,L$18,L$17)</f>
        <v>0</v>
      </c>
      <c r="M273" s="26">
        <f ca="1">_xll.DBRW($D$4,$E$7,$E$8,$E$9,$E$10,$E$12,$D273,$E$6,M$18,M$17)</f>
        <v>0</v>
      </c>
      <c r="N273" s="16">
        <f ca="1">_xll.DBRW($D$4,$E$7,$E$8,$E$9,$E$10,$E$12,$D273,$E$6,N$18,N$17)</f>
        <v>0.23857289000000015</v>
      </c>
      <c r="O273" s="16">
        <f ca="1">_xll.DBRW($D$4,$E$7,$E$8,$E$9,$E$10,$E$12,$D273,$E$6,O$18,O$17)</f>
        <v>20.451253520000002</v>
      </c>
      <c r="P273" s="74">
        <f ca="1">_xll.DBRW($D$4,$E$7,$E$8,$E$9,$E$10,$E$12,$D273,$E$6,P$18,P$17)</f>
        <v>-8.2066028700000011</v>
      </c>
      <c r="Q273" s="16">
        <f ca="1">_xll.DBRW($D$4,$E$7,$E$8,$E$9,$E$10,$E$12,$D273,$E$6,Q$18,Q$17)</f>
        <v>0.40127627687830847</v>
      </c>
      <c r="R273" s="16"/>
      <c r="S273" s="16"/>
      <c r="T273" s="16"/>
      <c r="U273" s="16"/>
      <c r="V273" s="16">
        <f ca="1">_xll.DBRW($D$4,$E$7,$E$8,$E$9,$E$10,$E$12,$D273,$E$6,V$18,V$17)</f>
        <v>-4.637512169999999</v>
      </c>
      <c r="W273" s="16">
        <f ca="1">_xll.DBRW($D$4,$E$7,$E$8,$E$9,$E$10,$E$12,$D273,$E$6,W$18,W$17)</f>
        <v>0.22675931162189214</v>
      </c>
      <c r="X273" s="16"/>
      <c r="Y273" s="16"/>
      <c r="Z273" s="16"/>
      <c r="AA273" s="16"/>
      <c r="AB273" s="16">
        <f ca="1">_xll.DBRW($D$4,$E$7,$E$8,$E$9,$E$10,$E$12,$D273,$E$6,AB$18,AB$17)</f>
        <v>-1.0598000000000001E-4</v>
      </c>
      <c r="AC273" s="16">
        <f ca="1">_xll.DBRW($D$4,$E$7,$E$8,$E$9,$E$10,$E$12,$D273,$E$6,AC$18,AC$17)</f>
        <v>5.1820784430821535E-6</v>
      </c>
      <c r="AD273" s="16"/>
      <c r="AE273" s="16"/>
      <c r="AF273" s="16"/>
      <c r="AG273" s="16"/>
      <c r="AH273" s="16">
        <f ca="1">_xll.DBRW($D$4,$E$7,$E$8,$E$9,$E$10,$E$12,$D273,$E$6,AH$18,AH$17)</f>
        <v>-4.4830929999999998E-2</v>
      </c>
      <c r="AI273" s="16">
        <f ca="1">_xll.DBRW($D$4,$E$7,$E$8,$E$9,$E$10,$E$12,$D273,$E$6,AI$18,AI$17)</f>
        <v>2.1920871479177671E-3</v>
      </c>
      <c r="AJ273" s="16"/>
      <c r="AK273" s="16"/>
      <c r="AL273" s="16"/>
      <c r="AM273" s="16"/>
      <c r="AN273" s="16">
        <f ca="1">_xll.DBRW($D$4,$E$7,$E$8,$E$9,$E$10,$E$12,$D273,$E$6,AN$18,AN$17)</f>
        <v>-7.3236286799999988</v>
      </c>
      <c r="AO273" s="16">
        <f ca="1">_xll.DBRW($D$4,$E$7,$E$8,$E$9,$E$10,$E$12,$D273,$E$6,AO$18,AO$17)</f>
        <v>0.35810170133766933</v>
      </c>
      <c r="AP273" s="16"/>
      <c r="AQ273" s="16"/>
      <c r="AR273" s="16"/>
      <c r="AS273" s="16"/>
      <c r="AT273" s="16">
        <f ca="1">_xll.DBRW($D$4,$E$7,$E$8,$E$9,$E$10,$E$12,$D273,$E$6,AT$18,AT$17)</f>
        <v>0.34581662000000002</v>
      </c>
      <c r="AU273" s="16">
        <f ca="1">_xll.DBRW($D$4,$E$7,$E$8,$E$9,$E$10,$E$12,$D273,$E$6,AU$18,AU$17)</f>
        <v>0.20096522</v>
      </c>
      <c r="AV273" s="16">
        <f ca="1">_xll.DBRW($D$4,$E$7,$E$8,$E$9,$E$10,$E$12,$D273,$E$6,AV$18,AV$17)</f>
        <v>6.0446710000000001</v>
      </c>
      <c r="AW273" s="16">
        <f ca="1">_xll.DBRW($D$4,$E$7,$E$8,$E$9,$E$10,$E$12,$D273,$E$6,AW$18,AW$17)</f>
        <v>0.20096522</v>
      </c>
      <c r="AX273" s="16">
        <f ca="1">_xll.DBRW($D$4,$E$7,$E$8,$E$9,$E$10,$E$12,$D273,$E$6,AX$18,AX$17)</f>
        <v>0</v>
      </c>
      <c r="AY273" s="16">
        <f ca="1">_xll.DBRW($D$4,$E$7,$E$8,$E$9,$E$10,$E$12,$D273,$E$6,AY$18,AY$17)</f>
        <v>0</v>
      </c>
      <c r="AZ273" s="16">
        <f ca="1">_xll.DBRW($D$4,$E$7,$E$8,$E$9,$E$10,$E$12,$D273,$E$6,AZ$18,AZ$17)</f>
        <v>0</v>
      </c>
      <c r="BA273" s="16">
        <f ca="1">_xll.DBRW($D$4,$E$7,$E$8,$E$9,$E$10,$E$12,$D273,$E$6,BA$18,BA$17)</f>
        <v>0</v>
      </c>
      <c r="BB273" s="16">
        <f ca="1">_xll.DBRW($D$4,$E$7,$E$8,$E$9,$E$10,$E$12,$D273,$E$6,BB$18,BB$17)</f>
        <v>0.20096522</v>
      </c>
      <c r="BC273" s="16">
        <f ca="1">_xll.DBRW($D$4,$E$7,$E$8,$E$9,$E$10,$E$12,$D273,$E$6,BC$18,BC$17)</f>
        <v>0.20096522</v>
      </c>
      <c r="BD273" s="16">
        <f ca="1">_xll.DBRW($D$4,$E$7,$E$8,$E$9,$E$10,$E$12,$D273,$E$6,BD$18,BD$17)</f>
        <v>1.4853933100000003</v>
      </c>
      <c r="BE273" s="16">
        <f ca="1">_xll.DBRW($D$4,$E$7,$E$8,$E$9,$E$10,$E$12,$D273,$E$6,BE$18,BE$17)</f>
        <v>-0.54371745999999999</v>
      </c>
      <c r="BF273" s="16">
        <f ca="1">_xll.DBRW($D$4,$E$7,$E$8,$E$9,$E$10,$E$12,$D273,$E$6,BF$18,BF$17)</f>
        <v>-7.4063610000000002E-2</v>
      </c>
      <c r="BG273" s="26">
        <f ca="1">_xll.DBRW($D$4,$E$7,$E$8,$E$9,$E$10,$E$12,$D273,$E$6,BG$18,BG$17)</f>
        <v>0</v>
      </c>
      <c r="BH273" s="26">
        <f ca="1">_xll.DBRW($D$4,$E$7,$E$8,$E$9,$E$10,$E$12,$D273,$E$6,BH$18,BH$17)</f>
        <v>0</v>
      </c>
      <c r="BI273" s="26">
        <f ca="1">_xll.DBRW($D$4,$E$7,$E$8,$E$9,$E$10,$E$12,$D273,$E$6,BI$18,BI$17)</f>
        <v>0</v>
      </c>
      <c r="BJ273" s="26">
        <f ca="1">_xll.DBRW($D$4,$E$7,$E$8,$E$9,$E$10,$E$12,$D273,$E$6,BJ$18,BJ$17)</f>
        <v>0</v>
      </c>
      <c r="BK273" s="16">
        <f ca="1">_xll.DBRW($D$4,$E$7,$E$8,$E$9,$E$10,$E$12,$D273,$E$6,BK$18,BK$17)</f>
        <v>2.0291107700000004</v>
      </c>
      <c r="BL273" s="16">
        <f ca="1">_xll.DBRW($D$4,$E$7,$E$8,$E$9,$E$10,$E$12,$D273,$E$6,BL$18,BL$17)</f>
        <v>15.822395270000001</v>
      </c>
      <c r="BM273" s="16">
        <f ca="1">_xll.DBRW($D$4,$E$7,$E$8,$E$9,$E$10,$E$12,$D273,$E$6,BM$18,BM$17)</f>
        <v>-5.7629084100000005</v>
      </c>
      <c r="BN273" s="16">
        <f ca="1">_xll.DBRW($D$4,$E$7,$E$8,$E$9,$E$10,$E$12,$D273,$E$6,BN$18,BN$17)</f>
        <v>0.36422477833850753</v>
      </c>
      <c r="BO273" s="16"/>
      <c r="BP273" s="16"/>
      <c r="BQ273" s="16"/>
      <c r="BR273" s="16"/>
      <c r="BS273" s="16">
        <f ca="1">_xll.DBRW($D$4,$E$7,$E$8,$E$9,$E$10,$E$12,$D273,$E$6,BS$18,BS$17)</f>
        <v>-3.4260268200000006</v>
      </c>
      <c r="BT273" s="16">
        <f ca="1">_xll.DBRW($D$4,$E$7,$E$8,$E$9,$E$10,$E$12,$D273,$E$6,BT$18,BT$17)</f>
        <v>0.21653022576777026</v>
      </c>
      <c r="BU273" s="16"/>
      <c r="BV273" s="16"/>
      <c r="BW273" s="16"/>
      <c r="BX273" s="16"/>
      <c r="BY273" s="16">
        <f ca="1">_xll.DBRW($D$4,$E$7,$E$8,$E$9,$E$10,$E$12,$D273,$E$6,BY$18,BY$17)</f>
        <v>0</v>
      </c>
      <c r="BZ273" s="16">
        <f ca="1">_xll.DBRW($D$4,$E$7,$E$8,$E$9,$E$10,$E$12,$D273,$E$6,BZ$18,BZ$17)</f>
        <v>0</v>
      </c>
      <c r="CA273" s="16"/>
      <c r="CB273" s="16"/>
      <c r="CC273" s="16"/>
      <c r="CD273" s="16"/>
      <c r="CE273" s="16">
        <f ca="1">_xll.DBRW($D$4,$E$7,$E$8,$E$9,$E$10,$E$12,$D273,$E$6,CE$18,CE$17)</f>
        <v>-8.4708840000000007E-2</v>
      </c>
      <c r="CF273" s="16">
        <f ca="1">_xll.DBRW($D$4,$E$7,$E$8,$E$9,$E$10,$E$12,$D273,$E$6,CF$18,CF$17)</f>
        <v>5.3537304911483227E-3</v>
      </c>
      <c r="CG273" s="16"/>
      <c r="CH273" s="16"/>
      <c r="CI273" s="16"/>
      <c r="CJ273" s="16"/>
      <c r="CK273" s="16">
        <f ca="1">_xll.DBRW($D$4,$E$7,$E$8,$E$9,$E$10,$E$12,$D273,$E$6,CK$18,CK$17)</f>
        <v>-4.5196404299999999</v>
      </c>
      <c r="CL273" s="16">
        <f ca="1">_xll.DBRW($D$4,$E$7,$E$8,$E$9,$E$10,$E$12,$D273,$E$6,CL$18,CL$17)</f>
        <v>0.28564830753340165</v>
      </c>
      <c r="CM273" s="16"/>
      <c r="CN273" s="16"/>
      <c r="CO273" s="16"/>
      <c r="CP273" s="16"/>
      <c r="CQ273" s="16">
        <f ca="1">_xll.DBRW($D$4,$E$7,$E$8,$E$9,$E$10,$E$12,$D273,$E$6,CQ$18,CQ$17)</f>
        <v>0.24768323000000003</v>
      </c>
      <c r="CR273" s="16">
        <f ca="1">_xll.DBRW($D$4,$E$7,$E$8,$E$9,$E$10,$E$12,$D273,$E$6,CR$18,CR$17)</f>
        <v>0.15107573999999999</v>
      </c>
      <c r="CS273" s="16">
        <f ca="1">_xll.DBRW($D$4,$E$7,$E$8,$E$9,$E$10,$E$12,$D273,$E$6,CS$18,CS$17)</f>
        <v>4.5317053300000003</v>
      </c>
      <c r="CT273" s="16">
        <f ca="1">_xll.DBRW($D$4,$E$7,$E$8,$E$9,$E$10,$E$12,$D273,$E$6,CT$18,CT$17)</f>
        <v>0.15107573999999999</v>
      </c>
      <c r="CU273" s="16">
        <f ca="1">_xll.DBRW($D$4,$E$7,$E$8,$E$9,$E$10,$E$12,$D273,$E$6,CU$18,CU$17)</f>
        <v>0</v>
      </c>
      <c r="CV273" s="16">
        <f ca="1">_xll.DBRW($D$4,$E$7,$E$8,$E$9,$E$10,$E$12,$D273,$E$6,CV$18,CV$17)</f>
        <v>0</v>
      </c>
      <c r="CW273" s="16">
        <f ca="1">_xll.DBRW($D$4,$E$7,$E$8,$E$9,$E$10,$E$12,$D273,$E$6,CW$18,CW$17)</f>
        <v>0</v>
      </c>
      <c r="CX273" s="16">
        <f ca="1">_xll.DBRW($D$4,$E$7,$E$8,$E$9,$E$10,$E$12,$D273,$E$6,CX$18,CX$17)</f>
        <v>0</v>
      </c>
      <c r="CY273" s="16">
        <f ca="1">_xll.DBRW($D$4,$E$7,$E$8,$E$9,$E$10,$E$12,$D273,$E$6,CY$18,CY$17)</f>
        <v>0.15107573999999999</v>
      </c>
      <c r="CZ273" s="16">
        <f ca="1">_xll.DBRW($D$4,$E$7,$E$8,$E$9,$E$10,$E$12,$D273,$E$6,CZ$18,CZ$17)</f>
        <v>0.15107573999999999</v>
      </c>
      <c r="DA273" s="26">
        <f t="shared" ca="1" si="146"/>
        <v>-2.0291084500000003</v>
      </c>
      <c r="DB273" s="26">
        <f t="shared" ca="1" si="147"/>
        <v>-0.23857057000000004</v>
      </c>
      <c r="DC273" s="26">
        <f t="shared" ca="1" si="148"/>
        <v>7.4063610000000002E-2</v>
      </c>
      <c r="DD273" s="26">
        <f t="shared" ca="1" si="149"/>
        <v>0</v>
      </c>
      <c r="DE273" s="26">
        <f t="shared" ca="1" si="150"/>
        <v>0</v>
      </c>
      <c r="DF273" s="26">
        <f t="shared" ca="1" si="151"/>
        <v>0</v>
      </c>
      <c r="DG273" s="26">
        <f t="shared" ca="1" si="152"/>
        <v>0</v>
      </c>
      <c r="DH273" s="26">
        <f t="shared" ca="1" si="153"/>
        <v>-1.7905378800000002</v>
      </c>
      <c r="DI273" s="26">
        <f t="shared" ca="1" si="154"/>
        <v>4.6288582500000004</v>
      </c>
      <c r="DJ273" s="26">
        <f t="shared" ca="1" si="155"/>
        <v>-2.4436944600000006</v>
      </c>
      <c r="DK273" s="26">
        <f t="shared" ca="1" si="156"/>
        <v>3.7051498539800942E-2</v>
      </c>
      <c r="DL273" s="26"/>
      <c r="DM273" s="26"/>
      <c r="DN273" s="26"/>
      <c r="DO273" s="26"/>
      <c r="DP273" s="26">
        <f t="shared" ca="1" si="157"/>
        <v>-1.2114853499999985</v>
      </c>
      <c r="DQ273" s="26">
        <f t="shared" ca="1" si="158"/>
        <v>1.0229085854121883E-2</v>
      </c>
      <c r="DR273" s="26"/>
      <c r="DS273" s="26"/>
      <c r="DT273" s="26"/>
      <c r="DU273" s="26"/>
      <c r="DV273" s="26">
        <f t="shared" ca="1" si="159"/>
        <v>-1.0598000000000001E-4</v>
      </c>
      <c r="DW273" s="26">
        <f t="shared" ca="1" si="160"/>
        <v>5.1820784430821535E-6</v>
      </c>
      <c r="DX273" s="26"/>
      <c r="DY273" s="26"/>
      <c r="DZ273" s="26"/>
      <c r="EA273" s="26"/>
      <c r="EB273" s="26">
        <f t="shared" ca="1" si="161"/>
        <v>3.9877910000000009E-2</v>
      </c>
      <c r="EC273" s="26">
        <f t="shared" ca="1" si="162"/>
        <v>-3.1616433432305555E-3</v>
      </c>
      <c r="ED273" s="26"/>
      <c r="EE273" s="26"/>
      <c r="EF273" s="26"/>
      <c r="EG273" s="26"/>
      <c r="EH273" s="26">
        <f t="shared" ca="1" si="163"/>
        <v>-2.8039882499999988</v>
      </c>
      <c r="EI273" s="29">
        <f t="shared" ca="1" si="164"/>
        <v>7.2453393804267685E-2</v>
      </c>
      <c r="EJ273" s="29"/>
      <c r="EK273" s="29"/>
      <c r="EL273" s="29"/>
      <c r="EM273" s="29"/>
      <c r="EN273" s="93"/>
      <c r="EO273" s="29"/>
      <c r="EP273" s="29"/>
      <c r="EQ273" s="29"/>
      <c r="ER273" s="29"/>
      <c r="ES273" s="29"/>
      <c r="ET273" s="29"/>
      <c r="EU273" s="93"/>
      <c r="EV273" s="29"/>
      <c r="EW273" s="29"/>
      <c r="EX273" s="29"/>
      <c r="EY273" s="29"/>
      <c r="EZ273" s="29"/>
      <c r="FA273" s="29"/>
      <c r="FB273" s="93"/>
      <c r="FC273" s="29"/>
      <c r="FD273" s="29"/>
      <c r="FE273" s="29"/>
      <c r="FF273" s="29"/>
      <c r="FG273" s="29"/>
      <c r="FH273" s="29"/>
      <c r="FI273" s="93"/>
      <c r="FJ273" s="29"/>
      <c r="FK273" s="29"/>
      <c r="FL273" s="29"/>
      <c r="FM273" s="29"/>
      <c r="FN273" s="29"/>
      <c r="FO273" s="29"/>
      <c r="FP273" s="93"/>
      <c r="FQ273" s="29"/>
      <c r="FR273" s="29"/>
      <c r="FS273" s="29"/>
      <c r="FT273" s="29"/>
      <c r="FU273" s="29"/>
      <c r="FV273" s="29"/>
    </row>
    <row r="274" spans="1:178" x14ac:dyDescent="0.25">
      <c r="A274" t="str">
        <f ca="1">IF(_xll.TM1RPTELISCONSOLIDATED($D$28,$D274),IF(_xll.TM1RPTELLEV($D$28,$D274)&lt;=3,_xll.TM1RPTELLEV($D$28,$D274),"D"),"N")</f>
        <v>N</v>
      </c>
      <c r="B274" t="str">
        <f ca="1">_xll.DBRA(Server&amp;"Management_organization",$D274,$B$27)</f>
        <v>L</v>
      </c>
      <c r="C274">
        <v>1</v>
      </c>
      <c r="D274" s="2" t="s">
        <v>363</v>
      </c>
      <c r="E274" s="26"/>
      <c r="F274" s="26"/>
      <c r="G274" s="16">
        <f ca="1">_xll.DBRW($D$4,$E$7,$E$8,$E$9,$E$10,$E$12,$D274,$E$6,G$18,G$17)</f>
        <v>1.8787519800000005</v>
      </c>
      <c r="H274" s="16">
        <f ca="1">_xll.DBRW($D$4,$E$7,$E$8,$E$9,$E$10,$E$12,$D274,$E$6,H$18,H$17)</f>
        <v>-0.64275620000000011</v>
      </c>
      <c r="I274" s="16">
        <f ca="1">_xll.DBRW($D$4,$E$7,$E$8,$E$9,$E$10,$E$12,$D274,$E$6,I$18,I$17)</f>
        <v>0</v>
      </c>
      <c r="J274" s="26">
        <f ca="1">_xll.DBRW($D$4,$E$7,$E$8,$E$9,$E$10,$E$12,$D274,$E$6,J$18,J$17)</f>
        <v>0</v>
      </c>
      <c r="K274" s="26">
        <f ca="1">_xll.DBRW($D$4,$E$7,$E$8,$E$9,$E$10,$E$12,$D274,$E$6,K$18,K$17)</f>
        <v>0</v>
      </c>
      <c r="L274" s="26">
        <f ca="1">_xll.DBRW($D$4,$E$7,$E$8,$E$9,$E$10,$E$12,$D274,$E$6,L$18,L$17)</f>
        <v>0</v>
      </c>
      <c r="M274" s="26">
        <f ca="1">_xll.DBRW($D$4,$E$7,$E$8,$E$9,$E$10,$E$12,$D274,$E$6,M$18,M$17)</f>
        <v>0</v>
      </c>
      <c r="N274" s="16">
        <f ca="1">_xll.DBRW($D$4,$E$7,$E$8,$E$9,$E$10,$E$12,$D274,$E$6,N$18,N$17)</f>
        <v>2.5215081800000005</v>
      </c>
      <c r="O274" s="16">
        <f ca="1">_xll.DBRW($D$4,$E$7,$E$8,$E$9,$E$10,$E$12,$D274,$E$6,O$18,O$17)</f>
        <v>16.748163030000001</v>
      </c>
      <c r="P274" s="74">
        <f ca="1">_xll.DBRW($D$4,$E$7,$E$8,$E$9,$E$10,$E$12,$D274,$E$6,P$18,P$17)</f>
        <v>-5.7591196299999998</v>
      </c>
      <c r="Q274" s="16">
        <f ca="1">_xll.DBRW($D$4,$E$7,$E$8,$E$9,$E$10,$E$12,$D274,$E$6,Q$18,Q$17)</f>
        <v>0.34386574931734465</v>
      </c>
      <c r="R274" s="16"/>
      <c r="S274" s="16"/>
      <c r="T274" s="16"/>
      <c r="U274" s="16"/>
      <c r="V274" s="16">
        <f ca="1">_xll.DBRW($D$4,$E$7,$E$8,$E$9,$E$10,$E$12,$D274,$E$6,V$18,V$17)</f>
        <v>-2.6285855899999997</v>
      </c>
      <c r="W274" s="16">
        <f ca="1">_xll.DBRW($D$4,$E$7,$E$8,$E$9,$E$10,$E$12,$D274,$E$6,W$18,W$17)</f>
        <v>0.15694769541540579</v>
      </c>
      <c r="X274" s="16"/>
      <c r="Y274" s="16"/>
      <c r="Z274" s="16"/>
      <c r="AA274" s="16"/>
      <c r="AB274" s="16">
        <f ca="1">_xll.DBRW($D$4,$E$7,$E$8,$E$9,$E$10,$E$12,$D274,$E$6,AB$18,AB$17)</f>
        <v>-1.7357611099999999</v>
      </c>
      <c r="AC274" s="16">
        <f ca="1">_xll.DBRW($D$4,$E$7,$E$8,$E$9,$E$10,$E$12,$D274,$E$6,AC$18,AC$17)</f>
        <v>0.10363889501737193</v>
      </c>
      <c r="AD274" s="16"/>
      <c r="AE274" s="16"/>
      <c r="AF274" s="16"/>
      <c r="AG274" s="16"/>
      <c r="AH274" s="16">
        <f ca="1">_xll.DBRW($D$4,$E$7,$E$8,$E$9,$E$10,$E$12,$D274,$E$6,AH$18,AH$17)</f>
        <v>-0.15673852999999999</v>
      </c>
      <c r="AI274" s="16">
        <f ca="1">_xll.DBRW($D$4,$E$7,$E$8,$E$9,$E$10,$E$12,$D274,$E$6,AI$18,AI$17)</f>
        <v>9.358550529944297E-3</v>
      </c>
      <c r="AJ274" s="16"/>
      <c r="AK274" s="16"/>
      <c r="AL274" s="16"/>
      <c r="AM274" s="16"/>
      <c r="AN274" s="16">
        <f ca="1">_xll.DBRW($D$4,$E$7,$E$8,$E$9,$E$10,$E$12,$D274,$E$6,AN$18,AN$17)</f>
        <v>-3.9464499899999992</v>
      </c>
      <c r="AO274" s="16">
        <f ca="1">_xll.DBRW($D$4,$E$7,$E$8,$E$9,$E$10,$E$12,$D274,$E$6,AO$18,AO$17)</f>
        <v>0.23563479665984594</v>
      </c>
      <c r="AP274" s="16"/>
      <c r="AQ274" s="16"/>
      <c r="AR274" s="16"/>
      <c r="AS274" s="16"/>
      <c r="AT274" s="16">
        <f ca="1">_xll.DBRW($D$4,$E$7,$E$8,$E$9,$E$10,$E$12,$D274,$E$6,AT$18,AT$17)</f>
        <v>0.18864375</v>
      </c>
      <c r="AU274" s="16">
        <f ca="1">_xll.DBRW($D$4,$E$7,$E$8,$E$9,$E$10,$E$12,$D274,$E$6,AU$18,AU$17)</f>
        <v>0.16864198</v>
      </c>
      <c r="AV274" s="16">
        <f ca="1">_xll.DBRW($D$4,$E$7,$E$8,$E$9,$E$10,$E$12,$D274,$E$6,AV$18,AV$17)</f>
        <v>2.4548699999999997</v>
      </c>
      <c r="AW274" s="16">
        <f ca="1">_xll.DBRW($D$4,$E$7,$E$8,$E$9,$E$10,$E$12,$D274,$E$6,AW$18,AW$17)</f>
        <v>0.16864198</v>
      </c>
      <c r="AX274" s="16">
        <f ca="1">_xll.DBRW($D$4,$E$7,$E$8,$E$9,$E$10,$E$12,$D274,$E$6,AX$18,AX$17)</f>
        <v>0</v>
      </c>
      <c r="AY274" s="16">
        <f ca="1">_xll.DBRW($D$4,$E$7,$E$8,$E$9,$E$10,$E$12,$D274,$E$6,AY$18,AY$17)</f>
        <v>0</v>
      </c>
      <c r="AZ274" s="16">
        <f ca="1">_xll.DBRW($D$4,$E$7,$E$8,$E$9,$E$10,$E$12,$D274,$E$6,AZ$18,AZ$17)</f>
        <v>0</v>
      </c>
      <c r="BA274" s="16">
        <f ca="1">_xll.DBRW($D$4,$E$7,$E$8,$E$9,$E$10,$E$12,$D274,$E$6,BA$18,BA$17)</f>
        <v>0</v>
      </c>
      <c r="BB274" s="16">
        <f ca="1">_xll.DBRW($D$4,$E$7,$E$8,$E$9,$E$10,$E$12,$D274,$E$6,BB$18,BB$17)</f>
        <v>0.16864198</v>
      </c>
      <c r="BC274" s="16">
        <f ca="1">_xll.DBRW($D$4,$E$7,$E$8,$E$9,$E$10,$E$12,$D274,$E$6,BC$18,BC$17)</f>
        <v>0.16864198</v>
      </c>
      <c r="BD274" s="16">
        <f ca="1">_xll.DBRW($D$4,$E$7,$E$8,$E$9,$E$10,$E$12,$D274,$E$6,BD$18,BD$17)</f>
        <v>2.0438366399999994</v>
      </c>
      <c r="BE274" s="16">
        <f ca="1">_xll.DBRW($D$4,$E$7,$E$8,$E$9,$E$10,$E$12,$D274,$E$6,BE$18,BE$17)</f>
        <v>-0.36011035000000002</v>
      </c>
      <c r="BF274" s="16">
        <f ca="1">_xll.DBRW($D$4,$E$7,$E$8,$E$9,$E$10,$E$12,$D274,$E$6,BF$18,BF$17)</f>
        <v>-0.12428900000000002</v>
      </c>
      <c r="BG274" s="26">
        <f ca="1">_xll.DBRW($D$4,$E$7,$E$8,$E$9,$E$10,$E$12,$D274,$E$6,BG$18,BG$17)</f>
        <v>0</v>
      </c>
      <c r="BH274" s="26">
        <f ca="1">_xll.DBRW($D$4,$E$7,$E$8,$E$9,$E$10,$E$12,$D274,$E$6,BH$18,BH$17)</f>
        <v>0</v>
      </c>
      <c r="BI274" s="26">
        <f ca="1">_xll.DBRW($D$4,$E$7,$E$8,$E$9,$E$10,$E$12,$D274,$E$6,BI$18,BI$17)</f>
        <v>0</v>
      </c>
      <c r="BJ274" s="26">
        <f ca="1">_xll.DBRW($D$4,$E$7,$E$8,$E$9,$E$10,$E$12,$D274,$E$6,BJ$18,BJ$17)</f>
        <v>0</v>
      </c>
      <c r="BK274" s="16">
        <f ca="1">_xll.DBRW($D$4,$E$7,$E$8,$E$9,$E$10,$E$12,$D274,$E$6,BK$18,BK$17)</f>
        <v>2.4039469899999997</v>
      </c>
      <c r="BL274" s="16">
        <f ca="1">_xll.DBRW($D$4,$E$7,$E$8,$E$9,$E$10,$E$12,$D274,$E$6,BL$18,BL$17)</f>
        <v>13.08225558</v>
      </c>
      <c r="BM274" s="16">
        <f ca="1">_xll.DBRW($D$4,$E$7,$E$8,$E$9,$E$10,$E$12,$D274,$E$6,BM$18,BM$17)</f>
        <v>-4.4768769600000002</v>
      </c>
      <c r="BN274" s="16">
        <f ca="1">_xll.DBRW($D$4,$E$7,$E$8,$E$9,$E$10,$E$12,$D274,$E$6,BN$18,BN$17)</f>
        <v>0.34220986836889178</v>
      </c>
      <c r="BO274" s="16"/>
      <c r="BP274" s="16"/>
      <c r="BQ274" s="16"/>
      <c r="BR274" s="16"/>
      <c r="BS274" s="16">
        <f ca="1">_xll.DBRW($D$4,$E$7,$E$8,$E$9,$E$10,$E$12,$D274,$E$6,BS$18,BS$17)</f>
        <v>-1.9354814599999999</v>
      </c>
      <c r="BT274" s="16">
        <f ca="1">_xll.DBRW($D$4,$E$7,$E$8,$E$9,$E$10,$E$12,$D274,$E$6,BT$18,BT$17)</f>
        <v>0.14794707595828821</v>
      </c>
      <c r="BU274" s="16"/>
      <c r="BV274" s="16"/>
      <c r="BW274" s="16"/>
      <c r="BX274" s="16"/>
      <c r="BY274" s="16">
        <f ca="1">_xll.DBRW($D$4,$E$7,$E$8,$E$9,$E$10,$E$12,$D274,$E$6,BY$18,BY$17)</f>
        <v>-1.4552450000000003</v>
      </c>
      <c r="BZ274" s="16">
        <f ca="1">_xll.DBRW($D$4,$E$7,$E$8,$E$9,$E$10,$E$12,$D274,$E$6,BZ$18,BZ$17)</f>
        <v>0.11123808055124393</v>
      </c>
      <c r="CA274" s="16"/>
      <c r="CB274" s="16"/>
      <c r="CC274" s="16"/>
      <c r="CD274" s="16"/>
      <c r="CE274" s="16">
        <f ca="1">_xll.DBRW($D$4,$E$7,$E$8,$E$9,$E$10,$E$12,$D274,$E$6,CE$18,CE$17)</f>
        <v>-0.11257249</v>
      </c>
      <c r="CF274" s="16">
        <f ca="1">_xll.DBRW($D$4,$E$7,$E$8,$E$9,$E$10,$E$12,$D274,$E$6,CF$18,CF$17)</f>
        <v>8.6049755955004813E-3</v>
      </c>
      <c r="CG274" s="16"/>
      <c r="CH274" s="16"/>
      <c r="CI274" s="16"/>
      <c r="CJ274" s="16"/>
      <c r="CK274" s="16">
        <f ca="1">_xll.DBRW($D$4,$E$7,$E$8,$E$9,$E$10,$E$12,$D274,$E$6,CK$18,CK$17)</f>
        <v>-2.6981326800000005</v>
      </c>
      <c r="CL274" s="16">
        <f ca="1">_xll.DBRW($D$4,$E$7,$E$8,$E$9,$E$10,$E$12,$D274,$E$6,CL$18,CL$17)</f>
        <v>0.20624369119686625</v>
      </c>
      <c r="CM274" s="16"/>
      <c r="CN274" s="16"/>
      <c r="CO274" s="16"/>
      <c r="CP274" s="16"/>
      <c r="CQ274" s="16">
        <f ca="1">_xll.DBRW($D$4,$E$7,$E$8,$E$9,$E$10,$E$12,$D274,$E$6,CQ$18,CQ$17)</f>
        <v>0.14620791</v>
      </c>
      <c r="CR274" s="16">
        <f ca="1">_xll.DBRW($D$4,$E$7,$E$8,$E$9,$E$10,$E$12,$D274,$E$6,CR$18,CR$17)</f>
        <v>0.13044219999999995</v>
      </c>
      <c r="CS274" s="16">
        <f ca="1">_xll.DBRW($D$4,$E$7,$E$8,$E$9,$E$10,$E$12,$D274,$E$6,CS$18,CS$17)</f>
        <v>1.89750022</v>
      </c>
      <c r="CT274" s="16">
        <f ca="1">_xll.DBRW($D$4,$E$7,$E$8,$E$9,$E$10,$E$12,$D274,$E$6,CT$18,CT$17)</f>
        <v>0.13044219999999995</v>
      </c>
      <c r="CU274" s="16">
        <f ca="1">_xll.DBRW($D$4,$E$7,$E$8,$E$9,$E$10,$E$12,$D274,$E$6,CU$18,CU$17)</f>
        <v>0</v>
      </c>
      <c r="CV274" s="16">
        <f ca="1">_xll.DBRW($D$4,$E$7,$E$8,$E$9,$E$10,$E$12,$D274,$E$6,CV$18,CV$17)</f>
        <v>0</v>
      </c>
      <c r="CW274" s="16">
        <f ca="1">_xll.DBRW($D$4,$E$7,$E$8,$E$9,$E$10,$E$12,$D274,$E$6,CW$18,CW$17)</f>
        <v>0</v>
      </c>
      <c r="CX274" s="16">
        <f ca="1">_xll.DBRW($D$4,$E$7,$E$8,$E$9,$E$10,$E$12,$D274,$E$6,CX$18,CX$17)</f>
        <v>0</v>
      </c>
      <c r="CY274" s="16">
        <f ca="1">_xll.DBRW($D$4,$E$7,$E$8,$E$9,$E$10,$E$12,$D274,$E$6,CY$18,CY$17)</f>
        <v>0.13044219999999995</v>
      </c>
      <c r="CZ274" s="16">
        <f ca="1">_xll.DBRW($D$4,$E$7,$E$8,$E$9,$E$10,$E$12,$D274,$E$6,CZ$18,CZ$17)</f>
        <v>0.13044219999999995</v>
      </c>
      <c r="DA274" s="26">
        <f t="shared" ca="1" si="146"/>
        <v>-0.16508465999999888</v>
      </c>
      <c r="DB274" s="26">
        <f t="shared" ca="1" si="147"/>
        <v>-0.28264585000000009</v>
      </c>
      <c r="DC274" s="26">
        <f t="shared" ca="1" si="148"/>
        <v>0.12428900000000002</v>
      </c>
      <c r="DD274" s="26">
        <f t="shared" ca="1" si="149"/>
        <v>0</v>
      </c>
      <c r="DE274" s="26">
        <f t="shared" ca="1" si="150"/>
        <v>0</v>
      </c>
      <c r="DF274" s="26">
        <f t="shared" ca="1" si="151"/>
        <v>0</v>
      </c>
      <c r="DG274" s="26">
        <f t="shared" ca="1" si="152"/>
        <v>0</v>
      </c>
      <c r="DH274" s="26">
        <f t="shared" ca="1" si="153"/>
        <v>0.11756119000000087</v>
      </c>
      <c r="DI274" s="26">
        <f t="shared" ca="1" si="154"/>
        <v>3.6659074500000006</v>
      </c>
      <c r="DJ274" s="26">
        <f t="shared" ca="1" si="155"/>
        <v>-1.2822426699999996</v>
      </c>
      <c r="DK274" s="26">
        <f t="shared" ca="1" si="156"/>
        <v>1.6558809484528703E-3</v>
      </c>
      <c r="DL274" s="26"/>
      <c r="DM274" s="26"/>
      <c r="DN274" s="26"/>
      <c r="DO274" s="26"/>
      <c r="DP274" s="26">
        <f t="shared" ca="1" si="157"/>
        <v>-0.69310412999999982</v>
      </c>
      <c r="DQ274" s="26">
        <f t="shared" ca="1" si="158"/>
        <v>9.0006194571175813E-3</v>
      </c>
      <c r="DR274" s="26"/>
      <c r="DS274" s="26"/>
      <c r="DT274" s="26"/>
      <c r="DU274" s="26"/>
      <c r="DV274" s="26">
        <f t="shared" ca="1" si="159"/>
        <v>-0.28051610999999954</v>
      </c>
      <c r="DW274" s="26">
        <f t="shared" ca="1" si="160"/>
        <v>-7.5991855338719966E-3</v>
      </c>
      <c r="DX274" s="26"/>
      <c r="DY274" s="26"/>
      <c r="DZ274" s="26"/>
      <c r="EA274" s="26"/>
      <c r="EB274" s="26">
        <f t="shared" ca="1" si="161"/>
        <v>-4.416603999999999E-2</v>
      </c>
      <c r="EC274" s="26">
        <f t="shared" ca="1" si="162"/>
        <v>7.5357493444381564E-4</v>
      </c>
      <c r="ED274" s="26"/>
      <c r="EE274" s="26"/>
      <c r="EF274" s="26"/>
      <c r="EG274" s="26"/>
      <c r="EH274" s="26">
        <f t="shared" ca="1" si="163"/>
        <v>-1.2483173099999987</v>
      </c>
      <c r="EI274" s="29">
        <f t="shared" ca="1" si="164"/>
        <v>2.9391105462979683E-2</v>
      </c>
      <c r="EJ274" s="29"/>
      <c r="EK274" s="29"/>
      <c r="EL274" s="29"/>
      <c r="EM274" s="29"/>
      <c r="EN274" s="93"/>
      <c r="EO274" s="29"/>
      <c r="EP274" s="29"/>
      <c r="EQ274" s="29"/>
      <c r="ER274" s="29"/>
      <c r="ES274" s="29"/>
      <c r="ET274" s="29"/>
      <c r="EU274" s="93"/>
      <c r="EV274" s="29"/>
      <c r="EW274" s="29"/>
      <c r="EX274" s="29"/>
      <c r="EY274" s="29"/>
      <c r="EZ274" s="29"/>
      <c r="FA274" s="29"/>
      <c r="FB274" s="93"/>
      <c r="FC274" s="29"/>
      <c r="FD274" s="29"/>
      <c r="FE274" s="29"/>
      <c r="FF274" s="29"/>
      <c r="FG274" s="29"/>
      <c r="FH274" s="29"/>
      <c r="FI274" s="93"/>
      <c r="FJ274" s="29"/>
      <c r="FK274" s="29"/>
      <c r="FL274" s="29"/>
      <c r="FM274" s="29"/>
      <c r="FN274" s="29"/>
      <c r="FO274" s="29"/>
      <c r="FP274" s="93"/>
      <c r="FQ274" s="29"/>
      <c r="FR274" s="29"/>
      <c r="FS274" s="29"/>
      <c r="FT274" s="29"/>
      <c r="FU274" s="29"/>
      <c r="FV274" s="29"/>
    </row>
    <row r="275" spans="1:178" x14ac:dyDescent="0.25">
      <c r="A275" t="str">
        <f ca="1">IF(_xll.TM1RPTELISCONSOLIDATED($D$28,$D275),IF(_xll.TM1RPTELLEV($D$28,$D275)&lt;=3,_xll.TM1RPTELLEV($D$28,$D275),"D"),"N")</f>
        <v>N</v>
      </c>
      <c r="B275" t="str">
        <f ca="1">_xll.DBRA(Server&amp;"Management_organization",$D275,$B$27)</f>
        <v>L</v>
      </c>
      <c r="C275">
        <v>1</v>
      </c>
      <c r="D275" s="2" t="s">
        <v>364</v>
      </c>
      <c r="E275" s="26"/>
      <c r="F275" s="26"/>
      <c r="G275" s="16">
        <f ca="1">_xll.DBRW($D$4,$E$7,$E$8,$E$9,$E$10,$E$12,$D275,$E$6,G$18,G$17)</f>
        <v>2.1698035900000012</v>
      </c>
      <c r="H275" s="16">
        <f ca="1">_xll.DBRW($D$4,$E$7,$E$8,$E$9,$E$10,$E$12,$D275,$E$6,H$18,H$17)</f>
        <v>-0.44326967999999994</v>
      </c>
      <c r="I275" s="16">
        <f ca="1">_xll.DBRW($D$4,$E$7,$E$8,$E$9,$E$10,$E$12,$D275,$E$6,I$18,I$17)</f>
        <v>2.7105054312137611E-20</v>
      </c>
      <c r="J275" s="26">
        <f ca="1">_xll.DBRW($D$4,$E$7,$E$8,$E$9,$E$10,$E$12,$D275,$E$6,J$18,J$17)</f>
        <v>0</v>
      </c>
      <c r="K275" s="26">
        <f ca="1">_xll.DBRW($D$4,$E$7,$E$8,$E$9,$E$10,$E$12,$D275,$E$6,K$18,K$17)</f>
        <v>0</v>
      </c>
      <c r="L275" s="26">
        <f ca="1">_xll.DBRW($D$4,$E$7,$E$8,$E$9,$E$10,$E$12,$D275,$E$6,L$18,L$17)</f>
        <v>0</v>
      </c>
      <c r="M275" s="26">
        <f ca="1">_xll.DBRW($D$4,$E$7,$E$8,$E$9,$E$10,$E$12,$D275,$E$6,M$18,M$17)</f>
        <v>0</v>
      </c>
      <c r="N275" s="16">
        <f ca="1">_xll.DBRW($D$4,$E$7,$E$8,$E$9,$E$10,$E$12,$D275,$E$6,N$18,N$17)</f>
        <v>2.613073270000001</v>
      </c>
      <c r="O275" s="16">
        <f ca="1">_xll.DBRW($D$4,$E$7,$E$8,$E$9,$E$10,$E$12,$D275,$E$6,O$18,O$17)</f>
        <v>16.97415127</v>
      </c>
      <c r="P275" s="74">
        <f ca="1">_xll.DBRW($D$4,$E$7,$E$8,$E$9,$E$10,$E$12,$D275,$E$6,P$18,P$17)</f>
        <v>-7.7302520400000008</v>
      </c>
      <c r="Q275" s="16">
        <f ca="1">_xll.DBRW($D$4,$E$7,$E$8,$E$9,$E$10,$E$12,$D275,$E$6,Q$18,Q$17)</f>
        <v>0.45541317012193688</v>
      </c>
      <c r="R275" s="16"/>
      <c r="S275" s="16"/>
      <c r="T275" s="16"/>
      <c r="U275" s="16"/>
      <c r="V275" s="16">
        <f ca="1">_xll.DBRW($D$4,$E$7,$E$8,$E$9,$E$10,$E$12,$D275,$E$6,V$18,V$17)</f>
        <v>-2.8169144400000001</v>
      </c>
      <c r="W275" s="16">
        <f ca="1">_xll.DBRW($D$4,$E$7,$E$8,$E$9,$E$10,$E$12,$D275,$E$6,W$18,W$17)</f>
        <v>0.16595318347248358</v>
      </c>
      <c r="X275" s="16"/>
      <c r="Y275" s="16"/>
      <c r="Z275" s="16"/>
      <c r="AA275" s="16"/>
      <c r="AB275" s="16">
        <f ca="1">_xll.DBRW($D$4,$E$7,$E$8,$E$9,$E$10,$E$12,$D275,$E$6,AB$18,AB$17)</f>
        <v>0</v>
      </c>
      <c r="AC275" s="16">
        <f ca="1">_xll.DBRW($D$4,$E$7,$E$8,$E$9,$E$10,$E$12,$D275,$E$6,AC$18,AC$17)</f>
        <v>0</v>
      </c>
      <c r="AD275" s="16"/>
      <c r="AE275" s="16"/>
      <c r="AF275" s="16"/>
      <c r="AG275" s="16"/>
      <c r="AH275" s="16">
        <f ca="1">_xll.DBRW($D$4,$E$7,$E$8,$E$9,$E$10,$E$12,$D275,$E$6,AH$18,AH$17)</f>
        <v>-2.6840070000000001E-2</v>
      </c>
      <c r="AI275" s="16">
        <f ca="1">_xll.DBRW($D$4,$E$7,$E$8,$E$9,$E$10,$E$12,$D275,$E$6,AI$18,AI$17)</f>
        <v>1.5812319316039652E-3</v>
      </c>
      <c r="AJ275" s="16"/>
      <c r="AK275" s="16"/>
      <c r="AL275" s="16"/>
      <c r="AM275" s="16"/>
      <c r="AN275" s="16">
        <f ca="1">_xll.DBRW($D$4,$E$7,$E$8,$E$9,$E$10,$E$12,$D275,$E$6,AN$18,AN$17)</f>
        <v>-3.78707145</v>
      </c>
      <c r="AO275" s="16">
        <f ca="1">_xll.DBRW($D$4,$E$7,$E$8,$E$9,$E$10,$E$12,$D275,$E$6,AO$18,AO$17)</f>
        <v>0.22310814778075205</v>
      </c>
      <c r="AP275" s="16"/>
      <c r="AQ275" s="16"/>
      <c r="AR275" s="16"/>
      <c r="AS275" s="16"/>
      <c r="AT275" s="16">
        <f ca="1">_xll.DBRW($D$4,$E$7,$E$8,$E$9,$E$10,$E$12,$D275,$E$6,AT$18,AT$17)</f>
        <v>0.31604402999999998</v>
      </c>
      <c r="AU275" s="16">
        <f ca="1">_xll.DBRW($D$4,$E$7,$E$8,$E$9,$E$10,$E$12,$D275,$E$6,AU$18,AU$17)</f>
        <v>0.29550158999999998</v>
      </c>
      <c r="AV275" s="16">
        <f ca="1">_xll.DBRW($D$4,$E$7,$E$8,$E$9,$E$10,$E$12,$D275,$E$6,AV$18,AV$17)</f>
        <v>4.1893949999999993</v>
      </c>
      <c r="AW275" s="16">
        <f ca="1">_xll.DBRW($D$4,$E$7,$E$8,$E$9,$E$10,$E$12,$D275,$E$6,AW$18,AW$17)</f>
        <v>0.29550158999999998</v>
      </c>
      <c r="AX275" s="16">
        <f ca="1">_xll.DBRW($D$4,$E$7,$E$8,$E$9,$E$10,$E$12,$D275,$E$6,AX$18,AX$17)</f>
        <v>0</v>
      </c>
      <c r="AY275" s="16">
        <f ca="1">_xll.DBRW($D$4,$E$7,$E$8,$E$9,$E$10,$E$12,$D275,$E$6,AY$18,AY$17)</f>
        <v>0</v>
      </c>
      <c r="AZ275" s="16">
        <f ca="1">_xll.DBRW($D$4,$E$7,$E$8,$E$9,$E$10,$E$12,$D275,$E$6,AZ$18,AZ$17)</f>
        <v>0</v>
      </c>
      <c r="BA275" s="16">
        <f ca="1">_xll.DBRW($D$4,$E$7,$E$8,$E$9,$E$10,$E$12,$D275,$E$6,BA$18,BA$17)</f>
        <v>0</v>
      </c>
      <c r="BB275" s="16">
        <f ca="1">_xll.DBRW($D$4,$E$7,$E$8,$E$9,$E$10,$E$12,$D275,$E$6,BB$18,BB$17)</f>
        <v>0.29550158999999998</v>
      </c>
      <c r="BC275" s="16">
        <f ca="1">_xll.DBRW($D$4,$E$7,$E$8,$E$9,$E$10,$E$12,$D275,$E$6,BC$18,BC$17)</f>
        <v>0.29550158999999998</v>
      </c>
      <c r="BD275" s="16">
        <f ca="1">_xll.DBRW($D$4,$E$7,$E$8,$E$9,$E$10,$E$12,$D275,$E$6,BD$18,BD$17)</f>
        <v>1.7910900999999992</v>
      </c>
      <c r="BE275" s="16">
        <f ca="1">_xll.DBRW($D$4,$E$7,$E$8,$E$9,$E$10,$E$12,$D275,$E$6,BE$18,BE$17)</f>
        <v>-0.36610646000000002</v>
      </c>
      <c r="BF275" s="16">
        <f ca="1">_xll.DBRW($D$4,$E$7,$E$8,$E$9,$E$10,$E$12,$D275,$E$6,BF$18,BF$17)</f>
        <v>4.5571459999999994E-2</v>
      </c>
      <c r="BG275" s="26">
        <f ca="1">_xll.DBRW($D$4,$E$7,$E$8,$E$9,$E$10,$E$12,$D275,$E$6,BG$18,BG$17)</f>
        <v>0</v>
      </c>
      <c r="BH275" s="26">
        <f ca="1">_xll.DBRW($D$4,$E$7,$E$8,$E$9,$E$10,$E$12,$D275,$E$6,BH$18,BH$17)</f>
        <v>0</v>
      </c>
      <c r="BI275" s="26">
        <f ca="1">_xll.DBRW($D$4,$E$7,$E$8,$E$9,$E$10,$E$12,$D275,$E$6,BI$18,BI$17)</f>
        <v>0</v>
      </c>
      <c r="BJ275" s="26">
        <f ca="1">_xll.DBRW($D$4,$E$7,$E$8,$E$9,$E$10,$E$12,$D275,$E$6,BJ$18,BJ$17)</f>
        <v>0</v>
      </c>
      <c r="BK275" s="16">
        <f ca="1">_xll.DBRW($D$4,$E$7,$E$8,$E$9,$E$10,$E$12,$D275,$E$6,BK$18,BK$17)</f>
        <v>2.1571965599999987</v>
      </c>
      <c r="BL275" s="16">
        <f ca="1">_xll.DBRW($D$4,$E$7,$E$8,$E$9,$E$10,$E$12,$D275,$E$6,BL$18,BL$17)</f>
        <v>13.224243</v>
      </c>
      <c r="BM275" s="16">
        <f ca="1">_xll.DBRW($D$4,$E$7,$E$8,$E$9,$E$10,$E$12,$D275,$E$6,BM$18,BM$17)</f>
        <v>-5.7957307199999999</v>
      </c>
      <c r="BN275" s="16">
        <f ca="1">_xll.DBRW($D$4,$E$7,$E$8,$E$9,$E$10,$E$12,$D275,$E$6,BN$18,BN$17)</f>
        <v>0.4382655944843119</v>
      </c>
      <c r="BO275" s="16"/>
      <c r="BP275" s="16"/>
      <c r="BQ275" s="16"/>
      <c r="BR275" s="16"/>
      <c r="BS275" s="16">
        <f ca="1">_xll.DBRW($D$4,$E$7,$E$8,$E$9,$E$10,$E$12,$D275,$E$6,BS$18,BS$17)</f>
        <v>-2.3757026099999998</v>
      </c>
      <c r="BT275" s="16">
        <f ca="1">_xll.DBRW($D$4,$E$7,$E$8,$E$9,$E$10,$E$12,$D275,$E$6,BT$18,BT$17)</f>
        <v>0.17964753143147777</v>
      </c>
      <c r="BU275" s="16"/>
      <c r="BV275" s="16"/>
      <c r="BW275" s="16"/>
      <c r="BX275" s="16"/>
      <c r="BY275" s="16">
        <f ca="1">_xll.DBRW($D$4,$E$7,$E$8,$E$9,$E$10,$E$12,$D275,$E$6,BY$18,BY$17)</f>
        <v>0</v>
      </c>
      <c r="BZ275" s="16">
        <f ca="1">_xll.DBRW($D$4,$E$7,$E$8,$E$9,$E$10,$E$12,$D275,$E$6,BZ$18,BZ$17)</f>
        <v>0</v>
      </c>
      <c r="CA275" s="16"/>
      <c r="CB275" s="16"/>
      <c r="CC275" s="16"/>
      <c r="CD275" s="16"/>
      <c r="CE275" s="16">
        <f ca="1">_xll.DBRW($D$4,$E$7,$E$8,$E$9,$E$10,$E$12,$D275,$E$6,CE$18,CE$17)</f>
        <v>-3.1040129999999999E-2</v>
      </c>
      <c r="CF275" s="16">
        <f ca="1">_xll.DBRW($D$4,$E$7,$E$8,$E$9,$E$10,$E$12,$D275,$E$6,CF$18,CF$17)</f>
        <v>2.3472141278710621E-3</v>
      </c>
      <c r="CG275" s="16"/>
      <c r="CH275" s="16"/>
      <c r="CI275" s="16"/>
      <c r="CJ275" s="16"/>
      <c r="CK275" s="16">
        <f ca="1">_xll.DBRW($D$4,$E$7,$E$8,$E$9,$E$10,$E$12,$D275,$E$6,CK$18,CK$17)</f>
        <v>-2.8645729800000002</v>
      </c>
      <c r="CL275" s="16">
        <f ca="1">_xll.DBRW($D$4,$E$7,$E$8,$E$9,$E$10,$E$12,$D275,$E$6,CL$18,CL$17)</f>
        <v>0.21661527090813443</v>
      </c>
      <c r="CM275" s="16"/>
      <c r="CN275" s="16"/>
      <c r="CO275" s="16"/>
      <c r="CP275" s="16"/>
      <c r="CQ275" s="16">
        <f ca="1">_xll.DBRW($D$4,$E$7,$E$8,$E$9,$E$10,$E$12,$D275,$E$6,CQ$18,CQ$17)</f>
        <v>0.24426884999999998</v>
      </c>
      <c r="CR275" s="16">
        <f ca="1">_xll.DBRW($D$4,$E$7,$E$8,$E$9,$E$10,$E$12,$D275,$E$6,CR$18,CR$17)</f>
        <v>0.23008608999999997</v>
      </c>
      <c r="CS275" s="16">
        <f ca="1">_xll.DBRW($D$4,$E$7,$E$8,$E$9,$E$10,$E$12,$D275,$E$6,CS$18,CS$17)</f>
        <v>3.3035669300000001</v>
      </c>
      <c r="CT275" s="16">
        <f ca="1">_xll.DBRW($D$4,$E$7,$E$8,$E$9,$E$10,$E$12,$D275,$E$6,CT$18,CT$17)</f>
        <v>0.23008608999999997</v>
      </c>
      <c r="CU275" s="16">
        <f ca="1">_xll.DBRW($D$4,$E$7,$E$8,$E$9,$E$10,$E$12,$D275,$E$6,CU$18,CU$17)</f>
        <v>0</v>
      </c>
      <c r="CV275" s="16">
        <f ca="1">_xll.DBRW($D$4,$E$7,$E$8,$E$9,$E$10,$E$12,$D275,$E$6,CV$18,CV$17)</f>
        <v>0</v>
      </c>
      <c r="CW275" s="16">
        <f ca="1">_xll.DBRW($D$4,$E$7,$E$8,$E$9,$E$10,$E$12,$D275,$E$6,CW$18,CW$17)</f>
        <v>0</v>
      </c>
      <c r="CX275" s="16">
        <f ca="1">_xll.DBRW($D$4,$E$7,$E$8,$E$9,$E$10,$E$12,$D275,$E$6,CX$18,CX$17)</f>
        <v>0</v>
      </c>
      <c r="CY275" s="16">
        <f ca="1">_xll.DBRW($D$4,$E$7,$E$8,$E$9,$E$10,$E$12,$D275,$E$6,CY$18,CY$17)</f>
        <v>0.23008608999999997</v>
      </c>
      <c r="CZ275" s="16">
        <f ca="1">_xll.DBRW($D$4,$E$7,$E$8,$E$9,$E$10,$E$12,$D275,$E$6,CZ$18,CZ$17)</f>
        <v>0.23008608999999997</v>
      </c>
      <c r="DA275" s="26">
        <f t="shared" ca="1" si="146"/>
        <v>0.37871349000000198</v>
      </c>
      <c r="DB275" s="26">
        <f t="shared" ca="1" si="147"/>
        <v>-7.7163219999999921E-2</v>
      </c>
      <c r="DC275" s="26">
        <f t="shared" ca="1" si="148"/>
        <v>-4.5571459999999994E-2</v>
      </c>
      <c r="DD275" s="26">
        <f t="shared" ca="1" si="149"/>
        <v>0</v>
      </c>
      <c r="DE275" s="26">
        <f t="shared" ca="1" si="150"/>
        <v>0</v>
      </c>
      <c r="DF275" s="26">
        <f t="shared" ca="1" si="151"/>
        <v>0</v>
      </c>
      <c r="DG275" s="26">
        <f t="shared" ca="1" si="152"/>
        <v>0</v>
      </c>
      <c r="DH275" s="26">
        <f t="shared" ca="1" si="153"/>
        <v>0.45587671000000229</v>
      </c>
      <c r="DI275" s="26">
        <f t="shared" ca="1" si="154"/>
        <v>3.7499082700000006</v>
      </c>
      <c r="DJ275" s="26">
        <f t="shared" ca="1" si="155"/>
        <v>-1.9345213200000009</v>
      </c>
      <c r="DK275" s="26">
        <f t="shared" ca="1" si="156"/>
        <v>1.7147575637624979E-2</v>
      </c>
      <c r="DL275" s="26"/>
      <c r="DM275" s="26"/>
      <c r="DN275" s="26"/>
      <c r="DO275" s="26"/>
      <c r="DP275" s="26">
        <f t="shared" ca="1" si="157"/>
        <v>-0.4412118300000003</v>
      </c>
      <c r="DQ275" s="26">
        <f t="shared" ca="1" si="158"/>
        <v>-1.3694347958994185E-2</v>
      </c>
      <c r="DR275" s="26"/>
      <c r="DS275" s="26"/>
      <c r="DT275" s="26"/>
      <c r="DU275" s="26"/>
      <c r="DV275" s="26">
        <f t="shared" ca="1" si="159"/>
        <v>0</v>
      </c>
      <c r="DW275" s="26">
        <f t="shared" ca="1" si="160"/>
        <v>0</v>
      </c>
      <c r="DX275" s="26"/>
      <c r="DY275" s="26"/>
      <c r="DZ275" s="26"/>
      <c r="EA275" s="26"/>
      <c r="EB275" s="26">
        <f t="shared" ca="1" si="161"/>
        <v>4.2000599999999985E-3</v>
      </c>
      <c r="EC275" s="26">
        <f t="shared" ca="1" si="162"/>
        <v>-7.6598219626709688E-4</v>
      </c>
      <c r="ED275" s="26"/>
      <c r="EE275" s="26"/>
      <c r="EF275" s="26"/>
      <c r="EG275" s="26"/>
      <c r="EH275" s="26">
        <f t="shared" ca="1" si="163"/>
        <v>-0.92249846999999985</v>
      </c>
      <c r="EI275" s="29">
        <f t="shared" ca="1" si="164"/>
        <v>6.4928768726176256E-3</v>
      </c>
      <c r="EJ275" s="29"/>
      <c r="EK275" s="29"/>
      <c r="EL275" s="29"/>
      <c r="EM275" s="29"/>
      <c r="EN275" s="93"/>
      <c r="EO275" s="29"/>
      <c r="EP275" s="29"/>
      <c r="EQ275" s="29"/>
      <c r="ER275" s="29"/>
      <c r="ES275" s="29"/>
      <c r="ET275" s="29"/>
      <c r="EU275" s="93"/>
      <c r="EV275" s="29"/>
      <c r="EW275" s="29"/>
      <c r="EX275" s="29"/>
      <c r="EY275" s="29"/>
      <c r="EZ275" s="29"/>
      <c r="FA275" s="29"/>
      <c r="FB275" s="93"/>
      <c r="FC275" s="29"/>
      <c r="FD275" s="29"/>
      <c r="FE275" s="29"/>
      <c r="FF275" s="29"/>
      <c r="FG275" s="29"/>
      <c r="FH275" s="29"/>
      <c r="FI275" s="93"/>
      <c r="FJ275" s="29"/>
      <c r="FK275" s="29"/>
      <c r="FL275" s="29"/>
      <c r="FM275" s="29"/>
      <c r="FN275" s="29"/>
      <c r="FO275" s="29"/>
      <c r="FP275" s="93"/>
      <c r="FQ275" s="29"/>
      <c r="FR275" s="29"/>
      <c r="FS275" s="29"/>
      <c r="FT275" s="29"/>
      <c r="FU275" s="29"/>
      <c r="FV275" s="29"/>
    </row>
    <row r="276" spans="1:178" x14ac:dyDescent="0.25">
      <c r="A276" t="str">
        <f ca="1">IF(_xll.TM1RPTELISCONSOLIDATED($D$28,$D276),IF(_xll.TM1RPTELLEV($D$28,$D276)&lt;=3,_xll.TM1RPTELLEV($D$28,$D276),"D"),"N")</f>
        <v>N</v>
      </c>
      <c r="B276" t="str">
        <f ca="1">_xll.DBRA(Server&amp;"Management_organization",$D276,$B$27)</f>
        <v>L</v>
      </c>
      <c r="C276">
        <v>1</v>
      </c>
      <c r="D276" s="2" t="s">
        <v>278</v>
      </c>
      <c r="E276" s="26"/>
      <c r="F276" s="26"/>
      <c r="G276" s="16">
        <f ca="1">_xll.DBRW($D$4,$E$7,$E$8,$E$9,$E$10,$E$12,$D276,$E$6,G$18,G$17)</f>
        <v>0.63258958999999848</v>
      </c>
      <c r="H276" s="16">
        <f ca="1">_xll.DBRW($D$4,$E$7,$E$8,$E$9,$E$10,$E$12,$D276,$E$6,H$18,H$17)</f>
        <v>-0.98207403999999987</v>
      </c>
      <c r="I276" s="16">
        <f ca="1">_xll.DBRW($D$4,$E$7,$E$8,$E$9,$E$10,$E$12,$D276,$E$6,I$18,I$17)</f>
        <v>0</v>
      </c>
      <c r="J276" s="26">
        <f ca="1">_xll.DBRW($D$4,$E$7,$E$8,$E$9,$E$10,$E$12,$D276,$E$6,J$18,J$17)</f>
        <v>0</v>
      </c>
      <c r="K276" s="26">
        <f ca="1">_xll.DBRW($D$4,$E$7,$E$8,$E$9,$E$10,$E$12,$D276,$E$6,K$18,K$17)</f>
        <v>0</v>
      </c>
      <c r="L276" s="26">
        <f ca="1">_xll.DBRW($D$4,$E$7,$E$8,$E$9,$E$10,$E$12,$D276,$E$6,L$18,L$17)</f>
        <v>0</v>
      </c>
      <c r="M276" s="26">
        <f ca="1">_xll.DBRW($D$4,$E$7,$E$8,$E$9,$E$10,$E$12,$D276,$E$6,M$18,M$17)</f>
        <v>0</v>
      </c>
      <c r="N276" s="16">
        <f ca="1">_xll.DBRW($D$4,$E$7,$E$8,$E$9,$E$10,$E$12,$D276,$E$6,N$18,N$17)</f>
        <v>1.6146636299999984</v>
      </c>
      <c r="O276" s="16">
        <f ca="1">_xll.DBRW($D$4,$E$7,$E$8,$E$9,$E$10,$E$12,$D276,$E$6,O$18,O$17)</f>
        <v>16.272151829999999</v>
      </c>
      <c r="P276" s="74">
        <f ca="1">_xll.DBRW($D$4,$E$7,$E$8,$E$9,$E$10,$E$12,$D276,$E$6,P$18,P$17)</f>
        <v>-6.8226889399999999</v>
      </c>
      <c r="Q276" s="16">
        <f ca="1">_xll.DBRW($D$4,$E$7,$E$8,$E$9,$E$10,$E$12,$D276,$E$6,Q$18,Q$17)</f>
        <v>0.4192862143420647</v>
      </c>
      <c r="R276" s="16"/>
      <c r="S276" s="16"/>
      <c r="T276" s="16"/>
      <c r="U276" s="16"/>
      <c r="V276" s="16">
        <f ca="1">_xll.DBRW($D$4,$E$7,$E$8,$E$9,$E$10,$E$12,$D276,$E$6,V$18,V$17)</f>
        <v>-2.1261181099999997</v>
      </c>
      <c r="W276" s="16">
        <f ca="1">_xll.DBRW($D$4,$E$7,$E$8,$E$9,$E$10,$E$12,$D276,$E$6,W$18,W$17)</f>
        <v>0.13065992329792561</v>
      </c>
      <c r="X276" s="16"/>
      <c r="Y276" s="16"/>
      <c r="Z276" s="16"/>
      <c r="AA276" s="16"/>
      <c r="AB276" s="16">
        <f ca="1">_xll.DBRW($D$4,$E$7,$E$8,$E$9,$E$10,$E$12,$D276,$E$6,AB$18,AB$17)</f>
        <v>0</v>
      </c>
      <c r="AC276" s="16">
        <f ca="1">_xll.DBRW($D$4,$E$7,$E$8,$E$9,$E$10,$E$12,$D276,$E$6,AC$18,AC$17)</f>
        <v>0</v>
      </c>
      <c r="AD276" s="16"/>
      <c r="AE276" s="16"/>
      <c r="AF276" s="16"/>
      <c r="AG276" s="16"/>
      <c r="AH276" s="16">
        <f ca="1">_xll.DBRW($D$4,$E$7,$E$8,$E$9,$E$10,$E$12,$D276,$E$6,AH$18,AH$17)</f>
        <v>-4.9989159999999991E-2</v>
      </c>
      <c r="AI276" s="16">
        <f ca="1">_xll.DBRW($D$4,$E$7,$E$8,$E$9,$E$10,$E$12,$D276,$E$6,AI$18,AI$17)</f>
        <v>3.0720681887836093E-3</v>
      </c>
      <c r="AJ276" s="16"/>
      <c r="AK276" s="16"/>
      <c r="AL276" s="16"/>
      <c r="AM276" s="16"/>
      <c r="AN276" s="16">
        <f ca="1">_xll.DBRW($D$4,$E$7,$E$8,$E$9,$E$10,$E$12,$D276,$E$6,AN$18,AN$17)</f>
        <v>-5.6586919899999994</v>
      </c>
      <c r="AO276" s="16">
        <f ca="1">_xll.DBRW($D$4,$E$7,$E$8,$E$9,$E$10,$E$12,$D276,$E$6,AO$18,AO$17)</f>
        <v>0.34775314593411094</v>
      </c>
      <c r="AP276" s="16"/>
      <c r="AQ276" s="16"/>
      <c r="AR276" s="16"/>
      <c r="AS276" s="16"/>
      <c r="AT276" s="16">
        <f ca="1">_xll.DBRW($D$4,$E$7,$E$8,$E$9,$E$10,$E$12,$D276,$E$6,AT$18,AT$17)</f>
        <v>0.30170292999999998</v>
      </c>
      <c r="AU276" s="16">
        <f ca="1">_xll.DBRW($D$4,$E$7,$E$8,$E$9,$E$10,$E$12,$D276,$E$6,AU$18,AU$17)</f>
        <v>0.26956142</v>
      </c>
      <c r="AV276" s="16">
        <f ca="1">_xll.DBRW($D$4,$E$7,$E$8,$E$9,$E$10,$E$12,$D276,$E$6,AV$18,AV$17)</f>
        <v>4.1926609999999993</v>
      </c>
      <c r="AW276" s="16">
        <f ca="1">_xll.DBRW($D$4,$E$7,$E$8,$E$9,$E$10,$E$12,$D276,$E$6,AW$18,AW$17)</f>
        <v>0.26956142</v>
      </c>
      <c r="AX276" s="16">
        <f ca="1">_xll.DBRW($D$4,$E$7,$E$8,$E$9,$E$10,$E$12,$D276,$E$6,AX$18,AX$17)</f>
        <v>0</v>
      </c>
      <c r="AY276" s="16">
        <f ca="1">_xll.DBRW($D$4,$E$7,$E$8,$E$9,$E$10,$E$12,$D276,$E$6,AY$18,AY$17)</f>
        <v>0</v>
      </c>
      <c r="AZ276" s="16">
        <f ca="1">_xll.DBRW($D$4,$E$7,$E$8,$E$9,$E$10,$E$12,$D276,$E$6,AZ$18,AZ$17)</f>
        <v>0</v>
      </c>
      <c r="BA276" s="16">
        <f ca="1">_xll.DBRW($D$4,$E$7,$E$8,$E$9,$E$10,$E$12,$D276,$E$6,BA$18,BA$17)</f>
        <v>0</v>
      </c>
      <c r="BB276" s="16">
        <f ca="1">_xll.DBRW($D$4,$E$7,$E$8,$E$9,$E$10,$E$12,$D276,$E$6,BB$18,BB$17)</f>
        <v>0.26956142</v>
      </c>
      <c r="BC276" s="16">
        <f ca="1">_xll.DBRW($D$4,$E$7,$E$8,$E$9,$E$10,$E$12,$D276,$E$6,BC$18,BC$17)</f>
        <v>0.26956142</v>
      </c>
      <c r="BD276" s="16">
        <f ca="1">_xll.DBRW($D$4,$E$7,$E$8,$E$9,$E$10,$E$12,$D276,$E$6,BD$18,BD$17)</f>
        <v>1.5686584200000018</v>
      </c>
      <c r="BE276" s="16">
        <f ca="1">_xll.DBRW($D$4,$E$7,$E$8,$E$9,$E$10,$E$12,$D276,$E$6,BE$18,BE$17)</f>
        <v>-0.60290142000000002</v>
      </c>
      <c r="BF276" s="16">
        <f ca="1">_xll.DBRW($D$4,$E$7,$E$8,$E$9,$E$10,$E$12,$D276,$E$6,BF$18,BF$17)</f>
        <v>-5.3564419999999988E-2</v>
      </c>
      <c r="BG276" s="26">
        <f ca="1">_xll.DBRW($D$4,$E$7,$E$8,$E$9,$E$10,$E$12,$D276,$E$6,BG$18,BG$17)</f>
        <v>0</v>
      </c>
      <c r="BH276" s="26">
        <f ca="1">_xll.DBRW($D$4,$E$7,$E$8,$E$9,$E$10,$E$12,$D276,$E$6,BH$18,BH$17)</f>
        <v>0</v>
      </c>
      <c r="BI276" s="26">
        <f ca="1">_xll.DBRW($D$4,$E$7,$E$8,$E$9,$E$10,$E$12,$D276,$E$6,BI$18,BI$17)</f>
        <v>0</v>
      </c>
      <c r="BJ276" s="26">
        <f ca="1">_xll.DBRW($D$4,$E$7,$E$8,$E$9,$E$10,$E$12,$D276,$E$6,BJ$18,BJ$17)</f>
        <v>0</v>
      </c>
      <c r="BK276" s="16">
        <f ca="1">_xll.DBRW($D$4,$E$7,$E$8,$E$9,$E$10,$E$12,$D276,$E$6,BK$18,BK$17)</f>
        <v>2.1715598400000014</v>
      </c>
      <c r="BL276" s="16">
        <f ca="1">_xll.DBRW($D$4,$E$7,$E$8,$E$9,$E$10,$E$12,$D276,$E$6,BL$18,BL$17)</f>
        <v>12.846460670000001</v>
      </c>
      <c r="BM276" s="16">
        <f ca="1">_xll.DBRW($D$4,$E$7,$E$8,$E$9,$E$10,$E$12,$D276,$E$6,BM$18,BM$17)</f>
        <v>-5.0309112099999993</v>
      </c>
      <c r="BN276" s="16">
        <f ca="1">_xll.DBRW($D$4,$E$7,$E$8,$E$9,$E$10,$E$12,$D276,$E$6,BN$18,BN$17)</f>
        <v>0.39161846513480192</v>
      </c>
      <c r="BO276" s="16"/>
      <c r="BP276" s="16"/>
      <c r="BQ276" s="16"/>
      <c r="BR276" s="16"/>
      <c r="BS276" s="16">
        <f ca="1">_xll.DBRW($D$4,$E$7,$E$8,$E$9,$E$10,$E$12,$D276,$E$6,BS$18,BS$17)</f>
        <v>-1.7733435499999997</v>
      </c>
      <c r="BT276" s="16">
        <f ca="1">_xll.DBRW($D$4,$E$7,$E$8,$E$9,$E$10,$E$12,$D276,$E$6,BT$18,BT$17)</f>
        <v>0.13804141043620224</v>
      </c>
      <c r="BU276" s="16"/>
      <c r="BV276" s="16"/>
      <c r="BW276" s="16"/>
      <c r="BX276" s="16"/>
      <c r="BY276" s="16">
        <f ca="1">_xll.DBRW($D$4,$E$7,$E$8,$E$9,$E$10,$E$12,$D276,$E$6,BY$18,BY$17)</f>
        <v>0</v>
      </c>
      <c r="BZ276" s="16">
        <f ca="1">_xll.DBRW($D$4,$E$7,$E$8,$E$9,$E$10,$E$12,$D276,$E$6,BZ$18,BZ$17)</f>
        <v>0</v>
      </c>
      <c r="CA276" s="16"/>
      <c r="CB276" s="16"/>
      <c r="CC276" s="16"/>
      <c r="CD276" s="16"/>
      <c r="CE276" s="16">
        <f ca="1">_xll.DBRW($D$4,$E$7,$E$8,$E$9,$E$10,$E$12,$D276,$E$6,CE$18,CE$17)</f>
        <v>-4.186028E-2</v>
      </c>
      <c r="CF276" s="16">
        <f ca="1">_xll.DBRW($D$4,$E$7,$E$8,$E$9,$E$10,$E$12,$D276,$E$6,CF$18,CF$17)</f>
        <v>3.2585068428812617E-3</v>
      </c>
      <c r="CG276" s="16"/>
      <c r="CH276" s="16"/>
      <c r="CI276" s="16"/>
      <c r="CJ276" s="16"/>
      <c r="CK276" s="16">
        <f ca="1">_xll.DBRW($D$4,$E$7,$E$8,$E$9,$E$10,$E$12,$D276,$E$6,CK$18,CK$17)</f>
        <v>-3.8287857900000004</v>
      </c>
      <c r="CL276" s="16">
        <f ca="1">_xll.DBRW($D$4,$E$7,$E$8,$E$9,$E$10,$E$12,$D276,$E$6,CL$18,CL$17)</f>
        <v>0.29804207465027799</v>
      </c>
      <c r="CM276" s="16"/>
      <c r="CN276" s="16"/>
      <c r="CO276" s="16"/>
      <c r="CP276" s="16"/>
      <c r="CQ276" s="16">
        <f ca="1">_xll.DBRW($D$4,$E$7,$E$8,$E$9,$E$10,$E$12,$D276,$E$6,CQ$18,CQ$17)</f>
        <v>0.23039897000000004</v>
      </c>
      <c r="CR276" s="16">
        <f ca="1">_xll.DBRW($D$4,$E$7,$E$8,$E$9,$E$10,$E$12,$D276,$E$6,CR$18,CR$17)</f>
        <v>0.20838805999999996</v>
      </c>
      <c r="CS276" s="16">
        <f ca="1">_xll.DBRW($D$4,$E$7,$E$8,$E$9,$E$10,$E$12,$D276,$E$6,CS$18,CS$17)</f>
        <v>3.1229253699999999</v>
      </c>
      <c r="CT276" s="16">
        <f ca="1">_xll.DBRW($D$4,$E$7,$E$8,$E$9,$E$10,$E$12,$D276,$E$6,CT$18,CT$17)</f>
        <v>0.20838805999999996</v>
      </c>
      <c r="CU276" s="16">
        <f ca="1">_xll.DBRW($D$4,$E$7,$E$8,$E$9,$E$10,$E$12,$D276,$E$6,CU$18,CU$17)</f>
        <v>0</v>
      </c>
      <c r="CV276" s="16">
        <f ca="1">_xll.DBRW($D$4,$E$7,$E$8,$E$9,$E$10,$E$12,$D276,$E$6,CV$18,CV$17)</f>
        <v>0</v>
      </c>
      <c r="CW276" s="16">
        <f ca="1">_xll.DBRW($D$4,$E$7,$E$8,$E$9,$E$10,$E$12,$D276,$E$6,CW$18,CW$17)</f>
        <v>0</v>
      </c>
      <c r="CX276" s="16">
        <f ca="1">_xll.DBRW($D$4,$E$7,$E$8,$E$9,$E$10,$E$12,$D276,$E$6,CX$18,CX$17)</f>
        <v>0</v>
      </c>
      <c r="CY276" s="16">
        <f ca="1">_xll.DBRW($D$4,$E$7,$E$8,$E$9,$E$10,$E$12,$D276,$E$6,CY$18,CY$17)</f>
        <v>0.20838805999999996</v>
      </c>
      <c r="CZ276" s="16">
        <f ca="1">_xll.DBRW($D$4,$E$7,$E$8,$E$9,$E$10,$E$12,$D276,$E$6,CZ$18,CZ$17)</f>
        <v>0.20838805999999996</v>
      </c>
      <c r="DA276" s="26">
        <f t="shared" ca="1" si="146"/>
        <v>-0.93606883000000329</v>
      </c>
      <c r="DB276" s="26">
        <f t="shared" ca="1" si="147"/>
        <v>-0.37917261999999985</v>
      </c>
      <c r="DC276" s="26">
        <f t="shared" ca="1" si="148"/>
        <v>5.3564419999999988E-2</v>
      </c>
      <c r="DD276" s="26">
        <f t="shared" ca="1" si="149"/>
        <v>0</v>
      </c>
      <c r="DE276" s="26">
        <f t="shared" ca="1" si="150"/>
        <v>0</v>
      </c>
      <c r="DF276" s="26">
        <f t="shared" ca="1" si="151"/>
        <v>0</v>
      </c>
      <c r="DG276" s="26">
        <f t="shared" ca="1" si="152"/>
        <v>0</v>
      </c>
      <c r="DH276" s="26">
        <f t="shared" ca="1" si="153"/>
        <v>-0.556896210000003</v>
      </c>
      <c r="DI276" s="26">
        <f t="shared" ca="1" si="154"/>
        <v>3.4256911599999977</v>
      </c>
      <c r="DJ276" s="26">
        <f t="shared" ca="1" si="155"/>
        <v>-1.7917777300000006</v>
      </c>
      <c r="DK276" s="26">
        <f t="shared" ca="1" si="156"/>
        <v>2.7667749207262782E-2</v>
      </c>
      <c r="DL276" s="26"/>
      <c r="DM276" s="26"/>
      <c r="DN276" s="26"/>
      <c r="DO276" s="26"/>
      <c r="DP276" s="26">
        <f t="shared" ca="1" si="157"/>
        <v>-0.35277456000000007</v>
      </c>
      <c r="DQ276" s="26">
        <f t="shared" ca="1" si="158"/>
        <v>-7.3814871382766323E-3</v>
      </c>
      <c r="DR276" s="26"/>
      <c r="DS276" s="26"/>
      <c r="DT276" s="26"/>
      <c r="DU276" s="26"/>
      <c r="DV276" s="26">
        <f t="shared" ca="1" si="159"/>
        <v>0</v>
      </c>
      <c r="DW276" s="26">
        <f t="shared" ca="1" si="160"/>
        <v>0</v>
      </c>
      <c r="DX276" s="26"/>
      <c r="DY276" s="26"/>
      <c r="DZ276" s="26"/>
      <c r="EA276" s="26"/>
      <c r="EB276" s="26">
        <f t="shared" ca="1" si="161"/>
        <v>-8.1288799999999911E-3</v>
      </c>
      <c r="EC276" s="26">
        <f t="shared" ca="1" si="162"/>
        <v>-1.8643865409765249E-4</v>
      </c>
      <c r="ED276" s="26"/>
      <c r="EE276" s="26"/>
      <c r="EF276" s="26"/>
      <c r="EG276" s="26"/>
      <c r="EH276" s="26">
        <f t="shared" ca="1" si="163"/>
        <v>-1.829906199999999</v>
      </c>
      <c r="EI276" s="29">
        <f t="shared" ca="1" si="164"/>
        <v>4.9711071283832953E-2</v>
      </c>
      <c r="EJ276" s="29"/>
      <c r="EK276" s="29"/>
      <c r="EL276" s="29"/>
      <c r="EM276" s="29"/>
      <c r="EN276" s="93"/>
      <c r="EO276" s="29"/>
      <c r="EP276" s="29"/>
      <c r="EQ276" s="29"/>
      <c r="ER276" s="29"/>
      <c r="ES276" s="29"/>
      <c r="ET276" s="29"/>
      <c r="EU276" s="93"/>
      <c r="EV276" s="29"/>
      <c r="EW276" s="29"/>
      <c r="EX276" s="29"/>
      <c r="EY276" s="29"/>
      <c r="EZ276" s="29"/>
      <c r="FA276" s="29"/>
      <c r="FB276" s="93"/>
      <c r="FC276" s="29"/>
      <c r="FD276" s="29"/>
      <c r="FE276" s="29"/>
      <c r="FF276" s="29"/>
      <c r="FG276" s="29"/>
      <c r="FH276" s="29"/>
      <c r="FI276" s="93"/>
      <c r="FJ276" s="29"/>
      <c r="FK276" s="29"/>
      <c r="FL276" s="29"/>
      <c r="FM276" s="29"/>
      <c r="FN276" s="29"/>
      <c r="FO276" s="29"/>
      <c r="FP276" s="93"/>
      <c r="FQ276" s="29"/>
      <c r="FR276" s="29"/>
      <c r="FS276" s="29"/>
      <c r="FT276" s="29"/>
      <c r="FU276" s="29"/>
      <c r="FV276" s="29"/>
    </row>
    <row r="277" spans="1:178" x14ac:dyDescent="0.25">
      <c r="A277" t="str">
        <f ca="1">IF(_xll.TM1RPTELISCONSOLIDATED($D$28,$D277),IF(_xll.TM1RPTELLEV($D$28,$D277)&lt;=3,_xll.TM1RPTELLEV($D$28,$D277),"D"),"N")</f>
        <v>N</v>
      </c>
      <c r="B277" t="str">
        <f ca="1">_xll.DBRA(Server&amp;"Management_organization",$D277,$B$27)</f>
        <v>L</v>
      </c>
      <c r="C277">
        <v>1</v>
      </c>
      <c r="D277" s="2" t="s">
        <v>365</v>
      </c>
      <c r="E277" s="26"/>
      <c r="F277" s="26"/>
      <c r="G277" s="16">
        <f ca="1">_xll.DBRW($D$4,$E$7,$E$8,$E$9,$E$10,$E$12,$D277,$E$6,G$18,G$17)</f>
        <v>0.41491349000000022</v>
      </c>
      <c r="H277" s="16">
        <f ca="1">_xll.DBRW($D$4,$E$7,$E$8,$E$9,$E$10,$E$12,$D277,$E$6,H$18,H$17)</f>
        <v>-0.96493857999999988</v>
      </c>
      <c r="I277" s="16">
        <f ca="1">_xll.DBRW($D$4,$E$7,$E$8,$E$9,$E$10,$E$12,$D277,$E$6,I$18,I$17)</f>
        <v>0</v>
      </c>
      <c r="J277" s="26">
        <f ca="1">_xll.DBRW($D$4,$E$7,$E$8,$E$9,$E$10,$E$12,$D277,$E$6,J$18,J$17)</f>
        <v>0</v>
      </c>
      <c r="K277" s="26">
        <f ca="1">_xll.DBRW($D$4,$E$7,$E$8,$E$9,$E$10,$E$12,$D277,$E$6,K$18,K$17)</f>
        <v>0</v>
      </c>
      <c r="L277" s="26">
        <f ca="1">_xll.DBRW($D$4,$E$7,$E$8,$E$9,$E$10,$E$12,$D277,$E$6,L$18,L$17)</f>
        <v>0</v>
      </c>
      <c r="M277" s="26">
        <f ca="1">_xll.DBRW($D$4,$E$7,$E$8,$E$9,$E$10,$E$12,$D277,$E$6,M$18,M$17)</f>
        <v>0</v>
      </c>
      <c r="N277" s="16">
        <f ca="1">_xll.DBRW($D$4,$E$7,$E$8,$E$9,$E$10,$E$12,$D277,$E$6,N$18,N$17)</f>
        <v>1.3798520700000005</v>
      </c>
      <c r="O277" s="16">
        <f ca="1">_xll.DBRW($D$4,$E$7,$E$8,$E$9,$E$10,$E$12,$D277,$E$6,O$18,O$17)</f>
        <v>3.0439820799999997</v>
      </c>
      <c r="P277" s="74">
        <f ca="1">_xll.DBRW($D$4,$E$7,$E$8,$E$9,$E$10,$E$12,$D277,$E$6,P$18,P$17)</f>
        <v>-0.39494645999999978</v>
      </c>
      <c r="Q277" s="16">
        <f ca="1">_xll.DBRW($D$4,$E$7,$E$8,$E$9,$E$10,$E$12,$D277,$E$6,Q$18,Q$17)</f>
        <v>0.12974664423780044</v>
      </c>
      <c r="R277" s="16"/>
      <c r="S277" s="16"/>
      <c r="T277" s="16"/>
      <c r="U277" s="16"/>
      <c r="V277" s="16">
        <f ca="1">_xll.DBRW($D$4,$E$7,$E$8,$E$9,$E$10,$E$12,$D277,$E$6,V$18,V$17)</f>
        <v>-0.3629374600000001</v>
      </c>
      <c r="W277" s="16">
        <f ca="1">_xll.DBRW($D$4,$E$7,$E$8,$E$9,$E$10,$E$12,$D277,$E$6,W$18,W$17)</f>
        <v>0.11923114212288666</v>
      </c>
      <c r="X277" s="16"/>
      <c r="Y277" s="16"/>
      <c r="Z277" s="16"/>
      <c r="AA277" s="16"/>
      <c r="AB277" s="16">
        <f ca="1">_xll.DBRW($D$4,$E$7,$E$8,$E$9,$E$10,$E$12,$D277,$E$6,AB$18,AB$17)</f>
        <v>0</v>
      </c>
      <c r="AC277" s="16">
        <f ca="1">_xll.DBRW($D$4,$E$7,$E$8,$E$9,$E$10,$E$12,$D277,$E$6,AC$18,AC$17)</f>
        <v>0</v>
      </c>
      <c r="AD277" s="16"/>
      <c r="AE277" s="16"/>
      <c r="AF277" s="16"/>
      <c r="AG277" s="16"/>
      <c r="AH277" s="16">
        <f ca="1">_xll.DBRW($D$4,$E$7,$E$8,$E$9,$E$10,$E$12,$D277,$E$6,AH$18,AH$17)</f>
        <v>-1.8198299999999999E-3</v>
      </c>
      <c r="AI277" s="16">
        <f ca="1">_xll.DBRW($D$4,$E$7,$E$8,$E$9,$E$10,$E$12,$D277,$E$6,AI$18,AI$17)</f>
        <v>5.9784517522521027E-4</v>
      </c>
      <c r="AJ277" s="16"/>
      <c r="AK277" s="16"/>
      <c r="AL277" s="16"/>
      <c r="AM277" s="16"/>
      <c r="AN277" s="16">
        <f ca="1">_xll.DBRW($D$4,$E$7,$E$8,$E$9,$E$10,$E$12,$D277,$E$6,AN$18,AN$17)</f>
        <v>-0.90442625999999993</v>
      </c>
      <c r="AO277" s="16">
        <f ca="1">_xll.DBRW($D$4,$E$7,$E$8,$E$9,$E$10,$E$12,$D277,$E$6,AO$18,AO$17)</f>
        <v>0.29711944296334358</v>
      </c>
      <c r="AP277" s="16"/>
      <c r="AQ277" s="16"/>
      <c r="AR277" s="16"/>
      <c r="AS277" s="16"/>
      <c r="AT277" s="16">
        <f ca="1">_xll.DBRW($D$4,$E$7,$E$8,$E$9,$E$10,$E$12,$D277,$E$6,AT$18,AT$17)</f>
        <v>2.8794360000000001E-2</v>
      </c>
      <c r="AU277" s="16">
        <f ca="1">_xll.DBRW($D$4,$E$7,$E$8,$E$9,$E$10,$E$12,$D277,$E$6,AU$18,AU$17)</f>
        <v>2.6486040000000002E-2</v>
      </c>
      <c r="AV277" s="16">
        <f ca="1">_xll.DBRW($D$4,$E$7,$E$8,$E$9,$E$10,$E$12,$D277,$E$6,AV$18,AV$17)</f>
        <v>0.63776599999999994</v>
      </c>
      <c r="AW277" s="16">
        <f ca="1">_xll.DBRW($D$4,$E$7,$E$8,$E$9,$E$10,$E$12,$D277,$E$6,AW$18,AW$17)</f>
        <v>2.6486040000000002E-2</v>
      </c>
      <c r="AX277" s="16">
        <f ca="1">_xll.DBRW($D$4,$E$7,$E$8,$E$9,$E$10,$E$12,$D277,$E$6,AX$18,AX$17)</f>
        <v>0</v>
      </c>
      <c r="AY277" s="16">
        <f ca="1">_xll.DBRW($D$4,$E$7,$E$8,$E$9,$E$10,$E$12,$D277,$E$6,AY$18,AY$17)</f>
        <v>0</v>
      </c>
      <c r="AZ277" s="16">
        <f ca="1">_xll.DBRW($D$4,$E$7,$E$8,$E$9,$E$10,$E$12,$D277,$E$6,AZ$18,AZ$17)</f>
        <v>0</v>
      </c>
      <c r="BA277" s="16">
        <f ca="1">_xll.DBRW($D$4,$E$7,$E$8,$E$9,$E$10,$E$12,$D277,$E$6,BA$18,BA$17)</f>
        <v>0</v>
      </c>
      <c r="BB277" s="16">
        <f ca="1">_xll.DBRW($D$4,$E$7,$E$8,$E$9,$E$10,$E$12,$D277,$E$6,BB$18,BB$17)</f>
        <v>2.6486040000000002E-2</v>
      </c>
      <c r="BC277" s="16">
        <f ca="1">_xll.DBRW($D$4,$E$7,$E$8,$E$9,$E$10,$E$12,$D277,$E$6,BC$18,BC$17)</f>
        <v>2.6486040000000002E-2</v>
      </c>
      <c r="BD277" s="16">
        <f ca="1">_xll.DBRW($D$4,$E$7,$E$8,$E$9,$E$10,$E$12,$D277,$E$6,BD$18,BD$17)</f>
        <v>0.34977858000000017</v>
      </c>
      <c r="BE277" s="16">
        <f ca="1">_xll.DBRW($D$4,$E$7,$E$8,$E$9,$E$10,$E$12,$D277,$E$6,BE$18,BE$17)</f>
        <v>-0.70317841999999986</v>
      </c>
      <c r="BF277" s="16">
        <f ca="1">_xll.DBRW($D$4,$E$7,$E$8,$E$9,$E$10,$E$12,$D277,$E$6,BF$18,BF$17)</f>
        <v>-1.0092280000000002E-2</v>
      </c>
      <c r="BG277" s="26">
        <f ca="1">_xll.DBRW($D$4,$E$7,$E$8,$E$9,$E$10,$E$12,$D277,$E$6,BG$18,BG$17)</f>
        <v>0</v>
      </c>
      <c r="BH277" s="26">
        <f ca="1">_xll.DBRW($D$4,$E$7,$E$8,$E$9,$E$10,$E$12,$D277,$E$6,BH$18,BH$17)</f>
        <v>0</v>
      </c>
      <c r="BI277" s="26">
        <f ca="1">_xll.DBRW($D$4,$E$7,$E$8,$E$9,$E$10,$E$12,$D277,$E$6,BI$18,BI$17)</f>
        <v>0</v>
      </c>
      <c r="BJ277" s="26">
        <f ca="1">_xll.DBRW($D$4,$E$7,$E$8,$E$9,$E$10,$E$12,$D277,$E$6,BJ$18,BJ$17)</f>
        <v>0</v>
      </c>
      <c r="BK277" s="16">
        <f ca="1">_xll.DBRW($D$4,$E$7,$E$8,$E$9,$E$10,$E$12,$D277,$E$6,BK$18,BK$17)</f>
        <v>1.0529570000000001</v>
      </c>
      <c r="BL277" s="16">
        <f ca="1">_xll.DBRW($D$4,$E$7,$E$8,$E$9,$E$10,$E$12,$D277,$E$6,BL$18,BL$17)</f>
        <v>2.3134640099999997</v>
      </c>
      <c r="BM277" s="16">
        <f ca="1">_xll.DBRW($D$4,$E$7,$E$8,$E$9,$E$10,$E$12,$D277,$E$6,BM$18,BM$17)</f>
        <v>-0.30725662000000004</v>
      </c>
      <c r="BN277" s="16">
        <f ca="1">_xll.DBRW($D$4,$E$7,$E$8,$E$9,$E$10,$E$12,$D277,$E$6,BN$18,BN$17)</f>
        <v>0.1328123621858289</v>
      </c>
      <c r="BO277" s="16"/>
      <c r="BP277" s="16"/>
      <c r="BQ277" s="16"/>
      <c r="BR277" s="16"/>
      <c r="BS277" s="16">
        <f ca="1">_xll.DBRW($D$4,$E$7,$E$8,$E$9,$E$10,$E$12,$D277,$E$6,BS$18,BS$17)</f>
        <v>-0.30915507999999992</v>
      </c>
      <c r="BT277" s="16">
        <f ca="1">_xll.DBRW($D$4,$E$7,$E$8,$E$9,$E$10,$E$12,$D277,$E$6,BT$18,BT$17)</f>
        <v>0.1336329757729838</v>
      </c>
      <c r="BU277" s="16"/>
      <c r="BV277" s="16"/>
      <c r="BW277" s="16"/>
      <c r="BX277" s="16"/>
      <c r="BY277" s="16">
        <f ca="1">_xll.DBRW($D$4,$E$7,$E$8,$E$9,$E$10,$E$12,$D277,$E$6,BY$18,BY$17)</f>
        <v>0</v>
      </c>
      <c r="BZ277" s="16">
        <f ca="1">_xll.DBRW($D$4,$E$7,$E$8,$E$9,$E$10,$E$12,$D277,$E$6,BZ$18,BZ$17)</f>
        <v>0</v>
      </c>
      <c r="CA277" s="16"/>
      <c r="CB277" s="16"/>
      <c r="CC277" s="16"/>
      <c r="CD277" s="16"/>
      <c r="CE277" s="16">
        <f ca="1">_xll.DBRW($D$4,$E$7,$E$8,$E$9,$E$10,$E$12,$D277,$E$6,CE$18,CE$17)</f>
        <v>-3.1900000000000006E-3</v>
      </c>
      <c r="CF277" s="16">
        <f ca="1">_xll.DBRW($D$4,$E$7,$E$8,$E$9,$E$10,$E$12,$D277,$E$6,CF$18,CF$17)</f>
        <v>1.3788846449355402E-3</v>
      </c>
      <c r="CG277" s="16"/>
      <c r="CH277" s="16"/>
      <c r="CI277" s="16"/>
      <c r="CJ277" s="16"/>
      <c r="CK277" s="16">
        <f ca="1">_xll.DBRW($D$4,$E$7,$E$8,$E$9,$E$10,$E$12,$D277,$E$6,CK$18,CK$17)</f>
        <v>-0.64090531000000006</v>
      </c>
      <c r="CL277" s="16">
        <f ca="1">_xll.DBRW($D$4,$E$7,$E$8,$E$9,$E$10,$E$12,$D277,$E$6,CL$18,CL$17)</f>
        <v>0.27703275574189723</v>
      </c>
      <c r="CM277" s="16"/>
      <c r="CN277" s="16"/>
      <c r="CO277" s="16"/>
      <c r="CP277" s="16"/>
      <c r="CQ277" s="16">
        <f ca="1">_xll.DBRW($D$4,$E$7,$E$8,$E$9,$E$10,$E$12,$D277,$E$6,CQ$18,CQ$17)</f>
        <v>2.1189599999999996E-2</v>
      </c>
      <c r="CR277" s="16">
        <f ca="1">_xll.DBRW($D$4,$E$7,$E$8,$E$9,$E$10,$E$12,$D277,$E$6,CR$18,CR$17)</f>
        <v>1.9439999999999999E-2</v>
      </c>
      <c r="CS277" s="16">
        <f ca="1">_xll.DBRW($D$4,$E$7,$E$8,$E$9,$E$10,$E$12,$D277,$E$6,CS$18,CS$17)</f>
        <v>0.4741416</v>
      </c>
      <c r="CT277" s="16">
        <f ca="1">_xll.DBRW($D$4,$E$7,$E$8,$E$9,$E$10,$E$12,$D277,$E$6,CT$18,CT$17)</f>
        <v>1.9439999999999999E-2</v>
      </c>
      <c r="CU277" s="16">
        <f ca="1">_xll.DBRW($D$4,$E$7,$E$8,$E$9,$E$10,$E$12,$D277,$E$6,CU$18,CU$17)</f>
        <v>0</v>
      </c>
      <c r="CV277" s="16">
        <f ca="1">_xll.DBRW($D$4,$E$7,$E$8,$E$9,$E$10,$E$12,$D277,$E$6,CV$18,CV$17)</f>
        <v>0</v>
      </c>
      <c r="CW277" s="16">
        <f ca="1">_xll.DBRW($D$4,$E$7,$E$8,$E$9,$E$10,$E$12,$D277,$E$6,CW$18,CW$17)</f>
        <v>0</v>
      </c>
      <c r="CX277" s="16">
        <f ca="1">_xll.DBRW($D$4,$E$7,$E$8,$E$9,$E$10,$E$12,$D277,$E$6,CX$18,CX$17)</f>
        <v>0</v>
      </c>
      <c r="CY277" s="16">
        <f ca="1">_xll.DBRW($D$4,$E$7,$E$8,$E$9,$E$10,$E$12,$D277,$E$6,CY$18,CY$17)</f>
        <v>1.9439999999999999E-2</v>
      </c>
      <c r="CZ277" s="16">
        <f ca="1">_xll.DBRW($D$4,$E$7,$E$8,$E$9,$E$10,$E$12,$D277,$E$6,CZ$18,CZ$17)</f>
        <v>1.9439999999999999E-2</v>
      </c>
      <c r="DA277" s="26">
        <f t="shared" ca="1" si="146"/>
        <v>6.5134910000000046E-2</v>
      </c>
      <c r="DB277" s="26">
        <f t="shared" ca="1" si="147"/>
        <v>-0.26176016000000002</v>
      </c>
      <c r="DC277" s="26">
        <f t="shared" ca="1" si="148"/>
        <v>1.0092280000000002E-2</v>
      </c>
      <c r="DD277" s="26">
        <f t="shared" ca="1" si="149"/>
        <v>0</v>
      </c>
      <c r="DE277" s="26">
        <f t="shared" ca="1" si="150"/>
        <v>0</v>
      </c>
      <c r="DF277" s="26">
        <f t="shared" ca="1" si="151"/>
        <v>0</v>
      </c>
      <c r="DG277" s="26">
        <f t="shared" ca="1" si="152"/>
        <v>0</v>
      </c>
      <c r="DH277" s="26">
        <f t="shared" ca="1" si="153"/>
        <v>0.3268950700000004</v>
      </c>
      <c r="DI277" s="26">
        <f t="shared" ca="1" si="154"/>
        <v>0.73051807000000002</v>
      </c>
      <c r="DJ277" s="26">
        <f t="shared" ca="1" si="155"/>
        <v>-8.7689839999999741E-2</v>
      </c>
      <c r="DK277" s="26">
        <f t="shared" ca="1" si="156"/>
        <v>-3.0657179480284569E-3</v>
      </c>
      <c r="DL277" s="26"/>
      <c r="DM277" s="26"/>
      <c r="DN277" s="26"/>
      <c r="DO277" s="26"/>
      <c r="DP277" s="26">
        <f t="shared" ca="1" si="157"/>
        <v>-5.3782380000000185E-2</v>
      </c>
      <c r="DQ277" s="26">
        <f t="shared" ca="1" si="158"/>
        <v>-1.4401833650097146E-2</v>
      </c>
      <c r="DR277" s="26"/>
      <c r="DS277" s="26"/>
      <c r="DT277" s="26"/>
      <c r="DU277" s="26"/>
      <c r="DV277" s="26">
        <f t="shared" ca="1" si="159"/>
        <v>0</v>
      </c>
      <c r="DW277" s="26">
        <f t="shared" ca="1" si="160"/>
        <v>0</v>
      </c>
      <c r="DX277" s="26"/>
      <c r="DY277" s="26"/>
      <c r="DZ277" s="26"/>
      <c r="EA277" s="26"/>
      <c r="EB277" s="26">
        <f t="shared" ca="1" si="161"/>
        <v>1.3701700000000006E-3</v>
      </c>
      <c r="EC277" s="26">
        <f t="shared" ca="1" si="162"/>
        <v>-7.8103946971032996E-4</v>
      </c>
      <c r="ED277" s="26"/>
      <c r="EE277" s="26"/>
      <c r="EF277" s="26"/>
      <c r="EG277" s="26"/>
      <c r="EH277" s="26">
        <f t="shared" ca="1" si="163"/>
        <v>-0.26352094999999987</v>
      </c>
      <c r="EI277" s="29">
        <f t="shared" ca="1" si="164"/>
        <v>2.0086687221446353E-2</v>
      </c>
      <c r="EJ277" s="29"/>
      <c r="EK277" s="29"/>
      <c r="EL277" s="29"/>
      <c r="EM277" s="29"/>
      <c r="EN277" s="93"/>
      <c r="EO277" s="29"/>
      <c r="EP277" s="29"/>
      <c r="EQ277" s="29"/>
      <c r="ER277" s="29"/>
      <c r="ES277" s="29"/>
      <c r="ET277" s="29"/>
      <c r="EU277" s="93"/>
      <c r="EV277" s="29"/>
      <c r="EW277" s="29"/>
      <c r="EX277" s="29"/>
      <c r="EY277" s="29"/>
      <c r="EZ277" s="29"/>
      <c r="FA277" s="29"/>
      <c r="FB277" s="93"/>
      <c r="FC277" s="29"/>
      <c r="FD277" s="29"/>
      <c r="FE277" s="29"/>
      <c r="FF277" s="29"/>
      <c r="FG277" s="29"/>
      <c r="FH277" s="29"/>
      <c r="FI277" s="93"/>
      <c r="FJ277" s="29"/>
      <c r="FK277" s="29"/>
      <c r="FL277" s="29"/>
      <c r="FM277" s="29"/>
      <c r="FN277" s="29"/>
      <c r="FO277" s="29"/>
      <c r="FP277" s="93"/>
      <c r="FQ277" s="29"/>
      <c r="FR277" s="29"/>
      <c r="FS277" s="29"/>
      <c r="FT277" s="29"/>
      <c r="FU277" s="29"/>
      <c r="FV277" s="29"/>
    </row>
    <row r="278" spans="1:178" x14ac:dyDescent="0.25">
      <c r="A278" t="str">
        <f ca="1">IF(_xll.TM1RPTELISCONSOLIDATED($D$28,$D278),IF(_xll.TM1RPTELLEV($D$28,$D278)&lt;=3,_xll.TM1RPTELLEV($D$28,$D278),"D"),"N")</f>
        <v>N</v>
      </c>
      <c r="B278" t="str">
        <f ca="1">_xll.DBRA(Server&amp;"Management_organization",$D278,$B$27)</f>
        <v>L</v>
      </c>
      <c r="C278">
        <v>1</v>
      </c>
      <c r="D278" s="2" t="s">
        <v>366</v>
      </c>
      <c r="E278" s="26"/>
      <c r="F278" s="26"/>
      <c r="G278" s="16">
        <f ca="1">_xll.DBRW($D$4,$E$7,$E$8,$E$9,$E$10,$E$12,$D278,$E$6,G$18,G$17)</f>
        <v>-0.27665413000000161</v>
      </c>
      <c r="H278" s="16">
        <f ca="1">_xll.DBRW($D$4,$E$7,$E$8,$E$9,$E$10,$E$12,$D278,$E$6,H$18,H$17)</f>
        <v>-0.30728356000000001</v>
      </c>
      <c r="I278" s="16">
        <f ca="1">_xll.DBRW($D$4,$E$7,$E$8,$E$9,$E$10,$E$12,$D278,$E$6,I$18,I$17)</f>
        <v>-8.6736173798840355E-19</v>
      </c>
      <c r="J278" s="26">
        <f ca="1">_xll.DBRW($D$4,$E$7,$E$8,$E$9,$E$10,$E$12,$D278,$E$6,J$18,J$17)</f>
        <v>0</v>
      </c>
      <c r="K278" s="26">
        <f ca="1">_xll.DBRW($D$4,$E$7,$E$8,$E$9,$E$10,$E$12,$D278,$E$6,K$18,K$17)</f>
        <v>0</v>
      </c>
      <c r="L278" s="26">
        <f ca="1">_xll.DBRW($D$4,$E$7,$E$8,$E$9,$E$10,$E$12,$D278,$E$6,L$18,L$17)</f>
        <v>0</v>
      </c>
      <c r="M278" s="26">
        <f ca="1">_xll.DBRW($D$4,$E$7,$E$8,$E$9,$E$10,$E$12,$D278,$E$6,M$18,M$17)</f>
        <v>0</v>
      </c>
      <c r="N278" s="16">
        <f ca="1">_xll.DBRW($D$4,$E$7,$E$8,$E$9,$E$10,$E$12,$D278,$E$6,N$18,N$17)</f>
        <v>3.0629429999998431E-2</v>
      </c>
      <c r="O278" s="16">
        <f ca="1">_xll.DBRW($D$4,$E$7,$E$8,$E$9,$E$10,$E$12,$D278,$E$6,O$18,O$17)</f>
        <v>10.42738898</v>
      </c>
      <c r="P278" s="74">
        <f ca="1">_xll.DBRW($D$4,$E$7,$E$8,$E$9,$E$10,$E$12,$D278,$E$6,P$18,P$17)</f>
        <v>-4.0718238300000005</v>
      </c>
      <c r="Q278" s="16">
        <f ca="1">_xll.DBRW($D$4,$E$7,$E$8,$E$9,$E$10,$E$12,$D278,$E$6,Q$18,Q$17)</f>
        <v>0.39049313666248214</v>
      </c>
      <c r="R278" s="16"/>
      <c r="S278" s="16"/>
      <c r="T278" s="16"/>
      <c r="U278" s="16"/>
      <c r="V278" s="16">
        <f ca="1">_xll.DBRW($D$4,$E$7,$E$8,$E$9,$E$10,$E$12,$D278,$E$6,V$18,V$17)</f>
        <v>-2.9654146199999998</v>
      </c>
      <c r="W278" s="16">
        <f ca="1">_xll.DBRW($D$4,$E$7,$E$8,$E$9,$E$10,$E$12,$D278,$E$6,W$18,W$17)</f>
        <v>0.2843870719398443</v>
      </c>
      <c r="X278" s="16"/>
      <c r="Y278" s="16"/>
      <c r="Z278" s="16"/>
      <c r="AA278" s="16"/>
      <c r="AB278" s="16">
        <f ca="1">_xll.DBRW($D$4,$E$7,$E$8,$E$9,$E$10,$E$12,$D278,$E$6,AB$18,AB$17)</f>
        <v>0</v>
      </c>
      <c r="AC278" s="16">
        <f ca="1">_xll.DBRW($D$4,$E$7,$E$8,$E$9,$E$10,$E$12,$D278,$E$6,AC$18,AC$17)</f>
        <v>0</v>
      </c>
      <c r="AD278" s="16"/>
      <c r="AE278" s="16"/>
      <c r="AF278" s="16"/>
      <c r="AG278" s="16"/>
      <c r="AH278" s="16">
        <f ca="1">_xll.DBRW($D$4,$E$7,$E$8,$E$9,$E$10,$E$12,$D278,$E$6,AH$18,AH$17)</f>
        <v>-1.8683959999999999E-2</v>
      </c>
      <c r="AI278" s="16">
        <f ca="1">_xll.DBRW($D$4,$E$7,$E$8,$E$9,$E$10,$E$12,$D278,$E$6,AI$18,AI$17)</f>
        <v>1.7918157686297419E-3</v>
      </c>
      <c r="AJ278" s="16"/>
      <c r="AK278" s="16"/>
      <c r="AL278" s="16"/>
      <c r="AM278" s="16"/>
      <c r="AN278" s="16">
        <f ca="1">_xll.DBRW($D$4,$E$7,$E$8,$E$9,$E$10,$E$12,$D278,$E$6,AN$18,AN$17)</f>
        <v>-3.3408371400000001</v>
      </c>
      <c r="AO278" s="16">
        <f ca="1">_xll.DBRW($D$4,$E$7,$E$8,$E$9,$E$10,$E$12,$D278,$E$6,AO$18,AO$17)</f>
        <v>0.32039057394020798</v>
      </c>
      <c r="AP278" s="16"/>
      <c r="AQ278" s="16"/>
      <c r="AR278" s="16"/>
      <c r="AS278" s="16"/>
      <c r="AT278" s="16">
        <f ca="1">_xll.DBRW($D$4,$E$7,$E$8,$E$9,$E$10,$E$12,$D278,$E$6,AT$18,AT$17)</f>
        <v>0.16067538000000001</v>
      </c>
      <c r="AU278" s="16">
        <f ca="1">_xll.DBRW($D$4,$E$7,$E$8,$E$9,$E$10,$E$12,$D278,$E$6,AU$18,AU$17)</f>
        <v>7.9864389999999993E-2</v>
      </c>
      <c r="AV278" s="16">
        <f ca="1">_xll.DBRW($D$4,$E$7,$E$8,$E$9,$E$10,$E$12,$D278,$E$6,AV$18,AV$17)</f>
        <v>3.8931099999999996</v>
      </c>
      <c r="AW278" s="16">
        <f ca="1">_xll.DBRW($D$4,$E$7,$E$8,$E$9,$E$10,$E$12,$D278,$E$6,AW$18,AW$17)</f>
        <v>7.9864389999999993E-2</v>
      </c>
      <c r="AX278" s="16">
        <f ca="1">_xll.DBRW($D$4,$E$7,$E$8,$E$9,$E$10,$E$12,$D278,$E$6,AX$18,AX$17)</f>
        <v>0</v>
      </c>
      <c r="AY278" s="16">
        <f ca="1">_xll.DBRW($D$4,$E$7,$E$8,$E$9,$E$10,$E$12,$D278,$E$6,AY$18,AY$17)</f>
        <v>0</v>
      </c>
      <c r="AZ278" s="16">
        <f ca="1">_xll.DBRW($D$4,$E$7,$E$8,$E$9,$E$10,$E$12,$D278,$E$6,AZ$18,AZ$17)</f>
        <v>0</v>
      </c>
      <c r="BA278" s="16">
        <f ca="1">_xll.DBRW($D$4,$E$7,$E$8,$E$9,$E$10,$E$12,$D278,$E$6,BA$18,BA$17)</f>
        <v>0</v>
      </c>
      <c r="BB278" s="16">
        <f ca="1">_xll.DBRW($D$4,$E$7,$E$8,$E$9,$E$10,$E$12,$D278,$E$6,BB$18,BB$17)</f>
        <v>7.9864389999999993E-2</v>
      </c>
      <c r="BC278" s="16">
        <f ca="1">_xll.DBRW($D$4,$E$7,$E$8,$E$9,$E$10,$E$12,$D278,$E$6,BC$18,BC$17)</f>
        <v>7.9864389999999993E-2</v>
      </c>
      <c r="BD278" s="16">
        <f ca="1">_xll.DBRW($D$4,$E$7,$E$8,$E$9,$E$10,$E$12,$D278,$E$6,BD$18,BD$17)</f>
        <v>0.92779122000000169</v>
      </c>
      <c r="BE278" s="16">
        <f ca="1">_xll.DBRW($D$4,$E$7,$E$8,$E$9,$E$10,$E$12,$D278,$E$6,BE$18,BE$17)</f>
        <v>-0.23308179999999998</v>
      </c>
      <c r="BF278" s="16">
        <f ca="1">_xll.DBRW($D$4,$E$7,$E$8,$E$9,$E$10,$E$12,$D278,$E$6,BF$18,BF$17)</f>
        <v>-2.5445309999999999E-2</v>
      </c>
      <c r="BG278" s="26">
        <f ca="1">_xll.DBRW($D$4,$E$7,$E$8,$E$9,$E$10,$E$12,$D278,$E$6,BG$18,BG$17)</f>
        <v>0</v>
      </c>
      <c r="BH278" s="26">
        <f ca="1">_xll.DBRW($D$4,$E$7,$E$8,$E$9,$E$10,$E$12,$D278,$E$6,BH$18,BH$17)</f>
        <v>0</v>
      </c>
      <c r="BI278" s="26">
        <f ca="1">_xll.DBRW($D$4,$E$7,$E$8,$E$9,$E$10,$E$12,$D278,$E$6,BI$18,BI$17)</f>
        <v>0</v>
      </c>
      <c r="BJ278" s="26">
        <f ca="1">_xll.DBRW($D$4,$E$7,$E$8,$E$9,$E$10,$E$12,$D278,$E$6,BJ$18,BJ$17)</f>
        <v>0</v>
      </c>
      <c r="BK278" s="16">
        <f ca="1">_xll.DBRW($D$4,$E$7,$E$8,$E$9,$E$10,$E$12,$D278,$E$6,BK$18,BK$17)</f>
        <v>1.1608730200000019</v>
      </c>
      <c r="BL278" s="16">
        <f ca="1">_xll.DBRW($D$4,$E$7,$E$8,$E$9,$E$10,$E$12,$D278,$E$6,BL$18,BL$17)</f>
        <v>8.5063526500000002</v>
      </c>
      <c r="BM278" s="16">
        <f ca="1">_xll.DBRW($D$4,$E$7,$E$8,$E$9,$E$10,$E$12,$D278,$E$6,BM$18,BM$17)</f>
        <v>-3.092469509999999</v>
      </c>
      <c r="BN278" s="16">
        <f ca="1">_xll.DBRW($D$4,$E$7,$E$8,$E$9,$E$10,$E$12,$D278,$E$6,BN$18,BN$17)</f>
        <v>0.36354823709313283</v>
      </c>
      <c r="BO278" s="16"/>
      <c r="BP278" s="16"/>
      <c r="BQ278" s="16"/>
      <c r="BR278" s="16"/>
      <c r="BS278" s="16">
        <f ca="1">_xll.DBRW($D$4,$E$7,$E$8,$E$9,$E$10,$E$12,$D278,$E$6,BS$18,BS$17)</f>
        <v>-2.3759011800000001</v>
      </c>
      <c r="BT278" s="16">
        <f ca="1">_xll.DBRW($D$4,$E$7,$E$8,$E$9,$E$10,$E$12,$D278,$E$6,BT$18,BT$17)</f>
        <v>0.27930903852193339</v>
      </c>
      <c r="BU278" s="16"/>
      <c r="BV278" s="16"/>
      <c r="BW278" s="16"/>
      <c r="BX278" s="16"/>
      <c r="BY278" s="16">
        <f ca="1">_xll.DBRW($D$4,$E$7,$E$8,$E$9,$E$10,$E$12,$D278,$E$6,BY$18,BY$17)</f>
        <v>0</v>
      </c>
      <c r="BZ278" s="16">
        <f ca="1">_xll.DBRW($D$4,$E$7,$E$8,$E$9,$E$10,$E$12,$D278,$E$6,BZ$18,BZ$17)</f>
        <v>0</v>
      </c>
      <c r="CA278" s="16"/>
      <c r="CB278" s="16"/>
      <c r="CC278" s="16"/>
      <c r="CD278" s="16"/>
      <c r="CE278" s="16">
        <f ca="1">_xll.DBRW($D$4,$E$7,$E$8,$E$9,$E$10,$E$12,$D278,$E$6,CE$18,CE$17)</f>
        <v>-8.5746829999999996E-2</v>
      </c>
      <c r="CF278" s="16">
        <f ca="1">_xll.DBRW($D$4,$E$7,$E$8,$E$9,$E$10,$E$12,$D278,$E$6,CF$18,CF$17)</f>
        <v>1.0080328611816958E-2</v>
      </c>
      <c r="CG278" s="16"/>
      <c r="CH278" s="16"/>
      <c r="CI278" s="16"/>
      <c r="CJ278" s="16"/>
      <c r="CK278" s="16">
        <f ca="1">_xll.DBRW($D$4,$E$7,$E$8,$E$9,$E$10,$E$12,$D278,$E$6,CK$18,CK$17)</f>
        <v>-1.7913621100000001</v>
      </c>
      <c r="CL278" s="16">
        <f ca="1">_xll.DBRW($D$4,$E$7,$E$8,$E$9,$E$10,$E$12,$D278,$E$6,CL$18,CL$17)</f>
        <v>0.21059109393965697</v>
      </c>
      <c r="CM278" s="16"/>
      <c r="CN278" s="16"/>
      <c r="CO278" s="16"/>
      <c r="CP278" s="16"/>
      <c r="CQ278" s="16">
        <f ca="1">_xll.DBRW($D$4,$E$7,$E$8,$E$9,$E$10,$E$12,$D278,$E$6,CQ$18,CQ$17)</f>
        <v>0.13180222000000003</v>
      </c>
      <c r="CR278" s="16">
        <f ca="1">_xll.DBRW($D$4,$E$7,$E$8,$E$9,$E$10,$E$12,$D278,$E$6,CR$18,CR$17)</f>
        <v>6.759088000000002E-2</v>
      </c>
      <c r="CS278" s="16">
        <f ca="1">_xll.DBRW($D$4,$E$7,$E$8,$E$9,$E$10,$E$12,$D278,$E$6,CS$18,CS$17)</f>
        <v>3.1869099800000007</v>
      </c>
      <c r="CT278" s="16">
        <f ca="1">_xll.DBRW($D$4,$E$7,$E$8,$E$9,$E$10,$E$12,$D278,$E$6,CT$18,CT$17)</f>
        <v>6.759088000000002E-2</v>
      </c>
      <c r="CU278" s="16">
        <f ca="1">_xll.DBRW($D$4,$E$7,$E$8,$E$9,$E$10,$E$12,$D278,$E$6,CU$18,CU$17)</f>
        <v>0</v>
      </c>
      <c r="CV278" s="16">
        <f ca="1">_xll.DBRW($D$4,$E$7,$E$8,$E$9,$E$10,$E$12,$D278,$E$6,CV$18,CV$17)</f>
        <v>0</v>
      </c>
      <c r="CW278" s="16">
        <f ca="1">_xll.DBRW($D$4,$E$7,$E$8,$E$9,$E$10,$E$12,$D278,$E$6,CW$18,CW$17)</f>
        <v>0</v>
      </c>
      <c r="CX278" s="16">
        <f ca="1">_xll.DBRW($D$4,$E$7,$E$8,$E$9,$E$10,$E$12,$D278,$E$6,CX$18,CX$17)</f>
        <v>0</v>
      </c>
      <c r="CY278" s="16">
        <f ca="1">_xll.DBRW($D$4,$E$7,$E$8,$E$9,$E$10,$E$12,$D278,$E$6,CY$18,CY$17)</f>
        <v>6.759088000000002E-2</v>
      </c>
      <c r="CZ278" s="16">
        <f ca="1">_xll.DBRW($D$4,$E$7,$E$8,$E$9,$E$10,$E$12,$D278,$E$6,CZ$18,CZ$17)</f>
        <v>6.759088000000002E-2</v>
      </c>
      <c r="DA278" s="26">
        <f t="shared" ca="1" si="146"/>
        <v>-1.2044453500000034</v>
      </c>
      <c r="DB278" s="26">
        <f t="shared" ca="1" si="147"/>
        <v>-7.4201760000000033E-2</v>
      </c>
      <c r="DC278" s="26">
        <f t="shared" ca="1" si="148"/>
        <v>2.5445309999999999E-2</v>
      </c>
      <c r="DD278" s="26">
        <f t="shared" ca="1" si="149"/>
        <v>0</v>
      </c>
      <c r="DE278" s="26">
        <f t="shared" ca="1" si="150"/>
        <v>0</v>
      </c>
      <c r="DF278" s="26">
        <f t="shared" ca="1" si="151"/>
        <v>0</v>
      </c>
      <c r="DG278" s="26">
        <f t="shared" ca="1" si="152"/>
        <v>0</v>
      </c>
      <c r="DH278" s="26">
        <f t="shared" ca="1" si="153"/>
        <v>-1.1302435900000034</v>
      </c>
      <c r="DI278" s="26">
        <f t="shared" ca="1" si="154"/>
        <v>1.9210363299999997</v>
      </c>
      <c r="DJ278" s="26">
        <f t="shared" ca="1" si="155"/>
        <v>-0.97935432000000144</v>
      </c>
      <c r="DK278" s="26">
        <f t="shared" ca="1" si="156"/>
        <v>2.6944899569349312E-2</v>
      </c>
      <c r="DL278" s="26"/>
      <c r="DM278" s="26"/>
      <c r="DN278" s="26"/>
      <c r="DO278" s="26"/>
      <c r="DP278" s="26">
        <f t="shared" ca="1" si="157"/>
        <v>-0.58951343999999972</v>
      </c>
      <c r="DQ278" s="26">
        <f t="shared" ca="1" si="158"/>
        <v>5.0780334179109099E-3</v>
      </c>
      <c r="DR278" s="26"/>
      <c r="DS278" s="26"/>
      <c r="DT278" s="26"/>
      <c r="DU278" s="26"/>
      <c r="DV278" s="26">
        <f t="shared" ca="1" si="159"/>
        <v>0</v>
      </c>
      <c r="DW278" s="26">
        <f t="shared" ca="1" si="160"/>
        <v>0</v>
      </c>
      <c r="DX278" s="26"/>
      <c r="DY278" s="26"/>
      <c r="DZ278" s="26"/>
      <c r="EA278" s="26"/>
      <c r="EB278" s="26">
        <f t="shared" ca="1" si="161"/>
        <v>6.7062869999999997E-2</v>
      </c>
      <c r="EC278" s="26">
        <f t="shared" ca="1" si="162"/>
        <v>-8.2885128431872158E-3</v>
      </c>
      <c r="ED278" s="26"/>
      <c r="EE278" s="26"/>
      <c r="EF278" s="26"/>
      <c r="EG278" s="26"/>
      <c r="EH278" s="26">
        <f t="shared" ca="1" si="163"/>
        <v>-1.54947503</v>
      </c>
      <c r="EI278" s="29">
        <f t="shared" ca="1" si="164"/>
        <v>0.10979948000055101</v>
      </c>
      <c r="EJ278" s="29"/>
      <c r="EK278" s="29"/>
      <c r="EL278" s="29"/>
      <c r="EM278" s="29"/>
      <c r="EN278" s="93"/>
      <c r="EO278" s="29"/>
      <c r="EP278" s="29"/>
      <c r="EQ278" s="29"/>
      <c r="ER278" s="29"/>
      <c r="ES278" s="29"/>
      <c r="ET278" s="29"/>
      <c r="EU278" s="93"/>
      <c r="EV278" s="29"/>
      <c r="EW278" s="29"/>
      <c r="EX278" s="29"/>
      <c r="EY278" s="29"/>
      <c r="EZ278" s="29"/>
      <c r="FA278" s="29"/>
      <c r="FB278" s="93"/>
      <c r="FC278" s="29"/>
      <c r="FD278" s="29"/>
      <c r="FE278" s="29"/>
      <c r="FF278" s="29"/>
      <c r="FG278" s="29"/>
      <c r="FH278" s="29"/>
      <c r="FI278" s="93"/>
      <c r="FJ278" s="29"/>
      <c r="FK278" s="29"/>
      <c r="FL278" s="29"/>
      <c r="FM278" s="29"/>
      <c r="FN278" s="29"/>
      <c r="FO278" s="29"/>
      <c r="FP278" s="93"/>
      <c r="FQ278" s="29"/>
      <c r="FR278" s="29"/>
      <c r="FS278" s="29"/>
      <c r="FT278" s="29"/>
      <c r="FU278" s="29"/>
      <c r="FV278" s="29"/>
    </row>
    <row r="279" spans="1:178" x14ac:dyDescent="0.25">
      <c r="A279" t="str">
        <f ca="1">IF(_xll.TM1RPTELISCONSOLIDATED($D$28,$D279),IF(_xll.TM1RPTELLEV($D$28,$D279)&lt;=3,_xll.TM1RPTELLEV($D$28,$D279),"D"),"N")</f>
        <v>N</v>
      </c>
      <c r="B279" t="str">
        <f ca="1">_xll.DBRA(Server&amp;"Management_organization",$D279,$B$27)</f>
        <v>L</v>
      </c>
      <c r="C279">
        <v>1</v>
      </c>
      <c r="D279" s="2" t="s">
        <v>367</v>
      </c>
      <c r="E279" s="26"/>
      <c r="F279" s="26"/>
      <c r="G279" s="16">
        <f ca="1">_xll.DBRW($D$4,$E$7,$E$8,$E$9,$E$10,$E$12,$D279,$E$6,G$18,G$17)</f>
        <v>2.6201895000000022</v>
      </c>
      <c r="H279" s="16">
        <f ca="1">_xll.DBRW($D$4,$E$7,$E$8,$E$9,$E$10,$E$12,$D279,$E$6,H$18,H$17)</f>
        <v>-0.1748933</v>
      </c>
      <c r="I279" s="16">
        <f ca="1">_xll.DBRW($D$4,$E$7,$E$8,$E$9,$E$10,$E$12,$D279,$E$6,I$18,I$17)</f>
        <v>-8.6736173798840355E-19</v>
      </c>
      <c r="J279" s="26">
        <f ca="1">_xll.DBRW($D$4,$E$7,$E$8,$E$9,$E$10,$E$12,$D279,$E$6,J$18,J$17)</f>
        <v>0</v>
      </c>
      <c r="K279" s="26">
        <f ca="1">_xll.DBRW($D$4,$E$7,$E$8,$E$9,$E$10,$E$12,$D279,$E$6,K$18,K$17)</f>
        <v>0</v>
      </c>
      <c r="L279" s="26">
        <f ca="1">_xll.DBRW($D$4,$E$7,$E$8,$E$9,$E$10,$E$12,$D279,$E$6,L$18,L$17)</f>
        <v>0</v>
      </c>
      <c r="M279" s="26">
        <f ca="1">_xll.DBRW($D$4,$E$7,$E$8,$E$9,$E$10,$E$12,$D279,$E$6,M$18,M$17)</f>
        <v>0</v>
      </c>
      <c r="N279" s="16">
        <f ca="1">_xll.DBRW($D$4,$E$7,$E$8,$E$9,$E$10,$E$12,$D279,$E$6,N$18,N$17)</f>
        <v>2.7950828000000021</v>
      </c>
      <c r="O279" s="16">
        <f ca="1">_xll.DBRW($D$4,$E$7,$E$8,$E$9,$E$10,$E$12,$D279,$E$6,O$18,O$17)</f>
        <v>8.2575109000000015</v>
      </c>
      <c r="P279" s="74">
        <f ca="1">_xll.DBRW($D$4,$E$7,$E$8,$E$9,$E$10,$E$12,$D279,$E$6,P$18,P$17)</f>
        <v>-1.9910098999999997</v>
      </c>
      <c r="Q279" s="16">
        <f ca="1">_xll.DBRW($D$4,$E$7,$E$8,$E$9,$E$10,$E$12,$D279,$E$6,Q$18,Q$17)</f>
        <v>0.24111501929715881</v>
      </c>
      <c r="R279" s="16"/>
      <c r="S279" s="16"/>
      <c r="T279" s="16"/>
      <c r="U279" s="16"/>
      <c r="V279" s="16">
        <f ca="1">_xll.DBRW($D$4,$E$7,$E$8,$E$9,$E$10,$E$12,$D279,$E$6,V$18,V$17)</f>
        <v>-0.43235458999999993</v>
      </c>
      <c r="W279" s="16">
        <f ca="1">_xll.DBRW($D$4,$E$7,$E$8,$E$9,$E$10,$E$12,$D279,$E$6,W$18,W$17)</f>
        <v>5.2358948748102756E-2</v>
      </c>
      <c r="X279" s="16"/>
      <c r="Y279" s="16"/>
      <c r="Z279" s="16"/>
      <c r="AA279" s="16"/>
      <c r="AB279" s="16">
        <f ca="1">_xll.DBRW($D$4,$E$7,$E$8,$E$9,$E$10,$E$12,$D279,$E$6,AB$18,AB$17)</f>
        <v>-4.0503129999999991E-2</v>
      </c>
      <c r="AC279" s="16">
        <f ca="1">_xll.DBRW($D$4,$E$7,$E$8,$E$9,$E$10,$E$12,$D279,$E$6,AC$18,AC$17)</f>
        <v>4.9050047272719902E-3</v>
      </c>
      <c r="AD279" s="16"/>
      <c r="AE279" s="16"/>
      <c r="AF279" s="16"/>
      <c r="AG279" s="16"/>
      <c r="AH279" s="16">
        <f ca="1">_xll.DBRW($D$4,$E$7,$E$8,$E$9,$E$10,$E$12,$D279,$E$6,AH$18,AH$17)</f>
        <v>-1.4373916499999999</v>
      </c>
      <c r="AI279" s="16">
        <f ca="1">_xll.DBRW($D$4,$E$7,$E$8,$E$9,$E$10,$E$12,$D279,$E$6,AI$18,AI$17)</f>
        <v>0.17407081472941194</v>
      </c>
      <c r="AJ279" s="16"/>
      <c r="AK279" s="16"/>
      <c r="AL279" s="16"/>
      <c r="AM279" s="16"/>
      <c r="AN279" s="16">
        <f ca="1">_xll.DBRW($D$4,$E$7,$E$8,$E$9,$E$10,$E$12,$D279,$E$6,AN$18,AN$17)</f>
        <v>-1.56116883</v>
      </c>
      <c r="AO279" s="16">
        <f ca="1">_xll.DBRW($D$4,$E$7,$E$8,$E$9,$E$10,$E$12,$D279,$E$6,AO$18,AO$17)</f>
        <v>0.18906046251782721</v>
      </c>
      <c r="AP279" s="16"/>
      <c r="AQ279" s="16"/>
      <c r="AR279" s="16"/>
      <c r="AS279" s="16"/>
      <c r="AT279" s="16">
        <f ca="1">_xll.DBRW($D$4,$E$7,$E$8,$E$9,$E$10,$E$12,$D279,$E$6,AT$18,AT$17)</f>
        <v>0.11004232999999999</v>
      </c>
      <c r="AU279" s="16">
        <f ca="1">_xll.DBRW($D$4,$E$7,$E$8,$E$9,$E$10,$E$12,$D279,$E$6,AU$18,AU$17)</f>
        <v>9.6940899999999997E-2</v>
      </c>
      <c r="AV279" s="16">
        <f ca="1">_xll.DBRW($D$4,$E$7,$E$8,$E$9,$E$10,$E$12,$D279,$E$6,AV$18,AV$17)</f>
        <v>0.93618099999999993</v>
      </c>
      <c r="AW279" s="16">
        <f ca="1">_xll.DBRW($D$4,$E$7,$E$8,$E$9,$E$10,$E$12,$D279,$E$6,AW$18,AW$17)</f>
        <v>9.6940899999999997E-2</v>
      </c>
      <c r="AX279" s="16">
        <f ca="1">_xll.DBRW($D$4,$E$7,$E$8,$E$9,$E$10,$E$12,$D279,$E$6,AX$18,AX$17)</f>
        <v>0</v>
      </c>
      <c r="AY279" s="16">
        <f ca="1">_xll.DBRW($D$4,$E$7,$E$8,$E$9,$E$10,$E$12,$D279,$E$6,AY$18,AY$17)</f>
        <v>0</v>
      </c>
      <c r="AZ279" s="16">
        <f ca="1">_xll.DBRW($D$4,$E$7,$E$8,$E$9,$E$10,$E$12,$D279,$E$6,AZ$18,AZ$17)</f>
        <v>0</v>
      </c>
      <c r="BA279" s="16">
        <f ca="1">_xll.DBRW($D$4,$E$7,$E$8,$E$9,$E$10,$E$12,$D279,$E$6,BA$18,BA$17)</f>
        <v>0</v>
      </c>
      <c r="BB279" s="16">
        <f ca="1">_xll.DBRW($D$4,$E$7,$E$8,$E$9,$E$10,$E$12,$D279,$E$6,BB$18,BB$17)</f>
        <v>9.6940899999999997E-2</v>
      </c>
      <c r="BC279" s="16">
        <f ca="1">_xll.DBRW($D$4,$E$7,$E$8,$E$9,$E$10,$E$12,$D279,$E$6,BC$18,BC$17)</f>
        <v>9.6940899999999997E-2</v>
      </c>
      <c r="BD279" s="16">
        <f ca="1">_xll.DBRW($D$4,$E$7,$E$8,$E$9,$E$10,$E$12,$D279,$E$6,BD$18,BD$17)</f>
        <v>1.8960214099999999</v>
      </c>
      <c r="BE279" s="16">
        <f ca="1">_xll.DBRW($D$4,$E$7,$E$8,$E$9,$E$10,$E$12,$D279,$E$6,BE$18,BE$17)</f>
        <v>-0.12269044000000001</v>
      </c>
      <c r="BF279" s="16">
        <f ca="1">_xll.DBRW($D$4,$E$7,$E$8,$E$9,$E$10,$E$12,$D279,$E$6,BF$18,BF$17)</f>
        <v>-8.3202700000000011E-3</v>
      </c>
      <c r="BG279" s="26">
        <f ca="1">_xll.DBRW($D$4,$E$7,$E$8,$E$9,$E$10,$E$12,$D279,$E$6,BG$18,BG$17)</f>
        <v>0</v>
      </c>
      <c r="BH279" s="26">
        <f ca="1">_xll.DBRW($D$4,$E$7,$E$8,$E$9,$E$10,$E$12,$D279,$E$6,BH$18,BH$17)</f>
        <v>0</v>
      </c>
      <c r="BI279" s="26">
        <f ca="1">_xll.DBRW($D$4,$E$7,$E$8,$E$9,$E$10,$E$12,$D279,$E$6,BI$18,BI$17)</f>
        <v>0</v>
      </c>
      <c r="BJ279" s="26">
        <f ca="1">_xll.DBRW($D$4,$E$7,$E$8,$E$9,$E$10,$E$12,$D279,$E$6,BJ$18,BJ$17)</f>
        <v>0</v>
      </c>
      <c r="BK279" s="16">
        <f ca="1">_xll.DBRW($D$4,$E$7,$E$8,$E$9,$E$10,$E$12,$D279,$E$6,BK$18,BK$17)</f>
        <v>2.0187118499999999</v>
      </c>
      <c r="BL279" s="16">
        <f ca="1">_xll.DBRW($D$4,$E$7,$E$8,$E$9,$E$10,$E$12,$D279,$E$6,BL$18,BL$17)</f>
        <v>6.3896905999999998</v>
      </c>
      <c r="BM279" s="16">
        <f ca="1">_xll.DBRW($D$4,$E$7,$E$8,$E$9,$E$10,$E$12,$D279,$E$6,BM$18,BM$17)</f>
        <v>-1.5391552500000001</v>
      </c>
      <c r="BN279" s="16">
        <f ca="1">_xll.DBRW($D$4,$E$7,$E$8,$E$9,$E$10,$E$12,$D279,$E$6,BN$18,BN$17)</f>
        <v>0.24088102951338522</v>
      </c>
      <c r="BO279" s="16"/>
      <c r="BP279" s="16"/>
      <c r="BQ279" s="16"/>
      <c r="BR279" s="16"/>
      <c r="BS279" s="16">
        <f ca="1">_xll.DBRW($D$4,$E$7,$E$8,$E$9,$E$10,$E$12,$D279,$E$6,BS$18,BS$17)</f>
        <v>-0.49527917999999993</v>
      </c>
      <c r="BT279" s="16">
        <f ca="1">_xll.DBRW($D$4,$E$7,$E$8,$E$9,$E$10,$E$12,$D279,$E$6,BT$18,BT$17)</f>
        <v>7.7512231969416479E-2</v>
      </c>
      <c r="BU279" s="16"/>
      <c r="BV279" s="16"/>
      <c r="BW279" s="16"/>
      <c r="BX279" s="16"/>
      <c r="BY279" s="16">
        <f ca="1">_xll.DBRW($D$4,$E$7,$E$8,$E$9,$E$10,$E$12,$D279,$E$6,BY$18,BY$17)</f>
        <v>-3.6981999999999994E-2</v>
      </c>
      <c r="BZ279" s="16">
        <f ca="1">_xll.DBRW($D$4,$E$7,$E$8,$E$9,$E$10,$E$12,$D279,$E$6,BZ$18,BZ$17)</f>
        <v>5.7877606781148363E-3</v>
      </c>
      <c r="CA279" s="16"/>
      <c r="CB279" s="16"/>
      <c r="CC279" s="16"/>
      <c r="CD279" s="16"/>
      <c r="CE279" s="16">
        <f ca="1">_xll.DBRW($D$4,$E$7,$E$8,$E$9,$E$10,$E$12,$D279,$E$6,CE$18,CE$17)</f>
        <v>-1.2341210699999998</v>
      </c>
      <c r="CF279" s="16">
        <f ca="1">_xll.DBRW($D$4,$E$7,$E$8,$E$9,$E$10,$E$12,$D279,$E$6,CF$18,CF$17)</f>
        <v>0.19314253964033876</v>
      </c>
      <c r="CG279" s="16"/>
      <c r="CH279" s="16"/>
      <c r="CI279" s="16"/>
      <c r="CJ279" s="16"/>
      <c r="CK279" s="16">
        <f ca="1">_xll.DBRW($D$4,$E$7,$E$8,$E$9,$E$10,$E$12,$D279,$E$6,CK$18,CK$17)</f>
        <v>-1.0654412499999997</v>
      </c>
      <c r="CL279" s="16">
        <f ca="1">_xll.DBRW($D$4,$E$7,$E$8,$E$9,$E$10,$E$12,$D279,$E$6,CL$18,CL$17)</f>
        <v>0.16674379351012703</v>
      </c>
      <c r="CM279" s="16"/>
      <c r="CN279" s="16"/>
      <c r="CO279" s="16"/>
      <c r="CP279" s="16"/>
      <c r="CQ279" s="16">
        <f ca="1">_xll.DBRW($D$4,$E$7,$E$8,$E$9,$E$10,$E$12,$D279,$E$6,CQ$18,CQ$17)</f>
        <v>8.2617579999999982E-2</v>
      </c>
      <c r="CR279" s="16">
        <f ca="1">_xll.DBRW($D$4,$E$7,$E$8,$E$9,$E$10,$E$12,$D279,$E$6,CR$18,CR$17)</f>
        <v>7.122204E-2</v>
      </c>
      <c r="CS279" s="16">
        <f ca="1">_xll.DBRW($D$4,$E$7,$E$8,$E$9,$E$10,$E$12,$D279,$E$6,CS$18,CS$17)</f>
        <v>0.71863039999999989</v>
      </c>
      <c r="CT279" s="16">
        <f ca="1">_xll.DBRW($D$4,$E$7,$E$8,$E$9,$E$10,$E$12,$D279,$E$6,CT$18,CT$17)</f>
        <v>7.122204E-2</v>
      </c>
      <c r="CU279" s="16">
        <f ca="1">_xll.DBRW($D$4,$E$7,$E$8,$E$9,$E$10,$E$12,$D279,$E$6,CU$18,CU$17)</f>
        <v>0</v>
      </c>
      <c r="CV279" s="16">
        <f ca="1">_xll.DBRW($D$4,$E$7,$E$8,$E$9,$E$10,$E$12,$D279,$E$6,CV$18,CV$17)</f>
        <v>0</v>
      </c>
      <c r="CW279" s="16">
        <f ca="1">_xll.DBRW($D$4,$E$7,$E$8,$E$9,$E$10,$E$12,$D279,$E$6,CW$18,CW$17)</f>
        <v>0</v>
      </c>
      <c r="CX279" s="16">
        <f ca="1">_xll.DBRW($D$4,$E$7,$E$8,$E$9,$E$10,$E$12,$D279,$E$6,CX$18,CX$17)</f>
        <v>0</v>
      </c>
      <c r="CY279" s="16">
        <f ca="1">_xll.DBRW($D$4,$E$7,$E$8,$E$9,$E$10,$E$12,$D279,$E$6,CY$18,CY$17)</f>
        <v>7.122204E-2</v>
      </c>
      <c r="CZ279" s="16">
        <f ca="1">_xll.DBRW($D$4,$E$7,$E$8,$E$9,$E$10,$E$12,$D279,$E$6,CZ$18,CZ$17)</f>
        <v>7.122204E-2</v>
      </c>
      <c r="DA279" s="26">
        <f t="shared" ca="1" si="146"/>
        <v>0.72416809000000226</v>
      </c>
      <c r="DB279" s="26">
        <f t="shared" ca="1" si="147"/>
        <v>-5.220285999999999E-2</v>
      </c>
      <c r="DC279" s="26">
        <f t="shared" ca="1" si="148"/>
        <v>8.3202700000000011E-3</v>
      </c>
      <c r="DD279" s="26">
        <f t="shared" ca="1" si="149"/>
        <v>0</v>
      </c>
      <c r="DE279" s="26">
        <f t="shared" ca="1" si="150"/>
        <v>0</v>
      </c>
      <c r="DF279" s="26">
        <f t="shared" ca="1" si="151"/>
        <v>0</v>
      </c>
      <c r="DG279" s="26">
        <f t="shared" ca="1" si="152"/>
        <v>0</v>
      </c>
      <c r="DH279" s="26">
        <f t="shared" ca="1" si="153"/>
        <v>0.77637095000000222</v>
      </c>
      <c r="DI279" s="26">
        <f t="shared" ca="1" si="154"/>
        <v>1.8678203000000018</v>
      </c>
      <c r="DJ279" s="26">
        <f t="shared" ca="1" si="155"/>
        <v>-0.45185464999999958</v>
      </c>
      <c r="DK279" s="26">
        <f t="shared" ca="1" si="156"/>
        <v>2.3398978377359159E-4</v>
      </c>
      <c r="DL279" s="26"/>
      <c r="DM279" s="26"/>
      <c r="DN279" s="26"/>
      <c r="DO279" s="26"/>
      <c r="DP279" s="26">
        <f t="shared" ca="1" si="157"/>
        <v>6.2924590000000002E-2</v>
      </c>
      <c r="DQ279" s="26">
        <f t="shared" ca="1" si="158"/>
        <v>-2.5153283221313723E-2</v>
      </c>
      <c r="DR279" s="26"/>
      <c r="DS279" s="26"/>
      <c r="DT279" s="26"/>
      <c r="DU279" s="26"/>
      <c r="DV279" s="26">
        <f t="shared" ca="1" si="159"/>
        <v>-3.5211299999999973E-3</v>
      </c>
      <c r="DW279" s="26">
        <f t="shared" ca="1" si="160"/>
        <v>-8.8275595084284612E-4</v>
      </c>
      <c r="DX279" s="26"/>
      <c r="DY279" s="26"/>
      <c r="DZ279" s="26"/>
      <c r="EA279" s="26"/>
      <c r="EB279" s="26">
        <f t="shared" ca="1" si="161"/>
        <v>-0.20327058000000009</v>
      </c>
      <c r="EC279" s="26">
        <f t="shared" ca="1" si="162"/>
        <v>-1.9071724910926818E-2</v>
      </c>
      <c r="ED279" s="26"/>
      <c r="EE279" s="26"/>
      <c r="EF279" s="26"/>
      <c r="EG279" s="26"/>
      <c r="EH279" s="26">
        <f t="shared" ca="1" si="163"/>
        <v>-0.49572758000000028</v>
      </c>
      <c r="EI279" s="29">
        <f t="shared" ca="1" si="164"/>
        <v>2.2316669007700185E-2</v>
      </c>
      <c r="EJ279" s="29"/>
      <c r="EK279" s="29"/>
      <c r="EL279" s="29"/>
      <c r="EM279" s="29"/>
      <c r="EN279" s="93"/>
      <c r="EO279" s="29"/>
      <c r="EP279" s="29"/>
      <c r="EQ279" s="29"/>
      <c r="ER279" s="29"/>
      <c r="ES279" s="29"/>
      <c r="ET279" s="29"/>
      <c r="EU279" s="93"/>
      <c r="EV279" s="29"/>
      <c r="EW279" s="29"/>
      <c r="EX279" s="29"/>
      <c r="EY279" s="29"/>
      <c r="EZ279" s="29"/>
      <c r="FA279" s="29"/>
      <c r="FB279" s="93"/>
      <c r="FC279" s="29"/>
      <c r="FD279" s="29"/>
      <c r="FE279" s="29"/>
      <c r="FF279" s="29"/>
      <c r="FG279" s="29"/>
      <c r="FH279" s="29"/>
      <c r="FI279" s="93"/>
      <c r="FJ279" s="29"/>
      <c r="FK279" s="29"/>
      <c r="FL279" s="29"/>
      <c r="FM279" s="29"/>
      <c r="FN279" s="29"/>
      <c r="FO279" s="29"/>
      <c r="FP279" s="93"/>
      <c r="FQ279" s="29"/>
      <c r="FR279" s="29"/>
      <c r="FS279" s="29"/>
      <c r="FT279" s="29"/>
      <c r="FU279" s="29"/>
      <c r="FV279" s="29"/>
    </row>
    <row r="280" spans="1:178" x14ac:dyDescent="0.25">
      <c r="A280" t="str">
        <f ca="1">IF(_xll.TM1RPTELISCONSOLIDATED($D$28,$D280),IF(_xll.TM1RPTELLEV($D$28,$D280)&lt;=3,_xll.TM1RPTELLEV($D$28,$D280),"D"),"N")</f>
        <v>N</v>
      </c>
      <c r="B280" t="str">
        <f ca="1">_xll.DBRA(Server&amp;"Management_organization",$D280,$B$27)</f>
        <v>L</v>
      </c>
      <c r="C280">
        <v>1</v>
      </c>
      <c r="D280" s="2" t="s">
        <v>240</v>
      </c>
      <c r="E280" s="26"/>
      <c r="F280" s="26"/>
      <c r="G280" s="16">
        <f ca="1">_xll.DBRW($D$4,$E$7,$E$8,$E$9,$E$10,$E$12,$D280,$E$6,G$18,G$17)</f>
        <v>1.3307630099999981</v>
      </c>
      <c r="H280" s="16">
        <f ca="1">_xll.DBRW($D$4,$E$7,$E$8,$E$9,$E$10,$E$12,$D280,$E$6,H$18,H$17)</f>
        <v>-8.1766579999999991E-2</v>
      </c>
      <c r="I280" s="16">
        <f ca="1">_xll.DBRW($D$4,$E$7,$E$8,$E$9,$E$10,$E$12,$D280,$E$6,I$18,I$17)</f>
        <v>8.6736173798840355E-19</v>
      </c>
      <c r="J280" s="26">
        <f ca="1">_xll.DBRW($D$4,$E$7,$E$8,$E$9,$E$10,$E$12,$D280,$E$6,J$18,J$17)</f>
        <v>0</v>
      </c>
      <c r="K280" s="26">
        <f ca="1">_xll.DBRW($D$4,$E$7,$E$8,$E$9,$E$10,$E$12,$D280,$E$6,K$18,K$17)</f>
        <v>0</v>
      </c>
      <c r="L280" s="26">
        <f ca="1">_xll.DBRW($D$4,$E$7,$E$8,$E$9,$E$10,$E$12,$D280,$E$6,L$18,L$17)</f>
        <v>0</v>
      </c>
      <c r="M280" s="26">
        <f ca="1">_xll.DBRW($D$4,$E$7,$E$8,$E$9,$E$10,$E$12,$D280,$E$6,M$18,M$17)</f>
        <v>0</v>
      </c>
      <c r="N280" s="16">
        <f ca="1">_xll.DBRW($D$4,$E$7,$E$8,$E$9,$E$10,$E$12,$D280,$E$6,N$18,N$17)</f>
        <v>1.4125295899999986</v>
      </c>
      <c r="O280" s="16">
        <f ca="1">_xll.DBRW($D$4,$E$7,$E$8,$E$9,$E$10,$E$12,$D280,$E$6,O$18,O$17)</f>
        <v>4.8495492299999992</v>
      </c>
      <c r="P280" s="74">
        <f ca="1">_xll.DBRW($D$4,$E$7,$E$8,$E$9,$E$10,$E$12,$D280,$E$6,P$18,P$17)</f>
        <v>-0.84554281000000009</v>
      </c>
      <c r="Q280" s="16">
        <f ca="1">_xll.DBRW($D$4,$E$7,$E$8,$E$9,$E$10,$E$12,$D280,$E$6,Q$18,Q$17)</f>
        <v>0.17435492865385352</v>
      </c>
      <c r="R280" s="16"/>
      <c r="S280" s="16"/>
      <c r="T280" s="16"/>
      <c r="U280" s="16"/>
      <c r="V280" s="16">
        <f ca="1">_xll.DBRW($D$4,$E$7,$E$8,$E$9,$E$10,$E$12,$D280,$E$6,V$18,V$17)</f>
        <v>-0.53136905999999995</v>
      </c>
      <c r="W280" s="16">
        <f ca="1">_xll.DBRW($D$4,$E$7,$E$8,$E$9,$E$10,$E$12,$D280,$E$6,W$18,W$17)</f>
        <v>0.10957081468786328</v>
      </c>
      <c r="X280" s="16"/>
      <c r="Y280" s="16"/>
      <c r="Z280" s="16"/>
      <c r="AA280" s="16"/>
      <c r="AB280" s="16">
        <f ca="1">_xll.DBRW($D$4,$E$7,$E$8,$E$9,$E$10,$E$12,$D280,$E$6,AB$18,AB$17)</f>
        <v>-0.48214841999999997</v>
      </c>
      <c r="AC280" s="16">
        <f ca="1">_xll.DBRW($D$4,$E$7,$E$8,$E$9,$E$10,$E$12,$D280,$E$6,AC$18,AC$17)</f>
        <v>9.9421285800618639E-2</v>
      </c>
      <c r="AD280" s="16"/>
      <c r="AE280" s="16"/>
      <c r="AF280" s="16"/>
      <c r="AG280" s="16"/>
      <c r="AH280" s="16">
        <f ca="1">_xll.DBRW($D$4,$E$7,$E$8,$E$9,$E$10,$E$12,$D280,$E$6,AH$18,AH$17)</f>
        <v>-0.73831922000000005</v>
      </c>
      <c r="AI280" s="16">
        <f ca="1">_xll.DBRW($D$4,$E$7,$E$8,$E$9,$E$10,$E$12,$D280,$E$6,AI$18,AI$17)</f>
        <v>0.15224491699819287</v>
      </c>
      <c r="AJ280" s="16"/>
      <c r="AK280" s="16"/>
      <c r="AL280" s="16"/>
      <c r="AM280" s="16"/>
      <c r="AN280" s="16">
        <f ca="1">_xll.DBRW($D$4,$E$7,$E$8,$E$9,$E$10,$E$12,$D280,$E$6,AN$18,AN$17)</f>
        <v>-0.83964012999999982</v>
      </c>
      <c r="AO280" s="16">
        <f ca="1">_xll.DBRW($D$4,$E$7,$E$8,$E$9,$E$10,$E$12,$D280,$E$6,AO$18,AO$17)</f>
        <v>0.1731377681055111</v>
      </c>
      <c r="AP280" s="16"/>
      <c r="AQ280" s="16"/>
      <c r="AR280" s="16"/>
      <c r="AS280" s="16"/>
      <c r="AT280" s="16">
        <f ca="1">_xll.DBRW($D$4,$E$7,$E$8,$E$9,$E$10,$E$12,$D280,$E$6,AT$18,AT$17)</f>
        <v>5.4079759999999998E-2</v>
      </c>
      <c r="AU280" s="16">
        <f ca="1">_xll.DBRW($D$4,$E$7,$E$8,$E$9,$E$10,$E$12,$D280,$E$6,AU$18,AU$17)</f>
        <v>4.9273749999999984E-2</v>
      </c>
      <c r="AV280" s="16">
        <f ca="1">_xll.DBRW($D$4,$E$7,$E$8,$E$9,$E$10,$E$12,$D280,$E$6,AV$18,AV$17)</f>
        <v>0.50030799999999997</v>
      </c>
      <c r="AW280" s="16">
        <f ca="1">_xll.DBRW($D$4,$E$7,$E$8,$E$9,$E$10,$E$12,$D280,$E$6,AW$18,AW$17)</f>
        <v>4.9273749999999984E-2</v>
      </c>
      <c r="AX280" s="16">
        <f ca="1">_xll.DBRW($D$4,$E$7,$E$8,$E$9,$E$10,$E$12,$D280,$E$6,AX$18,AX$17)</f>
        <v>0</v>
      </c>
      <c r="AY280" s="16">
        <f ca="1">_xll.DBRW($D$4,$E$7,$E$8,$E$9,$E$10,$E$12,$D280,$E$6,AY$18,AY$17)</f>
        <v>0</v>
      </c>
      <c r="AZ280" s="16">
        <f ca="1">_xll.DBRW($D$4,$E$7,$E$8,$E$9,$E$10,$E$12,$D280,$E$6,AZ$18,AZ$17)</f>
        <v>0</v>
      </c>
      <c r="BA280" s="16">
        <f ca="1">_xll.DBRW($D$4,$E$7,$E$8,$E$9,$E$10,$E$12,$D280,$E$6,BA$18,BA$17)</f>
        <v>0</v>
      </c>
      <c r="BB280" s="16">
        <f ca="1">_xll.DBRW($D$4,$E$7,$E$8,$E$9,$E$10,$E$12,$D280,$E$6,BB$18,BB$17)</f>
        <v>4.9273749999999984E-2</v>
      </c>
      <c r="BC280" s="16">
        <f ca="1">_xll.DBRW($D$4,$E$7,$E$8,$E$9,$E$10,$E$12,$D280,$E$6,BC$18,BC$17)</f>
        <v>4.9273749999999984E-2</v>
      </c>
      <c r="BD280" s="16">
        <f ca="1">_xll.DBRW($D$4,$E$7,$E$8,$E$9,$E$10,$E$12,$D280,$E$6,BD$18,BD$17)</f>
        <v>0.8863657399999999</v>
      </c>
      <c r="BE280" s="16">
        <f ca="1">_xll.DBRW($D$4,$E$7,$E$8,$E$9,$E$10,$E$12,$D280,$E$6,BE$18,BE$17)</f>
        <v>-3.6653409999999997E-2</v>
      </c>
      <c r="BF280" s="16">
        <f ca="1">_xll.DBRW($D$4,$E$7,$E$8,$E$9,$E$10,$E$12,$D280,$E$6,BF$18,BF$17)</f>
        <v>-3.7747979999999993E-2</v>
      </c>
      <c r="BG280" s="26">
        <f ca="1">_xll.DBRW($D$4,$E$7,$E$8,$E$9,$E$10,$E$12,$D280,$E$6,BG$18,BG$17)</f>
        <v>0</v>
      </c>
      <c r="BH280" s="26">
        <f ca="1">_xll.DBRW($D$4,$E$7,$E$8,$E$9,$E$10,$E$12,$D280,$E$6,BH$18,BH$17)</f>
        <v>0</v>
      </c>
      <c r="BI280" s="26">
        <f ca="1">_xll.DBRW($D$4,$E$7,$E$8,$E$9,$E$10,$E$12,$D280,$E$6,BI$18,BI$17)</f>
        <v>0</v>
      </c>
      <c r="BJ280" s="26">
        <f ca="1">_xll.DBRW($D$4,$E$7,$E$8,$E$9,$E$10,$E$12,$D280,$E$6,BJ$18,BJ$17)</f>
        <v>0</v>
      </c>
      <c r="BK280" s="16">
        <f ca="1">_xll.DBRW($D$4,$E$7,$E$8,$E$9,$E$10,$E$12,$D280,$E$6,BK$18,BK$17)</f>
        <v>0.9230191499999999</v>
      </c>
      <c r="BL280" s="16">
        <f ca="1">_xll.DBRW($D$4,$E$7,$E$8,$E$9,$E$10,$E$12,$D280,$E$6,BL$18,BL$17)</f>
        <v>3.5945914999999999</v>
      </c>
      <c r="BM280" s="16">
        <f ca="1">_xll.DBRW($D$4,$E$7,$E$8,$E$9,$E$10,$E$12,$D280,$E$6,BM$18,BM$17)</f>
        <v>-0.64767226999999994</v>
      </c>
      <c r="BN280" s="16">
        <f ca="1">_xll.DBRW($D$4,$E$7,$E$8,$E$9,$E$10,$E$12,$D280,$E$6,BN$18,BN$17)</f>
        <v>0.1801796588012852</v>
      </c>
      <c r="BO280" s="16"/>
      <c r="BP280" s="16"/>
      <c r="BQ280" s="16"/>
      <c r="BR280" s="16"/>
      <c r="BS280" s="16">
        <f ca="1">_xll.DBRW($D$4,$E$7,$E$8,$E$9,$E$10,$E$12,$D280,$E$6,BS$18,BS$17)</f>
        <v>-0.38562043999999995</v>
      </c>
      <c r="BT280" s="16">
        <f ca="1">_xll.DBRW($D$4,$E$7,$E$8,$E$9,$E$10,$E$12,$D280,$E$6,BT$18,BT$17)</f>
        <v>0.10727795912275427</v>
      </c>
      <c r="BU280" s="16"/>
      <c r="BV280" s="16"/>
      <c r="BW280" s="16"/>
      <c r="BX280" s="16"/>
      <c r="BY280" s="16">
        <f ca="1">_xll.DBRW($D$4,$E$7,$E$8,$E$9,$E$10,$E$12,$D280,$E$6,BY$18,BY$17)</f>
        <v>-0.38701516000000002</v>
      </c>
      <c r="BZ280" s="16">
        <f ca="1">_xll.DBRW($D$4,$E$7,$E$8,$E$9,$E$10,$E$12,$D280,$E$6,BZ$18,BZ$17)</f>
        <v>0.10766596426881887</v>
      </c>
      <c r="CA280" s="16"/>
      <c r="CB280" s="16"/>
      <c r="CC280" s="16"/>
      <c r="CD280" s="16"/>
      <c r="CE280" s="16">
        <f ca="1">_xll.DBRW($D$4,$E$7,$E$8,$E$9,$E$10,$E$12,$D280,$E$6,CE$18,CE$17)</f>
        <v>-0.71061676000000018</v>
      </c>
      <c r="CF280" s="16">
        <f ca="1">_xll.DBRW($D$4,$E$7,$E$8,$E$9,$E$10,$E$12,$D280,$E$6,CF$18,CF$17)</f>
        <v>0.19769054703434319</v>
      </c>
      <c r="CG280" s="16"/>
      <c r="CH280" s="16"/>
      <c r="CI280" s="16"/>
      <c r="CJ280" s="16"/>
      <c r="CK280" s="16">
        <f ca="1">_xll.DBRW($D$4,$E$7,$E$8,$E$9,$E$10,$E$12,$D280,$E$6,CK$18,CK$17)</f>
        <v>-0.54064771999999983</v>
      </c>
      <c r="CL280" s="16">
        <f ca="1">_xll.DBRW($D$4,$E$7,$E$8,$E$9,$E$10,$E$12,$D280,$E$6,CL$18,CL$17)</f>
        <v>0.15040588617649595</v>
      </c>
      <c r="CM280" s="16"/>
      <c r="CN280" s="16"/>
      <c r="CO280" s="16"/>
      <c r="CP280" s="16"/>
      <c r="CQ280" s="16">
        <f ca="1">_xll.DBRW($D$4,$E$7,$E$8,$E$9,$E$10,$E$12,$D280,$E$6,CQ$18,CQ$17)</f>
        <v>4.0378009999999999E-2</v>
      </c>
      <c r="CR280" s="16">
        <f ca="1">_xll.DBRW($D$4,$E$7,$E$8,$E$9,$E$10,$E$12,$D280,$E$6,CR$18,CR$17)</f>
        <v>3.704404E-2</v>
      </c>
      <c r="CS280" s="16">
        <f ca="1">_xll.DBRW($D$4,$E$7,$E$8,$E$9,$E$10,$E$12,$D280,$E$6,CS$18,CS$17)</f>
        <v>0.35615903000000004</v>
      </c>
      <c r="CT280" s="16">
        <f ca="1">_xll.DBRW($D$4,$E$7,$E$8,$E$9,$E$10,$E$12,$D280,$E$6,CT$18,CT$17)</f>
        <v>3.704404E-2</v>
      </c>
      <c r="CU280" s="16">
        <f ca="1">_xll.DBRW($D$4,$E$7,$E$8,$E$9,$E$10,$E$12,$D280,$E$6,CU$18,CU$17)</f>
        <v>0</v>
      </c>
      <c r="CV280" s="16">
        <f ca="1">_xll.DBRW($D$4,$E$7,$E$8,$E$9,$E$10,$E$12,$D280,$E$6,CV$18,CV$17)</f>
        <v>0</v>
      </c>
      <c r="CW280" s="16">
        <f ca="1">_xll.DBRW($D$4,$E$7,$E$8,$E$9,$E$10,$E$12,$D280,$E$6,CW$18,CW$17)</f>
        <v>0</v>
      </c>
      <c r="CX280" s="16">
        <f ca="1">_xll.DBRW($D$4,$E$7,$E$8,$E$9,$E$10,$E$12,$D280,$E$6,CX$18,CX$17)</f>
        <v>0</v>
      </c>
      <c r="CY280" s="16">
        <f ca="1">_xll.DBRW($D$4,$E$7,$E$8,$E$9,$E$10,$E$12,$D280,$E$6,CY$18,CY$17)</f>
        <v>3.704404E-2</v>
      </c>
      <c r="CZ280" s="16">
        <f ca="1">_xll.DBRW($D$4,$E$7,$E$8,$E$9,$E$10,$E$12,$D280,$E$6,CZ$18,CZ$17)</f>
        <v>3.704404E-2</v>
      </c>
      <c r="DA280" s="26">
        <f t="shared" ca="1" si="146"/>
        <v>0.44439726999999818</v>
      </c>
      <c r="DB280" s="26">
        <f t="shared" ca="1" si="147"/>
        <v>-4.5113169999999994E-2</v>
      </c>
      <c r="DC280" s="26">
        <f t="shared" ca="1" si="148"/>
        <v>3.7747979999999993E-2</v>
      </c>
      <c r="DD280" s="26">
        <f t="shared" ca="1" si="149"/>
        <v>0</v>
      </c>
      <c r="DE280" s="26">
        <f t="shared" ca="1" si="150"/>
        <v>0</v>
      </c>
      <c r="DF280" s="26">
        <f t="shared" ca="1" si="151"/>
        <v>0</v>
      </c>
      <c r="DG280" s="26">
        <f t="shared" ca="1" si="152"/>
        <v>0</v>
      </c>
      <c r="DH280" s="26">
        <f t="shared" ca="1" si="153"/>
        <v>0.48951043999999866</v>
      </c>
      <c r="DI280" s="26">
        <f t="shared" ca="1" si="154"/>
        <v>1.2549577299999992</v>
      </c>
      <c r="DJ280" s="26">
        <f t="shared" ca="1" si="155"/>
        <v>-0.19787054000000015</v>
      </c>
      <c r="DK280" s="26">
        <f t="shared" ca="1" si="156"/>
        <v>-5.8247301474316782E-3</v>
      </c>
      <c r="DL280" s="26"/>
      <c r="DM280" s="26"/>
      <c r="DN280" s="26"/>
      <c r="DO280" s="26"/>
      <c r="DP280" s="26">
        <f t="shared" ca="1" si="157"/>
        <v>-0.14574862</v>
      </c>
      <c r="DQ280" s="26">
        <f t="shared" ca="1" si="158"/>
        <v>2.2928555651090116E-3</v>
      </c>
      <c r="DR280" s="26"/>
      <c r="DS280" s="26"/>
      <c r="DT280" s="26"/>
      <c r="DU280" s="26"/>
      <c r="DV280" s="26">
        <f t="shared" ca="1" si="159"/>
        <v>-9.5133259999999942E-2</v>
      </c>
      <c r="DW280" s="26">
        <f t="shared" ca="1" si="160"/>
        <v>-8.2446784682002339E-3</v>
      </c>
      <c r="DX280" s="26"/>
      <c r="DY280" s="26"/>
      <c r="DZ280" s="26"/>
      <c r="EA280" s="26"/>
      <c r="EB280" s="26">
        <f t="shared" ca="1" si="161"/>
        <v>-2.7702459999999873E-2</v>
      </c>
      <c r="EC280" s="26">
        <f t="shared" ca="1" si="162"/>
        <v>-4.544563003615032E-2</v>
      </c>
      <c r="ED280" s="26"/>
      <c r="EE280" s="26"/>
      <c r="EF280" s="26"/>
      <c r="EG280" s="26"/>
      <c r="EH280" s="26">
        <f t="shared" ca="1" si="163"/>
        <v>-0.29899240999999999</v>
      </c>
      <c r="EI280" s="29">
        <f t="shared" ca="1" si="164"/>
        <v>2.2731881929015152E-2</v>
      </c>
      <c r="EJ280" s="29"/>
      <c r="EK280" s="29"/>
      <c r="EL280" s="29"/>
      <c r="EM280" s="29"/>
      <c r="EN280" s="93"/>
      <c r="EO280" s="29"/>
      <c r="EP280" s="29"/>
      <c r="EQ280" s="29"/>
      <c r="ER280" s="29"/>
      <c r="ES280" s="29"/>
      <c r="ET280" s="29"/>
      <c r="EU280" s="93"/>
      <c r="EV280" s="29"/>
      <c r="EW280" s="29"/>
      <c r="EX280" s="29"/>
      <c r="EY280" s="29"/>
      <c r="EZ280" s="29"/>
      <c r="FA280" s="29"/>
      <c r="FB280" s="93"/>
      <c r="FC280" s="29"/>
      <c r="FD280" s="29"/>
      <c r="FE280" s="29"/>
      <c r="FF280" s="29"/>
      <c r="FG280" s="29"/>
      <c r="FH280" s="29"/>
      <c r="FI280" s="93"/>
      <c r="FJ280" s="29"/>
      <c r="FK280" s="29"/>
      <c r="FL280" s="29"/>
      <c r="FM280" s="29"/>
      <c r="FN280" s="29"/>
      <c r="FO280" s="29"/>
      <c r="FP280" s="93"/>
      <c r="FQ280" s="29"/>
      <c r="FR280" s="29"/>
      <c r="FS280" s="29"/>
      <c r="FT280" s="29"/>
      <c r="FU280" s="29"/>
      <c r="FV280" s="29"/>
    </row>
    <row r="281" spans="1:178" x14ac:dyDescent="0.25">
      <c r="A281" t="str">
        <f ca="1">IF(_xll.TM1RPTELISCONSOLIDATED($D$28,$D281),IF(_xll.TM1RPTELLEV($D$28,$D281)&lt;=3,_xll.TM1RPTELLEV($D$28,$D281),"D"),"N")</f>
        <v>N</v>
      </c>
      <c r="B281" t="str">
        <f ca="1">_xll.DBRA(Server&amp;"Management_organization",$D281,$B$27)</f>
        <v>L</v>
      </c>
      <c r="C281">
        <v>1</v>
      </c>
      <c r="D281" s="2" t="s">
        <v>368</v>
      </c>
      <c r="E281" s="26"/>
      <c r="F281" s="26"/>
      <c r="G281" s="16">
        <f ca="1">_xll.DBRW($D$4,$E$7,$E$8,$E$9,$E$10,$E$12,$D281,$E$6,G$18,G$17)</f>
        <v>9.2730343899999852</v>
      </c>
      <c r="H281" s="16">
        <f ca="1">_xll.DBRW($D$4,$E$7,$E$8,$E$9,$E$10,$E$12,$D281,$E$6,H$18,H$17)</f>
        <v>-7.3666742300000001</v>
      </c>
      <c r="I281" s="16">
        <f ca="1">_xll.DBRW($D$4,$E$7,$E$8,$E$9,$E$10,$E$12,$D281,$E$6,I$18,I$17)</f>
        <v>-6.9388939039072284E-18</v>
      </c>
      <c r="J281" s="26">
        <f ca="1">_xll.DBRW($D$4,$E$7,$E$8,$E$9,$E$10,$E$12,$D281,$E$6,J$18,J$17)</f>
        <v>0</v>
      </c>
      <c r="K281" s="26">
        <f ca="1">_xll.DBRW($D$4,$E$7,$E$8,$E$9,$E$10,$E$12,$D281,$E$6,K$18,K$17)</f>
        <v>0</v>
      </c>
      <c r="L281" s="26">
        <f ca="1">_xll.DBRW($D$4,$E$7,$E$8,$E$9,$E$10,$E$12,$D281,$E$6,L$18,L$17)</f>
        <v>0</v>
      </c>
      <c r="M281" s="26">
        <f ca="1">_xll.DBRW($D$4,$E$7,$E$8,$E$9,$E$10,$E$12,$D281,$E$6,M$18,M$17)</f>
        <v>0</v>
      </c>
      <c r="N281" s="16">
        <f ca="1">_xll.DBRW($D$4,$E$7,$E$8,$E$9,$E$10,$E$12,$D281,$E$6,N$18,N$17)</f>
        <v>16.639708619999986</v>
      </c>
      <c r="O281" s="16">
        <f ca="1">_xll.DBRW($D$4,$E$7,$E$8,$E$9,$E$10,$E$12,$D281,$E$6,O$18,O$17)</f>
        <v>91.379666119999982</v>
      </c>
      <c r="P281" s="74">
        <f ca="1">_xll.DBRW($D$4,$E$7,$E$8,$E$9,$E$10,$E$12,$D281,$E$6,P$18,P$17)</f>
        <v>-34.914669679999996</v>
      </c>
      <c r="Q281" s="16">
        <f ca="1">_xll.DBRW($D$4,$E$7,$E$8,$E$9,$E$10,$E$12,$D281,$E$6,Q$18,Q$17)</f>
        <v>0.382083576822769</v>
      </c>
      <c r="R281" s="16"/>
      <c r="S281" s="16"/>
      <c r="T281" s="16"/>
      <c r="U281" s="16"/>
      <c r="V281" s="16">
        <f ca="1">_xll.DBRW($D$4,$E$7,$E$8,$E$9,$E$10,$E$12,$D281,$E$6,V$18,V$17)</f>
        <v>-17.22854877</v>
      </c>
      <c r="W281" s="16">
        <f ca="1">_xll.DBRW($D$4,$E$7,$E$8,$E$9,$E$10,$E$12,$D281,$E$6,W$18,W$17)</f>
        <v>0.18853810154411629</v>
      </c>
      <c r="X281" s="16"/>
      <c r="Y281" s="16"/>
      <c r="Z281" s="16"/>
      <c r="AA281" s="16"/>
      <c r="AB281" s="16">
        <f ca="1">_xll.DBRW($D$4,$E$7,$E$8,$E$9,$E$10,$E$12,$D281,$E$6,AB$18,AB$17)</f>
        <v>-3.0607999999999997E-4</v>
      </c>
      <c r="AC281" s="16">
        <f ca="1">_xll.DBRW($D$4,$E$7,$E$8,$E$9,$E$10,$E$12,$D281,$E$6,AC$18,AC$17)</f>
        <v>3.3495416759134907E-6</v>
      </c>
      <c r="AD281" s="16"/>
      <c r="AE281" s="16"/>
      <c r="AF281" s="16"/>
      <c r="AG281" s="16"/>
      <c r="AH281" s="16">
        <f ca="1">_xll.DBRW($D$4,$E$7,$E$8,$E$9,$E$10,$E$12,$D281,$E$6,AH$18,AH$17)</f>
        <v>-1.8080800000000001E-3</v>
      </c>
      <c r="AI281" s="16">
        <f ca="1">_xll.DBRW($D$4,$E$7,$E$8,$E$9,$E$10,$E$12,$D281,$E$6,AI$18,AI$17)</f>
        <v>1.9786458812681864E-5</v>
      </c>
      <c r="AJ281" s="16"/>
      <c r="AK281" s="16"/>
      <c r="AL281" s="16"/>
      <c r="AM281" s="16"/>
      <c r="AN281" s="16">
        <f ca="1">_xll.DBRW($D$4,$E$7,$E$8,$E$9,$E$10,$E$12,$D281,$E$6,AN$18,AN$17)</f>
        <v>-22.594624890000002</v>
      </c>
      <c r="AO281" s="16">
        <f ca="1">_xll.DBRW($D$4,$E$7,$E$8,$E$9,$E$10,$E$12,$D281,$E$6,AO$18,AO$17)</f>
        <v>0.24726097007542894</v>
      </c>
      <c r="AP281" s="16"/>
      <c r="AQ281" s="16"/>
      <c r="AR281" s="16"/>
      <c r="AS281" s="16"/>
      <c r="AT281" s="16">
        <f ca="1">_xll.DBRW($D$4,$E$7,$E$8,$E$9,$E$10,$E$12,$D281,$E$6,AT$18,AT$17)</f>
        <v>1.0384415900000001</v>
      </c>
      <c r="AU281" s="16">
        <f ca="1">_xll.DBRW($D$4,$E$7,$E$8,$E$9,$E$10,$E$12,$D281,$E$6,AU$18,AU$17)</f>
        <v>0.94456260999999997</v>
      </c>
      <c r="AV281" s="16">
        <f ca="1">_xll.DBRW($D$4,$E$7,$E$8,$E$9,$E$10,$E$12,$D281,$E$6,AV$18,AV$17)</f>
        <v>10.183363</v>
      </c>
      <c r="AW281" s="16">
        <f ca="1">_xll.DBRW($D$4,$E$7,$E$8,$E$9,$E$10,$E$12,$D281,$E$6,AW$18,AW$17)</f>
        <v>0.94456260999999997</v>
      </c>
      <c r="AX281" s="16">
        <f ca="1">_xll.DBRW($D$4,$E$7,$E$8,$E$9,$E$10,$E$12,$D281,$E$6,AX$18,AX$17)</f>
        <v>0</v>
      </c>
      <c r="AY281" s="16">
        <f ca="1">_xll.DBRW($D$4,$E$7,$E$8,$E$9,$E$10,$E$12,$D281,$E$6,AY$18,AY$17)</f>
        <v>0</v>
      </c>
      <c r="AZ281" s="16">
        <f ca="1">_xll.DBRW($D$4,$E$7,$E$8,$E$9,$E$10,$E$12,$D281,$E$6,AZ$18,AZ$17)</f>
        <v>0</v>
      </c>
      <c r="BA281" s="16">
        <f ca="1">_xll.DBRW($D$4,$E$7,$E$8,$E$9,$E$10,$E$12,$D281,$E$6,BA$18,BA$17)</f>
        <v>0</v>
      </c>
      <c r="BB281" s="16">
        <f ca="1">_xll.DBRW($D$4,$E$7,$E$8,$E$9,$E$10,$E$12,$D281,$E$6,BB$18,BB$17)</f>
        <v>0.94456260999999997</v>
      </c>
      <c r="BC281" s="16">
        <f ca="1">_xll.DBRW($D$4,$E$7,$E$8,$E$9,$E$10,$E$12,$D281,$E$6,BC$18,BC$17)</f>
        <v>0.94456260999999997</v>
      </c>
      <c r="BD281" s="16">
        <f ca="1">_xll.DBRW($D$4,$E$7,$E$8,$E$9,$E$10,$E$12,$D281,$E$6,BD$18,BD$17)</f>
        <v>8.4237956399999625</v>
      </c>
      <c r="BE281" s="16">
        <f ca="1">_xll.DBRW($D$4,$E$7,$E$8,$E$9,$E$10,$E$12,$D281,$E$6,BE$18,BE$17)</f>
        <v>-6.1495122099999984</v>
      </c>
      <c r="BF281" s="16">
        <f ca="1">_xll.DBRW($D$4,$E$7,$E$8,$E$9,$E$10,$E$12,$D281,$E$6,BF$18,BF$17)</f>
        <v>-0.47007716999999988</v>
      </c>
      <c r="BG281" s="26">
        <f ca="1">_xll.DBRW($D$4,$E$7,$E$8,$E$9,$E$10,$E$12,$D281,$E$6,BG$18,BG$17)</f>
        <v>0</v>
      </c>
      <c r="BH281" s="26">
        <f ca="1">_xll.DBRW($D$4,$E$7,$E$8,$E$9,$E$10,$E$12,$D281,$E$6,BH$18,BH$17)</f>
        <v>0</v>
      </c>
      <c r="BI281" s="26">
        <f ca="1">_xll.DBRW($D$4,$E$7,$E$8,$E$9,$E$10,$E$12,$D281,$E$6,BI$18,BI$17)</f>
        <v>0</v>
      </c>
      <c r="BJ281" s="26">
        <f ca="1">_xll.DBRW($D$4,$E$7,$E$8,$E$9,$E$10,$E$12,$D281,$E$6,BJ$18,BJ$17)</f>
        <v>0</v>
      </c>
      <c r="BK281" s="16">
        <f ca="1">_xll.DBRW($D$4,$E$7,$E$8,$E$9,$E$10,$E$12,$D281,$E$6,BK$18,BK$17)</f>
        <v>14.573307849999964</v>
      </c>
      <c r="BL281" s="16">
        <f ca="1">_xll.DBRW($D$4,$E$7,$E$8,$E$9,$E$10,$E$12,$D281,$E$6,BL$18,BL$17)</f>
        <v>71.863032489999981</v>
      </c>
      <c r="BM281" s="16">
        <f ca="1">_xll.DBRW($D$4,$E$7,$E$8,$E$9,$E$10,$E$12,$D281,$E$6,BM$18,BM$17)</f>
        <v>-27.614763390000004</v>
      </c>
      <c r="BN281" s="16">
        <f ca="1">_xll.DBRW($D$4,$E$7,$E$8,$E$9,$E$10,$E$12,$D281,$E$6,BN$18,BN$17)</f>
        <v>0.38426938626396967</v>
      </c>
      <c r="BO281" s="16"/>
      <c r="BP281" s="16"/>
      <c r="BQ281" s="16"/>
      <c r="BR281" s="16"/>
      <c r="BS281" s="16">
        <f ca="1">_xll.DBRW($D$4,$E$7,$E$8,$E$9,$E$10,$E$12,$D281,$E$6,BS$18,BS$17)</f>
        <v>-13.72927561</v>
      </c>
      <c r="BT281" s="16">
        <f ca="1">_xll.DBRW($D$4,$E$7,$E$8,$E$9,$E$10,$E$12,$D281,$E$6,BT$18,BT$17)</f>
        <v>0.19104781880601104</v>
      </c>
      <c r="BU281" s="16"/>
      <c r="BV281" s="16"/>
      <c r="BW281" s="16"/>
      <c r="BX281" s="16"/>
      <c r="BY281" s="16">
        <f ca="1">_xll.DBRW($D$4,$E$7,$E$8,$E$9,$E$10,$E$12,$D281,$E$6,BY$18,BY$17)</f>
        <v>0</v>
      </c>
      <c r="BZ281" s="16">
        <f ca="1">_xll.DBRW($D$4,$E$7,$E$8,$E$9,$E$10,$E$12,$D281,$E$6,BZ$18,BZ$17)</f>
        <v>0</v>
      </c>
      <c r="CA281" s="16"/>
      <c r="CB281" s="16"/>
      <c r="CC281" s="16"/>
      <c r="CD281" s="16"/>
      <c r="CE281" s="16">
        <f ca="1">_xll.DBRW($D$4,$E$7,$E$8,$E$9,$E$10,$E$12,$D281,$E$6,CE$18,CE$17)</f>
        <v>-1.6452370000000001E-2</v>
      </c>
      <c r="CF281" s="16">
        <f ca="1">_xll.DBRW($D$4,$E$7,$E$8,$E$9,$E$10,$E$12,$D281,$E$6,CF$18,CF$17)</f>
        <v>2.2894065877736807E-4</v>
      </c>
      <c r="CG281" s="16"/>
      <c r="CH281" s="16"/>
      <c r="CI281" s="16"/>
      <c r="CJ281" s="16"/>
      <c r="CK281" s="16">
        <f ca="1">_xll.DBRW($D$4,$E$7,$E$8,$E$9,$E$10,$E$12,$D281,$E$6,CK$18,CK$17)</f>
        <v>-15.929233269999996</v>
      </c>
      <c r="CL281" s="16">
        <f ca="1">_xll.DBRW($D$4,$E$7,$E$8,$E$9,$E$10,$E$12,$D281,$E$6,CL$18,CL$17)</f>
        <v>0.22166102261571846</v>
      </c>
      <c r="CM281" s="16"/>
      <c r="CN281" s="16"/>
      <c r="CO281" s="16"/>
      <c r="CP281" s="16"/>
      <c r="CQ281" s="16">
        <f ca="1">_xll.DBRW($D$4,$E$7,$E$8,$E$9,$E$10,$E$12,$D281,$E$6,CQ$18,CQ$17)</f>
        <v>0.82927715999999985</v>
      </c>
      <c r="CR281" s="16">
        <f ca="1">_xll.DBRW($D$4,$E$7,$E$8,$E$9,$E$10,$E$12,$D281,$E$6,CR$18,CR$17)</f>
        <v>0.7459062099999999</v>
      </c>
      <c r="CS281" s="16">
        <f ca="1">_xll.DBRW($D$4,$E$7,$E$8,$E$9,$E$10,$E$12,$D281,$E$6,CS$18,CS$17)</f>
        <v>8.2434422600000001</v>
      </c>
      <c r="CT281" s="16">
        <f ca="1">_xll.DBRW($D$4,$E$7,$E$8,$E$9,$E$10,$E$12,$D281,$E$6,CT$18,CT$17)</f>
        <v>0.7459062099999999</v>
      </c>
      <c r="CU281" s="16">
        <f ca="1">_xll.DBRW($D$4,$E$7,$E$8,$E$9,$E$10,$E$12,$D281,$E$6,CU$18,CU$17)</f>
        <v>0</v>
      </c>
      <c r="CV281" s="16">
        <f ca="1">_xll.DBRW($D$4,$E$7,$E$8,$E$9,$E$10,$E$12,$D281,$E$6,CV$18,CV$17)</f>
        <v>0</v>
      </c>
      <c r="CW281" s="16">
        <f ca="1">_xll.DBRW($D$4,$E$7,$E$8,$E$9,$E$10,$E$12,$D281,$E$6,CW$18,CW$17)</f>
        <v>0</v>
      </c>
      <c r="CX281" s="16">
        <f ca="1">_xll.DBRW($D$4,$E$7,$E$8,$E$9,$E$10,$E$12,$D281,$E$6,CX$18,CX$17)</f>
        <v>0</v>
      </c>
      <c r="CY281" s="16">
        <f ca="1">_xll.DBRW($D$4,$E$7,$E$8,$E$9,$E$10,$E$12,$D281,$E$6,CY$18,CY$17)</f>
        <v>0.7459062099999999</v>
      </c>
      <c r="CZ281" s="16">
        <f ca="1">_xll.DBRW($D$4,$E$7,$E$8,$E$9,$E$10,$E$12,$D281,$E$6,CZ$18,CZ$17)</f>
        <v>0.7459062099999999</v>
      </c>
      <c r="DA281" s="26">
        <f t="shared" ca="1" si="146"/>
        <v>0.84923875000002269</v>
      </c>
      <c r="DB281" s="26">
        <f t="shared" ca="1" si="147"/>
        <v>-1.2171620200000017</v>
      </c>
      <c r="DC281" s="26">
        <f t="shared" ca="1" si="148"/>
        <v>0.47007716999999988</v>
      </c>
      <c r="DD281" s="26">
        <f t="shared" ca="1" si="149"/>
        <v>0</v>
      </c>
      <c r="DE281" s="26">
        <f t="shared" ca="1" si="150"/>
        <v>0</v>
      </c>
      <c r="DF281" s="26">
        <f t="shared" ca="1" si="151"/>
        <v>0</v>
      </c>
      <c r="DG281" s="26">
        <f t="shared" ca="1" si="152"/>
        <v>0</v>
      </c>
      <c r="DH281" s="26">
        <f t="shared" ca="1" si="153"/>
        <v>2.0664007700000226</v>
      </c>
      <c r="DI281" s="26">
        <f t="shared" ca="1" si="154"/>
        <v>19.516633630000001</v>
      </c>
      <c r="DJ281" s="26">
        <f t="shared" ca="1" si="155"/>
        <v>-7.299906289999992</v>
      </c>
      <c r="DK281" s="26">
        <f t="shared" ca="1" si="156"/>
        <v>-2.1858094412006701E-3</v>
      </c>
      <c r="DL281" s="26"/>
      <c r="DM281" s="26"/>
      <c r="DN281" s="26"/>
      <c r="DO281" s="26"/>
      <c r="DP281" s="26">
        <f t="shared" ca="1" si="157"/>
        <v>-3.4992731599999995</v>
      </c>
      <c r="DQ281" s="26">
        <f t="shared" ca="1" si="158"/>
        <v>-2.5097172618947505E-3</v>
      </c>
      <c r="DR281" s="26"/>
      <c r="DS281" s="26"/>
      <c r="DT281" s="26"/>
      <c r="DU281" s="26"/>
      <c r="DV281" s="26">
        <f t="shared" ca="1" si="159"/>
        <v>-3.0607999999999997E-4</v>
      </c>
      <c r="DW281" s="26">
        <f t="shared" ca="1" si="160"/>
        <v>3.3495416759134907E-6</v>
      </c>
      <c r="DX281" s="26"/>
      <c r="DY281" s="26"/>
      <c r="DZ281" s="26"/>
      <c r="EA281" s="26"/>
      <c r="EB281" s="26">
        <f t="shared" ca="1" si="161"/>
        <v>1.4644290000000001E-2</v>
      </c>
      <c r="EC281" s="26">
        <f t="shared" ca="1" si="162"/>
        <v>-2.0915419996468619E-4</v>
      </c>
      <c r="ED281" s="26"/>
      <c r="EE281" s="26"/>
      <c r="EF281" s="26"/>
      <c r="EG281" s="26"/>
      <c r="EH281" s="26">
        <f t="shared" ca="1" si="163"/>
        <v>-6.6653916200000065</v>
      </c>
      <c r="EI281" s="29">
        <f t="shared" ca="1" si="164"/>
        <v>2.5599947459710476E-2</v>
      </c>
      <c r="EJ281" s="29"/>
      <c r="EK281" s="29"/>
      <c r="EL281" s="29"/>
      <c r="EM281" s="29"/>
      <c r="EN281" s="93"/>
      <c r="EO281" s="29"/>
      <c r="EP281" s="29"/>
      <c r="EQ281" s="29"/>
      <c r="ER281" s="29"/>
      <c r="ES281" s="29"/>
      <c r="ET281" s="29"/>
      <c r="EU281" s="93"/>
      <c r="EV281" s="29"/>
      <c r="EW281" s="29"/>
      <c r="EX281" s="29"/>
      <c r="EY281" s="29"/>
      <c r="EZ281" s="29"/>
      <c r="FA281" s="29"/>
      <c r="FB281" s="93"/>
      <c r="FC281" s="29"/>
      <c r="FD281" s="29"/>
      <c r="FE281" s="29"/>
      <c r="FF281" s="29"/>
      <c r="FG281" s="29"/>
      <c r="FH281" s="29"/>
      <c r="FI281" s="93"/>
      <c r="FJ281" s="29"/>
      <c r="FK281" s="29"/>
      <c r="FL281" s="29"/>
      <c r="FM281" s="29"/>
      <c r="FN281" s="29"/>
      <c r="FO281" s="29"/>
      <c r="FP281" s="93"/>
      <c r="FQ281" s="29"/>
      <c r="FR281" s="29"/>
      <c r="FS281" s="29"/>
      <c r="FT281" s="29"/>
      <c r="FU281" s="29"/>
      <c r="FV281" s="29"/>
    </row>
    <row r="282" spans="1:178" x14ac:dyDescent="0.25">
      <c r="A282" t="str">
        <f ca="1">IF(_xll.TM1RPTELISCONSOLIDATED($D$28,$D282),IF(_xll.TM1RPTELLEV($D$28,$D282)&lt;=3,_xll.TM1RPTELLEV($D$28,$D282),"D"),"N")</f>
        <v>N</v>
      </c>
      <c r="B282" t="str">
        <f ca="1">_xll.DBRA(Server&amp;"Management_organization",$D282,$B$27)</f>
        <v>L</v>
      </c>
      <c r="C282">
        <v>1</v>
      </c>
      <c r="D282" s="2" t="s">
        <v>369</v>
      </c>
      <c r="E282" s="26"/>
      <c r="F282" s="26"/>
      <c r="G282" s="16">
        <f ca="1">_xll.DBRW($D$4,$E$7,$E$8,$E$9,$E$10,$E$12,$D282,$E$6,G$18,G$17)</f>
        <v>0.43944574999999519</v>
      </c>
      <c r="H282" s="16">
        <f ca="1">_xll.DBRW($D$4,$E$7,$E$8,$E$9,$E$10,$E$12,$D282,$E$6,H$18,H$17)</f>
        <v>-0.36021903999999993</v>
      </c>
      <c r="I282" s="16">
        <f ca="1">_xll.DBRW($D$4,$E$7,$E$8,$E$9,$E$10,$E$12,$D282,$E$6,I$18,I$17)</f>
        <v>2.1684043449710089E-19</v>
      </c>
      <c r="J282" s="26">
        <f ca="1">_xll.DBRW($D$4,$E$7,$E$8,$E$9,$E$10,$E$12,$D282,$E$6,J$18,J$17)</f>
        <v>0</v>
      </c>
      <c r="K282" s="26">
        <f ca="1">_xll.DBRW($D$4,$E$7,$E$8,$E$9,$E$10,$E$12,$D282,$E$6,K$18,K$17)</f>
        <v>0</v>
      </c>
      <c r="L282" s="26">
        <f ca="1">_xll.DBRW($D$4,$E$7,$E$8,$E$9,$E$10,$E$12,$D282,$E$6,L$18,L$17)</f>
        <v>0</v>
      </c>
      <c r="M282" s="26">
        <f ca="1">_xll.DBRW($D$4,$E$7,$E$8,$E$9,$E$10,$E$12,$D282,$E$6,M$18,M$17)</f>
        <v>0</v>
      </c>
      <c r="N282" s="16">
        <f ca="1">_xll.DBRW($D$4,$E$7,$E$8,$E$9,$E$10,$E$12,$D282,$E$6,N$18,N$17)</f>
        <v>0.79966478999999502</v>
      </c>
      <c r="O282" s="16">
        <f ca="1">_xll.DBRW($D$4,$E$7,$E$8,$E$9,$E$10,$E$12,$D282,$E$6,O$18,O$17)</f>
        <v>15.174228949999996</v>
      </c>
      <c r="P282" s="74">
        <f ca="1">_xll.DBRW($D$4,$E$7,$E$8,$E$9,$E$10,$E$12,$D282,$E$6,P$18,P$17)</f>
        <v>-5.6014839299999997</v>
      </c>
      <c r="Q282" s="16">
        <f ca="1">_xll.DBRW($D$4,$E$7,$E$8,$E$9,$E$10,$E$12,$D282,$E$6,Q$18,Q$17)</f>
        <v>0.36914455083399811</v>
      </c>
      <c r="R282" s="16"/>
      <c r="S282" s="16"/>
      <c r="T282" s="16"/>
      <c r="U282" s="16"/>
      <c r="V282" s="16">
        <f ca="1">_xll.DBRW($D$4,$E$7,$E$8,$E$9,$E$10,$E$12,$D282,$E$6,V$18,V$17)</f>
        <v>-4.7720359400000003</v>
      </c>
      <c r="W282" s="16">
        <f ca="1">_xll.DBRW($D$4,$E$7,$E$8,$E$9,$E$10,$E$12,$D282,$E$6,W$18,W$17)</f>
        <v>0.31448292731868932</v>
      </c>
      <c r="X282" s="16"/>
      <c r="Y282" s="16"/>
      <c r="Z282" s="16"/>
      <c r="AA282" s="16"/>
      <c r="AB282" s="16">
        <f ca="1">_xll.DBRW($D$4,$E$7,$E$8,$E$9,$E$10,$E$12,$D282,$E$6,AB$18,AB$17)</f>
        <v>0</v>
      </c>
      <c r="AC282" s="16">
        <f ca="1">_xll.DBRW($D$4,$E$7,$E$8,$E$9,$E$10,$E$12,$D282,$E$6,AC$18,AC$17)</f>
        <v>0</v>
      </c>
      <c r="AD282" s="16"/>
      <c r="AE282" s="16"/>
      <c r="AF282" s="16"/>
      <c r="AG282" s="16"/>
      <c r="AH282" s="16">
        <f ca="1">_xll.DBRW($D$4,$E$7,$E$8,$E$9,$E$10,$E$12,$D282,$E$6,AH$18,AH$17)</f>
        <v>-2.2562730000000003E-2</v>
      </c>
      <c r="AI282" s="16">
        <f ca="1">_xll.DBRW($D$4,$E$7,$E$8,$E$9,$E$10,$E$12,$D282,$E$6,AI$18,AI$17)</f>
        <v>1.4869111356066635E-3</v>
      </c>
      <c r="AJ282" s="16"/>
      <c r="AK282" s="16"/>
      <c r="AL282" s="16"/>
      <c r="AM282" s="16"/>
      <c r="AN282" s="16">
        <f ca="1">_xll.DBRW($D$4,$E$7,$E$8,$E$9,$E$10,$E$12,$D282,$E$6,AN$18,AN$17)</f>
        <v>-3.9784815600000001</v>
      </c>
      <c r="AO282" s="16">
        <f ca="1">_xll.DBRW($D$4,$E$7,$E$8,$E$9,$E$10,$E$12,$D282,$E$6,AO$18,AO$17)</f>
        <v>0.26218673601863646</v>
      </c>
      <c r="AP282" s="16"/>
      <c r="AQ282" s="16"/>
      <c r="AR282" s="16"/>
      <c r="AS282" s="16"/>
      <c r="AT282" s="16">
        <f ca="1">_xll.DBRW($D$4,$E$7,$E$8,$E$9,$E$10,$E$12,$D282,$E$6,AT$18,AT$17)</f>
        <v>0.30757884999999996</v>
      </c>
      <c r="AU282" s="16">
        <f ca="1">_xll.DBRW($D$4,$E$7,$E$8,$E$9,$E$10,$E$12,$D282,$E$6,AU$18,AU$17)</f>
        <v>0.24459244999999999</v>
      </c>
      <c r="AV282" s="16">
        <f ca="1">_xll.DBRW($D$4,$E$7,$E$8,$E$9,$E$10,$E$12,$D282,$E$6,AV$18,AV$17)</f>
        <v>4.7707389999999998</v>
      </c>
      <c r="AW282" s="16">
        <f ca="1">_xll.DBRW($D$4,$E$7,$E$8,$E$9,$E$10,$E$12,$D282,$E$6,AW$18,AW$17)</f>
        <v>0.24459244999999999</v>
      </c>
      <c r="AX282" s="16">
        <f ca="1">_xll.DBRW($D$4,$E$7,$E$8,$E$9,$E$10,$E$12,$D282,$E$6,AX$18,AX$17)</f>
        <v>0</v>
      </c>
      <c r="AY282" s="16">
        <f ca="1">_xll.DBRW($D$4,$E$7,$E$8,$E$9,$E$10,$E$12,$D282,$E$6,AY$18,AY$17)</f>
        <v>0</v>
      </c>
      <c r="AZ282" s="16">
        <f ca="1">_xll.DBRW($D$4,$E$7,$E$8,$E$9,$E$10,$E$12,$D282,$E$6,AZ$18,AZ$17)</f>
        <v>0</v>
      </c>
      <c r="BA282" s="16">
        <f ca="1">_xll.DBRW($D$4,$E$7,$E$8,$E$9,$E$10,$E$12,$D282,$E$6,BA$18,BA$17)</f>
        <v>0</v>
      </c>
      <c r="BB282" s="16">
        <f ca="1">_xll.DBRW($D$4,$E$7,$E$8,$E$9,$E$10,$E$12,$D282,$E$6,BB$18,BB$17)</f>
        <v>0.24459244999999999</v>
      </c>
      <c r="BC282" s="16">
        <f ca="1">_xll.DBRW($D$4,$E$7,$E$8,$E$9,$E$10,$E$12,$D282,$E$6,BC$18,BC$17)</f>
        <v>0.24459244999999999</v>
      </c>
      <c r="BD282" s="16">
        <f ca="1">_xll.DBRW($D$4,$E$7,$E$8,$E$9,$E$10,$E$12,$D282,$E$6,BD$18,BD$17)</f>
        <v>0.68076381000000219</v>
      </c>
      <c r="BE282" s="16">
        <f ca="1">_xll.DBRW($D$4,$E$7,$E$8,$E$9,$E$10,$E$12,$D282,$E$6,BE$18,BE$17)</f>
        <v>-0.20631856999999998</v>
      </c>
      <c r="BF282" s="16">
        <f ca="1">_xll.DBRW($D$4,$E$7,$E$8,$E$9,$E$10,$E$12,$D282,$E$6,BF$18,BF$17)</f>
        <v>-6.6830599999999993E-3</v>
      </c>
      <c r="BG282" s="26">
        <f ca="1">_xll.DBRW($D$4,$E$7,$E$8,$E$9,$E$10,$E$12,$D282,$E$6,BG$18,BG$17)</f>
        <v>0</v>
      </c>
      <c r="BH282" s="26">
        <f ca="1">_xll.DBRW($D$4,$E$7,$E$8,$E$9,$E$10,$E$12,$D282,$E$6,BH$18,BH$17)</f>
        <v>0</v>
      </c>
      <c r="BI282" s="26">
        <f ca="1">_xll.DBRW($D$4,$E$7,$E$8,$E$9,$E$10,$E$12,$D282,$E$6,BI$18,BI$17)</f>
        <v>0</v>
      </c>
      <c r="BJ282" s="26">
        <f ca="1">_xll.DBRW($D$4,$E$7,$E$8,$E$9,$E$10,$E$12,$D282,$E$6,BJ$18,BJ$17)</f>
        <v>0</v>
      </c>
      <c r="BK282" s="16">
        <f ca="1">_xll.DBRW($D$4,$E$7,$E$8,$E$9,$E$10,$E$12,$D282,$E$6,BK$18,BK$17)</f>
        <v>0.88708238000000228</v>
      </c>
      <c r="BL282" s="16">
        <f ca="1">_xll.DBRW($D$4,$E$7,$E$8,$E$9,$E$10,$E$12,$D282,$E$6,BL$18,BL$17)</f>
        <v>6.475633880000002</v>
      </c>
      <c r="BM282" s="16">
        <f ca="1">_xll.DBRW($D$4,$E$7,$E$8,$E$9,$E$10,$E$12,$D282,$E$6,BM$18,BM$17)</f>
        <v>-2.3810898100000002</v>
      </c>
      <c r="BN282" s="16">
        <f ca="1">_xll.DBRW($D$4,$E$7,$E$8,$E$9,$E$10,$E$12,$D282,$E$6,BN$18,BN$17)</f>
        <v>0.36769988145160537</v>
      </c>
      <c r="BO282" s="16"/>
      <c r="BP282" s="16"/>
      <c r="BQ282" s="16"/>
      <c r="BR282" s="16"/>
      <c r="BS282" s="16">
        <f ca="1">_xll.DBRW($D$4,$E$7,$E$8,$E$9,$E$10,$E$12,$D282,$E$6,BS$18,BS$17)</f>
        <v>-1.8273788899999999</v>
      </c>
      <c r="BT282" s="16">
        <f ca="1">_xll.DBRW($D$4,$E$7,$E$8,$E$9,$E$10,$E$12,$D282,$E$6,BT$18,BT$17)</f>
        <v>0.28219305227305397</v>
      </c>
      <c r="BU282" s="16"/>
      <c r="BV282" s="16"/>
      <c r="BW282" s="16"/>
      <c r="BX282" s="16"/>
      <c r="BY282" s="16">
        <f ca="1">_xll.DBRW($D$4,$E$7,$E$8,$E$9,$E$10,$E$12,$D282,$E$6,BY$18,BY$17)</f>
        <v>0</v>
      </c>
      <c r="BZ282" s="16">
        <f ca="1">_xll.DBRW($D$4,$E$7,$E$8,$E$9,$E$10,$E$12,$D282,$E$6,BZ$18,BZ$17)</f>
        <v>0</v>
      </c>
      <c r="CA282" s="16"/>
      <c r="CB282" s="16"/>
      <c r="CC282" s="16"/>
      <c r="CD282" s="16"/>
      <c r="CE282" s="16">
        <f ca="1">_xll.DBRW($D$4,$E$7,$E$8,$E$9,$E$10,$E$12,$D282,$E$6,CE$18,CE$17)</f>
        <v>-7.4999999999999997E-3</v>
      </c>
      <c r="CF282" s="16">
        <f ca="1">_xll.DBRW($D$4,$E$7,$E$8,$E$9,$E$10,$E$12,$D282,$E$6,CF$18,CF$17)</f>
        <v>1.1581877757425034E-3</v>
      </c>
      <c r="CG282" s="16"/>
      <c r="CH282" s="16"/>
      <c r="CI282" s="16"/>
      <c r="CJ282" s="16"/>
      <c r="CK282" s="16">
        <f ca="1">_xll.DBRW($D$4,$E$7,$E$8,$E$9,$E$10,$E$12,$D282,$E$6,CK$18,CK$17)</f>
        <v>-1.3725828000000002</v>
      </c>
      <c r="CL282" s="16">
        <f ca="1">_xll.DBRW($D$4,$E$7,$E$8,$E$9,$E$10,$E$12,$D282,$E$6,CL$18,CL$17)</f>
        <v>0.21196114935392238</v>
      </c>
      <c r="CM282" s="16"/>
      <c r="CN282" s="16"/>
      <c r="CO282" s="16"/>
      <c r="CP282" s="16"/>
      <c r="CQ282" s="16">
        <f ca="1">_xll.DBRW($D$4,$E$7,$E$8,$E$9,$E$10,$E$12,$D282,$E$6,CQ$18,CQ$17)</f>
        <v>0.13386935999999997</v>
      </c>
      <c r="CR282" s="16">
        <f ca="1">_xll.DBRW($D$4,$E$7,$E$8,$E$9,$E$10,$E$12,$D282,$E$6,CR$18,CR$17)</f>
        <v>0.10510599999999999</v>
      </c>
      <c r="CS282" s="16">
        <f ca="1">_xll.DBRW($D$4,$E$7,$E$8,$E$9,$E$10,$E$12,$D282,$E$6,CS$18,CS$17)</f>
        <v>2.0884562199999994</v>
      </c>
      <c r="CT282" s="16">
        <f ca="1">_xll.DBRW($D$4,$E$7,$E$8,$E$9,$E$10,$E$12,$D282,$E$6,CT$18,CT$17)</f>
        <v>0.10510599999999999</v>
      </c>
      <c r="CU282" s="16">
        <f ca="1">_xll.DBRW($D$4,$E$7,$E$8,$E$9,$E$10,$E$12,$D282,$E$6,CU$18,CU$17)</f>
        <v>0</v>
      </c>
      <c r="CV282" s="16">
        <f ca="1">_xll.DBRW($D$4,$E$7,$E$8,$E$9,$E$10,$E$12,$D282,$E$6,CV$18,CV$17)</f>
        <v>0</v>
      </c>
      <c r="CW282" s="16">
        <f ca="1">_xll.DBRW($D$4,$E$7,$E$8,$E$9,$E$10,$E$12,$D282,$E$6,CW$18,CW$17)</f>
        <v>0</v>
      </c>
      <c r="CX282" s="16">
        <f ca="1">_xll.DBRW($D$4,$E$7,$E$8,$E$9,$E$10,$E$12,$D282,$E$6,CX$18,CX$17)</f>
        <v>0</v>
      </c>
      <c r="CY282" s="16">
        <f ca="1">_xll.DBRW($D$4,$E$7,$E$8,$E$9,$E$10,$E$12,$D282,$E$6,CY$18,CY$17)</f>
        <v>0.10510599999999999</v>
      </c>
      <c r="CZ282" s="16">
        <f ca="1">_xll.DBRW($D$4,$E$7,$E$8,$E$9,$E$10,$E$12,$D282,$E$6,CZ$18,CZ$17)</f>
        <v>0.10510599999999999</v>
      </c>
      <c r="DA282" s="26">
        <f t="shared" ca="1" si="146"/>
        <v>-0.241318060000007</v>
      </c>
      <c r="DB282" s="26">
        <f t="shared" ca="1" si="147"/>
        <v>-0.15390046999999996</v>
      </c>
      <c r="DC282" s="26">
        <f t="shared" ca="1" si="148"/>
        <v>6.6830599999999993E-3</v>
      </c>
      <c r="DD282" s="26">
        <f t="shared" ca="1" si="149"/>
        <v>0</v>
      </c>
      <c r="DE282" s="26">
        <f t="shared" ca="1" si="150"/>
        <v>0</v>
      </c>
      <c r="DF282" s="26">
        <f t="shared" ca="1" si="151"/>
        <v>0</v>
      </c>
      <c r="DG282" s="26">
        <f t="shared" ca="1" si="152"/>
        <v>0</v>
      </c>
      <c r="DH282" s="26">
        <f t="shared" ca="1" si="153"/>
        <v>-8.7417590000007261E-2</v>
      </c>
      <c r="DI282" s="26">
        <f t="shared" ca="1" si="154"/>
        <v>8.6985950699999943</v>
      </c>
      <c r="DJ282" s="26">
        <f t="shared" ca="1" si="155"/>
        <v>-3.2203941199999995</v>
      </c>
      <c r="DK282" s="26">
        <f t="shared" ca="1" si="156"/>
        <v>1.4446693823927381E-3</v>
      </c>
      <c r="DL282" s="26"/>
      <c r="DM282" s="26"/>
      <c r="DN282" s="26"/>
      <c r="DO282" s="26"/>
      <c r="DP282" s="26">
        <f t="shared" ca="1" si="157"/>
        <v>-2.9446570500000004</v>
      </c>
      <c r="DQ282" s="26">
        <f t="shared" ca="1" si="158"/>
        <v>3.2289875045635352E-2</v>
      </c>
      <c r="DR282" s="26"/>
      <c r="DS282" s="26"/>
      <c r="DT282" s="26"/>
      <c r="DU282" s="26"/>
      <c r="DV282" s="26">
        <f t="shared" ca="1" si="159"/>
        <v>0</v>
      </c>
      <c r="DW282" s="26">
        <f t="shared" ca="1" si="160"/>
        <v>0</v>
      </c>
      <c r="DX282" s="26"/>
      <c r="DY282" s="26"/>
      <c r="DZ282" s="26"/>
      <c r="EA282" s="26"/>
      <c r="EB282" s="26">
        <f t="shared" ca="1" si="161"/>
        <v>-1.5062730000000003E-2</v>
      </c>
      <c r="EC282" s="26">
        <f t="shared" ca="1" si="162"/>
        <v>3.2872335986416012E-4</v>
      </c>
      <c r="ED282" s="26"/>
      <c r="EE282" s="26"/>
      <c r="EF282" s="26"/>
      <c r="EG282" s="26"/>
      <c r="EH282" s="26">
        <f t="shared" ca="1" si="163"/>
        <v>-2.6058987599999996</v>
      </c>
      <c r="EI282" s="29">
        <f t="shared" ca="1" si="164"/>
        <v>5.0225586664714078E-2</v>
      </c>
      <c r="EJ282" s="29"/>
      <c r="EK282" s="29"/>
      <c r="EL282" s="29"/>
      <c r="EM282" s="29"/>
      <c r="EN282" s="93"/>
      <c r="EO282" s="29"/>
      <c r="EP282" s="29"/>
      <c r="EQ282" s="29"/>
      <c r="ER282" s="29"/>
      <c r="ES282" s="29"/>
      <c r="ET282" s="29"/>
      <c r="EU282" s="93"/>
      <c r="EV282" s="29"/>
      <c r="EW282" s="29"/>
      <c r="EX282" s="29"/>
      <c r="EY282" s="29"/>
      <c r="EZ282" s="29"/>
      <c r="FA282" s="29"/>
      <c r="FB282" s="93"/>
      <c r="FC282" s="29"/>
      <c r="FD282" s="29"/>
      <c r="FE282" s="29"/>
      <c r="FF282" s="29"/>
      <c r="FG282" s="29"/>
      <c r="FH282" s="29"/>
      <c r="FI282" s="93"/>
      <c r="FJ282" s="29"/>
      <c r="FK282" s="29"/>
      <c r="FL282" s="29"/>
      <c r="FM282" s="29"/>
      <c r="FN282" s="29"/>
      <c r="FO282" s="29"/>
      <c r="FP282" s="93"/>
      <c r="FQ282" s="29"/>
      <c r="FR282" s="29"/>
      <c r="FS282" s="29"/>
      <c r="FT282" s="29"/>
      <c r="FU282" s="29"/>
      <c r="FV282" s="29"/>
    </row>
    <row r="283" spans="1:178" x14ac:dyDescent="0.25">
      <c r="A283" t="str">
        <f ca="1">IF(_xll.TM1RPTELISCONSOLIDATED($D$28,$D283),IF(_xll.TM1RPTELLEV($D$28,$D283)&lt;=3,_xll.TM1RPTELLEV($D$28,$D283),"D"),"N")</f>
        <v>N</v>
      </c>
      <c r="B283" t="str">
        <f ca="1">_xll.DBRA(Server&amp;"Management_organization",$D283,$B$27)</f>
        <v>L</v>
      </c>
      <c r="C283">
        <v>1</v>
      </c>
      <c r="D283" s="2" t="s">
        <v>241</v>
      </c>
      <c r="E283" s="26"/>
      <c r="F283" s="26"/>
      <c r="G283" s="16">
        <f ca="1">_xll.DBRW($D$4,$E$7,$E$8,$E$9,$E$10,$E$12,$D283,$E$6,G$18,G$17)</f>
        <v>12.796343569999998</v>
      </c>
      <c r="H283" s="16">
        <f ca="1">_xll.DBRW($D$4,$E$7,$E$8,$E$9,$E$10,$E$12,$D283,$E$6,H$18,H$17)</f>
        <v>-1.6903351499999995</v>
      </c>
      <c r="I283" s="16">
        <f ca="1">_xll.DBRW($D$4,$E$7,$E$8,$E$9,$E$10,$E$12,$D283,$E$6,I$18,I$17)</f>
        <v>0</v>
      </c>
      <c r="J283" s="26">
        <f ca="1">_xll.DBRW($D$4,$E$7,$E$8,$E$9,$E$10,$E$12,$D283,$E$6,J$18,J$17)</f>
        <v>0</v>
      </c>
      <c r="K283" s="26">
        <f ca="1">_xll.DBRW($D$4,$E$7,$E$8,$E$9,$E$10,$E$12,$D283,$E$6,K$18,K$17)</f>
        <v>0</v>
      </c>
      <c r="L283" s="26">
        <f ca="1">_xll.DBRW($D$4,$E$7,$E$8,$E$9,$E$10,$E$12,$D283,$E$6,L$18,L$17)</f>
        <v>0</v>
      </c>
      <c r="M283" s="26">
        <f ca="1">_xll.DBRW($D$4,$E$7,$E$8,$E$9,$E$10,$E$12,$D283,$E$6,M$18,M$17)</f>
        <v>0</v>
      </c>
      <c r="N283" s="16">
        <f ca="1">_xll.DBRW($D$4,$E$7,$E$8,$E$9,$E$10,$E$12,$D283,$E$6,N$18,N$17)</f>
        <v>14.486678719999997</v>
      </c>
      <c r="O283" s="16">
        <f ca="1">_xll.DBRW($D$4,$E$7,$E$8,$E$9,$E$10,$E$12,$D283,$E$6,O$18,O$17)</f>
        <v>109.11309715</v>
      </c>
      <c r="P283" s="74">
        <f ca="1">_xll.DBRW($D$4,$E$7,$E$8,$E$9,$E$10,$E$12,$D283,$E$6,P$18,P$17)</f>
        <v>-51.545135500000008</v>
      </c>
      <c r="Q283" s="16">
        <f ca="1">_xll.DBRW($D$4,$E$7,$E$8,$E$9,$E$10,$E$12,$D283,$E$6,Q$18,Q$17)</f>
        <v>0.47240099352271026</v>
      </c>
      <c r="R283" s="16"/>
      <c r="S283" s="16"/>
      <c r="T283" s="16"/>
      <c r="U283" s="16"/>
      <c r="V283" s="16">
        <f ca="1">_xll.DBRW($D$4,$E$7,$E$8,$E$9,$E$10,$E$12,$D283,$E$6,V$18,V$17)</f>
        <v>-17.171073329999999</v>
      </c>
      <c r="W283" s="16">
        <f ca="1">_xll.DBRW($D$4,$E$7,$E$8,$E$9,$E$10,$E$12,$D283,$E$6,W$18,W$17)</f>
        <v>0.15736949805754824</v>
      </c>
      <c r="X283" s="16"/>
      <c r="Y283" s="16"/>
      <c r="Z283" s="16"/>
      <c r="AA283" s="16"/>
      <c r="AB283" s="16">
        <f ca="1">_xll.DBRW($D$4,$E$7,$E$8,$E$9,$E$10,$E$12,$D283,$E$6,AB$18,AB$17)</f>
        <v>0</v>
      </c>
      <c r="AC283" s="16">
        <f ca="1">_xll.DBRW($D$4,$E$7,$E$8,$E$9,$E$10,$E$12,$D283,$E$6,AC$18,AC$17)</f>
        <v>0</v>
      </c>
      <c r="AD283" s="16"/>
      <c r="AE283" s="16"/>
      <c r="AF283" s="16"/>
      <c r="AG283" s="16"/>
      <c r="AH283" s="16">
        <f ca="1">_xll.DBRW($D$4,$E$7,$E$8,$E$9,$E$10,$E$12,$D283,$E$6,AH$18,AH$17)</f>
        <v>-0.36448858999999995</v>
      </c>
      <c r="AI283" s="16">
        <f ca="1">_xll.DBRW($D$4,$E$7,$E$8,$E$9,$E$10,$E$12,$D283,$E$6,AI$18,AI$17)</f>
        <v>3.340465989146381E-3</v>
      </c>
      <c r="AJ283" s="16"/>
      <c r="AK283" s="16"/>
      <c r="AL283" s="16"/>
      <c r="AM283" s="16"/>
      <c r="AN283" s="16">
        <f ca="1">_xll.DBRW($D$4,$E$7,$E$8,$E$9,$E$10,$E$12,$D283,$E$6,AN$18,AN$17)</f>
        <v>-25.545721009999998</v>
      </c>
      <c r="AO283" s="16">
        <f ca="1">_xll.DBRW($D$4,$E$7,$E$8,$E$9,$E$10,$E$12,$D283,$E$6,AO$18,AO$17)</f>
        <v>0.23412149116143019</v>
      </c>
      <c r="AP283" s="16"/>
      <c r="AQ283" s="16"/>
      <c r="AR283" s="16"/>
      <c r="AS283" s="16"/>
      <c r="AT283" s="16">
        <f ca="1">_xll.DBRW($D$4,$E$7,$E$8,$E$9,$E$10,$E$12,$D283,$E$6,AT$18,AT$17)</f>
        <v>0</v>
      </c>
      <c r="AU283" s="16">
        <f ca="1">_xll.DBRW($D$4,$E$7,$E$8,$E$9,$E$10,$E$12,$D283,$E$6,AU$18,AU$17)</f>
        <v>0</v>
      </c>
      <c r="AV283" s="16">
        <f ca="1">_xll.DBRW($D$4,$E$7,$E$8,$E$9,$E$10,$E$12,$D283,$E$6,AV$18,AV$17)</f>
        <v>0</v>
      </c>
      <c r="AW283" s="16">
        <f ca="1">_xll.DBRW($D$4,$E$7,$E$8,$E$9,$E$10,$E$12,$D283,$E$6,AW$18,AW$17)</f>
        <v>0</v>
      </c>
      <c r="AX283" s="16">
        <f ca="1">_xll.DBRW($D$4,$E$7,$E$8,$E$9,$E$10,$E$12,$D283,$E$6,AX$18,AX$17)</f>
        <v>0</v>
      </c>
      <c r="AY283" s="16">
        <f ca="1">_xll.DBRW($D$4,$E$7,$E$8,$E$9,$E$10,$E$12,$D283,$E$6,AY$18,AY$17)</f>
        <v>0</v>
      </c>
      <c r="AZ283" s="16">
        <f ca="1">_xll.DBRW($D$4,$E$7,$E$8,$E$9,$E$10,$E$12,$D283,$E$6,AZ$18,AZ$17)</f>
        <v>0</v>
      </c>
      <c r="BA283" s="16">
        <f ca="1">_xll.DBRW($D$4,$E$7,$E$8,$E$9,$E$10,$E$12,$D283,$E$6,BA$18,BA$17)</f>
        <v>0</v>
      </c>
      <c r="BB283" s="16">
        <f ca="1">_xll.DBRW($D$4,$E$7,$E$8,$E$9,$E$10,$E$12,$D283,$E$6,BB$18,BB$17)</f>
        <v>0</v>
      </c>
      <c r="BC283" s="16">
        <f ca="1">_xll.DBRW($D$4,$E$7,$E$8,$E$9,$E$10,$E$12,$D283,$E$6,BC$18,BC$17)</f>
        <v>0</v>
      </c>
      <c r="BD283" s="16">
        <f ca="1">_xll.DBRW($D$4,$E$7,$E$8,$E$9,$E$10,$E$12,$D283,$E$6,BD$18,BD$17)</f>
        <v>14.538276650000013</v>
      </c>
      <c r="BE283" s="16">
        <f ca="1">_xll.DBRW($D$4,$E$7,$E$8,$E$9,$E$10,$E$12,$D283,$E$6,BE$18,BE$17)</f>
        <v>-1.5568928200000001</v>
      </c>
      <c r="BF283" s="16">
        <f ca="1">_xll.DBRW($D$4,$E$7,$E$8,$E$9,$E$10,$E$12,$D283,$E$6,BF$18,BF$17)</f>
        <v>0</v>
      </c>
      <c r="BG283" s="26">
        <f ca="1">_xll.DBRW($D$4,$E$7,$E$8,$E$9,$E$10,$E$12,$D283,$E$6,BG$18,BG$17)</f>
        <v>0</v>
      </c>
      <c r="BH283" s="26">
        <f ca="1">_xll.DBRW($D$4,$E$7,$E$8,$E$9,$E$10,$E$12,$D283,$E$6,BH$18,BH$17)</f>
        <v>0</v>
      </c>
      <c r="BI283" s="26">
        <f ca="1">_xll.DBRW($D$4,$E$7,$E$8,$E$9,$E$10,$E$12,$D283,$E$6,BI$18,BI$17)</f>
        <v>0</v>
      </c>
      <c r="BJ283" s="26">
        <f ca="1">_xll.DBRW($D$4,$E$7,$E$8,$E$9,$E$10,$E$12,$D283,$E$6,BJ$18,BJ$17)</f>
        <v>0</v>
      </c>
      <c r="BK283" s="16">
        <f ca="1">_xll.DBRW($D$4,$E$7,$E$8,$E$9,$E$10,$E$12,$D283,$E$6,BK$18,BK$17)</f>
        <v>16.095169470000013</v>
      </c>
      <c r="BL283" s="16">
        <f ca="1">_xll.DBRW($D$4,$E$7,$E$8,$E$9,$E$10,$E$12,$D283,$E$6,BL$18,BL$17)</f>
        <v>85.44984174999999</v>
      </c>
      <c r="BM283" s="16">
        <f ca="1">_xll.DBRW($D$4,$E$7,$E$8,$E$9,$E$10,$E$12,$D283,$E$6,BM$18,BM$17)</f>
        <v>-40.85132849</v>
      </c>
      <c r="BN283" s="16">
        <f ca="1">_xll.DBRW($D$4,$E$7,$E$8,$E$9,$E$10,$E$12,$D283,$E$6,BN$18,BN$17)</f>
        <v>0.4780737758358693</v>
      </c>
      <c r="BO283" s="16"/>
      <c r="BP283" s="16"/>
      <c r="BQ283" s="16"/>
      <c r="BR283" s="16"/>
      <c r="BS283" s="16">
        <f ca="1">_xll.DBRW($D$4,$E$7,$E$8,$E$9,$E$10,$E$12,$D283,$E$6,BS$18,BS$17)</f>
        <v>-14.17403363</v>
      </c>
      <c r="BT283" s="16">
        <f ca="1">_xll.DBRW($D$4,$E$7,$E$8,$E$9,$E$10,$E$12,$D283,$E$6,BT$18,BT$17)</f>
        <v>0.16587548133171354</v>
      </c>
      <c r="BU283" s="16"/>
      <c r="BV283" s="16"/>
      <c r="BW283" s="16"/>
      <c r="BX283" s="16"/>
      <c r="BY283" s="16">
        <f ca="1">_xll.DBRW($D$4,$E$7,$E$8,$E$9,$E$10,$E$12,$D283,$E$6,BY$18,BY$17)</f>
        <v>0</v>
      </c>
      <c r="BZ283" s="16">
        <f ca="1">_xll.DBRW($D$4,$E$7,$E$8,$E$9,$E$10,$E$12,$D283,$E$6,BZ$18,BZ$17)</f>
        <v>0</v>
      </c>
      <c r="CA283" s="16"/>
      <c r="CB283" s="16"/>
      <c r="CC283" s="16"/>
      <c r="CD283" s="16"/>
      <c r="CE283" s="16">
        <f ca="1">_xll.DBRW($D$4,$E$7,$E$8,$E$9,$E$10,$E$12,$D283,$E$6,CE$18,CE$17)</f>
        <v>-0.27031534999999995</v>
      </c>
      <c r="CF283" s="16">
        <f ca="1">_xll.DBRW($D$4,$E$7,$E$8,$E$9,$E$10,$E$12,$D283,$E$6,CF$18,CF$17)</f>
        <v>3.1634388603183103E-3</v>
      </c>
      <c r="CG283" s="16"/>
      <c r="CH283" s="16"/>
      <c r="CI283" s="16"/>
      <c r="CJ283" s="16"/>
      <c r="CK283" s="16">
        <f ca="1">_xll.DBRW($D$4,$E$7,$E$8,$E$9,$E$10,$E$12,$D283,$E$6,CK$18,CK$17)</f>
        <v>-14.058994810000002</v>
      </c>
      <c r="CL283" s="16">
        <f ca="1">_xll.DBRW($D$4,$E$7,$E$8,$E$9,$E$10,$E$12,$D283,$E$6,CL$18,CL$17)</f>
        <v>0.16452920827088605</v>
      </c>
      <c r="CM283" s="16"/>
      <c r="CN283" s="16"/>
      <c r="CO283" s="16"/>
      <c r="CP283" s="16"/>
      <c r="CQ283" s="16">
        <f ca="1">_xll.DBRW($D$4,$E$7,$E$8,$E$9,$E$10,$E$12,$D283,$E$6,CQ$18,CQ$17)</f>
        <v>0</v>
      </c>
      <c r="CR283" s="16">
        <f ca="1">_xll.DBRW($D$4,$E$7,$E$8,$E$9,$E$10,$E$12,$D283,$E$6,CR$18,CR$17)</f>
        <v>0</v>
      </c>
      <c r="CS283" s="16">
        <f ca="1">_xll.DBRW($D$4,$E$7,$E$8,$E$9,$E$10,$E$12,$D283,$E$6,CS$18,CS$17)</f>
        <v>0</v>
      </c>
      <c r="CT283" s="16">
        <f ca="1">_xll.DBRW($D$4,$E$7,$E$8,$E$9,$E$10,$E$12,$D283,$E$6,CT$18,CT$17)</f>
        <v>0</v>
      </c>
      <c r="CU283" s="16">
        <f ca="1">_xll.DBRW($D$4,$E$7,$E$8,$E$9,$E$10,$E$12,$D283,$E$6,CU$18,CU$17)</f>
        <v>0</v>
      </c>
      <c r="CV283" s="16">
        <f ca="1">_xll.DBRW($D$4,$E$7,$E$8,$E$9,$E$10,$E$12,$D283,$E$6,CV$18,CV$17)</f>
        <v>0</v>
      </c>
      <c r="CW283" s="16">
        <f ca="1">_xll.DBRW($D$4,$E$7,$E$8,$E$9,$E$10,$E$12,$D283,$E$6,CW$18,CW$17)</f>
        <v>0</v>
      </c>
      <c r="CX283" s="16">
        <f ca="1">_xll.DBRW($D$4,$E$7,$E$8,$E$9,$E$10,$E$12,$D283,$E$6,CX$18,CX$17)</f>
        <v>0</v>
      </c>
      <c r="CY283" s="16">
        <f ca="1">_xll.DBRW($D$4,$E$7,$E$8,$E$9,$E$10,$E$12,$D283,$E$6,CY$18,CY$17)</f>
        <v>0</v>
      </c>
      <c r="CZ283" s="16">
        <f ca="1">_xll.DBRW($D$4,$E$7,$E$8,$E$9,$E$10,$E$12,$D283,$E$6,CZ$18,CZ$17)</f>
        <v>0</v>
      </c>
      <c r="DA283" s="26">
        <f t="shared" ca="1" si="146"/>
        <v>-1.741933080000015</v>
      </c>
      <c r="DB283" s="26">
        <f t="shared" ca="1" si="147"/>
        <v>-0.13344232999999939</v>
      </c>
      <c r="DC283" s="26">
        <f t="shared" ca="1" si="148"/>
        <v>0</v>
      </c>
      <c r="DD283" s="26">
        <f t="shared" ca="1" si="149"/>
        <v>0</v>
      </c>
      <c r="DE283" s="26">
        <f t="shared" ca="1" si="150"/>
        <v>0</v>
      </c>
      <c r="DF283" s="26">
        <f t="shared" ca="1" si="151"/>
        <v>0</v>
      </c>
      <c r="DG283" s="26">
        <f t="shared" ca="1" si="152"/>
        <v>0</v>
      </c>
      <c r="DH283" s="26">
        <f t="shared" ca="1" si="153"/>
        <v>-1.6084907500000156</v>
      </c>
      <c r="DI283" s="26">
        <f t="shared" ca="1" si="154"/>
        <v>23.663255400000011</v>
      </c>
      <c r="DJ283" s="26">
        <f t="shared" ca="1" si="155"/>
        <v>-10.693807010000008</v>
      </c>
      <c r="DK283" s="26">
        <f t="shared" ca="1" si="156"/>
        <v>-5.6727823131590416E-3</v>
      </c>
      <c r="DL283" s="26"/>
      <c r="DM283" s="26"/>
      <c r="DN283" s="26"/>
      <c r="DO283" s="26"/>
      <c r="DP283" s="26">
        <f t="shared" ca="1" si="157"/>
        <v>-2.9970396999999984</v>
      </c>
      <c r="DQ283" s="26">
        <f t="shared" ca="1" si="158"/>
        <v>-8.5059832741652963E-3</v>
      </c>
      <c r="DR283" s="26"/>
      <c r="DS283" s="26"/>
      <c r="DT283" s="26"/>
      <c r="DU283" s="26"/>
      <c r="DV283" s="26">
        <f t="shared" ca="1" si="159"/>
        <v>0</v>
      </c>
      <c r="DW283" s="26">
        <f t="shared" ca="1" si="160"/>
        <v>0</v>
      </c>
      <c r="DX283" s="26"/>
      <c r="DY283" s="26"/>
      <c r="DZ283" s="26"/>
      <c r="EA283" s="26"/>
      <c r="EB283" s="26">
        <f t="shared" ca="1" si="161"/>
        <v>-9.4173239999999991E-2</v>
      </c>
      <c r="EC283" s="26">
        <f t="shared" ca="1" si="162"/>
        <v>1.7702712882807078E-4</v>
      </c>
      <c r="ED283" s="26"/>
      <c r="EE283" s="26"/>
      <c r="EF283" s="26"/>
      <c r="EG283" s="26"/>
      <c r="EH283" s="26">
        <f t="shared" ca="1" si="163"/>
        <v>-11.486726199999996</v>
      </c>
      <c r="EI283" s="29">
        <f t="shared" ca="1" si="164"/>
        <v>6.9592282890544144E-2</v>
      </c>
      <c r="EJ283" s="29"/>
      <c r="EK283" s="29"/>
      <c r="EL283" s="29"/>
      <c r="EM283" s="29"/>
      <c r="EN283" s="93"/>
      <c r="EO283" s="29"/>
      <c r="EP283" s="29"/>
      <c r="EQ283" s="29"/>
      <c r="ER283" s="29"/>
      <c r="ES283" s="29"/>
      <c r="ET283" s="29"/>
      <c r="EU283" s="93"/>
      <c r="EV283" s="29"/>
      <c r="EW283" s="29"/>
      <c r="EX283" s="29"/>
      <c r="EY283" s="29"/>
      <c r="EZ283" s="29"/>
      <c r="FA283" s="29"/>
      <c r="FB283" s="93"/>
      <c r="FC283" s="29"/>
      <c r="FD283" s="29"/>
      <c r="FE283" s="29"/>
      <c r="FF283" s="29"/>
      <c r="FG283" s="29"/>
      <c r="FH283" s="29"/>
      <c r="FI283" s="93"/>
      <c r="FJ283" s="29"/>
      <c r="FK283" s="29"/>
      <c r="FL283" s="29"/>
      <c r="FM283" s="29"/>
      <c r="FN283" s="29"/>
      <c r="FO283" s="29"/>
      <c r="FP283" s="93"/>
      <c r="FQ283" s="29"/>
      <c r="FR283" s="29"/>
      <c r="FS283" s="29"/>
      <c r="FT283" s="29"/>
      <c r="FU283" s="29"/>
      <c r="FV283" s="29"/>
    </row>
    <row r="284" spans="1:178" x14ac:dyDescent="0.25">
      <c r="A284" t="str">
        <f ca="1">IF(_xll.TM1RPTELISCONSOLIDATED($D$28,$D284),IF(_xll.TM1RPTELLEV($D$28,$D284)&lt;=3,_xll.TM1RPTELLEV($D$28,$D284),"D"),"N")</f>
        <v>N</v>
      </c>
      <c r="B284" t="str">
        <f ca="1">_xll.DBRA(Server&amp;"Management_organization",$D284,$B$27)</f>
        <v>L</v>
      </c>
      <c r="C284">
        <v>1</v>
      </c>
      <c r="D284" s="2" t="s">
        <v>242</v>
      </c>
      <c r="E284" s="26"/>
      <c r="F284" s="26"/>
      <c r="G284" s="16">
        <f ca="1">_xll.DBRW($D$4,$E$7,$E$8,$E$9,$E$10,$E$12,$D284,$E$6,G$18,G$17)</f>
        <v>1.7580388300000014</v>
      </c>
      <c r="H284" s="16">
        <f ca="1">_xll.DBRW($D$4,$E$7,$E$8,$E$9,$E$10,$E$12,$D284,$E$6,H$18,H$17)</f>
        <v>-0.46385187999999994</v>
      </c>
      <c r="I284" s="16">
        <f ca="1">_xll.DBRW($D$4,$E$7,$E$8,$E$9,$E$10,$E$12,$D284,$E$6,I$18,I$17)</f>
        <v>1.7347234759768071E-18</v>
      </c>
      <c r="J284" s="26">
        <f ca="1">_xll.DBRW($D$4,$E$7,$E$8,$E$9,$E$10,$E$12,$D284,$E$6,J$18,J$17)</f>
        <v>0</v>
      </c>
      <c r="K284" s="26">
        <f ca="1">_xll.DBRW($D$4,$E$7,$E$8,$E$9,$E$10,$E$12,$D284,$E$6,K$18,K$17)</f>
        <v>0</v>
      </c>
      <c r="L284" s="26">
        <f ca="1">_xll.DBRW($D$4,$E$7,$E$8,$E$9,$E$10,$E$12,$D284,$E$6,L$18,L$17)</f>
        <v>0</v>
      </c>
      <c r="M284" s="26">
        <f ca="1">_xll.DBRW($D$4,$E$7,$E$8,$E$9,$E$10,$E$12,$D284,$E$6,M$18,M$17)</f>
        <v>0</v>
      </c>
      <c r="N284" s="16">
        <f ca="1">_xll.DBRW($D$4,$E$7,$E$8,$E$9,$E$10,$E$12,$D284,$E$6,N$18,N$17)</f>
        <v>2.2218907100000012</v>
      </c>
      <c r="O284" s="16">
        <f ca="1">_xll.DBRW($D$4,$E$7,$E$8,$E$9,$E$10,$E$12,$D284,$E$6,O$18,O$17)</f>
        <v>15.420348879999997</v>
      </c>
      <c r="P284" s="74">
        <f ca="1">_xll.DBRW($D$4,$E$7,$E$8,$E$9,$E$10,$E$12,$D284,$E$6,P$18,P$17)</f>
        <v>-6.4638314199999973</v>
      </c>
      <c r="Q284" s="16">
        <f ca="1">_xll.DBRW($D$4,$E$7,$E$8,$E$9,$E$10,$E$12,$D284,$E$6,Q$18,Q$17)</f>
        <v>0.41917543307878768</v>
      </c>
      <c r="R284" s="16"/>
      <c r="S284" s="16"/>
      <c r="T284" s="16"/>
      <c r="U284" s="16"/>
      <c r="V284" s="16">
        <f ca="1">_xll.DBRW($D$4,$E$7,$E$8,$E$9,$E$10,$E$12,$D284,$E$6,V$18,V$17)</f>
        <v>-1.9867346800000001</v>
      </c>
      <c r="W284" s="16">
        <f ca="1">_xll.DBRW($D$4,$E$7,$E$8,$E$9,$E$10,$E$12,$D284,$E$6,W$18,W$17)</f>
        <v>0.12883850394440624</v>
      </c>
      <c r="X284" s="16"/>
      <c r="Y284" s="16"/>
      <c r="Z284" s="16"/>
      <c r="AA284" s="16"/>
      <c r="AB284" s="16">
        <f ca="1">_xll.DBRW($D$4,$E$7,$E$8,$E$9,$E$10,$E$12,$D284,$E$6,AB$18,AB$17)</f>
        <v>0</v>
      </c>
      <c r="AC284" s="16">
        <f ca="1">_xll.DBRW($D$4,$E$7,$E$8,$E$9,$E$10,$E$12,$D284,$E$6,AC$18,AC$17)</f>
        <v>0</v>
      </c>
      <c r="AD284" s="16"/>
      <c r="AE284" s="16"/>
      <c r="AF284" s="16"/>
      <c r="AG284" s="16"/>
      <c r="AH284" s="16">
        <f ca="1">_xll.DBRW($D$4,$E$7,$E$8,$E$9,$E$10,$E$12,$D284,$E$6,AH$18,AH$17)</f>
        <v>-1.3379720000000001E-2</v>
      </c>
      <c r="AI284" s="16">
        <f ca="1">_xll.DBRW($D$4,$E$7,$E$8,$E$9,$E$10,$E$12,$D284,$E$6,AI$18,AI$17)</f>
        <v>8.6766649082455798E-4</v>
      </c>
      <c r="AJ284" s="16"/>
      <c r="AK284" s="16"/>
      <c r="AL284" s="16"/>
      <c r="AM284" s="16"/>
      <c r="AN284" s="16">
        <f ca="1">_xll.DBRW($D$4,$E$7,$E$8,$E$9,$E$10,$E$12,$D284,$E$6,AN$18,AN$17)</f>
        <v>-4.7345123500000001</v>
      </c>
      <c r="AO284" s="16">
        <f ca="1">_xll.DBRW($D$4,$E$7,$E$8,$E$9,$E$10,$E$12,$D284,$E$6,AO$18,AO$17)</f>
        <v>0.30703017077263439</v>
      </c>
      <c r="AP284" s="16"/>
      <c r="AQ284" s="16"/>
      <c r="AR284" s="16"/>
      <c r="AS284" s="16"/>
      <c r="AT284" s="16">
        <f ca="1">_xll.DBRW($D$4,$E$7,$E$8,$E$9,$E$10,$E$12,$D284,$E$6,AT$18,AT$17)</f>
        <v>0.25710998999999995</v>
      </c>
      <c r="AU284" s="16">
        <f ca="1">_xll.DBRW($D$4,$E$7,$E$8,$E$9,$E$10,$E$12,$D284,$E$6,AU$18,AU$17)</f>
        <v>0.23404385999999999</v>
      </c>
      <c r="AV284" s="16">
        <f ca="1">_xll.DBRW($D$4,$E$7,$E$8,$E$9,$E$10,$E$12,$D284,$E$6,AV$18,AV$17)</f>
        <v>2.2583250000000001</v>
      </c>
      <c r="AW284" s="16">
        <f ca="1">_xll.DBRW($D$4,$E$7,$E$8,$E$9,$E$10,$E$12,$D284,$E$6,AW$18,AW$17)</f>
        <v>0.23404385999999999</v>
      </c>
      <c r="AX284" s="16">
        <f ca="1">_xll.DBRW($D$4,$E$7,$E$8,$E$9,$E$10,$E$12,$D284,$E$6,AX$18,AX$17)</f>
        <v>0</v>
      </c>
      <c r="AY284" s="16">
        <f ca="1">_xll.DBRW($D$4,$E$7,$E$8,$E$9,$E$10,$E$12,$D284,$E$6,AY$18,AY$17)</f>
        <v>0</v>
      </c>
      <c r="AZ284" s="16">
        <f ca="1">_xll.DBRW($D$4,$E$7,$E$8,$E$9,$E$10,$E$12,$D284,$E$6,AZ$18,AZ$17)</f>
        <v>0</v>
      </c>
      <c r="BA284" s="16">
        <f ca="1">_xll.DBRW($D$4,$E$7,$E$8,$E$9,$E$10,$E$12,$D284,$E$6,BA$18,BA$17)</f>
        <v>0</v>
      </c>
      <c r="BB284" s="16">
        <f ca="1">_xll.DBRW($D$4,$E$7,$E$8,$E$9,$E$10,$E$12,$D284,$E$6,BB$18,BB$17)</f>
        <v>0.23404385999999999</v>
      </c>
      <c r="BC284" s="16">
        <f ca="1">_xll.DBRW($D$4,$E$7,$E$8,$E$9,$E$10,$E$12,$D284,$E$6,BC$18,BC$17)</f>
        <v>0.23404385999999999</v>
      </c>
      <c r="BD284" s="16">
        <f ca="1">_xll.DBRW($D$4,$E$7,$E$8,$E$9,$E$10,$E$12,$D284,$E$6,BD$18,BD$17)</f>
        <v>2.2409895299999967</v>
      </c>
      <c r="BE284" s="16">
        <f ca="1">_xll.DBRW($D$4,$E$7,$E$8,$E$9,$E$10,$E$12,$D284,$E$6,BE$18,BE$17)</f>
        <v>-0.32133631000000007</v>
      </c>
      <c r="BF284" s="16">
        <f ca="1">_xll.DBRW($D$4,$E$7,$E$8,$E$9,$E$10,$E$12,$D284,$E$6,BF$18,BF$17)</f>
        <v>0</v>
      </c>
      <c r="BG284" s="26">
        <f ca="1">_xll.DBRW($D$4,$E$7,$E$8,$E$9,$E$10,$E$12,$D284,$E$6,BG$18,BG$17)</f>
        <v>0</v>
      </c>
      <c r="BH284" s="26">
        <f ca="1">_xll.DBRW($D$4,$E$7,$E$8,$E$9,$E$10,$E$12,$D284,$E$6,BH$18,BH$17)</f>
        <v>0</v>
      </c>
      <c r="BI284" s="26">
        <f ca="1">_xll.DBRW($D$4,$E$7,$E$8,$E$9,$E$10,$E$12,$D284,$E$6,BI$18,BI$17)</f>
        <v>0</v>
      </c>
      <c r="BJ284" s="26">
        <f ca="1">_xll.DBRW($D$4,$E$7,$E$8,$E$9,$E$10,$E$12,$D284,$E$6,BJ$18,BJ$17)</f>
        <v>0</v>
      </c>
      <c r="BK284" s="16">
        <f ca="1">_xll.DBRW($D$4,$E$7,$E$8,$E$9,$E$10,$E$12,$D284,$E$6,BK$18,BK$17)</f>
        <v>2.5623258399999966</v>
      </c>
      <c r="BL284" s="16">
        <f ca="1">_xll.DBRW($D$4,$E$7,$E$8,$E$9,$E$10,$E$12,$D284,$E$6,BL$18,BL$17)</f>
        <v>12.565651939999999</v>
      </c>
      <c r="BM284" s="16">
        <f ca="1">_xll.DBRW($D$4,$E$7,$E$8,$E$9,$E$10,$E$12,$D284,$E$6,BM$18,BM$17)</f>
        <v>-5.4539435600000008</v>
      </c>
      <c r="BN284" s="16">
        <f ca="1">_xll.DBRW($D$4,$E$7,$E$8,$E$9,$E$10,$E$12,$D284,$E$6,BN$18,BN$17)</f>
        <v>0.43403586109516268</v>
      </c>
      <c r="BO284" s="16"/>
      <c r="BP284" s="16"/>
      <c r="BQ284" s="16"/>
      <c r="BR284" s="16"/>
      <c r="BS284" s="16">
        <f ca="1">_xll.DBRW($D$4,$E$7,$E$8,$E$9,$E$10,$E$12,$D284,$E$6,BS$18,BS$17)</f>
        <v>-1.5766586399999996</v>
      </c>
      <c r="BT284" s="16">
        <f ca="1">_xll.DBRW($D$4,$E$7,$E$8,$E$9,$E$10,$E$12,$D284,$E$6,BT$18,BT$17)</f>
        <v>0.12547368393843955</v>
      </c>
      <c r="BU284" s="16"/>
      <c r="BV284" s="16"/>
      <c r="BW284" s="16"/>
      <c r="BX284" s="16"/>
      <c r="BY284" s="16">
        <f ca="1">_xll.DBRW($D$4,$E$7,$E$8,$E$9,$E$10,$E$12,$D284,$E$6,BY$18,BY$17)</f>
        <v>0</v>
      </c>
      <c r="BZ284" s="16">
        <f ca="1">_xll.DBRW($D$4,$E$7,$E$8,$E$9,$E$10,$E$12,$D284,$E$6,BZ$18,BZ$17)</f>
        <v>0</v>
      </c>
      <c r="CA284" s="16"/>
      <c r="CB284" s="16"/>
      <c r="CC284" s="16"/>
      <c r="CD284" s="16"/>
      <c r="CE284" s="16">
        <f ca="1">_xll.DBRW($D$4,$E$7,$E$8,$E$9,$E$10,$E$12,$D284,$E$6,CE$18,CE$17)</f>
        <v>-1.2760000000000002E-2</v>
      </c>
      <c r="CF284" s="16">
        <f ca="1">_xll.DBRW($D$4,$E$7,$E$8,$E$9,$E$10,$E$12,$D284,$E$6,CF$18,CF$17)</f>
        <v>1.0154666117546467E-3</v>
      </c>
      <c r="CG284" s="16"/>
      <c r="CH284" s="16"/>
      <c r="CI284" s="16"/>
      <c r="CJ284" s="16"/>
      <c r="CK284" s="16">
        <f ca="1">_xll.DBRW($D$4,$E$7,$E$8,$E$9,$E$10,$E$12,$D284,$E$6,CK$18,CK$17)</f>
        <v>-2.9599639</v>
      </c>
      <c r="CL284" s="16">
        <f ca="1">_xll.DBRW($D$4,$E$7,$E$8,$E$9,$E$10,$E$12,$D284,$E$6,CL$18,CL$17)</f>
        <v>0.23555991476873586</v>
      </c>
      <c r="CM284" s="16"/>
      <c r="CN284" s="16"/>
      <c r="CO284" s="16"/>
      <c r="CP284" s="16"/>
      <c r="CQ284" s="16">
        <f ca="1">_xll.DBRW($D$4,$E$7,$E$8,$E$9,$E$10,$E$12,$D284,$E$6,CQ$18,CQ$17)</f>
        <v>0.20793929999999997</v>
      </c>
      <c r="CR284" s="16">
        <f ca="1">_xll.DBRW($D$4,$E$7,$E$8,$E$9,$E$10,$E$12,$D284,$E$6,CR$18,CR$17)</f>
        <v>0.19077</v>
      </c>
      <c r="CS284" s="16">
        <f ca="1">_xll.DBRW($D$4,$E$7,$E$8,$E$9,$E$10,$E$12,$D284,$E$6,CS$18,CS$17)</f>
        <v>1.9153307999999998</v>
      </c>
      <c r="CT284" s="16">
        <f ca="1">_xll.DBRW($D$4,$E$7,$E$8,$E$9,$E$10,$E$12,$D284,$E$6,CT$18,CT$17)</f>
        <v>0.19077</v>
      </c>
      <c r="CU284" s="16">
        <f ca="1">_xll.DBRW($D$4,$E$7,$E$8,$E$9,$E$10,$E$12,$D284,$E$6,CU$18,CU$17)</f>
        <v>0</v>
      </c>
      <c r="CV284" s="16">
        <f ca="1">_xll.DBRW($D$4,$E$7,$E$8,$E$9,$E$10,$E$12,$D284,$E$6,CV$18,CV$17)</f>
        <v>0</v>
      </c>
      <c r="CW284" s="16">
        <f ca="1">_xll.DBRW($D$4,$E$7,$E$8,$E$9,$E$10,$E$12,$D284,$E$6,CW$18,CW$17)</f>
        <v>0</v>
      </c>
      <c r="CX284" s="16">
        <f ca="1">_xll.DBRW($D$4,$E$7,$E$8,$E$9,$E$10,$E$12,$D284,$E$6,CX$18,CX$17)</f>
        <v>0</v>
      </c>
      <c r="CY284" s="16">
        <f ca="1">_xll.DBRW($D$4,$E$7,$E$8,$E$9,$E$10,$E$12,$D284,$E$6,CY$18,CY$17)</f>
        <v>0.19077</v>
      </c>
      <c r="CZ284" s="16">
        <f ca="1">_xll.DBRW($D$4,$E$7,$E$8,$E$9,$E$10,$E$12,$D284,$E$6,CZ$18,CZ$17)</f>
        <v>0.19077</v>
      </c>
      <c r="DA284" s="26">
        <f t="shared" ca="1" si="146"/>
        <v>-0.48295069999999529</v>
      </c>
      <c r="DB284" s="26">
        <f t="shared" ca="1" si="147"/>
        <v>-0.14251556999999987</v>
      </c>
      <c r="DC284" s="26">
        <f t="shared" ca="1" si="148"/>
        <v>1.7347234759768071E-18</v>
      </c>
      <c r="DD284" s="26">
        <f t="shared" ca="1" si="149"/>
        <v>0</v>
      </c>
      <c r="DE284" s="26">
        <f t="shared" ca="1" si="150"/>
        <v>0</v>
      </c>
      <c r="DF284" s="26">
        <f t="shared" ca="1" si="151"/>
        <v>0</v>
      </c>
      <c r="DG284" s="26">
        <f t="shared" ca="1" si="152"/>
        <v>0</v>
      </c>
      <c r="DH284" s="26">
        <f t="shared" ca="1" si="153"/>
        <v>-0.34043512999999548</v>
      </c>
      <c r="DI284" s="26">
        <f t="shared" ca="1" si="154"/>
        <v>2.8546969399999984</v>
      </c>
      <c r="DJ284" s="26">
        <f t="shared" ca="1" si="155"/>
        <v>-1.0098878599999965</v>
      </c>
      <c r="DK284" s="26">
        <f t="shared" ca="1" si="156"/>
        <v>-1.4860428016374994E-2</v>
      </c>
      <c r="DL284" s="26"/>
      <c r="DM284" s="26"/>
      <c r="DN284" s="26"/>
      <c r="DO284" s="26"/>
      <c r="DP284" s="26">
        <f t="shared" ca="1" si="157"/>
        <v>-0.41007604000000053</v>
      </c>
      <c r="DQ284" s="26">
        <f t="shared" ca="1" si="158"/>
        <v>3.36482000596669E-3</v>
      </c>
      <c r="DR284" s="26"/>
      <c r="DS284" s="26"/>
      <c r="DT284" s="26"/>
      <c r="DU284" s="26"/>
      <c r="DV284" s="26">
        <f t="shared" ca="1" si="159"/>
        <v>0</v>
      </c>
      <c r="DW284" s="26">
        <f t="shared" ca="1" si="160"/>
        <v>0</v>
      </c>
      <c r="DX284" s="26"/>
      <c r="DY284" s="26"/>
      <c r="DZ284" s="26"/>
      <c r="EA284" s="26"/>
      <c r="EB284" s="26">
        <f t="shared" ca="1" si="161"/>
        <v>-6.1971999999999895E-4</v>
      </c>
      <c r="EC284" s="26">
        <f t="shared" ca="1" si="162"/>
        <v>-1.4780012093008877E-4</v>
      </c>
      <c r="ED284" s="26"/>
      <c r="EE284" s="26"/>
      <c r="EF284" s="26"/>
      <c r="EG284" s="26"/>
      <c r="EH284" s="26">
        <f t="shared" ca="1" si="163"/>
        <v>-1.7745484500000002</v>
      </c>
      <c r="EI284" s="29">
        <f t="shared" ca="1" si="164"/>
        <v>7.147025600389853E-2</v>
      </c>
      <c r="EJ284" s="29"/>
      <c r="EK284" s="29"/>
      <c r="EL284" s="29"/>
      <c r="EM284" s="29"/>
      <c r="EN284" s="93"/>
      <c r="EO284" s="29"/>
      <c r="EP284" s="29"/>
      <c r="EQ284" s="29"/>
      <c r="ER284" s="29"/>
      <c r="ES284" s="29"/>
      <c r="ET284" s="29"/>
      <c r="EU284" s="93"/>
      <c r="EV284" s="29"/>
      <c r="EW284" s="29"/>
      <c r="EX284" s="29"/>
      <c r="EY284" s="29"/>
      <c r="EZ284" s="29"/>
      <c r="FA284" s="29"/>
      <c r="FB284" s="93"/>
      <c r="FC284" s="29"/>
      <c r="FD284" s="29"/>
      <c r="FE284" s="29"/>
      <c r="FF284" s="29"/>
      <c r="FG284" s="29"/>
      <c r="FH284" s="29"/>
      <c r="FI284" s="93"/>
      <c r="FJ284" s="29"/>
      <c r="FK284" s="29"/>
      <c r="FL284" s="29"/>
      <c r="FM284" s="29"/>
      <c r="FN284" s="29"/>
      <c r="FO284" s="29"/>
      <c r="FP284" s="93"/>
      <c r="FQ284" s="29"/>
      <c r="FR284" s="29"/>
      <c r="FS284" s="29"/>
      <c r="FT284" s="29"/>
      <c r="FU284" s="29"/>
      <c r="FV284" s="29"/>
    </row>
    <row r="285" spans="1:178" x14ac:dyDescent="0.25">
      <c r="A285" t="str">
        <f ca="1">IF(_xll.TM1RPTELISCONSOLIDATED($D$28,$D285),IF(_xll.TM1RPTELLEV($D$28,$D285)&lt;=3,_xll.TM1RPTELLEV($D$28,$D285),"D"),"N")</f>
        <v>N</v>
      </c>
      <c r="B285" t="str">
        <f ca="1">_xll.DBRA(Server&amp;"Management_organization",$D285,$B$27)</f>
        <v>L</v>
      </c>
      <c r="C285">
        <v>1</v>
      </c>
      <c r="D285" s="2" t="s">
        <v>244</v>
      </c>
      <c r="E285" s="26"/>
      <c r="F285" s="26"/>
      <c r="G285" s="16">
        <f ca="1">_xll.DBRW($D$4,$E$7,$E$8,$E$9,$E$10,$E$12,$D285,$E$6,G$18,G$17)</f>
        <v>2.8374726100000052</v>
      </c>
      <c r="H285" s="16">
        <f ca="1">_xll.DBRW($D$4,$E$7,$E$8,$E$9,$E$10,$E$12,$D285,$E$6,H$18,H$17)</f>
        <v>-0.35217580999999998</v>
      </c>
      <c r="I285" s="16">
        <f ca="1">_xll.DBRW($D$4,$E$7,$E$8,$E$9,$E$10,$E$12,$D285,$E$6,I$18,I$17)</f>
        <v>2.1684043449710089E-19</v>
      </c>
      <c r="J285" s="26">
        <f ca="1">_xll.DBRW($D$4,$E$7,$E$8,$E$9,$E$10,$E$12,$D285,$E$6,J$18,J$17)</f>
        <v>0</v>
      </c>
      <c r="K285" s="26">
        <f ca="1">_xll.DBRW($D$4,$E$7,$E$8,$E$9,$E$10,$E$12,$D285,$E$6,K$18,K$17)</f>
        <v>0</v>
      </c>
      <c r="L285" s="26">
        <f ca="1">_xll.DBRW($D$4,$E$7,$E$8,$E$9,$E$10,$E$12,$D285,$E$6,L$18,L$17)</f>
        <v>0</v>
      </c>
      <c r="M285" s="26">
        <f ca="1">_xll.DBRW($D$4,$E$7,$E$8,$E$9,$E$10,$E$12,$D285,$E$6,M$18,M$17)</f>
        <v>0</v>
      </c>
      <c r="N285" s="16">
        <f ca="1">_xll.DBRW($D$4,$E$7,$E$8,$E$9,$E$10,$E$12,$D285,$E$6,N$18,N$17)</f>
        <v>3.1896484200000055</v>
      </c>
      <c r="O285" s="16">
        <f ca="1">_xll.DBRW($D$4,$E$7,$E$8,$E$9,$E$10,$E$12,$D285,$E$6,O$18,O$17)</f>
        <v>19.914667910000002</v>
      </c>
      <c r="P285" s="74">
        <f ca="1">_xll.DBRW($D$4,$E$7,$E$8,$E$9,$E$10,$E$12,$D285,$E$6,P$18,P$17)</f>
        <v>-6.3433803099999988</v>
      </c>
      <c r="Q285" s="16">
        <f ca="1">_xll.DBRW($D$4,$E$7,$E$8,$E$9,$E$10,$E$12,$D285,$E$6,Q$18,Q$17)</f>
        <v>0.31852804870598506</v>
      </c>
      <c r="R285" s="16"/>
      <c r="S285" s="16"/>
      <c r="T285" s="16"/>
      <c r="U285" s="16"/>
      <c r="V285" s="16">
        <f ca="1">_xll.DBRW($D$4,$E$7,$E$8,$E$9,$E$10,$E$12,$D285,$E$6,V$18,V$17)</f>
        <v>-2.9251409800000001</v>
      </c>
      <c r="W285" s="16">
        <f ca="1">_xll.DBRW($D$4,$E$7,$E$8,$E$9,$E$10,$E$12,$D285,$E$6,W$18,W$17)</f>
        <v>0.14688374384245506</v>
      </c>
      <c r="X285" s="16"/>
      <c r="Y285" s="16"/>
      <c r="Z285" s="16"/>
      <c r="AA285" s="16"/>
      <c r="AB285" s="16">
        <f ca="1">_xll.DBRW($D$4,$E$7,$E$8,$E$9,$E$10,$E$12,$D285,$E$6,AB$18,AB$17)</f>
        <v>-1.7827109499999998</v>
      </c>
      <c r="AC285" s="16">
        <f ca="1">_xll.DBRW($D$4,$E$7,$E$8,$E$9,$E$10,$E$12,$D285,$E$6,AC$18,AC$17)</f>
        <v>8.9517483196635425E-2</v>
      </c>
      <c r="AD285" s="16"/>
      <c r="AE285" s="16"/>
      <c r="AF285" s="16"/>
      <c r="AG285" s="16"/>
      <c r="AH285" s="16">
        <f ca="1">_xll.DBRW($D$4,$E$7,$E$8,$E$9,$E$10,$E$12,$D285,$E$6,AH$18,AH$17)</f>
        <v>-9.1452099999999981E-2</v>
      </c>
      <c r="AI285" s="16">
        <f ca="1">_xll.DBRW($D$4,$E$7,$E$8,$E$9,$E$10,$E$12,$D285,$E$6,AI$18,AI$17)</f>
        <v>4.5921980930486916E-3</v>
      </c>
      <c r="AJ285" s="16"/>
      <c r="AK285" s="16"/>
      <c r="AL285" s="16"/>
      <c r="AM285" s="16"/>
      <c r="AN285" s="16">
        <f ca="1">_xll.DBRW($D$4,$E$7,$E$8,$E$9,$E$10,$E$12,$D285,$E$6,AN$18,AN$17)</f>
        <v>-5.5823351499999987</v>
      </c>
      <c r="AO285" s="16">
        <f ca="1">_xll.DBRW($D$4,$E$7,$E$8,$E$9,$E$10,$E$12,$D285,$E$6,AO$18,AO$17)</f>
        <v>0.28031274110259558</v>
      </c>
      <c r="AP285" s="16"/>
      <c r="AQ285" s="16"/>
      <c r="AR285" s="16"/>
      <c r="AS285" s="16"/>
      <c r="AT285" s="16">
        <f ca="1">_xll.DBRW($D$4,$E$7,$E$8,$E$9,$E$10,$E$12,$D285,$E$6,AT$18,AT$17)</f>
        <v>0.27685587</v>
      </c>
      <c r="AU285" s="16">
        <f ca="1">_xll.DBRW($D$4,$E$7,$E$8,$E$9,$E$10,$E$12,$D285,$E$6,AU$18,AU$17)</f>
        <v>0.19969944999999997</v>
      </c>
      <c r="AV285" s="16">
        <f ca="1">_xll.DBRW($D$4,$E$7,$E$8,$E$9,$E$10,$E$12,$D285,$E$6,AV$18,AV$17)</f>
        <v>3.1646170000000002</v>
      </c>
      <c r="AW285" s="16">
        <f ca="1">_xll.DBRW($D$4,$E$7,$E$8,$E$9,$E$10,$E$12,$D285,$E$6,AW$18,AW$17)</f>
        <v>0.19969944999999997</v>
      </c>
      <c r="AX285" s="16">
        <f ca="1">_xll.DBRW($D$4,$E$7,$E$8,$E$9,$E$10,$E$12,$D285,$E$6,AX$18,AX$17)</f>
        <v>0</v>
      </c>
      <c r="AY285" s="16">
        <f ca="1">_xll.DBRW($D$4,$E$7,$E$8,$E$9,$E$10,$E$12,$D285,$E$6,AY$18,AY$17)</f>
        <v>0</v>
      </c>
      <c r="AZ285" s="16">
        <f ca="1">_xll.DBRW($D$4,$E$7,$E$8,$E$9,$E$10,$E$12,$D285,$E$6,AZ$18,AZ$17)</f>
        <v>0</v>
      </c>
      <c r="BA285" s="16">
        <f ca="1">_xll.DBRW($D$4,$E$7,$E$8,$E$9,$E$10,$E$12,$D285,$E$6,BA$18,BA$17)</f>
        <v>0</v>
      </c>
      <c r="BB285" s="16">
        <f ca="1">_xll.DBRW($D$4,$E$7,$E$8,$E$9,$E$10,$E$12,$D285,$E$6,BB$18,BB$17)</f>
        <v>0.19969944999999997</v>
      </c>
      <c r="BC285" s="16">
        <f ca="1">_xll.DBRW($D$4,$E$7,$E$8,$E$9,$E$10,$E$12,$D285,$E$6,BC$18,BC$17)</f>
        <v>0.19969944999999997</v>
      </c>
      <c r="BD285" s="16">
        <f ca="1">_xll.DBRW($D$4,$E$7,$E$8,$E$9,$E$10,$E$12,$D285,$E$6,BD$18,BD$17)</f>
        <v>2.7885829599999972</v>
      </c>
      <c r="BE285" s="16">
        <f ca="1">_xll.DBRW($D$4,$E$7,$E$8,$E$9,$E$10,$E$12,$D285,$E$6,BE$18,BE$17)</f>
        <v>-0.24151644999999999</v>
      </c>
      <c r="BF285" s="16">
        <f ca="1">_xll.DBRW($D$4,$E$7,$E$8,$E$9,$E$10,$E$12,$D285,$E$6,BF$18,BF$17)</f>
        <v>-5.2360999999999996E-3</v>
      </c>
      <c r="BG285" s="26">
        <f ca="1">_xll.DBRW($D$4,$E$7,$E$8,$E$9,$E$10,$E$12,$D285,$E$6,BG$18,BG$17)</f>
        <v>0</v>
      </c>
      <c r="BH285" s="26">
        <f ca="1">_xll.DBRW($D$4,$E$7,$E$8,$E$9,$E$10,$E$12,$D285,$E$6,BH$18,BH$17)</f>
        <v>0</v>
      </c>
      <c r="BI285" s="26">
        <f ca="1">_xll.DBRW($D$4,$E$7,$E$8,$E$9,$E$10,$E$12,$D285,$E$6,BI$18,BI$17)</f>
        <v>0</v>
      </c>
      <c r="BJ285" s="26">
        <f ca="1">_xll.DBRW($D$4,$E$7,$E$8,$E$9,$E$10,$E$12,$D285,$E$6,BJ$18,BJ$17)</f>
        <v>0</v>
      </c>
      <c r="BK285" s="16">
        <f ca="1">_xll.DBRW($D$4,$E$7,$E$8,$E$9,$E$10,$E$12,$D285,$E$6,BK$18,BK$17)</f>
        <v>3.0300994099999969</v>
      </c>
      <c r="BL285" s="16">
        <f ca="1">_xll.DBRW($D$4,$E$7,$E$8,$E$9,$E$10,$E$12,$D285,$E$6,BL$18,BL$17)</f>
        <v>15.355033919999999</v>
      </c>
      <c r="BM285" s="16">
        <f ca="1">_xll.DBRW($D$4,$E$7,$E$8,$E$9,$E$10,$E$12,$D285,$E$6,BM$18,BM$17)</f>
        <v>-4.7725421700000012</v>
      </c>
      <c r="BN285" s="16">
        <f ca="1">_xll.DBRW($D$4,$E$7,$E$8,$E$9,$E$10,$E$12,$D285,$E$6,BN$18,BN$17)</f>
        <v>0.31081287054558338</v>
      </c>
      <c r="BO285" s="16"/>
      <c r="BP285" s="16"/>
      <c r="BQ285" s="16"/>
      <c r="BR285" s="16"/>
      <c r="BS285" s="16">
        <f ca="1">_xll.DBRW($D$4,$E$7,$E$8,$E$9,$E$10,$E$12,$D285,$E$6,BS$18,BS$17)</f>
        <v>-2.2179158500000002</v>
      </c>
      <c r="BT285" s="16">
        <f ca="1">_xll.DBRW($D$4,$E$7,$E$8,$E$9,$E$10,$E$12,$D285,$E$6,BT$18,BT$17)</f>
        <v>0.14444226314024322</v>
      </c>
      <c r="BU285" s="16"/>
      <c r="BV285" s="16"/>
      <c r="BW285" s="16"/>
      <c r="BX285" s="16"/>
      <c r="BY285" s="16">
        <f ca="1">_xll.DBRW($D$4,$E$7,$E$8,$E$9,$E$10,$E$12,$D285,$E$6,BY$18,BY$17)</f>
        <v>-1.4456348400000001</v>
      </c>
      <c r="BZ285" s="16">
        <f ca="1">_xll.DBRW($D$4,$E$7,$E$8,$E$9,$E$10,$E$12,$D285,$E$6,BZ$18,BZ$17)</f>
        <v>9.4147290558378671E-2</v>
      </c>
      <c r="CA285" s="16"/>
      <c r="CB285" s="16"/>
      <c r="CC285" s="16"/>
      <c r="CD285" s="16"/>
      <c r="CE285" s="16">
        <f ca="1">_xll.DBRW($D$4,$E$7,$E$8,$E$9,$E$10,$E$12,$D285,$E$6,CE$18,CE$17)</f>
        <v>-0.10600606999999998</v>
      </c>
      <c r="CF285" s="16">
        <f ca="1">_xll.DBRW($D$4,$E$7,$E$8,$E$9,$E$10,$E$12,$D285,$E$6,CF$18,CF$17)</f>
        <v>6.903668891406786E-3</v>
      </c>
      <c r="CG285" s="16"/>
      <c r="CH285" s="16"/>
      <c r="CI285" s="16"/>
      <c r="CJ285" s="16"/>
      <c r="CK285" s="16">
        <f ca="1">_xll.DBRW($D$4,$E$7,$E$8,$E$9,$E$10,$E$12,$D285,$E$6,CK$18,CK$17)</f>
        <v>-3.7828355799999995</v>
      </c>
      <c r="CL285" s="16">
        <f ca="1">_xll.DBRW($D$4,$E$7,$E$8,$E$9,$E$10,$E$12,$D285,$E$6,CL$18,CL$17)</f>
        <v>0.24635800869660338</v>
      </c>
      <c r="CM285" s="16"/>
      <c r="CN285" s="16"/>
      <c r="CO285" s="16"/>
      <c r="CP285" s="16"/>
      <c r="CQ285" s="16">
        <f ca="1">_xll.DBRW($D$4,$E$7,$E$8,$E$9,$E$10,$E$12,$D285,$E$6,CQ$18,CQ$17)</f>
        <v>0.20581161000000001</v>
      </c>
      <c r="CR285" s="16">
        <f ca="1">_xll.DBRW($D$4,$E$7,$E$8,$E$9,$E$10,$E$12,$D285,$E$6,CR$18,CR$17)</f>
        <v>0.1571081</v>
      </c>
      <c r="CS285" s="16">
        <f ca="1">_xll.DBRW($D$4,$E$7,$E$8,$E$9,$E$10,$E$12,$D285,$E$6,CS$18,CS$17)</f>
        <v>2.4555996200000001</v>
      </c>
      <c r="CT285" s="16">
        <f ca="1">_xll.DBRW($D$4,$E$7,$E$8,$E$9,$E$10,$E$12,$D285,$E$6,CT$18,CT$17)</f>
        <v>0.1571081</v>
      </c>
      <c r="CU285" s="16">
        <f ca="1">_xll.DBRW($D$4,$E$7,$E$8,$E$9,$E$10,$E$12,$D285,$E$6,CU$18,CU$17)</f>
        <v>0</v>
      </c>
      <c r="CV285" s="16">
        <f ca="1">_xll.DBRW($D$4,$E$7,$E$8,$E$9,$E$10,$E$12,$D285,$E$6,CV$18,CV$17)</f>
        <v>0</v>
      </c>
      <c r="CW285" s="16">
        <f ca="1">_xll.DBRW($D$4,$E$7,$E$8,$E$9,$E$10,$E$12,$D285,$E$6,CW$18,CW$17)</f>
        <v>0</v>
      </c>
      <c r="CX285" s="16">
        <f ca="1">_xll.DBRW($D$4,$E$7,$E$8,$E$9,$E$10,$E$12,$D285,$E$6,CX$18,CX$17)</f>
        <v>0</v>
      </c>
      <c r="CY285" s="16">
        <f ca="1">_xll.DBRW($D$4,$E$7,$E$8,$E$9,$E$10,$E$12,$D285,$E$6,CY$18,CY$17)</f>
        <v>0.1571081</v>
      </c>
      <c r="CZ285" s="16">
        <f ca="1">_xll.DBRW($D$4,$E$7,$E$8,$E$9,$E$10,$E$12,$D285,$E$6,CZ$18,CZ$17)</f>
        <v>0.1571081</v>
      </c>
      <c r="DA285" s="26">
        <f t="shared" ref="DA285:DA325" ca="1" si="165">G285-BD285</f>
        <v>4.8889650000008E-2</v>
      </c>
      <c r="DB285" s="26">
        <f t="shared" ref="DB285:DB325" ca="1" si="166">H285-BE285</f>
        <v>-0.11065935999999998</v>
      </c>
      <c r="DC285" s="26">
        <f t="shared" ref="DC285:DC325" ca="1" si="167">I285-BF285</f>
        <v>5.2360999999999996E-3</v>
      </c>
      <c r="DD285" s="26">
        <f t="shared" ref="DD285:DD325" ca="1" si="168">J285-BG285</f>
        <v>0</v>
      </c>
      <c r="DE285" s="26">
        <f t="shared" ref="DE285:DE325" ca="1" si="169">K285-BH285</f>
        <v>0</v>
      </c>
      <c r="DF285" s="26">
        <f t="shared" ref="DF285:DF325" ca="1" si="170">L285-BI285</f>
        <v>0</v>
      </c>
      <c r="DG285" s="26">
        <f t="shared" ref="DG285:DG325" ca="1" si="171">M285-BJ285</f>
        <v>0</v>
      </c>
      <c r="DH285" s="26">
        <f t="shared" ref="DH285:DH325" ca="1" si="172">N285-BK285</f>
        <v>0.15954901000000854</v>
      </c>
      <c r="DI285" s="26">
        <f t="shared" ref="DI285:DI325" ca="1" si="173">O285-BL285</f>
        <v>4.5596339900000036</v>
      </c>
      <c r="DJ285" s="26">
        <f t="shared" ref="DJ285:DJ325" ca="1" si="174">P285-BM285</f>
        <v>-1.5708381399999976</v>
      </c>
      <c r="DK285" s="26">
        <f t="shared" ref="DK285:DK325" ca="1" si="175">Q285-BN285</f>
        <v>7.7151781604016811E-3</v>
      </c>
      <c r="DL285" s="26"/>
      <c r="DM285" s="26"/>
      <c r="DN285" s="26"/>
      <c r="DO285" s="26"/>
      <c r="DP285" s="26">
        <f t="shared" ref="DP285:DP325" ca="1" si="176">V285-BS285</f>
        <v>-0.70722512999999987</v>
      </c>
      <c r="DQ285" s="26">
        <f t="shared" ref="DQ285:DQ325" ca="1" si="177">W285-BT285</f>
        <v>2.4414807022118401E-3</v>
      </c>
      <c r="DR285" s="26"/>
      <c r="DS285" s="26"/>
      <c r="DT285" s="26"/>
      <c r="DU285" s="26"/>
      <c r="DV285" s="26">
        <f t="shared" ref="DV285:DV325" ca="1" si="178">AB285-BY285</f>
        <v>-0.33707610999999971</v>
      </c>
      <c r="DW285" s="26">
        <f t="shared" ref="DW285:DW325" ca="1" si="179">AC285-BZ285</f>
        <v>-4.6298073617432461E-3</v>
      </c>
      <c r="DX285" s="26"/>
      <c r="DY285" s="26"/>
      <c r="DZ285" s="26"/>
      <c r="EA285" s="26"/>
      <c r="EB285" s="26">
        <f t="shared" ref="EB285:EB325" ca="1" si="180">AH285-CE285</f>
        <v>1.4553969999999999E-2</v>
      </c>
      <c r="EC285" s="26">
        <f t="shared" ref="EC285:EC325" ca="1" si="181">AI285-CF285</f>
        <v>-2.3114707983580944E-3</v>
      </c>
      <c r="ED285" s="26"/>
      <c r="EE285" s="26"/>
      <c r="EF285" s="26"/>
      <c r="EG285" s="26"/>
      <c r="EH285" s="26">
        <f t="shared" ref="EH285:EH325" ca="1" si="182">AN285-CK285</f>
        <v>-1.7994995699999992</v>
      </c>
      <c r="EI285" s="29">
        <f t="shared" ref="EI285:EI325" ca="1" si="183">AO285-CL285</f>
        <v>3.39547324059922E-2</v>
      </c>
      <c r="EJ285" s="29"/>
      <c r="EK285" s="29"/>
      <c r="EL285" s="29"/>
      <c r="EM285" s="29"/>
      <c r="EN285" s="93"/>
      <c r="EO285" s="29"/>
      <c r="EP285" s="29"/>
      <c r="EQ285" s="29"/>
      <c r="ER285" s="29"/>
      <c r="ES285" s="29"/>
      <c r="ET285" s="29"/>
      <c r="EU285" s="93"/>
      <c r="EV285" s="29"/>
      <c r="EW285" s="29"/>
      <c r="EX285" s="29"/>
      <c r="EY285" s="29"/>
      <c r="EZ285" s="29"/>
      <c r="FA285" s="29"/>
      <c r="FB285" s="93"/>
      <c r="FC285" s="29"/>
      <c r="FD285" s="29"/>
      <c r="FE285" s="29"/>
      <c r="FF285" s="29"/>
      <c r="FG285" s="29"/>
      <c r="FH285" s="29"/>
      <c r="FI285" s="93"/>
      <c r="FJ285" s="29"/>
      <c r="FK285" s="29"/>
      <c r="FL285" s="29"/>
      <c r="FM285" s="29"/>
      <c r="FN285" s="29"/>
      <c r="FO285" s="29"/>
      <c r="FP285" s="93"/>
      <c r="FQ285" s="29"/>
      <c r="FR285" s="29"/>
      <c r="FS285" s="29"/>
      <c r="FT285" s="29"/>
      <c r="FU285" s="29"/>
      <c r="FV285" s="29"/>
    </row>
    <row r="286" spans="1:178" x14ac:dyDescent="0.25">
      <c r="A286" t="str">
        <f ca="1">IF(_xll.TM1RPTELISCONSOLIDATED($D$28,$D286),IF(_xll.TM1RPTELLEV($D$28,$D286)&lt;=3,_xll.TM1RPTELLEV($D$28,$D286),"D"),"N")</f>
        <v>N</v>
      </c>
      <c r="B286" t="str">
        <f ca="1">_xll.DBRA(Server&amp;"Management_organization",$D286,$B$27)</f>
        <v>L</v>
      </c>
      <c r="C286">
        <v>1</v>
      </c>
      <c r="D286" s="2" t="s">
        <v>245</v>
      </c>
      <c r="E286" s="26"/>
      <c r="F286" s="26"/>
      <c r="G286" s="16">
        <f ca="1">_xll.DBRW($D$4,$E$7,$E$8,$E$9,$E$10,$E$12,$D286,$E$6,G$18,G$17)</f>
        <v>1.5573201600000008</v>
      </c>
      <c r="H286" s="16">
        <f ca="1">_xll.DBRW($D$4,$E$7,$E$8,$E$9,$E$10,$E$12,$D286,$E$6,H$18,H$17)</f>
        <v>-0.80760216999999979</v>
      </c>
      <c r="I286" s="16">
        <f ca="1">_xll.DBRW($D$4,$E$7,$E$8,$E$9,$E$10,$E$12,$D286,$E$6,I$18,I$17)</f>
        <v>-6.9388939039072284E-18</v>
      </c>
      <c r="J286" s="26">
        <f ca="1">_xll.DBRW($D$4,$E$7,$E$8,$E$9,$E$10,$E$12,$D286,$E$6,J$18,J$17)</f>
        <v>0</v>
      </c>
      <c r="K286" s="26">
        <f ca="1">_xll.DBRW($D$4,$E$7,$E$8,$E$9,$E$10,$E$12,$D286,$E$6,K$18,K$17)</f>
        <v>0</v>
      </c>
      <c r="L286" s="26">
        <f ca="1">_xll.DBRW($D$4,$E$7,$E$8,$E$9,$E$10,$E$12,$D286,$E$6,L$18,L$17)</f>
        <v>0</v>
      </c>
      <c r="M286" s="26">
        <f ca="1">_xll.DBRW($D$4,$E$7,$E$8,$E$9,$E$10,$E$12,$D286,$E$6,M$18,M$17)</f>
        <v>0</v>
      </c>
      <c r="N286" s="16">
        <f ca="1">_xll.DBRW($D$4,$E$7,$E$8,$E$9,$E$10,$E$12,$D286,$E$6,N$18,N$17)</f>
        <v>2.3649223300000002</v>
      </c>
      <c r="O286" s="16">
        <f ca="1">_xll.DBRW($D$4,$E$7,$E$8,$E$9,$E$10,$E$12,$D286,$E$6,O$18,O$17)</f>
        <v>51.464119579999995</v>
      </c>
      <c r="P286" s="74">
        <f ca="1">_xll.DBRW($D$4,$E$7,$E$8,$E$9,$E$10,$E$12,$D286,$E$6,P$18,P$17)</f>
        <v>-22.902607340000003</v>
      </c>
      <c r="Q286" s="16">
        <f ca="1">_xll.DBRW($D$4,$E$7,$E$8,$E$9,$E$10,$E$12,$D286,$E$6,Q$18,Q$17)</f>
        <v>0.44502087137424617</v>
      </c>
      <c r="R286" s="16"/>
      <c r="S286" s="16"/>
      <c r="T286" s="16"/>
      <c r="U286" s="16"/>
      <c r="V286" s="16">
        <f ca="1">_xll.DBRW($D$4,$E$7,$E$8,$E$9,$E$10,$E$12,$D286,$E$6,V$18,V$17)</f>
        <v>-12.202868509999998</v>
      </c>
      <c r="W286" s="16">
        <f ca="1">_xll.DBRW($D$4,$E$7,$E$8,$E$9,$E$10,$E$12,$D286,$E$6,W$18,W$17)</f>
        <v>0.23711410220534077</v>
      </c>
      <c r="X286" s="16"/>
      <c r="Y286" s="16"/>
      <c r="Z286" s="16"/>
      <c r="AA286" s="16"/>
      <c r="AB286" s="16">
        <f ca="1">_xll.DBRW($D$4,$E$7,$E$8,$E$9,$E$10,$E$12,$D286,$E$6,AB$18,AB$17)</f>
        <v>0</v>
      </c>
      <c r="AC286" s="16">
        <f ca="1">_xll.DBRW($D$4,$E$7,$E$8,$E$9,$E$10,$E$12,$D286,$E$6,AC$18,AC$17)</f>
        <v>0</v>
      </c>
      <c r="AD286" s="16"/>
      <c r="AE286" s="16"/>
      <c r="AF286" s="16"/>
      <c r="AG286" s="16"/>
      <c r="AH286" s="16">
        <f ca="1">_xll.DBRW($D$4,$E$7,$E$8,$E$9,$E$10,$E$12,$D286,$E$6,AH$18,AH$17)</f>
        <v>-0.30048806</v>
      </c>
      <c r="AI286" s="16">
        <f ca="1">_xll.DBRW($D$4,$E$7,$E$8,$E$9,$E$10,$E$12,$D286,$E$6,AI$18,AI$17)</f>
        <v>5.8387875368759983E-3</v>
      </c>
      <c r="AJ286" s="16"/>
      <c r="AK286" s="16"/>
      <c r="AL286" s="16"/>
      <c r="AM286" s="16"/>
      <c r="AN286" s="16">
        <f ca="1">_xll.DBRW($D$4,$E$7,$E$8,$E$9,$E$10,$E$12,$D286,$E$6,AN$18,AN$17)</f>
        <v>-13.693233339999999</v>
      </c>
      <c r="AO286" s="16">
        <f ca="1">_xll.DBRW($D$4,$E$7,$E$8,$E$9,$E$10,$E$12,$D286,$E$6,AO$18,AO$17)</f>
        <v>0.26607340126967738</v>
      </c>
      <c r="AP286" s="16"/>
      <c r="AQ286" s="16"/>
      <c r="AR286" s="16"/>
      <c r="AS286" s="16"/>
      <c r="AT286" s="16">
        <f ca="1">_xll.DBRW($D$4,$E$7,$E$8,$E$9,$E$10,$E$12,$D286,$E$6,AT$18,AT$17)</f>
        <v>0</v>
      </c>
      <c r="AU286" s="16">
        <f ca="1">_xll.DBRW($D$4,$E$7,$E$8,$E$9,$E$10,$E$12,$D286,$E$6,AU$18,AU$17)</f>
        <v>0</v>
      </c>
      <c r="AV286" s="16">
        <f ca="1">_xll.DBRW($D$4,$E$7,$E$8,$E$9,$E$10,$E$12,$D286,$E$6,AV$18,AV$17)</f>
        <v>0</v>
      </c>
      <c r="AW286" s="16">
        <f ca="1">_xll.DBRW($D$4,$E$7,$E$8,$E$9,$E$10,$E$12,$D286,$E$6,AW$18,AW$17)</f>
        <v>0</v>
      </c>
      <c r="AX286" s="16">
        <f ca="1">_xll.DBRW($D$4,$E$7,$E$8,$E$9,$E$10,$E$12,$D286,$E$6,AX$18,AX$17)</f>
        <v>0</v>
      </c>
      <c r="AY286" s="16">
        <f ca="1">_xll.DBRW($D$4,$E$7,$E$8,$E$9,$E$10,$E$12,$D286,$E$6,AY$18,AY$17)</f>
        <v>0</v>
      </c>
      <c r="AZ286" s="16">
        <f ca="1">_xll.DBRW($D$4,$E$7,$E$8,$E$9,$E$10,$E$12,$D286,$E$6,AZ$18,AZ$17)</f>
        <v>0</v>
      </c>
      <c r="BA286" s="16">
        <f ca="1">_xll.DBRW($D$4,$E$7,$E$8,$E$9,$E$10,$E$12,$D286,$E$6,BA$18,BA$17)</f>
        <v>0</v>
      </c>
      <c r="BB286" s="16">
        <f ca="1">_xll.DBRW($D$4,$E$7,$E$8,$E$9,$E$10,$E$12,$D286,$E$6,BB$18,BB$17)</f>
        <v>0</v>
      </c>
      <c r="BC286" s="16">
        <f ca="1">_xll.DBRW($D$4,$E$7,$E$8,$E$9,$E$10,$E$12,$D286,$E$6,BC$18,BC$17)</f>
        <v>0</v>
      </c>
      <c r="BD286" s="16">
        <f ca="1">_xll.DBRW($D$4,$E$7,$E$8,$E$9,$E$10,$E$12,$D286,$E$6,BD$18,BD$17)</f>
        <v>4.8255995799999871</v>
      </c>
      <c r="BE286" s="16">
        <f ca="1">_xll.DBRW($D$4,$E$7,$E$8,$E$9,$E$10,$E$12,$D286,$E$6,BE$18,BE$17)</f>
        <v>-0.59015428000000003</v>
      </c>
      <c r="BF286" s="16">
        <f ca="1">_xll.DBRW($D$4,$E$7,$E$8,$E$9,$E$10,$E$12,$D286,$E$6,BF$18,BF$17)</f>
        <v>7.7000000000000013E-2</v>
      </c>
      <c r="BG286" s="26">
        <f ca="1">_xll.DBRW($D$4,$E$7,$E$8,$E$9,$E$10,$E$12,$D286,$E$6,BG$18,BG$17)</f>
        <v>0</v>
      </c>
      <c r="BH286" s="26">
        <f ca="1">_xll.DBRW($D$4,$E$7,$E$8,$E$9,$E$10,$E$12,$D286,$E$6,BH$18,BH$17)</f>
        <v>0</v>
      </c>
      <c r="BI286" s="26">
        <f ca="1">_xll.DBRW($D$4,$E$7,$E$8,$E$9,$E$10,$E$12,$D286,$E$6,BI$18,BI$17)</f>
        <v>0</v>
      </c>
      <c r="BJ286" s="26">
        <f ca="1">_xll.DBRW($D$4,$E$7,$E$8,$E$9,$E$10,$E$12,$D286,$E$6,BJ$18,BJ$17)</f>
        <v>0</v>
      </c>
      <c r="BK286" s="16">
        <f ca="1">_xll.DBRW($D$4,$E$7,$E$8,$E$9,$E$10,$E$12,$D286,$E$6,BK$18,BK$17)</f>
        <v>5.4157538599999873</v>
      </c>
      <c r="BL286" s="16">
        <f ca="1">_xll.DBRW($D$4,$E$7,$E$8,$E$9,$E$10,$E$12,$D286,$E$6,BL$18,BL$17)</f>
        <v>40.162578299999993</v>
      </c>
      <c r="BM286" s="16">
        <f ca="1">_xll.DBRW($D$4,$E$7,$E$8,$E$9,$E$10,$E$12,$D286,$E$6,BM$18,BM$17)</f>
        <v>-17.180028010000004</v>
      </c>
      <c r="BN286" s="16">
        <f ca="1">_xll.DBRW($D$4,$E$7,$E$8,$E$9,$E$10,$E$12,$D286,$E$6,BN$18,BN$17)</f>
        <v>0.42776207945793182</v>
      </c>
      <c r="BO286" s="16"/>
      <c r="BP286" s="16"/>
      <c r="BQ286" s="16"/>
      <c r="BR286" s="16"/>
      <c r="BS286" s="16">
        <f ca="1">_xll.DBRW($D$4,$E$7,$E$8,$E$9,$E$10,$E$12,$D286,$E$6,BS$18,BS$17)</f>
        <v>-9.513211609999999</v>
      </c>
      <c r="BT286" s="16">
        <f ca="1">_xll.DBRW($D$4,$E$7,$E$8,$E$9,$E$10,$E$12,$D286,$E$6,BT$18,BT$17)</f>
        <v>0.23686755215115263</v>
      </c>
      <c r="BU286" s="16"/>
      <c r="BV286" s="16"/>
      <c r="BW286" s="16"/>
      <c r="BX286" s="16"/>
      <c r="BY286" s="16">
        <f ca="1">_xll.DBRW($D$4,$E$7,$E$8,$E$9,$E$10,$E$12,$D286,$E$6,BY$18,BY$17)</f>
        <v>0</v>
      </c>
      <c r="BZ286" s="16">
        <f ca="1">_xll.DBRW($D$4,$E$7,$E$8,$E$9,$E$10,$E$12,$D286,$E$6,BZ$18,BZ$17)</f>
        <v>0</v>
      </c>
      <c r="CA286" s="16"/>
      <c r="CB286" s="16"/>
      <c r="CC286" s="16"/>
      <c r="CD286" s="16"/>
      <c r="CE286" s="16">
        <f ca="1">_xll.DBRW($D$4,$E$7,$E$8,$E$9,$E$10,$E$12,$D286,$E$6,CE$18,CE$17)</f>
        <v>-0.25337526999999999</v>
      </c>
      <c r="CF286" s="16">
        <f ca="1">_xll.DBRW($D$4,$E$7,$E$8,$E$9,$E$10,$E$12,$D286,$E$6,CF$18,CF$17)</f>
        <v>6.3087401438069535E-3</v>
      </c>
      <c r="CG286" s="16"/>
      <c r="CH286" s="16"/>
      <c r="CI286" s="16"/>
      <c r="CJ286" s="16"/>
      <c r="CK286" s="16">
        <f ca="1">_xll.DBRW($D$4,$E$7,$E$8,$E$9,$E$10,$E$12,$D286,$E$6,CK$18,CK$17)</f>
        <v>-7.8002095500000008</v>
      </c>
      <c r="CL286" s="16">
        <f ca="1">_xll.DBRW($D$4,$E$7,$E$8,$E$9,$E$10,$E$12,$D286,$E$6,CL$18,CL$17)</f>
        <v>0.19421585665480054</v>
      </c>
      <c r="CM286" s="16"/>
      <c r="CN286" s="16"/>
      <c r="CO286" s="16"/>
      <c r="CP286" s="16"/>
      <c r="CQ286" s="16">
        <f ca="1">_xll.DBRW($D$4,$E$7,$E$8,$E$9,$E$10,$E$12,$D286,$E$6,CQ$18,CQ$17)</f>
        <v>0</v>
      </c>
      <c r="CR286" s="16">
        <f ca="1">_xll.DBRW($D$4,$E$7,$E$8,$E$9,$E$10,$E$12,$D286,$E$6,CR$18,CR$17)</f>
        <v>0</v>
      </c>
      <c r="CS286" s="16">
        <f ca="1">_xll.DBRW($D$4,$E$7,$E$8,$E$9,$E$10,$E$12,$D286,$E$6,CS$18,CS$17)</f>
        <v>0</v>
      </c>
      <c r="CT286" s="16">
        <f ca="1">_xll.DBRW($D$4,$E$7,$E$8,$E$9,$E$10,$E$12,$D286,$E$6,CT$18,CT$17)</f>
        <v>0</v>
      </c>
      <c r="CU286" s="16">
        <f ca="1">_xll.DBRW($D$4,$E$7,$E$8,$E$9,$E$10,$E$12,$D286,$E$6,CU$18,CU$17)</f>
        <v>0</v>
      </c>
      <c r="CV286" s="16">
        <f ca="1">_xll.DBRW($D$4,$E$7,$E$8,$E$9,$E$10,$E$12,$D286,$E$6,CV$18,CV$17)</f>
        <v>0</v>
      </c>
      <c r="CW286" s="16">
        <f ca="1">_xll.DBRW($D$4,$E$7,$E$8,$E$9,$E$10,$E$12,$D286,$E$6,CW$18,CW$17)</f>
        <v>0</v>
      </c>
      <c r="CX286" s="16">
        <f ca="1">_xll.DBRW($D$4,$E$7,$E$8,$E$9,$E$10,$E$12,$D286,$E$6,CX$18,CX$17)</f>
        <v>0</v>
      </c>
      <c r="CY286" s="16">
        <f ca="1">_xll.DBRW($D$4,$E$7,$E$8,$E$9,$E$10,$E$12,$D286,$E$6,CY$18,CY$17)</f>
        <v>0</v>
      </c>
      <c r="CZ286" s="16">
        <f ca="1">_xll.DBRW($D$4,$E$7,$E$8,$E$9,$E$10,$E$12,$D286,$E$6,CZ$18,CZ$17)</f>
        <v>0</v>
      </c>
      <c r="DA286" s="26">
        <f t="shared" ca="1" si="165"/>
        <v>-3.2682794199999865</v>
      </c>
      <c r="DB286" s="26">
        <f t="shared" ca="1" si="166"/>
        <v>-0.21744788999999975</v>
      </c>
      <c r="DC286" s="26">
        <f t="shared" ca="1" si="167"/>
        <v>-7.7000000000000013E-2</v>
      </c>
      <c r="DD286" s="26">
        <f t="shared" ca="1" si="168"/>
        <v>0</v>
      </c>
      <c r="DE286" s="26">
        <f t="shared" ca="1" si="169"/>
        <v>0</v>
      </c>
      <c r="DF286" s="26">
        <f t="shared" ca="1" si="170"/>
        <v>0</v>
      </c>
      <c r="DG286" s="26">
        <f t="shared" ca="1" si="171"/>
        <v>0</v>
      </c>
      <c r="DH286" s="26">
        <f t="shared" ca="1" si="172"/>
        <v>-3.0508315299999871</v>
      </c>
      <c r="DI286" s="26">
        <f t="shared" ca="1" si="173"/>
        <v>11.301541280000002</v>
      </c>
      <c r="DJ286" s="26">
        <f t="shared" ca="1" si="174"/>
        <v>-5.7225793299999985</v>
      </c>
      <c r="DK286" s="26">
        <f t="shared" ca="1" si="175"/>
        <v>1.7258791916314353E-2</v>
      </c>
      <c r="DL286" s="26"/>
      <c r="DM286" s="26"/>
      <c r="DN286" s="26"/>
      <c r="DO286" s="26"/>
      <c r="DP286" s="26">
        <f t="shared" ca="1" si="176"/>
        <v>-2.6896568999999992</v>
      </c>
      <c r="DQ286" s="26">
        <f t="shared" ca="1" si="177"/>
        <v>2.4655005418813825E-4</v>
      </c>
      <c r="DR286" s="26"/>
      <c r="DS286" s="26"/>
      <c r="DT286" s="26"/>
      <c r="DU286" s="26"/>
      <c r="DV286" s="26">
        <f t="shared" ca="1" si="178"/>
        <v>0</v>
      </c>
      <c r="DW286" s="26">
        <f t="shared" ca="1" si="179"/>
        <v>0</v>
      </c>
      <c r="DX286" s="26"/>
      <c r="DY286" s="26"/>
      <c r="DZ286" s="26"/>
      <c r="EA286" s="26"/>
      <c r="EB286" s="26">
        <f t="shared" ca="1" si="180"/>
        <v>-4.7112790000000015E-2</v>
      </c>
      <c r="EC286" s="26">
        <f t="shared" ca="1" si="181"/>
        <v>-4.6995260693095519E-4</v>
      </c>
      <c r="ED286" s="26"/>
      <c r="EE286" s="26"/>
      <c r="EF286" s="26"/>
      <c r="EG286" s="26"/>
      <c r="EH286" s="26">
        <f t="shared" ca="1" si="182"/>
        <v>-5.8930237899999982</v>
      </c>
      <c r="EI286" s="29">
        <f t="shared" ca="1" si="183"/>
        <v>7.1857544614876839E-2</v>
      </c>
      <c r="EJ286" s="29"/>
      <c r="EK286" s="29"/>
      <c r="EL286" s="29"/>
      <c r="EM286" s="29"/>
      <c r="EN286" s="93"/>
      <c r="EO286" s="29"/>
      <c r="EP286" s="29"/>
      <c r="EQ286" s="29"/>
      <c r="ER286" s="29"/>
      <c r="ES286" s="29"/>
      <c r="ET286" s="29"/>
      <c r="EU286" s="93"/>
      <c r="EV286" s="29"/>
      <c r="EW286" s="29"/>
      <c r="EX286" s="29"/>
      <c r="EY286" s="29"/>
      <c r="EZ286" s="29"/>
      <c r="FA286" s="29"/>
      <c r="FB286" s="93"/>
      <c r="FC286" s="29"/>
      <c r="FD286" s="29"/>
      <c r="FE286" s="29"/>
      <c r="FF286" s="29"/>
      <c r="FG286" s="29"/>
      <c r="FH286" s="29"/>
      <c r="FI286" s="93"/>
      <c r="FJ286" s="29"/>
      <c r="FK286" s="29"/>
      <c r="FL286" s="29"/>
      <c r="FM286" s="29"/>
      <c r="FN286" s="29"/>
      <c r="FO286" s="29"/>
      <c r="FP286" s="93"/>
      <c r="FQ286" s="29"/>
      <c r="FR286" s="29"/>
      <c r="FS286" s="29"/>
      <c r="FT286" s="29"/>
      <c r="FU286" s="29"/>
      <c r="FV286" s="29"/>
    </row>
    <row r="287" spans="1:178" x14ac:dyDescent="0.25">
      <c r="A287" t="str">
        <f ca="1">IF(_xll.TM1RPTELISCONSOLIDATED($D$28,$D287),IF(_xll.TM1RPTELLEV($D$28,$D287)&lt;=3,_xll.TM1RPTELLEV($D$28,$D287),"D"),"N")</f>
        <v>N</v>
      </c>
      <c r="B287" t="str">
        <f ca="1">_xll.DBRA(Server&amp;"Management_organization",$D287,$B$27)</f>
        <v>L</v>
      </c>
      <c r="C287">
        <v>1</v>
      </c>
      <c r="D287" s="2" t="s">
        <v>246</v>
      </c>
      <c r="E287" s="26"/>
      <c r="F287" s="26"/>
      <c r="G287" s="16">
        <f ca="1">_xll.DBRW($D$4,$E$7,$E$8,$E$9,$E$10,$E$12,$D287,$E$6,G$18,G$17)</f>
        <v>0.58943687999999972</v>
      </c>
      <c r="H287" s="16">
        <f ca="1">_xll.DBRW($D$4,$E$7,$E$8,$E$9,$E$10,$E$12,$D287,$E$6,H$18,H$17)</f>
        <v>-7.64484E-2</v>
      </c>
      <c r="I287" s="16">
        <f ca="1">_xll.DBRW($D$4,$E$7,$E$8,$E$9,$E$10,$E$12,$D287,$E$6,I$18,I$17)</f>
        <v>0</v>
      </c>
      <c r="J287" s="26">
        <f ca="1">_xll.DBRW($D$4,$E$7,$E$8,$E$9,$E$10,$E$12,$D287,$E$6,J$18,J$17)</f>
        <v>0</v>
      </c>
      <c r="K287" s="26">
        <f ca="1">_xll.DBRW($D$4,$E$7,$E$8,$E$9,$E$10,$E$12,$D287,$E$6,K$18,K$17)</f>
        <v>0</v>
      </c>
      <c r="L287" s="26">
        <f ca="1">_xll.DBRW($D$4,$E$7,$E$8,$E$9,$E$10,$E$12,$D287,$E$6,L$18,L$17)</f>
        <v>0</v>
      </c>
      <c r="M287" s="26">
        <f ca="1">_xll.DBRW($D$4,$E$7,$E$8,$E$9,$E$10,$E$12,$D287,$E$6,M$18,M$17)</f>
        <v>0</v>
      </c>
      <c r="N287" s="16">
        <f ca="1">_xll.DBRW($D$4,$E$7,$E$8,$E$9,$E$10,$E$12,$D287,$E$6,N$18,N$17)</f>
        <v>0.6658852799999998</v>
      </c>
      <c r="O287" s="16">
        <f ca="1">_xll.DBRW($D$4,$E$7,$E$8,$E$9,$E$10,$E$12,$D287,$E$6,O$18,O$17)</f>
        <v>2.3351116799999998</v>
      </c>
      <c r="P287" s="74">
        <f ca="1">_xll.DBRW($D$4,$E$7,$E$8,$E$9,$E$10,$E$12,$D287,$E$6,P$18,P$17)</f>
        <v>-0.86034598999999989</v>
      </c>
      <c r="Q287" s="16">
        <f ca="1">_xll.DBRW($D$4,$E$7,$E$8,$E$9,$E$10,$E$12,$D287,$E$6,Q$18,Q$17)</f>
        <v>0.36843890481503649</v>
      </c>
      <c r="R287" s="16"/>
      <c r="S287" s="16"/>
      <c r="T287" s="16"/>
      <c r="U287" s="16"/>
      <c r="V287" s="16">
        <f ca="1">_xll.DBRW($D$4,$E$7,$E$8,$E$9,$E$10,$E$12,$D287,$E$6,V$18,V$17)</f>
        <v>-0.39820332999999997</v>
      </c>
      <c r="W287" s="16">
        <f ca="1">_xll.DBRW($D$4,$E$7,$E$8,$E$9,$E$10,$E$12,$D287,$E$6,W$18,W$17)</f>
        <v>0.17052860186969729</v>
      </c>
      <c r="X287" s="16"/>
      <c r="Y287" s="16"/>
      <c r="Z287" s="16"/>
      <c r="AA287" s="16"/>
      <c r="AB287" s="16">
        <f ca="1">_xll.DBRW($D$4,$E$7,$E$8,$E$9,$E$10,$E$12,$D287,$E$6,AB$18,AB$17)</f>
        <v>0</v>
      </c>
      <c r="AC287" s="16">
        <f ca="1">_xll.DBRW($D$4,$E$7,$E$8,$E$9,$E$10,$E$12,$D287,$E$6,AC$18,AC$17)</f>
        <v>0</v>
      </c>
      <c r="AD287" s="16"/>
      <c r="AE287" s="16"/>
      <c r="AF287" s="16"/>
      <c r="AG287" s="16"/>
      <c r="AH287" s="16">
        <f ca="1">_xll.DBRW($D$4,$E$7,$E$8,$E$9,$E$10,$E$12,$D287,$E$6,AH$18,AH$17)</f>
        <v>-3.6296799999999997E-3</v>
      </c>
      <c r="AI287" s="16">
        <f ca="1">_xll.DBRW($D$4,$E$7,$E$8,$E$9,$E$10,$E$12,$D287,$E$6,AI$18,AI$17)</f>
        <v>1.55439246486061E-3</v>
      </c>
      <c r="AJ287" s="16"/>
      <c r="AK287" s="16"/>
      <c r="AL287" s="16"/>
      <c r="AM287" s="16"/>
      <c r="AN287" s="16">
        <f ca="1">_xll.DBRW($D$4,$E$7,$E$8,$E$9,$E$10,$E$12,$D287,$E$6,AN$18,AN$17)</f>
        <v>-0.4070474</v>
      </c>
      <c r="AO287" s="16">
        <f ca="1">_xll.DBRW($D$4,$E$7,$E$8,$E$9,$E$10,$E$12,$D287,$E$6,AO$18,AO$17)</f>
        <v>0.17431603100028176</v>
      </c>
      <c r="AP287" s="16"/>
      <c r="AQ287" s="16"/>
      <c r="AR287" s="16"/>
      <c r="AS287" s="16"/>
      <c r="AT287" s="16">
        <f ca="1">_xll.DBRW($D$4,$E$7,$E$8,$E$9,$E$10,$E$12,$D287,$E$6,AT$18,AT$17)</f>
        <v>4.7735949999999992E-2</v>
      </c>
      <c r="AU287" s="16">
        <f ca="1">_xll.DBRW($D$4,$E$7,$E$8,$E$9,$E$10,$E$12,$D287,$E$6,AU$18,AU$17)</f>
        <v>3.8149169999999996E-2</v>
      </c>
      <c r="AV287" s="16">
        <f ca="1">_xll.DBRW($D$4,$E$7,$E$8,$E$9,$E$10,$E$12,$D287,$E$6,AV$18,AV$17)</f>
        <v>0.70356700000000005</v>
      </c>
      <c r="AW287" s="16">
        <f ca="1">_xll.DBRW($D$4,$E$7,$E$8,$E$9,$E$10,$E$12,$D287,$E$6,AW$18,AW$17)</f>
        <v>3.8149169999999996E-2</v>
      </c>
      <c r="AX287" s="16">
        <f ca="1">_xll.DBRW($D$4,$E$7,$E$8,$E$9,$E$10,$E$12,$D287,$E$6,AX$18,AX$17)</f>
        <v>0</v>
      </c>
      <c r="AY287" s="16">
        <f ca="1">_xll.DBRW($D$4,$E$7,$E$8,$E$9,$E$10,$E$12,$D287,$E$6,AY$18,AY$17)</f>
        <v>0</v>
      </c>
      <c r="AZ287" s="16">
        <f ca="1">_xll.DBRW($D$4,$E$7,$E$8,$E$9,$E$10,$E$12,$D287,$E$6,AZ$18,AZ$17)</f>
        <v>0</v>
      </c>
      <c r="BA287" s="16">
        <f ca="1">_xll.DBRW($D$4,$E$7,$E$8,$E$9,$E$10,$E$12,$D287,$E$6,BA$18,BA$17)</f>
        <v>0</v>
      </c>
      <c r="BB287" s="16">
        <f ca="1">_xll.DBRW($D$4,$E$7,$E$8,$E$9,$E$10,$E$12,$D287,$E$6,BB$18,BB$17)</f>
        <v>3.8149169999999996E-2</v>
      </c>
      <c r="BC287" s="16">
        <f ca="1">_xll.DBRW($D$4,$E$7,$E$8,$E$9,$E$10,$E$12,$D287,$E$6,BC$18,BC$17)</f>
        <v>3.8149169999999996E-2</v>
      </c>
      <c r="BD287" s="16">
        <f ca="1">_xll.DBRW($D$4,$E$7,$E$8,$E$9,$E$10,$E$12,$D287,$E$6,BD$18,BD$17)</f>
        <v>0.25790243999999996</v>
      </c>
      <c r="BE287" s="16">
        <f ca="1">_xll.DBRW($D$4,$E$7,$E$8,$E$9,$E$10,$E$12,$D287,$E$6,BE$18,BE$17)</f>
        <v>-4.3071289999999991E-2</v>
      </c>
      <c r="BF287" s="16">
        <f ca="1">_xll.DBRW($D$4,$E$7,$E$8,$E$9,$E$10,$E$12,$D287,$E$6,BF$18,BF$17)</f>
        <v>-1.1593599999999999E-3</v>
      </c>
      <c r="BG287" s="26">
        <f ca="1">_xll.DBRW($D$4,$E$7,$E$8,$E$9,$E$10,$E$12,$D287,$E$6,BG$18,BG$17)</f>
        <v>0</v>
      </c>
      <c r="BH287" s="26">
        <f ca="1">_xll.DBRW($D$4,$E$7,$E$8,$E$9,$E$10,$E$12,$D287,$E$6,BH$18,BH$17)</f>
        <v>0</v>
      </c>
      <c r="BI287" s="26">
        <f ca="1">_xll.DBRW($D$4,$E$7,$E$8,$E$9,$E$10,$E$12,$D287,$E$6,BI$18,BI$17)</f>
        <v>0</v>
      </c>
      <c r="BJ287" s="26">
        <f ca="1">_xll.DBRW($D$4,$E$7,$E$8,$E$9,$E$10,$E$12,$D287,$E$6,BJ$18,BJ$17)</f>
        <v>0</v>
      </c>
      <c r="BK287" s="16">
        <f ca="1">_xll.DBRW($D$4,$E$7,$E$8,$E$9,$E$10,$E$12,$D287,$E$6,BK$18,BK$17)</f>
        <v>0.30097372999999999</v>
      </c>
      <c r="BL287" s="16">
        <f ca="1">_xll.DBRW($D$4,$E$7,$E$8,$E$9,$E$10,$E$12,$D287,$E$6,BL$18,BL$17)</f>
        <v>1.1616224399999999</v>
      </c>
      <c r="BM287" s="16">
        <f ca="1">_xll.DBRW($D$4,$E$7,$E$8,$E$9,$E$10,$E$12,$D287,$E$6,BM$18,BM$17)</f>
        <v>-0.47852215999999997</v>
      </c>
      <c r="BN287" s="16">
        <f ca="1">_xll.DBRW($D$4,$E$7,$E$8,$E$9,$E$10,$E$12,$D287,$E$6,BN$18,BN$17)</f>
        <v>0.41194293732824239</v>
      </c>
      <c r="BO287" s="16"/>
      <c r="BP287" s="16"/>
      <c r="BQ287" s="16"/>
      <c r="BR287" s="16"/>
      <c r="BS287" s="16">
        <f ca="1">_xll.DBRW($D$4,$E$7,$E$8,$E$9,$E$10,$E$12,$D287,$E$6,BS$18,BS$17)</f>
        <v>-0.22318197000000006</v>
      </c>
      <c r="BT287" s="16">
        <f ca="1">_xll.DBRW($D$4,$E$7,$E$8,$E$9,$E$10,$E$12,$D287,$E$6,BT$18,BT$17)</f>
        <v>0.19212952704322764</v>
      </c>
      <c r="BU287" s="16"/>
      <c r="BV287" s="16"/>
      <c r="BW287" s="16"/>
      <c r="BX287" s="16"/>
      <c r="BY287" s="16">
        <f ca="1">_xll.DBRW($D$4,$E$7,$E$8,$E$9,$E$10,$E$12,$D287,$E$6,BY$18,BY$17)</f>
        <v>0</v>
      </c>
      <c r="BZ287" s="16">
        <f ca="1">_xll.DBRW($D$4,$E$7,$E$8,$E$9,$E$10,$E$12,$D287,$E$6,BZ$18,BZ$17)</f>
        <v>0</v>
      </c>
      <c r="CA287" s="16"/>
      <c r="CB287" s="16"/>
      <c r="CC287" s="16"/>
      <c r="CD287" s="16"/>
      <c r="CE287" s="16">
        <f ca="1">_xll.DBRW($D$4,$E$7,$E$8,$E$9,$E$10,$E$12,$D287,$E$6,CE$18,CE$17)</f>
        <v>-2.9139400000000003E-3</v>
      </c>
      <c r="CF287" s="16">
        <f ca="1">_xll.DBRW($D$4,$E$7,$E$8,$E$9,$E$10,$E$12,$D287,$E$6,CF$18,CF$17)</f>
        <v>2.5085087027072244E-3</v>
      </c>
      <c r="CG287" s="16"/>
      <c r="CH287" s="16"/>
      <c r="CI287" s="16"/>
      <c r="CJ287" s="16"/>
      <c r="CK287" s="16">
        <f ca="1">_xll.DBRW($D$4,$E$7,$E$8,$E$9,$E$10,$E$12,$D287,$E$6,CK$18,CK$17)</f>
        <v>-0.15603063999999997</v>
      </c>
      <c r="CL287" s="16">
        <f ca="1">_xll.DBRW($D$4,$E$7,$E$8,$E$9,$E$10,$E$12,$D287,$E$6,CL$18,CL$17)</f>
        <v>0.13432130322826752</v>
      </c>
      <c r="CM287" s="16"/>
      <c r="CN287" s="16"/>
      <c r="CO287" s="16"/>
      <c r="CP287" s="16"/>
      <c r="CQ287" s="16">
        <f ca="1">_xll.DBRW($D$4,$E$7,$E$8,$E$9,$E$10,$E$12,$D287,$E$6,CQ$18,CQ$17)</f>
        <v>2.8899279999999999E-2</v>
      </c>
      <c r="CR287" s="16">
        <f ca="1">_xll.DBRW($D$4,$E$7,$E$8,$E$9,$E$10,$E$12,$D287,$E$6,CR$18,CR$17)</f>
        <v>1.8995999999999999E-2</v>
      </c>
      <c r="CS287" s="16">
        <f ca="1">_xll.DBRW($D$4,$E$7,$E$8,$E$9,$E$10,$E$12,$D287,$E$6,CS$18,CS$17)</f>
        <v>0.37669068</v>
      </c>
      <c r="CT287" s="16">
        <f ca="1">_xll.DBRW($D$4,$E$7,$E$8,$E$9,$E$10,$E$12,$D287,$E$6,CT$18,CT$17)</f>
        <v>1.8995999999999999E-2</v>
      </c>
      <c r="CU287" s="16">
        <f ca="1">_xll.DBRW($D$4,$E$7,$E$8,$E$9,$E$10,$E$12,$D287,$E$6,CU$18,CU$17)</f>
        <v>0</v>
      </c>
      <c r="CV287" s="16">
        <f ca="1">_xll.DBRW($D$4,$E$7,$E$8,$E$9,$E$10,$E$12,$D287,$E$6,CV$18,CV$17)</f>
        <v>0</v>
      </c>
      <c r="CW287" s="16">
        <f ca="1">_xll.DBRW($D$4,$E$7,$E$8,$E$9,$E$10,$E$12,$D287,$E$6,CW$18,CW$17)</f>
        <v>0</v>
      </c>
      <c r="CX287" s="16">
        <f ca="1">_xll.DBRW($D$4,$E$7,$E$8,$E$9,$E$10,$E$12,$D287,$E$6,CX$18,CX$17)</f>
        <v>0</v>
      </c>
      <c r="CY287" s="16">
        <f ca="1">_xll.DBRW($D$4,$E$7,$E$8,$E$9,$E$10,$E$12,$D287,$E$6,CY$18,CY$17)</f>
        <v>1.8995999999999999E-2</v>
      </c>
      <c r="CZ287" s="16">
        <f ca="1">_xll.DBRW($D$4,$E$7,$E$8,$E$9,$E$10,$E$12,$D287,$E$6,CZ$18,CZ$17)</f>
        <v>1.8995999999999999E-2</v>
      </c>
      <c r="DA287" s="26">
        <f t="shared" ca="1" si="165"/>
        <v>0.33153443999999976</v>
      </c>
      <c r="DB287" s="26">
        <f t="shared" ca="1" si="166"/>
        <v>-3.3377110000000008E-2</v>
      </c>
      <c r="DC287" s="26">
        <f t="shared" ca="1" si="167"/>
        <v>1.1593599999999999E-3</v>
      </c>
      <c r="DD287" s="26">
        <f t="shared" ca="1" si="168"/>
        <v>0</v>
      </c>
      <c r="DE287" s="26">
        <f t="shared" ca="1" si="169"/>
        <v>0</v>
      </c>
      <c r="DF287" s="26">
        <f t="shared" ca="1" si="170"/>
        <v>0</v>
      </c>
      <c r="DG287" s="26">
        <f t="shared" ca="1" si="171"/>
        <v>0</v>
      </c>
      <c r="DH287" s="26">
        <f t="shared" ca="1" si="172"/>
        <v>0.36491154999999981</v>
      </c>
      <c r="DI287" s="26">
        <f t="shared" ca="1" si="173"/>
        <v>1.1734892399999999</v>
      </c>
      <c r="DJ287" s="26">
        <f t="shared" ca="1" si="174"/>
        <v>-0.38182382999999992</v>
      </c>
      <c r="DK287" s="26">
        <f t="shared" ca="1" si="175"/>
        <v>-4.3504032513205892E-2</v>
      </c>
      <c r="DL287" s="26"/>
      <c r="DM287" s="26"/>
      <c r="DN287" s="26"/>
      <c r="DO287" s="26"/>
      <c r="DP287" s="26">
        <f t="shared" ca="1" si="176"/>
        <v>-0.1750213599999999</v>
      </c>
      <c r="DQ287" s="26">
        <f t="shared" ca="1" si="177"/>
        <v>-2.160092517353035E-2</v>
      </c>
      <c r="DR287" s="26"/>
      <c r="DS287" s="26"/>
      <c r="DT287" s="26"/>
      <c r="DU287" s="26"/>
      <c r="DV287" s="26">
        <f t="shared" ca="1" si="178"/>
        <v>0</v>
      </c>
      <c r="DW287" s="26">
        <f t="shared" ca="1" si="179"/>
        <v>0</v>
      </c>
      <c r="DX287" s="26"/>
      <c r="DY287" s="26"/>
      <c r="DZ287" s="26"/>
      <c r="EA287" s="26"/>
      <c r="EB287" s="26">
        <f t="shared" ca="1" si="180"/>
        <v>-7.1573999999999943E-4</v>
      </c>
      <c r="EC287" s="26">
        <f t="shared" ca="1" si="181"/>
        <v>-9.5411623784661444E-4</v>
      </c>
      <c r="ED287" s="26"/>
      <c r="EE287" s="26"/>
      <c r="EF287" s="26"/>
      <c r="EG287" s="26"/>
      <c r="EH287" s="26">
        <f t="shared" ca="1" si="182"/>
        <v>-0.25101676000000006</v>
      </c>
      <c r="EI287" s="29">
        <f t="shared" ca="1" si="183"/>
        <v>3.9994727772014238E-2</v>
      </c>
      <c r="EJ287" s="29"/>
      <c r="EK287" s="29"/>
      <c r="EL287" s="29"/>
      <c r="EM287" s="29"/>
      <c r="EN287" s="93"/>
      <c r="EO287" s="29"/>
      <c r="EP287" s="29"/>
      <c r="EQ287" s="29"/>
      <c r="ER287" s="29"/>
      <c r="ES287" s="29"/>
      <c r="ET287" s="29"/>
      <c r="EU287" s="93"/>
      <c r="EV287" s="29"/>
      <c r="EW287" s="29"/>
      <c r="EX287" s="29"/>
      <c r="EY287" s="29"/>
      <c r="EZ287" s="29"/>
      <c r="FA287" s="29"/>
      <c r="FB287" s="93"/>
      <c r="FC287" s="29"/>
      <c r="FD287" s="29"/>
      <c r="FE287" s="29"/>
      <c r="FF287" s="29"/>
      <c r="FG287" s="29"/>
      <c r="FH287" s="29"/>
      <c r="FI287" s="93"/>
      <c r="FJ287" s="29"/>
      <c r="FK287" s="29"/>
      <c r="FL287" s="29"/>
      <c r="FM287" s="29"/>
      <c r="FN287" s="29"/>
      <c r="FO287" s="29"/>
      <c r="FP287" s="93"/>
      <c r="FQ287" s="29"/>
      <c r="FR287" s="29"/>
      <c r="FS287" s="29"/>
      <c r="FT287" s="29"/>
      <c r="FU287" s="29"/>
      <c r="FV287" s="29"/>
    </row>
    <row r="288" spans="1:178" x14ac:dyDescent="0.25">
      <c r="A288" t="str">
        <f ca="1">IF(_xll.TM1RPTELISCONSOLIDATED($D$28,$D288),IF(_xll.TM1RPTELLEV($D$28,$D288)&lt;=3,_xll.TM1RPTELLEV($D$28,$D288),"D"),"N")</f>
        <v>N</v>
      </c>
      <c r="B288" t="str">
        <f ca="1">_xll.DBRA(Server&amp;"Management_organization",$D288,$B$27)</f>
        <v>L</v>
      </c>
      <c r="C288">
        <v>1</v>
      </c>
      <c r="D288" s="2" t="s">
        <v>247</v>
      </c>
      <c r="E288" s="26"/>
      <c r="F288" s="26"/>
      <c r="G288" s="16">
        <f ca="1">_xll.DBRW($D$4,$E$7,$E$8,$E$9,$E$10,$E$12,$D288,$E$6,G$18,G$17)</f>
        <v>1.1030279999999992</v>
      </c>
      <c r="H288" s="16">
        <f ca="1">_xll.DBRW($D$4,$E$7,$E$8,$E$9,$E$10,$E$12,$D288,$E$6,H$18,H$17)</f>
        <v>-0.10484532999999999</v>
      </c>
      <c r="I288" s="16">
        <f ca="1">_xll.DBRW($D$4,$E$7,$E$8,$E$9,$E$10,$E$12,$D288,$E$6,I$18,I$17)</f>
        <v>0</v>
      </c>
      <c r="J288" s="26">
        <f ca="1">_xll.DBRW($D$4,$E$7,$E$8,$E$9,$E$10,$E$12,$D288,$E$6,J$18,J$17)</f>
        <v>0</v>
      </c>
      <c r="K288" s="26">
        <f ca="1">_xll.DBRW($D$4,$E$7,$E$8,$E$9,$E$10,$E$12,$D288,$E$6,K$18,K$17)</f>
        <v>0</v>
      </c>
      <c r="L288" s="26">
        <f ca="1">_xll.DBRW($D$4,$E$7,$E$8,$E$9,$E$10,$E$12,$D288,$E$6,L$18,L$17)</f>
        <v>0</v>
      </c>
      <c r="M288" s="26">
        <f ca="1">_xll.DBRW($D$4,$E$7,$E$8,$E$9,$E$10,$E$12,$D288,$E$6,M$18,M$17)</f>
        <v>0</v>
      </c>
      <c r="N288" s="16">
        <f ca="1">_xll.DBRW($D$4,$E$7,$E$8,$E$9,$E$10,$E$12,$D288,$E$6,N$18,N$17)</f>
        <v>1.2078733299999993</v>
      </c>
      <c r="O288" s="16">
        <f ca="1">_xll.DBRW($D$4,$E$7,$E$8,$E$9,$E$10,$E$12,$D288,$E$6,O$18,O$17)</f>
        <v>7.3497556899999994</v>
      </c>
      <c r="P288" s="74">
        <f ca="1">_xll.DBRW($D$4,$E$7,$E$8,$E$9,$E$10,$E$12,$D288,$E$6,P$18,P$17)</f>
        <v>-1.6583144199999993</v>
      </c>
      <c r="Q288" s="16">
        <f ca="1">_xll.DBRW($D$4,$E$7,$E$8,$E$9,$E$10,$E$12,$D288,$E$6,Q$18,Q$17)</f>
        <v>0.22562850929266731</v>
      </c>
      <c r="R288" s="16"/>
      <c r="S288" s="16"/>
      <c r="T288" s="16"/>
      <c r="U288" s="16"/>
      <c r="V288" s="16">
        <f ca="1">_xll.DBRW($D$4,$E$7,$E$8,$E$9,$E$10,$E$12,$D288,$E$6,V$18,V$17)</f>
        <v>-0.50606196999999997</v>
      </c>
      <c r="W288" s="16">
        <f ca="1">_xll.DBRW($D$4,$E$7,$E$8,$E$9,$E$10,$E$12,$D288,$E$6,W$18,W$17)</f>
        <v>6.8854257385526779E-2</v>
      </c>
      <c r="X288" s="16"/>
      <c r="Y288" s="16"/>
      <c r="Z288" s="16"/>
      <c r="AA288" s="16"/>
      <c r="AB288" s="16">
        <f ca="1">_xll.DBRW($D$4,$E$7,$E$8,$E$9,$E$10,$E$12,$D288,$E$6,AB$18,AB$17)</f>
        <v>-2.6622069999999998E-2</v>
      </c>
      <c r="AC288" s="16">
        <f ca="1">_xll.DBRW($D$4,$E$7,$E$8,$E$9,$E$10,$E$12,$D288,$E$6,AC$18,AC$17)</f>
        <v>3.6221707391201736E-3</v>
      </c>
      <c r="AD288" s="16"/>
      <c r="AE288" s="16"/>
      <c r="AF288" s="16"/>
      <c r="AG288" s="16"/>
      <c r="AH288" s="16">
        <f ca="1">_xll.DBRW($D$4,$E$7,$E$8,$E$9,$E$10,$E$12,$D288,$E$6,AH$18,AH$17)</f>
        <v>-2.3582839100000004</v>
      </c>
      <c r="AI288" s="16">
        <f ca="1">_xll.DBRW($D$4,$E$7,$E$8,$E$9,$E$10,$E$12,$D288,$E$6,AI$18,AI$17)</f>
        <v>0.32086561914005612</v>
      </c>
      <c r="AJ288" s="16"/>
      <c r="AK288" s="16"/>
      <c r="AL288" s="16"/>
      <c r="AM288" s="16"/>
      <c r="AN288" s="16">
        <f ca="1">_xll.DBRW($D$4,$E$7,$E$8,$E$9,$E$10,$E$12,$D288,$E$6,AN$18,AN$17)</f>
        <v>-1.5925999900000003</v>
      </c>
      <c r="AO288" s="16">
        <f ca="1">_xll.DBRW($D$4,$E$7,$E$8,$E$9,$E$10,$E$12,$D288,$E$6,AO$18,AO$17)</f>
        <v>0.21668747332198746</v>
      </c>
      <c r="AP288" s="16"/>
      <c r="AQ288" s="16"/>
      <c r="AR288" s="16"/>
      <c r="AS288" s="16"/>
      <c r="AT288" s="16">
        <f ca="1">_xll.DBRW($D$4,$E$7,$E$8,$E$9,$E$10,$E$12,$D288,$E$6,AT$18,AT$17)</f>
        <v>9.7489400000000004E-2</v>
      </c>
      <c r="AU288" s="16">
        <f ca="1">_xll.DBRW($D$4,$E$7,$E$8,$E$9,$E$10,$E$12,$D288,$E$6,AU$18,AU$17)</f>
        <v>8.3161040000000006E-2</v>
      </c>
      <c r="AV288" s="16">
        <f ca="1">_xll.DBRW($D$4,$E$7,$E$8,$E$9,$E$10,$E$12,$D288,$E$6,AV$18,AV$17)</f>
        <v>1.125597</v>
      </c>
      <c r="AW288" s="16">
        <f ca="1">_xll.DBRW($D$4,$E$7,$E$8,$E$9,$E$10,$E$12,$D288,$E$6,AW$18,AW$17)</f>
        <v>8.3161040000000006E-2</v>
      </c>
      <c r="AX288" s="16">
        <f ca="1">_xll.DBRW($D$4,$E$7,$E$8,$E$9,$E$10,$E$12,$D288,$E$6,AX$18,AX$17)</f>
        <v>0</v>
      </c>
      <c r="AY288" s="16">
        <f ca="1">_xll.DBRW($D$4,$E$7,$E$8,$E$9,$E$10,$E$12,$D288,$E$6,AY$18,AY$17)</f>
        <v>0</v>
      </c>
      <c r="AZ288" s="16">
        <f ca="1">_xll.DBRW($D$4,$E$7,$E$8,$E$9,$E$10,$E$12,$D288,$E$6,AZ$18,AZ$17)</f>
        <v>0</v>
      </c>
      <c r="BA288" s="16">
        <f ca="1">_xll.DBRW($D$4,$E$7,$E$8,$E$9,$E$10,$E$12,$D288,$E$6,BA$18,BA$17)</f>
        <v>0</v>
      </c>
      <c r="BB288" s="16">
        <f ca="1">_xll.DBRW($D$4,$E$7,$E$8,$E$9,$E$10,$E$12,$D288,$E$6,BB$18,BB$17)</f>
        <v>8.3161040000000006E-2</v>
      </c>
      <c r="BC288" s="16">
        <f ca="1">_xll.DBRW($D$4,$E$7,$E$8,$E$9,$E$10,$E$12,$D288,$E$6,BC$18,BC$17)</f>
        <v>8.3161040000000006E-2</v>
      </c>
      <c r="BD288" s="16">
        <f ca="1">_xll.DBRW($D$4,$E$7,$E$8,$E$9,$E$10,$E$12,$D288,$E$6,BD$18,BD$17)</f>
        <v>0.66758099999999854</v>
      </c>
      <c r="BE288" s="16">
        <f ca="1">_xll.DBRW($D$4,$E$7,$E$8,$E$9,$E$10,$E$12,$D288,$E$6,BE$18,BE$17)</f>
        <v>-8.8980790000000004E-2</v>
      </c>
      <c r="BF288" s="16">
        <f ca="1">_xll.DBRW($D$4,$E$7,$E$8,$E$9,$E$10,$E$12,$D288,$E$6,BF$18,BF$17)</f>
        <v>-5.9371999999999995E-4</v>
      </c>
      <c r="BG288" s="26">
        <f ca="1">_xll.DBRW($D$4,$E$7,$E$8,$E$9,$E$10,$E$12,$D288,$E$6,BG$18,BG$17)</f>
        <v>0</v>
      </c>
      <c r="BH288" s="26">
        <f ca="1">_xll.DBRW($D$4,$E$7,$E$8,$E$9,$E$10,$E$12,$D288,$E$6,BH$18,BH$17)</f>
        <v>0</v>
      </c>
      <c r="BI288" s="26">
        <f ca="1">_xll.DBRW($D$4,$E$7,$E$8,$E$9,$E$10,$E$12,$D288,$E$6,BI$18,BI$17)</f>
        <v>0</v>
      </c>
      <c r="BJ288" s="26">
        <f ca="1">_xll.DBRW($D$4,$E$7,$E$8,$E$9,$E$10,$E$12,$D288,$E$6,BJ$18,BJ$17)</f>
        <v>0</v>
      </c>
      <c r="BK288" s="16">
        <f ca="1">_xll.DBRW($D$4,$E$7,$E$8,$E$9,$E$10,$E$12,$D288,$E$6,BK$18,BK$17)</f>
        <v>0.75656178999999857</v>
      </c>
      <c r="BL288" s="16">
        <f ca="1">_xll.DBRW($D$4,$E$7,$E$8,$E$9,$E$10,$E$12,$D288,$E$6,BL$18,BL$17)</f>
        <v>5.5547341599999989</v>
      </c>
      <c r="BM288" s="16">
        <f ca="1">_xll.DBRW($D$4,$E$7,$E$8,$E$9,$E$10,$E$12,$D288,$E$6,BM$18,BM$17)</f>
        <v>-1.2974934000000005</v>
      </c>
      <c r="BN288" s="16">
        <f ca="1">_xll.DBRW($D$4,$E$7,$E$8,$E$9,$E$10,$E$12,$D288,$E$6,BN$18,BN$17)</f>
        <v>0.23358334757823959</v>
      </c>
      <c r="BO288" s="16"/>
      <c r="BP288" s="16"/>
      <c r="BQ288" s="16"/>
      <c r="BR288" s="16"/>
      <c r="BS288" s="16">
        <f ca="1">_xll.DBRW($D$4,$E$7,$E$8,$E$9,$E$10,$E$12,$D288,$E$6,BS$18,BS$17)</f>
        <v>-0.43028992999999999</v>
      </c>
      <c r="BT288" s="16">
        <f ca="1">_xll.DBRW($D$4,$E$7,$E$8,$E$9,$E$10,$E$12,$D288,$E$6,BT$18,BT$17)</f>
        <v>7.7463640492203154E-2</v>
      </c>
      <c r="BU288" s="16"/>
      <c r="BV288" s="16"/>
      <c r="BW288" s="16"/>
      <c r="BX288" s="16"/>
      <c r="BY288" s="16">
        <f ca="1">_xll.DBRW($D$4,$E$7,$E$8,$E$9,$E$10,$E$12,$D288,$E$6,BY$18,BY$17)</f>
        <v>-1.4875709999999999E-2</v>
      </c>
      <c r="BZ288" s="16">
        <f ca="1">_xll.DBRW($D$4,$E$7,$E$8,$E$9,$E$10,$E$12,$D288,$E$6,BZ$18,BZ$17)</f>
        <v>2.6780237490249222E-3</v>
      </c>
      <c r="CA288" s="16"/>
      <c r="CB288" s="16"/>
      <c r="CC288" s="16"/>
      <c r="CD288" s="16"/>
      <c r="CE288" s="16">
        <f ca="1">_xll.DBRW($D$4,$E$7,$E$8,$E$9,$E$10,$E$12,$D288,$E$6,CE$18,CE$17)</f>
        <v>-1.8624911199999998</v>
      </c>
      <c r="CF288" s="16">
        <f ca="1">_xll.DBRW($D$4,$E$7,$E$8,$E$9,$E$10,$E$12,$D288,$E$6,CF$18,CF$17)</f>
        <v>0.33529797580808085</v>
      </c>
      <c r="CG288" s="16"/>
      <c r="CH288" s="16"/>
      <c r="CI288" s="16"/>
      <c r="CJ288" s="16"/>
      <c r="CK288" s="16">
        <f ca="1">_xll.DBRW($D$4,$E$7,$E$8,$E$9,$E$10,$E$12,$D288,$E$6,CK$18,CK$17)</f>
        <v>-1.1930222100000001</v>
      </c>
      <c r="CL288" s="16">
        <f ca="1">_xll.DBRW($D$4,$E$7,$E$8,$E$9,$E$10,$E$12,$D288,$E$6,CL$18,CL$17)</f>
        <v>0.21477575265276067</v>
      </c>
      <c r="CM288" s="16"/>
      <c r="CN288" s="16"/>
      <c r="CO288" s="16"/>
      <c r="CP288" s="16"/>
      <c r="CQ288" s="16">
        <f ca="1">_xll.DBRW($D$4,$E$7,$E$8,$E$9,$E$10,$E$12,$D288,$E$6,CQ$18,CQ$17)</f>
        <v>7.489317999999999E-2</v>
      </c>
      <c r="CR288" s="16">
        <f ca="1">_xll.DBRW($D$4,$E$7,$E$8,$E$9,$E$10,$E$12,$D288,$E$6,CR$18,CR$17)</f>
        <v>6.3970669999999993E-2</v>
      </c>
      <c r="CS288" s="16">
        <f ca="1">_xll.DBRW($D$4,$E$7,$E$8,$E$9,$E$10,$E$12,$D288,$E$6,CS$18,CS$17)</f>
        <v>0.84816197000000015</v>
      </c>
      <c r="CT288" s="16">
        <f ca="1">_xll.DBRW($D$4,$E$7,$E$8,$E$9,$E$10,$E$12,$D288,$E$6,CT$18,CT$17)</f>
        <v>6.3970669999999993E-2</v>
      </c>
      <c r="CU288" s="16">
        <f ca="1">_xll.DBRW($D$4,$E$7,$E$8,$E$9,$E$10,$E$12,$D288,$E$6,CU$18,CU$17)</f>
        <v>0</v>
      </c>
      <c r="CV288" s="16">
        <f ca="1">_xll.DBRW($D$4,$E$7,$E$8,$E$9,$E$10,$E$12,$D288,$E$6,CV$18,CV$17)</f>
        <v>0</v>
      </c>
      <c r="CW288" s="16">
        <f ca="1">_xll.DBRW($D$4,$E$7,$E$8,$E$9,$E$10,$E$12,$D288,$E$6,CW$18,CW$17)</f>
        <v>0</v>
      </c>
      <c r="CX288" s="16">
        <f ca="1">_xll.DBRW($D$4,$E$7,$E$8,$E$9,$E$10,$E$12,$D288,$E$6,CX$18,CX$17)</f>
        <v>0</v>
      </c>
      <c r="CY288" s="16">
        <f ca="1">_xll.DBRW($D$4,$E$7,$E$8,$E$9,$E$10,$E$12,$D288,$E$6,CY$18,CY$17)</f>
        <v>6.3970669999999993E-2</v>
      </c>
      <c r="CZ288" s="16">
        <f ca="1">_xll.DBRW($D$4,$E$7,$E$8,$E$9,$E$10,$E$12,$D288,$E$6,CZ$18,CZ$17)</f>
        <v>6.3970669999999993E-2</v>
      </c>
      <c r="DA288" s="26">
        <f t="shared" ca="1" si="165"/>
        <v>0.43544700000000069</v>
      </c>
      <c r="DB288" s="26">
        <f t="shared" ca="1" si="166"/>
        <v>-1.5864539999999983E-2</v>
      </c>
      <c r="DC288" s="26">
        <f t="shared" ca="1" si="167"/>
        <v>5.9371999999999995E-4</v>
      </c>
      <c r="DD288" s="26">
        <f t="shared" ca="1" si="168"/>
        <v>0</v>
      </c>
      <c r="DE288" s="26">
        <f t="shared" ca="1" si="169"/>
        <v>0</v>
      </c>
      <c r="DF288" s="26">
        <f t="shared" ca="1" si="170"/>
        <v>0</v>
      </c>
      <c r="DG288" s="26">
        <f t="shared" ca="1" si="171"/>
        <v>0</v>
      </c>
      <c r="DH288" s="26">
        <f t="shared" ca="1" si="172"/>
        <v>0.45131154000000073</v>
      </c>
      <c r="DI288" s="26">
        <f t="shared" ca="1" si="173"/>
        <v>1.7950215300000005</v>
      </c>
      <c r="DJ288" s="26">
        <f t="shared" ca="1" si="174"/>
        <v>-0.36082101999999883</v>
      </c>
      <c r="DK288" s="26">
        <f t="shared" ca="1" si="175"/>
        <v>-7.9548382855722799E-3</v>
      </c>
      <c r="DL288" s="26"/>
      <c r="DM288" s="26"/>
      <c r="DN288" s="26"/>
      <c r="DO288" s="26"/>
      <c r="DP288" s="26">
        <f t="shared" ca="1" si="176"/>
        <v>-7.5772039999999985E-2</v>
      </c>
      <c r="DQ288" s="26">
        <f t="shared" ca="1" si="177"/>
        <v>-8.6093831066763743E-3</v>
      </c>
      <c r="DR288" s="26"/>
      <c r="DS288" s="26"/>
      <c r="DT288" s="26"/>
      <c r="DU288" s="26"/>
      <c r="DV288" s="26">
        <f t="shared" ca="1" si="178"/>
        <v>-1.1746359999999999E-2</v>
      </c>
      <c r="DW288" s="26">
        <f t="shared" ca="1" si="179"/>
        <v>9.4414699009525132E-4</v>
      </c>
      <c r="DX288" s="26"/>
      <c r="DY288" s="26"/>
      <c r="DZ288" s="26"/>
      <c r="EA288" s="26"/>
      <c r="EB288" s="26">
        <f t="shared" ca="1" si="180"/>
        <v>-0.49579279000000054</v>
      </c>
      <c r="EC288" s="26">
        <f t="shared" ca="1" si="181"/>
        <v>-1.4432356668024726E-2</v>
      </c>
      <c r="ED288" s="26"/>
      <c r="EE288" s="26"/>
      <c r="EF288" s="26"/>
      <c r="EG288" s="26"/>
      <c r="EH288" s="26">
        <f t="shared" ca="1" si="182"/>
        <v>-0.39957778000000022</v>
      </c>
      <c r="EI288" s="29">
        <f t="shared" ca="1" si="183"/>
        <v>1.9117206692267907E-3</v>
      </c>
      <c r="EJ288" s="29"/>
      <c r="EK288" s="29"/>
      <c r="EL288" s="29"/>
      <c r="EM288" s="29"/>
      <c r="EN288" s="93"/>
      <c r="EO288" s="29"/>
      <c r="EP288" s="29"/>
      <c r="EQ288" s="29"/>
      <c r="ER288" s="29"/>
      <c r="ES288" s="29"/>
      <c r="ET288" s="29"/>
      <c r="EU288" s="93"/>
      <c r="EV288" s="29"/>
      <c r="EW288" s="29"/>
      <c r="EX288" s="29"/>
      <c r="EY288" s="29"/>
      <c r="EZ288" s="29"/>
      <c r="FA288" s="29"/>
      <c r="FB288" s="93"/>
      <c r="FC288" s="29"/>
      <c r="FD288" s="29"/>
      <c r="FE288" s="29"/>
      <c r="FF288" s="29"/>
      <c r="FG288" s="29"/>
      <c r="FH288" s="29"/>
      <c r="FI288" s="93"/>
      <c r="FJ288" s="29"/>
      <c r="FK288" s="29"/>
      <c r="FL288" s="29"/>
      <c r="FM288" s="29"/>
      <c r="FN288" s="29"/>
      <c r="FO288" s="29"/>
      <c r="FP288" s="93"/>
      <c r="FQ288" s="29"/>
      <c r="FR288" s="29"/>
      <c r="FS288" s="29"/>
      <c r="FT288" s="29"/>
      <c r="FU288" s="29"/>
      <c r="FV288" s="29"/>
    </row>
    <row r="289" spans="1:178" x14ac:dyDescent="0.25">
      <c r="A289" t="str">
        <f ca="1">IF(_xll.TM1RPTELISCONSOLIDATED($D$28,$D289),IF(_xll.TM1RPTELLEV($D$28,$D289)&lt;=3,_xll.TM1RPTELLEV($D$28,$D289),"D"),"N")</f>
        <v>N</v>
      </c>
      <c r="B289" t="str">
        <f ca="1">_xll.DBRA(Server&amp;"Management_organization",$D289,$B$27)</f>
        <v>L</v>
      </c>
      <c r="C289">
        <v>1</v>
      </c>
      <c r="D289" s="2" t="s">
        <v>248</v>
      </c>
      <c r="E289" s="26"/>
      <c r="F289" s="26"/>
      <c r="G289" s="16">
        <f ca="1">_xll.DBRW($D$4,$E$7,$E$8,$E$9,$E$10,$E$12,$D289,$E$6,G$18,G$17)</f>
        <v>0.89602314000000183</v>
      </c>
      <c r="H289" s="16">
        <f ca="1">_xll.DBRW($D$4,$E$7,$E$8,$E$9,$E$10,$E$12,$D289,$E$6,H$18,H$17)</f>
        <v>-0.83369101000000001</v>
      </c>
      <c r="I289" s="16">
        <f ca="1">_xll.DBRW($D$4,$E$7,$E$8,$E$9,$E$10,$E$12,$D289,$E$6,I$18,I$17)</f>
        <v>0</v>
      </c>
      <c r="J289" s="26">
        <f ca="1">_xll.DBRW($D$4,$E$7,$E$8,$E$9,$E$10,$E$12,$D289,$E$6,J$18,J$17)</f>
        <v>0</v>
      </c>
      <c r="K289" s="26">
        <f ca="1">_xll.DBRW($D$4,$E$7,$E$8,$E$9,$E$10,$E$12,$D289,$E$6,K$18,K$17)</f>
        <v>0</v>
      </c>
      <c r="L289" s="26">
        <f ca="1">_xll.DBRW($D$4,$E$7,$E$8,$E$9,$E$10,$E$12,$D289,$E$6,L$18,L$17)</f>
        <v>0</v>
      </c>
      <c r="M289" s="26">
        <f ca="1">_xll.DBRW($D$4,$E$7,$E$8,$E$9,$E$10,$E$12,$D289,$E$6,M$18,M$17)</f>
        <v>0</v>
      </c>
      <c r="N289" s="16">
        <f ca="1">_xll.DBRW($D$4,$E$7,$E$8,$E$9,$E$10,$E$12,$D289,$E$6,N$18,N$17)</f>
        <v>1.7297141500000017</v>
      </c>
      <c r="O289" s="16">
        <f ca="1">_xll.DBRW($D$4,$E$7,$E$8,$E$9,$E$10,$E$12,$D289,$E$6,O$18,O$17)</f>
        <v>28.465677100000001</v>
      </c>
      <c r="P289" s="74">
        <f ca="1">_xll.DBRW($D$4,$E$7,$E$8,$E$9,$E$10,$E$12,$D289,$E$6,P$18,P$17)</f>
        <v>-12.550327389999998</v>
      </c>
      <c r="Q289" s="16">
        <f ca="1">_xll.DBRW($D$4,$E$7,$E$8,$E$9,$E$10,$E$12,$D289,$E$6,Q$18,Q$17)</f>
        <v>0.4408933378226228</v>
      </c>
      <c r="R289" s="16"/>
      <c r="S289" s="16"/>
      <c r="T289" s="16"/>
      <c r="U289" s="16"/>
      <c r="V289" s="16">
        <f ca="1">_xll.DBRW($D$4,$E$7,$E$8,$E$9,$E$10,$E$12,$D289,$E$6,V$18,V$17)</f>
        <v>-7.5065551100000008</v>
      </c>
      <c r="W289" s="16">
        <f ca="1">_xll.DBRW($D$4,$E$7,$E$8,$E$9,$E$10,$E$12,$D289,$E$6,W$18,W$17)</f>
        <v>0.26370548234737057</v>
      </c>
      <c r="X289" s="16"/>
      <c r="Y289" s="16"/>
      <c r="Z289" s="16"/>
      <c r="AA289" s="16"/>
      <c r="AB289" s="16">
        <f ca="1">_xll.DBRW($D$4,$E$7,$E$8,$E$9,$E$10,$E$12,$D289,$E$6,AB$18,AB$17)</f>
        <v>0</v>
      </c>
      <c r="AC289" s="16">
        <f ca="1">_xll.DBRW($D$4,$E$7,$E$8,$E$9,$E$10,$E$12,$D289,$E$6,AC$18,AC$17)</f>
        <v>0</v>
      </c>
      <c r="AD289" s="16"/>
      <c r="AE289" s="16"/>
      <c r="AF289" s="16"/>
      <c r="AG289" s="16"/>
      <c r="AH289" s="16">
        <f ca="1">_xll.DBRW($D$4,$E$7,$E$8,$E$9,$E$10,$E$12,$D289,$E$6,AH$18,AH$17)</f>
        <v>-9.2339260000000006E-2</v>
      </c>
      <c r="AI289" s="16">
        <f ca="1">_xll.DBRW($D$4,$E$7,$E$8,$E$9,$E$10,$E$12,$D289,$E$6,AI$18,AI$17)</f>
        <v>3.2438806804282903E-3</v>
      </c>
      <c r="AJ289" s="16"/>
      <c r="AK289" s="16"/>
      <c r="AL289" s="16"/>
      <c r="AM289" s="16"/>
      <c r="AN289" s="16">
        <f ca="1">_xll.DBRW($D$4,$E$7,$E$8,$E$9,$E$10,$E$12,$D289,$E$6,AN$18,AN$17)</f>
        <v>-6.5867411900000015</v>
      </c>
      <c r="AO289" s="16">
        <f ca="1">_xll.DBRW($D$4,$E$7,$E$8,$E$9,$E$10,$E$12,$D289,$E$6,AO$18,AO$17)</f>
        <v>0.23139239466747136</v>
      </c>
      <c r="AP289" s="16"/>
      <c r="AQ289" s="16"/>
      <c r="AR289" s="16"/>
      <c r="AS289" s="16"/>
      <c r="AT289" s="16">
        <f ca="1">_xll.DBRW($D$4,$E$7,$E$8,$E$9,$E$10,$E$12,$D289,$E$6,AT$18,AT$17)</f>
        <v>0.48565700999999994</v>
      </c>
      <c r="AU289" s="16">
        <f ca="1">_xll.DBRW($D$4,$E$7,$E$8,$E$9,$E$10,$E$12,$D289,$E$6,AU$18,AU$17)</f>
        <v>0.39352966000000006</v>
      </c>
      <c r="AV289" s="16">
        <f ca="1">_xll.DBRW($D$4,$E$7,$E$8,$E$9,$E$10,$E$12,$D289,$E$6,AV$18,AV$17)</f>
        <v>6.1872689999999997</v>
      </c>
      <c r="AW289" s="16">
        <f ca="1">_xll.DBRW($D$4,$E$7,$E$8,$E$9,$E$10,$E$12,$D289,$E$6,AW$18,AW$17)</f>
        <v>0.39352966000000006</v>
      </c>
      <c r="AX289" s="16">
        <f ca="1">_xll.DBRW($D$4,$E$7,$E$8,$E$9,$E$10,$E$12,$D289,$E$6,AX$18,AX$17)</f>
        <v>0</v>
      </c>
      <c r="AY289" s="16">
        <f ca="1">_xll.DBRW($D$4,$E$7,$E$8,$E$9,$E$10,$E$12,$D289,$E$6,AY$18,AY$17)</f>
        <v>0</v>
      </c>
      <c r="AZ289" s="16">
        <f ca="1">_xll.DBRW($D$4,$E$7,$E$8,$E$9,$E$10,$E$12,$D289,$E$6,AZ$18,AZ$17)</f>
        <v>0</v>
      </c>
      <c r="BA289" s="16">
        <f ca="1">_xll.DBRW($D$4,$E$7,$E$8,$E$9,$E$10,$E$12,$D289,$E$6,BA$18,BA$17)</f>
        <v>0</v>
      </c>
      <c r="BB289" s="16">
        <f ca="1">_xll.DBRW($D$4,$E$7,$E$8,$E$9,$E$10,$E$12,$D289,$E$6,BB$18,BB$17)</f>
        <v>0.39352966000000006</v>
      </c>
      <c r="BC289" s="16">
        <f ca="1">_xll.DBRW($D$4,$E$7,$E$8,$E$9,$E$10,$E$12,$D289,$E$6,BC$18,BC$17)</f>
        <v>0.39352966000000006</v>
      </c>
      <c r="BD289" s="16">
        <f ca="1">_xll.DBRW($D$4,$E$7,$E$8,$E$9,$E$10,$E$12,$D289,$E$6,BD$18,BD$17)</f>
        <v>3.2142983899999966</v>
      </c>
      <c r="BE289" s="16">
        <f ca="1">_xll.DBRW($D$4,$E$7,$E$8,$E$9,$E$10,$E$12,$D289,$E$6,BE$18,BE$17)</f>
        <v>-0.51576252</v>
      </c>
      <c r="BF289" s="16">
        <f ca="1">_xll.DBRW($D$4,$E$7,$E$8,$E$9,$E$10,$E$12,$D289,$E$6,BF$18,BF$17)</f>
        <v>-2.4249999999999994E-2</v>
      </c>
      <c r="BG289" s="26">
        <f ca="1">_xll.DBRW($D$4,$E$7,$E$8,$E$9,$E$10,$E$12,$D289,$E$6,BG$18,BG$17)</f>
        <v>0</v>
      </c>
      <c r="BH289" s="26">
        <f ca="1">_xll.DBRW($D$4,$E$7,$E$8,$E$9,$E$10,$E$12,$D289,$E$6,BH$18,BH$17)</f>
        <v>0</v>
      </c>
      <c r="BI289" s="26">
        <f ca="1">_xll.DBRW($D$4,$E$7,$E$8,$E$9,$E$10,$E$12,$D289,$E$6,BI$18,BI$17)</f>
        <v>0</v>
      </c>
      <c r="BJ289" s="26">
        <f ca="1">_xll.DBRW($D$4,$E$7,$E$8,$E$9,$E$10,$E$12,$D289,$E$6,BJ$18,BJ$17)</f>
        <v>0</v>
      </c>
      <c r="BK289" s="16">
        <f ca="1">_xll.DBRW($D$4,$E$7,$E$8,$E$9,$E$10,$E$12,$D289,$E$6,BK$18,BK$17)</f>
        <v>3.7300609099999975</v>
      </c>
      <c r="BL289" s="16">
        <f ca="1">_xll.DBRW($D$4,$E$7,$E$8,$E$9,$E$10,$E$12,$D289,$E$6,BL$18,BL$17)</f>
        <v>22.074906429999995</v>
      </c>
      <c r="BM289" s="16">
        <f ca="1">_xll.DBRW($D$4,$E$7,$E$8,$E$9,$E$10,$E$12,$D289,$E$6,BM$18,BM$17)</f>
        <v>-8.7028433199999995</v>
      </c>
      <c r="BN289" s="16">
        <f ca="1">_xll.DBRW($D$4,$E$7,$E$8,$E$9,$E$10,$E$12,$D289,$E$6,BN$18,BN$17)</f>
        <v>0.39424145907919944</v>
      </c>
      <c r="BO289" s="16"/>
      <c r="BP289" s="16"/>
      <c r="BQ289" s="16"/>
      <c r="BR289" s="16"/>
      <c r="BS289" s="16">
        <f ca="1">_xll.DBRW($D$4,$E$7,$E$8,$E$9,$E$10,$E$12,$D289,$E$6,BS$18,BS$17)</f>
        <v>-4.9397458499999995</v>
      </c>
      <c r="BT289" s="16">
        <f ca="1">_xll.DBRW($D$4,$E$7,$E$8,$E$9,$E$10,$E$12,$D289,$E$6,BT$18,BT$17)</f>
        <v>0.22377199494204156</v>
      </c>
      <c r="BU289" s="16"/>
      <c r="BV289" s="16"/>
      <c r="BW289" s="16"/>
      <c r="BX289" s="16"/>
      <c r="BY289" s="16">
        <f ca="1">_xll.DBRW($D$4,$E$7,$E$8,$E$9,$E$10,$E$12,$D289,$E$6,BY$18,BY$17)</f>
        <v>0</v>
      </c>
      <c r="BZ289" s="16">
        <f ca="1">_xll.DBRW($D$4,$E$7,$E$8,$E$9,$E$10,$E$12,$D289,$E$6,BZ$18,BZ$17)</f>
        <v>0</v>
      </c>
      <c r="CA289" s="16"/>
      <c r="CB289" s="16"/>
      <c r="CC289" s="16"/>
      <c r="CD289" s="16"/>
      <c r="CE289" s="16">
        <f ca="1">_xll.DBRW($D$4,$E$7,$E$8,$E$9,$E$10,$E$12,$D289,$E$6,CE$18,CE$17)</f>
        <v>-8.6890509999999976E-2</v>
      </c>
      <c r="CF289" s="16">
        <f ca="1">_xll.DBRW($D$4,$E$7,$E$8,$E$9,$E$10,$E$12,$D289,$E$6,CF$18,CF$17)</f>
        <v>3.9361666277287133E-3</v>
      </c>
      <c r="CG289" s="16"/>
      <c r="CH289" s="16"/>
      <c r="CI289" s="16"/>
      <c r="CJ289" s="16"/>
      <c r="CK289" s="16">
        <f ca="1">_xll.DBRW($D$4,$E$7,$E$8,$E$9,$E$10,$E$12,$D289,$E$6,CK$18,CK$17)</f>
        <v>-4.6153658399999999</v>
      </c>
      <c r="CL289" s="16">
        <f ca="1">_xll.DBRW($D$4,$E$7,$E$8,$E$9,$E$10,$E$12,$D289,$E$6,CL$18,CL$17)</f>
        <v>0.20907748146681504</v>
      </c>
      <c r="CM289" s="16"/>
      <c r="CN289" s="16"/>
      <c r="CO289" s="16"/>
      <c r="CP289" s="16"/>
      <c r="CQ289" s="16">
        <f ca="1">_xll.DBRW($D$4,$E$7,$E$8,$E$9,$E$10,$E$12,$D289,$E$6,CQ$18,CQ$17)</f>
        <v>0.37762575999999992</v>
      </c>
      <c r="CR289" s="16">
        <f ca="1">_xll.DBRW($D$4,$E$7,$E$8,$E$9,$E$10,$E$12,$D289,$E$6,CR$18,CR$17)</f>
        <v>0.31208740000000001</v>
      </c>
      <c r="CS289" s="16">
        <f ca="1">_xll.DBRW($D$4,$E$7,$E$8,$E$9,$E$10,$E$12,$D289,$E$6,CS$18,CS$17)</f>
        <v>4.9153765499999995</v>
      </c>
      <c r="CT289" s="16">
        <f ca="1">_xll.DBRW($D$4,$E$7,$E$8,$E$9,$E$10,$E$12,$D289,$E$6,CT$18,CT$17)</f>
        <v>0.31208740000000001</v>
      </c>
      <c r="CU289" s="16">
        <f ca="1">_xll.DBRW($D$4,$E$7,$E$8,$E$9,$E$10,$E$12,$D289,$E$6,CU$18,CU$17)</f>
        <v>0</v>
      </c>
      <c r="CV289" s="16">
        <f ca="1">_xll.DBRW($D$4,$E$7,$E$8,$E$9,$E$10,$E$12,$D289,$E$6,CV$18,CV$17)</f>
        <v>0</v>
      </c>
      <c r="CW289" s="16">
        <f ca="1">_xll.DBRW($D$4,$E$7,$E$8,$E$9,$E$10,$E$12,$D289,$E$6,CW$18,CW$17)</f>
        <v>0</v>
      </c>
      <c r="CX289" s="16">
        <f ca="1">_xll.DBRW($D$4,$E$7,$E$8,$E$9,$E$10,$E$12,$D289,$E$6,CX$18,CX$17)</f>
        <v>0</v>
      </c>
      <c r="CY289" s="16">
        <f ca="1">_xll.DBRW($D$4,$E$7,$E$8,$E$9,$E$10,$E$12,$D289,$E$6,CY$18,CY$17)</f>
        <v>0.31208740000000001</v>
      </c>
      <c r="CZ289" s="16">
        <f ca="1">_xll.DBRW($D$4,$E$7,$E$8,$E$9,$E$10,$E$12,$D289,$E$6,CZ$18,CZ$17)</f>
        <v>0.31208740000000001</v>
      </c>
      <c r="DA289" s="26">
        <f t="shared" ca="1" si="165"/>
        <v>-2.3182752499999948</v>
      </c>
      <c r="DB289" s="26">
        <f t="shared" ca="1" si="166"/>
        <v>-0.31792849000000001</v>
      </c>
      <c r="DC289" s="26">
        <f t="shared" ca="1" si="167"/>
        <v>2.4249999999999994E-2</v>
      </c>
      <c r="DD289" s="26">
        <f t="shared" ca="1" si="168"/>
        <v>0</v>
      </c>
      <c r="DE289" s="26">
        <f t="shared" ca="1" si="169"/>
        <v>0</v>
      </c>
      <c r="DF289" s="26">
        <f t="shared" ca="1" si="170"/>
        <v>0</v>
      </c>
      <c r="DG289" s="26">
        <f t="shared" ca="1" si="171"/>
        <v>0</v>
      </c>
      <c r="DH289" s="26">
        <f t="shared" ca="1" si="172"/>
        <v>-2.0003467599999958</v>
      </c>
      <c r="DI289" s="26">
        <f t="shared" ca="1" si="173"/>
        <v>6.3907706700000055</v>
      </c>
      <c r="DJ289" s="26">
        <f t="shared" ca="1" si="174"/>
        <v>-3.8474840699999984</v>
      </c>
      <c r="DK289" s="26">
        <f t="shared" ca="1" si="175"/>
        <v>4.6651878743423358E-2</v>
      </c>
      <c r="DL289" s="26"/>
      <c r="DM289" s="26"/>
      <c r="DN289" s="26"/>
      <c r="DO289" s="26"/>
      <c r="DP289" s="26">
        <f t="shared" ca="1" si="176"/>
        <v>-2.5668092600000012</v>
      </c>
      <c r="DQ289" s="26">
        <f t="shared" ca="1" si="177"/>
        <v>3.993348740532901E-2</v>
      </c>
      <c r="DR289" s="26"/>
      <c r="DS289" s="26"/>
      <c r="DT289" s="26"/>
      <c r="DU289" s="26"/>
      <c r="DV289" s="26">
        <f t="shared" ca="1" si="178"/>
        <v>0</v>
      </c>
      <c r="DW289" s="26">
        <f t="shared" ca="1" si="179"/>
        <v>0</v>
      </c>
      <c r="DX289" s="26"/>
      <c r="DY289" s="26"/>
      <c r="DZ289" s="26"/>
      <c r="EA289" s="26"/>
      <c r="EB289" s="26">
        <f t="shared" ca="1" si="180"/>
        <v>-5.44875000000003E-3</v>
      </c>
      <c r="EC289" s="26">
        <f t="shared" ca="1" si="181"/>
        <v>-6.9228594730042295E-4</v>
      </c>
      <c r="ED289" s="26"/>
      <c r="EE289" s="26"/>
      <c r="EF289" s="26"/>
      <c r="EG289" s="26"/>
      <c r="EH289" s="26">
        <f t="shared" ca="1" si="182"/>
        <v>-1.9713753500000015</v>
      </c>
      <c r="EI289" s="29">
        <f t="shared" ca="1" si="183"/>
        <v>2.2314913200656317E-2</v>
      </c>
      <c r="EJ289" s="29"/>
      <c r="EK289" s="29"/>
      <c r="EL289" s="29"/>
      <c r="EM289" s="29"/>
      <c r="EN289" s="93"/>
      <c r="EO289" s="29"/>
      <c r="EP289" s="29"/>
      <c r="EQ289" s="29"/>
      <c r="ER289" s="29"/>
      <c r="ES289" s="29"/>
      <c r="ET289" s="29"/>
      <c r="EU289" s="93"/>
      <c r="EV289" s="29"/>
      <c r="EW289" s="29"/>
      <c r="EX289" s="29"/>
      <c r="EY289" s="29"/>
      <c r="EZ289" s="29"/>
      <c r="FA289" s="29"/>
      <c r="FB289" s="93"/>
      <c r="FC289" s="29"/>
      <c r="FD289" s="29"/>
      <c r="FE289" s="29"/>
      <c r="FF289" s="29"/>
      <c r="FG289" s="29"/>
      <c r="FH289" s="29"/>
      <c r="FI289" s="93"/>
      <c r="FJ289" s="29"/>
      <c r="FK289" s="29"/>
      <c r="FL289" s="29"/>
      <c r="FM289" s="29"/>
      <c r="FN289" s="29"/>
      <c r="FO289" s="29"/>
      <c r="FP289" s="93"/>
      <c r="FQ289" s="29"/>
      <c r="FR289" s="29"/>
      <c r="FS289" s="29"/>
      <c r="FT289" s="29"/>
      <c r="FU289" s="29"/>
      <c r="FV289" s="29"/>
    </row>
    <row r="290" spans="1:178" x14ac:dyDescent="0.25">
      <c r="A290" t="str">
        <f ca="1">IF(_xll.TM1RPTELISCONSOLIDATED($D$28,$D290),IF(_xll.TM1RPTELLEV($D$28,$D290)&lt;=3,_xll.TM1RPTELLEV($D$28,$D290),"D"),"N")</f>
        <v>N</v>
      </c>
      <c r="B290" t="str">
        <f ca="1">_xll.DBRA(Server&amp;"Management_organization",$D290,$B$27)</f>
        <v>L</v>
      </c>
      <c r="C290">
        <v>1</v>
      </c>
      <c r="D290" s="2" t="s">
        <v>249</v>
      </c>
      <c r="E290" s="26"/>
      <c r="F290" s="26"/>
      <c r="G290" s="16">
        <f ca="1">_xll.DBRW($D$4,$E$7,$E$8,$E$9,$E$10,$E$12,$D290,$E$6,G$18,G$17)</f>
        <v>1.6586452400000002</v>
      </c>
      <c r="H290" s="16">
        <f ca="1">_xll.DBRW($D$4,$E$7,$E$8,$E$9,$E$10,$E$12,$D290,$E$6,H$18,H$17)</f>
        <v>-0.1592103</v>
      </c>
      <c r="I290" s="16">
        <f ca="1">_xll.DBRW($D$4,$E$7,$E$8,$E$9,$E$10,$E$12,$D290,$E$6,I$18,I$17)</f>
        <v>0</v>
      </c>
      <c r="J290" s="26">
        <f ca="1">_xll.DBRW($D$4,$E$7,$E$8,$E$9,$E$10,$E$12,$D290,$E$6,J$18,J$17)</f>
        <v>0</v>
      </c>
      <c r="K290" s="26">
        <f ca="1">_xll.DBRW($D$4,$E$7,$E$8,$E$9,$E$10,$E$12,$D290,$E$6,K$18,K$17)</f>
        <v>0</v>
      </c>
      <c r="L290" s="26">
        <f ca="1">_xll.DBRW($D$4,$E$7,$E$8,$E$9,$E$10,$E$12,$D290,$E$6,L$18,L$17)</f>
        <v>0</v>
      </c>
      <c r="M290" s="26">
        <f ca="1">_xll.DBRW($D$4,$E$7,$E$8,$E$9,$E$10,$E$12,$D290,$E$6,M$18,M$17)</f>
        <v>0</v>
      </c>
      <c r="N290" s="16">
        <f ca="1">_xll.DBRW($D$4,$E$7,$E$8,$E$9,$E$10,$E$12,$D290,$E$6,N$18,N$17)</f>
        <v>1.8178555399999998</v>
      </c>
      <c r="O290" s="16">
        <f ca="1">_xll.DBRW($D$4,$E$7,$E$8,$E$9,$E$10,$E$12,$D290,$E$6,O$18,O$17)</f>
        <v>10.56288007</v>
      </c>
      <c r="P290" s="74">
        <f ca="1">_xll.DBRW($D$4,$E$7,$E$8,$E$9,$E$10,$E$12,$D290,$E$6,P$18,P$17)</f>
        <v>-5.1026197799999995</v>
      </c>
      <c r="Q290" s="16">
        <f ca="1">_xll.DBRW($D$4,$E$7,$E$8,$E$9,$E$10,$E$12,$D290,$E$6,Q$18,Q$17)</f>
        <v>0.48307088087576849</v>
      </c>
      <c r="R290" s="16"/>
      <c r="S290" s="16"/>
      <c r="T290" s="16"/>
      <c r="U290" s="16"/>
      <c r="V290" s="16">
        <f ca="1">_xll.DBRW($D$4,$E$7,$E$8,$E$9,$E$10,$E$12,$D290,$E$6,V$18,V$17)</f>
        <v>-1.3997186100000003</v>
      </c>
      <c r="W290" s="16">
        <f ca="1">_xll.DBRW($D$4,$E$7,$E$8,$E$9,$E$10,$E$12,$D290,$E$6,W$18,W$17)</f>
        <v>0.13251297001614071</v>
      </c>
      <c r="X290" s="16"/>
      <c r="Y290" s="16"/>
      <c r="Z290" s="16"/>
      <c r="AA290" s="16"/>
      <c r="AB290" s="16">
        <f ca="1">_xll.DBRW($D$4,$E$7,$E$8,$E$9,$E$10,$E$12,$D290,$E$6,AB$18,AB$17)</f>
        <v>0</v>
      </c>
      <c r="AC290" s="16">
        <f ca="1">_xll.DBRW($D$4,$E$7,$E$8,$E$9,$E$10,$E$12,$D290,$E$6,AC$18,AC$17)</f>
        <v>0</v>
      </c>
      <c r="AD290" s="16"/>
      <c r="AE290" s="16"/>
      <c r="AF290" s="16"/>
      <c r="AG290" s="16"/>
      <c r="AH290" s="16">
        <f ca="1">_xll.DBRW($D$4,$E$7,$E$8,$E$9,$E$10,$E$12,$D290,$E$6,AH$18,AH$17)</f>
        <v>-6.8328399999999997E-3</v>
      </c>
      <c r="AI290" s="16">
        <f ca="1">_xll.DBRW($D$4,$E$7,$E$8,$E$9,$E$10,$E$12,$D290,$E$6,AI$18,AI$17)</f>
        <v>6.4687281827672963E-4</v>
      </c>
      <c r="AJ290" s="16"/>
      <c r="AK290" s="16"/>
      <c r="AL290" s="16"/>
      <c r="AM290" s="16"/>
      <c r="AN290" s="16">
        <f ca="1">_xll.DBRW($D$4,$E$7,$E$8,$E$9,$E$10,$E$12,$D290,$E$6,AN$18,AN$17)</f>
        <v>-2.2358533</v>
      </c>
      <c r="AO290" s="16">
        <f ca="1">_xll.DBRW($D$4,$E$7,$E$8,$E$9,$E$10,$E$12,$D290,$E$6,AO$18,AO$17)</f>
        <v>0.21167080239319616</v>
      </c>
      <c r="AP290" s="16"/>
      <c r="AQ290" s="16"/>
      <c r="AR290" s="16"/>
      <c r="AS290" s="16"/>
      <c r="AT290" s="16">
        <f ca="1">_xll.DBRW($D$4,$E$7,$E$8,$E$9,$E$10,$E$12,$D290,$E$6,AT$18,AT$17)</f>
        <v>0.14753975999999999</v>
      </c>
      <c r="AU290" s="16">
        <f ca="1">_xll.DBRW($D$4,$E$7,$E$8,$E$9,$E$10,$E$12,$D290,$E$6,AU$18,AU$17)</f>
        <v>0.13283023999999999</v>
      </c>
      <c r="AV290" s="16">
        <f ca="1">_xll.DBRW($D$4,$E$7,$E$8,$E$9,$E$10,$E$12,$D290,$E$6,AV$18,AV$17)</f>
        <v>2.4318249999999999</v>
      </c>
      <c r="AW290" s="16">
        <f ca="1">_xll.DBRW($D$4,$E$7,$E$8,$E$9,$E$10,$E$12,$D290,$E$6,AW$18,AW$17)</f>
        <v>0.13283023999999999</v>
      </c>
      <c r="AX290" s="16">
        <f ca="1">_xll.DBRW($D$4,$E$7,$E$8,$E$9,$E$10,$E$12,$D290,$E$6,AX$18,AX$17)</f>
        <v>0</v>
      </c>
      <c r="AY290" s="16">
        <f ca="1">_xll.DBRW($D$4,$E$7,$E$8,$E$9,$E$10,$E$12,$D290,$E$6,AY$18,AY$17)</f>
        <v>0</v>
      </c>
      <c r="AZ290" s="16">
        <f ca="1">_xll.DBRW($D$4,$E$7,$E$8,$E$9,$E$10,$E$12,$D290,$E$6,AZ$18,AZ$17)</f>
        <v>0</v>
      </c>
      <c r="BA290" s="16">
        <f ca="1">_xll.DBRW($D$4,$E$7,$E$8,$E$9,$E$10,$E$12,$D290,$E$6,BA$18,BA$17)</f>
        <v>0</v>
      </c>
      <c r="BB290" s="16">
        <f ca="1">_xll.DBRW($D$4,$E$7,$E$8,$E$9,$E$10,$E$12,$D290,$E$6,BB$18,BB$17)</f>
        <v>0.13283023999999999</v>
      </c>
      <c r="BC290" s="16">
        <f ca="1">_xll.DBRW($D$4,$E$7,$E$8,$E$9,$E$10,$E$12,$D290,$E$6,BC$18,BC$17)</f>
        <v>0.13283023999999999</v>
      </c>
      <c r="BD290" s="16">
        <f ca="1">_xll.DBRW($D$4,$E$7,$E$8,$E$9,$E$10,$E$12,$D290,$E$6,BD$18,BD$17)</f>
        <v>1.4187262800000016</v>
      </c>
      <c r="BE290" s="16">
        <f ca="1">_xll.DBRW($D$4,$E$7,$E$8,$E$9,$E$10,$E$12,$D290,$E$6,BE$18,BE$17)</f>
        <v>-0.10200018999999999</v>
      </c>
      <c r="BF290" s="16">
        <f ca="1">_xll.DBRW($D$4,$E$7,$E$8,$E$9,$E$10,$E$12,$D290,$E$6,BF$18,BF$17)</f>
        <v>0</v>
      </c>
      <c r="BG290" s="26">
        <f ca="1">_xll.DBRW($D$4,$E$7,$E$8,$E$9,$E$10,$E$12,$D290,$E$6,BG$18,BG$17)</f>
        <v>0</v>
      </c>
      <c r="BH290" s="26">
        <f ca="1">_xll.DBRW($D$4,$E$7,$E$8,$E$9,$E$10,$E$12,$D290,$E$6,BH$18,BH$17)</f>
        <v>0</v>
      </c>
      <c r="BI290" s="26">
        <f ca="1">_xll.DBRW($D$4,$E$7,$E$8,$E$9,$E$10,$E$12,$D290,$E$6,BI$18,BI$17)</f>
        <v>0</v>
      </c>
      <c r="BJ290" s="26">
        <f ca="1">_xll.DBRW($D$4,$E$7,$E$8,$E$9,$E$10,$E$12,$D290,$E$6,BJ$18,BJ$17)</f>
        <v>0</v>
      </c>
      <c r="BK290" s="16">
        <f ca="1">_xll.DBRW($D$4,$E$7,$E$8,$E$9,$E$10,$E$12,$D290,$E$6,BK$18,BK$17)</f>
        <v>1.5207264700000016</v>
      </c>
      <c r="BL290" s="16">
        <f ca="1">_xll.DBRW($D$4,$E$7,$E$8,$E$9,$E$10,$E$12,$D290,$E$6,BL$18,BL$17)</f>
        <v>8.1594993200000001</v>
      </c>
      <c r="BM290" s="16">
        <f ca="1">_xll.DBRW($D$4,$E$7,$E$8,$E$9,$E$10,$E$12,$D290,$E$6,BM$18,BM$17)</f>
        <v>-3.9241796699999996</v>
      </c>
      <c r="BN290" s="16">
        <f ca="1">_xll.DBRW($D$4,$E$7,$E$8,$E$9,$E$10,$E$12,$D290,$E$6,BN$18,BN$17)</f>
        <v>0.48093388038912166</v>
      </c>
      <c r="BO290" s="16"/>
      <c r="BP290" s="16"/>
      <c r="BQ290" s="16"/>
      <c r="BR290" s="16"/>
      <c r="BS290" s="16">
        <f ca="1">_xll.DBRW($D$4,$E$7,$E$8,$E$9,$E$10,$E$12,$D290,$E$6,BS$18,BS$17)</f>
        <v>-1.1019808500000001</v>
      </c>
      <c r="BT290" s="16">
        <f ca="1">_xll.DBRW($D$4,$E$7,$E$8,$E$9,$E$10,$E$12,$D290,$E$6,BT$18,BT$17)</f>
        <v>0.13505495947513604</v>
      </c>
      <c r="BU290" s="16"/>
      <c r="BV290" s="16"/>
      <c r="BW290" s="16"/>
      <c r="BX290" s="16"/>
      <c r="BY290" s="16">
        <f ca="1">_xll.DBRW($D$4,$E$7,$E$8,$E$9,$E$10,$E$12,$D290,$E$6,BY$18,BY$17)</f>
        <v>0</v>
      </c>
      <c r="BZ290" s="16">
        <f ca="1">_xll.DBRW($D$4,$E$7,$E$8,$E$9,$E$10,$E$12,$D290,$E$6,BZ$18,BZ$17)</f>
        <v>0</v>
      </c>
      <c r="CA290" s="16"/>
      <c r="CB290" s="16"/>
      <c r="CC290" s="16"/>
      <c r="CD290" s="16"/>
      <c r="CE290" s="16">
        <f ca="1">_xll.DBRW($D$4,$E$7,$E$8,$E$9,$E$10,$E$12,$D290,$E$6,CE$18,CE$17)</f>
        <v>-6.5926299999999995E-3</v>
      </c>
      <c r="CF290" s="16">
        <f ca="1">_xll.DBRW($D$4,$E$7,$E$8,$E$9,$E$10,$E$12,$D290,$E$6,CF$18,CF$17)</f>
        <v>8.0796991842876941E-4</v>
      </c>
      <c r="CG290" s="16"/>
      <c r="CH290" s="16"/>
      <c r="CI290" s="16"/>
      <c r="CJ290" s="16"/>
      <c r="CK290" s="16">
        <f ca="1">_xll.DBRW($D$4,$E$7,$E$8,$E$9,$E$10,$E$12,$D290,$E$6,CK$18,CK$17)</f>
        <v>-1.6060196999999996</v>
      </c>
      <c r="CL290" s="16">
        <f ca="1">_xll.DBRW($D$4,$E$7,$E$8,$E$9,$E$10,$E$12,$D290,$E$6,CL$18,CL$17)</f>
        <v>0.19682821666072517</v>
      </c>
      <c r="CM290" s="16"/>
      <c r="CN290" s="16"/>
      <c r="CO290" s="16"/>
      <c r="CP290" s="16"/>
      <c r="CQ290" s="16">
        <f ca="1">_xll.DBRW($D$4,$E$7,$E$8,$E$9,$E$10,$E$12,$D290,$E$6,CQ$18,CQ$17)</f>
        <v>0.11247983</v>
      </c>
      <c r="CR290" s="16">
        <f ca="1">_xll.DBRW($D$4,$E$7,$E$8,$E$9,$E$10,$E$12,$D290,$E$6,CR$18,CR$17)</f>
        <v>0.10133319</v>
      </c>
      <c r="CS290" s="16">
        <f ca="1">_xll.DBRW($D$4,$E$7,$E$8,$E$9,$E$10,$E$12,$D290,$E$6,CS$18,CS$17)</f>
        <v>1.8284391800000002</v>
      </c>
      <c r="CT290" s="16">
        <f ca="1">_xll.DBRW($D$4,$E$7,$E$8,$E$9,$E$10,$E$12,$D290,$E$6,CT$18,CT$17)</f>
        <v>0.10133319</v>
      </c>
      <c r="CU290" s="16">
        <f ca="1">_xll.DBRW($D$4,$E$7,$E$8,$E$9,$E$10,$E$12,$D290,$E$6,CU$18,CU$17)</f>
        <v>0</v>
      </c>
      <c r="CV290" s="16">
        <f ca="1">_xll.DBRW($D$4,$E$7,$E$8,$E$9,$E$10,$E$12,$D290,$E$6,CV$18,CV$17)</f>
        <v>0</v>
      </c>
      <c r="CW290" s="16">
        <f ca="1">_xll.DBRW($D$4,$E$7,$E$8,$E$9,$E$10,$E$12,$D290,$E$6,CW$18,CW$17)</f>
        <v>0</v>
      </c>
      <c r="CX290" s="16">
        <f ca="1">_xll.DBRW($D$4,$E$7,$E$8,$E$9,$E$10,$E$12,$D290,$E$6,CX$18,CX$17)</f>
        <v>0</v>
      </c>
      <c r="CY290" s="16">
        <f ca="1">_xll.DBRW($D$4,$E$7,$E$8,$E$9,$E$10,$E$12,$D290,$E$6,CY$18,CY$17)</f>
        <v>0.10133319</v>
      </c>
      <c r="CZ290" s="16">
        <f ca="1">_xll.DBRW($D$4,$E$7,$E$8,$E$9,$E$10,$E$12,$D290,$E$6,CZ$18,CZ$17)</f>
        <v>0.10133319</v>
      </c>
      <c r="DA290" s="26">
        <f t="shared" ca="1" si="165"/>
        <v>0.23991895999999868</v>
      </c>
      <c r="DB290" s="26">
        <f t="shared" ca="1" si="166"/>
        <v>-5.7210110000000008E-2</v>
      </c>
      <c r="DC290" s="26">
        <f t="shared" ca="1" si="167"/>
        <v>0</v>
      </c>
      <c r="DD290" s="26">
        <f t="shared" ca="1" si="168"/>
        <v>0</v>
      </c>
      <c r="DE290" s="26">
        <f t="shared" ca="1" si="169"/>
        <v>0</v>
      </c>
      <c r="DF290" s="26">
        <f t="shared" ca="1" si="170"/>
        <v>0</v>
      </c>
      <c r="DG290" s="26">
        <f t="shared" ca="1" si="171"/>
        <v>0</v>
      </c>
      <c r="DH290" s="26">
        <f t="shared" ca="1" si="172"/>
        <v>0.29712906999999822</v>
      </c>
      <c r="DI290" s="26">
        <f t="shared" ca="1" si="173"/>
        <v>2.4033807500000002</v>
      </c>
      <c r="DJ290" s="26">
        <f t="shared" ca="1" si="174"/>
        <v>-1.1784401099999999</v>
      </c>
      <c r="DK290" s="26">
        <f t="shared" ca="1" si="175"/>
        <v>2.137000486646834E-3</v>
      </c>
      <c r="DL290" s="26"/>
      <c r="DM290" s="26"/>
      <c r="DN290" s="26"/>
      <c r="DO290" s="26"/>
      <c r="DP290" s="26">
        <f t="shared" ca="1" si="176"/>
        <v>-0.29773776000000018</v>
      </c>
      <c r="DQ290" s="26">
        <f t="shared" ca="1" si="177"/>
        <v>-2.5419894589953362E-3</v>
      </c>
      <c r="DR290" s="26"/>
      <c r="DS290" s="26"/>
      <c r="DT290" s="26"/>
      <c r="DU290" s="26"/>
      <c r="DV290" s="26">
        <f t="shared" ca="1" si="178"/>
        <v>0</v>
      </c>
      <c r="DW290" s="26">
        <f t="shared" ca="1" si="179"/>
        <v>0</v>
      </c>
      <c r="DX290" s="26"/>
      <c r="DY290" s="26"/>
      <c r="DZ290" s="26"/>
      <c r="EA290" s="26"/>
      <c r="EB290" s="26">
        <f t="shared" ca="1" si="180"/>
        <v>-2.4021000000000025E-4</v>
      </c>
      <c r="EC290" s="26">
        <f t="shared" ca="1" si="181"/>
        <v>-1.6109710015203978E-4</v>
      </c>
      <c r="ED290" s="26"/>
      <c r="EE290" s="26"/>
      <c r="EF290" s="26"/>
      <c r="EG290" s="26"/>
      <c r="EH290" s="26">
        <f t="shared" ca="1" si="182"/>
        <v>-0.62983360000000044</v>
      </c>
      <c r="EI290" s="29">
        <f t="shared" ca="1" si="183"/>
        <v>1.4842585732470992E-2</v>
      </c>
      <c r="EJ290" s="29"/>
      <c r="EK290" s="29"/>
      <c r="EL290" s="29"/>
      <c r="EM290" s="29"/>
      <c r="EN290" s="93"/>
      <c r="EO290" s="29"/>
      <c r="EP290" s="29"/>
      <c r="EQ290" s="29"/>
      <c r="ER290" s="29"/>
      <c r="ES290" s="29"/>
      <c r="ET290" s="29"/>
      <c r="EU290" s="93"/>
      <c r="EV290" s="29"/>
      <c r="EW290" s="29"/>
      <c r="EX290" s="29"/>
      <c r="EY290" s="29"/>
      <c r="EZ290" s="29"/>
      <c r="FA290" s="29"/>
      <c r="FB290" s="93"/>
      <c r="FC290" s="29"/>
      <c r="FD290" s="29"/>
      <c r="FE290" s="29"/>
      <c r="FF290" s="29"/>
      <c r="FG290" s="29"/>
      <c r="FH290" s="29"/>
      <c r="FI290" s="93"/>
      <c r="FJ290" s="29"/>
      <c r="FK290" s="29"/>
      <c r="FL290" s="29"/>
      <c r="FM290" s="29"/>
      <c r="FN290" s="29"/>
      <c r="FO290" s="29"/>
      <c r="FP290" s="93"/>
      <c r="FQ290" s="29"/>
      <c r="FR290" s="29"/>
      <c r="FS290" s="29"/>
      <c r="FT290" s="29"/>
      <c r="FU290" s="29"/>
      <c r="FV290" s="29"/>
    </row>
    <row r="291" spans="1:178" x14ac:dyDescent="0.25">
      <c r="A291" t="str">
        <f ca="1">IF(_xll.TM1RPTELISCONSOLIDATED($D$28,$D291),IF(_xll.TM1RPTELLEV($D$28,$D291)&lt;=3,_xll.TM1RPTELLEV($D$28,$D291),"D"),"N")</f>
        <v>N</v>
      </c>
      <c r="B291" t="str">
        <f ca="1">_xll.DBRA(Server&amp;"Management_organization",$D291,$B$27)</f>
        <v>L</v>
      </c>
      <c r="C291">
        <v>1</v>
      </c>
      <c r="D291" s="2" t="s">
        <v>370</v>
      </c>
      <c r="E291" s="26"/>
      <c r="F291" s="26"/>
      <c r="G291" s="16">
        <f ca="1">_xll.DBRW($D$4,$E$7,$E$8,$E$9,$E$10,$E$12,$D291,$E$6,G$18,G$17)</f>
        <v>0.96745694000000071</v>
      </c>
      <c r="H291" s="16">
        <f ca="1">_xll.DBRW($D$4,$E$7,$E$8,$E$9,$E$10,$E$12,$D291,$E$6,H$18,H$17)</f>
        <v>-0.21145813999999999</v>
      </c>
      <c r="I291" s="16">
        <f ca="1">_xll.DBRW($D$4,$E$7,$E$8,$E$9,$E$10,$E$12,$D291,$E$6,I$18,I$17)</f>
        <v>4.3368086899420177E-19</v>
      </c>
      <c r="J291" s="26">
        <f ca="1">_xll.DBRW($D$4,$E$7,$E$8,$E$9,$E$10,$E$12,$D291,$E$6,J$18,J$17)</f>
        <v>0</v>
      </c>
      <c r="K291" s="26">
        <f ca="1">_xll.DBRW($D$4,$E$7,$E$8,$E$9,$E$10,$E$12,$D291,$E$6,K$18,K$17)</f>
        <v>0</v>
      </c>
      <c r="L291" s="26">
        <f ca="1">_xll.DBRW($D$4,$E$7,$E$8,$E$9,$E$10,$E$12,$D291,$E$6,L$18,L$17)</f>
        <v>0</v>
      </c>
      <c r="M291" s="26">
        <f ca="1">_xll.DBRW($D$4,$E$7,$E$8,$E$9,$E$10,$E$12,$D291,$E$6,M$18,M$17)</f>
        <v>0</v>
      </c>
      <c r="N291" s="16">
        <f ca="1">_xll.DBRW($D$4,$E$7,$E$8,$E$9,$E$10,$E$12,$D291,$E$6,N$18,N$17)</f>
        <v>1.178915080000001</v>
      </c>
      <c r="O291" s="16">
        <f ca="1">_xll.DBRW($D$4,$E$7,$E$8,$E$9,$E$10,$E$12,$D291,$E$6,O$18,O$17)</f>
        <v>10.467266089999999</v>
      </c>
      <c r="P291" s="74">
        <f ca="1">_xll.DBRW($D$4,$E$7,$E$8,$E$9,$E$10,$E$12,$D291,$E$6,P$18,P$17)</f>
        <v>-4.9030508499999996</v>
      </c>
      <c r="Q291" s="16">
        <f ca="1">_xll.DBRW($D$4,$E$7,$E$8,$E$9,$E$10,$E$12,$D291,$E$6,Q$18,Q$17)</f>
        <v>0.46841752257393887</v>
      </c>
      <c r="R291" s="16"/>
      <c r="S291" s="16"/>
      <c r="T291" s="16"/>
      <c r="U291" s="16"/>
      <c r="V291" s="16">
        <f ca="1">_xll.DBRW($D$4,$E$7,$E$8,$E$9,$E$10,$E$12,$D291,$E$6,V$18,V$17)</f>
        <v>-1.30310931</v>
      </c>
      <c r="W291" s="16">
        <f ca="1">_xll.DBRW($D$4,$E$7,$E$8,$E$9,$E$10,$E$12,$D291,$E$6,W$18,W$17)</f>
        <v>0.12449375976454231</v>
      </c>
      <c r="X291" s="16"/>
      <c r="Y291" s="16"/>
      <c r="Z291" s="16"/>
      <c r="AA291" s="16"/>
      <c r="AB291" s="16">
        <f ca="1">_xll.DBRW($D$4,$E$7,$E$8,$E$9,$E$10,$E$12,$D291,$E$6,AB$18,AB$17)</f>
        <v>-2.9999999999999997E-5</v>
      </c>
      <c r="AC291" s="16">
        <f ca="1">_xll.DBRW($D$4,$E$7,$E$8,$E$9,$E$10,$E$12,$D291,$E$6,AC$18,AC$17)</f>
        <v>2.8660778986655151E-6</v>
      </c>
      <c r="AD291" s="16"/>
      <c r="AE291" s="16"/>
      <c r="AF291" s="16"/>
      <c r="AG291" s="16"/>
      <c r="AH291" s="16">
        <f ca="1">_xll.DBRW($D$4,$E$7,$E$8,$E$9,$E$10,$E$12,$D291,$E$6,AH$18,AH$17)</f>
        <v>-2.3307849999999998E-2</v>
      </c>
      <c r="AI291" s="16">
        <f ca="1">_xll.DBRW($D$4,$E$7,$E$8,$E$9,$E$10,$E$12,$D291,$E$6,AI$18,AI$17)</f>
        <v>2.2267371250137007E-3</v>
      </c>
      <c r="AJ291" s="16"/>
      <c r="AK291" s="16"/>
      <c r="AL291" s="16"/>
      <c r="AM291" s="16"/>
      <c r="AN291" s="16">
        <f ca="1">_xll.DBRW($D$4,$E$7,$E$8,$E$9,$E$10,$E$12,$D291,$E$6,AN$18,AN$17)</f>
        <v>-3.0588529999999996</v>
      </c>
      <c r="AO291" s="16">
        <f ca="1">_xll.DBRW($D$4,$E$7,$E$8,$E$9,$E$10,$E$12,$D291,$E$6,AO$18,AO$17)</f>
        <v>0.29223036595222351</v>
      </c>
      <c r="AP291" s="16"/>
      <c r="AQ291" s="16"/>
      <c r="AR291" s="16"/>
      <c r="AS291" s="16"/>
      <c r="AT291" s="16">
        <f ca="1">_xll.DBRW($D$4,$E$7,$E$8,$E$9,$E$10,$E$12,$D291,$E$6,AT$18,AT$17)</f>
        <v>0.17561348000000002</v>
      </c>
      <c r="AU291" s="16">
        <f ca="1">_xll.DBRW($D$4,$E$7,$E$8,$E$9,$E$10,$E$12,$D291,$E$6,AU$18,AU$17)</f>
        <v>0.15917851999999999</v>
      </c>
      <c r="AV291" s="16">
        <f ca="1">_xll.DBRW($D$4,$E$7,$E$8,$E$9,$E$10,$E$12,$D291,$E$6,AV$18,AV$17)</f>
        <v>2.1796419999999999</v>
      </c>
      <c r="AW291" s="16">
        <f ca="1">_xll.DBRW($D$4,$E$7,$E$8,$E$9,$E$10,$E$12,$D291,$E$6,AW$18,AW$17)</f>
        <v>0.15917851999999999</v>
      </c>
      <c r="AX291" s="16">
        <f ca="1">_xll.DBRW($D$4,$E$7,$E$8,$E$9,$E$10,$E$12,$D291,$E$6,AX$18,AX$17)</f>
        <v>0</v>
      </c>
      <c r="AY291" s="16">
        <f ca="1">_xll.DBRW($D$4,$E$7,$E$8,$E$9,$E$10,$E$12,$D291,$E$6,AY$18,AY$17)</f>
        <v>0</v>
      </c>
      <c r="AZ291" s="16">
        <f ca="1">_xll.DBRW($D$4,$E$7,$E$8,$E$9,$E$10,$E$12,$D291,$E$6,AZ$18,AZ$17)</f>
        <v>0</v>
      </c>
      <c r="BA291" s="16">
        <f ca="1">_xll.DBRW($D$4,$E$7,$E$8,$E$9,$E$10,$E$12,$D291,$E$6,BA$18,BA$17)</f>
        <v>0</v>
      </c>
      <c r="BB291" s="16">
        <f ca="1">_xll.DBRW($D$4,$E$7,$E$8,$E$9,$E$10,$E$12,$D291,$E$6,BB$18,BB$17)</f>
        <v>0.15917851999999999</v>
      </c>
      <c r="BC291" s="16">
        <f ca="1">_xll.DBRW($D$4,$E$7,$E$8,$E$9,$E$10,$E$12,$D291,$E$6,BC$18,BC$17)</f>
        <v>0.15917851999999999</v>
      </c>
      <c r="BD291" s="16">
        <f ca="1">_xll.DBRW($D$4,$E$7,$E$8,$E$9,$E$10,$E$12,$D291,$E$6,BD$18,BD$17)</f>
        <v>0.90457594999999957</v>
      </c>
      <c r="BE291" s="16">
        <f ca="1">_xll.DBRW($D$4,$E$7,$E$8,$E$9,$E$10,$E$12,$D291,$E$6,BE$18,BE$17)</f>
        <v>-0.17526090999999999</v>
      </c>
      <c r="BF291" s="16">
        <f ca="1">_xll.DBRW($D$4,$E$7,$E$8,$E$9,$E$10,$E$12,$D291,$E$6,BF$18,BF$17)</f>
        <v>-1.3750000000000004E-3</v>
      </c>
      <c r="BG291" s="26">
        <f ca="1">_xll.DBRW($D$4,$E$7,$E$8,$E$9,$E$10,$E$12,$D291,$E$6,BG$18,BG$17)</f>
        <v>0</v>
      </c>
      <c r="BH291" s="26">
        <f ca="1">_xll.DBRW($D$4,$E$7,$E$8,$E$9,$E$10,$E$12,$D291,$E$6,BH$18,BH$17)</f>
        <v>0</v>
      </c>
      <c r="BI291" s="26">
        <f ca="1">_xll.DBRW($D$4,$E$7,$E$8,$E$9,$E$10,$E$12,$D291,$E$6,BI$18,BI$17)</f>
        <v>0</v>
      </c>
      <c r="BJ291" s="26">
        <f ca="1">_xll.DBRW($D$4,$E$7,$E$8,$E$9,$E$10,$E$12,$D291,$E$6,BJ$18,BJ$17)</f>
        <v>0</v>
      </c>
      <c r="BK291" s="16">
        <f ca="1">_xll.DBRW($D$4,$E$7,$E$8,$E$9,$E$10,$E$12,$D291,$E$6,BK$18,BK$17)</f>
        <v>1.0798368599999997</v>
      </c>
      <c r="BL291" s="16">
        <f ca="1">_xll.DBRW($D$4,$E$7,$E$8,$E$9,$E$10,$E$12,$D291,$E$6,BL$18,BL$17)</f>
        <v>8.2739766100000001</v>
      </c>
      <c r="BM291" s="16">
        <f ca="1">_xll.DBRW($D$4,$E$7,$E$8,$E$9,$E$10,$E$12,$D291,$E$6,BM$18,BM$17)</f>
        <v>-3.8479422199999997</v>
      </c>
      <c r="BN291" s="16">
        <f ca="1">_xll.DBRW($D$4,$E$7,$E$8,$E$9,$E$10,$E$12,$D291,$E$6,BN$18,BN$17)</f>
        <v>0.46506563909660359</v>
      </c>
      <c r="BO291" s="16"/>
      <c r="BP291" s="16"/>
      <c r="BQ291" s="16"/>
      <c r="BR291" s="16"/>
      <c r="BS291" s="16">
        <f ca="1">_xll.DBRW($D$4,$E$7,$E$8,$E$9,$E$10,$E$12,$D291,$E$6,BS$18,BS$17)</f>
        <v>-0.98874890999999998</v>
      </c>
      <c r="BT291" s="16">
        <f ca="1">_xll.DBRW($D$4,$E$7,$E$8,$E$9,$E$10,$E$12,$D291,$E$6,BT$18,BT$17)</f>
        <v>0.11950105210655169</v>
      </c>
      <c r="BU291" s="16"/>
      <c r="BV291" s="16"/>
      <c r="BW291" s="16"/>
      <c r="BX291" s="16"/>
      <c r="BY291" s="16">
        <f ca="1">_xll.DBRW($D$4,$E$7,$E$8,$E$9,$E$10,$E$12,$D291,$E$6,BY$18,BY$17)</f>
        <v>0</v>
      </c>
      <c r="BZ291" s="16">
        <f ca="1">_xll.DBRW($D$4,$E$7,$E$8,$E$9,$E$10,$E$12,$D291,$E$6,BZ$18,BZ$17)</f>
        <v>0</v>
      </c>
      <c r="CA291" s="16"/>
      <c r="CB291" s="16"/>
      <c r="CC291" s="16"/>
      <c r="CD291" s="16"/>
      <c r="CE291" s="16">
        <f ca="1">_xll.DBRW($D$4,$E$7,$E$8,$E$9,$E$10,$E$12,$D291,$E$6,CE$18,CE$17)</f>
        <v>-1.8147219999999999E-2</v>
      </c>
      <c r="CF291" s="16">
        <f ca="1">_xll.DBRW($D$4,$E$7,$E$8,$E$9,$E$10,$E$12,$D291,$E$6,CF$18,CF$17)</f>
        <v>2.1932887721808534E-3</v>
      </c>
      <c r="CG291" s="16"/>
      <c r="CH291" s="16"/>
      <c r="CI291" s="16"/>
      <c r="CJ291" s="16"/>
      <c r="CK291" s="16">
        <f ca="1">_xll.DBRW($D$4,$E$7,$E$8,$E$9,$E$10,$E$12,$D291,$E$6,CK$18,CK$17)</f>
        <v>-2.3393013999999996</v>
      </c>
      <c r="CL291" s="16">
        <f ca="1">_xll.DBRW($D$4,$E$7,$E$8,$E$9,$E$10,$E$12,$D291,$E$6,CL$18,CL$17)</f>
        <v>0.28272999916058494</v>
      </c>
      <c r="CM291" s="16"/>
      <c r="CN291" s="16"/>
      <c r="CO291" s="16"/>
      <c r="CP291" s="16"/>
      <c r="CQ291" s="16">
        <f ca="1">_xll.DBRW($D$4,$E$7,$E$8,$E$9,$E$10,$E$12,$D291,$E$6,CQ$18,CQ$17)</f>
        <v>0.14100720999999999</v>
      </c>
      <c r="CR291" s="16">
        <f ca="1">_xll.DBRW($D$4,$E$7,$E$8,$E$9,$E$10,$E$12,$D291,$E$6,CR$18,CR$17)</f>
        <v>0.12523119999999999</v>
      </c>
      <c r="CS291" s="16">
        <f ca="1">_xll.DBRW($D$4,$E$7,$E$8,$E$9,$E$10,$E$12,$D291,$E$6,CS$18,CS$17)</f>
        <v>1.7344521100000001</v>
      </c>
      <c r="CT291" s="16">
        <f ca="1">_xll.DBRW($D$4,$E$7,$E$8,$E$9,$E$10,$E$12,$D291,$E$6,CT$18,CT$17)</f>
        <v>0.12523119999999999</v>
      </c>
      <c r="CU291" s="16">
        <f ca="1">_xll.DBRW($D$4,$E$7,$E$8,$E$9,$E$10,$E$12,$D291,$E$6,CU$18,CU$17)</f>
        <v>0</v>
      </c>
      <c r="CV291" s="16">
        <f ca="1">_xll.DBRW($D$4,$E$7,$E$8,$E$9,$E$10,$E$12,$D291,$E$6,CV$18,CV$17)</f>
        <v>0</v>
      </c>
      <c r="CW291" s="16">
        <f ca="1">_xll.DBRW($D$4,$E$7,$E$8,$E$9,$E$10,$E$12,$D291,$E$6,CW$18,CW$17)</f>
        <v>0</v>
      </c>
      <c r="CX291" s="16">
        <f ca="1">_xll.DBRW($D$4,$E$7,$E$8,$E$9,$E$10,$E$12,$D291,$E$6,CX$18,CX$17)</f>
        <v>0</v>
      </c>
      <c r="CY291" s="16">
        <f ca="1">_xll.DBRW($D$4,$E$7,$E$8,$E$9,$E$10,$E$12,$D291,$E$6,CY$18,CY$17)</f>
        <v>0.12523119999999999</v>
      </c>
      <c r="CZ291" s="16">
        <f ca="1">_xll.DBRW($D$4,$E$7,$E$8,$E$9,$E$10,$E$12,$D291,$E$6,CZ$18,CZ$17)</f>
        <v>0.12523119999999999</v>
      </c>
      <c r="DA291" s="26">
        <f t="shared" ca="1" si="165"/>
        <v>6.2880990000001136E-2</v>
      </c>
      <c r="DB291" s="26">
        <f t="shared" ca="1" si="166"/>
        <v>-3.6197229999999997E-2</v>
      </c>
      <c r="DC291" s="26">
        <f t="shared" ca="1" si="167"/>
        <v>1.3750000000000008E-3</v>
      </c>
      <c r="DD291" s="26">
        <f t="shared" ca="1" si="168"/>
        <v>0</v>
      </c>
      <c r="DE291" s="26">
        <f t="shared" ca="1" si="169"/>
        <v>0</v>
      </c>
      <c r="DF291" s="26">
        <f t="shared" ca="1" si="170"/>
        <v>0</v>
      </c>
      <c r="DG291" s="26">
        <f t="shared" ca="1" si="171"/>
        <v>0</v>
      </c>
      <c r="DH291" s="26">
        <f t="shared" ca="1" si="172"/>
        <v>9.9078220000001327E-2</v>
      </c>
      <c r="DI291" s="26">
        <f t="shared" ca="1" si="173"/>
        <v>2.1932894799999989</v>
      </c>
      <c r="DJ291" s="26">
        <f t="shared" ca="1" si="174"/>
        <v>-1.0551086299999999</v>
      </c>
      <c r="DK291" s="26">
        <f t="shared" ca="1" si="175"/>
        <v>3.3518834773352824E-3</v>
      </c>
      <c r="DL291" s="26"/>
      <c r="DM291" s="26"/>
      <c r="DN291" s="26"/>
      <c r="DO291" s="26"/>
      <c r="DP291" s="26">
        <f t="shared" ca="1" si="176"/>
        <v>-0.31436039999999998</v>
      </c>
      <c r="DQ291" s="26">
        <f t="shared" ca="1" si="177"/>
        <v>4.9927076579906193E-3</v>
      </c>
      <c r="DR291" s="26"/>
      <c r="DS291" s="26"/>
      <c r="DT291" s="26"/>
      <c r="DU291" s="26"/>
      <c r="DV291" s="26">
        <f t="shared" ca="1" si="178"/>
        <v>-2.9999999999999997E-5</v>
      </c>
      <c r="DW291" s="26">
        <f t="shared" ca="1" si="179"/>
        <v>2.8660778986655151E-6</v>
      </c>
      <c r="DX291" s="26"/>
      <c r="DY291" s="26"/>
      <c r="DZ291" s="26"/>
      <c r="EA291" s="26"/>
      <c r="EB291" s="26">
        <f t="shared" ca="1" si="180"/>
        <v>-5.1606299999999994E-3</v>
      </c>
      <c r="EC291" s="26">
        <f t="shared" ca="1" si="181"/>
        <v>3.3448352832847299E-5</v>
      </c>
      <c r="ED291" s="26"/>
      <c r="EE291" s="26"/>
      <c r="EF291" s="26"/>
      <c r="EG291" s="26"/>
      <c r="EH291" s="26">
        <f t="shared" ca="1" si="182"/>
        <v>-0.71955159999999996</v>
      </c>
      <c r="EI291" s="29">
        <f t="shared" ca="1" si="183"/>
        <v>9.5003667916385703E-3</v>
      </c>
      <c r="EJ291" s="29"/>
      <c r="EK291" s="29"/>
      <c r="EL291" s="29"/>
      <c r="EM291" s="29"/>
      <c r="EN291" s="93"/>
      <c r="EO291" s="29"/>
      <c r="EP291" s="29"/>
      <c r="EQ291" s="29"/>
      <c r="ER291" s="29"/>
      <c r="ES291" s="29"/>
      <c r="ET291" s="29"/>
      <c r="EU291" s="93"/>
      <c r="EV291" s="29"/>
      <c r="EW291" s="29"/>
      <c r="EX291" s="29"/>
      <c r="EY291" s="29"/>
      <c r="EZ291" s="29"/>
      <c r="FA291" s="29"/>
      <c r="FB291" s="93"/>
      <c r="FC291" s="29"/>
      <c r="FD291" s="29"/>
      <c r="FE291" s="29"/>
      <c r="FF291" s="29"/>
      <c r="FG291" s="29"/>
      <c r="FH291" s="29"/>
      <c r="FI291" s="93"/>
      <c r="FJ291" s="29"/>
      <c r="FK291" s="29"/>
      <c r="FL291" s="29"/>
      <c r="FM291" s="29"/>
      <c r="FN291" s="29"/>
      <c r="FO291" s="29"/>
      <c r="FP291" s="93"/>
      <c r="FQ291" s="29"/>
      <c r="FR291" s="29"/>
      <c r="FS291" s="29"/>
      <c r="FT291" s="29"/>
      <c r="FU291" s="29"/>
      <c r="FV291" s="29"/>
    </row>
    <row r="292" spans="1:178" x14ac:dyDescent="0.25">
      <c r="A292" t="str">
        <f ca="1">IF(_xll.TM1RPTELISCONSOLIDATED($D$28,$D292),IF(_xll.TM1RPTELLEV($D$28,$D292)&lt;=3,_xll.TM1RPTELLEV($D$28,$D292),"D"),"N")</f>
        <v>N</v>
      </c>
      <c r="B292" t="str">
        <f ca="1">_xll.DBRA(Server&amp;"Management_organization",$D292,$B$27)</f>
        <v>L</v>
      </c>
      <c r="C292">
        <v>1</v>
      </c>
      <c r="D292" s="2" t="s">
        <v>250</v>
      </c>
      <c r="E292" s="26"/>
      <c r="F292" s="26"/>
      <c r="G292" s="16">
        <f ca="1">_xll.DBRW($D$4,$E$7,$E$8,$E$9,$E$10,$E$12,$D292,$E$6,G$18,G$17)</f>
        <v>0.40988908000000013</v>
      </c>
      <c r="H292" s="16">
        <f ca="1">_xll.DBRW($D$4,$E$7,$E$8,$E$9,$E$10,$E$12,$D292,$E$6,H$18,H$17)</f>
        <v>-0.12572676999999999</v>
      </c>
      <c r="I292" s="16">
        <f ca="1">_xll.DBRW($D$4,$E$7,$E$8,$E$9,$E$10,$E$12,$D292,$E$6,I$18,I$17)</f>
        <v>0</v>
      </c>
      <c r="J292" s="26">
        <f ca="1">_xll.DBRW($D$4,$E$7,$E$8,$E$9,$E$10,$E$12,$D292,$E$6,J$18,J$17)</f>
        <v>0</v>
      </c>
      <c r="K292" s="26">
        <f ca="1">_xll.DBRW($D$4,$E$7,$E$8,$E$9,$E$10,$E$12,$D292,$E$6,K$18,K$17)</f>
        <v>0</v>
      </c>
      <c r="L292" s="26">
        <f ca="1">_xll.DBRW($D$4,$E$7,$E$8,$E$9,$E$10,$E$12,$D292,$E$6,L$18,L$17)</f>
        <v>0</v>
      </c>
      <c r="M292" s="26">
        <f ca="1">_xll.DBRW($D$4,$E$7,$E$8,$E$9,$E$10,$E$12,$D292,$E$6,M$18,M$17)</f>
        <v>0</v>
      </c>
      <c r="N292" s="16">
        <f ca="1">_xll.DBRW($D$4,$E$7,$E$8,$E$9,$E$10,$E$12,$D292,$E$6,N$18,N$17)</f>
        <v>0.53561585000000023</v>
      </c>
      <c r="O292" s="16">
        <f ca="1">_xll.DBRW($D$4,$E$7,$E$8,$E$9,$E$10,$E$12,$D292,$E$6,O$18,O$17)</f>
        <v>5.9217224699999997</v>
      </c>
      <c r="P292" s="74">
        <f ca="1">_xll.DBRW($D$4,$E$7,$E$8,$E$9,$E$10,$E$12,$D292,$E$6,P$18,P$17)</f>
        <v>-2.9849417899999993</v>
      </c>
      <c r="Q292" s="16">
        <f ca="1">_xll.DBRW($D$4,$E$7,$E$8,$E$9,$E$10,$E$12,$D292,$E$6,Q$18,Q$17)</f>
        <v>0.50406647814415384</v>
      </c>
      <c r="R292" s="16"/>
      <c r="S292" s="16"/>
      <c r="T292" s="16"/>
      <c r="U292" s="16"/>
      <c r="V292" s="16">
        <f ca="1">_xll.DBRW($D$4,$E$7,$E$8,$E$9,$E$10,$E$12,$D292,$E$6,V$18,V$17)</f>
        <v>-1.23824169</v>
      </c>
      <c r="W292" s="16">
        <f ca="1">_xll.DBRW($D$4,$E$7,$E$8,$E$9,$E$10,$E$12,$D292,$E$6,W$18,W$17)</f>
        <v>0.20910160789754134</v>
      </c>
      <c r="X292" s="16"/>
      <c r="Y292" s="16"/>
      <c r="Z292" s="16"/>
      <c r="AA292" s="16"/>
      <c r="AB292" s="16">
        <f ca="1">_xll.DBRW($D$4,$E$7,$E$8,$E$9,$E$10,$E$12,$D292,$E$6,AB$18,AB$17)</f>
        <v>0</v>
      </c>
      <c r="AC292" s="16">
        <f ca="1">_xll.DBRW($D$4,$E$7,$E$8,$E$9,$E$10,$E$12,$D292,$E$6,AC$18,AC$17)</f>
        <v>0</v>
      </c>
      <c r="AD292" s="16"/>
      <c r="AE292" s="16"/>
      <c r="AF292" s="16"/>
      <c r="AG292" s="16"/>
      <c r="AH292" s="16">
        <f ca="1">_xll.DBRW($D$4,$E$7,$E$8,$E$9,$E$10,$E$12,$D292,$E$6,AH$18,AH$17)</f>
        <v>-4.2672199999999995E-3</v>
      </c>
      <c r="AI292" s="16">
        <f ca="1">_xll.DBRW($D$4,$E$7,$E$8,$E$9,$E$10,$E$12,$D292,$E$6,AI$18,AI$17)</f>
        <v>7.2060452370372558E-4</v>
      </c>
      <c r="AJ292" s="16"/>
      <c r="AK292" s="16"/>
      <c r="AL292" s="16"/>
      <c r="AM292" s="16"/>
      <c r="AN292" s="16">
        <f ca="1">_xll.DBRW($D$4,$E$7,$E$8,$E$9,$E$10,$E$12,$D292,$E$6,AN$18,AN$17)</f>
        <v>-1.1586559200000006</v>
      </c>
      <c r="AO292" s="16">
        <f ca="1">_xll.DBRW($D$4,$E$7,$E$8,$E$9,$E$10,$E$12,$D292,$E$6,AO$18,AO$17)</f>
        <v>0.19566197603313223</v>
      </c>
      <c r="AP292" s="16"/>
      <c r="AQ292" s="16"/>
      <c r="AR292" s="16"/>
      <c r="AS292" s="16"/>
      <c r="AT292" s="16">
        <f ca="1">_xll.DBRW($D$4,$E$7,$E$8,$E$9,$E$10,$E$12,$D292,$E$6,AT$18,AT$17)</f>
        <v>0.12633132</v>
      </c>
      <c r="AU292" s="16">
        <f ca="1">_xll.DBRW($D$4,$E$7,$E$8,$E$9,$E$10,$E$12,$D292,$E$6,AU$18,AU$17)</f>
        <v>0.10935511000000001</v>
      </c>
      <c r="AV292" s="16">
        <f ca="1">_xll.DBRW($D$4,$E$7,$E$8,$E$9,$E$10,$E$12,$D292,$E$6,AV$18,AV$17)</f>
        <v>1.7659079999999998</v>
      </c>
      <c r="AW292" s="16">
        <f ca="1">_xll.DBRW($D$4,$E$7,$E$8,$E$9,$E$10,$E$12,$D292,$E$6,AW$18,AW$17)</f>
        <v>0.10935511000000001</v>
      </c>
      <c r="AX292" s="16">
        <f ca="1">_xll.DBRW($D$4,$E$7,$E$8,$E$9,$E$10,$E$12,$D292,$E$6,AX$18,AX$17)</f>
        <v>0</v>
      </c>
      <c r="AY292" s="16">
        <f ca="1">_xll.DBRW($D$4,$E$7,$E$8,$E$9,$E$10,$E$12,$D292,$E$6,AY$18,AY$17)</f>
        <v>0</v>
      </c>
      <c r="AZ292" s="16">
        <f ca="1">_xll.DBRW($D$4,$E$7,$E$8,$E$9,$E$10,$E$12,$D292,$E$6,AZ$18,AZ$17)</f>
        <v>0</v>
      </c>
      <c r="BA292" s="16">
        <f ca="1">_xll.DBRW($D$4,$E$7,$E$8,$E$9,$E$10,$E$12,$D292,$E$6,BA$18,BA$17)</f>
        <v>0</v>
      </c>
      <c r="BB292" s="16">
        <f ca="1">_xll.DBRW($D$4,$E$7,$E$8,$E$9,$E$10,$E$12,$D292,$E$6,BB$18,BB$17)</f>
        <v>0.10935511000000001</v>
      </c>
      <c r="BC292" s="16">
        <f ca="1">_xll.DBRW($D$4,$E$7,$E$8,$E$9,$E$10,$E$12,$D292,$E$6,BC$18,BC$17)</f>
        <v>0.10935511000000001</v>
      </c>
      <c r="BD292" s="16">
        <f ca="1">_xll.DBRW($D$4,$E$7,$E$8,$E$9,$E$10,$E$12,$D292,$E$6,BD$18,BD$17)</f>
        <v>0.38642290000000074</v>
      </c>
      <c r="BE292" s="16">
        <f ca="1">_xll.DBRW($D$4,$E$7,$E$8,$E$9,$E$10,$E$12,$D292,$E$6,BE$18,BE$17)</f>
        <v>-8.4179309999999993E-2</v>
      </c>
      <c r="BF292" s="16">
        <f ca="1">_xll.DBRW($D$4,$E$7,$E$8,$E$9,$E$10,$E$12,$D292,$E$6,BF$18,BF$17)</f>
        <v>-8.2451699999999996E-3</v>
      </c>
      <c r="BG292" s="26">
        <f ca="1">_xll.DBRW($D$4,$E$7,$E$8,$E$9,$E$10,$E$12,$D292,$E$6,BG$18,BG$17)</f>
        <v>0</v>
      </c>
      <c r="BH292" s="26">
        <f ca="1">_xll.DBRW($D$4,$E$7,$E$8,$E$9,$E$10,$E$12,$D292,$E$6,BH$18,BH$17)</f>
        <v>0</v>
      </c>
      <c r="BI292" s="26">
        <f ca="1">_xll.DBRW($D$4,$E$7,$E$8,$E$9,$E$10,$E$12,$D292,$E$6,BI$18,BI$17)</f>
        <v>0</v>
      </c>
      <c r="BJ292" s="26">
        <f ca="1">_xll.DBRW($D$4,$E$7,$E$8,$E$9,$E$10,$E$12,$D292,$E$6,BJ$18,BJ$17)</f>
        <v>0</v>
      </c>
      <c r="BK292" s="16">
        <f ca="1">_xll.DBRW($D$4,$E$7,$E$8,$E$9,$E$10,$E$12,$D292,$E$6,BK$18,BK$17)</f>
        <v>0.47060221000000069</v>
      </c>
      <c r="BL292" s="16">
        <f ca="1">_xll.DBRW($D$4,$E$7,$E$8,$E$9,$E$10,$E$12,$D292,$E$6,BL$18,BL$17)</f>
        <v>4.586658550000001</v>
      </c>
      <c r="BM292" s="16">
        <f ca="1">_xll.DBRW($D$4,$E$7,$E$8,$E$9,$E$10,$E$12,$D292,$E$6,BM$18,BM$17)</f>
        <v>-2.2927658500000003</v>
      </c>
      <c r="BN292" s="16">
        <f ca="1">_xll.DBRW($D$4,$E$7,$E$8,$E$9,$E$10,$E$12,$D292,$E$6,BN$18,BN$17)</f>
        <v>0.49987716002971266</v>
      </c>
      <c r="BO292" s="16"/>
      <c r="BP292" s="16"/>
      <c r="BQ292" s="16"/>
      <c r="BR292" s="16"/>
      <c r="BS292" s="16">
        <f ca="1">_xll.DBRW($D$4,$E$7,$E$8,$E$9,$E$10,$E$12,$D292,$E$6,BS$18,BS$17)</f>
        <v>-0.93029636000000016</v>
      </c>
      <c r="BT292" s="16">
        <f ca="1">_xll.DBRW($D$4,$E$7,$E$8,$E$9,$E$10,$E$12,$D292,$E$6,BT$18,BT$17)</f>
        <v>0.20282660020550253</v>
      </c>
      <c r="BU292" s="16"/>
      <c r="BV292" s="16"/>
      <c r="BW292" s="16"/>
      <c r="BX292" s="16"/>
      <c r="BY292" s="16">
        <f ca="1">_xll.DBRW($D$4,$E$7,$E$8,$E$9,$E$10,$E$12,$D292,$E$6,BY$18,BY$17)</f>
        <v>0</v>
      </c>
      <c r="BZ292" s="16">
        <f ca="1">_xll.DBRW($D$4,$E$7,$E$8,$E$9,$E$10,$E$12,$D292,$E$6,BZ$18,BZ$17)</f>
        <v>0</v>
      </c>
      <c r="CA292" s="16"/>
      <c r="CB292" s="16"/>
      <c r="CC292" s="16"/>
      <c r="CD292" s="16"/>
      <c r="CE292" s="16">
        <f ca="1">_xll.DBRW($D$4,$E$7,$E$8,$E$9,$E$10,$E$12,$D292,$E$6,CE$18,CE$17)</f>
        <v>-5.7058200000000003E-3</v>
      </c>
      <c r="CF292" s="16">
        <f ca="1">_xll.DBRW($D$4,$E$7,$E$8,$E$9,$E$10,$E$12,$D292,$E$6,CF$18,CF$17)</f>
        <v>1.2440036549047234E-3</v>
      </c>
      <c r="CG292" s="16"/>
      <c r="CH292" s="16"/>
      <c r="CI292" s="16"/>
      <c r="CJ292" s="16"/>
      <c r="CK292" s="16">
        <f ca="1">_xll.DBRW($D$4,$E$7,$E$8,$E$9,$E$10,$E$12,$D292,$E$6,CK$18,CK$17)</f>
        <v>-0.88728830999999997</v>
      </c>
      <c r="CL292" s="16">
        <f ca="1">_xll.DBRW($D$4,$E$7,$E$8,$E$9,$E$10,$E$12,$D292,$E$6,CL$18,CL$17)</f>
        <v>0.19344982852495088</v>
      </c>
      <c r="CM292" s="16"/>
      <c r="CN292" s="16"/>
      <c r="CO292" s="16"/>
      <c r="CP292" s="16"/>
      <c r="CQ292" s="16">
        <f ca="1">_xll.DBRW($D$4,$E$7,$E$8,$E$9,$E$10,$E$12,$D292,$E$6,CQ$18,CQ$17)</f>
        <v>9.6546799999999988E-2</v>
      </c>
      <c r="CR292" s="16">
        <f ca="1">_xll.DBRW($D$4,$E$7,$E$8,$E$9,$E$10,$E$12,$D292,$E$6,CR$18,CR$17)</f>
        <v>8.4099999999999994E-2</v>
      </c>
      <c r="CS292" s="16">
        <f ca="1">_xll.DBRW($D$4,$E$7,$E$8,$E$9,$E$10,$E$12,$D292,$E$6,CS$18,CS$17)</f>
        <v>1.3741940000000001</v>
      </c>
      <c r="CT292" s="16">
        <f ca="1">_xll.DBRW($D$4,$E$7,$E$8,$E$9,$E$10,$E$12,$D292,$E$6,CT$18,CT$17)</f>
        <v>8.4099999999999994E-2</v>
      </c>
      <c r="CU292" s="16">
        <f ca="1">_xll.DBRW($D$4,$E$7,$E$8,$E$9,$E$10,$E$12,$D292,$E$6,CU$18,CU$17)</f>
        <v>0</v>
      </c>
      <c r="CV292" s="16">
        <f ca="1">_xll.DBRW($D$4,$E$7,$E$8,$E$9,$E$10,$E$12,$D292,$E$6,CV$18,CV$17)</f>
        <v>0</v>
      </c>
      <c r="CW292" s="16">
        <f ca="1">_xll.DBRW($D$4,$E$7,$E$8,$E$9,$E$10,$E$12,$D292,$E$6,CW$18,CW$17)</f>
        <v>0</v>
      </c>
      <c r="CX292" s="16">
        <f ca="1">_xll.DBRW($D$4,$E$7,$E$8,$E$9,$E$10,$E$12,$D292,$E$6,CX$18,CX$17)</f>
        <v>0</v>
      </c>
      <c r="CY292" s="16">
        <f ca="1">_xll.DBRW($D$4,$E$7,$E$8,$E$9,$E$10,$E$12,$D292,$E$6,CY$18,CY$17)</f>
        <v>8.4099999999999994E-2</v>
      </c>
      <c r="CZ292" s="16">
        <f ca="1">_xll.DBRW($D$4,$E$7,$E$8,$E$9,$E$10,$E$12,$D292,$E$6,CZ$18,CZ$17)</f>
        <v>8.4099999999999994E-2</v>
      </c>
      <c r="DA292" s="26">
        <f t="shared" ca="1" si="165"/>
        <v>2.3466179999999393E-2</v>
      </c>
      <c r="DB292" s="26">
        <f t="shared" ca="1" si="166"/>
        <v>-4.1547459999999994E-2</v>
      </c>
      <c r="DC292" s="26">
        <f t="shared" ca="1" si="167"/>
        <v>8.2451699999999996E-3</v>
      </c>
      <c r="DD292" s="26">
        <f t="shared" ca="1" si="168"/>
        <v>0</v>
      </c>
      <c r="DE292" s="26">
        <f t="shared" ca="1" si="169"/>
        <v>0</v>
      </c>
      <c r="DF292" s="26">
        <f t="shared" ca="1" si="170"/>
        <v>0</v>
      </c>
      <c r="DG292" s="26">
        <f t="shared" ca="1" si="171"/>
        <v>0</v>
      </c>
      <c r="DH292" s="26">
        <f t="shared" ca="1" si="172"/>
        <v>6.501363999999954E-2</v>
      </c>
      <c r="DI292" s="26">
        <f t="shared" ca="1" si="173"/>
        <v>1.3350639199999987</v>
      </c>
      <c r="DJ292" s="26">
        <f t="shared" ca="1" si="174"/>
        <v>-0.69217593999999893</v>
      </c>
      <c r="DK292" s="26">
        <f t="shared" ca="1" si="175"/>
        <v>4.1893181144411762E-3</v>
      </c>
      <c r="DL292" s="26"/>
      <c r="DM292" s="26"/>
      <c r="DN292" s="26"/>
      <c r="DO292" s="26"/>
      <c r="DP292" s="26">
        <f t="shared" ca="1" si="176"/>
        <v>-0.3079453299999998</v>
      </c>
      <c r="DQ292" s="26">
        <f t="shared" ca="1" si="177"/>
        <v>6.2750076920388143E-3</v>
      </c>
      <c r="DR292" s="26"/>
      <c r="DS292" s="26"/>
      <c r="DT292" s="26"/>
      <c r="DU292" s="26"/>
      <c r="DV292" s="26">
        <f t="shared" ca="1" si="178"/>
        <v>0</v>
      </c>
      <c r="DW292" s="26">
        <f t="shared" ca="1" si="179"/>
        <v>0</v>
      </c>
      <c r="DX292" s="26"/>
      <c r="DY292" s="26"/>
      <c r="DZ292" s="26"/>
      <c r="EA292" s="26"/>
      <c r="EB292" s="26">
        <f t="shared" ca="1" si="180"/>
        <v>1.4386000000000008E-3</v>
      </c>
      <c r="EC292" s="26">
        <f t="shared" ca="1" si="181"/>
        <v>-5.2339913120099779E-4</v>
      </c>
      <c r="ED292" s="26"/>
      <c r="EE292" s="26"/>
      <c r="EF292" s="26"/>
      <c r="EG292" s="26"/>
      <c r="EH292" s="26">
        <f t="shared" ca="1" si="182"/>
        <v>-0.27136761000000065</v>
      </c>
      <c r="EI292" s="29">
        <f t="shared" ca="1" si="183"/>
        <v>2.2121475081813557E-3</v>
      </c>
      <c r="EJ292" s="29"/>
      <c r="EK292" s="29"/>
      <c r="EL292" s="29"/>
      <c r="EM292" s="29"/>
      <c r="EN292" s="93"/>
      <c r="EO292" s="29"/>
      <c r="EP292" s="29"/>
      <c r="EQ292" s="29"/>
      <c r="ER292" s="29"/>
      <c r="ES292" s="29"/>
      <c r="ET292" s="29"/>
      <c r="EU292" s="93"/>
      <c r="EV292" s="29"/>
      <c r="EW292" s="29"/>
      <c r="EX292" s="29"/>
      <c r="EY292" s="29"/>
      <c r="EZ292" s="29"/>
      <c r="FA292" s="29"/>
      <c r="FB292" s="93"/>
      <c r="FC292" s="29"/>
      <c r="FD292" s="29"/>
      <c r="FE292" s="29"/>
      <c r="FF292" s="29"/>
      <c r="FG292" s="29"/>
      <c r="FH292" s="29"/>
      <c r="FI292" s="93"/>
      <c r="FJ292" s="29"/>
      <c r="FK292" s="29"/>
      <c r="FL292" s="29"/>
      <c r="FM292" s="29"/>
      <c r="FN292" s="29"/>
      <c r="FO292" s="29"/>
      <c r="FP292" s="93"/>
      <c r="FQ292" s="29"/>
      <c r="FR292" s="29"/>
      <c r="FS292" s="29"/>
      <c r="FT292" s="29"/>
      <c r="FU292" s="29"/>
      <c r="FV292" s="29"/>
    </row>
    <row r="293" spans="1:178" x14ac:dyDescent="0.25">
      <c r="A293" t="str">
        <f ca="1">IF(_xll.TM1RPTELISCONSOLIDATED($D$28,$D293),IF(_xll.TM1RPTELLEV($D$28,$D293)&lt;=3,_xll.TM1RPTELLEV($D$28,$D293),"D"),"N")</f>
        <v>N</v>
      </c>
      <c r="B293" t="str">
        <f ca="1">_xll.DBRA(Server&amp;"Management_organization",$D293,$B$27)</f>
        <v>L</v>
      </c>
      <c r="C293">
        <v>1</v>
      </c>
      <c r="D293" s="2" t="s">
        <v>251</v>
      </c>
      <c r="E293" s="26"/>
      <c r="F293" s="26"/>
      <c r="G293" s="16">
        <f ca="1">_xll.DBRW($D$4,$E$7,$E$8,$E$9,$E$10,$E$12,$D293,$E$6,G$18,G$17)</f>
        <v>1.553005719999998</v>
      </c>
      <c r="H293" s="16">
        <f ca="1">_xll.DBRW($D$4,$E$7,$E$8,$E$9,$E$10,$E$12,$D293,$E$6,H$18,H$17)</f>
        <v>-0.14839848999999999</v>
      </c>
      <c r="I293" s="16">
        <f ca="1">_xll.DBRW($D$4,$E$7,$E$8,$E$9,$E$10,$E$12,$D293,$E$6,I$18,I$17)</f>
        <v>-1.0842021724855044E-19</v>
      </c>
      <c r="J293" s="26">
        <f ca="1">_xll.DBRW($D$4,$E$7,$E$8,$E$9,$E$10,$E$12,$D293,$E$6,J$18,J$17)</f>
        <v>0</v>
      </c>
      <c r="K293" s="26">
        <f ca="1">_xll.DBRW($D$4,$E$7,$E$8,$E$9,$E$10,$E$12,$D293,$E$6,K$18,K$17)</f>
        <v>0</v>
      </c>
      <c r="L293" s="26">
        <f ca="1">_xll.DBRW($D$4,$E$7,$E$8,$E$9,$E$10,$E$12,$D293,$E$6,L$18,L$17)</f>
        <v>0</v>
      </c>
      <c r="M293" s="26">
        <f ca="1">_xll.DBRW($D$4,$E$7,$E$8,$E$9,$E$10,$E$12,$D293,$E$6,M$18,M$17)</f>
        <v>0</v>
      </c>
      <c r="N293" s="16">
        <f ca="1">_xll.DBRW($D$4,$E$7,$E$8,$E$9,$E$10,$E$12,$D293,$E$6,N$18,N$17)</f>
        <v>1.701404209999998</v>
      </c>
      <c r="O293" s="16">
        <f ca="1">_xll.DBRW($D$4,$E$7,$E$8,$E$9,$E$10,$E$12,$D293,$E$6,O$18,O$17)</f>
        <v>9.1627592599999979</v>
      </c>
      <c r="P293" s="74">
        <f ca="1">_xll.DBRW($D$4,$E$7,$E$8,$E$9,$E$10,$E$12,$D293,$E$6,P$18,P$17)</f>
        <v>-5.3433439499999986</v>
      </c>
      <c r="Q293" s="16">
        <f ca="1">_xll.DBRW($D$4,$E$7,$E$8,$E$9,$E$10,$E$12,$D293,$E$6,Q$18,Q$17)</f>
        <v>0.5831588278572758</v>
      </c>
      <c r="R293" s="16"/>
      <c r="S293" s="16"/>
      <c r="T293" s="16"/>
      <c r="U293" s="16"/>
      <c r="V293" s="16">
        <f ca="1">_xll.DBRW($D$4,$E$7,$E$8,$E$9,$E$10,$E$12,$D293,$E$6,V$18,V$17)</f>
        <v>-9.8113000000000002E-3</v>
      </c>
      <c r="W293" s="16">
        <f ca="1">_xll.DBRW($D$4,$E$7,$E$8,$E$9,$E$10,$E$12,$D293,$E$6,W$18,W$17)</f>
        <v>1.0707800698018125E-3</v>
      </c>
      <c r="X293" s="16"/>
      <c r="Y293" s="16"/>
      <c r="Z293" s="16"/>
      <c r="AA293" s="16"/>
      <c r="AB293" s="16">
        <f ca="1">_xll.DBRW($D$4,$E$7,$E$8,$E$9,$E$10,$E$12,$D293,$E$6,AB$18,AB$17)</f>
        <v>0</v>
      </c>
      <c r="AC293" s="16">
        <f ca="1">_xll.DBRW($D$4,$E$7,$E$8,$E$9,$E$10,$E$12,$D293,$E$6,AC$18,AC$17)</f>
        <v>0</v>
      </c>
      <c r="AD293" s="16"/>
      <c r="AE293" s="16"/>
      <c r="AF293" s="16"/>
      <c r="AG293" s="16"/>
      <c r="AH293" s="16">
        <f ca="1">_xll.DBRW($D$4,$E$7,$E$8,$E$9,$E$10,$E$12,$D293,$E$6,AH$18,AH$17)</f>
        <v>-1.40861E-3</v>
      </c>
      <c r="AI293" s="16">
        <f ca="1">_xll.DBRW($D$4,$E$7,$E$8,$E$9,$E$10,$E$12,$D293,$E$6,AI$18,AI$17)</f>
        <v>1.5373207568044304E-4</v>
      </c>
      <c r="AJ293" s="16"/>
      <c r="AK293" s="16"/>
      <c r="AL293" s="16"/>
      <c r="AM293" s="16"/>
      <c r="AN293" s="16">
        <f ca="1">_xll.DBRW($D$4,$E$7,$E$8,$E$9,$E$10,$E$12,$D293,$E$6,AN$18,AN$17)</f>
        <v>-2.1067911900000005</v>
      </c>
      <c r="AO293" s="16">
        <f ca="1">_xll.DBRW($D$4,$E$7,$E$8,$E$9,$E$10,$E$12,$D293,$E$6,AO$18,AO$17)</f>
        <v>0.22992977663368194</v>
      </c>
      <c r="AP293" s="16"/>
      <c r="AQ293" s="16"/>
      <c r="AR293" s="16"/>
      <c r="AS293" s="16"/>
      <c r="AT293" s="16">
        <f ca="1">_xll.DBRW($D$4,$E$7,$E$8,$E$9,$E$10,$E$12,$D293,$E$6,AT$18,AT$17)</f>
        <v>0.15349244000000001</v>
      </c>
      <c r="AU293" s="16">
        <f ca="1">_xll.DBRW($D$4,$E$7,$E$8,$E$9,$E$10,$E$12,$D293,$E$6,AU$18,AU$17)</f>
        <v>0.13817081000000001</v>
      </c>
      <c r="AV293" s="16">
        <f ca="1">_xll.DBRW($D$4,$E$7,$E$8,$E$9,$E$10,$E$12,$D293,$E$6,AV$18,AV$17)</f>
        <v>0.88097000000000003</v>
      </c>
      <c r="AW293" s="16">
        <f ca="1">_xll.DBRW($D$4,$E$7,$E$8,$E$9,$E$10,$E$12,$D293,$E$6,AW$18,AW$17)</f>
        <v>0.13817081000000001</v>
      </c>
      <c r="AX293" s="16">
        <f ca="1">_xll.DBRW($D$4,$E$7,$E$8,$E$9,$E$10,$E$12,$D293,$E$6,AX$18,AX$17)</f>
        <v>0</v>
      </c>
      <c r="AY293" s="16">
        <f ca="1">_xll.DBRW($D$4,$E$7,$E$8,$E$9,$E$10,$E$12,$D293,$E$6,AY$18,AY$17)</f>
        <v>0</v>
      </c>
      <c r="AZ293" s="16">
        <f ca="1">_xll.DBRW($D$4,$E$7,$E$8,$E$9,$E$10,$E$12,$D293,$E$6,AZ$18,AZ$17)</f>
        <v>0</v>
      </c>
      <c r="BA293" s="16">
        <f ca="1">_xll.DBRW($D$4,$E$7,$E$8,$E$9,$E$10,$E$12,$D293,$E$6,BA$18,BA$17)</f>
        <v>0</v>
      </c>
      <c r="BB293" s="16">
        <f ca="1">_xll.DBRW($D$4,$E$7,$E$8,$E$9,$E$10,$E$12,$D293,$E$6,BB$18,BB$17)</f>
        <v>0.13817081000000001</v>
      </c>
      <c r="BC293" s="16">
        <f ca="1">_xll.DBRW($D$4,$E$7,$E$8,$E$9,$E$10,$E$12,$D293,$E$6,BC$18,BC$17)</f>
        <v>0.13817081000000001</v>
      </c>
      <c r="BD293" s="16">
        <f ca="1">_xll.DBRW($D$4,$E$7,$E$8,$E$9,$E$10,$E$12,$D293,$E$6,BD$18,BD$17)</f>
        <v>0.51835514999999821</v>
      </c>
      <c r="BE293" s="16">
        <f ca="1">_xll.DBRW($D$4,$E$7,$E$8,$E$9,$E$10,$E$12,$D293,$E$6,BE$18,BE$17)</f>
        <v>-9.7393779999999985E-2</v>
      </c>
      <c r="BF293" s="16">
        <f ca="1">_xll.DBRW($D$4,$E$7,$E$8,$E$9,$E$10,$E$12,$D293,$E$6,BF$18,BF$17)</f>
        <v>0</v>
      </c>
      <c r="BG293" s="26">
        <f ca="1">_xll.DBRW($D$4,$E$7,$E$8,$E$9,$E$10,$E$12,$D293,$E$6,BG$18,BG$17)</f>
        <v>0</v>
      </c>
      <c r="BH293" s="26">
        <f ca="1">_xll.DBRW($D$4,$E$7,$E$8,$E$9,$E$10,$E$12,$D293,$E$6,BH$18,BH$17)</f>
        <v>0</v>
      </c>
      <c r="BI293" s="26">
        <f ca="1">_xll.DBRW($D$4,$E$7,$E$8,$E$9,$E$10,$E$12,$D293,$E$6,BI$18,BI$17)</f>
        <v>0</v>
      </c>
      <c r="BJ293" s="26">
        <f ca="1">_xll.DBRW($D$4,$E$7,$E$8,$E$9,$E$10,$E$12,$D293,$E$6,BJ$18,BJ$17)</f>
        <v>0</v>
      </c>
      <c r="BK293" s="16">
        <f ca="1">_xll.DBRW($D$4,$E$7,$E$8,$E$9,$E$10,$E$12,$D293,$E$6,BK$18,BK$17)</f>
        <v>0.6157489299999982</v>
      </c>
      <c r="BL293" s="16">
        <f ca="1">_xll.DBRW($D$4,$E$7,$E$8,$E$9,$E$10,$E$12,$D293,$E$6,BL$18,BL$17)</f>
        <v>5.0690796799999989</v>
      </c>
      <c r="BM293" s="16">
        <f ca="1">_xll.DBRW($D$4,$E$7,$E$8,$E$9,$E$10,$E$12,$D293,$E$6,BM$18,BM$17)</f>
        <v>-2.9354875900000001</v>
      </c>
      <c r="BN293" s="16">
        <f ca="1">_xll.DBRW($D$4,$E$7,$E$8,$E$9,$E$10,$E$12,$D293,$E$6,BN$18,BN$17)</f>
        <v>0.57909675430471841</v>
      </c>
      <c r="BO293" s="16"/>
      <c r="BP293" s="16"/>
      <c r="BQ293" s="16"/>
      <c r="BR293" s="16"/>
      <c r="BS293" s="16">
        <f ca="1">_xll.DBRW($D$4,$E$7,$E$8,$E$9,$E$10,$E$12,$D293,$E$6,BS$18,BS$17)</f>
        <v>-6.9566399999999992E-3</v>
      </c>
      <c r="BT293" s="16">
        <f ca="1">_xll.DBRW($D$4,$E$7,$E$8,$E$9,$E$10,$E$12,$D293,$E$6,BT$18,BT$17)</f>
        <v>1.3723674590177285E-3</v>
      </c>
      <c r="BU293" s="16"/>
      <c r="BV293" s="16"/>
      <c r="BW293" s="16"/>
      <c r="BX293" s="16"/>
      <c r="BY293" s="16">
        <f ca="1">_xll.DBRW($D$4,$E$7,$E$8,$E$9,$E$10,$E$12,$D293,$E$6,BY$18,BY$17)</f>
        <v>0</v>
      </c>
      <c r="BZ293" s="16">
        <f ca="1">_xll.DBRW($D$4,$E$7,$E$8,$E$9,$E$10,$E$12,$D293,$E$6,BZ$18,BZ$17)</f>
        <v>0</v>
      </c>
      <c r="CA293" s="16"/>
      <c r="CB293" s="16"/>
      <c r="CC293" s="16"/>
      <c r="CD293" s="16"/>
      <c r="CE293" s="16">
        <f ca="1">_xll.DBRW($D$4,$E$7,$E$8,$E$9,$E$10,$E$12,$D293,$E$6,CE$18,CE$17)</f>
        <v>-4.24728E-3</v>
      </c>
      <c r="CF293" s="16">
        <f ca="1">_xll.DBRW($D$4,$E$7,$E$8,$E$9,$E$10,$E$12,$D293,$E$6,CF$18,CF$17)</f>
        <v>8.3787990485878515E-4</v>
      </c>
      <c r="CG293" s="16"/>
      <c r="CH293" s="16"/>
      <c r="CI293" s="16"/>
      <c r="CJ293" s="16"/>
      <c r="CK293" s="16">
        <f ca="1">_xll.DBRW($D$4,$E$7,$E$8,$E$9,$E$10,$E$12,$D293,$E$6,CK$18,CK$17)</f>
        <v>-1.5066392399999999</v>
      </c>
      <c r="CL293" s="16">
        <f ca="1">_xll.DBRW($D$4,$E$7,$E$8,$E$9,$E$10,$E$12,$D293,$E$6,CL$18,CL$17)</f>
        <v>0.29722145539444356</v>
      </c>
      <c r="CM293" s="16"/>
      <c r="CN293" s="16"/>
      <c r="CO293" s="16"/>
      <c r="CP293" s="16"/>
      <c r="CQ293" s="16">
        <f ca="1">_xll.DBRW($D$4,$E$7,$E$8,$E$9,$E$10,$E$12,$D293,$E$6,CQ$18,CQ$17)</f>
        <v>0.11808426000000001</v>
      </c>
      <c r="CR293" s="16">
        <f ca="1">_xll.DBRW($D$4,$E$7,$E$8,$E$9,$E$10,$E$12,$D293,$E$6,CR$18,CR$17)</f>
        <v>0.10933727</v>
      </c>
      <c r="CS293" s="16">
        <f ca="1">_xll.DBRW($D$4,$E$7,$E$8,$E$9,$E$10,$E$12,$D293,$E$6,CS$18,CS$17)</f>
        <v>0.70631876000000005</v>
      </c>
      <c r="CT293" s="16">
        <f ca="1">_xll.DBRW($D$4,$E$7,$E$8,$E$9,$E$10,$E$12,$D293,$E$6,CT$18,CT$17)</f>
        <v>0.10933727</v>
      </c>
      <c r="CU293" s="16">
        <f ca="1">_xll.DBRW($D$4,$E$7,$E$8,$E$9,$E$10,$E$12,$D293,$E$6,CU$18,CU$17)</f>
        <v>0</v>
      </c>
      <c r="CV293" s="16">
        <f ca="1">_xll.DBRW($D$4,$E$7,$E$8,$E$9,$E$10,$E$12,$D293,$E$6,CV$18,CV$17)</f>
        <v>0</v>
      </c>
      <c r="CW293" s="16">
        <f ca="1">_xll.DBRW($D$4,$E$7,$E$8,$E$9,$E$10,$E$12,$D293,$E$6,CW$18,CW$17)</f>
        <v>0</v>
      </c>
      <c r="CX293" s="16">
        <f ca="1">_xll.DBRW($D$4,$E$7,$E$8,$E$9,$E$10,$E$12,$D293,$E$6,CX$18,CX$17)</f>
        <v>0</v>
      </c>
      <c r="CY293" s="16">
        <f ca="1">_xll.DBRW($D$4,$E$7,$E$8,$E$9,$E$10,$E$12,$D293,$E$6,CY$18,CY$17)</f>
        <v>0.10933727</v>
      </c>
      <c r="CZ293" s="16">
        <f ca="1">_xll.DBRW($D$4,$E$7,$E$8,$E$9,$E$10,$E$12,$D293,$E$6,CZ$18,CZ$17)</f>
        <v>0.10933727</v>
      </c>
      <c r="DA293" s="26">
        <f t="shared" ca="1" si="165"/>
        <v>1.0346505699999997</v>
      </c>
      <c r="DB293" s="26">
        <f t="shared" ca="1" si="166"/>
        <v>-5.1004710000000009E-2</v>
      </c>
      <c r="DC293" s="26">
        <f t="shared" ca="1" si="167"/>
        <v>-1.0842021724855044E-19</v>
      </c>
      <c r="DD293" s="26">
        <f t="shared" ca="1" si="168"/>
        <v>0</v>
      </c>
      <c r="DE293" s="26">
        <f t="shared" ca="1" si="169"/>
        <v>0</v>
      </c>
      <c r="DF293" s="26">
        <f t="shared" ca="1" si="170"/>
        <v>0</v>
      </c>
      <c r="DG293" s="26">
        <f t="shared" ca="1" si="171"/>
        <v>0</v>
      </c>
      <c r="DH293" s="26">
        <f t="shared" ca="1" si="172"/>
        <v>1.0856552799999997</v>
      </c>
      <c r="DI293" s="26">
        <f t="shared" ca="1" si="173"/>
        <v>4.093679579999999</v>
      </c>
      <c r="DJ293" s="26">
        <f t="shared" ca="1" si="174"/>
        <v>-2.4078563599999985</v>
      </c>
      <c r="DK293" s="26">
        <f t="shared" ca="1" si="175"/>
        <v>4.0620735525573881E-3</v>
      </c>
      <c r="DL293" s="26"/>
      <c r="DM293" s="26"/>
      <c r="DN293" s="26"/>
      <c r="DO293" s="26"/>
      <c r="DP293" s="26">
        <f t="shared" ca="1" si="176"/>
        <v>-2.8546600000000011E-3</v>
      </c>
      <c r="DQ293" s="26">
        <f t="shared" ca="1" si="177"/>
        <v>-3.0158738921591609E-4</v>
      </c>
      <c r="DR293" s="26"/>
      <c r="DS293" s="26"/>
      <c r="DT293" s="26"/>
      <c r="DU293" s="26"/>
      <c r="DV293" s="26">
        <f t="shared" ca="1" si="178"/>
        <v>0</v>
      </c>
      <c r="DW293" s="26">
        <f t="shared" ca="1" si="179"/>
        <v>0</v>
      </c>
      <c r="DX293" s="26"/>
      <c r="DY293" s="26"/>
      <c r="DZ293" s="26"/>
      <c r="EA293" s="26"/>
      <c r="EB293" s="26">
        <f t="shared" ca="1" si="180"/>
        <v>2.8386699999999997E-3</v>
      </c>
      <c r="EC293" s="26">
        <f t="shared" ca="1" si="181"/>
        <v>-6.8414782917834206E-4</v>
      </c>
      <c r="ED293" s="26"/>
      <c r="EE293" s="26"/>
      <c r="EF293" s="26"/>
      <c r="EG293" s="26"/>
      <c r="EH293" s="26">
        <f t="shared" ca="1" si="182"/>
        <v>-0.60015195000000054</v>
      </c>
      <c r="EI293" s="29">
        <f t="shared" ca="1" si="183"/>
        <v>-6.7291678760761614E-2</v>
      </c>
      <c r="EJ293" s="29"/>
      <c r="EK293" s="29"/>
      <c r="EL293" s="29"/>
      <c r="EM293" s="29"/>
      <c r="EN293" s="93"/>
      <c r="EO293" s="29"/>
      <c r="EP293" s="29"/>
      <c r="EQ293" s="29"/>
      <c r="ER293" s="29"/>
      <c r="ES293" s="29"/>
      <c r="ET293" s="29"/>
      <c r="EU293" s="93"/>
      <c r="EV293" s="29"/>
      <c r="EW293" s="29"/>
      <c r="EX293" s="29"/>
      <c r="EY293" s="29"/>
      <c r="EZ293" s="29"/>
      <c r="FA293" s="29"/>
      <c r="FB293" s="93"/>
      <c r="FC293" s="29"/>
      <c r="FD293" s="29"/>
      <c r="FE293" s="29"/>
      <c r="FF293" s="29"/>
      <c r="FG293" s="29"/>
      <c r="FH293" s="29"/>
      <c r="FI293" s="93"/>
      <c r="FJ293" s="29"/>
      <c r="FK293" s="29"/>
      <c r="FL293" s="29"/>
      <c r="FM293" s="29"/>
      <c r="FN293" s="29"/>
      <c r="FO293" s="29"/>
      <c r="FP293" s="93"/>
      <c r="FQ293" s="29"/>
      <c r="FR293" s="29"/>
      <c r="FS293" s="29"/>
      <c r="FT293" s="29"/>
      <c r="FU293" s="29"/>
      <c r="FV293" s="29"/>
    </row>
    <row r="294" spans="1:178" x14ac:dyDescent="0.25">
      <c r="A294" t="str">
        <f ca="1">IF(_xll.TM1RPTELISCONSOLIDATED($D$28,$D294),IF(_xll.TM1RPTELLEV($D$28,$D294)&lt;=3,_xll.TM1RPTELLEV($D$28,$D294),"D"),"N")</f>
        <v>N</v>
      </c>
      <c r="B294" t="str">
        <f ca="1">_xll.DBRA(Server&amp;"Management_organization",$D294,$B$27)</f>
        <v>L</v>
      </c>
      <c r="C294">
        <v>1</v>
      </c>
      <c r="D294" s="2" t="s">
        <v>371</v>
      </c>
      <c r="E294" s="26"/>
      <c r="F294" s="26"/>
      <c r="G294" s="16">
        <f ca="1">_xll.DBRW($D$4,$E$7,$E$8,$E$9,$E$10,$E$12,$D294,$E$6,G$18,G$17)</f>
        <v>1.2197778799999999</v>
      </c>
      <c r="H294" s="16">
        <f ca="1">_xll.DBRW($D$4,$E$7,$E$8,$E$9,$E$10,$E$12,$D294,$E$6,H$18,H$17)</f>
        <v>-0.15970596999999997</v>
      </c>
      <c r="I294" s="16">
        <f ca="1">_xll.DBRW($D$4,$E$7,$E$8,$E$9,$E$10,$E$12,$D294,$E$6,I$18,I$17)</f>
        <v>0</v>
      </c>
      <c r="J294" s="26">
        <f ca="1">_xll.DBRW($D$4,$E$7,$E$8,$E$9,$E$10,$E$12,$D294,$E$6,J$18,J$17)</f>
        <v>0</v>
      </c>
      <c r="K294" s="26">
        <f ca="1">_xll.DBRW($D$4,$E$7,$E$8,$E$9,$E$10,$E$12,$D294,$E$6,K$18,K$17)</f>
        <v>0</v>
      </c>
      <c r="L294" s="26">
        <f ca="1">_xll.DBRW($D$4,$E$7,$E$8,$E$9,$E$10,$E$12,$D294,$E$6,L$18,L$17)</f>
        <v>0</v>
      </c>
      <c r="M294" s="26">
        <f ca="1">_xll.DBRW($D$4,$E$7,$E$8,$E$9,$E$10,$E$12,$D294,$E$6,M$18,M$17)</f>
        <v>0</v>
      </c>
      <c r="N294" s="16">
        <f ca="1">_xll.DBRW($D$4,$E$7,$E$8,$E$9,$E$10,$E$12,$D294,$E$6,N$18,N$17)</f>
        <v>1.37948385</v>
      </c>
      <c r="O294" s="16">
        <f ca="1">_xll.DBRW($D$4,$E$7,$E$8,$E$9,$E$10,$E$12,$D294,$E$6,O$18,O$17)</f>
        <v>8.3007828200000002</v>
      </c>
      <c r="P294" s="74">
        <f ca="1">_xll.DBRW($D$4,$E$7,$E$8,$E$9,$E$10,$E$12,$D294,$E$6,P$18,P$17)</f>
        <v>-3.3905083899999999</v>
      </c>
      <c r="Q294" s="16">
        <f ca="1">_xll.DBRW($D$4,$E$7,$E$8,$E$9,$E$10,$E$12,$D294,$E$6,Q$18,Q$17)</f>
        <v>0.40845646290502513</v>
      </c>
      <c r="R294" s="16"/>
      <c r="S294" s="16"/>
      <c r="T294" s="16"/>
      <c r="U294" s="16"/>
      <c r="V294" s="16">
        <f ca="1">_xll.DBRW($D$4,$E$7,$E$8,$E$9,$E$10,$E$12,$D294,$E$6,V$18,V$17)</f>
        <v>-1.2893322599999999</v>
      </c>
      <c r="W294" s="16">
        <f ca="1">_xll.DBRW($D$4,$E$7,$E$8,$E$9,$E$10,$E$12,$D294,$E$6,W$18,W$17)</f>
        <v>0.15532658641465336</v>
      </c>
      <c r="X294" s="16"/>
      <c r="Y294" s="16"/>
      <c r="Z294" s="16"/>
      <c r="AA294" s="16"/>
      <c r="AB294" s="16">
        <f ca="1">_xll.DBRW($D$4,$E$7,$E$8,$E$9,$E$10,$E$12,$D294,$E$6,AB$18,AB$17)</f>
        <v>0</v>
      </c>
      <c r="AC294" s="16">
        <f ca="1">_xll.DBRW($D$4,$E$7,$E$8,$E$9,$E$10,$E$12,$D294,$E$6,AC$18,AC$17)</f>
        <v>0</v>
      </c>
      <c r="AD294" s="16"/>
      <c r="AE294" s="16"/>
      <c r="AF294" s="16"/>
      <c r="AG294" s="16"/>
      <c r="AH294" s="16">
        <f ca="1">_xll.DBRW($D$4,$E$7,$E$8,$E$9,$E$10,$E$12,$D294,$E$6,AH$18,AH$17)</f>
        <v>-5.51104E-3</v>
      </c>
      <c r="AI294" s="16">
        <f ca="1">_xll.DBRW($D$4,$E$7,$E$8,$E$9,$E$10,$E$12,$D294,$E$6,AI$18,AI$17)</f>
        <v>6.6391810501554595E-4</v>
      </c>
      <c r="AJ294" s="16"/>
      <c r="AK294" s="16"/>
      <c r="AL294" s="16"/>
      <c r="AM294" s="16"/>
      <c r="AN294" s="16">
        <f ca="1">_xll.DBRW($D$4,$E$7,$E$8,$E$9,$E$10,$E$12,$D294,$E$6,AN$18,AN$17)</f>
        <v>-2.23594728</v>
      </c>
      <c r="AO294" s="16">
        <f ca="1">_xll.DBRW($D$4,$E$7,$E$8,$E$9,$E$10,$E$12,$D294,$E$6,AO$18,AO$17)</f>
        <v>0.26936583313716911</v>
      </c>
      <c r="AP294" s="16"/>
      <c r="AQ294" s="16"/>
      <c r="AR294" s="16"/>
      <c r="AS294" s="16"/>
      <c r="AT294" s="16">
        <f ca="1">_xll.DBRW($D$4,$E$7,$E$8,$E$9,$E$10,$E$12,$D294,$E$6,AT$18,AT$17)</f>
        <v>0.17051340000000004</v>
      </c>
      <c r="AU294" s="16">
        <f ca="1">_xll.DBRW($D$4,$E$7,$E$8,$E$9,$E$10,$E$12,$D294,$E$6,AU$18,AU$17)</f>
        <v>0.13790788000000001</v>
      </c>
      <c r="AV294" s="16">
        <f ca="1">_xll.DBRW($D$4,$E$7,$E$8,$E$9,$E$10,$E$12,$D294,$E$6,AV$18,AV$17)</f>
        <v>2.1974119999999999</v>
      </c>
      <c r="AW294" s="16">
        <f ca="1">_xll.DBRW($D$4,$E$7,$E$8,$E$9,$E$10,$E$12,$D294,$E$6,AW$18,AW$17)</f>
        <v>0.13790788000000001</v>
      </c>
      <c r="AX294" s="16">
        <f ca="1">_xll.DBRW($D$4,$E$7,$E$8,$E$9,$E$10,$E$12,$D294,$E$6,AX$18,AX$17)</f>
        <v>0</v>
      </c>
      <c r="AY294" s="16">
        <f ca="1">_xll.DBRW($D$4,$E$7,$E$8,$E$9,$E$10,$E$12,$D294,$E$6,AY$18,AY$17)</f>
        <v>0</v>
      </c>
      <c r="AZ294" s="16">
        <f ca="1">_xll.DBRW($D$4,$E$7,$E$8,$E$9,$E$10,$E$12,$D294,$E$6,AZ$18,AZ$17)</f>
        <v>0</v>
      </c>
      <c r="BA294" s="16">
        <f ca="1">_xll.DBRW($D$4,$E$7,$E$8,$E$9,$E$10,$E$12,$D294,$E$6,BA$18,BA$17)</f>
        <v>0</v>
      </c>
      <c r="BB294" s="16">
        <f ca="1">_xll.DBRW($D$4,$E$7,$E$8,$E$9,$E$10,$E$12,$D294,$E$6,BB$18,BB$17)</f>
        <v>0.13790788000000001</v>
      </c>
      <c r="BC294" s="16">
        <f ca="1">_xll.DBRW($D$4,$E$7,$E$8,$E$9,$E$10,$E$12,$D294,$E$6,BC$18,BC$17)</f>
        <v>0.13790788000000001</v>
      </c>
      <c r="BD294" s="16">
        <f ca="1">_xll.DBRW($D$4,$E$7,$E$8,$E$9,$E$10,$E$12,$D294,$E$6,BD$18,BD$17)</f>
        <v>1.3031083199999987</v>
      </c>
      <c r="BE294" s="16">
        <f ca="1">_xll.DBRW($D$4,$E$7,$E$8,$E$9,$E$10,$E$12,$D294,$E$6,BE$18,BE$17)</f>
        <v>-0.13113576999999998</v>
      </c>
      <c r="BF294" s="16">
        <f ca="1">_xll.DBRW($D$4,$E$7,$E$8,$E$9,$E$10,$E$12,$D294,$E$6,BF$18,BF$17)</f>
        <v>0</v>
      </c>
      <c r="BG294" s="26">
        <f ca="1">_xll.DBRW($D$4,$E$7,$E$8,$E$9,$E$10,$E$12,$D294,$E$6,BG$18,BG$17)</f>
        <v>0</v>
      </c>
      <c r="BH294" s="26">
        <f ca="1">_xll.DBRW($D$4,$E$7,$E$8,$E$9,$E$10,$E$12,$D294,$E$6,BH$18,BH$17)</f>
        <v>0</v>
      </c>
      <c r="BI294" s="26">
        <f ca="1">_xll.DBRW($D$4,$E$7,$E$8,$E$9,$E$10,$E$12,$D294,$E$6,BI$18,BI$17)</f>
        <v>0</v>
      </c>
      <c r="BJ294" s="26">
        <f ca="1">_xll.DBRW($D$4,$E$7,$E$8,$E$9,$E$10,$E$12,$D294,$E$6,BJ$18,BJ$17)</f>
        <v>0</v>
      </c>
      <c r="BK294" s="16">
        <f ca="1">_xll.DBRW($D$4,$E$7,$E$8,$E$9,$E$10,$E$12,$D294,$E$6,BK$18,BK$17)</f>
        <v>1.4342440899999989</v>
      </c>
      <c r="BL294" s="16">
        <f ca="1">_xll.DBRW($D$4,$E$7,$E$8,$E$9,$E$10,$E$12,$D294,$E$6,BL$18,BL$17)</f>
        <v>6.6319316899999983</v>
      </c>
      <c r="BM294" s="16">
        <f ca="1">_xll.DBRW($D$4,$E$7,$E$8,$E$9,$E$10,$E$12,$D294,$E$6,BM$18,BM$17)</f>
        <v>-2.6759494800000003</v>
      </c>
      <c r="BN294" s="16">
        <f ca="1">_xll.DBRW($D$4,$E$7,$E$8,$E$9,$E$10,$E$12,$D294,$E$6,BN$18,BN$17)</f>
        <v>0.40349472899953842</v>
      </c>
      <c r="BO294" s="16"/>
      <c r="BP294" s="16"/>
      <c r="BQ294" s="16"/>
      <c r="BR294" s="16"/>
      <c r="BS294" s="16">
        <f ca="1">_xll.DBRW($D$4,$E$7,$E$8,$E$9,$E$10,$E$12,$D294,$E$6,BS$18,BS$17)</f>
        <v>-1.0321664500000001</v>
      </c>
      <c r="BT294" s="16">
        <f ca="1">_xll.DBRW($D$4,$E$7,$E$8,$E$9,$E$10,$E$12,$D294,$E$6,BT$18,BT$17)</f>
        <v>0.15563586874037907</v>
      </c>
      <c r="BU294" s="16"/>
      <c r="BV294" s="16"/>
      <c r="BW294" s="16"/>
      <c r="BX294" s="16"/>
      <c r="BY294" s="16">
        <f ca="1">_xll.DBRW($D$4,$E$7,$E$8,$E$9,$E$10,$E$12,$D294,$E$6,BY$18,BY$17)</f>
        <v>0</v>
      </c>
      <c r="BZ294" s="16">
        <f ca="1">_xll.DBRW($D$4,$E$7,$E$8,$E$9,$E$10,$E$12,$D294,$E$6,BZ$18,BZ$17)</f>
        <v>0</v>
      </c>
      <c r="CA294" s="16"/>
      <c r="CB294" s="16"/>
      <c r="CC294" s="16"/>
      <c r="CD294" s="16"/>
      <c r="CE294" s="16">
        <f ca="1">_xll.DBRW($D$4,$E$7,$E$8,$E$9,$E$10,$E$12,$D294,$E$6,CE$18,CE$17)</f>
        <v>-2.7256669999999993E-2</v>
      </c>
      <c r="CF294" s="16">
        <f ca="1">_xll.DBRW($D$4,$E$7,$E$8,$E$9,$E$10,$E$12,$D294,$E$6,CF$18,CF$17)</f>
        <v>4.1099141658981712E-3</v>
      </c>
      <c r="CG294" s="16"/>
      <c r="CH294" s="16"/>
      <c r="CI294" s="16"/>
      <c r="CJ294" s="16"/>
      <c r="CK294" s="16">
        <f ca="1">_xll.DBRW($D$4,$E$7,$E$8,$E$9,$E$10,$E$12,$D294,$E$6,CK$18,CK$17)</f>
        <v>-1.4623149999999994</v>
      </c>
      <c r="CL294" s="16">
        <f ca="1">_xll.DBRW($D$4,$E$7,$E$8,$E$9,$E$10,$E$12,$D294,$E$6,CL$18,CL$17)</f>
        <v>0.22049608897585007</v>
      </c>
      <c r="CM294" s="16"/>
      <c r="CN294" s="16"/>
      <c r="CO294" s="16"/>
      <c r="CP294" s="16"/>
      <c r="CQ294" s="16">
        <f ca="1">_xll.DBRW($D$4,$E$7,$E$8,$E$9,$E$10,$E$12,$D294,$E$6,CQ$18,CQ$17)</f>
        <v>0.13462192000000001</v>
      </c>
      <c r="CR294" s="16">
        <f ca="1">_xll.DBRW($D$4,$E$7,$E$8,$E$9,$E$10,$E$12,$D294,$E$6,CR$18,CR$17)</f>
        <v>0.10975529999999999</v>
      </c>
      <c r="CS294" s="16">
        <f ca="1">_xll.DBRW($D$4,$E$7,$E$8,$E$9,$E$10,$E$12,$D294,$E$6,CS$18,CS$17)</f>
        <v>1.7187680300000001</v>
      </c>
      <c r="CT294" s="16">
        <f ca="1">_xll.DBRW($D$4,$E$7,$E$8,$E$9,$E$10,$E$12,$D294,$E$6,CT$18,CT$17)</f>
        <v>0.10975529999999999</v>
      </c>
      <c r="CU294" s="16">
        <f ca="1">_xll.DBRW($D$4,$E$7,$E$8,$E$9,$E$10,$E$12,$D294,$E$6,CU$18,CU$17)</f>
        <v>0</v>
      </c>
      <c r="CV294" s="16">
        <f ca="1">_xll.DBRW($D$4,$E$7,$E$8,$E$9,$E$10,$E$12,$D294,$E$6,CV$18,CV$17)</f>
        <v>0</v>
      </c>
      <c r="CW294" s="16">
        <f ca="1">_xll.DBRW($D$4,$E$7,$E$8,$E$9,$E$10,$E$12,$D294,$E$6,CW$18,CW$17)</f>
        <v>0</v>
      </c>
      <c r="CX294" s="16">
        <f ca="1">_xll.DBRW($D$4,$E$7,$E$8,$E$9,$E$10,$E$12,$D294,$E$6,CX$18,CX$17)</f>
        <v>0</v>
      </c>
      <c r="CY294" s="16">
        <f ca="1">_xll.DBRW($D$4,$E$7,$E$8,$E$9,$E$10,$E$12,$D294,$E$6,CY$18,CY$17)</f>
        <v>0.10975529999999999</v>
      </c>
      <c r="CZ294" s="16">
        <f ca="1">_xll.DBRW($D$4,$E$7,$E$8,$E$9,$E$10,$E$12,$D294,$E$6,CZ$18,CZ$17)</f>
        <v>0.10975529999999999</v>
      </c>
      <c r="DA294" s="26">
        <f t="shared" ca="1" si="165"/>
        <v>-8.3330439999998784E-2</v>
      </c>
      <c r="DB294" s="26">
        <f t="shared" ca="1" si="166"/>
        <v>-2.857019999999999E-2</v>
      </c>
      <c r="DC294" s="26">
        <f t="shared" ca="1" si="167"/>
        <v>0</v>
      </c>
      <c r="DD294" s="26">
        <f t="shared" ca="1" si="168"/>
        <v>0</v>
      </c>
      <c r="DE294" s="26">
        <f t="shared" ca="1" si="169"/>
        <v>0</v>
      </c>
      <c r="DF294" s="26">
        <f t="shared" ca="1" si="170"/>
        <v>0</v>
      </c>
      <c r="DG294" s="26">
        <f t="shared" ca="1" si="171"/>
        <v>0</v>
      </c>
      <c r="DH294" s="26">
        <f t="shared" ca="1" si="172"/>
        <v>-5.4760239999998905E-2</v>
      </c>
      <c r="DI294" s="26">
        <f t="shared" ca="1" si="173"/>
        <v>1.668851130000002</v>
      </c>
      <c r="DJ294" s="26">
        <f t="shared" ca="1" si="174"/>
        <v>-0.7145589099999996</v>
      </c>
      <c r="DK294" s="26">
        <f t="shared" ca="1" si="175"/>
        <v>4.9617339054867093E-3</v>
      </c>
      <c r="DL294" s="26"/>
      <c r="DM294" s="26"/>
      <c r="DN294" s="26"/>
      <c r="DO294" s="26"/>
      <c r="DP294" s="26">
        <f t="shared" ca="1" si="176"/>
        <v>-0.25716580999999983</v>
      </c>
      <c r="DQ294" s="26">
        <f t="shared" ca="1" si="177"/>
        <v>-3.0928232572571823E-4</v>
      </c>
      <c r="DR294" s="26"/>
      <c r="DS294" s="26"/>
      <c r="DT294" s="26"/>
      <c r="DU294" s="26"/>
      <c r="DV294" s="26">
        <f t="shared" ca="1" si="178"/>
        <v>0</v>
      </c>
      <c r="DW294" s="26">
        <f t="shared" ca="1" si="179"/>
        <v>0</v>
      </c>
      <c r="DX294" s="26"/>
      <c r="DY294" s="26"/>
      <c r="DZ294" s="26"/>
      <c r="EA294" s="26"/>
      <c r="EB294" s="26">
        <f t="shared" ca="1" si="180"/>
        <v>2.1745629999999995E-2</v>
      </c>
      <c r="EC294" s="26">
        <f t="shared" ca="1" si="181"/>
        <v>-3.4459960608826251E-3</v>
      </c>
      <c r="ED294" s="26"/>
      <c r="EE294" s="26"/>
      <c r="EF294" s="26"/>
      <c r="EG294" s="26"/>
      <c r="EH294" s="26">
        <f t="shared" ca="1" si="182"/>
        <v>-0.77363228000000062</v>
      </c>
      <c r="EI294" s="29">
        <f t="shared" ca="1" si="183"/>
        <v>4.8869744161319034E-2</v>
      </c>
      <c r="EJ294" s="29"/>
      <c r="EK294" s="29"/>
      <c r="EL294" s="29"/>
      <c r="EM294" s="29"/>
      <c r="EN294" s="93"/>
      <c r="EO294" s="29"/>
      <c r="EP294" s="29"/>
      <c r="EQ294" s="29"/>
      <c r="ER294" s="29"/>
      <c r="ES294" s="29"/>
      <c r="ET294" s="29"/>
      <c r="EU294" s="93"/>
      <c r="EV294" s="29"/>
      <c r="EW294" s="29"/>
      <c r="EX294" s="29"/>
      <c r="EY294" s="29"/>
      <c r="EZ294" s="29"/>
      <c r="FA294" s="29"/>
      <c r="FB294" s="93"/>
      <c r="FC294" s="29"/>
      <c r="FD294" s="29"/>
      <c r="FE294" s="29"/>
      <c r="FF294" s="29"/>
      <c r="FG294" s="29"/>
      <c r="FH294" s="29"/>
      <c r="FI294" s="93"/>
      <c r="FJ294" s="29"/>
      <c r="FK294" s="29"/>
      <c r="FL294" s="29"/>
      <c r="FM294" s="29"/>
      <c r="FN294" s="29"/>
      <c r="FO294" s="29"/>
      <c r="FP294" s="93"/>
      <c r="FQ294" s="29"/>
      <c r="FR294" s="29"/>
      <c r="FS294" s="29"/>
      <c r="FT294" s="29"/>
      <c r="FU294" s="29"/>
      <c r="FV294" s="29"/>
    </row>
    <row r="295" spans="1:178" x14ac:dyDescent="0.25">
      <c r="A295" t="str">
        <f ca="1">IF(_xll.TM1RPTELISCONSOLIDATED($D$28,$D295),IF(_xll.TM1RPTELLEV($D$28,$D295)&lt;=3,_xll.TM1RPTELLEV($D$28,$D295),"D"),"N")</f>
        <v>N</v>
      </c>
      <c r="B295" t="str">
        <f ca="1">_xll.DBRA(Server&amp;"Management_organization",$D295,$B$27)</f>
        <v>L</v>
      </c>
      <c r="C295">
        <v>1</v>
      </c>
      <c r="D295" s="2" t="s">
        <v>372</v>
      </c>
      <c r="E295" s="26"/>
      <c r="F295" s="26"/>
      <c r="G295" s="16">
        <f ca="1">_xll.DBRW($D$4,$E$7,$E$8,$E$9,$E$10,$E$12,$D295,$E$6,G$18,G$17)</f>
        <v>0.51902828999999906</v>
      </c>
      <c r="H295" s="16">
        <f ca="1">_xll.DBRW($D$4,$E$7,$E$8,$E$9,$E$10,$E$12,$D295,$E$6,H$18,H$17)</f>
        <v>-0.12624695</v>
      </c>
      <c r="I295" s="16">
        <f ca="1">_xll.DBRW($D$4,$E$7,$E$8,$E$9,$E$10,$E$12,$D295,$E$6,I$18,I$17)</f>
        <v>0</v>
      </c>
      <c r="J295" s="26">
        <f ca="1">_xll.DBRW($D$4,$E$7,$E$8,$E$9,$E$10,$E$12,$D295,$E$6,J$18,J$17)</f>
        <v>0</v>
      </c>
      <c r="K295" s="26">
        <f ca="1">_xll.DBRW($D$4,$E$7,$E$8,$E$9,$E$10,$E$12,$D295,$E$6,K$18,K$17)</f>
        <v>0</v>
      </c>
      <c r="L295" s="26">
        <f ca="1">_xll.DBRW($D$4,$E$7,$E$8,$E$9,$E$10,$E$12,$D295,$E$6,L$18,L$17)</f>
        <v>0</v>
      </c>
      <c r="M295" s="26">
        <f ca="1">_xll.DBRW($D$4,$E$7,$E$8,$E$9,$E$10,$E$12,$D295,$E$6,M$18,M$17)</f>
        <v>0</v>
      </c>
      <c r="N295" s="16">
        <f ca="1">_xll.DBRW($D$4,$E$7,$E$8,$E$9,$E$10,$E$12,$D295,$E$6,N$18,N$17)</f>
        <v>0.64527523999999903</v>
      </c>
      <c r="O295" s="16">
        <f ca="1">_xll.DBRW($D$4,$E$7,$E$8,$E$9,$E$10,$E$12,$D295,$E$6,O$18,O$17)</f>
        <v>4.3222047599999991</v>
      </c>
      <c r="P295" s="74">
        <f ca="1">_xll.DBRW($D$4,$E$7,$E$8,$E$9,$E$10,$E$12,$D295,$E$6,P$18,P$17)</f>
        <v>-1.8138579700000002</v>
      </c>
      <c r="Q295" s="16">
        <f ca="1">_xll.DBRW($D$4,$E$7,$E$8,$E$9,$E$10,$E$12,$D295,$E$6,Q$18,Q$17)</f>
        <v>0.41966035176917454</v>
      </c>
      <c r="R295" s="16"/>
      <c r="S295" s="16"/>
      <c r="T295" s="16"/>
      <c r="U295" s="16"/>
      <c r="V295" s="16">
        <f ca="1">_xll.DBRW($D$4,$E$7,$E$8,$E$9,$E$10,$E$12,$D295,$E$6,V$18,V$17)</f>
        <v>-0.44287874000000005</v>
      </c>
      <c r="W295" s="16">
        <f ca="1">_xll.DBRW($D$4,$E$7,$E$8,$E$9,$E$10,$E$12,$D295,$E$6,W$18,W$17)</f>
        <v>0.10246593222483058</v>
      </c>
      <c r="X295" s="16"/>
      <c r="Y295" s="16"/>
      <c r="Z295" s="16"/>
      <c r="AA295" s="16"/>
      <c r="AB295" s="16">
        <f ca="1">_xll.DBRW($D$4,$E$7,$E$8,$E$9,$E$10,$E$12,$D295,$E$6,AB$18,AB$17)</f>
        <v>0</v>
      </c>
      <c r="AC295" s="16">
        <f ca="1">_xll.DBRW($D$4,$E$7,$E$8,$E$9,$E$10,$E$12,$D295,$E$6,AC$18,AC$17)</f>
        <v>0</v>
      </c>
      <c r="AD295" s="16"/>
      <c r="AE295" s="16"/>
      <c r="AF295" s="16"/>
      <c r="AG295" s="16"/>
      <c r="AH295" s="16">
        <f ca="1">_xll.DBRW($D$4,$E$7,$E$8,$E$9,$E$10,$E$12,$D295,$E$6,AH$18,AH$17)</f>
        <v>-9.5010399999999988E-3</v>
      </c>
      <c r="AI295" s="16">
        <f ca="1">_xll.DBRW($D$4,$E$7,$E$8,$E$9,$E$10,$E$12,$D295,$E$6,AI$18,AI$17)</f>
        <v>2.1981929426221816E-3</v>
      </c>
      <c r="AJ295" s="16"/>
      <c r="AK295" s="16"/>
      <c r="AL295" s="16"/>
      <c r="AM295" s="16"/>
      <c r="AN295" s="16">
        <f ca="1">_xll.DBRW($D$4,$E$7,$E$8,$E$9,$E$10,$E$12,$D295,$E$6,AN$18,AN$17)</f>
        <v>-1.4106917700000001</v>
      </c>
      <c r="AO295" s="16">
        <f ca="1">_xll.DBRW($D$4,$E$7,$E$8,$E$9,$E$10,$E$12,$D295,$E$6,AO$18,AO$17)</f>
        <v>0.3263824479245635</v>
      </c>
      <c r="AP295" s="16"/>
      <c r="AQ295" s="16"/>
      <c r="AR295" s="16"/>
      <c r="AS295" s="16"/>
      <c r="AT295" s="16">
        <f ca="1">_xll.DBRW($D$4,$E$7,$E$8,$E$9,$E$10,$E$12,$D295,$E$6,AT$18,AT$17)</f>
        <v>8.5912270000000013E-2</v>
      </c>
      <c r="AU295" s="16">
        <f ca="1">_xll.DBRW($D$4,$E$7,$E$8,$E$9,$E$10,$E$12,$D295,$E$6,AU$18,AU$17)</f>
        <v>6.9694629999999994E-2</v>
      </c>
      <c r="AV295" s="16">
        <f ca="1">_xll.DBRW($D$4,$E$7,$E$8,$E$9,$E$10,$E$12,$D295,$E$6,AV$18,AV$17)</f>
        <v>1.4025129999999999</v>
      </c>
      <c r="AW295" s="16">
        <f ca="1">_xll.DBRW($D$4,$E$7,$E$8,$E$9,$E$10,$E$12,$D295,$E$6,AW$18,AW$17)</f>
        <v>6.9694629999999994E-2</v>
      </c>
      <c r="AX295" s="16">
        <f ca="1">_xll.DBRW($D$4,$E$7,$E$8,$E$9,$E$10,$E$12,$D295,$E$6,AX$18,AX$17)</f>
        <v>0</v>
      </c>
      <c r="AY295" s="16">
        <f ca="1">_xll.DBRW($D$4,$E$7,$E$8,$E$9,$E$10,$E$12,$D295,$E$6,AY$18,AY$17)</f>
        <v>0</v>
      </c>
      <c r="AZ295" s="16">
        <f ca="1">_xll.DBRW($D$4,$E$7,$E$8,$E$9,$E$10,$E$12,$D295,$E$6,AZ$18,AZ$17)</f>
        <v>0</v>
      </c>
      <c r="BA295" s="16">
        <f ca="1">_xll.DBRW($D$4,$E$7,$E$8,$E$9,$E$10,$E$12,$D295,$E$6,BA$18,BA$17)</f>
        <v>0</v>
      </c>
      <c r="BB295" s="16">
        <f ca="1">_xll.DBRW($D$4,$E$7,$E$8,$E$9,$E$10,$E$12,$D295,$E$6,BB$18,BB$17)</f>
        <v>6.9694629999999994E-2</v>
      </c>
      <c r="BC295" s="16">
        <f ca="1">_xll.DBRW($D$4,$E$7,$E$8,$E$9,$E$10,$E$12,$D295,$E$6,BC$18,BC$17)</f>
        <v>6.9694629999999994E-2</v>
      </c>
      <c r="BD295" s="16">
        <f ca="1">_xll.DBRW($D$4,$E$7,$E$8,$E$9,$E$10,$E$12,$D295,$E$6,BD$18,BD$17)</f>
        <v>0.44175581999999997</v>
      </c>
      <c r="BE295" s="16">
        <f ca="1">_xll.DBRW($D$4,$E$7,$E$8,$E$9,$E$10,$E$12,$D295,$E$6,BE$18,BE$17)</f>
        <v>-8.2816449999999986E-2</v>
      </c>
      <c r="BF295" s="16">
        <f ca="1">_xll.DBRW($D$4,$E$7,$E$8,$E$9,$E$10,$E$12,$D295,$E$6,BF$18,BF$17)</f>
        <v>-2.0624999999999997E-4</v>
      </c>
      <c r="BG295" s="26">
        <f ca="1">_xll.DBRW($D$4,$E$7,$E$8,$E$9,$E$10,$E$12,$D295,$E$6,BG$18,BG$17)</f>
        <v>0</v>
      </c>
      <c r="BH295" s="26">
        <f ca="1">_xll.DBRW($D$4,$E$7,$E$8,$E$9,$E$10,$E$12,$D295,$E$6,BH$18,BH$17)</f>
        <v>0</v>
      </c>
      <c r="BI295" s="26">
        <f ca="1">_xll.DBRW($D$4,$E$7,$E$8,$E$9,$E$10,$E$12,$D295,$E$6,BI$18,BI$17)</f>
        <v>0</v>
      </c>
      <c r="BJ295" s="26">
        <f ca="1">_xll.DBRW($D$4,$E$7,$E$8,$E$9,$E$10,$E$12,$D295,$E$6,BJ$18,BJ$17)</f>
        <v>0</v>
      </c>
      <c r="BK295" s="16">
        <f ca="1">_xll.DBRW($D$4,$E$7,$E$8,$E$9,$E$10,$E$12,$D295,$E$6,BK$18,BK$17)</f>
        <v>0.52457226999999995</v>
      </c>
      <c r="BL295" s="16">
        <f ca="1">_xll.DBRW($D$4,$E$7,$E$8,$E$9,$E$10,$E$12,$D295,$E$6,BL$18,BL$17)</f>
        <v>3.34230479</v>
      </c>
      <c r="BM295" s="16">
        <f ca="1">_xll.DBRW($D$4,$E$7,$E$8,$E$9,$E$10,$E$12,$D295,$E$6,BM$18,BM$17)</f>
        <v>-1.51114368</v>
      </c>
      <c r="BN295" s="16">
        <f ca="1">_xll.DBRW($D$4,$E$7,$E$8,$E$9,$E$10,$E$12,$D295,$E$6,BN$18,BN$17)</f>
        <v>0.4521262347231953</v>
      </c>
      <c r="BO295" s="16"/>
      <c r="BP295" s="16"/>
      <c r="BQ295" s="16"/>
      <c r="BR295" s="16"/>
      <c r="BS295" s="16">
        <f ca="1">_xll.DBRW($D$4,$E$7,$E$8,$E$9,$E$10,$E$12,$D295,$E$6,BS$18,BS$17)</f>
        <v>-0.34189210999999997</v>
      </c>
      <c r="BT295" s="16">
        <f ca="1">_xll.DBRW($D$4,$E$7,$E$8,$E$9,$E$10,$E$12,$D295,$E$6,BT$18,BT$17)</f>
        <v>0.102292319666035</v>
      </c>
      <c r="BU295" s="16"/>
      <c r="BV295" s="16"/>
      <c r="BW295" s="16"/>
      <c r="BX295" s="16"/>
      <c r="BY295" s="16">
        <f ca="1">_xll.DBRW($D$4,$E$7,$E$8,$E$9,$E$10,$E$12,$D295,$E$6,BY$18,BY$17)</f>
        <v>0</v>
      </c>
      <c r="BZ295" s="16">
        <f ca="1">_xll.DBRW($D$4,$E$7,$E$8,$E$9,$E$10,$E$12,$D295,$E$6,BZ$18,BZ$17)</f>
        <v>0</v>
      </c>
      <c r="CA295" s="16"/>
      <c r="CB295" s="16"/>
      <c r="CC295" s="16"/>
      <c r="CD295" s="16"/>
      <c r="CE295" s="16">
        <f ca="1">_xll.DBRW($D$4,$E$7,$E$8,$E$9,$E$10,$E$12,$D295,$E$6,CE$18,CE$17)</f>
        <v>-7.4750099999999989E-3</v>
      </c>
      <c r="CF295" s="16">
        <f ca="1">_xll.DBRW($D$4,$E$7,$E$8,$E$9,$E$10,$E$12,$D295,$E$6,CF$18,CF$17)</f>
        <v>2.2364836451675011E-3</v>
      </c>
      <c r="CG295" s="16"/>
      <c r="CH295" s="16"/>
      <c r="CI295" s="16"/>
      <c r="CJ295" s="16"/>
      <c r="CK295" s="16">
        <f ca="1">_xll.DBRW($D$4,$E$7,$E$8,$E$9,$E$10,$E$12,$D295,$E$6,CK$18,CK$17)</f>
        <v>-0.95722171999999994</v>
      </c>
      <c r="CL295" s="16">
        <f ca="1">_xll.DBRW($D$4,$E$7,$E$8,$E$9,$E$10,$E$12,$D295,$E$6,CL$18,CL$17)</f>
        <v>0.28639570001633513</v>
      </c>
      <c r="CM295" s="16"/>
      <c r="CN295" s="16"/>
      <c r="CO295" s="16"/>
      <c r="CP295" s="16"/>
      <c r="CQ295" s="16">
        <f ca="1">_xll.DBRW($D$4,$E$7,$E$8,$E$9,$E$10,$E$12,$D295,$E$6,CQ$18,CQ$17)</f>
        <v>6.805108E-2</v>
      </c>
      <c r="CR295" s="16">
        <f ca="1">_xll.DBRW($D$4,$E$7,$E$8,$E$9,$E$10,$E$12,$D295,$E$6,CR$18,CR$17)</f>
        <v>5.5882749999999995E-2</v>
      </c>
      <c r="CS295" s="16">
        <f ca="1">_xll.DBRW($D$4,$E$7,$E$8,$E$9,$E$10,$E$12,$D295,$E$6,CS$18,CS$17)</f>
        <v>1.0170660500000002</v>
      </c>
      <c r="CT295" s="16">
        <f ca="1">_xll.DBRW($D$4,$E$7,$E$8,$E$9,$E$10,$E$12,$D295,$E$6,CT$18,CT$17)</f>
        <v>5.5882749999999995E-2</v>
      </c>
      <c r="CU295" s="16">
        <f ca="1">_xll.DBRW($D$4,$E$7,$E$8,$E$9,$E$10,$E$12,$D295,$E$6,CU$18,CU$17)</f>
        <v>0</v>
      </c>
      <c r="CV295" s="16">
        <f ca="1">_xll.DBRW($D$4,$E$7,$E$8,$E$9,$E$10,$E$12,$D295,$E$6,CV$18,CV$17)</f>
        <v>0</v>
      </c>
      <c r="CW295" s="16">
        <f ca="1">_xll.DBRW($D$4,$E$7,$E$8,$E$9,$E$10,$E$12,$D295,$E$6,CW$18,CW$17)</f>
        <v>0</v>
      </c>
      <c r="CX295" s="16">
        <f ca="1">_xll.DBRW($D$4,$E$7,$E$8,$E$9,$E$10,$E$12,$D295,$E$6,CX$18,CX$17)</f>
        <v>0</v>
      </c>
      <c r="CY295" s="16">
        <f ca="1">_xll.DBRW($D$4,$E$7,$E$8,$E$9,$E$10,$E$12,$D295,$E$6,CY$18,CY$17)</f>
        <v>5.5882749999999995E-2</v>
      </c>
      <c r="CZ295" s="16">
        <f ca="1">_xll.DBRW($D$4,$E$7,$E$8,$E$9,$E$10,$E$12,$D295,$E$6,CZ$18,CZ$17)</f>
        <v>5.5882749999999995E-2</v>
      </c>
      <c r="DA295" s="26">
        <f t="shared" ca="1" si="165"/>
        <v>7.7272469999999094E-2</v>
      </c>
      <c r="DB295" s="26">
        <f t="shared" ca="1" si="166"/>
        <v>-4.3430500000000011E-2</v>
      </c>
      <c r="DC295" s="26">
        <f t="shared" ca="1" si="167"/>
        <v>2.0624999999999997E-4</v>
      </c>
      <c r="DD295" s="26">
        <f t="shared" ca="1" si="168"/>
        <v>0</v>
      </c>
      <c r="DE295" s="26">
        <f t="shared" ca="1" si="169"/>
        <v>0</v>
      </c>
      <c r="DF295" s="26">
        <f t="shared" ca="1" si="170"/>
        <v>0</v>
      </c>
      <c r="DG295" s="26">
        <f t="shared" ca="1" si="171"/>
        <v>0</v>
      </c>
      <c r="DH295" s="26">
        <f t="shared" ca="1" si="172"/>
        <v>0.12070296999999908</v>
      </c>
      <c r="DI295" s="26">
        <f t="shared" ca="1" si="173"/>
        <v>0.97989996999999907</v>
      </c>
      <c r="DJ295" s="26">
        <f t="shared" ca="1" si="174"/>
        <v>-0.30271429000000016</v>
      </c>
      <c r="DK295" s="26">
        <f t="shared" ca="1" si="175"/>
        <v>-3.2465882954020753E-2</v>
      </c>
      <c r="DL295" s="26"/>
      <c r="DM295" s="26"/>
      <c r="DN295" s="26"/>
      <c r="DO295" s="26"/>
      <c r="DP295" s="26">
        <f t="shared" ca="1" si="176"/>
        <v>-0.10098663000000008</v>
      </c>
      <c r="DQ295" s="26">
        <f t="shared" ca="1" si="177"/>
        <v>1.7361255879558279E-4</v>
      </c>
      <c r="DR295" s="26"/>
      <c r="DS295" s="26"/>
      <c r="DT295" s="26"/>
      <c r="DU295" s="26"/>
      <c r="DV295" s="26">
        <f t="shared" ca="1" si="178"/>
        <v>0</v>
      </c>
      <c r="DW295" s="26">
        <f t="shared" ca="1" si="179"/>
        <v>0</v>
      </c>
      <c r="DX295" s="26"/>
      <c r="DY295" s="26"/>
      <c r="DZ295" s="26"/>
      <c r="EA295" s="26"/>
      <c r="EB295" s="26">
        <f t="shared" ca="1" si="180"/>
        <v>-2.0260299999999998E-3</v>
      </c>
      <c r="EC295" s="26">
        <f t="shared" ca="1" si="181"/>
        <v>-3.8290702545319515E-5</v>
      </c>
      <c r="ED295" s="26"/>
      <c r="EE295" s="26"/>
      <c r="EF295" s="26"/>
      <c r="EG295" s="26"/>
      <c r="EH295" s="26">
        <f t="shared" ca="1" si="182"/>
        <v>-0.45347005000000018</v>
      </c>
      <c r="EI295" s="29">
        <f t="shared" ca="1" si="183"/>
        <v>3.9986747908228371E-2</v>
      </c>
      <c r="EJ295" s="29"/>
      <c r="EK295" s="29"/>
      <c r="EL295" s="29"/>
      <c r="EM295" s="29"/>
      <c r="EN295" s="93"/>
      <c r="EO295" s="29"/>
      <c r="EP295" s="29"/>
      <c r="EQ295" s="29"/>
      <c r="ER295" s="29"/>
      <c r="ES295" s="29"/>
      <c r="ET295" s="29"/>
      <c r="EU295" s="93"/>
      <c r="EV295" s="29"/>
      <c r="EW295" s="29"/>
      <c r="EX295" s="29"/>
      <c r="EY295" s="29"/>
      <c r="EZ295" s="29"/>
      <c r="FA295" s="29"/>
      <c r="FB295" s="93"/>
      <c r="FC295" s="29"/>
      <c r="FD295" s="29"/>
      <c r="FE295" s="29"/>
      <c r="FF295" s="29"/>
      <c r="FG295" s="29"/>
      <c r="FH295" s="29"/>
      <c r="FI295" s="93"/>
      <c r="FJ295" s="29"/>
      <c r="FK295" s="29"/>
      <c r="FL295" s="29"/>
      <c r="FM295" s="29"/>
      <c r="FN295" s="29"/>
      <c r="FO295" s="29"/>
      <c r="FP295" s="93"/>
      <c r="FQ295" s="29"/>
      <c r="FR295" s="29"/>
      <c r="FS295" s="29"/>
      <c r="FT295" s="29"/>
      <c r="FU295" s="29"/>
      <c r="FV295" s="29"/>
    </row>
    <row r="296" spans="1:178" x14ac:dyDescent="0.25">
      <c r="A296" t="str">
        <f ca="1">IF(_xll.TM1RPTELISCONSOLIDATED($D$28,$D296),IF(_xll.TM1RPTELLEV($D$28,$D296)&lt;=3,_xll.TM1RPTELLEV($D$28,$D296),"D"),"N")</f>
        <v>N</v>
      </c>
      <c r="B296" t="str">
        <f ca="1">_xll.DBRA(Server&amp;"Management_organization",$D296,$B$27)</f>
        <v>L</v>
      </c>
      <c r="C296">
        <v>1</v>
      </c>
      <c r="D296" s="2" t="s">
        <v>253</v>
      </c>
      <c r="E296" s="26"/>
      <c r="F296" s="26"/>
      <c r="G296" s="16">
        <f ca="1">_xll.DBRW($D$4,$E$7,$E$8,$E$9,$E$10,$E$12,$D296,$E$6,G$18,G$17)</f>
        <v>0.70653030999999933</v>
      </c>
      <c r="H296" s="16">
        <f ca="1">_xll.DBRW($D$4,$E$7,$E$8,$E$9,$E$10,$E$12,$D296,$E$6,H$18,H$17)</f>
        <v>-0.15867638999999997</v>
      </c>
      <c r="I296" s="16">
        <f ca="1">_xll.DBRW($D$4,$E$7,$E$8,$E$9,$E$10,$E$12,$D296,$E$6,I$18,I$17)</f>
        <v>-4.3368086899420177E-19</v>
      </c>
      <c r="J296" s="26">
        <f ca="1">_xll.DBRW($D$4,$E$7,$E$8,$E$9,$E$10,$E$12,$D296,$E$6,J$18,J$17)</f>
        <v>0</v>
      </c>
      <c r="K296" s="26">
        <f ca="1">_xll.DBRW($D$4,$E$7,$E$8,$E$9,$E$10,$E$12,$D296,$E$6,K$18,K$17)</f>
        <v>0</v>
      </c>
      <c r="L296" s="26">
        <f ca="1">_xll.DBRW($D$4,$E$7,$E$8,$E$9,$E$10,$E$12,$D296,$E$6,L$18,L$17)</f>
        <v>0</v>
      </c>
      <c r="M296" s="26">
        <f ca="1">_xll.DBRW($D$4,$E$7,$E$8,$E$9,$E$10,$E$12,$D296,$E$6,M$18,M$17)</f>
        <v>0</v>
      </c>
      <c r="N296" s="16">
        <f ca="1">_xll.DBRW($D$4,$E$7,$E$8,$E$9,$E$10,$E$12,$D296,$E$6,N$18,N$17)</f>
        <v>0.86520669999999922</v>
      </c>
      <c r="O296" s="16">
        <f ca="1">_xll.DBRW($D$4,$E$7,$E$8,$E$9,$E$10,$E$12,$D296,$E$6,O$18,O$17)</f>
        <v>5.1238019999999995</v>
      </c>
      <c r="P296" s="74">
        <f ca="1">_xll.DBRW($D$4,$E$7,$E$8,$E$9,$E$10,$E$12,$D296,$E$6,P$18,P$17)</f>
        <v>-2.3215646600000004</v>
      </c>
      <c r="Q296" s="16">
        <f ca="1">_xll.DBRW($D$4,$E$7,$E$8,$E$9,$E$10,$E$12,$D296,$E$6,Q$18,Q$17)</f>
        <v>0.45309413985942482</v>
      </c>
      <c r="R296" s="16"/>
      <c r="S296" s="16"/>
      <c r="T296" s="16"/>
      <c r="U296" s="16"/>
      <c r="V296" s="16">
        <f ca="1">_xll.DBRW($D$4,$E$7,$E$8,$E$9,$E$10,$E$12,$D296,$E$6,V$18,V$17)</f>
        <v>-4.1256589999999996E-2</v>
      </c>
      <c r="W296" s="16">
        <f ca="1">_xll.DBRW($D$4,$E$7,$E$8,$E$9,$E$10,$E$12,$D296,$E$6,W$18,W$17)</f>
        <v>8.0519485335303741E-3</v>
      </c>
      <c r="X296" s="16"/>
      <c r="Y296" s="16"/>
      <c r="Z296" s="16"/>
      <c r="AA296" s="16"/>
      <c r="AB296" s="16">
        <f ca="1">_xll.DBRW($D$4,$E$7,$E$8,$E$9,$E$10,$E$12,$D296,$E$6,AB$18,AB$17)</f>
        <v>0</v>
      </c>
      <c r="AC296" s="16">
        <f ca="1">_xll.DBRW($D$4,$E$7,$E$8,$E$9,$E$10,$E$12,$D296,$E$6,AC$18,AC$17)</f>
        <v>0</v>
      </c>
      <c r="AD296" s="16"/>
      <c r="AE296" s="16"/>
      <c r="AF296" s="16"/>
      <c r="AG296" s="16"/>
      <c r="AH296" s="16">
        <f ca="1">_xll.DBRW($D$4,$E$7,$E$8,$E$9,$E$10,$E$12,$D296,$E$6,AH$18,AH$17)</f>
        <v>-2.8898199999999995E-2</v>
      </c>
      <c r="AI296" s="16">
        <f ca="1">_xll.DBRW($D$4,$E$7,$E$8,$E$9,$E$10,$E$12,$D296,$E$6,AI$18,AI$17)</f>
        <v>5.6399915531474476E-3</v>
      </c>
      <c r="AJ296" s="16"/>
      <c r="AK296" s="16"/>
      <c r="AL296" s="16"/>
      <c r="AM296" s="16"/>
      <c r="AN296" s="16">
        <f ca="1">_xll.DBRW($D$4,$E$7,$E$8,$E$9,$E$10,$E$12,$D296,$E$6,AN$18,AN$17)</f>
        <v>-1.8668758499999998</v>
      </c>
      <c r="AO296" s="16">
        <f ca="1">_xll.DBRW($D$4,$E$7,$E$8,$E$9,$E$10,$E$12,$D296,$E$6,AO$18,AO$17)</f>
        <v>0.36435362841889674</v>
      </c>
      <c r="AP296" s="16"/>
      <c r="AQ296" s="16"/>
      <c r="AR296" s="16"/>
      <c r="AS296" s="16"/>
      <c r="AT296" s="16">
        <f ca="1">_xll.DBRW($D$4,$E$7,$E$8,$E$9,$E$10,$E$12,$D296,$E$6,AT$18,AT$17)</f>
        <v>7.045185000000001E-2</v>
      </c>
      <c r="AU296" s="16">
        <f ca="1">_xll.DBRW($D$4,$E$7,$E$8,$E$9,$E$10,$E$12,$D296,$E$6,AU$18,AU$17)</f>
        <v>6.2877450000000001E-2</v>
      </c>
      <c r="AV296" s="16">
        <f ca="1">_xll.DBRW($D$4,$E$7,$E$8,$E$9,$E$10,$E$12,$D296,$E$6,AV$18,AV$17)</f>
        <v>0.60537300000000005</v>
      </c>
      <c r="AW296" s="16">
        <f ca="1">_xll.DBRW($D$4,$E$7,$E$8,$E$9,$E$10,$E$12,$D296,$E$6,AW$18,AW$17)</f>
        <v>6.2877450000000001E-2</v>
      </c>
      <c r="AX296" s="16">
        <f ca="1">_xll.DBRW($D$4,$E$7,$E$8,$E$9,$E$10,$E$12,$D296,$E$6,AX$18,AX$17)</f>
        <v>0</v>
      </c>
      <c r="AY296" s="16">
        <f ca="1">_xll.DBRW($D$4,$E$7,$E$8,$E$9,$E$10,$E$12,$D296,$E$6,AY$18,AY$17)</f>
        <v>0</v>
      </c>
      <c r="AZ296" s="16">
        <f ca="1">_xll.DBRW($D$4,$E$7,$E$8,$E$9,$E$10,$E$12,$D296,$E$6,AZ$18,AZ$17)</f>
        <v>0</v>
      </c>
      <c r="BA296" s="16">
        <f ca="1">_xll.DBRW($D$4,$E$7,$E$8,$E$9,$E$10,$E$12,$D296,$E$6,BA$18,BA$17)</f>
        <v>0</v>
      </c>
      <c r="BB296" s="16">
        <f ca="1">_xll.DBRW($D$4,$E$7,$E$8,$E$9,$E$10,$E$12,$D296,$E$6,BB$18,BB$17)</f>
        <v>6.2877450000000001E-2</v>
      </c>
      <c r="BC296" s="16">
        <f ca="1">_xll.DBRW($D$4,$E$7,$E$8,$E$9,$E$10,$E$12,$D296,$E$6,BC$18,BC$17)</f>
        <v>6.2877450000000001E-2</v>
      </c>
      <c r="BD296" s="16">
        <f ca="1">_xll.DBRW($D$4,$E$7,$E$8,$E$9,$E$10,$E$12,$D296,$E$6,BD$18,BD$17)</f>
        <v>0.5248300100000004</v>
      </c>
      <c r="BE296" s="16">
        <f ca="1">_xll.DBRW($D$4,$E$7,$E$8,$E$9,$E$10,$E$12,$D296,$E$6,BE$18,BE$17)</f>
        <v>-0.12417536</v>
      </c>
      <c r="BF296" s="16">
        <f ca="1">_xll.DBRW($D$4,$E$7,$E$8,$E$9,$E$10,$E$12,$D296,$E$6,BF$18,BF$17)</f>
        <v>0</v>
      </c>
      <c r="BG296" s="26">
        <f ca="1">_xll.DBRW($D$4,$E$7,$E$8,$E$9,$E$10,$E$12,$D296,$E$6,BG$18,BG$17)</f>
        <v>0</v>
      </c>
      <c r="BH296" s="26">
        <f ca="1">_xll.DBRW($D$4,$E$7,$E$8,$E$9,$E$10,$E$12,$D296,$E$6,BH$18,BH$17)</f>
        <v>0</v>
      </c>
      <c r="BI296" s="26">
        <f ca="1">_xll.DBRW($D$4,$E$7,$E$8,$E$9,$E$10,$E$12,$D296,$E$6,BI$18,BI$17)</f>
        <v>0</v>
      </c>
      <c r="BJ296" s="26">
        <f ca="1">_xll.DBRW($D$4,$E$7,$E$8,$E$9,$E$10,$E$12,$D296,$E$6,BJ$18,BJ$17)</f>
        <v>0</v>
      </c>
      <c r="BK296" s="16">
        <f ca="1">_xll.DBRW($D$4,$E$7,$E$8,$E$9,$E$10,$E$12,$D296,$E$6,BK$18,BK$17)</f>
        <v>0.64900537000000058</v>
      </c>
      <c r="BL296" s="16">
        <f ca="1">_xll.DBRW($D$4,$E$7,$E$8,$E$9,$E$10,$E$12,$D296,$E$6,BL$18,BL$17)</f>
        <v>3.9923027900000001</v>
      </c>
      <c r="BM296" s="16">
        <f ca="1">_xll.DBRW($D$4,$E$7,$E$8,$E$9,$E$10,$E$12,$D296,$E$6,BM$18,BM$17)</f>
        <v>-1.7931138599999994</v>
      </c>
      <c r="BN296" s="16">
        <f ca="1">_xll.DBRW($D$4,$E$7,$E$8,$E$9,$E$10,$E$12,$D296,$E$6,BN$18,BN$17)</f>
        <v>0.44914275151960592</v>
      </c>
      <c r="BO296" s="16"/>
      <c r="BP296" s="16"/>
      <c r="BQ296" s="16"/>
      <c r="BR296" s="16"/>
      <c r="BS296" s="16">
        <f ca="1">_xll.DBRW($D$4,$E$7,$E$8,$E$9,$E$10,$E$12,$D296,$E$6,BS$18,BS$17)</f>
        <v>-3.5842650000000004E-2</v>
      </c>
      <c r="BT296" s="16">
        <f ca="1">_xll.DBRW($D$4,$E$7,$E$8,$E$9,$E$10,$E$12,$D296,$E$6,BT$18,BT$17)</f>
        <v>8.977938770019997E-3</v>
      </c>
      <c r="BU296" s="16"/>
      <c r="BV296" s="16"/>
      <c r="BW296" s="16"/>
      <c r="BX296" s="16"/>
      <c r="BY296" s="16">
        <f ca="1">_xll.DBRW($D$4,$E$7,$E$8,$E$9,$E$10,$E$12,$D296,$E$6,BY$18,BY$17)</f>
        <v>0</v>
      </c>
      <c r="BZ296" s="16">
        <f ca="1">_xll.DBRW($D$4,$E$7,$E$8,$E$9,$E$10,$E$12,$D296,$E$6,BZ$18,BZ$17)</f>
        <v>0</v>
      </c>
      <c r="CA296" s="16"/>
      <c r="CB296" s="16"/>
      <c r="CC296" s="16"/>
      <c r="CD296" s="16"/>
      <c r="CE296" s="16">
        <f ca="1">_xll.DBRW($D$4,$E$7,$E$8,$E$9,$E$10,$E$12,$D296,$E$6,CE$18,CE$17)</f>
        <v>-1.5116539999999999E-2</v>
      </c>
      <c r="CF296" s="16">
        <f ca="1">_xll.DBRW($D$4,$E$7,$E$8,$E$9,$E$10,$E$12,$D296,$E$6,CF$18,CF$17)</f>
        <v>3.7864212198193514E-3</v>
      </c>
      <c r="CG296" s="16"/>
      <c r="CH296" s="16"/>
      <c r="CI296" s="16"/>
      <c r="CJ296" s="16"/>
      <c r="CK296" s="16">
        <f ca="1">_xll.DBRW($D$4,$E$7,$E$8,$E$9,$E$10,$E$12,$D296,$E$6,CK$18,CK$17)</f>
        <v>-1.4992243700000001</v>
      </c>
      <c r="CL296" s="16">
        <f ca="1">_xll.DBRW($D$4,$E$7,$E$8,$E$9,$E$10,$E$12,$D296,$E$6,CL$18,CL$17)</f>
        <v>0.37552872336118576</v>
      </c>
      <c r="CM296" s="16"/>
      <c r="CN296" s="16"/>
      <c r="CO296" s="16"/>
      <c r="CP296" s="16"/>
      <c r="CQ296" s="16">
        <f ca="1">_xll.DBRW($D$4,$E$7,$E$8,$E$9,$E$10,$E$12,$D296,$E$6,CQ$18,CQ$17)</f>
        <v>5.5472279999999999E-2</v>
      </c>
      <c r="CR296" s="16">
        <f ca="1">_xll.DBRW($D$4,$E$7,$E$8,$E$9,$E$10,$E$12,$D296,$E$6,CR$18,CR$17)</f>
        <v>4.8392480000000002E-2</v>
      </c>
      <c r="CS296" s="16">
        <f ca="1">_xll.DBRW($D$4,$E$7,$E$8,$E$9,$E$10,$E$12,$D296,$E$6,CS$18,CS$17)</f>
        <v>0.46953479999999992</v>
      </c>
      <c r="CT296" s="16">
        <f ca="1">_xll.DBRW($D$4,$E$7,$E$8,$E$9,$E$10,$E$12,$D296,$E$6,CT$18,CT$17)</f>
        <v>4.8392480000000002E-2</v>
      </c>
      <c r="CU296" s="16">
        <f ca="1">_xll.DBRW($D$4,$E$7,$E$8,$E$9,$E$10,$E$12,$D296,$E$6,CU$18,CU$17)</f>
        <v>0</v>
      </c>
      <c r="CV296" s="16">
        <f ca="1">_xll.DBRW($D$4,$E$7,$E$8,$E$9,$E$10,$E$12,$D296,$E$6,CV$18,CV$17)</f>
        <v>0</v>
      </c>
      <c r="CW296" s="16">
        <f ca="1">_xll.DBRW($D$4,$E$7,$E$8,$E$9,$E$10,$E$12,$D296,$E$6,CW$18,CW$17)</f>
        <v>0</v>
      </c>
      <c r="CX296" s="16">
        <f ca="1">_xll.DBRW($D$4,$E$7,$E$8,$E$9,$E$10,$E$12,$D296,$E$6,CX$18,CX$17)</f>
        <v>0</v>
      </c>
      <c r="CY296" s="16">
        <f ca="1">_xll.DBRW($D$4,$E$7,$E$8,$E$9,$E$10,$E$12,$D296,$E$6,CY$18,CY$17)</f>
        <v>4.8392480000000002E-2</v>
      </c>
      <c r="CZ296" s="16">
        <f ca="1">_xll.DBRW($D$4,$E$7,$E$8,$E$9,$E$10,$E$12,$D296,$E$6,CZ$18,CZ$17)</f>
        <v>4.8392480000000002E-2</v>
      </c>
      <c r="DA296" s="26">
        <f t="shared" ca="1" si="165"/>
        <v>0.18170029999999893</v>
      </c>
      <c r="DB296" s="26">
        <f t="shared" ca="1" si="166"/>
        <v>-3.4501029999999974E-2</v>
      </c>
      <c r="DC296" s="26">
        <f t="shared" ca="1" si="167"/>
        <v>-4.3368086899420177E-19</v>
      </c>
      <c r="DD296" s="26">
        <f t="shared" ca="1" si="168"/>
        <v>0</v>
      </c>
      <c r="DE296" s="26">
        <f t="shared" ca="1" si="169"/>
        <v>0</v>
      </c>
      <c r="DF296" s="26">
        <f t="shared" ca="1" si="170"/>
        <v>0</v>
      </c>
      <c r="DG296" s="26">
        <f t="shared" ca="1" si="171"/>
        <v>0</v>
      </c>
      <c r="DH296" s="26">
        <f t="shared" ca="1" si="172"/>
        <v>0.21620132999999864</v>
      </c>
      <c r="DI296" s="26">
        <f t="shared" ca="1" si="173"/>
        <v>1.1314992099999994</v>
      </c>
      <c r="DJ296" s="26">
        <f t="shared" ca="1" si="174"/>
        <v>-0.528450800000001</v>
      </c>
      <c r="DK296" s="26">
        <f t="shared" ca="1" si="175"/>
        <v>3.9513883398188954E-3</v>
      </c>
      <c r="DL296" s="26"/>
      <c r="DM296" s="26"/>
      <c r="DN296" s="26"/>
      <c r="DO296" s="26"/>
      <c r="DP296" s="26">
        <f t="shared" ca="1" si="176"/>
        <v>-5.4139399999999921E-3</v>
      </c>
      <c r="DQ296" s="26">
        <f t="shared" ca="1" si="177"/>
        <v>-9.2599023648962282E-4</v>
      </c>
      <c r="DR296" s="26"/>
      <c r="DS296" s="26"/>
      <c r="DT296" s="26"/>
      <c r="DU296" s="26"/>
      <c r="DV296" s="26">
        <f t="shared" ca="1" si="178"/>
        <v>0</v>
      </c>
      <c r="DW296" s="26">
        <f t="shared" ca="1" si="179"/>
        <v>0</v>
      </c>
      <c r="DX296" s="26"/>
      <c r="DY296" s="26"/>
      <c r="DZ296" s="26"/>
      <c r="EA296" s="26"/>
      <c r="EB296" s="26">
        <f t="shared" ca="1" si="180"/>
        <v>-1.3781659999999996E-2</v>
      </c>
      <c r="EC296" s="26">
        <f t="shared" ca="1" si="181"/>
        <v>1.8535703333280962E-3</v>
      </c>
      <c r="ED296" s="26"/>
      <c r="EE296" s="26"/>
      <c r="EF296" s="26"/>
      <c r="EG296" s="26"/>
      <c r="EH296" s="26">
        <f t="shared" ca="1" si="182"/>
        <v>-0.3676514799999997</v>
      </c>
      <c r="EI296" s="29">
        <f t="shared" ca="1" si="183"/>
        <v>-1.1175094942289021E-2</v>
      </c>
      <c r="EJ296" s="29"/>
      <c r="EK296" s="29"/>
      <c r="EL296" s="29"/>
      <c r="EM296" s="29"/>
      <c r="EN296" s="93"/>
      <c r="EO296" s="29"/>
      <c r="EP296" s="29"/>
      <c r="EQ296" s="29"/>
      <c r="ER296" s="29"/>
      <c r="ES296" s="29"/>
      <c r="ET296" s="29"/>
      <c r="EU296" s="93"/>
      <c r="EV296" s="29"/>
      <c r="EW296" s="29"/>
      <c r="EX296" s="29"/>
      <c r="EY296" s="29"/>
      <c r="EZ296" s="29"/>
      <c r="FA296" s="29"/>
      <c r="FB296" s="93"/>
      <c r="FC296" s="29"/>
      <c r="FD296" s="29"/>
      <c r="FE296" s="29"/>
      <c r="FF296" s="29"/>
      <c r="FG296" s="29"/>
      <c r="FH296" s="29"/>
      <c r="FI296" s="93"/>
      <c r="FJ296" s="29"/>
      <c r="FK296" s="29"/>
      <c r="FL296" s="29"/>
      <c r="FM296" s="29"/>
      <c r="FN296" s="29"/>
      <c r="FO296" s="29"/>
      <c r="FP296" s="93"/>
      <c r="FQ296" s="29"/>
      <c r="FR296" s="29"/>
      <c r="FS296" s="29"/>
      <c r="FT296" s="29"/>
      <c r="FU296" s="29"/>
      <c r="FV296" s="29"/>
    </row>
    <row r="297" spans="1:178" x14ac:dyDescent="0.25">
      <c r="A297" t="str">
        <f ca="1">IF(_xll.TM1RPTELISCONSOLIDATED($D$28,$D297),IF(_xll.TM1RPTELLEV($D$28,$D297)&lt;=3,_xll.TM1RPTELLEV($D$28,$D297),"D"),"N")</f>
        <v>N</v>
      </c>
      <c r="B297" t="str">
        <f ca="1">_xll.DBRA(Server&amp;"Management_organization",$D297,$B$27)</f>
        <v>L</v>
      </c>
      <c r="C297">
        <v>1</v>
      </c>
      <c r="D297" s="2" t="s">
        <v>254</v>
      </c>
      <c r="E297" s="26"/>
      <c r="F297" s="26"/>
      <c r="G297" s="16">
        <f ca="1">_xll.DBRW($D$4,$E$7,$E$8,$E$9,$E$10,$E$12,$D297,$E$6,G$18,G$17)</f>
        <v>1.1785895799999968</v>
      </c>
      <c r="H297" s="16">
        <f ca="1">_xll.DBRW($D$4,$E$7,$E$8,$E$9,$E$10,$E$12,$D297,$E$6,H$18,H$17)</f>
        <v>-0.21807139999999997</v>
      </c>
      <c r="I297" s="16">
        <f ca="1">_xll.DBRW($D$4,$E$7,$E$8,$E$9,$E$10,$E$12,$D297,$E$6,I$18,I$17)</f>
        <v>-1.0164395367051604E-19</v>
      </c>
      <c r="J297" s="26">
        <f ca="1">_xll.DBRW($D$4,$E$7,$E$8,$E$9,$E$10,$E$12,$D297,$E$6,J$18,J$17)</f>
        <v>0</v>
      </c>
      <c r="K297" s="26">
        <f ca="1">_xll.DBRW($D$4,$E$7,$E$8,$E$9,$E$10,$E$12,$D297,$E$6,K$18,K$17)</f>
        <v>0</v>
      </c>
      <c r="L297" s="26">
        <f ca="1">_xll.DBRW($D$4,$E$7,$E$8,$E$9,$E$10,$E$12,$D297,$E$6,L$18,L$17)</f>
        <v>0</v>
      </c>
      <c r="M297" s="26">
        <f ca="1">_xll.DBRW($D$4,$E$7,$E$8,$E$9,$E$10,$E$12,$D297,$E$6,M$18,M$17)</f>
        <v>0</v>
      </c>
      <c r="N297" s="16">
        <f ca="1">_xll.DBRW($D$4,$E$7,$E$8,$E$9,$E$10,$E$12,$D297,$E$6,N$18,N$17)</f>
        <v>1.3966609799999969</v>
      </c>
      <c r="O297" s="16">
        <f ca="1">_xll.DBRW($D$4,$E$7,$E$8,$E$9,$E$10,$E$12,$D297,$E$6,O$18,O$17)</f>
        <v>10.878927129999999</v>
      </c>
      <c r="P297" s="74">
        <f ca="1">_xll.DBRW($D$4,$E$7,$E$8,$E$9,$E$10,$E$12,$D297,$E$6,P$18,P$17)</f>
        <v>-4.5471201300000006</v>
      </c>
      <c r="Q297" s="16">
        <f ca="1">_xll.DBRW($D$4,$E$7,$E$8,$E$9,$E$10,$E$12,$D297,$E$6,Q$18,Q$17)</f>
        <v>0.41797505173655858</v>
      </c>
      <c r="R297" s="16"/>
      <c r="S297" s="16"/>
      <c r="T297" s="16"/>
      <c r="U297" s="16"/>
      <c r="V297" s="16">
        <f ca="1">_xll.DBRW($D$4,$E$7,$E$8,$E$9,$E$10,$E$12,$D297,$E$6,V$18,V$17)</f>
        <v>-2.1767033899999997</v>
      </c>
      <c r="W297" s="16">
        <f ca="1">_xll.DBRW($D$4,$E$7,$E$8,$E$9,$E$10,$E$12,$D297,$E$6,W$18,W$17)</f>
        <v>0.20008438001183668</v>
      </c>
      <c r="X297" s="16"/>
      <c r="Y297" s="16"/>
      <c r="Z297" s="16"/>
      <c r="AA297" s="16"/>
      <c r="AB297" s="16">
        <f ca="1">_xll.DBRW($D$4,$E$7,$E$8,$E$9,$E$10,$E$12,$D297,$E$6,AB$18,AB$17)</f>
        <v>0</v>
      </c>
      <c r="AC297" s="16">
        <f ca="1">_xll.DBRW($D$4,$E$7,$E$8,$E$9,$E$10,$E$12,$D297,$E$6,AC$18,AC$17)</f>
        <v>0</v>
      </c>
      <c r="AD297" s="16"/>
      <c r="AE297" s="16"/>
      <c r="AF297" s="16"/>
      <c r="AG297" s="16"/>
      <c r="AH297" s="16">
        <f ca="1">_xll.DBRW($D$4,$E$7,$E$8,$E$9,$E$10,$E$12,$D297,$E$6,AH$18,AH$17)</f>
        <v>-2.5556309999999999E-2</v>
      </c>
      <c r="AI297" s="16">
        <f ca="1">_xll.DBRW($D$4,$E$7,$E$8,$E$9,$E$10,$E$12,$D297,$E$6,AI$18,AI$17)</f>
        <v>2.3491572003938961E-3</v>
      </c>
      <c r="AJ297" s="16"/>
      <c r="AK297" s="16"/>
      <c r="AL297" s="16"/>
      <c r="AM297" s="16"/>
      <c r="AN297" s="16">
        <f ca="1">_xll.DBRW($D$4,$E$7,$E$8,$E$9,$E$10,$E$12,$D297,$E$6,AN$18,AN$17)</f>
        <v>-2.73288632</v>
      </c>
      <c r="AO297" s="16">
        <f ca="1">_xll.DBRW($D$4,$E$7,$E$8,$E$9,$E$10,$E$12,$D297,$E$6,AO$18,AO$17)</f>
        <v>0.25120917599160353</v>
      </c>
      <c r="AP297" s="16"/>
      <c r="AQ297" s="16"/>
      <c r="AR297" s="16"/>
      <c r="AS297" s="16"/>
      <c r="AT297" s="16">
        <f ca="1">_xll.DBRW($D$4,$E$7,$E$8,$E$9,$E$10,$E$12,$D297,$E$6,AT$18,AT$17)</f>
        <v>0.17186157999999999</v>
      </c>
      <c r="AU297" s="16">
        <f ca="1">_xll.DBRW($D$4,$E$7,$E$8,$E$9,$E$10,$E$12,$D297,$E$6,AU$18,AU$17)</f>
        <v>0.14540627</v>
      </c>
      <c r="AV297" s="16">
        <f ca="1">_xll.DBRW($D$4,$E$7,$E$8,$E$9,$E$10,$E$12,$D297,$E$6,AV$18,AV$17)</f>
        <v>3.2582069999999996</v>
      </c>
      <c r="AW297" s="16">
        <f ca="1">_xll.DBRW($D$4,$E$7,$E$8,$E$9,$E$10,$E$12,$D297,$E$6,AW$18,AW$17)</f>
        <v>0.14540627</v>
      </c>
      <c r="AX297" s="16">
        <f ca="1">_xll.DBRW($D$4,$E$7,$E$8,$E$9,$E$10,$E$12,$D297,$E$6,AX$18,AX$17)</f>
        <v>0</v>
      </c>
      <c r="AY297" s="16">
        <f ca="1">_xll.DBRW($D$4,$E$7,$E$8,$E$9,$E$10,$E$12,$D297,$E$6,AY$18,AY$17)</f>
        <v>0</v>
      </c>
      <c r="AZ297" s="16">
        <f ca="1">_xll.DBRW($D$4,$E$7,$E$8,$E$9,$E$10,$E$12,$D297,$E$6,AZ$18,AZ$17)</f>
        <v>0</v>
      </c>
      <c r="BA297" s="16">
        <f ca="1">_xll.DBRW($D$4,$E$7,$E$8,$E$9,$E$10,$E$12,$D297,$E$6,BA$18,BA$17)</f>
        <v>0</v>
      </c>
      <c r="BB297" s="16">
        <f ca="1">_xll.DBRW($D$4,$E$7,$E$8,$E$9,$E$10,$E$12,$D297,$E$6,BB$18,BB$17)</f>
        <v>0.14540627</v>
      </c>
      <c r="BC297" s="16">
        <f ca="1">_xll.DBRW($D$4,$E$7,$E$8,$E$9,$E$10,$E$12,$D297,$E$6,BC$18,BC$17)</f>
        <v>0.14540627</v>
      </c>
      <c r="BD297" s="16">
        <f ca="1">_xll.DBRW($D$4,$E$7,$E$8,$E$9,$E$10,$E$12,$D297,$E$6,BD$18,BD$17)</f>
        <v>1.0047303400000014</v>
      </c>
      <c r="BE297" s="16">
        <f ca="1">_xll.DBRW($D$4,$E$7,$E$8,$E$9,$E$10,$E$12,$D297,$E$6,BE$18,BE$17)</f>
        <v>-0.14743853999999998</v>
      </c>
      <c r="BF297" s="16">
        <f ca="1">_xll.DBRW($D$4,$E$7,$E$8,$E$9,$E$10,$E$12,$D297,$E$6,BF$18,BF$17)</f>
        <v>0</v>
      </c>
      <c r="BG297" s="26">
        <f ca="1">_xll.DBRW($D$4,$E$7,$E$8,$E$9,$E$10,$E$12,$D297,$E$6,BG$18,BG$17)</f>
        <v>0</v>
      </c>
      <c r="BH297" s="26">
        <f ca="1">_xll.DBRW($D$4,$E$7,$E$8,$E$9,$E$10,$E$12,$D297,$E$6,BH$18,BH$17)</f>
        <v>0</v>
      </c>
      <c r="BI297" s="26">
        <f ca="1">_xll.DBRW($D$4,$E$7,$E$8,$E$9,$E$10,$E$12,$D297,$E$6,BI$18,BI$17)</f>
        <v>0</v>
      </c>
      <c r="BJ297" s="26">
        <f ca="1">_xll.DBRW($D$4,$E$7,$E$8,$E$9,$E$10,$E$12,$D297,$E$6,BJ$18,BJ$17)</f>
        <v>0</v>
      </c>
      <c r="BK297" s="16">
        <f ca="1">_xll.DBRW($D$4,$E$7,$E$8,$E$9,$E$10,$E$12,$D297,$E$6,BK$18,BK$17)</f>
        <v>1.1521688800000016</v>
      </c>
      <c r="BL297" s="16">
        <f ca="1">_xll.DBRW($D$4,$E$7,$E$8,$E$9,$E$10,$E$12,$D297,$E$6,BL$18,BL$17)</f>
        <v>8.3819866199999993</v>
      </c>
      <c r="BM297" s="16">
        <f ca="1">_xll.DBRW($D$4,$E$7,$E$8,$E$9,$E$10,$E$12,$D297,$E$6,BM$18,BM$17)</f>
        <v>-3.4202889899999991</v>
      </c>
      <c r="BN297" s="16">
        <f ca="1">_xll.DBRW($D$4,$E$7,$E$8,$E$9,$E$10,$E$12,$D297,$E$6,BN$18,BN$17)</f>
        <v>0.40805230848722107</v>
      </c>
      <c r="BO297" s="16"/>
      <c r="BP297" s="16"/>
      <c r="BQ297" s="16"/>
      <c r="BR297" s="16"/>
      <c r="BS297" s="16">
        <f ca="1">_xll.DBRW($D$4,$E$7,$E$8,$E$9,$E$10,$E$12,$D297,$E$6,BS$18,BS$17)</f>
        <v>-1.7062050299999996</v>
      </c>
      <c r="BT297" s="16">
        <f ca="1">_xll.DBRW($D$4,$E$7,$E$8,$E$9,$E$10,$E$12,$D297,$E$6,BT$18,BT$17)</f>
        <v>0.20355616244111824</v>
      </c>
      <c r="BU297" s="16"/>
      <c r="BV297" s="16"/>
      <c r="BW297" s="16"/>
      <c r="BX297" s="16"/>
      <c r="BY297" s="16">
        <f ca="1">_xll.DBRW($D$4,$E$7,$E$8,$E$9,$E$10,$E$12,$D297,$E$6,BY$18,BY$17)</f>
        <v>0</v>
      </c>
      <c r="BZ297" s="16">
        <f ca="1">_xll.DBRW($D$4,$E$7,$E$8,$E$9,$E$10,$E$12,$D297,$E$6,BZ$18,BZ$17)</f>
        <v>0</v>
      </c>
      <c r="CA297" s="16"/>
      <c r="CB297" s="16"/>
      <c r="CC297" s="16"/>
      <c r="CD297" s="16"/>
      <c r="CE297" s="16">
        <f ca="1">_xll.DBRW($D$4,$E$7,$E$8,$E$9,$E$10,$E$12,$D297,$E$6,CE$18,CE$17)</f>
        <v>-2.5013569999999999E-2</v>
      </c>
      <c r="CF297" s="16">
        <f ca="1">_xll.DBRW($D$4,$E$7,$E$8,$E$9,$E$10,$E$12,$D297,$E$6,CF$18,CF$17)</f>
        <v>2.9842054317190023E-3</v>
      </c>
      <c r="CG297" s="16"/>
      <c r="CH297" s="16"/>
      <c r="CI297" s="16"/>
      <c r="CJ297" s="16"/>
      <c r="CK297" s="16">
        <f ca="1">_xll.DBRW($D$4,$E$7,$E$8,$E$9,$E$10,$E$12,$D297,$E$6,CK$18,CK$17)</f>
        <v>-2.0783101499999996</v>
      </c>
      <c r="CL297" s="16">
        <f ca="1">_xll.DBRW($D$4,$E$7,$E$8,$E$9,$E$10,$E$12,$D297,$E$6,CL$18,CL$17)</f>
        <v>0.24794959049934631</v>
      </c>
      <c r="CM297" s="16"/>
      <c r="CN297" s="16"/>
      <c r="CO297" s="16"/>
      <c r="CP297" s="16"/>
      <c r="CQ297" s="16">
        <f ca="1">_xll.DBRW($D$4,$E$7,$E$8,$E$9,$E$10,$E$12,$D297,$E$6,CQ$18,CQ$17)</f>
        <v>0.13323309</v>
      </c>
      <c r="CR297" s="16">
        <f ca="1">_xll.DBRW($D$4,$E$7,$E$8,$E$9,$E$10,$E$12,$D297,$E$6,CR$18,CR$17)</f>
        <v>0.11256964</v>
      </c>
      <c r="CS297" s="16">
        <f ca="1">_xll.DBRW($D$4,$E$7,$E$8,$E$9,$E$10,$E$12,$D297,$E$6,CS$18,CS$17)</f>
        <v>2.5110327400000001</v>
      </c>
      <c r="CT297" s="16">
        <f ca="1">_xll.DBRW($D$4,$E$7,$E$8,$E$9,$E$10,$E$12,$D297,$E$6,CT$18,CT$17)</f>
        <v>0.11256964</v>
      </c>
      <c r="CU297" s="16">
        <f ca="1">_xll.DBRW($D$4,$E$7,$E$8,$E$9,$E$10,$E$12,$D297,$E$6,CU$18,CU$17)</f>
        <v>0</v>
      </c>
      <c r="CV297" s="16">
        <f ca="1">_xll.DBRW($D$4,$E$7,$E$8,$E$9,$E$10,$E$12,$D297,$E$6,CV$18,CV$17)</f>
        <v>0</v>
      </c>
      <c r="CW297" s="16">
        <f ca="1">_xll.DBRW($D$4,$E$7,$E$8,$E$9,$E$10,$E$12,$D297,$E$6,CW$18,CW$17)</f>
        <v>0</v>
      </c>
      <c r="CX297" s="16">
        <f ca="1">_xll.DBRW($D$4,$E$7,$E$8,$E$9,$E$10,$E$12,$D297,$E$6,CX$18,CX$17)</f>
        <v>0</v>
      </c>
      <c r="CY297" s="16">
        <f ca="1">_xll.DBRW($D$4,$E$7,$E$8,$E$9,$E$10,$E$12,$D297,$E$6,CY$18,CY$17)</f>
        <v>0.11256964</v>
      </c>
      <c r="CZ297" s="16">
        <f ca="1">_xll.DBRW($D$4,$E$7,$E$8,$E$9,$E$10,$E$12,$D297,$E$6,CZ$18,CZ$17)</f>
        <v>0.11256964</v>
      </c>
      <c r="DA297" s="26">
        <f t="shared" ca="1" si="165"/>
        <v>0.17385923999999542</v>
      </c>
      <c r="DB297" s="26">
        <f t="shared" ca="1" si="166"/>
        <v>-7.0632859999999992E-2</v>
      </c>
      <c r="DC297" s="26">
        <f t="shared" ca="1" si="167"/>
        <v>-1.0164395367051604E-19</v>
      </c>
      <c r="DD297" s="26">
        <f t="shared" ca="1" si="168"/>
        <v>0</v>
      </c>
      <c r="DE297" s="26">
        <f t="shared" ca="1" si="169"/>
        <v>0</v>
      </c>
      <c r="DF297" s="26">
        <f t="shared" ca="1" si="170"/>
        <v>0</v>
      </c>
      <c r="DG297" s="26">
        <f t="shared" ca="1" si="171"/>
        <v>0</v>
      </c>
      <c r="DH297" s="26">
        <f t="shared" ca="1" si="172"/>
        <v>0.24449209999999533</v>
      </c>
      <c r="DI297" s="26">
        <f t="shared" ca="1" si="173"/>
        <v>2.4969405099999999</v>
      </c>
      <c r="DJ297" s="26">
        <f t="shared" ca="1" si="174"/>
        <v>-1.1268311400000015</v>
      </c>
      <c r="DK297" s="26">
        <f t="shared" ca="1" si="175"/>
        <v>9.9227432493375067E-3</v>
      </c>
      <c r="DL297" s="26"/>
      <c r="DM297" s="26"/>
      <c r="DN297" s="26"/>
      <c r="DO297" s="26"/>
      <c r="DP297" s="26">
        <f t="shared" ca="1" si="176"/>
        <v>-0.47049836000000012</v>
      </c>
      <c r="DQ297" s="26">
        <f t="shared" ca="1" si="177"/>
        <v>-3.4717824292815613E-3</v>
      </c>
      <c r="DR297" s="26"/>
      <c r="DS297" s="26"/>
      <c r="DT297" s="26"/>
      <c r="DU297" s="26"/>
      <c r="DV297" s="26">
        <f t="shared" ca="1" si="178"/>
        <v>0</v>
      </c>
      <c r="DW297" s="26">
        <f t="shared" ca="1" si="179"/>
        <v>0</v>
      </c>
      <c r="DX297" s="26"/>
      <c r="DY297" s="26"/>
      <c r="DZ297" s="26"/>
      <c r="EA297" s="26"/>
      <c r="EB297" s="26">
        <f t="shared" ca="1" si="180"/>
        <v>-5.4273999999999989E-4</v>
      </c>
      <c r="EC297" s="26">
        <f t="shared" ca="1" si="181"/>
        <v>-6.3504823132510624E-4</v>
      </c>
      <c r="ED297" s="26"/>
      <c r="EE297" s="26"/>
      <c r="EF297" s="26"/>
      <c r="EG297" s="26"/>
      <c r="EH297" s="26">
        <f t="shared" ca="1" si="182"/>
        <v>-0.65457617000000035</v>
      </c>
      <c r="EI297" s="29">
        <f t="shared" ca="1" si="183"/>
        <v>3.2595854922572165E-3</v>
      </c>
      <c r="EJ297" s="29"/>
      <c r="EK297" s="29"/>
      <c r="EL297" s="29"/>
      <c r="EM297" s="29"/>
      <c r="EN297" s="93"/>
      <c r="EO297" s="29"/>
      <c r="EP297" s="29"/>
      <c r="EQ297" s="29"/>
      <c r="ER297" s="29"/>
      <c r="ES297" s="29"/>
      <c r="ET297" s="29"/>
      <c r="EU297" s="93"/>
      <c r="EV297" s="29"/>
      <c r="EW297" s="29"/>
      <c r="EX297" s="29"/>
      <c r="EY297" s="29"/>
      <c r="EZ297" s="29"/>
      <c r="FA297" s="29"/>
      <c r="FB297" s="93"/>
      <c r="FC297" s="29"/>
      <c r="FD297" s="29"/>
      <c r="FE297" s="29"/>
      <c r="FF297" s="29"/>
      <c r="FG297" s="29"/>
      <c r="FH297" s="29"/>
      <c r="FI297" s="93"/>
      <c r="FJ297" s="29"/>
      <c r="FK297" s="29"/>
      <c r="FL297" s="29"/>
      <c r="FM297" s="29"/>
      <c r="FN297" s="29"/>
      <c r="FO297" s="29"/>
      <c r="FP297" s="93"/>
      <c r="FQ297" s="29"/>
      <c r="FR297" s="29"/>
      <c r="FS297" s="29"/>
      <c r="FT297" s="29"/>
      <c r="FU297" s="29"/>
      <c r="FV297" s="29"/>
    </row>
    <row r="298" spans="1:178" x14ac:dyDescent="0.25">
      <c r="A298" t="str">
        <f ca="1">IF(_xll.TM1RPTELISCONSOLIDATED($D$28,$D298),IF(_xll.TM1RPTELLEV($D$28,$D298)&lt;=3,_xll.TM1RPTELLEV($D$28,$D298),"D"),"N")</f>
        <v>N</v>
      </c>
      <c r="B298" t="str">
        <f ca="1">_xll.DBRA(Server&amp;"Management_organization",$D298,$B$27)</f>
        <v>L</v>
      </c>
      <c r="C298">
        <v>1</v>
      </c>
      <c r="D298" s="2" t="s">
        <v>324</v>
      </c>
      <c r="E298" s="26"/>
      <c r="F298" s="26"/>
      <c r="G298" s="16">
        <f ca="1">_xll.DBRW($D$4,$E$7,$E$8,$E$9,$E$10,$E$12,$D298,$E$6,G$18,G$17)</f>
        <v>2.8353228699999993</v>
      </c>
      <c r="H298" s="16">
        <f ca="1">_xll.DBRW($D$4,$E$7,$E$8,$E$9,$E$10,$E$12,$D298,$E$6,H$18,H$17)</f>
        <v>-0.30700235999999997</v>
      </c>
      <c r="I298" s="16">
        <f ca="1">_xll.DBRW($D$4,$E$7,$E$8,$E$9,$E$10,$E$12,$D298,$E$6,I$18,I$17)</f>
        <v>0</v>
      </c>
      <c r="J298" s="26">
        <f ca="1">_xll.DBRW($D$4,$E$7,$E$8,$E$9,$E$10,$E$12,$D298,$E$6,J$18,J$17)</f>
        <v>0</v>
      </c>
      <c r="K298" s="26">
        <f ca="1">_xll.DBRW($D$4,$E$7,$E$8,$E$9,$E$10,$E$12,$D298,$E$6,K$18,K$17)</f>
        <v>0</v>
      </c>
      <c r="L298" s="26">
        <f ca="1">_xll.DBRW($D$4,$E$7,$E$8,$E$9,$E$10,$E$12,$D298,$E$6,L$18,L$17)</f>
        <v>0</v>
      </c>
      <c r="M298" s="26">
        <f ca="1">_xll.DBRW($D$4,$E$7,$E$8,$E$9,$E$10,$E$12,$D298,$E$6,M$18,M$17)</f>
        <v>0</v>
      </c>
      <c r="N298" s="16">
        <f ca="1">_xll.DBRW($D$4,$E$7,$E$8,$E$9,$E$10,$E$12,$D298,$E$6,N$18,N$17)</f>
        <v>3.1423252299999991</v>
      </c>
      <c r="O298" s="16">
        <f ca="1">_xll.DBRW($D$4,$E$7,$E$8,$E$9,$E$10,$E$12,$D298,$E$6,O$18,O$17)</f>
        <v>17.642225910000001</v>
      </c>
      <c r="P298" s="74">
        <f ca="1">_xll.DBRW($D$4,$E$7,$E$8,$E$9,$E$10,$E$12,$D298,$E$6,P$18,P$17)</f>
        <v>-7.5518059000000015</v>
      </c>
      <c r="Q298" s="16">
        <f ca="1">_xll.DBRW($D$4,$E$7,$E$8,$E$9,$E$10,$E$12,$D298,$E$6,Q$18,Q$17)</f>
        <v>0.42805289641594896</v>
      </c>
      <c r="R298" s="16"/>
      <c r="S298" s="16"/>
      <c r="T298" s="16"/>
      <c r="U298" s="16"/>
      <c r="V298" s="16">
        <f ca="1">_xll.DBRW($D$4,$E$7,$E$8,$E$9,$E$10,$E$12,$D298,$E$6,V$18,V$17)</f>
        <v>-3.1841329700000003</v>
      </c>
      <c r="W298" s="16">
        <f ca="1">_xll.DBRW($D$4,$E$7,$E$8,$E$9,$E$10,$E$12,$D298,$E$6,W$18,W$17)</f>
        <v>0.18048362980065707</v>
      </c>
      <c r="X298" s="16"/>
      <c r="Y298" s="16"/>
      <c r="Z298" s="16"/>
      <c r="AA298" s="16"/>
      <c r="AB298" s="16">
        <f ca="1">_xll.DBRW($D$4,$E$7,$E$8,$E$9,$E$10,$E$12,$D298,$E$6,AB$18,AB$17)</f>
        <v>0</v>
      </c>
      <c r="AC298" s="16">
        <f ca="1">_xll.DBRW($D$4,$E$7,$E$8,$E$9,$E$10,$E$12,$D298,$E$6,AC$18,AC$17)</f>
        <v>0</v>
      </c>
      <c r="AD298" s="16"/>
      <c r="AE298" s="16"/>
      <c r="AF298" s="16"/>
      <c r="AG298" s="16"/>
      <c r="AH298" s="16">
        <f ca="1">_xll.DBRW($D$4,$E$7,$E$8,$E$9,$E$10,$E$12,$D298,$E$6,AH$18,AH$17)</f>
        <v>-6.9290999999999997E-3</v>
      </c>
      <c r="AI298" s="16">
        <f ca="1">_xll.DBRW($D$4,$E$7,$E$8,$E$9,$E$10,$E$12,$D298,$E$6,AI$18,AI$17)</f>
        <v>3.927565623152141E-4</v>
      </c>
      <c r="AJ298" s="16"/>
      <c r="AK298" s="16"/>
      <c r="AL298" s="16"/>
      <c r="AM298" s="16"/>
      <c r="AN298" s="16">
        <f ca="1">_xll.DBRW($D$4,$E$7,$E$8,$E$9,$E$10,$E$12,$D298,$E$6,AN$18,AN$17)</f>
        <v>-3.7570327100000003</v>
      </c>
      <c r="AO298" s="16">
        <f ca="1">_xll.DBRW($D$4,$E$7,$E$8,$E$9,$E$10,$E$12,$D298,$E$6,AO$18,AO$17)</f>
        <v>0.21295684168007575</v>
      </c>
      <c r="AP298" s="16"/>
      <c r="AQ298" s="16"/>
      <c r="AR298" s="16"/>
      <c r="AS298" s="16"/>
      <c r="AT298" s="16">
        <f ca="1">_xll.DBRW($D$4,$E$7,$E$8,$E$9,$E$10,$E$12,$D298,$E$6,AT$18,AT$17)</f>
        <v>0.29134546</v>
      </c>
      <c r="AU298" s="16">
        <f ca="1">_xll.DBRW($D$4,$E$7,$E$8,$E$9,$E$10,$E$12,$D298,$E$6,AU$18,AU$17)</f>
        <v>0.21936636999999998</v>
      </c>
      <c r="AV298" s="16">
        <f ca="1">_xll.DBRW($D$4,$E$7,$E$8,$E$9,$E$10,$E$12,$D298,$E$6,AV$18,AV$17)</f>
        <v>4.5762009999999993</v>
      </c>
      <c r="AW298" s="16">
        <f ca="1">_xll.DBRW($D$4,$E$7,$E$8,$E$9,$E$10,$E$12,$D298,$E$6,AW$18,AW$17)</f>
        <v>0.21936636999999998</v>
      </c>
      <c r="AX298" s="16">
        <f ca="1">_xll.DBRW($D$4,$E$7,$E$8,$E$9,$E$10,$E$12,$D298,$E$6,AX$18,AX$17)</f>
        <v>0</v>
      </c>
      <c r="AY298" s="16">
        <f ca="1">_xll.DBRW($D$4,$E$7,$E$8,$E$9,$E$10,$E$12,$D298,$E$6,AY$18,AY$17)</f>
        <v>0</v>
      </c>
      <c r="AZ298" s="16">
        <f ca="1">_xll.DBRW($D$4,$E$7,$E$8,$E$9,$E$10,$E$12,$D298,$E$6,AZ$18,AZ$17)</f>
        <v>0</v>
      </c>
      <c r="BA298" s="16">
        <f ca="1">_xll.DBRW($D$4,$E$7,$E$8,$E$9,$E$10,$E$12,$D298,$E$6,BA$18,BA$17)</f>
        <v>0</v>
      </c>
      <c r="BB298" s="16">
        <f ca="1">_xll.DBRW($D$4,$E$7,$E$8,$E$9,$E$10,$E$12,$D298,$E$6,BB$18,BB$17)</f>
        <v>0.21936636999999998</v>
      </c>
      <c r="BC298" s="16">
        <f ca="1">_xll.DBRW($D$4,$E$7,$E$8,$E$9,$E$10,$E$12,$D298,$E$6,BC$18,BC$17)</f>
        <v>0.21936636999999998</v>
      </c>
      <c r="BD298" s="16">
        <f ca="1">_xll.DBRW($D$4,$E$7,$E$8,$E$9,$E$10,$E$12,$D298,$E$6,BD$18,BD$17)</f>
        <v>2.7291058399999932</v>
      </c>
      <c r="BE298" s="16">
        <f ca="1">_xll.DBRW($D$4,$E$7,$E$8,$E$9,$E$10,$E$12,$D298,$E$6,BE$18,BE$17)</f>
        <v>-0.19374107999999998</v>
      </c>
      <c r="BF298" s="16">
        <f ca="1">_xll.DBRW($D$4,$E$7,$E$8,$E$9,$E$10,$E$12,$D298,$E$6,BF$18,BF$17)</f>
        <v>0</v>
      </c>
      <c r="BG298" s="26">
        <f ca="1">_xll.DBRW($D$4,$E$7,$E$8,$E$9,$E$10,$E$12,$D298,$E$6,BG$18,BG$17)</f>
        <v>0</v>
      </c>
      <c r="BH298" s="26">
        <f ca="1">_xll.DBRW($D$4,$E$7,$E$8,$E$9,$E$10,$E$12,$D298,$E$6,BH$18,BH$17)</f>
        <v>0</v>
      </c>
      <c r="BI298" s="26">
        <f ca="1">_xll.DBRW($D$4,$E$7,$E$8,$E$9,$E$10,$E$12,$D298,$E$6,BI$18,BI$17)</f>
        <v>0</v>
      </c>
      <c r="BJ298" s="26">
        <f ca="1">_xll.DBRW($D$4,$E$7,$E$8,$E$9,$E$10,$E$12,$D298,$E$6,BJ$18,BJ$17)</f>
        <v>0</v>
      </c>
      <c r="BK298" s="16">
        <f ca="1">_xll.DBRW($D$4,$E$7,$E$8,$E$9,$E$10,$E$12,$D298,$E$6,BK$18,BK$17)</f>
        <v>2.9228469199999934</v>
      </c>
      <c r="BL298" s="16">
        <f ca="1">_xll.DBRW($D$4,$E$7,$E$8,$E$9,$E$10,$E$12,$D298,$E$6,BL$18,BL$17)</f>
        <v>13.480090559999995</v>
      </c>
      <c r="BM298" s="16">
        <f ca="1">_xll.DBRW($D$4,$E$7,$E$8,$E$9,$E$10,$E$12,$D298,$E$6,BM$18,BM$17)</f>
        <v>-5.5219388600000006</v>
      </c>
      <c r="BN298" s="16">
        <f ca="1">_xll.DBRW($D$4,$E$7,$E$8,$E$9,$E$10,$E$12,$D298,$E$6,BN$18,BN$17)</f>
        <v>0.40963662932543404</v>
      </c>
      <c r="BO298" s="16"/>
      <c r="BP298" s="16"/>
      <c r="BQ298" s="16"/>
      <c r="BR298" s="16"/>
      <c r="BS298" s="16">
        <f ca="1">_xll.DBRW($D$4,$E$7,$E$8,$E$9,$E$10,$E$12,$D298,$E$6,BS$18,BS$17)</f>
        <v>-2.5043647500000006</v>
      </c>
      <c r="BT298" s="16">
        <f ca="1">_xll.DBRW($D$4,$E$7,$E$8,$E$9,$E$10,$E$12,$D298,$E$6,BT$18,BT$17)</f>
        <v>0.18578248705771316</v>
      </c>
      <c r="BU298" s="16"/>
      <c r="BV298" s="16"/>
      <c r="BW298" s="16"/>
      <c r="BX298" s="16"/>
      <c r="BY298" s="16">
        <f ca="1">_xll.DBRW($D$4,$E$7,$E$8,$E$9,$E$10,$E$12,$D298,$E$6,BY$18,BY$17)</f>
        <v>0</v>
      </c>
      <c r="BZ298" s="16">
        <f ca="1">_xll.DBRW($D$4,$E$7,$E$8,$E$9,$E$10,$E$12,$D298,$E$6,BZ$18,BZ$17)</f>
        <v>0</v>
      </c>
      <c r="CA298" s="16"/>
      <c r="CB298" s="16"/>
      <c r="CC298" s="16"/>
      <c r="CD298" s="16"/>
      <c r="CE298" s="16">
        <f ca="1">_xll.DBRW($D$4,$E$7,$E$8,$E$9,$E$10,$E$12,$D298,$E$6,CE$18,CE$17)</f>
        <v>-6.4350000000000015E-3</v>
      </c>
      <c r="CF298" s="16">
        <f ca="1">_xll.DBRW($D$4,$E$7,$E$8,$E$9,$E$10,$E$12,$D298,$E$6,CF$18,CF$17)</f>
        <v>4.7737068021596463E-4</v>
      </c>
      <c r="CG298" s="16"/>
      <c r="CH298" s="16"/>
      <c r="CI298" s="16"/>
      <c r="CJ298" s="16"/>
      <c r="CK298" s="16">
        <f ca="1">_xll.DBRW($D$4,$E$7,$E$8,$E$9,$E$10,$E$12,$D298,$E$6,CK$18,CK$17)</f>
        <v>-2.5245050300000003</v>
      </c>
      <c r="CL298" s="16">
        <f ca="1">_xll.DBRW($D$4,$E$7,$E$8,$E$9,$E$10,$E$12,$D298,$E$6,CL$18,CL$17)</f>
        <v>0.18727656307377219</v>
      </c>
      <c r="CM298" s="16"/>
      <c r="CN298" s="16"/>
      <c r="CO298" s="16"/>
      <c r="CP298" s="16"/>
      <c r="CQ298" s="16">
        <f ca="1">_xll.DBRW($D$4,$E$7,$E$8,$E$9,$E$10,$E$12,$D298,$E$6,CQ$18,CQ$17)</f>
        <v>0.21991756000000001</v>
      </c>
      <c r="CR298" s="16">
        <f ca="1">_xll.DBRW($D$4,$E$7,$E$8,$E$9,$E$10,$E$12,$D298,$E$6,CR$18,CR$17)</f>
        <v>0.167876</v>
      </c>
      <c r="CS298" s="16">
        <f ca="1">_xll.DBRW($D$4,$E$7,$E$8,$E$9,$E$10,$E$12,$D298,$E$6,CS$18,CS$17)</f>
        <v>3.4297066800000002</v>
      </c>
      <c r="CT298" s="16">
        <f ca="1">_xll.DBRW($D$4,$E$7,$E$8,$E$9,$E$10,$E$12,$D298,$E$6,CT$18,CT$17)</f>
        <v>0.167876</v>
      </c>
      <c r="CU298" s="16">
        <f ca="1">_xll.DBRW($D$4,$E$7,$E$8,$E$9,$E$10,$E$12,$D298,$E$6,CU$18,CU$17)</f>
        <v>0</v>
      </c>
      <c r="CV298" s="16">
        <f ca="1">_xll.DBRW($D$4,$E$7,$E$8,$E$9,$E$10,$E$12,$D298,$E$6,CV$18,CV$17)</f>
        <v>0</v>
      </c>
      <c r="CW298" s="16">
        <f ca="1">_xll.DBRW($D$4,$E$7,$E$8,$E$9,$E$10,$E$12,$D298,$E$6,CW$18,CW$17)</f>
        <v>0</v>
      </c>
      <c r="CX298" s="16">
        <f ca="1">_xll.DBRW($D$4,$E$7,$E$8,$E$9,$E$10,$E$12,$D298,$E$6,CX$18,CX$17)</f>
        <v>0</v>
      </c>
      <c r="CY298" s="16">
        <f ca="1">_xll.DBRW($D$4,$E$7,$E$8,$E$9,$E$10,$E$12,$D298,$E$6,CY$18,CY$17)</f>
        <v>0.167876</v>
      </c>
      <c r="CZ298" s="16">
        <f ca="1">_xll.DBRW($D$4,$E$7,$E$8,$E$9,$E$10,$E$12,$D298,$E$6,CZ$18,CZ$17)</f>
        <v>0.167876</v>
      </c>
      <c r="DA298" s="26">
        <f t="shared" ca="1" si="165"/>
        <v>0.10621703000000604</v>
      </c>
      <c r="DB298" s="26">
        <f t="shared" ca="1" si="166"/>
        <v>-0.11326127999999999</v>
      </c>
      <c r="DC298" s="26">
        <f t="shared" ca="1" si="167"/>
        <v>0</v>
      </c>
      <c r="DD298" s="26">
        <f t="shared" ca="1" si="168"/>
        <v>0</v>
      </c>
      <c r="DE298" s="26">
        <f t="shared" ca="1" si="169"/>
        <v>0</v>
      </c>
      <c r="DF298" s="26">
        <f t="shared" ca="1" si="170"/>
        <v>0</v>
      </c>
      <c r="DG298" s="26">
        <f t="shared" ca="1" si="171"/>
        <v>0</v>
      </c>
      <c r="DH298" s="26">
        <f t="shared" ca="1" si="172"/>
        <v>0.21947831000000573</v>
      </c>
      <c r="DI298" s="26">
        <f t="shared" ca="1" si="173"/>
        <v>4.1621353500000051</v>
      </c>
      <c r="DJ298" s="26">
        <f t="shared" ca="1" si="174"/>
        <v>-2.029867040000001</v>
      </c>
      <c r="DK298" s="26">
        <f t="shared" ca="1" si="175"/>
        <v>1.8416267090514915E-2</v>
      </c>
      <c r="DL298" s="26"/>
      <c r="DM298" s="26"/>
      <c r="DN298" s="26"/>
      <c r="DO298" s="26"/>
      <c r="DP298" s="26">
        <f t="shared" ca="1" si="176"/>
        <v>-0.6797682199999997</v>
      </c>
      <c r="DQ298" s="26">
        <f t="shared" ca="1" si="177"/>
        <v>-5.2988572570560888E-3</v>
      </c>
      <c r="DR298" s="26"/>
      <c r="DS298" s="26"/>
      <c r="DT298" s="26"/>
      <c r="DU298" s="26"/>
      <c r="DV298" s="26">
        <f t="shared" ca="1" si="178"/>
        <v>0</v>
      </c>
      <c r="DW298" s="26">
        <f t="shared" ca="1" si="179"/>
        <v>0</v>
      </c>
      <c r="DX298" s="26"/>
      <c r="DY298" s="26"/>
      <c r="DZ298" s="26"/>
      <c r="EA298" s="26"/>
      <c r="EB298" s="26">
        <f t="shared" ca="1" si="180"/>
        <v>-4.9409999999999819E-4</v>
      </c>
      <c r="EC298" s="26">
        <f t="shared" ca="1" si="181"/>
        <v>-8.4614117900750523E-5</v>
      </c>
      <c r="ED298" s="26"/>
      <c r="EE298" s="26"/>
      <c r="EF298" s="26"/>
      <c r="EG298" s="26"/>
      <c r="EH298" s="26">
        <f t="shared" ca="1" si="182"/>
        <v>-1.23252768</v>
      </c>
      <c r="EI298" s="29">
        <f t="shared" ca="1" si="183"/>
        <v>2.5680278606303564E-2</v>
      </c>
      <c r="EJ298" s="29"/>
      <c r="EK298" s="29"/>
      <c r="EL298" s="29"/>
      <c r="EM298" s="29"/>
      <c r="EN298" s="93"/>
      <c r="EO298" s="29"/>
      <c r="EP298" s="29"/>
      <c r="EQ298" s="29"/>
      <c r="ER298" s="29"/>
      <c r="ES298" s="29"/>
      <c r="ET298" s="29"/>
      <c r="EU298" s="93"/>
      <c r="EV298" s="29"/>
      <c r="EW298" s="29"/>
      <c r="EX298" s="29"/>
      <c r="EY298" s="29"/>
      <c r="EZ298" s="29"/>
      <c r="FA298" s="29"/>
      <c r="FB298" s="93"/>
      <c r="FC298" s="29"/>
      <c r="FD298" s="29"/>
      <c r="FE298" s="29"/>
      <c r="FF298" s="29"/>
      <c r="FG298" s="29"/>
      <c r="FH298" s="29"/>
      <c r="FI298" s="93"/>
      <c r="FJ298" s="29"/>
      <c r="FK298" s="29"/>
      <c r="FL298" s="29"/>
      <c r="FM298" s="29"/>
      <c r="FN298" s="29"/>
      <c r="FO298" s="29"/>
      <c r="FP298" s="93"/>
      <c r="FQ298" s="29"/>
      <c r="FR298" s="29"/>
      <c r="FS298" s="29"/>
      <c r="FT298" s="29"/>
      <c r="FU298" s="29"/>
      <c r="FV298" s="29"/>
    </row>
    <row r="299" spans="1:178" x14ac:dyDescent="0.25">
      <c r="A299" t="str">
        <f ca="1">IF(_xll.TM1RPTELISCONSOLIDATED($D$28,$D299),IF(_xll.TM1RPTELLEV($D$28,$D299)&lt;=3,_xll.TM1RPTELLEV($D$28,$D299),"D"),"N")</f>
        <v>N</v>
      </c>
      <c r="B299" t="str">
        <f ca="1">_xll.DBRA(Server&amp;"Management_organization",$D299,$B$27)</f>
        <v>L</v>
      </c>
      <c r="C299">
        <v>1</v>
      </c>
      <c r="D299" s="2" t="s">
        <v>255</v>
      </c>
      <c r="E299" s="26"/>
      <c r="F299" s="26"/>
      <c r="G299" s="16">
        <f ca="1">_xll.DBRW($D$4,$E$7,$E$8,$E$9,$E$10,$E$12,$D299,$E$6,G$18,G$17)</f>
        <v>0.26088591999999999</v>
      </c>
      <c r="H299" s="16">
        <f ca="1">_xll.DBRW($D$4,$E$7,$E$8,$E$9,$E$10,$E$12,$D299,$E$6,H$18,H$17)</f>
        <v>-5.5784199999999989E-3</v>
      </c>
      <c r="I299" s="16">
        <f ca="1">_xll.DBRW($D$4,$E$7,$E$8,$E$9,$E$10,$E$12,$D299,$E$6,I$18,I$17)</f>
        <v>0</v>
      </c>
      <c r="J299" s="26">
        <f ca="1">_xll.DBRW($D$4,$E$7,$E$8,$E$9,$E$10,$E$12,$D299,$E$6,J$18,J$17)</f>
        <v>0</v>
      </c>
      <c r="K299" s="26">
        <f ca="1">_xll.DBRW($D$4,$E$7,$E$8,$E$9,$E$10,$E$12,$D299,$E$6,K$18,K$17)</f>
        <v>0</v>
      </c>
      <c r="L299" s="26">
        <f ca="1">_xll.DBRW($D$4,$E$7,$E$8,$E$9,$E$10,$E$12,$D299,$E$6,L$18,L$17)</f>
        <v>0</v>
      </c>
      <c r="M299" s="26">
        <f ca="1">_xll.DBRW($D$4,$E$7,$E$8,$E$9,$E$10,$E$12,$D299,$E$6,M$18,M$17)</f>
        <v>0</v>
      </c>
      <c r="N299" s="16">
        <f ca="1">_xll.DBRW($D$4,$E$7,$E$8,$E$9,$E$10,$E$12,$D299,$E$6,N$18,N$17)</f>
        <v>0.26646433999999997</v>
      </c>
      <c r="O299" s="16">
        <f ca="1">_xll.DBRW($D$4,$E$7,$E$8,$E$9,$E$10,$E$12,$D299,$E$6,O$18,O$17)</f>
        <v>0.61352393999999999</v>
      </c>
      <c r="P299" s="74">
        <f ca="1">_xll.DBRW($D$4,$E$7,$E$8,$E$9,$E$10,$E$12,$D299,$E$6,P$18,P$17)</f>
        <v>-0.22691145999999998</v>
      </c>
      <c r="Q299" s="16">
        <f ca="1">_xll.DBRW($D$4,$E$7,$E$8,$E$9,$E$10,$E$12,$D299,$E$6,Q$18,Q$17)</f>
        <v>0.36984939821582186</v>
      </c>
      <c r="R299" s="16"/>
      <c r="S299" s="16"/>
      <c r="T299" s="16"/>
      <c r="U299" s="16"/>
      <c r="V299" s="16">
        <f ca="1">_xll.DBRW($D$4,$E$7,$E$8,$E$9,$E$10,$E$12,$D299,$E$6,V$18,V$17)</f>
        <v>-2.1468829999999998E-2</v>
      </c>
      <c r="W299" s="16">
        <f ca="1">_xll.DBRW($D$4,$E$7,$E$8,$E$9,$E$10,$E$12,$D299,$E$6,W$18,W$17)</f>
        <v>3.4992652446455469E-2</v>
      </c>
      <c r="X299" s="16"/>
      <c r="Y299" s="16"/>
      <c r="Z299" s="16"/>
      <c r="AA299" s="16"/>
      <c r="AB299" s="16">
        <f ca="1">_xll.DBRW($D$4,$E$7,$E$8,$E$9,$E$10,$E$12,$D299,$E$6,AB$18,AB$17)</f>
        <v>-3.7371050000000003E-2</v>
      </c>
      <c r="AC299" s="16">
        <f ca="1">_xll.DBRW($D$4,$E$7,$E$8,$E$9,$E$10,$E$12,$D299,$E$6,AC$18,AC$17)</f>
        <v>6.0912130014030105E-2</v>
      </c>
      <c r="AD299" s="16"/>
      <c r="AE299" s="16"/>
      <c r="AF299" s="16"/>
      <c r="AG299" s="16"/>
      <c r="AH299" s="16">
        <f ca="1">_xll.DBRW($D$4,$E$7,$E$8,$E$9,$E$10,$E$12,$D299,$E$6,AH$18,AH$17)</f>
        <v>-1.9927150000000005E-2</v>
      </c>
      <c r="AI299" s="16">
        <f ca="1">_xll.DBRW($D$4,$E$7,$E$8,$E$9,$E$10,$E$12,$D299,$E$6,AI$18,AI$17)</f>
        <v>3.247982466666257E-2</v>
      </c>
      <c r="AJ299" s="16"/>
      <c r="AK299" s="16"/>
      <c r="AL299" s="16"/>
      <c r="AM299" s="16"/>
      <c r="AN299" s="16">
        <f ca="1">_xll.DBRW($D$4,$E$7,$E$8,$E$9,$E$10,$E$12,$D299,$E$6,AN$18,AN$17)</f>
        <v>-4.1381110000000006E-2</v>
      </c>
      <c r="AO299" s="16">
        <f ca="1">_xll.DBRW($D$4,$E$7,$E$8,$E$9,$E$10,$E$12,$D299,$E$6,AO$18,AO$17)</f>
        <v>6.7448240080085556E-2</v>
      </c>
      <c r="AP299" s="16"/>
      <c r="AQ299" s="16"/>
      <c r="AR299" s="16"/>
      <c r="AS299" s="16"/>
      <c r="AT299" s="16">
        <f ca="1">_xll.DBRW($D$4,$E$7,$E$8,$E$9,$E$10,$E$12,$D299,$E$6,AT$18,AT$17)</f>
        <v>9.3993900000000005E-3</v>
      </c>
      <c r="AU299" s="16">
        <f ca="1">_xll.DBRW($D$4,$E$7,$E$8,$E$9,$E$10,$E$12,$D299,$E$6,AU$18,AU$17)</f>
        <v>9.563509999999999E-3</v>
      </c>
      <c r="AV299" s="16">
        <f ca="1">_xll.DBRW($D$4,$E$7,$E$8,$E$9,$E$10,$E$12,$D299,$E$6,AV$18,AV$17)</f>
        <v>0.11486799999999998</v>
      </c>
      <c r="AW299" s="16">
        <f ca="1">_xll.DBRW($D$4,$E$7,$E$8,$E$9,$E$10,$E$12,$D299,$E$6,AW$18,AW$17)</f>
        <v>9.563509999999999E-3</v>
      </c>
      <c r="AX299" s="16">
        <f ca="1">_xll.DBRW($D$4,$E$7,$E$8,$E$9,$E$10,$E$12,$D299,$E$6,AX$18,AX$17)</f>
        <v>0</v>
      </c>
      <c r="AY299" s="16">
        <f ca="1">_xll.DBRW($D$4,$E$7,$E$8,$E$9,$E$10,$E$12,$D299,$E$6,AY$18,AY$17)</f>
        <v>0</v>
      </c>
      <c r="AZ299" s="16">
        <f ca="1">_xll.DBRW($D$4,$E$7,$E$8,$E$9,$E$10,$E$12,$D299,$E$6,AZ$18,AZ$17)</f>
        <v>0</v>
      </c>
      <c r="BA299" s="16">
        <f ca="1">_xll.DBRW($D$4,$E$7,$E$8,$E$9,$E$10,$E$12,$D299,$E$6,BA$18,BA$17)</f>
        <v>0</v>
      </c>
      <c r="BB299" s="16">
        <f ca="1">_xll.DBRW($D$4,$E$7,$E$8,$E$9,$E$10,$E$12,$D299,$E$6,BB$18,BB$17)</f>
        <v>9.563509999999999E-3</v>
      </c>
      <c r="BC299" s="16">
        <f ca="1">_xll.DBRW($D$4,$E$7,$E$8,$E$9,$E$10,$E$12,$D299,$E$6,BC$18,BC$17)</f>
        <v>9.563509999999999E-3</v>
      </c>
      <c r="BD299" s="16">
        <f ca="1">_xll.DBRW($D$4,$E$7,$E$8,$E$9,$E$10,$E$12,$D299,$E$6,BD$18,BD$17)</f>
        <v>0.12009230999999992</v>
      </c>
      <c r="BE299" s="16">
        <f ca="1">_xll.DBRW($D$4,$E$7,$E$8,$E$9,$E$10,$E$12,$D299,$E$6,BE$18,BE$17)</f>
        <v>-7.1958699999999992E-3</v>
      </c>
      <c r="BF299" s="16">
        <f ca="1">_xll.DBRW($D$4,$E$7,$E$8,$E$9,$E$10,$E$12,$D299,$E$6,BF$18,BF$17)</f>
        <v>0</v>
      </c>
      <c r="BG299" s="26">
        <f ca="1">_xll.DBRW($D$4,$E$7,$E$8,$E$9,$E$10,$E$12,$D299,$E$6,BG$18,BG$17)</f>
        <v>0</v>
      </c>
      <c r="BH299" s="26">
        <f ca="1">_xll.DBRW($D$4,$E$7,$E$8,$E$9,$E$10,$E$12,$D299,$E$6,BH$18,BH$17)</f>
        <v>0</v>
      </c>
      <c r="BI299" s="26">
        <f ca="1">_xll.DBRW($D$4,$E$7,$E$8,$E$9,$E$10,$E$12,$D299,$E$6,BI$18,BI$17)</f>
        <v>0</v>
      </c>
      <c r="BJ299" s="26">
        <f ca="1">_xll.DBRW($D$4,$E$7,$E$8,$E$9,$E$10,$E$12,$D299,$E$6,BJ$18,BJ$17)</f>
        <v>0</v>
      </c>
      <c r="BK299" s="16">
        <f ca="1">_xll.DBRW($D$4,$E$7,$E$8,$E$9,$E$10,$E$12,$D299,$E$6,BK$18,BK$17)</f>
        <v>0.12728817999999992</v>
      </c>
      <c r="BL299" s="16">
        <f ca="1">_xll.DBRW($D$4,$E$7,$E$8,$E$9,$E$10,$E$12,$D299,$E$6,BL$18,BL$17)</f>
        <v>0.44018862999999991</v>
      </c>
      <c r="BM299" s="16">
        <f ca="1">_xll.DBRW($D$4,$E$7,$E$8,$E$9,$E$10,$E$12,$D299,$E$6,BM$18,BM$17)</f>
        <v>-0.19729749999999999</v>
      </c>
      <c r="BN299" s="16">
        <f ca="1">_xll.DBRW($D$4,$E$7,$E$8,$E$9,$E$10,$E$12,$D299,$E$6,BN$18,BN$17)</f>
        <v>0.44821125888690044</v>
      </c>
      <c r="BO299" s="16"/>
      <c r="BP299" s="16"/>
      <c r="BQ299" s="16"/>
      <c r="BR299" s="16"/>
      <c r="BS299" s="16">
        <f ca="1">_xll.DBRW($D$4,$E$7,$E$8,$E$9,$E$10,$E$12,$D299,$E$6,BS$18,BS$17)</f>
        <v>-3.4349270000000001E-2</v>
      </c>
      <c r="BT299" s="16">
        <f ca="1">_xll.DBRW($D$4,$E$7,$E$8,$E$9,$E$10,$E$12,$D299,$E$6,BT$18,BT$17)</f>
        <v>7.8033069595641325E-2</v>
      </c>
      <c r="BU299" s="16"/>
      <c r="BV299" s="16"/>
      <c r="BW299" s="16"/>
      <c r="BX299" s="16"/>
      <c r="BY299" s="16">
        <f ca="1">_xll.DBRW($D$4,$E$7,$E$8,$E$9,$E$10,$E$12,$D299,$E$6,BY$18,BY$17)</f>
        <v>-3.2999999999999995E-2</v>
      </c>
      <c r="BZ299" s="16">
        <f ca="1">_xll.DBRW($D$4,$E$7,$E$8,$E$9,$E$10,$E$12,$D299,$E$6,BZ$18,BZ$17)</f>
        <v>7.4967860937253203E-2</v>
      </c>
      <c r="CA299" s="16"/>
      <c r="CB299" s="16"/>
      <c r="CC299" s="16"/>
      <c r="CD299" s="16"/>
      <c r="CE299" s="16">
        <f ca="1">_xll.DBRW($D$4,$E$7,$E$8,$E$9,$E$10,$E$12,$D299,$E$6,CE$18,CE$17)</f>
        <v>-1.6390419999999999E-2</v>
      </c>
      <c r="CF299" s="16">
        <f ca="1">_xll.DBRW($D$4,$E$7,$E$8,$E$9,$E$10,$E$12,$D299,$E$6,CF$18,CF$17)</f>
        <v>3.7234991735247691E-2</v>
      </c>
      <c r="CG299" s="16"/>
      <c r="CH299" s="16"/>
      <c r="CI299" s="16"/>
      <c r="CJ299" s="16"/>
      <c r="CK299" s="16">
        <f ca="1">_xll.DBRW($D$4,$E$7,$E$8,$E$9,$E$10,$E$12,$D299,$E$6,CK$18,CK$17)</f>
        <v>-3.1863260000000004E-2</v>
      </c>
      <c r="CL299" s="16">
        <f ca="1">_xll.DBRW($D$4,$E$7,$E$8,$E$9,$E$10,$E$12,$D299,$E$6,CL$18,CL$17)</f>
        <v>7.2385468020834634E-2</v>
      </c>
      <c r="CM299" s="16"/>
      <c r="CN299" s="16"/>
      <c r="CO299" s="16"/>
      <c r="CP299" s="16"/>
      <c r="CQ299" s="16">
        <f ca="1">_xll.DBRW($D$4,$E$7,$E$8,$E$9,$E$10,$E$12,$D299,$E$6,CQ$18,CQ$17)</f>
        <v>7.695050000000001E-3</v>
      </c>
      <c r="CR299" s="16">
        <f ca="1">_xll.DBRW($D$4,$E$7,$E$8,$E$9,$E$10,$E$12,$D299,$E$6,CR$18,CR$17)</f>
        <v>7.1715400000000006E-3</v>
      </c>
      <c r="CS299" s="16">
        <f ca="1">_xll.DBRW($D$4,$E$7,$E$8,$E$9,$E$10,$E$12,$D299,$E$6,CS$18,CS$17)</f>
        <v>0.10686800999999999</v>
      </c>
      <c r="CT299" s="16">
        <f ca="1">_xll.DBRW($D$4,$E$7,$E$8,$E$9,$E$10,$E$12,$D299,$E$6,CT$18,CT$17)</f>
        <v>7.1715400000000006E-3</v>
      </c>
      <c r="CU299" s="16">
        <f ca="1">_xll.DBRW($D$4,$E$7,$E$8,$E$9,$E$10,$E$12,$D299,$E$6,CU$18,CU$17)</f>
        <v>0</v>
      </c>
      <c r="CV299" s="16">
        <f ca="1">_xll.DBRW($D$4,$E$7,$E$8,$E$9,$E$10,$E$12,$D299,$E$6,CV$18,CV$17)</f>
        <v>0</v>
      </c>
      <c r="CW299" s="16">
        <f ca="1">_xll.DBRW($D$4,$E$7,$E$8,$E$9,$E$10,$E$12,$D299,$E$6,CW$18,CW$17)</f>
        <v>0</v>
      </c>
      <c r="CX299" s="16">
        <f ca="1">_xll.DBRW($D$4,$E$7,$E$8,$E$9,$E$10,$E$12,$D299,$E$6,CX$18,CX$17)</f>
        <v>0</v>
      </c>
      <c r="CY299" s="16">
        <f ca="1">_xll.DBRW($D$4,$E$7,$E$8,$E$9,$E$10,$E$12,$D299,$E$6,CY$18,CY$17)</f>
        <v>7.1715400000000006E-3</v>
      </c>
      <c r="CZ299" s="16">
        <f ca="1">_xll.DBRW($D$4,$E$7,$E$8,$E$9,$E$10,$E$12,$D299,$E$6,CZ$18,CZ$17)</f>
        <v>7.1715400000000006E-3</v>
      </c>
      <c r="DA299" s="26">
        <f t="shared" ca="1" si="165"/>
        <v>0.14079361000000007</v>
      </c>
      <c r="DB299" s="26">
        <f t="shared" ca="1" si="166"/>
        <v>1.6174500000000003E-3</v>
      </c>
      <c r="DC299" s="26">
        <f t="shared" ca="1" si="167"/>
        <v>0</v>
      </c>
      <c r="DD299" s="26">
        <f t="shared" ca="1" si="168"/>
        <v>0</v>
      </c>
      <c r="DE299" s="26">
        <f t="shared" ca="1" si="169"/>
        <v>0</v>
      </c>
      <c r="DF299" s="26">
        <f t="shared" ca="1" si="170"/>
        <v>0</v>
      </c>
      <c r="DG299" s="26">
        <f t="shared" ca="1" si="171"/>
        <v>0</v>
      </c>
      <c r="DH299" s="26">
        <f t="shared" ca="1" si="172"/>
        <v>0.13917616000000005</v>
      </c>
      <c r="DI299" s="26">
        <f t="shared" ca="1" si="173"/>
        <v>0.17333531000000008</v>
      </c>
      <c r="DJ299" s="26">
        <f t="shared" ca="1" si="174"/>
        <v>-2.9613959999999995E-2</v>
      </c>
      <c r="DK299" s="26">
        <f t="shared" ca="1" si="175"/>
        <v>-7.8361860671078587E-2</v>
      </c>
      <c r="DL299" s="26"/>
      <c r="DM299" s="26"/>
      <c r="DN299" s="26"/>
      <c r="DO299" s="26"/>
      <c r="DP299" s="26">
        <f t="shared" ca="1" si="176"/>
        <v>1.2880440000000003E-2</v>
      </c>
      <c r="DQ299" s="26">
        <f t="shared" ca="1" si="177"/>
        <v>-4.3040417149185856E-2</v>
      </c>
      <c r="DR299" s="26"/>
      <c r="DS299" s="26"/>
      <c r="DT299" s="26"/>
      <c r="DU299" s="26"/>
      <c r="DV299" s="26">
        <f t="shared" ca="1" si="178"/>
        <v>-4.3710500000000083E-3</v>
      </c>
      <c r="DW299" s="26">
        <f t="shared" ca="1" si="179"/>
        <v>-1.4055730923223098E-2</v>
      </c>
      <c r="DX299" s="26"/>
      <c r="DY299" s="26"/>
      <c r="DZ299" s="26"/>
      <c r="EA299" s="26"/>
      <c r="EB299" s="26">
        <f t="shared" ca="1" si="180"/>
        <v>-3.5367300000000053E-3</v>
      </c>
      <c r="EC299" s="26">
        <f t="shared" ca="1" si="181"/>
        <v>-4.7551670685851213E-3</v>
      </c>
      <c r="ED299" s="26"/>
      <c r="EE299" s="26"/>
      <c r="EF299" s="26"/>
      <c r="EG299" s="26"/>
      <c r="EH299" s="26">
        <f t="shared" ca="1" si="182"/>
        <v>-9.5178500000000013E-3</v>
      </c>
      <c r="EI299" s="29">
        <f t="shared" ca="1" si="183"/>
        <v>-4.9372279407490782E-3</v>
      </c>
      <c r="EJ299" s="29"/>
      <c r="EK299" s="29"/>
      <c r="EL299" s="29"/>
      <c r="EM299" s="29"/>
      <c r="EN299" s="93"/>
      <c r="EO299" s="29"/>
      <c r="EP299" s="29"/>
      <c r="EQ299" s="29"/>
      <c r="ER299" s="29"/>
      <c r="ES299" s="29"/>
      <c r="ET299" s="29"/>
      <c r="EU299" s="93"/>
      <c r="EV299" s="29"/>
      <c r="EW299" s="29"/>
      <c r="EX299" s="29"/>
      <c r="EY299" s="29"/>
      <c r="EZ299" s="29"/>
      <c r="FA299" s="29"/>
      <c r="FB299" s="93"/>
      <c r="FC299" s="29"/>
      <c r="FD299" s="29"/>
      <c r="FE299" s="29"/>
      <c r="FF299" s="29"/>
      <c r="FG299" s="29"/>
      <c r="FH299" s="29"/>
      <c r="FI299" s="93"/>
      <c r="FJ299" s="29"/>
      <c r="FK299" s="29"/>
      <c r="FL299" s="29"/>
      <c r="FM299" s="29"/>
      <c r="FN299" s="29"/>
      <c r="FO299" s="29"/>
      <c r="FP299" s="93"/>
      <c r="FQ299" s="29"/>
      <c r="FR299" s="29"/>
      <c r="FS299" s="29"/>
      <c r="FT299" s="29"/>
      <c r="FU299" s="29"/>
      <c r="FV299" s="29"/>
    </row>
    <row r="300" spans="1:178" x14ac:dyDescent="0.25">
      <c r="A300" t="str">
        <f ca="1">IF(_xll.TM1RPTELISCONSOLIDATED($D$28,$D300),IF(_xll.TM1RPTELLEV($D$28,$D300)&lt;=3,_xll.TM1RPTELLEV($D$28,$D300),"D"),"N")</f>
        <v>N</v>
      </c>
      <c r="B300" t="str">
        <f ca="1">_xll.DBRA(Server&amp;"Management_organization",$D300,$B$27)</f>
        <v>L</v>
      </c>
      <c r="C300">
        <v>1</v>
      </c>
      <c r="D300" s="2" t="s">
        <v>373</v>
      </c>
      <c r="E300" s="26"/>
      <c r="F300" s="26"/>
      <c r="G300" s="16">
        <f ca="1">_xll.DBRW($D$4,$E$7,$E$8,$E$9,$E$10,$E$12,$D300,$E$6,G$18,G$17)</f>
        <v>0.29139893000000017</v>
      </c>
      <c r="H300" s="16">
        <f ca="1">_xll.DBRW($D$4,$E$7,$E$8,$E$9,$E$10,$E$12,$D300,$E$6,H$18,H$17)</f>
        <v>-8.463293999999999E-2</v>
      </c>
      <c r="I300" s="16">
        <f ca="1">_xll.DBRW($D$4,$E$7,$E$8,$E$9,$E$10,$E$12,$D300,$E$6,I$18,I$17)</f>
        <v>8.6736173798840355E-19</v>
      </c>
      <c r="J300" s="26">
        <f ca="1">_xll.DBRW($D$4,$E$7,$E$8,$E$9,$E$10,$E$12,$D300,$E$6,J$18,J$17)</f>
        <v>0</v>
      </c>
      <c r="K300" s="26">
        <f ca="1">_xll.DBRW($D$4,$E$7,$E$8,$E$9,$E$10,$E$12,$D300,$E$6,K$18,K$17)</f>
        <v>0</v>
      </c>
      <c r="L300" s="26">
        <f ca="1">_xll.DBRW($D$4,$E$7,$E$8,$E$9,$E$10,$E$12,$D300,$E$6,L$18,L$17)</f>
        <v>0</v>
      </c>
      <c r="M300" s="26">
        <f ca="1">_xll.DBRW($D$4,$E$7,$E$8,$E$9,$E$10,$E$12,$D300,$E$6,M$18,M$17)</f>
        <v>0</v>
      </c>
      <c r="N300" s="16">
        <f ca="1">_xll.DBRW($D$4,$E$7,$E$8,$E$9,$E$10,$E$12,$D300,$E$6,N$18,N$17)</f>
        <v>0.37603187000000021</v>
      </c>
      <c r="O300" s="16">
        <f ca="1">_xll.DBRW($D$4,$E$7,$E$8,$E$9,$E$10,$E$12,$D300,$E$6,O$18,O$17)</f>
        <v>2.78281622</v>
      </c>
      <c r="P300" s="74">
        <f ca="1">_xll.DBRW($D$4,$E$7,$E$8,$E$9,$E$10,$E$12,$D300,$E$6,P$18,P$17)</f>
        <v>-1.3681034500000002</v>
      </c>
      <c r="Q300" s="16">
        <f ca="1">_xll.DBRW($D$4,$E$7,$E$8,$E$9,$E$10,$E$12,$D300,$E$6,Q$18,Q$17)</f>
        <v>0.49162551237393615</v>
      </c>
      <c r="R300" s="16"/>
      <c r="S300" s="16"/>
      <c r="T300" s="16"/>
      <c r="U300" s="16"/>
      <c r="V300" s="16">
        <f ca="1">_xll.DBRW($D$4,$E$7,$E$8,$E$9,$E$10,$E$12,$D300,$E$6,V$18,V$17)</f>
        <v>-7.2443030000000005E-2</v>
      </c>
      <c r="W300" s="16">
        <f ca="1">_xll.DBRW($D$4,$E$7,$E$8,$E$9,$E$10,$E$12,$D300,$E$6,W$18,W$17)</f>
        <v>2.60322724437764E-2</v>
      </c>
      <c r="X300" s="16"/>
      <c r="Y300" s="16"/>
      <c r="Z300" s="16"/>
      <c r="AA300" s="16"/>
      <c r="AB300" s="16">
        <f ca="1">_xll.DBRW($D$4,$E$7,$E$8,$E$9,$E$10,$E$12,$D300,$E$6,AB$18,AB$17)</f>
        <v>0</v>
      </c>
      <c r="AC300" s="16">
        <f ca="1">_xll.DBRW($D$4,$E$7,$E$8,$E$9,$E$10,$E$12,$D300,$E$6,AC$18,AC$17)</f>
        <v>0</v>
      </c>
      <c r="AD300" s="16"/>
      <c r="AE300" s="16"/>
      <c r="AF300" s="16"/>
      <c r="AG300" s="16"/>
      <c r="AH300" s="16">
        <f ca="1">_xll.DBRW($D$4,$E$7,$E$8,$E$9,$E$10,$E$12,$D300,$E$6,AH$18,AH$17)</f>
        <v>-8.6649299999999995E-3</v>
      </c>
      <c r="AI300" s="16">
        <f ca="1">_xll.DBRW($D$4,$E$7,$E$8,$E$9,$E$10,$E$12,$D300,$E$6,AI$18,AI$17)</f>
        <v>3.1137269999094658E-3</v>
      </c>
      <c r="AJ300" s="16"/>
      <c r="AK300" s="16"/>
      <c r="AL300" s="16"/>
      <c r="AM300" s="16"/>
      <c r="AN300" s="16">
        <f ca="1">_xll.DBRW($D$4,$E$7,$E$8,$E$9,$E$10,$E$12,$D300,$E$6,AN$18,AN$17)</f>
        <v>-0.95757293999999993</v>
      </c>
      <c r="AO300" s="16">
        <f ca="1">_xll.DBRW($D$4,$E$7,$E$8,$E$9,$E$10,$E$12,$D300,$E$6,AO$18,AO$17)</f>
        <v>0.34410211249954548</v>
      </c>
      <c r="AP300" s="16"/>
      <c r="AQ300" s="16"/>
      <c r="AR300" s="16"/>
      <c r="AS300" s="16"/>
      <c r="AT300" s="16">
        <f ca="1">_xll.DBRW($D$4,$E$7,$E$8,$E$9,$E$10,$E$12,$D300,$E$6,AT$18,AT$17)</f>
        <v>8.8557639999999993E-2</v>
      </c>
      <c r="AU300" s="16">
        <f ca="1">_xll.DBRW($D$4,$E$7,$E$8,$E$9,$E$10,$E$12,$D300,$E$6,AU$18,AU$17)</f>
        <v>7.8134110000000007E-2</v>
      </c>
      <c r="AV300" s="16">
        <f ca="1">_xll.DBRW($D$4,$E$7,$E$8,$E$9,$E$10,$E$12,$D300,$E$6,AV$18,AV$17)</f>
        <v>1.255512</v>
      </c>
      <c r="AW300" s="16">
        <f ca="1">_xll.DBRW($D$4,$E$7,$E$8,$E$9,$E$10,$E$12,$D300,$E$6,AW$18,AW$17)</f>
        <v>7.8134110000000007E-2</v>
      </c>
      <c r="AX300" s="16">
        <f ca="1">_xll.DBRW($D$4,$E$7,$E$8,$E$9,$E$10,$E$12,$D300,$E$6,AX$18,AX$17)</f>
        <v>0</v>
      </c>
      <c r="AY300" s="16">
        <f ca="1">_xll.DBRW($D$4,$E$7,$E$8,$E$9,$E$10,$E$12,$D300,$E$6,AY$18,AY$17)</f>
        <v>0</v>
      </c>
      <c r="AZ300" s="16">
        <f ca="1">_xll.DBRW($D$4,$E$7,$E$8,$E$9,$E$10,$E$12,$D300,$E$6,AZ$18,AZ$17)</f>
        <v>0</v>
      </c>
      <c r="BA300" s="16">
        <f ca="1">_xll.DBRW($D$4,$E$7,$E$8,$E$9,$E$10,$E$12,$D300,$E$6,BA$18,BA$17)</f>
        <v>0</v>
      </c>
      <c r="BB300" s="16">
        <f ca="1">_xll.DBRW($D$4,$E$7,$E$8,$E$9,$E$10,$E$12,$D300,$E$6,BB$18,BB$17)</f>
        <v>7.8134110000000007E-2</v>
      </c>
      <c r="BC300" s="16">
        <f ca="1">_xll.DBRW($D$4,$E$7,$E$8,$E$9,$E$10,$E$12,$D300,$E$6,BC$18,BC$17)</f>
        <v>7.8134110000000007E-2</v>
      </c>
      <c r="BD300" s="16">
        <f ca="1">_xll.DBRW($D$4,$E$7,$E$8,$E$9,$E$10,$E$12,$D300,$E$6,BD$18,BD$17)</f>
        <v>0.33528282999999942</v>
      </c>
      <c r="BE300" s="16">
        <f ca="1">_xll.DBRW($D$4,$E$7,$E$8,$E$9,$E$10,$E$12,$D300,$E$6,BE$18,BE$17)</f>
        <v>-6.5492559999999991E-2</v>
      </c>
      <c r="BF300" s="16">
        <f ca="1">_xll.DBRW($D$4,$E$7,$E$8,$E$9,$E$10,$E$12,$D300,$E$6,BF$18,BF$17)</f>
        <v>-1.25E-3</v>
      </c>
      <c r="BG300" s="26">
        <f ca="1">_xll.DBRW($D$4,$E$7,$E$8,$E$9,$E$10,$E$12,$D300,$E$6,BG$18,BG$17)</f>
        <v>0</v>
      </c>
      <c r="BH300" s="26">
        <f ca="1">_xll.DBRW($D$4,$E$7,$E$8,$E$9,$E$10,$E$12,$D300,$E$6,BH$18,BH$17)</f>
        <v>0</v>
      </c>
      <c r="BI300" s="26">
        <f ca="1">_xll.DBRW($D$4,$E$7,$E$8,$E$9,$E$10,$E$12,$D300,$E$6,BI$18,BI$17)</f>
        <v>0</v>
      </c>
      <c r="BJ300" s="26">
        <f ca="1">_xll.DBRW($D$4,$E$7,$E$8,$E$9,$E$10,$E$12,$D300,$E$6,BJ$18,BJ$17)</f>
        <v>0</v>
      </c>
      <c r="BK300" s="16">
        <f ca="1">_xll.DBRW($D$4,$E$7,$E$8,$E$9,$E$10,$E$12,$D300,$E$6,BK$18,BK$17)</f>
        <v>0.40077538999999945</v>
      </c>
      <c r="BL300" s="16">
        <f ca="1">_xll.DBRW($D$4,$E$7,$E$8,$E$9,$E$10,$E$12,$D300,$E$6,BL$18,BL$17)</f>
        <v>2.1950675499999996</v>
      </c>
      <c r="BM300" s="16">
        <f ca="1">_xll.DBRW($D$4,$E$7,$E$8,$E$9,$E$10,$E$12,$D300,$E$6,BM$18,BM$17)</f>
        <v>-1.0777113300000003</v>
      </c>
      <c r="BN300" s="16">
        <f ca="1">_xll.DBRW($D$4,$E$7,$E$8,$E$9,$E$10,$E$12,$D300,$E$6,BN$18,BN$17)</f>
        <v>0.49096955125595132</v>
      </c>
      <c r="BO300" s="16"/>
      <c r="BP300" s="16"/>
      <c r="BQ300" s="16"/>
      <c r="BR300" s="16"/>
      <c r="BS300" s="16">
        <f ca="1">_xll.DBRW($D$4,$E$7,$E$8,$E$9,$E$10,$E$12,$D300,$E$6,BS$18,BS$17)</f>
        <v>-5.5491200000000004E-2</v>
      </c>
      <c r="BT300" s="16">
        <f ca="1">_xll.DBRW($D$4,$E$7,$E$8,$E$9,$E$10,$E$12,$D300,$E$6,BT$18,BT$17)</f>
        <v>2.5279950951851125E-2</v>
      </c>
      <c r="BU300" s="16"/>
      <c r="BV300" s="16"/>
      <c r="BW300" s="16"/>
      <c r="BX300" s="16"/>
      <c r="BY300" s="16">
        <f ca="1">_xll.DBRW($D$4,$E$7,$E$8,$E$9,$E$10,$E$12,$D300,$E$6,BY$18,BY$17)</f>
        <v>0</v>
      </c>
      <c r="BZ300" s="16">
        <f ca="1">_xll.DBRW($D$4,$E$7,$E$8,$E$9,$E$10,$E$12,$D300,$E$6,BZ$18,BZ$17)</f>
        <v>0</v>
      </c>
      <c r="CA300" s="16"/>
      <c r="CB300" s="16"/>
      <c r="CC300" s="16"/>
      <c r="CD300" s="16"/>
      <c r="CE300" s="16">
        <f ca="1">_xll.DBRW($D$4,$E$7,$E$8,$E$9,$E$10,$E$12,$D300,$E$6,CE$18,CE$17)</f>
        <v>-8.4538700000000005E-3</v>
      </c>
      <c r="CF300" s="16">
        <f ca="1">_xll.DBRW($D$4,$E$7,$E$8,$E$9,$E$10,$E$12,$D300,$E$6,CF$18,CF$17)</f>
        <v>3.8513028904281336E-3</v>
      </c>
      <c r="CG300" s="16"/>
      <c r="CH300" s="16"/>
      <c r="CI300" s="16"/>
      <c r="CJ300" s="16"/>
      <c r="CK300" s="16">
        <f ca="1">_xll.DBRW($D$4,$E$7,$E$8,$E$9,$E$10,$E$12,$D300,$E$6,CK$18,CK$17)</f>
        <v>-0.6526357599999999</v>
      </c>
      <c r="CL300" s="16">
        <f ca="1">_xll.DBRW($D$4,$E$7,$E$8,$E$9,$E$10,$E$12,$D300,$E$6,CL$18,CL$17)</f>
        <v>0.29731921461824717</v>
      </c>
      <c r="CM300" s="16"/>
      <c r="CN300" s="16"/>
      <c r="CO300" s="16"/>
      <c r="CP300" s="16"/>
      <c r="CQ300" s="16">
        <f ca="1">_xll.DBRW($D$4,$E$7,$E$8,$E$9,$E$10,$E$12,$D300,$E$6,CQ$18,CQ$17)</f>
        <v>6.946432000000001E-2</v>
      </c>
      <c r="CR300" s="16">
        <f ca="1">_xll.DBRW($D$4,$E$7,$E$8,$E$9,$E$10,$E$12,$D300,$E$6,CR$18,CR$17)</f>
        <v>6.1487279999999998E-2</v>
      </c>
      <c r="CS300" s="16">
        <f ca="1">_xll.DBRW($D$4,$E$7,$E$8,$E$9,$E$10,$E$12,$D300,$E$6,CS$18,CS$17)</f>
        <v>0.83175141000000008</v>
      </c>
      <c r="CT300" s="16">
        <f ca="1">_xll.DBRW($D$4,$E$7,$E$8,$E$9,$E$10,$E$12,$D300,$E$6,CT$18,CT$17)</f>
        <v>6.1487279999999998E-2</v>
      </c>
      <c r="CU300" s="16">
        <f ca="1">_xll.DBRW($D$4,$E$7,$E$8,$E$9,$E$10,$E$12,$D300,$E$6,CU$18,CU$17)</f>
        <v>0</v>
      </c>
      <c r="CV300" s="16">
        <f ca="1">_xll.DBRW($D$4,$E$7,$E$8,$E$9,$E$10,$E$12,$D300,$E$6,CV$18,CV$17)</f>
        <v>0</v>
      </c>
      <c r="CW300" s="16">
        <f ca="1">_xll.DBRW($D$4,$E$7,$E$8,$E$9,$E$10,$E$12,$D300,$E$6,CW$18,CW$17)</f>
        <v>0</v>
      </c>
      <c r="CX300" s="16">
        <f ca="1">_xll.DBRW($D$4,$E$7,$E$8,$E$9,$E$10,$E$12,$D300,$E$6,CX$18,CX$17)</f>
        <v>0</v>
      </c>
      <c r="CY300" s="16">
        <f ca="1">_xll.DBRW($D$4,$E$7,$E$8,$E$9,$E$10,$E$12,$D300,$E$6,CY$18,CY$17)</f>
        <v>6.1487279999999998E-2</v>
      </c>
      <c r="CZ300" s="16">
        <f ca="1">_xll.DBRW($D$4,$E$7,$E$8,$E$9,$E$10,$E$12,$D300,$E$6,CZ$18,CZ$17)</f>
        <v>6.1487279999999998E-2</v>
      </c>
      <c r="DA300" s="26">
        <f t="shared" ca="1" si="165"/>
        <v>-4.3883899999999254E-2</v>
      </c>
      <c r="DB300" s="26">
        <f t="shared" ca="1" si="166"/>
        <v>-1.9140379999999999E-2</v>
      </c>
      <c r="DC300" s="26">
        <f t="shared" ca="1" si="167"/>
        <v>1.2500000000000009E-3</v>
      </c>
      <c r="DD300" s="26">
        <f t="shared" ca="1" si="168"/>
        <v>0</v>
      </c>
      <c r="DE300" s="26">
        <f t="shared" ca="1" si="169"/>
        <v>0</v>
      </c>
      <c r="DF300" s="26">
        <f t="shared" ca="1" si="170"/>
        <v>0</v>
      </c>
      <c r="DG300" s="26">
        <f t="shared" ca="1" si="171"/>
        <v>0</v>
      </c>
      <c r="DH300" s="26">
        <f t="shared" ca="1" si="172"/>
        <v>-2.4743519999999242E-2</v>
      </c>
      <c r="DI300" s="26">
        <f t="shared" ca="1" si="173"/>
        <v>0.58774867000000031</v>
      </c>
      <c r="DJ300" s="26">
        <f t="shared" ca="1" si="174"/>
        <v>-0.29039211999999992</v>
      </c>
      <c r="DK300" s="26">
        <f t="shared" ca="1" si="175"/>
        <v>6.5596111798482681E-4</v>
      </c>
      <c r="DL300" s="26"/>
      <c r="DM300" s="26"/>
      <c r="DN300" s="26"/>
      <c r="DO300" s="26"/>
      <c r="DP300" s="26">
        <f t="shared" ca="1" si="176"/>
        <v>-1.6951830000000001E-2</v>
      </c>
      <c r="DQ300" s="26">
        <f t="shared" ca="1" si="177"/>
        <v>7.5232149192527506E-4</v>
      </c>
      <c r="DR300" s="26"/>
      <c r="DS300" s="26"/>
      <c r="DT300" s="26"/>
      <c r="DU300" s="26"/>
      <c r="DV300" s="26">
        <f t="shared" ca="1" si="178"/>
        <v>0</v>
      </c>
      <c r="DW300" s="26">
        <f t="shared" ca="1" si="179"/>
        <v>0</v>
      </c>
      <c r="DX300" s="26"/>
      <c r="DY300" s="26"/>
      <c r="DZ300" s="26"/>
      <c r="EA300" s="26"/>
      <c r="EB300" s="26">
        <f t="shared" ca="1" si="180"/>
        <v>-2.1105999999999903E-4</v>
      </c>
      <c r="EC300" s="26">
        <f t="shared" ca="1" si="181"/>
        <v>-7.3757589051866778E-4</v>
      </c>
      <c r="ED300" s="26"/>
      <c r="EE300" s="26"/>
      <c r="EF300" s="26"/>
      <c r="EG300" s="26"/>
      <c r="EH300" s="26">
        <f t="shared" ca="1" si="182"/>
        <v>-0.30493718000000003</v>
      </c>
      <c r="EI300" s="29">
        <f t="shared" ca="1" si="183"/>
        <v>4.6782897881298302E-2</v>
      </c>
      <c r="EJ300" s="29"/>
      <c r="EK300" s="29"/>
      <c r="EL300" s="29"/>
      <c r="EM300" s="29"/>
      <c r="EN300" s="93"/>
      <c r="EO300" s="29"/>
      <c r="EP300" s="29"/>
      <c r="EQ300" s="29"/>
      <c r="ER300" s="29"/>
      <c r="ES300" s="29"/>
      <c r="ET300" s="29"/>
      <c r="EU300" s="93"/>
      <c r="EV300" s="29"/>
      <c r="EW300" s="29"/>
      <c r="EX300" s="29"/>
      <c r="EY300" s="29"/>
      <c r="EZ300" s="29"/>
      <c r="FA300" s="29"/>
      <c r="FB300" s="93"/>
      <c r="FC300" s="29"/>
      <c r="FD300" s="29"/>
      <c r="FE300" s="29"/>
      <c r="FF300" s="29"/>
      <c r="FG300" s="29"/>
      <c r="FH300" s="29"/>
      <c r="FI300" s="93"/>
      <c r="FJ300" s="29"/>
      <c r="FK300" s="29"/>
      <c r="FL300" s="29"/>
      <c r="FM300" s="29"/>
      <c r="FN300" s="29"/>
      <c r="FO300" s="29"/>
      <c r="FP300" s="93"/>
      <c r="FQ300" s="29"/>
      <c r="FR300" s="29"/>
      <c r="FS300" s="29"/>
      <c r="FT300" s="29"/>
      <c r="FU300" s="29"/>
      <c r="FV300" s="29"/>
    </row>
    <row r="301" spans="1:178" x14ac:dyDescent="0.25">
      <c r="A301" t="str">
        <f ca="1">IF(_xll.TM1RPTELISCONSOLIDATED($D$28,$D301),IF(_xll.TM1RPTELLEV($D$28,$D301)&lt;=3,_xll.TM1RPTELLEV($D$28,$D301),"D"),"N")</f>
        <v>N</v>
      </c>
      <c r="B301" t="str">
        <f ca="1">_xll.DBRA(Server&amp;"Management_organization",$D301,$B$27)</f>
        <v>L</v>
      </c>
      <c r="C301">
        <v>1</v>
      </c>
      <c r="D301" s="2" t="s">
        <v>256</v>
      </c>
      <c r="E301" s="26"/>
      <c r="F301" s="26"/>
      <c r="G301" s="16">
        <f ca="1">_xll.DBRW($D$4,$E$7,$E$8,$E$9,$E$10,$E$12,$D301,$E$6,G$18,G$17)</f>
        <v>1.0238663799999985</v>
      </c>
      <c r="H301" s="16">
        <f ca="1">_xll.DBRW($D$4,$E$7,$E$8,$E$9,$E$10,$E$12,$D301,$E$6,H$18,H$17)</f>
        <v>-0.33272819999999997</v>
      </c>
      <c r="I301" s="16">
        <f ca="1">_xll.DBRW($D$4,$E$7,$E$8,$E$9,$E$10,$E$12,$D301,$E$6,I$18,I$17)</f>
        <v>0</v>
      </c>
      <c r="J301" s="26">
        <f ca="1">_xll.DBRW($D$4,$E$7,$E$8,$E$9,$E$10,$E$12,$D301,$E$6,J$18,J$17)</f>
        <v>0</v>
      </c>
      <c r="K301" s="26">
        <f ca="1">_xll.DBRW($D$4,$E$7,$E$8,$E$9,$E$10,$E$12,$D301,$E$6,K$18,K$17)</f>
        <v>0</v>
      </c>
      <c r="L301" s="26">
        <f ca="1">_xll.DBRW($D$4,$E$7,$E$8,$E$9,$E$10,$E$12,$D301,$E$6,L$18,L$17)</f>
        <v>0</v>
      </c>
      <c r="M301" s="26">
        <f ca="1">_xll.DBRW($D$4,$E$7,$E$8,$E$9,$E$10,$E$12,$D301,$E$6,M$18,M$17)</f>
        <v>0</v>
      </c>
      <c r="N301" s="16">
        <f ca="1">_xll.DBRW($D$4,$E$7,$E$8,$E$9,$E$10,$E$12,$D301,$E$6,N$18,N$17)</f>
        <v>1.3565945799999986</v>
      </c>
      <c r="O301" s="16">
        <f ca="1">_xll.DBRW($D$4,$E$7,$E$8,$E$9,$E$10,$E$12,$D301,$E$6,O$18,O$17)</f>
        <v>14.452958189999999</v>
      </c>
      <c r="P301" s="74">
        <f ca="1">_xll.DBRW($D$4,$E$7,$E$8,$E$9,$E$10,$E$12,$D301,$E$6,P$18,P$17)</f>
        <v>-6.7436015499999993</v>
      </c>
      <c r="Q301" s="16">
        <f ca="1">_xll.DBRW($D$4,$E$7,$E$8,$E$9,$E$10,$E$12,$D301,$E$6,Q$18,Q$17)</f>
        <v>0.46658970858062104</v>
      </c>
      <c r="R301" s="16"/>
      <c r="S301" s="16"/>
      <c r="T301" s="16"/>
      <c r="U301" s="16"/>
      <c r="V301" s="16">
        <f ca="1">_xll.DBRW($D$4,$E$7,$E$8,$E$9,$E$10,$E$12,$D301,$E$6,V$18,V$17)</f>
        <v>-3.1801762400000002</v>
      </c>
      <c r="W301" s="16">
        <f ca="1">_xll.DBRW($D$4,$E$7,$E$8,$E$9,$E$10,$E$12,$D301,$E$6,W$18,W$17)</f>
        <v>0.22003635506261715</v>
      </c>
      <c r="X301" s="16"/>
      <c r="Y301" s="16"/>
      <c r="Z301" s="16"/>
      <c r="AA301" s="16"/>
      <c r="AB301" s="16">
        <f ca="1">_xll.DBRW($D$4,$E$7,$E$8,$E$9,$E$10,$E$12,$D301,$E$6,AB$18,AB$17)</f>
        <v>0</v>
      </c>
      <c r="AC301" s="16">
        <f ca="1">_xll.DBRW($D$4,$E$7,$E$8,$E$9,$E$10,$E$12,$D301,$E$6,AC$18,AC$17)</f>
        <v>0</v>
      </c>
      <c r="AD301" s="16"/>
      <c r="AE301" s="16"/>
      <c r="AF301" s="16"/>
      <c r="AG301" s="16"/>
      <c r="AH301" s="16">
        <f ca="1">_xll.DBRW($D$4,$E$7,$E$8,$E$9,$E$10,$E$12,$D301,$E$6,AH$18,AH$17)</f>
        <v>-0.10653011999999999</v>
      </c>
      <c r="AI301" s="16">
        <f ca="1">_xll.DBRW($D$4,$E$7,$E$8,$E$9,$E$10,$E$12,$D301,$E$6,AI$18,AI$17)</f>
        <v>7.3708176969409754E-3</v>
      </c>
      <c r="AJ301" s="16"/>
      <c r="AK301" s="16"/>
      <c r="AL301" s="16"/>
      <c r="AM301" s="16"/>
      <c r="AN301" s="16">
        <f ca="1">_xll.DBRW($D$4,$E$7,$E$8,$E$9,$E$10,$E$12,$D301,$E$6,AN$18,AN$17)</f>
        <v>-3.0660556999999993</v>
      </c>
      <c r="AO301" s="16">
        <f ca="1">_xll.DBRW($D$4,$E$7,$E$8,$E$9,$E$10,$E$12,$D301,$E$6,AO$18,AO$17)</f>
        <v>0.21214035629892039</v>
      </c>
      <c r="AP301" s="16"/>
      <c r="AQ301" s="16"/>
      <c r="AR301" s="16"/>
      <c r="AS301" s="16"/>
      <c r="AT301" s="16">
        <f ca="1">_xll.DBRW($D$4,$E$7,$E$8,$E$9,$E$10,$E$12,$D301,$E$6,AT$18,AT$17)</f>
        <v>0</v>
      </c>
      <c r="AU301" s="16">
        <f ca="1">_xll.DBRW($D$4,$E$7,$E$8,$E$9,$E$10,$E$12,$D301,$E$6,AU$18,AU$17)</f>
        <v>0</v>
      </c>
      <c r="AV301" s="16">
        <f ca="1">_xll.DBRW($D$4,$E$7,$E$8,$E$9,$E$10,$E$12,$D301,$E$6,AV$18,AV$17)</f>
        <v>0</v>
      </c>
      <c r="AW301" s="16">
        <f ca="1">_xll.DBRW($D$4,$E$7,$E$8,$E$9,$E$10,$E$12,$D301,$E$6,AW$18,AW$17)</f>
        <v>0</v>
      </c>
      <c r="AX301" s="16">
        <f ca="1">_xll.DBRW($D$4,$E$7,$E$8,$E$9,$E$10,$E$12,$D301,$E$6,AX$18,AX$17)</f>
        <v>0</v>
      </c>
      <c r="AY301" s="16">
        <f ca="1">_xll.DBRW($D$4,$E$7,$E$8,$E$9,$E$10,$E$12,$D301,$E$6,AY$18,AY$17)</f>
        <v>0</v>
      </c>
      <c r="AZ301" s="16">
        <f ca="1">_xll.DBRW($D$4,$E$7,$E$8,$E$9,$E$10,$E$12,$D301,$E$6,AZ$18,AZ$17)</f>
        <v>0</v>
      </c>
      <c r="BA301" s="16">
        <f ca="1">_xll.DBRW($D$4,$E$7,$E$8,$E$9,$E$10,$E$12,$D301,$E$6,BA$18,BA$17)</f>
        <v>0</v>
      </c>
      <c r="BB301" s="16">
        <f ca="1">_xll.DBRW($D$4,$E$7,$E$8,$E$9,$E$10,$E$12,$D301,$E$6,BB$18,BB$17)</f>
        <v>0</v>
      </c>
      <c r="BC301" s="16">
        <f ca="1">_xll.DBRW($D$4,$E$7,$E$8,$E$9,$E$10,$E$12,$D301,$E$6,BC$18,BC$17)</f>
        <v>0</v>
      </c>
      <c r="BD301" s="16">
        <f ca="1">_xll.DBRW($D$4,$E$7,$E$8,$E$9,$E$10,$E$12,$D301,$E$6,BD$18,BD$17)</f>
        <v>3.0001236699999998</v>
      </c>
      <c r="BE301" s="16">
        <f ca="1">_xll.DBRW($D$4,$E$7,$E$8,$E$9,$E$10,$E$12,$D301,$E$6,BE$18,BE$17)</f>
        <v>-7.19389E-2</v>
      </c>
      <c r="BF301" s="16">
        <f ca="1">_xll.DBRW($D$4,$E$7,$E$8,$E$9,$E$10,$E$12,$D301,$E$6,BF$18,BF$17)</f>
        <v>-1E-3</v>
      </c>
      <c r="BG301" s="26">
        <f ca="1">_xll.DBRW($D$4,$E$7,$E$8,$E$9,$E$10,$E$12,$D301,$E$6,BG$18,BG$17)</f>
        <v>0</v>
      </c>
      <c r="BH301" s="26">
        <f ca="1">_xll.DBRW($D$4,$E$7,$E$8,$E$9,$E$10,$E$12,$D301,$E$6,BH$18,BH$17)</f>
        <v>0</v>
      </c>
      <c r="BI301" s="26">
        <f ca="1">_xll.DBRW($D$4,$E$7,$E$8,$E$9,$E$10,$E$12,$D301,$E$6,BI$18,BI$17)</f>
        <v>0</v>
      </c>
      <c r="BJ301" s="26">
        <f ca="1">_xll.DBRW($D$4,$E$7,$E$8,$E$9,$E$10,$E$12,$D301,$E$6,BJ$18,BJ$17)</f>
        <v>0</v>
      </c>
      <c r="BK301" s="16">
        <f ca="1">_xll.DBRW($D$4,$E$7,$E$8,$E$9,$E$10,$E$12,$D301,$E$6,BK$18,BK$17)</f>
        <v>3.0720625700000004</v>
      </c>
      <c r="BL301" s="16">
        <f ca="1">_xll.DBRW($D$4,$E$7,$E$8,$E$9,$E$10,$E$12,$D301,$E$6,BL$18,BL$17)</f>
        <v>12.328607740000001</v>
      </c>
      <c r="BM301" s="16">
        <f ca="1">_xll.DBRW($D$4,$E$7,$E$8,$E$9,$E$10,$E$12,$D301,$E$6,BM$18,BM$17)</f>
        <v>-5.06637586</v>
      </c>
      <c r="BN301" s="16">
        <f ca="1">_xll.DBRW($D$4,$E$7,$E$8,$E$9,$E$10,$E$12,$D301,$E$6,BN$18,BN$17)</f>
        <v>0.41094468790358313</v>
      </c>
      <c r="BO301" s="16"/>
      <c r="BP301" s="16"/>
      <c r="BQ301" s="16"/>
      <c r="BR301" s="16"/>
      <c r="BS301" s="16">
        <f ca="1">_xll.DBRW($D$4,$E$7,$E$8,$E$9,$E$10,$E$12,$D301,$E$6,BS$18,BS$17)</f>
        <v>-2.5351957600000001</v>
      </c>
      <c r="BT301" s="16">
        <f ca="1">_xll.DBRW($D$4,$E$7,$E$8,$E$9,$E$10,$E$12,$D301,$E$6,BT$18,BT$17)</f>
        <v>0.20563520337942068</v>
      </c>
      <c r="BU301" s="16"/>
      <c r="BV301" s="16"/>
      <c r="BW301" s="16"/>
      <c r="BX301" s="16"/>
      <c r="BY301" s="16">
        <f ca="1">_xll.DBRW($D$4,$E$7,$E$8,$E$9,$E$10,$E$12,$D301,$E$6,BY$18,BY$17)</f>
        <v>0</v>
      </c>
      <c r="BZ301" s="16">
        <f ca="1">_xll.DBRW($D$4,$E$7,$E$8,$E$9,$E$10,$E$12,$D301,$E$6,BZ$18,BZ$17)</f>
        <v>0</v>
      </c>
      <c r="CA301" s="16"/>
      <c r="CB301" s="16"/>
      <c r="CC301" s="16"/>
      <c r="CD301" s="16"/>
      <c r="CE301" s="16">
        <f ca="1">_xll.DBRW($D$4,$E$7,$E$8,$E$9,$E$10,$E$12,$D301,$E$6,CE$18,CE$17)</f>
        <v>-0.10538</v>
      </c>
      <c r="CF301" s="16">
        <f ca="1">_xll.DBRW($D$4,$E$7,$E$8,$E$9,$E$10,$E$12,$D301,$E$6,CF$18,CF$17)</f>
        <v>8.5475993901643916E-3</v>
      </c>
      <c r="CG301" s="16"/>
      <c r="CH301" s="16"/>
      <c r="CI301" s="16"/>
      <c r="CJ301" s="16"/>
      <c r="CK301" s="16">
        <f ca="1">_xll.DBRW($D$4,$E$7,$E$8,$E$9,$E$10,$E$12,$D301,$E$6,CK$18,CK$17)</f>
        <v>-1.5495935500000002</v>
      </c>
      <c r="CL301" s="16">
        <f ca="1">_xll.DBRW($D$4,$E$7,$E$8,$E$9,$E$10,$E$12,$D301,$E$6,CL$18,CL$17)</f>
        <v>0.12569087951207703</v>
      </c>
      <c r="CM301" s="16"/>
      <c r="CN301" s="16"/>
      <c r="CO301" s="16"/>
      <c r="CP301" s="16"/>
      <c r="CQ301" s="16">
        <f ca="1">_xll.DBRW($D$4,$E$7,$E$8,$E$9,$E$10,$E$12,$D301,$E$6,CQ$18,CQ$17)</f>
        <v>0</v>
      </c>
      <c r="CR301" s="16">
        <f ca="1">_xll.DBRW($D$4,$E$7,$E$8,$E$9,$E$10,$E$12,$D301,$E$6,CR$18,CR$17)</f>
        <v>0</v>
      </c>
      <c r="CS301" s="16">
        <f ca="1">_xll.DBRW($D$4,$E$7,$E$8,$E$9,$E$10,$E$12,$D301,$E$6,CS$18,CS$17)</f>
        <v>0</v>
      </c>
      <c r="CT301" s="16">
        <f ca="1">_xll.DBRW($D$4,$E$7,$E$8,$E$9,$E$10,$E$12,$D301,$E$6,CT$18,CT$17)</f>
        <v>0</v>
      </c>
      <c r="CU301" s="16">
        <f ca="1">_xll.DBRW($D$4,$E$7,$E$8,$E$9,$E$10,$E$12,$D301,$E$6,CU$18,CU$17)</f>
        <v>0</v>
      </c>
      <c r="CV301" s="16">
        <f ca="1">_xll.DBRW($D$4,$E$7,$E$8,$E$9,$E$10,$E$12,$D301,$E$6,CV$18,CV$17)</f>
        <v>0</v>
      </c>
      <c r="CW301" s="16">
        <f ca="1">_xll.DBRW($D$4,$E$7,$E$8,$E$9,$E$10,$E$12,$D301,$E$6,CW$18,CW$17)</f>
        <v>0</v>
      </c>
      <c r="CX301" s="16">
        <f ca="1">_xll.DBRW($D$4,$E$7,$E$8,$E$9,$E$10,$E$12,$D301,$E$6,CX$18,CX$17)</f>
        <v>0</v>
      </c>
      <c r="CY301" s="16">
        <f ca="1">_xll.DBRW($D$4,$E$7,$E$8,$E$9,$E$10,$E$12,$D301,$E$6,CY$18,CY$17)</f>
        <v>0</v>
      </c>
      <c r="CZ301" s="16">
        <f ca="1">_xll.DBRW($D$4,$E$7,$E$8,$E$9,$E$10,$E$12,$D301,$E$6,CZ$18,CZ$17)</f>
        <v>0</v>
      </c>
      <c r="DA301" s="26">
        <f t="shared" ca="1" si="165"/>
        <v>-1.9762572900000013</v>
      </c>
      <c r="DB301" s="26">
        <f t="shared" ca="1" si="166"/>
        <v>-0.2607893</v>
      </c>
      <c r="DC301" s="26">
        <f t="shared" ca="1" si="167"/>
        <v>1E-3</v>
      </c>
      <c r="DD301" s="26">
        <f t="shared" ca="1" si="168"/>
        <v>0</v>
      </c>
      <c r="DE301" s="26">
        <f t="shared" ca="1" si="169"/>
        <v>0</v>
      </c>
      <c r="DF301" s="26">
        <f t="shared" ca="1" si="170"/>
        <v>0</v>
      </c>
      <c r="DG301" s="26">
        <f t="shared" ca="1" si="171"/>
        <v>0</v>
      </c>
      <c r="DH301" s="26">
        <f t="shared" ca="1" si="172"/>
        <v>-1.7154679900000018</v>
      </c>
      <c r="DI301" s="26">
        <f t="shared" ca="1" si="173"/>
        <v>2.1243504499999979</v>
      </c>
      <c r="DJ301" s="26">
        <f t="shared" ca="1" si="174"/>
        <v>-1.6772256899999993</v>
      </c>
      <c r="DK301" s="26">
        <f t="shared" ca="1" si="175"/>
        <v>5.5645020677037915E-2</v>
      </c>
      <c r="DL301" s="26"/>
      <c r="DM301" s="26"/>
      <c r="DN301" s="26"/>
      <c r="DO301" s="26"/>
      <c r="DP301" s="26">
        <f t="shared" ca="1" si="176"/>
        <v>-0.64498048000000008</v>
      </c>
      <c r="DQ301" s="26">
        <f t="shared" ca="1" si="177"/>
        <v>1.4401151683196473E-2</v>
      </c>
      <c r="DR301" s="26"/>
      <c r="DS301" s="26"/>
      <c r="DT301" s="26"/>
      <c r="DU301" s="26"/>
      <c r="DV301" s="26">
        <f t="shared" ca="1" si="178"/>
        <v>0</v>
      </c>
      <c r="DW301" s="26">
        <f t="shared" ca="1" si="179"/>
        <v>0</v>
      </c>
      <c r="DX301" s="26"/>
      <c r="DY301" s="26"/>
      <c r="DZ301" s="26"/>
      <c r="EA301" s="26"/>
      <c r="EB301" s="26">
        <f t="shared" ca="1" si="180"/>
        <v>-1.1501199999999906E-3</v>
      </c>
      <c r="EC301" s="26">
        <f t="shared" ca="1" si="181"/>
        <v>-1.1767816932234162E-3</v>
      </c>
      <c r="ED301" s="26"/>
      <c r="EE301" s="26"/>
      <c r="EF301" s="26"/>
      <c r="EG301" s="26"/>
      <c r="EH301" s="26">
        <f t="shared" ca="1" si="182"/>
        <v>-1.5164621499999991</v>
      </c>
      <c r="EI301" s="29">
        <f t="shared" ca="1" si="183"/>
        <v>8.6449476786843366E-2</v>
      </c>
      <c r="EJ301" s="29"/>
      <c r="EK301" s="29"/>
      <c r="EL301" s="29"/>
      <c r="EM301" s="29"/>
      <c r="EN301" s="93"/>
      <c r="EO301" s="29"/>
      <c r="EP301" s="29"/>
      <c r="EQ301" s="29"/>
      <c r="ER301" s="29"/>
      <c r="ES301" s="29"/>
      <c r="ET301" s="29"/>
      <c r="EU301" s="93"/>
      <c r="EV301" s="29"/>
      <c r="EW301" s="29"/>
      <c r="EX301" s="29"/>
      <c r="EY301" s="29"/>
      <c r="EZ301" s="29"/>
      <c r="FA301" s="29"/>
      <c r="FB301" s="93"/>
      <c r="FC301" s="29"/>
      <c r="FD301" s="29"/>
      <c r="FE301" s="29"/>
      <c r="FF301" s="29"/>
      <c r="FG301" s="29"/>
      <c r="FH301" s="29"/>
      <c r="FI301" s="93"/>
      <c r="FJ301" s="29"/>
      <c r="FK301" s="29"/>
      <c r="FL301" s="29"/>
      <c r="FM301" s="29"/>
      <c r="FN301" s="29"/>
      <c r="FO301" s="29"/>
      <c r="FP301" s="93"/>
      <c r="FQ301" s="29"/>
      <c r="FR301" s="29"/>
      <c r="FS301" s="29"/>
      <c r="FT301" s="29"/>
      <c r="FU301" s="29"/>
      <c r="FV301" s="29"/>
    </row>
    <row r="302" spans="1:178" x14ac:dyDescent="0.25">
      <c r="A302" t="str">
        <f ca="1">IF(_xll.TM1RPTELISCONSOLIDATED($D$28,$D302),IF(_xll.TM1RPTELLEV($D$28,$D302)&lt;=3,_xll.TM1RPTELLEV($D$28,$D302),"D"),"N")</f>
        <v>N</v>
      </c>
      <c r="B302" t="str">
        <f ca="1">_xll.DBRA(Server&amp;"Management_organization",$D302,$B$27)</f>
        <v>L</v>
      </c>
      <c r="C302">
        <v>1</v>
      </c>
      <c r="D302" s="2" t="s">
        <v>257</v>
      </c>
      <c r="E302" s="26"/>
      <c r="F302" s="26"/>
      <c r="G302" s="16">
        <f ca="1">_xll.DBRW($D$4,$E$7,$E$8,$E$9,$E$10,$E$12,$D302,$E$6,G$18,G$17)</f>
        <v>-1.5101116999999995</v>
      </c>
      <c r="H302" s="16">
        <f ca="1">_xll.DBRW($D$4,$E$7,$E$8,$E$9,$E$10,$E$12,$D302,$E$6,H$18,H$17)</f>
        <v>-0.82333684000000007</v>
      </c>
      <c r="I302" s="16">
        <f ca="1">_xll.DBRW($D$4,$E$7,$E$8,$E$9,$E$10,$E$12,$D302,$E$6,I$18,I$17)</f>
        <v>0</v>
      </c>
      <c r="J302" s="26">
        <f ca="1">_xll.DBRW($D$4,$E$7,$E$8,$E$9,$E$10,$E$12,$D302,$E$6,J$18,J$17)</f>
        <v>0</v>
      </c>
      <c r="K302" s="26">
        <f ca="1">_xll.DBRW($D$4,$E$7,$E$8,$E$9,$E$10,$E$12,$D302,$E$6,K$18,K$17)</f>
        <v>0</v>
      </c>
      <c r="L302" s="26">
        <f ca="1">_xll.DBRW($D$4,$E$7,$E$8,$E$9,$E$10,$E$12,$D302,$E$6,L$18,L$17)</f>
        <v>0</v>
      </c>
      <c r="M302" s="26">
        <f ca="1">_xll.DBRW($D$4,$E$7,$E$8,$E$9,$E$10,$E$12,$D302,$E$6,M$18,M$17)</f>
        <v>0</v>
      </c>
      <c r="N302" s="16">
        <f ca="1">_xll.DBRW($D$4,$E$7,$E$8,$E$9,$E$10,$E$12,$D302,$E$6,N$18,N$17)</f>
        <v>-0.68677485999999976</v>
      </c>
      <c r="O302" s="16">
        <f ca="1">_xll.DBRW($D$4,$E$7,$E$8,$E$9,$E$10,$E$12,$D302,$E$6,O$18,O$17)</f>
        <v>44.554527360000002</v>
      </c>
      <c r="P302" s="74">
        <f ca="1">_xll.DBRW($D$4,$E$7,$E$8,$E$9,$E$10,$E$12,$D302,$E$6,P$18,P$17)</f>
        <v>-24.690086699999998</v>
      </c>
      <c r="Q302" s="16">
        <f ca="1">_xll.DBRW($D$4,$E$7,$E$8,$E$9,$E$10,$E$12,$D302,$E$6,Q$18,Q$17)</f>
        <v>0.55415438481715718</v>
      </c>
      <c r="R302" s="16"/>
      <c r="S302" s="16"/>
      <c r="T302" s="16"/>
      <c r="U302" s="16"/>
      <c r="V302" s="16">
        <f ca="1">_xll.DBRW($D$4,$E$7,$E$8,$E$9,$E$10,$E$12,$D302,$E$6,V$18,V$17)</f>
        <v>-9.7354493699999978</v>
      </c>
      <c r="W302" s="16">
        <f ca="1">_xll.DBRW($D$4,$E$7,$E$8,$E$9,$E$10,$E$12,$D302,$E$6,W$18,W$17)</f>
        <v>0.21850639983985676</v>
      </c>
      <c r="X302" s="16"/>
      <c r="Y302" s="16"/>
      <c r="Z302" s="16"/>
      <c r="AA302" s="16"/>
      <c r="AB302" s="16">
        <f ca="1">_xll.DBRW($D$4,$E$7,$E$8,$E$9,$E$10,$E$12,$D302,$E$6,AB$18,AB$17)</f>
        <v>0</v>
      </c>
      <c r="AC302" s="16">
        <f ca="1">_xll.DBRW($D$4,$E$7,$E$8,$E$9,$E$10,$E$12,$D302,$E$6,AC$18,AC$17)</f>
        <v>0</v>
      </c>
      <c r="AD302" s="16"/>
      <c r="AE302" s="16"/>
      <c r="AF302" s="16"/>
      <c r="AG302" s="16"/>
      <c r="AH302" s="16">
        <f ca="1">_xll.DBRW($D$4,$E$7,$E$8,$E$9,$E$10,$E$12,$D302,$E$6,AH$18,AH$17)</f>
        <v>-0.23097987999999997</v>
      </c>
      <c r="AI302" s="16">
        <f ca="1">_xll.DBRW($D$4,$E$7,$E$8,$E$9,$E$10,$E$12,$D302,$E$6,AI$18,AI$17)</f>
        <v>5.1842067167200663E-3</v>
      </c>
      <c r="AJ302" s="16"/>
      <c r="AK302" s="16"/>
      <c r="AL302" s="16"/>
      <c r="AM302" s="16"/>
      <c r="AN302" s="16">
        <f ca="1">_xll.DBRW($D$4,$E$7,$E$8,$E$9,$E$10,$E$12,$D302,$E$6,AN$18,AN$17)</f>
        <v>-10.58478627</v>
      </c>
      <c r="AO302" s="16">
        <f ca="1">_xll.DBRW($D$4,$E$7,$E$8,$E$9,$E$10,$E$12,$D302,$E$6,AO$18,AO$17)</f>
        <v>0.2375692639375358</v>
      </c>
      <c r="AP302" s="16"/>
      <c r="AQ302" s="16"/>
      <c r="AR302" s="16"/>
      <c r="AS302" s="16"/>
      <c r="AT302" s="16">
        <f ca="1">_xll.DBRW($D$4,$E$7,$E$8,$E$9,$E$10,$E$12,$D302,$E$6,AT$18,AT$17)</f>
        <v>0</v>
      </c>
      <c r="AU302" s="16">
        <f ca="1">_xll.DBRW($D$4,$E$7,$E$8,$E$9,$E$10,$E$12,$D302,$E$6,AU$18,AU$17)</f>
        <v>0</v>
      </c>
      <c r="AV302" s="16">
        <f ca="1">_xll.DBRW($D$4,$E$7,$E$8,$E$9,$E$10,$E$12,$D302,$E$6,AV$18,AV$17)</f>
        <v>0</v>
      </c>
      <c r="AW302" s="16">
        <f ca="1">_xll.DBRW($D$4,$E$7,$E$8,$E$9,$E$10,$E$12,$D302,$E$6,AW$18,AW$17)</f>
        <v>0</v>
      </c>
      <c r="AX302" s="16">
        <f ca="1">_xll.DBRW($D$4,$E$7,$E$8,$E$9,$E$10,$E$12,$D302,$E$6,AX$18,AX$17)</f>
        <v>0</v>
      </c>
      <c r="AY302" s="16">
        <f ca="1">_xll.DBRW($D$4,$E$7,$E$8,$E$9,$E$10,$E$12,$D302,$E$6,AY$18,AY$17)</f>
        <v>0</v>
      </c>
      <c r="AZ302" s="16">
        <f ca="1">_xll.DBRW($D$4,$E$7,$E$8,$E$9,$E$10,$E$12,$D302,$E$6,AZ$18,AZ$17)</f>
        <v>0</v>
      </c>
      <c r="BA302" s="16">
        <f ca="1">_xll.DBRW($D$4,$E$7,$E$8,$E$9,$E$10,$E$12,$D302,$E$6,BA$18,BA$17)</f>
        <v>0</v>
      </c>
      <c r="BB302" s="16">
        <f ca="1">_xll.DBRW($D$4,$E$7,$E$8,$E$9,$E$10,$E$12,$D302,$E$6,BB$18,BB$17)</f>
        <v>0</v>
      </c>
      <c r="BC302" s="16">
        <f ca="1">_xll.DBRW($D$4,$E$7,$E$8,$E$9,$E$10,$E$12,$D302,$E$6,BC$18,BC$17)</f>
        <v>0</v>
      </c>
      <c r="BD302" s="16">
        <f ca="1">_xll.DBRW($D$4,$E$7,$E$8,$E$9,$E$10,$E$12,$D302,$E$6,BD$18,BD$17)</f>
        <v>-4.3446720000005212E-2</v>
      </c>
      <c r="BE302" s="16">
        <f ca="1">_xll.DBRW($D$4,$E$7,$E$8,$E$9,$E$10,$E$12,$D302,$E$6,BE$18,BE$17)</f>
        <v>-0.56690907999999995</v>
      </c>
      <c r="BF302" s="16">
        <f ca="1">_xll.DBRW($D$4,$E$7,$E$8,$E$9,$E$10,$E$12,$D302,$E$6,BF$18,BF$17)</f>
        <v>-6.0526609999999988E-2</v>
      </c>
      <c r="BG302" s="26">
        <f ca="1">_xll.DBRW($D$4,$E$7,$E$8,$E$9,$E$10,$E$12,$D302,$E$6,BG$18,BG$17)</f>
        <v>0</v>
      </c>
      <c r="BH302" s="26">
        <f ca="1">_xll.DBRW($D$4,$E$7,$E$8,$E$9,$E$10,$E$12,$D302,$E$6,BH$18,BH$17)</f>
        <v>0</v>
      </c>
      <c r="BI302" s="26">
        <f ca="1">_xll.DBRW($D$4,$E$7,$E$8,$E$9,$E$10,$E$12,$D302,$E$6,BI$18,BI$17)</f>
        <v>0</v>
      </c>
      <c r="BJ302" s="26">
        <f ca="1">_xll.DBRW($D$4,$E$7,$E$8,$E$9,$E$10,$E$12,$D302,$E$6,BJ$18,BJ$17)</f>
        <v>0</v>
      </c>
      <c r="BK302" s="16">
        <f ca="1">_xll.DBRW($D$4,$E$7,$E$8,$E$9,$E$10,$E$12,$D302,$E$6,BK$18,BK$17)</f>
        <v>0.5234623599999948</v>
      </c>
      <c r="BL302" s="16">
        <f ca="1">_xll.DBRW($D$4,$E$7,$E$8,$E$9,$E$10,$E$12,$D302,$E$6,BL$18,BL$17)</f>
        <v>33.339846009999995</v>
      </c>
      <c r="BM302" s="16">
        <f ca="1">_xll.DBRW($D$4,$E$7,$E$8,$E$9,$E$10,$E$12,$D302,$E$6,BM$18,BM$17)</f>
        <v>-18.11558174</v>
      </c>
      <c r="BN302" s="16">
        <f ca="1">_xll.DBRW($D$4,$E$7,$E$8,$E$9,$E$10,$E$12,$D302,$E$6,BN$18,BN$17)</f>
        <v>0.54336129010813039</v>
      </c>
      <c r="BO302" s="16"/>
      <c r="BP302" s="16"/>
      <c r="BQ302" s="16"/>
      <c r="BR302" s="16"/>
      <c r="BS302" s="16">
        <f ca="1">_xll.DBRW($D$4,$E$7,$E$8,$E$9,$E$10,$E$12,$D302,$E$6,BS$18,BS$17)</f>
        <v>-7.4483429800000005</v>
      </c>
      <c r="BT302" s="16">
        <f ca="1">_xll.DBRW($D$4,$E$7,$E$8,$E$9,$E$10,$E$12,$D302,$E$6,BT$18,BT$17)</f>
        <v>0.22340664014362679</v>
      </c>
      <c r="BU302" s="16"/>
      <c r="BV302" s="16"/>
      <c r="BW302" s="16"/>
      <c r="BX302" s="16"/>
      <c r="BY302" s="16">
        <f ca="1">_xll.DBRW($D$4,$E$7,$E$8,$E$9,$E$10,$E$12,$D302,$E$6,BY$18,BY$17)</f>
        <v>0</v>
      </c>
      <c r="BZ302" s="16">
        <f ca="1">_xll.DBRW($D$4,$E$7,$E$8,$E$9,$E$10,$E$12,$D302,$E$6,BZ$18,BZ$17)</f>
        <v>0</v>
      </c>
      <c r="CA302" s="16"/>
      <c r="CB302" s="16"/>
      <c r="CC302" s="16"/>
      <c r="CD302" s="16"/>
      <c r="CE302" s="16">
        <f ca="1">_xll.DBRW($D$4,$E$7,$E$8,$E$9,$E$10,$E$12,$D302,$E$6,CE$18,CE$17)</f>
        <v>-0.21779999999999999</v>
      </c>
      <c r="CF302" s="16">
        <f ca="1">_xll.DBRW($D$4,$E$7,$E$8,$E$9,$E$10,$E$12,$D302,$E$6,CF$18,CF$17)</f>
        <v>6.532723634496476E-3</v>
      </c>
      <c r="CG302" s="16"/>
      <c r="CH302" s="16"/>
      <c r="CI302" s="16"/>
      <c r="CJ302" s="16"/>
      <c r="CK302" s="16">
        <f ca="1">_xll.DBRW($D$4,$E$7,$E$8,$E$9,$E$10,$E$12,$D302,$E$6,CK$18,CK$17)</f>
        <v>-7.03465893</v>
      </c>
      <c r="CL302" s="16">
        <f ca="1">_xll.DBRW($D$4,$E$7,$E$8,$E$9,$E$10,$E$12,$D302,$E$6,CL$18,CL$17)</f>
        <v>0.21099854294138057</v>
      </c>
      <c r="CM302" s="16"/>
      <c r="CN302" s="16"/>
      <c r="CO302" s="16"/>
      <c r="CP302" s="16"/>
      <c r="CQ302" s="16">
        <f ca="1">_xll.DBRW($D$4,$E$7,$E$8,$E$9,$E$10,$E$12,$D302,$E$6,CQ$18,CQ$17)</f>
        <v>0</v>
      </c>
      <c r="CR302" s="16">
        <f ca="1">_xll.DBRW($D$4,$E$7,$E$8,$E$9,$E$10,$E$12,$D302,$E$6,CR$18,CR$17)</f>
        <v>0</v>
      </c>
      <c r="CS302" s="16">
        <f ca="1">_xll.DBRW($D$4,$E$7,$E$8,$E$9,$E$10,$E$12,$D302,$E$6,CS$18,CS$17)</f>
        <v>0</v>
      </c>
      <c r="CT302" s="16">
        <f ca="1">_xll.DBRW($D$4,$E$7,$E$8,$E$9,$E$10,$E$12,$D302,$E$6,CT$18,CT$17)</f>
        <v>0</v>
      </c>
      <c r="CU302" s="16">
        <f ca="1">_xll.DBRW($D$4,$E$7,$E$8,$E$9,$E$10,$E$12,$D302,$E$6,CU$18,CU$17)</f>
        <v>0</v>
      </c>
      <c r="CV302" s="16">
        <f ca="1">_xll.DBRW($D$4,$E$7,$E$8,$E$9,$E$10,$E$12,$D302,$E$6,CV$18,CV$17)</f>
        <v>0</v>
      </c>
      <c r="CW302" s="16">
        <f ca="1">_xll.DBRW($D$4,$E$7,$E$8,$E$9,$E$10,$E$12,$D302,$E$6,CW$18,CW$17)</f>
        <v>0</v>
      </c>
      <c r="CX302" s="16">
        <f ca="1">_xll.DBRW($D$4,$E$7,$E$8,$E$9,$E$10,$E$12,$D302,$E$6,CX$18,CX$17)</f>
        <v>0</v>
      </c>
      <c r="CY302" s="16">
        <f ca="1">_xll.DBRW($D$4,$E$7,$E$8,$E$9,$E$10,$E$12,$D302,$E$6,CY$18,CY$17)</f>
        <v>0</v>
      </c>
      <c r="CZ302" s="16">
        <f ca="1">_xll.DBRW($D$4,$E$7,$E$8,$E$9,$E$10,$E$12,$D302,$E$6,CZ$18,CZ$17)</f>
        <v>0</v>
      </c>
      <c r="DA302" s="26">
        <f t="shared" ca="1" si="165"/>
        <v>-1.4666649799999942</v>
      </c>
      <c r="DB302" s="26">
        <f t="shared" ca="1" si="166"/>
        <v>-0.25642776000000012</v>
      </c>
      <c r="DC302" s="26">
        <f t="shared" ca="1" si="167"/>
        <v>6.0526609999999988E-2</v>
      </c>
      <c r="DD302" s="26">
        <f t="shared" ca="1" si="168"/>
        <v>0</v>
      </c>
      <c r="DE302" s="26">
        <f t="shared" ca="1" si="169"/>
        <v>0</v>
      </c>
      <c r="DF302" s="26">
        <f t="shared" ca="1" si="170"/>
        <v>0</v>
      </c>
      <c r="DG302" s="26">
        <f t="shared" ca="1" si="171"/>
        <v>0</v>
      </c>
      <c r="DH302" s="26">
        <f t="shared" ca="1" si="172"/>
        <v>-1.2102372199999945</v>
      </c>
      <c r="DI302" s="26">
        <f t="shared" ca="1" si="173"/>
        <v>11.214681350000006</v>
      </c>
      <c r="DJ302" s="26">
        <f t="shared" ca="1" si="174"/>
        <v>-6.5745049599999987</v>
      </c>
      <c r="DK302" s="26">
        <f t="shared" ca="1" si="175"/>
        <v>1.0793094709026785E-2</v>
      </c>
      <c r="DL302" s="26"/>
      <c r="DM302" s="26"/>
      <c r="DN302" s="26"/>
      <c r="DO302" s="26"/>
      <c r="DP302" s="26">
        <f t="shared" ca="1" si="176"/>
        <v>-2.2871063899999973</v>
      </c>
      <c r="DQ302" s="26">
        <f t="shared" ca="1" si="177"/>
        <v>-4.9002403037700371E-3</v>
      </c>
      <c r="DR302" s="26"/>
      <c r="DS302" s="26"/>
      <c r="DT302" s="26"/>
      <c r="DU302" s="26"/>
      <c r="DV302" s="26">
        <f t="shared" ca="1" si="178"/>
        <v>0</v>
      </c>
      <c r="DW302" s="26">
        <f t="shared" ca="1" si="179"/>
        <v>0</v>
      </c>
      <c r="DX302" s="26"/>
      <c r="DY302" s="26"/>
      <c r="DZ302" s="26"/>
      <c r="EA302" s="26"/>
      <c r="EB302" s="26">
        <f t="shared" ca="1" si="180"/>
        <v>-1.3179879999999977E-2</v>
      </c>
      <c r="EC302" s="26">
        <f t="shared" ca="1" si="181"/>
        <v>-1.3485169177764097E-3</v>
      </c>
      <c r="ED302" s="26"/>
      <c r="EE302" s="26"/>
      <c r="EF302" s="26"/>
      <c r="EG302" s="26"/>
      <c r="EH302" s="26">
        <f t="shared" ca="1" si="182"/>
        <v>-3.5501273400000004</v>
      </c>
      <c r="EI302" s="29">
        <f t="shared" ca="1" si="183"/>
        <v>2.6570720996155234E-2</v>
      </c>
      <c r="EJ302" s="29"/>
      <c r="EK302" s="29"/>
      <c r="EL302" s="29"/>
      <c r="EM302" s="29"/>
      <c r="EN302" s="93"/>
      <c r="EO302" s="29"/>
      <c r="EP302" s="29"/>
      <c r="EQ302" s="29"/>
      <c r="ER302" s="29"/>
      <c r="ES302" s="29"/>
      <c r="ET302" s="29"/>
      <c r="EU302" s="93"/>
      <c r="EV302" s="29"/>
      <c r="EW302" s="29"/>
      <c r="EX302" s="29"/>
      <c r="EY302" s="29"/>
      <c r="EZ302" s="29"/>
      <c r="FA302" s="29"/>
      <c r="FB302" s="93"/>
      <c r="FC302" s="29"/>
      <c r="FD302" s="29"/>
      <c r="FE302" s="29"/>
      <c r="FF302" s="29"/>
      <c r="FG302" s="29"/>
      <c r="FH302" s="29"/>
      <c r="FI302" s="93"/>
      <c r="FJ302" s="29"/>
      <c r="FK302" s="29"/>
      <c r="FL302" s="29"/>
      <c r="FM302" s="29"/>
      <c r="FN302" s="29"/>
      <c r="FO302" s="29"/>
      <c r="FP302" s="93"/>
      <c r="FQ302" s="29"/>
      <c r="FR302" s="29"/>
      <c r="FS302" s="29"/>
      <c r="FT302" s="29"/>
      <c r="FU302" s="29"/>
      <c r="FV302" s="29"/>
    </row>
    <row r="303" spans="1:178" x14ac:dyDescent="0.25">
      <c r="A303" t="str">
        <f ca="1">IF(_xll.TM1RPTELISCONSOLIDATED($D$28,$D303),IF(_xll.TM1RPTELLEV($D$28,$D303)&lt;=3,_xll.TM1RPTELLEV($D$28,$D303),"D"),"N")</f>
        <v>N</v>
      </c>
      <c r="B303" t="str">
        <f ca="1">_xll.DBRA(Server&amp;"Management_organization",$D303,$B$27)</f>
        <v>L</v>
      </c>
      <c r="C303">
        <v>1</v>
      </c>
      <c r="D303" s="2" t="s">
        <v>374</v>
      </c>
      <c r="E303" s="26"/>
      <c r="F303" s="26"/>
      <c r="G303" s="16">
        <f ca="1">_xll.DBRW($D$4,$E$7,$E$8,$E$9,$E$10,$E$12,$D303,$E$6,G$18,G$17)</f>
        <v>0.11612173999999995</v>
      </c>
      <c r="H303" s="16">
        <f ca="1">_xll.DBRW($D$4,$E$7,$E$8,$E$9,$E$10,$E$12,$D303,$E$6,H$18,H$17)</f>
        <v>-0.24810404999999999</v>
      </c>
      <c r="I303" s="16">
        <f ca="1">_xll.DBRW($D$4,$E$7,$E$8,$E$9,$E$10,$E$12,$D303,$E$6,I$18,I$17)</f>
        <v>0</v>
      </c>
      <c r="J303" s="26">
        <f ca="1">_xll.DBRW($D$4,$E$7,$E$8,$E$9,$E$10,$E$12,$D303,$E$6,J$18,J$17)</f>
        <v>0</v>
      </c>
      <c r="K303" s="26">
        <f ca="1">_xll.DBRW($D$4,$E$7,$E$8,$E$9,$E$10,$E$12,$D303,$E$6,K$18,K$17)</f>
        <v>0</v>
      </c>
      <c r="L303" s="26">
        <f ca="1">_xll.DBRW($D$4,$E$7,$E$8,$E$9,$E$10,$E$12,$D303,$E$6,L$18,L$17)</f>
        <v>0</v>
      </c>
      <c r="M303" s="26">
        <f ca="1">_xll.DBRW($D$4,$E$7,$E$8,$E$9,$E$10,$E$12,$D303,$E$6,M$18,M$17)</f>
        <v>0</v>
      </c>
      <c r="N303" s="16">
        <f ca="1">_xll.DBRW($D$4,$E$7,$E$8,$E$9,$E$10,$E$12,$D303,$E$6,N$18,N$17)</f>
        <v>0.36422578999999994</v>
      </c>
      <c r="O303" s="16">
        <f ca="1">_xll.DBRW($D$4,$E$7,$E$8,$E$9,$E$10,$E$12,$D303,$E$6,O$18,O$17)</f>
        <v>8.4827381499999994</v>
      </c>
      <c r="P303" s="74">
        <f ca="1">_xll.DBRW($D$4,$E$7,$E$8,$E$9,$E$10,$E$12,$D303,$E$6,P$18,P$17)</f>
        <v>-5.7537971599999995</v>
      </c>
      <c r="Q303" s="16">
        <f ca="1">_xll.DBRW($D$4,$E$7,$E$8,$E$9,$E$10,$E$12,$D303,$E$6,Q$18,Q$17)</f>
        <v>0.67829479800693837</v>
      </c>
      <c r="R303" s="16"/>
      <c r="S303" s="16"/>
      <c r="T303" s="16"/>
      <c r="U303" s="16"/>
      <c r="V303" s="16">
        <f ca="1">_xll.DBRW($D$4,$E$7,$E$8,$E$9,$E$10,$E$12,$D303,$E$6,V$18,V$17)</f>
        <v>-2.9842799999999997E-3</v>
      </c>
      <c r="W303" s="16">
        <f ca="1">_xll.DBRW($D$4,$E$7,$E$8,$E$9,$E$10,$E$12,$D303,$E$6,W$18,W$17)</f>
        <v>3.5180621483642049E-4</v>
      </c>
      <c r="X303" s="16"/>
      <c r="Y303" s="16"/>
      <c r="Z303" s="16"/>
      <c r="AA303" s="16"/>
      <c r="AB303" s="16">
        <f ca="1">_xll.DBRW($D$4,$E$7,$E$8,$E$9,$E$10,$E$12,$D303,$E$6,AB$18,AB$17)</f>
        <v>0</v>
      </c>
      <c r="AC303" s="16">
        <f ca="1">_xll.DBRW($D$4,$E$7,$E$8,$E$9,$E$10,$E$12,$D303,$E$6,AC$18,AC$17)</f>
        <v>0</v>
      </c>
      <c r="AD303" s="16"/>
      <c r="AE303" s="16"/>
      <c r="AF303" s="16"/>
      <c r="AG303" s="16"/>
      <c r="AH303" s="16">
        <f ca="1">_xll.DBRW($D$4,$E$7,$E$8,$E$9,$E$10,$E$12,$D303,$E$6,AH$18,AH$17)</f>
        <v>-2.001758E-2</v>
      </c>
      <c r="AI303" s="16">
        <f ca="1">_xll.DBRW($D$4,$E$7,$E$8,$E$9,$E$10,$E$12,$D303,$E$6,AI$18,AI$17)</f>
        <v>2.3598017109605113E-3</v>
      </c>
      <c r="AJ303" s="16"/>
      <c r="AK303" s="16"/>
      <c r="AL303" s="16"/>
      <c r="AM303" s="16"/>
      <c r="AN303" s="16">
        <f ca="1">_xll.DBRW($D$4,$E$7,$E$8,$E$9,$E$10,$E$12,$D303,$E$6,AN$18,AN$17)</f>
        <v>-2.3417133399999996</v>
      </c>
      <c r="AO303" s="16">
        <f ca="1">_xll.DBRW($D$4,$E$7,$E$8,$E$9,$E$10,$E$12,$D303,$E$6,AO$18,AO$17)</f>
        <v>0.27605630382449087</v>
      </c>
      <c r="AP303" s="16"/>
      <c r="AQ303" s="16"/>
      <c r="AR303" s="16"/>
      <c r="AS303" s="16"/>
      <c r="AT303" s="16">
        <f ca="1">_xll.DBRW($D$4,$E$7,$E$8,$E$9,$E$10,$E$12,$D303,$E$6,AT$18,AT$17)</f>
        <v>0.31184974999999993</v>
      </c>
      <c r="AU303" s="16">
        <f ca="1">_xll.DBRW($D$4,$E$7,$E$8,$E$9,$E$10,$E$12,$D303,$E$6,AU$18,AU$17)</f>
        <v>0.29357551000000004</v>
      </c>
      <c r="AV303" s="16">
        <f ca="1">_xll.DBRW($D$4,$E$7,$E$8,$E$9,$E$10,$E$12,$D303,$E$6,AV$18,AV$17)</f>
        <v>1.553752</v>
      </c>
      <c r="AW303" s="16">
        <f ca="1">_xll.DBRW($D$4,$E$7,$E$8,$E$9,$E$10,$E$12,$D303,$E$6,AW$18,AW$17)</f>
        <v>0.29357551000000004</v>
      </c>
      <c r="AX303" s="16">
        <f ca="1">_xll.DBRW($D$4,$E$7,$E$8,$E$9,$E$10,$E$12,$D303,$E$6,AX$18,AX$17)</f>
        <v>0</v>
      </c>
      <c r="AY303" s="16">
        <f ca="1">_xll.DBRW($D$4,$E$7,$E$8,$E$9,$E$10,$E$12,$D303,$E$6,AY$18,AY$17)</f>
        <v>0</v>
      </c>
      <c r="AZ303" s="16">
        <f ca="1">_xll.DBRW($D$4,$E$7,$E$8,$E$9,$E$10,$E$12,$D303,$E$6,AZ$18,AZ$17)</f>
        <v>0</v>
      </c>
      <c r="BA303" s="16">
        <f ca="1">_xll.DBRW($D$4,$E$7,$E$8,$E$9,$E$10,$E$12,$D303,$E$6,BA$18,BA$17)</f>
        <v>0</v>
      </c>
      <c r="BB303" s="16">
        <f ca="1">_xll.DBRW($D$4,$E$7,$E$8,$E$9,$E$10,$E$12,$D303,$E$6,BB$18,BB$17)</f>
        <v>0.29357551000000004</v>
      </c>
      <c r="BC303" s="16">
        <f ca="1">_xll.DBRW($D$4,$E$7,$E$8,$E$9,$E$10,$E$12,$D303,$E$6,BC$18,BC$17)</f>
        <v>0.29357551000000004</v>
      </c>
      <c r="BD303" s="16">
        <f ca="1">_xll.DBRW($D$4,$E$7,$E$8,$E$9,$E$10,$E$12,$D303,$E$6,BD$18,BD$17)</f>
        <v>0.58223758000000159</v>
      </c>
      <c r="BE303" s="16">
        <f ca="1">_xll.DBRW($D$4,$E$7,$E$8,$E$9,$E$10,$E$12,$D303,$E$6,BE$18,BE$17)</f>
        <v>-0.14388193999999999</v>
      </c>
      <c r="BF303" s="16">
        <f ca="1">_xll.DBRW($D$4,$E$7,$E$8,$E$9,$E$10,$E$12,$D303,$E$6,BF$18,BF$17)</f>
        <v>-3.0000000000000009E-3</v>
      </c>
      <c r="BG303" s="26">
        <f ca="1">_xll.DBRW($D$4,$E$7,$E$8,$E$9,$E$10,$E$12,$D303,$E$6,BG$18,BG$17)</f>
        <v>0</v>
      </c>
      <c r="BH303" s="26">
        <f ca="1">_xll.DBRW($D$4,$E$7,$E$8,$E$9,$E$10,$E$12,$D303,$E$6,BH$18,BH$17)</f>
        <v>0</v>
      </c>
      <c r="BI303" s="26">
        <f ca="1">_xll.DBRW($D$4,$E$7,$E$8,$E$9,$E$10,$E$12,$D303,$E$6,BI$18,BI$17)</f>
        <v>0</v>
      </c>
      <c r="BJ303" s="26">
        <f ca="1">_xll.DBRW($D$4,$E$7,$E$8,$E$9,$E$10,$E$12,$D303,$E$6,BJ$18,BJ$17)</f>
        <v>0</v>
      </c>
      <c r="BK303" s="16">
        <f ca="1">_xll.DBRW($D$4,$E$7,$E$8,$E$9,$E$10,$E$12,$D303,$E$6,BK$18,BK$17)</f>
        <v>0.72611952000000146</v>
      </c>
      <c r="BL303" s="16">
        <f ca="1">_xll.DBRW($D$4,$E$7,$E$8,$E$9,$E$10,$E$12,$D303,$E$6,BL$18,BL$17)</f>
        <v>6.9984155800000005</v>
      </c>
      <c r="BM303" s="16">
        <f ca="1">_xll.DBRW($D$4,$E$7,$E$8,$E$9,$E$10,$E$12,$D303,$E$6,BM$18,BM$17)</f>
        <v>-4.7064004299999986</v>
      </c>
      <c r="BN303" s="16">
        <f ca="1">_xll.DBRW($D$4,$E$7,$E$8,$E$9,$E$10,$E$12,$D303,$E$6,BN$18,BN$17)</f>
        <v>0.6724951349631052</v>
      </c>
      <c r="BO303" s="16"/>
      <c r="BP303" s="16"/>
      <c r="BQ303" s="16"/>
      <c r="BR303" s="16"/>
      <c r="BS303" s="16">
        <f ca="1">_xll.DBRW($D$4,$E$7,$E$8,$E$9,$E$10,$E$12,$D303,$E$6,BS$18,BS$17)</f>
        <v>-4.3518000000000007E-4</v>
      </c>
      <c r="BT303" s="16">
        <f ca="1">_xll.DBRW($D$4,$E$7,$E$8,$E$9,$E$10,$E$12,$D303,$E$6,BT$18,BT$17)</f>
        <v>6.2182646204042664E-5</v>
      </c>
      <c r="BU303" s="16"/>
      <c r="BV303" s="16"/>
      <c r="BW303" s="16"/>
      <c r="BX303" s="16"/>
      <c r="BY303" s="16">
        <f ca="1">_xll.DBRW($D$4,$E$7,$E$8,$E$9,$E$10,$E$12,$D303,$E$6,BY$18,BY$17)</f>
        <v>0</v>
      </c>
      <c r="BZ303" s="16">
        <f ca="1">_xll.DBRW($D$4,$E$7,$E$8,$E$9,$E$10,$E$12,$D303,$E$6,BZ$18,BZ$17)</f>
        <v>0</v>
      </c>
      <c r="CA303" s="16"/>
      <c r="CB303" s="16"/>
      <c r="CC303" s="16"/>
      <c r="CD303" s="16"/>
      <c r="CE303" s="16">
        <f ca="1">_xll.DBRW($D$4,$E$7,$E$8,$E$9,$E$10,$E$12,$D303,$E$6,CE$18,CE$17)</f>
        <v>-1.6274750000000001E-2</v>
      </c>
      <c r="CF303" s="16">
        <f ca="1">_xll.DBRW($D$4,$E$7,$E$8,$E$9,$E$10,$E$12,$D303,$E$6,CF$18,CF$17)</f>
        <v>2.3254906505566506E-3</v>
      </c>
      <c r="CG303" s="16"/>
      <c r="CH303" s="16"/>
      <c r="CI303" s="16"/>
      <c r="CJ303" s="16"/>
      <c r="CK303" s="16">
        <f ca="1">_xll.DBRW($D$4,$E$7,$E$8,$E$9,$E$10,$E$12,$D303,$E$6,CK$18,CK$17)</f>
        <v>-1.5491856999999998</v>
      </c>
      <c r="CL303" s="16">
        <f ca="1">_xll.DBRW($D$4,$E$7,$E$8,$E$9,$E$10,$E$12,$D303,$E$6,CL$18,CL$17)</f>
        <v>0.22136234727575291</v>
      </c>
      <c r="CM303" s="16"/>
      <c r="CN303" s="16"/>
      <c r="CO303" s="16"/>
      <c r="CP303" s="16"/>
      <c r="CQ303" s="16">
        <f ca="1">_xll.DBRW($D$4,$E$7,$E$8,$E$9,$E$10,$E$12,$D303,$E$6,CQ$18,CQ$17)</f>
        <v>0.24566484999999999</v>
      </c>
      <c r="CR303" s="16">
        <f ca="1">_xll.DBRW($D$4,$E$7,$E$8,$E$9,$E$10,$E$12,$D303,$E$6,CR$18,CR$17)</f>
        <v>0.23621616999999998</v>
      </c>
      <c r="CS303" s="16">
        <f ca="1">_xll.DBRW($D$4,$E$7,$E$8,$E$9,$E$10,$E$12,$D303,$E$6,CS$18,CS$17)</f>
        <v>1.3228106699999997</v>
      </c>
      <c r="CT303" s="16">
        <f ca="1">_xll.DBRW($D$4,$E$7,$E$8,$E$9,$E$10,$E$12,$D303,$E$6,CT$18,CT$17)</f>
        <v>0.23621616999999998</v>
      </c>
      <c r="CU303" s="16">
        <f ca="1">_xll.DBRW($D$4,$E$7,$E$8,$E$9,$E$10,$E$12,$D303,$E$6,CU$18,CU$17)</f>
        <v>0</v>
      </c>
      <c r="CV303" s="16">
        <f ca="1">_xll.DBRW($D$4,$E$7,$E$8,$E$9,$E$10,$E$12,$D303,$E$6,CV$18,CV$17)</f>
        <v>0</v>
      </c>
      <c r="CW303" s="16">
        <f ca="1">_xll.DBRW($D$4,$E$7,$E$8,$E$9,$E$10,$E$12,$D303,$E$6,CW$18,CW$17)</f>
        <v>0</v>
      </c>
      <c r="CX303" s="16">
        <f ca="1">_xll.DBRW($D$4,$E$7,$E$8,$E$9,$E$10,$E$12,$D303,$E$6,CX$18,CX$17)</f>
        <v>0</v>
      </c>
      <c r="CY303" s="16">
        <f ca="1">_xll.DBRW($D$4,$E$7,$E$8,$E$9,$E$10,$E$12,$D303,$E$6,CY$18,CY$17)</f>
        <v>0.23621616999999998</v>
      </c>
      <c r="CZ303" s="16">
        <f ca="1">_xll.DBRW($D$4,$E$7,$E$8,$E$9,$E$10,$E$12,$D303,$E$6,CZ$18,CZ$17)</f>
        <v>0.23621616999999998</v>
      </c>
      <c r="DA303" s="26">
        <f t="shared" ca="1" si="165"/>
        <v>-0.46611584000000161</v>
      </c>
      <c r="DB303" s="26">
        <f t="shared" ca="1" si="166"/>
        <v>-0.10422211000000001</v>
      </c>
      <c r="DC303" s="26">
        <f t="shared" ca="1" si="167"/>
        <v>3.0000000000000009E-3</v>
      </c>
      <c r="DD303" s="26">
        <f t="shared" ca="1" si="168"/>
        <v>0</v>
      </c>
      <c r="DE303" s="26">
        <f t="shared" ca="1" si="169"/>
        <v>0</v>
      </c>
      <c r="DF303" s="26">
        <f t="shared" ca="1" si="170"/>
        <v>0</v>
      </c>
      <c r="DG303" s="26">
        <f t="shared" ca="1" si="171"/>
        <v>0</v>
      </c>
      <c r="DH303" s="26">
        <f t="shared" ca="1" si="172"/>
        <v>-0.36189373000000152</v>
      </c>
      <c r="DI303" s="26">
        <f t="shared" ca="1" si="173"/>
        <v>1.4843225699999989</v>
      </c>
      <c r="DJ303" s="26">
        <f t="shared" ca="1" si="174"/>
        <v>-1.0473967300000009</v>
      </c>
      <c r="DK303" s="26">
        <f t="shared" ca="1" si="175"/>
        <v>5.7996630438331698E-3</v>
      </c>
      <c r="DL303" s="26"/>
      <c r="DM303" s="26"/>
      <c r="DN303" s="26"/>
      <c r="DO303" s="26"/>
      <c r="DP303" s="26">
        <f t="shared" ca="1" si="176"/>
        <v>-2.5490999999999995E-3</v>
      </c>
      <c r="DQ303" s="26">
        <f t="shared" ca="1" si="177"/>
        <v>2.8962356863237781E-4</v>
      </c>
      <c r="DR303" s="26"/>
      <c r="DS303" s="26"/>
      <c r="DT303" s="26"/>
      <c r="DU303" s="26"/>
      <c r="DV303" s="26">
        <f t="shared" ca="1" si="178"/>
        <v>0</v>
      </c>
      <c r="DW303" s="26">
        <f t="shared" ca="1" si="179"/>
        <v>0</v>
      </c>
      <c r="DX303" s="26"/>
      <c r="DY303" s="26"/>
      <c r="DZ303" s="26"/>
      <c r="EA303" s="26"/>
      <c r="EB303" s="26">
        <f t="shared" ca="1" si="180"/>
        <v>-3.7428299999999991E-3</v>
      </c>
      <c r="EC303" s="26">
        <f t="shared" ca="1" si="181"/>
        <v>3.431106040386071E-5</v>
      </c>
      <c r="ED303" s="26"/>
      <c r="EE303" s="26"/>
      <c r="EF303" s="26"/>
      <c r="EG303" s="26"/>
      <c r="EH303" s="26">
        <f t="shared" ca="1" si="182"/>
        <v>-0.79252763999999987</v>
      </c>
      <c r="EI303" s="29">
        <f t="shared" ca="1" si="183"/>
        <v>5.469395654873796E-2</v>
      </c>
      <c r="EJ303" s="29"/>
      <c r="EK303" s="29"/>
      <c r="EL303" s="29"/>
      <c r="EM303" s="29"/>
      <c r="EN303" s="93"/>
      <c r="EO303" s="29"/>
      <c r="EP303" s="29"/>
      <c r="EQ303" s="29"/>
      <c r="ER303" s="29"/>
      <c r="ES303" s="29"/>
      <c r="ET303" s="29"/>
      <c r="EU303" s="93"/>
      <c r="EV303" s="29"/>
      <c r="EW303" s="29"/>
      <c r="EX303" s="29"/>
      <c r="EY303" s="29"/>
      <c r="EZ303" s="29"/>
      <c r="FA303" s="29"/>
      <c r="FB303" s="93"/>
      <c r="FC303" s="29"/>
      <c r="FD303" s="29"/>
      <c r="FE303" s="29"/>
      <c r="FF303" s="29"/>
      <c r="FG303" s="29"/>
      <c r="FH303" s="29"/>
      <c r="FI303" s="93"/>
      <c r="FJ303" s="29"/>
      <c r="FK303" s="29"/>
      <c r="FL303" s="29"/>
      <c r="FM303" s="29"/>
      <c r="FN303" s="29"/>
      <c r="FO303" s="29"/>
      <c r="FP303" s="93"/>
      <c r="FQ303" s="29"/>
      <c r="FR303" s="29"/>
      <c r="FS303" s="29"/>
      <c r="FT303" s="29"/>
      <c r="FU303" s="29"/>
      <c r="FV303" s="29"/>
    </row>
    <row r="304" spans="1:178" x14ac:dyDescent="0.25">
      <c r="A304" t="str">
        <f ca="1">IF(_xll.TM1RPTELISCONSOLIDATED($D$28,$D304),IF(_xll.TM1RPTELLEV($D$28,$D304)&lt;=3,_xll.TM1RPTELLEV($D$28,$D304),"D"),"N")</f>
        <v>N</v>
      </c>
      <c r="B304" t="str">
        <f ca="1">_xll.DBRA(Server&amp;"Management_organization",$D304,$B$27)</f>
        <v>L</v>
      </c>
      <c r="C304">
        <v>1</v>
      </c>
      <c r="D304" s="2" t="s">
        <v>375</v>
      </c>
      <c r="E304" s="26"/>
      <c r="F304" s="26"/>
      <c r="G304" s="16">
        <f ca="1">_xll.DBRW($D$4,$E$7,$E$8,$E$9,$E$10,$E$12,$D304,$E$6,G$18,G$17)</f>
        <v>-3.116704100000002</v>
      </c>
      <c r="H304" s="16">
        <f ca="1">_xll.DBRW($D$4,$E$7,$E$8,$E$9,$E$10,$E$12,$D304,$E$6,H$18,H$17)</f>
        <v>-0.79637928000000002</v>
      </c>
      <c r="I304" s="16">
        <f ca="1">_xll.DBRW($D$4,$E$7,$E$8,$E$9,$E$10,$E$12,$D304,$E$6,I$18,I$17)</f>
        <v>0</v>
      </c>
      <c r="J304" s="26">
        <f ca="1">_xll.DBRW($D$4,$E$7,$E$8,$E$9,$E$10,$E$12,$D304,$E$6,J$18,J$17)</f>
        <v>0</v>
      </c>
      <c r="K304" s="26">
        <f ca="1">_xll.DBRW($D$4,$E$7,$E$8,$E$9,$E$10,$E$12,$D304,$E$6,K$18,K$17)</f>
        <v>0</v>
      </c>
      <c r="L304" s="26">
        <f ca="1">_xll.DBRW($D$4,$E$7,$E$8,$E$9,$E$10,$E$12,$D304,$E$6,L$18,L$17)</f>
        <v>0</v>
      </c>
      <c r="M304" s="26">
        <f ca="1">_xll.DBRW($D$4,$E$7,$E$8,$E$9,$E$10,$E$12,$D304,$E$6,M$18,M$17)</f>
        <v>0</v>
      </c>
      <c r="N304" s="16">
        <f ca="1">_xll.DBRW($D$4,$E$7,$E$8,$E$9,$E$10,$E$12,$D304,$E$6,N$18,N$17)</f>
        <v>-2.3203248200000015</v>
      </c>
      <c r="O304" s="16">
        <f ca="1">_xll.DBRW($D$4,$E$7,$E$8,$E$9,$E$10,$E$12,$D304,$E$6,O$18,O$17)</f>
        <v>12.087773229999998</v>
      </c>
      <c r="P304" s="74">
        <f ca="1">_xll.DBRW($D$4,$E$7,$E$8,$E$9,$E$10,$E$12,$D304,$E$6,P$18,P$17)</f>
        <v>-6.41169878</v>
      </c>
      <c r="Q304" s="16">
        <f ca="1">_xll.DBRW($D$4,$E$7,$E$8,$E$9,$E$10,$E$12,$D304,$E$6,Q$18,Q$17)</f>
        <v>0.53042844682816748</v>
      </c>
      <c r="R304" s="16"/>
      <c r="S304" s="16"/>
      <c r="T304" s="16"/>
      <c r="U304" s="16"/>
      <c r="V304" s="16">
        <f ca="1">_xll.DBRW($D$4,$E$7,$E$8,$E$9,$E$10,$E$12,$D304,$E$6,V$18,V$17)</f>
        <v>-0.80538172999999991</v>
      </c>
      <c r="W304" s="16">
        <f ca="1">_xll.DBRW($D$4,$E$7,$E$8,$E$9,$E$10,$E$12,$D304,$E$6,W$18,W$17)</f>
        <v>6.6627799403215643E-2</v>
      </c>
      <c r="X304" s="16"/>
      <c r="Y304" s="16"/>
      <c r="Z304" s="16"/>
      <c r="AA304" s="16"/>
      <c r="AB304" s="16">
        <f ca="1">_xll.DBRW($D$4,$E$7,$E$8,$E$9,$E$10,$E$12,$D304,$E$6,AB$18,AB$17)</f>
        <v>1.6166E-2</v>
      </c>
      <c r="AC304" s="16">
        <f ca="1">_xll.DBRW($D$4,$E$7,$E$8,$E$9,$E$10,$E$12,$D304,$E$6,AC$18,AC$17)</f>
        <v>-1.3373844538941606E-3</v>
      </c>
      <c r="AD304" s="16"/>
      <c r="AE304" s="16"/>
      <c r="AF304" s="16"/>
      <c r="AG304" s="16"/>
      <c r="AH304" s="16">
        <f ca="1">_xll.DBRW($D$4,$E$7,$E$8,$E$9,$E$10,$E$12,$D304,$E$6,AH$18,AH$17)</f>
        <v>-1.6936651200000004</v>
      </c>
      <c r="AI304" s="16">
        <f ca="1">_xll.DBRW($D$4,$E$7,$E$8,$E$9,$E$10,$E$12,$D304,$E$6,AI$18,AI$17)</f>
        <v>0.14011390582647459</v>
      </c>
      <c r="AJ304" s="16"/>
      <c r="AK304" s="16"/>
      <c r="AL304" s="16"/>
      <c r="AM304" s="16"/>
      <c r="AN304" s="16">
        <f ca="1">_xll.DBRW($D$4,$E$7,$E$8,$E$9,$E$10,$E$12,$D304,$E$6,AN$18,AN$17)</f>
        <v>-5.5135184199999987</v>
      </c>
      <c r="AO304" s="16">
        <f ca="1">_xll.DBRW($D$4,$E$7,$E$8,$E$9,$E$10,$E$12,$D304,$E$6,AO$18,AO$17)</f>
        <v>0.45612358166318773</v>
      </c>
      <c r="AP304" s="16"/>
      <c r="AQ304" s="16"/>
      <c r="AR304" s="16"/>
      <c r="AS304" s="16"/>
      <c r="AT304" s="16">
        <f ca="1">_xll.DBRW($D$4,$E$7,$E$8,$E$9,$E$10,$E$12,$D304,$E$6,AT$18,AT$17)</f>
        <v>0.34422021000000003</v>
      </c>
      <c r="AU304" s="16">
        <f ca="1">_xll.DBRW($D$4,$E$7,$E$8,$E$9,$E$10,$E$12,$D304,$E$6,AU$18,AU$17)</f>
        <v>0.35956499999999997</v>
      </c>
      <c r="AV304" s="16">
        <f ca="1">_xll.DBRW($D$4,$E$7,$E$8,$E$9,$E$10,$E$12,$D304,$E$6,AV$18,AV$17)</f>
        <v>5.933713</v>
      </c>
      <c r="AW304" s="16">
        <f ca="1">_xll.DBRW($D$4,$E$7,$E$8,$E$9,$E$10,$E$12,$D304,$E$6,AW$18,AW$17)</f>
        <v>0.35956499999999997</v>
      </c>
      <c r="AX304" s="16">
        <f ca="1">_xll.DBRW($D$4,$E$7,$E$8,$E$9,$E$10,$E$12,$D304,$E$6,AX$18,AX$17)</f>
        <v>0</v>
      </c>
      <c r="AY304" s="16">
        <f ca="1">_xll.DBRW($D$4,$E$7,$E$8,$E$9,$E$10,$E$12,$D304,$E$6,AY$18,AY$17)</f>
        <v>0</v>
      </c>
      <c r="AZ304" s="16">
        <f ca="1">_xll.DBRW($D$4,$E$7,$E$8,$E$9,$E$10,$E$12,$D304,$E$6,AZ$18,AZ$17)</f>
        <v>0</v>
      </c>
      <c r="BA304" s="16">
        <f ca="1">_xll.DBRW($D$4,$E$7,$E$8,$E$9,$E$10,$E$12,$D304,$E$6,BA$18,BA$17)</f>
        <v>0</v>
      </c>
      <c r="BB304" s="16">
        <f ca="1">_xll.DBRW($D$4,$E$7,$E$8,$E$9,$E$10,$E$12,$D304,$E$6,BB$18,BB$17)</f>
        <v>0.35956499999999997</v>
      </c>
      <c r="BC304" s="16">
        <f ca="1">_xll.DBRW($D$4,$E$7,$E$8,$E$9,$E$10,$E$12,$D304,$E$6,BC$18,BC$17)</f>
        <v>0.35956499999999997</v>
      </c>
      <c r="BD304" s="16">
        <f ca="1">_xll.DBRW($D$4,$E$7,$E$8,$E$9,$E$10,$E$12,$D304,$E$6,BD$18,BD$17)</f>
        <v>0.70581459999999863</v>
      </c>
      <c r="BE304" s="16">
        <f ca="1">_xll.DBRW($D$4,$E$7,$E$8,$E$9,$E$10,$E$12,$D304,$E$6,BE$18,BE$17)</f>
        <v>-0.83468734000000011</v>
      </c>
      <c r="BF304" s="16">
        <f ca="1">_xll.DBRW($D$4,$E$7,$E$8,$E$9,$E$10,$E$12,$D304,$E$6,BF$18,BF$17)</f>
        <v>-6.9161520000000004E-2</v>
      </c>
      <c r="BG304" s="26">
        <f ca="1">_xll.DBRW($D$4,$E$7,$E$8,$E$9,$E$10,$E$12,$D304,$E$6,BG$18,BG$17)</f>
        <v>0</v>
      </c>
      <c r="BH304" s="26">
        <f ca="1">_xll.DBRW($D$4,$E$7,$E$8,$E$9,$E$10,$E$12,$D304,$E$6,BH$18,BH$17)</f>
        <v>0</v>
      </c>
      <c r="BI304" s="26">
        <f ca="1">_xll.DBRW($D$4,$E$7,$E$8,$E$9,$E$10,$E$12,$D304,$E$6,BI$18,BI$17)</f>
        <v>0</v>
      </c>
      <c r="BJ304" s="26">
        <f ca="1">_xll.DBRW($D$4,$E$7,$E$8,$E$9,$E$10,$E$12,$D304,$E$6,BJ$18,BJ$17)</f>
        <v>0</v>
      </c>
      <c r="BK304" s="16">
        <f ca="1">_xll.DBRW($D$4,$E$7,$E$8,$E$9,$E$10,$E$12,$D304,$E$6,BK$18,BK$17)</f>
        <v>1.5405019399999986</v>
      </c>
      <c r="BL304" s="16">
        <f ca="1">_xll.DBRW($D$4,$E$7,$E$8,$E$9,$E$10,$E$12,$D304,$E$6,BL$18,BL$17)</f>
        <v>12.583105509999999</v>
      </c>
      <c r="BM304" s="16">
        <f ca="1">_xll.DBRW($D$4,$E$7,$E$8,$E$9,$E$10,$E$12,$D304,$E$6,BM$18,BM$17)</f>
        <v>-5.1377943899999998</v>
      </c>
      <c r="BN304" s="16">
        <f ca="1">_xll.DBRW($D$4,$E$7,$E$8,$E$9,$E$10,$E$12,$D304,$E$6,BN$18,BN$17)</f>
        <v>0.40830893342799285</v>
      </c>
      <c r="BO304" s="16"/>
      <c r="BP304" s="16"/>
      <c r="BQ304" s="16"/>
      <c r="BR304" s="16"/>
      <c r="BS304" s="16">
        <f ca="1">_xll.DBRW($D$4,$E$7,$E$8,$E$9,$E$10,$E$12,$D304,$E$6,BS$18,BS$17)</f>
        <v>-0.74320712999999994</v>
      </c>
      <c r="BT304" s="16">
        <f ca="1">_xll.DBRW($D$4,$E$7,$E$8,$E$9,$E$10,$E$12,$D304,$E$6,BT$18,BT$17)</f>
        <v>5.9063887639610201E-2</v>
      </c>
      <c r="BU304" s="16"/>
      <c r="BV304" s="16"/>
      <c r="BW304" s="16"/>
      <c r="BX304" s="16"/>
      <c r="BY304" s="16">
        <f ca="1">_xll.DBRW($D$4,$E$7,$E$8,$E$9,$E$10,$E$12,$D304,$E$6,BY$18,BY$17)</f>
        <v>0</v>
      </c>
      <c r="BZ304" s="16">
        <f ca="1">_xll.DBRW($D$4,$E$7,$E$8,$E$9,$E$10,$E$12,$D304,$E$6,BZ$18,BZ$17)</f>
        <v>0</v>
      </c>
      <c r="CA304" s="16"/>
      <c r="CB304" s="16"/>
      <c r="CC304" s="16"/>
      <c r="CD304" s="16"/>
      <c r="CE304" s="16">
        <f ca="1">_xll.DBRW($D$4,$E$7,$E$8,$E$9,$E$10,$E$12,$D304,$E$6,CE$18,CE$17)</f>
        <v>-1.3176060699999999</v>
      </c>
      <c r="CF304" s="16">
        <f ca="1">_xll.DBRW($D$4,$E$7,$E$8,$E$9,$E$10,$E$12,$D304,$E$6,CF$18,CF$17)</f>
        <v>0.10471231199268549</v>
      </c>
      <c r="CG304" s="16"/>
      <c r="CH304" s="16"/>
      <c r="CI304" s="16"/>
      <c r="CJ304" s="16"/>
      <c r="CK304" s="16">
        <f ca="1">_xll.DBRW($D$4,$E$7,$E$8,$E$9,$E$10,$E$12,$D304,$E$6,CK$18,CK$17)</f>
        <v>-3.8439959799999999</v>
      </c>
      <c r="CL304" s="16">
        <f ca="1">_xll.DBRW($D$4,$E$7,$E$8,$E$9,$E$10,$E$12,$D304,$E$6,CL$18,CL$17)</f>
        <v>0.30548865516108986</v>
      </c>
      <c r="CM304" s="16"/>
      <c r="CN304" s="16"/>
      <c r="CO304" s="16"/>
      <c r="CP304" s="16"/>
      <c r="CQ304" s="16">
        <f ca="1">_xll.DBRW($D$4,$E$7,$E$8,$E$9,$E$10,$E$12,$D304,$E$6,CQ$18,CQ$17)</f>
        <v>0.26324101</v>
      </c>
      <c r="CR304" s="16">
        <f ca="1">_xll.DBRW($D$4,$E$7,$E$8,$E$9,$E$10,$E$12,$D304,$E$6,CR$18,CR$17)</f>
        <v>0.36060411000000009</v>
      </c>
      <c r="CS304" s="16">
        <f ca="1">_xll.DBRW($D$4,$E$7,$E$8,$E$9,$E$10,$E$12,$D304,$E$6,CS$18,CS$17)</f>
        <v>4.3272494699999999</v>
      </c>
      <c r="CT304" s="16">
        <f ca="1">_xll.DBRW($D$4,$E$7,$E$8,$E$9,$E$10,$E$12,$D304,$E$6,CT$18,CT$17)</f>
        <v>0.36060411000000009</v>
      </c>
      <c r="CU304" s="16">
        <f ca="1">_xll.DBRW($D$4,$E$7,$E$8,$E$9,$E$10,$E$12,$D304,$E$6,CU$18,CU$17)</f>
        <v>0</v>
      </c>
      <c r="CV304" s="16">
        <f ca="1">_xll.DBRW($D$4,$E$7,$E$8,$E$9,$E$10,$E$12,$D304,$E$6,CV$18,CV$17)</f>
        <v>0</v>
      </c>
      <c r="CW304" s="16">
        <f ca="1">_xll.DBRW($D$4,$E$7,$E$8,$E$9,$E$10,$E$12,$D304,$E$6,CW$18,CW$17)</f>
        <v>0</v>
      </c>
      <c r="CX304" s="16">
        <f ca="1">_xll.DBRW($D$4,$E$7,$E$8,$E$9,$E$10,$E$12,$D304,$E$6,CX$18,CX$17)</f>
        <v>0</v>
      </c>
      <c r="CY304" s="16">
        <f ca="1">_xll.DBRW($D$4,$E$7,$E$8,$E$9,$E$10,$E$12,$D304,$E$6,CY$18,CY$17)</f>
        <v>0.36060411000000009</v>
      </c>
      <c r="CZ304" s="16">
        <f ca="1">_xll.DBRW($D$4,$E$7,$E$8,$E$9,$E$10,$E$12,$D304,$E$6,CZ$18,CZ$17)</f>
        <v>0.36060411000000009</v>
      </c>
      <c r="DA304" s="26">
        <f t="shared" ca="1" si="165"/>
        <v>-3.8225187000000007</v>
      </c>
      <c r="DB304" s="26">
        <f t="shared" ca="1" si="166"/>
        <v>3.8308060000000088E-2</v>
      </c>
      <c r="DC304" s="26">
        <f t="shared" ca="1" si="167"/>
        <v>6.9161520000000004E-2</v>
      </c>
      <c r="DD304" s="26">
        <f t="shared" ca="1" si="168"/>
        <v>0</v>
      </c>
      <c r="DE304" s="26">
        <f t="shared" ca="1" si="169"/>
        <v>0</v>
      </c>
      <c r="DF304" s="26">
        <f t="shared" ca="1" si="170"/>
        <v>0</v>
      </c>
      <c r="DG304" s="26">
        <f t="shared" ca="1" si="171"/>
        <v>0</v>
      </c>
      <c r="DH304" s="26">
        <f t="shared" ca="1" si="172"/>
        <v>-3.8608267600000001</v>
      </c>
      <c r="DI304" s="26">
        <f t="shared" ca="1" si="173"/>
        <v>-0.49533228000000129</v>
      </c>
      <c r="DJ304" s="26">
        <f t="shared" ca="1" si="174"/>
        <v>-1.2739043900000002</v>
      </c>
      <c r="DK304" s="26">
        <f t="shared" ca="1" si="175"/>
        <v>0.12211951340017463</v>
      </c>
      <c r="DL304" s="26"/>
      <c r="DM304" s="26"/>
      <c r="DN304" s="26"/>
      <c r="DO304" s="26"/>
      <c r="DP304" s="26">
        <f t="shared" ca="1" si="176"/>
        <v>-6.2174599999999969E-2</v>
      </c>
      <c r="DQ304" s="26">
        <f t="shared" ca="1" si="177"/>
        <v>7.5639117636054423E-3</v>
      </c>
      <c r="DR304" s="26"/>
      <c r="DS304" s="26"/>
      <c r="DT304" s="26"/>
      <c r="DU304" s="26"/>
      <c r="DV304" s="26">
        <f t="shared" ca="1" si="178"/>
        <v>1.6166E-2</v>
      </c>
      <c r="DW304" s="26">
        <f t="shared" ca="1" si="179"/>
        <v>-1.3373844538941606E-3</v>
      </c>
      <c r="DX304" s="26"/>
      <c r="DY304" s="26"/>
      <c r="DZ304" s="26"/>
      <c r="EA304" s="26"/>
      <c r="EB304" s="26">
        <f t="shared" ca="1" si="180"/>
        <v>-0.37605905000000051</v>
      </c>
      <c r="EC304" s="26">
        <f t="shared" ca="1" si="181"/>
        <v>3.5401593833789102E-2</v>
      </c>
      <c r="ED304" s="26"/>
      <c r="EE304" s="26"/>
      <c r="EF304" s="26"/>
      <c r="EG304" s="26"/>
      <c r="EH304" s="26">
        <f t="shared" ca="1" si="182"/>
        <v>-1.6695224399999988</v>
      </c>
      <c r="EI304" s="29">
        <f t="shared" ca="1" si="183"/>
        <v>0.15063492650209787</v>
      </c>
      <c r="EJ304" s="29"/>
      <c r="EK304" s="29"/>
      <c r="EL304" s="29"/>
      <c r="EM304" s="29"/>
      <c r="EN304" s="93"/>
      <c r="EO304" s="29"/>
      <c r="EP304" s="29"/>
      <c r="EQ304" s="29"/>
      <c r="ER304" s="29"/>
      <c r="ES304" s="29"/>
      <c r="ET304" s="29"/>
      <c r="EU304" s="93"/>
      <c r="EV304" s="29"/>
      <c r="EW304" s="29"/>
      <c r="EX304" s="29"/>
      <c r="EY304" s="29"/>
      <c r="EZ304" s="29"/>
      <c r="FA304" s="29"/>
      <c r="FB304" s="93"/>
      <c r="FC304" s="29"/>
      <c r="FD304" s="29"/>
      <c r="FE304" s="29"/>
      <c r="FF304" s="29"/>
      <c r="FG304" s="29"/>
      <c r="FH304" s="29"/>
      <c r="FI304" s="93"/>
      <c r="FJ304" s="29"/>
      <c r="FK304" s="29"/>
      <c r="FL304" s="29"/>
      <c r="FM304" s="29"/>
      <c r="FN304" s="29"/>
      <c r="FO304" s="29"/>
      <c r="FP304" s="93"/>
      <c r="FQ304" s="29"/>
      <c r="FR304" s="29"/>
      <c r="FS304" s="29"/>
      <c r="FT304" s="29"/>
      <c r="FU304" s="29"/>
      <c r="FV304" s="29"/>
    </row>
    <row r="305" spans="1:178" x14ac:dyDescent="0.25">
      <c r="A305" t="str">
        <f ca="1">IF(_xll.TM1RPTELISCONSOLIDATED($D$28,$D305),IF(_xll.TM1RPTELLEV($D$28,$D305)&lt;=3,_xll.TM1RPTELLEV($D$28,$D305),"D"),"N")</f>
        <v>N</v>
      </c>
      <c r="B305" t="str">
        <f ca="1">_xll.DBRA(Server&amp;"Management_organization",$D305,$B$27)</f>
        <v>L</v>
      </c>
      <c r="C305">
        <v>1</v>
      </c>
      <c r="D305" s="2" t="s">
        <v>376</v>
      </c>
      <c r="E305" s="26"/>
      <c r="F305" s="26"/>
      <c r="G305" s="16">
        <f ca="1">_xll.DBRW($D$4,$E$7,$E$8,$E$9,$E$10,$E$12,$D305,$E$6,G$18,G$17)</f>
        <v>0.21402607999999967</v>
      </c>
      <c r="H305" s="16">
        <f ca="1">_xll.DBRW($D$4,$E$7,$E$8,$E$9,$E$10,$E$12,$D305,$E$6,H$18,H$17)</f>
        <v>-2.2587289999999996E-2</v>
      </c>
      <c r="I305" s="16">
        <f ca="1">_xll.DBRW($D$4,$E$7,$E$8,$E$9,$E$10,$E$12,$D305,$E$6,I$18,I$17)</f>
        <v>2.1684043449710089E-19</v>
      </c>
      <c r="J305" s="26">
        <f ca="1">_xll.DBRW($D$4,$E$7,$E$8,$E$9,$E$10,$E$12,$D305,$E$6,J$18,J$17)</f>
        <v>0</v>
      </c>
      <c r="K305" s="26">
        <f ca="1">_xll.DBRW($D$4,$E$7,$E$8,$E$9,$E$10,$E$12,$D305,$E$6,K$18,K$17)</f>
        <v>0</v>
      </c>
      <c r="L305" s="26">
        <f ca="1">_xll.DBRW($D$4,$E$7,$E$8,$E$9,$E$10,$E$12,$D305,$E$6,L$18,L$17)</f>
        <v>0</v>
      </c>
      <c r="M305" s="26">
        <f ca="1">_xll.DBRW($D$4,$E$7,$E$8,$E$9,$E$10,$E$12,$D305,$E$6,M$18,M$17)</f>
        <v>0</v>
      </c>
      <c r="N305" s="16">
        <f ca="1">_xll.DBRW($D$4,$E$7,$E$8,$E$9,$E$10,$E$12,$D305,$E$6,N$18,N$17)</f>
        <v>0.23661336999999966</v>
      </c>
      <c r="O305" s="16">
        <f ca="1">_xll.DBRW($D$4,$E$7,$E$8,$E$9,$E$10,$E$12,$D305,$E$6,O$18,O$17)</f>
        <v>1.2431851099999998</v>
      </c>
      <c r="P305" s="74">
        <f ca="1">_xll.DBRW($D$4,$E$7,$E$8,$E$9,$E$10,$E$12,$D305,$E$6,P$18,P$17)</f>
        <v>-0.38517884000000002</v>
      </c>
      <c r="Q305" s="16">
        <f ca="1">_xll.DBRW($D$4,$E$7,$E$8,$E$9,$E$10,$E$12,$D305,$E$6,Q$18,Q$17)</f>
        <v>0.30983225016264881</v>
      </c>
      <c r="R305" s="16"/>
      <c r="S305" s="16"/>
      <c r="T305" s="16"/>
      <c r="U305" s="16"/>
      <c r="V305" s="16">
        <f ca="1">_xll.DBRW($D$4,$E$7,$E$8,$E$9,$E$10,$E$12,$D305,$E$6,V$18,V$17)</f>
        <v>-0.11611152</v>
      </c>
      <c r="W305" s="16">
        <f ca="1">_xll.DBRW($D$4,$E$7,$E$8,$E$9,$E$10,$E$12,$D305,$E$6,W$18,W$17)</f>
        <v>9.3398415944669758E-2</v>
      </c>
      <c r="X305" s="16"/>
      <c r="Y305" s="16"/>
      <c r="Z305" s="16"/>
      <c r="AA305" s="16"/>
      <c r="AB305" s="16">
        <f ca="1">_xll.DBRW($D$4,$E$7,$E$8,$E$9,$E$10,$E$12,$D305,$E$6,AB$18,AB$17)</f>
        <v>0</v>
      </c>
      <c r="AC305" s="16">
        <f ca="1">_xll.DBRW($D$4,$E$7,$E$8,$E$9,$E$10,$E$12,$D305,$E$6,AC$18,AC$17)</f>
        <v>0</v>
      </c>
      <c r="AD305" s="16"/>
      <c r="AE305" s="16"/>
      <c r="AF305" s="16"/>
      <c r="AG305" s="16"/>
      <c r="AH305" s="16">
        <f ca="1">_xll.DBRW($D$4,$E$7,$E$8,$E$9,$E$10,$E$12,$D305,$E$6,AH$18,AH$17)</f>
        <v>-3.3801410000000004E-2</v>
      </c>
      <c r="AI305" s="16">
        <f ca="1">_xll.DBRW($D$4,$E$7,$E$8,$E$9,$E$10,$E$12,$D305,$E$6,AI$18,AI$17)</f>
        <v>2.7189362009009271E-2</v>
      </c>
      <c r="AJ305" s="16"/>
      <c r="AK305" s="16"/>
      <c r="AL305" s="16"/>
      <c r="AM305" s="16"/>
      <c r="AN305" s="16">
        <f ca="1">_xll.DBRW($D$4,$E$7,$E$8,$E$9,$E$10,$E$12,$D305,$E$6,AN$18,AN$17)</f>
        <v>-0.47147997000000008</v>
      </c>
      <c r="AO305" s="16">
        <f ca="1">_xll.DBRW($D$4,$E$7,$E$8,$E$9,$E$10,$E$12,$D305,$E$6,AO$18,AO$17)</f>
        <v>0.37925162247157235</v>
      </c>
      <c r="AP305" s="16"/>
      <c r="AQ305" s="16"/>
      <c r="AR305" s="16"/>
      <c r="AS305" s="16"/>
      <c r="AT305" s="16">
        <f ca="1">_xll.DBRW($D$4,$E$7,$E$8,$E$9,$E$10,$E$12,$D305,$E$6,AT$18,AT$17)</f>
        <v>2.5028249999999998E-2</v>
      </c>
      <c r="AU305" s="16">
        <f ca="1">_xll.DBRW($D$4,$E$7,$E$8,$E$9,$E$10,$E$12,$D305,$E$6,AU$18,AU$17)</f>
        <v>2.2882240000000005E-2</v>
      </c>
      <c r="AV305" s="16">
        <f ca="1">_xll.DBRW($D$4,$E$7,$E$8,$E$9,$E$10,$E$12,$D305,$E$6,AV$18,AV$17)</f>
        <v>0.31163799999999992</v>
      </c>
      <c r="AW305" s="16">
        <f ca="1">_xll.DBRW($D$4,$E$7,$E$8,$E$9,$E$10,$E$12,$D305,$E$6,AW$18,AW$17)</f>
        <v>2.2882240000000005E-2</v>
      </c>
      <c r="AX305" s="16">
        <f ca="1">_xll.DBRW($D$4,$E$7,$E$8,$E$9,$E$10,$E$12,$D305,$E$6,AX$18,AX$17)</f>
        <v>0</v>
      </c>
      <c r="AY305" s="16">
        <f ca="1">_xll.DBRW($D$4,$E$7,$E$8,$E$9,$E$10,$E$12,$D305,$E$6,AY$18,AY$17)</f>
        <v>0</v>
      </c>
      <c r="AZ305" s="16">
        <f ca="1">_xll.DBRW($D$4,$E$7,$E$8,$E$9,$E$10,$E$12,$D305,$E$6,AZ$18,AZ$17)</f>
        <v>0</v>
      </c>
      <c r="BA305" s="16">
        <f ca="1">_xll.DBRW($D$4,$E$7,$E$8,$E$9,$E$10,$E$12,$D305,$E$6,BA$18,BA$17)</f>
        <v>0</v>
      </c>
      <c r="BB305" s="16">
        <f ca="1">_xll.DBRW($D$4,$E$7,$E$8,$E$9,$E$10,$E$12,$D305,$E$6,BB$18,BB$17)</f>
        <v>2.2882240000000005E-2</v>
      </c>
      <c r="BC305" s="16">
        <f ca="1">_xll.DBRW($D$4,$E$7,$E$8,$E$9,$E$10,$E$12,$D305,$E$6,BC$18,BC$17)</f>
        <v>2.2882240000000005E-2</v>
      </c>
      <c r="BD305" s="16">
        <f ca="1">_xll.DBRW($D$4,$E$7,$E$8,$E$9,$E$10,$E$12,$D305,$E$6,BD$18,BD$17)</f>
        <v>0.13321813000000002</v>
      </c>
      <c r="BE305" s="16">
        <f ca="1">_xll.DBRW($D$4,$E$7,$E$8,$E$9,$E$10,$E$12,$D305,$E$6,BE$18,BE$17)</f>
        <v>-1.6390130000000003E-2</v>
      </c>
      <c r="BF305" s="16">
        <f ca="1">_xll.DBRW($D$4,$E$7,$E$8,$E$9,$E$10,$E$12,$D305,$E$6,BF$18,BF$17)</f>
        <v>-1.5993599999999998E-3</v>
      </c>
      <c r="BG305" s="26">
        <f ca="1">_xll.DBRW($D$4,$E$7,$E$8,$E$9,$E$10,$E$12,$D305,$E$6,BG$18,BG$17)</f>
        <v>0</v>
      </c>
      <c r="BH305" s="26">
        <f ca="1">_xll.DBRW($D$4,$E$7,$E$8,$E$9,$E$10,$E$12,$D305,$E$6,BH$18,BH$17)</f>
        <v>0</v>
      </c>
      <c r="BI305" s="26">
        <f ca="1">_xll.DBRW($D$4,$E$7,$E$8,$E$9,$E$10,$E$12,$D305,$E$6,BI$18,BI$17)</f>
        <v>0</v>
      </c>
      <c r="BJ305" s="26">
        <f ca="1">_xll.DBRW($D$4,$E$7,$E$8,$E$9,$E$10,$E$12,$D305,$E$6,BJ$18,BJ$17)</f>
        <v>0</v>
      </c>
      <c r="BK305" s="16">
        <f ca="1">_xll.DBRW($D$4,$E$7,$E$8,$E$9,$E$10,$E$12,$D305,$E$6,BK$18,BK$17)</f>
        <v>0.14960826000000002</v>
      </c>
      <c r="BL305" s="16">
        <f ca="1">_xll.DBRW($D$4,$E$7,$E$8,$E$9,$E$10,$E$12,$D305,$E$6,BL$18,BL$17)</f>
        <v>0.85196958999999994</v>
      </c>
      <c r="BM305" s="16">
        <f ca="1">_xll.DBRW($D$4,$E$7,$E$8,$E$9,$E$10,$E$12,$D305,$E$6,BM$18,BM$17)</f>
        <v>-0.26815279999999997</v>
      </c>
      <c r="BN305" s="16">
        <f ca="1">_xll.DBRW($D$4,$E$7,$E$8,$E$9,$E$10,$E$12,$D305,$E$6,BN$18,BN$17)</f>
        <v>0.31474456735010925</v>
      </c>
      <c r="BO305" s="16"/>
      <c r="BP305" s="16"/>
      <c r="BQ305" s="16"/>
      <c r="BR305" s="16"/>
      <c r="BS305" s="16">
        <f ca="1">_xll.DBRW($D$4,$E$7,$E$8,$E$9,$E$10,$E$12,$D305,$E$6,BS$18,BS$17)</f>
        <v>-7.3461909999999991E-2</v>
      </c>
      <c r="BT305" s="16">
        <f ca="1">_xll.DBRW($D$4,$E$7,$E$8,$E$9,$E$10,$E$12,$D305,$E$6,BT$18,BT$17)</f>
        <v>8.6225976680693497E-2</v>
      </c>
      <c r="BU305" s="16"/>
      <c r="BV305" s="16"/>
      <c r="BW305" s="16"/>
      <c r="BX305" s="16"/>
      <c r="BY305" s="16">
        <f ca="1">_xll.DBRW($D$4,$E$7,$E$8,$E$9,$E$10,$E$12,$D305,$E$6,BY$18,BY$17)</f>
        <v>0</v>
      </c>
      <c r="BZ305" s="16">
        <f ca="1">_xll.DBRW($D$4,$E$7,$E$8,$E$9,$E$10,$E$12,$D305,$E$6,BZ$18,BZ$17)</f>
        <v>0</v>
      </c>
      <c r="CA305" s="16"/>
      <c r="CB305" s="16"/>
      <c r="CC305" s="16"/>
      <c r="CD305" s="16"/>
      <c r="CE305" s="16">
        <f ca="1">_xll.DBRW($D$4,$E$7,$E$8,$E$9,$E$10,$E$12,$D305,$E$6,CE$18,CE$17)</f>
        <v>-2.7463009999999996E-2</v>
      </c>
      <c r="CF305" s="16">
        <f ca="1">_xll.DBRW($D$4,$E$7,$E$8,$E$9,$E$10,$E$12,$D305,$E$6,CF$18,CF$17)</f>
        <v>3.2234730349941246E-2</v>
      </c>
      <c r="CG305" s="16"/>
      <c r="CH305" s="16"/>
      <c r="CI305" s="16"/>
      <c r="CJ305" s="16"/>
      <c r="CK305" s="16">
        <f ca="1">_xll.DBRW($D$4,$E$7,$E$8,$E$9,$E$10,$E$12,$D305,$E$6,CK$18,CK$17)</f>
        <v>-0.33328361000000001</v>
      </c>
      <c r="CL305" s="16">
        <f ca="1">_xll.DBRW($D$4,$E$7,$E$8,$E$9,$E$10,$E$12,$D305,$E$6,CL$18,CL$17)</f>
        <v>0.39119190862199676</v>
      </c>
      <c r="CM305" s="16"/>
      <c r="CN305" s="16"/>
      <c r="CO305" s="16"/>
      <c r="CP305" s="16"/>
      <c r="CQ305" s="16">
        <f ca="1">_xll.DBRW($D$4,$E$7,$E$8,$E$9,$E$10,$E$12,$D305,$E$6,CQ$18,CQ$17)</f>
        <v>1.8083519999999999E-2</v>
      </c>
      <c r="CR305" s="16">
        <f ca="1">_xll.DBRW($D$4,$E$7,$E$8,$E$9,$E$10,$E$12,$D305,$E$6,CR$18,CR$17)</f>
        <v>1.672413E-2</v>
      </c>
      <c r="CS305" s="16">
        <f ca="1">_xll.DBRW($D$4,$E$7,$E$8,$E$9,$E$10,$E$12,$D305,$E$6,CS$18,CS$17)</f>
        <v>0.21576449000000003</v>
      </c>
      <c r="CT305" s="16">
        <f ca="1">_xll.DBRW($D$4,$E$7,$E$8,$E$9,$E$10,$E$12,$D305,$E$6,CT$18,CT$17)</f>
        <v>1.672413E-2</v>
      </c>
      <c r="CU305" s="16">
        <f ca="1">_xll.DBRW($D$4,$E$7,$E$8,$E$9,$E$10,$E$12,$D305,$E$6,CU$18,CU$17)</f>
        <v>0</v>
      </c>
      <c r="CV305" s="16">
        <f ca="1">_xll.DBRW($D$4,$E$7,$E$8,$E$9,$E$10,$E$12,$D305,$E$6,CV$18,CV$17)</f>
        <v>0</v>
      </c>
      <c r="CW305" s="16">
        <f ca="1">_xll.DBRW($D$4,$E$7,$E$8,$E$9,$E$10,$E$12,$D305,$E$6,CW$18,CW$17)</f>
        <v>0</v>
      </c>
      <c r="CX305" s="16">
        <f ca="1">_xll.DBRW($D$4,$E$7,$E$8,$E$9,$E$10,$E$12,$D305,$E$6,CX$18,CX$17)</f>
        <v>0</v>
      </c>
      <c r="CY305" s="16">
        <f ca="1">_xll.DBRW($D$4,$E$7,$E$8,$E$9,$E$10,$E$12,$D305,$E$6,CY$18,CY$17)</f>
        <v>1.672413E-2</v>
      </c>
      <c r="CZ305" s="16">
        <f ca="1">_xll.DBRW($D$4,$E$7,$E$8,$E$9,$E$10,$E$12,$D305,$E$6,CZ$18,CZ$17)</f>
        <v>1.672413E-2</v>
      </c>
      <c r="DA305" s="26">
        <f t="shared" ca="1" si="165"/>
        <v>8.0807949999999656E-2</v>
      </c>
      <c r="DB305" s="26">
        <f t="shared" ca="1" si="166"/>
        <v>-6.1971599999999932E-3</v>
      </c>
      <c r="DC305" s="26">
        <f t="shared" ca="1" si="167"/>
        <v>1.59936E-3</v>
      </c>
      <c r="DD305" s="26">
        <f t="shared" ca="1" si="168"/>
        <v>0</v>
      </c>
      <c r="DE305" s="26">
        <f t="shared" ca="1" si="169"/>
        <v>0</v>
      </c>
      <c r="DF305" s="26">
        <f t="shared" ca="1" si="170"/>
        <v>0</v>
      </c>
      <c r="DG305" s="26">
        <f t="shared" ca="1" si="171"/>
        <v>0</v>
      </c>
      <c r="DH305" s="26">
        <f t="shared" ca="1" si="172"/>
        <v>8.7005109999999636E-2</v>
      </c>
      <c r="DI305" s="26">
        <f t="shared" ca="1" si="173"/>
        <v>0.39121551999999982</v>
      </c>
      <c r="DJ305" s="26">
        <f t="shared" ca="1" si="174"/>
        <v>-0.11702604000000005</v>
      </c>
      <c r="DK305" s="26">
        <f t="shared" ca="1" si="175"/>
        <v>-4.9123171874604354E-3</v>
      </c>
      <c r="DL305" s="26"/>
      <c r="DM305" s="26"/>
      <c r="DN305" s="26"/>
      <c r="DO305" s="26"/>
      <c r="DP305" s="26">
        <f t="shared" ca="1" si="176"/>
        <v>-4.2649610000000004E-2</v>
      </c>
      <c r="DQ305" s="26">
        <f t="shared" ca="1" si="177"/>
        <v>7.1724392639762602E-3</v>
      </c>
      <c r="DR305" s="26"/>
      <c r="DS305" s="26"/>
      <c r="DT305" s="26"/>
      <c r="DU305" s="26"/>
      <c r="DV305" s="26">
        <f t="shared" ca="1" si="178"/>
        <v>0</v>
      </c>
      <c r="DW305" s="26">
        <f t="shared" ca="1" si="179"/>
        <v>0</v>
      </c>
      <c r="DX305" s="26"/>
      <c r="DY305" s="26"/>
      <c r="DZ305" s="26"/>
      <c r="EA305" s="26"/>
      <c r="EB305" s="26">
        <f t="shared" ca="1" si="180"/>
        <v>-6.3384000000000079E-3</v>
      </c>
      <c r="EC305" s="26">
        <f t="shared" ca="1" si="181"/>
        <v>-5.0453683409319751E-3</v>
      </c>
      <c r="ED305" s="26"/>
      <c r="EE305" s="26"/>
      <c r="EF305" s="26"/>
      <c r="EG305" s="26"/>
      <c r="EH305" s="26">
        <f t="shared" ca="1" si="182"/>
        <v>-0.13819636000000007</v>
      </c>
      <c r="EI305" s="29">
        <f t="shared" ca="1" si="183"/>
        <v>-1.1940286150424417E-2</v>
      </c>
      <c r="EJ305" s="29"/>
      <c r="EK305" s="29"/>
      <c r="EL305" s="29"/>
      <c r="EM305" s="29"/>
      <c r="EN305" s="93"/>
      <c r="EO305" s="29"/>
      <c r="EP305" s="29"/>
      <c r="EQ305" s="29"/>
      <c r="ER305" s="29"/>
      <c r="ES305" s="29"/>
      <c r="ET305" s="29"/>
      <c r="EU305" s="93"/>
      <c r="EV305" s="29"/>
      <c r="EW305" s="29"/>
      <c r="EX305" s="29"/>
      <c r="EY305" s="29"/>
      <c r="EZ305" s="29"/>
      <c r="FA305" s="29"/>
      <c r="FB305" s="93"/>
      <c r="FC305" s="29"/>
      <c r="FD305" s="29"/>
      <c r="FE305" s="29"/>
      <c r="FF305" s="29"/>
      <c r="FG305" s="29"/>
      <c r="FH305" s="29"/>
      <c r="FI305" s="93"/>
      <c r="FJ305" s="29"/>
      <c r="FK305" s="29"/>
      <c r="FL305" s="29"/>
      <c r="FM305" s="29"/>
      <c r="FN305" s="29"/>
      <c r="FO305" s="29"/>
      <c r="FP305" s="93"/>
      <c r="FQ305" s="29"/>
      <c r="FR305" s="29"/>
      <c r="FS305" s="29"/>
      <c r="FT305" s="29"/>
      <c r="FU305" s="29"/>
      <c r="FV305" s="29"/>
    </row>
    <row r="306" spans="1:178" x14ac:dyDescent="0.25">
      <c r="A306" t="str">
        <f ca="1">IF(_xll.TM1RPTELISCONSOLIDATED($D$28,$D306),IF(_xll.TM1RPTELLEV($D$28,$D306)&lt;=3,_xll.TM1RPTELLEV($D$28,$D306),"D"),"N")</f>
        <v>N</v>
      </c>
      <c r="B306" t="str">
        <f ca="1">_xll.DBRA(Server&amp;"Management_organization",$D306,$B$27)</f>
        <v>L</v>
      </c>
      <c r="C306">
        <v>1</v>
      </c>
      <c r="D306" s="2" t="s">
        <v>325</v>
      </c>
      <c r="E306" s="26"/>
      <c r="F306" s="26"/>
      <c r="G306" s="16">
        <f ca="1">_xll.DBRW($D$4,$E$7,$E$8,$E$9,$E$10,$E$12,$D306,$E$6,G$18,G$17)</f>
        <v>2.6957136899999981</v>
      </c>
      <c r="H306" s="16">
        <f ca="1">_xll.DBRW($D$4,$E$7,$E$8,$E$9,$E$10,$E$12,$D306,$E$6,H$18,H$17)</f>
        <v>-2.39410444</v>
      </c>
      <c r="I306" s="16">
        <f ca="1">_xll.DBRW($D$4,$E$7,$E$8,$E$9,$E$10,$E$12,$D306,$E$6,I$18,I$17)</f>
        <v>0</v>
      </c>
      <c r="J306" s="26">
        <f ca="1">_xll.DBRW($D$4,$E$7,$E$8,$E$9,$E$10,$E$12,$D306,$E$6,J$18,J$17)</f>
        <v>0</v>
      </c>
      <c r="K306" s="26">
        <f ca="1">_xll.DBRW($D$4,$E$7,$E$8,$E$9,$E$10,$E$12,$D306,$E$6,K$18,K$17)</f>
        <v>0</v>
      </c>
      <c r="L306" s="26">
        <f ca="1">_xll.DBRW($D$4,$E$7,$E$8,$E$9,$E$10,$E$12,$D306,$E$6,L$18,L$17)</f>
        <v>0</v>
      </c>
      <c r="M306" s="26">
        <f ca="1">_xll.DBRW($D$4,$E$7,$E$8,$E$9,$E$10,$E$12,$D306,$E$6,M$18,M$17)</f>
        <v>0</v>
      </c>
      <c r="N306" s="16">
        <f ca="1">_xll.DBRW($D$4,$E$7,$E$8,$E$9,$E$10,$E$12,$D306,$E$6,N$18,N$17)</f>
        <v>5.0898181299999976</v>
      </c>
      <c r="O306" s="16">
        <f ca="1">_xll.DBRW($D$4,$E$7,$E$8,$E$9,$E$10,$E$12,$D306,$E$6,O$18,O$17)</f>
        <v>41.287872370000002</v>
      </c>
      <c r="P306" s="74">
        <f ca="1">_xll.DBRW($D$4,$E$7,$E$8,$E$9,$E$10,$E$12,$D306,$E$6,P$18,P$17)</f>
        <v>-19.90725578</v>
      </c>
      <c r="Q306" s="16">
        <f ca="1">_xll.DBRW($D$4,$E$7,$E$8,$E$9,$E$10,$E$12,$D306,$E$6,Q$18,Q$17)</f>
        <v>0.48215746264670017</v>
      </c>
      <c r="R306" s="16"/>
      <c r="S306" s="16"/>
      <c r="T306" s="16"/>
      <c r="U306" s="16"/>
      <c r="V306" s="16">
        <f ca="1">_xll.DBRW($D$4,$E$7,$E$8,$E$9,$E$10,$E$12,$D306,$E$6,V$18,V$17)</f>
        <v>-8.9066014400000011</v>
      </c>
      <c r="W306" s="16">
        <f ca="1">_xll.DBRW($D$4,$E$7,$E$8,$E$9,$E$10,$E$12,$D306,$E$6,W$18,W$17)</f>
        <v>0.21571955464751891</v>
      </c>
      <c r="X306" s="16"/>
      <c r="Y306" s="16"/>
      <c r="Z306" s="16"/>
      <c r="AA306" s="16"/>
      <c r="AB306" s="16">
        <f ca="1">_xll.DBRW($D$4,$E$7,$E$8,$E$9,$E$10,$E$12,$D306,$E$6,AB$18,AB$17)</f>
        <v>0</v>
      </c>
      <c r="AC306" s="16">
        <f ca="1">_xll.DBRW($D$4,$E$7,$E$8,$E$9,$E$10,$E$12,$D306,$E$6,AC$18,AC$17)</f>
        <v>0</v>
      </c>
      <c r="AD306" s="16"/>
      <c r="AE306" s="16"/>
      <c r="AF306" s="16"/>
      <c r="AG306" s="16"/>
      <c r="AH306" s="16">
        <f ca="1">_xll.DBRW($D$4,$E$7,$E$8,$E$9,$E$10,$E$12,$D306,$E$6,AH$18,AH$17)</f>
        <v>-4.1605019999999993E-2</v>
      </c>
      <c r="AI306" s="16">
        <f ca="1">_xll.DBRW($D$4,$E$7,$E$8,$E$9,$E$10,$E$12,$D306,$E$6,AI$18,AI$17)</f>
        <v>1.0076813749848354E-3</v>
      </c>
      <c r="AJ306" s="16"/>
      <c r="AK306" s="16"/>
      <c r="AL306" s="16"/>
      <c r="AM306" s="16"/>
      <c r="AN306" s="16">
        <f ca="1">_xll.DBRW($D$4,$E$7,$E$8,$E$9,$E$10,$E$12,$D306,$E$6,AN$18,AN$17)</f>
        <v>-7.3425920000000007</v>
      </c>
      <c r="AO306" s="16">
        <f ca="1">_xll.DBRW($D$4,$E$7,$E$8,$E$9,$E$10,$E$12,$D306,$E$6,AO$18,AO$17)</f>
        <v>0.17783895314826562</v>
      </c>
      <c r="AP306" s="16"/>
      <c r="AQ306" s="16"/>
      <c r="AR306" s="16"/>
      <c r="AS306" s="16"/>
      <c r="AT306" s="16">
        <f ca="1">_xll.DBRW($D$4,$E$7,$E$8,$E$9,$E$10,$E$12,$D306,$E$6,AT$18,AT$17)</f>
        <v>0.61400769999999993</v>
      </c>
      <c r="AU306" s="16">
        <f ca="1">_xll.DBRW($D$4,$E$7,$E$8,$E$9,$E$10,$E$12,$D306,$E$6,AU$18,AU$17)</f>
        <v>0.55073527</v>
      </c>
      <c r="AV306" s="16">
        <f ca="1">_xll.DBRW($D$4,$E$7,$E$8,$E$9,$E$10,$E$12,$D306,$E$6,AV$18,AV$17)</f>
        <v>7.180339</v>
      </c>
      <c r="AW306" s="16">
        <f ca="1">_xll.DBRW($D$4,$E$7,$E$8,$E$9,$E$10,$E$12,$D306,$E$6,AW$18,AW$17)</f>
        <v>0.55073527</v>
      </c>
      <c r="AX306" s="16">
        <f ca="1">_xll.DBRW($D$4,$E$7,$E$8,$E$9,$E$10,$E$12,$D306,$E$6,AX$18,AX$17)</f>
        <v>0</v>
      </c>
      <c r="AY306" s="16">
        <f ca="1">_xll.DBRW($D$4,$E$7,$E$8,$E$9,$E$10,$E$12,$D306,$E$6,AY$18,AY$17)</f>
        <v>0.55073527</v>
      </c>
      <c r="AZ306" s="16">
        <f ca="1">_xll.DBRW($D$4,$E$7,$E$8,$E$9,$E$10,$E$12,$D306,$E$6,AZ$18,AZ$17)</f>
        <v>2.4366666666666666E-4</v>
      </c>
      <c r="BA306" s="16">
        <f ca="1">_xll.DBRW($D$4,$E$7,$E$8,$E$9,$E$10,$E$12,$D306,$E$6,BA$18,BA$17)</f>
        <v>0.55073527</v>
      </c>
      <c r="BB306" s="16">
        <f ca="1">_xll.DBRW($D$4,$E$7,$E$8,$E$9,$E$10,$E$12,$D306,$E$6,BB$18,BB$17)</f>
        <v>0.55073527</v>
      </c>
      <c r="BC306" s="16">
        <f ca="1">_xll.DBRW($D$4,$E$7,$E$8,$E$9,$E$10,$E$12,$D306,$E$6,BC$18,BC$17)</f>
        <v>0.55073527</v>
      </c>
      <c r="BD306" s="16">
        <f ca="1">_xll.DBRW($D$4,$E$7,$E$8,$E$9,$E$10,$E$12,$D306,$E$6,BD$18,BD$17)</f>
        <v>2.4836305400000067</v>
      </c>
      <c r="BE306" s="16">
        <f ca="1">_xll.DBRW($D$4,$E$7,$E$8,$E$9,$E$10,$E$12,$D306,$E$6,BE$18,BE$17)</f>
        <v>-1.7906875799999999</v>
      </c>
      <c r="BF306" s="16">
        <f ca="1">_xll.DBRW($D$4,$E$7,$E$8,$E$9,$E$10,$E$12,$D306,$E$6,BF$18,BF$17)</f>
        <v>-0.10504515999999998</v>
      </c>
      <c r="BG306" s="26">
        <f ca="1">_xll.DBRW($D$4,$E$7,$E$8,$E$9,$E$10,$E$12,$D306,$E$6,BG$18,BG$17)</f>
        <v>0</v>
      </c>
      <c r="BH306" s="26">
        <f ca="1">_xll.DBRW($D$4,$E$7,$E$8,$E$9,$E$10,$E$12,$D306,$E$6,BH$18,BH$17)</f>
        <v>0</v>
      </c>
      <c r="BI306" s="26">
        <f ca="1">_xll.DBRW($D$4,$E$7,$E$8,$E$9,$E$10,$E$12,$D306,$E$6,BI$18,BI$17)</f>
        <v>0</v>
      </c>
      <c r="BJ306" s="26">
        <f ca="1">_xll.DBRW($D$4,$E$7,$E$8,$E$9,$E$10,$E$12,$D306,$E$6,BJ$18,BJ$17)</f>
        <v>0</v>
      </c>
      <c r="BK306" s="16">
        <f ca="1">_xll.DBRW($D$4,$E$7,$E$8,$E$9,$E$10,$E$12,$D306,$E$6,BK$18,BK$17)</f>
        <v>4.2743181200000064</v>
      </c>
      <c r="BL306" s="16">
        <f ca="1">_xll.DBRW($D$4,$E$7,$E$8,$E$9,$E$10,$E$12,$D306,$E$6,BL$18,BL$17)</f>
        <v>32.376013180000008</v>
      </c>
      <c r="BM306" s="16">
        <f ca="1">_xll.DBRW($D$4,$E$7,$E$8,$E$9,$E$10,$E$12,$D306,$E$6,BM$18,BM$17)</f>
        <v>-14.990708850000001</v>
      </c>
      <c r="BN306" s="16">
        <f ca="1">_xll.DBRW($D$4,$E$7,$E$8,$E$9,$E$10,$E$12,$D306,$E$6,BN$18,BN$17)</f>
        <v>0.46301898775048611</v>
      </c>
      <c r="BO306" s="16"/>
      <c r="BP306" s="16"/>
      <c r="BQ306" s="16"/>
      <c r="BR306" s="16"/>
      <c r="BS306" s="16">
        <f ca="1">_xll.DBRW($D$4,$E$7,$E$8,$E$9,$E$10,$E$12,$D306,$E$6,BS$18,BS$17)</f>
        <v>-7.2430358799999999</v>
      </c>
      <c r="BT306" s="16">
        <f ca="1">_xll.DBRW($D$4,$E$7,$E$8,$E$9,$E$10,$E$12,$D306,$E$6,BT$18,BT$17)</f>
        <v>0.22371611475851264</v>
      </c>
      <c r="BU306" s="16"/>
      <c r="BV306" s="16"/>
      <c r="BW306" s="16"/>
      <c r="BX306" s="16"/>
      <c r="BY306" s="16">
        <f ca="1">_xll.DBRW($D$4,$E$7,$E$8,$E$9,$E$10,$E$12,$D306,$E$6,BY$18,BY$17)</f>
        <v>0</v>
      </c>
      <c r="BZ306" s="16">
        <f ca="1">_xll.DBRW($D$4,$E$7,$E$8,$E$9,$E$10,$E$12,$D306,$E$6,BZ$18,BZ$17)</f>
        <v>0</v>
      </c>
      <c r="CA306" s="16"/>
      <c r="CB306" s="16"/>
      <c r="CC306" s="16"/>
      <c r="CD306" s="16"/>
      <c r="CE306" s="16">
        <f ca="1">_xll.DBRW($D$4,$E$7,$E$8,$E$9,$E$10,$E$12,$D306,$E$6,CE$18,CE$17)</f>
        <v>-8.8800000000000018E-2</v>
      </c>
      <c r="CF306" s="16">
        <f ca="1">_xll.DBRW($D$4,$E$7,$E$8,$E$9,$E$10,$E$12,$D306,$E$6,CF$18,CF$17)</f>
        <v>2.7427713074584309E-3</v>
      </c>
      <c r="CG306" s="16"/>
      <c r="CH306" s="16"/>
      <c r="CI306" s="16"/>
      <c r="CJ306" s="16"/>
      <c r="CK306" s="16">
        <f ca="1">_xll.DBRW($D$4,$E$7,$E$8,$E$9,$E$10,$E$12,$D306,$E$6,CK$18,CK$17)</f>
        <v>-5.7791503300000002</v>
      </c>
      <c r="CL306" s="16">
        <f ca="1">_xll.DBRW($D$4,$E$7,$E$8,$E$9,$E$10,$E$12,$D306,$E$6,CL$18,CL$17)</f>
        <v>0.17850098768708245</v>
      </c>
      <c r="CM306" s="16"/>
      <c r="CN306" s="16"/>
      <c r="CO306" s="16"/>
      <c r="CP306" s="16"/>
      <c r="CQ306" s="16">
        <f ca="1">_xll.DBRW($D$4,$E$7,$E$8,$E$9,$E$10,$E$12,$D306,$E$6,CQ$18,CQ$17)</f>
        <v>0</v>
      </c>
      <c r="CR306" s="16">
        <f ca="1">_xll.DBRW($D$4,$E$7,$E$8,$E$9,$E$10,$E$12,$D306,$E$6,CR$18,CR$17)</f>
        <v>0</v>
      </c>
      <c r="CS306" s="16">
        <f ca="1">_xll.DBRW($D$4,$E$7,$E$8,$E$9,$E$10,$E$12,$D306,$E$6,CS$18,CS$17)</f>
        <v>0</v>
      </c>
      <c r="CT306" s="16">
        <f ca="1">_xll.DBRW($D$4,$E$7,$E$8,$E$9,$E$10,$E$12,$D306,$E$6,CT$18,CT$17)</f>
        <v>0</v>
      </c>
      <c r="CU306" s="16">
        <f ca="1">_xll.DBRW($D$4,$E$7,$E$8,$E$9,$E$10,$E$12,$D306,$E$6,CU$18,CU$17)</f>
        <v>0</v>
      </c>
      <c r="CV306" s="16">
        <f ca="1">_xll.DBRW($D$4,$E$7,$E$8,$E$9,$E$10,$E$12,$D306,$E$6,CV$18,CV$17)</f>
        <v>0</v>
      </c>
      <c r="CW306" s="16" t="str">
        <f ca="1">_xll.DBRW($D$4,$E$7,$E$8,$E$9,$E$10,$E$12,$D306,$E$6,CW$18,CW$17)</f>
        <v/>
      </c>
      <c r="CX306" s="16">
        <f ca="1">_xll.DBRW($D$4,$E$7,$E$8,$E$9,$E$10,$E$12,$D306,$E$6,CX$18,CX$17)</f>
        <v>0</v>
      </c>
      <c r="CY306" s="16">
        <f ca="1">_xll.DBRW($D$4,$E$7,$E$8,$E$9,$E$10,$E$12,$D306,$E$6,CY$18,CY$17)</f>
        <v>0</v>
      </c>
      <c r="CZ306" s="16">
        <f ca="1">_xll.DBRW($D$4,$E$7,$E$8,$E$9,$E$10,$E$12,$D306,$E$6,CZ$18,CZ$17)</f>
        <v>0</v>
      </c>
      <c r="DA306" s="26">
        <f t="shared" ca="1" si="165"/>
        <v>0.21208314999999134</v>
      </c>
      <c r="DB306" s="26">
        <f t="shared" ca="1" si="166"/>
        <v>-0.60341686000000005</v>
      </c>
      <c r="DC306" s="26">
        <f t="shared" ca="1" si="167"/>
        <v>0.10504515999999998</v>
      </c>
      <c r="DD306" s="26">
        <f t="shared" ca="1" si="168"/>
        <v>0</v>
      </c>
      <c r="DE306" s="26">
        <f t="shared" ca="1" si="169"/>
        <v>0</v>
      </c>
      <c r="DF306" s="26">
        <f t="shared" ca="1" si="170"/>
        <v>0</v>
      </c>
      <c r="DG306" s="26">
        <f t="shared" ca="1" si="171"/>
        <v>0</v>
      </c>
      <c r="DH306" s="26">
        <f t="shared" ca="1" si="172"/>
        <v>0.81550000999999117</v>
      </c>
      <c r="DI306" s="26">
        <f t="shared" ca="1" si="173"/>
        <v>8.9118591899999942</v>
      </c>
      <c r="DJ306" s="26">
        <f t="shared" ca="1" si="174"/>
        <v>-4.9165469299999991</v>
      </c>
      <c r="DK306" s="26">
        <f t="shared" ca="1" si="175"/>
        <v>1.9138474896214064E-2</v>
      </c>
      <c r="DL306" s="26"/>
      <c r="DM306" s="26"/>
      <c r="DN306" s="26"/>
      <c r="DO306" s="26"/>
      <c r="DP306" s="26">
        <f t="shared" ca="1" si="176"/>
        <v>-1.6635655600000012</v>
      </c>
      <c r="DQ306" s="26">
        <f t="shared" ca="1" si="177"/>
        <v>-7.9965601109937279E-3</v>
      </c>
      <c r="DR306" s="26"/>
      <c r="DS306" s="26"/>
      <c r="DT306" s="26"/>
      <c r="DU306" s="26"/>
      <c r="DV306" s="26">
        <f t="shared" ca="1" si="178"/>
        <v>0</v>
      </c>
      <c r="DW306" s="26">
        <f t="shared" ca="1" si="179"/>
        <v>0</v>
      </c>
      <c r="DX306" s="26"/>
      <c r="DY306" s="26"/>
      <c r="DZ306" s="26"/>
      <c r="EA306" s="26"/>
      <c r="EB306" s="26">
        <f t="shared" ca="1" si="180"/>
        <v>4.7194980000000025E-2</v>
      </c>
      <c r="EC306" s="26">
        <f t="shared" ca="1" si="181"/>
        <v>-1.7350899324735955E-3</v>
      </c>
      <c r="ED306" s="26"/>
      <c r="EE306" s="26"/>
      <c r="EF306" s="26"/>
      <c r="EG306" s="26"/>
      <c r="EH306" s="26">
        <f t="shared" ca="1" si="182"/>
        <v>-1.5634416700000004</v>
      </c>
      <c r="EI306" s="29">
        <f t="shared" ca="1" si="183"/>
        <v>-6.6203453881683028E-4</v>
      </c>
      <c r="EJ306" s="29"/>
      <c r="EK306" s="29"/>
      <c r="EL306" s="29"/>
      <c r="EM306" s="29"/>
      <c r="EN306" s="93"/>
      <c r="EO306" s="29"/>
      <c r="EP306" s="29"/>
      <c r="EQ306" s="29"/>
      <c r="ER306" s="29"/>
      <c r="ES306" s="29"/>
      <c r="ET306" s="29"/>
      <c r="EU306" s="93"/>
      <c r="EV306" s="29"/>
      <c r="EW306" s="29"/>
      <c r="EX306" s="29"/>
      <c r="EY306" s="29"/>
      <c r="EZ306" s="29"/>
      <c r="FA306" s="29"/>
      <c r="FB306" s="93"/>
      <c r="FC306" s="29"/>
      <c r="FD306" s="29"/>
      <c r="FE306" s="29"/>
      <c r="FF306" s="29"/>
      <c r="FG306" s="29"/>
      <c r="FH306" s="29"/>
      <c r="FI306" s="93"/>
      <c r="FJ306" s="29"/>
      <c r="FK306" s="29"/>
      <c r="FL306" s="29"/>
      <c r="FM306" s="29"/>
      <c r="FN306" s="29"/>
      <c r="FO306" s="29"/>
      <c r="FP306" s="93"/>
      <c r="FQ306" s="29"/>
      <c r="FR306" s="29"/>
      <c r="FS306" s="29"/>
      <c r="FT306" s="29"/>
      <c r="FU306" s="29"/>
      <c r="FV306" s="29"/>
    </row>
    <row r="307" spans="1:178" x14ac:dyDescent="0.25">
      <c r="A307" t="str">
        <f ca="1">IF(_xll.TM1RPTELISCONSOLIDATED($D$28,$D307),IF(_xll.TM1RPTELLEV($D$28,$D307)&lt;=3,_xll.TM1RPTELLEV($D$28,$D307),"D"),"N")</f>
        <v>N</v>
      </c>
      <c r="B307" t="str">
        <f ca="1">_xll.DBRA(Server&amp;"Management_organization",$D307,$B$27)</f>
        <v>L</v>
      </c>
      <c r="C307">
        <v>1</v>
      </c>
      <c r="D307" s="2" t="s">
        <v>258</v>
      </c>
      <c r="E307" s="26"/>
      <c r="F307" s="26"/>
      <c r="G307" s="16">
        <f ca="1">_xll.DBRW($D$4,$E$7,$E$8,$E$9,$E$10,$E$12,$D307,$E$6,G$18,G$17)</f>
        <v>0.20285555999999982</v>
      </c>
      <c r="H307" s="16">
        <f ca="1">_xll.DBRW($D$4,$E$7,$E$8,$E$9,$E$10,$E$12,$D307,$E$6,H$18,H$17)</f>
        <v>-0.34113389999999999</v>
      </c>
      <c r="I307" s="16">
        <f ca="1">_xll.DBRW($D$4,$E$7,$E$8,$E$9,$E$10,$E$12,$D307,$E$6,I$18,I$17)</f>
        <v>0</v>
      </c>
      <c r="J307" s="26">
        <f ca="1">_xll.DBRW($D$4,$E$7,$E$8,$E$9,$E$10,$E$12,$D307,$E$6,J$18,J$17)</f>
        <v>0</v>
      </c>
      <c r="K307" s="26">
        <f ca="1">_xll.DBRW($D$4,$E$7,$E$8,$E$9,$E$10,$E$12,$D307,$E$6,K$18,K$17)</f>
        <v>0</v>
      </c>
      <c r="L307" s="26">
        <f ca="1">_xll.DBRW($D$4,$E$7,$E$8,$E$9,$E$10,$E$12,$D307,$E$6,L$18,L$17)</f>
        <v>0</v>
      </c>
      <c r="M307" s="26">
        <f ca="1">_xll.DBRW($D$4,$E$7,$E$8,$E$9,$E$10,$E$12,$D307,$E$6,M$18,M$17)</f>
        <v>0</v>
      </c>
      <c r="N307" s="16">
        <f ca="1">_xll.DBRW($D$4,$E$7,$E$8,$E$9,$E$10,$E$12,$D307,$E$6,N$18,N$17)</f>
        <v>0.54398945999999981</v>
      </c>
      <c r="O307" s="16">
        <f ca="1">_xll.DBRW($D$4,$E$7,$E$8,$E$9,$E$10,$E$12,$D307,$E$6,O$18,O$17)</f>
        <v>3.6820375799999998</v>
      </c>
      <c r="P307" s="74">
        <f ca="1">_xll.DBRW($D$4,$E$7,$E$8,$E$9,$E$10,$E$12,$D307,$E$6,P$18,P$17)</f>
        <v>-1.4607706399999998</v>
      </c>
      <c r="Q307" s="16">
        <f ca="1">_xll.DBRW($D$4,$E$7,$E$8,$E$9,$E$10,$E$12,$D307,$E$6,Q$18,Q$17)</f>
        <v>0.39672887857923489</v>
      </c>
      <c r="R307" s="16"/>
      <c r="S307" s="16"/>
      <c r="T307" s="16"/>
      <c r="U307" s="16"/>
      <c r="V307" s="16">
        <f ca="1">_xll.DBRW($D$4,$E$7,$E$8,$E$9,$E$10,$E$12,$D307,$E$6,V$18,V$17)</f>
        <v>-0.48721230999999998</v>
      </c>
      <c r="W307" s="16">
        <f ca="1">_xll.DBRW($D$4,$E$7,$E$8,$E$9,$E$10,$E$12,$D307,$E$6,W$18,W$17)</f>
        <v>0.13232138440042754</v>
      </c>
      <c r="X307" s="16"/>
      <c r="Y307" s="16"/>
      <c r="Z307" s="16"/>
      <c r="AA307" s="16"/>
      <c r="AB307" s="16">
        <f ca="1">_xll.DBRW($D$4,$E$7,$E$8,$E$9,$E$10,$E$12,$D307,$E$6,AB$18,AB$17)</f>
        <v>-0.41757741999999998</v>
      </c>
      <c r="AC307" s="16">
        <f ca="1">_xll.DBRW($D$4,$E$7,$E$8,$E$9,$E$10,$E$12,$D307,$E$6,AC$18,AC$17)</f>
        <v>0.11340933136266361</v>
      </c>
      <c r="AD307" s="16"/>
      <c r="AE307" s="16"/>
      <c r="AF307" s="16"/>
      <c r="AG307" s="16"/>
      <c r="AH307" s="16">
        <f ca="1">_xll.DBRW($D$4,$E$7,$E$8,$E$9,$E$10,$E$12,$D307,$E$6,AH$18,AH$17)</f>
        <v>-0.39743544999999997</v>
      </c>
      <c r="AI307" s="16">
        <f ca="1">_xll.DBRW($D$4,$E$7,$E$8,$E$9,$E$10,$E$12,$D307,$E$6,AI$18,AI$17)</f>
        <v>0.1079389988192353</v>
      </c>
      <c r="AJ307" s="16"/>
      <c r="AK307" s="16"/>
      <c r="AL307" s="16"/>
      <c r="AM307" s="16"/>
      <c r="AN307" s="16">
        <f ca="1">_xll.DBRW($D$4,$E$7,$E$8,$E$9,$E$10,$E$12,$D307,$E$6,AN$18,AN$17)</f>
        <v>-0.37505229999999995</v>
      </c>
      <c r="AO307" s="16">
        <f ca="1">_xll.DBRW($D$4,$E$7,$E$8,$E$9,$E$10,$E$12,$D307,$E$6,AO$18,AO$17)</f>
        <v>0.10185998699122456</v>
      </c>
      <c r="AP307" s="16"/>
      <c r="AQ307" s="16"/>
      <c r="AR307" s="16"/>
      <c r="AS307" s="16"/>
      <c r="AT307" s="16">
        <f ca="1">_xll.DBRW($D$4,$E$7,$E$8,$E$9,$E$10,$E$12,$D307,$E$6,AT$18,AT$17)</f>
        <v>5.9266729999999997E-2</v>
      </c>
      <c r="AU307" s="16">
        <f ca="1">_xll.DBRW($D$4,$E$7,$E$8,$E$9,$E$10,$E$12,$D307,$E$6,AU$18,AU$17)</f>
        <v>1.146253</v>
      </c>
      <c r="AV307" s="16">
        <f ca="1">_xll.DBRW($D$4,$E$7,$E$8,$E$9,$E$10,$E$12,$D307,$E$6,AV$18,AV$17)</f>
        <v>1.146253</v>
      </c>
      <c r="AW307" s="16">
        <f ca="1">_xll.DBRW($D$4,$E$7,$E$8,$E$9,$E$10,$E$12,$D307,$E$6,AW$18,AW$17)</f>
        <v>1.146253</v>
      </c>
      <c r="AX307" s="16">
        <f ca="1">_xll.DBRW($D$4,$E$7,$E$8,$E$9,$E$10,$E$12,$D307,$E$6,AX$18,AX$17)</f>
        <v>0.38252830999999993</v>
      </c>
      <c r="AY307" s="16">
        <f ca="1">_xll.DBRW($D$4,$E$7,$E$8,$E$9,$E$10,$E$12,$D307,$E$6,AY$18,AY$17)</f>
        <v>1.146253</v>
      </c>
      <c r="AZ307" s="16">
        <f ca="1">_xll.DBRW($D$4,$E$7,$E$8,$E$9,$E$10,$E$12,$D307,$E$6,AZ$18,AZ$17)</f>
        <v>7.5900000000000015E-5</v>
      </c>
      <c r="BA307" s="16">
        <f ca="1">_xll.DBRW($D$4,$E$7,$E$8,$E$9,$E$10,$E$12,$D307,$E$6,BA$18,BA$17)</f>
        <v>1.146253</v>
      </c>
      <c r="BB307" s="16">
        <f ca="1">_xll.DBRW($D$4,$E$7,$E$8,$E$9,$E$10,$E$12,$D307,$E$6,BB$18,BB$17)</f>
        <v>1.146253</v>
      </c>
      <c r="BC307" s="16">
        <f ca="1">_xll.DBRW($D$4,$E$7,$E$8,$E$9,$E$10,$E$12,$D307,$E$6,BC$18,BC$17)</f>
        <v>1.146253</v>
      </c>
      <c r="BD307" s="16">
        <f ca="1">_xll.DBRW($D$4,$E$7,$E$8,$E$9,$E$10,$E$12,$D307,$E$6,BD$18,BD$17)</f>
        <v>0.13780100000000001</v>
      </c>
      <c r="BE307" s="16">
        <f ca="1">_xll.DBRW($D$4,$E$7,$E$8,$E$9,$E$10,$E$12,$D307,$E$6,BE$18,BE$17)</f>
        <v>-0.35660000000000008</v>
      </c>
      <c r="BF307" s="16">
        <f ca="1">_xll.DBRW($D$4,$E$7,$E$8,$E$9,$E$10,$E$12,$D307,$E$6,BF$18,BF$17)</f>
        <v>0</v>
      </c>
      <c r="BG307" s="26">
        <f ca="1">_xll.DBRW($D$4,$E$7,$E$8,$E$9,$E$10,$E$12,$D307,$E$6,BG$18,BG$17)</f>
        <v>0</v>
      </c>
      <c r="BH307" s="26">
        <f ca="1">_xll.DBRW($D$4,$E$7,$E$8,$E$9,$E$10,$E$12,$D307,$E$6,BH$18,BH$17)</f>
        <v>0</v>
      </c>
      <c r="BI307" s="26">
        <f ca="1">_xll.DBRW($D$4,$E$7,$E$8,$E$9,$E$10,$E$12,$D307,$E$6,BI$18,BI$17)</f>
        <v>0</v>
      </c>
      <c r="BJ307" s="26">
        <f ca="1">_xll.DBRW($D$4,$E$7,$E$8,$E$9,$E$10,$E$12,$D307,$E$6,BJ$18,BJ$17)</f>
        <v>0</v>
      </c>
      <c r="BK307" s="16">
        <f ca="1">_xll.DBRW($D$4,$E$7,$E$8,$E$9,$E$10,$E$12,$D307,$E$6,BK$18,BK$17)</f>
        <v>0.49440099999999998</v>
      </c>
      <c r="BL307" s="16">
        <f ca="1">_xll.DBRW($D$4,$E$7,$E$8,$E$9,$E$10,$E$12,$D307,$E$6,BL$18,BL$17)</f>
        <v>4.0554930000000002</v>
      </c>
      <c r="BM307" s="16">
        <f ca="1">_xll.DBRW($D$4,$E$7,$E$8,$E$9,$E$10,$E$12,$D307,$E$6,BM$18,BM$17)</f>
        <v>-1.6295869999999999</v>
      </c>
      <c r="BN307" s="16">
        <f ca="1">_xll.DBRW($D$4,$E$7,$E$8,$E$9,$E$10,$E$12,$D307,$E$6,BN$18,BN$17)</f>
        <v>0.40182217057211039</v>
      </c>
      <c r="BO307" s="16"/>
      <c r="BP307" s="16"/>
      <c r="BQ307" s="16"/>
      <c r="BR307" s="16"/>
      <c r="BS307" s="16">
        <f ca="1">_xll.DBRW($D$4,$E$7,$E$8,$E$9,$E$10,$E$12,$D307,$E$6,BS$18,BS$17)</f>
        <v>-0.58528399999999992</v>
      </c>
      <c r="BT307" s="16">
        <f ca="1">_xll.DBRW($D$4,$E$7,$E$8,$E$9,$E$10,$E$12,$D307,$E$6,BT$18,BT$17)</f>
        <v>0.1443188288082361</v>
      </c>
      <c r="BU307" s="16"/>
      <c r="BV307" s="16"/>
      <c r="BW307" s="16"/>
      <c r="BX307" s="16"/>
      <c r="BY307" s="16">
        <f ca="1">_xll.DBRW($D$4,$E$7,$E$8,$E$9,$E$10,$E$12,$D307,$E$6,BY$18,BY$17)</f>
        <v>-0.45184999999999986</v>
      </c>
      <c r="BZ307" s="16">
        <f ca="1">_xll.DBRW($D$4,$E$7,$E$8,$E$9,$E$10,$E$12,$D307,$E$6,BZ$18,BZ$17)</f>
        <v>0.1114167870589346</v>
      </c>
      <c r="CA307" s="16"/>
      <c r="CB307" s="16"/>
      <c r="CC307" s="16"/>
      <c r="CD307" s="16"/>
      <c r="CE307" s="16">
        <f ca="1">_xll.DBRW($D$4,$E$7,$E$8,$E$9,$E$10,$E$12,$D307,$E$6,CE$18,CE$17)</f>
        <v>-0.45604899999999993</v>
      </c>
      <c r="CF307" s="16">
        <f ca="1">_xll.DBRW($D$4,$E$7,$E$8,$E$9,$E$10,$E$12,$D307,$E$6,CF$18,CF$17)</f>
        <v>0.11245217289242021</v>
      </c>
      <c r="CG307" s="16"/>
      <c r="CH307" s="16"/>
      <c r="CI307" s="16"/>
      <c r="CJ307" s="16"/>
      <c r="CK307" s="16">
        <f ca="1">_xll.DBRW($D$4,$E$7,$E$8,$E$9,$E$10,$E$12,$D307,$E$6,CK$18,CK$17)</f>
        <v>-0.43832199999999999</v>
      </c>
      <c r="CL307" s="16">
        <f ca="1">_xll.DBRW($D$4,$E$7,$E$8,$E$9,$E$10,$E$12,$D307,$E$6,CL$18,CL$17)</f>
        <v>0.10808106437367787</v>
      </c>
      <c r="CM307" s="16"/>
      <c r="CN307" s="16"/>
      <c r="CO307" s="16"/>
      <c r="CP307" s="16"/>
      <c r="CQ307" s="16">
        <f ca="1">_xll.DBRW($D$4,$E$7,$E$8,$E$9,$E$10,$E$12,$D307,$E$6,CQ$18,CQ$17)</f>
        <v>6.7135159999999999E-2</v>
      </c>
      <c r="CR307" s="16">
        <f ca="1">_xll.DBRW($D$4,$E$7,$E$8,$E$9,$E$10,$E$12,$D307,$E$6,CR$18,CR$17)</f>
        <v>1.356792</v>
      </c>
      <c r="CS307" s="16">
        <f ca="1">_xll.DBRW($D$4,$E$7,$E$8,$E$9,$E$10,$E$12,$D307,$E$6,CS$18,CS$17)</f>
        <v>1.356792</v>
      </c>
      <c r="CT307" s="16">
        <f ca="1">_xll.DBRW($D$4,$E$7,$E$8,$E$9,$E$10,$E$12,$D307,$E$6,CT$18,CT$17)</f>
        <v>1.356792</v>
      </c>
      <c r="CU307" s="16">
        <f ca="1">_xll.DBRW($D$4,$E$7,$E$8,$E$9,$E$10,$E$12,$D307,$E$6,CU$18,CU$17)</f>
        <v>0.45456999999999992</v>
      </c>
      <c r="CV307" s="16">
        <f ca="1">_xll.DBRW($D$4,$E$7,$E$8,$E$9,$E$10,$E$12,$D307,$E$6,CV$18,CV$17)</f>
        <v>1.356792</v>
      </c>
      <c r="CW307" s="16">
        <f ca="1">_xll.DBRW($D$4,$E$7,$E$8,$E$9,$E$10,$E$12,$D307,$E$6,CW$18,CW$17)</f>
        <v>7.6000000000000004E-5</v>
      </c>
      <c r="CX307" s="16">
        <f ca="1">_xll.DBRW($D$4,$E$7,$E$8,$E$9,$E$10,$E$12,$D307,$E$6,CX$18,CX$17)</f>
        <v>1.356792</v>
      </c>
      <c r="CY307" s="16">
        <f ca="1">_xll.DBRW($D$4,$E$7,$E$8,$E$9,$E$10,$E$12,$D307,$E$6,CY$18,CY$17)</f>
        <v>1.356792</v>
      </c>
      <c r="CZ307" s="16">
        <f ca="1">_xll.DBRW($D$4,$E$7,$E$8,$E$9,$E$10,$E$12,$D307,$E$6,CZ$18,CZ$17)</f>
        <v>1.356792</v>
      </c>
      <c r="DA307" s="26">
        <f t="shared" ca="1" si="165"/>
        <v>6.5054559999999817E-2</v>
      </c>
      <c r="DB307" s="26">
        <f t="shared" ca="1" si="166"/>
        <v>1.5466100000000094E-2</v>
      </c>
      <c r="DC307" s="26">
        <f t="shared" ca="1" si="167"/>
        <v>0</v>
      </c>
      <c r="DD307" s="26">
        <f t="shared" ca="1" si="168"/>
        <v>0</v>
      </c>
      <c r="DE307" s="26">
        <f t="shared" ca="1" si="169"/>
        <v>0</v>
      </c>
      <c r="DF307" s="26">
        <f t="shared" ca="1" si="170"/>
        <v>0</v>
      </c>
      <c r="DG307" s="26">
        <f t="shared" ca="1" si="171"/>
        <v>0</v>
      </c>
      <c r="DH307" s="26">
        <f t="shared" ca="1" si="172"/>
        <v>4.9588459999999834E-2</v>
      </c>
      <c r="DI307" s="26">
        <f t="shared" ca="1" si="173"/>
        <v>-0.37345542000000043</v>
      </c>
      <c r="DJ307" s="26">
        <f t="shared" ca="1" si="174"/>
        <v>0.16881636000000011</v>
      </c>
      <c r="DK307" s="26">
        <f t="shared" ca="1" si="175"/>
        <v>-5.0932919928755038E-3</v>
      </c>
      <c r="DL307" s="26"/>
      <c r="DM307" s="26"/>
      <c r="DN307" s="26"/>
      <c r="DO307" s="26"/>
      <c r="DP307" s="26">
        <f t="shared" ca="1" si="176"/>
        <v>9.8071689999999934E-2</v>
      </c>
      <c r="DQ307" s="26">
        <f t="shared" ca="1" si="177"/>
        <v>-1.1997444407808561E-2</v>
      </c>
      <c r="DR307" s="26"/>
      <c r="DS307" s="26"/>
      <c r="DT307" s="26"/>
      <c r="DU307" s="26"/>
      <c r="DV307" s="26">
        <f t="shared" ca="1" si="178"/>
        <v>3.4272579999999886E-2</v>
      </c>
      <c r="DW307" s="26">
        <f t="shared" ca="1" si="179"/>
        <v>1.992544303729013E-3</v>
      </c>
      <c r="DX307" s="26"/>
      <c r="DY307" s="26"/>
      <c r="DZ307" s="26"/>
      <c r="EA307" s="26"/>
      <c r="EB307" s="26">
        <f t="shared" ca="1" si="180"/>
        <v>5.8613549999999959E-2</v>
      </c>
      <c r="EC307" s="26">
        <f t="shared" ca="1" si="181"/>
        <v>-4.5131740731849113E-3</v>
      </c>
      <c r="ED307" s="26"/>
      <c r="EE307" s="26"/>
      <c r="EF307" s="26"/>
      <c r="EG307" s="26"/>
      <c r="EH307" s="26">
        <f t="shared" ca="1" si="182"/>
        <v>6.326970000000004E-2</v>
      </c>
      <c r="EI307" s="29">
        <f t="shared" ca="1" si="183"/>
        <v>-6.2210773824533105E-3</v>
      </c>
      <c r="EJ307" s="29"/>
      <c r="EK307" s="29"/>
      <c r="EL307" s="29"/>
      <c r="EM307" s="29"/>
      <c r="EN307" s="93"/>
      <c r="EO307" s="29"/>
      <c r="EP307" s="29"/>
      <c r="EQ307" s="29"/>
      <c r="ER307" s="29"/>
      <c r="ES307" s="29"/>
      <c r="ET307" s="29"/>
      <c r="EU307" s="93"/>
      <c r="EV307" s="29"/>
      <c r="EW307" s="29"/>
      <c r="EX307" s="29"/>
      <c r="EY307" s="29"/>
      <c r="EZ307" s="29"/>
      <c r="FA307" s="29"/>
      <c r="FB307" s="93"/>
      <c r="FC307" s="29"/>
      <c r="FD307" s="29"/>
      <c r="FE307" s="29"/>
      <c r="FF307" s="29"/>
      <c r="FG307" s="29"/>
      <c r="FH307" s="29"/>
      <c r="FI307" s="93"/>
      <c r="FJ307" s="29"/>
      <c r="FK307" s="29"/>
      <c r="FL307" s="29"/>
      <c r="FM307" s="29"/>
      <c r="FN307" s="29"/>
      <c r="FO307" s="29"/>
      <c r="FP307" s="93"/>
      <c r="FQ307" s="29"/>
      <c r="FR307" s="29"/>
      <c r="FS307" s="29"/>
      <c r="FT307" s="29"/>
      <c r="FU307" s="29"/>
      <c r="FV307" s="29"/>
    </row>
    <row r="308" spans="1:178" x14ac:dyDescent="0.25">
      <c r="A308" t="str">
        <f ca="1">IF(_xll.TM1RPTELISCONSOLIDATED($D$28,$D308),IF(_xll.TM1RPTELLEV($D$28,$D308)&lt;=3,_xll.TM1RPTELLEV($D$28,$D308),"D"),"N")</f>
        <v>N</v>
      </c>
      <c r="B308" t="str">
        <f ca="1">_xll.DBRA(Server&amp;"Management_organization",$D308,$B$27)</f>
        <v>L</v>
      </c>
      <c r="C308">
        <v>1</v>
      </c>
      <c r="D308" s="2" t="s">
        <v>259</v>
      </c>
      <c r="E308" s="26"/>
      <c r="F308" s="26"/>
      <c r="G308" s="16">
        <f ca="1">_xll.DBRW($D$4,$E$7,$E$8,$E$9,$E$10,$E$12,$D308,$E$6,G$18,G$17)</f>
        <v>0.36476400999999892</v>
      </c>
      <c r="H308" s="16">
        <f ca="1">_xll.DBRW($D$4,$E$7,$E$8,$E$9,$E$10,$E$12,$D308,$E$6,H$18,H$17)</f>
        <v>-0.73768549999999999</v>
      </c>
      <c r="I308" s="16">
        <f ca="1">_xll.DBRW($D$4,$E$7,$E$8,$E$9,$E$10,$E$12,$D308,$E$6,I$18,I$17)</f>
        <v>0</v>
      </c>
      <c r="J308" s="26">
        <f ca="1">_xll.DBRW($D$4,$E$7,$E$8,$E$9,$E$10,$E$12,$D308,$E$6,J$18,J$17)</f>
        <v>-0.46249573999999993</v>
      </c>
      <c r="K308" s="26">
        <f ca="1">_xll.DBRW($D$4,$E$7,$E$8,$E$9,$E$10,$E$12,$D308,$E$6,K$18,K$17)</f>
        <v>0</v>
      </c>
      <c r="L308" s="26">
        <f ca="1">_xll.DBRW($D$4,$E$7,$E$8,$E$9,$E$10,$E$12,$D308,$E$6,L$18,L$17)</f>
        <v>0</v>
      </c>
      <c r="M308" s="26">
        <f ca="1">_xll.DBRW($D$4,$E$7,$E$8,$E$9,$E$10,$E$12,$D308,$E$6,M$18,M$17)</f>
        <v>0</v>
      </c>
      <c r="N308" s="16">
        <f ca="1">_xll.DBRW($D$4,$E$7,$E$8,$E$9,$E$10,$E$12,$D308,$E$6,N$18,N$17)</f>
        <v>1.564945249999999</v>
      </c>
      <c r="O308" s="16">
        <f ca="1">_xll.DBRW($D$4,$E$7,$E$8,$E$9,$E$10,$E$12,$D308,$E$6,O$18,O$17)</f>
        <v>6.0842201299999985</v>
      </c>
      <c r="P308" s="74">
        <f ca="1">_xll.DBRW($D$4,$E$7,$E$8,$E$9,$E$10,$E$12,$D308,$E$6,P$18,P$17)</f>
        <v>-1.64534805</v>
      </c>
      <c r="Q308" s="16">
        <f ca="1">_xll.DBRW($D$4,$E$7,$E$8,$E$9,$E$10,$E$12,$D308,$E$6,Q$18,Q$17)</f>
        <v>0.27042875090714386</v>
      </c>
      <c r="R308" s="16"/>
      <c r="S308" s="16"/>
      <c r="T308" s="16"/>
      <c r="U308" s="16"/>
      <c r="V308" s="16">
        <f ca="1">_xll.DBRW($D$4,$E$7,$E$8,$E$9,$E$10,$E$12,$D308,$E$6,V$18,V$17)</f>
        <v>-0.81470875999999992</v>
      </c>
      <c r="W308" s="16">
        <f ca="1">_xll.DBRW($D$4,$E$7,$E$8,$E$9,$E$10,$E$12,$D308,$E$6,W$18,W$17)</f>
        <v>0.13390520766709998</v>
      </c>
      <c r="X308" s="16"/>
      <c r="Y308" s="16"/>
      <c r="Z308" s="16"/>
      <c r="AA308" s="16"/>
      <c r="AB308" s="16">
        <f ca="1">_xll.DBRW($D$4,$E$7,$E$8,$E$9,$E$10,$E$12,$D308,$E$6,AB$18,AB$17)</f>
        <v>-0.54347618000000009</v>
      </c>
      <c r="AC308" s="16">
        <f ca="1">_xll.DBRW($D$4,$E$7,$E$8,$E$9,$E$10,$E$12,$D308,$E$6,AC$18,AC$17)</f>
        <v>8.932552872639081E-2</v>
      </c>
      <c r="AD308" s="16"/>
      <c r="AE308" s="16"/>
      <c r="AF308" s="16"/>
      <c r="AG308" s="16"/>
      <c r="AH308" s="16">
        <f ca="1">_xll.DBRW($D$4,$E$7,$E$8,$E$9,$E$10,$E$12,$D308,$E$6,AH$18,AH$17)</f>
        <v>-0.40518177999999999</v>
      </c>
      <c r="AI308" s="16">
        <f ca="1">_xll.DBRW($D$4,$E$7,$E$8,$E$9,$E$10,$E$12,$D308,$E$6,AI$18,AI$17)</f>
        <v>6.6595516161904567E-2</v>
      </c>
      <c r="AJ308" s="16"/>
      <c r="AK308" s="16"/>
      <c r="AL308" s="16"/>
      <c r="AM308" s="16"/>
      <c r="AN308" s="16">
        <f ca="1">_xll.DBRW($D$4,$E$7,$E$8,$E$9,$E$10,$E$12,$D308,$E$6,AN$18,AN$17)</f>
        <v>-1.11056011</v>
      </c>
      <c r="AO308" s="16">
        <f ca="1">_xll.DBRW($D$4,$E$7,$E$8,$E$9,$E$10,$E$12,$D308,$E$6,AO$18,AO$17)</f>
        <v>0.18253121785059415</v>
      </c>
      <c r="AP308" s="16"/>
      <c r="AQ308" s="16"/>
      <c r="AR308" s="16"/>
      <c r="AS308" s="16"/>
      <c r="AT308" s="16">
        <f ca="1">_xll.DBRW($D$4,$E$7,$E$8,$E$9,$E$10,$E$12,$D308,$E$6,AT$18,AT$17)</f>
        <v>5.0999730000000007E-2</v>
      </c>
      <c r="AU308" s="16">
        <f ca="1">_xll.DBRW($D$4,$E$7,$E$8,$E$9,$E$10,$E$12,$D308,$E$6,AU$18,AU$17)</f>
        <v>2.50073E-2</v>
      </c>
      <c r="AV308" s="16">
        <f ca="1">_xll.DBRW($D$4,$E$7,$E$8,$E$9,$E$10,$E$12,$D308,$E$6,AV$18,AV$17)</f>
        <v>1.7654630000000002</v>
      </c>
      <c r="AW308" s="16">
        <f ca="1">_xll.DBRW($D$4,$E$7,$E$8,$E$9,$E$10,$E$12,$D308,$E$6,AW$18,AW$17)</f>
        <v>2.50073E-2</v>
      </c>
      <c r="AX308" s="16">
        <f ca="1">_xll.DBRW($D$4,$E$7,$E$8,$E$9,$E$10,$E$12,$D308,$E$6,AX$18,AX$17)</f>
        <v>0.62760300000000002</v>
      </c>
      <c r="AY308" s="16">
        <f ca="1">_xll.DBRW($D$4,$E$7,$E$8,$E$9,$E$10,$E$12,$D308,$E$6,AY$18,AY$17)</f>
        <v>2.50073E-2</v>
      </c>
      <c r="AZ308" s="16">
        <f ca="1">_xll.DBRW($D$4,$E$7,$E$8,$E$9,$E$10,$E$12,$D308,$E$6,AZ$18,AZ$17)</f>
        <v>1.9600000000000002E-5</v>
      </c>
      <c r="BA308" s="16">
        <f ca="1">_xll.DBRW($D$4,$E$7,$E$8,$E$9,$E$10,$E$12,$D308,$E$6,BA$18,BA$17)</f>
        <v>2.50073E-2</v>
      </c>
      <c r="BB308" s="16">
        <f ca="1">_xll.DBRW($D$4,$E$7,$E$8,$E$9,$E$10,$E$12,$D308,$E$6,BB$18,BB$17)</f>
        <v>2.50073E-2</v>
      </c>
      <c r="BC308" s="16">
        <f ca="1">_xll.DBRW($D$4,$E$7,$E$8,$E$9,$E$10,$E$12,$D308,$E$6,BC$18,BC$17)</f>
        <v>2.50073E-2</v>
      </c>
      <c r="BD308" s="16">
        <f ca="1">_xll.DBRW($D$4,$E$7,$E$8,$E$9,$E$10,$E$12,$D308,$E$6,BD$18,BD$17)</f>
        <v>0.24361900000000225</v>
      </c>
      <c r="BE308" s="16">
        <f ca="1">_xll.DBRW($D$4,$E$7,$E$8,$E$9,$E$10,$E$12,$D308,$E$6,BE$18,BE$17)</f>
        <v>-0.79485400000000006</v>
      </c>
      <c r="BF308" s="16">
        <f ca="1">_xll.DBRW($D$4,$E$7,$E$8,$E$9,$E$10,$E$12,$D308,$E$6,BF$18,BF$17)</f>
        <v>0</v>
      </c>
      <c r="BG308" s="26">
        <f ca="1">_xll.DBRW($D$4,$E$7,$E$8,$E$9,$E$10,$E$12,$D308,$E$6,BG$18,BG$17)</f>
        <v>-0.69615099999999996</v>
      </c>
      <c r="BH308" s="26">
        <f ca="1">_xll.DBRW($D$4,$E$7,$E$8,$E$9,$E$10,$E$12,$D308,$E$6,BH$18,BH$17)</f>
        <v>0</v>
      </c>
      <c r="BI308" s="26">
        <f ca="1">_xll.DBRW($D$4,$E$7,$E$8,$E$9,$E$10,$E$12,$D308,$E$6,BI$18,BI$17)</f>
        <v>0</v>
      </c>
      <c r="BJ308" s="26">
        <f ca="1">_xll.DBRW($D$4,$E$7,$E$8,$E$9,$E$10,$E$12,$D308,$E$6,BJ$18,BJ$17)</f>
        <v>0</v>
      </c>
      <c r="BK308" s="16">
        <f ca="1">_xll.DBRW($D$4,$E$7,$E$8,$E$9,$E$10,$E$12,$D308,$E$6,BK$18,BK$17)</f>
        <v>1.7346240000000019</v>
      </c>
      <c r="BL308" s="16">
        <f ca="1">_xll.DBRW($D$4,$E$7,$E$8,$E$9,$E$10,$E$12,$D308,$E$6,BL$18,BL$17)</f>
        <v>6.4195930000000008</v>
      </c>
      <c r="BM308" s="16">
        <f ca="1">_xll.DBRW($D$4,$E$7,$E$8,$E$9,$E$10,$E$12,$D308,$E$6,BM$18,BM$17)</f>
        <v>-1.8503239999999996</v>
      </c>
      <c r="BN308" s="16">
        <f ca="1">_xll.DBRW($D$4,$E$7,$E$8,$E$9,$E$10,$E$12,$D308,$E$6,BN$18,BN$17)</f>
        <v>0.28823073363062102</v>
      </c>
      <c r="BO308" s="16"/>
      <c r="BP308" s="16"/>
      <c r="BQ308" s="16"/>
      <c r="BR308" s="16"/>
      <c r="BS308" s="16">
        <f ca="1">_xll.DBRW($D$4,$E$7,$E$8,$E$9,$E$10,$E$12,$D308,$E$6,BS$18,BS$17)</f>
        <v>-0.78283400000000003</v>
      </c>
      <c r="BT308" s="16">
        <f ca="1">_xll.DBRW($D$4,$E$7,$E$8,$E$9,$E$10,$E$12,$D308,$E$6,BT$18,BT$17)</f>
        <v>0.12194449087348683</v>
      </c>
      <c r="BU308" s="16"/>
      <c r="BV308" s="16"/>
      <c r="BW308" s="16"/>
      <c r="BX308" s="16"/>
      <c r="BY308" s="16">
        <f ca="1">_xll.DBRW($D$4,$E$7,$E$8,$E$9,$E$10,$E$12,$D308,$E$6,BY$18,BY$17)</f>
        <v>-0.50726800000000005</v>
      </c>
      <c r="BZ308" s="16">
        <f ca="1">_xll.DBRW($D$4,$E$7,$E$8,$E$9,$E$10,$E$12,$D308,$E$6,BZ$18,BZ$17)</f>
        <v>7.9018716607112002E-2</v>
      </c>
      <c r="CA308" s="16"/>
      <c r="CB308" s="16"/>
      <c r="CC308" s="16"/>
      <c r="CD308" s="16"/>
      <c r="CE308" s="16">
        <f ca="1">_xll.DBRW($D$4,$E$7,$E$8,$E$9,$E$10,$E$12,$D308,$E$6,CE$18,CE$17)</f>
        <v>-0.48922100000000002</v>
      </c>
      <c r="CF308" s="16">
        <f ca="1">_xll.DBRW($D$4,$E$7,$E$8,$E$9,$E$10,$E$12,$D308,$E$6,CF$18,CF$17)</f>
        <v>7.6207479196889888E-2</v>
      </c>
      <c r="CG308" s="16"/>
      <c r="CH308" s="16"/>
      <c r="CI308" s="16"/>
      <c r="CJ308" s="16"/>
      <c r="CK308" s="16">
        <f ca="1">_xll.DBRW($D$4,$E$7,$E$8,$E$9,$E$10,$E$12,$D308,$E$6,CK$18,CK$17)</f>
        <v>-1.0553220000000001</v>
      </c>
      <c r="CL308" s="16">
        <f ca="1">_xll.DBRW($D$4,$E$7,$E$8,$E$9,$E$10,$E$12,$D308,$E$6,CL$18,CL$17)</f>
        <v>0.16439079549124064</v>
      </c>
      <c r="CM308" s="16"/>
      <c r="CN308" s="16"/>
      <c r="CO308" s="16"/>
      <c r="CP308" s="16"/>
      <c r="CQ308" s="16">
        <f ca="1">_xll.DBRW($D$4,$E$7,$E$8,$E$9,$E$10,$E$12,$D308,$E$6,CQ$18,CQ$17)</f>
        <v>5.6548420000000002E-2</v>
      </c>
      <c r="CR308" s="16">
        <f ca="1">_xll.DBRW($D$4,$E$7,$E$8,$E$9,$E$10,$E$12,$D308,$E$6,CR$18,CR$17)</f>
        <v>2.8769849999999996E-2</v>
      </c>
      <c r="CS308" s="16">
        <f ca="1">_xll.DBRW($D$4,$E$7,$E$8,$E$9,$E$10,$E$12,$D308,$E$6,CS$18,CS$17)</f>
        <v>1.9750189999999999</v>
      </c>
      <c r="CT308" s="16">
        <f ca="1">_xll.DBRW($D$4,$E$7,$E$8,$E$9,$E$10,$E$12,$D308,$E$6,CT$18,CT$17)</f>
        <v>2.8769849999999996E-2</v>
      </c>
      <c r="CU308" s="16">
        <f ca="1">_xll.DBRW($D$4,$E$7,$E$8,$E$9,$E$10,$E$12,$D308,$E$6,CU$18,CU$17)</f>
        <v>0.66974200000000006</v>
      </c>
      <c r="CV308" s="16">
        <f ca="1">_xll.DBRW($D$4,$E$7,$E$8,$E$9,$E$10,$E$12,$D308,$E$6,CV$18,CV$17)</f>
        <v>2.8769849999999996E-2</v>
      </c>
      <c r="CW308" s="16">
        <f ca="1">_xll.DBRW($D$4,$E$7,$E$8,$E$9,$E$10,$E$12,$D308,$E$6,CW$18,CW$17)</f>
        <v>1.9000000000000001E-5</v>
      </c>
      <c r="CX308" s="16">
        <f ca="1">_xll.DBRW($D$4,$E$7,$E$8,$E$9,$E$10,$E$12,$D308,$E$6,CX$18,CX$17)</f>
        <v>2.8769849999999996E-2</v>
      </c>
      <c r="CY308" s="16">
        <f ca="1">_xll.DBRW($D$4,$E$7,$E$8,$E$9,$E$10,$E$12,$D308,$E$6,CY$18,CY$17)</f>
        <v>2.8769849999999996E-2</v>
      </c>
      <c r="CZ308" s="16">
        <f ca="1">_xll.DBRW($D$4,$E$7,$E$8,$E$9,$E$10,$E$12,$D308,$E$6,CZ$18,CZ$17)</f>
        <v>2.8769849999999996E-2</v>
      </c>
      <c r="DA308" s="26">
        <f t="shared" ca="1" si="165"/>
        <v>0.12114500999999667</v>
      </c>
      <c r="DB308" s="26">
        <f t="shared" ca="1" si="166"/>
        <v>5.7168500000000066E-2</v>
      </c>
      <c r="DC308" s="26">
        <f t="shared" ca="1" si="167"/>
        <v>0</v>
      </c>
      <c r="DD308" s="26">
        <f t="shared" ca="1" si="168"/>
        <v>0.23365526000000003</v>
      </c>
      <c r="DE308" s="26">
        <f t="shared" ca="1" si="169"/>
        <v>0</v>
      </c>
      <c r="DF308" s="26">
        <f t="shared" ca="1" si="170"/>
        <v>0</v>
      </c>
      <c r="DG308" s="26">
        <f t="shared" ca="1" si="171"/>
        <v>0</v>
      </c>
      <c r="DH308" s="26">
        <f t="shared" ca="1" si="172"/>
        <v>-0.16967875000000299</v>
      </c>
      <c r="DI308" s="26">
        <f t="shared" ca="1" si="173"/>
        <v>-0.33537287000000227</v>
      </c>
      <c r="DJ308" s="26">
        <f t="shared" ca="1" si="174"/>
        <v>0.20497594999999968</v>
      </c>
      <c r="DK308" s="26">
        <f t="shared" ca="1" si="175"/>
        <v>-1.7801982723477161E-2</v>
      </c>
      <c r="DL308" s="26"/>
      <c r="DM308" s="26"/>
      <c r="DN308" s="26"/>
      <c r="DO308" s="26"/>
      <c r="DP308" s="26">
        <f t="shared" ca="1" si="176"/>
        <v>-3.1874759999999891E-2</v>
      </c>
      <c r="DQ308" s="26">
        <f t="shared" ca="1" si="177"/>
        <v>1.1960716793613158E-2</v>
      </c>
      <c r="DR308" s="26"/>
      <c r="DS308" s="26"/>
      <c r="DT308" s="26"/>
      <c r="DU308" s="26"/>
      <c r="DV308" s="26">
        <f t="shared" ca="1" si="178"/>
        <v>-3.6208180000000034E-2</v>
      </c>
      <c r="DW308" s="26">
        <f t="shared" ca="1" si="179"/>
        <v>1.0306812119278808E-2</v>
      </c>
      <c r="DX308" s="26"/>
      <c r="DY308" s="26"/>
      <c r="DZ308" s="26"/>
      <c r="EA308" s="26"/>
      <c r="EB308" s="26">
        <f t="shared" ca="1" si="180"/>
        <v>8.4039220000000026E-2</v>
      </c>
      <c r="EC308" s="26">
        <f t="shared" ca="1" si="181"/>
        <v>-9.6119630349853213E-3</v>
      </c>
      <c r="ED308" s="26"/>
      <c r="EE308" s="26"/>
      <c r="EF308" s="26"/>
      <c r="EG308" s="26"/>
      <c r="EH308" s="26">
        <f t="shared" ca="1" si="182"/>
        <v>-5.5238109999999896E-2</v>
      </c>
      <c r="EI308" s="29">
        <f t="shared" ca="1" si="183"/>
        <v>1.8140422359353509E-2</v>
      </c>
      <c r="EJ308" s="29"/>
      <c r="EK308" s="29"/>
      <c r="EL308" s="29"/>
      <c r="EM308" s="29"/>
      <c r="EN308" s="93"/>
      <c r="EO308" s="29"/>
      <c r="EP308" s="29"/>
      <c r="EQ308" s="29"/>
      <c r="ER308" s="29"/>
      <c r="ES308" s="29"/>
      <c r="ET308" s="29"/>
      <c r="EU308" s="93"/>
      <c r="EV308" s="29"/>
      <c r="EW308" s="29"/>
      <c r="EX308" s="29"/>
      <c r="EY308" s="29"/>
      <c r="EZ308" s="29"/>
      <c r="FA308" s="29"/>
      <c r="FB308" s="93"/>
      <c r="FC308" s="29"/>
      <c r="FD308" s="29"/>
      <c r="FE308" s="29"/>
      <c r="FF308" s="29"/>
      <c r="FG308" s="29"/>
      <c r="FH308" s="29"/>
      <c r="FI308" s="93"/>
      <c r="FJ308" s="29"/>
      <c r="FK308" s="29"/>
      <c r="FL308" s="29"/>
      <c r="FM308" s="29"/>
      <c r="FN308" s="29"/>
      <c r="FO308" s="29"/>
      <c r="FP308" s="93"/>
      <c r="FQ308" s="29"/>
      <c r="FR308" s="29"/>
      <c r="FS308" s="29"/>
      <c r="FT308" s="29"/>
      <c r="FU308" s="29"/>
      <c r="FV308" s="29"/>
    </row>
    <row r="309" spans="1:178" x14ac:dyDescent="0.25">
      <c r="A309" t="str">
        <f ca="1">IF(_xll.TM1RPTELISCONSOLIDATED($D$28,$D309),IF(_xll.TM1RPTELLEV($D$28,$D309)&lt;=3,_xll.TM1RPTELLEV($D$28,$D309),"D"),"N")</f>
        <v>N</v>
      </c>
      <c r="B309" t="str">
        <f ca="1">_xll.DBRA(Server&amp;"Management_organization",$D309,$B$27)</f>
        <v>L</v>
      </c>
      <c r="C309">
        <v>1</v>
      </c>
      <c r="D309" s="2" t="s">
        <v>260</v>
      </c>
      <c r="E309" s="26"/>
      <c r="F309" s="26"/>
      <c r="G309" s="16">
        <f ca="1">_xll.DBRW($D$4,$E$7,$E$8,$E$9,$E$10,$E$12,$D309,$E$6,G$18,G$17)</f>
        <v>0.83630747999999677</v>
      </c>
      <c r="H309" s="16">
        <f ca="1">_xll.DBRW($D$4,$E$7,$E$8,$E$9,$E$10,$E$12,$D309,$E$6,H$18,H$17)</f>
        <v>-0.80029938</v>
      </c>
      <c r="I309" s="16">
        <f ca="1">_xll.DBRW($D$4,$E$7,$E$8,$E$9,$E$10,$E$12,$D309,$E$6,I$18,I$17)</f>
        <v>0</v>
      </c>
      <c r="J309" s="26">
        <f ca="1">_xll.DBRW($D$4,$E$7,$E$8,$E$9,$E$10,$E$12,$D309,$E$6,J$18,J$17)</f>
        <v>0</v>
      </c>
      <c r="K309" s="26">
        <f ca="1">_xll.DBRW($D$4,$E$7,$E$8,$E$9,$E$10,$E$12,$D309,$E$6,K$18,K$17)</f>
        <v>0</v>
      </c>
      <c r="L309" s="26">
        <f ca="1">_xll.DBRW($D$4,$E$7,$E$8,$E$9,$E$10,$E$12,$D309,$E$6,L$18,L$17)</f>
        <v>0</v>
      </c>
      <c r="M309" s="26">
        <f ca="1">_xll.DBRW($D$4,$E$7,$E$8,$E$9,$E$10,$E$12,$D309,$E$6,M$18,M$17)</f>
        <v>0</v>
      </c>
      <c r="N309" s="16">
        <f ca="1">_xll.DBRW($D$4,$E$7,$E$8,$E$9,$E$10,$E$12,$D309,$E$6,N$18,N$17)</f>
        <v>1.636606859999997</v>
      </c>
      <c r="O309" s="16">
        <f ca="1">_xll.DBRW($D$4,$E$7,$E$8,$E$9,$E$10,$E$12,$D309,$E$6,O$18,O$17)</f>
        <v>6.5960630999999976</v>
      </c>
      <c r="P309" s="74">
        <f ca="1">_xll.DBRW($D$4,$E$7,$E$8,$E$9,$E$10,$E$12,$D309,$E$6,P$18,P$17)</f>
        <v>-1.7796260100000001</v>
      </c>
      <c r="Q309" s="16">
        <f ca="1">_xll.DBRW($D$4,$E$7,$E$8,$E$9,$E$10,$E$12,$D309,$E$6,Q$18,Q$17)</f>
        <v>0.26980124098570263</v>
      </c>
      <c r="R309" s="16"/>
      <c r="S309" s="16"/>
      <c r="T309" s="16"/>
      <c r="U309" s="16"/>
      <c r="V309" s="16">
        <f ca="1">_xll.DBRW($D$4,$E$7,$E$8,$E$9,$E$10,$E$12,$D309,$E$6,V$18,V$17)</f>
        <v>-0.98113363999999981</v>
      </c>
      <c r="W309" s="16">
        <f ca="1">_xll.DBRW($D$4,$E$7,$E$8,$E$9,$E$10,$E$12,$D309,$E$6,W$18,W$17)</f>
        <v>0.1487453387157561</v>
      </c>
      <c r="X309" s="16"/>
      <c r="Y309" s="16"/>
      <c r="Z309" s="16"/>
      <c r="AA309" s="16"/>
      <c r="AB309" s="16">
        <f ca="1">_xll.DBRW($D$4,$E$7,$E$8,$E$9,$E$10,$E$12,$D309,$E$6,AB$18,AB$17)</f>
        <v>-0.98506272999999989</v>
      </c>
      <c r="AC309" s="16">
        <f ca="1">_xll.DBRW($D$4,$E$7,$E$8,$E$9,$E$10,$E$12,$D309,$E$6,AC$18,AC$17)</f>
        <v>0.14934101070076183</v>
      </c>
      <c r="AD309" s="16"/>
      <c r="AE309" s="16"/>
      <c r="AF309" s="16"/>
      <c r="AG309" s="16"/>
      <c r="AH309" s="16">
        <f ca="1">_xll.DBRW($D$4,$E$7,$E$8,$E$9,$E$10,$E$12,$D309,$E$6,AH$18,AH$17)</f>
        <v>-0.95972419999999992</v>
      </c>
      <c r="AI309" s="16">
        <f ca="1">_xll.DBRW($D$4,$E$7,$E$8,$E$9,$E$10,$E$12,$D309,$E$6,AI$18,AI$17)</f>
        <v>0.14549954805617313</v>
      </c>
      <c r="AJ309" s="16"/>
      <c r="AK309" s="16"/>
      <c r="AL309" s="16"/>
      <c r="AM309" s="16"/>
      <c r="AN309" s="16">
        <f ca="1">_xll.DBRW($D$4,$E$7,$E$8,$E$9,$E$10,$E$12,$D309,$E$6,AN$18,AN$17)</f>
        <v>-0.25390965999999998</v>
      </c>
      <c r="AO309" s="16">
        <f ca="1">_xll.DBRW($D$4,$E$7,$E$8,$E$9,$E$10,$E$12,$D309,$E$6,AO$18,AO$17)</f>
        <v>3.8494122350042417E-2</v>
      </c>
      <c r="AP309" s="16"/>
      <c r="AQ309" s="16"/>
      <c r="AR309" s="16"/>
      <c r="AS309" s="16"/>
      <c r="AT309" s="16">
        <f ca="1">_xll.DBRW($D$4,$E$7,$E$8,$E$9,$E$10,$E$12,$D309,$E$6,AT$18,AT$17)</f>
        <v>7.4000119999999989E-2</v>
      </c>
      <c r="AU309" s="16">
        <f ca="1">_xll.DBRW($D$4,$E$7,$E$8,$E$9,$E$10,$E$12,$D309,$E$6,AU$18,AU$17)</f>
        <v>5.7792699999999995E-2</v>
      </c>
      <c r="AV309" s="16">
        <f ca="1">_xll.DBRW($D$4,$E$7,$E$8,$E$9,$E$10,$E$12,$D309,$E$6,AV$18,AV$17)</f>
        <v>2.3103669999999998</v>
      </c>
      <c r="AW309" s="16">
        <f ca="1">_xll.DBRW($D$4,$E$7,$E$8,$E$9,$E$10,$E$12,$D309,$E$6,AW$18,AW$17)</f>
        <v>5.7792699999999995E-2</v>
      </c>
      <c r="AX309" s="16">
        <f ca="1">_xll.DBRW($D$4,$E$7,$E$8,$E$9,$E$10,$E$12,$D309,$E$6,AX$18,AX$17)</f>
        <v>0.89273939000000013</v>
      </c>
      <c r="AY309" s="16">
        <f ca="1">_xll.DBRW($D$4,$E$7,$E$8,$E$9,$E$10,$E$12,$D309,$E$6,AY$18,AY$17)</f>
        <v>5.7792699999999995E-2</v>
      </c>
      <c r="AZ309" s="16">
        <f ca="1">_xll.DBRW($D$4,$E$7,$E$8,$E$9,$E$10,$E$12,$D309,$E$6,AZ$18,AZ$17)</f>
        <v>4.1E-5</v>
      </c>
      <c r="BA309" s="16">
        <f ca="1">_xll.DBRW($D$4,$E$7,$E$8,$E$9,$E$10,$E$12,$D309,$E$6,BA$18,BA$17)</f>
        <v>5.7792699999999995E-2</v>
      </c>
      <c r="BB309" s="16">
        <f ca="1">_xll.DBRW($D$4,$E$7,$E$8,$E$9,$E$10,$E$12,$D309,$E$6,BB$18,BB$17)</f>
        <v>5.7792699999999995E-2</v>
      </c>
      <c r="BC309" s="16">
        <f ca="1">_xll.DBRW($D$4,$E$7,$E$8,$E$9,$E$10,$E$12,$D309,$E$6,BC$18,BC$17)</f>
        <v>5.7792699999999995E-2</v>
      </c>
      <c r="BD309" s="16">
        <f ca="1">_xll.DBRW($D$4,$E$7,$E$8,$E$9,$E$10,$E$12,$D309,$E$6,BD$18,BD$17)</f>
        <v>1.1738379999999988</v>
      </c>
      <c r="BE309" s="16">
        <f ca="1">_xll.DBRW($D$4,$E$7,$E$8,$E$9,$E$10,$E$12,$D309,$E$6,BE$18,BE$17)</f>
        <v>-0.81276400000000015</v>
      </c>
      <c r="BF309" s="16">
        <f ca="1">_xll.DBRW($D$4,$E$7,$E$8,$E$9,$E$10,$E$12,$D309,$E$6,BF$18,BF$17)</f>
        <v>0</v>
      </c>
      <c r="BG309" s="26">
        <f ca="1">_xll.DBRW($D$4,$E$7,$E$8,$E$9,$E$10,$E$12,$D309,$E$6,BG$18,BG$17)</f>
        <v>0</v>
      </c>
      <c r="BH309" s="26">
        <f ca="1">_xll.DBRW($D$4,$E$7,$E$8,$E$9,$E$10,$E$12,$D309,$E$6,BH$18,BH$17)</f>
        <v>0</v>
      </c>
      <c r="BI309" s="26">
        <f ca="1">_xll.DBRW($D$4,$E$7,$E$8,$E$9,$E$10,$E$12,$D309,$E$6,BI$18,BI$17)</f>
        <v>0</v>
      </c>
      <c r="BJ309" s="26">
        <f ca="1">_xll.DBRW($D$4,$E$7,$E$8,$E$9,$E$10,$E$12,$D309,$E$6,BJ$18,BJ$17)</f>
        <v>0</v>
      </c>
      <c r="BK309" s="16">
        <f ca="1">_xll.DBRW($D$4,$E$7,$E$8,$E$9,$E$10,$E$12,$D309,$E$6,BK$18,BK$17)</f>
        <v>1.9866019999999986</v>
      </c>
      <c r="BL309" s="16">
        <f ca="1">_xll.DBRW($D$4,$E$7,$E$8,$E$9,$E$10,$E$12,$D309,$E$6,BL$18,BL$17)</f>
        <v>6.7949090000000005</v>
      </c>
      <c r="BM309" s="16">
        <f ca="1">_xll.DBRW($D$4,$E$7,$E$8,$E$9,$E$10,$E$12,$D309,$E$6,BM$18,BM$17)</f>
        <v>-1.7658339999999999</v>
      </c>
      <c r="BN309" s="16">
        <f ca="1">_xll.DBRW($D$4,$E$7,$E$8,$E$9,$E$10,$E$12,$D309,$E$6,BN$18,BN$17)</f>
        <v>0.25987603365990625</v>
      </c>
      <c r="BO309" s="16"/>
      <c r="BP309" s="16"/>
      <c r="BQ309" s="16"/>
      <c r="BR309" s="16"/>
      <c r="BS309" s="16">
        <f ca="1">_xll.DBRW($D$4,$E$7,$E$8,$E$9,$E$10,$E$12,$D309,$E$6,BS$18,BS$17)</f>
        <v>-0.89886700000000008</v>
      </c>
      <c r="BT309" s="16">
        <f ca="1">_xll.DBRW($D$4,$E$7,$E$8,$E$9,$E$10,$E$12,$D309,$E$6,BT$18,BT$17)</f>
        <v>0.13228536246769457</v>
      </c>
      <c r="BU309" s="16"/>
      <c r="BV309" s="16"/>
      <c r="BW309" s="16"/>
      <c r="BX309" s="16"/>
      <c r="BY309" s="16">
        <f ca="1">_xll.DBRW($D$4,$E$7,$E$8,$E$9,$E$10,$E$12,$D309,$E$6,BY$18,BY$17)</f>
        <v>-0.89335799999999987</v>
      </c>
      <c r="BZ309" s="16">
        <f ca="1">_xll.DBRW($D$4,$E$7,$E$8,$E$9,$E$10,$E$12,$D309,$E$6,BZ$18,BZ$17)</f>
        <v>0.13147460841638936</v>
      </c>
      <c r="CA309" s="16"/>
      <c r="CB309" s="16"/>
      <c r="CC309" s="16"/>
      <c r="CD309" s="16"/>
      <c r="CE309" s="16">
        <f ca="1">_xll.DBRW($D$4,$E$7,$E$8,$E$9,$E$10,$E$12,$D309,$E$6,CE$18,CE$17)</f>
        <v>-0.97604299999999988</v>
      </c>
      <c r="CF309" s="16">
        <f ca="1">_xll.DBRW($D$4,$E$7,$E$8,$E$9,$E$10,$E$12,$D309,$E$6,CF$18,CF$17)</f>
        <v>0.14364327763624204</v>
      </c>
      <c r="CG309" s="16"/>
      <c r="CH309" s="16"/>
      <c r="CI309" s="16"/>
      <c r="CJ309" s="16"/>
      <c r="CK309" s="16">
        <f ca="1">_xll.DBRW($D$4,$E$7,$E$8,$E$9,$E$10,$E$12,$D309,$E$6,CK$18,CK$17)</f>
        <v>-0.27420499999999998</v>
      </c>
      <c r="CL309" s="16">
        <f ca="1">_xll.DBRW($D$4,$E$7,$E$8,$E$9,$E$10,$E$12,$D309,$E$6,CL$18,CL$17)</f>
        <v>4.0354477153409993E-2</v>
      </c>
      <c r="CM309" s="16"/>
      <c r="CN309" s="16"/>
      <c r="CO309" s="16"/>
      <c r="CP309" s="16"/>
      <c r="CQ309" s="16">
        <f ca="1">_xll.DBRW($D$4,$E$7,$E$8,$E$9,$E$10,$E$12,$D309,$E$6,CQ$18,CQ$17)</f>
        <v>7.630925999999999E-2</v>
      </c>
      <c r="CR309" s="16">
        <f ca="1">_xll.DBRW($D$4,$E$7,$E$8,$E$9,$E$10,$E$12,$D309,$E$6,CR$18,CR$17)</f>
        <v>6.0949339999999991E-2</v>
      </c>
      <c r="CS309" s="16">
        <f ca="1">_xll.DBRW($D$4,$E$7,$E$8,$E$9,$E$10,$E$12,$D309,$E$6,CS$18,CS$17)</f>
        <v>2.4091079999999998</v>
      </c>
      <c r="CT309" s="16">
        <f ca="1">_xll.DBRW($D$4,$E$7,$E$8,$E$9,$E$10,$E$12,$D309,$E$6,CT$18,CT$17)</f>
        <v>6.0949339999999991E-2</v>
      </c>
      <c r="CU309" s="16">
        <f ca="1">_xll.DBRW($D$4,$E$7,$E$8,$E$9,$E$10,$E$12,$D309,$E$6,CU$18,CU$17)</f>
        <v>0.93261999999999989</v>
      </c>
      <c r="CV309" s="16">
        <f ca="1">_xll.DBRW($D$4,$E$7,$E$8,$E$9,$E$10,$E$12,$D309,$E$6,CV$18,CV$17)</f>
        <v>6.0949339999999991E-2</v>
      </c>
      <c r="CW309" s="16">
        <f ca="1">_xll.DBRW($D$4,$E$7,$E$8,$E$9,$E$10,$E$12,$D309,$E$6,CW$18,CW$17)</f>
        <v>3.6000000000000008E-5</v>
      </c>
      <c r="CX309" s="16">
        <f ca="1">_xll.DBRW($D$4,$E$7,$E$8,$E$9,$E$10,$E$12,$D309,$E$6,CX$18,CX$17)</f>
        <v>6.0949339999999991E-2</v>
      </c>
      <c r="CY309" s="16">
        <f ca="1">_xll.DBRW($D$4,$E$7,$E$8,$E$9,$E$10,$E$12,$D309,$E$6,CY$18,CY$17)</f>
        <v>6.0949339999999991E-2</v>
      </c>
      <c r="CZ309" s="16">
        <f ca="1">_xll.DBRW($D$4,$E$7,$E$8,$E$9,$E$10,$E$12,$D309,$E$6,CZ$18,CZ$17)</f>
        <v>6.0949339999999991E-2</v>
      </c>
      <c r="DA309" s="26">
        <f t="shared" ca="1" si="165"/>
        <v>-0.33753052000000205</v>
      </c>
      <c r="DB309" s="26">
        <f t="shared" ca="1" si="166"/>
        <v>1.2464620000000148E-2</v>
      </c>
      <c r="DC309" s="26">
        <f t="shared" ca="1" si="167"/>
        <v>0</v>
      </c>
      <c r="DD309" s="26">
        <f t="shared" ca="1" si="168"/>
        <v>0</v>
      </c>
      <c r="DE309" s="26">
        <f t="shared" ca="1" si="169"/>
        <v>0</v>
      </c>
      <c r="DF309" s="26">
        <f t="shared" ca="1" si="170"/>
        <v>0</v>
      </c>
      <c r="DG309" s="26">
        <f t="shared" ca="1" si="171"/>
        <v>0</v>
      </c>
      <c r="DH309" s="26">
        <f t="shared" ca="1" si="172"/>
        <v>-0.34999514000000165</v>
      </c>
      <c r="DI309" s="26">
        <f t="shared" ca="1" si="173"/>
        <v>-0.19884590000000291</v>
      </c>
      <c r="DJ309" s="26">
        <f t="shared" ca="1" si="174"/>
        <v>-1.3792010000000188E-2</v>
      </c>
      <c r="DK309" s="26">
        <f t="shared" ca="1" si="175"/>
        <v>9.9252073257963813E-3</v>
      </c>
      <c r="DL309" s="26"/>
      <c r="DM309" s="26"/>
      <c r="DN309" s="26"/>
      <c r="DO309" s="26"/>
      <c r="DP309" s="26">
        <f t="shared" ca="1" si="176"/>
        <v>-8.2266639999999724E-2</v>
      </c>
      <c r="DQ309" s="26">
        <f t="shared" ca="1" si="177"/>
        <v>1.6459976248061531E-2</v>
      </c>
      <c r="DR309" s="26"/>
      <c r="DS309" s="26"/>
      <c r="DT309" s="26"/>
      <c r="DU309" s="26"/>
      <c r="DV309" s="26">
        <f t="shared" ca="1" si="178"/>
        <v>-9.1704730000000012E-2</v>
      </c>
      <c r="DW309" s="26">
        <f t="shared" ca="1" si="179"/>
        <v>1.7866402284372473E-2</v>
      </c>
      <c r="DX309" s="26"/>
      <c r="DY309" s="26"/>
      <c r="DZ309" s="26"/>
      <c r="EA309" s="26"/>
      <c r="EB309" s="26">
        <f t="shared" ca="1" si="180"/>
        <v>1.6318799999999967E-2</v>
      </c>
      <c r="EC309" s="26">
        <f t="shared" ca="1" si="181"/>
        <v>1.8562704199310831E-3</v>
      </c>
      <c r="ED309" s="26"/>
      <c r="EE309" s="26"/>
      <c r="EF309" s="26"/>
      <c r="EG309" s="26"/>
      <c r="EH309" s="26">
        <f t="shared" ca="1" si="182"/>
        <v>2.0295339999999995E-2</v>
      </c>
      <c r="EI309" s="29">
        <f t="shared" ca="1" si="183"/>
        <v>-1.8603548033675754E-3</v>
      </c>
      <c r="EJ309" s="29"/>
      <c r="EK309" s="29"/>
      <c r="EL309" s="29"/>
      <c r="EM309" s="29"/>
      <c r="EN309" s="93"/>
      <c r="EO309" s="29"/>
      <c r="EP309" s="29"/>
      <c r="EQ309" s="29"/>
      <c r="ER309" s="29"/>
      <c r="ES309" s="29"/>
      <c r="ET309" s="29"/>
      <c r="EU309" s="93"/>
      <c r="EV309" s="29"/>
      <c r="EW309" s="29"/>
      <c r="EX309" s="29"/>
      <c r="EY309" s="29"/>
      <c r="EZ309" s="29"/>
      <c r="FA309" s="29"/>
      <c r="FB309" s="93"/>
      <c r="FC309" s="29"/>
      <c r="FD309" s="29"/>
      <c r="FE309" s="29"/>
      <c r="FF309" s="29"/>
      <c r="FG309" s="29"/>
      <c r="FH309" s="29"/>
      <c r="FI309" s="93"/>
      <c r="FJ309" s="29"/>
      <c r="FK309" s="29"/>
      <c r="FL309" s="29"/>
      <c r="FM309" s="29"/>
      <c r="FN309" s="29"/>
      <c r="FO309" s="29"/>
      <c r="FP309" s="93"/>
      <c r="FQ309" s="29"/>
      <c r="FR309" s="29"/>
      <c r="FS309" s="29"/>
      <c r="FT309" s="29"/>
      <c r="FU309" s="29"/>
      <c r="FV309" s="29"/>
    </row>
    <row r="310" spans="1:178" x14ac:dyDescent="0.25">
      <c r="A310" t="str">
        <f ca="1">IF(_xll.TM1RPTELISCONSOLIDATED($D$28,$D310),IF(_xll.TM1RPTELLEV($D$28,$D310)&lt;=3,_xll.TM1RPTELLEV($D$28,$D310),"D"),"N")</f>
        <v>N</v>
      </c>
      <c r="B310" t="str">
        <f ca="1">_xll.DBRA(Server&amp;"Management_organization",$D310,$B$27)</f>
        <v>L</v>
      </c>
      <c r="C310">
        <v>1</v>
      </c>
      <c r="D310" s="2" t="s">
        <v>261</v>
      </c>
      <c r="E310" s="26"/>
      <c r="F310" s="26"/>
      <c r="G310" s="16">
        <f ca="1">_xll.DBRW($D$4,$E$7,$E$8,$E$9,$E$10,$E$12,$D310,$E$6,G$18,G$17)</f>
        <v>0.56291720999999806</v>
      </c>
      <c r="H310" s="16">
        <f ca="1">_xll.DBRW($D$4,$E$7,$E$8,$E$9,$E$10,$E$12,$D310,$E$6,H$18,H$17)</f>
        <v>-0.92139923999999984</v>
      </c>
      <c r="I310" s="16">
        <f ca="1">_xll.DBRW($D$4,$E$7,$E$8,$E$9,$E$10,$E$12,$D310,$E$6,I$18,I$17)</f>
        <v>0</v>
      </c>
      <c r="J310" s="26">
        <f ca="1">_xll.DBRW($D$4,$E$7,$E$8,$E$9,$E$10,$E$12,$D310,$E$6,J$18,J$17)</f>
        <v>0</v>
      </c>
      <c r="K310" s="26">
        <f ca="1">_xll.DBRW($D$4,$E$7,$E$8,$E$9,$E$10,$E$12,$D310,$E$6,K$18,K$17)</f>
        <v>0</v>
      </c>
      <c r="L310" s="26">
        <f ca="1">_xll.DBRW($D$4,$E$7,$E$8,$E$9,$E$10,$E$12,$D310,$E$6,L$18,L$17)</f>
        <v>0</v>
      </c>
      <c r="M310" s="26">
        <f ca="1">_xll.DBRW($D$4,$E$7,$E$8,$E$9,$E$10,$E$12,$D310,$E$6,M$18,M$17)</f>
        <v>0</v>
      </c>
      <c r="N310" s="16">
        <f ca="1">_xll.DBRW($D$4,$E$7,$E$8,$E$9,$E$10,$E$12,$D310,$E$6,N$18,N$17)</f>
        <v>1.4843164499999979</v>
      </c>
      <c r="O310" s="16">
        <f ca="1">_xll.DBRW($D$4,$E$7,$E$8,$E$9,$E$10,$E$12,$D310,$E$6,O$18,O$17)</f>
        <v>7.6062785499999999</v>
      </c>
      <c r="P310" s="74">
        <f ca="1">_xll.DBRW($D$4,$E$7,$E$8,$E$9,$E$10,$E$12,$D310,$E$6,P$18,P$17)</f>
        <v>-2.4480208200000004</v>
      </c>
      <c r="Q310" s="16">
        <f ca="1">_xll.DBRW($D$4,$E$7,$E$8,$E$9,$E$10,$E$12,$D310,$E$6,Q$18,Q$17)</f>
        <v>0.32184212080952523</v>
      </c>
      <c r="R310" s="16"/>
      <c r="S310" s="16"/>
      <c r="T310" s="16"/>
      <c r="U310" s="16"/>
      <c r="V310" s="16">
        <f ca="1">_xll.DBRW($D$4,$E$7,$E$8,$E$9,$E$10,$E$12,$D310,$E$6,V$18,V$17)</f>
        <v>-1.1450261799999999</v>
      </c>
      <c r="W310" s="16">
        <f ca="1">_xll.DBRW($D$4,$E$7,$E$8,$E$9,$E$10,$E$12,$D310,$E$6,W$18,W$17)</f>
        <v>0.15053697711346634</v>
      </c>
      <c r="X310" s="16"/>
      <c r="Y310" s="16"/>
      <c r="Z310" s="16"/>
      <c r="AA310" s="16"/>
      <c r="AB310" s="16">
        <f ca="1">_xll.DBRW($D$4,$E$7,$E$8,$E$9,$E$10,$E$12,$D310,$E$6,AB$18,AB$17)</f>
        <v>-1.0090723599999998</v>
      </c>
      <c r="AC310" s="16">
        <f ca="1">_xll.DBRW($D$4,$E$7,$E$8,$E$9,$E$10,$E$12,$D310,$E$6,AC$18,AC$17)</f>
        <v>0.13266308265820739</v>
      </c>
      <c r="AD310" s="16"/>
      <c r="AE310" s="16"/>
      <c r="AF310" s="16"/>
      <c r="AG310" s="16"/>
      <c r="AH310" s="16">
        <f ca="1">_xll.DBRW($D$4,$E$7,$E$8,$E$9,$E$10,$E$12,$D310,$E$6,AH$18,AH$17)</f>
        <v>-1.25235235</v>
      </c>
      <c r="AI310" s="16">
        <f ca="1">_xll.DBRW($D$4,$E$7,$E$8,$E$9,$E$10,$E$12,$D310,$E$6,AI$18,AI$17)</f>
        <v>0.16464718479183227</v>
      </c>
      <c r="AJ310" s="16"/>
      <c r="AK310" s="16"/>
      <c r="AL310" s="16"/>
      <c r="AM310" s="16"/>
      <c r="AN310" s="16">
        <f ca="1">_xll.DBRW($D$4,$E$7,$E$8,$E$9,$E$10,$E$12,$D310,$E$6,AN$18,AN$17)</f>
        <v>-0.26749039000000002</v>
      </c>
      <c r="AO310" s="16">
        <f ca="1">_xll.DBRW($D$4,$E$7,$E$8,$E$9,$E$10,$E$12,$D310,$E$6,AO$18,AO$17)</f>
        <v>3.5167051566892725E-2</v>
      </c>
      <c r="AP310" s="16"/>
      <c r="AQ310" s="16"/>
      <c r="AR310" s="16"/>
      <c r="AS310" s="16"/>
      <c r="AT310" s="16">
        <f ca="1">_xll.DBRW($D$4,$E$7,$E$8,$E$9,$E$10,$E$12,$D310,$E$6,AT$18,AT$17)</f>
        <v>9.515171E-2</v>
      </c>
      <c r="AU310" s="16">
        <f ca="1">_xll.DBRW($D$4,$E$7,$E$8,$E$9,$E$10,$E$12,$D310,$E$6,AU$18,AU$17)</f>
        <v>7.4914000000000008E-2</v>
      </c>
      <c r="AV310" s="16">
        <f ca="1">_xll.DBRW($D$4,$E$7,$E$8,$E$9,$E$10,$E$12,$D310,$E$6,AV$18,AV$17)</f>
        <v>2.5241210000000001</v>
      </c>
      <c r="AW310" s="16">
        <f ca="1">_xll.DBRW($D$4,$E$7,$E$8,$E$9,$E$10,$E$12,$D310,$E$6,AW$18,AW$17)</f>
        <v>7.4914000000000008E-2</v>
      </c>
      <c r="AX310" s="16">
        <f ca="1">_xll.DBRW($D$4,$E$7,$E$8,$E$9,$E$10,$E$12,$D310,$E$6,AX$18,AX$17)</f>
        <v>1.1485049999999999</v>
      </c>
      <c r="AY310" s="16">
        <f ca="1">_xll.DBRW($D$4,$E$7,$E$8,$E$9,$E$10,$E$12,$D310,$E$6,AY$18,AY$17)</f>
        <v>7.4914000000000008E-2</v>
      </c>
      <c r="AZ310" s="16">
        <f ca="1">_xll.DBRW($D$4,$E$7,$E$8,$E$9,$E$10,$E$12,$D310,$E$6,AZ$18,AZ$17)</f>
        <v>4.7700000000000007E-5</v>
      </c>
      <c r="BA310" s="16">
        <f ca="1">_xll.DBRW($D$4,$E$7,$E$8,$E$9,$E$10,$E$12,$D310,$E$6,BA$18,BA$17)</f>
        <v>7.4914000000000008E-2</v>
      </c>
      <c r="BB310" s="16">
        <f ca="1">_xll.DBRW($D$4,$E$7,$E$8,$E$9,$E$10,$E$12,$D310,$E$6,BB$18,BB$17)</f>
        <v>7.4914000000000008E-2</v>
      </c>
      <c r="BC310" s="16">
        <f ca="1">_xll.DBRW($D$4,$E$7,$E$8,$E$9,$E$10,$E$12,$D310,$E$6,BC$18,BC$17)</f>
        <v>7.4914000000000008E-2</v>
      </c>
      <c r="BD310" s="16">
        <f ca="1">_xll.DBRW($D$4,$E$7,$E$8,$E$9,$E$10,$E$12,$D310,$E$6,BD$18,BD$17)</f>
        <v>0.77480599999999888</v>
      </c>
      <c r="BE310" s="16">
        <f ca="1">_xll.DBRW($D$4,$E$7,$E$8,$E$9,$E$10,$E$12,$D310,$E$6,BE$18,BE$17)</f>
        <v>-0.94305699999999992</v>
      </c>
      <c r="BF310" s="16">
        <f ca="1">_xll.DBRW($D$4,$E$7,$E$8,$E$9,$E$10,$E$12,$D310,$E$6,BF$18,BF$17)</f>
        <v>0</v>
      </c>
      <c r="BG310" s="26">
        <f ca="1">_xll.DBRW($D$4,$E$7,$E$8,$E$9,$E$10,$E$12,$D310,$E$6,BG$18,BG$17)</f>
        <v>0</v>
      </c>
      <c r="BH310" s="26">
        <f ca="1">_xll.DBRW($D$4,$E$7,$E$8,$E$9,$E$10,$E$12,$D310,$E$6,BH$18,BH$17)</f>
        <v>0</v>
      </c>
      <c r="BI310" s="26">
        <f ca="1">_xll.DBRW($D$4,$E$7,$E$8,$E$9,$E$10,$E$12,$D310,$E$6,BI$18,BI$17)</f>
        <v>0</v>
      </c>
      <c r="BJ310" s="26">
        <f ca="1">_xll.DBRW($D$4,$E$7,$E$8,$E$9,$E$10,$E$12,$D310,$E$6,BJ$18,BJ$17)</f>
        <v>0</v>
      </c>
      <c r="BK310" s="16">
        <f ca="1">_xll.DBRW($D$4,$E$7,$E$8,$E$9,$E$10,$E$12,$D310,$E$6,BK$18,BK$17)</f>
        <v>1.7178629999999988</v>
      </c>
      <c r="BL310" s="16">
        <f ca="1">_xll.DBRW($D$4,$E$7,$E$8,$E$9,$E$10,$E$12,$D310,$E$6,BL$18,BL$17)</f>
        <v>8.130373999999998</v>
      </c>
      <c r="BM310" s="16">
        <f ca="1">_xll.DBRW($D$4,$E$7,$E$8,$E$9,$E$10,$E$12,$D310,$E$6,BM$18,BM$17)</f>
        <v>-2.6410529999999999</v>
      </c>
      <c r="BN310" s="16">
        <f ca="1">_xll.DBRW($D$4,$E$7,$E$8,$E$9,$E$10,$E$12,$D310,$E$6,BN$18,BN$17)</f>
        <v>0.32483782418865365</v>
      </c>
      <c r="BO310" s="16"/>
      <c r="BP310" s="16"/>
      <c r="BQ310" s="16"/>
      <c r="BR310" s="16"/>
      <c r="BS310" s="16">
        <f ca="1">_xll.DBRW($D$4,$E$7,$E$8,$E$9,$E$10,$E$12,$D310,$E$6,BS$18,BS$17)</f>
        <v>-1.060702</v>
      </c>
      <c r="BT310" s="16">
        <f ca="1">_xll.DBRW($D$4,$E$7,$E$8,$E$9,$E$10,$E$12,$D310,$E$6,BT$18,BT$17)</f>
        <v>0.13046164911970842</v>
      </c>
      <c r="BU310" s="16"/>
      <c r="BV310" s="16"/>
      <c r="BW310" s="16"/>
      <c r="BX310" s="16"/>
      <c r="BY310" s="16">
        <f ca="1">_xll.DBRW($D$4,$E$7,$E$8,$E$9,$E$10,$E$12,$D310,$E$6,BY$18,BY$17)</f>
        <v>-0.94217499999999998</v>
      </c>
      <c r="BZ310" s="16">
        <f ca="1">_xll.DBRW($D$4,$E$7,$E$8,$E$9,$E$10,$E$12,$D310,$E$6,BZ$18,BZ$17)</f>
        <v>0.11588335296752648</v>
      </c>
      <c r="CA310" s="16"/>
      <c r="CB310" s="16"/>
      <c r="CC310" s="16"/>
      <c r="CD310" s="16"/>
      <c r="CE310" s="16">
        <f ca="1">_xll.DBRW($D$4,$E$7,$E$8,$E$9,$E$10,$E$12,$D310,$E$6,CE$18,CE$17)</f>
        <v>-1.4761949999999999</v>
      </c>
      <c r="CF310" s="16">
        <f ca="1">_xll.DBRW($D$4,$E$7,$E$8,$E$9,$E$10,$E$12,$D310,$E$6,CF$18,CF$17)</f>
        <v>0.18156544828073104</v>
      </c>
      <c r="CG310" s="16"/>
      <c r="CH310" s="16"/>
      <c r="CI310" s="16"/>
      <c r="CJ310" s="16"/>
      <c r="CK310" s="16">
        <f ca="1">_xll.DBRW($D$4,$E$7,$E$8,$E$9,$E$10,$E$12,$D310,$E$6,CK$18,CK$17)</f>
        <v>-0.29238600000000003</v>
      </c>
      <c r="CL310" s="16">
        <f ca="1">_xll.DBRW($D$4,$E$7,$E$8,$E$9,$E$10,$E$12,$D310,$E$6,CL$18,CL$17)</f>
        <v>3.5962183289477229E-2</v>
      </c>
      <c r="CM310" s="16"/>
      <c r="CN310" s="16"/>
      <c r="CO310" s="16"/>
      <c r="CP310" s="16"/>
      <c r="CQ310" s="16">
        <f ca="1">_xll.DBRW($D$4,$E$7,$E$8,$E$9,$E$10,$E$12,$D310,$E$6,CQ$18,CQ$17)</f>
        <v>0.10419317999999997</v>
      </c>
      <c r="CR310" s="16">
        <f ca="1">_xll.DBRW($D$4,$E$7,$E$8,$E$9,$E$10,$E$12,$D310,$E$6,CR$18,CR$17)</f>
        <v>8.1784049999999997E-2</v>
      </c>
      <c r="CS310" s="16">
        <f ca="1">_xll.DBRW($D$4,$E$7,$E$8,$E$9,$E$10,$E$12,$D310,$E$6,CS$18,CS$17)</f>
        <v>2.8005049999999998</v>
      </c>
      <c r="CT310" s="16">
        <f ca="1">_xll.DBRW($D$4,$E$7,$E$8,$E$9,$E$10,$E$12,$D310,$E$6,CT$18,CT$17)</f>
        <v>8.1784049999999997E-2</v>
      </c>
      <c r="CU310" s="16">
        <f ca="1">_xll.DBRW($D$4,$E$7,$E$8,$E$9,$E$10,$E$12,$D310,$E$6,CU$18,CU$17)</f>
        <v>1.246427</v>
      </c>
      <c r="CV310" s="16">
        <f ca="1">_xll.DBRW($D$4,$E$7,$E$8,$E$9,$E$10,$E$12,$D310,$E$6,CV$18,CV$17)</f>
        <v>8.1784049999999997E-2</v>
      </c>
      <c r="CW310" s="16">
        <f ca="1">_xll.DBRW($D$4,$E$7,$E$8,$E$9,$E$10,$E$12,$D310,$E$6,CW$18,CW$17)</f>
        <v>4.7000000000000004E-5</v>
      </c>
      <c r="CX310" s="16">
        <f ca="1">_xll.DBRW($D$4,$E$7,$E$8,$E$9,$E$10,$E$12,$D310,$E$6,CX$18,CX$17)</f>
        <v>8.1784049999999997E-2</v>
      </c>
      <c r="CY310" s="16">
        <f ca="1">_xll.DBRW($D$4,$E$7,$E$8,$E$9,$E$10,$E$12,$D310,$E$6,CY$18,CY$17)</f>
        <v>8.1784049999999997E-2</v>
      </c>
      <c r="CZ310" s="16">
        <f ca="1">_xll.DBRW($D$4,$E$7,$E$8,$E$9,$E$10,$E$12,$D310,$E$6,CZ$18,CZ$17)</f>
        <v>8.1784049999999997E-2</v>
      </c>
      <c r="DA310" s="26">
        <f t="shared" ca="1" si="165"/>
        <v>-0.21188879000000083</v>
      </c>
      <c r="DB310" s="26">
        <f t="shared" ca="1" si="166"/>
        <v>2.1657760000000081E-2</v>
      </c>
      <c r="DC310" s="26">
        <f t="shared" ca="1" si="167"/>
        <v>0</v>
      </c>
      <c r="DD310" s="26">
        <f t="shared" ca="1" si="168"/>
        <v>0</v>
      </c>
      <c r="DE310" s="26">
        <f t="shared" ca="1" si="169"/>
        <v>0</v>
      </c>
      <c r="DF310" s="26">
        <f t="shared" ca="1" si="170"/>
        <v>0</v>
      </c>
      <c r="DG310" s="26">
        <f t="shared" ca="1" si="171"/>
        <v>0</v>
      </c>
      <c r="DH310" s="26">
        <f t="shared" ca="1" si="172"/>
        <v>-0.23354655000000091</v>
      </c>
      <c r="DI310" s="26">
        <f t="shared" ca="1" si="173"/>
        <v>-0.52409544999999813</v>
      </c>
      <c r="DJ310" s="26">
        <f t="shared" ca="1" si="174"/>
        <v>0.19303217999999944</v>
      </c>
      <c r="DK310" s="26">
        <f t="shared" ca="1" si="175"/>
        <v>-2.9957033791284116E-3</v>
      </c>
      <c r="DL310" s="26"/>
      <c r="DM310" s="26"/>
      <c r="DN310" s="26"/>
      <c r="DO310" s="26"/>
      <c r="DP310" s="26">
        <f t="shared" ca="1" si="176"/>
        <v>-8.432417999999986E-2</v>
      </c>
      <c r="DQ310" s="26">
        <f t="shared" ca="1" si="177"/>
        <v>2.0075327993757913E-2</v>
      </c>
      <c r="DR310" s="26"/>
      <c r="DS310" s="26"/>
      <c r="DT310" s="26"/>
      <c r="DU310" s="26"/>
      <c r="DV310" s="26">
        <f t="shared" ca="1" si="178"/>
        <v>-6.6897359999999795E-2</v>
      </c>
      <c r="DW310" s="26">
        <f t="shared" ca="1" si="179"/>
        <v>1.6779729690680908E-2</v>
      </c>
      <c r="DX310" s="26"/>
      <c r="DY310" s="26"/>
      <c r="DZ310" s="26"/>
      <c r="EA310" s="26"/>
      <c r="EB310" s="26">
        <f t="shared" ca="1" si="180"/>
        <v>0.22384264999999992</v>
      </c>
      <c r="EC310" s="26">
        <f t="shared" ca="1" si="181"/>
        <v>-1.6918263488898772E-2</v>
      </c>
      <c r="ED310" s="26"/>
      <c r="EE310" s="26"/>
      <c r="EF310" s="26"/>
      <c r="EG310" s="26"/>
      <c r="EH310" s="26">
        <f t="shared" ca="1" si="182"/>
        <v>2.4895610000000012E-2</v>
      </c>
      <c r="EI310" s="29">
        <f t="shared" ca="1" si="183"/>
        <v>-7.9513172258450365E-4</v>
      </c>
      <c r="EJ310" s="29"/>
      <c r="EK310" s="29"/>
      <c r="EL310" s="29"/>
      <c r="EM310" s="29"/>
      <c r="EN310" s="93"/>
      <c r="EO310" s="29"/>
      <c r="EP310" s="29"/>
      <c r="EQ310" s="29"/>
      <c r="ER310" s="29"/>
      <c r="ES310" s="29"/>
      <c r="ET310" s="29"/>
      <c r="EU310" s="93"/>
      <c r="EV310" s="29"/>
      <c r="EW310" s="29"/>
      <c r="EX310" s="29"/>
      <c r="EY310" s="29"/>
      <c r="EZ310" s="29"/>
      <c r="FA310" s="29"/>
      <c r="FB310" s="93"/>
      <c r="FC310" s="29"/>
      <c r="FD310" s="29"/>
      <c r="FE310" s="29"/>
      <c r="FF310" s="29"/>
      <c r="FG310" s="29"/>
      <c r="FH310" s="29"/>
      <c r="FI310" s="93"/>
      <c r="FJ310" s="29"/>
      <c r="FK310" s="29"/>
      <c r="FL310" s="29"/>
      <c r="FM310" s="29"/>
      <c r="FN310" s="29"/>
      <c r="FO310" s="29"/>
      <c r="FP310" s="93"/>
      <c r="FQ310" s="29"/>
      <c r="FR310" s="29"/>
      <c r="FS310" s="29"/>
      <c r="FT310" s="29"/>
      <c r="FU310" s="29"/>
      <c r="FV310" s="29"/>
    </row>
    <row r="311" spans="1:178" x14ac:dyDescent="0.25">
      <c r="A311" t="str">
        <f ca="1">IF(_xll.TM1RPTELISCONSOLIDATED($D$28,$D311),IF(_xll.TM1RPTELLEV($D$28,$D311)&lt;=3,_xll.TM1RPTELLEV($D$28,$D311),"D"),"N")</f>
        <v>N</v>
      </c>
      <c r="B311" t="str">
        <f ca="1">_xll.DBRA(Server&amp;"Management_organization",$D311,$B$27)</f>
        <v>L</v>
      </c>
      <c r="C311">
        <v>1</v>
      </c>
      <c r="D311" s="2" t="s">
        <v>279</v>
      </c>
      <c r="E311" s="26"/>
      <c r="F311" s="26"/>
      <c r="G311" s="16">
        <f ca="1">_xll.DBRW($D$4,$E$7,$E$8,$E$9,$E$10,$E$12,$D311,$E$6,G$18,G$17)</f>
        <v>-8.3293809999999496E-2</v>
      </c>
      <c r="H311" s="16">
        <f ca="1">_xll.DBRW($D$4,$E$7,$E$8,$E$9,$E$10,$E$12,$D311,$E$6,H$18,H$17)</f>
        <v>-0.22801264999999998</v>
      </c>
      <c r="I311" s="16">
        <f ca="1">_xll.DBRW($D$4,$E$7,$E$8,$E$9,$E$10,$E$12,$D311,$E$6,I$18,I$17)</f>
        <v>0</v>
      </c>
      <c r="J311" s="26">
        <f ca="1">_xll.DBRW($D$4,$E$7,$E$8,$E$9,$E$10,$E$12,$D311,$E$6,J$18,J$17)</f>
        <v>0</v>
      </c>
      <c r="K311" s="26">
        <f ca="1">_xll.DBRW($D$4,$E$7,$E$8,$E$9,$E$10,$E$12,$D311,$E$6,K$18,K$17)</f>
        <v>0</v>
      </c>
      <c r="L311" s="26">
        <f ca="1">_xll.DBRW($D$4,$E$7,$E$8,$E$9,$E$10,$E$12,$D311,$E$6,L$18,L$17)</f>
        <v>0</v>
      </c>
      <c r="M311" s="26">
        <f ca="1">_xll.DBRW($D$4,$E$7,$E$8,$E$9,$E$10,$E$12,$D311,$E$6,M$18,M$17)</f>
        <v>0</v>
      </c>
      <c r="N311" s="16">
        <f ca="1">_xll.DBRW($D$4,$E$7,$E$8,$E$9,$E$10,$E$12,$D311,$E$6,N$18,N$17)</f>
        <v>0.14471884000000049</v>
      </c>
      <c r="O311" s="16">
        <f ca="1">_xll.DBRW($D$4,$E$7,$E$8,$E$9,$E$10,$E$12,$D311,$E$6,O$18,O$17)</f>
        <v>1.8698538200000003</v>
      </c>
      <c r="P311" s="74">
        <f ca="1">_xll.DBRW($D$4,$E$7,$E$8,$E$9,$E$10,$E$12,$D311,$E$6,P$18,P$17)</f>
        <v>-0.86494276999999997</v>
      </c>
      <c r="Q311" s="16">
        <f ca="1">_xll.DBRW($D$4,$E$7,$E$8,$E$9,$E$10,$E$12,$D311,$E$6,Q$18,Q$17)</f>
        <v>0.46257240044572029</v>
      </c>
      <c r="R311" s="16"/>
      <c r="S311" s="16"/>
      <c r="T311" s="16"/>
      <c r="U311" s="16"/>
      <c r="V311" s="16">
        <f ca="1">_xll.DBRW($D$4,$E$7,$E$8,$E$9,$E$10,$E$12,$D311,$E$6,V$18,V$17)</f>
        <v>-0.32659739999999998</v>
      </c>
      <c r="W311" s="16">
        <f ca="1">_xll.DBRW($D$4,$E$7,$E$8,$E$9,$E$10,$E$12,$D311,$E$6,W$18,W$17)</f>
        <v>0.1746646697761646</v>
      </c>
      <c r="X311" s="16"/>
      <c r="Y311" s="16"/>
      <c r="Z311" s="16"/>
      <c r="AA311" s="16"/>
      <c r="AB311" s="16">
        <f ca="1">_xll.DBRW($D$4,$E$7,$E$8,$E$9,$E$10,$E$12,$D311,$E$6,AB$18,AB$17)</f>
        <v>-0.23291248999999997</v>
      </c>
      <c r="AC311" s="16">
        <f ca="1">_xll.DBRW($D$4,$E$7,$E$8,$E$9,$E$10,$E$12,$D311,$E$6,AC$18,AC$17)</f>
        <v>0.12456187083116473</v>
      </c>
      <c r="AD311" s="16"/>
      <c r="AE311" s="16"/>
      <c r="AF311" s="16"/>
      <c r="AG311" s="16"/>
      <c r="AH311" s="16">
        <f ca="1">_xll.DBRW($D$4,$E$7,$E$8,$E$9,$E$10,$E$12,$D311,$E$6,AH$18,AH$17)</f>
        <v>-0.24199009999999999</v>
      </c>
      <c r="AI311" s="16">
        <f ca="1">_xll.DBRW($D$4,$E$7,$E$8,$E$9,$E$10,$E$12,$D311,$E$6,AI$18,AI$17)</f>
        <v>0.12941658722819302</v>
      </c>
      <c r="AJ311" s="16"/>
      <c r="AK311" s="16"/>
      <c r="AL311" s="16"/>
      <c r="AM311" s="16"/>
      <c r="AN311" s="16">
        <f ca="1">_xll.DBRW($D$4,$E$7,$E$8,$E$9,$E$10,$E$12,$D311,$E$6,AN$18,AN$17)</f>
        <v>-5.8692220000000003E-2</v>
      </c>
      <c r="AO311" s="16">
        <f ca="1">_xll.DBRW($D$4,$E$7,$E$8,$E$9,$E$10,$E$12,$D311,$E$6,AO$18,AO$17)</f>
        <v>3.1388667591138217E-2</v>
      </c>
      <c r="AP311" s="16"/>
      <c r="AQ311" s="16"/>
      <c r="AR311" s="16"/>
      <c r="AS311" s="16"/>
      <c r="AT311" s="16">
        <f ca="1">_xll.DBRW($D$4,$E$7,$E$8,$E$9,$E$10,$E$12,$D311,$E$6,AT$18,AT$17)</f>
        <v>3.7482370000000001E-2</v>
      </c>
      <c r="AU311" s="16">
        <f ca="1">_xll.DBRW($D$4,$E$7,$E$8,$E$9,$E$10,$E$12,$D311,$E$6,AU$18,AU$17)</f>
        <v>0.58060899999999993</v>
      </c>
      <c r="AV311" s="16">
        <f ca="1">_xll.DBRW($D$4,$E$7,$E$8,$E$9,$E$10,$E$12,$D311,$E$6,AV$18,AV$17)</f>
        <v>0.58060899999999993</v>
      </c>
      <c r="AW311" s="16">
        <f ca="1">_xll.DBRW($D$4,$E$7,$E$8,$E$9,$E$10,$E$12,$D311,$E$6,AW$18,AW$17)</f>
        <v>0.58060899999999993</v>
      </c>
      <c r="AX311" s="16">
        <f ca="1">_xll.DBRW($D$4,$E$7,$E$8,$E$9,$E$10,$E$12,$D311,$E$6,AX$18,AX$17)</f>
        <v>0.21273199999999998</v>
      </c>
      <c r="AY311" s="16">
        <f ca="1">_xll.DBRW($D$4,$E$7,$E$8,$E$9,$E$10,$E$12,$D311,$E$6,AY$18,AY$17)</f>
        <v>0.58060899999999993</v>
      </c>
      <c r="AZ311" s="16">
        <f ca="1">_xll.DBRW($D$4,$E$7,$E$8,$E$9,$E$10,$E$12,$D311,$E$6,AZ$18,AZ$17)</f>
        <v>4.0200000000000008E-5</v>
      </c>
      <c r="BA311" s="16">
        <f ca="1">_xll.DBRW($D$4,$E$7,$E$8,$E$9,$E$10,$E$12,$D311,$E$6,BA$18,BA$17)</f>
        <v>0.58060899999999993</v>
      </c>
      <c r="BB311" s="16">
        <f ca="1">_xll.DBRW($D$4,$E$7,$E$8,$E$9,$E$10,$E$12,$D311,$E$6,BB$18,BB$17)</f>
        <v>0.58060899999999993</v>
      </c>
      <c r="BC311" s="16">
        <f ca="1">_xll.DBRW($D$4,$E$7,$E$8,$E$9,$E$10,$E$12,$D311,$E$6,BC$18,BC$17)</f>
        <v>0.58060899999999993</v>
      </c>
      <c r="BD311" s="16">
        <f ca="1">_xll.DBRW($D$4,$E$7,$E$8,$E$9,$E$10,$E$12,$D311,$E$6,BD$18,BD$17)</f>
        <v>1.3706000000000277E-2</v>
      </c>
      <c r="BE311" s="16">
        <f ca="1">_xll.DBRW($D$4,$E$7,$E$8,$E$9,$E$10,$E$12,$D311,$E$6,BE$18,BE$17)</f>
        <v>-0.22694</v>
      </c>
      <c r="BF311" s="16">
        <f ca="1">_xll.DBRW($D$4,$E$7,$E$8,$E$9,$E$10,$E$12,$D311,$E$6,BF$18,BF$17)</f>
        <v>0</v>
      </c>
      <c r="BG311" s="26">
        <f ca="1">_xll.DBRW($D$4,$E$7,$E$8,$E$9,$E$10,$E$12,$D311,$E$6,BG$18,BG$17)</f>
        <v>0</v>
      </c>
      <c r="BH311" s="26">
        <f ca="1">_xll.DBRW($D$4,$E$7,$E$8,$E$9,$E$10,$E$12,$D311,$E$6,BH$18,BH$17)</f>
        <v>0</v>
      </c>
      <c r="BI311" s="26">
        <f ca="1">_xll.DBRW($D$4,$E$7,$E$8,$E$9,$E$10,$E$12,$D311,$E$6,BI$18,BI$17)</f>
        <v>0</v>
      </c>
      <c r="BJ311" s="26">
        <f ca="1">_xll.DBRW($D$4,$E$7,$E$8,$E$9,$E$10,$E$12,$D311,$E$6,BJ$18,BJ$17)</f>
        <v>0</v>
      </c>
      <c r="BK311" s="16">
        <f ca="1">_xll.DBRW($D$4,$E$7,$E$8,$E$9,$E$10,$E$12,$D311,$E$6,BK$18,BK$17)</f>
        <v>0.24064600000000025</v>
      </c>
      <c r="BL311" s="16">
        <f ca="1">_xll.DBRW($D$4,$E$7,$E$8,$E$9,$E$10,$E$12,$D311,$E$6,BL$18,BL$17)</f>
        <v>1.9822900000000001</v>
      </c>
      <c r="BM311" s="16">
        <f ca="1">_xll.DBRW($D$4,$E$7,$E$8,$E$9,$E$10,$E$12,$D311,$E$6,BM$18,BM$17)</f>
        <v>-0.86691200000000002</v>
      </c>
      <c r="BN311" s="16">
        <f ca="1">_xll.DBRW($D$4,$E$7,$E$8,$E$9,$E$10,$E$12,$D311,$E$6,BN$18,BN$17)</f>
        <v>0.43732854425941714</v>
      </c>
      <c r="BO311" s="16"/>
      <c r="BP311" s="16"/>
      <c r="BQ311" s="16"/>
      <c r="BR311" s="16"/>
      <c r="BS311" s="16">
        <f ca="1">_xll.DBRW($D$4,$E$7,$E$8,$E$9,$E$10,$E$12,$D311,$E$6,BS$18,BS$17)</f>
        <v>-0.31568300000000005</v>
      </c>
      <c r="BT311" s="16">
        <f ca="1">_xll.DBRW($D$4,$E$7,$E$8,$E$9,$E$10,$E$12,$D311,$E$6,BT$18,BT$17)</f>
        <v>0.15925167356945757</v>
      </c>
      <c r="BU311" s="16"/>
      <c r="BV311" s="16"/>
      <c r="BW311" s="16"/>
      <c r="BX311" s="16"/>
      <c r="BY311" s="16">
        <f ca="1">_xll.DBRW($D$4,$E$7,$E$8,$E$9,$E$10,$E$12,$D311,$E$6,BY$18,BY$17)</f>
        <v>-0.22758799999999998</v>
      </c>
      <c r="BZ311" s="16">
        <f ca="1">_xll.DBRW($D$4,$E$7,$E$8,$E$9,$E$10,$E$12,$D311,$E$6,BZ$18,BZ$17)</f>
        <v>0.11481064829061337</v>
      </c>
      <c r="CA311" s="16"/>
      <c r="CB311" s="16"/>
      <c r="CC311" s="16"/>
      <c r="CD311" s="16"/>
      <c r="CE311" s="16">
        <f ca="1">_xll.DBRW($D$4,$E$7,$E$8,$E$9,$E$10,$E$12,$D311,$E$6,CE$18,CE$17)</f>
        <v>-0.27218499999999995</v>
      </c>
      <c r="CF311" s="16">
        <f ca="1">_xll.DBRW($D$4,$E$7,$E$8,$E$9,$E$10,$E$12,$D311,$E$6,CF$18,CF$17)</f>
        <v>0.13730836557718595</v>
      </c>
      <c r="CG311" s="16"/>
      <c r="CH311" s="16"/>
      <c r="CI311" s="16"/>
      <c r="CJ311" s="16"/>
      <c r="CK311" s="16">
        <f ca="1">_xll.DBRW($D$4,$E$7,$E$8,$E$9,$E$10,$E$12,$D311,$E$6,CK$18,CK$17)</f>
        <v>-5.9275999999999995E-2</v>
      </c>
      <c r="CL311" s="16">
        <f ca="1">_xll.DBRW($D$4,$E$7,$E$8,$E$9,$E$10,$E$12,$D311,$E$6,CL$18,CL$17)</f>
        <v>2.9902789198351397E-2</v>
      </c>
      <c r="CM311" s="16"/>
      <c r="CN311" s="16"/>
      <c r="CO311" s="16"/>
      <c r="CP311" s="16"/>
      <c r="CQ311" s="16">
        <f ca="1">_xll.DBRW($D$4,$E$7,$E$8,$E$9,$E$10,$E$12,$D311,$E$6,CQ$18,CQ$17)</f>
        <v>3.8145079999999998E-2</v>
      </c>
      <c r="CR311" s="16">
        <f ca="1">_xll.DBRW($D$4,$E$7,$E$8,$E$9,$E$10,$E$12,$D311,$E$6,CR$18,CR$17)</f>
        <v>0.62983199999999995</v>
      </c>
      <c r="CS311" s="16">
        <f ca="1">_xll.DBRW($D$4,$E$7,$E$8,$E$9,$E$10,$E$12,$D311,$E$6,CS$18,CS$17)</f>
        <v>0.62983199999999995</v>
      </c>
      <c r="CT311" s="16">
        <f ca="1">_xll.DBRW($D$4,$E$7,$E$8,$E$9,$E$10,$E$12,$D311,$E$6,CT$18,CT$17)</f>
        <v>0.62983199999999995</v>
      </c>
      <c r="CU311" s="16">
        <f ca="1">_xll.DBRW($D$4,$E$7,$E$8,$E$9,$E$10,$E$12,$D311,$E$6,CU$18,CU$17)</f>
        <v>0.23758899999999999</v>
      </c>
      <c r="CV311" s="16">
        <f ca="1">_xll.DBRW($D$4,$E$7,$E$8,$E$9,$E$10,$E$12,$D311,$E$6,CV$18,CV$17)</f>
        <v>0.62983199999999995</v>
      </c>
      <c r="CW311" s="16">
        <f ca="1">_xll.DBRW($D$4,$E$7,$E$8,$E$9,$E$10,$E$12,$D311,$E$6,CW$18,CW$17)</f>
        <v>4.1E-5</v>
      </c>
      <c r="CX311" s="16">
        <f ca="1">_xll.DBRW($D$4,$E$7,$E$8,$E$9,$E$10,$E$12,$D311,$E$6,CX$18,CX$17)</f>
        <v>0.62983199999999995</v>
      </c>
      <c r="CY311" s="16">
        <f ca="1">_xll.DBRW($D$4,$E$7,$E$8,$E$9,$E$10,$E$12,$D311,$E$6,CY$18,CY$17)</f>
        <v>0.62983199999999995</v>
      </c>
      <c r="CZ311" s="16">
        <f ca="1">_xll.DBRW($D$4,$E$7,$E$8,$E$9,$E$10,$E$12,$D311,$E$6,CZ$18,CZ$17)</f>
        <v>0.62983199999999995</v>
      </c>
      <c r="DA311" s="26">
        <f t="shared" ca="1" si="165"/>
        <v>-9.699980999999977E-2</v>
      </c>
      <c r="DB311" s="26">
        <f t="shared" ca="1" si="166"/>
        <v>-1.0726499999999806E-3</v>
      </c>
      <c r="DC311" s="26">
        <f t="shared" ca="1" si="167"/>
        <v>0</v>
      </c>
      <c r="DD311" s="26">
        <f t="shared" ca="1" si="168"/>
        <v>0</v>
      </c>
      <c r="DE311" s="26">
        <f t="shared" ca="1" si="169"/>
        <v>0</v>
      </c>
      <c r="DF311" s="26">
        <f t="shared" ca="1" si="170"/>
        <v>0</v>
      </c>
      <c r="DG311" s="26">
        <f t="shared" ca="1" si="171"/>
        <v>0</v>
      </c>
      <c r="DH311" s="26">
        <f t="shared" ca="1" si="172"/>
        <v>-9.5927159999999762E-2</v>
      </c>
      <c r="DI311" s="26">
        <f t="shared" ca="1" si="173"/>
        <v>-0.11243617999999977</v>
      </c>
      <c r="DJ311" s="26">
        <f t="shared" ca="1" si="174"/>
        <v>1.969230000000044E-3</v>
      </c>
      <c r="DK311" s="26">
        <f t="shared" ca="1" si="175"/>
        <v>2.5243856186303149E-2</v>
      </c>
      <c r="DL311" s="26"/>
      <c r="DM311" s="26"/>
      <c r="DN311" s="26"/>
      <c r="DO311" s="26"/>
      <c r="DP311" s="26">
        <f t="shared" ca="1" si="176"/>
        <v>-1.0914399999999935E-2</v>
      </c>
      <c r="DQ311" s="26">
        <f t="shared" ca="1" si="177"/>
        <v>1.5412996206707025E-2</v>
      </c>
      <c r="DR311" s="26"/>
      <c r="DS311" s="26"/>
      <c r="DT311" s="26"/>
      <c r="DU311" s="26"/>
      <c r="DV311" s="26">
        <f t="shared" ca="1" si="178"/>
        <v>-5.3244899999999873E-3</v>
      </c>
      <c r="DW311" s="26">
        <f t="shared" ca="1" si="179"/>
        <v>9.7512225405513575E-3</v>
      </c>
      <c r="DX311" s="26"/>
      <c r="DY311" s="26"/>
      <c r="DZ311" s="26"/>
      <c r="EA311" s="26"/>
      <c r="EB311" s="26">
        <f t="shared" ca="1" si="180"/>
        <v>3.0194899999999969E-2</v>
      </c>
      <c r="EC311" s="26">
        <f t="shared" ca="1" si="181"/>
        <v>-7.8917783489929338E-3</v>
      </c>
      <c r="ED311" s="26"/>
      <c r="EE311" s="26"/>
      <c r="EF311" s="26"/>
      <c r="EG311" s="26"/>
      <c r="EH311" s="26">
        <f t="shared" ca="1" si="182"/>
        <v>5.8377999999999208E-4</v>
      </c>
      <c r="EI311" s="29">
        <f t="shared" ca="1" si="183"/>
        <v>1.4858783927868199E-3</v>
      </c>
      <c r="EJ311" s="29"/>
      <c r="EK311" s="29"/>
      <c r="EL311" s="29"/>
      <c r="EM311" s="29"/>
      <c r="EN311" s="93"/>
      <c r="EO311" s="29"/>
      <c r="EP311" s="29"/>
      <c r="EQ311" s="29"/>
      <c r="ER311" s="29"/>
      <c r="ES311" s="29"/>
      <c r="ET311" s="29"/>
      <c r="EU311" s="93"/>
      <c r="EV311" s="29"/>
      <c r="EW311" s="29"/>
      <c r="EX311" s="29"/>
      <c r="EY311" s="29"/>
      <c r="EZ311" s="29"/>
      <c r="FA311" s="29"/>
      <c r="FB311" s="93"/>
      <c r="FC311" s="29"/>
      <c r="FD311" s="29"/>
      <c r="FE311" s="29"/>
      <c r="FF311" s="29"/>
      <c r="FG311" s="29"/>
      <c r="FH311" s="29"/>
      <c r="FI311" s="93"/>
      <c r="FJ311" s="29"/>
      <c r="FK311" s="29"/>
      <c r="FL311" s="29"/>
      <c r="FM311" s="29"/>
      <c r="FN311" s="29"/>
      <c r="FO311" s="29"/>
      <c r="FP311" s="93"/>
      <c r="FQ311" s="29"/>
      <c r="FR311" s="29"/>
      <c r="FS311" s="29"/>
      <c r="FT311" s="29"/>
      <c r="FU311" s="29"/>
      <c r="FV311" s="29"/>
    </row>
    <row r="312" spans="1:178" x14ac:dyDescent="0.25">
      <c r="A312" t="str">
        <f ca="1">IF(_xll.TM1RPTELISCONSOLIDATED($D$28,$D312),IF(_xll.TM1RPTELLEV($D$28,$D312)&lt;=3,_xll.TM1RPTELLEV($D$28,$D312),"D"),"N")</f>
        <v>N</v>
      </c>
      <c r="B312" t="str">
        <f ca="1">_xll.DBRA(Server&amp;"Management_organization",$D312,$B$27)</f>
        <v>L</v>
      </c>
      <c r="C312">
        <v>1</v>
      </c>
      <c r="D312" s="2" t="s">
        <v>262</v>
      </c>
      <c r="E312" s="26"/>
      <c r="F312" s="26"/>
      <c r="G312" s="16">
        <f ca="1">_xll.DBRW($D$4,$E$7,$E$8,$E$9,$E$10,$E$12,$D312,$E$6,G$18,G$17)</f>
        <v>-0.93432247000000013</v>
      </c>
      <c r="H312" s="16">
        <f ca="1">_xll.DBRW($D$4,$E$7,$E$8,$E$9,$E$10,$E$12,$D312,$E$6,H$18,H$17)</f>
        <v>-0.45058670999999995</v>
      </c>
      <c r="I312" s="16">
        <f ca="1">_xll.DBRW($D$4,$E$7,$E$8,$E$9,$E$10,$E$12,$D312,$E$6,I$18,I$17)</f>
        <v>0</v>
      </c>
      <c r="J312" s="26">
        <f ca="1">_xll.DBRW($D$4,$E$7,$E$8,$E$9,$E$10,$E$12,$D312,$E$6,J$18,J$17)</f>
        <v>0</v>
      </c>
      <c r="K312" s="26">
        <f ca="1">_xll.DBRW($D$4,$E$7,$E$8,$E$9,$E$10,$E$12,$D312,$E$6,K$18,K$17)</f>
        <v>0</v>
      </c>
      <c r="L312" s="26">
        <f ca="1">_xll.DBRW($D$4,$E$7,$E$8,$E$9,$E$10,$E$12,$D312,$E$6,L$18,L$17)</f>
        <v>0</v>
      </c>
      <c r="M312" s="26">
        <f ca="1">_xll.DBRW($D$4,$E$7,$E$8,$E$9,$E$10,$E$12,$D312,$E$6,M$18,M$17)</f>
        <v>0</v>
      </c>
      <c r="N312" s="16">
        <f ca="1">_xll.DBRW($D$4,$E$7,$E$8,$E$9,$E$10,$E$12,$D312,$E$6,N$18,N$17)</f>
        <v>-0.48373576000000029</v>
      </c>
      <c r="O312" s="16">
        <f ca="1">_xll.DBRW($D$4,$E$7,$E$8,$E$9,$E$10,$E$12,$D312,$E$6,O$18,O$17)</f>
        <v>3.44164804</v>
      </c>
      <c r="P312" s="74">
        <f ca="1">_xll.DBRW($D$4,$E$7,$E$8,$E$9,$E$10,$E$12,$D312,$E$6,P$18,P$17)</f>
        <v>-1.2126655200000001</v>
      </c>
      <c r="Q312" s="16">
        <f ca="1">_xll.DBRW($D$4,$E$7,$E$8,$E$9,$E$10,$E$12,$D312,$E$6,Q$18,Q$17)</f>
        <v>0.35235024206600746</v>
      </c>
      <c r="R312" s="16"/>
      <c r="S312" s="16"/>
      <c r="T312" s="16"/>
      <c r="U312" s="16"/>
      <c r="V312" s="16">
        <f ca="1">_xll.DBRW($D$4,$E$7,$E$8,$E$9,$E$10,$E$12,$D312,$E$6,V$18,V$17)</f>
        <v>-0.77659277999999987</v>
      </c>
      <c r="W312" s="16">
        <f ca="1">_xll.DBRW($D$4,$E$7,$E$8,$E$9,$E$10,$E$12,$D312,$E$6,W$18,W$17)</f>
        <v>0.22564561250138751</v>
      </c>
      <c r="X312" s="16"/>
      <c r="Y312" s="16"/>
      <c r="Z312" s="16"/>
      <c r="AA312" s="16"/>
      <c r="AB312" s="16">
        <f ca="1">_xll.DBRW($D$4,$E$7,$E$8,$E$9,$E$10,$E$12,$D312,$E$6,AB$18,AB$17)</f>
        <v>-0.63594008000000002</v>
      </c>
      <c r="AC312" s="16">
        <f ca="1">_xll.DBRW($D$4,$E$7,$E$8,$E$9,$E$10,$E$12,$D312,$E$6,AC$18,AC$17)</f>
        <v>0.1847777787295182</v>
      </c>
      <c r="AD312" s="16"/>
      <c r="AE312" s="16"/>
      <c r="AF312" s="16"/>
      <c r="AG312" s="16"/>
      <c r="AH312" s="16">
        <f ca="1">_xll.DBRW($D$4,$E$7,$E$8,$E$9,$E$10,$E$12,$D312,$E$6,AH$18,AH$17)</f>
        <v>-0.99881777999999999</v>
      </c>
      <c r="AI312" s="16">
        <f ca="1">_xll.DBRW($D$4,$E$7,$E$8,$E$9,$E$10,$E$12,$D312,$E$6,AI$18,AI$17)</f>
        <v>0.29021496922154771</v>
      </c>
      <c r="AJ312" s="16"/>
      <c r="AK312" s="16"/>
      <c r="AL312" s="16"/>
      <c r="AM312" s="16"/>
      <c r="AN312" s="16">
        <f ca="1">_xll.DBRW($D$4,$E$7,$E$8,$E$9,$E$10,$E$12,$D312,$E$6,AN$18,AN$17)</f>
        <v>-0.30136763999999999</v>
      </c>
      <c r="AO312" s="16">
        <f ca="1">_xll.DBRW($D$4,$E$7,$E$8,$E$9,$E$10,$E$12,$D312,$E$6,AO$18,AO$17)</f>
        <v>8.7564921368310511E-2</v>
      </c>
      <c r="AP312" s="16"/>
      <c r="AQ312" s="16"/>
      <c r="AR312" s="16"/>
      <c r="AS312" s="16"/>
      <c r="AT312" s="16">
        <f ca="1">_xll.DBRW($D$4,$E$7,$E$8,$E$9,$E$10,$E$12,$D312,$E$6,AT$18,AT$17)</f>
        <v>4.9452790000000003E-2</v>
      </c>
      <c r="AU312" s="16">
        <f ca="1">_xll.DBRW($D$4,$E$7,$E$8,$E$9,$E$10,$E$12,$D312,$E$6,AU$18,AU$17)</f>
        <v>3.896427999999999E-2</v>
      </c>
      <c r="AV312" s="16">
        <f ca="1">_xll.DBRW($D$4,$E$7,$E$8,$E$9,$E$10,$E$12,$D312,$E$6,AV$18,AV$17)</f>
        <v>1.348824</v>
      </c>
      <c r="AW312" s="16">
        <f ca="1">_xll.DBRW($D$4,$E$7,$E$8,$E$9,$E$10,$E$12,$D312,$E$6,AW$18,AW$17)</f>
        <v>3.896427999999999E-2</v>
      </c>
      <c r="AX312" s="16">
        <f ca="1">_xll.DBRW($D$4,$E$7,$E$8,$E$9,$E$10,$E$12,$D312,$E$6,AX$18,AX$17)</f>
        <v>0.58742782000000004</v>
      </c>
      <c r="AY312" s="16">
        <f ca="1">_xll.DBRW($D$4,$E$7,$E$8,$E$9,$E$10,$E$12,$D312,$E$6,AY$18,AY$17)</f>
        <v>3.896427999999999E-2</v>
      </c>
      <c r="AZ312" s="16">
        <f ca="1">_xll.DBRW($D$4,$E$7,$E$8,$E$9,$E$10,$E$12,$D312,$E$6,AZ$18,AZ$17)</f>
        <v>3.7299999999999999E-5</v>
      </c>
      <c r="BA312" s="16">
        <f ca="1">_xll.DBRW($D$4,$E$7,$E$8,$E$9,$E$10,$E$12,$D312,$E$6,BA$18,BA$17)</f>
        <v>3.896427999999999E-2</v>
      </c>
      <c r="BB312" s="16">
        <f ca="1">_xll.DBRW($D$4,$E$7,$E$8,$E$9,$E$10,$E$12,$D312,$E$6,BB$18,BB$17)</f>
        <v>3.896427999999999E-2</v>
      </c>
      <c r="BC312" s="16">
        <f ca="1">_xll.DBRW($D$4,$E$7,$E$8,$E$9,$E$10,$E$12,$D312,$E$6,BC$18,BC$17)</f>
        <v>3.896427999999999E-2</v>
      </c>
      <c r="BD312" s="16">
        <f ca="1">_xll.DBRW($D$4,$E$7,$E$8,$E$9,$E$10,$E$12,$D312,$E$6,BD$18,BD$17)</f>
        <v>-0.48007000000000061</v>
      </c>
      <c r="BE312" s="16">
        <f ca="1">_xll.DBRW($D$4,$E$7,$E$8,$E$9,$E$10,$E$12,$D312,$E$6,BE$18,BE$17)</f>
        <v>-0.44980599999999998</v>
      </c>
      <c r="BF312" s="16">
        <f ca="1">_xll.DBRW($D$4,$E$7,$E$8,$E$9,$E$10,$E$12,$D312,$E$6,BF$18,BF$17)</f>
        <v>0</v>
      </c>
      <c r="BG312" s="26">
        <f ca="1">_xll.DBRW($D$4,$E$7,$E$8,$E$9,$E$10,$E$12,$D312,$E$6,BG$18,BG$17)</f>
        <v>0</v>
      </c>
      <c r="BH312" s="26">
        <f ca="1">_xll.DBRW($D$4,$E$7,$E$8,$E$9,$E$10,$E$12,$D312,$E$6,BH$18,BH$17)</f>
        <v>0</v>
      </c>
      <c r="BI312" s="26">
        <f ca="1">_xll.DBRW($D$4,$E$7,$E$8,$E$9,$E$10,$E$12,$D312,$E$6,BI$18,BI$17)</f>
        <v>0</v>
      </c>
      <c r="BJ312" s="26">
        <f ca="1">_xll.DBRW($D$4,$E$7,$E$8,$E$9,$E$10,$E$12,$D312,$E$6,BJ$18,BJ$17)</f>
        <v>0</v>
      </c>
      <c r="BK312" s="16">
        <f ca="1">_xll.DBRW($D$4,$E$7,$E$8,$E$9,$E$10,$E$12,$D312,$E$6,BK$18,BK$17)</f>
        <v>-3.0264000000000606E-2</v>
      </c>
      <c r="BL312" s="16">
        <f ca="1">_xll.DBRW($D$4,$E$7,$E$8,$E$9,$E$10,$E$12,$D312,$E$6,BL$18,BL$17)</f>
        <v>3.8985249999999994</v>
      </c>
      <c r="BM312" s="16">
        <f ca="1">_xll.DBRW($D$4,$E$7,$E$8,$E$9,$E$10,$E$12,$D312,$E$6,BM$18,BM$17)</f>
        <v>-1.3634950000000001</v>
      </c>
      <c r="BN312" s="16">
        <f ca="1">_xll.DBRW($D$4,$E$7,$E$8,$E$9,$E$10,$E$12,$D312,$E$6,BN$18,BN$17)</f>
        <v>0.34974637843799905</v>
      </c>
      <c r="BO312" s="16"/>
      <c r="BP312" s="16"/>
      <c r="BQ312" s="16"/>
      <c r="BR312" s="16"/>
      <c r="BS312" s="16">
        <f ca="1">_xll.DBRW($D$4,$E$7,$E$8,$E$9,$E$10,$E$12,$D312,$E$6,BS$18,BS$17)</f>
        <v>-0.65033999999999992</v>
      </c>
      <c r="BT312" s="16">
        <f ca="1">_xll.DBRW($D$4,$E$7,$E$8,$E$9,$E$10,$E$12,$D312,$E$6,BT$18,BT$17)</f>
        <v>0.16681693717495721</v>
      </c>
      <c r="BU312" s="16"/>
      <c r="BV312" s="16"/>
      <c r="BW312" s="16"/>
      <c r="BX312" s="16"/>
      <c r="BY312" s="16">
        <f ca="1">_xll.DBRW($D$4,$E$7,$E$8,$E$9,$E$10,$E$12,$D312,$E$6,BY$18,BY$17)</f>
        <v>-0.60498699999999994</v>
      </c>
      <c r="BZ312" s="16">
        <f ca="1">_xll.DBRW($D$4,$E$7,$E$8,$E$9,$E$10,$E$12,$D312,$E$6,BZ$18,BZ$17)</f>
        <v>0.15518356301421693</v>
      </c>
      <c r="CA312" s="16"/>
      <c r="CB312" s="16"/>
      <c r="CC312" s="16"/>
      <c r="CD312" s="16"/>
      <c r="CE312" s="16">
        <f ca="1">_xll.DBRW($D$4,$E$7,$E$8,$E$9,$E$10,$E$12,$D312,$E$6,CE$18,CE$17)</f>
        <v>-1.0190899999999998</v>
      </c>
      <c r="CF312" s="16">
        <f ca="1">_xll.DBRW($D$4,$E$7,$E$8,$E$9,$E$10,$E$12,$D312,$E$6,CF$18,CF$17)</f>
        <v>0.26140399253563845</v>
      </c>
      <c r="CG312" s="16"/>
      <c r="CH312" s="16"/>
      <c r="CI312" s="16"/>
      <c r="CJ312" s="16"/>
      <c r="CK312" s="16">
        <f ca="1">_xll.DBRW($D$4,$E$7,$E$8,$E$9,$E$10,$E$12,$D312,$E$6,CK$18,CK$17)</f>
        <v>-0.290877</v>
      </c>
      <c r="CL312" s="16">
        <f ca="1">_xll.DBRW($D$4,$E$7,$E$8,$E$9,$E$10,$E$12,$D312,$E$6,CL$18,CL$17)</f>
        <v>7.4612064819386828E-2</v>
      </c>
      <c r="CM312" s="16"/>
      <c r="CN312" s="16"/>
      <c r="CO312" s="16"/>
      <c r="CP312" s="16"/>
      <c r="CQ312" s="16">
        <f ca="1">_xll.DBRW($D$4,$E$7,$E$8,$E$9,$E$10,$E$12,$D312,$E$6,CQ$18,CQ$17)</f>
        <v>5.494048E-2</v>
      </c>
      <c r="CR312" s="16">
        <f ca="1">_xll.DBRW($D$4,$E$7,$E$8,$E$9,$E$10,$E$12,$D312,$E$6,CR$18,CR$17)</f>
        <v>4.3453469999999994E-2</v>
      </c>
      <c r="CS312" s="16">
        <f ca="1">_xll.DBRW($D$4,$E$7,$E$8,$E$9,$E$10,$E$12,$D312,$E$6,CS$18,CS$17)</f>
        <v>1.470453</v>
      </c>
      <c r="CT312" s="16">
        <f ca="1">_xll.DBRW($D$4,$E$7,$E$8,$E$9,$E$10,$E$12,$D312,$E$6,CT$18,CT$17)</f>
        <v>4.3453469999999994E-2</v>
      </c>
      <c r="CU312" s="16">
        <f ca="1">_xll.DBRW($D$4,$E$7,$E$8,$E$9,$E$10,$E$12,$D312,$E$6,CU$18,CU$17)</f>
        <v>0.63157399999999986</v>
      </c>
      <c r="CV312" s="16">
        <f ca="1">_xll.DBRW($D$4,$E$7,$E$8,$E$9,$E$10,$E$12,$D312,$E$6,CV$18,CV$17)</f>
        <v>4.3453469999999994E-2</v>
      </c>
      <c r="CW312" s="16">
        <f ca="1">_xll.DBRW($D$4,$E$7,$E$8,$E$9,$E$10,$E$12,$D312,$E$6,CW$18,CW$17)</f>
        <v>3.1000000000000001E-5</v>
      </c>
      <c r="CX312" s="16">
        <f ca="1">_xll.DBRW($D$4,$E$7,$E$8,$E$9,$E$10,$E$12,$D312,$E$6,CX$18,CX$17)</f>
        <v>4.3453469999999994E-2</v>
      </c>
      <c r="CY312" s="16">
        <f ca="1">_xll.DBRW($D$4,$E$7,$E$8,$E$9,$E$10,$E$12,$D312,$E$6,CY$18,CY$17)</f>
        <v>4.3453469999999994E-2</v>
      </c>
      <c r="CZ312" s="16">
        <f ca="1">_xll.DBRW($D$4,$E$7,$E$8,$E$9,$E$10,$E$12,$D312,$E$6,CZ$18,CZ$17)</f>
        <v>4.3453469999999994E-2</v>
      </c>
      <c r="DA312" s="26">
        <f t="shared" ca="1" si="165"/>
        <v>-0.45425246999999952</v>
      </c>
      <c r="DB312" s="26">
        <f t="shared" ca="1" si="166"/>
        <v>-7.8070999999996227E-4</v>
      </c>
      <c r="DC312" s="26">
        <f t="shared" ca="1" si="167"/>
        <v>0</v>
      </c>
      <c r="DD312" s="26">
        <f t="shared" ca="1" si="168"/>
        <v>0</v>
      </c>
      <c r="DE312" s="26">
        <f t="shared" ca="1" si="169"/>
        <v>0</v>
      </c>
      <c r="DF312" s="26">
        <f t="shared" ca="1" si="170"/>
        <v>0</v>
      </c>
      <c r="DG312" s="26">
        <f t="shared" ca="1" si="171"/>
        <v>0</v>
      </c>
      <c r="DH312" s="26">
        <f t="shared" ca="1" si="172"/>
        <v>-0.45347175999999967</v>
      </c>
      <c r="DI312" s="26">
        <f t="shared" ca="1" si="173"/>
        <v>-0.45687695999999933</v>
      </c>
      <c r="DJ312" s="26">
        <f t="shared" ca="1" si="174"/>
        <v>0.15082948000000007</v>
      </c>
      <c r="DK312" s="26">
        <f t="shared" ca="1" si="175"/>
        <v>2.6038636280084071E-3</v>
      </c>
      <c r="DL312" s="26"/>
      <c r="DM312" s="26"/>
      <c r="DN312" s="26"/>
      <c r="DO312" s="26"/>
      <c r="DP312" s="26">
        <f t="shared" ca="1" si="176"/>
        <v>-0.12625277999999995</v>
      </c>
      <c r="DQ312" s="26">
        <f t="shared" ca="1" si="177"/>
        <v>5.8828675326430296E-2</v>
      </c>
      <c r="DR312" s="26"/>
      <c r="DS312" s="26"/>
      <c r="DT312" s="26"/>
      <c r="DU312" s="26"/>
      <c r="DV312" s="26">
        <f t="shared" ca="1" si="178"/>
        <v>-3.0953080000000077E-2</v>
      </c>
      <c r="DW312" s="26">
        <f t="shared" ca="1" si="179"/>
        <v>2.959421571530127E-2</v>
      </c>
      <c r="DX312" s="26"/>
      <c r="DY312" s="26"/>
      <c r="DZ312" s="26"/>
      <c r="EA312" s="26"/>
      <c r="EB312" s="26">
        <f t="shared" ca="1" si="180"/>
        <v>2.0272219999999841E-2</v>
      </c>
      <c r="EC312" s="26">
        <f t="shared" ca="1" si="181"/>
        <v>2.8810976685909262E-2</v>
      </c>
      <c r="ED312" s="26"/>
      <c r="EE312" s="26"/>
      <c r="EF312" s="26"/>
      <c r="EG312" s="26"/>
      <c r="EH312" s="26">
        <f t="shared" ca="1" si="182"/>
        <v>-1.0490639999999996E-2</v>
      </c>
      <c r="EI312" s="29">
        <f t="shared" ca="1" si="183"/>
        <v>1.2952856548923683E-2</v>
      </c>
      <c r="EJ312" s="29"/>
      <c r="EK312" s="29"/>
      <c r="EL312" s="29"/>
      <c r="EM312" s="29"/>
      <c r="EN312" s="93"/>
      <c r="EO312" s="29"/>
      <c r="EP312" s="29"/>
      <c r="EQ312" s="29"/>
      <c r="ER312" s="29"/>
      <c r="ES312" s="29"/>
      <c r="ET312" s="29"/>
      <c r="EU312" s="93"/>
      <c r="EV312" s="29"/>
      <c r="EW312" s="29"/>
      <c r="EX312" s="29"/>
      <c r="EY312" s="29"/>
      <c r="EZ312" s="29"/>
      <c r="FA312" s="29"/>
      <c r="FB312" s="93"/>
      <c r="FC312" s="29"/>
      <c r="FD312" s="29"/>
      <c r="FE312" s="29"/>
      <c r="FF312" s="29"/>
      <c r="FG312" s="29"/>
      <c r="FH312" s="29"/>
      <c r="FI312" s="93"/>
      <c r="FJ312" s="29"/>
      <c r="FK312" s="29"/>
      <c r="FL312" s="29"/>
      <c r="FM312" s="29"/>
      <c r="FN312" s="29"/>
      <c r="FO312" s="29"/>
      <c r="FP312" s="93"/>
      <c r="FQ312" s="29"/>
      <c r="FR312" s="29"/>
      <c r="FS312" s="29"/>
      <c r="FT312" s="29"/>
      <c r="FU312" s="29"/>
      <c r="FV312" s="29"/>
    </row>
    <row r="313" spans="1:178" x14ac:dyDescent="0.25">
      <c r="A313" t="str">
        <f ca="1">IF(_xll.TM1RPTELISCONSOLIDATED($D$28,$D313),IF(_xll.TM1RPTELLEV($D$28,$D313)&lt;=3,_xll.TM1RPTELLEV($D$28,$D313),"D"),"N")</f>
        <v>N</v>
      </c>
      <c r="B313" t="str">
        <f ca="1">_xll.DBRA(Server&amp;"Management_organization",$D313,$B$27)</f>
        <v>L</v>
      </c>
      <c r="C313">
        <v>1</v>
      </c>
      <c r="D313" s="2" t="s">
        <v>263</v>
      </c>
      <c r="E313" s="26"/>
      <c r="F313" s="26"/>
      <c r="G313" s="16">
        <f ca="1">_xll.DBRW($D$4,$E$7,$E$8,$E$9,$E$10,$E$12,$D313,$E$6,G$18,G$17)</f>
        <v>0.19740305000000044</v>
      </c>
      <c r="H313" s="16">
        <f ca="1">_xll.DBRW($D$4,$E$7,$E$8,$E$9,$E$10,$E$12,$D313,$E$6,H$18,H$17)</f>
        <v>-0.14114594</v>
      </c>
      <c r="I313" s="16">
        <f ca="1">_xll.DBRW($D$4,$E$7,$E$8,$E$9,$E$10,$E$12,$D313,$E$6,I$18,I$17)</f>
        <v>0</v>
      </c>
      <c r="J313" s="26">
        <f ca="1">_xll.DBRW($D$4,$E$7,$E$8,$E$9,$E$10,$E$12,$D313,$E$6,J$18,J$17)</f>
        <v>0</v>
      </c>
      <c r="K313" s="26">
        <f ca="1">_xll.DBRW($D$4,$E$7,$E$8,$E$9,$E$10,$E$12,$D313,$E$6,K$18,K$17)</f>
        <v>0</v>
      </c>
      <c r="L313" s="26">
        <f ca="1">_xll.DBRW($D$4,$E$7,$E$8,$E$9,$E$10,$E$12,$D313,$E$6,L$18,L$17)</f>
        <v>0</v>
      </c>
      <c r="M313" s="26">
        <f ca="1">_xll.DBRW($D$4,$E$7,$E$8,$E$9,$E$10,$E$12,$D313,$E$6,M$18,M$17)</f>
        <v>0</v>
      </c>
      <c r="N313" s="16">
        <f ca="1">_xll.DBRW($D$4,$E$7,$E$8,$E$9,$E$10,$E$12,$D313,$E$6,N$18,N$17)</f>
        <v>0.33854899000000038</v>
      </c>
      <c r="O313" s="16">
        <f ca="1">_xll.DBRW($D$4,$E$7,$E$8,$E$9,$E$10,$E$12,$D313,$E$6,O$18,O$17)</f>
        <v>1.6390314800000003</v>
      </c>
      <c r="P313" s="74">
        <f ca="1">_xll.DBRW($D$4,$E$7,$E$8,$E$9,$E$10,$E$12,$D313,$E$6,P$18,P$17)</f>
        <v>-0.59435224999999992</v>
      </c>
      <c r="Q313" s="16">
        <f ca="1">_xll.DBRW($D$4,$E$7,$E$8,$E$9,$E$10,$E$12,$D313,$E$6,Q$18,Q$17)</f>
        <v>0.36262406015533016</v>
      </c>
      <c r="R313" s="16"/>
      <c r="S313" s="16"/>
      <c r="T313" s="16"/>
      <c r="U313" s="16"/>
      <c r="V313" s="16">
        <f ca="1">_xll.DBRW($D$4,$E$7,$E$8,$E$9,$E$10,$E$12,$D313,$E$6,V$18,V$17)</f>
        <v>-0.20782635999999999</v>
      </c>
      <c r="W313" s="16">
        <f ca="1">_xll.DBRW($D$4,$E$7,$E$8,$E$9,$E$10,$E$12,$D313,$E$6,W$18,W$17)</f>
        <v>0.1267982723553302</v>
      </c>
      <c r="X313" s="16"/>
      <c r="Y313" s="16"/>
      <c r="Z313" s="16"/>
      <c r="AA313" s="16"/>
      <c r="AB313" s="16">
        <f ca="1">_xll.DBRW($D$4,$E$7,$E$8,$E$9,$E$10,$E$12,$D313,$E$6,AB$18,AB$17)</f>
        <v>-0.17981844000000002</v>
      </c>
      <c r="AC313" s="16">
        <f ca="1">_xll.DBRW($D$4,$E$7,$E$8,$E$9,$E$10,$E$12,$D313,$E$6,AC$18,AC$17)</f>
        <v>0.10971018079530723</v>
      </c>
      <c r="AD313" s="16"/>
      <c r="AE313" s="16"/>
      <c r="AF313" s="16"/>
      <c r="AG313" s="16"/>
      <c r="AH313" s="16">
        <f ca="1">_xll.DBRW($D$4,$E$7,$E$8,$E$9,$E$10,$E$12,$D313,$E$6,AH$18,AH$17)</f>
        <v>-0.18727348999999999</v>
      </c>
      <c r="AI313" s="16">
        <f ca="1">_xll.DBRW($D$4,$E$7,$E$8,$E$9,$E$10,$E$12,$D313,$E$6,AI$18,AI$17)</f>
        <v>0.11425862912651315</v>
      </c>
      <c r="AJ313" s="16"/>
      <c r="AK313" s="16"/>
      <c r="AL313" s="16"/>
      <c r="AM313" s="16"/>
      <c r="AN313" s="16">
        <f ca="1">_xll.DBRW($D$4,$E$7,$E$8,$E$9,$E$10,$E$12,$D313,$E$6,AN$18,AN$17)</f>
        <v>-0.13121195000000002</v>
      </c>
      <c r="AO313" s="16">
        <f ca="1">_xll.DBRW($D$4,$E$7,$E$8,$E$9,$E$10,$E$12,$D313,$E$6,AO$18,AO$17)</f>
        <v>8.005456368659862E-2</v>
      </c>
      <c r="AP313" s="16"/>
      <c r="AQ313" s="16"/>
      <c r="AR313" s="16"/>
      <c r="AS313" s="16"/>
      <c r="AT313" s="16">
        <f ca="1">_xll.DBRW($D$4,$E$7,$E$8,$E$9,$E$10,$E$12,$D313,$E$6,AT$18,AT$17)</f>
        <v>2.433242E-2</v>
      </c>
      <c r="AU313" s="16">
        <f ca="1">_xll.DBRW($D$4,$E$7,$E$8,$E$9,$E$10,$E$12,$D313,$E$6,AU$18,AU$17)</f>
        <v>0.64891799999999999</v>
      </c>
      <c r="AV313" s="16">
        <f ca="1">_xll.DBRW($D$4,$E$7,$E$8,$E$9,$E$10,$E$12,$D313,$E$6,AV$18,AV$17)</f>
        <v>0.64891799999999999</v>
      </c>
      <c r="AW313" s="16">
        <f ca="1">_xll.DBRW($D$4,$E$7,$E$8,$E$9,$E$10,$E$12,$D313,$E$6,AW$18,AW$17)</f>
        <v>0.64891799999999999</v>
      </c>
      <c r="AX313" s="16">
        <f ca="1">_xll.DBRW($D$4,$E$7,$E$8,$E$9,$E$10,$E$12,$D313,$E$6,AX$18,AX$17)</f>
        <v>0.163436</v>
      </c>
      <c r="AY313" s="16">
        <f ca="1">_xll.DBRW($D$4,$E$7,$E$8,$E$9,$E$10,$E$12,$D313,$E$6,AY$18,AY$17)</f>
        <v>0.64891799999999999</v>
      </c>
      <c r="AZ313" s="16">
        <f ca="1">_xll.DBRW($D$4,$E$7,$E$8,$E$9,$E$10,$E$12,$D313,$E$6,AZ$18,AZ$17)</f>
        <v>3.5599999999999998E-5</v>
      </c>
      <c r="BA313" s="16">
        <f ca="1">_xll.DBRW($D$4,$E$7,$E$8,$E$9,$E$10,$E$12,$D313,$E$6,BA$18,BA$17)</f>
        <v>0.64891799999999999</v>
      </c>
      <c r="BB313" s="16">
        <f ca="1">_xll.DBRW($D$4,$E$7,$E$8,$E$9,$E$10,$E$12,$D313,$E$6,BB$18,BB$17)</f>
        <v>0.64891799999999999</v>
      </c>
      <c r="BC313" s="16">
        <f ca="1">_xll.DBRW($D$4,$E$7,$E$8,$E$9,$E$10,$E$12,$D313,$E$6,BC$18,BC$17)</f>
        <v>0.64891799999999999</v>
      </c>
      <c r="BD313" s="16">
        <f ca="1">_xll.DBRW($D$4,$E$7,$E$8,$E$9,$E$10,$E$12,$D313,$E$6,BD$18,BD$17)</f>
        <v>0.15224800000000044</v>
      </c>
      <c r="BE313" s="16">
        <f ca="1">_xll.DBRW($D$4,$E$7,$E$8,$E$9,$E$10,$E$12,$D313,$E$6,BE$18,BE$17)</f>
        <v>-0.14464200000000002</v>
      </c>
      <c r="BF313" s="16">
        <f ca="1">_xll.DBRW($D$4,$E$7,$E$8,$E$9,$E$10,$E$12,$D313,$E$6,BF$18,BF$17)</f>
        <v>0</v>
      </c>
      <c r="BG313" s="26">
        <f ca="1">_xll.DBRW($D$4,$E$7,$E$8,$E$9,$E$10,$E$12,$D313,$E$6,BG$18,BG$17)</f>
        <v>0</v>
      </c>
      <c r="BH313" s="26">
        <f ca="1">_xll.DBRW($D$4,$E$7,$E$8,$E$9,$E$10,$E$12,$D313,$E$6,BH$18,BH$17)</f>
        <v>0</v>
      </c>
      <c r="BI313" s="26">
        <f ca="1">_xll.DBRW($D$4,$E$7,$E$8,$E$9,$E$10,$E$12,$D313,$E$6,BI$18,BI$17)</f>
        <v>0</v>
      </c>
      <c r="BJ313" s="26">
        <f ca="1">_xll.DBRW($D$4,$E$7,$E$8,$E$9,$E$10,$E$12,$D313,$E$6,BJ$18,BJ$17)</f>
        <v>0</v>
      </c>
      <c r="BK313" s="16">
        <f ca="1">_xll.DBRW($D$4,$E$7,$E$8,$E$9,$E$10,$E$12,$D313,$E$6,BK$18,BK$17)</f>
        <v>0.29689000000000043</v>
      </c>
      <c r="BL313" s="16">
        <f ca="1">_xll.DBRW($D$4,$E$7,$E$8,$E$9,$E$10,$E$12,$D313,$E$6,BL$18,BL$17)</f>
        <v>1.7742</v>
      </c>
      <c r="BM313" s="16">
        <f ca="1">_xll.DBRW($D$4,$E$7,$E$8,$E$9,$E$10,$E$12,$D313,$E$6,BM$18,BM$17)</f>
        <v>-0.65976899999999983</v>
      </c>
      <c r="BN313" s="16">
        <f ca="1">_xll.DBRW($D$4,$E$7,$E$8,$E$9,$E$10,$E$12,$D313,$E$6,BN$18,BN$17)</f>
        <v>0.37186844775109901</v>
      </c>
      <c r="BO313" s="16"/>
      <c r="BP313" s="16"/>
      <c r="BQ313" s="16"/>
      <c r="BR313" s="16"/>
      <c r="BS313" s="16">
        <f ca="1">_xll.DBRW($D$4,$E$7,$E$8,$E$9,$E$10,$E$12,$D313,$E$6,BS$18,BS$17)</f>
        <v>-0.23291799999999999</v>
      </c>
      <c r="BT313" s="16">
        <f ca="1">_xll.DBRW($D$4,$E$7,$E$8,$E$9,$E$10,$E$12,$D313,$E$6,BT$18,BT$17)</f>
        <v>0.1312805771615376</v>
      </c>
      <c r="BU313" s="16"/>
      <c r="BV313" s="16"/>
      <c r="BW313" s="16"/>
      <c r="BX313" s="16"/>
      <c r="BY313" s="16">
        <f ca="1">_xll.DBRW($D$4,$E$7,$E$8,$E$9,$E$10,$E$12,$D313,$E$6,BY$18,BY$17)</f>
        <v>-0.19158299999999998</v>
      </c>
      <c r="BZ313" s="16">
        <f ca="1">_xll.DBRW($D$4,$E$7,$E$8,$E$9,$E$10,$E$12,$D313,$E$6,BZ$18,BZ$17)</f>
        <v>0.10798275278998984</v>
      </c>
      <c r="CA313" s="16"/>
      <c r="CB313" s="16"/>
      <c r="CC313" s="16"/>
      <c r="CD313" s="16"/>
      <c r="CE313" s="16">
        <f ca="1">_xll.DBRW($D$4,$E$7,$E$8,$E$9,$E$10,$E$12,$D313,$E$6,CE$18,CE$17)</f>
        <v>-0.21171099999999995</v>
      </c>
      <c r="CF313" s="16">
        <f ca="1">_xll.DBRW($D$4,$E$7,$E$8,$E$9,$E$10,$E$12,$D313,$E$6,CF$18,CF$17)</f>
        <v>0.11932758426332993</v>
      </c>
      <c r="CG313" s="16"/>
      <c r="CH313" s="16"/>
      <c r="CI313" s="16"/>
      <c r="CJ313" s="16"/>
      <c r="CK313" s="16">
        <f ca="1">_xll.DBRW($D$4,$E$7,$E$8,$E$9,$E$10,$E$12,$D313,$E$6,CK$18,CK$17)</f>
        <v>-0.18132900000000002</v>
      </c>
      <c r="CL313" s="16">
        <f ca="1">_xll.DBRW($D$4,$E$7,$E$8,$E$9,$E$10,$E$12,$D313,$E$6,CL$18,CL$17)</f>
        <v>0.10220324653364898</v>
      </c>
      <c r="CM313" s="16"/>
      <c r="CN313" s="16"/>
      <c r="CO313" s="16"/>
      <c r="CP313" s="16"/>
      <c r="CQ313" s="16">
        <f ca="1">_xll.DBRW($D$4,$E$7,$E$8,$E$9,$E$10,$E$12,$D313,$E$6,CQ$18,CQ$17)</f>
        <v>2.7212840000000002E-2</v>
      </c>
      <c r="CR313" s="16">
        <f ca="1">_xll.DBRW($D$4,$E$7,$E$8,$E$9,$E$10,$E$12,$D313,$E$6,CR$18,CR$17)</f>
        <v>0.76863199999999987</v>
      </c>
      <c r="CS313" s="16">
        <f ca="1">_xll.DBRW($D$4,$E$7,$E$8,$E$9,$E$10,$E$12,$D313,$E$6,CS$18,CS$17)</f>
        <v>0.76863199999999987</v>
      </c>
      <c r="CT313" s="16">
        <f ca="1">_xll.DBRW($D$4,$E$7,$E$8,$E$9,$E$10,$E$12,$D313,$E$6,CT$18,CT$17)</f>
        <v>0.76863199999999987</v>
      </c>
      <c r="CU313" s="16">
        <f ca="1">_xll.DBRW($D$4,$E$7,$E$8,$E$9,$E$10,$E$12,$D313,$E$6,CU$18,CU$17)</f>
        <v>0.196711</v>
      </c>
      <c r="CV313" s="16">
        <f ca="1">_xll.DBRW($D$4,$E$7,$E$8,$E$9,$E$10,$E$12,$D313,$E$6,CV$18,CV$17)</f>
        <v>0.76863199999999987</v>
      </c>
      <c r="CW313" s="16">
        <f ca="1">_xll.DBRW($D$4,$E$7,$E$8,$E$9,$E$10,$E$12,$D313,$E$6,CW$18,CW$17)</f>
        <v>3.6999999999999998E-5</v>
      </c>
      <c r="CX313" s="16">
        <f ca="1">_xll.DBRW($D$4,$E$7,$E$8,$E$9,$E$10,$E$12,$D313,$E$6,CX$18,CX$17)</f>
        <v>0.76863199999999987</v>
      </c>
      <c r="CY313" s="16">
        <f ca="1">_xll.DBRW($D$4,$E$7,$E$8,$E$9,$E$10,$E$12,$D313,$E$6,CY$18,CY$17)</f>
        <v>0.76863199999999987</v>
      </c>
      <c r="CZ313" s="16">
        <f ca="1">_xll.DBRW($D$4,$E$7,$E$8,$E$9,$E$10,$E$12,$D313,$E$6,CZ$18,CZ$17)</f>
        <v>0.76863199999999987</v>
      </c>
      <c r="DA313" s="26">
        <f t="shared" ca="1" si="165"/>
        <v>4.5155050000000002E-2</v>
      </c>
      <c r="DB313" s="26">
        <f t="shared" ca="1" si="166"/>
        <v>3.496060000000023E-3</v>
      </c>
      <c r="DC313" s="26">
        <f t="shared" ca="1" si="167"/>
        <v>0</v>
      </c>
      <c r="DD313" s="26">
        <f t="shared" ca="1" si="168"/>
        <v>0</v>
      </c>
      <c r="DE313" s="26">
        <f t="shared" ca="1" si="169"/>
        <v>0</v>
      </c>
      <c r="DF313" s="26">
        <f t="shared" ca="1" si="170"/>
        <v>0</v>
      </c>
      <c r="DG313" s="26">
        <f t="shared" ca="1" si="171"/>
        <v>0</v>
      </c>
      <c r="DH313" s="26">
        <f t="shared" ca="1" si="172"/>
        <v>4.1658989999999951E-2</v>
      </c>
      <c r="DI313" s="26">
        <f t="shared" ca="1" si="173"/>
        <v>-0.13516851999999968</v>
      </c>
      <c r="DJ313" s="26">
        <f t="shared" ca="1" si="174"/>
        <v>6.5416749999999912E-2</v>
      </c>
      <c r="DK313" s="26">
        <f t="shared" ca="1" si="175"/>
        <v>-9.2443875957688437E-3</v>
      </c>
      <c r="DL313" s="26"/>
      <c r="DM313" s="26"/>
      <c r="DN313" s="26"/>
      <c r="DO313" s="26"/>
      <c r="DP313" s="26">
        <f t="shared" ca="1" si="176"/>
        <v>2.5091639999999998E-2</v>
      </c>
      <c r="DQ313" s="26">
        <f t="shared" ca="1" si="177"/>
        <v>-4.4823048062073989E-3</v>
      </c>
      <c r="DR313" s="26"/>
      <c r="DS313" s="26"/>
      <c r="DT313" s="26"/>
      <c r="DU313" s="26"/>
      <c r="DV313" s="26">
        <f t="shared" ca="1" si="178"/>
        <v>1.1764559999999952E-2</v>
      </c>
      <c r="DW313" s="26">
        <f t="shared" ca="1" si="179"/>
        <v>1.7274280053173885E-3</v>
      </c>
      <c r="DX313" s="26"/>
      <c r="DY313" s="26"/>
      <c r="DZ313" s="26"/>
      <c r="EA313" s="26"/>
      <c r="EB313" s="26">
        <f t="shared" ca="1" si="180"/>
        <v>2.4437509999999968E-2</v>
      </c>
      <c r="EC313" s="26">
        <f t="shared" ca="1" si="181"/>
        <v>-5.0689551368167801E-3</v>
      </c>
      <c r="ED313" s="26"/>
      <c r="EE313" s="26"/>
      <c r="EF313" s="26"/>
      <c r="EG313" s="26"/>
      <c r="EH313" s="26">
        <f t="shared" ca="1" si="182"/>
        <v>5.0117049999999996E-2</v>
      </c>
      <c r="EI313" s="29">
        <f t="shared" ca="1" si="183"/>
        <v>-2.2148682847050363E-2</v>
      </c>
      <c r="EJ313" s="29"/>
      <c r="EK313" s="29"/>
      <c r="EL313" s="29"/>
      <c r="EM313" s="29"/>
      <c r="EN313" s="93"/>
      <c r="EO313" s="29"/>
      <c r="EP313" s="29"/>
      <c r="EQ313" s="29"/>
      <c r="ER313" s="29"/>
      <c r="ES313" s="29"/>
      <c r="ET313" s="29"/>
      <c r="EU313" s="93"/>
      <c r="EV313" s="29"/>
      <c r="EW313" s="29"/>
      <c r="EX313" s="29"/>
      <c r="EY313" s="29"/>
      <c r="EZ313" s="29"/>
      <c r="FA313" s="29"/>
      <c r="FB313" s="93"/>
      <c r="FC313" s="29"/>
      <c r="FD313" s="29"/>
      <c r="FE313" s="29"/>
      <c r="FF313" s="29"/>
      <c r="FG313" s="29"/>
      <c r="FH313" s="29"/>
      <c r="FI313" s="93"/>
      <c r="FJ313" s="29"/>
      <c r="FK313" s="29"/>
      <c r="FL313" s="29"/>
      <c r="FM313" s="29"/>
      <c r="FN313" s="29"/>
      <c r="FO313" s="29"/>
      <c r="FP313" s="93"/>
      <c r="FQ313" s="29"/>
      <c r="FR313" s="29"/>
      <c r="FS313" s="29"/>
      <c r="FT313" s="29"/>
      <c r="FU313" s="29"/>
      <c r="FV313" s="29"/>
    </row>
    <row r="314" spans="1:178" x14ac:dyDescent="0.25">
      <c r="A314" t="str">
        <f ca="1">IF(_xll.TM1RPTELISCONSOLIDATED($D$28,$D314),IF(_xll.TM1RPTELLEV($D$28,$D314)&lt;=3,_xll.TM1RPTELLEV($D$28,$D314),"D"),"N")</f>
        <v>N</v>
      </c>
      <c r="B314" t="str">
        <f ca="1">_xll.DBRA(Server&amp;"Management_organization",$D314,$B$27)</f>
        <v>L</v>
      </c>
      <c r="C314">
        <v>1</v>
      </c>
      <c r="D314" s="2" t="s">
        <v>264</v>
      </c>
      <c r="E314" s="26"/>
      <c r="F314" s="26"/>
      <c r="G314" s="16">
        <f ca="1">_xll.DBRW($D$4,$E$7,$E$8,$E$9,$E$10,$E$12,$D314,$E$6,G$18,G$17)</f>
        <v>1.0172947600000013</v>
      </c>
      <c r="H314" s="16">
        <f ca="1">_xll.DBRW($D$4,$E$7,$E$8,$E$9,$E$10,$E$12,$D314,$E$6,H$18,H$17)</f>
        <v>-1.15525962</v>
      </c>
      <c r="I314" s="16">
        <f ca="1">_xll.DBRW($D$4,$E$7,$E$8,$E$9,$E$10,$E$12,$D314,$E$6,I$18,I$17)</f>
        <v>0</v>
      </c>
      <c r="J314" s="26">
        <f ca="1">_xll.DBRW($D$4,$E$7,$E$8,$E$9,$E$10,$E$12,$D314,$E$6,J$18,J$17)</f>
        <v>-2.9387E-4</v>
      </c>
      <c r="K314" s="26">
        <f ca="1">_xll.DBRW($D$4,$E$7,$E$8,$E$9,$E$10,$E$12,$D314,$E$6,K$18,K$17)</f>
        <v>0</v>
      </c>
      <c r="L314" s="26">
        <f ca="1">_xll.DBRW($D$4,$E$7,$E$8,$E$9,$E$10,$E$12,$D314,$E$6,L$18,L$17)</f>
        <v>0</v>
      </c>
      <c r="M314" s="26">
        <f ca="1">_xll.DBRW($D$4,$E$7,$E$8,$E$9,$E$10,$E$12,$D314,$E$6,M$18,M$17)</f>
        <v>0</v>
      </c>
      <c r="N314" s="16">
        <f ca="1">_xll.DBRW($D$4,$E$7,$E$8,$E$9,$E$10,$E$12,$D314,$E$6,N$18,N$17)</f>
        <v>2.1728482500000017</v>
      </c>
      <c r="O314" s="16">
        <f ca="1">_xll.DBRW($D$4,$E$7,$E$8,$E$9,$E$10,$E$12,$D314,$E$6,O$18,O$17)</f>
        <v>13.216306550000002</v>
      </c>
      <c r="P314" s="74">
        <f ca="1">_xll.DBRW($D$4,$E$7,$E$8,$E$9,$E$10,$E$12,$D314,$E$6,P$18,P$17)</f>
        <v>-4.7788280599999995</v>
      </c>
      <c r="Q314" s="16">
        <f ca="1">_xll.DBRW($D$4,$E$7,$E$8,$E$9,$E$10,$E$12,$D314,$E$6,Q$18,Q$17)</f>
        <v>0.3615857457543612</v>
      </c>
      <c r="R314" s="16"/>
      <c r="S314" s="16"/>
      <c r="T314" s="16"/>
      <c r="U314" s="16"/>
      <c r="V314" s="16">
        <f ca="1">_xll.DBRW($D$4,$E$7,$E$8,$E$9,$E$10,$E$12,$D314,$E$6,V$18,V$17)</f>
        <v>-1.8998560699999998</v>
      </c>
      <c r="W314" s="16">
        <f ca="1">_xll.DBRW($D$4,$E$7,$E$8,$E$9,$E$10,$E$12,$D314,$E$6,W$18,W$17)</f>
        <v>0.14375090822934941</v>
      </c>
      <c r="X314" s="16"/>
      <c r="Y314" s="16"/>
      <c r="Z314" s="16"/>
      <c r="AA314" s="16"/>
      <c r="AB314" s="16">
        <f ca="1">_xll.DBRW($D$4,$E$7,$E$8,$E$9,$E$10,$E$12,$D314,$E$6,AB$18,AB$17)</f>
        <v>-1.8545528900000001</v>
      </c>
      <c r="AC314" s="16">
        <f ca="1">_xll.DBRW($D$4,$E$7,$E$8,$E$9,$E$10,$E$12,$D314,$E$6,AC$18,AC$17)</f>
        <v>0.14032308368331542</v>
      </c>
      <c r="AD314" s="16"/>
      <c r="AE314" s="16"/>
      <c r="AF314" s="16"/>
      <c r="AG314" s="16"/>
      <c r="AH314" s="16">
        <f ca="1">_xll.DBRW($D$4,$E$7,$E$8,$E$9,$E$10,$E$12,$D314,$E$6,AH$18,AH$17)</f>
        <v>-1.4592940699999999</v>
      </c>
      <c r="AI314" s="16">
        <f ca="1">_xll.DBRW($D$4,$E$7,$E$8,$E$9,$E$10,$E$12,$D314,$E$6,AI$18,AI$17)</f>
        <v>0.11041617901939477</v>
      </c>
      <c r="AJ314" s="16"/>
      <c r="AK314" s="16"/>
      <c r="AL314" s="16"/>
      <c r="AM314" s="16"/>
      <c r="AN314" s="16">
        <f ca="1">_xll.DBRW($D$4,$E$7,$E$8,$E$9,$E$10,$E$12,$D314,$E$6,AN$18,AN$17)</f>
        <v>-1.05092721</v>
      </c>
      <c r="AO314" s="16">
        <f ca="1">_xll.DBRW($D$4,$E$7,$E$8,$E$9,$E$10,$E$12,$D314,$E$6,AO$18,AO$17)</f>
        <v>7.9517466247027976E-2</v>
      </c>
      <c r="AP314" s="16"/>
      <c r="AQ314" s="16"/>
      <c r="AR314" s="16"/>
      <c r="AS314" s="16"/>
      <c r="AT314" s="16">
        <f ca="1">_xll.DBRW($D$4,$E$7,$E$8,$E$9,$E$10,$E$12,$D314,$E$6,AT$18,AT$17)</f>
        <v>0.17366113999999999</v>
      </c>
      <c r="AU314" s="16">
        <f ca="1">_xll.DBRW($D$4,$E$7,$E$8,$E$9,$E$10,$E$12,$D314,$E$6,AU$18,AU$17)</f>
        <v>0.14102799999999999</v>
      </c>
      <c r="AV314" s="16">
        <f ca="1">_xll.DBRW($D$4,$E$7,$E$8,$E$9,$E$10,$E$12,$D314,$E$6,AV$18,AV$17)</f>
        <v>3.7470410000000003</v>
      </c>
      <c r="AW314" s="16">
        <f ca="1">_xll.DBRW($D$4,$E$7,$E$8,$E$9,$E$10,$E$12,$D314,$E$6,AW$18,AW$17)</f>
        <v>0.14102799999999999</v>
      </c>
      <c r="AX314" s="16">
        <f ca="1">_xll.DBRW($D$4,$E$7,$E$8,$E$9,$E$10,$E$12,$D314,$E$6,AX$18,AX$17)</f>
        <v>1.701419</v>
      </c>
      <c r="AY314" s="16">
        <f ca="1">_xll.DBRW($D$4,$E$7,$E$8,$E$9,$E$10,$E$12,$D314,$E$6,AY$18,AY$17)</f>
        <v>0.14102799999999999</v>
      </c>
      <c r="AZ314" s="16">
        <f ca="1">_xll.DBRW($D$4,$E$7,$E$8,$E$9,$E$10,$E$12,$D314,$E$6,AZ$18,AZ$17)</f>
        <v>6.86E-5</v>
      </c>
      <c r="BA314" s="16">
        <f ca="1">_xll.DBRW($D$4,$E$7,$E$8,$E$9,$E$10,$E$12,$D314,$E$6,BA$18,BA$17)</f>
        <v>0.14102799999999999</v>
      </c>
      <c r="BB314" s="16">
        <f ca="1">_xll.DBRW($D$4,$E$7,$E$8,$E$9,$E$10,$E$12,$D314,$E$6,BB$18,BB$17)</f>
        <v>0.14102799999999999</v>
      </c>
      <c r="BC314" s="16">
        <f ca="1">_xll.DBRW($D$4,$E$7,$E$8,$E$9,$E$10,$E$12,$D314,$E$6,BC$18,BC$17)</f>
        <v>0.14102799999999999</v>
      </c>
      <c r="BD314" s="16">
        <f ca="1">_xll.DBRW($D$4,$E$7,$E$8,$E$9,$E$10,$E$12,$D314,$E$6,BD$18,BD$17)</f>
        <v>1.4348700000000019</v>
      </c>
      <c r="BE314" s="16">
        <f ca="1">_xll.DBRW($D$4,$E$7,$E$8,$E$9,$E$10,$E$12,$D314,$E$6,BE$18,BE$17)</f>
        <v>-1.097926</v>
      </c>
      <c r="BF314" s="16">
        <f ca="1">_xll.DBRW($D$4,$E$7,$E$8,$E$9,$E$10,$E$12,$D314,$E$6,BF$18,BF$17)</f>
        <v>0</v>
      </c>
      <c r="BG314" s="26">
        <f ca="1">_xll.DBRW($D$4,$E$7,$E$8,$E$9,$E$10,$E$12,$D314,$E$6,BG$18,BG$17)</f>
        <v>-2.3999999999999998E-3</v>
      </c>
      <c r="BH314" s="26">
        <f ca="1">_xll.DBRW($D$4,$E$7,$E$8,$E$9,$E$10,$E$12,$D314,$E$6,BH$18,BH$17)</f>
        <v>0</v>
      </c>
      <c r="BI314" s="26">
        <f ca="1">_xll.DBRW($D$4,$E$7,$E$8,$E$9,$E$10,$E$12,$D314,$E$6,BI$18,BI$17)</f>
        <v>0</v>
      </c>
      <c r="BJ314" s="26">
        <f ca="1">_xll.DBRW($D$4,$E$7,$E$8,$E$9,$E$10,$E$12,$D314,$E$6,BJ$18,BJ$17)</f>
        <v>0</v>
      </c>
      <c r="BK314" s="16">
        <f ca="1">_xll.DBRW($D$4,$E$7,$E$8,$E$9,$E$10,$E$12,$D314,$E$6,BK$18,BK$17)</f>
        <v>2.5351960000000022</v>
      </c>
      <c r="BL314" s="16">
        <f ca="1">_xll.DBRW($D$4,$E$7,$E$8,$E$9,$E$10,$E$12,$D314,$E$6,BL$18,BL$17)</f>
        <v>14.182444</v>
      </c>
      <c r="BM314" s="16">
        <f ca="1">_xll.DBRW($D$4,$E$7,$E$8,$E$9,$E$10,$E$12,$D314,$E$6,BM$18,BM$17)</f>
        <v>-5.393599</v>
      </c>
      <c r="BN314" s="16">
        <f ca="1">_xll.DBRW($D$4,$E$7,$E$8,$E$9,$E$10,$E$12,$D314,$E$6,BN$18,BN$17)</f>
        <v>0.38030109620034458</v>
      </c>
      <c r="BO314" s="16"/>
      <c r="BP314" s="16"/>
      <c r="BQ314" s="16"/>
      <c r="BR314" s="16"/>
      <c r="BS314" s="16">
        <f ca="1">_xll.DBRW($D$4,$E$7,$E$8,$E$9,$E$10,$E$12,$D314,$E$6,BS$18,BS$17)</f>
        <v>-1.7209449999999997</v>
      </c>
      <c r="BT314" s="16">
        <f ca="1">_xll.DBRW($D$4,$E$7,$E$8,$E$9,$E$10,$E$12,$D314,$E$6,BT$18,BT$17)</f>
        <v>0.12134333123402424</v>
      </c>
      <c r="BU314" s="16"/>
      <c r="BV314" s="16"/>
      <c r="BW314" s="16"/>
      <c r="BX314" s="16"/>
      <c r="BY314" s="16">
        <f ca="1">_xll.DBRW($D$4,$E$7,$E$8,$E$9,$E$10,$E$12,$D314,$E$6,BY$18,BY$17)</f>
        <v>-1.72333</v>
      </c>
      <c r="BZ314" s="16">
        <f ca="1">_xll.DBRW($D$4,$E$7,$E$8,$E$9,$E$10,$E$12,$D314,$E$6,BZ$18,BZ$17)</f>
        <v>0.12151149689009877</v>
      </c>
      <c r="CA314" s="16"/>
      <c r="CB314" s="16"/>
      <c r="CC314" s="16"/>
      <c r="CD314" s="16"/>
      <c r="CE314" s="16">
        <f ca="1">_xll.DBRW($D$4,$E$7,$E$8,$E$9,$E$10,$E$12,$D314,$E$6,CE$18,CE$17)</f>
        <v>-1.6331489999999997</v>
      </c>
      <c r="CF314" s="16">
        <f ca="1">_xll.DBRW($D$4,$E$7,$E$8,$E$9,$E$10,$E$12,$D314,$E$6,CF$18,CF$17)</f>
        <v>0.11515286081862898</v>
      </c>
      <c r="CG314" s="16"/>
      <c r="CH314" s="16"/>
      <c r="CI314" s="16"/>
      <c r="CJ314" s="16"/>
      <c r="CK314" s="16">
        <f ca="1">_xll.DBRW($D$4,$E$7,$E$8,$E$9,$E$10,$E$12,$D314,$E$6,CK$18,CK$17)</f>
        <v>-1.1762250000000001</v>
      </c>
      <c r="CL314" s="16">
        <f ca="1">_xll.DBRW($D$4,$E$7,$E$8,$E$9,$E$10,$E$12,$D314,$E$6,CL$18,CL$17)</f>
        <v>8.2935282522532794E-2</v>
      </c>
      <c r="CM314" s="16"/>
      <c r="CN314" s="16"/>
      <c r="CO314" s="16"/>
      <c r="CP314" s="16"/>
      <c r="CQ314" s="16">
        <f ca="1">_xll.DBRW($D$4,$E$7,$E$8,$E$9,$E$10,$E$12,$D314,$E$6,CQ$18,CQ$17)</f>
        <v>0.19078104999999998</v>
      </c>
      <c r="CR314" s="16">
        <f ca="1">_xll.DBRW($D$4,$E$7,$E$8,$E$9,$E$10,$E$12,$D314,$E$6,CR$18,CR$17)</f>
        <v>0.15404713</v>
      </c>
      <c r="CS314" s="16">
        <f ca="1">_xll.DBRW($D$4,$E$7,$E$8,$E$9,$E$10,$E$12,$D314,$E$6,CS$18,CS$17)</f>
        <v>4.1961719999999989</v>
      </c>
      <c r="CT314" s="16">
        <f ca="1">_xll.DBRW($D$4,$E$7,$E$8,$E$9,$E$10,$E$12,$D314,$E$6,CT$18,CT$17)</f>
        <v>0.15404713</v>
      </c>
      <c r="CU314" s="16">
        <f ca="1">_xll.DBRW($D$4,$E$7,$E$8,$E$9,$E$10,$E$12,$D314,$E$6,CU$18,CU$17)</f>
        <v>1.7990660000000001</v>
      </c>
      <c r="CV314" s="16">
        <f ca="1">_xll.DBRW($D$4,$E$7,$E$8,$E$9,$E$10,$E$12,$D314,$E$6,CV$18,CV$17)</f>
        <v>0.15404713</v>
      </c>
      <c r="CW314" s="16">
        <f ca="1">_xll.DBRW($D$4,$E$7,$E$8,$E$9,$E$10,$E$12,$D314,$E$6,CW$18,CW$17)</f>
        <v>6.6000000000000005E-5</v>
      </c>
      <c r="CX314" s="16">
        <f ca="1">_xll.DBRW($D$4,$E$7,$E$8,$E$9,$E$10,$E$12,$D314,$E$6,CX$18,CX$17)</f>
        <v>0.15404713</v>
      </c>
      <c r="CY314" s="16">
        <f ca="1">_xll.DBRW($D$4,$E$7,$E$8,$E$9,$E$10,$E$12,$D314,$E$6,CY$18,CY$17)</f>
        <v>0.15404713</v>
      </c>
      <c r="CZ314" s="16">
        <f ca="1">_xll.DBRW($D$4,$E$7,$E$8,$E$9,$E$10,$E$12,$D314,$E$6,CZ$18,CZ$17)</f>
        <v>0.15404713</v>
      </c>
      <c r="DA314" s="26">
        <f t="shared" ca="1" si="165"/>
        <v>-0.41757524000000057</v>
      </c>
      <c r="DB314" s="26">
        <f t="shared" ca="1" si="166"/>
        <v>-5.7333620000000085E-2</v>
      </c>
      <c r="DC314" s="26">
        <f t="shared" ca="1" si="167"/>
        <v>0</v>
      </c>
      <c r="DD314" s="26">
        <f t="shared" ca="1" si="168"/>
        <v>2.1061299999999999E-3</v>
      </c>
      <c r="DE314" s="26">
        <f t="shared" ca="1" si="169"/>
        <v>0</v>
      </c>
      <c r="DF314" s="26">
        <f t="shared" ca="1" si="170"/>
        <v>0</v>
      </c>
      <c r="DG314" s="26">
        <f t="shared" ca="1" si="171"/>
        <v>0</v>
      </c>
      <c r="DH314" s="26">
        <f t="shared" ca="1" si="172"/>
        <v>-0.36234775000000052</v>
      </c>
      <c r="DI314" s="26">
        <f t="shared" ca="1" si="173"/>
        <v>-0.96613744999999795</v>
      </c>
      <c r="DJ314" s="26">
        <f t="shared" ca="1" si="174"/>
        <v>0.61477094000000054</v>
      </c>
      <c r="DK314" s="26">
        <f t="shared" ca="1" si="175"/>
        <v>-1.8715350445983381E-2</v>
      </c>
      <c r="DL314" s="26"/>
      <c r="DM314" s="26"/>
      <c r="DN314" s="26"/>
      <c r="DO314" s="26"/>
      <c r="DP314" s="26">
        <f t="shared" ca="1" si="176"/>
        <v>-0.17891107000000006</v>
      </c>
      <c r="DQ314" s="26">
        <f t="shared" ca="1" si="177"/>
        <v>2.2407576995325168E-2</v>
      </c>
      <c r="DR314" s="26"/>
      <c r="DS314" s="26"/>
      <c r="DT314" s="26"/>
      <c r="DU314" s="26"/>
      <c r="DV314" s="26">
        <f t="shared" ca="1" si="178"/>
        <v>-0.13122289000000009</v>
      </c>
      <c r="DW314" s="26">
        <f t="shared" ca="1" si="179"/>
        <v>1.881158679321665E-2</v>
      </c>
      <c r="DX314" s="26"/>
      <c r="DY314" s="26"/>
      <c r="DZ314" s="26"/>
      <c r="EA314" s="26"/>
      <c r="EB314" s="26">
        <f t="shared" ca="1" si="180"/>
        <v>0.17385492999999985</v>
      </c>
      <c r="EC314" s="26">
        <f t="shared" ca="1" si="181"/>
        <v>-4.7366817992342131E-3</v>
      </c>
      <c r="ED314" s="26"/>
      <c r="EE314" s="26"/>
      <c r="EF314" s="26"/>
      <c r="EG314" s="26"/>
      <c r="EH314" s="26">
        <f t="shared" ca="1" si="182"/>
        <v>0.12529779000000008</v>
      </c>
      <c r="EI314" s="29">
        <f t="shared" ca="1" si="183"/>
        <v>-3.4178162755048175E-3</v>
      </c>
      <c r="EJ314" s="29"/>
      <c r="EK314" s="29"/>
      <c r="EL314" s="29"/>
      <c r="EM314" s="29"/>
      <c r="EN314" s="93"/>
      <c r="EO314" s="29"/>
      <c r="EP314" s="29"/>
      <c r="EQ314" s="29"/>
      <c r="ER314" s="29"/>
      <c r="ES314" s="29"/>
      <c r="ET314" s="29"/>
      <c r="EU314" s="93"/>
      <c r="EV314" s="29"/>
      <c r="EW314" s="29"/>
      <c r="EX314" s="29"/>
      <c r="EY314" s="29"/>
      <c r="EZ314" s="29"/>
      <c r="FA314" s="29"/>
      <c r="FB314" s="93"/>
      <c r="FC314" s="29"/>
      <c r="FD314" s="29"/>
      <c r="FE314" s="29"/>
      <c r="FF314" s="29"/>
      <c r="FG314" s="29"/>
      <c r="FH314" s="29"/>
      <c r="FI314" s="93"/>
      <c r="FJ314" s="29"/>
      <c r="FK314" s="29"/>
      <c r="FL314" s="29"/>
      <c r="FM314" s="29"/>
      <c r="FN314" s="29"/>
      <c r="FO314" s="29"/>
      <c r="FP314" s="93"/>
      <c r="FQ314" s="29"/>
      <c r="FR314" s="29"/>
      <c r="FS314" s="29"/>
      <c r="FT314" s="29"/>
      <c r="FU314" s="29"/>
      <c r="FV314" s="29"/>
    </row>
    <row r="315" spans="1:178" x14ac:dyDescent="0.25">
      <c r="A315" t="str">
        <f ca="1">IF(_xll.TM1RPTELISCONSOLIDATED($D$28,$D315),IF(_xll.TM1RPTELLEV($D$28,$D315)&lt;=3,_xll.TM1RPTELLEV($D$28,$D315),"D"),"N")</f>
        <v>N</v>
      </c>
      <c r="B315" t="str">
        <f ca="1">_xll.DBRA(Server&amp;"Management_organization",$D315,$B$27)</f>
        <v>L</v>
      </c>
      <c r="C315">
        <v>1</v>
      </c>
      <c r="D315" s="2" t="s">
        <v>265</v>
      </c>
      <c r="E315" s="26"/>
      <c r="F315" s="26"/>
      <c r="G315" s="16">
        <f ca="1">_xll.DBRW($D$4,$E$7,$E$8,$E$9,$E$10,$E$12,$D315,$E$6,G$18,G$17)</f>
        <v>-6.3558320000001486E-2</v>
      </c>
      <c r="H315" s="16">
        <f ca="1">_xll.DBRW($D$4,$E$7,$E$8,$E$9,$E$10,$E$12,$D315,$E$6,H$18,H$17)</f>
        <v>-0.69971194999999997</v>
      </c>
      <c r="I315" s="16">
        <f ca="1">_xll.DBRW($D$4,$E$7,$E$8,$E$9,$E$10,$E$12,$D315,$E$6,I$18,I$17)</f>
        <v>0</v>
      </c>
      <c r="J315" s="26">
        <f ca="1">_xll.DBRW($D$4,$E$7,$E$8,$E$9,$E$10,$E$12,$D315,$E$6,J$18,J$17)</f>
        <v>0</v>
      </c>
      <c r="K315" s="26">
        <f ca="1">_xll.DBRW($D$4,$E$7,$E$8,$E$9,$E$10,$E$12,$D315,$E$6,K$18,K$17)</f>
        <v>0</v>
      </c>
      <c r="L315" s="26">
        <f ca="1">_xll.DBRW($D$4,$E$7,$E$8,$E$9,$E$10,$E$12,$D315,$E$6,L$18,L$17)</f>
        <v>0</v>
      </c>
      <c r="M315" s="26">
        <f ca="1">_xll.DBRW($D$4,$E$7,$E$8,$E$9,$E$10,$E$12,$D315,$E$6,M$18,M$17)</f>
        <v>0</v>
      </c>
      <c r="N315" s="16">
        <f ca="1">_xll.DBRW($D$4,$E$7,$E$8,$E$9,$E$10,$E$12,$D315,$E$6,N$18,N$17)</f>
        <v>0.63615362999999836</v>
      </c>
      <c r="O315" s="16">
        <f ca="1">_xll.DBRW($D$4,$E$7,$E$8,$E$9,$E$10,$E$12,$D315,$E$6,O$18,O$17)</f>
        <v>5.0082774799999985</v>
      </c>
      <c r="P315" s="74">
        <f ca="1">_xll.DBRW($D$4,$E$7,$E$8,$E$9,$E$10,$E$12,$D315,$E$6,P$18,P$17)</f>
        <v>-1.4957457399999998</v>
      </c>
      <c r="Q315" s="16">
        <f ca="1">_xll.DBRW($D$4,$E$7,$E$8,$E$9,$E$10,$E$12,$D315,$E$6,Q$18,Q$17)</f>
        <v>0.29865472629523721</v>
      </c>
      <c r="R315" s="16"/>
      <c r="S315" s="16"/>
      <c r="T315" s="16"/>
      <c r="U315" s="16"/>
      <c r="V315" s="16">
        <f ca="1">_xll.DBRW($D$4,$E$7,$E$8,$E$9,$E$10,$E$12,$D315,$E$6,V$18,V$17)</f>
        <v>-1.2375353000000002</v>
      </c>
      <c r="W315" s="16">
        <f ca="1">_xll.DBRW($D$4,$E$7,$E$8,$E$9,$E$10,$E$12,$D315,$E$6,W$18,W$17)</f>
        <v>0.24709799026550752</v>
      </c>
      <c r="X315" s="16"/>
      <c r="Y315" s="16"/>
      <c r="Z315" s="16"/>
      <c r="AA315" s="16"/>
      <c r="AB315" s="16">
        <f ca="1">_xll.DBRW($D$4,$E$7,$E$8,$E$9,$E$10,$E$12,$D315,$E$6,AB$18,AB$17)</f>
        <v>-0.65247575999999996</v>
      </c>
      <c r="AC315" s="16">
        <f ca="1">_xll.DBRW($D$4,$E$7,$E$8,$E$9,$E$10,$E$12,$D315,$E$6,AC$18,AC$17)</f>
        <v>0.13027947485050292</v>
      </c>
      <c r="AD315" s="16"/>
      <c r="AE315" s="16"/>
      <c r="AF315" s="16"/>
      <c r="AG315" s="16"/>
      <c r="AH315" s="16">
        <f ca="1">_xll.DBRW($D$4,$E$7,$E$8,$E$9,$E$10,$E$12,$D315,$E$6,AH$18,AH$17)</f>
        <v>-0.70998954000000003</v>
      </c>
      <c r="AI315" s="16">
        <f ca="1">_xll.DBRW($D$4,$E$7,$E$8,$E$9,$E$10,$E$12,$D315,$E$6,AI$18,AI$17)</f>
        <v>0.14176321955707619</v>
      </c>
      <c r="AJ315" s="16"/>
      <c r="AK315" s="16"/>
      <c r="AL315" s="16"/>
      <c r="AM315" s="16"/>
      <c r="AN315" s="16">
        <f ca="1">_xll.DBRW($D$4,$E$7,$E$8,$E$9,$E$10,$E$12,$D315,$E$6,AN$18,AN$17)</f>
        <v>-0.27637750999999999</v>
      </c>
      <c r="AO315" s="16">
        <f ca="1">_xll.DBRW($D$4,$E$7,$E$8,$E$9,$E$10,$E$12,$D315,$E$6,AO$18,AO$17)</f>
        <v>5.5184144868906118E-2</v>
      </c>
      <c r="AP315" s="16"/>
      <c r="AQ315" s="16"/>
      <c r="AR315" s="16"/>
      <c r="AS315" s="16"/>
      <c r="AT315" s="16">
        <f ca="1">_xll.DBRW($D$4,$E$7,$E$8,$E$9,$E$10,$E$12,$D315,$E$6,AT$18,AT$17)</f>
        <v>6.2214910000000005E-2</v>
      </c>
      <c r="AU315" s="16">
        <f ca="1">_xll.DBRW($D$4,$E$7,$E$8,$E$9,$E$10,$E$12,$D315,$E$6,AU$18,AU$17)</f>
        <v>4.7439000000000002E-2</v>
      </c>
      <c r="AV315" s="16">
        <f ca="1">_xll.DBRW($D$4,$E$7,$E$8,$E$9,$E$10,$E$12,$D315,$E$6,AV$18,AV$17)</f>
        <v>1.728078</v>
      </c>
      <c r="AW315" s="16">
        <f ca="1">_xll.DBRW($D$4,$E$7,$E$8,$E$9,$E$10,$E$12,$D315,$E$6,AW$18,AW$17)</f>
        <v>4.7439000000000002E-2</v>
      </c>
      <c r="AX315" s="16">
        <f ca="1">_xll.DBRW($D$4,$E$7,$E$8,$E$9,$E$10,$E$12,$D315,$E$6,AX$18,AX$17)</f>
        <v>0.69483099999999998</v>
      </c>
      <c r="AY315" s="16">
        <f ca="1">_xll.DBRW($D$4,$E$7,$E$8,$E$9,$E$10,$E$12,$D315,$E$6,AY$18,AY$17)</f>
        <v>4.7439000000000002E-2</v>
      </c>
      <c r="AZ315" s="16">
        <f ca="1">_xll.DBRW($D$4,$E$7,$E$8,$E$9,$E$10,$E$12,$D315,$E$6,AZ$18,AZ$17)</f>
        <v>3.65E-5</v>
      </c>
      <c r="BA315" s="16">
        <f ca="1">_xll.DBRW($D$4,$E$7,$E$8,$E$9,$E$10,$E$12,$D315,$E$6,BA$18,BA$17)</f>
        <v>4.7439000000000002E-2</v>
      </c>
      <c r="BB315" s="16">
        <f ca="1">_xll.DBRW($D$4,$E$7,$E$8,$E$9,$E$10,$E$12,$D315,$E$6,BB$18,BB$17)</f>
        <v>4.7439000000000002E-2</v>
      </c>
      <c r="BC315" s="16">
        <f ca="1">_xll.DBRW($D$4,$E$7,$E$8,$E$9,$E$10,$E$12,$D315,$E$6,BC$18,BC$17)</f>
        <v>4.7439000000000002E-2</v>
      </c>
      <c r="BD315" s="16">
        <f ca="1">_xll.DBRW($D$4,$E$7,$E$8,$E$9,$E$10,$E$12,$D315,$E$6,BD$18,BD$17)</f>
        <v>0.49292700000000095</v>
      </c>
      <c r="BE315" s="16">
        <f ca="1">_xll.DBRW($D$4,$E$7,$E$8,$E$9,$E$10,$E$12,$D315,$E$6,BE$18,BE$17)</f>
        <v>-0.6416170000000001</v>
      </c>
      <c r="BF315" s="16">
        <f ca="1">_xll.DBRW($D$4,$E$7,$E$8,$E$9,$E$10,$E$12,$D315,$E$6,BF$18,BF$17)</f>
        <v>0</v>
      </c>
      <c r="BG315" s="26">
        <f ca="1">_xll.DBRW($D$4,$E$7,$E$8,$E$9,$E$10,$E$12,$D315,$E$6,BG$18,BG$17)</f>
        <v>-1.23E-3</v>
      </c>
      <c r="BH315" s="26">
        <f ca="1">_xll.DBRW($D$4,$E$7,$E$8,$E$9,$E$10,$E$12,$D315,$E$6,BH$18,BH$17)</f>
        <v>0</v>
      </c>
      <c r="BI315" s="26">
        <f ca="1">_xll.DBRW($D$4,$E$7,$E$8,$E$9,$E$10,$E$12,$D315,$E$6,BI$18,BI$17)</f>
        <v>0</v>
      </c>
      <c r="BJ315" s="26">
        <f ca="1">_xll.DBRW($D$4,$E$7,$E$8,$E$9,$E$10,$E$12,$D315,$E$6,BJ$18,BJ$17)</f>
        <v>0</v>
      </c>
      <c r="BK315" s="16">
        <f ca="1">_xll.DBRW($D$4,$E$7,$E$8,$E$9,$E$10,$E$12,$D315,$E$6,BK$18,BK$17)</f>
        <v>1.1357740000000012</v>
      </c>
      <c r="BL315" s="16">
        <f ca="1">_xll.DBRW($D$4,$E$7,$E$8,$E$9,$E$10,$E$12,$D315,$E$6,BL$18,BL$17)</f>
        <v>5.3721230000000002</v>
      </c>
      <c r="BM315" s="16">
        <f ca="1">_xll.DBRW($D$4,$E$7,$E$8,$E$9,$E$10,$E$12,$D315,$E$6,BM$18,BM$17)</f>
        <v>-1.6201359999999998</v>
      </c>
      <c r="BN315" s="16">
        <f ca="1">_xll.DBRW($D$4,$E$7,$E$8,$E$9,$E$10,$E$12,$D315,$E$6,BN$18,BN$17)</f>
        <v>0.30158207472166959</v>
      </c>
      <c r="BO315" s="16"/>
      <c r="BP315" s="16"/>
      <c r="BQ315" s="16"/>
      <c r="BR315" s="16"/>
      <c r="BS315" s="16">
        <f ca="1">_xll.DBRW($D$4,$E$7,$E$8,$E$9,$E$10,$E$12,$D315,$E$6,BS$18,BS$17)</f>
        <v>-0.99845699999999993</v>
      </c>
      <c r="BT315" s="16">
        <f ca="1">_xll.DBRW($D$4,$E$7,$E$8,$E$9,$E$10,$E$12,$D315,$E$6,BT$18,BT$17)</f>
        <v>0.1858589239300738</v>
      </c>
      <c r="BU315" s="16"/>
      <c r="BV315" s="16"/>
      <c r="BW315" s="16"/>
      <c r="BX315" s="16"/>
      <c r="BY315" s="16">
        <f ca="1">_xll.DBRW($D$4,$E$7,$E$8,$E$9,$E$10,$E$12,$D315,$E$6,BY$18,BY$17)</f>
        <v>-0.60002899999999992</v>
      </c>
      <c r="BZ315" s="16">
        <f ca="1">_xll.DBRW($D$4,$E$7,$E$8,$E$9,$E$10,$E$12,$D315,$E$6,BZ$18,BZ$17)</f>
        <v>0.11169308669961575</v>
      </c>
      <c r="CA315" s="16"/>
      <c r="CB315" s="16"/>
      <c r="CC315" s="16"/>
      <c r="CD315" s="16"/>
      <c r="CE315" s="16">
        <f ca="1">_xll.DBRW($D$4,$E$7,$E$8,$E$9,$E$10,$E$12,$D315,$E$6,CE$18,CE$17)</f>
        <v>-0.73452300000000004</v>
      </c>
      <c r="CF315" s="16">
        <f ca="1">_xll.DBRW($D$4,$E$7,$E$8,$E$9,$E$10,$E$12,$D315,$E$6,CF$18,CF$17)</f>
        <v>0.13672862665281491</v>
      </c>
      <c r="CG315" s="16"/>
      <c r="CH315" s="16"/>
      <c r="CI315" s="16"/>
      <c r="CJ315" s="16"/>
      <c r="CK315" s="16">
        <f ca="1">_xll.DBRW($D$4,$E$7,$E$8,$E$9,$E$10,$E$12,$D315,$E$6,CK$18,CK$17)</f>
        <v>-0.28320400000000001</v>
      </c>
      <c r="CL315" s="16">
        <f ca="1">_xll.DBRW($D$4,$E$7,$E$8,$E$9,$E$10,$E$12,$D315,$E$6,CL$18,CL$17)</f>
        <v>5.2717333538342293E-2</v>
      </c>
      <c r="CM315" s="16"/>
      <c r="CN315" s="16"/>
      <c r="CO315" s="16"/>
      <c r="CP315" s="16"/>
      <c r="CQ315" s="16">
        <f ca="1">_xll.DBRW($D$4,$E$7,$E$8,$E$9,$E$10,$E$12,$D315,$E$6,CQ$18,CQ$17)</f>
        <v>6.6447830000000013E-2</v>
      </c>
      <c r="CR315" s="16">
        <f ca="1">_xll.DBRW($D$4,$E$7,$E$8,$E$9,$E$10,$E$12,$D315,$E$6,CR$18,CR$17)</f>
        <v>5.4421659999999997E-2</v>
      </c>
      <c r="CS315" s="16">
        <f ca="1">_xll.DBRW($D$4,$E$7,$E$8,$E$9,$E$10,$E$12,$D315,$E$6,CS$18,CS$17)</f>
        <v>1.996721</v>
      </c>
      <c r="CT315" s="16">
        <f ca="1">_xll.DBRW($D$4,$E$7,$E$8,$E$9,$E$10,$E$12,$D315,$E$6,CT$18,CT$17)</f>
        <v>5.4421659999999997E-2</v>
      </c>
      <c r="CU315" s="16">
        <f ca="1">_xll.DBRW($D$4,$E$7,$E$8,$E$9,$E$10,$E$12,$D315,$E$6,CU$18,CU$17)</f>
        <v>0.79379300000000008</v>
      </c>
      <c r="CV315" s="16">
        <f ca="1">_xll.DBRW($D$4,$E$7,$E$8,$E$9,$E$10,$E$12,$D315,$E$6,CV$18,CV$17)</f>
        <v>5.4421659999999997E-2</v>
      </c>
      <c r="CW315" s="16">
        <f ca="1">_xll.DBRW($D$4,$E$7,$E$8,$E$9,$E$10,$E$12,$D315,$E$6,CW$18,CW$17)</f>
        <v>3.3000000000000003E-5</v>
      </c>
      <c r="CX315" s="16">
        <f ca="1">_xll.DBRW($D$4,$E$7,$E$8,$E$9,$E$10,$E$12,$D315,$E$6,CX$18,CX$17)</f>
        <v>5.4421659999999997E-2</v>
      </c>
      <c r="CY315" s="16">
        <f ca="1">_xll.DBRW($D$4,$E$7,$E$8,$E$9,$E$10,$E$12,$D315,$E$6,CY$18,CY$17)</f>
        <v>5.4421659999999997E-2</v>
      </c>
      <c r="CZ315" s="16">
        <f ca="1">_xll.DBRW($D$4,$E$7,$E$8,$E$9,$E$10,$E$12,$D315,$E$6,CZ$18,CZ$17)</f>
        <v>5.4421659999999997E-2</v>
      </c>
      <c r="DA315" s="26">
        <f t="shared" ca="1" si="165"/>
        <v>-0.55648532000000239</v>
      </c>
      <c r="DB315" s="26">
        <f t="shared" ca="1" si="166"/>
        <v>-5.8094949999999868E-2</v>
      </c>
      <c r="DC315" s="26">
        <f t="shared" ca="1" si="167"/>
        <v>0</v>
      </c>
      <c r="DD315" s="26">
        <f t="shared" ca="1" si="168"/>
        <v>1.23E-3</v>
      </c>
      <c r="DE315" s="26">
        <f t="shared" ca="1" si="169"/>
        <v>0</v>
      </c>
      <c r="DF315" s="26">
        <f t="shared" ca="1" si="170"/>
        <v>0</v>
      </c>
      <c r="DG315" s="26">
        <f t="shared" ca="1" si="171"/>
        <v>0</v>
      </c>
      <c r="DH315" s="26">
        <f t="shared" ca="1" si="172"/>
        <v>-0.49962037000000281</v>
      </c>
      <c r="DI315" s="26">
        <f t="shared" ca="1" si="173"/>
        <v>-0.3638455200000017</v>
      </c>
      <c r="DJ315" s="26">
        <f t="shared" ca="1" si="174"/>
        <v>0.12439025999999997</v>
      </c>
      <c r="DK315" s="26">
        <f t="shared" ca="1" si="175"/>
        <v>-2.9273484264323857E-3</v>
      </c>
      <c r="DL315" s="26"/>
      <c r="DM315" s="26"/>
      <c r="DN315" s="26"/>
      <c r="DO315" s="26"/>
      <c r="DP315" s="26">
        <f t="shared" ca="1" si="176"/>
        <v>-0.2390783000000003</v>
      </c>
      <c r="DQ315" s="26">
        <f t="shared" ca="1" si="177"/>
        <v>6.1239066335433717E-2</v>
      </c>
      <c r="DR315" s="26"/>
      <c r="DS315" s="26"/>
      <c r="DT315" s="26"/>
      <c r="DU315" s="26"/>
      <c r="DV315" s="26">
        <f t="shared" ca="1" si="178"/>
        <v>-5.2446760000000037E-2</v>
      </c>
      <c r="DW315" s="26">
        <f t="shared" ca="1" si="179"/>
        <v>1.8586388150887173E-2</v>
      </c>
      <c r="DX315" s="26"/>
      <c r="DY315" s="26"/>
      <c r="DZ315" s="26"/>
      <c r="EA315" s="26"/>
      <c r="EB315" s="26">
        <f t="shared" ca="1" si="180"/>
        <v>2.4533460000000007E-2</v>
      </c>
      <c r="EC315" s="26">
        <f t="shared" ca="1" si="181"/>
        <v>5.0345929042612814E-3</v>
      </c>
      <c r="ED315" s="26"/>
      <c r="EE315" s="26"/>
      <c r="EF315" s="26"/>
      <c r="EG315" s="26"/>
      <c r="EH315" s="26">
        <f t="shared" ca="1" si="182"/>
        <v>6.8264900000000184E-3</v>
      </c>
      <c r="EI315" s="29">
        <f t="shared" ca="1" si="183"/>
        <v>2.4668113305638256E-3</v>
      </c>
      <c r="EJ315" s="29"/>
      <c r="EK315" s="29"/>
      <c r="EL315" s="29"/>
      <c r="EM315" s="29"/>
      <c r="EN315" s="93"/>
      <c r="EO315" s="29"/>
      <c r="EP315" s="29"/>
      <c r="EQ315" s="29"/>
      <c r="ER315" s="29"/>
      <c r="ES315" s="29"/>
      <c r="ET315" s="29"/>
      <c r="EU315" s="93"/>
      <c r="EV315" s="29"/>
      <c r="EW315" s="29"/>
      <c r="EX315" s="29"/>
      <c r="EY315" s="29"/>
      <c r="EZ315" s="29"/>
      <c r="FA315" s="29"/>
      <c r="FB315" s="93"/>
      <c r="FC315" s="29"/>
      <c r="FD315" s="29"/>
      <c r="FE315" s="29"/>
      <c r="FF315" s="29"/>
      <c r="FG315" s="29"/>
      <c r="FH315" s="29"/>
      <c r="FI315" s="93"/>
      <c r="FJ315" s="29"/>
      <c r="FK315" s="29"/>
      <c r="FL315" s="29"/>
      <c r="FM315" s="29"/>
      <c r="FN315" s="29"/>
      <c r="FO315" s="29"/>
      <c r="FP315" s="93"/>
      <c r="FQ315" s="29"/>
      <c r="FR315" s="29"/>
      <c r="FS315" s="29"/>
      <c r="FT315" s="29"/>
      <c r="FU315" s="29"/>
      <c r="FV315" s="29"/>
    </row>
    <row r="316" spans="1:178" x14ac:dyDescent="0.25">
      <c r="A316" t="str">
        <f ca="1">IF(_xll.TM1RPTELISCONSOLIDATED($D$28,$D316),IF(_xll.TM1RPTELLEV($D$28,$D316)&lt;=3,_xll.TM1RPTELLEV($D$28,$D316),"D"),"N")</f>
        <v>N</v>
      </c>
      <c r="B316" t="str">
        <f ca="1">_xll.DBRA(Server&amp;"Management_organization",$D316,$B$27)</f>
        <v>L</v>
      </c>
      <c r="C316">
        <v>1</v>
      </c>
      <c r="D316" s="2" t="s">
        <v>266</v>
      </c>
      <c r="E316" s="26"/>
      <c r="F316" s="26"/>
      <c r="G316" s="16">
        <f ca="1">_xll.DBRW($D$4,$E$7,$E$8,$E$9,$E$10,$E$12,$D316,$E$6,G$18,G$17)</f>
        <v>1.1003014599999985</v>
      </c>
      <c r="H316" s="16">
        <f ca="1">_xll.DBRW($D$4,$E$7,$E$8,$E$9,$E$10,$E$12,$D316,$E$6,H$18,H$17)</f>
        <v>-1.09096441</v>
      </c>
      <c r="I316" s="16">
        <f ca="1">_xll.DBRW($D$4,$E$7,$E$8,$E$9,$E$10,$E$12,$D316,$E$6,I$18,I$17)</f>
        <v>0</v>
      </c>
      <c r="J316" s="26">
        <f ca="1">_xll.DBRW($D$4,$E$7,$E$8,$E$9,$E$10,$E$12,$D316,$E$6,J$18,J$17)</f>
        <v>-1.0049989999999998E-2</v>
      </c>
      <c r="K316" s="26">
        <f ca="1">_xll.DBRW($D$4,$E$7,$E$8,$E$9,$E$10,$E$12,$D316,$E$6,K$18,K$17)</f>
        <v>0</v>
      </c>
      <c r="L316" s="26">
        <f ca="1">_xll.DBRW($D$4,$E$7,$E$8,$E$9,$E$10,$E$12,$D316,$E$6,L$18,L$17)</f>
        <v>0</v>
      </c>
      <c r="M316" s="26">
        <f ca="1">_xll.DBRW($D$4,$E$7,$E$8,$E$9,$E$10,$E$12,$D316,$E$6,M$18,M$17)</f>
        <v>0</v>
      </c>
      <c r="N316" s="16">
        <f ca="1">_xll.DBRW($D$4,$E$7,$E$8,$E$9,$E$10,$E$12,$D316,$E$6,N$18,N$17)</f>
        <v>2.2013158599999989</v>
      </c>
      <c r="O316" s="16">
        <f ca="1">_xll.DBRW($D$4,$E$7,$E$8,$E$9,$E$10,$E$12,$D316,$E$6,O$18,O$17)</f>
        <v>9.5343280999999998</v>
      </c>
      <c r="P316" s="74">
        <f ca="1">_xll.DBRW($D$4,$E$7,$E$8,$E$9,$E$10,$E$12,$D316,$E$6,P$18,P$17)</f>
        <v>-2.9982257200000002</v>
      </c>
      <c r="Q316" s="16">
        <f ca="1">_xll.DBRW($D$4,$E$7,$E$8,$E$9,$E$10,$E$12,$D316,$E$6,Q$18,Q$17)</f>
        <v>0.31446638804049554</v>
      </c>
      <c r="R316" s="16"/>
      <c r="S316" s="16"/>
      <c r="T316" s="16"/>
      <c r="U316" s="16"/>
      <c r="V316" s="16">
        <f ca="1">_xll.DBRW($D$4,$E$7,$E$8,$E$9,$E$10,$E$12,$D316,$E$6,V$18,V$17)</f>
        <v>-1.1367887000000001</v>
      </c>
      <c r="W316" s="16">
        <f ca="1">_xll.DBRW($D$4,$E$7,$E$8,$E$9,$E$10,$E$12,$D316,$E$6,W$18,W$17)</f>
        <v>0.11923112862037967</v>
      </c>
      <c r="X316" s="16"/>
      <c r="Y316" s="16"/>
      <c r="Z316" s="16"/>
      <c r="AA316" s="16"/>
      <c r="AB316" s="16">
        <f ca="1">_xll.DBRW($D$4,$E$7,$E$8,$E$9,$E$10,$E$12,$D316,$E$6,AB$18,AB$17)</f>
        <v>-1.4655084</v>
      </c>
      <c r="AC316" s="16">
        <f ca="1">_xll.DBRW($D$4,$E$7,$E$8,$E$9,$E$10,$E$12,$D316,$E$6,AC$18,AC$17)</f>
        <v>0.15370861843951017</v>
      </c>
      <c r="AD316" s="16"/>
      <c r="AE316" s="16"/>
      <c r="AF316" s="16"/>
      <c r="AG316" s="16"/>
      <c r="AH316" s="16">
        <f ca="1">_xll.DBRW($D$4,$E$7,$E$8,$E$9,$E$10,$E$12,$D316,$E$6,AH$18,AH$17)</f>
        <v>-1.34606519</v>
      </c>
      <c r="AI316" s="16">
        <f ca="1">_xll.DBRW($D$4,$E$7,$E$8,$E$9,$E$10,$E$12,$D316,$E$6,AI$18,AI$17)</f>
        <v>0.14118091761494972</v>
      </c>
      <c r="AJ316" s="16"/>
      <c r="AK316" s="16"/>
      <c r="AL316" s="16"/>
      <c r="AM316" s="16"/>
      <c r="AN316" s="16">
        <f ca="1">_xll.DBRW($D$4,$E$7,$E$8,$E$9,$E$10,$E$12,$D316,$E$6,AN$18,AN$17)</f>
        <v>-0.38642422999999998</v>
      </c>
      <c r="AO316" s="16">
        <f ca="1">_xll.DBRW($D$4,$E$7,$E$8,$E$9,$E$10,$E$12,$D316,$E$6,AO$18,AO$17)</f>
        <v>4.0529781013095192E-2</v>
      </c>
      <c r="AP316" s="16"/>
      <c r="AQ316" s="16"/>
      <c r="AR316" s="16"/>
      <c r="AS316" s="16"/>
      <c r="AT316" s="16">
        <f ca="1">_xll.DBRW($D$4,$E$7,$E$8,$E$9,$E$10,$E$12,$D316,$E$6,AT$18,AT$17)</f>
        <v>0.10830736999999999</v>
      </c>
      <c r="AU316" s="16">
        <f ca="1">_xll.DBRW($D$4,$E$7,$E$8,$E$9,$E$10,$E$12,$D316,$E$6,AU$18,AU$17)</f>
        <v>8.884916000000001E-2</v>
      </c>
      <c r="AV316" s="16">
        <f ca="1">_xll.DBRW($D$4,$E$7,$E$8,$E$9,$E$10,$E$12,$D316,$E$6,AV$18,AV$17)</f>
        <v>3.2475759999999996</v>
      </c>
      <c r="AW316" s="16">
        <f ca="1">_xll.DBRW($D$4,$E$7,$E$8,$E$9,$E$10,$E$12,$D316,$E$6,AW$18,AW$17)</f>
        <v>8.884916000000001E-2</v>
      </c>
      <c r="AX316" s="16">
        <f ca="1">_xll.DBRW($D$4,$E$7,$E$8,$E$9,$E$10,$E$12,$D316,$E$6,AX$18,AX$17)</f>
        <v>1.3529734600000001</v>
      </c>
      <c r="AY316" s="16">
        <f ca="1">_xll.DBRW($D$4,$E$7,$E$8,$E$9,$E$10,$E$12,$D316,$E$6,AY$18,AY$17)</f>
        <v>8.884916000000001E-2</v>
      </c>
      <c r="AZ316" s="16">
        <f ca="1">_xll.DBRW($D$4,$E$7,$E$8,$E$9,$E$10,$E$12,$D316,$E$6,AZ$18,AZ$17)</f>
        <v>5.5000000000000002E-5</v>
      </c>
      <c r="BA316" s="16">
        <f ca="1">_xll.DBRW($D$4,$E$7,$E$8,$E$9,$E$10,$E$12,$D316,$E$6,BA$18,BA$17)</f>
        <v>8.884916000000001E-2</v>
      </c>
      <c r="BB316" s="16">
        <f ca="1">_xll.DBRW($D$4,$E$7,$E$8,$E$9,$E$10,$E$12,$D316,$E$6,BB$18,BB$17)</f>
        <v>8.884916000000001E-2</v>
      </c>
      <c r="BC316" s="16">
        <f ca="1">_xll.DBRW($D$4,$E$7,$E$8,$E$9,$E$10,$E$12,$D316,$E$6,BC$18,BC$17)</f>
        <v>8.884916000000001E-2</v>
      </c>
      <c r="BD316" s="16">
        <f ca="1">_xll.DBRW($D$4,$E$7,$E$8,$E$9,$E$10,$E$12,$D316,$E$6,BD$18,BD$17)</f>
        <v>1.3302880000000004</v>
      </c>
      <c r="BE316" s="16">
        <f ca="1">_xll.DBRW($D$4,$E$7,$E$8,$E$9,$E$10,$E$12,$D316,$E$6,BE$18,BE$17)</f>
        <v>-1.1218699999999999</v>
      </c>
      <c r="BF316" s="16">
        <f ca="1">_xll.DBRW($D$4,$E$7,$E$8,$E$9,$E$10,$E$12,$D316,$E$6,BF$18,BF$17)</f>
        <v>0</v>
      </c>
      <c r="BG316" s="26">
        <f ca="1">_xll.DBRW($D$4,$E$7,$E$8,$E$9,$E$10,$E$12,$D316,$E$6,BG$18,BG$17)</f>
        <v>-1.04E-2</v>
      </c>
      <c r="BH316" s="26">
        <f ca="1">_xll.DBRW($D$4,$E$7,$E$8,$E$9,$E$10,$E$12,$D316,$E$6,BH$18,BH$17)</f>
        <v>0</v>
      </c>
      <c r="BI316" s="26">
        <f ca="1">_xll.DBRW($D$4,$E$7,$E$8,$E$9,$E$10,$E$12,$D316,$E$6,BI$18,BI$17)</f>
        <v>0</v>
      </c>
      <c r="BJ316" s="26">
        <f ca="1">_xll.DBRW($D$4,$E$7,$E$8,$E$9,$E$10,$E$12,$D316,$E$6,BJ$18,BJ$17)</f>
        <v>0</v>
      </c>
      <c r="BK316" s="16">
        <f ca="1">_xll.DBRW($D$4,$E$7,$E$8,$E$9,$E$10,$E$12,$D316,$E$6,BK$18,BK$17)</f>
        <v>2.4625580000000005</v>
      </c>
      <c r="BL316" s="16">
        <f ca="1">_xll.DBRW($D$4,$E$7,$E$8,$E$9,$E$10,$E$12,$D316,$E$6,BL$18,BL$17)</f>
        <v>10.327762999999999</v>
      </c>
      <c r="BM316" s="16">
        <f ca="1">_xll.DBRW($D$4,$E$7,$E$8,$E$9,$E$10,$E$12,$D316,$E$6,BM$18,BM$17)</f>
        <v>-3.3793089999999997</v>
      </c>
      <c r="BN316" s="16">
        <f ca="1">_xll.DBRW($D$4,$E$7,$E$8,$E$9,$E$10,$E$12,$D316,$E$6,BN$18,BN$17)</f>
        <v>0.32720628852540479</v>
      </c>
      <c r="BO316" s="16"/>
      <c r="BP316" s="16"/>
      <c r="BQ316" s="16"/>
      <c r="BR316" s="16"/>
      <c r="BS316" s="16">
        <f ca="1">_xll.DBRW($D$4,$E$7,$E$8,$E$9,$E$10,$E$12,$D316,$E$6,BS$18,BS$17)</f>
        <v>-1.0775809999999999</v>
      </c>
      <c r="BT316" s="16">
        <f ca="1">_xll.DBRW($D$4,$E$7,$E$8,$E$9,$E$10,$E$12,$D316,$E$6,BT$18,BT$17)</f>
        <v>0.10433827732104232</v>
      </c>
      <c r="BU316" s="16"/>
      <c r="BV316" s="16"/>
      <c r="BW316" s="16"/>
      <c r="BX316" s="16"/>
      <c r="BY316" s="16">
        <f ca="1">_xll.DBRW($D$4,$E$7,$E$8,$E$9,$E$10,$E$12,$D316,$E$6,BY$18,BY$17)</f>
        <v>-1.4819149999999999</v>
      </c>
      <c r="BZ316" s="16">
        <f ca="1">_xll.DBRW($D$4,$E$7,$E$8,$E$9,$E$10,$E$12,$D316,$E$6,BZ$18,BZ$17)</f>
        <v>0.14348847857953362</v>
      </c>
      <c r="CA316" s="16"/>
      <c r="CB316" s="16"/>
      <c r="CC316" s="16"/>
      <c r="CD316" s="16"/>
      <c r="CE316" s="16">
        <f ca="1">_xll.DBRW($D$4,$E$7,$E$8,$E$9,$E$10,$E$12,$D316,$E$6,CE$18,CE$17)</f>
        <v>-1.477875</v>
      </c>
      <c r="CF316" s="16">
        <f ca="1">_xll.DBRW($D$4,$E$7,$E$8,$E$9,$E$10,$E$12,$D316,$E$6,CF$18,CF$17)</f>
        <v>0.14309729996708873</v>
      </c>
      <c r="CG316" s="16"/>
      <c r="CH316" s="16"/>
      <c r="CI316" s="16"/>
      <c r="CJ316" s="16"/>
      <c r="CK316" s="16">
        <f ca="1">_xll.DBRW($D$4,$E$7,$E$8,$E$9,$E$10,$E$12,$D316,$E$6,CK$18,CK$17)</f>
        <v>-0.44852500000000001</v>
      </c>
      <c r="CL316" s="16">
        <f ca="1">_xll.DBRW($D$4,$E$7,$E$8,$E$9,$E$10,$E$12,$D316,$E$6,CL$18,CL$17)</f>
        <v>4.3429056224469909E-2</v>
      </c>
      <c r="CM316" s="16"/>
      <c r="CN316" s="16"/>
      <c r="CO316" s="16"/>
      <c r="CP316" s="16"/>
      <c r="CQ316" s="16">
        <f ca="1">_xll.DBRW($D$4,$E$7,$E$8,$E$9,$E$10,$E$12,$D316,$E$6,CQ$18,CQ$17)</f>
        <v>0.11841499999999999</v>
      </c>
      <c r="CR316" s="16">
        <f ca="1">_xll.DBRW($D$4,$E$7,$E$8,$E$9,$E$10,$E$12,$D316,$E$6,CR$18,CR$17)</f>
        <v>9.5291260000000003E-2</v>
      </c>
      <c r="CS316" s="16">
        <f ca="1">_xll.DBRW($D$4,$E$7,$E$8,$E$9,$E$10,$E$12,$D316,$E$6,CS$18,CS$17)</f>
        <v>3.6542850000000002</v>
      </c>
      <c r="CT316" s="16">
        <f ca="1">_xll.DBRW($D$4,$E$7,$E$8,$E$9,$E$10,$E$12,$D316,$E$6,CT$18,CT$17)</f>
        <v>9.5291260000000003E-2</v>
      </c>
      <c r="CU316" s="16">
        <f ca="1">_xll.DBRW($D$4,$E$7,$E$8,$E$9,$E$10,$E$12,$D316,$E$6,CU$18,CU$17)</f>
        <v>1.5470459999999999</v>
      </c>
      <c r="CV316" s="16">
        <f ca="1">_xll.DBRW($D$4,$E$7,$E$8,$E$9,$E$10,$E$12,$D316,$E$6,CV$18,CV$17)</f>
        <v>9.5291260000000003E-2</v>
      </c>
      <c r="CW316" s="16">
        <f ca="1">_xll.DBRW($D$4,$E$7,$E$8,$E$9,$E$10,$E$12,$D316,$E$6,CW$18,CW$17)</f>
        <v>5.7000000000000003E-5</v>
      </c>
      <c r="CX316" s="16">
        <f ca="1">_xll.DBRW($D$4,$E$7,$E$8,$E$9,$E$10,$E$12,$D316,$E$6,CX$18,CX$17)</f>
        <v>9.5291260000000003E-2</v>
      </c>
      <c r="CY316" s="16">
        <f ca="1">_xll.DBRW($D$4,$E$7,$E$8,$E$9,$E$10,$E$12,$D316,$E$6,CY$18,CY$17)</f>
        <v>9.5291260000000003E-2</v>
      </c>
      <c r="CZ316" s="16">
        <f ca="1">_xll.DBRW($D$4,$E$7,$E$8,$E$9,$E$10,$E$12,$D316,$E$6,CZ$18,CZ$17)</f>
        <v>9.5291260000000003E-2</v>
      </c>
      <c r="DA316" s="26">
        <f t="shared" ca="1" si="165"/>
        <v>-0.22998654000000185</v>
      </c>
      <c r="DB316" s="26">
        <f t="shared" ca="1" si="166"/>
        <v>3.0905589999999927E-2</v>
      </c>
      <c r="DC316" s="26">
        <f t="shared" ca="1" si="167"/>
        <v>0</v>
      </c>
      <c r="DD316" s="26">
        <f t="shared" ca="1" si="168"/>
        <v>3.5001000000000129E-4</v>
      </c>
      <c r="DE316" s="26">
        <f t="shared" ca="1" si="169"/>
        <v>0</v>
      </c>
      <c r="DF316" s="26">
        <f t="shared" ca="1" si="170"/>
        <v>0</v>
      </c>
      <c r="DG316" s="26">
        <f t="shared" ca="1" si="171"/>
        <v>0</v>
      </c>
      <c r="DH316" s="26">
        <f t="shared" ca="1" si="172"/>
        <v>-0.26124214000000157</v>
      </c>
      <c r="DI316" s="26">
        <f t="shared" ca="1" si="173"/>
        <v>-0.79343489999999939</v>
      </c>
      <c r="DJ316" s="26">
        <f t="shared" ca="1" si="174"/>
        <v>0.38108327999999947</v>
      </c>
      <c r="DK316" s="26">
        <f t="shared" ca="1" si="175"/>
        <v>-1.273990048490925E-2</v>
      </c>
      <c r="DL316" s="26"/>
      <c r="DM316" s="26"/>
      <c r="DN316" s="26"/>
      <c r="DO316" s="26"/>
      <c r="DP316" s="26">
        <f t="shared" ca="1" si="176"/>
        <v>-5.9207700000000196E-2</v>
      </c>
      <c r="DQ316" s="26">
        <f t="shared" ca="1" si="177"/>
        <v>1.4892851299337345E-2</v>
      </c>
      <c r="DR316" s="26"/>
      <c r="DS316" s="26"/>
      <c r="DT316" s="26"/>
      <c r="DU316" s="26"/>
      <c r="DV316" s="26">
        <f t="shared" ca="1" si="178"/>
        <v>1.6406599999999827E-2</v>
      </c>
      <c r="DW316" s="26">
        <f t="shared" ca="1" si="179"/>
        <v>1.0220139859976551E-2</v>
      </c>
      <c r="DX316" s="26"/>
      <c r="DY316" s="26"/>
      <c r="DZ316" s="26"/>
      <c r="EA316" s="26"/>
      <c r="EB316" s="26">
        <f t="shared" ca="1" si="180"/>
        <v>0.13180981000000003</v>
      </c>
      <c r="EC316" s="26">
        <f t="shared" ca="1" si="181"/>
        <v>-1.9163823521390067E-3</v>
      </c>
      <c r="ED316" s="26"/>
      <c r="EE316" s="26"/>
      <c r="EF316" s="26"/>
      <c r="EG316" s="26"/>
      <c r="EH316" s="26">
        <f t="shared" ca="1" si="182"/>
        <v>6.2100770000000027E-2</v>
      </c>
      <c r="EI316" s="29">
        <f t="shared" ca="1" si="183"/>
        <v>-2.8992752113747161E-3</v>
      </c>
      <c r="EJ316" s="29"/>
      <c r="EK316" s="29"/>
      <c r="EL316" s="29"/>
      <c r="EM316" s="29"/>
      <c r="EN316" s="93"/>
      <c r="EO316" s="29"/>
      <c r="EP316" s="29"/>
      <c r="EQ316" s="29"/>
      <c r="ER316" s="29"/>
      <c r="ES316" s="29"/>
      <c r="ET316" s="29"/>
      <c r="EU316" s="93"/>
      <c r="EV316" s="29"/>
      <c r="EW316" s="29"/>
      <c r="EX316" s="29"/>
      <c r="EY316" s="29"/>
      <c r="EZ316" s="29"/>
      <c r="FA316" s="29"/>
      <c r="FB316" s="93"/>
      <c r="FC316" s="29"/>
      <c r="FD316" s="29"/>
      <c r="FE316" s="29"/>
      <c r="FF316" s="29"/>
      <c r="FG316" s="29"/>
      <c r="FH316" s="29"/>
      <c r="FI316" s="93"/>
      <c r="FJ316" s="29"/>
      <c r="FK316" s="29"/>
      <c r="FL316" s="29"/>
      <c r="FM316" s="29"/>
      <c r="FN316" s="29"/>
      <c r="FO316" s="29"/>
      <c r="FP316" s="93"/>
      <c r="FQ316" s="29"/>
      <c r="FR316" s="29"/>
      <c r="FS316" s="29"/>
      <c r="FT316" s="29"/>
      <c r="FU316" s="29"/>
      <c r="FV316" s="29"/>
    </row>
    <row r="317" spans="1:178" x14ac:dyDescent="0.25">
      <c r="A317" t="str">
        <f ca="1">IF(_xll.TM1RPTELISCONSOLIDATED($D$28,$D317),IF(_xll.TM1RPTELLEV($D$28,$D317)&lt;=3,_xll.TM1RPTELLEV($D$28,$D317),"D"),"N")</f>
        <v>N</v>
      </c>
      <c r="B317" t="str">
        <f ca="1">_xll.DBRA(Server&amp;"Management_organization",$D317,$B$27)</f>
        <v>L</v>
      </c>
      <c r="C317">
        <v>1</v>
      </c>
      <c r="D317" s="2" t="s">
        <v>267</v>
      </c>
      <c r="E317" s="26"/>
      <c r="F317" s="26"/>
      <c r="G317" s="16">
        <f ca="1">_xll.DBRW($D$4,$E$7,$E$8,$E$9,$E$10,$E$12,$D317,$E$6,G$18,G$17)</f>
        <v>0.6677037500000027</v>
      </c>
      <c r="H317" s="16">
        <f ca="1">_xll.DBRW($D$4,$E$7,$E$8,$E$9,$E$10,$E$12,$D317,$E$6,H$18,H$17)</f>
        <v>-1.3027705799999996</v>
      </c>
      <c r="I317" s="16">
        <f ca="1">_xll.DBRW($D$4,$E$7,$E$8,$E$9,$E$10,$E$12,$D317,$E$6,I$18,I$17)</f>
        <v>0</v>
      </c>
      <c r="J317" s="26">
        <f ca="1">_xll.DBRW($D$4,$E$7,$E$8,$E$9,$E$10,$E$12,$D317,$E$6,J$18,J$17)</f>
        <v>0</v>
      </c>
      <c r="K317" s="26">
        <f ca="1">_xll.DBRW($D$4,$E$7,$E$8,$E$9,$E$10,$E$12,$D317,$E$6,K$18,K$17)</f>
        <v>0</v>
      </c>
      <c r="L317" s="26">
        <f ca="1">_xll.DBRW($D$4,$E$7,$E$8,$E$9,$E$10,$E$12,$D317,$E$6,L$18,L$17)</f>
        <v>0</v>
      </c>
      <c r="M317" s="26">
        <f ca="1">_xll.DBRW($D$4,$E$7,$E$8,$E$9,$E$10,$E$12,$D317,$E$6,M$18,M$17)</f>
        <v>0</v>
      </c>
      <c r="N317" s="16">
        <f ca="1">_xll.DBRW($D$4,$E$7,$E$8,$E$9,$E$10,$E$12,$D317,$E$6,N$18,N$17)</f>
        <v>1.9704743300000025</v>
      </c>
      <c r="O317" s="16">
        <f ca="1">_xll.DBRW($D$4,$E$7,$E$8,$E$9,$E$10,$E$12,$D317,$E$6,O$18,O$17)</f>
        <v>10.63585056</v>
      </c>
      <c r="P317" s="74">
        <f ca="1">_xll.DBRW($D$4,$E$7,$E$8,$E$9,$E$10,$E$12,$D317,$E$6,P$18,P$17)</f>
        <v>-3.1982008199999998</v>
      </c>
      <c r="Q317" s="16">
        <f ca="1">_xll.DBRW($D$4,$E$7,$E$8,$E$9,$E$10,$E$12,$D317,$E$6,Q$18,Q$17)</f>
        <v>0.30070005233319108</v>
      </c>
      <c r="R317" s="16"/>
      <c r="S317" s="16"/>
      <c r="T317" s="16"/>
      <c r="U317" s="16"/>
      <c r="V317" s="16">
        <f ca="1">_xll.DBRW($D$4,$E$7,$E$8,$E$9,$E$10,$E$12,$D317,$E$6,V$18,V$17)</f>
        <v>-2.0371173499999999</v>
      </c>
      <c r="W317" s="16">
        <f ca="1">_xll.DBRW($D$4,$E$7,$E$8,$E$9,$E$10,$E$12,$D317,$E$6,W$18,W$17)</f>
        <v>0.1915330925823012</v>
      </c>
      <c r="X317" s="16"/>
      <c r="Y317" s="16"/>
      <c r="Z317" s="16"/>
      <c r="AA317" s="16"/>
      <c r="AB317" s="16">
        <f ca="1">_xll.DBRW($D$4,$E$7,$E$8,$E$9,$E$10,$E$12,$D317,$E$6,AB$18,AB$17)</f>
        <v>-1.4239978600000001</v>
      </c>
      <c r="AC317" s="16">
        <f ca="1">_xll.DBRW($D$4,$E$7,$E$8,$E$9,$E$10,$E$12,$D317,$E$6,AC$18,AC$17)</f>
        <v>0.13388659909866205</v>
      </c>
      <c r="AD317" s="16"/>
      <c r="AE317" s="16"/>
      <c r="AF317" s="16"/>
      <c r="AG317" s="16"/>
      <c r="AH317" s="16">
        <f ca="1">_xll.DBRW($D$4,$E$7,$E$8,$E$9,$E$10,$E$12,$D317,$E$6,AH$18,AH$17)</f>
        <v>-1.45639757</v>
      </c>
      <c r="AI317" s="16">
        <f ca="1">_xll.DBRW($D$4,$E$7,$E$8,$E$9,$E$10,$E$12,$D317,$E$6,AI$18,AI$17)</f>
        <v>0.1369328726258448</v>
      </c>
      <c r="AJ317" s="16"/>
      <c r="AK317" s="16"/>
      <c r="AL317" s="16"/>
      <c r="AM317" s="16"/>
      <c r="AN317" s="16">
        <f ca="1">_xll.DBRW($D$4,$E$7,$E$8,$E$9,$E$10,$E$12,$D317,$E$6,AN$18,AN$17)</f>
        <v>-0.54966262999999993</v>
      </c>
      <c r="AO317" s="16">
        <f ca="1">_xll.DBRW($D$4,$E$7,$E$8,$E$9,$E$10,$E$12,$D317,$E$6,AO$18,AO$17)</f>
        <v>5.1680176108077992E-2</v>
      </c>
      <c r="AP317" s="16"/>
      <c r="AQ317" s="16"/>
      <c r="AR317" s="16"/>
      <c r="AS317" s="16"/>
      <c r="AT317" s="16">
        <f ca="1">_xll.DBRW($D$4,$E$7,$E$8,$E$9,$E$10,$E$12,$D317,$E$6,AT$18,AT$17)</f>
        <v>0.12093957000000002</v>
      </c>
      <c r="AU317" s="16">
        <f ca="1">_xll.DBRW($D$4,$E$7,$E$8,$E$9,$E$10,$E$12,$D317,$E$6,AU$18,AU$17)</f>
        <v>9.2880999999999991E-2</v>
      </c>
      <c r="AV317" s="16">
        <f ca="1">_xll.DBRW($D$4,$E$7,$E$8,$E$9,$E$10,$E$12,$D317,$E$6,AV$18,AV$17)</f>
        <v>3.2094650000000002</v>
      </c>
      <c r="AW317" s="16">
        <f ca="1">_xll.DBRW($D$4,$E$7,$E$8,$E$9,$E$10,$E$12,$D317,$E$6,AW$18,AW$17)</f>
        <v>9.2880999999999991E-2</v>
      </c>
      <c r="AX317" s="16">
        <f ca="1">_xll.DBRW($D$4,$E$7,$E$8,$E$9,$E$10,$E$12,$D317,$E$6,AX$18,AX$17)</f>
        <v>1.4846030000000003</v>
      </c>
      <c r="AY317" s="16">
        <f ca="1">_xll.DBRW($D$4,$E$7,$E$8,$E$9,$E$10,$E$12,$D317,$E$6,AY$18,AY$17)</f>
        <v>9.2880999999999991E-2</v>
      </c>
      <c r="AZ317" s="16">
        <f ca="1">_xll.DBRW($D$4,$E$7,$E$8,$E$9,$E$10,$E$12,$D317,$E$6,AZ$18,AZ$17)</f>
        <v>5.9599999999999999E-5</v>
      </c>
      <c r="BA317" s="16">
        <f ca="1">_xll.DBRW($D$4,$E$7,$E$8,$E$9,$E$10,$E$12,$D317,$E$6,BA$18,BA$17)</f>
        <v>9.2880999999999991E-2</v>
      </c>
      <c r="BB317" s="16">
        <f ca="1">_xll.DBRW($D$4,$E$7,$E$8,$E$9,$E$10,$E$12,$D317,$E$6,BB$18,BB$17)</f>
        <v>9.2880999999999991E-2</v>
      </c>
      <c r="BC317" s="16">
        <f ca="1">_xll.DBRW($D$4,$E$7,$E$8,$E$9,$E$10,$E$12,$D317,$E$6,BC$18,BC$17)</f>
        <v>9.2880999999999991E-2</v>
      </c>
      <c r="BD317" s="16">
        <f ca="1">_xll.DBRW($D$4,$E$7,$E$8,$E$9,$E$10,$E$12,$D317,$E$6,BD$18,BD$17)</f>
        <v>1.5530440000000016</v>
      </c>
      <c r="BE317" s="16">
        <f ca="1">_xll.DBRW($D$4,$E$7,$E$8,$E$9,$E$10,$E$12,$D317,$E$6,BE$18,BE$17)</f>
        <v>-1.2233879999999999</v>
      </c>
      <c r="BF317" s="16">
        <f ca="1">_xll.DBRW($D$4,$E$7,$E$8,$E$9,$E$10,$E$12,$D317,$E$6,BF$18,BF$17)</f>
        <v>0</v>
      </c>
      <c r="BG317" s="26">
        <f ca="1">_xll.DBRW($D$4,$E$7,$E$8,$E$9,$E$10,$E$12,$D317,$E$6,BG$18,BG$17)</f>
        <v>0</v>
      </c>
      <c r="BH317" s="26">
        <f ca="1">_xll.DBRW($D$4,$E$7,$E$8,$E$9,$E$10,$E$12,$D317,$E$6,BH$18,BH$17)</f>
        <v>0</v>
      </c>
      <c r="BI317" s="26">
        <f ca="1">_xll.DBRW($D$4,$E$7,$E$8,$E$9,$E$10,$E$12,$D317,$E$6,BI$18,BI$17)</f>
        <v>0</v>
      </c>
      <c r="BJ317" s="26">
        <f ca="1">_xll.DBRW($D$4,$E$7,$E$8,$E$9,$E$10,$E$12,$D317,$E$6,BJ$18,BJ$17)</f>
        <v>0</v>
      </c>
      <c r="BK317" s="16">
        <f ca="1">_xll.DBRW($D$4,$E$7,$E$8,$E$9,$E$10,$E$12,$D317,$E$6,BK$18,BK$17)</f>
        <v>2.7764320000000011</v>
      </c>
      <c r="BL317" s="16">
        <f ca="1">_xll.DBRW($D$4,$E$7,$E$8,$E$9,$E$10,$E$12,$D317,$E$6,BL$18,BL$17)</f>
        <v>11.357374</v>
      </c>
      <c r="BM317" s="16">
        <f ca="1">_xll.DBRW($D$4,$E$7,$E$8,$E$9,$E$10,$E$12,$D317,$E$6,BM$18,BM$17)</f>
        <v>-3.3446070000000003</v>
      </c>
      <c r="BN317" s="16">
        <f ca="1">_xll.DBRW($D$4,$E$7,$E$8,$E$9,$E$10,$E$12,$D317,$E$6,BN$18,BN$17)</f>
        <v>0.29448770464017476</v>
      </c>
      <c r="BO317" s="16"/>
      <c r="BP317" s="16"/>
      <c r="BQ317" s="16"/>
      <c r="BR317" s="16"/>
      <c r="BS317" s="16">
        <f ca="1">_xll.DBRW($D$4,$E$7,$E$8,$E$9,$E$10,$E$12,$D317,$E$6,BS$18,BS$17)</f>
        <v>-1.6239239999999999</v>
      </c>
      <c r="BT317" s="16">
        <f ca="1">_xll.DBRW($D$4,$E$7,$E$8,$E$9,$E$10,$E$12,$D317,$E$6,BT$18,BT$17)</f>
        <v>0.14298410882656501</v>
      </c>
      <c r="BU317" s="16"/>
      <c r="BV317" s="16"/>
      <c r="BW317" s="16"/>
      <c r="BX317" s="16"/>
      <c r="BY317" s="16">
        <f ca="1">_xll.DBRW($D$4,$E$7,$E$8,$E$9,$E$10,$E$12,$D317,$E$6,BY$18,BY$17)</f>
        <v>-1.3380499999999997</v>
      </c>
      <c r="BZ317" s="16">
        <f ca="1">_xll.DBRW($D$4,$E$7,$E$8,$E$9,$E$10,$E$12,$D317,$E$6,BZ$18,BZ$17)</f>
        <v>0.1178133255099286</v>
      </c>
      <c r="CA317" s="16"/>
      <c r="CB317" s="16"/>
      <c r="CC317" s="16"/>
      <c r="CD317" s="16"/>
      <c r="CE317" s="16">
        <f ca="1">_xll.DBRW($D$4,$E$7,$E$8,$E$9,$E$10,$E$12,$D317,$E$6,CE$18,CE$17)</f>
        <v>-1.622225</v>
      </c>
      <c r="CF317" s="16">
        <f ca="1">_xll.DBRW($D$4,$E$7,$E$8,$E$9,$E$10,$E$12,$D317,$E$6,CF$18,CF$17)</f>
        <v>0.14283451438686443</v>
      </c>
      <c r="CG317" s="16"/>
      <c r="CH317" s="16"/>
      <c r="CI317" s="16"/>
      <c r="CJ317" s="16"/>
      <c r="CK317" s="16">
        <f ca="1">_xll.DBRW($D$4,$E$7,$E$8,$E$9,$E$10,$E$12,$D317,$E$6,CK$18,CK$17)</f>
        <v>-0.65213600000000005</v>
      </c>
      <c r="CL317" s="16">
        <f ca="1">_xll.DBRW($D$4,$E$7,$E$8,$E$9,$E$10,$E$12,$D317,$E$6,CL$18,CL$17)</f>
        <v>5.7419611258729353E-2</v>
      </c>
      <c r="CM317" s="16"/>
      <c r="CN317" s="16"/>
      <c r="CO317" s="16"/>
      <c r="CP317" s="16"/>
      <c r="CQ317" s="16">
        <f ca="1">_xll.DBRW($D$4,$E$7,$E$8,$E$9,$E$10,$E$12,$D317,$E$6,CQ$18,CQ$17)</f>
        <v>0.13203145000000002</v>
      </c>
      <c r="CR317" s="16">
        <f ca="1">_xll.DBRW($D$4,$E$7,$E$8,$E$9,$E$10,$E$12,$D317,$E$6,CR$18,CR$17)</f>
        <v>9.979528E-2</v>
      </c>
      <c r="CS317" s="16">
        <f ca="1">_xll.DBRW($D$4,$E$7,$E$8,$E$9,$E$10,$E$12,$D317,$E$6,CS$18,CS$17)</f>
        <v>3.5314930000000002</v>
      </c>
      <c r="CT317" s="16">
        <f ca="1">_xll.DBRW($D$4,$E$7,$E$8,$E$9,$E$10,$E$12,$D317,$E$6,CT$18,CT$17)</f>
        <v>9.979528E-2</v>
      </c>
      <c r="CU317" s="16">
        <f ca="1">_xll.DBRW($D$4,$E$7,$E$8,$E$9,$E$10,$E$12,$D317,$E$6,CU$18,CU$17)</f>
        <v>1.560978</v>
      </c>
      <c r="CV317" s="16">
        <f ca="1">_xll.DBRW($D$4,$E$7,$E$8,$E$9,$E$10,$E$12,$D317,$E$6,CV$18,CV$17)</f>
        <v>9.979528E-2</v>
      </c>
      <c r="CW317" s="16">
        <f ca="1">_xll.DBRW($D$4,$E$7,$E$8,$E$9,$E$10,$E$12,$D317,$E$6,CW$18,CW$17)</f>
        <v>5.7000000000000003E-5</v>
      </c>
      <c r="CX317" s="16">
        <f ca="1">_xll.DBRW($D$4,$E$7,$E$8,$E$9,$E$10,$E$12,$D317,$E$6,CX$18,CX$17)</f>
        <v>9.979528E-2</v>
      </c>
      <c r="CY317" s="16">
        <f ca="1">_xll.DBRW($D$4,$E$7,$E$8,$E$9,$E$10,$E$12,$D317,$E$6,CY$18,CY$17)</f>
        <v>9.979528E-2</v>
      </c>
      <c r="CZ317" s="16">
        <f ca="1">_xll.DBRW($D$4,$E$7,$E$8,$E$9,$E$10,$E$12,$D317,$E$6,CZ$18,CZ$17)</f>
        <v>9.979528E-2</v>
      </c>
      <c r="DA317" s="26">
        <f t="shared" ca="1" si="165"/>
        <v>-0.88534024999999894</v>
      </c>
      <c r="DB317" s="26">
        <f t="shared" ca="1" si="166"/>
        <v>-7.9382579999999647E-2</v>
      </c>
      <c r="DC317" s="26">
        <f t="shared" ca="1" si="167"/>
        <v>0</v>
      </c>
      <c r="DD317" s="26">
        <f t="shared" ca="1" si="168"/>
        <v>0</v>
      </c>
      <c r="DE317" s="26">
        <f t="shared" ca="1" si="169"/>
        <v>0</v>
      </c>
      <c r="DF317" s="26">
        <f t="shared" ca="1" si="170"/>
        <v>0</v>
      </c>
      <c r="DG317" s="26">
        <f t="shared" ca="1" si="171"/>
        <v>0</v>
      </c>
      <c r="DH317" s="26">
        <f t="shared" ca="1" si="172"/>
        <v>-0.80595766999999863</v>
      </c>
      <c r="DI317" s="26">
        <f t="shared" ca="1" si="173"/>
        <v>-0.72152344000000035</v>
      </c>
      <c r="DJ317" s="26">
        <f t="shared" ca="1" si="174"/>
        <v>0.1464061800000005</v>
      </c>
      <c r="DK317" s="26">
        <f t="shared" ca="1" si="175"/>
        <v>6.212347693016318E-3</v>
      </c>
      <c r="DL317" s="26"/>
      <c r="DM317" s="26"/>
      <c r="DN317" s="26"/>
      <c r="DO317" s="26"/>
      <c r="DP317" s="26">
        <f t="shared" ca="1" si="176"/>
        <v>-0.41319335000000001</v>
      </c>
      <c r="DQ317" s="26">
        <f t="shared" ca="1" si="177"/>
        <v>4.8548983755736186E-2</v>
      </c>
      <c r="DR317" s="26"/>
      <c r="DS317" s="26"/>
      <c r="DT317" s="26"/>
      <c r="DU317" s="26"/>
      <c r="DV317" s="26">
        <f t="shared" ca="1" si="178"/>
        <v>-8.594786000000032E-2</v>
      </c>
      <c r="DW317" s="26">
        <f t="shared" ca="1" si="179"/>
        <v>1.607327358873345E-2</v>
      </c>
      <c r="DX317" s="26"/>
      <c r="DY317" s="26"/>
      <c r="DZ317" s="26"/>
      <c r="EA317" s="26"/>
      <c r="EB317" s="26">
        <f t="shared" ca="1" si="180"/>
        <v>0.16582743</v>
      </c>
      <c r="EC317" s="26">
        <f t="shared" ca="1" si="181"/>
        <v>-5.9016417610196215E-3</v>
      </c>
      <c r="ED317" s="26"/>
      <c r="EE317" s="26"/>
      <c r="EF317" s="26"/>
      <c r="EG317" s="26"/>
      <c r="EH317" s="26">
        <f t="shared" ca="1" si="182"/>
        <v>0.10247337000000012</v>
      </c>
      <c r="EI317" s="29">
        <f t="shared" ca="1" si="183"/>
        <v>-5.7394351506513605E-3</v>
      </c>
      <c r="EJ317" s="29"/>
      <c r="EK317" s="29"/>
      <c r="EL317" s="29"/>
      <c r="EM317" s="29"/>
      <c r="EN317" s="93"/>
      <c r="EO317" s="29"/>
      <c r="EP317" s="29"/>
      <c r="EQ317" s="29"/>
      <c r="ER317" s="29"/>
      <c r="ES317" s="29"/>
      <c r="ET317" s="29"/>
      <c r="EU317" s="93"/>
      <c r="EV317" s="29"/>
      <c r="EW317" s="29"/>
      <c r="EX317" s="29"/>
      <c r="EY317" s="29"/>
      <c r="EZ317" s="29"/>
      <c r="FA317" s="29"/>
      <c r="FB317" s="93"/>
      <c r="FC317" s="29"/>
      <c r="FD317" s="29"/>
      <c r="FE317" s="29"/>
      <c r="FF317" s="29"/>
      <c r="FG317" s="29"/>
      <c r="FH317" s="29"/>
      <c r="FI317" s="93"/>
      <c r="FJ317" s="29"/>
      <c r="FK317" s="29"/>
      <c r="FL317" s="29"/>
      <c r="FM317" s="29"/>
      <c r="FN317" s="29"/>
      <c r="FO317" s="29"/>
      <c r="FP317" s="93"/>
      <c r="FQ317" s="29"/>
      <c r="FR317" s="29"/>
      <c r="FS317" s="29"/>
      <c r="FT317" s="29"/>
      <c r="FU317" s="29"/>
      <c r="FV317" s="29"/>
    </row>
    <row r="318" spans="1:178" x14ac:dyDescent="0.25">
      <c r="A318" t="str">
        <f ca="1">IF(_xll.TM1RPTELISCONSOLIDATED($D$28,$D318),IF(_xll.TM1RPTELLEV($D$28,$D318)&lt;=3,_xll.TM1RPTELLEV($D$28,$D318),"D"),"N")</f>
        <v>N</v>
      </c>
      <c r="B318" t="str">
        <f ca="1">_xll.DBRA(Server&amp;"Management_organization",$D318,$B$27)</f>
        <v/>
      </c>
      <c r="C318">
        <v>1</v>
      </c>
      <c r="D318" s="2" t="s">
        <v>122</v>
      </c>
      <c r="E318" s="26"/>
      <c r="F318" s="26"/>
      <c r="G318" s="16">
        <f ca="1">_xll.DBRW($D$4,$E$7,$E$8,$E$9,$E$10,$E$12,$D318,$E$6,G$18,G$17)</f>
        <v>-7.9686499999999955E-3</v>
      </c>
      <c r="H318" s="16">
        <f ca="1">_xll.DBRW($D$4,$E$7,$E$8,$E$9,$E$10,$E$12,$D318,$E$6,H$18,H$17)</f>
        <v>-2.388179E-2</v>
      </c>
      <c r="I318" s="16">
        <f ca="1">_xll.DBRW($D$4,$E$7,$E$8,$E$9,$E$10,$E$12,$D318,$E$6,I$18,I$17)</f>
        <v>0</v>
      </c>
      <c r="J318" s="26">
        <f ca="1">_xll.DBRW($D$4,$E$7,$E$8,$E$9,$E$10,$E$12,$D318,$E$6,J$18,J$17)</f>
        <v>0</v>
      </c>
      <c r="K318" s="26">
        <f ca="1">_xll.DBRW($D$4,$E$7,$E$8,$E$9,$E$10,$E$12,$D318,$E$6,K$18,K$17)</f>
        <v>0</v>
      </c>
      <c r="L318" s="26">
        <f ca="1">_xll.DBRW($D$4,$E$7,$E$8,$E$9,$E$10,$E$12,$D318,$E$6,L$18,L$17)</f>
        <v>0</v>
      </c>
      <c r="M318" s="26">
        <f ca="1">_xll.DBRW($D$4,$E$7,$E$8,$E$9,$E$10,$E$12,$D318,$E$6,M$18,M$17)</f>
        <v>0</v>
      </c>
      <c r="N318" s="16">
        <f ca="1">_xll.DBRW($D$4,$E$7,$E$8,$E$9,$E$10,$E$12,$D318,$E$6,N$18,N$17)</f>
        <v>1.5913140000000006E-2</v>
      </c>
      <c r="O318" s="16">
        <f ca="1">_xll.DBRW($D$4,$E$7,$E$8,$E$9,$E$10,$E$12,$D318,$E$6,O$18,O$17)</f>
        <v>0</v>
      </c>
      <c r="P318" s="74">
        <f ca="1">_xll.DBRW($D$4,$E$7,$E$8,$E$9,$E$10,$E$12,$D318,$E$6,P$18,P$17)</f>
        <v>0</v>
      </c>
      <c r="Q318" s="16">
        <f ca="1">_xll.DBRW($D$4,$E$7,$E$8,$E$9,$E$10,$E$12,$D318,$E$6,Q$18,Q$17)</f>
        <v>0</v>
      </c>
      <c r="R318" s="16"/>
      <c r="S318" s="16"/>
      <c r="T318" s="16"/>
      <c r="U318" s="16"/>
      <c r="V318" s="16">
        <f ca="1">_xll.DBRW($D$4,$E$7,$E$8,$E$9,$E$10,$E$12,$D318,$E$6,V$18,V$17)</f>
        <v>0</v>
      </c>
      <c r="W318" s="16">
        <f ca="1">_xll.DBRW($D$4,$E$7,$E$8,$E$9,$E$10,$E$12,$D318,$E$6,W$18,W$17)</f>
        <v>0</v>
      </c>
      <c r="X318" s="16"/>
      <c r="Y318" s="16"/>
      <c r="Z318" s="16"/>
      <c r="AA318" s="16"/>
      <c r="AB318" s="16">
        <f ca="1">_xll.DBRW($D$4,$E$7,$E$8,$E$9,$E$10,$E$12,$D318,$E$6,AB$18,AB$17)</f>
        <v>0</v>
      </c>
      <c r="AC318" s="16">
        <f ca="1">_xll.DBRW($D$4,$E$7,$E$8,$E$9,$E$10,$E$12,$D318,$E$6,AC$18,AC$17)</f>
        <v>0</v>
      </c>
      <c r="AD318" s="16"/>
      <c r="AE318" s="16"/>
      <c r="AF318" s="16"/>
      <c r="AG318" s="16"/>
      <c r="AH318" s="16">
        <f ca="1">_xll.DBRW($D$4,$E$7,$E$8,$E$9,$E$10,$E$12,$D318,$E$6,AH$18,AH$17)</f>
        <v>0</v>
      </c>
      <c r="AI318" s="16">
        <f ca="1">_xll.DBRW($D$4,$E$7,$E$8,$E$9,$E$10,$E$12,$D318,$E$6,AI$18,AI$17)</f>
        <v>0</v>
      </c>
      <c r="AJ318" s="16"/>
      <c r="AK318" s="16"/>
      <c r="AL318" s="16"/>
      <c r="AM318" s="16"/>
      <c r="AN318" s="16">
        <f ca="1">_xll.DBRW($D$4,$E$7,$E$8,$E$9,$E$10,$E$12,$D318,$E$6,AN$18,AN$17)</f>
        <v>1.5913140000000006E-2</v>
      </c>
      <c r="AO318" s="16">
        <f ca="1">_xll.DBRW($D$4,$E$7,$E$8,$E$9,$E$10,$E$12,$D318,$E$6,AO$18,AO$17)</f>
        <v>0</v>
      </c>
      <c r="AP318" s="16"/>
      <c r="AQ318" s="16"/>
      <c r="AR318" s="16"/>
      <c r="AS318" s="16"/>
      <c r="AT318" s="16">
        <f ca="1">_xll.DBRW($D$4,$E$7,$E$8,$E$9,$E$10,$E$12,$D318,$E$6,AT$18,AT$17)</f>
        <v>0</v>
      </c>
      <c r="AU318" s="16">
        <f ca="1">_xll.DBRW($D$4,$E$7,$E$8,$E$9,$E$10,$E$12,$D318,$E$6,AU$18,AU$17)</f>
        <v>0</v>
      </c>
      <c r="AV318" s="16">
        <f ca="1">_xll.DBRW($D$4,$E$7,$E$8,$E$9,$E$10,$E$12,$D318,$E$6,AV$18,AV$17)</f>
        <v>0</v>
      </c>
      <c r="AW318" s="16">
        <f ca="1">_xll.DBRW($D$4,$E$7,$E$8,$E$9,$E$10,$E$12,$D318,$E$6,AW$18,AW$17)</f>
        <v>0</v>
      </c>
      <c r="AX318" s="16">
        <f ca="1">_xll.DBRW($D$4,$E$7,$E$8,$E$9,$E$10,$E$12,$D318,$E$6,AX$18,AX$17)</f>
        <v>0</v>
      </c>
      <c r="AY318" s="16">
        <f ca="1">_xll.DBRW($D$4,$E$7,$E$8,$E$9,$E$10,$E$12,$D318,$E$6,AY$18,AY$17)</f>
        <v>0</v>
      </c>
      <c r="AZ318" s="16">
        <f ca="1">_xll.DBRW($D$4,$E$7,$E$8,$E$9,$E$10,$E$12,$D318,$E$6,AZ$18,AZ$17)</f>
        <v>0</v>
      </c>
      <c r="BA318" s="16">
        <f ca="1">_xll.DBRW($D$4,$E$7,$E$8,$E$9,$E$10,$E$12,$D318,$E$6,BA$18,BA$17)</f>
        <v>0</v>
      </c>
      <c r="BB318" s="16">
        <f ca="1">_xll.DBRW($D$4,$E$7,$E$8,$E$9,$E$10,$E$12,$D318,$E$6,BB$18,BB$17)</f>
        <v>0</v>
      </c>
      <c r="BC318" s="16">
        <f ca="1">_xll.DBRW($D$4,$E$7,$E$8,$E$9,$E$10,$E$12,$D318,$E$6,BC$18,BC$17)</f>
        <v>0</v>
      </c>
      <c r="BD318" s="16">
        <f ca="1">_xll.DBRW($D$4,$E$7,$E$8,$E$9,$E$10,$E$12,$D318,$E$6,BD$18,BD$17)</f>
        <v>-1.2397916666666672E-2</v>
      </c>
      <c r="BE318" s="16">
        <f ca="1">_xll.DBRW($D$4,$E$7,$E$8,$E$9,$E$10,$E$12,$D318,$E$6,BE$18,BE$17)</f>
        <v>-9.647916666666671E-3</v>
      </c>
      <c r="BF318" s="16">
        <f ca="1">_xll.DBRW($D$4,$E$7,$E$8,$E$9,$E$10,$E$12,$D318,$E$6,BF$18,BF$17)</f>
        <v>0</v>
      </c>
      <c r="BG318" s="26">
        <f ca="1">_xll.DBRW($D$4,$E$7,$E$8,$E$9,$E$10,$E$12,$D318,$E$6,BG$18,BG$17)</f>
        <v>0</v>
      </c>
      <c r="BH318" s="26">
        <f ca="1">_xll.DBRW($D$4,$E$7,$E$8,$E$9,$E$10,$E$12,$D318,$E$6,BH$18,BH$17)</f>
        <v>0</v>
      </c>
      <c r="BI318" s="26">
        <f ca="1">_xll.DBRW($D$4,$E$7,$E$8,$E$9,$E$10,$E$12,$D318,$E$6,BI$18,BI$17)</f>
        <v>0</v>
      </c>
      <c r="BJ318" s="26">
        <f ca="1">_xll.DBRW($D$4,$E$7,$E$8,$E$9,$E$10,$E$12,$D318,$E$6,BJ$18,BJ$17)</f>
        <v>0</v>
      </c>
      <c r="BK318" s="16">
        <f ca="1">_xll.DBRW($D$4,$E$7,$E$8,$E$9,$E$10,$E$12,$D318,$E$6,BK$18,BK$17)</f>
        <v>-2.7500000000000007E-3</v>
      </c>
      <c r="BL318" s="16">
        <f ca="1">_xll.DBRW($D$4,$E$7,$E$8,$E$9,$E$10,$E$12,$D318,$E$6,BL$18,BL$17)</f>
        <v>0</v>
      </c>
      <c r="BM318" s="16">
        <f ca="1">_xll.DBRW($D$4,$E$7,$E$8,$E$9,$E$10,$E$12,$D318,$E$6,BM$18,BM$17)</f>
        <v>0</v>
      </c>
      <c r="BN318" s="16">
        <f ca="1">_xll.DBRW($D$4,$E$7,$E$8,$E$9,$E$10,$E$12,$D318,$E$6,BN$18,BN$17)</f>
        <v>0</v>
      </c>
      <c r="BO318" s="16"/>
      <c r="BP318" s="16"/>
      <c r="BQ318" s="16"/>
      <c r="BR318" s="16"/>
      <c r="BS318" s="16">
        <f ca="1">_xll.DBRW($D$4,$E$7,$E$8,$E$9,$E$10,$E$12,$D318,$E$6,BS$18,BS$17)</f>
        <v>0</v>
      </c>
      <c r="BT318" s="16">
        <f ca="1">_xll.DBRW($D$4,$E$7,$E$8,$E$9,$E$10,$E$12,$D318,$E$6,BT$18,BT$17)</f>
        <v>0</v>
      </c>
      <c r="BU318" s="16"/>
      <c r="BV318" s="16"/>
      <c r="BW318" s="16"/>
      <c r="BX318" s="16"/>
      <c r="BY318" s="16">
        <f ca="1">_xll.DBRW($D$4,$E$7,$E$8,$E$9,$E$10,$E$12,$D318,$E$6,BY$18,BY$17)</f>
        <v>0</v>
      </c>
      <c r="BZ318" s="16">
        <f ca="1">_xll.DBRW($D$4,$E$7,$E$8,$E$9,$E$10,$E$12,$D318,$E$6,BZ$18,BZ$17)</f>
        <v>0</v>
      </c>
      <c r="CA318" s="16"/>
      <c r="CB318" s="16"/>
      <c r="CC318" s="16"/>
      <c r="CD318" s="16"/>
      <c r="CE318" s="16">
        <f ca="1">_xll.DBRW($D$4,$E$7,$E$8,$E$9,$E$10,$E$12,$D318,$E$6,CE$18,CE$17)</f>
        <v>0</v>
      </c>
      <c r="CF318" s="16">
        <f ca="1">_xll.DBRW($D$4,$E$7,$E$8,$E$9,$E$10,$E$12,$D318,$E$6,CF$18,CF$17)</f>
        <v>0</v>
      </c>
      <c r="CG318" s="16"/>
      <c r="CH318" s="16"/>
      <c r="CI318" s="16"/>
      <c r="CJ318" s="16"/>
      <c r="CK318" s="16">
        <f ca="1">_xll.DBRW($D$4,$E$7,$E$8,$E$9,$E$10,$E$12,$D318,$E$6,CK$18,CK$17)</f>
        <v>-2.7500000000000007E-3</v>
      </c>
      <c r="CL318" s="16">
        <f ca="1">_xll.DBRW($D$4,$E$7,$E$8,$E$9,$E$10,$E$12,$D318,$E$6,CL$18,CL$17)</f>
        <v>0</v>
      </c>
      <c r="CM318" s="16"/>
      <c r="CN318" s="16"/>
      <c r="CO318" s="16"/>
      <c r="CP318" s="16"/>
      <c r="CQ318" s="16">
        <f ca="1">_xll.DBRW($D$4,$E$7,$E$8,$E$9,$E$10,$E$12,$D318,$E$6,CQ$18,CQ$17)</f>
        <v>0</v>
      </c>
      <c r="CR318" s="16">
        <f ca="1">_xll.DBRW($D$4,$E$7,$E$8,$E$9,$E$10,$E$12,$D318,$E$6,CR$18,CR$17)</f>
        <v>0</v>
      </c>
      <c r="CS318" s="16">
        <f ca="1">_xll.DBRW($D$4,$E$7,$E$8,$E$9,$E$10,$E$12,$D318,$E$6,CS$18,CS$17)</f>
        <v>0</v>
      </c>
      <c r="CT318" s="16">
        <f ca="1">_xll.DBRW($D$4,$E$7,$E$8,$E$9,$E$10,$E$12,$D318,$E$6,CT$18,CT$17)</f>
        <v>0</v>
      </c>
      <c r="CU318" s="16">
        <f ca="1">_xll.DBRW($D$4,$E$7,$E$8,$E$9,$E$10,$E$12,$D318,$E$6,CU$18,CU$17)</f>
        <v>0</v>
      </c>
      <c r="CV318" s="16">
        <f ca="1">_xll.DBRW($D$4,$E$7,$E$8,$E$9,$E$10,$E$12,$D318,$E$6,CV$18,CV$17)</f>
        <v>0</v>
      </c>
      <c r="CW318" s="16">
        <f ca="1">_xll.DBRW($D$4,$E$7,$E$8,$E$9,$E$10,$E$12,$D318,$E$6,CW$18,CW$17)</f>
        <v>0</v>
      </c>
      <c r="CX318" s="16">
        <f ca="1">_xll.DBRW($D$4,$E$7,$E$8,$E$9,$E$10,$E$12,$D318,$E$6,CX$18,CX$17)</f>
        <v>0</v>
      </c>
      <c r="CY318" s="16">
        <f ca="1">_xll.DBRW($D$4,$E$7,$E$8,$E$9,$E$10,$E$12,$D318,$E$6,CY$18,CY$17)</f>
        <v>0</v>
      </c>
      <c r="CZ318" s="16">
        <f ca="1">_xll.DBRW($D$4,$E$7,$E$8,$E$9,$E$10,$E$12,$D318,$E$6,CZ$18,CZ$17)</f>
        <v>0</v>
      </c>
      <c r="DA318" s="26">
        <f t="shared" ca="1" si="165"/>
        <v>4.4292666666666761E-3</v>
      </c>
      <c r="DB318" s="26">
        <f t="shared" ca="1" si="166"/>
        <v>-1.4233873333333329E-2</v>
      </c>
      <c r="DC318" s="26">
        <f t="shared" ca="1" si="167"/>
        <v>0</v>
      </c>
      <c r="DD318" s="26">
        <f t="shared" ca="1" si="168"/>
        <v>0</v>
      </c>
      <c r="DE318" s="26">
        <f t="shared" ca="1" si="169"/>
        <v>0</v>
      </c>
      <c r="DF318" s="26">
        <f t="shared" ca="1" si="170"/>
        <v>0</v>
      </c>
      <c r="DG318" s="26">
        <f t="shared" ca="1" si="171"/>
        <v>0</v>
      </c>
      <c r="DH318" s="26">
        <f t="shared" ca="1" si="172"/>
        <v>1.8663140000000009E-2</v>
      </c>
      <c r="DI318" s="26">
        <f t="shared" ca="1" si="173"/>
        <v>0</v>
      </c>
      <c r="DJ318" s="26">
        <f t="shared" ca="1" si="174"/>
        <v>0</v>
      </c>
      <c r="DK318" s="26">
        <f t="shared" ca="1" si="175"/>
        <v>0</v>
      </c>
      <c r="DL318" s="26"/>
      <c r="DM318" s="26"/>
      <c r="DN318" s="26"/>
      <c r="DO318" s="26"/>
      <c r="DP318" s="26">
        <f t="shared" ca="1" si="176"/>
        <v>0</v>
      </c>
      <c r="DQ318" s="26">
        <f t="shared" ca="1" si="177"/>
        <v>0</v>
      </c>
      <c r="DR318" s="26"/>
      <c r="DS318" s="26"/>
      <c r="DT318" s="26"/>
      <c r="DU318" s="26"/>
      <c r="DV318" s="26">
        <f t="shared" ca="1" si="178"/>
        <v>0</v>
      </c>
      <c r="DW318" s="26">
        <f t="shared" ca="1" si="179"/>
        <v>0</v>
      </c>
      <c r="DX318" s="26"/>
      <c r="DY318" s="26"/>
      <c r="DZ318" s="26"/>
      <c r="EA318" s="26"/>
      <c r="EB318" s="26">
        <f t="shared" ca="1" si="180"/>
        <v>0</v>
      </c>
      <c r="EC318" s="26">
        <f t="shared" ca="1" si="181"/>
        <v>0</v>
      </c>
      <c r="ED318" s="26"/>
      <c r="EE318" s="26"/>
      <c r="EF318" s="26"/>
      <c r="EG318" s="26"/>
      <c r="EH318" s="26">
        <f t="shared" ca="1" si="182"/>
        <v>1.8663140000000009E-2</v>
      </c>
      <c r="EI318" s="29">
        <f t="shared" ca="1" si="183"/>
        <v>0</v>
      </c>
      <c r="EJ318" s="29"/>
      <c r="EK318" s="29"/>
      <c r="EL318" s="29"/>
      <c r="EM318" s="29"/>
      <c r="EN318" s="93"/>
      <c r="EO318" s="29"/>
      <c r="EP318" s="29"/>
      <c r="EQ318" s="29"/>
      <c r="ER318" s="29"/>
      <c r="ES318" s="29"/>
      <c r="ET318" s="29"/>
      <c r="EU318" s="93"/>
      <c r="EV318" s="29"/>
      <c r="EW318" s="29"/>
      <c r="EX318" s="29"/>
      <c r="EY318" s="29"/>
      <c r="EZ318" s="29"/>
      <c r="FA318" s="29"/>
      <c r="FB318" s="93"/>
      <c r="FC318" s="29"/>
      <c r="FD318" s="29"/>
      <c r="FE318" s="29"/>
      <c r="FF318" s="29"/>
      <c r="FG318" s="29"/>
      <c r="FH318" s="29"/>
      <c r="FI318" s="93"/>
      <c r="FJ318" s="29"/>
      <c r="FK318" s="29"/>
      <c r="FL318" s="29"/>
      <c r="FM318" s="29"/>
      <c r="FN318" s="29"/>
      <c r="FO318" s="29"/>
      <c r="FP318" s="93"/>
      <c r="FQ318" s="29"/>
      <c r="FR318" s="29"/>
      <c r="FS318" s="29"/>
      <c r="FT318" s="29"/>
      <c r="FU318" s="29"/>
      <c r="FV318" s="29"/>
    </row>
    <row r="319" spans="1:178" x14ac:dyDescent="0.25">
      <c r="A319" t="str">
        <f ca="1">IF(_xll.TM1RPTELISCONSOLIDATED($D$28,$D319),IF(_xll.TM1RPTELLEV($D$28,$D319)&lt;=3,_xll.TM1RPTELLEV($D$28,$D319),"D"),"N")</f>
        <v>N</v>
      </c>
      <c r="B319" t="str">
        <f ca="1">_xll.DBRA(Server&amp;"Management_organization",$D319,$B$27)</f>
        <v/>
      </c>
      <c r="C319">
        <v>1</v>
      </c>
      <c r="D319" s="2" t="s">
        <v>150</v>
      </c>
      <c r="E319" s="26"/>
      <c r="F319" s="26"/>
      <c r="G319" s="16">
        <f ca="1">_xll.DBRW($D$4,$E$7,$E$8,$E$9,$E$10,$E$12,$D319,$E$6,G$18,G$17)</f>
        <v>0</v>
      </c>
      <c r="H319" s="16">
        <f ca="1">_xll.DBRW($D$4,$E$7,$E$8,$E$9,$E$10,$E$12,$D319,$E$6,H$18,H$17)</f>
        <v>0</v>
      </c>
      <c r="I319" s="16">
        <f ca="1">_xll.DBRW($D$4,$E$7,$E$8,$E$9,$E$10,$E$12,$D319,$E$6,I$18,I$17)</f>
        <v>0</v>
      </c>
      <c r="J319" s="26">
        <f ca="1">_xll.DBRW($D$4,$E$7,$E$8,$E$9,$E$10,$E$12,$D319,$E$6,J$18,J$17)</f>
        <v>0</v>
      </c>
      <c r="K319" s="26">
        <f ca="1">_xll.DBRW($D$4,$E$7,$E$8,$E$9,$E$10,$E$12,$D319,$E$6,K$18,K$17)</f>
        <v>0</v>
      </c>
      <c r="L319" s="26">
        <f ca="1">_xll.DBRW($D$4,$E$7,$E$8,$E$9,$E$10,$E$12,$D319,$E$6,L$18,L$17)</f>
        <v>0</v>
      </c>
      <c r="M319" s="26">
        <f ca="1">_xll.DBRW($D$4,$E$7,$E$8,$E$9,$E$10,$E$12,$D319,$E$6,M$18,M$17)</f>
        <v>0</v>
      </c>
      <c r="N319" s="16">
        <f ca="1">_xll.DBRW($D$4,$E$7,$E$8,$E$9,$E$10,$E$12,$D319,$E$6,N$18,N$17)</f>
        <v>0</v>
      </c>
      <c r="O319" s="16">
        <f ca="1">_xll.DBRW($D$4,$E$7,$E$8,$E$9,$E$10,$E$12,$D319,$E$6,O$18,O$17)</f>
        <v>0</v>
      </c>
      <c r="P319" s="74">
        <f ca="1">_xll.DBRW($D$4,$E$7,$E$8,$E$9,$E$10,$E$12,$D319,$E$6,P$18,P$17)</f>
        <v>0</v>
      </c>
      <c r="Q319" s="16">
        <f ca="1">_xll.DBRW($D$4,$E$7,$E$8,$E$9,$E$10,$E$12,$D319,$E$6,Q$18,Q$17)</f>
        <v>0</v>
      </c>
      <c r="R319" s="16"/>
      <c r="S319" s="16"/>
      <c r="T319" s="16"/>
      <c r="U319" s="16"/>
      <c r="V319" s="16">
        <f ca="1">_xll.DBRW($D$4,$E$7,$E$8,$E$9,$E$10,$E$12,$D319,$E$6,V$18,V$17)</f>
        <v>0</v>
      </c>
      <c r="W319" s="16">
        <f ca="1">_xll.DBRW($D$4,$E$7,$E$8,$E$9,$E$10,$E$12,$D319,$E$6,W$18,W$17)</f>
        <v>0</v>
      </c>
      <c r="X319" s="16"/>
      <c r="Y319" s="16"/>
      <c r="Z319" s="16"/>
      <c r="AA319" s="16"/>
      <c r="AB319" s="16">
        <f ca="1">_xll.DBRW($D$4,$E$7,$E$8,$E$9,$E$10,$E$12,$D319,$E$6,AB$18,AB$17)</f>
        <v>0</v>
      </c>
      <c r="AC319" s="16">
        <f ca="1">_xll.DBRW($D$4,$E$7,$E$8,$E$9,$E$10,$E$12,$D319,$E$6,AC$18,AC$17)</f>
        <v>0</v>
      </c>
      <c r="AD319" s="16"/>
      <c r="AE319" s="16"/>
      <c r="AF319" s="16"/>
      <c r="AG319" s="16"/>
      <c r="AH319" s="16">
        <f ca="1">_xll.DBRW($D$4,$E$7,$E$8,$E$9,$E$10,$E$12,$D319,$E$6,AH$18,AH$17)</f>
        <v>0</v>
      </c>
      <c r="AI319" s="16">
        <f ca="1">_xll.DBRW($D$4,$E$7,$E$8,$E$9,$E$10,$E$12,$D319,$E$6,AI$18,AI$17)</f>
        <v>0</v>
      </c>
      <c r="AJ319" s="16"/>
      <c r="AK319" s="16"/>
      <c r="AL319" s="16"/>
      <c r="AM319" s="16"/>
      <c r="AN319" s="16">
        <f ca="1">_xll.DBRW($D$4,$E$7,$E$8,$E$9,$E$10,$E$12,$D319,$E$6,AN$18,AN$17)</f>
        <v>0</v>
      </c>
      <c r="AO319" s="16">
        <f ca="1">_xll.DBRW($D$4,$E$7,$E$8,$E$9,$E$10,$E$12,$D319,$E$6,AO$18,AO$17)</f>
        <v>0</v>
      </c>
      <c r="AP319" s="16"/>
      <c r="AQ319" s="16"/>
      <c r="AR319" s="16"/>
      <c r="AS319" s="16"/>
      <c r="AT319" s="16">
        <f ca="1">_xll.DBRW($D$4,$E$7,$E$8,$E$9,$E$10,$E$12,$D319,$E$6,AT$18,AT$17)</f>
        <v>0</v>
      </c>
      <c r="AU319" s="16">
        <f ca="1">_xll.DBRW($D$4,$E$7,$E$8,$E$9,$E$10,$E$12,$D319,$E$6,AU$18,AU$17)</f>
        <v>0</v>
      </c>
      <c r="AV319" s="16">
        <f ca="1">_xll.DBRW($D$4,$E$7,$E$8,$E$9,$E$10,$E$12,$D319,$E$6,AV$18,AV$17)</f>
        <v>0</v>
      </c>
      <c r="AW319" s="16">
        <f ca="1">_xll.DBRW($D$4,$E$7,$E$8,$E$9,$E$10,$E$12,$D319,$E$6,AW$18,AW$17)</f>
        <v>0</v>
      </c>
      <c r="AX319" s="16">
        <f ca="1">_xll.DBRW($D$4,$E$7,$E$8,$E$9,$E$10,$E$12,$D319,$E$6,AX$18,AX$17)</f>
        <v>0</v>
      </c>
      <c r="AY319" s="16">
        <f ca="1">_xll.DBRW($D$4,$E$7,$E$8,$E$9,$E$10,$E$12,$D319,$E$6,AY$18,AY$17)</f>
        <v>0</v>
      </c>
      <c r="AZ319" s="16">
        <f ca="1">_xll.DBRW($D$4,$E$7,$E$8,$E$9,$E$10,$E$12,$D319,$E$6,AZ$18,AZ$17)</f>
        <v>0</v>
      </c>
      <c r="BA319" s="16">
        <f ca="1">_xll.DBRW($D$4,$E$7,$E$8,$E$9,$E$10,$E$12,$D319,$E$6,BA$18,BA$17)</f>
        <v>0</v>
      </c>
      <c r="BB319" s="16">
        <f ca="1">_xll.DBRW($D$4,$E$7,$E$8,$E$9,$E$10,$E$12,$D319,$E$6,BB$18,BB$17)</f>
        <v>0</v>
      </c>
      <c r="BC319" s="16">
        <f ca="1">_xll.DBRW($D$4,$E$7,$E$8,$E$9,$E$10,$E$12,$D319,$E$6,BC$18,BC$17)</f>
        <v>0</v>
      </c>
      <c r="BD319" s="16">
        <f ca="1">_xll.DBRW($D$4,$E$7,$E$8,$E$9,$E$10,$E$12,$D319,$E$6,BD$18,BD$17)</f>
        <v>-5.5000000000000014E-3</v>
      </c>
      <c r="BE319" s="16">
        <f ca="1">_xll.DBRW($D$4,$E$7,$E$8,$E$9,$E$10,$E$12,$D319,$E$6,BE$18,BE$17)</f>
        <v>-5.5000000000000014E-3</v>
      </c>
      <c r="BF319" s="16">
        <f ca="1">_xll.DBRW($D$4,$E$7,$E$8,$E$9,$E$10,$E$12,$D319,$E$6,BF$18,BF$17)</f>
        <v>0</v>
      </c>
      <c r="BG319" s="26">
        <f ca="1">_xll.DBRW($D$4,$E$7,$E$8,$E$9,$E$10,$E$12,$D319,$E$6,BG$18,BG$17)</f>
        <v>0</v>
      </c>
      <c r="BH319" s="26">
        <f ca="1">_xll.DBRW($D$4,$E$7,$E$8,$E$9,$E$10,$E$12,$D319,$E$6,BH$18,BH$17)</f>
        <v>0</v>
      </c>
      <c r="BI319" s="26">
        <f ca="1">_xll.DBRW($D$4,$E$7,$E$8,$E$9,$E$10,$E$12,$D319,$E$6,BI$18,BI$17)</f>
        <v>0</v>
      </c>
      <c r="BJ319" s="26">
        <f ca="1">_xll.DBRW($D$4,$E$7,$E$8,$E$9,$E$10,$E$12,$D319,$E$6,BJ$18,BJ$17)</f>
        <v>0</v>
      </c>
      <c r="BK319" s="16">
        <f ca="1">_xll.DBRW($D$4,$E$7,$E$8,$E$9,$E$10,$E$12,$D319,$E$6,BK$18,BK$17)</f>
        <v>0</v>
      </c>
      <c r="BL319" s="16">
        <f ca="1">_xll.DBRW($D$4,$E$7,$E$8,$E$9,$E$10,$E$12,$D319,$E$6,BL$18,BL$17)</f>
        <v>0</v>
      </c>
      <c r="BM319" s="16">
        <f ca="1">_xll.DBRW($D$4,$E$7,$E$8,$E$9,$E$10,$E$12,$D319,$E$6,BM$18,BM$17)</f>
        <v>0</v>
      </c>
      <c r="BN319" s="16">
        <f ca="1">_xll.DBRW($D$4,$E$7,$E$8,$E$9,$E$10,$E$12,$D319,$E$6,BN$18,BN$17)</f>
        <v>0</v>
      </c>
      <c r="BO319" s="16"/>
      <c r="BP319" s="16"/>
      <c r="BQ319" s="16"/>
      <c r="BR319" s="16"/>
      <c r="BS319" s="16">
        <f ca="1">_xll.DBRW($D$4,$E$7,$E$8,$E$9,$E$10,$E$12,$D319,$E$6,BS$18,BS$17)</f>
        <v>0</v>
      </c>
      <c r="BT319" s="16">
        <f ca="1">_xll.DBRW($D$4,$E$7,$E$8,$E$9,$E$10,$E$12,$D319,$E$6,BT$18,BT$17)</f>
        <v>0</v>
      </c>
      <c r="BU319" s="16"/>
      <c r="BV319" s="16"/>
      <c r="BW319" s="16"/>
      <c r="BX319" s="16"/>
      <c r="BY319" s="16">
        <f ca="1">_xll.DBRW($D$4,$E$7,$E$8,$E$9,$E$10,$E$12,$D319,$E$6,BY$18,BY$17)</f>
        <v>0</v>
      </c>
      <c r="BZ319" s="16">
        <f ca="1">_xll.DBRW($D$4,$E$7,$E$8,$E$9,$E$10,$E$12,$D319,$E$6,BZ$18,BZ$17)</f>
        <v>0</v>
      </c>
      <c r="CA319" s="16"/>
      <c r="CB319" s="16"/>
      <c r="CC319" s="16"/>
      <c r="CD319" s="16"/>
      <c r="CE319" s="16">
        <f ca="1">_xll.DBRW($D$4,$E$7,$E$8,$E$9,$E$10,$E$12,$D319,$E$6,CE$18,CE$17)</f>
        <v>0</v>
      </c>
      <c r="CF319" s="16">
        <f ca="1">_xll.DBRW($D$4,$E$7,$E$8,$E$9,$E$10,$E$12,$D319,$E$6,CF$18,CF$17)</f>
        <v>0</v>
      </c>
      <c r="CG319" s="16"/>
      <c r="CH319" s="16"/>
      <c r="CI319" s="16"/>
      <c r="CJ319" s="16"/>
      <c r="CK319" s="16">
        <f ca="1">_xll.DBRW($D$4,$E$7,$E$8,$E$9,$E$10,$E$12,$D319,$E$6,CK$18,CK$17)</f>
        <v>0</v>
      </c>
      <c r="CL319" s="16">
        <f ca="1">_xll.DBRW($D$4,$E$7,$E$8,$E$9,$E$10,$E$12,$D319,$E$6,CL$18,CL$17)</f>
        <v>0</v>
      </c>
      <c r="CM319" s="16"/>
      <c r="CN319" s="16"/>
      <c r="CO319" s="16"/>
      <c r="CP319" s="16"/>
      <c r="CQ319" s="16">
        <f ca="1">_xll.DBRW($D$4,$E$7,$E$8,$E$9,$E$10,$E$12,$D319,$E$6,CQ$18,CQ$17)</f>
        <v>0</v>
      </c>
      <c r="CR319" s="16">
        <f ca="1">_xll.DBRW($D$4,$E$7,$E$8,$E$9,$E$10,$E$12,$D319,$E$6,CR$18,CR$17)</f>
        <v>0</v>
      </c>
      <c r="CS319" s="16">
        <f ca="1">_xll.DBRW($D$4,$E$7,$E$8,$E$9,$E$10,$E$12,$D319,$E$6,CS$18,CS$17)</f>
        <v>0</v>
      </c>
      <c r="CT319" s="16">
        <f ca="1">_xll.DBRW($D$4,$E$7,$E$8,$E$9,$E$10,$E$12,$D319,$E$6,CT$18,CT$17)</f>
        <v>0</v>
      </c>
      <c r="CU319" s="16">
        <f ca="1">_xll.DBRW($D$4,$E$7,$E$8,$E$9,$E$10,$E$12,$D319,$E$6,CU$18,CU$17)</f>
        <v>0</v>
      </c>
      <c r="CV319" s="16">
        <f ca="1">_xll.DBRW($D$4,$E$7,$E$8,$E$9,$E$10,$E$12,$D319,$E$6,CV$18,CV$17)</f>
        <v>0</v>
      </c>
      <c r="CW319" s="16">
        <f ca="1">_xll.DBRW($D$4,$E$7,$E$8,$E$9,$E$10,$E$12,$D319,$E$6,CW$18,CW$17)</f>
        <v>0</v>
      </c>
      <c r="CX319" s="16">
        <f ca="1">_xll.DBRW($D$4,$E$7,$E$8,$E$9,$E$10,$E$12,$D319,$E$6,CX$18,CX$17)</f>
        <v>0</v>
      </c>
      <c r="CY319" s="16">
        <f ca="1">_xll.DBRW($D$4,$E$7,$E$8,$E$9,$E$10,$E$12,$D319,$E$6,CY$18,CY$17)</f>
        <v>0</v>
      </c>
      <c r="CZ319" s="16">
        <f ca="1">_xll.DBRW($D$4,$E$7,$E$8,$E$9,$E$10,$E$12,$D319,$E$6,CZ$18,CZ$17)</f>
        <v>0</v>
      </c>
      <c r="DA319" s="26">
        <f t="shared" ca="1" si="165"/>
        <v>5.5000000000000014E-3</v>
      </c>
      <c r="DB319" s="26">
        <f t="shared" ca="1" si="166"/>
        <v>5.5000000000000014E-3</v>
      </c>
      <c r="DC319" s="26">
        <f t="shared" ca="1" si="167"/>
        <v>0</v>
      </c>
      <c r="DD319" s="26">
        <f t="shared" ca="1" si="168"/>
        <v>0</v>
      </c>
      <c r="DE319" s="26">
        <f t="shared" ca="1" si="169"/>
        <v>0</v>
      </c>
      <c r="DF319" s="26">
        <f t="shared" ca="1" si="170"/>
        <v>0</v>
      </c>
      <c r="DG319" s="26">
        <f t="shared" ca="1" si="171"/>
        <v>0</v>
      </c>
      <c r="DH319" s="26">
        <f t="shared" ca="1" si="172"/>
        <v>0</v>
      </c>
      <c r="DI319" s="26">
        <f t="shared" ca="1" si="173"/>
        <v>0</v>
      </c>
      <c r="DJ319" s="26">
        <f t="shared" ca="1" si="174"/>
        <v>0</v>
      </c>
      <c r="DK319" s="26">
        <f t="shared" ca="1" si="175"/>
        <v>0</v>
      </c>
      <c r="DL319" s="26"/>
      <c r="DM319" s="26"/>
      <c r="DN319" s="26"/>
      <c r="DO319" s="26"/>
      <c r="DP319" s="26">
        <f t="shared" ca="1" si="176"/>
        <v>0</v>
      </c>
      <c r="DQ319" s="26">
        <f t="shared" ca="1" si="177"/>
        <v>0</v>
      </c>
      <c r="DR319" s="26"/>
      <c r="DS319" s="26"/>
      <c r="DT319" s="26"/>
      <c r="DU319" s="26"/>
      <c r="DV319" s="26">
        <f t="shared" ca="1" si="178"/>
        <v>0</v>
      </c>
      <c r="DW319" s="26">
        <f t="shared" ca="1" si="179"/>
        <v>0</v>
      </c>
      <c r="DX319" s="26"/>
      <c r="DY319" s="26"/>
      <c r="DZ319" s="26"/>
      <c r="EA319" s="26"/>
      <c r="EB319" s="26">
        <f t="shared" ca="1" si="180"/>
        <v>0</v>
      </c>
      <c r="EC319" s="26">
        <f t="shared" ca="1" si="181"/>
        <v>0</v>
      </c>
      <c r="ED319" s="26"/>
      <c r="EE319" s="26"/>
      <c r="EF319" s="26"/>
      <c r="EG319" s="26"/>
      <c r="EH319" s="26">
        <f t="shared" ca="1" si="182"/>
        <v>0</v>
      </c>
      <c r="EI319" s="29">
        <f t="shared" ca="1" si="183"/>
        <v>0</v>
      </c>
      <c r="EJ319" s="29"/>
      <c r="EK319" s="29"/>
      <c r="EL319" s="29"/>
      <c r="EM319" s="29"/>
      <c r="EN319" s="93"/>
      <c r="EO319" s="29"/>
      <c r="EP319" s="29"/>
      <c r="EQ319" s="29"/>
      <c r="ER319" s="29"/>
      <c r="ES319" s="29"/>
      <c r="ET319" s="29"/>
      <c r="EU319" s="93"/>
      <c r="EV319" s="29"/>
      <c r="EW319" s="29"/>
      <c r="EX319" s="29"/>
      <c r="EY319" s="29"/>
      <c r="EZ319" s="29"/>
      <c r="FA319" s="29"/>
      <c r="FB319" s="93"/>
      <c r="FC319" s="29"/>
      <c r="FD319" s="29"/>
      <c r="FE319" s="29"/>
      <c r="FF319" s="29"/>
      <c r="FG319" s="29"/>
      <c r="FH319" s="29"/>
      <c r="FI319" s="93"/>
      <c r="FJ319" s="29"/>
      <c r="FK319" s="29"/>
      <c r="FL319" s="29"/>
      <c r="FM319" s="29"/>
      <c r="FN319" s="29"/>
      <c r="FO319" s="29"/>
      <c r="FP319" s="93"/>
      <c r="FQ319" s="29"/>
      <c r="FR319" s="29"/>
      <c r="FS319" s="29"/>
      <c r="FT319" s="29"/>
      <c r="FU319" s="29"/>
      <c r="FV319" s="29"/>
    </row>
    <row r="320" spans="1:178" x14ac:dyDescent="0.25">
      <c r="A320" t="str">
        <f ca="1">IF(_xll.TM1RPTELISCONSOLIDATED($D$28,$D320),IF(_xll.TM1RPTELLEV($D$28,$D320)&lt;=3,_xll.TM1RPTELLEV($D$28,$D320),"D"),"N")</f>
        <v>N</v>
      </c>
      <c r="B320" t="str">
        <f ca="1">_xll.DBRA(Server&amp;"Management_organization",$D320,$B$27)</f>
        <v/>
      </c>
      <c r="C320">
        <v>1</v>
      </c>
      <c r="D320" s="2" t="s">
        <v>156</v>
      </c>
      <c r="E320" s="26"/>
      <c r="F320" s="26"/>
      <c r="G320" s="16">
        <f ca="1">_xll.DBRW($D$4,$E$7,$E$8,$E$9,$E$10,$E$12,$D320,$E$6,G$18,G$17)</f>
        <v>1.9984000000000001E-4</v>
      </c>
      <c r="H320" s="16">
        <f ca="1">_xll.DBRW($D$4,$E$7,$E$8,$E$9,$E$10,$E$12,$D320,$E$6,H$18,H$17)</f>
        <v>0</v>
      </c>
      <c r="I320" s="16">
        <f ca="1">_xll.DBRW($D$4,$E$7,$E$8,$E$9,$E$10,$E$12,$D320,$E$6,I$18,I$17)</f>
        <v>0</v>
      </c>
      <c r="J320" s="26">
        <f ca="1">_xll.DBRW($D$4,$E$7,$E$8,$E$9,$E$10,$E$12,$D320,$E$6,J$18,J$17)</f>
        <v>0</v>
      </c>
      <c r="K320" s="26">
        <f ca="1">_xll.DBRW($D$4,$E$7,$E$8,$E$9,$E$10,$E$12,$D320,$E$6,K$18,K$17)</f>
        <v>0</v>
      </c>
      <c r="L320" s="26">
        <f ca="1">_xll.DBRW($D$4,$E$7,$E$8,$E$9,$E$10,$E$12,$D320,$E$6,L$18,L$17)</f>
        <v>0</v>
      </c>
      <c r="M320" s="26">
        <f ca="1">_xll.DBRW($D$4,$E$7,$E$8,$E$9,$E$10,$E$12,$D320,$E$6,M$18,M$17)</f>
        <v>0</v>
      </c>
      <c r="N320" s="16">
        <f ca="1">_xll.DBRW($D$4,$E$7,$E$8,$E$9,$E$10,$E$12,$D320,$E$6,N$18,N$17)</f>
        <v>1.9984000000000001E-4</v>
      </c>
      <c r="O320" s="16">
        <f ca="1">_xll.DBRW($D$4,$E$7,$E$8,$E$9,$E$10,$E$12,$D320,$E$6,O$18,O$17)</f>
        <v>0</v>
      </c>
      <c r="P320" s="74">
        <f ca="1">_xll.DBRW($D$4,$E$7,$E$8,$E$9,$E$10,$E$12,$D320,$E$6,P$18,P$17)</f>
        <v>0</v>
      </c>
      <c r="Q320" s="16">
        <f ca="1">_xll.DBRW($D$4,$E$7,$E$8,$E$9,$E$10,$E$12,$D320,$E$6,Q$18,Q$17)</f>
        <v>0</v>
      </c>
      <c r="R320" s="16"/>
      <c r="S320" s="16"/>
      <c r="T320" s="16"/>
      <c r="U320" s="16"/>
      <c r="V320" s="16">
        <f ca="1">_xll.DBRW($D$4,$E$7,$E$8,$E$9,$E$10,$E$12,$D320,$E$6,V$18,V$17)</f>
        <v>0</v>
      </c>
      <c r="W320" s="16">
        <f ca="1">_xll.DBRW($D$4,$E$7,$E$8,$E$9,$E$10,$E$12,$D320,$E$6,W$18,W$17)</f>
        <v>0</v>
      </c>
      <c r="X320" s="16"/>
      <c r="Y320" s="16"/>
      <c r="Z320" s="16"/>
      <c r="AA320" s="16"/>
      <c r="AB320" s="16">
        <f ca="1">_xll.DBRW($D$4,$E$7,$E$8,$E$9,$E$10,$E$12,$D320,$E$6,AB$18,AB$17)</f>
        <v>0</v>
      </c>
      <c r="AC320" s="16">
        <f ca="1">_xll.DBRW($D$4,$E$7,$E$8,$E$9,$E$10,$E$12,$D320,$E$6,AC$18,AC$17)</f>
        <v>0</v>
      </c>
      <c r="AD320" s="16"/>
      <c r="AE320" s="16"/>
      <c r="AF320" s="16"/>
      <c r="AG320" s="16"/>
      <c r="AH320" s="16">
        <f ca="1">_xll.DBRW($D$4,$E$7,$E$8,$E$9,$E$10,$E$12,$D320,$E$6,AH$18,AH$17)</f>
        <v>-1.3128E-4</v>
      </c>
      <c r="AI320" s="16">
        <f ca="1">_xll.DBRW($D$4,$E$7,$E$8,$E$9,$E$10,$E$12,$D320,$E$6,AI$18,AI$17)</f>
        <v>0</v>
      </c>
      <c r="AJ320" s="16"/>
      <c r="AK320" s="16"/>
      <c r="AL320" s="16"/>
      <c r="AM320" s="16"/>
      <c r="AN320" s="16">
        <f ca="1">_xll.DBRW($D$4,$E$7,$E$8,$E$9,$E$10,$E$12,$D320,$E$6,AN$18,AN$17)</f>
        <v>3.3112000000000001E-4</v>
      </c>
      <c r="AO320" s="16">
        <f ca="1">_xll.DBRW($D$4,$E$7,$E$8,$E$9,$E$10,$E$12,$D320,$E$6,AO$18,AO$17)</f>
        <v>0</v>
      </c>
      <c r="AP320" s="16"/>
      <c r="AQ320" s="16"/>
      <c r="AR320" s="16"/>
      <c r="AS320" s="16"/>
      <c r="AT320" s="16">
        <f ca="1">_xll.DBRW($D$4,$E$7,$E$8,$E$9,$E$10,$E$12,$D320,$E$6,AT$18,AT$17)</f>
        <v>0</v>
      </c>
      <c r="AU320" s="16">
        <f ca="1">_xll.DBRW($D$4,$E$7,$E$8,$E$9,$E$10,$E$12,$D320,$E$6,AU$18,AU$17)</f>
        <v>0</v>
      </c>
      <c r="AV320" s="16">
        <f ca="1">_xll.DBRW($D$4,$E$7,$E$8,$E$9,$E$10,$E$12,$D320,$E$6,AV$18,AV$17)</f>
        <v>0</v>
      </c>
      <c r="AW320" s="16">
        <f ca="1">_xll.DBRW($D$4,$E$7,$E$8,$E$9,$E$10,$E$12,$D320,$E$6,AW$18,AW$17)</f>
        <v>0</v>
      </c>
      <c r="AX320" s="16">
        <f ca="1">_xll.DBRW($D$4,$E$7,$E$8,$E$9,$E$10,$E$12,$D320,$E$6,AX$18,AX$17)</f>
        <v>0</v>
      </c>
      <c r="AY320" s="16">
        <f ca="1">_xll.DBRW($D$4,$E$7,$E$8,$E$9,$E$10,$E$12,$D320,$E$6,AY$18,AY$17)</f>
        <v>0</v>
      </c>
      <c r="AZ320" s="16">
        <f ca="1">_xll.DBRW($D$4,$E$7,$E$8,$E$9,$E$10,$E$12,$D320,$E$6,AZ$18,AZ$17)</f>
        <v>0</v>
      </c>
      <c r="BA320" s="16">
        <f ca="1">_xll.DBRW($D$4,$E$7,$E$8,$E$9,$E$10,$E$12,$D320,$E$6,BA$18,BA$17)</f>
        <v>0</v>
      </c>
      <c r="BB320" s="16">
        <f ca="1">_xll.DBRW($D$4,$E$7,$E$8,$E$9,$E$10,$E$12,$D320,$E$6,BB$18,BB$17)</f>
        <v>0</v>
      </c>
      <c r="BC320" s="16">
        <f ca="1">_xll.DBRW($D$4,$E$7,$E$8,$E$9,$E$10,$E$12,$D320,$E$6,BC$18,BC$17)</f>
        <v>0</v>
      </c>
      <c r="BD320" s="16">
        <f ca="1">_xll.DBRW($D$4,$E$7,$E$8,$E$9,$E$10,$E$12,$D320,$E$6,BD$18,BD$17)</f>
        <v>-5.5000000000000014E-3</v>
      </c>
      <c r="BE320" s="16">
        <f ca="1">_xll.DBRW($D$4,$E$7,$E$8,$E$9,$E$10,$E$12,$D320,$E$6,BE$18,BE$17)</f>
        <v>-5.5000000000000014E-3</v>
      </c>
      <c r="BF320" s="16">
        <f ca="1">_xll.DBRW($D$4,$E$7,$E$8,$E$9,$E$10,$E$12,$D320,$E$6,BF$18,BF$17)</f>
        <v>0</v>
      </c>
      <c r="BG320" s="26">
        <f ca="1">_xll.DBRW($D$4,$E$7,$E$8,$E$9,$E$10,$E$12,$D320,$E$6,BG$18,BG$17)</f>
        <v>0</v>
      </c>
      <c r="BH320" s="26">
        <f ca="1">_xll.DBRW($D$4,$E$7,$E$8,$E$9,$E$10,$E$12,$D320,$E$6,BH$18,BH$17)</f>
        <v>0</v>
      </c>
      <c r="BI320" s="26">
        <f ca="1">_xll.DBRW($D$4,$E$7,$E$8,$E$9,$E$10,$E$12,$D320,$E$6,BI$18,BI$17)</f>
        <v>0</v>
      </c>
      <c r="BJ320" s="26">
        <f ca="1">_xll.DBRW($D$4,$E$7,$E$8,$E$9,$E$10,$E$12,$D320,$E$6,BJ$18,BJ$17)</f>
        <v>0</v>
      </c>
      <c r="BK320" s="16">
        <f ca="1">_xll.DBRW($D$4,$E$7,$E$8,$E$9,$E$10,$E$12,$D320,$E$6,BK$18,BK$17)</f>
        <v>0</v>
      </c>
      <c r="BL320" s="16">
        <f ca="1">_xll.DBRW($D$4,$E$7,$E$8,$E$9,$E$10,$E$12,$D320,$E$6,BL$18,BL$17)</f>
        <v>0</v>
      </c>
      <c r="BM320" s="16">
        <f ca="1">_xll.DBRW($D$4,$E$7,$E$8,$E$9,$E$10,$E$12,$D320,$E$6,BM$18,BM$17)</f>
        <v>0</v>
      </c>
      <c r="BN320" s="16">
        <f ca="1">_xll.DBRW($D$4,$E$7,$E$8,$E$9,$E$10,$E$12,$D320,$E$6,BN$18,BN$17)</f>
        <v>0</v>
      </c>
      <c r="BO320" s="16"/>
      <c r="BP320" s="16"/>
      <c r="BQ320" s="16"/>
      <c r="BR320" s="16"/>
      <c r="BS320" s="16">
        <f ca="1">_xll.DBRW($D$4,$E$7,$E$8,$E$9,$E$10,$E$12,$D320,$E$6,BS$18,BS$17)</f>
        <v>0</v>
      </c>
      <c r="BT320" s="16">
        <f ca="1">_xll.DBRW($D$4,$E$7,$E$8,$E$9,$E$10,$E$12,$D320,$E$6,BT$18,BT$17)</f>
        <v>0</v>
      </c>
      <c r="BU320" s="16"/>
      <c r="BV320" s="16"/>
      <c r="BW320" s="16"/>
      <c r="BX320" s="16"/>
      <c r="BY320" s="16">
        <f ca="1">_xll.DBRW($D$4,$E$7,$E$8,$E$9,$E$10,$E$12,$D320,$E$6,BY$18,BY$17)</f>
        <v>0</v>
      </c>
      <c r="BZ320" s="16">
        <f ca="1">_xll.DBRW($D$4,$E$7,$E$8,$E$9,$E$10,$E$12,$D320,$E$6,BZ$18,BZ$17)</f>
        <v>0</v>
      </c>
      <c r="CA320" s="16"/>
      <c r="CB320" s="16"/>
      <c r="CC320" s="16"/>
      <c r="CD320" s="16"/>
      <c r="CE320" s="16">
        <f ca="1">_xll.DBRW($D$4,$E$7,$E$8,$E$9,$E$10,$E$12,$D320,$E$6,CE$18,CE$17)</f>
        <v>0</v>
      </c>
      <c r="CF320" s="16">
        <f ca="1">_xll.DBRW($D$4,$E$7,$E$8,$E$9,$E$10,$E$12,$D320,$E$6,CF$18,CF$17)</f>
        <v>0</v>
      </c>
      <c r="CG320" s="16"/>
      <c r="CH320" s="16"/>
      <c r="CI320" s="16"/>
      <c r="CJ320" s="16"/>
      <c r="CK320" s="16">
        <f ca="1">_xll.DBRW($D$4,$E$7,$E$8,$E$9,$E$10,$E$12,$D320,$E$6,CK$18,CK$17)</f>
        <v>0</v>
      </c>
      <c r="CL320" s="16">
        <f ca="1">_xll.DBRW($D$4,$E$7,$E$8,$E$9,$E$10,$E$12,$D320,$E$6,CL$18,CL$17)</f>
        <v>0</v>
      </c>
      <c r="CM320" s="16"/>
      <c r="CN320" s="16"/>
      <c r="CO320" s="16"/>
      <c r="CP320" s="16"/>
      <c r="CQ320" s="16">
        <f ca="1">_xll.DBRW($D$4,$E$7,$E$8,$E$9,$E$10,$E$12,$D320,$E$6,CQ$18,CQ$17)</f>
        <v>0</v>
      </c>
      <c r="CR320" s="16">
        <f ca="1">_xll.DBRW($D$4,$E$7,$E$8,$E$9,$E$10,$E$12,$D320,$E$6,CR$18,CR$17)</f>
        <v>0</v>
      </c>
      <c r="CS320" s="16">
        <f ca="1">_xll.DBRW($D$4,$E$7,$E$8,$E$9,$E$10,$E$12,$D320,$E$6,CS$18,CS$17)</f>
        <v>0</v>
      </c>
      <c r="CT320" s="16">
        <f ca="1">_xll.DBRW($D$4,$E$7,$E$8,$E$9,$E$10,$E$12,$D320,$E$6,CT$18,CT$17)</f>
        <v>0</v>
      </c>
      <c r="CU320" s="16">
        <f ca="1">_xll.DBRW($D$4,$E$7,$E$8,$E$9,$E$10,$E$12,$D320,$E$6,CU$18,CU$17)</f>
        <v>0</v>
      </c>
      <c r="CV320" s="16">
        <f ca="1">_xll.DBRW($D$4,$E$7,$E$8,$E$9,$E$10,$E$12,$D320,$E$6,CV$18,CV$17)</f>
        <v>0</v>
      </c>
      <c r="CW320" s="16">
        <f ca="1">_xll.DBRW($D$4,$E$7,$E$8,$E$9,$E$10,$E$12,$D320,$E$6,CW$18,CW$17)</f>
        <v>0</v>
      </c>
      <c r="CX320" s="16">
        <f ca="1">_xll.DBRW($D$4,$E$7,$E$8,$E$9,$E$10,$E$12,$D320,$E$6,CX$18,CX$17)</f>
        <v>0</v>
      </c>
      <c r="CY320" s="16">
        <f ca="1">_xll.DBRW($D$4,$E$7,$E$8,$E$9,$E$10,$E$12,$D320,$E$6,CY$18,CY$17)</f>
        <v>0</v>
      </c>
      <c r="CZ320" s="16">
        <f ca="1">_xll.DBRW($D$4,$E$7,$E$8,$E$9,$E$10,$E$12,$D320,$E$6,CZ$18,CZ$17)</f>
        <v>0</v>
      </c>
      <c r="DA320" s="26">
        <f t="shared" ca="1" si="165"/>
        <v>5.6998400000000012E-3</v>
      </c>
      <c r="DB320" s="26">
        <f t="shared" ca="1" si="166"/>
        <v>5.5000000000000014E-3</v>
      </c>
      <c r="DC320" s="26">
        <f t="shared" ca="1" si="167"/>
        <v>0</v>
      </c>
      <c r="DD320" s="26">
        <f t="shared" ca="1" si="168"/>
        <v>0</v>
      </c>
      <c r="DE320" s="26">
        <f t="shared" ca="1" si="169"/>
        <v>0</v>
      </c>
      <c r="DF320" s="26">
        <f t="shared" ca="1" si="170"/>
        <v>0</v>
      </c>
      <c r="DG320" s="26">
        <f t="shared" ca="1" si="171"/>
        <v>0</v>
      </c>
      <c r="DH320" s="26">
        <f t="shared" ca="1" si="172"/>
        <v>1.9984000000000001E-4</v>
      </c>
      <c r="DI320" s="26">
        <f t="shared" ca="1" si="173"/>
        <v>0</v>
      </c>
      <c r="DJ320" s="26">
        <f t="shared" ca="1" si="174"/>
        <v>0</v>
      </c>
      <c r="DK320" s="26">
        <f t="shared" ca="1" si="175"/>
        <v>0</v>
      </c>
      <c r="DL320" s="26"/>
      <c r="DM320" s="26"/>
      <c r="DN320" s="26"/>
      <c r="DO320" s="26"/>
      <c r="DP320" s="26">
        <f t="shared" ca="1" si="176"/>
        <v>0</v>
      </c>
      <c r="DQ320" s="26">
        <f t="shared" ca="1" si="177"/>
        <v>0</v>
      </c>
      <c r="DR320" s="26"/>
      <c r="DS320" s="26"/>
      <c r="DT320" s="26"/>
      <c r="DU320" s="26"/>
      <c r="DV320" s="26">
        <f t="shared" ca="1" si="178"/>
        <v>0</v>
      </c>
      <c r="DW320" s="26">
        <f t="shared" ca="1" si="179"/>
        <v>0</v>
      </c>
      <c r="DX320" s="26"/>
      <c r="DY320" s="26"/>
      <c r="DZ320" s="26"/>
      <c r="EA320" s="26"/>
      <c r="EB320" s="26">
        <f t="shared" ca="1" si="180"/>
        <v>-1.3128E-4</v>
      </c>
      <c r="EC320" s="26">
        <f t="shared" ca="1" si="181"/>
        <v>0</v>
      </c>
      <c r="ED320" s="26"/>
      <c r="EE320" s="26"/>
      <c r="EF320" s="26"/>
      <c r="EG320" s="26"/>
      <c r="EH320" s="26">
        <f t="shared" ca="1" si="182"/>
        <v>3.3112000000000001E-4</v>
      </c>
      <c r="EI320" s="29">
        <f t="shared" ca="1" si="183"/>
        <v>0</v>
      </c>
      <c r="EJ320" s="29"/>
      <c r="EK320" s="29"/>
      <c r="EL320" s="29"/>
      <c r="EM320" s="29"/>
      <c r="EN320" s="93"/>
      <c r="EO320" s="29"/>
      <c r="EP320" s="29"/>
      <c r="EQ320" s="29"/>
      <c r="ER320" s="29"/>
      <c r="ES320" s="29"/>
      <c r="ET320" s="29"/>
      <c r="EU320" s="93"/>
      <c r="EV320" s="29"/>
      <c r="EW320" s="29"/>
      <c r="EX320" s="29"/>
      <c r="EY320" s="29"/>
      <c r="EZ320" s="29"/>
      <c r="FA320" s="29"/>
      <c r="FB320" s="93"/>
      <c r="FC320" s="29"/>
      <c r="FD320" s="29"/>
      <c r="FE320" s="29"/>
      <c r="FF320" s="29"/>
      <c r="FG320" s="29"/>
      <c r="FH320" s="29"/>
      <c r="FI320" s="93"/>
      <c r="FJ320" s="29"/>
      <c r="FK320" s="29"/>
      <c r="FL320" s="29"/>
      <c r="FM320" s="29"/>
      <c r="FN320" s="29"/>
      <c r="FO320" s="29"/>
      <c r="FP320" s="93"/>
      <c r="FQ320" s="29"/>
      <c r="FR320" s="29"/>
      <c r="FS320" s="29"/>
      <c r="FT320" s="29"/>
      <c r="FU320" s="29"/>
      <c r="FV320" s="29"/>
    </row>
    <row r="321" spans="1:178" x14ac:dyDescent="0.25">
      <c r="A321" t="str">
        <f ca="1">IF(_xll.TM1RPTELISCONSOLIDATED($D$28,$D321),IF(_xll.TM1RPTELLEV($D$28,$D321)&lt;=3,_xll.TM1RPTELLEV($D$28,$D321),"D"),"N")</f>
        <v>N</v>
      </c>
      <c r="B321" t="str">
        <f ca="1">_xll.DBRA(Server&amp;"Management_organization",$D321,$B$27)</f>
        <v/>
      </c>
      <c r="C321">
        <v>1</v>
      </c>
      <c r="D321" s="2" t="s">
        <v>174</v>
      </c>
      <c r="E321" s="26"/>
      <c r="F321" s="26"/>
      <c r="G321" s="16">
        <f ca="1">_xll.DBRW($D$4,$E$7,$E$8,$E$9,$E$10,$E$12,$D321,$E$6,G$18,G$17)</f>
        <v>-2.4150569999999996E-2</v>
      </c>
      <c r="H321" s="16">
        <f ca="1">_xll.DBRW($D$4,$E$7,$E$8,$E$9,$E$10,$E$12,$D321,$E$6,H$18,H$17)</f>
        <v>-1.2476999999999999E-2</v>
      </c>
      <c r="I321" s="16">
        <f ca="1">_xll.DBRW($D$4,$E$7,$E$8,$E$9,$E$10,$E$12,$D321,$E$6,I$18,I$17)</f>
        <v>0</v>
      </c>
      <c r="J321" s="26">
        <f ca="1">_xll.DBRW($D$4,$E$7,$E$8,$E$9,$E$10,$E$12,$D321,$E$6,J$18,J$17)</f>
        <v>0</v>
      </c>
      <c r="K321" s="26">
        <f ca="1">_xll.DBRW($D$4,$E$7,$E$8,$E$9,$E$10,$E$12,$D321,$E$6,K$18,K$17)</f>
        <v>0</v>
      </c>
      <c r="L321" s="26">
        <f ca="1">_xll.DBRW($D$4,$E$7,$E$8,$E$9,$E$10,$E$12,$D321,$E$6,L$18,L$17)</f>
        <v>0</v>
      </c>
      <c r="M321" s="26">
        <f ca="1">_xll.DBRW($D$4,$E$7,$E$8,$E$9,$E$10,$E$12,$D321,$E$6,M$18,M$17)</f>
        <v>0</v>
      </c>
      <c r="N321" s="16">
        <f ca="1">_xll.DBRW($D$4,$E$7,$E$8,$E$9,$E$10,$E$12,$D321,$E$6,N$18,N$17)</f>
        <v>-1.1673569999999996E-2</v>
      </c>
      <c r="O321" s="16">
        <f ca="1">_xll.DBRW($D$4,$E$7,$E$8,$E$9,$E$10,$E$12,$D321,$E$6,O$18,O$17)</f>
        <v>0</v>
      </c>
      <c r="P321" s="74">
        <f ca="1">_xll.DBRW($D$4,$E$7,$E$8,$E$9,$E$10,$E$12,$D321,$E$6,P$18,P$17)</f>
        <v>-3.8947E-4</v>
      </c>
      <c r="Q321" s="16">
        <f ca="1">_xll.DBRW($D$4,$E$7,$E$8,$E$9,$E$10,$E$12,$D321,$E$6,Q$18,Q$17)</f>
        <v>0</v>
      </c>
      <c r="R321" s="16"/>
      <c r="S321" s="16"/>
      <c r="T321" s="16"/>
      <c r="U321" s="16"/>
      <c r="V321" s="16">
        <f ca="1">_xll.DBRW($D$4,$E$7,$E$8,$E$9,$E$10,$E$12,$D321,$E$6,V$18,V$17)</f>
        <v>0</v>
      </c>
      <c r="W321" s="16">
        <f ca="1">_xll.DBRW($D$4,$E$7,$E$8,$E$9,$E$10,$E$12,$D321,$E$6,W$18,W$17)</f>
        <v>0</v>
      </c>
      <c r="X321" s="16"/>
      <c r="Y321" s="16"/>
      <c r="Z321" s="16"/>
      <c r="AA321" s="16"/>
      <c r="AB321" s="16">
        <f ca="1">_xll.DBRW($D$4,$E$7,$E$8,$E$9,$E$10,$E$12,$D321,$E$6,AB$18,AB$17)</f>
        <v>0</v>
      </c>
      <c r="AC321" s="16">
        <f ca="1">_xll.DBRW($D$4,$E$7,$E$8,$E$9,$E$10,$E$12,$D321,$E$6,AC$18,AC$17)</f>
        <v>0</v>
      </c>
      <c r="AD321" s="16"/>
      <c r="AE321" s="16"/>
      <c r="AF321" s="16"/>
      <c r="AG321" s="16"/>
      <c r="AH321" s="16">
        <f ca="1">_xll.DBRW($D$4,$E$7,$E$8,$E$9,$E$10,$E$12,$D321,$E$6,AH$18,AH$17)</f>
        <v>9.1E-4</v>
      </c>
      <c r="AI321" s="16">
        <f ca="1">_xll.DBRW($D$4,$E$7,$E$8,$E$9,$E$10,$E$12,$D321,$E$6,AI$18,AI$17)</f>
        <v>0</v>
      </c>
      <c r="AJ321" s="16"/>
      <c r="AK321" s="16"/>
      <c r="AL321" s="16"/>
      <c r="AM321" s="16"/>
      <c r="AN321" s="16">
        <f ca="1">_xll.DBRW($D$4,$E$7,$E$8,$E$9,$E$10,$E$12,$D321,$E$6,AN$18,AN$17)</f>
        <v>-1.2194099999999996E-2</v>
      </c>
      <c r="AO321" s="16">
        <f ca="1">_xll.DBRW($D$4,$E$7,$E$8,$E$9,$E$10,$E$12,$D321,$E$6,AO$18,AO$17)</f>
        <v>0</v>
      </c>
      <c r="AP321" s="16"/>
      <c r="AQ321" s="16"/>
      <c r="AR321" s="16"/>
      <c r="AS321" s="16"/>
      <c r="AT321" s="16">
        <f ca="1">_xll.DBRW($D$4,$E$7,$E$8,$E$9,$E$10,$E$12,$D321,$E$6,AT$18,AT$17)</f>
        <v>0</v>
      </c>
      <c r="AU321" s="16">
        <f ca="1">_xll.DBRW($D$4,$E$7,$E$8,$E$9,$E$10,$E$12,$D321,$E$6,AU$18,AU$17)</f>
        <v>0</v>
      </c>
      <c r="AV321" s="16">
        <f ca="1">_xll.DBRW($D$4,$E$7,$E$8,$E$9,$E$10,$E$12,$D321,$E$6,AV$18,AV$17)</f>
        <v>0</v>
      </c>
      <c r="AW321" s="16">
        <f ca="1">_xll.DBRW($D$4,$E$7,$E$8,$E$9,$E$10,$E$12,$D321,$E$6,AW$18,AW$17)</f>
        <v>0</v>
      </c>
      <c r="AX321" s="16">
        <f ca="1">_xll.DBRW($D$4,$E$7,$E$8,$E$9,$E$10,$E$12,$D321,$E$6,AX$18,AX$17)</f>
        <v>0</v>
      </c>
      <c r="AY321" s="16">
        <f ca="1">_xll.DBRW($D$4,$E$7,$E$8,$E$9,$E$10,$E$12,$D321,$E$6,AY$18,AY$17)</f>
        <v>0</v>
      </c>
      <c r="AZ321" s="16">
        <f ca="1">_xll.DBRW($D$4,$E$7,$E$8,$E$9,$E$10,$E$12,$D321,$E$6,AZ$18,AZ$17)</f>
        <v>0</v>
      </c>
      <c r="BA321" s="16">
        <f ca="1">_xll.DBRW($D$4,$E$7,$E$8,$E$9,$E$10,$E$12,$D321,$E$6,BA$18,BA$17)</f>
        <v>0</v>
      </c>
      <c r="BB321" s="16">
        <f ca="1">_xll.DBRW($D$4,$E$7,$E$8,$E$9,$E$10,$E$12,$D321,$E$6,BB$18,BB$17)</f>
        <v>0</v>
      </c>
      <c r="BC321" s="16">
        <f ca="1">_xll.DBRW($D$4,$E$7,$E$8,$E$9,$E$10,$E$12,$D321,$E$6,BC$18,BC$17)</f>
        <v>0</v>
      </c>
      <c r="BD321" s="16">
        <f ca="1">_xll.DBRW($D$4,$E$7,$E$8,$E$9,$E$10,$E$12,$D321,$E$6,BD$18,BD$17)</f>
        <v>-1.2848999999999999E-2</v>
      </c>
      <c r="BE321" s="16">
        <f ca="1">_xll.DBRW($D$4,$E$7,$E$8,$E$9,$E$10,$E$12,$D321,$E$6,BE$18,BE$17)</f>
        <v>-1.2848999999999999E-2</v>
      </c>
      <c r="BF321" s="16">
        <f ca="1">_xll.DBRW($D$4,$E$7,$E$8,$E$9,$E$10,$E$12,$D321,$E$6,BF$18,BF$17)</f>
        <v>0</v>
      </c>
      <c r="BG321" s="26">
        <f ca="1">_xll.DBRW($D$4,$E$7,$E$8,$E$9,$E$10,$E$12,$D321,$E$6,BG$18,BG$17)</f>
        <v>0</v>
      </c>
      <c r="BH321" s="26">
        <f ca="1">_xll.DBRW($D$4,$E$7,$E$8,$E$9,$E$10,$E$12,$D321,$E$6,BH$18,BH$17)</f>
        <v>0</v>
      </c>
      <c r="BI321" s="26">
        <f ca="1">_xll.DBRW($D$4,$E$7,$E$8,$E$9,$E$10,$E$12,$D321,$E$6,BI$18,BI$17)</f>
        <v>0</v>
      </c>
      <c r="BJ321" s="26">
        <f ca="1">_xll.DBRW($D$4,$E$7,$E$8,$E$9,$E$10,$E$12,$D321,$E$6,BJ$18,BJ$17)</f>
        <v>0</v>
      </c>
      <c r="BK321" s="16">
        <f ca="1">_xll.DBRW($D$4,$E$7,$E$8,$E$9,$E$10,$E$12,$D321,$E$6,BK$18,BK$17)</f>
        <v>0</v>
      </c>
      <c r="BL321" s="16">
        <f ca="1">_xll.DBRW($D$4,$E$7,$E$8,$E$9,$E$10,$E$12,$D321,$E$6,BL$18,BL$17)</f>
        <v>0</v>
      </c>
      <c r="BM321" s="16">
        <f ca="1">_xll.DBRW($D$4,$E$7,$E$8,$E$9,$E$10,$E$12,$D321,$E$6,BM$18,BM$17)</f>
        <v>0</v>
      </c>
      <c r="BN321" s="16">
        <f ca="1">_xll.DBRW($D$4,$E$7,$E$8,$E$9,$E$10,$E$12,$D321,$E$6,BN$18,BN$17)</f>
        <v>0</v>
      </c>
      <c r="BO321" s="16"/>
      <c r="BP321" s="16"/>
      <c r="BQ321" s="16"/>
      <c r="BR321" s="16"/>
      <c r="BS321" s="16">
        <f ca="1">_xll.DBRW($D$4,$E$7,$E$8,$E$9,$E$10,$E$12,$D321,$E$6,BS$18,BS$17)</f>
        <v>0</v>
      </c>
      <c r="BT321" s="16">
        <f ca="1">_xll.DBRW($D$4,$E$7,$E$8,$E$9,$E$10,$E$12,$D321,$E$6,BT$18,BT$17)</f>
        <v>0</v>
      </c>
      <c r="BU321" s="16"/>
      <c r="BV321" s="16"/>
      <c r="BW321" s="16"/>
      <c r="BX321" s="16"/>
      <c r="BY321" s="16">
        <f ca="1">_xll.DBRW($D$4,$E$7,$E$8,$E$9,$E$10,$E$12,$D321,$E$6,BY$18,BY$17)</f>
        <v>0</v>
      </c>
      <c r="BZ321" s="16">
        <f ca="1">_xll.DBRW($D$4,$E$7,$E$8,$E$9,$E$10,$E$12,$D321,$E$6,BZ$18,BZ$17)</f>
        <v>0</v>
      </c>
      <c r="CA321" s="16"/>
      <c r="CB321" s="16"/>
      <c r="CC321" s="16"/>
      <c r="CD321" s="16"/>
      <c r="CE321" s="16">
        <f ca="1">_xll.DBRW($D$4,$E$7,$E$8,$E$9,$E$10,$E$12,$D321,$E$6,CE$18,CE$17)</f>
        <v>0</v>
      </c>
      <c r="CF321" s="16">
        <f ca="1">_xll.DBRW($D$4,$E$7,$E$8,$E$9,$E$10,$E$12,$D321,$E$6,CF$18,CF$17)</f>
        <v>0</v>
      </c>
      <c r="CG321" s="16"/>
      <c r="CH321" s="16"/>
      <c r="CI321" s="16"/>
      <c r="CJ321" s="16"/>
      <c r="CK321" s="16">
        <f ca="1">_xll.DBRW($D$4,$E$7,$E$8,$E$9,$E$10,$E$12,$D321,$E$6,CK$18,CK$17)</f>
        <v>0</v>
      </c>
      <c r="CL321" s="16">
        <f ca="1">_xll.DBRW($D$4,$E$7,$E$8,$E$9,$E$10,$E$12,$D321,$E$6,CL$18,CL$17)</f>
        <v>0</v>
      </c>
      <c r="CM321" s="16"/>
      <c r="CN321" s="16"/>
      <c r="CO321" s="16"/>
      <c r="CP321" s="16"/>
      <c r="CQ321" s="16">
        <f ca="1">_xll.DBRW($D$4,$E$7,$E$8,$E$9,$E$10,$E$12,$D321,$E$6,CQ$18,CQ$17)</f>
        <v>0</v>
      </c>
      <c r="CR321" s="16">
        <f ca="1">_xll.DBRW($D$4,$E$7,$E$8,$E$9,$E$10,$E$12,$D321,$E$6,CR$18,CR$17)</f>
        <v>0</v>
      </c>
      <c r="CS321" s="16">
        <f ca="1">_xll.DBRW($D$4,$E$7,$E$8,$E$9,$E$10,$E$12,$D321,$E$6,CS$18,CS$17)</f>
        <v>0</v>
      </c>
      <c r="CT321" s="16">
        <f ca="1">_xll.DBRW($D$4,$E$7,$E$8,$E$9,$E$10,$E$12,$D321,$E$6,CT$18,CT$17)</f>
        <v>0</v>
      </c>
      <c r="CU321" s="16">
        <f ca="1">_xll.DBRW($D$4,$E$7,$E$8,$E$9,$E$10,$E$12,$D321,$E$6,CU$18,CU$17)</f>
        <v>0</v>
      </c>
      <c r="CV321" s="16">
        <f ca="1">_xll.DBRW($D$4,$E$7,$E$8,$E$9,$E$10,$E$12,$D321,$E$6,CV$18,CV$17)</f>
        <v>0</v>
      </c>
      <c r="CW321" s="16">
        <f ca="1">_xll.DBRW($D$4,$E$7,$E$8,$E$9,$E$10,$E$12,$D321,$E$6,CW$18,CW$17)</f>
        <v>0</v>
      </c>
      <c r="CX321" s="16">
        <f ca="1">_xll.DBRW($D$4,$E$7,$E$8,$E$9,$E$10,$E$12,$D321,$E$6,CX$18,CX$17)</f>
        <v>0</v>
      </c>
      <c r="CY321" s="16">
        <f ca="1">_xll.DBRW($D$4,$E$7,$E$8,$E$9,$E$10,$E$12,$D321,$E$6,CY$18,CY$17)</f>
        <v>0</v>
      </c>
      <c r="CZ321" s="16">
        <f ca="1">_xll.DBRW($D$4,$E$7,$E$8,$E$9,$E$10,$E$12,$D321,$E$6,CZ$18,CZ$17)</f>
        <v>0</v>
      </c>
      <c r="DA321" s="26">
        <f t="shared" ca="1" si="165"/>
        <v>-1.1301569999999997E-2</v>
      </c>
      <c r="DB321" s="26">
        <f t="shared" ca="1" si="166"/>
        <v>3.720000000000008E-4</v>
      </c>
      <c r="DC321" s="26">
        <f t="shared" ca="1" si="167"/>
        <v>0</v>
      </c>
      <c r="DD321" s="26">
        <f t="shared" ca="1" si="168"/>
        <v>0</v>
      </c>
      <c r="DE321" s="26">
        <f t="shared" ca="1" si="169"/>
        <v>0</v>
      </c>
      <c r="DF321" s="26">
        <f t="shared" ca="1" si="170"/>
        <v>0</v>
      </c>
      <c r="DG321" s="26">
        <f t="shared" ca="1" si="171"/>
        <v>0</v>
      </c>
      <c r="DH321" s="26">
        <f t="shared" ca="1" si="172"/>
        <v>-1.1673569999999996E-2</v>
      </c>
      <c r="DI321" s="26">
        <f t="shared" ca="1" si="173"/>
        <v>0</v>
      </c>
      <c r="DJ321" s="26">
        <f t="shared" ca="1" si="174"/>
        <v>-3.8947E-4</v>
      </c>
      <c r="DK321" s="26">
        <f t="shared" ca="1" si="175"/>
        <v>0</v>
      </c>
      <c r="DL321" s="26"/>
      <c r="DM321" s="26"/>
      <c r="DN321" s="26"/>
      <c r="DO321" s="26"/>
      <c r="DP321" s="26">
        <f t="shared" ca="1" si="176"/>
        <v>0</v>
      </c>
      <c r="DQ321" s="26">
        <f t="shared" ca="1" si="177"/>
        <v>0</v>
      </c>
      <c r="DR321" s="26"/>
      <c r="DS321" s="26"/>
      <c r="DT321" s="26"/>
      <c r="DU321" s="26"/>
      <c r="DV321" s="26">
        <f t="shared" ca="1" si="178"/>
        <v>0</v>
      </c>
      <c r="DW321" s="26">
        <f t="shared" ca="1" si="179"/>
        <v>0</v>
      </c>
      <c r="DX321" s="26"/>
      <c r="DY321" s="26"/>
      <c r="DZ321" s="26"/>
      <c r="EA321" s="26"/>
      <c r="EB321" s="26">
        <f t="shared" ca="1" si="180"/>
        <v>9.1E-4</v>
      </c>
      <c r="EC321" s="26">
        <f t="shared" ca="1" si="181"/>
        <v>0</v>
      </c>
      <c r="ED321" s="26"/>
      <c r="EE321" s="26"/>
      <c r="EF321" s="26"/>
      <c r="EG321" s="26"/>
      <c r="EH321" s="26">
        <f t="shared" ca="1" si="182"/>
        <v>-1.2194099999999996E-2</v>
      </c>
      <c r="EI321" s="29">
        <f t="shared" ca="1" si="183"/>
        <v>0</v>
      </c>
      <c r="EJ321" s="29"/>
      <c r="EK321" s="29"/>
      <c r="EL321" s="29"/>
      <c r="EM321" s="29"/>
      <c r="EN321" s="93"/>
      <c r="EO321" s="29"/>
      <c r="EP321" s="29"/>
      <c r="EQ321" s="29"/>
      <c r="ER321" s="29"/>
      <c r="ES321" s="29"/>
      <c r="ET321" s="29"/>
      <c r="EU321" s="93"/>
      <c r="EV321" s="29"/>
      <c r="EW321" s="29"/>
      <c r="EX321" s="29"/>
      <c r="EY321" s="29"/>
      <c r="EZ321" s="29"/>
      <c r="FA321" s="29"/>
      <c r="FB321" s="93"/>
      <c r="FC321" s="29"/>
      <c r="FD321" s="29"/>
      <c r="FE321" s="29"/>
      <c r="FF321" s="29"/>
      <c r="FG321" s="29"/>
      <c r="FH321" s="29"/>
      <c r="FI321" s="93"/>
      <c r="FJ321" s="29"/>
      <c r="FK321" s="29"/>
      <c r="FL321" s="29"/>
      <c r="FM321" s="29"/>
      <c r="FN321" s="29"/>
      <c r="FO321" s="29"/>
      <c r="FP321" s="93"/>
      <c r="FQ321" s="29"/>
      <c r="FR321" s="29"/>
      <c r="FS321" s="29"/>
      <c r="FT321" s="29"/>
      <c r="FU321" s="29"/>
      <c r="FV321" s="29"/>
    </row>
    <row r="322" spans="1:178" x14ac:dyDescent="0.25">
      <c r="A322" t="str">
        <f ca="1">IF(_xll.TM1RPTELISCONSOLIDATED($D$28,$D322),IF(_xll.TM1RPTELLEV($D$28,$D322)&lt;=3,_xll.TM1RPTELLEV($D$28,$D322),"D"),"N")</f>
        <v>N</v>
      </c>
      <c r="B322" t="str">
        <f ca="1">_xll.DBRA(Server&amp;"Management_organization",$D322,$B$27)</f>
        <v/>
      </c>
      <c r="C322">
        <v>1</v>
      </c>
      <c r="D322" s="2" t="s">
        <v>377</v>
      </c>
      <c r="E322" s="26"/>
      <c r="F322" s="26"/>
      <c r="G322" s="16">
        <f ca="1">_xll.DBRW($D$4,$E$7,$E$8,$E$9,$E$10,$E$12,$D322,$E$6,G$18,G$17)</f>
        <v>-4.6499999999999996E-3</v>
      </c>
      <c r="H322" s="16">
        <f ca="1">_xll.DBRW($D$4,$E$7,$E$8,$E$9,$E$10,$E$12,$D322,$E$6,H$18,H$17)</f>
        <v>0</v>
      </c>
      <c r="I322" s="16">
        <f ca="1">_xll.DBRW($D$4,$E$7,$E$8,$E$9,$E$10,$E$12,$D322,$E$6,I$18,I$17)</f>
        <v>0</v>
      </c>
      <c r="J322" s="26">
        <f ca="1">_xll.DBRW($D$4,$E$7,$E$8,$E$9,$E$10,$E$12,$D322,$E$6,J$18,J$17)</f>
        <v>0</v>
      </c>
      <c r="K322" s="26">
        <f ca="1">_xll.DBRW($D$4,$E$7,$E$8,$E$9,$E$10,$E$12,$D322,$E$6,K$18,K$17)</f>
        <v>0</v>
      </c>
      <c r="L322" s="26">
        <f ca="1">_xll.DBRW($D$4,$E$7,$E$8,$E$9,$E$10,$E$12,$D322,$E$6,L$18,L$17)</f>
        <v>0</v>
      </c>
      <c r="M322" s="26">
        <f ca="1">_xll.DBRW($D$4,$E$7,$E$8,$E$9,$E$10,$E$12,$D322,$E$6,M$18,M$17)</f>
        <v>0</v>
      </c>
      <c r="N322" s="16">
        <f ca="1">_xll.DBRW($D$4,$E$7,$E$8,$E$9,$E$10,$E$12,$D322,$E$6,N$18,N$17)</f>
        <v>-4.6499999999999996E-3</v>
      </c>
      <c r="O322" s="16">
        <f ca="1">_xll.DBRW($D$4,$E$7,$E$8,$E$9,$E$10,$E$12,$D322,$E$6,O$18,O$17)</f>
        <v>0</v>
      </c>
      <c r="P322" s="74">
        <f ca="1">_xll.DBRW($D$4,$E$7,$E$8,$E$9,$E$10,$E$12,$D322,$E$6,P$18,P$17)</f>
        <v>0</v>
      </c>
      <c r="Q322" s="16">
        <f ca="1">_xll.DBRW($D$4,$E$7,$E$8,$E$9,$E$10,$E$12,$D322,$E$6,Q$18,Q$17)</f>
        <v>0</v>
      </c>
      <c r="R322" s="16"/>
      <c r="S322" s="16"/>
      <c r="T322" s="16"/>
      <c r="U322" s="16"/>
      <c r="V322" s="16">
        <f ca="1">_xll.DBRW($D$4,$E$7,$E$8,$E$9,$E$10,$E$12,$D322,$E$6,V$18,V$17)</f>
        <v>0</v>
      </c>
      <c r="W322" s="16">
        <f ca="1">_xll.DBRW($D$4,$E$7,$E$8,$E$9,$E$10,$E$12,$D322,$E$6,W$18,W$17)</f>
        <v>0</v>
      </c>
      <c r="X322" s="16"/>
      <c r="Y322" s="16"/>
      <c r="Z322" s="16"/>
      <c r="AA322" s="16"/>
      <c r="AB322" s="16">
        <f ca="1">_xll.DBRW($D$4,$E$7,$E$8,$E$9,$E$10,$E$12,$D322,$E$6,AB$18,AB$17)</f>
        <v>0</v>
      </c>
      <c r="AC322" s="16">
        <f ca="1">_xll.DBRW($D$4,$E$7,$E$8,$E$9,$E$10,$E$12,$D322,$E$6,AC$18,AC$17)</f>
        <v>0</v>
      </c>
      <c r="AD322" s="16"/>
      <c r="AE322" s="16"/>
      <c r="AF322" s="16"/>
      <c r="AG322" s="16"/>
      <c r="AH322" s="16">
        <f ca="1">_xll.DBRW($D$4,$E$7,$E$8,$E$9,$E$10,$E$12,$D322,$E$6,AH$18,AH$17)</f>
        <v>0</v>
      </c>
      <c r="AI322" s="16">
        <f ca="1">_xll.DBRW($D$4,$E$7,$E$8,$E$9,$E$10,$E$12,$D322,$E$6,AI$18,AI$17)</f>
        <v>0</v>
      </c>
      <c r="AJ322" s="16"/>
      <c r="AK322" s="16"/>
      <c r="AL322" s="16"/>
      <c r="AM322" s="16"/>
      <c r="AN322" s="16">
        <f ca="1">_xll.DBRW($D$4,$E$7,$E$8,$E$9,$E$10,$E$12,$D322,$E$6,AN$18,AN$17)</f>
        <v>-4.6499999999999996E-3</v>
      </c>
      <c r="AO322" s="16">
        <f ca="1">_xll.DBRW($D$4,$E$7,$E$8,$E$9,$E$10,$E$12,$D322,$E$6,AO$18,AO$17)</f>
        <v>0</v>
      </c>
      <c r="AP322" s="16"/>
      <c r="AQ322" s="16"/>
      <c r="AR322" s="16"/>
      <c r="AS322" s="16"/>
      <c r="AT322" s="16">
        <f ca="1">_xll.DBRW($D$4,$E$7,$E$8,$E$9,$E$10,$E$12,$D322,$E$6,AT$18,AT$17)</f>
        <v>0</v>
      </c>
      <c r="AU322" s="16">
        <f ca="1">_xll.DBRW($D$4,$E$7,$E$8,$E$9,$E$10,$E$12,$D322,$E$6,AU$18,AU$17)</f>
        <v>0</v>
      </c>
      <c r="AV322" s="16">
        <f ca="1">_xll.DBRW($D$4,$E$7,$E$8,$E$9,$E$10,$E$12,$D322,$E$6,AV$18,AV$17)</f>
        <v>0</v>
      </c>
      <c r="AW322" s="16">
        <f ca="1">_xll.DBRW($D$4,$E$7,$E$8,$E$9,$E$10,$E$12,$D322,$E$6,AW$18,AW$17)</f>
        <v>0</v>
      </c>
      <c r="AX322" s="16">
        <f ca="1">_xll.DBRW($D$4,$E$7,$E$8,$E$9,$E$10,$E$12,$D322,$E$6,AX$18,AX$17)</f>
        <v>0</v>
      </c>
      <c r="AY322" s="16">
        <f ca="1">_xll.DBRW($D$4,$E$7,$E$8,$E$9,$E$10,$E$12,$D322,$E$6,AY$18,AY$17)</f>
        <v>0</v>
      </c>
      <c r="AZ322" s="16" t="str">
        <f ca="1">_xll.DBRW($D$4,$E$7,$E$8,$E$9,$E$10,$E$12,$D322,$E$6,AZ$18,AZ$17)</f>
        <v/>
      </c>
      <c r="BA322" s="16">
        <f ca="1">_xll.DBRW($D$4,$E$7,$E$8,$E$9,$E$10,$E$12,$D322,$E$6,BA$18,BA$17)</f>
        <v>0</v>
      </c>
      <c r="BB322" s="16">
        <f ca="1">_xll.DBRW($D$4,$E$7,$E$8,$E$9,$E$10,$E$12,$D322,$E$6,BB$18,BB$17)</f>
        <v>0</v>
      </c>
      <c r="BC322" s="16">
        <f ca="1">_xll.DBRW($D$4,$E$7,$E$8,$E$9,$E$10,$E$12,$D322,$E$6,BC$18,BC$17)</f>
        <v>0</v>
      </c>
      <c r="BD322" s="16">
        <f ca="1">_xll.DBRW($D$4,$E$7,$E$8,$E$9,$E$10,$E$12,$D322,$E$6,BD$18,BD$17)</f>
        <v>0</v>
      </c>
      <c r="BE322" s="16">
        <f ca="1">_xll.DBRW($D$4,$E$7,$E$8,$E$9,$E$10,$E$12,$D322,$E$6,BE$18,BE$17)</f>
        <v>0</v>
      </c>
      <c r="BF322" s="16">
        <f ca="1">_xll.DBRW($D$4,$E$7,$E$8,$E$9,$E$10,$E$12,$D322,$E$6,BF$18,BF$17)</f>
        <v>0</v>
      </c>
      <c r="BG322" s="26">
        <f ca="1">_xll.DBRW($D$4,$E$7,$E$8,$E$9,$E$10,$E$12,$D322,$E$6,BG$18,BG$17)</f>
        <v>0</v>
      </c>
      <c r="BH322" s="26">
        <f ca="1">_xll.DBRW($D$4,$E$7,$E$8,$E$9,$E$10,$E$12,$D322,$E$6,BH$18,BH$17)</f>
        <v>0</v>
      </c>
      <c r="BI322" s="26">
        <f ca="1">_xll.DBRW($D$4,$E$7,$E$8,$E$9,$E$10,$E$12,$D322,$E$6,BI$18,BI$17)</f>
        <v>0</v>
      </c>
      <c r="BJ322" s="26">
        <f ca="1">_xll.DBRW($D$4,$E$7,$E$8,$E$9,$E$10,$E$12,$D322,$E$6,BJ$18,BJ$17)</f>
        <v>0</v>
      </c>
      <c r="BK322" s="16">
        <f ca="1">_xll.DBRW($D$4,$E$7,$E$8,$E$9,$E$10,$E$12,$D322,$E$6,BK$18,BK$17)</f>
        <v>0</v>
      </c>
      <c r="BL322" s="16">
        <f ca="1">_xll.DBRW($D$4,$E$7,$E$8,$E$9,$E$10,$E$12,$D322,$E$6,BL$18,BL$17)</f>
        <v>0</v>
      </c>
      <c r="BM322" s="16">
        <f ca="1">_xll.DBRW($D$4,$E$7,$E$8,$E$9,$E$10,$E$12,$D322,$E$6,BM$18,BM$17)</f>
        <v>0</v>
      </c>
      <c r="BN322" s="16">
        <f ca="1">_xll.DBRW($D$4,$E$7,$E$8,$E$9,$E$10,$E$12,$D322,$E$6,BN$18,BN$17)</f>
        <v>0</v>
      </c>
      <c r="BO322" s="16"/>
      <c r="BP322" s="16"/>
      <c r="BQ322" s="16"/>
      <c r="BR322" s="16"/>
      <c r="BS322" s="16">
        <f ca="1">_xll.DBRW($D$4,$E$7,$E$8,$E$9,$E$10,$E$12,$D322,$E$6,BS$18,BS$17)</f>
        <v>0</v>
      </c>
      <c r="BT322" s="16">
        <f ca="1">_xll.DBRW($D$4,$E$7,$E$8,$E$9,$E$10,$E$12,$D322,$E$6,BT$18,BT$17)</f>
        <v>0</v>
      </c>
      <c r="BU322" s="16"/>
      <c r="BV322" s="16"/>
      <c r="BW322" s="16"/>
      <c r="BX322" s="16"/>
      <c r="BY322" s="16">
        <f ca="1">_xll.DBRW($D$4,$E$7,$E$8,$E$9,$E$10,$E$12,$D322,$E$6,BY$18,BY$17)</f>
        <v>0</v>
      </c>
      <c r="BZ322" s="16">
        <f ca="1">_xll.DBRW($D$4,$E$7,$E$8,$E$9,$E$10,$E$12,$D322,$E$6,BZ$18,BZ$17)</f>
        <v>0</v>
      </c>
      <c r="CA322" s="16"/>
      <c r="CB322" s="16"/>
      <c r="CC322" s="16"/>
      <c r="CD322" s="16"/>
      <c r="CE322" s="16">
        <f ca="1">_xll.DBRW($D$4,$E$7,$E$8,$E$9,$E$10,$E$12,$D322,$E$6,CE$18,CE$17)</f>
        <v>0</v>
      </c>
      <c r="CF322" s="16">
        <f ca="1">_xll.DBRW($D$4,$E$7,$E$8,$E$9,$E$10,$E$12,$D322,$E$6,CF$18,CF$17)</f>
        <v>0</v>
      </c>
      <c r="CG322" s="16"/>
      <c r="CH322" s="16"/>
      <c r="CI322" s="16"/>
      <c r="CJ322" s="16"/>
      <c r="CK322" s="16">
        <f ca="1">_xll.DBRW($D$4,$E$7,$E$8,$E$9,$E$10,$E$12,$D322,$E$6,CK$18,CK$17)</f>
        <v>0</v>
      </c>
      <c r="CL322" s="16">
        <f ca="1">_xll.DBRW($D$4,$E$7,$E$8,$E$9,$E$10,$E$12,$D322,$E$6,CL$18,CL$17)</f>
        <v>0</v>
      </c>
      <c r="CM322" s="16"/>
      <c r="CN322" s="16"/>
      <c r="CO322" s="16"/>
      <c r="CP322" s="16"/>
      <c r="CQ322" s="16">
        <f ca="1">_xll.DBRW($D$4,$E$7,$E$8,$E$9,$E$10,$E$12,$D322,$E$6,CQ$18,CQ$17)</f>
        <v>0</v>
      </c>
      <c r="CR322" s="16">
        <f ca="1">_xll.DBRW($D$4,$E$7,$E$8,$E$9,$E$10,$E$12,$D322,$E$6,CR$18,CR$17)</f>
        <v>0</v>
      </c>
      <c r="CS322" s="16">
        <f ca="1">_xll.DBRW($D$4,$E$7,$E$8,$E$9,$E$10,$E$12,$D322,$E$6,CS$18,CS$17)</f>
        <v>0</v>
      </c>
      <c r="CT322" s="16">
        <f ca="1">_xll.DBRW($D$4,$E$7,$E$8,$E$9,$E$10,$E$12,$D322,$E$6,CT$18,CT$17)</f>
        <v>0</v>
      </c>
      <c r="CU322" s="16">
        <f ca="1">_xll.DBRW($D$4,$E$7,$E$8,$E$9,$E$10,$E$12,$D322,$E$6,CU$18,CU$17)</f>
        <v>0</v>
      </c>
      <c r="CV322" s="16">
        <f ca="1">_xll.DBRW($D$4,$E$7,$E$8,$E$9,$E$10,$E$12,$D322,$E$6,CV$18,CV$17)</f>
        <v>0</v>
      </c>
      <c r="CW322" s="16" t="str">
        <f ca="1">_xll.DBRW($D$4,$E$7,$E$8,$E$9,$E$10,$E$12,$D322,$E$6,CW$18,CW$17)</f>
        <v/>
      </c>
      <c r="CX322" s="16">
        <f ca="1">_xll.DBRW($D$4,$E$7,$E$8,$E$9,$E$10,$E$12,$D322,$E$6,CX$18,CX$17)</f>
        <v>0</v>
      </c>
      <c r="CY322" s="16">
        <f ca="1">_xll.DBRW($D$4,$E$7,$E$8,$E$9,$E$10,$E$12,$D322,$E$6,CY$18,CY$17)</f>
        <v>0</v>
      </c>
      <c r="CZ322" s="16">
        <f ca="1">_xll.DBRW($D$4,$E$7,$E$8,$E$9,$E$10,$E$12,$D322,$E$6,CZ$18,CZ$17)</f>
        <v>0</v>
      </c>
      <c r="DA322" s="26">
        <f t="shared" ca="1" si="165"/>
        <v>-4.6499999999999996E-3</v>
      </c>
      <c r="DB322" s="26">
        <f t="shared" ca="1" si="166"/>
        <v>0</v>
      </c>
      <c r="DC322" s="26">
        <f t="shared" ca="1" si="167"/>
        <v>0</v>
      </c>
      <c r="DD322" s="26">
        <f t="shared" ca="1" si="168"/>
        <v>0</v>
      </c>
      <c r="DE322" s="26">
        <f t="shared" ca="1" si="169"/>
        <v>0</v>
      </c>
      <c r="DF322" s="26">
        <f t="shared" ca="1" si="170"/>
        <v>0</v>
      </c>
      <c r="DG322" s="26">
        <f t="shared" ca="1" si="171"/>
        <v>0</v>
      </c>
      <c r="DH322" s="26">
        <f t="shared" ca="1" si="172"/>
        <v>-4.6499999999999996E-3</v>
      </c>
      <c r="DI322" s="26">
        <f t="shared" ca="1" si="173"/>
        <v>0</v>
      </c>
      <c r="DJ322" s="26">
        <f t="shared" ca="1" si="174"/>
        <v>0</v>
      </c>
      <c r="DK322" s="26">
        <f t="shared" ca="1" si="175"/>
        <v>0</v>
      </c>
      <c r="DL322" s="26"/>
      <c r="DM322" s="26"/>
      <c r="DN322" s="26"/>
      <c r="DO322" s="26"/>
      <c r="DP322" s="26">
        <f t="shared" ca="1" si="176"/>
        <v>0</v>
      </c>
      <c r="DQ322" s="26">
        <f t="shared" ca="1" si="177"/>
        <v>0</v>
      </c>
      <c r="DR322" s="26"/>
      <c r="DS322" s="26"/>
      <c r="DT322" s="26"/>
      <c r="DU322" s="26"/>
      <c r="DV322" s="26">
        <f t="shared" ca="1" si="178"/>
        <v>0</v>
      </c>
      <c r="DW322" s="26">
        <f t="shared" ca="1" si="179"/>
        <v>0</v>
      </c>
      <c r="DX322" s="26"/>
      <c r="DY322" s="26"/>
      <c r="DZ322" s="26"/>
      <c r="EA322" s="26"/>
      <c r="EB322" s="26">
        <f t="shared" ca="1" si="180"/>
        <v>0</v>
      </c>
      <c r="EC322" s="26">
        <f t="shared" ca="1" si="181"/>
        <v>0</v>
      </c>
      <c r="ED322" s="26"/>
      <c r="EE322" s="26"/>
      <c r="EF322" s="26"/>
      <c r="EG322" s="26"/>
      <c r="EH322" s="26">
        <f t="shared" ca="1" si="182"/>
        <v>-4.6499999999999996E-3</v>
      </c>
      <c r="EI322" s="29">
        <f t="shared" ca="1" si="183"/>
        <v>0</v>
      </c>
      <c r="EJ322" s="29"/>
      <c r="EK322" s="29"/>
      <c r="EL322" s="29"/>
      <c r="EM322" s="29"/>
      <c r="EN322" s="93"/>
      <c r="EO322" s="29"/>
      <c r="EP322" s="29"/>
      <c r="EQ322" s="29"/>
      <c r="ER322" s="29"/>
      <c r="ES322" s="29"/>
      <c r="ET322" s="29"/>
      <c r="EU322" s="93"/>
      <c r="EV322" s="29"/>
      <c r="EW322" s="29"/>
      <c r="EX322" s="29"/>
      <c r="EY322" s="29"/>
      <c r="EZ322" s="29"/>
      <c r="FA322" s="29"/>
      <c r="FB322" s="93"/>
      <c r="FC322" s="29"/>
      <c r="FD322" s="29"/>
      <c r="FE322" s="29"/>
      <c r="FF322" s="29"/>
      <c r="FG322" s="29"/>
      <c r="FH322" s="29"/>
      <c r="FI322" s="93"/>
      <c r="FJ322" s="29"/>
      <c r="FK322" s="29"/>
      <c r="FL322" s="29"/>
      <c r="FM322" s="29"/>
      <c r="FN322" s="29"/>
      <c r="FO322" s="29"/>
      <c r="FP322" s="93"/>
      <c r="FQ322" s="29"/>
      <c r="FR322" s="29"/>
      <c r="FS322" s="29"/>
      <c r="FT322" s="29"/>
      <c r="FU322" s="29"/>
      <c r="FV322" s="29"/>
    </row>
    <row r="323" spans="1:178" x14ac:dyDescent="0.25">
      <c r="A323" t="str">
        <f ca="1">IF(_xll.TM1RPTELISCONSOLIDATED($D$28,$D323),IF(_xll.TM1RPTELLEV($D$28,$D323)&lt;=3,_xll.TM1RPTELLEV($D$28,$D323),"D"),"N")</f>
        <v>N</v>
      </c>
      <c r="B323" t="str">
        <f ca="1">_xll.DBRA(Server&amp;"Management_organization",$D323,$B$27)</f>
        <v/>
      </c>
      <c r="C323">
        <v>1</v>
      </c>
      <c r="D323" s="2" t="s">
        <v>378</v>
      </c>
      <c r="E323" s="26"/>
      <c r="F323" s="26"/>
      <c r="G323" s="16">
        <f ca="1">_xll.DBRW($D$4,$E$7,$E$8,$E$9,$E$10,$E$12,$D323,$E$6,G$18,G$17)</f>
        <v>-5.9999999999999997E-7</v>
      </c>
      <c r="H323" s="16">
        <f ca="1">_xll.DBRW($D$4,$E$7,$E$8,$E$9,$E$10,$E$12,$D323,$E$6,H$18,H$17)</f>
        <v>-5.9999999999999997E-7</v>
      </c>
      <c r="I323" s="16">
        <f ca="1">_xll.DBRW($D$4,$E$7,$E$8,$E$9,$E$10,$E$12,$D323,$E$6,I$18,I$17)</f>
        <v>0</v>
      </c>
      <c r="J323" s="26">
        <f ca="1">_xll.DBRW($D$4,$E$7,$E$8,$E$9,$E$10,$E$12,$D323,$E$6,J$18,J$17)</f>
        <v>0</v>
      </c>
      <c r="K323" s="26">
        <f ca="1">_xll.DBRW($D$4,$E$7,$E$8,$E$9,$E$10,$E$12,$D323,$E$6,K$18,K$17)</f>
        <v>0</v>
      </c>
      <c r="L323" s="26">
        <f ca="1">_xll.DBRW($D$4,$E$7,$E$8,$E$9,$E$10,$E$12,$D323,$E$6,L$18,L$17)</f>
        <v>0</v>
      </c>
      <c r="M323" s="26">
        <f ca="1">_xll.DBRW($D$4,$E$7,$E$8,$E$9,$E$10,$E$12,$D323,$E$6,M$18,M$17)</f>
        <v>0</v>
      </c>
      <c r="N323" s="16">
        <f ca="1">_xll.DBRW($D$4,$E$7,$E$8,$E$9,$E$10,$E$12,$D323,$E$6,N$18,N$17)</f>
        <v>0</v>
      </c>
      <c r="O323" s="16">
        <f ca="1">_xll.DBRW($D$4,$E$7,$E$8,$E$9,$E$10,$E$12,$D323,$E$6,O$18,O$17)</f>
        <v>0</v>
      </c>
      <c r="P323" s="74">
        <f ca="1">_xll.DBRW($D$4,$E$7,$E$8,$E$9,$E$10,$E$12,$D323,$E$6,P$18,P$17)</f>
        <v>0</v>
      </c>
      <c r="Q323" s="16">
        <f ca="1">_xll.DBRW($D$4,$E$7,$E$8,$E$9,$E$10,$E$12,$D323,$E$6,Q$18,Q$17)</f>
        <v>0</v>
      </c>
      <c r="R323" s="16"/>
      <c r="S323" s="16"/>
      <c r="T323" s="16"/>
      <c r="U323" s="16"/>
      <c r="V323" s="16">
        <f ca="1">_xll.DBRW($D$4,$E$7,$E$8,$E$9,$E$10,$E$12,$D323,$E$6,V$18,V$17)</f>
        <v>0</v>
      </c>
      <c r="W323" s="16">
        <f ca="1">_xll.DBRW($D$4,$E$7,$E$8,$E$9,$E$10,$E$12,$D323,$E$6,W$18,W$17)</f>
        <v>0</v>
      </c>
      <c r="X323" s="16"/>
      <c r="Y323" s="16"/>
      <c r="Z323" s="16"/>
      <c r="AA323" s="16"/>
      <c r="AB323" s="16">
        <f ca="1">_xll.DBRW($D$4,$E$7,$E$8,$E$9,$E$10,$E$12,$D323,$E$6,AB$18,AB$17)</f>
        <v>0</v>
      </c>
      <c r="AC323" s="16">
        <f ca="1">_xll.DBRW($D$4,$E$7,$E$8,$E$9,$E$10,$E$12,$D323,$E$6,AC$18,AC$17)</f>
        <v>0</v>
      </c>
      <c r="AD323" s="16"/>
      <c r="AE323" s="16"/>
      <c r="AF323" s="16"/>
      <c r="AG323" s="16"/>
      <c r="AH323" s="16">
        <f ca="1">_xll.DBRW($D$4,$E$7,$E$8,$E$9,$E$10,$E$12,$D323,$E$6,AH$18,AH$17)</f>
        <v>0</v>
      </c>
      <c r="AI323" s="16">
        <f ca="1">_xll.DBRW($D$4,$E$7,$E$8,$E$9,$E$10,$E$12,$D323,$E$6,AI$18,AI$17)</f>
        <v>0</v>
      </c>
      <c r="AJ323" s="16"/>
      <c r="AK323" s="16"/>
      <c r="AL323" s="16"/>
      <c r="AM323" s="16"/>
      <c r="AN323" s="16">
        <f ca="1">_xll.DBRW($D$4,$E$7,$E$8,$E$9,$E$10,$E$12,$D323,$E$6,AN$18,AN$17)</f>
        <v>0</v>
      </c>
      <c r="AO323" s="16">
        <f ca="1">_xll.DBRW($D$4,$E$7,$E$8,$E$9,$E$10,$E$12,$D323,$E$6,AO$18,AO$17)</f>
        <v>0</v>
      </c>
      <c r="AP323" s="16"/>
      <c r="AQ323" s="16"/>
      <c r="AR323" s="16"/>
      <c r="AS323" s="16"/>
      <c r="AT323" s="16">
        <f ca="1">_xll.DBRW($D$4,$E$7,$E$8,$E$9,$E$10,$E$12,$D323,$E$6,AT$18,AT$17)</f>
        <v>0</v>
      </c>
      <c r="AU323" s="16">
        <f ca="1">_xll.DBRW($D$4,$E$7,$E$8,$E$9,$E$10,$E$12,$D323,$E$6,AU$18,AU$17)</f>
        <v>0</v>
      </c>
      <c r="AV323" s="16">
        <f ca="1">_xll.DBRW($D$4,$E$7,$E$8,$E$9,$E$10,$E$12,$D323,$E$6,AV$18,AV$17)</f>
        <v>0</v>
      </c>
      <c r="AW323" s="16">
        <f ca="1">_xll.DBRW($D$4,$E$7,$E$8,$E$9,$E$10,$E$12,$D323,$E$6,AW$18,AW$17)</f>
        <v>0</v>
      </c>
      <c r="AX323" s="16">
        <f ca="1">_xll.DBRW($D$4,$E$7,$E$8,$E$9,$E$10,$E$12,$D323,$E$6,AX$18,AX$17)</f>
        <v>0</v>
      </c>
      <c r="AY323" s="16">
        <f ca="1">_xll.DBRW($D$4,$E$7,$E$8,$E$9,$E$10,$E$12,$D323,$E$6,AY$18,AY$17)</f>
        <v>0</v>
      </c>
      <c r="AZ323" s="16">
        <f ca="1">_xll.DBRW($D$4,$E$7,$E$8,$E$9,$E$10,$E$12,$D323,$E$6,AZ$18,AZ$17)</f>
        <v>0</v>
      </c>
      <c r="BA323" s="16">
        <f ca="1">_xll.DBRW($D$4,$E$7,$E$8,$E$9,$E$10,$E$12,$D323,$E$6,BA$18,BA$17)</f>
        <v>0</v>
      </c>
      <c r="BB323" s="16">
        <f ca="1">_xll.DBRW($D$4,$E$7,$E$8,$E$9,$E$10,$E$12,$D323,$E$6,BB$18,BB$17)</f>
        <v>0</v>
      </c>
      <c r="BC323" s="16">
        <f ca="1">_xll.DBRW($D$4,$E$7,$E$8,$E$9,$E$10,$E$12,$D323,$E$6,BC$18,BC$17)</f>
        <v>0</v>
      </c>
      <c r="BD323" s="16">
        <f ca="1">_xll.DBRW($D$4,$E$7,$E$8,$E$9,$E$10,$E$12,$D323,$E$6,BD$18,BD$17)</f>
        <v>0</v>
      </c>
      <c r="BE323" s="16">
        <f ca="1">_xll.DBRW($D$4,$E$7,$E$8,$E$9,$E$10,$E$12,$D323,$E$6,BE$18,BE$17)</f>
        <v>0</v>
      </c>
      <c r="BF323" s="16">
        <f ca="1">_xll.DBRW($D$4,$E$7,$E$8,$E$9,$E$10,$E$12,$D323,$E$6,BF$18,BF$17)</f>
        <v>0</v>
      </c>
      <c r="BG323" s="26">
        <f ca="1">_xll.DBRW($D$4,$E$7,$E$8,$E$9,$E$10,$E$12,$D323,$E$6,BG$18,BG$17)</f>
        <v>0</v>
      </c>
      <c r="BH323" s="26">
        <f ca="1">_xll.DBRW($D$4,$E$7,$E$8,$E$9,$E$10,$E$12,$D323,$E$6,BH$18,BH$17)</f>
        <v>0</v>
      </c>
      <c r="BI323" s="26">
        <f ca="1">_xll.DBRW($D$4,$E$7,$E$8,$E$9,$E$10,$E$12,$D323,$E$6,BI$18,BI$17)</f>
        <v>0</v>
      </c>
      <c r="BJ323" s="26">
        <f ca="1">_xll.DBRW($D$4,$E$7,$E$8,$E$9,$E$10,$E$12,$D323,$E$6,BJ$18,BJ$17)</f>
        <v>0</v>
      </c>
      <c r="BK323" s="16">
        <f ca="1">_xll.DBRW($D$4,$E$7,$E$8,$E$9,$E$10,$E$12,$D323,$E$6,BK$18,BK$17)</f>
        <v>0</v>
      </c>
      <c r="BL323" s="16">
        <f ca="1">_xll.DBRW($D$4,$E$7,$E$8,$E$9,$E$10,$E$12,$D323,$E$6,BL$18,BL$17)</f>
        <v>0</v>
      </c>
      <c r="BM323" s="16">
        <f ca="1">_xll.DBRW($D$4,$E$7,$E$8,$E$9,$E$10,$E$12,$D323,$E$6,BM$18,BM$17)</f>
        <v>0</v>
      </c>
      <c r="BN323" s="16">
        <f ca="1">_xll.DBRW($D$4,$E$7,$E$8,$E$9,$E$10,$E$12,$D323,$E$6,BN$18,BN$17)</f>
        <v>0</v>
      </c>
      <c r="BO323" s="16"/>
      <c r="BP323" s="16"/>
      <c r="BQ323" s="16"/>
      <c r="BR323" s="16"/>
      <c r="BS323" s="16">
        <f ca="1">_xll.DBRW($D$4,$E$7,$E$8,$E$9,$E$10,$E$12,$D323,$E$6,BS$18,BS$17)</f>
        <v>0</v>
      </c>
      <c r="BT323" s="16">
        <f ca="1">_xll.DBRW($D$4,$E$7,$E$8,$E$9,$E$10,$E$12,$D323,$E$6,BT$18,BT$17)</f>
        <v>0</v>
      </c>
      <c r="BU323" s="16"/>
      <c r="BV323" s="16"/>
      <c r="BW323" s="16"/>
      <c r="BX323" s="16"/>
      <c r="BY323" s="16">
        <f ca="1">_xll.DBRW($D$4,$E$7,$E$8,$E$9,$E$10,$E$12,$D323,$E$6,BY$18,BY$17)</f>
        <v>0</v>
      </c>
      <c r="BZ323" s="16">
        <f ca="1">_xll.DBRW($D$4,$E$7,$E$8,$E$9,$E$10,$E$12,$D323,$E$6,BZ$18,BZ$17)</f>
        <v>0</v>
      </c>
      <c r="CA323" s="16"/>
      <c r="CB323" s="16"/>
      <c r="CC323" s="16"/>
      <c r="CD323" s="16"/>
      <c r="CE323" s="16">
        <f ca="1">_xll.DBRW($D$4,$E$7,$E$8,$E$9,$E$10,$E$12,$D323,$E$6,CE$18,CE$17)</f>
        <v>0</v>
      </c>
      <c r="CF323" s="16">
        <f ca="1">_xll.DBRW($D$4,$E$7,$E$8,$E$9,$E$10,$E$12,$D323,$E$6,CF$18,CF$17)</f>
        <v>0</v>
      </c>
      <c r="CG323" s="16"/>
      <c r="CH323" s="16"/>
      <c r="CI323" s="16"/>
      <c r="CJ323" s="16"/>
      <c r="CK323" s="16">
        <f ca="1">_xll.DBRW($D$4,$E$7,$E$8,$E$9,$E$10,$E$12,$D323,$E$6,CK$18,CK$17)</f>
        <v>0</v>
      </c>
      <c r="CL323" s="16">
        <f ca="1">_xll.DBRW($D$4,$E$7,$E$8,$E$9,$E$10,$E$12,$D323,$E$6,CL$18,CL$17)</f>
        <v>0</v>
      </c>
      <c r="CM323" s="16"/>
      <c r="CN323" s="16"/>
      <c r="CO323" s="16"/>
      <c r="CP323" s="16"/>
      <c r="CQ323" s="16">
        <f ca="1">_xll.DBRW($D$4,$E$7,$E$8,$E$9,$E$10,$E$12,$D323,$E$6,CQ$18,CQ$17)</f>
        <v>0</v>
      </c>
      <c r="CR323" s="16">
        <f ca="1">_xll.DBRW($D$4,$E$7,$E$8,$E$9,$E$10,$E$12,$D323,$E$6,CR$18,CR$17)</f>
        <v>0</v>
      </c>
      <c r="CS323" s="16">
        <f ca="1">_xll.DBRW($D$4,$E$7,$E$8,$E$9,$E$10,$E$12,$D323,$E$6,CS$18,CS$17)</f>
        <v>0</v>
      </c>
      <c r="CT323" s="16">
        <f ca="1">_xll.DBRW($D$4,$E$7,$E$8,$E$9,$E$10,$E$12,$D323,$E$6,CT$18,CT$17)</f>
        <v>0</v>
      </c>
      <c r="CU323" s="16">
        <f ca="1">_xll.DBRW($D$4,$E$7,$E$8,$E$9,$E$10,$E$12,$D323,$E$6,CU$18,CU$17)</f>
        <v>0</v>
      </c>
      <c r="CV323" s="16">
        <f ca="1">_xll.DBRW($D$4,$E$7,$E$8,$E$9,$E$10,$E$12,$D323,$E$6,CV$18,CV$17)</f>
        <v>0</v>
      </c>
      <c r="CW323" s="16">
        <f ca="1">_xll.DBRW($D$4,$E$7,$E$8,$E$9,$E$10,$E$12,$D323,$E$6,CW$18,CW$17)</f>
        <v>0</v>
      </c>
      <c r="CX323" s="16">
        <f ca="1">_xll.DBRW($D$4,$E$7,$E$8,$E$9,$E$10,$E$12,$D323,$E$6,CX$18,CX$17)</f>
        <v>0</v>
      </c>
      <c r="CY323" s="16">
        <f ca="1">_xll.DBRW($D$4,$E$7,$E$8,$E$9,$E$10,$E$12,$D323,$E$6,CY$18,CY$17)</f>
        <v>0</v>
      </c>
      <c r="CZ323" s="16">
        <f ca="1">_xll.DBRW($D$4,$E$7,$E$8,$E$9,$E$10,$E$12,$D323,$E$6,CZ$18,CZ$17)</f>
        <v>0</v>
      </c>
      <c r="DA323" s="26">
        <f t="shared" ca="1" si="165"/>
        <v>-5.9999999999999997E-7</v>
      </c>
      <c r="DB323" s="26">
        <f t="shared" ca="1" si="166"/>
        <v>-5.9999999999999997E-7</v>
      </c>
      <c r="DC323" s="26">
        <f t="shared" ca="1" si="167"/>
        <v>0</v>
      </c>
      <c r="DD323" s="26">
        <f t="shared" ca="1" si="168"/>
        <v>0</v>
      </c>
      <c r="DE323" s="26">
        <f t="shared" ca="1" si="169"/>
        <v>0</v>
      </c>
      <c r="DF323" s="26">
        <f t="shared" ca="1" si="170"/>
        <v>0</v>
      </c>
      <c r="DG323" s="26">
        <f t="shared" ca="1" si="171"/>
        <v>0</v>
      </c>
      <c r="DH323" s="26">
        <f t="shared" ca="1" si="172"/>
        <v>0</v>
      </c>
      <c r="DI323" s="26">
        <f t="shared" ca="1" si="173"/>
        <v>0</v>
      </c>
      <c r="DJ323" s="26">
        <f t="shared" ca="1" si="174"/>
        <v>0</v>
      </c>
      <c r="DK323" s="26">
        <f t="shared" ca="1" si="175"/>
        <v>0</v>
      </c>
      <c r="DL323" s="26"/>
      <c r="DM323" s="26"/>
      <c r="DN323" s="26"/>
      <c r="DO323" s="26"/>
      <c r="DP323" s="26">
        <f t="shared" ca="1" si="176"/>
        <v>0</v>
      </c>
      <c r="DQ323" s="26">
        <f t="shared" ca="1" si="177"/>
        <v>0</v>
      </c>
      <c r="DR323" s="26"/>
      <c r="DS323" s="26"/>
      <c r="DT323" s="26"/>
      <c r="DU323" s="26"/>
      <c r="DV323" s="26">
        <f t="shared" ca="1" si="178"/>
        <v>0</v>
      </c>
      <c r="DW323" s="26">
        <f t="shared" ca="1" si="179"/>
        <v>0</v>
      </c>
      <c r="DX323" s="26"/>
      <c r="DY323" s="26"/>
      <c r="DZ323" s="26"/>
      <c r="EA323" s="26"/>
      <c r="EB323" s="26">
        <f t="shared" ca="1" si="180"/>
        <v>0</v>
      </c>
      <c r="EC323" s="26">
        <f t="shared" ca="1" si="181"/>
        <v>0</v>
      </c>
      <c r="ED323" s="26"/>
      <c r="EE323" s="26"/>
      <c r="EF323" s="26"/>
      <c r="EG323" s="26"/>
      <c r="EH323" s="26">
        <f t="shared" ca="1" si="182"/>
        <v>0</v>
      </c>
      <c r="EI323" s="29">
        <f t="shared" ca="1" si="183"/>
        <v>0</v>
      </c>
      <c r="EJ323" s="29"/>
      <c r="EK323" s="29"/>
      <c r="EL323" s="29"/>
      <c r="EM323" s="29"/>
      <c r="EN323" s="93"/>
      <c r="EO323" s="29"/>
      <c r="EP323" s="29"/>
      <c r="EQ323" s="29"/>
      <c r="ER323" s="29"/>
      <c r="ES323" s="29"/>
      <c r="ET323" s="29"/>
      <c r="EU323" s="93"/>
      <c r="EV323" s="29"/>
      <c r="EW323" s="29"/>
      <c r="EX323" s="29"/>
      <c r="EY323" s="29"/>
      <c r="EZ323" s="29"/>
      <c r="FA323" s="29"/>
      <c r="FB323" s="93"/>
      <c r="FC323" s="29"/>
      <c r="FD323" s="29"/>
      <c r="FE323" s="29"/>
      <c r="FF323" s="29"/>
      <c r="FG323" s="29"/>
      <c r="FH323" s="29"/>
      <c r="FI323" s="93"/>
      <c r="FJ323" s="29"/>
      <c r="FK323" s="29"/>
      <c r="FL323" s="29"/>
      <c r="FM323" s="29"/>
      <c r="FN323" s="29"/>
      <c r="FO323" s="29"/>
      <c r="FP323" s="93"/>
      <c r="FQ323" s="29"/>
      <c r="FR323" s="29"/>
      <c r="FS323" s="29"/>
      <c r="FT323" s="29"/>
      <c r="FU323" s="29"/>
      <c r="FV323" s="29"/>
    </row>
    <row r="324" spans="1:178" x14ac:dyDescent="0.25">
      <c r="A324" t="str">
        <f ca="1">IF(_xll.TM1RPTELISCONSOLIDATED($D$28,$D324),IF(_xll.TM1RPTELLEV($D$28,$D324)&lt;=3,_xll.TM1RPTELLEV($D$28,$D324),"D"),"N")</f>
        <v>N</v>
      </c>
      <c r="B324" t="str">
        <f ca="1">_xll.DBRA(Server&amp;"Management_organization",$D324,$B$27)</f>
        <v/>
      </c>
      <c r="C324">
        <v>1</v>
      </c>
      <c r="D324" s="2" t="s">
        <v>243</v>
      </c>
      <c r="E324" s="26"/>
      <c r="F324" s="26"/>
      <c r="G324" s="16">
        <f ca="1">_xll.DBRW($D$4,$E$7,$E$8,$E$9,$E$10,$E$12,$D324,$E$6,G$18,G$17)</f>
        <v>0.27910087999999988</v>
      </c>
      <c r="H324" s="16">
        <f ca="1">_xll.DBRW($D$4,$E$7,$E$8,$E$9,$E$10,$E$12,$D324,$E$6,H$18,H$17)</f>
        <v>-7.3823819999999984E-2</v>
      </c>
      <c r="I324" s="16">
        <f ca="1">_xll.DBRW($D$4,$E$7,$E$8,$E$9,$E$10,$E$12,$D324,$E$6,I$18,I$17)</f>
        <v>0</v>
      </c>
      <c r="J324" s="26">
        <f ca="1">_xll.DBRW($D$4,$E$7,$E$8,$E$9,$E$10,$E$12,$D324,$E$6,J$18,J$17)</f>
        <v>0</v>
      </c>
      <c r="K324" s="26">
        <f ca="1">_xll.DBRW($D$4,$E$7,$E$8,$E$9,$E$10,$E$12,$D324,$E$6,K$18,K$17)</f>
        <v>0</v>
      </c>
      <c r="L324" s="26">
        <f ca="1">_xll.DBRW($D$4,$E$7,$E$8,$E$9,$E$10,$E$12,$D324,$E$6,L$18,L$17)</f>
        <v>0</v>
      </c>
      <c r="M324" s="26">
        <f ca="1">_xll.DBRW($D$4,$E$7,$E$8,$E$9,$E$10,$E$12,$D324,$E$6,M$18,M$17)</f>
        <v>0</v>
      </c>
      <c r="N324" s="16">
        <f ca="1">_xll.DBRW($D$4,$E$7,$E$8,$E$9,$E$10,$E$12,$D324,$E$6,N$18,N$17)</f>
        <v>0.35292469999999987</v>
      </c>
      <c r="O324" s="16">
        <f ca="1">_xll.DBRW($D$4,$E$7,$E$8,$E$9,$E$10,$E$12,$D324,$E$6,O$18,O$17)</f>
        <v>0</v>
      </c>
      <c r="P324" s="74">
        <f ca="1">_xll.DBRW($D$4,$E$7,$E$8,$E$9,$E$10,$E$12,$D324,$E$6,P$18,P$17)</f>
        <v>-2.0539999999999998E-3</v>
      </c>
      <c r="Q324" s="16">
        <f ca="1">_xll.DBRW($D$4,$E$7,$E$8,$E$9,$E$10,$E$12,$D324,$E$6,Q$18,Q$17)</f>
        <v>0</v>
      </c>
      <c r="R324" s="16"/>
      <c r="S324" s="16"/>
      <c r="T324" s="16"/>
      <c r="U324" s="16"/>
      <c r="V324" s="16">
        <f ca="1">_xll.DBRW($D$4,$E$7,$E$8,$E$9,$E$10,$E$12,$D324,$E$6,V$18,V$17)</f>
        <v>-1.0917179999999999E-2</v>
      </c>
      <c r="W324" s="16">
        <f ca="1">_xll.DBRW($D$4,$E$7,$E$8,$E$9,$E$10,$E$12,$D324,$E$6,W$18,W$17)</f>
        <v>0</v>
      </c>
      <c r="X324" s="16"/>
      <c r="Y324" s="16"/>
      <c r="Z324" s="16"/>
      <c r="AA324" s="16"/>
      <c r="AB324" s="16">
        <f ca="1">_xll.DBRW($D$4,$E$7,$E$8,$E$9,$E$10,$E$12,$D324,$E$6,AB$18,AB$17)</f>
        <v>0</v>
      </c>
      <c r="AC324" s="16">
        <f ca="1">_xll.DBRW($D$4,$E$7,$E$8,$E$9,$E$10,$E$12,$D324,$E$6,AC$18,AC$17)</f>
        <v>0</v>
      </c>
      <c r="AD324" s="16"/>
      <c r="AE324" s="16"/>
      <c r="AF324" s="16"/>
      <c r="AG324" s="16"/>
      <c r="AH324" s="16">
        <f ca="1">_xll.DBRW($D$4,$E$7,$E$8,$E$9,$E$10,$E$12,$D324,$E$6,AH$18,AH$17)</f>
        <v>6.1029710000000001E-2</v>
      </c>
      <c r="AI324" s="16">
        <f ca="1">_xll.DBRW($D$4,$E$7,$E$8,$E$9,$E$10,$E$12,$D324,$E$6,AI$18,AI$17)</f>
        <v>0</v>
      </c>
      <c r="AJ324" s="16"/>
      <c r="AK324" s="16"/>
      <c r="AL324" s="16"/>
      <c r="AM324" s="16"/>
      <c r="AN324" s="16">
        <f ca="1">_xll.DBRW($D$4,$E$7,$E$8,$E$9,$E$10,$E$12,$D324,$E$6,AN$18,AN$17)</f>
        <v>0.30486616999999983</v>
      </c>
      <c r="AO324" s="16">
        <f ca="1">_xll.DBRW($D$4,$E$7,$E$8,$E$9,$E$10,$E$12,$D324,$E$6,AO$18,AO$17)</f>
        <v>0</v>
      </c>
      <c r="AP324" s="16"/>
      <c r="AQ324" s="16"/>
      <c r="AR324" s="16"/>
      <c r="AS324" s="16"/>
      <c r="AT324" s="16">
        <f ca="1">_xll.DBRW($D$4,$E$7,$E$8,$E$9,$E$10,$E$12,$D324,$E$6,AT$18,AT$17)</f>
        <v>0</v>
      </c>
      <c r="AU324" s="16">
        <f ca="1">_xll.DBRW($D$4,$E$7,$E$8,$E$9,$E$10,$E$12,$D324,$E$6,AU$18,AU$17)</f>
        <v>0</v>
      </c>
      <c r="AV324" s="16">
        <f ca="1">_xll.DBRW($D$4,$E$7,$E$8,$E$9,$E$10,$E$12,$D324,$E$6,AV$18,AV$17)</f>
        <v>0</v>
      </c>
      <c r="AW324" s="16">
        <f ca="1">_xll.DBRW($D$4,$E$7,$E$8,$E$9,$E$10,$E$12,$D324,$E$6,AW$18,AW$17)</f>
        <v>0</v>
      </c>
      <c r="AX324" s="16">
        <f ca="1">_xll.DBRW($D$4,$E$7,$E$8,$E$9,$E$10,$E$12,$D324,$E$6,AX$18,AX$17)</f>
        <v>0</v>
      </c>
      <c r="AY324" s="16">
        <f ca="1">_xll.DBRW($D$4,$E$7,$E$8,$E$9,$E$10,$E$12,$D324,$E$6,AY$18,AY$17)</f>
        <v>0</v>
      </c>
      <c r="AZ324" s="16">
        <f ca="1">_xll.DBRW($D$4,$E$7,$E$8,$E$9,$E$10,$E$12,$D324,$E$6,AZ$18,AZ$17)</f>
        <v>0</v>
      </c>
      <c r="BA324" s="16">
        <f ca="1">_xll.DBRW($D$4,$E$7,$E$8,$E$9,$E$10,$E$12,$D324,$E$6,BA$18,BA$17)</f>
        <v>0</v>
      </c>
      <c r="BB324" s="16">
        <f ca="1">_xll.DBRW($D$4,$E$7,$E$8,$E$9,$E$10,$E$12,$D324,$E$6,BB$18,BB$17)</f>
        <v>0</v>
      </c>
      <c r="BC324" s="16">
        <f ca="1">_xll.DBRW($D$4,$E$7,$E$8,$E$9,$E$10,$E$12,$D324,$E$6,BC$18,BC$17)</f>
        <v>0</v>
      </c>
      <c r="BD324" s="16">
        <f ca="1">_xll.DBRW($D$4,$E$7,$E$8,$E$9,$E$10,$E$12,$D324,$E$6,BD$18,BD$17)</f>
        <v>0</v>
      </c>
      <c r="BE324" s="16">
        <f ca="1">_xll.DBRW($D$4,$E$7,$E$8,$E$9,$E$10,$E$12,$D324,$E$6,BE$18,BE$17)</f>
        <v>0</v>
      </c>
      <c r="BF324" s="16">
        <f ca="1">_xll.DBRW($D$4,$E$7,$E$8,$E$9,$E$10,$E$12,$D324,$E$6,BF$18,BF$17)</f>
        <v>0</v>
      </c>
      <c r="BG324" s="26">
        <f ca="1">_xll.DBRW($D$4,$E$7,$E$8,$E$9,$E$10,$E$12,$D324,$E$6,BG$18,BG$17)</f>
        <v>0</v>
      </c>
      <c r="BH324" s="26">
        <f ca="1">_xll.DBRW($D$4,$E$7,$E$8,$E$9,$E$10,$E$12,$D324,$E$6,BH$18,BH$17)</f>
        <v>0</v>
      </c>
      <c r="BI324" s="26">
        <f ca="1">_xll.DBRW($D$4,$E$7,$E$8,$E$9,$E$10,$E$12,$D324,$E$6,BI$18,BI$17)</f>
        <v>0</v>
      </c>
      <c r="BJ324" s="26">
        <f ca="1">_xll.DBRW($D$4,$E$7,$E$8,$E$9,$E$10,$E$12,$D324,$E$6,BJ$18,BJ$17)</f>
        <v>0</v>
      </c>
      <c r="BK324" s="16">
        <f ca="1">_xll.DBRW($D$4,$E$7,$E$8,$E$9,$E$10,$E$12,$D324,$E$6,BK$18,BK$17)</f>
        <v>0</v>
      </c>
      <c r="BL324" s="16">
        <f ca="1">_xll.DBRW($D$4,$E$7,$E$8,$E$9,$E$10,$E$12,$D324,$E$6,BL$18,BL$17)</f>
        <v>0</v>
      </c>
      <c r="BM324" s="16">
        <f ca="1">_xll.DBRW($D$4,$E$7,$E$8,$E$9,$E$10,$E$12,$D324,$E$6,BM$18,BM$17)</f>
        <v>0</v>
      </c>
      <c r="BN324" s="16">
        <f ca="1">_xll.DBRW($D$4,$E$7,$E$8,$E$9,$E$10,$E$12,$D324,$E$6,BN$18,BN$17)</f>
        <v>0</v>
      </c>
      <c r="BO324" s="16"/>
      <c r="BP324" s="16"/>
      <c r="BQ324" s="16"/>
      <c r="BR324" s="16"/>
      <c r="BS324" s="16">
        <f ca="1">_xll.DBRW($D$4,$E$7,$E$8,$E$9,$E$10,$E$12,$D324,$E$6,BS$18,BS$17)</f>
        <v>0</v>
      </c>
      <c r="BT324" s="16">
        <f ca="1">_xll.DBRW($D$4,$E$7,$E$8,$E$9,$E$10,$E$12,$D324,$E$6,BT$18,BT$17)</f>
        <v>0</v>
      </c>
      <c r="BU324" s="16"/>
      <c r="BV324" s="16"/>
      <c r="BW324" s="16"/>
      <c r="BX324" s="16"/>
      <c r="BY324" s="16">
        <f ca="1">_xll.DBRW($D$4,$E$7,$E$8,$E$9,$E$10,$E$12,$D324,$E$6,BY$18,BY$17)</f>
        <v>0</v>
      </c>
      <c r="BZ324" s="16">
        <f ca="1">_xll.DBRW($D$4,$E$7,$E$8,$E$9,$E$10,$E$12,$D324,$E$6,BZ$18,BZ$17)</f>
        <v>0</v>
      </c>
      <c r="CA324" s="16"/>
      <c r="CB324" s="16"/>
      <c r="CC324" s="16"/>
      <c r="CD324" s="16"/>
      <c r="CE324" s="16">
        <f ca="1">_xll.DBRW($D$4,$E$7,$E$8,$E$9,$E$10,$E$12,$D324,$E$6,CE$18,CE$17)</f>
        <v>0</v>
      </c>
      <c r="CF324" s="16">
        <f ca="1">_xll.DBRW($D$4,$E$7,$E$8,$E$9,$E$10,$E$12,$D324,$E$6,CF$18,CF$17)</f>
        <v>0</v>
      </c>
      <c r="CG324" s="16"/>
      <c r="CH324" s="16"/>
      <c r="CI324" s="16"/>
      <c r="CJ324" s="16"/>
      <c r="CK324" s="16">
        <f ca="1">_xll.DBRW($D$4,$E$7,$E$8,$E$9,$E$10,$E$12,$D324,$E$6,CK$18,CK$17)</f>
        <v>0</v>
      </c>
      <c r="CL324" s="16">
        <f ca="1">_xll.DBRW($D$4,$E$7,$E$8,$E$9,$E$10,$E$12,$D324,$E$6,CL$18,CL$17)</f>
        <v>0</v>
      </c>
      <c r="CM324" s="16"/>
      <c r="CN324" s="16"/>
      <c r="CO324" s="16"/>
      <c r="CP324" s="16"/>
      <c r="CQ324" s="16">
        <f ca="1">_xll.DBRW($D$4,$E$7,$E$8,$E$9,$E$10,$E$12,$D324,$E$6,CQ$18,CQ$17)</f>
        <v>0</v>
      </c>
      <c r="CR324" s="16">
        <f ca="1">_xll.DBRW($D$4,$E$7,$E$8,$E$9,$E$10,$E$12,$D324,$E$6,CR$18,CR$17)</f>
        <v>0</v>
      </c>
      <c r="CS324" s="16">
        <f ca="1">_xll.DBRW($D$4,$E$7,$E$8,$E$9,$E$10,$E$12,$D324,$E$6,CS$18,CS$17)</f>
        <v>0</v>
      </c>
      <c r="CT324" s="16">
        <f ca="1">_xll.DBRW($D$4,$E$7,$E$8,$E$9,$E$10,$E$12,$D324,$E$6,CT$18,CT$17)</f>
        <v>0</v>
      </c>
      <c r="CU324" s="16">
        <f ca="1">_xll.DBRW($D$4,$E$7,$E$8,$E$9,$E$10,$E$12,$D324,$E$6,CU$18,CU$17)</f>
        <v>0</v>
      </c>
      <c r="CV324" s="16">
        <f ca="1">_xll.DBRW($D$4,$E$7,$E$8,$E$9,$E$10,$E$12,$D324,$E$6,CV$18,CV$17)</f>
        <v>0</v>
      </c>
      <c r="CW324" s="16">
        <f ca="1">_xll.DBRW($D$4,$E$7,$E$8,$E$9,$E$10,$E$12,$D324,$E$6,CW$18,CW$17)</f>
        <v>0</v>
      </c>
      <c r="CX324" s="16">
        <f ca="1">_xll.DBRW($D$4,$E$7,$E$8,$E$9,$E$10,$E$12,$D324,$E$6,CX$18,CX$17)</f>
        <v>0</v>
      </c>
      <c r="CY324" s="16">
        <f ca="1">_xll.DBRW($D$4,$E$7,$E$8,$E$9,$E$10,$E$12,$D324,$E$6,CY$18,CY$17)</f>
        <v>0</v>
      </c>
      <c r="CZ324" s="16">
        <f ca="1">_xll.DBRW($D$4,$E$7,$E$8,$E$9,$E$10,$E$12,$D324,$E$6,CZ$18,CZ$17)</f>
        <v>0</v>
      </c>
      <c r="DA324" s="26">
        <f t="shared" ca="1" si="165"/>
        <v>0.27910087999999988</v>
      </c>
      <c r="DB324" s="26">
        <f t="shared" ca="1" si="166"/>
        <v>-7.3823819999999984E-2</v>
      </c>
      <c r="DC324" s="26">
        <f t="shared" ca="1" si="167"/>
        <v>0</v>
      </c>
      <c r="DD324" s="26">
        <f t="shared" ca="1" si="168"/>
        <v>0</v>
      </c>
      <c r="DE324" s="26">
        <f t="shared" ca="1" si="169"/>
        <v>0</v>
      </c>
      <c r="DF324" s="26">
        <f t="shared" ca="1" si="170"/>
        <v>0</v>
      </c>
      <c r="DG324" s="26">
        <f t="shared" ca="1" si="171"/>
        <v>0</v>
      </c>
      <c r="DH324" s="26">
        <f t="shared" ca="1" si="172"/>
        <v>0.35292469999999987</v>
      </c>
      <c r="DI324" s="26">
        <f t="shared" ca="1" si="173"/>
        <v>0</v>
      </c>
      <c r="DJ324" s="26">
        <f t="shared" ca="1" si="174"/>
        <v>-2.0539999999999998E-3</v>
      </c>
      <c r="DK324" s="26">
        <f t="shared" ca="1" si="175"/>
        <v>0</v>
      </c>
      <c r="DL324" s="26"/>
      <c r="DM324" s="26"/>
      <c r="DN324" s="26"/>
      <c r="DO324" s="26"/>
      <c r="DP324" s="26">
        <f t="shared" ca="1" si="176"/>
        <v>-1.0917179999999999E-2</v>
      </c>
      <c r="DQ324" s="26">
        <f t="shared" ca="1" si="177"/>
        <v>0</v>
      </c>
      <c r="DR324" s="26"/>
      <c r="DS324" s="26"/>
      <c r="DT324" s="26"/>
      <c r="DU324" s="26"/>
      <c r="DV324" s="26">
        <f t="shared" ca="1" si="178"/>
        <v>0</v>
      </c>
      <c r="DW324" s="26">
        <f t="shared" ca="1" si="179"/>
        <v>0</v>
      </c>
      <c r="DX324" s="26"/>
      <c r="DY324" s="26"/>
      <c r="DZ324" s="26"/>
      <c r="EA324" s="26"/>
      <c r="EB324" s="26">
        <f t="shared" ca="1" si="180"/>
        <v>6.1029710000000001E-2</v>
      </c>
      <c r="EC324" s="26">
        <f t="shared" ca="1" si="181"/>
        <v>0</v>
      </c>
      <c r="ED324" s="26"/>
      <c r="EE324" s="26"/>
      <c r="EF324" s="26"/>
      <c r="EG324" s="26"/>
      <c r="EH324" s="26">
        <f t="shared" ca="1" si="182"/>
        <v>0.30486616999999983</v>
      </c>
      <c r="EI324" s="29">
        <f t="shared" ca="1" si="183"/>
        <v>0</v>
      </c>
      <c r="EJ324" s="29"/>
      <c r="EK324" s="29"/>
      <c r="EL324" s="29"/>
      <c r="EM324" s="29"/>
      <c r="EN324" s="93"/>
      <c r="EO324" s="29"/>
      <c r="EP324" s="29"/>
      <c r="EQ324" s="29"/>
      <c r="ER324" s="29"/>
      <c r="ES324" s="29"/>
      <c r="ET324" s="29"/>
      <c r="EU324" s="93"/>
      <c r="EV324" s="29"/>
      <c r="EW324" s="29"/>
      <c r="EX324" s="29"/>
      <c r="EY324" s="29"/>
      <c r="EZ324" s="29"/>
      <c r="FA324" s="29"/>
      <c r="FB324" s="93"/>
      <c r="FC324" s="29"/>
      <c r="FD324" s="29"/>
      <c r="FE324" s="29"/>
      <c r="FF324" s="29"/>
      <c r="FG324" s="29"/>
      <c r="FH324" s="29"/>
      <c r="FI324" s="93"/>
      <c r="FJ324" s="29"/>
      <c r="FK324" s="29"/>
      <c r="FL324" s="29"/>
      <c r="FM324" s="29"/>
      <c r="FN324" s="29"/>
      <c r="FO324" s="29"/>
      <c r="FP324" s="93"/>
      <c r="FQ324" s="29"/>
      <c r="FR324" s="29"/>
      <c r="FS324" s="29"/>
      <c r="FT324" s="29"/>
      <c r="FU324" s="29"/>
      <c r="FV324" s="29"/>
    </row>
    <row r="325" spans="1:178" x14ac:dyDescent="0.25">
      <c r="A325" t="str">
        <f ca="1">IF(_xll.TM1RPTELISCONSOLIDATED($D$28,$D325),IF(_xll.TM1RPTELLEV($D$28,$D325)&lt;=3,_xll.TM1RPTELLEV($D$28,$D325),"D"),"N")</f>
        <v>N</v>
      </c>
      <c r="B325" t="str">
        <f ca="1">_xll.DBRA(Server&amp;"Management_organization",$D325,$B$27)</f>
        <v/>
      </c>
      <c r="C325">
        <v>1</v>
      </c>
      <c r="D325" s="2" t="s">
        <v>252</v>
      </c>
      <c r="E325" s="26"/>
      <c r="F325" s="26"/>
      <c r="G325" s="16">
        <f ca="1">_xll.DBRW($D$4,$E$7,$E$8,$E$9,$E$10,$E$12,$D325,$E$6,G$18,G$17)</f>
        <v>3.2187251995663413E-20</v>
      </c>
      <c r="H325" s="16">
        <f ca="1">_xll.DBRW($D$4,$E$7,$E$8,$E$9,$E$10,$E$12,$D325,$E$6,H$18,H$17)</f>
        <v>-3.3291999999999995E-4</v>
      </c>
      <c r="I325" s="16">
        <f ca="1">_xll.DBRW($D$4,$E$7,$E$8,$E$9,$E$10,$E$12,$D325,$E$6,I$18,I$17)</f>
        <v>0</v>
      </c>
      <c r="J325" s="26">
        <f ca="1">_xll.DBRW($D$4,$E$7,$E$8,$E$9,$E$10,$E$12,$D325,$E$6,J$18,J$17)</f>
        <v>0</v>
      </c>
      <c r="K325" s="26">
        <f ca="1">_xll.DBRW($D$4,$E$7,$E$8,$E$9,$E$10,$E$12,$D325,$E$6,K$18,K$17)</f>
        <v>0</v>
      </c>
      <c r="L325" s="26">
        <f ca="1">_xll.DBRW($D$4,$E$7,$E$8,$E$9,$E$10,$E$12,$D325,$E$6,L$18,L$17)</f>
        <v>0</v>
      </c>
      <c r="M325" s="26">
        <f ca="1">_xll.DBRW($D$4,$E$7,$E$8,$E$9,$E$10,$E$12,$D325,$E$6,M$18,M$17)</f>
        <v>0</v>
      </c>
      <c r="N325" s="16">
        <f ca="1">_xll.DBRW($D$4,$E$7,$E$8,$E$9,$E$10,$E$12,$D325,$E$6,N$18,N$17)</f>
        <v>3.3292E-4</v>
      </c>
      <c r="O325" s="16">
        <f ca="1">_xll.DBRW($D$4,$E$7,$E$8,$E$9,$E$10,$E$12,$D325,$E$6,O$18,O$17)</f>
        <v>0</v>
      </c>
      <c r="P325" s="74">
        <f ca="1">_xll.DBRW($D$4,$E$7,$E$8,$E$9,$E$10,$E$12,$D325,$E$6,P$18,P$17)</f>
        <v>0</v>
      </c>
      <c r="Q325" s="16">
        <f ca="1">_xll.DBRW($D$4,$E$7,$E$8,$E$9,$E$10,$E$12,$D325,$E$6,Q$18,Q$17)</f>
        <v>0</v>
      </c>
      <c r="R325" s="16"/>
      <c r="S325" s="16"/>
      <c r="T325" s="16"/>
      <c r="U325" s="16"/>
      <c r="V325" s="16">
        <f ca="1">_xll.DBRW($D$4,$E$7,$E$8,$E$9,$E$10,$E$12,$D325,$E$6,V$18,V$17)</f>
        <v>-2.74E-6</v>
      </c>
      <c r="W325" s="16">
        <f ca="1">_xll.DBRW($D$4,$E$7,$E$8,$E$9,$E$10,$E$12,$D325,$E$6,W$18,W$17)</f>
        <v>0</v>
      </c>
      <c r="X325" s="16"/>
      <c r="Y325" s="16"/>
      <c r="Z325" s="16"/>
      <c r="AA325" s="16"/>
      <c r="AB325" s="16">
        <f ca="1">_xll.DBRW($D$4,$E$7,$E$8,$E$9,$E$10,$E$12,$D325,$E$6,AB$18,AB$17)</f>
        <v>0</v>
      </c>
      <c r="AC325" s="16">
        <f ca="1">_xll.DBRW($D$4,$E$7,$E$8,$E$9,$E$10,$E$12,$D325,$E$6,AC$18,AC$17)</f>
        <v>0</v>
      </c>
      <c r="AD325" s="16"/>
      <c r="AE325" s="16"/>
      <c r="AF325" s="16"/>
      <c r="AG325" s="16"/>
      <c r="AH325" s="16">
        <f ca="1">_xll.DBRW($D$4,$E$7,$E$8,$E$9,$E$10,$E$12,$D325,$E$6,AH$18,AH$17)</f>
        <v>0</v>
      </c>
      <c r="AI325" s="16">
        <f ca="1">_xll.DBRW($D$4,$E$7,$E$8,$E$9,$E$10,$E$12,$D325,$E$6,AI$18,AI$17)</f>
        <v>0</v>
      </c>
      <c r="AJ325" s="16"/>
      <c r="AK325" s="16"/>
      <c r="AL325" s="16"/>
      <c r="AM325" s="16"/>
      <c r="AN325" s="16">
        <f ca="1">_xll.DBRW($D$4,$E$7,$E$8,$E$9,$E$10,$E$12,$D325,$E$6,AN$18,AN$17)</f>
        <v>3.3565999999999999E-4</v>
      </c>
      <c r="AO325" s="16">
        <f ca="1">_xll.DBRW($D$4,$E$7,$E$8,$E$9,$E$10,$E$12,$D325,$E$6,AO$18,AO$17)</f>
        <v>0</v>
      </c>
      <c r="AP325" s="16"/>
      <c r="AQ325" s="16"/>
      <c r="AR325" s="16"/>
      <c r="AS325" s="16"/>
      <c r="AT325" s="16">
        <f ca="1">_xll.DBRW($D$4,$E$7,$E$8,$E$9,$E$10,$E$12,$D325,$E$6,AT$18,AT$17)</f>
        <v>0</v>
      </c>
      <c r="AU325" s="16">
        <f ca="1">_xll.DBRW($D$4,$E$7,$E$8,$E$9,$E$10,$E$12,$D325,$E$6,AU$18,AU$17)</f>
        <v>0</v>
      </c>
      <c r="AV325" s="16">
        <f ca="1">_xll.DBRW($D$4,$E$7,$E$8,$E$9,$E$10,$E$12,$D325,$E$6,AV$18,AV$17)</f>
        <v>0</v>
      </c>
      <c r="AW325" s="16">
        <f ca="1">_xll.DBRW($D$4,$E$7,$E$8,$E$9,$E$10,$E$12,$D325,$E$6,AW$18,AW$17)</f>
        <v>0</v>
      </c>
      <c r="AX325" s="16">
        <f ca="1">_xll.DBRW($D$4,$E$7,$E$8,$E$9,$E$10,$E$12,$D325,$E$6,AX$18,AX$17)</f>
        <v>0</v>
      </c>
      <c r="AY325" s="16">
        <f ca="1">_xll.DBRW($D$4,$E$7,$E$8,$E$9,$E$10,$E$12,$D325,$E$6,AY$18,AY$17)</f>
        <v>0</v>
      </c>
      <c r="AZ325" s="16">
        <f ca="1">_xll.DBRW($D$4,$E$7,$E$8,$E$9,$E$10,$E$12,$D325,$E$6,AZ$18,AZ$17)</f>
        <v>0</v>
      </c>
      <c r="BA325" s="16">
        <f ca="1">_xll.DBRW($D$4,$E$7,$E$8,$E$9,$E$10,$E$12,$D325,$E$6,BA$18,BA$17)</f>
        <v>0</v>
      </c>
      <c r="BB325" s="16">
        <f ca="1">_xll.DBRW($D$4,$E$7,$E$8,$E$9,$E$10,$E$12,$D325,$E$6,BB$18,BB$17)</f>
        <v>0</v>
      </c>
      <c r="BC325" s="16">
        <f ca="1">_xll.DBRW($D$4,$E$7,$E$8,$E$9,$E$10,$E$12,$D325,$E$6,BC$18,BC$17)</f>
        <v>0</v>
      </c>
      <c r="BD325" s="16">
        <f ca="1">_xll.DBRW($D$4,$E$7,$E$8,$E$9,$E$10,$E$12,$D325,$E$6,BD$18,BD$17)</f>
        <v>0</v>
      </c>
      <c r="BE325" s="16">
        <f ca="1">_xll.DBRW($D$4,$E$7,$E$8,$E$9,$E$10,$E$12,$D325,$E$6,BE$18,BE$17)</f>
        <v>0</v>
      </c>
      <c r="BF325" s="16">
        <f ca="1">_xll.DBRW($D$4,$E$7,$E$8,$E$9,$E$10,$E$12,$D325,$E$6,BF$18,BF$17)</f>
        <v>0</v>
      </c>
      <c r="BG325" s="26">
        <f ca="1">_xll.DBRW($D$4,$E$7,$E$8,$E$9,$E$10,$E$12,$D325,$E$6,BG$18,BG$17)</f>
        <v>0</v>
      </c>
      <c r="BH325" s="26">
        <f ca="1">_xll.DBRW($D$4,$E$7,$E$8,$E$9,$E$10,$E$12,$D325,$E$6,BH$18,BH$17)</f>
        <v>0</v>
      </c>
      <c r="BI325" s="26">
        <f ca="1">_xll.DBRW($D$4,$E$7,$E$8,$E$9,$E$10,$E$12,$D325,$E$6,BI$18,BI$17)</f>
        <v>0</v>
      </c>
      <c r="BJ325" s="26">
        <f ca="1">_xll.DBRW($D$4,$E$7,$E$8,$E$9,$E$10,$E$12,$D325,$E$6,BJ$18,BJ$17)</f>
        <v>0</v>
      </c>
      <c r="BK325" s="16">
        <f ca="1">_xll.DBRW($D$4,$E$7,$E$8,$E$9,$E$10,$E$12,$D325,$E$6,BK$18,BK$17)</f>
        <v>0</v>
      </c>
      <c r="BL325" s="16">
        <f ca="1">_xll.DBRW($D$4,$E$7,$E$8,$E$9,$E$10,$E$12,$D325,$E$6,BL$18,BL$17)</f>
        <v>0</v>
      </c>
      <c r="BM325" s="16">
        <f ca="1">_xll.DBRW($D$4,$E$7,$E$8,$E$9,$E$10,$E$12,$D325,$E$6,BM$18,BM$17)</f>
        <v>0</v>
      </c>
      <c r="BN325" s="16">
        <f ca="1">_xll.DBRW($D$4,$E$7,$E$8,$E$9,$E$10,$E$12,$D325,$E$6,BN$18,BN$17)</f>
        <v>0</v>
      </c>
      <c r="BO325" s="16"/>
      <c r="BP325" s="16"/>
      <c r="BQ325" s="16"/>
      <c r="BR325" s="16"/>
      <c r="BS325" s="16">
        <f ca="1">_xll.DBRW($D$4,$E$7,$E$8,$E$9,$E$10,$E$12,$D325,$E$6,BS$18,BS$17)</f>
        <v>0</v>
      </c>
      <c r="BT325" s="16">
        <f ca="1">_xll.DBRW($D$4,$E$7,$E$8,$E$9,$E$10,$E$12,$D325,$E$6,BT$18,BT$17)</f>
        <v>0</v>
      </c>
      <c r="BU325" s="16"/>
      <c r="BV325" s="16"/>
      <c r="BW325" s="16"/>
      <c r="BX325" s="16"/>
      <c r="BY325" s="16">
        <f ca="1">_xll.DBRW($D$4,$E$7,$E$8,$E$9,$E$10,$E$12,$D325,$E$6,BY$18,BY$17)</f>
        <v>0</v>
      </c>
      <c r="BZ325" s="16">
        <f ca="1">_xll.DBRW($D$4,$E$7,$E$8,$E$9,$E$10,$E$12,$D325,$E$6,BZ$18,BZ$17)</f>
        <v>0</v>
      </c>
      <c r="CA325" s="16"/>
      <c r="CB325" s="16"/>
      <c r="CC325" s="16"/>
      <c r="CD325" s="16"/>
      <c r="CE325" s="16">
        <f ca="1">_xll.DBRW($D$4,$E$7,$E$8,$E$9,$E$10,$E$12,$D325,$E$6,CE$18,CE$17)</f>
        <v>0</v>
      </c>
      <c r="CF325" s="16">
        <f ca="1">_xll.DBRW($D$4,$E$7,$E$8,$E$9,$E$10,$E$12,$D325,$E$6,CF$18,CF$17)</f>
        <v>0</v>
      </c>
      <c r="CG325" s="16"/>
      <c r="CH325" s="16"/>
      <c r="CI325" s="16"/>
      <c r="CJ325" s="16"/>
      <c r="CK325" s="16">
        <f ca="1">_xll.DBRW($D$4,$E$7,$E$8,$E$9,$E$10,$E$12,$D325,$E$6,CK$18,CK$17)</f>
        <v>0</v>
      </c>
      <c r="CL325" s="16">
        <f ca="1">_xll.DBRW($D$4,$E$7,$E$8,$E$9,$E$10,$E$12,$D325,$E$6,CL$18,CL$17)</f>
        <v>0</v>
      </c>
      <c r="CM325" s="16"/>
      <c r="CN325" s="16"/>
      <c r="CO325" s="16"/>
      <c r="CP325" s="16"/>
      <c r="CQ325" s="16">
        <f ca="1">_xll.DBRW($D$4,$E$7,$E$8,$E$9,$E$10,$E$12,$D325,$E$6,CQ$18,CQ$17)</f>
        <v>0</v>
      </c>
      <c r="CR325" s="16">
        <f ca="1">_xll.DBRW($D$4,$E$7,$E$8,$E$9,$E$10,$E$12,$D325,$E$6,CR$18,CR$17)</f>
        <v>0</v>
      </c>
      <c r="CS325" s="16">
        <f ca="1">_xll.DBRW($D$4,$E$7,$E$8,$E$9,$E$10,$E$12,$D325,$E$6,CS$18,CS$17)</f>
        <v>0</v>
      </c>
      <c r="CT325" s="16">
        <f ca="1">_xll.DBRW($D$4,$E$7,$E$8,$E$9,$E$10,$E$12,$D325,$E$6,CT$18,CT$17)</f>
        <v>0</v>
      </c>
      <c r="CU325" s="16">
        <f ca="1">_xll.DBRW($D$4,$E$7,$E$8,$E$9,$E$10,$E$12,$D325,$E$6,CU$18,CU$17)</f>
        <v>0</v>
      </c>
      <c r="CV325" s="16">
        <f ca="1">_xll.DBRW($D$4,$E$7,$E$8,$E$9,$E$10,$E$12,$D325,$E$6,CV$18,CV$17)</f>
        <v>0</v>
      </c>
      <c r="CW325" s="16">
        <f ca="1">_xll.DBRW($D$4,$E$7,$E$8,$E$9,$E$10,$E$12,$D325,$E$6,CW$18,CW$17)</f>
        <v>0</v>
      </c>
      <c r="CX325" s="16">
        <f ca="1">_xll.DBRW($D$4,$E$7,$E$8,$E$9,$E$10,$E$12,$D325,$E$6,CX$18,CX$17)</f>
        <v>0</v>
      </c>
      <c r="CY325" s="16">
        <f ca="1">_xll.DBRW($D$4,$E$7,$E$8,$E$9,$E$10,$E$12,$D325,$E$6,CY$18,CY$17)</f>
        <v>0</v>
      </c>
      <c r="CZ325" s="16">
        <f ca="1">_xll.DBRW($D$4,$E$7,$E$8,$E$9,$E$10,$E$12,$D325,$E$6,CZ$18,CZ$17)</f>
        <v>0</v>
      </c>
      <c r="DA325" s="26">
        <f t="shared" ca="1" si="165"/>
        <v>3.2187251995663413E-20</v>
      </c>
      <c r="DB325" s="26">
        <f t="shared" ca="1" si="166"/>
        <v>-3.3291999999999995E-4</v>
      </c>
      <c r="DC325" s="26">
        <f t="shared" ca="1" si="167"/>
        <v>0</v>
      </c>
      <c r="DD325" s="26">
        <f t="shared" ca="1" si="168"/>
        <v>0</v>
      </c>
      <c r="DE325" s="26">
        <f t="shared" ca="1" si="169"/>
        <v>0</v>
      </c>
      <c r="DF325" s="26">
        <f t="shared" ca="1" si="170"/>
        <v>0</v>
      </c>
      <c r="DG325" s="26">
        <f t="shared" ca="1" si="171"/>
        <v>0</v>
      </c>
      <c r="DH325" s="26">
        <f t="shared" ca="1" si="172"/>
        <v>3.3292E-4</v>
      </c>
      <c r="DI325" s="26">
        <f t="shared" ca="1" si="173"/>
        <v>0</v>
      </c>
      <c r="DJ325" s="26">
        <f t="shared" ca="1" si="174"/>
        <v>0</v>
      </c>
      <c r="DK325" s="26">
        <f t="shared" ca="1" si="175"/>
        <v>0</v>
      </c>
      <c r="DL325" s="26"/>
      <c r="DM325" s="26"/>
      <c r="DN325" s="26"/>
      <c r="DO325" s="26"/>
      <c r="DP325" s="26">
        <f t="shared" ca="1" si="176"/>
        <v>-2.74E-6</v>
      </c>
      <c r="DQ325" s="26">
        <f t="shared" ca="1" si="177"/>
        <v>0</v>
      </c>
      <c r="DR325" s="26"/>
      <c r="DS325" s="26"/>
      <c r="DT325" s="26"/>
      <c r="DU325" s="26"/>
      <c r="DV325" s="26">
        <f t="shared" ca="1" si="178"/>
        <v>0</v>
      </c>
      <c r="DW325" s="26">
        <f t="shared" ca="1" si="179"/>
        <v>0</v>
      </c>
      <c r="DX325" s="26"/>
      <c r="DY325" s="26"/>
      <c r="DZ325" s="26"/>
      <c r="EA325" s="26"/>
      <c r="EB325" s="26">
        <f t="shared" ca="1" si="180"/>
        <v>0</v>
      </c>
      <c r="EC325" s="26">
        <f t="shared" ca="1" si="181"/>
        <v>0</v>
      </c>
      <c r="ED325" s="26"/>
      <c r="EE325" s="26"/>
      <c r="EF325" s="26"/>
      <c r="EG325" s="26"/>
      <c r="EH325" s="26">
        <f t="shared" ca="1" si="182"/>
        <v>3.3565999999999999E-4</v>
      </c>
      <c r="EI325" s="29">
        <f t="shared" ca="1" si="183"/>
        <v>0</v>
      </c>
      <c r="EJ325" s="29"/>
      <c r="EK325" s="29"/>
      <c r="EL325" s="29"/>
      <c r="EM325" s="29"/>
      <c r="EN325" s="93"/>
      <c r="EO325" s="29"/>
      <c r="EP325" s="29"/>
      <c r="EQ325" s="29"/>
      <c r="ER325" s="29"/>
      <c r="ES325" s="29"/>
      <c r="ET325" s="29"/>
      <c r="EU325" s="93"/>
      <c r="EV325" s="29"/>
      <c r="EW325" s="29"/>
      <c r="EX325" s="29"/>
      <c r="EY325" s="29"/>
      <c r="EZ325" s="29"/>
      <c r="FA325" s="29"/>
      <c r="FB325" s="93"/>
      <c r="FC325" s="29"/>
      <c r="FD325" s="29"/>
      <c r="FE325" s="29"/>
      <c r="FF325" s="29"/>
      <c r="FG325" s="29"/>
      <c r="FH325" s="29"/>
      <c r="FI325" s="93"/>
      <c r="FJ325" s="29"/>
      <c r="FK325" s="29"/>
      <c r="FL325" s="29"/>
      <c r="FM325" s="29"/>
      <c r="FN325" s="29"/>
      <c r="FO325" s="29"/>
      <c r="FP325" s="93"/>
      <c r="FQ325" s="29"/>
      <c r="FR325" s="29"/>
      <c r="FS325" s="29"/>
      <c r="FT325" s="29"/>
      <c r="FU325" s="29"/>
      <c r="FV325" s="29"/>
    </row>
  </sheetData>
  <customSheetViews>
    <customSheetView guid="{89D83D5E-00E2-481D-878C-45219CFAB555}" hiddenRows="1" state="hidden">
      <selection activeCell="C6" sqref="C6:D12"/>
      <pageMargins left="0.7" right="0.7" top="0.75" bottom="0.75" header="0.3" footer="0.3"/>
      <pageSetup paperSize="9" orientation="portrait" r:id="rId1"/>
    </customSheetView>
    <customSheetView guid="{0981FFDB-2279-4D52-B759-965B5769EA6B}" hiddenRows="1">
      <selection activeCell="C6" sqref="C6:D12"/>
      <pageMargins left="0.7" right="0.7" top="0.75" bottom="0.75" header="0.3" footer="0.3"/>
      <pageSetup paperSize="9" orientation="portrait" r:id="rId2"/>
    </customSheetView>
  </customSheetView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122</vt:i4>
      </vt:variant>
    </vt:vector>
  </HeadingPairs>
  <TitlesOfParts>
    <vt:vector size="124" baseType="lpstr">
      <vt:lpstr>RWL Report</vt:lpstr>
      <vt:lpstr>DATA</vt:lpstr>
      <vt:lpstr>ACTUAL_MONTH_YTD</vt:lpstr>
      <vt:lpstr>Auto_Fit</vt:lpstr>
      <vt:lpstr>DEBUG_MODE</vt:lpstr>
      <vt:lpstr>DEFAULT_LANG</vt:lpstr>
      <vt:lpstr>DEFAULT_LEGAL_ORGANIZATION</vt:lpstr>
      <vt:lpstr>DEFAULT_MANAG_ORG</vt:lpstr>
      <vt:lpstr>Locallanguage</vt:lpstr>
      <vt:lpstr>MDX_PART1</vt:lpstr>
      <vt:lpstr>MDX_PART2</vt:lpstr>
      <vt:lpstr>MDX_PART3</vt:lpstr>
      <vt:lpstr>MDX_PART4</vt:lpstr>
      <vt:lpstr>POV_ACTIVITY</vt:lpstr>
      <vt:lpstr>POV_CURRENCY</vt:lpstr>
      <vt:lpstr>POV_GAAP</vt:lpstr>
      <vt:lpstr>POV_INTEG_RATE</vt:lpstr>
      <vt:lpstr>POV_LANG</vt:lpstr>
      <vt:lpstr>POV_LEGAL_ORGA</vt:lpstr>
      <vt:lpstr>POV_MANAG_ORGA</vt:lpstr>
      <vt:lpstr>POV_PERIOD</vt:lpstr>
      <vt:lpstr>Run_Actual_PL0000_DO</vt:lpstr>
      <vt:lpstr>Run_Actual_PL0000_ET</vt:lpstr>
      <vt:lpstr>Run_Actual_PL0000_FL</vt:lpstr>
      <vt:lpstr>Run_Actual_PL0000_MF</vt:lpstr>
      <vt:lpstr>Run_Actual_PL0000_OT</vt:lpstr>
      <vt:lpstr>Run_Actual_PMM_D</vt:lpstr>
      <vt:lpstr>Run_Actual_PMM_D_CWU</vt:lpstr>
      <vt:lpstr>Run_Actual_PMM_D_PWU</vt:lpstr>
      <vt:lpstr>Run_Actual_PMM_D1</vt:lpstr>
      <vt:lpstr>Run_Actual_PMM_D2</vt:lpstr>
      <vt:lpstr>Run_Actual_PMM_D3</vt:lpstr>
      <vt:lpstr>Run_Actual_PMM_E</vt:lpstr>
      <vt:lpstr>Run_Actual_PMM_E_CWU</vt:lpstr>
      <vt:lpstr>Run_Actual_PMM_E_PWU</vt:lpstr>
      <vt:lpstr>Run_Actual_PMM_E1</vt:lpstr>
      <vt:lpstr>Run_Actual_PMM_E2</vt:lpstr>
      <vt:lpstr>Run_Actual_PMM_E3</vt:lpstr>
      <vt:lpstr>Run_Actual_PMM_F</vt:lpstr>
      <vt:lpstr>Run_Actual_PMM_F_CWU</vt:lpstr>
      <vt:lpstr>Run_Actual_PMM_F_PWU</vt:lpstr>
      <vt:lpstr>Run_Actual_PMM_F1</vt:lpstr>
      <vt:lpstr>Run_Actual_PMM_F2</vt:lpstr>
      <vt:lpstr>Run_Actual_PMM_F3</vt:lpstr>
      <vt:lpstr>Run_Actual_PMM_M</vt:lpstr>
      <vt:lpstr>Run_Actual_PMM_M_CWU</vt:lpstr>
      <vt:lpstr>Run_Actual_PMM_M_PWU</vt:lpstr>
      <vt:lpstr>Run_Actual_PMM_M1</vt:lpstr>
      <vt:lpstr>Run_Actual_PMM_M2</vt:lpstr>
      <vt:lpstr>Run_Actual_PMM_M3</vt:lpstr>
      <vt:lpstr>Run_Actual_PMM_O</vt:lpstr>
      <vt:lpstr>Run_Actual_PMM_O_CWU</vt:lpstr>
      <vt:lpstr>Run_Actual_PMM_O_PWU</vt:lpstr>
      <vt:lpstr>Run_Actual_PMM_O1</vt:lpstr>
      <vt:lpstr>Run_Actual_PMM_O2</vt:lpstr>
      <vt:lpstr>Run_Actual_PMM_O3</vt:lpstr>
      <vt:lpstr>Run_Actual_TPL10_dest_nosub</vt:lpstr>
      <vt:lpstr>Run_Budget_PL0000_DO</vt:lpstr>
      <vt:lpstr>Run_Budget_PL0000_ET</vt:lpstr>
      <vt:lpstr>Run_Budget_PL0000_FL</vt:lpstr>
      <vt:lpstr>Run_Budget_PL0000_MF</vt:lpstr>
      <vt:lpstr>Run_Budget_PL0000_OT</vt:lpstr>
      <vt:lpstr>Run_Budget_PMM_D</vt:lpstr>
      <vt:lpstr>Run_Budget_PMM_D_CWU</vt:lpstr>
      <vt:lpstr>Run_Budget_PMM_D_PWU</vt:lpstr>
      <vt:lpstr>Run_Budget_PMM_D1</vt:lpstr>
      <vt:lpstr>Run_Budget_PMM_D2</vt:lpstr>
      <vt:lpstr>Run_Budget_PMM_D3</vt:lpstr>
      <vt:lpstr>Run_Budget_PMM_E</vt:lpstr>
      <vt:lpstr>Run_Budget_PMM_E_CWU</vt:lpstr>
      <vt:lpstr>Run_Budget_PMM_E_PWU</vt:lpstr>
      <vt:lpstr>Run_Budget_PMM_E1</vt:lpstr>
      <vt:lpstr>Run_Budget_PMM_E2</vt:lpstr>
      <vt:lpstr>Run_Budget_PMM_E3</vt:lpstr>
      <vt:lpstr>Run_Budget_PMM_F</vt:lpstr>
      <vt:lpstr>Run_Budget_PMM_F_CWU</vt:lpstr>
      <vt:lpstr>Run_Budget_PMM_F_PWU</vt:lpstr>
      <vt:lpstr>Run_Budget_PMM_F1</vt:lpstr>
      <vt:lpstr>Run_Budget_PMM_F2</vt:lpstr>
      <vt:lpstr>Run_Budget_PMM_F3</vt:lpstr>
      <vt:lpstr>Run_Budget_PMM_M</vt:lpstr>
      <vt:lpstr>Run_Budget_PMM_M_CWU</vt:lpstr>
      <vt:lpstr>Run_Budget_PMM_M_PWU</vt:lpstr>
      <vt:lpstr>Run_Budget_PMM_M1</vt:lpstr>
      <vt:lpstr>Run_Budget_PMM_M2</vt:lpstr>
      <vt:lpstr>Run_Budget_PMM_M3</vt:lpstr>
      <vt:lpstr>Run_Budget_PMM_O</vt:lpstr>
      <vt:lpstr>Run_Budget_PMM_O_CWU</vt:lpstr>
      <vt:lpstr>Run_Budget_PMM_O_PWU</vt:lpstr>
      <vt:lpstr>Run_Budget_PMM_O1</vt:lpstr>
      <vt:lpstr>Run_Budget_PMM_O2</vt:lpstr>
      <vt:lpstr>Run_Budget_PMM_O3</vt:lpstr>
      <vt:lpstr>Run_Budget_TPL10_dest_nosub</vt:lpstr>
      <vt:lpstr>Server</vt:lpstr>
      <vt:lpstr>DATA!TM1RPTDATARNG1</vt:lpstr>
      <vt:lpstr>DATA!TM1RPTFMTIDCOL</vt:lpstr>
      <vt:lpstr>DATA!TM1RPTFMTRNG</vt:lpstr>
      <vt:lpstr>VAR_PL0000_DO</vt:lpstr>
      <vt:lpstr>VAR_PL0000_ET</vt:lpstr>
      <vt:lpstr>VAR_PL0000_FL</vt:lpstr>
      <vt:lpstr>VAR_PL0000_MF</vt:lpstr>
      <vt:lpstr>VAR_PL0000_OT</vt:lpstr>
      <vt:lpstr>VAR_PMM_D</vt:lpstr>
      <vt:lpstr>VAR_PMM_D1</vt:lpstr>
      <vt:lpstr>VAR_PMM_D2</vt:lpstr>
      <vt:lpstr>VAR_PMM_D3</vt:lpstr>
      <vt:lpstr>VAR_PMM_E</vt:lpstr>
      <vt:lpstr>VAR_PMM_E1</vt:lpstr>
      <vt:lpstr>VAR_PMM_E2</vt:lpstr>
      <vt:lpstr>VAR_PMM_E3</vt:lpstr>
      <vt:lpstr>VAR_PMM_F</vt:lpstr>
      <vt:lpstr>VAR_PMM_F1</vt:lpstr>
      <vt:lpstr>VAR_PMM_F2</vt:lpstr>
      <vt:lpstr>VAR_PMM_F3</vt:lpstr>
      <vt:lpstr>VAR_PMM_M</vt:lpstr>
      <vt:lpstr>VAR_PMM_M1</vt:lpstr>
      <vt:lpstr>VAR_PMM_M2</vt:lpstr>
      <vt:lpstr>VAR_PMM_M3</vt:lpstr>
      <vt:lpstr>VAR_PMM_O</vt:lpstr>
      <vt:lpstr>VAR_PMM_O1</vt:lpstr>
      <vt:lpstr>VAR_PMM_O2</vt:lpstr>
      <vt:lpstr>VAR_PMM_O3</vt:lpstr>
      <vt:lpstr>VAR_TPL10_dest_nosub</vt:lpstr>
      <vt:lpstr>xServer</vt:lpstr>
    </vt:vector>
  </TitlesOfParts>
  <Company>Veolia Transport - 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FERNANDES, Miguel</dc:creator>
  <cp:lastModifiedBy>SAINT JOHN de CREVECOEUR, Rozenn</cp:lastModifiedBy>
  <dcterms:created xsi:type="dcterms:W3CDTF">2015-09-10T09:10:18Z</dcterms:created>
  <dcterms:modified xsi:type="dcterms:W3CDTF">2018-12-24T16:24:51Z</dcterms:modified>
</cp:coreProperties>
</file>