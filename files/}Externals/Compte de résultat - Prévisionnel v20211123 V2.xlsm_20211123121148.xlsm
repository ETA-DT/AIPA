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-15" yWindow="-15" windowWidth="19320" windowHeight="4770" tabRatio="852" firstSheet="1" activeTab="1"/>
  </bookViews>
  <sheets>
    <sheet name="Context" sheetId="66" state="hidden" r:id="rId1"/>
    <sheet name="PL" sheetId="58" r:id="rId2"/>
  </sheets>
  <definedNames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ualForecastAdmin">Context!$B$15</definedName>
    <definedName name="ActualMonth">Context!$B$13</definedName>
    <definedName name="ActualMonthYTD">Context!$F$13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Fit">PL!$I$23:$O$97,PL!$N$26:$N$97,PL!#REF!,PL!#REF!</definedName>
    <definedName name="AutoRefresh_PL" localSheetId="0">Context!$H$1</definedName>
    <definedName name="AutoRefresh_PL">PL!$F$1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be1">Context!$B$11</definedName>
    <definedName name="Cube2">Context!$B$12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COM_pl_1">PL!$E$132</definedName>
    <definedName name="DBS_COM_pl_2">PL!$E$133</definedName>
    <definedName name="DBS_COM_pl_3">PL!$E$134</definedName>
    <definedName name="DBS_COM_pl_4">PL!$E$135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Data">Context!$B$7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_xlnm.Print_Titles" localSheetId="1">PL!$10:$24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Context!$B$17:$B$18</definedName>
    <definedName name="LocalLanguage">Context!$B$16</definedName>
    <definedName name="LocalLanguage2">Context!$C$16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Note">Context!$B$22:$B$24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Host">_xll.DBRW("tango_core_model:z_Admin_Param","SERVER_NAME","STR_VAR1")</definedName>
    <definedName name="xServer">Context!$B$5</definedName>
    <definedName name="_xlnm.Print_Area" localSheetId="1">PL!$E$10:$Q$92,PL!$E$94:$Q$139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F18" i="58" l="1"/>
  <c r="AE97" i="58"/>
  <c r="H2" i="58"/>
  <c r="Z93" i="58"/>
  <c r="AC93" i="58"/>
  <c r="AB94" i="58"/>
  <c r="K2" i="58"/>
  <c r="AA99" i="58"/>
  <c r="AB99" i="58"/>
  <c r="AB102" i="58"/>
  <c r="AB95" i="58"/>
  <c r="AA98" i="58"/>
  <c r="AB98" i="58"/>
  <c r="AC99" i="58"/>
  <c r="AC100" i="58"/>
  <c r="AC104" i="58"/>
  <c r="AD99" i="58"/>
  <c r="AD100" i="58"/>
  <c r="AD104" i="58"/>
  <c r="AE99" i="58"/>
  <c r="AE100" i="58"/>
  <c r="AE104" i="58"/>
  <c r="AF99" i="58"/>
  <c r="AF100" i="58"/>
  <c r="AF104" i="58"/>
  <c r="AG99" i="58"/>
  <c r="AG100" i="58"/>
  <c r="AG104" i="58"/>
  <c r="AB100" i="58"/>
  <c r="AB104" i="58"/>
  <c r="AD11" i="58"/>
  <c r="AE13" i="58"/>
  <c r="AE14" i="58"/>
  <c r="Z120" i="58"/>
  <c r="B13" i="66"/>
  <c r="F13" i="66"/>
  <c r="AB96" i="58"/>
  <c r="AB103" i="58"/>
  <c r="H5" i="58"/>
  <c r="K1" i="58"/>
  <c r="S23" i="58"/>
  <c r="F21" i="58"/>
  <c r="F14" i="58"/>
  <c r="F15" i="58"/>
  <c r="F20" i="58"/>
  <c r="F17" i="58"/>
  <c r="F19" i="58"/>
  <c r="J92" i="58"/>
  <c r="J90" i="58"/>
  <c r="J88" i="58"/>
  <c r="J86" i="58"/>
  <c r="J85" i="58"/>
  <c r="J83" i="58"/>
  <c r="J81" i="58"/>
  <c r="J80" i="58"/>
  <c r="J79" i="58"/>
  <c r="J78" i="58"/>
  <c r="J77" i="58"/>
  <c r="J76" i="58"/>
  <c r="J75" i="58"/>
  <c r="J74" i="58"/>
  <c r="J73" i="58"/>
  <c r="J72" i="58"/>
  <c r="J71" i="58"/>
  <c r="J70" i="58"/>
  <c r="J69" i="58"/>
  <c r="J68" i="58"/>
  <c r="J67" i="58"/>
  <c r="J66" i="58"/>
  <c r="J65" i="58"/>
  <c r="J64" i="58"/>
  <c r="J63" i="58"/>
  <c r="J62" i="58"/>
  <c r="J61" i="58"/>
  <c r="J60" i="58"/>
  <c r="J59" i="58"/>
  <c r="J58" i="58"/>
  <c r="J57" i="58"/>
  <c r="J56" i="58"/>
  <c r="J55" i="58"/>
  <c r="J54" i="58"/>
  <c r="J53" i="58"/>
  <c r="J52" i="58"/>
  <c r="J51" i="58"/>
  <c r="J50" i="58"/>
  <c r="J49" i="58"/>
  <c r="J48" i="58"/>
  <c r="J47" i="58"/>
  <c r="J46" i="58"/>
  <c r="J45" i="58"/>
  <c r="J44" i="58"/>
  <c r="J43" i="58"/>
  <c r="J42" i="58"/>
  <c r="J41" i="58"/>
  <c r="J40" i="58"/>
  <c r="J39" i="58"/>
  <c r="J38" i="58"/>
  <c r="J37" i="58"/>
  <c r="J36" i="58"/>
  <c r="J35" i="58"/>
  <c r="J34" i="58"/>
  <c r="J33" i="58"/>
  <c r="J31" i="58"/>
  <c r="J30" i="58"/>
  <c r="J29" i="58"/>
  <c r="J28" i="58"/>
  <c r="J27" i="58"/>
  <c r="J23" i="58"/>
  <c r="J26" i="58"/>
  <c r="K23" i="58"/>
  <c r="K27" i="58"/>
  <c r="K28" i="58"/>
  <c r="K29" i="58"/>
  <c r="K30" i="58"/>
  <c r="K31" i="58"/>
  <c r="K26" i="58"/>
  <c r="L26" i="58"/>
  <c r="N26" i="58"/>
  <c r="P2" i="58"/>
  <c r="S21" i="58"/>
  <c r="B5" i="66"/>
  <c r="S97" i="58"/>
  <c r="S96" i="58"/>
  <c r="S95" i="58"/>
  <c r="S94" i="58"/>
  <c r="K94" i="58"/>
  <c r="L94" i="58"/>
  <c r="N94" i="58"/>
  <c r="S92" i="58"/>
  <c r="L92" i="58"/>
  <c r="U92" i="58"/>
  <c r="V92" i="58"/>
  <c r="S90" i="58"/>
  <c r="L90" i="58"/>
  <c r="U90" i="58"/>
  <c r="V90" i="58"/>
  <c r="S88" i="58"/>
  <c r="L88" i="58"/>
  <c r="U88" i="58"/>
  <c r="V88" i="58"/>
  <c r="S86" i="58"/>
  <c r="L86" i="58"/>
  <c r="U86" i="58"/>
  <c r="V86" i="58"/>
  <c r="S85" i="58"/>
  <c r="L85" i="58"/>
  <c r="U85" i="58"/>
  <c r="V85" i="58"/>
  <c r="S83" i="58"/>
  <c r="L83" i="58"/>
  <c r="U83" i="58"/>
  <c r="V83" i="58"/>
  <c r="S81" i="58"/>
  <c r="L81" i="58"/>
  <c r="U81" i="58"/>
  <c r="V81" i="58"/>
  <c r="S80" i="58"/>
  <c r="L80" i="58"/>
  <c r="U80" i="58"/>
  <c r="V80" i="58"/>
  <c r="S79" i="58"/>
  <c r="L79" i="58"/>
  <c r="U79" i="58"/>
  <c r="V79" i="58"/>
  <c r="S78" i="58"/>
  <c r="L78" i="58"/>
  <c r="U78" i="58"/>
  <c r="V78" i="58"/>
  <c r="S77" i="58"/>
  <c r="L77" i="58"/>
  <c r="U77" i="58"/>
  <c r="V77" i="58"/>
  <c r="S76" i="58"/>
  <c r="L76" i="58"/>
  <c r="U76" i="58"/>
  <c r="V76" i="58"/>
  <c r="S75" i="58"/>
  <c r="L75" i="58"/>
  <c r="U75" i="58"/>
  <c r="V75" i="58"/>
  <c r="S74" i="58"/>
  <c r="L74" i="58"/>
  <c r="U74" i="58"/>
  <c r="V74" i="58"/>
  <c r="S73" i="58"/>
  <c r="L73" i="58"/>
  <c r="U73" i="58"/>
  <c r="V73" i="58"/>
  <c r="S72" i="58"/>
  <c r="L72" i="58"/>
  <c r="U72" i="58"/>
  <c r="V72" i="58"/>
  <c r="S71" i="58"/>
  <c r="L71" i="58"/>
  <c r="U71" i="58"/>
  <c r="V71" i="58"/>
  <c r="S70" i="58"/>
  <c r="L70" i="58"/>
  <c r="U70" i="58"/>
  <c r="V70" i="58"/>
  <c r="S69" i="58"/>
  <c r="L69" i="58"/>
  <c r="U69" i="58"/>
  <c r="V69" i="58"/>
  <c r="S68" i="58"/>
  <c r="L68" i="58"/>
  <c r="U68" i="58"/>
  <c r="V68" i="58"/>
  <c r="S67" i="58"/>
  <c r="L67" i="58"/>
  <c r="U67" i="58"/>
  <c r="V67" i="58"/>
  <c r="S66" i="58"/>
  <c r="L66" i="58"/>
  <c r="U66" i="58"/>
  <c r="V66" i="58"/>
  <c r="S65" i="58"/>
  <c r="L65" i="58"/>
  <c r="U65" i="58"/>
  <c r="V65" i="58"/>
  <c r="S64" i="58"/>
  <c r="L64" i="58"/>
  <c r="U64" i="58"/>
  <c r="V64" i="58"/>
  <c r="S63" i="58"/>
  <c r="L63" i="58"/>
  <c r="U63" i="58"/>
  <c r="V63" i="58"/>
  <c r="S62" i="58"/>
  <c r="L62" i="58"/>
  <c r="U62" i="58"/>
  <c r="V62" i="58"/>
  <c r="S61" i="58"/>
  <c r="L61" i="58"/>
  <c r="U61" i="58"/>
  <c r="V61" i="58"/>
  <c r="S60" i="58"/>
  <c r="L60" i="58"/>
  <c r="U60" i="58"/>
  <c r="V60" i="58"/>
  <c r="S59" i="58"/>
  <c r="L59" i="58"/>
  <c r="U59" i="58"/>
  <c r="V59" i="58"/>
  <c r="S58" i="58"/>
  <c r="L58" i="58"/>
  <c r="U58" i="58"/>
  <c r="V58" i="58"/>
  <c r="S57" i="58"/>
  <c r="L57" i="58"/>
  <c r="U57" i="58"/>
  <c r="V57" i="58"/>
  <c r="S56" i="58"/>
  <c r="L56" i="58"/>
  <c r="U56" i="58"/>
  <c r="V56" i="58"/>
  <c r="S55" i="58"/>
  <c r="L55" i="58"/>
  <c r="U55" i="58"/>
  <c r="V55" i="58"/>
  <c r="S54" i="58"/>
  <c r="L54" i="58"/>
  <c r="U54" i="58"/>
  <c r="V54" i="58"/>
  <c r="S53" i="58"/>
  <c r="L53" i="58"/>
  <c r="U53" i="58"/>
  <c r="V53" i="58"/>
  <c r="S52" i="58"/>
  <c r="L52" i="58"/>
  <c r="U52" i="58"/>
  <c r="V52" i="58"/>
  <c r="S51" i="58"/>
  <c r="L51" i="58"/>
  <c r="U51" i="58"/>
  <c r="V51" i="58"/>
  <c r="S50" i="58"/>
  <c r="L50" i="58"/>
  <c r="U50" i="58"/>
  <c r="V50" i="58"/>
  <c r="S49" i="58"/>
  <c r="L49" i="58"/>
  <c r="U49" i="58"/>
  <c r="V49" i="58"/>
  <c r="S48" i="58"/>
  <c r="L48" i="58"/>
  <c r="U48" i="58"/>
  <c r="V48" i="58"/>
  <c r="S47" i="58"/>
  <c r="L47" i="58"/>
  <c r="U47" i="58"/>
  <c r="V47" i="58"/>
  <c r="S46" i="58"/>
  <c r="L46" i="58"/>
  <c r="U46" i="58"/>
  <c r="V46" i="58"/>
  <c r="S45" i="58"/>
  <c r="L45" i="58"/>
  <c r="U45" i="58"/>
  <c r="V45" i="58"/>
  <c r="S44" i="58"/>
  <c r="L44" i="58"/>
  <c r="U44" i="58"/>
  <c r="V44" i="58"/>
  <c r="S43" i="58"/>
  <c r="L43" i="58"/>
  <c r="U43" i="58"/>
  <c r="V43" i="58"/>
  <c r="S42" i="58"/>
  <c r="L42" i="58"/>
  <c r="U42" i="58"/>
  <c r="V42" i="58"/>
  <c r="S41" i="58"/>
  <c r="L41" i="58"/>
  <c r="U41" i="58"/>
  <c r="V41" i="58"/>
  <c r="S40" i="58"/>
  <c r="L40" i="58"/>
  <c r="U40" i="58"/>
  <c r="V40" i="58"/>
  <c r="S39" i="58"/>
  <c r="L39" i="58"/>
  <c r="U39" i="58"/>
  <c r="V39" i="58"/>
  <c r="S38" i="58"/>
  <c r="L38" i="58"/>
  <c r="U38" i="58"/>
  <c r="V38" i="58"/>
  <c r="S37" i="58"/>
  <c r="L37" i="58"/>
  <c r="U37" i="58"/>
  <c r="V37" i="58"/>
  <c r="S36" i="58"/>
  <c r="L36" i="58"/>
  <c r="U36" i="58"/>
  <c r="V36" i="58"/>
  <c r="S35" i="58"/>
  <c r="L35" i="58"/>
  <c r="U35" i="58"/>
  <c r="V35" i="58"/>
  <c r="S34" i="58"/>
  <c r="L34" i="58"/>
  <c r="U34" i="58"/>
  <c r="V34" i="58"/>
  <c r="S31" i="58"/>
  <c r="L31" i="58"/>
  <c r="U31" i="58"/>
  <c r="V31" i="58"/>
  <c r="S30" i="58"/>
  <c r="L30" i="58"/>
  <c r="U30" i="58"/>
  <c r="V30" i="58"/>
  <c r="S29" i="58"/>
  <c r="L29" i="58"/>
  <c r="U29" i="58"/>
  <c r="V29" i="58"/>
  <c r="S33" i="58"/>
  <c r="L33" i="58"/>
  <c r="U33" i="58"/>
  <c r="V33" i="58"/>
  <c r="S28" i="58"/>
  <c r="L28" i="58"/>
  <c r="U28" i="58"/>
  <c r="V28" i="58"/>
  <c r="S27" i="58"/>
  <c r="L27" i="58"/>
  <c r="U27" i="58"/>
  <c r="V27" i="58"/>
  <c r="S26" i="58"/>
  <c r="U26" i="58"/>
  <c r="V26" i="58"/>
  <c r="N27" i="58"/>
  <c r="O27" i="58"/>
  <c r="S91" i="58"/>
  <c r="S89" i="58"/>
  <c r="S87" i="58"/>
  <c r="S84" i="58"/>
  <c r="S82" i="58"/>
  <c r="U82" i="58"/>
  <c r="H3" i="58"/>
  <c r="I94" i="58"/>
  <c r="I81" i="58"/>
  <c r="Q81" i="58"/>
  <c r="K81" i="58"/>
  <c r="N81" i="58"/>
  <c r="O81" i="58"/>
  <c r="P81" i="58"/>
  <c r="E81" i="58"/>
  <c r="N30" i="58"/>
  <c r="O30" i="58"/>
  <c r="I41" i="58"/>
  <c r="Q41" i="58"/>
  <c r="I28" i="58"/>
  <c r="Q28" i="58"/>
  <c r="N28" i="58"/>
  <c r="O28" i="58"/>
  <c r="P28" i="58"/>
  <c r="E28" i="58"/>
  <c r="B6" i="66"/>
  <c r="I95" i="58"/>
  <c r="I96" i="58"/>
  <c r="I97" i="58"/>
  <c r="L95" i="58"/>
  <c r="L96" i="58"/>
  <c r="L97" i="58"/>
  <c r="K95" i="58"/>
  <c r="K96" i="58"/>
  <c r="K97" i="58"/>
  <c r="I26" i="58"/>
  <c r="I92" i="58"/>
  <c r="I90" i="58"/>
  <c r="I88" i="58"/>
  <c r="I86" i="58"/>
  <c r="I85" i="58"/>
  <c r="I83" i="58"/>
  <c r="I80" i="58"/>
  <c r="I79" i="58"/>
  <c r="I78" i="58"/>
  <c r="I77" i="58"/>
  <c r="I76" i="58"/>
  <c r="I75" i="58"/>
  <c r="I74" i="58"/>
  <c r="I73" i="58"/>
  <c r="I72" i="58"/>
  <c r="I71" i="58"/>
  <c r="I70" i="58"/>
  <c r="I69" i="58"/>
  <c r="I68" i="58"/>
  <c r="I67" i="58"/>
  <c r="I66" i="58"/>
  <c r="I65" i="58"/>
  <c r="I64" i="58"/>
  <c r="I63" i="58"/>
  <c r="I62" i="58"/>
  <c r="I61" i="58"/>
  <c r="I60" i="58"/>
  <c r="I59" i="58"/>
  <c r="I58" i="58"/>
  <c r="I57" i="58"/>
  <c r="I56" i="58"/>
  <c r="I55" i="58"/>
  <c r="I54" i="58"/>
  <c r="I53" i="58"/>
  <c r="I52" i="58"/>
  <c r="I51" i="58"/>
  <c r="I50" i="58"/>
  <c r="I49" i="58"/>
  <c r="I48" i="58"/>
  <c r="I47" i="58"/>
  <c r="I46" i="58"/>
  <c r="I45" i="58"/>
  <c r="I44" i="58"/>
  <c r="I43" i="58"/>
  <c r="I42" i="58"/>
  <c r="I40" i="58"/>
  <c r="I39" i="58"/>
  <c r="I38" i="58"/>
  <c r="I37" i="58"/>
  <c r="I36" i="58"/>
  <c r="I35" i="58"/>
  <c r="I34" i="58"/>
  <c r="I30" i="58"/>
  <c r="I29" i="58"/>
  <c r="I33" i="58"/>
  <c r="I27" i="58"/>
  <c r="I31" i="58"/>
  <c r="Q26" i="58"/>
  <c r="K92" i="58"/>
  <c r="K90" i="58"/>
  <c r="K88" i="58"/>
  <c r="K86" i="58"/>
  <c r="K85" i="58"/>
  <c r="K83" i="58"/>
  <c r="K80" i="58"/>
  <c r="K79" i="58"/>
  <c r="K78" i="58"/>
  <c r="K77" i="58"/>
  <c r="K76" i="58"/>
  <c r="K75" i="58"/>
  <c r="K74" i="58"/>
  <c r="K73" i="58"/>
  <c r="K72" i="58"/>
  <c r="K71" i="58"/>
  <c r="K70" i="58"/>
  <c r="K69" i="58"/>
  <c r="K68" i="58"/>
  <c r="K67" i="58"/>
  <c r="K66" i="58"/>
  <c r="K65" i="58"/>
  <c r="K64" i="58"/>
  <c r="K63" i="58"/>
  <c r="K62" i="58"/>
  <c r="K61" i="58"/>
  <c r="K60" i="58"/>
  <c r="K59" i="58"/>
  <c r="K58" i="58"/>
  <c r="K57" i="58"/>
  <c r="K56" i="58"/>
  <c r="K55" i="58"/>
  <c r="K54" i="58"/>
  <c r="K53" i="58"/>
  <c r="K52" i="58"/>
  <c r="K51" i="58"/>
  <c r="K50" i="58"/>
  <c r="K49" i="58"/>
  <c r="K48" i="58"/>
  <c r="K47" i="58"/>
  <c r="K46" i="58"/>
  <c r="K45" i="58"/>
  <c r="K44" i="58"/>
  <c r="K43" i="58"/>
  <c r="K42" i="58"/>
  <c r="K41" i="58"/>
  <c r="K40" i="58"/>
  <c r="K39" i="58"/>
  <c r="K38" i="58"/>
  <c r="K37" i="58"/>
  <c r="K36" i="58"/>
  <c r="K35" i="58"/>
  <c r="K34" i="58"/>
  <c r="K33" i="58"/>
  <c r="I23" i="58"/>
  <c r="AG98" i="58"/>
  <c r="AG103" i="58"/>
  <c r="AA118" i="58"/>
  <c r="AG118" i="58"/>
  <c r="AC98" i="58"/>
  <c r="AC103" i="58"/>
  <c r="AC118" i="58"/>
  <c r="AD98" i="58"/>
  <c r="AD103" i="58"/>
  <c r="AD118" i="58"/>
  <c r="AE98" i="58"/>
  <c r="AE103" i="58"/>
  <c r="AE118" i="58"/>
  <c r="AF98" i="58"/>
  <c r="AF103" i="58"/>
  <c r="AF118" i="58"/>
  <c r="AB118" i="58"/>
  <c r="AA114" i="58"/>
  <c r="AC114" i="58"/>
  <c r="AD114" i="58"/>
  <c r="AE114" i="58"/>
  <c r="AF114" i="58"/>
  <c r="AG114" i="58"/>
  <c r="AB114" i="58"/>
  <c r="AA110" i="58"/>
  <c r="AC110" i="58"/>
  <c r="AD110" i="58"/>
  <c r="AE110" i="58"/>
  <c r="AF110" i="58"/>
  <c r="AG110" i="58"/>
  <c r="AB110" i="58"/>
  <c r="AA106" i="58"/>
  <c r="AC106" i="58"/>
  <c r="AD106" i="58"/>
  <c r="AE106" i="58"/>
  <c r="AF106" i="58"/>
  <c r="AG106" i="58"/>
  <c r="AB106" i="58"/>
  <c r="AA107" i="58"/>
  <c r="AB107" i="58"/>
  <c r="AG102" i="58"/>
  <c r="AA119" i="58"/>
  <c r="AG119" i="58"/>
  <c r="AF102" i="58"/>
  <c r="AF119" i="58"/>
  <c r="AE102" i="58"/>
  <c r="AE119" i="58"/>
  <c r="AD102" i="58"/>
  <c r="AD119" i="58"/>
  <c r="AC102" i="58"/>
  <c r="AC119" i="58"/>
  <c r="AG101" i="58"/>
  <c r="AG117" i="58"/>
  <c r="AF101" i="58"/>
  <c r="AF117" i="58"/>
  <c r="AE101" i="58"/>
  <c r="AE117" i="58"/>
  <c r="AD101" i="58"/>
  <c r="AD117" i="58"/>
  <c r="AC101" i="58"/>
  <c r="AA117" i="58"/>
  <c r="AC117" i="58"/>
  <c r="AB119" i="58"/>
  <c r="AB101" i="58"/>
  <c r="AB117" i="58"/>
  <c r="AA115" i="58"/>
  <c r="AG115" i="58"/>
  <c r="AF115" i="58"/>
  <c r="AE115" i="58"/>
  <c r="AD115" i="58"/>
  <c r="AC115" i="58"/>
  <c r="AG113" i="58"/>
  <c r="AF113" i="58"/>
  <c r="AE113" i="58"/>
  <c r="AD113" i="58"/>
  <c r="AA113" i="58"/>
  <c r="AC113" i="58"/>
  <c r="AB115" i="58"/>
  <c r="AB113" i="58"/>
  <c r="AA111" i="58"/>
  <c r="AG111" i="58"/>
  <c r="AF111" i="58"/>
  <c r="AE111" i="58"/>
  <c r="AD111" i="58"/>
  <c r="AC111" i="58"/>
  <c r="AB111" i="58"/>
  <c r="AG109" i="58"/>
  <c r="AF109" i="58"/>
  <c r="AE109" i="58"/>
  <c r="AD109" i="58"/>
  <c r="AA109" i="58"/>
  <c r="AC109" i="58"/>
  <c r="AB109" i="58"/>
  <c r="AG105" i="58"/>
  <c r="AF105" i="58"/>
  <c r="AE105" i="58"/>
  <c r="AD105" i="58"/>
  <c r="AA105" i="58"/>
  <c r="AC105" i="58"/>
  <c r="AB105" i="58"/>
  <c r="AG107" i="58"/>
  <c r="Z105" i="58"/>
  <c r="Q96" i="58"/>
  <c r="Q97" i="58"/>
  <c r="Q95" i="58"/>
  <c r="Q94" i="58"/>
  <c r="N97" i="58"/>
  <c r="O97" i="58"/>
  <c r="N96" i="58"/>
  <c r="O96" i="58"/>
  <c r="N95" i="58"/>
  <c r="O95" i="58"/>
  <c r="O94" i="58"/>
  <c r="Q92" i="58"/>
  <c r="Q90" i="58"/>
  <c r="Q88" i="58"/>
  <c r="Q86" i="58"/>
  <c r="Q85" i="58"/>
  <c r="Q83" i="58"/>
  <c r="Q80" i="58"/>
  <c r="Q79" i="58"/>
  <c r="Q78" i="58"/>
  <c r="Q77" i="58"/>
  <c r="Q76" i="58"/>
  <c r="Q75" i="58"/>
  <c r="Q74" i="58"/>
  <c r="Q73" i="58"/>
  <c r="Q72" i="58"/>
  <c r="Q71" i="58"/>
  <c r="Q70" i="58"/>
  <c r="Q69" i="58"/>
  <c r="Q68" i="58"/>
  <c r="Q67" i="58"/>
  <c r="Q66" i="58"/>
  <c r="Q65" i="58"/>
  <c r="Q64" i="58"/>
  <c r="Q63" i="58"/>
  <c r="Q62" i="58"/>
  <c r="Q61" i="58"/>
  <c r="Q60" i="58"/>
  <c r="Q59" i="58"/>
  <c r="Q58" i="58"/>
  <c r="Q57" i="58"/>
  <c r="Q56" i="58"/>
  <c r="Q55" i="58"/>
  <c r="Q54" i="58"/>
  <c r="Q53" i="58"/>
  <c r="Q52" i="58"/>
  <c r="Q51" i="58"/>
  <c r="Q50" i="58"/>
  <c r="Q49" i="58"/>
  <c r="Q48" i="58"/>
  <c r="Q47" i="58"/>
  <c r="Q46" i="58"/>
  <c r="Q45" i="58"/>
  <c r="Q44" i="58"/>
  <c r="Q43" i="58"/>
  <c r="Q42" i="58"/>
  <c r="Q40" i="58"/>
  <c r="Q39" i="58"/>
  <c r="Q38" i="58"/>
  <c r="Q37" i="58"/>
  <c r="Q36" i="58"/>
  <c r="Q35" i="58"/>
  <c r="Q34" i="58"/>
  <c r="Q30" i="58"/>
  <c r="Q29" i="58"/>
  <c r="Q33" i="58"/>
  <c r="Q27" i="58"/>
  <c r="Q31" i="58"/>
  <c r="N92" i="58"/>
  <c r="O92" i="58"/>
  <c r="N31" i="58"/>
  <c r="N90" i="58"/>
  <c r="O90" i="58"/>
  <c r="N88" i="58"/>
  <c r="O88" i="58"/>
  <c r="N86" i="58"/>
  <c r="O86" i="58"/>
  <c r="N85" i="58"/>
  <c r="O85" i="58"/>
  <c r="N83" i="58"/>
  <c r="O83" i="58"/>
  <c r="N80" i="58"/>
  <c r="O80" i="58"/>
  <c r="N79" i="58"/>
  <c r="O79" i="58"/>
  <c r="N78" i="58"/>
  <c r="O78" i="58"/>
  <c r="N77" i="58"/>
  <c r="O77" i="58"/>
  <c r="N76" i="58"/>
  <c r="O76" i="58"/>
  <c r="N75" i="58"/>
  <c r="O75" i="58"/>
  <c r="N74" i="58"/>
  <c r="O74" i="58"/>
  <c r="N73" i="58"/>
  <c r="O73" i="58"/>
  <c r="N72" i="58"/>
  <c r="O72" i="58"/>
  <c r="N71" i="58"/>
  <c r="O71" i="58"/>
  <c r="N70" i="58"/>
  <c r="O70" i="58"/>
  <c r="N69" i="58"/>
  <c r="O69" i="58"/>
  <c r="N68" i="58"/>
  <c r="O68" i="58"/>
  <c r="N67" i="58"/>
  <c r="O67" i="58"/>
  <c r="N66" i="58"/>
  <c r="O66" i="58"/>
  <c r="N65" i="58"/>
  <c r="O65" i="58"/>
  <c r="N64" i="58"/>
  <c r="O64" i="58"/>
  <c r="N63" i="58"/>
  <c r="O63" i="58"/>
  <c r="N62" i="58"/>
  <c r="O62" i="58"/>
  <c r="N61" i="58"/>
  <c r="O61" i="58"/>
  <c r="N60" i="58"/>
  <c r="O60" i="58"/>
  <c r="N59" i="58"/>
  <c r="O59" i="58"/>
  <c r="N58" i="58"/>
  <c r="O58" i="58"/>
  <c r="N57" i="58"/>
  <c r="O57" i="58"/>
  <c r="N56" i="58"/>
  <c r="O56" i="58"/>
  <c r="N55" i="58"/>
  <c r="O55" i="58"/>
  <c r="N54" i="58"/>
  <c r="O54" i="58"/>
  <c r="N53" i="58"/>
  <c r="O53" i="58"/>
  <c r="N52" i="58"/>
  <c r="O52" i="58"/>
  <c r="N51" i="58"/>
  <c r="O51" i="58"/>
  <c r="N50" i="58"/>
  <c r="O50" i="58"/>
  <c r="N49" i="58"/>
  <c r="O49" i="58"/>
  <c r="N48" i="58"/>
  <c r="O48" i="58"/>
  <c r="N47" i="58"/>
  <c r="O47" i="58"/>
  <c r="N46" i="58"/>
  <c r="O46" i="58"/>
  <c r="N45" i="58"/>
  <c r="O45" i="58"/>
  <c r="N44" i="58"/>
  <c r="O44" i="58"/>
  <c r="N43" i="58"/>
  <c r="O43" i="58"/>
  <c r="N42" i="58"/>
  <c r="O42" i="58"/>
  <c r="N41" i="58"/>
  <c r="O41" i="58"/>
  <c r="N40" i="58"/>
  <c r="O40" i="58"/>
  <c r="N39" i="58"/>
  <c r="O39" i="58"/>
  <c r="N38" i="58"/>
  <c r="O38" i="58"/>
  <c r="N37" i="58"/>
  <c r="O37" i="58"/>
  <c r="N36" i="58"/>
  <c r="O36" i="58"/>
  <c r="N35" i="58"/>
  <c r="O35" i="58"/>
  <c r="N34" i="58"/>
  <c r="O34" i="58"/>
  <c r="N29" i="58"/>
  <c r="O29" i="58"/>
  <c r="N33" i="58"/>
  <c r="O33" i="58"/>
  <c r="O31" i="58"/>
  <c r="O26" i="58"/>
  <c r="L23" i="58"/>
  <c r="Q23" i="58"/>
  <c r="N23" i="58"/>
  <c r="P86" i="58"/>
  <c r="E86" i="58"/>
  <c r="E2" i="58"/>
  <c r="P80" i="58"/>
  <c r="E80" i="58"/>
  <c r="M33" i="58"/>
  <c r="C13" i="66"/>
  <c r="D13" i="66"/>
  <c r="E13" i="66"/>
  <c r="I21" i="58"/>
  <c r="E85" i="58"/>
  <c r="E26" i="58"/>
  <c r="E30" i="58"/>
  <c r="E27" i="58"/>
  <c r="E31" i="58"/>
  <c r="E29" i="58"/>
  <c r="P30" i="58"/>
  <c r="P31" i="58"/>
  <c r="B16" i="66"/>
  <c r="B15" i="66"/>
  <c r="B14" i="66"/>
  <c r="I19" i="58"/>
  <c r="E135" i="58"/>
  <c r="E134" i="58"/>
  <c r="E133" i="58"/>
  <c r="E132" i="58"/>
  <c r="C16" i="66"/>
  <c r="E131" i="58"/>
  <c r="AC107" i="58"/>
  <c r="AD107" i="58"/>
  <c r="AE107" i="58"/>
  <c r="AF107" i="58"/>
  <c r="Z104" i="58"/>
  <c r="Z116" i="58"/>
  <c r="Z112" i="58"/>
  <c r="Z108" i="58"/>
  <c r="Z119" i="58"/>
  <c r="Z118" i="58"/>
  <c r="Z117" i="58"/>
  <c r="Z114" i="58"/>
  <c r="Z115" i="58"/>
  <c r="Z113" i="58"/>
  <c r="Z109" i="58"/>
  <c r="Z110" i="58"/>
  <c r="Z111" i="58"/>
  <c r="Z106" i="58"/>
  <c r="Z107" i="58"/>
  <c r="P97" i="58"/>
  <c r="P96" i="58"/>
  <c r="P95" i="58"/>
  <c r="P94" i="58"/>
  <c r="F97" i="58"/>
  <c r="F96" i="58"/>
  <c r="F95" i="58"/>
  <c r="F94" i="58"/>
  <c r="N21" i="58"/>
  <c r="E10" i="58"/>
  <c r="P92" i="58"/>
  <c r="P90" i="58"/>
  <c r="P88" i="58"/>
  <c r="P85" i="58"/>
  <c r="P83" i="58"/>
  <c r="P79" i="58"/>
  <c r="P78" i="58"/>
  <c r="P77" i="58"/>
  <c r="P76" i="58"/>
  <c r="P75" i="58"/>
  <c r="P74" i="58"/>
  <c r="P73" i="58"/>
  <c r="P72" i="58"/>
  <c r="P71" i="58"/>
  <c r="P70" i="58"/>
  <c r="P69" i="58"/>
  <c r="P68" i="58"/>
  <c r="P67" i="58"/>
  <c r="P66" i="58"/>
  <c r="P65" i="58"/>
  <c r="P64" i="58"/>
  <c r="P63" i="58"/>
  <c r="P62" i="58"/>
  <c r="P61" i="58"/>
  <c r="P60" i="58"/>
  <c r="P59" i="58"/>
  <c r="P58" i="58"/>
  <c r="P57" i="58"/>
  <c r="P56" i="58"/>
  <c r="P55" i="58"/>
  <c r="P54" i="58"/>
  <c r="P53" i="58"/>
  <c r="P52" i="58"/>
  <c r="P51" i="58"/>
  <c r="P50" i="58"/>
  <c r="P49" i="58"/>
  <c r="P48" i="58"/>
  <c r="P47" i="58"/>
  <c r="P46" i="58"/>
  <c r="P45" i="58"/>
  <c r="P44" i="58"/>
  <c r="P43" i="58"/>
  <c r="P42" i="58"/>
  <c r="P41" i="58"/>
  <c r="P40" i="58"/>
  <c r="P39" i="58"/>
  <c r="P38" i="58"/>
  <c r="P37" i="58"/>
  <c r="P36" i="58"/>
  <c r="P35" i="58"/>
  <c r="P34" i="58"/>
  <c r="P33" i="58"/>
  <c r="P27" i="58"/>
  <c r="P29" i="58"/>
  <c r="P26" i="58"/>
  <c r="E92" i="58"/>
  <c r="E90" i="58"/>
  <c r="E88" i="58"/>
  <c r="E83" i="58"/>
  <c r="E78" i="58"/>
  <c r="E77" i="58"/>
  <c r="E75" i="58"/>
  <c r="E74" i="58"/>
  <c r="E73" i="58"/>
  <c r="E71" i="58"/>
  <c r="E70" i="58"/>
  <c r="E68" i="58"/>
  <c r="E67" i="58"/>
  <c r="E64" i="58"/>
  <c r="E63" i="58"/>
  <c r="E61" i="58"/>
  <c r="E60" i="58"/>
  <c r="E57" i="58"/>
  <c r="E56" i="58"/>
  <c r="E54" i="58"/>
  <c r="E53" i="58"/>
  <c r="E52" i="58"/>
  <c r="E79" i="58"/>
  <c r="E76" i="58"/>
  <c r="E72" i="58"/>
  <c r="E69" i="58"/>
  <c r="E66" i="58"/>
  <c r="E62" i="58"/>
  <c r="E59" i="58"/>
  <c r="E58" i="58"/>
  <c r="E55" i="58"/>
  <c r="E51" i="58"/>
  <c r="E50" i="58"/>
  <c r="E49" i="58"/>
  <c r="E48" i="58"/>
  <c r="E47" i="58"/>
  <c r="E46" i="58"/>
  <c r="E45" i="58"/>
  <c r="E44" i="58"/>
  <c r="E43" i="58"/>
  <c r="E42" i="58"/>
  <c r="E36" i="58"/>
  <c r="E39" i="58"/>
  <c r="E38" i="58"/>
  <c r="E37" i="58"/>
  <c r="E40" i="58"/>
  <c r="E33" i="58"/>
  <c r="AE15" i="58"/>
  <c r="E17" i="58"/>
  <c r="E24" i="58"/>
  <c r="E16" i="58"/>
  <c r="E15" i="58"/>
  <c r="E14" i="58"/>
  <c r="E21" i="58"/>
  <c r="E20" i="58"/>
  <c r="E19" i="58"/>
  <c r="E18" i="58"/>
  <c r="E13" i="58"/>
  <c r="Z121" i="58"/>
  <c r="E41" i="58"/>
  <c r="AK21" i="58"/>
  <c r="E34" i="58"/>
  <c r="E35" i="58"/>
</calcChain>
</file>

<file path=xl/sharedStrings.xml><?xml version="1.0" encoding="utf-8"?>
<sst xmlns="http://schemas.openxmlformats.org/spreadsheetml/2006/main" count="225" uniqueCount="200">
  <si>
    <t>Phase</t>
  </si>
  <si>
    <t>English</t>
  </si>
  <si>
    <t>Local language</t>
  </si>
  <si>
    <t xml:space="preserve"> </t>
  </si>
  <si>
    <t>Actual Month :</t>
  </si>
  <si>
    <t>Comments</t>
  </si>
  <si>
    <t>Dutch</t>
  </si>
  <si>
    <t>German</t>
  </si>
  <si>
    <t>Portugese</t>
  </si>
  <si>
    <t>Currency</t>
  </si>
  <si>
    <t>Gaap</t>
  </si>
  <si>
    <t>Budget Version :</t>
  </si>
  <si>
    <t>Sheets Context Legend :</t>
  </si>
  <si>
    <t>Technical Named Cell for VBA process :</t>
  </si>
  <si>
    <t>Fixed Dimension Context</t>
  </si>
  <si>
    <t>z_Admin_Param Dimension Context</t>
  </si>
  <si>
    <t>A</t>
  </si>
  <si>
    <t>B</t>
  </si>
  <si>
    <t>C</t>
  </si>
  <si>
    <t>Language List :</t>
  </si>
  <si>
    <t>Note List :</t>
  </si>
  <si>
    <t>Comment_1</t>
  </si>
  <si>
    <t>Comment_2</t>
  </si>
  <si>
    <t>Comment_3</t>
  </si>
  <si>
    <t>Comment_4</t>
  </si>
  <si>
    <t>Context_selection</t>
  </si>
  <si>
    <t>Management_organization</t>
  </si>
  <si>
    <t>Legal_organization</t>
  </si>
  <si>
    <t>Variances</t>
  </si>
  <si>
    <t>z_Translate_Report</t>
  </si>
  <si>
    <t>Integration_rate</t>
  </si>
  <si>
    <t>Language</t>
  </si>
  <si>
    <t>Year</t>
  </si>
  <si>
    <t>YearToDate</t>
  </si>
  <si>
    <t>Ytd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</si>
  <si>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</si>
  <si>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</si>
  <si>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</si>
  <si>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</si>
  <si>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</si>
  <si>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</si>
  <si>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</si>
  <si>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</si>
  <si>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</si>
  <si>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</si>
  <si>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</si>
  <si>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</si>
  <si>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volume_effect</t>
  </si>
  <si>
    <t>price_effect</t>
  </si>
  <si>
    <t>output</t>
  </si>
  <si>
    <t>Variance</t>
  </si>
  <si>
    <t>Prior_year</t>
  </si>
  <si>
    <t>Period</t>
  </si>
  <si>
    <t>Budget</t>
  </si>
  <si>
    <t>Forecast_1</t>
  </si>
  <si>
    <t>Forecast_2</t>
  </si>
  <si>
    <t>Actual_N_2</t>
  </si>
  <si>
    <t>Forecast2_N_1</t>
  </si>
  <si>
    <t>List 1</t>
  </si>
  <si>
    <t>Trend arrows</t>
  </si>
  <si>
    <t>ì</t>
  </si>
  <si>
    <t>î</t>
  </si>
  <si>
    <t>è</t>
  </si>
  <si>
    <t>ROA</t>
  </si>
  <si>
    <t>Gross_Margin</t>
  </si>
  <si>
    <t>Operational_Profit</t>
  </si>
  <si>
    <t>Langue</t>
  </si>
  <si>
    <t>Français</t>
  </si>
  <si>
    <t>Projets</t>
  </si>
  <si>
    <t>Annee_pleine</t>
  </si>
  <si>
    <t>A_Date</t>
  </si>
  <si>
    <t xml:space="preserve">Forecast Version </t>
  </si>
  <si>
    <t>RP_PL_Corp</t>
  </si>
  <si>
    <t>RP_Comments_PL_Corp</t>
  </si>
  <si>
    <t>Month</t>
  </si>
  <si>
    <t>Previous Month</t>
  </si>
  <si>
    <t>YTD</t>
  </si>
  <si>
    <t>BUDG_TOT</t>
  </si>
  <si>
    <t>ACT_TOT</t>
  </si>
  <si>
    <t>Reste_a_encourir</t>
  </si>
  <si>
    <t>Pourcent_reste_a_encourir</t>
  </si>
  <si>
    <t>Pourcent_consommation</t>
  </si>
  <si>
    <t>Indicator_Corp</t>
  </si>
  <si>
    <t>Chges_ope</t>
  </si>
  <si>
    <t>Cout_ext</t>
  </si>
  <si>
    <t>Couts_admin_info</t>
  </si>
  <si>
    <t>Fr_post</t>
  </si>
  <si>
    <t>Fournit_bur</t>
  </si>
  <si>
    <t>Loc_entret_info</t>
  </si>
  <si>
    <t>Entret_repa_immo</t>
  </si>
  <si>
    <t>Docu</t>
  </si>
  <si>
    <t>Cout_ext_dir</t>
  </si>
  <si>
    <t>Hono_cons</t>
  </si>
  <si>
    <t>Hono_cons_abo</t>
  </si>
  <si>
    <t>Publi_sponso</t>
  </si>
  <si>
    <t>Recep_sem</t>
  </si>
  <si>
    <t>Aut_ass_ext</t>
  </si>
  <si>
    <t>Dep_form</t>
  </si>
  <si>
    <t>Assu</t>
  </si>
  <si>
    <t>Serv_banc</t>
  </si>
  <si>
    <t>Frais_siege</t>
  </si>
  <si>
    <t>Téléphonie mobile</t>
  </si>
  <si>
    <t>Frais_perso_assi</t>
  </si>
  <si>
    <t>Frais_perso</t>
  </si>
  <si>
    <t>PMAD</t>
  </si>
  <si>
    <t>Perso_interim</t>
  </si>
  <si>
    <t>Frais_dep</t>
  </si>
  <si>
    <t>Notes_frais</t>
  </si>
  <si>
    <t>Depl</t>
  </si>
  <si>
    <t>Cout_enviro_taxes_dot</t>
  </si>
  <si>
    <t>Couts_enviro</t>
  </si>
  <si>
    <t>Cout_bureau</t>
  </si>
  <si>
    <t>Loc_bat</t>
  </si>
  <si>
    <t>Aut_cout_perso</t>
  </si>
  <si>
    <t>Cout_vehic_fonct</t>
  </si>
  <si>
    <t>Loc_appart_fonc</t>
  </si>
  <si>
    <t>tel_mob</t>
  </si>
  <si>
    <t>Aut_imp_tax</t>
  </si>
  <si>
    <t>CET_CVAE</t>
  </si>
  <si>
    <t>imp_taxes_divers</t>
  </si>
  <si>
    <t>Dot_amort_prov_except</t>
  </si>
  <si>
    <t>Amort_except</t>
  </si>
  <si>
    <t>Prov_except</t>
  </si>
  <si>
    <t>aut_pdts_chges_except</t>
  </si>
  <si>
    <t>aut_pdts_except</t>
  </si>
  <si>
    <t>aut_chges_except</t>
  </si>
  <si>
    <t>Res_cess</t>
  </si>
  <si>
    <t>Dot_amort_prov</t>
  </si>
  <si>
    <t>Dot_Amort</t>
  </si>
  <si>
    <t>Prov</t>
  </si>
  <si>
    <t>Couts_com</t>
  </si>
  <si>
    <t>CAFOP</t>
  </si>
  <si>
    <t>TPL1_dest_avt_mgmt_fees</t>
  </si>
  <si>
    <t>TPL1_dest_aprs_mgmt_fees</t>
  </si>
  <si>
    <t>Tot_capex</t>
  </si>
  <si>
    <t>Tiers</t>
  </si>
  <si>
    <t>Matricules</t>
  </si>
  <si>
    <t>VTD</t>
  </si>
  <si>
    <t>Tot_tiers</t>
  </si>
  <si>
    <t>Compte_résultat_Corporate_realise</t>
  </si>
  <si>
    <t>Eff_CDI</t>
  </si>
  <si>
    <t>Eff_Autres</t>
  </si>
  <si>
    <t>ETP_CDI</t>
  </si>
  <si>
    <t>ETP_Autres</t>
  </si>
  <si>
    <t>Indicateurs_Ope</t>
  </si>
  <si>
    <t>Integration_Rate</t>
  </si>
  <si>
    <t>NO_APP</t>
  </si>
  <si>
    <t>LCL</t>
  </si>
  <si>
    <t>Local_Gaap_Mgmt_tool</t>
  </si>
  <si>
    <t>Mois 1 à 6</t>
  </si>
  <si>
    <t>Mois 7 à 12</t>
  </si>
  <si>
    <t>Mois 4 à 9</t>
  </si>
  <si>
    <t>AutoRefresh_PL</t>
  </si>
  <si>
    <t>Phase sélectionnée pour les commentaires</t>
  </si>
  <si>
    <t>Indicator_Corp for comments</t>
  </si>
  <si>
    <t>Traduction Phase</t>
  </si>
  <si>
    <t>Tot_proj</t>
  </si>
  <si>
    <t>tango_core_model:</t>
  </si>
  <si>
    <t>VC</t>
  </si>
  <si>
    <t>V0</t>
  </si>
  <si>
    <t>V1</t>
  </si>
  <si>
    <t>V2</t>
  </si>
  <si>
    <t>V3</t>
  </si>
  <si>
    <t>V4</t>
  </si>
  <si>
    <t>V5</t>
  </si>
  <si>
    <t>V6</t>
  </si>
  <si>
    <t>V7</t>
  </si>
  <si>
    <t>V8</t>
  </si>
  <si>
    <t>V9</t>
  </si>
  <si>
    <t>VF</t>
  </si>
  <si>
    <t>Fact_PMAD_all</t>
  </si>
  <si>
    <t>Presta_IG</t>
  </si>
  <si>
    <t>PL1356_MF</t>
  </si>
  <si>
    <t>Cout_Crystal</t>
  </si>
  <si>
    <t>Actual_N_1</t>
  </si>
  <si>
    <t>Pdts_ope</t>
  </si>
  <si>
    <t>PL1357_MF</t>
  </si>
  <si>
    <t>Periode</t>
  </si>
  <si>
    <t>2nd particule</t>
  </si>
  <si>
    <t>Prior Period</t>
  </si>
  <si>
    <t>PL1006</t>
  </si>
  <si>
    <t>PL1003</t>
  </si>
  <si>
    <t>PL1007</t>
  </si>
  <si>
    <t>Cout_m_Lyon</t>
  </si>
  <si>
    <t>Année pleine</t>
  </si>
  <si>
    <t>Reste à encourir</t>
  </si>
  <si>
    <t>% de reste à encourir</t>
  </si>
  <si>
    <t>Estimé 2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</si>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</sst>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(* #,##0.00_);_(* \(#,##0.00\);_(* &quot;-&quot;??_);_(@_)"/>
    <numFmt numFmtId="165" formatCode="_-* #,##0.00\ _F_-;\-* #,##0.00\ _F_-;_-* &quot;-&quot;??\ _F_-;_-@_-"/>
    <numFmt numFmtId="166" formatCode="#,###,##0.00"/>
    <numFmt numFmtId="167" formatCode="#,###,##0.0"/>
    <numFmt numFmtId="168" formatCode="#,###,##0"/>
    <numFmt numFmtId="169" formatCode="0.00_)"/>
    <numFmt numFmtId="170" formatCode="#,###,##0.000"/>
    <numFmt numFmtId="171" formatCode="#,##0.0"/>
    <numFmt numFmtId="172" formatCode="00"/>
    <numFmt numFmtId="173" formatCode="#,##0.0;&quot;(&quot;#,##0.0&quot;)&quot;"/>
    <numFmt numFmtId="174" formatCode="#,##0;&quot;(&quot;#,##0&quot;)&quot;"/>
  </numFmts>
  <fonts count="100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sz val="9"/>
      <color indexed="9"/>
      <name val="Calibri"/>
      <family val="2"/>
    </font>
    <font>
      <sz val="10"/>
      <color indexed="9"/>
      <name val="Calibri"/>
      <family val="2"/>
    </font>
    <font>
      <b/>
      <sz val="14"/>
      <name val="Calibri"/>
      <family val="2"/>
    </font>
    <font>
      <b/>
      <sz val="18"/>
      <color indexed="9"/>
      <name val="Calibri"/>
      <family val="2"/>
    </font>
    <font>
      <b/>
      <sz val="11"/>
      <name val="Calibri"/>
      <family val="2"/>
    </font>
    <font>
      <b/>
      <sz val="12"/>
      <name val="Calibri"/>
      <family val="2"/>
    </font>
    <font>
      <sz val="10"/>
      <color indexed="8"/>
      <name val="Calibri"/>
      <family val="2"/>
    </font>
    <font>
      <b/>
      <sz val="14"/>
      <color indexed="9"/>
      <name val="Calibri"/>
      <family val="2"/>
    </font>
    <font>
      <sz val="10"/>
      <color indexed="62"/>
      <name val="Calibri"/>
      <family val="2"/>
    </font>
    <font>
      <b/>
      <sz val="10"/>
      <color indexed="9"/>
      <name val="Calibri"/>
      <family val="2"/>
    </font>
    <font>
      <sz val="14"/>
      <color indexed="9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b/>
      <sz val="18"/>
      <color indexed="17"/>
      <name val="Calibri"/>
      <family val="2"/>
    </font>
    <font>
      <b/>
      <sz val="10"/>
      <name val="Arial"/>
      <family val="2"/>
    </font>
    <font>
      <b/>
      <sz val="18"/>
      <name val="Calibri"/>
      <family val="2"/>
    </font>
    <font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0"/>
      <color indexed="8"/>
      <name val="Times New Roman"/>
      <family val="1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8"/>
      <name val="Calibri"/>
      <family val="2"/>
    </font>
    <font>
      <b/>
      <sz val="20"/>
      <color indexed="9"/>
      <name val="Calibri"/>
      <family val="2"/>
    </font>
    <font>
      <sz val="20"/>
      <color indexed="9"/>
      <name val="Calibri"/>
      <family val="2"/>
    </font>
    <font>
      <sz val="18"/>
      <name val="Calibri"/>
      <family val="2"/>
    </font>
    <font>
      <sz val="15"/>
      <name val="Calibri"/>
      <family val="2"/>
    </font>
    <font>
      <sz val="15"/>
      <color indexed="61"/>
      <name val="Calibri"/>
      <family val="2"/>
    </font>
    <font>
      <b/>
      <sz val="15"/>
      <name val="Calibri"/>
      <family val="2"/>
    </font>
    <font>
      <b/>
      <sz val="18"/>
      <color indexed="46"/>
      <name val="Calibri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0"/>
      <color indexed="46"/>
      <name val="Arial"/>
      <family val="2"/>
    </font>
    <font>
      <b/>
      <sz val="10"/>
      <color indexed="9"/>
      <name val="Arial"/>
      <family val="2"/>
    </font>
    <font>
      <b/>
      <sz val="14"/>
      <color indexed="46"/>
      <name val="Arial"/>
      <family val="2"/>
    </font>
    <font>
      <b/>
      <sz val="12"/>
      <color indexed="45"/>
      <name val="Arial"/>
      <family val="2"/>
    </font>
    <font>
      <b/>
      <sz val="12"/>
      <name val="Arial"/>
      <family val="2"/>
    </font>
    <font>
      <sz val="10"/>
      <color indexed="9"/>
      <name val="Arial"/>
      <family val="2"/>
    </font>
    <font>
      <i/>
      <sz val="15"/>
      <name val="Calibri"/>
      <family val="2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b/>
      <sz val="10"/>
      <color indexed="8"/>
      <name val="Calibri"/>
      <family val="2"/>
    </font>
    <font>
      <b/>
      <sz val="12"/>
      <color rgb="FFFF0000"/>
      <name val="Arial"/>
      <family val="2"/>
    </font>
    <font>
      <b/>
      <sz val="11"/>
      <name val="Arial"/>
      <family val="2"/>
    </font>
    <font>
      <b/>
      <sz val="18"/>
      <name val="Wingdings"/>
      <charset val="2"/>
    </font>
    <font>
      <b/>
      <sz val="10"/>
      <color indexed="10"/>
      <name val="Arial"/>
      <family val="2"/>
    </font>
    <font>
      <b/>
      <sz val="11"/>
      <color rgb="FFFF0000"/>
      <name val="Arial"/>
      <family val="2"/>
    </font>
    <font>
      <i/>
      <sz val="18"/>
      <name val="Calibri"/>
      <family val="2"/>
    </font>
    <font>
      <b/>
      <i/>
      <sz val="15"/>
      <name val="Calibri"/>
      <family val="2"/>
    </font>
    <font>
      <sz val="10"/>
      <color theme="0"/>
      <name val="Arial"/>
      <family val="2"/>
    </font>
    <font>
      <b/>
      <sz val="16"/>
      <name val="Calibri"/>
      <family val="2"/>
    </font>
    <font>
      <sz val="15"/>
      <color indexed="46"/>
      <name val="Calibri"/>
      <family val="2"/>
    </font>
    <font>
      <b/>
      <sz val="16"/>
      <color indexed="9"/>
      <name val="Calibri"/>
      <family val="2"/>
    </font>
    <font>
      <b/>
      <sz val="13"/>
      <name val="Calibri"/>
      <family val="2"/>
    </font>
    <font>
      <sz val="13"/>
      <name val="Calibri"/>
      <family val="2"/>
    </font>
    <font>
      <sz val="15"/>
      <color indexed="9"/>
      <name val="Calibri"/>
      <family val="2"/>
    </font>
    <font>
      <b/>
      <sz val="15"/>
      <color indexed="9"/>
      <name val="Calibri"/>
      <family val="2"/>
    </font>
    <font>
      <sz val="13"/>
      <color indexed="9"/>
      <name val="Calibri"/>
      <family val="2"/>
    </font>
    <font>
      <b/>
      <sz val="13"/>
      <color indexed="46"/>
      <name val="Calibri"/>
      <family val="2"/>
    </font>
    <font>
      <b/>
      <sz val="15"/>
      <color indexed="46"/>
      <name val="Calibri"/>
      <family val="2"/>
    </font>
    <font>
      <sz val="11"/>
      <color rgb="FFFF0000"/>
      <name val="Calibri"/>
      <family val="2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6"/>
      <name val="Calibri"/>
      <family val="2"/>
    </font>
    <font>
      <sz val="14"/>
      <name val="Calibri"/>
      <family val="2"/>
    </font>
    <font>
      <b/>
      <sz val="16"/>
      <color indexed="57"/>
      <name val="Wingdings"/>
      <charset val="2"/>
    </font>
    <font>
      <b/>
      <sz val="16"/>
      <color indexed="9"/>
      <name val="Wingdings"/>
      <charset val="2"/>
    </font>
    <font>
      <i/>
      <sz val="16"/>
      <name val="Calibri"/>
      <family val="2"/>
    </font>
    <font>
      <b/>
      <sz val="30"/>
      <color indexed="9"/>
      <name val="Calibri"/>
      <family val="2"/>
    </font>
    <font>
      <b/>
      <sz val="18"/>
      <color rgb="FFA50021"/>
      <name val="Calibri"/>
      <family val="2"/>
    </font>
    <font>
      <b/>
      <sz val="16"/>
      <color rgb="FFA50021"/>
      <name val="Wingdings"/>
      <charset val="2"/>
    </font>
    <font>
      <b/>
      <sz val="18"/>
      <color rgb="FF8F071A"/>
      <name val="Calibri"/>
      <family val="2"/>
    </font>
    <font>
      <b/>
      <sz val="16"/>
      <color rgb="FF8F071A"/>
      <name val="Calibri"/>
      <family val="2"/>
    </font>
    <font>
      <b/>
      <sz val="15"/>
      <color rgb="FF8F071A"/>
      <name val="Calibri"/>
      <family val="2"/>
    </font>
    <font>
      <b/>
      <sz val="16"/>
      <color rgb="FF8F071A"/>
      <name val="Wingdings"/>
      <charset val="2"/>
    </font>
  </fonts>
  <fills count="4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9"/>
      </patternFill>
    </fill>
    <fill>
      <patternFill patternType="solid">
        <fgColor indexed="27"/>
        <bgColor indexed="9"/>
      </patternFill>
    </fill>
    <fill>
      <patternFill patternType="solid">
        <fgColor indexed="18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7E408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ADAFB6"/>
        <bgColor indexed="64"/>
      </patternFill>
    </fill>
    <fill>
      <patternFill patternType="solid">
        <fgColor rgb="FF7F8399"/>
        <bgColor indexed="64"/>
      </patternFill>
    </fill>
    <fill>
      <patternFill patternType="solid">
        <fgColor rgb="FFFF0000"/>
        <bgColor auto="1"/>
      </patternFill>
    </fill>
    <fill>
      <patternFill patternType="solid">
        <fgColor rgb="FFFFFFCC"/>
      </patternFill>
    </fill>
  </fills>
  <borders count="5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thin">
        <color indexed="9"/>
      </bottom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medium">
        <color indexed="23"/>
      </left>
      <right/>
      <top/>
      <bottom/>
      <diagonal/>
    </border>
    <border>
      <left/>
      <right/>
      <top/>
      <bottom style="thick">
        <color indexed="9"/>
      </bottom>
      <diagonal/>
    </border>
    <border>
      <left/>
      <right style="medium">
        <color indexed="9"/>
      </right>
      <top style="thick">
        <color indexed="9"/>
      </top>
      <bottom/>
      <diagonal/>
    </border>
    <border>
      <left style="dott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indexed="9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theme="1" tint="0.499984740745262"/>
      </bottom>
      <diagonal/>
    </border>
    <border>
      <left/>
      <right/>
      <top/>
      <bottom style="medium">
        <color rgb="FF8F071A"/>
      </bottom>
      <diagonal/>
    </border>
    <border>
      <left/>
      <right/>
      <top style="medium">
        <color rgb="FF8F071A"/>
      </top>
      <bottom style="medium">
        <color rgb="FF8F071A"/>
      </bottom>
      <diagonal/>
    </border>
    <border>
      <left/>
      <right style="thick">
        <color rgb="FF8F071A"/>
      </right>
      <top/>
      <bottom/>
      <diagonal/>
    </border>
    <border>
      <left style="medium">
        <color indexed="9"/>
      </left>
      <right style="medium">
        <color indexed="9"/>
      </right>
      <top style="thick">
        <color indexed="9"/>
      </top>
      <bottom/>
      <diagonal/>
    </border>
    <border>
      <left style="medium">
        <color indexed="9"/>
      </left>
      <right style="medium">
        <color indexed="9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9"/>
      </left>
      <right/>
      <top style="thick">
        <color indexed="9"/>
      </top>
      <bottom/>
      <diagonal/>
    </border>
    <border>
      <left style="medium">
        <color indexed="9"/>
      </left>
      <right/>
      <top/>
      <bottom/>
      <diagonal/>
    </border>
    <border>
      <left/>
      <right/>
      <top style="thick">
        <color indexed="9"/>
      </top>
      <bottom/>
      <diagonal/>
    </border>
  </borders>
  <cellStyleXfs count="289">
    <xf numFmtId="0" fontId="0" fillId="0" borderId="0"/>
    <xf numFmtId="0" fontId="21" fillId="2" borderId="0" applyNumberFormat="0" applyBorder="0" applyAlignment="0" applyProtection="0"/>
    <xf numFmtId="0" fontId="21" fillId="2" borderId="0" applyNumberFormat="0" applyBorder="0" applyAlignment="0" applyProtection="0"/>
    <xf numFmtId="0" fontId="21" fillId="2" borderId="0" applyNumberFormat="0" applyBorder="0" applyAlignment="0" applyProtection="0"/>
    <xf numFmtId="0" fontId="21" fillId="2" borderId="0" applyNumberFormat="0" applyBorder="0" applyAlignment="0" applyProtection="0"/>
    <xf numFmtId="0" fontId="21" fillId="2" borderId="0" applyNumberFormat="0" applyBorder="0" applyAlignment="0" applyProtection="0"/>
    <xf numFmtId="0" fontId="21" fillId="3" borderId="0" applyNumberFormat="0" applyBorder="0" applyAlignment="0" applyProtection="0"/>
    <xf numFmtId="0" fontId="21" fillId="3" borderId="0" applyNumberFormat="0" applyBorder="0" applyAlignment="0" applyProtection="0"/>
    <xf numFmtId="0" fontId="21" fillId="3" borderId="0" applyNumberFormat="0" applyBorder="0" applyAlignment="0" applyProtection="0"/>
    <xf numFmtId="0" fontId="21" fillId="3" borderId="0" applyNumberFormat="0" applyBorder="0" applyAlignment="0" applyProtection="0"/>
    <xf numFmtId="0" fontId="21" fillId="3" borderId="0" applyNumberFormat="0" applyBorder="0" applyAlignment="0" applyProtection="0"/>
    <xf numFmtId="0" fontId="21" fillId="4" borderId="0" applyNumberFormat="0" applyBorder="0" applyAlignment="0" applyProtection="0"/>
    <xf numFmtId="0" fontId="21" fillId="4" borderId="0" applyNumberFormat="0" applyBorder="0" applyAlignment="0" applyProtection="0"/>
    <xf numFmtId="0" fontId="21" fillId="4" borderId="0" applyNumberFormat="0" applyBorder="0" applyAlignment="0" applyProtection="0"/>
    <xf numFmtId="0" fontId="21" fillId="4" borderId="0" applyNumberFormat="0" applyBorder="0" applyAlignment="0" applyProtection="0"/>
    <xf numFmtId="0" fontId="21" fillId="4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6" borderId="0" applyNumberFormat="0" applyBorder="0" applyAlignment="0" applyProtection="0"/>
    <xf numFmtId="0" fontId="21" fillId="6" borderId="0" applyNumberFormat="0" applyBorder="0" applyAlignment="0" applyProtection="0"/>
    <xf numFmtId="0" fontId="21" fillId="6" borderId="0" applyNumberFormat="0" applyBorder="0" applyAlignment="0" applyProtection="0"/>
    <xf numFmtId="0" fontId="21" fillId="6" borderId="0" applyNumberFormat="0" applyBorder="0" applyAlignment="0" applyProtection="0"/>
    <xf numFmtId="0" fontId="21" fillId="6" borderId="0" applyNumberFormat="0" applyBorder="0" applyAlignment="0" applyProtection="0"/>
    <xf numFmtId="0" fontId="21" fillId="7" borderId="0" applyNumberFormat="0" applyBorder="0" applyAlignment="0" applyProtection="0"/>
    <xf numFmtId="0" fontId="21" fillId="7" borderId="0" applyNumberFormat="0" applyBorder="0" applyAlignment="0" applyProtection="0"/>
    <xf numFmtId="0" fontId="21" fillId="7" borderId="0" applyNumberFormat="0" applyBorder="0" applyAlignment="0" applyProtection="0"/>
    <xf numFmtId="0" fontId="21" fillId="7" borderId="0" applyNumberFormat="0" applyBorder="0" applyAlignment="0" applyProtection="0"/>
    <xf numFmtId="0" fontId="21" fillId="7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9" borderId="0" applyNumberFormat="0" applyBorder="0" applyAlignment="0" applyProtection="0"/>
    <xf numFmtId="0" fontId="21" fillId="9" borderId="0" applyNumberFormat="0" applyBorder="0" applyAlignment="0" applyProtection="0"/>
    <xf numFmtId="0" fontId="21" fillId="9" borderId="0" applyNumberFormat="0" applyBorder="0" applyAlignment="0" applyProtection="0"/>
    <xf numFmtId="0" fontId="21" fillId="9" borderId="0" applyNumberFormat="0" applyBorder="0" applyAlignment="0" applyProtection="0"/>
    <xf numFmtId="0" fontId="21" fillId="9" borderId="0" applyNumberFormat="0" applyBorder="0" applyAlignment="0" applyProtection="0"/>
    <xf numFmtId="0" fontId="21" fillId="10" borderId="0" applyNumberFormat="0" applyBorder="0" applyAlignment="0" applyProtection="0"/>
    <xf numFmtId="0" fontId="21" fillId="10" borderId="0" applyNumberFormat="0" applyBorder="0" applyAlignment="0" applyProtection="0"/>
    <xf numFmtId="0" fontId="21" fillId="10" borderId="0" applyNumberFormat="0" applyBorder="0" applyAlignment="0" applyProtection="0"/>
    <xf numFmtId="0" fontId="21" fillId="10" borderId="0" applyNumberFormat="0" applyBorder="0" applyAlignment="0" applyProtection="0"/>
    <xf numFmtId="0" fontId="21" fillId="10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11" borderId="0" applyNumberFormat="0" applyBorder="0" applyAlignment="0" applyProtection="0"/>
    <xf numFmtId="0" fontId="21" fillId="11" borderId="0" applyNumberFormat="0" applyBorder="0" applyAlignment="0" applyProtection="0"/>
    <xf numFmtId="0" fontId="21" fillId="11" borderId="0" applyNumberFormat="0" applyBorder="0" applyAlignment="0" applyProtection="0"/>
    <xf numFmtId="0" fontId="21" fillId="11" borderId="0" applyNumberFormat="0" applyBorder="0" applyAlignment="0" applyProtection="0"/>
    <xf numFmtId="0" fontId="2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23" fillId="3" borderId="0" applyNumberFormat="0" applyBorder="0" applyAlignment="0" applyProtection="0"/>
    <xf numFmtId="0" fontId="23" fillId="3" borderId="0" applyNumberFormat="0" applyBorder="0" applyAlignment="0" applyProtection="0"/>
    <xf numFmtId="0" fontId="23" fillId="3" borderId="0" applyNumberFormat="0" applyBorder="0" applyAlignment="0" applyProtection="0"/>
    <xf numFmtId="0" fontId="23" fillId="3" borderId="0" applyNumberFormat="0" applyBorder="0" applyAlignment="0" applyProtection="0"/>
    <xf numFmtId="0" fontId="24" fillId="7" borderId="1" applyNumberFormat="0" applyAlignment="0" applyProtection="0"/>
    <xf numFmtId="0" fontId="24" fillId="7" borderId="1" applyNumberFormat="0" applyAlignment="0" applyProtection="0"/>
    <xf numFmtId="0" fontId="24" fillId="7" borderId="1" applyNumberFormat="0" applyAlignment="0" applyProtection="0"/>
    <xf numFmtId="0" fontId="24" fillId="7" borderId="1" applyNumberFormat="0" applyAlignment="0" applyProtection="0"/>
    <xf numFmtId="0" fontId="24" fillId="7" borderId="1" applyNumberFormat="0" applyAlignment="0" applyProtection="0"/>
    <xf numFmtId="0" fontId="16" fillId="20" borderId="3" applyNumberFormat="0" applyAlignment="0" applyProtection="0"/>
    <xf numFmtId="0" fontId="16" fillId="20" borderId="3" applyNumberFormat="0" applyAlignment="0" applyProtection="0"/>
    <xf numFmtId="0" fontId="16" fillId="20" borderId="3" applyNumberFormat="0" applyAlignment="0" applyProtection="0"/>
    <xf numFmtId="0" fontId="16" fillId="20" borderId="3" applyNumberFormat="0" applyAlignment="0" applyProtection="0"/>
    <xf numFmtId="0" fontId="19" fillId="0" borderId="4">
      <alignment horizontal="left" wrapText="1"/>
    </xf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29" fillId="0" borderId="7" applyNumberFormat="0" applyFill="0" applyAlignment="0" applyProtection="0"/>
    <xf numFmtId="0" fontId="29" fillId="0" borderId="7" applyNumberFormat="0" applyFill="0" applyAlignment="0" applyProtection="0"/>
    <xf numFmtId="0" fontId="29" fillId="0" borderId="7" applyNumberFormat="0" applyFill="0" applyAlignment="0" applyProtection="0"/>
    <xf numFmtId="0" fontId="29" fillId="0" borderId="7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6" fillId="7" borderId="1" applyNumberFormat="0" applyAlignment="0" applyProtection="0"/>
    <xf numFmtId="0" fontId="26" fillId="7" borderId="1" applyNumberFormat="0" applyAlignment="0" applyProtection="0"/>
    <xf numFmtId="0" fontId="26" fillId="7" borderId="1" applyNumberFormat="0" applyAlignment="0" applyProtection="0"/>
    <xf numFmtId="0" fontId="23" fillId="3" borderId="0" applyNumberFormat="0" applyBorder="0" applyAlignment="0" applyProtection="0"/>
    <xf numFmtId="0" fontId="33" fillId="0" borderId="0" applyNumberFormat="0" applyFill="0" applyBorder="0" applyAlignment="0" applyProtection="0">
      <alignment vertical="top"/>
      <protection locked="0"/>
    </xf>
    <xf numFmtId="166" fontId="34" fillId="22" borderId="0" applyNumberFormat="0" applyBorder="0">
      <alignment horizontal="right"/>
      <protection locked="0"/>
    </xf>
    <xf numFmtId="0" fontId="25" fillId="0" borderId="2" applyNumberFormat="0" applyFill="0" applyAlignment="0" applyProtection="0"/>
    <xf numFmtId="0" fontId="25" fillId="0" borderId="2" applyNumberFormat="0" applyFill="0" applyAlignment="0" applyProtection="0"/>
    <xf numFmtId="0" fontId="25" fillId="0" borderId="2" applyNumberFormat="0" applyFill="0" applyAlignment="0" applyProtection="0"/>
    <xf numFmtId="0" fontId="25" fillId="0" borderId="2" applyNumberFormat="0" applyFill="0" applyAlignment="0" applyProtection="0"/>
    <xf numFmtId="0" fontId="25" fillId="0" borderId="2" applyNumberFormat="0" applyFill="0" applyAlignment="0" applyProtection="0"/>
    <xf numFmtId="167" fontId="35" fillId="23" borderId="0" applyNumberFormat="0" applyBorder="0">
      <alignment horizontal="right" vertical="center"/>
      <protection locked="0"/>
    </xf>
    <xf numFmtId="168" fontId="35" fillId="24" borderId="0" applyNumberFormat="0" applyBorder="0">
      <alignment horizontal="right" vertical="center"/>
      <protection locked="0"/>
    </xf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6" fillId="25" borderId="0"/>
    <xf numFmtId="0" fontId="37" fillId="26" borderId="0" applyNumberFormat="0" applyBorder="0" applyAlignment="0" applyProtection="0"/>
    <xf numFmtId="0" fontId="37" fillId="26" borderId="0" applyNumberFormat="0" applyBorder="0" applyAlignment="0" applyProtection="0"/>
    <xf numFmtId="0" fontId="37" fillId="26" borderId="0" applyNumberFormat="0" applyBorder="0" applyAlignment="0" applyProtection="0"/>
    <xf numFmtId="0" fontId="37" fillId="26" borderId="0" applyNumberFormat="0" applyBorder="0" applyAlignment="0" applyProtection="0"/>
    <xf numFmtId="0" fontId="37" fillId="26" borderId="0" applyNumberFormat="0" applyBorder="0" applyAlignment="0" applyProtection="0"/>
    <xf numFmtId="0" fontId="36" fillId="25" borderId="0"/>
    <xf numFmtId="0" fontId="36" fillId="25" borderId="0"/>
    <xf numFmtId="169" fontId="38" fillId="0" borderId="0"/>
    <xf numFmtId="0" fontId="2" fillId="0" borderId="0"/>
    <xf numFmtId="0" fontId="2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1" fillId="21" borderId="5" applyNumberFormat="0" applyFont="0" applyAlignment="0" applyProtection="0"/>
    <xf numFmtId="0" fontId="21" fillId="21" borderId="5" applyNumberFormat="0" applyFont="0" applyAlignment="0" applyProtection="0"/>
    <xf numFmtId="0" fontId="21" fillId="21" borderId="5" applyNumberFormat="0" applyFont="0" applyAlignment="0" applyProtection="0"/>
    <xf numFmtId="0" fontId="21" fillId="21" borderId="5" applyNumberFormat="0" applyFont="0" applyAlignment="0" applyProtection="0"/>
    <xf numFmtId="0" fontId="21" fillId="21" borderId="5" applyNumberFormat="0" applyFont="0" applyAlignment="0" applyProtection="0"/>
    <xf numFmtId="0" fontId="36" fillId="25" borderId="0"/>
    <xf numFmtId="0" fontId="39" fillId="7" borderId="10" applyNumberFormat="0" applyAlignment="0" applyProtection="0"/>
    <xf numFmtId="0" fontId="39" fillId="7" borderId="10" applyNumberFormat="0" applyAlignment="0" applyProtection="0"/>
    <xf numFmtId="0" fontId="39" fillId="7" borderId="10" applyNumberFormat="0" applyAlignment="0" applyProtection="0"/>
    <xf numFmtId="0" fontId="39" fillId="7" borderId="10" applyNumberForma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8" fillId="12" borderId="0" applyNumberFormat="0" applyBorder="0" applyAlignment="0" applyProtection="0"/>
    <xf numFmtId="0" fontId="39" fillId="27" borderId="10" applyNumberFormat="0" applyAlignment="0" applyProtection="0"/>
    <xf numFmtId="0" fontId="27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170" fontId="42" fillId="28" borderId="0" applyNumberFormat="0" applyBorder="0">
      <alignment horizontal="left" vertical="center"/>
      <protection locked="0"/>
    </xf>
    <xf numFmtId="170" fontId="43" fillId="22" borderId="0" applyNumberFormat="0" applyBorder="0">
      <alignment horizontal="left"/>
      <protection locked="0"/>
    </xf>
    <xf numFmtId="0" fontId="44" fillId="0" borderId="6" applyNumberFormat="0" applyFill="0" applyAlignment="0" applyProtection="0"/>
    <xf numFmtId="0" fontId="45" fillId="0" borderId="11" applyNumberFormat="0" applyFill="0" applyAlignment="0" applyProtection="0"/>
    <xf numFmtId="0" fontId="46" fillId="0" borderId="12" applyNumberFormat="0" applyFill="0" applyAlignment="0" applyProtection="0"/>
    <xf numFmtId="0" fontId="46" fillId="0" borderId="0" applyNumberFormat="0" applyFill="0" applyBorder="0" applyAlignment="0" applyProtection="0"/>
    <xf numFmtId="0" fontId="47" fillId="0" borderId="13" applyNumberFormat="0" applyFill="0" applyAlignment="0" applyProtection="0"/>
    <xf numFmtId="0" fontId="47" fillId="0" borderId="13" applyNumberFormat="0" applyFill="0" applyAlignment="0" applyProtection="0"/>
    <xf numFmtId="0" fontId="47" fillId="0" borderId="13" applyNumberFormat="0" applyFill="0" applyAlignment="0" applyProtection="0"/>
    <xf numFmtId="0" fontId="47" fillId="0" borderId="13" applyNumberFormat="0" applyFill="0" applyAlignment="0" applyProtection="0"/>
    <xf numFmtId="0" fontId="47" fillId="0" borderId="13" applyNumberFormat="0" applyFill="0" applyAlignment="0" applyProtection="0"/>
    <xf numFmtId="0" fontId="16" fillId="20" borderId="3" applyNumberFormat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45" borderId="47" applyNumberFormat="0" applyFont="0" applyAlignment="0" applyProtection="0"/>
  </cellStyleXfs>
  <cellXfs count="248">
    <xf numFmtId="0" fontId="0" fillId="0" borderId="0" xfId="0"/>
    <xf numFmtId="0" fontId="4" fillId="0" borderId="0" xfId="205" applyFont="1" applyFill="1" applyBorder="1" applyAlignment="1" applyProtection="1">
      <alignment vertical="center"/>
    </xf>
    <xf numFmtId="0" fontId="4" fillId="0" borderId="0" xfId="205" applyFont="1" applyFill="1" applyBorder="1" applyAlignment="1" applyProtection="1">
      <alignment horizontal="left" vertical="center"/>
    </xf>
    <xf numFmtId="0" fontId="5" fillId="0" borderId="0" xfId="205" applyFont="1" applyFill="1" applyBorder="1" applyAlignment="1" applyProtection="1">
      <alignment vertical="center"/>
    </xf>
    <xf numFmtId="0" fontId="6" fillId="0" borderId="0" xfId="205" applyFont="1" applyFill="1" applyBorder="1" applyAlignment="1" applyProtection="1">
      <alignment vertical="center"/>
    </xf>
    <xf numFmtId="171" fontId="11" fillId="0" borderId="0" xfId="205" applyNumberFormat="1" applyFont="1" applyFill="1" applyBorder="1" applyAlignment="1" applyProtection="1">
      <alignment horizontal="left" vertical="center"/>
    </xf>
    <xf numFmtId="0" fontId="13" fillId="0" borderId="0" xfId="205" applyFont="1" applyBorder="1" applyAlignment="1" applyProtection="1">
      <alignment vertical="center"/>
    </xf>
    <xf numFmtId="0" fontId="4" fillId="0" borderId="0" xfId="205" applyFont="1" applyFill="1" applyAlignment="1" applyProtection="1">
      <alignment vertical="center"/>
    </xf>
    <xf numFmtId="0" fontId="3" fillId="0" borderId="0" xfId="222" applyFont="1" applyProtection="1"/>
    <xf numFmtId="0" fontId="50" fillId="0" borderId="0" xfId="205" applyFont="1" applyFill="1" applyBorder="1" applyAlignment="1" applyProtection="1">
      <alignment vertical="center"/>
    </xf>
    <xf numFmtId="0" fontId="51" fillId="0" borderId="0" xfId="205" applyFont="1" applyFill="1" applyBorder="1" applyAlignment="1" applyProtection="1">
      <alignment horizontal="right" vertical="center" indent="1"/>
    </xf>
    <xf numFmtId="0" fontId="7" fillId="0" borderId="0" xfId="222" applyFont="1" applyAlignment="1" applyProtection="1"/>
    <xf numFmtId="0" fontId="3" fillId="0" borderId="0" xfId="222" applyFont="1" applyAlignment="1" applyProtection="1">
      <alignment horizontal="right" indent="1"/>
    </xf>
    <xf numFmtId="0" fontId="4" fillId="0" borderId="0" xfId="222" applyFont="1" applyAlignment="1" applyProtection="1">
      <alignment horizontal="right" indent="1"/>
    </xf>
    <xf numFmtId="0" fontId="6" fillId="0" borderId="0" xfId="205" applyFont="1" applyFill="1" applyBorder="1" applyAlignment="1" applyProtection="1">
      <alignment horizontal="right" vertical="center" indent="1"/>
    </xf>
    <xf numFmtId="0" fontId="59" fillId="0" borderId="0" xfId="0" applyFont="1" applyFill="1" applyProtection="1">
      <protection locked="0"/>
    </xf>
    <xf numFmtId="0" fontId="2" fillId="0" borderId="0" xfId="0" applyFont="1" applyProtection="1">
      <protection locked="0"/>
    </xf>
    <xf numFmtId="0" fontId="0" fillId="0" borderId="0" xfId="0" applyProtection="1">
      <protection locked="0"/>
    </xf>
    <xf numFmtId="0" fontId="60" fillId="30" borderId="14" xfId="0" applyFont="1" applyFill="1" applyBorder="1" applyAlignment="1" applyProtection="1">
      <alignment horizontal="left"/>
      <protection locked="0"/>
    </xf>
    <xf numFmtId="0" fontId="58" fillId="30" borderId="15" xfId="0" applyFont="1" applyFill="1" applyBorder="1" applyProtection="1">
      <protection locked="0"/>
    </xf>
    <xf numFmtId="0" fontId="57" fillId="31" borderId="16" xfId="0" applyFont="1" applyFill="1" applyBorder="1" applyProtection="1">
      <protection locked="0"/>
    </xf>
    <xf numFmtId="0" fontId="57" fillId="0" borderId="16" xfId="0" applyFont="1" applyBorder="1" applyProtection="1">
      <protection locked="0"/>
    </xf>
    <xf numFmtId="0" fontId="57" fillId="0" borderId="16" xfId="0" applyNumberFormat="1" applyFont="1" applyBorder="1" applyProtection="1">
      <protection locked="0"/>
    </xf>
    <xf numFmtId="0" fontId="0" fillId="0" borderId="0" xfId="0" applyProtection="1"/>
    <xf numFmtId="0" fontId="56" fillId="0" borderId="0" xfId="0" applyFont="1" applyFill="1" applyBorder="1" applyAlignment="1" applyProtection="1">
      <alignment horizontal="right"/>
    </xf>
    <xf numFmtId="0" fontId="0" fillId="0" borderId="0" xfId="0" applyBorder="1" applyProtection="1"/>
    <xf numFmtId="0" fontId="0" fillId="0" borderId="17" xfId="0" applyBorder="1" applyProtection="1"/>
    <xf numFmtId="0" fontId="0" fillId="0" borderId="18" xfId="0" applyBorder="1" applyProtection="1"/>
    <xf numFmtId="0" fontId="4" fillId="0" borderId="0" xfId="0" applyFont="1" applyFill="1" applyAlignment="1" applyProtection="1">
      <alignment horizontal="left" indent="1"/>
    </xf>
    <xf numFmtId="0" fontId="0" fillId="0" borderId="0" xfId="0" applyFill="1" applyAlignment="1" applyProtection="1"/>
    <xf numFmtId="0" fontId="7" fillId="29" borderId="19" xfId="0" applyFont="1" applyFill="1" applyBorder="1" applyAlignment="1" applyProtection="1">
      <alignment horizontal="left" vertical="center"/>
    </xf>
    <xf numFmtId="0" fontId="49" fillId="0" borderId="0" xfId="0" applyFont="1" applyFill="1" applyBorder="1" applyAlignment="1" applyProtection="1">
      <alignment vertical="center"/>
    </xf>
    <xf numFmtId="0" fontId="7" fillId="0" borderId="0" xfId="0" applyFont="1" applyFill="1" applyBorder="1" applyAlignment="1" applyProtection="1">
      <alignment horizontal="left" vertical="center"/>
    </xf>
    <xf numFmtId="0" fontId="4" fillId="0" borderId="0" xfId="0" applyFont="1" applyFill="1" applyBorder="1" applyAlignment="1" applyProtection="1">
      <alignment vertical="center"/>
    </xf>
    <xf numFmtId="0" fontId="14" fillId="0" borderId="20" xfId="196" applyFont="1" applyFill="1" applyBorder="1" applyAlignment="1" applyProtection="1">
      <alignment horizontal="center" vertical="center" wrapText="1"/>
    </xf>
    <xf numFmtId="0" fontId="4" fillId="0" borderId="0" xfId="0" applyFont="1" applyFill="1" applyBorder="1" applyAlignment="1" applyProtection="1">
      <alignment vertical="center" wrapText="1"/>
    </xf>
    <xf numFmtId="0" fontId="10" fillId="0" borderId="0" xfId="0" applyFont="1" applyFill="1" applyBorder="1" applyAlignment="1" applyProtection="1">
      <alignment horizontal="left"/>
    </xf>
    <xf numFmtId="0" fontId="14" fillId="0" borderId="0" xfId="196" applyFont="1" applyFill="1" applyBorder="1" applyAlignment="1" applyProtection="1">
      <alignment horizontal="center" vertical="center" wrapText="1"/>
    </xf>
    <xf numFmtId="0" fontId="15" fillId="0" borderId="0" xfId="0" applyFont="1" applyFill="1" applyBorder="1" applyAlignment="1" applyProtection="1">
      <alignment horizontal="center" vertical="center" wrapText="1"/>
    </xf>
    <xf numFmtId="0" fontId="18" fillId="0" borderId="0" xfId="196" applyFont="1" applyFill="1" applyBorder="1" applyAlignment="1" applyProtection="1">
      <alignment horizontal="center"/>
    </xf>
    <xf numFmtId="3" fontId="51" fillId="0" borderId="0" xfId="222" applyNumberFormat="1" applyFont="1" applyFill="1" applyBorder="1" applyAlignment="1" applyProtection="1">
      <alignment horizontal="right" vertical="center" wrapText="1" indent="1"/>
    </xf>
    <xf numFmtId="0" fontId="51" fillId="0" borderId="0" xfId="222" applyFont="1" applyFill="1" applyBorder="1" applyAlignment="1" applyProtection="1">
      <alignment horizontal="left" vertical="center" wrapText="1"/>
    </xf>
    <xf numFmtId="0" fontId="52" fillId="0" borderId="0" xfId="196" applyFont="1" applyFill="1" applyBorder="1" applyAlignment="1" applyProtection="1">
      <alignment horizontal="center"/>
    </xf>
    <xf numFmtId="3" fontId="53" fillId="0" borderId="0" xfId="222" applyNumberFormat="1" applyFont="1" applyFill="1" applyBorder="1" applyAlignment="1" applyProtection="1">
      <alignment horizontal="right" vertical="center" wrapText="1" indent="1"/>
    </xf>
    <xf numFmtId="0" fontId="4" fillId="0" borderId="0" xfId="0" applyFont="1" applyBorder="1" applyProtection="1"/>
    <xf numFmtId="0" fontId="4" fillId="0" borderId="0" xfId="0" applyFont="1" applyProtection="1"/>
    <xf numFmtId="0" fontId="56" fillId="0" borderId="0" xfId="0" applyFont="1" applyAlignment="1" applyProtection="1">
      <alignment horizontal="right"/>
    </xf>
    <xf numFmtId="0" fontId="61" fillId="32" borderId="4" xfId="0" applyFont="1" applyFill="1" applyBorder="1" applyAlignment="1" applyProtection="1">
      <alignment horizontal="center"/>
    </xf>
    <xf numFmtId="0" fontId="62" fillId="30" borderId="4" xfId="0" applyFont="1" applyFill="1" applyBorder="1" applyProtection="1"/>
    <xf numFmtId="0" fontId="0" fillId="33" borderId="4" xfId="0" applyFill="1" applyBorder="1" applyProtection="1">
      <protection locked="0"/>
    </xf>
    <xf numFmtId="0" fontId="0" fillId="30" borderId="4" xfId="0" applyFill="1" applyBorder="1" applyProtection="1">
      <protection locked="0"/>
    </xf>
    <xf numFmtId="0" fontId="57" fillId="0" borderId="21" xfId="0" applyFont="1" applyBorder="1" applyProtection="1">
      <protection locked="0"/>
    </xf>
    <xf numFmtId="0" fontId="0" fillId="0" borderId="0" xfId="0" applyProtection="1"/>
    <xf numFmtId="0" fontId="64" fillId="0" borderId="0" xfId="205" applyFont="1" applyFill="1" applyBorder="1" applyAlignment="1" applyProtection="1">
      <alignment horizontal="right" vertical="center"/>
    </xf>
    <xf numFmtId="0" fontId="65" fillId="0" borderId="0" xfId="205" applyFont="1" applyFill="1" applyBorder="1" applyAlignment="1" applyProtection="1">
      <alignment vertical="center"/>
    </xf>
    <xf numFmtId="0" fontId="64" fillId="0" borderId="0" xfId="205" applyFont="1" applyFill="1" applyBorder="1" applyAlignment="1" applyProtection="1">
      <alignment vertical="center"/>
    </xf>
    <xf numFmtId="0" fontId="3" fillId="0" borderId="0" xfId="205" applyFont="1" applyFill="1" applyBorder="1" applyAlignment="1" applyProtection="1">
      <alignment horizontal="center" vertical="center"/>
    </xf>
    <xf numFmtId="0" fontId="2" fillId="0" borderId="0" xfId="0" applyFont="1" applyProtection="1"/>
    <xf numFmtId="0" fontId="52" fillId="0" borderId="20" xfId="196" applyFont="1" applyFill="1" applyBorder="1" applyAlignment="1" applyProtection="1">
      <alignment horizontal="center"/>
    </xf>
    <xf numFmtId="0" fontId="0" fillId="0" borderId="0" xfId="0" applyFill="1" applyBorder="1" applyProtection="1"/>
    <xf numFmtId="0" fontId="7" fillId="0" borderId="25" xfId="0" applyFont="1" applyFill="1" applyBorder="1" applyAlignment="1" applyProtection="1">
      <alignment horizontal="left" vertical="center"/>
      <protection locked="0"/>
    </xf>
    <xf numFmtId="0" fontId="7" fillId="0" borderId="0" xfId="0" applyFont="1" applyFill="1" applyBorder="1" applyAlignment="1" applyProtection="1">
      <alignment horizontal="left" vertical="center"/>
      <protection locked="0"/>
    </xf>
    <xf numFmtId="0" fontId="4" fillId="29" borderId="0" xfId="205" applyFont="1" applyFill="1" applyBorder="1" applyAlignment="1" applyProtection="1">
      <alignment vertical="center"/>
    </xf>
    <xf numFmtId="0" fontId="4" fillId="36" borderId="0" xfId="205" applyFont="1" applyFill="1" applyBorder="1" applyAlignment="1" applyProtection="1">
      <alignment vertical="center"/>
    </xf>
    <xf numFmtId="0" fontId="2" fillId="0" borderId="26" xfId="0" applyFont="1" applyBorder="1" applyProtection="1"/>
    <xf numFmtId="0" fontId="2" fillId="0" borderId="28" xfId="0" applyFont="1" applyFill="1" applyBorder="1" applyProtection="1"/>
    <xf numFmtId="0" fontId="2" fillId="0" borderId="28" xfId="0" applyFont="1" applyBorder="1" applyProtection="1"/>
    <xf numFmtId="0" fontId="2" fillId="0" borderId="27" xfId="0" applyFont="1" applyBorder="1" applyProtection="1"/>
    <xf numFmtId="0" fontId="0" fillId="0" borderId="26" xfId="0" applyBorder="1" applyProtection="1"/>
    <xf numFmtId="0" fontId="3" fillId="37" borderId="26" xfId="205" applyFont="1" applyFill="1" applyBorder="1" applyAlignment="1" applyProtection="1">
      <alignment horizontal="center" vertical="center"/>
    </xf>
    <xf numFmtId="0" fontId="0" fillId="0" borderId="29" xfId="0" applyBorder="1" applyProtection="1"/>
    <xf numFmtId="0" fontId="7" fillId="29" borderId="30" xfId="0" applyFont="1" applyFill="1" applyBorder="1" applyAlignment="1" applyProtection="1">
      <alignment horizontal="left" vertical="center"/>
    </xf>
    <xf numFmtId="0" fontId="0" fillId="0" borderId="28" xfId="0" applyBorder="1" applyProtection="1"/>
    <xf numFmtId="0" fontId="4" fillId="0" borderId="27" xfId="205" applyFont="1" applyFill="1" applyBorder="1" applyAlignment="1" applyProtection="1">
      <alignment vertical="center"/>
    </xf>
    <xf numFmtId="0" fontId="2" fillId="0" borderId="26" xfId="0" applyFont="1" applyBorder="1"/>
    <xf numFmtId="0" fontId="0" fillId="0" borderId="28" xfId="0" applyBorder="1"/>
    <xf numFmtId="0" fontId="0" fillId="0" borderId="27" xfId="0" applyBorder="1"/>
    <xf numFmtId="0" fontId="11" fillId="0" borderId="28" xfId="205" applyFont="1" applyFill="1" applyBorder="1" applyAlignment="1" applyProtection="1">
      <alignment vertical="center"/>
    </xf>
    <xf numFmtId="0" fontId="11" fillId="0" borderId="27" xfId="205" applyFont="1" applyFill="1" applyBorder="1" applyAlignment="1" applyProtection="1">
      <alignment vertical="center"/>
    </xf>
    <xf numFmtId="0" fontId="67" fillId="0" borderId="29" xfId="0" applyFont="1" applyBorder="1" applyProtection="1"/>
    <xf numFmtId="0" fontId="2" fillId="0" borderId="0" xfId="0" applyFont="1" applyBorder="1" applyAlignment="1" applyProtection="1">
      <alignment horizontal="center"/>
    </xf>
    <xf numFmtId="0" fontId="0" fillId="0" borderId="0" xfId="0" applyFont="1" applyFill="1" applyBorder="1" applyAlignment="1" applyProtection="1">
      <alignment horizontal="center"/>
    </xf>
    <xf numFmtId="0" fontId="4" fillId="0" borderId="34" xfId="205" applyFont="1" applyFill="1" applyBorder="1" applyAlignment="1" applyProtection="1">
      <alignment vertical="center"/>
    </xf>
    <xf numFmtId="0" fontId="0" fillId="0" borderId="0" xfId="0" applyBorder="1" applyAlignment="1" applyProtection="1">
      <alignment horizontal="center"/>
    </xf>
    <xf numFmtId="0" fontId="69" fillId="0" borderId="29" xfId="0" applyFont="1" applyBorder="1" applyAlignment="1" applyProtection="1">
      <alignment horizontal="center"/>
    </xf>
    <xf numFmtId="0" fontId="71" fillId="0" borderId="0" xfId="0" applyFont="1" applyProtection="1"/>
    <xf numFmtId="0" fontId="72" fillId="0" borderId="0" xfId="196" applyFont="1" applyFill="1" applyBorder="1" applyAlignment="1" applyProtection="1">
      <alignment horizontal="center"/>
    </xf>
    <xf numFmtId="0" fontId="2" fillId="0" borderId="35" xfId="0" applyFont="1" applyBorder="1" applyProtection="1"/>
    <xf numFmtId="0" fontId="0" fillId="0" borderId="26" xfId="0" applyFont="1" applyFill="1" applyBorder="1" applyProtection="1"/>
    <xf numFmtId="0" fontId="4" fillId="0" borderId="28" xfId="205" applyFont="1" applyFill="1" applyBorder="1" applyAlignment="1" applyProtection="1">
      <alignment vertical="center"/>
    </xf>
    <xf numFmtId="0" fontId="61" fillId="0" borderId="33" xfId="0" applyFont="1" applyBorder="1" applyAlignment="1" applyProtection="1">
      <alignment horizontal="center"/>
    </xf>
    <xf numFmtId="0" fontId="67" fillId="0" borderId="26" xfId="0" applyFont="1" applyBorder="1" applyAlignment="1" applyProtection="1">
      <alignment horizontal="center"/>
    </xf>
    <xf numFmtId="0" fontId="68" fillId="0" borderId="27" xfId="0" applyFont="1" applyBorder="1" applyAlignment="1" applyProtection="1">
      <alignment horizontal="center" vertical="center"/>
    </xf>
    <xf numFmtId="0" fontId="0" fillId="0" borderId="28" xfId="0" applyFill="1" applyBorder="1" applyProtection="1"/>
    <xf numFmtId="0" fontId="0" fillId="0" borderId="0" xfId="0" applyAlignment="1" applyProtection="1">
      <alignment horizontal="center"/>
      <protection locked="0"/>
    </xf>
    <xf numFmtId="0" fontId="19" fillId="0" borderId="0" xfId="0" applyFont="1" applyAlignment="1" applyProtection="1">
      <alignment horizontal="center"/>
      <protection locked="0"/>
    </xf>
    <xf numFmtId="172" fontId="0" fillId="0" borderId="0" xfId="0" applyNumberFormat="1" applyAlignment="1" applyProtection="1">
      <alignment horizontal="center"/>
      <protection locked="0"/>
    </xf>
    <xf numFmtId="0" fontId="19" fillId="0" borderId="0" xfId="0" applyFont="1" applyProtection="1"/>
    <xf numFmtId="0" fontId="0" fillId="0" borderId="26" xfId="0" applyBorder="1"/>
    <xf numFmtId="0" fontId="50" fillId="39" borderId="0" xfId="205" applyFont="1" applyFill="1" applyBorder="1" applyAlignment="1" applyProtection="1">
      <alignment vertical="center"/>
    </xf>
    <xf numFmtId="0" fontId="18" fillId="39" borderId="0" xfId="196" applyFont="1" applyFill="1" applyBorder="1" applyAlignment="1" applyProtection="1">
      <alignment horizontal="center"/>
    </xf>
    <xf numFmtId="0" fontId="54" fillId="0" borderId="0" xfId="222" applyFont="1" applyFill="1" applyBorder="1" applyAlignment="1" applyProtection="1">
      <alignment horizontal="left" vertical="center"/>
    </xf>
    <xf numFmtId="0" fontId="20" fillId="0" borderId="0" xfId="222" applyFont="1" applyFill="1" applyBorder="1" applyAlignment="1" applyProtection="1">
      <alignment horizontal="left" vertical="center"/>
    </xf>
    <xf numFmtId="0" fontId="76" fillId="0" borderId="0" xfId="222" applyFont="1" applyFill="1" applyBorder="1" applyAlignment="1" applyProtection="1">
      <alignment horizontal="left" vertical="center"/>
    </xf>
    <xf numFmtId="0" fontId="53" fillId="0" borderId="0" xfId="222" applyFont="1" applyFill="1" applyBorder="1" applyAlignment="1" applyProtection="1">
      <alignment horizontal="left" vertical="center"/>
    </xf>
    <xf numFmtId="0" fontId="63" fillId="0" borderId="0" xfId="222" applyFont="1" applyFill="1" applyBorder="1" applyAlignment="1" applyProtection="1">
      <alignment vertical="center"/>
    </xf>
    <xf numFmtId="171" fontId="73" fillId="0" borderId="0" xfId="205" applyNumberFormat="1" applyFont="1" applyFill="1" applyBorder="1" applyAlignment="1" applyProtection="1">
      <alignment horizontal="right" vertical="center" indent="1"/>
    </xf>
    <xf numFmtId="0" fontId="0" fillId="0" borderId="37" xfId="0" applyBorder="1" applyProtection="1"/>
    <xf numFmtId="0" fontId="0" fillId="0" borderId="38" xfId="0" applyBorder="1" applyProtection="1"/>
    <xf numFmtId="0" fontId="0" fillId="0" borderId="39" xfId="0" applyBorder="1" applyProtection="1"/>
    <xf numFmtId="0" fontId="4" fillId="0" borderId="39" xfId="205" applyFont="1" applyFill="1" applyBorder="1" applyAlignment="1" applyProtection="1">
      <alignment vertical="center"/>
    </xf>
    <xf numFmtId="0" fontId="2" fillId="0" borderId="39" xfId="0" applyFont="1" applyBorder="1" applyProtection="1"/>
    <xf numFmtId="0" fontId="56" fillId="0" borderId="39" xfId="0" applyFont="1" applyBorder="1" applyProtection="1"/>
    <xf numFmtId="0" fontId="9" fillId="0" borderId="39" xfId="205" applyFont="1" applyFill="1" applyBorder="1" applyAlignment="1" applyProtection="1">
      <alignment horizontal="center" vertical="center"/>
    </xf>
    <xf numFmtId="0" fontId="4" fillId="0" borderId="39" xfId="205" applyFont="1" applyFill="1" applyBorder="1" applyAlignment="1" applyProtection="1">
      <alignment horizontal="center" vertical="center"/>
    </xf>
    <xf numFmtId="0" fontId="1" fillId="0" borderId="39" xfId="275" applyFill="1" applyBorder="1"/>
    <xf numFmtId="0" fontId="3" fillId="0" borderId="39" xfId="205" applyFont="1" applyFill="1" applyBorder="1" applyAlignment="1" applyProtection="1">
      <alignment horizontal="center" vertical="center"/>
    </xf>
    <xf numFmtId="0" fontId="2" fillId="0" borderId="39" xfId="0" applyFont="1" applyFill="1" applyBorder="1" applyProtection="1"/>
    <xf numFmtId="0" fontId="1" fillId="0" borderId="39" xfId="279" applyFill="1" applyBorder="1"/>
    <xf numFmtId="0" fontId="0" fillId="0" borderId="39" xfId="0" applyFill="1" applyBorder="1" applyProtection="1"/>
    <xf numFmtId="0" fontId="1" fillId="0" borderId="39" xfId="285" applyFill="1" applyBorder="1"/>
    <xf numFmtId="0" fontId="67" fillId="0" borderId="0" xfId="0" applyFont="1" applyFill="1" applyProtection="1"/>
    <xf numFmtId="173" fontId="79" fillId="0" borderId="0" xfId="222" applyNumberFormat="1" applyFont="1" applyFill="1" applyBorder="1" applyAlignment="1">
      <alignment horizontal="left" vertical="center"/>
    </xf>
    <xf numFmtId="173" fontId="63" fillId="0" borderId="0" xfId="205" applyNumberFormat="1" applyFont="1" applyFill="1" applyBorder="1" applyAlignment="1" applyProtection="1">
      <alignment horizontal="right" vertical="center" indent="1"/>
    </xf>
    <xf numFmtId="0" fontId="4" fillId="29" borderId="0" xfId="205" applyFont="1" applyFill="1" applyBorder="1" applyAlignment="1" applyProtection="1">
      <alignment horizontal="left" vertical="center"/>
    </xf>
    <xf numFmtId="0" fontId="5" fillId="29" borderId="0" xfId="205" applyFont="1" applyFill="1" applyBorder="1" applyAlignment="1" applyProtection="1">
      <alignment vertical="center"/>
    </xf>
    <xf numFmtId="0" fontId="6" fillId="29" borderId="0" xfId="205" applyFont="1" applyFill="1" applyBorder="1" applyAlignment="1" applyProtection="1">
      <alignment vertical="center"/>
    </xf>
    <xf numFmtId="0" fontId="5" fillId="36" borderId="0" xfId="205" applyFont="1" applyFill="1" applyBorder="1" applyAlignment="1" applyProtection="1">
      <alignment vertical="center"/>
    </xf>
    <xf numFmtId="0" fontId="6" fillId="36" borderId="0" xfId="205" applyFont="1" applyFill="1" applyBorder="1" applyAlignment="1" applyProtection="1">
      <alignment vertical="center"/>
    </xf>
    <xf numFmtId="0" fontId="4" fillId="36" borderId="0" xfId="205" applyFont="1" applyFill="1" applyBorder="1" applyAlignment="1" applyProtection="1">
      <alignment horizontal="left" vertical="center"/>
    </xf>
    <xf numFmtId="0" fontId="3" fillId="29" borderId="0" xfId="205" applyFont="1" applyFill="1" applyBorder="1" applyAlignment="1" applyProtection="1">
      <alignment horizontal="center" vertical="center"/>
    </xf>
    <xf numFmtId="0" fontId="85" fillId="0" borderId="0" xfId="205" applyFont="1" applyFill="1" applyBorder="1" applyAlignment="1" applyProtection="1">
      <alignment horizontal="center" vertical="center"/>
    </xf>
    <xf numFmtId="0" fontId="67" fillId="0" borderId="0" xfId="0" applyFont="1" applyAlignment="1" applyProtection="1">
      <alignment horizontal="left" vertical="center"/>
    </xf>
    <xf numFmtId="0" fontId="20" fillId="0" borderId="0" xfId="0" applyFont="1" applyFill="1" applyBorder="1" applyAlignment="1" applyProtection="1">
      <alignment horizontal="left" vertical="center"/>
    </xf>
    <xf numFmtId="0" fontId="68" fillId="0" borderId="0" xfId="0" applyFont="1" applyProtection="1"/>
    <xf numFmtId="0" fontId="63" fillId="0" borderId="0" xfId="222" applyFont="1" applyFill="1" applyBorder="1" applyAlignment="1" applyProtection="1">
      <alignment horizontal="left" vertical="center"/>
    </xf>
    <xf numFmtId="0" fontId="86" fillId="0" borderId="0" xfId="0" applyFont="1" applyProtection="1"/>
    <xf numFmtId="0" fontId="0" fillId="38" borderId="17" xfId="0" applyFill="1" applyBorder="1" applyProtection="1"/>
    <xf numFmtId="0" fontId="0" fillId="38" borderId="34" xfId="0" applyFill="1" applyBorder="1" applyProtection="1"/>
    <xf numFmtId="0" fontId="74" fillId="38" borderId="40" xfId="0" applyFont="1" applyFill="1" applyBorder="1" applyAlignment="1" applyProtection="1">
      <alignment horizontal="right"/>
    </xf>
    <xf numFmtId="0" fontId="71" fillId="0" borderId="0" xfId="0" applyFont="1" applyBorder="1" applyAlignment="1" applyProtection="1">
      <alignment horizontal="right"/>
    </xf>
    <xf numFmtId="0" fontId="19" fillId="0" borderId="0" xfId="0" applyFont="1" applyFill="1" applyBorder="1" applyProtection="1"/>
    <xf numFmtId="3" fontId="66" fillId="0" borderId="4" xfId="205" applyNumberFormat="1" applyFont="1" applyFill="1" applyBorder="1" applyAlignment="1" applyProtection="1">
      <alignment horizontal="center" vertical="center"/>
    </xf>
    <xf numFmtId="3" fontId="0" fillId="0" borderId="0" xfId="0" applyNumberFormat="1" applyProtection="1"/>
    <xf numFmtId="3" fontId="11" fillId="0" borderId="0" xfId="205" applyNumberFormat="1" applyFont="1" applyFill="1" applyBorder="1" applyAlignment="1" applyProtection="1">
      <alignment vertical="center"/>
    </xf>
    <xf numFmtId="0" fontId="70" fillId="0" borderId="0" xfId="0" applyFont="1" applyAlignment="1" applyProtection="1">
      <alignment horizontal="right"/>
    </xf>
    <xf numFmtId="0" fontId="4" fillId="0" borderId="17" xfId="205" applyFont="1" applyFill="1" applyBorder="1" applyAlignment="1" applyProtection="1">
      <alignment horizontal="left" vertical="center"/>
    </xf>
    <xf numFmtId="0" fontId="87" fillId="0" borderId="0" xfId="0" applyFont="1" applyAlignment="1" applyProtection="1">
      <alignment horizontal="right"/>
    </xf>
    <xf numFmtId="174" fontId="53" fillId="29" borderId="0" xfId="222" applyNumberFormat="1" applyFont="1" applyFill="1" applyBorder="1" applyAlignment="1">
      <alignment horizontal="right" vertical="center" wrapText="1" indent="1"/>
    </xf>
    <xf numFmtId="174" fontId="53" fillId="0" borderId="0" xfId="205" applyNumberFormat="1" applyFont="1" applyFill="1" applyBorder="1" applyAlignment="1" applyProtection="1">
      <alignment horizontal="right" vertical="center" indent="1"/>
    </xf>
    <xf numFmtId="174" fontId="51" fillId="0" borderId="0" xfId="205" applyNumberFormat="1" applyFont="1" applyFill="1" applyBorder="1" applyAlignment="1" applyProtection="1">
      <alignment horizontal="right" vertical="center" indent="1"/>
    </xf>
    <xf numFmtId="174" fontId="4" fillId="0" borderId="0" xfId="222" applyNumberFormat="1" applyFont="1" applyFill="1" applyBorder="1" applyAlignment="1">
      <alignment horizontal="left" vertical="center"/>
    </xf>
    <xf numFmtId="174" fontId="79" fillId="0" borderId="0" xfId="222" applyNumberFormat="1" applyFont="1" applyFill="1" applyBorder="1" applyAlignment="1">
      <alignment horizontal="left" vertical="center"/>
    </xf>
    <xf numFmtId="174" fontId="20" fillId="0" borderId="0" xfId="205" applyNumberFormat="1" applyFont="1" applyFill="1" applyBorder="1" applyAlignment="1" applyProtection="1">
      <alignment horizontal="right" vertical="center" indent="1"/>
    </xf>
    <xf numFmtId="174" fontId="80" fillId="0" borderId="0" xfId="222" applyNumberFormat="1" applyFont="1" applyFill="1" applyBorder="1" applyAlignment="1" applyProtection="1">
      <alignment horizontal="right" vertical="center" indent="1"/>
    </xf>
    <xf numFmtId="174" fontId="81" fillId="0" borderId="0" xfId="222" applyNumberFormat="1" applyFont="1" applyFill="1" applyBorder="1" applyAlignment="1">
      <alignment horizontal="right" vertical="center" wrapText="1" indent="1"/>
    </xf>
    <xf numFmtId="174" fontId="80" fillId="0" borderId="0" xfId="205" applyNumberFormat="1" applyFont="1" applyFill="1" applyBorder="1" applyAlignment="1" applyProtection="1">
      <alignment horizontal="right" vertical="center" indent="1"/>
    </xf>
    <xf numFmtId="174" fontId="82" fillId="0" borderId="0" xfId="222" applyNumberFormat="1" applyFont="1" applyFill="1" applyBorder="1" applyAlignment="1">
      <alignment horizontal="right" vertical="center" wrapText="1" indent="1"/>
    </xf>
    <xf numFmtId="174" fontId="54" fillId="0" borderId="0" xfId="222" applyNumberFormat="1" applyFont="1" applyFill="1" applyBorder="1" applyAlignment="1" applyProtection="1">
      <alignment horizontal="right" vertical="center" indent="1"/>
    </xf>
    <xf numFmtId="174" fontId="83" fillId="0" borderId="0" xfId="222" applyNumberFormat="1" applyFont="1" applyFill="1" applyBorder="1" applyAlignment="1" applyProtection="1">
      <alignment horizontal="right" vertical="center" indent="1"/>
    </xf>
    <xf numFmtId="174" fontId="84" fillId="0" borderId="0" xfId="222" applyNumberFormat="1" applyFont="1" applyFill="1" applyBorder="1" applyAlignment="1" applyProtection="1">
      <alignment horizontal="right" vertical="center" indent="1"/>
    </xf>
    <xf numFmtId="9" fontId="78" fillId="0" borderId="0" xfId="222" applyNumberFormat="1" applyFont="1" applyFill="1" applyBorder="1" applyAlignment="1">
      <alignment horizontal="right" vertical="center" wrapText="1" indent="1"/>
    </xf>
    <xf numFmtId="9" fontId="79" fillId="0" borderId="0" xfId="222" applyNumberFormat="1" applyFont="1" applyFill="1" applyBorder="1" applyAlignment="1">
      <alignment horizontal="right" vertical="center" wrapText="1" indent="1"/>
    </xf>
    <xf numFmtId="9" fontId="79" fillId="0" borderId="0" xfId="222" applyNumberFormat="1" applyFont="1" applyFill="1" applyBorder="1" applyAlignment="1">
      <alignment horizontal="left" vertical="center"/>
    </xf>
    <xf numFmtId="9" fontId="78" fillId="0" borderId="0" xfId="222" applyNumberFormat="1" applyFont="1" applyFill="1" applyBorder="1" applyAlignment="1" applyProtection="1">
      <alignment horizontal="right" vertical="center" indent="1"/>
    </xf>
    <xf numFmtId="9" fontId="79" fillId="0" borderId="0" xfId="222" applyNumberFormat="1" applyFont="1" applyFill="1" applyBorder="1" applyAlignment="1" applyProtection="1">
      <alignment horizontal="right" vertical="center" indent="1"/>
    </xf>
    <xf numFmtId="9" fontId="82" fillId="0" borderId="0" xfId="222" applyNumberFormat="1" applyFont="1" applyFill="1" applyBorder="1" applyAlignment="1">
      <alignment horizontal="right" vertical="center" wrapText="1" indent="1"/>
    </xf>
    <xf numFmtId="9" fontId="83" fillId="0" borderId="0" xfId="222" applyNumberFormat="1" applyFont="1" applyFill="1" applyBorder="1" applyAlignment="1" applyProtection="1">
      <alignment horizontal="right" vertical="center" indent="1"/>
    </xf>
    <xf numFmtId="9" fontId="63" fillId="0" borderId="0" xfId="205" applyNumberFormat="1" applyFont="1" applyFill="1" applyBorder="1" applyAlignment="1" applyProtection="1">
      <alignment horizontal="right" vertical="center" indent="1"/>
    </xf>
    <xf numFmtId="174" fontId="63" fillId="0" borderId="0" xfId="205" applyNumberFormat="1" applyFont="1" applyFill="1" applyBorder="1" applyAlignment="1" applyProtection="1">
      <alignment horizontal="right" vertical="center" indent="1"/>
    </xf>
    <xf numFmtId="0" fontId="56" fillId="0" borderId="0" xfId="0" applyFont="1" applyAlignment="1" applyProtection="1">
      <alignment horizontal="left"/>
    </xf>
    <xf numFmtId="0" fontId="51" fillId="29" borderId="0" xfId="222" applyFont="1" applyFill="1" applyBorder="1" applyAlignment="1" applyProtection="1">
      <alignment horizontal="left" vertical="center" indent="2"/>
    </xf>
    <xf numFmtId="174" fontId="88" fillId="0" borderId="0" xfId="222" applyNumberFormat="1" applyFont="1" applyFill="1" applyBorder="1" applyAlignment="1">
      <alignment horizontal="right" vertical="center" wrapText="1" indent="1"/>
    </xf>
    <xf numFmtId="174" fontId="75" fillId="29" borderId="0" xfId="222" applyNumberFormat="1" applyFont="1" applyFill="1" applyBorder="1" applyAlignment="1">
      <alignment horizontal="right" vertical="center" wrapText="1" indent="1"/>
    </xf>
    <xf numFmtId="174" fontId="75" fillId="0" borderId="0" xfId="222" applyNumberFormat="1" applyFont="1" applyFill="1" applyBorder="1" applyAlignment="1" applyProtection="1">
      <alignment horizontal="right" vertical="center" indent="1"/>
    </xf>
    <xf numFmtId="174" fontId="88" fillId="0" borderId="0" xfId="222" applyNumberFormat="1" applyFont="1" applyFill="1" applyBorder="1" applyAlignment="1" applyProtection="1">
      <alignment horizontal="right" vertical="center" indent="1"/>
    </xf>
    <xf numFmtId="174" fontId="7" fillId="0" borderId="0" xfId="222" applyNumberFormat="1" applyFont="1" applyFill="1" applyBorder="1" applyAlignment="1">
      <alignment horizontal="right" vertical="center" wrapText="1" indent="1"/>
    </xf>
    <xf numFmtId="174" fontId="89" fillId="0" borderId="0" xfId="222" applyNumberFormat="1" applyFont="1" applyFill="1" applyBorder="1" applyAlignment="1">
      <alignment horizontal="right" vertical="center" wrapText="1" indent="1"/>
    </xf>
    <xf numFmtId="174" fontId="7" fillId="0" borderId="0" xfId="222" applyNumberFormat="1" applyFont="1" applyFill="1" applyBorder="1" applyAlignment="1" applyProtection="1">
      <alignment horizontal="right" vertical="center" indent="1"/>
    </xf>
    <xf numFmtId="174" fontId="89" fillId="0" borderId="0" xfId="222" applyNumberFormat="1" applyFont="1" applyFill="1" applyBorder="1" applyAlignment="1" applyProtection="1">
      <alignment horizontal="right" vertical="center" indent="1"/>
    </xf>
    <xf numFmtId="0" fontId="90" fillId="34" borderId="0" xfId="196" applyFont="1" applyFill="1" applyBorder="1" applyAlignment="1">
      <alignment horizontal="center" vertical="center"/>
    </xf>
    <xf numFmtId="0" fontId="88" fillId="0" borderId="0" xfId="222" applyFont="1" applyFill="1" applyBorder="1" applyAlignment="1">
      <alignment horizontal="left" vertical="center"/>
    </xf>
    <xf numFmtId="0" fontId="91" fillId="0" borderId="0" xfId="196" applyFont="1" applyFill="1" applyBorder="1" applyAlignment="1">
      <alignment horizontal="center" vertical="center"/>
    </xf>
    <xf numFmtId="0" fontId="90" fillId="0" borderId="0" xfId="196" applyFont="1" applyFill="1" applyBorder="1" applyAlignment="1">
      <alignment horizontal="center" vertical="center"/>
    </xf>
    <xf numFmtId="0" fontId="92" fillId="0" borderId="0" xfId="205" applyFont="1" applyFill="1" applyBorder="1" applyAlignment="1" applyProtection="1">
      <alignment horizontal="right" vertical="center" indent="1"/>
    </xf>
    <xf numFmtId="174" fontId="77" fillId="43" borderId="0" xfId="0" applyNumberFormat="1" applyFont="1" applyFill="1" applyBorder="1" applyAlignment="1">
      <alignment horizontal="right" vertical="center" wrapText="1" indent="1"/>
    </xf>
    <xf numFmtId="174" fontId="8" fillId="43" borderId="0" xfId="0" applyNumberFormat="1" applyFont="1" applyFill="1" applyBorder="1" applyAlignment="1">
      <alignment horizontal="right" vertical="center" wrapText="1" indent="1"/>
    </xf>
    <xf numFmtId="174" fontId="8" fillId="43" borderId="41" xfId="0" applyNumberFormat="1" applyFont="1" applyFill="1" applyBorder="1" applyAlignment="1">
      <alignment horizontal="right" vertical="center" wrapText="1" indent="1"/>
    </xf>
    <xf numFmtId="174" fontId="50" fillId="43" borderId="0" xfId="205" applyNumberFormat="1" applyFont="1" applyFill="1" applyBorder="1" applyAlignment="1" applyProtection="1">
      <alignment horizontal="right" vertical="center" indent="1"/>
    </xf>
    <xf numFmtId="9" fontId="81" fillId="43" borderId="0" xfId="0" applyNumberFormat="1" applyFont="1" applyFill="1" applyBorder="1" applyAlignment="1">
      <alignment horizontal="right" vertical="center" wrapText="1" indent="1"/>
    </xf>
    <xf numFmtId="0" fontId="94" fillId="0" borderId="0" xfId="196" applyFont="1" applyFill="1" applyBorder="1" applyAlignment="1" applyProtection="1">
      <alignment horizontal="center"/>
    </xf>
    <xf numFmtId="0" fontId="8" fillId="42" borderId="0" xfId="0" applyFont="1" applyFill="1" applyBorder="1" applyAlignment="1" applyProtection="1">
      <alignment horizontal="left" vertical="center"/>
    </xf>
    <xf numFmtId="174" fontId="96" fillId="40" borderId="42" xfId="222" applyNumberFormat="1" applyFont="1" applyFill="1" applyBorder="1" applyAlignment="1" applyProtection="1">
      <alignment horizontal="right" vertical="center" indent="1"/>
    </xf>
    <xf numFmtId="174" fontId="96" fillId="0" borderId="42" xfId="205" applyNumberFormat="1" applyFont="1" applyFill="1" applyBorder="1" applyAlignment="1" applyProtection="1">
      <alignment horizontal="right" vertical="center" indent="1"/>
    </xf>
    <xf numFmtId="174" fontId="97" fillId="40" borderId="42" xfId="222" applyNumberFormat="1" applyFont="1" applyFill="1" applyBorder="1" applyAlignment="1" applyProtection="1">
      <alignment horizontal="right" vertical="center" indent="1"/>
    </xf>
    <xf numFmtId="9" fontId="98" fillId="40" borderId="42" xfId="222" applyNumberFormat="1" applyFont="1" applyFill="1" applyBorder="1" applyAlignment="1" applyProtection="1">
      <alignment horizontal="right" vertical="center" indent="1"/>
    </xf>
    <xf numFmtId="0" fontId="95" fillId="41" borderId="42" xfId="196" applyFont="1" applyFill="1" applyBorder="1" applyAlignment="1">
      <alignment horizontal="center" vertical="center"/>
    </xf>
    <xf numFmtId="174" fontId="96" fillId="0" borderId="43" xfId="222" applyNumberFormat="1" applyFont="1" applyFill="1" applyBorder="1" applyAlignment="1" applyProtection="1">
      <alignment horizontal="right" vertical="center" indent="1"/>
    </xf>
    <xf numFmtId="174" fontId="96" fillId="29" borderId="43" xfId="222" applyNumberFormat="1" applyFont="1" applyFill="1" applyBorder="1" applyAlignment="1" applyProtection="1">
      <alignment horizontal="right" vertical="center" indent="1"/>
    </xf>
    <xf numFmtId="174" fontId="97" fillId="40" borderId="43" xfId="222" applyNumberFormat="1" applyFont="1" applyFill="1" applyBorder="1" applyAlignment="1" applyProtection="1">
      <alignment horizontal="right" vertical="center" indent="1"/>
    </xf>
    <xf numFmtId="9" fontId="98" fillId="40" borderId="43" xfId="222" applyNumberFormat="1" applyFont="1" applyFill="1" applyBorder="1" applyAlignment="1" applyProtection="1">
      <alignment horizontal="right" vertical="center" indent="1"/>
    </xf>
    <xf numFmtId="0" fontId="99" fillId="41" borderId="43" xfId="196" applyFont="1" applyFill="1" applyBorder="1" applyAlignment="1">
      <alignment horizontal="center" vertical="center"/>
    </xf>
    <xf numFmtId="0" fontId="95" fillId="41" borderId="0" xfId="196" applyFont="1" applyFill="1" applyBorder="1" applyAlignment="1">
      <alignment horizontal="center" vertical="center"/>
    </xf>
    <xf numFmtId="174" fontId="96" fillId="0" borderId="0" xfId="205" applyNumberFormat="1" applyFont="1" applyFill="1" applyBorder="1" applyAlignment="1" applyProtection="1">
      <alignment horizontal="right" vertical="center" indent="1"/>
    </xf>
    <xf numFmtId="0" fontId="7" fillId="39" borderId="0" xfId="0" applyFont="1" applyFill="1" applyBorder="1" applyAlignment="1" applyProtection="1">
      <alignment horizontal="left" vertical="center"/>
      <protection locked="0"/>
    </xf>
    <xf numFmtId="0" fontId="61" fillId="0" borderId="0" xfId="0" applyFont="1" applyAlignment="1" applyProtection="1">
      <alignment horizontal="right"/>
    </xf>
    <xf numFmtId="0" fontId="9" fillId="39" borderId="39" xfId="205" applyFont="1" applyFill="1" applyBorder="1" applyAlignment="1" applyProtection="1">
      <alignment horizontal="center" vertical="center"/>
    </xf>
    <xf numFmtId="0" fontId="51" fillId="29" borderId="0" xfId="222" applyFont="1" applyFill="1" applyBorder="1" applyAlignment="1">
      <alignment horizontal="left" vertical="center" wrapText="1"/>
    </xf>
    <xf numFmtId="1" fontId="0" fillId="0" borderId="0" xfId="0" applyNumberFormat="1" applyProtection="1"/>
    <xf numFmtId="0" fontId="97" fillId="0" borderId="0" xfId="222" applyFont="1" applyFill="1" applyBorder="1" applyAlignment="1" applyProtection="1">
      <alignment horizontal="center" vertical="center" textRotation="90" wrapText="1"/>
    </xf>
    <xf numFmtId="0" fontId="65" fillId="0" borderId="0" xfId="205" applyFont="1" applyFill="1" applyBorder="1" applyAlignment="1" applyProtection="1">
      <alignment horizontal="left" vertical="center"/>
    </xf>
    <xf numFmtId="0" fontId="67" fillId="0" borderId="0" xfId="0" applyFont="1" applyAlignment="1" applyProtection="1">
      <alignment horizontal="left" vertical="center" wrapText="1"/>
    </xf>
    <xf numFmtId="0" fontId="74" fillId="38" borderId="0" xfId="0" applyFont="1" applyFill="1" applyBorder="1" applyAlignment="1" applyProtection="1">
      <alignment horizontal="right"/>
    </xf>
    <xf numFmtId="0" fontId="0" fillId="38" borderId="0" xfId="0" applyFill="1" applyBorder="1" applyProtection="1"/>
    <xf numFmtId="0" fontId="69" fillId="0" borderId="0" xfId="0" applyFont="1" applyBorder="1" applyAlignment="1" applyProtection="1">
      <alignment horizontal="center"/>
    </xf>
    <xf numFmtId="0" fontId="51" fillId="29" borderId="0" xfId="222" applyFont="1" applyFill="1" applyBorder="1" applyAlignment="1" applyProtection="1">
      <alignment horizontal="left" vertical="center" indent="2"/>
    </xf>
    <xf numFmtId="0" fontId="68" fillId="0" borderId="0" xfId="0" applyFont="1" applyFill="1" applyBorder="1" applyAlignment="1" applyProtection="1">
      <alignment horizontal="center"/>
    </xf>
    <xf numFmtId="0" fontId="0" fillId="0" borderId="36" xfId="0" applyBorder="1" applyProtection="1"/>
    <xf numFmtId="0" fontId="58" fillId="30" borderId="14" xfId="0" applyFont="1" applyFill="1" applyBorder="1" applyAlignment="1" applyProtection="1">
      <alignment horizontal="left" vertical="center"/>
      <protection locked="0"/>
    </xf>
    <xf numFmtId="0" fontId="93" fillId="44" borderId="0" xfId="0" applyFont="1" applyFill="1" applyBorder="1" applyAlignment="1" applyProtection="1">
      <alignment horizontal="center" vertical="center"/>
    </xf>
    <xf numFmtId="0" fontId="48" fillId="43" borderId="48" xfId="0" applyFont="1" applyFill="1" applyBorder="1" applyAlignment="1" applyProtection="1">
      <alignment horizontal="center" vertical="center" wrapText="1"/>
    </xf>
    <xf numFmtId="0" fontId="48" fillId="43" borderId="24" xfId="0" applyFont="1" applyFill="1" applyBorder="1" applyAlignment="1" applyProtection="1">
      <alignment horizontal="center" vertical="center" wrapText="1"/>
    </xf>
    <xf numFmtId="0" fontId="48" fillId="43" borderId="49" xfId="0" applyFont="1" applyFill="1" applyBorder="1" applyAlignment="1" applyProtection="1">
      <alignment horizontal="center" vertical="center" wrapText="1"/>
    </xf>
    <xf numFmtId="0" fontId="48" fillId="43" borderId="36" xfId="0" applyFont="1" applyFill="1" applyBorder="1" applyAlignment="1" applyProtection="1">
      <alignment horizontal="center" vertical="center" wrapText="1"/>
    </xf>
    <xf numFmtId="0" fontId="48" fillId="42" borderId="0" xfId="0" applyFont="1" applyFill="1" applyBorder="1" applyAlignment="1" applyProtection="1">
      <alignment horizontal="center" vertical="center" wrapText="1"/>
    </xf>
    <xf numFmtId="0" fontId="48" fillId="42" borderId="23" xfId="0" applyFont="1" applyFill="1" applyBorder="1" applyAlignment="1" applyProtection="1">
      <alignment horizontal="center" vertical="center" wrapText="1"/>
    </xf>
    <xf numFmtId="0" fontId="12" fillId="43" borderId="45" xfId="0" applyFont="1" applyFill="1" applyBorder="1" applyAlignment="1" applyProtection="1">
      <alignment horizontal="center" vertical="center" wrapText="1"/>
    </xf>
    <xf numFmtId="0" fontId="12" fillId="43" borderId="46" xfId="0" applyFont="1" applyFill="1" applyBorder="1" applyAlignment="1" applyProtection="1">
      <alignment horizontal="center" vertical="center" wrapText="1"/>
    </xf>
    <xf numFmtId="0" fontId="48" fillId="43" borderId="50" xfId="0" applyFont="1" applyFill="1" applyBorder="1" applyAlignment="1" applyProtection="1">
      <alignment horizontal="center" vertical="center" wrapText="1"/>
    </xf>
    <xf numFmtId="0" fontId="48" fillId="43" borderId="0" xfId="0" applyFont="1" applyFill="1" applyBorder="1" applyAlignment="1" applyProtection="1">
      <alignment horizontal="center" vertical="center" wrapText="1"/>
    </xf>
    <xf numFmtId="0" fontId="8" fillId="43" borderId="0" xfId="0" applyFont="1" applyFill="1" applyBorder="1" applyAlignment="1">
      <alignment horizontal="left" vertical="center"/>
    </xf>
    <xf numFmtId="2" fontId="51" fillId="29" borderId="0" xfId="222" applyNumberFormat="1" applyFont="1" applyFill="1" applyBorder="1" applyAlignment="1">
      <alignment horizontal="left" vertical="center" indent="1"/>
    </xf>
    <xf numFmtId="0" fontId="75" fillId="29" borderId="0" xfId="222" applyFont="1" applyFill="1" applyBorder="1" applyAlignment="1" applyProtection="1">
      <alignment horizontal="left" vertical="center" indent="1"/>
    </xf>
    <xf numFmtId="0" fontId="51" fillId="39" borderId="0" xfId="222" applyFont="1" applyFill="1" applyBorder="1" applyAlignment="1" applyProtection="1">
      <alignment horizontal="left" vertical="center"/>
    </xf>
    <xf numFmtId="174" fontId="96" fillId="40" borderId="42" xfId="222" applyNumberFormat="1" applyFont="1" applyFill="1" applyBorder="1" applyAlignment="1" applyProtection="1">
      <alignment horizontal="left" vertical="center"/>
    </xf>
    <xf numFmtId="0" fontId="51" fillId="35" borderId="22" xfId="205" applyFont="1" applyFill="1" applyBorder="1" applyAlignment="1" applyProtection="1">
      <alignment horizontal="center" vertical="center"/>
      <protection locked="0"/>
    </xf>
    <xf numFmtId="0" fontId="51" fillId="35" borderId="0" xfId="205" applyFont="1" applyFill="1" applyBorder="1" applyAlignment="1" applyProtection="1">
      <alignment horizontal="center" vertical="center"/>
      <protection locked="0"/>
    </xf>
    <xf numFmtId="0" fontId="68" fillId="0" borderId="31" xfId="0" applyFont="1" applyBorder="1" applyAlignment="1" applyProtection="1">
      <alignment horizontal="center"/>
    </xf>
    <xf numFmtId="0" fontId="68" fillId="0" borderId="32" xfId="0" applyFont="1" applyBorder="1" applyAlignment="1" applyProtection="1">
      <alignment horizontal="center"/>
    </xf>
    <xf numFmtId="0" fontId="68" fillId="0" borderId="33" xfId="0" applyFont="1" applyBorder="1" applyAlignment="1" applyProtection="1">
      <alignment horizontal="center"/>
    </xf>
    <xf numFmtId="0" fontId="51" fillId="29" borderId="0" xfId="222" applyFont="1" applyFill="1" applyBorder="1" applyAlignment="1" applyProtection="1">
      <alignment horizontal="left" vertical="center" indent="2"/>
    </xf>
    <xf numFmtId="0" fontId="96" fillId="29" borderId="43" xfId="222" applyFont="1" applyFill="1" applyBorder="1" applyAlignment="1" applyProtection="1">
      <alignment horizontal="left" vertical="center"/>
    </xf>
    <xf numFmtId="0" fontId="97" fillId="0" borderId="44" xfId="222" applyFont="1" applyFill="1" applyBorder="1" applyAlignment="1" applyProtection="1">
      <alignment horizontal="center" vertical="center" textRotation="90" wrapText="1"/>
    </xf>
    <xf numFmtId="0" fontId="51" fillId="29" borderId="0" xfId="222" applyFont="1" applyFill="1" applyBorder="1" applyAlignment="1">
      <alignment horizontal="left" vertical="center" wrapText="1"/>
    </xf>
    <xf numFmtId="0" fontId="68" fillId="0" borderId="31" xfId="0" applyFont="1" applyFill="1" applyBorder="1" applyAlignment="1" applyProtection="1">
      <alignment horizontal="center"/>
    </xf>
    <xf numFmtId="0" fontId="68" fillId="0" borderId="32" xfId="0" applyFont="1" applyFill="1" applyBorder="1" applyAlignment="1" applyProtection="1">
      <alignment horizontal="center"/>
    </xf>
    <xf numFmtId="0" fontId="68" fillId="0" borderId="33" xfId="0" applyFont="1" applyFill="1" applyBorder="1" applyAlignment="1" applyProtection="1">
      <alignment horizontal="center"/>
    </xf>
    <xf numFmtId="49" fontId="2" fillId="0" borderId="0" xfId="0" applyNumberFormat="1" applyFont="1" applyProtection="1"/>
  </cellXfs>
  <cellStyles count="289">
    <cellStyle name="20 % - Accent1" xfId="1"/>
    <cellStyle name="20 % - Accent2" xfId="6"/>
    <cellStyle name="20 % - Accent3" xfId="11"/>
    <cellStyle name="20 % - Accent4" xfId="16"/>
    <cellStyle name="20 % - Accent5" xfId="21"/>
    <cellStyle name="20 % - Accent6" xfId="26"/>
    <cellStyle name="20% - Accent1 2" xfId="2"/>
    <cellStyle name="20% - Accent1 3" xfId="3"/>
    <cellStyle name="20% - Accent1 4" xfId="4"/>
    <cellStyle name="20% - Accent1 5" xfId="5"/>
    <cellStyle name="20% - Accent2 2" xfId="7"/>
    <cellStyle name="20% - Accent2 3" xfId="8"/>
    <cellStyle name="20% - Accent2 4" xfId="9"/>
    <cellStyle name="20% - Accent2 5" xfId="10"/>
    <cellStyle name="20% - Accent3 2" xfId="12"/>
    <cellStyle name="20% - Accent3 3" xfId="13"/>
    <cellStyle name="20% - Accent3 4" xfId="14"/>
    <cellStyle name="20% - Accent3 5" xfId="15"/>
    <cellStyle name="20% - Accent4 2" xfId="17"/>
    <cellStyle name="20% - Accent4 3" xfId="18"/>
    <cellStyle name="20% - Accent4 4" xfId="19"/>
    <cellStyle name="20% - Accent4 5" xfId="20"/>
    <cellStyle name="20% - Accent5 2" xfId="22"/>
    <cellStyle name="20% - Accent5 3" xfId="23"/>
    <cellStyle name="20% - Accent5 4" xfId="24"/>
    <cellStyle name="20% - Accent5 5" xfId="25"/>
    <cellStyle name="20% - Accent6 2" xfId="27"/>
    <cellStyle name="20% - Accent6 3" xfId="28"/>
    <cellStyle name="20% - Accent6 4" xfId="29"/>
    <cellStyle name="20% - Accent6 5" xfId="30"/>
    <cellStyle name="40 % - Accent1" xfId="31"/>
    <cellStyle name="40 % - Accent2" xfId="36"/>
    <cellStyle name="40 % - Accent3" xfId="41"/>
    <cellStyle name="40 % - Accent4" xfId="46"/>
    <cellStyle name="40 % - Accent5" xfId="51"/>
    <cellStyle name="40 % - Accent6" xfId="56"/>
    <cellStyle name="40% - Accent1 2" xfId="32"/>
    <cellStyle name="40% - Accent1 3" xfId="33"/>
    <cellStyle name="40% - Accent1 4" xfId="34"/>
    <cellStyle name="40% - Accent1 5" xfId="35"/>
    <cellStyle name="40% - Accent2 2" xfId="37"/>
    <cellStyle name="40% - Accent2 3" xfId="38"/>
    <cellStyle name="40% - Accent2 4" xfId="39"/>
    <cellStyle name="40% - Accent2 5" xfId="40"/>
    <cellStyle name="40% - Accent3 2" xfId="42"/>
    <cellStyle name="40% - Accent3 3" xfId="43"/>
    <cellStyle name="40% - Accent3 4" xfId="44"/>
    <cellStyle name="40% - Accent3 5" xfId="45"/>
    <cellStyle name="40% - Accent4 2" xfId="47"/>
    <cellStyle name="40% - Accent4 3" xfId="48"/>
    <cellStyle name="40% - Accent4 4" xfId="49"/>
    <cellStyle name="40% - Accent4 5" xfId="50"/>
    <cellStyle name="40% - Accent5 2" xfId="52"/>
    <cellStyle name="40% - Accent5 3" xfId="53"/>
    <cellStyle name="40% - Accent5 4" xfId="54"/>
    <cellStyle name="40% - Accent5 5" xfId="55"/>
    <cellStyle name="40% - Accent6 2" xfId="57"/>
    <cellStyle name="40% - Accent6 3" xfId="58"/>
    <cellStyle name="40% - Accent6 4" xfId="59"/>
    <cellStyle name="40% - Accent6 5" xfId="60"/>
    <cellStyle name="60 % - Accent1" xfId="61"/>
    <cellStyle name="60 % - Accent2" xfId="66"/>
    <cellStyle name="60 % - Accent3" xfId="71"/>
    <cellStyle name="60 % - Accent4" xfId="76"/>
    <cellStyle name="60 % - Accent5" xfId="81"/>
    <cellStyle name="60 % - Accent6" xfId="86"/>
    <cellStyle name="60% - Accent1 2" xfId="62"/>
    <cellStyle name="60% - Accent1 3" xfId="63"/>
    <cellStyle name="60% - Accent1 4" xfId="64"/>
    <cellStyle name="60% - Accent1 5" xfId="65"/>
    <cellStyle name="60% - Accent2 2" xfId="67"/>
    <cellStyle name="60% - Accent2 3" xfId="68"/>
    <cellStyle name="60% - Accent2 4" xfId="69"/>
    <cellStyle name="60% - Accent2 5" xfId="70"/>
    <cellStyle name="60% - Accent3 2" xfId="72"/>
    <cellStyle name="60% - Accent3 3" xfId="73"/>
    <cellStyle name="60% - Accent3 4" xfId="74"/>
    <cellStyle name="60% - Accent3 5" xfId="75"/>
    <cellStyle name="60% - Accent4 2" xfId="77"/>
    <cellStyle name="60% - Accent4 3" xfId="78"/>
    <cellStyle name="60% - Accent4 4" xfId="79"/>
    <cellStyle name="60% - Accent4 5" xfId="80"/>
    <cellStyle name="60% - Accent5 2" xfId="82"/>
    <cellStyle name="60% - Accent5 3" xfId="83"/>
    <cellStyle name="60% - Accent5 4" xfId="84"/>
    <cellStyle name="60% - Accent5 5" xfId="85"/>
    <cellStyle name="60% - Accent6 2" xfId="87"/>
    <cellStyle name="60% - Accent6 3" xfId="88"/>
    <cellStyle name="60% - Accent6 4" xfId="89"/>
    <cellStyle name="60% - Accent6 5" xfId="90"/>
    <cellStyle name="Accent1" xfId="91" builtinId="29" customBuiltin="1"/>
    <cellStyle name="Accent1 2" xfId="92"/>
    <cellStyle name="Accent1 3" xfId="93"/>
    <cellStyle name="Accent1 4" xfId="94"/>
    <cellStyle name="Accent1 5" xfId="95"/>
    <cellStyle name="Accent2" xfId="96" builtinId="33" customBuiltin="1"/>
    <cellStyle name="Accent2 2" xfId="97"/>
    <cellStyle name="Accent2 3" xfId="98"/>
    <cellStyle name="Accent2 4" xfId="99"/>
    <cellStyle name="Accent2 5" xfId="100"/>
    <cellStyle name="Accent3" xfId="101" builtinId="37" customBuiltin="1"/>
    <cellStyle name="Accent3 2" xfId="102"/>
    <cellStyle name="Accent3 3" xfId="103"/>
    <cellStyle name="Accent3 4" xfId="104"/>
    <cellStyle name="Accent3 5" xfId="105"/>
    <cellStyle name="Accent4" xfId="106" builtinId="41" customBuiltin="1"/>
    <cellStyle name="Accent4 2" xfId="107"/>
    <cellStyle name="Accent4 3" xfId="108"/>
    <cellStyle name="Accent4 4" xfId="109"/>
    <cellStyle name="Accent4 5" xfId="110"/>
    <cellStyle name="Accent5" xfId="111" builtinId="45" customBuiltin="1"/>
    <cellStyle name="Accent5 2" xfId="112"/>
    <cellStyle name="Accent5 3" xfId="113"/>
    <cellStyle name="Accent5 4" xfId="114"/>
    <cellStyle name="Accent5 5" xfId="115"/>
    <cellStyle name="Accent6" xfId="116" builtinId="49" customBuiltin="1"/>
    <cellStyle name="Accent6 2" xfId="117"/>
    <cellStyle name="Accent6 3" xfId="118"/>
    <cellStyle name="Accent6 4" xfId="119"/>
    <cellStyle name="Accent6 5" xfId="120"/>
    <cellStyle name="Avertissement" xfId="269"/>
    <cellStyle name="Bad 2" xfId="121"/>
    <cellStyle name="Bad 3" xfId="122"/>
    <cellStyle name="Bad 4" xfId="123"/>
    <cellStyle name="Bad 5" xfId="124"/>
    <cellStyle name="Calcul" xfId="125"/>
    <cellStyle name="Calculation 2" xfId="126"/>
    <cellStyle name="Calculation 3" xfId="127"/>
    <cellStyle name="Calculation 4" xfId="128"/>
    <cellStyle name="Calculation 5" xfId="129"/>
    <cellStyle name="Cellule liée" xfId="177"/>
    <cellStyle name="Check Cell 2" xfId="130"/>
    <cellStyle name="Check Cell 3" xfId="131"/>
    <cellStyle name="Check Cell 4" xfId="132"/>
    <cellStyle name="Check Cell 5" xfId="133"/>
    <cellStyle name="ColumnHeading" xfId="134"/>
    <cellStyle name="Comma 2" xfId="135"/>
    <cellStyle name="Comma 3" xfId="136"/>
    <cellStyle name="Comma 4" xfId="137"/>
    <cellStyle name="Comma 5" xfId="138"/>
    <cellStyle name="Comma 6" xfId="139"/>
    <cellStyle name="Comma 7" xfId="140"/>
    <cellStyle name="Comma 8" xfId="141"/>
    <cellStyle name="Commentaire" xfId="223"/>
    <cellStyle name="Entrée" xfId="169"/>
    <cellStyle name="Euro" xfId="142"/>
    <cellStyle name="Explanatory Text 2" xfId="143"/>
    <cellStyle name="Explanatory Text 3" xfId="144"/>
    <cellStyle name="Explanatory Text 4" xfId="145"/>
    <cellStyle name="Explanatory Text 5" xfId="146"/>
    <cellStyle name="Good 2" xfId="147"/>
    <cellStyle name="Good 3" xfId="148"/>
    <cellStyle name="Good 4" xfId="149"/>
    <cellStyle name="Good 5" xfId="150"/>
    <cellStyle name="Heading 1 2" xfId="151"/>
    <cellStyle name="Heading 1 3" xfId="152"/>
    <cellStyle name="Heading 1 4" xfId="153"/>
    <cellStyle name="Heading 1 5" xfId="154"/>
    <cellStyle name="Heading 2 2" xfId="155"/>
    <cellStyle name="Heading 2 3" xfId="156"/>
    <cellStyle name="Heading 2 4" xfId="157"/>
    <cellStyle name="Heading 2 5" xfId="158"/>
    <cellStyle name="Heading 3 2" xfId="159"/>
    <cellStyle name="Heading 3 3" xfId="160"/>
    <cellStyle name="Heading 3 4" xfId="161"/>
    <cellStyle name="Heading 3 5" xfId="162"/>
    <cellStyle name="Heading 4 2" xfId="163"/>
    <cellStyle name="Heading 4 3" xfId="164"/>
    <cellStyle name="Heading 4 4" xfId="165"/>
    <cellStyle name="Heading 4 5" xfId="166"/>
    <cellStyle name="Hyperlink 2" xfId="167"/>
    <cellStyle name="Hyperlink 3" xfId="168"/>
    <cellStyle name="Input 2" xfId="170"/>
    <cellStyle name="Input 3" xfId="171"/>
    <cellStyle name="Input 4" xfId="172"/>
    <cellStyle name="Input 5" xfId="173"/>
    <cellStyle name="Insatisfaisant" xfId="174" builtinId="27" customBuiltin="1"/>
    <cellStyle name="Lien hypertexte 3" xfId="175"/>
    <cellStyle name="Ligne détail" xfId="176"/>
    <cellStyle name="Linked Cell 2" xfId="178"/>
    <cellStyle name="Linked Cell 3" xfId="179"/>
    <cellStyle name="Linked Cell 4" xfId="180"/>
    <cellStyle name="Linked Cell 5" xfId="181"/>
    <cellStyle name="MEV4" xfId="182"/>
    <cellStyle name="MEV5" xfId="183"/>
    <cellStyle name="Milliers 2" xfId="184"/>
    <cellStyle name="Milliers 3" xfId="185"/>
    <cellStyle name="Milliers 4" xfId="186"/>
    <cellStyle name="N?rmal_la?oux_larou?" xfId="187"/>
    <cellStyle name="Neutral 2" xfId="188"/>
    <cellStyle name="Neutral 3" xfId="189"/>
    <cellStyle name="Neutral 4" xfId="190"/>
    <cellStyle name="Neutral 5" xfId="191"/>
    <cellStyle name="Neutre" xfId="192" builtinId="28" customBuiltin="1"/>
    <cellStyle name="Norma?_On Hol?" xfId="193"/>
    <cellStyle name="Normaᷬ_On Holᷤ" xfId="194"/>
    <cellStyle name="Normal" xfId="0" builtinId="0"/>
    <cellStyle name="Normal - Style1" xfId="195"/>
    <cellStyle name="Normal 10" xfId="196"/>
    <cellStyle name="Normal 11" xfId="197"/>
    <cellStyle name="Normal 12" xfId="274"/>
    <cellStyle name="Normal 13" xfId="275"/>
    <cellStyle name="Normal 14" xfId="276"/>
    <cellStyle name="Normal 15" xfId="277"/>
    <cellStyle name="Normal 16" xfId="278"/>
    <cellStyle name="Normal 17" xfId="279"/>
    <cellStyle name="Normal 18" xfId="280"/>
    <cellStyle name="Normal 19" xfId="281"/>
    <cellStyle name="Normal 2" xfId="198"/>
    <cellStyle name="Normal 2 2" xfId="199"/>
    <cellStyle name="Normal 2 3" xfId="200"/>
    <cellStyle name="Normal 2 4" xfId="201"/>
    <cellStyle name="Normal 2 5" xfId="202"/>
    <cellStyle name="Normal 2_CRD hybride yc EMB" xfId="203"/>
    <cellStyle name="Normal 20" xfId="282"/>
    <cellStyle name="Normal 21" xfId="283"/>
    <cellStyle name="Normal 22" xfId="284"/>
    <cellStyle name="Normal 23" xfId="285"/>
    <cellStyle name="Normal 24" xfId="286"/>
    <cellStyle name="Normal 25" xfId="287"/>
    <cellStyle name="Normal 3" xfId="204"/>
    <cellStyle name="Normal 3 2" xfId="205"/>
    <cellStyle name="Normal 3 3" xfId="206"/>
    <cellStyle name="Normal 3 4" xfId="207"/>
    <cellStyle name="Normal 3 5" xfId="208"/>
    <cellStyle name="Normal 3 6" xfId="209"/>
    <cellStyle name="Normal 3_0. Investissement" xfId="210"/>
    <cellStyle name="Normal 4" xfId="211"/>
    <cellStyle name="Normal 5" xfId="212"/>
    <cellStyle name="Normal 6" xfId="213"/>
    <cellStyle name="Normal 6 2" xfId="214"/>
    <cellStyle name="Normal 6 3" xfId="215"/>
    <cellStyle name="Normal 6 4" xfId="216"/>
    <cellStyle name="Normal 6 5" xfId="217"/>
    <cellStyle name="Normal 6_0. Investissement" xfId="218"/>
    <cellStyle name="Normal 7" xfId="219"/>
    <cellStyle name="Normal 8" xfId="220"/>
    <cellStyle name="Normal 9" xfId="221"/>
    <cellStyle name="Normal_Copie de CRD_CRC_domaine TER_ergo" xfId="222"/>
    <cellStyle name="Note" xfId="288"/>
    <cellStyle name="Note 2" xfId="224"/>
    <cellStyle name="Note 3" xfId="225"/>
    <cellStyle name="Note 4" xfId="226"/>
    <cellStyle name="Note 5" xfId="227"/>
    <cellStyle name="N䃯rmal_la䇲oux_larou᷸" xfId="228"/>
    <cellStyle name="Output 2" xfId="229"/>
    <cellStyle name="Output 3" xfId="230"/>
    <cellStyle name="Output 4" xfId="231"/>
    <cellStyle name="Output 5" xfId="232"/>
    <cellStyle name="Percent 10" xfId="233"/>
    <cellStyle name="Percent 2" xfId="234"/>
    <cellStyle name="Percent 2 2" xfId="235"/>
    <cellStyle name="Percent 3" xfId="236"/>
    <cellStyle name="Percent 4" xfId="237"/>
    <cellStyle name="Percent 5" xfId="238"/>
    <cellStyle name="Percent 5 2" xfId="239"/>
    <cellStyle name="Percent 5 3" xfId="240"/>
    <cellStyle name="Percent 5 4" xfId="241"/>
    <cellStyle name="Percent 5 5" xfId="242"/>
    <cellStyle name="Percent 6" xfId="243"/>
    <cellStyle name="Percent 7" xfId="244"/>
    <cellStyle name="Percent 8" xfId="245"/>
    <cellStyle name="Percent 9" xfId="246"/>
    <cellStyle name="Pourcentage 2" xfId="247"/>
    <cellStyle name="Pourcentage 3" xfId="248"/>
    <cellStyle name="Satisfaisant" xfId="249" builtinId="26" customBuiltin="1"/>
    <cellStyle name="Sortie" xfId="250" builtinId="21" customBuiltin="1"/>
    <cellStyle name="Texte explicatif" xfId="251" builtinId="53" customBuiltin="1"/>
    <cellStyle name="Title 2" xfId="252"/>
    <cellStyle name="Title 3" xfId="253"/>
    <cellStyle name="Title 4" xfId="254"/>
    <cellStyle name="Title 5" xfId="255"/>
    <cellStyle name="Titre" xfId="256" builtinId="15" customBuiltin="1"/>
    <cellStyle name="Titre colonnes" xfId="257"/>
    <cellStyle name="Titre lignes" xfId="258"/>
    <cellStyle name="Titre 1" xfId="259" builtinId="16" customBuiltin="1"/>
    <cellStyle name="Titre 2" xfId="260" builtinId="17" customBuiltin="1"/>
    <cellStyle name="Titre 3" xfId="261" builtinId="18" customBuiltin="1"/>
    <cellStyle name="Titre 4" xfId="262" builtinId="19" customBuiltin="1"/>
    <cellStyle name="Total" xfId="263" builtinId="25" customBuiltin="1"/>
    <cellStyle name="Total 2" xfId="264"/>
    <cellStyle name="Total 3" xfId="265"/>
    <cellStyle name="Total 4" xfId="266"/>
    <cellStyle name="Total 5" xfId="267"/>
    <cellStyle name="Vérification" xfId="268" builtinId="23" customBuiltin="1"/>
    <cellStyle name="Warning Text 2" xfId="270"/>
    <cellStyle name="Warning Text 3" xfId="271"/>
    <cellStyle name="Warning Text 4" xfId="272"/>
    <cellStyle name="Warning Text 5" xfId="273"/>
  </cellStyles>
  <dxfs count="63"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EAEAEA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DFEEF1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F7072"/>
      <rgbColor rgb="00CCFFCC"/>
      <rgbColor rgb="00FFFF99"/>
      <rgbColor rgb="00D0C2A4"/>
      <rgbColor rgb="00FF99CC"/>
      <rgbColor rgb="007E408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DDDDDD"/>
      <rgbColor rgb="00339966"/>
      <rgbColor rgb="00003300"/>
      <rgbColor rgb="00DDDDDD"/>
      <rgbColor rgb="00993300"/>
      <rgbColor rgb="00993366"/>
      <rgbColor rgb="00333399"/>
      <rgbColor rgb="00333333"/>
    </indexedColors>
    <mruColors>
      <color rgb="FF7F8399"/>
      <color rgb="FFE3E3E3"/>
      <color rgb="FF8F071A"/>
      <color rgb="FFADAFB6"/>
      <color rgb="FFA50021"/>
      <color rgb="FFA86E73"/>
      <color rgb="FF82326E"/>
      <color rgb="FF6F7072"/>
      <color rgb="FFCCFFFF"/>
      <color rgb="FF7E40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PL!$Z$104</c:f>
          <c:strCache>
            <c:ptCount val="1"/>
            <c:pt idx="0">
              <c:v>Coûts externes (Cumulé)</c:v>
            </c:pt>
          </c:strCache>
        </c:strRef>
      </c:tx>
      <c:layout/>
      <c:overlay val="0"/>
      <c:spPr>
        <a:noFill/>
        <a:ln w="25400">
          <a:noFill/>
        </a:ln>
      </c:spPr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38116591928251"/>
          <c:y val="0.14000012428988307"/>
          <c:w val="0.85874439461883412"/>
          <c:h val="0.632727834452977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PL!$Z$105</c:f>
              <c:strCache>
                <c:ptCount val="1"/>
                <c:pt idx="0">
                  <c:v>Réalisé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strRef>
              <c:f>PL!$AB$104:$AG$104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PL!$AB$105:$AG$105</c:f>
              <c:numCache>
                <c:formatCode>#,##0</c:formatCode>
                <c:ptCount val="6"/>
                <c:pt idx="0">
                  <c:v>-634.53551999999991</c:v>
                </c:pt>
                <c:pt idx="1">
                  <c:v>-4052.9516800000001</c:v>
                </c:pt>
                <c:pt idx="2">
                  <c:v>-5829.1310400000038</c:v>
                </c:pt>
                <c:pt idx="3">
                  <c:v>-7768.7781600000008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063-4843-BBDC-015802AAE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01264000"/>
        <c:axId val="157026176"/>
      </c:barChart>
      <c:lineChart>
        <c:grouping val="standard"/>
        <c:varyColors val="0"/>
        <c:ser>
          <c:idx val="2"/>
          <c:order val="1"/>
          <c:tx>
            <c:strRef>
              <c:f>PL!$Z$106</c:f>
              <c:strCache>
                <c:ptCount val="1"/>
                <c:pt idx="0">
                  <c:v>Réalisé</c:v>
                </c:pt>
              </c:strCache>
            </c:strRef>
          </c:tx>
          <c:spPr>
            <a:ln>
              <a:solidFill>
                <a:srgbClr val="FF5353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rgbClr val="FF8080"/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PL!$AB$106:$AG$106</c:f>
              <c:numCache>
                <c:formatCode>#,##0</c:formatCode>
                <c:ptCount val="6"/>
                <c:pt idx="0">
                  <c:v>-906.68861000000004</c:v>
                </c:pt>
                <c:pt idx="1">
                  <c:v>-4163.03971</c:v>
                </c:pt>
                <c:pt idx="2">
                  <c:v>-7650.1073900000029</c:v>
                </c:pt>
                <c:pt idx="3">
                  <c:v>-10099.0515</c:v>
                </c:pt>
                <c:pt idx="4">
                  <c:v>-11758.936460000003</c:v>
                </c:pt>
                <c:pt idx="5">
                  <c:v>-14354.875210000007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063-4843-BBDC-015802AAEE0E}"/>
            </c:ext>
          </c:extLst>
        </c:ser>
        <c:ser>
          <c:idx val="3"/>
          <c:order val="2"/>
          <c:tx>
            <c:strRef>
              <c:f>PL!$Z$107</c:f>
              <c:strCache>
                <c:ptCount val="1"/>
                <c:pt idx="0">
                  <c:v>Budget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PL!$AB$107:$AG$107</c:f>
              <c:numCache>
                <c:formatCode>#,##0</c:formatCode>
                <c:ptCount val="6"/>
                <c:pt idx="0">
                  <c:v>-2654.268</c:v>
                </c:pt>
                <c:pt idx="1">
                  <c:v>-5309.5349999999999</c:v>
                </c:pt>
                <c:pt idx="2">
                  <c:v>-7969.06</c:v>
                </c:pt>
                <c:pt idx="3">
                  <c:v>-10622.009</c:v>
                </c:pt>
                <c:pt idx="4">
                  <c:v>-13275.005000000001</c:v>
                </c:pt>
                <c:pt idx="5">
                  <c:v>-15930.79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063-4843-BBDC-015802AAE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264000"/>
        <c:axId val="157026176"/>
      </c:lineChart>
      <c:catAx>
        <c:axId val="101264000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high"/>
        <c:txPr>
          <a:bodyPr/>
          <a:lstStyle/>
          <a:p>
            <a:pPr>
              <a:defRPr sz="1500"/>
            </a:pPr>
            <a:endParaRPr lang="en-US"/>
          </a:p>
        </c:txPr>
        <c:crossAx val="157026176"/>
        <c:crosses val="autoZero"/>
        <c:auto val="1"/>
        <c:lblAlgn val="ctr"/>
        <c:lblOffset val="100"/>
        <c:noMultiLvlLbl val="0"/>
      </c:catAx>
      <c:valAx>
        <c:axId val="157026176"/>
        <c:scaling>
          <c:orientation val="maxMin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10126400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5695067264573991E-2"/>
          <c:y val="0.92000081676208878"/>
          <c:w val="0.9753363228699552"/>
          <c:h val="4.0000035511395166E-2"/>
        </c:manualLayout>
      </c:layout>
      <c:overlay val="0"/>
      <c:txPr>
        <a:bodyPr/>
        <a:lstStyle/>
        <a:p>
          <a:pPr>
            <a:defRPr sz="15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0"/>
    <c:dispBlanksAs val="gap"/>
    <c:showDLblsOverMax val="0"/>
  </c:chart>
  <c:spPr>
    <a:noFill/>
    <a:ln w="9525">
      <a:noFill/>
    </a:ln>
  </c:spPr>
  <c:printSettings>
    <c:headerFooter alignWithMargins="0"/>
    <c:pageMargins b="0.75000000000000089" l="0.70000000000000062" r="0.70000000000000062" t="0.75000000000000089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PL!$Z$108</c:f>
          <c:strCache>
            <c:ptCount val="1"/>
            <c:pt idx="0">
              <c:v>Frais de personnel et Assimilés (Cumulé)</c:v>
            </c:pt>
          </c:strCache>
        </c:strRef>
      </c:tx>
      <c:layout>
        <c:manualLayout>
          <c:xMode val="edge"/>
          <c:yMode val="edge"/>
          <c:x val="0.14892464850818618"/>
          <c:y val="1.887750410941392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38116591928251"/>
          <c:y val="0.14000012428988307"/>
          <c:w val="0.85874439461883412"/>
          <c:h val="0.632727834452977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PL!$Z$109</c:f>
              <c:strCache>
                <c:ptCount val="1"/>
                <c:pt idx="0">
                  <c:v>Réalisé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strRef>
              <c:f>PL!$AB$104:$AG$104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PL!$AB$109:$AG$109</c:f>
              <c:numCache>
                <c:formatCode>#,##0</c:formatCode>
                <c:ptCount val="6"/>
                <c:pt idx="0">
                  <c:v>-3877.4366200000013</c:v>
                </c:pt>
                <c:pt idx="1">
                  <c:v>-8063.5878500000035</c:v>
                </c:pt>
                <c:pt idx="2">
                  <c:v>-11032.017019999998</c:v>
                </c:pt>
                <c:pt idx="3">
                  <c:v>-14794.784290000001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BB9-4528-BE9F-200A805FE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06242176"/>
        <c:axId val="206244096"/>
      </c:barChart>
      <c:lineChart>
        <c:grouping val="standard"/>
        <c:varyColors val="0"/>
        <c:ser>
          <c:idx val="2"/>
          <c:order val="1"/>
          <c:tx>
            <c:strRef>
              <c:f>PL!$Z$110</c:f>
              <c:strCache>
                <c:ptCount val="1"/>
                <c:pt idx="0">
                  <c:v>Réalisé</c:v>
                </c:pt>
              </c:strCache>
            </c:strRef>
          </c:tx>
          <c:spPr>
            <a:ln>
              <a:solidFill>
                <a:srgbClr val="FF5353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rgbClr val="FF8080"/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PL!$AB$110:$AG$110</c:f>
              <c:numCache>
                <c:formatCode>#,##0</c:formatCode>
                <c:ptCount val="6"/>
                <c:pt idx="0">
                  <c:v>-4005.6622800000009</c:v>
                </c:pt>
                <c:pt idx="1">
                  <c:v>-8611.7969499999981</c:v>
                </c:pt>
                <c:pt idx="2">
                  <c:v>-13775.634769999999</c:v>
                </c:pt>
                <c:pt idx="3">
                  <c:v>-16721.391080000005</c:v>
                </c:pt>
                <c:pt idx="4">
                  <c:v>-21002.963820000001</c:v>
                </c:pt>
                <c:pt idx="5">
                  <c:v>-25967.960660000004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BB9-4528-BE9F-200A805FE955}"/>
            </c:ext>
          </c:extLst>
        </c:ser>
        <c:ser>
          <c:idx val="3"/>
          <c:order val="2"/>
          <c:tx>
            <c:strRef>
              <c:f>PL!$Z$111</c:f>
              <c:strCache>
                <c:ptCount val="1"/>
                <c:pt idx="0">
                  <c:v>Budget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PL!$AB$111:$AG$111</c:f>
              <c:numCache>
                <c:formatCode>#,##0</c:formatCode>
                <c:ptCount val="6"/>
                <c:pt idx="0">
                  <c:v>-4272.8457126894509</c:v>
                </c:pt>
                <c:pt idx="1">
                  <c:v>-8527.6035156735597</c:v>
                </c:pt>
                <c:pt idx="2">
                  <c:v>-12774.413597769772</c:v>
                </c:pt>
                <c:pt idx="3">
                  <c:v>-16990.720835805678</c:v>
                </c:pt>
                <c:pt idx="4">
                  <c:v>-21200.527954752975</c:v>
                </c:pt>
                <c:pt idx="5">
                  <c:v>-25398.330209766864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BB9-4528-BE9F-200A805FE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242176"/>
        <c:axId val="206244096"/>
      </c:lineChart>
      <c:catAx>
        <c:axId val="20624217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high"/>
        <c:txPr>
          <a:bodyPr/>
          <a:lstStyle/>
          <a:p>
            <a:pPr>
              <a:defRPr sz="1500"/>
            </a:pPr>
            <a:endParaRPr lang="en-US"/>
          </a:p>
        </c:txPr>
        <c:crossAx val="206244096"/>
        <c:crosses val="autoZero"/>
        <c:auto val="1"/>
        <c:lblAlgn val="ctr"/>
        <c:lblOffset val="100"/>
        <c:noMultiLvlLbl val="0"/>
      </c:catAx>
      <c:valAx>
        <c:axId val="206244096"/>
        <c:scaling>
          <c:orientation val="maxMin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20624217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5695067264573991E-2"/>
          <c:y val="0.92000081676208878"/>
          <c:w val="0.9753363228699552"/>
          <c:h val="4.0000035511395166E-2"/>
        </c:manualLayout>
      </c:layout>
      <c:overlay val="0"/>
      <c:txPr>
        <a:bodyPr/>
        <a:lstStyle/>
        <a:p>
          <a:pPr>
            <a:defRPr sz="15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0"/>
    <c:dispBlanksAs val="gap"/>
    <c:showDLblsOverMax val="0"/>
  </c:chart>
  <c:spPr>
    <a:noFill/>
    <a:ln w="9525">
      <a:noFill/>
    </a:ln>
  </c:spPr>
  <c:printSettings>
    <c:headerFooter alignWithMargins="0"/>
    <c:pageMargins b="0.75000000000000089" l="0.70000000000000062" r="0.70000000000000062" t="0.75000000000000089" header="0.30000000000000032" footer="0.30000000000000032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PL!$Z$112</c:f>
          <c:strCache>
            <c:ptCount val="1"/>
            <c:pt idx="0">
              <c:v>Frais de déplacement (Cumulé)</c:v>
            </c:pt>
          </c:strCache>
        </c:strRef>
      </c:tx>
      <c:layout/>
      <c:overlay val="0"/>
      <c:spPr>
        <a:noFill/>
        <a:ln w="25400">
          <a:noFill/>
        </a:ln>
      </c:spPr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38116591928251"/>
          <c:y val="0.14000012428988307"/>
          <c:w val="0.85874439461883412"/>
          <c:h val="0.632727834452977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PL!$Z$113</c:f>
              <c:strCache>
                <c:ptCount val="1"/>
                <c:pt idx="0">
                  <c:v>Réalisé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strRef>
              <c:f>PL!$AB$104:$AG$104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PL!$AB$113:$AG$113</c:f>
              <c:numCache>
                <c:formatCode>#,##0</c:formatCode>
                <c:ptCount val="6"/>
                <c:pt idx="0">
                  <c:v>-36.482030000000009</c:v>
                </c:pt>
                <c:pt idx="1">
                  <c:v>-96.78267000000001</c:v>
                </c:pt>
                <c:pt idx="2">
                  <c:v>-168.96348</c:v>
                </c:pt>
                <c:pt idx="3">
                  <c:v>-202.40642000000003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8B0-4F1F-BFE4-EF9561DD6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06340096"/>
        <c:axId val="206342400"/>
      </c:barChart>
      <c:lineChart>
        <c:grouping val="standard"/>
        <c:varyColors val="0"/>
        <c:ser>
          <c:idx val="2"/>
          <c:order val="1"/>
          <c:tx>
            <c:strRef>
              <c:f>PL!$Z$114</c:f>
              <c:strCache>
                <c:ptCount val="1"/>
                <c:pt idx="0">
                  <c:v>Réalisé</c:v>
                </c:pt>
              </c:strCache>
            </c:strRef>
          </c:tx>
          <c:spPr>
            <a:ln>
              <a:solidFill>
                <a:srgbClr val="FF5353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rgbClr val="FF8080"/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PL!$AB$114:$AG$114</c:f>
              <c:numCache>
                <c:formatCode>#,##0</c:formatCode>
                <c:ptCount val="6"/>
                <c:pt idx="0">
                  <c:v>-141.60033999999999</c:v>
                </c:pt>
                <c:pt idx="1">
                  <c:v>-506.60768000000013</c:v>
                </c:pt>
                <c:pt idx="2">
                  <c:v>-462.3768300000001</c:v>
                </c:pt>
                <c:pt idx="3">
                  <c:v>-484.86414999999988</c:v>
                </c:pt>
                <c:pt idx="4">
                  <c:v>-499.48433999999997</c:v>
                </c:pt>
                <c:pt idx="5">
                  <c:v>-543.31457000000012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8B0-4F1F-BFE4-EF9561DD6273}"/>
            </c:ext>
          </c:extLst>
        </c:ser>
        <c:ser>
          <c:idx val="3"/>
          <c:order val="2"/>
          <c:tx>
            <c:strRef>
              <c:f>PL!$Z$115</c:f>
              <c:strCache>
                <c:ptCount val="1"/>
                <c:pt idx="0">
                  <c:v>Budget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PL!$AB$115:$AG$115</c:f>
              <c:numCache>
                <c:formatCode>#,##0</c:formatCode>
                <c:ptCount val="6"/>
                <c:pt idx="0">
                  <c:v>-146.995</c:v>
                </c:pt>
                <c:pt idx="1">
                  <c:v>-293.99</c:v>
                </c:pt>
                <c:pt idx="2">
                  <c:v>-440.98500000000001</c:v>
                </c:pt>
                <c:pt idx="3">
                  <c:v>-587.98</c:v>
                </c:pt>
                <c:pt idx="4">
                  <c:v>-734.97500000000002</c:v>
                </c:pt>
                <c:pt idx="5">
                  <c:v>-881.97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8B0-4F1F-BFE4-EF9561DD6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40096"/>
        <c:axId val="206342400"/>
      </c:lineChart>
      <c:catAx>
        <c:axId val="20634009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high"/>
        <c:txPr>
          <a:bodyPr/>
          <a:lstStyle/>
          <a:p>
            <a:pPr>
              <a:defRPr sz="1500"/>
            </a:pPr>
            <a:endParaRPr lang="en-US"/>
          </a:p>
        </c:txPr>
        <c:crossAx val="206342400"/>
        <c:crosses val="autoZero"/>
        <c:auto val="1"/>
        <c:lblAlgn val="ctr"/>
        <c:lblOffset val="100"/>
        <c:noMultiLvlLbl val="0"/>
      </c:catAx>
      <c:valAx>
        <c:axId val="206342400"/>
        <c:scaling>
          <c:orientation val="maxMin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20634009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5695067264573991E-2"/>
          <c:y val="0.92000081676208878"/>
          <c:w val="0.9753363228699552"/>
          <c:h val="4.0000035511395166E-2"/>
        </c:manualLayout>
      </c:layout>
      <c:overlay val="0"/>
      <c:txPr>
        <a:bodyPr/>
        <a:lstStyle/>
        <a:p>
          <a:pPr>
            <a:defRPr sz="15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0"/>
    <c:dispBlanksAs val="gap"/>
    <c:showDLblsOverMax val="0"/>
  </c:chart>
  <c:spPr>
    <a:noFill/>
    <a:ln w="9525">
      <a:noFill/>
    </a:ln>
  </c:spPr>
  <c:printSettings>
    <c:headerFooter alignWithMargins="0"/>
    <c:pageMargins b="0.75000000000000089" l="0.70000000000000062" r="0.70000000000000062" t="0.75000000000000089" header="0.30000000000000032" footer="0.3000000000000003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PL!$Z$116</c:f>
          <c:strCache>
            <c:ptCount val="1"/>
            <c:pt idx="0">
              <c:v>RESULTAT OPERATIONNEL APRES MF (Cumulé)</c:v>
            </c:pt>
          </c:strCache>
        </c:strRef>
      </c:tx>
      <c:layout>
        <c:manualLayout>
          <c:xMode val="edge"/>
          <c:yMode val="edge"/>
          <c:x val="0.15030490727635842"/>
          <c:y val="1.062801528091015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38116591928251"/>
          <c:y val="0.14000012428988307"/>
          <c:w val="0.73900050483370006"/>
          <c:h val="0.632727834452977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PL!$Z$117</c:f>
              <c:strCache>
                <c:ptCount val="1"/>
                <c:pt idx="0">
                  <c:v>Réalisé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strRef>
              <c:f>PL!$AB$104:$AG$104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PL!$AB$117:$AG$117</c:f>
              <c:numCache>
                <c:formatCode>#,##0</c:formatCode>
                <c:ptCount val="6"/>
                <c:pt idx="0">
                  <c:v>-5137.099000000002</c:v>
                </c:pt>
                <c:pt idx="1">
                  <c:v>-145.56840999999818</c:v>
                </c:pt>
                <c:pt idx="2">
                  <c:v>-961.0055600000004</c:v>
                </c:pt>
                <c:pt idx="3">
                  <c:v>-763.75832999999204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E33-47EE-AA6B-73EE7FF0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09821696"/>
        <c:axId val="209823616"/>
      </c:barChart>
      <c:lineChart>
        <c:grouping val="standard"/>
        <c:varyColors val="0"/>
        <c:ser>
          <c:idx val="2"/>
          <c:order val="1"/>
          <c:tx>
            <c:strRef>
              <c:f>PL!$Z$118</c:f>
              <c:strCache>
                <c:ptCount val="1"/>
                <c:pt idx="0">
                  <c:v>Réalisé</c:v>
                </c:pt>
              </c:strCache>
            </c:strRef>
          </c:tx>
          <c:spPr>
            <a:ln>
              <a:solidFill>
                <a:srgbClr val="FF5353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rgbClr val="FF8080"/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PL!$AB$118:$AG$118</c:f>
              <c:numCache>
                <c:formatCode>#,##0</c:formatCode>
                <c:ptCount val="6"/>
                <c:pt idx="0">
                  <c:v>-5549.9345100000019</c:v>
                </c:pt>
                <c:pt idx="1">
                  <c:v>-1009.6295999999974</c:v>
                </c:pt>
                <c:pt idx="2">
                  <c:v>-4273.333270000001</c:v>
                </c:pt>
                <c:pt idx="3">
                  <c:v>-3535.4252400000023</c:v>
                </c:pt>
                <c:pt idx="4">
                  <c:v>-3225.2735700000035</c:v>
                </c:pt>
                <c:pt idx="5">
                  <c:v>-4410.7250199999944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E33-47EE-AA6B-73EE7FF05559}"/>
            </c:ext>
          </c:extLst>
        </c:ser>
        <c:ser>
          <c:idx val="3"/>
          <c:order val="2"/>
          <c:tx>
            <c:strRef>
              <c:f>PL!$Z$119</c:f>
              <c:strCache>
                <c:ptCount val="1"/>
                <c:pt idx="0">
                  <c:v>Budget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val>
            <c:numRef>
              <c:f>PL!$AB$119:$AG$119</c:f>
              <c:numCache>
                <c:formatCode>#,##0</c:formatCode>
                <c:ptCount val="6"/>
                <c:pt idx="0">
                  <c:v>-1043.804712689451</c:v>
                </c:pt>
                <c:pt idx="1">
                  <c:v>-2073.5285156735572</c:v>
                </c:pt>
                <c:pt idx="2">
                  <c:v>-3087.7715977697708</c:v>
                </c:pt>
                <c:pt idx="3">
                  <c:v>-4075.5878358056771</c:v>
                </c:pt>
                <c:pt idx="4">
                  <c:v>-5052.4939547529739</c:v>
                </c:pt>
                <c:pt idx="5">
                  <c:v>-6020.1452097668653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E33-47EE-AA6B-73EE7FF0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821696"/>
        <c:axId val="209823616"/>
      </c:lineChart>
      <c:catAx>
        <c:axId val="20982169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high"/>
        <c:txPr>
          <a:bodyPr/>
          <a:lstStyle/>
          <a:p>
            <a:pPr>
              <a:defRPr sz="1500"/>
            </a:pPr>
            <a:endParaRPr lang="en-US"/>
          </a:p>
        </c:txPr>
        <c:crossAx val="209823616"/>
        <c:crosses val="autoZero"/>
        <c:auto val="1"/>
        <c:lblAlgn val="ctr"/>
        <c:lblOffset val="100"/>
        <c:noMultiLvlLbl val="0"/>
      </c:catAx>
      <c:valAx>
        <c:axId val="209823616"/>
        <c:scaling>
          <c:orientation val="maxMin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20982169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5695067264573991E-2"/>
          <c:y val="0.92000081676208878"/>
          <c:w val="0.9753363228699552"/>
          <c:h val="4.0000035511395166E-2"/>
        </c:manualLayout>
      </c:layout>
      <c:overlay val="0"/>
      <c:txPr>
        <a:bodyPr/>
        <a:lstStyle/>
        <a:p>
          <a:pPr>
            <a:defRPr sz="15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0"/>
    <c:dispBlanksAs val="gap"/>
    <c:showDLblsOverMax val="0"/>
  </c:chart>
  <c:spPr>
    <a:noFill/>
    <a:ln w="9525">
      <a:noFill/>
    </a:ln>
  </c:spPr>
  <c:printSettings>
    <c:headerFooter alignWithMargins="0"/>
    <c:pageMargins b="0.75000000000000089" l="0.70000000000000062" r="0.70000000000000062" t="0.75000000000000089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Relationship Id="rId6" Type="http://schemas.openxmlformats.org/officeDocument/2006/relationships/image" Target="../media/image3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85725</xdr:colOff>
      <xdr:row>8</xdr:row>
      <xdr:rowOff>68024</xdr:rowOff>
    </xdr:from>
    <xdr:to>
      <xdr:col>22</xdr:col>
      <xdr:colOff>884275</xdr:colOff>
      <xdr:row>12</xdr:row>
      <xdr:rowOff>46580</xdr:rowOff>
    </xdr:to>
    <xdr:pic>
      <xdr:nvPicPr>
        <xdr:cNvPr id="6" name="Picture 6" descr="http://www.iconlib.info/original/Misc_icon_kfilereplace_2700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lum contrast="-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67832" y="394595"/>
          <a:ext cx="798550" cy="7826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181842</xdr:colOff>
      <xdr:row>104</xdr:row>
      <xdr:rowOff>166996</xdr:rowOff>
    </xdr:from>
    <xdr:to>
      <xdr:col>5</xdr:col>
      <xdr:colOff>1125682</xdr:colOff>
      <xdr:row>128</xdr:row>
      <xdr:rowOff>51955</xdr:rowOff>
    </xdr:to>
    <xdr:graphicFrame macro="">
      <xdr:nvGraphicFramePr>
        <xdr:cNvPr id="16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300178</xdr:colOff>
      <xdr:row>104</xdr:row>
      <xdr:rowOff>147204</xdr:rowOff>
    </xdr:from>
    <xdr:to>
      <xdr:col>10</xdr:col>
      <xdr:colOff>112567</xdr:colOff>
      <xdr:row>128</xdr:row>
      <xdr:rowOff>24740</xdr:rowOff>
    </xdr:to>
    <xdr:graphicFrame macro="">
      <xdr:nvGraphicFramePr>
        <xdr:cNvPr id="2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11</xdr:col>
      <xdr:colOff>779813</xdr:colOff>
      <xdr:row>104</xdr:row>
      <xdr:rowOff>126174</xdr:rowOff>
    </xdr:from>
    <xdr:to>
      <xdr:col>16</xdr:col>
      <xdr:colOff>646955</xdr:colOff>
      <xdr:row>127</xdr:row>
      <xdr:rowOff>181841</xdr:rowOff>
    </xdr:to>
    <xdr:graphicFrame macro="">
      <xdr:nvGraphicFramePr>
        <xdr:cNvPr id="26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16</xdr:col>
      <xdr:colOff>1171451</xdr:colOff>
      <xdr:row>104</xdr:row>
      <xdr:rowOff>43296</xdr:rowOff>
    </xdr:from>
    <xdr:to>
      <xdr:col>21</xdr:col>
      <xdr:colOff>1060119</xdr:colOff>
      <xdr:row>127</xdr:row>
      <xdr:rowOff>108859</xdr:rowOff>
    </xdr:to>
    <xdr:graphicFrame macro="">
      <xdr:nvGraphicFramePr>
        <xdr:cNvPr id="27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20</xdr:row>
          <xdr:rowOff>238125</xdr:rowOff>
        </xdr:from>
        <xdr:to>
          <xdr:col>6</xdr:col>
          <xdr:colOff>571500</xdr:colOff>
          <xdr:row>22</xdr:row>
          <xdr:rowOff>247650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 editAs="oneCell">
    <xdr:from>
      <xdr:col>3</xdr:col>
      <xdr:colOff>217715</xdr:colOff>
      <xdr:row>8</xdr:row>
      <xdr:rowOff>119991</xdr:rowOff>
    </xdr:from>
    <xdr:to>
      <xdr:col>4</xdr:col>
      <xdr:colOff>1895104</xdr:colOff>
      <xdr:row>11</xdr:row>
      <xdr:rowOff>181797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715" y="446562"/>
          <a:ext cx="1922318" cy="65804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0"/>
  </sheetPr>
  <dimension ref="A1:F29"/>
  <sheetViews>
    <sheetView workbookViewId="0">
      <selection activeCell="B4" sqref="B4"/>
    </sheetView>
  </sheetViews>
  <sheetFormatPr baseColWidth="10" defaultColWidth="9.140625" defaultRowHeight="12.75" x14ac:dyDescent="0.2"/>
  <cols>
    <col min="1" max="1" width="38.28515625" style="17" bestFit="1" customWidth="1"/>
    <col min="2" max="2" width="23.140625" style="17" bestFit="1" customWidth="1"/>
    <col min="3" max="3" width="9.140625" style="17"/>
    <col min="4" max="4" width="27.7109375" style="17" hidden="1" customWidth="1"/>
    <col min="5" max="5" width="15.140625" style="17" bestFit="1" customWidth="1"/>
    <col min="6" max="16384" width="9.140625" style="17"/>
  </cols>
  <sheetData>
    <row r="1" spans="1:6" ht="18" x14ac:dyDescent="0.25">
      <c r="A1" s="15" t="s">
        <v>158</v>
      </c>
      <c r="B1" s="16"/>
    </row>
    <row r="2" spans="1:6" x14ac:dyDescent="0.2">
      <c r="A2" s="16" t="s">
        <v>159</v>
      </c>
      <c r="B2" s="16"/>
    </row>
    <row r="3" spans="1:6" ht="15.75" x14ac:dyDescent="0.25">
      <c r="A3" s="18" t="s">
        <v>160</v>
      </c>
      <c r="B3" s="16"/>
    </row>
    <row r="4" spans="1:6" x14ac:dyDescent="0.2">
      <c r="A4" s="19" t="s">
        <v>161</v>
      </c>
      <c r="B4" s="20" t="s">
        <v>157</v>
      </c>
    </row>
    <row r="5" spans="1:6" x14ac:dyDescent="0.2">
      <c r="A5" s="19" t="s">
        <v>162</v>
      </c>
      <c r="B5" s="21" t="str">
        <f>LEFT(Server,LEN(Server)-1)</f>
        <v>tango_core_model</v>
      </c>
    </row>
    <row r="6" spans="1:6" x14ac:dyDescent="0.2">
      <c r="A6" s="19" t="s">
        <v>163</v>
      </c>
      <c r="B6" s="21" t="str">
        <f ca="1">xHost</f>
        <v>FRSAPP021269</v>
      </c>
    </row>
    <row r="7" spans="1:6" x14ac:dyDescent="0.2">
      <c r="A7" s="19" t="s">
        <v>164</v>
      </c>
      <c r="B7" s="21">
        <v>0</v>
      </c>
    </row>
    <row r="8" spans="1:6" x14ac:dyDescent="0.2">
      <c r="A8" s="19" t="s">
        <v>165</v>
      </c>
      <c r="B8" s="21">
        <v>0</v>
      </c>
    </row>
    <row r="9" spans="1:6" x14ac:dyDescent="0.2">
      <c r="A9" s="17" t="s">
        <v>166</v>
      </c>
    </row>
    <row r="10" spans="1:6" ht="15.75" x14ac:dyDescent="0.25">
      <c r="A10" s="18" t="s">
        <v>167</v>
      </c>
    </row>
    <row r="11" spans="1:6" ht="13.5" customHeight="1" x14ac:dyDescent="0.2">
      <c r="A11" s="19" t="s">
        <v>168</v>
      </c>
      <c r="B11" s="21" t="s">
        <v>72</v>
      </c>
    </row>
    <row r="12" spans="1:6" ht="13.5" customHeight="1" x14ac:dyDescent="0.2">
      <c r="A12" s="19" t="s">
        <v>169</v>
      </c>
      <c r="B12" s="21" t="s">
        <v>73</v>
      </c>
      <c r="C12" s="95" t="s">
        <v>74</v>
      </c>
      <c r="D12" s="95" t="s">
        <v>75</v>
      </c>
      <c r="E12" s="95" t="s">
        <v>75</v>
      </c>
      <c r="F12" s="95" t="s">
        <v>76</v>
      </c>
    </row>
    <row r="13" spans="1:6" x14ac:dyDescent="0.2">
      <c r="A13" s="19" t="s">
        <v>4</v>
      </c>
      <c r="B13" s="21" t="str">
        <f ca="1">_xll.DBR(Server&amp;"z_Admin_Param","MONTH_CORPORATE","STR_VAR1")</f>
        <v>2021.10</v>
      </c>
      <c r="C13" s="94" t="str">
        <f ca="1">RIGHT($B$13,2)</f>
        <v>10</v>
      </c>
      <c r="D13" s="96">
        <f ca="1">IF($C$13="01","1",$C$13-1)</f>
        <v>9</v>
      </c>
      <c r="E13" s="17" t="str">
        <f ca="1">IF(OR($D$13= 10,$D$13= 11,$D$13= 12),$D$13,"0"&amp;D13)</f>
        <v>09</v>
      </c>
      <c r="F13" s="17" t="str">
        <f ca="1">$B$13&amp;"_YTD"</f>
        <v>2021.10_YTD</v>
      </c>
    </row>
    <row r="14" spans="1:6" x14ac:dyDescent="0.2">
      <c r="A14" s="19" t="s">
        <v>11</v>
      </c>
      <c r="B14" s="21" t="str">
        <f ca="1">_xll.DBR(Server&amp;"z_Admin_Param","BUDGET_VERSION_BUDGET_FORECAST","STR_VAR1")</f>
        <v>VC</v>
      </c>
    </row>
    <row r="15" spans="1:6" x14ac:dyDescent="0.2">
      <c r="A15" s="19" t="s">
        <v>71</v>
      </c>
      <c r="B15" s="21" t="str">
        <f ca="1">_xll.DBR(Server&amp;"z_Admin_Param","FORECAST_VERSION_CORPORATE","STR_VAR1")</f>
        <v>Forecast2</v>
      </c>
    </row>
    <row r="16" spans="1:6" x14ac:dyDescent="0.2">
      <c r="A16" s="19" t="s">
        <v>2</v>
      </c>
      <c r="B16" s="22" t="str">
        <f ca="1">_xll.DBR(Server&amp;"z_Client_Properties","Language",_xll.TM1USER(xServer))</f>
        <v>French</v>
      </c>
      <c r="C16" s="17" t="str">
        <f ca="1">IF(LocalLanguage="French","Français",LocalLanguage)</f>
        <v>Français</v>
      </c>
    </row>
    <row r="17" spans="1:6" x14ac:dyDescent="0.2">
      <c r="A17" s="218" t="s">
        <v>19</v>
      </c>
      <c r="B17" s="51" t="s">
        <v>1</v>
      </c>
    </row>
    <row r="18" spans="1:6" x14ac:dyDescent="0.2">
      <c r="A18" s="218"/>
      <c r="B18" s="51" t="s">
        <v>67</v>
      </c>
    </row>
    <row r="19" spans="1:6" x14ac:dyDescent="0.2">
      <c r="A19" s="218"/>
      <c r="B19" s="51" t="s">
        <v>6</v>
      </c>
    </row>
    <row r="20" spans="1:6" x14ac:dyDescent="0.2">
      <c r="A20" s="218"/>
      <c r="B20" s="51" t="s">
        <v>7</v>
      </c>
    </row>
    <row r="21" spans="1:6" x14ac:dyDescent="0.2">
      <c r="A21" s="218"/>
      <c r="B21" s="51" t="s">
        <v>8</v>
      </c>
    </row>
    <row r="22" spans="1:6" x14ac:dyDescent="0.2">
      <c r="A22" s="218" t="s">
        <v>20</v>
      </c>
      <c r="B22" s="51" t="s">
        <v>16</v>
      </c>
    </row>
    <row r="23" spans="1:6" x14ac:dyDescent="0.2">
      <c r="A23" s="218"/>
      <c r="B23" s="51" t="s">
        <v>17</v>
      </c>
    </row>
    <row r="24" spans="1:6" x14ac:dyDescent="0.2">
      <c r="A24" s="218"/>
      <c r="B24" s="51" t="s">
        <v>18</v>
      </c>
    </row>
    <row r="26" spans="1:6" ht="15.75" x14ac:dyDescent="0.25">
      <c r="A26" s="18" t="s">
        <v>12</v>
      </c>
      <c r="F26" s="17" t="s">
        <v>3</v>
      </c>
    </row>
    <row r="27" spans="1:6" ht="13.5" customHeight="1" x14ac:dyDescent="0.25">
      <c r="A27" s="17" t="s">
        <v>13</v>
      </c>
      <c r="B27" s="47"/>
    </row>
    <row r="28" spans="1:6" x14ac:dyDescent="0.2">
      <c r="A28" s="17" t="s">
        <v>14</v>
      </c>
      <c r="B28" s="49"/>
    </row>
    <row r="29" spans="1:6" x14ac:dyDescent="0.2">
      <c r="A29" s="17" t="s">
        <v>15</v>
      </c>
      <c r="B29" s="50"/>
    </row>
  </sheetData>
  <sheetProtection sheet="1" objects="1" scenarios="1" formatColumns="0" formatRows="0"/>
  <mergeCells count="2">
    <mergeCell ref="A17:A21"/>
    <mergeCell ref="A22:A24"/>
  </mergeCells>
  <phoneticPr fontId="55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  <pageSetUpPr fitToPage="1"/>
  </sheetPr>
  <dimension ref="A1:AW207"/>
  <sheetViews>
    <sheetView showGridLines="0" tabSelected="1" topLeftCell="D8" zoomScale="55" zoomScaleNormal="55" zoomScaleSheetLayoutView="70" workbookViewId="0">
      <selection activeCell="F18" sqref="F18"/>
    </sheetView>
  </sheetViews>
  <sheetFormatPr baseColWidth="10" defaultColWidth="11.42578125" defaultRowHeight="12.75" outlineLevelRow="1" outlineLevelCol="1" x14ac:dyDescent="0.2"/>
  <cols>
    <col min="1" max="1" width="24.85546875" style="23" hidden="1" customWidth="1"/>
    <col min="2" max="2" width="28.7109375" style="23" hidden="1" customWidth="1"/>
    <col min="3" max="3" width="36.5703125" style="23" hidden="1" customWidth="1"/>
    <col min="4" max="4" width="3.7109375" style="23" customWidth="1"/>
    <col min="5" max="5" width="37.7109375" style="2" customWidth="1"/>
    <col min="6" max="6" width="24.7109375" style="2" customWidth="1"/>
    <col min="7" max="7" width="16.7109375" style="2" customWidth="1"/>
    <col min="8" max="8" width="3.28515625" style="1" customWidth="1"/>
    <col min="9" max="9" width="19.85546875" style="1" customWidth="1"/>
    <col min="10" max="10" width="19.85546875" style="1" customWidth="1" outlineLevel="1"/>
    <col min="11" max="12" width="19.5703125" style="1" customWidth="1"/>
    <col min="13" max="13" width="0.85546875" style="3" customWidth="1"/>
    <col min="14" max="14" width="19.5703125" style="3" customWidth="1"/>
    <col min="15" max="15" width="13.5703125" style="3" customWidth="1"/>
    <col min="16" max="16" width="6.85546875" style="3" bestFit="1" customWidth="1"/>
    <col min="17" max="17" width="19.85546875" style="3" customWidth="1"/>
    <col min="18" max="18" width="3.42578125" style="23" customWidth="1"/>
    <col min="19" max="19" width="16.5703125" style="52" customWidth="1"/>
    <col min="20" max="20" width="0.7109375" style="52" customWidth="1"/>
    <col min="21" max="22" width="19" style="52" customWidth="1"/>
    <col min="23" max="23" width="14.5703125" style="23" customWidth="1"/>
    <col min="24" max="24" width="9" style="23" customWidth="1"/>
    <col min="25" max="25" width="9" style="23" hidden="1" customWidth="1"/>
    <col min="26" max="26" width="71" style="23" hidden="1" customWidth="1"/>
    <col min="27" max="27" width="29.42578125" style="23" hidden="1" customWidth="1"/>
    <col min="28" max="33" width="16.7109375" style="23" hidden="1" customWidth="1"/>
    <col min="34" max="34" width="14.42578125" style="23" hidden="1" customWidth="1"/>
    <col min="35" max="35" width="16.28515625" style="23" customWidth="1"/>
    <col min="36" max="36" width="16.7109375" style="23" customWidth="1"/>
    <col min="37" max="37" width="43.7109375" style="23" customWidth="1"/>
    <col min="38" max="38" width="10.140625" style="23" customWidth="1"/>
    <col min="39" max="39" width="6.5703125" style="23" customWidth="1"/>
    <col min="40" max="40" width="6.140625" style="23" customWidth="1"/>
    <col min="41" max="41" width="6.5703125" style="23" customWidth="1"/>
    <col min="42" max="48" width="6.5703125" style="1" customWidth="1"/>
    <col min="49" max="50" width="6.42578125" style="1" customWidth="1"/>
    <col min="51" max="52" width="11.42578125" style="1" customWidth="1"/>
    <col min="53" max="16384" width="11.42578125" style="1"/>
  </cols>
  <sheetData>
    <row r="1" spans="1:41" ht="16.5" hidden="1" thickBot="1" x14ac:dyDescent="0.3">
      <c r="E1" s="170" t="s">
        <v>155</v>
      </c>
      <c r="F1" s="47" t="s">
        <v>152</v>
      </c>
      <c r="G1" s="24" t="s">
        <v>0</v>
      </c>
      <c r="H1" s="25"/>
      <c r="I1" s="48" t="s">
        <v>78</v>
      </c>
      <c r="J1" s="48" t="s">
        <v>77</v>
      </c>
      <c r="K1" s="48" t="str">
        <f ca="1">IF($H$5=$AD$24,"BUDG_TOT",IF($H$5=$AD$25,"FC_1_TOT","FC_2_TOT"))</f>
        <v>FC_2_TOT</v>
      </c>
      <c r="L1" s="48" t="s">
        <v>78</v>
      </c>
      <c r="M1" s="52"/>
      <c r="O1" s="52"/>
      <c r="P1" s="244" t="s">
        <v>153</v>
      </c>
      <c r="Q1" s="245"/>
      <c r="R1" s="246"/>
      <c r="S1" s="216"/>
      <c r="T1" s="216"/>
      <c r="U1" s="216"/>
      <c r="V1" s="216"/>
    </row>
    <row r="2" spans="1:41" ht="16.5" hidden="1" thickBot="1" x14ac:dyDescent="0.3">
      <c r="E2" s="52" t="str">
        <f ca="1">_xll.SUBNM(Server&amp;"z_translate_report","",F24,"")</f>
        <v>Forecast_2</v>
      </c>
      <c r="F2" s="57"/>
      <c r="G2" s="46" t="s">
        <v>52</v>
      </c>
      <c r="H2" s="97" t="str">
        <f ca="1">_xll.SUBNM(Server&amp;"Period","",$F$18,"")</f>
        <v>2021.04_YTD</v>
      </c>
      <c r="I2" s="205"/>
      <c r="J2" s="205"/>
      <c r="K2" s="205" t="str">
        <f ca="1">LEFT(H2,4)</f>
        <v>2021</v>
      </c>
      <c r="L2" s="205"/>
      <c r="M2" s="52"/>
      <c r="O2" s="52"/>
      <c r="P2" s="139" t="str">
        <f ca="1">IF($H$5=$AD$24,"BUDG_TOT",IF($H$5=$AD$25,"FC_1_TOT","FC_2_TOT"))</f>
        <v>FC_2_TOT</v>
      </c>
      <c r="Q2" s="137"/>
      <c r="R2" s="138"/>
      <c r="S2" s="213"/>
      <c r="T2" s="213"/>
      <c r="U2" s="213"/>
      <c r="V2" s="213"/>
    </row>
    <row r="3" spans="1:41" ht="15.75" hidden="1" x14ac:dyDescent="0.25">
      <c r="A3" s="52"/>
      <c r="B3" s="52"/>
      <c r="C3" s="52"/>
      <c r="D3" s="52"/>
      <c r="E3" s="52"/>
      <c r="F3" s="57"/>
      <c r="G3" s="46" t="s">
        <v>179</v>
      </c>
      <c r="H3" s="97" t="str">
        <f ca="1">_xll.DBRA(Server&amp;$G$2,$H$2,"Prior Year")</f>
        <v>2020.04_YTD</v>
      </c>
      <c r="I3" s="205"/>
      <c r="J3" s="205"/>
      <c r="K3" s="205"/>
      <c r="L3" s="205"/>
      <c r="M3" s="52"/>
      <c r="O3" s="52"/>
      <c r="P3" s="212"/>
      <c r="Q3" s="213"/>
      <c r="R3" s="213"/>
      <c r="S3" s="213"/>
      <c r="T3" s="213"/>
      <c r="U3" s="213"/>
      <c r="V3" s="213"/>
      <c r="W3" s="52"/>
      <c r="X3" s="52"/>
      <c r="Y3" s="52"/>
      <c r="Z3" s="52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M3" s="52"/>
      <c r="AN3" s="52"/>
      <c r="AO3" s="52"/>
    </row>
    <row r="4" spans="1:41" hidden="1" x14ac:dyDescent="0.2">
      <c r="C4" s="52"/>
      <c r="E4" s="52"/>
      <c r="F4" s="52"/>
      <c r="G4" s="145" t="s">
        <v>154</v>
      </c>
      <c r="H4" s="97" t="s">
        <v>133</v>
      </c>
      <c r="I4" s="59"/>
      <c r="J4" s="59"/>
      <c r="K4" s="52"/>
      <c r="L4" s="52"/>
      <c r="M4" s="52"/>
      <c r="N4" s="52"/>
      <c r="O4" s="52"/>
      <c r="P4" s="52"/>
      <c r="Q4" s="52"/>
    </row>
    <row r="5" spans="1:41" hidden="1" x14ac:dyDescent="0.2">
      <c r="C5" s="52"/>
      <c r="D5" s="25"/>
      <c r="E5" s="25"/>
      <c r="G5" s="147" t="s">
        <v>155</v>
      </c>
      <c r="H5" s="25" t="str">
        <f ca="1">_xll.SUBNM(Server&amp;"z_translate_report","",F24,"")</f>
        <v>Forecast_2</v>
      </c>
      <c r="K5" s="25"/>
      <c r="L5" s="25"/>
      <c r="M5" s="25"/>
      <c r="N5" s="25"/>
      <c r="O5" s="25"/>
      <c r="P5" s="25"/>
      <c r="Q5" s="25"/>
    </row>
    <row r="6" spans="1:41" ht="13.5" hidden="1" thickBot="1" x14ac:dyDescent="0.25">
      <c r="B6" s="52"/>
      <c r="C6" s="52"/>
      <c r="D6" s="25"/>
      <c r="E6" s="26"/>
      <c r="F6" s="14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</row>
    <row r="7" spans="1:41" hidden="1" x14ac:dyDescent="0.2">
      <c r="B7" s="52"/>
      <c r="C7" s="52"/>
      <c r="D7" s="107"/>
      <c r="E7" s="25"/>
      <c r="F7" s="25"/>
      <c r="G7" s="52"/>
      <c r="H7" s="25"/>
      <c r="I7" s="52"/>
      <c r="J7" s="52"/>
      <c r="K7" s="25"/>
      <c r="L7" s="52"/>
      <c r="M7" s="52"/>
      <c r="N7" s="52"/>
      <c r="O7" s="52"/>
      <c r="P7" s="52"/>
      <c r="Q7" s="52"/>
    </row>
    <row r="8" spans="1:41" x14ac:dyDescent="0.2">
      <c r="B8" s="52"/>
      <c r="C8" s="109"/>
      <c r="D8" s="25"/>
      <c r="E8" s="25"/>
      <c r="F8" s="25"/>
      <c r="G8" s="52"/>
      <c r="H8" s="25"/>
      <c r="I8" s="52"/>
      <c r="J8" s="52"/>
      <c r="K8" s="25"/>
      <c r="L8" s="52"/>
      <c r="M8" s="52"/>
      <c r="N8" s="52"/>
      <c r="O8" s="52"/>
      <c r="P8" s="52"/>
      <c r="Q8" s="52"/>
      <c r="AG8" s="52"/>
      <c r="AH8" s="52"/>
      <c r="AI8" s="52"/>
      <c r="AJ8" s="52"/>
      <c r="AK8" s="52"/>
    </row>
    <row r="9" spans="1:41" ht="13.5" thickBot="1" x14ac:dyDescent="0.25">
      <c r="B9" s="52"/>
      <c r="C9" s="109"/>
      <c r="D9" s="25"/>
      <c r="G9" s="28"/>
      <c r="AF9" s="52"/>
      <c r="AG9" s="52"/>
      <c r="AH9" s="52"/>
      <c r="AI9" s="52"/>
      <c r="AJ9" s="52"/>
      <c r="AK9" s="52"/>
    </row>
    <row r="10" spans="1:41" ht="16.5" thickBot="1" x14ac:dyDescent="0.3">
      <c r="B10" s="52"/>
      <c r="C10" s="109"/>
      <c r="D10" s="25"/>
      <c r="E10" s="219" t="str">
        <f ca="1">_xll.DBRA(Server&amp;$AD$12,AD27,$AD$11)</f>
        <v>Compte de résultat Corporate (suivi du réalisé)</v>
      </c>
      <c r="F10" s="219"/>
      <c r="G10" s="219"/>
      <c r="H10" s="219"/>
      <c r="I10" s="219"/>
      <c r="J10" s="219"/>
      <c r="K10" s="219"/>
      <c r="L10" s="219"/>
      <c r="M10" s="219"/>
      <c r="N10" s="219"/>
      <c r="O10" s="219"/>
      <c r="P10" s="219"/>
      <c r="Q10" s="219"/>
      <c r="R10" s="219"/>
      <c r="S10" s="219"/>
      <c r="T10" s="219"/>
      <c r="U10" s="219"/>
      <c r="V10" s="219"/>
      <c r="AD10" s="91" t="s">
        <v>66</v>
      </c>
      <c r="AF10" s="52"/>
      <c r="AG10" s="52"/>
      <c r="AH10" s="52"/>
      <c r="AI10" s="52"/>
      <c r="AJ10" s="52"/>
      <c r="AK10" s="52"/>
    </row>
    <row r="11" spans="1:41" ht="16.5" thickBot="1" x14ac:dyDescent="0.3">
      <c r="A11" s="52"/>
      <c r="B11" s="52"/>
      <c r="C11" s="109"/>
      <c r="D11" s="25"/>
      <c r="E11" s="219"/>
      <c r="F11" s="219"/>
      <c r="G11" s="219"/>
      <c r="H11" s="219"/>
      <c r="I11" s="219"/>
      <c r="J11" s="219"/>
      <c r="K11" s="219"/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AD11" s="92" t="str">
        <f>IF($F$16="Français","French","English")</f>
        <v>French</v>
      </c>
      <c r="AE11" s="90" t="s">
        <v>58</v>
      </c>
      <c r="AF11" s="52"/>
      <c r="AG11" s="52"/>
      <c r="AH11" s="52"/>
      <c r="AI11" s="52"/>
      <c r="AJ11" s="52"/>
      <c r="AK11" s="52"/>
    </row>
    <row r="12" spans="1:41" ht="16.5" thickBot="1" x14ac:dyDescent="0.3">
      <c r="A12" s="52"/>
      <c r="B12" s="52"/>
      <c r="C12" s="109"/>
      <c r="D12" s="25"/>
      <c r="E12" s="1"/>
      <c r="F12" s="1"/>
      <c r="G12" s="28"/>
      <c r="H12" s="28"/>
      <c r="I12" s="29"/>
      <c r="J12" s="29"/>
      <c r="K12" s="29"/>
      <c r="L12" s="29"/>
      <c r="M12" s="29"/>
      <c r="N12" s="29"/>
      <c r="O12" s="29"/>
      <c r="P12" s="29"/>
      <c r="Q12" s="29"/>
      <c r="AD12" s="69" t="s">
        <v>29</v>
      </c>
      <c r="AE12" s="79" t="s">
        <v>0</v>
      </c>
      <c r="AF12" s="52"/>
      <c r="AG12" s="52"/>
      <c r="AH12" s="52"/>
      <c r="AI12" s="52"/>
      <c r="AJ12" s="52"/>
      <c r="AK12" s="52"/>
    </row>
    <row r="13" spans="1:41" ht="24" thickBot="1" x14ac:dyDescent="0.25">
      <c r="A13" s="52"/>
      <c r="B13" s="52"/>
      <c r="C13" s="109"/>
      <c r="D13" s="25"/>
      <c r="E13" s="191" t="str">
        <f ca="1">_xll.DBRA(Server&amp;$AD$12,AD13,$AD$11)</f>
        <v>Sélection du contexte</v>
      </c>
      <c r="F13" s="133"/>
      <c r="H13" s="28"/>
      <c r="I13" s="29"/>
      <c r="J13" s="29"/>
      <c r="K13" s="29"/>
      <c r="L13" s="29"/>
      <c r="M13" s="29"/>
      <c r="N13" s="29"/>
      <c r="O13" s="29"/>
      <c r="P13" s="29"/>
      <c r="Q13" s="29"/>
      <c r="AD13" s="70" t="s">
        <v>25</v>
      </c>
      <c r="AE13" s="108" t="str">
        <f ca="1">_xll.DBRA(Server&amp;$AD$12,AD24,$AD$11)</f>
        <v>Budget</v>
      </c>
      <c r="AF13" s="52"/>
      <c r="AG13" s="52"/>
      <c r="AH13" s="52"/>
      <c r="AI13" s="52"/>
      <c r="AJ13" s="52"/>
      <c r="AK13" s="52"/>
    </row>
    <row r="14" spans="1:41" ht="18.75" hidden="1" outlineLevel="1" x14ac:dyDescent="0.2">
      <c r="A14" s="52"/>
      <c r="B14" s="52"/>
      <c r="C14" s="109"/>
      <c r="D14" s="25"/>
      <c r="E14" s="30" t="str">
        <f ca="1">_xll.DBRA(Server&amp;$AD$12,AD14,$AD$11)</f>
        <v>Gaap</v>
      </c>
      <c r="F14" s="60" t="str">
        <f ca="1">_xll.SUBNM(Server&amp;"GAAP","Corp_FR","Local_Gaap",$AD$11)</f>
        <v>Gaap local</v>
      </c>
      <c r="H14" s="28"/>
      <c r="I14" s="29"/>
      <c r="J14" s="29"/>
      <c r="K14" s="29"/>
      <c r="L14" s="29"/>
      <c r="M14" s="29"/>
      <c r="N14" s="29"/>
      <c r="O14" s="29"/>
      <c r="P14" s="29"/>
      <c r="Q14" s="29"/>
      <c r="R14" s="52"/>
      <c r="W14" s="52"/>
      <c r="X14" s="52"/>
      <c r="Y14" s="52"/>
      <c r="Z14" s="52"/>
      <c r="AA14" s="52"/>
      <c r="AB14" s="52"/>
      <c r="AC14" s="52"/>
      <c r="AD14" s="72" t="s">
        <v>10</v>
      </c>
      <c r="AE14" s="109" t="str">
        <f ca="1">_xll.DBRA(Server&amp;$AD$12,AD25,$AD$11)</f>
        <v>Estimé 1</v>
      </c>
      <c r="AF14" s="52"/>
      <c r="AG14" s="52"/>
      <c r="AH14" s="52"/>
      <c r="AI14" s="52"/>
      <c r="AJ14" s="52"/>
      <c r="AK14" s="52"/>
      <c r="AL14" s="52"/>
      <c r="AM14" s="52"/>
      <c r="AN14" s="52"/>
      <c r="AO14" s="52"/>
    </row>
    <row r="15" spans="1:41" ht="18.75" hidden="1" outlineLevel="1" x14ac:dyDescent="0.2">
      <c r="A15" s="52"/>
      <c r="B15" s="52"/>
      <c r="C15" s="109"/>
      <c r="D15" s="25"/>
      <c r="E15" s="30" t="str">
        <f ca="1">_xll.DBRA(Server&amp;$AD$12,AD15,$AD$11)</f>
        <v>Taux d'intégration</v>
      </c>
      <c r="F15" s="60" t="str">
        <f ca="1">_xll.SUBNM(Server&amp;"Integration_Rate","Corp_FR","NO_APP",$AD$11)</f>
        <v>Données de liasse (Tx d'intégration No-APP)</v>
      </c>
      <c r="H15" s="28"/>
      <c r="I15" s="29"/>
      <c r="J15" s="29"/>
      <c r="K15" s="29"/>
      <c r="L15" s="29"/>
      <c r="M15" s="29"/>
      <c r="N15" s="29"/>
      <c r="O15" s="29"/>
      <c r="P15" s="29"/>
      <c r="Q15" s="29"/>
      <c r="R15" s="52"/>
      <c r="W15" s="52"/>
      <c r="X15" s="52"/>
      <c r="Y15" s="52"/>
      <c r="Z15" s="52"/>
      <c r="AA15" s="52"/>
      <c r="AB15" s="52"/>
      <c r="AC15" s="52"/>
      <c r="AD15" s="72" t="s">
        <v>30</v>
      </c>
      <c r="AE15" s="109" t="str">
        <f ca="1">_xll.DBRA(Server&amp;$AD$12,AD26,$AD$11)</f>
        <v>Estimé 2</v>
      </c>
      <c r="AF15" s="52"/>
      <c r="AG15" s="52"/>
      <c r="AH15" s="52"/>
      <c r="AI15" s="52"/>
      <c r="AJ15" s="52"/>
      <c r="AK15" s="52"/>
      <c r="AL15" s="52"/>
      <c r="AM15" s="52"/>
      <c r="AN15" s="52"/>
      <c r="AO15" s="52"/>
    </row>
    <row r="16" spans="1:41" ht="18.75" hidden="1" outlineLevel="1" x14ac:dyDescent="0.2">
      <c r="A16" s="52"/>
      <c r="B16" s="52"/>
      <c r="C16" s="109"/>
      <c r="D16" s="25"/>
      <c r="E16" s="30" t="str">
        <f ca="1">_xll.DBRA(Server&amp;$AD$12,AD16,$AD$11)</f>
        <v>Langue</v>
      </c>
      <c r="F16" s="61" t="s">
        <v>67</v>
      </c>
      <c r="H16" s="28"/>
      <c r="I16" s="29"/>
      <c r="J16" s="29"/>
      <c r="K16" s="29"/>
      <c r="L16" s="29"/>
      <c r="M16" s="29"/>
      <c r="N16" s="29"/>
      <c r="O16" s="29"/>
      <c r="P16" s="29"/>
      <c r="Q16" s="29"/>
      <c r="R16" s="52"/>
      <c r="W16" s="52"/>
      <c r="X16" s="52"/>
      <c r="Y16" s="52"/>
      <c r="Z16" s="52"/>
      <c r="AA16" s="52"/>
      <c r="AB16" s="52"/>
      <c r="AC16" s="52"/>
      <c r="AD16" s="66" t="s">
        <v>31</v>
      </c>
      <c r="AE16" s="109"/>
      <c r="AF16" s="52"/>
      <c r="AG16" s="52"/>
      <c r="AH16" s="52"/>
      <c r="AI16" s="52"/>
      <c r="AJ16" s="52"/>
      <c r="AK16" s="52"/>
      <c r="AL16" s="52"/>
      <c r="AM16" s="52"/>
      <c r="AN16" s="52"/>
      <c r="AO16" s="52"/>
    </row>
    <row r="17" spans="1:49" ht="19.5" hidden="1" outlineLevel="1" thickBot="1" x14ac:dyDescent="0.25">
      <c r="A17" s="52"/>
      <c r="B17" s="52"/>
      <c r="C17" s="109"/>
      <c r="D17" s="25"/>
      <c r="E17" s="30" t="str">
        <f ca="1">_xll.DBRA(Server&amp;$AD$12,AD17,$AD$11)</f>
        <v>Organisation légale</v>
      </c>
      <c r="F17" s="60" t="str">
        <f ca="1">_xll.SUBNM(Server&amp;"Legal_Organization_Corp","Corp_FR",_xll.DBR(Server&amp;"z_Client_Properties","Default_Legal_Organization_Corp",_xll.TM1USER(xServer)),$F$16)</f>
        <v>TRANSDEV All</v>
      </c>
      <c r="H17" s="28"/>
      <c r="I17" s="29"/>
      <c r="J17" s="29"/>
      <c r="K17" s="29"/>
      <c r="L17" s="29"/>
      <c r="M17" s="29"/>
      <c r="N17" s="29"/>
      <c r="O17" s="29"/>
      <c r="P17" s="29"/>
      <c r="Q17" s="29"/>
      <c r="R17" s="52"/>
      <c r="W17" s="52"/>
      <c r="X17" s="52"/>
      <c r="Y17" s="52"/>
      <c r="Z17" s="52"/>
      <c r="AA17" s="52"/>
      <c r="AB17" s="52"/>
      <c r="AC17" s="52"/>
      <c r="AD17" s="72" t="s">
        <v>27</v>
      </c>
      <c r="AE17" s="1"/>
      <c r="AF17" s="52"/>
      <c r="AG17" s="52"/>
      <c r="AH17" s="52"/>
      <c r="AI17" s="52"/>
      <c r="AJ17" s="52"/>
      <c r="AK17" s="52"/>
      <c r="AL17" s="52"/>
      <c r="AM17" s="52"/>
      <c r="AN17" s="52"/>
      <c r="AO17" s="52"/>
    </row>
    <row r="18" spans="1:49" ht="18.75" collapsed="1" x14ac:dyDescent="0.25">
      <c r="A18" s="25"/>
      <c r="B18" s="140" t="s">
        <v>136</v>
      </c>
      <c r="C18" s="109" t="s">
        <v>137</v>
      </c>
      <c r="D18" s="25"/>
      <c r="E18" s="71" t="str">
        <f ca="1">_xll.DBRA(Server&amp;$AD$12,AD18,$AD$11)</f>
        <v>Période</v>
      </c>
      <c r="F18" s="204" t="str">
        <f ca="1">_xll.SUBNM(Server&amp;"Period","",ActualMonthYTD,"French")</f>
        <v>Cumul Octobre 2021</v>
      </c>
      <c r="H18" s="28"/>
      <c r="M18" s="29"/>
      <c r="N18" s="29"/>
      <c r="O18" s="29"/>
      <c r="P18" s="29"/>
      <c r="Q18" s="29"/>
      <c r="AD18" s="64" t="s">
        <v>52</v>
      </c>
      <c r="AE18" s="109"/>
      <c r="AF18" s="52"/>
      <c r="AG18" s="52"/>
      <c r="AH18" s="52"/>
      <c r="AI18" s="52"/>
      <c r="AJ18" s="52"/>
      <c r="AK18" s="52"/>
    </row>
    <row r="19" spans="1:49" ht="26.25" x14ac:dyDescent="0.25">
      <c r="A19" s="52"/>
      <c r="B19" s="140" t="s">
        <v>135</v>
      </c>
      <c r="C19" s="109" t="s">
        <v>138</v>
      </c>
      <c r="D19" s="25"/>
      <c r="E19" s="30" t="str">
        <f ca="1">_xll.DBRA(Server&amp;$AD$12,$AD$19,$AD$11)</f>
        <v>Organisation managériale</v>
      </c>
      <c r="F19" s="61" t="str">
        <f ca="1">_xll.SUBNM(Server&amp;"Management_Organization_Corp","","VTD","Français")</f>
        <v>Transdev Group</v>
      </c>
      <c r="H19" s="28"/>
      <c r="I19" s="224" t="str">
        <f ca="1">_xll.DBRA(Server&amp;$AD$12,AD34,$AD$11)</f>
        <v>A date</v>
      </c>
      <c r="J19" s="224"/>
      <c r="K19" s="224"/>
      <c r="L19" s="224"/>
      <c r="M19" s="224"/>
      <c r="N19" s="224"/>
      <c r="O19" s="224"/>
      <c r="P19" s="224"/>
      <c r="Q19" s="224"/>
      <c r="S19" s="224" t="s">
        <v>184</v>
      </c>
      <c r="T19" s="224"/>
      <c r="U19" s="224"/>
      <c r="V19" s="224"/>
      <c r="AD19" s="72" t="s">
        <v>26</v>
      </c>
      <c r="AE19" s="109"/>
      <c r="AF19" s="52"/>
      <c r="AG19" s="80"/>
      <c r="AH19" s="52"/>
      <c r="AI19" s="52"/>
      <c r="AJ19" s="52"/>
      <c r="AK19" s="52"/>
    </row>
    <row r="20" spans="1:49" ht="18.75" x14ac:dyDescent="0.2">
      <c r="A20" s="52"/>
      <c r="B20" s="52"/>
      <c r="C20" s="109"/>
      <c r="D20" s="25"/>
      <c r="E20" s="30" t="str">
        <f ca="1">_xll.DBRA(Server&amp;$AD$12,AD20,$AD$11)</f>
        <v>Projets</v>
      </c>
      <c r="F20" s="60" t="str">
        <f ca="1">_xll.SUBNM(Server&amp;"Projets","Corp_FR","Tot_proj",$F$16)</f>
        <v>Total Projets</v>
      </c>
      <c r="H20" s="28"/>
      <c r="M20" s="29"/>
      <c r="N20" s="29"/>
      <c r="O20" s="29"/>
      <c r="P20" s="29"/>
      <c r="Q20" s="29"/>
      <c r="R20" s="52"/>
      <c r="W20" s="52"/>
      <c r="X20" s="52"/>
      <c r="Y20" s="52"/>
      <c r="Z20" s="52"/>
      <c r="AA20" s="52"/>
      <c r="AB20" s="52"/>
      <c r="AC20" s="52"/>
      <c r="AD20" s="93" t="s">
        <v>68</v>
      </c>
      <c r="AE20" s="109"/>
      <c r="AF20" s="52"/>
      <c r="AG20" s="80"/>
      <c r="AH20" s="52"/>
      <c r="AI20" s="52"/>
      <c r="AJ20" s="52"/>
      <c r="AK20" s="81"/>
      <c r="AL20" s="52"/>
      <c r="AM20" s="52"/>
      <c r="AN20" s="52"/>
      <c r="AO20" s="52"/>
    </row>
    <row r="21" spans="1:49" ht="18.75" x14ac:dyDescent="0.2">
      <c r="A21" s="52"/>
      <c r="B21" s="52"/>
      <c r="C21" s="109"/>
      <c r="D21" s="25"/>
      <c r="E21" s="30" t="str">
        <f ca="1">_xll.DBRA(Server&amp;$AD$12,AD21,$AD$11)</f>
        <v>Devise</v>
      </c>
      <c r="F21" s="60" t="str">
        <f ca="1">_xll.SUBNM(Server&amp;"Currency","Corp_FR","KEUR",$AD$11)</f>
        <v>K€</v>
      </c>
      <c r="H21" s="28"/>
      <c r="I21" s="224" t="str">
        <f ca="1">$F$18</f>
        <v>2021.04_YTD</v>
      </c>
      <c r="J21" s="224"/>
      <c r="K21" s="224"/>
      <c r="L21" s="224"/>
      <c r="M21" s="29"/>
      <c r="N21" s="224" t="str">
        <f ca="1">_xll.DBRA(Server&amp;$AD$12,AD29,$AD$11)</f>
        <v>Variances</v>
      </c>
      <c r="O21" s="224"/>
      <c r="P21" s="224"/>
      <c r="Q21" s="224"/>
      <c r="R21" s="52"/>
      <c r="S21" s="224" t="str">
        <f ca="1">K2</f>
        <v>2021</v>
      </c>
      <c r="U21" s="224" t="s">
        <v>185</v>
      </c>
      <c r="V21" s="224"/>
      <c r="W21" s="52"/>
      <c r="X21" s="52"/>
      <c r="Y21" s="52"/>
      <c r="Z21" s="52"/>
      <c r="AA21" s="52"/>
      <c r="AB21" s="52"/>
      <c r="AC21" s="52"/>
      <c r="AD21" s="72" t="s">
        <v>9</v>
      </c>
      <c r="AE21" s="109"/>
      <c r="AF21" s="52"/>
      <c r="AG21" s="80"/>
      <c r="AH21" s="52"/>
      <c r="AI21" s="52"/>
      <c r="AJ21" s="52"/>
      <c r="AK21" s="52" t="str">
        <f>RIGHT(AH6)</f>
        <v/>
      </c>
      <c r="AL21" s="52"/>
      <c r="AM21" s="52"/>
      <c r="AN21" s="52"/>
      <c r="AO21" s="52"/>
    </row>
    <row r="22" spans="1:49" ht="27" thickBot="1" x14ac:dyDescent="0.25">
      <c r="B22" s="52"/>
      <c r="C22" s="109"/>
      <c r="D22" s="25"/>
      <c r="E22" s="1"/>
      <c r="F22" s="1"/>
      <c r="I22" s="225"/>
      <c r="J22" s="225"/>
      <c r="K22" s="225"/>
      <c r="L22" s="225"/>
      <c r="M22" s="31"/>
      <c r="N22" s="225"/>
      <c r="O22" s="225"/>
      <c r="P22" s="225"/>
      <c r="Q22" s="225"/>
      <c r="S22" s="225"/>
      <c r="U22" s="225"/>
      <c r="V22" s="225"/>
      <c r="AD22" s="1"/>
      <c r="AE22" s="109"/>
      <c r="AF22" s="52"/>
      <c r="AG22" s="80"/>
      <c r="AH22" s="52"/>
      <c r="AI22" s="52"/>
      <c r="AJ22" s="52"/>
      <c r="AK22" s="52"/>
    </row>
    <row r="23" spans="1:49" ht="25.5" customHeight="1" thickTop="1" x14ac:dyDescent="0.2">
      <c r="B23" s="52"/>
      <c r="C23" s="110"/>
      <c r="D23" s="25"/>
      <c r="E23" s="32"/>
      <c r="F23" s="32"/>
      <c r="H23" s="5"/>
      <c r="I23" s="221" t="str">
        <f ca="1">_xll.DBRA(Server&amp;$AD$12,$AD$61,$AD$11)</f>
        <v>Réalisé N-1</v>
      </c>
      <c r="J23" s="221" t="str">
        <f ca="1">_xll.DBRA(Server&amp;$G$1,$J$1,$AD$11)</f>
        <v>Budget</v>
      </c>
      <c r="K23" s="221" t="str">
        <f ca="1">_xll.DBRA(Server&amp;$G$1,$K$1,$AD$11)</f>
        <v>Estimé 2</v>
      </c>
      <c r="L23" s="221" t="str">
        <f ca="1">_xll.DBRA(Server&amp;$G$1,$L$1,$AD$11)</f>
        <v>Réalisé</v>
      </c>
      <c r="M23" s="33"/>
      <c r="N23" s="220" t="str">
        <f ca="1">$L$23&amp;" / "&amp;$K$23</f>
        <v>Réalisé / Estimé 2</v>
      </c>
      <c r="O23" s="221"/>
      <c r="P23" s="226"/>
      <c r="Q23" s="220" t="str">
        <f ca="1">$L$23&amp;" / "&amp;$I$23</f>
        <v>Réalisé / Réalisé N-1</v>
      </c>
      <c r="S23" s="228" t="str">
        <f ca="1">_xll.DBRA(Server&amp;$G$1,$K$1,$AD$11)</f>
        <v>Estimé 2</v>
      </c>
      <c r="T23" s="217"/>
      <c r="U23" s="220" t="s">
        <v>185</v>
      </c>
      <c r="V23" s="221" t="s">
        <v>186</v>
      </c>
      <c r="AD23" s="64" t="s">
        <v>0</v>
      </c>
      <c r="AE23" s="109"/>
      <c r="AF23" s="52"/>
      <c r="AG23" s="80"/>
      <c r="AH23" s="52"/>
      <c r="AI23" s="52"/>
      <c r="AJ23" s="52"/>
      <c r="AK23" s="52"/>
      <c r="AP23" s="6"/>
      <c r="AQ23" s="6"/>
      <c r="AR23" s="6"/>
      <c r="AS23" s="6"/>
      <c r="AT23" s="6"/>
      <c r="AU23" s="6"/>
      <c r="AV23" s="6"/>
      <c r="AW23" s="6"/>
    </row>
    <row r="24" spans="1:49" s="7" customFormat="1" ht="25.5" customHeight="1" thickBot="1" x14ac:dyDescent="0.25">
      <c r="A24" s="23"/>
      <c r="B24" s="52"/>
      <c r="C24" s="111"/>
      <c r="D24" s="1"/>
      <c r="E24" s="30" t="str">
        <f ca="1">_xll.DBRA(Server&amp;$AD$12,$AD$23,$AD$11)</f>
        <v>Phase</v>
      </c>
      <c r="F24" s="61" t="s">
        <v>187</v>
      </c>
      <c r="H24" s="34"/>
      <c r="I24" s="223"/>
      <c r="J24" s="223"/>
      <c r="K24" s="223"/>
      <c r="L24" s="223"/>
      <c r="M24" s="35"/>
      <c r="N24" s="222"/>
      <c r="O24" s="223"/>
      <c r="P24" s="227"/>
      <c r="Q24" s="222"/>
      <c r="R24" s="23"/>
      <c r="S24" s="229"/>
      <c r="T24" s="217"/>
      <c r="U24" s="222"/>
      <c r="V24" s="223"/>
      <c r="W24" s="23"/>
      <c r="X24" s="23"/>
      <c r="Y24" s="23"/>
      <c r="Z24" s="23"/>
      <c r="AA24" s="23"/>
      <c r="AB24" s="23"/>
      <c r="AC24" s="23"/>
      <c r="AD24" s="65" t="s">
        <v>53</v>
      </c>
      <c r="AE24" s="82"/>
      <c r="AF24" s="52"/>
      <c r="AG24" s="83"/>
      <c r="AK24" s="52"/>
      <c r="AL24" s="23"/>
      <c r="AM24" s="23"/>
      <c r="AN24" s="23"/>
      <c r="AO24" s="23"/>
    </row>
    <row r="25" spans="1:49" s="7" customFormat="1" ht="18.75" x14ac:dyDescent="0.25">
      <c r="A25" s="23"/>
      <c r="B25" s="52"/>
      <c r="C25" s="112" t="s">
        <v>82</v>
      </c>
      <c r="D25" s="1"/>
      <c r="G25" s="36"/>
      <c r="H25" s="37"/>
      <c r="I25" s="38"/>
      <c r="J25" s="38"/>
      <c r="K25" s="38"/>
      <c r="L25" s="38"/>
      <c r="M25" s="35"/>
      <c r="N25" s="35"/>
      <c r="O25" s="35"/>
      <c r="P25" s="35"/>
      <c r="Q25" s="35"/>
      <c r="R25" s="23"/>
      <c r="S25" s="52"/>
      <c r="T25" s="52"/>
      <c r="U25" s="52"/>
      <c r="V25" s="52"/>
      <c r="W25" s="23"/>
      <c r="X25" s="23"/>
      <c r="Y25" s="23"/>
      <c r="Z25" s="23"/>
      <c r="AA25" s="23"/>
      <c r="AB25" s="23"/>
      <c r="AC25" s="23"/>
      <c r="AD25" s="65" t="s">
        <v>54</v>
      </c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</row>
    <row r="26" spans="1:49" s="9" customFormat="1" ht="24" thickBot="1" x14ac:dyDescent="0.4">
      <c r="A26" s="23"/>
      <c r="B26" s="52"/>
      <c r="C26" s="206" t="s">
        <v>175</v>
      </c>
      <c r="D26" s="1"/>
      <c r="E26" s="230" t="str">
        <f ca="1">_xll.DBRA(Server&amp;$C$25,$C26,$F$16)</f>
        <v>PRODUITS OPERATIONNELS</v>
      </c>
      <c r="F26" s="230"/>
      <c r="G26" s="230"/>
      <c r="H26" s="39"/>
      <c r="I26" s="186">
        <f ca="1">_xll.DBRW(Server&amp;Cube1,$F$21,$F$14,$F$15,$F$20,$C$18,$F$17,$F$19,$C$19,$H$3,I$1,$C26)</f>
        <v>5793.2398400000002</v>
      </c>
      <c r="J26" s="186">
        <f ca="1">_xll.DBRW(Server&amp;Cube1,$F$21,$F$14,$F$15,$F$20,$C$18,$F$17,$F$19,$C$19,$H$2,J$23,$C26)</f>
        <v>5578.6109999999999</v>
      </c>
      <c r="K26" s="186">
        <f ca="1">_xll.DBRW(Server&amp;Cube1,$F$21,$F$14,$F$15,$F$20,$C$18,$F$17,$F$19,$C$19,$H$2,K$23,$C26)</f>
        <v>5336.400810000001</v>
      </c>
      <c r="L26" s="187">
        <f ca="1">_xll.DBRW(Server&amp;Cube1,$F$21,$F$14,$F$15,$F$20,$C$18,$F$17,$F$19,$C$19,$H$2,L$1,$C26)</f>
        <v>5628.2557899999993</v>
      </c>
      <c r="M26" s="188"/>
      <c r="N26" s="185">
        <f t="shared" ref="N26:N31" ca="1" si="0">L26-K26</f>
        <v>291.85497999999825</v>
      </c>
      <c r="O26" s="189">
        <f t="shared" ref="O26:O31" ca="1" si="1">IF(K26=0,0,IF(K26&lt;0,N26/-K26,N26/K26))</f>
        <v>5.4691352915823839E-2</v>
      </c>
      <c r="P26" s="202" t="str">
        <f t="shared" ref="P26:P31" ca="1" si="2">IF(O26&gt;0.01,$AF$27,IF(O26&lt;-0.01,$AG$27,$AH$27))</f>
        <v>ì</v>
      </c>
      <c r="Q26" s="185">
        <f t="shared" ref="Q26:Q31" ca="1" si="3">L26-I26</f>
        <v>-164.98405000000093</v>
      </c>
      <c r="R26" s="23"/>
      <c r="S26" s="185">
        <f ca="1">_xll.DBRW(Server&amp;Cube1,$F$21,$F$14,$F$15,$F$20,$C$18,$F$17,$F$19,$C$19,$K$2,K$1,$C26)</f>
        <v>16160.405322746114</v>
      </c>
      <c r="T26" s="52"/>
      <c r="U26" s="185">
        <f ca="1">S26-L26</f>
        <v>10532.149532746114</v>
      </c>
      <c r="V26" s="189">
        <f ca="1">IF(S26=0,0,U26/S26)</f>
        <v>0.65172558004605807</v>
      </c>
      <c r="W26" s="23"/>
      <c r="X26" s="23"/>
      <c r="Y26" s="23"/>
      <c r="Z26" s="23"/>
      <c r="AA26" s="23"/>
      <c r="AB26" s="23"/>
      <c r="AC26" s="23"/>
      <c r="AD26" s="65" t="s">
        <v>55</v>
      </c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</row>
    <row r="27" spans="1:49" s="9" customFormat="1" ht="24" thickBot="1" x14ac:dyDescent="0.4">
      <c r="A27" s="23"/>
      <c r="B27" s="52"/>
      <c r="C27" s="114" t="s">
        <v>181</v>
      </c>
      <c r="D27" s="1"/>
      <c r="E27" s="231" t="str">
        <f ca="1">_xll.DBRA(Server&amp;$C$25,$C27,$F$16)</f>
        <v>Ventes de services</v>
      </c>
      <c r="F27" s="231"/>
      <c r="G27" s="231"/>
      <c r="H27" s="39"/>
      <c r="I27" s="172">
        <f ca="1">_xll.DBRW(Server&amp;Cube1,$F$21,$F$14,$F$15,$F$20,$C$18,$F$17,$F$19,$C$19,$H$3,I$1,$C27)</f>
        <v>-2.5997500000000002</v>
      </c>
      <c r="J27" s="172">
        <f ca="1">_xll.DBRW(Server&amp;Cube1,$F$21,$F$14,$F$15,$F$20,$C$18,$F$17,$F$19,$C$19,$H$2,J$1,$C27)</f>
        <v>0</v>
      </c>
      <c r="K27" s="172">
        <f ca="1">_xll.DBRW(Server&amp;Cube1,$F$21,$F$14,$F$15,$F$20,$C$18,$F$17,$F$19,$C$19,$H$2,K$1,$C27)</f>
        <v>4.1959399999999993</v>
      </c>
      <c r="L27" s="173">
        <f ca="1">_xll.DBRW(Server&amp;Cube1,$F$21,$F$14,$F$15,$F$20,$C$18,$F$17,$F$19,$C$19,$H$2,L$1,$C27)</f>
        <v>275.19594000000001</v>
      </c>
      <c r="M27" s="150"/>
      <c r="N27" s="177">
        <f t="shared" ca="1" si="0"/>
        <v>271</v>
      </c>
      <c r="O27" s="162">
        <f t="shared" ca="1" si="1"/>
        <v>64.586242891938412</v>
      </c>
      <c r="P27" s="180" t="str">
        <f t="shared" ca="1" si="2"/>
        <v>ì</v>
      </c>
      <c r="Q27" s="177">
        <f t="shared" ca="1" si="3"/>
        <v>277.79569000000004</v>
      </c>
      <c r="R27" s="23"/>
      <c r="S27" s="177">
        <f ca="1">_xll.DBRW(Server&amp;Cube1,$F$21,$F$14,$F$15,$F$20,$C$18,$F$17,$F$19,$C$19,$K$2,K$1,$C27)</f>
        <v>43.991030000000002</v>
      </c>
      <c r="T27" s="52"/>
      <c r="U27" s="177">
        <f t="shared" ref="U27:U28" ca="1" si="4">S27-L27</f>
        <v>-231.20491000000001</v>
      </c>
      <c r="V27" s="162">
        <f t="shared" ref="V27:V28" ca="1" si="5">IF(S27=0,0,U27/S27)</f>
        <v>-5.2557284973777607</v>
      </c>
      <c r="W27" s="23"/>
      <c r="X27" s="23"/>
      <c r="Y27" s="23"/>
      <c r="Z27" s="23"/>
      <c r="AA27" s="23"/>
      <c r="AB27" s="23"/>
      <c r="AC27" s="23"/>
      <c r="AD27" s="64" t="s">
        <v>139</v>
      </c>
      <c r="AE27" s="23"/>
      <c r="AF27" s="84" t="s">
        <v>60</v>
      </c>
      <c r="AG27" s="84" t="s">
        <v>61</v>
      </c>
      <c r="AH27" s="84" t="s">
        <v>62</v>
      </c>
      <c r="AI27" s="23"/>
      <c r="AJ27" s="23"/>
      <c r="AK27" s="23"/>
      <c r="AL27" s="23"/>
      <c r="AM27" s="23"/>
      <c r="AN27" s="23"/>
      <c r="AO27" s="23"/>
    </row>
    <row r="28" spans="1:49" s="9" customFormat="1" ht="24" thickBot="1" x14ac:dyDescent="0.4">
      <c r="A28" s="52"/>
      <c r="B28" s="52"/>
      <c r="C28" s="114" t="s">
        <v>182</v>
      </c>
      <c r="D28" s="1"/>
      <c r="E28" s="231" t="str">
        <f ca="1">_xll.DBRA(Server&amp;$C$25,$C28,$F$16)</f>
        <v>Subventions d'exploitation</v>
      </c>
      <c r="F28" s="231"/>
      <c r="G28" s="231"/>
      <c r="H28" s="39"/>
      <c r="I28" s="172">
        <f ca="1">_xll.DBRW(Server&amp;Cube1,$F$21,$F$14,$F$15,$F$20,$C$18,$F$17,$F$19,$C$19,$H$3,I$1,$C28)</f>
        <v>0</v>
      </c>
      <c r="J28" s="172">
        <f ca="1">_xll.DBRW(Server&amp;Cube1,$F$21,$F$14,$F$15,$F$20,$C$18,$F$17,$F$19,$C$19,$H$2,J$1,$C28)</f>
        <v>766.66800000000001</v>
      </c>
      <c r="K28" s="172">
        <f ca="1">_xll.DBRW(Server&amp;Cube1,$F$21,$F$14,$F$15,$F$20,$C$18,$F$17,$F$19,$C$19,$H$2,K$1,$C28)</f>
        <v>2.2999999998137355E-4</v>
      </c>
      <c r="L28" s="173">
        <f ca="1">_xll.DBRW(Server&amp;Cube1,$F$21,$F$14,$F$15,$F$20,$C$18,$F$17,$F$19,$C$19,$H$2,L$1,$C28)</f>
        <v>2.2999999998137355E-4</v>
      </c>
      <c r="M28" s="150"/>
      <c r="N28" s="177">
        <f t="shared" ca="1" si="0"/>
        <v>0</v>
      </c>
      <c r="O28" s="162">
        <f t="shared" ca="1" si="1"/>
        <v>0</v>
      </c>
      <c r="P28" s="180" t="str">
        <f t="shared" ca="1" si="2"/>
        <v>è</v>
      </c>
      <c r="Q28" s="177">
        <f t="shared" ca="1" si="3"/>
        <v>2.2999999998137355E-4</v>
      </c>
      <c r="R28" s="52"/>
      <c r="S28" s="177">
        <f ca="1">_xll.DBRW(Server&amp;Cube1,$F$21,$F$14,$F$15,$F$20,$C$18,$F$17,$F$19,$C$19,$K$2,K$1,$C28)</f>
        <v>525</v>
      </c>
      <c r="T28" s="52"/>
      <c r="U28" s="177">
        <f t="shared" ca="1" si="4"/>
        <v>524.99977000000001</v>
      </c>
      <c r="V28" s="162">
        <f t="shared" ca="1" si="5"/>
        <v>0.99999956190476191</v>
      </c>
      <c r="W28" s="52"/>
      <c r="X28" s="52"/>
      <c r="Y28" s="52"/>
      <c r="Z28" s="52"/>
      <c r="AA28" s="52"/>
      <c r="AB28" s="52"/>
      <c r="AC28" s="52"/>
      <c r="AD28" s="66"/>
      <c r="AE28" s="52"/>
      <c r="AF28" s="214"/>
      <c r="AG28" s="214"/>
      <c r="AH28" s="214"/>
      <c r="AI28" s="52"/>
      <c r="AJ28" s="52"/>
      <c r="AK28" s="52"/>
      <c r="AL28" s="52"/>
      <c r="AM28" s="52"/>
      <c r="AN28" s="52"/>
      <c r="AO28" s="52"/>
    </row>
    <row r="29" spans="1:49" s="9" customFormat="1" ht="24" thickBot="1" x14ac:dyDescent="0.4">
      <c r="A29" s="23"/>
      <c r="B29" s="52"/>
      <c r="C29" s="113" t="s">
        <v>170</v>
      </c>
      <c r="D29" s="1"/>
      <c r="E29" s="231" t="str">
        <f ca="1">_xll.DBRA(Server&amp;$C$25,$C29,$F$16)</f>
        <v>Facturation PMAD</v>
      </c>
      <c r="F29" s="231"/>
      <c r="G29" s="231"/>
      <c r="H29" s="39"/>
      <c r="I29" s="172">
        <f ca="1">_xll.DBRW(Server&amp;Cube1,$F$21,$F$14,$F$15,$F$20,$C$18,$F$17,$F$19,$C$19,$H$3,I$1,$C29)</f>
        <v>2120.0266299999998</v>
      </c>
      <c r="J29" s="172">
        <f ca="1">_xll.DBRW(Server&amp;Cube1,$F$21,$F$14,$F$15,$F$20,$C$18,$F$17,$F$19,$C$19,$H$2,J$1,$C29)</f>
        <v>2282.326</v>
      </c>
      <c r="K29" s="172">
        <f ca="1">_xll.DBRW(Server&amp;Cube1,$F$21,$F$14,$F$15,$F$20,$C$18,$F$17,$F$19,$C$19,$H$2,K$1,$C29)</f>
        <v>2212.1130800000001</v>
      </c>
      <c r="L29" s="173">
        <f ca="1">_xll.DBRW(Server&amp;Cube1,$F$21,$F$14,$F$15,$F$20,$C$18,$F$17,$F$19,$C$19,$H$2,L$1,$C29)</f>
        <v>2212.1130800000001</v>
      </c>
      <c r="M29" s="150"/>
      <c r="N29" s="177">
        <f t="shared" ca="1" si="0"/>
        <v>0</v>
      </c>
      <c r="O29" s="162">
        <f t="shared" ca="1" si="1"/>
        <v>0</v>
      </c>
      <c r="P29" s="180" t="str">
        <f t="shared" ca="1" si="2"/>
        <v>è</v>
      </c>
      <c r="Q29" s="177">
        <f t="shared" ca="1" si="3"/>
        <v>92.086450000000241</v>
      </c>
      <c r="R29" s="23"/>
      <c r="S29" s="177">
        <f ca="1">_xll.DBRW(Server&amp;Cube1,$F$21,$F$14,$F$15,$F$20,$C$18,$F$17,$F$19,$C$19,$K$2,K$1,$C29)</f>
        <v>6047.5688027461119</v>
      </c>
      <c r="T29" s="52"/>
      <c r="U29" s="177">
        <f ca="1">S29-L29</f>
        <v>3835.4557227461119</v>
      </c>
      <c r="V29" s="162">
        <f ca="1">IF(S29=0,0,U29/S29)</f>
        <v>0.63421448318281026</v>
      </c>
      <c r="W29" s="23"/>
      <c r="X29" s="23"/>
      <c r="Y29" s="23"/>
      <c r="Z29" s="23"/>
      <c r="AA29" s="23"/>
      <c r="AB29" s="23"/>
      <c r="AC29" s="23"/>
      <c r="AD29" s="67" t="s">
        <v>28</v>
      </c>
      <c r="AE29" s="23"/>
      <c r="AF29" s="237" t="s">
        <v>59</v>
      </c>
      <c r="AG29" s="238"/>
      <c r="AH29" s="239"/>
      <c r="AI29" s="23"/>
      <c r="AJ29" s="23"/>
      <c r="AK29" s="23"/>
      <c r="AL29" s="23"/>
      <c r="AM29" s="23"/>
      <c r="AN29" s="23"/>
      <c r="AO29" s="23"/>
    </row>
    <row r="30" spans="1:49" s="9" customFormat="1" ht="24" thickBot="1" x14ac:dyDescent="0.4">
      <c r="A30" s="52"/>
      <c r="B30" s="52"/>
      <c r="C30" s="113" t="s">
        <v>171</v>
      </c>
      <c r="D30" s="1"/>
      <c r="E30" s="231" t="str">
        <f ca="1">_xll.DBRA(Server&amp;$C$25,$C30,$F$16)</f>
        <v>Prestations de service intra-groupe (hors PMAD)</v>
      </c>
      <c r="F30" s="231"/>
      <c r="G30" s="231"/>
      <c r="H30" s="39"/>
      <c r="I30" s="172">
        <f ca="1">_xll.DBRW(Server&amp;Cube1,$F$21,$F$14,$F$15,$F$20,$C$18,$F$17,$F$19,$C$19,$H$3,I$1,$C30)</f>
        <v>2199.7281000000003</v>
      </c>
      <c r="J30" s="172">
        <f ca="1">_xll.DBRW(Server&amp;Cube1,$F$21,$F$14,$F$15,$F$20,$C$18,$F$17,$F$19,$C$19,$H$2,J$1,$C30)</f>
        <v>1081.2840000000001</v>
      </c>
      <c r="K30" s="172">
        <f ca="1">_xll.DBRW(Server&amp;Cube1,$F$21,$F$14,$F$15,$F$20,$C$18,$F$17,$F$19,$C$19,$H$2,K$1,$C30)</f>
        <v>1618.3253100000002</v>
      </c>
      <c r="L30" s="173">
        <f ca="1">_xll.DBRW(Server&amp;Cube1,$F$21,$F$14,$F$15,$F$20,$C$18,$F$17,$F$19,$C$19,$H$2,L$1,$C30)</f>
        <v>1639.18029</v>
      </c>
      <c r="M30" s="149"/>
      <c r="N30" s="177">
        <f t="shared" ca="1" si="0"/>
        <v>20.854979999999841</v>
      </c>
      <c r="O30" s="162">
        <f t="shared" ca="1" si="1"/>
        <v>1.288676625838586E-2</v>
      </c>
      <c r="P30" s="180" t="str">
        <f t="shared" ca="1" si="2"/>
        <v>ì</v>
      </c>
      <c r="Q30" s="177">
        <f t="shared" ca="1" si="3"/>
        <v>-560.54781000000025</v>
      </c>
      <c r="R30" s="52"/>
      <c r="S30" s="177">
        <f ca="1">_xll.DBRW(Server&amp;Cube1,$F$21,$F$14,$F$15,$F$20,$C$18,$F$17,$F$19,$C$19,$K$2,K$1,$C30)</f>
        <v>5195.55249</v>
      </c>
      <c r="T30" s="52"/>
      <c r="U30" s="177">
        <f ca="1">S30-L30</f>
        <v>3556.3721999999998</v>
      </c>
      <c r="V30" s="162">
        <f ca="1">IF(S30=0,0,U30/S30)</f>
        <v>0.68450317975711561</v>
      </c>
      <c r="W30" s="52"/>
      <c r="X30" s="52"/>
      <c r="Y30" s="52"/>
      <c r="Z30" s="52"/>
      <c r="AA30" s="52"/>
      <c r="AB30" s="52"/>
      <c r="AC30" s="52"/>
      <c r="AD30" s="74" t="s">
        <v>50</v>
      </c>
      <c r="AE30" s="52"/>
      <c r="AF30" s="52"/>
      <c r="AG30" s="52"/>
      <c r="AH30" s="52"/>
      <c r="AI30" s="52"/>
      <c r="AJ30" s="52"/>
      <c r="AK30" s="52"/>
      <c r="AL30" s="52"/>
      <c r="AM30" s="52"/>
      <c r="AN30" s="52"/>
      <c r="AO30" s="52"/>
    </row>
    <row r="31" spans="1:49" s="9" customFormat="1" ht="24" thickBot="1" x14ac:dyDescent="0.4">
      <c r="A31" s="52"/>
      <c r="B31" s="52"/>
      <c r="C31" s="114" t="s">
        <v>180</v>
      </c>
      <c r="D31" s="1"/>
      <c r="E31" s="231" t="str">
        <f ca="1">_xll.DBRA(Server&amp;$C$25,$C31,$F$16)</f>
        <v>Refacturation des charges de loyer</v>
      </c>
      <c r="F31" s="231"/>
      <c r="G31" s="231"/>
      <c r="H31" s="39"/>
      <c r="I31" s="172">
        <f ca="1">_xll.DBRW(Server&amp;Cube1,$F$21,$F$14,$F$15,$F$20,$C$18,$F$17,$F$19,$C$19,$H$3,I$1,$C31)</f>
        <v>1476.0848599999999</v>
      </c>
      <c r="J31" s="172">
        <f ca="1">_xll.DBRW(Server&amp;Cube1,$F$21,$F$14,$F$15,$F$20,$C$18,$F$17,$F$19,$C$19,$H$2,J$1,$C31)</f>
        <v>1448.3330000000001</v>
      </c>
      <c r="K31" s="172">
        <f ca="1">_xll.DBRW(Server&amp;Cube1,$F$21,$F$14,$F$15,$F$20,$C$18,$F$17,$F$19,$C$19,$H$2,K$1,$C31)</f>
        <v>1501.7662500000001</v>
      </c>
      <c r="L31" s="173">
        <f ca="1">_xll.DBRW(Server&amp;Cube1,$F$21,$F$14,$F$15,$F$20,$C$18,$F$17,$F$19,$C$19,$H$2,L$1,$C31)</f>
        <v>1501.7662500000001</v>
      </c>
      <c r="M31" s="150"/>
      <c r="N31" s="177">
        <f t="shared" ca="1" si="0"/>
        <v>0</v>
      </c>
      <c r="O31" s="162">
        <f t="shared" ca="1" si="1"/>
        <v>0</v>
      </c>
      <c r="P31" s="180" t="str">
        <f t="shared" ca="1" si="2"/>
        <v>è</v>
      </c>
      <c r="Q31" s="177">
        <f t="shared" ca="1" si="3"/>
        <v>25.681390000000192</v>
      </c>
      <c r="R31" s="52"/>
      <c r="S31" s="177">
        <f ca="1">_xll.DBRW(Server&amp;Cube1,$F$21,$F$14,$F$15,$F$20,$C$18,$F$17,$F$19,$C$19,$K$2,K$1,$C31)</f>
        <v>4348.2929999999997</v>
      </c>
      <c r="T31" s="52"/>
      <c r="U31" s="177">
        <f ca="1">S31-L31</f>
        <v>2846.5267499999995</v>
      </c>
      <c r="V31" s="162">
        <f ca="1">IF(S31=0,0,U31/S31)</f>
        <v>0.65463085169283664</v>
      </c>
      <c r="W31" s="52"/>
      <c r="X31" s="52"/>
      <c r="Y31" s="52"/>
      <c r="Z31" s="52"/>
      <c r="AA31" s="52"/>
      <c r="AB31" s="52"/>
      <c r="AC31" s="52"/>
      <c r="AD31" s="64" t="s">
        <v>139</v>
      </c>
      <c r="AE31" s="52"/>
      <c r="AF31" s="84" t="s">
        <v>60</v>
      </c>
      <c r="AG31" s="84" t="s">
        <v>61</v>
      </c>
      <c r="AH31" s="84" t="s">
        <v>62</v>
      </c>
      <c r="AI31" s="52"/>
      <c r="AJ31" s="52"/>
      <c r="AK31" s="52"/>
      <c r="AL31" s="52"/>
      <c r="AM31" s="52"/>
      <c r="AN31" s="52"/>
      <c r="AO31" s="52"/>
    </row>
    <row r="32" spans="1:49" s="9" customFormat="1" ht="24" thickBot="1" x14ac:dyDescent="0.4">
      <c r="A32" s="23"/>
      <c r="B32" s="52"/>
      <c r="C32" s="115"/>
      <c r="D32" s="99"/>
      <c r="E32" s="233"/>
      <c r="F32" s="233"/>
      <c r="G32" s="233"/>
      <c r="H32" s="100"/>
      <c r="I32" s="151"/>
      <c r="J32" s="151"/>
      <c r="K32" s="151"/>
      <c r="L32" s="151"/>
      <c r="M32" s="151"/>
      <c r="N32" s="122"/>
      <c r="O32" s="163"/>
      <c r="P32" s="181"/>
      <c r="Q32" s="152"/>
      <c r="R32" s="23"/>
      <c r="S32" s="152"/>
      <c r="T32" s="52"/>
      <c r="U32" s="122"/>
      <c r="V32" s="163"/>
      <c r="W32" s="23"/>
      <c r="X32" s="23"/>
      <c r="Y32" s="23"/>
      <c r="Z32" s="23"/>
      <c r="AA32" s="23"/>
      <c r="AB32" s="23"/>
      <c r="AC32" s="23"/>
      <c r="AD32" s="67" t="s">
        <v>49</v>
      </c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</row>
    <row r="33" spans="1:41" s="9" customFormat="1" ht="23.25" x14ac:dyDescent="0.35">
      <c r="A33" s="23"/>
      <c r="B33" s="52"/>
      <c r="C33" s="113" t="s">
        <v>83</v>
      </c>
      <c r="E33" s="230" t="str">
        <f ca="1">_xll.DBRA(Server&amp;$C$25,$C33,$F$16)</f>
        <v>CHARGES OPERATIONNELLES</v>
      </c>
      <c r="F33" s="230"/>
      <c r="G33" s="230"/>
      <c r="H33" s="39"/>
      <c r="I33" s="186">
        <f ca="1">_xll.DBRW(Server&amp;Cube1,$F$21,$F$14,$F$15,$F$20,$C$18,$F$17,$F$19,$C$19,$H$3,I$1,$C33)</f>
        <v>-31063.190660000004</v>
      </c>
      <c r="J33" s="186">
        <f ca="1">_xll.DBRW(Server&amp;Cube1,$F$21,$F$14,$F$15,$F$20,$C$18,$F$17,$F$19,$C$19,$H$2,J$1,$C33)</f>
        <v>-32126.622835805676</v>
      </c>
      <c r="K33" s="186">
        <f ca="1">_xll.DBRW(Server&amp;Cube1,$F$21,$F$14,$F$15,$F$20,$C$18,$F$17,$F$19,$C$19,$H$2,K$1,$C33)</f>
        <v>-25347.671599999998</v>
      </c>
      <c r="L33" s="187">
        <f ca="1">_xll.DBRW(Server&amp;Cube1,$F$21,$F$14,$F$15,$F$20,$C$18,$F$17,$F$19,$C$19,$H$2,L$1,$C33)</f>
        <v>-26168.106329999988</v>
      </c>
      <c r="M33" s="188">
        <f t="shared" ref="M33" si="6">+M34+M51+M55+M58</f>
        <v>0</v>
      </c>
      <c r="N33" s="185">
        <f t="shared" ref="N33:N64" ca="1" si="7">L33-K33</f>
        <v>-820.43472999998994</v>
      </c>
      <c r="O33" s="189">
        <f t="shared" ref="O33:O64" ca="1" si="8">IF(K33=0,0,IF(K33&lt;0,N33/-K33,N33/K33))</f>
        <v>-3.2367262088088204E-2</v>
      </c>
      <c r="P33" s="202" t="str">
        <f t="shared" ref="P33:P61" ca="1" si="9">IF(O33&gt;0.01,$AF$27,IF(O33&lt;-0.01,$AG$27,$AH$27))</f>
        <v>î</v>
      </c>
      <c r="Q33" s="185">
        <f t="shared" ref="Q33:Q64" ca="1" si="10">L33-I33</f>
        <v>4895.0843300000161</v>
      </c>
      <c r="R33" s="23"/>
      <c r="S33" s="185">
        <f ca="1">_xll.DBRW(Server&amp;Cube1,$F$21,$F$14,$F$15,$F$20,$C$18,$F$17,$F$19,$C$19,$K$2,K$1,$C33)</f>
        <v>-88125.870366052914</v>
      </c>
      <c r="T33" s="52"/>
      <c r="U33" s="185">
        <f t="shared" ref="U33:U90" ca="1" si="11">S33-L33</f>
        <v>-61957.764036052926</v>
      </c>
      <c r="V33" s="189">
        <f t="shared" ref="V33" ca="1" si="12">IF(S33=0,0,U33/S33)</f>
        <v>0.70305988217416526</v>
      </c>
      <c r="W33" s="23"/>
      <c r="X33" s="23"/>
      <c r="Y33" s="23"/>
      <c r="Z33" s="23"/>
      <c r="AA33" s="23"/>
      <c r="AB33" s="23"/>
      <c r="AC33" s="23"/>
      <c r="AD33" s="75" t="s">
        <v>69</v>
      </c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</row>
    <row r="34" spans="1:41" s="9" customFormat="1" ht="24" thickBot="1" x14ac:dyDescent="0.4">
      <c r="A34" s="23"/>
      <c r="B34" s="52"/>
      <c r="C34" s="113" t="s">
        <v>84</v>
      </c>
      <c r="E34" s="234" t="str">
        <f ca="1">_xll.DBRA(Server&amp;$C$25,$C34,$F$16)</f>
        <v>Coûts externes</v>
      </c>
      <c r="F34" s="234"/>
      <c r="G34" s="234"/>
      <c r="H34" s="190"/>
      <c r="I34" s="192">
        <f ca="1">_xll.DBRW(Server&amp;Cube1,$F$21,$F$14,$F$15,$F$20,$C$18,$F$17,$F$19,$C$19,$H$3,I$1,$C34)</f>
        <v>-10099.0515</v>
      </c>
      <c r="J34" s="192">
        <f ca="1">_xll.DBRW(Server&amp;Cube1,$F$21,$F$14,$F$15,$F$20,$C$18,$F$17,$F$19,$C$19,$H$2,J$1,$C34)</f>
        <v>-10622.009</v>
      </c>
      <c r="K34" s="192">
        <f ca="1">_xll.DBRW(Server&amp;Cube1,$F$21,$F$14,$F$15,$F$20,$C$18,$F$17,$F$19,$C$19,$H$2,K$1,$C34)</f>
        <v>-7040.8562799999991</v>
      </c>
      <c r="L34" s="192">
        <f ca="1">_xll.DBRW(Server&amp;Cube1,$F$21,$F$14,$F$15,$F$20,$C$18,$F$17,$F$19,$C$19,$H$2,L$1,$C34)</f>
        <v>-7768.7781600000008</v>
      </c>
      <c r="M34" s="193"/>
      <c r="N34" s="194">
        <f t="shared" ca="1" si="7"/>
        <v>-727.92188000000169</v>
      </c>
      <c r="O34" s="195">
        <f t="shared" ca="1" si="8"/>
        <v>-0.10338541947912076</v>
      </c>
      <c r="P34" s="196" t="str">
        <f t="shared" ca="1" si="9"/>
        <v>î</v>
      </c>
      <c r="Q34" s="194">
        <f t="shared" ca="1" si="10"/>
        <v>2330.2733399999988</v>
      </c>
      <c r="R34" s="23"/>
      <c r="S34" s="194">
        <f ca="1">_xll.DBRW(Server&amp;Cube1,$F$21,$F$14,$F$15,$F$20,$C$18,$F$17,$F$19,$C$19,$K$2,K$1,$C34)</f>
        <v>-31623.924890000017</v>
      </c>
      <c r="T34" s="52"/>
      <c r="U34" s="194">
        <f t="shared" ca="1" si="11"/>
        <v>-23855.146730000015</v>
      </c>
      <c r="V34" s="195">
        <f ca="1">IF(S34=0,0,U34/S34)</f>
        <v>0.75433858425155154</v>
      </c>
      <c r="W34" s="23"/>
      <c r="X34" s="23"/>
      <c r="Y34" s="23"/>
      <c r="Z34" s="23"/>
      <c r="AA34" s="23"/>
      <c r="AB34" s="23"/>
      <c r="AC34" s="23"/>
      <c r="AD34" s="75" t="s">
        <v>70</v>
      </c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</row>
    <row r="35" spans="1:41" s="9" customFormat="1" ht="24" thickBot="1" x14ac:dyDescent="0.4">
      <c r="A35" s="23"/>
      <c r="B35" s="52"/>
      <c r="C35" s="113" t="s">
        <v>85</v>
      </c>
      <c r="E35" s="232" t="str">
        <f ca="1">_xll.DBRA(Server&amp;$C$25,$C35,$F$16)</f>
        <v>Coûts admin. et informatique</v>
      </c>
      <c r="F35" s="232"/>
      <c r="G35" s="232"/>
      <c r="H35" s="39"/>
      <c r="I35" s="174">
        <f ca="1">_xll.DBRW(Server&amp;Cube1,$F$21,$F$14,$F$15,$F$20,$C$18,$F$17,$F$19,$C$19,$H$3,I$1,$C35)</f>
        <v>-400.34481</v>
      </c>
      <c r="J35" s="174">
        <f ca="1">_xll.DBRW(Server&amp;Cube1,$F$21,$F$14,$F$15,$F$20,$C$18,$F$17,$F$19,$C$19,$H$2,J$1,$C35)</f>
        <v>-316.55200000000002</v>
      </c>
      <c r="K35" s="174">
        <f ca="1">_xll.DBRW(Server&amp;Cube1,$F$21,$F$14,$F$15,$F$20,$C$18,$F$17,$F$19,$C$19,$H$2,K$1,$C35)</f>
        <v>-314.26276000000001</v>
      </c>
      <c r="L35" s="173">
        <f ca="1">_xll.DBRW(Server&amp;Cube1,$F$21,$F$14,$F$15,$F$20,$C$18,$F$17,$F$19,$C$19,$H$2,L$1,$C35)</f>
        <v>-346.50213000000002</v>
      </c>
      <c r="M35" s="149"/>
      <c r="N35" s="178">
        <f t="shared" ca="1" si="7"/>
        <v>-32.239370000000008</v>
      </c>
      <c r="O35" s="164">
        <f t="shared" ca="1" si="8"/>
        <v>-0.1025873062401667</v>
      </c>
      <c r="P35" s="180" t="str">
        <f t="shared" ca="1" si="9"/>
        <v>î</v>
      </c>
      <c r="Q35" s="178">
        <f t="shared" ca="1" si="10"/>
        <v>53.842679999999973</v>
      </c>
      <c r="R35" s="23"/>
      <c r="S35" s="178">
        <f ca="1">_xll.DBRW(Server&amp;Cube1,$F$21,$F$14,$F$15,$F$20,$C$18,$F$17,$F$19,$C$19,$K$2,K$1,$C35)</f>
        <v>-652.97418999999979</v>
      </c>
      <c r="T35" s="52"/>
      <c r="U35" s="178">
        <f t="shared" ca="1" si="11"/>
        <v>-306.47205999999977</v>
      </c>
      <c r="V35" s="164">
        <f t="shared" ref="V35:V81" ca="1" si="13">IF(S35=0,0,U35/S35)</f>
        <v>0.46934789260200294</v>
      </c>
      <c r="W35" s="23"/>
      <c r="X35" s="23"/>
      <c r="Y35" s="23"/>
      <c r="Z35" s="23"/>
      <c r="AA35" s="23"/>
      <c r="AB35" s="23"/>
      <c r="AC35" s="23"/>
      <c r="AD35" s="98" t="s">
        <v>79</v>
      </c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</row>
    <row r="36" spans="1:41" s="9" customFormat="1" ht="24" hidden="1" outlineLevel="1" thickBot="1" x14ac:dyDescent="0.4">
      <c r="A36" s="23"/>
      <c r="B36" s="52"/>
      <c r="C36" s="114" t="s">
        <v>90</v>
      </c>
      <c r="E36" s="240" t="str">
        <f ca="1">_xll.DBRA(Server&amp;$C$25,$C36,$F$16)</f>
        <v>Documentation</v>
      </c>
      <c r="F36" s="240"/>
      <c r="G36" s="240"/>
      <c r="H36" s="39"/>
      <c r="I36" s="175">
        <f ca="1">_xll.DBRW(Server&amp;Cube1,$F$21,$F$14,$F$15,$F$20,$C$18,$F$17,$F$19,$C$19,$H$3,I$1,$C36)</f>
        <v>-73.257529999999988</v>
      </c>
      <c r="J36" s="175">
        <f ca="1">_xll.DBRW(Server&amp;Cube1,$F$21,$F$14,$F$15,$F$20,$C$18,$F$17,$F$19,$C$19,$H$2,J$1,$C36)</f>
        <v>-26.408000000000001</v>
      </c>
      <c r="K36" s="175">
        <f ca="1">_xll.DBRW(Server&amp;Cube1,$F$21,$F$14,$F$15,$F$20,$C$18,$F$17,$F$19,$C$19,$H$2,K$1,$C36)</f>
        <v>-21.157220000000002</v>
      </c>
      <c r="L36" s="173">
        <f ca="1">_xll.DBRW(Server&amp;Cube1,$F$21,$F$14,$F$15,$F$20,$C$18,$F$17,$F$19,$C$19,$H$2,L$1,$C36)</f>
        <v>-21.871220000000001</v>
      </c>
      <c r="M36" s="149"/>
      <c r="N36" s="179">
        <f t="shared" ca="1" si="7"/>
        <v>-0.71399999999999864</v>
      </c>
      <c r="O36" s="165">
        <f t="shared" ca="1" si="8"/>
        <v>-3.3747344878013202E-2</v>
      </c>
      <c r="P36" s="180" t="str">
        <f t="shared" ca="1" si="9"/>
        <v>î</v>
      </c>
      <c r="Q36" s="179">
        <f t="shared" ca="1" si="10"/>
        <v>51.386309999999987</v>
      </c>
      <c r="R36" s="23"/>
      <c r="S36" s="179">
        <f ca="1">_xll.DBRW(Server&amp;Cube1,$F$21,$F$14,$F$15,$F$20,$C$18,$F$17,$F$19,$C$19,$K$2,K$1,$C36)</f>
        <v>-28.094759999999994</v>
      </c>
      <c r="T36" s="52"/>
      <c r="U36" s="179">
        <f t="shared" ca="1" si="11"/>
        <v>-6.2235399999999927</v>
      </c>
      <c r="V36" s="165">
        <f t="shared" ca="1" si="13"/>
        <v>0.22151960009624549</v>
      </c>
      <c r="W36" s="23"/>
      <c r="X36" s="23"/>
      <c r="Y36" s="23"/>
      <c r="Z36" s="23"/>
      <c r="AA36" s="23"/>
      <c r="AB36" s="23"/>
      <c r="AC36" s="23"/>
      <c r="AD36" s="75" t="s">
        <v>80</v>
      </c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</row>
    <row r="37" spans="1:41" s="9" customFormat="1" ht="24" hidden="1" outlineLevel="1" thickBot="1" x14ac:dyDescent="0.4">
      <c r="A37" s="23"/>
      <c r="B37" s="52"/>
      <c r="C37" s="114" t="s">
        <v>87</v>
      </c>
      <c r="E37" s="240" t="str">
        <f ca="1">_xll.DBRA(Server&amp;$C$25,$C37,$F$16)</f>
        <v>Fournitures de bureau et autres consommables</v>
      </c>
      <c r="F37" s="240"/>
      <c r="G37" s="240"/>
      <c r="H37" s="39"/>
      <c r="I37" s="175">
        <f ca="1">_xll.DBRW(Server&amp;Cube1,$F$21,$F$14,$F$15,$F$20,$C$18,$F$17,$F$19,$C$19,$H$3,I$1,$C37)</f>
        <v>-81.468400000000031</v>
      </c>
      <c r="J37" s="175">
        <f ca="1">_xll.DBRW(Server&amp;Cube1,$F$21,$F$14,$F$15,$F$20,$C$18,$F$17,$F$19,$C$19,$H$2,J$1,$C37)</f>
        <v>-79.835999999999999</v>
      </c>
      <c r="K37" s="175">
        <f ca="1">_xll.DBRW(Server&amp;Cube1,$F$21,$F$14,$F$15,$F$20,$C$18,$F$17,$F$19,$C$19,$H$2,K$1,$C37)</f>
        <v>-79.127709999999993</v>
      </c>
      <c r="L37" s="173">
        <f ca="1">_xll.DBRW(Server&amp;Cube1,$F$21,$F$14,$F$15,$F$20,$C$18,$F$17,$F$19,$C$19,$H$2,L$1,$C37)</f>
        <v>-93.962859999999992</v>
      </c>
      <c r="M37" s="149"/>
      <c r="N37" s="179">
        <f t="shared" ca="1" si="7"/>
        <v>-14.835149999999999</v>
      </c>
      <c r="O37" s="165">
        <f t="shared" ca="1" si="8"/>
        <v>-0.18748362615321484</v>
      </c>
      <c r="P37" s="180" t="str">
        <f t="shared" ca="1" si="9"/>
        <v>î</v>
      </c>
      <c r="Q37" s="179">
        <f t="shared" ca="1" si="10"/>
        <v>-12.494459999999961</v>
      </c>
      <c r="R37" s="23"/>
      <c r="S37" s="179">
        <f ca="1">_xll.DBRW(Server&amp;Cube1,$F$21,$F$14,$F$15,$F$20,$C$18,$F$17,$F$19,$C$19,$K$2,K$1,$C37)</f>
        <v>-198.51808000000005</v>
      </c>
      <c r="T37" s="52"/>
      <c r="U37" s="179">
        <f t="shared" ca="1" si="11"/>
        <v>-104.55522000000006</v>
      </c>
      <c r="V37" s="165">
        <f t="shared" ca="1" si="13"/>
        <v>0.5266785775884999</v>
      </c>
      <c r="W37" s="23"/>
      <c r="X37" s="23"/>
      <c r="Y37" s="23"/>
      <c r="Z37" s="23"/>
      <c r="AA37" s="23"/>
      <c r="AB37" s="23"/>
      <c r="AC37" s="23"/>
      <c r="AD37" s="76" t="s">
        <v>81</v>
      </c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</row>
    <row r="38" spans="1:41" s="9" customFormat="1" ht="24" hidden="1" outlineLevel="1" thickBot="1" x14ac:dyDescent="0.4">
      <c r="A38" s="23"/>
      <c r="B38" s="52"/>
      <c r="C38" s="114" t="s">
        <v>88</v>
      </c>
      <c r="E38" s="240" t="str">
        <f ca="1">_xll.DBRA(Server&amp;$C$25,$C38,$F$16)</f>
        <v>Location et entretien de matériel de bureau et informatique</v>
      </c>
      <c r="F38" s="240"/>
      <c r="G38" s="240"/>
      <c r="H38" s="39"/>
      <c r="I38" s="175">
        <f ca="1">_xll.DBRW(Server&amp;Cube1,$F$21,$F$14,$F$15,$F$20,$C$18,$F$17,$F$19,$C$19,$H$3,I$1,$C38)</f>
        <v>-141.35590999999999</v>
      </c>
      <c r="J38" s="175">
        <f ca="1">_xll.DBRW(Server&amp;Cube1,$F$21,$F$14,$F$15,$F$20,$C$18,$F$17,$F$19,$C$19,$H$2,J$1,$C38)</f>
        <v>-87.972000000000008</v>
      </c>
      <c r="K38" s="175">
        <f ca="1">_xll.DBRW(Server&amp;Cube1,$F$21,$F$14,$F$15,$F$20,$C$18,$F$17,$F$19,$C$19,$H$2,K$1,$C38)</f>
        <v>-115.59862000000001</v>
      </c>
      <c r="L38" s="173">
        <f ca="1">_xll.DBRW(Server&amp;Cube1,$F$21,$F$14,$F$15,$F$20,$C$18,$F$17,$F$19,$C$19,$H$2,L$1,$C38)</f>
        <v>-115.8407</v>
      </c>
      <c r="M38" s="149"/>
      <c r="N38" s="179">
        <f t="shared" ca="1" si="7"/>
        <v>-0.24207999999998719</v>
      </c>
      <c r="O38" s="165">
        <f t="shared" ca="1" si="8"/>
        <v>-2.0941426463394388E-3</v>
      </c>
      <c r="P38" s="180" t="str">
        <f t="shared" ca="1" si="9"/>
        <v>è</v>
      </c>
      <c r="Q38" s="179">
        <f t="shared" ca="1" si="10"/>
        <v>25.515209999999996</v>
      </c>
      <c r="R38" s="23"/>
      <c r="S38" s="179">
        <f ca="1">_xll.DBRW(Server&amp;Cube1,$F$21,$F$14,$F$15,$F$20,$C$18,$F$17,$F$19,$C$19,$K$2,K$1,$C38)</f>
        <v>-227.82263999999995</v>
      </c>
      <c r="T38" s="52"/>
      <c r="U38" s="179">
        <f t="shared" ca="1" si="11"/>
        <v>-111.98193999999995</v>
      </c>
      <c r="V38" s="165">
        <f t="shared" ca="1" si="13"/>
        <v>0.49153121919753007</v>
      </c>
      <c r="W38" s="23"/>
      <c r="X38" s="23"/>
      <c r="Y38" s="23"/>
      <c r="Z38" s="23"/>
      <c r="AA38" s="23"/>
      <c r="AB38" s="23"/>
      <c r="AC38" s="23"/>
      <c r="AD38" s="64" t="s">
        <v>47</v>
      </c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</row>
    <row r="39" spans="1:41" ht="21.75" hidden="1" outlineLevel="1" thickBot="1" x14ac:dyDescent="0.35">
      <c r="B39" s="52"/>
      <c r="C39" s="114" t="s">
        <v>89</v>
      </c>
      <c r="D39" s="25"/>
      <c r="E39" s="240" t="str">
        <f ca="1">_xll.DBRA(Server&amp;$C$25,$C39,$F$16)</f>
        <v>Entretien et Réparation Immobilier</v>
      </c>
      <c r="F39" s="240"/>
      <c r="G39" s="240"/>
      <c r="H39" s="58"/>
      <c r="I39" s="175">
        <f ca="1">_xll.DBRW(Server&amp;Cube1,$F$21,$F$14,$F$15,$F$20,$C$18,$F$17,$F$19,$C$19,$H$3,I$1,$C39)</f>
        <v>-87.816260000000014</v>
      </c>
      <c r="J39" s="175">
        <f ca="1">_xll.DBRW(Server&amp;Cube1,$F$21,$F$14,$F$15,$F$20,$C$18,$F$17,$F$19,$C$19,$H$2,J$1,$C39)</f>
        <v>-104.336</v>
      </c>
      <c r="K39" s="175">
        <f ca="1">_xll.DBRW(Server&amp;Cube1,$F$21,$F$14,$F$15,$F$20,$C$18,$F$17,$F$19,$C$19,$H$2,K$1,$C39)</f>
        <v>-84.71759999999999</v>
      </c>
      <c r="L39" s="173">
        <f ca="1">_xll.DBRW(Server&amp;Cube1,$F$21,$F$14,$F$15,$F$20,$C$18,$F$17,$F$19,$C$19,$H$2,L$1,$C39)</f>
        <v>-97.645109999999988</v>
      </c>
      <c r="M39" s="149"/>
      <c r="N39" s="179">
        <f t="shared" ca="1" si="7"/>
        <v>-12.927509999999998</v>
      </c>
      <c r="O39" s="165">
        <f t="shared" ca="1" si="8"/>
        <v>-0.15259532847956031</v>
      </c>
      <c r="P39" s="180" t="str">
        <f t="shared" ca="1" si="9"/>
        <v>î</v>
      </c>
      <c r="Q39" s="179">
        <f t="shared" ca="1" si="10"/>
        <v>-9.8288499999999743</v>
      </c>
      <c r="S39" s="179">
        <f ca="1">_xll.DBRW(Server&amp;Cube1,$F$21,$F$14,$F$15,$F$20,$C$18,$F$17,$F$19,$C$19,$K$2,K$1,$C39)</f>
        <v>-168.23276999999999</v>
      </c>
      <c r="U39" s="179">
        <f t="shared" ca="1" si="11"/>
        <v>-70.58766</v>
      </c>
      <c r="V39" s="165">
        <f t="shared" ca="1" si="13"/>
        <v>0.41958329521650273</v>
      </c>
      <c r="AD39" s="66" t="s">
        <v>48</v>
      </c>
    </row>
    <row r="40" spans="1:41" ht="21.75" hidden="1" outlineLevel="1" thickBot="1" x14ac:dyDescent="0.35">
      <c r="A40" s="52"/>
      <c r="B40" s="52"/>
      <c r="C40" s="114" t="s">
        <v>86</v>
      </c>
      <c r="D40" s="25"/>
      <c r="E40" s="240" t="str">
        <f ca="1">_xll.DBRA(Server&amp;$C$25,$C40,$F$16)</f>
        <v>Frais postaux</v>
      </c>
      <c r="F40" s="240"/>
      <c r="G40" s="240"/>
      <c r="H40" s="42"/>
      <c r="I40" s="175">
        <f ca="1">_xll.DBRW(Server&amp;Cube1,$F$21,$F$14,$F$15,$F$20,$C$18,$F$17,$F$19,$C$19,$H$3,I$1,$C40)</f>
        <v>-16.446709999999999</v>
      </c>
      <c r="J40" s="175">
        <f ca="1">_xll.DBRW(Server&amp;Cube1,$F$21,$F$14,$F$15,$F$20,$C$18,$F$17,$F$19,$C$19,$H$2,J$1,$C40)</f>
        <v>-18</v>
      </c>
      <c r="K40" s="175">
        <f ca="1">_xll.DBRW(Server&amp;Cube1,$F$21,$F$14,$F$15,$F$20,$C$18,$F$17,$F$19,$C$19,$H$2,K$1,$C40)</f>
        <v>-13.661610000000001</v>
      </c>
      <c r="L40" s="173">
        <f ca="1">_xll.DBRW(Server&amp;Cube1,$F$21,$F$14,$F$15,$F$20,$C$18,$F$17,$F$19,$C$19,$H$2,L$1,$C40)</f>
        <v>-17.182239999999997</v>
      </c>
      <c r="M40" s="149"/>
      <c r="N40" s="179">
        <f t="shared" ca="1" si="7"/>
        <v>-3.5206299999999953</v>
      </c>
      <c r="O40" s="165">
        <f t="shared" ca="1" si="8"/>
        <v>-0.25770242306726621</v>
      </c>
      <c r="P40" s="180" t="str">
        <f t="shared" ca="1" si="9"/>
        <v>î</v>
      </c>
      <c r="Q40" s="179">
        <f t="shared" ca="1" si="10"/>
        <v>-0.73552999999999713</v>
      </c>
      <c r="R40" s="52"/>
      <c r="S40" s="179">
        <f ca="1">_xll.DBRW(Server&amp;Cube1,$F$21,$F$14,$F$15,$F$20,$C$18,$F$17,$F$19,$C$19,$K$2,K$1,$C40)</f>
        <v>-30.305940000000003</v>
      </c>
      <c r="U40" s="179">
        <f t="shared" ca="1" si="11"/>
        <v>-13.123700000000007</v>
      </c>
      <c r="V40" s="165">
        <f t="shared" ca="1" si="13"/>
        <v>0.43304051944932265</v>
      </c>
      <c r="W40" s="52"/>
      <c r="X40" s="52"/>
      <c r="Y40" s="52"/>
      <c r="Z40" s="52"/>
      <c r="AA40" s="52"/>
      <c r="AB40" s="52"/>
      <c r="AC40" s="52"/>
      <c r="AD40" s="67" t="s">
        <v>144</v>
      </c>
      <c r="AE40" s="52"/>
      <c r="AF40" s="52"/>
      <c r="AG40" s="52"/>
      <c r="AH40" s="52"/>
      <c r="AI40" s="52"/>
      <c r="AJ40" s="52"/>
      <c r="AK40" s="52"/>
      <c r="AL40" s="52"/>
      <c r="AM40" s="52"/>
      <c r="AN40" s="52"/>
      <c r="AO40" s="52"/>
    </row>
    <row r="41" spans="1:41" s="9" customFormat="1" ht="23.25" collapsed="1" x14ac:dyDescent="0.35">
      <c r="A41" s="52"/>
      <c r="B41" s="52"/>
      <c r="C41" s="113" t="s">
        <v>91</v>
      </c>
      <c r="E41" s="232" t="str">
        <f ca="1">_xll.DBRA(Server&amp;$C$25,$C41,$F$16)</f>
        <v>Coûts externes de la Direction</v>
      </c>
      <c r="F41" s="232"/>
      <c r="G41" s="232"/>
      <c r="H41" s="39"/>
      <c r="I41" s="174">
        <f ca="1">_xll.DBRW(Server&amp;Cube1,$F$21,$F$14,$F$15,$F$20,$C$18,$F$17,$F$19,$C$19,$H$3,I$1,$C41)</f>
        <v>-9698.7066899999973</v>
      </c>
      <c r="J41" s="174">
        <f ca="1">_xll.DBRW(Server&amp;Cube1,$F$21,$F$14,$F$15,$F$20,$C$18,$F$17,$F$19,$C$19,$H$2,J$1,$C41)</f>
        <v>-10305.457</v>
      </c>
      <c r="K41" s="174">
        <f ca="1">_xll.DBRW(Server&amp;Cube1,$F$21,$F$14,$F$15,$F$20,$C$18,$F$17,$F$19,$C$19,$H$2,K$1,$C41)</f>
        <v>-6726.5935200000004</v>
      </c>
      <c r="L41" s="173">
        <f ca="1">_xll.DBRW(Server&amp;Cube1,$F$21,$F$14,$F$15,$F$20,$C$18,$F$17,$F$19,$C$19,$H$2,L$1,$C41)</f>
        <v>-7422.27603</v>
      </c>
      <c r="M41" s="149"/>
      <c r="N41" s="178">
        <f t="shared" ca="1" si="7"/>
        <v>-695.68250999999964</v>
      </c>
      <c r="O41" s="164">
        <f t="shared" ca="1" si="8"/>
        <v>-0.10342270689191274</v>
      </c>
      <c r="P41" s="180" t="str">
        <f t="shared" ca="1" si="9"/>
        <v>î</v>
      </c>
      <c r="Q41" s="178">
        <f t="shared" ca="1" si="10"/>
        <v>2276.4306599999973</v>
      </c>
      <c r="R41" s="52"/>
      <c r="S41" s="178">
        <f ca="1">_xll.DBRW(Server&amp;Cube1,$F$21,$F$14,$F$15,$F$20,$C$18,$F$17,$F$19,$C$19,$K$2,K$1,$C41)</f>
        <v>-30970.950700000005</v>
      </c>
      <c r="T41" s="52"/>
      <c r="U41" s="178">
        <f t="shared" ca="1" si="11"/>
        <v>-23548.674670000004</v>
      </c>
      <c r="V41" s="164">
        <f t="shared" ca="1" si="13"/>
        <v>0.76034716848391737</v>
      </c>
      <c r="W41" s="52"/>
      <c r="X41" s="52"/>
      <c r="Y41" s="52"/>
      <c r="Z41" s="52"/>
      <c r="AA41" s="52"/>
      <c r="AB41" s="52"/>
      <c r="AC41" s="52"/>
      <c r="AD41" s="68" t="s">
        <v>34</v>
      </c>
      <c r="AE41" s="52"/>
      <c r="AF41" s="52"/>
      <c r="AG41" s="52"/>
      <c r="AH41" s="52"/>
      <c r="AI41" s="52"/>
      <c r="AJ41" s="52"/>
      <c r="AK41" s="52"/>
      <c r="AL41" s="52"/>
      <c r="AM41" s="52"/>
      <c r="AN41" s="52"/>
      <c r="AO41" s="52"/>
    </row>
    <row r="42" spans="1:41" s="9" customFormat="1" ht="23.25" hidden="1" outlineLevel="1" x14ac:dyDescent="0.35">
      <c r="A42" s="52"/>
      <c r="B42" s="52"/>
      <c r="C42" s="114" t="s">
        <v>92</v>
      </c>
      <c r="E42" s="240" t="str">
        <f ca="1">_xll.DBRA(Server&amp;$C$25,$C42,$F$16)</f>
        <v>Honoraires &amp; Conseil</v>
      </c>
      <c r="F42" s="240"/>
      <c r="G42" s="240"/>
      <c r="H42" s="39"/>
      <c r="I42" s="175">
        <f ca="1">_xll.DBRW(Server&amp;Cube1,$F$21,$F$14,$F$15,$F$20,$C$18,$F$17,$F$19,$C$19,$H$3,I$1,$C42)</f>
        <v>-7062.4519100000034</v>
      </c>
      <c r="J42" s="175">
        <f ca="1">_xll.DBRW(Server&amp;Cube1,$F$21,$F$14,$F$15,$F$20,$C$18,$F$17,$F$19,$C$19,$H$2,J$1,$C42)</f>
        <v>-8235.0069999999996</v>
      </c>
      <c r="K42" s="175">
        <f ca="1">_xll.DBRW(Server&amp;Cube1,$F$21,$F$14,$F$15,$F$20,$C$18,$F$17,$F$19,$C$19,$H$2,K$1,$C42)</f>
        <v>-4849.9686200000006</v>
      </c>
      <c r="L42" s="173">
        <f ca="1">_xll.DBRW(Server&amp;Cube1,$F$21,$F$14,$F$15,$F$20,$C$18,$F$17,$F$19,$C$19,$H$2,L$1,$C42)</f>
        <v>-5039.0501100000001</v>
      </c>
      <c r="M42" s="149"/>
      <c r="N42" s="179">
        <f t="shared" ca="1" si="7"/>
        <v>-189.08148999999958</v>
      </c>
      <c r="O42" s="165">
        <f t="shared" ca="1" si="8"/>
        <v>-3.8986126471061491E-2</v>
      </c>
      <c r="P42" s="180" t="str">
        <f t="shared" ca="1" si="9"/>
        <v>î</v>
      </c>
      <c r="Q42" s="179">
        <f t="shared" ca="1" si="10"/>
        <v>2023.4018000000033</v>
      </c>
      <c r="R42" s="52"/>
      <c r="S42" s="179">
        <f ca="1">_xll.DBRW(Server&amp;Cube1,$F$21,$F$14,$F$15,$F$20,$C$18,$F$17,$F$19,$C$19,$K$2,K$1,$C42)</f>
        <v>-24923.094399999991</v>
      </c>
      <c r="T42" s="52"/>
      <c r="U42" s="179">
        <f t="shared" ca="1" si="11"/>
        <v>-19884.044289999991</v>
      </c>
      <c r="V42" s="165">
        <f t="shared" ca="1" si="13"/>
        <v>0.7978160324265352</v>
      </c>
      <c r="W42" s="52"/>
      <c r="X42" s="52"/>
      <c r="Y42" s="52"/>
      <c r="Z42" s="52"/>
      <c r="AA42" s="52"/>
      <c r="AB42" s="52"/>
      <c r="AC42" s="247" t="s">
        <v>188</v>
      </c>
      <c r="AD42" s="77" t="s">
        <v>35</v>
      </c>
      <c r="AE42" s="52"/>
      <c r="AF42" s="52"/>
      <c r="AG42" s="52"/>
      <c r="AH42" s="52"/>
      <c r="AI42" s="52"/>
      <c r="AJ42" s="52"/>
      <c r="AK42" s="52"/>
      <c r="AL42" s="52"/>
      <c r="AM42" s="52"/>
      <c r="AN42" s="52"/>
      <c r="AO42" s="52"/>
    </row>
    <row r="43" spans="1:41" s="9" customFormat="1" ht="23.25" hidden="1" outlineLevel="1" x14ac:dyDescent="0.35">
      <c r="A43" s="52"/>
      <c r="B43" s="52"/>
      <c r="C43" s="114" t="s">
        <v>93</v>
      </c>
      <c r="E43" s="240" t="str">
        <f ca="1">_xll.DBRA(Server&amp;$C$25,$C43,$F$16)</f>
        <v>Honoraires &amp; Conseil Abonnés</v>
      </c>
      <c r="F43" s="240"/>
      <c r="G43" s="240"/>
      <c r="H43" s="39"/>
      <c r="I43" s="175">
        <f ca="1">_xll.DBRW(Server&amp;Cube1,$F$21,$F$14,$F$15,$F$20,$C$18,$F$17,$F$19,$C$19,$H$3,I$1,$C43)</f>
        <v>-185.36610000000002</v>
      </c>
      <c r="J43" s="175">
        <f ca="1">_xll.DBRW(Server&amp;Cube1,$F$21,$F$14,$F$15,$F$20,$C$18,$F$17,$F$19,$C$19,$H$2,J$1,$C43)</f>
        <v>-71.635999999999996</v>
      </c>
      <c r="K43" s="175">
        <f ca="1">_xll.DBRW(Server&amp;Cube1,$F$21,$F$14,$F$15,$F$20,$C$18,$F$17,$F$19,$C$19,$H$2,K$1,$C43)</f>
        <v>0</v>
      </c>
      <c r="L43" s="173">
        <f ca="1">_xll.DBRW(Server&amp;Cube1,$F$21,$F$14,$F$15,$F$20,$C$18,$F$17,$F$19,$C$19,$H$2,L$1,$C43)</f>
        <v>-155.58279999999999</v>
      </c>
      <c r="M43" s="149"/>
      <c r="N43" s="179">
        <f t="shared" ca="1" si="7"/>
        <v>-155.58279999999999</v>
      </c>
      <c r="O43" s="165">
        <f t="shared" ca="1" si="8"/>
        <v>0</v>
      </c>
      <c r="P43" s="180" t="str">
        <f t="shared" ca="1" si="9"/>
        <v>è</v>
      </c>
      <c r="Q43" s="179">
        <f t="shared" ca="1" si="10"/>
        <v>29.783300000000025</v>
      </c>
      <c r="R43" s="52"/>
      <c r="S43" s="179">
        <f ca="1">_xll.DBRW(Server&amp;Cube1,$F$21,$F$14,$F$15,$F$20,$C$18,$F$17,$F$19,$C$19,$K$2,K$1,$C43)</f>
        <v>0</v>
      </c>
      <c r="T43" s="52"/>
      <c r="U43" s="179">
        <f t="shared" ca="1" si="11"/>
        <v>155.58279999999999</v>
      </c>
      <c r="V43" s="165">
        <f t="shared" ca="1" si="13"/>
        <v>0</v>
      </c>
      <c r="W43" s="52"/>
      <c r="X43" s="52"/>
      <c r="Y43" s="52"/>
      <c r="Z43" s="52"/>
      <c r="AA43" s="52"/>
      <c r="AB43" s="52"/>
      <c r="AC43" s="247" t="s">
        <v>189</v>
      </c>
      <c r="AD43" s="77" t="s">
        <v>36</v>
      </c>
      <c r="AE43" s="52"/>
      <c r="AF43" s="52"/>
      <c r="AG43" s="52"/>
      <c r="AH43" s="52"/>
      <c r="AI43" s="52"/>
      <c r="AJ43" s="52"/>
      <c r="AK43" s="52"/>
      <c r="AL43" s="52"/>
      <c r="AM43" s="52"/>
      <c r="AN43" s="52"/>
      <c r="AO43" s="52"/>
    </row>
    <row r="44" spans="1:41" s="9" customFormat="1" ht="23.25" hidden="1" outlineLevel="1" x14ac:dyDescent="0.35">
      <c r="A44" s="52"/>
      <c r="B44" s="52"/>
      <c r="C44" s="114" t="s">
        <v>94</v>
      </c>
      <c r="E44" s="240" t="str">
        <f ca="1">_xll.DBRA(Server&amp;$C$25,$C44,$F$16)</f>
        <v>Publication, Sponsoring, cadeaux, Publicité et promotion</v>
      </c>
      <c r="F44" s="240"/>
      <c r="G44" s="240"/>
      <c r="H44" s="39"/>
      <c r="I44" s="175">
        <f ca="1">_xll.DBRW(Server&amp;Cube1,$F$21,$F$14,$F$15,$F$20,$C$18,$F$17,$F$19,$C$19,$H$3,I$1,$C44)</f>
        <v>-41.017450000000004</v>
      </c>
      <c r="J44" s="175">
        <f ca="1">_xll.DBRW(Server&amp;Cube1,$F$21,$F$14,$F$15,$F$20,$C$18,$F$17,$F$19,$C$19,$H$2,J$1,$C44)</f>
        <v>0</v>
      </c>
      <c r="K44" s="175">
        <f ca="1">_xll.DBRW(Server&amp;Cube1,$F$21,$F$14,$F$15,$F$20,$C$18,$F$17,$F$19,$C$19,$H$2,K$1,$C44)</f>
        <v>-1.5087000000000004</v>
      </c>
      <c r="L44" s="173">
        <f ca="1">_xll.DBRW(Server&amp;Cube1,$F$21,$F$14,$F$15,$F$20,$C$18,$F$17,$F$19,$C$19,$H$2,L$1,$C44)</f>
        <v>-3.2408800000000002</v>
      </c>
      <c r="M44" s="149"/>
      <c r="N44" s="179">
        <f t="shared" ca="1" si="7"/>
        <v>-1.7321799999999998</v>
      </c>
      <c r="O44" s="165">
        <f t="shared" ca="1" si="8"/>
        <v>-1.1481275270100082</v>
      </c>
      <c r="P44" s="180" t="str">
        <f t="shared" ca="1" si="9"/>
        <v>î</v>
      </c>
      <c r="Q44" s="179">
        <f t="shared" ca="1" si="10"/>
        <v>37.776570000000007</v>
      </c>
      <c r="R44" s="52"/>
      <c r="S44" s="179">
        <f ca="1">_xll.DBRW(Server&amp;Cube1,$F$21,$F$14,$F$15,$F$20,$C$18,$F$17,$F$19,$C$19,$K$2,K$1,$C44)</f>
        <v>-11.52675</v>
      </c>
      <c r="T44" s="52"/>
      <c r="U44" s="179">
        <f t="shared" ca="1" si="11"/>
        <v>-8.2858699999999992</v>
      </c>
      <c r="V44" s="165">
        <f t="shared" ca="1" si="13"/>
        <v>0.7188383542629101</v>
      </c>
      <c r="W44" s="52"/>
      <c r="X44" s="52"/>
      <c r="Y44" s="52"/>
      <c r="Z44" s="52"/>
      <c r="AA44" s="52"/>
      <c r="AB44" s="52"/>
      <c r="AC44" s="247" t="s">
        <v>190</v>
      </c>
      <c r="AD44" s="77" t="s">
        <v>37</v>
      </c>
      <c r="AE44" s="52"/>
      <c r="AF44" s="52"/>
      <c r="AG44" s="52"/>
      <c r="AH44" s="52"/>
      <c r="AI44" s="52"/>
      <c r="AJ44" s="52"/>
      <c r="AK44" s="52"/>
      <c r="AL44" s="52"/>
      <c r="AM44" s="52"/>
      <c r="AN44" s="52"/>
      <c r="AO44" s="52"/>
    </row>
    <row r="45" spans="1:41" ht="21" hidden="1" outlineLevel="1" x14ac:dyDescent="0.3">
      <c r="B45" s="52"/>
      <c r="C45" s="114" t="s">
        <v>95</v>
      </c>
      <c r="D45" s="25"/>
      <c r="E45" s="240" t="str">
        <f ca="1">_xll.DBRA(Server&amp;$C$25,$C45,$F$16)</f>
        <v>Réception, Séminaires</v>
      </c>
      <c r="F45" s="240"/>
      <c r="G45" s="240"/>
      <c r="H45" s="42"/>
      <c r="I45" s="175">
        <f ca="1">_xll.DBRW(Server&amp;Cube1,$F$21,$F$14,$F$15,$F$20,$C$18,$F$17,$F$19,$C$19,$H$3,I$1,$C45)</f>
        <v>-103.55276999999998</v>
      </c>
      <c r="J45" s="175">
        <f ca="1">_xll.DBRW(Server&amp;Cube1,$F$21,$F$14,$F$15,$F$20,$C$18,$F$17,$F$19,$C$19,$H$2,J$1,$C45)</f>
        <v>-111.84</v>
      </c>
      <c r="K45" s="175">
        <f ca="1">_xll.DBRW(Server&amp;Cube1,$F$21,$F$14,$F$15,$F$20,$C$18,$F$17,$F$19,$C$19,$H$2,K$1,$C45)</f>
        <v>-15.358980000000001</v>
      </c>
      <c r="L45" s="173">
        <f ca="1">_xll.DBRW(Server&amp;Cube1,$F$21,$F$14,$F$15,$F$20,$C$18,$F$17,$F$19,$C$19,$H$2,L$1,$C45)</f>
        <v>-15.37833</v>
      </c>
      <c r="M45" s="149"/>
      <c r="N45" s="179">
        <f t="shared" ca="1" si="7"/>
        <v>-1.9349999999999312E-2</v>
      </c>
      <c r="O45" s="165">
        <f t="shared" ca="1" si="8"/>
        <v>-1.2598492868666612E-3</v>
      </c>
      <c r="P45" s="180" t="str">
        <f t="shared" ca="1" si="9"/>
        <v>è</v>
      </c>
      <c r="Q45" s="179">
        <f t="shared" ca="1" si="10"/>
        <v>88.174439999999976</v>
      </c>
      <c r="S45" s="179">
        <f ca="1">_xll.DBRW(Server&amp;Cube1,$F$21,$F$14,$F$15,$F$20,$C$18,$F$17,$F$19,$C$19,$K$2,K$1,$C45)</f>
        <v>-27.952969999999997</v>
      </c>
      <c r="U45" s="179">
        <f t="shared" ca="1" si="11"/>
        <v>-12.574639999999997</v>
      </c>
      <c r="V45" s="165">
        <f t="shared" ca="1" si="13"/>
        <v>0.44984987283998795</v>
      </c>
      <c r="AC45" s="247" t="s">
        <v>191</v>
      </c>
      <c r="AD45" s="77" t="s">
        <v>38</v>
      </c>
    </row>
    <row r="46" spans="1:41" s="9" customFormat="1" ht="23.25" hidden="1" outlineLevel="1" x14ac:dyDescent="0.35">
      <c r="A46" s="52"/>
      <c r="B46" s="52"/>
      <c r="C46" s="114" t="s">
        <v>96</v>
      </c>
      <c r="E46" s="240" t="str">
        <f ca="1">_xll.DBRA(Server&amp;$C$25,$C46,$F$16)</f>
        <v>Autres assistance externe</v>
      </c>
      <c r="F46" s="240"/>
      <c r="G46" s="240"/>
      <c r="H46" s="39"/>
      <c r="I46" s="175">
        <f ca="1">_xll.DBRW(Server&amp;Cube1,$F$21,$F$14,$F$15,$F$20,$C$18,$F$17,$F$19,$C$19,$H$3,I$1,$C46)</f>
        <v>-1873.3697199999997</v>
      </c>
      <c r="J46" s="175">
        <f ca="1">_xll.DBRW(Server&amp;Cube1,$F$21,$F$14,$F$15,$F$20,$C$18,$F$17,$F$19,$C$19,$H$2,J$1,$C46)</f>
        <v>-1467.9359999999999</v>
      </c>
      <c r="K46" s="175">
        <f ca="1">_xll.DBRW(Server&amp;Cube1,$F$21,$F$14,$F$15,$F$20,$C$18,$F$17,$F$19,$C$19,$H$2,K$1,$C46)</f>
        <v>-1585.9594100000002</v>
      </c>
      <c r="L46" s="173">
        <f ca="1">_xll.DBRW(Server&amp;Cube1,$F$21,$F$14,$F$15,$F$20,$C$18,$F$17,$F$19,$C$19,$H$2,L$1,$C46)</f>
        <v>-1924.4645400000002</v>
      </c>
      <c r="M46" s="149"/>
      <c r="N46" s="179">
        <f t="shared" ca="1" si="7"/>
        <v>-338.50513000000001</v>
      </c>
      <c r="O46" s="165">
        <f t="shared" ca="1" si="8"/>
        <v>-0.21343870963254979</v>
      </c>
      <c r="P46" s="180" t="str">
        <f t="shared" ca="1" si="9"/>
        <v>î</v>
      </c>
      <c r="Q46" s="179">
        <f t="shared" ca="1" si="10"/>
        <v>-51.094820000000482</v>
      </c>
      <c r="R46" s="52"/>
      <c r="S46" s="179">
        <f ca="1">_xll.DBRW(Server&amp;Cube1,$F$21,$F$14,$F$15,$F$20,$C$18,$F$17,$F$19,$C$19,$K$2,K$1,$C46)</f>
        <v>-4907.8224800000007</v>
      </c>
      <c r="T46" s="52"/>
      <c r="U46" s="179">
        <f t="shared" ca="1" si="11"/>
        <v>-2983.3579400000008</v>
      </c>
      <c r="V46" s="165">
        <f t="shared" ca="1" si="13"/>
        <v>0.60787812765387561</v>
      </c>
      <c r="W46" s="52"/>
      <c r="X46" s="52"/>
      <c r="Y46" s="52"/>
      <c r="Z46" s="52"/>
      <c r="AA46" s="52"/>
      <c r="AB46" s="52"/>
      <c r="AC46" s="247" t="s">
        <v>192</v>
      </c>
      <c r="AD46" s="77" t="s">
        <v>39</v>
      </c>
      <c r="AE46" s="52"/>
      <c r="AF46" s="52"/>
      <c r="AG46" s="52"/>
      <c r="AH46" s="52"/>
      <c r="AI46" s="52"/>
      <c r="AJ46" s="52"/>
      <c r="AK46" s="52"/>
      <c r="AL46" s="52"/>
      <c r="AM46" s="52"/>
      <c r="AN46" s="52"/>
      <c r="AO46" s="52"/>
    </row>
    <row r="47" spans="1:41" s="9" customFormat="1" ht="23.25" hidden="1" outlineLevel="1" x14ac:dyDescent="0.35">
      <c r="A47" s="52"/>
      <c r="B47" s="52"/>
      <c r="C47" s="114" t="s">
        <v>97</v>
      </c>
      <c r="E47" s="240" t="str">
        <f ca="1">_xll.DBRA(Server&amp;$C$25,$C47,$F$16)</f>
        <v>Dépenses de formation</v>
      </c>
      <c r="F47" s="240"/>
      <c r="G47" s="240"/>
      <c r="H47" s="39"/>
      <c r="I47" s="175">
        <f ca="1">_xll.DBRW(Server&amp;Cube1,$F$21,$F$14,$F$15,$F$20,$C$18,$F$17,$F$19,$C$19,$H$3,I$1,$C47)</f>
        <v>-148.56505999999999</v>
      </c>
      <c r="J47" s="175">
        <f ca="1">_xll.DBRW(Server&amp;Cube1,$F$21,$F$14,$F$15,$F$20,$C$18,$F$17,$F$19,$C$19,$H$2,J$1,$C47)</f>
        <v>-193.33600000000001</v>
      </c>
      <c r="K47" s="175">
        <f ca="1">_xll.DBRW(Server&amp;Cube1,$F$21,$F$14,$F$15,$F$20,$C$18,$F$17,$F$19,$C$19,$H$2,K$1,$C47)</f>
        <v>-5.1739799999999994</v>
      </c>
      <c r="L47" s="173">
        <f ca="1">_xll.DBRW(Server&amp;Cube1,$F$21,$F$14,$F$15,$F$20,$C$18,$F$17,$F$19,$C$19,$H$2,L$1,$C47)</f>
        <v>-15.599450000000001</v>
      </c>
      <c r="M47" s="149"/>
      <c r="N47" s="179">
        <f t="shared" ca="1" si="7"/>
        <v>-10.425470000000001</v>
      </c>
      <c r="O47" s="165">
        <f t="shared" ca="1" si="8"/>
        <v>-2.0149807305014713</v>
      </c>
      <c r="P47" s="180" t="str">
        <f t="shared" ca="1" si="9"/>
        <v>î</v>
      </c>
      <c r="Q47" s="179">
        <f t="shared" ca="1" si="10"/>
        <v>132.96561</v>
      </c>
      <c r="R47" s="52"/>
      <c r="S47" s="179">
        <f ca="1">_xll.DBRW(Server&amp;Cube1,$F$21,$F$14,$F$15,$F$20,$C$18,$F$17,$F$19,$C$19,$K$2,K$1,$C47)</f>
        <v>-305.24127000000004</v>
      </c>
      <c r="T47" s="52"/>
      <c r="U47" s="179">
        <f t="shared" ca="1" si="11"/>
        <v>-289.64182000000005</v>
      </c>
      <c r="V47" s="165">
        <f t="shared" ca="1" si="13"/>
        <v>0.94889468910937247</v>
      </c>
      <c r="W47" s="52"/>
      <c r="X47" s="52"/>
      <c r="Y47" s="52"/>
      <c r="Z47" s="52"/>
      <c r="AA47" s="52"/>
      <c r="AB47" s="52"/>
      <c r="AC47" s="247" t="s">
        <v>193</v>
      </c>
      <c r="AD47" s="77" t="s">
        <v>40</v>
      </c>
      <c r="AE47" s="52"/>
      <c r="AF47" s="52"/>
      <c r="AG47" s="52"/>
      <c r="AH47" s="52"/>
      <c r="AI47" s="52"/>
      <c r="AJ47" s="52"/>
      <c r="AK47" s="52"/>
      <c r="AL47" s="52"/>
      <c r="AM47" s="52"/>
      <c r="AN47" s="52"/>
      <c r="AO47" s="52"/>
    </row>
    <row r="48" spans="1:41" s="9" customFormat="1" ht="23.25" hidden="1" outlineLevel="1" x14ac:dyDescent="0.35">
      <c r="A48" s="52"/>
      <c r="B48" s="52"/>
      <c r="C48" s="114" t="s">
        <v>98</v>
      </c>
      <c r="E48" s="240" t="str">
        <f ca="1">_xll.DBRA(Server&amp;$C$25,$C48,$F$16)</f>
        <v>Assurances</v>
      </c>
      <c r="F48" s="240"/>
      <c r="G48" s="240"/>
      <c r="H48" s="39"/>
      <c r="I48" s="175">
        <f ca="1">_xll.DBRW(Server&amp;Cube1,$F$21,$F$14,$F$15,$F$20,$C$18,$F$17,$F$19,$C$19,$H$3,I$1,$C48)</f>
        <v>0</v>
      </c>
      <c r="J48" s="175">
        <f ca="1">_xll.DBRW(Server&amp;Cube1,$F$21,$F$14,$F$15,$F$20,$C$18,$F$17,$F$19,$C$19,$H$2,J$1,$C48)</f>
        <v>-61.667999999999999</v>
      </c>
      <c r="K48" s="175">
        <f ca="1">_xll.DBRW(Server&amp;Cube1,$F$21,$F$14,$F$15,$F$20,$C$18,$F$17,$F$19,$C$19,$H$2,K$1,$C48)</f>
        <v>0</v>
      </c>
      <c r="L48" s="173">
        <f ca="1">_xll.DBRW(Server&amp;Cube1,$F$21,$F$14,$F$15,$F$20,$C$18,$F$17,$F$19,$C$19,$H$2,L$1,$C48)</f>
        <v>0</v>
      </c>
      <c r="M48" s="149"/>
      <c r="N48" s="179">
        <f t="shared" ca="1" si="7"/>
        <v>0</v>
      </c>
      <c r="O48" s="165">
        <f t="shared" ca="1" si="8"/>
        <v>0</v>
      </c>
      <c r="P48" s="180" t="str">
        <f t="shared" ca="1" si="9"/>
        <v>è</v>
      </c>
      <c r="Q48" s="179">
        <f t="shared" ca="1" si="10"/>
        <v>0</v>
      </c>
      <c r="R48" s="52"/>
      <c r="S48" s="179">
        <f ca="1">_xll.DBRW(Server&amp;Cube1,$F$21,$F$14,$F$15,$F$20,$C$18,$F$17,$F$19,$C$19,$K$2,K$1,$C48)</f>
        <v>0</v>
      </c>
      <c r="T48" s="52"/>
      <c r="U48" s="179">
        <f t="shared" ca="1" si="11"/>
        <v>0</v>
      </c>
      <c r="V48" s="165">
        <f t="shared" ca="1" si="13"/>
        <v>0</v>
      </c>
      <c r="W48" s="52"/>
      <c r="X48" s="52"/>
      <c r="Y48" s="52"/>
      <c r="Z48" s="52"/>
      <c r="AA48" s="52"/>
      <c r="AB48" s="52"/>
      <c r="AC48" s="247" t="s">
        <v>194</v>
      </c>
      <c r="AD48" s="77" t="s">
        <v>41</v>
      </c>
      <c r="AE48" s="52"/>
      <c r="AF48" s="52"/>
      <c r="AG48" s="52"/>
      <c r="AH48" s="52"/>
      <c r="AI48" s="52"/>
      <c r="AJ48" s="52"/>
      <c r="AK48" s="52"/>
      <c r="AL48" s="52"/>
      <c r="AM48" s="52"/>
      <c r="AN48" s="52"/>
      <c r="AO48" s="52"/>
    </row>
    <row r="49" spans="1:41" s="9" customFormat="1" ht="23.25" hidden="1" outlineLevel="1" x14ac:dyDescent="0.35">
      <c r="A49" s="52"/>
      <c r="B49" s="52"/>
      <c r="C49" s="114" t="s">
        <v>99</v>
      </c>
      <c r="E49" s="240" t="str">
        <f ca="1">_xll.DBRA(Server&amp;$C$25,$C49,$F$16)</f>
        <v>Services bancaires</v>
      </c>
      <c r="F49" s="240"/>
      <c r="G49" s="240"/>
      <c r="H49" s="39"/>
      <c r="I49" s="175">
        <f ca="1">_xll.DBRW(Server&amp;Cube1,$F$21,$F$14,$F$15,$F$20,$C$18,$F$17,$F$19,$C$19,$H$3,I$1,$C49)</f>
        <v>-284.38368000000003</v>
      </c>
      <c r="J49" s="175">
        <f ca="1">_xll.DBRW(Server&amp;Cube1,$F$21,$F$14,$F$15,$F$20,$C$18,$F$17,$F$19,$C$19,$H$2,J$1,$C49)</f>
        <v>-164.03399999999999</v>
      </c>
      <c r="K49" s="175">
        <f ca="1">_xll.DBRW(Server&amp;Cube1,$F$21,$F$14,$F$15,$F$20,$C$18,$F$17,$F$19,$C$19,$H$2,K$1,$C49)</f>
        <v>-268.62383</v>
      </c>
      <c r="L49" s="173">
        <f ca="1">_xll.DBRW(Server&amp;Cube1,$F$21,$F$14,$F$15,$F$20,$C$18,$F$17,$F$19,$C$19,$H$2,L$1,$C49)</f>
        <v>-268.95992000000007</v>
      </c>
      <c r="M49" s="149"/>
      <c r="N49" s="179">
        <f t="shared" ca="1" si="7"/>
        <v>-0.33609000000006972</v>
      </c>
      <c r="O49" s="165">
        <f t="shared" ca="1" si="8"/>
        <v>-1.2511548212236782E-3</v>
      </c>
      <c r="P49" s="180" t="str">
        <f t="shared" ca="1" si="9"/>
        <v>è</v>
      </c>
      <c r="Q49" s="179">
        <f t="shared" ca="1" si="10"/>
        <v>15.423759999999959</v>
      </c>
      <c r="R49" s="52"/>
      <c r="S49" s="179">
        <f ca="1">_xll.DBRW(Server&amp;Cube1,$F$21,$F$14,$F$15,$F$20,$C$18,$F$17,$F$19,$C$19,$K$2,K$1,$C49)</f>
        <v>-795.31282999999996</v>
      </c>
      <c r="T49" s="52"/>
      <c r="U49" s="179">
        <f t="shared" ca="1" si="11"/>
        <v>-526.35290999999984</v>
      </c>
      <c r="V49" s="165">
        <f t="shared" ca="1" si="13"/>
        <v>0.66181870849486968</v>
      </c>
      <c r="W49" s="52"/>
      <c r="X49" s="52"/>
      <c r="Y49" s="52"/>
      <c r="Z49" s="52"/>
      <c r="AA49" s="52"/>
      <c r="AB49" s="52"/>
      <c r="AC49" s="247" t="s">
        <v>195</v>
      </c>
      <c r="AD49" s="77" t="s">
        <v>42</v>
      </c>
      <c r="AE49" s="52"/>
      <c r="AF49" s="52"/>
      <c r="AG49" s="52"/>
      <c r="AH49" s="52"/>
      <c r="AI49" s="52"/>
      <c r="AJ49" s="52"/>
      <c r="AK49" s="52"/>
      <c r="AL49" s="52"/>
      <c r="AM49" s="52"/>
      <c r="AN49" s="52"/>
      <c r="AO49" s="52"/>
    </row>
    <row r="50" spans="1:41" s="9" customFormat="1" ht="23.25" hidden="1" outlineLevel="1" x14ac:dyDescent="0.35">
      <c r="A50" s="52"/>
      <c r="B50" s="52"/>
      <c r="C50" s="114" t="s">
        <v>100</v>
      </c>
      <c r="E50" s="240" t="str">
        <f ca="1">_xll.DBRA(Server&amp;$C$25,$C50,$F$16)</f>
        <v>Frais de Siège</v>
      </c>
      <c r="F50" s="240"/>
      <c r="G50" s="240"/>
      <c r="H50" s="39"/>
      <c r="I50" s="175">
        <f ca="1">_xll.DBRW(Server&amp;Cube1,$F$21,$F$14,$F$15,$F$20,$C$18,$F$17,$F$19,$C$19,$H$3,I$1,$C50)</f>
        <v>0</v>
      </c>
      <c r="J50" s="175">
        <f ca="1">_xll.DBRW(Server&amp;Cube1,$F$21,$F$14,$F$15,$F$20,$C$18,$F$17,$F$19,$C$19,$H$2,J$1,$C50)</f>
        <v>0</v>
      </c>
      <c r="K50" s="175">
        <f ca="1">_xll.DBRW(Server&amp;Cube1,$F$21,$F$14,$F$15,$F$20,$C$18,$F$17,$F$19,$C$19,$H$2,K$1,$C50)</f>
        <v>0</v>
      </c>
      <c r="L50" s="173">
        <f ca="1">_xll.DBRW(Server&amp;Cube1,$F$21,$F$14,$F$15,$F$20,$C$18,$F$17,$F$19,$C$19,$H$2,L$1,$C50)</f>
        <v>0</v>
      </c>
      <c r="M50" s="149"/>
      <c r="N50" s="179">
        <f t="shared" ca="1" si="7"/>
        <v>0</v>
      </c>
      <c r="O50" s="165">
        <f t="shared" ca="1" si="8"/>
        <v>0</v>
      </c>
      <c r="P50" s="180" t="str">
        <f t="shared" ca="1" si="9"/>
        <v>è</v>
      </c>
      <c r="Q50" s="179">
        <f t="shared" ca="1" si="10"/>
        <v>0</v>
      </c>
      <c r="R50" s="52"/>
      <c r="S50" s="179">
        <f ca="1">_xll.DBRW(Server&amp;Cube1,$F$21,$F$14,$F$15,$F$20,$C$18,$F$17,$F$19,$C$19,$K$2,K$1,$C50)</f>
        <v>0</v>
      </c>
      <c r="T50" s="52"/>
      <c r="U50" s="179">
        <f t="shared" ca="1" si="11"/>
        <v>0</v>
      </c>
      <c r="V50" s="165">
        <f t="shared" ca="1" si="13"/>
        <v>0</v>
      </c>
      <c r="W50" s="52"/>
      <c r="X50" s="52"/>
      <c r="Y50" s="52"/>
      <c r="Z50" s="52"/>
      <c r="AA50" s="52"/>
      <c r="AB50" s="52"/>
      <c r="AC50" s="247" t="s">
        <v>196</v>
      </c>
      <c r="AD50" s="77" t="s">
        <v>43</v>
      </c>
      <c r="AE50" s="52"/>
      <c r="AF50" s="52"/>
      <c r="AG50" s="52"/>
      <c r="AH50" s="52"/>
      <c r="AI50" s="52"/>
      <c r="AJ50" s="52"/>
      <c r="AK50" s="52"/>
      <c r="AL50" s="52"/>
      <c r="AM50" s="52"/>
      <c r="AN50" s="52"/>
      <c r="AO50" s="52"/>
    </row>
    <row r="51" spans="1:41" s="9" customFormat="1" ht="24" collapsed="1" thickBot="1" x14ac:dyDescent="0.4">
      <c r="A51" s="52"/>
      <c r="B51" s="52"/>
      <c r="C51" s="113" t="s">
        <v>102</v>
      </c>
      <c r="E51" s="234" t="str">
        <f ca="1">_xll.DBRA(Server&amp;$C$25,$C51,$F$16)</f>
        <v>Frais de personnel et Assimilés</v>
      </c>
      <c r="F51" s="234"/>
      <c r="G51" s="234"/>
      <c r="H51" s="190"/>
      <c r="I51" s="192">
        <f ca="1">_xll.DBRW(Server&amp;Cube1,$F$21,$F$14,$F$15,$F$20,$C$18,$F$17,$F$19,$C$19,$H$3,I$1,$C51)</f>
        <v>-16721.391080000005</v>
      </c>
      <c r="J51" s="192">
        <f ca="1">_xll.DBRW(Server&amp;Cube1,$F$21,$F$14,$F$15,$F$20,$C$18,$F$17,$F$19,$C$19,$H$2,J$1,$C51)</f>
        <v>-16990.720835805678</v>
      </c>
      <c r="K51" s="192">
        <f ca="1">_xll.DBRW(Server&amp;Cube1,$F$21,$F$14,$F$15,$F$20,$C$18,$F$17,$F$19,$C$19,$H$2,K$1,$C51)</f>
        <v>-14765.034920000002</v>
      </c>
      <c r="L51" s="192">
        <f ca="1">_xll.DBRW(Server&amp;Cube1,$F$21,$F$14,$F$15,$F$20,$C$18,$F$17,$F$19,$C$19,$H$2,L$1,$C51)</f>
        <v>-14794.784290000001</v>
      </c>
      <c r="M51" s="203"/>
      <c r="N51" s="194">
        <f t="shared" ca="1" si="7"/>
        <v>-29.749369999999544</v>
      </c>
      <c r="O51" s="195">
        <f t="shared" ca="1" si="8"/>
        <v>-2.014852667886514E-3</v>
      </c>
      <c r="P51" s="196" t="str">
        <f t="shared" ca="1" si="9"/>
        <v>è</v>
      </c>
      <c r="Q51" s="194">
        <f t="shared" ca="1" si="10"/>
        <v>1926.6067900000035</v>
      </c>
      <c r="R51" s="52"/>
      <c r="S51" s="194">
        <f ca="1">_xll.DBRW(Server&amp;Cube1,$F$21,$F$14,$F$15,$F$20,$C$18,$F$17,$F$19,$C$19,$K$2,K$1,$C51)</f>
        <v>-45066.533165068453</v>
      </c>
      <c r="T51" s="52"/>
      <c r="U51" s="194">
        <f t="shared" ca="1" si="11"/>
        <v>-30271.74887506845</v>
      </c>
      <c r="V51" s="195">
        <f t="shared" ca="1" si="13"/>
        <v>0.67171239385532333</v>
      </c>
      <c r="W51" s="52"/>
      <c r="X51" s="52"/>
      <c r="Y51" s="52"/>
      <c r="Z51" s="52"/>
      <c r="AA51" s="52"/>
      <c r="AB51" s="52"/>
      <c r="AC51" s="247" t="s">
        <v>197</v>
      </c>
      <c r="AD51" s="77" t="s">
        <v>44</v>
      </c>
      <c r="AE51" s="52"/>
      <c r="AF51" s="52"/>
      <c r="AG51" s="52"/>
      <c r="AH51" s="52"/>
      <c r="AI51" s="52"/>
      <c r="AJ51" s="52"/>
      <c r="AK51" s="52"/>
      <c r="AL51" s="52"/>
      <c r="AM51" s="52"/>
      <c r="AN51" s="52"/>
      <c r="AO51" s="52"/>
    </row>
    <row r="52" spans="1:41" s="9" customFormat="1" ht="23.25" hidden="1" outlineLevel="1" x14ac:dyDescent="0.35">
      <c r="A52" s="52"/>
      <c r="B52" s="52"/>
      <c r="C52" s="114" t="s">
        <v>103</v>
      </c>
      <c r="E52" s="240" t="str">
        <f ca="1">_xll.DBRA(Server&amp;$C$25,$C52,$F$16)</f>
        <v>Frais de personnel</v>
      </c>
      <c r="F52" s="240"/>
      <c r="G52" s="240"/>
      <c r="H52" s="39"/>
      <c r="I52" s="175">
        <f ca="1">_xll.DBRW(Server&amp;Cube1,$F$21,$F$14,$F$15,$F$20,$C$18,$F$17,$F$19,$C$19,$H$3,I$1,$C52)</f>
        <v>-15871.942600000002</v>
      </c>
      <c r="J52" s="175">
        <f ca="1">_xll.DBRW(Server&amp;Cube1,$F$21,$F$14,$F$15,$F$20,$C$18,$F$17,$F$19,$C$19,$H$2,J$1,$C52)</f>
        <v>-15949.732835805677</v>
      </c>
      <c r="K52" s="175">
        <f ca="1">_xll.DBRW(Server&amp;Cube1,$F$21,$F$14,$F$15,$F$20,$C$18,$F$17,$F$19,$C$19,$H$2,K$1,$C52)</f>
        <v>-13865.40035</v>
      </c>
      <c r="L52" s="173">
        <f ca="1">_xll.DBRW(Server&amp;Cube1,$F$21,$F$14,$F$15,$F$20,$C$18,$F$17,$F$19,$C$19,$H$2,L$1,$C52)</f>
        <v>-13894.449079999999</v>
      </c>
      <c r="M52" s="150"/>
      <c r="N52" s="179">
        <f t="shared" ca="1" si="7"/>
        <v>-29.048729999998613</v>
      </c>
      <c r="O52" s="165">
        <f t="shared" ca="1" si="8"/>
        <v>-2.0950516585695714E-3</v>
      </c>
      <c r="P52" s="180" t="str">
        <f t="shared" ca="1" si="9"/>
        <v>è</v>
      </c>
      <c r="Q52" s="179">
        <f t="shared" ca="1" si="10"/>
        <v>1977.4935200000036</v>
      </c>
      <c r="R52" s="52"/>
      <c r="S52" s="179">
        <f ca="1">_xll.DBRW(Server&amp;Cube1,$F$21,$F$14,$F$15,$F$20,$C$18,$F$17,$F$19,$C$19,$K$2,K$1,$C52)</f>
        <v>-42284.84900659624</v>
      </c>
      <c r="T52" s="52"/>
      <c r="U52" s="179">
        <f t="shared" ca="1" si="11"/>
        <v>-28390.399926596241</v>
      </c>
      <c r="V52" s="165">
        <f t="shared" ca="1" si="13"/>
        <v>0.67140833167377445</v>
      </c>
      <c r="W52" s="52"/>
      <c r="X52" s="52"/>
      <c r="Y52" s="52"/>
      <c r="Z52" s="52"/>
      <c r="AA52" s="52"/>
      <c r="AB52" s="52"/>
      <c r="AC52" s="247" t="s">
        <v>198</v>
      </c>
      <c r="AD52" s="77" t="s">
        <v>45</v>
      </c>
      <c r="AE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</row>
    <row r="53" spans="1:41" s="9" customFormat="1" ht="24" hidden="1" outlineLevel="1" thickBot="1" x14ac:dyDescent="0.4">
      <c r="A53" s="52"/>
      <c r="B53" s="52"/>
      <c r="C53" s="114" t="s">
        <v>105</v>
      </c>
      <c r="E53" s="240" t="str">
        <f ca="1">_xll.DBRA(Server&amp;$C$25,$C53,$F$16)</f>
        <v>Personnel Intérimaire</v>
      </c>
      <c r="F53" s="240"/>
      <c r="G53" s="240"/>
      <c r="H53" s="39"/>
      <c r="I53" s="175">
        <f ca="1">_xll.DBRW(Server&amp;Cube1,$F$21,$F$14,$F$15,$F$20,$C$18,$F$17,$F$19,$C$19,$H$3,I$1,$C53)</f>
        <v>-143.30089000000001</v>
      </c>
      <c r="J53" s="175">
        <f ca="1">_xll.DBRW(Server&amp;Cube1,$F$21,$F$14,$F$15,$F$20,$C$18,$F$17,$F$19,$C$19,$H$2,J$1,$C53)</f>
        <v>-78.468000000000004</v>
      </c>
      <c r="K53" s="175">
        <f ca="1">_xll.DBRW(Server&amp;Cube1,$F$21,$F$14,$F$15,$F$20,$C$18,$F$17,$F$19,$C$19,$H$2,K$1,$C53)</f>
        <v>-42.27167</v>
      </c>
      <c r="L53" s="173">
        <f ca="1">_xll.DBRW(Server&amp;Cube1,$F$21,$F$14,$F$15,$F$20,$C$18,$F$17,$F$19,$C$19,$H$2,L$1,$C53)</f>
        <v>-42.97231</v>
      </c>
      <c r="M53" s="150"/>
      <c r="N53" s="179">
        <f t="shared" ca="1" si="7"/>
        <v>-0.70063999999999993</v>
      </c>
      <c r="O53" s="165">
        <f t="shared" ca="1" si="8"/>
        <v>-1.6574694115467876E-2</v>
      </c>
      <c r="P53" s="180" t="str">
        <f t="shared" ca="1" si="9"/>
        <v>î</v>
      </c>
      <c r="Q53" s="179">
        <f t="shared" ca="1" si="10"/>
        <v>100.32858000000002</v>
      </c>
      <c r="R53" s="52"/>
      <c r="S53" s="179">
        <f ca="1">_xll.DBRW(Server&amp;Cube1,$F$21,$F$14,$F$15,$F$20,$C$18,$F$17,$F$19,$C$19,$K$2,K$1,$C53)</f>
        <v>-199.99252000000004</v>
      </c>
      <c r="T53" s="52"/>
      <c r="U53" s="179">
        <f t="shared" ca="1" si="11"/>
        <v>-157.02021000000005</v>
      </c>
      <c r="V53" s="165">
        <f t="shared" ca="1" si="13"/>
        <v>0.78513041387747906</v>
      </c>
      <c r="W53" s="52"/>
      <c r="X53" s="52"/>
      <c r="Y53" s="52"/>
      <c r="Z53" s="52"/>
      <c r="AA53" s="52"/>
      <c r="AB53" s="52"/>
      <c r="AC53" s="247" t="s">
        <v>199</v>
      </c>
      <c r="AD53" s="78" t="s">
        <v>46</v>
      </c>
      <c r="AE53" s="52"/>
      <c r="AF53" s="52"/>
      <c r="AG53" s="52"/>
      <c r="AH53" s="52"/>
      <c r="AI53" s="52"/>
      <c r="AJ53" s="52"/>
      <c r="AK53" s="52"/>
      <c r="AL53" s="52"/>
      <c r="AM53" s="52"/>
      <c r="AN53" s="52"/>
      <c r="AO53" s="52"/>
    </row>
    <row r="54" spans="1:41" s="9" customFormat="1" ht="23.25" hidden="1" outlineLevel="1" x14ac:dyDescent="0.35">
      <c r="A54" s="52"/>
      <c r="B54" s="52"/>
      <c r="C54" s="114" t="s">
        <v>104</v>
      </c>
      <c r="E54" s="240" t="str">
        <f ca="1">_xll.DBRA(Server&amp;$C$25,$C54,$F$16)</f>
        <v>Personnel Mis à Disposition</v>
      </c>
      <c r="F54" s="240"/>
      <c r="G54" s="240"/>
      <c r="H54" s="39"/>
      <c r="I54" s="175">
        <f ca="1">_xll.DBRW(Server&amp;Cube1,$F$21,$F$14,$F$15,$F$20,$C$18,$F$17,$F$19,$C$19,$H$3,I$1,$C54)</f>
        <v>-706.14759000000004</v>
      </c>
      <c r="J54" s="175">
        <f ca="1">_xll.DBRW(Server&amp;Cube1,$F$21,$F$14,$F$15,$F$20,$C$18,$F$17,$F$19,$C$19,$H$2,J$1,$C54)</f>
        <v>-962.52</v>
      </c>
      <c r="K54" s="175">
        <f ca="1">_xll.DBRW(Server&amp;Cube1,$F$21,$F$14,$F$15,$F$20,$C$18,$F$17,$F$19,$C$19,$H$2,K$1,$C54)</f>
        <v>-857.36290000000008</v>
      </c>
      <c r="L54" s="173">
        <f ca="1">_xll.DBRW(Server&amp;Cube1,$F$21,$F$14,$F$15,$F$20,$C$18,$F$17,$F$19,$C$19,$H$2,L$1,$C54)</f>
        <v>-857.36290000000008</v>
      </c>
      <c r="M54" s="150"/>
      <c r="N54" s="179">
        <f t="shared" ca="1" si="7"/>
        <v>0</v>
      </c>
      <c r="O54" s="165">
        <f t="shared" ca="1" si="8"/>
        <v>0</v>
      </c>
      <c r="P54" s="180" t="str">
        <f t="shared" ca="1" si="9"/>
        <v>è</v>
      </c>
      <c r="Q54" s="179">
        <f t="shared" ca="1" si="10"/>
        <v>-151.21531000000004</v>
      </c>
      <c r="R54" s="52"/>
      <c r="S54" s="179">
        <f ca="1">_xll.DBRW(Server&amp;Cube1,$F$21,$F$14,$F$15,$F$20,$C$18,$F$17,$F$19,$C$19,$K$2,K$1,$C54)</f>
        <v>-2581.6916384722226</v>
      </c>
      <c r="T54" s="52"/>
      <c r="U54" s="179">
        <f t="shared" ca="1" si="11"/>
        <v>-1724.3287384722225</v>
      </c>
      <c r="V54" s="165">
        <f t="shared" ca="1" si="13"/>
        <v>0.66790654343701361</v>
      </c>
      <c r="W54" s="52"/>
      <c r="X54" s="52"/>
      <c r="Y54" s="52"/>
      <c r="Z54" s="52"/>
      <c r="AA54" s="52"/>
      <c r="AB54" s="52"/>
      <c r="AC54" s="52"/>
      <c r="AD54" s="68" t="s">
        <v>51</v>
      </c>
      <c r="AE54" s="52"/>
      <c r="AF54" s="52"/>
      <c r="AG54" s="52"/>
      <c r="AH54" s="52"/>
      <c r="AI54" s="52"/>
      <c r="AJ54" s="52"/>
      <c r="AK54" s="52"/>
      <c r="AL54" s="52"/>
      <c r="AM54" s="52"/>
      <c r="AN54" s="52"/>
      <c r="AO54" s="52"/>
    </row>
    <row r="55" spans="1:41" s="9" customFormat="1" ht="24" collapsed="1" thickBot="1" x14ac:dyDescent="0.4">
      <c r="A55" s="52"/>
      <c r="B55" s="52"/>
      <c r="C55" s="113" t="s">
        <v>106</v>
      </c>
      <c r="E55" s="234" t="str">
        <f ca="1">_xll.DBRA(Server&amp;$C$25,$C55,$F$16)</f>
        <v>Frais de déplacement</v>
      </c>
      <c r="F55" s="234"/>
      <c r="G55" s="234"/>
      <c r="H55" s="190"/>
      <c r="I55" s="192">
        <f ca="1">_xll.DBRW(Server&amp;Cube1,$F$21,$F$14,$F$15,$F$20,$C$18,$F$17,$F$19,$C$19,$H$3,I$1,$C55)</f>
        <v>-484.86414999999988</v>
      </c>
      <c r="J55" s="192">
        <f ca="1">_xll.DBRW(Server&amp;Cube1,$F$21,$F$14,$F$15,$F$20,$C$18,$F$17,$F$19,$C$19,$H$2,J$1,$C55)</f>
        <v>-587.98</v>
      </c>
      <c r="K55" s="192">
        <f ca="1">_xll.DBRW(Server&amp;Cube1,$F$21,$F$14,$F$15,$F$20,$C$18,$F$17,$F$19,$C$19,$H$2,K$1,$C55)</f>
        <v>-202.25990999999999</v>
      </c>
      <c r="L55" s="192">
        <f ca="1">_xll.DBRW(Server&amp;Cube1,$F$21,$F$14,$F$15,$F$20,$C$18,$F$17,$F$19,$C$19,$H$2,L$1,$C55)</f>
        <v>-202.40642000000003</v>
      </c>
      <c r="M55" s="203"/>
      <c r="N55" s="194">
        <f t="shared" ca="1" si="7"/>
        <v>-0.14651000000003478</v>
      </c>
      <c r="O55" s="195">
        <f t="shared" ca="1" si="8"/>
        <v>-7.2436500144806143E-4</v>
      </c>
      <c r="P55" s="196" t="str">
        <f t="shared" ca="1" si="9"/>
        <v>è</v>
      </c>
      <c r="Q55" s="194">
        <f t="shared" ca="1" si="10"/>
        <v>282.45772999999986</v>
      </c>
      <c r="R55" s="52"/>
      <c r="S55" s="194">
        <f ca="1">_xll.DBRW(Server&amp;Cube1,$F$21,$F$14,$F$15,$F$20,$C$18,$F$17,$F$19,$C$19,$K$2,K$1,$C55)</f>
        <v>-1231.8672300000003</v>
      </c>
      <c r="T55" s="52"/>
      <c r="U55" s="194">
        <f t="shared" ca="1" si="11"/>
        <v>-1029.4608100000003</v>
      </c>
      <c r="V55" s="195">
        <f t="shared" ca="1" si="13"/>
        <v>0.83569136748608863</v>
      </c>
      <c r="W55" s="52"/>
      <c r="X55" s="52"/>
      <c r="Y55" s="52"/>
      <c r="Z55" s="52"/>
      <c r="AA55" s="52"/>
      <c r="AB55" s="52"/>
      <c r="AC55" s="52"/>
      <c r="AD55" s="75" t="s">
        <v>56</v>
      </c>
      <c r="AE55" s="52"/>
      <c r="AF55" s="52"/>
      <c r="AG55" s="52"/>
      <c r="AH55" s="52"/>
      <c r="AI55" s="52"/>
      <c r="AJ55" s="52"/>
      <c r="AK55" s="52"/>
      <c r="AL55" s="52"/>
      <c r="AM55" s="52"/>
      <c r="AN55" s="52"/>
      <c r="AO55" s="52"/>
    </row>
    <row r="56" spans="1:41" s="9" customFormat="1" ht="24" hidden="1" outlineLevel="1" thickBot="1" x14ac:dyDescent="0.4">
      <c r="A56" s="52"/>
      <c r="B56" s="52"/>
      <c r="C56" s="114" t="s">
        <v>107</v>
      </c>
      <c r="E56" s="240" t="str">
        <f ca="1">_xll.DBRA(Server&amp;$C$25,$C56,$F$16)</f>
        <v>Notes de Frais</v>
      </c>
      <c r="F56" s="240"/>
      <c r="G56" s="240"/>
      <c r="H56" s="39"/>
      <c r="I56" s="175">
        <f ca="1">_xll.DBRW(Server&amp;Cube1,$F$21,$F$14,$F$15,$F$20,$C$18,$F$17,$F$19,$C$19,$H$3,I$1,$C56)</f>
        <v>-220.87351000000001</v>
      </c>
      <c r="J56" s="175">
        <f ca="1">_xll.DBRW(Server&amp;Cube1,$F$21,$F$14,$F$15,$F$20,$C$18,$F$17,$F$19,$C$19,$H$2,J$1,$C56)</f>
        <v>-105.544</v>
      </c>
      <c r="K56" s="175">
        <f ca="1">_xll.DBRW(Server&amp;Cube1,$F$21,$F$14,$F$15,$F$20,$C$18,$F$17,$F$19,$C$19,$H$2,K$1,$C56)</f>
        <v>-97.884869999999992</v>
      </c>
      <c r="L56" s="148">
        <f ca="1">_xll.DBRW(Server&amp;Cube1,$F$21,$F$14,$F$15,$F$20,$C$18,$F$17,$F$19,$C$19,$H$2,L$1,$C56)</f>
        <v>-98.031379999999999</v>
      </c>
      <c r="M56" s="150"/>
      <c r="N56" s="179">
        <f t="shared" ca="1" si="7"/>
        <v>-0.14651000000000636</v>
      </c>
      <c r="O56" s="165">
        <f t="shared" ca="1" si="8"/>
        <v>-1.4967583856422997E-3</v>
      </c>
      <c r="P56" s="180" t="str">
        <f t="shared" ca="1" si="9"/>
        <v>è</v>
      </c>
      <c r="Q56" s="179">
        <f t="shared" ca="1" si="10"/>
        <v>122.84213000000001</v>
      </c>
      <c r="R56" s="52"/>
      <c r="S56" s="179">
        <f ca="1">_xll.DBRW(Server&amp;Cube1,$F$21,$F$14,$F$15,$F$20,$C$18,$F$17,$F$19,$C$19,$K$2,K$1,$C56)</f>
        <v>-395.67559000000006</v>
      </c>
      <c r="T56" s="52"/>
      <c r="U56" s="179">
        <f t="shared" ca="1" si="11"/>
        <v>-297.64421000000004</v>
      </c>
      <c r="V56" s="165">
        <f t="shared" ca="1" si="13"/>
        <v>0.7522430433477082</v>
      </c>
      <c r="W56" s="52"/>
      <c r="X56" s="52"/>
      <c r="Y56" s="52"/>
      <c r="Z56" s="52"/>
      <c r="AA56" s="52"/>
      <c r="AB56" s="52"/>
      <c r="AC56" s="52"/>
      <c r="AD56" s="76" t="s">
        <v>57</v>
      </c>
      <c r="AE56" s="52"/>
      <c r="AF56" s="52"/>
      <c r="AG56" s="52"/>
      <c r="AH56" s="52"/>
      <c r="AI56" s="52"/>
      <c r="AJ56" s="52"/>
      <c r="AK56" s="52"/>
      <c r="AL56" s="52"/>
      <c r="AM56" s="52"/>
      <c r="AN56" s="52"/>
      <c r="AO56" s="52"/>
    </row>
    <row r="57" spans="1:41" s="9" customFormat="1" ht="23.25" hidden="1" outlineLevel="1" x14ac:dyDescent="0.35">
      <c r="A57" s="52"/>
      <c r="B57" s="52"/>
      <c r="C57" s="114" t="s">
        <v>108</v>
      </c>
      <c r="E57" s="240" t="str">
        <f ca="1">_xll.DBRA(Server&amp;$C$25,$C57,$F$16)</f>
        <v>Déplacements</v>
      </c>
      <c r="F57" s="240"/>
      <c r="G57" s="240"/>
      <c r="H57" s="39"/>
      <c r="I57" s="175">
        <f ca="1">_xll.DBRW(Server&amp;Cube1,$F$21,$F$14,$F$15,$F$20,$C$18,$F$17,$F$19,$C$19,$H$3,I$1,$C57)</f>
        <v>-263.9906400000001</v>
      </c>
      <c r="J57" s="175">
        <f ca="1">_xll.DBRW(Server&amp;Cube1,$F$21,$F$14,$F$15,$F$20,$C$18,$F$17,$F$19,$C$19,$H$2,J$1,$C57)</f>
        <v>-482.43600000000004</v>
      </c>
      <c r="K57" s="175">
        <f ca="1">_xll.DBRW(Server&amp;Cube1,$F$21,$F$14,$F$15,$F$20,$C$18,$F$17,$F$19,$C$19,$H$2,K$1,$C57)</f>
        <v>-104.37504</v>
      </c>
      <c r="L57" s="148">
        <f ca="1">_xll.DBRW(Server&amp;Cube1,$F$21,$F$14,$F$15,$F$20,$C$18,$F$17,$F$19,$C$19,$H$2,L$1,$C57)</f>
        <v>-104.37504000000001</v>
      </c>
      <c r="M57" s="150"/>
      <c r="N57" s="179">
        <f t="shared" ca="1" si="7"/>
        <v>0</v>
      </c>
      <c r="O57" s="165">
        <f t="shared" ca="1" si="8"/>
        <v>0</v>
      </c>
      <c r="P57" s="180" t="str">
        <f t="shared" ca="1" si="9"/>
        <v>è</v>
      </c>
      <c r="Q57" s="179">
        <f t="shared" ca="1" si="10"/>
        <v>159.61560000000009</v>
      </c>
      <c r="R57" s="52"/>
      <c r="S57" s="179">
        <f ca="1">_xll.DBRW(Server&amp;Cube1,$F$21,$F$14,$F$15,$F$20,$C$18,$F$17,$F$19,$C$19,$K$2,K$1,$C57)</f>
        <v>-836.19163999999989</v>
      </c>
      <c r="T57" s="52"/>
      <c r="U57" s="179">
        <f t="shared" ca="1" si="11"/>
        <v>-731.81659999999988</v>
      </c>
      <c r="V57" s="165">
        <f t="shared" ca="1" si="13"/>
        <v>0.87517808716671697</v>
      </c>
      <c r="W57" s="52"/>
      <c r="X57" s="52"/>
      <c r="Y57" s="52"/>
      <c r="Z57" s="52"/>
      <c r="AA57" s="52"/>
      <c r="AB57" s="52"/>
      <c r="AC57" s="52"/>
      <c r="AD57" s="88" t="s">
        <v>63</v>
      </c>
      <c r="AE57" s="52"/>
      <c r="AF57" s="52"/>
      <c r="AG57" s="52"/>
      <c r="AH57" s="52"/>
      <c r="AI57" s="52"/>
      <c r="AJ57" s="52"/>
      <c r="AK57" s="52"/>
      <c r="AL57" s="52"/>
      <c r="AM57" s="52"/>
      <c r="AN57" s="52"/>
      <c r="AO57" s="52"/>
    </row>
    <row r="58" spans="1:41" s="9" customFormat="1" ht="24" collapsed="1" thickBot="1" x14ac:dyDescent="0.4">
      <c r="A58" s="52"/>
      <c r="B58" s="52"/>
      <c r="C58" s="113" t="s">
        <v>109</v>
      </c>
      <c r="E58" s="234" t="str">
        <f ca="1">_xll.DBRA(Server&amp;$C$25,$C58,$F$16)</f>
        <v>Coûts d'environnement, Taxes et dotations</v>
      </c>
      <c r="F58" s="234"/>
      <c r="G58" s="234"/>
      <c r="H58" s="190"/>
      <c r="I58" s="192">
        <f ca="1">_xll.DBRW(Server&amp;Cube1,$F$21,$F$14,$F$15,$F$20,$C$18,$F$17,$F$19,$C$19,$H$3,I$1,$C58)</f>
        <v>-3757.88393</v>
      </c>
      <c r="J58" s="192">
        <f ca="1">_xll.DBRW(Server&amp;Cube1,$F$21,$F$14,$F$15,$F$20,$C$18,$F$17,$F$19,$C$19,$H$2,J$1,$C58)</f>
        <v>-3925.913</v>
      </c>
      <c r="K58" s="192">
        <f ca="1">_xll.DBRW(Server&amp;Cube1,$F$21,$F$14,$F$15,$F$20,$C$18,$F$17,$F$19,$C$19,$H$2,K$1,$C58)</f>
        <v>-3339.5204899999999</v>
      </c>
      <c r="L58" s="192">
        <f ca="1">_xll.DBRW(Server&amp;Cube1,$F$21,$F$14,$F$15,$F$20,$C$18,$F$17,$F$19,$C$19,$H$2,L$1,$C58)</f>
        <v>-3402.1374599999999</v>
      </c>
      <c r="M58" s="203"/>
      <c r="N58" s="194">
        <f t="shared" ca="1" si="7"/>
        <v>-62.616970000000038</v>
      </c>
      <c r="O58" s="195">
        <f t="shared" ca="1" si="8"/>
        <v>-1.8750287709718483E-2</v>
      </c>
      <c r="P58" s="196" t="str">
        <f t="shared" ca="1" si="9"/>
        <v>î</v>
      </c>
      <c r="Q58" s="194">
        <f t="shared" ca="1" si="10"/>
        <v>355.74647000000004</v>
      </c>
      <c r="R58" s="52"/>
      <c r="S58" s="194">
        <f ca="1">_xll.DBRW(Server&amp;Cube1,$F$21,$F$14,$F$15,$F$20,$C$18,$F$17,$F$19,$C$19,$K$2,K$1,$C58)</f>
        <v>-10203.545080984501</v>
      </c>
      <c r="T58" s="52"/>
      <c r="U58" s="194">
        <f t="shared" ca="1" si="11"/>
        <v>-6801.4076209845007</v>
      </c>
      <c r="V58" s="195">
        <f t="shared" ca="1" si="13"/>
        <v>0.66657299664013037</v>
      </c>
      <c r="W58" s="52"/>
      <c r="X58" s="52"/>
      <c r="Y58" s="52"/>
      <c r="Z58" s="52"/>
      <c r="AA58" s="52"/>
      <c r="AB58" s="52"/>
      <c r="AC58" s="52"/>
      <c r="AD58" s="89" t="s">
        <v>64</v>
      </c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</row>
    <row r="59" spans="1:41" s="9" customFormat="1" ht="24" thickBot="1" x14ac:dyDescent="0.4">
      <c r="A59" s="52"/>
      <c r="B59" s="52"/>
      <c r="C59" s="116" t="s">
        <v>110</v>
      </c>
      <c r="E59" s="232" t="str">
        <f ca="1">_xll.DBRA(Server&amp;$C$25,$C59,$F$16)</f>
        <v>Coûts d'environnement</v>
      </c>
      <c r="F59" s="232"/>
      <c r="G59" s="232"/>
      <c r="H59" s="39"/>
      <c r="I59" s="174">
        <f ca="1">_xll.DBRW(Server&amp;Cube1,$F$21,$F$14,$F$15,$F$20,$C$18,$F$17,$F$19,$C$19,$H$3,I$1,$C59)</f>
        <v>-1577.44795</v>
      </c>
      <c r="J59" s="174">
        <f ca="1">_xll.DBRW(Server&amp;Cube1,$F$21,$F$14,$F$15,$F$20,$C$18,$F$17,$F$19,$C$19,$H$2,J$1,$C59)</f>
        <v>-1616.38</v>
      </c>
      <c r="K59" s="174">
        <f ca="1">_xll.DBRW(Server&amp;Cube1,$F$21,$F$14,$F$15,$F$20,$C$18,$F$17,$F$19,$C$19,$H$2,K$1,$C59)</f>
        <v>-1204.4176600000001</v>
      </c>
      <c r="L59" s="173">
        <f ca="1">_xll.DBRW(Server&amp;Cube1,$F$21,$F$14,$F$15,$F$20,$C$18,$F$17,$F$19,$C$19,$H$2,L$1,$C59)</f>
        <v>-1212.6210600000002</v>
      </c>
      <c r="M59" s="149"/>
      <c r="N59" s="178">
        <f t="shared" ca="1" si="7"/>
        <v>-8.2034000000001015</v>
      </c>
      <c r="O59" s="164">
        <f t="shared" ca="1" si="8"/>
        <v>-6.8110924245332813E-3</v>
      </c>
      <c r="P59" s="180" t="str">
        <f t="shared" ca="1" si="9"/>
        <v>è</v>
      </c>
      <c r="Q59" s="178">
        <f t="shared" ca="1" si="10"/>
        <v>364.82688999999982</v>
      </c>
      <c r="R59" s="52"/>
      <c r="S59" s="178">
        <f ca="1">_xll.DBRW(Server&amp;Cube1,$F$21,$F$14,$F$15,$F$20,$C$18,$F$17,$F$19,$C$19,$K$2,K$1,$C59)</f>
        <v>-4497.61085</v>
      </c>
      <c r="T59" s="52"/>
      <c r="U59" s="178">
        <f t="shared" ca="1" si="11"/>
        <v>-3284.9897899999996</v>
      </c>
      <c r="V59" s="164">
        <f t="shared" ca="1" si="13"/>
        <v>0.73038550900863275</v>
      </c>
      <c r="W59" s="52"/>
      <c r="X59" s="52"/>
      <c r="Y59" s="52"/>
      <c r="Z59" s="52"/>
      <c r="AA59" s="52"/>
      <c r="AB59" s="52"/>
      <c r="AC59" s="52"/>
      <c r="AD59" s="73" t="s">
        <v>65</v>
      </c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</row>
    <row r="60" spans="1:41" s="9" customFormat="1" ht="23.25" hidden="1" outlineLevel="1" x14ac:dyDescent="0.35">
      <c r="A60" s="52"/>
      <c r="B60" s="52"/>
      <c r="C60" s="114" t="s">
        <v>111</v>
      </c>
      <c r="E60" s="240" t="str">
        <f ca="1">_xll.DBRA(Server&amp;$C$25,$C60,$F$16)</f>
        <v>Coûts bureautique</v>
      </c>
      <c r="F60" s="240"/>
      <c r="G60" s="240"/>
      <c r="H60" s="39"/>
      <c r="I60" s="175">
        <f ca="1">_xll.DBRW(Server&amp;Cube1,$F$21,$F$14,$F$15,$F$20,$C$18,$F$17,$F$19,$C$19,$H$3,I$1,$C60)</f>
        <v>-2.8650000000000002</v>
      </c>
      <c r="J60" s="175">
        <f ca="1">_xll.DBRW(Server&amp;Cube1,$F$21,$F$14,$F$15,$F$20,$C$18,$F$17,$F$19,$C$19,$H$2,J$1,$C60)</f>
        <v>0</v>
      </c>
      <c r="K60" s="175">
        <f ca="1">_xll.DBRW(Server&amp;Cube1,$F$21,$F$14,$F$15,$F$20,$C$18,$F$17,$F$19,$C$19,$H$2,K$1,$C60)</f>
        <v>0</v>
      </c>
      <c r="L60" s="173">
        <f ca="1">_xll.DBRW(Server&amp;Cube1,$F$21,$F$14,$F$15,$F$20,$C$18,$F$17,$F$19,$C$19,$H$2,L$1,$C60)</f>
        <v>-0.85340000000000005</v>
      </c>
      <c r="M60" s="149"/>
      <c r="N60" s="179">
        <f t="shared" ca="1" si="7"/>
        <v>-0.85340000000000005</v>
      </c>
      <c r="O60" s="165">
        <f t="shared" ca="1" si="8"/>
        <v>0</v>
      </c>
      <c r="P60" s="180" t="str">
        <f t="shared" ca="1" si="9"/>
        <v>è</v>
      </c>
      <c r="Q60" s="179">
        <f t="shared" ca="1" si="10"/>
        <v>2.0116000000000001</v>
      </c>
      <c r="R60" s="52"/>
      <c r="S60" s="179">
        <f ca="1">_xll.DBRW(Server&amp;Cube1,$F$21,$F$14,$F$15,$F$20,$C$18,$F$17,$F$19,$C$19,$K$2,K$1,$C60)</f>
        <v>-0.5</v>
      </c>
      <c r="T60" s="52"/>
      <c r="U60" s="179">
        <f t="shared" ca="1" si="11"/>
        <v>0.35340000000000005</v>
      </c>
      <c r="V60" s="165">
        <f t="shared" ca="1" si="13"/>
        <v>-0.70680000000000009</v>
      </c>
      <c r="W60" s="52"/>
      <c r="X60" s="52"/>
      <c r="Y60" s="52"/>
      <c r="Z60" s="52"/>
      <c r="AA60" s="52"/>
      <c r="AB60" s="52"/>
      <c r="AC60" s="52"/>
      <c r="AE60" s="52"/>
      <c r="AF60" s="52"/>
      <c r="AG60" s="52"/>
      <c r="AH60" s="52"/>
      <c r="AI60" s="52"/>
      <c r="AJ60" s="52"/>
      <c r="AK60" s="52"/>
      <c r="AL60" s="52"/>
      <c r="AM60" s="52"/>
      <c r="AN60" s="52"/>
      <c r="AO60" s="52"/>
    </row>
    <row r="61" spans="1:41" s="9" customFormat="1" ht="23.25" hidden="1" outlineLevel="1" x14ac:dyDescent="0.35">
      <c r="A61" s="52"/>
      <c r="B61" s="52"/>
      <c r="C61" s="114" t="s">
        <v>112</v>
      </c>
      <c r="E61" s="240" t="str">
        <f ca="1">_xll.DBRA(Server&amp;$C$25,$C61,$F$16)</f>
        <v>Location Bâtiment</v>
      </c>
      <c r="F61" s="240"/>
      <c r="G61" s="240"/>
      <c r="H61" s="39"/>
      <c r="I61" s="175">
        <f ca="1">_xll.DBRW(Server&amp;Cube1,$F$21,$F$14,$F$15,$F$20,$C$18,$F$17,$F$19,$C$19,$H$3,I$1,$C61)</f>
        <v>-1574.58295</v>
      </c>
      <c r="J61" s="175">
        <f ca="1">_xll.DBRW(Server&amp;Cube1,$F$21,$F$14,$F$15,$F$20,$C$18,$F$17,$F$19,$C$19,$H$2,J$1,$C61)</f>
        <v>-1616.38</v>
      </c>
      <c r="K61" s="175">
        <f ca="1">_xll.DBRW(Server&amp;Cube1,$F$21,$F$14,$F$15,$F$20,$C$18,$F$17,$F$19,$C$19,$H$2,K$1,$C61)</f>
        <v>-1204.4176600000001</v>
      </c>
      <c r="L61" s="173">
        <f ca="1">_xll.DBRW(Server&amp;Cube1,$F$21,$F$14,$F$15,$F$20,$C$18,$F$17,$F$19,$C$19,$H$2,L$1,$C61)</f>
        <v>-1211.7676600000002</v>
      </c>
      <c r="M61" s="149"/>
      <c r="N61" s="179">
        <f t="shared" ca="1" si="7"/>
        <v>-7.3500000000001364</v>
      </c>
      <c r="O61" s="165">
        <f t="shared" ca="1" si="8"/>
        <v>-6.1025342321866455E-3</v>
      </c>
      <c r="P61" s="180" t="str">
        <f t="shared" ca="1" si="9"/>
        <v>è</v>
      </c>
      <c r="Q61" s="179">
        <f t="shared" ca="1" si="10"/>
        <v>362.81528999999978</v>
      </c>
      <c r="R61" s="52"/>
      <c r="S61" s="179">
        <f ca="1">_xll.DBRW(Server&amp;Cube1,$F$21,$F$14,$F$15,$F$20,$C$18,$F$17,$F$19,$C$19,$K$2,K$1,$C61)</f>
        <v>-4497.11085</v>
      </c>
      <c r="T61" s="52"/>
      <c r="U61" s="179">
        <f t="shared" ca="1" si="11"/>
        <v>-3285.3431899999996</v>
      </c>
      <c r="V61" s="165">
        <f t="shared" ca="1" si="13"/>
        <v>0.73054529887783393</v>
      </c>
      <c r="W61" s="52"/>
      <c r="X61" s="52"/>
      <c r="Y61" s="52"/>
      <c r="Z61" s="52"/>
      <c r="AA61" s="52"/>
      <c r="AB61" s="52"/>
      <c r="AC61" s="52"/>
      <c r="AD61" s="9" t="s">
        <v>174</v>
      </c>
      <c r="AE61" s="52"/>
      <c r="AF61" s="52"/>
      <c r="AG61" s="52"/>
      <c r="AH61" s="52"/>
      <c r="AI61" s="52"/>
      <c r="AJ61" s="52"/>
      <c r="AK61" s="52"/>
      <c r="AL61" s="52"/>
      <c r="AM61" s="52"/>
      <c r="AN61" s="52"/>
      <c r="AO61" s="52"/>
    </row>
    <row r="62" spans="1:41" s="9" customFormat="1" ht="23.25" collapsed="1" x14ac:dyDescent="0.35">
      <c r="A62" s="52"/>
      <c r="B62" s="52"/>
      <c r="C62" s="116" t="s">
        <v>113</v>
      </c>
      <c r="E62" s="232" t="str">
        <f ca="1">_xll.DBRA(Server&amp;$C$25,$C62,$F$16)</f>
        <v>Autres coûts liés au personnel</v>
      </c>
      <c r="F62" s="232"/>
      <c r="G62" s="232"/>
      <c r="H62" s="39"/>
      <c r="I62" s="174">
        <f ca="1">_xll.DBRW(Server&amp;Cube1,$F$21,$F$14,$F$15,$F$20,$C$18,$F$17,$F$19,$C$19,$H$3,I$1,$C62)</f>
        <v>-344.1152100000001</v>
      </c>
      <c r="J62" s="174">
        <f ca="1">_xll.DBRW(Server&amp;Cube1,$F$21,$F$14,$F$15,$F$20,$C$18,$F$17,$F$19,$C$19,$H$2,J$1,$C62)</f>
        <v>-308.71800000000002</v>
      </c>
      <c r="K62" s="174">
        <f ca="1">_xll.DBRW(Server&amp;Cube1,$F$21,$F$14,$F$15,$F$20,$C$18,$F$17,$F$19,$C$19,$H$2,K$1,$C62)</f>
        <v>-294.20563000000004</v>
      </c>
      <c r="L62" s="173">
        <f ca="1">_xll.DBRW(Server&amp;Cube1,$F$21,$F$14,$F$15,$F$20,$C$18,$F$17,$F$19,$C$19,$H$2,L$1,$C62)</f>
        <v>-321.44789000000014</v>
      </c>
      <c r="M62" s="149"/>
      <c r="N62" s="178">
        <f t="shared" ca="1" si="7"/>
        <v>-27.242260000000101</v>
      </c>
      <c r="O62" s="164">
        <f t="shared" ca="1" si="8"/>
        <v>-9.2595984651959576E-2</v>
      </c>
      <c r="P62" s="180" t="str">
        <f t="shared" ref="P62:P81" ca="1" si="14">IF(O62&gt;0.01,$AF$27,IF(O62&lt;-0.01,$AG$27,$AH$27))</f>
        <v>î</v>
      </c>
      <c r="Q62" s="178">
        <f t="shared" ca="1" si="10"/>
        <v>22.667319999999961</v>
      </c>
      <c r="R62" s="52"/>
      <c r="S62" s="178">
        <f ca="1">_xll.DBRW(Server&amp;Cube1,$F$21,$F$14,$F$15,$F$20,$C$18,$F$17,$F$19,$C$19,$K$2,K$1,$C62)</f>
        <v>-916.49170000000004</v>
      </c>
      <c r="T62" s="52"/>
      <c r="U62" s="178">
        <f t="shared" ca="1" si="11"/>
        <v>-595.04380999999989</v>
      </c>
      <c r="V62" s="164">
        <f t="shared" ca="1" si="13"/>
        <v>0.64926262834677051</v>
      </c>
      <c r="W62" s="52"/>
      <c r="X62" s="52"/>
      <c r="Y62" s="52"/>
      <c r="Z62" s="52"/>
      <c r="AA62" s="52"/>
      <c r="AB62" s="52"/>
      <c r="AC62" s="52"/>
      <c r="AE62" s="52"/>
      <c r="AF62" s="52"/>
      <c r="AG62" s="52"/>
      <c r="AH62" s="52"/>
      <c r="AI62" s="52"/>
      <c r="AJ62" s="52"/>
      <c r="AK62" s="52"/>
      <c r="AL62" s="52"/>
      <c r="AM62" s="52"/>
      <c r="AN62" s="52"/>
      <c r="AO62" s="52"/>
    </row>
    <row r="63" spans="1:41" s="9" customFormat="1" ht="23.25" hidden="1" outlineLevel="1" x14ac:dyDescent="0.35">
      <c r="A63" s="52"/>
      <c r="B63" s="52"/>
      <c r="C63" s="114" t="s">
        <v>114</v>
      </c>
      <c r="E63" s="240" t="str">
        <f ca="1">_xll.DBRA(Server&amp;$C$25,$C63,$F$16)</f>
        <v>Cout véhicules de fonction</v>
      </c>
      <c r="F63" s="240"/>
      <c r="G63" s="240"/>
      <c r="H63" s="39"/>
      <c r="I63" s="175">
        <f ca="1">_xll.DBRW(Server&amp;Cube1,$F$21,$F$14,$F$15,$F$20,$C$18,$F$17,$F$19,$C$19,$H$3,I$1,$C63)</f>
        <v>-253.86130000000006</v>
      </c>
      <c r="J63" s="175">
        <f ca="1">_xll.DBRW(Server&amp;Cube1,$F$21,$F$14,$F$15,$F$20,$C$18,$F$17,$F$19,$C$19,$H$2,J$1,$C63)</f>
        <v>-182.678</v>
      </c>
      <c r="K63" s="175">
        <f ca="1">_xll.DBRW(Server&amp;Cube1,$F$21,$F$14,$F$15,$F$20,$C$18,$F$17,$F$19,$C$19,$H$2,K$1,$C63)</f>
        <v>-226.44377999999995</v>
      </c>
      <c r="L63" s="173">
        <f ca="1">_xll.DBRW(Server&amp;Cube1,$F$21,$F$14,$F$15,$F$20,$C$18,$F$17,$F$19,$C$19,$H$2,L$1,$C63)</f>
        <v>-251.90065999999999</v>
      </c>
      <c r="M63" s="149"/>
      <c r="N63" s="179">
        <f t="shared" ca="1" si="7"/>
        <v>-25.456880000000041</v>
      </c>
      <c r="O63" s="165">
        <f t="shared" ca="1" si="8"/>
        <v>-0.11242031024212741</v>
      </c>
      <c r="P63" s="180" t="str">
        <f t="shared" ca="1" si="14"/>
        <v>î</v>
      </c>
      <c r="Q63" s="179">
        <f t="shared" ca="1" si="10"/>
        <v>1.960640000000069</v>
      </c>
      <c r="R63" s="52"/>
      <c r="S63" s="179">
        <f ca="1">_xll.DBRW(Server&amp;Cube1,$F$21,$F$14,$F$15,$F$20,$C$18,$F$17,$F$19,$C$19,$K$2,K$1,$C63)</f>
        <v>-672.54416000000003</v>
      </c>
      <c r="T63" s="52"/>
      <c r="U63" s="179">
        <f t="shared" ca="1" si="11"/>
        <v>-420.64350000000002</v>
      </c>
      <c r="V63" s="165">
        <f t="shared" ca="1" si="13"/>
        <v>0.62545112279318582</v>
      </c>
      <c r="W63" s="52"/>
      <c r="X63" s="52"/>
      <c r="Y63" s="52"/>
      <c r="Z63" s="52"/>
      <c r="AA63" s="52"/>
      <c r="AB63" s="52"/>
      <c r="AC63" s="52"/>
      <c r="AE63" s="52"/>
      <c r="AF63" s="52"/>
      <c r="AG63" s="52"/>
      <c r="AH63" s="52"/>
      <c r="AI63" s="52"/>
      <c r="AJ63" s="52"/>
      <c r="AK63" s="52"/>
      <c r="AL63" s="52"/>
      <c r="AM63" s="52"/>
      <c r="AN63" s="52"/>
      <c r="AO63" s="52"/>
    </row>
    <row r="64" spans="1:41" s="9" customFormat="1" ht="23.25" hidden="1" outlineLevel="1" x14ac:dyDescent="0.35">
      <c r="A64" s="52"/>
      <c r="B64" s="52"/>
      <c r="C64" s="114" t="s">
        <v>115</v>
      </c>
      <c r="E64" s="240" t="str">
        <f ca="1">_xll.DBRA(Server&amp;$C$25,$C64,$F$16)</f>
        <v>Location Appartement de fonction</v>
      </c>
      <c r="F64" s="240"/>
      <c r="G64" s="240"/>
      <c r="H64" s="39"/>
      <c r="I64" s="175">
        <f ca="1">_xll.DBRW(Server&amp;Cube1,$F$21,$F$14,$F$15,$F$20,$C$18,$F$17,$F$19,$C$19,$H$3,I$1,$C64)</f>
        <v>-37.307400000000001</v>
      </c>
      <c r="J64" s="175">
        <f ca="1">_xll.DBRW(Server&amp;Cube1,$F$21,$F$14,$F$15,$F$20,$C$18,$F$17,$F$19,$C$19,$H$2,J$1,$C64)</f>
        <v>-42.6</v>
      </c>
      <c r="K64" s="175">
        <f ca="1">_xll.DBRW(Server&amp;Cube1,$F$21,$F$14,$F$15,$F$20,$C$18,$F$17,$F$19,$C$19,$H$2,K$1,$C64)</f>
        <v>-33.298830000000002</v>
      </c>
      <c r="L64" s="173">
        <f ca="1">_xll.DBRW(Server&amp;Cube1,$F$21,$F$14,$F$15,$F$20,$C$18,$F$17,$F$19,$C$19,$H$2,L$1,$C64)</f>
        <v>-33.298830000000002</v>
      </c>
      <c r="M64" s="149"/>
      <c r="N64" s="179">
        <f t="shared" ca="1" si="7"/>
        <v>0</v>
      </c>
      <c r="O64" s="165">
        <f t="shared" ca="1" si="8"/>
        <v>0</v>
      </c>
      <c r="P64" s="180" t="str">
        <f t="shared" ca="1" si="14"/>
        <v>è</v>
      </c>
      <c r="Q64" s="179">
        <f t="shared" ca="1" si="10"/>
        <v>4.0085699999999989</v>
      </c>
      <c r="R64" s="52"/>
      <c r="S64" s="179">
        <f ca="1">_xll.DBRW(Server&amp;Cube1,$F$21,$F$14,$F$15,$F$20,$C$18,$F$17,$F$19,$C$19,$K$2,K$1,$C64)</f>
        <v>-68.242359999999991</v>
      </c>
      <c r="T64" s="52"/>
      <c r="U64" s="179">
        <f t="shared" ca="1" si="11"/>
        <v>-34.943529999999988</v>
      </c>
      <c r="V64" s="165">
        <f t="shared" ca="1" si="13"/>
        <v>0.51205043319134913</v>
      </c>
      <c r="W64" s="52"/>
      <c r="X64" s="52"/>
      <c r="Y64" s="52"/>
      <c r="Z64" s="52"/>
      <c r="AA64" s="52"/>
      <c r="AB64" s="52"/>
      <c r="AC64" s="52"/>
      <c r="AE64" s="52"/>
      <c r="AF64" s="52"/>
      <c r="AG64" s="52"/>
      <c r="AH64" s="52"/>
      <c r="AI64" s="52"/>
      <c r="AJ64" s="52"/>
      <c r="AK64" s="52"/>
      <c r="AL64" s="52"/>
      <c r="AM64" s="52"/>
      <c r="AN64" s="52"/>
      <c r="AO64" s="52"/>
    </row>
    <row r="65" spans="1:41" s="9" customFormat="1" ht="23.25" hidden="1" outlineLevel="1" x14ac:dyDescent="0.35">
      <c r="A65" s="52"/>
      <c r="B65" s="52"/>
      <c r="C65" s="114" t="s">
        <v>116</v>
      </c>
      <c r="E65" s="171" t="s">
        <v>101</v>
      </c>
      <c r="F65" s="171"/>
      <c r="G65" s="171"/>
      <c r="H65" s="39"/>
      <c r="I65" s="175">
        <f ca="1">_xll.DBRW(Server&amp;Cube1,$F$21,$F$14,$F$15,$F$20,$C$18,$F$17,$F$19,$C$19,$H$3,I$1,$C65)</f>
        <v>-52.946509999999932</v>
      </c>
      <c r="J65" s="175">
        <f ca="1">_xll.DBRW(Server&amp;Cube1,$F$21,$F$14,$F$15,$F$20,$C$18,$F$17,$F$19,$C$19,$H$2,J$1,$C65)</f>
        <v>-83.44</v>
      </c>
      <c r="K65" s="175">
        <f ca="1">_xll.DBRW(Server&amp;Cube1,$F$21,$F$14,$F$15,$F$20,$C$18,$F$17,$F$19,$C$19,$H$2,K$1,$C65)</f>
        <v>-34.46302</v>
      </c>
      <c r="L65" s="173">
        <f ca="1">_xll.DBRW(Server&amp;Cube1,$F$21,$F$14,$F$15,$F$20,$C$18,$F$17,$F$19,$C$19,$H$2,L$1,$C65)</f>
        <v>-36.248400000000039</v>
      </c>
      <c r="M65" s="149"/>
      <c r="N65" s="178">
        <f t="shared" ref="N65:N81" ca="1" si="15">L65-K65</f>
        <v>-1.785380000000039</v>
      </c>
      <c r="O65" s="165">
        <f t="shared" ref="O65:O81" ca="1" si="16">IF(K65=0,0,IF(K65&lt;0,N65/-K65,N65/K65))</f>
        <v>-5.1805674604258105E-2</v>
      </c>
      <c r="P65" s="180" t="str">
        <f t="shared" ca="1" si="14"/>
        <v>î</v>
      </c>
      <c r="Q65" s="179">
        <f t="shared" ref="Q65:Q81" ca="1" si="17">L65-I65</f>
        <v>16.698109999999893</v>
      </c>
      <c r="R65" s="52"/>
      <c r="S65" s="179">
        <f ca="1">_xll.DBRW(Server&amp;Cube1,$F$21,$F$14,$F$15,$F$20,$C$18,$F$17,$F$19,$C$19,$K$2,K$1,$C65)</f>
        <v>-175.70518000000001</v>
      </c>
      <c r="T65" s="52"/>
      <c r="U65" s="178">
        <f t="shared" ca="1" si="11"/>
        <v>-139.45677999999998</v>
      </c>
      <c r="V65" s="165">
        <f t="shared" ca="1" si="13"/>
        <v>0.79369760185783922</v>
      </c>
      <c r="W65" s="52"/>
      <c r="X65" s="52"/>
      <c r="Y65" s="52"/>
      <c r="Z65" s="52"/>
      <c r="AA65" s="52"/>
      <c r="AB65" s="52"/>
      <c r="AC65" s="52"/>
      <c r="AE65" s="52"/>
      <c r="AF65" s="52"/>
      <c r="AG65" s="52"/>
      <c r="AH65" s="52"/>
      <c r="AI65" s="52"/>
      <c r="AJ65" s="52"/>
      <c r="AK65" s="52"/>
      <c r="AL65" s="52"/>
      <c r="AM65" s="52"/>
      <c r="AN65" s="52"/>
      <c r="AO65" s="52"/>
    </row>
    <row r="66" spans="1:41" s="9" customFormat="1" ht="23.25" collapsed="1" x14ac:dyDescent="0.35">
      <c r="A66" s="52"/>
      <c r="B66" s="52"/>
      <c r="C66" s="116" t="s">
        <v>117</v>
      </c>
      <c r="E66" s="232" t="str">
        <f ca="1">_xll.DBRA(Server&amp;$C$25,$C66,$F$16)</f>
        <v>Autres impôts et taxes</v>
      </c>
      <c r="F66" s="232"/>
      <c r="G66" s="232"/>
      <c r="H66" s="39"/>
      <c r="I66" s="174">
        <f ca="1">_xll.DBRW(Server&amp;Cube1,$F$21,$F$14,$F$15,$F$20,$C$18,$F$17,$F$19,$C$19,$H$3,I$1,$C66)</f>
        <v>-599.64850999999987</v>
      </c>
      <c r="J66" s="174">
        <f ca="1">_xll.DBRW(Server&amp;Cube1,$F$21,$F$14,$F$15,$F$20,$C$18,$F$17,$F$19,$C$19,$H$2,J$1,$C66)</f>
        <v>-613.84</v>
      </c>
      <c r="K66" s="174">
        <f ca="1">_xll.DBRW(Server&amp;Cube1,$F$21,$F$14,$F$15,$F$20,$C$18,$F$17,$F$19,$C$19,$H$2,K$1,$C66)</f>
        <v>-579.17889000000002</v>
      </c>
      <c r="L66" s="173">
        <f ca="1">_xll.DBRW(Server&amp;Cube1,$F$21,$F$14,$F$15,$F$20,$C$18,$F$17,$F$19,$C$19,$H$2,L$1,$C66)</f>
        <v>-585.24450999999999</v>
      </c>
      <c r="M66" s="149"/>
      <c r="N66" s="178">
        <f t="shared" ca="1" si="15"/>
        <v>-6.0656199999999671</v>
      </c>
      <c r="O66" s="164">
        <f t="shared" ca="1" si="16"/>
        <v>-1.0472791920990019E-2</v>
      </c>
      <c r="P66" s="180" t="str">
        <f t="shared" ca="1" si="14"/>
        <v>î</v>
      </c>
      <c r="Q66" s="178">
        <f t="shared" ca="1" si="17"/>
        <v>14.403999999999883</v>
      </c>
      <c r="R66" s="52"/>
      <c r="S66" s="178">
        <f ca="1">_xll.DBRW(Server&amp;Cube1,$F$21,$F$14,$F$15,$F$20,$C$18,$F$17,$F$19,$C$19,$K$2,K$1,$C66)</f>
        <v>-1774.5</v>
      </c>
      <c r="T66" s="52"/>
      <c r="U66" s="178">
        <f t="shared" ca="1" si="11"/>
        <v>-1189.25549</v>
      </c>
      <c r="V66" s="164">
        <f t="shared" ca="1" si="13"/>
        <v>0.67019187940264868</v>
      </c>
      <c r="W66" s="52"/>
      <c r="X66" s="52"/>
      <c r="Y66" s="52"/>
      <c r="Z66" s="52"/>
      <c r="AA66" s="52"/>
      <c r="AB66" s="52"/>
      <c r="AC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</row>
    <row r="67" spans="1:41" s="9" customFormat="1" ht="23.25" hidden="1" outlineLevel="1" x14ac:dyDescent="0.35">
      <c r="A67" s="52"/>
      <c r="B67" s="52"/>
      <c r="C67" s="114" t="s">
        <v>118</v>
      </c>
      <c r="E67" s="240" t="str">
        <f ca="1">_xll.DBRA(Server&amp;$C$25,$C67,$F$16)</f>
        <v>CET - CVAE</v>
      </c>
      <c r="F67" s="240"/>
      <c r="G67" s="240"/>
      <c r="H67" s="39"/>
      <c r="I67" s="175">
        <f ca="1">_xll.DBRW(Server&amp;Cube1,$F$21,$F$14,$F$15,$F$20,$C$18,$F$17,$F$19,$C$19,$H$3,I$1,$C67)</f>
        <v>-300</v>
      </c>
      <c r="J67" s="175">
        <f ca="1">_xll.DBRW(Server&amp;Cube1,$F$21,$F$14,$F$15,$F$20,$C$18,$F$17,$F$19,$C$19,$H$2,J$1,$C67)</f>
        <v>-298</v>
      </c>
      <c r="K67" s="175">
        <f ca="1">_xll.DBRW(Server&amp;Cube1,$F$21,$F$14,$F$15,$F$20,$C$18,$F$17,$F$19,$C$19,$H$2,K$1,$C67)</f>
        <v>-300</v>
      </c>
      <c r="L67" s="173">
        <f ca="1">_xll.DBRW(Server&amp;Cube1,$F$21,$F$14,$F$15,$F$20,$C$18,$F$17,$F$19,$C$19,$H$2,L$1,$C67)</f>
        <v>-300</v>
      </c>
      <c r="M67" s="149"/>
      <c r="N67" s="179">
        <f t="shared" ca="1" si="15"/>
        <v>0</v>
      </c>
      <c r="O67" s="165">
        <f t="shared" ca="1" si="16"/>
        <v>0</v>
      </c>
      <c r="P67" s="180" t="str">
        <f t="shared" ca="1" si="14"/>
        <v>è</v>
      </c>
      <c r="Q67" s="179">
        <f t="shared" ca="1" si="17"/>
        <v>0</v>
      </c>
      <c r="R67" s="52"/>
      <c r="S67" s="179">
        <f ca="1">_xll.DBRW(Server&amp;Cube1,$F$21,$F$14,$F$15,$F$20,$C$18,$F$17,$F$19,$C$19,$K$2,K$1,$C67)</f>
        <v>-900</v>
      </c>
      <c r="T67" s="52"/>
      <c r="U67" s="179">
        <f t="shared" ca="1" si="11"/>
        <v>-600</v>
      </c>
      <c r="V67" s="165">
        <f t="shared" ca="1" si="13"/>
        <v>0.66666666666666663</v>
      </c>
      <c r="W67" s="52"/>
      <c r="X67" s="52"/>
      <c r="Y67" s="52"/>
      <c r="Z67" s="52"/>
      <c r="AA67" s="52"/>
      <c r="AB67" s="52"/>
      <c r="AC67" s="52"/>
      <c r="AE67" s="52"/>
      <c r="AF67" s="52"/>
      <c r="AG67" s="52"/>
      <c r="AH67" s="52"/>
      <c r="AI67" s="52"/>
      <c r="AJ67" s="52"/>
      <c r="AK67" s="52"/>
      <c r="AL67" s="52"/>
      <c r="AM67" s="52"/>
      <c r="AN67" s="52"/>
      <c r="AO67" s="52"/>
    </row>
    <row r="68" spans="1:41" s="9" customFormat="1" ht="23.25" hidden="1" outlineLevel="1" x14ac:dyDescent="0.35">
      <c r="A68" s="52"/>
      <c r="B68" s="52"/>
      <c r="C68" s="114" t="s">
        <v>119</v>
      </c>
      <c r="E68" s="240" t="str">
        <f ca="1">_xll.DBRA(Server&amp;$C$25,$C68,$F$16)</f>
        <v>Impôts et taxes divers</v>
      </c>
      <c r="F68" s="240"/>
      <c r="G68" s="240"/>
      <c r="H68" s="39"/>
      <c r="I68" s="175">
        <f ca="1">_xll.DBRW(Server&amp;Cube1,$F$21,$F$14,$F$15,$F$20,$C$18,$F$17,$F$19,$C$19,$H$3,I$1,$C68)</f>
        <v>-299.64850999999999</v>
      </c>
      <c r="J68" s="175">
        <f ca="1">_xll.DBRW(Server&amp;Cube1,$F$21,$F$14,$F$15,$F$20,$C$18,$F$17,$F$19,$C$19,$H$2,J$1,$C68)</f>
        <v>-315.84000000000003</v>
      </c>
      <c r="K68" s="175">
        <f ca="1">_xll.DBRW(Server&amp;Cube1,$F$21,$F$14,$F$15,$F$20,$C$18,$F$17,$F$19,$C$19,$H$2,K$1,$C68)</f>
        <v>-279.17889000000002</v>
      </c>
      <c r="L68" s="173">
        <f ca="1">_xll.DBRW(Server&amp;Cube1,$F$21,$F$14,$F$15,$F$20,$C$18,$F$17,$F$19,$C$19,$H$2,L$1,$C68)</f>
        <v>-285.24450999999999</v>
      </c>
      <c r="M68" s="149"/>
      <c r="N68" s="179">
        <f t="shared" ca="1" si="15"/>
        <v>-6.0656199999999671</v>
      </c>
      <c r="O68" s="165">
        <f t="shared" ca="1" si="16"/>
        <v>-2.1726642727177427E-2</v>
      </c>
      <c r="P68" s="180" t="str">
        <f t="shared" ca="1" si="14"/>
        <v>î</v>
      </c>
      <c r="Q68" s="179">
        <f t="shared" ca="1" si="17"/>
        <v>14.403999999999996</v>
      </c>
      <c r="R68" s="52"/>
      <c r="S68" s="179">
        <f ca="1">_xll.DBRW(Server&amp;Cube1,$F$21,$F$14,$F$15,$F$20,$C$18,$F$17,$F$19,$C$19,$K$2,K$1,$C68)</f>
        <v>-874.5</v>
      </c>
      <c r="T68" s="52"/>
      <c r="U68" s="179">
        <f t="shared" ca="1" si="11"/>
        <v>-589.25549000000001</v>
      </c>
      <c r="V68" s="165">
        <f t="shared" ca="1" si="13"/>
        <v>0.67381988564894224</v>
      </c>
      <c r="W68" s="52"/>
      <c r="X68" s="52"/>
      <c r="Y68" s="52"/>
      <c r="Z68" s="52"/>
      <c r="AA68" s="52"/>
      <c r="AB68" s="52"/>
      <c r="AC68" s="52"/>
      <c r="AE68" s="52"/>
      <c r="AF68" s="52"/>
      <c r="AG68" s="52"/>
      <c r="AH68" s="52"/>
      <c r="AI68" s="52"/>
      <c r="AJ68" s="52"/>
      <c r="AK68" s="52"/>
      <c r="AL68" s="52"/>
      <c r="AM68" s="52"/>
      <c r="AN68" s="52"/>
      <c r="AO68" s="52"/>
    </row>
    <row r="69" spans="1:41" s="9" customFormat="1" ht="23.25" collapsed="1" x14ac:dyDescent="0.35">
      <c r="A69" s="52"/>
      <c r="B69" s="52"/>
      <c r="C69" s="116" t="s">
        <v>120</v>
      </c>
      <c r="E69" s="232" t="str">
        <f ca="1">_xll.DBRA(Server&amp;$C$25,$C69,$F$16)</f>
        <v>Dotations amortissements et provisions exceptionnelles</v>
      </c>
      <c r="F69" s="232"/>
      <c r="G69" s="232"/>
      <c r="H69" s="39"/>
      <c r="I69" s="174">
        <f ca="1">_xll.DBRW(Server&amp;Cube1,$F$21,$F$14,$F$15,$F$20,$C$18,$F$17,$F$19,$C$19,$H$3,I$1,$C69)</f>
        <v>-116.956</v>
      </c>
      <c r="J69" s="174">
        <f ca="1">_xll.DBRW(Server&amp;Cube1,$F$21,$F$14,$F$15,$F$20,$C$18,$F$17,$F$19,$C$19,$H$2,J$1,$C69)</f>
        <v>-46.832999999999998</v>
      </c>
      <c r="K69" s="174">
        <f ca="1">_xll.DBRW(Server&amp;Cube1,$F$21,$F$14,$F$15,$F$20,$C$18,$F$17,$F$19,$C$19,$H$2,K$1,$C69)</f>
        <v>-109.71448000000001</v>
      </c>
      <c r="L69" s="173">
        <f ca="1">_xll.DBRW(Server&amp;Cube1,$F$21,$F$14,$F$15,$F$20,$C$18,$F$17,$F$19,$C$19,$H$2,L$1,$C69)</f>
        <v>-146.34800000000001</v>
      </c>
      <c r="M69" s="149"/>
      <c r="N69" s="176">
        <f t="shared" ca="1" si="15"/>
        <v>-36.633520000000004</v>
      </c>
      <c r="O69" s="161">
        <f t="shared" ca="1" si="16"/>
        <v>-0.33389867955442165</v>
      </c>
      <c r="P69" s="180" t="str">
        <f t="shared" ca="1" si="14"/>
        <v>î</v>
      </c>
      <c r="Q69" s="176">
        <f t="shared" ca="1" si="17"/>
        <v>-29.39200000000001</v>
      </c>
      <c r="R69" s="52"/>
      <c r="S69" s="176">
        <f ca="1">_xll.DBRW(Server&amp;Cube1,$F$21,$F$14,$F$15,$F$20,$C$18,$F$17,$F$19,$C$19,$K$2,K$1,$C69)</f>
        <v>591.99917999999934</v>
      </c>
      <c r="T69" s="52"/>
      <c r="U69" s="176">
        <f t="shared" ca="1" si="11"/>
        <v>738.3471799999993</v>
      </c>
      <c r="V69" s="161">
        <f t="shared" ca="1" si="13"/>
        <v>1.2472098018784419</v>
      </c>
      <c r="W69" s="52"/>
      <c r="X69" s="52"/>
      <c r="Y69" s="52"/>
      <c r="Z69" s="52"/>
      <c r="AA69" s="52"/>
      <c r="AB69" s="52"/>
      <c r="AC69" s="52"/>
      <c r="AE69" s="52"/>
      <c r="AF69" s="52"/>
      <c r="AG69" s="52"/>
      <c r="AH69" s="52"/>
      <c r="AI69" s="52"/>
      <c r="AJ69" s="52"/>
      <c r="AK69" s="52"/>
      <c r="AL69" s="52"/>
      <c r="AM69" s="52"/>
      <c r="AN69" s="52"/>
      <c r="AO69" s="52"/>
    </row>
    <row r="70" spans="1:41" s="9" customFormat="1" ht="23.25" hidden="1" outlineLevel="1" x14ac:dyDescent="0.35">
      <c r="A70" s="52"/>
      <c r="B70" s="52"/>
      <c r="C70" s="114" t="s">
        <v>121</v>
      </c>
      <c r="E70" s="240" t="str">
        <f ca="1">_xll.DBRA(Server&amp;$C$25,$C70,$F$16)</f>
        <v>Amortissements exceptionnels</v>
      </c>
      <c r="F70" s="240"/>
      <c r="G70" s="240"/>
      <c r="H70" s="39"/>
      <c r="I70" s="175">
        <f ca="1">_xll.DBRW(Server&amp;Cube1,$F$21,$F$14,$F$15,$F$20,$C$18,$F$17,$F$19,$C$19,$H$3,I$1,$C70)</f>
        <v>0</v>
      </c>
      <c r="J70" s="175">
        <f ca="1">_xll.DBRW(Server&amp;Cube1,$F$21,$F$14,$F$15,$F$20,$C$18,$F$17,$F$19,$C$19,$H$2,J$1,$C70)</f>
        <v>0</v>
      </c>
      <c r="K70" s="175">
        <f ca="1">_xll.DBRW(Server&amp;Cube1,$F$21,$F$14,$F$15,$F$20,$C$18,$F$17,$F$19,$C$19,$H$2,K$1,$C70)</f>
        <v>0</v>
      </c>
      <c r="L70" s="173">
        <f ca="1">_xll.DBRW(Server&amp;Cube1,$F$21,$F$14,$F$15,$F$20,$C$18,$F$17,$F$19,$C$19,$H$2,L$1,$C70)</f>
        <v>0</v>
      </c>
      <c r="M70" s="150"/>
      <c r="N70" s="177">
        <f t="shared" ca="1" si="15"/>
        <v>0</v>
      </c>
      <c r="O70" s="162">
        <f t="shared" ca="1" si="16"/>
        <v>0</v>
      </c>
      <c r="P70" s="180" t="str">
        <f t="shared" ca="1" si="14"/>
        <v>è</v>
      </c>
      <c r="Q70" s="177">
        <f t="shared" ca="1" si="17"/>
        <v>0</v>
      </c>
      <c r="R70" s="52"/>
      <c r="S70" s="177">
        <f ca="1">_xll.DBRW(Server&amp;Cube1,$F$21,$F$14,$F$15,$F$20,$C$18,$F$17,$F$19,$C$19,$K$2,K$1,$C70)</f>
        <v>0</v>
      </c>
      <c r="T70" s="52"/>
      <c r="U70" s="177">
        <f t="shared" ca="1" si="11"/>
        <v>0</v>
      </c>
      <c r="V70" s="162">
        <f t="shared" ca="1" si="13"/>
        <v>0</v>
      </c>
      <c r="W70" s="52"/>
      <c r="X70" s="52"/>
      <c r="Y70" s="52"/>
      <c r="Z70" s="52"/>
      <c r="AA70" s="52"/>
      <c r="AB70" s="52"/>
      <c r="AC70" s="52"/>
      <c r="AE70" s="52"/>
      <c r="AF70" s="52"/>
      <c r="AG70" s="52"/>
      <c r="AH70" s="52"/>
      <c r="AI70" s="52"/>
      <c r="AJ70" s="52"/>
      <c r="AK70" s="52"/>
      <c r="AL70" s="52"/>
      <c r="AM70" s="52"/>
      <c r="AN70" s="52"/>
      <c r="AO70" s="52"/>
    </row>
    <row r="71" spans="1:41" s="9" customFormat="1" ht="23.25" hidden="1" outlineLevel="1" x14ac:dyDescent="0.35">
      <c r="A71" s="52"/>
      <c r="B71" s="52"/>
      <c r="C71" s="114" t="s">
        <v>122</v>
      </c>
      <c r="E71" s="240" t="str">
        <f ca="1">_xll.DBRA(Server&amp;$C$25,$C71,$F$16)</f>
        <v>Provisions exceptionnelles</v>
      </c>
      <c r="F71" s="240"/>
      <c r="G71" s="240"/>
      <c r="H71" s="39"/>
      <c r="I71" s="175">
        <f ca="1">_xll.DBRW(Server&amp;Cube1,$F$21,$F$14,$F$15,$F$20,$C$18,$F$17,$F$19,$C$19,$H$3,I$1,$C71)</f>
        <v>-116.956</v>
      </c>
      <c r="J71" s="175">
        <f ca="1">_xll.DBRW(Server&amp;Cube1,$F$21,$F$14,$F$15,$F$20,$C$18,$F$17,$F$19,$C$19,$H$2,J$1,$C71)</f>
        <v>-46.832999999999998</v>
      </c>
      <c r="K71" s="175">
        <f ca="1">_xll.DBRW(Server&amp;Cube1,$F$21,$F$14,$F$15,$F$20,$C$18,$F$17,$F$19,$C$19,$H$2,K$1,$C71)</f>
        <v>-109.71448000000001</v>
      </c>
      <c r="L71" s="173">
        <f ca="1">_xll.DBRW(Server&amp;Cube1,$F$21,$F$14,$F$15,$F$20,$C$18,$F$17,$F$19,$C$19,$H$2,L$1,$C71)</f>
        <v>-146.34800000000001</v>
      </c>
      <c r="M71" s="150"/>
      <c r="N71" s="177">
        <f t="shared" ca="1" si="15"/>
        <v>-36.633520000000004</v>
      </c>
      <c r="O71" s="162">
        <f t="shared" ca="1" si="16"/>
        <v>-0.33389867955442165</v>
      </c>
      <c r="P71" s="180" t="str">
        <f t="shared" ca="1" si="14"/>
        <v>î</v>
      </c>
      <c r="Q71" s="177">
        <f t="shared" ca="1" si="17"/>
        <v>-29.39200000000001</v>
      </c>
      <c r="R71" s="52"/>
      <c r="S71" s="177">
        <f ca="1">_xll.DBRW(Server&amp;Cube1,$F$21,$F$14,$F$15,$F$20,$C$18,$F$17,$F$19,$C$19,$K$2,K$1,$C71)</f>
        <v>591.99917999999934</v>
      </c>
      <c r="T71" s="52"/>
      <c r="U71" s="177">
        <f t="shared" ca="1" si="11"/>
        <v>738.3471799999993</v>
      </c>
      <c r="V71" s="162">
        <f t="shared" ca="1" si="13"/>
        <v>1.2472098018784419</v>
      </c>
      <c r="W71" s="52"/>
      <c r="X71" s="52"/>
      <c r="Y71" s="52"/>
      <c r="Z71" s="52"/>
      <c r="AA71" s="52"/>
      <c r="AB71" s="52"/>
      <c r="AC71" s="52"/>
      <c r="AE71" s="52"/>
      <c r="AF71" s="52"/>
      <c r="AG71" s="52"/>
      <c r="AH71" s="52"/>
      <c r="AI71" s="52"/>
      <c r="AJ71" s="52"/>
      <c r="AK71" s="52"/>
      <c r="AL71" s="52"/>
      <c r="AM71" s="52"/>
      <c r="AN71" s="52"/>
      <c r="AO71" s="52"/>
    </row>
    <row r="72" spans="1:41" s="9" customFormat="1" ht="23.25" collapsed="1" x14ac:dyDescent="0.35">
      <c r="A72" s="52"/>
      <c r="B72" s="52"/>
      <c r="C72" s="116" t="s">
        <v>123</v>
      </c>
      <c r="E72" s="232" t="str">
        <f ca="1">_xll.DBRA(Server&amp;$C$25,$C72,$F$16)</f>
        <v>Autres produits et charges exceptionnelles</v>
      </c>
      <c r="F72" s="232"/>
      <c r="G72" s="232"/>
      <c r="H72" s="39"/>
      <c r="I72" s="174">
        <f ca="1">_xll.DBRW(Server&amp;Cube1,$F$21,$F$14,$F$15,$F$20,$C$18,$F$17,$F$19,$C$19,$H$3,I$1,$C72)</f>
        <v>0</v>
      </c>
      <c r="J72" s="174">
        <f ca="1">_xll.DBRW(Server&amp;Cube1,$F$21,$F$14,$F$15,$F$20,$C$18,$F$17,$F$19,$C$19,$H$2,J$1,$C72)</f>
        <v>0</v>
      </c>
      <c r="K72" s="174">
        <f ca="1">_xll.DBRW(Server&amp;Cube1,$F$21,$F$14,$F$15,$F$20,$C$18,$F$17,$F$19,$C$19,$H$2,K$1,$C72)</f>
        <v>5.0000000000000001E-4</v>
      </c>
      <c r="L72" s="173">
        <f ca="1">_xll.DBRW(Server&amp;Cube1,$F$21,$F$14,$F$15,$F$20,$C$18,$F$17,$F$19,$C$19,$H$2,L$1,$C72)</f>
        <v>5.0000000000000001E-4</v>
      </c>
      <c r="M72" s="149"/>
      <c r="N72" s="178">
        <f t="shared" ca="1" si="15"/>
        <v>0</v>
      </c>
      <c r="O72" s="164">
        <f t="shared" ca="1" si="16"/>
        <v>0</v>
      </c>
      <c r="P72" s="180" t="str">
        <f t="shared" ca="1" si="14"/>
        <v>è</v>
      </c>
      <c r="Q72" s="178">
        <f t="shared" ca="1" si="17"/>
        <v>5.0000000000000001E-4</v>
      </c>
      <c r="R72" s="52"/>
      <c r="S72" s="178">
        <f ca="1">_xll.DBRW(Server&amp;Cube1,$F$21,$F$14,$F$15,$F$20,$C$18,$F$17,$F$19,$C$19,$K$2,K$1,$C72)</f>
        <v>-48.319499999999998</v>
      </c>
      <c r="T72" s="52"/>
      <c r="U72" s="178">
        <f t="shared" ca="1" si="11"/>
        <v>-48.32</v>
      </c>
      <c r="V72" s="164">
        <f t="shared" ca="1" si="13"/>
        <v>1.0000103477891948</v>
      </c>
      <c r="W72" s="52"/>
      <c r="X72" s="52"/>
      <c r="Y72" s="52"/>
      <c r="Z72" s="52"/>
      <c r="AA72" s="52"/>
      <c r="AB72" s="52"/>
      <c r="AC72" s="52"/>
      <c r="AE72" s="52"/>
      <c r="AF72" s="52"/>
      <c r="AG72" s="52"/>
      <c r="AH72" s="52"/>
      <c r="AI72" s="52"/>
      <c r="AJ72" s="52"/>
      <c r="AK72" s="52"/>
      <c r="AL72" s="52"/>
      <c r="AM72" s="52"/>
      <c r="AN72" s="52"/>
      <c r="AO72" s="52"/>
    </row>
    <row r="73" spans="1:41" s="9" customFormat="1" ht="23.25" hidden="1" outlineLevel="1" x14ac:dyDescent="0.35">
      <c r="A73" s="52"/>
      <c r="B73" s="52"/>
      <c r="C73" s="114" t="s">
        <v>124</v>
      </c>
      <c r="E73" s="240" t="str">
        <f ca="1">_xll.DBRA(Server&amp;$C$25,$C73,$F$16)</f>
        <v>Autres produits exceptionnels</v>
      </c>
      <c r="F73" s="240"/>
      <c r="G73" s="240"/>
      <c r="H73" s="39"/>
      <c r="I73" s="175">
        <f ca="1">_xll.DBRW(Server&amp;Cube1,$F$21,$F$14,$F$15,$F$20,$C$18,$F$17,$F$19,$C$19,$H$3,I$1,$C73)</f>
        <v>0</v>
      </c>
      <c r="J73" s="175">
        <f ca="1">_xll.DBRW(Server&amp;Cube1,$F$21,$F$14,$F$15,$F$20,$C$18,$F$17,$F$19,$C$19,$H$2,J$1,$C73)</f>
        <v>0</v>
      </c>
      <c r="K73" s="175">
        <f ca="1">_xll.DBRW(Server&amp;Cube1,$F$21,$F$14,$F$15,$F$20,$C$18,$F$17,$F$19,$C$19,$H$2,K$1,$C73)</f>
        <v>0</v>
      </c>
      <c r="L73" s="173">
        <f ca="1">_xll.DBRW(Server&amp;Cube1,$F$21,$F$14,$F$15,$F$20,$C$18,$F$17,$F$19,$C$19,$H$2,L$1,$C73)</f>
        <v>0</v>
      </c>
      <c r="M73" s="149"/>
      <c r="N73" s="179">
        <f t="shared" ca="1" si="15"/>
        <v>0</v>
      </c>
      <c r="O73" s="165">
        <f t="shared" ca="1" si="16"/>
        <v>0</v>
      </c>
      <c r="P73" s="180" t="str">
        <f t="shared" ca="1" si="14"/>
        <v>è</v>
      </c>
      <c r="Q73" s="179">
        <f t="shared" ca="1" si="17"/>
        <v>0</v>
      </c>
      <c r="R73" s="52"/>
      <c r="S73" s="179">
        <f ca="1">_xll.DBRW(Server&amp;Cube1,$F$21,$F$14,$F$15,$F$20,$C$18,$F$17,$F$19,$C$19,$K$2,K$1,$C73)</f>
        <v>0</v>
      </c>
      <c r="T73" s="52"/>
      <c r="U73" s="179">
        <f t="shared" ca="1" si="11"/>
        <v>0</v>
      </c>
      <c r="V73" s="165">
        <f t="shared" ca="1" si="13"/>
        <v>0</v>
      </c>
      <c r="W73" s="52"/>
      <c r="X73" s="52"/>
      <c r="Y73" s="52"/>
      <c r="Z73" s="52"/>
      <c r="AA73" s="52"/>
      <c r="AB73" s="52"/>
      <c r="AC73" s="52"/>
      <c r="AE73" s="52"/>
      <c r="AF73" s="52"/>
      <c r="AG73" s="52"/>
      <c r="AH73" s="52"/>
      <c r="AI73" s="52"/>
      <c r="AJ73" s="52"/>
      <c r="AK73" s="52"/>
      <c r="AL73" s="52"/>
      <c r="AM73" s="52"/>
      <c r="AN73" s="52"/>
      <c r="AO73" s="52"/>
    </row>
    <row r="74" spans="1:41" s="9" customFormat="1" ht="23.25" hidden="1" outlineLevel="1" x14ac:dyDescent="0.35">
      <c r="A74" s="52"/>
      <c r="B74" s="52"/>
      <c r="C74" s="114" t="s">
        <v>125</v>
      </c>
      <c r="E74" s="240" t="str">
        <f ca="1">_xll.DBRA(Server&amp;$C$25,$C74,$F$16)</f>
        <v>Autres charges exceptionnelles</v>
      </c>
      <c r="F74" s="240"/>
      <c r="G74" s="240"/>
      <c r="H74" s="39"/>
      <c r="I74" s="175">
        <f ca="1">_xll.DBRW(Server&amp;Cube1,$F$21,$F$14,$F$15,$F$20,$C$18,$F$17,$F$19,$C$19,$H$3,I$1,$C74)</f>
        <v>0</v>
      </c>
      <c r="J74" s="175">
        <f ca="1">_xll.DBRW(Server&amp;Cube1,$F$21,$F$14,$F$15,$F$20,$C$18,$F$17,$F$19,$C$19,$H$2,J$1,$C74)</f>
        <v>0</v>
      </c>
      <c r="K74" s="175">
        <f ca="1">_xll.DBRW(Server&amp;Cube1,$F$21,$F$14,$F$15,$F$20,$C$18,$F$17,$F$19,$C$19,$H$2,K$1,$C74)</f>
        <v>5.0000000000000001E-4</v>
      </c>
      <c r="L74" s="173">
        <f ca="1">_xll.DBRW(Server&amp;Cube1,$F$21,$F$14,$F$15,$F$20,$C$18,$F$17,$F$19,$C$19,$H$2,L$1,$C74)</f>
        <v>5.0000000000000001E-4</v>
      </c>
      <c r="M74" s="149"/>
      <c r="N74" s="179">
        <f t="shared" ca="1" si="15"/>
        <v>0</v>
      </c>
      <c r="O74" s="165">
        <f t="shared" ca="1" si="16"/>
        <v>0</v>
      </c>
      <c r="P74" s="180" t="str">
        <f t="shared" ca="1" si="14"/>
        <v>è</v>
      </c>
      <c r="Q74" s="179">
        <f t="shared" ca="1" si="17"/>
        <v>5.0000000000000001E-4</v>
      </c>
      <c r="R74" s="52"/>
      <c r="S74" s="179">
        <f ca="1">_xll.DBRW(Server&amp;Cube1,$F$21,$F$14,$F$15,$F$20,$C$18,$F$17,$F$19,$C$19,$K$2,K$1,$C74)</f>
        <v>-48.319499999999998</v>
      </c>
      <c r="T74" s="52"/>
      <c r="U74" s="179">
        <f t="shared" ca="1" si="11"/>
        <v>-48.32</v>
      </c>
      <c r="V74" s="165">
        <f t="shared" ca="1" si="13"/>
        <v>1.0000103477891948</v>
      </c>
      <c r="W74" s="52"/>
      <c r="X74" s="52"/>
      <c r="Y74" s="52"/>
      <c r="Z74" s="52"/>
      <c r="AA74" s="52"/>
      <c r="AB74" s="52"/>
      <c r="AC74" s="52"/>
      <c r="AE74" s="52"/>
      <c r="AF74" s="52"/>
      <c r="AG74" s="52"/>
      <c r="AH74" s="52"/>
      <c r="AI74" s="52"/>
      <c r="AJ74" s="52"/>
      <c r="AK74" s="52"/>
      <c r="AL74" s="52"/>
      <c r="AM74" s="52"/>
      <c r="AN74" s="52"/>
      <c r="AO74" s="52"/>
    </row>
    <row r="75" spans="1:41" s="9" customFormat="1" ht="23.25" hidden="1" outlineLevel="1" x14ac:dyDescent="0.35">
      <c r="A75" s="52"/>
      <c r="B75" s="52"/>
      <c r="C75" s="114" t="s">
        <v>126</v>
      </c>
      <c r="E75" s="240" t="str">
        <f ca="1">_xll.DBRA(Server&amp;$C$25,$C75,$F$16)</f>
        <v>Résultats de cession</v>
      </c>
      <c r="F75" s="240"/>
      <c r="G75" s="240"/>
      <c r="H75" s="39"/>
      <c r="I75" s="175">
        <f ca="1">_xll.DBRW(Server&amp;Cube1,$F$21,$F$14,$F$15,$F$20,$C$18,$F$17,$F$19,$C$19,$H$3,I$1,$C75)</f>
        <v>0</v>
      </c>
      <c r="J75" s="175">
        <f ca="1">_xll.DBRW(Server&amp;Cube1,$F$21,$F$14,$F$15,$F$20,$C$18,$F$17,$F$19,$C$19,$H$2,J$1,$C75)</f>
        <v>0</v>
      </c>
      <c r="K75" s="175">
        <f ca="1">_xll.DBRW(Server&amp;Cube1,$F$21,$F$14,$F$15,$F$20,$C$18,$F$17,$F$19,$C$19,$H$2,K$1,$C75)</f>
        <v>0</v>
      </c>
      <c r="L75" s="173">
        <f ca="1">_xll.DBRW(Server&amp;Cube1,$F$21,$F$14,$F$15,$F$20,$C$18,$F$17,$F$19,$C$19,$H$2,L$1,$C75)</f>
        <v>0</v>
      </c>
      <c r="M75" s="150"/>
      <c r="N75" s="179">
        <f t="shared" ca="1" si="15"/>
        <v>0</v>
      </c>
      <c r="O75" s="165">
        <f t="shared" ca="1" si="16"/>
        <v>0</v>
      </c>
      <c r="P75" s="180" t="str">
        <f t="shared" ca="1" si="14"/>
        <v>è</v>
      </c>
      <c r="Q75" s="179">
        <f t="shared" ca="1" si="17"/>
        <v>0</v>
      </c>
      <c r="R75" s="52"/>
      <c r="S75" s="179">
        <f ca="1">_xll.DBRW(Server&amp;Cube1,$F$21,$F$14,$F$15,$F$20,$C$18,$F$17,$F$19,$C$19,$K$2,K$1,$C75)</f>
        <v>0</v>
      </c>
      <c r="T75" s="52"/>
      <c r="U75" s="179">
        <f t="shared" ca="1" si="11"/>
        <v>0</v>
      </c>
      <c r="V75" s="165">
        <f t="shared" ca="1" si="13"/>
        <v>0</v>
      </c>
      <c r="W75" s="52"/>
      <c r="X75" s="52"/>
      <c r="Y75" s="52"/>
      <c r="Z75" s="52"/>
      <c r="AA75" s="52"/>
      <c r="AB75" s="52"/>
      <c r="AC75" s="52"/>
      <c r="AE75" s="52"/>
      <c r="AF75" s="52"/>
      <c r="AG75" s="52"/>
      <c r="AH75" s="52"/>
      <c r="AI75" s="52"/>
      <c r="AJ75" s="52"/>
      <c r="AK75" s="52"/>
      <c r="AL75" s="52"/>
      <c r="AM75" s="52"/>
      <c r="AN75" s="52"/>
      <c r="AO75" s="52"/>
    </row>
    <row r="76" spans="1:41" s="9" customFormat="1" ht="23.25" collapsed="1" x14ac:dyDescent="0.35">
      <c r="A76" s="52"/>
      <c r="B76" s="52"/>
      <c r="C76" s="116" t="s">
        <v>127</v>
      </c>
      <c r="E76" s="232" t="str">
        <f ca="1">_xll.DBRA(Server&amp;$C$25,$C76,$F$16)</f>
        <v>Dotations amortissements et provisions</v>
      </c>
      <c r="F76" s="232"/>
      <c r="G76" s="232"/>
      <c r="H76" s="39"/>
      <c r="I76" s="174">
        <f ca="1">_xll.DBRW(Server&amp;Cube1,$F$21,$F$14,$F$15,$F$20,$C$18,$F$17,$F$19,$C$19,$H$3,I$1,$C76)</f>
        <v>-1119.7162599999995</v>
      </c>
      <c r="J76" s="174">
        <f ca="1">_xll.DBRW(Server&amp;Cube1,$F$21,$F$14,$F$15,$F$20,$C$18,$F$17,$F$19,$C$19,$H$2,J$1,$C76)</f>
        <v>-1340.1420000000001</v>
      </c>
      <c r="K76" s="174">
        <f ca="1">_xll.DBRW(Server&amp;Cube1,$F$21,$F$14,$F$15,$F$20,$C$18,$F$17,$F$19,$C$19,$H$2,K$1,$C76)</f>
        <v>-1152.0043299999998</v>
      </c>
      <c r="L76" s="173">
        <f ca="1">_xll.DBRW(Server&amp;Cube1,$F$21,$F$14,$F$15,$F$20,$C$18,$F$17,$F$19,$C$19,$H$2,L$1,$C76)</f>
        <v>-1136.4765</v>
      </c>
      <c r="M76" s="149"/>
      <c r="N76" s="178">
        <f t="shared" ca="1" si="15"/>
        <v>15.527829999999767</v>
      </c>
      <c r="O76" s="164">
        <f t="shared" ca="1" si="16"/>
        <v>1.3478968434085461E-2</v>
      </c>
      <c r="P76" s="180" t="str">
        <f t="shared" ca="1" si="14"/>
        <v>ì</v>
      </c>
      <c r="Q76" s="178">
        <f t="shared" ca="1" si="17"/>
        <v>-16.760240000000522</v>
      </c>
      <c r="R76" s="52"/>
      <c r="S76" s="178">
        <f ca="1">_xll.DBRW(Server&amp;Cube1,$F$21,$F$14,$F$15,$F$20,$C$18,$F$17,$F$19,$C$19,$K$2,K$1,$C76)</f>
        <v>-3558.6222109845003</v>
      </c>
      <c r="T76" s="52"/>
      <c r="U76" s="178">
        <f t="shared" ca="1" si="11"/>
        <v>-2422.1457109845005</v>
      </c>
      <c r="V76" s="164">
        <f t="shared" ca="1" si="13"/>
        <v>0.6806414301321434</v>
      </c>
      <c r="W76" s="52"/>
      <c r="X76" s="52"/>
      <c r="Y76" s="52"/>
      <c r="Z76" s="52"/>
      <c r="AA76" s="52"/>
      <c r="AB76" s="52"/>
      <c r="AC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</row>
    <row r="77" spans="1:41" s="9" customFormat="1" ht="23.25" hidden="1" outlineLevel="1" x14ac:dyDescent="0.35">
      <c r="A77" s="52"/>
      <c r="B77" s="52"/>
      <c r="C77" s="114" t="s">
        <v>128</v>
      </c>
      <c r="E77" s="240" t="str">
        <f ca="1">_xll.DBRA(Server&amp;$C$25,$C77,$F$16)</f>
        <v>Dotations aux Amortissements</v>
      </c>
      <c r="F77" s="240"/>
      <c r="G77" s="240"/>
      <c r="H77" s="39"/>
      <c r="I77" s="175">
        <f ca="1">_xll.DBRW(Server&amp;Cube1,$F$21,$F$14,$F$15,$F$20,$C$18,$F$17,$F$19,$C$19,$H$3,I$1,$C77)</f>
        <v>-1156.3497799999996</v>
      </c>
      <c r="J77" s="175">
        <f ca="1">_xll.DBRW(Server&amp;Cube1,$F$21,$F$14,$F$15,$F$20,$C$18,$F$17,$F$19,$C$19,$H$2,J$1,$C77)</f>
        <v>-1340.1420000000001</v>
      </c>
      <c r="K77" s="175">
        <f ca="1">_xll.DBRW(Server&amp;Cube1,$F$21,$F$14,$F$15,$F$20,$C$18,$F$17,$F$19,$C$19,$H$2,K$1,$C77)</f>
        <v>-1152.0043300000002</v>
      </c>
      <c r="L77" s="173">
        <f ca="1">_xll.DBRW(Server&amp;Cube1,$F$21,$F$14,$F$15,$F$20,$C$18,$F$17,$F$19,$C$19,$H$2,L$1,$C77)</f>
        <v>-1173.1100200000001</v>
      </c>
      <c r="M77" s="150"/>
      <c r="N77" s="179">
        <f t="shared" ca="1" si="15"/>
        <v>-21.105689999999868</v>
      </c>
      <c r="O77" s="165">
        <f t="shared" ca="1" si="16"/>
        <v>-1.8320842596138389E-2</v>
      </c>
      <c r="P77" s="180" t="str">
        <f t="shared" ca="1" si="14"/>
        <v>î</v>
      </c>
      <c r="Q77" s="179">
        <f t="shared" ca="1" si="17"/>
        <v>-16.760240000000522</v>
      </c>
      <c r="R77" s="52"/>
      <c r="S77" s="179">
        <f ca="1">_xll.DBRW(Server&amp;Cube1,$F$21,$F$14,$F$15,$F$20,$C$18,$F$17,$F$19,$C$19,$K$2,K$1,$C77)</f>
        <v>-3558.6222109845007</v>
      </c>
      <c r="T77" s="52"/>
      <c r="U77" s="179">
        <f t="shared" ca="1" si="11"/>
        <v>-2385.5121909845006</v>
      </c>
      <c r="V77" s="165">
        <f t="shared" ca="1" si="13"/>
        <v>0.67034713143223579</v>
      </c>
      <c r="W77" s="52"/>
      <c r="X77" s="52"/>
      <c r="Y77" s="52"/>
      <c r="Z77" s="52"/>
      <c r="AA77" s="52"/>
      <c r="AB77" s="52"/>
      <c r="AC77" s="52"/>
      <c r="AE77" s="52"/>
      <c r="AF77" s="52"/>
      <c r="AG77" s="52"/>
      <c r="AH77" s="52"/>
      <c r="AI77" s="52"/>
      <c r="AJ77" s="52"/>
      <c r="AK77" s="52"/>
      <c r="AL77" s="52"/>
      <c r="AM77" s="52"/>
      <c r="AN77" s="52"/>
      <c r="AO77" s="52"/>
    </row>
    <row r="78" spans="1:41" s="9" customFormat="1" ht="23.25" hidden="1" outlineLevel="1" x14ac:dyDescent="0.35">
      <c r="A78" s="52"/>
      <c r="B78" s="52"/>
      <c r="C78" s="114" t="s">
        <v>129</v>
      </c>
      <c r="E78" s="240" t="str">
        <f ca="1">_xll.DBRA(Server&amp;$C$25,$C78,$F$16)</f>
        <v>Provisions</v>
      </c>
      <c r="F78" s="240"/>
      <c r="G78" s="240"/>
      <c r="H78" s="39"/>
      <c r="I78" s="175">
        <f ca="1">_xll.DBRW(Server&amp;Cube1,$F$21,$F$14,$F$15,$F$20,$C$18,$F$17,$F$19,$C$19,$H$3,I$1,$C78)</f>
        <v>36.633519999999997</v>
      </c>
      <c r="J78" s="175">
        <f ca="1">_xll.DBRW(Server&amp;Cube1,$F$21,$F$14,$F$15,$F$20,$C$18,$F$17,$F$19,$C$19,$H$2,J$1,$C78)</f>
        <v>0</v>
      </c>
      <c r="K78" s="175">
        <f ca="1">_xll.DBRW(Server&amp;Cube1,$F$21,$F$14,$F$15,$F$20,$C$18,$F$17,$F$19,$C$19,$H$2,K$1,$C78)</f>
        <v>0</v>
      </c>
      <c r="L78" s="173">
        <f ca="1">_xll.DBRW(Server&amp;Cube1,$F$21,$F$14,$F$15,$F$20,$C$18,$F$17,$F$19,$C$19,$H$2,L$1,$C78)</f>
        <v>36.633519999999997</v>
      </c>
      <c r="M78" s="150"/>
      <c r="N78" s="179">
        <f t="shared" ca="1" si="15"/>
        <v>36.633519999999997</v>
      </c>
      <c r="O78" s="165">
        <f t="shared" ca="1" si="16"/>
        <v>0</v>
      </c>
      <c r="P78" s="180" t="str">
        <f t="shared" ca="1" si="14"/>
        <v>è</v>
      </c>
      <c r="Q78" s="179">
        <f t="shared" ca="1" si="17"/>
        <v>0</v>
      </c>
      <c r="R78" s="52"/>
      <c r="S78" s="179">
        <f ca="1">_xll.DBRW(Server&amp;Cube1,$F$21,$F$14,$F$15,$F$20,$C$18,$F$17,$F$19,$C$19,$K$2,K$1,$C78)</f>
        <v>0</v>
      </c>
      <c r="T78" s="52"/>
      <c r="U78" s="179">
        <f t="shared" ca="1" si="11"/>
        <v>-36.633519999999997</v>
      </c>
      <c r="V78" s="165">
        <f t="shared" ca="1" si="13"/>
        <v>0</v>
      </c>
      <c r="W78" s="52"/>
      <c r="X78" s="52"/>
      <c r="Y78" s="52"/>
      <c r="Z78" s="52"/>
      <c r="AA78" s="52"/>
      <c r="AB78" s="52"/>
      <c r="AC78" s="52"/>
      <c r="AE78" s="52"/>
      <c r="AF78" s="52"/>
      <c r="AG78" s="52"/>
      <c r="AH78" s="52"/>
      <c r="AI78" s="52"/>
      <c r="AJ78" s="52"/>
      <c r="AK78" s="52"/>
      <c r="AL78" s="52"/>
      <c r="AM78" s="52"/>
      <c r="AN78" s="52"/>
      <c r="AO78" s="52"/>
    </row>
    <row r="79" spans="1:41" s="9" customFormat="1" ht="23.25" hidden="1" collapsed="1" x14ac:dyDescent="0.35">
      <c r="A79" s="52"/>
      <c r="B79" s="52"/>
      <c r="C79" s="116" t="s">
        <v>130</v>
      </c>
      <c r="E79" s="232" t="str">
        <f ca="1">_xll.DBRA(Server&amp;$C$25,$C79,$F$16)</f>
        <v>Coûts communs</v>
      </c>
      <c r="F79" s="232"/>
      <c r="G79" s="232"/>
      <c r="H79" s="39"/>
      <c r="I79" s="174">
        <f ca="1">_xll.DBRW(Server&amp;Cube1,$F$21,$F$14,$F$15,$F$20,$C$18,$F$17,$F$19,$C$19,$H$3,I$1,$C79)</f>
        <v>0</v>
      </c>
      <c r="J79" s="174">
        <f ca="1">_xll.DBRW(Server&amp;Cube1,$F$21,$F$14,$F$15,$F$20,$C$18,$F$17,$F$19,$C$19,$H$2,J$1,$C79)</f>
        <v>0</v>
      </c>
      <c r="K79" s="174">
        <f ca="1">_xll.DBRW(Server&amp;Cube1,$F$21,$F$14,$F$15,$F$20,$C$18,$F$17,$F$19,$C$19,$H$2,K$1,$C79)</f>
        <v>0</v>
      </c>
      <c r="L79" s="173">
        <f ca="1">_xll.DBRW(Server&amp;Cube1,$F$21,$F$14,$F$15,$F$20,$C$18,$F$17,$F$19,$C$19,$H$2,L$1,$C79)</f>
        <v>0</v>
      </c>
      <c r="M79" s="149"/>
      <c r="N79" s="176">
        <f t="shared" ca="1" si="15"/>
        <v>0</v>
      </c>
      <c r="O79" s="161">
        <f t="shared" ca="1" si="16"/>
        <v>0</v>
      </c>
      <c r="P79" s="180" t="str">
        <f t="shared" ca="1" si="14"/>
        <v>è</v>
      </c>
      <c r="Q79" s="176">
        <f t="shared" ca="1" si="17"/>
        <v>0</v>
      </c>
      <c r="R79" s="52"/>
      <c r="S79" s="176">
        <f ca="1">_xll.DBRW(Server&amp;Cube1,$F$21,$F$14,$F$15,$F$20,$C$18,$F$17,$F$19,$C$19,$K$2,K$1,$C79)</f>
        <v>0</v>
      </c>
      <c r="T79" s="52"/>
      <c r="U79" s="176">
        <f t="shared" ca="1" si="11"/>
        <v>0</v>
      </c>
      <c r="V79" s="161">
        <f t="shared" ca="1" si="13"/>
        <v>0</v>
      </c>
      <c r="W79" s="52"/>
      <c r="X79" s="52"/>
      <c r="Y79" s="52"/>
      <c r="Z79" s="52"/>
      <c r="AA79" s="52"/>
      <c r="AB79" s="52"/>
      <c r="AC79" s="52"/>
      <c r="AE79" s="52"/>
      <c r="AF79" s="52"/>
      <c r="AG79" s="52"/>
      <c r="AH79" s="52"/>
      <c r="AI79" s="52"/>
      <c r="AJ79" s="52"/>
      <c r="AK79" s="52"/>
      <c r="AL79" s="52"/>
      <c r="AM79" s="52"/>
      <c r="AN79" s="52"/>
      <c r="AO79" s="52"/>
    </row>
    <row r="80" spans="1:41" s="9" customFormat="1" ht="23.25" hidden="1" outlineLevel="1" x14ac:dyDescent="0.35">
      <c r="A80" s="52"/>
      <c r="B80" s="52"/>
      <c r="C80" s="114" t="s">
        <v>173</v>
      </c>
      <c r="E80" s="240" t="str">
        <f ca="1">_xll.DBRA(Server&amp;$C$25,$C80,$F$16)</f>
        <v>Coûts Crystal</v>
      </c>
      <c r="F80" s="240"/>
      <c r="G80" s="240"/>
      <c r="H80" s="39"/>
      <c r="I80" s="175">
        <f ca="1">_xll.DBRW(Server&amp;Cube1,$F$21,$F$14,$F$15,$F$20,$C$18,$F$17,$F$19,$C$19,$H$3,I$1,$C80)</f>
        <v>0</v>
      </c>
      <c r="J80" s="175">
        <f ca="1">_xll.DBRW(Server&amp;Cube1,$F$21,$F$14,$F$15,$F$20,$C$18,$F$17,$F$19,$C$19,$H$2,J$1,$C80)</f>
        <v>0</v>
      </c>
      <c r="K80" s="175">
        <f ca="1">_xll.DBRW(Server&amp;Cube1,$F$21,$F$14,$F$15,$F$20,$C$18,$F$17,$F$19,$C$19,$H$2,K$1,$C80)</f>
        <v>0</v>
      </c>
      <c r="L80" s="173">
        <f ca="1">_xll.DBRW(Server&amp;Cube1,$F$21,$F$14,$F$15,$F$20,$C$18,$F$17,$F$19,$C$19,$H$2,L$1,$C80)</f>
        <v>0</v>
      </c>
      <c r="M80" s="150"/>
      <c r="N80" s="177">
        <f t="shared" ca="1" si="15"/>
        <v>0</v>
      </c>
      <c r="O80" s="162">
        <f t="shared" ca="1" si="16"/>
        <v>0</v>
      </c>
      <c r="P80" s="180" t="str">
        <f t="shared" ca="1" si="14"/>
        <v>è</v>
      </c>
      <c r="Q80" s="177">
        <f t="shared" ca="1" si="17"/>
        <v>0</v>
      </c>
      <c r="R80" s="52"/>
      <c r="S80" s="177">
        <f ca="1">_xll.DBRW(Server&amp;Cube1,$F$21,$F$14,$F$15,$F$20,$C$18,$F$17,$F$19,$C$19,$K$2,K$1,$C80)</f>
        <v>0</v>
      </c>
      <c r="T80" s="52"/>
      <c r="U80" s="177">
        <f t="shared" ca="1" si="11"/>
        <v>0</v>
      </c>
      <c r="V80" s="162">
        <f t="shared" ca="1" si="13"/>
        <v>0</v>
      </c>
      <c r="W80" s="52"/>
      <c r="X80" s="52"/>
      <c r="Y80" s="52"/>
      <c r="Z80" s="52"/>
      <c r="AA80" s="52"/>
      <c r="AB80" s="52"/>
      <c r="AC80" s="52"/>
      <c r="AE80" s="52"/>
      <c r="AF80" s="52"/>
      <c r="AG80" s="52"/>
      <c r="AH80" s="52"/>
      <c r="AI80" s="52"/>
      <c r="AJ80" s="52"/>
      <c r="AK80" s="52"/>
      <c r="AL80" s="52"/>
      <c r="AM80" s="52"/>
      <c r="AN80" s="52"/>
      <c r="AO80" s="52"/>
    </row>
    <row r="81" spans="1:41" s="9" customFormat="1" ht="23.25" hidden="1" outlineLevel="1" x14ac:dyDescent="0.35">
      <c r="A81" s="52"/>
      <c r="B81" s="52"/>
      <c r="C81" s="114" t="s">
        <v>183</v>
      </c>
      <c r="E81" s="215" t="str">
        <f ca="1">_xll.DBRA(Server&amp;$C$25,$C81,$F$16)</f>
        <v>Coûts m² Lyon</v>
      </c>
      <c r="F81" s="215"/>
      <c r="G81" s="215"/>
      <c r="H81" s="39"/>
      <c r="I81" s="175">
        <f ca="1">_xll.DBRW(Server&amp;Cube1,$F$21,$F$14,$F$15,$F$20,$C$18,$F$17,$F$19,$C$19,$H$3,I$1,$C81)</f>
        <v>0</v>
      </c>
      <c r="J81" s="175">
        <f ca="1">_xll.DBRW(Server&amp;Cube1,$F$21,$F$14,$F$15,$F$20,$C$18,$F$17,$F$19,$C$19,$H$2,J$1,$C81)</f>
        <v>0</v>
      </c>
      <c r="K81" s="175">
        <f ca="1">_xll.DBRW(Server&amp;Cube1,$F$21,$F$14,$F$15,$F$20,$C$18,$F$17,$F$19,$C$19,$H$2,K$1,$C81)</f>
        <v>0</v>
      </c>
      <c r="L81" s="173">
        <f ca="1">_xll.DBRW(Server&amp;Cube1,$F$21,$F$14,$F$15,$F$20,$C$18,$F$17,$F$19,$C$19,$H$2,L$1,$C81)</f>
        <v>0</v>
      </c>
      <c r="M81" s="150"/>
      <c r="N81" s="177">
        <f t="shared" ca="1" si="15"/>
        <v>0</v>
      </c>
      <c r="O81" s="162">
        <f t="shared" ca="1" si="16"/>
        <v>0</v>
      </c>
      <c r="P81" s="180" t="str">
        <f t="shared" ca="1" si="14"/>
        <v>è</v>
      </c>
      <c r="Q81" s="177">
        <f t="shared" ca="1" si="17"/>
        <v>0</v>
      </c>
      <c r="R81" s="52"/>
      <c r="S81" s="177">
        <f ca="1">_xll.DBRW(Server&amp;Cube1,$F$21,$F$14,$F$15,$F$20,$C$18,$F$17,$F$19,$C$19,$K$2,K$1,$C81)</f>
        <v>0</v>
      </c>
      <c r="T81" s="52"/>
      <c r="U81" s="177">
        <f t="shared" ca="1" si="11"/>
        <v>0</v>
      </c>
      <c r="V81" s="162">
        <f t="shared" ca="1" si="13"/>
        <v>0</v>
      </c>
      <c r="W81" s="52"/>
      <c r="X81" s="52"/>
      <c r="Y81" s="52"/>
      <c r="Z81" s="52"/>
      <c r="AA81" s="52"/>
      <c r="AB81" s="52"/>
      <c r="AC81" s="52"/>
      <c r="AE81" s="52"/>
      <c r="AF81" s="52"/>
      <c r="AG81" s="52"/>
      <c r="AH81" s="52"/>
      <c r="AI81" s="52"/>
      <c r="AJ81" s="52"/>
      <c r="AK81" s="52"/>
      <c r="AL81" s="52"/>
      <c r="AM81" s="52"/>
      <c r="AN81" s="52"/>
      <c r="AO81" s="52"/>
    </row>
    <row r="82" spans="1:41" s="9" customFormat="1" ht="24" collapsed="1" thickBot="1" x14ac:dyDescent="0.4">
      <c r="A82" s="52"/>
      <c r="B82" s="52"/>
      <c r="C82" s="117"/>
      <c r="E82" s="135"/>
      <c r="F82" s="135"/>
      <c r="G82" s="135"/>
      <c r="H82" s="39"/>
      <c r="I82" s="154"/>
      <c r="J82" s="154"/>
      <c r="K82" s="154"/>
      <c r="L82" s="155"/>
      <c r="M82" s="156"/>
      <c r="N82" s="157"/>
      <c r="O82" s="166"/>
      <c r="P82" s="182"/>
      <c r="Q82" s="157"/>
      <c r="R82" s="52"/>
      <c r="S82" s="157" t="str">
        <f ca="1">_xll.DBRW(Server&amp;Cube1,$F$21,$F$14,$F$15,$F$20,$C$18,$F$17,$F$19,$C$19,$K$2,K$1,$C82)</f>
        <v/>
      </c>
      <c r="T82" s="52"/>
      <c r="U82" s="157" t="e">
        <f t="shared" ca="1" si="11"/>
        <v>#VALUE!</v>
      </c>
      <c r="V82" s="166"/>
      <c r="W82" s="52"/>
      <c r="X82" s="52"/>
      <c r="Y82" s="52"/>
      <c r="Z82" s="52"/>
      <c r="AA82" s="52"/>
      <c r="AB82" s="52"/>
      <c r="AC82" s="52"/>
      <c r="AE82" s="52"/>
      <c r="AF82" s="52"/>
      <c r="AG82" s="52"/>
      <c r="AH82" s="52"/>
      <c r="AI82" s="52"/>
      <c r="AJ82" s="52"/>
      <c r="AK82" s="52"/>
      <c r="AL82" s="52"/>
      <c r="AM82" s="52"/>
      <c r="AN82" s="52"/>
      <c r="AO82" s="52"/>
    </row>
    <row r="83" spans="1:41" s="9" customFormat="1" ht="24" thickBot="1" x14ac:dyDescent="0.4">
      <c r="A83" s="52"/>
      <c r="B83" s="52"/>
      <c r="C83" s="113" t="s">
        <v>132</v>
      </c>
      <c r="E83" s="241" t="str">
        <f ca="1">_xll.DBRA(Server&amp;$C$25,$C83,$F$16)</f>
        <v>RESULTAT OPERATIONNEL AVANT MF</v>
      </c>
      <c r="F83" s="241"/>
      <c r="G83" s="241"/>
      <c r="H83" s="39"/>
      <c r="I83" s="197">
        <f ca="1">_xll.DBRW(Server&amp;Cube1,$F$21,$F$14,$F$15,$F$20,$C$18,$F$17,$F$19,$C$19,$H$3,I$1,$C83)</f>
        <v>-25269.950820000009</v>
      </c>
      <c r="J83" s="197">
        <f ca="1">_xll.DBRW(Server&amp;Cube1,$F$21,$F$14,$F$15,$F$20,$C$18,$F$17,$F$19,$C$19,$H$2,J$1,$C83)</f>
        <v>-26548.011835805679</v>
      </c>
      <c r="K83" s="197">
        <f ca="1">_xll.DBRW(Server&amp;Cube1,$F$21,$F$14,$F$15,$F$20,$C$18,$F$17,$F$19,$C$19,$H$2,K$1,$C83)</f>
        <v>-20011.270790000006</v>
      </c>
      <c r="L83" s="198">
        <f ca="1">_xll.DBRW(Server&amp;Cube1,$F$21,$F$14,$F$15,$F$20,$C$18,$F$17,$F$19,$C$19,$H$2,L$1,$C83)</f>
        <v>-20539.850539999989</v>
      </c>
      <c r="M83" s="203"/>
      <c r="N83" s="199">
        <f ca="1">L83-K83</f>
        <v>-528.5797499999826</v>
      </c>
      <c r="O83" s="200">
        <f ca="1">IF(K83=0,0,IF(K83&lt;0,N83/-K83,N83/K83))</f>
        <v>-2.6414102110103047E-2</v>
      </c>
      <c r="P83" s="201" t="str">
        <f ca="1">IF(O83&gt;0.01,$AF$27,IF(O83&lt;-0.01,$AG$27,$AH$27))</f>
        <v>î</v>
      </c>
      <c r="Q83" s="199">
        <f ca="1">L83-I83</f>
        <v>4730.1002800000206</v>
      </c>
      <c r="R83" s="52"/>
      <c r="S83" s="199">
        <f ca="1">_xll.DBRW(Server&amp;Cube1,$F$21,$F$14,$F$15,$F$20,$C$18,$F$17,$F$19,$C$19,$K$2,K$1,$C83)</f>
        <v>-71965.465043306831</v>
      </c>
      <c r="T83" s="52"/>
      <c r="U83" s="199">
        <f t="shared" ca="1" si="11"/>
        <v>-51425.614503306846</v>
      </c>
      <c r="V83" s="200">
        <f ca="1">IF(S83=0,0,U83/S83)</f>
        <v>0.71458739928047887</v>
      </c>
      <c r="W83" s="52"/>
      <c r="X83" s="52"/>
      <c r="Y83" s="52"/>
      <c r="Z83" s="52"/>
      <c r="AA83" s="52"/>
      <c r="AB83" s="52"/>
      <c r="AC83" s="52"/>
      <c r="AE83" s="52"/>
      <c r="AF83" s="52"/>
      <c r="AG83" s="52"/>
      <c r="AH83" s="52"/>
      <c r="AI83" s="52"/>
      <c r="AJ83" s="52"/>
      <c r="AK83" s="52"/>
      <c r="AL83" s="52"/>
      <c r="AM83" s="52"/>
      <c r="AN83" s="52"/>
      <c r="AO83" s="52"/>
    </row>
    <row r="84" spans="1:41" s="9" customFormat="1" ht="23.25" x14ac:dyDescent="0.35">
      <c r="A84" s="52"/>
      <c r="B84" s="52"/>
      <c r="C84" s="116"/>
      <c r="E84" s="101"/>
      <c r="F84" s="102"/>
      <c r="G84" s="135"/>
      <c r="H84" s="39"/>
      <c r="I84" s="158"/>
      <c r="J84" s="158"/>
      <c r="K84" s="158"/>
      <c r="L84" s="158"/>
      <c r="M84" s="153"/>
      <c r="N84" s="159"/>
      <c r="O84" s="167"/>
      <c r="P84" s="183"/>
      <c r="Q84" s="159"/>
      <c r="R84" s="52"/>
      <c r="S84" s="159" t="str">
        <f ca="1">_xll.DBRW(Server&amp;Cube1,$F$21,$F$14,$F$15,$F$20,$C$18,$F$17,$F$19,$C$19,$K$2,K$1,$C84)</f>
        <v/>
      </c>
      <c r="T84" s="52"/>
      <c r="U84" s="159"/>
      <c r="V84" s="167"/>
      <c r="W84" s="52"/>
      <c r="X84" s="52"/>
      <c r="Y84" s="52"/>
      <c r="Z84" s="52"/>
      <c r="AA84" s="52"/>
      <c r="AB84" s="52"/>
      <c r="AC84" s="52"/>
      <c r="AE84" s="52"/>
      <c r="AF84" s="52"/>
      <c r="AG84" s="52"/>
      <c r="AH84" s="52"/>
      <c r="AI84" s="52"/>
      <c r="AJ84" s="52"/>
      <c r="AK84" s="52"/>
      <c r="AL84" s="52"/>
      <c r="AM84" s="52"/>
      <c r="AN84" s="52"/>
      <c r="AO84" s="52"/>
    </row>
    <row r="85" spans="1:41" s="9" customFormat="1" ht="23.25" x14ac:dyDescent="0.35">
      <c r="A85" s="52"/>
      <c r="B85" s="52"/>
      <c r="C85" s="114" t="s">
        <v>172</v>
      </c>
      <c r="E85" s="243" t="str">
        <f ca="1">_xll.DBRA(Server&amp;$C$25,$C85,$F$16)</f>
        <v>Management fees - Refacturation de MF</v>
      </c>
      <c r="F85" s="243"/>
      <c r="G85" s="243"/>
      <c r="H85" s="39"/>
      <c r="I85" s="172">
        <f ca="1">_xll.DBRW(Server&amp;Cube1,$F$21,$F$14,$F$15,$F$20,$C$18,$F$17,$F$19,$C$19,$H$3,I$1,$C85)</f>
        <v>21734.525579999998</v>
      </c>
      <c r="J85" s="172">
        <f ca="1">_xll.DBRW(Server&amp;Cube1,$F$21,$F$14,$F$15,$F$20,$C$18,$F$17,$F$19,$C$19,$H$2,J$1,$C85)</f>
        <v>22589.092000000001</v>
      </c>
      <c r="K85" s="172">
        <f ca="1">_xll.DBRW(Server&amp;Cube1,$F$21,$F$14,$F$15,$F$20,$C$18,$F$17,$F$19,$C$19,$H$2,K$1,$C85)</f>
        <v>22380.849460000001</v>
      </c>
      <c r="L85" s="173">
        <f ca="1">_xll.DBRW(Server&amp;Cube1,$F$21,$F$14,$F$15,$F$20,$C$18,$F$17,$F$19,$C$19,$H$2,L$1,$C85)</f>
        <v>19776.092210000003</v>
      </c>
      <c r="M85" s="150"/>
      <c r="N85" s="177">
        <f ca="1">L85-K85</f>
        <v>-2604.7572499999987</v>
      </c>
      <c r="O85" s="162">
        <f ca="1">IF(K85=0,0,IF(K85&lt;0,N85/-K85,N85/K85))</f>
        <v>-0.11638330594445626</v>
      </c>
      <c r="P85" s="180" t="str">
        <f ca="1">IF(O85&gt;0.01,$AF$27,IF(O85&lt;-0.01,$AG$27,$AH$27))</f>
        <v>î</v>
      </c>
      <c r="Q85" s="177">
        <f ca="1">L85-I85</f>
        <v>-1958.4333699999952</v>
      </c>
      <c r="R85" s="52"/>
      <c r="S85" s="177">
        <f ca="1">_xll.DBRW(Server&amp;Cube1,$F$21,$F$14,$F$15,$F$20,$C$18,$F$17,$F$19,$C$19,$K$2,K$1,$C85)</f>
        <v>59145.062119304028</v>
      </c>
      <c r="T85" s="52"/>
      <c r="U85" s="177">
        <f t="shared" ca="1" si="11"/>
        <v>39368.969909304025</v>
      </c>
      <c r="V85" s="162">
        <f t="shared" ref="V85:V86" ca="1" si="18">IF(S85=0,0,U85/S85)</f>
        <v>0.66563409519954853</v>
      </c>
      <c r="W85" s="52"/>
      <c r="X85" s="52"/>
      <c r="Y85" s="52"/>
      <c r="Z85" s="52"/>
      <c r="AA85" s="52"/>
      <c r="AB85" s="52"/>
      <c r="AC85" s="52"/>
      <c r="AE85" s="52"/>
      <c r="AF85" s="52"/>
      <c r="AG85" s="52"/>
      <c r="AH85" s="52"/>
      <c r="AI85" s="52"/>
      <c r="AJ85" s="52"/>
      <c r="AK85" s="52"/>
      <c r="AL85" s="52"/>
      <c r="AM85" s="52"/>
      <c r="AN85" s="52"/>
      <c r="AO85" s="52"/>
    </row>
    <row r="86" spans="1:41" s="9" customFormat="1" ht="23.25" x14ac:dyDescent="0.35">
      <c r="A86" s="52"/>
      <c r="B86" s="52"/>
      <c r="C86" s="114" t="s">
        <v>176</v>
      </c>
      <c r="E86" s="243" t="str">
        <f ca="1">_xll.DBRA(Server&amp;$C$25,$C86,$F$16)</f>
        <v>Management fees - Frais de siège facturés (charge)</v>
      </c>
      <c r="F86" s="243"/>
      <c r="G86" s="243"/>
      <c r="H86" s="39"/>
      <c r="I86" s="172">
        <f ca="1">_xll.DBRW(Server&amp;Cube1,$F$21,$F$14,$F$15,$F$20,$C$18,$F$17,$F$19,$C$19,$H$3,I$1,$C86)</f>
        <v>0</v>
      </c>
      <c r="J86" s="172">
        <f ca="1">_xll.DBRW(Server&amp;Cube1,$F$21,$F$14,$F$15,$F$20,$C$18,$F$17,$F$19,$C$19,$H$2,J$1,$C86)</f>
        <v>-116.66800000000001</v>
      </c>
      <c r="K86" s="172">
        <f ca="1">_xll.DBRW(Server&amp;Cube1,$F$21,$F$14,$F$15,$F$20,$C$18,$F$17,$F$19,$C$19,$H$2,K$1,$C86)</f>
        <v>0</v>
      </c>
      <c r="L86" s="173">
        <f ca="1">_xll.DBRW(Server&amp;Cube1,$F$21,$F$14,$F$15,$F$20,$C$18,$F$17,$F$19,$C$19,$H$2,L$1,$C86)</f>
        <v>0</v>
      </c>
      <c r="M86" s="150"/>
      <c r="N86" s="177">
        <f ca="1">L86-K86</f>
        <v>0</v>
      </c>
      <c r="O86" s="162">
        <f ca="1">IF(K86=0,0,IF(K86&lt;0,N86/-K86,N86/K86))</f>
        <v>0</v>
      </c>
      <c r="P86" s="180" t="str">
        <f ca="1">IF(O86&gt;0.01,$AF$27,IF(O86&lt;-0.01,$AG$27,$AH$27))</f>
        <v>è</v>
      </c>
      <c r="Q86" s="177">
        <f ca="1">L86-I86</f>
        <v>0</v>
      </c>
      <c r="R86" s="52"/>
      <c r="S86" s="177">
        <f ca="1">_xll.DBRW(Server&amp;Cube1,$F$21,$F$14,$F$15,$F$20,$C$18,$F$17,$F$19,$C$19,$K$2,K$1,$C86)</f>
        <v>0</v>
      </c>
      <c r="T86" s="52"/>
      <c r="U86" s="177">
        <f t="shared" ca="1" si="11"/>
        <v>0</v>
      </c>
      <c r="V86" s="162">
        <f t="shared" ca="1" si="18"/>
        <v>0</v>
      </c>
      <c r="W86" s="52"/>
      <c r="X86" s="52"/>
      <c r="Y86" s="52"/>
      <c r="Z86" s="52"/>
      <c r="AA86" s="52"/>
      <c r="AB86" s="52"/>
      <c r="AC86" s="52"/>
      <c r="AE86" s="52"/>
      <c r="AF86" s="52"/>
      <c r="AG86" s="52"/>
      <c r="AH86" s="52"/>
      <c r="AI86" s="52"/>
      <c r="AJ86" s="52"/>
      <c r="AK86" s="52"/>
      <c r="AL86" s="52"/>
      <c r="AM86" s="52"/>
      <c r="AN86" s="52"/>
      <c r="AO86" s="52"/>
    </row>
    <row r="87" spans="1:41" s="9" customFormat="1" ht="24" thickBot="1" x14ac:dyDescent="0.4">
      <c r="A87" s="52"/>
      <c r="B87" s="52"/>
      <c r="C87" s="116"/>
      <c r="E87" s="101"/>
      <c r="F87" s="102"/>
      <c r="G87" s="135"/>
      <c r="H87" s="39"/>
      <c r="I87" s="158"/>
      <c r="J87" s="158"/>
      <c r="K87" s="158"/>
      <c r="L87" s="158"/>
      <c r="M87" s="153"/>
      <c r="N87" s="159"/>
      <c r="O87" s="167"/>
      <c r="P87" s="183"/>
      <c r="Q87" s="159"/>
      <c r="R87" s="52"/>
      <c r="S87" s="159" t="str">
        <f ca="1">_xll.DBRW(Server&amp;Cube1,$F$21,$F$14,$F$15,$F$20,$C$18,$F$17,$F$19,$C$19,$K$2,K$1,$C87)</f>
        <v/>
      </c>
      <c r="T87" s="52"/>
      <c r="U87" s="159"/>
      <c r="V87" s="167"/>
      <c r="W87" s="52"/>
      <c r="X87" s="52"/>
      <c r="Y87" s="52"/>
      <c r="Z87" s="52"/>
      <c r="AA87" s="52"/>
      <c r="AB87" s="52"/>
      <c r="AC87" s="52"/>
      <c r="AE87" s="52"/>
      <c r="AF87" s="52"/>
      <c r="AG87" s="52"/>
      <c r="AH87" s="52"/>
      <c r="AI87" s="52"/>
      <c r="AJ87" s="52"/>
      <c r="AK87" s="52"/>
      <c r="AL87" s="52"/>
      <c r="AM87" s="52"/>
      <c r="AN87" s="52"/>
      <c r="AO87" s="52"/>
    </row>
    <row r="88" spans="1:41" s="9" customFormat="1" ht="24" thickBot="1" x14ac:dyDescent="0.4">
      <c r="A88" s="52"/>
      <c r="B88" s="52"/>
      <c r="C88" s="113" t="s">
        <v>133</v>
      </c>
      <c r="E88" s="241" t="str">
        <f ca="1">_xll.DBRA(Server&amp;$C$25,$C88,$F$16)</f>
        <v>RESULTAT OPERATIONNEL APRES MF</v>
      </c>
      <c r="F88" s="241"/>
      <c r="G88" s="241"/>
      <c r="H88" s="39"/>
      <c r="I88" s="197">
        <f ca="1">_xll.DBRW(Server&amp;Cube1,$F$21,$F$14,$F$15,$F$20,$C$18,$F$17,$F$19,$C$19,$H$3,I$1,$C88)</f>
        <v>-3535.4252400000023</v>
      </c>
      <c r="J88" s="197">
        <f ca="1">_xll.DBRW(Server&amp;Cube1,$F$21,$F$14,$F$15,$F$20,$C$18,$F$17,$F$19,$C$19,$H$2,J$1,$C88)</f>
        <v>-4075.5878358056771</v>
      </c>
      <c r="K88" s="197">
        <f ca="1">_xll.DBRW(Server&amp;Cube1,$F$21,$F$14,$F$15,$F$20,$C$18,$F$17,$F$19,$C$19,$H$2,K$1,$C88)</f>
        <v>2369.5786699999944</v>
      </c>
      <c r="L88" s="198">
        <f ca="1">_xll.DBRW(Server&amp;Cube1,$F$21,$F$14,$F$15,$F$20,$C$18,$F$17,$F$19,$C$19,$H$2,L$1,$C88)</f>
        <v>-763.75832999999204</v>
      </c>
      <c r="M88" s="203"/>
      <c r="N88" s="199">
        <f ca="1">L88-K88</f>
        <v>-3133.3369999999863</v>
      </c>
      <c r="O88" s="200">
        <f ca="1">IF(K88=0,0,IF(K88&lt;0,N88/-K88,N88/K88))</f>
        <v>-1.3223181992940516</v>
      </c>
      <c r="P88" s="201" t="str">
        <f ca="1">IF(O88&gt;0.01,$AF$27,IF(O88&lt;-0.01,$AG$27,$AH$27))</f>
        <v>î</v>
      </c>
      <c r="Q88" s="199">
        <f ca="1">L88-I88</f>
        <v>2771.6669100000104</v>
      </c>
      <c r="R88" s="52"/>
      <c r="S88" s="199">
        <f ca="1">_xll.DBRW(Server&amp;Cube1,$F$21,$F$14,$F$15,$F$20,$C$18,$F$17,$F$19,$C$19,$K$2,K$1,$C88)</f>
        <v>-12820.402924002843</v>
      </c>
      <c r="T88" s="52"/>
      <c r="U88" s="199">
        <f t="shared" ca="1" si="11"/>
        <v>-12056.644594002852</v>
      </c>
      <c r="V88" s="200">
        <f ca="1">IF(S88=0,0,U88/S88)</f>
        <v>0.94042633959888622</v>
      </c>
      <c r="W88" s="52"/>
      <c r="X88" s="52"/>
      <c r="Y88" s="52"/>
      <c r="Z88" s="52"/>
      <c r="AA88" s="52"/>
      <c r="AB88" s="52"/>
      <c r="AC88" s="52"/>
      <c r="AE88" s="52"/>
      <c r="AF88" s="52"/>
      <c r="AG88" s="52"/>
      <c r="AH88" s="52"/>
      <c r="AI88" s="52"/>
      <c r="AJ88" s="52"/>
      <c r="AK88" s="52"/>
      <c r="AL88" s="52"/>
      <c r="AM88" s="52"/>
      <c r="AN88" s="52"/>
      <c r="AO88" s="52"/>
    </row>
    <row r="89" spans="1:41" s="9" customFormat="1" ht="24" thickBot="1" x14ac:dyDescent="0.4">
      <c r="A89" s="52"/>
      <c r="B89" s="52"/>
      <c r="C89" s="116"/>
      <c r="E89" s="103"/>
      <c r="F89" s="104"/>
      <c r="G89" s="135"/>
      <c r="H89" s="39"/>
      <c r="I89" s="160"/>
      <c r="J89" s="160"/>
      <c r="K89" s="160"/>
      <c r="L89" s="160"/>
      <c r="M89" s="149"/>
      <c r="N89" s="159"/>
      <c r="O89" s="167"/>
      <c r="P89" s="183"/>
      <c r="Q89" s="159"/>
      <c r="R89" s="52"/>
      <c r="S89" s="159" t="str">
        <f ca="1">_xll.DBRW(Server&amp;Cube1,$F$21,$F$14,$F$15,$F$20,$C$18,$F$17,$F$19,$C$19,$K$2,K$1,$C89)</f>
        <v/>
      </c>
      <c r="T89" s="52"/>
      <c r="U89" s="159"/>
      <c r="V89" s="167"/>
      <c r="W89" s="52"/>
      <c r="X89" s="52"/>
      <c r="Y89" s="52"/>
      <c r="Z89" s="52"/>
      <c r="AA89" s="52"/>
      <c r="AB89" s="52"/>
      <c r="AC89" s="52"/>
      <c r="AE89" s="52"/>
      <c r="AF89" s="52"/>
      <c r="AG89" s="52"/>
      <c r="AH89" s="52"/>
      <c r="AI89" s="52"/>
      <c r="AJ89" s="52"/>
      <c r="AK89" s="52"/>
      <c r="AL89" s="52"/>
      <c r="AM89" s="52"/>
      <c r="AN89" s="52"/>
      <c r="AO89" s="52"/>
    </row>
    <row r="90" spans="1:41" s="9" customFormat="1" ht="24" thickBot="1" x14ac:dyDescent="0.4">
      <c r="A90" s="52"/>
      <c r="B90" s="52"/>
      <c r="C90" s="113" t="s">
        <v>134</v>
      </c>
      <c r="E90" s="241" t="str">
        <f ca="1">_xll.DBRA(Server&amp;$C$25,$C90,$F$16)</f>
        <v>Total CAPEX</v>
      </c>
      <c r="F90" s="241"/>
      <c r="G90" s="241"/>
      <c r="H90" s="39"/>
      <c r="I90" s="197">
        <f ca="1">_xll.DBRW(Server&amp;Cube1,$F$21,$F$14,$F$15,$F$20,$C$18,$F$17,$F$19,$C$19,$H$3,I$1,$C90)</f>
        <v>511.67175000000003</v>
      </c>
      <c r="J90" s="197">
        <f ca="1">_xll.DBRW(Server&amp;Cube1,$F$21,$F$14,$F$15,$F$20,$C$18,$F$17,$F$19,$C$19,$H$2,J$1,$C90)</f>
        <v>2100</v>
      </c>
      <c r="K90" s="197">
        <f ca="1">_xll.DBRW(Server&amp;Cube1,$F$21,$F$14,$F$15,$F$20,$C$18,$F$17,$F$19,$C$19,$H$2,K$1,$C90)</f>
        <v>0</v>
      </c>
      <c r="L90" s="198">
        <f ca="1">_xll.DBRW(Server&amp;Cube1,$F$21,$F$14,$F$15,$F$20,$C$18,$F$17,$F$19,$C$19,$H$2,L$1,$C90)</f>
        <v>180.85540000000003</v>
      </c>
      <c r="M90" s="203"/>
      <c r="N90" s="199">
        <f ca="1">L90-K90</f>
        <v>180.85540000000003</v>
      </c>
      <c r="O90" s="200">
        <f ca="1">IF(K90=0,0,IF(K90&lt;0,N90/-K90,N90/K90))</f>
        <v>0</v>
      </c>
      <c r="P90" s="201" t="str">
        <f ca="1">IF(O90&gt;0.01,$AF$27,IF(O90&lt;-0.01,$AG$27,$AH$27))</f>
        <v>è</v>
      </c>
      <c r="Q90" s="199">
        <f ca="1">L90-I90</f>
        <v>-330.81635</v>
      </c>
      <c r="R90" s="52"/>
      <c r="S90" s="199">
        <f ca="1">_xll.DBRW(Server&amp;Cube1,$F$21,$F$14,$F$15,$F$20,$C$18,$F$17,$F$19,$C$19,$K$2,K$1,$C90)</f>
        <v>3455</v>
      </c>
      <c r="T90" s="52"/>
      <c r="U90" s="199">
        <f t="shared" ca="1" si="11"/>
        <v>3274.1446000000001</v>
      </c>
      <c r="V90" s="200">
        <f ca="1">IF(S90=0,0,U90/S90)</f>
        <v>0.94765400868306804</v>
      </c>
      <c r="W90" s="52"/>
      <c r="X90" s="52"/>
      <c r="Y90" s="52"/>
      <c r="Z90" s="52"/>
      <c r="AA90" s="52"/>
      <c r="AB90" s="52"/>
      <c r="AC90" s="52"/>
      <c r="AE90" s="52"/>
      <c r="AF90" s="52"/>
      <c r="AG90" s="52"/>
      <c r="AH90" s="52"/>
      <c r="AI90" s="52"/>
      <c r="AJ90" s="52"/>
      <c r="AK90" s="52"/>
      <c r="AL90" s="52"/>
      <c r="AM90" s="52"/>
      <c r="AN90" s="52"/>
      <c r="AO90" s="52"/>
    </row>
    <row r="91" spans="1:41" s="9" customFormat="1" ht="24" thickBot="1" x14ac:dyDescent="0.4">
      <c r="A91" s="52"/>
      <c r="B91" s="52"/>
      <c r="C91" s="116"/>
      <c r="E91" s="101"/>
      <c r="F91" s="102"/>
      <c r="G91" s="135"/>
      <c r="H91" s="39"/>
      <c r="I91" s="158"/>
      <c r="J91" s="158"/>
      <c r="K91" s="158"/>
      <c r="L91" s="158"/>
      <c r="M91" s="153"/>
      <c r="N91" s="159"/>
      <c r="O91" s="167"/>
      <c r="P91" s="183"/>
      <c r="Q91" s="159"/>
      <c r="R91" s="52"/>
      <c r="S91" s="159" t="str">
        <f ca="1">_xll.DBRW(Server&amp;Cube1,$F$21,$F$14,$F$15,$F$20,$C$18,$F$17,$F$19,$C$19,$K$2,K$1,$C91)</f>
        <v/>
      </c>
      <c r="T91" s="52"/>
      <c r="U91" s="159"/>
      <c r="V91" s="167"/>
      <c r="W91" s="52"/>
      <c r="X91" s="52"/>
      <c r="Y91" s="52"/>
      <c r="Z91" s="52"/>
      <c r="AA91" s="52"/>
      <c r="AB91" s="52"/>
      <c r="AC91" s="52"/>
      <c r="AE91" s="52"/>
      <c r="AF91" s="52"/>
      <c r="AG91" s="52"/>
      <c r="AH91" s="52"/>
      <c r="AI91" s="52"/>
      <c r="AJ91" s="52"/>
      <c r="AK91" s="52"/>
      <c r="AL91" s="52"/>
      <c r="AM91" s="52"/>
      <c r="AN91" s="52"/>
      <c r="AO91" s="52"/>
    </row>
    <row r="92" spans="1:41" ht="24" thickBot="1" x14ac:dyDescent="0.4">
      <c r="A92" s="121" t="s">
        <v>135</v>
      </c>
      <c r="B92" s="141" t="s">
        <v>138</v>
      </c>
      <c r="C92" s="113" t="s">
        <v>131</v>
      </c>
      <c r="D92" s="25"/>
      <c r="E92" s="241" t="str">
        <f ca="1">_xll.DBRA(Server&amp;$C$25,$C92,$F$16)</f>
        <v>CAFOP</v>
      </c>
      <c r="F92" s="241"/>
      <c r="G92" s="241"/>
      <c r="H92" s="39"/>
      <c r="I92" s="197">
        <f ca="1">_xll.DBRW(Server&amp;Cube1,$F$21,$F$14,$F$15,$F$20,$C$18,$F$17,$F$19,$C$19,$H$3,I$1,$C92)</f>
        <v>-2262.1194600000022</v>
      </c>
      <c r="J92" s="197">
        <f ca="1">_xll.DBRW(Server&amp;Cube1,$F$21,$F$14,$F$15,$F$20,$C$18,$F$17,$F$19,$C$19,$H$2,J$1,$C92)</f>
        <v>-2688.6128358056772</v>
      </c>
      <c r="K92" s="197">
        <f ca="1">_xll.DBRW(Server&amp;Cube1,$F$21,$F$14,$F$15,$F$20,$C$18,$F$17,$F$19,$C$19,$H$2,K$1,$C92)</f>
        <v>3631.2969799999942</v>
      </c>
      <c r="L92" s="198">
        <f ca="1">_xll.DBRW(Server&amp;Cube1,$F$21,$F$14,$F$15,$F$20,$C$18,$F$17,$F$19,$C$19,$H$2,L$1,$C92)</f>
        <v>555.69919000000789</v>
      </c>
      <c r="M92" s="203"/>
      <c r="N92" s="199">
        <f ca="1">L92-K92</f>
        <v>-3075.5977899999862</v>
      </c>
      <c r="O92" s="200">
        <f ca="1">IF(K92=0,0,IF(K92&lt;0,N92/-K92,N92/K92))</f>
        <v>-0.84696950068787569</v>
      </c>
      <c r="P92" s="201" t="str">
        <f ca="1">IF(O92&gt;0.01,$AF$27,IF(O92&lt;-0.01,$AG$27,$AH$27))</f>
        <v>î</v>
      </c>
      <c r="Q92" s="199">
        <f ca="1">L92-I92</f>
        <v>2817.8186500000102</v>
      </c>
      <c r="R92" s="52"/>
      <c r="S92" s="199">
        <f ca="1">_xll.DBRW(Server&amp;Cube1,$F$21,$F$14,$F$15,$F$20,$C$18,$F$17,$F$19,$C$19,$K$2,K$1,$C92)</f>
        <v>-9805.4603930183403</v>
      </c>
      <c r="U92" s="199">
        <f ca="1">S92-L92</f>
        <v>-10361.159583018349</v>
      </c>
      <c r="V92" s="200">
        <f ca="1">IF(S92=0,0,U92/S92)</f>
        <v>1.0566724220716526</v>
      </c>
      <c r="W92" s="52"/>
      <c r="X92" s="52"/>
      <c r="Y92" s="1"/>
      <c r="Z92" s="1"/>
      <c r="AA92" s="1"/>
      <c r="AB92" s="1"/>
      <c r="AC92" s="1"/>
      <c r="AD92" s="9"/>
      <c r="AE92" s="52"/>
      <c r="AF92" s="52"/>
      <c r="AG92" s="52"/>
      <c r="AH92" s="52"/>
      <c r="AI92" s="52"/>
      <c r="AJ92" s="52"/>
      <c r="AK92" s="52"/>
      <c r="AL92" s="52"/>
      <c r="AM92" s="52"/>
      <c r="AN92" s="52"/>
      <c r="AO92" s="52"/>
    </row>
    <row r="93" spans="1:41" ht="23.25" x14ac:dyDescent="0.35">
      <c r="A93" s="121" t="s">
        <v>68</v>
      </c>
      <c r="B93" s="141" t="s">
        <v>156</v>
      </c>
      <c r="C93" s="118"/>
      <c r="D93" s="59"/>
      <c r="E93" s="105"/>
      <c r="F93" s="105"/>
      <c r="G93" s="105"/>
      <c r="H93" s="86"/>
      <c r="I93" s="169"/>
      <c r="J93" s="169"/>
      <c r="K93" s="169"/>
      <c r="L93" s="169"/>
      <c r="M93" s="169"/>
      <c r="N93" s="123"/>
      <c r="O93" s="168"/>
      <c r="P93" s="184"/>
      <c r="Q93" s="169"/>
      <c r="R93" s="52"/>
      <c r="W93" s="52"/>
      <c r="X93" s="52"/>
      <c r="Y93" s="134" t="s">
        <v>177</v>
      </c>
      <c r="Z93" s="52" t="str">
        <f ca="1">LEFT(H2,7)</f>
        <v>2021.04</v>
      </c>
      <c r="AA93" s="134" t="s">
        <v>178</v>
      </c>
      <c r="AB93" s="52"/>
      <c r="AC93" s="208" t="str">
        <f ca="1">IF(LEN($Z$93)=4,"NO",RIGHT(Z93,2))</f>
        <v>04</v>
      </c>
      <c r="AD93" s="9"/>
      <c r="AE93" s="52"/>
      <c r="AF93" s="52"/>
      <c r="AG93" s="52"/>
      <c r="AH93" s="52"/>
      <c r="AI93" s="52"/>
      <c r="AJ93" s="52"/>
      <c r="AK93" s="52"/>
      <c r="AL93" s="52"/>
      <c r="AM93" s="52"/>
      <c r="AN93" s="52"/>
      <c r="AO93" s="52"/>
    </row>
    <row r="94" spans="1:41" ht="21" x14ac:dyDescent="0.25">
      <c r="A94" s="121" t="s">
        <v>136</v>
      </c>
      <c r="B94" s="141" t="s">
        <v>137</v>
      </c>
      <c r="C94" s="113" t="s">
        <v>140</v>
      </c>
      <c r="D94" s="59"/>
      <c r="E94" s="242"/>
      <c r="F94" s="243" t="str">
        <f ca="1">_xll.DBRA(Server&amp;$C$25,$C94,$F$16)</f>
        <v>Effectifs CDI</v>
      </c>
      <c r="G94" s="243"/>
      <c r="I94" s="175">
        <f ca="1">_xll.DBRW(Server&amp;Cube1,$B$96,$B$97,$B$95,$B$93,$B$94,$F$17,$F$19,$B$92,$H$3,I$1,$C94)</f>
        <v>319.5</v>
      </c>
      <c r="J94" s="175"/>
      <c r="K94" s="175">
        <f ca="1">_xll.DBRW(Server&amp;Cube1,$B$96,$B$97,$B$95,$B$93,$B$94,$F$17,$F$19,$B$92,$H$2,K$1,$C94)</f>
        <v>0</v>
      </c>
      <c r="L94" s="173">
        <f ca="1">_xll.DBRW(Server&amp;Cube1,$B$96,$B$97,$B$95,$B$93,$B$94,$F$17,$F$19,$B$92,$H$2,L$1,$C94)</f>
        <v>276.25</v>
      </c>
      <c r="M94" s="150"/>
      <c r="N94" s="179">
        <f ca="1">L94-K94</f>
        <v>276.25</v>
      </c>
      <c r="O94" s="165">
        <f ca="1">IF(K94=0,0,IF(K94&lt;0,N94/-K94,N94/K94))</f>
        <v>0</v>
      </c>
      <c r="P94" s="180" t="str">
        <f ca="1">IF(O94&gt;0.01,$AF$27,IF(O94&lt;-0.01,$AG$27,$AH$27))</f>
        <v>è</v>
      </c>
      <c r="Q94" s="179">
        <f ca="1">L94-I94</f>
        <v>-43.25</v>
      </c>
      <c r="R94" s="52"/>
      <c r="S94" s="175">
        <f ca="1">_xll.DBRW(Server&amp;Cube1,$B$96,$B$97,$B$95,$B$93,$B$94,$F$17,$F$19,$B$92,$K$2,K$1,$C94)</f>
        <v>0</v>
      </c>
      <c r="W94" s="52"/>
      <c r="X94" s="52"/>
      <c r="Y94" s="52"/>
      <c r="Z94" s="134" t="s">
        <v>149</v>
      </c>
      <c r="AA94" s="52"/>
      <c r="AB94" s="57" t="str">
        <f ca="1">IF(OR(AC93="S1",AC93="Q1",AC93="Q2"),"YES",IF(ISERROR(VALUE(AC93))=TRUE,"NO",IF(VALUE(AC93)&lt;7,"YES","NO")))</f>
        <v>YES</v>
      </c>
      <c r="AC94" s="52"/>
      <c r="AE94" s="52"/>
      <c r="AF94" s="52"/>
      <c r="AG94" s="52"/>
      <c r="AH94" s="52"/>
      <c r="AI94" s="52"/>
      <c r="AJ94" s="52"/>
      <c r="AK94" s="52"/>
      <c r="AL94" s="52"/>
      <c r="AM94" s="52"/>
      <c r="AN94" s="52"/>
      <c r="AO94" s="52"/>
    </row>
    <row r="95" spans="1:41" ht="21" x14ac:dyDescent="0.25">
      <c r="A95" s="121" t="s">
        <v>145</v>
      </c>
      <c r="B95" s="141" t="s">
        <v>146</v>
      </c>
      <c r="C95" s="113" t="s">
        <v>141</v>
      </c>
      <c r="D95" s="59"/>
      <c r="E95" s="242"/>
      <c r="F95" s="243" t="str">
        <f ca="1">_xll.DBRA(Server&amp;$C$25,$C95,$F$16)</f>
        <v>Effectifs Autres</v>
      </c>
      <c r="G95" s="243"/>
      <c r="I95" s="175">
        <f ca="1">_xll.DBRW(Server&amp;Cube1,$B$96,$B$97,$B$95,$B$93,$B$94,$F$17,$F$19,$B$92,$H$3,I$1,$C95)</f>
        <v>55.75</v>
      </c>
      <c r="J95" s="175"/>
      <c r="K95" s="175">
        <f ca="1">_xll.DBRW(Server&amp;Cube1,$B$96,$B$97,$B$95,$B$93,$B$94,$F$17,$F$19,$B$92,$H$2,K$1,$C95)</f>
        <v>0</v>
      </c>
      <c r="L95" s="173">
        <f ca="1">_xll.DBRW(Server&amp;Cube1,$B$96,$B$97,$B$95,$B$93,$B$94,$F$17,$F$19,$B$92,$H$2,L$1,$C95)</f>
        <v>23</v>
      </c>
      <c r="M95" s="150"/>
      <c r="N95" s="179">
        <f ca="1">L95-K95</f>
        <v>23</v>
      </c>
      <c r="O95" s="165">
        <f ca="1">IF(K95=0,0,IF(K95&lt;0,N95/-K95,N95/K95))</f>
        <v>0</v>
      </c>
      <c r="P95" s="180" t="str">
        <f ca="1">IF(O95&gt;0.01,$AF$27,IF(O95&lt;-0.01,$AG$27,$AH$27))</f>
        <v>è</v>
      </c>
      <c r="Q95" s="179">
        <f ca="1">L95-I95</f>
        <v>-32.75</v>
      </c>
      <c r="R95" s="52"/>
      <c r="S95" s="175">
        <f ca="1">_xll.DBRW(Server&amp;Cube1,$B$96,$B$97,$B$95,$B$93,$B$94,$F$17,$F$19,$B$92,$K$2,K$1,$C95)</f>
        <v>0</v>
      </c>
      <c r="W95" s="52"/>
      <c r="X95" s="52"/>
      <c r="Y95" s="52"/>
      <c r="Z95" s="134" t="s">
        <v>150</v>
      </c>
      <c r="AA95" s="52"/>
      <c r="AB95" s="52" t="str">
        <f ca="1">IF(OR(AC93="S2",AC93="Q4",AC93="NO",AC93="12"),"YES","NO")</f>
        <v>NO</v>
      </c>
      <c r="AC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</row>
    <row r="96" spans="1:41" ht="21" x14ac:dyDescent="0.25">
      <c r="A96" s="121" t="s">
        <v>9</v>
      </c>
      <c r="B96" s="141" t="s">
        <v>147</v>
      </c>
      <c r="C96" s="113" t="s">
        <v>142</v>
      </c>
      <c r="D96" s="59"/>
      <c r="E96" s="242"/>
      <c r="F96" s="243" t="str">
        <f ca="1">_xll.DBRA(Server&amp;$C$25,$C96,$F$16)</f>
        <v>ETP CDI</v>
      </c>
      <c r="G96" s="243"/>
      <c r="I96" s="175">
        <f ca="1">_xll.DBRW(Server&amp;Cube1,$B$96,$B$97,$B$95,$B$93,$B$94,$F$17,$F$19,$B$92,$H$3,I$1,$C96)</f>
        <v>314.78112903225821</v>
      </c>
      <c r="J96" s="175"/>
      <c r="K96" s="175">
        <f ca="1">_xll.DBRW(Server&amp;Cube1,$B$96,$B$97,$B$95,$B$93,$B$94,$F$17,$F$19,$B$92,$H$2,K$1,$C96)</f>
        <v>0</v>
      </c>
      <c r="L96" s="173">
        <f ca="1">_xll.DBRW(Server&amp;Cube1,$B$96,$B$97,$B$95,$B$93,$B$94,$F$17,$F$19,$B$92,$H$2,L$1,$C96)</f>
        <v>273.36956989247312</v>
      </c>
      <c r="M96" s="150"/>
      <c r="N96" s="179">
        <f ca="1">L96-K96</f>
        <v>273.36956989247312</v>
      </c>
      <c r="O96" s="165">
        <f ca="1">IF(K96=0,0,IF(K96&lt;0,N96/-K96,N96/K96))</f>
        <v>0</v>
      </c>
      <c r="P96" s="180" t="str">
        <f ca="1">IF(O96&gt;0.01,$AF$27,IF(O96&lt;-0.01,$AG$27,$AH$27))</f>
        <v>è</v>
      </c>
      <c r="Q96" s="179">
        <f ca="1">L96-I96</f>
        <v>-41.411559139785084</v>
      </c>
      <c r="R96" s="52"/>
      <c r="S96" s="175">
        <f ca="1">_xll.DBRW(Server&amp;Cube1,$B$96,$B$97,$B$95,$B$93,$B$94,$F$17,$F$19,$B$92,$K$2,K$1,$C96)</f>
        <v>0</v>
      </c>
      <c r="W96" s="52"/>
      <c r="X96" s="52"/>
      <c r="Y96" s="52"/>
      <c r="Z96" s="134" t="s">
        <v>151</v>
      </c>
      <c r="AA96" s="52"/>
      <c r="AB96" s="52" t="str">
        <f ca="1">IF(OR(AC93="Q3",AC93="09"),"YES","NO")</f>
        <v>NO</v>
      </c>
      <c r="AC96" s="52"/>
      <c r="AE96" s="52"/>
      <c r="AF96" s="52"/>
      <c r="AG96" s="52"/>
      <c r="AH96" s="52"/>
      <c r="AI96" s="52"/>
      <c r="AJ96" s="52"/>
      <c r="AK96" s="52"/>
      <c r="AL96" s="52"/>
      <c r="AM96" s="52"/>
      <c r="AN96" s="52"/>
      <c r="AO96" s="52"/>
    </row>
    <row r="97" spans="1:41" ht="21" x14ac:dyDescent="0.25">
      <c r="A97" s="121" t="s">
        <v>10</v>
      </c>
      <c r="B97" s="141" t="s">
        <v>148</v>
      </c>
      <c r="C97" s="113" t="s">
        <v>143</v>
      </c>
      <c r="D97" s="59"/>
      <c r="E97" s="242"/>
      <c r="F97" s="243" t="str">
        <f ca="1">_xll.DBRA(Server&amp;$C$25,$C97,$F$16)</f>
        <v>ETP Autres</v>
      </c>
      <c r="G97" s="243"/>
      <c r="I97" s="175">
        <f ca="1">_xll.DBRW(Server&amp;Cube1,$B$96,$B$97,$B$95,$B$93,$B$94,$F$17,$F$19,$B$92,$H$3,I$1,$C97)</f>
        <v>54.672258064516129</v>
      </c>
      <c r="J97" s="175"/>
      <c r="K97" s="175">
        <f ca="1">_xll.DBRW(Server&amp;Cube1,$B$96,$B$97,$B$95,$B$93,$B$94,$F$17,$F$19,$B$92,$H$2,K$1,$C97)</f>
        <v>0</v>
      </c>
      <c r="L97" s="173">
        <f ca="1">_xll.DBRW(Server&amp;Cube1,$B$96,$B$97,$B$95,$B$93,$B$94,$F$17,$F$19,$B$92,$H$2,L$1,$C97)</f>
        <v>22.805011520737327</v>
      </c>
      <c r="M97" s="150"/>
      <c r="N97" s="179">
        <f ca="1">L97-K97</f>
        <v>22.805011520737327</v>
      </c>
      <c r="O97" s="165">
        <f ca="1">IF(K97=0,0,IF(K97&lt;0,N97/-K97,N97/K97))</f>
        <v>0</v>
      </c>
      <c r="P97" s="180" t="str">
        <f ca="1">IF(O97&gt;0.01,$AF$27,IF(O97&lt;-0.01,$AG$27,$AH$27))</f>
        <v>è</v>
      </c>
      <c r="Q97" s="179">
        <f ca="1">L97-I97</f>
        <v>-31.867246543778801</v>
      </c>
      <c r="R97" s="52"/>
      <c r="S97" s="175">
        <f ca="1">_xll.DBRW(Server&amp;Cube1,$B$96,$B$97,$B$95,$B$93,$B$94,$F$17,$F$19,$B$92,$K$2,K$1,$C97)</f>
        <v>0</v>
      </c>
      <c r="W97" s="52"/>
      <c r="X97" s="52"/>
      <c r="Z97" s="4"/>
      <c r="AA97" s="53"/>
      <c r="AB97" s="54"/>
      <c r="AC97" s="55" t="s">
        <v>33</v>
      </c>
      <c r="AD97" s="4"/>
      <c r="AE97" s="54" t="str">
        <f ca="1">IF(RIGHT(_xll.SUBNM(Server&amp;"Period","",$F$18,""),3)="YTD","Yes","No")</f>
        <v>Yes</v>
      </c>
      <c r="AF97" s="4"/>
      <c r="AG97" s="4"/>
      <c r="AH97" s="4"/>
      <c r="AI97" s="4"/>
      <c r="AJ97" s="4"/>
      <c r="AK97" s="4"/>
      <c r="AL97" s="4"/>
      <c r="AM97" s="1"/>
    </row>
    <row r="98" spans="1:41" ht="21" x14ac:dyDescent="0.25">
      <c r="A98" s="121"/>
      <c r="B98" s="141"/>
      <c r="C98" s="113"/>
      <c r="D98" s="59"/>
      <c r="E98" s="209"/>
      <c r="F98" s="207"/>
      <c r="G98" s="207"/>
      <c r="I98" s="175"/>
      <c r="J98" s="175"/>
      <c r="K98" s="175"/>
      <c r="L98" s="173"/>
      <c r="M98" s="150"/>
      <c r="N98" s="179"/>
      <c r="O98" s="165"/>
      <c r="P98" s="180"/>
      <c r="Q98" s="179"/>
      <c r="R98" s="52"/>
      <c r="W98" s="52"/>
      <c r="X98" s="52"/>
      <c r="Y98" s="52"/>
      <c r="Z98" s="53" t="s">
        <v>32</v>
      </c>
      <c r="AA98" s="210">
        <f ca="1">$K$2-1</f>
        <v>2020</v>
      </c>
      <c r="AB98" s="52" t="str">
        <f ca="1">IF($AB$94="YES",$AA$98&amp;".01",IF($AB$95="YES",$AA$98&amp;".07",IF($AB$96="YES",$AA$98&amp;".04",IF($AC$93="07",$AA$98&amp;".02",IF($AC$93="08",$AA$98&amp;".03",IF($AC$93="10",$AA$98&amp;".05",$AA$98&amp;".06"))))))</f>
        <v>2020.01</v>
      </c>
      <c r="AC98" s="52" t="str">
        <f ca="1">IF($AB$94="YES",$AA$98&amp;".02",IF($AB$95="YES",$AA$98&amp;".08",IF($AB$96="YES",$AA$98&amp;".05",IF($AC$93="07",$AA$98&amp;".03",IF($AC$93="08",$AA$98&amp;".04",IF($AC$93="10",$AA$98&amp;".06",$AA$98&amp;".07"))))))</f>
        <v>2020.02</v>
      </c>
      <c r="AD98" s="52" t="str">
        <f ca="1">IF($AB$94="YES",$AA$98&amp;".03",IF($AB$95="YES",$AA$98&amp;".09",IF($AB$96="YES",$AA$98&amp;".06",IF($AC$93="07",$AA$98&amp;".04",IF($AC$93="08",$AA$98&amp;".05",IF($AC$93="10",$AA$98&amp;".07",$AA$98&amp;".08"))))))</f>
        <v>2020.03</v>
      </c>
      <c r="AE98" s="52" t="str">
        <f ca="1">IF($AB$94="YES",$AA$98&amp;".04",IF($AB$95="YES",$AA$98&amp;".10",IF($AB$96="YES",$AA$98&amp;".07",IF($AC$93="07",$AA$98&amp;".05",IF($AC$93="08",$AA$98&amp;".06",IF($AC$93="10",$AA$98&amp;".08",$AA$98&amp;".09"))))))</f>
        <v>2020.04</v>
      </c>
      <c r="AF98" s="52" t="str">
        <f ca="1">IF($AB$94="YES",$AA$98&amp;".05",IF($AB$95="YES",$AA$98&amp;".11",IF($AB$96="YES",$AA$98&amp;".08",IF($AC$93="07",$AA$98&amp;".06",IF($AC$93="08",$AA$98&amp;".07",IF($AC$93="10",$AA$98&amp;".09",$AA$98&amp;".10"))))))</f>
        <v>2020.05</v>
      </c>
      <c r="AG98" s="52" t="str">
        <f ca="1">IF($AB$94="YES",$AA$98&amp;".06",IF($AB$95="YES",$AA$98&amp;".12",IF($AB$96="YES",$AA$98&amp;".09",IF($AC$93="07",$AA$98&amp;".07",IF($AC$93="08",$AA$98&amp;".08",IF($AC$93="10",$AA$98&amp;".10",$AA$98&amp;".11"))))))</f>
        <v>2020.06</v>
      </c>
      <c r="AH98" s="4"/>
      <c r="AI98" s="4"/>
      <c r="AJ98" s="4"/>
      <c r="AK98" s="4"/>
      <c r="AL98" s="4"/>
      <c r="AM98" s="1"/>
      <c r="AN98" s="52"/>
      <c r="AO98" s="52"/>
    </row>
    <row r="99" spans="1:41" ht="23.25" x14ac:dyDescent="0.35">
      <c r="A99" s="52"/>
      <c r="B99" s="52"/>
      <c r="C99" s="119"/>
      <c r="D99" s="59"/>
      <c r="E99" s="105"/>
      <c r="F99" s="105"/>
      <c r="G99" s="105"/>
      <c r="H99" s="39"/>
      <c r="I99" s="106"/>
      <c r="J99" s="106"/>
      <c r="K99" s="106"/>
      <c r="L99" s="106"/>
      <c r="M99" s="10"/>
      <c r="N99" s="10"/>
      <c r="O99" s="10"/>
      <c r="P99" s="10"/>
      <c r="Q99" s="10"/>
      <c r="R99" s="52"/>
      <c r="W99" s="52"/>
      <c r="X99" s="52"/>
      <c r="Z99" s="53" t="s">
        <v>32</v>
      </c>
      <c r="AA99" s="54" t="str">
        <f ca="1">$K$2</f>
        <v>2021</v>
      </c>
      <c r="AB99" s="23" t="str">
        <f ca="1">IF($AB$94="YES",$AA$99&amp;".01",IF($AB$95="YES",$AA$99&amp;".07",IF($AB$96="YES",$AA$99&amp;".04",IF($AC$93="07",$AA$99&amp;".02",IF($AC$93="08",$AA$99&amp;".03",IF($AC$93="10",$AA$99&amp;".05",$AA$99&amp;".06"))))))</f>
        <v>2021.01</v>
      </c>
      <c r="AC99" s="52" t="str">
        <f ca="1">IF($AB$94="YES",$AA$99&amp;".02",IF($AB$95="YES",$AA$99&amp;".08",IF($AB$96="YES",$AA$99&amp;".05",IF($AC$93="07",$AA$99&amp;".03",IF($AC$93="08",$AA$99&amp;".04",IF($AC$93="10",$AA$99&amp;".06",$AA$99&amp;".07"))))))</f>
        <v>2021.02</v>
      </c>
      <c r="AD99" s="52" t="str">
        <f ca="1">IF($AB$94="YES",$AA$99&amp;".03",IF($AB$95="YES",$AA$99&amp;".09",IF($AB$96="YES",$AA$99&amp;".06",IF($AC$93="07",$AA$99&amp;".04",IF($AC$93="08",$AA$99&amp;".05",IF($AC$93="10",$AA$99&amp;".07",$AA$99&amp;".08"))))))</f>
        <v>2021.03</v>
      </c>
      <c r="AE99" s="52" t="str">
        <f ca="1">IF($AB$94="YES",$AA$99&amp;".04",IF($AB$95="YES",$AA$99&amp;".10",IF($AB$96="YES",$AA$99&amp;".07",IF($AC$93="07",$AA$99&amp;".05",IF($AC$93="08",$AA$99&amp;".06",IF($AC$93="10",$AA$99&amp;".08",$AA$99&amp;".09"))))))</f>
        <v>2021.04</v>
      </c>
      <c r="AF99" s="52" t="str">
        <f ca="1">IF($AB$94="YES",$AA$99&amp;".05",IF($AB$95="YES",$AA$99&amp;".11",IF($AB$96="YES",$AA$99&amp;".08",IF($AC$93="07",$AA$99&amp;".06",IF($AC$93="08",$AA$99&amp;".07",IF($AC$93="10",$AA$99&amp;".09",$AA$99&amp;".10"))))))</f>
        <v>2021.05</v>
      </c>
      <c r="AG99" s="52" t="str">
        <f ca="1">IF($AB$94="YES",$AA$99&amp;".06",IF($AB$95="YES",$AA$99&amp;".12",IF($AB$96="YES",$AA$99&amp;".09",IF($AC$93="07",$AA$99&amp;".07",IF($AC$93="08",$AA$99&amp;".08",IF($AC$93="10",$AA$99&amp;".10",$AA$99&amp;".11"))))))</f>
        <v>2021.06</v>
      </c>
    </row>
    <row r="100" spans="1:41" ht="23.25" x14ac:dyDescent="0.35">
      <c r="A100" s="52"/>
      <c r="B100" s="52"/>
      <c r="C100" s="119"/>
      <c r="D100" s="59"/>
      <c r="E100" s="105"/>
      <c r="F100" s="105"/>
      <c r="G100" s="105"/>
      <c r="H100" s="39"/>
      <c r="I100" s="106"/>
      <c r="J100" s="106"/>
      <c r="K100" s="106"/>
      <c r="L100" s="106"/>
      <c r="M100" s="10"/>
      <c r="N100" s="10"/>
      <c r="O100" s="10"/>
      <c r="P100" s="10"/>
      <c r="Q100" s="10"/>
      <c r="R100" s="52"/>
      <c r="W100" s="52"/>
      <c r="X100" s="52"/>
      <c r="Y100" s="52"/>
      <c r="Z100" s="53"/>
      <c r="AA100" s="54"/>
      <c r="AB100" s="52" t="str">
        <f ca="1">MID(AB99,6,2)</f>
        <v>01</v>
      </c>
      <c r="AC100" s="52" t="str">
        <f t="shared" ref="AC100:AG100" ca="1" si="19">MID(AC99,6,2)</f>
        <v>02</v>
      </c>
      <c r="AD100" s="52" t="str">
        <f t="shared" ca="1" si="19"/>
        <v>03</v>
      </c>
      <c r="AE100" s="52" t="str">
        <f t="shared" ca="1" si="19"/>
        <v>04</v>
      </c>
      <c r="AF100" s="52" t="str">
        <f t="shared" ca="1" si="19"/>
        <v>05</v>
      </c>
      <c r="AG100" s="52" t="str">
        <f t="shared" ca="1" si="19"/>
        <v>06</v>
      </c>
      <c r="AH100" s="52"/>
      <c r="AI100" s="52"/>
      <c r="AJ100" s="52"/>
      <c r="AK100" s="52"/>
      <c r="AL100" s="52"/>
      <c r="AM100" s="52"/>
      <c r="AN100" s="52"/>
      <c r="AO100" s="52"/>
    </row>
    <row r="101" spans="1:41" ht="23.25" x14ac:dyDescent="0.35">
      <c r="A101" s="52"/>
      <c r="B101" s="52"/>
      <c r="C101" s="119"/>
      <c r="D101" s="59"/>
      <c r="E101" s="105"/>
      <c r="F101" s="105"/>
      <c r="G101" s="105"/>
      <c r="H101" s="39"/>
      <c r="I101" s="106"/>
      <c r="J101" s="106"/>
      <c r="K101" s="106"/>
      <c r="L101" s="106"/>
      <c r="M101" s="10"/>
      <c r="N101" s="10"/>
      <c r="O101" s="10"/>
      <c r="P101" s="10"/>
      <c r="Q101" s="10"/>
      <c r="R101" s="52"/>
      <c r="W101" s="52"/>
      <c r="X101" s="52"/>
      <c r="Y101" s="52"/>
      <c r="Z101" s="53"/>
      <c r="AA101" s="54"/>
      <c r="AB101" s="52" t="str">
        <f t="shared" ref="AB101:AG101" ca="1" si="20">IF(AB100&gt;$AC$93,"yes","no")</f>
        <v>no</v>
      </c>
      <c r="AC101" s="52" t="str">
        <f t="shared" ca="1" si="20"/>
        <v>no</v>
      </c>
      <c r="AD101" s="52" t="str">
        <f t="shared" ca="1" si="20"/>
        <v>no</v>
      </c>
      <c r="AE101" s="52" t="str">
        <f t="shared" ca="1" si="20"/>
        <v>no</v>
      </c>
      <c r="AF101" s="52" t="str">
        <f t="shared" ca="1" si="20"/>
        <v>yes</v>
      </c>
      <c r="AG101" s="52" t="str">
        <f t="shared" ca="1" si="20"/>
        <v>yes</v>
      </c>
      <c r="AH101" s="52"/>
      <c r="AI101" s="52"/>
      <c r="AJ101" s="52"/>
      <c r="AK101" s="52"/>
      <c r="AL101" s="52"/>
      <c r="AM101" s="52"/>
      <c r="AN101" s="52"/>
      <c r="AO101" s="52"/>
    </row>
    <row r="102" spans="1:41" ht="23.25" x14ac:dyDescent="0.35">
      <c r="A102" s="52"/>
      <c r="B102" s="52"/>
      <c r="C102" s="120"/>
      <c r="D102" s="59"/>
      <c r="E102" s="135"/>
      <c r="F102" s="135"/>
      <c r="G102" s="135"/>
      <c r="H102" s="39"/>
      <c r="I102" s="106"/>
      <c r="J102" s="106"/>
      <c r="K102" s="106"/>
      <c r="L102" s="106"/>
      <c r="M102" s="10"/>
      <c r="N102" s="10"/>
      <c r="O102" s="10"/>
      <c r="P102" s="10"/>
      <c r="Q102" s="10"/>
      <c r="R102" s="52"/>
      <c r="W102" s="52"/>
      <c r="X102" s="52"/>
      <c r="Y102" s="85"/>
      <c r="AB102" s="56" t="str">
        <f ca="1">IF($AE$97="No",AB$99,AB$99&amp;"_YTD")</f>
        <v>2021.01_YTD</v>
      </c>
      <c r="AC102" s="56" t="str">
        <f t="shared" ref="AC102:AG102" ca="1" si="21">IF($AE$97="No",AC$99,AC$99&amp;"_YTD")</f>
        <v>2021.02_YTD</v>
      </c>
      <c r="AD102" s="56" t="str">
        <f t="shared" ca="1" si="21"/>
        <v>2021.03_YTD</v>
      </c>
      <c r="AE102" s="56" t="str">
        <f t="shared" ca="1" si="21"/>
        <v>2021.04_YTD</v>
      </c>
      <c r="AF102" s="56" t="str">
        <f t="shared" ca="1" si="21"/>
        <v>2021.05_YTD</v>
      </c>
      <c r="AG102" s="56" t="str">
        <f t="shared" ca="1" si="21"/>
        <v>2021.06_YTD</v>
      </c>
      <c r="AH102" s="4"/>
      <c r="AI102" s="4"/>
      <c r="AJ102" s="4"/>
      <c r="AK102" s="4"/>
      <c r="AL102" s="4"/>
      <c r="AM102" s="1"/>
      <c r="AN102" s="52"/>
      <c r="AO102" s="52"/>
    </row>
    <row r="103" spans="1:41" ht="23.25" x14ac:dyDescent="0.35">
      <c r="A103" s="52"/>
      <c r="B103" s="52"/>
      <c r="C103" s="120"/>
      <c r="D103" s="59"/>
      <c r="E103" s="135"/>
      <c r="F103" s="135"/>
      <c r="G103" s="135"/>
      <c r="H103" s="39"/>
      <c r="I103" s="106"/>
      <c r="J103" s="106"/>
      <c r="K103" s="106"/>
      <c r="L103" s="106"/>
      <c r="M103" s="10"/>
      <c r="N103" s="10"/>
      <c r="O103" s="10"/>
      <c r="P103" s="10"/>
      <c r="Q103" s="10"/>
      <c r="R103" s="52"/>
      <c r="W103" s="52"/>
      <c r="X103" s="52"/>
      <c r="Y103" s="85"/>
      <c r="Z103" s="52"/>
      <c r="AA103" s="52"/>
      <c r="AB103" s="56" t="str">
        <f ca="1">IF($AE$97="No",AB$98,AB$98&amp;"_YTD")</f>
        <v>2020.01_YTD</v>
      </c>
      <c r="AC103" s="56" t="str">
        <f t="shared" ref="AC103:AG103" ca="1" si="22">IF($AE$97="No",AC$98,AC$98&amp;"_YTD")</f>
        <v>2020.02_YTD</v>
      </c>
      <c r="AD103" s="56" t="str">
        <f t="shared" ca="1" si="22"/>
        <v>2020.03_YTD</v>
      </c>
      <c r="AE103" s="56" t="str">
        <f t="shared" ca="1" si="22"/>
        <v>2020.04_YTD</v>
      </c>
      <c r="AF103" s="56" t="str">
        <f t="shared" ca="1" si="22"/>
        <v>2020.05_YTD</v>
      </c>
      <c r="AG103" s="56" t="str">
        <f t="shared" ca="1" si="22"/>
        <v>2020.06_YTD</v>
      </c>
      <c r="AH103" s="4"/>
      <c r="AI103" s="4"/>
      <c r="AJ103" s="4"/>
      <c r="AK103" s="4"/>
      <c r="AL103" s="4"/>
      <c r="AM103" s="1"/>
      <c r="AN103" s="52"/>
      <c r="AO103" s="52"/>
    </row>
    <row r="104" spans="1:41" ht="15.75" x14ac:dyDescent="0.25">
      <c r="A104" s="52"/>
      <c r="B104" s="52"/>
      <c r="C104" s="120"/>
      <c r="D104" s="56"/>
      <c r="E104" s="124"/>
      <c r="F104" s="124"/>
      <c r="G104" s="62"/>
      <c r="H104" s="62"/>
      <c r="I104" s="62"/>
      <c r="J104" s="62"/>
      <c r="K104" s="62"/>
      <c r="L104" s="125"/>
      <c r="M104" s="126"/>
      <c r="N104" s="126"/>
      <c r="O104" s="126"/>
      <c r="P104" s="126"/>
      <c r="Q104" s="126"/>
      <c r="R104" s="126"/>
      <c r="S104" s="126"/>
      <c r="T104" s="126"/>
      <c r="U104" s="126"/>
      <c r="V104" s="126"/>
      <c r="W104" s="126"/>
      <c r="X104" s="52"/>
      <c r="Z104" s="132" t="str">
        <f ca="1">IF($AE$97="No",_xll.DBRA(Server&amp;$C$25,$AA104,$F$16),_xll.DBRA(Server&amp;$C$25,$AA104,$F$16)&amp; " ("&amp;_xll.DBRA(Server&amp;$AD$12,$AD$41,$AD$11)&amp;")")</f>
        <v>Coûts externes (Cumulé)</v>
      </c>
      <c r="AA104" s="131" t="s">
        <v>84</v>
      </c>
      <c r="AB104" s="136" t="str">
        <f ca="1">VLOOKUP(AB100,$AC$42:$AD$53,2,FALSE)</f>
        <v>Jan</v>
      </c>
      <c r="AC104" s="136" t="str">
        <f t="shared" ref="AC104:AG104" ca="1" si="23">VLOOKUP(AC100,$AC$42:$AD$53,2,FALSE)</f>
        <v>Feb</v>
      </c>
      <c r="AD104" s="136" t="str">
        <f t="shared" ca="1" si="23"/>
        <v>Mar</v>
      </c>
      <c r="AE104" s="136" t="str">
        <f t="shared" ca="1" si="23"/>
        <v>Apr</v>
      </c>
      <c r="AF104" s="136" t="str">
        <f t="shared" ca="1" si="23"/>
        <v>May</v>
      </c>
      <c r="AG104" s="136" t="str">
        <f t="shared" ca="1" si="23"/>
        <v>Jun</v>
      </c>
      <c r="AH104" s="52"/>
      <c r="AI104" s="52"/>
      <c r="AJ104" s="52"/>
      <c r="AK104" s="52"/>
      <c r="AL104" s="52"/>
      <c r="AM104" s="52"/>
      <c r="AN104" s="52"/>
    </row>
    <row r="105" spans="1:41" ht="15.75" x14ac:dyDescent="0.25">
      <c r="A105" s="52"/>
      <c r="B105" s="52"/>
      <c r="C105" s="120"/>
      <c r="D105" s="56"/>
      <c r="E105" s="62"/>
      <c r="F105" s="62"/>
      <c r="G105" s="62"/>
      <c r="H105" s="62"/>
      <c r="I105" s="62"/>
      <c r="J105" s="62"/>
      <c r="K105" s="62"/>
      <c r="L105" s="125"/>
      <c r="M105" s="126"/>
      <c r="N105" s="126"/>
      <c r="O105" s="126"/>
      <c r="P105" s="126"/>
      <c r="Q105" s="126"/>
      <c r="R105" s="126"/>
      <c r="S105" s="126"/>
      <c r="T105" s="126"/>
      <c r="U105" s="126"/>
      <c r="V105" s="126"/>
      <c r="W105" s="126"/>
      <c r="X105" s="52"/>
      <c r="Y105" s="52"/>
      <c r="Z105" s="53" t="str">
        <f ca="1">_xll.DBRA(Server&amp;$G$1,$AA$105,$AD$11)</f>
        <v>Réalisé</v>
      </c>
      <c r="AA105" s="2" t="str">
        <f>$L$1</f>
        <v>ACT_TOT</v>
      </c>
      <c r="AB105" s="142">
        <f ca="1">IF(AB$101="yes",0,_xll.DBRW(Server&amp;Cube1,$F$21,$F$14,$F$15,$F$20,$C$18,$F$17,$F$19,$C$19,AB$102,$AA105,$AA$104))</f>
        <v>-634.53551999999991</v>
      </c>
      <c r="AC105" s="142">
        <f ca="1">IF(AC$101="yes",0,_xll.DBRW(Server&amp;Cube1,$F$21,$F$14,$F$15,$F$20,$C$18,$F$17,$F$19,$C$19,AC$102,$AA105,$AA$104))</f>
        <v>-4052.9516800000001</v>
      </c>
      <c r="AD105" s="142">
        <f ca="1">IF(AD$101="yes",0,_xll.DBRW(Server&amp;Cube1,$F$21,$F$14,$F$15,$F$20,$C$18,$F$17,$F$19,$C$19,AD$102,$AA105,$AA$104))</f>
        <v>-5829.1310400000038</v>
      </c>
      <c r="AE105" s="142">
        <f ca="1">IF(AE$101="yes",0,_xll.DBRW(Server&amp;Cube1,$F$21,$F$14,$F$15,$F$20,$C$18,$F$17,$F$19,$C$19,AE$102,$AA105,$AA$104))</f>
        <v>-7768.7781600000008</v>
      </c>
      <c r="AF105" s="142">
        <f ca="1">IF(AF$101="yes",0,_xll.DBRW(Server&amp;Cube1,$F$21,$F$14,$F$15,$F$20,$C$18,$F$17,$F$19,$C$19,AF$102,$AA105,$AA$104))</f>
        <v>0</v>
      </c>
      <c r="AG105" s="142">
        <f ca="1">IF(AG$101="yes",0,_xll.DBRW(Server&amp;Cube1,$F$21,$F$14,$F$15,$F$20,$C$18,$F$17,$F$19,$C$19,AG$102,$AA105,$AA$104))</f>
        <v>0</v>
      </c>
      <c r="AH105" s="4"/>
      <c r="AI105" s="4"/>
      <c r="AJ105" s="4"/>
      <c r="AK105" s="4"/>
      <c r="AL105" s="4"/>
      <c r="AM105" s="1"/>
      <c r="AN105" s="52"/>
      <c r="AO105" s="52"/>
    </row>
    <row r="106" spans="1:41" ht="15.75" x14ac:dyDescent="0.25">
      <c r="A106" s="52"/>
      <c r="B106" s="52"/>
      <c r="C106" s="120"/>
      <c r="D106" s="56"/>
      <c r="E106" s="63"/>
      <c r="F106" s="63"/>
      <c r="G106" s="63"/>
      <c r="H106" s="63"/>
      <c r="I106" s="63"/>
      <c r="J106" s="63"/>
      <c r="K106" s="63"/>
      <c r="L106" s="127"/>
      <c r="M106" s="128"/>
      <c r="N106" s="128"/>
      <c r="O106" s="128"/>
      <c r="P106" s="128"/>
      <c r="Q106" s="128"/>
      <c r="R106" s="128"/>
      <c r="S106" s="128"/>
      <c r="T106" s="128"/>
      <c r="U106" s="128"/>
      <c r="V106" s="128"/>
      <c r="W106" s="128"/>
      <c r="X106" s="52"/>
      <c r="Y106" s="52"/>
      <c r="Z106" s="53" t="str">
        <f ca="1">_xll.DBRA(Server&amp;$G$1,$AA$106,$AD$11)</f>
        <v>Réalisé</v>
      </c>
      <c r="AA106" s="2" t="str">
        <f>$I$1</f>
        <v>ACT_TOT</v>
      </c>
      <c r="AB106" s="142">
        <f ca="1">_xll.DBRW(Server&amp;Cube1,$F$21,$F$14,$F$15,$F$20,$C$18,$F$17,$F$19,$C$19,AB$103,$AA106,$AA$104)</f>
        <v>-906.68861000000004</v>
      </c>
      <c r="AC106" s="142">
        <f ca="1">_xll.DBRW(Server&amp;Cube1,$F$21,$F$14,$F$15,$F$20,$C$18,$F$17,$F$19,$C$19,AC$103,$AA106,$AA$104)</f>
        <v>-4163.03971</v>
      </c>
      <c r="AD106" s="142">
        <f ca="1">_xll.DBRW(Server&amp;Cube1,$F$21,$F$14,$F$15,$F$20,$C$18,$F$17,$F$19,$C$19,AD$103,$AA106,$AA$104)</f>
        <v>-7650.1073900000029</v>
      </c>
      <c r="AE106" s="142">
        <f ca="1">_xll.DBRW(Server&amp;Cube1,$F$21,$F$14,$F$15,$F$20,$C$18,$F$17,$F$19,$C$19,AE$103,$AA106,$AA$104)</f>
        <v>-10099.0515</v>
      </c>
      <c r="AF106" s="142">
        <f ca="1">_xll.DBRW(Server&amp;Cube1,$F$21,$F$14,$F$15,$F$20,$C$18,$F$17,$F$19,$C$19,AF$103,$AA106,$AA$104)</f>
        <v>-11758.936460000003</v>
      </c>
      <c r="AG106" s="142">
        <f ca="1">_xll.DBRW(Server&amp;Cube1,$F$21,$F$14,$F$15,$F$20,$C$18,$F$17,$F$19,$C$19,AG$103,$AA106,$AA$104)</f>
        <v>-14354.875210000007</v>
      </c>
      <c r="AH106" s="52"/>
      <c r="AI106" s="52"/>
      <c r="AJ106" s="52"/>
      <c r="AK106" s="52"/>
      <c r="AL106" s="52"/>
      <c r="AM106" s="52"/>
      <c r="AN106" s="52"/>
      <c r="AO106" s="52"/>
    </row>
    <row r="107" spans="1:41" ht="15.75" x14ac:dyDescent="0.25">
      <c r="A107" s="52"/>
      <c r="B107" s="52"/>
      <c r="C107" s="120"/>
      <c r="D107" s="56"/>
      <c r="E107" s="129"/>
      <c r="F107" s="129"/>
      <c r="G107" s="63"/>
      <c r="H107" s="63"/>
      <c r="I107" s="63"/>
      <c r="J107" s="63"/>
      <c r="K107" s="63"/>
      <c r="L107" s="127"/>
      <c r="M107" s="128"/>
      <c r="N107" s="128"/>
      <c r="O107" s="128"/>
      <c r="P107" s="128"/>
      <c r="Q107" s="128"/>
      <c r="R107" s="128"/>
      <c r="S107" s="128"/>
      <c r="T107" s="128"/>
      <c r="U107" s="128"/>
      <c r="V107" s="128"/>
      <c r="W107" s="128"/>
      <c r="X107" s="52"/>
      <c r="Z107" s="53" t="str">
        <f ca="1">_xll.DBRA(Server&amp;$G$1,$AA$107,$AD$11)</f>
        <v>Budget</v>
      </c>
      <c r="AA107" s="2" t="str">
        <f>$K$1</f>
        <v>BUDG_TOT</v>
      </c>
      <c r="AB107" s="142">
        <f ca="1">_xll.DBRW(Server&amp;Cube1,$F$21,$F$14,$F$15,$F$20,$C$18,$F$17,$F$19,$C$19,AB$102,$AA107,$AA$104)</f>
        <v>-2654.268</v>
      </c>
      <c r="AC107" s="142">
        <f ca="1">_xll.DBRW(Server&amp;Cube1,$F$21,$F$14,$F$15,$F$20,$C$18,$F$17,$F$19,$C$19,AC$102,$AA107,$AA$104)</f>
        <v>-5309.5349999999999</v>
      </c>
      <c r="AD107" s="142">
        <f ca="1">_xll.DBRW(Server&amp;Cube1,$F$21,$F$14,$F$15,$F$20,$C$18,$F$17,$F$19,$C$19,AD$102,$AA107,$AA$104)</f>
        <v>-7969.06</v>
      </c>
      <c r="AE107" s="142">
        <f ca="1">_xll.DBRW(Server&amp;Cube1,$F$21,$F$14,$F$15,$F$20,$C$18,$F$17,$F$19,$C$19,AE$102,$AA107,$AA$104)</f>
        <v>-10622.009</v>
      </c>
      <c r="AF107" s="142">
        <f ca="1">_xll.DBRW(Server&amp;Cube1,$F$21,$F$14,$F$15,$F$20,$C$18,$F$17,$F$19,$C$19,AF$102,$AA107,$AA$104)</f>
        <v>-13275.005000000001</v>
      </c>
      <c r="AG107" s="142">
        <f ca="1">_xll.DBRW(Server&amp;Cube1,$F$21,$F$14,$F$15,$F$20,$C$18,$F$17,$F$19,$C$19,AG$102,$AA107,$AA$104)</f>
        <v>-15930.79</v>
      </c>
      <c r="AH107" s="4"/>
      <c r="AI107" s="4"/>
      <c r="AJ107" s="4"/>
      <c r="AK107" s="4"/>
      <c r="AL107" s="4"/>
      <c r="AM107" s="1"/>
      <c r="AN107" s="52"/>
    </row>
    <row r="108" spans="1:41" ht="15.75" x14ac:dyDescent="0.25">
      <c r="A108" s="1"/>
      <c r="B108" s="1"/>
      <c r="C108" s="120"/>
      <c r="D108" s="56"/>
      <c r="E108" s="124"/>
      <c r="F108" s="124"/>
      <c r="G108" s="62"/>
      <c r="H108" s="62"/>
      <c r="I108" s="62"/>
      <c r="J108" s="62"/>
      <c r="K108" s="62"/>
      <c r="L108" s="125"/>
      <c r="M108" s="126"/>
      <c r="N108" s="126"/>
      <c r="O108" s="126"/>
      <c r="P108" s="126"/>
      <c r="Q108" s="126"/>
      <c r="R108" s="126"/>
      <c r="S108" s="126"/>
      <c r="T108" s="126"/>
      <c r="U108" s="126"/>
      <c r="V108" s="126"/>
      <c r="W108" s="126"/>
      <c r="X108" s="52"/>
      <c r="Z108" s="132" t="str">
        <f ca="1">IF($AE$97="No",_xll.DBRA(Server&amp;$C$25,$AA108,$F$16),_xll.DBRA(Server&amp;$C$25,$AA108,$F$16)&amp; " ("&amp;_xll.DBRA(Server&amp;$AD$12,$AD$41,$AD$11)&amp;")")</f>
        <v>Frais de personnel et Assimilés (Cumulé)</v>
      </c>
      <c r="AA108" s="131" t="s">
        <v>102</v>
      </c>
      <c r="AB108" s="143"/>
      <c r="AC108" s="143"/>
      <c r="AD108" s="143"/>
      <c r="AE108" s="143"/>
      <c r="AF108" s="143"/>
      <c r="AG108" s="143"/>
      <c r="AH108" s="52"/>
      <c r="AI108" s="52"/>
      <c r="AJ108" s="52"/>
      <c r="AK108" s="52"/>
      <c r="AL108" s="52"/>
      <c r="AM108" s="52"/>
      <c r="AN108" s="52"/>
    </row>
    <row r="109" spans="1:41" ht="15.75" x14ac:dyDescent="0.25">
      <c r="A109" s="1"/>
      <c r="B109" s="1"/>
      <c r="C109" s="120"/>
      <c r="D109" s="56"/>
      <c r="E109" s="124"/>
      <c r="F109" s="124"/>
      <c r="G109" s="62"/>
      <c r="H109" s="62"/>
      <c r="I109" s="62"/>
      <c r="J109" s="62"/>
      <c r="K109" s="62"/>
      <c r="L109" s="125"/>
      <c r="M109" s="126"/>
      <c r="N109" s="126"/>
      <c r="O109" s="126"/>
      <c r="P109" s="126"/>
      <c r="Q109" s="126"/>
      <c r="R109" s="126"/>
      <c r="S109" s="126"/>
      <c r="T109" s="126"/>
      <c r="U109" s="126"/>
      <c r="V109" s="126"/>
      <c r="W109" s="126"/>
      <c r="X109" s="52"/>
      <c r="Y109" s="85"/>
      <c r="Z109" s="53" t="str">
        <f ca="1">_xll.DBRA(Server&amp;$G$1,$AA109,$AD$11)</f>
        <v>Réalisé</v>
      </c>
      <c r="AA109" s="2" t="str">
        <f>$L$1</f>
        <v>ACT_TOT</v>
      </c>
      <c r="AB109" s="142">
        <f ca="1">IF(AB$101="yes",0,_xll.DBRW(Server&amp;Cube1,$F$21,$F$14,$F$15,$F$20,$C$18,$F$17,$F$19,$C$19,AB$102,$AA109,$AA$108))</f>
        <v>-3877.4366200000013</v>
      </c>
      <c r="AC109" s="142">
        <f ca="1">IF(AC$101="yes",0,_xll.DBRW(Server&amp;Cube1,$F$21,$F$14,$F$15,$F$20,$C$18,$F$17,$F$19,$C$19,AC$102,$AA109,$AA$108))</f>
        <v>-8063.5878500000035</v>
      </c>
      <c r="AD109" s="142">
        <f ca="1">IF(AD$101="yes",0,_xll.DBRW(Server&amp;Cube1,$F$21,$F$14,$F$15,$F$20,$C$18,$F$17,$F$19,$C$19,AD$102,$AA109,$AA$108))</f>
        <v>-11032.017019999998</v>
      </c>
      <c r="AE109" s="142">
        <f ca="1">IF(AE$101="yes",0,_xll.DBRW(Server&amp;Cube1,$F$21,$F$14,$F$15,$F$20,$C$18,$F$17,$F$19,$C$19,AE$102,$AA109,$AA$108))</f>
        <v>-14794.784290000001</v>
      </c>
      <c r="AF109" s="142">
        <f ca="1">IF(AF$101="yes",0,_xll.DBRW(Server&amp;Cube1,$F$21,$F$14,$F$15,$F$20,$C$18,$F$17,$F$19,$C$19,AF$102,$AA109,$AA$108))</f>
        <v>0</v>
      </c>
      <c r="AG109" s="142">
        <f ca="1">IF(AG$101="yes",0,_xll.DBRW(Server&amp;Cube1,$F$21,$F$14,$F$15,$F$20,$C$18,$F$17,$F$19,$C$19,AG$102,$AA109,$AA$108))</f>
        <v>0</v>
      </c>
      <c r="AH109" s="4"/>
      <c r="AI109" s="4"/>
      <c r="AJ109" s="4"/>
      <c r="AK109" s="4"/>
      <c r="AL109" s="4"/>
      <c r="AM109" s="1"/>
      <c r="AN109" s="52"/>
      <c r="AO109" s="52"/>
    </row>
    <row r="110" spans="1:41" ht="15.75" x14ac:dyDescent="0.25">
      <c r="A110" s="1"/>
      <c r="B110" s="1"/>
      <c r="C110" s="120"/>
      <c r="D110" s="56"/>
      <c r="E110" s="124"/>
      <c r="F110" s="124"/>
      <c r="G110" s="62"/>
      <c r="H110" s="62"/>
      <c r="I110" s="62"/>
      <c r="J110" s="62"/>
      <c r="K110" s="62"/>
      <c r="L110" s="125"/>
      <c r="M110" s="126"/>
      <c r="N110" s="126"/>
      <c r="O110" s="126"/>
      <c r="P110" s="126"/>
      <c r="Q110" s="126"/>
      <c r="R110" s="126"/>
      <c r="S110" s="126"/>
      <c r="T110" s="126"/>
      <c r="U110" s="126"/>
      <c r="V110" s="126"/>
      <c r="W110" s="126"/>
      <c r="X110" s="52"/>
      <c r="Y110" s="85"/>
      <c r="Z110" s="53" t="str">
        <f ca="1">_xll.DBRA(Server&amp;$G$1,$AA110,$AD$11)</f>
        <v>Réalisé</v>
      </c>
      <c r="AA110" s="2" t="str">
        <f>$I$1</f>
        <v>ACT_TOT</v>
      </c>
      <c r="AB110" s="142">
        <f ca="1">_xll.DBRW(Server&amp;Cube1,$F$21,$F$14,$F$15,$F$20,$C$18,$F$17,$F$19,$C$19,AB$103,$AA110,$AA$108)</f>
        <v>-4005.6622800000009</v>
      </c>
      <c r="AC110" s="142">
        <f ca="1">_xll.DBRW(Server&amp;Cube1,$F$21,$F$14,$F$15,$F$20,$C$18,$F$17,$F$19,$C$19,AC$103,$AA110,$AA$108)</f>
        <v>-8611.7969499999981</v>
      </c>
      <c r="AD110" s="142">
        <f ca="1">_xll.DBRW(Server&amp;Cube1,$F$21,$F$14,$F$15,$F$20,$C$18,$F$17,$F$19,$C$19,AD$103,$AA110,$AA$108)</f>
        <v>-13775.634769999999</v>
      </c>
      <c r="AE110" s="142">
        <f ca="1">_xll.DBRW(Server&amp;Cube1,$F$21,$F$14,$F$15,$F$20,$C$18,$F$17,$F$19,$C$19,AE$103,$AA110,$AA$108)</f>
        <v>-16721.391080000005</v>
      </c>
      <c r="AF110" s="142">
        <f ca="1">_xll.DBRW(Server&amp;Cube1,$F$21,$F$14,$F$15,$F$20,$C$18,$F$17,$F$19,$C$19,AF$103,$AA110,$AA$108)</f>
        <v>-21002.963820000001</v>
      </c>
      <c r="AG110" s="142">
        <f ca="1">_xll.DBRW(Server&amp;Cube1,$F$21,$F$14,$F$15,$F$20,$C$18,$F$17,$F$19,$C$19,AG$103,$AA110,$AA$108)</f>
        <v>-25967.960660000004</v>
      </c>
      <c r="AH110" s="52"/>
      <c r="AI110" s="52"/>
      <c r="AJ110" s="52"/>
      <c r="AK110" s="52"/>
      <c r="AL110" s="52"/>
      <c r="AM110" s="52"/>
      <c r="AN110" s="52"/>
    </row>
    <row r="111" spans="1:41" ht="15.75" x14ac:dyDescent="0.25">
      <c r="A111" s="1"/>
      <c r="B111" s="1"/>
      <c r="C111" s="120"/>
      <c r="D111" s="56"/>
      <c r="E111" s="124"/>
      <c r="F111" s="124"/>
      <c r="G111" s="62"/>
      <c r="H111" s="62"/>
      <c r="I111" s="62"/>
      <c r="J111" s="62"/>
      <c r="K111" s="62"/>
      <c r="L111" s="125"/>
      <c r="M111" s="126"/>
      <c r="N111" s="126"/>
      <c r="O111" s="126"/>
      <c r="P111" s="126"/>
      <c r="Q111" s="126"/>
      <c r="R111" s="126"/>
      <c r="S111" s="126"/>
      <c r="T111" s="126"/>
      <c r="U111" s="126"/>
      <c r="V111" s="126"/>
      <c r="W111" s="126"/>
      <c r="X111" s="52"/>
      <c r="Z111" s="53" t="str">
        <f ca="1">_xll.DBRA(Server&amp;$G$1,$AA111,$AD$11)</f>
        <v>Budget</v>
      </c>
      <c r="AA111" s="2" t="str">
        <f>$K$1</f>
        <v>BUDG_TOT</v>
      </c>
      <c r="AB111" s="142">
        <f ca="1">_xll.DBRW(Server&amp;Cube1,$F$21,$F$14,$F$15,$F$20,$C$18,$F$17,$F$19,$C$19,AB$102,$AA111,$AA$108)</f>
        <v>-4272.8457126894509</v>
      </c>
      <c r="AC111" s="142">
        <f ca="1">_xll.DBRW(Server&amp;Cube1,$F$21,$F$14,$F$15,$F$20,$C$18,$F$17,$F$19,$C$19,AC$102,$AA111,$AA$108)</f>
        <v>-8527.6035156735597</v>
      </c>
      <c r="AD111" s="142">
        <f ca="1">_xll.DBRW(Server&amp;Cube1,$F$21,$F$14,$F$15,$F$20,$C$18,$F$17,$F$19,$C$19,AD$102,$AA111,$AA$108)</f>
        <v>-12774.413597769772</v>
      </c>
      <c r="AE111" s="142">
        <f ca="1">_xll.DBRW(Server&amp;Cube1,$F$21,$F$14,$F$15,$F$20,$C$18,$F$17,$F$19,$C$19,AE$102,$AA111,$AA$108)</f>
        <v>-16990.720835805678</v>
      </c>
      <c r="AF111" s="142">
        <f ca="1">_xll.DBRW(Server&amp;Cube1,$F$21,$F$14,$F$15,$F$20,$C$18,$F$17,$F$19,$C$19,AF$102,$AA111,$AA$108)</f>
        <v>-21200.527954752975</v>
      </c>
      <c r="AG111" s="142">
        <f ca="1">_xll.DBRW(Server&amp;Cube1,$F$21,$F$14,$F$15,$F$20,$C$18,$F$17,$F$19,$C$19,AG$102,$AA111,$AA$108)</f>
        <v>-25398.330209766864</v>
      </c>
      <c r="AH111" s="4"/>
      <c r="AI111" s="4"/>
      <c r="AJ111" s="4"/>
      <c r="AK111" s="4"/>
      <c r="AL111" s="4"/>
      <c r="AM111" s="1"/>
      <c r="AN111" s="52"/>
    </row>
    <row r="112" spans="1:41" ht="15.75" x14ac:dyDescent="0.25">
      <c r="A112" s="1"/>
      <c r="B112" s="1"/>
      <c r="C112" s="120"/>
      <c r="D112" s="56"/>
      <c r="E112" s="124"/>
      <c r="F112" s="124"/>
      <c r="G112" s="62"/>
      <c r="H112" s="62"/>
      <c r="I112" s="62"/>
      <c r="J112" s="62"/>
      <c r="K112" s="62"/>
      <c r="L112" s="125"/>
      <c r="M112" s="126"/>
      <c r="N112" s="126"/>
      <c r="O112" s="126"/>
      <c r="P112" s="126"/>
      <c r="Q112" s="126"/>
      <c r="R112" s="126"/>
      <c r="S112" s="126"/>
      <c r="T112" s="126"/>
      <c r="U112" s="126"/>
      <c r="V112" s="126"/>
      <c r="W112" s="126"/>
      <c r="X112" s="52"/>
      <c r="Z112" s="132" t="str">
        <f ca="1">IF($AE$97="No",_xll.DBRA(Server&amp;$C$25,$AA112,$F$16),_xll.DBRA(Server&amp;$C$25,$AA112,$F$16)&amp; " ("&amp;_xll.DBRA(Server&amp;$AD$12,$AD$41,$AD$11)&amp;")")</f>
        <v>Frais de déplacement (Cumulé)</v>
      </c>
      <c r="AA112" s="131" t="s">
        <v>106</v>
      </c>
      <c r="AB112" s="144"/>
      <c r="AC112" s="144"/>
      <c r="AD112" s="144"/>
      <c r="AE112" s="144"/>
      <c r="AF112" s="144"/>
      <c r="AG112" s="144"/>
      <c r="AH112" s="52"/>
      <c r="AI112" s="52"/>
      <c r="AJ112" s="52"/>
      <c r="AK112" s="52"/>
      <c r="AL112" s="52"/>
      <c r="AM112" s="52"/>
      <c r="AN112" s="52"/>
    </row>
    <row r="113" spans="1:41" ht="15.75" x14ac:dyDescent="0.25">
      <c r="A113" s="52"/>
      <c r="B113" s="52"/>
      <c r="C113" s="120"/>
      <c r="D113" s="56"/>
      <c r="E113" s="124"/>
      <c r="F113" s="124"/>
      <c r="G113" s="62"/>
      <c r="H113" s="62"/>
      <c r="I113" s="62"/>
      <c r="J113" s="62"/>
      <c r="K113" s="62"/>
      <c r="L113" s="125"/>
      <c r="M113" s="126"/>
      <c r="N113" s="126"/>
      <c r="O113" s="126"/>
      <c r="P113" s="126"/>
      <c r="Q113" s="126"/>
      <c r="R113" s="126"/>
      <c r="S113" s="126"/>
      <c r="T113" s="126"/>
      <c r="U113" s="126"/>
      <c r="V113" s="126"/>
      <c r="W113" s="126"/>
      <c r="X113" s="52"/>
      <c r="Z113" s="53" t="str">
        <f ca="1">_xll.DBRA(Server&amp;$G$1,$AA109,$AD$11)</f>
        <v>Réalisé</v>
      </c>
      <c r="AA113" s="2" t="str">
        <f>$L$1</f>
        <v>ACT_TOT</v>
      </c>
      <c r="AB113" s="142">
        <f ca="1">IF(AB$101="yes",0,_xll.DBRW(Server&amp;Cube1,$F$21,$F$14,$F$15,$F$20,$C$18,$F$17,$F$19,$C$19,AB$102,$AA113,$AA$112))</f>
        <v>-36.482030000000009</v>
      </c>
      <c r="AC113" s="142">
        <f ca="1">IF(AC$101="yes",0,_xll.DBRW(Server&amp;Cube1,$F$21,$F$14,$F$15,$F$20,$C$18,$F$17,$F$19,$C$19,AC$102,$AA113,$AA$112))</f>
        <v>-96.78267000000001</v>
      </c>
      <c r="AD113" s="142">
        <f ca="1">IF(AD$101="yes",0,_xll.DBRW(Server&amp;Cube1,$F$21,$F$14,$F$15,$F$20,$C$18,$F$17,$F$19,$C$19,AD$102,$AA113,$AA$112))</f>
        <v>-168.96348</v>
      </c>
      <c r="AE113" s="142">
        <f ca="1">IF(AE$101="yes",0,_xll.DBRW(Server&amp;Cube1,$F$21,$F$14,$F$15,$F$20,$C$18,$F$17,$F$19,$C$19,AE$102,$AA113,$AA$112))</f>
        <v>-202.40642000000003</v>
      </c>
      <c r="AF113" s="142">
        <f ca="1">IF(AF$101="yes",0,_xll.DBRW(Server&amp;Cube1,$F$21,$F$14,$F$15,$F$20,$C$18,$F$17,$F$19,$C$19,AF$102,$AA113,$AA$112))</f>
        <v>0</v>
      </c>
      <c r="AG113" s="142">
        <f ca="1">IF(AG$101="yes",0,_xll.DBRW(Server&amp;Cube1,$F$21,$F$14,$F$15,$F$20,$C$18,$F$17,$F$19,$C$19,AG$102,$AA113,$AA$112))</f>
        <v>0</v>
      </c>
      <c r="AH113" s="4"/>
      <c r="AI113" s="4"/>
      <c r="AJ113" s="4"/>
      <c r="AK113" s="4"/>
      <c r="AL113" s="4"/>
      <c r="AM113" s="1"/>
      <c r="AN113" s="52"/>
    </row>
    <row r="114" spans="1:41" ht="15.75" x14ac:dyDescent="0.25">
      <c r="A114" s="52"/>
      <c r="B114" s="52"/>
      <c r="C114" s="120"/>
      <c r="D114" s="56"/>
      <c r="E114" s="124"/>
      <c r="F114" s="124"/>
      <c r="G114" s="62"/>
      <c r="H114" s="62"/>
      <c r="I114" s="62"/>
      <c r="J114" s="62"/>
      <c r="K114" s="62"/>
      <c r="L114" s="125"/>
      <c r="M114" s="126"/>
      <c r="N114" s="126"/>
      <c r="O114" s="126"/>
      <c r="P114" s="126"/>
      <c r="Q114" s="126"/>
      <c r="R114" s="126"/>
      <c r="S114" s="126"/>
      <c r="T114" s="126"/>
      <c r="U114" s="126"/>
      <c r="V114" s="126"/>
      <c r="W114" s="126"/>
      <c r="X114" s="52"/>
      <c r="Z114" s="53" t="str">
        <f ca="1">_xll.DBRA(Server&amp;$G$1,$AA110,$AD$11)</f>
        <v>Réalisé</v>
      </c>
      <c r="AA114" s="2" t="str">
        <f>$I$1</f>
        <v>ACT_TOT</v>
      </c>
      <c r="AB114" s="142">
        <f ca="1">_xll.DBRW(Server&amp;Cube1,$F$21,$F$14,$F$15,$F$20,$C$18,$F$17,$F$19,$C$19,AB$103,$AA114,$AA$112)</f>
        <v>-141.60033999999999</v>
      </c>
      <c r="AC114" s="142">
        <f ca="1">_xll.DBRW(Server&amp;Cube1,$F$21,$F$14,$F$15,$F$20,$C$18,$F$17,$F$19,$C$19,AC$103,$AA114,$AA$112)</f>
        <v>-506.60768000000013</v>
      </c>
      <c r="AD114" s="142">
        <f ca="1">_xll.DBRW(Server&amp;Cube1,$F$21,$F$14,$F$15,$F$20,$C$18,$F$17,$F$19,$C$19,AD$103,$AA114,$AA$112)</f>
        <v>-462.3768300000001</v>
      </c>
      <c r="AE114" s="142">
        <f ca="1">_xll.DBRW(Server&amp;Cube1,$F$21,$F$14,$F$15,$F$20,$C$18,$F$17,$F$19,$C$19,AE$103,$AA114,$AA$112)</f>
        <v>-484.86414999999988</v>
      </c>
      <c r="AF114" s="142">
        <f ca="1">_xll.DBRW(Server&amp;Cube1,$F$21,$F$14,$F$15,$F$20,$C$18,$F$17,$F$19,$C$19,AF$103,$AA114,$AA$112)</f>
        <v>-499.48433999999997</v>
      </c>
      <c r="AG114" s="142">
        <f ca="1">_xll.DBRW(Server&amp;Cube1,$F$21,$F$14,$F$15,$F$20,$C$18,$F$17,$F$19,$C$19,AG$103,$AA114,$AA$112)</f>
        <v>-543.31457000000012</v>
      </c>
      <c r="AH114" s="52"/>
      <c r="AI114" s="52"/>
      <c r="AJ114" s="52"/>
      <c r="AK114" s="52"/>
      <c r="AL114" s="52"/>
      <c r="AM114" s="52"/>
      <c r="AN114" s="52"/>
    </row>
    <row r="115" spans="1:41" ht="15.75" x14ac:dyDescent="0.25">
      <c r="A115" s="52"/>
      <c r="B115" s="52"/>
      <c r="C115" s="120"/>
      <c r="D115" s="56"/>
      <c r="E115" s="124"/>
      <c r="F115" s="124"/>
      <c r="G115" s="62"/>
      <c r="H115" s="62"/>
      <c r="I115" s="62"/>
      <c r="J115" s="62"/>
      <c r="K115" s="62"/>
      <c r="L115" s="125"/>
      <c r="M115" s="126"/>
      <c r="N115" s="126"/>
      <c r="O115" s="126"/>
      <c r="P115" s="126"/>
      <c r="Q115" s="126"/>
      <c r="R115" s="126"/>
      <c r="S115" s="126"/>
      <c r="T115" s="126"/>
      <c r="U115" s="126"/>
      <c r="V115" s="126"/>
      <c r="W115" s="126"/>
      <c r="X115" s="52"/>
      <c r="Z115" s="53" t="str">
        <f ca="1">_xll.DBRA(Server&amp;$G$1,$AA111,$AD$11)</f>
        <v>Budget</v>
      </c>
      <c r="AA115" s="2" t="str">
        <f>$K$1</f>
        <v>BUDG_TOT</v>
      </c>
      <c r="AB115" s="142">
        <f ca="1">_xll.DBRW(Server&amp;Cube1,$F$21,$F$14,$F$15,$F$20,$C$18,$F$17,$F$19,$C$19,AB$102,$AA115,$AA$112)</f>
        <v>-146.995</v>
      </c>
      <c r="AC115" s="142">
        <f ca="1">_xll.DBRW(Server&amp;Cube1,$F$21,$F$14,$F$15,$F$20,$C$18,$F$17,$F$19,$C$19,AC$102,$AA115,$AA$112)</f>
        <v>-293.99</v>
      </c>
      <c r="AD115" s="142">
        <f ca="1">_xll.DBRW(Server&amp;Cube1,$F$21,$F$14,$F$15,$F$20,$C$18,$F$17,$F$19,$C$19,AD$102,$AA115,$AA$112)</f>
        <v>-440.98500000000001</v>
      </c>
      <c r="AE115" s="142">
        <f ca="1">_xll.DBRW(Server&amp;Cube1,$F$21,$F$14,$F$15,$F$20,$C$18,$F$17,$F$19,$C$19,AE$102,$AA115,$AA$112)</f>
        <v>-587.98</v>
      </c>
      <c r="AF115" s="142">
        <f ca="1">_xll.DBRW(Server&amp;Cube1,$F$21,$F$14,$F$15,$F$20,$C$18,$F$17,$F$19,$C$19,AF$102,$AA115,$AA$112)</f>
        <v>-734.97500000000002</v>
      </c>
      <c r="AG115" s="142">
        <f ca="1">_xll.DBRW(Server&amp;Cube1,$F$21,$F$14,$F$15,$F$20,$C$18,$F$17,$F$19,$C$19,AG$102,$AA115,$AA$112)</f>
        <v>-881.97</v>
      </c>
      <c r="AH115" s="4"/>
      <c r="AI115" s="4"/>
      <c r="AJ115" s="4"/>
      <c r="AK115" s="4"/>
      <c r="AL115" s="4"/>
      <c r="AM115" s="1"/>
      <c r="AN115" s="52"/>
    </row>
    <row r="116" spans="1:41" ht="15.75" x14ac:dyDescent="0.25">
      <c r="A116" s="52"/>
      <c r="B116" s="52"/>
      <c r="C116" s="120"/>
      <c r="D116" s="56"/>
      <c r="E116" s="124"/>
      <c r="F116" s="124"/>
      <c r="G116" s="62"/>
      <c r="H116" s="62"/>
      <c r="I116" s="62"/>
      <c r="J116" s="62"/>
      <c r="K116" s="62"/>
      <c r="L116" s="125"/>
      <c r="M116" s="126"/>
      <c r="N116" s="126"/>
      <c r="O116" s="126"/>
      <c r="P116" s="126"/>
      <c r="Q116" s="126"/>
      <c r="R116" s="126"/>
      <c r="S116" s="126"/>
      <c r="T116" s="126"/>
      <c r="U116" s="126"/>
      <c r="V116" s="126"/>
      <c r="W116" s="126"/>
      <c r="X116" s="52"/>
      <c r="Z116" s="211" t="str">
        <f ca="1">IF($AE$97="No",_xll.DBRA(Server&amp;$C$25,$AA116,$F$16),_xll.DBRA(Server&amp;$C$25,$AA116,$F$16)&amp; " ("&amp;_xll.DBRA(Server&amp;$AD$12,$AD$41,$AD$11)&amp;")")</f>
        <v>RESULTAT OPERATIONNEL APRES MF (Cumulé)</v>
      </c>
      <c r="AA116" s="131" t="s">
        <v>133</v>
      </c>
      <c r="AB116" s="143"/>
      <c r="AC116" s="143"/>
      <c r="AD116" s="143"/>
      <c r="AE116" s="143"/>
      <c r="AF116" s="143"/>
      <c r="AG116" s="143"/>
      <c r="AH116" s="52"/>
      <c r="AI116" s="52"/>
      <c r="AJ116" s="52"/>
      <c r="AK116" s="52"/>
      <c r="AL116" s="52"/>
      <c r="AM116" s="52"/>
      <c r="AN116" s="52"/>
    </row>
    <row r="117" spans="1:41" ht="15.75" x14ac:dyDescent="0.25">
      <c r="A117" s="52"/>
      <c r="B117" s="52"/>
      <c r="C117" s="120"/>
      <c r="D117" s="56"/>
      <c r="E117" s="124"/>
      <c r="F117" s="124"/>
      <c r="G117" s="62"/>
      <c r="H117" s="62"/>
      <c r="I117" s="62"/>
      <c r="J117" s="62"/>
      <c r="K117" s="62"/>
      <c r="L117" s="125"/>
      <c r="M117" s="126"/>
      <c r="N117" s="126"/>
      <c r="O117" s="126"/>
      <c r="P117" s="126"/>
      <c r="Q117" s="126"/>
      <c r="R117" s="126"/>
      <c r="S117" s="126"/>
      <c r="T117" s="126"/>
      <c r="U117" s="126"/>
      <c r="V117" s="126"/>
      <c r="W117" s="126"/>
      <c r="X117" s="52"/>
      <c r="Z117" s="53" t="str">
        <f ca="1">_xll.DBRA(Server&amp;$G$1,$AA113,$AD$11)</f>
        <v>Réalisé</v>
      </c>
      <c r="AA117" s="2" t="str">
        <f>$L$1</f>
        <v>ACT_TOT</v>
      </c>
      <c r="AB117" s="142">
        <f ca="1">IF(AB$101="yes",0,_xll.DBRW(Server&amp;Cube1,$F$21,$F$14,$F$15,$F$20,$C$18,$F$17,$F$19,$C$19,AB$102,$AA117,$AA$116))</f>
        <v>-5137.099000000002</v>
      </c>
      <c r="AC117" s="142">
        <f ca="1">IF(AC$101="yes",0,_xll.DBRW(Server&amp;Cube1,$F$21,$F$14,$F$15,$F$20,$C$18,$F$17,$F$19,$C$19,AC$102,$AA117,$AA$116))</f>
        <v>-145.56840999999818</v>
      </c>
      <c r="AD117" s="142">
        <f ca="1">IF(AD$101="yes",0,_xll.DBRW(Server&amp;Cube1,$F$21,$F$14,$F$15,$F$20,$C$18,$F$17,$F$19,$C$19,AD$102,$AA117,$AA$116))</f>
        <v>-961.0055600000004</v>
      </c>
      <c r="AE117" s="142">
        <f ca="1">IF(AE$101="yes",0,_xll.DBRW(Server&amp;Cube1,$F$21,$F$14,$F$15,$F$20,$C$18,$F$17,$F$19,$C$19,AE$102,$AA117,$AA$116))</f>
        <v>-763.75832999999204</v>
      </c>
      <c r="AF117" s="142">
        <f ca="1">IF(AF$101="yes",0,_xll.DBRW(Server&amp;Cube1,$F$21,$F$14,$F$15,$F$20,$C$18,$F$17,$F$19,$C$19,AF$102,$AA117,$AA$116))</f>
        <v>0</v>
      </c>
      <c r="AG117" s="142">
        <f ca="1">IF(AG$101="yes",0,_xll.DBRW(Server&amp;Cube1,$F$21,$F$14,$F$15,$F$20,$C$18,$F$17,$F$19,$C$19,AG$102,$AA117,$AA$116))</f>
        <v>0</v>
      </c>
      <c r="AH117" s="4"/>
      <c r="AI117" s="4"/>
      <c r="AJ117" s="4"/>
      <c r="AK117" s="4"/>
      <c r="AL117" s="4"/>
      <c r="AM117" s="1"/>
      <c r="AN117" s="52"/>
    </row>
    <row r="118" spans="1:41" ht="15.75" x14ac:dyDescent="0.25">
      <c r="A118" s="52"/>
      <c r="B118" s="52"/>
      <c r="C118" s="120"/>
      <c r="D118" s="56"/>
      <c r="E118" s="124"/>
      <c r="F118" s="124"/>
      <c r="G118" s="62"/>
      <c r="H118" s="62"/>
      <c r="I118" s="62"/>
      <c r="J118" s="62"/>
      <c r="K118" s="62"/>
      <c r="L118" s="125"/>
      <c r="M118" s="126"/>
      <c r="N118" s="126"/>
      <c r="O118" s="126"/>
      <c r="P118" s="126"/>
      <c r="Q118" s="126"/>
      <c r="R118" s="126"/>
      <c r="S118" s="126"/>
      <c r="T118" s="126"/>
      <c r="U118" s="126"/>
      <c r="V118" s="126"/>
      <c r="W118" s="126"/>
      <c r="X118" s="52"/>
      <c r="Z118" s="53" t="str">
        <f ca="1">_xll.DBRA(Server&amp;$G$1,$AA114,$AD$11)</f>
        <v>Réalisé</v>
      </c>
      <c r="AA118" s="2" t="str">
        <f>$I$1</f>
        <v>ACT_TOT</v>
      </c>
      <c r="AB118" s="142">
        <f ca="1">_xll.DBRW(Server&amp;Cube1,$F$21,$F$14,$F$15,$F$20,$C$18,$F$17,$F$19,$C$19,AB$103,$AA118,$AA$116)</f>
        <v>-5549.9345100000019</v>
      </c>
      <c r="AC118" s="142">
        <f ca="1">_xll.DBRW(Server&amp;Cube1,$F$21,$F$14,$F$15,$F$20,$C$18,$F$17,$F$19,$C$19,AC$103,$AA118,$AA$116)</f>
        <v>-1009.6295999999974</v>
      </c>
      <c r="AD118" s="142">
        <f ca="1">_xll.DBRW(Server&amp;Cube1,$F$21,$F$14,$F$15,$F$20,$C$18,$F$17,$F$19,$C$19,AD$103,$AA118,$AA$116)</f>
        <v>-4273.333270000001</v>
      </c>
      <c r="AE118" s="142">
        <f ca="1">_xll.DBRW(Server&amp;Cube1,$F$21,$F$14,$F$15,$F$20,$C$18,$F$17,$F$19,$C$19,AE$103,$AA118,$AA$116)</f>
        <v>-3535.4252400000023</v>
      </c>
      <c r="AF118" s="142">
        <f ca="1">_xll.DBRW(Server&amp;Cube1,$F$21,$F$14,$F$15,$F$20,$C$18,$F$17,$F$19,$C$19,AF$103,$AA118,$AA$116)</f>
        <v>-3225.2735700000035</v>
      </c>
      <c r="AG118" s="142">
        <f ca="1">_xll.DBRW(Server&amp;Cube1,$F$21,$F$14,$F$15,$F$20,$C$18,$F$17,$F$19,$C$19,AG$103,$AA118,$AA$116)</f>
        <v>-4410.7250199999944</v>
      </c>
      <c r="AH118" s="52"/>
      <c r="AI118" s="52"/>
      <c r="AJ118" s="52"/>
      <c r="AK118" s="52"/>
      <c r="AL118" s="52"/>
      <c r="AM118" s="52"/>
      <c r="AN118" s="52"/>
    </row>
    <row r="119" spans="1:41" ht="15.75" x14ac:dyDescent="0.25">
      <c r="A119" s="52"/>
      <c r="B119" s="52"/>
      <c r="C119" s="120"/>
      <c r="D119" s="56"/>
      <c r="E119" s="124"/>
      <c r="F119" s="124"/>
      <c r="G119" s="62"/>
      <c r="H119" s="62"/>
      <c r="I119" s="62"/>
      <c r="J119" s="62"/>
      <c r="K119" s="62"/>
      <c r="L119" s="125"/>
      <c r="M119" s="126"/>
      <c r="N119" s="126"/>
      <c r="O119" s="126"/>
      <c r="P119" s="126"/>
      <c r="Q119" s="126"/>
      <c r="R119" s="126"/>
      <c r="S119" s="126"/>
      <c r="T119" s="126"/>
      <c r="U119" s="126"/>
      <c r="V119" s="126"/>
      <c r="W119" s="126"/>
      <c r="X119" s="52"/>
      <c r="Z119" s="53" t="str">
        <f ca="1">_xll.DBRA(Server&amp;$G$1,$AA115,$AD$11)</f>
        <v>Budget</v>
      </c>
      <c r="AA119" s="2" t="str">
        <f>$K$1</f>
        <v>BUDG_TOT</v>
      </c>
      <c r="AB119" s="142">
        <f ca="1">_xll.DBRW(Server&amp;Cube1,$F$21,$F$14,$F$15,$F$20,$C$18,$F$17,$F$19,$C$19,AB$102,$AA119,$AA$116)</f>
        <v>-1043.804712689451</v>
      </c>
      <c r="AC119" s="142">
        <f ca="1">_xll.DBRW(Server&amp;Cube1,$F$21,$F$14,$F$15,$F$20,$C$18,$F$17,$F$19,$C$19,AC$102,$AA119,$AA$116)</f>
        <v>-2073.5285156735572</v>
      </c>
      <c r="AD119" s="142">
        <f ca="1">_xll.DBRW(Server&amp;Cube1,$F$21,$F$14,$F$15,$F$20,$C$18,$F$17,$F$19,$C$19,AD$102,$AA119,$AA$116)</f>
        <v>-3087.7715977697708</v>
      </c>
      <c r="AE119" s="142">
        <f ca="1">_xll.DBRW(Server&amp;Cube1,$F$21,$F$14,$F$15,$F$20,$C$18,$F$17,$F$19,$C$19,AE$102,$AA119,$AA$116)</f>
        <v>-4075.5878358056771</v>
      </c>
      <c r="AF119" s="142">
        <f ca="1">_xll.DBRW(Server&amp;Cube1,$F$21,$F$14,$F$15,$F$20,$C$18,$F$17,$F$19,$C$19,AF$102,$AA119,$AA$116)</f>
        <v>-5052.4939547529739</v>
      </c>
      <c r="AG119" s="142">
        <f ca="1">_xll.DBRW(Server&amp;Cube1,$F$21,$F$14,$F$15,$F$20,$C$18,$F$17,$F$19,$C$19,AG$102,$AA119,$AA$116)</f>
        <v>-6020.1452097668653</v>
      </c>
      <c r="AH119" s="4"/>
      <c r="AI119" s="4"/>
      <c r="AJ119" s="4"/>
      <c r="AK119" s="4"/>
      <c r="AL119" s="4"/>
      <c r="AM119" s="1"/>
      <c r="AN119" s="52"/>
    </row>
    <row r="120" spans="1:41" ht="15" x14ac:dyDescent="0.25">
      <c r="A120" s="52"/>
      <c r="B120" s="52"/>
      <c r="C120" s="120"/>
      <c r="D120" s="56"/>
      <c r="E120" s="124"/>
      <c r="F120" s="124"/>
      <c r="G120" s="62"/>
      <c r="H120" s="62"/>
      <c r="I120" s="62"/>
      <c r="J120" s="62"/>
      <c r="K120" s="62"/>
      <c r="L120" s="125"/>
      <c r="M120" s="126"/>
      <c r="N120" s="126"/>
      <c r="O120" s="126"/>
      <c r="P120" s="126"/>
      <c r="Q120" s="126"/>
      <c r="R120" s="126"/>
      <c r="S120" s="126"/>
      <c r="T120" s="126"/>
      <c r="U120" s="126"/>
      <c r="V120" s="126"/>
      <c r="W120" s="126"/>
      <c r="X120" s="52"/>
      <c r="Z120" s="1" t="str">
        <f ca="1">IF($F$24=$AE$13,_xll.DBRA(Server&amp;$AD$12,AD$55,$F$16),IF($F$24=$AE$14,_xll.DBRA(Server&amp;$AD$12,AD$54,$F$16),_xll.DBRA(Server&amp;$G$1,$I$1,$F$16)))</f>
        <v/>
      </c>
      <c r="AH120" s="52"/>
      <c r="AI120" s="52"/>
      <c r="AJ120" s="52"/>
      <c r="AK120" s="52"/>
      <c r="AL120" s="52"/>
      <c r="AM120" s="52"/>
      <c r="AN120" s="52"/>
    </row>
    <row r="121" spans="1:41" ht="15" x14ac:dyDescent="0.25">
      <c r="A121" s="52"/>
      <c r="B121" s="52"/>
      <c r="C121" s="120"/>
      <c r="D121" s="56"/>
      <c r="E121" s="124"/>
      <c r="F121" s="124"/>
      <c r="G121" s="62"/>
      <c r="H121" s="62"/>
      <c r="I121" s="62"/>
      <c r="J121" s="62"/>
      <c r="K121" s="62"/>
      <c r="L121" s="125"/>
      <c r="M121" s="126"/>
      <c r="N121" s="126"/>
      <c r="O121" s="126"/>
      <c r="P121" s="126"/>
      <c r="Q121" s="126"/>
      <c r="R121" s="126"/>
      <c r="S121" s="126"/>
      <c r="T121" s="126"/>
      <c r="U121" s="126"/>
      <c r="V121" s="126"/>
      <c r="W121" s="126"/>
      <c r="X121" s="52"/>
      <c r="Z121" s="1" t="str">
        <f ca="1">_xll.DBRA(Server&amp;$G$1,L$1,$F$16)</f>
        <v/>
      </c>
      <c r="AH121" s="4"/>
      <c r="AI121" s="4"/>
      <c r="AJ121" s="4"/>
      <c r="AK121" s="4"/>
      <c r="AL121" s="4"/>
      <c r="AM121" s="1"/>
      <c r="AN121" s="52"/>
    </row>
    <row r="122" spans="1:41" ht="15" x14ac:dyDescent="0.25">
      <c r="A122" s="52"/>
      <c r="B122" s="52"/>
      <c r="C122" s="120"/>
      <c r="D122" s="56"/>
      <c r="E122" s="124"/>
      <c r="F122" s="124"/>
      <c r="G122" s="62"/>
      <c r="H122" s="62"/>
      <c r="I122" s="62"/>
      <c r="J122" s="62"/>
      <c r="K122" s="62"/>
      <c r="L122" s="125"/>
      <c r="M122" s="126"/>
      <c r="N122" s="126"/>
      <c r="O122" s="126"/>
      <c r="P122" s="126"/>
      <c r="Q122" s="126"/>
      <c r="R122" s="126"/>
      <c r="S122" s="126"/>
      <c r="T122" s="126"/>
      <c r="U122" s="126"/>
      <c r="V122" s="126"/>
      <c r="W122" s="126"/>
      <c r="X122" s="52"/>
      <c r="AH122" s="52"/>
      <c r="AI122" s="52"/>
      <c r="AJ122" s="52"/>
      <c r="AK122" s="52"/>
      <c r="AL122" s="52"/>
      <c r="AM122" s="52"/>
      <c r="AN122" s="52"/>
    </row>
    <row r="123" spans="1:41" ht="15" x14ac:dyDescent="0.25">
      <c r="A123" s="52"/>
      <c r="B123" s="52"/>
      <c r="C123" s="120"/>
      <c r="D123" s="56"/>
      <c r="E123" s="124"/>
      <c r="F123" s="124"/>
      <c r="G123" s="62"/>
      <c r="H123" s="62"/>
      <c r="I123" s="62"/>
      <c r="J123" s="62"/>
      <c r="K123" s="62"/>
      <c r="L123" s="125"/>
      <c r="M123" s="126"/>
      <c r="N123" s="126"/>
      <c r="O123" s="126"/>
      <c r="P123" s="126"/>
      <c r="Q123" s="126"/>
      <c r="R123" s="126"/>
      <c r="S123" s="126"/>
      <c r="T123" s="126"/>
      <c r="U123" s="126"/>
      <c r="V123" s="126"/>
      <c r="W123" s="126"/>
      <c r="X123" s="52"/>
      <c r="AH123" s="4"/>
      <c r="AI123" s="4"/>
      <c r="AJ123" s="4"/>
      <c r="AK123" s="4"/>
      <c r="AL123" s="4"/>
      <c r="AM123" s="1"/>
      <c r="AN123" s="52"/>
    </row>
    <row r="124" spans="1:41" ht="15" x14ac:dyDescent="0.25">
      <c r="A124" s="52"/>
      <c r="B124" s="52"/>
      <c r="C124" s="120"/>
      <c r="D124" s="56"/>
      <c r="E124" s="124"/>
      <c r="F124" s="124"/>
      <c r="G124" s="62"/>
      <c r="H124" s="62"/>
      <c r="I124" s="62"/>
      <c r="J124" s="62"/>
      <c r="K124" s="62"/>
      <c r="L124" s="125"/>
      <c r="M124" s="126"/>
      <c r="N124" s="126"/>
      <c r="O124" s="126"/>
      <c r="P124" s="126"/>
      <c r="Q124" s="126"/>
      <c r="R124" s="126"/>
      <c r="S124" s="126"/>
      <c r="T124" s="126"/>
      <c r="U124" s="126"/>
      <c r="V124" s="126"/>
      <c r="W124" s="126"/>
      <c r="X124" s="52"/>
      <c r="AH124" s="52"/>
      <c r="AI124" s="52"/>
      <c r="AJ124" s="52"/>
      <c r="AK124" s="52"/>
      <c r="AL124" s="52"/>
      <c r="AM124" s="52"/>
      <c r="AN124" s="52"/>
    </row>
    <row r="125" spans="1:41" ht="15" x14ac:dyDescent="0.25">
      <c r="A125" s="52"/>
      <c r="B125" s="52"/>
      <c r="C125" s="120"/>
      <c r="D125" s="56"/>
      <c r="E125" s="130"/>
      <c r="F125" s="124"/>
      <c r="G125" s="124"/>
      <c r="H125" s="62"/>
      <c r="I125" s="62"/>
      <c r="J125" s="62"/>
      <c r="K125" s="62"/>
      <c r="L125" s="62"/>
      <c r="M125" s="125"/>
      <c r="N125" s="126"/>
      <c r="O125" s="126"/>
      <c r="P125" s="126"/>
      <c r="Q125" s="126"/>
      <c r="R125" s="126"/>
      <c r="S125" s="126"/>
      <c r="T125" s="126"/>
      <c r="U125" s="126"/>
      <c r="V125" s="126"/>
      <c r="W125" s="126"/>
      <c r="X125" s="52"/>
      <c r="Y125" s="52"/>
      <c r="Z125" s="52"/>
      <c r="AA125" s="52"/>
      <c r="AB125" s="52"/>
      <c r="AC125" s="52"/>
      <c r="AD125" s="52"/>
      <c r="AE125" s="52"/>
      <c r="AF125" s="52"/>
      <c r="AG125" s="52"/>
      <c r="AH125" s="52"/>
      <c r="AI125" s="52"/>
      <c r="AJ125" s="52"/>
      <c r="AK125" s="52"/>
      <c r="AL125" s="52"/>
      <c r="AM125" s="52"/>
      <c r="AN125" s="52"/>
      <c r="AO125" s="52"/>
    </row>
    <row r="126" spans="1:41" ht="15" x14ac:dyDescent="0.25">
      <c r="A126" s="52"/>
      <c r="B126" s="52"/>
      <c r="C126" s="120"/>
      <c r="D126" s="56"/>
      <c r="E126" s="130"/>
      <c r="F126" s="124"/>
      <c r="G126" s="124"/>
      <c r="H126" s="62"/>
      <c r="I126" s="62"/>
      <c r="J126" s="62"/>
      <c r="K126" s="62"/>
      <c r="L126" s="62"/>
      <c r="M126" s="125"/>
      <c r="N126" s="126"/>
      <c r="O126" s="126"/>
      <c r="P126" s="126"/>
      <c r="Q126" s="126"/>
      <c r="R126" s="126"/>
      <c r="S126" s="126"/>
      <c r="T126" s="126"/>
      <c r="U126" s="126"/>
      <c r="V126" s="126"/>
      <c r="W126" s="126"/>
      <c r="X126" s="52"/>
      <c r="Y126" s="52"/>
      <c r="Z126" s="52"/>
      <c r="AA126" s="52"/>
      <c r="AB126" s="52"/>
      <c r="AC126" s="52"/>
      <c r="AD126" s="52"/>
      <c r="AE126" s="52"/>
      <c r="AF126" s="52"/>
      <c r="AG126" s="52"/>
      <c r="AH126" s="52"/>
      <c r="AI126" s="52"/>
      <c r="AJ126" s="52"/>
      <c r="AK126" s="52"/>
      <c r="AL126" s="52"/>
      <c r="AM126" s="52"/>
      <c r="AN126" s="52"/>
      <c r="AO126" s="52"/>
    </row>
    <row r="127" spans="1:41" ht="15" x14ac:dyDescent="0.25">
      <c r="A127" s="52"/>
      <c r="B127" s="52"/>
      <c r="C127" s="120"/>
      <c r="D127" s="56"/>
      <c r="E127" s="130"/>
      <c r="F127" s="124"/>
      <c r="G127" s="124"/>
      <c r="H127" s="62"/>
      <c r="I127" s="62"/>
      <c r="J127" s="62"/>
      <c r="K127" s="62"/>
      <c r="L127" s="62"/>
      <c r="M127" s="125"/>
      <c r="N127" s="126"/>
      <c r="O127" s="126"/>
      <c r="P127" s="126"/>
      <c r="Q127" s="126"/>
      <c r="R127" s="126"/>
      <c r="S127" s="126"/>
      <c r="T127" s="126"/>
      <c r="U127" s="126"/>
      <c r="V127" s="126"/>
      <c r="W127" s="126"/>
      <c r="X127" s="52"/>
      <c r="Y127" s="52"/>
      <c r="Z127" s="52"/>
      <c r="AA127" s="52"/>
      <c r="AB127" s="52"/>
      <c r="AC127" s="52"/>
      <c r="AD127" s="52"/>
      <c r="AE127" s="52"/>
      <c r="AF127" s="52"/>
      <c r="AG127" s="52"/>
      <c r="AH127" s="52"/>
      <c r="AI127" s="52"/>
      <c r="AJ127" s="52"/>
      <c r="AK127" s="52"/>
      <c r="AL127" s="52"/>
      <c r="AM127" s="52"/>
      <c r="AN127" s="52"/>
      <c r="AO127" s="52"/>
    </row>
    <row r="128" spans="1:41" ht="15" x14ac:dyDescent="0.25">
      <c r="A128" s="52"/>
      <c r="B128" s="52"/>
      <c r="C128" s="120"/>
      <c r="D128" s="56"/>
      <c r="E128" s="130"/>
      <c r="F128" s="124"/>
      <c r="G128" s="124"/>
      <c r="H128" s="62"/>
      <c r="I128" s="62"/>
      <c r="J128" s="62"/>
      <c r="K128" s="62"/>
      <c r="L128" s="62"/>
      <c r="M128" s="125"/>
      <c r="N128" s="126"/>
      <c r="O128" s="126"/>
      <c r="P128" s="126"/>
      <c r="Q128" s="126"/>
      <c r="R128" s="126"/>
      <c r="S128" s="126"/>
      <c r="T128" s="126"/>
      <c r="U128" s="126"/>
      <c r="V128" s="126"/>
      <c r="W128" s="126"/>
      <c r="X128" s="52"/>
      <c r="Y128" s="52"/>
      <c r="Z128" s="52"/>
      <c r="AA128" s="52"/>
      <c r="AB128" s="52"/>
      <c r="AC128" s="52"/>
      <c r="AD128" s="52"/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  <c r="AO128" s="52"/>
    </row>
    <row r="129" spans="1:41" ht="23.25" x14ac:dyDescent="0.35">
      <c r="A129" s="52"/>
      <c r="B129" s="52"/>
      <c r="C129" s="120"/>
      <c r="D129" s="59"/>
      <c r="E129" s="135"/>
      <c r="F129" s="135"/>
      <c r="G129" s="135"/>
      <c r="H129" s="39"/>
      <c r="I129" s="106"/>
      <c r="J129" s="106"/>
      <c r="K129" s="106"/>
      <c r="L129" s="106"/>
      <c r="M129" s="10"/>
      <c r="N129" s="10"/>
      <c r="O129" s="10"/>
      <c r="P129" s="10"/>
      <c r="Q129" s="10"/>
      <c r="R129" s="52"/>
      <c r="W129" s="52"/>
      <c r="X129" s="52"/>
      <c r="Y129" s="52"/>
      <c r="Z129" s="52"/>
      <c r="AA129" s="52"/>
      <c r="AB129" s="52"/>
      <c r="AC129" s="52"/>
      <c r="AD129" s="52"/>
      <c r="AE129" s="52"/>
      <c r="AF129" s="52"/>
      <c r="AG129" s="52"/>
      <c r="AH129" s="52"/>
      <c r="AI129" s="52"/>
      <c r="AJ129" s="52"/>
      <c r="AK129" s="52"/>
      <c r="AL129" s="52"/>
      <c r="AM129" s="52"/>
      <c r="AN129" s="52"/>
      <c r="AO129" s="52"/>
    </row>
    <row r="130" spans="1:41" ht="19.5" x14ac:dyDescent="0.3">
      <c r="A130" s="52"/>
      <c r="B130" s="52"/>
      <c r="C130" s="87"/>
      <c r="D130" s="25"/>
      <c r="E130" s="41"/>
      <c r="F130" s="41"/>
      <c r="G130" s="41"/>
      <c r="H130" s="42"/>
      <c r="I130" s="40"/>
      <c r="J130" s="40"/>
      <c r="K130" s="40"/>
      <c r="L130" s="43"/>
      <c r="M130" s="10"/>
      <c r="N130" s="10"/>
      <c r="O130" s="10"/>
      <c r="P130" s="10"/>
      <c r="Q130" s="10"/>
      <c r="R130" s="52"/>
      <c r="W130" s="52"/>
      <c r="X130" s="52"/>
      <c r="Y130" s="52"/>
      <c r="Z130" s="52"/>
      <c r="AA130" s="52"/>
      <c r="AB130" s="52"/>
      <c r="AC130" s="52"/>
      <c r="AD130" s="52"/>
      <c r="AE130" s="52"/>
      <c r="AF130" s="52"/>
      <c r="AG130" s="52"/>
      <c r="AH130" s="52"/>
      <c r="AI130" s="52"/>
      <c r="AJ130" s="52"/>
      <c r="AK130" s="52"/>
      <c r="AL130" s="52"/>
      <c r="AM130" s="52"/>
      <c r="AN130" s="52"/>
      <c r="AO130" s="52"/>
    </row>
    <row r="131" spans="1:41" s="45" customFormat="1" ht="18.75" x14ac:dyDescent="0.3">
      <c r="A131" s="23"/>
      <c r="B131" s="52"/>
      <c r="C131" s="27" t="s">
        <v>5</v>
      </c>
      <c r="D131" s="44"/>
      <c r="E131" s="11" t="str">
        <f ca="1">_xll.DBRA(Server&amp;$AD$12,C131,$AD$11)</f>
        <v>Commentaires</v>
      </c>
      <c r="F131" s="11"/>
      <c r="G131" s="8"/>
      <c r="H131" s="4"/>
      <c r="I131" s="12"/>
      <c r="J131" s="12"/>
      <c r="K131" s="13"/>
      <c r="L131" s="14"/>
      <c r="M131" s="14"/>
      <c r="N131" s="14"/>
      <c r="O131" s="14"/>
      <c r="P131" s="14"/>
      <c r="Q131" s="14"/>
      <c r="R131" s="23"/>
      <c r="S131" s="52"/>
      <c r="T131" s="52"/>
      <c r="U131" s="52"/>
      <c r="V131" s="52"/>
      <c r="W131" s="23"/>
      <c r="X131" s="23"/>
      <c r="Y131" s="23"/>
      <c r="Z131" s="23"/>
      <c r="AA131" s="23"/>
      <c r="AB131" s="23"/>
      <c r="AC131" s="23"/>
      <c r="AD131" s="23"/>
      <c r="AE131" s="23"/>
      <c r="AF131" s="23"/>
      <c r="AG131" s="23"/>
      <c r="AH131" s="23"/>
      <c r="AI131" s="23"/>
      <c r="AJ131" s="23"/>
      <c r="AK131" s="23"/>
      <c r="AL131" s="23"/>
      <c r="AM131" s="23"/>
      <c r="AN131" s="23"/>
      <c r="AO131" s="23"/>
    </row>
    <row r="132" spans="1:41" s="45" customFormat="1" ht="19.5" x14ac:dyDescent="0.2">
      <c r="A132" s="23"/>
      <c r="B132" s="52"/>
      <c r="C132" s="27" t="s">
        <v>21</v>
      </c>
      <c r="D132" s="44"/>
      <c r="E132" s="235" t="str">
        <f ca="1">_xll.DBRW(Server&amp;Cube2,PL!$F$14,PL!$F$15,PL!$F$20,PL!$F$17,PL!$F$19,PL!$C$19,PL!$F$18,PL!$P$2,PL!$H$4,"Compte_de_Resultat_Realise",PL!$C132)</f>
        <v/>
      </c>
      <c r="F132" s="236"/>
      <c r="G132" s="236"/>
      <c r="H132" s="236"/>
      <c r="I132" s="236"/>
      <c r="J132" s="236"/>
      <c r="K132" s="236"/>
      <c r="L132" s="236"/>
      <c r="M132" s="236"/>
      <c r="N132" s="236"/>
      <c r="O132" s="236"/>
      <c r="P132" s="236"/>
      <c r="Q132" s="236"/>
      <c r="R132" s="236"/>
      <c r="S132" s="236"/>
      <c r="T132" s="236"/>
      <c r="U132" s="236"/>
      <c r="V132" s="236"/>
      <c r="W132" s="236"/>
      <c r="X132" s="23"/>
      <c r="Y132" s="23"/>
      <c r="Z132" s="23"/>
      <c r="AA132" s="23"/>
      <c r="AB132" s="23"/>
      <c r="AC132" s="23"/>
      <c r="AD132" s="23"/>
      <c r="AE132" s="23"/>
      <c r="AF132" s="23"/>
      <c r="AG132" s="23"/>
      <c r="AH132" s="23"/>
      <c r="AI132" s="23"/>
      <c r="AJ132" s="23"/>
      <c r="AK132" s="23"/>
      <c r="AL132" s="23"/>
      <c r="AM132" s="23"/>
      <c r="AN132" s="23"/>
      <c r="AO132" s="23"/>
    </row>
    <row r="133" spans="1:41" s="45" customFormat="1" ht="19.5" x14ac:dyDescent="0.2">
      <c r="A133" s="23"/>
      <c r="B133" s="52"/>
      <c r="C133" s="27" t="s">
        <v>22</v>
      </c>
      <c r="D133" s="44"/>
      <c r="E133" s="235" t="str">
        <f ca="1">_xll.DBRW(Server&amp;Cube2,PL!$F$14,PL!$F$15,PL!$F$20,PL!$F$17,PL!$F$19,PL!$C$19,PL!$F$18,PL!$P$2,PL!$H$4,"Compte_de_Resultat_Realise",PL!$C133)</f>
        <v/>
      </c>
      <c r="F133" s="236"/>
      <c r="G133" s="236"/>
      <c r="H133" s="236"/>
      <c r="I133" s="236"/>
      <c r="J133" s="236"/>
      <c r="K133" s="236"/>
      <c r="L133" s="236"/>
      <c r="M133" s="236"/>
      <c r="N133" s="236"/>
      <c r="O133" s="236"/>
      <c r="P133" s="236"/>
      <c r="Q133" s="236"/>
      <c r="R133" s="236"/>
      <c r="S133" s="236"/>
      <c r="T133" s="236"/>
      <c r="U133" s="236"/>
      <c r="V133" s="236"/>
      <c r="W133" s="236"/>
      <c r="X133" s="23"/>
      <c r="Y133" s="23"/>
      <c r="Z133" s="23"/>
      <c r="AA133" s="23"/>
      <c r="AB133" s="23"/>
      <c r="AC133" s="23"/>
      <c r="AD133" s="23"/>
      <c r="AE133" s="23"/>
      <c r="AF133" s="23"/>
      <c r="AG133" s="23"/>
      <c r="AH133" s="23"/>
      <c r="AI133" s="23"/>
      <c r="AJ133" s="23"/>
      <c r="AK133" s="23"/>
      <c r="AL133" s="23"/>
      <c r="AM133" s="23"/>
      <c r="AN133" s="23"/>
      <c r="AO133" s="23"/>
    </row>
    <row r="134" spans="1:41" s="45" customFormat="1" ht="19.5" x14ac:dyDescent="0.2">
      <c r="A134" s="23"/>
      <c r="B134" s="52"/>
      <c r="C134" s="27" t="s">
        <v>23</v>
      </c>
      <c r="D134" s="44"/>
      <c r="E134" s="235" t="str">
        <f ca="1">_xll.DBRW(Server&amp;Cube2,PL!$F$14,PL!$F$15,PL!$F$20,PL!$F$17,PL!$F$19,PL!$C$19,PL!$F$18,PL!$P$2,PL!$H$4,"Compte_de_Resultat_Realise",PL!$C134)</f>
        <v/>
      </c>
      <c r="F134" s="236"/>
      <c r="G134" s="236"/>
      <c r="H134" s="236"/>
      <c r="I134" s="236"/>
      <c r="J134" s="236"/>
      <c r="K134" s="236"/>
      <c r="L134" s="236"/>
      <c r="M134" s="236"/>
      <c r="N134" s="236"/>
      <c r="O134" s="236"/>
      <c r="P134" s="236"/>
      <c r="Q134" s="236"/>
      <c r="R134" s="236"/>
      <c r="S134" s="236"/>
      <c r="T134" s="236"/>
      <c r="U134" s="236"/>
      <c r="V134" s="236"/>
      <c r="W134" s="236"/>
      <c r="X134" s="23"/>
      <c r="Y134" s="23"/>
      <c r="Z134" s="23"/>
      <c r="AA134" s="23"/>
      <c r="AB134" s="23"/>
      <c r="AC134" s="23"/>
      <c r="AD134" s="23"/>
      <c r="AE134" s="23"/>
      <c r="AF134" s="23"/>
      <c r="AG134" s="23"/>
      <c r="AH134" s="23"/>
      <c r="AI134" s="23"/>
      <c r="AJ134" s="23"/>
      <c r="AK134" s="23"/>
      <c r="AL134" s="23"/>
      <c r="AM134" s="23"/>
      <c r="AN134" s="23"/>
      <c r="AO134" s="23"/>
    </row>
    <row r="135" spans="1:41" s="45" customFormat="1" ht="19.5" x14ac:dyDescent="0.2">
      <c r="A135" s="23"/>
      <c r="B135" s="52"/>
      <c r="C135" s="27" t="s">
        <v>24</v>
      </c>
      <c r="D135" s="44"/>
      <c r="E135" s="235" t="str">
        <f ca="1">_xll.DBRW(Server&amp;Cube2,PL!$F$14,PL!$F$15,PL!$F$20,PL!$F$17,PL!$F$19,PL!$C$19,PL!$F$18,PL!$P$2,PL!$H$4,"Compte_de_Resultat_Realise",PL!$C135)</f>
        <v/>
      </c>
      <c r="F135" s="236"/>
      <c r="G135" s="236"/>
      <c r="H135" s="236"/>
      <c r="I135" s="236"/>
      <c r="J135" s="236"/>
      <c r="K135" s="236"/>
      <c r="L135" s="236"/>
      <c r="M135" s="236"/>
      <c r="N135" s="236"/>
      <c r="O135" s="236"/>
      <c r="P135" s="236"/>
      <c r="Q135" s="236"/>
      <c r="R135" s="236"/>
      <c r="S135" s="236"/>
      <c r="T135" s="236"/>
      <c r="U135" s="236"/>
      <c r="V135" s="236"/>
      <c r="W135" s="236"/>
      <c r="X135" s="23"/>
      <c r="Y135" s="23"/>
      <c r="Z135" s="23"/>
      <c r="AA135" s="23"/>
      <c r="AB135" s="23"/>
      <c r="AC135" s="23"/>
      <c r="AD135" s="23"/>
      <c r="AE135" s="23"/>
      <c r="AF135" s="23"/>
      <c r="AG135" s="23"/>
      <c r="AH135" s="23"/>
      <c r="AI135" s="23"/>
      <c r="AJ135" s="23"/>
      <c r="AK135" s="23"/>
      <c r="AL135" s="23"/>
      <c r="AM135" s="23"/>
      <c r="AN135" s="23"/>
      <c r="AO135" s="23"/>
    </row>
    <row r="136" spans="1:41" s="45" customFormat="1" x14ac:dyDescent="0.2">
      <c r="A136" s="23"/>
      <c r="B136" s="52"/>
      <c r="C136" s="27"/>
      <c r="D136" s="44"/>
      <c r="R136" s="23"/>
      <c r="S136" s="52"/>
      <c r="T136" s="52"/>
      <c r="U136" s="52"/>
      <c r="V136" s="52"/>
      <c r="W136" s="23"/>
      <c r="X136" s="23"/>
      <c r="Y136" s="23"/>
      <c r="Z136" s="23"/>
      <c r="AA136" s="23"/>
      <c r="AB136" s="23"/>
      <c r="AC136" s="23"/>
      <c r="AD136" s="23"/>
      <c r="AE136" s="23"/>
      <c r="AF136" s="23"/>
      <c r="AG136" s="23"/>
      <c r="AH136" s="23"/>
      <c r="AI136" s="23"/>
      <c r="AJ136" s="23"/>
      <c r="AK136" s="23"/>
      <c r="AL136" s="23"/>
      <c r="AM136" s="23"/>
      <c r="AN136" s="23"/>
      <c r="AO136" s="23"/>
    </row>
    <row r="137" spans="1:41" s="45" customFormat="1" x14ac:dyDescent="0.2">
      <c r="A137" s="23"/>
      <c r="B137" s="52"/>
      <c r="C137" s="27"/>
      <c r="D137" s="44"/>
      <c r="R137" s="23"/>
      <c r="S137" s="52"/>
      <c r="T137" s="52"/>
      <c r="U137" s="52"/>
      <c r="V137" s="52"/>
      <c r="W137" s="23"/>
      <c r="X137" s="23"/>
      <c r="Y137" s="23"/>
      <c r="Z137" s="23"/>
      <c r="AA137" s="23"/>
      <c r="AB137" s="23"/>
      <c r="AC137" s="23"/>
      <c r="AD137" s="23"/>
      <c r="AE137" s="23"/>
      <c r="AF137" s="23"/>
      <c r="AG137" s="23"/>
      <c r="AH137" s="23"/>
      <c r="AI137" s="23"/>
      <c r="AJ137" s="23"/>
      <c r="AK137" s="23"/>
      <c r="AL137" s="23"/>
      <c r="AM137" s="23"/>
      <c r="AN137" s="23"/>
      <c r="AO137" s="23"/>
    </row>
    <row r="138" spans="1:41" s="45" customFormat="1" x14ac:dyDescent="0.2">
      <c r="A138" s="23"/>
      <c r="B138" s="52"/>
      <c r="C138" s="27"/>
      <c r="D138" s="44"/>
      <c r="R138" s="23"/>
      <c r="S138" s="52"/>
      <c r="T138" s="52"/>
      <c r="U138" s="52"/>
      <c r="V138" s="52"/>
      <c r="W138" s="23"/>
      <c r="X138" s="23"/>
      <c r="Y138" s="23"/>
      <c r="Z138" s="23"/>
      <c r="AA138" s="23"/>
      <c r="AB138" s="23"/>
      <c r="AC138" s="23"/>
      <c r="AD138" s="23"/>
      <c r="AE138" s="23"/>
      <c r="AF138" s="23"/>
      <c r="AG138" s="23"/>
      <c r="AH138" s="23"/>
      <c r="AI138" s="23"/>
      <c r="AJ138" s="23"/>
      <c r="AK138" s="23"/>
      <c r="AL138" s="23"/>
      <c r="AM138" s="23"/>
      <c r="AN138" s="23"/>
      <c r="AO138" s="23"/>
    </row>
    <row r="139" spans="1:41" s="23" customFormat="1" x14ac:dyDescent="0.2">
      <c r="B139" s="52"/>
      <c r="C139" s="27"/>
      <c r="D139" s="25"/>
      <c r="E139" s="52"/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  <c r="S139" s="52"/>
      <c r="T139" s="52"/>
      <c r="U139" s="52"/>
      <c r="V139" s="52"/>
    </row>
    <row r="140" spans="1:41" s="23" customFormat="1" x14ac:dyDescent="0.2">
      <c r="B140" s="52"/>
      <c r="C140" s="27"/>
      <c r="D140" s="25"/>
      <c r="E140" s="52"/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  <c r="S140" s="52"/>
      <c r="T140" s="52"/>
      <c r="U140" s="52"/>
      <c r="V140" s="52"/>
    </row>
    <row r="141" spans="1:41" s="23" customFormat="1" x14ac:dyDescent="0.2">
      <c r="B141" s="52"/>
      <c r="E141" s="52"/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  <c r="S141" s="52"/>
      <c r="T141" s="52"/>
      <c r="U141" s="52"/>
      <c r="V141" s="52"/>
    </row>
    <row r="142" spans="1:41" s="23" customFormat="1" x14ac:dyDescent="0.2">
      <c r="B142" s="52"/>
      <c r="E142" s="52"/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  <c r="S142" s="52"/>
      <c r="T142" s="52"/>
      <c r="U142" s="52"/>
      <c r="V142" s="52"/>
    </row>
    <row r="143" spans="1:41" s="23" customFormat="1" x14ac:dyDescent="0.2">
      <c r="B143" s="52"/>
      <c r="E143" s="52"/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  <c r="S143" s="52"/>
      <c r="T143" s="52"/>
      <c r="U143" s="52"/>
      <c r="V143" s="52"/>
    </row>
    <row r="144" spans="1:41" s="23" customFormat="1" x14ac:dyDescent="0.2">
      <c r="B144" s="52"/>
      <c r="E144" s="52"/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  <c r="S144" s="52"/>
      <c r="T144" s="52"/>
      <c r="U144" s="52"/>
      <c r="V144" s="52"/>
    </row>
    <row r="145" spans="2:22" s="23" customFormat="1" x14ac:dyDescent="0.2">
      <c r="B145" s="52"/>
      <c r="C145" s="57"/>
      <c r="E145" s="52"/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Q145" s="52"/>
      <c r="S145" s="52"/>
      <c r="T145" s="52"/>
      <c r="U145" s="52"/>
      <c r="V145" s="52"/>
    </row>
    <row r="146" spans="2:22" s="23" customFormat="1" x14ac:dyDescent="0.2">
      <c r="B146" s="52"/>
      <c r="E146" s="52"/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  <c r="S146" s="52"/>
      <c r="T146" s="52"/>
      <c r="U146" s="52"/>
      <c r="V146" s="52"/>
    </row>
    <row r="147" spans="2:22" s="23" customFormat="1" x14ac:dyDescent="0.2">
      <c r="B147" s="52"/>
      <c r="E147" s="52"/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  <c r="S147" s="52"/>
      <c r="T147" s="52"/>
      <c r="U147" s="52"/>
      <c r="V147" s="52"/>
    </row>
    <row r="148" spans="2:22" s="23" customFormat="1" x14ac:dyDescent="0.2">
      <c r="B148" s="52"/>
      <c r="E148" s="52"/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  <c r="S148" s="52"/>
      <c r="T148" s="52"/>
      <c r="U148" s="52"/>
      <c r="V148" s="52"/>
    </row>
    <row r="149" spans="2:22" s="23" customFormat="1" x14ac:dyDescent="0.2">
      <c r="B149" s="52"/>
      <c r="E149" s="52"/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  <c r="S149" s="52"/>
      <c r="T149" s="52"/>
      <c r="U149" s="52"/>
      <c r="V149" s="52"/>
    </row>
    <row r="150" spans="2:22" s="23" customFormat="1" x14ac:dyDescent="0.2">
      <c r="B150" s="52"/>
      <c r="E150" s="52"/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2"/>
      <c r="S150" s="52"/>
      <c r="T150" s="52"/>
      <c r="U150" s="52"/>
      <c r="V150" s="52"/>
    </row>
    <row r="151" spans="2:22" s="23" customFormat="1" x14ac:dyDescent="0.2">
      <c r="B151" s="52"/>
      <c r="E151" s="52"/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  <c r="S151" s="52"/>
      <c r="T151" s="52"/>
      <c r="U151" s="52"/>
      <c r="V151" s="52"/>
    </row>
    <row r="152" spans="2:22" s="23" customFormat="1" x14ac:dyDescent="0.2">
      <c r="B152" s="52"/>
      <c r="E152" s="52"/>
      <c r="F152" s="52"/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52"/>
      <c r="S152" s="52"/>
      <c r="T152" s="52"/>
      <c r="U152" s="52"/>
      <c r="V152" s="52"/>
    </row>
    <row r="153" spans="2:22" s="23" customFormat="1" x14ac:dyDescent="0.2">
      <c r="B153" s="52"/>
      <c r="E153" s="52"/>
      <c r="F153" s="52"/>
      <c r="G153" s="52"/>
      <c r="H153" s="52"/>
      <c r="I153" s="52"/>
      <c r="J153" s="52"/>
      <c r="K153" s="52"/>
      <c r="L153" s="52"/>
      <c r="M153" s="52"/>
      <c r="N153" s="52"/>
      <c r="O153" s="52"/>
      <c r="P153" s="52"/>
      <c r="Q153" s="52"/>
      <c r="S153" s="52"/>
      <c r="T153" s="52"/>
      <c r="U153" s="52"/>
      <c r="V153" s="52"/>
    </row>
    <row r="154" spans="2:22" s="23" customFormat="1" x14ac:dyDescent="0.2">
      <c r="B154" s="52"/>
      <c r="E154" s="52"/>
      <c r="F154" s="52"/>
      <c r="G154" s="52"/>
      <c r="H154" s="52"/>
      <c r="I154" s="52"/>
      <c r="J154" s="52"/>
      <c r="K154" s="52"/>
      <c r="L154" s="52"/>
      <c r="M154" s="52"/>
      <c r="N154" s="52"/>
      <c r="O154" s="52"/>
      <c r="P154" s="52"/>
      <c r="Q154" s="52"/>
      <c r="S154" s="52"/>
      <c r="T154" s="52"/>
      <c r="U154" s="52"/>
      <c r="V154" s="52"/>
    </row>
    <row r="155" spans="2:22" s="23" customFormat="1" x14ac:dyDescent="0.2">
      <c r="B155" s="52"/>
      <c r="E155" s="52"/>
      <c r="F155" s="52"/>
      <c r="G155" s="52"/>
      <c r="H155" s="52"/>
      <c r="I155" s="52"/>
      <c r="J155" s="52"/>
      <c r="K155" s="52"/>
      <c r="L155" s="52"/>
      <c r="M155" s="52"/>
      <c r="N155" s="52"/>
      <c r="O155" s="52"/>
      <c r="P155" s="52"/>
      <c r="Q155" s="52"/>
      <c r="S155" s="52"/>
      <c r="T155" s="52"/>
      <c r="U155" s="52"/>
      <c r="V155" s="52"/>
    </row>
    <row r="156" spans="2:22" s="23" customFormat="1" x14ac:dyDescent="0.2">
      <c r="B156" s="52"/>
      <c r="E156" s="52"/>
      <c r="F156" s="52"/>
      <c r="G156" s="52"/>
      <c r="H156" s="52"/>
      <c r="I156" s="52"/>
      <c r="J156" s="52"/>
      <c r="K156" s="52"/>
      <c r="L156" s="52"/>
      <c r="M156" s="52"/>
      <c r="N156" s="52"/>
      <c r="O156" s="52"/>
      <c r="P156" s="52"/>
      <c r="Q156" s="52"/>
      <c r="S156" s="52"/>
      <c r="T156" s="52"/>
      <c r="U156" s="52"/>
      <c r="V156" s="52"/>
    </row>
    <row r="157" spans="2:22" s="23" customFormat="1" x14ac:dyDescent="0.2">
      <c r="B157" s="52"/>
      <c r="E157" s="52"/>
      <c r="F157" s="52"/>
      <c r="G157" s="52"/>
      <c r="H157" s="52"/>
      <c r="I157" s="52"/>
      <c r="J157" s="52"/>
      <c r="K157" s="52"/>
      <c r="L157" s="52"/>
      <c r="M157" s="52"/>
      <c r="N157" s="52"/>
      <c r="O157" s="52"/>
      <c r="P157" s="52"/>
      <c r="Q157" s="52"/>
      <c r="S157" s="52"/>
      <c r="T157" s="52"/>
      <c r="U157" s="52"/>
      <c r="V157" s="52"/>
    </row>
    <row r="158" spans="2:22" s="23" customFormat="1" x14ac:dyDescent="0.2">
      <c r="B158" s="52"/>
      <c r="E158" s="52"/>
      <c r="F158" s="52"/>
      <c r="G158" s="52"/>
      <c r="H158" s="52"/>
      <c r="I158" s="52"/>
      <c r="J158" s="52"/>
      <c r="K158" s="52"/>
      <c r="L158" s="52"/>
      <c r="M158" s="52"/>
      <c r="N158" s="52"/>
      <c r="O158" s="52"/>
      <c r="P158" s="52"/>
      <c r="Q158" s="52"/>
      <c r="S158" s="52"/>
      <c r="T158" s="52"/>
      <c r="U158" s="52"/>
      <c r="V158" s="52"/>
    </row>
    <row r="159" spans="2:22" s="23" customFormat="1" x14ac:dyDescent="0.2">
      <c r="B159" s="52"/>
      <c r="E159" s="52"/>
      <c r="F159" s="52"/>
      <c r="G159" s="52"/>
      <c r="H159" s="52"/>
      <c r="I159" s="52"/>
      <c r="J159" s="52"/>
      <c r="K159" s="52"/>
      <c r="L159" s="52"/>
      <c r="M159" s="52"/>
      <c r="N159" s="52"/>
      <c r="O159" s="52"/>
      <c r="P159" s="52"/>
      <c r="Q159" s="52"/>
      <c r="S159" s="52"/>
      <c r="T159" s="52"/>
      <c r="U159" s="52"/>
      <c r="V159" s="52"/>
    </row>
    <row r="160" spans="2:22" s="23" customFormat="1" x14ac:dyDescent="0.2">
      <c r="B160" s="52"/>
      <c r="E160" s="52"/>
      <c r="F160" s="52"/>
      <c r="G160" s="52"/>
      <c r="H160" s="52"/>
      <c r="I160" s="52"/>
      <c r="J160" s="52"/>
      <c r="K160" s="52"/>
      <c r="L160" s="52"/>
      <c r="M160" s="52"/>
      <c r="N160" s="52"/>
      <c r="O160" s="52"/>
      <c r="P160" s="52"/>
      <c r="Q160" s="52"/>
      <c r="S160" s="52"/>
      <c r="T160" s="52"/>
      <c r="U160" s="52"/>
      <c r="V160" s="52"/>
    </row>
    <row r="161" spans="2:22" s="23" customFormat="1" x14ac:dyDescent="0.2">
      <c r="B161" s="52"/>
      <c r="E161" s="52"/>
      <c r="F161" s="52"/>
      <c r="G161" s="52"/>
      <c r="H161" s="52"/>
      <c r="I161" s="52"/>
      <c r="J161" s="52"/>
      <c r="K161" s="52"/>
      <c r="L161" s="52"/>
      <c r="M161" s="52"/>
      <c r="N161" s="52"/>
      <c r="O161" s="52"/>
      <c r="P161" s="52"/>
      <c r="Q161" s="52"/>
      <c r="S161" s="52"/>
      <c r="T161" s="52"/>
      <c r="U161" s="52"/>
      <c r="V161" s="52"/>
    </row>
    <row r="162" spans="2:22" s="23" customFormat="1" x14ac:dyDescent="0.2">
      <c r="B162" s="52"/>
      <c r="E162" s="52"/>
      <c r="F162" s="52"/>
      <c r="G162" s="52"/>
      <c r="H162" s="52"/>
      <c r="I162" s="52"/>
      <c r="J162" s="52"/>
      <c r="K162" s="52"/>
      <c r="L162" s="52"/>
      <c r="M162" s="52"/>
      <c r="N162" s="52"/>
      <c r="O162" s="52"/>
      <c r="P162" s="52"/>
      <c r="Q162" s="52"/>
      <c r="S162" s="52"/>
      <c r="T162" s="52"/>
      <c r="U162" s="52"/>
      <c r="V162" s="52"/>
    </row>
    <row r="163" spans="2:22" s="23" customFormat="1" x14ac:dyDescent="0.2">
      <c r="B163" s="52"/>
      <c r="E163" s="52"/>
      <c r="F163" s="52"/>
      <c r="G163" s="52"/>
      <c r="H163" s="52"/>
      <c r="I163" s="52"/>
      <c r="J163" s="52"/>
      <c r="K163" s="52"/>
      <c r="L163" s="52"/>
      <c r="M163" s="52"/>
      <c r="N163" s="52"/>
      <c r="O163" s="52"/>
      <c r="P163" s="52"/>
      <c r="Q163" s="52"/>
      <c r="S163" s="52"/>
      <c r="T163" s="52"/>
      <c r="U163" s="52"/>
      <c r="V163" s="52"/>
    </row>
    <row r="164" spans="2:22" s="23" customFormat="1" x14ac:dyDescent="0.2">
      <c r="B164" s="52"/>
      <c r="E164" s="52"/>
      <c r="F164" s="52"/>
      <c r="G164" s="52"/>
      <c r="H164" s="52"/>
      <c r="I164" s="52"/>
      <c r="J164" s="52"/>
      <c r="K164" s="52"/>
      <c r="L164" s="52"/>
      <c r="M164" s="52"/>
      <c r="N164" s="52"/>
      <c r="O164" s="52"/>
      <c r="P164" s="52"/>
      <c r="Q164" s="52"/>
      <c r="S164" s="52"/>
      <c r="T164" s="52"/>
      <c r="U164" s="52"/>
      <c r="V164" s="52"/>
    </row>
    <row r="165" spans="2:22" s="23" customFormat="1" x14ac:dyDescent="0.2">
      <c r="B165" s="52"/>
      <c r="E165" s="52"/>
      <c r="F165" s="52"/>
      <c r="G165" s="52"/>
      <c r="H165" s="52"/>
      <c r="I165" s="52"/>
      <c r="J165" s="52"/>
      <c r="K165" s="52"/>
      <c r="L165" s="52"/>
      <c r="M165" s="52"/>
      <c r="N165" s="52"/>
      <c r="O165" s="52"/>
      <c r="P165" s="52"/>
      <c r="Q165" s="52"/>
      <c r="S165" s="52"/>
      <c r="T165" s="52"/>
      <c r="U165" s="52"/>
      <c r="V165" s="52"/>
    </row>
    <row r="166" spans="2:22" s="23" customFormat="1" x14ac:dyDescent="0.2">
      <c r="B166" s="52"/>
      <c r="E166" s="52"/>
      <c r="F166" s="52"/>
      <c r="G166" s="52"/>
      <c r="H166" s="52"/>
      <c r="I166" s="52"/>
      <c r="J166" s="52"/>
      <c r="K166" s="52"/>
      <c r="L166" s="52"/>
      <c r="M166" s="52"/>
      <c r="N166" s="52"/>
      <c r="O166" s="52"/>
      <c r="P166" s="52"/>
      <c r="Q166" s="52"/>
      <c r="S166" s="52"/>
      <c r="T166" s="52"/>
      <c r="U166" s="52"/>
      <c r="V166" s="52"/>
    </row>
    <row r="167" spans="2:22" s="23" customFormat="1" x14ac:dyDescent="0.2">
      <c r="B167" s="52"/>
      <c r="E167" s="52"/>
      <c r="F167" s="52"/>
      <c r="G167" s="52"/>
      <c r="H167" s="52"/>
      <c r="I167" s="52"/>
      <c r="J167" s="52"/>
      <c r="K167" s="52"/>
      <c r="L167" s="52"/>
      <c r="M167" s="52"/>
      <c r="N167" s="52"/>
      <c r="O167" s="52"/>
      <c r="P167" s="52"/>
      <c r="Q167" s="52"/>
      <c r="S167" s="52"/>
      <c r="T167" s="52"/>
      <c r="U167" s="52"/>
      <c r="V167" s="52"/>
    </row>
    <row r="168" spans="2:22" s="23" customFormat="1" x14ac:dyDescent="0.2">
      <c r="B168" s="52"/>
      <c r="E168" s="52"/>
      <c r="F168" s="52"/>
      <c r="G168" s="52"/>
      <c r="H168" s="52"/>
      <c r="I168" s="52"/>
      <c r="J168" s="52"/>
      <c r="K168" s="52"/>
      <c r="L168" s="52"/>
      <c r="M168" s="52"/>
      <c r="N168" s="52"/>
      <c r="O168" s="52"/>
      <c r="P168" s="52"/>
      <c r="Q168" s="52"/>
      <c r="S168" s="52"/>
      <c r="T168" s="52"/>
      <c r="U168" s="52"/>
      <c r="V168" s="52"/>
    </row>
    <row r="169" spans="2:22" s="23" customFormat="1" x14ac:dyDescent="0.2">
      <c r="B169" s="52"/>
      <c r="E169" s="52"/>
      <c r="F169" s="52"/>
      <c r="G169" s="52"/>
      <c r="H169" s="52"/>
      <c r="I169" s="52"/>
      <c r="J169" s="52"/>
      <c r="K169" s="52"/>
      <c r="L169" s="52"/>
      <c r="M169" s="52"/>
      <c r="N169" s="52"/>
      <c r="O169" s="52"/>
      <c r="P169" s="52"/>
      <c r="Q169" s="52"/>
      <c r="S169" s="52"/>
      <c r="T169" s="52"/>
      <c r="U169" s="52"/>
      <c r="V169" s="52"/>
    </row>
    <row r="170" spans="2:22" s="23" customFormat="1" x14ac:dyDescent="0.2">
      <c r="B170" s="52"/>
      <c r="E170" s="52"/>
      <c r="F170" s="52"/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Q170" s="52"/>
      <c r="S170" s="52"/>
      <c r="T170" s="52"/>
      <c r="U170" s="52"/>
      <c r="V170" s="52"/>
    </row>
    <row r="171" spans="2:22" s="23" customFormat="1" x14ac:dyDescent="0.2">
      <c r="B171" s="52"/>
      <c r="E171" s="52"/>
      <c r="F171" s="52"/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Q171" s="52"/>
      <c r="S171" s="52"/>
      <c r="T171" s="52"/>
      <c r="U171" s="52"/>
      <c r="V171" s="52"/>
    </row>
    <row r="172" spans="2:22" s="23" customFormat="1" x14ac:dyDescent="0.2">
      <c r="E172" s="52"/>
      <c r="F172" s="52"/>
      <c r="G172" s="52"/>
      <c r="H172" s="52"/>
      <c r="I172" s="52"/>
      <c r="J172" s="52"/>
      <c r="K172" s="52"/>
      <c r="L172" s="52"/>
      <c r="M172" s="52"/>
      <c r="N172" s="52"/>
      <c r="O172" s="52"/>
      <c r="P172" s="52"/>
      <c r="Q172" s="52"/>
      <c r="S172" s="52"/>
      <c r="T172" s="52"/>
      <c r="U172" s="52"/>
      <c r="V172" s="52"/>
    </row>
    <row r="173" spans="2:22" s="23" customFormat="1" x14ac:dyDescent="0.2">
      <c r="E173" s="52"/>
      <c r="F173" s="52"/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Q173" s="52"/>
      <c r="S173" s="52"/>
      <c r="T173" s="52"/>
      <c r="U173" s="52"/>
      <c r="V173" s="52"/>
    </row>
    <row r="174" spans="2:22" s="23" customFormat="1" x14ac:dyDescent="0.2">
      <c r="J174" s="52"/>
      <c r="K174" s="52"/>
      <c r="L174" s="52"/>
      <c r="M174" s="52"/>
      <c r="N174" s="52"/>
      <c r="O174" s="52"/>
      <c r="P174" s="52"/>
      <c r="Q174" s="52"/>
      <c r="S174" s="52"/>
      <c r="T174" s="52"/>
      <c r="U174" s="52"/>
      <c r="V174" s="52"/>
    </row>
    <row r="175" spans="2:22" s="23" customFormat="1" x14ac:dyDescent="0.2">
      <c r="J175" s="52"/>
      <c r="K175" s="52"/>
      <c r="L175" s="52"/>
      <c r="M175" s="52"/>
      <c r="N175" s="52"/>
      <c r="O175" s="52"/>
      <c r="P175" s="52"/>
      <c r="Q175" s="52"/>
      <c r="S175" s="52"/>
      <c r="T175" s="52"/>
      <c r="U175" s="52"/>
      <c r="V175" s="52"/>
    </row>
    <row r="176" spans="2:22" s="23" customFormat="1" x14ac:dyDescent="0.2">
      <c r="J176" s="52"/>
      <c r="K176" s="52"/>
      <c r="L176" s="52"/>
      <c r="M176" s="52"/>
      <c r="N176" s="52"/>
      <c r="O176" s="52"/>
      <c r="P176" s="52"/>
      <c r="Q176" s="52"/>
      <c r="S176" s="52"/>
      <c r="T176" s="52"/>
      <c r="U176" s="52"/>
      <c r="V176" s="52"/>
    </row>
    <row r="177" spans="10:22" s="23" customFormat="1" x14ac:dyDescent="0.2">
      <c r="J177" s="52"/>
      <c r="K177" s="52"/>
      <c r="L177" s="52"/>
      <c r="M177" s="52"/>
      <c r="N177" s="52"/>
      <c r="O177" s="52"/>
      <c r="P177" s="52"/>
      <c r="Q177" s="52"/>
      <c r="S177" s="52"/>
      <c r="T177" s="52"/>
      <c r="U177" s="52"/>
      <c r="V177" s="52"/>
    </row>
    <row r="178" spans="10:22" s="23" customFormat="1" x14ac:dyDescent="0.2">
      <c r="J178" s="52"/>
      <c r="K178" s="52"/>
      <c r="L178" s="52"/>
      <c r="M178" s="52"/>
      <c r="N178" s="52"/>
      <c r="O178" s="52"/>
      <c r="P178" s="52"/>
      <c r="Q178" s="52"/>
      <c r="S178" s="52"/>
      <c r="T178" s="52"/>
      <c r="U178" s="52"/>
      <c r="V178" s="52"/>
    </row>
    <row r="179" spans="10:22" s="23" customFormat="1" x14ac:dyDescent="0.2">
      <c r="J179" s="52"/>
      <c r="K179" s="52"/>
      <c r="L179" s="52"/>
      <c r="M179" s="52"/>
      <c r="N179" s="52"/>
      <c r="O179" s="52"/>
      <c r="P179" s="52"/>
      <c r="Q179" s="52"/>
      <c r="S179" s="52"/>
      <c r="T179" s="52"/>
      <c r="U179" s="52"/>
      <c r="V179" s="52"/>
    </row>
    <row r="180" spans="10:22" s="23" customFormat="1" x14ac:dyDescent="0.2">
      <c r="J180" s="52"/>
      <c r="K180" s="52"/>
      <c r="L180" s="52"/>
      <c r="M180" s="52"/>
      <c r="N180" s="52"/>
      <c r="O180" s="52"/>
      <c r="P180" s="52"/>
      <c r="Q180" s="52"/>
      <c r="S180" s="52"/>
      <c r="T180" s="52"/>
      <c r="U180" s="52"/>
      <c r="V180" s="52"/>
    </row>
    <row r="181" spans="10:22" s="23" customFormat="1" x14ac:dyDescent="0.2">
      <c r="J181" s="52"/>
      <c r="K181" s="52"/>
      <c r="L181" s="52"/>
      <c r="M181" s="52"/>
      <c r="N181" s="52"/>
      <c r="O181" s="52"/>
      <c r="P181" s="52"/>
      <c r="Q181" s="52"/>
      <c r="S181" s="52"/>
      <c r="T181" s="52"/>
      <c r="U181" s="52"/>
      <c r="V181" s="52"/>
    </row>
    <row r="182" spans="10:22" s="23" customFormat="1" x14ac:dyDescent="0.2">
      <c r="J182" s="52"/>
      <c r="K182" s="52"/>
      <c r="L182" s="52"/>
      <c r="M182" s="52"/>
      <c r="N182" s="52"/>
      <c r="O182" s="52"/>
      <c r="P182" s="52"/>
      <c r="Q182" s="52"/>
      <c r="S182" s="52"/>
      <c r="T182" s="52"/>
      <c r="U182" s="52"/>
      <c r="V182" s="52"/>
    </row>
    <row r="183" spans="10:22" s="23" customFormat="1" x14ac:dyDescent="0.2">
      <c r="J183" s="52"/>
      <c r="K183" s="52"/>
      <c r="L183" s="52"/>
      <c r="M183" s="52"/>
      <c r="N183" s="52"/>
      <c r="O183" s="52"/>
      <c r="P183" s="52"/>
      <c r="Q183" s="52"/>
      <c r="S183" s="52"/>
      <c r="T183" s="52"/>
      <c r="U183" s="52"/>
      <c r="V183" s="52"/>
    </row>
    <row r="184" spans="10:22" s="23" customFormat="1" x14ac:dyDescent="0.2">
      <c r="J184" s="52"/>
      <c r="K184" s="52"/>
      <c r="L184" s="52"/>
      <c r="M184" s="52"/>
      <c r="N184" s="52"/>
      <c r="O184" s="52"/>
      <c r="P184" s="52"/>
      <c r="Q184" s="52"/>
      <c r="S184" s="52"/>
      <c r="T184" s="52"/>
      <c r="U184" s="52"/>
      <c r="V184" s="52"/>
    </row>
    <row r="185" spans="10:22" s="23" customFormat="1" x14ac:dyDescent="0.2">
      <c r="J185" s="52"/>
      <c r="K185" s="52"/>
      <c r="L185" s="52"/>
      <c r="M185" s="52"/>
      <c r="N185" s="52"/>
      <c r="O185" s="52"/>
      <c r="P185" s="52"/>
      <c r="Q185" s="52"/>
      <c r="S185" s="52"/>
      <c r="T185" s="52"/>
      <c r="U185" s="52"/>
      <c r="V185" s="52"/>
    </row>
    <row r="186" spans="10:22" s="23" customFormat="1" x14ac:dyDescent="0.2">
      <c r="J186" s="52"/>
      <c r="K186" s="52"/>
      <c r="L186" s="52"/>
      <c r="M186" s="52"/>
      <c r="N186" s="52"/>
      <c r="O186" s="52"/>
      <c r="P186" s="52"/>
      <c r="Q186" s="52"/>
      <c r="S186" s="52"/>
      <c r="T186" s="52"/>
      <c r="U186" s="52"/>
      <c r="V186" s="52"/>
    </row>
    <row r="187" spans="10:22" s="23" customFormat="1" x14ac:dyDescent="0.2">
      <c r="J187" s="52"/>
      <c r="K187" s="52"/>
      <c r="L187" s="52"/>
      <c r="M187" s="52"/>
      <c r="N187" s="52"/>
      <c r="O187" s="52"/>
      <c r="P187" s="52"/>
      <c r="Q187" s="52"/>
      <c r="S187" s="52"/>
      <c r="T187" s="52"/>
      <c r="U187" s="52"/>
      <c r="V187" s="52"/>
    </row>
    <row r="188" spans="10:22" s="23" customFormat="1" x14ac:dyDescent="0.2">
      <c r="J188" s="52"/>
      <c r="K188" s="52"/>
      <c r="L188" s="52"/>
      <c r="M188" s="52"/>
      <c r="N188" s="52"/>
      <c r="O188" s="52"/>
      <c r="P188" s="52"/>
      <c r="Q188" s="52"/>
      <c r="S188" s="52"/>
      <c r="T188" s="52"/>
      <c r="U188" s="52"/>
      <c r="V188" s="52"/>
    </row>
    <row r="189" spans="10:22" s="23" customFormat="1" x14ac:dyDescent="0.2">
      <c r="J189" s="52"/>
      <c r="K189" s="52"/>
      <c r="L189" s="52"/>
      <c r="M189" s="52"/>
      <c r="N189" s="52"/>
      <c r="O189" s="52"/>
      <c r="P189" s="52"/>
      <c r="Q189" s="52"/>
      <c r="S189" s="52"/>
      <c r="T189" s="52"/>
      <c r="U189" s="52"/>
      <c r="V189" s="52"/>
    </row>
    <row r="190" spans="10:22" s="23" customFormat="1" x14ac:dyDescent="0.2">
      <c r="J190" s="52"/>
      <c r="K190" s="52"/>
      <c r="L190" s="52"/>
      <c r="M190" s="52"/>
      <c r="N190" s="52"/>
      <c r="O190" s="52"/>
      <c r="P190" s="52"/>
      <c r="Q190" s="52"/>
      <c r="S190" s="52"/>
      <c r="T190" s="52"/>
      <c r="U190" s="52"/>
      <c r="V190" s="52"/>
    </row>
    <row r="191" spans="10:22" s="23" customFormat="1" x14ac:dyDescent="0.2">
      <c r="J191" s="52"/>
      <c r="K191" s="52"/>
      <c r="L191" s="52"/>
      <c r="M191" s="52"/>
      <c r="N191" s="52"/>
      <c r="O191" s="52"/>
      <c r="P191" s="52"/>
      <c r="Q191" s="52"/>
      <c r="S191" s="52"/>
      <c r="T191" s="52"/>
      <c r="U191" s="52"/>
      <c r="V191" s="52"/>
    </row>
    <row r="192" spans="10:22" s="23" customFormat="1" x14ac:dyDescent="0.2">
      <c r="J192" s="52"/>
      <c r="K192" s="52"/>
      <c r="L192" s="52"/>
      <c r="M192" s="52"/>
      <c r="N192" s="52"/>
      <c r="O192" s="52"/>
      <c r="P192" s="52"/>
      <c r="Q192" s="52"/>
      <c r="S192" s="52"/>
      <c r="T192" s="52"/>
      <c r="U192" s="52"/>
      <c r="V192" s="52"/>
    </row>
    <row r="193" spans="10:22" s="23" customFormat="1" x14ac:dyDescent="0.2">
      <c r="J193" s="52"/>
      <c r="K193" s="52"/>
      <c r="L193" s="52"/>
      <c r="M193" s="52"/>
      <c r="N193" s="52"/>
      <c r="O193" s="52"/>
      <c r="P193" s="52"/>
      <c r="Q193" s="52"/>
      <c r="S193" s="52"/>
      <c r="T193" s="52"/>
      <c r="U193" s="52"/>
      <c r="V193" s="52"/>
    </row>
    <row r="194" spans="10:22" s="23" customFormat="1" x14ac:dyDescent="0.2">
      <c r="J194" s="52"/>
      <c r="K194" s="52"/>
      <c r="L194" s="52"/>
      <c r="M194" s="52"/>
      <c r="N194" s="52"/>
      <c r="O194" s="52"/>
      <c r="P194" s="52"/>
      <c r="Q194" s="52"/>
      <c r="S194" s="52"/>
      <c r="T194" s="52"/>
      <c r="U194" s="52"/>
      <c r="V194" s="52"/>
    </row>
    <row r="195" spans="10:22" s="23" customFormat="1" x14ac:dyDescent="0.2">
      <c r="J195" s="52"/>
      <c r="K195" s="52"/>
      <c r="L195" s="52"/>
      <c r="M195" s="52"/>
      <c r="N195" s="52"/>
      <c r="O195" s="52"/>
      <c r="P195" s="52"/>
      <c r="Q195" s="52"/>
      <c r="S195" s="52"/>
      <c r="T195" s="52"/>
      <c r="U195" s="52"/>
      <c r="V195" s="52"/>
    </row>
    <row r="196" spans="10:22" s="23" customFormat="1" x14ac:dyDescent="0.2">
      <c r="J196" s="52"/>
      <c r="K196" s="52"/>
      <c r="L196" s="52"/>
      <c r="M196" s="52"/>
      <c r="N196" s="52"/>
      <c r="O196" s="52"/>
      <c r="P196" s="52"/>
      <c r="Q196" s="52"/>
      <c r="S196" s="52"/>
      <c r="T196" s="52"/>
      <c r="U196" s="52"/>
      <c r="V196" s="52"/>
    </row>
    <row r="197" spans="10:22" s="23" customFormat="1" x14ac:dyDescent="0.2">
      <c r="J197" s="52"/>
      <c r="K197" s="52"/>
      <c r="L197" s="52"/>
      <c r="M197" s="52"/>
      <c r="N197" s="52"/>
      <c r="O197" s="52"/>
      <c r="P197" s="52"/>
      <c r="Q197" s="52"/>
      <c r="S197" s="52"/>
      <c r="T197" s="52"/>
      <c r="U197" s="52"/>
      <c r="V197" s="52"/>
    </row>
    <row r="198" spans="10:22" s="23" customFormat="1" x14ac:dyDescent="0.2">
      <c r="J198" s="52"/>
      <c r="K198" s="52"/>
      <c r="L198" s="52"/>
      <c r="M198" s="52"/>
      <c r="N198" s="52"/>
      <c r="O198" s="52"/>
      <c r="P198" s="52"/>
      <c r="Q198" s="52"/>
      <c r="S198" s="52"/>
      <c r="T198" s="52"/>
      <c r="U198" s="52"/>
      <c r="V198" s="52"/>
    </row>
    <row r="199" spans="10:22" s="23" customFormat="1" x14ac:dyDescent="0.2">
      <c r="J199" s="52"/>
      <c r="K199" s="52"/>
      <c r="L199" s="52"/>
      <c r="M199" s="52"/>
      <c r="N199" s="52"/>
      <c r="O199" s="52"/>
      <c r="P199" s="52"/>
      <c r="Q199" s="52"/>
      <c r="S199" s="52"/>
      <c r="T199" s="52"/>
      <c r="U199" s="52"/>
      <c r="V199" s="52"/>
    </row>
    <row r="200" spans="10:22" s="23" customFormat="1" x14ac:dyDescent="0.2">
      <c r="J200" s="52"/>
      <c r="K200" s="52"/>
      <c r="L200" s="52"/>
      <c r="M200" s="52"/>
      <c r="N200" s="52"/>
      <c r="O200" s="52"/>
      <c r="P200" s="52"/>
      <c r="Q200" s="52"/>
      <c r="S200" s="52"/>
      <c r="T200" s="52"/>
      <c r="U200" s="52"/>
      <c r="V200" s="52"/>
    </row>
    <row r="201" spans="10:22" s="23" customFormat="1" x14ac:dyDescent="0.2">
      <c r="J201" s="52"/>
      <c r="K201" s="52"/>
      <c r="L201" s="52"/>
      <c r="M201" s="52"/>
      <c r="N201" s="52"/>
      <c r="O201" s="52"/>
      <c r="P201" s="52"/>
      <c r="Q201" s="52"/>
      <c r="S201" s="52"/>
      <c r="T201" s="52"/>
      <c r="U201" s="52"/>
      <c r="V201" s="52"/>
    </row>
    <row r="202" spans="10:22" s="23" customFormat="1" x14ac:dyDescent="0.2">
      <c r="J202" s="52"/>
      <c r="K202" s="52"/>
      <c r="L202" s="52"/>
      <c r="M202" s="52"/>
      <c r="N202" s="52"/>
      <c r="O202" s="52"/>
      <c r="P202" s="52"/>
      <c r="Q202" s="52"/>
      <c r="S202" s="52"/>
      <c r="T202" s="52"/>
      <c r="U202" s="52"/>
      <c r="V202" s="52"/>
    </row>
    <row r="203" spans="10:22" s="23" customFormat="1" x14ac:dyDescent="0.2">
      <c r="J203" s="52"/>
      <c r="K203" s="52"/>
      <c r="L203" s="52"/>
      <c r="M203" s="52"/>
      <c r="N203" s="52"/>
      <c r="O203" s="52"/>
      <c r="P203" s="52"/>
      <c r="Q203" s="52"/>
      <c r="S203" s="52"/>
      <c r="T203" s="52"/>
      <c r="U203" s="52"/>
      <c r="V203" s="52"/>
    </row>
    <row r="204" spans="10:22" s="23" customFormat="1" x14ac:dyDescent="0.2">
      <c r="J204" s="52"/>
      <c r="K204" s="52"/>
      <c r="L204" s="52"/>
      <c r="M204" s="52"/>
      <c r="N204" s="52"/>
      <c r="O204" s="52"/>
      <c r="P204" s="52"/>
      <c r="Q204" s="52"/>
      <c r="S204" s="52"/>
      <c r="T204" s="52"/>
      <c r="U204" s="52"/>
      <c r="V204" s="52"/>
    </row>
    <row r="205" spans="10:22" s="23" customFormat="1" x14ac:dyDescent="0.2">
      <c r="J205" s="52"/>
      <c r="K205" s="52"/>
      <c r="L205" s="52"/>
      <c r="M205" s="52"/>
      <c r="N205" s="52"/>
      <c r="O205" s="52"/>
      <c r="P205" s="52"/>
      <c r="Q205" s="52"/>
      <c r="S205" s="52"/>
      <c r="T205" s="52"/>
      <c r="U205" s="52"/>
      <c r="V205" s="52"/>
    </row>
    <row r="206" spans="10:22" s="23" customFormat="1" x14ac:dyDescent="0.2">
      <c r="J206" s="52"/>
      <c r="K206" s="52"/>
      <c r="L206" s="52"/>
      <c r="M206" s="52"/>
      <c r="N206" s="52"/>
      <c r="O206" s="52"/>
      <c r="P206" s="52"/>
      <c r="Q206" s="52"/>
      <c r="S206" s="52"/>
      <c r="T206" s="52"/>
      <c r="U206" s="52"/>
      <c r="V206" s="52"/>
    </row>
    <row r="207" spans="10:22" s="23" customFormat="1" x14ac:dyDescent="0.2">
      <c r="J207" s="52"/>
      <c r="K207" s="52"/>
      <c r="L207" s="52"/>
      <c r="M207" s="52"/>
      <c r="N207" s="52"/>
      <c r="O207" s="52"/>
      <c r="P207" s="52"/>
      <c r="Q207" s="52"/>
      <c r="S207" s="52"/>
      <c r="T207" s="52"/>
      <c r="U207" s="52"/>
      <c r="V207" s="52"/>
    </row>
  </sheetData>
  <sheetProtection formatColumns="0" formatRows="0"/>
  <protectedRanges>
    <protectedRange sqref="G132:Q134" name="Commentaires"/>
  </protectedRanges>
  <mergeCells count="88">
    <mergeCell ref="J23:J24"/>
    <mergeCell ref="P1:R1"/>
    <mergeCell ref="E86:G86"/>
    <mergeCell ref="E76:G76"/>
    <mergeCell ref="E67:G67"/>
    <mergeCell ref="E68:G68"/>
    <mergeCell ref="E70:G70"/>
    <mergeCell ref="E71:G71"/>
    <mergeCell ref="E73:G73"/>
    <mergeCell ref="E74:G74"/>
    <mergeCell ref="E75:G75"/>
    <mergeCell ref="E63:G63"/>
    <mergeCell ref="E64:G64"/>
    <mergeCell ref="E66:G66"/>
    <mergeCell ref="E69:G69"/>
    <mergeCell ref="E72:G72"/>
    <mergeCell ref="E77:G77"/>
    <mergeCell ref="E90:G90"/>
    <mergeCell ref="E78:G78"/>
    <mergeCell ref="E79:G79"/>
    <mergeCell ref="E83:G83"/>
    <mergeCell ref="E85:G85"/>
    <mergeCell ref="E88:G88"/>
    <mergeCell ref="E80:G80"/>
    <mergeCell ref="E46:G46"/>
    <mergeCell ref="E47:G47"/>
    <mergeCell ref="E48:G48"/>
    <mergeCell ref="E49:G49"/>
    <mergeCell ref="E50:G50"/>
    <mergeCell ref="E51:G51"/>
    <mergeCell ref="E52:G52"/>
    <mergeCell ref="E53:G53"/>
    <mergeCell ref="E55:G55"/>
    <mergeCell ref="E58:G58"/>
    <mergeCell ref="E59:G59"/>
    <mergeCell ref="E62:G62"/>
    <mergeCell ref="E54:G54"/>
    <mergeCell ref="E56:G56"/>
    <mergeCell ref="E57:G57"/>
    <mergeCell ref="E60:G60"/>
    <mergeCell ref="E61:G61"/>
    <mergeCell ref="E94:E97"/>
    <mergeCell ref="F94:G94"/>
    <mergeCell ref="F95:G95"/>
    <mergeCell ref="F96:G96"/>
    <mergeCell ref="F97:G97"/>
    <mergeCell ref="E132:W132"/>
    <mergeCell ref="E133:W133"/>
    <mergeCell ref="E134:W134"/>
    <mergeCell ref="E135:W135"/>
    <mergeCell ref="AF29:AH29"/>
    <mergeCell ref="E38:G38"/>
    <mergeCell ref="E45:G45"/>
    <mergeCell ref="E39:G39"/>
    <mergeCell ref="E40:G40"/>
    <mergeCell ref="E36:G36"/>
    <mergeCell ref="E37:G37"/>
    <mergeCell ref="E41:G41"/>
    <mergeCell ref="E42:G42"/>
    <mergeCell ref="E43:G43"/>
    <mergeCell ref="E44:G44"/>
    <mergeCell ref="E92:G92"/>
    <mergeCell ref="E26:G26"/>
    <mergeCell ref="E29:G29"/>
    <mergeCell ref="E31:G31"/>
    <mergeCell ref="E30:G30"/>
    <mergeCell ref="E35:G35"/>
    <mergeCell ref="E27:G27"/>
    <mergeCell ref="E32:G32"/>
    <mergeCell ref="E33:G33"/>
    <mergeCell ref="E34:G34"/>
    <mergeCell ref="E28:G28"/>
    <mergeCell ref="E10:V11"/>
    <mergeCell ref="N23:O24"/>
    <mergeCell ref="I19:Q19"/>
    <mergeCell ref="I21:L22"/>
    <mergeCell ref="I23:I24"/>
    <mergeCell ref="K23:K24"/>
    <mergeCell ref="L23:L24"/>
    <mergeCell ref="Q23:Q24"/>
    <mergeCell ref="N21:Q22"/>
    <mergeCell ref="P23:P24"/>
    <mergeCell ref="S19:V19"/>
    <mergeCell ref="S21:S22"/>
    <mergeCell ref="U21:V22"/>
    <mergeCell ref="U23:U24"/>
    <mergeCell ref="V23:V24"/>
    <mergeCell ref="S23:S24"/>
  </mergeCells>
  <phoneticPr fontId="0" type="noConversion"/>
  <conditionalFormatting sqref="P27 P29 P94:P98">
    <cfRule type="cellIs" dxfId="62" priority="159" operator="equal">
      <formula>$AF$27</formula>
    </cfRule>
  </conditionalFormatting>
  <conditionalFormatting sqref="P27 P29 P94:P98">
    <cfRule type="cellIs" dxfId="61" priority="158" operator="equal">
      <formula>$AG$27</formula>
    </cfRule>
  </conditionalFormatting>
  <conditionalFormatting sqref="P27 P29 P94:P98">
    <cfRule type="cellIs" dxfId="60" priority="157" operator="equal">
      <formula>$AH$27</formula>
    </cfRule>
  </conditionalFormatting>
  <conditionalFormatting sqref="P35:P50">
    <cfRule type="cellIs" dxfId="59" priority="153" operator="equal">
      <formula>$AF$27</formula>
    </cfRule>
  </conditionalFormatting>
  <conditionalFormatting sqref="P35:P50">
    <cfRule type="cellIs" dxfId="58" priority="152" operator="equal">
      <formula>$AG$27</formula>
    </cfRule>
  </conditionalFormatting>
  <conditionalFormatting sqref="P35:P50">
    <cfRule type="cellIs" dxfId="57" priority="151" operator="equal">
      <formula>$AH$27</formula>
    </cfRule>
  </conditionalFormatting>
  <conditionalFormatting sqref="P52:P54">
    <cfRule type="cellIs" dxfId="56" priority="150" operator="equal">
      <formula>$AF$27</formula>
    </cfRule>
  </conditionalFormatting>
  <conditionalFormatting sqref="P52:P54">
    <cfRule type="cellIs" dxfId="55" priority="149" operator="equal">
      <formula>$AG$27</formula>
    </cfRule>
  </conditionalFormatting>
  <conditionalFormatting sqref="P52:P54">
    <cfRule type="cellIs" dxfId="54" priority="148" operator="equal">
      <formula>$AH$27</formula>
    </cfRule>
  </conditionalFormatting>
  <conditionalFormatting sqref="P56:P57">
    <cfRule type="cellIs" dxfId="53" priority="147" operator="equal">
      <formula>$AF$27</formula>
    </cfRule>
  </conditionalFormatting>
  <conditionalFormatting sqref="P56:P57">
    <cfRule type="cellIs" dxfId="52" priority="146" operator="equal">
      <formula>$AG$27</formula>
    </cfRule>
  </conditionalFormatting>
  <conditionalFormatting sqref="P56:P57">
    <cfRule type="cellIs" dxfId="51" priority="145" operator="equal">
      <formula>$AH$27</formula>
    </cfRule>
  </conditionalFormatting>
  <conditionalFormatting sqref="P59:P79">
    <cfRule type="cellIs" dxfId="50" priority="144" operator="equal">
      <formula>$AF$27</formula>
    </cfRule>
  </conditionalFormatting>
  <conditionalFormatting sqref="P59:P79">
    <cfRule type="cellIs" dxfId="49" priority="143" operator="equal">
      <formula>$AG$27</formula>
    </cfRule>
  </conditionalFormatting>
  <conditionalFormatting sqref="P59:P79">
    <cfRule type="cellIs" dxfId="48" priority="142" operator="equal">
      <formula>$AH$27</formula>
    </cfRule>
  </conditionalFormatting>
  <conditionalFormatting sqref="P85">
    <cfRule type="cellIs" dxfId="47" priority="141" operator="equal">
      <formula>$AF$27</formula>
    </cfRule>
  </conditionalFormatting>
  <conditionalFormatting sqref="P85">
    <cfRule type="cellIs" dxfId="46" priority="140" operator="equal">
      <formula>$AG$27</formula>
    </cfRule>
  </conditionalFormatting>
  <conditionalFormatting sqref="P85">
    <cfRule type="cellIs" dxfId="45" priority="139" operator="equal">
      <formula>$AH$27</formula>
    </cfRule>
  </conditionalFormatting>
  <conditionalFormatting sqref="P34">
    <cfRule type="cellIs" dxfId="44" priority="138" operator="equal">
      <formula>$AF$27</formula>
    </cfRule>
  </conditionalFormatting>
  <conditionalFormatting sqref="P34">
    <cfRule type="cellIs" dxfId="43" priority="137" operator="equal">
      <formula>$AG$27</formula>
    </cfRule>
  </conditionalFormatting>
  <conditionalFormatting sqref="P34">
    <cfRule type="cellIs" dxfId="42" priority="136" operator="equal">
      <formula>$AH$27</formula>
    </cfRule>
  </conditionalFormatting>
  <conditionalFormatting sqref="P83">
    <cfRule type="cellIs" dxfId="41" priority="117" operator="equal">
      <formula>$AF$27</formula>
    </cfRule>
  </conditionalFormatting>
  <conditionalFormatting sqref="P83">
    <cfRule type="cellIs" dxfId="40" priority="116" operator="equal">
      <formula>$AG$27</formula>
    </cfRule>
  </conditionalFormatting>
  <conditionalFormatting sqref="P83">
    <cfRule type="cellIs" dxfId="39" priority="115" operator="equal">
      <formula>$AH$27</formula>
    </cfRule>
  </conditionalFormatting>
  <conditionalFormatting sqref="P88">
    <cfRule type="cellIs" dxfId="38" priority="39" operator="equal">
      <formula>$AF$27</formula>
    </cfRule>
  </conditionalFormatting>
  <conditionalFormatting sqref="P88">
    <cfRule type="cellIs" dxfId="37" priority="38" operator="equal">
      <formula>$AG$27</formula>
    </cfRule>
  </conditionalFormatting>
  <conditionalFormatting sqref="P88">
    <cfRule type="cellIs" dxfId="36" priority="37" operator="equal">
      <formula>$AH$27</formula>
    </cfRule>
  </conditionalFormatting>
  <conditionalFormatting sqref="P90">
    <cfRule type="cellIs" dxfId="35" priority="36" operator="equal">
      <formula>$AF$27</formula>
    </cfRule>
  </conditionalFormatting>
  <conditionalFormatting sqref="P90">
    <cfRule type="cellIs" dxfId="34" priority="35" operator="equal">
      <formula>$AG$27</formula>
    </cfRule>
  </conditionalFormatting>
  <conditionalFormatting sqref="P90">
    <cfRule type="cellIs" dxfId="33" priority="34" operator="equal">
      <formula>$AH$27</formula>
    </cfRule>
  </conditionalFormatting>
  <conditionalFormatting sqref="P92">
    <cfRule type="cellIs" dxfId="32" priority="33" operator="equal">
      <formula>$AF$27</formula>
    </cfRule>
  </conditionalFormatting>
  <conditionalFormatting sqref="P92">
    <cfRule type="cellIs" dxfId="31" priority="32" operator="equal">
      <formula>$AG$27</formula>
    </cfRule>
  </conditionalFormatting>
  <conditionalFormatting sqref="P92">
    <cfRule type="cellIs" dxfId="30" priority="31" operator="equal">
      <formula>$AH$27</formula>
    </cfRule>
  </conditionalFormatting>
  <conditionalFormatting sqref="P33">
    <cfRule type="cellIs" dxfId="29" priority="30" operator="equal">
      <formula>$AF$27</formula>
    </cfRule>
  </conditionalFormatting>
  <conditionalFormatting sqref="P33">
    <cfRule type="cellIs" dxfId="28" priority="29" operator="equal">
      <formula>$AG$27</formula>
    </cfRule>
  </conditionalFormatting>
  <conditionalFormatting sqref="P33">
    <cfRule type="cellIs" dxfId="27" priority="28" operator="equal">
      <formula>$AH$27</formula>
    </cfRule>
  </conditionalFormatting>
  <conditionalFormatting sqref="P26">
    <cfRule type="cellIs" dxfId="26" priority="27" operator="equal">
      <formula>$AF$27</formula>
    </cfRule>
  </conditionalFormatting>
  <conditionalFormatting sqref="P26">
    <cfRule type="cellIs" dxfId="25" priority="26" operator="equal">
      <formula>$AG$27</formula>
    </cfRule>
  </conditionalFormatting>
  <conditionalFormatting sqref="P26">
    <cfRule type="cellIs" dxfId="24" priority="25" operator="equal">
      <formula>$AH$27</formula>
    </cfRule>
  </conditionalFormatting>
  <conditionalFormatting sqref="P51">
    <cfRule type="cellIs" dxfId="23" priority="24" operator="equal">
      <formula>$AF$27</formula>
    </cfRule>
  </conditionalFormatting>
  <conditionalFormatting sqref="P51">
    <cfRule type="cellIs" dxfId="22" priority="23" operator="equal">
      <formula>$AG$27</formula>
    </cfRule>
  </conditionalFormatting>
  <conditionalFormatting sqref="P51">
    <cfRule type="cellIs" dxfId="21" priority="22" operator="equal">
      <formula>$AH$27</formula>
    </cfRule>
  </conditionalFormatting>
  <conditionalFormatting sqref="P55">
    <cfRule type="cellIs" dxfId="20" priority="21" operator="equal">
      <formula>$AF$27</formula>
    </cfRule>
  </conditionalFormatting>
  <conditionalFormatting sqref="P55">
    <cfRule type="cellIs" dxfId="19" priority="20" operator="equal">
      <formula>$AG$27</formula>
    </cfRule>
  </conditionalFormatting>
  <conditionalFormatting sqref="P55">
    <cfRule type="cellIs" dxfId="18" priority="19" operator="equal">
      <formula>$AH$27</formula>
    </cfRule>
  </conditionalFormatting>
  <conditionalFormatting sqref="P58">
    <cfRule type="cellIs" dxfId="17" priority="18" operator="equal">
      <formula>$AF$27</formula>
    </cfRule>
  </conditionalFormatting>
  <conditionalFormatting sqref="P58">
    <cfRule type="cellIs" dxfId="16" priority="17" operator="equal">
      <formula>$AG$27</formula>
    </cfRule>
  </conditionalFormatting>
  <conditionalFormatting sqref="P58">
    <cfRule type="cellIs" dxfId="15" priority="16" operator="equal">
      <formula>$AH$27</formula>
    </cfRule>
  </conditionalFormatting>
  <conditionalFormatting sqref="P31">
    <cfRule type="cellIs" dxfId="14" priority="15" operator="equal">
      <formula>$AF$27</formula>
    </cfRule>
  </conditionalFormatting>
  <conditionalFormatting sqref="P31">
    <cfRule type="cellIs" dxfId="13" priority="14" operator="equal">
      <formula>$AG$27</formula>
    </cfRule>
  </conditionalFormatting>
  <conditionalFormatting sqref="P31">
    <cfRule type="cellIs" dxfId="12" priority="13" operator="equal">
      <formula>$AH$27</formula>
    </cfRule>
  </conditionalFormatting>
  <conditionalFormatting sqref="P30">
    <cfRule type="cellIs" dxfId="11" priority="12" operator="equal">
      <formula>$AF$27</formula>
    </cfRule>
  </conditionalFormatting>
  <conditionalFormatting sqref="P30">
    <cfRule type="cellIs" dxfId="10" priority="11" operator="equal">
      <formula>$AG$27</formula>
    </cfRule>
  </conditionalFormatting>
  <conditionalFormatting sqref="P30">
    <cfRule type="cellIs" dxfId="9" priority="10" operator="equal">
      <formula>$AH$27</formula>
    </cfRule>
  </conditionalFormatting>
  <conditionalFormatting sqref="P80:P81">
    <cfRule type="cellIs" dxfId="8" priority="9" operator="equal">
      <formula>$AF$27</formula>
    </cfRule>
  </conditionalFormatting>
  <conditionalFormatting sqref="P80:P81">
    <cfRule type="cellIs" dxfId="7" priority="8" operator="equal">
      <formula>$AG$27</formula>
    </cfRule>
  </conditionalFormatting>
  <conditionalFormatting sqref="P80:P81">
    <cfRule type="cellIs" dxfId="6" priority="7" operator="equal">
      <formula>$AH$27</formula>
    </cfRule>
  </conditionalFormatting>
  <conditionalFormatting sqref="P86">
    <cfRule type="cellIs" dxfId="5" priority="6" operator="equal">
      <formula>$AF$27</formula>
    </cfRule>
  </conditionalFormatting>
  <conditionalFormatting sqref="P86">
    <cfRule type="cellIs" dxfId="4" priority="5" operator="equal">
      <formula>$AG$27</formula>
    </cfRule>
  </conditionalFormatting>
  <conditionalFormatting sqref="P86">
    <cfRule type="cellIs" dxfId="3" priority="4" operator="equal">
      <formula>$AH$27</formula>
    </cfRule>
  </conditionalFormatting>
  <conditionalFormatting sqref="P28">
    <cfRule type="cellIs" dxfId="2" priority="3" operator="equal">
      <formula>$AF$27</formula>
    </cfRule>
  </conditionalFormatting>
  <conditionalFormatting sqref="P28">
    <cfRule type="cellIs" dxfId="1" priority="2" operator="equal">
      <formula>$AG$27</formula>
    </cfRule>
  </conditionalFormatting>
  <conditionalFormatting sqref="P28">
    <cfRule type="cellIs" dxfId="0" priority="1" operator="equal">
      <formula>$AH$27</formula>
    </cfRule>
  </conditionalFormatting>
  <dataValidations count="2">
    <dataValidation type="list" allowBlank="1" showInputMessage="1" showErrorMessage="1" sqref="F16">
      <formula1>Language</formula1>
    </dataValidation>
    <dataValidation type="list" allowBlank="1" showInputMessage="1" showErrorMessage="1" sqref="F24">
      <formula1>$AE$13:$AE$15</formula1>
    </dataValidation>
  </dataValidations>
  <printOptions horizontalCentered="1"/>
  <pageMargins left="0" right="0" top="7.874015748031496E-2" bottom="7.874015748031496E-2" header="0.15748031496062992" footer="0.15748031496062992"/>
  <pageSetup paperSize="9" scale="32" fitToHeight="0" orientation="portrait" r:id="rId1"/>
  <headerFooter alignWithMargins="0">
    <oddFooter>&amp;LConfidentiel&amp;C&amp;D&amp;RPage &amp;P</oddFooter>
  </headerFooter>
  <colBreaks count="1" manualBreakCount="1">
    <brk id="22" max="1048575" man="1"/>
  </colBreaks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r:id="rId5">
            <anchor moveWithCells="1">
              <from>
                <xdr:col>5</xdr:col>
                <xdr:colOff>152400</xdr:colOff>
                <xdr:row>21</xdr:row>
                <xdr:rowOff>0</xdr:rowOff>
              </from>
              <to>
                <xdr:col>6</xdr:col>
                <xdr:colOff>571500</xdr:colOff>
                <xdr:row>22</xdr:row>
                <xdr:rowOff>247650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21</vt:i4>
      </vt:variant>
    </vt:vector>
  </HeadingPairs>
  <TitlesOfParts>
    <vt:vector size="23" baseType="lpstr">
      <vt:lpstr>Context</vt:lpstr>
      <vt:lpstr>PL</vt:lpstr>
      <vt:lpstr>ActualForecastAdmin</vt:lpstr>
      <vt:lpstr>ActualMonth</vt:lpstr>
      <vt:lpstr>ActualMonthYTD</vt:lpstr>
      <vt:lpstr>Context!AutoRefresh_PL</vt:lpstr>
      <vt:lpstr>AutoRefresh_PL</vt:lpstr>
      <vt:lpstr>Cube1</vt:lpstr>
      <vt:lpstr>Cube2</vt:lpstr>
      <vt:lpstr>DBS_COM_pl_1</vt:lpstr>
      <vt:lpstr>DBS_COM_pl_2</vt:lpstr>
      <vt:lpstr>DBS_COM_pl_3</vt:lpstr>
      <vt:lpstr>DBS_COM_pl_4</vt:lpstr>
      <vt:lpstr>Flag_Send_Comment</vt:lpstr>
      <vt:lpstr>Flag_Send_Data</vt:lpstr>
      <vt:lpstr>PL!Impression_des_titres</vt:lpstr>
      <vt:lpstr>Language</vt:lpstr>
      <vt:lpstr>LocalLanguage</vt:lpstr>
      <vt:lpstr>LocalLanguage2</vt:lpstr>
      <vt:lpstr>Note</vt:lpstr>
      <vt:lpstr>Server</vt:lpstr>
      <vt:lpstr>xServer</vt:lpstr>
      <vt:lpstr>PL!Zone_d_impression</vt:lpstr>
    </vt:vector>
  </TitlesOfParts>
  <Company>VEOLIA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michael.dahan</dc:creator>
  <cp:lastModifiedBy>SAINT JOHN de CREVECOEUR, Rozenn</cp:lastModifiedBy>
  <cp:lastPrinted>2014-05-26T16:04:41Z</cp:lastPrinted>
  <dcterms:created xsi:type="dcterms:W3CDTF">2011-06-21T16:52:24Z</dcterms:created>
  <dcterms:modified xsi:type="dcterms:W3CDTF">2021-11-23T12:11:13Z</dcterms:modified>
</cp:coreProperties>
</file>