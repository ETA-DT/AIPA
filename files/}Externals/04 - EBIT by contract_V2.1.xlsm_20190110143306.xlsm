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75" yWindow="240" windowWidth="15270" windowHeight="10920"/>
  </bookViews>
  <sheets>
    <sheet name="EBIT" sheetId="1" r:id="rId1"/>
  </sheets>
  <definedNames>
    <definedName name="ACTUAL_MONTH_YTD">EBIT!$B$13</definedName>
    <definedName name="DEBUG">EBIT!$A$5</definedName>
    <definedName name="DEFAULT_LEGAL_ORGANIZATION">EBIT!$B$16</definedName>
    <definedName name="DEFAULT_MAN_ORG">EBIT!$B$15</definedName>
    <definedName name="GRAPH_EBIT">OFFSET(EBIT!$E$41,1,1,LINE_COUNT,1)</definedName>
    <definedName name="GRAPH_HELPER">OFFSET(EBIT!$E$41,1,3,LINE_COUNT,1)</definedName>
    <definedName name="GRAPH_HELPER2">OFFSET(EBIT!$E$41,1,4,LINE_COUNT,1)</definedName>
    <definedName name="GRAPH_LABEL">OFFSET(EBIT!$E$41,1,0,LINE_COUNT,1)</definedName>
    <definedName name="GRAPH_REV">OFFSET(EBIT!$E$41,1,5,LINE_COUNT,1)</definedName>
    <definedName name="LINE_COUNT">EBIT!$C$41</definedName>
    <definedName name="Locallanguage">EBIT!$A$4</definedName>
    <definedName name="ORDER">EBIT!$B$24</definedName>
    <definedName name="POV_LANG">EBIT!$F$18</definedName>
    <definedName name="Server">EBIT!$A$1</definedName>
    <definedName name="TM1REBUILDOPTION">0</definedName>
    <definedName name="TM1RPTDATARNG1" localSheetId="0">EBIT!$42:$322</definedName>
    <definedName name="TM1RPTFMTIDCOL" localSheetId="0">EBIT!$B$1:$B$8</definedName>
    <definedName name="TM1RPTFMTRNG" localSheetId="0">EBIT!$E$1:$L$8</definedName>
    <definedName name="xServer">EBIT!$A$2</definedName>
    <definedName name="Z_542A82CC_14F4_4D39_AB5B_69DFCDDDBC35_.wvu.Cols" localSheetId="0" hidden="1">EBIT!$A:$C,EBIT!$H:$J</definedName>
    <definedName name="Z_542A82CC_14F4_4D39_AB5B_69DFCDDDBC35_.wvu.Rows" localSheetId="0" hidden="1">EBIT!$1:$9,EBIT!$19:$22,EBIT!$39:$40</definedName>
  </definedNames>
  <calcPr calcId="145621" calcMode="manual" calcCompleted="0" calcOnSave="0" concurrentCalc="0"/>
  <customWorkbookViews>
    <customWorkbookView name="Prod" guid="{542A82CC-14F4-4D39-AB5B-69DFCDDDBC35}" maximized="1" windowWidth="1024" windowHeight="552" activeSheetId="1" showFormulaBar="0"/>
    <customWorkbookView name="Dev" guid="{240C188A-9CAE-45DB-8C9F-688FD1E79AF7}" maximized="1" windowWidth="1276" windowHeight="730" activeSheetId="1"/>
  </customWorkbookViews>
</workbook>
</file>

<file path=xl/calcChain.xml><?xml version="1.0" encoding="utf-8"?>
<calcChain xmlns="http://schemas.openxmlformats.org/spreadsheetml/2006/main">
  <c r="F19" i="1" l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E9" i="1"/>
  <c r="A2" i="1"/>
  <c r="A4" i="1"/>
  <c r="F18" i="1"/>
  <c r="F16" i="1"/>
  <c r="F20" i="1"/>
  <c r="F21" i="1"/>
  <c r="B16" i="1"/>
  <c r="F22" i="1"/>
  <c r="B13" i="1"/>
  <c r="F13" i="1"/>
  <c r="F14" i="1"/>
  <c r="K322" i="1"/>
  <c r="F322" i="1"/>
  <c r="L322" i="1"/>
  <c r="J322" i="1"/>
  <c r="H322" i="1"/>
  <c r="I322" i="1"/>
  <c r="G322" i="1"/>
  <c r="K321" i="1"/>
  <c r="F321" i="1"/>
  <c r="L321" i="1"/>
  <c r="J321" i="1"/>
  <c r="H321" i="1"/>
  <c r="I321" i="1"/>
  <c r="G321" i="1"/>
  <c r="K320" i="1"/>
  <c r="F320" i="1"/>
  <c r="L320" i="1"/>
  <c r="J320" i="1"/>
  <c r="H320" i="1"/>
  <c r="I320" i="1"/>
  <c r="G320" i="1"/>
  <c r="K319" i="1"/>
  <c r="F319" i="1"/>
  <c r="L319" i="1"/>
  <c r="J319" i="1"/>
  <c r="H319" i="1"/>
  <c r="I319" i="1"/>
  <c r="G319" i="1"/>
  <c r="K318" i="1"/>
  <c r="F318" i="1"/>
  <c r="L318" i="1"/>
  <c r="J318" i="1"/>
  <c r="H318" i="1"/>
  <c r="I318" i="1"/>
  <c r="G318" i="1"/>
  <c r="K317" i="1"/>
  <c r="F317" i="1"/>
  <c r="L317" i="1"/>
  <c r="J317" i="1"/>
  <c r="H317" i="1"/>
  <c r="I317" i="1"/>
  <c r="G317" i="1"/>
  <c r="K316" i="1"/>
  <c r="F316" i="1"/>
  <c r="L316" i="1"/>
  <c r="J316" i="1"/>
  <c r="H316" i="1"/>
  <c r="I316" i="1"/>
  <c r="G316" i="1"/>
  <c r="K315" i="1"/>
  <c r="F315" i="1"/>
  <c r="L315" i="1"/>
  <c r="J315" i="1"/>
  <c r="H315" i="1"/>
  <c r="I315" i="1"/>
  <c r="G315" i="1"/>
  <c r="K314" i="1"/>
  <c r="F314" i="1"/>
  <c r="L314" i="1"/>
  <c r="J314" i="1"/>
  <c r="H314" i="1"/>
  <c r="I314" i="1"/>
  <c r="G314" i="1"/>
  <c r="K313" i="1"/>
  <c r="F313" i="1"/>
  <c r="L313" i="1"/>
  <c r="J313" i="1"/>
  <c r="H313" i="1"/>
  <c r="I313" i="1"/>
  <c r="G313" i="1"/>
  <c r="K312" i="1"/>
  <c r="F312" i="1"/>
  <c r="L312" i="1"/>
  <c r="J312" i="1"/>
  <c r="H312" i="1"/>
  <c r="I312" i="1"/>
  <c r="G312" i="1"/>
  <c r="K311" i="1"/>
  <c r="F311" i="1"/>
  <c r="L311" i="1"/>
  <c r="J311" i="1"/>
  <c r="H311" i="1"/>
  <c r="I311" i="1"/>
  <c r="G311" i="1"/>
  <c r="K310" i="1"/>
  <c r="F310" i="1"/>
  <c r="L310" i="1"/>
  <c r="J310" i="1"/>
  <c r="H310" i="1"/>
  <c r="I310" i="1"/>
  <c r="G310" i="1"/>
  <c r="K309" i="1"/>
  <c r="F309" i="1"/>
  <c r="L309" i="1"/>
  <c r="J309" i="1"/>
  <c r="H309" i="1"/>
  <c r="I309" i="1"/>
  <c r="G309" i="1"/>
  <c r="K308" i="1"/>
  <c r="F308" i="1"/>
  <c r="L308" i="1"/>
  <c r="J308" i="1"/>
  <c r="H308" i="1"/>
  <c r="I308" i="1"/>
  <c r="G308" i="1"/>
  <c r="K307" i="1"/>
  <c r="F307" i="1"/>
  <c r="L307" i="1"/>
  <c r="J307" i="1"/>
  <c r="H307" i="1"/>
  <c r="I307" i="1"/>
  <c r="G307" i="1"/>
  <c r="K306" i="1"/>
  <c r="F306" i="1"/>
  <c r="L306" i="1"/>
  <c r="J306" i="1"/>
  <c r="H306" i="1"/>
  <c r="I306" i="1"/>
  <c r="G306" i="1"/>
  <c r="K305" i="1"/>
  <c r="F305" i="1"/>
  <c r="L305" i="1"/>
  <c r="J305" i="1"/>
  <c r="H305" i="1"/>
  <c r="I305" i="1"/>
  <c r="G305" i="1"/>
  <c r="K304" i="1"/>
  <c r="F304" i="1"/>
  <c r="L304" i="1"/>
  <c r="J304" i="1"/>
  <c r="H304" i="1"/>
  <c r="I304" i="1"/>
  <c r="G304" i="1"/>
  <c r="K303" i="1"/>
  <c r="F303" i="1"/>
  <c r="L303" i="1"/>
  <c r="J303" i="1"/>
  <c r="H303" i="1"/>
  <c r="I303" i="1"/>
  <c r="G303" i="1"/>
  <c r="K302" i="1"/>
  <c r="F302" i="1"/>
  <c r="L302" i="1"/>
  <c r="J302" i="1"/>
  <c r="H302" i="1"/>
  <c r="I302" i="1"/>
  <c r="G302" i="1"/>
  <c r="K301" i="1"/>
  <c r="F301" i="1"/>
  <c r="L301" i="1"/>
  <c r="J301" i="1"/>
  <c r="H301" i="1"/>
  <c r="I301" i="1"/>
  <c r="G301" i="1"/>
  <c r="K300" i="1"/>
  <c r="F300" i="1"/>
  <c r="L300" i="1"/>
  <c r="J300" i="1"/>
  <c r="H300" i="1"/>
  <c r="I300" i="1"/>
  <c r="G300" i="1"/>
  <c r="K299" i="1"/>
  <c r="F299" i="1"/>
  <c r="L299" i="1"/>
  <c r="J299" i="1"/>
  <c r="H299" i="1"/>
  <c r="I299" i="1"/>
  <c r="G299" i="1"/>
  <c r="K298" i="1"/>
  <c r="F298" i="1"/>
  <c r="L298" i="1"/>
  <c r="J298" i="1"/>
  <c r="H298" i="1"/>
  <c r="I298" i="1"/>
  <c r="G298" i="1"/>
  <c r="K297" i="1"/>
  <c r="F297" i="1"/>
  <c r="L297" i="1"/>
  <c r="J297" i="1"/>
  <c r="H297" i="1"/>
  <c r="I297" i="1"/>
  <c r="G297" i="1"/>
  <c r="K296" i="1"/>
  <c r="F296" i="1"/>
  <c r="L296" i="1"/>
  <c r="J296" i="1"/>
  <c r="H296" i="1"/>
  <c r="I296" i="1"/>
  <c r="G296" i="1"/>
  <c r="K295" i="1"/>
  <c r="F295" i="1"/>
  <c r="L295" i="1"/>
  <c r="J295" i="1"/>
  <c r="H295" i="1"/>
  <c r="I295" i="1"/>
  <c r="G295" i="1"/>
  <c r="K294" i="1"/>
  <c r="F294" i="1"/>
  <c r="L294" i="1"/>
  <c r="J294" i="1"/>
  <c r="H294" i="1"/>
  <c r="I294" i="1"/>
  <c r="G294" i="1"/>
  <c r="K293" i="1"/>
  <c r="F293" i="1"/>
  <c r="L293" i="1"/>
  <c r="J293" i="1"/>
  <c r="H293" i="1"/>
  <c r="I293" i="1"/>
  <c r="G293" i="1"/>
  <c r="K292" i="1"/>
  <c r="F292" i="1"/>
  <c r="L292" i="1"/>
  <c r="J292" i="1"/>
  <c r="H292" i="1"/>
  <c r="I292" i="1"/>
  <c r="G292" i="1"/>
  <c r="K291" i="1"/>
  <c r="F291" i="1"/>
  <c r="L291" i="1"/>
  <c r="J291" i="1"/>
  <c r="H291" i="1"/>
  <c r="I291" i="1"/>
  <c r="G291" i="1"/>
  <c r="K290" i="1"/>
  <c r="F290" i="1"/>
  <c r="L290" i="1"/>
  <c r="J290" i="1"/>
  <c r="H290" i="1"/>
  <c r="I290" i="1"/>
  <c r="G290" i="1"/>
  <c r="K289" i="1"/>
  <c r="F289" i="1"/>
  <c r="L289" i="1"/>
  <c r="J289" i="1"/>
  <c r="H289" i="1"/>
  <c r="I289" i="1"/>
  <c r="G289" i="1"/>
  <c r="K288" i="1"/>
  <c r="F288" i="1"/>
  <c r="L288" i="1"/>
  <c r="J288" i="1"/>
  <c r="H288" i="1"/>
  <c r="I288" i="1"/>
  <c r="G288" i="1"/>
  <c r="K287" i="1"/>
  <c r="F287" i="1"/>
  <c r="L287" i="1"/>
  <c r="J287" i="1"/>
  <c r="H287" i="1"/>
  <c r="I287" i="1"/>
  <c r="G287" i="1"/>
  <c r="K286" i="1"/>
  <c r="F286" i="1"/>
  <c r="L286" i="1"/>
  <c r="J286" i="1"/>
  <c r="H286" i="1"/>
  <c r="I286" i="1"/>
  <c r="G286" i="1"/>
  <c r="K285" i="1"/>
  <c r="F285" i="1"/>
  <c r="L285" i="1"/>
  <c r="J285" i="1"/>
  <c r="H285" i="1"/>
  <c r="I285" i="1"/>
  <c r="G285" i="1"/>
  <c r="K284" i="1"/>
  <c r="F284" i="1"/>
  <c r="L284" i="1"/>
  <c r="J284" i="1"/>
  <c r="H284" i="1"/>
  <c r="I284" i="1"/>
  <c r="G284" i="1"/>
  <c r="K283" i="1"/>
  <c r="F283" i="1"/>
  <c r="L283" i="1"/>
  <c r="J283" i="1"/>
  <c r="H283" i="1"/>
  <c r="I283" i="1"/>
  <c r="G283" i="1"/>
  <c r="K282" i="1"/>
  <c r="F282" i="1"/>
  <c r="L282" i="1"/>
  <c r="J282" i="1"/>
  <c r="H282" i="1"/>
  <c r="I282" i="1"/>
  <c r="G282" i="1"/>
  <c r="K281" i="1"/>
  <c r="F281" i="1"/>
  <c r="L281" i="1"/>
  <c r="J281" i="1"/>
  <c r="H281" i="1"/>
  <c r="I281" i="1"/>
  <c r="G281" i="1"/>
  <c r="K280" i="1"/>
  <c r="F280" i="1"/>
  <c r="L280" i="1"/>
  <c r="J280" i="1"/>
  <c r="H280" i="1"/>
  <c r="I280" i="1"/>
  <c r="G280" i="1"/>
  <c r="K279" i="1"/>
  <c r="F279" i="1"/>
  <c r="L279" i="1"/>
  <c r="J279" i="1"/>
  <c r="H279" i="1"/>
  <c r="I279" i="1"/>
  <c r="G279" i="1"/>
  <c r="K278" i="1"/>
  <c r="F278" i="1"/>
  <c r="L278" i="1"/>
  <c r="J278" i="1"/>
  <c r="H278" i="1"/>
  <c r="I278" i="1"/>
  <c r="G278" i="1"/>
  <c r="K277" i="1"/>
  <c r="F277" i="1"/>
  <c r="L277" i="1"/>
  <c r="J277" i="1"/>
  <c r="H277" i="1"/>
  <c r="I277" i="1"/>
  <c r="G277" i="1"/>
  <c r="K276" i="1"/>
  <c r="F276" i="1"/>
  <c r="L276" i="1"/>
  <c r="J276" i="1"/>
  <c r="H276" i="1"/>
  <c r="I276" i="1"/>
  <c r="G276" i="1"/>
  <c r="K275" i="1"/>
  <c r="F275" i="1"/>
  <c r="L275" i="1"/>
  <c r="J275" i="1"/>
  <c r="H275" i="1"/>
  <c r="I275" i="1"/>
  <c r="G275" i="1"/>
  <c r="K274" i="1"/>
  <c r="F274" i="1"/>
  <c r="L274" i="1"/>
  <c r="J274" i="1"/>
  <c r="H274" i="1"/>
  <c r="I274" i="1"/>
  <c r="G274" i="1"/>
  <c r="K273" i="1"/>
  <c r="F273" i="1"/>
  <c r="L273" i="1"/>
  <c r="J273" i="1"/>
  <c r="H273" i="1"/>
  <c r="I273" i="1"/>
  <c r="G273" i="1"/>
  <c r="K272" i="1"/>
  <c r="F272" i="1"/>
  <c r="L272" i="1"/>
  <c r="J272" i="1"/>
  <c r="H272" i="1"/>
  <c r="I272" i="1"/>
  <c r="G272" i="1"/>
  <c r="K271" i="1"/>
  <c r="F271" i="1"/>
  <c r="L271" i="1"/>
  <c r="J271" i="1"/>
  <c r="H271" i="1"/>
  <c r="I271" i="1"/>
  <c r="G271" i="1"/>
  <c r="K270" i="1"/>
  <c r="F270" i="1"/>
  <c r="L270" i="1"/>
  <c r="J270" i="1"/>
  <c r="H270" i="1"/>
  <c r="I270" i="1"/>
  <c r="G270" i="1"/>
  <c r="K269" i="1"/>
  <c r="F269" i="1"/>
  <c r="L269" i="1"/>
  <c r="J269" i="1"/>
  <c r="H269" i="1"/>
  <c r="I269" i="1"/>
  <c r="G269" i="1"/>
  <c r="K268" i="1"/>
  <c r="F268" i="1"/>
  <c r="L268" i="1"/>
  <c r="J268" i="1"/>
  <c r="H268" i="1"/>
  <c r="I268" i="1"/>
  <c r="G268" i="1"/>
  <c r="K267" i="1"/>
  <c r="F267" i="1"/>
  <c r="L267" i="1"/>
  <c r="J267" i="1"/>
  <c r="H267" i="1"/>
  <c r="I267" i="1"/>
  <c r="G267" i="1"/>
  <c r="K266" i="1"/>
  <c r="F266" i="1"/>
  <c r="L266" i="1"/>
  <c r="J266" i="1"/>
  <c r="H266" i="1"/>
  <c r="I266" i="1"/>
  <c r="G266" i="1"/>
  <c r="K265" i="1"/>
  <c r="F265" i="1"/>
  <c r="L265" i="1"/>
  <c r="J265" i="1"/>
  <c r="H265" i="1"/>
  <c r="I265" i="1"/>
  <c r="G265" i="1"/>
  <c r="K264" i="1"/>
  <c r="F264" i="1"/>
  <c r="L264" i="1"/>
  <c r="J264" i="1"/>
  <c r="H264" i="1"/>
  <c r="I264" i="1"/>
  <c r="G264" i="1"/>
  <c r="K263" i="1"/>
  <c r="F263" i="1"/>
  <c r="L263" i="1"/>
  <c r="J263" i="1"/>
  <c r="H263" i="1"/>
  <c r="I263" i="1"/>
  <c r="G263" i="1"/>
  <c r="K262" i="1"/>
  <c r="F262" i="1"/>
  <c r="L262" i="1"/>
  <c r="J262" i="1"/>
  <c r="H262" i="1"/>
  <c r="I262" i="1"/>
  <c r="G262" i="1"/>
  <c r="K261" i="1"/>
  <c r="F261" i="1"/>
  <c r="L261" i="1"/>
  <c r="J261" i="1"/>
  <c r="H261" i="1"/>
  <c r="I261" i="1"/>
  <c r="G261" i="1"/>
  <c r="K260" i="1"/>
  <c r="F260" i="1"/>
  <c r="L260" i="1"/>
  <c r="J260" i="1"/>
  <c r="H260" i="1"/>
  <c r="I260" i="1"/>
  <c r="G260" i="1"/>
  <c r="K259" i="1"/>
  <c r="F259" i="1"/>
  <c r="L259" i="1"/>
  <c r="J259" i="1"/>
  <c r="H259" i="1"/>
  <c r="I259" i="1"/>
  <c r="G259" i="1"/>
  <c r="K258" i="1"/>
  <c r="F258" i="1"/>
  <c r="L258" i="1"/>
  <c r="J258" i="1"/>
  <c r="H258" i="1"/>
  <c r="I258" i="1"/>
  <c r="G258" i="1"/>
  <c r="K257" i="1"/>
  <c r="F257" i="1"/>
  <c r="L257" i="1"/>
  <c r="J257" i="1"/>
  <c r="H257" i="1"/>
  <c r="I257" i="1"/>
  <c r="G257" i="1"/>
  <c r="K256" i="1"/>
  <c r="F256" i="1"/>
  <c r="L256" i="1"/>
  <c r="J256" i="1"/>
  <c r="H256" i="1"/>
  <c r="I256" i="1"/>
  <c r="G256" i="1"/>
  <c r="K255" i="1"/>
  <c r="F255" i="1"/>
  <c r="L255" i="1"/>
  <c r="J255" i="1"/>
  <c r="H255" i="1"/>
  <c r="I255" i="1"/>
  <c r="G255" i="1"/>
  <c r="K254" i="1"/>
  <c r="F254" i="1"/>
  <c r="L254" i="1"/>
  <c r="J254" i="1"/>
  <c r="H254" i="1"/>
  <c r="I254" i="1"/>
  <c r="G254" i="1"/>
  <c r="K253" i="1"/>
  <c r="F253" i="1"/>
  <c r="L253" i="1"/>
  <c r="J253" i="1"/>
  <c r="H253" i="1"/>
  <c r="I253" i="1"/>
  <c r="G253" i="1"/>
  <c r="K252" i="1"/>
  <c r="F252" i="1"/>
  <c r="L252" i="1"/>
  <c r="J252" i="1"/>
  <c r="H252" i="1"/>
  <c r="I252" i="1"/>
  <c r="G252" i="1"/>
  <c r="K251" i="1"/>
  <c r="F251" i="1"/>
  <c r="L251" i="1"/>
  <c r="J251" i="1"/>
  <c r="H251" i="1"/>
  <c r="I251" i="1"/>
  <c r="G251" i="1"/>
  <c r="K250" i="1"/>
  <c r="F250" i="1"/>
  <c r="L250" i="1"/>
  <c r="J250" i="1"/>
  <c r="H250" i="1"/>
  <c r="I250" i="1"/>
  <c r="G250" i="1"/>
  <c r="K249" i="1"/>
  <c r="F249" i="1"/>
  <c r="L249" i="1"/>
  <c r="J249" i="1"/>
  <c r="H249" i="1"/>
  <c r="I249" i="1"/>
  <c r="G249" i="1"/>
  <c r="K248" i="1"/>
  <c r="F248" i="1"/>
  <c r="L248" i="1"/>
  <c r="J248" i="1"/>
  <c r="H248" i="1"/>
  <c r="I248" i="1"/>
  <c r="G248" i="1"/>
  <c r="K247" i="1"/>
  <c r="F247" i="1"/>
  <c r="L247" i="1"/>
  <c r="J247" i="1"/>
  <c r="H247" i="1"/>
  <c r="I247" i="1"/>
  <c r="G247" i="1"/>
  <c r="K246" i="1"/>
  <c r="F246" i="1"/>
  <c r="L246" i="1"/>
  <c r="J246" i="1"/>
  <c r="H246" i="1"/>
  <c r="I246" i="1"/>
  <c r="G246" i="1"/>
  <c r="K245" i="1"/>
  <c r="F245" i="1"/>
  <c r="L245" i="1"/>
  <c r="J245" i="1"/>
  <c r="H245" i="1"/>
  <c r="I245" i="1"/>
  <c r="G245" i="1"/>
  <c r="K244" i="1"/>
  <c r="F244" i="1"/>
  <c r="L244" i="1"/>
  <c r="J244" i="1"/>
  <c r="H244" i="1"/>
  <c r="I244" i="1"/>
  <c r="G244" i="1"/>
  <c r="K243" i="1"/>
  <c r="F243" i="1"/>
  <c r="L243" i="1"/>
  <c r="J243" i="1"/>
  <c r="H243" i="1"/>
  <c r="I243" i="1"/>
  <c r="G243" i="1"/>
  <c r="K242" i="1"/>
  <c r="F242" i="1"/>
  <c r="L242" i="1"/>
  <c r="J242" i="1"/>
  <c r="H242" i="1"/>
  <c r="I242" i="1"/>
  <c r="G242" i="1"/>
  <c r="K241" i="1"/>
  <c r="F241" i="1"/>
  <c r="L241" i="1"/>
  <c r="J241" i="1"/>
  <c r="H241" i="1"/>
  <c r="I241" i="1"/>
  <c r="G241" i="1"/>
  <c r="K240" i="1"/>
  <c r="F240" i="1"/>
  <c r="L240" i="1"/>
  <c r="J240" i="1"/>
  <c r="H240" i="1"/>
  <c r="I240" i="1"/>
  <c r="G240" i="1"/>
  <c r="K239" i="1"/>
  <c r="F239" i="1"/>
  <c r="L239" i="1"/>
  <c r="J239" i="1"/>
  <c r="H239" i="1"/>
  <c r="I239" i="1"/>
  <c r="G239" i="1"/>
  <c r="K238" i="1"/>
  <c r="F238" i="1"/>
  <c r="L238" i="1"/>
  <c r="J238" i="1"/>
  <c r="H238" i="1"/>
  <c r="I238" i="1"/>
  <c r="G238" i="1"/>
  <c r="K237" i="1"/>
  <c r="F237" i="1"/>
  <c r="L237" i="1"/>
  <c r="J237" i="1"/>
  <c r="H237" i="1"/>
  <c r="I237" i="1"/>
  <c r="G237" i="1"/>
  <c r="K236" i="1"/>
  <c r="F236" i="1"/>
  <c r="L236" i="1"/>
  <c r="J236" i="1"/>
  <c r="H236" i="1"/>
  <c r="I236" i="1"/>
  <c r="G236" i="1"/>
  <c r="K235" i="1"/>
  <c r="F235" i="1"/>
  <c r="L235" i="1"/>
  <c r="J235" i="1"/>
  <c r="H235" i="1"/>
  <c r="I235" i="1"/>
  <c r="G235" i="1"/>
  <c r="K234" i="1"/>
  <c r="F234" i="1"/>
  <c r="L234" i="1"/>
  <c r="J234" i="1"/>
  <c r="H234" i="1"/>
  <c r="I234" i="1"/>
  <c r="G234" i="1"/>
  <c r="K233" i="1"/>
  <c r="F233" i="1"/>
  <c r="L233" i="1"/>
  <c r="J233" i="1"/>
  <c r="H233" i="1"/>
  <c r="I233" i="1"/>
  <c r="G233" i="1"/>
  <c r="K232" i="1"/>
  <c r="F232" i="1"/>
  <c r="L232" i="1"/>
  <c r="J232" i="1"/>
  <c r="H232" i="1"/>
  <c r="I232" i="1"/>
  <c r="G232" i="1"/>
  <c r="K231" i="1"/>
  <c r="F231" i="1"/>
  <c r="L231" i="1"/>
  <c r="J231" i="1"/>
  <c r="H231" i="1"/>
  <c r="I231" i="1"/>
  <c r="G231" i="1"/>
  <c r="K230" i="1"/>
  <c r="F230" i="1"/>
  <c r="L230" i="1"/>
  <c r="J230" i="1"/>
  <c r="H230" i="1"/>
  <c r="I230" i="1"/>
  <c r="G230" i="1"/>
  <c r="K229" i="1"/>
  <c r="F229" i="1"/>
  <c r="L229" i="1"/>
  <c r="J229" i="1"/>
  <c r="H229" i="1"/>
  <c r="I229" i="1"/>
  <c r="G229" i="1"/>
  <c r="K228" i="1"/>
  <c r="F228" i="1"/>
  <c r="L228" i="1"/>
  <c r="J228" i="1"/>
  <c r="H228" i="1"/>
  <c r="I228" i="1"/>
  <c r="G228" i="1"/>
  <c r="K227" i="1"/>
  <c r="F227" i="1"/>
  <c r="L227" i="1"/>
  <c r="J227" i="1"/>
  <c r="H227" i="1"/>
  <c r="I227" i="1"/>
  <c r="G227" i="1"/>
  <c r="K226" i="1"/>
  <c r="F226" i="1"/>
  <c r="L226" i="1"/>
  <c r="J226" i="1"/>
  <c r="H226" i="1"/>
  <c r="I226" i="1"/>
  <c r="G226" i="1"/>
  <c r="K225" i="1"/>
  <c r="F225" i="1"/>
  <c r="L225" i="1"/>
  <c r="J225" i="1"/>
  <c r="H225" i="1"/>
  <c r="I225" i="1"/>
  <c r="G225" i="1"/>
  <c r="K224" i="1"/>
  <c r="F224" i="1"/>
  <c r="L224" i="1"/>
  <c r="J224" i="1"/>
  <c r="H224" i="1"/>
  <c r="I224" i="1"/>
  <c r="G224" i="1"/>
  <c r="K223" i="1"/>
  <c r="F223" i="1"/>
  <c r="L223" i="1"/>
  <c r="J223" i="1"/>
  <c r="H223" i="1"/>
  <c r="I223" i="1"/>
  <c r="G223" i="1"/>
  <c r="K222" i="1"/>
  <c r="F222" i="1"/>
  <c r="L222" i="1"/>
  <c r="J222" i="1"/>
  <c r="H222" i="1"/>
  <c r="I222" i="1"/>
  <c r="G222" i="1"/>
  <c r="K221" i="1"/>
  <c r="F221" i="1"/>
  <c r="L221" i="1"/>
  <c r="J221" i="1"/>
  <c r="H221" i="1"/>
  <c r="I221" i="1"/>
  <c r="G221" i="1"/>
  <c r="K220" i="1"/>
  <c r="F220" i="1"/>
  <c r="L220" i="1"/>
  <c r="J220" i="1"/>
  <c r="H220" i="1"/>
  <c r="I220" i="1"/>
  <c r="G220" i="1"/>
  <c r="K219" i="1"/>
  <c r="F219" i="1"/>
  <c r="L219" i="1"/>
  <c r="J219" i="1"/>
  <c r="H219" i="1"/>
  <c r="I219" i="1"/>
  <c r="G219" i="1"/>
  <c r="K218" i="1"/>
  <c r="F218" i="1"/>
  <c r="L218" i="1"/>
  <c r="J218" i="1"/>
  <c r="H218" i="1"/>
  <c r="I218" i="1"/>
  <c r="G218" i="1"/>
  <c r="K217" i="1"/>
  <c r="F217" i="1"/>
  <c r="L217" i="1"/>
  <c r="J217" i="1"/>
  <c r="H217" i="1"/>
  <c r="I217" i="1"/>
  <c r="G217" i="1"/>
  <c r="K216" i="1"/>
  <c r="F216" i="1"/>
  <c r="L216" i="1"/>
  <c r="J216" i="1"/>
  <c r="H216" i="1"/>
  <c r="I216" i="1"/>
  <c r="G216" i="1"/>
  <c r="K215" i="1"/>
  <c r="F215" i="1"/>
  <c r="L215" i="1"/>
  <c r="J215" i="1"/>
  <c r="H215" i="1"/>
  <c r="I215" i="1"/>
  <c r="G215" i="1"/>
  <c r="K214" i="1"/>
  <c r="F214" i="1"/>
  <c r="L214" i="1"/>
  <c r="J214" i="1"/>
  <c r="H214" i="1"/>
  <c r="I214" i="1"/>
  <c r="G214" i="1"/>
  <c r="K213" i="1"/>
  <c r="F213" i="1"/>
  <c r="L213" i="1"/>
  <c r="J213" i="1"/>
  <c r="H213" i="1"/>
  <c r="I213" i="1"/>
  <c r="G213" i="1"/>
  <c r="K212" i="1"/>
  <c r="F212" i="1"/>
  <c r="L212" i="1"/>
  <c r="J212" i="1"/>
  <c r="H212" i="1"/>
  <c r="I212" i="1"/>
  <c r="G212" i="1"/>
  <c r="K211" i="1"/>
  <c r="F211" i="1"/>
  <c r="L211" i="1"/>
  <c r="J211" i="1"/>
  <c r="H211" i="1"/>
  <c r="I211" i="1"/>
  <c r="G211" i="1"/>
  <c r="K210" i="1"/>
  <c r="F210" i="1"/>
  <c r="L210" i="1"/>
  <c r="J210" i="1"/>
  <c r="H210" i="1"/>
  <c r="I210" i="1"/>
  <c r="G210" i="1"/>
  <c r="K209" i="1"/>
  <c r="F209" i="1"/>
  <c r="L209" i="1"/>
  <c r="J209" i="1"/>
  <c r="H209" i="1"/>
  <c r="I209" i="1"/>
  <c r="G209" i="1"/>
  <c r="K208" i="1"/>
  <c r="F208" i="1"/>
  <c r="L208" i="1"/>
  <c r="J208" i="1"/>
  <c r="H208" i="1"/>
  <c r="I208" i="1"/>
  <c r="G208" i="1"/>
  <c r="K207" i="1"/>
  <c r="F207" i="1"/>
  <c r="L207" i="1"/>
  <c r="J207" i="1"/>
  <c r="H207" i="1"/>
  <c r="I207" i="1"/>
  <c r="G207" i="1"/>
  <c r="K206" i="1"/>
  <c r="F206" i="1"/>
  <c r="L206" i="1"/>
  <c r="J206" i="1"/>
  <c r="H206" i="1"/>
  <c r="I206" i="1"/>
  <c r="G206" i="1"/>
  <c r="K205" i="1"/>
  <c r="F205" i="1"/>
  <c r="L205" i="1"/>
  <c r="J205" i="1"/>
  <c r="H205" i="1"/>
  <c r="I205" i="1"/>
  <c r="G205" i="1"/>
  <c r="K204" i="1"/>
  <c r="F204" i="1"/>
  <c r="L204" i="1"/>
  <c r="J204" i="1"/>
  <c r="H204" i="1"/>
  <c r="I204" i="1"/>
  <c r="G204" i="1"/>
  <c r="K203" i="1"/>
  <c r="F203" i="1"/>
  <c r="L203" i="1"/>
  <c r="J203" i="1"/>
  <c r="H203" i="1"/>
  <c r="I203" i="1"/>
  <c r="G203" i="1"/>
  <c r="K202" i="1"/>
  <c r="F202" i="1"/>
  <c r="L202" i="1"/>
  <c r="J202" i="1"/>
  <c r="H202" i="1"/>
  <c r="I202" i="1"/>
  <c r="G202" i="1"/>
  <c r="K201" i="1"/>
  <c r="F201" i="1"/>
  <c r="L201" i="1"/>
  <c r="J201" i="1"/>
  <c r="H201" i="1"/>
  <c r="I201" i="1"/>
  <c r="G201" i="1"/>
  <c r="K200" i="1"/>
  <c r="F200" i="1"/>
  <c r="L200" i="1"/>
  <c r="J200" i="1"/>
  <c r="H200" i="1"/>
  <c r="I200" i="1"/>
  <c r="G200" i="1"/>
  <c r="K199" i="1"/>
  <c r="F199" i="1"/>
  <c r="L199" i="1"/>
  <c r="J199" i="1"/>
  <c r="H199" i="1"/>
  <c r="I199" i="1"/>
  <c r="G199" i="1"/>
  <c r="K198" i="1"/>
  <c r="F198" i="1"/>
  <c r="L198" i="1"/>
  <c r="J198" i="1"/>
  <c r="H198" i="1"/>
  <c r="I198" i="1"/>
  <c r="G198" i="1"/>
  <c r="K197" i="1"/>
  <c r="F197" i="1"/>
  <c r="L197" i="1"/>
  <c r="J197" i="1"/>
  <c r="H197" i="1"/>
  <c r="I197" i="1"/>
  <c r="G197" i="1"/>
  <c r="K196" i="1"/>
  <c r="F196" i="1"/>
  <c r="L196" i="1"/>
  <c r="J196" i="1"/>
  <c r="H196" i="1"/>
  <c r="I196" i="1"/>
  <c r="G196" i="1"/>
  <c r="K195" i="1"/>
  <c r="F195" i="1"/>
  <c r="L195" i="1"/>
  <c r="J195" i="1"/>
  <c r="H195" i="1"/>
  <c r="I195" i="1"/>
  <c r="G195" i="1"/>
  <c r="K194" i="1"/>
  <c r="F194" i="1"/>
  <c r="L194" i="1"/>
  <c r="J194" i="1"/>
  <c r="H194" i="1"/>
  <c r="I194" i="1"/>
  <c r="G194" i="1"/>
  <c r="K193" i="1"/>
  <c r="F193" i="1"/>
  <c r="L193" i="1"/>
  <c r="J193" i="1"/>
  <c r="H193" i="1"/>
  <c r="I193" i="1"/>
  <c r="G193" i="1"/>
  <c r="K192" i="1"/>
  <c r="F192" i="1"/>
  <c r="L192" i="1"/>
  <c r="J192" i="1"/>
  <c r="H192" i="1"/>
  <c r="I192" i="1"/>
  <c r="G192" i="1"/>
  <c r="K191" i="1"/>
  <c r="F191" i="1"/>
  <c r="L191" i="1"/>
  <c r="J191" i="1"/>
  <c r="H191" i="1"/>
  <c r="I191" i="1"/>
  <c r="G191" i="1"/>
  <c r="K190" i="1"/>
  <c r="F190" i="1"/>
  <c r="L190" i="1"/>
  <c r="J190" i="1"/>
  <c r="H190" i="1"/>
  <c r="I190" i="1"/>
  <c r="G190" i="1"/>
  <c r="K189" i="1"/>
  <c r="F189" i="1"/>
  <c r="L189" i="1"/>
  <c r="J189" i="1"/>
  <c r="H189" i="1"/>
  <c r="I189" i="1"/>
  <c r="G189" i="1"/>
  <c r="K188" i="1"/>
  <c r="F188" i="1"/>
  <c r="L188" i="1"/>
  <c r="J188" i="1"/>
  <c r="H188" i="1"/>
  <c r="I188" i="1"/>
  <c r="G188" i="1"/>
  <c r="K187" i="1"/>
  <c r="F187" i="1"/>
  <c r="L187" i="1"/>
  <c r="J187" i="1"/>
  <c r="H187" i="1"/>
  <c r="I187" i="1"/>
  <c r="G187" i="1"/>
  <c r="K186" i="1"/>
  <c r="F186" i="1"/>
  <c r="L186" i="1"/>
  <c r="J186" i="1"/>
  <c r="H186" i="1"/>
  <c r="I186" i="1"/>
  <c r="G186" i="1"/>
  <c r="K185" i="1"/>
  <c r="F185" i="1"/>
  <c r="L185" i="1"/>
  <c r="J185" i="1"/>
  <c r="H185" i="1"/>
  <c r="I185" i="1"/>
  <c r="G185" i="1"/>
  <c r="K184" i="1"/>
  <c r="F184" i="1"/>
  <c r="L184" i="1"/>
  <c r="J184" i="1"/>
  <c r="H184" i="1"/>
  <c r="I184" i="1"/>
  <c r="G184" i="1"/>
  <c r="K183" i="1"/>
  <c r="F183" i="1"/>
  <c r="L183" i="1"/>
  <c r="J183" i="1"/>
  <c r="H183" i="1"/>
  <c r="I183" i="1"/>
  <c r="G183" i="1"/>
  <c r="K182" i="1"/>
  <c r="F182" i="1"/>
  <c r="L182" i="1"/>
  <c r="J182" i="1"/>
  <c r="H182" i="1"/>
  <c r="I182" i="1"/>
  <c r="G182" i="1"/>
  <c r="K181" i="1"/>
  <c r="F181" i="1"/>
  <c r="L181" i="1"/>
  <c r="J181" i="1"/>
  <c r="H181" i="1"/>
  <c r="I181" i="1"/>
  <c r="G181" i="1"/>
  <c r="K180" i="1"/>
  <c r="F180" i="1"/>
  <c r="L180" i="1"/>
  <c r="J180" i="1"/>
  <c r="H180" i="1"/>
  <c r="I180" i="1"/>
  <c r="G180" i="1"/>
  <c r="K179" i="1"/>
  <c r="F179" i="1"/>
  <c r="L179" i="1"/>
  <c r="J179" i="1"/>
  <c r="H179" i="1"/>
  <c r="I179" i="1"/>
  <c r="G179" i="1"/>
  <c r="K178" i="1"/>
  <c r="F178" i="1"/>
  <c r="L178" i="1"/>
  <c r="J178" i="1"/>
  <c r="H178" i="1"/>
  <c r="I178" i="1"/>
  <c r="G178" i="1"/>
  <c r="K177" i="1"/>
  <c r="F177" i="1"/>
  <c r="L177" i="1"/>
  <c r="J177" i="1"/>
  <c r="H177" i="1"/>
  <c r="I177" i="1"/>
  <c r="G177" i="1"/>
  <c r="K176" i="1"/>
  <c r="F176" i="1"/>
  <c r="L176" i="1"/>
  <c r="J176" i="1"/>
  <c r="H176" i="1"/>
  <c r="I176" i="1"/>
  <c r="G176" i="1"/>
  <c r="K175" i="1"/>
  <c r="F175" i="1"/>
  <c r="L175" i="1"/>
  <c r="J175" i="1"/>
  <c r="H175" i="1"/>
  <c r="I175" i="1"/>
  <c r="G175" i="1"/>
  <c r="K174" i="1"/>
  <c r="F174" i="1"/>
  <c r="L174" i="1"/>
  <c r="J174" i="1"/>
  <c r="H174" i="1"/>
  <c r="I174" i="1"/>
  <c r="G174" i="1"/>
  <c r="K173" i="1"/>
  <c r="F173" i="1"/>
  <c r="L173" i="1"/>
  <c r="J173" i="1"/>
  <c r="H173" i="1"/>
  <c r="I173" i="1"/>
  <c r="G173" i="1"/>
  <c r="K172" i="1"/>
  <c r="F172" i="1"/>
  <c r="L172" i="1"/>
  <c r="J172" i="1"/>
  <c r="H172" i="1"/>
  <c r="I172" i="1"/>
  <c r="G172" i="1"/>
  <c r="K171" i="1"/>
  <c r="F171" i="1"/>
  <c r="L171" i="1"/>
  <c r="J171" i="1"/>
  <c r="H171" i="1"/>
  <c r="I171" i="1"/>
  <c r="G171" i="1"/>
  <c r="K170" i="1"/>
  <c r="F170" i="1"/>
  <c r="L170" i="1"/>
  <c r="J170" i="1"/>
  <c r="H170" i="1"/>
  <c r="I170" i="1"/>
  <c r="G170" i="1"/>
  <c r="K169" i="1"/>
  <c r="F169" i="1"/>
  <c r="L169" i="1"/>
  <c r="J169" i="1"/>
  <c r="H169" i="1"/>
  <c r="I169" i="1"/>
  <c r="G169" i="1"/>
  <c r="K168" i="1"/>
  <c r="F168" i="1"/>
  <c r="L168" i="1"/>
  <c r="J168" i="1"/>
  <c r="H168" i="1"/>
  <c r="I168" i="1"/>
  <c r="G168" i="1"/>
  <c r="K167" i="1"/>
  <c r="F167" i="1"/>
  <c r="L167" i="1"/>
  <c r="J167" i="1"/>
  <c r="H167" i="1"/>
  <c r="I167" i="1"/>
  <c r="G167" i="1"/>
  <c r="K166" i="1"/>
  <c r="F166" i="1"/>
  <c r="L166" i="1"/>
  <c r="J166" i="1"/>
  <c r="H166" i="1"/>
  <c r="I166" i="1"/>
  <c r="G166" i="1"/>
  <c r="K165" i="1"/>
  <c r="F165" i="1"/>
  <c r="L165" i="1"/>
  <c r="J165" i="1"/>
  <c r="H165" i="1"/>
  <c r="I165" i="1"/>
  <c r="G165" i="1"/>
  <c r="K164" i="1"/>
  <c r="F164" i="1"/>
  <c r="L164" i="1"/>
  <c r="J164" i="1"/>
  <c r="H164" i="1"/>
  <c r="I164" i="1"/>
  <c r="G164" i="1"/>
  <c r="K163" i="1"/>
  <c r="F163" i="1"/>
  <c r="L163" i="1"/>
  <c r="J163" i="1"/>
  <c r="H163" i="1"/>
  <c r="I163" i="1"/>
  <c r="G163" i="1"/>
  <c r="K162" i="1"/>
  <c r="F162" i="1"/>
  <c r="L162" i="1"/>
  <c r="J162" i="1"/>
  <c r="H162" i="1"/>
  <c r="I162" i="1"/>
  <c r="G162" i="1"/>
  <c r="K161" i="1"/>
  <c r="F161" i="1"/>
  <c r="L161" i="1"/>
  <c r="J161" i="1"/>
  <c r="H161" i="1"/>
  <c r="I161" i="1"/>
  <c r="G161" i="1"/>
  <c r="K160" i="1"/>
  <c r="F160" i="1"/>
  <c r="L160" i="1"/>
  <c r="J160" i="1"/>
  <c r="H160" i="1"/>
  <c r="I160" i="1"/>
  <c r="G160" i="1"/>
  <c r="K159" i="1"/>
  <c r="F159" i="1"/>
  <c r="L159" i="1"/>
  <c r="J159" i="1"/>
  <c r="H159" i="1"/>
  <c r="I159" i="1"/>
  <c r="G159" i="1"/>
  <c r="K158" i="1"/>
  <c r="F158" i="1"/>
  <c r="L158" i="1"/>
  <c r="J158" i="1"/>
  <c r="H158" i="1"/>
  <c r="I158" i="1"/>
  <c r="G158" i="1"/>
  <c r="K157" i="1"/>
  <c r="F157" i="1"/>
  <c r="L157" i="1"/>
  <c r="J157" i="1"/>
  <c r="H157" i="1"/>
  <c r="I157" i="1"/>
  <c r="G157" i="1"/>
  <c r="K156" i="1"/>
  <c r="F156" i="1"/>
  <c r="L156" i="1"/>
  <c r="J156" i="1"/>
  <c r="H156" i="1"/>
  <c r="I156" i="1"/>
  <c r="G156" i="1"/>
  <c r="K155" i="1"/>
  <c r="F155" i="1"/>
  <c r="L155" i="1"/>
  <c r="J155" i="1"/>
  <c r="H155" i="1"/>
  <c r="I155" i="1"/>
  <c r="G155" i="1"/>
  <c r="K154" i="1"/>
  <c r="F154" i="1"/>
  <c r="L154" i="1"/>
  <c r="J154" i="1"/>
  <c r="H154" i="1"/>
  <c r="I154" i="1"/>
  <c r="G154" i="1"/>
  <c r="K153" i="1"/>
  <c r="F153" i="1"/>
  <c r="L153" i="1"/>
  <c r="J153" i="1"/>
  <c r="H153" i="1"/>
  <c r="I153" i="1"/>
  <c r="G153" i="1"/>
  <c r="K152" i="1"/>
  <c r="F152" i="1"/>
  <c r="L152" i="1"/>
  <c r="J152" i="1"/>
  <c r="H152" i="1"/>
  <c r="I152" i="1"/>
  <c r="G152" i="1"/>
  <c r="K151" i="1"/>
  <c r="F151" i="1"/>
  <c r="L151" i="1"/>
  <c r="J151" i="1"/>
  <c r="H151" i="1"/>
  <c r="I151" i="1"/>
  <c r="G151" i="1"/>
  <c r="K150" i="1"/>
  <c r="F150" i="1"/>
  <c r="L150" i="1"/>
  <c r="J150" i="1"/>
  <c r="H150" i="1"/>
  <c r="I150" i="1"/>
  <c r="G150" i="1"/>
  <c r="K149" i="1"/>
  <c r="F149" i="1"/>
  <c r="L149" i="1"/>
  <c r="J149" i="1"/>
  <c r="H149" i="1"/>
  <c r="I149" i="1"/>
  <c r="G149" i="1"/>
  <c r="K148" i="1"/>
  <c r="F148" i="1"/>
  <c r="L148" i="1"/>
  <c r="J148" i="1"/>
  <c r="H148" i="1"/>
  <c r="I148" i="1"/>
  <c r="G148" i="1"/>
  <c r="K147" i="1"/>
  <c r="F147" i="1"/>
  <c r="L147" i="1"/>
  <c r="J147" i="1"/>
  <c r="H147" i="1"/>
  <c r="I147" i="1"/>
  <c r="G147" i="1"/>
  <c r="K146" i="1"/>
  <c r="F146" i="1"/>
  <c r="L146" i="1"/>
  <c r="J146" i="1"/>
  <c r="H146" i="1"/>
  <c r="I146" i="1"/>
  <c r="G146" i="1"/>
  <c r="K145" i="1"/>
  <c r="F145" i="1"/>
  <c r="L145" i="1"/>
  <c r="J145" i="1"/>
  <c r="H145" i="1"/>
  <c r="I145" i="1"/>
  <c r="G145" i="1"/>
  <c r="K144" i="1"/>
  <c r="F144" i="1"/>
  <c r="L144" i="1"/>
  <c r="J144" i="1"/>
  <c r="H144" i="1"/>
  <c r="I144" i="1"/>
  <c r="G144" i="1"/>
  <c r="K143" i="1"/>
  <c r="F143" i="1"/>
  <c r="L143" i="1"/>
  <c r="J143" i="1"/>
  <c r="H143" i="1"/>
  <c r="I143" i="1"/>
  <c r="G143" i="1"/>
  <c r="K142" i="1"/>
  <c r="F142" i="1"/>
  <c r="L142" i="1"/>
  <c r="J142" i="1"/>
  <c r="H142" i="1"/>
  <c r="I142" i="1"/>
  <c r="G142" i="1"/>
  <c r="K141" i="1"/>
  <c r="F141" i="1"/>
  <c r="L141" i="1"/>
  <c r="J141" i="1"/>
  <c r="H141" i="1"/>
  <c r="I141" i="1"/>
  <c r="G141" i="1"/>
  <c r="K140" i="1"/>
  <c r="F140" i="1"/>
  <c r="L140" i="1"/>
  <c r="J140" i="1"/>
  <c r="H140" i="1"/>
  <c r="I140" i="1"/>
  <c r="G140" i="1"/>
  <c r="K139" i="1"/>
  <c r="F139" i="1"/>
  <c r="L139" i="1"/>
  <c r="J139" i="1"/>
  <c r="H139" i="1"/>
  <c r="I139" i="1"/>
  <c r="G139" i="1"/>
  <c r="K138" i="1"/>
  <c r="F138" i="1"/>
  <c r="L138" i="1"/>
  <c r="J138" i="1"/>
  <c r="H138" i="1"/>
  <c r="I138" i="1"/>
  <c r="G138" i="1"/>
  <c r="K137" i="1"/>
  <c r="F137" i="1"/>
  <c r="L137" i="1"/>
  <c r="J137" i="1"/>
  <c r="H137" i="1"/>
  <c r="I137" i="1"/>
  <c r="G137" i="1"/>
  <c r="K136" i="1"/>
  <c r="F136" i="1"/>
  <c r="L136" i="1"/>
  <c r="J136" i="1"/>
  <c r="H136" i="1"/>
  <c r="I136" i="1"/>
  <c r="G136" i="1"/>
  <c r="K135" i="1"/>
  <c r="F135" i="1"/>
  <c r="L135" i="1"/>
  <c r="J135" i="1"/>
  <c r="H135" i="1"/>
  <c r="I135" i="1"/>
  <c r="G135" i="1"/>
  <c r="K134" i="1"/>
  <c r="F134" i="1"/>
  <c r="L134" i="1"/>
  <c r="J134" i="1"/>
  <c r="H134" i="1"/>
  <c r="I134" i="1"/>
  <c r="G134" i="1"/>
  <c r="K133" i="1"/>
  <c r="F133" i="1"/>
  <c r="L133" i="1"/>
  <c r="J133" i="1"/>
  <c r="H133" i="1"/>
  <c r="I133" i="1"/>
  <c r="G133" i="1"/>
  <c r="K132" i="1"/>
  <c r="F132" i="1"/>
  <c r="L132" i="1"/>
  <c r="J132" i="1"/>
  <c r="H132" i="1"/>
  <c r="I132" i="1"/>
  <c r="G132" i="1"/>
  <c r="K131" i="1"/>
  <c r="F131" i="1"/>
  <c r="L131" i="1"/>
  <c r="J131" i="1"/>
  <c r="H131" i="1"/>
  <c r="I131" i="1"/>
  <c r="G131" i="1"/>
  <c r="K130" i="1"/>
  <c r="F130" i="1"/>
  <c r="L130" i="1"/>
  <c r="J130" i="1"/>
  <c r="H130" i="1"/>
  <c r="I130" i="1"/>
  <c r="G130" i="1"/>
  <c r="K129" i="1"/>
  <c r="F129" i="1"/>
  <c r="L129" i="1"/>
  <c r="J129" i="1"/>
  <c r="H129" i="1"/>
  <c r="I129" i="1"/>
  <c r="G129" i="1"/>
  <c r="K128" i="1"/>
  <c r="F128" i="1"/>
  <c r="L128" i="1"/>
  <c r="J128" i="1"/>
  <c r="H128" i="1"/>
  <c r="I128" i="1"/>
  <c r="G128" i="1"/>
  <c r="K127" i="1"/>
  <c r="F127" i="1"/>
  <c r="L127" i="1"/>
  <c r="J127" i="1"/>
  <c r="H127" i="1"/>
  <c r="I127" i="1"/>
  <c r="G127" i="1"/>
  <c r="K126" i="1"/>
  <c r="L126" i="1"/>
  <c r="J126" i="1"/>
  <c r="F126" i="1"/>
  <c r="H126" i="1"/>
  <c r="I126" i="1"/>
  <c r="G126" i="1"/>
  <c r="K125" i="1"/>
  <c r="F125" i="1"/>
  <c r="L125" i="1"/>
  <c r="J125" i="1"/>
  <c r="H125" i="1"/>
  <c r="I125" i="1"/>
  <c r="G125" i="1"/>
  <c r="K124" i="1"/>
  <c r="F124" i="1"/>
  <c r="L124" i="1"/>
  <c r="J124" i="1"/>
  <c r="H124" i="1"/>
  <c r="I124" i="1"/>
  <c r="G124" i="1"/>
  <c r="K123" i="1"/>
  <c r="F123" i="1"/>
  <c r="L123" i="1"/>
  <c r="J123" i="1"/>
  <c r="H123" i="1"/>
  <c r="I123" i="1"/>
  <c r="G123" i="1"/>
  <c r="K122" i="1"/>
  <c r="F122" i="1"/>
  <c r="L122" i="1"/>
  <c r="J122" i="1"/>
  <c r="H122" i="1"/>
  <c r="I122" i="1"/>
  <c r="G122" i="1"/>
  <c r="K121" i="1"/>
  <c r="F121" i="1"/>
  <c r="L121" i="1"/>
  <c r="J121" i="1"/>
  <c r="H121" i="1"/>
  <c r="I121" i="1"/>
  <c r="G121" i="1"/>
  <c r="K120" i="1"/>
  <c r="F120" i="1"/>
  <c r="L120" i="1"/>
  <c r="J120" i="1"/>
  <c r="H120" i="1"/>
  <c r="I120" i="1"/>
  <c r="G120" i="1"/>
  <c r="K119" i="1"/>
  <c r="F119" i="1"/>
  <c r="L119" i="1"/>
  <c r="J119" i="1"/>
  <c r="H119" i="1"/>
  <c r="I119" i="1"/>
  <c r="G119" i="1"/>
  <c r="K118" i="1"/>
  <c r="F118" i="1"/>
  <c r="L118" i="1"/>
  <c r="J118" i="1"/>
  <c r="H118" i="1"/>
  <c r="I118" i="1"/>
  <c r="G118" i="1"/>
  <c r="K117" i="1"/>
  <c r="F117" i="1"/>
  <c r="L117" i="1"/>
  <c r="J117" i="1"/>
  <c r="H117" i="1"/>
  <c r="I117" i="1"/>
  <c r="G117" i="1"/>
  <c r="K116" i="1"/>
  <c r="F116" i="1"/>
  <c r="L116" i="1"/>
  <c r="J116" i="1"/>
  <c r="H116" i="1"/>
  <c r="I116" i="1"/>
  <c r="G116" i="1"/>
  <c r="K115" i="1"/>
  <c r="F115" i="1"/>
  <c r="L115" i="1"/>
  <c r="J115" i="1"/>
  <c r="H115" i="1"/>
  <c r="I115" i="1"/>
  <c r="G115" i="1"/>
  <c r="K114" i="1"/>
  <c r="F114" i="1"/>
  <c r="L114" i="1"/>
  <c r="J114" i="1"/>
  <c r="H114" i="1"/>
  <c r="I114" i="1"/>
  <c r="G114" i="1"/>
  <c r="K113" i="1"/>
  <c r="F113" i="1"/>
  <c r="L113" i="1"/>
  <c r="J113" i="1"/>
  <c r="H113" i="1"/>
  <c r="I113" i="1"/>
  <c r="G113" i="1"/>
  <c r="K112" i="1"/>
  <c r="F112" i="1"/>
  <c r="L112" i="1"/>
  <c r="J112" i="1"/>
  <c r="H112" i="1"/>
  <c r="I112" i="1"/>
  <c r="G112" i="1"/>
  <c r="K111" i="1"/>
  <c r="F111" i="1"/>
  <c r="L111" i="1"/>
  <c r="J111" i="1"/>
  <c r="H111" i="1"/>
  <c r="I111" i="1"/>
  <c r="G111" i="1"/>
  <c r="K110" i="1"/>
  <c r="F110" i="1"/>
  <c r="L110" i="1"/>
  <c r="J110" i="1"/>
  <c r="H110" i="1"/>
  <c r="I110" i="1"/>
  <c r="G110" i="1"/>
  <c r="K109" i="1"/>
  <c r="F109" i="1"/>
  <c r="L109" i="1"/>
  <c r="J109" i="1"/>
  <c r="H109" i="1"/>
  <c r="I109" i="1"/>
  <c r="G109" i="1"/>
  <c r="K108" i="1"/>
  <c r="F108" i="1"/>
  <c r="L108" i="1"/>
  <c r="J108" i="1"/>
  <c r="H108" i="1"/>
  <c r="I108" i="1"/>
  <c r="G108" i="1"/>
  <c r="K107" i="1"/>
  <c r="F107" i="1"/>
  <c r="L107" i="1"/>
  <c r="J107" i="1"/>
  <c r="H107" i="1"/>
  <c r="I107" i="1"/>
  <c r="G107" i="1"/>
  <c r="K106" i="1"/>
  <c r="F106" i="1"/>
  <c r="L106" i="1"/>
  <c r="J106" i="1"/>
  <c r="H106" i="1"/>
  <c r="I106" i="1"/>
  <c r="G106" i="1"/>
  <c r="K105" i="1"/>
  <c r="F105" i="1"/>
  <c r="L105" i="1"/>
  <c r="J105" i="1"/>
  <c r="H105" i="1"/>
  <c r="I105" i="1"/>
  <c r="G105" i="1"/>
  <c r="K104" i="1"/>
  <c r="F104" i="1"/>
  <c r="L104" i="1"/>
  <c r="J104" i="1"/>
  <c r="H104" i="1"/>
  <c r="I104" i="1"/>
  <c r="G104" i="1"/>
  <c r="K103" i="1"/>
  <c r="F103" i="1"/>
  <c r="L103" i="1"/>
  <c r="J103" i="1"/>
  <c r="H103" i="1"/>
  <c r="I103" i="1"/>
  <c r="G103" i="1"/>
  <c r="K102" i="1"/>
  <c r="F102" i="1"/>
  <c r="L102" i="1"/>
  <c r="J102" i="1"/>
  <c r="H102" i="1"/>
  <c r="I102" i="1"/>
  <c r="G102" i="1"/>
  <c r="K101" i="1"/>
  <c r="F101" i="1"/>
  <c r="L101" i="1"/>
  <c r="J101" i="1"/>
  <c r="H101" i="1"/>
  <c r="I101" i="1"/>
  <c r="G101" i="1"/>
  <c r="K100" i="1"/>
  <c r="F100" i="1"/>
  <c r="L100" i="1"/>
  <c r="J100" i="1"/>
  <c r="H100" i="1"/>
  <c r="I100" i="1"/>
  <c r="G100" i="1"/>
  <c r="K99" i="1"/>
  <c r="F99" i="1"/>
  <c r="L99" i="1"/>
  <c r="J99" i="1"/>
  <c r="H99" i="1"/>
  <c r="I99" i="1"/>
  <c r="G99" i="1"/>
  <c r="K98" i="1"/>
  <c r="F98" i="1"/>
  <c r="L98" i="1"/>
  <c r="J98" i="1"/>
  <c r="H98" i="1"/>
  <c r="I98" i="1"/>
  <c r="G98" i="1"/>
  <c r="K97" i="1"/>
  <c r="F97" i="1"/>
  <c r="L97" i="1"/>
  <c r="J97" i="1"/>
  <c r="H97" i="1"/>
  <c r="I97" i="1"/>
  <c r="G97" i="1"/>
  <c r="K96" i="1"/>
  <c r="F96" i="1"/>
  <c r="L96" i="1"/>
  <c r="J96" i="1"/>
  <c r="H96" i="1"/>
  <c r="I96" i="1"/>
  <c r="G96" i="1"/>
  <c r="K95" i="1"/>
  <c r="F95" i="1"/>
  <c r="L95" i="1"/>
  <c r="J95" i="1"/>
  <c r="H95" i="1"/>
  <c r="I95" i="1"/>
  <c r="G95" i="1"/>
  <c r="K94" i="1"/>
  <c r="F94" i="1"/>
  <c r="L94" i="1"/>
  <c r="J94" i="1"/>
  <c r="H94" i="1"/>
  <c r="I94" i="1"/>
  <c r="G94" i="1"/>
  <c r="K93" i="1"/>
  <c r="F93" i="1"/>
  <c r="L93" i="1"/>
  <c r="J93" i="1"/>
  <c r="H93" i="1"/>
  <c r="I93" i="1"/>
  <c r="G93" i="1"/>
  <c r="K92" i="1"/>
  <c r="F92" i="1"/>
  <c r="L92" i="1"/>
  <c r="J92" i="1"/>
  <c r="H92" i="1"/>
  <c r="I92" i="1"/>
  <c r="G92" i="1"/>
  <c r="K91" i="1"/>
  <c r="F91" i="1"/>
  <c r="L91" i="1"/>
  <c r="J91" i="1"/>
  <c r="H91" i="1"/>
  <c r="I91" i="1"/>
  <c r="G91" i="1"/>
  <c r="K90" i="1"/>
  <c r="F90" i="1"/>
  <c r="L90" i="1"/>
  <c r="J90" i="1"/>
  <c r="H90" i="1"/>
  <c r="I90" i="1"/>
  <c r="G90" i="1"/>
  <c r="K89" i="1"/>
  <c r="F89" i="1"/>
  <c r="L89" i="1"/>
  <c r="J89" i="1"/>
  <c r="H89" i="1"/>
  <c r="I89" i="1"/>
  <c r="G89" i="1"/>
  <c r="K88" i="1"/>
  <c r="F88" i="1"/>
  <c r="L88" i="1"/>
  <c r="J88" i="1"/>
  <c r="H88" i="1"/>
  <c r="I88" i="1"/>
  <c r="G88" i="1"/>
  <c r="K87" i="1"/>
  <c r="F87" i="1"/>
  <c r="L87" i="1"/>
  <c r="J87" i="1"/>
  <c r="H87" i="1"/>
  <c r="I87" i="1"/>
  <c r="G87" i="1"/>
  <c r="K86" i="1"/>
  <c r="F86" i="1"/>
  <c r="L86" i="1"/>
  <c r="J86" i="1"/>
  <c r="H86" i="1"/>
  <c r="I86" i="1"/>
  <c r="G86" i="1"/>
  <c r="K85" i="1"/>
  <c r="F85" i="1"/>
  <c r="L85" i="1"/>
  <c r="J85" i="1"/>
  <c r="H85" i="1"/>
  <c r="I85" i="1"/>
  <c r="G85" i="1"/>
  <c r="K84" i="1"/>
  <c r="F84" i="1"/>
  <c r="L84" i="1"/>
  <c r="J84" i="1"/>
  <c r="H84" i="1"/>
  <c r="I84" i="1"/>
  <c r="G84" i="1"/>
  <c r="K83" i="1"/>
  <c r="F83" i="1"/>
  <c r="L83" i="1"/>
  <c r="J83" i="1"/>
  <c r="H83" i="1"/>
  <c r="I83" i="1"/>
  <c r="G83" i="1"/>
  <c r="K82" i="1"/>
  <c r="F82" i="1"/>
  <c r="L82" i="1"/>
  <c r="J82" i="1"/>
  <c r="H82" i="1"/>
  <c r="I82" i="1"/>
  <c r="G82" i="1"/>
  <c r="K81" i="1"/>
  <c r="F81" i="1"/>
  <c r="L81" i="1"/>
  <c r="J81" i="1"/>
  <c r="H81" i="1"/>
  <c r="I81" i="1"/>
  <c r="G81" i="1"/>
  <c r="K80" i="1"/>
  <c r="F80" i="1"/>
  <c r="L80" i="1"/>
  <c r="J80" i="1"/>
  <c r="H80" i="1"/>
  <c r="I80" i="1"/>
  <c r="G80" i="1"/>
  <c r="K79" i="1"/>
  <c r="F79" i="1"/>
  <c r="L79" i="1"/>
  <c r="J79" i="1"/>
  <c r="H79" i="1"/>
  <c r="I79" i="1"/>
  <c r="G79" i="1"/>
  <c r="K78" i="1"/>
  <c r="F78" i="1"/>
  <c r="L78" i="1"/>
  <c r="J78" i="1"/>
  <c r="H78" i="1"/>
  <c r="I78" i="1"/>
  <c r="G78" i="1"/>
  <c r="K77" i="1"/>
  <c r="F77" i="1"/>
  <c r="L77" i="1"/>
  <c r="J77" i="1"/>
  <c r="H77" i="1"/>
  <c r="I77" i="1"/>
  <c r="G77" i="1"/>
  <c r="K76" i="1"/>
  <c r="L76" i="1"/>
  <c r="J76" i="1"/>
  <c r="F76" i="1"/>
  <c r="H76" i="1"/>
  <c r="I76" i="1"/>
  <c r="G76" i="1"/>
  <c r="K75" i="1"/>
  <c r="F75" i="1"/>
  <c r="L75" i="1"/>
  <c r="J75" i="1"/>
  <c r="H75" i="1"/>
  <c r="I75" i="1"/>
  <c r="G75" i="1"/>
  <c r="K74" i="1"/>
  <c r="F74" i="1"/>
  <c r="L74" i="1"/>
  <c r="J74" i="1"/>
  <c r="H74" i="1"/>
  <c r="I74" i="1"/>
  <c r="G74" i="1"/>
  <c r="K73" i="1"/>
  <c r="F73" i="1"/>
  <c r="L73" i="1"/>
  <c r="J73" i="1"/>
  <c r="H73" i="1"/>
  <c r="I73" i="1"/>
  <c r="G73" i="1"/>
  <c r="K72" i="1"/>
  <c r="F72" i="1"/>
  <c r="L72" i="1"/>
  <c r="J72" i="1"/>
  <c r="H72" i="1"/>
  <c r="I72" i="1"/>
  <c r="G72" i="1"/>
  <c r="K71" i="1"/>
  <c r="F71" i="1"/>
  <c r="L71" i="1"/>
  <c r="J71" i="1"/>
  <c r="H71" i="1"/>
  <c r="I71" i="1"/>
  <c r="G71" i="1"/>
  <c r="K70" i="1"/>
  <c r="F70" i="1"/>
  <c r="L70" i="1"/>
  <c r="J70" i="1"/>
  <c r="H70" i="1"/>
  <c r="I70" i="1"/>
  <c r="G70" i="1"/>
  <c r="K69" i="1"/>
  <c r="F69" i="1"/>
  <c r="L69" i="1"/>
  <c r="J69" i="1"/>
  <c r="H69" i="1"/>
  <c r="I69" i="1"/>
  <c r="G69" i="1"/>
  <c r="K68" i="1"/>
  <c r="F68" i="1"/>
  <c r="L68" i="1"/>
  <c r="J68" i="1"/>
  <c r="H68" i="1"/>
  <c r="I68" i="1"/>
  <c r="G68" i="1"/>
  <c r="K67" i="1"/>
  <c r="F67" i="1"/>
  <c r="L67" i="1"/>
  <c r="J67" i="1"/>
  <c r="H67" i="1"/>
  <c r="I67" i="1"/>
  <c r="G67" i="1"/>
  <c r="K66" i="1"/>
  <c r="F66" i="1"/>
  <c r="L66" i="1"/>
  <c r="J66" i="1"/>
  <c r="H66" i="1"/>
  <c r="I66" i="1"/>
  <c r="G66" i="1"/>
  <c r="K65" i="1"/>
  <c r="F65" i="1"/>
  <c r="L65" i="1"/>
  <c r="J65" i="1"/>
  <c r="H65" i="1"/>
  <c r="I65" i="1"/>
  <c r="G65" i="1"/>
  <c r="K64" i="1"/>
  <c r="F64" i="1"/>
  <c r="L64" i="1"/>
  <c r="J64" i="1"/>
  <c r="H64" i="1"/>
  <c r="I64" i="1"/>
  <c r="G64" i="1"/>
  <c r="K63" i="1"/>
  <c r="F63" i="1"/>
  <c r="L63" i="1"/>
  <c r="J63" i="1"/>
  <c r="H63" i="1"/>
  <c r="I63" i="1"/>
  <c r="G63" i="1"/>
  <c r="K62" i="1"/>
  <c r="F62" i="1"/>
  <c r="L62" i="1"/>
  <c r="J62" i="1"/>
  <c r="H62" i="1"/>
  <c r="I62" i="1"/>
  <c r="G62" i="1"/>
  <c r="K61" i="1"/>
  <c r="F61" i="1"/>
  <c r="L61" i="1"/>
  <c r="J61" i="1"/>
  <c r="H61" i="1"/>
  <c r="I61" i="1"/>
  <c r="G61" i="1"/>
  <c r="K60" i="1"/>
  <c r="F60" i="1"/>
  <c r="L60" i="1"/>
  <c r="J60" i="1"/>
  <c r="H60" i="1"/>
  <c r="I60" i="1"/>
  <c r="G60" i="1"/>
  <c r="K59" i="1"/>
  <c r="F59" i="1"/>
  <c r="L59" i="1"/>
  <c r="J59" i="1"/>
  <c r="H59" i="1"/>
  <c r="I59" i="1"/>
  <c r="G59" i="1"/>
  <c r="K58" i="1"/>
  <c r="F58" i="1"/>
  <c r="L58" i="1"/>
  <c r="J58" i="1"/>
  <c r="H58" i="1"/>
  <c r="I58" i="1"/>
  <c r="G58" i="1"/>
  <c r="K57" i="1"/>
  <c r="F57" i="1"/>
  <c r="L57" i="1"/>
  <c r="J57" i="1"/>
  <c r="H57" i="1"/>
  <c r="I57" i="1"/>
  <c r="G57" i="1"/>
  <c r="K56" i="1"/>
  <c r="F56" i="1"/>
  <c r="L56" i="1"/>
  <c r="J56" i="1"/>
  <c r="H56" i="1"/>
  <c r="I56" i="1"/>
  <c r="G56" i="1"/>
  <c r="K55" i="1"/>
  <c r="F55" i="1"/>
  <c r="L55" i="1"/>
  <c r="J55" i="1"/>
  <c r="H55" i="1"/>
  <c r="I55" i="1"/>
  <c r="G55" i="1"/>
  <c r="K54" i="1"/>
  <c r="F54" i="1"/>
  <c r="L54" i="1"/>
  <c r="J54" i="1"/>
  <c r="H54" i="1"/>
  <c r="I54" i="1"/>
  <c r="G54" i="1"/>
  <c r="K53" i="1"/>
  <c r="F53" i="1"/>
  <c r="L53" i="1"/>
  <c r="J53" i="1"/>
  <c r="H53" i="1"/>
  <c r="I53" i="1"/>
  <c r="G53" i="1"/>
  <c r="K52" i="1"/>
  <c r="F52" i="1"/>
  <c r="L52" i="1"/>
  <c r="J52" i="1"/>
  <c r="H52" i="1"/>
  <c r="I52" i="1"/>
  <c r="G52" i="1"/>
  <c r="K51" i="1"/>
  <c r="F51" i="1"/>
  <c r="L51" i="1"/>
  <c r="J51" i="1"/>
  <c r="H51" i="1"/>
  <c r="I51" i="1"/>
  <c r="G51" i="1"/>
  <c r="K50" i="1"/>
  <c r="F50" i="1"/>
  <c r="L50" i="1"/>
  <c r="J50" i="1"/>
  <c r="H50" i="1"/>
  <c r="I50" i="1"/>
  <c r="G50" i="1"/>
  <c r="K49" i="1"/>
  <c r="F49" i="1"/>
  <c r="L49" i="1"/>
  <c r="J49" i="1"/>
  <c r="H49" i="1"/>
  <c r="I49" i="1"/>
  <c r="G49" i="1"/>
  <c r="K48" i="1"/>
  <c r="F48" i="1"/>
  <c r="L48" i="1"/>
  <c r="J48" i="1"/>
  <c r="H48" i="1"/>
  <c r="I48" i="1"/>
  <c r="G48" i="1"/>
  <c r="K47" i="1"/>
  <c r="F47" i="1"/>
  <c r="L47" i="1"/>
  <c r="J47" i="1"/>
  <c r="H47" i="1"/>
  <c r="I47" i="1"/>
  <c r="G47" i="1"/>
  <c r="K46" i="1"/>
  <c r="F46" i="1"/>
  <c r="L46" i="1"/>
  <c r="J46" i="1"/>
  <c r="H46" i="1"/>
  <c r="I46" i="1"/>
  <c r="G46" i="1"/>
  <c r="K45" i="1"/>
  <c r="F45" i="1"/>
  <c r="L45" i="1"/>
  <c r="J45" i="1"/>
  <c r="H45" i="1"/>
  <c r="I45" i="1"/>
  <c r="G45" i="1"/>
  <c r="K44" i="1"/>
  <c r="F44" i="1"/>
  <c r="L44" i="1"/>
  <c r="J44" i="1"/>
  <c r="H44" i="1"/>
  <c r="I44" i="1"/>
  <c r="G44" i="1"/>
  <c r="K43" i="1"/>
  <c r="F43" i="1"/>
  <c r="L43" i="1"/>
  <c r="J43" i="1"/>
  <c r="H43" i="1"/>
  <c r="I43" i="1"/>
  <c r="G43" i="1"/>
  <c r="F40" i="1"/>
  <c r="F41" i="1"/>
  <c r="B15" i="1"/>
  <c r="F15" i="1"/>
  <c r="E42" i="1"/>
  <c r="F42" i="1"/>
  <c r="K40" i="1"/>
  <c r="K41" i="1"/>
  <c r="K37" i="1"/>
  <c r="E11" i="1"/>
  <c r="G12" i="1"/>
  <c r="E24" i="1"/>
  <c r="E19" i="1"/>
  <c r="E18" i="1"/>
  <c r="E16" i="1"/>
  <c r="E15" i="1"/>
  <c r="E14" i="1"/>
  <c r="E13" i="1"/>
  <c r="H42" i="1"/>
  <c r="I42" i="1"/>
  <c r="H39" i="1"/>
  <c r="H40" i="1"/>
  <c r="K42" i="1"/>
  <c r="J42" i="1"/>
  <c r="C41" i="1"/>
  <c r="F26" i="1"/>
  <c r="F25" i="1"/>
  <c r="F24" i="1"/>
  <c r="L41" i="1"/>
  <c r="L42" i="1"/>
  <c r="G42" i="1"/>
  <c r="B42" i="1"/>
  <c r="B5" i="1"/>
  <c r="B4" i="1"/>
  <c r="B3" i="1"/>
  <c r="B2" i="1"/>
</calcChain>
</file>

<file path=xl/sharedStrings.xml><?xml version="1.0" encoding="utf-8"?>
<sst xmlns="http://schemas.openxmlformats.org/spreadsheetml/2006/main" count="299" uniqueCount="299">
  <si>
    <t>Gaap</t>
  </si>
  <si>
    <t>Integration_Rate</t>
  </si>
  <si>
    <t>Legal_Organization</t>
  </si>
  <si>
    <t>D</t>
  </si>
  <si>
    <t>N</t>
  </si>
  <si>
    <t>[Begin Format Range]</t>
  </si>
  <si>
    <t>[End Format Range]</t>
  </si>
  <si>
    <t>TPL10_dest_nosub</t>
  </si>
  <si>
    <t>Choix</t>
  </si>
  <si>
    <t>helper</t>
  </si>
  <si>
    <t>helper2</t>
  </si>
  <si>
    <t>helper3</t>
  </si>
  <si>
    <t>Actual Month</t>
  </si>
  <si>
    <t>Default Orga</t>
  </si>
  <si>
    <t>: EBIT</t>
  </si>
  <si>
    <t>DEBUG OFF</t>
  </si>
  <si>
    <t>tango_core_model:</t>
  </si>
  <si>
    <t>FR_7518</t>
  </si>
  <si>
    <t>FR_7526</t>
  </si>
  <si>
    <t>FR_086</t>
  </si>
  <si>
    <t>FR_4214</t>
  </si>
  <si>
    <t>FR_7514</t>
  </si>
  <si>
    <t>FR_I108</t>
  </si>
  <si>
    <t>FR_7520</t>
  </si>
  <si>
    <t>FR_7511</t>
  </si>
  <si>
    <t>BESANÇON MOBILITÉS (UM)</t>
  </si>
  <si>
    <t>VEOLIA TRANSDEV NANCY (UM)</t>
  </si>
  <si>
    <t>SUD EST MOBILITES (UM)</t>
  </si>
  <si>
    <t>TDAM (UM)</t>
  </si>
  <si>
    <t>TDU ANTIBES (UM)</t>
  </si>
  <si>
    <t>RMTT (UM)</t>
  </si>
  <si>
    <t>SNAA (UM)</t>
  </si>
  <si>
    <t>CAP (UM)</t>
  </si>
  <si>
    <t>TAB (UM)</t>
  </si>
  <si>
    <t>CROLARD SA (UM)</t>
  </si>
  <si>
    <t>LITTORAL NORD AUTOCARS (UM)</t>
  </si>
  <si>
    <t>VT ARLES (UM)</t>
  </si>
  <si>
    <t>TDU GRASSE (UM)</t>
  </si>
  <si>
    <t>TRANSDEV DAUPHINE (UM)</t>
  </si>
  <si>
    <t>TRANSDEV SUD OUEST (UM)</t>
  </si>
  <si>
    <t>TRANSPORTS PUBLICS DE L'AGGLOMERATION ST (UM)</t>
  </si>
  <si>
    <t>AUTOCARS DE L'AVESNOIS (UM)</t>
  </si>
  <si>
    <t>TRANSPROVENCE (UM)</t>
  </si>
  <si>
    <t>CAP PC (UM)</t>
  </si>
  <si>
    <t>CAT37 (UM)</t>
  </si>
  <si>
    <t>CFTI CANNES (UM)</t>
  </si>
  <si>
    <t>MUSSO (UM)</t>
  </si>
  <si>
    <t>CITRAM PYRENEES (UM)</t>
  </si>
  <si>
    <t>AUTOCARS BLANC (UM)</t>
  </si>
  <si>
    <t>VT FOUGÈRES (UM)</t>
  </si>
  <si>
    <t>TDU BÉZIERS (UM)</t>
  </si>
  <si>
    <t>STDG (UM)</t>
  </si>
  <si>
    <t>RVL (UM)</t>
  </si>
  <si>
    <t>TRANSDEV AUVERGNE (UM)</t>
  </si>
  <si>
    <t>ST DIZIER (UM)</t>
  </si>
  <si>
    <t>STAO PL 49 (UM)</t>
  </si>
  <si>
    <t>TDU SAINT LÔ (UM)</t>
  </si>
  <si>
    <t>TD DRIVE (UM)</t>
  </si>
  <si>
    <t>TDU COGNAC (UM)</t>
  </si>
  <si>
    <t>STE DES TRANSPORTS DU BRIANCONNAIS (UM)</t>
  </si>
  <si>
    <t>SEMAAAS (UM)</t>
  </si>
  <si>
    <t>STAT (UM)</t>
  </si>
  <si>
    <t>OCECARS (UM)</t>
  </si>
  <si>
    <t>VILLENEUVE MOBILITES (UM)</t>
  </si>
  <si>
    <t>AUTOBUS ARTESIENS (UM)</t>
  </si>
  <si>
    <t>VTRA ROYAN (UM)</t>
  </si>
  <si>
    <t>MARTIN FRERES (UM)</t>
  </si>
  <si>
    <t>COURRIERS DE L'AUBE (UM)</t>
  </si>
  <si>
    <t>BUS EST SUD (UM)</t>
  </si>
  <si>
    <t>TD MONT DE MARSAN (UM)</t>
  </si>
  <si>
    <t>Transdev ISTRES (UM)</t>
  </si>
  <si>
    <t>MONEGER (UM)</t>
  </si>
  <si>
    <t>STL (UM)</t>
  </si>
  <si>
    <t>CSQT (UM)</t>
  </si>
  <si>
    <t>ECAUX MOBILITÉ (UM)</t>
  </si>
  <si>
    <t>TRANSPORT BERARD (UM)</t>
  </si>
  <si>
    <t>TDU LA ROCHELLE (UM)</t>
  </si>
  <si>
    <t>BUS EST NORD (UM)</t>
  </si>
  <si>
    <t>GUICHARD (UM)</t>
  </si>
  <si>
    <t>CARS DU PAYS D AIX (UM)</t>
  </si>
  <si>
    <t>PAYS D'OC MOBILITES (UM)</t>
  </si>
  <si>
    <t>VEOLIA TRANSPORT ROANNE (UM)</t>
  </si>
  <si>
    <t>CFTI Bordeaux(UM)</t>
  </si>
  <si>
    <t>STUD (UM)</t>
  </si>
  <si>
    <t>TRANS VAL D'OISE (UM)</t>
  </si>
  <si>
    <t>LDV (UM)</t>
  </si>
  <si>
    <t>VT BRETIGNY (UM)</t>
  </si>
  <si>
    <t>TCC (UM)</t>
  </si>
  <si>
    <t>PONTHIERRY (UM)</t>
  </si>
  <si>
    <t>TRANSDEV NIORT (UM)</t>
  </si>
  <si>
    <t>TRANSDEV PICARDIE (UM)</t>
  </si>
  <si>
    <t>AUTOBUS DE L'ETANG (UM)</t>
  </si>
  <si>
    <t>PREVOST (UM)</t>
  </si>
  <si>
    <t>ESTEREL (UM)</t>
  </si>
  <si>
    <t>VTPR ROCHEFORT (UM)</t>
  </si>
  <si>
    <t>AUTOBUS AUBAGNAIS (UM)</t>
  </si>
  <si>
    <t>BBM (UM)</t>
  </si>
  <si>
    <t>LAON MOBILITÉS (UM)</t>
  </si>
  <si>
    <t>TRANSDEV CHATELLERAULT (UM)</t>
  </si>
  <si>
    <t>TRANSDEV ANGOULÊME (UM)</t>
  </si>
  <si>
    <t>CAT 35 (UM)</t>
  </si>
  <si>
    <t>TDU ARCACHON (UM)</t>
  </si>
  <si>
    <t>CAT 22 (UM)</t>
  </si>
  <si>
    <t>AUTOCARS ALIZES (UM)</t>
  </si>
  <si>
    <t>RCA (UM)</t>
  </si>
  <si>
    <t>STAO PL 53 (UM)</t>
  </si>
  <si>
    <t>CARS ROSES (UM)</t>
  </si>
  <si>
    <t>VULAINES (UM)</t>
  </si>
  <si>
    <t>SVT (UM)</t>
  </si>
  <si>
    <t>CITEA (UM)</t>
  </si>
  <si>
    <t>SABARDU (UM)</t>
  </si>
  <si>
    <t>STDLC (UM)</t>
  </si>
  <si>
    <t>STBC (UM)</t>
  </si>
  <si>
    <t>BREMOND (UM)</t>
  </si>
  <si>
    <t>SNV (UM)</t>
  </si>
  <si>
    <t>SAINT QUENTIN MOBILITÉS (UM)</t>
  </si>
  <si>
    <t>TRANSDEV RAI - SAVOIES (UM)</t>
  </si>
  <si>
    <t>TPV (UM)</t>
  </si>
  <si>
    <t>STAO PL 44 (UM)</t>
  </si>
  <si>
    <t>Territoires Meurthe &amp; Moselle et Vosges</t>
  </si>
  <si>
    <t>TCRA (UM)</t>
  </si>
  <si>
    <t>TVS (UM)</t>
  </si>
  <si>
    <t>MONTESSON LES RABAUX (UM)</t>
  </si>
  <si>
    <t>TVF (UM)</t>
  </si>
  <si>
    <t>TOURNEUX (UM)</t>
  </si>
  <si>
    <t>MONTBLANC BUS (UM)</t>
  </si>
  <si>
    <t>SOLEA (UM)</t>
  </si>
  <si>
    <t>TRANSDEV REIMS (UM)</t>
  </si>
  <si>
    <t>ECQUEVILLY (UM)</t>
  </si>
  <si>
    <t>CFTA CENTRE OUEST (UM)</t>
  </si>
  <si>
    <t>NEMOURS (UM)</t>
  </si>
  <si>
    <t>RAMBOUILLET (UM)</t>
  </si>
  <si>
    <t>HOUDAN (UM)</t>
  </si>
  <si>
    <t>TRAM(UM)</t>
  </si>
  <si>
    <t>INTERVAL (UM)</t>
  </si>
  <si>
    <t>NANTERRE (UM)</t>
  </si>
  <si>
    <t>CAT 29 (UM)</t>
  </si>
  <si>
    <t>CTPO (UM)</t>
  </si>
  <si>
    <t>TEL (UM)</t>
  </si>
  <si>
    <t>TRANSAVOIE (UM)</t>
  </si>
  <si>
    <t>LA BOUCLE (UM)</t>
  </si>
  <si>
    <t>SETRA (UM)</t>
  </si>
  <si>
    <t>N'4 MOBILITES (UM)</t>
  </si>
  <si>
    <t>RLM (UM)</t>
  </si>
  <si>
    <t>COURRIER DE LA GARONNE (UM)</t>
  </si>
  <si>
    <t>ORSAY (UM)</t>
  </si>
  <si>
    <t>CSO  (UM)</t>
  </si>
  <si>
    <t>CONFLANS 78 (UM)</t>
  </si>
  <si>
    <t>CABARO (UM)</t>
  </si>
  <si>
    <t>LIEUSAINT MOISSY (UM)</t>
  </si>
  <si>
    <t>CAT 56 (UM)</t>
  </si>
  <si>
    <t>DG (UM)</t>
  </si>
  <si>
    <t>STAO PL 72 (UM)</t>
  </si>
  <si>
    <t>STRAV (UM)</t>
  </si>
  <si>
    <t>CAP NORD OUEST (UM)</t>
  </si>
  <si>
    <t>Territoire Alsace</t>
  </si>
  <si>
    <t>CEAT (UM)</t>
  </si>
  <si>
    <t>TRA (UM)</t>
  </si>
  <si>
    <t>TMM (UM)</t>
  </si>
  <si>
    <t>AMV (UM)</t>
  </si>
  <si>
    <t>CITRAM AQUITAINE (UM)</t>
  </si>
  <si>
    <t>VOYAGES ET TRANSPORTS DE NORMANDIE (UM)</t>
  </si>
  <si>
    <t>Territoires Meuse et Moselle</t>
  </si>
  <si>
    <t>TRANSDEV RAI - RHODALIA (UM)</t>
  </si>
  <si>
    <t>TVO (UM)</t>
  </si>
  <si>
    <t>Default Legal</t>
  </si>
  <si>
    <t>TPL1_dest</t>
  </si>
  <si>
    <t>TCAR (UM)</t>
  </si>
  <si>
    <t>WASHINGTON METRO</t>
  </si>
  <si>
    <t>SAN</t>
  </si>
  <si>
    <t>TBL Holding</t>
  </si>
  <si>
    <t>Noord and Midden Zeeland</t>
  </si>
  <si>
    <t>GREEN TOMATO CARS</t>
  </si>
  <si>
    <t>Ijsselmond</t>
  </si>
  <si>
    <t>Almere</t>
  </si>
  <si>
    <t>RIVERSIDE</t>
  </si>
  <si>
    <t>CAT</t>
  </si>
  <si>
    <t>UNION COUNTY</t>
  </si>
  <si>
    <t>Noord Holland Noord</t>
  </si>
  <si>
    <t>Foothill Arcadia</t>
  </si>
  <si>
    <t>Ste-Julie</t>
  </si>
  <si>
    <t>SAN DIEGO -ADMINISTRATION</t>
  </si>
  <si>
    <t>Hoekse-Waarde Goeree Overflakkee</t>
  </si>
  <si>
    <t>MODESTO</t>
  </si>
  <si>
    <t>LOUDOUN COUNTY</t>
  </si>
  <si>
    <t>Saxbus Vertrag</t>
  </si>
  <si>
    <t>SAN DIEGO -SOUTH BAY</t>
  </si>
  <si>
    <t>BALTIMORE YELLOW BUS</t>
  </si>
  <si>
    <t>Luas</t>
  </si>
  <si>
    <t>LADOT DASH 1-2-6</t>
  </si>
  <si>
    <t>GER_7958</t>
  </si>
  <si>
    <t>RTL</t>
  </si>
  <si>
    <t>DETROIT</t>
  </si>
  <si>
    <t>Provincie Utrecht</t>
  </si>
  <si>
    <t>Fremantle</t>
  </si>
  <si>
    <t>Lancaster - AVTA</t>
  </si>
  <si>
    <t>Sebring / Desoto Intelliride</t>
  </si>
  <si>
    <t>Scolaire Hautes-Rivières</t>
  </si>
  <si>
    <t>Garage Beloeil</t>
  </si>
  <si>
    <t>Nord-Ostsee-Bus</t>
  </si>
  <si>
    <t>Dépot St-Philippe</t>
  </si>
  <si>
    <t>GER_7959</t>
  </si>
  <si>
    <t>STANFORD UNIVERSITY</t>
  </si>
  <si>
    <t>MONMOUTH, NEW JERSEY</t>
  </si>
  <si>
    <t>ESSEX COUNTY</t>
  </si>
  <si>
    <t>RITAVR</t>
  </si>
  <si>
    <t>Magog</t>
  </si>
  <si>
    <t>San Francisco Call Center</t>
  </si>
  <si>
    <t>Marguerite d'Youville</t>
  </si>
  <si>
    <t>WMATA</t>
  </si>
  <si>
    <t>HINESVILLE</t>
  </si>
  <si>
    <t>TBE (Berlines scolaires)</t>
  </si>
  <si>
    <t>GER_7964</t>
  </si>
  <si>
    <t>Brisbane Ferries (Contract)</t>
  </si>
  <si>
    <t>Bad Segeberg</t>
  </si>
  <si>
    <t>New Orleans - Algiers</t>
  </si>
  <si>
    <t>Seattle Ter</t>
  </si>
  <si>
    <t>COLUMBIA PARATRANSIT</t>
  </si>
  <si>
    <t>BALTIMORE PARA - MTA</t>
  </si>
  <si>
    <t>Limocar Estrie</t>
  </si>
  <si>
    <t>San Francisco Intelliride</t>
  </si>
  <si>
    <t>Seattle Bis</t>
  </si>
  <si>
    <t>Access Pittsburgh Intelliride</t>
  </si>
  <si>
    <t>GER_7960</t>
  </si>
  <si>
    <t>BRIDGEPORT, CT</t>
  </si>
  <si>
    <t>NVG Vertrag</t>
  </si>
  <si>
    <t>YUBA SUTTER</t>
  </si>
  <si>
    <t>COLUMBIA FIXED ROUTE</t>
  </si>
  <si>
    <t>Boston VA Hospital Intelliride</t>
  </si>
  <si>
    <t>RIVER PARISH</t>
  </si>
  <si>
    <t>NVB</t>
  </si>
  <si>
    <t>Limocar Rive-Sud</t>
  </si>
  <si>
    <t>Griensteidl GmbH Vertrag</t>
  </si>
  <si>
    <t>Rohde Husum</t>
  </si>
  <si>
    <t>Hildburghausen</t>
  </si>
  <si>
    <t>East Bay Intelliride</t>
  </si>
  <si>
    <t>SAN JOSE AIRPORT</t>
  </si>
  <si>
    <t>BARSTOW</t>
  </si>
  <si>
    <t>Parkshuttle</t>
  </si>
  <si>
    <t>York</t>
  </si>
  <si>
    <t>Autobus la Sapinière</t>
  </si>
  <si>
    <t>Verwaltung Buscluster 2</t>
  </si>
  <si>
    <t>Personenverkehr GmbH Müritz Vertrag (PVM)</t>
  </si>
  <si>
    <t>Harrogate</t>
  </si>
  <si>
    <t>TEXAS STATE UNIVERSITY</t>
  </si>
  <si>
    <t>YOLO</t>
  </si>
  <si>
    <t>Autobus de l'Estrie</t>
  </si>
  <si>
    <t>Castelo Branco</t>
  </si>
  <si>
    <t>COLUMBIA</t>
  </si>
  <si>
    <t>BTT Vertrag</t>
  </si>
  <si>
    <t>BALTIMORE PARA - BCHD</t>
  </si>
  <si>
    <t>Guimaraes</t>
  </si>
  <si>
    <t>SONOMA COUNTY</t>
  </si>
  <si>
    <t>Coimbra Interior &amp; Litoral</t>
  </si>
  <si>
    <t>PHOENIX RCC SHUTTLE</t>
  </si>
  <si>
    <t>GER_506</t>
  </si>
  <si>
    <t>Burnley</t>
  </si>
  <si>
    <t>Blackburn</t>
  </si>
  <si>
    <t>CIT Chambly-Richelieu-Carignan</t>
  </si>
  <si>
    <t>Keighley</t>
  </si>
  <si>
    <t>Aveiro</t>
  </si>
  <si>
    <t>HUSKIE LINES</t>
  </si>
  <si>
    <t>Rockingham</t>
  </si>
  <si>
    <t>Taeter (Bus)</t>
  </si>
  <si>
    <t>PHOENIX TRANSIT JV</t>
  </si>
  <si>
    <t>TT Vertrag</t>
  </si>
  <si>
    <t>LA COUNTY MTA</t>
  </si>
  <si>
    <t>Voorne Putten</t>
  </si>
  <si>
    <t>HUNTLEIGH</t>
  </si>
  <si>
    <t>Gooi en Vechtstreek</t>
  </si>
  <si>
    <t>SAN DIEGO -EAST COUNTY</t>
  </si>
  <si>
    <t>St-Jean-sur-Richelieu</t>
  </si>
  <si>
    <t>Porto</t>
  </si>
  <si>
    <t>Rohde Ostholstein</t>
  </si>
  <si>
    <t>DENVER RTD</t>
  </si>
  <si>
    <t>CIT Sud-Ouest</t>
  </si>
  <si>
    <t>BALTIMORE CONNECTOR</t>
  </si>
  <si>
    <t>SRE</t>
  </si>
  <si>
    <t>Douro Sul</t>
  </si>
  <si>
    <t>Limocar Vallée du Richelieu</t>
  </si>
  <si>
    <t>Braga Barcelos</t>
  </si>
  <si>
    <t>BOSTON PUBLIC SCHOOLS</t>
  </si>
  <si>
    <t>LAS VEGAS PARATRANSIT</t>
  </si>
  <si>
    <t>Valleilijn</t>
  </si>
  <si>
    <t>Zaanstreek</t>
  </si>
  <si>
    <t>Limocar Basses Laurentides</t>
  </si>
  <si>
    <t>Haarlem Ijmond</t>
  </si>
  <si>
    <t>PG COUNTY</t>
  </si>
  <si>
    <t>SEATTLE</t>
  </si>
  <si>
    <t>Kooperationsvertrag VRS/VVS</t>
  </si>
  <si>
    <t>NASSAU COUNTY -FIXED</t>
  </si>
  <si>
    <t>Melbourne Bus</t>
  </si>
  <si>
    <t>Translink</t>
  </si>
  <si>
    <t>Joondalup</t>
  </si>
  <si>
    <t>NSW Region 10/13 and rail replacement</t>
  </si>
  <si>
    <t>NSW Region 12 and rail replacement</t>
  </si>
  <si>
    <t>Sydney Ferries (Contract)</t>
  </si>
  <si>
    <t>Amstelland Meerlanden</t>
  </si>
  <si>
    <t>Ichthys (Contract)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</si>
</sst>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#,##0.00%;\-#,##0.00%"/>
    <numFmt numFmtId="166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20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9"/>
      <name val="Calibr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9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left" indent="2"/>
    </xf>
    <xf numFmtId="3" fontId="0" fillId="7" borderId="2" xfId="0" applyNumberFormat="1" applyFill="1" applyBorder="1" applyAlignment="1">
      <alignment horizontal="right" indent="2"/>
    </xf>
    <xf numFmtId="3" fontId="0" fillId="6" borderId="2" xfId="0" applyNumberFormat="1" applyFill="1" applyBorder="1" applyAlignment="1">
      <alignment horizontal="right" indent="2"/>
    </xf>
    <xf numFmtId="3" fontId="0" fillId="5" borderId="2" xfId="0" applyNumberFormat="1" applyFill="1" applyBorder="1" applyAlignment="1">
      <alignment horizontal="right" indent="2"/>
    </xf>
    <xf numFmtId="3" fontId="0" fillId="4" borderId="2" xfId="0" applyNumberFormat="1" applyFill="1" applyBorder="1" applyAlignment="1">
      <alignment horizontal="right" indent="2"/>
    </xf>
    <xf numFmtId="3" fontId="2" fillId="3" borderId="2" xfId="0" applyNumberFormat="1" applyFont="1" applyFill="1" applyBorder="1" applyAlignment="1">
      <alignment horizontal="right" indent="2"/>
    </xf>
    <xf numFmtId="3" fontId="0" fillId="8" borderId="2" xfId="0" applyNumberFormat="1" applyFill="1" applyBorder="1" applyAlignment="1">
      <alignment horizontal="right" indent="2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3" borderId="0" xfId="0" applyFill="1" applyBorder="1"/>
    <xf numFmtId="0" fontId="0" fillId="3" borderId="4" xfId="0" applyFill="1" applyBorder="1" applyAlignment="1">
      <alignment horizontal="left"/>
    </xf>
    <xf numFmtId="49" fontId="0" fillId="3" borderId="4" xfId="0" applyNumberFormat="1" applyFill="1" applyBorder="1" applyAlignment="1">
      <alignment horizontal="left"/>
    </xf>
    <xf numFmtId="3" fontId="0" fillId="8" borderId="9" xfId="0" applyNumberFormat="1" applyFill="1" applyBorder="1" applyAlignment="1">
      <alignment horizontal="right" indent="2"/>
    </xf>
    <xf numFmtId="3" fontId="0" fillId="7" borderId="9" xfId="0" applyNumberFormat="1" applyFill="1" applyBorder="1" applyAlignment="1">
      <alignment horizontal="right" indent="2"/>
    </xf>
    <xf numFmtId="3" fontId="0" fillId="6" borderId="9" xfId="0" applyNumberFormat="1" applyFill="1" applyBorder="1" applyAlignment="1">
      <alignment horizontal="right" indent="2"/>
    </xf>
    <xf numFmtId="3" fontId="0" fillId="5" borderId="9" xfId="0" applyNumberFormat="1" applyFill="1" applyBorder="1" applyAlignment="1">
      <alignment horizontal="right" indent="2"/>
    </xf>
    <xf numFmtId="3" fontId="0" fillId="4" borderId="9" xfId="0" applyNumberFormat="1" applyFill="1" applyBorder="1" applyAlignment="1">
      <alignment horizontal="right" indent="2"/>
    </xf>
    <xf numFmtId="164" fontId="0" fillId="3" borderId="10" xfId="0" applyNumberFormat="1" applyFill="1" applyBorder="1"/>
    <xf numFmtId="3" fontId="0" fillId="8" borderId="11" xfId="0" applyNumberFormat="1" applyFill="1" applyBorder="1" applyAlignment="1">
      <alignment horizontal="right" indent="2"/>
    </xf>
    <xf numFmtId="3" fontId="0" fillId="7" borderId="11" xfId="0" applyNumberFormat="1" applyFill="1" applyBorder="1" applyAlignment="1">
      <alignment horizontal="right" indent="2"/>
    </xf>
    <xf numFmtId="3" fontId="0" fillId="6" borderId="11" xfId="0" applyNumberFormat="1" applyFill="1" applyBorder="1" applyAlignment="1">
      <alignment horizontal="right" indent="2"/>
    </xf>
    <xf numFmtId="3" fontId="0" fillId="5" borderId="11" xfId="0" applyNumberFormat="1" applyFill="1" applyBorder="1" applyAlignment="1">
      <alignment horizontal="right" indent="2"/>
    </xf>
    <xf numFmtId="3" fontId="0" fillId="4" borderId="11" xfId="0" applyNumberFormat="1" applyFill="1" applyBorder="1" applyAlignment="1">
      <alignment horizontal="right" indent="2"/>
    </xf>
    <xf numFmtId="165" fontId="4" fillId="3" borderId="11" xfId="1" applyNumberFormat="1" applyFont="1" applyFill="1" applyBorder="1" applyAlignment="1">
      <alignment horizontal="right" indent="2"/>
    </xf>
    <xf numFmtId="0" fontId="0" fillId="3" borderId="1" xfId="0" applyFill="1" applyBorder="1" applyAlignment="1">
      <alignment horizontal="left" indent="3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1" fillId="10" borderId="1" xfId="0" applyFont="1" applyFill="1" applyBorder="1" applyAlignment="1">
      <alignment horizontal="left" indent="1"/>
    </xf>
    <xf numFmtId="0" fontId="12" fillId="11" borderId="0" xfId="2" applyFont="1" applyFill="1" applyBorder="1" applyAlignment="1">
      <alignment horizontal="center" vertical="center" wrapText="1"/>
    </xf>
    <xf numFmtId="0" fontId="11" fillId="11" borderId="13" xfId="2" applyFont="1" applyFill="1" applyBorder="1" applyAlignment="1">
      <alignment horizontal="center" vertical="center" wrapText="1"/>
    </xf>
    <xf numFmtId="0" fontId="0" fillId="12" borderId="0" xfId="0" applyFill="1"/>
    <xf numFmtId="1" fontId="0" fillId="2" borderId="0" xfId="0" applyNumberFormat="1" applyFill="1"/>
    <xf numFmtId="166" fontId="2" fillId="3" borderId="2" xfId="0" applyNumberFormat="1" applyFont="1" applyFill="1" applyBorder="1" applyAlignment="1">
      <alignment horizontal="right" indent="2"/>
    </xf>
    <xf numFmtId="166" fontId="0" fillId="8" borderId="2" xfId="0" applyNumberFormat="1" applyFill="1" applyBorder="1" applyAlignment="1">
      <alignment horizontal="right" indent="2"/>
    </xf>
    <xf numFmtId="166" fontId="0" fillId="7" borderId="2" xfId="0" applyNumberFormat="1" applyFill="1" applyBorder="1" applyAlignment="1">
      <alignment horizontal="right" indent="2"/>
    </xf>
    <xf numFmtId="166" fontId="0" fillId="6" borderId="2" xfId="0" applyNumberFormat="1" applyFill="1" applyBorder="1" applyAlignment="1">
      <alignment horizontal="right" indent="2"/>
    </xf>
    <xf numFmtId="166" fontId="0" fillId="5" borderId="2" xfId="0" applyNumberFormat="1" applyFill="1" applyBorder="1" applyAlignment="1">
      <alignment horizontal="right" indent="2"/>
    </xf>
    <xf numFmtId="166" fontId="0" fillId="4" borderId="2" xfId="0" applyNumberFormat="1" applyFill="1" applyBorder="1" applyAlignment="1">
      <alignment horizontal="right" indent="2"/>
    </xf>
    <xf numFmtId="0" fontId="0" fillId="3" borderId="1" xfId="0" applyFill="1" applyBorder="1" applyAlignment="1" applyProtection="1">
      <alignment horizontal="left" indent="1"/>
      <protection locked="0"/>
    </xf>
    <xf numFmtId="0" fontId="0" fillId="0" borderId="0" xfId="0" applyAlignment="1">
      <alignment horizontal="left" indent="1"/>
    </xf>
    <xf numFmtId="0" fontId="0" fillId="3" borderId="0" xfId="0" applyFill="1" applyBorder="1" applyAlignment="1" applyProtection="1">
      <alignment horizontal="left" indent="1"/>
      <protection locked="0"/>
    </xf>
    <xf numFmtId="0" fontId="13" fillId="0" borderId="0" xfId="0" applyFont="1"/>
    <xf numFmtId="0" fontId="0" fillId="0" borderId="0" xfId="0" applyAlignment="1">
      <alignment horizontal="left" vertical="center" indent="9"/>
    </xf>
    <xf numFmtId="0" fontId="14" fillId="0" borderId="0" xfId="0" applyFont="1" applyAlignment="1">
      <alignment horizontal="left" vertical="center" indent="9"/>
    </xf>
    <xf numFmtId="0" fontId="5" fillId="0" borderId="0" xfId="0" applyFont="1" applyAlignment="1">
      <alignment horizontal="left" vertical="center" indent="9"/>
    </xf>
    <xf numFmtId="0" fontId="6" fillId="0" borderId="0" xfId="0" applyFont="1" applyAlignment="1">
      <alignment horizontal="left" vertical="center" indent="9"/>
    </xf>
    <xf numFmtId="0" fontId="7" fillId="0" borderId="0" xfId="0" applyFont="1" applyAlignment="1">
      <alignment horizontal="left" vertical="center" indent="9"/>
    </xf>
    <xf numFmtId="0" fontId="15" fillId="0" borderId="0" xfId="0" applyFont="1"/>
    <xf numFmtId="0" fontId="11" fillId="11" borderId="0" xfId="2" applyFont="1" applyFill="1" applyBorder="1" applyAlignment="1">
      <alignment horizontal="center" vertical="center" wrapText="1"/>
    </xf>
    <xf numFmtId="0" fontId="11" fillId="11" borderId="12" xfId="2" applyFont="1" applyFill="1" applyBorder="1" applyAlignment="1">
      <alignment horizontal="center" vertical="center" wrapText="1"/>
    </xf>
    <xf numFmtId="0" fontId="10" fillId="9" borderId="0" xfId="2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urcentage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EBIT!$F$41</c:f>
              <c:strCache>
                <c:ptCount val="1"/>
                <c:pt idx="0">
                  <c:v>RESULTAT OPERATIONNEL </c:v>
                </c:pt>
              </c:strCache>
            </c:strRef>
          </c:tx>
          <c:invertIfNegative val="0"/>
          <c:cat>
            <c:strRef>
              <c:f>[0]!GRAPH_LABEL</c:f>
              <c:strCache>
                <c:ptCount val="281"/>
                <c:pt idx="0">
                  <c:v>Taxis</c:v>
                </c:pt>
                <c:pt idx="1">
                  <c:v>BESANÇON MOBILITÉS (UM)</c:v>
                </c:pt>
                <c:pt idx="2">
                  <c:v>TCAR (UM)</c:v>
                </c:pt>
                <c:pt idx="3">
                  <c:v>VEOLIA TRANSDEV NANCY (UM)</c:v>
                </c:pt>
                <c:pt idx="4">
                  <c:v>WASHINGTON METRO</c:v>
                </c:pt>
                <c:pt idx="5">
                  <c:v>SAN</c:v>
                </c:pt>
                <c:pt idx="6">
                  <c:v>SUD EST MOBILITES (UM)</c:v>
                </c:pt>
                <c:pt idx="7">
                  <c:v>TBL Holding</c:v>
                </c:pt>
                <c:pt idx="8">
                  <c:v>Noord and Midden Zeeland</c:v>
                </c:pt>
                <c:pt idx="9">
                  <c:v>TDAM (UM)</c:v>
                </c:pt>
                <c:pt idx="10">
                  <c:v>GREEN TOMATO CARS</c:v>
                </c:pt>
                <c:pt idx="11">
                  <c:v>CROLARD SA (UM)</c:v>
                </c:pt>
                <c:pt idx="12">
                  <c:v>TDU ANTIBES (UM)</c:v>
                </c:pt>
                <c:pt idx="13">
                  <c:v>Ijsselmond</c:v>
                </c:pt>
                <c:pt idx="14">
                  <c:v>SNAA (UM)</c:v>
                </c:pt>
                <c:pt idx="15">
                  <c:v>TAB (UM)</c:v>
                </c:pt>
                <c:pt idx="16">
                  <c:v>CAP (UM)</c:v>
                </c:pt>
                <c:pt idx="17">
                  <c:v>AUTOBUS ARTESIENS (UM)</c:v>
                </c:pt>
                <c:pt idx="18">
                  <c:v>CTPO (UM)</c:v>
                </c:pt>
                <c:pt idx="19">
                  <c:v>Almere</c:v>
                </c:pt>
                <c:pt idx="20">
                  <c:v>RIVERSIDE</c:v>
                </c:pt>
                <c:pt idx="21">
                  <c:v>CAT</c:v>
                </c:pt>
                <c:pt idx="22">
                  <c:v>CAT37 (UM)</c:v>
                </c:pt>
                <c:pt idx="23">
                  <c:v>TDU BÉZIERS (UM)</c:v>
                </c:pt>
                <c:pt idx="24">
                  <c:v>STDG (UM)</c:v>
                </c:pt>
                <c:pt idx="25">
                  <c:v>UNION COUNTY</c:v>
                </c:pt>
                <c:pt idx="26">
                  <c:v>TDU GRASSE (UM)</c:v>
                </c:pt>
                <c:pt idx="27">
                  <c:v>TRANSDEV DAUPHINE (UM)</c:v>
                </c:pt>
                <c:pt idx="28">
                  <c:v>Noord Holland Noord</c:v>
                </c:pt>
                <c:pt idx="29">
                  <c:v>Foothill Arcadia</c:v>
                </c:pt>
                <c:pt idx="30">
                  <c:v>FR_7526</c:v>
                </c:pt>
                <c:pt idx="31">
                  <c:v>Ste-Julie</c:v>
                </c:pt>
                <c:pt idx="32">
                  <c:v>VT ARLES (UM)</c:v>
                </c:pt>
                <c:pt idx="33">
                  <c:v>RVL (UM)</c:v>
                </c:pt>
                <c:pt idx="34">
                  <c:v>SAN DIEGO -ADMINISTRATION</c:v>
                </c:pt>
                <c:pt idx="35">
                  <c:v>ECQUEVILLY (UM)</c:v>
                </c:pt>
                <c:pt idx="36">
                  <c:v>CFTI CANNES (UM)</c:v>
                </c:pt>
                <c:pt idx="37">
                  <c:v>Hoekse-Waarde Goeree Overflakkee</c:v>
                </c:pt>
                <c:pt idx="38">
                  <c:v>LITTORAL NORD AUTOCARS (UM)</c:v>
                </c:pt>
                <c:pt idx="39">
                  <c:v>TRANSAVOIE (UM)</c:v>
                </c:pt>
                <c:pt idx="40">
                  <c:v>TRANSDEV SUD OUEST (UM)</c:v>
                </c:pt>
                <c:pt idx="41">
                  <c:v>TRANSDEV REIMS (UM)</c:v>
                </c:pt>
                <c:pt idx="42">
                  <c:v>CAP PC (UM)</c:v>
                </c:pt>
                <c:pt idx="43">
                  <c:v>MODESTO</c:v>
                </c:pt>
                <c:pt idx="44">
                  <c:v>STAO PL 49 (UM)</c:v>
                </c:pt>
                <c:pt idx="45">
                  <c:v>MARTIN FRERES (UM)</c:v>
                </c:pt>
                <c:pt idx="46">
                  <c:v>LOUDOUN COUNTY</c:v>
                </c:pt>
                <c:pt idx="47">
                  <c:v>MUSSO (UM)</c:v>
                </c:pt>
                <c:pt idx="48">
                  <c:v>Saxbus Vertrag</c:v>
                </c:pt>
                <c:pt idx="49">
                  <c:v>FR_7518</c:v>
                </c:pt>
                <c:pt idx="50">
                  <c:v>SEMAAAS (UM)</c:v>
                </c:pt>
                <c:pt idx="51">
                  <c:v>SAN DIEGO -SOUTH BAY</c:v>
                </c:pt>
                <c:pt idx="52">
                  <c:v>SAINT QUENTIN MOBILITÉS (UM)</c:v>
                </c:pt>
                <c:pt idx="53">
                  <c:v>SOLEA (UM)</c:v>
                </c:pt>
                <c:pt idx="54">
                  <c:v>MONTBLANC BUS (UM)</c:v>
                </c:pt>
                <c:pt idx="55">
                  <c:v>BALTIMORE YELLOW BUS</c:v>
                </c:pt>
                <c:pt idx="56">
                  <c:v>AUTOCARS BLANC (UM)</c:v>
                </c:pt>
                <c:pt idx="57">
                  <c:v>BREMOND (UM)</c:v>
                </c:pt>
                <c:pt idx="58">
                  <c:v>TRANSPROVENCE (UM)</c:v>
                </c:pt>
                <c:pt idx="59">
                  <c:v>AUTOCARS DE L'AVESNOIS (UM)</c:v>
                </c:pt>
                <c:pt idx="60">
                  <c:v>Transdev ISTRES (UM)</c:v>
                </c:pt>
                <c:pt idx="61">
                  <c:v>Luas</c:v>
                </c:pt>
                <c:pt idx="62">
                  <c:v>TRANSDEV AUVERGNE (UM)</c:v>
                </c:pt>
                <c:pt idx="63">
                  <c:v>CITRAM PYRENEES (UM)</c:v>
                </c:pt>
                <c:pt idx="64">
                  <c:v>BUS EST NORD (UM)</c:v>
                </c:pt>
                <c:pt idx="65">
                  <c:v>LADOT DASH 1-2-6</c:v>
                </c:pt>
                <c:pt idx="66">
                  <c:v>STAT (UM)</c:v>
                </c:pt>
                <c:pt idx="67">
                  <c:v>TRANSPORT BERARD (UM)</c:v>
                </c:pt>
                <c:pt idx="68">
                  <c:v>PAYS D'OC MOBILITES (UM)</c:v>
                </c:pt>
                <c:pt idx="69">
                  <c:v>MONTESSON LES RABAUX (UM)</c:v>
                </c:pt>
                <c:pt idx="70">
                  <c:v>OCECARS (UM)</c:v>
                </c:pt>
                <c:pt idx="71">
                  <c:v>GER_7958</c:v>
                </c:pt>
                <c:pt idx="72">
                  <c:v>FR_4214</c:v>
                </c:pt>
                <c:pt idx="73">
                  <c:v>RTL</c:v>
                </c:pt>
                <c:pt idx="74">
                  <c:v>DETROIT</c:v>
                </c:pt>
                <c:pt idx="75">
                  <c:v>VT FOUGÈRES (UM)</c:v>
                </c:pt>
                <c:pt idx="76">
                  <c:v>Provincie Utrecht</c:v>
                </c:pt>
                <c:pt idx="77">
                  <c:v>TDU COGNAC (UM)</c:v>
                </c:pt>
                <c:pt idx="78">
                  <c:v>Fremantle</c:v>
                </c:pt>
                <c:pt idx="79">
                  <c:v>Lancaster - AVTA</c:v>
                </c:pt>
                <c:pt idx="80">
                  <c:v>Sebring / Desoto Intelliride</c:v>
                </c:pt>
                <c:pt idx="81">
                  <c:v>PONTHIERRY (UM)</c:v>
                </c:pt>
                <c:pt idx="82">
                  <c:v>Scolaire Hautes-Rivières</c:v>
                </c:pt>
                <c:pt idx="83">
                  <c:v>Garage Beloeil</c:v>
                </c:pt>
                <c:pt idx="84">
                  <c:v>Nord-Ostsee-Bus</c:v>
                </c:pt>
                <c:pt idx="85">
                  <c:v>Dépot St-Philippe</c:v>
                </c:pt>
                <c:pt idx="86">
                  <c:v>GER_7959</c:v>
                </c:pt>
                <c:pt idx="87">
                  <c:v>STANFORD UNIVERSITY</c:v>
                </c:pt>
                <c:pt idx="88">
                  <c:v>COURRIERS DE L'AUBE (UM)</c:v>
                </c:pt>
                <c:pt idx="89">
                  <c:v>MONMOUTH, NEW JERSEY</c:v>
                </c:pt>
                <c:pt idx="90">
                  <c:v>LDV (UM)</c:v>
                </c:pt>
                <c:pt idx="91">
                  <c:v>ST DIZIER (UM)</c:v>
                </c:pt>
                <c:pt idx="92">
                  <c:v>TD MONT DE MARSAN (UM)</c:v>
                </c:pt>
                <c:pt idx="93">
                  <c:v>ESSEX COUNTY</c:v>
                </c:pt>
                <c:pt idx="94">
                  <c:v>RITAVR</c:v>
                </c:pt>
                <c:pt idx="95">
                  <c:v>N'4 MOBILITES (UM)</c:v>
                </c:pt>
                <c:pt idx="96">
                  <c:v>Magog</c:v>
                </c:pt>
                <c:pt idx="97">
                  <c:v>San Francisco Call Center</c:v>
                </c:pt>
                <c:pt idx="98">
                  <c:v>VTRA ROYAN (UM)</c:v>
                </c:pt>
                <c:pt idx="99">
                  <c:v>STUD (UM)</c:v>
                </c:pt>
                <c:pt idx="100">
                  <c:v>TDU ARCACHON (UM)</c:v>
                </c:pt>
                <c:pt idx="101">
                  <c:v>Marguerite d'Youville</c:v>
                </c:pt>
                <c:pt idx="102">
                  <c:v>WMATA</c:v>
                </c:pt>
                <c:pt idx="103">
                  <c:v>STE DES TRANSPORTS DU BRIANCONNAIS (UM)</c:v>
                </c:pt>
                <c:pt idx="104">
                  <c:v>TD DRIVE (UM)</c:v>
                </c:pt>
                <c:pt idx="105">
                  <c:v>TDU SAINT LÔ (UM)</c:v>
                </c:pt>
                <c:pt idx="106">
                  <c:v>FR_7514</c:v>
                </c:pt>
                <c:pt idx="107">
                  <c:v>HINESVILLE</c:v>
                </c:pt>
                <c:pt idx="108">
                  <c:v>TBE (Berlines scolaires)</c:v>
                </c:pt>
                <c:pt idx="109">
                  <c:v>GER_7964</c:v>
                </c:pt>
                <c:pt idx="110">
                  <c:v>Brisbane Ferries (Contract)</c:v>
                </c:pt>
                <c:pt idx="111">
                  <c:v>Bad Segeberg</c:v>
                </c:pt>
                <c:pt idx="112">
                  <c:v>TRANS VAL D'OISE (UM)</c:v>
                </c:pt>
                <c:pt idx="113">
                  <c:v>CARS DU PAYS D AIX (UM)</c:v>
                </c:pt>
                <c:pt idx="114">
                  <c:v>New Orleans - Algiers</c:v>
                </c:pt>
                <c:pt idx="115">
                  <c:v>Seattle Ter</c:v>
                </c:pt>
                <c:pt idx="116">
                  <c:v>STL (UM)</c:v>
                </c:pt>
                <c:pt idx="117">
                  <c:v>COLUMBIA PARATRANSIT</c:v>
                </c:pt>
                <c:pt idx="118">
                  <c:v>BALTIMORE PARA - MTA</c:v>
                </c:pt>
                <c:pt idx="119">
                  <c:v>Limocar Estrie</c:v>
                </c:pt>
                <c:pt idx="120">
                  <c:v>MONEGER (UM)</c:v>
                </c:pt>
                <c:pt idx="121">
                  <c:v>San Francisco Intelliride</c:v>
                </c:pt>
                <c:pt idx="122">
                  <c:v>RAMBOUILLET (UM)</c:v>
                </c:pt>
                <c:pt idx="123">
                  <c:v>VULAINES (UM)</c:v>
                </c:pt>
                <c:pt idx="124">
                  <c:v>Seattle Bis</c:v>
                </c:pt>
                <c:pt idx="125">
                  <c:v>VILLENEUVE MOBILITES (UM)</c:v>
                </c:pt>
                <c:pt idx="126">
                  <c:v>Access Pittsburgh Intelliride</c:v>
                </c:pt>
                <c:pt idx="127">
                  <c:v>AUTOBUS DE L'ETANG (UM)</c:v>
                </c:pt>
                <c:pt idx="128">
                  <c:v>BUS EST SUD (UM)</c:v>
                </c:pt>
                <c:pt idx="129">
                  <c:v>GER_7960</c:v>
                </c:pt>
                <c:pt idx="130">
                  <c:v>ECAUX MOBILITÉ (UM)</c:v>
                </c:pt>
                <c:pt idx="131">
                  <c:v>CSQT (UM)</c:v>
                </c:pt>
                <c:pt idx="132">
                  <c:v>FR_086</c:v>
                </c:pt>
                <c:pt idx="133">
                  <c:v>GUICHARD (UM)</c:v>
                </c:pt>
                <c:pt idx="134">
                  <c:v>LAON MOBILITÉS (UM)</c:v>
                </c:pt>
                <c:pt idx="135">
                  <c:v>BRIDGEPORT, CT</c:v>
                </c:pt>
                <c:pt idx="136">
                  <c:v>NVG Vertrag</c:v>
                </c:pt>
                <c:pt idx="137">
                  <c:v>YUBA SUTTER</c:v>
                </c:pt>
                <c:pt idx="138">
                  <c:v>COLUMBIA FIXED ROUTE</c:v>
                </c:pt>
                <c:pt idx="139">
                  <c:v>TCC (UM)</c:v>
                </c:pt>
                <c:pt idx="140">
                  <c:v>VEOLIA TRANSPORT ROANNE (UM)</c:v>
                </c:pt>
                <c:pt idx="141">
                  <c:v>CAT 22 (UM)</c:v>
                </c:pt>
                <c:pt idx="142">
                  <c:v>Boston VA Hospital Intelliride</c:v>
                </c:pt>
                <c:pt idx="143">
                  <c:v>TDU LA ROCHELLE (UM)</c:v>
                </c:pt>
                <c:pt idx="144">
                  <c:v>BBM (UM)</c:v>
                </c:pt>
                <c:pt idx="145">
                  <c:v>RIVER PARISH</c:v>
                </c:pt>
                <c:pt idx="146">
                  <c:v>NVB</c:v>
                </c:pt>
                <c:pt idx="147">
                  <c:v>FR_I108</c:v>
                </c:pt>
                <c:pt idx="148">
                  <c:v>Limocar Rive-Sud</c:v>
                </c:pt>
                <c:pt idx="149">
                  <c:v>TRAM(UM)</c:v>
                </c:pt>
                <c:pt idx="150">
                  <c:v>Griensteidl GmbH Vertrag</c:v>
                </c:pt>
                <c:pt idx="151">
                  <c:v>CEAT (UM)</c:v>
                </c:pt>
                <c:pt idx="152">
                  <c:v>VTPR ROCHEFORT (UM)</c:v>
                </c:pt>
                <c:pt idx="153">
                  <c:v>RLM (UM)</c:v>
                </c:pt>
                <c:pt idx="154">
                  <c:v>Rohde Husum</c:v>
                </c:pt>
                <c:pt idx="155">
                  <c:v>Hildburghausen</c:v>
                </c:pt>
                <c:pt idx="156">
                  <c:v>NEMOURS (UM)</c:v>
                </c:pt>
                <c:pt idx="157">
                  <c:v>East Bay Intelliride</c:v>
                </c:pt>
                <c:pt idx="158">
                  <c:v>SAN JOSE AIRPORT</c:v>
                </c:pt>
                <c:pt idx="159">
                  <c:v>BARSTOW</c:v>
                </c:pt>
                <c:pt idx="160">
                  <c:v>VT BRETIGNY (UM)</c:v>
                </c:pt>
                <c:pt idx="161">
                  <c:v>Parkshuttle</c:v>
                </c:pt>
                <c:pt idx="162">
                  <c:v>CFTI Bordeaux(UM)</c:v>
                </c:pt>
                <c:pt idx="163">
                  <c:v>York</c:v>
                </c:pt>
                <c:pt idx="164">
                  <c:v>Autobus la Sapinière</c:v>
                </c:pt>
                <c:pt idx="165">
                  <c:v>ESTEREL (UM)</c:v>
                </c:pt>
                <c:pt idx="166">
                  <c:v>Verwaltung Buscluster 2</c:v>
                </c:pt>
                <c:pt idx="167">
                  <c:v>Personenverkehr GmbH Müritz Vertrag (PVM)</c:v>
                </c:pt>
                <c:pt idx="168">
                  <c:v>AUTOBUS AUBAGNAIS (UM)</c:v>
                </c:pt>
                <c:pt idx="169">
                  <c:v>Harrogate</c:v>
                </c:pt>
                <c:pt idx="170">
                  <c:v>TRANSDEV NIORT (UM)</c:v>
                </c:pt>
                <c:pt idx="171">
                  <c:v>INTERVAL (UM)</c:v>
                </c:pt>
                <c:pt idx="172">
                  <c:v>TEXAS STATE UNIVERSITY</c:v>
                </c:pt>
                <c:pt idx="173">
                  <c:v>YOLO</c:v>
                </c:pt>
                <c:pt idx="174">
                  <c:v>Autobus de l'Estrie</c:v>
                </c:pt>
                <c:pt idx="175">
                  <c:v>TRANSDEV RAI - SAVOIES (UM)</c:v>
                </c:pt>
                <c:pt idx="176">
                  <c:v>Castelo Branco</c:v>
                </c:pt>
                <c:pt idx="177">
                  <c:v>ORSAY (UM)</c:v>
                </c:pt>
                <c:pt idx="178">
                  <c:v>PREVOST (UM)</c:v>
                </c:pt>
                <c:pt idx="179">
                  <c:v>TVS (UM)</c:v>
                </c:pt>
                <c:pt idx="180">
                  <c:v>COLUMBIA</c:v>
                </c:pt>
                <c:pt idx="181">
                  <c:v>FR_7520</c:v>
                </c:pt>
                <c:pt idx="182">
                  <c:v>TVF (UM)</c:v>
                </c:pt>
                <c:pt idx="183">
                  <c:v>BTT Vertrag</c:v>
                </c:pt>
                <c:pt idx="184">
                  <c:v>TMM (UM)</c:v>
                </c:pt>
                <c:pt idx="185">
                  <c:v>AUTOCARS ALIZES (UM)</c:v>
                </c:pt>
                <c:pt idx="186">
                  <c:v>TRANSDEV CHATELLERAULT (UM)</c:v>
                </c:pt>
                <c:pt idx="187">
                  <c:v>SVT (UM)</c:v>
                </c:pt>
                <c:pt idx="188">
                  <c:v>BALTIMORE PARA - BCHD</c:v>
                </c:pt>
                <c:pt idx="189">
                  <c:v>Guimaraes</c:v>
                </c:pt>
                <c:pt idx="190">
                  <c:v>TRANSDEV ANGOULÊME (UM)</c:v>
                </c:pt>
                <c:pt idx="191">
                  <c:v>SNV (UM)</c:v>
                </c:pt>
                <c:pt idx="192">
                  <c:v>STBC (UM)</c:v>
                </c:pt>
                <c:pt idx="193">
                  <c:v>STDLC (UM)</c:v>
                </c:pt>
                <c:pt idx="194">
                  <c:v>STAO PL 53 (UM)</c:v>
                </c:pt>
                <c:pt idx="195">
                  <c:v>SONOMA COUNTY</c:v>
                </c:pt>
                <c:pt idx="196">
                  <c:v>Coimbra Interior &amp; Litoral</c:v>
                </c:pt>
                <c:pt idx="197">
                  <c:v>CAT 35 (UM)</c:v>
                </c:pt>
                <c:pt idx="198">
                  <c:v>CARS ROSES (UM)</c:v>
                </c:pt>
                <c:pt idx="199">
                  <c:v>CITEA (UM)</c:v>
                </c:pt>
                <c:pt idx="200">
                  <c:v>TRANSDEV PICARDIE (UM)</c:v>
                </c:pt>
                <c:pt idx="201">
                  <c:v>PHOENIX RCC SHUTTLE</c:v>
                </c:pt>
                <c:pt idx="202">
                  <c:v>FR_7511</c:v>
                </c:pt>
                <c:pt idx="203">
                  <c:v>TOURNEUX (UM)</c:v>
                </c:pt>
                <c:pt idx="204">
                  <c:v>GER_506</c:v>
                </c:pt>
                <c:pt idx="205">
                  <c:v>Burnley</c:v>
                </c:pt>
                <c:pt idx="206">
                  <c:v>Blackburn</c:v>
                </c:pt>
                <c:pt idx="207">
                  <c:v>STAO PL 44 (UM)</c:v>
                </c:pt>
                <c:pt idx="208">
                  <c:v>TCRA (UM)</c:v>
                </c:pt>
                <c:pt idx="209">
                  <c:v>CIT Chambly-Richelieu-Carignan</c:v>
                </c:pt>
                <c:pt idx="210">
                  <c:v>RCA (UM)</c:v>
                </c:pt>
                <c:pt idx="211">
                  <c:v>Keighley</c:v>
                </c:pt>
                <c:pt idx="212">
                  <c:v>Aveiro</c:v>
                </c:pt>
                <c:pt idx="213">
                  <c:v>HUSKIE LINES</c:v>
                </c:pt>
                <c:pt idx="214">
                  <c:v>Rockingham</c:v>
                </c:pt>
                <c:pt idx="215">
                  <c:v>Taeter (Bus)</c:v>
                </c:pt>
                <c:pt idx="216">
                  <c:v>SABARDU (UM)</c:v>
                </c:pt>
                <c:pt idx="217">
                  <c:v>TPV (UM)</c:v>
                </c:pt>
                <c:pt idx="218">
                  <c:v>PHOENIX TRANSIT JV</c:v>
                </c:pt>
                <c:pt idx="219">
                  <c:v>TT Vertrag</c:v>
                </c:pt>
                <c:pt idx="220">
                  <c:v>Territoires Meurthe &amp; Moselle et Vosges</c:v>
                </c:pt>
                <c:pt idx="221">
                  <c:v>LA COUNTY MTA</c:v>
                </c:pt>
                <c:pt idx="222">
                  <c:v>Voorne Putten</c:v>
                </c:pt>
                <c:pt idx="223">
                  <c:v>DG (UM)</c:v>
                </c:pt>
                <c:pt idx="224">
                  <c:v>HUNTLEIGH</c:v>
                </c:pt>
                <c:pt idx="225">
                  <c:v>Gooi en Vechtstreek</c:v>
                </c:pt>
                <c:pt idx="226">
                  <c:v>SAN DIEGO -EAST COUNTY</c:v>
                </c:pt>
                <c:pt idx="227">
                  <c:v>CAT 29 (UM)</c:v>
                </c:pt>
                <c:pt idx="228">
                  <c:v>St-Jean-sur-Richelieu</c:v>
                </c:pt>
                <c:pt idx="229">
                  <c:v>Porto</c:v>
                </c:pt>
                <c:pt idx="230">
                  <c:v>SETRA (UM)</c:v>
                </c:pt>
                <c:pt idx="231">
                  <c:v>TRANSPORTS PUBLICS DE L'AGGLOMERATION ST (UM)</c:v>
                </c:pt>
                <c:pt idx="232">
                  <c:v>HOUDAN (UM)</c:v>
                </c:pt>
                <c:pt idx="233">
                  <c:v>Rohde Ostholstein</c:v>
                </c:pt>
                <c:pt idx="234">
                  <c:v>CFTA CENTRE OUEST (UM)</c:v>
                </c:pt>
                <c:pt idx="235">
                  <c:v>CSO  (UM)</c:v>
                </c:pt>
                <c:pt idx="236">
                  <c:v>DENVER RTD</c:v>
                </c:pt>
                <c:pt idx="237">
                  <c:v>NANTERRE (UM)</c:v>
                </c:pt>
                <c:pt idx="238">
                  <c:v>TEL (UM)</c:v>
                </c:pt>
                <c:pt idx="239">
                  <c:v>CIT Sud-Ouest</c:v>
                </c:pt>
                <c:pt idx="240">
                  <c:v>LA BOUCLE (UM)</c:v>
                </c:pt>
                <c:pt idx="241">
                  <c:v>CABARO (UM)</c:v>
                </c:pt>
                <c:pt idx="242">
                  <c:v>COURRIER DE LA GARONNE (UM)</c:v>
                </c:pt>
                <c:pt idx="243">
                  <c:v>LIEUSAINT MOISSY (UM)</c:v>
                </c:pt>
                <c:pt idx="244">
                  <c:v>RMTT (UM)</c:v>
                </c:pt>
                <c:pt idx="245">
                  <c:v>TRA (UM)</c:v>
                </c:pt>
                <c:pt idx="246">
                  <c:v>STRAV (UM)</c:v>
                </c:pt>
                <c:pt idx="247">
                  <c:v>BALTIMORE CONNECTOR</c:v>
                </c:pt>
                <c:pt idx="248">
                  <c:v>CONFLANS 78 (UM)</c:v>
                </c:pt>
                <c:pt idx="249">
                  <c:v>SRE</c:v>
                </c:pt>
                <c:pt idx="250">
                  <c:v>Douro Sul</c:v>
                </c:pt>
                <c:pt idx="251">
                  <c:v>Limocar Vallée du Richelieu</c:v>
                </c:pt>
                <c:pt idx="252">
                  <c:v>Braga Barcelos</c:v>
                </c:pt>
                <c:pt idx="253">
                  <c:v>BOSTON PUBLIC SCHOOLS</c:v>
                </c:pt>
                <c:pt idx="254">
                  <c:v>CAP NORD OUEST (UM)</c:v>
                </c:pt>
                <c:pt idx="255">
                  <c:v>AMV (UM)</c:v>
                </c:pt>
                <c:pt idx="256">
                  <c:v>CAT 56 (UM)</c:v>
                </c:pt>
                <c:pt idx="257">
                  <c:v>LAS VEGAS PARATRANSIT</c:v>
                </c:pt>
                <c:pt idx="258">
                  <c:v>Valleilijn</c:v>
                </c:pt>
                <c:pt idx="259">
                  <c:v>Zaanstreek</c:v>
                </c:pt>
                <c:pt idx="260">
                  <c:v>Limocar Basses Laurentides</c:v>
                </c:pt>
                <c:pt idx="261">
                  <c:v>Haarlem Ijmond</c:v>
                </c:pt>
                <c:pt idx="262">
                  <c:v>STAO PL 72 (UM)</c:v>
                </c:pt>
                <c:pt idx="263">
                  <c:v>PG COUNTY</c:v>
                </c:pt>
                <c:pt idx="264">
                  <c:v>SEATTLE</c:v>
                </c:pt>
                <c:pt idx="265">
                  <c:v>Kooperationsvertrag VRS/VVS</c:v>
                </c:pt>
                <c:pt idx="266">
                  <c:v>VOYAGES ET TRANSPORTS DE NORMANDIE (UM)</c:v>
                </c:pt>
                <c:pt idx="267">
                  <c:v>NASSAU COUNTY -FIXED</c:v>
                </c:pt>
                <c:pt idx="268">
                  <c:v>Territoire Alsace</c:v>
                </c:pt>
                <c:pt idx="269">
                  <c:v>Melbourne Bus</c:v>
                </c:pt>
                <c:pt idx="270">
                  <c:v>Translink</c:v>
                </c:pt>
                <c:pt idx="271">
                  <c:v>CITRAM AQUITAINE (UM)</c:v>
                </c:pt>
                <c:pt idx="272">
                  <c:v>Joondalup</c:v>
                </c:pt>
                <c:pt idx="273">
                  <c:v>NSW Region 10/13 and rail replacement</c:v>
                </c:pt>
                <c:pt idx="274">
                  <c:v>NSW Region 12 and rail replacement</c:v>
                </c:pt>
                <c:pt idx="275">
                  <c:v>TVO (UM)</c:v>
                </c:pt>
                <c:pt idx="276">
                  <c:v>Territoires Meuse et Moselle</c:v>
                </c:pt>
                <c:pt idx="277">
                  <c:v>Sydney Ferries (Contract)</c:v>
                </c:pt>
                <c:pt idx="278">
                  <c:v>TRANSDEV RAI - RHODALIA (UM)</c:v>
                </c:pt>
                <c:pt idx="279">
                  <c:v>Amstelland Meerlanden</c:v>
                </c:pt>
                <c:pt idx="280">
                  <c:v>Ichthys (Contract)</c:v>
                </c:pt>
              </c:strCache>
            </c:strRef>
          </c:cat>
          <c:val>
            <c:numRef>
              <c:f>[0]!GRAPH_EBIT</c:f>
              <c:numCache>
                <c:formatCode>#,##0</c:formatCode>
                <c:ptCount val="281"/>
                <c:pt idx="0">
                  <c:v>-9189010.0999999791</c:v>
                </c:pt>
                <c:pt idx="1">
                  <c:v>-6692195.6799999941</c:v>
                </c:pt>
                <c:pt idx="2">
                  <c:v>-6302461.359999992</c:v>
                </c:pt>
                <c:pt idx="3">
                  <c:v>-5995498.7200000025</c:v>
                </c:pt>
                <c:pt idx="4">
                  <c:v>-4895904.589999998</c:v>
                </c:pt>
                <c:pt idx="5">
                  <c:v>-3805158.9199999897</c:v>
                </c:pt>
                <c:pt idx="6">
                  <c:v>-3262901.8699999969</c:v>
                </c:pt>
                <c:pt idx="7">
                  <c:v>-2022464</c:v>
                </c:pt>
                <c:pt idx="8">
                  <c:v>-1847725.6500000013</c:v>
                </c:pt>
                <c:pt idx="9">
                  <c:v>-1805713.5699999998</c:v>
                </c:pt>
                <c:pt idx="10">
                  <c:v>-1624854</c:v>
                </c:pt>
                <c:pt idx="11">
                  <c:v>-1584643.3400000008</c:v>
                </c:pt>
                <c:pt idx="12">
                  <c:v>-1373627.1900000002</c:v>
                </c:pt>
                <c:pt idx="13">
                  <c:v>-1332102.6099999964</c:v>
                </c:pt>
                <c:pt idx="14">
                  <c:v>-1208343.76</c:v>
                </c:pt>
                <c:pt idx="15">
                  <c:v>-1129086.9900000026</c:v>
                </c:pt>
                <c:pt idx="16">
                  <c:v>-1128558.6500000013</c:v>
                </c:pt>
                <c:pt idx="17">
                  <c:v>-1091021.5100000016</c:v>
                </c:pt>
                <c:pt idx="18">
                  <c:v>-1021917.5099999987</c:v>
                </c:pt>
                <c:pt idx="19">
                  <c:v>-998608.13999999547</c:v>
                </c:pt>
                <c:pt idx="20">
                  <c:v>-993051.78000000212</c:v>
                </c:pt>
                <c:pt idx="21">
                  <c:v>-907842.44000000053</c:v>
                </c:pt>
                <c:pt idx="22">
                  <c:v>-860690.93999999494</c:v>
                </c:pt>
                <c:pt idx="23">
                  <c:v>-714305.93999999855</c:v>
                </c:pt>
                <c:pt idx="24">
                  <c:v>-704864.24000000022</c:v>
                </c:pt>
                <c:pt idx="25">
                  <c:v>-605373.71999999927</c:v>
                </c:pt>
                <c:pt idx="26">
                  <c:v>-600768.12000000034</c:v>
                </c:pt>
                <c:pt idx="27">
                  <c:v>-591325.40999999933</c:v>
                </c:pt>
                <c:pt idx="28">
                  <c:v>-583637.15000000095</c:v>
                </c:pt>
                <c:pt idx="29">
                  <c:v>-578431.59999999718</c:v>
                </c:pt>
                <c:pt idx="30">
                  <c:v>-568804.01000000141</c:v>
                </c:pt>
                <c:pt idx="31">
                  <c:v>-564168.9099999998</c:v>
                </c:pt>
                <c:pt idx="32">
                  <c:v>-553032.11999999918</c:v>
                </c:pt>
                <c:pt idx="33">
                  <c:v>-539575.75000000151</c:v>
                </c:pt>
                <c:pt idx="34">
                  <c:v>-514451.94999999995</c:v>
                </c:pt>
                <c:pt idx="35">
                  <c:v>-500448.07000000228</c:v>
                </c:pt>
                <c:pt idx="36">
                  <c:v>-472777.4300000004</c:v>
                </c:pt>
                <c:pt idx="37">
                  <c:v>-463216.07999999996</c:v>
                </c:pt>
                <c:pt idx="38">
                  <c:v>-445495.83999999735</c:v>
                </c:pt>
                <c:pt idx="39">
                  <c:v>-405645.23000000097</c:v>
                </c:pt>
                <c:pt idx="40">
                  <c:v>-402769.72999999922</c:v>
                </c:pt>
                <c:pt idx="41">
                  <c:v>-380571.77999999595</c:v>
                </c:pt>
                <c:pt idx="42">
                  <c:v>-351231.13</c:v>
                </c:pt>
                <c:pt idx="43">
                  <c:v>-328680.96000000084</c:v>
                </c:pt>
                <c:pt idx="44">
                  <c:v>-321965.34000000055</c:v>
                </c:pt>
                <c:pt idx="45">
                  <c:v>-317864.38999999978</c:v>
                </c:pt>
                <c:pt idx="46">
                  <c:v>-283755.74</c:v>
                </c:pt>
                <c:pt idx="47">
                  <c:v>-267874.60999999981</c:v>
                </c:pt>
                <c:pt idx="48">
                  <c:v>-266102.73000000016</c:v>
                </c:pt>
                <c:pt idx="49">
                  <c:v>-250612.41000000047</c:v>
                </c:pt>
                <c:pt idx="50">
                  <c:v>-241454.54999999868</c:v>
                </c:pt>
                <c:pt idx="51">
                  <c:v>-228064.86999999732</c:v>
                </c:pt>
                <c:pt idx="52">
                  <c:v>-220166.96999999907</c:v>
                </c:pt>
                <c:pt idx="53">
                  <c:v>-216474.15999998714</c:v>
                </c:pt>
                <c:pt idx="54">
                  <c:v>-212670.58000000083</c:v>
                </c:pt>
                <c:pt idx="55">
                  <c:v>-201870.45000000016</c:v>
                </c:pt>
                <c:pt idx="56">
                  <c:v>-191344.98000000013</c:v>
                </c:pt>
                <c:pt idx="57">
                  <c:v>-185297.38000000038</c:v>
                </c:pt>
                <c:pt idx="58">
                  <c:v>-180255.57000000059</c:v>
                </c:pt>
                <c:pt idx="59">
                  <c:v>-176257.61000000109</c:v>
                </c:pt>
                <c:pt idx="60">
                  <c:v>-167463.78999999986</c:v>
                </c:pt>
                <c:pt idx="61">
                  <c:v>-149859</c:v>
                </c:pt>
                <c:pt idx="62">
                  <c:v>-146804.22999999946</c:v>
                </c:pt>
                <c:pt idx="63">
                  <c:v>-137901.82999999926</c:v>
                </c:pt>
                <c:pt idx="64">
                  <c:v>-136354.66999999908</c:v>
                </c:pt>
                <c:pt idx="65">
                  <c:v>-134029.65000000084</c:v>
                </c:pt>
                <c:pt idx="66">
                  <c:v>-132145.78999999989</c:v>
                </c:pt>
                <c:pt idx="67">
                  <c:v>-116107.06000000008</c:v>
                </c:pt>
                <c:pt idx="68">
                  <c:v>-103997.31999999951</c:v>
                </c:pt>
                <c:pt idx="69">
                  <c:v>-87932.150000000955</c:v>
                </c:pt>
                <c:pt idx="70">
                  <c:v>-78214.840000000506</c:v>
                </c:pt>
                <c:pt idx="71">
                  <c:v>-71864.239999999583</c:v>
                </c:pt>
                <c:pt idx="72">
                  <c:v>-71667.900000001275</c:v>
                </c:pt>
                <c:pt idx="73">
                  <c:v>-64499.46000000021</c:v>
                </c:pt>
                <c:pt idx="74">
                  <c:v>-49582.569999999992</c:v>
                </c:pt>
                <c:pt idx="75">
                  <c:v>-42806.789999999899</c:v>
                </c:pt>
                <c:pt idx="76">
                  <c:v>-41636.410000003758</c:v>
                </c:pt>
                <c:pt idx="77">
                  <c:v>-35259.200000000026</c:v>
                </c:pt>
                <c:pt idx="78">
                  <c:v>-35193.279999999606</c:v>
                </c:pt>
                <c:pt idx="79">
                  <c:v>-25404.75999999998</c:v>
                </c:pt>
                <c:pt idx="80">
                  <c:v>-19768.909999999963</c:v>
                </c:pt>
                <c:pt idx="81">
                  <c:v>-4864.3399999994144</c:v>
                </c:pt>
                <c:pt idx="82">
                  <c:v>-4215.2399999996323</c:v>
                </c:pt>
                <c:pt idx="83">
                  <c:v>-1835.4399999999764</c:v>
                </c:pt>
                <c:pt idx="84">
                  <c:v>-1684.1900000000005</c:v>
                </c:pt>
                <c:pt idx="85">
                  <c:v>-750.22999999991748</c:v>
                </c:pt>
                <c:pt idx="86">
                  <c:v>0.5299999999996885</c:v>
                </c:pt>
                <c:pt idx="87">
                  <c:v>2872.2800000007264</c:v>
                </c:pt>
                <c:pt idx="88">
                  <c:v>6325.4999999995052</c:v>
                </c:pt>
                <c:pt idx="89">
                  <c:v>6393.6199999996461</c:v>
                </c:pt>
                <c:pt idx="90">
                  <c:v>7863.5000000004366</c:v>
                </c:pt>
                <c:pt idx="91">
                  <c:v>10670.859999999688</c:v>
                </c:pt>
                <c:pt idx="92">
                  <c:v>12021.289999999513</c:v>
                </c:pt>
                <c:pt idx="93">
                  <c:v>12879.160000000295</c:v>
                </c:pt>
                <c:pt idx="94">
                  <c:v>15130.230000000072</c:v>
                </c:pt>
                <c:pt idx="95">
                  <c:v>15593.10999999824</c:v>
                </c:pt>
                <c:pt idx="96">
                  <c:v>17379.360000000033</c:v>
                </c:pt>
                <c:pt idx="97">
                  <c:v>20045.48</c:v>
                </c:pt>
                <c:pt idx="98">
                  <c:v>27644.890000000509</c:v>
                </c:pt>
                <c:pt idx="99">
                  <c:v>27885.620000000883</c:v>
                </c:pt>
                <c:pt idx="100">
                  <c:v>30717.719999998706</c:v>
                </c:pt>
                <c:pt idx="101">
                  <c:v>33931.100000000013</c:v>
                </c:pt>
                <c:pt idx="102">
                  <c:v>38009.119999999668</c:v>
                </c:pt>
                <c:pt idx="103">
                  <c:v>39472.670000000049</c:v>
                </c:pt>
                <c:pt idx="104">
                  <c:v>42248.980000000054</c:v>
                </c:pt>
                <c:pt idx="105">
                  <c:v>47405.12000000033</c:v>
                </c:pt>
                <c:pt idx="106">
                  <c:v>57651.419999997655</c:v>
                </c:pt>
                <c:pt idx="107">
                  <c:v>63992.870000000046</c:v>
                </c:pt>
                <c:pt idx="108">
                  <c:v>70990.549999999916</c:v>
                </c:pt>
                <c:pt idx="109">
                  <c:v>71090.889999999985</c:v>
                </c:pt>
                <c:pt idx="110">
                  <c:v>71935.960000001767</c:v>
                </c:pt>
                <c:pt idx="111">
                  <c:v>73038.870000000083</c:v>
                </c:pt>
                <c:pt idx="112">
                  <c:v>78878.089999999938</c:v>
                </c:pt>
                <c:pt idx="113">
                  <c:v>79970.95999999874</c:v>
                </c:pt>
                <c:pt idx="114">
                  <c:v>80351.10000000021</c:v>
                </c:pt>
                <c:pt idx="115">
                  <c:v>90718.999999999767</c:v>
                </c:pt>
                <c:pt idx="116">
                  <c:v>93767.420000000071</c:v>
                </c:pt>
                <c:pt idx="117">
                  <c:v>94291.46000000005</c:v>
                </c:pt>
                <c:pt idx="118">
                  <c:v>102811.9799999987</c:v>
                </c:pt>
                <c:pt idx="119">
                  <c:v>105738.07000000114</c:v>
                </c:pt>
                <c:pt idx="120">
                  <c:v>106668.3000000001</c:v>
                </c:pt>
                <c:pt idx="121">
                  <c:v>114875.88999999952</c:v>
                </c:pt>
                <c:pt idx="122">
                  <c:v>115748.54000000138</c:v>
                </c:pt>
                <c:pt idx="123">
                  <c:v>116207.139999999</c:v>
                </c:pt>
                <c:pt idx="124">
                  <c:v>124603.45000000004</c:v>
                </c:pt>
                <c:pt idx="125">
                  <c:v>129550.10000000006</c:v>
                </c:pt>
                <c:pt idx="126">
                  <c:v>138141.67999999993</c:v>
                </c:pt>
                <c:pt idx="127">
                  <c:v>140474.0100000003</c:v>
                </c:pt>
                <c:pt idx="128">
                  <c:v>173705.11999999994</c:v>
                </c:pt>
                <c:pt idx="129">
                  <c:v>175506.12999999951</c:v>
                </c:pt>
                <c:pt idx="130">
                  <c:v>175777.57000000009</c:v>
                </c:pt>
                <c:pt idx="131">
                  <c:v>178080.08999999979</c:v>
                </c:pt>
                <c:pt idx="132">
                  <c:v>182233.64000000019</c:v>
                </c:pt>
                <c:pt idx="133">
                  <c:v>186048.23000000045</c:v>
                </c:pt>
                <c:pt idx="134">
                  <c:v>187210.62000000023</c:v>
                </c:pt>
                <c:pt idx="135">
                  <c:v>188587.52999999997</c:v>
                </c:pt>
                <c:pt idx="136">
                  <c:v>189880.01999999981</c:v>
                </c:pt>
                <c:pt idx="137">
                  <c:v>190683.2500000002</c:v>
                </c:pt>
                <c:pt idx="138">
                  <c:v>192633.9500000003</c:v>
                </c:pt>
                <c:pt idx="139">
                  <c:v>193058.66999999993</c:v>
                </c:pt>
                <c:pt idx="140">
                  <c:v>194370.80000000118</c:v>
                </c:pt>
                <c:pt idx="141">
                  <c:v>195560.10000000056</c:v>
                </c:pt>
                <c:pt idx="142">
                  <c:v>211133.21999999994</c:v>
                </c:pt>
                <c:pt idx="143">
                  <c:v>219553.65000000002</c:v>
                </c:pt>
                <c:pt idx="144">
                  <c:v>226997.00000000061</c:v>
                </c:pt>
                <c:pt idx="145">
                  <c:v>230795.77000000002</c:v>
                </c:pt>
                <c:pt idx="146">
                  <c:v>231132.14999999997</c:v>
                </c:pt>
                <c:pt idx="147">
                  <c:v>232290.25999999992</c:v>
                </c:pt>
                <c:pt idx="148">
                  <c:v>250027.69999999984</c:v>
                </c:pt>
                <c:pt idx="149">
                  <c:v>252628.19000000181</c:v>
                </c:pt>
                <c:pt idx="150">
                  <c:v>264548.19999999925</c:v>
                </c:pt>
                <c:pt idx="151">
                  <c:v>269445.66000001016</c:v>
                </c:pt>
                <c:pt idx="152">
                  <c:v>281108.36999999982</c:v>
                </c:pt>
                <c:pt idx="153">
                  <c:v>286368.51999999926</c:v>
                </c:pt>
                <c:pt idx="154">
                  <c:v>291986.7400000004</c:v>
                </c:pt>
                <c:pt idx="155">
                  <c:v>298138.34999999998</c:v>
                </c:pt>
                <c:pt idx="156">
                  <c:v>299912.36999999883</c:v>
                </c:pt>
                <c:pt idx="157">
                  <c:v>300835.11000000336</c:v>
                </c:pt>
                <c:pt idx="158">
                  <c:v>313185.53000000026</c:v>
                </c:pt>
                <c:pt idx="159">
                  <c:v>313684.74000000063</c:v>
                </c:pt>
                <c:pt idx="160">
                  <c:v>316794.47999999917</c:v>
                </c:pt>
                <c:pt idx="161">
                  <c:v>327344.59999999986</c:v>
                </c:pt>
                <c:pt idx="162">
                  <c:v>331555.91000000009</c:v>
                </c:pt>
                <c:pt idx="163">
                  <c:v>350700</c:v>
                </c:pt>
                <c:pt idx="164">
                  <c:v>364770.93000000005</c:v>
                </c:pt>
                <c:pt idx="165">
                  <c:v>370390.86000000022</c:v>
                </c:pt>
                <c:pt idx="166">
                  <c:v>388031.9699999998</c:v>
                </c:pt>
                <c:pt idx="167">
                  <c:v>395478.02</c:v>
                </c:pt>
                <c:pt idx="168">
                  <c:v>396054.86999999918</c:v>
                </c:pt>
                <c:pt idx="169">
                  <c:v>398666</c:v>
                </c:pt>
                <c:pt idx="170">
                  <c:v>403842.12000000069</c:v>
                </c:pt>
                <c:pt idx="171">
                  <c:v>408102.48999999953</c:v>
                </c:pt>
                <c:pt idx="172">
                  <c:v>413788.14000000071</c:v>
                </c:pt>
                <c:pt idx="173">
                  <c:v>419312.69000000018</c:v>
                </c:pt>
                <c:pt idx="174">
                  <c:v>427747.03000000061</c:v>
                </c:pt>
                <c:pt idx="175">
                  <c:v>428682.77000000165</c:v>
                </c:pt>
                <c:pt idx="176">
                  <c:v>447500.59999999881</c:v>
                </c:pt>
                <c:pt idx="177">
                  <c:v>468273.28000000294</c:v>
                </c:pt>
                <c:pt idx="178">
                  <c:v>469030.93999999959</c:v>
                </c:pt>
                <c:pt idx="179">
                  <c:v>471531.00000000099</c:v>
                </c:pt>
                <c:pt idx="180">
                  <c:v>479428.19999999797</c:v>
                </c:pt>
                <c:pt idx="181">
                  <c:v>484144.34000000136</c:v>
                </c:pt>
                <c:pt idx="182">
                  <c:v>484977.75000000047</c:v>
                </c:pt>
                <c:pt idx="183">
                  <c:v>486993.93999999994</c:v>
                </c:pt>
                <c:pt idx="184">
                  <c:v>494432.570000001</c:v>
                </c:pt>
                <c:pt idx="185">
                  <c:v>503117.67999999772</c:v>
                </c:pt>
                <c:pt idx="186">
                  <c:v>517731.60999999661</c:v>
                </c:pt>
                <c:pt idx="187">
                  <c:v>533571.1800000004</c:v>
                </c:pt>
                <c:pt idx="188">
                  <c:v>544314.64999999967</c:v>
                </c:pt>
                <c:pt idx="189">
                  <c:v>549659.67999999889</c:v>
                </c:pt>
                <c:pt idx="190">
                  <c:v>549722.57999999868</c:v>
                </c:pt>
                <c:pt idx="191">
                  <c:v>559166.8699999979</c:v>
                </c:pt>
                <c:pt idx="192">
                  <c:v>561378.76000000315</c:v>
                </c:pt>
                <c:pt idx="193">
                  <c:v>569841.90000000177</c:v>
                </c:pt>
                <c:pt idx="194">
                  <c:v>570299.42000000051</c:v>
                </c:pt>
                <c:pt idx="195">
                  <c:v>571494.1699999983</c:v>
                </c:pt>
                <c:pt idx="196">
                  <c:v>574187.300000004</c:v>
                </c:pt>
                <c:pt idx="197">
                  <c:v>578864.95999999892</c:v>
                </c:pt>
                <c:pt idx="198">
                  <c:v>583414.55000000016</c:v>
                </c:pt>
                <c:pt idx="199">
                  <c:v>590947.16999999876</c:v>
                </c:pt>
                <c:pt idx="200">
                  <c:v>593286.58999999857</c:v>
                </c:pt>
                <c:pt idx="201">
                  <c:v>598333.15999999864</c:v>
                </c:pt>
                <c:pt idx="202">
                  <c:v>614771.51999999839</c:v>
                </c:pt>
                <c:pt idx="203">
                  <c:v>643961.81999999774</c:v>
                </c:pt>
                <c:pt idx="204">
                  <c:v>677724.04000000074</c:v>
                </c:pt>
                <c:pt idx="205">
                  <c:v>682085</c:v>
                </c:pt>
                <c:pt idx="206">
                  <c:v>687510</c:v>
                </c:pt>
                <c:pt idx="207">
                  <c:v>691766.77999999805</c:v>
                </c:pt>
                <c:pt idx="208">
                  <c:v>697009.67999999551</c:v>
                </c:pt>
                <c:pt idx="209">
                  <c:v>758792.85999999766</c:v>
                </c:pt>
                <c:pt idx="210">
                  <c:v>762327.24999999977</c:v>
                </c:pt>
                <c:pt idx="211">
                  <c:v>772123</c:v>
                </c:pt>
                <c:pt idx="212">
                  <c:v>774796.35999999801</c:v>
                </c:pt>
                <c:pt idx="213">
                  <c:v>783977.3199999996</c:v>
                </c:pt>
                <c:pt idx="214">
                  <c:v>784782.40999999992</c:v>
                </c:pt>
                <c:pt idx="215">
                  <c:v>789862.1599999991</c:v>
                </c:pt>
                <c:pt idx="216">
                  <c:v>803623.24999999616</c:v>
                </c:pt>
                <c:pt idx="217">
                  <c:v>808828.61999999755</c:v>
                </c:pt>
                <c:pt idx="218">
                  <c:v>822080.6600000211</c:v>
                </c:pt>
                <c:pt idx="219">
                  <c:v>838963.39000000129</c:v>
                </c:pt>
                <c:pt idx="220">
                  <c:v>864961.65000000014</c:v>
                </c:pt>
                <c:pt idx="221">
                  <c:v>891250.67999999668</c:v>
                </c:pt>
                <c:pt idx="222">
                  <c:v>893879.65000000189</c:v>
                </c:pt>
                <c:pt idx="223">
                  <c:v>912482.50000000291</c:v>
                </c:pt>
                <c:pt idx="224">
                  <c:v>918025.79999999993</c:v>
                </c:pt>
                <c:pt idx="225">
                  <c:v>936954.95000000321</c:v>
                </c:pt>
                <c:pt idx="226">
                  <c:v>973288.9599999995</c:v>
                </c:pt>
                <c:pt idx="227">
                  <c:v>978734.0100000021</c:v>
                </c:pt>
                <c:pt idx="228">
                  <c:v>993150.83000000007</c:v>
                </c:pt>
                <c:pt idx="229">
                  <c:v>1002163.8099999994</c:v>
                </c:pt>
                <c:pt idx="230">
                  <c:v>1014365.8599999998</c:v>
                </c:pt>
                <c:pt idx="231">
                  <c:v>1021826.2800000054</c:v>
                </c:pt>
                <c:pt idx="232">
                  <c:v>1030600.320000001</c:v>
                </c:pt>
                <c:pt idx="233">
                  <c:v>1034319.0800000022</c:v>
                </c:pt>
                <c:pt idx="234">
                  <c:v>1039093.1200000009</c:v>
                </c:pt>
                <c:pt idx="235">
                  <c:v>1085430.0599999982</c:v>
                </c:pt>
                <c:pt idx="236">
                  <c:v>1105231.1499999959</c:v>
                </c:pt>
                <c:pt idx="237">
                  <c:v>1135302.5800000022</c:v>
                </c:pt>
                <c:pt idx="238">
                  <c:v>1189884.8799999957</c:v>
                </c:pt>
                <c:pt idx="239">
                  <c:v>1221371.9699999979</c:v>
                </c:pt>
                <c:pt idx="240">
                  <c:v>1227041.4400000006</c:v>
                </c:pt>
                <c:pt idx="241">
                  <c:v>1233280.5700000059</c:v>
                </c:pt>
                <c:pt idx="242">
                  <c:v>1251418.0899999924</c:v>
                </c:pt>
                <c:pt idx="243">
                  <c:v>1397489.5699999933</c:v>
                </c:pt>
                <c:pt idx="244">
                  <c:v>1400272.1500000008</c:v>
                </c:pt>
                <c:pt idx="245">
                  <c:v>1410917.4399999955</c:v>
                </c:pt>
                <c:pt idx="246">
                  <c:v>1448640.8400000057</c:v>
                </c:pt>
                <c:pt idx="247">
                  <c:v>1568242.3300000005</c:v>
                </c:pt>
                <c:pt idx="248">
                  <c:v>1588971.5699999998</c:v>
                </c:pt>
                <c:pt idx="249">
                  <c:v>1656990.26999999</c:v>
                </c:pt>
                <c:pt idx="250">
                  <c:v>1733255.5900000057</c:v>
                </c:pt>
                <c:pt idx="251">
                  <c:v>1759187.1599999995</c:v>
                </c:pt>
                <c:pt idx="252">
                  <c:v>1912698.5999999971</c:v>
                </c:pt>
                <c:pt idx="253">
                  <c:v>2038566.2699999989</c:v>
                </c:pt>
                <c:pt idx="254">
                  <c:v>2183509.0900000059</c:v>
                </c:pt>
                <c:pt idx="255">
                  <c:v>2247220.629999998</c:v>
                </c:pt>
                <c:pt idx="256">
                  <c:v>2311411.700000003</c:v>
                </c:pt>
                <c:pt idx="257">
                  <c:v>2314022.0299999928</c:v>
                </c:pt>
                <c:pt idx="258">
                  <c:v>2474536.5800000029</c:v>
                </c:pt>
                <c:pt idx="259">
                  <c:v>2681839.2000000044</c:v>
                </c:pt>
                <c:pt idx="260">
                  <c:v>2692166.069999998</c:v>
                </c:pt>
                <c:pt idx="261">
                  <c:v>2905771.7499999981</c:v>
                </c:pt>
                <c:pt idx="262">
                  <c:v>2957809.6500000022</c:v>
                </c:pt>
                <c:pt idx="263">
                  <c:v>3016250.4200000009</c:v>
                </c:pt>
                <c:pt idx="264">
                  <c:v>3064943.080000001</c:v>
                </c:pt>
                <c:pt idx="265">
                  <c:v>3145256.4100000015</c:v>
                </c:pt>
                <c:pt idx="266">
                  <c:v>3168939.0100000203</c:v>
                </c:pt>
                <c:pt idx="267">
                  <c:v>3546201.7400000067</c:v>
                </c:pt>
                <c:pt idx="268">
                  <c:v>3636553.3799999985</c:v>
                </c:pt>
                <c:pt idx="269">
                  <c:v>3827510.6199999861</c:v>
                </c:pt>
                <c:pt idx="270">
                  <c:v>4153720.4599999981</c:v>
                </c:pt>
                <c:pt idx="271">
                  <c:v>4258254.5999999978</c:v>
                </c:pt>
                <c:pt idx="272">
                  <c:v>4353272.5399999954</c:v>
                </c:pt>
                <c:pt idx="273">
                  <c:v>4434900.509999997</c:v>
                </c:pt>
                <c:pt idx="274">
                  <c:v>4511860.6899999995</c:v>
                </c:pt>
                <c:pt idx="275">
                  <c:v>5611644.4400000032</c:v>
                </c:pt>
                <c:pt idx="276">
                  <c:v>5951807.6200000001</c:v>
                </c:pt>
                <c:pt idx="277">
                  <c:v>8291642.2500000084</c:v>
                </c:pt>
                <c:pt idx="278">
                  <c:v>8307022.2200000081</c:v>
                </c:pt>
                <c:pt idx="279">
                  <c:v>10884765.250000009</c:v>
                </c:pt>
                <c:pt idx="280">
                  <c:v>23551840.34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0361984"/>
        <c:axId val="280658688"/>
      </c:barChart>
      <c:barChart>
        <c:barDir val="col"/>
        <c:grouping val="stacked"/>
        <c:varyColors val="0"/>
        <c:ser>
          <c:idx val="1"/>
          <c:order val="1"/>
          <c:tx>
            <c:strRef>
              <c:f>EBIT!$H$41</c:f>
              <c:strCache>
                <c:ptCount val="1"/>
                <c:pt idx="0">
                  <c:v>helper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[0]!GRAPH_REV</c:f>
              <c:strCache>
                <c:ptCount val="281"/>
                <c:pt idx="0">
                  <c:v>136,3</c:v>
                </c:pt>
                <c:pt idx="1">
                  <c:v>28,5</c:v>
                </c:pt>
                <c:pt idx="2">
                  <c:v>69,6</c:v>
                </c:pt>
                <c:pt idx="3">
                  <c:v>54,4</c:v>
                </c:pt>
                <c:pt idx="4">
                  <c:v>29,0</c:v>
                </c:pt>
                <c:pt idx="5">
                  <c:v>83,0</c:v>
                </c:pt>
                <c:pt idx="6">
                  <c:v>23,2</c:v>
                </c:pt>
                <c:pt idx="7">
                  <c:v>0,2</c:v>
                </c:pt>
                <c:pt idx="8">
                  <c:v>22,5</c:v>
                </c:pt>
                <c:pt idx="9">
                  <c:v>10,3</c:v>
                </c:pt>
                <c:pt idx="10">
                  <c:v>8,9</c:v>
                </c:pt>
                <c:pt idx="11">
                  <c:v>9,1</c:v>
                </c:pt>
                <c:pt idx="12">
                  <c:v>6,8</c:v>
                </c:pt>
                <c:pt idx="13">
                  <c:v>15,1</c:v>
                </c:pt>
                <c:pt idx="14">
                  <c:v>6,5</c:v>
                </c:pt>
                <c:pt idx="15">
                  <c:v>19,3</c:v>
                </c:pt>
                <c:pt idx="16">
                  <c:v>8,5</c:v>
                </c:pt>
                <c:pt idx="17">
                  <c:v>12,4</c:v>
                </c:pt>
                <c:pt idx="18">
                  <c:v>44,3</c:v>
                </c:pt>
                <c:pt idx="19">
                  <c:v>28,5</c:v>
                </c:pt>
                <c:pt idx="20">
                  <c:v>9,2</c:v>
                </c:pt>
                <c:pt idx="21">
                  <c:v>9,4</c:v>
                </c:pt>
                <c:pt idx="22">
                  <c:v>17,1</c:v>
                </c:pt>
                <c:pt idx="23">
                  <c:v>12,2</c:v>
                </c:pt>
                <c:pt idx="24">
                  <c:v>17,6</c:v>
                </c:pt>
                <c:pt idx="25">
                  <c:v>3,7</c:v>
                </c:pt>
                <c:pt idx="26">
                  <c:v>6,1</c:v>
                </c:pt>
                <c:pt idx="27">
                  <c:v>3,3</c:v>
                </c:pt>
                <c:pt idx="28">
                  <c:v>27,0</c:v>
                </c:pt>
                <c:pt idx="29">
                  <c:v>25,5</c:v>
                </c:pt>
                <c:pt idx="30">
                  <c:v>14,6</c:v>
                </c:pt>
                <c:pt idx="31">
                  <c:v>3,7</c:v>
                </c:pt>
                <c:pt idx="32">
                  <c:v>7,2</c:v>
                </c:pt>
                <c:pt idx="33">
                  <c:v>14,1</c:v>
                </c:pt>
                <c:pt idx="34">
                  <c:v>0,0</c:v>
                </c:pt>
                <c:pt idx="35">
                  <c:v>13,9</c:v>
                </c:pt>
                <c:pt idx="36">
                  <c:v>10,7</c:v>
                </c:pt>
                <c:pt idx="37">
                  <c:v>0,0</c:v>
                </c:pt>
                <c:pt idx="38">
                  <c:v>9,7</c:v>
                </c:pt>
                <c:pt idx="39">
                  <c:v>14,1</c:v>
                </c:pt>
                <c:pt idx="40">
                  <c:v>3,9</c:v>
                </c:pt>
                <c:pt idx="41">
                  <c:v>45,3</c:v>
                </c:pt>
                <c:pt idx="42">
                  <c:v>6,4</c:v>
                </c:pt>
                <c:pt idx="43">
                  <c:v>6,9</c:v>
                </c:pt>
                <c:pt idx="44">
                  <c:v>9,3</c:v>
                </c:pt>
                <c:pt idx="45">
                  <c:v>2,3</c:v>
                </c:pt>
                <c:pt idx="46">
                  <c:v>7,0</c:v>
                </c:pt>
                <c:pt idx="47">
                  <c:v>2,0</c:v>
                </c:pt>
                <c:pt idx="48">
                  <c:v>1,8</c:v>
                </c:pt>
                <c:pt idx="49">
                  <c:v>6,5</c:v>
                </c:pt>
                <c:pt idx="50">
                  <c:v>8,2</c:v>
                </c:pt>
                <c:pt idx="51">
                  <c:v>34,2</c:v>
                </c:pt>
                <c:pt idx="52">
                  <c:v>7,5</c:v>
                </c:pt>
                <c:pt idx="53">
                  <c:v>38,6</c:v>
                </c:pt>
                <c:pt idx="54">
                  <c:v>10,4</c:v>
                </c:pt>
                <c:pt idx="55">
                  <c:v>1,1</c:v>
                </c:pt>
                <c:pt idx="56">
                  <c:v>1,0</c:v>
                </c:pt>
                <c:pt idx="57">
                  <c:v>8,1</c:v>
                </c:pt>
                <c:pt idx="58">
                  <c:v>5,1</c:v>
                </c:pt>
                <c:pt idx="59">
                  <c:v>8,8</c:v>
                </c:pt>
                <c:pt idx="60">
                  <c:v>5,2</c:v>
                </c:pt>
                <c:pt idx="61">
                  <c:v>27,3</c:v>
                </c:pt>
                <c:pt idx="62">
                  <c:v>1,2</c:v>
                </c:pt>
                <c:pt idx="63">
                  <c:v>3,2</c:v>
                </c:pt>
                <c:pt idx="64">
                  <c:v>3,7</c:v>
                </c:pt>
                <c:pt idx="65">
                  <c:v>23,0</c:v>
                </c:pt>
                <c:pt idx="66">
                  <c:v>3,1</c:v>
                </c:pt>
                <c:pt idx="67">
                  <c:v>2,0</c:v>
                </c:pt>
                <c:pt idx="68">
                  <c:v>13,4</c:v>
                </c:pt>
                <c:pt idx="69">
                  <c:v>12,6</c:v>
                </c:pt>
                <c:pt idx="70">
                  <c:v>3,9</c:v>
                </c:pt>
                <c:pt idx="71">
                  <c:v>3,8</c:v>
                </c:pt>
                <c:pt idx="72">
                  <c:v>3,4</c:v>
                </c:pt>
                <c:pt idx="73">
                  <c:v>2,7</c:v>
                </c:pt>
                <c:pt idx="74">
                  <c:v>0,1</c:v>
                </c:pt>
                <c:pt idx="75">
                  <c:v>1,2</c:v>
                </c:pt>
                <c:pt idx="76">
                  <c:v>39,9</c:v>
                </c:pt>
                <c:pt idx="77">
                  <c:v>0,8</c:v>
                </c:pt>
                <c:pt idx="78">
                  <c:v>39,5</c:v>
                </c:pt>
                <c:pt idx="79">
                  <c:v>0,2</c:v>
                </c:pt>
                <c:pt idx="80">
                  <c:v>0,3</c:v>
                </c:pt>
                <c:pt idx="81">
                  <c:v>5,7</c:v>
                </c:pt>
                <c:pt idx="82">
                  <c:v>1,8</c:v>
                </c:pt>
                <c:pt idx="83">
                  <c:v>0,0</c:v>
                </c:pt>
                <c:pt idx="84">
                  <c:v>0,0</c:v>
                </c:pt>
                <c:pt idx="85">
                  <c:v>0,0</c:v>
                </c:pt>
                <c:pt idx="86">
                  <c:v>0,0</c:v>
                </c:pt>
                <c:pt idx="87">
                  <c:v>6,9</c:v>
                </c:pt>
                <c:pt idx="88">
                  <c:v>10,4</c:v>
                </c:pt>
                <c:pt idx="89">
                  <c:v>4,9</c:v>
                </c:pt>
                <c:pt idx="90">
                  <c:v>12,0</c:v>
                </c:pt>
                <c:pt idx="91">
                  <c:v>1,3</c:v>
                </c:pt>
                <c:pt idx="92">
                  <c:v>2,7</c:v>
                </c:pt>
                <c:pt idx="93">
                  <c:v>1,5</c:v>
                </c:pt>
                <c:pt idx="94">
                  <c:v>0,4</c:v>
                </c:pt>
                <c:pt idx="95">
                  <c:v>12,7</c:v>
                </c:pt>
                <c:pt idx="96">
                  <c:v>0,1</c:v>
                </c:pt>
                <c:pt idx="97">
                  <c:v>0,0</c:v>
                </c:pt>
                <c:pt idx="98">
                  <c:v>2,4</c:v>
                </c:pt>
                <c:pt idx="99">
                  <c:v>3,1</c:v>
                </c:pt>
                <c:pt idx="100">
                  <c:v>4,0</c:v>
                </c:pt>
                <c:pt idx="101">
                  <c:v>0,6</c:v>
                </c:pt>
                <c:pt idx="102">
                  <c:v>0,1</c:v>
                </c:pt>
                <c:pt idx="103">
                  <c:v>0,9</c:v>
                </c:pt>
                <c:pt idx="104">
                  <c:v>3,2</c:v>
                </c:pt>
                <c:pt idx="105">
                  <c:v>1,5</c:v>
                </c:pt>
                <c:pt idx="106">
                  <c:v>6,7</c:v>
                </c:pt>
                <c:pt idx="107">
                  <c:v>0,5</c:v>
                </c:pt>
                <c:pt idx="108">
                  <c:v>1,9</c:v>
                </c:pt>
                <c:pt idx="109">
                  <c:v>1,0</c:v>
                </c:pt>
                <c:pt idx="110">
                  <c:v>20,1</c:v>
                </c:pt>
                <c:pt idx="111">
                  <c:v>0,7</c:v>
                </c:pt>
                <c:pt idx="112">
                  <c:v>4,2</c:v>
                </c:pt>
                <c:pt idx="113">
                  <c:v>9,5</c:v>
                </c:pt>
                <c:pt idx="114">
                  <c:v>2,4</c:v>
                </c:pt>
                <c:pt idx="115">
                  <c:v>0,7</c:v>
                </c:pt>
                <c:pt idx="116">
                  <c:v>1,4</c:v>
                </c:pt>
                <c:pt idx="117">
                  <c:v>0,8</c:v>
                </c:pt>
                <c:pt idx="118">
                  <c:v>17,3</c:v>
                </c:pt>
                <c:pt idx="119">
                  <c:v>6,6</c:v>
                </c:pt>
                <c:pt idx="120">
                  <c:v>1,5</c:v>
                </c:pt>
                <c:pt idx="121">
                  <c:v>3,0</c:v>
                </c:pt>
                <c:pt idx="122">
                  <c:v>14,1</c:v>
                </c:pt>
                <c:pt idx="123">
                  <c:v>8,2</c:v>
                </c:pt>
                <c:pt idx="124">
                  <c:v>0,4</c:v>
                </c:pt>
                <c:pt idx="125">
                  <c:v>1,2</c:v>
                </c:pt>
                <c:pt idx="126">
                  <c:v>1,1</c:v>
                </c:pt>
                <c:pt idx="127">
                  <c:v>9,0</c:v>
                </c:pt>
                <c:pt idx="128">
                  <c:v>1,1</c:v>
                </c:pt>
                <c:pt idx="129">
                  <c:v>3,6</c:v>
                </c:pt>
                <c:pt idx="130">
                  <c:v>2,1</c:v>
                </c:pt>
                <c:pt idx="131">
                  <c:v>4,6</c:v>
                </c:pt>
                <c:pt idx="132">
                  <c:v>1,3</c:v>
                </c:pt>
                <c:pt idx="133">
                  <c:v>0,6</c:v>
                </c:pt>
                <c:pt idx="134">
                  <c:v>3,6</c:v>
                </c:pt>
                <c:pt idx="135">
                  <c:v>2,2</c:v>
                </c:pt>
                <c:pt idx="136">
                  <c:v>2,3</c:v>
                </c:pt>
                <c:pt idx="137">
                  <c:v>4,2</c:v>
                </c:pt>
                <c:pt idx="138">
                  <c:v>4,4</c:v>
                </c:pt>
                <c:pt idx="139">
                  <c:v>3,6</c:v>
                </c:pt>
                <c:pt idx="140">
                  <c:v>5,4</c:v>
                </c:pt>
                <c:pt idx="141">
                  <c:v>15,5</c:v>
                </c:pt>
                <c:pt idx="142">
                  <c:v>0,4</c:v>
                </c:pt>
                <c:pt idx="143">
                  <c:v>4,3</c:v>
                </c:pt>
                <c:pt idx="144">
                  <c:v>6,4</c:v>
                </c:pt>
                <c:pt idx="145">
                  <c:v>1,0</c:v>
                </c:pt>
                <c:pt idx="146">
                  <c:v>1,5</c:v>
                </c:pt>
                <c:pt idx="147">
                  <c:v>3,4</c:v>
                </c:pt>
                <c:pt idx="148">
                  <c:v>4,3</c:v>
                </c:pt>
                <c:pt idx="149">
                  <c:v>16,8</c:v>
                </c:pt>
                <c:pt idx="150">
                  <c:v>4,3</c:v>
                </c:pt>
                <c:pt idx="151">
                  <c:v>23,3</c:v>
                </c:pt>
                <c:pt idx="152">
                  <c:v>4,0</c:v>
                </c:pt>
                <c:pt idx="153">
                  <c:v>8,4</c:v>
                </c:pt>
                <c:pt idx="154">
                  <c:v>2,2</c:v>
                </c:pt>
                <c:pt idx="155">
                  <c:v>4,4</c:v>
                </c:pt>
                <c:pt idx="156">
                  <c:v>10,6</c:v>
                </c:pt>
                <c:pt idx="157">
                  <c:v>5,9</c:v>
                </c:pt>
                <c:pt idx="158">
                  <c:v>3,6</c:v>
                </c:pt>
                <c:pt idx="159">
                  <c:v>1,5</c:v>
                </c:pt>
                <c:pt idx="160">
                  <c:v>4,9</c:v>
                </c:pt>
                <c:pt idx="161">
                  <c:v>0,8</c:v>
                </c:pt>
                <c:pt idx="162">
                  <c:v>2,0</c:v>
                </c:pt>
                <c:pt idx="163">
                  <c:v>6,5</c:v>
                </c:pt>
                <c:pt idx="164">
                  <c:v>1,8</c:v>
                </c:pt>
                <c:pt idx="165">
                  <c:v>3,5</c:v>
                </c:pt>
                <c:pt idx="166">
                  <c:v>0,6</c:v>
                </c:pt>
                <c:pt idx="167">
                  <c:v>4,1</c:v>
                </c:pt>
                <c:pt idx="168">
                  <c:v>9,6</c:v>
                </c:pt>
                <c:pt idx="169">
                  <c:v>7,7</c:v>
                </c:pt>
                <c:pt idx="170">
                  <c:v>2,5</c:v>
                </c:pt>
                <c:pt idx="171">
                  <c:v>6,3</c:v>
                </c:pt>
                <c:pt idx="172">
                  <c:v>5,1</c:v>
                </c:pt>
                <c:pt idx="173">
                  <c:v>7,9</c:v>
                </c:pt>
                <c:pt idx="174">
                  <c:v>3,9</c:v>
                </c:pt>
                <c:pt idx="175">
                  <c:v>13,5</c:v>
                </c:pt>
                <c:pt idx="176">
                  <c:v>8,0</c:v>
                </c:pt>
                <c:pt idx="177">
                  <c:v>26,1</c:v>
                </c:pt>
                <c:pt idx="178">
                  <c:v>3,2</c:v>
                </c:pt>
                <c:pt idx="179">
                  <c:v>9,3</c:v>
                </c:pt>
                <c:pt idx="180">
                  <c:v>5,2</c:v>
                </c:pt>
                <c:pt idx="181">
                  <c:v>4,7</c:v>
                </c:pt>
                <c:pt idx="182">
                  <c:v>7,4</c:v>
                </c:pt>
                <c:pt idx="183">
                  <c:v>1,8</c:v>
                </c:pt>
                <c:pt idx="184">
                  <c:v>32,5</c:v>
                </c:pt>
                <c:pt idx="185">
                  <c:v>10,5</c:v>
                </c:pt>
                <c:pt idx="186">
                  <c:v>10,7</c:v>
                </c:pt>
                <c:pt idx="187">
                  <c:v>8,4</c:v>
                </c:pt>
                <c:pt idx="188">
                  <c:v>3,1</c:v>
                </c:pt>
                <c:pt idx="189">
                  <c:v>8,1</c:v>
                </c:pt>
                <c:pt idx="190">
                  <c:v>9,8</c:v>
                </c:pt>
                <c:pt idx="191">
                  <c:v>11,2</c:v>
                </c:pt>
                <c:pt idx="192">
                  <c:v>8,1</c:v>
                </c:pt>
                <c:pt idx="193">
                  <c:v>13,5</c:v>
                </c:pt>
                <c:pt idx="194">
                  <c:v>7,4</c:v>
                </c:pt>
                <c:pt idx="195">
                  <c:v>7,4</c:v>
                </c:pt>
                <c:pt idx="196">
                  <c:v>21,3</c:v>
                </c:pt>
                <c:pt idx="197">
                  <c:v>11,7</c:v>
                </c:pt>
                <c:pt idx="198">
                  <c:v>3,8</c:v>
                </c:pt>
                <c:pt idx="199">
                  <c:v>14,1</c:v>
                </c:pt>
                <c:pt idx="200">
                  <c:v>11,0</c:v>
                </c:pt>
                <c:pt idx="201">
                  <c:v>11,9</c:v>
                </c:pt>
                <c:pt idx="202">
                  <c:v>12,4</c:v>
                </c:pt>
                <c:pt idx="203">
                  <c:v>9,7</c:v>
                </c:pt>
                <c:pt idx="204">
                  <c:v>1,2</c:v>
                </c:pt>
                <c:pt idx="205">
                  <c:v>10,7</c:v>
                </c:pt>
                <c:pt idx="206">
                  <c:v>10,9</c:v>
                </c:pt>
                <c:pt idx="207">
                  <c:v>16,7</c:v>
                </c:pt>
                <c:pt idx="208">
                  <c:v>22,7</c:v>
                </c:pt>
                <c:pt idx="209">
                  <c:v>6,1</c:v>
                </c:pt>
                <c:pt idx="210">
                  <c:v>13,2</c:v>
                </c:pt>
                <c:pt idx="211">
                  <c:v>10,5</c:v>
                </c:pt>
                <c:pt idx="212">
                  <c:v>12,3</c:v>
                </c:pt>
                <c:pt idx="213">
                  <c:v>3,5</c:v>
                </c:pt>
                <c:pt idx="214">
                  <c:v>30,7</c:v>
                </c:pt>
                <c:pt idx="215">
                  <c:v>10,0</c:v>
                </c:pt>
                <c:pt idx="216">
                  <c:v>9,1</c:v>
                </c:pt>
                <c:pt idx="217">
                  <c:v>9,3</c:v>
                </c:pt>
                <c:pt idx="218">
                  <c:v>68,7</c:v>
                </c:pt>
                <c:pt idx="219">
                  <c:v>6,8</c:v>
                </c:pt>
                <c:pt idx="220">
                  <c:v>15,3</c:v>
                </c:pt>
                <c:pt idx="221">
                  <c:v>11,4</c:v>
                </c:pt>
                <c:pt idx="222">
                  <c:v>15,3</c:v>
                </c:pt>
                <c:pt idx="223">
                  <c:v>24,4</c:v>
                </c:pt>
                <c:pt idx="224">
                  <c:v>3,5</c:v>
                </c:pt>
                <c:pt idx="225">
                  <c:v>15,1</c:v>
                </c:pt>
                <c:pt idx="226">
                  <c:v>10,1</c:v>
                </c:pt>
                <c:pt idx="227">
                  <c:v>17,8</c:v>
                </c:pt>
                <c:pt idx="228">
                  <c:v>7,8</c:v>
                </c:pt>
                <c:pt idx="229">
                  <c:v>6,7</c:v>
                </c:pt>
                <c:pt idx="230">
                  <c:v>17,9</c:v>
                </c:pt>
                <c:pt idx="231">
                  <c:v>45,1</c:v>
                </c:pt>
                <c:pt idx="232">
                  <c:v>8,7</c:v>
                </c:pt>
                <c:pt idx="233">
                  <c:v>3,7</c:v>
                </c:pt>
                <c:pt idx="234">
                  <c:v>13,2</c:v>
                </c:pt>
                <c:pt idx="235">
                  <c:v>22,7</c:v>
                </c:pt>
                <c:pt idx="236">
                  <c:v>19,2</c:v>
                </c:pt>
                <c:pt idx="237">
                  <c:v>12,9</c:v>
                </c:pt>
                <c:pt idx="238">
                  <c:v>13,3</c:v>
                </c:pt>
                <c:pt idx="239">
                  <c:v>10,2</c:v>
                </c:pt>
                <c:pt idx="240">
                  <c:v>14,3</c:v>
                </c:pt>
                <c:pt idx="241">
                  <c:v>21,2</c:v>
                </c:pt>
                <c:pt idx="242">
                  <c:v>18,6</c:v>
                </c:pt>
                <c:pt idx="243">
                  <c:v>21,3</c:v>
                </c:pt>
                <c:pt idx="244">
                  <c:v>51,0</c:v>
                </c:pt>
                <c:pt idx="245">
                  <c:v>58,2</c:v>
                </c:pt>
                <c:pt idx="246">
                  <c:v>28,9</c:v>
                </c:pt>
                <c:pt idx="247">
                  <c:v>6,4</c:v>
                </c:pt>
                <c:pt idx="248">
                  <c:v>15,8</c:v>
                </c:pt>
                <c:pt idx="249">
                  <c:v>51,8</c:v>
                </c:pt>
                <c:pt idx="250">
                  <c:v>14,9</c:v>
                </c:pt>
                <c:pt idx="251">
                  <c:v>9,2</c:v>
                </c:pt>
                <c:pt idx="252">
                  <c:v>16,4</c:v>
                </c:pt>
                <c:pt idx="253">
                  <c:v>2,5</c:v>
                </c:pt>
                <c:pt idx="254">
                  <c:v>27,6</c:v>
                </c:pt>
                <c:pt idx="255">
                  <c:v>23,8</c:v>
                </c:pt>
                <c:pt idx="256">
                  <c:v>17,5</c:v>
                </c:pt>
                <c:pt idx="257">
                  <c:v>30,4</c:v>
                </c:pt>
                <c:pt idx="258">
                  <c:v>8,5</c:v>
                </c:pt>
                <c:pt idx="259">
                  <c:v>19,5</c:v>
                </c:pt>
                <c:pt idx="260">
                  <c:v>15,4</c:v>
                </c:pt>
                <c:pt idx="261">
                  <c:v>31,0</c:v>
                </c:pt>
                <c:pt idx="262">
                  <c:v>19,5</c:v>
                </c:pt>
                <c:pt idx="263">
                  <c:v>20,4</c:v>
                </c:pt>
                <c:pt idx="264">
                  <c:v>23,0</c:v>
                </c:pt>
                <c:pt idx="265">
                  <c:v>19,7</c:v>
                </c:pt>
                <c:pt idx="266">
                  <c:v>63,7</c:v>
                </c:pt>
                <c:pt idx="267">
                  <c:v>114,5</c:v>
                </c:pt>
                <c:pt idx="268">
                  <c:v>23,0</c:v>
                </c:pt>
                <c:pt idx="269">
                  <c:v>137,0</c:v>
                </c:pt>
                <c:pt idx="270">
                  <c:v>27,3</c:v>
                </c:pt>
                <c:pt idx="271">
                  <c:v>40,8</c:v>
                </c:pt>
                <c:pt idx="272">
                  <c:v>36,0</c:v>
                </c:pt>
                <c:pt idx="273">
                  <c:v>79,7</c:v>
                </c:pt>
                <c:pt idx="274">
                  <c:v>25,3</c:v>
                </c:pt>
                <c:pt idx="275">
                  <c:v>41,0</c:v>
                </c:pt>
                <c:pt idx="276">
                  <c:v>32,9</c:v>
                </c:pt>
                <c:pt idx="277">
                  <c:v>121,2</c:v>
                </c:pt>
                <c:pt idx="278">
                  <c:v>33,3</c:v>
                </c:pt>
                <c:pt idx="279">
                  <c:v>79,5</c:v>
                </c:pt>
                <c:pt idx="280">
                  <c:v>72,3</c:v>
                </c:pt>
              </c:strCache>
            </c:strRef>
          </c:cat>
          <c:val>
            <c:numRef>
              <c:f>[0]!GRAPH_HELPER</c:f>
              <c:numCache>
                <c:formatCode>#,##0</c:formatCode>
                <c:ptCount val="281"/>
                <c:pt idx="0">
                  <c:v>-9189010.0999999791</c:v>
                </c:pt>
                <c:pt idx="1">
                  <c:v>-6692195.6799999941</c:v>
                </c:pt>
                <c:pt idx="2">
                  <c:v>-6302461.359999992</c:v>
                </c:pt>
                <c:pt idx="3">
                  <c:v>-5995498.7200000025</c:v>
                </c:pt>
                <c:pt idx="4">
                  <c:v>-4895904.589999998</c:v>
                </c:pt>
                <c:pt idx="5">
                  <c:v>-3805158.9199999897</c:v>
                </c:pt>
                <c:pt idx="6">
                  <c:v>-3262901.8699999969</c:v>
                </c:pt>
                <c:pt idx="7">
                  <c:v>-2022464</c:v>
                </c:pt>
                <c:pt idx="8">
                  <c:v>-1847725.6500000013</c:v>
                </c:pt>
                <c:pt idx="9">
                  <c:v>-1805713.5699999998</c:v>
                </c:pt>
                <c:pt idx="10">
                  <c:v>-1624854</c:v>
                </c:pt>
                <c:pt idx="11">
                  <c:v>-1584643.3400000008</c:v>
                </c:pt>
                <c:pt idx="12">
                  <c:v>-1373627.1900000002</c:v>
                </c:pt>
                <c:pt idx="13">
                  <c:v>-1332102.6099999964</c:v>
                </c:pt>
                <c:pt idx="14">
                  <c:v>-1208343.76</c:v>
                </c:pt>
                <c:pt idx="15">
                  <c:v>-1129086.9900000026</c:v>
                </c:pt>
                <c:pt idx="16">
                  <c:v>-1128558.6500000013</c:v>
                </c:pt>
                <c:pt idx="17">
                  <c:v>-1091021.5100000016</c:v>
                </c:pt>
                <c:pt idx="18">
                  <c:v>-1021917.5099999987</c:v>
                </c:pt>
                <c:pt idx="19">
                  <c:v>-998608.13999999547</c:v>
                </c:pt>
                <c:pt idx="20">
                  <c:v>-993051.78000000212</c:v>
                </c:pt>
                <c:pt idx="21">
                  <c:v>-907842.44000000053</c:v>
                </c:pt>
                <c:pt idx="22">
                  <c:v>-860690.93999999494</c:v>
                </c:pt>
                <c:pt idx="23">
                  <c:v>-714305.93999999855</c:v>
                </c:pt>
                <c:pt idx="24">
                  <c:v>-704864.24000000022</c:v>
                </c:pt>
                <c:pt idx="25">
                  <c:v>-605373.71999999927</c:v>
                </c:pt>
                <c:pt idx="26">
                  <c:v>-600768.12000000034</c:v>
                </c:pt>
                <c:pt idx="27">
                  <c:v>-591325.40999999933</c:v>
                </c:pt>
                <c:pt idx="28">
                  <c:v>-583637.15000000095</c:v>
                </c:pt>
                <c:pt idx="29">
                  <c:v>-578431.59999999718</c:v>
                </c:pt>
                <c:pt idx="30">
                  <c:v>-568804.01000000141</c:v>
                </c:pt>
                <c:pt idx="31">
                  <c:v>-564168.9099999998</c:v>
                </c:pt>
                <c:pt idx="32">
                  <c:v>-553032.11999999918</c:v>
                </c:pt>
                <c:pt idx="33">
                  <c:v>-539575.75000000151</c:v>
                </c:pt>
                <c:pt idx="34">
                  <c:v>-514451.94999999995</c:v>
                </c:pt>
                <c:pt idx="35">
                  <c:v>-500448.07000000228</c:v>
                </c:pt>
                <c:pt idx="36">
                  <c:v>-472777.4300000004</c:v>
                </c:pt>
                <c:pt idx="37">
                  <c:v>-463216.07999999996</c:v>
                </c:pt>
                <c:pt idx="38">
                  <c:v>-445495.83999999735</c:v>
                </c:pt>
                <c:pt idx="39">
                  <c:v>-405645.23000000097</c:v>
                </c:pt>
                <c:pt idx="40">
                  <c:v>-402769.72999999922</c:v>
                </c:pt>
                <c:pt idx="41">
                  <c:v>-380571.77999999595</c:v>
                </c:pt>
                <c:pt idx="42">
                  <c:v>-351231.13</c:v>
                </c:pt>
                <c:pt idx="43">
                  <c:v>-328680.96000000084</c:v>
                </c:pt>
                <c:pt idx="44">
                  <c:v>-321965.34000000055</c:v>
                </c:pt>
                <c:pt idx="45">
                  <c:v>-317864.38999999978</c:v>
                </c:pt>
                <c:pt idx="46">
                  <c:v>-283755.74</c:v>
                </c:pt>
                <c:pt idx="47">
                  <c:v>-267874.60999999981</c:v>
                </c:pt>
                <c:pt idx="48">
                  <c:v>-266102.73000000016</c:v>
                </c:pt>
                <c:pt idx="49">
                  <c:v>-250612.41000000047</c:v>
                </c:pt>
                <c:pt idx="50">
                  <c:v>-241454.54999999868</c:v>
                </c:pt>
                <c:pt idx="51">
                  <c:v>-228064.86999999732</c:v>
                </c:pt>
                <c:pt idx="52">
                  <c:v>-220166.96999999907</c:v>
                </c:pt>
                <c:pt idx="53">
                  <c:v>-216474.15999998714</c:v>
                </c:pt>
                <c:pt idx="54">
                  <c:v>-212670.58000000083</c:v>
                </c:pt>
                <c:pt idx="55">
                  <c:v>-201870.45000000016</c:v>
                </c:pt>
                <c:pt idx="56">
                  <c:v>-191344.98000000013</c:v>
                </c:pt>
                <c:pt idx="57">
                  <c:v>-185297.38000000038</c:v>
                </c:pt>
                <c:pt idx="58">
                  <c:v>-180255.57000000059</c:v>
                </c:pt>
                <c:pt idx="59">
                  <c:v>-176257.61000000109</c:v>
                </c:pt>
                <c:pt idx="60">
                  <c:v>-167463.78999999986</c:v>
                </c:pt>
                <c:pt idx="61">
                  <c:v>-149859</c:v>
                </c:pt>
                <c:pt idx="62">
                  <c:v>-146804.22999999946</c:v>
                </c:pt>
                <c:pt idx="63">
                  <c:v>-137901.82999999926</c:v>
                </c:pt>
                <c:pt idx="64">
                  <c:v>-136354.66999999908</c:v>
                </c:pt>
                <c:pt idx="65">
                  <c:v>-134029.65000000084</c:v>
                </c:pt>
                <c:pt idx="66">
                  <c:v>-132145.78999999989</c:v>
                </c:pt>
                <c:pt idx="67">
                  <c:v>-116107.06000000008</c:v>
                </c:pt>
                <c:pt idx="68">
                  <c:v>-103997.31999999951</c:v>
                </c:pt>
                <c:pt idx="69">
                  <c:v>-87932.150000000955</c:v>
                </c:pt>
                <c:pt idx="70">
                  <c:v>-78214.840000000506</c:v>
                </c:pt>
                <c:pt idx="71">
                  <c:v>-71864.239999999583</c:v>
                </c:pt>
                <c:pt idx="72">
                  <c:v>-71667.900000001275</c:v>
                </c:pt>
                <c:pt idx="73">
                  <c:v>-64499.46000000021</c:v>
                </c:pt>
                <c:pt idx="74">
                  <c:v>-49582.569999999992</c:v>
                </c:pt>
                <c:pt idx="75">
                  <c:v>-42806.789999999899</c:v>
                </c:pt>
                <c:pt idx="76">
                  <c:v>-41636.410000003758</c:v>
                </c:pt>
                <c:pt idx="77">
                  <c:v>-35259.200000000026</c:v>
                </c:pt>
                <c:pt idx="78">
                  <c:v>-35193.279999999606</c:v>
                </c:pt>
                <c:pt idx="79">
                  <c:v>-25404.75999999998</c:v>
                </c:pt>
                <c:pt idx="80">
                  <c:v>-19768.909999999963</c:v>
                </c:pt>
                <c:pt idx="81">
                  <c:v>-4864.3399999994144</c:v>
                </c:pt>
                <c:pt idx="82">
                  <c:v>-4215.2399999996323</c:v>
                </c:pt>
                <c:pt idx="83">
                  <c:v>-1835.4399999999764</c:v>
                </c:pt>
                <c:pt idx="84">
                  <c:v>-1684.1900000000005</c:v>
                </c:pt>
                <c:pt idx="85">
                  <c:v>-750.22999999991748</c:v>
                </c:pt>
                <c:pt idx="86">
                  <c:v>0.5299999999996885</c:v>
                </c:pt>
                <c:pt idx="87">
                  <c:v>2872.2800000007264</c:v>
                </c:pt>
                <c:pt idx="88">
                  <c:v>6325.4999999995052</c:v>
                </c:pt>
                <c:pt idx="89">
                  <c:v>6393.6199999996461</c:v>
                </c:pt>
                <c:pt idx="90">
                  <c:v>7863.5000000004366</c:v>
                </c:pt>
                <c:pt idx="91">
                  <c:v>10670.859999999688</c:v>
                </c:pt>
                <c:pt idx="92">
                  <c:v>12021.289999999513</c:v>
                </c:pt>
                <c:pt idx="93">
                  <c:v>12879.160000000295</c:v>
                </c:pt>
                <c:pt idx="94">
                  <c:v>15130.230000000072</c:v>
                </c:pt>
                <c:pt idx="95">
                  <c:v>15593.10999999824</c:v>
                </c:pt>
                <c:pt idx="96">
                  <c:v>17379.360000000033</c:v>
                </c:pt>
                <c:pt idx="97">
                  <c:v>20045.48</c:v>
                </c:pt>
                <c:pt idx="98">
                  <c:v>27644.890000000509</c:v>
                </c:pt>
                <c:pt idx="99">
                  <c:v>27885.620000000883</c:v>
                </c:pt>
                <c:pt idx="100">
                  <c:v>30717.719999998706</c:v>
                </c:pt>
                <c:pt idx="101">
                  <c:v>33931.100000000013</c:v>
                </c:pt>
                <c:pt idx="102">
                  <c:v>38009.119999999668</c:v>
                </c:pt>
                <c:pt idx="103">
                  <c:v>39472.670000000049</c:v>
                </c:pt>
                <c:pt idx="104">
                  <c:v>42248.980000000054</c:v>
                </c:pt>
                <c:pt idx="105">
                  <c:v>47405.12000000033</c:v>
                </c:pt>
                <c:pt idx="106">
                  <c:v>57651.419999997655</c:v>
                </c:pt>
                <c:pt idx="107">
                  <c:v>63992.870000000046</c:v>
                </c:pt>
                <c:pt idx="108">
                  <c:v>70990.549999999916</c:v>
                </c:pt>
                <c:pt idx="109">
                  <c:v>71090.889999999985</c:v>
                </c:pt>
                <c:pt idx="110">
                  <c:v>71935.960000001767</c:v>
                </c:pt>
                <c:pt idx="111">
                  <c:v>73038.870000000083</c:v>
                </c:pt>
                <c:pt idx="112">
                  <c:v>78878.089999999938</c:v>
                </c:pt>
                <c:pt idx="113">
                  <c:v>79970.95999999874</c:v>
                </c:pt>
                <c:pt idx="114">
                  <c:v>80351.10000000021</c:v>
                </c:pt>
                <c:pt idx="115">
                  <c:v>90718.999999999767</c:v>
                </c:pt>
                <c:pt idx="116">
                  <c:v>93767.420000000071</c:v>
                </c:pt>
                <c:pt idx="117">
                  <c:v>94291.46000000005</c:v>
                </c:pt>
                <c:pt idx="118">
                  <c:v>102811.9799999987</c:v>
                </c:pt>
                <c:pt idx="119">
                  <c:v>105738.07000000114</c:v>
                </c:pt>
                <c:pt idx="120">
                  <c:v>106668.3000000001</c:v>
                </c:pt>
                <c:pt idx="121">
                  <c:v>114875.88999999952</c:v>
                </c:pt>
                <c:pt idx="122">
                  <c:v>115748.54000000138</c:v>
                </c:pt>
                <c:pt idx="123">
                  <c:v>116207.139999999</c:v>
                </c:pt>
                <c:pt idx="124">
                  <c:v>124603.45000000004</c:v>
                </c:pt>
                <c:pt idx="125">
                  <c:v>129550.10000000006</c:v>
                </c:pt>
                <c:pt idx="126">
                  <c:v>138141.67999999993</c:v>
                </c:pt>
                <c:pt idx="127">
                  <c:v>140474.0100000003</c:v>
                </c:pt>
                <c:pt idx="128">
                  <c:v>173705.11999999994</c:v>
                </c:pt>
                <c:pt idx="129">
                  <c:v>175506.12999999951</c:v>
                </c:pt>
                <c:pt idx="130">
                  <c:v>175777.57000000009</c:v>
                </c:pt>
                <c:pt idx="131">
                  <c:v>178080.08999999979</c:v>
                </c:pt>
                <c:pt idx="132">
                  <c:v>182233.64000000019</c:v>
                </c:pt>
                <c:pt idx="133">
                  <c:v>186048.23000000045</c:v>
                </c:pt>
                <c:pt idx="134">
                  <c:v>187210.62000000023</c:v>
                </c:pt>
                <c:pt idx="135">
                  <c:v>188587.52999999997</c:v>
                </c:pt>
                <c:pt idx="136">
                  <c:v>189880.01999999981</c:v>
                </c:pt>
                <c:pt idx="137">
                  <c:v>190683.2500000002</c:v>
                </c:pt>
                <c:pt idx="138">
                  <c:v>192633.9500000003</c:v>
                </c:pt>
                <c:pt idx="139">
                  <c:v>193058.66999999993</c:v>
                </c:pt>
                <c:pt idx="140">
                  <c:v>194370.80000000118</c:v>
                </c:pt>
                <c:pt idx="141">
                  <c:v>195560.10000000056</c:v>
                </c:pt>
                <c:pt idx="142">
                  <c:v>211133.21999999994</c:v>
                </c:pt>
                <c:pt idx="143">
                  <c:v>219553.65000000002</c:v>
                </c:pt>
                <c:pt idx="144">
                  <c:v>226997.00000000061</c:v>
                </c:pt>
                <c:pt idx="145">
                  <c:v>230795.77000000002</c:v>
                </c:pt>
                <c:pt idx="146">
                  <c:v>231132.14999999997</c:v>
                </c:pt>
                <c:pt idx="147">
                  <c:v>232290.25999999992</c:v>
                </c:pt>
                <c:pt idx="148">
                  <c:v>250027.69999999984</c:v>
                </c:pt>
                <c:pt idx="149">
                  <c:v>252628.19000000181</c:v>
                </c:pt>
                <c:pt idx="150">
                  <c:v>264548.19999999925</c:v>
                </c:pt>
                <c:pt idx="151">
                  <c:v>269445.66000001016</c:v>
                </c:pt>
                <c:pt idx="152">
                  <c:v>281108.36999999982</c:v>
                </c:pt>
                <c:pt idx="153">
                  <c:v>286368.51999999926</c:v>
                </c:pt>
                <c:pt idx="154">
                  <c:v>291986.7400000004</c:v>
                </c:pt>
                <c:pt idx="155">
                  <c:v>298138.34999999998</c:v>
                </c:pt>
                <c:pt idx="156">
                  <c:v>299912.36999999883</c:v>
                </c:pt>
                <c:pt idx="157">
                  <c:v>300835.11000000336</c:v>
                </c:pt>
                <c:pt idx="158">
                  <c:v>313185.53000000026</c:v>
                </c:pt>
                <c:pt idx="159">
                  <c:v>313684.74000000063</c:v>
                </c:pt>
                <c:pt idx="160">
                  <c:v>316794.47999999917</c:v>
                </c:pt>
                <c:pt idx="161">
                  <c:v>327344.59999999986</c:v>
                </c:pt>
                <c:pt idx="162">
                  <c:v>331555.91000000009</c:v>
                </c:pt>
                <c:pt idx="163">
                  <c:v>350700</c:v>
                </c:pt>
                <c:pt idx="164">
                  <c:v>364770.93000000005</c:v>
                </c:pt>
                <c:pt idx="165">
                  <c:v>370390.86000000022</c:v>
                </c:pt>
                <c:pt idx="166">
                  <c:v>388031.9699999998</c:v>
                </c:pt>
                <c:pt idx="167">
                  <c:v>395478.02</c:v>
                </c:pt>
                <c:pt idx="168">
                  <c:v>396054.86999999918</c:v>
                </c:pt>
                <c:pt idx="169">
                  <c:v>398666</c:v>
                </c:pt>
                <c:pt idx="170">
                  <c:v>403842.12000000069</c:v>
                </c:pt>
                <c:pt idx="171">
                  <c:v>408102.48999999953</c:v>
                </c:pt>
                <c:pt idx="172">
                  <c:v>413788.14000000071</c:v>
                </c:pt>
                <c:pt idx="173">
                  <c:v>419312.69000000018</c:v>
                </c:pt>
                <c:pt idx="174">
                  <c:v>427747.03000000061</c:v>
                </c:pt>
                <c:pt idx="175">
                  <c:v>428682.77000000165</c:v>
                </c:pt>
                <c:pt idx="176">
                  <c:v>447500.59999999881</c:v>
                </c:pt>
                <c:pt idx="177">
                  <c:v>468273.28000000294</c:v>
                </c:pt>
                <c:pt idx="178">
                  <c:v>469030.93999999959</c:v>
                </c:pt>
                <c:pt idx="179">
                  <c:v>471531.00000000099</c:v>
                </c:pt>
                <c:pt idx="180">
                  <c:v>479428.19999999797</c:v>
                </c:pt>
                <c:pt idx="181">
                  <c:v>484144.34000000136</c:v>
                </c:pt>
                <c:pt idx="182">
                  <c:v>484977.75000000047</c:v>
                </c:pt>
                <c:pt idx="183">
                  <c:v>486993.93999999994</c:v>
                </c:pt>
                <c:pt idx="184">
                  <c:v>494432.570000001</c:v>
                </c:pt>
                <c:pt idx="185">
                  <c:v>503117.67999999772</c:v>
                </c:pt>
                <c:pt idx="186">
                  <c:v>517731.60999999661</c:v>
                </c:pt>
                <c:pt idx="187">
                  <c:v>533571.1800000004</c:v>
                </c:pt>
                <c:pt idx="188">
                  <c:v>544314.64999999967</c:v>
                </c:pt>
                <c:pt idx="189">
                  <c:v>549659.67999999889</c:v>
                </c:pt>
                <c:pt idx="190">
                  <c:v>549722.57999999868</c:v>
                </c:pt>
                <c:pt idx="191">
                  <c:v>559166.8699999979</c:v>
                </c:pt>
                <c:pt idx="192">
                  <c:v>561378.76000000315</c:v>
                </c:pt>
                <c:pt idx="193">
                  <c:v>569841.90000000177</c:v>
                </c:pt>
                <c:pt idx="194">
                  <c:v>570299.42000000051</c:v>
                </c:pt>
                <c:pt idx="195">
                  <c:v>571494.1699999983</c:v>
                </c:pt>
                <c:pt idx="196">
                  <c:v>574187.300000004</c:v>
                </c:pt>
                <c:pt idx="197">
                  <c:v>578864.95999999892</c:v>
                </c:pt>
                <c:pt idx="198">
                  <c:v>583414.55000000016</c:v>
                </c:pt>
                <c:pt idx="199">
                  <c:v>590947.16999999876</c:v>
                </c:pt>
                <c:pt idx="200">
                  <c:v>593286.58999999857</c:v>
                </c:pt>
                <c:pt idx="201">
                  <c:v>598333.15999999864</c:v>
                </c:pt>
                <c:pt idx="202">
                  <c:v>614771.51999999839</c:v>
                </c:pt>
                <c:pt idx="203">
                  <c:v>643961.81999999774</c:v>
                </c:pt>
                <c:pt idx="204">
                  <c:v>677724.04000000074</c:v>
                </c:pt>
                <c:pt idx="205">
                  <c:v>682085</c:v>
                </c:pt>
                <c:pt idx="206">
                  <c:v>687510</c:v>
                </c:pt>
                <c:pt idx="207">
                  <c:v>691766.77999999805</c:v>
                </c:pt>
                <c:pt idx="208">
                  <c:v>697009.67999999551</c:v>
                </c:pt>
                <c:pt idx="209">
                  <c:v>758792.85999999766</c:v>
                </c:pt>
                <c:pt idx="210">
                  <c:v>762327.24999999977</c:v>
                </c:pt>
                <c:pt idx="211">
                  <c:v>772123</c:v>
                </c:pt>
                <c:pt idx="212">
                  <c:v>774796.35999999801</c:v>
                </c:pt>
                <c:pt idx="213">
                  <c:v>783977.3199999996</c:v>
                </c:pt>
                <c:pt idx="214">
                  <c:v>784782.40999999992</c:v>
                </c:pt>
                <c:pt idx="215">
                  <c:v>789862.1599999991</c:v>
                </c:pt>
                <c:pt idx="216">
                  <c:v>803623.24999999616</c:v>
                </c:pt>
                <c:pt idx="217">
                  <c:v>808828.61999999755</c:v>
                </c:pt>
                <c:pt idx="218">
                  <c:v>822080.6600000211</c:v>
                </c:pt>
                <c:pt idx="219">
                  <c:v>838963.39000000129</c:v>
                </c:pt>
                <c:pt idx="220">
                  <c:v>864961.65000000014</c:v>
                </c:pt>
                <c:pt idx="221">
                  <c:v>891250.67999999668</c:v>
                </c:pt>
                <c:pt idx="222">
                  <c:v>893879.65000000189</c:v>
                </c:pt>
                <c:pt idx="223">
                  <c:v>912482.50000000291</c:v>
                </c:pt>
                <c:pt idx="224">
                  <c:v>918025.79999999993</c:v>
                </c:pt>
                <c:pt idx="225">
                  <c:v>936954.95000000321</c:v>
                </c:pt>
                <c:pt idx="226">
                  <c:v>973288.9599999995</c:v>
                </c:pt>
                <c:pt idx="227">
                  <c:v>978734.0100000021</c:v>
                </c:pt>
                <c:pt idx="228">
                  <c:v>993150.83000000007</c:v>
                </c:pt>
                <c:pt idx="229">
                  <c:v>1002163.8099999994</c:v>
                </c:pt>
                <c:pt idx="230">
                  <c:v>1014365.8599999998</c:v>
                </c:pt>
                <c:pt idx="231">
                  <c:v>1021826.2800000054</c:v>
                </c:pt>
                <c:pt idx="232">
                  <c:v>1030600.320000001</c:v>
                </c:pt>
                <c:pt idx="233">
                  <c:v>1034319.0800000022</c:v>
                </c:pt>
                <c:pt idx="234">
                  <c:v>1039093.1200000009</c:v>
                </c:pt>
                <c:pt idx="235">
                  <c:v>1085430.0599999982</c:v>
                </c:pt>
                <c:pt idx="236">
                  <c:v>1105231.1499999959</c:v>
                </c:pt>
                <c:pt idx="237">
                  <c:v>1135302.5800000022</c:v>
                </c:pt>
                <c:pt idx="238">
                  <c:v>1189884.8799999957</c:v>
                </c:pt>
                <c:pt idx="239">
                  <c:v>1221371.9699999979</c:v>
                </c:pt>
                <c:pt idx="240">
                  <c:v>1227041.4400000006</c:v>
                </c:pt>
                <c:pt idx="241">
                  <c:v>1233280.5700000059</c:v>
                </c:pt>
                <c:pt idx="242">
                  <c:v>1251418.0899999924</c:v>
                </c:pt>
                <c:pt idx="243">
                  <c:v>1397489.5699999933</c:v>
                </c:pt>
                <c:pt idx="244">
                  <c:v>1400272.1500000008</c:v>
                </c:pt>
                <c:pt idx="245">
                  <c:v>1410917.4399999955</c:v>
                </c:pt>
                <c:pt idx="246">
                  <c:v>1448640.8400000057</c:v>
                </c:pt>
                <c:pt idx="247">
                  <c:v>1568242.3300000005</c:v>
                </c:pt>
                <c:pt idx="248">
                  <c:v>1588971.5699999998</c:v>
                </c:pt>
                <c:pt idx="249">
                  <c:v>1656990.26999999</c:v>
                </c:pt>
                <c:pt idx="250">
                  <c:v>1733255.5900000057</c:v>
                </c:pt>
                <c:pt idx="251">
                  <c:v>1759187.1599999995</c:v>
                </c:pt>
                <c:pt idx="252">
                  <c:v>1912698.5999999971</c:v>
                </c:pt>
                <c:pt idx="253">
                  <c:v>2038566.2699999989</c:v>
                </c:pt>
                <c:pt idx="254">
                  <c:v>2183509.0900000059</c:v>
                </c:pt>
                <c:pt idx="255">
                  <c:v>2247220.629999998</c:v>
                </c:pt>
                <c:pt idx="256">
                  <c:v>2311411.700000003</c:v>
                </c:pt>
                <c:pt idx="257">
                  <c:v>2314022.0299999928</c:v>
                </c:pt>
                <c:pt idx="258">
                  <c:v>2474536.5800000029</c:v>
                </c:pt>
                <c:pt idx="259">
                  <c:v>2681839.2000000044</c:v>
                </c:pt>
                <c:pt idx="260">
                  <c:v>2692166.069999998</c:v>
                </c:pt>
                <c:pt idx="261">
                  <c:v>2905771.7499999981</c:v>
                </c:pt>
                <c:pt idx="262">
                  <c:v>2957809.6500000022</c:v>
                </c:pt>
                <c:pt idx="263">
                  <c:v>3016250.4200000009</c:v>
                </c:pt>
                <c:pt idx="264">
                  <c:v>3064943.080000001</c:v>
                </c:pt>
                <c:pt idx="265">
                  <c:v>3145256.4100000015</c:v>
                </c:pt>
                <c:pt idx="266">
                  <c:v>3168939.0100000203</c:v>
                </c:pt>
                <c:pt idx="267">
                  <c:v>3546201.7400000067</c:v>
                </c:pt>
                <c:pt idx="268">
                  <c:v>3636553.3799999985</c:v>
                </c:pt>
                <c:pt idx="269">
                  <c:v>3827510.6199999861</c:v>
                </c:pt>
                <c:pt idx="270">
                  <c:v>4153720.4599999981</c:v>
                </c:pt>
                <c:pt idx="271">
                  <c:v>4258254.5999999978</c:v>
                </c:pt>
                <c:pt idx="272">
                  <c:v>4353272.5399999954</c:v>
                </c:pt>
                <c:pt idx="273">
                  <c:v>4434900.509999997</c:v>
                </c:pt>
                <c:pt idx="274">
                  <c:v>4511860.6899999995</c:v>
                </c:pt>
                <c:pt idx="275">
                  <c:v>5611644.4400000032</c:v>
                </c:pt>
                <c:pt idx="276">
                  <c:v>5951807.6200000001</c:v>
                </c:pt>
                <c:pt idx="277">
                  <c:v>8291642.2500000084</c:v>
                </c:pt>
                <c:pt idx="278">
                  <c:v>8307022.2200000081</c:v>
                </c:pt>
                <c:pt idx="279">
                  <c:v>10884765.250000009</c:v>
                </c:pt>
                <c:pt idx="280">
                  <c:v>23551840.34</c:v>
                </c:pt>
              </c:numCache>
            </c:numRef>
          </c:val>
        </c:ser>
        <c:ser>
          <c:idx val="2"/>
          <c:order val="2"/>
          <c:tx>
            <c:strRef>
              <c:f>EBIT!$I$41</c:f>
              <c:strCache>
                <c:ptCount val="1"/>
                <c:pt idx="0">
                  <c:v>helper2</c:v>
                </c:pt>
              </c:strCache>
            </c:strRef>
          </c:tx>
          <c:spPr>
            <a:noFill/>
          </c:spPr>
          <c:invertIfNegative val="0"/>
          <c:dLbls>
            <c:numFmt formatCode="#,##0.0" sourceLinked="0"/>
            <c:txPr>
              <a:bodyPr rot="0" vert="horz" anchor="ctr" anchorCtr="0"/>
              <a:lstStyle/>
              <a:p>
                <a:pPr>
                  <a:defRPr sz="900" b="0">
                    <a:solidFill>
                      <a:srgbClr val="C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[0]!GRAPH_REV</c:f>
              <c:strCache>
                <c:ptCount val="281"/>
                <c:pt idx="0">
                  <c:v>136,3</c:v>
                </c:pt>
                <c:pt idx="1">
                  <c:v>28,5</c:v>
                </c:pt>
                <c:pt idx="2">
                  <c:v>69,6</c:v>
                </c:pt>
                <c:pt idx="3">
                  <c:v>54,4</c:v>
                </c:pt>
                <c:pt idx="4">
                  <c:v>29,0</c:v>
                </c:pt>
                <c:pt idx="5">
                  <c:v>83,0</c:v>
                </c:pt>
                <c:pt idx="6">
                  <c:v>23,2</c:v>
                </c:pt>
                <c:pt idx="7">
                  <c:v>0,2</c:v>
                </c:pt>
                <c:pt idx="8">
                  <c:v>22,5</c:v>
                </c:pt>
                <c:pt idx="9">
                  <c:v>10,3</c:v>
                </c:pt>
                <c:pt idx="10">
                  <c:v>8,9</c:v>
                </c:pt>
                <c:pt idx="11">
                  <c:v>9,1</c:v>
                </c:pt>
                <c:pt idx="12">
                  <c:v>6,8</c:v>
                </c:pt>
                <c:pt idx="13">
                  <c:v>15,1</c:v>
                </c:pt>
                <c:pt idx="14">
                  <c:v>6,5</c:v>
                </c:pt>
                <c:pt idx="15">
                  <c:v>19,3</c:v>
                </c:pt>
                <c:pt idx="16">
                  <c:v>8,5</c:v>
                </c:pt>
                <c:pt idx="17">
                  <c:v>12,4</c:v>
                </c:pt>
                <c:pt idx="18">
                  <c:v>44,3</c:v>
                </c:pt>
                <c:pt idx="19">
                  <c:v>28,5</c:v>
                </c:pt>
                <c:pt idx="20">
                  <c:v>9,2</c:v>
                </c:pt>
                <c:pt idx="21">
                  <c:v>9,4</c:v>
                </c:pt>
                <c:pt idx="22">
                  <c:v>17,1</c:v>
                </c:pt>
                <c:pt idx="23">
                  <c:v>12,2</c:v>
                </c:pt>
                <c:pt idx="24">
                  <c:v>17,6</c:v>
                </c:pt>
                <c:pt idx="25">
                  <c:v>3,7</c:v>
                </c:pt>
                <c:pt idx="26">
                  <c:v>6,1</c:v>
                </c:pt>
                <c:pt idx="27">
                  <c:v>3,3</c:v>
                </c:pt>
                <c:pt idx="28">
                  <c:v>27,0</c:v>
                </c:pt>
                <c:pt idx="29">
                  <c:v>25,5</c:v>
                </c:pt>
                <c:pt idx="30">
                  <c:v>14,6</c:v>
                </c:pt>
                <c:pt idx="31">
                  <c:v>3,7</c:v>
                </c:pt>
                <c:pt idx="32">
                  <c:v>7,2</c:v>
                </c:pt>
                <c:pt idx="33">
                  <c:v>14,1</c:v>
                </c:pt>
                <c:pt idx="34">
                  <c:v>0,0</c:v>
                </c:pt>
                <c:pt idx="35">
                  <c:v>13,9</c:v>
                </c:pt>
                <c:pt idx="36">
                  <c:v>10,7</c:v>
                </c:pt>
                <c:pt idx="37">
                  <c:v>0,0</c:v>
                </c:pt>
                <c:pt idx="38">
                  <c:v>9,7</c:v>
                </c:pt>
                <c:pt idx="39">
                  <c:v>14,1</c:v>
                </c:pt>
                <c:pt idx="40">
                  <c:v>3,9</c:v>
                </c:pt>
                <c:pt idx="41">
                  <c:v>45,3</c:v>
                </c:pt>
                <c:pt idx="42">
                  <c:v>6,4</c:v>
                </c:pt>
                <c:pt idx="43">
                  <c:v>6,9</c:v>
                </c:pt>
                <c:pt idx="44">
                  <c:v>9,3</c:v>
                </c:pt>
                <c:pt idx="45">
                  <c:v>2,3</c:v>
                </c:pt>
                <c:pt idx="46">
                  <c:v>7,0</c:v>
                </c:pt>
                <c:pt idx="47">
                  <c:v>2,0</c:v>
                </c:pt>
                <c:pt idx="48">
                  <c:v>1,8</c:v>
                </c:pt>
                <c:pt idx="49">
                  <c:v>6,5</c:v>
                </c:pt>
                <c:pt idx="50">
                  <c:v>8,2</c:v>
                </c:pt>
                <c:pt idx="51">
                  <c:v>34,2</c:v>
                </c:pt>
                <c:pt idx="52">
                  <c:v>7,5</c:v>
                </c:pt>
                <c:pt idx="53">
                  <c:v>38,6</c:v>
                </c:pt>
                <c:pt idx="54">
                  <c:v>10,4</c:v>
                </c:pt>
                <c:pt idx="55">
                  <c:v>1,1</c:v>
                </c:pt>
                <c:pt idx="56">
                  <c:v>1,0</c:v>
                </c:pt>
                <c:pt idx="57">
                  <c:v>8,1</c:v>
                </c:pt>
                <c:pt idx="58">
                  <c:v>5,1</c:v>
                </c:pt>
                <c:pt idx="59">
                  <c:v>8,8</c:v>
                </c:pt>
                <c:pt idx="60">
                  <c:v>5,2</c:v>
                </c:pt>
                <c:pt idx="61">
                  <c:v>27,3</c:v>
                </c:pt>
                <c:pt idx="62">
                  <c:v>1,2</c:v>
                </c:pt>
                <c:pt idx="63">
                  <c:v>3,2</c:v>
                </c:pt>
                <c:pt idx="64">
                  <c:v>3,7</c:v>
                </c:pt>
                <c:pt idx="65">
                  <c:v>23,0</c:v>
                </c:pt>
                <c:pt idx="66">
                  <c:v>3,1</c:v>
                </c:pt>
                <c:pt idx="67">
                  <c:v>2,0</c:v>
                </c:pt>
                <c:pt idx="68">
                  <c:v>13,4</c:v>
                </c:pt>
                <c:pt idx="69">
                  <c:v>12,6</c:v>
                </c:pt>
                <c:pt idx="70">
                  <c:v>3,9</c:v>
                </c:pt>
                <c:pt idx="71">
                  <c:v>3,8</c:v>
                </c:pt>
                <c:pt idx="72">
                  <c:v>3,4</c:v>
                </c:pt>
                <c:pt idx="73">
                  <c:v>2,7</c:v>
                </c:pt>
                <c:pt idx="74">
                  <c:v>0,1</c:v>
                </c:pt>
                <c:pt idx="75">
                  <c:v>1,2</c:v>
                </c:pt>
                <c:pt idx="76">
                  <c:v>39,9</c:v>
                </c:pt>
                <c:pt idx="77">
                  <c:v>0,8</c:v>
                </c:pt>
                <c:pt idx="78">
                  <c:v>39,5</c:v>
                </c:pt>
                <c:pt idx="79">
                  <c:v>0,2</c:v>
                </c:pt>
                <c:pt idx="80">
                  <c:v>0,3</c:v>
                </c:pt>
                <c:pt idx="81">
                  <c:v>5,7</c:v>
                </c:pt>
                <c:pt idx="82">
                  <c:v>1,8</c:v>
                </c:pt>
                <c:pt idx="83">
                  <c:v>0,0</c:v>
                </c:pt>
                <c:pt idx="84">
                  <c:v>0,0</c:v>
                </c:pt>
                <c:pt idx="85">
                  <c:v>0,0</c:v>
                </c:pt>
                <c:pt idx="86">
                  <c:v>0,0</c:v>
                </c:pt>
                <c:pt idx="87">
                  <c:v>6,9</c:v>
                </c:pt>
                <c:pt idx="88">
                  <c:v>10,4</c:v>
                </c:pt>
                <c:pt idx="89">
                  <c:v>4,9</c:v>
                </c:pt>
                <c:pt idx="90">
                  <c:v>12,0</c:v>
                </c:pt>
                <c:pt idx="91">
                  <c:v>1,3</c:v>
                </c:pt>
                <c:pt idx="92">
                  <c:v>2,7</c:v>
                </c:pt>
                <c:pt idx="93">
                  <c:v>1,5</c:v>
                </c:pt>
                <c:pt idx="94">
                  <c:v>0,4</c:v>
                </c:pt>
                <c:pt idx="95">
                  <c:v>12,7</c:v>
                </c:pt>
                <c:pt idx="96">
                  <c:v>0,1</c:v>
                </c:pt>
                <c:pt idx="97">
                  <c:v>0,0</c:v>
                </c:pt>
                <c:pt idx="98">
                  <c:v>2,4</c:v>
                </c:pt>
                <c:pt idx="99">
                  <c:v>3,1</c:v>
                </c:pt>
                <c:pt idx="100">
                  <c:v>4,0</c:v>
                </c:pt>
                <c:pt idx="101">
                  <c:v>0,6</c:v>
                </c:pt>
                <c:pt idx="102">
                  <c:v>0,1</c:v>
                </c:pt>
                <c:pt idx="103">
                  <c:v>0,9</c:v>
                </c:pt>
                <c:pt idx="104">
                  <c:v>3,2</c:v>
                </c:pt>
                <c:pt idx="105">
                  <c:v>1,5</c:v>
                </c:pt>
                <c:pt idx="106">
                  <c:v>6,7</c:v>
                </c:pt>
                <c:pt idx="107">
                  <c:v>0,5</c:v>
                </c:pt>
                <c:pt idx="108">
                  <c:v>1,9</c:v>
                </c:pt>
                <c:pt idx="109">
                  <c:v>1,0</c:v>
                </c:pt>
                <c:pt idx="110">
                  <c:v>20,1</c:v>
                </c:pt>
                <c:pt idx="111">
                  <c:v>0,7</c:v>
                </c:pt>
                <c:pt idx="112">
                  <c:v>4,2</c:v>
                </c:pt>
                <c:pt idx="113">
                  <c:v>9,5</c:v>
                </c:pt>
                <c:pt idx="114">
                  <c:v>2,4</c:v>
                </c:pt>
                <c:pt idx="115">
                  <c:v>0,7</c:v>
                </c:pt>
                <c:pt idx="116">
                  <c:v>1,4</c:v>
                </c:pt>
                <c:pt idx="117">
                  <c:v>0,8</c:v>
                </c:pt>
                <c:pt idx="118">
                  <c:v>17,3</c:v>
                </c:pt>
                <c:pt idx="119">
                  <c:v>6,6</c:v>
                </c:pt>
                <c:pt idx="120">
                  <c:v>1,5</c:v>
                </c:pt>
                <c:pt idx="121">
                  <c:v>3,0</c:v>
                </c:pt>
                <c:pt idx="122">
                  <c:v>14,1</c:v>
                </c:pt>
                <c:pt idx="123">
                  <c:v>8,2</c:v>
                </c:pt>
                <c:pt idx="124">
                  <c:v>0,4</c:v>
                </c:pt>
                <c:pt idx="125">
                  <c:v>1,2</c:v>
                </c:pt>
                <c:pt idx="126">
                  <c:v>1,1</c:v>
                </c:pt>
                <c:pt idx="127">
                  <c:v>9,0</c:v>
                </c:pt>
                <c:pt idx="128">
                  <c:v>1,1</c:v>
                </c:pt>
                <c:pt idx="129">
                  <c:v>3,6</c:v>
                </c:pt>
                <c:pt idx="130">
                  <c:v>2,1</c:v>
                </c:pt>
                <c:pt idx="131">
                  <c:v>4,6</c:v>
                </c:pt>
                <c:pt idx="132">
                  <c:v>1,3</c:v>
                </c:pt>
                <c:pt idx="133">
                  <c:v>0,6</c:v>
                </c:pt>
                <c:pt idx="134">
                  <c:v>3,6</c:v>
                </c:pt>
                <c:pt idx="135">
                  <c:v>2,2</c:v>
                </c:pt>
                <c:pt idx="136">
                  <c:v>2,3</c:v>
                </c:pt>
                <c:pt idx="137">
                  <c:v>4,2</c:v>
                </c:pt>
                <c:pt idx="138">
                  <c:v>4,4</c:v>
                </c:pt>
                <c:pt idx="139">
                  <c:v>3,6</c:v>
                </c:pt>
                <c:pt idx="140">
                  <c:v>5,4</c:v>
                </c:pt>
                <c:pt idx="141">
                  <c:v>15,5</c:v>
                </c:pt>
                <c:pt idx="142">
                  <c:v>0,4</c:v>
                </c:pt>
                <c:pt idx="143">
                  <c:v>4,3</c:v>
                </c:pt>
                <c:pt idx="144">
                  <c:v>6,4</c:v>
                </c:pt>
                <c:pt idx="145">
                  <c:v>1,0</c:v>
                </c:pt>
                <c:pt idx="146">
                  <c:v>1,5</c:v>
                </c:pt>
                <c:pt idx="147">
                  <c:v>3,4</c:v>
                </c:pt>
                <c:pt idx="148">
                  <c:v>4,3</c:v>
                </c:pt>
                <c:pt idx="149">
                  <c:v>16,8</c:v>
                </c:pt>
                <c:pt idx="150">
                  <c:v>4,3</c:v>
                </c:pt>
                <c:pt idx="151">
                  <c:v>23,3</c:v>
                </c:pt>
                <c:pt idx="152">
                  <c:v>4,0</c:v>
                </c:pt>
                <c:pt idx="153">
                  <c:v>8,4</c:v>
                </c:pt>
                <c:pt idx="154">
                  <c:v>2,2</c:v>
                </c:pt>
                <c:pt idx="155">
                  <c:v>4,4</c:v>
                </c:pt>
                <c:pt idx="156">
                  <c:v>10,6</c:v>
                </c:pt>
                <c:pt idx="157">
                  <c:v>5,9</c:v>
                </c:pt>
                <c:pt idx="158">
                  <c:v>3,6</c:v>
                </c:pt>
                <c:pt idx="159">
                  <c:v>1,5</c:v>
                </c:pt>
                <c:pt idx="160">
                  <c:v>4,9</c:v>
                </c:pt>
                <c:pt idx="161">
                  <c:v>0,8</c:v>
                </c:pt>
                <c:pt idx="162">
                  <c:v>2,0</c:v>
                </c:pt>
                <c:pt idx="163">
                  <c:v>6,5</c:v>
                </c:pt>
                <c:pt idx="164">
                  <c:v>1,8</c:v>
                </c:pt>
                <c:pt idx="165">
                  <c:v>3,5</c:v>
                </c:pt>
                <c:pt idx="166">
                  <c:v>0,6</c:v>
                </c:pt>
                <c:pt idx="167">
                  <c:v>4,1</c:v>
                </c:pt>
                <c:pt idx="168">
                  <c:v>9,6</c:v>
                </c:pt>
                <c:pt idx="169">
                  <c:v>7,7</c:v>
                </c:pt>
                <c:pt idx="170">
                  <c:v>2,5</c:v>
                </c:pt>
                <c:pt idx="171">
                  <c:v>6,3</c:v>
                </c:pt>
                <c:pt idx="172">
                  <c:v>5,1</c:v>
                </c:pt>
                <c:pt idx="173">
                  <c:v>7,9</c:v>
                </c:pt>
                <c:pt idx="174">
                  <c:v>3,9</c:v>
                </c:pt>
                <c:pt idx="175">
                  <c:v>13,5</c:v>
                </c:pt>
                <c:pt idx="176">
                  <c:v>8,0</c:v>
                </c:pt>
                <c:pt idx="177">
                  <c:v>26,1</c:v>
                </c:pt>
                <c:pt idx="178">
                  <c:v>3,2</c:v>
                </c:pt>
                <c:pt idx="179">
                  <c:v>9,3</c:v>
                </c:pt>
                <c:pt idx="180">
                  <c:v>5,2</c:v>
                </c:pt>
                <c:pt idx="181">
                  <c:v>4,7</c:v>
                </c:pt>
                <c:pt idx="182">
                  <c:v>7,4</c:v>
                </c:pt>
                <c:pt idx="183">
                  <c:v>1,8</c:v>
                </c:pt>
                <c:pt idx="184">
                  <c:v>32,5</c:v>
                </c:pt>
                <c:pt idx="185">
                  <c:v>10,5</c:v>
                </c:pt>
                <c:pt idx="186">
                  <c:v>10,7</c:v>
                </c:pt>
                <c:pt idx="187">
                  <c:v>8,4</c:v>
                </c:pt>
                <c:pt idx="188">
                  <c:v>3,1</c:v>
                </c:pt>
                <c:pt idx="189">
                  <c:v>8,1</c:v>
                </c:pt>
                <c:pt idx="190">
                  <c:v>9,8</c:v>
                </c:pt>
                <c:pt idx="191">
                  <c:v>11,2</c:v>
                </c:pt>
                <c:pt idx="192">
                  <c:v>8,1</c:v>
                </c:pt>
                <c:pt idx="193">
                  <c:v>13,5</c:v>
                </c:pt>
                <c:pt idx="194">
                  <c:v>7,4</c:v>
                </c:pt>
                <c:pt idx="195">
                  <c:v>7,4</c:v>
                </c:pt>
                <c:pt idx="196">
                  <c:v>21,3</c:v>
                </c:pt>
                <c:pt idx="197">
                  <c:v>11,7</c:v>
                </c:pt>
                <c:pt idx="198">
                  <c:v>3,8</c:v>
                </c:pt>
                <c:pt idx="199">
                  <c:v>14,1</c:v>
                </c:pt>
                <c:pt idx="200">
                  <c:v>11,0</c:v>
                </c:pt>
                <c:pt idx="201">
                  <c:v>11,9</c:v>
                </c:pt>
                <c:pt idx="202">
                  <c:v>12,4</c:v>
                </c:pt>
                <c:pt idx="203">
                  <c:v>9,7</c:v>
                </c:pt>
                <c:pt idx="204">
                  <c:v>1,2</c:v>
                </c:pt>
                <c:pt idx="205">
                  <c:v>10,7</c:v>
                </c:pt>
                <c:pt idx="206">
                  <c:v>10,9</c:v>
                </c:pt>
                <c:pt idx="207">
                  <c:v>16,7</c:v>
                </c:pt>
                <c:pt idx="208">
                  <c:v>22,7</c:v>
                </c:pt>
                <c:pt idx="209">
                  <c:v>6,1</c:v>
                </c:pt>
                <c:pt idx="210">
                  <c:v>13,2</c:v>
                </c:pt>
                <c:pt idx="211">
                  <c:v>10,5</c:v>
                </c:pt>
                <c:pt idx="212">
                  <c:v>12,3</c:v>
                </c:pt>
                <c:pt idx="213">
                  <c:v>3,5</c:v>
                </c:pt>
                <c:pt idx="214">
                  <c:v>30,7</c:v>
                </c:pt>
                <c:pt idx="215">
                  <c:v>10,0</c:v>
                </c:pt>
                <c:pt idx="216">
                  <c:v>9,1</c:v>
                </c:pt>
                <c:pt idx="217">
                  <c:v>9,3</c:v>
                </c:pt>
                <c:pt idx="218">
                  <c:v>68,7</c:v>
                </c:pt>
                <c:pt idx="219">
                  <c:v>6,8</c:v>
                </c:pt>
                <c:pt idx="220">
                  <c:v>15,3</c:v>
                </c:pt>
                <c:pt idx="221">
                  <c:v>11,4</c:v>
                </c:pt>
                <c:pt idx="222">
                  <c:v>15,3</c:v>
                </c:pt>
                <c:pt idx="223">
                  <c:v>24,4</c:v>
                </c:pt>
                <c:pt idx="224">
                  <c:v>3,5</c:v>
                </c:pt>
                <c:pt idx="225">
                  <c:v>15,1</c:v>
                </c:pt>
                <c:pt idx="226">
                  <c:v>10,1</c:v>
                </c:pt>
                <c:pt idx="227">
                  <c:v>17,8</c:v>
                </c:pt>
                <c:pt idx="228">
                  <c:v>7,8</c:v>
                </c:pt>
                <c:pt idx="229">
                  <c:v>6,7</c:v>
                </c:pt>
                <c:pt idx="230">
                  <c:v>17,9</c:v>
                </c:pt>
                <c:pt idx="231">
                  <c:v>45,1</c:v>
                </c:pt>
                <c:pt idx="232">
                  <c:v>8,7</c:v>
                </c:pt>
                <c:pt idx="233">
                  <c:v>3,7</c:v>
                </c:pt>
                <c:pt idx="234">
                  <c:v>13,2</c:v>
                </c:pt>
                <c:pt idx="235">
                  <c:v>22,7</c:v>
                </c:pt>
                <c:pt idx="236">
                  <c:v>19,2</c:v>
                </c:pt>
                <c:pt idx="237">
                  <c:v>12,9</c:v>
                </c:pt>
                <c:pt idx="238">
                  <c:v>13,3</c:v>
                </c:pt>
                <c:pt idx="239">
                  <c:v>10,2</c:v>
                </c:pt>
                <c:pt idx="240">
                  <c:v>14,3</c:v>
                </c:pt>
                <c:pt idx="241">
                  <c:v>21,2</c:v>
                </c:pt>
                <c:pt idx="242">
                  <c:v>18,6</c:v>
                </c:pt>
                <c:pt idx="243">
                  <c:v>21,3</c:v>
                </c:pt>
                <c:pt idx="244">
                  <c:v>51,0</c:v>
                </c:pt>
                <c:pt idx="245">
                  <c:v>58,2</c:v>
                </c:pt>
                <c:pt idx="246">
                  <c:v>28,9</c:v>
                </c:pt>
                <c:pt idx="247">
                  <c:v>6,4</c:v>
                </c:pt>
                <c:pt idx="248">
                  <c:v>15,8</c:v>
                </c:pt>
                <c:pt idx="249">
                  <c:v>51,8</c:v>
                </c:pt>
                <c:pt idx="250">
                  <c:v>14,9</c:v>
                </c:pt>
                <c:pt idx="251">
                  <c:v>9,2</c:v>
                </c:pt>
                <c:pt idx="252">
                  <c:v>16,4</c:v>
                </c:pt>
                <c:pt idx="253">
                  <c:v>2,5</c:v>
                </c:pt>
                <c:pt idx="254">
                  <c:v>27,6</c:v>
                </c:pt>
                <c:pt idx="255">
                  <c:v>23,8</c:v>
                </c:pt>
                <c:pt idx="256">
                  <c:v>17,5</c:v>
                </c:pt>
                <c:pt idx="257">
                  <c:v>30,4</c:v>
                </c:pt>
                <c:pt idx="258">
                  <c:v>8,5</c:v>
                </c:pt>
                <c:pt idx="259">
                  <c:v>19,5</c:v>
                </c:pt>
                <c:pt idx="260">
                  <c:v>15,4</c:v>
                </c:pt>
                <c:pt idx="261">
                  <c:v>31,0</c:v>
                </c:pt>
                <c:pt idx="262">
                  <c:v>19,5</c:v>
                </c:pt>
                <c:pt idx="263">
                  <c:v>20,4</c:v>
                </c:pt>
                <c:pt idx="264">
                  <c:v>23,0</c:v>
                </c:pt>
                <c:pt idx="265">
                  <c:v>19,7</c:v>
                </c:pt>
                <c:pt idx="266">
                  <c:v>63,7</c:v>
                </c:pt>
                <c:pt idx="267">
                  <c:v>114,5</c:v>
                </c:pt>
                <c:pt idx="268">
                  <c:v>23,0</c:v>
                </c:pt>
                <c:pt idx="269">
                  <c:v>137,0</c:v>
                </c:pt>
                <c:pt idx="270">
                  <c:v>27,3</c:v>
                </c:pt>
                <c:pt idx="271">
                  <c:v>40,8</c:v>
                </c:pt>
                <c:pt idx="272">
                  <c:v>36,0</c:v>
                </c:pt>
                <c:pt idx="273">
                  <c:v>79,7</c:v>
                </c:pt>
                <c:pt idx="274">
                  <c:v>25,3</c:v>
                </c:pt>
                <c:pt idx="275">
                  <c:v>41,0</c:v>
                </c:pt>
                <c:pt idx="276">
                  <c:v>32,9</c:v>
                </c:pt>
                <c:pt idx="277">
                  <c:v>121,2</c:v>
                </c:pt>
                <c:pt idx="278">
                  <c:v>33,3</c:v>
                </c:pt>
                <c:pt idx="279">
                  <c:v>79,5</c:v>
                </c:pt>
                <c:pt idx="280">
                  <c:v>72,3</c:v>
                </c:pt>
              </c:strCache>
            </c:strRef>
          </c:cat>
          <c:val>
            <c:numRef>
              <c:f>[0]!GRAPH_HELPER2</c:f>
              <c:numCache>
                <c:formatCode>#,##0</c:formatCode>
                <c:ptCount val="28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2630912"/>
        <c:axId val="280660608"/>
      </c:barChart>
      <c:catAx>
        <c:axId val="280361984"/>
        <c:scaling>
          <c:orientation val="minMax"/>
        </c:scaling>
        <c:delete val="0"/>
        <c:axPos val="b"/>
        <c:majorGridlines>
          <c:spPr>
            <a:ln w="3175" cmpd="sng">
              <a:noFill/>
              <a:prstDash val="dash"/>
            </a:ln>
          </c:spPr>
        </c:majorGridlines>
        <c:minorGridlines>
          <c:spPr>
            <a:ln cap="flat">
              <a:noFill/>
              <a:prstDash val="sysDash"/>
            </a:ln>
          </c:spPr>
        </c:minorGridlines>
        <c:majorTickMark val="none"/>
        <c:minorTickMark val="none"/>
        <c:tickLblPos val="nextTo"/>
        <c:crossAx val="280658688"/>
        <c:crosses val="autoZero"/>
        <c:auto val="1"/>
        <c:lblAlgn val="ctr"/>
        <c:lblOffset val="100"/>
        <c:noMultiLvlLbl val="0"/>
      </c:catAx>
      <c:valAx>
        <c:axId val="2806586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80361984"/>
        <c:crosses val="autoZero"/>
        <c:crossBetween val="between"/>
        <c:dispUnits>
          <c:builtInUnit val="thousands"/>
        </c:dispUnits>
      </c:valAx>
      <c:valAx>
        <c:axId val="280660608"/>
        <c:scaling>
          <c:orientation val="minMax"/>
        </c:scaling>
        <c:delete val="0"/>
        <c:axPos val="r"/>
        <c:numFmt formatCode="#,##0" sourceLinked="1"/>
        <c:majorTickMark val="in"/>
        <c:minorTickMark val="none"/>
        <c:tickLblPos val="none"/>
        <c:spPr>
          <a:ln>
            <a:noFill/>
          </a:ln>
        </c:spPr>
        <c:crossAx val="292630912"/>
        <c:crosses val="max"/>
        <c:crossBetween val="between"/>
      </c:valAx>
      <c:catAx>
        <c:axId val="292630912"/>
        <c:scaling>
          <c:orientation val="minMax"/>
        </c:scaling>
        <c:delete val="1"/>
        <c:axPos val="b"/>
        <c:numFmt formatCode="#.##0\.0" sourceLinked="1"/>
        <c:majorTickMark val="out"/>
        <c:minorTickMark val="none"/>
        <c:tickLblPos val="nextTo"/>
        <c:crossAx val="280660608"/>
        <c:crosses val="autoZero"/>
        <c:auto val="1"/>
        <c:lblAlgn val="ctr"/>
        <c:lblOffset val="100"/>
        <c:noMultiLvlLbl val="0"/>
      </c:cat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B$24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40</xdr:row>
          <xdr:rowOff>19050</xdr:rowOff>
        </xdr:from>
        <xdr:to>
          <xdr:col>4</xdr:col>
          <xdr:colOff>1771650</xdr:colOff>
          <xdr:row>40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0</xdr:rowOff>
        </xdr:from>
        <xdr:to>
          <xdr:col>5</xdr:col>
          <xdr:colOff>295275</xdr:colOff>
          <xdr:row>26</xdr:row>
          <xdr:rowOff>0</xdr:rowOff>
        </xdr:to>
        <xdr:grpSp>
          <xdr:nvGrpSpPr>
            <xdr:cNvPr id="2" name="Groupe 1"/>
            <xdr:cNvGrpSpPr/>
          </xdr:nvGrpSpPr>
          <xdr:grpSpPr>
            <a:xfrm>
              <a:off x="2705100" y="2510118"/>
              <a:ext cx="257175" cy="571500"/>
              <a:chOff x="1971675" y="1771647"/>
              <a:chExt cx="1400175" cy="676281"/>
            </a:xfrm>
          </xdr:grpSpPr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>
              <a:xfrm>
                <a:off x="1971675" y="1771647"/>
                <a:ext cx="1400175" cy="219075"/>
              </a:xfrm>
              <a:prstGeom prst="rect">
                <a:avLst/>
              </a:prstGeom>
            </xdr:spPr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1971675" y="2000250"/>
                <a:ext cx="1400175" cy="219075"/>
              </a:xfrm>
              <a:prstGeom prst="rect">
                <a:avLst/>
              </a:prstGeom>
            </xdr:spPr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1971675" y="2228853"/>
                <a:ext cx="1400175" cy="2190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oneCellAnchor>
    <xdr:from>
      <xdr:col>4</xdr:col>
      <xdr:colOff>209550</xdr:colOff>
      <xdr:row>10</xdr:row>
      <xdr:rowOff>0</xdr:rowOff>
    </xdr:from>
    <xdr:ext cx="1095375" cy="374976"/>
    <xdr:pic>
      <xdr:nvPicPr>
        <xdr:cNvPr id="7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90500"/>
          <a:ext cx="1095375" cy="3749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387063</xdr:colOff>
      <xdr:row>12</xdr:row>
      <xdr:rowOff>56029</xdr:rowOff>
    </xdr:from>
    <xdr:to>
      <xdr:col>13</xdr:col>
      <xdr:colOff>357188</xdr:colOff>
      <xdr:row>34</xdr:row>
      <xdr:rowOff>63594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2145925</xdr:colOff>
      <xdr:row>35</xdr:row>
      <xdr:rowOff>44823</xdr:rowOff>
    </xdr:from>
    <xdr:to>
      <xdr:col>6</xdr:col>
      <xdr:colOff>2319617</xdr:colOff>
      <xdr:row>36</xdr:row>
      <xdr:rowOff>6403</xdr:rowOff>
    </xdr:to>
    <xdr:sp macro="" textlink="">
      <xdr:nvSpPr>
        <xdr:cNvPr id="4" name="Rectangle 3"/>
        <xdr:cNvSpPr/>
      </xdr:nvSpPr>
      <xdr:spPr>
        <a:xfrm>
          <a:off x="6605866" y="4459941"/>
          <a:ext cx="173692" cy="16328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0.00665</cdr:x>
      <cdr:y>0.91064</cdr:y>
    </cdr:from>
    <cdr:to>
      <cdr:x>0.04614</cdr:x>
      <cdr:y>0.98898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580" y="3005578"/>
          <a:ext cx="449035" cy="258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0.00657</cdr:x>
      <cdr:y>0.91627</cdr:y>
    </cdr:from>
    <cdr:to>
      <cdr:x>0.04271</cdr:x>
      <cdr:y>1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74533" y="3021278"/>
          <a:ext cx="410308" cy="276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K LCL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O322"/>
  <sheetViews>
    <sheetView showGridLines="0" showRowColHeaders="0" tabSelected="1" topLeftCell="D10" zoomScale="85" zoomScaleNormal="70" workbookViewId="0">
      <selection activeCell="F13" sqref="F13"/>
    </sheetView>
  </sheetViews>
  <sheetFormatPr baseColWidth="10" defaultRowHeight="15" x14ac:dyDescent="0.25"/>
  <cols>
    <col min="1" max="1" width="28.7109375" hidden="1" customWidth="1"/>
    <col min="2" max="2" width="17.140625" hidden="1" customWidth="1"/>
    <col min="3" max="3" width="5" hidden="1" customWidth="1"/>
    <col min="4" max="4" width="2" customWidth="1"/>
    <col min="5" max="5" width="38" customWidth="1"/>
    <col min="6" max="6" width="26.85546875" customWidth="1"/>
    <col min="7" max="7" width="35.28515625" customWidth="1"/>
    <col min="8" max="8" width="12.5703125" hidden="1" customWidth="1"/>
    <col min="9" max="10" width="10.42578125" hidden="1" customWidth="1"/>
    <col min="11" max="12" width="26.85546875" customWidth="1"/>
  </cols>
  <sheetData>
    <row r="1" spans="1:15" hidden="1" x14ac:dyDescent="0.25">
      <c r="A1" s="36" t="s">
        <v>16</v>
      </c>
      <c r="B1" t="s">
        <v>5</v>
      </c>
    </row>
    <row r="2" spans="1:15" hidden="1" x14ac:dyDescent="0.25">
      <c r="A2" t="str">
        <f ca="1">LEFT(Server,LEN(Server)-1)</f>
        <v>tango_core_model</v>
      </c>
      <c r="B2">
        <f ca="1">0</f>
        <v>0</v>
      </c>
      <c r="D2" s="10"/>
      <c r="E2" s="11"/>
      <c r="F2" s="9"/>
      <c r="G2" s="23"/>
      <c r="H2" s="9"/>
      <c r="I2" s="9"/>
      <c r="J2" s="9"/>
      <c r="K2" s="44"/>
      <c r="L2" s="29"/>
    </row>
    <row r="3" spans="1:15" hidden="1" x14ac:dyDescent="0.25">
      <c r="B3">
        <f ca="1">1</f>
        <v>1</v>
      </c>
      <c r="D3" s="12"/>
      <c r="E3" s="13"/>
      <c r="F3" s="4"/>
      <c r="G3" s="24"/>
      <c r="H3" s="4"/>
      <c r="I3" s="4"/>
      <c r="J3" s="4"/>
      <c r="K3" s="45"/>
      <c r="L3" s="30"/>
    </row>
    <row r="4" spans="1:15" hidden="1" x14ac:dyDescent="0.25">
      <c r="A4" t="str">
        <f ca="1">_xll.DBR(Server&amp;"z_Client_Properties","Language",_xll.TM1USER(xServer))</f>
        <v>French</v>
      </c>
      <c r="B4">
        <f ca="1">2</f>
        <v>2</v>
      </c>
      <c r="D4" s="14"/>
      <c r="E4" s="15"/>
      <c r="F4" s="5"/>
      <c r="G4" s="25"/>
      <c r="H4" s="5"/>
      <c r="I4" s="5"/>
      <c r="J4" s="5"/>
      <c r="K4" s="46"/>
      <c r="L4" s="31"/>
    </row>
    <row r="5" spans="1:15" hidden="1" x14ac:dyDescent="0.25">
      <c r="A5" s="41" t="s">
        <v>15</v>
      </c>
      <c r="B5">
        <f ca="1">3</f>
        <v>3</v>
      </c>
      <c r="D5" s="16"/>
      <c r="E5" s="17"/>
      <c r="F5" s="6"/>
      <c r="G5" s="26"/>
      <c r="H5" s="6"/>
      <c r="I5" s="6"/>
      <c r="J5" s="6"/>
      <c r="K5" s="47"/>
      <c r="L5" s="32"/>
    </row>
    <row r="6" spans="1:15" hidden="1" x14ac:dyDescent="0.25">
      <c r="B6" t="s">
        <v>3</v>
      </c>
      <c r="D6" s="18"/>
      <c r="E6" s="19"/>
      <c r="F6" s="7"/>
      <c r="G6" s="27"/>
      <c r="H6" s="7"/>
      <c r="I6" s="7"/>
      <c r="J6" s="7"/>
      <c r="K6" s="48"/>
      <c r="L6" s="33"/>
    </row>
    <row r="7" spans="1:15" hidden="1" x14ac:dyDescent="0.25">
      <c r="B7" t="s">
        <v>4</v>
      </c>
      <c r="D7" s="20"/>
      <c r="E7" s="21"/>
      <c r="F7" s="8"/>
      <c r="G7" s="28"/>
      <c r="H7" s="8"/>
      <c r="I7" s="8"/>
      <c r="J7" s="43">
        <v>12.45566788</v>
      </c>
      <c r="K7" s="8">
        <v>12.5</v>
      </c>
      <c r="L7" s="34"/>
    </row>
    <row r="8" spans="1:15" hidden="1" x14ac:dyDescent="0.25">
      <c r="B8" t="s">
        <v>6</v>
      </c>
      <c r="F8" s="3"/>
      <c r="G8" s="3"/>
      <c r="H8" s="3"/>
      <c r="I8" s="3"/>
      <c r="J8" s="3"/>
      <c r="K8" s="43"/>
      <c r="L8" s="3"/>
    </row>
    <row r="9" spans="1:15" hidden="1" x14ac:dyDescent="0.25">
      <c r="E9" t="str">
        <f ca="1">_xll.TM1RPTVIEW(Server&amp;"Report_PL:1", 1, _xll.TM1RPTTITLE(Server&amp;"Activity",$F$16), _xll.TM1RPTTITLE(Server&amp;"Currency",$F$19), _xll.TM1RPTTITLE(Server&amp;"Gaap",$F$20), _xll.TM1RPTTITLE(Server&amp;"Integration_Rate",$F$21), _xll.TM1RPTTITLE(Server&amp;"Legal_Organization",$F$22), _xll.TM1RPTTITLE(Server&amp;"Period",$F$13), _xll.TM1RPTTITLE(Server&amp;"Phase",$F$14),TM1RPTFMTRNG,TM1RPTFMTIDCOL)</f>
        <v>tango_core_model:Report_PL:1</v>
      </c>
    </row>
    <row r="11" spans="1:15" ht="26.25" x14ac:dyDescent="0.25">
      <c r="E11" s="61" t="str">
        <f ca="1">IF(POV_LANG="English","EBIT by Contract - "&amp;F13&amp;" "&amp;F14&amp;" - "&amp;F15&amp;" - "&amp;F16,"EBIT par Contrat - "&amp;F13&amp;" "&amp;F14&amp;" - "&amp;F15&amp;" - "&amp;F16)</f>
        <v>EBIT par Contrat - Cumul Novembre 2015 Réalisé - VTD_corp - Total Activités</v>
      </c>
      <c r="F11" s="61"/>
      <c r="G11" s="61"/>
      <c r="H11" s="61"/>
      <c r="I11" s="61"/>
      <c r="J11" s="61"/>
      <c r="K11" s="61"/>
      <c r="L11" s="61"/>
    </row>
    <row r="12" spans="1:15" s="53" customFormat="1" ht="33" customHeight="1" x14ac:dyDescent="0.25">
      <c r="G12" s="54" t="str">
        <f ca="1">E11</f>
        <v>EBIT par Contrat - Cumul Novembre 2015 Réalisé - VTD_corp - Total Activités</v>
      </c>
      <c r="M12" s="55"/>
      <c r="N12" s="56"/>
      <c r="O12" s="57"/>
    </row>
    <row r="13" spans="1:15" x14ac:dyDescent="0.25">
      <c r="A13" t="s">
        <v>12</v>
      </c>
      <c r="B13" t="str">
        <f ca="1">_xll.DBR(Server&amp;"z_admin_Param","MONTH_ACTUAL","STR_VAR1")&amp;"_YTD"</f>
        <v>2015.11_YTD</v>
      </c>
      <c r="E13" s="38" t="str">
        <f ca="1">IF(POV_LANG="English","Period","Periode")</f>
        <v>Periode</v>
      </c>
      <c r="F13" s="49" t="str">
        <f ca="1">_xll.SUBNM(Server&amp;"Period","",ACTUAL_MONTH_YTD,IF(POV_LANG="English",POV_LANG,"French"))</f>
        <v>Cumul Novembre 2015</v>
      </c>
    </row>
    <row r="14" spans="1:15" x14ac:dyDescent="0.25">
      <c r="E14" s="38" t="str">
        <f ca="1">IF(POV_LANG="English","Phase","Phase")</f>
        <v>Phase</v>
      </c>
      <c r="F14" s="49" t="str">
        <f ca="1">_xll.SUBNM(Server&amp;"Phase","","ACT_TOT",IF(POV_LANG="English",POV_LANG,"French"))</f>
        <v>Réalisé</v>
      </c>
    </row>
    <row r="15" spans="1:15" x14ac:dyDescent="0.25">
      <c r="A15" t="s">
        <v>13</v>
      </c>
      <c r="B15" t="str">
        <f ca="1">_xll.DBR(Server&amp;"z_Client_Properties","Default_Management_Organization",_xll.TM1USER(xServer))</f>
        <v>VTD_corp</v>
      </c>
      <c r="E15" s="38" t="str">
        <f ca="1">IF(POV_LANG="English","Management Organization","Organisation Managériale")</f>
        <v>Organisation Managériale</v>
      </c>
      <c r="F15" s="49" t="str">
        <f ca="1">_xll.SUBNM(Server&amp;"Management_organization","",DEFAULT_MAN_ORG,POV_LANG)</f>
        <v>VTD_corp</v>
      </c>
    </row>
    <row r="16" spans="1:15" x14ac:dyDescent="0.25">
      <c r="A16" t="s">
        <v>165</v>
      </c>
      <c r="B16" t="str">
        <f ca="1">_xll.DBR(Server&amp;"z_Client_Properties","Default_Legal_Organization",_xll.TM1USER(xServer))</f>
        <v>VTD_corp</v>
      </c>
      <c r="E16" s="38" t="str">
        <f ca="1">IF(POV_LANG="English","Activity","Activité")</f>
        <v>Activité</v>
      </c>
      <c r="F16" s="49" t="str">
        <f ca="1">_xll.SUBNM(Server&amp;"Activity","","Tot_act",IF(POV_LANG="English",POV_LANG,"French"))</f>
        <v>Total Activités</v>
      </c>
    </row>
    <row r="17" spans="1:6" ht="3.75" customHeight="1" x14ac:dyDescent="0.25">
      <c r="F17" s="50"/>
    </row>
    <row r="18" spans="1:6" x14ac:dyDescent="0.25">
      <c r="E18" s="38" t="str">
        <f ca="1">IF(POV_LANG="English","Language","Langue")</f>
        <v>Langue</v>
      </c>
      <c r="F18" s="51" t="str">
        <f ca="1">IF(Locallanguage="English",Locallanguage,"Français")</f>
        <v>Français</v>
      </c>
    </row>
    <row r="19" spans="1:6" hidden="1" x14ac:dyDescent="0.25">
      <c r="E19" s="38" t="str">
        <f ca="1">IF(POV_LANG="English","Currency","Devise")</f>
        <v>Devise</v>
      </c>
      <c r="F19" s="37" t="str">
        <f ca="1">_xll.SUBNM(Server&amp;"Currency","","EUR","English")</f>
        <v>Euro</v>
      </c>
    </row>
    <row r="20" spans="1:6" x14ac:dyDescent="0.25">
      <c r="B20" s="1"/>
      <c r="C20" s="1"/>
      <c r="E20" s="38" t="s">
        <v>0</v>
      </c>
      <c r="F20" s="49" t="str">
        <f ca="1">_xll.SUBNM(Server&amp;"Gaap","","Local_Gaap_Mgmt_tool")</f>
        <v>Local_Gaap_Mgmt_tool</v>
      </c>
    </row>
    <row r="21" spans="1:6" x14ac:dyDescent="0.25">
      <c r="B21" s="1"/>
      <c r="C21" s="1"/>
      <c r="E21" s="38" t="s">
        <v>1</v>
      </c>
      <c r="F21" s="49" t="str">
        <f ca="1">_xll.SUBNM(Server&amp;"Integration_Rate","","NO_APP")</f>
        <v>NO_APP</v>
      </c>
    </row>
    <row r="22" spans="1:6" hidden="1" x14ac:dyDescent="0.25">
      <c r="B22" s="1"/>
      <c r="C22" s="1"/>
      <c r="D22" s="1"/>
      <c r="E22" s="2" t="s">
        <v>2</v>
      </c>
      <c r="F22" s="1" t="str">
        <f ca="1">_xll.SUBNM(Server&amp;"Legal_Organization","",DEFAULT_LEGAL_ORGANIZATION)</f>
        <v>VTD_corp</v>
      </c>
    </row>
    <row r="24" spans="1:6" x14ac:dyDescent="0.25">
      <c r="A24" t="s">
        <v>8</v>
      </c>
      <c r="B24" s="36">
        <v>2</v>
      </c>
      <c r="E24" s="38" t="str">
        <f ca="1">IF(POV_LANG="English","Sort order","Ordre de tri")</f>
        <v>Ordre de tri</v>
      </c>
      <c r="F24" s="35" t="str">
        <f ca="1">IF(POV_LANG="English","None","Aucun")</f>
        <v>Aucun</v>
      </c>
    </row>
    <row r="25" spans="1:6" x14ac:dyDescent="0.25">
      <c r="F25" s="35" t="str">
        <f ca="1">IF(POV_LANG="English","Ascendant","Ascendant")</f>
        <v>Ascendant</v>
      </c>
    </row>
    <row r="26" spans="1:6" x14ac:dyDescent="0.25">
      <c r="F26" s="35" t="str">
        <f ca="1">IF(POV_LANG="English","Descendant","Descendant")</f>
        <v>Descendant</v>
      </c>
    </row>
    <row r="36" spans="2:12" ht="15.75" x14ac:dyDescent="0.25">
      <c r="K36" s="52" t="s">
        <v>14</v>
      </c>
    </row>
    <row r="37" spans="2:12" ht="15.75" x14ac:dyDescent="0.25">
      <c r="G37" s="58">
        <v>12.3</v>
      </c>
      <c r="K37" s="52" t="str">
        <f ca="1">": "&amp;K41</f>
        <v xml:space="preserve">: PAO </v>
      </c>
    </row>
    <row r="39" spans="2:12" hidden="1" x14ac:dyDescent="0.25">
      <c r="B39" s="1"/>
      <c r="C39" s="1"/>
      <c r="D39" s="1"/>
      <c r="E39" s="1"/>
      <c r="F39" s="1" t="s">
        <v>166</v>
      </c>
      <c r="G39" s="1"/>
      <c r="H39" s="42">
        <f ca="1">MIN(H42:H323)</f>
        <v>-9189010.0999999791</v>
      </c>
      <c r="I39" s="1"/>
      <c r="J39" s="1"/>
      <c r="K39" s="1" t="s">
        <v>7</v>
      </c>
      <c r="L39" s="1"/>
    </row>
    <row r="40" spans="2:12" hidden="1" x14ac:dyDescent="0.25">
      <c r="B40" s="1"/>
      <c r="C40" s="1"/>
      <c r="D40" s="1"/>
      <c r="E40" s="1"/>
      <c r="F40" s="1" t="str">
        <f ca="1">_xll.DBRA(Server&amp;"Indicator",F$39,IF(POV_LANG="English",POV_LANG,"French"))</f>
        <v>RESULTAT OPERATIONNEL (par destination)</v>
      </c>
      <c r="G40" s="1"/>
      <c r="H40" s="42">
        <f ca="1">MAX(ABS(H39),H42:H323)</f>
        <v>23551840.34</v>
      </c>
      <c r="I40" s="1"/>
      <c r="J40" s="1"/>
      <c r="K40" s="1" t="str">
        <f ca="1">_xll.DBRA(Server&amp;"Indicator",K$39,IF(POV_LANG="English",POV_LANG&amp;"_PMM","French_PMM"))</f>
        <v>PAO (*)</v>
      </c>
      <c r="L40" s="1"/>
    </row>
    <row r="41" spans="2:12" ht="24.95" customHeight="1" x14ac:dyDescent="0.25">
      <c r="C41">
        <f ca="1">SUM(C42:C323)</f>
        <v>281</v>
      </c>
      <c r="F41" s="59" t="str">
        <f ca="1">MID(F40,1,IFERROR(FIND("(",F40)-1,LEN(F40)))</f>
        <v xml:space="preserve">RESULTAT OPERATIONNEL </v>
      </c>
      <c r="G41" s="60"/>
      <c r="H41" s="1" t="s">
        <v>9</v>
      </c>
      <c r="I41" s="1" t="s">
        <v>10</v>
      </c>
      <c r="J41" s="1" t="s">
        <v>11</v>
      </c>
      <c r="K41" s="40" t="str">
        <f ca="1">MID(K40,1,IFERROR(FIND("(",K40)-1,LEN(K40)))</f>
        <v xml:space="preserve">PAO </v>
      </c>
      <c r="L41" s="39" t="str">
        <f ca="1">$F41&amp;" / " &amp;$K41 &amp;"(%)"</f>
        <v>RESULTAT OPERATIONNEL  / PAO (%)</v>
      </c>
    </row>
    <row r="42" spans="2:12" x14ac:dyDescent="0.25">
      <c r="B42" t="str">
        <f ca="1">IF(_xll.TM1RPTELISCONSOLIDATED($E$42,$E42),IF(_xll.TM1RPTELLEV($E$42,$E42)&lt;=3,_xll.TM1RPTELLEV($E$42,$E42),"D"),"N")</f>
        <v>N</v>
      </c>
      <c r="C42">
        <v>1</v>
      </c>
      <c r="D42" s="20"/>
      <c r="E42" s="22" t="str">
        <f ca="1">_xll.TM1RPTROW($E$9,Server&amp;"Management_Organization","","",IF(POV_LANG="English",POV_LANG,"French"),0,IF(ORDER=1,"{FILTER( {TM1FILTERBYLEVEL( {TM1DRILLDOWNMEMBER( {[Management_Organization].["&amp;$F$15&amp;"]}, ALL, RECURSIVE )}, 0)}, [Management_Organization].[Business_Model] &lt;&gt; '')}","{ORDER({FILTER( {TM1FILTERBYLEVEL( {TM1DRILLDOWNMEMBER( {[Management_Organization].["&amp;$F$15&amp;"]}, ALL, RECURSIVE )}, 0)}, [Management_Organization].[Business_Model] &lt;&gt; '')},[REPORT_PL].([Activity].["&amp; $F$16 &amp;"],[Currency].["&amp; $F$19 &amp;"],[Gaap].["&amp; $F$20 &amp;"],[Integration_Rate].["&amp; $F$21 &amp;"],[Legal_Organization].["&amp; $F$22 &amp;"],[Period].["&amp; $F$13 &amp;"],[Phase].["&amp; $F$14 &amp;"],[Indicator].["&amp; $F$39 &amp;"]),"&amp;IF(ORDER=2,"BASC","BDESC")&amp;")}")
)</f>
        <v>Taxis</v>
      </c>
      <c r="F42" s="8">
        <f ca="1">_xll.DBRW($E$9,$F$16,$F$19,$F$20,$F$21,$F$22,$E42,$F$13,$F$14,F$39)</f>
        <v>-9189010.0999999791</v>
      </c>
      <c r="G42" s="28">
        <f ca="1">F42</f>
        <v>-9189010.0999999791</v>
      </c>
      <c r="H42" s="8">
        <f ca="1">F42</f>
        <v>-9189010.0999999791</v>
      </c>
      <c r="I42" s="8">
        <f ca="1">IF(H42&lt;0,-1,1)</f>
        <v>-1</v>
      </c>
      <c r="J42" s="43" t="str">
        <f ca="1">FIXED(K42/1000000,1,)</f>
        <v>136,3</v>
      </c>
      <c r="K42" s="8">
        <f ca="1">_xll.DBRW($E$9,$F$16,$F$19,$F$20,$F$21,$F$22,$E42,$F$13,$F$14,K$39)</f>
        <v>136265276.32999998</v>
      </c>
      <c r="L42" s="34">
        <f ca="1">IF($K42,F42/$K42,0)</f>
        <v>-6.7434715192933856E-2</v>
      </c>
    </row>
    <row r="43" spans="2:12" x14ac:dyDescent="0.25">
      <c r="B43" t="str">
        <f ca="1">IF(_xll.TM1RPTELISCONSOLIDATED($E$42,$E43),IF(_xll.TM1RPTELLEV($E$42,$E43)&lt;=3,_xll.TM1RPTELLEV($E$42,$E43),"D"),"N")</f>
        <v>N</v>
      </c>
      <c r="C43">
        <v>1</v>
      </c>
      <c r="D43" s="20"/>
      <c r="E43" s="22" t="s">
        <v>25</v>
      </c>
      <c r="F43" s="8">
        <f ca="1">_xll.DBRW($E$9,$F$16,$F$19,$F$20,$F$21,$F$22,$E43,$F$13,$F$14,F$39)</f>
        <v>-6692195.6799999941</v>
      </c>
      <c r="G43" s="28">
        <f t="shared" ref="G43:G106" ca="1" si="0">F43</f>
        <v>-6692195.6799999941</v>
      </c>
      <c r="H43" s="8">
        <f t="shared" ref="H43:H106" ca="1" si="1">F43</f>
        <v>-6692195.6799999941</v>
      </c>
      <c r="I43" s="8">
        <f t="shared" ref="I43:I106" ca="1" si="2">IF(H43&lt;0,-1,1)</f>
        <v>-1</v>
      </c>
      <c r="J43" s="43" t="str">
        <f t="shared" ref="J43:J106" ca="1" si="3">FIXED(K43/1000000,1,)</f>
        <v>28,5</v>
      </c>
      <c r="K43" s="8">
        <f ca="1">_xll.DBRW($E$9,$F$16,$F$19,$F$20,$F$21,$F$22,$E43,$F$13,$F$14,K$39)</f>
        <v>28459245.420000006</v>
      </c>
      <c r="L43" s="34">
        <f t="shared" ref="L43:L106" ca="1" si="4">IF($K43,F43/$K43,0)</f>
        <v>-0.2351501447503942</v>
      </c>
    </row>
    <row r="44" spans="2:12" x14ac:dyDescent="0.25">
      <c r="B44" t="str">
        <f ca="1">IF(_xll.TM1RPTELISCONSOLIDATED($E$42,$E44),IF(_xll.TM1RPTELLEV($E$42,$E44)&lt;=3,_xll.TM1RPTELLEV($E$42,$E44),"D"),"N")</f>
        <v>N</v>
      </c>
      <c r="C44">
        <v>1</v>
      </c>
      <c r="D44" s="20"/>
      <c r="E44" s="22" t="s">
        <v>167</v>
      </c>
      <c r="F44" s="8">
        <f ca="1">_xll.DBRW($E$9,$F$16,$F$19,$F$20,$F$21,$F$22,$E44,$F$13,$F$14,F$39)</f>
        <v>-6302461.359999992</v>
      </c>
      <c r="G44" s="28">
        <f t="shared" ca="1" si="0"/>
        <v>-6302461.359999992</v>
      </c>
      <c r="H44" s="8">
        <f t="shared" ca="1" si="1"/>
        <v>-6302461.359999992</v>
      </c>
      <c r="I44" s="8">
        <f t="shared" ca="1" si="2"/>
        <v>-1</v>
      </c>
      <c r="J44" s="43" t="str">
        <f t="shared" ca="1" si="3"/>
        <v>69,6</v>
      </c>
      <c r="K44" s="8">
        <f ca="1">_xll.DBRW($E$9,$F$16,$F$19,$F$20,$F$21,$F$22,$E44,$F$13,$F$14,K$39)</f>
        <v>69616502.079999998</v>
      </c>
      <c r="L44" s="34">
        <f t="shared" ca="1" si="4"/>
        <v>-9.053114091767353E-2</v>
      </c>
    </row>
    <row r="45" spans="2:12" x14ac:dyDescent="0.25">
      <c r="B45" t="str">
        <f ca="1">IF(_xll.TM1RPTELISCONSOLIDATED($E$42,$E45),IF(_xll.TM1RPTELLEV($E$42,$E45)&lt;=3,_xll.TM1RPTELLEV($E$42,$E45),"D"),"N")</f>
        <v>N</v>
      </c>
      <c r="C45">
        <v>1</v>
      </c>
      <c r="D45" s="20"/>
      <c r="E45" s="22" t="s">
        <v>26</v>
      </c>
      <c r="F45" s="8">
        <f ca="1">_xll.DBRW($E$9,$F$16,$F$19,$F$20,$F$21,$F$22,$E45,$F$13,$F$14,F$39)</f>
        <v>-5995498.7200000025</v>
      </c>
      <c r="G45" s="28">
        <f t="shared" ca="1" si="0"/>
        <v>-5995498.7200000025</v>
      </c>
      <c r="H45" s="8">
        <f t="shared" ca="1" si="1"/>
        <v>-5995498.7200000025</v>
      </c>
      <c r="I45" s="8">
        <f t="shared" ca="1" si="2"/>
        <v>-1</v>
      </c>
      <c r="J45" s="43" t="str">
        <f t="shared" ca="1" si="3"/>
        <v>54,4</v>
      </c>
      <c r="K45" s="8">
        <f ca="1">_xll.DBRW($E$9,$F$16,$F$19,$F$20,$F$21,$F$22,$E45,$F$13,$F$14,K$39)</f>
        <v>54399002.810000002</v>
      </c>
      <c r="L45" s="34">
        <f t="shared" ca="1" si="4"/>
        <v>-0.11021339381790779</v>
      </c>
    </row>
    <row r="46" spans="2:12" x14ac:dyDescent="0.25">
      <c r="B46" t="str">
        <f ca="1">IF(_xll.TM1RPTELISCONSOLIDATED($E$42,$E46),IF(_xll.TM1RPTELLEV($E$42,$E46)&lt;=3,_xll.TM1RPTELLEV($E$42,$E46),"D"),"N")</f>
        <v>N</v>
      </c>
      <c r="C46">
        <v>1</v>
      </c>
      <c r="D46" s="20"/>
      <c r="E46" s="22" t="s">
        <v>168</v>
      </c>
      <c r="F46" s="8">
        <f ca="1">_xll.DBRW($E$9,$F$16,$F$19,$F$20,$F$21,$F$22,$E46,$F$13,$F$14,F$39)</f>
        <v>-4895904.589999998</v>
      </c>
      <c r="G46" s="28">
        <f t="shared" ca="1" si="0"/>
        <v>-4895904.589999998</v>
      </c>
      <c r="H46" s="8">
        <f t="shared" ca="1" si="1"/>
        <v>-4895904.589999998</v>
      </c>
      <c r="I46" s="8">
        <f t="shared" ca="1" si="2"/>
        <v>-1</v>
      </c>
      <c r="J46" s="43" t="str">
        <f t="shared" ca="1" si="3"/>
        <v>29,0</v>
      </c>
      <c r="K46" s="8">
        <f ca="1">_xll.DBRW($E$9,$F$16,$F$19,$F$20,$F$21,$F$22,$E46,$F$13,$F$14,K$39)</f>
        <v>28998557.359999999</v>
      </c>
      <c r="L46" s="34">
        <f t="shared" ca="1" si="4"/>
        <v>-0.16883269499307252</v>
      </c>
    </row>
    <row r="47" spans="2:12" x14ac:dyDescent="0.25">
      <c r="B47" t="str">
        <f ca="1">IF(_xll.TM1RPTELISCONSOLIDATED($E$42,$E47),IF(_xll.TM1RPTELLEV($E$42,$E47)&lt;=3,_xll.TM1RPTELLEV($E$42,$E47),"D"),"N")</f>
        <v>N</v>
      </c>
      <c r="C47">
        <v>1</v>
      </c>
      <c r="D47" s="20"/>
      <c r="E47" s="22" t="s">
        <v>169</v>
      </c>
      <c r="F47" s="8">
        <f ca="1">_xll.DBRW($E$9,$F$16,$F$19,$F$20,$F$21,$F$22,$E47,$F$13,$F$14,F$39)</f>
        <v>-3805158.9199999897</v>
      </c>
      <c r="G47" s="28">
        <f t="shared" ca="1" si="0"/>
        <v>-3805158.9199999897</v>
      </c>
      <c r="H47" s="8">
        <f t="shared" ca="1" si="1"/>
        <v>-3805158.9199999897</v>
      </c>
      <c r="I47" s="8">
        <f t="shared" ca="1" si="2"/>
        <v>-1</v>
      </c>
      <c r="J47" s="43" t="str">
        <f t="shared" ca="1" si="3"/>
        <v>83,0</v>
      </c>
      <c r="K47" s="8">
        <f ca="1">_xll.DBRW($E$9,$F$16,$F$19,$F$20,$F$21,$F$22,$E47,$F$13,$F$14,K$39)</f>
        <v>83007974.900000006</v>
      </c>
      <c r="L47" s="34">
        <f t="shared" ca="1" si="4"/>
        <v>-4.5840883657071237E-2</v>
      </c>
    </row>
    <row r="48" spans="2:12" x14ac:dyDescent="0.25">
      <c r="B48" t="str">
        <f ca="1">IF(_xll.TM1RPTELISCONSOLIDATED($E$42,$E48),IF(_xll.TM1RPTELLEV($E$42,$E48)&lt;=3,_xll.TM1RPTELLEV($E$42,$E48),"D"),"N")</f>
        <v>N</v>
      </c>
      <c r="C48">
        <v>1</v>
      </c>
      <c r="D48" s="20"/>
      <c r="E48" s="22" t="s">
        <v>27</v>
      </c>
      <c r="F48" s="8">
        <f ca="1">_xll.DBRW($E$9,$F$16,$F$19,$F$20,$F$21,$F$22,$E48,$F$13,$F$14,F$39)</f>
        <v>-3262901.8699999969</v>
      </c>
      <c r="G48" s="28">
        <f t="shared" ca="1" si="0"/>
        <v>-3262901.8699999969</v>
      </c>
      <c r="H48" s="8">
        <f t="shared" ca="1" si="1"/>
        <v>-3262901.8699999969</v>
      </c>
      <c r="I48" s="8">
        <f t="shared" ca="1" si="2"/>
        <v>-1</v>
      </c>
      <c r="J48" s="43" t="str">
        <f t="shared" ca="1" si="3"/>
        <v>23,2</v>
      </c>
      <c r="K48" s="8">
        <f ca="1">_xll.DBRW($E$9,$F$16,$F$19,$F$20,$F$21,$F$22,$E48,$F$13,$F$14,K$39)</f>
        <v>23195704.290000003</v>
      </c>
      <c r="L48" s="34">
        <f t="shared" ca="1" si="4"/>
        <v>-0.14066836812567404</v>
      </c>
    </row>
    <row r="49" spans="2:12" x14ac:dyDescent="0.25">
      <c r="B49" t="str">
        <f ca="1">IF(_xll.TM1RPTELISCONSOLIDATED($E$42,$E49),IF(_xll.TM1RPTELLEV($E$42,$E49)&lt;=3,_xll.TM1RPTELLEV($E$42,$E49),"D"),"N")</f>
        <v>N</v>
      </c>
      <c r="C49">
        <v>1</v>
      </c>
      <c r="D49" s="20"/>
      <c r="E49" s="22" t="s">
        <v>170</v>
      </c>
      <c r="F49" s="8">
        <f ca="1">_xll.DBRW($E$9,$F$16,$F$19,$F$20,$F$21,$F$22,$E49,$F$13,$F$14,F$39)</f>
        <v>-2022464</v>
      </c>
      <c r="G49" s="28">
        <f t="shared" ca="1" si="0"/>
        <v>-2022464</v>
      </c>
      <c r="H49" s="8">
        <f t="shared" ca="1" si="1"/>
        <v>-2022464</v>
      </c>
      <c r="I49" s="8">
        <f t="shared" ca="1" si="2"/>
        <v>-1</v>
      </c>
      <c r="J49" s="43" t="str">
        <f t="shared" ca="1" si="3"/>
        <v>0,2</v>
      </c>
      <c r="K49" s="8">
        <f ca="1">_xll.DBRW($E$9,$F$16,$F$19,$F$20,$F$21,$F$22,$E49,$F$13,$F$14,K$39)</f>
        <v>176767</v>
      </c>
      <c r="L49" s="34">
        <f t="shared" ca="1" si="4"/>
        <v>-11.441411575690033</v>
      </c>
    </row>
    <row r="50" spans="2:12" x14ac:dyDescent="0.25">
      <c r="B50" t="str">
        <f ca="1">IF(_xll.TM1RPTELISCONSOLIDATED($E$42,$E50),IF(_xll.TM1RPTELLEV($E$42,$E50)&lt;=3,_xll.TM1RPTELLEV($E$42,$E50),"D"),"N")</f>
        <v>N</v>
      </c>
      <c r="C50">
        <v>1</v>
      </c>
      <c r="D50" s="20"/>
      <c r="E50" s="22" t="s">
        <v>171</v>
      </c>
      <c r="F50" s="8">
        <f ca="1">_xll.DBRW($E$9,$F$16,$F$19,$F$20,$F$21,$F$22,$E50,$F$13,$F$14,F$39)</f>
        <v>-1847725.6500000013</v>
      </c>
      <c r="G50" s="28">
        <f t="shared" ca="1" si="0"/>
        <v>-1847725.6500000013</v>
      </c>
      <c r="H50" s="8">
        <f t="shared" ca="1" si="1"/>
        <v>-1847725.6500000013</v>
      </c>
      <c r="I50" s="8">
        <f t="shared" ca="1" si="2"/>
        <v>-1</v>
      </c>
      <c r="J50" s="43" t="str">
        <f t="shared" ca="1" si="3"/>
        <v>22,5</v>
      </c>
      <c r="K50" s="8">
        <f ca="1">_xll.DBRW($E$9,$F$16,$F$19,$F$20,$F$21,$F$22,$E50,$F$13,$F$14,K$39)</f>
        <v>22505608.48</v>
      </c>
      <c r="L50" s="34">
        <f t="shared" ca="1" si="4"/>
        <v>-8.2100675111362348E-2</v>
      </c>
    </row>
    <row r="51" spans="2:12" x14ac:dyDescent="0.25">
      <c r="B51" t="str">
        <f ca="1">IF(_xll.TM1RPTELISCONSOLIDATED($E$42,$E51),IF(_xll.TM1RPTELLEV($E$42,$E51)&lt;=3,_xll.TM1RPTELLEV($E$42,$E51),"D"),"N")</f>
        <v>N</v>
      </c>
      <c r="C51">
        <v>1</v>
      </c>
      <c r="D51" s="20"/>
      <c r="E51" s="22" t="s">
        <v>28</v>
      </c>
      <c r="F51" s="8">
        <f ca="1">_xll.DBRW($E$9,$F$16,$F$19,$F$20,$F$21,$F$22,$E51,$F$13,$F$14,F$39)</f>
        <v>-1805713.5699999998</v>
      </c>
      <c r="G51" s="28">
        <f t="shared" ca="1" si="0"/>
        <v>-1805713.5699999998</v>
      </c>
      <c r="H51" s="8">
        <f t="shared" ca="1" si="1"/>
        <v>-1805713.5699999998</v>
      </c>
      <c r="I51" s="8">
        <f t="shared" ca="1" si="2"/>
        <v>-1</v>
      </c>
      <c r="J51" s="43" t="str">
        <f t="shared" ca="1" si="3"/>
        <v>10,3</v>
      </c>
      <c r="K51" s="8">
        <f ca="1">_xll.DBRW($E$9,$F$16,$F$19,$F$20,$F$21,$F$22,$E51,$F$13,$F$14,K$39)</f>
        <v>10304628.41</v>
      </c>
      <c r="L51" s="34">
        <f t="shared" ca="1" si="4"/>
        <v>-0.17523325423822825</v>
      </c>
    </row>
    <row r="52" spans="2:12" x14ac:dyDescent="0.25">
      <c r="B52" t="str">
        <f ca="1">IF(_xll.TM1RPTELISCONSOLIDATED($E$42,$E52),IF(_xll.TM1RPTELLEV($E$42,$E52)&lt;=3,_xll.TM1RPTELLEV($E$42,$E52),"D"),"N")</f>
        <v>N</v>
      </c>
      <c r="C52">
        <v>1</v>
      </c>
      <c r="D52" s="20"/>
      <c r="E52" s="22" t="s">
        <v>172</v>
      </c>
      <c r="F52" s="8">
        <f ca="1">_xll.DBRW($E$9,$F$16,$F$19,$F$20,$F$21,$F$22,$E52,$F$13,$F$14,F$39)</f>
        <v>-1624854</v>
      </c>
      <c r="G52" s="28">
        <f t="shared" ca="1" si="0"/>
        <v>-1624854</v>
      </c>
      <c r="H52" s="8">
        <f t="shared" ca="1" si="1"/>
        <v>-1624854</v>
      </c>
      <c r="I52" s="8">
        <f t="shared" ca="1" si="2"/>
        <v>-1</v>
      </c>
      <c r="J52" s="43" t="str">
        <f t="shared" ca="1" si="3"/>
        <v>8,9</v>
      </c>
      <c r="K52" s="8">
        <f ca="1">_xll.DBRW($E$9,$F$16,$F$19,$F$20,$F$21,$F$22,$E52,$F$13,$F$14,K$39)</f>
        <v>8931233</v>
      </c>
      <c r="L52" s="34">
        <f t="shared" ca="1" si="4"/>
        <v>-0.18192941556893658</v>
      </c>
    </row>
    <row r="53" spans="2:12" x14ac:dyDescent="0.25">
      <c r="B53" t="str">
        <f ca="1">IF(_xll.TM1RPTELISCONSOLIDATED($E$42,$E53),IF(_xll.TM1RPTELLEV($E$42,$E53)&lt;=3,_xll.TM1RPTELLEV($E$42,$E53),"D"),"N")</f>
        <v>N</v>
      </c>
      <c r="C53">
        <v>1</v>
      </c>
      <c r="D53" s="20"/>
      <c r="E53" s="22" t="s">
        <v>34</v>
      </c>
      <c r="F53" s="8">
        <f ca="1">_xll.DBRW($E$9,$F$16,$F$19,$F$20,$F$21,$F$22,$E53,$F$13,$F$14,F$39)</f>
        <v>-1584643.3400000008</v>
      </c>
      <c r="G53" s="28">
        <f t="shared" ca="1" si="0"/>
        <v>-1584643.3400000008</v>
      </c>
      <c r="H53" s="8">
        <f t="shared" ca="1" si="1"/>
        <v>-1584643.3400000008</v>
      </c>
      <c r="I53" s="8">
        <f t="shared" ca="1" si="2"/>
        <v>-1</v>
      </c>
      <c r="J53" s="43" t="str">
        <f t="shared" ca="1" si="3"/>
        <v>9,1</v>
      </c>
      <c r="K53" s="8">
        <f ca="1">_xll.DBRW($E$9,$F$16,$F$19,$F$20,$F$21,$F$22,$E53,$F$13,$F$14,K$39)</f>
        <v>9112267.9900000002</v>
      </c>
      <c r="L53" s="34">
        <f t="shared" ca="1" si="4"/>
        <v>-0.17390218787891473</v>
      </c>
    </row>
    <row r="54" spans="2:12" x14ac:dyDescent="0.25">
      <c r="B54" t="str">
        <f ca="1">IF(_xll.TM1RPTELISCONSOLIDATED($E$42,$E54),IF(_xll.TM1RPTELLEV($E$42,$E54)&lt;=3,_xll.TM1RPTELLEV($E$42,$E54),"D"),"N")</f>
        <v>N</v>
      </c>
      <c r="C54">
        <v>1</v>
      </c>
      <c r="D54" s="20"/>
      <c r="E54" s="22" t="s">
        <v>29</v>
      </c>
      <c r="F54" s="8">
        <f ca="1">_xll.DBRW($E$9,$F$16,$F$19,$F$20,$F$21,$F$22,$E54,$F$13,$F$14,F$39)</f>
        <v>-1373627.1900000002</v>
      </c>
      <c r="G54" s="28">
        <f t="shared" ca="1" si="0"/>
        <v>-1373627.1900000002</v>
      </c>
      <c r="H54" s="8">
        <f t="shared" ca="1" si="1"/>
        <v>-1373627.1900000002</v>
      </c>
      <c r="I54" s="8">
        <f t="shared" ca="1" si="2"/>
        <v>-1</v>
      </c>
      <c r="J54" s="43" t="str">
        <f t="shared" ca="1" si="3"/>
        <v>6,8</v>
      </c>
      <c r="K54" s="8">
        <f ca="1">_xll.DBRW($E$9,$F$16,$F$19,$F$20,$F$21,$F$22,$E54,$F$13,$F$14,K$39)</f>
        <v>6827693.6500000004</v>
      </c>
      <c r="L54" s="34">
        <f t="shared" ca="1" si="4"/>
        <v>-0.20118465479188571</v>
      </c>
    </row>
    <row r="55" spans="2:12" x14ac:dyDescent="0.25">
      <c r="B55" t="str">
        <f ca="1">IF(_xll.TM1RPTELISCONSOLIDATED($E$42,$E55),IF(_xll.TM1RPTELLEV($E$42,$E55)&lt;=3,_xll.TM1RPTELLEV($E$42,$E55),"D"),"N")</f>
        <v>N</v>
      </c>
      <c r="C55">
        <v>1</v>
      </c>
      <c r="D55" s="20"/>
      <c r="E55" s="22" t="s">
        <v>173</v>
      </c>
      <c r="F55" s="8">
        <f ca="1">_xll.DBRW($E$9,$F$16,$F$19,$F$20,$F$21,$F$22,$E55,$F$13,$F$14,F$39)</f>
        <v>-1332102.6099999964</v>
      </c>
      <c r="G55" s="28">
        <f t="shared" ca="1" si="0"/>
        <v>-1332102.6099999964</v>
      </c>
      <c r="H55" s="8">
        <f t="shared" ca="1" si="1"/>
        <v>-1332102.6099999964</v>
      </c>
      <c r="I55" s="8">
        <f t="shared" ca="1" si="2"/>
        <v>-1</v>
      </c>
      <c r="J55" s="43" t="str">
        <f t="shared" ca="1" si="3"/>
        <v>15,1</v>
      </c>
      <c r="K55" s="8">
        <f ca="1">_xll.DBRW($E$9,$F$16,$F$19,$F$20,$F$21,$F$22,$E55,$F$13,$F$14,K$39)</f>
        <v>15085752.900000002</v>
      </c>
      <c r="L55" s="34">
        <f t="shared" ca="1" si="4"/>
        <v>-8.8302030321602054E-2</v>
      </c>
    </row>
    <row r="56" spans="2:12" x14ac:dyDescent="0.25">
      <c r="B56" t="str">
        <f ca="1">IF(_xll.TM1RPTELISCONSOLIDATED($E$42,$E56),IF(_xll.TM1RPTELLEV($E$42,$E56)&lt;=3,_xll.TM1RPTELLEV($E$42,$E56),"D"),"N")</f>
        <v>N</v>
      </c>
      <c r="C56">
        <v>1</v>
      </c>
      <c r="D56" s="20"/>
      <c r="E56" s="22" t="s">
        <v>31</v>
      </c>
      <c r="F56" s="8">
        <f ca="1">_xll.DBRW($E$9,$F$16,$F$19,$F$20,$F$21,$F$22,$E56,$F$13,$F$14,F$39)</f>
        <v>-1208343.76</v>
      </c>
      <c r="G56" s="28">
        <f t="shared" ca="1" si="0"/>
        <v>-1208343.76</v>
      </c>
      <c r="H56" s="8">
        <f t="shared" ca="1" si="1"/>
        <v>-1208343.76</v>
      </c>
      <c r="I56" s="8">
        <f t="shared" ca="1" si="2"/>
        <v>-1</v>
      </c>
      <c r="J56" s="43" t="str">
        <f t="shared" ca="1" si="3"/>
        <v>6,5</v>
      </c>
      <c r="K56" s="8">
        <f ca="1">_xll.DBRW($E$9,$F$16,$F$19,$F$20,$F$21,$F$22,$E56,$F$13,$F$14,K$39)</f>
        <v>6465248.4699999997</v>
      </c>
      <c r="L56" s="34">
        <f t="shared" ca="1" si="4"/>
        <v>-0.18689827090280414</v>
      </c>
    </row>
    <row r="57" spans="2:12" x14ac:dyDescent="0.25">
      <c r="B57" t="str">
        <f ca="1">IF(_xll.TM1RPTELISCONSOLIDATED($E$42,$E57),IF(_xll.TM1RPTELLEV($E$42,$E57)&lt;=3,_xll.TM1RPTELLEV($E$42,$E57),"D"),"N")</f>
        <v>N</v>
      </c>
      <c r="C57">
        <v>1</v>
      </c>
      <c r="D57" s="20"/>
      <c r="E57" s="22" t="s">
        <v>33</v>
      </c>
      <c r="F57" s="8">
        <f ca="1">_xll.DBRW($E$9,$F$16,$F$19,$F$20,$F$21,$F$22,$E57,$F$13,$F$14,F$39)</f>
        <v>-1129086.9900000026</v>
      </c>
      <c r="G57" s="28">
        <f t="shared" ca="1" si="0"/>
        <v>-1129086.9900000026</v>
      </c>
      <c r="H57" s="8">
        <f t="shared" ca="1" si="1"/>
        <v>-1129086.9900000026</v>
      </c>
      <c r="I57" s="8">
        <f t="shared" ca="1" si="2"/>
        <v>-1</v>
      </c>
      <c r="J57" s="43" t="str">
        <f t="shared" ca="1" si="3"/>
        <v>19,3</v>
      </c>
      <c r="K57" s="8">
        <f ca="1">_xll.DBRW($E$9,$F$16,$F$19,$F$20,$F$21,$F$22,$E57,$F$13,$F$14,K$39)</f>
        <v>19253684.209999997</v>
      </c>
      <c r="L57" s="34">
        <f t="shared" ca="1" si="4"/>
        <v>-5.8642646139047835E-2</v>
      </c>
    </row>
    <row r="58" spans="2:12" x14ac:dyDescent="0.25">
      <c r="B58" t="str">
        <f ca="1">IF(_xll.TM1RPTELISCONSOLIDATED($E$42,$E58),IF(_xll.TM1RPTELLEV($E$42,$E58)&lt;=3,_xll.TM1RPTELLEV($E$42,$E58),"D"),"N")</f>
        <v>N</v>
      </c>
      <c r="C58">
        <v>1</v>
      </c>
      <c r="D58" s="20"/>
      <c r="E58" s="22" t="s">
        <v>32</v>
      </c>
      <c r="F58" s="8">
        <f ca="1">_xll.DBRW($E$9,$F$16,$F$19,$F$20,$F$21,$F$22,$E58,$F$13,$F$14,F$39)</f>
        <v>-1128558.6500000013</v>
      </c>
      <c r="G58" s="28">
        <f t="shared" ca="1" si="0"/>
        <v>-1128558.6500000013</v>
      </c>
      <c r="H58" s="8">
        <f t="shared" ca="1" si="1"/>
        <v>-1128558.6500000013</v>
      </c>
      <c r="I58" s="8">
        <f t="shared" ca="1" si="2"/>
        <v>-1</v>
      </c>
      <c r="J58" s="43" t="str">
        <f t="shared" ca="1" si="3"/>
        <v>8,5</v>
      </c>
      <c r="K58" s="8">
        <f ca="1">_xll.DBRW($E$9,$F$16,$F$19,$F$20,$F$21,$F$22,$E58,$F$13,$F$14,K$39)</f>
        <v>8516970.4499999993</v>
      </c>
      <c r="L58" s="34">
        <f t="shared" ca="1" si="4"/>
        <v>-0.13250705243435493</v>
      </c>
    </row>
    <row r="59" spans="2:12" x14ac:dyDescent="0.25">
      <c r="B59" t="str">
        <f ca="1">IF(_xll.TM1RPTELISCONSOLIDATED($E$42,$E59),IF(_xll.TM1RPTELLEV($E$42,$E59)&lt;=3,_xll.TM1RPTELLEV($E$42,$E59),"D"),"N")</f>
        <v>N</v>
      </c>
      <c r="C59">
        <v>1</v>
      </c>
      <c r="D59" s="20"/>
      <c r="E59" s="22" t="s">
        <v>64</v>
      </c>
      <c r="F59" s="8">
        <f ca="1">_xll.DBRW($E$9,$F$16,$F$19,$F$20,$F$21,$F$22,$E59,$F$13,$F$14,F$39)</f>
        <v>-1091021.5100000016</v>
      </c>
      <c r="G59" s="28">
        <f t="shared" ca="1" si="0"/>
        <v>-1091021.5100000016</v>
      </c>
      <c r="H59" s="8">
        <f t="shared" ca="1" si="1"/>
        <v>-1091021.5100000016</v>
      </c>
      <c r="I59" s="8">
        <f t="shared" ca="1" si="2"/>
        <v>-1</v>
      </c>
      <c r="J59" s="43" t="str">
        <f t="shared" ca="1" si="3"/>
        <v>12,4</v>
      </c>
      <c r="K59" s="8">
        <f ca="1">_xll.DBRW($E$9,$F$16,$F$19,$F$20,$F$21,$F$22,$E59,$F$13,$F$14,K$39)</f>
        <v>12355479.479999999</v>
      </c>
      <c r="L59" s="34">
        <f t="shared" ca="1" si="4"/>
        <v>-8.8302644326029966E-2</v>
      </c>
    </row>
    <row r="60" spans="2:12" x14ac:dyDescent="0.25">
      <c r="B60" t="str">
        <f ca="1">IF(_xll.TM1RPTELISCONSOLIDATED($E$42,$E60),IF(_xll.TM1RPTELLEV($E$42,$E60)&lt;=3,_xll.TM1RPTELLEV($E$42,$E60),"D"),"N")</f>
        <v>N</v>
      </c>
      <c r="C60">
        <v>1</v>
      </c>
      <c r="D60" s="20"/>
      <c r="E60" s="22" t="s">
        <v>137</v>
      </c>
      <c r="F60" s="8">
        <f ca="1">_xll.DBRW($E$9,$F$16,$F$19,$F$20,$F$21,$F$22,$E60,$F$13,$F$14,F$39)</f>
        <v>-1021917.5099999987</v>
      </c>
      <c r="G60" s="28">
        <f t="shared" ca="1" si="0"/>
        <v>-1021917.5099999987</v>
      </c>
      <c r="H60" s="8">
        <f t="shared" ca="1" si="1"/>
        <v>-1021917.5099999987</v>
      </c>
      <c r="I60" s="8">
        <f t="shared" ca="1" si="2"/>
        <v>-1</v>
      </c>
      <c r="J60" s="43" t="str">
        <f t="shared" ca="1" si="3"/>
        <v>44,3</v>
      </c>
      <c r="K60" s="8">
        <f ca="1">_xll.DBRW($E$9,$F$16,$F$19,$F$20,$F$21,$F$22,$E60,$F$13,$F$14,K$39)</f>
        <v>44307887.460000001</v>
      </c>
      <c r="L60" s="34">
        <f t="shared" ca="1" si="4"/>
        <v>-2.3064008883803343E-2</v>
      </c>
    </row>
    <row r="61" spans="2:12" x14ac:dyDescent="0.25">
      <c r="B61" t="str">
        <f ca="1">IF(_xll.TM1RPTELISCONSOLIDATED($E$42,$E61),IF(_xll.TM1RPTELLEV($E$42,$E61)&lt;=3,_xll.TM1RPTELLEV($E$42,$E61),"D"),"N")</f>
        <v>N</v>
      </c>
      <c r="C61">
        <v>1</v>
      </c>
      <c r="D61" s="20"/>
      <c r="E61" s="22" t="s">
        <v>174</v>
      </c>
      <c r="F61" s="8">
        <f ca="1">_xll.DBRW($E$9,$F$16,$F$19,$F$20,$F$21,$F$22,$E61,$F$13,$F$14,F$39)</f>
        <v>-998608.13999999547</v>
      </c>
      <c r="G61" s="28">
        <f t="shared" ca="1" si="0"/>
        <v>-998608.13999999547</v>
      </c>
      <c r="H61" s="8">
        <f t="shared" ca="1" si="1"/>
        <v>-998608.13999999547</v>
      </c>
      <c r="I61" s="8">
        <f t="shared" ca="1" si="2"/>
        <v>-1</v>
      </c>
      <c r="J61" s="43" t="str">
        <f t="shared" ca="1" si="3"/>
        <v>28,5</v>
      </c>
      <c r="K61" s="8">
        <f ca="1">_xll.DBRW($E$9,$F$16,$F$19,$F$20,$F$21,$F$22,$E61,$F$13,$F$14,K$39)</f>
        <v>28490740.98</v>
      </c>
      <c r="L61" s="34">
        <f t="shared" ca="1" si="4"/>
        <v>-3.5050269162918604E-2</v>
      </c>
    </row>
    <row r="62" spans="2:12" x14ac:dyDescent="0.25">
      <c r="B62" t="str">
        <f ca="1">IF(_xll.TM1RPTELISCONSOLIDATED($E$42,$E62),IF(_xll.TM1RPTELLEV($E$42,$E62)&lt;=3,_xll.TM1RPTELLEV($E$42,$E62),"D"),"N")</f>
        <v>N</v>
      </c>
      <c r="C62">
        <v>1</v>
      </c>
      <c r="D62" s="20"/>
      <c r="E62" s="22" t="s">
        <v>175</v>
      </c>
      <c r="F62" s="8">
        <f ca="1">_xll.DBRW($E$9,$F$16,$F$19,$F$20,$F$21,$F$22,$E62,$F$13,$F$14,F$39)</f>
        <v>-993051.78000000212</v>
      </c>
      <c r="G62" s="28">
        <f t="shared" ca="1" si="0"/>
        <v>-993051.78000000212</v>
      </c>
      <c r="H62" s="8">
        <f t="shared" ca="1" si="1"/>
        <v>-993051.78000000212</v>
      </c>
      <c r="I62" s="8">
        <f t="shared" ca="1" si="2"/>
        <v>-1</v>
      </c>
      <c r="J62" s="43" t="str">
        <f t="shared" ca="1" si="3"/>
        <v>9,2</v>
      </c>
      <c r="K62" s="8">
        <f ca="1">_xll.DBRW($E$9,$F$16,$F$19,$F$20,$F$21,$F$22,$E62,$F$13,$F$14,K$39)</f>
        <v>9218340.6999999993</v>
      </c>
      <c r="L62" s="34">
        <f t="shared" ca="1" si="4"/>
        <v>-0.10772565392381322</v>
      </c>
    </row>
    <row r="63" spans="2:12" x14ac:dyDescent="0.25">
      <c r="B63" t="str">
        <f ca="1">IF(_xll.TM1RPTELISCONSOLIDATED($E$42,$E63),IF(_xll.TM1RPTELLEV($E$42,$E63)&lt;=3,_xll.TM1RPTELLEV($E$42,$E63),"D"),"N")</f>
        <v>N</v>
      </c>
      <c r="C63">
        <v>1</v>
      </c>
      <c r="D63" s="20"/>
      <c r="E63" s="22" t="s">
        <v>176</v>
      </c>
      <c r="F63" s="8">
        <f ca="1">_xll.DBRW($E$9,$F$16,$F$19,$F$20,$F$21,$F$22,$E63,$F$13,$F$14,F$39)</f>
        <v>-907842.44000000053</v>
      </c>
      <c r="G63" s="28">
        <f t="shared" ca="1" si="0"/>
        <v>-907842.44000000053</v>
      </c>
      <c r="H63" s="8">
        <f t="shared" ca="1" si="1"/>
        <v>-907842.44000000053</v>
      </c>
      <c r="I63" s="8">
        <f t="shared" ca="1" si="2"/>
        <v>-1</v>
      </c>
      <c r="J63" s="43" t="str">
        <f t="shared" ca="1" si="3"/>
        <v>9,4</v>
      </c>
      <c r="K63" s="8">
        <f ca="1">_xll.DBRW($E$9,$F$16,$F$19,$F$20,$F$21,$F$22,$E63,$F$13,$F$14,K$39)</f>
        <v>9382206.0800000001</v>
      </c>
      <c r="L63" s="34">
        <f t="shared" ca="1" si="4"/>
        <v>-9.6762150848001896E-2</v>
      </c>
    </row>
    <row r="64" spans="2:12" x14ac:dyDescent="0.25">
      <c r="B64" t="str">
        <f ca="1">IF(_xll.TM1RPTELISCONSOLIDATED($E$42,$E64),IF(_xll.TM1RPTELLEV($E$42,$E64)&lt;=3,_xll.TM1RPTELLEV($E$42,$E64),"D"),"N")</f>
        <v>N</v>
      </c>
      <c r="C64">
        <v>1</v>
      </c>
      <c r="D64" s="20"/>
      <c r="E64" s="22" t="s">
        <v>44</v>
      </c>
      <c r="F64" s="8">
        <f ca="1">_xll.DBRW($E$9,$F$16,$F$19,$F$20,$F$21,$F$22,$E64,$F$13,$F$14,F$39)</f>
        <v>-860690.93999999494</v>
      </c>
      <c r="G64" s="28">
        <f t="shared" ca="1" si="0"/>
        <v>-860690.93999999494</v>
      </c>
      <c r="H64" s="8">
        <f t="shared" ca="1" si="1"/>
        <v>-860690.93999999494</v>
      </c>
      <c r="I64" s="8">
        <f t="shared" ca="1" si="2"/>
        <v>-1</v>
      </c>
      <c r="J64" s="43" t="str">
        <f t="shared" ca="1" si="3"/>
        <v>17,1</v>
      </c>
      <c r="K64" s="8">
        <f ca="1">_xll.DBRW($E$9,$F$16,$F$19,$F$20,$F$21,$F$22,$E64,$F$13,$F$14,K$39)</f>
        <v>17051402.310000002</v>
      </c>
      <c r="L64" s="34">
        <f t="shared" ca="1" si="4"/>
        <v>-5.0476255521531635E-2</v>
      </c>
    </row>
    <row r="65" spans="2:12" x14ac:dyDescent="0.25">
      <c r="B65" t="str">
        <f ca="1">IF(_xll.TM1RPTELISCONSOLIDATED($E$42,$E65),IF(_xll.TM1RPTELLEV($E$42,$E65)&lt;=3,_xll.TM1RPTELLEV($E$42,$E65),"D"),"N")</f>
        <v>N</v>
      </c>
      <c r="C65">
        <v>1</v>
      </c>
      <c r="D65" s="20"/>
      <c r="E65" s="22" t="s">
        <v>50</v>
      </c>
      <c r="F65" s="8">
        <f ca="1">_xll.DBRW($E$9,$F$16,$F$19,$F$20,$F$21,$F$22,$E65,$F$13,$F$14,F$39)</f>
        <v>-714305.93999999855</v>
      </c>
      <c r="G65" s="28">
        <f t="shared" ca="1" si="0"/>
        <v>-714305.93999999855</v>
      </c>
      <c r="H65" s="8">
        <f t="shared" ca="1" si="1"/>
        <v>-714305.93999999855</v>
      </c>
      <c r="I65" s="8">
        <f t="shared" ca="1" si="2"/>
        <v>-1</v>
      </c>
      <c r="J65" s="43" t="str">
        <f t="shared" ca="1" si="3"/>
        <v>12,2</v>
      </c>
      <c r="K65" s="8">
        <f ca="1">_xll.DBRW($E$9,$F$16,$F$19,$F$20,$F$21,$F$22,$E65,$F$13,$F$14,K$39)</f>
        <v>12205783.98</v>
      </c>
      <c r="L65" s="34">
        <f t="shared" ca="1" si="4"/>
        <v>-5.8521922161692927E-2</v>
      </c>
    </row>
    <row r="66" spans="2:12" x14ac:dyDescent="0.25">
      <c r="B66" t="str">
        <f ca="1">IF(_xll.TM1RPTELISCONSOLIDATED($E$42,$E66),IF(_xll.TM1RPTELLEV($E$42,$E66)&lt;=3,_xll.TM1RPTELLEV($E$42,$E66),"D"),"N")</f>
        <v>N</v>
      </c>
      <c r="C66">
        <v>1</v>
      </c>
      <c r="D66" s="20"/>
      <c r="E66" s="22" t="s">
        <v>51</v>
      </c>
      <c r="F66" s="8">
        <f ca="1">_xll.DBRW($E$9,$F$16,$F$19,$F$20,$F$21,$F$22,$E66,$F$13,$F$14,F$39)</f>
        <v>-704864.24000000022</v>
      </c>
      <c r="G66" s="28">
        <f t="shared" ca="1" si="0"/>
        <v>-704864.24000000022</v>
      </c>
      <c r="H66" s="8">
        <f t="shared" ca="1" si="1"/>
        <v>-704864.24000000022</v>
      </c>
      <c r="I66" s="8">
        <f t="shared" ca="1" si="2"/>
        <v>-1</v>
      </c>
      <c r="J66" s="43" t="str">
        <f t="shared" ca="1" si="3"/>
        <v>17,6</v>
      </c>
      <c r="K66" s="8">
        <f ca="1">_xll.DBRW($E$9,$F$16,$F$19,$F$20,$F$21,$F$22,$E66,$F$13,$F$14,K$39)</f>
        <v>17564371.410000004</v>
      </c>
      <c r="L66" s="34">
        <f t="shared" ca="1" si="4"/>
        <v>-4.0130342472643035E-2</v>
      </c>
    </row>
    <row r="67" spans="2:12" x14ac:dyDescent="0.25">
      <c r="B67" t="str">
        <f ca="1">IF(_xll.TM1RPTELISCONSOLIDATED($E$42,$E67),IF(_xll.TM1RPTELLEV($E$42,$E67)&lt;=3,_xll.TM1RPTELLEV($E$42,$E67),"D"),"N")</f>
        <v>N</v>
      </c>
      <c r="C67">
        <v>1</v>
      </c>
      <c r="D67" s="20"/>
      <c r="E67" s="22" t="s">
        <v>177</v>
      </c>
      <c r="F67" s="8">
        <f ca="1">_xll.DBRW($E$9,$F$16,$F$19,$F$20,$F$21,$F$22,$E67,$F$13,$F$14,F$39)</f>
        <v>-605373.71999999927</v>
      </c>
      <c r="G67" s="28">
        <f t="shared" ca="1" si="0"/>
        <v>-605373.71999999927</v>
      </c>
      <c r="H67" s="8">
        <f t="shared" ca="1" si="1"/>
        <v>-605373.71999999927</v>
      </c>
      <c r="I67" s="8">
        <f t="shared" ca="1" si="2"/>
        <v>-1</v>
      </c>
      <c r="J67" s="43" t="str">
        <f t="shared" ca="1" si="3"/>
        <v>3,7</v>
      </c>
      <c r="K67" s="8">
        <f ca="1">_xll.DBRW($E$9,$F$16,$F$19,$F$20,$F$21,$F$22,$E67,$F$13,$F$14,K$39)</f>
        <v>3690891.8</v>
      </c>
      <c r="L67" s="34">
        <f t="shared" ca="1" si="4"/>
        <v>-0.16401827872602479</v>
      </c>
    </row>
    <row r="68" spans="2:12" x14ac:dyDescent="0.25">
      <c r="B68" t="str">
        <f ca="1">IF(_xll.TM1RPTELISCONSOLIDATED($E$42,$E68),IF(_xll.TM1RPTELLEV($E$42,$E68)&lt;=3,_xll.TM1RPTELLEV($E$42,$E68),"D"),"N")</f>
        <v>N</v>
      </c>
      <c r="C68">
        <v>1</v>
      </c>
      <c r="D68" s="20"/>
      <c r="E68" s="22" t="s">
        <v>37</v>
      </c>
      <c r="F68" s="8">
        <f ca="1">_xll.DBRW($E$9,$F$16,$F$19,$F$20,$F$21,$F$22,$E68,$F$13,$F$14,F$39)</f>
        <v>-600768.12000000034</v>
      </c>
      <c r="G68" s="28">
        <f t="shared" ca="1" si="0"/>
        <v>-600768.12000000034</v>
      </c>
      <c r="H68" s="8">
        <f t="shared" ca="1" si="1"/>
        <v>-600768.12000000034</v>
      </c>
      <c r="I68" s="8">
        <f t="shared" ca="1" si="2"/>
        <v>-1</v>
      </c>
      <c r="J68" s="43" t="str">
        <f t="shared" ca="1" si="3"/>
        <v>6,1</v>
      </c>
      <c r="K68" s="8">
        <f ca="1">_xll.DBRW($E$9,$F$16,$F$19,$F$20,$F$21,$F$22,$E68,$F$13,$F$14,K$39)</f>
        <v>6093471.5200000005</v>
      </c>
      <c r="L68" s="34">
        <f t="shared" ca="1" si="4"/>
        <v>-9.8592094511012057E-2</v>
      </c>
    </row>
    <row r="69" spans="2:12" x14ac:dyDescent="0.25">
      <c r="B69" t="str">
        <f ca="1">IF(_xll.TM1RPTELISCONSOLIDATED($E$42,$E69),IF(_xll.TM1RPTELLEV($E$42,$E69)&lt;=3,_xll.TM1RPTELLEV($E$42,$E69),"D"),"N")</f>
        <v>N</v>
      </c>
      <c r="C69">
        <v>1</v>
      </c>
      <c r="D69" s="20"/>
      <c r="E69" s="22" t="s">
        <v>38</v>
      </c>
      <c r="F69" s="8">
        <f ca="1">_xll.DBRW($E$9,$F$16,$F$19,$F$20,$F$21,$F$22,$E69,$F$13,$F$14,F$39)</f>
        <v>-591325.40999999933</v>
      </c>
      <c r="G69" s="28">
        <f t="shared" ca="1" si="0"/>
        <v>-591325.40999999933</v>
      </c>
      <c r="H69" s="8">
        <f t="shared" ca="1" si="1"/>
        <v>-591325.40999999933</v>
      </c>
      <c r="I69" s="8">
        <f t="shared" ca="1" si="2"/>
        <v>-1</v>
      </c>
      <c r="J69" s="43" t="str">
        <f t="shared" ca="1" si="3"/>
        <v>3,3</v>
      </c>
      <c r="K69" s="8">
        <f ca="1">_xll.DBRW($E$9,$F$16,$F$19,$F$20,$F$21,$F$22,$E69,$F$13,$F$14,K$39)</f>
        <v>3327019.1700000004</v>
      </c>
      <c r="L69" s="34">
        <f t="shared" ca="1" si="4"/>
        <v>-0.17773429601248714</v>
      </c>
    </row>
    <row r="70" spans="2:12" x14ac:dyDescent="0.25">
      <c r="B70" t="str">
        <f ca="1">IF(_xll.TM1RPTELISCONSOLIDATED($E$42,$E70),IF(_xll.TM1RPTELLEV($E$42,$E70)&lt;=3,_xll.TM1RPTELLEV($E$42,$E70),"D"),"N")</f>
        <v>N</v>
      </c>
      <c r="C70">
        <v>1</v>
      </c>
      <c r="D70" s="20"/>
      <c r="E70" s="22" t="s">
        <v>178</v>
      </c>
      <c r="F70" s="8">
        <f ca="1">_xll.DBRW($E$9,$F$16,$F$19,$F$20,$F$21,$F$22,$E70,$F$13,$F$14,F$39)</f>
        <v>-583637.15000000095</v>
      </c>
      <c r="G70" s="28">
        <f t="shared" ca="1" si="0"/>
        <v>-583637.15000000095</v>
      </c>
      <c r="H70" s="8">
        <f t="shared" ca="1" si="1"/>
        <v>-583637.15000000095</v>
      </c>
      <c r="I70" s="8">
        <f t="shared" ca="1" si="2"/>
        <v>-1</v>
      </c>
      <c r="J70" s="43" t="str">
        <f t="shared" ca="1" si="3"/>
        <v>27,0</v>
      </c>
      <c r="K70" s="8">
        <f ca="1">_xll.DBRW($E$9,$F$16,$F$19,$F$20,$F$21,$F$22,$E70,$F$13,$F$14,K$39)</f>
        <v>27043968.690000001</v>
      </c>
      <c r="L70" s="34">
        <f t="shared" ca="1" si="4"/>
        <v>-2.1581046653696631E-2</v>
      </c>
    </row>
    <row r="71" spans="2:12" x14ac:dyDescent="0.25">
      <c r="B71" t="str">
        <f ca="1">IF(_xll.TM1RPTELISCONSOLIDATED($E$42,$E71),IF(_xll.TM1RPTELLEV($E$42,$E71)&lt;=3,_xll.TM1RPTELLEV($E$42,$E71),"D"),"N")</f>
        <v>N</v>
      </c>
      <c r="C71">
        <v>1</v>
      </c>
      <c r="D71" s="20"/>
      <c r="E71" s="22" t="s">
        <v>179</v>
      </c>
      <c r="F71" s="8">
        <f ca="1">_xll.DBRW($E$9,$F$16,$F$19,$F$20,$F$21,$F$22,$E71,$F$13,$F$14,F$39)</f>
        <v>-578431.59999999718</v>
      </c>
      <c r="G71" s="28">
        <f t="shared" ca="1" si="0"/>
        <v>-578431.59999999718</v>
      </c>
      <c r="H71" s="8">
        <f t="shared" ca="1" si="1"/>
        <v>-578431.59999999718</v>
      </c>
      <c r="I71" s="8">
        <f t="shared" ca="1" si="2"/>
        <v>-1</v>
      </c>
      <c r="J71" s="43" t="str">
        <f t="shared" ca="1" si="3"/>
        <v>25,5</v>
      </c>
      <c r="K71" s="8">
        <f ca="1">_xll.DBRW($E$9,$F$16,$F$19,$F$20,$F$21,$F$22,$E71,$F$13,$F$14,K$39)</f>
        <v>25547418.109999999</v>
      </c>
      <c r="L71" s="34">
        <f t="shared" ca="1" si="4"/>
        <v>-2.2641489543461235E-2</v>
      </c>
    </row>
    <row r="72" spans="2:12" x14ac:dyDescent="0.25">
      <c r="B72" t="str">
        <f ca="1">IF(_xll.TM1RPTELISCONSOLIDATED($E$42,$E72),IF(_xll.TM1RPTELLEV($E$42,$E72)&lt;=3,_xll.TM1RPTELLEV($E$42,$E72),"D"),"N")</f>
        <v>N</v>
      </c>
      <c r="C72">
        <v>1</v>
      </c>
      <c r="D72" s="20"/>
      <c r="E72" s="22" t="s">
        <v>18</v>
      </c>
      <c r="F72" s="8">
        <f ca="1">_xll.DBRW($E$9,$F$16,$F$19,$F$20,$F$21,$F$22,$E72,$F$13,$F$14,F$39)</f>
        <v>-568804.01000000141</v>
      </c>
      <c r="G72" s="28">
        <f t="shared" ca="1" si="0"/>
        <v>-568804.01000000141</v>
      </c>
      <c r="H72" s="8">
        <f t="shared" ca="1" si="1"/>
        <v>-568804.01000000141</v>
      </c>
      <c r="I72" s="8">
        <f t="shared" ca="1" si="2"/>
        <v>-1</v>
      </c>
      <c r="J72" s="43" t="str">
        <f t="shared" ca="1" si="3"/>
        <v>14,6</v>
      </c>
      <c r="K72" s="8">
        <f ca="1">_xll.DBRW($E$9,$F$16,$F$19,$F$20,$F$21,$F$22,$E72,$F$13,$F$14,K$39)</f>
        <v>14587750.439999998</v>
      </c>
      <c r="L72" s="34">
        <f t="shared" ca="1" si="4"/>
        <v>-3.899189339298853E-2</v>
      </c>
    </row>
    <row r="73" spans="2:12" x14ac:dyDescent="0.25">
      <c r="B73" t="str">
        <f ca="1">IF(_xll.TM1RPTELISCONSOLIDATED($E$42,$E73),IF(_xll.TM1RPTELLEV($E$42,$E73)&lt;=3,_xll.TM1RPTELLEV($E$42,$E73),"D"),"N")</f>
        <v>N</v>
      </c>
      <c r="C73">
        <v>1</v>
      </c>
      <c r="D73" s="20"/>
      <c r="E73" s="22" t="s">
        <v>180</v>
      </c>
      <c r="F73" s="8">
        <f ca="1">_xll.DBRW($E$9,$F$16,$F$19,$F$20,$F$21,$F$22,$E73,$F$13,$F$14,F$39)</f>
        <v>-564168.9099999998</v>
      </c>
      <c r="G73" s="28">
        <f t="shared" ca="1" si="0"/>
        <v>-564168.9099999998</v>
      </c>
      <c r="H73" s="8">
        <f t="shared" ca="1" si="1"/>
        <v>-564168.9099999998</v>
      </c>
      <c r="I73" s="8">
        <f t="shared" ca="1" si="2"/>
        <v>-1</v>
      </c>
      <c r="J73" s="43" t="str">
        <f t="shared" ca="1" si="3"/>
        <v>3,7</v>
      </c>
      <c r="K73" s="8">
        <f ca="1">_xll.DBRW($E$9,$F$16,$F$19,$F$20,$F$21,$F$22,$E73,$F$13,$F$14,K$39)</f>
        <v>3654767.29</v>
      </c>
      <c r="L73" s="34">
        <f t="shared" ca="1" si="4"/>
        <v>-0.15436520720311026</v>
      </c>
    </row>
    <row r="74" spans="2:12" x14ac:dyDescent="0.25">
      <c r="B74" t="str">
        <f ca="1">IF(_xll.TM1RPTELISCONSOLIDATED($E$42,$E74),IF(_xll.TM1RPTELLEV($E$42,$E74)&lt;=3,_xll.TM1RPTELLEV($E$42,$E74),"D"),"N")</f>
        <v>N</v>
      </c>
      <c r="C74">
        <v>1</v>
      </c>
      <c r="D74" s="20"/>
      <c r="E74" s="22" t="s">
        <v>36</v>
      </c>
      <c r="F74" s="8">
        <f ca="1">_xll.DBRW($E$9,$F$16,$F$19,$F$20,$F$21,$F$22,$E74,$F$13,$F$14,F$39)</f>
        <v>-553032.11999999918</v>
      </c>
      <c r="G74" s="28">
        <f t="shared" ca="1" si="0"/>
        <v>-553032.11999999918</v>
      </c>
      <c r="H74" s="8">
        <f t="shared" ca="1" si="1"/>
        <v>-553032.11999999918</v>
      </c>
      <c r="I74" s="8">
        <f t="shared" ca="1" si="2"/>
        <v>-1</v>
      </c>
      <c r="J74" s="43" t="str">
        <f t="shared" ca="1" si="3"/>
        <v>7,2</v>
      </c>
      <c r="K74" s="8">
        <f ca="1">_xll.DBRW($E$9,$F$16,$F$19,$F$20,$F$21,$F$22,$E74,$F$13,$F$14,K$39)</f>
        <v>7231880.04</v>
      </c>
      <c r="L74" s="34">
        <f t="shared" ca="1" si="4"/>
        <v>-7.6471417797466565E-2</v>
      </c>
    </row>
    <row r="75" spans="2:12" x14ac:dyDescent="0.25">
      <c r="B75" t="str">
        <f ca="1">IF(_xll.TM1RPTELISCONSOLIDATED($E$42,$E75),IF(_xll.TM1RPTELLEV($E$42,$E75)&lt;=3,_xll.TM1RPTELLEV($E$42,$E75),"D"),"N")</f>
        <v>N</v>
      </c>
      <c r="C75">
        <v>1</v>
      </c>
      <c r="D75" s="20"/>
      <c r="E75" s="22" t="s">
        <v>52</v>
      </c>
      <c r="F75" s="8">
        <f ca="1">_xll.DBRW($E$9,$F$16,$F$19,$F$20,$F$21,$F$22,$E75,$F$13,$F$14,F$39)</f>
        <v>-539575.75000000151</v>
      </c>
      <c r="G75" s="28">
        <f t="shared" ca="1" si="0"/>
        <v>-539575.75000000151</v>
      </c>
      <c r="H75" s="8">
        <f t="shared" ca="1" si="1"/>
        <v>-539575.75000000151</v>
      </c>
      <c r="I75" s="8">
        <f t="shared" ca="1" si="2"/>
        <v>-1</v>
      </c>
      <c r="J75" s="43" t="str">
        <f t="shared" ca="1" si="3"/>
        <v>14,1</v>
      </c>
      <c r="K75" s="8">
        <f ca="1">_xll.DBRW($E$9,$F$16,$F$19,$F$20,$F$21,$F$22,$E75,$F$13,$F$14,K$39)</f>
        <v>14115282.099999998</v>
      </c>
      <c r="L75" s="34">
        <f t="shared" ca="1" si="4"/>
        <v>-3.8226352557275606E-2</v>
      </c>
    </row>
    <row r="76" spans="2:12" x14ac:dyDescent="0.25">
      <c r="B76" t="str">
        <f ca="1">IF(_xll.TM1RPTELISCONSOLIDATED($E$42,$E76),IF(_xll.TM1RPTELLEV($E$42,$E76)&lt;=3,_xll.TM1RPTELLEV($E$42,$E76),"D"),"N")</f>
        <v>N</v>
      </c>
      <c r="C76">
        <v>1</v>
      </c>
      <c r="D76" s="20"/>
      <c r="E76" s="22" t="s">
        <v>181</v>
      </c>
      <c r="F76" s="8">
        <f ca="1">_xll.DBRW($E$9,$F$16,$F$19,$F$20,$F$21,$F$22,$E76,$F$13,$F$14,F$39)</f>
        <v>-514451.94999999995</v>
      </c>
      <c r="G76" s="28">
        <f t="shared" ca="1" si="0"/>
        <v>-514451.94999999995</v>
      </c>
      <c r="H76" s="8">
        <f t="shared" ca="1" si="1"/>
        <v>-514451.94999999995</v>
      </c>
      <c r="I76" s="8">
        <f t="shared" ca="1" si="2"/>
        <v>-1</v>
      </c>
      <c r="J76" s="43" t="str">
        <f t="shared" ca="1" si="3"/>
        <v>0,0</v>
      </c>
      <c r="K76" s="8">
        <f ca="1">_xll.DBRW($E$9,$F$16,$F$19,$F$20,$F$21,$F$22,$E76,$F$13,$F$14,K$39)</f>
        <v>0</v>
      </c>
      <c r="L76" s="34">
        <f t="shared" ca="1" si="4"/>
        <v>0</v>
      </c>
    </row>
    <row r="77" spans="2:12" x14ac:dyDescent="0.25">
      <c r="B77" t="str">
        <f ca="1">IF(_xll.TM1RPTELISCONSOLIDATED($E$42,$E77),IF(_xll.TM1RPTELLEV($E$42,$E77)&lt;=3,_xll.TM1RPTELLEV($E$42,$E77),"D"),"N")</f>
        <v>N</v>
      </c>
      <c r="C77">
        <v>1</v>
      </c>
      <c r="D77" s="20"/>
      <c r="E77" s="22" t="s">
        <v>128</v>
      </c>
      <c r="F77" s="8">
        <f ca="1">_xll.DBRW($E$9,$F$16,$F$19,$F$20,$F$21,$F$22,$E77,$F$13,$F$14,F$39)</f>
        <v>-500448.07000000228</v>
      </c>
      <c r="G77" s="28">
        <f t="shared" ca="1" si="0"/>
        <v>-500448.07000000228</v>
      </c>
      <c r="H77" s="8">
        <f t="shared" ca="1" si="1"/>
        <v>-500448.07000000228</v>
      </c>
      <c r="I77" s="8">
        <f t="shared" ca="1" si="2"/>
        <v>-1</v>
      </c>
      <c r="J77" s="43" t="str">
        <f t="shared" ca="1" si="3"/>
        <v>13,9</v>
      </c>
      <c r="K77" s="8">
        <f ca="1">_xll.DBRW($E$9,$F$16,$F$19,$F$20,$F$21,$F$22,$E77,$F$13,$F$14,K$39)</f>
        <v>13926792.83</v>
      </c>
      <c r="L77" s="34">
        <f t="shared" ca="1" si="4"/>
        <v>-3.5934193615774657E-2</v>
      </c>
    </row>
    <row r="78" spans="2:12" x14ac:dyDescent="0.25">
      <c r="B78" t="str">
        <f ca="1">IF(_xll.TM1RPTELISCONSOLIDATED($E$42,$E78),IF(_xll.TM1RPTELLEV($E$42,$E78)&lt;=3,_xll.TM1RPTELLEV($E$42,$E78),"D"),"N")</f>
        <v>N</v>
      </c>
      <c r="C78">
        <v>1</v>
      </c>
      <c r="D78" s="20"/>
      <c r="E78" s="22" t="s">
        <v>45</v>
      </c>
      <c r="F78" s="8">
        <f ca="1">_xll.DBRW($E$9,$F$16,$F$19,$F$20,$F$21,$F$22,$E78,$F$13,$F$14,F$39)</f>
        <v>-472777.4300000004</v>
      </c>
      <c r="G78" s="28">
        <f t="shared" ca="1" si="0"/>
        <v>-472777.4300000004</v>
      </c>
      <c r="H78" s="8">
        <f t="shared" ca="1" si="1"/>
        <v>-472777.4300000004</v>
      </c>
      <c r="I78" s="8">
        <f t="shared" ca="1" si="2"/>
        <v>-1</v>
      </c>
      <c r="J78" s="43" t="str">
        <f t="shared" ca="1" si="3"/>
        <v>10,7</v>
      </c>
      <c r="K78" s="8">
        <f ca="1">_xll.DBRW($E$9,$F$16,$F$19,$F$20,$F$21,$F$22,$E78,$F$13,$F$14,K$39)</f>
        <v>10710996.02</v>
      </c>
      <c r="L78" s="34">
        <f t="shared" ca="1" si="4"/>
        <v>-4.4139445959760555E-2</v>
      </c>
    </row>
    <row r="79" spans="2:12" x14ac:dyDescent="0.25">
      <c r="B79" t="str">
        <f ca="1">IF(_xll.TM1RPTELISCONSOLIDATED($E$42,$E79),IF(_xll.TM1RPTELLEV($E$42,$E79)&lt;=3,_xll.TM1RPTELLEV($E$42,$E79),"D"),"N")</f>
        <v>N</v>
      </c>
      <c r="C79">
        <v>1</v>
      </c>
      <c r="D79" s="20"/>
      <c r="E79" s="22" t="s">
        <v>182</v>
      </c>
      <c r="F79" s="8">
        <f ca="1">_xll.DBRW($E$9,$F$16,$F$19,$F$20,$F$21,$F$22,$E79,$F$13,$F$14,F$39)</f>
        <v>-463216.07999999996</v>
      </c>
      <c r="G79" s="28">
        <f t="shared" ca="1" si="0"/>
        <v>-463216.07999999996</v>
      </c>
      <c r="H79" s="8">
        <f t="shared" ca="1" si="1"/>
        <v>-463216.07999999996</v>
      </c>
      <c r="I79" s="8">
        <f t="shared" ca="1" si="2"/>
        <v>-1</v>
      </c>
      <c r="J79" s="43" t="str">
        <f t="shared" ca="1" si="3"/>
        <v>0,0</v>
      </c>
      <c r="K79" s="8">
        <f ca="1">_xll.DBRW($E$9,$F$16,$F$19,$F$20,$F$21,$F$22,$E79,$F$13,$F$14,K$39)</f>
        <v>-0.01</v>
      </c>
      <c r="L79" s="34">
        <f t="shared" ca="1" si="4"/>
        <v>46321607.999999993</v>
      </c>
    </row>
    <row r="80" spans="2:12" x14ac:dyDescent="0.25">
      <c r="B80" t="str">
        <f ca="1">IF(_xll.TM1RPTELISCONSOLIDATED($E$42,$E80),IF(_xll.TM1RPTELLEV($E$42,$E80)&lt;=3,_xll.TM1RPTELLEV($E$42,$E80),"D"),"N")</f>
        <v>N</v>
      </c>
      <c r="C80">
        <v>1</v>
      </c>
      <c r="D80" s="20"/>
      <c r="E80" s="22" t="s">
        <v>35</v>
      </c>
      <c r="F80" s="8">
        <f ca="1">_xll.DBRW($E$9,$F$16,$F$19,$F$20,$F$21,$F$22,$E80,$F$13,$F$14,F$39)</f>
        <v>-445495.83999999735</v>
      </c>
      <c r="G80" s="28">
        <f t="shared" ca="1" si="0"/>
        <v>-445495.83999999735</v>
      </c>
      <c r="H80" s="8">
        <f t="shared" ca="1" si="1"/>
        <v>-445495.83999999735</v>
      </c>
      <c r="I80" s="8">
        <f t="shared" ca="1" si="2"/>
        <v>-1</v>
      </c>
      <c r="J80" s="43" t="str">
        <f t="shared" ca="1" si="3"/>
        <v>9,7</v>
      </c>
      <c r="K80" s="8">
        <f ca="1">_xll.DBRW($E$9,$F$16,$F$19,$F$20,$F$21,$F$22,$E80,$F$13,$F$14,K$39)</f>
        <v>9687716.1200000029</v>
      </c>
      <c r="L80" s="34">
        <f t="shared" ca="1" si="4"/>
        <v>-4.5985641453746194E-2</v>
      </c>
    </row>
    <row r="81" spans="2:12" x14ac:dyDescent="0.25">
      <c r="B81" t="str">
        <f ca="1">IF(_xll.TM1RPTELISCONSOLIDATED($E$42,$E81),IF(_xll.TM1RPTELLEV($E$42,$E81)&lt;=3,_xll.TM1RPTELLEV($E$42,$E81),"D"),"N")</f>
        <v>N</v>
      </c>
      <c r="C81">
        <v>1</v>
      </c>
      <c r="D81" s="20"/>
      <c r="E81" s="22" t="s">
        <v>139</v>
      </c>
      <c r="F81" s="8">
        <f ca="1">_xll.DBRW($E$9,$F$16,$F$19,$F$20,$F$21,$F$22,$E81,$F$13,$F$14,F$39)</f>
        <v>-405645.23000000097</v>
      </c>
      <c r="G81" s="28">
        <f t="shared" ca="1" si="0"/>
        <v>-405645.23000000097</v>
      </c>
      <c r="H81" s="8">
        <f t="shared" ca="1" si="1"/>
        <v>-405645.23000000097</v>
      </c>
      <c r="I81" s="8">
        <f t="shared" ca="1" si="2"/>
        <v>-1</v>
      </c>
      <c r="J81" s="43" t="str">
        <f t="shared" ca="1" si="3"/>
        <v>14,1</v>
      </c>
      <c r="K81" s="8">
        <f ca="1">_xll.DBRW($E$9,$F$16,$F$19,$F$20,$F$21,$F$22,$E81,$F$13,$F$14,K$39)</f>
        <v>14084061.059999999</v>
      </c>
      <c r="L81" s="34">
        <f t="shared" ca="1" si="4"/>
        <v>-2.880172332908084E-2</v>
      </c>
    </row>
    <row r="82" spans="2:12" x14ac:dyDescent="0.25">
      <c r="B82" t="str">
        <f ca="1">IF(_xll.TM1RPTELISCONSOLIDATED($E$42,$E82),IF(_xll.TM1RPTELLEV($E$42,$E82)&lt;=3,_xll.TM1RPTELLEV($E$42,$E82),"D"),"N")</f>
        <v>N</v>
      </c>
      <c r="C82">
        <v>1</v>
      </c>
      <c r="D82" s="20"/>
      <c r="E82" s="22" t="s">
        <v>39</v>
      </c>
      <c r="F82" s="8">
        <f ca="1">_xll.DBRW($E$9,$F$16,$F$19,$F$20,$F$21,$F$22,$E82,$F$13,$F$14,F$39)</f>
        <v>-402769.72999999922</v>
      </c>
      <c r="G82" s="28">
        <f t="shared" ca="1" si="0"/>
        <v>-402769.72999999922</v>
      </c>
      <c r="H82" s="8">
        <f t="shared" ca="1" si="1"/>
        <v>-402769.72999999922</v>
      </c>
      <c r="I82" s="8">
        <f t="shared" ca="1" si="2"/>
        <v>-1</v>
      </c>
      <c r="J82" s="43" t="str">
        <f t="shared" ca="1" si="3"/>
        <v>3,9</v>
      </c>
      <c r="K82" s="8">
        <f ca="1">_xll.DBRW($E$9,$F$16,$F$19,$F$20,$F$21,$F$22,$E82,$F$13,$F$14,K$39)</f>
        <v>3898291.16</v>
      </c>
      <c r="L82" s="34">
        <f t="shared" ca="1" si="4"/>
        <v>-0.10331956066616615</v>
      </c>
    </row>
    <row r="83" spans="2:12" x14ac:dyDescent="0.25">
      <c r="B83" t="str">
        <f ca="1">IF(_xll.TM1RPTELISCONSOLIDATED($E$42,$E83),IF(_xll.TM1RPTELLEV($E$42,$E83)&lt;=3,_xll.TM1RPTELLEV($E$42,$E83),"D"),"N")</f>
        <v>N</v>
      </c>
      <c r="C83">
        <v>1</v>
      </c>
      <c r="D83" s="20"/>
      <c r="E83" s="22" t="s">
        <v>127</v>
      </c>
      <c r="F83" s="8">
        <f ca="1">_xll.DBRW($E$9,$F$16,$F$19,$F$20,$F$21,$F$22,$E83,$F$13,$F$14,F$39)</f>
        <v>-380571.77999999595</v>
      </c>
      <c r="G83" s="28">
        <f t="shared" ca="1" si="0"/>
        <v>-380571.77999999595</v>
      </c>
      <c r="H83" s="8">
        <f t="shared" ca="1" si="1"/>
        <v>-380571.77999999595</v>
      </c>
      <c r="I83" s="8">
        <f t="shared" ca="1" si="2"/>
        <v>-1</v>
      </c>
      <c r="J83" s="43" t="str">
        <f t="shared" ca="1" si="3"/>
        <v>45,3</v>
      </c>
      <c r="K83" s="8">
        <f ca="1">_xll.DBRW($E$9,$F$16,$F$19,$F$20,$F$21,$F$22,$E83,$F$13,$F$14,K$39)</f>
        <v>45318407.410000004</v>
      </c>
      <c r="L83" s="34">
        <f t="shared" ca="1" si="4"/>
        <v>-8.3977306739163697E-3</v>
      </c>
    </row>
    <row r="84" spans="2:12" x14ac:dyDescent="0.25">
      <c r="B84" t="str">
        <f ca="1">IF(_xll.TM1RPTELISCONSOLIDATED($E$42,$E84),IF(_xll.TM1RPTELLEV($E$42,$E84)&lt;=3,_xll.TM1RPTELLEV($E$42,$E84),"D"),"N")</f>
        <v>N</v>
      </c>
      <c r="C84">
        <v>1</v>
      </c>
      <c r="D84" s="20"/>
      <c r="E84" s="22" t="s">
        <v>43</v>
      </c>
      <c r="F84" s="8">
        <f ca="1">_xll.DBRW($E$9,$F$16,$F$19,$F$20,$F$21,$F$22,$E84,$F$13,$F$14,F$39)</f>
        <v>-351231.13</v>
      </c>
      <c r="G84" s="28">
        <f t="shared" ca="1" si="0"/>
        <v>-351231.13</v>
      </c>
      <c r="H84" s="8">
        <f t="shared" ca="1" si="1"/>
        <v>-351231.13</v>
      </c>
      <c r="I84" s="8">
        <f t="shared" ca="1" si="2"/>
        <v>-1</v>
      </c>
      <c r="J84" s="43" t="str">
        <f t="shared" ca="1" si="3"/>
        <v>6,4</v>
      </c>
      <c r="K84" s="8">
        <f ca="1">_xll.DBRW($E$9,$F$16,$F$19,$F$20,$F$21,$F$22,$E84,$F$13,$F$14,K$39)</f>
        <v>6366246.3899999997</v>
      </c>
      <c r="L84" s="34">
        <f t="shared" ca="1" si="4"/>
        <v>-5.5170835133196913E-2</v>
      </c>
    </row>
    <row r="85" spans="2:12" x14ac:dyDescent="0.25">
      <c r="B85" t="str">
        <f ca="1">IF(_xll.TM1RPTELISCONSOLIDATED($E$42,$E85),IF(_xll.TM1RPTELLEV($E$42,$E85)&lt;=3,_xll.TM1RPTELLEV($E$42,$E85),"D"),"N")</f>
        <v>N</v>
      </c>
      <c r="C85">
        <v>1</v>
      </c>
      <c r="D85" s="20"/>
      <c r="E85" s="22" t="s">
        <v>183</v>
      </c>
      <c r="F85" s="8">
        <f ca="1">_xll.DBRW($E$9,$F$16,$F$19,$F$20,$F$21,$F$22,$E85,$F$13,$F$14,F$39)</f>
        <v>-328680.96000000084</v>
      </c>
      <c r="G85" s="28">
        <f t="shared" ca="1" si="0"/>
        <v>-328680.96000000084</v>
      </c>
      <c r="H85" s="8">
        <f t="shared" ca="1" si="1"/>
        <v>-328680.96000000084</v>
      </c>
      <c r="I85" s="8">
        <f t="shared" ca="1" si="2"/>
        <v>-1</v>
      </c>
      <c r="J85" s="43" t="str">
        <f t="shared" ca="1" si="3"/>
        <v>6,9</v>
      </c>
      <c r="K85" s="8">
        <f ca="1">_xll.DBRW($E$9,$F$16,$F$19,$F$20,$F$21,$F$22,$E85,$F$13,$F$14,K$39)</f>
        <v>6874821.4699999997</v>
      </c>
      <c r="L85" s="34">
        <f t="shared" ca="1" si="4"/>
        <v>-4.7809381150373476E-2</v>
      </c>
    </row>
    <row r="86" spans="2:12" x14ac:dyDescent="0.25">
      <c r="B86" t="str">
        <f ca="1">IF(_xll.TM1RPTELISCONSOLIDATED($E$42,$E86),IF(_xll.TM1RPTELLEV($E$42,$E86)&lt;=3,_xll.TM1RPTELLEV($E$42,$E86),"D"),"N")</f>
        <v>N</v>
      </c>
      <c r="C86">
        <v>1</v>
      </c>
      <c r="D86" s="20"/>
      <c r="E86" s="22" t="s">
        <v>55</v>
      </c>
      <c r="F86" s="8">
        <f ca="1">_xll.DBRW($E$9,$F$16,$F$19,$F$20,$F$21,$F$22,$E86,$F$13,$F$14,F$39)</f>
        <v>-321965.34000000055</v>
      </c>
      <c r="G86" s="28">
        <f t="shared" ca="1" si="0"/>
        <v>-321965.34000000055</v>
      </c>
      <c r="H86" s="8">
        <f t="shared" ca="1" si="1"/>
        <v>-321965.34000000055</v>
      </c>
      <c r="I86" s="8">
        <f t="shared" ca="1" si="2"/>
        <v>-1</v>
      </c>
      <c r="J86" s="43" t="str">
        <f t="shared" ca="1" si="3"/>
        <v>9,3</v>
      </c>
      <c r="K86" s="8">
        <f ca="1">_xll.DBRW($E$9,$F$16,$F$19,$F$20,$F$21,$F$22,$E86,$F$13,$F$14,K$39)</f>
        <v>9348656.7300000004</v>
      </c>
      <c r="L86" s="34">
        <f t="shared" ca="1" si="4"/>
        <v>-3.443974351596505E-2</v>
      </c>
    </row>
    <row r="87" spans="2:12" x14ac:dyDescent="0.25">
      <c r="B87" t="str">
        <f ca="1">IF(_xll.TM1RPTELISCONSOLIDATED($E$42,$E87),IF(_xll.TM1RPTELLEV($E$42,$E87)&lt;=3,_xll.TM1RPTELLEV($E$42,$E87),"D"),"N")</f>
        <v>N</v>
      </c>
      <c r="C87">
        <v>1</v>
      </c>
      <c r="D87" s="20"/>
      <c r="E87" s="22" t="s">
        <v>66</v>
      </c>
      <c r="F87" s="8">
        <f ca="1">_xll.DBRW($E$9,$F$16,$F$19,$F$20,$F$21,$F$22,$E87,$F$13,$F$14,F$39)</f>
        <v>-317864.38999999978</v>
      </c>
      <c r="G87" s="28">
        <f t="shared" ca="1" si="0"/>
        <v>-317864.38999999978</v>
      </c>
      <c r="H87" s="8">
        <f t="shared" ca="1" si="1"/>
        <v>-317864.38999999978</v>
      </c>
      <c r="I87" s="8">
        <f t="shared" ca="1" si="2"/>
        <v>-1</v>
      </c>
      <c r="J87" s="43" t="str">
        <f t="shared" ca="1" si="3"/>
        <v>2,3</v>
      </c>
      <c r="K87" s="8">
        <f ca="1">_xll.DBRW($E$9,$F$16,$F$19,$F$20,$F$21,$F$22,$E87,$F$13,$F$14,K$39)</f>
        <v>2323814.5000000005</v>
      </c>
      <c r="L87" s="34">
        <f t="shared" ca="1" si="4"/>
        <v>-0.13678561262097286</v>
      </c>
    </row>
    <row r="88" spans="2:12" x14ac:dyDescent="0.25">
      <c r="B88" t="str">
        <f ca="1">IF(_xll.TM1RPTELISCONSOLIDATED($E$42,$E88),IF(_xll.TM1RPTELLEV($E$42,$E88)&lt;=3,_xll.TM1RPTELLEV($E$42,$E88),"D"),"N")</f>
        <v>N</v>
      </c>
      <c r="C88">
        <v>1</v>
      </c>
      <c r="D88" s="20"/>
      <c r="E88" s="22" t="s">
        <v>184</v>
      </c>
      <c r="F88" s="8">
        <f ca="1">_xll.DBRW($E$9,$F$16,$F$19,$F$20,$F$21,$F$22,$E88,$F$13,$F$14,F$39)</f>
        <v>-283755.74</v>
      </c>
      <c r="G88" s="28">
        <f t="shared" ca="1" si="0"/>
        <v>-283755.74</v>
      </c>
      <c r="H88" s="8">
        <f t="shared" ca="1" si="1"/>
        <v>-283755.74</v>
      </c>
      <c r="I88" s="8">
        <f t="shared" ca="1" si="2"/>
        <v>-1</v>
      </c>
      <c r="J88" s="43" t="str">
        <f t="shared" ca="1" si="3"/>
        <v>7,0</v>
      </c>
      <c r="K88" s="8">
        <f ca="1">_xll.DBRW($E$9,$F$16,$F$19,$F$20,$F$21,$F$22,$E88,$F$13,$F$14,K$39)</f>
        <v>7039769.1299999999</v>
      </c>
      <c r="L88" s="34">
        <f t="shared" ca="1" si="4"/>
        <v>-4.0307534914855933E-2</v>
      </c>
    </row>
    <row r="89" spans="2:12" x14ac:dyDescent="0.25">
      <c r="B89" t="str">
        <f ca="1">IF(_xll.TM1RPTELISCONSOLIDATED($E$42,$E89),IF(_xll.TM1RPTELLEV($E$42,$E89)&lt;=3,_xll.TM1RPTELLEV($E$42,$E89),"D"),"N")</f>
        <v>N</v>
      </c>
      <c r="C89">
        <v>1</v>
      </c>
      <c r="D89" s="20"/>
      <c r="E89" s="22" t="s">
        <v>46</v>
      </c>
      <c r="F89" s="8">
        <f ca="1">_xll.DBRW($E$9,$F$16,$F$19,$F$20,$F$21,$F$22,$E89,$F$13,$F$14,F$39)</f>
        <v>-267874.60999999981</v>
      </c>
      <c r="G89" s="28">
        <f t="shared" ca="1" si="0"/>
        <v>-267874.60999999981</v>
      </c>
      <c r="H89" s="8">
        <f t="shared" ca="1" si="1"/>
        <v>-267874.60999999981</v>
      </c>
      <c r="I89" s="8">
        <f t="shared" ca="1" si="2"/>
        <v>-1</v>
      </c>
      <c r="J89" s="43" t="str">
        <f t="shared" ca="1" si="3"/>
        <v>2,0</v>
      </c>
      <c r="K89" s="8">
        <f ca="1">_xll.DBRW($E$9,$F$16,$F$19,$F$20,$F$21,$F$22,$E89,$F$13,$F$14,K$39)</f>
        <v>1952728.9800000002</v>
      </c>
      <c r="L89" s="34">
        <f t="shared" ca="1" si="4"/>
        <v>-0.13717961516605329</v>
      </c>
    </row>
    <row r="90" spans="2:12" x14ac:dyDescent="0.25">
      <c r="B90" t="str">
        <f ca="1">IF(_xll.TM1RPTELISCONSOLIDATED($E$42,$E90),IF(_xll.TM1RPTELLEV($E$42,$E90)&lt;=3,_xll.TM1RPTELLEV($E$42,$E90),"D"),"N")</f>
        <v>N</v>
      </c>
      <c r="C90">
        <v>1</v>
      </c>
      <c r="D90" s="20"/>
      <c r="E90" s="22" t="s">
        <v>185</v>
      </c>
      <c r="F90" s="8">
        <f ca="1">_xll.DBRW($E$9,$F$16,$F$19,$F$20,$F$21,$F$22,$E90,$F$13,$F$14,F$39)</f>
        <v>-266102.73000000016</v>
      </c>
      <c r="G90" s="28">
        <f t="shared" ca="1" si="0"/>
        <v>-266102.73000000016</v>
      </c>
      <c r="H90" s="8">
        <f t="shared" ca="1" si="1"/>
        <v>-266102.73000000016</v>
      </c>
      <c r="I90" s="8">
        <f t="shared" ca="1" si="2"/>
        <v>-1</v>
      </c>
      <c r="J90" s="43" t="str">
        <f t="shared" ca="1" si="3"/>
        <v>1,8</v>
      </c>
      <c r="K90" s="8">
        <f ca="1">_xll.DBRW($E$9,$F$16,$F$19,$F$20,$F$21,$F$22,$E90,$F$13,$F$14,K$39)</f>
        <v>1803193.69</v>
      </c>
      <c r="L90" s="34">
        <f t="shared" ca="1" si="4"/>
        <v>-0.14757301529820691</v>
      </c>
    </row>
    <row r="91" spans="2:12" x14ac:dyDescent="0.25">
      <c r="B91" t="str">
        <f ca="1">IF(_xll.TM1RPTELISCONSOLIDATED($E$42,$E91),IF(_xll.TM1RPTELLEV($E$42,$E91)&lt;=3,_xll.TM1RPTELLEV($E$42,$E91),"D"),"N")</f>
        <v>N</v>
      </c>
      <c r="C91">
        <v>1</v>
      </c>
      <c r="D91" s="20"/>
      <c r="E91" s="22" t="s">
        <v>17</v>
      </c>
      <c r="F91" s="8">
        <f ca="1">_xll.DBRW($E$9,$F$16,$F$19,$F$20,$F$21,$F$22,$E91,$F$13,$F$14,F$39)</f>
        <v>-250612.41000000047</v>
      </c>
      <c r="G91" s="28">
        <f t="shared" ca="1" si="0"/>
        <v>-250612.41000000047</v>
      </c>
      <c r="H91" s="8">
        <f t="shared" ca="1" si="1"/>
        <v>-250612.41000000047</v>
      </c>
      <c r="I91" s="8">
        <f t="shared" ca="1" si="2"/>
        <v>-1</v>
      </c>
      <c r="J91" s="43" t="str">
        <f t="shared" ca="1" si="3"/>
        <v>6,5</v>
      </c>
      <c r="K91" s="8">
        <f ca="1">_xll.DBRW($E$9,$F$16,$F$19,$F$20,$F$21,$F$22,$E91,$F$13,$F$14,K$39)</f>
        <v>6499973.1500000004</v>
      </c>
      <c r="L91" s="34">
        <f t="shared" ca="1" si="4"/>
        <v>-3.8555914650201355E-2</v>
      </c>
    </row>
    <row r="92" spans="2:12" x14ac:dyDescent="0.25">
      <c r="B92" t="str">
        <f ca="1">IF(_xll.TM1RPTELISCONSOLIDATED($E$42,$E92),IF(_xll.TM1RPTELLEV($E$42,$E92)&lt;=3,_xll.TM1RPTELLEV($E$42,$E92),"D"),"N")</f>
        <v>N</v>
      </c>
      <c r="C92">
        <v>1</v>
      </c>
      <c r="D92" s="20"/>
      <c r="E92" s="22" t="s">
        <v>60</v>
      </c>
      <c r="F92" s="8">
        <f ca="1">_xll.DBRW($E$9,$F$16,$F$19,$F$20,$F$21,$F$22,$E92,$F$13,$F$14,F$39)</f>
        <v>-241454.54999999868</v>
      </c>
      <c r="G92" s="28">
        <f t="shared" ca="1" si="0"/>
        <v>-241454.54999999868</v>
      </c>
      <c r="H92" s="8">
        <f t="shared" ca="1" si="1"/>
        <v>-241454.54999999868</v>
      </c>
      <c r="I92" s="8">
        <f t="shared" ca="1" si="2"/>
        <v>-1</v>
      </c>
      <c r="J92" s="43" t="str">
        <f t="shared" ca="1" si="3"/>
        <v>8,2</v>
      </c>
      <c r="K92" s="8">
        <f ca="1">_xll.DBRW($E$9,$F$16,$F$19,$F$20,$F$21,$F$22,$E92,$F$13,$F$14,K$39)</f>
        <v>8154186.4500000011</v>
      </c>
      <c r="L92" s="34">
        <f t="shared" ca="1" si="4"/>
        <v>-2.9611114668588262E-2</v>
      </c>
    </row>
    <row r="93" spans="2:12" x14ac:dyDescent="0.25">
      <c r="B93" t="str">
        <f ca="1">IF(_xll.TM1RPTELISCONSOLIDATED($E$42,$E93),IF(_xll.TM1RPTELLEV($E$42,$E93)&lt;=3,_xll.TM1RPTELLEV($E$42,$E93),"D"),"N")</f>
        <v>N</v>
      </c>
      <c r="C93">
        <v>1</v>
      </c>
      <c r="D93" s="20"/>
      <c r="E93" s="22" t="s">
        <v>186</v>
      </c>
      <c r="F93" s="8">
        <f ca="1">_xll.DBRW($E$9,$F$16,$F$19,$F$20,$F$21,$F$22,$E93,$F$13,$F$14,F$39)</f>
        <v>-228064.86999999732</v>
      </c>
      <c r="G93" s="28">
        <f t="shared" ca="1" si="0"/>
        <v>-228064.86999999732</v>
      </c>
      <c r="H93" s="8">
        <f t="shared" ca="1" si="1"/>
        <v>-228064.86999999732</v>
      </c>
      <c r="I93" s="8">
        <f t="shared" ca="1" si="2"/>
        <v>-1</v>
      </c>
      <c r="J93" s="43" t="str">
        <f t="shared" ca="1" si="3"/>
        <v>34,2</v>
      </c>
      <c r="K93" s="8">
        <f ca="1">_xll.DBRW($E$9,$F$16,$F$19,$F$20,$F$21,$F$22,$E93,$F$13,$F$14,K$39)</f>
        <v>34180479.759999998</v>
      </c>
      <c r="L93" s="34">
        <f t="shared" ca="1" si="4"/>
        <v>-6.6723718216176765E-3</v>
      </c>
    </row>
    <row r="94" spans="2:12" x14ac:dyDescent="0.25">
      <c r="B94" t="str">
        <f ca="1">IF(_xll.TM1RPTELISCONSOLIDATED($E$42,$E94),IF(_xll.TM1RPTELLEV($E$42,$E94)&lt;=3,_xll.TM1RPTELLEV($E$42,$E94),"D"),"N")</f>
        <v>N</v>
      </c>
      <c r="C94">
        <v>1</v>
      </c>
      <c r="D94" s="20"/>
      <c r="E94" s="22" t="s">
        <v>115</v>
      </c>
      <c r="F94" s="8">
        <f ca="1">_xll.DBRW($E$9,$F$16,$F$19,$F$20,$F$21,$F$22,$E94,$F$13,$F$14,F$39)</f>
        <v>-220166.96999999907</v>
      </c>
      <c r="G94" s="28">
        <f t="shared" ca="1" si="0"/>
        <v>-220166.96999999907</v>
      </c>
      <c r="H94" s="8">
        <f t="shared" ca="1" si="1"/>
        <v>-220166.96999999907</v>
      </c>
      <c r="I94" s="8">
        <f t="shared" ca="1" si="2"/>
        <v>-1</v>
      </c>
      <c r="J94" s="43" t="str">
        <f t="shared" ca="1" si="3"/>
        <v>7,5</v>
      </c>
      <c r="K94" s="8">
        <f ca="1">_xll.DBRW($E$9,$F$16,$F$19,$F$20,$F$21,$F$22,$E94,$F$13,$F$14,K$39)</f>
        <v>7492429.4500000002</v>
      </c>
      <c r="L94" s="34">
        <f t="shared" ca="1" si="4"/>
        <v>-2.9385257674998735E-2</v>
      </c>
    </row>
    <row r="95" spans="2:12" x14ac:dyDescent="0.25">
      <c r="B95" t="str">
        <f ca="1">IF(_xll.TM1RPTELISCONSOLIDATED($E$42,$E95),IF(_xll.TM1RPTELLEV($E$42,$E95)&lt;=3,_xll.TM1RPTELLEV($E$42,$E95),"D"),"N")</f>
        <v>N</v>
      </c>
      <c r="C95">
        <v>1</v>
      </c>
      <c r="D95" s="20"/>
      <c r="E95" s="22" t="s">
        <v>126</v>
      </c>
      <c r="F95" s="8">
        <f ca="1">_xll.DBRW($E$9,$F$16,$F$19,$F$20,$F$21,$F$22,$E95,$F$13,$F$14,F$39)</f>
        <v>-216474.15999998714</v>
      </c>
      <c r="G95" s="28">
        <f t="shared" ca="1" si="0"/>
        <v>-216474.15999998714</v>
      </c>
      <c r="H95" s="8">
        <f t="shared" ca="1" si="1"/>
        <v>-216474.15999998714</v>
      </c>
      <c r="I95" s="8">
        <f t="shared" ca="1" si="2"/>
        <v>-1</v>
      </c>
      <c r="J95" s="43" t="str">
        <f t="shared" ca="1" si="3"/>
        <v>38,6</v>
      </c>
      <c r="K95" s="8">
        <f ca="1">_xll.DBRW($E$9,$F$16,$F$19,$F$20,$F$21,$F$22,$E95,$F$13,$F$14,K$39)</f>
        <v>38647149.540000014</v>
      </c>
      <c r="L95" s="34">
        <f t="shared" ca="1" si="4"/>
        <v>-5.6012969281456371E-3</v>
      </c>
    </row>
    <row r="96" spans="2:12" x14ac:dyDescent="0.25">
      <c r="B96" t="str">
        <f ca="1">IF(_xll.TM1RPTELISCONSOLIDATED($E$42,$E96),IF(_xll.TM1RPTELLEV($E$42,$E96)&lt;=3,_xll.TM1RPTELLEV($E$42,$E96),"D"),"N")</f>
        <v>N</v>
      </c>
      <c r="C96">
        <v>1</v>
      </c>
      <c r="D96" s="20"/>
      <c r="E96" s="22" t="s">
        <v>125</v>
      </c>
      <c r="F96" s="8">
        <f ca="1">_xll.DBRW($E$9,$F$16,$F$19,$F$20,$F$21,$F$22,$E96,$F$13,$F$14,F$39)</f>
        <v>-212670.58000000083</v>
      </c>
      <c r="G96" s="28">
        <f t="shared" ca="1" si="0"/>
        <v>-212670.58000000083</v>
      </c>
      <c r="H96" s="8">
        <f t="shared" ca="1" si="1"/>
        <v>-212670.58000000083</v>
      </c>
      <c r="I96" s="8">
        <f t="shared" ca="1" si="2"/>
        <v>-1</v>
      </c>
      <c r="J96" s="43" t="str">
        <f t="shared" ca="1" si="3"/>
        <v>10,4</v>
      </c>
      <c r="K96" s="8">
        <f ca="1">_xll.DBRW($E$9,$F$16,$F$19,$F$20,$F$21,$F$22,$E96,$F$13,$F$14,K$39)</f>
        <v>10389613.799999999</v>
      </c>
      <c r="L96" s="34">
        <f t="shared" ca="1" si="4"/>
        <v>-2.0469536605874691E-2</v>
      </c>
    </row>
    <row r="97" spans="2:12" x14ac:dyDescent="0.25">
      <c r="B97" t="str">
        <f ca="1">IF(_xll.TM1RPTELISCONSOLIDATED($E$42,$E97),IF(_xll.TM1RPTELLEV($E$42,$E97)&lt;=3,_xll.TM1RPTELLEV($E$42,$E97),"D"),"N")</f>
        <v>N</v>
      </c>
      <c r="C97">
        <v>1</v>
      </c>
      <c r="D97" s="20"/>
      <c r="E97" s="22" t="s">
        <v>187</v>
      </c>
      <c r="F97" s="8">
        <f ca="1">_xll.DBRW($E$9,$F$16,$F$19,$F$20,$F$21,$F$22,$E97,$F$13,$F$14,F$39)</f>
        <v>-201870.45000000016</v>
      </c>
      <c r="G97" s="28">
        <f t="shared" ca="1" si="0"/>
        <v>-201870.45000000016</v>
      </c>
      <c r="H97" s="8">
        <f t="shared" ca="1" si="1"/>
        <v>-201870.45000000016</v>
      </c>
      <c r="I97" s="8">
        <f t="shared" ca="1" si="2"/>
        <v>-1</v>
      </c>
      <c r="J97" s="43" t="str">
        <f t="shared" ca="1" si="3"/>
        <v>1,1</v>
      </c>
      <c r="K97" s="8">
        <f ca="1">_xll.DBRW($E$9,$F$16,$F$19,$F$20,$F$21,$F$22,$E97,$F$13,$F$14,K$39)</f>
        <v>1074889.8199999998</v>
      </c>
      <c r="L97" s="34">
        <f t="shared" ca="1" si="4"/>
        <v>-0.18780571389168071</v>
      </c>
    </row>
    <row r="98" spans="2:12" x14ac:dyDescent="0.25">
      <c r="B98" t="str">
        <f ca="1">IF(_xll.TM1RPTELISCONSOLIDATED($E$42,$E98),IF(_xll.TM1RPTELLEV($E$42,$E98)&lt;=3,_xll.TM1RPTELLEV($E$42,$E98),"D"),"N")</f>
        <v>N</v>
      </c>
      <c r="C98">
        <v>1</v>
      </c>
      <c r="D98" s="20"/>
      <c r="E98" s="22" t="s">
        <v>48</v>
      </c>
      <c r="F98" s="8">
        <f ca="1">_xll.DBRW($E$9,$F$16,$F$19,$F$20,$F$21,$F$22,$E98,$F$13,$F$14,F$39)</f>
        <v>-191344.98000000013</v>
      </c>
      <c r="G98" s="28">
        <f t="shared" ca="1" si="0"/>
        <v>-191344.98000000013</v>
      </c>
      <c r="H98" s="8">
        <f t="shared" ca="1" si="1"/>
        <v>-191344.98000000013</v>
      </c>
      <c r="I98" s="8">
        <f t="shared" ca="1" si="2"/>
        <v>-1</v>
      </c>
      <c r="J98" s="43" t="str">
        <f t="shared" ca="1" si="3"/>
        <v>1,0</v>
      </c>
      <c r="K98" s="8">
        <f ca="1">_xll.DBRW($E$9,$F$16,$F$19,$F$20,$F$21,$F$22,$E98,$F$13,$F$14,K$39)</f>
        <v>957246.11</v>
      </c>
      <c r="L98" s="34">
        <f t="shared" ca="1" si="4"/>
        <v>-0.19989110219523393</v>
      </c>
    </row>
    <row r="99" spans="2:12" x14ac:dyDescent="0.25">
      <c r="B99" t="str">
        <f ca="1">IF(_xll.TM1RPTELISCONSOLIDATED($E$42,$E99),IF(_xll.TM1RPTELLEV($E$42,$E99)&lt;=3,_xll.TM1RPTELLEV($E$42,$E99),"D"),"N")</f>
        <v>N</v>
      </c>
      <c r="C99">
        <v>1</v>
      </c>
      <c r="D99" s="20"/>
      <c r="E99" s="22" t="s">
        <v>113</v>
      </c>
      <c r="F99" s="8">
        <f ca="1">_xll.DBRW($E$9,$F$16,$F$19,$F$20,$F$21,$F$22,$E99,$F$13,$F$14,F$39)</f>
        <v>-185297.38000000038</v>
      </c>
      <c r="G99" s="28">
        <f t="shared" ca="1" si="0"/>
        <v>-185297.38000000038</v>
      </c>
      <c r="H99" s="8">
        <f t="shared" ca="1" si="1"/>
        <v>-185297.38000000038</v>
      </c>
      <c r="I99" s="8">
        <f t="shared" ca="1" si="2"/>
        <v>-1</v>
      </c>
      <c r="J99" s="43" t="str">
        <f t="shared" ca="1" si="3"/>
        <v>8,1</v>
      </c>
      <c r="K99" s="8">
        <f ca="1">_xll.DBRW($E$9,$F$16,$F$19,$F$20,$F$21,$F$22,$E99,$F$13,$F$14,K$39)</f>
        <v>8142979.9699999997</v>
      </c>
      <c r="L99" s="34">
        <f t="shared" ca="1" si="4"/>
        <v>-2.2755475352102626E-2</v>
      </c>
    </row>
    <row r="100" spans="2:12" x14ac:dyDescent="0.25">
      <c r="B100" t="str">
        <f ca="1">IF(_xll.TM1RPTELISCONSOLIDATED($E$42,$E100),IF(_xll.TM1RPTELLEV($E$42,$E100)&lt;=3,_xll.TM1RPTELLEV($E$42,$E100),"D"),"N")</f>
        <v>N</v>
      </c>
      <c r="C100">
        <v>1</v>
      </c>
      <c r="D100" s="20"/>
      <c r="E100" s="22" t="s">
        <v>42</v>
      </c>
      <c r="F100" s="8">
        <f ca="1">_xll.DBRW($E$9,$F$16,$F$19,$F$20,$F$21,$F$22,$E100,$F$13,$F$14,F$39)</f>
        <v>-180255.57000000059</v>
      </c>
      <c r="G100" s="28">
        <f t="shared" ca="1" si="0"/>
        <v>-180255.57000000059</v>
      </c>
      <c r="H100" s="8">
        <f t="shared" ca="1" si="1"/>
        <v>-180255.57000000059</v>
      </c>
      <c r="I100" s="8">
        <f t="shared" ca="1" si="2"/>
        <v>-1</v>
      </c>
      <c r="J100" s="43" t="str">
        <f t="shared" ca="1" si="3"/>
        <v>5,1</v>
      </c>
      <c r="K100" s="8">
        <f ca="1">_xll.DBRW($E$9,$F$16,$F$19,$F$20,$F$21,$F$22,$E100,$F$13,$F$14,K$39)</f>
        <v>5054957.2500000009</v>
      </c>
      <c r="L100" s="34">
        <f t="shared" ca="1" si="4"/>
        <v>-3.5659168037474612E-2</v>
      </c>
    </row>
    <row r="101" spans="2:12" x14ac:dyDescent="0.25">
      <c r="B101" t="str">
        <f ca="1">IF(_xll.TM1RPTELISCONSOLIDATED($E$42,$E101),IF(_xll.TM1RPTELLEV($E$42,$E101)&lt;=3,_xll.TM1RPTELLEV($E$42,$E101),"D"),"N")</f>
        <v>N</v>
      </c>
      <c r="C101">
        <v>1</v>
      </c>
      <c r="D101" s="20"/>
      <c r="E101" s="22" t="s">
        <v>41</v>
      </c>
      <c r="F101" s="8">
        <f ca="1">_xll.DBRW($E$9,$F$16,$F$19,$F$20,$F$21,$F$22,$E101,$F$13,$F$14,F$39)</f>
        <v>-176257.61000000109</v>
      </c>
      <c r="G101" s="28">
        <f t="shared" ca="1" si="0"/>
        <v>-176257.61000000109</v>
      </c>
      <c r="H101" s="8">
        <f t="shared" ca="1" si="1"/>
        <v>-176257.61000000109</v>
      </c>
      <c r="I101" s="8">
        <f t="shared" ca="1" si="2"/>
        <v>-1</v>
      </c>
      <c r="J101" s="43" t="str">
        <f t="shared" ca="1" si="3"/>
        <v>8,8</v>
      </c>
      <c r="K101" s="8">
        <f ca="1">_xll.DBRW($E$9,$F$16,$F$19,$F$20,$F$21,$F$22,$E101,$F$13,$F$14,K$39)</f>
        <v>8775241.9100000001</v>
      </c>
      <c r="L101" s="34">
        <f t="shared" ca="1" si="4"/>
        <v>-2.0085783595224109E-2</v>
      </c>
    </row>
    <row r="102" spans="2:12" x14ac:dyDescent="0.25">
      <c r="B102" t="str">
        <f ca="1">IF(_xll.TM1RPTELISCONSOLIDATED($E$42,$E102),IF(_xll.TM1RPTELLEV($E$42,$E102)&lt;=3,_xll.TM1RPTELLEV($E$42,$E102),"D"),"N")</f>
        <v>N</v>
      </c>
      <c r="C102">
        <v>1</v>
      </c>
      <c r="D102" s="20"/>
      <c r="E102" s="22" t="s">
        <v>70</v>
      </c>
      <c r="F102" s="8">
        <f ca="1">_xll.DBRW($E$9,$F$16,$F$19,$F$20,$F$21,$F$22,$E102,$F$13,$F$14,F$39)</f>
        <v>-167463.78999999986</v>
      </c>
      <c r="G102" s="28">
        <f t="shared" ca="1" si="0"/>
        <v>-167463.78999999986</v>
      </c>
      <c r="H102" s="8">
        <f t="shared" ca="1" si="1"/>
        <v>-167463.78999999986</v>
      </c>
      <c r="I102" s="8">
        <f t="shared" ca="1" si="2"/>
        <v>-1</v>
      </c>
      <c r="J102" s="43" t="str">
        <f t="shared" ca="1" si="3"/>
        <v>5,2</v>
      </c>
      <c r="K102" s="8">
        <f ca="1">_xll.DBRW($E$9,$F$16,$F$19,$F$20,$F$21,$F$22,$E102,$F$13,$F$14,K$39)</f>
        <v>5156633</v>
      </c>
      <c r="L102" s="34">
        <f t="shared" ca="1" si="4"/>
        <v>-3.2475413705028044E-2</v>
      </c>
    </row>
    <row r="103" spans="2:12" x14ac:dyDescent="0.25">
      <c r="B103" t="str">
        <f ca="1">IF(_xll.TM1RPTELISCONSOLIDATED($E$42,$E103),IF(_xll.TM1RPTELLEV($E$42,$E103)&lt;=3,_xll.TM1RPTELLEV($E$42,$E103),"D"),"N")</f>
        <v>N</v>
      </c>
      <c r="C103">
        <v>1</v>
      </c>
      <c r="D103" s="20"/>
      <c r="E103" s="22" t="s">
        <v>188</v>
      </c>
      <c r="F103" s="8">
        <f ca="1">_xll.DBRW($E$9,$F$16,$F$19,$F$20,$F$21,$F$22,$E103,$F$13,$F$14,F$39)</f>
        <v>-149859</v>
      </c>
      <c r="G103" s="28">
        <f t="shared" ca="1" si="0"/>
        <v>-149859</v>
      </c>
      <c r="H103" s="8">
        <f t="shared" ca="1" si="1"/>
        <v>-149859</v>
      </c>
      <c r="I103" s="8">
        <f t="shared" ca="1" si="2"/>
        <v>-1</v>
      </c>
      <c r="J103" s="43" t="str">
        <f t="shared" ca="1" si="3"/>
        <v>27,3</v>
      </c>
      <c r="K103" s="8">
        <f ca="1">_xll.DBRW($E$9,$F$16,$F$19,$F$20,$F$21,$F$22,$E103,$F$13,$F$14,K$39)</f>
        <v>27265481</v>
      </c>
      <c r="L103" s="34">
        <f t="shared" ca="1" si="4"/>
        <v>-5.4962903460239708E-3</v>
      </c>
    </row>
    <row r="104" spans="2:12" x14ac:dyDescent="0.25">
      <c r="B104" t="str">
        <f ca="1">IF(_xll.TM1RPTELISCONSOLIDATED($E$42,$E104),IF(_xll.TM1RPTELLEV($E$42,$E104)&lt;=3,_xll.TM1RPTELLEV($E$42,$E104),"D"),"N")</f>
        <v>N</v>
      </c>
      <c r="C104">
        <v>1</v>
      </c>
      <c r="D104" s="20"/>
      <c r="E104" s="22" t="s">
        <v>53</v>
      </c>
      <c r="F104" s="8">
        <f ca="1">_xll.DBRW($E$9,$F$16,$F$19,$F$20,$F$21,$F$22,$E104,$F$13,$F$14,F$39)</f>
        <v>-146804.22999999946</v>
      </c>
      <c r="G104" s="28">
        <f t="shared" ca="1" si="0"/>
        <v>-146804.22999999946</v>
      </c>
      <c r="H104" s="8">
        <f t="shared" ca="1" si="1"/>
        <v>-146804.22999999946</v>
      </c>
      <c r="I104" s="8">
        <f t="shared" ca="1" si="2"/>
        <v>-1</v>
      </c>
      <c r="J104" s="43" t="str">
        <f t="shared" ca="1" si="3"/>
        <v>1,2</v>
      </c>
      <c r="K104" s="8">
        <f ca="1">_xll.DBRW($E$9,$F$16,$F$19,$F$20,$F$21,$F$22,$E104,$F$13,$F$14,K$39)</f>
        <v>1186314.7000000002</v>
      </c>
      <c r="L104" s="34">
        <f t="shared" ca="1" si="4"/>
        <v>-0.12374813361075222</v>
      </c>
    </row>
    <row r="105" spans="2:12" x14ac:dyDescent="0.25">
      <c r="B105" t="str">
        <f ca="1">IF(_xll.TM1RPTELISCONSOLIDATED($E$42,$E105),IF(_xll.TM1RPTELLEV($E$42,$E105)&lt;=3,_xll.TM1RPTELLEV($E$42,$E105),"D"),"N")</f>
        <v>N</v>
      </c>
      <c r="C105">
        <v>1</v>
      </c>
      <c r="D105" s="20"/>
      <c r="E105" s="22" t="s">
        <v>47</v>
      </c>
      <c r="F105" s="8">
        <f ca="1">_xll.DBRW($E$9,$F$16,$F$19,$F$20,$F$21,$F$22,$E105,$F$13,$F$14,F$39)</f>
        <v>-137901.82999999926</v>
      </c>
      <c r="G105" s="28">
        <f t="shared" ca="1" si="0"/>
        <v>-137901.82999999926</v>
      </c>
      <c r="H105" s="8">
        <f t="shared" ca="1" si="1"/>
        <v>-137901.82999999926</v>
      </c>
      <c r="I105" s="8">
        <f t="shared" ca="1" si="2"/>
        <v>-1</v>
      </c>
      <c r="J105" s="43" t="str">
        <f t="shared" ca="1" si="3"/>
        <v>3,2</v>
      </c>
      <c r="K105" s="8">
        <f ca="1">_xll.DBRW($E$9,$F$16,$F$19,$F$20,$F$21,$F$22,$E105,$F$13,$F$14,K$39)</f>
        <v>3188574.77</v>
      </c>
      <c r="L105" s="34">
        <f t="shared" ca="1" si="4"/>
        <v>-4.3248736487995001E-2</v>
      </c>
    </row>
    <row r="106" spans="2:12" x14ac:dyDescent="0.25">
      <c r="B106" t="str">
        <f ca="1">IF(_xll.TM1RPTELISCONSOLIDATED($E$42,$E106),IF(_xll.TM1RPTELLEV($E$42,$E106)&lt;=3,_xll.TM1RPTELLEV($E$42,$E106),"D"),"N")</f>
        <v>N</v>
      </c>
      <c r="C106">
        <v>1</v>
      </c>
      <c r="D106" s="20"/>
      <c r="E106" s="22" t="s">
        <v>77</v>
      </c>
      <c r="F106" s="8">
        <f ca="1">_xll.DBRW($E$9,$F$16,$F$19,$F$20,$F$21,$F$22,$E106,$F$13,$F$14,F$39)</f>
        <v>-136354.66999999908</v>
      </c>
      <c r="G106" s="28">
        <f t="shared" ca="1" si="0"/>
        <v>-136354.66999999908</v>
      </c>
      <c r="H106" s="8">
        <f t="shared" ca="1" si="1"/>
        <v>-136354.66999999908</v>
      </c>
      <c r="I106" s="8">
        <f t="shared" ca="1" si="2"/>
        <v>-1</v>
      </c>
      <c r="J106" s="43" t="str">
        <f t="shared" ca="1" si="3"/>
        <v>3,7</v>
      </c>
      <c r="K106" s="8">
        <f ca="1">_xll.DBRW($E$9,$F$16,$F$19,$F$20,$F$21,$F$22,$E106,$F$13,$F$14,K$39)</f>
        <v>3658432.4499999997</v>
      </c>
      <c r="L106" s="34">
        <f t="shared" ca="1" si="4"/>
        <v>-3.7271337345588844E-2</v>
      </c>
    </row>
    <row r="107" spans="2:12" x14ac:dyDescent="0.25">
      <c r="B107" t="str">
        <f ca="1">IF(_xll.TM1RPTELISCONSOLIDATED($E$42,$E107),IF(_xll.TM1RPTELLEV($E$42,$E107)&lt;=3,_xll.TM1RPTELLEV($E$42,$E107),"D"),"N")</f>
        <v>N</v>
      </c>
      <c r="C107">
        <v>1</v>
      </c>
      <c r="D107" s="20"/>
      <c r="E107" s="22" t="s">
        <v>189</v>
      </c>
      <c r="F107" s="8">
        <f ca="1">_xll.DBRW($E$9,$F$16,$F$19,$F$20,$F$21,$F$22,$E107,$F$13,$F$14,F$39)</f>
        <v>-134029.65000000084</v>
      </c>
      <c r="G107" s="28">
        <f t="shared" ref="G107:G170" ca="1" si="5">F107</f>
        <v>-134029.65000000084</v>
      </c>
      <c r="H107" s="8">
        <f t="shared" ref="H107:H170" ca="1" si="6">F107</f>
        <v>-134029.65000000084</v>
      </c>
      <c r="I107" s="8">
        <f t="shared" ref="I107:I170" ca="1" si="7">IF(H107&lt;0,-1,1)</f>
        <v>-1</v>
      </c>
      <c r="J107" s="43" t="str">
        <f t="shared" ref="J107:J170" ca="1" si="8">FIXED(K107/1000000,1,)</f>
        <v>23,0</v>
      </c>
      <c r="K107" s="8">
        <f ca="1">_xll.DBRW($E$9,$F$16,$F$19,$F$20,$F$21,$F$22,$E107,$F$13,$F$14,K$39)</f>
        <v>22954339.510000002</v>
      </c>
      <c r="L107" s="34">
        <f t="shared" ref="L107:L170" ca="1" si="9">IF($K107,F107/$K107,0)</f>
        <v>-5.8389678318389931E-3</v>
      </c>
    </row>
    <row r="108" spans="2:12" x14ac:dyDescent="0.25">
      <c r="B108" t="str">
        <f ca="1">IF(_xll.TM1RPTELISCONSOLIDATED($E$42,$E108),IF(_xll.TM1RPTELLEV($E$42,$E108)&lt;=3,_xll.TM1RPTELLEV($E$42,$E108),"D"),"N")</f>
        <v>N</v>
      </c>
      <c r="C108">
        <v>1</v>
      </c>
      <c r="D108" s="20"/>
      <c r="E108" s="22" t="s">
        <v>61</v>
      </c>
      <c r="F108" s="8">
        <f ca="1">_xll.DBRW($E$9,$F$16,$F$19,$F$20,$F$21,$F$22,$E108,$F$13,$F$14,F$39)</f>
        <v>-132145.78999999989</v>
      </c>
      <c r="G108" s="28">
        <f t="shared" ca="1" si="5"/>
        <v>-132145.78999999989</v>
      </c>
      <c r="H108" s="8">
        <f t="shared" ca="1" si="6"/>
        <v>-132145.78999999989</v>
      </c>
      <c r="I108" s="8">
        <f t="shared" ca="1" si="7"/>
        <v>-1</v>
      </c>
      <c r="J108" s="43" t="str">
        <f t="shared" ca="1" si="8"/>
        <v>3,1</v>
      </c>
      <c r="K108" s="8">
        <f ca="1">_xll.DBRW($E$9,$F$16,$F$19,$F$20,$F$21,$F$22,$E108,$F$13,$F$14,K$39)</f>
        <v>3082655.35</v>
      </c>
      <c r="L108" s="34">
        <f t="shared" ca="1" si="9"/>
        <v>-4.2867520042420532E-2</v>
      </c>
    </row>
    <row r="109" spans="2:12" x14ac:dyDescent="0.25">
      <c r="B109" t="str">
        <f ca="1">IF(_xll.TM1RPTELISCONSOLIDATED($E$42,$E109),IF(_xll.TM1RPTELLEV($E$42,$E109)&lt;=3,_xll.TM1RPTELLEV($E$42,$E109),"D"),"N")</f>
        <v>N</v>
      </c>
      <c r="C109">
        <v>1</v>
      </c>
      <c r="D109" s="20"/>
      <c r="E109" s="22" t="s">
        <v>75</v>
      </c>
      <c r="F109" s="8">
        <f ca="1">_xll.DBRW($E$9,$F$16,$F$19,$F$20,$F$21,$F$22,$E109,$F$13,$F$14,F$39)</f>
        <v>-116107.06000000008</v>
      </c>
      <c r="G109" s="28">
        <f t="shared" ca="1" si="5"/>
        <v>-116107.06000000008</v>
      </c>
      <c r="H109" s="8">
        <f t="shared" ca="1" si="6"/>
        <v>-116107.06000000008</v>
      </c>
      <c r="I109" s="8">
        <f t="shared" ca="1" si="7"/>
        <v>-1</v>
      </c>
      <c r="J109" s="43" t="str">
        <f t="shared" ca="1" si="8"/>
        <v>2,0</v>
      </c>
      <c r="K109" s="8">
        <f ca="1">_xll.DBRW($E$9,$F$16,$F$19,$F$20,$F$21,$F$22,$E109,$F$13,$F$14,K$39)</f>
        <v>1962931.35</v>
      </c>
      <c r="L109" s="34">
        <f t="shared" ca="1" si="9"/>
        <v>-5.9149832213948837E-2</v>
      </c>
    </row>
    <row r="110" spans="2:12" x14ac:dyDescent="0.25">
      <c r="B110" t="str">
        <f ca="1">IF(_xll.TM1RPTELISCONSOLIDATED($E$42,$E110),IF(_xll.TM1RPTELLEV($E$42,$E110)&lt;=3,_xll.TM1RPTELLEV($E$42,$E110),"D"),"N")</f>
        <v>N</v>
      </c>
      <c r="C110">
        <v>1</v>
      </c>
      <c r="D110" s="20"/>
      <c r="E110" s="22" t="s">
        <v>80</v>
      </c>
      <c r="F110" s="8">
        <f ca="1">_xll.DBRW($E$9,$F$16,$F$19,$F$20,$F$21,$F$22,$E110,$F$13,$F$14,F$39)</f>
        <v>-103997.31999999951</v>
      </c>
      <c r="G110" s="28">
        <f t="shared" ca="1" si="5"/>
        <v>-103997.31999999951</v>
      </c>
      <c r="H110" s="8">
        <f t="shared" ca="1" si="6"/>
        <v>-103997.31999999951</v>
      </c>
      <c r="I110" s="8">
        <f t="shared" ca="1" si="7"/>
        <v>-1</v>
      </c>
      <c r="J110" s="43" t="str">
        <f t="shared" ca="1" si="8"/>
        <v>13,4</v>
      </c>
      <c r="K110" s="8">
        <f ca="1">_xll.DBRW($E$9,$F$16,$F$19,$F$20,$F$21,$F$22,$E110,$F$13,$F$14,K$39)</f>
        <v>13430694.35</v>
      </c>
      <c r="L110" s="34">
        <f t="shared" ca="1" si="9"/>
        <v>-7.7432571458972647E-3</v>
      </c>
    </row>
    <row r="111" spans="2:12" x14ac:dyDescent="0.25">
      <c r="B111" t="str">
        <f ca="1">IF(_xll.TM1RPTELISCONSOLIDATED($E$42,$E111),IF(_xll.TM1RPTELLEV($E$42,$E111)&lt;=3,_xll.TM1RPTELLEV($E$42,$E111),"D"),"N")</f>
        <v>N</v>
      </c>
      <c r="C111">
        <v>1</v>
      </c>
      <c r="D111" s="20"/>
      <c r="E111" s="22" t="s">
        <v>122</v>
      </c>
      <c r="F111" s="8">
        <f ca="1">_xll.DBRW($E$9,$F$16,$F$19,$F$20,$F$21,$F$22,$E111,$F$13,$F$14,F$39)</f>
        <v>-87932.150000000955</v>
      </c>
      <c r="G111" s="28">
        <f t="shared" ca="1" si="5"/>
        <v>-87932.150000000955</v>
      </c>
      <c r="H111" s="8">
        <f t="shared" ca="1" si="6"/>
        <v>-87932.150000000955</v>
      </c>
      <c r="I111" s="8">
        <f t="shared" ca="1" si="7"/>
        <v>-1</v>
      </c>
      <c r="J111" s="43" t="str">
        <f t="shared" ca="1" si="8"/>
        <v>12,6</v>
      </c>
      <c r="K111" s="8">
        <f ca="1">_xll.DBRW($E$9,$F$16,$F$19,$F$20,$F$21,$F$22,$E111,$F$13,$F$14,K$39)</f>
        <v>12588540.989999998</v>
      </c>
      <c r="L111" s="34">
        <f t="shared" ca="1" si="9"/>
        <v>-6.9850946245360694E-3</v>
      </c>
    </row>
    <row r="112" spans="2:12" x14ac:dyDescent="0.25">
      <c r="B112" t="str">
        <f ca="1">IF(_xll.TM1RPTELISCONSOLIDATED($E$42,$E112),IF(_xll.TM1RPTELLEV($E$42,$E112)&lt;=3,_xll.TM1RPTELLEV($E$42,$E112),"D"),"N")</f>
        <v>N</v>
      </c>
      <c r="C112">
        <v>1</v>
      </c>
      <c r="D112" s="20"/>
      <c r="E112" s="22" t="s">
        <v>62</v>
      </c>
      <c r="F112" s="8">
        <f ca="1">_xll.DBRW($E$9,$F$16,$F$19,$F$20,$F$21,$F$22,$E112,$F$13,$F$14,F$39)</f>
        <v>-78214.840000000506</v>
      </c>
      <c r="G112" s="28">
        <f t="shared" ca="1" si="5"/>
        <v>-78214.840000000506</v>
      </c>
      <c r="H112" s="8">
        <f t="shared" ca="1" si="6"/>
        <v>-78214.840000000506</v>
      </c>
      <c r="I112" s="8">
        <f t="shared" ca="1" si="7"/>
        <v>-1</v>
      </c>
      <c r="J112" s="43" t="str">
        <f t="shared" ca="1" si="8"/>
        <v>3,9</v>
      </c>
      <c r="K112" s="8">
        <f ca="1">_xll.DBRW($E$9,$F$16,$F$19,$F$20,$F$21,$F$22,$E112,$F$13,$F$14,K$39)</f>
        <v>3933381.7299999995</v>
      </c>
      <c r="L112" s="34">
        <f t="shared" ca="1" si="9"/>
        <v>-1.9884884145226482E-2</v>
      </c>
    </row>
    <row r="113" spans="2:12" x14ac:dyDescent="0.25">
      <c r="B113" t="str">
        <f ca="1">IF(_xll.TM1RPTELISCONSOLIDATED($E$42,$E113),IF(_xll.TM1RPTELLEV($E$42,$E113)&lt;=3,_xll.TM1RPTELLEV($E$42,$E113),"D"),"N")</f>
        <v>N</v>
      </c>
      <c r="C113">
        <v>1</v>
      </c>
      <c r="D113" s="20"/>
      <c r="E113" s="22" t="s">
        <v>190</v>
      </c>
      <c r="F113" s="8">
        <f ca="1">_xll.DBRW($E$9,$F$16,$F$19,$F$20,$F$21,$F$22,$E113,$F$13,$F$14,F$39)</f>
        <v>-71864.239999999583</v>
      </c>
      <c r="G113" s="28">
        <f t="shared" ca="1" si="5"/>
        <v>-71864.239999999583</v>
      </c>
      <c r="H113" s="8">
        <f t="shared" ca="1" si="6"/>
        <v>-71864.239999999583</v>
      </c>
      <c r="I113" s="8">
        <f t="shared" ca="1" si="7"/>
        <v>-1</v>
      </c>
      <c r="J113" s="43" t="str">
        <f t="shared" ca="1" si="8"/>
        <v>3,8</v>
      </c>
      <c r="K113" s="8">
        <f ca="1">_xll.DBRW($E$9,$F$16,$F$19,$F$20,$F$21,$F$22,$E113,$F$13,$F$14,K$39)</f>
        <v>3811416.4699999993</v>
      </c>
      <c r="L113" s="34">
        <f t="shared" ca="1" si="9"/>
        <v>-1.8854995397550874E-2</v>
      </c>
    </row>
    <row r="114" spans="2:12" x14ac:dyDescent="0.25">
      <c r="B114" t="str">
        <f ca="1">IF(_xll.TM1RPTELISCONSOLIDATED($E$42,$E114),IF(_xll.TM1RPTELLEV($E$42,$E114)&lt;=3,_xll.TM1RPTELLEV($E$42,$E114),"D"),"N")</f>
        <v>N</v>
      </c>
      <c r="C114">
        <v>1</v>
      </c>
      <c r="D114" s="20"/>
      <c r="E114" s="22" t="s">
        <v>20</v>
      </c>
      <c r="F114" s="8">
        <f ca="1">_xll.DBRW($E$9,$F$16,$F$19,$F$20,$F$21,$F$22,$E114,$F$13,$F$14,F$39)</f>
        <v>-71667.900000001275</v>
      </c>
      <c r="G114" s="28">
        <f t="shared" ca="1" si="5"/>
        <v>-71667.900000001275</v>
      </c>
      <c r="H114" s="8">
        <f t="shared" ca="1" si="6"/>
        <v>-71667.900000001275</v>
      </c>
      <c r="I114" s="8">
        <f t="shared" ca="1" si="7"/>
        <v>-1</v>
      </c>
      <c r="J114" s="43" t="str">
        <f t="shared" ca="1" si="8"/>
        <v>3,4</v>
      </c>
      <c r="K114" s="8">
        <f ca="1">_xll.DBRW($E$9,$F$16,$F$19,$F$20,$F$21,$F$22,$E114,$F$13,$F$14,K$39)</f>
        <v>3449574.1799999997</v>
      </c>
      <c r="L114" s="34">
        <f t="shared" ca="1" si="9"/>
        <v>-2.0775868631994827E-2</v>
      </c>
    </row>
    <row r="115" spans="2:12" x14ac:dyDescent="0.25">
      <c r="B115" t="str">
        <f ca="1">IF(_xll.TM1RPTELISCONSOLIDATED($E$42,$E115),IF(_xll.TM1RPTELLEV($E$42,$E115)&lt;=3,_xll.TM1RPTELLEV($E$42,$E115),"D"),"N")</f>
        <v>N</v>
      </c>
      <c r="C115">
        <v>1</v>
      </c>
      <c r="D115" s="20"/>
      <c r="E115" s="22" t="s">
        <v>191</v>
      </c>
      <c r="F115" s="8">
        <f ca="1">_xll.DBRW($E$9,$F$16,$F$19,$F$20,$F$21,$F$22,$E115,$F$13,$F$14,F$39)</f>
        <v>-64499.46000000021</v>
      </c>
      <c r="G115" s="28">
        <f t="shared" ca="1" si="5"/>
        <v>-64499.46000000021</v>
      </c>
      <c r="H115" s="8">
        <f t="shared" ca="1" si="6"/>
        <v>-64499.46000000021</v>
      </c>
      <c r="I115" s="8">
        <f t="shared" ca="1" si="7"/>
        <v>-1</v>
      </c>
      <c r="J115" s="43" t="str">
        <f t="shared" ca="1" si="8"/>
        <v>2,7</v>
      </c>
      <c r="K115" s="8">
        <f ca="1">_xll.DBRW($E$9,$F$16,$F$19,$F$20,$F$21,$F$22,$E115,$F$13,$F$14,K$39)</f>
        <v>2664103.2599999998</v>
      </c>
      <c r="L115" s="34">
        <f t="shared" ca="1" si="9"/>
        <v>-2.4210570576757681E-2</v>
      </c>
    </row>
    <row r="116" spans="2:12" x14ac:dyDescent="0.25">
      <c r="B116" t="str">
        <f ca="1">IF(_xll.TM1RPTELISCONSOLIDATED($E$42,$E116),IF(_xll.TM1RPTELLEV($E$42,$E116)&lt;=3,_xll.TM1RPTELLEV($E$42,$E116),"D"),"N")</f>
        <v>N</v>
      </c>
      <c r="C116">
        <v>1</v>
      </c>
      <c r="D116" s="20"/>
      <c r="E116" s="22" t="s">
        <v>192</v>
      </c>
      <c r="F116" s="8">
        <f ca="1">_xll.DBRW($E$9,$F$16,$F$19,$F$20,$F$21,$F$22,$E116,$F$13,$F$14,F$39)</f>
        <v>-49582.569999999992</v>
      </c>
      <c r="G116" s="28">
        <f t="shared" ca="1" si="5"/>
        <v>-49582.569999999992</v>
      </c>
      <c r="H116" s="8">
        <f t="shared" ca="1" si="6"/>
        <v>-49582.569999999992</v>
      </c>
      <c r="I116" s="8">
        <f t="shared" ca="1" si="7"/>
        <v>-1</v>
      </c>
      <c r="J116" s="43" t="str">
        <f t="shared" ca="1" si="8"/>
        <v>0,1</v>
      </c>
      <c r="K116" s="8">
        <f ca="1">_xll.DBRW($E$9,$F$16,$F$19,$F$20,$F$21,$F$22,$E116,$F$13,$F$14,K$39)</f>
        <v>93514</v>
      </c>
      <c r="L116" s="34">
        <f t="shared" ca="1" si="9"/>
        <v>-0.5302154757576405</v>
      </c>
    </row>
    <row r="117" spans="2:12" x14ac:dyDescent="0.25">
      <c r="B117" t="str">
        <f ca="1">IF(_xll.TM1RPTELISCONSOLIDATED($E$42,$E117),IF(_xll.TM1RPTELLEV($E$42,$E117)&lt;=3,_xll.TM1RPTELLEV($E$42,$E117),"D"),"N")</f>
        <v>N</v>
      </c>
      <c r="C117">
        <v>1</v>
      </c>
      <c r="D117" s="20"/>
      <c r="E117" s="22" t="s">
        <v>49</v>
      </c>
      <c r="F117" s="8">
        <f ca="1">_xll.DBRW($E$9,$F$16,$F$19,$F$20,$F$21,$F$22,$E117,$F$13,$F$14,F$39)</f>
        <v>-42806.789999999899</v>
      </c>
      <c r="G117" s="28">
        <f t="shared" ca="1" si="5"/>
        <v>-42806.789999999899</v>
      </c>
      <c r="H117" s="8">
        <f t="shared" ca="1" si="6"/>
        <v>-42806.789999999899</v>
      </c>
      <c r="I117" s="8">
        <f t="shared" ca="1" si="7"/>
        <v>-1</v>
      </c>
      <c r="J117" s="43" t="str">
        <f t="shared" ca="1" si="8"/>
        <v>1,2</v>
      </c>
      <c r="K117" s="8">
        <f ca="1">_xll.DBRW($E$9,$F$16,$F$19,$F$20,$F$21,$F$22,$E117,$F$13,$F$14,K$39)</f>
        <v>1160331.27</v>
      </c>
      <c r="L117" s="34">
        <f t="shared" ca="1" si="9"/>
        <v>-3.6891869681319453E-2</v>
      </c>
    </row>
    <row r="118" spans="2:12" x14ac:dyDescent="0.25">
      <c r="B118" t="str">
        <f ca="1">IF(_xll.TM1RPTELISCONSOLIDATED($E$42,$E118),IF(_xll.TM1RPTELLEV($E$42,$E118)&lt;=3,_xll.TM1RPTELLEV($E$42,$E118),"D"),"N")</f>
        <v>N</v>
      </c>
      <c r="C118">
        <v>1</v>
      </c>
      <c r="D118" s="20"/>
      <c r="E118" s="22" t="s">
        <v>193</v>
      </c>
      <c r="F118" s="8">
        <f ca="1">_xll.DBRW($E$9,$F$16,$F$19,$F$20,$F$21,$F$22,$E118,$F$13,$F$14,F$39)</f>
        <v>-41636.410000003758</v>
      </c>
      <c r="G118" s="28">
        <f t="shared" ca="1" si="5"/>
        <v>-41636.410000003758</v>
      </c>
      <c r="H118" s="8">
        <f t="shared" ca="1" si="6"/>
        <v>-41636.410000003758</v>
      </c>
      <c r="I118" s="8">
        <f t="shared" ca="1" si="7"/>
        <v>-1</v>
      </c>
      <c r="J118" s="43" t="str">
        <f t="shared" ca="1" si="8"/>
        <v>39,9</v>
      </c>
      <c r="K118" s="8">
        <f ca="1">_xll.DBRW($E$9,$F$16,$F$19,$F$20,$F$21,$F$22,$E118,$F$13,$F$14,K$39)</f>
        <v>39936086.43</v>
      </c>
      <c r="L118" s="34">
        <f t="shared" ca="1" si="9"/>
        <v>-1.0425761190442154E-3</v>
      </c>
    </row>
    <row r="119" spans="2:12" x14ac:dyDescent="0.25">
      <c r="B119" t="str">
        <f ca="1">IF(_xll.TM1RPTELISCONSOLIDATED($E$42,$E119),IF(_xll.TM1RPTELLEV($E$42,$E119)&lt;=3,_xll.TM1RPTELLEV($E$42,$E119),"D"),"N")</f>
        <v>N</v>
      </c>
      <c r="C119">
        <v>1</v>
      </c>
      <c r="D119" s="20"/>
      <c r="E119" s="22" t="s">
        <v>58</v>
      </c>
      <c r="F119" s="8">
        <f ca="1">_xll.DBRW($E$9,$F$16,$F$19,$F$20,$F$21,$F$22,$E119,$F$13,$F$14,F$39)</f>
        <v>-35259.200000000026</v>
      </c>
      <c r="G119" s="28">
        <f t="shared" ca="1" si="5"/>
        <v>-35259.200000000026</v>
      </c>
      <c r="H119" s="8">
        <f t="shared" ca="1" si="6"/>
        <v>-35259.200000000026</v>
      </c>
      <c r="I119" s="8">
        <f t="shared" ca="1" si="7"/>
        <v>-1</v>
      </c>
      <c r="J119" s="43" t="str">
        <f t="shared" ca="1" si="8"/>
        <v>0,8</v>
      </c>
      <c r="K119" s="8">
        <f ca="1">_xll.DBRW($E$9,$F$16,$F$19,$F$20,$F$21,$F$22,$E119,$F$13,$F$14,K$39)</f>
        <v>828560.27</v>
      </c>
      <c r="L119" s="34">
        <f t="shared" ca="1" si="9"/>
        <v>-4.2554779992045752E-2</v>
      </c>
    </row>
    <row r="120" spans="2:12" x14ac:dyDescent="0.25">
      <c r="B120" t="str">
        <f ca="1">IF(_xll.TM1RPTELISCONSOLIDATED($E$42,$E120),IF(_xll.TM1RPTELLEV($E$42,$E120)&lt;=3,_xll.TM1RPTELLEV($E$42,$E120),"D"),"N")</f>
        <v>N</v>
      </c>
      <c r="C120">
        <v>1</v>
      </c>
      <c r="D120" s="20"/>
      <c r="E120" s="22" t="s">
        <v>194</v>
      </c>
      <c r="F120" s="8">
        <f ca="1">_xll.DBRW($E$9,$F$16,$F$19,$F$20,$F$21,$F$22,$E120,$F$13,$F$14,F$39)</f>
        <v>-35193.279999999606</v>
      </c>
      <c r="G120" s="28">
        <f t="shared" ca="1" si="5"/>
        <v>-35193.279999999606</v>
      </c>
      <c r="H120" s="8">
        <f t="shared" ca="1" si="6"/>
        <v>-35193.279999999606</v>
      </c>
      <c r="I120" s="8">
        <f t="shared" ca="1" si="7"/>
        <v>-1</v>
      </c>
      <c r="J120" s="43" t="str">
        <f t="shared" ca="1" si="8"/>
        <v>39,5</v>
      </c>
      <c r="K120" s="8">
        <f ca="1">_xll.DBRW($E$9,$F$16,$F$19,$F$20,$F$21,$F$22,$E120,$F$13,$F$14,K$39)</f>
        <v>39484153.520000003</v>
      </c>
      <c r="L120" s="34">
        <f t="shared" ca="1" si="9"/>
        <v>-8.91326693433432E-4</v>
      </c>
    </row>
    <row r="121" spans="2:12" x14ac:dyDescent="0.25">
      <c r="B121" t="str">
        <f ca="1">IF(_xll.TM1RPTELISCONSOLIDATED($E$42,$E121),IF(_xll.TM1RPTELLEV($E$42,$E121)&lt;=3,_xll.TM1RPTELLEV($E$42,$E121),"D"),"N")</f>
        <v>N</v>
      </c>
      <c r="C121">
        <v>1</v>
      </c>
      <c r="D121" s="20"/>
      <c r="E121" s="22" t="s">
        <v>195</v>
      </c>
      <c r="F121" s="8">
        <f ca="1">_xll.DBRW($E$9,$F$16,$F$19,$F$20,$F$21,$F$22,$E121,$F$13,$F$14,F$39)</f>
        <v>-25404.75999999998</v>
      </c>
      <c r="G121" s="28">
        <f t="shared" ca="1" si="5"/>
        <v>-25404.75999999998</v>
      </c>
      <c r="H121" s="8">
        <f t="shared" ca="1" si="6"/>
        <v>-25404.75999999998</v>
      </c>
      <c r="I121" s="8">
        <f t="shared" ca="1" si="7"/>
        <v>-1</v>
      </c>
      <c r="J121" s="43" t="str">
        <f t="shared" ca="1" si="8"/>
        <v>0,2</v>
      </c>
      <c r="K121" s="8">
        <f ca="1">_xll.DBRW($E$9,$F$16,$F$19,$F$20,$F$21,$F$22,$E121,$F$13,$F$14,K$39)</f>
        <v>160719.17000000001</v>
      </c>
      <c r="L121" s="34">
        <f t="shared" ca="1" si="9"/>
        <v>-0.15806925832182916</v>
      </c>
    </row>
    <row r="122" spans="2:12" x14ac:dyDescent="0.25">
      <c r="B122" t="str">
        <f ca="1">IF(_xll.TM1RPTELISCONSOLIDATED($E$42,$E122),IF(_xll.TM1RPTELLEV($E$42,$E122)&lt;=3,_xll.TM1RPTELLEV($E$42,$E122),"D"),"N")</f>
        <v>N</v>
      </c>
      <c r="C122">
        <v>1</v>
      </c>
      <c r="D122" s="20"/>
      <c r="E122" s="22" t="s">
        <v>196</v>
      </c>
      <c r="F122" s="8">
        <f ca="1">_xll.DBRW($E$9,$F$16,$F$19,$F$20,$F$21,$F$22,$E122,$F$13,$F$14,F$39)</f>
        <v>-19768.909999999963</v>
      </c>
      <c r="G122" s="28">
        <f t="shared" ca="1" si="5"/>
        <v>-19768.909999999963</v>
      </c>
      <c r="H122" s="8">
        <f t="shared" ca="1" si="6"/>
        <v>-19768.909999999963</v>
      </c>
      <c r="I122" s="8">
        <f t="shared" ca="1" si="7"/>
        <v>-1</v>
      </c>
      <c r="J122" s="43" t="str">
        <f t="shared" ca="1" si="8"/>
        <v>0,3</v>
      </c>
      <c r="K122" s="8">
        <f ca="1">_xll.DBRW($E$9,$F$16,$F$19,$F$20,$F$21,$F$22,$E122,$F$13,$F$14,K$39)</f>
        <v>262373.83</v>
      </c>
      <c r="L122" s="34">
        <f t="shared" ca="1" si="9"/>
        <v>-7.5346348376284178E-2</v>
      </c>
    </row>
    <row r="123" spans="2:12" x14ac:dyDescent="0.25">
      <c r="B123" t="str">
        <f ca="1">IF(_xll.TM1RPTELISCONSOLIDATED($E$42,$E123),IF(_xll.TM1RPTELLEV($E$42,$E123)&lt;=3,_xll.TM1RPTELLEV($E$42,$E123),"D"),"N")</f>
        <v>N</v>
      </c>
      <c r="C123">
        <v>1</v>
      </c>
      <c r="D123" s="20"/>
      <c r="E123" s="22" t="s">
        <v>88</v>
      </c>
      <c r="F123" s="8">
        <f ca="1">_xll.DBRW($E$9,$F$16,$F$19,$F$20,$F$21,$F$22,$E123,$F$13,$F$14,F$39)</f>
        <v>-4864.3399999994144</v>
      </c>
      <c r="G123" s="28">
        <f t="shared" ca="1" si="5"/>
        <v>-4864.3399999994144</v>
      </c>
      <c r="H123" s="8">
        <f t="shared" ca="1" si="6"/>
        <v>-4864.3399999994144</v>
      </c>
      <c r="I123" s="8">
        <f t="shared" ca="1" si="7"/>
        <v>-1</v>
      </c>
      <c r="J123" s="43" t="str">
        <f t="shared" ca="1" si="8"/>
        <v>5,7</v>
      </c>
      <c r="K123" s="8">
        <f ca="1">_xll.DBRW($E$9,$F$16,$F$19,$F$20,$F$21,$F$22,$E123,$F$13,$F$14,K$39)</f>
        <v>5658497.5000000009</v>
      </c>
      <c r="L123" s="34">
        <f t="shared" ca="1" si="9"/>
        <v>-8.5965223100291442E-4</v>
      </c>
    </row>
    <row r="124" spans="2:12" x14ac:dyDescent="0.25">
      <c r="B124" t="str">
        <f ca="1">IF(_xll.TM1RPTELISCONSOLIDATED($E$42,$E124),IF(_xll.TM1RPTELLEV($E$42,$E124)&lt;=3,_xll.TM1RPTELLEV($E$42,$E124),"D"),"N")</f>
        <v>N</v>
      </c>
      <c r="C124">
        <v>1</v>
      </c>
      <c r="D124" s="20"/>
      <c r="E124" s="22" t="s">
        <v>197</v>
      </c>
      <c r="F124" s="8">
        <f ca="1">_xll.DBRW($E$9,$F$16,$F$19,$F$20,$F$21,$F$22,$E124,$F$13,$F$14,F$39)</f>
        <v>-4215.2399999996323</v>
      </c>
      <c r="G124" s="28">
        <f t="shared" ca="1" si="5"/>
        <v>-4215.2399999996323</v>
      </c>
      <c r="H124" s="8">
        <f t="shared" ca="1" si="6"/>
        <v>-4215.2399999996323</v>
      </c>
      <c r="I124" s="8">
        <f t="shared" ca="1" si="7"/>
        <v>-1</v>
      </c>
      <c r="J124" s="43" t="str">
        <f t="shared" ca="1" si="8"/>
        <v>1,8</v>
      </c>
      <c r="K124" s="8">
        <f ca="1">_xll.DBRW($E$9,$F$16,$F$19,$F$20,$F$21,$F$22,$E124,$F$13,$F$14,K$39)</f>
        <v>1817420.5900000003</v>
      </c>
      <c r="L124" s="34">
        <f t="shared" ca="1" si="9"/>
        <v>-2.3193530563003204E-3</v>
      </c>
    </row>
    <row r="125" spans="2:12" x14ac:dyDescent="0.25">
      <c r="B125" t="str">
        <f ca="1">IF(_xll.TM1RPTELISCONSOLIDATED($E$42,$E125),IF(_xll.TM1RPTELLEV($E$42,$E125)&lt;=3,_xll.TM1RPTELLEV($E$42,$E125),"D"),"N")</f>
        <v>N</v>
      </c>
      <c r="C125">
        <v>1</v>
      </c>
      <c r="D125" s="20"/>
      <c r="E125" s="22" t="s">
        <v>198</v>
      </c>
      <c r="F125" s="8">
        <f ca="1">_xll.DBRW($E$9,$F$16,$F$19,$F$20,$F$21,$F$22,$E125,$F$13,$F$14,F$39)</f>
        <v>-1835.4399999999764</v>
      </c>
      <c r="G125" s="28">
        <f t="shared" ca="1" si="5"/>
        <v>-1835.4399999999764</v>
      </c>
      <c r="H125" s="8">
        <f t="shared" ca="1" si="6"/>
        <v>-1835.4399999999764</v>
      </c>
      <c r="I125" s="8">
        <f t="shared" ca="1" si="7"/>
        <v>-1</v>
      </c>
      <c r="J125" s="43" t="str">
        <f t="shared" ca="1" si="8"/>
        <v>0,0</v>
      </c>
      <c r="K125" s="8">
        <f ca="1">_xll.DBRW($E$9,$F$16,$F$19,$F$20,$F$21,$F$22,$E125,$F$13,$F$14,K$39)</f>
        <v>123.5</v>
      </c>
      <c r="L125" s="34">
        <f t="shared" ca="1" si="9"/>
        <v>-14.861862348177947</v>
      </c>
    </row>
    <row r="126" spans="2:12" x14ac:dyDescent="0.25">
      <c r="B126" t="str">
        <f ca="1">IF(_xll.TM1RPTELISCONSOLIDATED($E$42,$E126),IF(_xll.TM1RPTELLEV($E$42,$E126)&lt;=3,_xll.TM1RPTELLEV($E$42,$E126),"D"),"N")</f>
        <v>N</v>
      </c>
      <c r="C126">
        <v>1</v>
      </c>
      <c r="D126" s="20"/>
      <c r="E126" s="22" t="s">
        <v>199</v>
      </c>
      <c r="F126" s="8">
        <f ca="1">_xll.DBRW($E$9,$F$16,$F$19,$F$20,$F$21,$F$22,$E126,$F$13,$F$14,F$39)</f>
        <v>-1684.1900000000005</v>
      </c>
      <c r="G126" s="28">
        <f t="shared" ca="1" si="5"/>
        <v>-1684.1900000000005</v>
      </c>
      <c r="H126" s="8">
        <f t="shared" ca="1" si="6"/>
        <v>-1684.1900000000005</v>
      </c>
      <c r="I126" s="8">
        <f t="shared" ca="1" si="7"/>
        <v>-1</v>
      </c>
      <c r="J126" s="43" t="str">
        <f t="shared" ca="1" si="8"/>
        <v>0,0</v>
      </c>
      <c r="K126" s="8">
        <f ca="1">_xll.DBRW($E$9,$F$16,$F$19,$F$20,$F$21,$F$22,$E126,$F$13,$F$14,K$39)</f>
        <v>0</v>
      </c>
      <c r="L126" s="34">
        <f t="shared" ca="1" si="9"/>
        <v>0</v>
      </c>
    </row>
    <row r="127" spans="2:12" x14ac:dyDescent="0.25">
      <c r="B127" t="str">
        <f ca="1">IF(_xll.TM1RPTELISCONSOLIDATED($E$42,$E127),IF(_xll.TM1RPTELLEV($E$42,$E127)&lt;=3,_xll.TM1RPTELLEV($E$42,$E127),"D"),"N")</f>
        <v>N</v>
      </c>
      <c r="C127">
        <v>1</v>
      </c>
      <c r="D127" s="20"/>
      <c r="E127" s="22" t="s">
        <v>200</v>
      </c>
      <c r="F127" s="8">
        <f ca="1">_xll.DBRW($E$9,$F$16,$F$19,$F$20,$F$21,$F$22,$E127,$F$13,$F$14,F$39)</f>
        <v>-750.22999999991748</v>
      </c>
      <c r="G127" s="28">
        <f t="shared" ca="1" si="5"/>
        <v>-750.22999999991748</v>
      </c>
      <c r="H127" s="8">
        <f t="shared" ca="1" si="6"/>
        <v>-750.22999999991748</v>
      </c>
      <c r="I127" s="8">
        <f t="shared" ca="1" si="7"/>
        <v>-1</v>
      </c>
      <c r="J127" s="43" t="str">
        <f t="shared" ca="1" si="8"/>
        <v>0,0</v>
      </c>
      <c r="K127" s="8">
        <f ca="1">_xll.DBRW($E$9,$F$16,$F$19,$F$20,$F$21,$F$22,$E127,$F$13,$F$14,K$39)</f>
        <v>17876.919999999998</v>
      </c>
      <c r="L127" s="34">
        <f t="shared" ca="1" si="9"/>
        <v>-4.1966401371148807E-2</v>
      </c>
    </row>
    <row r="128" spans="2:12" x14ac:dyDescent="0.25">
      <c r="B128" t="str">
        <f ca="1">IF(_xll.TM1RPTELISCONSOLIDATED($E$42,$E128),IF(_xll.TM1RPTELLEV($E$42,$E128)&lt;=3,_xll.TM1RPTELLEV($E$42,$E128),"D"),"N")</f>
        <v>N</v>
      </c>
      <c r="C128">
        <v>1</v>
      </c>
      <c r="D128" s="20"/>
      <c r="E128" s="22" t="s">
        <v>201</v>
      </c>
      <c r="F128" s="8">
        <f ca="1">_xll.DBRW($E$9,$F$16,$F$19,$F$20,$F$21,$F$22,$E128,$F$13,$F$14,F$39)</f>
        <v>0.5299999999996885</v>
      </c>
      <c r="G128" s="28">
        <f t="shared" ca="1" si="5"/>
        <v>0.5299999999996885</v>
      </c>
      <c r="H128" s="8">
        <f t="shared" ca="1" si="6"/>
        <v>0.5299999999996885</v>
      </c>
      <c r="I128" s="8">
        <f t="shared" ca="1" si="7"/>
        <v>1</v>
      </c>
      <c r="J128" s="43" t="str">
        <f t="shared" ca="1" si="8"/>
        <v>0,0</v>
      </c>
      <c r="K128" s="8">
        <f ca="1">_xll.DBRW($E$9,$F$16,$F$19,$F$20,$F$21,$F$22,$E128,$F$13,$F$14,K$39)</f>
        <v>4.9999999999499778E-2</v>
      </c>
      <c r="L128" s="34">
        <f t="shared" ca="1" si="9"/>
        <v>10.600000000099817</v>
      </c>
    </row>
    <row r="129" spans="2:12" x14ac:dyDescent="0.25">
      <c r="B129" t="str">
        <f ca="1">IF(_xll.TM1RPTELISCONSOLIDATED($E$42,$E129),IF(_xll.TM1RPTELLEV($E$42,$E129)&lt;=3,_xll.TM1RPTELLEV($E$42,$E129),"D"),"N")</f>
        <v>N</v>
      </c>
      <c r="C129">
        <v>1</v>
      </c>
      <c r="D129" s="20"/>
      <c r="E129" s="22" t="s">
        <v>202</v>
      </c>
      <c r="F129" s="8">
        <f ca="1">_xll.DBRW($E$9,$F$16,$F$19,$F$20,$F$21,$F$22,$E129,$F$13,$F$14,F$39)</f>
        <v>2872.2800000007264</v>
      </c>
      <c r="G129" s="28">
        <f t="shared" ca="1" si="5"/>
        <v>2872.2800000007264</v>
      </c>
      <c r="H129" s="8">
        <f t="shared" ca="1" si="6"/>
        <v>2872.2800000007264</v>
      </c>
      <c r="I129" s="8">
        <f t="shared" ca="1" si="7"/>
        <v>1</v>
      </c>
      <c r="J129" s="43" t="str">
        <f t="shared" ca="1" si="8"/>
        <v>6,9</v>
      </c>
      <c r="K129" s="8">
        <f ca="1">_xll.DBRW($E$9,$F$16,$F$19,$F$20,$F$21,$F$22,$E129,$F$13,$F$14,K$39)</f>
        <v>6861494.6100000003</v>
      </c>
      <c r="L129" s="34">
        <f t="shared" ca="1" si="9"/>
        <v>4.1860850488968415E-4</v>
      </c>
    </row>
    <row r="130" spans="2:12" x14ac:dyDescent="0.25">
      <c r="B130" t="str">
        <f ca="1">IF(_xll.TM1RPTELISCONSOLIDATED($E$42,$E130),IF(_xll.TM1RPTELLEV($E$42,$E130)&lt;=3,_xll.TM1RPTELLEV($E$42,$E130),"D"),"N")</f>
        <v>N</v>
      </c>
      <c r="C130">
        <v>1</v>
      </c>
      <c r="D130" s="20"/>
      <c r="E130" s="22" t="s">
        <v>67</v>
      </c>
      <c r="F130" s="8">
        <f ca="1">_xll.DBRW($E$9,$F$16,$F$19,$F$20,$F$21,$F$22,$E130,$F$13,$F$14,F$39)</f>
        <v>6325.4999999995052</v>
      </c>
      <c r="G130" s="28">
        <f t="shared" ca="1" si="5"/>
        <v>6325.4999999995052</v>
      </c>
      <c r="H130" s="8">
        <f t="shared" ca="1" si="6"/>
        <v>6325.4999999995052</v>
      </c>
      <c r="I130" s="8">
        <f t="shared" ca="1" si="7"/>
        <v>1</v>
      </c>
      <c r="J130" s="43" t="str">
        <f t="shared" ca="1" si="8"/>
        <v>10,4</v>
      </c>
      <c r="K130" s="8">
        <f ca="1">_xll.DBRW($E$9,$F$16,$F$19,$F$20,$F$21,$F$22,$E130,$F$13,$F$14,K$39)</f>
        <v>10368596.369999999</v>
      </c>
      <c r="L130" s="34">
        <f t="shared" ca="1" si="9"/>
        <v>6.1006328863387959E-4</v>
      </c>
    </row>
    <row r="131" spans="2:12" x14ac:dyDescent="0.25">
      <c r="B131" t="str">
        <f ca="1">IF(_xll.TM1RPTELISCONSOLIDATED($E$42,$E131),IF(_xll.TM1RPTELLEV($E$42,$E131)&lt;=3,_xll.TM1RPTELLEV($E$42,$E131),"D"),"N")</f>
        <v>N</v>
      </c>
      <c r="C131">
        <v>1</v>
      </c>
      <c r="D131" s="20"/>
      <c r="E131" s="22" t="s">
        <v>203</v>
      </c>
      <c r="F131" s="8">
        <f ca="1">_xll.DBRW($E$9,$F$16,$F$19,$F$20,$F$21,$F$22,$E131,$F$13,$F$14,F$39)</f>
        <v>6393.6199999996461</v>
      </c>
      <c r="G131" s="28">
        <f t="shared" ca="1" si="5"/>
        <v>6393.6199999996461</v>
      </c>
      <c r="H131" s="8">
        <f t="shared" ca="1" si="6"/>
        <v>6393.6199999996461</v>
      </c>
      <c r="I131" s="8">
        <f t="shared" ca="1" si="7"/>
        <v>1</v>
      </c>
      <c r="J131" s="43" t="str">
        <f t="shared" ca="1" si="8"/>
        <v>4,9</v>
      </c>
      <c r="K131" s="8">
        <f ca="1">_xll.DBRW($E$9,$F$16,$F$19,$F$20,$F$21,$F$22,$E131,$F$13,$F$14,K$39)</f>
        <v>4868929.3499999996</v>
      </c>
      <c r="L131" s="34">
        <f t="shared" ca="1" si="9"/>
        <v>1.3131470063330549E-3</v>
      </c>
    </row>
    <row r="132" spans="2:12" x14ac:dyDescent="0.25">
      <c r="B132" t="str">
        <f ca="1">IF(_xll.TM1RPTELISCONSOLIDATED($E$42,$E132),IF(_xll.TM1RPTELLEV($E$42,$E132)&lt;=3,_xll.TM1RPTELLEV($E$42,$E132),"D"),"N")</f>
        <v>N</v>
      </c>
      <c r="C132">
        <v>1</v>
      </c>
      <c r="D132" s="20"/>
      <c r="E132" s="22" t="s">
        <v>85</v>
      </c>
      <c r="F132" s="8">
        <f ca="1">_xll.DBRW($E$9,$F$16,$F$19,$F$20,$F$21,$F$22,$E132,$F$13,$F$14,F$39)</f>
        <v>7863.5000000004366</v>
      </c>
      <c r="G132" s="28">
        <f t="shared" ca="1" si="5"/>
        <v>7863.5000000004366</v>
      </c>
      <c r="H132" s="8">
        <f t="shared" ca="1" si="6"/>
        <v>7863.5000000004366</v>
      </c>
      <c r="I132" s="8">
        <f t="shared" ca="1" si="7"/>
        <v>1</v>
      </c>
      <c r="J132" s="43" t="str">
        <f t="shared" ca="1" si="8"/>
        <v>12,0</v>
      </c>
      <c r="K132" s="8">
        <f ca="1">_xll.DBRW($E$9,$F$16,$F$19,$F$20,$F$21,$F$22,$E132,$F$13,$F$14,K$39)</f>
        <v>11951075.01</v>
      </c>
      <c r="L132" s="34">
        <f t="shared" ca="1" si="9"/>
        <v>6.5797428209769359E-4</v>
      </c>
    </row>
    <row r="133" spans="2:12" x14ac:dyDescent="0.25">
      <c r="B133" t="str">
        <f ca="1">IF(_xll.TM1RPTELISCONSOLIDATED($E$42,$E133),IF(_xll.TM1RPTELLEV($E$42,$E133)&lt;=3,_xll.TM1RPTELLEV($E$42,$E133),"D"),"N")</f>
        <v>N</v>
      </c>
      <c r="C133">
        <v>1</v>
      </c>
      <c r="D133" s="20"/>
      <c r="E133" s="22" t="s">
        <v>54</v>
      </c>
      <c r="F133" s="8">
        <f ca="1">_xll.DBRW($E$9,$F$16,$F$19,$F$20,$F$21,$F$22,$E133,$F$13,$F$14,F$39)</f>
        <v>10670.859999999688</v>
      </c>
      <c r="G133" s="28">
        <f t="shared" ca="1" si="5"/>
        <v>10670.859999999688</v>
      </c>
      <c r="H133" s="8">
        <f t="shared" ca="1" si="6"/>
        <v>10670.859999999688</v>
      </c>
      <c r="I133" s="8">
        <f t="shared" ca="1" si="7"/>
        <v>1</v>
      </c>
      <c r="J133" s="43" t="str">
        <f t="shared" ca="1" si="8"/>
        <v>1,3</v>
      </c>
      <c r="K133" s="8">
        <f ca="1">_xll.DBRW($E$9,$F$16,$F$19,$F$20,$F$21,$F$22,$E133,$F$13,$F$14,K$39)</f>
        <v>1347894.72</v>
      </c>
      <c r="L133" s="34">
        <f t="shared" ca="1" si="9"/>
        <v>7.9166865495249421E-3</v>
      </c>
    </row>
    <row r="134" spans="2:12" x14ac:dyDescent="0.25">
      <c r="B134" t="str">
        <f ca="1">IF(_xll.TM1RPTELISCONSOLIDATED($E$42,$E134),IF(_xll.TM1RPTELLEV($E$42,$E134)&lt;=3,_xll.TM1RPTELLEV($E$42,$E134),"D"),"N")</f>
        <v>N</v>
      </c>
      <c r="C134">
        <v>1</v>
      </c>
      <c r="D134" s="20"/>
      <c r="E134" s="22" t="s">
        <v>69</v>
      </c>
      <c r="F134" s="8">
        <f ca="1">_xll.DBRW($E$9,$F$16,$F$19,$F$20,$F$21,$F$22,$E134,$F$13,$F$14,F$39)</f>
        <v>12021.289999999513</v>
      </c>
      <c r="G134" s="28">
        <f t="shared" ca="1" si="5"/>
        <v>12021.289999999513</v>
      </c>
      <c r="H134" s="8">
        <f t="shared" ca="1" si="6"/>
        <v>12021.289999999513</v>
      </c>
      <c r="I134" s="8">
        <f t="shared" ca="1" si="7"/>
        <v>1</v>
      </c>
      <c r="J134" s="43" t="str">
        <f t="shared" ca="1" si="8"/>
        <v>2,7</v>
      </c>
      <c r="K134" s="8">
        <f ca="1">_xll.DBRW($E$9,$F$16,$F$19,$F$20,$F$21,$F$22,$E134,$F$13,$F$14,K$39)</f>
        <v>2720207.7399999998</v>
      </c>
      <c r="L134" s="34">
        <f t="shared" ca="1" si="9"/>
        <v>4.4192543912103983E-3</v>
      </c>
    </row>
    <row r="135" spans="2:12" x14ac:dyDescent="0.25">
      <c r="B135" t="str">
        <f ca="1">IF(_xll.TM1RPTELISCONSOLIDATED($E$42,$E135),IF(_xll.TM1RPTELLEV($E$42,$E135)&lt;=3,_xll.TM1RPTELLEV($E$42,$E135),"D"),"N")</f>
        <v>N</v>
      </c>
      <c r="C135">
        <v>1</v>
      </c>
      <c r="D135" s="20"/>
      <c r="E135" s="22" t="s">
        <v>204</v>
      </c>
      <c r="F135" s="8">
        <f ca="1">_xll.DBRW($E$9,$F$16,$F$19,$F$20,$F$21,$F$22,$E135,$F$13,$F$14,F$39)</f>
        <v>12879.160000000295</v>
      </c>
      <c r="G135" s="28">
        <f t="shared" ca="1" si="5"/>
        <v>12879.160000000295</v>
      </c>
      <c r="H135" s="8">
        <f t="shared" ca="1" si="6"/>
        <v>12879.160000000295</v>
      </c>
      <c r="I135" s="8">
        <f t="shared" ca="1" si="7"/>
        <v>1</v>
      </c>
      <c r="J135" s="43" t="str">
        <f t="shared" ca="1" si="8"/>
        <v>1,5</v>
      </c>
      <c r="K135" s="8">
        <f ca="1">_xll.DBRW($E$9,$F$16,$F$19,$F$20,$F$21,$F$22,$E135,$F$13,$F$14,K$39)</f>
        <v>1538928.9700000002</v>
      </c>
      <c r="L135" s="34">
        <f t="shared" ca="1" si="9"/>
        <v>8.3689112695047203E-3</v>
      </c>
    </row>
    <row r="136" spans="2:12" x14ac:dyDescent="0.25">
      <c r="B136" t="str">
        <f ca="1">IF(_xll.TM1RPTELISCONSOLIDATED($E$42,$E136),IF(_xll.TM1RPTELLEV($E$42,$E136)&lt;=3,_xll.TM1RPTELLEV($E$42,$E136),"D"),"N")</f>
        <v>N</v>
      </c>
      <c r="C136">
        <v>1</v>
      </c>
      <c r="D136" s="20"/>
      <c r="E136" s="22" t="s">
        <v>205</v>
      </c>
      <c r="F136" s="8">
        <f ca="1">_xll.DBRW($E$9,$F$16,$F$19,$F$20,$F$21,$F$22,$E136,$F$13,$F$14,F$39)</f>
        <v>15130.230000000072</v>
      </c>
      <c r="G136" s="28">
        <f t="shared" ca="1" si="5"/>
        <v>15130.230000000072</v>
      </c>
      <c r="H136" s="8">
        <f t="shared" ca="1" si="6"/>
        <v>15130.230000000072</v>
      </c>
      <c r="I136" s="8">
        <f t="shared" ca="1" si="7"/>
        <v>1</v>
      </c>
      <c r="J136" s="43" t="str">
        <f t="shared" ca="1" si="8"/>
        <v>0,4</v>
      </c>
      <c r="K136" s="8">
        <f ca="1">_xll.DBRW($E$9,$F$16,$F$19,$F$20,$F$21,$F$22,$E136,$F$13,$F$14,K$39)</f>
        <v>409697.48000000004</v>
      </c>
      <c r="L136" s="34">
        <f t="shared" ca="1" si="9"/>
        <v>3.6930249119423608E-2</v>
      </c>
    </row>
    <row r="137" spans="2:12" x14ac:dyDescent="0.25">
      <c r="B137" t="str">
        <f ca="1">IF(_xll.TM1RPTELISCONSOLIDATED($E$42,$E137),IF(_xll.TM1RPTELLEV($E$42,$E137)&lt;=3,_xll.TM1RPTELLEV($E$42,$E137),"D"),"N")</f>
        <v>N</v>
      </c>
      <c r="C137">
        <v>1</v>
      </c>
      <c r="D137" s="20"/>
      <c r="E137" s="22" t="s">
        <v>142</v>
      </c>
      <c r="F137" s="8">
        <f ca="1">_xll.DBRW($E$9,$F$16,$F$19,$F$20,$F$21,$F$22,$E137,$F$13,$F$14,F$39)</f>
        <v>15593.10999999824</v>
      </c>
      <c r="G137" s="28">
        <f t="shared" ca="1" si="5"/>
        <v>15593.10999999824</v>
      </c>
      <c r="H137" s="8">
        <f t="shared" ca="1" si="6"/>
        <v>15593.10999999824</v>
      </c>
      <c r="I137" s="8">
        <f t="shared" ca="1" si="7"/>
        <v>1</v>
      </c>
      <c r="J137" s="43" t="str">
        <f t="shared" ca="1" si="8"/>
        <v>12,7</v>
      </c>
      <c r="K137" s="8">
        <f ca="1">_xll.DBRW($E$9,$F$16,$F$19,$F$20,$F$21,$F$22,$E137,$F$13,$F$14,K$39)</f>
        <v>12663906.599999998</v>
      </c>
      <c r="L137" s="34">
        <f t="shared" ca="1" si="9"/>
        <v>1.2313033009891468E-3</v>
      </c>
    </row>
    <row r="138" spans="2:12" x14ac:dyDescent="0.25">
      <c r="B138" t="str">
        <f ca="1">IF(_xll.TM1RPTELISCONSOLIDATED($E$42,$E138),IF(_xll.TM1RPTELLEV($E$42,$E138)&lt;=3,_xll.TM1RPTELLEV($E$42,$E138),"D"),"N")</f>
        <v>N</v>
      </c>
      <c r="C138">
        <v>1</v>
      </c>
      <c r="D138" s="20"/>
      <c r="E138" s="22" t="s">
        <v>206</v>
      </c>
      <c r="F138" s="8">
        <f ca="1">_xll.DBRW($E$9,$F$16,$F$19,$F$20,$F$21,$F$22,$E138,$F$13,$F$14,F$39)</f>
        <v>17379.360000000033</v>
      </c>
      <c r="G138" s="28">
        <f t="shared" ca="1" si="5"/>
        <v>17379.360000000033</v>
      </c>
      <c r="H138" s="8">
        <f t="shared" ca="1" si="6"/>
        <v>17379.360000000033</v>
      </c>
      <c r="I138" s="8">
        <f t="shared" ca="1" si="7"/>
        <v>1</v>
      </c>
      <c r="J138" s="43" t="str">
        <f t="shared" ca="1" si="8"/>
        <v>0,1</v>
      </c>
      <c r="K138" s="8">
        <f ca="1">_xll.DBRW($E$9,$F$16,$F$19,$F$20,$F$21,$F$22,$E138,$F$13,$F$14,K$39)</f>
        <v>70963.730000000025</v>
      </c>
      <c r="L138" s="34">
        <f t="shared" ca="1" si="9"/>
        <v>0.24490482673331893</v>
      </c>
    </row>
    <row r="139" spans="2:12" x14ac:dyDescent="0.25">
      <c r="B139" t="str">
        <f ca="1">IF(_xll.TM1RPTELISCONSOLIDATED($E$42,$E139),IF(_xll.TM1RPTELLEV($E$42,$E139)&lt;=3,_xll.TM1RPTELLEV($E$42,$E139),"D"),"N")</f>
        <v>N</v>
      </c>
      <c r="C139">
        <v>1</v>
      </c>
      <c r="D139" s="20"/>
      <c r="E139" s="22" t="s">
        <v>207</v>
      </c>
      <c r="F139" s="8">
        <f ca="1">_xll.DBRW($E$9,$F$16,$F$19,$F$20,$F$21,$F$22,$E139,$F$13,$F$14,F$39)</f>
        <v>20045.48</v>
      </c>
      <c r="G139" s="28">
        <f t="shared" ca="1" si="5"/>
        <v>20045.48</v>
      </c>
      <c r="H139" s="8">
        <f t="shared" ca="1" si="6"/>
        <v>20045.48</v>
      </c>
      <c r="I139" s="8">
        <f t="shared" ca="1" si="7"/>
        <v>1</v>
      </c>
      <c r="J139" s="43" t="str">
        <f t="shared" ca="1" si="8"/>
        <v>0,0</v>
      </c>
      <c r="K139" s="8">
        <f ca="1">_xll.DBRW($E$9,$F$16,$F$19,$F$20,$F$21,$F$22,$E139,$F$13,$F$14,K$39)</f>
        <v>20887.310000000001</v>
      </c>
      <c r="L139" s="34">
        <f t="shared" ca="1" si="9"/>
        <v>0.95969658132138591</v>
      </c>
    </row>
    <row r="140" spans="2:12" x14ac:dyDescent="0.25">
      <c r="B140" t="str">
        <f ca="1">IF(_xll.TM1RPTELISCONSOLIDATED($E$42,$E140),IF(_xll.TM1RPTELLEV($E$42,$E140)&lt;=3,_xll.TM1RPTELLEV($E$42,$E140),"D"),"N")</f>
        <v>N</v>
      </c>
      <c r="C140">
        <v>1</v>
      </c>
      <c r="D140" s="20"/>
      <c r="E140" s="22" t="s">
        <v>65</v>
      </c>
      <c r="F140" s="8">
        <f ca="1">_xll.DBRW($E$9,$F$16,$F$19,$F$20,$F$21,$F$22,$E140,$F$13,$F$14,F$39)</f>
        <v>27644.890000000509</v>
      </c>
      <c r="G140" s="28">
        <f t="shared" ca="1" si="5"/>
        <v>27644.890000000509</v>
      </c>
      <c r="H140" s="8">
        <f t="shared" ca="1" si="6"/>
        <v>27644.890000000509</v>
      </c>
      <c r="I140" s="8">
        <f t="shared" ca="1" si="7"/>
        <v>1</v>
      </c>
      <c r="J140" s="43" t="str">
        <f t="shared" ca="1" si="8"/>
        <v>2,4</v>
      </c>
      <c r="K140" s="8">
        <f ca="1">_xll.DBRW($E$9,$F$16,$F$19,$F$20,$F$21,$F$22,$E140,$F$13,$F$14,K$39)</f>
        <v>2381859.39</v>
      </c>
      <c r="L140" s="34">
        <f t="shared" ca="1" si="9"/>
        <v>1.1606432401536729E-2</v>
      </c>
    </row>
    <row r="141" spans="2:12" x14ac:dyDescent="0.25">
      <c r="B141" t="str">
        <f ca="1">IF(_xll.TM1RPTELISCONSOLIDATED($E$42,$E141),IF(_xll.TM1RPTELLEV($E$42,$E141)&lt;=3,_xll.TM1RPTELLEV($E$42,$E141),"D"),"N")</f>
        <v>N</v>
      </c>
      <c r="C141">
        <v>1</v>
      </c>
      <c r="D141" s="20"/>
      <c r="E141" s="22" t="s">
        <v>83</v>
      </c>
      <c r="F141" s="8">
        <f ca="1">_xll.DBRW($E$9,$F$16,$F$19,$F$20,$F$21,$F$22,$E141,$F$13,$F$14,F$39)</f>
        <v>27885.620000000883</v>
      </c>
      <c r="G141" s="28">
        <f t="shared" ca="1" si="5"/>
        <v>27885.620000000883</v>
      </c>
      <c r="H141" s="8">
        <f t="shared" ca="1" si="6"/>
        <v>27885.620000000883</v>
      </c>
      <c r="I141" s="8">
        <f t="shared" ca="1" si="7"/>
        <v>1</v>
      </c>
      <c r="J141" s="43" t="str">
        <f t="shared" ca="1" si="8"/>
        <v>3,1</v>
      </c>
      <c r="K141" s="8">
        <f ca="1">_xll.DBRW($E$9,$F$16,$F$19,$F$20,$F$21,$F$22,$E141,$F$13,$F$14,K$39)</f>
        <v>3138152.0700000003</v>
      </c>
      <c r="L141" s="34">
        <f t="shared" ca="1" si="9"/>
        <v>8.8860002249670708E-3</v>
      </c>
    </row>
    <row r="142" spans="2:12" x14ac:dyDescent="0.25">
      <c r="B142" t="str">
        <f ca="1">IF(_xll.TM1RPTELISCONSOLIDATED($E$42,$E142),IF(_xll.TM1RPTELLEV($E$42,$E142)&lt;=3,_xll.TM1RPTELLEV($E$42,$E142),"D"),"N")</f>
        <v>N</v>
      </c>
      <c r="C142">
        <v>1</v>
      </c>
      <c r="D142" s="20"/>
      <c r="E142" s="22" t="s">
        <v>101</v>
      </c>
      <c r="F142" s="8">
        <f ca="1">_xll.DBRW($E$9,$F$16,$F$19,$F$20,$F$21,$F$22,$E142,$F$13,$F$14,F$39)</f>
        <v>30717.719999998706</v>
      </c>
      <c r="G142" s="28">
        <f t="shared" ca="1" si="5"/>
        <v>30717.719999998706</v>
      </c>
      <c r="H142" s="8">
        <f t="shared" ca="1" si="6"/>
        <v>30717.719999998706</v>
      </c>
      <c r="I142" s="8">
        <f t="shared" ca="1" si="7"/>
        <v>1</v>
      </c>
      <c r="J142" s="43" t="str">
        <f t="shared" ca="1" si="8"/>
        <v>4,0</v>
      </c>
      <c r="K142" s="8">
        <f ca="1">_xll.DBRW($E$9,$F$16,$F$19,$F$20,$F$21,$F$22,$E142,$F$13,$F$14,K$39)</f>
        <v>3978764.4599999995</v>
      </c>
      <c r="L142" s="34">
        <f t="shared" ca="1" si="9"/>
        <v>7.7204168049693272E-3</v>
      </c>
    </row>
    <row r="143" spans="2:12" x14ac:dyDescent="0.25">
      <c r="B143" t="str">
        <f ca="1">IF(_xll.TM1RPTELISCONSOLIDATED($E$42,$E143),IF(_xll.TM1RPTELLEV($E$42,$E143)&lt;=3,_xll.TM1RPTELLEV($E$42,$E143),"D"),"N")</f>
        <v>N</v>
      </c>
      <c r="C143">
        <v>1</v>
      </c>
      <c r="D143" s="20"/>
      <c r="E143" s="22" t="s">
        <v>208</v>
      </c>
      <c r="F143" s="8">
        <f ca="1">_xll.DBRW($E$9,$F$16,$F$19,$F$20,$F$21,$F$22,$E143,$F$13,$F$14,F$39)</f>
        <v>33931.100000000013</v>
      </c>
      <c r="G143" s="28">
        <f t="shared" ca="1" si="5"/>
        <v>33931.100000000013</v>
      </c>
      <c r="H143" s="8">
        <f t="shared" ca="1" si="6"/>
        <v>33931.100000000013</v>
      </c>
      <c r="I143" s="8">
        <f t="shared" ca="1" si="7"/>
        <v>1</v>
      </c>
      <c r="J143" s="43" t="str">
        <f t="shared" ca="1" si="8"/>
        <v>0,6</v>
      </c>
      <c r="K143" s="8">
        <f ca="1">_xll.DBRW($E$9,$F$16,$F$19,$F$20,$F$21,$F$22,$E143,$F$13,$F$14,K$39)</f>
        <v>626334.35</v>
      </c>
      <c r="L143" s="34">
        <f t="shared" ca="1" si="9"/>
        <v>5.4174100462476657E-2</v>
      </c>
    </row>
    <row r="144" spans="2:12" x14ac:dyDescent="0.25">
      <c r="B144" t="str">
        <f ca="1">IF(_xll.TM1RPTELISCONSOLIDATED($E$42,$E144),IF(_xll.TM1RPTELLEV($E$42,$E144)&lt;=3,_xll.TM1RPTELLEV($E$42,$E144),"D"),"N")</f>
        <v>N</v>
      </c>
      <c r="C144">
        <v>1</v>
      </c>
      <c r="D144" s="20"/>
      <c r="E144" s="22" t="s">
        <v>209</v>
      </c>
      <c r="F144" s="8">
        <f ca="1">_xll.DBRW($E$9,$F$16,$F$19,$F$20,$F$21,$F$22,$E144,$F$13,$F$14,F$39)</f>
        <v>38009.119999999668</v>
      </c>
      <c r="G144" s="28">
        <f t="shared" ca="1" si="5"/>
        <v>38009.119999999668</v>
      </c>
      <c r="H144" s="8">
        <f t="shared" ca="1" si="6"/>
        <v>38009.119999999668</v>
      </c>
      <c r="I144" s="8">
        <f t="shared" ca="1" si="7"/>
        <v>1</v>
      </c>
      <c r="J144" s="43" t="str">
        <f t="shared" ca="1" si="8"/>
        <v>0,1</v>
      </c>
      <c r="K144" s="8">
        <f ca="1">_xll.DBRW($E$9,$F$16,$F$19,$F$20,$F$21,$F$22,$E144,$F$13,$F$14,K$39)</f>
        <v>89723.87999999967</v>
      </c>
      <c r="L144" s="34">
        <f t="shared" ca="1" si="9"/>
        <v>0.42362323163019483</v>
      </c>
    </row>
    <row r="145" spans="2:12" x14ac:dyDescent="0.25">
      <c r="B145" t="str">
        <f ca="1">IF(_xll.TM1RPTELISCONSOLIDATED($E$42,$E145),IF(_xll.TM1RPTELLEV($E$42,$E145)&lt;=3,_xll.TM1RPTELLEV($E$42,$E145),"D"),"N")</f>
        <v>N</v>
      </c>
      <c r="C145">
        <v>1</v>
      </c>
      <c r="D145" s="20"/>
      <c r="E145" s="22" t="s">
        <v>59</v>
      </c>
      <c r="F145" s="8">
        <f ca="1">_xll.DBRW($E$9,$F$16,$F$19,$F$20,$F$21,$F$22,$E145,$F$13,$F$14,F$39)</f>
        <v>39472.670000000049</v>
      </c>
      <c r="G145" s="28">
        <f t="shared" ca="1" si="5"/>
        <v>39472.670000000049</v>
      </c>
      <c r="H145" s="8">
        <f t="shared" ca="1" si="6"/>
        <v>39472.670000000049</v>
      </c>
      <c r="I145" s="8">
        <f t="shared" ca="1" si="7"/>
        <v>1</v>
      </c>
      <c r="J145" s="43" t="str">
        <f t="shared" ca="1" si="8"/>
        <v>0,9</v>
      </c>
      <c r="K145" s="8">
        <f ca="1">_xll.DBRW($E$9,$F$16,$F$19,$F$20,$F$21,$F$22,$E145,$F$13,$F$14,K$39)</f>
        <v>924949.32000000007</v>
      </c>
      <c r="L145" s="34">
        <f t="shared" ca="1" si="9"/>
        <v>4.267549491252131E-2</v>
      </c>
    </row>
    <row r="146" spans="2:12" x14ac:dyDescent="0.25">
      <c r="B146" t="str">
        <f ca="1">IF(_xll.TM1RPTELISCONSOLIDATED($E$42,$E146),IF(_xll.TM1RPTELLEV($E$42,$E146)&lt;=3,_xll.TM1RPTELLEV($E$42,$E146),"D"),"N")</f>
        <v>N</v>
      </c>
      <c r="C146">
        <v>1</v>
      </c>
      <c r="D146" s="20"/>
      <c r="E146" s="22" t="s">
        <v>57</v>
      </c>
      <c r="F146" s="8">
        <f ca="1">_xll.DBRW($E$9,$F$16,$F$19,$F$20,$F$21,$F$22,$E146,$F$13,$F$14,F$39)</f>
        <v>42248.980000000054</v>
      </c>
      <c r="G146" s="28">
        <f t="shared" ca="1" si="5"/>
        <v>42248.980000000054</v>
      </c>
      <c r="H146" s="8">
        <f t="shared" ca="1" si="6"/>
        <v>42248.980000000054</v>
      </c>
      <c r="I146" s="8">
        <f t="shared" ca="1" si="7"/>
        <v>1</v>
      </c>
      <c r="J146" s="43" t="str">
        <f t="shared" ca="1" si="8"/>
        <v>3,2</v>
      </c>
      <c r="K146" s="8">
        <f ca="1">_xll.DBRW($E$9,$F$16,$F$19,$F$20,$F$21,$F$22,$E146,$F$13,$F$14,K$39)</f>
        <v>3152290.9700000007</v>
      </c>
      <c r="L146" s="34">
        <f t="shared" ca="1" si="9"/>
        <v>1.3402626978942888E-2</v>
      </c>
    </row>
    <row r="147" spans="2:12" x14ac:dyDescent="0.25">
      <c r="B147" t="str">
        <f ca="1">IF(_xll.TM1RPTELISCONSOLIDATED($E$42,$E147),IF(_xll.TM1RPTELLEV($E$42,$E147)&lt;=3,_xll.TM1RPTELLEV($E$42,$E147),"D"),"N")</f>
        <v>N</v>
      </c>
      <c r="C147">
        <v>1</v>
      </c>
      <c r="D147" s="20"/>
      <c r="E147" s="22" t="s">
        <v>56</v>
      </c>
      <c r="F147" s="8">
        <f ca="1">_xll.DBRW($E$9,$F$16,$F$19,$F$20,$F$21,$F$22,$E147,$F$13,$F$14,F$39)</f>
        <v>47405.12000000033</v>
      </c>
      <c r="G147" s="28">
        <f t="shared" ca="1" si="5"/>
        <v>47405.12000000033</v>
      </c>
      <c r="H147" s="8">
        <f t="shared" ca="1" si="6"/>
        <v>47405.12000000033</v>
      </c>
      <c r="I147" s="8">
        <f t="shared" ca="1" si="7"/>
        <v>1</v>
      </c>
      <c r="J147" s="43" t="str">
        <f t="shared" ca="1" si="8"/>
        <v>1,5</v>
      </c>
      <c r="K147" s="8">
        <f ca="1">_xll.DBRW($E$9,$F$16,$F$19,$F$20,$F$21,$F$22,$E147,$F$13,$F$14,K$39)</f>
        <v>1529407.9100000004</v>
      </c>
      <c r="L147" s="34">
        <f t="shared" ca="1" si="9"/>
        <v>3.0995733505785463E-2</v>
      </c>
    </row>
    <row r="148" spans="2:12" x14ac:dyDescent="0.25">
      <c r="B148" t="str">
        <f ca="1">IF(_xll.TM1RPTELISCONSOLIDATED($E$42,$E148),IF(_xll.TM1RPTELLEV($E$42,$E148)&lt;=3,_xll.TM1RPTELLEV($E$42,$E148),"D"),"N")</f>
        <v>N</v>
      </c>
      <c r="C148">
        <v>1</v>
      </c>
      <c r="D148" s="20"/>
      <c r="E148" s="22" t="s">
        <v>21</v>
      </c>
      <c r="F148" s="8">
        <f ca="1">_xll.DBRW($E$9,$F$16,$F$19,$F$20,$F$21,$F$22,$E148,$F$13,$F$14,F$39)</f>
        <v>57651.419999997655</v>
      </c>
      <c r="G148" s="28">
        <f t="shared" ca="1" si="5"/>
        <v>57651.419999997655</v>
      </c>
      <c r="H148" s="8">
        <f t="shared" ca="1" si="6"/>
        <v>57651.419999997655</v>
      </c>
      <c r="I148" s="8">
        <f t="shared" ca="1" si="7"/>
        <v>1</v>
      </c>
      <c r="J148" s="43" t="str">
        <f t="shared" ca="1" si="8"/>
        <v>6,7</v>
      </c>
      <c r="K148" s="8">
        <f ca="1">_xll.DBRW($E$9,$F$16,$F$19,$F$20,$F$21,$F$22,$E148,$F$13,$F$14,K$39)</f>
        <v>6676020.0700000003</v>
      </c>
      <c r="L148" s="34">
        <f t="shared" ca="1" si="9"/>
        <v>8.6355971665012764E-3</v>
      </c>
    </row>
    <row r="149" spans="2:12" x14ac:dyDescent="0.25">
      <c r="B149" t="str">
        <f ca="1">IF(_xll.TM1RPTELISCONSOLIDATED($E$42,$E149),IF(_xll.TM1RPTELLEV($E$42,$E149)&lt;=3,_xll.TM1RPTELLEV($E$42,$E149),"D"),"N")</f>
        <v>N</v>
      </c>
      <c r="C149">
        <v>1</v>
      </c>
      <c r="D149" s="20"/>
      <c r="E149" s="22" t="s">
        <v>210</v>
      </c>
      <c r="F149" s="8">
        <f ca="1">_xll.DBRW($E$9,$F$16,$F$19,$F$20,$F$21,$F$22,$E149,$F$13,$F$14,F$39)</f>
        <v>63992.870000000046</v>
      </c>
      <c r="G149" s="28">
        <f t="shared" ca="1" si="5"/>
        <v>63992.870000000046</v>
      </c>
      <c r="H149" s="8">
        <f t="shared" ca="1" si="6"/>
        <v>63992.870000000046</v>
      </c>
      <c r="I149" s="8">
        <f t="shared" ca="1" si="7"/>
        <v>1</v>
      </c>
      <c r="J149" s="43" t="str">
        <f t="shared" ca="1" si="8"/>
        <v>0,5</v>
      </c>
      <c r="K149" s="8">
        <f ca="1">_xll.DBRW($E$9,$F$16,$F$19,$F$20,$F$21,$F$22,$E149,$F$13,$F$14,K$39)</f>
        <v>545119.15</v>
      </c>
      <c r="L149" s="34">
        <f t="shared" ca="1" si="9"/>
        <v>0.1173924453030132</v>
      </c>
    </row>
    <row r="150" spans="2:12" x14ac:dyDescent="0.25">
      <c r="B150" t="str">
        <f ca="1">IF(_xll.TM1RPTELISCONSOLIDATED($E$42,$E150),IF(_xll.TM1RPTELLEV($E$42,$E150)&lt;=3,_xll.TM1RPTELLEV($E$42,$E150),"D"),"N")</f>
        <v>N</v>
      </c>
      <c r="C150">
        <v>1</v>
      </c>
      <c r="D150" s="20"/>
      <c r="E150" s="22" t="s">
        <v>211</v>
      </c>
      <c r="F150" s="8">
        <f ca="1">_xll.DBRW($E$9,$F$16,$F$19,$F$20,$F$21,$F$22,$E150,$F$13,$F$14,F$39)</f>
        <v>70990.549999999916</v>
      </c>
      <c r="G150" s="28">
        <f t="shared" ca="1" si="5"/>
        <v>70990.549999999916</v>
      </c>
      <c r="H150" s="8">
        <f t="shared" ca="1" si="6"/>
        <v>70990.549999999916</v>
      </c>
      <c r="I150" s="8">
        <f t="shared" ca="1" si="7"/>
        <v>1</v>
      </c>
      <c r="J150" s="43" t="str">
        <f t="shared" ca="1" si="8"/>
        <v>1,9</v>
      </c>
      <c r="K150" s="8">
        <f ca="1">_xll.DBRW($E$9,$F$16,$F$19,$F$20,$F$21,$F$22,$E150,$F$13,$F$14,K$39)</f>
        <v>1931331.13</v>
      </c>
      <c r="L150" s="34">
        <f t="shared" ca="1" si="9"/>
        <v>3.6757316701046455E-2</v>
      </c>
    </row>
    <row r="151" spans="2:12" x14ac:dyDescent="0.25">
      <c r="B151" t="str">
        <f ca="1">IF(_xll.TM1RPTELISCONSOLIDATED($E$42,$E151),IF(_xll.TM1RPTELLEV($E$42,$E151)&lt;=3,_xll.TM1RPTELLEV($E$42,$E151),"D"),"N")</f>
        <v>N</v>
      </c>
      <c r="C151">
        <v>1</v>
      </c>
      <c r="D151" s="20"/>
      <c r="E151" s="22" t="s">
        <v>212</v>
      </c>
      <c r="F151" s="8">
        <f ca="1">_xll.DBRW($E$9,$F$16,$F$19,$F$20,$F$21,$F$22,$E151,$F$13,$F$14,F$39)</f>
        <v>71090.889999999985</v>
      </c>
      <c r="G151" s="28">
        <f t="shared" ca="1" si="5"/>
        <v>71090.889999999985</v>
      </c>
      <c r="H151" s="8">
        <f t="shared" ca="1" si="6"/>
        <v>71090.889999999985</v>
      </c>
      <c r="I151" s="8">
        <f t="shared" ca="1" si="7"/>
        <v>1</v>
      </c>
      <c r="J151" s="43" t="str">
        <f t="shared" ca="1" si="8"/>
        <v>1,0</v>
      </c>
      <c r="K151" s="8">
        <f ca="1">_xll.DBRW($E$9,$F$16,$F$19,$F$20,$F$21,$F$22,$E151,$F$13,$F$14,K$39)</f>
        <v>1000930.7000000001</v>
      </c>
      <c r="L151" s="34">
        <f t="shared" ca="1" si="9"/>
        <v>7.1024787230524536E-2</v>
      </c>
    </row>
    <row r="152" spans="2:12" x14ac:dyDescent="0.25">
      <c r="B152" t="str">
        <f ca="1">IF(_xll.TM1RPTELISCONSOLIDATED($E$42,$E152),IF(_xll.TM1RPTELLEV($E$42,$E152)&lt;=3,_xll.TM1RPTELLEV($E$42,$E152),"D"),"N")</f>
        <v>N</v>
      </c>
      <c r="C152">
        <v>1</v>
      </c>
      <c r="D152" s="20"/>
      <c r="E152" s="22" t="s">
        <v>213</v>
      </c>
      <c r="F152" s="8">
        <f ca="1">_xll.DBRW($E$9,$F$16,$F$19,$F$20,$F$21,$F$22,$E152,$F$13,$F$14,F$39)</f>
        <v>71935.960000001767</v>
      </c>
      <c r="G152" s="28">
        <f t="shared" ca="1" si="5"/>
        <v>71935.960000001767</v>
      </c>
      <c r="H152" s="8">
        <f t="shared" ca="1" si="6"/>
        <v>71935.960000001767</v>
      </c>
      <c r="I152" s="8">
        <f t="shared" ca="1" si="7"/>
        <v>1</v>
      </c>
      <c r="J152" s="43" t="str">
        <f t="shared" ca="1" si="8"/>
        <v>20,1</v>
      </c>
      <c r="K152" s="8">
        <f ca="1">_xll.DBRW($E$9,$F$16,$F$19,$F$20,$F$21,$F$22,$E152,$F$13,$F$14,K$39)</f>
        <v>20080991.790000003</v>
      </c>
      <c r="L152" s="34">
        <f t="shared" ca="1" si="9"/>
        <v>3.5822911912062366E-3</v>
      </c>
    </row>
    <row r="153" spans="2:12" x14ac:dyDescent="0.25">
      <c r="B153" t="str">
        <f ca="1">IF(_xll.TM1RPTELISCONSOLIDATED($E$42,$E153),IF(_xll.TM1RPTELLEV($E$42,$E153)&lt;=3,_xll.TM1RPTELLEV($E$42,$E153),"D"),"N")</f>
        <v>N</v>
      </c>
      <c r="C153">
        <v>1</v>
      </c>
      <c r="D153" s="20"/>
      <c r="E153" s="22" t="s">
        <v>214</v>
      </c>
      <c r="F153" s="8">
        <f ca="1">_xll.DBRW($E$9,$F$16,$F$19,$F$20,$F$21,$F$22,$E153,$F$13,$F$14,F$39)</f>
        <v>73038.870000000083</v>
      </c>
      <c r="G153" s="28">
        <f t="shared" ca="1" si="5"/>
        <v>73038.870000000083</v>
      </c>
      <c r="H153" s="8">
        <f t="shared" ca="1" si="6"/>
        <v>73038.870000000083</v>
      </c>
      <c r="I153" s="8">
        <f t="shared" ca="1" si="7"/>
        <v>1</v>
      </c>
      <c r="J153" s="43" t="str">
        <f t="shared" ca="1" si="8"/>
        <v>0,7</v>
      </c>
      <c r="K153" s="8">
        <f ca="1">_xll.DBRW($E$9,$F$16,$F$19,$F$20,$F$21,$F$22,$E153,$F$13,$F$14,K$39)</f>
        <v>701084.34</v>
      </c>
      <c r="L153" s="34">
        <f t="shared" ca="1" si="9"/>
        <v>0.10417986229730945</v>
      </c>
    </row>
    <row r="154" spans="2:12" x14ac:dyDescent="0.25">
      <c r="B154" t="str">
        <f ca="1">IF(_xll.TM1RPTELISCONSOLIDATED($E$42,$E154),IF(_xll.TM1RPTELLEV($E$42,$E154)&lt;=3,_xll.TM1RPTELLEV($E$42,$E154),"D"),"N")</f>
        <v>N</v>
      </c>
      <c r="C154">
        <v>1</v>
      </c>
      <c r="D154" s="20"/>
      <c r="E154" s="22" t="s">
        <v>84</v>
      </c>
      <c r="F154" s="8">
        <f ca="1">_xll.DBRW($E$9,$F$16,$F$19,$F$20,$F$21,$F$22,$E154,$F$13,$F$14,F$39)</f>
        <v>78878.089999999938</v>
      </c>
      <c r="G154" s="28">
        <f t="shared" ca="1" si="5"/>
        <v>78878.089999999938</v>
      </c>
      <c r="H154" s="8">
        <f t="shared" ca="1" si="6"/>
        <v>78878.089999999938</v>
      </c>
      <c r="I154" s="8">
        <f t="shared" ca="1" si="7"/>
        <v>1</v>
      </c>
      <c r="J154" s="43" t="str">
        <f t="shared" ca="1" si="8"/>
        <v>4,2</v>
      </c>
      <c r="K154" s="8">
        <f ca="1">_xll.DBRW($E$9,$F$16,$F$19,$F$20,$F$21,$F$22,$E154,$F$13,$F$14,K$39)</f>
        <v>4174187.1300000004</v>
      </c>
      <c r="L154" s="34">
        <f t="shared" ca="1" si="9"/>
        <v>1.8896634852113094E-2</v>
      </c>
    </row>
    <row r="155" spans="2:12" x14ac:dyDescent="0.25">
      <c r="B155" t="str">
        <f ca="1">IF(_xll.TM1RPTELISCONSOLIDATED($E$42,$E155),IF(_xll.TM1RPTELLEV($E$42,$E155)&lt;=3,_xll.TM1RPTELLEV($E$42,$E155),"D"),"N")</f>
        <v>N</v>
      </c>
      <c r="C155">
        <v>1</v>
      </c>
      <c r="D155" s="20"/>
      <c r="E155" s="22" t="s">
        <v>79</v>
      </c>
      <c r="F155" s="8">
        <f ca="1">_xll.DBRW($E$9,$F$16,$F$19,$F$20,$F$21,$F$22,$E155,$F$13,$F$14,F$39)</f>
        <v>79970.95999999874</v>
      </c>
      <c r="G155" s="28">
        <f t="shared" ca="1" si="5"/>
        <v>79970.95999999874</v>
      </c>
      <c r="H155" s="8">
        <f t="shared" ca="1" si="6"/>
        <v>79970.95999999874</v>
      </c>
      <c r="I155" s="8">
        <f t="shared" ca="1" si="7"/>
        <v>1</v>
      </c>
      <c r="J155" s="43" t="str">
        <f t="shared" ca="1" si="8"/>
        <v>9,5</v>
      </c>
      <c r="K155" s="8">
        <f ca="1">_xll.DBRW($E$9,$F$16,$F$19,$F$20,$F$21,$F$22,$E155,$F$13,$F$14,K$39)</f>
        <v>9453124.0299999993</v>
      </c>
      <c r="L155" s="34">
        <f t="shared" ca="1" si="9"/>
        <v>8.4597387854223206E-3</v>
      </c>
    </row>
    <row r="156" spans="2:12" x14ac:dyDescent="0.25">
      <c r="B156" t="str">
        <f ca="1">IF(_xll.TM1RPTELISCONSOLIDATED($E$42,$E156),IF(_xll.TM1RPTELLEV($E$42,$E156)&lt;=3,_xll.TM1RPTELLEV($E$42,$E156),"D"),"N")</f>
        <v>N</v>
      </c>
      <c r="C156">
        <v>1</v>
      </c>
      <c r="D156" s="20"/>
      <c r="E156" s="22" t="s">
        <v>215</v>
      </c>
      <c r="F156" s="8">
        <f ca="1">_xll.DBRW($E$9,$F$16,$F$19,$F$20,$F$21,$F$22,$E156,$F$13,$F$14,F$39)</f>
        <v>80351.10000000021</v>
      </c>
      <c r="G156" s="28">
        <f t="shared" ca="1" si="5"/>
        <v>80351.10000000021</v>
      </c>
      <c r="H156" s="8">
        <f t="shared" ca="1" si="6"/>
        <v>80351.10000000021</v>
      </c>
      <c r="I156" s="8">
        <f t="shared" ca="1" si="7"/>
        <v>1</v>
      </c>
      <c r="J156" s="43" t="str">
        <f t="shared" ca="1" si="8"/>
        <v>2,4</v>
      </c>
      <c r="K156" s="8">
        <f ca="1">_xll.DBRW($E$9,$F$16,$F$19,$F$20,$F$21,$F$22,$E156,$F$13,$F$14,K$39)</f>
        <v>2417551.38</v>
      </c>
      <c r="L156" s="34">
        <f t="shared" ca="1" si="9"/>
        <v>3.3236563518248871E-2</v>
      </c>
    </row>
    <row r="157" spans="2:12" x14ac:dyDescent="0.25">
      <c r="B157" t="str">
        <f ca="1">IF(_xll.TM1RPTELISCONSOLIDATED($E$42,$E157),IF(_xll.TM1RPTELLEV($E$42,$E157)&lt;=3,_xll.TM1RPTELLEV($E$42,$E157),"D"),"N")</f>
        <v>N</v>
      </c>
      <c r="C157">
        <v>1</v>
      </c>
      <c r="D157" s="20"/>
      <c r="E157" s="22" t="s">
        <v>216</v>
      </c>
      <c r="F157" s="8">
        <f ca="1">_xll.DBRW($E$9,$F$16,$F$19,$F$20,$F$21,$F$22,$E157,$F$13,$F$14,F$39)</f>
        <v>90718.999999999767</v>
      </c>
      <c r="G157" s="28">
        <f t="shared" ca="1" si="5"/>
        <v>90718.999999999767</v>
      </c>
      <c r="H157" s="8">
        <f t="shared" ca="1" si="6"/>
        <v>90718.999999999767</v>
      </c>
      <c r="I157" s="8">
        <f t="shared" ca="1" si="7"/>
        <v>1</v>
      </c>
      <c r="J157" s="43" t="str">
        <f t="shared" ca="1" si="8"/>
        <v>0,7</v>
      </c>
      <c r="K157" s="8">
        <f ca="1">_xll.DBRW($E$9,$F$16,$F$19,$F$20,$F$21,$F$22,$E157,$F$13,$F$14,K$39)</f>
        <v>737119.47</v>
      </c>
      <c r="L157" s="34">
        <f t="shared" ca="1" si="9"/>
        <v>0.12307231553658428</v>
      </c>
    </row>
    <row r="158" spans="2:12" x14ac:dyDescent="0.25">
      <c r="B158" t="str">
        <f ca="1">IF(_xll.TM1RPTELISCONSOLIDATED($E$42,$E158),IF(_xll.TM1RPTELLEV($E$42,$E158)&lt;=3,_xll.TM1RPTELLEV($E$42,$E158),"D"),"N")</f>
        <v>N</v>
      </c>
      <c r="C158">
        <v>1</v>
      </c>
      <c r="D158" s="20"/>
      <c r="E158" s="22" t="s">
        <v>72</v>
      </c>
      <c r="F158" s="8">
        <f ca="1">_xll.DBRW($E$9,$F$16,$F$19,$F$20,$F$21,$F$22,$E158,$F$13,$F$14,F$39)</f>
        <v>93767.420000000071</v>
      </c>
      <c r="G158" s="28">
        <f t="shared" ca="1" si="5"/>
        <v>93767.420000000071</v>
      </c>
      <c r="H158" s="8">
        <f t="shared" ca="1" si="6"/>
        <v>93767.420000000071</v>
      </c>
      <c r="I158" s="8">
        <f t="shared" ca="1" si="7"/>
        <v>1</v>
      </c>
      <c r="J158" s="43" t="str">
        <f t="shared" ca="1" si="8"/>
        <v>1,4</v>
      </c>
      <c r="K158" s="8">
        <f ca="1">_xll.DBRW($E$9,$F$16,$F$19,$F$20,$F$21,$F$22,$E158,$F$13,$F$14,K$39)</f>
        <v>1387876.3399999999</v>
      </c>
      <c r="L158" s="34">
        <f t="shared" ca="1" si="9"/>
        <v>6.756179732842775E-2</v>
      </c>
    </row>
    <row r="159" spans="2:12" x14ac:dyDescent="0.25">
      <c r="B159" t="str">
        <f ca="1">IF(_xll.TM1RPTELISCONSOLIDATED($E$42,$E159),IF(_xll.TM1RPTELLEV($E$42,$E159)&lt;=3,_xll.TM1RPTELLEV($E$42,$E159),"D"),"N")</f>
        <v>N</v>
      </c>
      <c r="C159">
        <v>1</v>
      </c>
      <c r="D159" s="20"/>
      <c r="E159" s="22" t="s">
        <v>217</v>
      </c>
      <c r="F159" s="8">
        <f ca="1">_xll.DBRW($E$9,$F$16,$F$19,$F$20,$F$21,$F$22,$E159,$F$13,$F$14,F$39)</f>
        <v>94291.46000000005</v>
      </c>
      <c r="G159" s="28">
        <f t="shared" ca="1" si="5"/>
        <v>94291.46000000005</v>
      </c>
      <c r="H159" s="8">
        <f t="shared" ca="1" si="6"/>
        <v>94291.46000000005</v>
      </c>
      <c r="I159" s="8">
        <f t="shared" ca="1" si="7"/>
        <v>1</v>
      </c>
      <c r="J159" s="43" t="str">
        <f t="shared" ca="1" si="8"/>
        <v>0,8</v>
      </c>
      <c r="K159" s="8">
        <f ca="1">_xll.DBRW($E$9,$F$16,$F$19,$F$20,$F$21,$F$22,$E159,$F$13,$F$14,K$39)</f>
        <v>780246.53</v>
      </c>
      <c r="L159" s="34">
        <f t="shared" ca="1" si="9"/>
        <v>0.12084829137272811</v>
      </c>
    </row>
    <row r="160" spans="2:12" x14ac:dyDescent="0.25">
      <c r="B160" t="str">
        <f ca="1">IF(_xll.TM1RPTELISCONSOLIDATED($E$42,$E160),IF(_xll.TM1RPTELLEV($E$42,$E160)&lt;=3,_xll.TM1RPTELLEV($E$42,$E160),"D"),"N")</f>
        <v>N</v>
      </c>
      <c r="C160">
        <v>1</v>
      </c>
      <c r="D160" s="20"/>
      <c r="E160" s="22" t="s">
        <v>218</v>
      </c>
      <c r="F160" s="8">
        <f ca="1">_xll.DBRW($E$9,$F$16,$F$19,$F$20,$F$21,$F$22,$E160,$F$13,$F$14,F$39)</f>
        <v>102811.9799999987</v>
      </c>
      <c r="G160" s="28">
        <f t="shared" ca="1" si="5"/>
        <v>102811.9799999987</v>
      </c>
      <c r="H160" s="8">
        <f t="shared" ca="1" si="6"/>
        <v>102811.9799999987</v>
      </c>
      <c r="I160" s="8">
        <f t="shared" ca="1" si="7"/>
        <v>1</v>
      </c>
      <c r="J160" s="43" t="str">
        <f t="shared" ca="1" si="8"/>
        <v>17,3</v>
      </c>
      <c r="K160" s="8">
        <f ca="1">_xll.DBRW($E$9,$F$16,$F$19,$F$20,$F$21,$F$22,$E160,$F$13,$F$14,K$39)</f>
        <v>17314526.439999998</v>
      </c>
      <c r="L160" s="34">
        <f t="shared" ca="1" si="9"/>
        <v>5.9379030871143318E-3</v>
      </c>
    </row>
    <row r="161" spans="2:12" x14ac:dyDescent="0.25">
      <c r="B161" t="str">
        <f ca="1">IF(_xll.TM1RPTELISCONSOLIDATED($E$42,$E161),IF(_xll.TM1RPTELLEV($E$42,$E161)&lt;=3,_xll.TM1RPTELLEV($E$42,$E161),"D"),"N")</f>
        <v>N</v>
      </c>
      <c r="C161">
        <v>1</v>
      </c>
      <c r="D161" s="20"/>
      <c r="E161" s="22" t="s">
        <v>219</v>
      </c>
      <c r="F161" s="8">
        <f ca="1">_xll.DBRW($E$9,$F$16,$F$19,$F$20,$F$21,$F$22,$E161,$F$13,$F$14,F$39)</f>
        <v>105738.07000000114</v>
      </c>
      <c r="G161" s="28">
        <f t="shared" ca="1" si="5"/>
        <v>105738.07000000114</v>
      </c>
      <c r="H161" s="8">
        <f t="shared" ca="1" si="6"/>
        <v>105738.07000000114</v>
      </c>
      <c r="I161" s="8">
        <f t="shared" ca="1" si="7"/>
        <v>1</v>
      </c>
      <c r="J161" s="43" t="str">
        <f t="shared" ca="1" si="8"/>
        <v>6,6</v>
      </c>
      <c r="K161" s="8">
        <f ca="1">_xll.DBRW($E$9,$F$16,$F$19,$F$20,$F$21,$F$22,$E161,$F$13,$F$14,K$39)</f>
        <v>6580696.71</v>
      </c>
      <c r="L161" s="34">
        <f t="shared" ca="1" si="9"/>
        <v>1.6067914182904371E-2</v>
      </c>
    </row>
    <row r="162" spans="2:12" x14ac:dyDescent="0.25">
      <c r="B162" t="str">
        <f ca="1">IF(_xll.TM1RPTELISCONSOLIDATED($E$42,$E162),IF(_xll.TM1RPTELLEV($E$42,$E162)&lt;=3,_xll.TM1RPTELLEV($E$42,$E162),"D"),"N")</f>
        <v>N</v>
      </c>
      <c r="C162">
        <v>1</v>
      </c>
      <c r="D162" s="20"/>
      <c r="E162" s="22" t="s">
        <v>71</v>
      </c>
      <c r="F162" s="8">
        <f ca="1">_xll.DBRW($E$9,$F$16,$F$19,$F$20,$F$21,$F$22,$E162,$F$13,$F$14,F$39)</f>
        <v>106668.3000000001</v>
      </c>
      <c r="G162" s="28">
        <f t="shared" ca="1" si="5"/>
        <v>106668.3000000001</v>
      </c>
      <c r="H162" s="8">
        <f t="shared" ca="1" si="6"/>
        <v>106668.3000000001</v>
      </c>
      <c r="I162" s="8">
        <f t="shared" ca="1" si="7"/>
        <v>1</v>
      </c>
      <c r="J162" s="43" t="str">
        <f t="shared" ca="1" si="8"/>
        <v>1,5</v>
      </c>
      <c r="K162" s="8">
        <f ca="1">_xll.DBRW($E$9,$F$16,$F$19,$F$20,$F$21,$F$22,$E162,$F$13,$F$14,K$39)</f>
        <v>1509885.11</v>
      </c>
      <c r="L162" s="34">
        <f t="shared" ca="1" si="9"/>
        <v>7.0646633504452605E-2</v>
      </c>
    </row>
    <row r="163" spans="2:12" x14ac:dyDescent="0.25">
      <c r="B163" t="str">
        <f ca="1">IF(_xll.TM1RPTELISCONSOLIDATED($E$42,$E163),IF(_xll.TM1RPTELLEV($E$42,$E163)&lt;=3,_xll.TM1RPTELLEV($E$42,$E163),"D"),"N")</f>
        <v>N</v>
      </c>
      <c r="C163">
        <v>1</v>
      </c>
      <c r="D163" s="20"/>
      <c r="E163" s="22" t="s">
        <v>220</v>
      </c>
      <c r="F163" s="8">
        <f ca="1">_xll.DBRW($E$9,$F$16,$F$19,$F$20,$F$21,$F$22,$E163,$F$13,$F$14,F$39)</f>
        <v>114875.88999999952</v>
      </c>
      <c r="G163" s="28">
        <f t="shared" ca="1" si="5"/>
        <v>114875.88999999952</v>
      </c>
      <c r="H163" s="8">
        <f t="shared" ca="1" si="6"/>
        <v>114875.88999999952</v>
      </c>
      <c r="I163" s="8">
        <f t="shared" ca="1" si="7"/>
        <v>1</v>
      </c>
      <c r="J163" s="43" t="str">
        <f t="shared" ca="1" si="8"/>
        <v>3,0</v>
      </c>
      <c r="K163" s="8">
        <f ca="1">_xll.DBRW($E$9,$F$16,$F$19,$F$20,$F$21,$F$22,$E163,$F$13,$F$14,K$39)</f>
        <v>3026489.53</v>
      </c>
      <c r="L163" s="34">
        <f t="shared" ca="1" si="9"/>
        <v>3.7956810641931918E-2</v>
      </c>
    </row>
    <row r="164" spans="2:12" x14ac:dyDescent="0.25">
      <c r="B164" t="str">
        <f ca="1">IF(_xll.TM1RPTELISCONSOLIDATED($E$42,$E164),IF(_xll.TM1RPTELLEV($E$42,$E164)&lt;=3,_xll.TM1RPTELLEV($E$42,$E164),"D"),"N")</f>
        <v>N</v>
      </c>
      <c r="C164">
        <v>1</v>
      </c>
      <c r="D164" s="20"/>
      <c r="E164" s="22" t="s">
        <v>131</v>
      </c>
      <c r="F164" s="8">
        <f ca="1">_xll.DBRW($E$9,$F$16,$F$19,$F$20,$F$21,$F$22,$E164,$F$13,$F$14,F$39)</f>
        <v>115748.54000000138</v>
      </c>
      <c r="G164" s="28">
        <f t="shared" ca="1" si="5"/>
        <v>115748.54000000138</v>
      </c>
      <c r="H164" s="8">
        <f t="shared" ca="1" si="6"/>
        <v>115748.54000000138</v>
      </c>
      <c r="I164" s="8">
        <f t="shared" ca="1" si="7"/>
        <v>1</v>
      </c>
      <c r="J164" s="43" t="str">
        <f t="shared" ca="1" si="8"/>
        <v>14,1</v>
      </c>
      <c r="K164" s="8">
        <f ca="1">_xll.DBRW($E$9,$F$16,$F$19,$F$20,$F$21,$F$22,$E164,$F$13,$F$14,K$39)</f>
        <v>14144819.09</v>
      </c>
      <c r="L164" s="34">
        <f t="shared" ca="1" si="9"/>
        <v>8.1831050127627591E-3</v>
      </c>
    </row>
    <row r="165" spans="2:12" x14ac:dyDescent="0.25">
      <c r="B165" t="str">
        <f ca="1">IF(_xll.TM1RPTELISCONSOLIDATED($E$42,$E165),IF(_xll.TM1RPTELLEV($E$42,$E165)&lt;=3,_xll.TM1RPTELLEV($E$42,$E165),"D"),"N")</f>
        <v>N</v>
      </c>
      <c r="C165">
        <v>1</v>
      </c>
      <c r="D165" s="20"/>
      <c r="E165" s="22" t="s">
        <v>107</v>
      </c>
      <c r="F165" s="8">
        <f ca="1">_xll.DBRW($E$9,$F$16,$F$19,$F$20,$F$21,$F$22,$E165,$F$13,$F$14,F$39)</f>
        <v>116207.139999999</v>
      </c>
      <c r="G165" s="28">
        <f t="shared" ca="1" si="5"/>
        <v>116207.139999999</v>
      </c>
      <c r="H165" s="8">
        <f t="shared" ca="1" si="6"/>
        <v>116207.139999999</v>
      </c>
      <c r="I165" s="8">
        <f t="shared" ca="1" si="7"/>
        <v>1</v>
      </c>
      <c r="J165" s="43" t="str">
        <f t="shared" ca="1" si="8"/>
        <v>8,2</v>
      </c>
      <c r="K165" s="8">
        <f ca="1">_xll.DBRW($E$9,$F$16,$F$19,$F$20,$F$21,$F$22,$E165,$F$13,$F$14,K$39)</f>
        <v>8159868.1499999994</v>
      </c>
      <c r="L165" s="34">
        <f t="shared" ca="1" si="9"/>
        <v>1.4241301190632475E-2</v>
      </c>
    </row>
    <row r="166" spans="2:12" x14ac:dyDescent="0.25">
      <c r="B166" t="str">
        <f ca="1">IF(_xll.TM1RPTELISCONSOLIDATED($E$42,$E166),IF(_xll.TM1RPTELLEV($E$42,$E166)&lt;=3,_xll.TM1RPTELLEV($E$42,$E166),"D"),"N")</f>
        <v>N</v>
      </c>
      <c r="C166">
        <v>1</v>
      </c>
      <c r="D166" s="20"/>
      <c r="E166" s="22" t="s">
        <v>221</v>
      </c>
      <c r="F166" s="8">
        <f ca="1">_xll.DBRW($E$9,$F$16,$F$19,$F$20,$F$21,$F$22,$E166,$F$13,$F$14,F$39)</f>
        <v>124603.45000000004</v>
      </c>
      <c r="G166" s="28">
        <f t="shared" ca="1" si="5"/>
        <v>124603.45000000004</v>
      </c>
      <c r="H166" s="8">
        <f t="shared" ca="1" si="6"/>
        <v>124603.45000000004</v>
      </c>
      <c r="I166" s="8">
        <f t="shared" ca="1" si="7"/>
        <v>1</v>
      </c>
      <c r="J166" s="43" t="str">
        <f t="shared" ca="1" si="8"/>
        <v>0,4</v>
      </c>
      <c r="K166" s="8">
        <f ca="1">_xll.DBRW($E$9,$F$16,$F$19,$F$20,$F$21,$F$22,$E166,$F$13,$F$14,K$39)</f>
        <v>424810.12</v>
      </c>
      <c r="L166" s="34">
        <f t="shared" ca="1" si="9"/>
        <v>0.29331563475936034</v>
      </c>
    </row>
    <row r="167" spans="2:12" x14ac:dyDescent="0.25">
      <c r="B167" t="str">
        <f ca="1">IF(_xll.TM1RPTELISCONSOLIDATED($E$42,$E167),IF(_xll.TM1RPTELLEV($E$42,$E167)&lt;=3,_xll.TM1RPTELLEV($E$42,$E167),"D"),"N")</f>
        <v>N</v>
      </c>
      <c r="C167">
        <v>1</v>
      </c>
      <c r="D167" s="20"/>
      <c r="E167" s="22" t="s">
        <v>63</v>
      </c>
      <c r="F167" s="8">
        <f ca="1">_xll.DBRW($E$9,$F$16,$F$19,$F$20,$F$21,$F$22,$E167,$F$13,$F$14,F$39)</f>
        <v>129550.10000000006</v>
      </c>
      <c r="G167" s="28">
        <f t="shared" ca="1" si="5"/>
        <v>129550.10000000006</v>
      </c>
      <c r="H167" s="8">
        <f t="shared" ca="1" si="6"/>
        <v>129550.10000000006</v>
      </c>
      <c r="I167" s="8">
        <f t="shared" ca="1" si="7"/>
        <v>1</v>
      </c>
      <c r="J167" s="43" t="str">
        <f t="shared" ca="1" si="8"/>
        <v>1,2</v>
      </c>
      <c r="K167" s="8">
        <f ca="1">_xll.DBRW($E$9,$F$16,$F$19,$F$20,$F$21,$F$22,$E167,$F$13,$F$14,K$39)</f>
        <v>1152565.6600000001</v>
      </c>
      <c r="L167" s="34">
        <f t="shared" ca="1" si="9"/>
        <v>0.112401492163145</v>
      </c>
    </row>
    <row r="168" spans="2:12" x14ac:dyDescent="0.25">
      <c r="B168" t="str">
        <f ca="1">IF(_xll.TM1RPTELISCONSOLIDATED($E$42,$E168),IF(_xll.TM1RPTELLEV($E$42,$E168)&lt;=3,_xll.TM1RPTELLEV($E$42,$E168),"D"),"N")</f>
        <v>N</v>
      </c>
      <c r="C168">
        <v>1</v>
      </c>
      <c r="D168" s="20"/>
      <c r="E168" s="22" t="s">
        <v>222</v>
      </c>
      <c r="F168" s="8">
        <f ca="1">_xll.DBRW($E$9,$F$16,$F$19,$F$20,$F$21,$F$22,$E168,$F$13,$F$14,F$39)</f>
        <v>138141.67999999993</v>
      </c>
      <c r="G168" s="28">
        <f t="shared" ca="1" si="5"/>
        <v>138141.67999999993</v>
      </c>
      <c r="H168" s="8">
        <f t="shared" ca="1" si="6"/>
        <v>138141.67999999993</v>
      </c>
      <c r="I168" s="8">
        <f t="shared" ca="1" si="7"/>
        <v>1</v>
      </c>
      <c r="J168" s="43" t="str">
        <f t="shared" ca="1" si="8"/>
        <v>1,1</v>
      </c>
      <c r="K168" s="8">
        <f ca="1">_xll.DBRW($E$9,$F$16,$F$19,$F$20,$F$21,$F$22,$E168,$F$13,$F$14,K$39)</f>
        <v>1057971.03</v>
      </c>
      <c r="L168" s="34">
        <f t="shared" ca="1" si="9"/>
        <v>0.13057227096284474</v>
      </c>
    </row>
    <row r="169" spans="2:12" x14ac:dyDescent="0.25">
      <c r="B169" t="str">
        <f ca="1">IF(_xll.TM1RPTELISCONSOLIDATED($E$42,$E169),IF(_xll.TM1RPTELLEV($E$42,$E169)&lt;=3,_xll.TM1RPTELLEV($E$42,$E169),"D"),"N")</f>
        <v>N</v>
      </c>
      <c r="C169">
        <v>1</v>
      </c>
      <c r="D169" s="20"/>
      <c r="E169" s="22" t="s">
        <v>91</v>
      </c>
      <c r="F169" s="8">
        <f ca="1">_xll.DBRW($E$9,$F$16,$F$19,$F$20,$F$21,$F$22,$E169,$F$13,$F$14,F$39)</f>
        <v>140474.0100000003</v>
      </c>
      <c r="G169" s="28">
        <f t="shared" ca="1" si="5"/>
        <v>140474.0100000003</v>
      </c>
      <c r="H169" s="8">
        <f t="shared" ca="1" si="6"/>
        <v>140474.0100000003</v>
      </c>
      <c r="I169" s="8">
        <f t="shared" ca="1" si="7"/>
        <v>1</v>
      </c>
      <c r="J169" s="43" t="str">
        <f t="shared" ca="1" si="8"/>
        <v>9,0</v>
      </c>
      <c r="K169" s="8">
        <f ca="1">_xll.DBRW($E$9,$F$16,$F$19,$F$20,$F$21,$F$22,$E169,$F$13,$F$14,K$39)</f>
        <v>8995801.3499999996</v>
      </c>
      <c r="L169" s="34">
        <f t="shared" ca="1" si="9"/>
        <v>1.5615508228180284E-2</v>
      </c>
    </row>
    <row r="170" spans="2:12" x14ac:dyDescent="0.25">
      <c r="B170" t="str">
        <f ca="1">IF(_xll.TM1RPTELISCONSOLIDATED($E$42,$E170),IF(_xll.TM1RPTELLEV($E$42,$E170)&lt;=3,_xll.TM1RPTELLEV($E$42,$E170),"D"),"N")</f>
        <v>N</v>
      </c>
      <c r="C170">
        <v>1</v>
      </c>
      <c r="D170" s="20"/>
      <c r="E170" s="22" t="s">
        <v>68</v>
      </c>
      <c r="F170" s="8">
        <f ca="1">_xll.DBRW($E$9,$F$16,$F$19,$F$20,$F$21,$F$22,$E170,$F$13,$F$14,F$39)</f>
        <v>173705.11999999994</v>
      </c>
      <c r="G170" s="28">
        <f t="shared" ca="1" si="5"/>
        <v>173705.11999999994</v>
      </c>
      <c r="H170" s="8">
        <f t="shared" ca="1" si="6"/>
        <v>173705.11999999994</v>
      </c>
      <c r="I170" s="8">
        <f t="shared" ca="1" si="7"/>
        <v>1</v>
      </c>
      <c r="J170" s="43" t="str">
        <f t="shared" ca="1" si="8"/>
        <v>1,1</v>
      </c>
      <c r="K170" s="8">
        <f ca="1">_xll.DBRW($E$9,$F$16,$F$19,$F$20,$F$21,$F$22,$E170,$F$13,$F$14,K$39)</f>
        <v>1123901.76</v>
      </c>
      <c r="L170" s="34">
        <f t="shared" ca="1" si="9"/>
        <v>0.15455543018279458</v>
      </c>
    </row>
    <row r="171" spans="2:12" x14ac:dyDescent="0.25">
      <c r="B171" t="str">
        <f ca="1">IF(_xll.TM1RPTELISCONSOLIDATED($E$42,$E171),IF(_xll.TM1RPTELLEV($E$42,$E171)&lt;=3,_xll.TM1RPTELLEV($E$42,$E171),"D"),"N")</f>
        <v>N</v>
      </c>
      <c r="C171">
        <v>1</v>
      </c>
      <c r="D171" s="20"/>
      <c r="E171" s="22" t="s">
        <v>223</v>
      </c>
      <c r="F171" s="8">
        <f ca="1">_xll.DBRW($E$9,$F$16,$F$19,$F$20,$F$21,$F$22,$E171,$F$13,$F$14,F$39)</f>
        <v>175506.12999999951</v>
      </c>
      <c r="G171" s="28">
        <f t="shared" ref="G171:G234" ca="1" si="10">F171</f>
        <v>175506.12999999951</v>
      </c>
      <c r="H171" s="8">
        <f t="shared" ref="H171:H234" ca="1" si="11">F171</f>
        <v>175506.12999999951</v>
      </c>
      <c r="I171" s="8">
        <f t="shared" ref="I171:I234" ca="1" si="12">IF(H171&lt;0,-1,1)</f>
        <v>1</v>
      </c>
      <c r="J171" s="43" t="str">
        <f t="shared" ref="J171:J234" ca="1" si="13">FIXED(K171/1000000,1,)</f>
        <v>3,6</v>
      </c>
      <c r="K171" s="8">
        <f ca="1">_xll.DBRW($E$9,$F$16,$F$19,$F$20,$F$21,$F$22,$E171,$F$13,$F$14,K$39)</f>
        <v>3584568.01</v>
      </c>
      <c r="L171" s="34">
        <f t="shared" ref="L171:L234" ca="1" si="14">IF($K171,F171/$K171,0)</f>
        <v>4.8961584634573445E-2</v>
      </c>
    </row>
    <row r="172" spans="2:12" x14ac:dyDescent="0.25">
      <c r="B172" t="str">
        <f ca="1">IF(_xll.TM1RPTELISCONSOLIDATED($E$42,$E172),IF(_xll.TM1RPTELLEV($E$42,$E172)&lt;=3,_xll.TM1RPTELLEV($E$42,$E172),"D"),"N")</f>
        <v>N</v>
      </c>
      <c r="C172">
        <v>1</v>
      </c>
      <c r="D172" s="20"/>
      <c r="E172" s="22" t="s">
        <v>74</v>
      </c>
      <c r="F172" s="8">
        <f ca="1">_xll.DBRW($E$9,$F$16,$F$19,$F$20,$F$21,$F$22,$E172,$F$13,$F$14,F$39)</f>
        <v>175777.57000000009</v>
      </c>
      <c r="G172" s="28">
        <f t="shared" ca="1" si="10"/>
        <v>175777.57000000009</v>
      </c>
      <c r="H172" s="8">
        <f t="shared" ca="1" si="11"/>
        <v>175777.57000000009</v>
      </c>
      <c r="I172" s="8">
        <f t="shared" ca="1" si="12"/>
        <v>1</v>
      </c>
      <c r="J172" s="43" t="str">
        <f t="shared" ca="1" si="13"/>
        <v>2,1</v>
      </c>
      <c r="K172" s="8">
        <f ca="1">_xll.DBRW($E$9,$F$16,$F$19,$F$20,$F$21,$F$22,$E172,$F$13,$F$14,K$39)</f>
        <v>2065781.78</v>
      </c>
      <c r="L172" s="34">
        <f t="shared" ca="1" si="14"/>
        <v>8.5090096011980559E-2</v>
      </c>
    </row>
    <row r="173" spans="2:12" x14ac:dyDescent="0.25">
      <c r="B173" t="str">
        <f ca="1">IF(_xll.TM1RPTELISCONSOLIDATED($E$42,$E173),IF(_xll.TM1RPTELLEV($E$42,$E173)&lt;=3,_xll.TM1RPTELLEV($E$42,$E173),"D"),"N")</f>
        <v>N</v>
      </c>
      <c r="C173">
        <v>1</v>
      </c>
      <c r="D173" s="20"/>
      <c r="E173" s="22" t="s">
        <v>73</v>
      </c>
      <c r="F173" s="8">
        <f ca="1">_xll.DBRW($E$9,$F$16,$F$19,$F$20,$F$21,$F$22,$E173,$F$13,$F$14,F$39)</f>
        <v>178080.08999999979</v>
      </c>
      <c r="G173" s="28">
        <f t="shared" ca="1" si="10"/>
        <v>178080.08999999979</v>
      </c>
      <c r="H173" s="8">
        <f t="shared" ca="1" si="11"/>
        <v>178080.08999999979</v>
      </c>
      <c r="I173" s="8">
        <f t="shared" ca="1" si="12"/>
        <v>1</v>
      </c>
      <c r="J173" s="43" t="str">
        <f t="shared" ca="1" si="13"/>
        <v>4,6</v>
      </c>
      <c r="K173" s="8">
        <f ca="1">_xll.DBRW($E$9,$F$16,$F$19,$F$20,$F$21,$F$22,$E173,$F$13,$F$14,K$39)</f>
        <v>4596140.04</v>
      </c>
      <c r="L173" s="34">
        <f t="shared" ca="1" si="14"/>
        <v>3.8745575298005888E-2</v>
      </c>
    </row>
    <row r="174" spans="2:12" x14ac:dyDescent="0.25">
      <c r="B174" t="str">
        <f ca="1">IF(_xll.TM1RPTELISCONSOLIDATED($E$42,$E174),IF(_xll.TM1RPTELLEV($E$42,$E174)&lt;=3,_xll.TM1RPTELLEV($E$42,$E174),"D"),"N")</f>
        <v>N</v>
      </c>
      <c r="C174">
        <v>1</v>
      </c>
      <c r="D174" s="20"/>
      <c r="E174" s="22" t="s">
        <v>19</v>
      </c>
      <c r="F174" s="8">
        <f ca="1">_xll.DBRW($E$9,$F$16,$F$19,$F$20,$F$21,$F$22,$E174,$F$13,$F$14,F$39)</f>
        <v>182233.64000000019</v>
      </c>
      <c r="G174" s="28">
        <f t="shared" ca="1" si="10"/>
        <v>182233.64000000019</v>
      </c>
      <c r="H174" s="8">
        <f t="shared" ca="1" si="11"/>
        <v>182233.64000000019</v>
      </c>
      <c r="I174" s="8">
        <f t="shared" ca="1" si="12"/>
        <v>1</v>
      </c>
      <c r="J174" s="43" t="str">
        <f t="shared" ca="1" si="13"/>
        <v>1,3</v>
      </c>
      <c r="K174" s="8">
        <f ca="1">_xll.DBRW($E$9,$F$16,$F$19,$F$20,$F$21,$F$22,$E174,$F$13,$F$14,K$39)</f>
        <v>1334430.3899999999</v>
      </c>
      <c r="L174" s="34">
        <f t="shared" ca="1" si="14"/>
        <v>0.13656286709717411</v>
      </c>
    </row>
    <row r="175" spans="2:12" x14ac:dyDescent="0.25">
      <c r="B175" t="str">
        <f ca="1">IF(_xll.TM1RPTELISCONSOLIDATED($E$42,$E175),IF(_xll.TM1RPTELLEV($E$42,$E175)&lt;=3,_xll.TM1RPTELLEV($E$42,$E175),"D"),"N")</f>
        <v>N</v>
      </c>
      <c r="C175">
        <v>1</v>
      </c>
      <c r="D175" s="20"/>
      <c r="E175" s="22" t="s">
        <v>78</v>
      </c>
      <c r="F175" s="8">
        <f ca="1">_xll.DBRW($E$9,$F$16,$F$19,$F$20,$F$21,$F$22,$E175,$F$13,$F$14,F$39)</f>
        <v>186048.23000000045</v>
      </c>
      <c r="G175" s="28">
        <f t="shared" ca="1" si="10"/>
        <v>186048.23000000045</v>
      </c>
      <c r="H175" s="8">
        <f t="shared" ca="1" si="11"/>
        <v>186048.23000000045</v>
      </c>
      <c r="I175" s="8">
        <f t="shared" ca="1" si="12"/>
        <v>1</v>
      </c>
      <c r="J175" s="43" t="str">
        <f t="shared" ca="1" si="13"/>
        <v>0,6</v>
      </c>
      <c r="K175" s="8">
        <f ca="1">_xll.DBRW($E$9,$F$16,$F$19,$F$20,$F$21,$F$22,$E175,$F$13,$F$14,K$39)</f>
        <v>599041.77000000048</v>
      </c>
      <c r="L175" s="34">
        <f t="shared" ca="1" si="14"/>
        <v>0.31057638935595477</v>
      </c>
    </row>
    <row r="176" spans="2:12" x14ac:dyDescent="0.25">
      <c r="B176" t="str">
        <f ca="1">IF(_xll.TM1RPTELISCONSOLIDATED($E$42,$E176),IF(_xll.TM1RPTELLEV($E$42,$E176)&lt;=3,_xll.TM1RPTELLEV($E$42,$E176),"D"),"N")</f>
        <v>N</v>
      </c>
      <c r="C176">
        <v>1</v>
      </c>
      <c r="D176" s="20"/>
      <c r="E176" s="22" t="s">
        <v>97</v>
      </c>
      <c r="F176" s="8">
        <f ca="1">_xll.DBRW($E$9,$F$16,$F$19,$F$20,$F$21,$F$22,$E176,$F$13,$F$14,F$39)</f>
        <v>187210.62000000023</v>
      </c>
      <c r="G176" s="28">
        <f t="shared" ca="1" si="10"/>
        <v>187210.62000000023</v>
      </c>
      <c r="H176" s="8">
        <f t="shared" ca="1" si="11"/>
        <v>187210.62000000023</v>
      </c>
      <c r="I176" s="8">
        <f t="shared" ca="1" si="12"/>
        <v>1</v>
      </c>
      <c r="J176" s="43" t="str">
        <f t="shared" ca="1" si="13"/>
        <v>3,6</v>
      </c>
      <c r="K176" s="8">
        <f ca="1">_xll.DBRW($E$9,$F$16,$F$19,$F$20,$F$21,$F$22,$E176,$F$13,$F$14,K$39)</f>
        <v>3598041.19</v>
      </c>
      <c r="L176" s="34">
        <f t="shared" ca="1" si="14"/>
        <v>5.2031260931729419E-2</v>
      </c>
    </row>
    <row r="177" spans="2:12" x14ac:dyDescent="0.25">
      <c r="B177" t="str">
        <f ca="1">IF(_xll.TM1RPTELISCONSOLIDATED($E$42,$E177),IF(_xll.TM1RPTELLEV($E$42,$E177)&lt;=3,_xll.TM1RPTELLEV($E$42,$E177),"D"),"N")</f>
        <v>N</v>
      </c>
      <c r="C177">
        <v>1</v>
      </c>
      <c r="D177" s="20"/>
      <c r="E177" s="22" t="s">
        <v>224</v>
      </c>
      <c r="F177" s="8">
        <f ca="1">_xll.DBRW($E$9,$F$16,$F$19,$F$20,$F$21,$F$22,$E177,$F$13,$F$14,F$39)</f>
        <v>188587.52999999997</v>
      </c>
      <c r="G177" s="28">
        <f t="shared" ca="1" si="10"/>
        <v>188587.52999999997</v>
      </c>
      <c r="H177" s="8">
        <f t="shared" ca="1" si="11"/>
        <v>188587.52999999997</v>
      </c>
      <c r="I177" s="8">
        <f t="shared" ca="1" si="12"/>
        <v>1</v>
      </c>
      <c r="J177" s="43" t="str">
        <f t="shared" ca="1" si="13"/>
        <v>2,2</v>
      </c>
      <c r="K177" s="8">
        <f ca="1">_xll.DBRW($E$9,$F$16,$F$19,$F$20,$F$21,$F$22,$E177,$F$13,$F$14,K$39)</f>
        <v>2201099.7999999998</v>
      </c>
      <c r="L177" s="34">
        <f t="shared" ca="1" si="14"/>
        <v>8.5678772947959919E-2</v>
      </c>
    </row>
    <row r="178" spans="2:12" x14ac:dyDescent="0.25">
      <c r="B178" t="str">
        <f ca="1">IF(_xll.TM1RPTELISCONSOLIDATED($E$42,$E178),IF(_xll.TM1RPTELLEV($E$42,$E178)&lt;=3,_xll.TM1RPTELLEV($E$42,$E178),"D"),"N")</f>
        <v>N</v>
      </c>
      <c r="C178">
        <v>1</v>
      </c>
      <c r="D178" s="20"/>
      <c r="E178" s="22" t="s">
        <v>225</v>
      </c>
      <c r="F178" s="8">
        <f ca="1">_xll.DBRW($E$9,$F$16,$F$19,$F$20,$F$21,$F$22,$E178,$F$13,$F$14,F$39)</f>
        <v>189880.01999999981</v>
      </c>
      <c r="G178" s="28">
        <f t="shared" ca="1" si="10"/>
        <v>189880.01999999981</v>
      </c>
      <c r="H178" s="8">
        <f t="shared" ca="1" si="11"/>
        <v>189880.01999999981</v>
      </c>
      <c r="I178" s="8">
        <f t="shared" ca="1" si="12"/>
        <v>1</v>
      </c>
      <c r="J178" s="43" t="str">
        <f t="shared" ca="1" si="13"/>
        <v>2,3</v>
      </c>
      <c r="K178" s="8">
        <f ca="1">_xll.DBRW($E$9,$F$16,$F$19,$F$20,$F$21,$F$22,$E178,$F$13,$F$14,K$39)</f>
        <v>2260687.81</v>
      </c>
      <c r="L178" s="34">
        <f t="shared" ca="1" si="14"/>
        <v>8.3992145735505078E-2</v>
      </c>
    </row>
    <row r="179" spans="2:12" x14ac:dyDescent="0.25">
      <c r="B179" t="str">
        <f ca="1">IF(_xll.TM1RPTELISCONSOLIDATED($E$42,$E179),IF(_xll.TM1RPTELLEV($E$42,$E179)&lt;=3,_xll.TM1RPTELLEV($E$42,$E179),"D"),"N")</f>
        <v>N</v>
      </c>
      <c r="C179">
        <v>1</v>
      </c>
      <c r="D179" s="20"/>
      <c r="E179" s="22" t="s">
        <v>226</v>
      </c>
      <c r="F179" s="8">
        <f ca="1">_xll.DBRW($E$9,$F$16,$F$19,$F$20,$F$21,$F$22,$E179,$F$13,$F$14,F$39)</f>
        <v>190683.2500000002</v>
      </c>
      <c r="G179" s="28">
        <f t="shared" ca="1" si="10"/>
        <v>190683.2500000002</v>
      </c>
      <c r="H179" s="8">
        <f t="shared" ca="1" si="11"/>
        <v>190683.2500000002</v>
      </c>
      <c r="I179" s="8">
        <f t="shared" ca="1" si="12"/>
        <v>1</v>
      </c>
      <c r="J179" s="43" t="str">
        <f t="shared" ca="1" si="13"/>
        <v>4,2</v>
      </c>
      <c r="K179" s="8">
        <f ca="1">_xll.DBRW($E$9,$F$16,$F$19,$F$20,$F$21,$F$22,$E179,$F$13,$F$14,K$39)</f>
        <v>4187983.73</v>
      </c>
      <c r="L179" s="34">
        <f t="shared" ca="1" si="14"/>
        <v>4.5531038870583247E-2</v>
      </c>
    </row>
    <row r="180" spans="2:12" x14ac:dyDescent="0.25">
      <c r="B180" t="str">
        <f ca="1">IF(_xll.TM1RPTELISCONSOLIDATED($E$42,$E180),IF(_xll.TM1RPTELLEV($E$42,$E180)&lt;=3,_xll.TM1RPTELLEV($E$42,$E180),"D"),"N")</f>
        <v>N</v>
      </c>
      <c r="C180">
        <v>1</v>
      </c>
      <c r="D180" s="20"/>
      <c r="E180" s="22" t="s">
        <v>227</v>
      </c>
      <c r="F180" s="8">
        <f ca="1">_xll.DBRW($E$9,$F$16,$F$19,$F$20,$F$21,$F$22,$E180,$F$13,$F$14,F$39)</f>
        <v>192633.9500000003</v>
      </c>
      <c r="G180" s="28">
        <f t="shared" ca="1" si="10"/>
        <v>192633.9500000003</v>
      </c>
      <c r="H180" s="8">
        <f t="shared" ca="1" si="11"/>
        <v>192633.9500000003</v>
      </c>
      <c r="I180" s="8">
        <f t="shared" ca="1" si="12"/>
        <v>1</v>
      </c>
      <c r="J180" s="43" t="str">
        <f t="shared" ca="1" si="13"/>
        <v>4,4</v>
      </c>
      <c r="K180" s="8">
        <f ca="1">_xll.DBRW($E$9,$F$16,$F$19,$F$20,$F$21,$F$22,$E180,$F$13,$F$14,K$39)</f>
        <v>4424868.1100000003</v>
      </c>
      <c r="L180" s="34">
        <f t="shared" ca="1" si="14"/>
        <v>4.3534393616084591E-2</v>
      </c>
    </row>
    <row r="181" spans="2:12" x14ac:dyDescent="0.25">
      <c r="B181" t="str">
        <f ca="1">IF(_xll.TM1RPTELISCONSOLIDATED($E$42,$E181),IF(_xll.TM1RPTELLEV($E$42,$E181)&lt;=3,_xll.TM1RPTELLEV($E$42,$E181),"D"),"N")</f>
        <v>N</v>
      </c>
      <c r="C181">
        <v>1</v>
      </c>
      <c r="D181" s="20"/>
      <c r="E181" s="22" t="s">
        <v>87</v>
      </c>
      <c r="F181" s="8">
        <f ca="1">_xll.DBRW($E$9,$F$16,$F$19,$F$20,$F$21,$F$22,$E181,$F$13,$F$14,F$39)</f>
        <v>193058.66999999993</v>
      </c>
      <c r="G181" s="28">
        <f t="shared" ca="1" si="10"/>
        <v>193058.66999999993</v>
      </c>
      <c r="H181" s="8">
        <f t="shared" ca="1" si="11"/>
        <v>193058.66999999993</v>
      </c>
      <c r="I181" s="8">
        <f t="shared" ca="1" si="12"/>
        <v>1</v>
      </c>
      <c r="J181" s="43" t="str">
        <f t="shared" ca="1" si="13"/>
        <v>3,6</v>
      </c>
      <c r="K181" s="8">
        <f ca="1">_xll.DBRW($E$9,$F$16,$F$19,$F$20,$F$21,$F$22,$E181,$F$13,$F$14,K$39)</f>
        <v>3590575.56</v>
      </c>
      <c r="L181" s="34">
        <f t="shared" ca="1" si="14"/>
        <v>5.37681680203939E-2</v>
      </c>
    </row>
    <row r="182" spans="2:12" x14ac:dyDescent="0.25">
      <c r="B182" t="str">
        <f ca="1">IF(_xll.TM1RPTELISCONSOLIDATED($E$42,$E182),IF(_xll.TM1RPTELLEV($E$42,$E182)&lt;=3,_xll.TM1RPTELLEV($E$42,$E182),"D"),"N")</f>
        <v>N</v>
      </c>
      <c r="C182">
        <v>1</v>
      </c>
      <c r="D182" s="20"/>
      <c r="E182" s="22" t="s">
        <v>81</v>
      </c>
      <c r="F182" s="8">
        <f ca="1">_xll.DBRW($E$9,$F$16,$F$19,$F$20,$F$21,$F$22,$E182,$F$13,$F$14,F$39)</f>
        <v>194370.80000000118</v>
      </c>
      <c r="G182" s="28">
        <f t="shared" ca="1" si="10"/>
        <v>194370.80000000118</v>
      </c>
      <c r="H182" s="8">
        <f t="shared" ca="1" si="11"/>
        <v>194370.80000000118</v>
      </c>
      <c r="I182" s="8">
        <f t="shared" ca="1" si="12"/>
        <v>1</v>
      </c>
      <c r="J182" s="43" t="str">
        <f t="shared" ca="1" si="13"/>
        <v>5,4</v>
      </c>
      <c r="K182" s="8">
        <f ca="1">_xll.DBRW($E$9,$F$16,$F$19,$F$20,$F$21,$F$22,$E182,$F$13,$F$14,K$39)</f>
        <v>5438021.1500000013</v>
      </c>
      <c r="L182" s="34">
        <f t="shared" ca="1" si="14"/>
        <v>3.5742928289273231E-2</v>
      </c>
    </row>
    <row r="183" spans="2:12" x14ac:dyDescent="0.25">
      <c r="B183" t="str">
        <f ca="1">IF(_xll.TM1RPTELISCONSOLIDATED($E$42,$E183),IF(_xll.TM1RPTELLEV($E$42,$E183)&lt;=3,_xll.TM1RPTELLEV($E$42,$E183),"D"),"N")</f>
        <v>N</v>
      </c>
      <c r="C183">
        <v>1</v>
      </c>
      <c r="D183" s="20"/>
      <c r="E183" s="22" t="s">
        <v>102</v>
      </c>
      <c r="F183" s="8">
        <f ca="1">_xll.DBRW($E$9,$F$16,$F$19,$F$20,$F$21,$F$22,$E183,$F$13,$F$14,F$39)</f>
        <v>195560.10000000056</v>
      </c>
      <c r="G183" s="28">
        <f t="shared" ca="1" si="10"/>
        <v>195560.10000000056</v>
      </c>
      <c r="H183" s="8">
        <f t="shared" ca="1" si="11"/>
        <v>195560.10000000056</v>
      </c>
      <c r="I183" s="8">
        <f t="shared" ca="1" si="12"/>
        <v>1</v>
      </c>
      <c r="J183" s="43" t="str">
        <f t="shared" ca="1" si="13"/>
        <v>15,5</v>
      </c>
      <c r="K183" s="8">
        <f ca="1">_xll.DBRW($E$9,$F$16,$F$19,$F$20,$F$21,$F$22,$E183,$F$13,$F$14,K$39)</f>
        <v>15470328.58</v>
      </c>
      <c r="L183" s="34">
        <f t="shared" ca="1" si="14"/>
        <v>1.2640979083845713E-2</v>
      </c>
    </row>
    <row r="184" spans="2:12" x14ac:dyDescent="0.25">
      <c r="B184" t="str">
        <f ca="1">IF(_xll.TM1RPTELISCONSOLIDATED($E$42,$E184),IF(_xll.TM1RPTELLEV($E$42,$E184)&lt;=3,_xll.TM1RPTELLEV($E$42,$E184),"D"),"N")</f>
        <v>N</v>
      </c>
      <c r="C184">
        <v>1</v>
      </c>
      <c r="D184" s="20"/>
      <c r="E184" s="22" t="s">
        <v>228</v>
      </c>
      <c r="F184" s="8">
        <f ca="1">_xll.DBRW($E$9,$F$16,$F$19,$F$20,$F$21,$F$22,$E184,$F$13,$F$14,F$39)</f>
        <v>211133.21999999994</v>
      </c>
      <c r="G184" s="28">
        <f t="shared" ca="1" si="10"/>
        <v>211133.21999999994</v>
      </c>
      <c r="H184" s="8">
        <f t="shared" ca="1" si="11"/>
        <v>211133.21999999994</v>
      </c>
      <c r="I184" s="8">
        <f t="shared" ca="1" si="12"/>
        <v>1</v>
      </c>
      <c r="J184" s="43" t="str">
        <f t="shared" ca="1" si="13"/>
        <v>0,4</v>
      </c>
      <c r="K184" s="8">
        <f ca="1">_xll.DBRW($E$9,$F$16,$F$19,$F$20,$F$21,$F$22,$E184,$F$13,$F$14,K$39)</f>
        <v>432236.65999999992</v>
      </c>
      <c r="L184" s="34">
        <f t="shared" ca="1" si="14"/>
        <v>0.4884667117314852</v>
      </c>
    </row>
    <row r="185" spans="2:12" x14ac:dyDescent="0.25">
      <c r="B185" t="str">
        <f ca="1">IF(_xll.TM1RPTELISCONSOLIDATED($E$42,$E185),IF(_xll.TM1RPTELLEV($E$42,$E185)&lt;=3,_xll.TM1RPTELLEV($E$42,$E185),"D"),"N")</f>
        <v>N</v>
      </c>
      <c r="C185">
        <v>1</v>
      </c>
      <c r="D185" s="20"/>
      <c r="E185" s="22" t="s">
        <v>76</v>
      </c>
      <c r="F185" s="8">
        <f ca="1">_xll.DBRW($E$9,$F$16,$F$19,$F$20,$F$21,$F$22,$E185,$F$13,$F$14,F$39)</f>
        <v>219553.65000000002</v>
      </c>
      <c r="G185" s="28">
        <f t="shared" ca="1" si="10"/>
        <v>219553.65000000002</v>
      </c>
      <c r="H185" s="8">
        <f t="shared" ca="1" si="11"/>
        <v>219553.65000000002</v>
      </c>
      <c r="I185" s="8">
        <f t="shared" ca="1" si="12"/>
        <v>1</v>
      </c>
      <c r="J185" s="43" t="str">
        <f t="shared" ca="1" si="13"/>
        <v>4,3</v>
      </c>
      <c r="K185" s="8">
        <f ca="1">_xll.DBRW($E$9,$F$16,$F$19,$F$20,$F$21,$F$22,$E185,$F$13,$F$14,K$39)</f>
        <v>4292800.7</v>
      </c>
      <c r="L185" s="34">
        <f t="shared" ca="1" si="14"/>
        <v>5.1144617545370794E-2</v>
      </c>
    </row>
    <row r="186" spans="2:12" x14ac:dyDescent="0.25">
      <c r="B186" t="str">
        <f ca="1">IF(_xll.TM1RPTELISCONSOLIDATED($E$42,$E186),IF(_xll.TM1RPTELLEV($E$42,$E186)&lt;=3,_xll.TM1RPTELLEV($E$42,$E186),"D"),"N")</f>
        <v>N</v>
      </c>
      <c r="C186">
        <v>1</v>
      </c>
      <c r="D186" s="20"/>
      <c r="E186" s="22" t="s">
        <v>96</v>
      </c>
      <c r="F186" s="8">
        <f ca="1">_xll.DBRW($E$9,$F$16,$F$19,$F$20,$F$21,$F$22,$E186,$F$13,$F$14,F$39)</f>
        <v>226997.00000000061</v>
      </c>
      <c r="G186" s="28">
        <f t="shared" ca="1" si="10"/>
        <v>226997.00000000061</v>
      </c>
      <c r="H186" s="8">
        <f t="shared" ca="1" si="11"/>
        <v>226997.00000000061</v>
      </c>
      <c r="I186" s="8">
        <f t="shared" ca="1" si="12"/>
        <v>1</v>
      </c>
      <c r="J186" s="43" t="str">
        <f t="shared" ca="1" si="13"/>
        <v>6,4</v>
      </c>
      <c r="K186" s="8">
        <f ca="1">_xll.DBRW($E$9,$F$16,$F$19,$F$20,$F$21,$F$22,$E186,$F$13,$F$14,K$39)</f>
        <v>6397653.9300000006</v>
      </c>
      <c r="L186" s="34">
        <f t="shared" ca="1" si="14"/>
        <v>3.5481287747616663E-2</v>
      </c>
    </row>
    <row r="187" spans="2:12" x14ac:dyDescent="0.25">
      <c r="B187" t="str">
        <f ca="1">IF(_xll.TM1RPTELISCONSOLIDATED($E$42,$E187),IF(_xll.TM1RPTELLEV($E$42,$E187)&lt;=3,_xll.TM1RPTELLEV($E$42,$E187),"D"),"N")</f>
        <v>N</v>
      </c>
      <c r="C187">
        <v>1</v>
      </c>
      <c r="D187" s="20"/>
      <c r="E187" s="22" t="s">
        <v>229</v>
      </c>
      <c r="F187" s="8">
        <f ca="1">_xll.DBRW($E$9,$F$16,$F$19,$F$20,$F$21,$F$22,$E187,$F$13,$F$14,F$39)</f>
        <v>230795.77000000002</v>
      </c>
      <c r="G187" s="28">
        <f t="shared" ca="1" si="10"/>
        <v>230795.77000000002</v>
      </c>
      <c r="H187" s="8">
        <f t="shared" ca="1" si="11"/>
        <v>230795.77000000002</v>
      </c>
      <c r="I187" s="8">
        <f t="shared" ca="1" si="12"/>
        <v>1</v>
      </c>
      <c r="J187" s="43" t="str">
        <f t="shared" ca="1" si="13"/>
        <v>1,0</v>
      </c>
      <c r="K187" s="8">
        <f ca="1">_xll.DBRW($E$9,$F$16,$F$19,$F$20,$F$21,$F$22,$E187,$F$13,$F$14,K$39)</f>
        <v>1017473.8</v>
      </c>
      <c r="L187" s="34">
        <f t="shared" ca="1" si="14"/>
        <v>0.22683215037084986</v>
      </c>
    </row>
    <row r="188" spans="2:12" x14ac:dyDescent="0.25">
      <c r="B188" t="str">
        <f ca="1">IF(_xll.TM1RPTELISCONSOLIDATED($E$42,$E188),IF(_xll.TM1RPTELLEV($E$42,$E188)&lt;=3,_xll.TM1RPTELLEV($E$42,$E188),"D"),"N")</f>
        <v>N</v>
      </c>
      <c r="C188">
        <v>1</v>
      </c>
      <c r="D188" s="20"/>
      <c r="E188" s="22" t="s">
        <v>230</v>
      </c>
      <c r="F188" s="8">
        <f ca="1">_xll.DBRW($E$9,$F$16,$F$19,$F$20,$F$21,$F$22,$E188,$F$13,$F$14,F$39)</f>
        <v>231132.14999999997</v>
      </c>
      <c r="G188" s="28">
        <f t="shared" ca="1" si="10"/>
        <v>231132.14999999997</v>
      </c>
      <c r="H188" s="8">
        <f t="shared" ca="1" si="11"/>
        <v>231132.14999999997</v>
      </c>
      <c r="I188" s="8">
        <f t="shared" ca="1" si="12"/>
        <v>1</v>
      </c>
      <c r="J188" s="43" t="str">
        <f t="shared" ca="1" si="13"/>
        <v>1,5</v>
      </c>
      <c r="K188" s="8">
        <f ca="1">_xll.DBRW($E$9,$F$16,$F$19,$F$20,$F$21,$F$22,$E188,$F$13,$F$14,K$39)</f>
        <v>1512438.27</v>
      </c>
      <c r="L188" s="34">
        <f t="shared" ca="1" si="14"/>
        <v>0.15282088174084615</v>
      </c>
    </row>
    <row r="189" spans="2:12" x14ac:dyDescent="0.25">
      <c r="B189" t="str">
        <f ca="1">IF(_xll.TM1RPTELISCONSOLIDATED($E$42,$E189),IF(_xll.TM1RPTELLEV($E$42,$E189)&lt;=3,_xll.TM1RPTELLEV($E$42,$E189),"D"),"N")</f>
        <v>N</v>
      </c>
      <c r="C189">
        <v>1</v>
      </c>
      <c r="D189" s="20"/>
      <c r="E189" s="22" t="s">
        <v>22</v>
      </c>
      <c r="F189" s="8">
        <f ca="1">_xll.DBRW($E$9,$F$16,$F$19,$F$20,$F$21,$F$22,$E189,$F$13,$F$14,F$39)</f>
        <v>232290.25999999992</v>
      </c>
      <c r="G189" s="28">
        <f t="shared" ca="1" si="10"/>
        <v>232290.25999999992</v>
      </c>
      <c r="H189" s="8">
        <f t="shared" ca="1" si="11"/>
        <v>232290.25999999992</v>
      </c>
      <c r="I189" s="8">
        <f t="shared" ca="1" si="12"/>
        <v>1</v>
      </c>
      <c r="J189" s="43" t="str">
        <f t="shared" ca="1" si="13"/>
        <v>3,4</v>
      </c>
      <c r="K189" s="8">
        <f ca="1">_xll.DBRW($E$9,$F$16,$F$19,$F$20,$F$21,$F$22,$E189,$F$13,$F$14,K$39)</f>
        <v>3404268.66</v>
      </c>
      <c r="L189" s="34">
        <f t="shared" ca="1" si="14"/>
        <v>6.823499647057818E-2</v>
      </c>
    </row>
    <row r="190" spans="2:12" x14ac:dyDescent="0.25">
      <c r="B190" t="str">
        <f ca="1">IF(_xll.TM1RPTELISCONSOLIDATED($E$42,$E190),IF(_xll.TM1RPTELLEV($E$42,$E190)&lt;=3,_xll.TM1RPTELLEV($E$42,$E190),"D"),"N")</f>
        <v>N</v>
      </c>
      <c r="C190">
        <v>1</v>
      </c>
      <c r="D190" s="20"/>
      <c r="E190" s="22" t="s">
        <v>231</v>
      </c>
      <c r="F190" s="8">
        <f ca="1">_xll.DBRW($E$9,$F$16,$F$19,$F$20,$F$21,$F$22,$E190,$F$13,$F$14,F$39)</f>
        <v>250027.69999999984</v>
      </c>
      <c r="G190" s="28">
        <f t="shared" ca="1" si="10"/>
        <v>250027.69999999984</v>
      </c>
      <c r="H190" s="8">
        <f t="shared" ca="1" si="11"/>
        <v>250027.69999999984</v>
      </c>
      <c r="I190" s="8">
        <f t="shared" ca="1" si="12"/>
        <v>1</v>
      </c>
      <c r="J190" s="43" t="str">
        <f t="shared" ca="1" si="13"/>
        <v>4,3</v>
      </c>
      <c r="K190" s="8">
        <f ca="1">_xll.DBRW($E$9,$F$16,$F$19,$F$20,$F$21,$F$22,$E190,$F$13,$F$14,K$39)</f>
        <v>4257284.9800000004</v>
      </c>
      <c r="L190" s="34">
        <f t="shared" ca="1" si="14"/>
        <v>5.8729378271501056E-2</v>
      </c>
    </row>
    <row r="191" spans="2:12" x14ac:dyDescent="0.25">
      <c r="B191" t="str">
        <f ca="1">IF(_xll.TM1RPTELISCONSOLIDATED($E$42,$E191),IF(_xll.TM1RPTELLEV($E$42,$E191)&lt;=3,_xll.TM1RPTELLEV($E$42,$E191),"D"),"N")</f>
        <v>N</v>
      </c>
      <c r="C191">
        <v>1</v>
      </c>
      <c r="D191" s="20"/>
      <c r="E191" s="22" t="s">
        <v>133</v>
      </c>
      <c r="F191" s="8">
        <f ca="1">_xll.DBRW($E$9,$F$16,$F$19,$F$20,$F$21,$F$22,$E191,$F$13,$F$14,F$39)</f>
        <v>252628.19000000181</v>
      </c>
      <c r="G191" s="28">
        <f t="shared" ca="1" si="10"/>
        <v>252628.19000000181</v>
      </c>
      <c r="H191" s="8">
        <f t="shared" ca="1" si="11"/>
        <v>252628.19000000181</v>
      </c>
      <c r="I191" s="8">
        <f t="shared" ca="1" si="12"/>
        <v>1</v>
      </c>
      <c r="J191" s="43" t="str">
        <f t="shared" ca="1" si="13"/>
        <v>16,8</v>
      </c>
      <c r="K191" s="8">
        <f ca="1">_xll.DBRW($E$9,$F$16,$F$19,$F$20,$F$21,$F$22,$E191,$F$13,$F$14,K$39)</f>
        <v>16844167.23</v>
      </c>
      <c r="L191" s="34">
        <f t="shared" ca="1" si="14"/>
        <v>1.4997962591469819E-2</v>
      </c>
    </row>
    <row r="192" spans="2:12" x14ac:dyDescent="0.25">
      <c r="B192" t="str">
        <f ca="1">IF(_xll.TM1RPTELISCONSOLIDATED($E$42,$E192),IF(_xll.TM1RPTELLEV($E$42,$E192)&lt;=3,_xll.TM1RPTELLEV($E$42,$E192),"D"),"N")</f>
        <v>N</v>
      </c>
      <c r="C192">
        <v>1</v>
      </c>
      <c r="D192" s="20"/>
      <c r="E192" s="22" t="s">
        <v>232</v>
      </c>
      <c r="F192" s="8">
        <f ca="1">_xll.DBRW($E$9,$F$16,$F$19,$F$20,$F$21,$F$22,$E192,$F$13,$F$14,F$39)</f>
        <v>264548.19999999925</v>
      </c>
      <c r="G192" s="28">
        <f t="shared" ca="1" si="10"/>
        <v>264548.19999999925</v>
      </c>
      <c r="H192" s="8">
        <f t="shared" ca="1" si="11"/>
        <v>264548.19999999925</v>
      </c>
      <c r="I192" s="8">
        <f t="shared" ca="1" si="12"/>
        <v>1</v>
      </c>
      <c r="J192" s="43" t="str">
        <f t="shared" ca="1" si="13"/>
        <v>4,3</v>
      </c>
      <c r="K192" s="8">
        <f ca="1">_xll.DBRW($E$9,$F$16,$F$19,$F$20,$F$21,$F$22,$E192,$F$13,$F$14,K$39)</f>
        <v>4326291.67</v>
      </c>
      <c r="L192" s="34">
        <f t="shared" ca="1" si="14"/>
        <v>6.1148951614720712E-2</v>
      </c>
    </row>
    <row r="193" spans="2:12" x14ac:dyDescent="0.25">
      <c r="B193" t="str">
        <f ca="1">IF(_xll.TM1RPTELISCONSOLIDATED($E$42,$E193),IF(_xll.TM1RPTELLEV($E$42,$E193)&lt;=3,_xll.TM1RPTELLEV($E$42,$E193),"D"),"N")</f>
        <v>N</v>
      </c>
      <c r="C193">
        <v>1</v>
      </c>
      <c r="D193" s="20"/>
      <c r="E193" s="22" t="s">
        <v>156</v>
      </c>
      <c r="F193" s="8">
        <f ca="1">_xll.DBRW($E$9,$F$16,$F$19,$F$20,$F$21,$F$22,$E193,$F$13,$F$14,F$39)</f>
        <v>269445.66000001016</v>
      </c>
      <c r="G193" s="28">
        <f t="shared" ca="1" si="10"/>
        <v>269445.66000001016</v>
      </c>
      <c r="H193" s="8">
        <f t="shared" ca="1" si="11"/>
        <v>269445.66000001016</v>
      </c>
      <c r="I193" s="8">
        <f t="shared" ca="1" si="12"/>
        <v>1</v>
      </c>
      <c r="J193" s="43" t="str">
        <f t="shared" ca="1" si="13"/>
        <v>23,3</v>
      </c>
      <c r="K193" s="8">
        <f ca="1">_xll.DBRW($E$9,$F$16,$F$19,$F$20,$F$21,$F$22,$E193,$F$13,$F$14,K$39)</f>
        <v>23322153.280000005</v>
      </c>
      <c r="L193" s="34">
        <f t="shared" ca="1" si="14"/>
        <v>1.1553206805782991E-2</v>
      </c>
    </row>
    <row r="194" spans="2:12" x14ac:dyDescent="0.25">
      <c r="B194" t="str">
        <f ca="1">IF(_xll.TM1RPTELISCONSOLIDATED($E$42,$E194),IF(_xll.TM1RPTELLEV($E$42,$E194)&lt;=3,_xll.TM1RPTELLEV($E$42,$E194),"D"),"N")</f>
        <v>N</v>
      </c>
      <c r="C194">
        <v>1</v>
      </c>
      <c r="D194" s="20"/>
      <c r="E194" s="22" t="s">
        <v>94</v>
      </c>
      <c r="F194" s="8">
        <f ca="1">_xll.DBRW($E$9,$F$16,$F$19,$F$20,$F$21,$F$22,$E194,$F$13,$F$14,F$39)</f>
        <v>281108.36999999982</v>
      </c>
      <c r="G194" s="28">
        <f t="shared" ca="1" si="10"/>
        <v>281108.36999999982</v>
      </c>
      <c r="H194" s="8">
        <f t="shared" ca="1" si="11"/>
        <v>281108.36999999982</v>
      </c>
      <c r="I194" s="8">
        <f t="shared" ca="1" si="12"/>
        <v>1</v>
      </c>
      <c r="J194" s="43" t="str">
        <f t="shared" ca="1" si="13"/>
        <v>4,0</v>
      </c>
      <c r="K194" s="8">
        <f ca="1">_xll.DBRW($E$9,$F$16,$F$19,$F$20,$F$21,$F$22,$E194,$F$13,$F$14,K$39)</f>
        <v>3963245.94</v>
      </c>
      <c r="L194" s="34">
        <f t="shared" ca="1" si="14"/>
        <v>7.0928823054569212E-2</v>
      </c>
    </row>
    <row r="195" spans="2:12" x14ac:dyDescent="0.25">
      <c r="B195" t="str">
        <f ca="1">IF(_xll.TM1RPTELISCONSOLIDATED($E$42,$E195),IF(_xll.TM1RPTELLEV($E$42,$E195)&lt;=3,_xll.TM1RPTELLEV($E$42,$E195),"D"),"N")</f>
        <v>N</v>
      </c>
      <c r="C195">
        <v>1</v>
      </c>
      <c r="D195" s="20"/>
      <c r="E195" s="22" t="s">
        <v>143</v>
      </c>
      <c r="F195" s="8">
        <f ca="1">_xll.DBRW($E$9,$F$16,$F$19,$F$20,$F$21,$F$22,$E195,$F$13,$F$14,F$39)</f>
        <v>286368.51999999926</v>
      </c>
      <c r="G195" s="28">
        <f t="shared" ca="1" si="10"/>
        <v>286368.51999999926</v>
      </c>
      <c r="H195" s="8">
        <f t="shared" ca="1" si="11"/>
        <v>286368.51999999926</v>
      </c>
      <c r="I195" s="8">
        <f t="shared" ca="1" si="12"/>
        <v>1</v>
      </c>
      <c r="J195" s="43" t="str">
        <f t="shared" ca="1" si="13"/>
        <v>8,4</v>
      </c>
      <c r="K195" s="8">
        <f ca="1">_xll.DBRW($E$9,$F$16,$F$19,$F$20,$F$21,$F$22,$E195,$F$13,$F$14,K$39)</f>
        <v>8389182.8899999987</v>
      </c>
      <c r="L195" s="34">
        <f t="shared" ca="1" si="14"/>
        <v>3.4135448440557159E-2</v>
      </c>
    </row>
    <row r="196" spans="2:12" x14ac:dyDescent="0.25">
      <c r="B196" t="str">
        <f ca="1">IF(_xll.TM1RPTELISCONSOLIDATED($E$42,$E196),IF(_xll.TM1RPTELLEV($E$42,$E196)&lt;=3,_xll.TM1RPTELLEV($E$42,$E196),"D"),"N")</f>
        <v>N</v>
      </c>
      <c r="C196">
        <v>1</v>
      </c>
      <c r="D196" s="20"/>
      <c r="E196" s="22" t="s">
        <v>233</v>
      </c>
      <c r="F196" s="8">
        <f ca="1">_xll.DBRW($E$9,$F$16,$F$19,$F$20,$F$21,$F$22,$E196,$F$13,$F$14,F$39)</f>
        <v>291986.7400000004</v>
      </c>
      <c r="G196" s="28">
        <f t="shared" ca="1" si="10"/>
        <v>291986.7400000004</v>
      </c>
      <c r="H196" s="8">
        <f t="shared" ca="1" si="11"/>
        <v>291986.7400000004</v>
      </c>
      <c r="I196" s="8">
        <f t="shared" ca="1" si="12"/>
        <v>1</v>
      </c>
      <c r="J196" s="43" t="str">
        <f t="shared" ca="1" si="13"/>
        <v>2,2</v>
      </c>
      <c r="K196" s="8">
        <f ca="1">_xll.DBRW($E$9,$F$16,$F$19,$F$20,$F$21,$F$22,$E196,$F$13,$F$14,K$39)</f>
        <v>2240300.8400000003</v>
      </c>
      <c r="L196" s="34">
        <f t="shared" ca="1" si="14"/>
        <v>0.13033371893035595</v>
      </c>
    </row>
    <row r="197" spans="2:12" x14ac:dyDescent="0.25">
      <c r="B197" t="str">
        <f ca="1">IF(_xll.TM1RPTELISCONSOLIDATED($E$42,$E197),IF(_xll.TM1RPTELLEV($E$42,$E197)&lt;=3,_xll.TM1RPTELLEV($E$42,$E197),"D"),"N")</f>
        <v>N</v>
      </c>
      <c r="C197">
        <v>1</v>
      </c>
      <c r="D197" s="20"/>
      <c r="E197" s="22" t="s">
        <v>234</v>
      </c>
      <c r="F197" s="8">
        <f ca="1">_xll.DBRW($E$9,$F$16,$F$19,$F$20,$F$21,$F$22,$E197,$F$13,$F$14,F$39)</f>
        <v>298138.34999999998</v>
      </c>
      <c r="G197" s="28">
        <f t="shared" ca="1" si="10"/>
        <v>298138.34999999998</v>
      </c>
      <c r="H197" s="8">
        <f t="shared" ca="1" si="11"/>
        <v>298138.34999999998</v>
      </c>
      <c r="I197" s="8">
        <f t="shared" ca="1" si="12"/>
        <v>1</v>
      </c>
      <c r="J197" s="43" t="str">
        <f t="shared" ca="1" si="13"/>
        <v>4,4</v>
      </c>
      <c r="K197" s="8">
        <f ca="1">_xll.DBRW($E$9,$F$16,$F$19,$F$20,$F$21,$F$22,$E197,$F$13,$F$14,K$39)</f>
        <v>4425850.78</v>
      </c>
      <c r="L197" s="34">
        <f t="shared" ca="1" si="14"/>
        <v>6.7362946655874362E-2</v>
      </c>
    </row>
    <row r="198" spans="2:12" x14ac:dyDescent="0.25">
      <c r="B198" t="str">
        <f ca="1">IF(_xll.TM1RPTELISCONSOLIDATED($E$42,$E198),IF(_xll.TM1RPTELLEV($E$42,$E198)&lt;=3,_xll.TM1RPTELLEV($E$42,$E198),"D"),"N")</f>
        <v>N</v>
      </c>
      <c r="C198">
        <v>1</v>
      </c>
      <c r="D198" s="20"/>
      <c r="E198" s="22" t="s">
        <v>130</v>
      </c>
      <c r="F198" s="8">
        <f ca="1">_xll.DBRW($E$9,$F$16,$F$19,$F$20,$F$21,$F$22,$E198,$F$13,$F$14,F$39)</f>
        <v>299912.36999999883</v>
      </c>
      <c r="G198" s="28">
        <f t="shared" ca="1" si="10"/>
        <v>299912.36999999883</v>
      </c>
      <c r="H198" s="8">
        <f t="shared" ca="1" si="11"/>
        <v>299912.36999999883</v>
      </c>
      <c r="I198" s="8">
        <f t="shared" ca="1" si="12"/>
        <v>1</v>
      </c>
      <c r="J198" s="43" t="str">
        <f t="shared" ca="1" si="13"/>
        <v>10,6</v>
      </c>
      <c r="K198" s="8">
        <f ca="1">_xll.DBRW($E$9,$F$16,$F$19,$F$20,$F$21,$F$22,$E198,$F$13,$F$14,K$39)</f>
        <v>10608066.709999999</v>
      </c>
      <c r="L198" s="34">
        <f t="shared" ca="1" si="14"/>
        <v>2.8272104446447139E-2</v>
      </c>
    </row>
    <row r="199" spans="2:12" x14ac:dyDescent="0.25">
      <c r="B199" t="str">
        <f ca="1">IF(_xll.TM1RPTELISCONSOLIDATED($E$42,$E199),IF(_xll.TM1RPTELLEV($E$42,$E199)&lt;=3,_xll.TM1RPTELLEV($E$42,$E199),"D"),"N")</f>
        <v>N</v>
      </c>
      <c r="C199">
        <v>1</v>
      </c>
      <c r="D199" s="20"/>
      <c r="E199" s="22" t="s">
        <v>235</v>
      </c>
      <c r="F199" s="8">
        <f ca="1">_xll.DBRW($E$9,$F$16,$F$19,$F$20,$F$21,$F$22,$E199,$F$13,$F$14,F$39)</f>
        <v>300835.11000000336</v>
      </c>
      <c r="G199" s="28">
        <f t="shared" ca="1" si="10"/>
        <v>300835.11000000336</v>
      </c>
      <c r="H199" s="8">
        <f t="shared" ca="1" si="11"/>
        <v>300835.11000000336</v>
      </c>
      <c r="I199" s="8">
        <f t="shared" ca="1" si="12"/>
        <v>1</v>
      </c>
      <c r="J199" s="43" t="str">
        <f t="shared" ca="1" si="13"/>
        <v>5,9</v>
      </c>
      <c r="K199" s="8">
        <f ca="1">_xll.DBRW($E$9,$F$16,$F$19,$F$20,$F$21,$F$22,$E199,$F$13,$F$14,K$39)</f>
        <v>5924985.4800000042</v>
      </c>
      <c r="L199" s="34">
        <f t="shared" ca="1" si="14"/>
        <v>5.077398265624157E-2</v>
      </c>
    </row>
    <row r="200" spans="2:12" x14ac:dyDescent="0.25">
      <c r="B200" t="str">
        <f ca="1">IF(_xll.TM1RPTELISCONSOLIDATED($E$42,$E200),IF(_xll.TM1RPTELLEV($E$42,$E200)&lt;=3,_xll.TM1RPTELLEV($E$42,$E200),"D"),"N")</f>
        <v>N</v>
      </c>
      <c r="C200">
        <v>1</v>
      </c>
      <c r="D200" s="20"/>
      <c r="E200" s="22" t="s">
        <v>236</v>
      </c>
      <c r="F200" s="8">
        <f ca="1">_xll.DBRW($E$9,$F$16,$F$19,$F$20,$F$21,$F$22,$E200,$F$13,$F$14,F$39)</f>
        <v>313185.53000000026</v>
      </c>
      <c r="G200" s="28">
        <f t="shared" ca="1" si="10"/>
        <v>313185.53000000026</v>
      </c>
      <c r="H200" s="8">
        <f t="shared" ca="1" si="11"/>
        <v>313185.53000000026</v>
      </c>
      <c r="I200" s="8">
        <f t="shared" ca="1" si="12"/>
        <v>1</v>
      </c>
      <c r="J200" s="43" t="str">
        <f t="shared" ca="1" si="13"/>
        <v>3,6</v>
      </c>
      <c r="K200" s="8">
        <f ca="1">_xll.DBRW($E$9,$F$16,$F$19,$F$20,$F$21,$F$22,$E200,$F$13,$F$14,K$39)</f>
        <v>3623922.89</v>
      </c>
      <c r="L200" s="34">
        <f t="shared" ca="1" si="14"/>
        <v>8.6421687079550488E-2</v>
      </c>
    </row>
    <row r="201" spans="2:12" x14ac:dyDescent="0.25">
      <c r="B201" t="str">
        <f ca="1">IF(_xll.TM1RPTELISCONSOLIDATED($E$42,$E201),IF(_xll.TM1RPTELLEV($E$42,$E201)&lt;=3,_xll.TM1RPTELLEV($E$42,$E201),"D"),"N")</f>
        <v>N</v>
      </c>
      <c r="C201">
        <v>1</v>
      </c>
      <c r="D201" s="20"/>
      <c r="E201" s="22" t="s">
        <v>237</v>
      </c>
      <c r="F201" s="8">
        <f ca="1">_xll.DBRW($E$9,$F$16,$F$19,$F$20,$F$21,$F$22,$E201,$F$13,$F$14,F$39)</f>
        <v>313684.74000000063</v>
      </c>
      <c r="G201" s="28">
        <f t="shared" ca="1" si="10"/>
        <v>313684.74000000063</v>
      </c>
      <c r="H201" s="8">
        <f t="shared" ca="1" si="11"/>
        <v>313684.74000000063</v>
      </c>
      <c r="I201" s="8">
        <f t="shared" ca="1" si="12"/>
        <v>1</v>
      </c>
      <c r="J201" s="43" t="str">
        <f t="shared" ca="1" si="13"/>
        <v>1,5</v>
      </c>
      <c r="K201" s="8">
        <f ca="1">_xll.DBRW($E$9,$F$16,$F$19,$F$20,$F$21,$F$22,$E201,$F$13,$F$14,K$39)</f>
        <v>1538965.8200000003</v>
      </c>
      <c r="L201" s="34">
        <f t="shared" ca="1" si="14"/>
        <v>0.20382826955831973</v>
      </c>
    </row>
    <row r="202" spans="2:12" x14ac:dyDescent="0.25">
      <c r="B202" t="str">
        <f ca="1">IF(_xll.TM1RPTELISCONSOLIDATED($E$42,$E202),IF(_xll.TM1RPTELLEV($E$42,$E202)&lt;=3,_xll.TM1RPTELLEV($E$42,$E202),"D"),"N")</f>
        <v>N</v>
      </c>
      <c r="C202">
        <v>1</v>
      </c>
      <c r="D202" s="20"/>
      <c r="E202" s="22" t="s">
        <v>86</v>
      </c>
      <c r="F202" s="8">
        <f ca="1">_xll.DBRW($E$9,$F$16,$F$19,$F$20,$F$21,$F$22,$E202,$F$13,$F$14,F$39)</f>
        <v>316794.47999999917</v>
      </c>
      <c r="G202" s="28">
        <f t="shared" ca="1" si="10"/>
        <v>316794.47999999917</v>
      </c>
      <c r="H202" s="8">
        <f t="shared" ca="1" si="11"/>
        <v>316794.47999999917</v>
      </c>
      <c r="I202" s="8">
        <f t="shared" ca="1" si="12"/>
        <v>1</v>
      </c>
      <c r="J202" s="43" t="str">
        <f t="shared" ca="1" si="13"/>
        <v>4,9</v>
      </c>
      <c r="K202" s="8">
        <f ca="1">_xll.DBRW($E$9,$F$16,$F$19,$F$20,$F$21,$F$22,$E202,$F$13,$F$14,K$39)</f>
        <v>4914358.93</v>
      </c>
      <c r="L202" s="34">
        <f t="shared" ca="1" si="14"/>
        <v>6.4463032617765911E-2</v>
      </c>
    </row>
    <row r="203" spans="2:12" x14ac:dyDescent="0.25">
      <c r="B203" t="str">
        <f ca="1">IF(_xll.TM1RPTELISCONSOLIDATED($E$42,$E203),IF(_xll.TM1RPTELLEV($E$42,$E203)&lt;=3,_xll.TM1RPTELLEV($E$42,$E203),"D"),"N")</f>
        <v>N</v>
      </c>
      <c r="C203">
        <v>1</v>
      </c>
      <c r="D203" s="20"/>
      <c r="E203" s="22" t="s">
        <v>238</v>
      </c>
      <c r="F203" s="8">
        <f ca="1">_xll.DBRW($E$9,$F$16,$F$19,$F$20,$F$21,$F$22,$E203,$F$13,$F$14,F$39)</f>
        <v>327344.59999999986</v>
      </c>
      <c r="G203" s="28">
        <f t="shared" ca="1" si="10"/>
        <v>327344.59999999986</v>
      </c>
      <c r="H203" s="8">
        <f t="shared" ca="1" si="11"/>
        <v>327344.59999999986</v>
      </c>
      <c r="I203" s="8">
        <f t="shared" ca="1" si="12"/>
        <v>1</v>
      </c>
      <c r="J203" s="43" t="str">
        <f t="shared" ca="1" si="13"/>
        <v>0,8</v>
      </c>
      <c r="K203" s="8">
        <f ca="1">_xll.DBRW($E$9,$F$16,$F$19,$F$20,$F$21,$F$22,$E203,$F$13,$F$14,K$39)</f>
        <v>757913.16999999993</v>
      </c>
      <c r="L203" s="34">
        <f t="shared" ca="1" si="14"/>
        <v>0.43190250936001007</v>
      </c>
    </row>
    <row r="204" spans="2:12" x14ac:dyDescent="0.25">
      <c r="B204" t="str">
        <f ca="1">IF(_xll.TM1RPTELISCONSOLIDATED($E$42,$E204),IF(_xll.TM1RPTELLEV($E$42,$E204)&lt;=3,_xll.TM1RPTELLEV($E$42,$E204),"D"),"N")</f>
        <v>N</v>
      </c>
      <c r="C204">
        <v>1</v>
      </c>
      <c r="D204" s="20"/>
      <c r="E204" s="22" t="s">
        <v>82</v>
      </c>
      <c r="F204" s="8">
        <f ca="1">_xll.DBRW($E$9,$F$16,$F$19,$F$20,$F$21,$F$22,$E204,$F$13,$F$14,F$39)</f>
        <v>331555.91000000009</v>
      </c>
      <c r="G204" s="28">
        <f t="shared" ca="1" si="10"/>
        <v>331555.91000000009</v>
      </c>
      <c r="H204" s="8">
        <f t="shared" ca="1" si="11"/>
        <v>331555.91000000009</v>
      </c>
      <c r="I204" s="8">
        <f t="shared" ca="1" si="12"/>
        <v>1</v>
      </c>
      <c r="J204" s="43" t="str">
        <f t="shared" ca="1" si="13"/>
        <v>2,0</v>
      </c>
      <c r="K204" s="8">
        <f ca="1">_xll.DBRW($E$9,$F$16,$F$19,$F$20,$F$21,$F$22,$E204,$F$13,$F$14,K$39)</f>
        <v>1952541.82</v>
      </c>
      <c r="L204" s="34">
        <f t="shared" ca="1" si="14"/>
        <v>0.16980732837773485</v>
      </c>
    </row>
    <row r="205" spans="2:12" x14ac:dyDescent="0.25">
      <c r="B205" t="str">
        <f ca="1">IF(_xll.TM1RPTELISCONSOLIDATED($E$42,$E205),IF(_xll.TM1RPTELLEV($E$42,$E205)&lt;=3,_xll.TM1RPTELLEV($E$42,$E205),"D"),"N")</f>
        <v>N</v>
      </c>
      <c r="C205">
        <v>1</v>
      </c>
      <c r="D205" s="20"/>
      <c r="E205" s="22" t="s">
        <v>239</v>
      </c>
      <c r="F205" s="8">
        <f ca="1">_xll.DBRW($E$9,$F$16,$F$19,$F$20,$F$21,$F$22,$E205,$F$13,$F$14,F$39)</f>
        <v>350700</v>
      </c>
      <c r="G205" s="28">
        <f t="shared" ca="1" si="10"/>
        <v>350700</v>
      </c>
      <c r="H205" s="8">
        <f t="shared" ca="1" si="11"/>
        <v>350700</v>
      </c>
      <c r="I205" s="8">
        <f t="shared" ca="1" si="12"/>
        <v>1</v>
      </c>
      <c r="J205" s="43" t="str">
        <f t="shared" ca="1" si="13"/>
        <v>6,5</v>
      </c>
      <c r="K205" s="8">
        <f ca="1">_xll.DBRW($E$9,$F$16,$F$19,$F$20,$F$21,$F$22,$E205,$F$13,$F$14,K$39)</f>
        <v>6486914</v>
      </c>
      <c r="L205" s="34">
        <f t="shared" ca="1" si="14"/>
        <v>5.4062686818416278E-2</v>
      </c>
    </row>
    <row r="206" spans="2:12" x14ac:dyDescent="0.25">
      <c r="B206" t="str">
        <f ca="1">IF(_xll.TM1RPTELISCONSOLIDATED($E$42,$E206),IF(_xll.TM1RPTELLEV($E$42,$E206)&lt;=3,_xll.TM1RPTELLEV($E$42,$E206),"D"),"N")</f>
        <v>N</v>
      </c>
      <c r="C206">
        <v>1</v>
      </c>
      <c r="D206" s="20"/>
      <c r="E206" s="22" t="s">
        <v>240</v>
      </c>
      <c r="F206" s="8">
        <f ca="1">_xll.DBRW($E$9,$F$16,$F$19,$F$20,$F$21,$F$22,$E206,$F$13,$F$14,F$39)</f>
        <v>364770.93000000005</v>
      </c>
      <c r="G206" s="28">
        <f t="shared" ca="1" si="10"/>
        <v>364770.93000000005</v>
      </c>
      <c r="H206" s="8">
        <f t="shared" ca="1" si="11"/>
        <v>364770.93000000005</v>
      </c>
      <c r="I206" s="8">
        <f t="shared" ca="1" si="12"/>
        <v>1</v>
      </c>
      <c r="J206" s="43" t="str">
        <f t="shared" ca="1" si="13"/>
        <v>1,8</v>
      </c>
      <c r="K206" s="8">
        <f ca="1">_xll.DBRW($E$9,$F$16,$F$19,$F$20,$F$21,$F$22,$E206,$F$13,$F$14,K$39)</f>
        <v>1775191.98</v>
      </c>
      <c r="L206" s="34">
        <f t="shared" ca="1" si="14"/>
        <v>0.20548252476895487</v>
      </c>
    </row>
    <row r="207" spans="2:12" x14ac:dyDescent="0.25">
      <c r="B207" t="str">
        <f ca="1">IF(_xll.TM1RPTELISCONSOLIDATED($E$42,$E207),IF(_xll.TM1RPTELLEV($E$42,$E207)&lt;=3,_xll.TM1RPTELLEV($E$42,$E207),"D"),"N")</f>
        <v>N</v>
      </c>
      <c r="C207">
        <v>1</v>
      </c>
      <c r="D207" s="20"/>
      <c r="E207" s="22" t="s">
        <v>93</v>
      </c>
      <c r="F207" s="8">
        <f ca="1">_xll.DBRW($E$9,$F$16,$F$19,$F$20,$F$21,$F$22,$E207,$F$13,$F$14,F$39)</f>
        <v>370390.86000000022</v>
      </c>
      <c r="G207" s="28">
        <f t="shared" ca="1" si="10"/>
        <v>370390.86000000022</v>
      </c>
      <c r="H207" s="8">
        <f t="shared" ca="1" si="11"/>
        <v>370390.86000000022</v>
      </c>
      <c r="I207" s="8">
        <f t="shared" ca="1" si="12"/>
        <v>1</v>
      </c>
      <c r="J207" s="43" t="str">
        <f t="shared" ca="1" si="13"/>
        <v>3,5</v>
      </c>
      <c r="K207" s="8">
        <f ca="1">_xll.DBRW($E$9,$F$16,$F$19,$F$20,$F$21,$F$22,$E207,$F$13,$F$14,K$39)</f>
        <v>3452124.6899999995</v>
      </c>
      <c r="L207" s="34">
        <f t="shared" ca="1" si="14"/>
        <v>0.10729359257298446</v>
      </c>
    </row>
    <row r="208" spans="2:12" x14ac:dyDescent="0.25">
      <c r="B208" t="str">
        <f ca="1">IF(_xll.TM1RPTELISCONSOLIDATED($E$42,$E208),IF(_xll.TM1RPTELLEV($E$42,$E208)&lt;=3,_xll.TM1RPTELLEV($E$42,$E208),"D"),"N")</f>
        <v>N</v>
      </c>
      <c r="C208">
        <v>1</v>
      </c>
      <c r="D208" s="20"/>
      <c r="E208" s="22" t="s">
        <v>241</v>
      </c>
      <c r="F208" s="8">
        <f ca="1">_xll.DBRW($E$9,$F$16,$F$19,$F$20,$F$21,$F$22,$E208,$F$13,$F$14,F$39)</f>
        <v>388031.9699999998</v>
      </c>
      <c r="G208" s="28">
        <f t="shared" ca="1" si="10"/>
        <v>388031.9699999998</v>
      </c>
      <c r="H208" s="8">
        <f t="shared" ca="1" si="11"/>
        <v>388031.9699999998</v>
      </c>
      <c r="I208" s="8">
        <f t="shared" ca="1" si="12"/>
        <v>1</v>
      </c>
      <c r="J208" s="43" t="str">
        <f t="shared" ca="1" si="13"/>
        <v>0,6</v>
      </c>
      <c r="K208" s="8">
        <f ca="1">_xll.DBRW($E$9,$F$16,$F$19,$F$20,$F$21,$F$22,$E208,$F$13,$F$14,K$39)</f>
        <v>585949.82999999996</v>
      </c>
      <c r="L208" s="34">
        <f t="shared" ca="1" si="14"/>
        <v>0.66222729341861886</v>
      </c>
    </row>
    <row r="209" spans="2:12" x14ac:dyDescent="0.25">
      <c r="B209" t="str">
        <f ca="1">IF(_xll.TM1RPTELISCONSOLIDATED($E$42,$E209),IF(_xll.TM1RPTELLEV($E$42,$E209)&lt;=3,_xll.TM1RPTELLEV($E$42,$E209),"D"),"N")</f>
        <v>N</v>
      </c>
      <c r="C209">
        <v>1</v>
      </c>
      <c r="D209" s="20"/>
      <c r="E209" s="22" t="s">
        <v>242</v>
      </c>
      <c r="F209" s="8">
        <f ca="1">_xll.DBRW($E$9,$F$16,$F$19,$F$20,$F$21,$F$22,$E209,$F$13,$F$14,F$39)</f>
        <v>395478.02</v>
      </c>
      <c r="G209" s="28">
        <f t="shared" ca="1" si="10"/>
        <v>395478.02</v>
      </c>
      <c r="H209" s="8">
        <f t="shared" ca="1" si="11"/>
        <v>395478.02</v>
      </c>
      <c r="I209" s="8">
        <f t="shared" ca="1" si="12"/>
        <v>1</v>
      </c>
      <c r="J209" s="43" t="str">
        <f t="shared" ca="1" si="13"/>
        <v>4,1</v>
      </c>
      <c r="K209" s="8">
        <f ca="1">_xll.DBRW($E$9,$F$16,$F$19,$F$20,$F$21,$F$22,$E209,$F$13,$F$14,K$39)</f>
        <v>4120926.5300000012</v>
      </c>
      <c r="L209" s="34">
        <f t="shared" ca="1" si="14"/>
        <v>9.5968228775968958E-2</v>
      </c>
    </row>
    <row r="210" spans="2:12" x14ac:dyDescent="0.25">
      <c r="B210" t="str">
        <f ca="1">IF(_xll.TM1RPTELISCONSOLIDATED($E$42,$E210),IF(_xll.TM1RPTELLEV($E$42,$E210)&lt;=3,_xll.TM1RPTELLEV($E$42,$E210),"D"),"N")</f>
        <v>N</v>
      </c>
      <c r="C210">
        <v>1</v>
      </c>
      <c r="D210" s="20"/>
      <c r="E210" s="22" t="s">
        <v>95</v>
      </c>
      <c r="F210" s="8">
        <f ca="1">_xll.DBRW($E$9,$F$16,$F$19,$F$20,$F$21,$F$22,$E210,$F$13,$F$14,F$39)</f>
        <v>396054.86999999918</v>
      </c>
      <c r="G210" s="28">
        <f t="shared" ca="1" si="10"/>
        <v>396054.86999999918</v>
      </c>
      <c r="H210" s="8">
        <f t="shared" ca="1" si="11"/>
        <v>396054.86999999918</v>
      </c>
      <c r="I210" s="8">
        <f t="shared" ca="1" si="12"/>
        <v>1</v>
      </c>
      <c r="J210" s="43" t="str">
        <f t="shared" ca="1" si="13"/>
        <v>9,6</v>
      </c>
      <c r="K210" s="8">
        <f ca="1">_xll.DBRW($E$9,$F$16,$F$19,$F$20,$F$21,$F$22,$E210,$F$13,$F$14,K$39)</f>
        <v>9639611.3200000003</v>
      </c>
      <c r="L210" s="34">
        <f t="shared" ca="1" si="14"/>
        <v>4.1086186657575643E-2</v>
      </c>
    </row>
    <row r="211" spans="2:12" x14ac:dyDescent="0.25">
      <c r="B211" t="str">
        <f ca="1">IF(_xll.TM1RPTELISCONSOLIDATED($E$42,$E211),IF(_xll.TM1RPTELLEV($E$42,$E211)&lt;=3,_xll.TM1RPTELLEV($E$42,$E211),"D"),"N")</f>
        <v>N</v>
      </c>
      <c r="C211">
        <v>1</v>
      </c>
      <c r="D211" s="20"/>
      <c r="E211" s="22" t="s">
        <v>243</v>
      </c>
      <c r="F211" s="8">
        <f ca="1">_xll.DBRW($E$9,$F$16,$F$19,$F$20,$F$21,$F$22,$E211,$F$13,$F$14,F$39)</f>
        <v>398666</v>
      </c>
      <c r="G211" s="28">
        <f t="shared" ca="1" si="10"/>
        <v>398666</v>
      </c>
      <c r="H211" s="8">
        <f t="shared" ca="1" si="11"/>
        <v>398666</v>
      </c>
      <c r="I211" s="8">
        <f t="shared" ca="1" si="12"/>
        <v>1</v>
      </c>
      <c r="J211" s="43" t="str">
        <f t="shared" ca="1" si="13"/>
        <v>7,7</v>
      </c>
      <c r="K211" s="8">
        <f ca="1">_xll.DBRW($E$9,$F$16,$F$19,$F$20,$F$21,$F$22,$E211,$F$13,$F$14,K$39)</f>
        <v>7709312</v>
      </c>
      <c r="L211" s="34">
        <f t="shared" ca="1" si="14"/>
        <v>5.1712266931212537E-2</v>
      </c>
    </row>
    <row r="212" spans="2:12" x14ac:dyDescent="0.25">
      <c r="B212" t="str">
        <f ca="1">IF(_xll.TM1RPTELISCONSOLIDATED($E$42,$E212),IF(_xll.TM1RPTELLEV($E$42,$E212)&lt;=3,_xll.TM1RPTELLEV($E$42,$E212),"D"),"N")</f>
        <v>N</v>
      </c>
      <c r="C212">
        <v>1</v>
      </c>
      <c r="D212" s="20"/>
      <c r="E212" s="22" t="s">
        <v>89</v>
      </c>
      <c r="F212" s="8">
        <f ca="1">_xll.DBRW($E$9,$F$16,$F$19,$F$20,$F$21,$F$22,$E212,$F$13,$F$14,F$39)</f>
        <v>403842.12000000069</v>
      </c>
      <c r="G212" s="28">
        <f t="shared" ca="1" si="10"/>
        <v>403842.12000000069</v>
      </c>
      <c r="H212" s="8">
        <f t="shared" ca="1" si="11"/>
        <v>403842.12000000069</v>
      </c>
      <c r="I212" s="8">
        <f t="shared" ca="1" si="12"/>
        <v>1</v>
      </c>
      <c r="J212" s="43" t="str">
        <f t="shared" ca="1" si="13"/>
        <v>2,5</v>
      </c>
      <c r="K212" s="8">
        <f ca="1">_xll.DBRW($E$9,$F$16,$F$19,$F$20,$F$21,$F$22,$E212,$F$13,$F$14,K$39)</f>
        <v>2459497.88</v>
      </c>
      <c r="L212" s="34">
        <f t="shared" ca="1" si="14"/>
        <v>0.16419697828729199</v>
      </c>
    </row>
    <row r="213" spans="2:12" x14ac:dyDescent="0.25">
      <c r="B213" t="str">
        <f ca="1">IF(_xll.TM1RPTELISCONSOLIDATED($E$42,$E213),IF(_xll.TM1RPTELLEV($E$42,$E213)&lt;=3,_xll.TM1RPTELLEV($E$42,$E213),"D"),"N")</f>
        <v>N</v>
      </c>
      <c r="C213">
        <v>1</v>
      </c>
      <c r="D213" s="20"/>
      <c r="E213" s="22" t="s">
        <v>134</v>
      </c>
      <c r="F213" s="8">
        <f ca="1">_xll.DBRW($E$9,$F$16,$F$19,$F$20,$F$21,$F$22,$E213,$F$13,$F$14,F$39)</f>
        <v>408102.48999999953</v>
      </c>
      <c r="G213" s="28">
        <f t="shared" ca="1" si="10"/>
        <v>408102.48999999953</v>
      </c>
      <c r="H213" s="8">
        <f t="shared" ca="1" si="11"/>
        <v>408102.48999999953</v>
      </c>
      <c r="I213" s="8">
        <f t="shared" ca="1" si="12"/>
        <v>1</v>
      </c>
      <c r="J213" s="43" t="str">
        <f t="shared" ca="1" si="13"/>
        <v>6,3</v>
      </c>
      <c r="K213" s="8">
        <f ca="1">_xll.DBRW($E$9,$F$16,$F$19,$F$20,$F$21,$F$22,$E213,$F$13,$F$14,K$39)</f>
        <v>6326226.3399999999</v>
      </c>
      <c r="L213" s="34">
        <f t="shared" ca="1" si="14"/>
        <v>6.4509625180435695E-2</v>
      </c>
    </row>
    <row r="214" spans="2:12" x14ac:dyDescent="0.25">
      <c r="B214" t="str">
        <f ca="1">IF(_xll.TM1RPTELISCONSOLIDATED($E$42,$E214),IF(_xll.TM1RPTELLEV($E$42,$E214)&lt;=3,_xll.TM1RPTELLEV($E$42,$E214),"D"),"N")</f>
        <v>N</v>
      </c>
      <c r="C214">
        <v>1</v>
      </c>
      <c r="D214" s="20"/>
      <c r="E214" s="22" t="s">
        <v>244</v>
      </c>
      <c r="F214" s="8">
        <f ca="1">_xll.DBRW($E$9,$F$16,$F$19,$F$20,$F$21,$F$22,$E214,$F$13,$F$14,F$39)</f>
        <v>413788.14000000071</v>
      </c>
      <c r="G214" s="28">
        <f t="shared" ca="1" si="10"/>
        <v>413788.14000000071</v>
      </c>
      <c r="H214" s="8">
        <f t="shared" ca="1" si="11"/>
        <v>413788.14000000071</v>
      </c>
      <c r="I214" s="8">
        <f t="shared" ca="1" si="12"/>
        <v>1</v>
      </c>
      <c r="J214" s="43" t="str">
        <f t="shared" ca="1" si="13"/>
        <v>5,1</v>
      </c>
      <c r="K214" s="8">
        <f ca="1">_xll.DBRW($E$9,$F$16,$F$19,$F$20,$F$21,$F$22,$E214,$F$13,$F$14,K$39)</f>
        <v>5128814.1100000003</v>
      </c>
      <c r="L214" s="34">
        <f t="shared" ca="1" si="14"/>
        <v>8.0679106539113907E-2</v>
      </c>
    </row>
    <row r="215" spans="2:12" x14ac:dyDescent="0.25">
      <c r="B215" t="str">
        <f ca="1">IF(_xll.TM1RPTELISCONSOLIDATED($E$42,$E215),IF(_xll.TM1RPTELLEV($E$42,$E215)&lt;=3,_xll.TM1RPTELLEV($E$42,$E215),"D"),"N")</f>
        <v>N</v>
      </c>
      <c r="C215">
        <v>1</v>
      </c>
      <c r="D215" s="20"/>
      <c r="E215" s="22" t="s">
        <v>245</v>
      </c>
      <c r="F215" s="8">
        <f ca="1">_xll.DBRW($E$9,$F$16,$F$19,$F$20,$F$21,$F$22,$E215,$F$13,$F$14,F$39)</f>
        <v>419312.69000000018</v>
      </c>
      <c r="G215" s="28">
        <f t="shared" ca="1" si="10"/>
        <v>419312.69000000018</v>
      </c>
      <c r="H215" s="8">
        <f t="shared" ca="1" si="11"/>
        <v>419312.69000000018</v>
      </c>
      <c r="I215" s="8">
        <f t="shared" ca="1" si="12"/>
        <v>1</v>
      </c>
      <c r="J215" s="43" t="str">
        <f t="shared" ca="1" si="13"/>
        <v>7,9</v>
      </c>
      <c r="K215" s="8">
        <f ca="1">_xll.DBRW($E$9,$F$16,$F$19,$F$20,$F$21,$F$22,$E215,$F$13,$F$14,K$39)</f>
        <v>7877788.2400000002</v>
      </c>
      <c r="L215" s="34">
        <f t="shared" ca="1" si="14"/>
        <v>5.3227210128715029E-2</v>
      </c>
    </row>
    <row r="216" spans="2:12" x14ac:dyDescent="0.25">
      <c r="B216" t="str">
        <f ca="1">IF(_xll.TM1RPTELISCONSOLIDATED($E$42,$E216),IF(_xll.TM1RPTELLEV($E$42,$E216)&lt;=3,_xll.TM1RPTELLEV($E$42,$E216),"D"),"N")</f>
        <v>N</v>
      </c>
      <c r="C216">
        <v>1</v>
      </c>
      <c r="D216" s="20"/>
      <c r="E216" s="22" t="s">
        <v>246</v>
      </c>
      <c r="F216" s="8">
        <f ca="1">_xll.DBRW($E$9,$F$16,$F$19,$F$20,$F$21,$F$22,$E216,$F$13,$F$14,F$39)</f>
        <v>427747.03000000061</v>
      </c>
      <c r="G216" s="28">
        <f t="shared" ca="1" si="10"/>
        <v>427747.03000000061</v>
      </c>
      <c r="H216" s="8">
        <f t="shared" ca="1" si="11"/>
        <v>427747.03000000061</v>
      </c>
      <c r="I216" s="8">
        <f t="shared" ca="1" si="12"/>
        <v>1</v>
      </c>
      <c r="J216" s="43" t="str">
        <f t="shared" ca="1" si="13"/>
        <v>3,9</v>
      </c>
      <c r="K216" s="8">
        <f ca="1">_xll.DBRW($E$9,$F$16,$F$19,$F$20,$F$21,$F$22,$E216,$F$13,$F$14,K$39)</f>
        <v>3937189.1700000004</v>
      </c>
      <c r="L216" s="34">
        <f t="shared" ca="1" si="14"/>
        <v>0.10864274271078536</v>
      </c>
    </row>
    <row r="217" spans="2:12" x14ac:dyDescent="0.25">
      <c r="B217" t="str">
        <f ca="1">IF(_xll.TM1RPTELISCONSOLIDATED($E$42,$E217),IF(_xll.TM1RPTELLEV($E$42,$E217)&lt;=3,_xll.TM1RPTELLEV($E$42,$E217),"D"),"N")</f>
        <v>N</v>
      </c>
      <c r="C217">
        <v>1</v>
      </c>
      <c r="D217" s="20"/>
      <c r="E217" s="22" t="s">
        <v>116</v>
      </c>
      <c r="F217" s="8">
        <f ca="1">_xll.DBRW($E$9,$F$16,$F$19,$F$20,$F$21,$F$22,$E217,$F$13,$F$14,F$39)</f>
        <v>428682.77000000165</v>
      </c>
      <c r="G217" s="28">
        <f t="shared" ca="1" si="10"/>
        <v>428682.77000000165</v>
      </c>
      <c r="H217" s="8">
        <f t="shared" ca="1" si="11"/>
        <v>428682.77000000165</v>
      </c>
      <c r="I217" s="8">
        <f t="shared" ca="1" si="12"/>
        <v>1</v>
      </c>
      <c r="J217" s="43" t="str">
        <f t="shared" ca="1" si="13"/>
        <v>13,5</v>
      </c>
      <c r="K217" s="8">
        <f ca="1">_xll.DBRW($E$9,$F$16,$F$19,$F$20,$F$21,$F$22,$E217,$F$13,$F$14,K$39)</f>
        <v>13491171.810000002</v>
      </c>
      <c r="L217" s="34">
        <f t="shared" ca="1" si="14"/>
        <v>3.1775058240845394E-2</v>
      </c>
    </row>
    <row r="218" spans="2:12" x14ac:dyDescent="0.25">
      <c r="B218" t="str">
        <f ca="1">IF(_xll.TM1RPTELISCONSOLIDATED($E$42,$E218),IF(_xll.TM1RPTELLEV($E$42,$E218)&lt;=3,_xll.TM1RPTELLEV($E$42,$E218),"D"),"N")</f>
        <v>N</v>
      </c>
      <c r="C218">
        <v>1</v>
      </c>
      <c r="D218" s="20"/>
      <c r="E218" s="22" t="s">
        <v>247</v>
      </c>
      <c r="F218" s="8">
        <f ca="1">_xll.DBRW($E$9,$F$16,$F$19,$F$20,$F$21,$F$22,$E218,$F$13,$F$14,F$39)</f>
        <v>447500.59999999881</v>
      </c>
      <c r="G218" s="28">
        <f t="shared" ca="1" si="10"/>
        <v>447500.59999999881</v>
      </c>
      <c r="H218" s="8">
        <f t="shared" ca="1" si="11"/>
        <v>447500.59999999881</v>
      </c>
      <c r="I218" s="8">
        <f t="shared" ca="1" si="12"/>
        <v>1</v>
      </c>
      <c r="J218" s="43" t="str">
        <f t="shared" ca="1" si="13"/>
        <v>8,0</v>
      </c>
      <c r="K218" s="8">
        <f ca="1">_xll.DBRW($E$9,$F$16,$F$19,$F$20,$F$21,$F$22,$E218,$F$13,$F$14,K$39)</f>
        <v>8024295.7000000002</v>
      </c>
      <c r="L218" s="34">
        <f t="shared" ca="1" si="14"/>
        <v>5.5768209040451835E-2</v>
      </c>
    </row>
    <row r="219" spans="2:12" x14ac:dyDescent="0.25">
      <c r="B219" t="str">
        <f ca="1">IF(_xll.TM1RPTELISCONSOLIDATED($E$42,$E219),IF(_xll.TM1RPTELLEV($E$42,$E219)&lt;=3,_xll.TM1RPTELLEV($E$42,$E219),"D"),"N")</f>
        <v>N</v>
      </c>
      <c r="C219">
        <v>1</v>
      </c>
      <c r="D219" s="20"/>
      <c r="E219" s="22" t="s">
        <v>145</v>
      </c>
      <c r="F219" s="8">
        <f ca="1">_xll.DBRW($E$9,$F$16,$F$19,$F$20,$F$21,$F$22,$E219,$F$13,$F$14,F$39)</f>
        <v>468273.28000000294</v>
      </c>
      <c r="G219" s="28">
        <f t="shared" ca="1" si="10"/>
        <v>468273.28000000294</v>
      </c>
      <c r="H219" s="8">
        <f t="shared" ca="1" si="11"/>
        <v>468273.28000000294</v>
      </c>
      <c r="I219" s="8">
        <f t="shared" ca="1" si="12"/>
        <v>1</v>
      </c>
      <c r="J219" s="43" t="str">
        <f t="shared" ca="1" si="13"/>
        <v>26,1</v>
      </c>
      <c r="K219" s="8">
        <f ca="1">_xll.DBRW($E$9,$F$16,$F$19,$F$20,$F$21,$F$22,$E219,$F$13,$F$14,K$39)</f>
        <v>26071650.359999999</v>
      </c>
      <c r="L219" s="34">
        <f t="shared" ca="1" si="14"/>
        <v>1.7961014110500786E-2</v>
      </c>
    </row>
    <row r="220" spans="2:12" x14ac:dyDescent="0.25">
      <c r="B220" t="str">
        <f ca="1">IF(_xll.TM1RPTELISCONSOLIDATED($E$42,$E220),IF(_xll.TM1RPTELLEV($E$42,$E220)&lt;=3,_xll.TM1RPTELLEV($E$42,$E220),"D"),"N")</f>
        <v>N</v>
      </c>
      <c r="C220">
        <v>1</v>
      </c>
      <c r="D220" s="20"/>
      <c r="E220" s="22" t="s">
        <v>92</v>
      </c>
      <c r="F220" s="8">
        <f ca="1">_xll.DBRW($E$9,$F$16,$F$19,$F$20,$F$21,$F$22,$E220,$F$13,$F$14,F$39)</f>
        <v>469030.93999999959</v>
      </c>
      <c r="G220" s="28">
        <f t="shared" ca="1" si="10"/>
        <v>469030.93999999959</v>
      </c>
      <c r="H220" s="8">
        <f t="shared" ca="1" si="11"/>
        <v>469030.93999999959</v>
      </c>
      <c r="I220" s="8">
        <f t="shared" ca="1" si="12"/>
        <v>1</v>
      </c>
      <c r="J220" s="43" t="str">
        <f t="shared" ca="1" si="13"/>
        <v>3,2</v>
      </c>
      <c r="K220" s="8">
        <f ca="1">_xll.DBRW($E$9,$F$16,$F$19,$F$20,$F$21,$F$22,$E220,$F$13,$F$14,K$39)</f>
        <v>3197166.82</v>
      </c>
      <c r="L220" s="34">
        <f t="shared" ca="1" si="14"/>
        <v>0.14670205416431778</v>
      </c>
    </row>
    <row r="221" spans="2:12" x14ac:dyDescent="0.25">
      <c r="B221" t="str">
        <f ca="1">IF(_xll.TM1RPTELISCONSOLIDATED($E$42,$E221),IF(_xll.TM1RPTELLEV($E$42,$E221)&lt;=3,_xll.TM1RPTELLEV($E$42,$E221),"D"),"N")</f>
        <v>N</v>
      </c>
      <c r="C221">
        <v>1</v>
      </c>
      <c r="D221" s="20"/>
      <c r="E221" s="22" t="s">
        <v>121</v>
      </c>
      <c r="F221" s="8">
        <f ca="1">_xll.DBRW($E$9,$F$16,$F$19,$F$20,$F$21,$F$22,$E221,$F$13,$F$14,F$39)</f>
        <v>471531.00000000099</v>
      </c>
      <c r="G221" s="28">
        <f t="shared" ca="1" si="10"/>
        <v>471531.00000000099</v>
      </c>
      <c r="H221" s="8">
        <f t="shared" ca="1" si="11"/>
        <v>471531.00000000099</v>
      </c>
      <c r="I221" s="8">
        <f t="shared" ca="1" si="12"/>
        <v>1</v>
      </c>
      <c r="J221" s="43" t="str">
        <f t="shared" ca="1" si="13"/>
        <v>9,3</v>
      </c>
      <c r="K221" s="8">
        <f ca="1">_xll.DBRW($E$9,$F$16,$F$19,$F$20,$F$21,$F$22,$E221,$F$13,$F$14,K$39)</f>
        <v>9329164.4100000001</v>
      </c>
      <c r="L221" s="34">
        <f t="shared" ca="1" si="14"/>
        <v>5.0543754968511802E-2</v>
      </c>
    </row>
    <row r="222" spans="2:12" x14ac:dyDescent="0.25">
      <c r="B222" t="str">
        <f ca="1">IF(_xll.TM1RPTELISCONSOLIDATED($E$42,$E222),IF(_xll.TM1RPTELLEV($E$42,$E222)&lt;=3,_xll.TM1RPTELLEV($E$42,$E222),"D"),"N")</f>
        <v>N</v>
      </c>
      <c r="C222">
        <v>1</v>
      </c>
      <c r="D222" s="20"/>
      <c r="E222" s="22" t="s">
        <v>248</v>
      </c>
      <c r="F222" s="8">
        <f ca="1">_xll.DBRW($E$9,$F$16,$F$19,$F$20,$F$21,$F$22,$E222,$F$13,$F$14,F$39)</f>
        <v>479428.19999999797</v>
      </c>
      <c r="G222" s="28">
        <f t="shared" ca="1" si="10"/>
        <v>479428.19999999797</v>
      </c>
      <c r="H222" s="8">
        <f t="shared" ca="1" si="11"/>
        <v>479428.19999999797</v>
      </c>
      <c r="I222" s="8">
        <f t="shared" ca="1" si="12"/>
        <v>1</v>
      </c>
      <c r="J222" s="43" t="str">
        <f t="shared" ca="1" si="13"/>
        <v>5,2</v>
      </c>
      <c r="K222" s="8">
        <f ca="1">_xll.DBRW($E$9,$F$16,$F$19,$F$20,$F$21,$F$22,$E222,$F$13,$F$14,K$39)</f>
        <v>5185038.2699999986</v>
      </c>
      <c r="L222" s="34">
        <f t="shared" ca="1" si="14"/>
        <v>9.2463772692655183E-2</v>
      </c>
    </row>
    <row r="223" spans="2:12" x14ac:dyDescent="0.25">
      <c r="B223" t="str">
        <f ca="1">IF(_xll.TM1RPTELISCONSOLIDATED($E$42,$E223),IF(_xll.TM1RPTELLEV($E$42,$E223)&lt;=3,_xll.TM1RPTELLEV($E$42,$E223),"D"),"N")</f>
        <v>N</v>
      </c>
      <c r="C223">
        <v>1</v>
      </c>
      <c r="D223" s="20"/>
      <c r="E223" s="22" t="s">
        <v>23</v>
      </c>
      <c r="F223" s="8">
        <f ca="1">_xll.DBRW($E$9,$F$16,$F$19,$F$20,$F$21,$F$22,$E223,$F$13,$F$14,F$39)</f>
        <v>484144.34000000136</v>
      </c>
      <c r="G223" s="28">
        <f t="shared" ca="1" si="10"/>
        <v>484144.34000000136</v>
      </c>
      <c r="H223" s="8">
        <f t="shared" ca="1" si="11"/>
        <v>484144.34000000136</v>
      </c>
      <c r="I223" s="8">
        <f t="shared" ca="1" si="12"/>
        <v>1</v>
      </c>
      <c r="J223" s="43" t="str">
        <f t="shared" ca="1" si="13"/>
        <v>4,7</v>
      </c>
      <c r="K223" s="8">
        <f ca="1">_xll.DBRW($E$9,$F$16,$F$19,$F$20,$F$21,$F$22,$E223,$F$13,$F$14,K$39)</f>
        <v>4705925.7699999996</v>
      </c>
      <c r="L223" s="34">
        <f t="shared" ca="1" si="14"/>
        <v>0.10287972306881531</v>
      </c>
    </row>
    <row r="224" spans="2:12" x14ac:dyDescent="0.25">
      <c r="B224" t="str">
        <f ca="1">IF(_xll.TM1RPTELISCONSOLIDATED($E$42,$E224),IF(_xll.TM1RPTELLEV($E$42,$E224)&lt;=3,_xll.TM1RPTELLEV($E$42,$E224),"D"),"N")</f>
        <v>N</v>
      </c>
      <c r="C224">
        <v>1</v>
      </c>
      <c r="D224" s="20"/>
      <c r="E224" s="22" t="s">
        <v>123</v>
      </c>
      <c r="F224" s="8">
        <f ca="1">_xll.DBRW($E$9,$F$16,$F$19,$F$20,$F$21,$F$22,$E224,$F$13,$F$14,F$39)</f>
        <v>484977.75000000047</v>
      </c>
      <c r="G224" s="28">
        <f t="shared" ca="1" si="10"/>
        <v>484977.75000000047</v>
      </c>
      <c r="H224" s="8">
        <f t="shared" ca="1" si="11"/>
        <v>484977.75000000047</v>
      </c>
      <c r="I224" s="8">
        <f t="shared" ca="1" si="12"/>
        <v>1</v>
      </c>
      <c r="J224" s="43" t="str">
        <f t="shared" ca="1" si="13"/>
        <v>7,4</v>
      </c>
      <c r="K224" s="8">
        <f ca="1">_xll.DBRW($E$9,$F$16,$F$19,$F$20,$F$21,$F$22,$E224,$F$13,$F$14,K$39)</f>
        <v>7428332.2100000009</v>
      </c>
      <c r="L224" s="34">
        <f t="shared" ca="1" si="14"/>
        <v>6.5287568769087187E-2</v>
      </c>
    </row>
    <row r="225" spans="2:12" x14ac:dyDescent="0.25">
      <c r="B225" t="str">
        <f ca="1">IF(_xll.TM1RPTELISCONSOLIDATED($E$42,$E225),IF(_xll.TM1RPTELLEV($E$42,$E225)&lt;=3,_xll.TM1RPTELLEV($E$42,$E225),"D"),"N")</f>
        <v>N</v>
      </c>
      <c r="C225">
        <v>1</v>
      </c>
      <c r="D225" s="20"/>
      <c r="E225" s="22" t="s">
        <v>249</v>
      </c>
      <c r="F225" s="8">
        <f ca="1">_xll.DBRW($E$9,$F$16,$F$19,$F$20,$F$21,$F$22,$E225,$F$13,$F$14,F$39)</f>
        <v>486993.93999999994</v>
      </c>
      <c r="G225" s="28">
        <f t="shared" ca="1" si="10"/>
        <v>486993.93999999994</v>
      </c>
      <c r="H225" s="8">
        <f t="shared" ca="1" si="11"/>
        <v>486993.93999999994</v>
      </c>
      <c r="I225" s="8">
        <f t="shared" ca="1" si="12"/>
        <v>1</v>
      </c>
      <c r="J225" s="43" t="str">
        <f t="shared" ca="1" si="13"/>
        <v>1,8</v>
      </c>
      <c r="K225" s="8">
        <f ca="1">_xll.DBRW($E$9,$F$16,$F$19,$F$20,$F$21,$F$22,$E225,$F$13,$F$14,K$39)</f>
        <v>1838445.2</v>
      </c>
      <c r="L225" s="34">
        <f t="shared" ca="1" si="14"/>
        <v>0.26489445538001349</v>
      </c>
    </row>
    <row r="226" spans="2:12" x14ac:dyDescent="0.25">
      <c r="B226" t="str">
        <f ca="1">IF(_xll.TM1RPTELISCONSOLIDATED($E$42,$E226),IF(_xll.TM1RPTELLEV($E$42,$E226)&lt;=3,_xll.TM1RPTELLEV($E$42,$E226),"D"),"N")</f>
        <v>N</v>
      </c>
      <c r="C226">
        <v>1</v>
      </c>
      <c r="D226" s="20"/>
      <c r="E226" s="22" t="s">
        <v>158</v>
      </c>
      <c r="F226" s="8">
        <f ca="1">_xll.DBRW($E$9,$F$16,$F$19,$F$20,$F$21,$F$22,$E226,$F$13,$F$14,F$39)</f>
        <v>494432.570000001</v>
      </c>
      <c r="G226" s="28">
        <f t="shared" ca="1" si="10"/>
        <v>494432.570000001</v>
      </c>
      <c r="H226" s="8">
        <f t="shared" ca="1" si="11"/>
        <v>494432.570000001</v>
      </c>
      <c r="I226" s="8">
        <f t="shared" ca="1" si="12"/>
        <v>1</v>
      </c>
      <c r="J226" s="43" t="str">
        <f t="shared" ca="1" si="13"/>
        <v>32,5</v>
      </c>
      <c r="K226" s="8">
        <f ca="1">_xll.DBRW($E$9,$F$16,$F$19,$F$20,$F$21,$F$22,$E226,$F$13,$F$14,K$39)</f>
        <v>32462225.800000004</v>
      </c>
      <c r="L226" s="34">
        <f t="shared" ca="1" si="14"/>
        <v>1.5231012594336674E-2</v>
      </c>
    </row>
    <row r="227" spans="2:12" x14ac:dyDescent="0.25">
      <c r="B227" t="str">
        <f ca="1">IF(_xll.TM1RPTELISCONSOLIDATED($E$42,$E227),IF(_xll.TM1RPTELLEV($E$42,$E227)&lt;=3,_xll.TM1RPTELLEV($E$42,$E227),"D"),"N")</f>
        <v>N</v>
      </c>
      <c r="C227">
        <v>1</v>
      </c>
      <c r="D227" s="20"/>
      <c r="E227" s="22" t="s">
        <v>103</v>
      </c>
      <c r="F227" s="8">
        <f ca="1">_xll.DBRW($E$9,$F$16,$F$19,$F$20,$F$21,$F$22,$E227,$F$13,$F$14,F$39)</f>
        <v>503117.67999999772</v>
      </c>
      <c r="G227" s="28">
        <f t="shared" ca="1" si="10"/>
        <v>503117.67999999772</v>
      </c>
      <c r="H227" s="8">
        <f t="shared" ca="1" si="11"/>
        <v>503117.67999999772</v>
      </c>
      <c r="I227" s="8">
        <f t="shared" ca="1" si="12"/>
        <v>1</v>
      </c>
      <c r="J227" s="43" t="str">
        <f t="shared" ca="1" si="13"/>
        <v>10,5</v>
      </c>
      <c r="K227" s="8">
        <f ca="1">_xll.DBRW($E$9,$F$16,$F$19,$F$20,$F$21,$F$22,$E227,$F$13,$F$14,K$39)</f>
        <v>10484538.129999997</v>
      </c>
      <c r="L227" s="34">
        <f t="shared" ca="1" si="14"/>
        <v>4.7986632673918068E-2</v>
      </c>
    </row>
    <row r="228" spans="2:12" x14ac:dyDescent="0.25">
      <c r="B228" t="str">
        <f ca="1">IF(_xll.TM1RPTELISCONSOLIDATED($E$42,$E228),IF(_xll.TM1RPTELLEV($E$42,$E228)&lt;=3,_xll.TM1RPTELLEV($E$42,$E228),"D"),"N")</f>
        <v>N</v>
      </c>
      <c r="C228">
        <v>1</v>
      </c>
      <c r="D228" s="20"/>
      <c r="E228" s="22" t="s">
        <v>98</v>
      </c>
      <c r="F228" s="8">
        <f ca="1">_xll.DBRW($E$9,$F$16,$F$19,$F$20,$F$21,$F$22,$E228,$F$13,$F$14,F$39)</f>
        <v>517731.60999999661</v>
      </c>
      <c r="G228" s="28">
        <f t="shared" ca="1" si="10"/>
        <v>517731.60999999661</v>
      </c>
      <c r="H228" s="8">
        <f t="shared" ca="1" si="11"/>
        <v>517731.60999999661</v>
      </c>
      <c r="I228" s="8">
        <f t="shared" ca="1" si="12"/>
        <v>1</v>
      </c>
      <c r="J228" s="43" t="str">
        <f t="shared" ca="1" si="13"/>
        <v>10,7</v>
      </c>
      <c r="K228" s="8">
        <f ca="1">_xll.DBRW($E$9,$F$16,$F$19,$F$20,$F$21,$F$22,$E228,$F$13,$F$14,K$39)</f>
        <v>10684719.769999998</v>
      </c>
      <c r="L228" s="34">
        <f t="shared" ca="1" si="14"/>
        <v>4.8455328838258968E-2</v>
      </c>
    </row>
    <row r="229" spans="2:12" x14ac:dyDescent="0.25">
      <c r="B229" t="str">
        <f ca="1">IF(_xll.TM1RPTELISCONSOLIDATED($E$42,$E229),IF(_xll.TM1RPTELLEV($E$42,$E229)&lt;=3,_xll.TM1RPTELLEV($E$42,$E229),"D"),"N")</f>
        <v>N</v>
      </c>
      <c r="C229">
        <v>1</v>
      </c>
      <c r="D229" s="20"/>
      <c r="E229" s="22" t="s">
        <v>108</v>
      </c>
      <c r="F229" s="8">
        <f ca="1">_xll.DBRW($E$9,$F$16,$F$19,$F$20,$F$21,$F$22,$E229,$F$13,$F$14,F$39)</f>
        <v>533571.1800000004</v>
      </c>
      <c r="G229" s="28">
        <f t="shared" ca="1" si="10"/>
        <v>533571.1800000004</v>
      </c>
      <c r="H229" s="8">
        <f t="shared" ca="1" si="11"/>
        <v>533571.1800000004</v>
      </c>
      <c r="I229" s="8">
        <f t="shared" ca="1" si="12"/>
        <v>1</v>
      </c>
      <c r="J229" s="43" t="str">
        <f t="shared" ca="1" si="13"/>
        <v>8,4</v>
      </c>
      <c r="K229" s="8">
        <f ca="1">_xll.DBRW($E$9,$F$16,$F$19,$F$20,$F$21,$F$22,$E229,$F$13,$F$14,K$39)</f>
        <v>8441345.8499999996</v>
      </c>
      <c r="L229" s="34">
        <f t="shared" ca="1" si="14"/>
        <v>6.3209254718547089E-2</v>
      </c>
    </row>
    <row r="230" spans="2:12" x14ac:dyDescent="0.25">
      <c r="B230" t="str">
        <f ca="1">IF(_xll.TM1RPTELISCONSOLIDATED($E$42,$E230),IF(_xll.TM1RPTELLEV($E$42,$E230)&lt;=3,_xll.TM1RPTELLEV($E$42,$E230),"D"),"N")</f>
        <v>N</v>
      </c>
      <c r="C230">
        <v>1</v>
      </c>
      <c r="D230" s="20"/>
      <c r="E230" s="22" t="s">
        <v>250</v>
      </c>
      <c r="F230" s="8">
        <f ca="1">_xll.DBRW($E$9,$F$16,$F$19,$F$20,$F$21,$F$22,$E230,$F$13,$F$14,F$39)</f>
        <v>544314.64999999967</v>
      </c>
      <c r="G230" s="28">
        <f t="shared" ca="1" si="10"/>
        <v>544314.64999999967</v>
      </c>
      <c r="H230" s="8">
        <f t="shared" ca="1" si="11"/>
        <v>544314.64999999967</v>
      </c>
      <c r="I230" s="8">
        <f t="shared" ca="1" si="12"/>
        <v>1</v>
      </c>
      <c r="J230" s="43" t="str">
        <f t="shared" ca="1" si="13"/>
        <v>3,1</v>
      </c>
      <c r="K230" s="8">
        <f ca="1">_xll.DBRW($E$9,$F$16,$F$19,$F$20,$F$21,$F$22,$E230,$F$13,$F$14,K$39)</f>
        <v>3106790.8799999994</v>
      </c>
      <c r="L230" s="34">
        <f t="shared" ca="1" si="14"/>
        <v>0.17520157327100166</v>
      </c>
    </row>
    <row r="231" spans="2:12" x14ac:dyDescent="0.25">
      <c r="B231" t="str">
        <f ca="1">IF(_xll.TM1RPTELISCONSOLIDATED($E$42,$E231),IF(_xll.TM1RPTELLEV($E$42,$E231)&lt;=3,_xll.TM1RPTELLEV($E$42,$E231),"D"),"N")</f>
        <v>N</v>
      </c>
      <c r="C231">
        <v>1</v>
      </c>
      <c r="D231" s="20"/>
      <c r="E231" s="22" t="s">
        <v>251</v>
      </c>
      <c r="F231" s="8">
        <f ca="1">_xll.DBRW($E$9,$F$16,$F$19,$F$20,$F$21,$F$22,$E231,$F$13,$F$14,F$39)</f>
        <v>549659.67999999889</v>
      </c>
      <c r="G231" s="28">
        <f t="shared" ca="1" si="10"/>
        <v>549659.67999999889</v>
      </c>
      <c r="H231" s="8">
        <f t="shared" ca="1" si="11"/>
        <v>549659.67999999889</v>
      </c>
      <c r="I231" s="8">
        <f t="shared" ca="1" si="12"/>
        <v>1</v>
      </c>
      <c r="J231" s="43" t="str">
        <f t="shared" ca="1" si="13"/>
        <v>8,1</v>
      </c>
      <c r="K231" s="8">
        <f ca="1">_xll.DBRW($E$9,$F$16,$F$19,$F$20,$F$21,$F$22,$E231,$F$13,$F$14,K$39)</f>
        <v>8084416.7800000003</v>
      </c>
      <c r="L231" s="34">
        <f t="shared" ca="1" si="14"/>
        <v>6.7990022651949283E-2</v>
      </c>
    </row>
    <row r="232" spans="2:12" x14ac:dyDescent="0.25">
      <c r="B232" t="str">
        <f ca="1">IF(_xll.TM1RPTELISCONSOLIDATED($E$42,$E232),IF(_xll.TM1RPTELLEV($E$42,$E232)&lt;=3,_xll.TM1RPTELLEV($E$42,$E232),"D"),"N")</f>
        <v>N</v>
      </c>
      <c r="C232">
        <v>1</v>
      </c>
      <c r="D232" s="20"/>
      <c r="E232" s="22" t="s">
        <v>99</v>
      </c>
      <c r="F232" s="8">
        <f ca="1">_xll.DBRW($E$9,$F$16,$F$19,$F$20,$F$21,$F$22,$E232,$F$13,$F$14,F$39)</f>
        <v>549722.57999999868</v>
      </c>
      <c r="G232" s="28">
        <f t="shared" ca="1" si="10"/>
        <v>549722.57999999868</v>
      </c>
      <c r="H232" s="8">
        <f t="shared" ca="1" si="11"/>
        <v>549722.57999999868</v>
      </c>
      <c r="I232" s="8">
        <f t="shared" ca="1" si="12"/>
        <v>1</v>
      </c>
      <c r="J232" s="43" t="str">
        <f t="shared" ca="1" si="13"/>
        <v>9,8</v>
      </c>
      <c r="K232" s="8">
        <f ca="1">_xll.DBRW($E$9,$F$16,$F$19,$F$20,$F$21,$F$22,$E232,$F$13,$F$14,K$39)</f>
        <v>9834532.4800000004</v>
      </c>
      <c r="L232" s="34">
        <f t="shared" ca="1" si="14"/>
        <v>5.5897174687047115E-2</v>
      </c>
    </row>
    <row r="233" spans="2:12" x14ac:dyDescent="0.25">
      <c r="B233" t="str">
        <f ca="1">IF(_xll.TM1RPTELISCONSOLIDATED($E$42,$E233),IF(_xll.TM1RPTELLEV($E$42,$E233)&lt;=3,_xll.TM1RPTELLEV($E$42,$E233),"D"),"N")</f>
        <v>N</v>
      </c>
      <c r="C233">
        <v>1</v>
      </c>
      <c r="D233" s="20"/>
      <c r="E233" s="22" t="s">
        <v>114</v>
      </c>
      <c r="F233" s="8">
        <f ca="1">_xll.DBRW($E$9,$F$16,$F$19,$F$20,$F$21,$F$22,$E233,$F$13,$F$14,F$39)</f>
        <v>559166.8699999979</v>
      </c>
      <c r="G233" s="28">
        <f t="shared" ca="1" si="10"/>
        <v>559166.8699999979</v>
      </c>
      <c r="H233" s="8">
        <f t="shared" ca="1" si="11"/>
        <v>559166.8699999979</v>
      </c>
      <c r="I233" s="8">
        <f t="shared" ca="1" si="12"/>
        <v>1</v>
      </c>
      <c r="J233" s="43" t="str">
        <f t="shared" ca="1" si="13"/>
        <v>11,2</v>
      </c>
      <c r="K233" s="8">
        <f ca="1">_xll.DBRW($E$9,$F$16,$F$19,$F$20,$F$21,$F$22,$E233,$F$13,$F$14,K$39)</f>
        <v>11163643.449999999</v>
      </c>
      <c r="L233" s="34">
        <f t="shared" ca="1" si="14"/>
        <v>5.0088205746126539E-2</v>
      </c>
    </row>
    <row r="234" spans="2:12" x14ac:dyDescent="0.25">
      <c r="B234" t="str">
        <f ca="1">IF(_xll.TM1RPTELISCONSOLIDATED($E$42,$E234),IF(_xll.TM1RPTELLEV($E$42,$E234)&lt;=3,_xll.TM1RPTELLEV($E$42,$E234),"D"),"N")</f>
        <v>N</v>
      </c>
      <c r="C234">
        <v>1</v>
      </c>
      <c r="D234" s="20"/>
      <c r="E234" s="22" t="s">
        <v>112</v>
      </c>
      <c r="F234" s="8">
        <f ca="1">_xll.DBRW($E$9,$F$16,$F$19,$F$20,$F$21,$F$22,$E234,$F$13,$F$14,F$39)</f>
        <v>561378.76000000315</v>
      </c>
      <c r="G234" s="28">
        <f t="shared" ca="1" si="10"/>
        <v>561378.76000000315</v>
      </c>
      <c r="H234" s="8">
        <f t="shared" ca="1" si="11"/>
        <v>561378.76000000315</v>
      </c>
      <c r="I234" s="8">
        <f t="shared" ca="1" si="12"/>
        <v>1</v>
      </c>
      <c r="J234" s="43" t="str">
        <f t="shared" ca="1" si="13"/>
        <v>8,1</v>
      </c>
      <c r="K234" s="8">
        <f ca="1">_xll.DBRW($E$9,$F$16,$F$19,$F$20,$F$21,$F$22,$E234,$F$13,$F$14,K$39)</f>
        <v>8068523.4300000016</v>
      </c>
      <c r="L234" s="34">
        <f t="shared" ca="1" si="14"/>
        <v>6.9576393359993383E-2</v>
      </c>
    </row>
    <row r="235" spans="2:12" x14ac:dyDescent="0.25">
      <c r="B235" t="str">
        <f ca="1">IF(_xll.TM1RPTELISCONSOLIDATED($E$42,$E235),IF(_xll.TM1RPTELLEV($E$42,$E235)&lt;=3,_xll.TM1RPTELLEV($E$42,$E235),"D"),"N")</f>
        <v>N</v>
      </c>
      <c r="C235">
        <v>1</v>
      </c>
      <c r="D235" s="20"/>
      <c r="E235" s="22" t="s">
        <v>111</v>
      </c>
      <c r="F235" s="8">
        <f ca="1">_xll.DBRW($E$9,$F$16,$F$19,$F$20,$F$21,$F$22,$E235,$F$13,$F$14,F$39)</f>
        <v>569841.90000000177</v>
      </c>
      <c r="G235" s="28">
        <f t="shared" ref="G235:G298" ca="1" si="15">F235</f>
        <v>569841.90000000177</v>
      </c>
      <c r="H235" s="8">
        <f t="shared" ref="H235:H298" ca="1" si="16">F235</f>
        <v>569841.90000000177</v>
      </c>
      <c r="I235" s="8">
        <f t="shared" ref="I235:I298" ca="1" si="17">IF(H235&lt;0,-1,1)</f>
        <v>1</v>
      </c>
      <c r="J235" s="43" t="str">
        <f t="shared" ref="J235:J298" ca="1" si="18">FIXED(K235/1000000,1,)</f>
        <v>13,5</v>
      </c>
      <c r="K235" s="8">
        <f ca="1">_xll.DBRW($E$9,$F$16,$F$19,$F$20,$F$21,$F$22,$E235,$F$13,$F$14,K$39)</f>
        <v>13459204.319999998</v>
      </c>
      <c r="L235" s="34">
        <f t="shared" ref="L235:L298" ca="1" si="19">IF($K235,F235/$K235,0)</f>
        <v>4.2338453778670466E-2</v>
      </c>
    </row>
    <row r="236" spans="2:12" x14ac:dyDescent="0.25">
      <c r="B236" t="str">
        <f ca="1">IF(_xll.TM1RPTELISCONSOLIDATED($E$42,$E236),IF(_xll.TM1RPTELLEV($E$42,$E236)&lt;=3,_xll.TM1RPTELLEV($E$42,$E236),"D"),"N")</f>
        <v>N</v>
      </c>
      <c r="C236">
        <v>1</v>
      </c>
      <c r="D236" s="20"/>
      <c r="E236" s="22" t="s">
        <v>105</v>
      </c>
      <c r="F236" s="8">
        <f ca="1">_xll.DBRW($E$9,$F$16,$F$19,$F$20,$F$21,$F$22,$E236,$F$13,$F$14,F$39)</f>
        <v>570299.42000000051</v>
      </c>
      <c r="G236" s="28">
        <f t="shared" ca="1" si="15"/>
        <v>570299.42000000051</v>
      </c>
      <c r="H236" s="8">
        <f t="shared" ca="1" si="16"/>
        <v>570299.42000000051</v>
      </c>
      <c r="I236" s="8">
        <f t="shared" ca="1" si="17"/>
        <v>1</v>
      </c>
      <c r="J236" s="43" t="str">
        <f t="shared" ca="1" si="18"/>
        <v>7,4</v>
      </c>
      <c r="K236" s="8">
        <f ca="1">_xll.DBRW($E$9,$F$16,$F$19,$F$20,$F$21,$F$22,$E236,$F$13,$F$14,K$39)</f>
        <v>7405232.21</v>
      </c>
      <c r="L236" s="34">
        <f t="shared" ca="1" si="19"/>
        <v>7.7013036705300089E-2</v>
      </c>
    </row>
    <row r="237" spans="2:12" x14ac:dyDescent="0.25">
      <c r="B237" t="str">
        <f ca="1">IF(_xll.TM1RPTELISCONSOLIDATED($E$42,$E237),IF(_xll.TM1RPTELLEV($E$42,$E237)&lt;=3,_xll.TM1RPTELLEV($E$42,$E237),"D"),"N")</f>
        <v>N</v>
      </c>
      <c r="C237">
        <v>1</v>
      </c>
      <c r="D237" s="20"/>
      <c r="E237" s="22" t="s">
        <v>252</v>
      </c>
      <c r="F237" s="8">
        <f ca="1">_xll.DBRW($E$9,$F$16,$F$19,$F$20,$F$21,$F$22,$E237,$F$13,$F$14,F$39)</f>
        <v>571494.1699999983</v>
      </c>
      <c r="G237" s="28">
        <f t="shared" ca="1" si="15"/>
        <v>571494.1699999983</v>
      </c>
      <c r="H237" s="8">
        <f t="shared" ca="1" si="16"/>
        <v>571494.1699999983</v>
      </c>
      <c r="I237" s="8">
        <f t="shared" ca="1" si="17"/>
        <v>1</v>
      </c>
      <c r="J237" s="43" t="str">
        <f t="shared" ca="1" si="18"/>
        <v>7,4</v>
      </c>
      <c r="K237" s="8">
        <f ca="1">_xll.DBRW($E$9,$F$16,$F$19,$F$20,$F$21,$F$22,$E237,$F$13,$F$14,K$39)</f>
        <v>7407191.1699999999</v>
      </c>
      <c r="L237" s="34">
        <f t="shared" ca="1" si="19"/>
        <v>7.715396523241054E-2</v>
      </c>
    </row>
    <row r="238" spans="2:12" x14ac:dyDescent="0.25">
      <c r="B238" t="str">
        <f ca="1">IF(_xll.TM1RPTELISCONSOLIDATED($E$42,$E238),IF(_xll.TM1RPTELLEV($E$42,$E238)&lt;=3,_xll.TM1RPTELLEV($E$42,$E238),"D"),"N")</f>
        <v>N</v>
      </c>
      <c r="C238">
        <v>1</v>
      </c>
      <c r="D238" s="20"/>
      <c r="E238" s="22" t="s">
        <v>253</v>
      </c>
      <c r="F238" s="8">
        <f ca="1">_xll.DBRW($E$9,$F$16,$F$19,$F$20,$F$21,$F$22,$E238,$F$13,$F$14,F$39)</f>
        <v>574187.300000004</v>
      </c>
      <c r="G238" s="28">
        <f t="shared" ca="1" si="15"/>
        <v>574187.300000004</v>
      </c>
      <c r="H238" s="8">
        <f t="shared" ca="1" si="16"/>
        <v>574187.300000004</v>
      </c>
      <c r="I238" s="8">
        <f t="shared" ca="1" si="17"/>
        <v>1</v>
      </c>
      <c r="J238" s="43" t="str">
        <f t="shared" ca="1" si="18"/>
        <v>21,3</v>
      </c>
      <c r="K238" s="8">
        <f ca="1">_xll.DBRW($E$9,$F$16,$F$19,$F$20,$F$21,$F$22,$E238,$F$13,$F$14,K$39)</f>
        <v>21331776.200000003</v>
      </c>
      <c r="L238" s="34">
        <f t="shared" ca="1" si="19"/>
        <v>2.6916994375742791E-2</v>
      </c>
    </row>
    <row r="239" spans="2:12" x14ac:dyDescent="0.25">
      <c r="B239" t="str">
        <f ca="1">IF(_xll.TM1RPTELISCONSOLIDATED($E$42,$E239),IF(_xll.TM1RPTELLEV($E$42,$E239)&lt;=3,_xll.TM1RPTELLEV($E$42,$E239),"D"),"N")</f>
        <v>N</v>
      </c>
      <c r="C239">
        <v>1</v>
      </c>
      <c r="D239" s="20"/>
      <c r="E239" s="22" t="s">
        <v>100</v>
      </c>
      <c r="F239" s="8">
        <f ca="1">_xll.DBRW($E$9,$F$16,$F$19,$F$20,$F$21,$F$22,$E239,$F$13,$F$14,F$39)</f>
        <v>578864.95999999892</v>
      </c>
      <c r="G239" s="28">
        <f t="shared" ca="1" si="15"/>
        <v>578864.95999999892</v>
      </c>
      <c r="H239" s="8">
        <f t="shared" ca="1" si="16"/>
        <v>578864.95999999892</v>
      </c>
      <c r="I239" s="8">
        <f t="shared" ca="1" si="17"/>
        <v>1</v>
      </c>
      <c r="J239" s="43" t="str">
        <f t="shared" ca="1" si="18"/>
        <v>11,7</v>
      </c>
      <c r="K239" s="8">
        <f ca="1">_xll.DBRW($E$9,$F$16,$F$19,$F$20,$F$21,$F$22,$E239,$F$13,$F$14,K$39)</f>
        <v>11654900.83</v>
      </c>
      <c r="L239" s="34">
        <f t="shared" ca="1" si="19"/>
        <v>4.9667085841690418E-2</v>
      </c>
    </row>
    <row r="240" spans="2:12" x14ac:dyDescent="0.25">
      <c r="B240" t="str">
        <f ca="1">IF(_xll.TM1RPTELISCONSOLIDATED($E$42,$E240),IF(_xll.TM1RPTELLEV($E$42,$E240)&lt;=3,_xll.TM1RPTELLEV($E$42,$E240),"D"),"N")</f>
        <v>N</v>
      </c>
      <c r="C240">
        <v>1</v>
      </c>
      <c r="D240" s="20"/>
      <c r="E240" s="22" t="s">
        <v>106</v>
      </c>
      <c r="F240" s="8">
        <f ca="1">_xll.DBRW($E$9,$F$16,$F$19,$F$20,$F$21,$F$22,$E240,$F$13,$F$14,F$39)</f>
        <v>583414.55000000016</v>
      </c>
      <c r="G240" s="28">
        <f t="shared" ca="1" si="15"/>
        <v>583414.55000000016</v>
      </c>
      <c r="H240" s="8">
        <f t="shared" ca="1" si="16"/>
        <v>583414.55000000016</v>
      </c>
      <c r="I240" s="8">
        <f t="shared" ca="1" si="17"/>
        <v>1</v>
      </c>
      <c r="J240" s="43" t="str">
        <f t="shared" ca="1" si="18"/>
        <v>3,8</v>
      </c>
      <c r="K240" s="8">
        <f ca="1">_xll.DBRW($E$9,$F$16,$F$19,$F$20,$F$21,$F$22,$E240,$F$13,$F$14,K$39)</f>
        <v>3813357.95</v>
      </c>
      <c r="L240" s="34">
        <f t="shared" ca="1" si="19"/>
        <v>0.152992338419214</v>
      </c>
    </row>
    <row r="241" spans="2:12" x14ac:dyDescent="0.25">
      <c r="B241" t="str">
        <f ca="1">IF(_xll.TM1RPTELISCONSOLIDATED($E$42,$E241),IF(_xll.TM1RPTELLEV($E$42,$E241)&lt;=3,_xll.TM1RPTELLEV($E$42,$E241),"D"),"N")</f>
        <v>N</v>
      </c>
      <c r="C241">
        <v>1</v>
      </c>
      <c r="D241" s="20"/>
      <c r="E241" s="22" t="s">
        <v>109</v>
      </c>
      <c r="F241" s="8">
        <f ca="1">_xll.DBRW($E$9,$F$16,$F$19,$F$20,$F$21,$F$22,$E241,$F$13,$F$14,F$39)</f>
        <v>590947.16999999876</v>
      </c>
      <c r="G241" s="28">
        <f t="shared" ca="1" si="15"/>
        <v>590947.16999999876</v>
      </c>
      <c r="H241" s="8">
        <f t="shared" ca="1" si="16"/>
        <v>590947.16999999876</v>
      </c>
      <c r="I241" s="8">
        <f t="shared" ca="1" si="17"/>
        <v>1</v>
      </c>
      <c r="J241" s="43" t="str">
        <f t="shared" ca="1" si="18"/>
        <v>14,1</v>
      </c>
      <c r="K241" s="8">
        <f ca="1">_xll.DBRW($E$9,$F$16,$F$19,$F$20,$F$21,$F$22,$E241,$F$13,$F$14,K$39)</f>
        <v>14117883.42</v>
      </c>
      <c r="L241" s="34">
        <f t="shared" ca="1" si="19"/>
        <v>4.1858057076943816E-2</v>
      </c>
    </row>
    <row r="242" spans="2:12" x14ac:dyDescent="0.25">
      <c r="B242" t="str">
        <f ca="1">IF(_xll.TM1RPTELISCONSOLIDATED($E$42,$E242),IF(_xll.TM1RPTELLEV($E$42,$E242)&lt;=3,_xll.TM1RPTELLEV($E$42,$E242),"D"),"N")</f>
        <v>N</v>
      </c>
      <c r="C242">
        <v>1</v>
      </c>
      <c r="D242" s="20"/>
      <c r="E242" s="22" t="s">
        <v>90</v>
      </c>
      <c r="F242" s="8">
        <f ca="1">_xll.DBRW($E$9,$F$16,$F$19,$F$20,$F$21,$F$22,$E242,$F$13,$F$14,F$39)</f>
        <v>593286.58999999857</v>
      </c>
      <c r="G242" s="28">
        <f t="shared" ca="1" si="15"/>
        <v>593286.58999999857</v>
      </c>
      <c r="H242" s="8">
        <f t="shared" ca="1" si="16"/>
        <v>593286.58999999857</v>
      </c>
      <c r="I242" s="8">
        <f t="shared" ca="1" si="17"/>
        <v>1</v>
      </c>
      <c r="J242" s="43" t="str">
        <f t="shared" ca="1" si="18"/>
        <v>11,0</v>
      </c>
      <c r="K242" s="8">
        <f ca="1">_xll.DBRW($E$9,$F$16,$F$19,$F$20,$F$21,$F$22,$E242,$F$13,$F$14,K$39)</f>
        <v>10957341.349999998</v>
      </c>
      <c r="L242" s="34">
        <f t="shared" ca="1" si="19"/>
        <v>5.4145122530110709E-2</v>
      </c>
    </row>
    <row r="243" spans="2:12" x14ac:dyDescent="0.25">
      <c r="B243" t="str">
        <f ca="1">IF(_xll.TM1RPTELISCONSOLIDATED($E$42,$E243),IF(_xll.TM1RPTELLEV($E$42,$E243)&lt;=3,_xll.TM1RPTELLEV($E$42,$E243),"D"),"N")</f>
        <v>N</v>
      </c>
      <c r="C243">
        <v>1</v>
      </c>
      <c r="D243" s="20"/>
      <c r="E243" s="22" t="s">
        <v>254</v>
      </c>
      <c r="F243" s="8">
        <f ca="1">_xll.DBRW($E$9,$F$16,$F$19,$F$20,$F$21,$F$22,$E243,$F$13,$F$14,F$39)</f>
        <v>598333.15999999864</v>
      </c>
      <c r="G243" s="28">
        <f t="shared" ca="1" si="15"/>
        <v>598333.15999999864</v>
      </c>
      <c r="H243" s="8">
        <f t="shared" ca="1" si="16"/>
        <v>598333.15999999864</v>
      </c>
      <c r="I243" s="8">
        <f t="shared" ca="1" si="17"/>
        <v>1</v>
      </c>
      <c r="J243" s="43" t="str">
        <f t="shared" ca="1" si="18"/>
        <v>11,9</v>
      </c>
      <c r="K243" s="8">
        <f ca="1">_xll.DBRW($E$9,$F$16,$F$19,$F$20,$F$21,$F$22,$E243,$F$13,$F$14,K$39)</f>
        <v>11911124.359999999</v>
      </c>
      <c r="L243" s="34">
        <f t="shared" ca="1" si="19"/>
        <v>5.0233138527990204E-2</v>
      </c>
    </row>
    <row r="244" spans="2:12" x14ac:dyDescent="0.25">
      <c r="B244" t="str">
        <f ca="1">IF(_xll.TM1RPTELISCONSOLIDATED($E$42,$E244),IF(_xll.TM1RPTELLEV($E$42,$E244)&lt;=3,_xll.TM1RPTELLEV($E$42,$E244),"D"),"N")</f>
        <v>N</v>
      </c>
      <c r="C244">
        <v>1</v>
      </c>
      <c r="D244" s="20"/>
      <c r="E244" s="22" t="s">
        <v>24</v>
      </c>
      <c r="F244" s="8">
        <f ca="1">_xll.DBRW($E$9,$F$16,$F$19,$F$20,$F$21,$F$22,$E244,$F$13,$F$14,F$39)</f>
        <v>614771.51999999839</v>
      </c>
      <c r="G244" s="28">
        <f t="shared" ca="1" si="15"/>
        <v>614771.51999999839</v>
      </c>
      <c r="H244" s="8">
        <f t="shared" ca="1" si="16"/>
        <v>614771.51999999839</v>
      </c>
      <c r="I244" s="8">
        <f t="shared" ca="1" si="17"/>
        <v>1</v>
      </c>
      <c r="J244" s="43" t="str">
        <f t="shared" ca="1" si="18"/>
        <v>12,4</v>
      </c>
      <c r="K244" s="8">
        <f ca="1">_xll.DBRW($E$9,$F$16,$F$19,$F$20,$F$21,$F$22,$E244,$F$13,$F$14,K$39)</f>
        <v>12442249.789999999</v>
      </c>
      <c r="L244" s="34">
        <f t="shared" ca="1" si="19"/>
        <v>4.9409996614446561E-2</v>
      </c>
    </row>
    <row r="245" spans="2:12" x14ac:dyDescent="0.25">
      <c r="B245" t="str">
        <f ca="1">IF(_xll.TM1RPTELISCONSOLIDATED($E$42,$E245),IF(_xll.TM1RPTELLEV($E$42,$E245)&lt;=3,_xll.TM1RPTELLEV($E$42,$E245),"D"),"N")</f>
        <v>N</v>
      </c>
      <c r="C245">
        <v>1</v>
      </c>
      <c r="D245" s="20"/>
      <c r="E245" s="22" t="s">
        <v>124</v>
      </c>
      <c r="F245" s="8">
        <f ca="1">_xll.DBRW($E$9,$F$16,$F$19,$F$20,$F$21,$F$22,$E245,$F$13,$F$14,F$39)</f>
        <v>643961.81999999774</v>
      </c>
      <c r="G245" s="28">
        <f t="shared" ca="1" si="15"/>
        <v>643961.81999999774</v>
      </c>
      <c r="H245" s="8">
        <f t="shared" ca="1" si="16"/>
        <v>643961.81999999774</v>
      </c>
      <c r="I245" s="8">
        <f t="shared" ca="1" si="17"/>
        <v>1</v>
      </c>
      <c r="J245" s="43" t="str">
        <f t="shared" ca="1" si="18"/>
        <v>9,7</v>
      </c>
      <c r="K245" s="8">
        <f ca="1">_xll.DBRW($E$9,$F$16,$F$19,$F$20,$F$21,$F$22,$E245,$F$13,$F$14,K$39)</f>
        <v>9732808.6399999987</v>
      </c>
      <c r="L245" s="34">
        <f t="shared" ca="1" si="19"/>
        <v>6.6164027653172669E-2</v>
      </c>
    </row>
    <row r="246" spans="2:12" x14ac:dyDescent="0.25">
      <c r="B246" t="str">
        <f ca="1">IF(_xll.TM1RPTELISCONSOLIDATED($E$42,$E246),IF(_xll.TM1RPTELLEV($E$42,$E246)&lt;=3,_xll.TM1RPTELLEV($E$42,$E246),"D"),"N")</f>
        <v>N</v>
      </c>
      <c r="C246">
        <v>1</v>
      </c>
      <c r="D246" s="20"/>
      <c r="E246" s="22" t="s">
        <v>255</v>
      </c>
      <c r="F246" s="8">
        <f ca="1">_xll.DBRW($E$9,$F$16,$F$19,$F$20,$F$21,$F$22,$E246,$F$13,$F$14,F$39)</f>
        <v>677724.04000000074</v>
      </c>
      <c r="G246" s="28">
        <f t="shared" ca="1" si="15"/>
        <v>677724.04000000074</v>
      </c>
      <c r="H246" s="8">
        <f t="shared" ca="1" si="16"/>
        <v>677724.04000000074</v>
      </c>
      <c r="I246" s="8">
        <f t="shared" ca="1" si="17"/>
        <v>1</v>
      </c>
      <c r="J246" s="43" t="str">
        <f t="shared" ca="1" si="18"/>
        <v>1,2</v>
      </c>
      <c r="K246" s="8">
        <f ca="1">_xll.DBRW($E$9,$F$16,$F$19,$F$20,$F$21,$F$22,$E246,$F$13,$F$14,K$39)</f>
        <v>1227945.2500000009</v>
      </c>
      <c r="L246" s="34">
        <f t="shared" ca="1" si="19"/>
        <v>0.5519171477718573</v>
      </c>
    </row>
    <row r="247" spans="2:12" x14ac:dyDescent="0.25">
      <c r="B247" t="str">
        <f ca="1">IF(_xll.TM1RPTELISCONSOLIDATED($E$42,$E247),IF(_xll.TM1RPTELLEV($E$42,$E247)&lt;=3,_xll.TM1RPTELLEV($E$42,$E247),"D"),"N")</f>
        <v>N</v>
      </c>
      <c r="C247">
        <v>1</v>
      </c>
      <c r="D247" s="20"/>
      <c r="E247" s="22" t="s">
        <v>256</v>
      </c>
      <c r="F247" s="8">
        <f ca="1">_xll.DBRW($E$9,$F$16,$F$19,$F$20,$F$21,$F$22,$E247,$F$13,$F$14,F$39)</f>
        <v>682085</v>
      </c>
      <c r="G247" s="28">
        <f t="shared" ca="1" si="15"/>
        <v>682085</v>
      </c>
      <c r="H247" s="8">
        <f t="shared" ca="1" si="16"/>
        <v>682085</v>
      </c>
      <c r="I247" s="8">
        <f t="shared" ca="1" si="17"/>
        <v>1</v>
      </c>
      <c r="J247" s="43" t="str">
        <f t="shared" ca="1" si="18"/>
        <v>10,7</v>
      </c>
      <c r="K247" s="8">
        <f ca="1">_xll.DBRW($E$9,$F$16,$F$19,$F$20,$F$21,$F$22,$E247,$F$13,$F$14,K$39)</f>
        <v>10664407</v>
      </c>
      <c r="L247" s="34">
        <f t="shared" ca="1" si="19"/>
        <v>6.3959018068233897E-2</v>
      </c>
    </row>
    <row r="248" spans="2:12" x14ac:dyDescent="0.25">
      <c r="B248" t="str">
        <f ca="1">IF(_xll.TM1RPTELISCONSOLIDATED($E$42,$E248),IF(_xll.TM1RPTELLEV($E$42,$E248)&lt;=3,_xll.TM1RPTELLEV($E$42,$E248),"D"),"N")</f>
        <v>N</v>
      </c>
      <c r="C248">
        <v>1</v>
      </c>
      <c r="D248" s="20"/>
      <c r="E248" s="22" t="s">
        <v>257</v>
      </c>
      <c r="F248" s="8">
        <f ca="1">_xll.DBRW($E$9,$F$16,$F$19,$F$20,$F$21,$F$22,$E248,$F$13,$F$14,F$39)</f>
        <v>687510</v>
      </c>
      <c r="G248" s="28">
        <f t="shared" ca="1" si="15"/>
        <v>687510</v>
      </c>
      <c r="H248" s="8">
        <f t="shared" ca="1" si="16"/>
        <v>687510</v>
      </c>
      <c r="I248" s="8">
        <f t="shared" ca="1" si="17"/>
        <v>1</v>
      </c>
      <c r="J248" s="43" t="str">
        <f t="shared" ca="1" si="18"/>
        <v>10,9</v>
      </c>
      <c r="K248" s="8">
        <f ca="1">_xll.DBRW($E$9,$F$16,$F$19,$F$20,$F$21,$F$22,$E248,$F$13,$F$14,K$39)</f>
        <v>10906551</v>
      </c>
      <c r="L248" s="34">
        <f t="shared" ca="1" si="19"/>
        <v>6.3036426455989614E-2</v>
      </c>
    </row>
    <row r="249" spans="2:12" x14ac:dyDescent="0.25">
      <c r="B249" t="str">
        <f ca="1">IF(_xll.TM1RPTELISCONSOLIDATED($E$42,$E249),IF(_xll.TM1RPTELLEV($E$42,$E249)&lt;=3,_xll.TM1RPTELLEV($E$42,$E249),"D"),"N")</f>
        <v>N</v>
      </c>
      <c r="C249">
        <v>1</v>
      </c>
      <c r="D249" s="20"/>
      <c r="E249" s="22" t="s">
        <v>118</v>
      </c>
      <c r="F249" s="8">
        <f ca="1">_xll.DBRW($E$9,$F$16,$F$19,$F$20,$F$21,$F$22,$E249,$F$13,$F$14,F$39)</f>
        <v>691766.77999999805</v>
      </c>
      <c r="G249" s="28">
        <f t="shared" ca="1" si="15"/>
        <v>691766.77999999805</v>
      </c>
      <c r="H249" s="8">
        <f t="shared" ca="1" si="16"/>
        <v>691766.77999999805</v>
      </c>
      <c r="I249" s="8">
        <f t="shared" ca="1" si="17"/>
        <v>1</v>
      </c>
      <c r="J249" s="43" t="str">
        <f t="shared" ca="1" si="18"/>
        <v>16,7</v>
      </c>
      <c r="K249" s="8">
        <f ca="1">_xll.DBRW($E$9,$F$16,$F$19,$F$20,$F$21,$F$22,$E249,$F$13,$F$14,K$39)</f>
        <v>16661528.160000002</v>
      </c>
      <c r="L249" s="34">
        <f t="shared" ca="1" si="19"/>
        <v>4.1518807480141605E-2</v>
      </c>
    </row>
    <row r="250" spans="2:12" x14ac:dyDescent="0.25">
      <c r="B250" t="str">
        <f ca="1">IF(_xll.TM1RPTELISCONSOLIDATED($E$42,$E250),IF(_xll.TM1RPTELLEV($E$42,$E250)&lt;=3,_xll.TM1RPTELLEV($E$42,$E250),"D"),"N")</f>
        <v>N</v>
      </c>
      <c r="C250">
        <v>1</v>
      </c>
      <c r="D250" s="20"/>
      <c r="E250" s="22" t="s">
        <v>120</v>
      </c>
      <c r="F250" s="8">
        <f ca="1">_xll.DBRW($E$9,$F$16,$F$19,$F$20,$F$21,$F$22,$E250,$F$13,$F$14,F$39)</f>
        <v>697009.67999999551</v>
      </c>
      <c r="G250" s="28">
        <f t="shared" ca="1" si="15"/>
        <v>697009.67999999551</v>
      </c>
      <c r="H250" s="8">
        <f t="shared" ca="1" si="16"/>
        <v>697009.67999999551</v>
      </c>
      <c r="I250" s="8">
        <f t="shared" ca="1" si="17"/>
        <v>1</v>
      </c>
      <c r="J250" s="43" t="str">
        <f t="shared" ca="1" si="18"/>
        <v>22,7</v>
      </c>
      <c r="K250" s="8">
        <f ca="1">_xll.DBRW($E$9,$F$16,$F$19,$F$20,$F$21,$F$22,$E250,$F$13,$F$14,K$39)</f>
        <v>22690612.259999998</v>
      </c>
      <c r="L250" s="34">
        <f t="shared" ca="1" si="19"/>
        <v>3.0717975875367391E-2</v>
      </c>
    </row>
    <row r="251" spans="2:12" x14ac:dyDescent="0.25">
      <c r="B251" t="str">
        <f ca="1">IF(_xll.TM1RPTELISCONSOLIDATED($E$42,$E251),IF(_xll.TM1RPTELLEV($E$42,$E251)&lt;=3,_xll.TM1RPTELLEV($E$42,$E251),"D"),"N")</f>
        <v>N</v>
      </c>
      <c r="C251">
        <v>1</v>
      </c>
      <c r="D251" s="20"/>
      <c r="E251" s="22" t="s">
        <v>258</v>
      </c>
      <c r="F251" s="8">
        <f ca="1">_xll.DBRW($E$9,$F$16,$F$19,$F$20,$F$21,$F$22,$E251,$F$13,$F$14,F$39)</f>
        <v>758792.85999999766</v>
      </c>
      <c r="G251" s="28">
        <f t="shared" ca="1" si="15"/>
        <v>758792.85999999766</v>
      </c>
      <c r="H251" s="8">
        <f t="shared" ca="1" si="16"/>
        <v>758792.85999999766</v>
      </c>
      <c r="I251" s="8">
        <f t="shared" ca="1" si="17"/>
        <v>1</v>
      </c>
      <c r="J251" s="43" t="str">
        <f t="shared" ca="1" si="18"/>
        <v>6,1</v>
      </c>
      <c r="K251" s="8">
        <f ca="1">_xll.DBRW($E$9,$F$16,$F$19,$F$20,$F$21,$F$22,$E251,$F$13,$F$14,K$39)</f>
        <v>6071642.129999999</v>
      </c>
      <c r="L251" s="34">
        <f t="shared" ca="1" si="19"/>
        <v>0.12497325167614874</v>
      </c>
    </row>
    <row r="252" spans="2:12" x14ac:dyDescent="0.25">
      <c r="B252" t="str">
        <f ca="1">IF(_xll.TM1RPTELISCONSOLIDATED($E$42,$E252),IF(_xll.TM1RPTELLEV($E$42,$E252)&lt;=3,_xll.TM1RPTELLEV($E$42,$E252),"D"),"N")</f>
        <v>N</v>
      </c>
      <c r="C252">
        <v>1</v>
      </c>
      <c r="D252" s="20"/>
      <c r="E252" s="22" t="s">
        <v>104</v>
      </c>
      <c r="F252" s="8">
        <f ca="1">_xll.DBRW($E$9,$F$16,$F$19,$F$20,$F$21,$F$22,$E252,$F$13,$F$14,F$39)</f>
        <v>762327.24999999977</v>
      </c>
      <c r="G252" s="28">
        <f t="shared" ca="1" si="15"/>
        <v>762327.24999999977</v>
      </c>
      <c r="H252" s="8">
        <f t="shared" ca="1" si="16"/>
        <v>762327.24999999977</v>
      </c>
      <c r="I252" s="8">
        <f t="shared" ca="1" si="17"/>
        <v>1</v>
      </c>
      <c r="J252" s="43" t="str">
        <f t="shared" ca="1" si="18"/>
        <v>13,2</v>
      </c>
      <c r="K252" s="8">
        <f ca="1">_xll.DBRW($E$9,$F$16,$F$19,$F$20,$F$21,$F$22,$E252,$F$13,$F$14,K$39)</f>
        <v>13183773.33</v>
      </c>
      <c r="L252" s="34">
        <f t="shared" ca="1" si="19"/>
        <v>5.7823145993059918E-2</v>
      </c>
    </row>
    <row r="253" spans="2:12" x14ac:dyDescent="0.25">
      <c r="B253" t="str">
        <f ca="1">IF(_xll.TM1RPTELISCONSOLIDATED($E$42,$E253),IF(_xll.TM1RPTELLEV($E$42,$E253)&lt;=3,_xll.TM1RPTELLEV($E$42,$E253),"D"),"N")</f>
        <v>N</v>
      </c>
      <c r="C253">
        <v>1</v>
      </c>
      <c r="D253" s="20"/>
      <c r="E253" s="22" t="s">
        <v>259</v>
      </c>
      <c r="F253" s="8">
        <f ca="1">_xll.DBRW($E$9,$F$16,$F$19,$F$20,$F$21,$F$22,$E253,$F$13,$F$14,F$39)</f>
        <v>772123</v>
      </c>
      <c r="G253" s="28">
        <f t="shared" ca="1" si="15"/>
        <v>772123</v>
      </c>
      <c r="H253" s="8">
        <f t="shared" ca="1" si="16"/>
        <v>772123</v>
      </c>
      <c r="I253" s="8">
        <f t="shared" ca="1" si="17"/>
        <v>1</v>
      </c>
      <c r="J253" s="43" t="str">
        <f t="shared" ca="1" si="18"/>
        <v>10,5</v>
      </c>
      <c r="K253" s="8">
        <f ca="1">_xll.DBRW($E$9,$F$16,$F$19,$F$20,$F$21,$F$22,$E253,$F$13,$F$14,K$39)</f>
        <v>10483919</v>
      </c>
      <c r="L253" s="34">
        <f t="shared" ca="1" si="19"/>
        <v>7.3648317962014015E-2</v>
      </c>
    </row>
    <row r="254" spans="2:12" x14ac:dyDescent="0.25">
      <c r="B254" t="str">
        <f ca="1">IF(_xll.TM1RPTELISCONSOLIDATED($E$42,$E254),IF(_xll.TM1RPTELLEV($E$42,$E254)&lt;=3,_xll.TM1RPTELLEV($E$42,$E254),"D"),"N")</f>
        <v>N</v>
      </c>
      <c r="C254">
        <v>1</v>
      </c>
      <c r="D254" s="20"/>
      <c r="E254" s="22" t="s">
        <v>260</v>
      </c>
      <c r="F254" s="8">
        <f ca="1">_xll.DBRW($E$9,$F$16,$F$19,$F$20,$F$21,$F$22,$E254,$F$13,$F$14,F$39)</f>
        <v>774796.35999999801</v>
      </c>
      <c r="G254" s="28">
        <f t="shared" ca="1" si="15"/>
        <v>774796.35999999801</v>
      </c>
      <c r="H254" s="8">
        <f t="shared" ca="1" si="16"/>
        <v>774796.35999999801</v>
      </c>
      <c r="I254" s="8">
        <f t="shared" ca="1" si="17"/>
        <v>1</v>
      </c>
      <c r="J254" s="43" t="str">
        <f t="shared" ca="1" si="18"/>
        <v>12,3</v>
      </c>
      <c r="K254" s="8">
        <f ca="1">_xll.DBRW($E$9,$F$16,$F$19,$F$20,$F$21,$F$22,$E254,$F$13,$F$14,K$39)</f>
        <v>12273868.849999998</v>
      </c>
      <c r="L254" s="34">
        <f t="shared" ca="1" si="19"/>
        <v>6.3125683471841734E-2</v>
      </c>
    </row>
    <row r="255" spans="2:12" x14ac:dyDescent="0.25">
      <c r="B255" t="str">
        <f ca="1">IF(_xll.TM1RPTELISCONSOLIDATED($E$42,$E255),IF(_xll.TM1RPTELLEV($E$42,$E255)&lt;=3,_xll.TM1RPTELLEV($E$42,$E255),"D"),"N")</f>
        <v>N</v>
      </c>
      <c r="C255">
        <v>1</v>
      </c>
      <c r="D255" s="20"/>
      <c r="E255" s="22" t="s">
        <v>261</v>
      </c>
      <c r="F255" s="8">
        <f ca="1">_xll.DBRW($E$9,$F$16,$F$19,$F$20,$F$21,$F$22,$E255,$F$13,$F$14,F$39)</f>
        <v>783977.3199999996</v>
      </c>
      <c r="G255" s="28">
        <f t="shared" ca="1" si="15"/>
        <v>783977.3199999996</v>
      </c>
      <c r="H255" s="8">
        <f t="shared" ca="1" si="16"/>
        <v>783977.3199999996</v>
      </c>
      <c r="I255" s="8">
        <f t="shared" ca="1" si="17"/>
        <v>1</v>
      </c>
      <c r="J255" s="43" t="str">
        <f t="shared" ca="1" si="18"/>
        <v>3,5</v>
      </c>
      <c r="K255" s="8">
        <f ca="1">_xll.DBRW($E$9,$F$16,$F$19,$F$20,$F$21,$F$22,$E255,$F$13,$F$14,K$39)</f>
        <v>3470055.4899999998</v>
      </c>
      <c r="L255" s="34">
        <f t="shared" ca="1" si="19"/>
        <v>0.22592645053062241</v>
      </c>
    </row>
    <row r="256" spans="2:12" x14ac:dyDescent="0.25">
      <c r="B256" t="str">
        <f ca="1">IF(_xll.TM1RPTELISCONSOLIDATED($E$42,$E256),IF(_xll.TM1RPTELLEV($E$42,$E256)&lt;=3,_xll.TM1RPTELLEV($E$42,$E256),"D"),"N")</f>
        <v>N</v>
      </c>
      <c r="C256">
        <v>1</v>
      </c>
      <c r="D256" s="20"/>
      <c r="E256" s="22" t="s">
        <v>262</v>
      </c>
      <c r="F256" s="8">
        <f ca="1">_xll.DBRW($E$9,$F$16,$F$19,$F$20,$F$21,$F$22,$E256,$F$13,$F$14,F$39)</f>
        <v>784782.40999999992</v>
      </c>
      <c r="G256" s="28">
        <f t="shared" ca="1" si="15"/>
        <v>784782.40999999992</v>
      </c>
      <c r="H256" s="8">
        <f t="shared" ca="1" si="16"/>
        <v>784782.40999999992</v>
      </c>
      <c r="I256" s="8">
        <f t="shared" ca="1" si="17"/>
        <v>1</v>
      </c>
      <c r="J256" s="43" t="str">
        <f t="shared" ca="1" si="18"/>
        <v>30,7</v>
      </c>
      <c r="K256" s="8">
        <f ca="1">_xll.DBRW($E$9,$F$16,$F$19,$F$20,$F$21,$F$22,$E256,$F$13,$F$14,K$39)</f>
        <v>30737898.629999999</v>
      </c>
      <c r="L256" s="34">
        <f t="shared" ca="1" si="19"/>
        <v>2.553142683716372E-2</v>
      </c>
    </row>
    <row r="257" spans="2:12" x14ac:dyDescent="0.25">
      <c r="B257" t="str">
        <f ca="1">IF(_xll.TM1RPTELISCONSOLIDATED($E$42,$E257),IF(_xll.TM1RPTELLEV($E$42,$E257)&lt;=3,_xll.TM1RPTELLEV($E$42,$E257),"D"),"N")</f>
        <v>N</v>
      </c>
      <c r="C257">
        <v>1</v>
      </c>
      <c r="D257" s="20"/>
      <c r="E257" s="22" t="s">
        <v>263</v>
      </c>
      <c r="F257" s="8">
        <f ca="1">_xll.DBRW($E$9,$F$16,$F$19,$F$20,$F$21,$F$22,$E257,$F$13,$F$14,F$39)</f>
        <v>789862.1599999991</v>
      </c>
      <c r="G257" s="28">
        <f t="shared" ca="1" si="15"/>
        <v>789862.1599999991</v>
      </c>
      <c r="H257" s="8">
        <f t="shared" ca="1" si="16"/>
        <v>789862.1599999991</v>
      </c>
      <c r="I257" s="8">
        <f t="shared" ca="1" si="17"/>
        <v>1</v>
      </c>
      <c r="J257" s="43" t="str">
        <f t="shared" ca="1" si="18"/>
        <v>10,0</v>
      </c>
      <c r="K257" s="8">
        <f ca="1">_xll.DBRW($E$9,$F$16,$F$19,$F$20,$F$21,$F$22,$E257,$F$13,$F$14,K$39)</f>
        <v>9989060.209999999</v>
      </c>
      <c r="L257" s="34">
        <f t="shared" ca="1" si="19"/>
        <v>7.9072719895037974E-2</v>
      </c>
    </row>
    <row r="258" spans="2:12" x14ac:dyDescent="0.25">
      <c r="B258" t="str">
        <f ca="1">IF(_xll.TM1RPTELISCONSOLIDATED($E$42,$E258),IF(_xll.TM1RPTELLEV($E$42,$E258)&lt;=3,_xll.TM1RPTELLEV($E$42,$E258),"D"),"N")</f>
        <v>N</v>
      </c>
      <c r="C258">
        <v>1</v>
      </c>
      <c r="D258" s="20"/>
      <c r="E258" s="22" t="s">
        <v>110</v>
      </c>
      <c r="F258" s="8">
        <f ca="1">_xll.DBRW($E$9,$F$16,$F$19,$F$20,$F$21,$F$22,$E258,$F$13,$F$14,F$39)</f>
        <v>803623.24999999616</v>
      </c>
      <c r="G258" s="28">
        <f t="shared" ca="1" si="15"/>
        <v>803623.24999999616</v>
      </c>
      <c r="H258" s="8">
        <f t="shared" ca="1" si="16"/>
        <v>803623.24999999616</v>
      </c>
      <c r="I258" s="8">
        <f t="shared" ca="1" si="17"/>
        <v>1</v>
      </c>
      <c r="J258" s="43" t="str">
        <f t="shared" ca="1" si="18"/>
        <v>9,1</v>
      </c>
      <c r="K258" s="8">
        <f ca="1">_xll.DBRW($E$9,$F$16,$F$19,$F$20,$F$21,$F$22,$E258,$F$13,$F$14,K$39)</f>
        <v>9092899.9099999983</v>
      </c>
      <c r="L258" s="34">
        <f t="shared" ca="1" si="19"/>
        <v>8.837920332942456E-2</v>
      </c>
    </row>
    <row r="259" spans="2:12" x14ac:dyDescent="0.25">
      <c r="B259" t="str">
        <f ca="1">IF(_xll.TM1RPTELISCONSOLIDATED($E$42,$E259),IF(_xll.TM1RPTELLEV($E$42,$E259)&lt;=3,_xll.TM1RPTELLEV($E$42,$E259),"D"),"N")</f>
        <v>N</v>
      </c>
      <c r="C259">
        <v>1</v>
      </c>
      <c r="D259" s="20"/>
      <c r="E259" s="22" t="s">
        <v>117</v>
      </c>
      <c r="F259" s="8">
        <f ca="1">_xll.DBRW($E$9,$F$16,$F$19,$F$20,$F$21,$F$22,$E259,$F$13,$F$14,F$39)</f>
        <v>808828.61999999755</v>
      </c>
      <c r="G259" s="28">
        <f t="shared" ca="1" si="15"/>
        <v>808828.61999999755</v>
      </c>
      <c r="H259" s="8">
        <f t="shared" ca="1" si="16"/>
        <v>808828.61999999755</v>
      </c>
      <c r="I259" s="8">
        <f t="shared" ca="1" si="17"/>
        <v>1</v>
      </c>
      <c r="J259" s="43" t="str">
        <f t="shared" ca="1" si="18"/>
        <v>9,3</v>
      </c>
      <c r="K259" s="8">
        <f ca="1">_xll.DBRW($E$9,$F$16,$F$19,$F$20,$F$21,$F$22,$E259,$F$13,$F$14,K$39)</f>
        <v>9313346.0399999991</v>
      </c>
      <c r="L259" s="34">
        <f t="shared" ca="1" si="19"/>
        <v>8.6846190029464171E-2</v>
      </c>
    </row>
    <row r="260" spans="2:12" x14ac:dyDescent="0.25">
      <c r="B260" t="str">
        <f ca="1">IF(_xll.TM1RPTELISCONSOLIDATED($E$42,$E260),IF(_xll.TM1RPTELLEV($E$42,$E260)&lt;=3,_xll.TM1RPTELLEV($E$42,$E260),"D"),"N")</f>
        <v>N</v>
      </c>
      <c r="C260">
        <v>1</v>
      </c>
      <c r="D260" s="20"/>
      <c r="E260" s="22" t="s">
        <v>264</v>
      </c>
      <c r="F260" s="8">
        <f ca="1">_xll.DBRW($E$9,$F$16,$F$19,$F$20,$F$21,$F$22,$E260,$F$13,$F$14,F$39)</f>
        <v>822080.6600000211</v>
      </c>
      <c r="G260" s="28">
        <f t="shared" ca="1" si="15"/>
        <v>822080.6600000211</v>
      </c>
      <c r="H260" s="8">
        <f t="shared" ca="1" si="16"/>
        <v>822080.6600000211</v>
      </c>
      <c r="I260" s="8">
        <f t="shared" ca="1" si="17"/>
        <v>1</v>
      </c>
      <c r="J260" s="43" t="str">
        <f t="shared" ca="1" si="18"/>
        <v>68,7</v>
      </c>
      <c r="K260" s="8">
        <f ca="1">_xll.DBRW($E$9,$F$16,$F$19,$F$20,$F$21,$F$22,$E260,$F$13,$F$14,K$39)</f>
        <v>68726262.270000011</v>
      </c>
      <c r="L260" s="34">
        <f t="shared" ca="1" si="19"/>
        <v>1.1961666950115385E-2</v>
      </c>
    </row>
    <row r="261" spans="2:12" x14ac:dyDescent="0.25">
      <c r="B261" t="str">
        <f ca="1">IF(_xll.TM1RPTELISCONSOLIDATED($E$42,$E261),IF(_xll.TM1RPTELLEV($E$42,$E261)&lt;=3,_xll.TM1RPTELLEV($E$42,$E261),"D"),"N")</f>
        <v>N</v>
      </c>
      <c r="C261">
        <v>1</v>
      </c>
      <c r="D261" s="20"/>
      <c r="E261" s="22" t="s">
        <v>265</v>
      </c>
      <c r="F261" s="8">
        <f ca="1">_xll.DBRW($E$9,$F$16,$F$19,$F$20,$F$21,$F$22,$E261,$F$13,$F$14,F$39)</f>
        <v>838963.39000000129</v>
      </c>
      <c r="G261" s="28">
        <f t="shared" ca="1" si="15"/>
        <v>838963.39000000129</v>
      </c>
      <c r="H261" s="8">
        <f t="shared" ca="1" si="16"/>
        <v>838963.39000000129</v>
      </c>
      <c r="I261" s="8">
        <f t="shared" ca="1" si="17"/>
        <v>1</v>
      </c>
      <c r="J261" s="43" t="str">
        <f t="shared" ca="1" si="18"/>
        <v>6,8</v>
      </c>
      <c r="K261" s="8">
        <f ca="1">_xll.DBRW($E$9,$F$16,$F$19,$F$20,$F$21,$F$22,$E261,$F$13,$F$14,K$39)</f>
        <v>6828717.2100000009</v>
      </c>
      <c r="L261" s="34">
        <f t="shared" ca="1" si="19"/>
        <v>0.12285812462279444</v>
      </c>
    </row>
    <row r="262" spans="2:12" x14ac:dyDescent="0.25">
      <c r="B262" t="str">
        <f ca="1">IF(_xll.TM1RPTELISCONSOLIDATED($E$42,$E262),IF(_xll.TM1RPTELLEV($E$42,$E262)&lt;=3,_xll.TM1RPTELLEV($E$42,$E262),"D"),"N")</f>
        <v>N</v>
      </c>
      <c r="C262">
        <v>1</v>
      </c>
      <c r="D262" s="20"/>
      <c r="E262" s="22" t="s">
        <v>119</v>
      </c>
      <c r="F262" s="8">
        <f ca="1">_xll.DBRW($E$9,$F$16,$F$19,$F$20,$F$21,$F$22,$E262,$F$13,$F$14,F$39)</f>
        <v>864961.65000000014</v>
      </c>
      <c r="G262" s="28">
        <f t="shared" ca="1" si="15"/>
        <v>864961.65000000014</v>
      </c>
      <c r="H262" s="8">
        <f t="shared" ca="1" si="16"/>
        <v>864961.65000000014</v>
      </c>
      <c r="I262" s="8">
        <f t="shared" ca="1" si="17"/>
        <v>1</v>
      </c>
      <c r="J262" s="43" t="str">
        <f t="shared" ca="1" si="18"/>
        <v>15,3</v>
      </c>
      <c r="K262" s="8">
        <f ca="1">_xll.DBRW($E$9,$F$16,$F$19,$F$20,$F$21,$F$22,$E262,$F$13,$F$14,K$39)</f>
        <v>15256113.879999999</v>
      </c>
      <c r="L262" s="34">
        <f t="shared" ca="1" si="19"/>
        <v>5.6696066691919594E-2</v>
      </c>
    </row>
    <row r="263" spans="2:12" x14ac:dyDescent="0.25">
      <c r="B263" t="str">
        <f ca="1">IF(_xll.TM1RPTELISCONSOLIDATED($E$42,$E263),IF(_xll.TM1RPTELLEV($E$42,$E263)&lt;=3,_xll.TM1RPTELLEV($E$42,$E263),"D"),"N")</f>
        <v>N</v>
      </c>
      <c r="C263">
        <v>1</v>
      </c>
      <c r="D263" s="20"/>
      <c r="E263" s="22" t="s">
        <v>266</v>
      </c>
      <c r="F263" s="8">
        <f ca="1">_xll.DBRW($E$9,$F$16,$F$19,$F$20,$F$21,$F$22,$E263,$F$13,$F$14,F$39)</f>
        <v>891250.67999999668</v>
      </c>
      <c r="G263" s="28">
        <f t="shared" ca="1" si="15"/>
        <v>891250.67999999668</v>
      </c>
      <c r="H263" s="8">
        <f t="shared" ca="1" si="16"/>
        <v>891250.67999999668</v>
      </c>
      <c r="I263" s="8">
        <f t="shared" ca="1" si="17"/>
        <v>1</v>
      </c>
      <c r="J263" s="43" t="str">
        <f t="shared" ca="1" si="18"/>
        <v>11,4</v>
      </c>
      <c r="K263" s="8">
        <f ca="1">_xll.DBRW($E$9,$F$16,$F$19,$F$20,$F$21,$F$22,$E263,$F$13,$F$14,K$39)</f>
        <v>11427689.5</v>
      </c>
      <c r="L263" s="34">
        <f t="shared" ca="1" si="19"/>
        <v>7.7990452925763926E-2</v>
      </c>
    </row>
    <row r="264" spans="2:12" x14ac:dyDescent="0.25">
      <c r="B264" t="str">
        <f ca="1">IF(_xll.TM1RPTELISCONSOLIDATED($E$42,$E264),IF(_xll.TM1RPTELLEV($E$42,$E264)&lt;=3,_xll.TM1RPTELLEV($E$42,$E264),"D"),"N")</f>
        <v>N</v>
      </c>
      <c r="C264">
        <v>1</v>
      </c>
      <c r="D264" s="20"/>
      <c r="E264" s="22" t="s">
        <v>267</v>
      </c>
      <c r="F264" s="8">
        <f ca="1">_xll.DBRW($E$9,$F$16,$F$19,$F$20,$F$21,$F$22,$E264,$F$13,$F$14,F$39)</f>
        <v>893879.65000000189</v>
      </c>
      <c r="G264" s="28">
        <f t="shared" ca="1" si="15"/>
        <v>893879.65000000189</v>
      </c>
      <c r="H264" s="8">
        <f t="shared" ca="1" si="16"/>
        <v>893879.65000000189</v>
      </c>
      <c r="I264" s="8">
        <f t="shared" ca="1" si="17"/>
        <v>1</v>
      </c>
      <c r="J264" s="43" t="str">
        <f t="shared" ca="1" si="18"/>
        <v>15,3</v>
      </c>
      <c r="K264" s="8">
        <f ca="1">_xll.DBRW($E$9,$F$16,$F$19,$F$20,$F$21,$F$22,$E264,$F$13,$F$14,K$39)</f>
        <v>15331601.459999999</v>
      </c>
      <c r="L264" s="34">
        <f t="shared" ca="1" si="19"/>
        <v>5.8303084145001113E-2</v>
      </c>
    </row>
    <row r="265" spans="2:12" x14ac:dyDescent="0.25">
      <c r="B265" t="str">
        <f ca="1">IF(_xll.TM1RPTELISCONSOLIDATED($E$42,$E265),IF(_xll.TM1RPTELLEV($E$42,$E265)&lt;=3,_xll.TM1RPTELLEV($E$42,$E265),"D"),"N")</f>
        <v>N</v>
      </c>
      <c r="C265">
        <v>1</v>
      </c>
      <c r="D265" s="20"/>
      <c r="E265" s="22" t="s">
        <v>151</v>
      </c>
      <c r="F265" s="8">
        <f ca="1">_xll.DBRW($E$9,$F$16,$F$19,$F$20,$F$21,$F$22,$E265,$F$13,$F$14,F$39)</f>
        <v>912482.50000000291</v>
      </c>
      <c r="G265" s="28">
        <f t="shared" ca="1" si="15"/>
        <v>912482.50000000291</v>
      </c>
      <c r="H265" s="8">
        <f t="shared" ca="1" si="16"/>
        <v>912482.50000000291</v>
      </c>
      <c r="I265" s="8">
        <f t="shared" ca="1" si="17"/>
        <v>1</v>
      </c>
      <c r="J265" s="43" t="str">
        <f t="shared" ca="1" si="18"/>
        <v>24,4</v>
      </c>
      <c r="K265" s="8">
        <f ca="1">_xll.DBRW($E$9,$F$16,$F$19,$F$20,$F$21,$F$22,$E265,$F$13,$F$14,K$39)</f>
        <v>24354690.760000005</v>
      </c>
      <c r="L265" s="34">
        <f t="shared" ca="1" si="19"/>
        <v>3.7466396473350365E-2</v>
      </c>
    </row>
    <row r="266" spans="2:12" x14ac:dyDescent="0.25">
      <c r="B266" t="str">
        <f ca="1">IF(_xll.TM1RPTELISCONSOLIDATED($E$42,$E266),IF(_xll.TM1RPTELLEV($E$42,$E266)&lt;=3,_xll.TM1RPTELLEV($E$42,$E266),"D"),"N")</f>
        <v>N</v>
      </c>
      <c r="C266">
        <v>1</v>
      </c>
      <c r="D266" s="20"/>
      <c r="E266" s="22" t="s">
        <v>268</v>
      </c>
      <c r="F266" s="8">
        <f ca="1">_xll.DBRW($E$9,$F$16,$F$19,$F$20,$F$21,$F$22,$E266,$F$13,$F$14,F$39)</f>
        <v>918025.79999999993</v>
      </c>
      <c r="G266" s="28">
        <f t="shared" ca="1" si="15"/>
        <v>918025.79999999993</v>
      </c>
      <c r="H266" s="8">
        <f t="shared" ca="1" si="16"/>
        <v>918025.79999999993</v>
      </c>
      <c r="I266" s="8">
        <f t="shared" ca="1" si="17"/>
        <v>1</v>
      </c>
      <c r="J266" s="43" t="str">
        <f t="shared" ca="1" si="18"/>
        <v>3,5</v>
      </c>
      <c r="K266" s="8">
        <f ca="1">_xll.DBRW($E$9,$F$16,$F$19,$F$20,$F$21,$F$22,$E266,$F$13,$F$14,K$39)</f>
        <v>3492958.26</v>
      </c>
      <c r="L266" s="34">
        <f t="shared" ca="1" si="19"/>
        <v>0.26282186378030181</v>
      </c>
    </row>
    <row r="267" spans="2:12" x14ac:dyDescent="0.25">
      <c r="B267" t="str">
        <f ca="1">IF(_xll.TM1RPTELISCONSOLIDATED($E$42,$E267),IF(_xll.TM1RPTELLEV($E$42,$E267)&lt;=3,_xll.TM1RPTELLEV($E$42,$E267),"D"),"N")</f>
        <v>N</v>
      </c>
      <c r="C267">
        <v>1</v>
      </c>
      <c r="D267" s="20"/>
      <c r="E267" s="22" t="s">
        <v>269</v>
      </c>
      <c r="F267" s="8">
        <f ca="1">_xll.DBRW($E$9,$F$16,$F$19,$F$20,$F$21,$F$22,$E267,$F$13,$F$14,F$39)</f>
        <v>936954.95000000321</v>
      </c>
      <c r="G267" s="28">
        <f t="shared" ca="1" si="15"/>
        <v>936954.95000000321</v>
      </c>
      <c r="H267" s="8">
        <f t="shared" ca="1" si="16"/>
        <v>936954.95000000321</v>
      </c>
      <c r="I267" s="8">
        <f t="shared" ca="1" si="17"/>
        <v>1</v>
      </c>
      <c r="J267" s="43" t="str">
        <f t="shared" ca="1" si="18"/>
        <v>15,1</v>
      </c>
      <c r="K267" s="8">
        <f ca="1">_xll.DBRW($E$9,$F$16,$F$19,$F$20,$F$21,$F$22,$E267,$F$13,$F$14,K$39)</f>
        <v>15089665.4</v>
      </c>
      <c r="L267" s="34">
        <f t="shared" ca="1" si="19"/>
        <v>6.2092493449192265E-2</v>
      </c>
    </row>
    <row r="268" spans="2:12" x14ac:dyDescent="0.25">
      <c r="B268" t="str">
        <f ca="1">IF(_xll.TM1RPTELISCONSOLIDATED($E$42,$E268),IF(_xll.TM1RPTELLEV($E$42,$E268)&lt;=3,_xll.TM1RPTELLEV($E$42,$E268),"D"),"N")</f>
        <v>N</v>
      </c>
      <c r="C268">
        <v>1</v>
      </c>
      <c r="D268" s="20"/>
      <c r="E268" s="22" t="s">
        <v>270</v>
      </c>
      <c r="F268" s="8">
        <f ca="1">_xll.DBRW($E$9,$F$16,$F$19,$F$20,$F$21,$F$22,$E268,$F$13,$F$14,F$39)</f>
        <v>973288.9599999995</v>
      </c>
      <c r="G268" s="28">
        <f t="shared" ca="1" si="15"/>
        <v>973288.9599999995</v>
      </c>
      <c r="H268" s="8">
        <f t="shared" ca="1" si="16"/>
        <v>973288.9599999995</v>
      </c>
      <c r="I268" s="8">
        <f t="shared" ca="1" si="17"/>
        <v>1</v>
      </c>
      <c r="J268" s="43" t="str">
        <f t="shared" ca="1" si="18"/>
        <v>10,1</v>
      </c>
      <c r="K268" s="8">
        <f ca="1">_xll.DBRW($E$9,$F$16,$F$19,$F$20,$F$21,$F$22,$E268,$F$13,$F$14,K$39)</f>
        <v>10148233.33</v>
      </c>
      <c r="L268" s="34">
        <f t="shared" ca="1" si="19"/>
        <v>9.5907231175182239E-2</v>
      </c>
    </row>
    <row r="269" spans="2:12" x14ac:dyDescent="0.25">
      <c r="B269" t="str">
        <f ca="1">IF(_xll.TM1RPTELISCONSOLIDATED($E$42,$E269),IF(_xll.TM1RPTELLEV($E$42,$E269)&lt;=3,_xll.TM1RPTELLEV($E$42,$E269),"D"),"N")</f>
        <v>N</v>
      </c>
      <c r="C269">
        <v>1</v>
      </c>
      <c r="D269" s="20"/>
      <c r="E269" s="22" t="s">
        <v>136</v>
      </c>
      <c r="F269" s="8">
        <f ca="1">_xll.DBRW($E$9,$F$16,$F$19,$F$20,$F$21,$F$22,$E269,$F$13,$F$14,F$39)</f>
        <v>978734.0100000021</v>
      </c>
      <c r="G269" s="28">
        <f t="shared" ca="1" si="15"/>
        <v>978734.0100000021</v>
      </c>
      <c r="H269" s="8">
        <f t="shared" ca="1" si="16"/>
        <v>978734.0100000021</v>
      </c>
      <c r="I269" s="8">
        <f t="shared" ca="1" si="17"/>
        <v>1</v>
      </c>
      <c r="J269" s="43" t="str">
        <f t="shared" ca="1" si="18"/>
        <v>17,8</v>
      </c>
      <c r="K269" s="8">
        <f ca="1">_xll.DBRW($E$9,$F$16,$F$19,$F$20,$F$21,$F$22,$E269,$F$13,$F$14,K$39)</f>
        <v>17768295.270000003</v>
      </c>
      <c r="L269" s="34">
        <f t="shared" ca="1" si="19"/>
        <v>5.5083168932502882E-2</v>
      </c>
    </row>
    <row r="270" spans="2:12" x14ac:dyDescent="0.25">
      <c r="B270" t="str">
        <f ca="1">IF(_xll.TM1RPTELISCONSOLIDATED($E$42,$E270),IF(_xll.TM1RPTELLEV($E$42,$E270)&lt;=3,_xll.TM1RPTELLEV($E$42,$E270),"D"),"N")</f>
        <v>N</v>
      </c>
      <c r="C270">
        <v>1</v>
      </c>
      <c r="D270" s="20"/>
      <c r="E270" s="22" t="s">
        <v>271</v>
      </c>
      <c r="F270" s="8">
        <f ca="1">_xll.DBRW($E$9,$F$16,$F$19,$F$20,$F$21,$F$22,$E270,$F$13,$F$14,F$39)</f>
        <v>993150.83000000007</v>
      </c>
      <c r="G270" s="28">
        <f t="shared" ca="1" si="15"/>
        <v>993150.83000000007</v>
      </c>
      <c r="H270" s="8">
        <f t="shared" ca="1" si="16"/>
        <v>993150.83000000007</v>
      </c>
      <c r="I270" s="8">
        <f t="shared" ca="1" si="17"/>
        <v>1</v>
      </c>
      <c r="J270" s="43" t="str">
        <f t="shared" ca="1" si="18"/>
        <v>7,8</v>
      </c>
      <c r="K270" s="8">
        <f ca="1">_xll.DBRW($E$9,$F$16,$F$19,$F$20,$F$21,$F$22,$E270,$F$13,$F$14,K$39)</f>
        <v>7829512.5699999994</v>
      </c>
      <c r="L270" s="34">
        <f t="shared" ca="1" si="19"/>
        <v>0.1268470828957364</v>
      </c>
    </row>
    <row r="271" spans="2:12" x14ac:dyDescent="0.25">
      <c r="B271" t="str">
        <f ca="1">IF(_xll.TM1RPTELISCONSOLIDATED($E$42,$E271),IF(_xll.TM1RPTELLEV($E$42,$E271)&lt;=3,_xll.TM1RPTELLEV($E$42,$E271),"D"),"N")</f>
        <v>N</v>
      </c>
      <c r="C271">
        <v>1</v>
      </c>
      <c r="D271" s="20"/>
      <c r="E271" s="22" t="s">
        <v>272</v>
      </c>
      <c r="F271" s="8">
        <f ca="1">_xll.DBRW($E$9,$F$16,$F$19,$F$20,$F$21,$F$22,$E271,$F$13,$F$14,F$39)</f>
        <v>1002163.8099999994</v>
      </c>
      <c r="G271" s="28">
        <f t="shared" ca="1" si="15"/>
        <v>1002163.8099999994</v>
      </c>
      <c r="H271" s="8">
        <f t="shared" ca="1" si="16"/>
        <v>1002163.8099999994</v>
      </c>
      <c r="I271" s="8">
        <f t="shared" ca="1" si="17"/>
        <v>1</v>
      </c>
      <c r="J271" s="43" t="str">
        <f t="shared" ca="1" si="18"/>
        <v>6,7</v>
      </c>
      <c r="K271" s="8">
        <f ca="1">_xll.DBRW($E$9,$F$16,$F$19,$F$20,$F$21,$F$22,$E271,$F$13,$F$14,K$39)</f>
        <v>6693654.0599999996</v>
      </c>
      <c r="L271" s="34">
        <f t="shared" ca="1" si="19"/>
        <v>0.14971849471408138</v>
      </c>
    </row>
    <row r="272" spans="2:12" x14ac:dyDescent="0.25">
      <c r="B272" t="str">
        <f ca="1">IF(_xll.TM1RPTELISCONSOLIDATED($E$42,$E272),IF(_xll.TM1RPTELLEV($E$42,$E272)&lt;=3,_xll.TM1RPTELLEV($E$42,$E272),"D"),"N")</f>
        <v>N</v>
      </c>
      <c r="C272">
        <v>1</v>
      </c>
      <c r="D272" s="20"/>
      <c r="E272" s="22" t="s">
        <v>141</v>
      </c>
      <c r="F272" s="8">
        <f ca="1">_xll.DBRW($E$9,$F$16,$F$19,$F$20,$F$21,$F$22,$E272,$F$13,$F$14,F$39)</f>
        <v>1014365.8599999998</v>
      </c>
      <c r="G272" s="28">
        <f t="shared" ca="1" si="15"/>
        <v>1014365.8599999998</v>
      </c>
      <c r="H272" s="8">
        <f t="shared" ca="1" si="16"/>
        <v>1014365.8599999998</v>
      </c>
      <c r="I272" s="8">
        <f t="shared" ca="1" si="17"/>
        <v>1</v>
      </c>
      <c r="J272" s="43" t="str">
        <f t="shared" ca="1" si="18"/>
        <v>17,9</v>
      </c>
      <c r="K272" s="8">
        <f ca="1">_xll.DBRW($E$9,$F$16,$F$19,$F$20,$F$21,$F$22,$E272,$F$13,$F$14,K$39)</f>
        <v>17905052.710000001</v>
      </c>
      <c r="L272" s="34">
        <f t="shared" ca="1" si="19"/>
        <v>5.6652492256192843E-2</v>
      </c>
    </row>
    <row r="273" spans="2:12" x14ac:dyDescent="0.25">
      <c r="B273" t="str">
        <f ca="1">IF(_xll.TM1RPTELISCONSOLIDATED($E$42,$E273),IF(_xll.TM1RPTELLEV($E$42,$E273)&lt;=3,_xll.TM1RPTELLEV($E$42,$E273),"D"),"N")</f>
        <v>N</v>
      </c>
      <c r="C273">
        <v>1</v>
      </c>
      <c r="D273" s="20"/>
      <c r="E273" s="22" t="s">
        <v>40</v>
      </c>
      <c r="F273" s="8">
        <f ca="1">_xll.DBRW($E$9,$F$16,$F$19,$F$20,$F$21,$F$22,$E273,$F$13,$F$14,F$39)</f>
        <v>1021826.2800000054</v>
      </c>
      <c r="G273" s="28">
        <f t="shared" ca="1" si="15"/>
        <v>1021826.2800000054</v>
      </c>
      <c r="H273" s="8">
        <f t="shared" ca="1" si="16"/>
        <v>1021826.2800000054</v>
      </c>
      <c r="I273" s="8">
        <f t="shared" ca="1" si="17"/>
        <v>1</v>
      </c>
      <c r="J273" s="43" t="str">
        <f t="shared" ca="1" si="18"/>
        <v>45,1</v>
      </c>
      <c r="K273" s="8">
        <f ca="1">_xll.DBRW($E$9,$F$16,$F$19,$F$20,$F$21,$F$22,$E273,$F$13,$F$14,K$39)</f>
        <v>45119483.93</v>
      </c>
      <c r="L273" s="34">
        <f t="shared" ca="1" si="19"/>
        <v>2.2647118073985589E-2</v>
      </c>
    </row>
    <row r="274" spans="2:12" x14ac:dyDescent="0.25">
      <c r="B274" t="str">
        <f ca="1">IF(_xll.TM1RPTELISCONSOLIDATED($E$42,$E274),IF(_xll.TM1RPTELLEV($E$42,$E274)&lt;=3,_xll.TM1RPTELLEV($E$42,$E274),"D"),"N")</f>
        <v>N</v>
      </c>
      <c r="C274">
        <v>1</v>
      </c>
      <c r="D274" s="20"/>
      <c r="E274" s="22" t="s">
        <v>132</v>
      </c>
      <c r="F274" s="8">
        <f ca="1">_xll.DBRW($E$9,$F$16,$F$19,$F$20,$F$21,$F$22,$E274,$F$13,$F$14,F$39)</f>
        <v>1030600.320000001</v>
      </c>
      <c r="G274" s="28">
        <f t="shared" ca="1" si="15"/>
        <v>1030600.320000001</v>
      </c>
      <c r="H274" s="8">
        <f t="shared" ca="1" si="16"/>
        <v>1030600.320000001</v>
      </c>
      <c r="I274" s="8">
        <f t="shared" ca="1" si="17"/>
        <v>1</v>
      </c>
      <c r="J274" s="43" t="str">
        <f t="shared" ca="1" si="18"/>
        <v>8,7</v>
      </c>
      <c r="K274" s="8">
        <f ca="1">_xll.DBRW($E$9,$F$16,$F$19,$F$20,$F$21,$F$22,$E274,$F$13,$F$14,K$39)</f>
        <v>8709005.5800000001</v>
      </c>
      <c r="L274" s="34">
        <f t="shared" ca="1" si="19"/>
        <v>0.11833731308735722</v>
      </c>
    </row>
    <row r="275" spans="2:12" x14ac:dyDescent="0.25">
      <c r="B275" t="str">
        <f ca="1">IF(_xll.TM1RPTELISCONSOLIDATED($E$42,$E275),IF(_xll.TM1RPTELLEV($E$42,$E275)&lt;=3,_xll.TM1RPTELLEV($E$42,$E275),"D"),"N")</f>
        <v>N</v>
      </c>
      <c r="C275">
        <v>1</v>
      </c>
      <c r="D275" s="20"/>
      <c r="E275" s="22" t="s">
        <v>273</v>
      </c>
      <c r="F275" s="8">
        <f ca="1">_xll.DBRW($E$9,$F$16,$F$19,$F$20,$F$21,$F$22,$E275,$F$13,$F$14,F$39)</f>
        <v>1034319.0800000022</v>
      </c>
      <c r="G275" s="28">
        <f t="shared" ca="1" si="15"/>
        <v>1034319.0800000022</v>
      </c>
      <c r="H275" s="8">
        <f t="shared" ca="1" si="16"/>
        <v>1034319.0800000022</v>
      </c>
      <c r="I275" s="8">
        <f t="shared" ca="1" si="17"/>
        <v>1</v>
      </c>
      <c r="J275" s="43" t="str">
        <f t="shared" ca="1" si="18"/>
        <v>3,7</v>
      </c>
      <c r="K275" s="8">
        <f ca="1">_xll.DBRW($E$9,$F$16,$F$19,$F$20,$F$21,$F$22,$E275,$F$13,$F$14,K$39)</f>
        <v>3692922.3800000008</v>
      </c>
      <c r="L275" s="34">
        <f t="shared" ca="1" si="19"/>
        <v>0.28008145678924395</v>
      </c>
    </row>
    <row r="276" spans="2:12" x14ac:dyDescent="0.25">
      <c r="B276" t="str">
        <f ca="1">IF(_xll.TM1RPTELISCONSOLIDATED($E$42,$E276),IF(_xll.TM1RPTELLEV($E$42,$E276)&lt;=3,_xll.TM1RPTELLEV($E$42,$E276),"D"),"N")</f>
        <v>N</v>
      </c>
      <c r="C276">
        <v>1</v>
      </c>
      <c r="D276" s="20"/>
      <c r="E276" s="22" t="s">
        <v>129</v>
      </c>
      <c r="F276" s="8">
        <f ca="1">_xll.DBRW($E$9,$F$16,$F$19,$F$20,$F$21,$F$22,$E276,$F$13,$F$14,F$39)</f>
        <v>1039093.1200000009</v>
      </c>
      <c r="G276" s="28">
        <f t="shared" ca="1" si="15"/>
        <v>1039093.1200000009</v>
      </c>
      <c r="H276" s="8">
        <f t="shared" ca="1" si="16"/>
        <v>1039093.1200000009</v>
      </c>
      <c r="I276" s="8">
        <f t="shared" ca="1" si="17"/>
        <v>1</v>
      </c>
      <c r="J276" s="43" t="str">
        <f t="shared" ca="1" si="18"/>
        <v>13,2</v>
      </c>
      <c r="K276" s="8">
        <f ca="1">_xll.DBRW($E$9,$F$16,$F$19,$F$20,$F$21,$F$22,$E276,$F$13,$F$14,K$39)</f>
        <v>13201326.839999998</v>
      </c>
      <c r="L276" s="34">
        <f t="shared" ca="1" si="19"/>
        <v>7.8711263844445586E-2</v>
      </c>
    </row>
    <row r="277" spans="2:12" x14ac:dyDescent="0.25">
      <c r="B277" t="str">
        <f ca="1">IF(_xll.TM1RPTELISCONSOLIDATED($E$42,$E277),IF(_xll.TM1RPTELLEV($E$42,$E277)&lt;=3,_xll.TM1RPTELLEV($E$42,$E277),"D"),"N")</f>
        <v>N</v>
      </c>
      <c r="C277">
        <v>1</v>
      </c>
      <c r="D277" s="20"/>
      <c r="E277" s="22" t="s">
        <v>146</v>
      </c>
      <c r="F277" s="8">
        <f ca="1">_xll.DBRW($E$9,$F$16,$F$19,$F$20,$F$21,$F$22,$E277,$F$13,$F$14,F$39)</f>
        <v>1085430.0599999982</v>
      </c>
      <c r="G277" s="28">
        <f t="shared" ca="1" si="15"/>
        <v>1085430.0599999982</v>
      </c>
      <c r="H277" s="8">
        <f t="shared" ca="1" si="16"/>
        <v>1085430.0599999982</v>
      </c>
      <c r="I277" s="8">
        <f t="shared" ca="1" si="17"/>
        <v>1</v>
      </c>
      <c r="J277" s="43" t="str">
        <f t="shared" ca="1" si="18"/>
        <v>22,7</v>
      </c>
      <c r="K277" s="8">
        <f ca="1">_xll.DBRW($E$9,$F$16,$F$19,$F$20,$F$21,$F$22,$E277,$F$13,$F$14,K$39)</f>
        <v>22725346.819999997</v>
      </c>
      <c r="L277" s="34">
        <f t="shared" ca="1" si="19"/>
        <v>4.7762970070262645E-2</v>
      </c>
    </row>
    <row r="278" spans="2:12" x14ac:dyDescent="0.25">
      <c r="B278" t="str">
        <f ca="1">IF(_xll.TM1RPTELISCONSOLIDATED($E$42,$E278),IF(_xll.TM1RPTELLEV($E$42,$E278)&lt;=3,_xll.TM1RPTELLEV($E$42,$E278),"D"),"N")</f>
        <v>N</v>
      </c>
      <c r="C278">
        <v>1</v>
      </c>
      <c r="D278" s="20"/>
      <c r="E278" s="22" t="s">
        <v>274</v>
      </c>
      <c r="F278" s="8">
        <f ca="1">_xll.DBRW($E$9,$F$16,$F$19,$F$20,$F$21,$F$22,$E278,$F$13,$F$14,F$39)</f>
        <v>1105231.1499999959</v>
      </c>
      <c r="G278" s="28">
        <f t="shared" ca="1" si="15"/>
        <v>1105231.1499999959</v>
      </c>
      <c r="H278" s="8">
        <f t="shared" ca="1" si="16"/>
        <v>1105231.1499999959</v>
      </c>
      <c r="I278" s="8">
        <f t="shared" ca="1" si="17"/>
        <v>1</v>
      </c>
      <c r="J278" s="43" t="str">
        <f t="shared" ca="1" si="18"/>
        <v>19,2</v>
      </c>
      <c r="K278" s="8">
        <f ca="1">_xll.DBRW($E$9,$F$16,$F$19,$F$20,$F$21,$F$22,$E278,$F$13,$F$14,K$39)</f>
        <v>19219264.859999996</v>
      </c>
      <c r="L278" s="34">
        <f t="shared" ca="1" si="19"/>
        <v>5.7506421710242055E-2</v>
      </c>
    </row>
    <row r="279" spans="2:12" x14ac:dyDescent="0.25">
      <c r="B279" t="str">
        <f ca="1">IF(_xll.TM1RPTELISCONSOLIDATED($E$42,$E279),IF(_xll.TM1RPTELLEV($E$42,$E279)&lt;=3,_xll.TM1RPTELLEV($E$42,$E279),"D"),"N")</f>
        <v>N</v>
      </c>
      <c r="C279">
        <v>1</v>
      </c>
      <c r="D279" s="20"/>
      <c r="E279" s="22" t="s">
        <v>135</v>
      </c>
      <c r="F279" s="8">
        <f ca="1">_xll.DBRW($E$9,$F$16,$F$19,$F$20,$F$21,$F$22,$E279,$F$13,$F$14,F$39)</f>
        <v>1135302.5800000022</v>
      </c>
      <c r="G279" s="28">
        <f t="shared" ca="1" si="15"/>
        <v>1135302.5800000022</v>
      </c>
      <c r="H279" s="8">
        <f t="shared" ca="1" si="16"/>
        <v>1135302.5800000022</v>
      </c>
      <c r="I279" s="8">
        <f t="shared" ca="1" si="17"/>
        <v>1</v>
      </c>
      <c r="J279" s="43" t="str">
        <f t="shared" ca="1" si="18"/>
        <v>12,9</v>
      </c>
      <c r="K279" s="8">
        <f ca="1">_xll.DBRW($E$9,$F$16,$F$19,$F$20,$F$21,$F$22,$E279,$F$13,$F$14,K$39)</f>
        <v>12915557.760000002</v>
      </c>
      <c r="L279" s="34">
        <f t="shared" ca="1" si="19"/>
        <v>8.7901939745574101E-2</v>
      </c>
    </row>
    <row r="280" spans="2:12" x14ac:dyDescent="0.25">
      <c r="B280" t="str">
        <f ca="1">IF(_xll.TM1RPTELISCONSOLIDATED($E$42,$E280),IF(_xll.TM1RPTELLEV($E$42,$E280)&lt;=3,_xll.TM1RPTELLEV($E$42,$E280),"D"),"N")</f>
        <v>N</v>
      </c>
      <c r="C280">
        <v>1</v>
      </c>
      <c r="D280" s="20"/>
      <c r="E280" s="22" t="s">
        <v>138</v>
      </c>
      <c r="F280" s="8">
        <f ca="1">_xll.DBRW($E$9,$F$16,$F$19,$F$20,$F$21,$F$22,$E280,$F$13,$F$14,F$39)</f>
        <v>1189884.8799999957</v>
      </c>
      <c r="G280" s="28">
        <f t="shared" ca="1" si="15"/>
        <v>1189884.8799999957</v>
      </c>
      <c r="H280" s="8">
        <f t="shared" ca="1" si="16"/>
        <v>1189884.8799999957</v>
      </c>
      <c r="I280" s="8">
        <f t="shared" ca="1" si="17"/>
        <v>1</v>
      </c>
      <c r="J280" s="43" t="str">
        <f t="shared" ca="1" si="18"/>
        <v>13,3</v>
      </c>
      <c r="K280" s="8">
        <f ca="1">_xll.DBRW($E$9,$F$16,$F$19,$F$20,$F$21,$F$22,$E280,$F$13,$F$14,K$39)</f>
        <v>13290186.739999995</v>
      </c>
      <c r="L280" s="34">
        <f t="shared" ca="1" si="19"/>
        <v>8.9531088108698476E-2</v>
      </c>
    </row>
    <row r="281" spans="2:12" x14ac:dyDescent="0.25">
      <c r="B281" t="str">
        <f ca="1">IF(_xll.TM1RPTELISCONSOLIDATED($E$42,$E281),IF(_xll.TM1RPTELLEV($E$42,$E281)&lt;=3,_xll.TM1RPTELLEV($E$42,$E281),"D"),"N")</f>
        <v>N</v>
      </c>
      <c r="C281">
        <v>1</v>
      </c>
      <c r="D281" s="20"/>
      <c r="E281" s="22" t="s">
        <v>275</v>
      </c>
      <c r="F281" s="8">
        <f ca="1">_xll.DBRW($E$9,$F$16,$F$19,$F$20,$F$21,$F$22,$E281,$F$13,$F$14,F$39)</f>
        <v>1221371.9699999979</v>
      </c>
      <c r="G281" s="28">
        <f t="shared" ca="1" si="15"/>
        <v>1221371.9699999979</v>
      </c>
      <c r="H281" s="8">
        <f t="shared" ca="1" si="16"/>
        <v>1221371.9699999979</v>
      </c>
      <c r="I281" s="8">
        <f t="shared" ca="1" si="17"/>
        <v>1</v>
      </c>
      <c r="J281" s="43" t="str">
        <f t="shared" ca="1" si="18"/>
        <v>10,2</v>
      </c>
      <c r="K281" s="8">
        <f ca="1">_xll.DBRW($E$9,$F$16,$F$19,$F$20,$F$21,$F$22,$E281,$F$13,$F$14,K$39)</f>
        <v>10195066.959999999</v>
      </c>
      <c r="L281" s="34">
        <f t="shared" ca="1" si="19"/>
        <v>0.11980028917828686</v>
      </c>
    </row>
    <row r="282" spans="2:12" x14ac:dyDescent="0.25">
      <c r="B282" t="str">
        <f ca="1">IF(_xll.TM1RPTELISCONSOLIDATED($E$42,$E282),IF(_xll.TM1RPTELLEV($E$42,$E282)&lt;=3,_xll.TM1RPTELLEV($E$42,$E282),"D"),"N")</f>
        <v>N</v>
      </c>
      <c r="C282">
        <v>1</v>
      </c>
      <c r="D282" s="20"/>
      <c r="E282" s="22" t="s">
        <v>140</v>
      </c>
      <c r="F282" s="8">
        <f ca="1">_xll.DBRW($E$9,$F$16,$F$19,$F$20,$F$21,$F$22,$E282,$F$13,$F$14,F$39)</f>
        <v>1227041.4400000006</v>
      </c>
      <c r="G282" s="28">
        <f t="shared" ca="1" si="15"/>
        <v>1227041.4400000006</v>
      </c>
      <c r="H282" s="8">
        <f t="shared" ca="1" si="16"/>
        <v>1227041.4400000006</v>
      </c>
      <c r="I282" s="8">
        <f t="shared" ca="1" si="17"/>
        <v>1</v>
      </c>
      <c r="J282" s="43" t="str">
        <f t="shared" ca="1" si="18"/>
        <v>14,3</v>
      </c>
      <c r="K282" s="8">
        <f ca="1">_xll.DBRW($E$9,$F$16,$F$19,$F$20,$F$21,$F$22,$E282,$F$13,$F$14,K$39)</f>
        <v>14278100.529999999</v>
      </c>
      <c r="L282" s="34">
        <f t="shared" ca="1" si="19"/>
        <v>8.5938702940341366E-2</v>
      </c>
    </row>
    <row r="283" spans="2:12" x14ac:dyDescent="0.25">
      <c r="B283" t="str">
        <f ca="1">IF(_xll.TM1RPTELISCONSOLIDATED($E$42,$E283),IF(_xll.TM1RPTELLEV($E$42,$E283)&lt;=3,_xll.TM1RPTELLEV($E$42,$E283),"D"),"N")</f>
        <v>N</v>
      </c>
      <c r="C283">
        <v>1</v>
      </c>
      <c r="D283" s="20"/>
      <c r="E283" s="22" t="s">
        <v>148</v>
      </c>
      <c r="F283" s="8">
        <f ca="1">_xll.DBRW($E$9,$F$16,$F$19,$F$20,$F$21,$F$22,$E283,$F$13,$F$14,F$39)</f>
        <v>1233280.5700000059</v>
      </c>
      <c r="G283" s="28">
        <f t="shared" ca="1" si="15"/>
        <v>1233280.5700000059</v>
      </c>
      <c r="H283" s="8">
        <f t="shared" ca="1" si="16"/>
        <v>1233280.5700000059</v>
      </c>
      <c r="I283" s="8">
        <f t="shared" ca="1" si="17"/>
        <v>1</v>
      </c>
      <c r="J283" s="43" t="str">
        <f t="shared" ca="1" si="18"/>
        <v>21,2</v>
      </c>
      <c r="K283" s="8">
        <f ca="1">_xll.DBRW($E$9,$F$16,$F$19,$F$20,$F$21,$F$22,$E283,$F$13,$F$14,K$39)</f>
        <v>21159387.010000002</v>
      </c>
      <c r="L283" s="34">
        <f t="shared" ca="1" si="19"/>
        <v>5.8285269295237765E-2</v>
      </c>
    </row>
    <row r="284" spans="2:12" x14ac:dyDescent="0.25">
      <c r="B284" t="str">
        <f ca="1">IF(_xll.TM1RPTELISCONSOLIDATED($E$42,$E284),IF(_xll.TM1RPTELLEV($E$42,$E284)&lt;=3,_xll.TM1RPTELLEV($E$42,$E284),"D"),"N")</f>
        <v>N</v>
      </c>
      <c r="C284">
        <v>1</v>
      </c>
      <c r="D284" s="20"/>
      <c r="E284" s="22" t="s">
        <v>144</v>
      </c>
      <c r="F284" s="8">
        <f ca="1">_xll.DBRW($E$9,$F$16,$F$19,$F$20,$F$21,$F$22,$E284,$F$13,$F$14,F$39)</f>
        <v>1251418.0899999924</v>
      </c>
      <c r="G284" s="28">
        <f t="shared" ca="1" si="15"/>
        <v>1251418.0899999924</v>
      </c>
      <c r="H284" s="8">
        <f t="shared" ca="1" si="16"/>
        <v>1251418.0899999924</v>
      </c>
      <c r="I284" s="8">
        <f t="shared" ca="1" si="17"/>
        <v>1</v>
      </c>
      <c r="J284" s="43" t="str">
        <f t="shared" ca="1" si="18"/>
        <v>18,6</v>
      </c>
      <c r="K284" s="8">
        <f ca="1">_xll.DBRW($E$9,$F$16,$F$19,$F$20,$F$21,$F$22,$E284,$F$13,$F$14,K$39)</f>
        <v>18597662.479999997</v>
      </c>
      <c r="L284" s="34">
        <f t="shared" ca="1" si="19"/>
        <v>6.7288998891434484E-2</v>
      </c>
    </row>
    <row r="285" spans="2:12" x14ac:dyDescent="0.25">
      <c r="B285" t="str">
        <f ca="1">IF(_xll.TM1RPTELISCONSOLIDATED($E$42,$E285),IF(_xll.TM1RPTELLEV($E$42,$E285)&lt;=3,_xll.TM1RPTELLEV($E$42,$E285),"D"),"N")</f>
        <v>N</v>
      </c>
      <c r="C285">
        <v>1</v>
      </c>
      <c r="D285" s="20"/>
      <c r="E285" s="22" t="s">
        <v>149</v>
      </c>
      <c r="F285" s="8">
        <f ca="1">_xll.DBRW($E$9,$F$16,$F$19,$F$20,$F$21,$F$22,$E285,$F$13,$F$14,F$39)</f>
        <v>1397489.5699999933</v>
      </c>
      <c r="G285" s="28">
        <f t="shared" ca="1" si="15"/>
        <v>1397489.5699999933</v>
      </c>
      <c r="H285" s="8">
        <f t="shared" ca="1" si="16"/>
        <v>1397489.5699999933</v>
      </c>
      <c r="I285" s="8">
        <f t="shared" ca="1" si="17"/>
        <v>1</v>
      </c>
      <c r="J285" s="43" t="str">
        <f t="shared" ca="1" si="18"/>
        <v>21,3</v>
      </c>
      <c r="K285" s="8">
        <f ca="1">_xll.DBRW($E$9,$F$16,$F$19,$F$20,$F$21,$F$22,$E285,$F$13,$F$14,K$39)</f>
        <v>21268067.179999996</v>
      </c>
      <c r="L285" s="34">
        <f t="shared" ca="1" si="19"/>
        <v>6.5708348491308161E-2</v>
      </c>
    </row>
    <row r="286" spans="2:12" x14ac:dyDescent="0.25">
      <c r="B286" t="str">
        <f ca="1">IF(_xll.TM1RPTELISCONSOLIDATED($E$42,$E286),IF(_xll.TM1RPTELLEV($E$42,$E286)&lt;=3,_xll.TM1RPTELLEV($E$42,$E286),"D"),"N")</f>
        <v>N</v>
      </c>
      <c r="C286">
        <v>1</v>
      </c>
      <c r="D286" s="20"/>
      <c r="E286" s="22" t="s">
        <v>30</v>
      </c>
      <c r="F286" s="8">
        <f ca="1">_xll.DBRW($E$9,$F$16,$F$19,$F$20,$F$21,$F$22,$E286,$F$13,$F$14,F$39)</f>
        <v>1400272.1500000008</v>
      </c>
      <c r="G286" s="28">
        <f t="shared" ca="1" si="15"/>
        <v>1400272.1500000008</v>
      </c>
      <c r="H286" s="8">
        <f t="shared" ca="1" si="16"/>
        <v>1400272.1500000008</v>
      </c>
      <c r="I286" s="8">
        <f t="shared" ca="1" si="17"/>
        <v>1</v>
      </c>
      <c r="J286" s="43" t="str">
        <f t="shared" ca="1" si="18"/>
        <v>51,0</v>
      </c>
      <c r="K286" s="8">
        <f ca="1">_xll.DBRW($E$9,$F$16,$F$19,$F$20,$F$21,$F$22,$E286,$F$13,$F$14,K$39)</f>
        <v>50988431.969999991</v>
      </c>
      <c r="L286" s="34">
        <f t="shared" ca="1" si="19"/>
        <v>2.7462545834393916E-2</v>
      </c>
    </row>
    <row r="287" spans="2:12" x14ac:dyDescent="0.25">
      <c r="B287" t="str">
        <f ca="1">IF(_xll.TM1RPTELISCONSOLIDATED($E$42,$E287),IF(_xll.TM1RPTELLEV($E$42,$E287)&lt;=3,_xll.TM1RPTELLEV($E$42,$E287),"D"),"N")</f>
        <v>N</v>
      </c>
      <c r="C287">
        <v>1</v>
      </c>
      <c r="D287" s="20"/>
      <c r="E287" s="22" t="s">
        <v>157</v>
      </c>
      <c r="F287" s="8">
        <f ca="1">_xll.DBRW($E$9,$F$16,$F$19,$F$20,$F$21,$F$22,$E287,$F$13,$F$14,F$39)</f>
        <v>1410917.4399999955</v>
      </c>
      <c r="G287" s="28">
        <f t="shared" ca="1" si="15"/>
        <v>1410917.4399999955</v>
      </c>
      <c r="H287" s="8">
        <f t="shared" ca="1" si="16"/>
        <v>1410917.4399999955</v>
      </c>
      <c r="I287" s="8">
        <f t="shared" ca="1" si="17"/>
        <v>1</v>
      </c>
      <c r="J287" s="43" t="str">
        <f t="shared" ca="1" si="18"/>
        <v>58,2</v>
      </c>
      <c r="K287" s="8">
        <f ca="1">_xll.DBRW($E$9,$F$16,$F$19,$F$20,$F$21,$F$22,$E287,$F$13,$F$14,K$39)</f>
        <v>58190277.75</v>
      </c>
      <c r="L287" s="34">
        <f t="shared" ca="1" si="19"/>
        <v>2.4246618070146529E-2</v>
      </c>
    </row>
    <row r="288" spans="2:12" x14ac:dyDescent="0.25">
      <c r="B288" t="str">
        <f ca="1">IF(_xll.TM1RPTELISCONSOLIDATED($E$42,$E288),IF(_xll.TM1RPTELLEV($E$42,$E288)&lt;=3,_xll.TM1RPTELLEV($E$42,$E288),"D"),"N")</f>
        <v>N</v>
      </c>
      <c r="C288">
        <v>1</v>
      </c>
      <c r="D288" s="20"/>
      <c r="E288" s="22" t="s">
        <v>153</v>
      </c>
      <c r="F288" s="8">
        <f ca="1">_xll.DBRW($E$9,$F$16,$F$19,$F$20,$F$21,$F$22,$E288,$F$13,$F$14,F$39)</f>
        <v>1448640.8400000057</v>
      </c>
      <c r="G288" s="28">
        <f t="shared" ca="1" si="15"/>
        <v>1448640.8400000057</v>
      </c>
      <c r="H288" s="8">
        <f t="shared" ca="1" si="16"/>
        <v>1448640.8400000057</v>
      </c>
      <c r="I288" s="8">
        <f t="shared" ca="1" si="17"/>
        <v>1</v>
      </c>
      <c r="J288" s="43" t="str">
        <f t="shared" ca="1" si="18"/>
        <v>28,9</v>
      </c>
      <c r="K288" s="8">
        <f ca="1">_xll.DBRW($E$9,$F$16,$F$19,$F$20,$F$21,$F$22,$E288,$F$13,$F$14,K$39)</f>
        <v>28881448.230000004</v>
      </c>
      <c r="L288" s="34">
        <f t="shared" ca="1" si="19"/>
        <v>5.0158178650309512E-2</v>
      </c>
    </row>
    <row r="289" spans="2:12" x14ac:dyDescent="0.25">
      <c r="B289" t="str">
        <f ca="1">IF(_xll.TM1RPTELISCONSOLIDATED($E$42,$E289),IF(_xll.TM1RPTELLEV($E$42,$E289)&lt;=3,_xll.TM1RPTELLEV($E$42,$E289),"D"),"N")</f>
        <v>N</v>
      </c>
      <c r="C289">
        <v>1</v>
      </c>
      <c r="D289" s="20"/>
      <c r="E289" s="22" t="s">
        <v>276</v>
      </c>
      <c r="F289" s="8">
        <f ca="1">_xll.DBRW($E$9,$F$16,$F$19,$F$20,$F$21,$F$22,$E289,$F$13,$F$14,F$39)</f>
        <v>1568242.3300000005</v>
      </c>
      <c r="G289" s="28">
        <f t="shared" ca="1" si="15"/>
        <v>1568242.3300000005</v>
      </c>
      <c r="H289" s="8">
        <f t="shared" ca="1" si="16"/>
        <v>1568242.3300000005</v>
      </c>
      <c r="I289" s="8">
        <f t="shared" ca="1" si="17"/>
        <v>1</v>
      </c>
      <c r="J289" s="43" t="str">
        <f t="shared" ca="1" si="18"/>
        <v>6,4</v>
      </c>
      <c r="K289" s="8">
        <f ca="1">_xll.DBRW($E$9,$F$16,$F$19,$F$20,$F$21,$F$22,$E289,$F$13,$F$14,K$39)</f>
        <v>6371052.4199999999</v>
      </c>
      <c r="L289" s="34">
        <f t="shared" ca="1" si="19"/>
        <v>0.246151220648723</v>
      </c>
    </row>
    <row r="290" spans="2:12" x14ac:dyDescent="0.25">
      <c r="B290" t="str">
        <f ca="1">IF(_xll.TM1RPTELISCONSOLIDATED($E$42,$E290),IF(_xll.TM1RPTELLEV($E$42,$E290)&lt;=3,_xll.TM1RPTELLEV($E$42,$E290),"D"),"N")</f>
        <v>N</v>
      </c>
      <c r="C290">
        <v>1</v>
      </c>
      <c r="D290" s="20"/>
      <c r="E290" s="22" t="s">
        <v>147</v>
      </c>
      <c r="F290" s="8">
        <f ca="1">_xll.DBRW($E$9,$F$16,$F$19,$F$20,$F$21,$F$22,$E290,$F$13,$F$14,F$39)</f>
        <v>1588971.5699999998</v>
      </c>
      <c r="G290" s="28">
        <f t="shared" ca="1" si="15"/>
        <v>1588971.5699999998</v>
      </c>
      <c r="H290" s="8">
        <f t="shared" ca="1" si="16"/>
        <v>1588971.5699999998</v>
      </c>
      <c r="I290" s="8">
        <f t="shared" ca="1" si="17"/>
        <v>1</v>
      </c>
      <c r="J290" s="43" t="str">
        <f t="shared" ca="1" si="18"/>
        <v>15,8</v>
      </c>
      <c r="K290" s="8">
        <f ca="1">_xll.DBRW($E$9,$F$16,$F$19,$F$20,$F$21,$F$22,$E290,$F$13,$F$14,K$39)</f>
        <v>15817708.220000001</v>
      </c>
      <c r="L290" s="34">
        <f t="shared" ca="1" si="19"/>
        <v>0.10045523333088767</v>
      </c>
    </row>
    <row r="291" spans="2:12" x14ac:dyDescent="0.25">
      <c r="B291" t="str">
        <f ca="1">IF(_xll.TM1RPTELISCONSOLIDATED($E$42,$E291),IF(_xll.TM1RPTELLEV($E$42,$E291)&lt;=3,_xll.TM1RPTELLEV($E$42,$E291),"D"),"N")</f>
        <v>N</v>
      </c>
      <c r="C291">
        <v>1</v>
      </c>
      <c r="D291" s="20"/>
      <c r="E291" s="22" t="s">
        <v>277</v>
      </c>
      <c r="F291" s="8">
        <f ca="1">_xll.DBRW($E$9,$F$16,$F$19,$F$20,$F$21,$F$22,$E291,$F$13,$F$14,F$39)</f>
        <v>1656990.26999999</v>
      </c>
      <c r="G291" s="28">
        <f t="shared" ca="1" si="15"/>
        <v>1656990.26999999</v>
      </c>
      <c r="H291" s="8">
        <f t="shared" ca="1" si="16"/>
        <v>1656990.26999999</v>
      </c>
      <c r="I291" s="8">
        <f t="shared" ca="1" si="17"/>
        <v>1</v>
      </c>
      <c r="J291" s="43" t="str">
        <f t="shared" ca="1" si="18"/>
        <v>51,8</v>
      </c>
      <c r="K291" s="8">
        <f ca="1">_xll.DBRW($E$9,$F$16,$F$19,$F$20,$F$21,$F$22,$E291,$F$13,$F$14,K$39)</f>
        <v>51754310.099999994</v>
      </c>
      <c r="L291" s="34">
        <f t="shared" ca="1" si="19"/>
        <v>3.2016469097903989E-2</v>
      </c>
    </row>
    <row r="292" spans="2:12" x14ac:dyDescent="0.25">
      <c r="B292" t="str">
        <f ca="1">IF(_xll.TM1RPTELISCONSOLIDATED($E$42,$E292),IF(_xll.TM1RPTELLEV($E$42,$E292)&lt;=3,_xll.TM1RPTELLEV($E$42,$E292),"D"),"N")</f>
        <v>N</v>
      </c>
      <c r="C292">
        <v>1</v>
      </c>
      <c r="D292" s="20"/>
      <c r="E292" s="22" t="s">
        <v>278</v>
      </c>
      <c r="F292" s="8">
        <f ca="1">_xll.DBRW($E$9,$F$16,$F$19,$F$20,$F$21,$F$22,$E292,$F$13,$F$14,F$39)</f>
        <v>1733255.5900000057</v>
      </c>
      <c r="G292" s="28">
        <f t="shared" ca="1" si="15"/>
        <v>1733255.5900000057</v>
      </c>
      <c r="H292" s="8">
        <f t="shared" ca="1" si="16"/>
        <v>1733255.5900000057</v>
      </c>
      <c r="I292" s="8">
        <f t="shared" ca="1" si="17"/>
        <v>1</v>
      </c>
      <c r="J292" s="43" t="str">
        <f t="shared" ca="1" si="18"/>
        <v>14,9</v>
      </c>
      <c r="K292" s="8">
        <f ca="1">_xll.DBRW($E$9,$F$16,$F$19,$F$20,$F$21,$F$22,$E292,$F$13,$F$14,K$39)</f>
        <v>14906784.770000001</v>
      </c>
      <c r="L292" s="34">
        <f t="shared" ca="1" si="19"/>
        <v>0.11627293321415584</v>
      </c>
    </row>
    <row r="293" spans="2:12" x14ac:dyDescent="0.25">
      <c r="B293" t="str">
        <f ca="1">IF(_xll.TM1RPTELISCONSOLIDATED($E$42,$E293),IF(_xll.TM1RPTELLEV($E$42,$E293)&lt;=3,_xll.TM1RPTELLEV($E$42,$E293),"D"),"N")</f>
        <v>N</v>
      </c>
      <c r="C293">
        <v>1</v>
      </c>
      <c r="D293" s="20"/>
      <c r="E293" s="22" t="s">
        <v>279</v>
      </c>
      <c r="F293" s="8">
        <f ca="1">_xll.DBRW($E$9,$F$16,$F$19,$F$20,$F$21,$F$22,$E293,$F$13,$F$14,F$39)</f>
        <v>1759187.1599999995</v>
      </c>
      <c r="G293" s="28">
        <f t="shared" ca="1" si="15"/>
        <v>1759187.1599999995</v>
      </c>
      <c r="H293" s="8">
        <f t="shared" ca="1" si="16"/>
        <v>1759187.1599999995</v>
      </c>
      <c r="I293" s="8">
        <f t="shared" ca="1" si="17"/>
        <v>1</v>
      </c>
      <c r="J293" s="43" t="str">
        <f t="shared" ca="1" si="18"/>
        <v>9,2</v>
      </c>
      <c r="K293" s="8">
        <f ca="1">_xll.DBRW($E$9,$F$16,$F$19,$F$20,$F$21,$F$22,$E293,$F$13,$F$14,K$39)</f>
        <v>9214530.4000000004</v>
      </c>
      <c r="L293" s="34">
        <f t="shared" ca="1" si="19"/>
        <v>0.19091446700311493</v>
      </c>
    </row>
    <row r="294" spans="2:12" x14ac:dyDescent="0.25">
      <c r="B294" t="str">
        <f ca="1">IF(_xll.TM1RPTELISCONSOLIDATED($E$42,$E294),IF(_xll.TM1RPTELLEV($E$42,$E294)&lt;=3,_xll.TM1RPTELLEV($E$42,$E294),"D"),"N")</f>
        <v>N</v>
      </c>
      <c r="C294">
        <v>1</v>
      </c>
      <c r="D294" s="20"/>
      <c r="E294" s="22" t="s">
        <v>280</v>
      </c>
      <c r="F294" s="8">
        <f ca="1">_xll.DBRW($E$9,$F$16,$F$19,$F$20,$F$21,$F$22,$E294,$F$13,$F$14,F$39)</f>
        <v>1912698.5999999971</v>
      </c>
      <c r="G294" s="28">
        <f t="shared" ca="1" si="15"/>
        <v>1912698.5999999971</v>
      </c>
      <c r="H294" s="8">
        <f t="shared" ca="1" si="16"/>
        <v>1912698.5999999971</v>
      </c>
      <c r="I294" s="8">
        <f t="shared" ca="1" si="17"/>
        <v>1</v>
      </c>
      <c r="J294" s="43" t="str">
        <f t="shared" ca="1" si="18"/>
        <v>16,4</v>
      </c>
      <c r="K294" s="8">
        <f ca="1">_xll.DBRW($E$9,$F$16,$F$19,$F$20,$F$21,$F$22,$E294,$F$13,$F$14,K$39)</f>
        <v>16432184.859999999</v>
      </c>
      <c r="L294" s="34">
        <f t="shared" ca="1" si="19"/>
        <v>0.11639953033001585</v>
      </c>
    </row>
    <row r="295" spans="2:12" x14ac:dyDescent="0.25">
      <c r="B295" t="str">
        <f ca="1">IF(_xll.TM1RPTELISCONSOLIDATED($E$42,$E295),IF(_xll.TM1RPTELLEV($E$42,$E295)&lt;=3,_xll.TM1RPTELLEV($E$42,$E295),"D"),"N")</f>
        <v>N</v>
      </c>
      <c r="C295">
        <v>1</v>
      </c>
      <c r="D295" s="20"/>
      <c r="E295" s="22" t="s">
        <v>281</v>
      </c>
      <c r="F295" s="8">
        <f ca="1">_xll.DBRW($E$9,$F$16,$F$19,$F$20,$F$21,$F$22,$E295,$F$13,$F$14,F$39)</f>
        <v>2038566.2699999989</v>
      </c>
      <c r="G295" s="28">
        <f t="shared" ca="1" si="15"/>
        <v>2038566.2699999989</v>
      </c>
      <c r="H295" s="8">
        <f t="shared" ca="1" si="16"/>
        <v>2038566.2699999989</v>
      </c>
      <c r="I295" s="8">
        <f t="shared" ca="1" si="17"/>
        <v>1</v>
      </c>
      <c r="J295" s="43" t="str">
        <f t="shared" ca="1" si="18"/>
        <v>2,5</v>
      </c>
      <c r="K295" s="8">
        <f ca="1">_xll.DBRW($E$9,$F$16,$F$19,$F$20,$F$21,$F$22,$E295,$F$13,$F$14,K$39)</f>
        <v>2539490.0599999996</v>
      </c>
      <c r="L295" s="34">
        <f t="shared" ca="1" si="19"/>
        <v>0.80274630805209735</v>
      </c>
    </row>
    <row r="296" spans="2:12" x14ac:dyDescent="0.25">
      <c r="B296" t="str">
        <f ca="1">IF(_xll.TM1RPTELISCONSOLIDATED($E$42,$E296),IF(_xll.TM1RPTELLEV($E$42,$E296)&lt;=3,_xll.TM1RPTELLEV($E$42,$E296),"D"),"N")</f>
        <v>N</v>
      </c>
      <c r="C296">
        <v>1</v>
      </c>
      <c r="D296" s="20"/>
      <c r="E296" s="22" t="s">
        <v>154</v>
      </c>
      <c r="F296" s="8">
        <f ca="1">_xll.DBRW($E$9,$F$16,$F$19,$F$20,$F$21,$F$22,$E296,$F$13,$F$14,F$39)</f>
        <v>2183509.0900000059</v>
      </c>
      <c r="G296" s="28">
        <f t="shared" ca="1" si="15"/>
        <v>2183509.0900000059</v>
      </c>
      <c r="H296" s="8">
        <f t="shared" ca="1" si="16"/>
        <v>2183509.0900000059</v>
      </c>
      <c r="I296" s="8">
        <f t="shared" ca="1" si="17"/>
        <v>1</v>
      </c>
      <c r="J296" s="43" t="str">
        <f t="shared" ca="1" si="18"/>
        <v>27,6</v>
      </c>
      <c r="K296" s="8">
        <f ca="1">_xll.DBRW($E$9,$F$16,$F$19,$F$20,$F$21,$F$22,$E296,$F$13,$F$14,K$39)</f>
        <v>27589569.690000001</v>
      </c>
      <c r="L296" s="34">
        <f t="shared" ca="1" si="19"/>
        <v>7.9142556934892375E-2</v>
      </c>
    </row>
    <row r="297" spans="2:12" x14ac:dyDescent="0.25">
      <c r="B297" t="str">
        <f ca="1">IF(_xll.TM1RPTELISCONSOLIDATED($E$42,$E297),IF(_xll.TM1RPTELLEV($E$42,$E297)&lt;=3,_xll.TM1RPTELLEV($E$42,$E297),"D"),"N")</f>
        <v>N</v>
      </c>
      <c r="C297">
        <v>1</v>
      </c>
      <c r="D297" s="20"/>
      <c r="E297" s="22" t="s">
        <v>159</v>
      </c>
      <c r="F297" s="8">
        <f ca="1">_xll.DBRW($E$9,$F$16,$F$19,$F$20,$F$21,$F$22,$E297,$F$13,$F$14,F$39)</f>
        <v>2247220.629999998</v>
      </c>
      <c r="G297" s="28">
        <f t="shared" ca="1" si="15"/>
        <v>2247220.629999998</v>
      </c>
      <c r="H297" s="8">
        <f t="shared" ca="1" si="16"/>
        <v>2247220.629999998</v>
      </c>
      <c r="I297" s="8">
        <f t="shared" ca="1" si="17"/>
        <v>1</v>
      </c>
      <c r="J297" s="43" t="str">
        <f t="shared" ca="1" si="18"/>
        <v>23,8</v>
      </c>
      <c r="K297" s="8">
        <f ca="1">_xll.DBRW($E$9,$F$16,$F$19,$F$20,$F$21,$F$22,$E297,$F$13,$F$14,K$39)</f>
        <v>23812806.329999998</v>
      </c>
      <c r="L297" s="34">
        <f t="shared" ca="1" si="19"/>
        <v>9.4370256023494831E-2</v>
      </c>
    </row>
    <row r="298" spans="2:12" x14ac:dyDescent="0.25">
      <c r="B298" t="str">
        <f ca="1">IF(_xll.TM1RPTELISCONSOLIDATED($E$42,$E298),IF(_xll.TM1RPTELLEV($E$42,$E298)&lt;=3,_xll.TM1RPTELLEV($E$42,$E298),"D"),"N")</f>
        <v>N</v>
      </c>
      <c r="C298">
        <v>1</v>
      </c>
      <c r="D298" s="20"/>
      <c r="E298" s="22" t="s">
        <v>150</v>
      </c>
      <c r="F298" s="8">
        <f ca="1">_xll.DBRW($E$9,$F$16,$F$19,$F$20,$F$21,$F$22,$E298,$F$13,$F$14,F$39)</f>
        <v>2311411.700000003</v>
      </c>
      <c r="G298" s="28">
        <f t="shared" ca="1" si="15"/>
        <v>2311411.700000003</v>
      </c>
      <c r="H298" s="8">
        <f t="shared" ca="1" si="16"/>
        <v>2311411.700000003</v>
      </c>
      <c r="I298" s="8">
        <f t="shared" ca="1" si="17"/>
        <v>1</v>
      </c>
      <c r="J298" s="43" t="str">
        <f t="shared" ca="1" si="18"/>
        <v>17,5</v>
      </c>
      <c r="K298" s="8">
        <f ca="1">_xll.DBRW($E$9,$F$16,$F$19,$F$20,$F$21,$F$22,$E298,$F$13,$F$14,K$39)</f>
        <v>17453978.399999999</v>
      </c>
      <c r="L298" s="34">
        <f t="shared" ca="1" si="19"/>
        <v>0.13242893093072713</v>
      </c>
    </row>
    <row r="299" spans="2:12" x14ac:dyDescent="0.25">
      <c r="B299" t="str">
        <f ca="1">IF(_xll.TM1RPTELISCONSOLIDATED($E$42,$E299),IF(_xll.TM1RPTELLEV($E$42,$E299)&lt;=3,_xll.TM1RPTELLEV($E$42,$E299),"D"),"N")</f>
        <v>N</v>
      </c>
      <c r="C299">
        <v>1</v>
      </c>
      <c r="D299" s="20"/>
      <c r="E299" s="22" t="s">
        <v>282</v>
      </c>
      <c r="F299" s="8">
        <f ca="1">_xll.DBRW($E$9,$F$16,$F$19,$F$20,$F$21,$F$22,$E299,$F$13,$F$14,F$39)</f>
        <v>2314022.0299999928</v>
      </c>
      <c r="G299" s="28">
        <f t="shared" ref="G299:G322" ca="1" si="20">F299</f>
        <v>2314022.0299999928</v>
      </c>
      <c r="H299" s="8">
        <f t="shared" ref="H299:H322" ca="1" si="21">F299</f>
        <v>2314022.0299999928</v>
      </c>
      <c r="I299" s="8">
        <f t="shared" ref="I299:I322" ca="1" si="22">IF(H299&lt;0,-1,1)</f>
        <v>1</v>
      </c>
      <c r="J299" s="43" t="str">
        <f t="shared" ref="J299:J322" ca="1" si="23">FIXED(K299/1000000,1,)</f>
        <v>30,4</v>
      </c>
      <c r="K299" s="8">
        <f ca="1">_xll.DBRW($E$9,$F$16,$F$19,$F$20,$F$21,$F$22,$E299,$F$13,$F$14,K$39)</f>
        <v>30358527.679999996</v>
      </c>
      <c r="L299" s="34">
        <f t="shared" ref="L299:L322" ca="1" si="24">IF($K299,F299/$K299,0)</f>
        <v>7.6223130923587429E-2</v>
      </c>
    </row>
    <row r="300" spans="2:12" x14ac:dyDescent="0.25">
      <c r="B300" t="str">
        <f ca="1">IF(_xll.TM1RPTELISCONSOLIDATED($E$42,$E300),IF(_xll.TM1RPTELLEV($E$42,$E300)&lt;=3,_xll.TM1RPTELLEV($E$42,$E300),"D"),"N")</f>
        <v>N</v>
      </c>
      <c r="C300">
        <v>1</v>
      </c>
      <c r="D300" s="20"/>
      <c r="E300" s="22" t="s">
        <v>283</v>
      </c>
      <c r="F300" s="8">
        <f ca="1">_xll.DBRW($E$9,$F$16,$F$19,$F$20,$F$21,$F$22,$E300,$F$13,$F$14,F$39)</f>
        <v>2474536.5800000029</v>
      </c>
      <c r="G300" s="28">
        <f t="shared" ca="1" si="20"/>
        <v>2474536.5800000029</v>
      </c>
      <c r="H300" s="8">
        <f t="shared" ca="1" si="21"/>
        <v>2474536.5800000029</v>
      </c>
      <c r="I300" s="8">
        <f t="shared" ca="1" si="22"/>
        <v>1</v>
      </c>
      <c r="J300" s="43" t="str">
        <f t="shared" ca="1" si="23"/>
        <v>8,5</v>
      </c>
      <c r="K300" s="8">
        <f ca="1">_xll.DBRW($E$9,$F$16,$F$19,$F$20,$F$21,$F$22,$E300,$F$13,$F$14,K$39)</f>
        <v>8532423.5</v>
      </c>
      <c r="L300" s="34">
        <f t="shared" ca="1" si="24"/>
        <v>0.29001567725746419</v>
      </c>
    </row>
    <row r="301" spans="2:12" x14ac:dyDescent="0.25">
      <c r="B301" t="str">
        <f ca="1">IF(_xll.TM1RPTELISCONSOLIDATED($E$42,$E301),IF(_xll.TM1RPTELLEV($E$42,$E301)&lt;=3,_xll.TM1RPTELLEV($E$42,$E301),"D"),"N")</f>
        <v>N</v>
      </c>
      <c r="C301">
        <v>1</v>
      </c>
      <c r="D301" s="20"/>
      <c r="E301" s="22" t="s">
        <v>284</v>
      </c>
      <c r="F301" s="8">
        <f ca="1">_xll.DBRW($E$9,$F$16,$F$19,$F$20,$F$21,$F$22,$E301,$F$13,$F$14,F$39)</f>
        <v>2681839.2000000044</v>
      </c>
      <c r="G301" s="28">
        <f t="shared" ca="1" si="20"/>
        <v>2681839.2000000044</v>
      </c>
      <c r="H301" s="8">
        <f t="shared" ca="1" si="21"/>
        <v>2681839.2000000044</v>
      </c>
      <c r="I301" s="8">
        <f t="shared" ca="1" si="22"/>
        <v>1</v>
      </c>
      <c r="J301" s="43" t="str">
        <f t="shared" ca="1" si="23"/>
        <v>19,5</v>
      </c>
      <c r="K301" s="8">
        <f ca="1">_xll.DBRW($E$9,$F$16,$F$19,$F$20,$F$21,$F$22,$E301,$F$13,$F$14,K$39)</f>
        <v>19480291.720000003</v>
      </c>
      <c r="L301" s="34">
        <f t="shared" ca="1" si="24"/>
        <v>0.13766935518971807</v>
      </c>
    </row>
    <row r="302" spans="2:12" x14ac:dyDescent="0.25">
      <c r="B302" t="str">
        <f ca="1">IF(_xll.TM1RPTELISCONSOLIDATED($E$42,$E302),IF(_xll.TM1RPTELLEV($E$42,$E302)&lt;=3,_xll.TM1RPTELLEV($E$42,$E302),"D"),"N")</f>
        <v>N</v>
      </c>
      <c r="C302">
        <v>1</v>
      </c>
      <c r="D302" s="20"/>
      <c r="E302" s="22" t="s">
        <v>285</v>
      </c>
      <c r="F302" s="8">
        <f ca="1">_xll.DBRW($E$9,$F$16,$F$19,$F$20,$F$21,$F$22,$E302,$F$13,$F$14,F$39)</f>
        <v>2692166.069999998</v>
      </c>
      <c r="G302" s="28">
        <f t="shared" ca="1" si="20"/>
        <v>2692166.069999998</v>
      </c>
      <c r="H302" s="8">
        <f t="shared" ca="1" si="21"/>
        <v>2692166.069999998</v>
      </c>
      <c r="I302" s="8">
        <f t="shared" ca="1" si="22"/>
        <v>1</v>
      </c>
      <c r="J302" s="43" t="str">
        <f t="shared" ca="1" si="23"/>
        <v>15,4</v>
      </c>
      <c r="K302" s="8">
        <f ca="1">_xll.DBRW($E$9,$F$16,$F$19,$F$20,$F$21,$F$22,$E302,$F$13,$F$14,K$39)</f>
        <v>15430543.739999998</v>
      </c>
      <c r="L302" s="34">
        <f t="shared" ca="1" si="24"/>
        <v>0.17446994191275325</v>
      </c>
    </row>
    <row r="303" spans="2:12" x14ac:dyDescent="0.25">
      <c r="B303" t="str">
        <f ca="1">IF(_xll.TM1RPTELISCONSOLIDATED($E$42,$E303),IF(_xll.TM1RPTELLEV($E$42,$E303)&lt;=3,_xll.TM1RPTELLEV($E$42,$E303),"D"),"N")</f>
        <v>N</v>
      </c>
      <c r="C303">
        <v>1</v>
      </c>
      <c r="D303" s="20"/>
      <c r="E303" s="22" t="s">
        <v>286</v>
      </c>
      <c r="F303" s="8">
        <f ca="1">_xll.DBRW($E$9,$F$16,$F$19,$F$20,$F$21,$F$22,$E303,$F$13,$F$14,F$39)</f>
        <v>2905771.7499999981</v>
      </c>
      <c r="G303" s="28">
        <f t="shared" ca="1" si="20"/>
        <v>2905771.7499999981</v>
      </c>
      <c r="H303" s="8">
        <f t="shared" ca="1" si="21"/>
        <v>2905771.7499999981</v>
      </c>
      <c r="I303" s="8">
        <f t="shared" ca="1" si="22"/>
        <v>1</v>
      </c>
      <c r="J303" s="43" t="str">
        <f t="shared" ca="1" si="23"/>
        <v>31,0</v>
      </c>
      <c r="K303" s="8">
        <f ca="1">_xll.DBRW($E$9,$F$16,$F$19,$F$20,$F$21,$F$22,$E303,$F$13,$F$14,K$39)</f>
        <v>30959984.999999996</v>
      </c>
      <c r="L303" s="34">
        <f t="shared" ca="1" si="24"/>
        <v>9.3855722152320117E-2</v>
      </c>
    </row>
    <row r="304" spans="2:12" x14ac:dyDescent="0.25">
      <c r="B304" t="str">
        <f ca="1">IF(_xll.TM1RPTELISCONSOLIDATED($E$42,$E304),IF(_xll.TM1RPTELLEV($E$42,$E304)&lt;=3,_xll.TM1RPTELLEV($E$42,$E304),"D"),"N")</f>
        <v>N</v>
      </c>
      <c r="C304">
        <v>1</v>
      </c>
      <c r="D304" s="20"/>
      <c r="E304" s="22" t="s">
        <v>152</v>
      </c>
      <c r="F304" s="8">
        <f ca="1">_xll.DBRW($E$9,$F$16,$F$19,$F$20,$F$21,$F$22,$E304,$F$13,$F$14,F$39)</f>
        <v>2957809.6500000022</v>
      </c>
      <c r="G304" s="28">
        <f t="shared" ca="1" si="20"/>
        <v>2957809.6500000022</v>
      </c>
      <c r="H304" s="8">
        <f t="shared" ca="1" si="21"/>
        <v>2957809.6500000022</v>
      </c>
      <c r="I304" s="8">
        <f t="shared" ca="1" si="22"/>
        <v>1</v>
      </c>
      <c r="J304" s="43" t="str">
        <f t="shared" ca="1" si="23"/>
        <v>19,5</v>
      </c>
      <c r="K304" s="8">
        <f ca="1">_xll.DBRW($E$9,$F$16,$F$19,$F$20,$F$21,$F$22,$E304,$F$13,$F$14,K$39)</f>
        <v>19469864.800000001</v>
      </c>
      <c r="L304" s="34">
        <f t="shared" ca="1" si="24"/>
        <v>0.15191731839863634</v>
      </c>
    </row>
    <row r="305" spans="2:12" x14ac:dyDescent="0.25">
      <c r="B305" t="str">
        <f ca="1">IF(_xll.TM1RPTELISCONSOLIDATED($E$42,$E305),IF(_xll.TM1RPTELLEV($E$42,$E305)&lt;=3,_xll.TM1RPTELLEV($E$42,$E305),"D"),"N")</f>
        <v>N</v>
      </c>
      <c r="C305">
        <v>1</v>
      </c>
      <c r="D305" s="20"/>
      <c r="E305" s="22" t="s">
        <v>287</v>
      </c>
      <c r="F305" s="8">
        <f ca="1">_xll.DBRW($E$9,$F$16,$F$19,$F$20,$F$21,$F$22,$E305,$F$13,$F$14,F$39)</f>
        <v>3016250.4200000009</v>
      </c>
      <c r="G305" s="28">
        <f t="shared" ca="1" si="20"/>
        <v>3016250.4200000009</v>
      </c>
      <c r="H305" s="8">
        <f t="shared" ca="1" si="21"/>
        <v>3016250.4200000009</v>
      </c>
      <c r="I305" s="8">
        <f t="shared" ca="1" si="22"/>
        <v>1</v>
      </c>
      <c r="J305" s="43" t="str">
        <f t="shared" ca="1" si="23"/>
        <v>20,4</v>
      </c>
      <c r="K305" s="8">
        <f ca="1">_xll.DBRW($E$9,$F$16,$F$19,$F$20,$F$21,$F$22,$E305,$F$13,$F$14,K$39)</f>
        <v>20416804.43</v>
      </c>
      <c r="L305" s="34">
        <f t="shared" ca="1" si="24"/>
        <v>0.14773371760215273</v>
      </c>
    </row>
    <row r="306" spans="2:12" x14ac:dyDescent="0.25">
      <c r="B306" t="str">
        <f ca="1">IF(_xll.TM1RPTELISCONSOLIDATED($E$42,$E306),IF(_xll.TM1RPTELLEV($E$42,$E306)&lt;=3,_xll.TM1RPTELLEV($E$42,$E306),"D"),"N")</f>
        <v>N</v>
      </c>
      <c r="C306">
        <v>1</v>
      </c>
      <c r="D306" s="20"/>
      <c r="E306" s="22" t="s">
        <v>288</v>
      </c>
      <c r="F306" s="8">
        <f ca="1">_xll.DBRW($E$9,$F$16,$F$19,$F$20,$F$21,$F$22,$E306,$F$13,$F$14,F$39)</f>
        <v>3064943.080000001</v>
      </c>
      <c r="G306" s="28">
        <f t="shared" ca="1" si="20"/>
        <v>3064943.080000001</v>
      </c>
      <c r="H306" s="8">
        <f t="shared" ca="1" si="21"/>
        <v>3064943.080000001</v>
      </c>
      <c r="I306" s="8">
        <f t="shared" ca="1" si="22"/>
        <v>1</v>
      </c>
      <c r="J306" s="43" t="str">
        <f t="shared" ca="1" si="23"/>
        <v>23,0</v>
      </c>
      <c r="K306" s="8">
        <f ca="1">_xll.DBRW($E$9,$F$16,$F$19,$F$20,$F$21,$F$22,$E306,$F$13,$F$14,K$39)</f>
        <v>23045518.310000002</v>
      </c>
      <c r="L306" s="34">
        <f t="shared" ca="1" si="24"/>
        <v>0.13299518972719518</v>
      </c>
    </row>
    <row r="307" spans="2:12" x14ac:dyDescent="0.25">
      <c r="B307" t="str">
        <f ca="1">IF(_xll.TM1RPTELISCONSOLIDATED($E$42,$E307),IF(_xll.TM1RPTELLEV($E$42,$E307)&lt;=3,_xll.TM1RPTELLEV($E$42,$E307),"D"),"N")</f>
        <v>N</v>
      </c>
      <c r="C307">
        <v>1</v>
      </c>
      <c r="D307" s="20"/>
      <c r="E307" s="22" t="s">
        <v>289</v>
      </c>
      <c r="F307" s="8">
        <f ca="1">_xll.DBRW($E$9,$F$16,$F$19,$F$20,$F$21,$F$22,$E307,$F$13,$F$14,F$39)</f>
        <v>3145256.4100000015</v>
      </c>
      <c r="G307" s="28">
        <f t="shared" ca="1" si="20"/>
        <v>3145256.4100000015</v>
      </c>
      <c r="H307" s="8">
        <f t="shared" ca="1" si="21"/>
        <v>3145256.4100000015</v>
      </c>
      <c r="I307" s="8">
        <f t="shared" ca="1" si="22"/>
        <v>1</v>
      </c>
      <c r="J307" s="43" t="str">
        <f t="shared" ca="1" si="23"/>
        <v>19,7</v>
      </c>
      <c r="K307" s="8">
        <f ca="1">_xll.DBRW($E$9,$F$16,$F$19,$F$20,$F$21,$F$22,$E307,$F$13,$F$14,K$39)</f>
        <v>19697359.899999999</v>
      </c>
      <c r="L307" s="34">
        <f t="shared" ca="1" si="24"/>
        <v>0.15967908521588225</v>
      </c>
    </row>
    <row r="308" spans="2:12" x14ac:dyDescent="0.25">
      <c r="B308" t="str">
        <f ca="1">IF(_xll.TM1RPTELISCONSOLIDATED($E$42,$E308),IF(_xll.TM1RPTELLEV($E$42,$E308)&lt;=3,_xll.TM1RPTELLEV($E$42,$E308),"D"),"N")</f>
        <v>N</v>
      </c>
      <c r="C308">
        <v>1</v>
      </c>
      <c r="D308" s="20"/>
      <c r="E308" s="22" t="s">
        <v>161</v>
      </c>
      <c r="F308" s="8">
        <f ca="1">_xll.DBRW($E$9,$F$16,$F$19,$F$20,$F$21,$F$22,$E308,$F$13,$F$14,F$39)</f>
        <v>3168939.0100000203</v>
      </c>
      <c r="G308" s="28">
        <f t="shared" ca="1" si="20"/>
        <v>3168939.0100000203</v>
      </c>
      <c r="H308" s="8">
        <f t="shared" ca="1" si="21"/>
        <v>3168939.0100000203</v>
      </c>
      <c r="I308" s="8">
        <f t="shared" ca="1" si="22"/>
        <v>1</v>
      </c>
      <c r="J308" s="43" t="str">
        <f t="shared" ca="1" si="23"/>
        <v>63,7</v>
      </c>
      <c r="K308" s="8">
        <f ca="1">_xll.DBRW($E$9,$F$16,$F$19,$F$20,$F$21,$F$22,$E308,$F$13,$F$14,K$39)</f>
        <v>63713492.300000012</v>
      </c>
      <c r="L308" s="34">
        <f t="shared" ca="1" si="24"/>
        <v>4.9737330282867254E-2</v>
      </c>
    </row>
    <row r="309" spans="2:12" x14ac:dyDescent="0.25">
      <c r="B309" t="str">
        <f ca="1">IF(_xll.TM1RPTELISCONSOLIDATED($E$42,$E309),IF(_xll.TM1RPTELLEV($E$42,$E309)&lt;=3,_xll.TM1RPTELLEV($E$42,$E309),"D"),"N")</f>
        <v>N</v>
      </c>
      <c r="C309">
        <v>1</v>
      </c>
      <c r="D309" s="20"/>
      <c r="E309" s="22" t="s">
        <v>290</v>
      </c>
      <c r="F309" s="8">
        <f ca="1">_xll.DBRW($E$9,$F$16,$F$19,$F$20,$F$21,$F$22,$E309,$F$13,$F$14,F$39)</f>
        <v>3546201.7400000067</v>
      </c>
      <c r="G309" s="28">
        <f t="shared" ca="1" si="20"/>
        <v>3546201.7400000067</v>
      </c>
      <c r="H309" s="8">
        <f t="shared" ca="1" si="21"/>
        <v>3546201.7400000067</v>
      </c>
      <c r="I309" s="8">
        <f t="shared" ca="1" si="22"/>
        <v>1</v>
      </c>
      <c r="J309" s="43" t="str">
        <f t="shared" ca="1" si="23"/>
        <v>114,5</v>
      </c>
      <c r="K309" s="8">
        <f ca="1">_xll.DBRW($E$9,$F$16,$F$19,$F$20,$F$21,$F$22,$E309,$F$13,$F$14,K$39)</f>
        <v>114481718.56</v>
      </c>
      <c r="L309" s="34">
        <f t="shared" ca="1" si="24"/>
        <v>3.097613998641572E-2</v>
      </c>
    </row>
    <row r="310" spans="2:12" x14ac:dyDescent="0.25">
      <c r="B310" t="str">
        <f ca="1">IF(_xll.TM1RPTELISCONSOLIDATED($E$42,$E310),IF(_xll.TM1RPTELLEV($E$42,$E310)&lt;=3,_xll.TM1RPTELLEV($E$42,$E310),"D"),"N")</f>
        <v>N</v>
      </c>
      <c r="C310">
        <v>1</v>
      </c>
      <c r="D310" s="20"/>
      <c r="E310" s="22" t="s">
        <v>155</v>
      </c>
      <c r="F310" s="8">
        <f ca="1">_xll.DBRW($E$9,$F$16,$F$19,$F$20,$F$21,$F$22,$E310,$F$13,$F$14,F$39)</f>
        <v>3636553.3799999985</v>
      </c>
      <c r="G310" s="28">
        <f t="shared" ca="1" si="20"/>
        <v>3636553.3799999985</v>
      </c>
      <c r="H310" s="8">
        <f t="shared" ca="1" si="21"/>
        <v>3636553.3799999985</v>
      </c>
      <c r="I310" s="8">
        <f t="shared" ca="1" si="22"/>
        <v>1</v>
      </c>
      <c r="J310" s="43" t="str">
        <f t="shared" ca="1" si="23"/>
        <v>23,0</v>
      </c>
      <c r="K310" s="8">
        <f ca="1">_xll.DBRW($E$9,$F$16,$F$19,$F$20,$F$21,$F$22,$E310,$F$13,$F$14,K$39)</f>
        <v>23006170.579999994</v>
      </c>
      <c r="L310" s="34">
        <f t="shared" ca="1" si="24"/>
        <v>0.15806860891318311</v>
      </c>
    </row>
    <row r="311" spans="2:12" x14ac:dyDescent="0.25">
      <c r="B311" t="str">
        <f ca="1">IF(_xll.TM1RPTELISCONSOLIDATED($E$42,$E311),IF(_xll.TM1RPTELLEV($E$42,$E311)&lt;=3,_xll.TM1RPTELLEV($E$42,$E311),"D"),"N")</f>
        <v>N</v>
      </c>
      <c r="C311">
        <v>1</v>
      </c>
      <c r="D311" s="20"/>
      <c r="E311" s="22" t="s">
        <v>291</v>
      </c>
      <c r="F311" s="8">
        <f ca="1">_xll.DBRW($E$9,$F$16,$F$19,$F$20,$F$21,$F$22,$E311,$F$13,$F$14,F$39)</f>
        <v>3827510.6199999861</v>
      </c>
      <c r="G311" s="28">
        <f t="shared" ca="1" si="20"/>
        <v>3827510.6199999861</v>
      </c>
      <c r="H311" s="8">
        <f t="shared" ca="1" si="21"/>
        <v>3827510.6199999861</v>
      </c>
      <c r="I311" s="8">
        <f t="shared" ca="1" si="22"/>
        <v>1</v>
      </c>
      <c r="J311" s="43" t="str">
        <f t="shared" ca="1" si="23"/>
        <v>137,0</v>
      </c>
      <c r="K311" s="8">
        <f ca="1">_xll.DBRW($E$9,$F$16,$F$19,$F$20,$F$21,$F$22,$E311,$F$13,$F$14,K$39)</f>
        <v>136979149.00999999</v>
      </c>
      <c r="L311" s="34">
        <f t="shared" ca="1" si="24"/>
        <v>2.7942286455003188E-2</v>
      </c>
    </row>
    <row r="312" spans="2:12" x14ac:dyDescent="0.25">
      <c r="B312" t="str">
        <f ca="1">IF(_xll.TM1RPTELISCONSOLIDATED($E$42,$E312),IF(_xll.TM1RPTELLEV($E$42,$E312)&lt;=3,_xll.TM1RPTELLEV($E$42,$E312),"D"),"N")</f>
        <v>N</v>
      </c>
      <c r="C312">
        <v>1</v>
      </c>
      <c r="D312" s="20"/>
      <c r="E312" s="22" t="s">
        <v>292</v>
      </c>
      <c r="F312" s="8">
        <f ca="1">_xll.DBRW($E$9,$F$16,$F$19,$F$20,$F$21,$F$22,$E312,$F$13,$F$14,F$39)</f>
        <v>4153720.4599999981</v>
      </c>
      <c r="G312" s="28">
        <f t="shared" ca="1" si="20"/>
        <v>4153720.4599999981</v>
      </c>
      <c r="H312" s="8">
        <f t="shared" ca="1" si="21"/>
        <v>4153720.4599999981</v>
      </c>
      <c r="I312" s="8">
        <f t="shared" ca="1" si="22"/>
        <v>1</v>
      </c>
      <c r="J312" s="43" t="str">
        <f t="shared" ca="1" si="23"/>
        <v>27,3</v>
      </c>
      <c r="K312" s="8">
        <f ca="1">_xll.DBRW($E$9,$F$16,$F$19,$F$20,$F$21,$F$22,$E312,$F$13,$F$14,K$39)</f>
        <v>27267633.240000002</v>
      </c>
      <c r="L312" s="34">
        <f t="shared" ca="1" si="24"/>
        <v>0.15233153620046261</v>
      </c>
    </row>
    <row r="313" spans="2:12" x14ac:dyDescent="0.25">
      <c r="B313" t="str">
        <f ca="1">IF(_xll.TM1RPTELISCONSOLIDATED($E$42,$E313),IF(_xll.TM1RPTELLEV($E$42,$E313)&lt;=3,_xll.TM1RPTELLEV($E$42,$E313),"D"),"N")</f>
        <v>N</v>
      </c>
      <c r="C313">
        <v>1</v>
      </c>
      <c r="D313" s="20"/>
      <c r="E313" s="22" t="s">
        <v>160</v>
      </c>
      <c r="F313" s="8">
        <f ca="1">_xll.DBRW($E$9,$F$16,$F$19,$F$20,$F$21,$F$22,$E313,$F$13,$F$14,F$39)</f>
        <v>4258254.5999999978</v>
      </c>
      <c r="G313" s="28">
        <f t="shared" ca="1" si="20"/>
        <v>4258254.5999999978</v>
      </c>
      <c r="H313" s="8">
        <f t="shared" ca="1" si="21"/>
        <v>4258254.5999999978</v>
      </c>
      <c r="I313" s="8">
        <f t="shared" ca="1" si="22"/>
        <v>1</v>
      </c>
      <c r="J313" s="43" t="str">
        <f t="shared" ca="1" si="23"/>
        <v>40,8</v>
      </c>
      <c r="K313" s="8">
        <f ca="1">_xll.DBRW($E$9,$F$16,$F$19,$F$20,$F$21,$F$22,$E313,$F$13,$F$14,K$39)</f>
        <v>40805178.119999997</v>
      </c>
      <c r="L313" s="34">
        <f t="shared" ca="1" si="24"/>
        <v>0.10435574101593943</v>
      </c>
    </row>
    <row r="314" spans="2:12" x14ac:dyDescent="0.25">
      <c r="B314" t="str">
        <f ca="1">IF(_xll.TM1RPTELISCONSOLIDATED($E$42,$E314),IF(_xll.TM1RPTELLEV($E$42,$E314)&lt;=3,_xll.TM1RPTELLEV($E$42,$E314),"D"),"N")</f>
        <v>N</v>
      </c>
      <c r="C314">
        <v>1</v>
      </c>
      <c r="D314" s="20"/>
      <c r="E314" s="22" t="s">
        <v>293</v>
      </c>
      <c r="F314" s="8">
        <f ca="1">_xll.DBRW($E$9,$F$16,$F$19,$F$20,$F$21,$F$22,$E314,$F$13,$F$14,F$39)</f>
        <v>4353272.5399999954</v>
      </c>
      <c r="G314" s="28">
        <f t="shared" ca="1" si="20"/>
        <v>4353272.5399999954</v>
      </c>
      <c r="H314" s="8">
        <f t="shared" ca="1" si="21"/>
        <v>4353272.5399999954</v>
      </c>
      <c r="I314" s="8">
        <f t="shared" ca="1" si="22"/>
        <v>1</v>
      </c>
      <c r="J314" s="43" t="str">
        <f t="shared" ca="1" si="23"/>
        <v>36,0</v>
      </c>
      <c r="K314" s="8">
        <f ca="1">_xll.DBRW($E$9,$F$16,$F$19,$F$20,$F$21,$F$22,$E314,$F$13,$F$14,K$39)</f>
        <v>36041440.759999998</v>
      </c>
      <c r="L314" s="34">
        <f t="shared" ca="1" si="24"/>
        <v>0.12078519748942455</v>
      </c>
    </row>
    <row r="315" spans="2:12" x14ac:dyDescent="0.25">
      <c r="B315" t="str">
        <f ca="1">IF(_xll.TM1RPTELISCONSOLIDATED($E$42,$E315),IF(_xll.TM1RPTELLEV($E$42,$E315)&lt;=3,_xll.TM1RPTELLEV($E$42,$E315),"D"),"N")</f>
        <v>N</v>
      </c>
      <c r="C315">
        <v>1</v>
      </c>
      <c r="D315" s="20"/>
      <c r="E315" s="22" t="s">
        <v>294</v>
      </c>
      <c r="F315" s="8">
        <f ca="1">_xll.DBRW($E$9,$F$16,$F$19,$F$20,$F$21,$F$22,$E315,$F$13,$F$14,F$39)</f>
        <v>4434900.509999997</v>
      </c>
      <c r="G315" s="28">
        <f t="shared" ca="1" si="20"/>
        <v>4434900.509999997</v>
      </c>
      <c r="H315" s="8">
        <f t="shared" ca="1" si="21"/>
        <v>4434900.509999997</v>
      </c>
      <c r="I315" s="8">
        <f t="shared" ca="1" si="22"/>
        <v>1</v>
      </c>
      <c r="J315" s="43" t="str">
        <f t="shared" ca="1" si="23"/>
        <v>79,7</v>
      </c>
      <c r="K315" s="8">
        <f ca="1">_xll.DBRW($E$9,$F$16,$F$19,$F$20,$F$21,$F$22,$E315,$F$13,$F$14,K$39)</f>
        <v>79746232.060000002</v>
      </c>
      <c r="L315" s="34">
        <f t="shared" ca="1" si="24"/>
        <v>5.5612665268789586E-2</v>
      </c>
    </row>
    <row r="316" spans="2:12" x14ac:dyDescent="0.25">
      <c r="B316" t="str">
        <f ca="1">IF(_xll.TM1RPTELISCONSOLIDATED($E$42,$E316),IF(_xll.TM1RPTELLEV($E$42,$E316)&lt;=3,_xll.TM1RPTELLEV($E$42,$E316),"D"),"N")</f>
        <v>N</v>
      </c>
      <c r="C316">
        <v>1</v>
      </c>
      <c r="D316" s="20"/>
      <c r="E316" s="22" t="s">
        <v>295</v>
      </c>
      <c r="F316" s="8">
        <f ca="1">_xll.DBRW($E$9,$F$16,$F$19,$F$20,$F$21,$F$22,$E316,$F$13,$F$14,F$39)</f>
        <v>4511860.6899999995</v>
      </c>
      <c r="G316" s="28">
        <f t="shared" ca="1" si="20"/>
        <v>4511860.6899999995</v>
      </c>
      <c r="H316" s="8">
        <f t="shared" ca="1" si="21"/>
        <v>4511860.6899999995</v>
      </c>
      <c r="I316" s="8">
        <f t="shared" ca="1" si="22"/>
        <v>1</v>
      </c>
      <c r="J316" s="43" t="str">
        <f t="shared" ca="1" si="23"/>
        <v>25,3</v>
      </c>
      <c r="K316" s="8">
        <f ca="1">_xll.DBRW($E$9,$F$16,$F$19,$F$20,$F$21,$F$22,$E316,$F$13,$F$14,K$39)</f>
        <v>25320918.149999999</v>
      </c>
      <c r="L316" s="34">
        <f t="shared" ca="1" si="24"/>
        <v>0.17818708876478873</v>
      </c>
    </row>
    <row r="317" spans="2:12" x14ac:dyDescent="0.25">
      <c r="B317" t="str">
        <f ca="1">IF(_xll.TM1RPTELISCONSOLIDATED($E$42,$E317),IF(_xll.TM1RPTELLEV($E$42,$E317)&lt;=3,_xll.TM1RPTELLEV($E$42,$E317),"D"),"N")</f>
        <v>N</v>
      </c>
      <c r="C317">
        <v>1</v>
      </c>
      <c r="D317" s="20"/>
      <c r="E317" s="22" t="s">
        <v>164</v>
      </c>
      <c r="F317" s="8">
        <f ca="1">_xll.DBRW($E$9,$F$16,$F$19,$F$20,$F$21,$F$22,$E317,$F$13,$F$14,F$39)</f>
        <v>5611644.4400000032</v>
      </c>
      <c r="G317" s="28">
        <f t="shared" ca="1" si="20"/>
        <v>5611644.4400000032</v>
      </c>
      <c r="H317" s="8">
        <f t="shared" ca="1" si="21"/>
        <v>5611644.4400000032</v>
      </c>
      <c r="I317" s="8">
        <f t="shared" ca="1" si="22"/>
        <v>1</v>
      </c>
      <c r="J317" s="43" t="str">
        <f t="shared" ca="1" si="23"/>
        <v>41,0</v>
      </c>
      <c r="K317" s="8">
        <f ca="1">_xll.DBRW($E$9,$F$16,$F$19,$F$20,$F$21,$F$22,$E317,$F$13,$F$14,K$39)</f>
        <v>41048470.789999999</v>
      </c>
      <c r="L317" s="34">
        <f t="shared" ca="1" si="24"/>
        <v>0.13670775870576599</v>
      </c>
    </row>
    <row r="318" spans="2:12" x14ac:dyDescent="0.25">
      <c r="B318" t="str">
        <f ca="1">IF(_xll.TM1RPTELISCONSOLIDATED($E$42,$E318),IF(_xll.TM1RPTELLEV($E$42,$E318)&lt;=3,_xll.TM1RPTELLEV($E$42,$E318),"D"),"N")</f>
        <v>N</v>
      </c>
      <c r="C318">
        <v>1</v>
      </c>
      <c r="D318" s="20"/>
      <c r="E318" s="22" t="s">
        <v>162</v>
      </c>
      <c r="F318" s="8">
        <f ca="1">_xll.DBRW($E$9,$F$16,$F$19,$F$20,$F$21,$F$22,$E318,$F$13,$F$14,F$39)</f>
        <v>5951807.6200000001</v>
      </c>
      <c r="G318" s="28">
        <f t="shared" ca="1" si="20"/>
        <v>5951807.6200000001</v>
      </c>
      <c r="H318" s="8">
        <f t="shared" ca="1" si="21"/>
        <v>5951807.6200000001</v>
      </c>
      <c r="I318" s="8">
        <f t="shared" ca="1" si="22"/>
        <v>1</v>
      </c>
      <c r="J318" s="43" t="str">
        <f t="shared" ca="1" si="23"/>
        <v>32,9</v>
      </c>
      <c r="K318" s="8">
        <f ca="1">_xll.DBRW($E$9,$F$16,$F$19,$F$20,$F$21,$F$22,$E318,$F$13,$F$14,K$39)</f>
        <v>32909859.039999999</v>
      </c>
      <c r="L318" s="34">
        <f t="shared" ca="1" si="24"/>
        <v>0.18085181139080322</v>
      </c>
    </row>
    <row r="319" spans="2:12" x14ac:dyDescent="0.25">
      <c r="B319" t="str">
        <f ca="1">IF(_xll.TM1RPTELISCONSOLIDATED($E$42,$E319),IF(_xll.TM1RPTELLEV($E$42,$E319)&lt;=3,_xll.TM1RPTELLEV($E$42,$E319),"D"),"N")</f>
        <v>N</v>
      </c>
      <c r="C319">
        <v>1</v>
      </c>
      <c r="D319" s="20"/>
      <c r="E319" s="22" t="s">
        <v>296</v>
      </c>
      <c r="F319" s="8">
        <f ca="1">_xll.DBRW($E$9,$F$16,$F$19,$F$20,$F$21,$F$22,$E319,$F$13,$F$14,F$39)</f>
        <v>8291642.2500000084</v>
      </c>
      <c r="G319" s="28">
        <f t="shared" ca="1" si="20"/>
        <v>8291642.2500000084</v>
      </c>
      <c r="H319" s="8">
        <f t="shared" ca="1" si="21"/>
        <v>8291642.2500000084</v>
      </c>
      <c r="I319" s="8">
        <f t="shared" ca="1" si="22"/>
        <v>1</v>
      </c>
      <c r="J319" s="43" t="str">
        <f t="shared" ca="1" si="23"/>
        <v>121,2</v>
      </c>
      <c r="K319" s="8">
        <f ca="1">_xll.DBRW($E$9,$F$16,$F$19,$F$20,$F$21,$F$22,$E319,$F$13,$F$14,K$39)</f>
        <v>121155645.57000001</v>
      </c>
      <c r="L319" s="34">
        <f t="shared" ca="1" si="24"/>
        <v>6.8437935442383926E-2</v>
      </c>
    </row>
    <row r="320" spans="2:12" x14ac:dyDescent="0.25">
      <c r="B320" t="str">
        <f ca="1">IF(_xll.TM1RPTELISCONSOLIDATED($E$42,$E320),IF(_xll.TM1RPTELLEV($E$42,$E320)&lt;=3,_xll.TM1RPTELLEV($E$42,$E320),"D"),"N")</f>
        <v>N</v>
      </c>
      <c r="C320">
        <v>1</v>
      </c>
      <c r="D320" s="20"/>
      <c r="E320" s="22" t="s">
        <v>163</v>
      </c>
      <c r="F320" s="8">
        <f ca="1">_xll.DBRW($E$9,$F$16,$F$19,$F$20,$F$21,$F$22,$E320,$F$13,$F$14,F$39)</f>
        <v>8307022.2200000081</v>
      </c>
      <c r="G320" s="28">
        <f t="shared" ca="1" si="20"/>
        <v>8307022.2200000081</v>
      </c>
      <c r="H320" s="8">
        <f t="shared" ca="1" si="21"/>
        <v>8307022.2200000081</v>
      </c>
      <c r="I320" s="8">
        <f t="shared" ca="1" si="22"/>
        <v>1</v>
      </c>
      <c r="J320" s="43" t="str">
        <f t="shared" ca="1" si="23"/>
        <v>33,3</v>
      </c>
      <c r="K320" s="8">
        <f ca="1">_xll.DBRW($E$9,$F$16,$F$19,$F$20,$F$21,$F$22,$E320,$F$13,$F$14,K$39)</f>
        <v>33267124.469999999</v>
      </c>
      <c r="L320" s="34">
        <f t="shared" ca="1" si="24"/>
        <v>0.24970665040470233</v>
      </c>
    </row>
    <row r="321" spans="2:12" x14ac:dyDescent="0.25">
      <c r="B321" t="str">
        <f ca="1">IF(_xll.TM1RPTELISCONSOLIDATED($E$42,$E321),IF(_xll.TM1RPTELLEV($E$42,$E321)&lt;=3,_xll.TM1RPTELLEV($E$42,$E321),"D"),"N")</f>
        <v>N</v>
      </c>
      <c r="C321">
        <v>1</v>
      </c>
      <c r="D321" s="20"/>
      <c r="E321" s="22" t="s">
        <v>297</v>
      </c>
      <c r="F321" s="8">
        <f ca="1">_xll.DBRW($E$9,$F$16,$F$19,$F$20,$F$21,$F$22,$E321,$F$13,$F$14,F$39)</f>
        <v>10884765.250000009</v>
      </c>
      <c r="G321" s="28">
        <f t="shared" ca="1" si="20"/>
        <v>10884765.250000009</v>
      </c>
      <c r="H321" s="8">
        <f t="shared" ca="1" si="21"/>
        <v>10884765.250000009</v>
      </c>
      <c r="I321" s="8">
        <f t="shared" ca="1" si="22"/>
        <v>1</v>
      </c>
      <c r="J321" s="43" t="str">
        <f t="shared" ca="1" si="23"/>
        <v>79,5</v>
      </c>
      <c r="K321" s="8">
        <f ca="1">_xll.DBRW($E$9,$F$16,$F$19,$F$20,$F$21,$F$22,$E321,$F$13,$F$14,K$39)</f>
        <v>79451964.629999995</v>
      </c>
      <c r="L321" s="34">
        <f t="shared" ca="1" si="24"/>
        <v>0.13699806292631395</v>
      </c>
    </row>
    <row r="322" spans="2:12" x14ac:dyDescent="0.25">
      <c r="B322" t="str">
        <f ca="1">IF(_xll.TM1RPTELISCONSOLIDATED($E$42,$E322),IF(_xll.TM1RPTELLEV($E$42,$E322)&lt;=3,_xll.TM1RPTELLEV($E$42,$E322),"D"),"N")</f>
        <v>N</v>
      </c>
      <c r="C322">
        <v>1</v>
      </c>
      <c r="D322" s="20"/>
      <c r="E322" s="22" t="s">
        <v>298</v>
      </c>
      <c r="F322" s="8">
        <f ca="1">_xll.DBRW($E$9,$F$16,$F$19,$F$20,$F$21,$F$22,$E322,$F$13,$F$14,F$39)</f>
        <v>23551840.34</v>
      </c>
      <c r="G322" s="28">
        <f t="shared" ca="1" si="20"/>
        <v>23551840.34</v>
      </c>
      <c r="H322" s="8">
        <f t="shared" ca="1" si="21"/>
        <v>23551840.34</v>
      </c>
      <c r="I322" s="8">
        <f t="shared" ca="1" si="22"/>
        <v>1</v>
      </c>
      <c r="J322" s="43" t="str">
        <f t="shared" ca="1" si="23"/>
        <v>72,3</v>
      </c>
      <c r="K322" s="8">
        <f ca="1">_xll.DBRW($E$9,$F$16,$F$19,$F$20,$F$21,$F$22,$E322,$F$13,$F$14,K$39)</f>
        <v>72293769.140000001</v>
      </c>
      <c r="L322" s="34">
        <f t="shared" ca="1" si="24"/>
        <v>0.32577967119670914</v>
      </c>
    </row>
  </sheetData>
  <sheetProtection formatColumns="0" formatRows="0" selectLockedCells="1"/>
  <customSheetViews>
    <customSheetView guid="{542A82CC-14F4-4D39-AB5B-69DFCDDDBC35}" scale="85" showGridLines="0" showRowCol="0" hiddenRows="1" hiddenColumns="1" topLeftCell="D10">
      <selection activeCell="N26" sqref="N26"/>
      <pageMargins left="0.7" right="0.7" top="0.75" bottom="0.75" header="0.3" footer="0.3"/>
      <pageSetup paperSize="9" orientation="portrait" r:id="rId1"/>
    </customSheetView>
    <customSheetView guid="{240C188A-9CAE-45DB-8C9F-688FD1E79AF7}">
      <selection activeCell="C9" sqref="C9"/>
      <pageMargins left="0.7" right="0.7" top="0.75" bottom="0.75" header="0.3" footer="0.3"/>
      <pageSetup paperSize="9" orientation="portrait" r:id="rId2"/>
    </customSheetView>
  </customSheetViews>
  <mergeCells count="2">
    <mergeCell ref="F41:G41"/>
    <mergeCell ref="E11:L11"/>
  </mergeCells>
  <conditionalFormatting sqref="G7">
    <cfRule type="dataBar" priority="680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{9DD8B4D4-207E-4796-A4B5-2B7D65114D5E}</x14:id>
        </ext>
      </extLst>
    </cfRule>
  </conditionalFormatting>
  <conditionalFormatting sqref="L7">
    <cfRule type="colorScale" priority="6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42:G322">
    <cfRule type="dataBar" priority="2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{77F44700-ACA4-4ABB-BC5E-E2CE1D24801F}</x14:id>
        </ext>
      </extLst>
    </cfRule>
  </conditionalFormatting>
  <conditionalFormatting sqref="L42:L32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F18">
      <formula1>"English,Français"</formula1>
    </dataValidation>
    <dataValidation type="list" allowBlank="1" showInputMessage="1" showErrorMessage="1" sqref="A5">
      <formula1>"DEBUG ON,DEBUG OFF"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40</xdr:row>
                    <xdr:rowOff>19050</xdr:rowOff>
                  </from>
                  <to>
                    <xdr:col>4</xdr:col>
                    <xdr:colOff>1771650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5</xdr:col>
                    <xdr:colOff>38100</xdr:colOff>
                    <xdr:row>23</xdr:row>
                    <xdr:rowOff>0</xdr:rowOff>
                  </from>
                  <to>
                    <xdr:col>5</xdr:col>
                    <xdr:colOff>295275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>
                <anchor moveWithCells="1">
                  <from>
                    <xdr:col>5</xdr:col>
                    <xdr:colOff>38100</xdr:colOff>
                    <xdr:row>24</xdr:row>
                    <xdr:rowOff>0</xdr:rowOff>
                  </from>
                  <to>
                    <xdr:col>5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38100</xdr:colOff>
                    <xdr:row>25</xdr:row>
                    <xdr:rowOff>9525</xdr:rowOff>
                  </from>
                  <to>
                    <xdr:col>5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D8B4D4-207E-4796-A4B5-2B7D65114D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77F44700-ACA4-4ABB-BC5E-E2CE1D2480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G42:G322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13</vt:i4>
      </vt:variant>
    </vt:vector>
  </HeadingPairs>
  <TitlesOfParts>
    <vt:vector size="14" baseType="lpstr">
      <vt:lpstr>EBIT</vt:lpstr>
      <vt:lpstr>ACTUAL_MONTH_YTD</vt:lpstr>
      <vt:lpstr>DEBUG</vt:lpstr>
      <vt:lpstr>DEFAULT_LEGAL_ORGANIZATION</vt:lpstr>
      <vt:lpstr>DEFAULT_MAN_ORG</vt:lpstr>
      <vt:lpstr>LINE_COUNT</vt:lpstr>
      <vt:lpstr>Locallanguage</vt:lpstr>
      <vt:lpstr>ORDER</vt:lpstr>
      <vt:lpstr>POV_LANG</vt:lpstr>
      <vt:lpstr>Server</vt:lpstr>
      <vt:lpstr>EBIT!TM1RPTDATARNG1</vt:lpstr>
      <vt:lpstr>EBIT!TM1RPTFMTIDCOL</vt:lpstr>
      <vt:lpstr>EBIT!TM1RPTFMTRNG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FERNANDES, Miguel</dc:creator>
  <cp:lastModifiedBy>SAINT JOHN de CREVECOEUR, Rozenn</cp:lastModifiedBy>
  <dcterms:created xsi:type="dcterms:W3CDTF">2015-09-09T07:41:37Z</dcterms:created>
  <dcterms:modified xsi:type="dcterms:W3CDTF">2019-01-10T14:21:21Z</dcterms:modified>
</cp:coreProperties>
</file>